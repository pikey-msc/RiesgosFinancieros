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826758\Downloads\"/>
    </mc:Choice>
  </mc:AlternateContent>
  <bookViews>
    <workbookView xWindow="-120" yWindow="-120" windowWidth="29040" windowHeight="15840" firstSheet="3" activeTab="7"/>
  </bookViews>
  <sheets>
    <sheet name="Curvas_cupon_cero" sheetId="4" r:id="rId1"/>
    <sheet name="Hist" sheetId="13" r:id="rId2"/>
    <sheet name="Bono_S_Cupon" sheetId="2" r:id="rId3"/>
    <sheet name="Bono_M_Cupon_fijo_yield" sheetId="5" r:id="rId4"/>
    <sheet name="Bono_M_Cupon_fijo_curva" sheetId="10" r:id="rId5"/>
    <sheet name="Bono_C_Cupon_variab_gen" sheetId="6" r:id="rId6"/>
    <sheet name="Bono_C_Cupon_var_BPA182" sheetId="12" r:id="rId7"/>
    <sheet name="Bono_C_Cupon_var_BONDED" sheetId="14" r:id="rId8"/>
  </sheets>
  <functionGroups builtInGroupCount="18"/>
  <externalReferences>
    <externalReference r:id="rId9"/>
  </externalReferences>
  <definedNames>
    <definedName name="Bin" localSheetId="7">Bono_C_Cupon_var_BONDED!$HL$1:$HL$2</definedName>
    <definedName name="Bin" localSheetId="6">Bono_C_Cupon_var_BPA182!$HL$1:$HL$2</definedName>
    <definedName name="Bin" localSheetId="5">Bono_C_Cupon_variab_gen!$HK$1:$HK$2</definedName>
    <definedName name="Bin" localSheetId="4">Bono_M_Cupon_fijo_curva!$HK$1:$HK$2</definedName>
    <definedName name="Bin" localSheetId="3">Bono_M_Cupon_fijo_yield!$HK$1:$HK$2</definedName>
    <definedName name="Bin">Bono_S_Cupon!$HK$1:$HK$2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14" i="14" l="1"/>
  <c r="J13" i="14"/>
  <c r="F80" i="13"/>
  <c r="E64" i="13"/>
  <c r="C3" i="13"/>
  <c r="B9" i="14"/>
  <c r="A16" i="10" l="1"/>
  <c r="B12" i="10"/>
  <c r="B10" i="10"/>
  <c r="B9" i="10"/>
  <c r="H15" i="2" a="1"/>
  <c r="H15" i="2" s="1"/>
  <c r="E15" i="2" a="1"/>
  <c r="E15" i="2" s="1"/>
  <c r="B7" i="2"/>
  <c r="B8" i="2" a="1"/>
  <c r="F17" i="10"/>
  <c r="B8" i="2" l="1"/>
  <c r="E62" i="2"/>
  <c r="E46" i="2"/>
  <c r="E30" i="2"/>
  <c r="E61" i="2"/>
  <c r="E45" i="2"/>
  <c r="E21" i="2"/>
  <c r="E60" i="2"/>
  <c r="E44" i="2"/>
  <c r="E20" i="2"/>
  <c r="E34" i="2"/>
  <c r="E54" i="2"/>
  <c r="E38" i="2"/>
  <c r="E22" i="2"/>
  <c r="E53" i="2"/>
  <c r="E37" i="2"/>
  <c r="E29" i="2"/>
  <c r="E52" i="2"/>
  <c r="E36" i="2"/>
  <c r="E28" i="2"/>
  <c r="E59" i="2"/>
  <c r="E51" i="2"/>
  <c r="E43" i="2"/>
  <c r="E35" i="2"/>
  <c r="E27" i="2"/>
  <c r="E19" i="2"/>
  <c r="E58" i="2"/>
  <c r="E50" i="2"/>
  <c r="E42" i="2"/>
  <c r="E26" i="2"/>
  <c r="E18" i="2"/>
  <c r="E57" i="2"/>
  <c r="E49" i="2"/>
  <c r="E41" i="2"/>
  <c r="E33" i="2"/>
  <c r="E25" i="2"/>
  <c r="E17" i="2"/>
  <c r="E56" i="2"/>
  <c r="E48" i="2"/>
  <c r="E40" i="2"/>
  <c r="E32" i="2"/>
  <c r="E24" i="2"/>
  <c r="E16" i="2"/>
  <c r="E55" i="2"/>
  <c r="E47" i="2"/>
  <c r="E39" i="2"/>
  <c r="E31" i="2"/>
  <c r="E23" i="2"/>
  <c r="B10" i="14" a="1"/>
  <c r="B10" i="14" s="1"/>
  <c r="B16" i="14" s="1"/>
  <c r="E45" i="13"/>
  <c r="E44" i="13"/>
  <c r="E43" i="13"/>
  <c r="E42" i="13"/>
  <c r="E41" i="13"/>
  <c r="E40" i="13"/>
  <c r="E39" i="13"/>
  <c r="E38" i="13"/>
  <c r="E37" i="13"/>
  <c r="E36" i="13"/>
  <c r="E35" i="13"/>
  <c r="E34" i="13"/>
  <c r="E33" i="13"/>
  <c r="E32" i="13"/>
  <c r="D33" i="13"/>
  <c r="D32" i="13"/>
  <c r="D31" i="13"/>
  <c r="B14" i="6"/>
  <c r="J39" i="5"/>
  <c r="J13" i="5"/>
  <c r="J12" i="5"/>
  <c r="J10" i="5"/>
  <c r="J8" i="5"/>
  <c r="K7" i="5"/>
  <c r="K6" i="5"/>
  <c r="F15" i="2" a="1"/>
  <c r="F17" i="2" s="1"/>
  <c r="B9" i="2" l="1"/>
  <c r="E7" i="2"/>
  <c r="E8" i="2" s="1" a="1"/>
  <c r="E8" i="2" s="1"/>
  <c r="F56" i="2"/>
  <c r="F48" i="2"/>
  <c r="F40" i="2"/>
  <c r="F32" i="2"/>
  <c r="F24" i="2"/>
  <c r="F16" i="2"/>
  <c r="F55" i="2"/>
  <c r="F39" i="2"/>
  <c r="F23" i="2"/>
  <c r="F62" i="2"/>
  <c r="F38" i="2"/>
  <c r="F22" i="2"/>
  <c r="F61" i="2"/>
  <c r="F45" i="2"/>
  <c r="F29" i="2"/>
  <c r="F60" i="2"/>
  <c r="F36" i="2"/>
  <c r="F20" i="2"/>
  <c r="F51" i="2"/>
  <c r="F35" i="2"/>
  <c r="F27" i="2"/>
  <c r="F19" i="2"/>
  <c r="F58" i="2"/>
  <c r="F50" i="2"/>
  <c r="F42" i="2"/>
  <c r="F34" i="2"/>
  <c r="F26" i="2"/>
  <c r="F18" i="2"/>
  <c r="F47" i="2"/>
  <c r="F31" i="2"/>
  <c r="F15" i="2"/>
  <c r="F54" i="2"/>
  <c r="F46" i="2"/>
  <c r="F30" i="2"/>
  <c r="F53" i="2"/>
  <c r="F37" i="2"/>
  <c r="F21" i="2"/>
  <c r="F52" i="2"/>
  <c r="F44" i="2"/>
  <c r="F28" i="2"/>
  <c r="F59" i="2"/>
  <c r="F43" i="2"/>
  <c r="F57" i="2"/>
  <c r="F49" i="2"/>
  <c r="F41" i="2"/>
  <c r="F33" i="2"/>
  <c r="F25" i="2"/>
  <c r="F689" i="10"/>
  <c r="F688" i="10"/>
  <c r="F687" i="10"/>
  <c r="F686" i="10"/>
  <c r="F685" i="10"/>
  <c r="F684" i="10"/>
  <c r="F683" i="10"/>
  <c r="F682" i="10"/>
  <c r="F681" i="10"/>
  <c r="F680" i="10"/>
  <c r="F679" i="10"/>
  <c r="F678" i="10"/>
  <c r="F677" i="10"/>
  <c r="F676" i="10"/>
  <c r="F675" i="10"/>
  <c r="F674" i="10"/>
  <c r="F673" i="10"/>
  <c r="F672" i="10"/>
  <c r="F671" i="10"/>
  <c r="F670" i="10"/>
  <c r="F669" i="10"/>
  <c r="F668" i="10"/>
  <c r="F667" i="10"/>
  <c r="F666" i="10"/>
  <c r="F665" i="10"/>
  <c r="F664" i="10"/>
  <c r="F663" i="10"/>
  <c r="F662" i="10"/>
  <c r="F661" i="10"/>
  <c r="F660" i="10"/>
  <c r="F659" i="10"/>
  <c r="F658" i="10"/>
  <c r="F657" i="10"/>
  <c r="F656" i="10"/>
  <c r="F655" i="10"/>
  <c r="F654" i="10"/>
  <c r="F653" i="10"/>
  <c r="F652" i="10"/>
  <c r="F651" i="10"/>
  <c r="F650" i="10"/>
  <c r="F649" i="10"/>
  <c r="F648" i="10"/>
  <c r="F647" i="10"/>
  <c r="F646" i="10"/>
  <c r="F645" i="10"/>
  <c r="F644" i="10"/>
  <c r="F643" i="10"/>
  <c r="F642" i="10"/>
  <c r="F641" i="10"/>
  <c r="F640" i="10"/>
  <c r="F639" i="10"/>
  <c r="F638" i="10"/>
  <c r="F637" i="10"/>
  <c r="F636" i="10"/>
  <c r="F635" i="10"/>
  <c r="F634" i="10"/>
  <c r="F633" i="10"/>
  <c r="F632" i="10"/>
  <c r="F631" i="10"/>
  <c r="F630" i="10"/>
  <c r="F629" i="10"/>
  <c r="F628" i="10"/>
  <c r="F627" i="10"/>
  <c r="F626" i="10"/>
  <c r="F625" i="10"/>
  <c r="F624" i="10"/>
  <c r="F623" i="10"/>
  <c r="F622" i="10"/>
  <c r="F621" i="10"/>
  <c r="F620" i="10"/>
  <c r="F619" i="10"/>
  <c r="F618" i="10"/>
  <c r="F617" i="10"/>
  <c r="F616" i="10"/>
  <c r="F615" i="10"/>
  <c r="F614" i="10"/>
  <c r="F613" i="10"/>
  <c r="F612" i="10"/>
  <c r="F611" i="10"/>
  <c r="F610" i="10"/>
  <c r="F609" i="10"/>
  <c r="F608" i="10"/>
  <c r="F607" i="10"/>
  <c r="F606" i="10"/>
  <c r="F605" i="10"/>
  <c r="F604" i="10"/>
  <c r="F603" i="10"/>
  <c r="F602" i="10"/>
  <c r="F601" i="10"/>
  <c r="F600" i="10"/>
  <c r="F599" i="10"/>
  <c r="F598" i="10"/>
  <c r="F597" i="10"/>
  <c r="F596" i="10"/>
  <c r="F595" i="10"/>
  <c r="F594" i="10"/>
  <c r="F593" i="10"/>
  <c r="F592" i="10"/>
  <c r="F591" i="10"/>
  <c r="F590" i="10"/>
  <c r="F589" i="10"/>
  <c r="F588" i="10"/>
  <c r="F587" i="10"/>
  <c r="F586" i="10"/>
  <c r="F585" i="10"/>
  <c r="F584" i="10"/>
  <c r="F583" i="10"/>
  <c r="F582" i="10"/>
  <c r="F581" i="10"/>
  <c r="F580" i="10"/>
  <c r="F579" i="10"/>
  <c r="F578" i="10"/>
  <c r="F577" i="10"/>
  <c r="F576" i="10"/>
  <c r="F575" i="10"/>
  <c r="F574" i="10"/>
  <c r="F573" i="10"/>
  <c r="F572" i="10"/>
  <c r="F571" i="10"/>
  <c r="F570" i="10"/>
  <c r="F569" i="10"/>
  <c r="F568" i="10"/>
  <c r="F567" i="10"/>
  <c r="F566" i="10"/>
  <c r="F565" i="10"/>
  <c r="F564" i="10"/>
  <c r="F563" i="10"/>
  <c r="F562" i="10"/>
  <c r="F561" i="10"/>
  <c r="F560" i="10"/>
  <c r="F559" i="10"/>
  <c r="F558" i="10"/>
  <c r="F557" i="10"/>
  <c r="F556" i="10"/>
  <c r="F555" i="10"/>
  <c r="F554" i="10"/>
  <c r="F553" i="10"/>
  <c r="F552" i="10"/>
  <c r="F551" i="10"/>
  <c r="F550" i="10"/>
  <c r="F549" i="10"/>
  <c r="F548" i="10"/>
  <c r="F547" i="10"/>
  <c r="F546" i="10"/>
  <c r="F545" i="10"/>
  <c r="F544" i="10"/>
  <c r="F543" i="10"/>
  <c r="F542" i="10"/>
  <c r="F541" i="10"/>
  <c r="F540" i="10"/>
  <c r="F539" i="10"/>
  <c r="F538" i="10"/>
  <c r="F537" i="10"/>
  <c r="F536" i="10"/>
  <c r="F535" i="10"/>
  <c r="F534" i="10"/>
  <c r="F533" i="10"/>
  <c r="F532" i="10"/>
  <c r="F531" i="10"/>
  <c r="F530" i="10"/>
  <c r="F529" i="10"/>
  <c r="F528" i="10"/>
  <c r="F527" i="10"/>
  <c r="F526" i="10"/>
  <c r="F525" i="10"/>
  <c r="F524" i="10"/>
  <c r="F523" i="10"/>
  <c r="F522" i="10"/>
  <c r="F521" i="10"/>
  <c r="F520" i="10"/>
  <c r="F519" i="10"/>
  <c r="F518" i="10"/>
  <c r="F517" i="10"/>
  <c r="F516" i="10"/>
  <c r="F515" i="10"/>
  <c r="F514" i="10"/>
  <c r="F513" i="10"/>
  <c r="F512" i="10"/>
  <c r="F511" i="10"/>
  <c r="F510" i="10"/>
  <c r="F509" i="10"/>
  <c r="F508" i="10"/>
  <c r="F507" i="10"/>
  <c r="F506" i="10"/>
  <c r="F505" i="10"/>
  <c r="F504" i="10"/>
  <c r="F503" i="10"/>
  <c r="F502" i="10"/>
  <c r="F501" i="10"/>
  <c r="F500" i="10"/>
  <c r="F499" i="10"/>
  <c r="F498" i="10"/>
  <c r="F497" i="10"/>
  <c r="F496" i="10"/>
  <c r="F495" i="10"/>
  <c r="F494" i="10"/>
  <c r="F493" i="10"/>
  <c r="F492" i="10"/>
  <c r="F491" i="10"/>
  <c r="F490" i="10"/>
  <c r="F489" i="10"/>
  <c r="F488" i="10"/>
  <c r="F487" i="10"/>
  <c r="F486" i="10"/>
  <c r="F485" i="10"/>
  <c r="F484" i="10"/>
  <c r="F483" i="10"/>
  <c r="F482" i="10"/>
  <c r="F481" i="10"/>
  <c r="F480" i="10"/>
  <c r="F479" i="10"/>
  <c r="F478" i="10"/>
  <c r="F477" i="10"/>
  <c r="F476" i="10"/>
  <c r="F475" i="10"/>
  <c r="F474" i="10"/>
  <c r="F473" i="10"/>
  <c r="F472" i="10"/>
  <c r="F471" i="10"/>
  <c r="F470" i="10"/>
  <c r="F469" i="10"/>
  <c r="F468" i="10"/>
  <c r="F467" i="10"/>
  <c r="F466" i="10"/>
  <c r="F465" i="10"/>
  <c r="F464" i="10"/>
  <c r="F463" i="10"/>
  <c r="F462" i="10"/>
  <c r="F461" i="10"/>
  <c r="F460" i="10"/>
  <c r="F459" i="10"/>
  <c r="F458" i="10"/>
  <c r="F457" i="10"/>
  <c r="F456" i="10"/>
  <c r="F455" i="10"/>
  <c r="F454" i="10"/>
  <c r="F453" i="10"/>
  <c r="F452" i="10"/>
  <c r="F451" i="10"/>
  <c r="F450" i="10"/>
  <c r="F449" i="10"/>
  <c r="F448" i="10"/>
  <c r="F447" i="10"/>
  <c r="F446" i="10"/>
  <c r="F445" i="10"/>
  <c r="F444" i="10"/>
  <c r="F443" i="10"/>
  <c r="F442" i="10"/>
  <c r="F441" i="10"/>
  <c r="F440" i="10"/>
  <c r="F439" i="10"/>
  <c r="F438" i="10"/>
  <c r="F437" i="10"/>
  <c r="F436" i="10"/>
  <c r="F435" i="10"/>
  <c r="F434" i="10"/>
  <c r="F433" i="10"/>
  <c r="F432" i="10"/>
  <c r="F431" i="10"/>
  <c r="F430" i="10"/>
  <c r="F429" i="10"/>
  <c r="F428" i="10"/>
  <c r="F427" i="10"/>
  <c r="F426" i="10"/>
  <c r="F425" i="10"/>
  <c r="F424" i="10"/>
  <c r="F423" i="10"/>
  <c r="F422" i="10"/>
  <c r="F421" i="10"/>
  <c r="F420" i="10"/>
  <c r="F419" i="10"/>
  <c r="F418" i="10"/>
  <c r="F417" i="10"/>
  <c r="F416" i="10"/>
  <c r="F415" i="10"/>
  <c r="F414" i="10"/>
  <c r="F413" i="10"/>
  <c r="F412" i="10"/>
  <c r="F411" i="10"/>
  <c r="F410" i="10"/>
  <c r="F409" i="10"/>
  <c r="F408" i="10"/>
  <c r="F407" i="10"/>
  <c r="F406" i="10"/>
  <c r="F405" i="10"/>
  <c r="F404" i="10"/>
  <c r="F403" i="10"/>
  <c r="F402" i="10"/>
  <c r="F401" i="10"/>
  <c r="F400" i="10"/>
  <c r="F399" i="10"/>
  <c r="F398" i="10"/>
  <c r="F397" i="10"/>
  <c r="F396" i="10"/>
  <c r="F395" i="10"/>
  <c r="F394" i="10"/>
  <c r="F393" i="10"/>
  <c r="F392" i="10"/>
  <c r="F391" i="10"/>
  <c r="F390" i="10"/>
  <c r="F389" i="10"/>
  <c r="F388" i="10"/>
  <c r="F387" i="10"/>
  <c r="F386" i="10"/>
  <c r="F385" i="10"/>
  <c r="F384" i="10"/>
  <c r="F383" i="10"/>
  <c r="F382" i="10"/>
  <c r="F381" i="10"/>
  <c r="F380" i="10"/>
  <c r="F379" i="10"/>
  <c r="F378" i="10"/>
  <c r="F377" i="10"/>
  <c r="F376" i="10"/>
  <c r="F375" i="10"/>
  <c r="F374" i="10"/>
  <c r="F373" i="10"/>
  <c r="F372" i="10"/>
  <c r="F371" i="10"/>
  <c r="F370" i="10"/>
  <c r="F369" i="10"/>
  <c r="F368" i="10"/>
  <c r="F367" i="10"/>
  <c r="F366" i="10"/>
  <c r="F365" i="10"/>
  <c r="F364" i="10"/>
  <c r="F363" i="10"/>
  <c r="F362" i="10"/>
  <c r="F361" i="10"/>
  <c r="F360" i="10"/>
  <c r="F359" i="10"/>
  <c r="F358" i="10"/>
  <c r="F357" i="10"/>
  <c r="F356" i="10"/>
  <c r="F355" i="10"/>
  <c r="F354" i="10"/>
  <c r="F353" i="10"/>
  <c r="F352" i="10"/>
  <c r="F351" i="10"/>
  <c r="F350" i="10"/>
  <c r="F349" i="10"/>
  <c r="F348" i="10"/>
  <c r="F347" i="10"/>
  <c r="F346" i="10"/>
  <c r="F345" i="10"/>
  <c r="F344" i="10"/>
  <c r="F343" i="10"/>
  <c r="F342" i="10"/>
  <c r="F341" i="10"/>
  <c r="F340" i="10"/>
  <c r="F339" i="10"/>
  <c r="F338" i="10"/>
  <c r="F337" i="10"/>
  <c r="F336" i="10"/>
  <c r="F335" i="10"/>
  <c r="F334" i="10"/>
  <c r="F333" i="10"/>
  <c r="F332" i="10"/>
  <c r="F331" i="10"/>
  <c r="F330" i="10"/>
  <c r="F329" i="10"/>
  <c r="F328" i="10"/>
  <c r="F327" i="10"/>
  <c r="F326" i="10"/>
  <c r="F325" i="10"/>
  <c r="F324" i="10"/>
  <c r="F323" i="10"/>
  <c r="F322" i="10"/>
  <c r="F321" i="10"/>
  <c r="F320" i="10"/>
  <c r="F319" i="10"/>
  <c r="F318" i="10"/>
  <c r="F317" i="10"/>
  <c r="F316" i="10"/>
  <c r="F315" i="10"/>
  <c r="F314" i="10"/>
  <c r="F313" i="10"/>
  <c r="F312" i="10"/>
  <c r="F311" i="10"/>
  <c r="F310" i="10"/>
  <c r="F309" i="10"/>
  <c r="F308" i="10"/>
  <c r="F307" i="10"/>
  <c r="F306" i="10"/>
  <c r="F305" i="10"/>
  <c r="F304" i="10"/>
  <c r="F303" i="10"/>
  <c r="F302" i="10"/>
  <c r="F301" i="10"/>
  <c r="F300" i="10"/>
  <c r="F299" i="10"/>
  <c r="F298" i="10"/>
  <c r="F297" i="10"/>
  <c r="F296" i="10"/>
  <c r="F295" i="10"/>
  <c r="F294" i="10"/>
  <c r="F293" i="10"/>
  <c r="F292" i="10"/>
  <c r="F291" i="10"/>
  <c r="F290" i="10"/>
  <c r="F289" i="10"/>
  <c r="F288" i="10"/>
  <c r="F287" i="10"/>
  <c r="F286" i="10"/>
  <c r="F285" i="10"/>
  <c r="F284" i="10"/>
  <c r="F283" i="10"/>
  <c r="F282" i="10"/>
  <c r="F281" i="10"/>
  <c r="F280" i="10"/>
  <c r="F279" i="10"/>
  <c r="F278" i="10"/>
  <c r="F277" i="10"/>
  <c r="F276" i="10"/>
  <c r="F275" i="10"/>
  <c r="F274" i="10"/>
  <c r="F273" i="10"/>
  <c r="F272" i="10"/>
  <c r="F271" i="10"/>
  <c r="F270" i="10"/>
  <c r="F269" i="10"/>
  <c r="F268" i="10"/>
  <c r="F267" i="10"/>
  <c r="F266" i="10"/>
  <c r="F265" i="10"/>
  <c r="F264" i="10"/>
  <c r="F263" i="10"/>
  <c r="F262" i="10"/>
  <c r="F261" i="10"/>
  <c r="F260" i="10"/>
  <c r="F259" i="10"/>
  <c r="F258" i="10"/>
  <c r="F257" i="10"/>
  <c r="F256" i="10"/>
  <c r="F255" i="10"/>
  <c r="F254" i="10"/>
  <c r="F253" i="10"/>
  <c r="F252" i="10"/>
  <c r="F251" i="10"/>
  <c r="F250" i="10"/>
  <c r="F249" i="10"/>
  <c r="F248" i="10"/>
  <c r="F247" i="10"/>
  <c r="F246" i="10"/>
  <c r="F245" i="10"/>
  <c r="F244" i="10"/>
  <c r="F243" i="10"/>
  <c r="F242" i="10"/>
  <c r="F241" i="10"/>
  <c r="F240" i="10"/>
  <c r="F239" i="10"/>
  <c r="F238" i="10"/>
  <c r="F237" i="10"/>
  <c r="F236" i="10"/>
  <c r="F235" i="10"/>
  <c r="F234" i="10"/>
  <c r="F233" i="10"/>
  <c r="F232" i="10"/>
  <c r="F231" i="10"/>
  <c r="F230" i="10"/>
  <c r="F229" i="10"/>
  <c r="F228" i="10"/>
  <c r="F227" i="10"/>
  <c r="F226" i="10"/>
  <c r="F225" i="10"/>
  <c r="F224" i="10"/>
  <c r="F223" i="10"/>
  <c r="F222" i="10"/>
  <c r="F221" i="10"/>
  <c r="F220" i="10"/>
  <c r="F219" i="10"/>
  <c r="F218" i="10"/>
  <c r="F217" i="10"/>
  <c r="F216" i="10"/>
  <c r="F215" i="10"/>
  <c r="F214" i="10"/>
  <c r="F213" i="10"/>
  <c r="F212" i="10"/>
  <c r="F211" i="10"/>
  <c r="F210" i="10"/>
  <c r="F209" i="10"/>
  <c r="F208" i="10"/>
  <c r="F207" i="10"/>
  <c r="F206" i="10"/>
  <c r="F205" i="10"/>
  <c r="F204" i="10"/>
  <c r="F203" i="10"/>
  <c r="F202" i="10"/>
  <c r="F201" i="10"/>
  <c r="F200" i="10"/>
  <c r="F199" i="10"/>
  <c r="F198" i="10"/>
  <c r="F197" i="10"/>
  <c r="F196" i="10"/>
  <c r="F195" i="10"/>
  <c r="F194" i="10"/>
  <c r="F193" i="10"/>
  <c r="F192" i="10"/>
  <c r="F191" i="10"/>
  <c r="F190" i="10"/>
  <c r="F189" i="10"/>
  <c r="F188" i="10"/>
  <c r="F187" i="10"/>
  <c r="F186" i="10"/>
  <c r="F185" i="10"/>
  <c r="F184" i="10"/>
  <c r="F183" i="10"/>
  <c r="F182" i="10"/>
  <c r="F181" i="10"/>
  <c r="F180" i="10"/>
  <c r="F179" i="10"/>
  <c r="F178" i="10"/>
  <c r="F177" i="10"/>
  <c r="F176" i="10"/>
  <c r="F175" i="10"/>
  <c r="F174" i="10"/>
  <c r="F173" i="10"/>
  <c r="F172" i="10"/>
  <c r="F171" i="10"/>
  <c r="F170" i="10"/>
  <c r="F169" i="10"/>
  <c r="F168" i="10"/>
  <c r="F167" i="10"/>
  <c r="F166" i="10"/>
  <c r="F165" i="10"/>
  <c r="F164" i="10"/>
  <c r="F163" i="10"/>
  <c r="F162" i="10"/>
  <c r="F161" i="10"/>
  <c r="F160" i="10"/>
  <c r="F159" i="10"/>
  <c r="F158" i="10"/>
  <c r="F157" i="10"/>
  <c r="F156" i="10"/>
  <c r="F155" i="10"/>
  <c r="F154" i="10"/>
  <c r="F153" i="10"/>
  <c r="F152" i="10"/>
  <c r="F151" i="10"/>
  <c r="F150" i="10"/>
  <c r="F149" i="10"/>
  <c r="F148" i="10"/>
  <c r="F147" i="10"/>
  <c r="F146" i="10"/>
  <c r="F145" i="10"/>
  <c r="F144" i="10"/>
  <c r="F143" i="10"/>
  <c r="F142" i="10"/>
  <c r="F141" i="10"/>
  <c r="F140" i="10"/>
  <c r="F139" i="10"/>
  <c r="F138" i="10"/>
  <c r="F137" i="10"/>
  <c r="F136" i="10"/>
  <c r="F135" i="10"/>
  <c r="F134" i="10"/>
  <c r="F133" i="10"/>
  <c r="F132" i="10"/>
  <c r="F131" i="10"/>
  <c r="F130" i="10"/>
  <c r="F129" i="10"/>
  <c r="F128" i="10"/>
  <c r="F127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F112" i="10"/>
  <c r="F111" i="10"/>
  <c r="F110" i="10"/>
  <c r="F109" i="10"/>
  <c r="F108" i="10"/>
  <c r="F107" i="10"/>
  <c r="F106" i="10"/>
  <c r="F105" i="10"/>
  <c r="F104" i="10"/>
  <c r="F103" i="10"/>
  <c r="F102" i="10"/>
  <c r="F101" i="10"/>
  <c r="F100" i="10"/>
  <c r="F99" i="10"/>
  <c r="F98" i="10"/>
  <c r="F97" i="10"/>
  <c r="F96" i="10"/>
  <c r="F95" i="10"/>
  <c r="F94" i="10"/>
  <c r="F93" i="10"/>
  <c r="F92" i="10"/>
  <c r="F91" i="10"/>
  <c r="F90" i="10"/>
  <c r="F89" i="10"/>
  <c r="F88" i="10"/>
  <c r="F87" i="10"/>
  <c r="F86" i="10"/>
  <c r="F85" i="10"/>
  <c r="F84" i="10"/>
  <c r="F83" i="10"/>
  <c r="F82" i="10"/>
  <c r="F81" i="10"/>
  <c r="F80" i="10"/>
  <c r="F79" i="10"/>
  <c r="F78" i="10"/>
  <c r="F77" i="10"/>
  <c r="F76" i="10"/>
  <c r="F75" i="10"/>
  <c r="F74" i="10"/>
  <c r="F73" i="10"/>
  <c r="F72" i="10"/>
  <c r="F71" i="10"/>
  <c r="F70" i="10"/>
  <c r="F69" i="10"/>
  <c r="F68" i="10"/>
  <c r="F67" i="10"/>
  <c r="F66" i="10"/>
  <c r="F65" i="10"/>
  <c r="F64" i="10"/>
  <c r="F63" i="10"/>
  <c r="F62" i="10"/>
  <c r="F61" i="10"/>
  <c r="F60" i="10"/>
  <c r="F59" i="10"/>
  <c r="F58" i="10"/>
  <c r="F57" i="10"/>
  <c r="F56" i="10"/>
  <c r="F55" i="10"/>
  <c r="F54" i="10"/>
  <c r="F53" i="10"/>
  <c r="F52" i="10"/>
  <c r="F51" i="10"/>
  <c r="F50" i="10"/>
  <c r="F49" i="10"/>
  <c r="F48" i="10"/>
  <c r="F47" i="10"/>
  <c r="F46" i="10"/>
  <c r="F45" i="10"/>
  <c r="F44" i="10"/>
  <c r="F43" i="10"/>
  <c r="F42" i="10"/>
  <c r="F41" i="10"/>
  <c r="F40" i="10"/>
  <c r="F39" i="10"/>
  <c r="F38" i="10"/>
  <c r="F37" i="10"/>
  <c r="F36" i="10"/>
  <c r="F35" i="10"/>
  <c r="F34" i="10"/>
  <c r="F33" i="10"/>
  <c r="F32" i="10"/>
  <c r="F31" i="10"/>
  <c r="F30" i="10"/>
  <c r="F29" i="10"/>
  <c r="F28" i="10"/>
  <c r="F27" i="10"/>
  <c r="F26" i="10"/>
  <c r="A17" i="10"/>
  <c r="H21" i="2" a="1"/>
  <c r="H21" i="2" s="1"/>
  <c r="B4" i="2"/>
  <c r="F22" i="10"/>
  <c r="F18" i="10"/>
  <c r="F25" i="10"/>
  <c r="F24" i="10"/>
  <c r="F19" i="10"/>
  <c r="F23" i="10"/>
  <c r="F21" i="10"/>
  <c r="F20" i="10"/>
  <c r="F16" i="10"/>
  <c r="G16" i="10" l="1"/>
  <c r="I21" i="2"/>
  <c r="I23" i="2"/>
  <c r="H23" i="2"/>
  <c r="J22" i="2"/>
  <c r="I22" i="2"/>
  <c r="H22" i="2"/>
  <c r="J21" i="2"/>
  <c r="J23" i="2"/>
  <c r="J8" i="12"/>
  <c r="J9" i="12"/>
  <c r="J7" i="12"/>
  <c r="AQ71" i="4" l="1"/>
  <c r="AR71" i="4" s="1"/>
  <c r="AQ70" i="4"/>
  <c r="AR70" i="4" s="1"/>
  <c r="AQ69" i="4"/>
  <c r="AR69" i="4" s="1"/>
  <c r="AQ68" i="4"/>
  <c r="AR68" i="4" s="1"/>
  <c r="AQ67" i="4"/>
  <c r="AR67" i="4" s="1"/>
  <c r="AQ66" i="4"/>
  <c r="AR66" i="4" s="1"/>
  <c r="AQ65" i="4"/>
  <c r="AR65" i="4" s="1"/>
  <c r="AQ64" i="4"/>
  <c r="AR64" i="4" s="1"/>
  <c r="AQ63" i="4"/>
  <c r="AR63" i="4" s="1"/>
  <c r="AQ62" i="4"/>
  <c r="AR62" i="4" s="1"/>
  <c r="AQ61" i="4"/>
  <c r="AR61" i="4" s="1"/>
  <c r="AQ60" i="4"/>
  <c r="AR60" i="4" s="1"/>
  <c r="AQ59" i="4"/>
  <c r="AR59" i="4" s="1"/>
  <c r="AQ58" i="4"/>
  <c r="AR58" i="4" s="1"/>
  <c r="AQ57" i="4"/>
  <c r="AR57" i="4" s="1"/>
  <c r="AQ56" i="4"/>
  <c r="AR56" i="4" s="1"/>
  <c r="AQ55" i="4"/>
  <c r="AR55" i="4" s="1"/>
  <c r="AQ54" i="4"/>
  <c r="AR54" i="4" s="1"/>
  <c r="AQ53" i="4"/>
  <c r="AR53" i="4" s="1"/>
  <c r="AQ52" i="4"/>
  <c r="AR52" i="4" s="1"/>
  <c r="C5353" i="13"/>
  <c r="C5352" i="13" s="1"/>
  <c r="C5351" i="13" s="1"/>
  <c r="C5350" i="13"/>
  <c r="C5349" i="13"/>
  <c r="C5348" i="13"/>
  <c r="C5347" i="13"/>
  <c r="C5346" i="13"/>
  <c r="C5345" i="13" s="1"/>
  <c r="C5344" i="13" s="1"/>
  <c r="C5343" i="13"/>
  <c r="C5342" i="13"/>
  <c r="C5341" i="13"/>
  <c r="C5340" i="13"/>
  <c r="C5339" i="13"/>
  <c r="C5338" i="13" s="1"/>
  <c r="C5337" i="13" s="1"/>
  <c r="C5336" i="13"/>
  <c r="C5335" i="13"/>
  <c r="C5334" i="13"/>
  <c r="C5333" i="13"/>
  <c r="C5332" i="13"/>
  <c r="C5331" i="13"/>
  <c r="C5330" i="13" s="1"/>
  <c r="C5329" i="13"/>
  <c r="C5328" i="13"/>
  <c r="C5327" i="13"/>
  <c r="C5326" i="13"/>
  <c r="C5325" i="13"/>
  <c r="C5324" i="13" s="1"/>
  <c r="C5323" i="13" s="1"/>
  <c r="C5322" i="13"/>
  <c r="C5321" i="13"/>
  <c r="C5320" i="13"/>
  <c r="C5319" i="13" s="1"/>
  <c r="C5318" i="13"/>
  <c r="C5317" i="13" s="1"/>
  <c r="C5316" i="13" s="1"/>
  <c r="C5315" i="13"/>
  <c r="C5314" i="13"/>
  <c r="C5313" i="13"/>
  <c r="C5312" i="13"/>
  <c r="C5311" i="13"/>
  <c r="C5310" i="13"/>
  <c r="C5309" i="13" s="1"/>
  <c r="C5308" i="13"/>
  <c r="C5307" i="13"/>
  <c r="C5306" i="13"/>
  <c r="C5305" i="13"/>
  <c r="C5304" i="13"/>
  <c r="C5303" i="13" s="1"/>
  <c r="C5302" i="13" s="1"/>
  <c r="C5301" i="13"/>
  <c r="C5300" i="13"/>
  <c r="C5299" i="13"/>
  <c r="C5298" i="13"/>
  <c r="C5297" i="13"/>
  <c r="C5296" i="13" s="1"/>
  <c r="C5295" i="13" s="1"/>
  <c r="C5294" i="13"/>
  <c r="C5293" i="13"/>
  <c r="C5292" i="13"/>
  <c r="C5291" i="13"/>
  <c r="C5290" i="13"/>
  <c r="C5289" i="13" s="1"/>
  <c r="C5288" i="13" s="1"/>
  <c r="C5287" i="13"/>
  <c r="C5286" i="13"/>
  <c r="C5285" i="13"/>
  <c r="C5284" i="13"/>
  <c r="C5283" i="13"/>
  <c r="C5282" i="13" s="1"/>
  <c r="C5281" i="13" s="1"/>
  <c r="C5280" i="13"/>
  <c r="C5279" i="13"/>
  <c r="C5278" i="13"/>
  <c r="C5277" i="13"/>
  <c r="C5276" i="13"/>
  <c r="C5275" i="13" s="1"/>
  <c r="C5274" i="13" s="1"/>
  <c r="C5273" i="13"/>
  <c r="C5272" i="13"/>
  <c r="C5271" i="13"/>
  <c r="C5270" i="13"/>
  <c r="C5269" i="13"/>
  <c r="C5268" i="13" s="1"/>
  <c r="C5267" i="13" s="1"/>
  <c r="C5266" i="13"/>
  <c r="C5265" i="13"/>
  <c r="C5264" i="13"/>
  <c r="C5263" i="13"/>
  <c r="C5262" i="13"/>
  <c r="C5261" i="13" s="1"/>
  <c r="C5260" i="13" s="1"/>
  <c r="C5259" i="13"/>
  <c r="C5258" i="13"/>
  <c r="C5257" i="13"/>
  <c r="C5256" i="13" s="1"/>
  <c r="C5255" i="13" s="1"/>
  <c r="C5254" i="13" s="1"/>
  <c r="C5253" i="13" s="1"/>
  <c r="C5252" i="13"/>
  <c r="C5251" i="13"/>
  <c r="C5250" i="13"/>
  <c r="C5249" i="13"/>
  <c r="C5248" i="13"/>
  <c r="C5247" i="13" s="1"/>
  <c r="C5246" i="13" s="1"/>
  <c r="C5245" i="13"/>
  <c r="C5244" i="13"/>
  <c r="C5243" i="13"/>
  <c r="C5242" i="13"/>
  <c r="C5241" i="13"/>
  <c r="C5240" i="13" s="1"/>
  <c r="C5239" i="13" s="1"/>
  <c r="C5238" i="13"/>
  <c r="C5237" i="13"/>
  <c r="C5236" i="13"/>
  <c r="C5235" i="13"/>
  <c r="C5234" i="13"/>
  <c r="C5233" i="13" s="1"/>
  <c r="C5232" i="13" s="1"/>
  <c r="C5231" i="13"/>
  <c r="C5230" i="13"/>
  <c r="C5229" i="13"/>
  <c r="C5228" i="13"/>
  <c r="C5227" i="13"/>
  <c r="C5226" i="13"/>
  <c r="C5225" i="13" s="1"/>
  <c r="C5224" i="13"/>
  <c r="C5223" i="13"/>
  <c r="C5222" i="13"/>
  <c r="C5221" i="13"/>
  <c r="C5220" i="13"/>
  <c r="C5219" i="13" s="1"/>
  <c r="C5218" i="13" s="1"/>
  <c r="C5217" i="13"/>
  <c r="C5216" i="13"/>
  <c r="C5215" i="13"/>
  <c r="C5214" i="13"/>
  <c r="C5213" i="13"/>
  <c r="C5212" i="13" s="1"/>
  <c r="C5211" i="13" s="1"/>
  <c r="C5210" i="13"/>
  <c r="C5209" i="13"/>
  <c r="C5208" i="13"/>
  <c r="C5207" i="13"/>
  <c r="C5206" i="13"/>
  <c r="C5205" i="13" s="1"/>
  <c r="C5204" i="13" s="1"/>
  <c r="C5203" i="13"/>
  <c r="C5202" i="13"/>
  <c r="C5201" i="13"/>
  <c r="C5200" i="13"/>
  <c r="C5199" i="13"/>
  <c r="C5198" i="13" s="1"/>
  <c r="C5197" i="13" s="1"/>
  <c r="C5196" i="13"/>
  <c r="C5195" i="13"/>
  <c r="C5194" i="13"/>
  <c r="C5193" i="13"/>
  <c r="C5192" i="13"/>
  <c r="C5191" i="13" s="1"/>
  <c r="C5190" i="13" s="1"/>
  <c r="C5189" i="13"/>
  <c r="C5188" i="13"/>
  <c r="C5187" i="13"/>
  <c r="C5186" i="13"/>
  <c r="C5185" i="13"/>
  <c r="C5184" i="13" s="1"/>
  <c r="C5183" i="13" s="1"/>
  <c r="C5182" i="13"/>
  <c r="C5181" i="13"/>
  <c r="C5180" i="13"/>
  <c r="C5179" i="13"/>
  <c r="C5178" i="13"/>
  <c r="C5177" i="13" s="1"/>
  <c r="C5176" i="13" s="1"/>
  <c r="C5175" i="13"/>
  <c r="C5174" i="13"/>
  <c r="C5173" i="13"/>
  <c r="C5172" i="13"/>
  <c r="C5171" i="13"/>
  <c r="C5170" i="13"/>
  <c r="C5169" i="13" s="1"/>
  <c r="C5168" i="13"/>
  <c r="C5167" i="13"/>
  <c r="C5166" i="13"/>
  <c r="C5165" i="13"/>
  <c r="C5164" i="13"/>
  <c r="C5163" i="13" s="1"/>
  <c r="C5162" i="13" s="1"/>
  <c r="C5161" i="13"/>
  <c r="C5160" i="13"/>
  <c r="C5159" i="13"/>
  <c r="C5158" i="13"/>
  <c r="C5157" i="13"/>
  <c r="C5156" i="13" s="1"/>
  <c r="C5155" i="13" s="1"/>
  <c r="C5154" i="13"/>
  <c r="C5153" i="13"/>
  <c r="C5152" i="13"/>
  <c r="C5151" i="13"/>
  <c r="C5150" i="13"/>
  <c r="C5149" i="13" s="1"/>
  <c r="C5148" i="13" s="1"/>
  <c r="C5147" i="13"/>
  <c r="C5146" i="13"/>
  <c r="C5145" i="13"/>
  <c r="C5144" i="13"/>
  <c r="C5143" i="13"/>
  <c r="C5142" i="13" s="1"/>
  <c r="C5141" i="13" s="1"/>
  <c r="C5140" i="13"/>
  <c r="C5139" i="13"/>
  <c r="C5138" i="13"/>
  <c r="C5137" i="13"/>
  <c r="C5136" i="13"/>
  <c r="C5135" i="13" s="1"/>
  <c r="C5134" i="13" s="1"/>
  <c r="C5133" i="13"/>
  <c r="C5132" i="13"/>
  <c r="C5131" i="13"/>
  <c r="C5130" i="13"/>
  <c r="C5129" i="13"/>
  <c r="C5128" i="13" s="1"/>
  <c r="C5127" i="13" s="1"/>
  <c r="C5126" i="13"/>
  <c r="C5125" i="13"/>
  <c r="C5124" i="13"/>
  <c r="C5123" i="13"/>
  <c r="C5122" i="13"/>
  <c r="C5121" i="13" s="1"/>
  <c r="C5120" i="13" s="1"/>
  <c r="C5119" i="13"/>
  <c r="C5118" i="13"/>
  <c r="C5117" i="13"/>
  <c r="C5116" i="13"/>
  <c r="C5115" i="13"/>
  <c r="C5114" i="13"/>
  <c r="C5113" i="13" s="1"/>
  <c r="C5112" i="13"/>
  <c r="C5111" i="13"/>
  <c r="C5110" i="13"/>
  <c r="C5109" i="13"/>
  <c r="C5108" i="13"/>
  <c r="C5107" i="13"/>
  <c r="C5106" i="13" s="1"/>
  <c r="C5105" i="13"/>
  <c r="C5104" i="13"/>
  <c r="C5103" i="13"/>
  <c r="C5102" i="13"/>
  <c r="C5101" i="13"/>
  <c r="C5100" i="13" s="1"/>
  <c r="C5099" i="13" s="1"/>
  <c r="C5098" i="13"/>
  <c r="C5097" i="13"/>
  <c r="C5096" i="13"/>
  <c r="C5095" i="13" s="1"/>
  <c r="C5094" i="13"/>
  <c r="C5093" i="13" s="1"/>
  <c r="C5092" i="13" s="1"/>
  <c r="C5091" i="13"/>
  <c r="C5090" i="13"/>
  <c r="C5089" i="13"/>
  <c r="C5088" i="13"/>
  <c r="C5087" i="13"/>
  <c r="C5086" i="13" s="1"/>
  <c r="C5085" i="13" s="1"/>
  <c r="C5084" i="13"/>
  <c r="C5083" i="13"/>
  <c r="C5082" i="13"/>
  <c r="C5081" i="13"/>
  <c r="C5080" i="13"/>
  <c r="C5079" i="13" s="1"/>
  <c r="C5078" i="13" s="1"/>
  <c r="C5077" i="13"/>
  <c r="C5076" i="13"/>
  <c r="C5075" i="13"/>
  <c r="C5074" i="13"/>
  <c r="C5073" i="13"/>
  <c r="C5072" i="13" s="1"/>
  <c r="C5071" i="13" s="1"/>
  <c r="C5070" i="13"/>
  <c r="C5069" i="13"/>
  <c r="C5068" i="13"/>
  <c r="C5067" i="13"/>
  <c r="C5066" i="13"/>
  <c r="C5065" i="13" s="1"/>
  <c r="C5064" i="13" s="1"/>
  <c r="C5063" i="13"/>
  <c r="C5062" i="13"/>
  <c r="C5061" i="13"/>
  <c r="C5060" i="13"/>
  <c r="C5059" i="13"/>
  <c r="C5058" i="13" s="1"/>
  <c r="C5057" i="13" s="1"/>
  <c r="C5056" i="13"/>
  <c r="C5055" i="13"/>
  <c r="C5054" i="13"/>
  <c r="C5053" i="13"/>
  <c r="C5052" i="13"/>
  <c r="C5051" i="13"/>
  <c r="C5050" i="13" s="1"/>
  <c r="C5049" i="13"/>
  <c r="C5048" i="13"/>
  <c r="C5047" i="13"/>
  <c r="C5046" i="13"/>
  <c r="C5045" i="13"/>
  <c r="C5044" i="13" s="1"/>
  <c r="C5043" i="13" s="1"/>
  <c r="C5042" i="13"/>
  <c r="C5041" i="13"/>
  <c r="C5040" i="13"/>
  <c r="C5039" i="13"/>
  <c r="C5038" i="13"/>
  <c r="C5037" i="13" s="1"/>
  <c r="C5036" i="13" s="1"/>
  <c r="C5035" i="13"/>
  <c r="C5034" i="13"/>
  <c r="C5033" i="13"/>
  <c r="C5032" i="13"/>
  <c r="C5031" i="13"/>
  <c r="C5030" i="13" s="1"/>
  <c r="C5029" i="13" s="1"/>
  <c r="C5028" i="13"/>
  <c r="C5027" i="13"/>
  <c r="C5026" i="13"/>
  <c r="C5025" i="13"/>
  <c r="C5024" i="13"/>
  <c r="C5023" i="13" s="1"/>
  <c r="C5022" i="13" s="1"/>
  <c r="C5021" i="13"/>
  <c r="C5020" i="13"/>
  <c r="C5019" i="13"/>
  <c r="C5018" i="13"/>
  <c r="C5017" i="13"/>
  <c r="C5016" i="13" s="1"/>
  <c r="C5015" i="13" s="1"/>
  <c r="C5014" i="13"/>
  <c r="C5013" i="13"/>
  <c r="C5012" i="13"/>
  <c r="C5011" i="13"/>
  <c r="C5010" i="13"/>
  <c r="C5009" i="13" s="1"/>
  <c r="C5008" i="13" s="1"/>
  <c r="C5007" i="13"/>
  <c r="C5006" i="13"/>
  <c r="C5005" i="13"/>
  <c r="C5004" i="13"/>
  <c r="C5003" i="13"/>
  <c r="C5002" i="13" s="1"/>
  <c r="C5001" i="13" s="1"/>
  <c r="C5000" i="13"/>
  <c r="C4999" i="13"/>
  <c r="C4998" i="13"/>
  <c r="C4997" i="13"/>
  <c r="C4996" i="13"/>
  <c r="C4995" i="13" s="1"/>
  <c r="C4994" i="13" s="1"/>
  <c r="C4993" i="13"/>
  <c r="C4992" i="13"/>
  <c r="C4991" i="13"/>
  <c r="C4990" i="13"/>
  <c r="C4989" i="13"/>
  <c r="C4988" i="13" s="1"/>
  <c r="C4987" i="13" s="1"/>
  <c r="C4986" i="13"/>
  <c r="C4985" i="13"/>
  <c r="C4984" i="13"/>
  <c r="C4983" i="13"/>
  <c r="C4982" i="13"/>
  <c r="C4981" i="13" s="1"/>
  <c r="C4980" i="13" s="1"/>
  <c r="C4979" i="13"/>
  <c r="C4978" i="13"/>
  <c r="C4977" i="13"/>
  <c r="C4976" i="13"/>
  <c r="C4975" i="13"/>
  <c r="C4974" i="13" s="1"/>
  <c r="C4973" i="13" s="1"/>
  <c r="C4972" i="13"/>
  <c r="C4971" i="13"/>
  <c r="C4970" i="13"/>
  <c r="C4969" i="13"/>
  <c r="C4968" i="13"/>
  <c r="C4967" i="13" s="1"/>
  <c r="C4966" i="13" s="1"/>
  <c r="C4965" i="13"/>
  <c r="C4964" i="13"/>
  <c r="C4963" i="13"/>
  <c r="C4962" i="13"/>
  <c r="C4961" i="13"/>
  <c r="C4960" i="13" s="1"/>
  <c r="C4959" i="13" s="1"/>
  <c r="C4958" i="13"/>
  <c r="C4957" i="13"/>
  <c r="C4956" i="13"/>
  <c r="C4955" i="13"/>
  <c r="C4954" i="13"/>
  <c r="C4953" i="13" s="1"/>
  <c r="C4952" i="13" s="1"/>
  <c r="C4951" i="13"/>
  <c r="C4950" i="13"/>
  <c r="C4949" i="13"/>
  <c r="C4948" i="13"/>
  <c r="C4947" i="13"/>
  <c r="C4946" i="13"/>
  <c r="C4945" i="13" s="1"/>
  <c r="C4944" i="13"/>
  <c r="C4943" i="13"/>
  <c r="C4942" i="13"/>
  <c r="C4941" i="13"/>
  <c r="C4940" i="13"/>
  <c r="C4939" i="13" s="1"/>
  <c r="C4938" i="13" s="1"/>
  <c r="C4937" i="13"/>
  <c r="C4936" i="13"/>
  <c r="C4935" i="13"/>
  <c r="C4934" i="13"/>
  <c r="C4933" i="13"/>
  <c r="C4932" i="13" s="1"/>
  <c r="C4931" i="13" s="1"/>
  <c r="C4930" i="13"/>
  <c r="C4929" i="13"/>
  <c r="C4928" i="13"/>
  <c r="C4927" i="13"/>
  <c r="C4926" i="13"/>
  <c r="C4925" i="13" s="1"/>
  <c r="C4924" i="13" s="1"/>
  <c r="C4923" i="13"/>
  <c r="C4922" i="13"/>
  <c r="C4921" i="13"/>
  <c r="C4920" i="13"/>
  <c r="C4919" i="13"/>
  <c r="C4918" i="13" s="1"/>
  <c r="C4917" i="13" s="1"/>
  <c r="C4916" i="13"/>
  <c r="C4915" i="13"/>
  <c r="C4914" i="13"/>
  <c r="C4913" i="13"/>
  <c r="C4912" i="13"/>
  <c r="C4911" i="13" s="1"/>
  <c r="C4910" i="13" s="1"/>
  <c r="C4909" i="13" s="1"/>
  <c r="C4908" i="13"/>
  <c r="C4907" i="13"/>
  <c r="C4906" i="13" s="1"/>
  <c r="C4905" i="13" s="1"/>
  <c r="C4904" i="13" s="1"/>
  <c r="C4903" i="13" s="1"/>
  <c r="C4902" i="13"/>
  <c r="C4901" i="13"/>
  <c r="C4900" i="13"/>
  <c r="C4899" i="13"/>
  <c r="C4898" i="13"/>
  <c r="C4897" i="13" s="1"/>
  <c r="C4896" i="13" s="1"/>
  <c r="C4895" i="13"/>
  <c r="C4894" i="13"/>
  <c r="C4893" i="13"/>
  <c r="C4892" i="13"/>
  <c r="C4891" i="13"/>
  <c r="C4890" i="13" s="1"/>
  <c r="C4889" i="13" s="1"/>
  <c r="C4888" i="13"/>
  <c r="C4887" i="13"/>
  <c r="C4886" i="13"/>
  <c r="C4885" i="13"/>
  <c r="C4884" i="13"/>
  <c r="C4883" i="13"/>
  <c r="C4882" i="13" s="1"/>
  <c r="C4881" i="13"/>
  <c r="C4880" i="13"/>
  <c r="C4879" i="13"/>
  <c r="C4878" i="13"/>
  <c r="C4877" i="13"/>
  <c r="C4876" i="13" s="1"/>
  <c r="C4875" i="13" s="1"/>
  <c r="C4874" i="13"/>
  <c r="C4873" i="13"/>
  <c r="C4872" i="13"/>
  <c r="C4871" i="13"/>
  <c r="C4870" i="13"/>
  <c r="C4869" i="13" s="1"/>
  <c r="C4868" i="13" s="1"/>
  <c r="C4867" i="13"/>
  <c r="C4866" i="13"/>
  <c r="C4865" i="13"/>
  <c r="C4864" i="13"/>
  <c r="C4863" i="13"/>
  <c r="C4862" i="13" s="1"/>
  <c r="C4861" i="13" s="1"/>
  <c r="C4860" i="13"/>
  <c r="C4859" i="13"/>
  <c r="C4858" i="13"/>
  <c r="C4857" i="13"/>
  <c r="C4856" i="13"/>
  <c r="C4855" i="13" s="1"/>
  <c r="C4854" i="13" s="1"/>
  <c r="C4853" i="13"/>
  <c r="C4852" i="13"/>
  <c r="C4851" i="13"/>
  <c r="C4850" i="13"/>
  <c r="C4849" i="13"/>
  <c r="C4848" i="13" s="1"/>
  <c r="C4847" i="13" s="1"/>
  <c r="C4846" i="13"/>
  <c r="C4845" i="13"/>
  <c r="C4844" i="13"/>
  <c r="C4843" i="13"/>
  <c r="C4842" i="13"/>
  <c r="C4841" i="13" s="1"/>
  <c r="C4840" i="13" s="1"/>
  <c r="C4839" i="13"/>
  <c r="C4838" i="13"/>
  <c r="C4837" i="13"/>
  <c r="C4836" i="13"/>
  <c r="C4835" i="13"/>
  <c r="C4834" i="13" s="1"/>
  <c r="C4833" i="13" s="1"/>
  <c r="C4832" i="13"/>
  <c r="C4831" i="13"/>
  <c r="C4830" i="13"/>
  <c r="C4829" i="13"/>
  <c r="C4828" i="13"/>
  <c r="C4827" i="13" s="1"/>
  <c r="C4826" i="13" s="1"/>
  <c r="C4825" i="13"/>
  <c r="C4824" i="13"/>
  <c r="C4823" i="13"/>
  <c r="C4822" i="13"/>
  <c r="C4821" i="13"/>
  <c r="C4820" i="13" s="1"/>
  <c r="C4819" i="13" s="1"/>
  <c r="C4818" i="13"/>
  <c r="C4817" i="13"/>
  <c r="C4816" i="13"/>
  <c r="C4815" i="13"/>
  <c r="C4814" i="13"/>
  <c r="C4813" i="13" s="1"/>
  <c r="C4812" i="13" s="1"/>
  <c r="C4811" i="13"/>
  <c r="C4810" i="13"/>
  <c r="C4809" i="13"/>
  <c r="C4808" i="13"/>
  <c r="C4807" i="13"/>
  <c r="C4806" i="13" s="1"/>
  <c r="C4805" i="13" s="1"/>
  <c r="C4804" i="13"/>
  <c r="C4803" i="13"/>
  <c r="C4802" i="13"/>
  <c r="C4801" i="13"/>
  <c r="C4800" i="13"/>
  <c r="C4799" i="13" s="1"/>
  <c r="C4798" i="13" s="1"/>
  <c r="C4797" i="13"/>
  <c r="C4796" i="13"/>
  <c r="C4795" i="13"/>
  <c r="C4794" i="13"/>
  <c r="C4793" i="13"/>
  <c r="C4792" i="13" s="1"/>
  <c r="C4791" i="13" s="1"/>
  <c r="C4790" i="13"/>
  <c r="C4789" i="13"/>
  <c r="C4788" i="13"/>
  <c r="C4787" i="13"/>
  <c r="C4786" i="13"/>
  <c r="C4785" i="13" s="1"/>
  <c r="C4784" i="13" s="1"/>
  <c r="C4783" i="13"/>
  <c r="C4782" i="13"/>
  <c r="C4781" i="13"/>
  <c r="C4780" i="13"/>
  <c r="C4779" i="13"/>
  <c r="C4778" i="13"/>
  <c r="C4777" i="13" s="1"/>
  <c r="C4776" i="13"/>
  <c r="C4775" i="13"/>
  <c r="C4774" i="13"/>
  <c r="C4773" i="13"/>
  <c r="C4772" i="13"/>
  <c r="C4771" i="13" s="1"/>
  <c r="C4770" i="13" s="1"/>
  <c r="C4769" i="13"/>
  <c r="C4768" i="13"/>
  <c r="C4767" i="13"/>
  <c r="C4766" i="13"/>
  <c r="C4765" i="13"/>
  <c r="C4764" i="13" s="1"/>
  <c r="C4763" i="13" s="1"/>
  <c r="C4762" i="13"/>
  <c r="C4761" i="13"/>
  <c r="C4760" i="13"/>
  <c r="C4759" i="13"/>
  <c r="C4758" i="13"/>
  <c r="C4757" i="13" s="1"/>
  <c r="C4756" i="13" s="1"/>
  <c r="C4755" i="13"/>
  <c r="C4754" i="13"/>
  <c r="C4753" i="13"/>
  <c r="C4752" i="13"/>
  <c r="C4751" i="13"/>
  <c r="C4750" i="13" s="1"/>
  <c r="C4749" i="13" s="1"/>
  <c r="C4748" i="13"/>
  <c r="C4747" i="13"/>
  <c r="C4746" i="13"/>
  <c r="C4745" i="13"/>
  <c r="C4744" i="13"/>
  <c r="C4743" i="13" s="1"/>
  <c r="C4742" i="13" s="1"/>
  <c r="C4741" i="13"/>
  <c r="C4740" i="13"/>
  <c r="C4739" i="13"/>
  <c r="C4738" i="13"/>
  <c r="C4737" i="13"/>
  <c r="C4736" i="13" s="1"/>
  <c r="C4735" i="13" s="1"/>
  <c r="C4734" i="13"/>
  <c r="C4733" i="13"/>
  <c r="C4732" i="13"/>
  <c r="C4731" i="13"/>
  <c r="C4730" i="13" s="1"/>
  <c r="C4729" i="13" s="1"/>
  <c r="C4728" i="13" s="1"/>
  <c r="C4727" i="13"/>
  <c r="C4726" i="13"/>
  <c r="C4725" i="13"/>
  <c r="C4724" i="13"/>
  <c r="C4723" i="13"/>
  <c r="C4722" i="13" s="1"/>
  <c r="C4721" i="13" s="1"/>
  <c r="C4720" i="13"/>
  <c r="C4719" i="13"/>
  <c r="C4718" i="13"/>
  <c r="C4717" i="13"/>
  <c r="C4716" i="13"/>
  <c r="C4715" i="13"/>
  <c r="C4714" i="13" s="1"/>
  <c r="C4713" i="13"/>
  <c r="C4712" i="13"/>
  <c r="C4711" i="13"/>
  <c r="C4710" i="13"/>
  <c r="C4709" i="13"/>
  <c r="C4708" i="13" s="1"/>
  <c r="C4707" i="13" s="1"/>
  <c r="C4706" i="13"/>
  <c r="C4705" i="13"/>
  <c r="C4704" i="13"/>
  <c r="C4703" i="13"/>
  <c r="C4702" i="13"/>
  <c r="C4701" i="13" s="1"/>
  <c r="C4700" i="13" s="1"/>
  <c r="C4699" i="13"/>
  <c r="C4698" i="13"/>
  <c r="C4697" i="13"/>
  <c r="C4696" i="13"/>
  <c r="C4695" i="13"/>
  <c r="C4694" i="13" s="1"/>
  <c r="C4693" i="13" s="1"/>
  <c r="C4692" i="13"/>
  <c r="C4691" i="13"/>
  <c r="C4690" i="13"/>
  <c r="C4689" i="13"/>
  <c r="C4688" i="13"/>
  <c r="C4687" i="13" s="1"/>
  <c r="C4686" i="13" s="1"/>
  <c r="C4685" i="13"/>
  <c r="C4684" i="13"/>
  <c r="C4683" i="13"/>
  <c r="C4682" i="13"/>
  <c r="C4681" i="13"/>
  <c r="C4680" i="13" s="1"/>
  <c r="C4679" i="13" s="1"/>
  <c r="C4678" i="13"/>
  <c r="C4677" i="13"/>
  <c r="C4676" i="13"/>
  <c r="C4675" i="13"/>
  <c r="C4674" i="13"/>
  <c r="C4673" i="13" s="1"/>
  <c r="C4672" i="13" s="1"/>
  <c r="C4671" i="13"/>
  <c r="C4670" i="13"/>
  <c r="C4669" i="13"/>
  <c r="C4668" i="13"/>
  <c r="C4667" i="13"/>
  <c r="C4666" i="13" s="1"/>
  <c r="C4665" i="13" s="1"/>
  <c r="C4664" i="13"/>
  <c r="C4663" i="13"/>
  <c r="C4662" i="13"/>
  <c r="C4661" i="13"/>
  <c r="C4660" i="13"/>
  <c r="C4659" i="13" s="1"/>
  <c r="C4658" i="13" s="1"/>
  <c r="C4657" i="13"/>
  <c r="C4656" i="13"/>
  <c r="C4655" i="13"/>
  <c r="C4654" i="13"/>
  <c r="C4653" i="13"/>
  <c r="C4652" i="13" s="1"/>
  <c r="C4651" i="13"/>
  <c r="C4650" i="13"/>
  <c r="C4649" i="13"/>
  <c r="C4648" i="13"/>
  <c r="C4647" i="13"/>
  <c r="C4646" i="13"/>
  <c r="C4645" i="13" s="1"/>
  <c r="C4644" i="13" s="1"/>
  <c r="C4643" i="13" s="1"/>
  <c r="C4642" i="13"/>
  <c r="C4641" i="13"/>
  <c r="C4640" i="13"/>
  <c r="C4639" i="13"/>
  <c r="C4638" i="13" s="1"/>
  <c r="C4637" i="13" s="1"/>
  <c r="C4636" i="13"/>
  <c r="C4635" i="13"/>
  <c r="C4634" i="13"/>
  <c r="C4633" i="13"/>
  <c r="C4632" i="13"/>
  <c r="C4631" i="13" s="1"/>
  <c r="C4630" i="13" s="1"/>
  <c r="C4629" i="13"/>
  <c r="C4628" i="13"/>
  <c r="C4627" i="13"/>
  <c r="C4626" i="13"/>
  <c r="C4625" i="13"/>
  <c r="C4624" i="13" s="1"/>
  <c r="C4623" i="13" s="1"/>
  <c r="C4622" i="13"/>
  <c r="C4621" i="13"/>
  <c r="C4620" i="13"/>
  <c r="C4619" i="13"/>
  <c r="C4618" i="13"/>
  <c r="C4617" i="13" s="1"/>
  <c r="C4616" i="13" s="1"/>
  <c r="C4615" i="13"/>
  <c r="C4614" i="13"/>
  <c r="C4613" i="13"/>
  <c r="C4612" i="13"/>
  <c r="C4611" i="13"/>
  <c r="C4610" i="13" s="1"/>
  <c r="C4609" i="13" s="1"/>
  <c r="C4608" i="13"/>
  <c r="C4607" i="13"/>
  <c r="C4606" i="13"/>
  <c r="C4605" i="13"/>
  <c r="C4604" i="13"/>
  <c r="C4603" i="13" s="1"/>
  <c r="C4602" i="13" s="1"/>
  <c r="C4601" i="13"/>
  <c r="C4600" i="13"/>
  <c r="C4599" i="13"/>
  <c r="C4598" i="13"/>
  <c r="C4597" i="13"/>
  <c r="C4596" i="13" s="1"/>
  <c r="C4595" i="13" s="1"/>
  <c r="C4594" i="13"/>
  <c r="C4593" i="13"/>
  <c r="C4592" i="13"/>
  <c r="C4591" i="13"/>
  <c r="C4590" i="13"/>
  <c r="C4589" i="13" s="1"/>
  <c r="C4588" i="13" s="1"/>
  <c r="C4587" i="13" s="1"/>
  <c r="C4586" i="13"/>
  <c r="C4585" i="13"/>
  <c r="C4584" i="13"/>
  <c r="C4583" i="13"/>
  <c r="C4582" i="13" s="1"/>
  <c r="C4581" i="13" s="1"/>
  <c r="C4580" i="13"/>
  <c r="C4579" i="13"/>
  <c r="C4578" i="13"/>
  <c r="C4577" i="13"/>
  <c r="C4576" i="13"/>
  <c r="C4575" i="13"/>
  <c r="C4574" i="13" s="1"/>
  <c r="C4573" i="13"/>
  <c r="C4572" i="13"/>
  <c r="C4571" i="13"/>
  <c r="C4570" i="13"/>
  <c r="C4569" i="13"/>
  <c r="C4568" i="13" s="1"/>
  <c r="C4567" i="13" s="1"/>
  <c r="C4566" i="13"/>
  <c r="C4565" i="13"/>
  <c r="C4564" i="13"/>
  <c r="C4563" i="13"/>
  <c r="C4562" i="13"/>
  <c r="C4561" i="13" s="1"/>
  <c r="C4560" i="13" s="1"/>
  <c r="C4559" i="13"/>
  <c r="C4558" i="13"/>
  <c r="C4557" i="13"/>
  <c r="C4556" i="13"/>
  <c r="C4555" i="13"/>
  <c r="C4554" i="13" s="1"/>
  <c r="C4553" i="13" s="1"/>
  <c r="C4552" i="13"/>
  <c r="C4551" i="13"/>
  <c r="C4550" i="13"/>
  <c r="C4549" i="13"/>
  <c r="C4548" i="13"/>
  <c r="C4547" i="13" s="1"/>
  <c r="C4546" i="13" s="1"/>
  <c r="C4545" i="13"/>
  <c r="C4544" i="13" s="1"/>
  <c r="C4543" i="13"/>
  <c r="C4542" i="13"/>
  <c r="C4541" i="13"/>
  <c r="C4540" i="13" s="1"/>
  <c r="C4539" i="13" s="1"/>
  <c r="C4538" i="13"/>
  <c r="C4537" i="13"/>
  <c r="C4536" i="13"/>
  <c r="C4535" i="13"/>
  <c r="C4534" i="13"/>
  <c r="C4533" i="13" s="1"/>
  <c r="C4532" i="13" s="1"/>
  <c r="C4531" i="13"/>
  <c r="C4530" i="13"/>
  <c r="C4529" i="13"/>
  <c r="C4528" i="13"/>
  <c r="C4527" i="13"/>
  <c r="C4526" i="13" s="1"/>
  <c r="C4525" i="13" s="1"/>
  <c r="C4524" i="13"/>
  <c r="C4523" i="13"/>
  <c r="C4522" i="13"/>
  <c r="C4521" i="13" s="1"/>
  <c r="C4520" i="13" s="1"/>
  <c r="C4519" i="13" s="1"/>
  <c r="C4518" i="13" s="1"/>
  <c r="C4517" i="13"/>
  <c r="C4516" i="13"/>
  <c r="C4515" i="13"/>
  <c r="C4514" i="13"/>
  <c r="C4513" i="13"/>
  <c r="C4512" i="13" s="1"/>
  <c r="C4511" i="13" s="1"/>
  <c r="C4510" i="13"/>
  <c r="C4509" i="13"/>
  <c r="C4508" i="13"/>
  <c r="C4507" i="13"/>
  <c r="C4506" i="13"/>
  <c r="C4505" i="13" s="1"/>
  <c r="C4504" i="13" s="1"/>
  <c r="C4503" i="13" s="1"/>
  <c r="C4502" i="13"/>
  <c r="C4501" i="13"/>
  <c r="C4500" i="13"/>
  <c r="C4499" i="13"/>
  <c r="C4498" i="13" s="1"/>
  <c r="C4497" i="13" s="1"/>
  <c r="C4496" i="13"/>
  <c r="C4495" i="13"/>
  <c r="C4494" i="13"/>
  <c r="C4493" i="13"/>
  <c r="C4492" i="13"/>
  <c r="C4491" i="13" s="1"/>
  <c r="C4490" i="13" s="1"/>
  <c r="C4489" i="13"/>
  <c r="C4488" i="13"/>
  <c r="C4487" i="13"/>
  <c r="C4486" i="13"/>
  <c r="C4485" i="13"/>
  <c r="C4484" i="13" s="1"/>
  <c r="C4483" i="13" s="1"/>
  <c r="C4482" i="13"/>
  <c r="C4481" i="13"/>
  <c r="C4480" i="13"/>
  <c r="C4479" i="13"/>
  <c r="C4478" i="13"/>
  <c r="C4477" i="13" s="1"/>
  <c r="C4476" i="13" s="1"/>
  <c r="C4475" i="13"/>
  <c r="C4474" i="13"/>
  <c r="C4473" i="13"/>
  <c r="C4472" i="13"/>
  <c r="C4471" i="13"/>
  <c r="C4470" i="13"/>
  <c r="C4469" i="13" s="1"/>
  <c r="C4468" i="13"/>
  <c r="C4467" i="13"/>
  <c r="C4466" i="13"/>
  <c r="C4465" i="13"/>
  <c r="C4464" i="13"/>
  <c r="C4463" i="13"/>
  <c r="C4462" i="13" s="1"/>
  <c r="C4461" i="13"/>
  <c r="C4460" i="13"/>
  <c r="C4459" i="13"/>
  <c r="C4458" i="13"/>
  <c r="C4457" i="13"/>
  <c r="C4456" i="13" s="1"/>
  <c r="C4455" i="13" s="1"/>
  <c r="C4454" i="13"/>
  <c r="C4453" i="13"/>
  <c r="C4452" i="13"/>
  <c r="C4451" i="13"/>
  <c r="C4450" i="13"/>
  <c r="C4449" i="13" s="1"/>
  <c r="C4448" i="13" s="1"/>
  <c r="C4447" i="13"/>
  <c r="C4446" i="13"/>
  <c r="C4445" i="13"/>
  <c r="C4444" i="13"/>
  <c r="C4443" i="13"/>
  <c r="C4442" i="13" s="1"/>
  <c r="C4441" i="13" s="1"/>
  <c r="C4440" i="13"/>
  <c r="C4439" i="13"/>
  <c r="C4438" i="13"/>
  <c r="C4437" i="13"/>
  <c r="C4436" i="13"/>
  <c r="C4435" i="13" s="1"/>
  <c r="C4434" i="13" s="1"/>
  <c r="C4433" i="13"/>
  <c r="C4432" i="13"/>
  <c r="C4431" i="13"/>
  <c r="C4430" i="13"/>
  <c r="C4429" i="13"/>
  <c r="C4428" i="13" s="1"/>
  <c r="C4427" i="13" s="1"/>
  <c r="C4426" i="13"/>
  <c r="C4425" i="13"/>
  <c r="C4424" i="13"/>
  <c r="C4423" i="13"/>
  <c r="C4422" i="13"/>
  <c r="C4421" i="13" s="1"/>
  <c r="C4420" i="13" s="1"/>
  <c r="C4419" i="13"/>
  <c r="C4418" i="13"/>
  <c r="C4417" i="13"/>
  <c r="C4416" i="13"/>
  <c r="C4415" i="13"/>
  <c r="C4414" i="13"/>
  <c r="C4413" i="13" s="1"/>
  <c r="C4412" i="13"/>
  <c r="C4411" i="13"/>
  <c r="C4410" i="13"/>
  <c r="C4409" i="13"/>
  <c r="C4408" i="13"/>
  <c r="C4407" i="13" s="1"/>
  <c r="C4406" i="13" s="1"/>
  <c r="C4405" i="13"/>
  <c r="C4404" i="13"/>
  <c r="C4403" i="13"/>
  <c r="C4402" i="13"/>
  <c r="C4401" i="13"/>
  <c r="C4400" i="13" s="1"/>
  <c r="C4399" i="13" s="1"/>
  <c r="C4398" i="13"/>
  <c r="C4397" i="13"/>
  <c r="C4396" i="13"/>
  <c r="C4395" i="13"/>
  <c r="C4394" i="13"/>
  <c r="C4393" i="13" s="1"/>
  <c r="C4392" i="13" s="1"/>
  <c r="C4391" i="13"/>
  <c r="C4390" i="13"/>
  <c r="C4389" i="13"/>
  <c r="C4388" i="13"/>
  <c r="C4387" i="13"/>
  <c r="C4386" i="13" s="1"/>
  <c r="C4385" i="13" s="1"/>
  <c r="C4384" i="13"/>
  <c r="C4383" i="13"/>
  <c r="C4382" i="13"/>
  <c r="C4381" i="13"/>
  <c r="C4380" i="13"/>
  <c r="C4379" i="13" s="1"/>
  <c r="C4378" i="13" s="1"/>
  <c r="C4377" i="13"/>
  <c r="C4376" i="13"/>
  <c r="C4375" i="13"/>
  <c r="C4374" i="13"/>
  <c r="C4373" i="13"/>
  <c r="C4372" i="13" s="1"/>
  <c r="C4371" i="13" s="1"/>
  <c r="C4370" i="13"/>
  <c r="C4369" i="13"/>
  <c r="C4368" i="13"/>
  <c r="C4367" i="13"/>
  <c r="C4366" i="13"/>
  <c r="C4365" i="13" s="1"/>
  <c r="C4364" i="13" s="1"/>
  <c r="C4363" i="13"/>
  <c r="C4362" i="13"/>
  <c r="C4361" i="13"/>
  <c r="C4360" i="13"/>
  <c r="C4359" i="13"/>
  <c r="C4358" i="13"/>
  <c r="C4357" i="13" s="1"/>
  <c r="C4356" i="13"/>
  <c r="C4355" i="13"/>
  <c r="C4354" i="13"/>
  <c r="C4353" i="13"/>
  <c r="C4352" i="13"/>
  <c r="C4351" i="13" s="1"/>
  <c r="C4350" i="13" s="1"/>
  <c r="C4349" i="13"/>
  <c r="C4348" i="13"/>
  <c r="C4347" i="13"/>
  <c r="C4346" i="13"/>
  <c r="C4345" i="13"/>
  <c r="C4344" i="13" s="1"/>
  <c r="C4343" i="13" s="1"/>
  <c r="C4342" i="13"/>
  <c r="C4341" i="13"/>
  <c r="C4340" i="13"/>
  <c r="C4339" i="13"/>
  <c r="C4338" i="13"/>
  <c r="C4337" i="13" s="1"/>
  <c r="C4336" i="13" s="1"/>
  <c r="C4335" i="13"/>
  <c r="C4334" i="13"/>
  <c r="C4333" i="13"/>
  <c r="C4332" i="13"/>
  <c r="C4331" i="13"/>
  <c r="C4330" i="13" s="1"/>
  <c r="C4329" i="13" s="1"/>
  <c r="C4328" i="13"/>
  <c r="C4327" i="13"/>
  <c r="C4326" i="13"/>
  <c r="C4325" i="13"/>
  <c r="C4324" i="13"/>
  <c r="C4323" i="13" s="1"/>
  <c r="C4322" i="13" s="1"/>
  <c r="C4321" i="13"/>
  <c r="C4320" i="13"/>
  <c r="C4319" i="13"/>
  <c r="C4318" i="13" s="1"/>
  <c r="C4317" i="13"/>
  <c r="C4316" i="13" s="1"/>
  <c r="C4315" i="13"/>
  <c r="C4314" i="13"/>
  <c r="C4313" i="13"/>
  <c r="C4312" i="13"/>
  <c r="C4311" i="13"/>
  <c r="C4310" i="13"/>
  <c r="C4309" i="13" s="1"/>
  <c r="C4308" i="13" s="1"/>
  <c r="C4307" i="13"/>
  <c r="C4306" i="13"/>
  <c r="C4305" i="13"/>
  <c r="C4304" i="13"/>
  <c r="C4303" i="13"/>
  <c r="C4302" i="13" s="1"/>
  <c r="C4301" i="13" s="1"/>
  <c r="C4300" i="13" s="1"/>
  <c r="C4299" i="13"/>
  <c r="C4298" i="13"/>
  <c r="C4297" i="13"/>
  <c r="C4296" i="13"/>
  <c r="C4295" i="13"/>
  <c r="C4294" i="13" s="1"/>
  <c r="C4293" i="13"/>
  <c r="C4292" i="13"/>
  <c r="C4291" i="13"/>
  <c r="C4290" i="13"/>
  <c r="C4289" i="13" s="1"/>
  <c r="C4288" i="13" s="1"/>
  <c r="C4287" i="13" s="1"/>
  <c r="C4286" i="13"/>
  <c r="C4285" i="13"/>
  <c r="C4284" i="13"/>
  <c r="C4283" i="13"/>
  <c r="C4282" i="13"/>
  <c r="C4281" i="13" s="1"/>
  <c r="C4280" i="13" s="1"/>
  <c r="C4279" i="13"/>
  <c r="C4278" i="13" s="1"/>
  <c r="C4277" i="13"/>
  <c r="C4276" i="13"/>
  <c r="C4275" i="13"/>
  <c r="C4274" i="13" s="1"/>
  <c r="C4273" i="13" s="1"/>
  <c r="C4272" i="13"/>
  <c r="C4271" i="13"/>
  <c r="C4270" i="13"/>
  <c r="C4269" i="13"/>
  <c r="C4268" i="13"/>
  <c r="C4267" i="13" s="1"/>
  <c r="C4266" i="13" s="1"/>
  <c r="C4265" i="13" s="1"/>
  <c r="C4264" i="13"/>
  <c r="C4263" i="13"/>
  <c r="C4262" i="13"/>
  <c r="C4261" i="13"/>
  <c r="C4260" i="13" s="1"/>
  <c r="C4259" i="13" s="1"/>
  <c r="C4258" i="13" s="1"/>
  <c r="C4257" i="13"/>
  <c r="C4256" i="13"/>
  <c r="C4255" i="13"/>
  <c r="C4254" i="13"/>
  <c r="C4253" i="13" s="1"/>
  <c r="C4252" i="13" s="1"/>
  <c r="C4251" i="13"/>
  <c r="C4250" i="13"/>
  <c r="C4249" i="13"/>
  <c r="C4248" i="13"/>
  <c r="C4247" i="13"/>
  <c r="C4246" i="13" s="1"/>
  <c r="C4245" i="13" s="1"/>
  <c r="C4244" i="13"/>
  <c r="C4243" i="13"/>
  <c r="C4242" i="13"/>
  <c r="C4241" i="13"/>
  <c r="C4240" i="13"/>
  <c r="C4239" i="13" s="1"/>
  <c r="C4238" i="13" s="1"/>
  <c r="C4237" i="13"/>
  <c r="C4236" i="13"/>
  <c r="C4235" i="13"/>
  <c r="C4234" i="13"/>
  <c r="C4233" i="13"/>
  <c r="C4232" i="13" s="1"/>
  <c r="C4231" i="13"/>
  <c r="C4230" i="13"/>
  <c r="C4229" i="13"/>
  <c r="C4228" i="13"/>
  <c r="C4227" i="13"/>
  <c r="C4226" i="13"/>
  <c r="C4225" i="13" s="1"/>
  <c r="C4224" i="13" s="1"/>
  <c r="C4223" i="13" s="1"/>
  <c r="C4222" i="13"/>
  <c r="C4221" i="13"/>
  <c r="C4220" i="13"/>
  <c r="C4219" i="13"/>
  <c r="C4218" i="13" s="1"/>
  <c r="C4217" i="13" s="1"/>
  <c r="C4216" i="13"/>
  <c r="C4215" i="13"/>
  <c r="C4214" i="13"/>
  <c r="C4213" i="13"/>
  <c r="C4212" i="13"/>
  <c r="C4211" i="13" s="1"/>
  <c r="C4210" i="13" s="1"/>
  <c r="C4209" i="13"/>
  <c r="C4208" i="13"/>
  <c r="C4207" i="13"/>
  <c r="C4206" i="13"/>
  <c r="C4205" i="13"/>
  <c r="C4204" i="13" s="1"/>
  <c r="C4203" i="13" s="1"/>
  <c r="C4202" i="13"/>
  <c r="C4201" i="13"/>
  <c r="C4200" i="13"/>
  <c r="C4199" i="13"/>
  <c r="C4198" i="13"/>
  <c r="C4197" i="13" s="1"/>
  <c r="C4196" i="13" s="1"/>
  <c r="C4195" i="13"/>
  <c r="C4194" i="13"/>
  <c r="C4193" i="13"/>
  <c r="C4192" i="13"/>
  <c r="C4191" i="13"/>
  <c r="C4190" i="13" s="1"/>
  <c r="C4189" i="13" s="1"/>
  <c r="C4188" i="13"/>
  <c r="C4187" i="13"/>
  <c r="C4186" i="13"/>
  <c r="C4185" i="13"/>
  <c r="C4184" i="13"/>
  <c r="C4183" i="13" s="1"/>
  <c r="C4182" i="13" s="1"/>
  <c r="C4181" i="13" s="1"/>
  <c r="C4180" i="13"/>
  <c r="C4179" i="13"/>
  <c r="C4178" i="13"/>
  <c r="C4177" i="13"/>
  <c r="C4176" i="13" s="1"/>
  <c r="C4175" i="13" s="1"/>
  <c r="C4174" i="13"/>
  <c r="C4173" i="13"/>
  <c r="C4172" i="13"/>
  <c r="C4171" i="13"/>
  <c r="C4170" i="13"/>
  <c r="C4169" i="13" s="1"/>
  <c r="C4168" i="13" s="1"/>
  <c r="C4167" i="13"/>
  <c r="C4166" i="13"/>
  <c r="C4165" i="13"/>
  <c r="C4164" i="13" s="1"/>
  <c r="C4163" i="13" s="1"/>
  <c r="C4162" i="13" s="1"/>
  <c r="C4161" i="13" s="1"/>
  <c r="C4160" i="13"/>
  <c r="C4159" i="13"/>
  <c r="C4158" i="13"/>
  <c r="C4157" i="13"/>
  <c r="C4156" i="13"/>
  <c r="C4155" i="13" s="1"/>
  <c r="C4154" i="13" s="1"/>
  <c r="C4153" i="13"/>
  <c r="C4152" i="13"/>
  <c r="C4151" i="13"/>
  <c r="C4150" i="13"/>
  <c r="C4149" i="13"/>
  <c r="C4148" i="13" s="1"/>
  <c r="C4147" i="13" s="1"/>
  <c r="C4146" i="13"/>
  <c r="C4145" i="13"/>
  <c r="C4144" i="13"/>
  <c r="C4143" i="13"/>
  <c r="C4142" i="13"/>
  <c r="C4141" i="13" s="1"/>
  <c r="C4140" i="13" s="1"/>
  <c r="C4139" i="13"/>
  <c r="C4138" i="13" s="1"/>
  <c r="C4137" i="13"/>
  <c r="C4136" i="13"/>
  <c r="C4135" i="13"/>
  <c r="C4134" i="13"/>
  <c r="C4133" i="13" s="1"/>
  <c r="C4132" i="13"/>
  <c r="C4131" i="13"/>
  <c r="C4130" i="13"/>
  <c r="C4129" i="13"/>
  <c r="C4128" i="13"/>
  <c r="C4127" i="13"/>
  <c r="C4126" i="13" s="1"/>
  <c r="C4125" i="13"/>
  <c r="C4124" i="13"/>
  <c r="C4123" i="13"/>
  <c r="C4122" i="13"/>
  <c r="C4121" i="13"/>
  <c r="C4120" i="13" s="1"/>
  <c r="C4119" i="13" s="1"/>
  <c r="C4118" i="13"/>
  <c r="C4117" i="13"/>
  <c r="C4116" i="13"/>
  <c r="C4115" i="13"/>
  <c r="C4114" i="13"/>
  <c r="C4113" i="13"/>
  <c r="C4112" i="13" s="1"/>
  <c r="C4111" i="13"/>
  <c r="C4110" i="13"/>
  <c r="C4109" i="13"/>
  <c r="C4108" i="13"/>
  <c r="C4107" i="13"/>
  <c r="C4106" i="13" s="1"/>
  <c r="C4105" i="13" s="1"/>
  <c r="C4104" i="13"/>
  <c r="C4103" i="13"/>
  <c r="C4102" i="13"/>
  <c r="C4101" i="13"/>
  <c r="C4100" i="13"/>
  <c r="C4099" i="13" s="1"/>
  <c r="C4098" i="13" s="1"/>
  <c r="C4097" i="13"/>
  <c r="C4096" i="13"/>
  <c r="C4095" i="13"/>
  <c r="C4094" i="13"/>
  <c r="C4093" i="13"/>
  <c r="C4092" i="13" s="1"/>
  <c r="C4091" i="13" s="1"/>
  <c r="C4090" i="13"/>
  <c r="C4089" i="13"/>
  <c r="C4088" i="13"/>
  <c r="C4087" i="13"/>
  <c r="C4086" i="13"/>
  <c r="C4085" i="13" s="1"/>
  <c r="C4084" i="13" s="1"/>
  <c r="C4083" i="13"/>
  <c r="C4082" i="13"/>
  <c r="C4081" i="13"/>
  <c r="C4080" i="13"/>
  <c r="C4079" i="13"/>
  <c r="C4078" i="13"/>
  <c r="C4077" i="13" s="1"/>
  <c r="C4076" i="13"/>
  <c r="C4075" i="13"/>
  <c r="C4074" i="13"/>
  <c r="C4073" i="13"/>
  <c r="C4072" i="13"/>
  <c r="C4071" i="13"/>
  <c r="C4070" i="13" s="1"/>
  <c r="C4069" i="13"/>
  <c r="C4068" i="13"/>
  <c r="C4067" i="13"/>
  <c r="C4066" i="13"/>
  <c r="C4065" i="13"/>
  <c r="C4064" i="13" s="1"/>
  <c r="C4063" i="13" s="1"/>
  <c r="C4062" i="13"/>
  <c r="C4061" i="13"/>
  <c r="C4060" i="13"/>
  <c r="C4059" i="13"/>
  <c r="C4058" i="13"/>
  <c r="C4057" i="13" s="1"/>
  <c r="C4056" i="13" s="1"/>
  <c r="C4055" i="13"/>
  <c r="C4054" i="13"/>
  <c r="C4053" i="13"/>
  <c r="C4052" i="13"/>
  <c r="C4051" i="13"/>
  <c r="C4050" i="13" s="1"/>
  <c r="C4049" i="13" s="1"/>
  <c r="C4048" i="13"/>
  <c r="C4047" i="13"/>
  <c r="C4046" i="13"/>
  <c r="C4045" i="13"/>
  <c r="C4044" i="13"/>
  <c r="C4043" i="13" s="1"/>
  <c r="C4042" i="13" s="1"/>
  <c r="C4041" i="13"/>
  <c r="C4040" i="13"/>
  <c r="C4039" i="13"/>
  <c r="C4038" i="13"/>
  <c r="C4037" i="13"/>
  <c r="C4036" i="13" s="1"/>
  <c r="C4035" i="13" s="1"/>
  <c r="C4034" i="13"/>
  <c r="C4033" i="13"/>
  <c r="C4032" i="13"/>
  <c r="C4031" i="13"/>
  <c r="C4030" i="13"/>
  <c r="C4029" i="13" s="1"/>
  <c r="C4028" i="13" s="1"/>
  <c r="C4027" i="13"/>
  <c r="C4026" i="13"/>
  <c r="C4025" i="13"/>
  <c r="C4024" i="13"/>
  <c r="C4023" i="13"/>
  <c r="C4022" i="13"/>
  <c r="C4021" i="13" s="1"/>
  <c r="C4020" i="13"/>
  <c r="C4019" i="13"/>
  <c r="C4018" i="13"/>
  <c r="C4017" i="13"/>
  <c r="C4016" i="13"/>
  <c r="C4015" i="13" s="1"/>
  <c r="C4014" i="13" s="1"/>
  <c r="C4013" i="13"/>
  <c r="C4012" i="13"/>
  <c r="C4011" i="13"/>
  <c r="C4010" i="13"/>
  <c r="C4009" i="13"/>
  <c r="C4008" i="13" s="1"/>
  <c r="C4007" i="13" s="1"/>
  <c r="C4006" i="13"/>
  <c r="C4005" i="13"/>
  <c r="C4004" i="13"/>
  <c r="C4003" i="13"/>
  <c r="C4002" i="13"/>
  <c r="C4001" i="13" s="1"/>
  <c r="C4000" i="13" s="1"/>
  <c r="C3999" i="13"/>
  <c r="C3998" i="13"/>
  <c r="C3997" i="13"/>
  <c r="C3996" i="13"/>
  <c r="C3995" i="13"/>
  <c r="C3994" i="13" s="1"/>
  <c r="C3993" i="13" s="1"/>
  <c r="C3992" i="13"/>
  <c r="C3991" i="13"/>
  <c r="C3990" i="13"/>
  <c r="C3989" i="13"/>
  <c r="C3988" i="13"/>
  <c r="C3987" i="13" s="1"/>
  <c r="C3986" i="13" s="1"/>
  <c r="C3985" i="13"/>
  <c r="C3984" i="13"/>
  <c r="C3983" i="13"/>
  <c r="C3982" i="13"/>
  <c r="C3981" i="13"/>
  <c r="C3980" i="13" s="1"/>
  <c r="C3979" i="13" s="1"/>
  <c r="C3978" i="13"/>
  <c r="C3977" i="13"/>
  <c r="C3976" i="13"/>
  <c r="C3975" i="13"/>
  <c r="C3974" i="13"/>
  <c r="C3973" i="13" s="1"/>
  <c r="C3972" i="13" s="1"/>
  <c r="C3971" i="13"/>
  <c r="C3970" i="13"/>
  <c r="C3969" i="13"/>
  <c r="C3968" i="13"/>
  <c r="C3967" i="13"/>
  <c r="C3966" i="13"/>
  <c r="C3965" i="13" s="1"/>
  <c r="C3964" i="13"/>
  <c r="C3963" i="13"/>
  <c r="C3962" i="13"/>
  <c r="C3961" i="13"/>
  <c r="C3960" i="13"/>
  <c r="C3959" i="13" s="1"/>
  <c r="C3958" i="13" s="1"/>
  <c r="C3957" i="13"/>
  <c r="C3956" i="13"/>
  <c r="C3955" i="13"/>
  <c r="C3954" i="13"/>
  <c r="C3953" i="13" s="1"/>
  <c r="C3952" i="13" s="1"/>
  <c r="C3951" i="13" s="1"/>
  <c r="C3950" i="13"/>
  <c r="C3949" i="13"/>
  <c r="C3948" i="13"/>
  <c r="C3947" i="13"/>
  <c r="C3946" i="13"/>
  <c r="C3945" i="13" s="1"/>
  <c r="C3944" i="13" s="1"/>
  <c r="C3943" i="13"/>
  <c r="C3942" i="13"/>
  <c r="C3941" i="13"/>
  <c r="C3940" i="13"/>
  <c r="C3939" i="13"/>
  <c r="C3938" i="13" s="1"/>
  <c r="C3937" i="13" s="1"/>
  <c r="C3936" i="13" s="1"/>
  <c r="C3935" i="13"/>
  <c r="C3934" i="13"/>
  <c r="C3933" i="13"/>
  <c r="C3932" i="13"/>
  <c r="C3931" i="13" s="1"/>
  <c r="C3930" i="13" s="1"/>
  <c r="C3929" i="13"/>
  <c r="C3928" i="13"/>
  <c r="C3927" i="13"/>
  <c r="C3926" i="13"/>
  <c r="C3925" i="13"/>
  <c r="C3924" i="13" s="1"/>
  <c r="C3923" i="13" s="1"/>
  <c r="C3922" i="13"/>
  <c r="C3921" i="13"/>
  <c r="C3920" i="13"/>
  <c r="C3919" i="13"/>
  <c r="C3918" i="13"/>
  <c r="C3917" i="13" s="1"/>
  <c r="C3916" i="13" s="1"/>
  <c r="C3915" i="13"/>
  <c r="C3914" i="13"/>
  <c r="C3913" i="13" s="1"/>
  <c r="C3912" i="13"/>
  <c r="C3911" i="13"/>
  <c r="C3910" i="13"/>
  <c r="C3909" i="13" s="1"/>
  <c r="C3908" i="13"/>
  <c r="C3907" i="13"/>
  <c r="C3906" i="13"/>
  <c r="C3905" i="13"/>
  <c r="C3904" i="13"/>
  <c r="C3903" i="13" s="1"/>
  <c r="C3902" i="13" s="1"/>
  <c r="C3901" i="13"/>
  <c r="C3900" i="13" s="1"/>
  <c r="C3899" i="13"/>
  <c r="C3898" i="13"/>
  <c r="C3897" i="13"/>
  <c r="C3896" i="13" s="1"/>
  <c r="C3895" i="13" s="1"/>
  <c r="C3894" i="13"/>
  <c r="C3893" i="13" s="1"/>
  <c r="C3892" i="13"/>
  <c r="C3891" i="13"/>
  <c r="C3890" i="13"/>
  <c r="C3889" i="13" s="1"/>
  <c r="C3888" i="13" s="1"/>
  <c r="C3887" i="13"/>
  <c r="C3886" i="13"/>
  <c r="C3885" i="13"/>
  <c r="C3884" i="13"/>
  <c r="C3883" i="13"/>
  <c r="C3882" i="13" s="1"/>
  <c r="C3881" i="13" s="1"/>
  <c r="C3880" i="13"/>
  <c r="C3879" i="13"/>
  <c r="C3878" i="13"/>
  <c r="C3877" i="13"/>
  <c r="C3876" i="13"/>
  <c r="C3875" i="13" s="1"/>
  <c r="C3874" i="13" s="1"/>
  <c r="C3873" i="13"/>
  <c r="C3872" i="13"/>
  <c r="C3871" i="13"/>
  <c r="C3870" i="13"/>
  <c r="C3869" i="13"/>
  <c r="C3868" i="13" s="1"/>
  <c r="C3867" i="13" s="1"/>
  <c r="C3866" i="13"/>
  <c r="C3865" i="13"/>
  <c r="C3864" i="13"/>
  <c r="C3863" i="13"/>
  <c r="C3862" i="13"/>
  <c r="C3861" i="13" s="1"/>
  <c r="C3860" i="13" s="1"/>
  <c r="C3859" i="13" s="1"/>
  <c r="C3858" i="13"/>
  <c r="C3857" i="13"/>
  <c r="C3856" i="13"/>
  <c r="C3855" i="13"/>
  <c r="C3854" i="13" s="1"/>
  <c r="C3853" i="13" s="1"/>
  <c r="C3852" i="13"/>
  <c r="C3851" i="13"/>
  <c r="C3850" i="13"/>
  <c r="C3849" i="13"/>
  <c r="C3848" i="13"/>
  <c r="C3847" i="13" s="1"/>
  <c r="C3846" i="13" s="1"/>
  <c r="C3845" i="13"/>
  <c r="C3844" i="13"/>
  <c r="C3843" i="13"/>
  <c r="C3842" i="13"/>
  <c r="C3841" i="13"/>
  <c r="C3840" i="13"/>
  <c r="C3839" i="13" s="1"/>
  <c r="C3838" i="13"/>
  <c r="C3837" i="13"/>
  <c r="C3836" i="13"/>
  <c r="C3835" i="13"/>
  <c r="C3834" i="13"/>
  <c r="C3833" i="13"/>
  <c r="C3832" i="13" s="1"/>
  <c r="C3831" i="13"/>
  <c r="C3830" i="13"/>
  <c r="C3829" i="13"/>
  <c r="C3828" i="13"/>
  <c r="C3827" i="13"/>
  <c r="C3826" i="13" s="1"/>
  <c r="C3825" i="13" s="1"/>
  <c r="C3824" i="13"/>
  <c r="C3823" i="13"/>
  <c r="C3822" i="13"/>
  <c r="C3821" i="13"/>
  <c r="C3820" i="13"/>
  <c r="C3819" i="13" s="1"/>
  <c r="C3818" i="13" s="1"/>
  <c r="C3817" i="13" s="1"/>
  <c r="C3816" i="13"/>
  <c r="C3815" i="13"/>
  <c r="C3814" i="13" s="1"/>
  <c r="C3813" i="13" s="1"/>
  <c r="C3812" i="13" s="1"/>
  <c r="C3811" i="13" s="1"/>
  <c r="C3810" i="13"/>
  <c r="C3809" i="13"/>
  <c r="C3808" i="13"/>
  <c r="C3807" i="13"/>
  <c r="C3806" i="13"/>
  <c r="C3805" i="13" s="1"/>
  <c r="C3804" i="13" s="1"/>
  <c r="C3803" i="13"/>
  <c r="C3802" i="13"/>
  <c r="C3801" i="13"/>
  <c r="C3800" i="13"/>
  <c r="C3799" i="13"/>
  <c r="C3798" i="13" s="1"/>
  <c r="C3797" i="13" s="1"/>
  <c r="C3796" i="13"/>
  <c r="C3795" i="13"/>
  <c r="C3794" i="13"/>
  <c r="C3793" i="13"/>
  <c r="C3792" i="13"/>
  <c r="C3791" i="13" s="1"/>
  <c r="C3790" i="13" s="1"/>
  <c r="C3789" i="13"/>
  <c r="C3788" i="13"/>
  <c r="C3787" i="13"/>
  <c r="C3786" i="13"/>
  <c r="C3785" i="13"/>
  <c r="C3784" i="13" s="1"/>
  <c r="C3783" i="13" s="1"/>
  <c r="C3782" i="13"/>
  <c r="C3781" i="13"/>
  <c r="C3780" i="13"/>
  <c r="C3779" i="13"/>
  <c r="C3778" i="13"/>
  <c r="C3777" i="13" s="1"/>
  <c r="C3776" i="13" s="1"/>
  <c r="C3775" i="13"/>
  <c r="C3774" i="13"/>
  <c r="C3773" i="13"/>
  <c r="C3772" i="13" s="1"/>
  <c r="C3771" i="13"/>
  <c r="C3770" i="13" s="1"/>
  <c r="C3769" i="13" s="1"/>
  <c r="C3768" i="13"/>
  <c r="C3767" i="13"/>
  <c r="C3766" i="13"/>
  <c r="C3765" i="13"/>
  <c r="C3764" i="13"/>
  <c r="C3763" i="13" s="1"/>
  <c r="C3762" i="13" s="1"/>
  <c r="C3761" i="13"/>
  <c r="C3760" i="13"/>
  <c r="C3759" i="13"/>
  <c r="C3758" i="13"/>
  <c r="C3757" i="13"/>
  <c r="C3756" i="13" s="1"/>
  <c r="C3755" i="13" s="1"/>
  <c r="C3754" i="13"/>
  <c r="C3753" i="13"/>
  <c r="C3752" i="13"/>
  <c r="C3751" i="13"/>
  <c r="C3750" i="13"/>
  <c r="C3749" i="13" s="1"/>
  <c r="C3748" i="13" s="1"/>
  <c r="C3747" i="13"/>
  <c r="C3746" i="13"/>
  <c r="C3745" i="13"/>
  <c r="C3744" i="13"/>
  <c r="C3743" i="13"/>
  <c r="C3742" i="13" s="1"/>
  <c r="C3741" i="13" s="1"/>
  <c r="C3740" i="13"/>
  <c r="C3739" i="13"/>
  <c r="C3738" i="13"/>
  <c r="C3737" i="13"/>
  <c r="C3736" i="13"/>
  <c r="C3735" i="13" s="1"/>
  <c r="C3734" i="13" s="1"/>
  <c r="C3733" i="13"/>
  <c r="C3732" i="13"/>
  <c r="C3731" i="13"/>
  <c r="C3730" i="13"/>
  <c r="C3729" i="13"/>
  <c r="C3728" i="13"/>
  <c r="C3727" i="13" s="1"/>
  <c r="C3726" i="13"/>
  <c r="C3725" i="13"/>
  <c r="C3724" i="13"/>
  <c r="C3723" i="13"/>
  <c r="C3722" i="13"/>
  <c r="C3721" i="13"/>
  <c r="C3720" i="13" s="1"/>
  <c r="C3719" i="13"/>
  <c r="C3718" i="13"/>
  <c r="C3717" i="13"/>
  <c r="C3716" i="13"/>
  <c r="C3715" i="13"/>
  <c r="C3714" i="13" s="1"/>
  <c r="C3713" i="13" s="1"/>
  <c r="C3712" i="13"/>
  <c r="C3711" i="13"/>
  <c r="C3710" i="13"/>
  <c r="C3709" i="13"/>
  <c r="C3708" i="13"/>
  <c r="C3707" i="13" s="1"/>
  <c r="C3706" i="13" s="1"/>
  <c r="C3705" i="13"/>
  <c r="C3704" i="13"/>
  <c r="C3703" i="13"/>
  <c r="C3702" i="13"/>
  <c r="C3701" i="13"/>
  <c r="C3700" i="13" s="1"/>
  <c r="C3699" i="13" s="1"/>
  <c r="C3698" i="13"/>
  <c r="C3697" i="13"/>
  <c r="C3696" i="13"/>
  <c r="C3695" i="13"/>
  <c r="C3694" i="13"/>
  <c r="C3693" i="13" s="1"/>
  <c r="C3692" i="13" s="1"/>
  <c r="C3691" i="13"/>
  <c r="C3690" i="13"/>
  <c r="C3689" i="13"/>
  <c r="C3688" i="13"/>
  <c r="C3687" i="13"/>
  <c r="C3686" i="13" s="1"/>
  <c r="C3685" i="13" s="1"/>
  <c r="C3684" i="13"/>
  <c r="C3683" i="13"/>
  <c r="C3682" i="13"/>
  <c r="C3681" i="13"/>
  <c r="C3680" i="13"/>
  <c r="C3679" i="13" s="1"/>
  <c r="C3678" i="13" s="1"/>
  <c r="C3677" i="13"/>
  <c r="C3676" i="13"/>
  <c r="C3675" i="13"/>
  <c r="C3674" i="13"/>
  <c r="C3673" i="13"/>
  <c r="C3672" i="13" s="1"/>
  <c r="C3671" i="13" s="1"/>
  <c r="C3670" i="13"/>
  <c r="C3669" i="13"/>
  <c r="C3668" i="13"/>
  <c r="C3667" i="13"/>
  <c r="C3666" i="13"/>
  <c r="C3665" i="13"/>
  <c r="C3664" i="13" s="1"/>
  <c r="C3663" i="13"/>
  <c r="C3662" i="13"/>
  <c r="C3661" i="13"/>
  <c r="C3660" i="13"/>
  <c r="C3659" i="13"/>
  <c r="C3658" i="13" s="1"/>
  <c r="C3657" i="13" s="1"/>
  <c r="C3656" i="13"/>
  <c r="C3655" i="13"/>
  <c r="C3654" i="13"/>
  <c r="C3653" i="13"/>
  <c r="C3652" i="13"/>
  <c r="C3651" i="13" s="1"/>
  <c r="C3650" i="13" s="1"/>
  <c r="C3649" i="13"/>
  <c r="C3648" i="13"/>
  <c r="C3647" i="13"/>
  <c r="C3646" i="13"/>
  <c r="C3645" i="13"/>
  <c r="C3644" i="13" s="1"/>
  <c r="C3643" i="13" s="1"/>
  <c r="C3642" i="13"/>
  <c r="C3641" i="13"/>
  <c r="C3640" i="13"/>
  <c r="C3639" i="13"/>
  <c r="C3638" i="13"/>
  <c r="C3637" i="13" s="1"/>
  <c r="C3636" i="13" s="1"/>
  <c r="C3635" i="13"/>
  <c r="C3634" i="13" s="1"/>
  <c r="C3633" i="13"/>
  <c r="C3632" i="13"/>
  <c r="C3631" i="13"/>
  <c r="C3630" i="13" s="1"/>
  <c r="C3629" i="13" s="1"/>
  <c r="C3628" i="13"/>
  <c r="C3627" i="13"/>
  <c r="C3626" i="13"/>
  <c r="C3625" i="13"/>
  <c r="C3624" i="13"/>
  <c r="C3623" i="13" s="1"/>
  <c r="C3622" i="13" s="1"/>
  <c r="C3621" i="13"/>
  <c r="C3620" i="13"/>
  <c r="C3619" i="13"/>
  <c r="C3618" i="13"/>
  <c r="C3617" i="13"/>
  <c r="C3616" i="13" s="1"/>
  <c r="C3615" i="13" s="1"/>
  <c r="C3614" i="13"/>
  <c r="C3613" i="13"/>
  <c r="C3612" i="13"/>
  <c r="C3611" i="13"/>
  <c r="C3610" i="13"/>
  <c r="C3609" i="13" s="1"/>
  <c r="C3608" i="13" s="1"/>
  <c r="C3607" i="13"/>
  <c r="C3606" i="13"/>
  <c r="C3605" i="13"/>
  <c r="C3604" i="13"/>
  <c r="C3603" i="13"/>
  <c r="C3602" i="13" s="1"/>
  <c r="C3601" i="13" s="1"/>
  <c r="C3600" i="13"/>
  <c r="C3599" i="13"/>
  <c r="C3598" i="13"/>
  <c r="C3597" i="13"/>
  <c r="C3596" i="13"/>
  <c r="C3595" i="13" s="1"/>
  <c r="C3594" i="13" s="1"/>
  <c r="C3593" i="13"/>
  <c r="C3592" i="13"/>
  <c r="C3591" i="13"/>
  <c r="C3590" i="13"/>
  <c r="C3589" i="13"/>
  <c r="C3588" i="13"/>
  <c r="C3587" i="13" s="1"/>
  <c r="C3586" i="13"/>
  <c r="C3585" i="13"/>
  <c r="C3584" i="13"/>
  <c r="C3583" i="13"/>
  <c r="C3582" i="13"/>
  <c r="C3581" i="13"/>
  <c r="C3580" i="13" s="1"/>
  <c r="C3579" i="13"/>
  <c r="C3578" i="13"/>
  <c r="C3577" i="13"/>
  <c r="C3576" i="13"/>
  <c r="C3575" i="13"/>
  <c r="C3574" i="13" s="1"/>
  <c r="C3573" i="13" s="1"/>
  <c r="C3572" i="13" s="1"/>
  <c r="C3571" i="13"/>
  <c r="C3570" i="13"/>
  <c r="C3569" i="13"/>
  <c r="C3568" i="13"/>
  <c r="C3567" i="13" s="1"/>
  <c r="C3566" i="13" s="1"/>
  <c r="C3565" i="13"/>
  <c r="C3564" i="13"/>
  <c r="C3563" i="13"/>
  <c r="C3562" i="13"/>
  <c r="C3561" i="13"/>
  <c r="C3560" i="13" s="1"/>
  <c r="C3559" i="13" s="1"/>
  <c r="C3558" i="13"/>
  <c r="C3557" i="13"/>
  <c r="C3556" i="13"/>
  <c r="C3555" i="13"/>
  <c r="C3554" i="13"/>
  <c r="C3553" i="13" s="1"/>
  <c r="C3552" i="13" s="1"/>
  <c r="C3551" i="13"/>
  <c r="C3550" i="13"/>
  <c r="C3549" i="13"/>
  <c r="C3548" i="13"/>
  <c r="C3547" i="13" s="1"/>
  <c r="C3546" i="13" s="1"/>
  <c r="C3545" i="13" s="1"/>
  <c r="C3544" i="13"/>
  <c r="C3543" i="13"/>
  <c r="C3542" i="13"/>
  <c r="C3541" i="13"/>
  <c r="C3540" i="13"/>
  <c r="C3539" i="13" s="1"/>
  <c r="C3538" i="13" s="1"/>
  <c r="C3537" i="13"/>
  <c r="C3536" i="13"/>
  <c r="C3535" i="13"/>
  <c r="C3534" i="13" s="1"/>
  <c r="C3533" i="13"/>
  <c r="C3532" i="13" s="1"/>
  <c r="C3531" i="13" s="1"/>
  <c r="C3530" i="13"/>
  <c r="C3529" i="13"/>
  <c r="C3528" i="13"/>
  <c r="C3527" i="13" s="1"/>
  <c r="C3526" i="13"/>
  <c r="C3525" i="13" s="1"/>
  <c r="C3524" i="13" s="1"/>
  <c r="C3523" i="13"/>
  <c r="C3522" i="13"/>
  <c r="C3521" i="13"/>
  <c r="C3520" i="13"/>
  <c r="C3519" i="13"/>
  <c r="C3518" i="13" s="1"/>
  <c r="C3517" i="13" s="1"/>
  <c r="C3516" i="13"/>
  <c r="C3515" i="13"/>
  <c r="C3514" i="13"/>
  <c r="C3513" i="13"/>
  <c r="C3512" i="13"/>
  <c r="C3511" i="13" s="1"/>
  <c r="C3510" i="13" s="1"/>
  <c r="C3509" i="13"/>
  <c r="C3508" i="13"/>
  <c r="C3507" i="13"/>
  <c r="C3506" i="13"/>
  <c r="C3505" i="13"/>
  <c r="C3504" i="13" s="1"/>
  <c r="C3503" i="13" s="1"/>
  <c r="C3502" i="13"/>
  <c r="C3501" i="13"/>
  <c r="C3500" i="13"/>
  <c r="C3499" i="13"/>
  <c r="C3498" i="13"/>
  <c r="C3497" i="13" s="1"/>
  <c r="C3496" i="13" s="1"/>
  <c r="C3495" i="13" s="1"/>
  <c r="C3494" i="13"/>
  <c r="C3493" i="13"/>
  <c r="C3492" i="13"/>
  <c r="C3491" i="13"/>
  <c r="C3490" i="13" s="1"/>
  <c r="C3489" i="13" s="1"/>
  <c r="C3488" i="13"/>
  <c r="C3487" i="13"/>
  <c r="C3486" i="13"/>
  <c r="C3485" i="13"/>
  <c r="C3484" i="13"/>
  <c r="C3483" i="13" s="1"/>
  <c r="C3482" i="13" s="1"/>
  <c r="C3481" i="13"/>
  <c r="C3480" i="13"/>
  <c r="C3479" i="13"/>
  <c r="C3478" i="13"/>
  <c r="C3477" i="13"/>
  <c r="C3476" i="13"/>
  <c r="C3475" i="13" s="1"/>
  <c r="C3474" i="13"/>
  <c r="C3473" i="13"/>
  <c r="C3472" i="13"/>
  <c r="C3471" i="13"/>
  <c r="C3470" i="13"/>
  <c r="C3469" i="13" s="1"/>
  <c r="C3468" i="13" s="1"/>
  <c r="C3467" i="13"/>
  <c r="C3466" i="13"/>
  <c r="C3465" i="13"/>
  <c r="C3464" i="13"/>
  <c r="C3463" i="13"/>
  <c r="C3462" i="13" s="1"/>
  <c r="C3461" i="13" s="1"/>
  <c r="C3460" i="13"/>
  <c r="C3459" i="13"/>
  <c r="C3458" i="13"/>
  <c r="C3457" i="13"/>
  <c r="C3456" i="13"/>
  <c r="C3455" i="13" s="1"/>
  <c r="C3454" i="13" s="1"/>
  <c r="C3453" i="13" s="1"/>
  <c r="C3452" i="13"/>
  <c r="C3451" i="13"/>
  <c r="C3450" i="13"/>
  <c r="C3449" i="13"/>
  <c r="C3448" i="13"/>
  <c r="C3447" i="13" s="1"/>
  <c r="C3446" i="13"/>
  <c r="C3445" i="13"/>
  <c r="C3444" i="13"/>
  <c r="C3443" i="13"/>
  <c r="C3442" i="13"/>
  <c r="C3441" i="13" s="1"/>
  <c r="C3440" i="13" s="1"/>
  <c r="C3439" i="13"/>
  <c r="C3438" i="13"/>
  <c r="C3437" i="13"/>
  <c r="C3436" i="13"/>
  <c r="C3435" i="13"/>
  <c r="C3434" i="13" s="1"/>
  <c r="C3433" i="13" s="1"/>
  <c r="C3432" i="13"/>
  <c r="C3431" i="13"/>
  <c r="C3430" i="13"/>
  <c r="C3429" i="13" s="1"/>
  <c r="C3428" i="13" s="1"/>
  <c r="C3427" i="13" s="1"/>
  <c r="C3426" i="13" s="1"/>
  <c r="C3425" i="13"/>
  <c r="C3424" i="13"/>
  <c r="C3423" i="13"/>
  <c r="C3422" i="13"/>
  <c r="C3421" i="13"/>
  <c r="C3420" i="13" s="1"/>
  <c r="C3419" i="13" s="1"/>
  <c r="C3418" i="13"/>
  <c r="C3417" i="13"/>
  <c r="C3416" i="13"/>
  <c r="C3415" i="13"/>
  <c r="C3414" i="13"/>
  <c r="C3413" i="13" s="1"/>
  <c r="C3412" i="13" s="1"/>
  <c r="C3411" i="13"/>
  <c r="C3410" i="13"/>
  <c r="C3409" i="13"/>
  <c r="C3408" i="13"/>
  <c r="C3407" i="13" s="1"/>
  <c r="C3406" i="13" s="1"/>
  <c r="C3405" i="13" s="1"/>
  <c r="C3404" i="13"/>
  <c r="C3403" i="13"/>
  <c r="C3402" i="13"/>
  <c r="C3401" i="13"/>
  <c r="C3400" i="13"/>
  <c r="C3399" i="13" s="1"/>
  <c r="C3398" i="13" s="1"/>
  <c r="C3397" i="13"/>
  <c r="C3396" i="13"/>
  <c r="C3395" i="13"/>
  <c r="C3394" i="13"/>
  <c r="C3393" i="13"/>
  <c r="C3392" i="13" s="1"/>
  <c r="C3391" i="13" s="1"/>
  <c r="C3390" i="13"/>
  <c r="C3389" i="13"/>
  <c r="C3388" i="13"/>
  <c r="C3387" i="13"/>
  <c r="C3386" i="13"/>
  <c r="C3385" i="13" s="1"/>
  <c r="C3384" i="13"/>
  <c r="C3383" i="13"/>
  <c r="C3382" i="13"/>
  <c r="C3381" i="13"/>
  <c r="C3380" i="13"/>
  <c r="C3379" i="13"/>
  <c r="C3378" i="13" s="1"/>
  <c r="C3377" i="13" s="1"/>
  <c r="C3376" i="13"/>
  <c r="C3375" i="13"/>
  <c r="C3374" i="13"/>
  <c r="C3373" i="13"/>
  <c r="C3372" i="13"/>
  <c r="C3371" i="13" s="1"/>
  <c r="C3370" i="13" s="1"/>
  <c r="C3369" i="13"/>
  <c r="C3368" i="13"/>
  <c r="C3367" i="13"/>
  <c r="C3366" i="13"/>
  <c r="C3365" i="13"/>
  <c r="C3364" i="13"/>
  <c r="C3363" i="13" s="1"/>
  <c r="C3362" i="13"/>
  <c r="C3361" i="13"/>
  <c r="C3360" i="13"/>
  <c r="C3359" i="13"/>
  <c r="C3358" i="13"/>
  <c r="C3357" i="13"/>
  <c r="C3356" i="13" s="1"/>
  <c r="C3355" i="13"/>
  <c r="C3354" i="13"/>
  <c r="C3353" i="13"/>
  <c r="C3352" i="13"/>
  <c r="C3351" i="13"/>
  <c r="C3350" i="13" s="1"/>
  <c r="C3349" i="13" s="1"/>
  <c r="C3348" i="13"/>
  <c r="C3347" i="13"/>
  <c r="C3346" i="13"/>
  <c r="C3345" i="13"/>
  <c r="C3344" i="13"/>
  <c r="C3343" i="13" s="1"/>
  <c r="C3342" i="13" s="1"/>
  <c r="C3341" i="13"/>
  <c r="C3340" i="13"/>
  <c r="C3339" i="13"/>
  <c r="C3338" i="13"/>
  <c r="C3337" i="13"/>
  <c r="C3336" i="13" s="1"/>
  <c r="C3335" i="13" s="1"/>
  <c r="C3334" i="13"/>
  <c r="C3333" i="13"/>
  <c r="C3332" i="13"/>
  <c r="C3331" i="13"/>
  <c r="C3330" i="13"/>
  <c r="C3329" i="13" s="1"/>
  <c r="C3328" i="13" s="1"/>
  <c r="C3327" i="13"/>
  <c r="C3326" i="13"/>
  <c r="C3325" i="13"/>
  <c r="C3324" i="13"/>
  <c r="C3323" i="13"/>
  <c r="C3322" i="13" s="1"/>
  <c r="C3321" i="13" s="1"/>
  <c r="C3320" i="13"/>
  <c r="C3319" i="13"/>
  <c r="C3318" i="13"/>
  <c r="C3317" i="13"/>
  <c r="C3316" i="13"/>
  <c r="C3315" i="13" s="1"/>
  <c r="C3314" i="13" s="1"/>
  <c r="C3313" i="13"/>
  <c r="C3312" i="13"/>
  <c r="C3311" i="13"/>
  <c r="C3310" i="13"/>
  <c r="C3309" i="13"/>
  <c r="C3308" i="13" s="1"/>
  <c r="C3307" i="13" s="1"/>
  <c r="C3306" i="13"/>
  <c r="C3305" i="13"/>
  <c r="C3304" i="13"/>
  <c r="C3303" i="13"/>
  <c r="C3302" i="13"/>
  <c r="C3301" i="13"/>
  <c r="C3300" i="13" s="1"/>
  <c r="C3299" i="13"/>
  <c r="C3298" i="13"/>
  <c r="C3297" i="13"/>
  <c r="C3296" i="13"/>
  <c r="C3295" i="13"/>
  <c r="C3294" i="13" s="1"/>
  <c r="C3293" i="13" s="1"/>
  <c r="C3292" i="13"/>
  <c r="C3291" i="13"/>
  <c r="C3290" i="13"/>
  <c r="C3289" i="13"/>
  <c r="C3288" i="13"/>
  <c r="C3287" i="13" s="1"/>
  <c r="C3286" i="13" s="1"/>
  <c r="C3285" i="13"/>
  <c r="C3284" i="13"/>
  <c r="C3283" i="13"/>
  <c r="C3282" i="13"/>
  <c r="C3281" i="13"/>
  <c r="C3280" i="13" s="1"/>
  <c r="C3279" i="13" s="1"/>
  <c r="C3278" i="13"/>
  <c r="C3277" i="13"/>
  <c r="C3276" i="13"/>
  <c r="C3275" i="13"/>
  <c r="C3274" i="13"/>
  <c r="C3273" i="13" s="1"/>
  <c r="C3272" i="13"/>
  <c r="C3271" i="13"/>
  <c r="C3270" i="13"/>
  <c r="C3269" i="13" s="1"/>
  <c r="C3268" i="13"/>
  <c r="C3267" i="13"/>
  <c r="C3266" i="13" s="1"/>
  <c r="C3265" i="13" s="1"/>
  <c r="C3264" i="13"/>
  <c r="C3263" i="13"/>
  <c r="C3262" i="13"/>
  <c r="C3261" i="13"/>
  <c r="C3260" i="13"/>
  <c r="C3259" i="13" s="1"/>
  <c r="C3258" i="13" s="1"/>
  <c r="C3257" i="13"/>
  <c r="C3256" i="13"/>
  <c r="C3255" i="13"/>
  <c r="C3254" i="13"/>
  <c r="C3253" i="13"/>
  <c r="C3252" i="13" s="1"/>
  <c r="C3251" i="13" s="1"/>
  <c r="C3250" i="13"/>
  <c r="C3249" i="13"/>
  <c r="C3248" i="13"/>
  <c r="C3247" i="13"/>
  <c r="C3246" i="13"/>
  <c r="C3245" i="13" s="1"/>
  <c r="C3244" i="13" s="1"/>
  <c r="C3243" i="13"/>
  <c r="C3242" i="13"/>
  <c r="C3241" i="13"/>
  <c r="C3240" i="13"/>
  <c r="C3239" i="13"/>
  <c r="C3238" i="13" s="1"/>
  <c r="C3237" i="13" s="1"/>
  <c r="C3236" i="13"/>
  <c r="C3235" i="13"/>
  <c r="C3234" i="13"/>
  <c r="C3233" i="13"/>
  <c r="C3232" i="13"/>
  <c r="C3231" i="13" s="1"/>
  <c r="C3230" i="13" s="1"/>
  <c r="C3229" i="13"/>
  <c r="C3228" i="13"/>
  <c r="C3227" i="13"/>
  <c r="C3226" i="13"/>
  <c r="C3225" i="13"/>
  <c r="C3224" i="13" s="1"/>
  <c r="C3223" i="13" s="1"/>
  <c r="C3222" i="13" s="1"/>
  <c r="C3221" i="13"/>
  <c r="C3220" i="13"/>
  <c r="C3219" i="13"/>
  <c r="C3218" i="13"/>
  <c r="C3217" i="13"/>
  <c r="C3216" i="13" s="1"/>
  <c r="C3215" i="13"/>
  <c r="C3214" i="13"/>
  <c r="C3213" i="13"/>
  <c r="C3212" i="13"/>
  <c r="C3211" i="13"/>
  <c r="C3210" i="13" s="1"/>
  <c r="C3209" i="13" s="1"/>
  <c r="C3208" i="13" s="1"/>
  <c r="C3207" i="13"/>
  <c r="C3206" i="13"/>
  <c r="C3205" i="13"/>
  <c r="C3204" i="13"/>
  <c r="C3203" i="13" s="1"/>
  <c r="C3202" i="13" s="1"/>
  <c r="C3201" i="13"/>
  <c r="C3200" i="13"/>
  <c r="C3199" i="13"/>
  <c r="C3198" i="13"/>
  <c r="C3197" i="13"/>
  <c r="C3196" i="13" s="1"/>
  <c r="C3195" i="13" s="1"/>
  <c r="C3194" i="13"/>
  <c r="C3193" i="13"/>
  <c r="C3192" i="13"/>
  <c r="C3191" i="13"/>
  <c r="C3190" i="13"/>
  <c r="C3189" i="13" s="1"/>
  <c r="C3188" i="13" s="1"/>
  <c r="C3187" i="13"/>
  <c r="C3186" i="13"/>
  <c r="C3185" i="13"/>
  <c r="C3184" i="13"/>
  <c r="C3183" i="13"/>
  <c r="C3182" i="13" s="1"/>
  <c r="C3181" i="13" s="1"/>
  <c r="C3180" i="13"/>
  <c r="C3179" i="13"/>
  <c r="C3178" i="13"/>
  <c r="C3177" i="13"/>
  <c r="C3176" i="13"/>
  <c r="C3175" i="13" s="1"/>
  <c r="C3174" i="13" s="1"/>
  <c r="C3173" i="13"/>
  <c r="C3172" i="13"/>
  <c r="C3171" i="13"/>
  <c r="C3170" i="13"/>
  <c r="C3169" i="13" s="1"/>
  <c r="C3168" i="13"/>
  <c r="C3167" i="13" s="1"/>
  <c r="C3166" i="13"/>
  <c r="C3165" i="13"/>
  <c r="C3164" i="13"/>
  <c r="C3163" i="13"/>
  <c r="C3162" i="13" s="1"/>
  <c r="C3161" i="13" s="1"/>
  <c r="C3160" i="13" s="1"/>
  <c r="C3159" i="13"/>
  <c r="C3158" i="13"/>
  <c r="C3157" i="13"/>
  <c r="C3156" i="13"/>
  <c r="C3155" i="13"/>
  <c r="C3154" i="13" s="1"/>
  <c r="C3153" i="13" s="1"/>
  <c r="C3152" i="13"/>
  <c r="C3151" i="13"/>
  <c r="C3150" i="13"/>
  <c r="C3149" i="13"/>
  <c r="C3148" i="13"/>
  <c r="C3147" i="13" s="1"/>
  <c r="C3146" i="13" s="1"/>
  <c r="C3145" i="13"/>
  <c r="C3144" i="13"/>
  <c r="C3143" i="13"/>
  <c r="C3142" i="13"/>
  <c r="C3141" i="13"/>
  <c r="C3140" i="13" s="1"/>
  <c r="C3139" i="13" s="1"/>
  <c r="C3138" i="13"/>
  <c r="C3137" i="13"/>
  <c r="C3136" i="13"/>
  <c r="C3135" i="13"/>
  <c r="C3134" i="13"/>
  <c r="C3133" i="13" s="1"/>
  <c r="C3132" i="13" s="1"/>
  <c r="C3131" i="13" s="1"/>
  <c r="C3130" i="13"/>
  <c r="C3129" i="13"/>
  <c r="C3128" i="13"/>
  <c r="C3127" i="13"/>
  <c r="C3126" i="13" s="1"/>
  <c r="C3125" i="13" s="1"/>
  <c r="C3124" i="13"/>
  <c r="C3123" i="13"/>
  <c r="C3122" i="13"/>
  <c r="C3121" i="13"/>
  <c r="C3120" i="13"/>
  <c r="C3119" i="13" s="1"/>
  <c r="C3118" i="13" s="1"/>
  <c r="C3117" i="13"/>
  <c r="C3116" i="13"/>
  <c r="C3115" i="13"/>
  <c r="C3114" i="13"/>
  <c r="C3113" i="13"/>
  <c r="C3112" i="13"/>
  <c r="C3111" i="13" s="1"/>
  <c r="C3110" i="13"/>
  <c r="C3109" i="13"/>
  <c r="C3108" i="13"/>
  <c r="C3107" i="13"/>
  <c r="C3106" i="13"/>
  <c r="C3105" i="13" s="1"/>
  <c r="C3104" i="13" s="1"/>
  <c r="C3103" i="13"/>
  <c r="C3102" i="13"/>
  <c r="C3101" i="13"/>
  <c r="C3100" i="13"/>
  <c r="C3099" i="13"/>
  <c r="C3098" i="13" s="1"/>
  <c r="C3097" i="13" s="1"/>
  <c r="C3096" i="13"/>
  <c r="C3095" i="13"/>
  <c r="C3094" i="13"/>
  <c r="C3093" i="13"/>
  <c r="C3092" i="13"/>
  <c r="C3091" i="13" s="1"/>
  <c r="C3090" i="13" s="1"/>
  <c r="C3089" i="13" s="1"/>
  <c r="C3088" i="13"/>
  <c r="C3087" i="13"/>
  <c r="C3086" i="13"/>
  <c r="C3085" i="13"/>
  <c r="C3084" i="13"/>
  <c r="C3083" i="13" s="1"/>
  <c r="C3082" i="13"/>
  <c r="C3081" i="13"/>
  <c r="C3080" i="13"/>
  <c r="C3079" i="13"/>
  <c r="C3078" i="13"/>
  <c r="C3077" i="13" s="1"/>
  <c r="C3076" i="13" s="1"/>
  <c r="C3075" i="13"/>
  <c r="C3074" i="13"/>
  <c r="C3073" i="13"/>
  <c r="C3072" i="13" s="1"/>
  <c r="C3071" i="13" s="1"/>
  <c r="C3070" i="13" s="1"/>
  <c r="C3069" i="13" s="1"/>
  <c r="C3068" i="13"/>
  <c r="C3067" i="13"/>
  <c r="C3066" i="13"/>
  <c r="C3065" i="13"/>
  <c r="C3064" i="13"/>
  <c r="C3063" i="13" s="1"/>
  <c r="C3062" i="13" s="1"/>
  <c r="C3061" i="13"/>
  <c r="C3060" i="13"/>
  <c r="C3059" i="13"/>
  <c r="C3058" i="13"/>
  <c r="C3057" i="13"/>
  <c r="C3056" i="13" s="1"/>
  <c r="C3055" i="13" s="1"/>
  <c r="C3054" i="13"/>
  <c r="C3053" i="13"/>
  <c r="C3052" i="13"/>
  <c r="C3051" i="13"/>
  <c r="C3050" i="13"/>
  <c r="C3049" i="13"/>
  <c r="C3048" i="13" s="1"/>
  <c r="C3047" i="13"/>
  <c r="C3046" i="13"/>
  <c r="C3045" i="13"/>
  <c r="C3044" i="13"/>
  <c r="C3043" i="13"/>
  <c r="C3042" i="13" s="1"/>
  <c r="C3041" i="13" s="1"/>
  <c r="C3040" i="13"/>
  <c r="C3039" i="13"/>
  <c r="C3038" i="13"/>
  <c r="C3037" i="13"/>
  <c r="C3036" i="13"/>
  <c r="C3035" i="13" s="1"/>
  <c r="C3034" i="13" s="1"/>
  <c r="C3033" i="13"/>
  <c r="C3032" i="13"/>
  <c r="C3031" i="13"/>
  <c r="C3030" i="13"/>
  <c r="C3029" i="13"/>
  <c r="C3028" i="13" s="1"/>
  <c r="C3027" i="13" s="1"/>
  <c r="C3026" i="13"/>
  <c r="C3025" i="13"/>
  <c r="C3024" i="13"/>
  <c r="C3023" i="13"/>
  <c r="C3022" i="13"/>
  <c r="C3021" i="13" s="1"/>
  <c r="C3020" i="13" s="1"/>
  <c r="C3019" i="13"/>
  <c r="C3018" i="13"/>
  <c r="C3017" i="13"/>
  <c r="C3016" i="13"/>
  <c r="C3015" i="13"/>
  <c r="C3014" i="13" s="1"/>
  <c r="C3013" i="13" s="1"/>
  <c r="C3012" i="13"/>
  <c r="C3011" i="13"/>
  <c r="C3010" i="13"/>
  <c r="C3009" i="13"/>
  <c r="C3008" i="13"/>
  <c r="C3007" i="13" s="1"/>
  <c r="C3006" i="13" s="1"/>
  <c r="C3005" i="13"/>
  <c r="C3004" i="13"/>
  <c r="C3003" i="13"/>
  <c r="C3002" i="13"/>
  <c r="C3001" i="13"/>
  <c r="C3000" i="13" s="1"/>
  <c r="C2999" i="13" s="1"/>
  <c r="C2998" i="13"/>
  <c r="C2997" i="13"/>
  <c r="C2996" i="13"/>
  <c r="C2995" i="13"/>
  <c r="C2994" i="13"/>
  <c r="C2993" i="13" s="1"/>
  <c r="C2992" i="13" s="1"/>
  <c r="C2991" i="13"/>
  <c r="C2990" i="13"/>
  <c r="C2989" i="13"/>
  <c r="C2988" i="13"/>
  <c r="C2987" i="13"/>
  <c r="C2986" i="13" s="1"/>
  <c r="C2985" i="13" s="1"/>
  <c r="C2984" i="13"/>
  <c r="C2983" i="13"/>
  <c r="C2982" i="13"/>
  <c r="C2981" i="13"/>
  <c r="C2980" i="13"/>
  <c r="C2979" i="13" s="1"/>
  <c r="C2978" i="13" s="1"/>
  <c r="C2977" i="13"/>
  <c r="C2976" i="13"/>
  <c r="C2975" i="13"/>
  <c r="C2974" i="13"/>
  <c r="C2973" i="13"/>
  <c r="C2972" i="13" s="1"/>
  <c r="C2971" i="13" s="1"/>
  <c r="C2970" i="13"/>
  <c r="C2969" i="13"/>
  <c r="C2968" i="13"/>
  <c r="C2967" i="13"/>
  <c r="C2966" i="13"/>
  <c r="C2965" i="13" s="1"/>
  <c r="C2964" i="13" s="1"/>
  <c r="C2963" i="13"/>
  <c r="C2962" i="13"/>
  <c r="C2961" i="13"/>
  <c r="C2960" i="13"/>
  <c r="C2959" i="13"/>
  <c r="C2958" i="13" s="1"/>
  <c r="C2957" i="13" s="1"/>
  <c r="C2956" i="13"/>
  <c r="C2955" i="13"/>
  <c r="C2954" i="13"/>
  <c r="C2953" i="13"/>
  <c r="C2952" i="13"/>
  <c r="C2951" i="13" s="1"/>
  <c r="C2950" i="13" s="1"/>
  <c r="C2949" i="13"/>
  <c r="C2948" i="13"/>
  <c r="C2947" i="13"/>
  <c r="C2946" i="13"/>
  <c r="C2945" i="13"/>
  <c r="C2944" i="13"/>
  <c r="C2943" i="13" s="1"/>
  <c r="C2942" i="13"/>
  <c r="C2941" i="13"/>
  <c r="C2940" i="13"/>
  <c r="C2939" i="13"/>
  <c r="C2938" i="13"/>
  <c r="C2937" i="13" s="1"/>
  <c r="C2936" i="13" s="1"/>
  <c r="C2935" i="13"/>
  <c r="C2934" i="13"/>
  <c r="C2933" i="13"/>
  <c r="C2932" i="13"/>
  <c r="C2931" i="13"/>
  <c r="C2930" i="13" s="1"/>
  <c r="C2929" i="13" s="1"/>
  <c r="C2928" i="13"/>
  <c r="C2927" i="13"/>
  <c r="C2926" i="13"/>
  <c r="C2925" i="13"/>
  <c r="C2924" i="13"/>
  <c r="C2923" i="13" s="1"/>
  <c r="C2922" i="13" s="1"/>
  <c r="C2921" i="13"/>
  <c r="C2920" i="13"/>
  <c r="C2919" i="13"/>
  <c r="C2918" i="13"/>
  <c r="C2917" i="13"/>
  <c r="C2916" i="13" s="1"/>
  <c r="C2915" i="13" s="1"/>
  <c r="C2914" i="13"/>
  <c r="C2913" i="13"/>
  <c r="C2912" i="13"/>
  <c r="C2911" i="13"/>
  <c r="C2910" i="13"/>
  <c r="C2909" i="13" s="1"/>
  <c r="C2908" i="13" s="1"/>
  <c r="C2907" i="13"/>
  <c r="C2906" i="13"/>
  <c r="C2905" i="13"/>
  <c r="C2904" i="13" s="1"/>
  <c r="C2903" i="13" s="1"/>
  <c r="C2902" i="13" s="1"/>
  <c r="C2901" i="13" s="1"/>
  <c r="C2900" i="13"/>
  <c r="C2899" i="13"/>
  <c r="C2898" i="13"/>
  <c r="C2897" i="13"/>
  <c r="C2896" i="13"/>
  <c r="C2895" i="13" s="1"/>
  <c r="C2894" i="13" s="1"/>
  <c r="C2893" i="13"/>
  <c r="C2892" i="13"/>
  <c r="C2891" i="13"/>
  <c r="C2890" i="13"/>
  <c r="C2889" i="13"/>
  <c r="C2888" i="13" s="1"/>
  <c r="C2887" i="13" s="1"/>
  <c r="C2886" i="13"/>
  <c r="C2885" i="13"/>
  <c r="C2884" i="13"/>
  <c r="C2883" i="13"/>
  <c r="C2882" i="13"/>
  <c r="C2881" i="13" s="1"/>
  <c r="C2880" i="13" s="1"/>
  <c r="C2879" i="13"/>
  <c r="C2878" i="13"/>
  <c r="C2877" i="13"/>
  <c r="C2876" i="13"/>
  <c r="C2875" i="13"/>
  <c r="C2874" i="13" s="1"/>
  <c r="C2873" i="13" s="1"/>
  <c r="C2872" i="13"/>
  <c r="C2871" i="13"/>
  <c r="C2870" i="13"/>
  <c r="C2869" i="13"/>
  <c r="C2868" i="13"/>
  <c r="C2867" i="13" s="1"/>
  <c r="C2866" i="13" s="1"/>
  <c r="C2865" i="13"/>
  <c r="C2864" i="13"/>
  <c r="C2863" i="13"/>
  <c r="C2862" i="13"/>
  <c r="C2861" i="13"/>
  <c r="C2860" i="13"/>
  <c r="C2859" i="13" s="1"/>
  <c r="C2858" i="13"/>
  <c r="C2857" i="13"/>
  <c r="C2856" i="13"/>
  <c r="C2855" i="13"/>
  <c r="C2854" i="13"/>
  <c r="C2853" i="13"/>
  <c r="C2852" i="13" s="1"/>
  <c r="C2851" i="13"/>
  <c r="C2850" i="13"/>
  <c r="C2849" i="13"/>
  <c r="C2848" i="13"/>
  <c r="C2847" i="13"/>
  <c r="C2846" i="13" s="1"/>
  <c r="C2845" i="13" s="1"/>
  <c r="C2844" i="13" s="1"/>
  <c r="C2843" i="13"/>
  <c r="C2842" i="13"/>
  <c r="C2841" i="13"/>
  <c r="C2840" i="13"/>
  <c r="C2839" i="13" s="1"/>
  <c r="C2838" i="13" s="1"/>
  <c r="C2837" i="13"/>
  <c r="C2836" i="13"/>
  <c r="C2835" i="13"/>
  <c r="C2834" i="13"/>
  <c r="C2833" i="13"/>
  <c r="C2832" i="13"/>
  <c r="C2831" i="13" s="1"/>
  <c r="C2830" i="13"/>
  <c r="C2829" i="13"/>
  <c r="C2828" i="13"/>
  <c r="C2827" i="13"/>
  <c r="C2826" i="13"/>
  <c r="C2825" i="13"/>
  <c r="C2824" i="13" s="1"/>
  <c r="C2823" i="13"/>
  <c r="C2822" i="13"/>
  <c r="C2821" i="13"/>
  <c r="C2820" i="13"/>
  <c r="C2819" i="13"/>
  <c r="C2818" i="13" s="1"/>
  <c r="C2817" i="13" s="1"/>
  <c r="C2816" i="13"/>
  <c r="C2815" i="13"/>
  <c r="C2814" i="13"/>
  <c r="C2813" i="13"/>
  <c r="C2812" i="13"/>
  <c r="C2811" i="13" s="1"/>
  <c r="C2810" i="13" s="1"/>
  <c r="C2809" i="13"/>
  <c r="C2808" i="13"/>
  <c r="C2807" i="13"/>
  <c r="C2806" i="13"/>
  <c r="C2805" i="13"/>
  <c r="C2804" i="13" s="1"/>
  <c r="C2803" i="13" s="1"/>
  <c r="C2802" i="13"/>
  <c r="C2801" i="13"/>
  <c r="C2800" i="13"/>
  <c r="C2799" i="13"/>
  <c r="C2798" i="13"/>
  <c r="C2797" i="13" s="1"/>
  <c r="C2796" i="13" s="1"/>
  <c r="C2795" i="13"/>
  <c r="C2794" i="13"/>
  <c r="C2793" i="13"/>
  <c r="C2792" i="13"/>
  <c r="C2791" i="13"/>
  <c r="C2790" i="13" s="1"/>
  <c r="C2789" i="13" s="1"/>
  <c r="C2788" i="13"/>
  <c r="C2787" i="13"/>
  <c r="C2786" i="13"/>
  <c r="C2785" i="13"/>
  <c r="C2784" i="13"/>
  <c r="C2783" i="13" s="1"/>
  <c r="C2782" i="13" s="1"/>
  <c r="C2781" i="13"/>
  <c r="C2780" i="13"/>
  <c r="C2779" i="13"/>
  <c r="C2778" i="13"/>
  <c r="C2777" i="13"/>
  <c r="C2776" i="13" s="1"/>
  <c r="C2775" i="13" s="1"/>
  <c r="C2774" i="13"/>
  <c r="C2773" i="13"/>
  <c r="C2772" i="13"/>
  <c r="C2771" i="13"/>
  <c r="C2770" i="13"/>
  <c r="C2769" i="13"/>
  <c r="C2768" i="13" s="1"/>
  <c r="C2767" i="13"/>
  <c r="C2766" i="13"/>
  <c r="C2765" i="13"/>
  <c r="C2764" i="13"/>
  <c r="C2763" i="13"/>
  <c r="C2762" i="13" s="1"/>
  <c r="C2761" i="13" s="1"/>
  <c r="C2760" i="13" s="1"/>
  <c r="C2759" i="13"/>
  <c r="C2758" i="13"/>
  <c r="C2757" i="13"/>
  <c r="C2756" i="13"/>
  <c r="C2755" i="13" s="1"/>
  <c r="C2754" i="13" s="1"/>
  <c r="C2753" i="13"/>
  <c r="C2752" i="13"/>
  <c r="C2751" i="13"/>
  <c r="C2750" i="13"/>
  <c r="C2749" i="13"/>
  <c r="C2748" i="13" s="1"/>
  <c r="C2747" i="13" s="1"/>
  <c r="C2746" i="13"/>
  <c r="C2745" i="13"/>
  <c r="C2744" i="13"/>
  <c r="C2743" i="13"/>
  <c r="C2742" i="13"/>
  <c r="C2741" i="13"/>
  <c r="C2740" i="13" s="1"/>
  <c r="C2739" i="13"/>
  <c r="C2738" i="13"/>
  <c r="C2737" i="13"/>
  <c r="C2736" i="13"/>
  <c r="C2735" i="13"/>
  <c r="C2734" i="13" s="1"/>
  <c r="C2733" i="13" s="1"/>
  <c r="C2732" i="13"/>
  <c r="C2731" i="13"/>
  <c r="C2730" i="13"/>
  <c r="C2729" i="13"/>
  <c r="C2728" i="13"/>
  <c r="C2727" i="13" s="1"/>
  <c r="C2726" i="13" s="1"/>
  <c r="C2725" i="13"/>
  <c r="C2724" i="13"/>
  <c r="C2723" i="13"/>
  <c r="C2722" i="13"/>
  <c r="C2721" i="13"/>
  <c r="C2720" i="13" s="1"/>
  <c r="C2719" i="13" s="1"/>
  <c r="C2718" i="13" s="1"/>
  <c r="C2717" i="13"/>
  <c r="C2716" i="13"/>
  <c r="C2715" i="13"/>
  <c r="C2714" i="13"/>
  <c r="C2713" i="13"/>
  <c r="C2712" i="13" s="1"/>
  <c r="C2711" i="13"/>
  <c r="C2710" i="13"/>
  <c r="C2709" i="13"/>
  <c r="C2708" i="13"/>
  <c r="C2707" i="13"/>
  <c r="C2706" i="13" s="1"/>
  <c r="C2705" i="13" s="1"/>
  <c r="C2704" i="13"/>
  <c r="C2703" i="13"/>
  <c r="C2702" i="13"/>
  <c r="C2701" i="13"/>
  <c r="C2700" i="13"/>
  <c r="C2699" i="13" s="1"/>
  <c r="C2698" i="13" s="1"/>
  <c r="C2697" i="13"/>
  <c r="C2696" i="13"/>
  <c r="C2695" i="13"/>
  <c r="C2694" i="13"/>
  <c r="C2693" i="13"/>
  <c r="C2692" i="13" s="1"/>
  <c r="C2691" i="13" s="1"/>
  <c r="C2690" i="13"/>
  <c r="C2689" i="13"/>
  <c r="C2688" i="13"/>
  <c r="C2687" i="13" s="1"/>
  <c r="C2686" i="13" s="1"/>
  <c r="C2685" i="13" s="1"/>
  <c r="C2684" i="13" s="1"/>
  <c r="C2683" i="13"/>
  <c r="C2682" i="13"/>
  <c r="C2681" i="13"/>
  <c r="C2680" i="13"/>
  <c r="C2679" i="13"/>
  <c r="C2678" i="13" s="1"/>
  <c r="C2677" i="13" s="1"/>
  <c r="C2676" i="13"/>
  <c r="C2675" i="13"/>
  <c r="C2674" i="13"/>
  <c r="C2673" i="13"/>
  <c r="C2672" i="13"/>
  <c r="C2671" i="13" s="1"/>
  <c r="C2670" i="13" s="1"/>
  <c r="C2669" i="13"/>
  <c r="C2668" i="13"/>
  <c r="C2667" i="13"/>
  <c r="C2666" i="13"/>
  <c r="C2665" i="13"/>
  <c r="C2664" i="13"/>
  <c r="C2663" i="13" s="1"/>
  <c r="C2662" i="13"/>
  <c r="C2661" i="13"/>
  <c r="C2660" i="13"/>
  <c r="C2659" i="13"/>
  <c r="C2658" i="13"/>
  <c r="C2657" i="13"/>
  <c r="C2656" i="13" s="1"/>
  <c r="C2655" i="13"/>
  <c r="C2654" i="13"/>
  <c r="C2653" i="13"/>
  <c r="C2652" i="13"/>
  <c r="C2651" i="13"/>
  <c r="C2650" i="13" s="1"/>
  <c r="C2649" i="13" s="1"/>
  <c r="C2648" i="13"/>
  <c r="C2647" i="13"/>
  <c r="C2646" i="13"/>
  <c r="C2645" i="13"/>
  <c r="C2644" i="13"/>
  <c r="C2643" i="13" s="1"/>
  <c r="C2642" i="13" s="1"/>
  <c r="C2641" i="13"/>
  <c r="C2640" i="13"/>
  <c r="C2639" i="13"/>
  <c r="C2638" i="13"/>
  <c r="C2637" i="13"/>
  <c r="C2636" i="13" s="1"/>
  <c r="C2635" i="13" s="1"/>
  <c r="C2634" i="13"/>
  <c r="C2633" i="13"/>
  <c r="C2632" i="13"/>
  <c r="C2631" i="13"/>
  <c r="C2630" i="13"/>
  <c r="C2629" i="13" s="1"/>
  <c r="C2628" i="13" s="1"/>
  <c r="C2627" i="13"/>
  <c r="C2626" i="13"/>
  <c r="C2625" i="13"/>
  <c r="C2624" i="13"/>
  <c r="C2623" i="13"/>
  <c r="C2622" i="13" s="1"/>
  <c r="C2621" i="13" s="1"/>
  <c r="C2620" i="13"/>
  <c r="C2619" i="13"/>
  <c r="C2618" i="13"/>
  <c r="C2617" i="13"/>
  <c r="C2616" i="13"/>
  <c r="C2615" i="13" s="1"/>
  <c r="C2614" i="13" s="1"/>
  <c r="C2613" i="13"/>
  <c r="C2612" i="13"/>
  <c r="C2611" i="13"/>
  <c r="C2610" i="13"/>
  <c r="C2609" i="13"/>
  <c r="C2608" i="13"/>
  <c r="C2607" i="13" s="1"/>
  <c r="C2606" i="13"/>
  <c r="C2605" i="13"/>
  <c r="C2604" i="13"/>
  <c r="C2603" i="13"/>
  <c r="C2602" i="13"/>
  <c r="C2601" i="13"/>
  <c r="C2600" i="13" s="1"/>
  <c r="C2599" i="13"/>
  <c r="C2598" i="13"/>
  <c r="C2597" i="13"/>
  <c r="C2596" i="13"/>
  <c r="C2595" i="13"/>
  <c r="C2594" i="13" s="1"/>
  <c r="C2593" i="13" s="1"/>
  <c r="C2592" i="13"/>
  <c r="C2591" i="13"/>
  <c r="C2590" i="13"/>
  <c r="C2589" i="13"/>
  <c r="C2588" i="13"/>
  <c r="C2587" i="13" s="1"/>
  <c r="C2586" i="13" s="1"/>
  <c r="C2585" i="13"/>
  <c r="C2584" i="13"/>
  <c r="C2583" i="13"/>
  <c r="C2582" i="13"/>
  <c r="C2581" i="13"/>
  <c r="C2580" i="13" s="1"/>
  <c r="C2579" i="13" s="1"/>
  <c r="C2578" i="13"/>
  <c r="C2577" i="13"/>
  <c r="C2576" i="13"/>
  <c r="C2575" i="13"/>
  <c r="C2574" i="13"/>
  <c r="C2573" i="13" s="1"/>
  <c r="C2572" i="13" s="1"/>
  <c r="C2571" i="13"/>
  <c r="C2570" i="13"/>
  <c r="C2569" i="13"/>
  <c r="C2568" i="13"/>
  <c r="C2567" i="13"/>
  <c r="C2566" i="13" s="1"/>
  <c r="C2565" i="13" s="1"/>
  <c r="C2564" i="13"/>
  <c r="C2563" i="13"/>
  <c r="C2562" i="13"/>
  <c r="C2561" i="13"/>
  <c r="C2560" i="13"/>
  <c r="C2559" i="13" s="1"/>
  <c r="C2558" i="13" s="1"/>
  <c r="C2557" i="13"/>
  <c r="C2556" i="13"/>
  <c r="C2555" i="13"/>
  <c r="C2554" i="13"/>
  <c r="C2553" i="13"/>
  <c r="C2552" i="13" s="1"/>
  <c r="C2551" i="13" s="1"/>
  <c r="C2550" i="13"/>
  <c r="C2549" i="13"/>
  <c r="C2548" i="13"/>
  <c r="C2547" i="13"/>
  <c r="C2546" i="13"/>
  <c r="C2545" i="13"/>
  <c r="C2544" i="13" s="1"/>
  <c r="C2543" i="13"/>
  <c r="C2542" i="13"/>
  <c r="C2541" i="13"/>
  <c r="C2540" i="13"/>
  <c r="C2539" i="13" s="1"/>
  <c r="C2538" i="13" s="1"/>
  <c r="C2537" i="13" s="1"/>
  <c r="C2536" i="13"/>
  <c r="C2535" i="13"/>
  <c r="C2534" i="13"/>
  <c r="C2533" i="13"/>
  <c r="C2532" i="13"/>
  <c r="C2531" i="13" s="1"/>
  <c r="C2530" i="13" s="1"/>
  <c r="C2529" i="13"/>
  <c r="C2528" i="13"/>
  <c r="C2527" i="13"/>
  <c r="C2526" i="13"/>
  <c r="C2525" i="13"/>
  <c r="C2524" i="13" s="1"/>
  <c r="C2523" i="13" s="1"/>
  <c r="C2522" i="13"/>
  <c r="C2521" i="13"/>
  <c r="C2520" i="13"/>
  <c r="C2519" i="13"/>
  <c r="C2518" i="13"/>
  <c r="C2517" i="13" s="1"/>
  <c r="C2516" i="13" s="1"/>
  <c r="C2515" i="13"/>
  <c r="C2514" i="13"/>
  <c r="C2513" i="13"/>
  <c r="C2512" i="13"/>
  <c r="C2511" i="13"/>
  <c r="C2510" i="13" s="1"/>
  <c r="C2509" i="13" s="1"/>
  <c r="C2508" i="13"/>
  <c r="C2507" i="13"/>
  <c r="C2506" i="13"/>
  <c r="C2505" i="13"/>
  <c r="C2504" i="13"/>
  <c r="C2503" i="13" s="1"/>
  <c r="C2502" i="13" s="1"/>
  <c r="C2501" i="13"/>
  <c r="C2500" i="13"/>
  <c r="C2499" i="13"/>
  <c r="C2498" i="13"/>
  <c r="C2497" i="13"/>
  <c r="C2496" i="13" s="1"/>
  <c r="C2495" i="13" s="1"/>
  <c r="C2494" i="13"/>
  <c r="C2493" i="13"/>
  <c r="C2492" i="13" s="1"/>
  <c r="C2491" i="13"/>
  <c r="C2490" i="13"/>
  <c r="C2489" i="13" s="1"/>
  <c r="C2488" i="13" s="1"/>
  <c r="C2487" i="13"/>
  <c r="C2486" i="13"/>
  <c r="C2485" i="13"/>
  <c r="C2484" i="13"/>
  <c r="C2483" i="13"/>
  <c r="C2482" i="13" s="1"/>
  <c r="C2481" i="13" s="1"/>
  <c r="C2480" i="13"/>
  <c r="C2479" i="13"/>
  <c r="C2478" i="13"/>
  <c r="C2477" i="13"/>
  <c r="C2476" i="13"/>
  <c r="C2475" i="13" s="1"/>
  <c r="C2474" i="13" s="1"/>
  <c r="C2473" i="13" s="1"/>
  <c r="C2472" i="13"/>
  <c r="C2471" i="13"/>
  <c r="C2470" i="13"/>
  <c r="C2469" i="13"/>
  <c r="C2468" i="13" s="1"/>
  <c r="C2467" i="13" s="1"/>
  <c r="C2466" i="13"/>
  <c r="C2465" i="13"/>
  <c r="C2464" i="13"/>
  <c r="C2463" i="13"/>
  <c r="C2462" i="13"/>
  <c r="C2461" i="13" s="1"/>
  <c r="C2460" i="13" s="1"/>
  <c r="C2459" i="13"/>
  <c r="C2458" i="13"/>
  <c r="C2457" i="13"/>
  <c r="C2456" i="13"/>
  <c r="C2455" i="13"/>
  <c r="C2454" i="13" s="1"/>
  <c r="C2453" i="13" s="1"/>
  <c r="C2452" i="13" s="1"/>
  <c r="C2451" i="13"/>
  <c r="C2450" i="13"/>
  <c r="C2449" i="13"/>
  <c r="C2448" i="13"/>
  <c r="C2447" i="13" s="1"/>
  <c r="C2446" i="13" s="1"/>
  <c r="C2445" i="13"/>
  <c r="C2444" i="13"/>
  <c r="C2443" i="13"/>
  <c r="C2442" i="13"/>
  <c r="C2441" i="13"/>
  <c r="C2440" i="13" s="1"/>
  <c r="C2439" i="13" s="1"/>
  <c r="C2438" i="13"/>
  <c r="C2437" i="13"/>
  <c r="C2436" i="13"/>
  <c r="C2435" i="13"/>
  <c r="C2434" i="13"/>
  <c r="C2433" i="13"/>
  <c r="C2432" i="13"/>
  <c r="C2431" i="13"/>
  <c r="C2430" i="13"/>
  <c r="C2429" i="13"/>
  <c r="C2428" i="13"/>
  <c r="C2427" i="13"/>
  <c r="C2426" i="13" s="1"/>
  <c r="C2425" i="13" s="1"/>
  <c r="C2424" i="13"/>
  <c r="C2423" i="13"/>
  <c r="C2422" i="13"/>
  <c r="C2421" i="13"/>
  <c r="C2420" i="13"/>
  <c r="C2419" i="13" s="1"/>
  <c r="C2418" i="13" s="1"/>
  <c r="C2417" i="13"/>
  <c r="C2416" i="13"/>
  <c r="C2415" i="13"/>
  <c r="C2414" i="13"/>
  <c r="C2413" i="13"/>
  <c r="C2412" i="13"/>
  <c r="C2411" i="13" s="1"/>
  <c r="C2410" i="13"/>
  <c r="C2409" i="13"/>
  <c r="C2408" i="13"/>
  <c r="C2407" i="13"/>
  <c r="C2406" i="13"/>
  <c r="C2405" i="13" s="1"/>
  <c r="C2404" i="13" s="1"/>
  <c r="C2403" i="13"/>
  <c r="C2402" i="13"/>
  <c r="C2401" i="13"/>
  <c r="C2400" i="13"/>
  <c r="C2399" i="13"/>
  <c r="C2398" i="13" s="1"/>
  <c r="C2397" i="13" s="1"/>
  <c r="C2396" i="13" s="1"/>
  <c r="C2395" i="13"/>
  <c r="C2394" i="13"/>
  <c r="C2393" i="13"/>
  <c r="C2392" i="13"/>
  <c r="C2391" i="13" s="1"/>
  <c r="C2390" i="13" s="1"/>
  <c r="C2389" i="13"/>
  <c r="C2388" i="13"/>
  <c r="C2387" i="13"/>
  <c r="C2386" i="13"/>
  <c r="C2385" i="13"/>
  <c r="C2384" i="13" s="1"/>
  <c r="C2383" i="13" s="1"/>
  <c r="C2382" i="13"/>
  <c r="C2381" i="13"/>
  <c r="C2380" i="13"/>
  <c r="C2379" i="13"/>
  <c r="C2378" i="13"/>
  <c r="C2377" i="13" s="1"/>
  <c r="C2376" i="13" s="1"/>
  <c r="C2375" i="13"/>
  <c r="C2374" i="13"/>
  <c r="C2373" i="13"/>
  <c r="C2372" i="13"/>
  <c r="C2371" i="13"/>
  <c r="C2370" i="13" s="1"/>
  <c r="C2369" i="13" s="1"/>
  <c r="C2368" i="13"/>
  <c r="C2367" i="13"/>
  <c r="C2366" i="13"/>
  <c r="C2365" i="13"/>
  <c r="C2364" i="13"/>
  <c r="C2363" i="13" s="1"/>
  <c r="C2362" i="13" s="1"/>
  <c r="C2361" i="13"/>
  <c r="C2360" i="13"/>
  <c r="C2359" i="13"/>
  <c r="C2358" i="13"/>
  <c r="C2357" i="13"/>
  <c r="C2356" i="13" s="1"/>
  <c r="C2355" i="13" s="1"/>
  <c r="C2354" i="13" s="1"/>
  <c r="C2353" i="13"/>
  <c r="C2352" i="13"/>
  <c r="C2351" i="13"/>
  <c r="C2350" i="13"/>
  <c r="C2349" i="13"/>
  <c r="C2348" i="13" s="1"/>
  <c r="C2347" i="13"/>
  <c r="C2346" i="13"/>
  <c r="C2345" i="13"/>
  <c r="C2344" i="13"/>
  <c r="C2343" i="13"/>
  <c r="C2342" i="13" s="1"/>
  <c r="C2341" i="13" s="1"/>
  <c r="C2340" i="13"/>
  <c r="C2339" i="13"/>
  <c r="C2338" i="13"/>
  <c r="C2337" i="13" s="1"/>
  <c r="C2336" i="13" s="1"/>
  <c r="C2335" i="13" s="1"/>
  <c r="C2334" i="13" s="1"/>
  <c r="C2333" i="13"/>
  <c r="C2332" i="13"/>
  <c r="C2331" i="13"/>
  <c r="C2330" i="13"/>
  <c r="C2329" i="13"/>
  <c r="C2328" i="13" s="1"/>
  <c r="C2327" i="13" s="1"/>
  <c r="C2326" i="13"/>
  <c r="C2325" i="13"/>
  <c r="C2324" i="13"/>
  <c r="C2323" i="13"/>
  <c r="C2322" i="13"/>
  <c r="C2321" i="13" s="1"/>
  <c r="C2320" i="13" s="1"/>
  <c r="C2319" i="13"/>
  <c r="C2318" i="13"/>
  <c r="C2317" i="13"/>
  <c r="C2316" i="13"/>
  <c r="C2315" i="13"/>
  <c r="C2314" i="13" s="1"/>
  <c r="C2313" i="13" s="1"/>
  <c r="C2312" i="13"/>
  <c r="C2311" i="13" s="1"/>
  <c r="C2310" i="13"/>
  <c r="C2309" i="13"/>
  <c r="C2308" i="13"/>
  <c r="C2307" i="13" s="1"/>
  <c r="C2306" i="13" s="1"/>
  <c r="C2305" i="13"/>
  <c r="C2304" i="13"/>
  <c r="C2303" i="13"/>
  <c r="C2302" i="13"/>
  <c r="C2301" i="13"/>
  <c r="C2300" i="13" s="1"/>
  <c r="C2299" i="13" s="1"/>
  <c r="C2298" i="13"/>
  <c r="C2297" i="13"/>
  <c r="C2296" i="13"/>
  <c r="C2295" i="13"/>
  <c r="C2294" i="13"/>
  <c r="C2293" i="13"/>
  <c r="C2292" i="13" s="1"/>
  <c r="C2291" i="13"/>
  <c r="C2290" i="13"/>
  <c r="C2289" i="13"/>
  <c r="C2288" i="13"/>
  <c r="C2287" i="13"/>
  <c r="C2286" i="13" s="1"/>
  <c r="C2285" i="13" s="1"/>
  <c r="C2284" i="13"/>
  <c r="C2283" i="13"/>
  <c r="C2282" i="13"/>
  <c r="C2281" i="13"/>
  <c r="C2280" i="13"/>
  <c r="C2279" i="13" s="1"/>
  <c r="C2278" i="13" s="1"/>
  <c r="C2277" i="13"/>
  <c r="C2276" i="13"/>
  <c r="C2275" i="13"/>
  <c r="C2274" i="13"/>
  <c r="C2273" i="13"/>
  <c r="C2272" i="13" s="1"/>
  <c r="C2271" i="13" s="1"/>
  <c r="C2270" i="13"/>
  <c r="C2269" i="13"/>
  <c r="C2268" i="13"/>
  <c r="C2267" i="13"/>
  <c r="C2266" i="13"/>
  <c r="C2265" i="13"/>
  <c r="C2264" i="13"/>
  <c r="C2263" i="13"/>
  <c r="C2262" i="13"/>
  <c r="C2261" i="13"/>
  <c r="C2260" i="13"/>
  <c r="C2259" i="13"/>
  <c r="C2258" i="13" s="1"/>
  <c r="C2257" i="13" s="1"/>
  <c r="C2256" i="13"/>
  <c r="C2255" i="13"/>
  <c r="C2254" i="13"/>
  <c r="C2253" i="13"/>
  <c r="C2252" i="13"/>
  <c r="C2251" i="13" s="1"/>
  <c r="C2250" i="13" s="1"/>
  <c r="C2249" i="13"/>
  <c r="C2248" i="13"/>
  <c r="C2247" i="13"/>
  <c r="C2246" i="13"/>
  <c r="C2245" i="13"/>
  <c r="C2244" i="13"/>
  <c r="C2243" i="13" s="1"/>
  <c r="C2242" i="13"/>
  <c r="C2241" i="13"/>
  <c r="C2240" i="13"/>
  <c r="C2239" i="13"/>
  <c r="C2238" i="13"/>
  <c r="C2237" i="13" s="1"/>
  <c r="C2236" i="13" s="1"/>
  <c r="C2235" i="13"/>
  <c r="C2234" i="13"/>
  <c r="C2233" i="13"/>
  <c r="C2232" i="13"/>
  <c r="C2231" i="13"/>
  <c r="C2230" i="13" s="1"/>
  <c r="C2229" i="13" s="1"/>
  <c r="C2228" i="13"/>
  <c r="C2227" i="13"/>
  <c r="C2226" i="13"/>
  <c r="C2225" i="13"/>
  <c r="C2224" i="13"/>
  <c r="C2223" i="13" s="1"/>
  <c r="C2222" i="13" s="1"/>
  <c r="C2221" i="13"/>
  <c r="C2220" i="13"/>
  <c r="C2219" i="13"/>
  <c r="C2218" i="13"/>
  <c r="C2217" i="13"/>
  <c r="C2216" i="13"/>
  <c r="C2215" i="13" s="1"/>
  <c r="C2214" i="13"/>
  <c r="C2213" i="13"/>
  <c r="C2212" i="13"/>
  <c r="C2211" i="13"/>
  <c r="C2210" i="13"/>
  <c r="C2209" i="13" s="1"/>
  <c r="C2208" i="13" s="1"/>
  <c r="C2207" i="13"/>
  <c r="C2206" i="13"/>
  <c r="C2205" i="13"/>
  <c r="C2204" i="13"/>
  <c r="C2203" i="13"/>
  <c r="C2202" i="13" s="1"/>
  <c r="C2201" i="13" s="1"/>
  <c r="C2200" i="13"/>
  <c r="C2199" i="13"/>
  <c r="C2198" i="13"/>
  <c r="C2197" i="13"/>
  <c r="C2196" i="13"/>
  <c r="C2195" i="13" s="1"/>
  <c r="C2194" i="13" s="1"/>
  <c r="C2193" i="13"/>
  <c r="C2192" i="13"/>
  <c r="C2191" i="13"/>
  <c r="C2190" i="13"/>
  <c r="C2189" i="13"/>
  <c r="C2188" i="13" s="1"/>
  <c r="C2187" i="13" s="1"/>
  <c r="C2186" i="13"/>
  <c r="C2185" i="13"/>
  <c r="C2184" i="13"/>
  <c r="C2183" i="13"/>
  <c r="C2182" i="13"/>
  <c r="C2181" i="13"/>
  <c r="C2180" i="13" s="1"/>
  <c r="C2179" i="13"/>
  <c r="C2178" i="13"/>
  <c r="C2177" i="13"/>
  <c r="C2176" i="13"/>
  <c r="C2175" i="13"/>
  <c r="C2174" i="13" s="1"/>
  <c r="C2173" i="13" s="1"/>
  <c r="C2172" i="13"/>
  <c r="C2171" i="13"/>
  <c r="C2170" i="13"/>
  <c r="C2169" i="13"/>
  <c r="C2168" i="13"/>
  <c r="C2167" i="13" s="1"/>
  <c r="C2166" i="13" s="1"/>
  <c r="C2165" i="13"/>
  <c r="C2164" i="13"/>
  <c r="C2163" i="13"/>
  <c r="C2162" i="13"/>
  <c r="C2161" i="13"/>
  <c r="C2160" i="13" s="1"/>
  <c r="C2159" i="13" s="1"/>
  <c r="C2158" i="13"/>
  <c r="C2157" i="13"/>
  <c r="C2156" i="13"/>
  <c r="C2155" i="13"/>
  <c r="C2154" i="13"/>
  <c r="C2153" i="13"/>
  <c r="C2152" i="13"/>
  <c r="C2151" i="13"/>
  <c r="C2150" i="13"/>
  <c r="C2149" i="13"/>
  <c r="C2148" i="13"/>
  <c r="C2147" i="13"/>
  <c r="C2146" i="13" s="1"/>
  <c r="C2145" i="13" s="1"/>
  <c r="C2144" i="13"/>
  <c r="C2143" i="13"/>
  <c r="C2142" i="13"/>
  <c r="C2141" i="13"/>
  <c r="C2140" i="13"/>
  <c r="C2139" i="13" s="1"/>
  <c r="C2138" i="13" s="1"/>
  <c r="C2137" i="13"/>
  <c r="C2136" i="13"/>
  <c r="C2135" i="13"/>
  <c r="C2134" i="13"/>
  <c r="C2133" i="13"/>
  <c r="C2132" i="13"/>
  <c r="C2131" i="13" s="1"/>
  <c r="C2130" i="13"/>
  <c r="C2129" i="13"/>
  <c r="C2128" i="13"/>
  <c r="C2127" i="13"/>
  <c r="C2126" i="13" s="1"/>
  <c r="C2125" i="13" s="1"/>
  <c r="C2124" i="13" s="1"/>
  <c r="C2123" i="13"/>
  <c r="C2122" i="13"/>
  <c r="C2121" i="13"/>
  <c r="C2120" i="13"/>
  <c r="C2119" i="13"/>
  <c r="C2118" i="13" s="1"/>
  <c r="C2117" i="13" s="1"/>
  <c r="C2116" i="13"/>
  <c r="C2115" i="13"/>
  <c r="C2114" i="13"/>
  <c r="C2113" i="13"/>
  <c r="C2112" i="13"/>
  <c r="C2111" i="13" s="1"/>
  <c r="C2110" i="13" s="1"/>
  <c r="C2109" i="13" s="1"/>
  <c r="C2108" i="13"/>
  <c r="C2107" i="13"/>
  <c r="C2106" i="13"/>
  <c r="C2105" i="13"/>
  <c r="C2104" i="13"/>
  <c r="C2103" i="13" s="1"/>
  <c r="C2102" i="13"/>
  <c r="C2101" i="13"/>
  <c r="C2100" i="13"/>
  <c r="C2099" i="13"/>
  <c r="C2098" i="13"/>
  <c r="C2097" i="13" s="1"/>
  <c r="C2096" i="13" s="1"/>
  <c r="C2095" i="13"/>
  <c r="C2094" i="13"/>
  <c r="C2093" i="13"/>
  <c r="C2092" i="13"/>
  <c r="C2091" i="13"/>
  <c r="C2090" i="13" s="1"/>
  <c r="C2089" i="13" s="1"/>
  <c r="C2088" i="13"/>
  <c r="C2087" i="13"/>
  <c r="C2086" i="13" s="1"/>
  <c r="C2085" i="13"/>
  <c r="C2084" i="13"/>
  <c r="C2083" i="13" s="1"/>
  <c r="C2082" i="13" s="1"/>
  <c r="C2081" i="13"/>
  <c r="C2080" i="13"/>
  <c r="C2079" i="13"/>
  <c r="C2078" i="13"/>
  <c r="C2077" i="13"/>
  <c r="C2076" i="13" s="1"/>
  <c r="C2075" i="13" s="1"/>
  <c r="C2074" i="13"/>
  <c r="C2073" i="13"/>
  <c r="C2072" i="13"/>
  <c r="C2071" i="13"/>
  <c r="C2070" i="13"/>
  <c r="C2069" i="13" s="1"/>
  <c r="C2068" i="13" s="1"/>
  <c r="C2067" i="13"/>
  <c r="C2066" i="13" s="1"/>
  <c r="C2065" i="13"/>
  <c r="C2064" i="13"/>
  <c r="C2063" i="13"/>
  <c r="C2062" i="13" s="1"/>
  <c r="C2061" i="13" s="1"/>
  <c r="C2060" i="13"/>
  <c r="C2059" i="13"/>
  <c r="C2058" i="13"/>
  <c r="C2057" i="13"/>
  <c r="C2056" i="13"/>
  <c r="C2055" i="13" s="1"/>
  <c r="C2054" i="13" s="1"/>
  <c r="C2053" i="13"/>
  <c r="C2052" i="13"/>
  <c r="C2051" i="13"/>
  <c r="C2050" i="13"/>
  <c r="C2049" i="13"/>
  <c r="C2048" i="13"/>
  <c r="C2047" i="13" s="1"/>
  <c r="C2046" i="13"/>
  <c r="C2045" i="13"/>
  <c r="C2044" i="13"/>
  <c r="C2043" i="13"/>
  <c r="C2042" i="13"/>
  <c r="C2041" i="13" s="1"/>
  <c r="C2040" i="13" s="1"/>
  <c r="C2039" i="13"/>
  <c r="C2038" i="13"/>
  <c r="C2037" i="13"/>
  <c r="C2036" i="13"/>
  <c r="C2035" i="13"/>
  <c r="C2034" i="13" s="1"/>
  <c r="C2033" i="13" s="1"/>
  <c r="C2032" i="13" s="1"/>
  <c r="C2031" i="13"/>
  <c r="C2030" i="13"/>
  <c r="C2029" i="13"/>
  <c r="C2028" i="13"/>
  <c r="C2027" i="13" s="1"/>
  <c r="C2026" i="13" s="1"/>
  <c r="C2025" i="13"/>
  <c r="C2024" i="13"/>
  <c r="C2023" i="13"/>
  <c r="C2022" i="13"/>
  <c r="C2021" i="13"/>
  <c r="C2020" i="13"/>
  <c r="C2019" i="13" s="1"/>
  <c r="C2018" i="13"/>
  <c r="C2017" i="13"/>
  <c r="C2016" i="13"/>
  <c r="C2015" i="13"/>
  <c r="C2014" i="13"/>
  <c r="C2013" i="13" s="1"/>
  <c r="C2012" i="13" s="1"/>
  <c r="C2011" i="13"/>
  <c r="C2010" i="13"/>
  <c r="C2009" i="13"/>
  <c r="C2008" i="13"/>
  <c r="C2007" i="13"/>
  <c r="C2006" i="13" s="1"/>
  <c r="C2005" i="13" s="1"/>
  <c r="C2004" i="13"/>
  <c r="C2003" i="13"/>
  <c r="C2002" i="13"/>
  <c r="C2001" i="13"/>
  <c r="C2000" i="13"/>
  <c r="C1999" i="13" s="1"/>
  <c r="C1998" i="13" s="1"/>
  <c r="C1997" i="13"/>
  <c r="C1996" i="13"/>
  <c r="C1995" i="13"/>
  <c r="C1994" i="13"/>
  <c r="C1993" i="13"/>
  <c r="C1992" i="13" s="1"/>
  <c r="C1991" i="13" s="1"/>
  <c r="C1990" i="13" s="1"/>
  <c r="C1989" i="13"/>
  <c r="C1988" i="13"/>
  <c r="C1987" i="13"/>
  <c r="C1986" i="13"/>
  <c r="C1985" i="13"/>
  <c r="C1984" i="13" s="1"/>
  <c r="C1983" i="13"/>
  <c r="C1982" i="13"/>
  <c r="C1981" i="13"/>
  <c r="C1980" i="13"/>
  <c r="C1979" i="13" s="1"/>
  <c r="C1978" i="13" s="1"/>
  <c r="C1977" i="13" s="1"/>
  <c r="C1976" i="13"/>
  <c r="C1975" i="13"/>
  <c r="C1974" i="13"/>
  <c r="C1973" i="13"/>
  <c r="C1972" i="13"/>
  <c r="C1971" i="13" s="1"/>
  <c r="C1970" i="13" s="1"/>
  <c r="C1969" i="13"/>
  <c r="C1968" i="13"/>
  <c r="C1967" i="13"/>
  <c r="C1966" i="13"/>
  <c r="C1965" i="13"/>
  <c r="C1964" i="13"/>
  <c r="C1963" i="13" s="1"/>
  <c r="C1962" i="13"/>
  <c r="C1961" i="13"/>
  <c r="C1960" i="13"/>
  <c r="C1959" i="13"/>
  <c r="C1958" i="13"/>
  <c r="C1957" i="13" s="1"/>
  <c r="C1956" i="13" s="1"/>
  <c r="C1955" i="13"/>
  <c r="C1954" i="13"/>
  <c r="C1953" i="13"/>
  <c r="C1952" i="13"/>
  <c r="C1951" i="13"/>
  <c r="C1950" i="13" s="1"/>
  <c r="C1949" i="13" s="1"/>
  <c r="C1948" i="13"/>
  <c r="C1947" i="13"/>
  <c r="C1946" i="13" s="1"/>
  <c r="C1945" i="13"/>
  <c r="C1944" i="13"/>
  <c r="C1943" i="13" s="1"/>
  <c r="C1942" i="13" s="1"/>
  <c r="C1941" i="13"/>
  <c r="C1940" i="13"/>
  <c r="C1939" i="13"/>
  <c r="C1938" i="13"/>
  <c r="C1937" i="13"/>
  <c r="C1936" i="13" s="1"/>
  <c r="C1935" i="13" s="1"/>
  <c r="C1934" i="13"/>
  <c r="C1933" i="13"/>
  <c r="C1932" i="13"/>
  <c r="C1931" i="13"/>
  <c r="C1930" i="13"/>
  <c r="C1929" i="13" s="1"/>
  <c r="C1928" i="13" s="1"/>
  <c r="C1927" i="13"/>
  <c r="C1926" i="13"/>
  <c r="C1925" i="13"/>
  <c r="C1924" i="13"/>
  <c r="C1923" i="13"/>
  <c r="C1922" i="13" s="1"/>
  <c r="C1921" i="13" s="1"/>
  <c r="C1920" i="13"/>
  <c r="C1919" i="13"/>
  <c r="C1918" i="13"/>
  <c r="C1917" i="13"/>
  <c r="C1916" i="13"/>
  <c r="C1915" i="13" s="1"/>
  <c r="C1914" i="13" s="1"/>
  <c r="C1913" i="13"/>
  <c r="C1912" i="13"/>
  <c r="C1911" i="13"/>
  <c r="C1910" i="13"/>
  <c r="C1909" i="13"/>
  <c r="C1908" i="13"/>
  <c r="C1907" i="13" s="1"/>
  <c r="C1906" i="13"/>
  <c r="C1905" i="13"/>
  <c r="C1904" i="13"/>
  <c r="C1903" i="13"/>
  <c r="C1902" i="13"/>
  <c r="C1901" i="13" s="1"/>
  <c r="C1900" i="13" s="1"/>
  <c r="C1899" i="13"/>
  <c r="C1898" i="13"/>
  <c r="C1897" i="13"/>
  <c r="C1896" i="13"/>
  <c r="C1895" i="13"/>
  <c r="C1894" i="13" s="1"/>
  <c r="C1893" i="13" s="1"/>
  <c r="C1892" i="13"/>
  <c r="C1891" i="13"/>
  <c r="C1890" i="13"/>
  <c r="C1889" i="13"/>
  <c r="C1888" i="13"/>
  <c r="C1887" i="13" s="1"/>
  <c r="C1886" i="13" s="1"/>
  <c r="C1885" i="13"/>
  <c r="C1884" i="13"/>
  <c r="C1883" i="13"/>
  <c r="C1882" i="13"/>
  <c r="C1881" i="13"/>
  <c r="C1880" i="13"/>
  <c r="C1879" i="13" s="1"/>
  <c r="C1878" i="13"/>
  <c r="C1877" i="13"/>
  <c r="C1876" i="13"/>
  <c r="C1875" i="13"/>
  <c r="C1874" i="13"/>
  <c r="C1873" i="13" s="1"/>
  <c r="C1872" i="13" s="1"/>
  <c r="C1871" i="13"/>
  <c r="C1870" i="13"/>
  <c r="C1869" i="13"/>
  <c r="C1868" i="13"/>
  <c r="C1867" i="13"/>
  <c r="C1866" i="13" s="1"/>
  <c r="C1865" i="13" s="1"/>
  <c r="C1864" i="13"/>
  <c r="C1863" i="13"/>
  <c r="C1862" i="13"/>
  <c r="C1861" i="13"/>
  <c r="C1860" i="13"/>
  <c r="C1859" i="13" s="1"/>
  <c r="C1858" i="13" s="1"/>
  <c r="C1857" i="13"/>
  <c r="C1856" i="13"/>
  <c r="C1855" i="13"/>
  <c r="C1854" i="13"/>
  <c r="C1853" i="13"/>
  <c r="C1852" i="13" s="1"/>
  <c r="C1851" i="13" s="1"/>
  <c r="C1850" i="13"/>
  <c r="C1849" i="13"/>
  <c r="C1848" i="13"/>
  <c r="C1847" i="13"/>
  <c r="C1846" i="13"/>
  <c r="C1845" i="13" s="1"/>
  <c r="C1844" i="13" s="1"/>
  <c r="C1843" i="13"/>
  <c r="C1842" i="13"/>
  <c r="C1841" i="13"/>
  <c r="C1840" i="13"/>
  <c r="C1839" i="13"/>
  <c r="C1838" i="13" s="1"/>
  <c r="C1837" i="13" s="1"/>
  <c r="C1836" i="13"/>
  <c r="C1835" i="13"/>
  <c r="C1834" i="13"/>
  <c r="C1833" i="13"/>
  <c r="C1832" i="13"/>
  <c r="C1831" i="13" s="1"/>
  <c r="C1830" i="13" s="1"/>
  <c r="C1829" i="13"/>
  <c r="C1828" i="13"/>
  <c r="C1827" i="13"/>
  <c r="C1826" i="13"/>
  <c r="C1825" i="13"/>
  <c r="C1824" i="13" s="1"/>
  <c r="C1823" i="13" s="1"/>
  <c r="C1822" i="13"/>
  <c r="C1821" i="13"/>
  <c r="C1820" i="13"/>
  <c r="C1819" i="13"/>
  <c r="C1818" i="13"/>
  <c r="C1817" i="13" s="1"/>
  <c r="C1816" i="13" s="1"/>
  <c r="C1815" i="13"/>
  <c r="C1814" i="13"/>
  <c r="C1813" i="13"/>
  <c r="C1812" i="13"/>
  <c r="C1811" i="13"/>
  <c r="C1810" i="13" s="1"/>
  <c r="C1809" i="13" s="1"/>
  <c r="C1808" i="13" s="1"/>
  <c r="C1807" i="13"/>
  <c r="C1806" i="13"/>
  <c r="C1805" i="13"/>
  <c r="C1804" i="13"/>
  <c r="C1803" i="13" s="1"/>
  <c r="C1802" i="13" s="1"/>
  <c r="C1801" i="13"/>
  <c r="C1800" i="13"/>
  <c r="C1799" i="13"/>
  <c r="C1798" i="13"/>
  <c r="C1797" i="13"/>
  <c r="C1796" i="13" s="1"/>
  <c r="C1795" i="13" s="1"/>
  <c r="C1794" i="13"/>
  <c r="C1793" i="13"/>
  <c r="C1792" i="13"/>
  <c r="C1791" i="13"/>
  <c r="C1790" i="13"/>
  <c r="C1789" i="13" s="1"/>
  <c r="C1788" i="13" s="1"/>
  <c r="C1787" i="13"/>
  <c r="C1786" i="13"/>
  <c r="C1785" i="13"/>
  <c r="C1784" i="13"/>
  <c r="C1783" i="13"/>
  <c r="C1782" i="13" s="1"/>
  <c r="C1781" i="13" s="1"/>
  <c r="C1780" i="13"/>
  <c r="C1779" i="13"/>
  <c r="C1778" i="13"/>
  <c r="C1777" i="13"/>
  <c r="C1776" i="13"/>
  <c r="C1775" i="13" s="1"/>
  <c r="C1774" i="13" s="1"/>
  <c r="C1773" i="13"/>
  <c r="C1772" i="13"/>
  <c r="C1771" i="13"/>
  <c r="C1770" i="13"/>
  <c r="C1769" i="13"/>
  <c r="C1768" i="13"/>
  <c r="C1767" i="13" s="1"/>
  <c r="C1766" i="13"/>
  <c r="C1765" i="13"/>
  <c r="C1764" i="13"/>
  <c r="C1763" i="13"/>
  <c r="C1762" i="13"/>
  <c r="C1761" i="13" s="1"/>
  <c r="C1760" i="13" s="1"/>
  <c r="C1759" i="13"/>
  <c r="C1758" i="13"/>
  <c r="C1757" i="13"/>
  <c r="C1756" i="13"/>
  <c r="C1755" i="13"/>
  <c r="C1754" i="13" s="1"/>
  <c r="C1753" i="13" s="1"/>
  <c r="C1752" i="13"/>
  <c r="C1751" i="13"/>
  <c r="C1750" i="13"/>
  <c r="C1749" i="13"/>
  <c r="C1748" i="13"/>
  <c r="C1747" i="13" s="1"/>
  <c r="C1746" i="13" s="1"/>
  <c r="C1745" i="13" s="1"/>
  <c r="C1744" i="13"/>
  <c r="C1743" i="13"/>
  <c r="C1742" i="13"/>
  <c r="C1741" i="13"/>
  <c r="C1740" i="13" s="1"/>
  <c r="C1739" i="13" s="1"/>
  <c r="C1738" i="13"/>
  <c r="C1737" i="13"/>
  <c r="C1736" i="13"/>
  <c r="C1735" i="13"/>
  <c r="C1734" i="13"/>
  <c r="C1733" i="13" s="1"/>
  <c r="C1732" i="13" s="1"/>
  <c r="C1731" i="13"/>
  <c r="C1730" i="13"/>
  <c r="C1729" i="13"/>
  <c r="C1728" i="13"/>
  <c r="C1727" i="13"/>
  <c r="C1726" i="13" s="1"/>
  <c r="C1725" i="13" s="1"/>
  <c r="C1724" i="13"/>
  <c r="C1723" i="13"/>
  <c r="C1722" i="13"/>
  <c r="C1721" i="13" s="1"/>
  <c r="C1720" i="13"/>
  <c r="C1719" i="13" s="1"/>
  <c r="C1718" i="13" s="1"/>
  <c r="C1717" i="13"/>
  <c r="C1716" i="13"/>
  <c r="C1715" i="13"/>
  <c r="C1714" i="13"/>
  <c r="C1713" i="13"/>
  <c r="C1712" i="13" s="1"/>
  <c r="C1711" i="13" s="1"/>
  <c r="C1710" i="13"/>
  <c r="C1709" i="13"/>
  <c r="C1708" i="13"/>
  <c r="C1707" i="13"/>
  <c r="C1706" i="13"/>
  <c r="C1705" i="13" s="1"/>
  <c r="C1704" i="13" s="1"/>
  <c r="C1703" i="13"/>
  <c r="C1702" i="13"/>
  <c r="C1701" i="13" s="1"/>
  <c r="C1700" i="13"/>
  <c r="C1699" i="13"/>
  <c r="C1698" i="13" s="1"/>
  <c r="C1697" i="13" s="1"/>
  <c r="C1696" i="13"/>
  <c r="C1695" i="13"/>
  <c r="C1694" i="13"/>
  <c r="C1693" i="13"/>
  <c r="C1692" i="13"/>
  <c r="C1691" i="13" s="1"/>
  <c r="C1690" i="13" s="1"/>
  <c r="C1689" i="13"/>
  <c r="C1688" i="13"/>
  <c r="C1687" i="13"/>
  <c r="C1686" i="13"/>
  <c r="C1685" i="13"/>
  <c r="C1684" i="13"/>
  <c r="C1683" i="13" s="1"/>
  <c r="C1682" i="13"/>
  <c r="C1681" i="13"/>
  <c r="C1680" i="13"/>
  <c r="C1679" i="13"/>
  <c r="C1678" i="13"/>
  <c r="C1677" i="13" s="1"/>
  <c r="C1676" i="13" s="1"/>
  <c r="C1675" i="13"/>
  <c r="C1674" i="13"/>
  <c r="C1673" i="13"/>
  <c r="C1672" i="13"/>
  <c r="C1671" i="13"/>
  <c r="C1670" i="13" s="1"/>
  <c r="C1669" i="13" s="1"/>
  <c r="C1668" i="13" s="1"/>
  <c r="C1667" i="13"/>
  <c r="C1666" i="13"/>
  <c r="C1665" i="13"/>
  <c r="C1664" i="13"/>
  <c r="C1663" i="13" s="1"/>
  <c r="C1662" i="13" s="1"/>
  <c r="C1661" i="13"/>
  <c r="C1660" i="13"/>
  <c r="C1659" i="13"/>
  <c r="C1658" i="13"/>
  <c r="C1657" i="13"/>
  <c r="C1656" i="13" s="1"/>
  <c r="C1655" i="13" s="1"/>
  <c r="C1654" i="13"/>
  <c r="C1653" i="13"/>
  <c r="C1652" i="13"/>
  <c r="C1651" i="13"/>
  <c r="C1650" i="13"/>
  <c r="C1649" i="13" s="1"/>
  <c r="C1648" i="13" s="1"/>
  <c r="C1647" i="13"/>
  <c r="C1646" i="13"/>
  <c r="C1645" i="13"/>
  <c r="C1644" i="13"/>
  <c r="C1643" i="13"/>
  <c r="C1642" i="13" s="1"/>
  <c r="C1641" i="13" s="1"/>
  <c r="C1640" i="13"/>
  <c r="C1639" i="13"/>
  <c r="C1638" i="13"/>
  <c r="C1637" i="13"/>
  <c r="C1636" i="13"/>
  <c r="C1635" i="13" s="1"/>
  <c r="C1634" i="13" s="1"/>
  <c r="C1633" i="13"/>
  <c r="C1632" i="13"/>
  <c r="C1631" i="13"/>
  <c r="C1630" i="13"/>
  <c r="C1629" i="13"/>
  <c r="C1628" i="13"/>
  <c r="C1627" i="13" s="1"/>
  <c r="C1626" i="13" s="1"/>
  <c r="C1625" i="13"/>
  <c r="C1624" i="13"/>
  <c r="C1623" i="13"/>
  <c r="C1622" i="13"/>
  <c r="C1621" i="13" s="1"/>
  <c r="C1620" i="13" s="1"/>
  <c r="C1619" i="13"/>
  <c r="C1618" i="13"/>
  <c r="C1617" i="13"/>
  <c r="C1616" i="13"/>
  <c r="C1615" i="13"/>
  <c r="C1614" i="13" s="1"/>
  <c r="C1613" i="13" s="1"/>
  <c r="C1612" i="13"/>
  <c r="C1611" i="13"/>
  <c r="C1610" i="13"/>
  <c r="C1609" i="13"/>
  <c r="C1608" i="13"/>
  <c r="C1607" i="13" s="1"/>
  <c r="C1606" i="13" s="1"/>
  <c r="C1605" i="13"/>
  <c r="C1604" i="13"/>
  <c r="C1603" i="13"/>
  <c r="C1602" i="13"/>
  <c r="C1601" i="13"/>
  <c r="C1600" i="13" s="1"/>
  <c r="C1599" i="13" s="1"/>
  <c r="C1598" i="13"/>
  <c r="C1597" i="13"/>
  <c r="C1596" i="13"/>
  <c r="C1595" i="13" s="1"/>
  <c r="C1594" i="13" s="1"/>
  <c r="C1593" i="13" s="1"/>
  <c r="C1592" i="13" s="1"/>
  <c r="C1591" i="13"/>
  <c r="C1590" i="13"/>
  <c r="C1589" i="13"/>
  <c r="C1588" i="13"/>
  <c r="C1587" i="13"/>
  <c r="C1586" i="13" s="1"/>
  <c r="C1585" i="13" s="1"/>
  <c r="C1584" i="13"/>
  <c r="C1583" i="13"/>
  <c r="C1582" i="13"/>
  <c r="C1581" i="13" s="1"/>
  <c r="C1580" i="13"/>
  <c r="C1579" i="13" s="1"/>
  <c r="C1578" i="13" s="1"/>
  <c r="C1577" i="13"/>
  <c r="C1576" i="13"/>
  <c r="C1575" i="13"/>
  <c r="C1574" i="13"/>
  <c r="C1573" i="13"/>
  <c r="C1572" i="13" s="1"/>
  <c r="C1571" i="13" s="1"/>
  <c r="C1570" i="13"/>
  <c r="C1569" i="13"/>
  <c r="C1568" i="13"/>
  <c r="C1567" i="13"/>
  <c r="C1566" i="13"/>
  <c r="C1565" i="13" s="1"/>
  <c r="C1564" i="13" s="1"/>
  <c r="C1563" i="13"/>
  <c r="C1562" i="13"/>
  <c r="C1561" i="13"/>
  <c r="C1560" i="13"/>
  <c r="C1559" i="13"/>
  <c r="C1558" i="13" s="1"/>
  <c r="C1557" i="13" s="1"/>
  <c r="C1556" i="13"/>
  <c r="C1555" i="13"/>
  <c r="C1554" i="13"/>
  <c r="C1553" i="13"/>
  <c r="C1552" i="13"/>
  <c r="C1551" i="13" s="1"/>
  <c r="C1550" i="13" s="1"/>
  <c r="C1549" i="13"/>
  <c r="C1548" i="13"/>
  <c r="C1547" i="13"/>
  <c r="C1546" i="13"/>
  <c r="C1545" i="13"/>
  <c r="C1544" i="13"/>
  <c r="C1543" i="13" s="1"/>
  <c r="C1542" i="13"/>
  <c r="C1541" i="13"/>
  <c r="C1540" i="13"/>
  <c r="C1539" i="13"/>
  <c r="C1538" i="13"/>
  <c r="C1537" i="13" s="1"/>
  <c r="C1536" i="13" s="1"/>
  <c r="C1535" i="13"/>
  <c r="C1534" i="13"/>
  <c r="C1533" i="13"/>
  <c r="C1532" i="13"/>
  <c r="C1531" i="13"/>
  <c r="C1530" i="13" s="1"/>
  <c r="C1529" i="13" s="1"/>
  <c r="C1528" i="13"/>
  <c r="C1527" i="13"/>
  <c r="C1526" i="13"/>
  <c r="C1525" i="13"/>
  <c r="C1524" i="13"/>
  <c r="C1523" i="13" s="1"/>
  <c r="C1522" i="13" s="1"/>
  <c r="C1521" i="13"/>
  <c r="C1520" i="13"/>
  <c r="C1519" i="13"/>
  <c r="C1518" i="13"/>
  <c r="C1517" i="13"/>
  <c r="C1516" i="13"/>
  <c r="C1515" i="13"/>
  <c r="C1514" i="13"/>
  <c r="C1513" i="13"/>
  <c r="C1512" i="13"/>
  <c r="C1511" i="13"/>
  <c r="C1510" i="13"/>
  <c r="C1509" i="13" s="1"/>
  <c r="C1508" i="13" s="1"/>
  <c r="C1507" i="13"/>
  <c r="C1506" i="13"/>
  <c r="C1505" i="13"/>
  <c r="C1504" i="13"/>
  <c r="C1503" i="13"/>
  <c r="C1502" i="13" s="1"/>
  <c r="C1501" i="13" s="1"/>
  <c r="C1500" i="13"/>
  <c r="C1499" i="13"/>
  <c r="C1498" i="13"/>
  <c r="C1497" i="13"/>
  <c r="C1496" i="13"/>
  <c r="C1495" i="13" s="1"/>
  <c r="C1494" i="13" s="1"/>
  <c r="C1493" i="13"/>
  <c r="C1492" i="13"/>
  <c r="C1491" i="13"/>
  <c r="C1490" i="13"/>
  <c r="C1489" i="13"/>
  <c r="C1488" i="13"/>
  <c r="C1487" i="13" s="1"/>
  <c r="C1486" i="13"/>
  <c r="C1485" i="13"/>
  <c r="C1484" i="13"/>
  <c r="C1483" i="13"/>
  <c r="C1482" i="13"/>
  <c r="C1481" i="13" s="1"/>
  <c r="C1480" i="13" s="1"/>
  <c r="C1479" i="13"/>
  <c r="C1478" i="13"/>
  <c r="C1477" i="13"/>
  <c r="C1476" i="13"/>
  <c r="C1475" i="13"/>
  <c r="C1474" i="13" s="1"/>
  <c r="C1473" i="13" s="1"/>
  <c r="C1472" i="13"/>
  <c r="C1471" i="13"/>
  <c r="C1470" i="13"/>
  <c r="C1469" i="13"/>
  <c r="C1468" i="13"/>
  <c r="C1467" i="13" s="1"/>
  <c r="C1466" i="13" s="1"/>
  <c r="C1465" i="13"/>
  <c r="C1464" i="13"/>
  <c r="C1463" i="13"/>
  <c r="C1462" i="13"/>
  <c r="C1461" i="13"/>
  <c r="C1460" i="13"/>
  <c r="C1459" i="13" s="1"/>
  <c r="C1458" i="13"/>
  <c r="C1457" i="13"/>
  <c r="C1456" i="13"/>
  <c r="C1455" i="13"/>
  <c r="C1454" i="13"/>
  <c r="C1453" i="13" s="1"/>
  <c r="C1452" i="13" s="1"/>
  <c r="C1451" i="13"/>
  <c r="C1450" i="13"/>
  <c r="C1449" i="13"/>
  <c r="C1448" i="13"/>
  <c r="C1447" i="13"/>
  <c r="C1446" i="13" s="1"/>
  <c r="C1445" i="13" s="1"/>
  <c r="C1444" i="13"/>
  <c r="C1443" i="13" s="1"/>
  <c r="C1442" i="13"/>
  <c r="C1441" i="13"/>
  <c r="C1440" i="13"/>
  <c r="C1439" i="13" s="1"/>
  <c r="C1438" i="13" s="1"/>
  <c r="C1437" i="13"/>
  <c r="C1436" i="13"/>
  <c r="C1435" i="13"/>
  <c r="C1434" i="13"/>
  <c r="C1433" i="13"/>
  <c r="C1432" i="13" s="1"/>
  <c r="C1431" i="13" s="1"/>
  <c r="C1430" i="13"/>
  <c r="C1429" i="13"/>
  <c r="C1428" i="13"/>
  <c r="C1427" i="13"/>
  <c r="C1426" i="13"/>
  <c r="C1425" i="13" s="1"/>
  <c r="C1424" i="13" s="1"/>
  <c r="C1423" i="13"/>
  <c r="C1422" i="13"/>
  <c r="C1421" i="13"/>
  <c r="C1420" i="13"/>
  <c r="C1419" i="13"/>
  <c r="C1418" i="13" s="1"/>
  <c r="C1417" i="13" s="1"/>
  <c r="C1416" i="13"/>
  <c r="C1415" i="13"/>
  <c r="C1414" i="13"/>
  <c r="C1413" i="13"/>
  <c r="C1412" i="13"/>
  <c r="C1411" i="13" s="1"/>
  <c r="C1410" i="13" s="1"/>
  <c r="C1409" i="13"/>
  <c r="C1408" i="13"/>
  <c r="C1407" i="13"/>
  <c r="C1406" i="13"/>
  <c r="C1405" i="13"/>
  <c r="C1404" i="13"/>
  <c r="C1403" i="13"/>
  <c r="C1402" i="13"/>
  <c r="C1401" i="13"/>
  <c r="C1400" i="13"/>
  <c r="C1399" i="13"/>
  <c r="C1398" i="13"/>
  <c r="C1397" i="13" s="1"/>
  <c r="C1396" i="13" s="1"/>
  <c r="C1395" i="13"/>
  <c r="C1394" i="13"/>
  <c r="C1393" i="13"/>
  <c r="C1392" i="13"/>
  <c r="C1391" i="13"/>
  <c r="C1390" i="13" s="1"/>
  <c r="C1389" i="13" s="1"/>
  <c r="C1388" i="13"/>
  <c r="C1387" i="13"/>
  <c r="C1386" i="13"/>
  <c r="C1385" i="13"/>
  <c r="C1384" i="13"/>
  <c r="C1383" i="13" s="1"/>
  <c r="C1382" i="13" s="1"/>
  <c r="C1381" i="13" s="1"/>
  <c r="C1380" i="13"/>
  <c r="C1379" i="13"/>
  <c r="C1378" i="13"/>
  <c r="C1377" i="13"/>
  <c r="C1376" i="13" s="1"/>
  <c r="C1375" i="13" s="1"/>
  <c r="C1374" i="13"/>
  <c r="C1373" i="13"/>
  <c r="C1372" i="13"/>
  <c r="C1371" i="13"/>
  <c r="C1370" i="13"/>
  <c r="C1369" i="13" s="1"/>
  <c r="C1368" i="13" s="1"/>
  <c r="C1367" i="13"/>
  <c r="C1366" i="13"/>
  <c r="C1365" i="13"/>
  <c r="C1364" i="13"/>
  <c r="C1363" i="13"/>
  <c r="C1362" i="13" s="1"/>
  <c r="C1361" i="13" s="1"/>
  <c r="C1360" i="13"/>
  <c r="C1359" i="13"/>
  <c r="C1358" i="13"/>
  <c r="C1357" i="13"/>
  <c r="C1356" i="13"/>
  <c r="C1355" i="13" s="1"/>
  <c r="C1354" i="13" s="1"/>
  <c r="C1353" i="13"/>
  <c r="C1352" i="13"/>
  <c r="C1351" i="13"/>
  <c r="C1350" i="13"/>
  <c r="C1349" i="13"/>
  <c r="C1348" i="13" s="1"/>
  <c r="C1347" i="13" s="1"/>
  <c r="C1346" i="13"/>
  <c r="C1345" i="13"/>
  <c r="C1344" i="13"/>
  <c r="C1343" i="13" s="1"/>
  <c r="C1342" i="13"/>
  <c r="C1341" i="13" s="1"/>
  <c r="C1340" i="13" s="1"/>
  <c r="C1339" i="13"/>
  <c r="C1338" i="13"/>
  <c r="C1337" i="13"/>
  <c r="C1336" i="13" s="1"/>
  <c r="C1335" i="13"/>
  <c r="C1334" i="13" s="1"/>
  <c r="C1333" i="13" s="1"/>
  <c r="C1332" i="13"/>
  <c r="C1331" i="13"/>
  <c r="C1330" i="13"/>
  <c r="C1329" i="13"/>
  <c r="C1328" i="13"/>
  <c r="C1327" i="13"/>
  <c r="C1326" i="13" s="1"/>
  <c r="C1325" i="13"/>
  <c r="C1324" i="13"/>
  <c r="C1323" i="13"/>
  <c r="C1322" i="13"/>
  <c r="C1321" i="13"/>
  <c r="C1320" i="13" s="1"/>
  <c r="C1319" i="13" s="1"/>
  <c r="C1318" i="13"/>
  <c r="C1317" i="13"/>
  <c r="C1316" i="13"/>
  <c r="C1315" i="13"/>
  <c r="C1314" i="13"/>
  <c r="C1313" i="13"/>
  <c r="C1312" i="13" s="1"/>
  <c r="C1311" i="13"/>
  <c r="C1310" i="13"/>
  <c r="C1309" i="13"/>
  <c r="C1308" i="13"/>
  <c r="C1307" i="13"/>
  <c r="C1306" i="13" s="1"/>
  <c r="C1305" i="13" s="1"/>
  <c r="C1304" i="13" s="1"/>
  <c r="C1303" i="13"/>
  <c r="C1302" i="13"/>
  <c r="C1301" i="13"/>
  <c r="C1300" i="13"/>
  <c r="C1299" i="13" s="1"/>
  <c r="C1298" i="13" s="1"/>
  <c r="C1297" i="13"/>
  <c r="C1296" i="13"/>
  <c r="C1295" i="13"/>
  <c r="C1294" i="13"/>
  <c r="C1293" i="13"/>
  <c r="C1292" i="13" s="1"/>
  <c r="C1291" i="13" s="1"/>
  <c r="C1290" i="13"/>
  <c r="C1289" i="13"/>
  <c r="C1288" i="13"/>
  <c r="C1287" i="13"/>
  <c r="C1286" i="13"/>
  <c r="C1285" i="13" s="1"/>
  <c r="C1284" i="13" s="1"/>
  <c r="C1283" i="13"/>
  <c r="C1282" i="13"/>
  <c r="C1281" i="13"/>
  <c r="C1280" i="13"/>
  <c r="C1279" i="13"/>
  <c r="C1278" i="13" s="1"/>
  <c r="C1277" i="13" s="1"/>
  <c r="C1276" i="13"/>
  <c r="C1275" i="13"/>
  <c r="C1274" i="13"/>
  <c r="C1273" i="13"/>
  <c r="C1272" i="13"/>
  <c r="C1271" i="13" s="1"/>
  <c r="C1270" i="13" s="1"/>
  <c r="C1269" i="13"/>
  <c r="C1268" i="13"/>
  <c r="C1267" i="13"/>
  <c r="C1266" i="13"/>
  <c r="C1265" i="13"/>
  <c r="C1264" i="13" s="1"/>
  <c r="C1263" i="13" s="1"/>
  <c r="C1262" i="13" s="1"/>
  <c r="C1261" i="13"/>
  <c r="C1260" i="13"/>
  <c r="C1259" i="13"/>
  <c r="C1258" i="13"/>
  <c r="C1257" i="13"/>
  <c r="C1256" i="13" s="1"/>
  <c r="C1255" i="13"/>
  <c r="C1254" i="13"/>
  <c r="C1253" i="13"/>
  <c r="C1252" i="13"/>
  <c r="C1251" i="13"/>
  <c r="C1250" i="13" s="1"/>
  <c r="C1249" i="13" s="1"/>
  <c r="C1248" i="13"/>
  <c r="C1247" i="13"/>
  <c r="C1246" i="13"/>
  <c r="C1245" i="13" s="1"/>
  <c r="C1244" i="13" s="1"/>
  <c r="C1243" i="13" s="1"/>
  <c r="C1242" i="13" s="1"/>
  <c r="C1241" i="13"/>
  <c r="C1240" i="13"/>
  <c r="C1239" i="13"/>
  <c r="C1238" i="13"/>
  <c r="C1237" i="13"/>
  <c r="C1236" i="13" s="1"/>
  <c r="C1235" i="13" s="1"/>
  <c r="C1234" i="13"/>
  <c r="C1233" i="13"/>
  <c r="C1232" i="13"/>
  <c r="C1231" i="13"/>
  <c r="C1230" i="13"/>
  <c r="C1229" i="13"/>
  <c r="C1228" i="13"/>
  <c r="C1227" i="13"/>
  <c r="C1226" i="13"/>
  <c r="C1225" i="13"/>
  <c r="C1224" i="13"/>
  <c r="C1223" i="13"/>
  <c r="C1222" i="13" s="1"/>
  <c r="C1221" i="13" s="1"/>
  <c r="C1220" i="13"/>
  <c r="C1219" i="13"/>
  <c r="C1218" i="13"/>
  <c r="C1217" i="13"/>
  <c r="C1216" i="13" s="1"/>
  <c r="C1215" i="13" s="1"/>
  <c r="C1214" i="13" s="1"/>
  <c r="C1213" i="13"/>
  <c r="C1212" i="13"/>
  <c r="C1211" i="13"/>
  <c r="C1210" i="13"/>
  <c r="C1209" i="13"/>
  <c r="C1208" i="13"/>
  <c r="C1207" i="13" s="1"/>
  <c r="C1206" i="13"/>
  <c r="C1205" i="13"/>
  <c r="C1204" i="13"/>
  <c r="C1203" i="13"/>
  <c r="C1202" i="13"/>
  <c r="C1201" i="13" s="1"/>
  <c r="C1200" i="13" s="1"/>
  <c r="C1199" i="13"/>
  <c r="C1198" i="13"/>
  <c r="C1197" i="13"/>
  <c r="C1196" i="13"/>
  <c r="C1195" i="13"/>
  <c r="C1194" i="13" s="1"/>
  <c r="C1193" i="13" s="1"/>
  <c r="C1192" i="13"/>
  <c r="C1191" i="13"/>
  <c r="C1190" i="13"/>
  <c r="C1189" i="13"/>
  <c r="C1188" i="13"/>
  <c r="C1187" i="13" s="1"/>
  <c r="C1186" i="13" s="1"/>
  <c r="C1185" i="13"/>
  <c r="C1184" i="13"/>
  <c r="C1183" i="13"/>
  <c r="C1182" i="13"/>
  <c r="C1181" i="13"/>
  <c r="C1180" i="13"/>
  <c r="C1179" i="13" s="1"/>
  <c r="C1178" i="13"/>
  <c r="C1177" i="13"/>
  <c r="C1176" i="13"/>
  <c r="C1175" i="13"/>
  <c r="C1174" i="13"/>
  <c r="C1173" i="13" s="1"/>
  <c r="C1172" i="13" s="1"/>
  <c r="C1171" i="13"/>
  <c r="C1170" i="13"/>
  <c r="C1169" i="13"/>
  <c r="C1168" i="13"/>
  <c r="C1167" i="13"/>
  <c r="C1166" i="13" s="1"/>
  <c r="C1165" i="13" s="1"/>
  <c r="C1164" i="13"/>
  <c r="C1163" i="13"/>
  <c r="C1162" i="13"/>
  <c r="C1161" i="13"/>
  <c r="C1160" i="13"/>
  <c r="C1159" i="13" s="1"/>
  <c r="C1158" i="13" s="1"/>
  <c r="C1157" i="13"/>
  <c r="C1156" i="13"/>
  <c r="C1155" i="13"/>
  <c r="C1154" i="13"/>
  <c r="C1153" i="13"/>
  <c r="C1152" i="13" s="1"/>
  <c r="C1151" i="13" s="1"/>
  <c r="C1150" i="13"/>
  <c r="C1149" i="13"/>
  <c r="C1148" i="13"/>
  <c r="C1147" i="13"/>
  <c r="C1146" i="13"/>
  <c r="C1145" i="13"/>
  <c r="C1144" i="13"/>
  <c r="C1143" i="13"/>
  <c r="C1142" i="13"/>
  <c r="C1141" i="13"/>
  <c r="C1140" i="13"/>
  <c r="C1139" i="13"/>
  <c r="C1138" i="13" s="1"/>
  <c r="C1137" i="13" s="1"/>
  <c r="C1136" i="13"/>
  <c r="C1135" i="13"/>
  <c r="C1134" i="13"/>
  <c r="C1133" i="13"/>
  <c r="C1132" i="13"/>
  <c r="C1131" i="13" s="1"/>
  <c r="C1130" i="13" s="1"/>
  <c r="C1129" i="13"/>
  <c r="C1128" i="13"/>
  <c r="C1127" i="13"/>
  <c r="C1126" i="13"/>
  <c r="C1125" i="13"/>
  <c r="C1124" i="13"/>
  <c r="C1123" i="13" s="1"/>
  <c r="C1122" i="13"/>
  <c r="C1121" i="13"/>
  <c r="C1120" i="13"/>
  <c r="C1119" i="13"/>
  <c r="C1118" i="13"/>
  <c r="C1117" i="13" s="1"/>
  <c r="C1116" i="13" s="1"/>
  <c r="C1115" i="13"/>
  <c r="C1114" i="13"/>
  <c r="C1113" i="13"/>
  <c r="C1112" i="13"/>
  <c r="C1111" i="13"/>
  <c r="C1110" i="13" s="1"/>
  <c r="C1109" i="13" s="1"/>
  <c r="C1108" i="13"/>
  <c r="C1107" i="13"/>
  <c r="C1106" i="13"/>
  <c r="C1105" i="13"/>
  <c r="C1104" i="13"/>
  <c r="C1103" i="13" s="1"/>
  <c r="C1102" i="13" s="1"/>
  <c r="C1101" i="13"/>
  <c r="C1100" i="13"/>
  <c r="C1099" i="13"/>
  <c r="C1098" i="13"/>
  <c r="C1097" i="13"/>
  <c r="C1096" i="13"/>
  <c r="C1095" i="13" s="1"/>
  <c r="C1094" i="13"/>
  <c r="C1093" i="13"/>
  <c r="C1092" i="13"/>
  <c r="C1091" i="13"/>
  <c r="C1090" i="13"/>
  <c r="C1089" i="13" s="1"/>
  <c r="C1088" i="13" s="1"/>
  <c r="C1087" i="13"/>
  <c r="C1086" i="13"/>
  <c r="C1085" i="13"/>
  <c r="C1084" i="13"/>
  <c r="C1083" i="13"/>
  <c r="C1082" i="13" s="1"/>
  <c r="C1081" i="13" s="1"/>
  <c r="C1080" i="13"/>
  <c r="C1079" i="13"/>
  <c r="C1078" i="13" s="1"/>
  <c r="C1077" i="13"/>
  <c r="C1076" i="13"/>
  <c r="C1075" i="13" s="1"/>
  <c r="C1074" i="13" s="1"/>
  <c r="C1073" i="13"/>
  <c r="C1072" i="13"/>
  <c r="C1071" i="13"/>
  <c r="C1070" i="13"/>
  <c r="C1069" i="13"/>
  <c r="C1068" i="13" s="1"/>
  <c r="C1067" i="13" s="1"/>
  <c r="C1066" i="13"/>
  <c r="C1065" i="13"/>
  <c r="C1064" i="13"/>
  <c r="C1063" i="13"/>
  <c r="C1062" i="13"/>
  <c r="C1061" i="13"/>
  <c r="C1060" i="13" s="1"/>
  <c r="C1059" i="13"/>
  <c r="C1058" i="13"/>
  <c r="C1057" i="13"/>
  <c r="C1056" i="13"/>
  <c r="C1055" i="13"/>
  <c r="C1054" i="13" s="1"/>
  <c r="C1053" i="13" s="1"/>
  <c r="C1052" i="13"/>
  <c r="C1051" i="13"/>
  <c r="C1050" i="13"/>
  <c r="C1049" i="13"/>
  <c r="C1048" i="13"/>
  <c r="C1047" i="13" s="1"/>
  <c r="C1046" i="13" s="1"/>
  <c r="C1045" i="13"/>
  <c r="C1044" i="13"/>
  <c r="C1043" i="13"/>
  <c r="C1042" i="13"/>
  <c r="C1041" i="13"/>
  <c r="C1040" i="13" s="1"/>
  <c r="C1039" i="13" s="1"/>
  <c r="C1038" i="13"/>
  <c r="C1037" i="13"/>
  <c r="C1036" i="13"/>
  <c r="C1035" i="13"/>
  <c r="C1034" i="13"/>
  <c r="C1033" i="13" s="1"/>
  <c r="C1032" i="13" s="1"/>
  <c r="C1031" i="13" s="1"/>
  <c r="C1030" i="13"/>
  <c r="C1029" i="13"/>
  <c r="C1028" i="13"/>
  <c r="C1027" i="13"/>
  <c r="C1026" i="13" s="1"/>
  <c r="C1025" i="13" s="1"/>
  <c r="C1024" i="13"/>
  <c r="C1023" i="13"/>
  <c r="C1022" i="13"/>
  <c r="C1021" i="13"/>
  <c r="C1020" i="13"/>
  <c r="C1019" i="13"/>
  <c r="C1018" i="13" s="1"/>
  <c r="C1017" i="13" s="1"/>
  <c r="C1016" i="13"/>
  <c r="C1015" i="13"/>
  <c r="C1014" i="13"/>
  <c r="C1013" i="13"/>
  <c r="C1012" i="13"/>
  <c r="C1011" i="13" s="1"/>
  <c r="C1010" i="13"/>
  <c r="C1009" i="13"/>
  <c r="C1008" i="13"/>
  <c r="C1007" i="13"/>
  <c r="C1006" i="13"/>
  <c r="C1005" i="13" s="1"/>
  <c r="C1004" i="13" s="1"/>
  <c r="C1003" i="13"/>
  <c r="C1002" i="13"/>
  <c r="C1001" i="13"/>
  <c r="C1000" i="13"/>
  <c r="C999" i="13"/>
  <c r="C998" i="13" s="1"/>
  <c r="C997" i="13" s="1"/>
  <c r="C996" i="13"/>
  <c r="C995" i="13"/>
  <c r="C994" i="13"/>
  <c r="C993" i="13"/>
  <c r="C992" i="13"/>
  <c r="C991" i="13" s="1"/>
  <c r="C990" i="13" s="1"/>
  <c r="C989" i="13"/>
  <c r="C988" i="13"/>
  <c r="C987" i="13"/>
  <c r="C986" i="13"/>
  <c r="C985" i="13"/>
  <c r="C984" i="13"/>
  <c r="C983" i="13" s="1"/>
  <c r="C982" i="13"/>
  <c r="C981" i="13"/>
  <c r="C980" i="13"/>
  <c r="C979" i="13"/>
  <c r="C978" i="13" s="1"/>
  <c r="C977" i="13" s="1"/>
  <c r="C976" i="13" s="1"/>
  <c r="C975" i="13"/>
  <c r="C974" i="13"/>
  <c r="C973" i="13"/>
  <c r="C972" i="13"/>
  <c r="C971" i="13" s="1"/>
  <c r="C970" i="13" s="1"/>
  <c r="C969" i="13" s="1"/>
  <c r="C968" i="13"/>
  <c r="C967" i="13"/>
  <c r="C966" i="13"/>
  <c r="C965" i="13"/>
  <c r="C964" i="13"/>
  <c r="C963" i="13"/>
  <c r="C962" i="13" s="1"/>
  <c r="C961" i="13"/>
  <c r="C960" i="13"/>
  <c r="C959" i="13"/>
  <c r="C958" i="13"/>
  <c r="C957" i="13"/>
  <c r="C956" i="13" s="1"/>
  <c r="C955" i="13" s="1"/>
  <c r="C954" i="13"/>
  <c r="C953" i="13"/>
  <c r="C952" i="13"/>
  <c r="C951" i="13"/>
  <c r="C950" i="13"/>
  <c r="C949" i="13" s="1"/>
  <c r="C948" i="13" s="1"/>
  <c r="C947" i="13"/>
  <c r="C946" i="13"/>
  <c r="C945" i="13"/>
  <c r="C944" i="13"/>
  <c r="C943" i="13"/>
  <c r="C942" i="13" s="1"/>
  <c r="C941" i="13" s="1"/>
  <c r="C940" i="13" s="1"/>
  <c r="C939" i="13"/>
  <c r="C938" i="13"/>
  <c r="C937" i="13"/>
  <c r="C936" i="13"/>
  <c r="C935" i="13" s="1"/>
  <c r="C934" i="13" s="1"/>
  <c r="C933" i="13"/>
  <c r="C932" i="13"/>
  <c r="C931" i="13"/>
  <c r="C930" i="13"/>
  <c r="C929" i="13"/>
  <c r="C928" i="13" s="1"/>
  <c r="C927" i="13" s="1"/>
  <c r="C926" i="13"/>
  <c r="C925" i="13"/>
  <c r="C924" i="13"/>
  <c r="C923" i="13"/>
  <c r="C922" i="13"/>
  <c r="C921" i="13" s="1"/>
  <c r="C920" i="13" s="1"/>
  <c r="C919" i="13"/>
  <c r="C918" i="13"/>
  <c r="C917" i="13"/>
  <c r="C916" i="13"/>
  <c r="C915" i="13"/>
  <c r="C914" i="13" s="1"/>
  <c r="C913" i="13" s="1"/>
  <c r="C912" i="13"/>
  <c r="C911" i="13"/>
  <c r="C910" i="13"/>
  <c r="C909" i="13"/>
  <c r="C908" i="13"/>
  <c r="C907" i="13" s="1"/>
  <c r="C906" i="13" s="1"/>
  <c r="C905" i="13"/>
  <c r="C904" i="13"/>
  <c r="C903" i="13"/>
  <c r="C902" i="13"/>
  <c r="C901" i="13"/>
  <c r="C900" i="13" s="1"/>
  <c r="C899" i="13"/>
  <c r="C898" i="13"/>
  <c r="C897" i="13"/>
  <c r="C896" i="13"/>
  <c r="C895" i="13"/>
  <c r="C894" i="13"/>
  <c r="C893" i="13" s="1"/>
  <c r="C892" i="13" s="1"/>
  <c r="C891" i="13" s="1"/>
  <c r="C890" i="13"/>
  <c r="C889" i="13"/>
  <c r="C888" i="13" s="1"/>
  <c r="C887" i="13"/>
  <c r="C886" i="13" s="1"/>
  <c r="C885" i="13" s="1"/>
  <c r="C884" i="13"/>
  <c r="C883" i="13"/>
  <c r="C882" i="13"/>
  <c r="C881" i="13"/>
  <c r="C880" i="13"/>
  <c r="C879" i="13" s="1"/>
  <c r="C878" i="13" s="1"/>
  <c r="C877" i="13"/>
  <c r="C876" i="13"/>
  <c r="C875" i="13"/>
  <c r="C874" i="13"/>
  <c r="C873" i="13"/>
  <c r="C872" i="13" s="1"/>
  <c r="C871" i="13" s="1"/>
  <c r="C870" i="13"/>
  <c r="C869" i="13"/>
  <c r="C868" i="13"/>
  <c r="C867" i="13"/>
  <c r="C866" i="13"/>
  <c r="C865" i="13"/>
  <c r="C864" i="13" s="1"/>
  <c r="C863" i="13"/>
  <c r="C862" i="13"/>
  <c r="C861" i="13"/>
  <c r="C860" i="13"/>
  <c r="C859" i="13"/>
  <c r="C858" i="13" s="1"/>
  <c r="C857" i="13" s="1"/>
  <c r="C856" i="13"/>
  <c r="C855" i="13"/>
  <c r="C854" i="13"/>
  <c r="C853" i="13"/>
  <c r="C852" i="13"/>
  <c r="C851" i="13" s="1"/>
  <c r="C850" i="13" s="1"/>
  <c r="C849" i="13"/>
  <c r="C848" i="13"/>
  <c r="C847" i="13"/>
  <c r="C846" i="13"/>
  <c r="C845" i="13"/>
  <c r="C844" i="13" s="1"/>
  <c r="C843" i="13" s="1"/>
  <c r="C842" i="13"/>
  <c r="C841" i="13"/>
  <c r="C840" i="13"/>
  <c r="C839" i="13"/>
  <c r="C838" i="13"/>
  <c r="C837" i="13" s="1"/>
  <c r="C836" i="13" s="1"/>
  <c r="C835" i="13"/>
  <c r="C834" i="13"/>
  <c r="C833" i="13"/>
  <c r="C832" i="13"/>
  <c r="C831" i="13"/>
  <c r="C830" i="13" s="1"/>
  <c r="C829" i="13" s="1"/>
  <c r="C828" i="13"/>
  <c r="C827" i="13"/>
  <c r="C826" i="13"/>
  <c r="C825" i="13"/>
  <c r="C824" i="13"/>
  <c r="C823" i="13" s="1"/>
  <c r="C822" i="13" s="1"/>
  <c r="C821" i="13"/>
  <c r="C820" i="13"/>
  <c r="C819" i="13"/>
  <c r="C818" i="13"/>
  <c r="C817" i="13"/>
  <c r="C816" i="13" s="1"/>
  <c r="C815" i="13"/>
  <c r="C814" i="13"/>
  <c r="C813" i="13"/>
  <c r="C812" i="13"/>
  <c r="C811" i="13"/>
  <c r="C810" i="13"/>
  <c r="C809" i="13" s="1"/>
  <c r="C808" i="13" s="1"/>
  <c r="C807" i="13"/>
  <c r="C806" i="13"/>
  <c r="C805" i="13"/>
  <c r="C804" i="13"/>
  <c r="C803" i="13"/>
  <c r="C802" i="13" s="1"/>
  <c r="C801" i="13"/>
  <c r="C800" i="13"/>
  <c r="C799" i="13"/>
  <c r="C798" i="13"/>
  <c r="C797" i="13"/>
  <c r="C796" i="13"/>
  <c r="C795" i="13" s="1"/>
  <c r="C794" i="13" s="1"/>
  <c r="C793" i="13"/>
  <c r="C792" i="13"/>
  <c r="C791" i="13"/>
  <c r="C790" i="13"/>
  <c r="C789" i="13"/>
  <c r="C788" i="13" s="1"/>
  <c r="C787" i="13" s="1"/>
  <c r="C786" i="13"/>
  <c r="C785" i="13"/>
  <c r="C784" i="13"/>
  <c r="C783" i="13"/>
  <c r="C782" i="13"/>
  <c r="C781" i="13" s="1"/>
  <c r="C780" i="13" s="1"/>
  <c r="C779" i="13"/>
  <c r="C778" i="13"/>
  <c r="C777" i="13"/>
  <c r="C776" i="13"/>
  <c r="C775" i="13"/>
  <c r="C774" i="13" s="1"/>
  <c r="C773" i="13" s="1"/>
  <c r="C772" i="13"/>
  <c r="C771" i="13"/>
  <c r="C770" i="13"/>
  <c r="C769" i="13"/>
  <c r="C768" i="13"/>
  <c r="C767" i="13" s="1"/>
  <c r="C766" i="13" s="1"/>
  <c r="C765" i="13"/>
  <c r="C764" i="13"/>
  <c r="C763" i="13"/>
  <c r="C762" i="13"/>
  <c r="C761" i="13"/>
  <c r="C760" i="13" s="1"/>
  <c r="C759" i="13" s="1"/>
  <c r="C758" i="13"/>
  <c r="C757" i="13"/>
  <c r="C756" i="13"/>
  <c r="C755" i="13"/>
  <c r="C754" i="13"/>
  <c r="C753" i="13"/>
  <c r="C752" i="13" s="1"/>
  <c r="C751" i="13"/>
  <c r="C750" i="13"/>
  <c r="C749" i="13"/>
  <c r="C748" i="13"/>
  <c r="C747" i="13"/>
  <c r="C746" i="13" s="1"/>
  <c r="C745" i="13" s="1"/>
  <c r="C744" i="13"/>
  <c r="C743" i="13"/>
  <c r="C742" i="13"/>
  <c r="C741" i="13"/>
  <c r="C740" i="13"/>
  <c r="C739" i="13" s="1"/>
  <c r="C738" i="13" s="1"/>
  <c r="C737" i="13"/>
  <c r="C736" i="13"/>
  <c r="C735" i="13"/>
  <c r="C734" i="13"/>
  <c r="C733" i="13"/>
  <c r="C732" i="13"/>
  <c r="C731" i="13" s="1"/>
  <c r="C730" i="13"/>
  <c r="C729" i="13"/>
  <c r="C728" i="13"/>
  <c r="C727" i="13"/>
  <c r="C726" i="13"/>
  <c r="C725" i="13" s="1"/>
  <c r="C724" i="13" s="1"/>
  <c r="C723" i="13"/>
  <c r="C722" i="13"/>
  <c r="C721" i="13"/>
  <c r="C720" i="13"/>
  <c r="C719" i="13"/>
  <c r="C718" i="13" s="1"/>
  <c r="C717" i="13" s="1"/>
  <c r="C716" i="13"/>
  <c r="C715" i="13"/>
  <c r="C714" i="13"/>
  <c r="C713" i="13"/>
  <c r="C712" i="13" s="1"/>
  <c r="C711" i="13" s="1"/>
  <c r="C710" i="13" s="1"/>
  <c r="C709" i="13"/>
  <c r="C708" i="13"/>
  <c r="C707" i="13"/>
  <c r="C706" i="13"/>
  <c r="C705" i="13"/>
  <c r="C704" i="13" s="1"/>
  <c r="C703" i="13" s="1"/>
  <c r="C702" i="13"/>
  <c r="C701" i="13"/>
  <c r="C700" i="13"/>
  <c r="C699" i="13"/>
  <c r="C698" i="13"/>
  <c r="C697" i="13" s="1"/>
  <c r="C696" i="13" s="1"/>
  <c r="C695" i="13"/>
  <c r="C694" i="13"/>
  <c r="C693" i="13"/>
  <c r="C692" i="13"/>
  <c r="C691" i="13"/>
  <c r="C690" i="13" s="1"/>
  <c r="C689" i="13"/>
  <c r="C688" i="13"/>
  <c r="C687" i="13"/>
  <c r="C686" i="13"/>
  <c r="C685" i="13"/>
  <c r="C684" i="13"/>
  <c r="C683" i="13" s="1"/>
  <c r="C682" i="13" s="1"/>
  <c r="C681" i="13"/>
  <c r="C680" i="13"/>
  <c r="C679" i="13"/>
  <c r="C678" i="13"/>
  <c r="C677" i="13"/>
  <c r="C676" i="13" s="1"/>
  <c r="C675" i="13" s="1"/>
  <c r="C674" i="13"/>
  <c r="C673" i="13"/>
  <c r="C672" i="13"/>
  <c r="C671" i="13"/>
  <c r="C670" i="13"/>
  <c r="C669" i="13"/>
  <c r="C668" i="13" s="1"/>
  <c r="C667" i="13"/>
  <c r="C666" i="13"/>
  <c r="C665" i="13" s="1"/>
  <c r="C664" i="13"/>
  <c r="C663" i="13"/>
  <c r="C662" i="13" s="1"/>
  <c r="C661" i="13" s="1"/>
  <c r="C660" i="13"/>
  <c r="C659" i="13"/>
  <c r="C658" i="13"/>
  <c r="C657" i="13"/>
  <c r="C656" i="13"/>
  <c r="C655" i="13" s="1"/>
  <c r="C654" i="13" s="1"/>
  <c r="C653" i="13"/>
  <c r="C652" i="13"/>
  <c r="C651" i="13"/>
  <c r="C650" i="13"/>
  <c r="C649" i="13"/>
  <c r="C648" i="13" s="1"/>
  <c r="C647" i="13" s="1"/>
  <c r="C646" i="13" s="1"/>
  <c r="C645" i="13"/>
  <c r="C644" i="13"/>
  <c r="C643" i="13"/>
  <c r="C642" i="13"/>
  <c r="C641" i="13" s="1"/>
  <c r="C640" i="13" s="1"/>
  <c r="C639" i="13"/>
  <c r="C638" i="13"/>
  <c r="C637" i="13"/>
  <c r="C636" i="13"/>
  <c r="C635" i="13"/>
  <c r="C634" i="13" s="1"/>
  <c r="C633" i="13" s="1"/>
  <c r="C632" i="13"/>
  <c r="C631" i="13"/>
  <c r="C630" i="13"/>
  <c r="C629" i="13"/>
  <c r="C628" i="13"/>
  <c r="C627" i="13" s="1"/>
  <c r="C626" i="13" s="1"/>
  <c r="C625" i="13" s="1"/>
  <c r="C624" i="13"/>
  <c r="C623" i="13"/>
  <c r="C622" i="13"/>
  <c r="C621" i="13"/>
  <c r="C620" i="13" s="1"/>
  <c r="C619" i="13"/>
  <c r="C618" i="13"/>
  <c r="C617" i="13"/>
  <c r="C616" i="13"/>
  <c r="C615" i="13"/>
  <c r="C614" i="13"/>
  <c r="C613" i="13" s="1"/>
  <c r="C612" i="13" s="1"/>
  <c r="C611" i="13"/>
  <c r="C610" i="13"/>
  <c r="C609" i="13"/>
  <c r="C608" i="13"/>
  <c r="C607" i="13"/>
  <c r="C606" i="13" s="1"/>
  <c r="C605" i="13" s="1"/>
  <c r="C604" i="13"/>
  <c r="C603" i="13"/>
  <c r="C602" i="13"/>
  <c r="C601" i="13"/>
  <c r="C600" i="13"/>
  <c r="C599" i="13" s="1"/>
  <c r="C598" i="13" s="1"/>
  <c r="C597" i="13"/>
  <c r="C596" i="13"/>
  <c r="C595" i="13"/>
  <c r="C594" i="13"/>
  <c r="C593" i="13"/>
  <c r="C592" i="13" s="1"/>
  <c r="C591" i="13" s="1"/>
  <c r="C590" i="13"/>
  <c r="C589" i="13"/>
  <c r="C588" i="13"/>
  <c r="C587" i="13"/>
  <c r="C586" i="13"/>
  <c r="C585" i="13" s="1"/>
  <c r="C584" i="13" s="1"/>
  <c r="C583" i="13"/>
  <c r="C582" i="13"/>
  <c r="C581" i="13"/>
  <c r="C580" i="13"/>
  <c r="C579" i="13"/>
  <c r="C578" i="13" s="1"/>
  <c r="C577" i="13" s="1"/>
  <c r="C576" i="13"/>
  <c r="C575" i="13"/>
  <c r="C574" i="13"/>
  <c r="C573" i="13"/>
  <c r="C572" i="13"/>
  <c r="C571" i="13" s="1"/>
  <c r="C570" i="13" s="1"/>
  <c r="C569" i="13" s="1"/>
  <c r="C568" i="13"/>
  <c r="C567" i="13"/>
  <c r="C566" i="13"/>
  <c r="C565" i="13"/>
  <c r="C564" i="13"/>
  <c r="C563" i="13" s="1"/>
  <c r="C562" i="13"/>
  <c r="C561" i="13"/>
  <c r="C560" i="13"/>
  <c r="C559" i="13"/>
  <c r="C558" i="13"/>
  <c r="C557" i="13" s="1"/>
  <c r="C556" i="13" s="1"/>
  <c r="C555" i="13"/>
  <c r="C554" i="13"/>
  <c r="C553" i="13"/>
  <c r="C552" i="13"/>
  <c r="C551" i="13"/>
  <c r="C550" i="13" s="1"/>
  <c r="C549" i="13" s="1"/>
  <c r="C548" i="13"/>
  <c r="C547" i="13"/>
  <c r="C546" i="13"/>
  <c r="C545" i="13"/>
  <c r="C544" i="13"/>
  <c r="C543" i="13"/>
  <c r="C542" i="13" s="1"/>
  <c r="C541" i="13"/>
  <c r="C540" i="13"/>
  <c r="C539" i="13"/>
  <c r="C538" i="13"/>
  <c r="C537" i="13"/>
  <c r="C536" i="13" s="1"/>
  <c r="C535" i="13" s="1"/>
  <c r="C534" i="13"/>
  <c r="C533" i="13"/>
  <c r="C532" i="13"/>
  <c r="C531" i="13"/>
  <c r="C530" i="13"/>
  <c r="C529" i="13" s="1"/>
  <c r="C528" i="13" s="1"/>
  <c r="C527" i="13" s="1"/>
  <c r="C526" i="13"/>
  <c r="C525" i="13"/>
  <c r="C524" i="13"/>
  <c r="C523" i="13"/>
  <c r="C522" i="13" s="1"/>
  <c r="C521" i="13"/>
  <c r="C520" i="13"/>
  <c r="C519" i="13"/>
  <c r="C518" i="13"/>
  <c r="C517" i="13"/>
  <c r="C516" i="13"/>
  <c r="C515" i="13" s="1"/>
  <c r="C514" i="13" s="1"/>
  <c r="C513" i="13"/>
  <c r="C512" i="13"/>
  <c r="C511" i="13"/>
  <c r="C510" i="13"/>
  <c r="C509" i="13"/>
  <c r="C508" i="13" s="1"/>
  <c r="C507" i="13" s="1"/>
  <c r="C506" i="13"/>
  <c r="C505" i="13"/>
  <c r="C504" i="13"/>
  <c r="C503" i="13" s="1"/>
  <c r="C502" i="13" s="1"/>
  <c r="C501" i="13" s="1"/>
  <c r="C500" i="13" s="1"/>
  <c r="C499" i="13"/>
  <c r="C498" i="13"/>
  <c r="C497" i="13"/>
  <c r="C496" i="13"/>
  <c r="C495" i="13"/>
  <c r="C494" i="13" s="1"/>
  <c r="C493" i="13" s="1"/>
  <c r="C492" i="13"/>
  <c r="C491" i="13"/>
  <c r="C490" i="13"/>
  <c r="C489" i="13"/>
  <c r="C488" i="13"/>
  <c r="C487" i="13" s="1"/>
  <c r="C486" i="13" s="1"/>
  <c r="C485" i="13" s="1"/>
  <c r="C484" i="13"/>
  <c r="C483" i="13"/>
  <c r="C482" i="13"/>
  <c r="C481" i="13"/>
  <c r="C480" i="13" s="1"/>
  <c r="C479" i="13" s="1"/>
  <c r="C478" i="13"/>
  <c r="C477" i="13"/>
  <c r="C476" i="13"/>
  <c r="C475" i="13"/>
  <c r="C474" i="13"/>
  <c r="C473" i="13" s="1"/>
  <c r="C472" i="13"/>
  <c r="C471" i="13"/>
  <c r="C470" i="13"/>
  <c r="C469" i="13"/>
  <c r="C468" i="13"/>
  <c r="C467" i="13"/>
  <c r="C466" i="13" s="1"/>
  <c r="C465" i="13" s="1"/>
  <c r="C464" i="13"/>
  <c r="C463" i="13"/>
  <c r="C462" i="13"/>
  <c r="C461" i="13"/>
  <c r="C460" i="13"/>
  <c r="C459" i="13" s="1"/>
  <c r="C458" i="13" s="1"/>
  <c r="C457" i="13"/>
  <c r="C456" i="13"/>
  <c r="C455" i="13"/>
  <c r="C454" i="13"/>
  <c r="C453" i="13"/>
  <c r="C452" i="13"/>
  <c r="C451" i="13" s="1"/>
  <c r="C450" i="13"/>
  <c r="C449" i="13"/>
  <c r="C448" i="13"/>
  <c r="C447" i="13"/>
  <c r="C446" i="13"/>
  <c r="C445" i="13" s="1"/>
  <c r="C444" i="13" s="1"/>
  <c r="C443" i="13"/>
  <c r="C442" i="13"/>
  <c r="C441" i="13"/>
  <c r="C440" i="13"/>
  <c r="C439" i="13"/>
  <c r="C438" i="13" s="1"/>
  <c r="C437" i="13" s="1"/>
  <c r="C436" i="13"/>
  <c r="C435" i="13"/>
  <c r="C434" i="13"/>
  <c r="C433" i="13"/>
  <c r="C432" i="13"/>
  <c r="C431" i="13" s="1"/>
  <c r="C430" i="13" s="1"/>
  <c r="C429" i="13"/>
  <c r="C428" i="13"/>
  <c r="C427" i="13"/>
  <c r="C426" i="13"/>
  <c r="C425" i="13"/>
  <c r="C424" i="13" s="1"/>
  <c r="C423" i="13" s="1"/>
  <c r="C422" i="13"/>
  <c r="C421" i="13"/>
  <c r="C420" i="13"/>
  <c r="C419" i="13"/>
  <c r="C418" i="13"/>
  <c r="C417" i="13" s="1"/>
  <c r="C416" i="13" s="1"/>
  <c r="C415" i="13"/>
  <c r="C414" i="13"/>
  <c r="C413" i="13"/>
  <c r="C412" i="13"/>
  <c r="C411" i="13"/>
  <c r="C410" i="13" s="1"/>
  <c r="C409" i="13" s="1"/>
  <c r="C408" i="13"/>
  <c r="C407" i="13"/>
  <c r="C406" i="13"/>
  <c r="C405" i="13"/>
  <c r="C404" i="13"/>
  <c r="C403" i="13" s="1"/>
  <c r="C402" i="13" s="1"/>
  <c r="C401" i="13"/>
  <c r="C400" i="13"/>
  <c r="C399" i="13"/>
  <c r="C398" i="13"/>
  <c r="C397" i="13"/>
  <c r="C396" i="13" s="1"/>
  <c r="C395" i="13" s="1"/>
  <c r="C394" i="13"/>
  <c r="C393" i="13"/>
  <c r="C392" i="13"/>
  <c r="C391" i="13"/>
  <c r="C390" i="13"/>
  <c r="C389" i="13"/>
  <c r="C388" i="13"/>
  <c r="C387" i="13"/>
  <c r="C386" i="13"/>
  <c r="C385" i="13"/>
  <c r="C384" i="13"/>
  <c r="C383" i="13"/>
  <c r="C382" i="13" s="1"/>
  <c r="C381" i="13" s="1"/>
  <c r="C380" i="13"/>
  <c r="C379" i="13"/>
  <c r="C378" i="13"/>
  <c r="C377" i="13"/>
  <c r="C376" i="13"/>
  <c r="C375" i="13" s="1"/>
  <c r="C374" i="13" s="1"/>
  <c r="C373" i="13"/>
  <c r="C372" i="13"/>
  <c r="C371" i="13"/>
  <c r="C370" i="13"/>
  <c r="C369" i="13"/>
  <c r="C368" i="13"/>
  <c r="C367" i="13" s="1"/>
  <c r="C366" i="13"/>
  <c r="C365" i="13"/>
  <c r="C364" i="13"/>
  <c r="C363" i="13"/>
  <c r="C362" i="13"/>
  <c r="C361" i="13" s="1"/>
  <c r="C360" i="13" s="1"/>
  <c r="C359" i="13"/>
  <c r="C358" i="13"/>
  <c r="C357" i="13"/>
  <c r="C356" i="13"/>
  <c r="C355" i="13"/>
  <c r="C354" i="13" s="1"/>
  <c r="C353" i="13" s="1"/>
  <c r="C352" i="13"/>
  <c r="C351" i="13"/>
  <c r="C350" i="13"/>
  <c r="C349" i="13"/>
  <c r="C348" i="13"/>
  <c r="C347" i="13" s="1"/>
  <c r="C346" i="13" s="1"/>
  <c r="C345" i="13"/>
  <c r="C344" i="13"/>
  <c r="C343" i="13"/>
  <c r="C342" i="13"/>
  <c r="C341" i="13"/>
  <c r="C340" i="13" s="1"/>
  <c r="C339" i="13" s="1"/>
  <c r="C338" i="13"/>
  <c r="C337" i="13"/>
  <c r="C336" i="13"/>
  <c r="C335" i="13"/>
  <c r="C334" i="13"/>
  <c r="C333" i="13"/>
  <c r="C332" i="13" s="1"/>
  <c r="C331" i="13"/>
  <c r="C330" i="13"/>
  <c r="C329" i="13"/>
  <c r="C328" i="13"/>
  <c r="C327" i="13"/>
  <c r="C326" i="13" s="1"/>
  <c r="C325" i="13" s="1"/>
  <c r="C324" i="13"/>
  <c r="C323" i="13"/>
  <c r="C322" i="13"/>
  <c r="C321" i="13"/>
  <c r="C320" i="13"/>
  <c r="C319" i="13" s="1"/>
  <c r="C318" i="13" s="1"/>
  <c r="C317" i="13"/>
  <c r="C316" i="13"/>
  <c r="C315" i="13"/>
  <c r="C314" i="13"/>
  <c r="C313" i="13"/>
  <c r="C312" i="13" s="1"/>
  <c r="C311" i="13" s="1"/>
  <c r="C310" i="13"/>
  <c r="C309" i="13"/>
  <c r="C308" i="13"/>
  <c r="C307" i="13"/>
  <c r="C306" i="13"/>
  <c r="C305" i="13"/>
  <c r="C304" i="13" s="1"/>
  <c r="C303" i="13"/>
  <c r="C302" i="13"/>
  <c r="C301" i="13"/>
  <c r="C300" i="13" s="1"/>
  <c r="C299" i="13"/>
  <c r="C298" i="13" s="1"/>
  <c r="C297" i="13" s="1"/>
  <c r="C296" i="13"/>
  <c r="C295" i="13"/>
  <c r="C294" i="13"/>
  <c r="C293" i="13"/>
  <c r="C292" i="13"/>
  <c r="C291" i="13" s="1"/>
  <c r="C290" i="13" s="1"/>
  <c r="C289" i="13"/>
  <c r="C288" i="13"/>
  <c r="C287" i="13"/>
  <c r="C286" i="13"/>
  <c r="C285" i="13"/>
  <c r="C284" i="13" s="1"/>
  <c r="C283" i="13" s="1"/>
  <c r="C282" i="13" s="1"/>
  <c r="C281" i="13"/>
  <c r="C280" i="13"/>
  <c r="C279" i="13"/>
  <c r="C278" i="13"/>
  <c r="C277" i="13" s="1"/>
  <c r="C276" i="13" s="1"/>
  <c r="C275" i="13"/>
  <c r="C274" i="13"/>
  <c r="C273" i="13"/>
  <c r="C272" i="13"/>
  <c r="C271" i="13"/>
  <c r="C270" i="13" s="1"/>
  <c r="C269" i="13" s="1"/>
  <c r="C268" i="13"/>
  <c r="C267" i="13"/>
  <c r="C266" i="13"/>
  <c r="C265" i="13"/>
  <c r="C264" i="13"/>
  <c r="C263" i="13" s="1"/>
  <c r="C262" i="13" s="1"/>
  <c r="C261" i="13"/>
  <c r="C260" i="13"/>
  <c r="C259" i="13"/>
  <c r="C258" i="13"/>
  <c r="C257" i="13"/>
  <c r="C256" i="13" s="1"/>
  <c r="C255" i="13" s="1"/>
  <c r="C254" i="13"/>
  <c r="C253" i="13"/>
  <c r="C252" i="13"/>
  <c r="C251" i="13"/>
  <c r="C250" i="13"/>
  <c r="C249" i="13"/>
  <c r="C248" i="13" s="1"/>
  <c r="C247" i="13" s="1"/>
  <c r="C246" i="13"/>
  <c r="C245" i="13"/>
  <c r="C244" i="13"/>
  <c r="C243" i="13"/>
  <c r="C242" i="13" s="1"/>
  <c r="C241" i="13" s="1"/>
  <c r="C240" i="13" s="1"/>
  <c r="C239" i="13"/>
  <c r="C238" i="13"/>
  <c r="C237" i="13"/>
  <c r="C236" i="13"/>
  <c r="C235" i="13" s="1"/>
  <c r="C234" i="13" s="1"/>
  <c r="C233" i="13"/>
  <c r="C232" i="13"/>
  <c r="C231" i="13"/>
  <c r="C230" i="13"/>
  <c r="C229" i="13"/>
  <c r="C228" i="13" s="1"/>
  <c r="C227" i="13" s="1"/>
  <c r="C226" i="13"/>
  <c r="C225" i="13"/>
  <c r="C224" i="13"/>
  <c r="C223" i="13"/>
  <c r="C222" i="13"/>
  <c r="C221" i="13" s="1"/>
  <c r="C220" i="13"/>
  <c r="C219" i="13"/>
  <c r="C218" i="13"/>
  <c r="C217" i="13"/>
  <c r="C216" i="13"/>
  <c r="C215" i="13"/>
  <c r="C214" i="13" s="1"/>
  <c r="C213" i="13" s="1"/>
  <c r="C212" i="13"/>
  <c r="C211" i="13"/>
  <c r="C210" i="13"/>
  <c r="C209" i="13"/>
  <c r="C208" i="13"/>
  <c r="C207" i="13" s="1"/>
  <c r="C206" i="13" s="1"/>
  <c r="C205" i="13" s="1"/>
  <c r="C204" i="13"/>
  <c r="C203" i="13"/>
  <c r="C202" i="13"/>
  <c r="C201" i="13"/>
  <c r="C200" i="13" s="1"/>
  <c r="C199" i="13" s="1"/>
  <c r="C198" i="13"/>
  <c r="C197" i="13"/>
  <c r="C196" i="13"/>
  <c r="C195" i="13"/>
  <c r="C194" i="13"/>
  <c r="C193" i="13"/>
  <c r="C192" i="13" s="1"/>
  <c r="C191" i="13"/>
  <c r="C190" i="13"/>
  <c r="C189" i="13"/>
  <c r="C188" i="13"/>
  <c r="C187" i="13"/>
  <c r="C186" i="13" s="1"/>
  <c r="C185" i="13" s="1"/>
  <c r="C184" i="13"/>
  <c r="C183" i="13"/>
  <c r="C182" i="13"/>
  <c r="C181" i="13"/>
  <c r="C180" i="13"/>
  <c r="C179" i="13" s="1"/>
  <c r="C178" i="13" s="1"/>
  <c r="C177" i="13"/>
  <c r="C176" i="13"/>
  <c r="C175" i="13"/>
  <c r="C174" i="13"/>
  <c r="C173" i="13"/>
  <c r="C172" i="13" s="1"/>
  <c r="C171" i="13" s="1"/>
  <c r="C170" i="13"/>
  <c r="C169" i="13"/>
  <c r="C168" i="13"/>
  <c r="C167" i="13"/>
  <c r="C166" i="13"/>
  <c r="C165" i="13"/>
  <c r="C164" i="13" s="1"/>
  <c r="C163" i="13" s="1"/>
  <c r="C162" i="13"/>
  <c r="C161" i="13"/>
  <c r="C160" i="13"/>
  <c r="C159" i="13"/>
  <c r="C158" i="13" s="1"/>
  <c r="C157" i="13" s="1"/>
  <c r="C156" i="13"/>
  <c r="C155" i="13"/>
  <c r="C154" i="13"/>
  <c r="C153" i="13" s="1"/>
  <c r="C152" i="13" s="1"/>
  <c r="C151" i="13" s="1"/>
  <c r="C150" i="13" s="1"/>
  <c r="C149" i="13"/>
  <c r="C148" i="13"/>
  <c r="C147" i="13"/>
  <c r="C146" i="13"/>
  <c r="C145" i="13"/>
  <c r="C144" i="13"/>
  <c r="C143" i="13" s="1"/>
  <c r="C142" i="13"/>
  <c r="C141" i="13"/>
  <c r="C140" i="13"/>
  <c r="C139" i="13"/>
  <c r="C138" i="13"/>
  <c r="C137" i="13" s="1"/>
  <c r="C136" i="13" s="1"/>
  <c r="C135" i="13"/>
  <c r="C134" i="13"/>
  <c r="C133" i="13"/>
  <c r="C132" i="13"/>
  <c r="C131" i="13"/>
  <c r="C130" i="13" s="1"/>
  <c r="C129" i="13" s="1"/>
  <c r="C128" i="13"/>
  <c r="C127" i="13"/>
  <c r="C126" i="13"/>
  <c r="C125" i="13"/>
  <c r="C124" i="13"/>
  <c r="C123" i="13" s="1"/>
  <c r="C122" i="13" s="1"/>
  <c r="C121" i="13"/>
  <c r="C120" i="13" s="1"/>
  <c r="C119" i="13"/>
  <c r="C118" i="13"/>
  <c r="C117" i="13"/>
  <c r="C116" i="13" s="1"/>
  <c r="C115" i="13" s="1"/>
  <c r="C114" i="13"/>
  <c r="C113" i="13"/>
  <c r="C112" i="13"/>
  <c r="C111" i="13"/>
  <c r="C110" i="13"/>
  <c r="C109" i="13"/>
  <c r="C108" i="13" s="1"/>
  <c r="C107" i="13"/>
  <c r="C106" i="13"/>
  <c r="C105" i="13"/>
  <c r="C104" i="13"/>
  <c r="C103" i="13"/>
  <c r="C102" i="13" s="1"/>
  <c r="C101" i="13" s="1"/>
  <c r="C100" i="13"/>
  <c r="C99" i="13"/>
  <c r="C98" i="13"/>
  <c r="C97" i="13"/>
  <c r="C96" i="13"/>
  <c r="C95" i="13" s="1"/>
  <c r="C94" i="13" s="1"/>
  <c r="C93" i="13"/>
  <c r="C92" i="13"/>
  <c r="D92" i="13" s="1"/>
  <c r="C91" i="13"/>
  <c r="C90" i="13"/>
  <c r="C89" i="13"/>
  <c r="D89" i="13" s="1"/>
  <c r="C86" i="13"/>
  <c r="C85" i="13"/>
  <c r="C84" i="13"/>
  <c r="D84" i="13" s="1"/>
  <c r="C83" i="13"/>
  <c r="D83" i="13" s="1"/>
  <c r="C82" i="13"/>
  <c r="C81" i="13" s="1"/>
  <c r="C79" i="13"/>
  <c r="C78" i="13"/>
  <c r="D78" i="13" s="1"/>
  <c r="C77" i="13"/>
  <c r="D77" i="13" s="1"/>
  <c r="C76" i="13"/>
  <c r="D76" i="13" s="1"/>
  <c r="C75" i="13"/>
  <c r="C74" i="13" s="1"/>
  <c r="C72" i="13"/>
  <c r="C71" i="13"/>
  <c r="D71" i="13" s="1"/>
  <c r="C70" i="13"/>
  <c r="C69" i="13"/>
  <c r="D69" i="13" s="1"/>
  <c r="C68" i="13"/>
  <c r="C67" i="13" s="1"/>
  <c r="C65" i="13"/>
  <c r="C64" i="13"/>
  <c r="C63" i="13"/>
  <c r="D63" i="13" s="1"/>
  <c r="C62" i="13"/>
  <c r="D62" i="13" s="1"/>
  <c r="C61" i="13"/>
  <c r="C60" i="13" s="1"/>
  <c r="C59" i="13" s="1"/>
  <c r="C58" i="13"/>
  <c r="C57" i="13"/>
  <c r="D57" i="13" s="1"/>
  <c r="C56" i="13"/>
  <c r="C55" i="13"/>
  <c r="D55" i="13" s="1"/>
  <c r="C54" i="13"/>
  <c r="C53" i="13" s="1"/>
  <c r="C51" i="13"/>
  <c r="C50" i="13"/>
  <c r="D50" i="13" s="1"/>
  <c r="C49" i="13"/>
  <c r="D49" i="13" s="1"/>
  <c r="C48" i="13"/>
  <c r="D48" i="13" s="1"/>
  <c r="C47" i="13"/>
  <c r="C46" i="13" s="1"/>
  <c r="C44" i="13"/>
  <c r="C43" i="13"/>
  <c r="C42" i="13"/>
  <c r="C41" i="13"/>
  <c r="D41" i="13" s="1"/>
  <c r="C40" i="13"/>
  <c r="C39" i="13" s="1"/>
  <c r="C37" i="13"/>
  <c r="C36" i="13"/>
  <c r="D36" i="13" s="1"/>
  <c r="C35" i="13"/>
  <c r="C34" i="13"/>
  <c r="C33" i="13"/>
  <c r="C30" i="13"/>
  <c r="C29" i="13"/>
  <c r="C28" i="13"/>
  <c r="C27" i="13"/>
  <c r="C26" i="13"/>
  <c r="C25" i="13"/>
  <c r="C24" i="13" s="1"/>
  <c r="C23" i="13"/>
  <c r="C22" i="13"/>
  <c r="C21" i="13"/>
  <c r="C20" i="13"/>
  <c r="C19" i="13"/>
  <c r="C18" i="13" s="1"/>
  <c r="C17" i="13" s="1"/>
  <c r="C16" i="13"/>
  <c r="C15" i="13"/>
  <c r="C14" i="13"/>
  <c r="C13" i="13"/>
  <c r="C12" i="13"/>
  <c r="C11" i="13" s="1"/>
  <c r="C10" i="13" s="1"/>
  <c r="C9" i="13"/>
  <c r="C8" i="13"/>
  <c r="C7" i="13"/>
  <c r="C6" i="13"/>
  <c r="C5" i="13"/>
  <c r="C4" i="13" s="1"/>
  <c r="C2" i="13"/>
  <c r="B11" i="12"/>
  <c r="B4" i="14"/>
  <c r="B11" i="14" s="1"/>
  <c r="D91" i="13"/>
  <c r="D90" i="13"/>
  <c r="D85" i="13"/>
  <c r="D82" i="13"/>
  <c r="D70" i="13"/>
  <c r="D56" i="13"/>
  <c r="D43" i="13"/>
  <c r="D42" i="13"/>
  <c r="D35" i="13"/>
  <c r="D34" i="13"/>
  <c r="B4" i="12"/>
  <c r="B12" i="12" s="1"/>
  <c r="K17" i="12" s="1"/>
  <c r="L17" i="12" s="1"/>
  <c r="C88" i="13" l="1"/>
  <c r="C87" i="13" s="1"/>
  <c r="D53" i="13"/>
  <c r="C52" i="13"/>
  <c r="D81" i="13"/>
  <c r="C80" i="13"/>
  <c r="D54" i="13"/>
  <c r="D75" i="13"/>
  <c r="D40" i="13"/>
  <c r="D47" i="13"/>
  <c r="C32" i="13"/>
  <c r="C31" i="13" s="1"/>
  <c r="C66" i="13"/>
  <c r="D67" i="13"/>
  <c r="D39" i="13"/>
  <c r="C38" i="13"/>
  <c r="D38" i="13" s="1"/>
  <c r="D74" i="13"/>
  <c r="C73" i="13"/>
  <c r="D73" i="13" s="1"/>
  <c r="D46" i="13"/>
  <c r="C45" i="13"/>
  <c r="D45" i="13" s="1"/>
  <c r="D60" i="13"/>
  <c r="D64" i="13"/>
  <c r="D88" i="13"/>
  <c r="D68" i="13"/>
  <c r="D58" i="13"/>
  <c r="D93" i="13"/>
  <c r="D65" i="13"/>
  <c r="D61" i="13"/>
  <c r="D51" i="13"/>
  <c r="D59" i="13"/>
  <c r="D80" i="13"/>
  <c r="D72" i="13"/>
  <c r="D44" i="13"/>
  <c r="D52" i="13"/>
  <c r="D87" i="13"/>
  <c r="D79" i="13"/>
  <c r="D37" i="13"/>
  <c r="D86" i="13"/>
  <c r="D66" i="13"/>
  <c r="D16" i="14"/>
  <c r="A16" i="14"/>
  <c r="A17" i="12"/>
  <c r="G80" i="13" l="1"/>
  <c r="B17" i="12"/>
  <c r="E62" i="13"/>
  <c r="E63" i="13" s="1"/>
  <c r="E65" i="13" s="1"/>
  <c r="E66" i="13" s="1"/>
  <c r="E67" i="13" s="1"/>
  <c r="E68" i="13" s="1"/>
  <c r="E69" i="13" s="1"/>
  <c r="E70" i="13" s="1"/>
  <c r="E71" i="13" s="1"/>
  <c r="E72" i="13" s="1"/>
  <c r="E73" i="13" s="1"/>
  <c r="E74" i="13" s="1"/>
  <c r="E75" i="13" s="1"/>
  <c r="E76" i="13" s="1"/>
  <c r="E77" i="13" s="1"/>
  <c r="E78" i="13" s="1"/>
  <c r="E79" i="13" s="1"/>
  <c r="E80" i="13" s="1"/>
  <c r="G50" i="13"/>
  <c r="E16" i="14"/>
  <c r="C16" i="14"/>
  <c r="A17" i="14"/>
  <c r="A18" i="12"/>
  <c r="M17" i="12"/>
  <c r="N17" i="12"/>
  <c r="F16" i="14"/>
  <c r="D17" i="12"/>
  <c r="F17" i="12"/>
  <c r="G16" i="14"/>
  <c r="C17" i="12"/>
  <c r="G17" i="12" l="1"/>
  <c r="H17" i="12" s="1"/>
  <c r="E46" i="13"/>
  <c r="E47" i="13" s="1"/>
  <c r="E48" i="13" s="1"/>
  <c r="E49" i="13" s="1"/>
  <c r="E50" i="13" s="1"/>
  <c r="F50" i="13" s="1"/>
  <c r="E17" i="12"/>
  <c r="B17" i="14"/>
  <c r="C17" i="14" s="1"/>
  <c r="D17" i="14"/>
  <c r="E17" i="14" s="1"/>
  <c r="A18" i="14"/>
  <c r="A19" i="12"/>
  <c r="K18" i="12"/>
  <c r="L18" i="12" s="1"/>
  <c r="G17" i="14"/>
  <c r="D18" i="12"/>
  <c r="C18" i="12"/>
  <c r="F18" i="12"/>
  <c r="N18" i="12"/>
  <c r="F17" i="14"/>
  <c r="M18" i="12"/>
  <c r="G18" i="12" l="1"/>
  <c r="H18" i="12" s="1"/>
  <c r="I17" i="12"/>
  <c r="J17" i="12" s="1"/>
  <c r="O17" i="12" s="1"/>
  <c r="B18" i="14"/>
  <c r="C18" i="14" s="1"/>
  <c r="H16" i="14"/>
  <c r="B18" i="12"/>
  <c r="A19" i="14"/>
  <c r="D18" i="14"/>
  <c r="E18" i="14" s="1"/>
  <c r="A20" i="12"/>
  <c r="K19" i="12"/>
  <c r="L19" i="12" s="1"/>
  <c r="C19" i="12"/>
  <c r="N19" i="12"/>
  <c r="G18" i="14"/>
  <c r="F18" i="14"/>
  <c r="M19" i="12"/>
  <c r="D19" i="12"/>
  <c r="F19" i="12"/>
  <c r="G19" i="12" l="1"/>
  <c r="H19" i="12" s="1"/>
  <c r="B19" i="14"/>
  <c r="C19" i="14" s="1"/>
  <c r="H17" i="14"/>
  <c r="E18" i="12"/>
  <c r="I18" i="12" s="1"/>
  <c r="J18" i="12" s="1"/>
  <c r="O18" i="12" s="1"/>
  <c r="A20" i="14"/>
  <c r="D19" i="14"/>
  <c r="E19" i="14" s="1"/>
  <c r="B19" i="12"/>
  <c r="A21" i="12"/>
  <c r="K20" i="12"/>
  <c r="L20" i="12" s="1"/>
  <c r="M20" i="12"/>
  <c r="D20" i="12"/>
  <c r="F19" i="14"/>
  <c r="C20" i="12"/>
  <c r="N20" i="12"/>
  <c r="F20" i="12"/>
  <c r="G19" i="14"/>
  <c r="G20" i="12" l="1"/>
  <c r="H20" i="12" s="1"/>
  <c r="B20" i="14"/>
  <c r="C20" i="14" s="1"/>
  <c r="E19" i="12"/>
  <c r="I19" i="12" s="1"/>
  <c r="J19" i="12" s="1"/>
  <c r="O19" i="12" s="1"/>
  <c r="A21" i="14"/>
  <c r="D20" i="14"/>
  <c r="E20" i="14" s="1"/>
  <c r="H18" i="14"/>
  <c r="B20" i="12"/>
  <c r="A22" i="12"/>
  <c r="K21" i="12"/>
  <c r="L21" i="12" s="1"/>
  <c r="N21" i="12"/>
  <c r="M21" i="12"/>
  <c r="F20" i="14"/>
  <c r="C21" i="12"/>
  <c r="D21" i="12"/>
  <c r="F21" i="12"/>
  <c r="G20" i="14"/>
  <c r="B21" i="14" l="1"/>
  <c r="C21" i="14" s="1"/>
  <c r="H19" i="14"/>
  <c r="D21" i="14"/>
  <c r="E21" i="14" s="1"/>
  <c r="A22" i="14"/>
  <c r="G21" i="12"/>
  <c r="H21" i="12" s="1"/>
  <c r="E20" i="12"/>
  <c r="B21" i="12"/>
  <c r="A23" i="12"/>
  <c r="K22" i="12"/>
  <c r="L22" i="12" s="1"/>
  <c r="C22" i="12"/>
  <c r="M22" i="12"/>
  <c r="G21" i="14"/>
  <c r="D22" i="12"/>
  <c r="F22" i="12"/>
  <c r="F21" i="14"/>
  <c r="N22" i="12"/>
  <c r="B22" i="14" l="1"/>
  <c r="C22" i="14" s="1"/>
  <c r="A23" i="14"/>
  <c r="D22" i="14"/>
  <c r="E22" i="14" s="1"/>
  <c r="I20" i="12"/>
  <c r="J20" i="12" s="1"/>
  <c r="O20" i="12" s="1"/>
  <c r="G22" i="12"/>
  <c r="H22" i="12" s="1"/>
  <c r="E21" i="12"/>
  <c r="B22" i="12"/>
  <c r="A24" i="12"/>
  <c r="K23" i="12"/>
  <c r="L23" i="12" s="1"/>
  <c r="G22" i="14"/>
  <c r="N23" i="12"/>
  <c r="C23" i="12"/>
  <c r="F23" i="12"/>
  <c r="D23" i="12"/>
  <c r="F22" i="14"/>
  <c r="M23" i="12"/>
  <c r="B23" i="14" l="1"/>
  <c r="C23" i="14" s="1"/>
  <c r="H21" i="14"/>
  <c r="A24" i="14"/>
  <c r="D23" i="14"/>
  <c r="E23" i="14" s="1"/>
  <c r="I21" i="12"/>
  <c r="J21" i="12" s="1"/>
  <c r="O21" i="12" s="1"/>
  <c r="G23" i="12"/>
  <c r="H23" i="12" s="1"/>
  <c r="E22" i="12"/>
  <c r="B23" i="12"/>
  <c r="A25" i="12"/>
  <c r="K24" i="12"/>
  <c r="L24" i="12" s="1"/>
  <c r="B24" i="12" s="1"/>
  <c r="G23" i="14"/>
  <c r="D24" i="12"/>
  <c r="C24" i="12"/>
  <c r="F23" i="14"/>
  <c r="M24" i="12"/>
  <c r="F24" i="12"/>
  <c r="N24" i="12"/>
  <c r="B24" i="14" l="1"/>
  <c r="C24" i="14" s="1"/>
  <c r="H22" i="14"/>
  <c r="D24" i="14"/>
  <c r="E24" i="14" s="1"/>
  <c r="A25" i="14"/>
  <c r="I22" i="12"/>
  <c r="J22" i="12" s="1"/>
  <c r="O22" i="12" s="1"/>
  <c r="G24" i="12"/>
  <c r="H24" i="12" s="1"/>
  <c r="E24" i="12"/>
  <c r="E23" i="12"/>
  <c r="A26" i="12"/>
  <c r="K25" i="12"/>
  <c r="L25" i="12" s="1"/>
  <c r="C25" i="12"/>
  <c r="D25" i="12"/>
  <c r="F24" i="14"/>
  <c r="F25" i="12"/>
  <c r="G24" i="14"/>
  <c r="M25" i="12"/>
  <c r="N25" i="12"/>
  <c r="B25" i="14" l="1"/>
  <c r="C25" i="14" s="1"/>
  <c r="H23" i="14"/>
  <c r="D25" i="14"/>
  <c r="E25" i="14" s="1"/>
  <c r="A26" i="14"/>
  <c r="I23" i="12"/>
  <c r="J23" i="12" s="1"/>
  <c r="O23" i="12" s="1"/>
  <c r="I24" i="12"/>
  <c r="J24" i="12" s="1"/>
  <c r="O24" i="12" s="1"/>
  <c r="G25" i="12"/>
  <c r="H25" i="12" s="1"/>
  <c r="B25" i="12"/>
  <c r="K26" i="12"/>
  <c r="L26" i="12" s="1"/>
  <c r="A27" i="12"/>
  <c r="C26" i="12"/>
  <c r="D26" i="12"/>
  <c r="M26" i="12"/>
  <c r="F26" i="12"/>
  <c r="F25" i="14"/>
  <c r="G25" i="14"/>
  <c r="N26" i="12"/>
  <c r="D27" i="12" l="1"/>
  <c r="C27" i="12"/>
  <c r="M27" i="12"/>
  <c r="F27" i="12"/>
  <c r="E27" i="12"/>
  <c r="B26" i="14"/>
  <c r="C26" i="14" s="1"/>
  <c r="H24" i="14"/>
  <c r="O27" i="12"/>
  <c r="J27" i="12"/>
  <c r="I27" i="12"/>
  <c r="H27" i="12"/>
  <c r="G27" i="12"/>
  <c r="A27" i="14"/>
  <c r="D26" i="14"/>
  <c r="E26" i="14" s="1"/>
  <c r="G26" i="12"/>
  <c r="H26" i="12" s="1"/>
  <c r="E25" i="12"/>
  <c r="B26" i="12"/>
  <c r="A28" i="12"/>
  <c r="K27" i="12"/>
  <c r="L27" i="12"/>
  <c r="B27" i="12" s="1"/>
  <c r="G26" i="14"/>
  <c r="F26" i="14"/>
  <c r="C28" i="12" l="1"/>
  <c r="M28" i="12"/>
  <c r="F28" i="12"/>
  <c r="D28" i="12"/>
  <c r="H25" i="14"/>
  <c r="B27" i="14"/>
  <c r="C27" i="14" s="1"/>
  <c r="O28" i="12"/>
  <c r="J28" i="12"/>
  <c r="I28" i="12"/>
  <c r="H28" i="12"/>
  <c r="G28" i="12"/>
  <c r="A28" i="14"/>
  <c r="D27" i="14"/>
  <c r="E27" i="14" s="1"/>
  <c r="I25" i="12"/>
  <c r="J25" i="12" s="1"/>
  <c r="O25" i="12" s="1"/>
  <c r="E26" i="12"/>
  <c r="A29" i="12"/>
  <c r="L28" i="12"/>
  <c r="B28" i="12" s="1"/>
  <c r="K28" i="12"/>
  <c r="E28" i="12"/>
  <c r="G27" i="14"/>
  <c r="F27" i="14"/>
  <c r="D29" i="12" l="1"/>
  <c r="C29" i="12"/>
  <c r="M29" i="12"/>
  <c r="F29" i="12"/>
  <c r="B28" i="14"/>
  <c r="C28" i="14" s="1"/>
  <c r="H26" i="14"/>
  <c r="O29" i="12"/>
  <c r="H29" i="12"/>
  <c r="J29" i="12"/>
  <c r="I29" i="12"/>
  <c r="G29" i="12"/>
  <c r="D28" i="14"/>
  <c r="E28" i="14" s="1"/>
  <c r="A29" i="14"/>
  <c r="I26" i="12"/>
  <c r="A30" i="12"/>
  <c r="K29" i="12"/>
  <c r="L29" i="12"/>
  <c r="B29" i="12"/>
  <c r="E29" i="12"/>
  <c r="F28" i="14"/>
  <c r="G28" i="14"/>
  <c r="C30" i="12" l="1"/>
  <c r="M30" i="12"/>
  <c r="F30" i="12"/>
  <c r="D30" i="12"/>
  <c r="H27" i="14"/>
  <c r="B29" i="14"/>
  <c r="C29" i="14" s="1"/>
  <c r="O30" i="12"/>
  <c r="J30" i="12"/>
  <c r="I30" i="12"/>
  <c r="G30" i="12"/>
  <c r="H30" i="12"/>
  <c r="D29" i="14"/>
  <c r="E29" i="14" s="1"/>
  <c r="A30" i="14"/>
  <c r="J26" i="12"/>
  <c r="O26" i="12" s="1"/>
  <c r="A31" i="12"/>
  <c r="K30" i="12"/>
  <c r="L30" i="12" s="1"/>
  <c r="B30" i="12" s="1"/>
  <c r="E30" i="12"/>
  <c r="G29" i="14"/>
  <c r="F29" i="14"/>
  <c r="D31" i="12" l="1"/>
  <c r="C31" i="12"/>
  <c r="F31" i="12"/>
  <c r="M31" i="12"/>
  <c r="H28" i="14"/>
  <c r="B30" i="14"/>
  <c r="C30" i="14" s="1"/>
  <c r="E31" i="12"/>
  <c r="J31" i="12"/>
  <c r="I31" i="12"/>
  <c r="H31" i="12"/>
  <c r="O31" i="12"/>
  <c r="G31" i="12"/>
  <c r="A31" i="14"/>
  <c r="D30" i="14"/>
  <c r="E30" i="14" s="1"/>
  <c r="A32" i="12"/>
  <c r="K31" i="12"/>
  <c r="L31" i="12"/>
  <c r="B31" i="12" s="1"/>
  <c r="G30" i="14"/>
  <c r="F30" i="14"/>
  <c r="M32" i="12" l="1"/>
  <c r="F32" i="12"/>
  <c r="C32" i="12"/>
  <c r="D32" i="12"/>
  <c r="B31" i="14"/>
  <c r="C31" i="14" s="1"/>
  <c r="H29" i="14"/>
  <c r="J32" i="12"/>
  <c r="I32" i="12"/>
  <c r="H32" i="12"/>
  <c r="G32" i="12"/>
  <c r="O32" i="12"/>
  <c r="E32" i="12"/>
  <c r="A32" i="14"/>
  <c r="D31" i="14"/>
  <c r="E31" i="14" s="1"/>
  <c r="L32" i="12"/>
  <c r="B32" i="12" s="1"/>
  <c r="A33" i="12"/>
  <c r="K32" i="12"/>
  <c r="G31" i="14"/>
  <c r="F31" i="14"/>
  <c r="D33" i="12" l="1"/>
  <c r="M33" i="12"/>
  <c r="F33" i="12"/>
  <c r="C33" i="12"/>
  <c r="H30" i="14"/>
  <c r="B32" i="14"/>
  <c r="C32" i="14" s="1"/>
  <c r="O33" i="12"/>
  <c r="H33" i="12"/>
  <c r="I33" i="12"/>
  <c r="G33" i="12"/>
  <c r="J33" i="12"/>
  <c r="E33" i="12"/>
  <c r="D32" i="14"/>
  <c r="E32" i="14" s="1"/>
  <c r="A33" i="14"/>
  <c r="K33" i="12"/>
  <c r="L33" i="12"/>
  <c r="B33" i="12" s="1"/>
  <c r="A34" i="12"/>
  <c r="F32" i="14"/>
  <c r="G32" i="14"/>
  <c r="M34" i="12" l="1"/>
  <c r="C34" i="12"/>
  <c r="F34" i="12"/>
  <c r="D34" i="12"/>
  <c r="B33" i="14"/>
  <c r="C33" i="14" s="1"/>
  <c r="O34" i="12"/>
  <c r="J34" i="12"/>
  <c r="I34" i="12"/>
  <c r="G34" i="12"/>
  <c r="H34" i="12"/>
  <c r="E34" i="12"/>
  <c r="D33" i="14"/>
  <c r="E33" i="14" s="1"/>
  <c r="A34" i="14"/>
  <c r="K34" i="12"/>
  <c r="L34" i="12" s="1"/>
  <c r="B34" i="12" s="1"/>
  <c r="A35" i="12"/>
  <c r="E35" i="12"/>
  <c r="F33" i="14"/>
  <c r="G33" i="14"/>
  <c r="D35" i="12" l="1"/>
  <c r="C35" i="12"/>
  <c r="F35" i="12"/>
  <c r="M35" i="12"/>
  <c r="B34" i="14"/>
  <c r="C34" i="14" s="1"/>
  <c r="H31" i="14"/>
  <c r="H32" i="14"/>
  <c r="O35" i="12"/>
  <c r="J35" i="12"/>
  <c r="I35" i="12"/>
  <c r="H35" i="12"/>
  <c r="G35" i="12"/>
  <c r="A35" i="14"/>
  <c r="D34" i="14"/>
  <c r="E34" i="14" s="1"/>
  <c r="K35" i="12"/>
  <c r="L35" i="12" s="1"/>
  <c r="B35" i="12" s="1"/>
  <c r="A36" i="12"/>
  <c r="G34" i="14"/>
  <c r="F34" i="14"/>
  <c r="E36" i="12" l="1"/>
  <c r="C36" i="12"/>
  <c r="M36" i="12"/>
  <c r="F36" i="12"/>
  <c r="D36" i="12"/>
  <c r="H33" i="14"/>
  <c r="B35" i="14"/>
  <c r="C35" i="14" s="1"/>
  <c r="O36" i="12"/>
  <c r="J36" i="12"/>
  <c r="I36" i="12"/>
  <c r="H36" i="12"/>
  <c r="G36" i="12"/>
  <c r="D35" i="14"/>
  <c r="E35" i="14" s="1"/>
  <c r="A36" i="14"/>
  <c r="A37" i="12"/>
  <c r="B36" i="12"/>
  <c r="K36" i="12"/>
  <c r="L36" i="12"/>
  <c r="G35" i="14"/>
  <c r="F35" i="14"/>
  <c r="D37" i="12" l="1"/>
  <c r="C37" i="12"/>
  <c r="M37" i="12"/>
  <c r="F37" i="12"/>
  <c r="H34" i="14"/>
  <c r="B36" i="14"/>
  <c r="C36" i="14" s="1"/>
  <c r="O37" i="12"/>
  <c r="H37" i="12"/>
  <c r="J37" i="12"/>
  <c r="I37" i="12"/>
  <c r="G37" i="12"/>
  <c r="D36" i="14"/>
  <c r="E36" i="14" s="1"/>
  <c r="A37" i="14"/>
  <c r="L37" i="12"/>
  <c r="B37" i="12" s="1"/>
  <c r="K37" i="12"/>
  <c r="A38" i="12"/>
  <c r="E37" i="12"/>
  <c r="F36" i="14"/>
  <c r="G36" i="14"/>
  <c r="C38" i="12" l="1"/>
  <c r="M38" i="12"/>
  <c r="F38" i="12"/>
  <c r="D38" i="12"/>
  <c r="B37" i="14"/>
  <c r="C37" i="14" s="1"/>
  <c r="O38" i="12"/>
  <c r="J38" i="12"/>
  <c r="I38" i="12"/>
  <c r="H38" i="12"/>
  <c r="G38" i="12"/>
  <c r="E38" i="12"/>
  <c r="D37" i="14"/>
  <c r="E37" i="14" s="1"/>
  <c r="A38" i="14"/>
  <c r="K38" i="12"/>
  <c r="L38" i="12" s="1"/>
  <c r="B38" i="12" s="1"/>
  <c r="A39" i="12"/>
  <c r="F37" i="14"/>
  <c r="G37" i="14"/>
  <c r="E39" i="12" l="1"/>
  <c r="D39" i="12"/>
  <c r="C39" i="12"/>
  <c r="M39" i="12"/>
  <c r="F39" i="12"/>
  <c r="H36" i="14"/>
  <c r="B38" i="14"/>
  <c r="C38" i="14" s="1"/>
  <c r="H35" i="14"/>
  <c r="O39" i="12"/>
  <c r="J39" i="12"/>
  <c r="I39" i="12"/>
  <c r="G39" i="12"/>
  <c r="H39" i="12"/>
  <c r="D38" i="14"/>
  <c r="E38" i="14" s="1"/>
  <c r="A39" i="14"/>
  <c r="A40" i="12"/>
  <c r="K39" i="12"/>
  <c r="L39" i="12" s="1"/>
  <c r="B39" i="12" s="1"/>
  <c r="G38" i="14"/>
  <c r="F38" i="14"/>
  <c r="M40" i="12" l="1"/>
  <c r="F40" i="12"/>
  <c r="D40" i="12"/>
  <c r="C40" i="12"/>
  <c r="B39" i="14"/>
  <c r="C39" i="14" s="1"/>
  <c r="O40" i="12"/>
  <c r="J40" i="12"/>
  <c r="I40" i="12"/>
  <c r="H40" i="12"/>
  <c r="G40" i="12"/>
  <c r="A40" i="14"/>
  <c r="D39" i="14"/>
  <c r="E39" i="14" s="1"/>
  <c r="K40" i="12"/>
  <c r="A41" i="12"/>
  <c r="L40" i="12"/>
  <c r="B40" i="12" s="1"/>
  <c r="E40" i="12"/>
  <c r="F39" i="14"/>
  <c r="G39" i="14"/>
  <c r="D41" i="12" l="1"/>
  <c r="C41" i="12"/>
  <c r="M41" i="12"/>
  <c r="F41" i="12"/>
  <c r="H38" i="14"/>
  <c r="B40" i="14"/>
  <c r="C40" i="14" s="1"/>
  <c r="H37" i="14"/>
  <c r="O41" i="12"/>
  <c r="H41" i="12"/>
  <c r="G41" i="12"/>
  <c r="I41" i="12"/>
  <c r="J41" i="12"/>
  <c r="E41" i="12"/>
  <c r="D40" i="14"/>
  <c r="E40" i="14" s="1"/>
  <c r="A41" i="14"/>
  <c r="L41" i="12"/>
  <c r="B41" i="12" s="1"/>
  <c r="A42" i="12"/>
  <c r="K41" i="12"/>
  <c r="G40" i="14"/>
  <c r="F40" i="14"/>
  <c r="E42" i="12" l="1"/>
  <c r="C42" i="12"/>
  <c r="M42" i="12"/>
  <c r="F42" i="12"/>
  <c r="D42" i="12"/>
  <c r="B41" i="14"/>
  <c r="C41" i="14" s="1"/>
  <c r="O42" i="12"/>
  <c r="I42" i="12"/>
  <c r="G42" i="12"/>
  <c r="H42" i="12"/>
  <c r="J42" i="12"/>
  <c r="D41" i="14"/>
  <c r="E41" i="14" s="1"/>
  <c r="A42" i="14"/>
  <c r="A43" i="12"/>
  <c r="K42" i="12"/>
  <c r="L42" i="12" s="1"/>
  <c r="B42" i="12" s="1"/>
  <c r="G41" i="14"/>
  <c r="F41" i="14"/>
  <c r="E43" i="12" l="1"/>
  <c r="D43" i="12"/>
  <c r="C43" i="12"/>
  <c r="M43" i="12"/>
  <c r="F43" i="12"/>
  <c r="B42" i="14"/>
  <c r="C42" i="14" s="1"/>
  <c r="H39" i="14"/>
  <c r="H40" i="14"/>
  <c r="O43" i="12"/>
  <c r="J43" i="12"/>
  <c r="I43" i="12"/>
  <c r="H43" i="12"/>
  <c r="G43" i="12"/>
  <c r="A43" i="14"/>
  <c r="D42" i="14"/>
  <c r="E42" i="14" s="1"/>
  <c r="K43" i="12"/>
  <c r="L43" i="12"/>
  <c r="B43" i="12" s="1"/>
  <c r="A44" i="12"/>
  <c r="G42" i="14"/>
  <c r="F42" i="14"/>
  <c r="C44" i="12" l="1"/>
  <c r="M44" i="12"/>
  <c r="F44" i="12"/>
  <c r="D44" i="12"/>
  <c r="H41" i="14"/>
  <c r="B43" i="14"/>
  <c r="C43" i="14" s="1"/>
  <c r="E44" i="12"/>
  <c r="O44" i="12"/>
  <c r="J44" i="12"/>
  <c r="I44" i="12"/>
  <c r="H44" i="12"/>
  <c r="G44" i="12"/>
  <c r="A44" i="14"/>
  <c r="D43" i="14"/>
  <c r="E43" i="14" s="1"/>
  <c r="K44" i="12"/>
  <c r="L44" i="12"/>
  <c r="A45" i="12"/>
  <c r="B44" i="12"/>
  <c r="G43" i="14"/>
  <c r="F43" i="14"/>
  <c r="D45" i="12" l="1"/>
  <c r="C45" i="12"/>
  <c r="F45" i="12"/>
  <c r="M45" i="12"/>
  <c r="H42" i="14"/>
  <c r="B44" i="14"/>
  <c r="C44" i="14" s="1"/>
  <c r="O45" i="12"/>
  <c r="H45" i="12"/>
  <c r="J45" i="12"/>
  <c r="I45" i="12"/>
  <c r="G45" i="12"/>
  <c r="E45" i="12"/>
  <c r="D44" i="14"/>
  <c r="E44" i="14" s="1"/>
  <c r="A45" i="14"/>
  <c r="A46" i="12"/>
  <c r="L45" i="12"/>
  <c r="B45" i="12" s="1"/>
  <c r="K45" i="12"/>
  <c r="G44" i="14"/>
  <c r="F44" i="14"/>
  <c r="M46" i="12" l="1"/>
  <c r="F46" i="12"/>
  <c r="C46" i="12"/>
  <c r="D46" i="12"/>
  <c r="H43" i="14"/>
  <c r="B45" i="14"/>
  <c r="C45" i="14" s="1"/>
  <c r="O46" i="12"/>
  <c r="J46" i="12"/>
  <c r="I46" i="12"/>
  <c r="G46" i="12"/>
  <c r="H46" i="12"/>
  <c r="D45" i="14"/>
  <c r="E45" i="14" s="1"/>
  <c r="A46" i="14"/>
  <c r="A47" i="12"/>
  <c r="L46" i="12"/>
  <c r="B46" i="12" s="1"/>
  <c r="K46" i="12"/>
  <c r="E46" i="12"/>
  <c r="G45" i="14"/>
  <c r="F45" i="14"/>
  <c r="D47" i="12" l="1"/>
  <c r="C47" i="12"/>
  <c r="M47" i="12"/>
  <c r="F47" i="12"/>
  <c r="E47" i="12"/>
  <c r="B46" i="14"/>
  <c r="C46" i="14" s="1"/>
  <c r="J47" i="12"/>
  <c r="I47" i="12"/>
  <c r="O47" i="12"/>
  <c r="H47" i="12"/>
  <c r="G47" i="12"/>
  <c r="A47" i="14"/>
  <c r="D46" i="14"/>
  <c r="E46" i="14" s="1"/>
  <c r="A48" i="12"/>
  <c r="K47" i="12"/>
  <c r="L47" i="12"/>
  <c r="B47" i="12" s="1"/>
  <c r="G46" i="14"/>
  <c r="F46" i="14"/>
  <c r="M48" i="12" l="1"/>
  <c r="C48" i="12"/>
  <c r="F48" i="12"/>
  <c r="D48" i="12"/>
  <c r="H45" i="14"/>
  <c r="H44" i="14"/>
  <c r="B47" i="14"/>
  <c r="C47" i="14" s="1"/>
  <c r="J48" i="12"/>
  <c r="I48" i="12"/>
  <c r="O48" i="12"/>
  <c r="H48" i="12"/>
  <c r="G48" i="12"/>
  <c r="A48" i="14"/>
  <c r="D47" i="14"/>
  <c r="E47" i="14" s="1"/>
  <c r="K48" i="12"/>
  <c r="L48" i="12" s="1"/>
  <c r="B48" i="12" s="1"/>
  <c r="A49" i="12"/>
  <c r="E48" i="12"/>
  <c r="F47" i="14"/>
  <c r="G47" i="14"/>
  <c r="D49" i="12" l="1"/>
  <c r="C49" i="12"/>
  <c r="F49" i="12"/>
  <c r="M49" i="12"/>
  <c r="B48" i="14"/>
  <c r="C48" i="14" s="1"/>
  <c r="O49" i="12"/>
  <c r="H49" i="12"/>
  <c r="G49" i="12"/>
  <c r="J49" i="12"/>
  <c r="I49" i="12"/>
  <c r="D48" i="14"/>
  <c r="E48" i="14" s="1"/>
  <c r="A49" i="14"/>
  <c r="A50" i="12"/>
  <c r="K49" i="12"/>
  <c r="L49" i="12"/>
  <c r="B49" i="12" s="1"/>
  <c r="E49" i="12"/>
  <c r="F48" i="14"/>
  <c r="G48" i="14"/>
  <c r="M50" i="12" l="1"/>
  <c r="F50" i="12"/>
  <c r="C50" i="12"/>
  <c r="D50" i="12"/>
  <c r="E50" i="12"/>
  <c r="H46" i="14"/>
  <c r="B49" i="14"/>
  <c r="C49" i="14" s="1"/>
  <c r="O50" i="12"/>
  <c r="J50" i="12"/>
  <c r="G50" i="12"/>
  <c r="H50" i="12"/>
  <c r="I50" i="12"/>
  <c r="A50" i="14"/>
  <c r="D49" i="14"/>
  <c r="E49" i="14" s="1"/>
  <c r="A51" i="12"/>
  <c r="K50" i="12"/>
  <c r="L50" i="12" s="1"/>
  <c r="B50" i="12" s="1"/>
  <c r="F49" i="14"/>
  <c r="G49" i="14"/>
  <c r="D51" i="12" l="1"/>
  <c r="F51" i="12"/>
  <c r="C51" i="12"/>
  <c r="M51" i="12"/>
  <c r="E51" i="12"/>
  <c r="B50" i="14"/>
  <c r="C50" i="14" s="1"/>
  <c r="H47" i="14"/>
  <c r="O51" i="12"/>
  <c r="J51" i="12"/>
  <c r="I51" i="12"/>
  <c r="H51" i="12"/>
  <c r="G51" i="12"/>
  <c r="A51" i="14"/>
  <c r="D50" i="14"/>
  <c r="E50" i="14" s="1"/>
  <c r="A52" i="12"/>
  <c r="K51" i="12"/>
  <c r="L51" i="12" s="1"/>
  <c r="B51" i="12" s="1"/>
  <c r="F50" i="14"/>
  <c r="G50" i="14"/>
  <c r="E52" i="12" l="1"/>
  <c r="M52" i="12"/>
  <c r="C52" i="12"/>
  <c r="F52" i="12"/>
  <c r="D52" i="12"/>
  <c r="B51" i="14"/>
  <c r="C51" i="14" s="1"/>
  <c r="H48" i="14"/>
  <c r="O52" i="12"/>
  <c r="J52" i="12"/>
  <c r="I52" i="12"/>
  <c r="H52" i="12"/>
  <c r="G52" i="12"/>
  <c r="A52" i="14"/>
  <c r="D51" i="14"/>
  <c r="E51" i="14" s="1"/>
  <c r="K52" i="12"/>
  <c r="L52" i="12" s="1"/>
  <c r="B52" i="12" s="1"/>
  <c r="A53" i="12"/>
  <c r="F51" i="14"/>
  <c r="G51" i="14"/>
  <c r="E53" i="12" l="1"/>
  <c r="D53" i="12"/>
  <c r="C53" i="12"/>
  <c r="F53" i="12"/>
  <c r="M53" i="12"/>
  <c r="H49" i="14"/>
  <c r="B52" i="14"/>
  <c r="C52" i="14" s="1"/>
  <c r="O53" i="12"/>
  <c r="H53" i="12"/>
  <c r="J53" i="12"/>
  <c r="I53" i="12"/>
  <c r="G53" i="12"/>
  <c r="D52" i="14"/>
  <c r="E52" i="14" s="1"/>
  <c r="A53" i="14"/>
  <c r="L53" i="12"/>
  <c r="B53" i="12" s="1"/>
  <c r="K53" i="12"/>
  <c r="A54" i="12"/>
  <c r="G52" i="14"/>
  <c r="F52" i="14"/>
  <c r="C54" i="12" l="1"/>
  <c r="M54" i="12"/>
  <c r="F54" i="12"/>
  <c r="D54" i="12"/>
  <c r="B53" i="14"/>
  <c r="C53" i="14" s="1"/>
  <c r="H50" i="14"/>
  <c r="O54" i="12"/>
  <c r="J54" i="12"/>
  <c r="I54" i="12"/>
  <c r="H54" i="12"/>
  <c r="G54" i="12"/>
  <c r="D53" i="14"/>
  <c r="E53" i="14" s="1"/>
  <c r="A54" i="14"/>
  <c r="A55" i="12"/>
  <c r="K54" i="12"/>
  <c r="L54" i="12" s="1"/>
  <c r="B54" i="12" s="1"/>
  <c r="E54" i="12"/>
  <c r="G53" i="14"/>
  <c r="F53" i="14"/>
  <c r="D55" i="12" l="1"/>
  <c r="M55" i="12"/>
  <c r="C55" i="12"/>
  <c r="F55" i="12"/>
  <c r="H51" i="14"/>
  <c r="B54" i="14"/>
  <c r="C54" i="14" s="1"/>
  <c r="O55" i="12"/>
  <c r="J55" i="12"/>
  <c r="I55" i="12"/>
  <c r="G55" i="12"/>
  <c r="H55" i="12"/>
  <c r="D54" i="14"/>
  <c r="E54" i="14" s="1"/>
  <c r="A55" i="14"/>
  <c r="K55" i="12"/>
  <c r="L55" i="12" s="1"/>
  <c r="B55" i="12" s="1"/>
  <c r="A56" i="12"/>
  <c r="E55" i="12"/>
  <c r="F54" i="14"/>
  <c r="G54" i="14"/>
  <c r="M56" i="12" l="1"/>
  <c r="F56" i="12"/>
  <c r="C56" i="12"/>
  <c r="D56" i="12"/>
  <c r="H52" i="14"/>
  <c r="B55" i="14"/>
  <c r="C55" i="14" s="1"/>
  <c r="E56" i="12"/>
  <c r="O56" i="12"/>
  <c r="J56" i="12"/>
  <c r="I56" i="12"/>
  <c r="H56" i="12"/>
  <c r="G56" i="12"/>
  <c r="A56" i="14"/>
  <c r="D55" i="14"/>
  <c r="E55" i="14" s="1"/>
  <c r="K56" i="12"/>
  <c r="L56" i="12" s="1"/>
  <c r="B56" i="12" s="1"/>
  <c r="A57" i="12"/>
  <c r="F55" i="14"/>
  <c r="G55" i="14"/>
  <c r="D57" i="12" l="1"/>
  <c r="C57" i="12"/>
  <c r="M57" i="12"/>
  <c r="F57" i="12"/>
  <c r="B56" i="14"/>
  <c r="C56" i="14" s="1"/>
  <c r="H53" i="14"/>
  <c r="O57" i="12"/>
  <c r="H57" i="12"/>
  <c r="G57" i="12"/>
  <c r="I57" i="12"/>
  <c r="J57" i="12"/>
  <c r="E57" i="12"/>
  <c r="D56" i="14"/>
  <c r="E56" i="14" s="1"/>
  <c r="A57" i="14"/>
  <c r="A58" i="12"/>
  <c r="L57" i="12"/>
  <c r="B57" i="12" s="1"/>
  <c r="K57" i="12"/>
  <c r="F56" i="14"/>
  <c r="G56" i="14"/>
  <c r="M58" i="12" l="1"/>
  <c r="F58" i="12"/>
  <c r="D58" i="12"/>
  <c r="C58" i="12"/>
  <c r="H54" i="14"/>
  <c r="B57" i="14"/>
  <c r="C57" i="14" s="1"/>
  <c r="H55" i="14"/>
  <c r="O58" i="12"/>
  <c r="I58" i="12"/>
  <c r="J58" i="12"/>
  <c r="H58" i="12"/>
  <c r="G58" i="12"/>
  <c r="D57" i="14"/>
  <c r="E57" i="14" s="1"/>
  <c r="A58" i="14"/>
  <c r="K58" i="12"/>
  <c r="L58" i="12" s="1"/>
  <c r="B58" i="12" s="1"/>
  <c r="A59" i="12"/>
  <c r="E58" i="12"/>
  <c r="G57" i="14"/>
  <c r="F57" i="14"/>
  <c r="D59" i="12" l="1"/>
  <c r="C59" i="12"/>
  <c r="M59" i="12"/>
  <c r="F59" i="12"/>
  <c r="B58" i="14"/>
  <c r="C58" i="14" s="1"/>
  <c r="E59" i="12"/>
  <c r="O59" i="12"/>
  <c r="J59" i="12"/>
  <c r="I59" i="12"/>
  <c r="H59" i="12"/>
  <c r="G59" i="12"/>
  <c r="A59" i="14"/>
  <c r="D58" i="14"/>
  <c r="E58" i="14" s="1"/>
  <c r="K59" i="12"/>
  <c r="B59" i="12"/>
  <c r="A60" i="12"/>
  <c r="L59" i="12"/>
  <c r="G58" i="14"/>
  <c r="F58" i="14"/>
  <c r="C60" i="12" l="1"/>
  <c r="M60" i="12"/>
  <c r="F60" i="12"/>
  <c r="D60" i="12"/>
  <c r="H57" i="14"/>
  <c r="B59" i="14"/>
  <c r="C59" i="14" s="1"/>
  <c r="H56" i="14"/>
  <c r="O60" i="12"/>
  <c r="J60" i="12"/>
  <c r="I60" i="12"/>
  <c r="H60" i="12"/>
  <c r="G60" i="12"/>
  <c r="A60" i="14"/>
  <c r="D59" i="14"/>
  <c r="E59" i="14" s="1"/>
  <c r="K60" i="12"/>
  <c r="L60" i="12" s="1"/>
  <c r="B60" i="12" s="1"/>
  <c r="A61" i="12"/>
  <c r="E60" i="12"/>
  <c r="G59" i="14"/>
  <c r="F59" i="14"/>
  <c r="D61" i="12" l="1"/>
  <c r="C61" i="12"/>
  <c r="M61" i="12"/>
  <c r="F61" i="12"/>
  <c r="H58" i="14"/>
  <c r="B60" i="14"/>
  <c r="C60" i="14" s="1"/>
  <c r="E61" i="12"/>
  <c r="O61" i="12"/>
  <c r="H61" i="12"/>
  <c r="J61" i="12"/>
  <c r="I61" i="12"/>
  <c r="G61" i="12"/>
  <c r="A61" i="14"/>
  <c r="D60" i="14"/>
  <c r="E60" i="14" s="1"/>
  <c r="L61" i="12"/>
  <c r="K61" i="12"/>
  <c r="B61" i="12"/>
  <c r="A62" i="12"/>
  <c r="G60" i="14"/>
  <c r="F60" i="14"/>
  <c r="E62" i="12" l="1"/>
  <c r="M62" i="12"/>
  <c r="C62" i="12"/>
  <c r="F62" i="12"/>
  <c r="D62" i="12"/>
  <c r="H59" i="14"/>
  <c r="B61" i="14"/>
  <c r="C61" i="14" s="1"/>
  <c r="O62" i="12"/>
  <c r="J62" i="12"/>
  <c r="I62" i="12"/>
  <c r="G62" i="12"/>
  <c r="H62" i="12"/>
  <c r="A62" i="14"/>
  <c r="D61" i="14"/>
  <c r="E61" i="14" s="1"/>
  <c r="K62" i="12"/>
  <c r="L62" i="12" s="1"/>
  <c r="B62" i="12" s="1"/>
  <c r="A63" i="12"/>
  <c r="G61" i="14"/>
  <c r="F61" i="14"/>
  <c r="D63" i="12" l="1"/>
  <c r="C63" i="12"/>
  <c r="M63" i="12"/>
  <c r="F63" i="12"/>
  <c r="E63" i="12"/>
  <c r="B62" i="14"/>
  <c r="C62" i="14" s="1"/>
  <c r="H60" i="14"/>
  <c r="J63" i="12"/>
  <c r="I63" i="12"/>
  <c r="H63" i="12"/>
  <c r="O63" i="12"/>
  <c r="G63" i="12"/>
  <c r="A63" i="14"/>
  <c r="D62" i="14"/>
  <c r="E62" i="14" s="1"/>
  <c r="L63" i="12"/>
  <c r="B63" i="12" s="1"/>
  <c r="A64" i="12"/>
  <c r="K63" i="12"/>
  <c r="G62" i="14"/>
  <c r="F62" i="14"/>
  <c r="M64" i="12" l="1"/>
  <c r="F64" i="12"/>
  <c r="C64" i="12"/>
  <c r="D64" i="12"/>
  <c r="B63" i="14"/>
  <c r="C63" i="14" s="1"/>
  <c r="E64" i="12"/>
  <c r="J64" i="12"/>
  <c r="I64" i="12"/>
  <c r="H64" i="12"/>
  <c r="O64" i="12"/>
  <c r="G64" i="12"/>
  <c r="D63" i="14"/>
  <c r="E63" i="14" s="1"/>
  <c r="A64" i="14"/>
  <c r="K64" i="12"/>
  <c r="L64" i="12" s="1"/>
  <c r="B64" i="12" s="1"/>
  <c r="A65" i="12"/>
  <c r="F63" i="14"/>
  <c r="G63" i="14"/>
  <c r="E65" i="12" l="1"/>
  <c r="D65" i="12"/>
  <c r="C65" i="12"/>
  <c r="M65" i="12"/>
  <c r="F65" i="12"/>
  <c r="H62" i="14"/>
  <c r="B64" i="14"/>
  <c r="C64" i="14" s="1"/>
  <c r="H61" i="14"/>
  <c r="O65" i="12"/>
  <c r="H65" i="12"/>
  <c r="I65" i="12"/>
  <c r="G65" i="12"/>
  <c r="J65" i="12"/>
  <c r="A65" i="14"/>
  <c r="D64" i="14"/>
  <c r="E64" i="14" s="1"/>
  <c r="A66" i="12"/>
  <c r="B65" i="12"/>
  <c r="L65" i="12"/>
  <c r="K65" i="12"/>
  <c r="G64" i="14"/>
  <c r="F64" i="14"/>
  <c r="M66" i="12" l="1"/>
  <c r="C66" i="12"/>
  <c r="F66" i="12"/>
  <c r="D66" i="12"/>
  <c r="E66" i="12"/>
  <c r="B65" i="14"/>
  <c r="C65" i="14" s="1"/>
  <c r="H63" i="14"/>
  <c r="O66" i="12"/>
  <c r="J66" i="12"/>
  <c r="I66" i="12"/>
  <c r="H66" i="12"/>
  <c r="G66" i="12"/>
  <c r="A66" i="14"/>
  <c r="D65" i="14"/>
  <c r="E65" i="14" s="1"/>
  <c r="A67" i="12"/>
  <c r="K66" i="12"/>
  <c r="L66" i="12" s="1"/>
  <c r="B66" i="12" s="1"/>
  <c r="G65" i="14"/>
  <c r="F65" i="14"/>
  <c r="D67" i="12" l="1"/>
  <c r="C67" i="12"/>
  <c r="F67" i="12"/>
  <c r="M67" i="12"/>
  <c r="E67" i="12"/>
  <c r="B66" i="14"/>
  <c r="C66" i="14" s="1"/>
  <c r="O67" i="12"/>
  <c r="J67" i="12"/>
  <c r="I67" i="12"/>
  <c r="H67" i="12"/>
  <c r="G67" i="12"/>
  <c r="A67" i="14"/>
  <c r="D66" i="14"/>
  <c r="E66" i="14" s="1"/>
  <c r="L67" i="12"/>
  <c r="A68" i="12"/>
  <c r="K67" i="12"/>
  <c r="B67" i="12"/>
  <c r="F66" i="14"/>
  <c r="G66" i="14"/>
  <c r="C68" i="12" l="1"/>
  <c r="M68" i="12"/>
  <c r="F68" i="12"/>
  <c r="D68" i="12"/>
  <c r="H65" i="14"/>
  <c r="H64" i="14"/>
  <c r="B67" i="14"/>
  <c r="C67" i="14" s="1"/>
  <c r="E68" i="12"/>
  <c r="O68" i="12"/>
  <c r="J68" i="12"/>
  <c r="I68" i="12"/>
  <c r="H68" i="12"/>
  <c r="G68" i="12"/>
  <c r="D67" i="14"/>
  <c r="E67" i="14" s="1"/>
  <c r="A68" i="14"/>
  <c r="L68" i="12"/>
  <c r="B68" i="12" s="1"/>
  <c r="A69" i="12"/>
  <c r="K68" i="12"/>
  <c r="G67" i="14"/>
  <c r="F67" i="14"/>
  <c r="D69" i="12" l="1"/>
  <c r="M69" i="12"/>
  <c r="F69" i="12"/>
  <c r="C69" i="12"/>
  <c r="B68" i="14"/>
  <c r="C68" i="14" s="1"/>
  <c r="E69" i="12"/>
  <c r="O69" i="12"/>
  <c r="H69" i="12"/>
  <c r="J69" i="12"/>
  <c r="I69" i="12"/>
  <c r="G69" i="12"/>
  <c r="A69" i="14"/>
  <c r="D68" i="14"/>
  <c r="E68" i="14" s="1"/>
  <c r="A70" i="12"/>
  <c r="K69" i="12"/>
  <c r="L69" i="12" s="1"/>
  <c r="B69" i="12" s="1"/>
  <c r="F68" i="14"/>
  <c r="G68" i="14"/>
  <c r="E70" i="12" l="1"/>
  <c r="M70" i="12"/>
  <c r="F70" i="12"/>
  <c r="C70" i="12"/>
  <c r="D70" i="12"/>
  <c r="H66" i="14"/>
  <c r="B69" i="14"/>
  <c r="C69" i="14" s="1"/>
  <c r="H67" i="14"/>
  <c r="O70" i="12"/>
  <c r="J70" i="12"/>
  <c r="I70" i="12"/>
  <c r="G70" i="12"/>
  <c r="H70" i="12"/>
  <c r="D69" i="14"/>
  <c r="E69" i="14" s="1"/>
  <c r="A70" i="14"/>
  <c r="A71" i="12"/>
  <c r="K70" i="12"/>
  <c r="L70" i="12" s="1"/>
  <c r="B70" i="12" s="1"/>
  <c r="G69" i="14"/>
  <c r="F69" i="14"/>
  <c r="D71" i="12" l="1"/>
  <c r="C71" i="12"/>
  <c r="F71" i="12"/>
  <c r="M71" i="12"/>
  <c r="E71" i="12"/>
  <c r="H68" i="14"/>
  <c r="B70" i="14"/>
  <c r="C70" i="14" s="1"/>
  <c r="O71" i="12"/>
  <c r="J71" i="12"/>
  <c r="I71" i="12"/>
  <c r="G71" i="12"/>
  <c r="H71" i="12"/>
  <c r="A71" i="14"/>
  <c r="D70" i="14"/>
  <c r="E70" i="14" s="1"/>
  <c r="L71" i="12"/>
  <c r="B71" i="12" s="1"/>
  <c r="A72" i="12"/>
  <c r="K71" i="12"/>
  <c r="G70" i="14"/>
  <c r="F70" i="14"/>
  <c r="C72" i="12" l="1"/>
  <c r="M72" i="12"/>
  <c r="F72" i="12"/>
  <c r="D72" i="12"/>
  <c r="B71" i="14"/>
  <c r="C71" i="14" s="1"/>
  <c r="H69" i="14"/>
  <c r="E72" i="12"/>
  <c r="O72" i="12"/>
  <c r="J72" i="12"/>
  <c r="I72" i="12"/>
  <c r="H72" i="12"/>
  <c r="G72" i="12"/>
  <c r="A72" i="14"/>
  <c r="D71" i="14"/>
  <c r="E71" i="14" s="1"/>
  <c r="L72" i="12"/>
  <c r="B72" i="12" s="1"/>
  <c r="A73" i="12"/>
  <c r="K72" i="12"/>
  <c r="G71" i="14"/>
  <c r="F71" i="14"/>
  <c r="D73" i="12" l="1"/>
  <c r="C73" i="12"/>
  <c r="M73" i="12"/>
  <c r="F73" i="12"/>
  <c r="B72" i="14"/>
  <c r="C72" i="14" s="1"/>
  <c r="E73" i="12"/>
  <c r="O73" i="12"/>
  <c r="H73" i="12"/>
  <c r="J73" i="12"/>
  <c r="I73" i="12"/>
  <c r="G73" i="12"/>
  <c r="A73" i="14"/>
  <c r="D72" i="14"/>
  <c r="E72" i="14" s="1"/>
  <c r="A74" i="12"/>
  <c r="B73" i="12"/>
  <c r="L73" i="12"/>
  <c r="K73" i="12"/>
  <c r="F72" i="14"/>
  <c r="G72" i="14"/>
  <c r="M74" i="12" l="1"/>
  <c r="F74" i="12"/>
  <c r="D74" i="12"/>
  <c r="C74" i="12"/>
  <c r="E74" i="12"/>
  <c r="H71" i="14"/>
  <c r="B73" i="14"/>
  <c r="C73" i="14" s="1"/>
  <c r="H70" i="14"/>
  <c r="O74" i="12"/>
  <c r="I74" i="12"/>
  <c r="G74" i="12"/>
  <c r="H74" i="12"/>
  <c r="J74" i="12"/>
  <c r="D73" i="14"/>
  <c r="E73" i="14" s="1"/>
  <c r="A74" i="14"/>
  <c r="K74" i="12"/>
  <c r="L74" i="12" s="1"/>
  <c r="B74" i="12" s="1"/>
  <c r="A75" i="12"/>
  <c r="G73" i="14"/>
  <c r="F73" i="14"/>
  <c r="D75" i="12" l="1"/>
  <c r="C75" i="12"/>
  <c r="M75" i="12"/>
  <c r="F75" i="12"/>
  <c r="E75" i="12"/>
  <c r="B74" i="14"/>
  <c r="C74" i="14" s="1"/>
  <c r="O75" i="12"/>
  <c r="J75" i="12"/>
  <c r="I75" i="12"/>
  <c r="H75" i="12"/>
  <c r="G75" i="12"/>
  <c r="A75" i="14"/>
  <c r="D74" i="14"/>
  <c r="E74" i="14" s="1"/>
  <c r="L75" i="12"/>
  <c r="B75" i="12" s="1"/>
  <c r="A76" i="12"/>
  <c r="K75" i="12"/>
  <c r="F74" i="14"/>
  <c r="G74" i="14"/>
  <c r="E76" i="12" l="1"/>
  <c r="M76" i="12"/>
  <c r="C76" i="12"/>
  <c r="F76" i="12"/>
  <c r="D76" i="12"/>
  <c r="H72" i="14"/>
  <c r="B75" i="14"/>
  <c r="C75" i="14" s="1"/>
  <c r="H73" i="14"/>
  <c r="O76" i="12"/>
  <c r="J76" i="12"/>
  <c r="I76" i="12"/>
  <c r="H76" i="12"/>
  <c r="G76" i="12"/>
  <c r="A76" i="14"/>
  <c r="D75" i="14"/>
  <c r="E75" i="14" s="1"/>
  <c r="K76" i="12"/>
  <c r="L76" i="12" s="1"/>
  <c r="B76" i="12" s="1"/>
  <c r="A77" i="12"/>
  <c r="F75" i="14"/>
  <c r="G75" i="14"/>
  <c r="E77" i="12" l="1"/>
  <c r="D77" i="12"/>
  <c r="C77" i="12"/>
  <c r="M77" i="12"/>
  <c r="F77" i="12"/>
  <c r="H74" i="14"/>
  <c r="B76" i="14"/>
  <c r="C76" i="14" s="1"/>
  <c r="O77" i="12"/>
  <c r="H77" i="12"/>
  <c r="J77" i="12"/>
  <c r="I77" i="12"/>
  <c r="G77" i="12"/>
  <c r="A77" i="14"/>
  <c r="D76" i="14"/>
  <c r="E76" i="14" s="1"/>
  <c r="A78" i="12"/>
  <c r="K77" i="12"/>
  <c r="L77" i="12"/>
  <c r="B77" i="12" s="1"/>
  <c r="G76" i="14"/>
  <c r="F76" i="14"/>
  <c r="M78" i="12" l="1"/>
  <c r="F78" i="12"/>
  <c r="C78" i="12"/>
  <c r="D78" i="12"/>
  <c r="B77" i="14"/>
  <c r="C77" i="14" s="1"/>
  <c r="O78" i="12"/>
  <c r="J78" i="12"/>
  <c r="I78" i="12"/>
  <c r="H78" i="12"/>
  <c r="G78" i="12"/>
  <c r="D77" i="14"/>
  <c r="E77" i="14" s="1"/>
  <c r="A78" i="14"/>
  <c r="A79" i="12"/>
  <c r="K78" i="12"/>
  <c r="L78" i="12" s="1"/>
  <c r="B78" i="12" s="1"/>
  <c r="E78" i="12"/>
  <c r="F77" i="14"/>
  <c r="G77" i="14"/>
  <c r="D79" i="12" l="1"/>
  <c r="C79" i="12"/>
  <c r="M79" i="12"/>
  <c r="F79" i="12"/>
  <c r="H76" i="14"/>
  <c r="B78" i="14"/>
  <c r="C78" i="14" s="1"/>
  <c r="H75" i="14"/>
  <c r="J79" i="12"/>
  <c r="I79" i="12"/>
  <c r="O79" i="12"/>
  <c r="H79" i="12"/>
  <c r="G79" i="12"/>
  <c r="A79" i="14"/>
  <c r="D78" i="14"/>
  <c r="E78" i="14" s="1"/>
  <c r="K79" i="12"/>
  <c r="L79" i="12" s="1"/>
  <c r="B79" i="12" s="1"/>
  <c r="A80" i="12"/>
  <c r="E79" i="12"/>
  <c r="F78" i="14"/>
  <c r="G78" i="14"/>
  <c r="M80" i="12" l="1"/>
  <c r="C80" i="12"/>
  <c r="F80" i="12"/>
  <c r="D80" i="12"/>
  <c r="B79" i="14"/>
  <c r="C79" i="14" s="1"/>
  <c r="E80" i="12"/>
  <c r="J80" i="12"/>
  <c r="I80" i="12"/>
  <c r="O80" i="12"/>
  <c r="H80" i="12"/>
  <c r="G80" i="12"/>
  <c r="A80" i="14"/>
  <c r="D79" i="14"/>
  <c r="E79" i="14" s="1"/>
  <c r="K80" i="12"/>
  <c r="L80" i="12"/>
  <c r="B80" i="12" s="1"/>
  <c r="A81" i="12"/>
  <c r="G79" i="14"/>
  <c r="F79" i="14"/>
  <c r="D81" i="12" l="1"/>
  <c r="C81" i="12"/>
  <c r="M81" i="12"/>
  <c r="F81" i="12"/>
  <c r="B80" i="14"/>
  <c r="C80" i="14" s="1"/>
  <c r="H77" i="14"/>
  <c r="E81" i="12"/>
  <c r="O81" i="12"/>
  <c r="H81" i="12"/>
  <c r="G81" i="12"/>
  <c r="J81" i="12"/>
  <c r="I81" i="12"/>
  <c r="A81" i="14"/>
  <c r="D80" i="14"/>
  <c r="E80" i="14" s="1"/>
  <c r="A82" i="12"/>
  <c r="K81" i="12"/>
  <c r="B81" i="12"/>
  <c r="L81" i="12"/>
  <c r="F80" i="14"/>
  <c r="G80" i="14"/>
  <c r="G81" i="14" l="1"/>
  <c r="F81" i="14"/>
  <c r="C82" i="12"/>
  <c r="M82" i="12"/>
  <c r="F82" i="12"/>
  <c r="D82" i="12"/>
  <c r="C81" i="14"/>
  <c r="H79" i="14"/>
  <c r="B81" i="14"/>
  <c r="H78" i="14"/>
  <c r="O82" i="12"/>
  <c r="J82" i="12"/>
  <c r="G82" i="12"/>
  <c r="H82" i="12"/>
  <c r="I82" i="12"/>
  <c r="H81" i="14"/>
  <c r="E81" i="14"/>
  <c r="D81" i="14"/>
  <c r="A82" i="14"/>
  <c r="L82" i="12"/>
  <c r="K82" i="12"/>
  <c r="A83" i="12"/>
  <c r="E82" i="12"/>
  <c r="B82" i="12"/>
  <c r="D83" i="12" l="1"/>
  <c r="C83" i="12"/>
  <c r="M83" i="12"/>
  <c r="F83" i="12"/>
  <c r="G82" i="14"/>
  <c r="F82" i="14"/>
  <c r="C82" i="14"/>
  <c r="B82" i="14"/>
  <c r="H80" i="14"/>
  <c r="O83" i="12"/>
  <c r="J83" i="12"/>
  <c r="I83" i="12"/>
  <c r="H83" i="12"/>
  <c r="G83" i="12"/>
  <c r="E82" i="14"/>
  <c r="A83" i="14"/>
  <c r="D82" i="14"/>
  <c r="H82" i="14"/>
  <c r="E83" i="12"/>
  <c r="A84" i="12"/>
  <c r="B83" i="12"/>
  <c r="K83" i="12"/>
  <c r="L83" i="12"/>
  <c r="G83" i="14" l="1"/>
  <c r="F83" i="14"/>
  <c r="M84" i="12"/>
  <c r="F84" i="12"/>
  <c r="C84" i="12"/>
  <c r="D84" i="12"/>
  <c r="C83" i="14"/>
  <c r="B83" i="14"/>
  <c r="O84" i="12"/>
  <c r="J84" i="12"/>
  <c r="I84" i="12"/>
  <c r="H84" i="12"/>
  <c r="G84" i="12"/>
  <c r="H83" i="14"/>
  <c r="A84" i="14"/>
  <c r="E83" i="14"/>
  <c r="D83" i="14"/>
  <c r="E84" i="12"/>
  <c r="K84" i="12"/>
  <c r="L84" i="12"/>
  <c r="A85" i="12"/>
  <c r="B84" i="12"/>
  <c r="D85" i="12" l="1"/>
  <c r="M85" i="12"/>
  <c r="C85" i="12"/>
  <c r="F85" i="12"/>
  <c r="G84" i="14"/>
  <c r="F84" i="14"/>
  <c r="C84" i="14"/>
  <c r="B84" i="14"/>
  <c r="O85" i="12"/>
  <c r="H85" i="12"/>
  <c r="J85" i="12"/>
  <c r="I85" i="12"/>
  <c r="G85" i="12"/>
  <c r="E84" i="14"/>
  <c r="A85" i="14"/>
  <c r="D84" i="14"/>
  <c r="H84" i="14"/>
  <c r="K85" i="12"/>
  <c r="L85" i="12"/>
  <c r="B85" i="12"/>
  <c r="E85" i="12"/>
  <c r="A86" i="12"/>
  <c r="G85" i="14" l="1"/>
  <c r="F85" i="14"/>
  <c r="M86" i="12"/>
  <c r="F86" i="12"/>
  <c r="D86" i="12"/>
  <c r="C86" i="12"/>
  <c r="C85" i="14"/>
  <c r="B85" i="14"/>
  <c r="O86" i="12"/>
  <c r="J86" i="12"/>
  <c r="I86" i="12"/>
  <c r="G86" i="12"/>
  <c r="H86" i="12"/>
  <c r="H85" i="14"/>
  <c r="E85" i="14"/>
  <c r="D85" i="14"/>
  <c r="A86" i="14"/>
  <c r="E86" i="12"/>
  <c r="L86" i="12"/>
  <c r="K86" i="12"/>
  <c r="B86" i="12"/>
  <c r="A87" i="12"/>
  <c r="D87" i="12" l="1"/>
  <c r="F87" i="12"/>
  <c r="C87" i="12"/>
  <c r="M87" i="12"/>
  <c r="F86" i="14"/>
  <c r="G86" i="14"/>
  <c r="C86" i="14"/>
  <c r="B86" i="14"/>
  <c r="O87" i="12"/>
  <c r="J87" i="12"/>
  <c r="I87" i="12"/>
  <c r="G87" i="12"/>
  <c r="H87" i="12"/>
  <c r="E86" i="14"/>
  <c r="A87" i="14"/>
  <c r="D86" i="14"/>
  <c r="H86" i="14"/>
  <c r="K87" i="12"/>
  <c r="E87" i="12"/>
  <c r="L87" i="12"/>
  <c r="A88" i="12"/>
  <c r="B87" i="12"/>
  <c r="G87" i="14" l="1"/>
  <c r="F87" i="14"/>
  <c r="C88" i="12"/>
  <c r="M88" i="12"/>
  <c r="F88" i="12"/>
  <c r="D88" i="12"/>
  <c r="C87" i="14"/>
  <c r="B87" i="14"/>
  <c r="O88" i="12"/>
  <c r="J88" i="12"/>
  <c r="I88" i="12"/>
  <c r="H88" i="12"/>
  <c r="G88" i="12"/>
  <c r="H87" i="14"/>
  <c r="A88" i="14"/>
  <c r="E87" i="14"/>
  <c r="D87" i="14"/>
  <c r="A89" i="12"/>
  <c r="K88" i="12"/>
  <c r="L88" i="12"/>
  <c r="B88" i="12"/>
  <c r="E88" i="12"/>
  <c r="G88" i="14" l="1"/>
  <c r="F88" i="14"/>
  <c r="D89" i="12"/>
  <c r="C89" i="12"/>
  <c r="F89" i="12"/>
  <c r="M89" i="12"/>
  <c r="C88" i="14"/>
  <c r="B88" i="14"/>
  <c r="O89" i="12"/>
  <c r="H89" i="12"/>
  <c r="I89" i="12"/>
  <c r="J89" i="12"/>
  <c r="G89" i="12"/>
  <c r="E88" i="14"/>
  <c r="A89" i="14"/>
  <c r="D88" i="14"/>
  <c r="H88" i="14"/>
  <c r="K89" i="12"/>
  <c r="E89" i="12"/>
  <c r="L89" i="12"/>
  <c r="A90" i="12"/>
  <c r="B89" i="12"/>
  <c r="G89" i="14" l="1"/>
  <c r="F89" i="14"/>
  <c r="M90" i="12"/>
  <c r="C90" i="12"/>
  <c r="F90" i="12"/>
  <c r="D90" i="12"/>
  <c r="C89" i="14"/>
  <c r="B89" i="14"/>
  <c r="O90" i="12"/>
  <c r="I90" i="12"/>
  <c r="H90" i="12"/>
  <c r="J90" i="12"/>
  <c r="G90" i="12"/>
  <c r="H89" i="14"/>
  <c r="E89" i="14"/>
  <c r="D89" i="14"/>
  <c r="A90" i="14"/>
  <c r="K90" i="12"/>
  <c r="L90" i="12"/>
  <c r="E90" i="12"/>
  <c r="A91" i="12"/>
  <c r="B90" i="12"/>
  <c r="D91" i="12" l="1"/>
  <c r="C91" i="12"/>
  <c r="M91" i="12"/>
  <c r="F91" i="12"/>
  <c r="F90" i="14"/>
  <c r="G90" i="14"/>
  <c r="C90" i="14"/>
  <c r="B90" i="14"/>
  <c r="O91" i="12"/>
  <c r="J91" i="12"/>
  <c r="I91" i="12"/>
  <c r="H91" i="12"/>
  <c r="G91" i="12"/>
  <c r="E90" i="14"/>
  <c r="A91" i="14"/>
  <c r="D90" i="14"/>
  <c r="H90" i="14"/>
  <c r="K91" i="12"/>
  <c r="L91" i="12"/>
  <c r="E91" i="12"/>
  <c r="A92" i="12"/>
  <c r="B91" i="12"/>
  <c r="G91" i="14" l="1"/>
  <c r="F91" i="14"/>
  <c r="M92" i="12"/>
  <c r="F92" i="12"/>
  <c r="C92" i="12"/>
  <c r="D92" i="12"/>
  <c r="C91" i="14"/>
  <c r="B91" i="14"/>
  <c r="O92" i="12"/>
  <c r="J92" i="12"/>
  <c r="I92" i="12"/>
  <c r="H92" i="12"/>
  <c r="G92" i="12"/>
  <c r="H91" i="14"/>
  <c r="A92" i="14"/>
  <c r="E91" i="14"/>
  <c r="D91" i="14"/>
  <c r="K92" i="12"/>
  <c r="E92" i="12"/>
  <c r="L92" i="12"/>
  <c r="B92" i="12"/>
  <c r="A93" i="12"/>
  <c r="D93" i="12" l="1"/>
  <c r="C93" i="12"/>
  <c r="M93" i="12"/>
  <c r="F93" i="12"/>
  <c r="G92" i="14"/>
  <c r="F92" i="14"/>
  <c r="C92" i="14"/>
  <c r="B92" i="14"/>
  <c r="O93" i="12"/>
  <c r="H93" i="12"/>
  <c r="J93" i="12"/>
  <c r="I93" i="12"/>
  <c r="G93" i="12"/>
  <c r="E92" i="14"/>
  <c r="A93" i="14"/>
  <c r="D92" i="14"/>
  <c r="H92" i="14"/>
  <c r="K93" i="12"/>
  <c r="E93" i="12"/>
  <c r="L93" i="12"/>
  <c r="A94" i="12"/>
  <c r="B93" i="12"/>
  <c r="G93" i="14" l="1"/>
  <c r="F93" i="14"/>
  <c r="C94" i="12"/>
  <c r="M94" i="12"/>
  <c r="F94" i="12"/>
  <c r="D94" i="12"/>
  <c r="C93" i="14"/>
  <c r="B93" i="14"/>
  <c r="O94" i="12"/>
  <c r="J94" i="12"/>
  <c r="I94" i="12"/>
  <c r="G94" i="12"/>
  <c r="H94" i="12"/>
  <c r="H93" i="14"/>
  <c r="E93" i="14"/>
  <c r="D93" i="14"/>
  <c r="A94" i="14"/>
  <c r="K94" i="12"/>
  <c r="E94" i="12"/>
  <c r="A95" i="12"/>
  <c r="B94" i="12"/>
  <c r="L94" i="12"/>
  <c r="D95" i="12" l="1"/>
  <c r="C95" i="12"/>
  <c r="M95" i="12"/>
  <c r="F95" i="12"/>
  <c r="G94" i="14"/>
  <c r="F94" i="14"/>
  <c r="C94" i="14"/>
  <c r="B94" i="14"/>
  <c r="J95" i="12"/>
  <c r="I95" i="12"/>
  <c r="H95" i="12"/>
  <c r="O95" i="12"/>
  <c r="G95" i="12"/>
  <c r="E94" i="14"/>
  <c r="A95" i="14"/>
  <c r="D94" i="14"/>
  <c r="H94" i="14"/>
  <c r="K95" i="12"/>
  <c r="L95" i="12"/>
  <c r="E95" i="12"/>
  <c r="A96" i="12"/>
  <c r="B95" i="12"/>
  <c r="G95" i="14" l="1"/>
  <c r="F95" i="14"/>
  <c r="M96" i="12"/>
  <c r="F96" i="12"/>
  <c r="D96" i="12"/>
  <c r="C96" i="12"/>
  <c r="C95" i="14"/>
  <c r="B95" i="14"/>
  <c r="J96" i="12"/>
  <c r="I96" i="12"/>
  <c r="H96" i="12"/>
  <c r="G96" i="12"/>
  <c r="O96" i="12"/>
  <c r="H95" i="14"/>
  <c r="A96" i="14"/>
  <c r="E95" i="14"/>
  <c r="D95" i="14"/>
  <c r="K96" i="12"/>
  <c r="L96" i="12"/>
  <c r="E96" i="12"/>
  <c r="B96" i="12"/>
  <c r="A97" i="12"/>
  <c r="G96" i="14" l="1"/>
  <c r="F96" i="14"/>
  <c r="D97" i="12"/>
  <c r="C97" i="12"/>
  <c r="M97" i="12"/>
  <c r="F97" i="12"/>
  <c r="C96" i="14"/>
  <c r="B96" i="14"/>
  <c r="O97" i="12"/>
  <c r="H97" i="12"/>
  <c r="I97" i="12"/>
  <c r="J97" i="12"/>
  <c r="G97" i="12"/>
  <c r="E96" i="14"/>
  <c r="A97" i="14"/>
  <c r="D96" i="14"/>
  <c r="H96" i="14"/>
  <c r="K97" i="12"/>
  <c r="E97" i="12"/>
  <c r="L97" i="12"/>
  <c r="A98" i="12"/>
  <c r="B97" i="12"/>
  <c r="G97" i="14" l="1"/>
  <c r="F97" i="14"/>
  <c r="M98" i="12"/>
  <c r="C98" i="12"/>
  <c r="F98" i="12"/>
  <c r="D98" i="12"/>
  <c r="C97" i="14"/>
  <c r="B97" i="14"/>
  <c r="O98" i="12"/>
  <c r="J98" i="12"/>
  <c r="I98" i="12"/>
  <c r="H98" i="12"/>
  <c r="G98" i="12"/>
  <c r="H97" i="14"/>
  <c r="E97" i="14"/>
  <c r="D97" i="14"/>
  <c r="A98" i="14"/>
  <c r="K98" i="12"/>
  <c r="E98" i="12"/>
  <c r="A99" i="12"/>
  <c r="B98" i="12"/>
  <c r="L98" i="12"/>
  <c r="D99" i="12" l="1"/>
  <c r="M99" i="12"/>
  <c r="C99" i="12"/>
  <c r="F99" i="12"/>
  <c r="G98" i="14"/>
  <c r="F98" i="14"/>
  <c r="C98" i="14"/>
  <c r="B98" i="14"/>
  <c r="O99" i="12"/>
  <c r="J99" i="12"/>
  <c r="I99" i="12"/>
  <c r="H99" i="12"/>
  <c r="G99" i="12"/>
  <c r="E98" i="14"/>
  <c r="A99" i="14"/>
  <c r="D98" i="14"/>
  <c r="H98" i="14"/>
  <c r="K99" i="12"/>
  <c r="L99" i="12"/>
  <c r="E99" i="12"/>
  <c r="A100" i="12"/>
  <c r="B99" i="12"/>
  <c r="G99" i="14" l="1"/>
  <c r="F99" i="14"/>
  <c r="M100" i="12"/>
  <c r="F100" i="12"/>
  <c r="C100" i="12"/>
  <c r="D100" i="12"/>
  <c r="C99" i="14"/>
  <c r="B99" i="14"/>
  <c r="O100" i="12"/>
  <c r="J100" i="12"/>
  <c r="I100" i="12"/>
  <c r="H100" i="12"/>
  <c r="G100" i="12"/>
  <c r="H99" i="14"/>
  <c r="A100" i="14"/>
  <c r="E99" i="14"/>
  <c r="D99" i="14"/>
  <c r="K100" i="12"/>
  <c r="L100" i="12"/>
  <c r="E100" i="12"/>
  <c r="B100" i="12"/>
  <c r="A101" i="12"/>
  <c r="D101" i="12" l="1"/>
  <c r="C101" i="12"/>
  <c r="F101" i="12"/>
  <c r="M101" i="12"/>
  <c r="G100" i="14"/>
  <c r="F100" i="14"/>
  <c r="C100" i="14"/>
  <c r="B100" i="14"/>
  <c r="O101" i="12"/>
  <c r="H101" i="12"/>
  <c r="J101" i="12"/>
  <c r="I101" i="12"/>
  <c r="G101" i="12"/>
  <c r="E100" i="14"/>
  <c r="A101" i="14"/>
  <c r="D100" i="14"/>
  <c r="H100" i="14"/>
  <c r="K101" i="12"/>
  <c r="B101" i="12"/>
  <c r="L101" i="12"/>
  <c r="E101" i="12"/>
  <c r="A102" i="12"/>
  <c r="G101" i="14" l="1"/>
  <c r="F101" i="14"/>
  <c r="C102" i="12"/>
  <c r="M102" i="12"/>
  <c r="F102" i="12"/>
  <c r="D102" i="12"/>
  <c r="C101" i="14"/>
  <c r="B101" i="14"/>
  <c r="O102" i="12"/>
  <c r="J102" i="12"/>
  <c r="I102" i="12"/>
  <c r="G102" i="12"/>
  <c r="H102" i="12"/>
  <c r="H101" i="14"/>
  <c r="E101" i="14"/>
  <c r="D101" i="14"/>
  <c r="A102" i="14"/>
  <c r="E102" i="12"/>
  <c r="L102" i="12"/>
  <c r="B102" i="12"/>
  <c r="A103" i="12"/>
  <c r="K102" i="12"/>
  <c r="D103" i="12" l="1"/>
  <c r="C103" i="12"/>
  <c r="M103" i="12"/>
  <c r="F103" i="12"/>
  <c r="G102" i="14"/>
  <c r="F102" i="14"/>
  <c r="C102" i="14"/>
  <c r="B102" i="14"/>
  <c r="J103" i="12"/>
  <c r="O103" i="12"/>
  <c r="I103" i="12"/>
  <c r="G103" i="12"/>
  <c r="H103" i="12"/>
  <c r="E102" i="14"/>
  <c r="A103" i="14"/>
  <c r="D102" i="14"/>
  <c r="H102" i="14"/>
  <c r="K103" i="12"/>
  <c r="E103" i="12"/>
  <c r="L103" i="12"/>
  <c r="A104" i="12"/>
  <c r="B103" i="12"/>
  <c r="G103" i="14" l="1"/>
  <c r="F103" i="14"/>
  <c r="C104" i="12"/>
  <c r="M104" i="12"/>
  <c r="F104" i="12"/>
  <c r="D104" i="12"/>
  <c r="C103" i="14"/>
  <c r="B103" i="14"/>
  <c r="J104" i="12"/>
  <c r="O104" i="12"/>
  <c r="I104" i="12"/>
  <c r="H104" i="12"/>
  <c r="G104" i="12"/>
  <c r="H103" i="14"/>
  <c r="A104" i="14"/>
  <c r="D103" i="14"/>
  <c r="E103" i="14"/>
  <c r="K104" i="12"/>
  <c r="A105" i="12"/>
  <c r="E104" i="12"/>
  <c r="L104" i="12"/>
  <c r="B104" i="12"/>
  <c r="G104" i="14" l="1"/>
  <c r="F104" i="14"/>
  <c r="D105" i="12"/>
  <c r="F105" i="12"/>
  <c r="C105" i="12"/>
  <c r="M105" i="12"/>
  <c r="C104" i="14"/>
  <c r="B104" i="14"/>
  <c r="O105" i="12"/>
  <c r="J105" i="12"/>
  <c r="H105" i="12"/>
  <c r="I105" i="12"/>
  <c r="G105" i="12"/>
  <c r="E104" i="14"/>
  <c r="A105" i="14"/>
  <c r="D104" i="14"/>
  <c r="H104" i="14"/>
  <c r="K105" i="12"/>
  <c r="E105" i="12"/>
  <c r="L105" i="12"/>
  <c r="A106" i="12"/>
  <c r="B105" i="12"/>
  <c r="G105" i="14" l="1"/>
  <c r="F105" i="14"/>
  <c r="M106" i="12"/>
  <c r="F106" i="12"/>
  <c r="D106" i="12"/>
  <c r="C106" i="12"/>
  <c r="C105" i="14"/>
  <c r="B105" i="14"/>
  <c r="O106" i="12"/>
  <c r="J106" i="12"/>
  <c r="I106" i="12"/>
  <c r="G106" i="12"/>
  <c r="H106" i="12"/>
  <c r="H105" i="14"/>
  <c r="E105" i="14"/>
  <c r="D105" i="14"/>
  <c r="A106" i="14"/>
  <c r="K106" i="12"/>
  <c r="E106" i="12"/>
  <c r="A107" i="12"/>
  <c r="B106" i="12"/>
  <c r="L106" i="12"/>
  <c r="D107" i="12" l="1"/>
  <c r="C107" i="12"/>
  <c r="M107" i="12"/>
  <c r="F107" i="12"/>
  <c r="G106" i="14"/>
  <c r="F106" i="14"/>
  <c r="C106" i="14"/>
  <c r="B106" i="14"/>
  <c r="O107" i="12"/>
  <c r="J107" i="12"/>
  <c r="I107" i="12"/>
  <c r="H107" i="12"/>
  <c r="G107" i="12"/>
  <c r="E106" i="14"/>
  <c r="A107" i="14"/>
  <c r="D106" i="14"/>
  <c r="H106" i="14"/>
  <c r="K107" i="12"/>
  <c r="L107" i="12"/>
  <c r="A108" i="12"/>
  <c r="B107" i="12"/>
  <c r="E107" i="12"/>
  <c r="G107" i="14" l="1"/>
  <c r="F107" i="14"/>
  <c r="F108" i="12"/>
  <c r="M108" i="12"/>
  <c r="C108" i="12"/>
  <c r="D108" i="12"/>
  <c r="C107" i="14"/>
  <c r="B107" i="14"/>
  <c r="O108" i="12"/>
  <c r="J108" i="12"/>
  <c r="I108" i="12"/>
  <c r="H108" i="12"/>
  <c r="G108" i="12"/>
  <c r="H107" i="14"/>
  <c r="A108" i="14"/>
  <c r="E107" i="14"/>
  <c r="D107" i="14"/>
  <c r="E108" i="12"/>
  <c r="K108" i="12"/>
  <c r="L108" i="12"/>
  <c r="A109" i="12"/>
  <c r="B108" i="12"/>
  <c r="B4" i="10"/>
  <c r="B11" i="10" s="1"/>
  <c r="G108" i="14" l="1"/>
  <c r="F108" i="14"/>
  <c r="M109" i="12"/>
  <c r="F109" i="12"/>
  <c r="D109" i="12"/>
  <c r="C109" i="12"/>
  <c r="C108" i="14"/>
  <c r="B108" i="14"/>
  <c r="O109" i="12"/>
  <c r="H109" i="12"/>
  <c r="I109" i="12"/>
  <c r="J109" i="12"/>
  <c r="G109" i="12"/>
  <c r="E108" i="14"/>
  <c r="A109" i="14"/>
  <c r="D108" i="14"/>
  <c r="H108" i="14"/>
  <c r="K109" i="12"/>
  <c r="B109" i="12"/>
  <c r="L109" i="12"/>
  <c r="E109" i="12"/>
  <c r="A110" i="12"/>
  <c r="D16" i="10"/>
  <c r="E16" i="10" s="1"/>
  <c r="F110" i="12" l="1"/>
  <c r="D110" i="12"/>
  <c r="C110" i="12"/>
  <c r="M110" i="12"/>
  <c r="G109" i="14"/>
  <c r="F109" i="14"/>
  <c r="C16" i="10"/>
  <c r="C109" i="14"/>
  <c r="B109" i="14"/>
  <c r="O110" i="12"/>
  <c r="I110" i="12"/>
  <c r="J110" i="12"/>
  <c r="H110" i="12"/>
  <c r="G110" i="12"/>
  <c r="H109" i="14"/>
  <c r="E109" i="14"/>
  <c r="D109" i="14"/>
  <c r="A110" i="14"/>
  <c r="L110" i="12"/>
  <c r="K110" i="12"/>
  <c r="E110" i="12"/>
  <c r="B110" i="12"/>
  <c r="A111" i="12"/>
  <c r="B16" i="10"/>
  <c r="M111" i="12" l="1"/>
  <c r="F111" i="12"/>
  <c r="D111" i="12"/>
  <c r="C111" i="12"/>
  <c r="G110" i="14"/>
  <c r="F110" i="14"/>
  <c r="C110" i="14"/>
  <c r="B110" i="14"/>
  <c r="O111" i="12"/>
  <c r="J111" i="12"/>
  <c r="I111" i="12"/>
  <c r="H111" i="12"/>
  <c r="G111" i="12"/>
  <c r="E110" i="14"/>
  <c r="A111" i="14"/>
  <c r="D110" i="14"/>
  <c r="H110" i="14"/>
  <c r="K111" i="12"/>
  <c r="L111" i="12"/>
  <c r="E111" i="12"/>
  <c r="A112" i="12"/>
  <c r="B111" i="12"/>
  <c r="C17" i="10"/>
  <c r="A18" i="10"/>
  <c r="D17" i="10"/>
  <c r="E17" i="10" s="1"/>
  <c r="B17" i="10"/>
  <c r="G111" i="14" l="1"/>
  <c r="F111" i="14"/>
  <c r="F112" i="12"/>
  <c r="D112" i="12"/>
  <c r="C112" i="12"/>
  <c r="M112" i="12"/>
  <c r="C111" i="14"/>
  <c r="B111" i="14"/>
  <c r="O112" i="12"/>
  <c r="J112" i="12"/>
  <c r="I112" i="12"/>
  <c r="H112" i="12"/>
  <c r="G112" i="12"/>
  <c r="H111" i="14"/>
  <c r="A112" i="14"/>
  <c r="E111" i="14"/>
  <c r="D111" i="14"/>
  <c r="K112" i="12"/>
  <c r="B112" i="12"/>
  <c r="E112" i="12"/>
  <c r="L112" i="12"/>
  <c r="A113" i="12"/>
  <c r="G17" i="10"/>
  <c r="C18" i="10"/>
  <c r="A19" i="10"/>
  <c r="D18" i="10"/>
  <c r="E18" i="10" s="1"/>
  <c r="B18" i="10"/>
  <c r="G112" i="14" l="1"/>
  <c r="F112" i="14"/>
  <c r="M113" i="12"/>
  <c r="F113" i="12"/>
  <c r="D113" i="12"/>
  <c r="C113" i="12"/>
  <c r="C112" i="14"/>
  <c r="B112" i="14"/>
  <c r="J113" i="12"/>
  <c r="H113" i="12"/>
  <c r="O113" i="12"/>
  <c r="I113" i="12"/>
  <c r="G113" i="12"/>
  <c r="E112" i="14"/>
  <c r="A113" i="14"/>
  <c r="D112" i="14"/>
  <c r="H112" i="14"/>
  <c r="K113" i="12"/>
  <c r="L113" i="12"/>
  <c r="E113" i="12"/>
  <c r="B113" i="12"/>
  <c r="A114" i="12"/>
  <c r="G18" i="10"/>
  <c r="C19" i="10"/>
  <c r="B19" i="10"/>
  <c r="A20" i="10"/>
  <c r="D19" i="10"/>
  <c r="E19" i="10" s="1"/>
  <c r="F114" i="12" l="1"/>
  <c r="D114" i="12"/>
  <c r="C114" i="12"/>
  <c r="M114" i="12"/>
  <c r="G113" i="14"/>
  <c r="F113" i="14"/>
  <c r="C113" i="14"/>
  <c r="B113" i="14"/>
  <c r="J114" i="12"/>
  <c r="O114" i="12"/>
  <c r="G114" i="12"/>
  <c r="H114" i="12"/>
  <c r="I114" i="12"/>
  <c r="H113" i="14"/>
  <c r="E113" i="14"/>
  <c r="D113" i="14"/>
  <c r="A114" i="14"/>
  <c r="E114" i="12"/>
  <c r="K114" i="12"/>
  <c r="A115" i="12"/>
  <c r="B114" i="12"/>
  <c r="L114" i="12"/>
  <c r="G19" i="10"/>
  <c r="C20" i="10"/>
  <c r="B20" i="10"/>
  <c r="A21" i="10"/>
  <c r="D20" i="10"/>
  <c r="E20" i="10" s="1"/>
  <c r="M115" i="12" l="1"/>
  <c r="F115" i="12"/>
  <c r="D115" i="12"/>
  <c r="C115" i="12"/>
  <c r="G114" i="14"/>
  <c r="F114" i="14"/>
  <c r="C114" i="14"/>
  <c r="B114" i="14"/>
  <c r="O115" i="12"/>
  <c r="J115" i="12"/>
  <c r="I115" i="12"/>
  <c r="H115" i="12"/>
  <c r="G115" i="12"/>
  <c r="E114" i="14"/>
  <c r="A115" i="14"/>
  <c r="D114" i="14"/>
  <c r="H114" i="14"/>
  <c r="K115" i="12"/>
  <c r="L115" i="12"/>
  <c r="E115" i="12"/>
  <c r="A116" i="12"/>
  <c r="B115" i="12"/>
  <c r="G20" i="10"/>
  <c r="C21" i="10"/>
  <c r="A22" i="10"/>
  <c r="D21" i="10"/>
  <c r="E21" i="10" s="1"/>
  <c r="B21" i="10"/>
  <c r="G115" i="14" l="1"/>
  <c r="F115" i="14"/>
  <c r="F116" i="12"/>
  <c r="D116" i="12"/>
  <c r="C116" i="12"/>
  <c r="M116" i="12"/>
  <c r="C115" i="14"/>
  <c r="B115" i="14"/>
  <c r="O116" i="12"/>
  <c r="J116" i="12"/>
  <c r="I116" i="12"/>
  <c r="H116" i="12"/>
  <c r="G116" i="12"/>
  <c r="H115" i="14"/>
  <c r="A116" i="14"/>
  <c r="E115" i="14"/>
  <c r="D115" i="14"/>
  <c r="K116" i="12"/>
  <c r="E116" i="12"/>
  <c r="L116" i="12"/>
  <c r="B116" i="12"/>
  <c r="A117" i="12"/>
  <c r="G21" i="10"/>
  <c r="C22" i="10"/>
  <c r="A23" i="10"/>
  <c r="D22" i="10"/>
  <c r="E22" i="10" s="1"/>
  <c r="B22" i="10"/>
  <c r="M117" i="12" l="1"/>
  <c r="F117" i="12"/>
  <c r="D117" i="12"/>
  <c r="C117" i="12"/>
  <c r="G116" i="14"/>
  <c r="F116" i="14"/>
  <c r="C116" i="14"/>
  <c r="B116" i="14"/>
  <c r="O117" i="12"/>
  <c r="H117" i="12"/>
  <c r="J117" i="12"/>
  <c r="I117" i="12"/>
  <c r="G117" i="12"/>
  <c r="E116" i="14"/>
  <c r="A117" i="14"/>
  <c r="D116" i="14"/>
  <c r="H116" i="14"/>
  <c r="K117" i="12"/>
  <c r="E117" i="12"/>
  <c r="L117" i="12"/>
  <c r="A118" i="12"/>
  <c r="B117" i="12"/>
  <c r="G22" i="10"/>
  <c r="C23" i="10"/>
  <c r="B23" i="10"/>
  <c r="D23" i="10"/>
  <c r="E23" i="10" s="1"/>
  <c r="A24" i="10"/>
  <c r="F118" i="12" l="1"/>
  <c r="D118" i="12"/>
  <c r="C118" i="12"/>
  <c r="M118" i="12"/>
  <c r="G117" i="14"/>
  <c r="F117" i="14"/>
  <c r="C117" i="14"/>
  <c r="B117" i="14"/>
  <c r="O118" i="12"/>
  <c r="J118" i="12"/>
  <c r="I118" i="12"/>
  <c r="G118" i="12"/>
  <c r="H118" i="12"/>
  <c r="H117" i="14"/>
  <c r="E117" i="14"/>
  <c r="D117" i="14"/>
  <c r="A118" i="14"/>
  <c r="E118" i="12"/>
  <c r="K118" i="12"/>
  <c r="B118" i="12"/>
  <c r="L118" i="12"/>
  <c r="A119" i="12"/>
  <c r="G23" i="10"/>
  <c r="C24" i="10"/>
  <c r="B24" i="10"/>
  <c r="A25" i="10"/>
  <c r="D24" i="10"/>
  <c r="E24" i="10" s="1"/>
  <c r="M119" i="12" l="1"/>
  <c r="F119" i="12"/>
  <c r="D119" i="12"/>
  <c r="C119" i="12"/>
  <c r="F118" i="14"/>
  <c r="G118" i="14"/>
  <c r="C118" i="14"/>
  <c r="B118" i="14"/>
  <c r="O119" i="12"/>
  <c r="J119" i="12"/>
  <c r="I119" i="12"/>
  <c r="G119" i="12"/>
  <c r="H119" i="12"/>
  <c r="E118" i="14"/>
  <c r="A119" i="14"/>
  <c r="D118" i="14"/>
  <c r="H118" i="14"/>
  <c r="K119" i="12"/>
  <c r="L119" i="12"/>
  <c r="B119" i="12"/>
  <c r="A120" i="12"/>
  <c r="E119" i="12"/>
  <c r="G24" i="10"/>
  <c r="C25" i="10"/>
  <c r="A26" i="10"/>
  <c r="D25" i="10"/>
  <c r="E25" i="10" s="1"/>
  <c r="B25" i="10"/>
  <c r="G119" i="14" l="1"/>
  <c r="F119" i="14"/>
  <c r="F120" i="12"/>
  <c r="D120" i="12"/>
  <c r="C120" i="12"/>
  <c r="M120" i="12"/>
  <c r="C119" i="14"/>
  <c r="B119" i="14"/>
  <c r="O120" i="12"/>
  <c r="J120" i="12"/>
  <c r="I120" i="12"/>
  <c r="H120" i="12"/>
  <c r="G120" i="12"/>
  <c r="H119" i="14"/>
  <c r="A120" i="14"/>
  <c r="E119" i="14"/>
  <c r="D119" i="14"/>
  <c r="E120" i="12"/>
  <c r="L120" i="12"/>
  <c r="A121" i="12"/>
  <c r="B120" i="12"/>
  <c r="K120" i="12"/>
  <c r="G25" i="10"/>
  <c r="C26" i="10"/>
  <c r="E26" i="10"/>
  <c r="G26" i="10"/>
  <c r="A27" i="10"/>
  <c r="D26" i="10"/>
  <c r="B26" i="10"/>
  <c r="G120" i="14" l="1"/>
  <c r="F120" i="14"/>
  <c r="M121" i="12"/>
  <c r="F121" i="12"/>
  <c r="D121" i="12"/>
  <c r="C121" i="12"/>
  <c r="C120" i="14"/>
  <c r="B120" i="14"/>
  <c r="O121" i="12"/>
  <c r="J121" i="12"/>
  <c r="H121" i="12"/>
  <c r="I121" i="12"/>
  <c r="G121" i="12"/>
  <c r="E120" i="14"/>
  <c r="A121" i="14"/>
  <c r="D120" i="14"/>
  <c r="H120" i="14"/>
  <c r="L121" i="12"/>
  <c r="E121" i="12"/>
  <c r="K121" i="12"/>
  <c r="A122" i="12"/>
  <c r="B121" i="12"/>
  <c r="C27" i="10"/>
  <c r="B27" i="10"/>
  <c r="A28" i="10"/>
  <c r="D27" i="10"/>
  <c r="G27" i="10"/>
  <c r="E27" i="10"/>
  <c r="F122" i="12" l="1"/>
  <c r="D122" i="12"/>
  <c r="C122" i="12"/>
  <c r="M122" i="12"/>
  <c r="G121" i="14"/>
  <c r="F121" i="14"/>
  <c r="C121" i="14"/>
  <c r="B121" i="14"/>
  <c r="O122" i="12"/>
  <c r="J122" i="12"/>
  <c r="I122" i="12"/>
  <c r="G122" i="12"/>
  <c r="H122" i="12"/>
  <c r="H121" i="14"/>
  <c r="E121" i="14"/>
  <c r="D121" i="14"/>
  <c r="A122" i="14"/>
  <c r="E122" i="12"/>
  <c r="K122" i="12"/>
  <c r="A123" i="12"/>
  <c r="B122" i="12"/>
  <c r="L122" i="12"/>
  <c r="C28" i="10"/>
  <c r="G28" i="10"/>
  <c r="E28" i="10"/>
  <c r="B28" i="10"/>
  <c r="A29" i="10"/>
  <c r="D28" i="10"/>
  <c r="M123" i="12" l="1"/>
  <c r="F123" i="12"/>
  <c r="D123" i="12"/>
  <c r="C123" i="12"/>
  <c r="F122" i="14"/>
  <c r="G122" i="14"/>
  <c r="C122" i="14"/>
  <c r="B122" i="14"/>
  <c r="J123" i="12"/>
  <c r="O123" i="12"/>
  <c r="I123" i="12"/>
  <c r="H123" i="12"/>
  <c r="G123" i="12"/>
  <c r="E122" i="14"/>
  <c r="A123" i="14"/>
  <c r="D122" i="14"/>
  <c r="H122" i="14"/>
  <c r="L123" i="12"/>
  <c r="E123" i="12"/>
  <c r="K123" i="12"/>
  <c r="B123" i="12"/>
  <c r="A124" i="12"/>
  <c r="C29" i="10"/>
  <c r="A30" i="10"/>
  <c r="D29" i="10"/>
  <c r="B29" i="10"/>
  <c r="G29" i="10"/>
  <c r="E29" i="10"/>
  <c r="G123" i="14" l="1"/>
  <c r="F123" i="14"/>
  <c r="F124" i="12"/>
  <c r="D124" i="12"/>
  <c r="C124" i="12"/>
  <c r="M124" i="12"/>
  <c r="C123" i="14"/>
  <c r="B123" i="14"/>
  <c r="O124" i="12"/>
  <c r="J124" i="12"/>
  <c r="I124" i="12"/>
  <c r="H124" i="12"/>
  <c r="G124" i="12"/>
  <c r="H123" i="14"/>
  <c r="A124" i="14"/>
  <c r="E123" i="14"/>
  <c r="D123" i="14"/>
  <c r="E124" i="12"/>
  <c r="A125" i="12"/>
  <c r="L124" i="12"/>
  <c r="B124" i="12"/>
  <c r="K124" i="12"/>
  <c r="C30" i="10"/>
  <c r="E30" i="10"/>
  <c r="G30" i="10"/>
  <c r="D30" i="10"/>
  <c r="B30" i="10"/>
  <c r="A31" i="10"/>
  <c r="G124" i="14" l="1"/>
  <c r="F124" i="14"/>
  <c r="M125" i="12"/>
  <c r="F125" i="12"/>
  <c r="D125" i="12"/>
  <c r="C125" i="12"/>
  <c r="C124" i="14"/>
  <c r="B124" i="14"/>
  <c r="O125" i="12"/>
  <c r="H125" i="12"/>
  <c r="I125" i="12"/>
  <c r="G125" i="12"/>
  <c r="J125" i="12"/>
  <c r="E124" i="14"/>
  <c r="A125" i="14"/>
  <c r="D124" i="14"/>
  <c r="H124" i="14"/>
  <c r="L125" i="12"/>
  <c r="E125" i="12"/>
  <c r="K125" i="12"/>
  <c r="B125" i="12"/>
  <c r="A126" i="12"/>
  <c r="C31" i="10"/>
  <c r="B31" i="10"/>
  <c r="A32" i="10"/>
  <c r="D31" i="10"/>
  <c r="E31" i="10"/>
  <c r="G31" i="10"/>
  <c r="G125" i="14" l="1"/>
  <c r="F125" i="14"/>
  <c r="F126" i="12"/>
  <c r="D126" i="12"/>
  <c r="C126" i="12"/>
  <c r="M126" i="12"/>
  <c r="C125" i="14"/>
  <c r="B125" i="14"/>
  <c r="O126" i="12"/>
  <c r="I126" i="12"/>
  <c r="J126" i="12"/>
  <c r="G126" i="12"/>
  <c r="H126" i="12"/>
  <c r="H125" i="14"/>
  <c r="E125" i="14"/>
  <c r="D125" i="14"/>
  <c r="A126" i="14"/>
  <c r="E126" i="12"/>
  <c r="K126" i="12"/>
  <c r="B126" i="12"/>
  <c r="A127" i="12"/>
  <c r="L126" i="12"/>
  <c r="C32" i="10"/>
  <c r="G32" i="10"/>
  <c r="E32" i="10"/>
  <c r="B32" i="10"/>
  <c r="D32" i="10"/>
  <c r="A33" i="10"/>
  <c r="M127" i="12" l="1"/>
  <c r="F127" i="12"/>
  <c r="D127" i="12"/>
  <c r="C127" i="12"/>
  <c r="G126" i="14"/>
  <c r="F126" i="14"/>
  <c r="C126" i="14"/>
  <c r="B126" i="14"/>
  <c r="O127" i="12"/>
  <c r="J127" i="12"/>
  <c r="I127" i="12"/>
  <c r="H127" i="12"/>
  <c r="G127" i="12"/>
  <c r="E126" i="14"/>
  <c r="A127" i="14"/>
  <c r="D126" i="14"/>
  <c r="H126" i="14"/>
  <c r="K127" i="12"/>
  <c r="E127" i="12"/>
  <c r="L127" i="12"/>
  <c r="A128" i="12"/>
  <c r="B127" i="12"/>
  <c r="C33" i="10"/>
  <c r="A34" i="10"/>
  <c r="D33" i="10"/>
  <c r="B33" i="10"/>
  <c r="G33" i="10"/>
  <c r="E33" i="10"/>
  <c r="F128" i="12" l="1"/>
  <c r="D128" i="12"/>
  <c r="C128" i="12"/>
  <c r="M128" i="12"/>
  <c r="G127" i="14"/>
  <c r="F127" i="14"/>
  <c r="C127" i="14"/>
  <c r="B127" i="14"/>
  <c r="O128" i="12"/>
  <c r="J128" i="12"/>
  <c r="I128" i="12"/>
  <c r="H128" i="12"/>
  <c r="G128" i="12"/>
  <c r="H127" i="14"/>
  <c r="A128" i="14"/>
  <c r="E127" i="14"/>
  <c r="D127" i="14"/>
  <c r="E128" i="12"/>
  <c r="A129" i="12"/>
  <c r="B128" i="12"/>
  <c r="K128" i="12"/>
  <c r="L128" i="12"/>
  <c r="C34" i="10"/>
  <c r="E34" i="10"/>
  <c r="G34" i="10"/>
  <c r="A35" i="10"/>
  <c r="B34" i="10"/>
  <c r="D34" i="10"/>
  <c r="M129" i="12" l="1"/>
  <c r="F129" i="12"/>
  <c r="D129" i="12"/>
  <c r="C129" i="12"/>
  <c r="G128" i="14"/>
  <c r="F128" i="14"/>
  <c r="C128" i="14"/>
  <c r="B128" i="14"/>
  <c r="O129" i="12"/>
  <c r="J129" i="12"/>
  <c r="H129" i="12"/>
  <c r="I129" i="12"/>
  <c r="G129" i="12"/>
  <c r="E128" i="14"/>
  <c r="A129" i="14"/>
  <c r="D128" i="14"/>
  <c r="H128" i="14"/>
  <c r="K129" i="12"/>
  <c r="E129" i="12"/>
  <c r="L129" i="12"/>
  <c r="B129" i="12"/>
  <c r="A130" i="12"/>
  <c r="C35" i="10"/>
  <c r="B35" i="10"/>
  <c r="A36" i="10"/>
  <c r="D35" i="10"/>
  <c r="G35" i="10"/>
  <c r="E35" i="10"/>
  <c r="F130" i="12" l="1"/>
  <c r="D130" i="12"/>
  <c r="C130" i="12"/>
  <c r="M130" i="12"/>
  <c r="G129" i="14"/>
  <c r="F129" i="14"/>
  <c r="C129" i="14"/>
  <c r="B129" i="14"/>
  <c r="O130" i="12"/>
  <c r="J130" i="12"/>
  <c r="I130" i="12"/>
  <c r="H130" i="12"/>
  <c r="G130" i="12"/>
  <c r="H129" i="14"/>
  <c r="E129" i="14"/>
  <c r="D129" i="14"/>
  <c r="A130" i="14"/>
  <c r="E130" i="12"/>
  <c r="L130" i="12"/>
  <c r="K130" i="12"/>
  <c r="B130" i="12"/>
  <c r="A131" i="12"/>
  <c r="C36" i="10"/>
  <c r="A37" i="10"/>
  <c r="G36" i="10"/>
  <c r="E36" i="10"/>
  <c r="B36" i="10"/>
  <c r="D36" i="10"/>
  <c r="M131" i="12" l="1"/>
  <c r="F131" i="12"/>
  <c r="D131" i="12"/>
  <c r="C131" i="12"/>
  <c r="F130" i="14"/>
  <c r="G130" i="14"/>
  <c r="C130" i="14"/>
  <c r="B130" i="14"/>
  <c r="O131" i="12"/>
  <c r="J131" i="12"/>
  <c r="I131" i="12"/>
  <c r="H131" i="12"/>
  <c r="G131" i="12"/>
  <c r="E130" i="14"/>
  <c r="A131" i="14"/>
  <c r="D130" i="14"/>
  <c r="H130" i="14"/>
  <c r="K131" i="12"/>
  <c r="L131" i="12"/>
  <c r="E131" i="12"/>
  <c r="A132" i="12"/>
  <c r="B131" i="12"/>
  <c r="C37" i="10"/>
  <c r="E37" i="10"/>
  <c r="A38" i="10"/>
  <c r="D37" i="10"/>
  <c r="B37" i="10"/>
  <c r="G37" i="10"/>
  <c r="G131" i="14" l="1"/>
  <c r="F131" i="14"/>
  <c r="F132" i="12"/>
  <c r="D132" i="12"/>
  <c r="C132" i="12"/>
  <c r="M132" i="12"/>
  <c r="C131" i="14"/>
  <c r="B131" i="14"/>
  <c r="O132" i="12"/>
  <c r="J132" i="12"/>
  <c r="I132" i="12"/>
  <c r="H132" i="12"/>
  <c r="G132" i="12"/>
  <c r="H131" i="14"/>
  <c r="A132" i="14"/>
  <c r="E131" i="14"/>
  <c r="D131" i="14"/>
  <c r="K132" i="12"/>
  <c r="E132" i="12"/>
  <c r="L132" i="12"/>
  <c r="A133" i="12"/>
  <c r="B132" i="12"/>
  <c r="C38" i="10"/>
  <c r="B38" i="10"/>
  <c r="E38" i="10"/>
  <c r="G38" i="10"/>
  <c r="D38" i="10"/>
  <c r="A39" i="10"/>
  <c r="G132" i="14" l="1"/>
  <c r="F132" i="14"/>
  <c r="M133" i="12"/>
  <c r="F133" i="12"/>
  <c r="D133" i="12"/>
  <c r="C133" i="12"/>
  <c r="C132" i="14"/>
  <c r="B132" i="14"/>
  <c r="O133" i="12"/>
  <c r="H133" i="12"/>
  <c r="J133" i="12"/>
  <c r="I133" i="12"/>
  <c r="G133" i="12"/>
  <c r="E132" i="14"/>
  <c r="A133" i="14"/>
  <c r="D132" i="14"/>
  <c r="H132" i="14"/>
  <c r="K133" i="12"/>
  <c r="A134" i="12"/>
  <c r="L133" i="12"/>
  <c r="E133" i="12"/>
  <c r="B133" i="12"/>
  <c r="C39" i="10"/>
  <c r="G39" i="10"/>
  <c r="B39" i="10"/>
  <c r="A40" i="10"/>
  <c r="D39" i="10"/>
  <c r="E39" i="10"/>
  <c r="G133" i="14" l="1"/>
  <c r="F133" i="14"/>
  <c r="F134" i="12"/>
  <c r="D134" i="12"/>
  <c r="C134" i="12"/>
  <c r="M134" i="12"/>
  <c r="C133" i="14"/>
  <c r="B133" i="14"/>
  <c r="J134" i="12"/>
  <c r="I134" i="12"/>
  <c r="G134" i="12"/>
  <c r="O134" i="12"/>
  <c r="H134" i="12"/>
  <c r="H133" i="14"/>
  <c r="E133" i="14"/>
  <c r="D133" i="14"/>
  <c r="A134" i="14"/>
  <c r="E134" i="12"/>
  <c r="L134" i="12"/>
  <c r="K134" i="12"/>
  <c r="B134" i="12"/>
  <c r="A135" i="12"/>
  <c r="C40" i="10"/>
  <c r="A41" i="10"/>
  <c r="D40" i="10"/>
  <c r="G40" i="10"/>
  <c r="E40" i="10"/>
  <c r="B40" i="10"/>
  <c r="M135" i="12" l="1"/>
  <c r="F135" i="12"/>
  <c r="D135" i="12"/>
  <c r="C135" i="12"/>
  <c r="G134" i="14"/>
  <c r="F134" i="14"/>
  <c r="C134" i="14"/>
  <c r="B134" i="14"/>
  <c r="J135" i="12"/>
  <c r="I135" i="12"/>
  <c r="O135" i="12"/>
  <c r="H135" i="12"/>
  <c r="G135" i="12"/>
  <c r="E134" i="14"/>
  <c r="A135" i="14"/>
  <c r="D134" i="14"/>
  <c r="H134" i="14"/>
  <c r="K135" i="12"/>
  <c r="E135" i="12"/>
  <c r="L135" i="12"/>
  <c r="B135" i="12"/>
  <c r="A136" i="12"/>
  <c r="C41" i="10"/>
  <c r="E41" i="10"/>
  <c r="A42" i="10"/>
  <c r="D41" i="10"/>
  <c r="B41" i="10"/>
  <c r="G41" i="10"/>
  <c r="G135" i="14" l="1"/>
  <c r="F135" i="14"/>
  <c r="F136" i="12"/>
  <c r="D136" i="12"/>
  <c r="C136" i="12"/>
  <c r="M136" i="12"/>
  <c r="C135" i="14"/>
  <c r="B135" i="14"/>
  <c r="O136" i="12"/>
  <c r="J136" i="12"/>
  <c r="I136" i="12"/>
  <c r="H136" i="12"/>
  <c r="G136" i="12"/>
  <c r="H135" i="14"/>
  <c r="A136" i="14"/>
  <c r="D135" i="14"/>
  <c r="E135" i="14"/>
  <c r="K136" i="12"/>
  <c r="E136" i="12"/>
  <c r="A137" i="12"/>
  <c r="B136" i="12"/>
  <c r="L136" i="12"/>
  <c r="C42" i="10"/>
  <c r="B42" i="10"/>
  <c r="E42" i="10"/>
  <c r="G42" i="10"/>
  <c r="D42" i="10"/>
  <c r="A43" i="10"/>
  <c r="G136" i="14" l="1"/>
  <c r="F136" i="14"/>
  <c r="M137" i="12"/>
  <c r="F137" i="12"/>
  <c r="D137" i="12"/>
  <c r="C137" i="12"/>
  <c r="C136" i="14"/>
  <c r="B136" i="14"/>
  <c r="O137" i="12"/>
  <c r="J137" i="12"/>
  <c r="H137" i="12"/>
  <c r="I137" i="12"/>
  <c r="G137" i="12"/>
  <c r="E136" i="14"/>
  <c r="A137" i="14"/>
  <c r="D136" i="14"/>
  <c r="H136" i="14"/>
  <c r="L137" i="12"/>
  <c r="E137" i="12"/>
  <c r="B137" i="12"/>
  <c r="A138" i="12"/>
  <c r="K137" i="12"/>
  <c r="C43" i="10"/>
  <c r="G43" i="10"/>
  <c r="B43" i="10"/>
  <c r="A44" i="10"/>
  <c r="D43" i="10"/>
  <c r="E43" i="10"/>
  <c r="G137" i="14" l="1"/>
  <c r="F137" i="14"/>
  <c r="F138" i="12"/>
  <c r="D138" i="12"/>
  <c r="C138" i="12"/>
  <c r="M138" i="12"/>
  <c r="C137" i="14"/>
  <c r="B137" i="14"/>
  <c r="O138" i="12"/>
  <c r="J138" i="12"/>
  <c r="I138" i="12"/>
  <c r="H138" i="12"/>
  <c r="G138" i="12"/>
  <c r="H137" i="14"/>
  <c r="E137" i="14"/>
  <c r="D137" i="14"/>
  <c r="A138" i="14"/>
  <c r="E138" i="12"/>
  <c r="L138" i="12"/>
  <c r="K138" i="12"/>
  <c r="B138" i="12"/>
  <c r="A139" i="12"/>
  <c r="C44" i="10"/>
  <c r="A45" i="10"/>
  <c r="D44" i="10"/>
  <c r="G44" i="10"/>
  <c r="E44" i="10"/>
  <c r="B44" i="10"/>
  <c r="M139" i="12" l="1"/>
  <c r="F139" i="12"/>
  <c r="D139" i="12"/>
  <c r="C139" i="12"/>
  <c r="G138" i="14"/>
  <c r="F138" i="14"/>
  <c r="C138" i="14"/>
  <c r="B138" i="14"/>
  <c r="O139" i="12"/>
  <c r="J139" i="12"/>
  <c r="I139" i="12"/>
  <c r="H139" i="12"/>
  <c r="G139" i="12"/>
  <c r="E138" i="14"/>
  <c r="A139" i="14"/>
  <c r="D138" i="14"/>
  <c r="H138" i="14"/>
  <c r="K139" i="12"/>
  <c r="E139" i="12"/>
  <c r="L139" i="12"/>
  <c r="A140" i="12"/>
  <c r="B139" i="12"/>
  <c r="C45" i="10"/>
  <c r="E45" i="10"/>
  <c r="A46" i="10"/>
  <c r="D45" i="10"/>
  <c r="B45" i="10"/>
  <c r="G45" i="10"/>
  <c r="G139" i="14" l="1"/>
  <c r="F139" i="14"/>
  <c r="F140" i="12"/>
  <c r="D140" i="12"/>
  <c r="C140" i="12"/>
  <c r="M140" i="12"/>
  <c r="C139" i="14"/>
  <c r="B139" i="14"/>
  <c r="O140" i="12"/>
  <c r="J140" i="12"/>
  <c r="I140" i="12"/>
  <c r="H140" i="12"/>
  <c r="G140" i="12"/>
  <c r="H139" i="14"/>
  <c r="A140" i="14"/>
  <c r="E139" i="14"/>
  <c r="D139" i="14"/>
  <c r="A141" i="12"/>
  <c r="E140" i="12"/>
  <c r="K140" i="12"/>
  <c r="L140" i="12"/>
  <c r="B140" i="12"/>
  <c r="C46" i="10"/>
  <c r="B46" i="10"/>
  <c r="E46" i="10"/>
  <c r="G46" i="10"/>
  <c r="A47" i="10"/>
  <c r="D46" i="10"/>
  <c r="G140" i="14" l="1"/>
  <c r="F140" i="14"/>
  <c r="M141" i="12"/>
  <c r="F141" i="12"/>
  <c r="D141" i="12"/>
  <c r="C141" i="12"/>
  <c r="C140" i="14"/>
  <c r="B140" i="14"/>
  <c r="O141" i="12"/>
  <c r="H141" i="12"/>
  <c r="I141" i="12"/>
  <c r="G141" i="12"/>
  <c r="J141" i="12"/>
  <c r="E140" i="14"/>
  <c r="A141" i="14"/>
  <c r="D140" i="14"/>
  <c r="H140" i="14"/>
  <c r="K141" i="12"/>
  <c r="E141" i="12"/>
  <c r="L141" i="12"/>
  <c r="B141" i="12"/>
  <c r="A142" i="12"/>
  <c r="C47" i="10"/>
  <c r="G47" i="10"/>
  <c r="B47" i="10"/>
  <c r="A48" i="10"/>
  <c r="D47" i="10"/>
  <c r="E47" i="10"/>
  <c r="G141" i="14" l="1"/>
  <c r="F141" i="14"/>
  <c r="F142" i="12"/>
  <c r="D142" i="12"/>
  <c r="C142" i="12"/>
  <c r="M142" i="12"/>
  <c r="C141" i="14"/>
  <c r="B141" i="14"/>
  <c r="O142" i="12"/>
  <c r="I142" i="12"/>
  <c r="G142" i="12"/>
  <c r="J142" i="12"/>
  <c r="H142" i="12"/>
  <c r="H141" i="14"/>
  <c r="E141" i="14"/>
  <c r="D141" i="14"/>
  <c r="A142" i="14"/>
  <c r="A143" i="12"/>
  <c r="B142" i="12"/>
  <c r="E142" i="12"/>
  <c r="K142" i="12"/>
  <c r="L142" i="12"/>
  <c r="C48" i="10"/>
  <c r="A49" i="10"/>
  <c r="D48" i="10"/>
  <c r="G48" i="10"/>
  <c r="E48" i="10"/>
  <c r="B48" i="10"/>
  <c r="M143" i="12" l="1"/>
  <c r="F143" i="12"/>
  <c r="D143" i="12"/>
  <c r="C143" i="12"/>
  <c r="F142" i="14"/>
  <c r="G142" i="14"/>
  <c r="C142" i="14"/>
  <c r="B142" i="14"/>
  <c r="O143" i="12"/>
  <c r="J143" i="12"/>
  <c r="I143" i="12"/>
  <c r="G143" i="12"/>
  <c r="H143" i="12"/>
  <c r="E142" i="14"/>
  <c r="A143" i="14"/>
  <c r="D142" i="14"/>
  <c r="H142" i="14"/>
  <c r="K143" i="12"/>
  <c r="L143" i="12"/>
  <c r="B143" i="12"/>
  <c r="E143" i="12"/>
  <c r="A144" i="12"/>
  <c r="C49" i="10"/>
  <c r="E49" i="10"/>
  <c r="A50" i="10"/>
  <c r="D49" i="10"/>
  <c r="B49" i="10"/>
  <c r="G49" i="10"/>
  <c r="F144" i="12" l="1"/>
  <c r="D144" i="12"/>
  <c r="C144" i="12"/>
  <c r="M144" i="12"/>
  <c r="G143" i="14"/>
  <c r="F143" i="14"/>
  <c r="C143" i="14"/>
  <c r="B143" i="14"/>
  <c r="O144" i="12"/>
  <c r="J144" i="12"/>
  <c r="I144" i="12"/>
  <c r="H144" i="12"/>
  <c r="G144" i="12"/>
  <c r="H143" i="14"/>
  <c r="A144" i="14"/>
  <c r="E143" i="14"/>
  <c r="D143" i="14"/>
  <c r="K144" i="12"/>
  <c r="E144" i="12"/>
  <c r="L144" i="12"/>
  <c r="A145" i="12"/>
  <c r="B144" i="12"/>
  <c r="C50" i="10"/>
  <c r="B50" i="10"/>
  <c r="E50" i="10"/>
  <c r="G50" i="10"/>
  <c r="D50" i="10"/>
  <c r="A51" i="10"/>
  <c r="G144" i="14" l="1"/>
  <c r="F144" i="14"/>
  <c r="M145" i="12"/>
  <c r="F145" i="12"/>
  <c r="D145" i="12"/>
  <c r="C145" i="12"/>
  <c r="C144" i="14"/>
  <c r="B144" i="14"/>
  <c r="O145" i="12"/>
  <c r="J145" i="12"/>
  <c r="H145" i="12"/>
  <c r="I145" i="12"/>
  <c r="G145" i="12"/>
  <c r="E144" i="14"/>
  <c r="A145" i="14"/>
  <c r="D144" i="14"/>
  <c r="H144" i="14"/>
  <c r="K145" i="12"/>
  <c r="L145" i="12"/>
  <c r="E145" i="12"/>
  <c r="A146" i="12"/>
  <c r="B145" i="12"/>
  <c r="C51" i="10"/>
  <c r="G51" i="10"/>
  <c r="B51" i="10"/>
  <c r="A52" i="10"/>
  <c r="D51" i="10"/>
  <c r="E51" i="10"/>
  <c r="G145" i="14" l="1"/>
  <c r="F145" i="14"/>
  <c r="F146" i="12"/>
  <c r="D146" i="12"/>
  <c r="C146" i="12"/>
  <c r="M146" i="12"/>
  <c r="C145" i="14"/>
  <c r="B145" i="14"/>
  <c r="O146" i="12"/>
  <c r="J146" i="12"/>
  <c r="I146" i="12"/>
  <c r="G146" i="12"/>
  <c r="H146" i="12"/>
  <c r="H145" i="14"/>
  <c r="E145" i="14"/>
  <c r="D145" i="14"/>
  <c r="A146" i="14"/>
  <c r="L146" i="12"/>
  <c r="B146" i="12"/>
  <c r="A147" i="12"/>
  <c r="E146" i="12"/>
  <c r="K146" i="12"/>
  <c r="C52" i="10"/>
  <c r="A53" i="10"/>
  <c r="D52" i="10"/>
  <c r="G52" i="10"/>
  <c r="E52" i="10"/>
  <c r="B52" i="10"/>
  <c r="M147" i="12" l="1"/>
  <c r="F147" i="12"/>
  <c r="D147" i="12"/>
  <c r="C147" i="12"/>
  <c r="G146" i="14"/>
  <c r="F146" i="14"/>
  <c r="C146" i="14"/>
  <c r="B146" i="14"/>
  <c r="O147" i="12"/>
  <c r="J147" i="12"/>
  <c r="I147" i="12"/>
  <c r="H147" i="12"/>
  <c r="G147" i="12"/>
  <c r="E146" i="14"/>
  <c r="A147" i="14"/>
  <c r="D146" i="14"/>
  <c r="H146" i="14"/>
  <c r="K147" i="12"/>
  <c r="A148" i="12"/>
  <c r="L147" i="12"/>
  <c r="E147" i="12"/>
  <c r="B147" i="12"/>
  <c r="C53" i="10"/>
  <c r="E53" i="10"/>
  <c r="A54" i="10"/>
  <c r="D53" i="10"/>
  <c r="B53" i="10"/>
  <c r="G53" i="10"/>
  <c r="G147" i="14" l="1"/>
  <c r="F147" i="14"/>
  <c r="F148" i="12"/>
  <c r="D148" i="12"/>
  <c r="C148" i="12"/>
  <c r="M148" i="12"/>
  <c r="C147" i="14"/>
  <c r="B147" i="14"/>
  <c r="O148" i="12"/>
  <c r="J148" i="12"/>
  <c r="I148" i="12"/>
  <c r="H148" i="12"/>
  <c r="G148" i="12"/>
  <c r="H147" i="14"/>
  <c r="A148" i="14"/>
  <c r="E147" i="14"/>
  <c r="D147" i="14"/>
  <c r="K148" i="12"/>
  <c r="E148" i="12"/>
  <c r="B148" i="12"/>
  <c r="A149" i="12"/>
  <c r="L148" i="12"/>
  <c r="C54" i="10"/>
  <c r="B54" i="10"/>
  <c r="E54" i="10"/>
  <c r="G54" i="10"/>
  <c r="A55" i="10"/>
  <c r="D54" i="10"/>
  <c r="G148" i="14" l="1"/>
  <c r="F148" i="14"/>
  <c r="M149" i="12"/>
  <c r="F149" i="12"/>
  <c r="D149" i="12"/>
  <c r="C149" i="12"/>
  <c r="C148" i="14"/>
  <c r="B148" i="14"/>
  <c r="O149" i="12"/>
  <c r="H149" i="12"/>
  <c r="J149" i="12"/>
  <c r="I149" i="12"/>
  <c r="G149" i="12"/>
  <c r="E148" i="14"/>
  <c r="A149" i="14"/>
  <c r="D148" i="14"/>
  <c r="H148" i="14"/>
  <c r="K149" i="12"/>
  <c r="E149" i="12"/>
  <c r="L149" i="12"/>
  <c r="A150" i="12"/>
  <c r="B149" i="12"/>
  <c r="C55" i="10"/>
  <c r="G55" i="10"/>
  <c r="B55" i="10"/>
  <c r="A56" i="10"/>
  <c r="D55" i="10"/>
  <c r="E55" i="10"/>
  <c r="F150" i="12" l="1"/>
  <c r="D150" i="12"/>
  <c r="C150" i="12"/>
  <c r="M150" i="12"/>
  <c r="G149" i="14"/>
  <c r="F149" i="14"/>
  <c r="C149" i="14"/>
  <c r="B149" i="14"/>
  <c r="O150" i="12"/>
  <c r="J150" i="12"/>
  <c r="I150" i="12"/>
  <c r="H150" i="12"/>
  <c r="G150" i="12"/>
  <c r="H149" i="14"/>
  <c r="E149" i="14"/>
  <c r="D149" i="14"/>
  <c r="A150" i="14"/>
  <c r="K150" i="12"/>
  <c r="A151" i="12"/>
  <c r="B150" i="12"/>
  <c r="L150" i="12"/>
  <c r="E150" i="12"/>
  <c r="C56" i="10"/>
  <c r="A57" i="10"/>
  <c r="D56" i="10"/>
  <c r="G56" i="10"/>
  <c r="E56" i="10"/>
  <c r="B56" i="10"/>
  <c r="M151" i="12" l="1"/>
  <c r="F151" i="12"/>
  <c r="D151" i="12"/>
  <c r="C151" i="12"/>
  <c r="F150" i="14"/>
  <c r="G150" i="14"/>
  <c r="C150" i="14"/>
  <c r="B150" i="14"/>
  <c r="O151" i="12"/>
  <c r="J151" i="12"/>
  <c r="I151" i="12"/>
  <c r="H151" i="12"/>
  <c r="G151" i="12"/>
  <c r="E150" i="14"/>
  <c r="A151" i="14"/>
  <c r="D150" i="14"/>
  <c r="H150" i="14"/>
  <c r="K151" i="12"/>
  <c r="L151" i="12"/>
  <c r="E151" i="12"/>
  <c r="A152" i="12"/>
  <c r="B151" i="12"/>
  <c r="C57" i="10"/>
  <c r="E57" i="10"/>
  <c r="A58" i="10"/>
  <c r="D57" i="10"/>
  <c r="B57" i="10"/>
  <c r="G57" i="10"/>
  <c r="F152" i="12" l="1"/>
  <c r="D152" i="12"/>
  <c r="C152" i="12"/>
  <c r="M152" i="12"/>
  <c r="G151" i="14"/>
  <c r="F151" i="14"/>
  <c r="C151" i="14"/>
  <c r="B151" i="14"/>
  <c r="O152" i="12"/>
  <c r="J152" i="12"/>
  <c r="I152" i="12"/>
  <c r="H152" i="12"/>
  <c r="G152" i="12"/>
  <c r="H151" i="14"/>
  <c r="A152" i="14"/>
  <c r="D151" i="14"/>
  <c r="E151" i="14"/>
  <c r="E152" i="12"/>
  <c r="K152" i="12"/>
  <c r="L152" i="12"/>
  <c r="A153" i="12"/>
  <c r="B152" i="12"/>
  <c r="C58" i="10"/>
  <c r="B58" i="10"/>
  <c r="E58" i="10"/>
  <c r="G58" i="10"/>
  <c r="D58" i="10"/>
  <c r="A59" i="10"/>
  <c r="G152" i="14" l="1"/>
  <c r="F152" i="14"/>
  <c r="M153" i="12"/>
  <c r="F153" i="12"/>
  <c r="D153" i="12"/>
  <c r="C153" i="12"/>
  <c r="C152" i="14"/>
  <c r="B152" i="14"/>
  <c r="O153" i="12"/>
  <c r="J153" i="12"/>
  <c r="H153" i="12"/>
  <c r="I153" i="12"/>
  <c r="G153" i="12"/>
  <c r="E152" i="14"/>
  <c r="A153" i="14"/>
  <c r="D152" i="14"/>
  <c r="H152" i="14"/>
  <c r="K153" i="12"/>
  <c r="E153" i="12"/>
  <c r="L153" i="12"/>
  <c r="A154" i="12"/>
  <c r="B153" i="12"/>
  <c r="C59" i="10"/>
  <c r="G59" i="10"/>
  <c r="B59" i="10"/>
  <c r="A60" i="10"/>
  <c r="D59" i="10"/>
  <c r="E59" i="10"/>
  <c r="F154" i="12" l="1"/>
  <c r="D154" i="12"/>
  <c r="C154" i="12"/>
  <c r="M154" i="12"/>
  <c r="G153" i="14"/>
  <c r="F153" i="14"/>
  <c r="C153" i="14"/>
  <c r="B153" i="14"/>
  <c r="O154" i="12"/>
  <c r="J154" i="12"/>
  <c r="I154" i="12"/>
  <c r="G154" i="12"/>
  <c r="H154" i="12"/>
  <c r="H153" i="14"/>
  <c r="E153" i="14"/>
  <c r="D153" i="14"/>
  <c r="A154" i="14"/>
  <c r="E154" i="12"/>
  <c r="L154" i="12"/>
  <c r="A155" i="12"/>
  <c r="K154" i="12"/>
  <c r="B154" i="12"/>
  <c r="C60" i="10"/>
  <c r="A61" i="10"/>
  <c r="D60" i="10"/>
  <c r="G60" i="10"/>
  <c r="E60" i="10"/>
  <c r="B60" i="10"/>
  <c r="M155" i="12" l="1"/>
  <c r="F155" i="12"/>
  <c r="D155" i="12"/>
  <c r="C155" i="12"/>
  <c r="F154" i="14"/>
  <c r="G154" i="14"/>
  <c r="C154" i="14"/>
  <c r="B154" i="14"/>
  <c r="O155" i="12"/>
  <c r="J155" i="12"/>
  <c r="I155" i="12"/>
  <c r="H155" i="12"/>
  <c r="G155" i="12"/>
  <c r="E154" i="14"/>
  <c r="A155" i="14"/>
  <c r="D154" i="14"/>
  <c r="H154" i="14"/>
  <c r="K155" i="12"/>
  <c r="L155" i="12"/>
  <c r="B155" i="12"/>
  <c r="E155" i="12"/>
  <c r="A156" i="12"/>
  <c r="C61" i="10"/>
  <c r="E61" i="10"/>
  <c r="A62" i="10"/>
  <c r="D61" i="10"/>
  <c r="B61" i="10"/>
  <c r="G61" i="10"/>
  <c r="G155" i="14" l="1"/>
  <c r="F155" i="14"/>
  <c r="F156" i="12"/>
  <c r="D156" i="12"/>
  <c r="C156" i="12"/>
  <c r="M156" i="12"/>
  <c r="C155" i="14"/>
  <c r="B155" i="14"/>
  <c r="O156" i="12"/>
  <c r="J156" i="12"/>
  <c r="I156" i="12"/>
  <c r="H156" i="12"/>
  <c r="G156" i="12"/>
  <c r="H155" i="14"/>
  <c r="A156" i="14"/>
  <c r="E155" i="14"/>
  <c r="D155" i="14"/>
  <c r="K156" i="12"/>
  <c r="E156" i="12"/>
  <c r="L156" i="12"/>
  <c r="A157" i="12"/>
  <c r="B156" i="12"/>
  <c r="C62" i="10"/>
  <c r="B62" i="10"/>
  <c r="E62" i="10"/>
  <c r="G62" i="10"/>
  <c r="A63" i="10"/>
  <c r="D62" i="10"/>
  <c r="M157" i="12" l="1"/>
  <c r="F157" i="12"/>
  <c r="D157" i="12"/>
  <c r="C157" i="12"/>
  <c r="G156" i="14"/>
  <c r="F156" i="14"/>
  <c r="C156" i="14"/>
  <c r="B156" i="14"/>
  <c r="O157" i="12"/>
  <c r="H157" i="12"/>
  <c r="I157" i="12"/>
  <c r="G157" i="12"/>
  <c r="J157" i="12"/>
  <c r="E156" i="14"/>
  <c r="A157" i="14"/>
  <c r="D156" i="14"/>
  <c r="H156" i="14"/>
  <c r="K157" i="12"/>
  <c r="L157" i="12"/>
  <c r="E157" i="12"/>
  <c r="A158" i="12"/>
  <c r="B157" i="12"/>
  <c r="C63" i="10"/>
  <c r="G63" i="10"/>
  <c r="B63" i="10"/>
  <c r="A64" i="10"/>
  <c r="D63" i="10"/>
  <c r="E63" i="10"/>
  <c r="G157" i="14" l="1"/>
  <c r="F157" i="14"/>
  <c r="F158" i="12"/>
  <c r="D158" i="12"/>
  <c r="C158" i="12"/>
  <c r="M158" i="12"/>
  <c r="C157" i="14"/>
  <c r="B157" i="14"/>
  <c r="I158" i="12"/>
  <c r="O158" i="12"/>
  <c r="J158" i="12"/>
  <c r="G158" i="12"/>
  <c r="H158" i="12"/>
  <c r="H157" i="14"/>
  <c r="E157" i="14"/>
  <c r="D157" i="14"/>
  <c r="A158" i="14"/>
  <c r="A159" i="12"/>
  <c r="K158" i="12"/>
  <c r="B158" i="12"/>
  <c r="L158" i="12"/>
  <c r="E158" i="12"/>
  <c r="C64" i="10"/>
  <c r="A65" i="10"/>
  <c r="D64" i="10"/>
  <c r="G64" i="10"/>
  <c r="E64" i="10"/>
  <c r="B64" i="10"/>
  <c r="M159" i="12" l="1"/>
  <c r="F159" i="12"/>
  <c r="D159" i="12"/>
  <c r="C159" i="12"/>
  <c r="G158" i="14"/>
  <c r="F158" i="14"/>
  <c r="C158" i="14"/>
  <c r="B158" i="14"/>
  <c r="J159" i="12"/>
  <c r="I159" i="12"/>
  <c r="O159" i="12"/>
  <c r="H159" i="12"/>
  <c r="G159" i="12"/>
  <c r="E158" i="14"/>
  <c r="A159" i="14"/>
  <c r="D158" i="14"/>
  <c r="H158" i="14"/>
  <c r="K159" i="12"/>
  <c r="E159" i="12"/>
  <c r="B159" i="12"/>
  <c r="L159" i="12"/>
  <c r="A160" i="12"/>
  <c r="C65" i="10"/>
  <c r="E65" i="10"/>
  <c r="A66" i="10"/>
  <c r="D65" i="10"/>
  <c r="B65" i="10"/>
  <c r="G65" i="10"/>
  <c r="F160" i="12" l="1"/>
  <c r="D160" i="12"/>
  <c r="C160" i="12"/>
  <c r="M160" i="12"/>
  <c r="G159" i="14"/>
  <c r="F159" i="14"/>
  <c r="C159" i="14"/>
  <c r="B159" i="14"/>
  <c r="O160" i="12"/>
  <c r="J160" i="12"/>
  <c r="I160" i="12"/>
  <c r="H160" i="12"/>
  <c r="G160" i="12"/>
  <c r="H159" i="14"/>
  <c r="A160" i="14"/>
  <c r="E159" i="14"/>
  <c r="D159" i="14"/>
  <c r="K160" i="12"/>
  <c r="L160" i="12"/>
  <c r="B160" i="12"/>
  <c r="E160" i="12"/>
  <c r="A161" i="12"/>
  <c r="C66" i="10"/>
  <c r="B66" i="10"/>
  <c r="E66" i="10"/>
  <c r="G66" i="10"/>
  <c r="A67" i="10"/>
  <c r="D66" i="10"/>
  <c r="M161" i="12" l="1"/>
  <c r="F161" i="12"/>
  <c r="D161" i="12"/>
  <c r="C161" i="12"/>
  <c r="F160" i="14"/>
  <c r="G160" i="14"/>
  <c r="C160" i="14"/>
  <c r="B160" i="14"/>
  <c r="O161" i="12"/>
  <c r="J161" i="12"/>
  <c r="H161" i="12"/>
  <c r="I161" i="12"/>
  <c r="G161" i="12"/>
  <c r="E160" i="14"/>
  <c r="A161" i="14"/>
  <c r="D160" i="14"/>
  <c r="H160" i="14"/>
  <c r="K161" i="12"/>
  <c r="L161" i="12"/>
  <c r="A162" i="12"/>
  <c r="B161" i="12"/>
  <c r="E161" i="12"/>
  <c r="C67" i="10"/>
  <c r="G67" i="10"/>
  <c r="B67" i="10"/>
  <c r="A68" i="10"/>
  <c r="D67" i="10"/>
  <c r="E67" i="10"/>
  <c r="G161" i="14" l="1"/>
  <c r="F161" i="14"/>
  <c r="F162" i="12"/>
  <c r="D162" i="12"/>
  <c r="C162" i="12"/>
  <c r="M162" i="12"/>
  <c r="C161" i="14"/>
  <c r="B161" i="14"/>
  <c r="O162" i="12"/>
  <c r="J162" i="12"/>
  <c r="G162" i="12"/>
  <c r="H162" i="12"/>
  <c r="I162" i="12"/>
  <c r="H161" i="14"/>
  <c r="E161" i="14"/>
  <c r="D161" i="14"/>
  <c r="A162" i="14"/>
  <c r="E162" i="12"/>
  <c r="K162" i="12"/>
  <c r="B162" i="12"/>
  <c r="L162" i="12"/>
  <c r="A163" i="12"/>
  <c r="C68" i="10"/>
  <c r="A69" i="10"/>
  <c r="D68" i="10"/>
  <c r="G68" i="10"/>
  <c r="E68" i="10"/>
  <c r="B68" i="10"/>
  <c r="M163" i="12" l="1"/>
  <c r="F163" i="12"/>
  <c r="D163" i="12"/>
  <c r="C163" i="12"/>
  <c r="G162" i="14"/>
  <c r="F162" i="14"/>
  <c r="C162" i="14"/>
  <c r="B162" i="14"/>
  <c r="O163" i="12"/>
  <c r="J163" i="12"/>
  <c r="I163" i="12"/>
  <c r="H163" i="12"/>
  <c r="G163" i="12"/>
  <c r="E162" i="14"/>
  <c r="A163" i="14"/>
  <c r="D162" i="14"/>
  <c r="H162" i="14"/>
  <c r="K163" i="12"/>
  <c r="E163" i="12"/>
  <c r="L163" i="12"/>
  <c r="B163" i="12"/>
  <c r="A164" i="12"/>
  <c r="C69" i="10"/>
  <c r="E69" i="10"/>
  <c r="A70" i="10"/>
  <c r="D69" i="10"/>
  <c r="B69" i="10"/>
  <c r="G69" i="10"/>
  <c r="G163" i="14" l="1"/>
  <c r="F163" i="14"/>
  <c r="F164" i="12"/>
  <c r="D164" i="12"/>
  <c r="C164" i="12"/>
  <c r="M164" i="12"/>
  <c r="C163" i="14"/>
  <c r="B163" i="14"/>
  <c r="O164" i="12"/>
  <c r="J164" i="12"/>
  <c r="I164" i="12"/>
  <c r="H164" i="12"/>
  <c r="G164" i="12"/>
  <c r="H163" i="14"/>
  <c r="A164" i="14"/>
  <c r="E163" i="14"/>
  <c r="D163" i="14"/>
  <c r="K164" i="12"/>
  <c r="L164" i="12"/>
  <c r="A165" i="12"/>
  <c r="E164" i="12"/>
  <c r="B164" i="12"/>
  <c r="C70" i="10"/>
  <c r="B70" i="10"/>
  <c r="E70" i="10"/>
  <c r="G70" i="10"/>
  <c r="D70" i="10"/>
  <c r="A71" i="10"/>
  <c r="F164" i="14" l="1"/>
  <c r="G164" i="14"/>
  <c r="M165" i="12"/>
  <c r="F165" i="12"/>
  <c r="D165" i="12"/>
  <c r="C165" i="12"/>
  <c r="C164" i="14"/>
  <c r="B164" i="14"/>
  <c r="O165" i="12"/>
  <c r="H165" i="12"/>
  <c r="J165" i="12"/>
  <c r="I165" i="12"/>
  <c r="G165" i="12"/>
  <c r="E164" i="14"/>
  <c r="A165" i="14"/>
  <c r="D164" i="14"/>
  <c r="H164" i="14"/>
  <c r="K165" i="12"/>
  <c r="E165" i="12"/>
  <c r="L165" i="12"/>
  <c r="B165" i="12"/>
  <c r="A166" i="12"/>
  <c r="C71" i="10"/>
  <c r="G71" i="10"/>
  <c r="B71" i="10"/>
  <c r="A72" i="10"/>
  <c r="D71" i="10"/>
  <c r="E71" i="10"/>
  <c r="F166" i="12" l="1"/>
  <c r="D166" i="12"/>
  <c r="C166" i="12"/>
  <c r="M166" i="12"/>
  <c r="G165" i="14"/>
  <c r="F165" i="14"/>
  <c r="C165" i="14"/>
  <c r="B165" i="14"/>
  <c r="O166" i="12"/>
  <c r="J166" i="12"/>
  <c r="I166" i="12"/>
  <c r="H166" i="12"/>
  <c r="G166" i="12"/>
  <c r="H165" i="14"/>
  <c r="E165" i="14"/>
  <c r="D165" i="14"/>
  <c r="A166" i="14"/>
  <c r="K166" i="12"/>
  <c r="E166" i="12"/>
  <c r="L166" i="12"/>
  <c r="B166" i="12"/>
  <c r="A167" i="12"/>
  <c r="C72" i="10"/>
  <c r="A73" i="10"/>
  <c r="D72" i="10"/>
  <c r="G72" i="10"/>
  <c r="E72" i="10"/>
  <c r="B72" i="10"/>
  <c r="M167" i="12" l="1"/>
  <c r="F167" i="12"/>
  <c r="D167" i="12"/>
  <c r="C167" i="12"/>
  <c r="G166" i="14"/>
  <c r="F166" i="14"/>
  <c r="C166" i="14"/>
  <c r="B166" i="14"/>
  <c r="O167" i="12"/>
  <c r="J167" i="12"/>
  <c r="I167" i="12"/>
  <c r="G167" i="12"/>
  <c r="H167" i="12"/>
  <c r="E166" i="14"/>
  <c r="A167" i="14"/>
  <c r="D166" i="14"/>
  <c r="H166" i="14"/>
  <c r="K167" i="12"/>
  <c r="L167" i="12"/>
  <c r="E167" i="12"/>
  <c r="A168" i="12"/>
  <c r="B167" i="12"/>
  <c r="C73" i="10"/>
  <c r="E73" i="10"/>
  <c r="A74" i="10"/>
  <c r="D73" i="10"/>
  <c r="B73" i="10"/>
  <c r="G73" i="10"/>
  <c r="G167" i="14" l="1"/>
  <c r="F167" i="14"/>
  <c r="F168" i="12"/>
  <c r="D168" i="12"/>
  <c r="C168" i="12"/>
  <c r="M168" i="12"/>
  <c r="C167" i="14"/>
  <c r="B167" i="14"/>
  <c r="O168" i="12"/>
  <c r="J168" i="12"/>
  <c r="I168" i="12"/>
  <c r="H168" i="12"/>
  <c r="G168" i="12"/>
  <c r="H167" i="14"/>
  <c r="A168" i="14"/>
  <c r="E167" i="14"/>
  <c r="D167" i="14"/>
  <c r="K168" i="12"/>
  <c r="L168" i="12"/>
  <c r="A169" i="12"/>
  <c r="E168" i="12"/>
  <c r="B168" i="12"/>
  <c r="C74" i="10"/>
  <c r="B74" i="10"/>
  <c r="E74" i="10"/>
  <c r="G74" i="10"/>
  <c r="D74" i="10"/>
  <c r="A75" i="10"/>
  <c r="B4" i="6"/>
  <c r="B9" i="6" s="1"/>
  <c r="G14" i="6" s="1"/>
  <c r="H14" i="6" s="1"/>
  <c r="B4" i="5"/>
  <c r="B11" i="5" s="1"/>
  <c r="B10" i="5" l="1"/>
  <c r="B9" i="5"/>
  <c r="F168" i="14"/>
  <c r="G168" i="14"/>
  <c r="M169" i="12"/>
  <c r="F169" i="12"/>
  <c r="D169" i="12"/>
  <c r="C169" i="12"/>
  <c r="D16" i="5"/>
  <c r="E16" i="5" s="1"/>
  <c r="B12" i="5"/>
  <c r="A14" i="6"/>
  <c r="C168" i="14"/>
  <c r="B168" i="14"/>
  <c r="O169" i="12"/>
  <c r="J169" i="12"/>
  <c r="H169" i="12"/>
  <c r="I169" i="12"/>
  <c r="G169" i="12"/>
  <c r="E168" i="14"/>
  <c r="A169" i="14"/>
  <c r="D168" i="14"/>
  <c r="H168" i="14"/>
  <c r="K169" i="12"/>
  <c r="L169" i="12"/>
  <c r="E169" i="12"/>
  <c r="B169" i="12"/>
  <c r="A170" i="12"/>
  <c r="C75" i="10"/>
  <c r="G75" i="10"/>
  <c r="B75" i="10"/>
  <c r="A76" i="10"/>
  <c r="D75" i="10"/>
  <c r="E75" i="10"/>
  <c r="A16" i="5"/>
  <c r="G169" i="14" l="1"/>
  <c r="F169" i="14"/>
  <c r="F170" i="12"/>
  <c r="D170" i="12"/>
  <c r="C170" i="12"/>
  <c r="M170" i="12"/>
  <c r="C16" i="5"/>
  <c r="A15" i="6"/>
  <c r="C169" i="14"/>
  <c r="B169" i="14"/>
  <c r="O170" i="12"/>
  <c r="J170" i="12"/>
  <c r="I170" i="12"/>
  <c r="G170" i="12"/>
  <c r="H170" i="12"/>
  <c r="H169" i="14"/>
  <c r="E169" i="14"/>
  <c r="D169" i="14"/>
  <c r="A170" i="14"/>
  <c r="E170" i="12"/>
  <c r="L170" i="12"/>
  <c r="K170" i="12"/>
  <c r="A171" i="12"/>
  <c r="B170" i="12"/>
  <c r="C76" i="10"/>
  <c r="A77" i="10"/>
  <c r="D76" i="10"/>
  <c r="G76" i="10"/>
  <c r="E76" i="10"/>
  <c r="B76" i="10"/>
  <c r="B16" i="5"/>
  <c r="A16" i="6"/>
  <c r="A17" i="5"/>
  <c r="F16" i="5"/>
  <c r="D14" i="6"/>
  <c r="I14" i="6"/>
  <c r="F17" i="5"/>
  <c r="C14" i="6"/>
  <c r="G16" i="5" l="1"/>
  <c r="G170" i="14"/>
  <c r="F170" i="14"/>
  <c r="M171" i="12"/>
  <c r="F171" i="12"/>
  <c r="D171" i="12"/>
  <c r="C171" i="12"/>
  <c r="E14" i="6"/>
  <c r="F14" i="6" s="1"/>
  <c r="J14" i="6" s="1"/>
  <c r="G15" i="6"/>
  <c r="H15" i="6" s="1"/>
  <c r="H16" i="5"/>
  <c r="C170" i="14"/>
  <c r="B170" i="14"/>
  <c r="O171" i="12"/>
  <c r="J171" i="12"/>
  <c r="I171" i="12"/>
  <c r="H171" i="12"/>
  <c r="G171" i="12"/>
  <c r="E170" i="14"/>
  <c r="A171" i="14"/>
  <c r="D170" i="14"/>
  <c r="H170" i="14"/>
  <c r="K171" i="12"/>
  <c r="L171" i="12"/>
  <c r="E171" i="12"/>
  <c r="A172" i="12"/>
  <c r="B171" i="12"/>
  <c r="B15" i="6"/>
  <c r="C77" i="10"/>
  <c r="E7" i="5"/>
  <c r="E8" i="5" s="1"/>
  <c r="E77" i="10"/>
  <c r="A78" i="10"/>
  <c r="D77" i="10"/>
  <c r="B77" i="10"/>
  <c r="G77" i="10"/>
  <c r="A18" i="5"/>
  <c r="B17" i="5"/>
  <c r="A17" i="6"/>
  <c r="G16" i="6"/>
  <c r="D17" i="5"/>
  <c r="E17" i="5" s="1"/>
  <c r="C17" i="5"/>
  <c r="E12" i="5"/>
  <c r="D15" i="6"/>
  <c r="I15" i="6"/>
  <c r="C16" i="6"/>
  <c r="I16" i="6"/>
  <c r="C15" i="6"/>
  <c r="D16" i="6"/>
  <c r="E13" i="5" l="1"/>
  <c r="B18" i="5"/>
  <c r="G171" i="14"/>
  <c r="F171" i="14"/>
  <c r="F172" i="12"/>
  <c r="D172" i="12"/>
  <c r="C172" i="12"/>
  <c r="M172" i="12"/>
  <c r="H16" i="6"/>
  <c r="B16" i="6" s="1"/>
  <c r="C171" i="14"/>
  <c r="B171" i="14"/>
  <c r="O172" i="12"/>
  <c r="J172" i="12"/>
  <c r="I172" i="12"/>
  <c r="H172" i="12"/>
  <c r="G172" i="12"/>
  <c r="H171" i="14"/>
  <c r="A172" i="14"/>
  <c r="E171" i="14"/>
  <c r="D171" i="14"/>
  <c r="K172" i="12"/>
  <c r="E172" i="12"/>
  <c r="L172" i="12"/>
  <c r="A173" i="12"/>
  <c r="B172" i="12"/>
  <c r="H17" i="5"/>
  <c r="E16" i="6"/>
  <c r="F16" i="6" s="1"/>
  <c r="J16" i="6" s="1"/>
  <c r="E15" i="6"/>
  <c r="G17" i="5"/>
  <c r="C78" i="10"/>
  <c r="B78" i="10"/>
  <c r="E78" i="10"/>
  <c r="G78" i="10"/>
  <c r="A79" i="10"/>
  <c r="D78" i="10"/>
  <c r="A19" i="5"/>
  <c r="D18" i="5"/>
  <c r="E18" i="5" s="1"/>
  <c r="C18" i="5"/>
  <c r="G17" i="6"/>
  <c r="H17" i="6" s="1"/>
  <c r="B17" i="6" s="1"/>
  <c r="A18" i="6"/>
  <c r="I17" i="6"/>
  <c r="D17" i="6"/>
  <c r="C17" i="6"/>
  <c r="F18" i="5"/>
  <c r="F15" i="6" l="1"/>
  <c r="J15" i="6" s="1"/>
  <c r="E17" i="6"/>
  <c r="F17" i="6" s="1"/>
  <c r="J17" i="6" s="1"/>
  <c r="G18" i="5"/>
  <c r="F172" i="14"/>
  <c r="G172" i="14"/>
  <c r="B19" i="5"/>
  <c r="M173" i="12"/>
  <c r="F173" i="12"/>
  <c r="D173" i="12"/>
  <c r="C173" i="12"/>
  <c r="C19" i="5"/>
  <c r="A20" i="5"/>
  <c r="C20" i="5" s="1"/>
  <c r="C172" i="14"/>
  <c r="B172" i="14"/>
  <c r="O173" i="12"/>
  <c r="H173" i="12"/>
  <c r="I173" i="12"/>
  <c r="J173" i="12"/>
  <c r="G173" i="12"/>
  <c r="E172" i="14"/>
  <c r="A173" i="14"/>
  <c r="D172" i="14"/>
  <c r="H172" i="14"/>
  <c r="K173" i="12"/>
  <c r="L173" i="12"/>
  <c r="E173" i="12"/>
  <c r="A174" i="12"/>
  <c r="B173" i="12"/>
  <c r="D19" i="5"/>
  <c r="E19" i="5" s="1"/>
  <c r="C79" i="10"/>
  <c r="H18" i="5"/>
  <c r="G79" i="10"/>
  <c r="B79" i="10"/>
  <c r="A80" i="10"/>
  <c r="D79" i="10"/>
  <c r="E79" i="10"/>
  <c r="A19" i="6"/>
  <c r="G18" i="6"/>
  <c r="H18" i="6" s="1"/>
  <c r="B18" i="6" s="1"/>
  <c r="C18" i="6"/>
  <c r="I18" i="6"/>
  <c r="D18" i="6"/>
  <c r="F19" i="5"/>
  <c r="E18" i="6" l="1"/>
  <c r="F18" i="6" s="1"/>
  <c r="J18" i="6" s="1"/>
  <c r="G19" i="5"/>
  <c r="D20" i="5"/>
  <c r="F174" i="12"/>
  <c r="D174" i="12"/>
  <c r="C174" i="12"/>
  <c r="M174" i="12"/>
  <c r="A21" i="5"/>
  <c r="B20" i="5"/>
  <c r="G173" i="14"/>
  <c r="F173" i="14"/>
  <c r="C173" i="14"/>
  <c r="B173" i="14"/>
  <c r="O174" i="12"/>
  <c r="I174" i="12"/>
  <c r="J174" i="12"/>
  <c r="G174" i="12"/>
  <c r="H174" i="12"/>
  <c r="H173" i="14"/>
  <c r="E173" i="14"/>
  <c r="D173" i="14"/>
  <c r="A174" i="14"/>
  <c r="A175" i="12"/>
  <c r="E174" i="12"/>
  <c r="K174" i="12"/>
  <c r="B174" i="12"/>
  <c r="L174" i="12"/>
  <c r="H19" i="5"/>
  <c r="C80" i="10"/>
  <c r="A81" i="10"/>
  <c r="D80" i="10"/>
  <c r="G80" i="10"/>
  <c r="E80" i="10"/>
  <c r="B80" i="10"/>
  <c r="E20" i="5"/>
  <c r="B21" i="5"/>
  <c r="A20" i="6"/>
  <c r="G19" i="6"/>
  <c r="H19" i="6" s="1"/>
  <c r="F20" i="5"/>
  <c r="C19" i="6"/>
  <c r="I19" i="6"/>
  <c r="F21" i="5"/>
  <c r="D19" i="6"/>
  <c r="G20" i="5" l="1"/>
  <c r="H20" i="5"/>
  <c r="G174" i="14"/>
  <c r="F174" i="14"/>
  <c r="A22" i="5"/>
  <c r="D21" i="5"/>
  <c r="E21" i="5" s="1"/>
  <c r="H21" i="5" s="1"/>
  <c r="M175" i="12"/>
  <c r="F175" i="12"/>
  <c r="D175" i="12"/>
  <c r="C175" i="12"/>
  <c r="C21" i="5"/>
  <c r="C174" i="14"/>
  <c r="B174" i="14"/>
  <c r="J175" i="12"/>
  <c r="O175" i="12"/>
  <c r="I175" i="12"/>
  <c r="H175" i="12"/>
  <c r="G175" i="12"/>
  <c r="E174" i="14"/>
  <c r="A175" i="14"/>
  <c r="D174" i="14"/>
  <c r="H174" i="14"/>
  <c r="E175" i="12"/>
  <c r="A176" i="12"/>
  <c r="B175" i="12"/>
  <c r="K175" i="12"/>
  <c r="L175" i="12"/>
  <c r="B19" i="6"/>
  <c r="C81" i="10"/>
  <c r="E81" i="10"/>
  <c r="A82" i="10"/>
  <c r="D81" i="10"/>
  <c r="B81" i="10"/>
  <c r="G81" i="10"/>
  <c r="G21" i="5"/>
  <c r="B22" i="5"/>
  <c r="G20" i="6"/>
  <c r="H20" i="6" s="1"/>
  <c r="A21" i="6"/>
  <c r="C22" i="5"/>
  <c r="D22" i="5"/>
  <c r="A23" i="5"/>
  <c r="C20" i="6"/>
  <c r="I20" i="6"/>
  <c r="F23" i="5"/>
  <c r="D20" i="6"/>
  <c r="F22" i="5"/>
  <c r="G22" i="5" l="1"/>
  <c r="F176" i="12"/>
  <c r="D176" i="12"/>
  <c r="C176" i="12"/>
  <c r="M176" i="12"/>
  <c r="G175" i="14"/>
  <c r="F175" i="14"/>
  <c r="E22" i="5"/>
  <c r="C175" i="14"/>
  <c r="B175" i="14"/>
  <c r="O176" i="12"/>
  <c r="J176" i="12"/>
  <c r="I176" i="12"/>
  <c r="H176" i="12"/>
  <c r="G176" i="12"/>
  <c r="H175" i="14"/>
  <c r="A176" i="14"/>
  <c r="E175" i="14"/>
  <c r="D175" i="14"/>
  <c r="K176" i="12"/>
  <c r="E176" i="12"/>
  <c r="L176" i="12"/>
  <c r="A177" i="12"/>
  <c r="B176" i="12"/>
  <c r="E19" i="6"/>
  <c r="F19" i="6" s="1"/>
  <c r="J19" i="6" s="1"/>
  <c r="B20" i="6"/>
  <c r="H22" i="5"/>
  <c r="C82" i="10"/>
  <c r="B82" i="10"/>
  <c r="E82" i="10"/>
  <c r="G82" i="10"/>
  <c r="A83" i="10"/>
  <c r="D82" i="10"/>
  <c r="B23" i="5"/>
  <c r="A22" i="6"/>
  <c r="G21" i="6"/>
  <c r="H21" i="6" s="1"/>
  <c r="C23" i="5"/>
  <c r="G23" i="5" s="1"/>
  <c r="D23" i="5"/>
  <c r="E23" i="5" s="1"/>
  <c r="A24" i="5"/>
  <c r="C21" i="6"/>
  <c r="F24" i="5"/>
  <c r="D21" i="6"/>
  <c r="I21" i="6"/>
  <c r="F176" i="14" l="1"/>
  <c r="G176" i="14"/>
  <c r="M177" i="12"/>
  <c r="F177" i="12"/>
  <c r="D177" i="12"/>
  <c r="C177" i="12"/>
  <c r="C176" i="14"/>
  <c r="B176" i="14"/>
  <c r="O177" i="12"/>
  <c r="J177" i="12"/>
  <c r="H177" i="12"/>
  <c r="I177" i="12"/>
  <c r="G177" i="12"/>
  <c r="E176" i="14"/>
  <c r="A177" i="14"/>
  <c r="D176" i="14"/>
  <c r="H176" i="14"/>
  <c r="L177" i="12"/>
  <c r="E177" i="12"/>
  <c r="K177" i="12"/>
  <c r="A178" i="12"/>
  <c r="B177" i="12"/>
  <c r="E20" i="6"/>
  <c r="F20" i="6" s="1"/>
  <c r="J20" i="6" s="1"/>
  <c r="B21" i="6"/>
  <c r="C83" i="10"/>
  <c r="H23" i="5"/>
  <c r="G83" i="10"/>
  <c r="B83" i="10"/>
  <c r="A84" i="10"/>
  <c r="D83" i="10"/>
  <c r="E83" i="10"/>
  <c r="B24" i="5"/>
  <c r="A23" i="6"/>
  <c r="G22" i="6"/>
  <c r="H22" i="6" s="1"/>
  <c r="C24" i="5"/>
  <c r="G24" i="5" s="1"/>
  <c r="A25" i="5"/>
  <c r="D24" i="5"/>
  <c r="E24" i="5" s="1"/>
  <c r="I22" i="6"/>
  <c r="D22" i="6"/>
  <c r="C22" i="6"/>
  <c r="F178" i="12" l="1"/>
  <c r="D178" i="12"/>
  <c r="C178" i="12"/>
  <c r="M178" i="12"/>
  <c r="C25" i="5"/>
  <c r="G177" i="14"/>
  <c r="F177" i="14"/>
  <c r="C177" i="14"/>
  <c r="B177" i="14"/>
  <c r="O178" i="12"/>
  <c r="J178" i="12"/>
  <c r="I178" i="12"/>
  <c r="G178" i="12"/>
  <c r="H178" i="12"/>
  <c r="H177" i="14"/>
  <c r="E177" i="14"/>
  <c r="D177" i="14"/>
  <c r="A178" i="14"/>
  <c r="A179" i="12"/>
  <c r="E178" i="12"/>
  <c r="K178" i="12"/>
  <c r="L178" i="12"/>
  <c r="B178" i="12"/>
  <c r="E21" i="6"/>
  <c r="F21" i="6" s="1"/>
  <c r="J21" i="6" s="1"/>
  <c r="B22" i="6"/>
  <c r="H24" i="5"/>
  <c r="C84" i="10"/>
  <c r="A85" i="10"/>
  <c r="D84" i="10"/>
  <c r="G84" i="10"/>
  <c r="E84" i="10"/>
  <c r="B84" i="10"/>
  <c r="B25" i="5"/>
  <c r="A24" i="6"/>
  <c r="G23" i="6"/>
  <c r="H23" i="6" s="1"/>
  <c r="A26" i="5"/>
  <c r="F26" i="5" s="1"/>
  <c r="D25" i="5"/>
  <c r="E25" i="5" s="1"/>
  <c r="I23" i="6"/>
  <c r="F25" i="5"/>
  <c r="D23" i="6"/>
  <c r="C23" i="6"/>
  <c r="M179" i="12" l="1"/>
  <c r="F179" i="12"/>
  <c r="D179" i="12"/>
  <c r="C179" i="12"/>
  <c r="G178" i="14"/>
  <c r="F178" i="14"/>
  <c r="G25" i="5"/>
  <c r="B13" i="5" s="1"/>
  <c r="H25" i="5"/>
  <c r="C178" i="14"/>
  <c r="B178" i="14"/>
  <c r="O179" i="12"/>
  <c r="J179" i="12"/>
  <c r="I179" i="12"/>
  <c r="H179" i="12"/>
  <c r="G179" i="12"/>
  <c r="E178" i="14"/>
  <c r="A179" i="14"/>
  <c r="D178" i="14"/>
  <c r="H178" i="14"/>
  <c r="K179" i="12"/>
  <c r="L179" i="12"/>
  <c r="E179" i="12"/>
  <c r="A180" i="12"/>
  <c r="B179" i="12"/>
  <c r="E22" i="6"/>
  <c r="F22" i="6" s="1"/>
  <c r="J22" i="6" s="1"/>
  <c r="B23" i="6"/>
  <c r="H26" i="5"/>
  <c r="G26" i="5"/>
  <c r="C85" i="10"/>
  <c r="E85" i="10"/>
  <c r="A86" i="10"/>
  <c r="D85" i="10"/>
  <c r="B85" i="10"/>
  <c r="G85" i="10"/>
  <c r="B26" i="5"/>
  <c r="A25" i="6"/>
  <c r="G24" i="6"/>
  <c r="H24" i="6" s="1"/>
  <c r="B24" i="6" s="1"/>
  <c r="C26" i="5"/>
  <c r="D26" i="5"/>
  <c r="A27" i="5"/>
  <c r="F27" i="5" s="1"/>
  <c r="E26" i="5"/>
  <c r="D24" i="6"/>
  <c r="C24" i="6"/>
  <c r="I24" i="6"/>
  <c r="G179" i="14" l="1"/>
  <c r="F179" i="14"/>
  <c r="F180" i="12"/>
  <c r="D180" i="12"/>
  <c r="C180" i="12"/>
  <c r="M180" i="12"/>
  <c r="C179" i="14"/>
  <c r="B179" i="14"/>
  <c r="O180" i="12"/>
  <c r="J180" i="12"/>
  <c r="I180" i="12"/>
  <c r="H180" i="12"/>
  <c r="G180" i="12"/>
  <c r="A180" i="14"/>
  <c r="D179" i="14"/>
  <c r="H179" i="14"/>
  <c r="E179" i="14"/>
  <c r="E180" i="12"/>
  <c r="K180" i="12"/>
  <c r="L180" i="12"/>
  <c r="A181" i="12"/>
  <c r="B180" i="12"/>
  <c r="E23" i="6"/>
  <c r="F23" i="6" s="1"/>
  <c r="J23" i="6" s="1"/>
  <c r="E24" i="6"/>
  <c r="F24" i="6" s="1"/>
  <c r="J24" i="6" s="1"/>
  <c r="H27" i="5"/>
  <c r="G27" i="5"/>
  <c r="C86" i="10"/>
  <c r="B86" i="10"/>
  <c r="E86" i="10"/>
  <c r="G86" i="10"/>
  <c r="D86" i="10"/>
  <c r="A87" i="10"/>
  <c r="B27" i="5"/>
  <c r="A26" i="6"/>
  <c r="G25" i="6"/>
  <c r="H25" i="6" s="1"/>
  <c r="B25" i="6" s="1"/>
  <c r="C27" i="5"/>
  <c r="D27" i="5"/>
  <c r="E27" i="5"/>
  <c r="A28" i="5"/>
  <c r="F28" i="5" s="1"/>
  <c r="I25" i="6"/>
  <c r="C25" i="6"/>
  <c r="D25" i="6"/>
  <c r="F180" i="14" l="1"/>
  <c r="G180" i="14"/>
  <c r="M181" i="12"/>
  <c r="F181" i="12"/>
  <c r="D181" i="12"/>
  <c r="C181" i="12"/>
  <c r="C180" i="14"/>
  <c r="B180" i="14"/>
  <c r="O181" i="12"/>
  <c r="H181" i="12"/>
  <c r="J181" i="12"/>
  <c r="I181" i="12"/>
  <c r="G181" i="12"/>
  <c r="E180" i="14"/>
  <c r="A181" i="14"/>
  <c r="D180" i="14"/>
  <c r="H180" i="14"/>
  <c r="A182" i="12"/>
  <c r="E181" i="12"/>
  <c r="K181" i="12"/>
  <c r="L181" i="12"/>
  <c r="B181" i="12"/>
  <c r="E25" i="6"/>
  <c r="F25" i="6" s="1"/>
  <c r="J25" i="6" s="1"/>
  <c r="H28" i="5"/>
  <c r="G28" i="5"/>
  <c r="C87" i="10"/>
  <c r="G87" i="10"/>
  <c r="B87" i="10"/>
  <c r="A88" i="10"/>
  <c r="D87" i="10"/>
  <c r="E87" i="10"/>
  <c r="B28" i="5"/>
  <c r="A27" i="6"/>
  <c r="G26" i="6"/>
  <c r="H26" i="6" s="1"/>
  <c r="B26" i="6" s="1"/>
  <c r="C28" i="5"/>
  <c r="A29" i="5"/>
  <c r="F29" i="5" s="1"/>
  <c r="D28" i="5"/>
  <c r="E28" i="5"/>
  <c r="C26" i="6"/>
  <c r="I26" i="6"/>
  <c r="D26" i="6"/>
  <c r="F182" i="12" l="1"/>
  <c r="D182" i="12"/>
  <c r="C182" i="12"/>
  <c r="M182" i="12"/>
  <c r="F181" i="14"/>
  <c r="G181" i="14"/>
  <c r="C181" i="14"/>
  <c r="B181" i="14"/>
  <c r="O182" i="12"/>
  <c r="J182" i="12"/>
  <c r="I182" i="12"/>
  <c r="H182" i="12"/>
  <c r="G182" i="12"/>
  <c r="A182" i="14"/>
  <c r="D181" i="14"/>
  <c r="H181" i="14"/>
  <c r="E181" i="14"/>
  <c r="K182" i="12"/>
  <c r="B182" i="12"/>
  <c r="E182" i="12"/>
  <c r="L182" i="12"/>
  <c r="A183" i="12"/>
  <c r="E26" i="6"/>
  <c r="F26" i="6" s="1"/>
  <c r="J26" i="6" s="1"/>
  <c r="C88" i="10"/>
  <c r="H29" i="5"/>
  <c r="G29" i="5"/>
  <c r="A89" i="10"/>
  <c r="D88" i="10"/>
  <c r="G88" i="10"/>
  <c r="E88" i="10"/>
  <c r="B88" i="10"/>
  <c r="B29" i="5"/>
  <c r="A28" i="6"/>
  <c r="G27" i="6"/>
  <c r="H27" i="6" s="1"/>
  <c r="B27" i="6" s="1"/>
  <c r="C29" i="5"/>
  <c r="E29" i="5"/>
  <c r="A30" i="5"/>
  <c r="F30" i="5" s="1"/>
  <c r="D29" i="5"/>
  <c r="D27" i="6"/>
  <c r="I27" i="6"/>
  <c r="C27" i="6"/>
  <c r="M183" i="12" l="1"/>
  <c r="F183" i="12"/>
  <c r="D183" i="12"/>
  <c r="C183" i="12"/>
  <c r="G182" i="14"/>
  <c r="F182" i="14"/>
  <c r="C182" i="14"/>
  <c r="B182" i="14"/>
  <c r="O183" i="12"/>
  <c r="J183" i="12"/>
  <c r="I183" i="12"/>
  <c r="G183" i="12"/>
  <c r="H183" i="12"/>
  <c r="E182" i="14"/>
  <c r="A183" i="14"/>
  <c r="D182" i="14"/>
  <c r="H182" i="14"/>
  <c r="A184" i="12"/>
  <c r="K183" i="12"/>
  <c r="B183" i="12"/>
  <c r="L183" i="12"/>
  <c r="E183" i="12"/>
  <c r="E27" i="6"/>
  <c r="F27" i="6" s="1"/>
  <c r="J27" i="6" s="1"/>
  <c r="H30" i="5"/>
  <c r="A31" i="5"/>
  <c r="F31" i="5" s="1"/>
  <c r="G30" i="5"/>
  <c r="C89" i="10"/>
  <c r="E89" i="10"/>
  <c r="A90" i="10"/>
  <c r="D89" i="10"/>
  <c r="B89" i="10"/>
  <c r="G89" i="10"/>
  <c r="B30" i="5"/>
  <c r="G28" i="6"/>
  <c r="H28" i="6" s="1"/>
  <c r="B28" i="6" s="1"/>
  <c r="A29" i="6"/>
  <c r="C30" i="5"/>
  <c r="D30" i="5"/>
  <c r="E30" i="5"/>
  <c r="D28" i="6"/>
  <c r="I28" i="6"/>
  <c r="C28" i="6"/>
  <c r="G183" i="14" l="1"/>
  <c r="F183" i="14"/>
  <c r="F184" i="12"/>
  <c r="D184" i="12"/>
  <c r="C184" i="12"/>
  <c r="M184" i="12"/>
  <c r="C183" i="14"/>
  <c r="B183" i="14"/>
  <c r="O184" i="12"/>
  <c r="J184" i="12"/>
  <c r="I184" i="12"/>
  <c r="H184" i="12"/>
  <c r="G184" i="12"/>
  <c r="A184" i="14"/>
  <c r="D183" i="14"/>
  <c r="H183" i="14"/>
  <c r="E183" i="14"/>
  <c r="B184" i="12"/>
  <c r="A185" i="12"/>
  <c r="K184" i="12"/>
  <c r="E184" i="12"/>
  <c r="L184" i="12"/>
  <c r="E28" i="6"/>
  <c r="F28" i="6" s="1"/>
  <c r="J28" i="6" s="1"/>
  <c r="C90" i="10"/>
  <c r="A32" i="5"/>
  <c r="F32" i="5" s="1"/>
  <c r="H31" i="5"/>
  <c r="B31" i="5"/>
  <c r="B90" i="10"/>
  <c r="E90" i="10"/>
  <c r="G90" i="10"/>
  <c r="D90" i="10"/>
  <c r="A91" i="10"/>
  <c r="A30" i="6"/>
  <c r="G29" i="6"/>
  <c r="H29" i="6" s="1"/>
  <c r="B29" i="6" s="1"/>
  <c r="C31" i="5"/>
  <c r="D31" i="5"/>
  <c r="E31" i="5"/>
  <c r="C29" i="6"/>
  <c r="I29" i="6"/>
  <c r="D29" i="6"/>
  <c r="M185" i="12" l="1"/>
  <c r="F185" i="12"/>
  <c r="D185" i="12"/>
  <c r="C185" i="12"/>
  <c r="F184" i="14"/>
  <c r="G184" i="14"/>
  <c r="C184" i="14"/>
  <c r="B184" i="14"/>
  <c r="O185" i="12"/>
  <c r="J185" i="12"/>
  <c r="H185" i="12"/>
  <c r="I185" i="12"/>
  <c r="G185" i="12"/>
  <c r="E184" i="14"/>
  <c r="A185" i="14"/>
  <c r="D184" i="14"/>
  <c r="H184" i="14"/>
  <c r="L185" i="12"/>
  <c r="A186" i="12"/>
  <c r="E185" i="12"/>
  <c r="K185" i="12"/>
  <c r="B185" i="12"/>
  <c r="E29" i="6"/>
  <c r="F29" i="6" s="1"/>
  <c r="J29" i="6" s="1"/>
  <c r="H32" i="5"/>
  <c r="A33" i="5"/>
  <c r="F33" i="5" s="1"/>
  <c r="B32" i="5"/>
  <c r="C91" i="10"/>
  <c r="G31" i="5"/>
  <c r="G91" i="10"/>
  <c r="B91" i="10"/>
  <c r="A92" i="10"/>
  <c r="D91" i="10"/>
  <c r="E91" i="10"/>
  <c r="A31" i="6"/>
  <c r="G30" i="6"/>
  <c r="H30" i="6" s="1"/>
  <c r="B30" i="6" s="1"/>
  <c r="C32" i="5"/>
  <c r="D32" i="5"/>
  <c r="E32" i="5" s="1"/>
  <c r="C30" i="6"/>
  <c r="D30" i="6"/>
  <c r="I30" i="6"/>
  <c r="F186" i="12" l="1"/>
  <c r="D186" i="12"/>
  <c r="C186" i="12"/>
  <c r="M186" i="12"/>
  <c r="G185" i="14"/>
  <c r="F185" i="14"/>
  <c r="C185" i="14"/>
  <c r="B185" i="14"/>
  <c r="O186" i="12"/>
  <c r="J186" i="12"/>
  <c r="I186" i="12"/>
  <c r="G186" i="12"/>
  <c r="H186" i="12"/>
  <c r="A186" i="14"/>
  <c r="D185" i="14"/>
  <c r="H185" i="14"/>
  <c r="E185" i="14"/>
  <c r="K186" i="12"/>
  <c r="A187" i="12"/>
  <c r="L186" i="12"/>
  <c r="B186" i="12"/>
  <c r="E186" i="12"/>
  <c r="E30" i="6"/>
  <c r="F30" i="6" s="1"/>
  <c r="J30" i="6" s="1"/>
  <c r="C92" i="10"/>
  <c r="H33" i="5"/>
  <c r="B33" i="5"/>
  <c r="A34" i="5"/>
  <c r="F34" i="5" s="1"/>
  <c r="G32" i="5"/>
  <c r="A93" i="10"/>
  <c r="D92" i="10"/>
  <c r="G92" i="10"/>
  <c r="E92" i="10"/>
  <c r="B92" i="10"/>
  <c r="A32" i="6"/>
  <c r="G31" i="6"/>
  <c r="H31" i="6" s="1"/>
  <c r="B31" i="6" s="1"/>
  <c r="C33" i="5"/>
  <c r="D33" i="5"/>
  <c r="E33" i="5" s="1"/>
  <c r="I31" i="6"/>
  <c r="C31" i="6"/>
  <c r="D31" i="6"/>
  <c r="M187" i="12" l="1"/>
  <c r="F187" i="12"/>
  <c r="D187" i="12"/>
  <c r="C187" i="12"/>
  <c r="G186" i="14"/>
  <c r="F186" i="14"/>
  <c r="C186" i="14"/>
  <c r="B186" i="14"/>
  <c r="O187" i="12"/>
  <c r="J187" i="12"/>
  <c r="I187" i="12"/>
  <c r="H187" i="12"/>
  <c r="G187" i="12"/>
  <c r="E186" i="14"/>
  <c r="A187" i="14"/>
  <c r="D186" i="14"/>
  <c r="H186" i="14"/>
  <c r="A188" i="12"/>
  <c r="K187" i="12"/>
  <c r="B187" i="12"/>
  <c r="L187" i="12"/>
  <c r="E187" i="12"/>
  <c r="E31" i="6"/>
  <c r="F31" i="6" s="1"/>
  <c r="J31" i="6" s="1"/>
  <c r="C93" i="10"/>
  <c r="H34" i="5"/>
  <c r="B34" i="5"/>
  <c r="A35" i="5"/>
  <c r="F35" i="5" s="1"/>
  <c r="G33" i="5"/>
  <c r="E93" i="10"/>
  <c r="A94" i="10"/>
  <c r="D93" i="10"/>
  <c r="B93" i="10"/>
  <c r="G93" i="10"/>
  <c r="A33" i="6"/>
  <c r="G32" i="6"/>
  <c r="H32" i="6" s="1"/>
  <c r="B32" i="6" s="1"/>
  <c r="C34" i="5"/>
  <c r="E34" i="5"/>
  <c r="D34" i="5"/>
  <c r="C32" i="6"/>
  <c r="D32" i="6"/>
  <c r="I32" i="6"/>
  <c r="G187" i="14" l="1"/>
  <c r="F187" i="14"/>
  <c r="F188" i="12"/>
  <c r="D188" i="12"/>
  <c r="C188" i="12"/>
  <c r="M188" i="12"/>
  <c r="C187" i="14"/>
  <c r="B187" i="14"/>
  <c r="O188" i="12"/>
  <c r="J188" i="12"/>
  <c r="I188" i="12"/>
  <c r="H188" i="12"/>
  <c r="G188" i="12"/>
  <c r="A188" i="14"/>
  <c r="D187" i="14"/>
  <c r="H187" i="14"/>
  <c r="E187" i="14"/>
  <c r="B188" i="12"/>
  <c r="A189" i="12"/>
  <c r="K188" i="12"/>
  <c r="E188" i="12"/>
  <c r="L188" i="12"/>
  <c r="E32" i="6"/>
  <c r="F32" i="6" s="1"/>
  <c r="J32" i="6" s="1"/>
  <c r="C94" i="10"/>
  <c r="H35" i="5"/>
  <c r="B35" i="5"/>
  <c r="A36" i="5"/>
  <c r="F36" i="5" s="1"/>
  <c r="G34" i="5"/>
  <c r="B94" i="10"/>
  <c r="E94" i="10"/>
  <c r="G94" i="10"/>
  <c r="A95" i="10"/>
  <c r="D94" i="10"/>
  <c r="G33" i="6"/>
  <c r="H33" i="6" s="1"/>
  <c r="B33" i="6" s="1"/>
  <c r="A34" i="6"/>
  <c r="C35" i="5"/>
  <c r="E35" i="5"/>
  <c r="D35" i="5"/>
  <c r="D33" i="6"/>
  <c r="C33" i="6"/>
  <c r="I33" i="6"/>
  <c r="M189" i="12" l="1"/>
  <c r="F189" i="12"/>
  <c r="D189" i="12"/>
  <c r="C189" i="12"/>
  <c r="F188" i="14"/>
  <c r="G188" i="14"/>
  <c r="C188" i="14"/>
  <c r="B188" i="14"/>
  <c r="O189" i="12"/>
  <c r="H189" i="12"/>
  <c r="I189" i="12"/>
  <c r="G189" i="12"/>
  <c r="J189" i="12"/>
  <c r="E188" i="14"/>
  <c r="A189" i="14"/>
  <c r="D188" i="14"/>
  <c r="H188" i="14"/>
  <c r="L189" i="12"/>
  <c r="A190" i="12"/>
  <c r="E189" i="12"/>
  <c r="K189" i="12"/>
  <c r="B189" i="12"/>
  <c r="E33" i="6"/>
  <c r="F33" i="6" s="1"/>
  <c r="J33" i="6" s="1"/>
  <c r="C95" i="10"/>
  <c r="H36" i="5"/>
  <c r="A37" i="5"/>
  <c r="F37" i="5" s="1"/>
  <c r="B36" i="5"/>
  <c r="G35" i="5"/>
  <c r="G95" i="10"/>
  <c r="B95" i="10"/>
  <c r="A96" i="10"/>
  <c r="D95" i="10"/>
  <c r="E95" i="10"/>
  <c r="A35" i="6"/>
  <c r="G34" i="6"/>
  <c r="H34" i="6" s="1"/>
  <c r="B34" i="6" s="1"/>
  <c r="C36" i="5"/>
  <c r="D36" i="5"/>
  <c r="E36" i="5" s="1"/>
  <c r="C34" i="6"/>
  <c r="D34" i="6"/>
  <c r="I34" i="6"/>
  <c r="F190" i="12" l="1"/>
  <c r="D190" i="12"/>
  <c r="C190" i="12"/>
  <c r="M190" i="12"/>
  <c r="F189" i="14"/>
  <c r="G189" i="14"/>
  <c r="C189" i="14"/>
  <c r="B189" i="14"/>
  <c r="I190" i="12"/>
  <c r="J190" i="12"/>
  <c r="O190" i="12"/>
  <c r="G190" i="12"/>
  <c r="H190" i="12"/>
  <c r="A190" i="14"/>
  <c r="D189" i="14"/>
  <c r="H189" i="14"/>
  <c r="E189" i="14"/>
  <c r="K190" i="12"/>
  <c r="E190" i="12"/>
  <c r="B190" i="12"/>
  <c r="L190" i="12"/>
  <c r="A191" i="12"/>
  <c r="E34" i="6"/>
  <c r="F34" i="6" s="1"/>
  <c r="J34" i="6" s="1"/>
  <c r="C96" i="10"/>
  <c r="H37" i="5"/>
  <c r="B37" i="5"/>
  <c r="A38" i="5"/>
  <c r="F38" i="5" s="1"/>
  <c r="G36" i="5"/>
  <c r="A97" i="10"/>
  <c r="D96" i="10"/>
  <c r="G96" i="10"/>
  <c r="E96" i="10"/>
  <c r="B96" i="10"/>
  <c r="A36" i="6"/>
  <c r="G35" i="6"/>
  <c r="H35" i="6" s="1"/>
  <c r="B35" i="6" s="1"/>
  <c r="C37" i="5"/>
  <c r="E37" i="5"/>
  <c r="D37" i="5"/>
  <c r="I35" i="6"/>
  <c r="C35" i="6"/>
  <c r="D35" i="6"/>
  <c r="M191" i="12" l="1"/>
  <c r="F191" i="12"/>
  <c r="D191" i="12"/>
  <c r="C191" i="12"/>
  <c r="G190" i="14"/>
  <c r="F190" i="14"/>
  <c r="C190" i="14"/>
  <c r="B190" i="14"/>
  <c r="J191" i="12"/>
  <c r="I191" i="12"/>
  <c r="H191" i="12"/>
  <c r="G191" i="12"/>
  <c r="O191" i="12"/>
  <c r="E190" i="14"/>
  <c r="A191" i="14"/>
  <c r="D190" i="14"/>
  <c r="H190" i="14"/>
  <c r="A192" i="12"/>
  <c r="K191" i="12"/>
  <c r="B191" i="12"/>
  <c r="L191" i="12"/>
  <c r="E191" i="12"/>
  <c r="E35" i="6"/>
  <c r="F35" i="6" s="1"/>
  <c r="J35" i="6" s="1"/>
  <c r="C97" i="10"/>
  <c r="H38" i="5"/>
  <c r="B38" i="5"/>
  <c r="A39" i="5"/>
  <c r="F39" i="5" s="1"/>
  <c r="G37" i="5"/>
  <c r="E97" i="10"/>
  <c r="A98" i="10"/>
  <c r="D97" i="10"/>
  <c r="B97" i="10"/>
  <c r="G97" i="10"/>
  <c r="G36" i="6"/>
  <c r="H36" i="6" s="1"/>
  <c r="B36" i="6" s="1"/>
  <c r="A37" i="6"/>
  <c r="C38" i="5"/>
  <c r="D38" i="5"/>
  <c r="E38" i="5" s="1"/>
  <c r="I36" i="6"/>
  <c r="D36" i="6"/>
  <c r="C36" i="6"/>
  <c r="F192" i="12" l="1"/>
  <c r="D192" i="12"/>
  <c r="C192" i="12"/>
  <c r="M192" i="12"/>
  <c r="G191" i="14"/>
  <c r="F191" i="14"/>
  <c r="C191" i="14"/>
  <c r="B191" i="14"/>
  <c r="O192" i="12"/>
  <c r="J192" i="12"/>
  <c r="I192" i="12"/>
  <c r="H192" i="12"/>
  <c r="G192" i="12"/>
  <c r="A192" i="14"/>
  <c r="D191" i="14"/>
  <c r="H191" i="14"/>
  <c r="E191" i="14"/>
  <c r="B192" i="12"/>
  <c r="K192" i="12"/>
  <c r="A193" i="12"/>
  <c r="E192" i="12"/>
  <c r="L192" i="12"/>
  <c r="E36" i="6"/>
  <c r="F36" i="6" s="1"/>
  <c r="J36" i="6" s="1"/>
  <c r="C98" i="10"/>
  <c r="H39" i="5"/>
  <c r="B39" i="5"/>
  <c r="A40" i="5"/>
  <c r="F40" i="5" s="1"/>
  <c r="G38" i="5"/>
  <c r="B98" i="10"/>
  <c r="E98" i="10"/>
  <c r="G98" i="10"/>
  <c r="A99" i="10"/>
  <c r="D98" i="10"/>
  <c r="A38" i="6"/>
  <c r="G37" i="6"/>
  <c r="H37" i="6" s="1"/>
  <c r="B37" i="6" s="1"/>
  <c r="C39" i="5"/>
  <c r="D39" i="5"/>
  <c r="E39" i="5" s="1"/>
  <c r="D37" i="6"/>
  <c r="I37" i="6"/>
  <c r="C37" i="6"/>
  <c r="F192" i="14" l="1"/>
  <c r="G192" i="14"/>
  <c r="M193" i="12"/>
  <c r="F193" i="12"/>
  <c r="D193" i="12"/>
  <c r="C193" i="12"/>
  <c r="C192" i="14"/>
  <c r="B192" i="14"/>
  <c r="O193" i="12"/>
  <c r="J193" i="12"/>
  <c r="H193" i="12"/>
  <c r="I193" i="12"/>
  <c r="G193" i="12"/>
  <c r="E192" i="14"/>
  <c r="A193" i="14"/>
  <c r="D192" i="14"/>
  <c r="H192" i="14"/>
  <c r="L193" i="12"/>
  <c r="A194" i="12"/>
  <c r="K193" i="12"/>
  <c r="B193" i="12"/>
  <c r="E193" i="12"/>
  <c r="E37" i="6"/>
  <c r="F37" i="6" s="1"/>
  <c r="J37" i="6" s="1"/>
  <c r="C99" i="10"/>
  <c r="H40" i="5"/>
  <c r="A41" i="5"/>
  <c r="F41" i="5" s="1"/>
  <c r="B40" i="5"/>
  <c r="G39" i="5"/>
  <c r="G99" i="10"/>
  <c r="B99" i="10"/>
  <c r="A100" i="10"/>
  <c r="D99" i="10"/>
  <c r="E99" i="10"/>
  <c r="A39" i="6"/>
  <c r="G38" i="6"/>
  <c r="H38" i="6" s="1"/>
  <c r="B38" i="6" s="1"/>
  <c r="C40" i="5"/>
  <c r="E40" i="5"/>
  <c r="D40" i="5"/>
  <c r="D38" i="6"/>
  <c r="C38" i="6"/>
  <c r="I38" i="6"/>
  <c r="F194" i="12" l="1"/>
  <c r="D194" i="12"/>
  <c r="C194" i="12"/>
  <c r="M194" i="12"/>
  <c r="G193" i="14"/>
  <c r="F193" i="14"/>
  <c r="C193" i="14"/>
  <c r="B193" i="14"/>
  <c r="O194" i="12"/>
  <c r="J194" i="12"/>
  <c r="H194" i="12"/>
  <c r="I194" i="12"/>
  <c r="G194" i="12"/>
  <c r="E193" i="14"/>
  <c r="D193" i="14"/>
  <c r="A194" i="14"/>
  <c r="H193" i="14"/>
  <c r="K194" i="12"/>
  <c r="B194" i="12"/>
  <c r="E194" i="12"/>
  <c r="A195" i="12"/>
  <c r="L194" i="12"/>
  <c r="E38" i="6"/>
  <c r="F38" i="6" s="1"/>
  <c r="J38" i="6" s="1"/>
  <c r="H41" i="5"/>
  <c r="B41" i="5"/>
  <c r="A42" i="5"/>
  <c r="F42" i="5" s="1"/>
  <c r="C100" i="10"/>
  <c r="G40" i="5"/>
  <c r="A101" i="10"/>
  <c r="D100" i="10"/>
  <c r="G100" i="10"/>
  <c r="E100" i="10"/>
  <c r="B100" i="10"/>
  <c r="A40" i="6"/>
  <c r="G39" i="6"/>
  <c r="H39" i="6" s="1"/>
  <c r="B39" i="6" s="1"/>
  <c r="C41" i="5"/>
  <c r="E41" i="5"/>
  <c r="D41" i="5"/>
  <c r="D39" i="6"/>
  <c r="C39" i="6"/>
  <c r="I39" i="6"/>
  <c r="M195" i="12" l="1"/>
  <c r="F195" i="12"/>
  <c r="D195" i="12"/>
  <c r="C195" i="12"/>
  <c r="G194" i="14"/>
  <c r="F194" i="14"/>
  <c r="C194" i="14"/>
  <c r="B194" i="14"/>
  <c r="O195" i="12"/>
  <c r="J195" i="12"/>
  <c r="I195" i="12"/>
  <c r="H195" i="12"/>
  <c r="G195" i="12"/>
  <c r="H194" i="14"/>
  <c r="A195" i="14"/>
  <c r="D194" i="14"/>
  <c r="E194" i="14"/>
  <c r="A196" i="12"/>
  <c r="K195" i="12"/>
  <c r="B195" i="12"/>
  <c r="L195" i="12"/>
  <c r="E195" i="12"/>
  <c r="E39" i="6"/>
  <c r="F39" i="6" s="1"/>
  <c r="J39" i="6" s="1"/>
  <c r="C101" i="10"/>
  <c r="H42" i="5"/>
  <c r="A43" i="5"/>
  <c r="F43" i="5" s="1"/>
  <c r="B42" i="5"/>
  <c r="G41" i="5"/>
  <c r="E101" i="10"/>
  <c r="A102" i="10"/>
  <c r="D101" i="10"/>
  <c r="B101" i="10"/>
  <c r="G101" i="10"/>
  <c r="A41" i="6"/>
  <c r="G40" i="6"/>
  <c r="H40" i="6" s="1"/>
  <c r="B40" i="6" s="1"/>
  <c r="C42" i="5"/>
  <c r="D42" i="5"/>
  <c r="E42" i="5" s="1"/>
  <c r="D40" i="6"/>
  <c r="C40" i="6"/>
  <c r="I40" i="6"/>
  <c r="F196" i="12" l="1"/>
  <c r="D196" i="12"/>
  <c r="C196" i="12"/>
  <c r="M196" i="12"/>
  <c r="G195" i="14"/>
  <c r="F195" i="14"/>
  <c r="C195" i="14"/>
  <c r="B195" i="14"/>
  <c r="O196" i="12"/>
  <c r="J196" i="12"/>
  <c r="I196" i="12"/>
  <c r="H196" i="12"/>
  <c r="G196" i="12"/>
  <c r="E195" i="14"/>
  <c r="A196" i="14"/>
  <c r="H195" i="14"/>
  <c r="D195" i="14"/>
  <c r="B196" i="12"/>
  <c r="A197" i="12"/>
  <c r="E196" i="12"/>
  <c r="K196" i="12"/>
  <c r="L196" i="12"/>
  <c r="E40" i="6"/>
  <c r="F40" i="6" s="1"/>
  <c r="J40" i="6" s="1"/>
  <c r="C102" i="10"/>
  <c r="H43" i="5"/>
  <c r="A44" i="5"/>
  <c r="F44" i="5" s="1"/>
  <c r="B43" i="5"/>
  <c r="G42" i="5"/>
  <c r="B102" i="10"/>
  <c r="E102" i="10"/>
  <c r="G102" i="10"/>
  <c r="A103" i="10"/>
  <c r="D102" i="10"/>
  <c r="A42" i="6"/>
  <c r="G41" i="6"/>
  <c r="H41" i="6" s="1"/>
  <c r="B41" i="6" s="1"/>
  <c r="C43" i="5"/>
  <c r="D43" i="5"/>
  <c r="E43" i="5" s="1"/>
  <c r="D41" i="6"/>
  <c r="I41" i="6"/>
  <c r="C41" i="6"/>
  <c r="F196" i="14" l="1"/>
  <c r="G196" i="14"/>
  <c r="M197" i="12"/>
  <c r="F197" i="12"/>
  <c r="D197" i="12"/>
  <c r="C197" i="12"/>
  <c r="C196" i="14"/>
  <c r="B196" i="14"/>
  <c r="O197" i="12"/>
  <c r="H197" i="12"/>
  <c r="J197" i="12"/>
  <c r="I197" i="12"/>
  <c r="G197" i="12"/>
  <c r="H196" i="14"/>
  <c r="A197" i="14"/>
  <c r="D196" i="14"/>
  <c r="E196" i="14"/>
  <c r="L197" i="12"/>
  <c r="A198" i="12"/>
  <c r="E197" i="12"/>
  <c r="K197" i="12"/>
  <c r="B197" i="12"/>
  <c r="E41" i="6"/>
  <c r="F41" i="6" s="1"/>
  <c r="J41" i="6" s="1"/>
  <c r="H44" i="5"/>
  <c r="B44" i="5"/>
  <c r="A45" i="5"/>
  <c r="F45" i="5" s="1"/>
  <c r="C103" i="10"/>
  <c r="G43" i="5"/>
  <c r="G103" i="10"/>
  <c r="B103" i="10"/>
  <c r="A104" i="10"/>
  <c r="D103" i="10"/>
  <c r="E103" i="10"/>
  <c r="A43" i="6"/>
  <c r="G42" i="6"/>
  <c r="H42" i="6" s="1"/>
  <c r="B42" i="6" s="1"/>
  <c r="C44" i="5"/>
  <c r="D44" i="5"/>
  <c r="E44" i="5" s="1"/>
  <c r="C42" i="6"/>
  <c r="D42" i="6"/>
  <c r="I42" i="6"/>
  <c r="F198" i="12" l="1"/>
  <c r="D198" i="12"/>
  <c r="C198" i="12"/>
  <c r="M198" i="12"/>
  <c r="G197" i="14"/>
  <c r="F197" i="14"/>
  <c r="C197" i="14"/>
  <c r="B197" i="14"/>
  <c r="O198" i="12"/>
  <c r="J198" i="12"/>
  <c r="I198" i="12"/>
  <c r="G198" i="12"/>
  <c r="H198" i="12"/>
  <c r="E197" i="14"/>
  <c r="D197" i="14"/>
  <c r="A198" i="14"/>
  <c r="H197" i="14"/>
  <c r="K198" i="12"/>
  <c r="E198" i="12"/>
  <c r="B198" i="12"/>
  <c r="L198" i="12"/>
  <c r="A199" i="12"/>
  <c r="E42" i="6"/>
  <c r="F42" i="6" s="1"/>
  <c r="J42" i="6" s="1"/>
  <c r="H45" i="5"/>
  <c r="B45" i="5"/>
  <c r="A46" i="5"/>
  <c r="F46" i="5" s="1"/>
  <c r="C104" i="10"/>
  <c r="G44" i="5"/>
  <c r="A105" i="10"/>
  <c r="D104" i="10"/>
  <c r="G104" i="10"/>
  <c r="E104" i="10"/>
  <c r="B104" i="10"/>
  <c r="A44" i="6"/>
  <c r="G43" i="6"/>
  <c r="H43" i="6" s="1"/>
  <c r="B43" i="6" s="1"/>
  <c r="C45" i="5"/>
  <c r="E45" i="5"/>
  <c r="D45" i="5"/>
  <c r="D43" i="6"/>
  <c r="C43" i="6"/>
  <c r="I43" i="6"/>
  <c r="G198" i="14" l="1"/>
  <c r="F198" i="14"/>
  <c r="M199" i="12"/>
  <c r="F199" i="12"/>
  <c r="D199" i="12"/>
  <c r="C199" i="12"/>
  <c r="C198" i="14"/>
  <c r="B198" i="14"/>
  <c r="O199" i="12"/>
  <c r="J199" i="12"/>
  <c r="I199" i="12"/>
  <c r="G199" i="12"/>
  <c r="H199" i="12"/>
  <c r="H198" i="14"/>
  <c r="A199" i="14"/>
  <c r="D198" i="14"/>
  <c r="E198" i="14"/>
  <c r="A200" i="12"/>
  <c r="L199" i="12"/>
  <c r="E199" i="12"/>
  <c r="K199" i="12"/>
  <c r="B199" i="12"/>
  <c r="E43" i="6"/>
  <c r="F43" i="6" s="1"/>
  <c r="J43" i="6" s="1"/>
  <c r="C105" i="10"/>
  <c r="H46" i="5"/>
  <c r="A47" i="5"/>
  <c r="F47" i="5" s="1"/>
  <c r="B46" i="5"/>
  <c r="G45" i="5"/>
  <c r="E105" i="10"/>
  <c r="A106" i="10"/>
  <c r="D105" i="10"/>
  <c r="B105" i="10"/>
  <c r="G105" i="10"/>
  <c r="G44" i="6"/>
  <c r="H44" i="6" s="1"/>
  <c r="B44" i="6" s="1"/>
  <c r="A45" i="6"/>
  <c r="C46" i="5"/>
  <c r="D46" i="5"/>
  <c r="E46" i="5" s="1"/>
  <c r="D44" i="6"/>
  <c r="I44" i="6"/>
  <c r="C44" i="6"/>
  <c r="G199" i="14" l="1"/>
  <c r="F199" i="14"/>
  <c r="F200" i="12"/>
  <c r="D200" i="12"/>
  <c r="C200" i="12"/>
  <c r="M200" i="12"/>
  <c r="C199" i="14"/>
  <c r="B199" i="14"/>
  <c r="O200" i="12"/>
  <c r="J200" i="12"/>
  <c r="I200" i="12"/>
  <c r="H200" i="12"/>
  <c r="G200" i="12"/>
  <c r="E199" i="14"/>
  <c r="A200" i="14"/>
  <c r="H199" i="14"/>
  <c r="D199" i="14"/>
  <c r="A201" i="12"/>
  <c r="K200" i="12"/>
  <c r="E200" i="12"/>
  <c r="B200" i="12"/>
  <c r="L200" i="12"/>
  <c r="E44" i="6"/>
  <c r="F44" i="6" s="1"/>
  <c r="J44" i="6" s="1"/>
  <c r="C106" i="10"/>
  <c r="H47" i="5"/>
  <c r="B47" i="5"/>
  <c r="A48" i="5"/>
  <c r="F48" i="5" s="1"/>
  <c r="G46" i="5"/>
  <c r="B106" i="10"/>
  <c r="E106" i="10"/>
  <c r="G106" i="10"/>
  <c r="D106" i="10"/>
  <c r="A107" i="10"/>
  <c r="A46" i="6"/>
  <c r="G45" i="6"/>
  <c r="H45" i="6" s="1"/>
  <c r="B45" i="6" s="1"/>
  <c r="C47" i="5"/>
  <c r="E47" i="5"/>
  <c r="D47" i="5"/>
  <c r="D45" i="6"/>
  <c r="I45" i="6"/>
  <c r="C45" i="6"/>
  <c r="F200" i="14" l="1"/>
  <c r="G200" i="14"/>
  <c r="M201" i="12"/>
  <c r="F201" i="12"/>
  <c r="D201" i="12"/>
  <c r="C201" i="12"/>
  <c r="C200" i="14"/>
  <c r="B200" i="14"/>
  <c r="O201" i="12"/>
  <c r="J201" i="12"/>
  <c r="H201" i="12"/>
  <c r="I201" i="12"/>
  <c r="G201" i="12"/>
  <c r="H200" i="14"/>
  <c r="A201" i="14"/>
  <c r="D200" i="14"/>
  <c r="E200" i="14"/>
  <c r="L201" i="12"/>
  <c r="K201" i="12"/>
  <c r="B201" i="12"/>
  <c r="A202" i="12"/>
  <c r="E201" i="12"/>
  <c r="E45" i="6"/>
  <c r="F45" i="6" s="1"/>
  <c r="J45" i="6" s="1"/>
  <c r="C107" i="10"/>
  <c r="H48" i="5"/>
  <c r="A49" i="5"/>
  <c r="F49" i="5" s="1"/>
  <c r="B48" i="5"/>
  <c r="G47" i="5"/>
  <c r="G107" i="10"/>
  <c r="B107" i="10"/>
  <c r="A108" i="10"/>
  <c r="D107" i="10"/>
  <c r="E107" i="10"/>
  <c r="A47" i="6"/>
  <c r="G46" i="6"/>
  <c r="H46" i="6" s="1"/>
  <c r="B46" i="6" s="1"/>
  <c r="C48" i="5"/>
  <c r="D48" i="5"/>
  <c r="E48" i="5"/>
  <c r="C46" i="6"/>
  <c r="D46" i="6"/>
  <c r="I46" i="6"/>
  <c r="F202" i="12" l="1"/>
  <c r="D202" i="12"/>
  <c r="C202" i="12"/>
  <c r="M202" i="12"/>
  <c r="G201" i="14"/>
  <c r="F201" i="14"/>
  <c r="C201" i="14"/>
  <c r="B201" i="14"/>
  <c r="O202" i="12"/>
  <c r="J202" i="12"/>
  <c r="I202" i="12"/>
  <c r="H202" i="12"/>
  <c r="G202" i="12"/>
  <c r="E201" i="14"/>
  <c r="D201" i="14"/>
  <c r="A202" i="14"/>
  <c r="H201" i="14"/>
  <c r="K202" i="12"/>
  <c r="B202" i="12"/>
  <c r="E202" i="12"/>
  <c r="A203" i="12"/>
  <c r="L202" i="12"/>
  <c r="E46" i="6"/>
  <c r="F46" i="6" s="1"/>
  <c r="J46" i="6" s="1"/>
  <c r="H49" i="5"/>
  <c r="B49" i="5"/>
  <c r="A50" i="5"/>
  <c r="F50" i="5" s="1"/>
  <c r="C108" i="10"/>
  <c r="G48" i="5"/>
  <c r="A109" i="10"/>
  <c r="D108" i="10"/>
  <c r="G108" i="10"/>
  <c r="E108" i="10"/>
  <c r="B108" i="10"/>
  <c r="A48" i="6"/>
  <c r="G47" i="6"/>
  <c r="H47" i="6" s="1"/>
  <c r="B47" i="6" s="1"/>
  <c r="C49" i="5"/>
  <c r="E49" i="5"/>
  <c r="D49" i="5"/>
  <c r="C47" i="6"/>
  <c r="D47" i="6"/>
  <c r="I47" i="6"/>
  <c r="G202" i="14" l="1"/>
  <c r="F202" i="14"/>
  <c r="M203" i="12"/>
  <c r="F203" i="12"/>
  <c r="D203" i="12"/>
  <c r="C203" i="12"/>
  <c r="C202" i="14"/>
  <c r="B202" i="14"/>
  <c r="O203" i="12"/>
  <c r="J203" i="12"/>
  <c r="I203" i="12"/>
  <c r="H203" i="12"/>
  <c r="G203" i="12"/>
  <c r="H202" i="14"/>
  <c r="A203" i="14"/>
  <c r="D202" i="14"/>
  <c r="E202" i="14"/>
  <c r="K203" i="12"/>
  <c r="B203" i="12"/>
  <c r="L203" i="12"/>
  <c r="E203" i="12"/>
  <c r="A204" i="12"/>
  <c r="E47" i="6"/>
  <c r="F47" i="6" s="1"/>
  <c r="J47" i="6" s="1"/>
  <c r="C109" i="10"/>
  <c r="B50" i="5"/>
  <c r="H50" i="5"/>
  <c r="G49" i="5"/>
  <c r="E109" i="10"/>
  <c r="A110" i="10"/>
  <c r="D109" i="10"/>
  <c r="B109" i="10"/>
  <c r="G109" i="10"/>
  <c r="A49" i="6"/>
  <c r="G48" i="6"/>
  <c r="H48" i="6" s="1"/>
  <c r="B48" i="6" s="1"/>
  <c r="C50" i="5"/>
  <c r="A51" i="5"/>
  <c r="D50" i="5"/>
  <c r="E50" i="5" s="1"/>
  <c r="C48" i="6"/>
  <c r="I48" i="6"/>
  <c r="D48" i="6"/>
  <c r="F204" i="12" l="1"/>
  <c r="D204" i="12"/>
  <c r="C204" i="12"/>
  <c r="M204" i="12"/>
  <c r="H51" i="5"/>
  <c r="F51" i="5"/>
  <c r="G203" i="14"/>
  <c r="F203" i="14"/>
  <c r="C203" i="14"/>
  <c r="B203" i="14"/>
  <c r="O204" i="12"/>
  <c r="J204" i="12"/>
  <c r="I204" i="12"/>
  <c r="H204" i="12"/>
  <c r="G204" i="12"/>
  <c r="E203" i="14"/>
  <c r="A204" i="14"/>
  <c r="H203" i="14"/>
  <c r="D203" i="14"/>
  <c r="B204" i="12"/>
  <c r="A205" i="12"/>
  <c r="K204" i="12"/>
  <c r="E204" i="12"/>
  <c r="L204" i="12"/>
  <c r="E48" i="6"/>
  <c r="F48" i="6" s="1"/>
  <c r="J48" i="6" s="1"/>
  <c r="C110" i="10"/>
  <c r="G50" i="5"/>
  <c r="B110" i="10"/>
  <c r="E110" i="10"/>
  <c r="G110" i="10"/>
  <c r="A111" i="10"/>
  <c r="D110" i="10"/>
  <c r="B51" i="5"/>
  <c r="G49" i="6"/>
  <c r="H49" i="6" s="1"/>
  <c r="B49" i="6" s="1"/>
  <c r="A50" i="6"/>
  <c r="C51" i="5"/>
  <c r="A52" i="5"/>
  <c r="D51" i="5"/>
  <c r="E51" i="5" s="1"/>
  <c r="I49" i="6"/>
  <c r="D49" i="6"/>
  <c r="C49" i="6"/>
  <c r="H52" i="5" l="1"/>
  <c r="F52" i="5"/>
  <c r="F204" i="14"/>
  <c r="G204" i="14"/>
  <c r="M205" i="12"/>
  <c r="F205" i="12"/>
  <c r="D205" i="12"/>
  <c r="C205" i="12"/>
  <c r="C204" i="14"/>
  <c r="B204" i="14"/>
  <c r="O205" i="12"/>
  <c r="H205" i="12"/>
  <c r="I205" i="12"/>
  <c r="G205" i="12"/>
  <c r="J205" i="12"/>
  <c r="H204" i="14"/>
  <c r="A205" i="14"/>
  <c r="D204" i="14"/>
  <c r="E204" i="14"/>
  <c r="A206" i="12"/>
  <c r="E205" i="12"/>
  <c r="L205" i="12"/>
  <c r="K205" i="12"/>
  <c r="B205" i="12"/>
  <c r="E49" i="6"/>
  <c r="F49" i="6" s="1"/>
  <c r="J49" i="6" s="1"/>
  <c r="C111" i="10"/>
  <c r="G51" i="5"/>
  <c r="G111" i="10"/>
  <c r="B111" i="10"/>
  <c r="A112" i="10"/>
  <c r="D111" i="10"/>
  <c r="E111" i="10"/>
  <c r="B52" i="5"/>
  <c r="A51" i="6"/>
  <c r="G50" i="6"/>
  <c r="H50" i="6" s="1"/>
  <c r="B50" i="6" s="1"/>
  <c r="C52" i="5"/>
  <c r="A53" i="5"/>
  <c r="D52" i="5"/>
  <c r="E52" i="5"/>
  <c r="C50" i="6"/>
  <c r="I50" i="6"/>
  <c r="D50" i="6"/>
  <c r="F206" i="12" l="1"/>
  <c r="D206" i="12"/>
  <c r="C206" i="12"/>
  <c r="M206" i="12"/>
  <c r="G205" i="14"/>
  <c r="F205" i="14"/>
  <c r="H53" i="5"/>
  <c r="F53" i="5"/>
  <c r="C205" i="14"/>
  <c r="B205" i="14"/>
  <c r="O206" i="12"/>
  <c r="I206" i="12"/>
  <c r="G206" i="12"/>
  <c r="J206" i="12"/>
  <c r="H206" i="12"/>
  <c r="E205" i="14"/>
  <c r="D205" i="14"/>
  <c r="A206" i="14"/>
  <c r="H205" i="14"/>
  <c r="A207" i="12"/>
  <c r="K206" i="12"/>
  <c r="B206" i="12"/>
  <c r="L206" i="12"/>
  <c r="E206" i="12"/>
  <c r="E50" i="6"/>
  <c r="F50" i="6" s="1"/>
  <c r="J50" i="6" s="1"/>
  <c r="C112" i="10"/>
  <c r="G52" i="5"/>
  <c r="A113" i="10"/>
  <c r="D112" i="10"/>
  <c r="G112" i="10"/>
  <c r="E112" i="10"/>
  <c r="B112" i="10"/>
  <c r="B53" i="5"/>
  <c r="A52" i="6"/>
  <c r="G51" i="6"/>
  <c r="H51" i="6" s="1"/>
  <c r="B51" i="6" s="1"/>
  <c r="C53" i="5"/>
  <c r="A54" i="5"/>
  <c r="D53" i="5"/>
  <c r="E53" i="5"/>
  <c r="C51" i="6"/>
  <c r="I51" i="6"/>
  <c r="D51" i="6"/>
  <c r="H54" i="5" l="1"/>
  <c r="F54" i="5"/>
  <c r="M207" i="12"/>
  <c r="F207" i="12"/>
  <c r="D207" i="12"/>
  <c r="C207" i="12"/>
  <c r="G206" i="14"/>
  <c r="F206" i="14"/>
  <c r="C206" i="14"/>
  <c r="B206" i="14"/>
  <c r="J207" i="12"/>
  <c r="O207" i="12"/>
  <c r="I207" i="12"/>
  <c r="H207" i="12"/>
  <c r="G207" i="12"/>
  <c r="H206" i="14"/>
  <c r="A207" i="14"/>
  <c r="D206" i="14"/>
  <c r="E206" i="14"/>
  <c r="K207" i="12"/>
  <c r="B207" i="12"/>
  <c r="L207" i="12"/>
  <c r="E207" i="12"/>
  <c r="A208" i="12"/>
  <c r="E51" i="6"/>
  <c r="F51" i="6" s="1"/>
  <c r="J51" i="6" s="1"/>
  <c r="C113" i="10"/>
  <c r="G53" i="5"/>
  <c r="E113" i="10"/>
  <c r="A114" i="10"/>
  <c r="D113" i="10"/>
  <c r="B113" i="10"/>
  <c r="G113" i="10"/>
  <c r="B54" i="5"/>
  <c r="A53" i="6"/>
  <c r="G52" i="6"/>
  <c r="H52" i="6" s="1"/>
  <c r="B52" i="6" s="1"/>
  <c r="C54" i="5"/>
  <c r="D54" i="5"/>
  <c r="A55" i="5"/>
  <c r="E54" i="5"/>
  <c r="I52" i="6"/>
  <c r="C52" i="6"/>
  <c r="D52" i="6"/>
  <c r="H55" i="5" l="1"/>
  <c r="F55" i="5"/>
  <c r="G207" i="14"/>
  <c r="F207" i="14"/>
  <c r="F208" i="12"/>
  <c r="D208" i="12"/>
  <c r="C208" i="12"/>
  <c r="M208" i="12"/>
  <c r="C207" i="14"/>
  <c r="B207" i="14"/>
  <c r="O208" i="12"/>
  <c r="J208" i="12"/>
  <c r="I208" i="12"/>
  <c r="H208" i="12"/>
  <c r="G208" i="12"/>
  <c r="E207" i="14"/>
  <c r="A208" i="14"/>
  <c r="H207" i="14"/>
  <c r="D207" i="14"/>
  <c r="A209" i="12"/>
  <c r="K208" i="12"/>
  <c r="B208" i="12"/>
  <c r="E208" i="12"/>
  <c r="L208" i="12"/>
  <c r="E52" i="6"/>
  <c r="F52" i="6" s="1"/>
  <c r="J52" i="6" s="1"/>
  <c r="C114" i="10"/>
  <c r="G54" i="5"/>
  <c r="B114" i="10"/>
  <c r="E114" i="10"/>
  <c r="G114" i="10"/>
  <c r="A115" i="10"/>
  <c r="D114" i="10"/>
  <c r="B55" i="5"/>
  <c r="G53" i="6"/>
  <c r="H53" i="6" s="1"/>
  <c r="B53" i="6" s="1"/>
  <c r="A54" i="6"/>
  <c r="C55" i="5"/>
  <c r="A56" i="5"/>
  <c r="D55" i="5"/>
  <c r="E55" i="5" s="1"/>
  <c r="D53" i="6"/>
  <c r="C53" i="6"/>
  <c r="I53" i="6"/>
  <c r="H56" i="5" l="1"/>
  <c r="F56" i="5"/>
  <c r="M209" i="12"/>
  <c r="F209" i="12"/>
  <c r="D209" i="12"/>
  <c r="C209" i="12"/>
  <c r="F208" i="14"/>
  <c r="G208" i="14"/>
  <c r="C208" i="14"/>
  <c r="B208" i="14"/>
  <c r="O209" i="12"/>
  <c r="J209" i="12"/>
  <c r="H209" i="12"/>
  <c r="I209" i="12"/>
  <c r="G209" i="12"/>
  <c r="H208" i="14"/>
  <c r="A209" i="14"/>
  <c r="D208" i="14"/>
  <c r="E208" i="14"/>
  <c r="L209" i="12"/>
  <c r="E209" i="12"/>
  <c r="A210" i="12"/>
  <c r="K209" i="12"/>
  <c r="B209" i="12"/>
  <c r="E53" i="6"/>
  <c r="F53" i="6" s="1"/>
  <c r="J53" i="6" s="1"/>
  <c r="C115" i="10"/>
  <c r="G55" i="5"/>
  <c r="G115" i="10"/>
  <c r="B115" i="10"/>
  <c r="A116" i="10"/>
  <c r="D115" i="10"/>
  <c r="E115" i="10"/>
  <c r="B56" i="5"/>
  <c r="A55" i="6"/>
  <c r="G54" i="6"/>
  <c r="H54" i="6" s="1"/>
  <c r="B54" i="6" s="1"/>
  <c r="C56" i="5"/>
  <c r="D56" i="5"/>
  <c r="A57" i="5"/>
  <c r="E56" i="5"/>
  <c r="D54" i="6"/>
  <c r="I54" i="6"/>
  <c r="C54" i="6"/>
  <c r="H57" i="5" l="1"/>
  <c r="F57" i="5"/>
  <c r="F210" i="12"/>
  <c r="D210" i="12"/>
  <c r="C210" i="12"/>
  <c r="M210" i="12"/>
  <c r="G209" i="14"/>
  <c r="F209" i="14"/>
  <c r="C209" i="14"/>
  <c r="B209" i="14"/>
  <c r="O210" i="12"/>
  <c r="J210" i="12"/>
  <c r="I210" i="12"/>
  <c r="H210" i="12"/>
  <c r="G210" i="12"/>
  <c r="E209" i="14"/>
  <c r="D209" i="14"/>
  <c r="A210" i="14"/>
  <c r="H209" i="14"/>
  <c r="K210" i="12"/>
  <c r="A211" i="12"/>
  <c r="E210" i="12"/>
  <c r="B210" i="12"/>
  <c r="L210" i="12"/>
  <c r="E54" i="6"/>
  <c r="F54" i="6" s="1"/>
  <c r="J54" i="6" s="1"/>
  <c r="C116" i="10"/>
  <c r="G56" i="5"/>
  <c r="A117" i="10"/>
  <c r="D116" i="10"/>
  <c r="G116" i="10"/>
  <c r="E116" i="10"/>
  <c r="B116" i="10"/>
  <c r="B57" i="5"/>
  <c r="A56" i="6"/>
  <c r="G55" i="6"/>
  <c r="H55" i="6" s="1"/>
  <c r="B55" i="6" s="1"/>
  <c r="C57" i="5"/>
  <c r="A58" i="5"/>
  <c r="D57" i="5"/>
  <c r="E57" i="5"/>
  <c r="I55" i="6"/>
  <c r="C55" i="6"/>
  <c r="D55" i="6"/>
  <c r="H58" i="5" l="1"/>
  <c r="F58" i="5"/>
  <c r="M211" i="12"/>
  <c r="F211" i="12"/>
  <c r="D211" i="12"/>
  <c r="C211" i="12"/>
  <c r="G210" i="14"/>
  <c r="F210" i="14"/>
  <c r="C210" i="14"/>
  <c r="B210" i="14"/>
  <c r="O211" i="12"/>
  <c r="J211" i="12"/>
  <c r="I211" i="12"/>
  <c r="H211" i="12"/>
  <c r="G211" i="12"/>
  <c r="H210" i="14"/>
  <c r="A211" i="14"/>
  <c r="D210" i="14"/>
  <c r="E210" i="14"/>
  <c r="A212" i="12"/>
  <c r="L211" i="12"/>
  <c r="K211" i="12"/>
  <c r="B211" i="12"/>
  <c r="E211" i="12"/>
  <c r="E55" i="6"/>
  <c r="F55" i="6" s="1"/>
  <c r="J55" i="6" s="1"/>
  <c r="C117" i="10"/>
  <c r="G57" i="5"/>
  <c r="E117" i="10"/>
  <c r="A118" i="10"/>
  <c r="D117" i="10"/>
  <c r="B117" i="10"/>
  <c r="G117" i="10"/>
  <c r="B58" i="5"/>
  <c r="A57" i="6"/>
  <c r="G56" i="6"/>
  <c r="H56" i="6" s="1"/>
  <c r="B56" i="6" s="1"/>
  <c r="C58" i="5"/>
  <c r="A59" i="5"/>
  <c r="D58" i="5"/>
  <c r="E58" i="5" s="1"/>
  <c r="I56" i="6"/>
  <c r="D56" i="6"/>
  <c r="C56" i="6"/>
  <c r="G211" i="14" l="1"/>
  <c r="F211" i="14"/>
  <c r="H59" i="5"/>
  <c r="F59" i="5"/>
  <c r="F212" i="12"/>
  <c r="D212" i="12"/>
  <c r="C212" i="12"/>
  <c r="M212" i="12"/>
  <c r="C211" i="14"/>
  <c r="B211" i="14"/>
  <c r="O212" i="12"/>
  <c r="J212" i="12"/>
  <c r="I212" i="12"/>
  <c r="H212" i="12"/>
  <c r="G212" i="12"/>
  <c r="E211" i="14"/>
  <c r="A212" i="14"/>
  <c r="H211" i="14"/>
  <c r="D211" i="14"/>
  <c r="B212" i="12"/>
  <c r="A213" i="12"/>
  <c r="K212" i="12"/>
  <c r="E212" i="12"/>
  <c r="L212" i="12"/>
  <c r="E56" i="6"/>
  <c r="F56" i="6" s="1"/>
  <c r="J56" i="6" s="1"/>
  <c r="C118" i="10"/>
  <c r="G58" i="5"/>
  <c r="B118" i="10"/>
  <c r="E118" i="10"/>
  <c r="G118" i="10"/>
  <c r="D118" i="10"/>
  <c r="A119" i="10"/>
  <c r="B59" i="5"/>
  <c r="A58" i="6"/>
  <c r="G57" i="6"/>
  <c r="H57" i="6" s="1"/>
  <c r="B57" i="6" s="1"/>
  <c r="C59" i="5"/>
  <c r="A60" i="5"/>
  <c r="D59" i="5"/>
  <c r="E59" i="5" s="1"/>
  <c r="I57" i="6"/>
  <c r="D57" i="6"/>
  <c r="C57" i="6"/>
  <c r="M213" i="12" l="1"/>
  <c r="F213" i="12"/>
  <c r="D213" i="12"/>
  <c r="C213" i="12"/>
  <c r="F212" i="14"/>
  <c r="G212" i="14"/>
  <c r="H60" i="5"/>
  <c r="F60" i="5"/>
  <c r="C212" i="14"/>
  <c r="B212" i="14"/>
  <c r="O213" i="12"/>
  <c r="H213" i="12"/>
  <c r="J213" i="12"/>
  <c r="I213" i="12"/>
  <c r="G213" i="12"/>
  <c r="H212" i="14"/>
  <c r="A213" i="14"/>
  <c r="D212" i="14"/>
  <c r="E212" i="14"/>
  <c r="A214" i="12"/>
  <c r="E213" i="12"/>
  <c r="K213" i="12"/>
  <c r="B213" i="12"/>
  <c r="L213" i="12"/>
  <c r="E57" i="6"/>
  <c r="F57" i="6" s="1"/>
  <c r="J57" i="6" s="1"/>
  <c r="C119" i="10"/>
  <c r="G59" i="5"/>
  <c r="G119" i="10"/>
  <c r="B119" i="10"/>
  <c r="A120" i="10"/>
  <c r="D119" i="10"/>
  <c r="E119" i="10"/>
  <c r="B60" i="5"/>
  <c r="A59" i="6"/>
  <c r="G58" i="6"/>
  <c r="H58" i="6" s="1"/>
  <c r="B58" i="6" s="1"/>
  <c r="C60" i="5"/>
  <c r="D60" i="5"/>
  <c r="A61" i="5"/>
  <c r="E60" i="5"/>
  <c r="I58" i="6"/>
  <c r="D58" i="6"/>
  <c r="C58" i="6"/>
  <c r="F214" i="12" l="1"/>
  <c r="D214" i="12"/>
  <c r="C214" i="12"/>
  <c r="M214" i="12"/>
  <c r="G213" i="14"/>
  <c r="F213" i="14"/>
  <c r="H61" i="5"/>
  <c r="F61" i="5"/>
  <c r="C213" i="14"/>
  <c r="B213" i="14"/>
  <c r="O214" i="12"/>
  <c r="J214" i="12"/>
  <c r="I214" i="12"/>
  <c r="G214" i="12"/>
  <c r="H214" i="12"/>
  <c r="E213" i="14"/>
  <c r="D213" i="14"/>
  <c r="A214" i="14"/>
  <c r="H213" i="14"/>
  <c r="K214" i="12"/>
  <c r="E214" i="12"/>
  <c r="B214" i="12"/>
  <c r="L214" i="12"/>
  <c r="A215" i="12"/>
  <c r="E58" i="6"/>
  <c r="F58" i="6" s="1"/>
  <c r="J58" i="6" s="1"/>
  <c r="C120" i="10"/>
  <c r="G60" i="5"/>
  <c r="A121" i="10"/>
  <c r="D120" i="10"/>
  <c r="G120" i="10"/>
  <c r="E120" i="10"/>
  <c r="B120" i="10"/>
  <c r="B61" i="5"/>
  <c r="A60" i="6"/>
  <c r="G59" i="6"/>
  <c r="H59" i="6" s="1"/>
  <c r="B59" i="6" s="1"/>
  <c r="C61" i="5"/>
  <c r="A62" i="5"/>
  <c r="D61" i="5"/>
  <c r="E61" i="5"/>
  <c r="I59" i="6"/>
  <c r="C59" i="6"/>
  <c r="D59" i="6"/>
  <c r="H62" i="5" l="1"/>
  <c r="F62" i="5"/>
  <c r="G214" i="14"/>
  <c r="F214" i="14"/>
  <c r="M215" i="12"/>
  <c r="F215" i="12"/>
  <c r="D215" i="12"/>
  <c r="C215" i="12"/>
  <c r="C214" i="14"/>
  <c r="B214" i="14"/>
  <c r="O215" i="12"/>
  <c r="J215" i="12"/>
  <c r="I215" i="12"/>
  <c r="G215" i="12"/>
  <c r="H215" i="12"/>
  <c r="H214" i="14"/>
  <c r="A215" i="14"/>
  <c r="D214" i="14"/>
  <c r="E214" i="14"/>
  <c r="A216" i="12"/>
  <c r="L215" i="12"/>
  <c r="K215" i="12"/>
  <c r="B215" i="12"/>
  <c r="E215" i="12"/>
  <c r="E59" i="6"/>
  <c r="F59" i="6" s="1"/>
  <c r="J59" i="6" s="1"/>
  <c r="C121" i="10"/>
  <c r="G61" i="5"/>
  <c r="E121" i="10"/>
  <c r="A122" i="10"/>
  <c r="D121" i="10"/>
  <c r="B121" i="10"/>
  <c r="G121" i="10"/>
  <c r="B62" i="5"/>
  <c r="A61" i="6"/>
  <c r="G60" i="6"/>
  <c r="H60" i="6" s="1"/>
  <c r="B60" i="6" s="1"/>
  <c r="C62" i="5"/>
  <c r="A63" i="5"/>
  <c r="D62" i="5"/>
  <c r="E62" i="5" s="1"/>
  <c r="C60" i="6"/>
  <c r="D60" i="6"/>
  <c r="I60" i="6"/>
  <c r="H63" i="5" l="1"/>
  <c r="F63" i="5"/>
  <c r="F216" i="12"/>
  <c r="D216" i="12"/>
  <c r="C216" i="12"/>
  <c r="M216" i="12"/>
  <c r="G215" i="14"/>
  <c r="F215" i="14"/>
  <c r="C215" i="14"/>
  <c r="B215" i="14"/>
  <c r="O216" i="12"/>
  <c r="J216" i="12"/>
  <c r="I216" i="12"/>
  <c r="H216" i="12"/>
  <c r="G216" i="12"/>
  <c r="E215" i="14"/>
  <c r="A216" i="14"/>
  <c r="H215" i="14"/>
  <c r="D215" i="14"/>
  <c r="B216" i="12"/>
  <c r="A217" i="12"/>
  <c r="K216" i="12"/>
  <c r="E216" i="12"/>
  <c r="L216" i="12"/>
  <c r="E60" i="6"/>
  <c r="F60" i="6" s="1"/>
  <c r="J60" i="6" s="1"/>
  <c r="C122" i="10"/>
  <c r="G62" i="5"/>
  <c r="B122" i="10"/>
  <c r="E122" i="10"/>
  <c r="G122" i="10"/>
  <c r="D122" i="10"/>
  <c r="A123" i="10"/>
  <c r="B63" i="5"/>
  <c r="G61" i="6"/>
  <c r="H61" i="6" s="1"/>
  <c r="B61" i="6" s="1"/>
  <c r="A62" i="6"/>
  <c r="C63" i="5"/>
  <c r="D63" i="5"/>
  <c r="A64" i="5"/>
  <c r="E63" i="5"/>
  <c r="D61" i="6"/>
  <c r="I61" i="6"/>
  <c r="C61" i="6"/>
  <c r="M217" i="12" l="1"/>
  <c r="F217" i="12"/>
  <c r="D217" i="12"/>
  <c r="C217" i="12"/>
  <c r="F216" i="14"/>
  <c r="G216" i="14"/>
  <c r="H64" i="5"/>
  <c r="F64" i="5"/>
  <c r="C216" i="14"/>
  <c r="B216" i="14"/>
  <c r="O217" i="12"/>
  <c r="J217" i="12"/>
  <c r="H217" i="12"/>
  <c r="G217" i="12"/>
  <c r="I217" i="12"/>
  <c r="H216" i="14"/>
  <c r="A217" i="14"/>
  <c r="D216" i="14"/>
  <c r="E216" i="14"/>
  <c r="L217" i="12"/>
  <c r="E217" i="12"/>
  <c r="A218" i="12"/>
  <c r="K217" i="12"/>
  <c r="B217" i="12"/>
  <c r="E61" i="6"/>
  <c r="F61" i="6" s="1"/>
  <c r="J61" i="6" s="1"/>
  <c r="C123" i="10"/>
  <c r="G63" i="5"/>
  <c r="G123" i="10"/>
  <c r="B123" i="10"/>
  <c r="A124" i="10"/>
  <c r="D123" i="10"/>
  <c r="E123" i="10"/>
  <c r="B64" i="5"/>
  <c r="A63" i="6"/>
  <c r="G62" i="6"/>
  <c r="H62" i="6" s="1"/>
  <c r="B62" i="6" s="1"/>
  <c r="C64" i="5"/>
  <c r="A65" i="5"/>
  <c r="D64" i="5"/>
  <c r="E64" i="5"/>
  <c r="D62" i="6"/>
  <c r="I62" i="6"/>
  <c r="C62" i="6"/>
  <c r="G217" i="14" l="1"/>
  <c r="F217" i="14"/>
  <c r="H65" i="5"/>
  <c r="F65" i="5"/>
  <c r="F218" i="12"/>
  <c r="D218" i="12"/>
  <c r="C218" i="12"/>
  <c r="M218" i="12"/>
  <c r="C217" i="14"/>
  <c r="B217" i="14"/>
  <c r="O218" i="12"/>
  <c r="J218" i="12"/>
  <c r="I218" i="12"/>
  <c r="H218" i="12"/>
  <c r="G218" i="12"/>
  <c r="E217" i="14"/>
  <c r="D217" i="14"/>
  <c r="A218" i="14"/>
  <c r="H217" i="14"/>
  <c r="K218" i="12"/>
  <c r="B218" i="12"/>
  <c r="E218" i="12"/>
  <c r="A219" i="12"/>
  <c r="L218" i="12"/>
  <c r="E62" i="6"/>
  <c r="F62" i="6" s="1"/>
  <c r="J62" i="6" s="1"/>
  <c r="C124" i="10"/>
  <c r="G64" i="5"/>
  <c r="A125" i="10"/>
  <c r="D124" i="10"/>
  <c r="G124" i="10"/>
  <c r="E124" i="10"/>
  <c r="B124" i="10"/>
  <c r="B65" i="5"/>
  <c r="A64" i="6"/>
  <c r="G63" i="6"/>
  <c r="H63" i="6" s="1"/>
  <c r="B63" i="6" s="1"/>
  <c r="C65" i="5"/>
  <c r="A66" i="5"/>
  <c r="D65" i="5"/>
  <c r="E65" i="5" s="1"/>
  <c r="D63" i="6"/>
  <c r="I63" i="6"/>
  <c r="C63" i="6"/>
  <c r="H66" i="5" l="1"/>
  <c r="F66" i="5"/>
  <c r="M219" i="12"/>
  <c r="F219" i="12"/>
  <c r="D219" i="12"/>
  <c r="C219" i="12"/>
  <c r="G218" i="14"/>
  <c r="F218" i="14"/>
  <c r="C218" i="14"/>
  <c r="B218" i="14"/>
  <c r="O219" i="12"/>
  <c r="J219" i="12"/>
  <c r="I219" i="12"/>
  <c r="H219" i="12"/>
  <c r="G219" i="12"/>
  <c r="H218" i="14"/>
  <c r="A219" i="14"/>
  <c r="D218" i="14"/>
  <c r="E218" i="14"/>
  <c r="A220" i="12"/>
  <c r="K219" i="12"/>
  <c r="B219" i="12"/>
  <c r="L219" i="12"/>
  <c r="E219" i="12"/>
  <c r="E63" i="6"/>
  <c r="F63" i="6" s="1"/>
  <c r="J63" i="6" s="1"/>
  <c r="C125" i="10"/>
  <c r="G65" i="5"/>
  <c r="E125" i="10"/>
  <c r="A126" i="10"/>
  <c r="D125" i="10"/>
  <c r="B125" i="10"/>
  <c r="G125" i="10"/>
  <c r="B66" i="5"/>
  <c r="A65" i="6"/>
  <c r="G64" i="6"/>
  <c r="H64" i="6" s="1"/>
  <c r="B64" i="6" s="1"/>
  <c r="C66" i="5"/>
  <c r="A67" i="5"/>
  <c r="D66" i="5"/>
  <c r="E66" i="5" s="1"/>
  <c r="I64" i="6"/>
  <c r="D64" i="6"/>
  <c r="C64" i="6"/>
  <c r="F220" i="12" l="1"/>
  <c r="D220" i="12"/>
  <c r="C220" i="12"/>
  <c r="M220" i="12"/>
  <c r="H67" i="5"/>
  <c r="F67" i="5"/>
  <c r="G219" i="14"/>
  <c r="F219" i="14"/>
  <c r="C219" i="14"/>
  <c r="B219" i="14"/>
  <c r="O220" i="12"/>
  <c r="J220" i="12"/>
  <c r="I220" i="12"/>
  <c r="H220" i="12"/>
  <c r="G220" i="12"/>
  <c r="E219" i="14"/>
  <c r="A220" i="14"/>
  <c r="H219" i="14"/>
  <c r="D219" i="14"/>
  <c r="B220" i="12"/>
  <c r="A221" i="12"/>
  <c r="K220" i="12"/>
  <c r="E220" i="12"/>
  <c r="L220" i="12"/>
  <c r="E64" i="6"/>
  <c r="F64" i="6" s="1"/>
  <c r="J64" i="6" s="1"/>
  <c r="C126" i="10"/>
  <c r="G66" i="5"/>
  <c r="B126" i="10"/>
  <c r="E126" i="10"/>
  <c r="G126" i="10"/>
  <c r="A127" i="10"/>
  <c r="D126" i="10"/>
  <c r="B67" i="5"/>
  <c r="A66" i="6"/>
  <c r="G65" i="6"/>
  <c r="H65" i="6" s="1"/>
  <c r="B65" i="6" s="1"/>
  <c r="C67" i="5"/>
  <c r="D67" i="5"/>
  <c r="A68" i="5"/>
  <c r="E67" i="5"/>
  <c r="I65" i="6"/>
  <c r="C65" i="6"/>
  <c r="D65" i="6"/>
  <c r="M221" i="12" l="1"/>
  <c r="F221" i="12"/>
  <c r="D221" i="12"/>
  <c r="C221" i="12"/>
  <c r="F220" i="14"/>
  <c r="G220" i="14"/>
  <c r="H68" i="5"/>
  <c r="F68" i="5"/>
  <c r="C220" i="14"/>
  <c r="B220" i="14"/>
  <c r="O221" i="12"/>
  <c r="H221" i="12"/>
  <c r="I221" i="12"/>
  <c r="J221" i="12"/>
  <c r="G221" i="12"/>
  <c r="H220" i="14"/>
  <c r="A221" i="14"/>
  <c r="D220" i="14"/>
  <c r="E220" i="14"/>
  <c r="L221" i="12"/>
  <c r="A222" i="12"/>
  <c r="E221" i="12"/>
  <c r="K221" i="12"/>
  <c r="B221" i="12"/>
  <c r="E65" i="6"/>
  <c r="F65" i="6" s="1"/>
  <c r="J65" i="6" s="1"/>
  <c r="C127" i="10"/>
  <c r="G67" i="5"/>
  <c r="G127" i="10"/>
  <c r="B127" i="10"/>
  <c r="A128" i="10"/>
  <c r="D127" i="10"/>
  <c r="E127" i="10"/>
  <c r="B68" i="5"/>
  <c r="A67" i="6"/>
  <c r="G66" i="6"/>
  <c r="H66" i="6" s="1"/>
  <c r="B66" i="6" s="1"/>
  <c r="C68" i="5"/>
  <c r="A69" i="5"/>
  <c r="D68" i="5"/>
  <c r="E68" i="5" s="1"/>
  <c r="D66" i="6"/>
  <c r="I66" i="6"/>
  <c r="C66" i="6"/>
  <c r="H69" i="5" l="1"/>
  <c r="F69" i="5"/>
  <c r="F222" i="12"/>
  <c r="D222" i="12"/>
  <c r="C222" i="12"/>
  <c r="M222" i="12"/>
  <c r="G221" i="14"/>
  <c r="F221" i="14"/>
  <c r="C221" i="14"/>
  <c r="B221" i="14"/>
  <c r="I222" i="12"/>
  <c r="O222" i="12"/>
  <c r="J222" i="12"/>
  <c r="G222" i="12"/>
  <c r="H222" i="12"/>
  <c r="E221" i="14"/>
  <c r="D221" i="14"/>
  <c r="A222" i="14"/>
  <c r="H221" i="14"/>
  <c r="E222" i="12"/>
  <c r="L222" i="12"/>
  <c r="A223" i="12"/>
  <c r="B222" i="12"/>
  <c r="K222" i="12"/>
  <c r="E66" i="6"/>
  <c r="F66" i="6" s="1"/>
  <c r="J66" i="6" s="1"/>
  <c r="C128" i="10"/>
  <c r="G68" i="5"/>
  <c r="A129" i="10"/>
  <c r="D128" i="10"/>
  <c r="G128" i="10"/>
  <c r="E128" i="10"/>
  <c r="B128" i="10"/>
  <c r="B69" i="5"/>
  <c r="A68" i="6"/>
  <c r="G67" i="6"/>
  <c r="H67" i="6" s="1"/>
  <c r="B67" i="6" s="1"/>
  <c r="C69" i="5"/>
  <c r="A70" i="5"/>
  <c r="D69" i="5"/>
  <c r="E69" i="5"/>
  <c r="C67" i="6"/>
  <c r="D67" i="6"/>
  <c r="I67" i="6"/>
  <c r="H70" i="5" l="1"/>
  <c r="F70" i="5"/>
  <c r="G222" i="14"/>
  <c r="F222" i="14"/>
  <c r="M223" i="12"/>
  <c r="F223" i="12"/>
  <c r="D223" i="12"/>
  <c r="C223" i="12"/>
  <c r="C222" i="14"/>
  <c r="B222" i="14"/>
  <c r="J223" i="12"/>
  <c r="I223" i="12"/>
  <c r="O223" i="12"/>
  <c r="H223" i="12"/>
  <c r="G223" i="12"/>
  <c r="H222" i="14"/>
  <c r="A223" i="14"/>
  <c r="D222" i="14"/>
  <c r="E222" i="14"/>
  <c r="A224" i="12"/>
  <c r="K223" i="12"/>
  <c r="B223" i="12"/>
  <c r="L223" i="12"/>
  <c r="E223" i="12"/>
  <c r="E67" i="6"/>
  <c r="F67" i="6" s="1"/>
  <c r="J67" i="6" s="1"/>
  <c r="C129" i="10"/>
  <c r="G69" i="5"/>
  <c r="E129" i="10"/>
  <c r="A130" i="10"/>
  <c r="D129" i="10"/>
  <c r="B129" i="10"/>
  <c r="G129" i="10"/>
  <c r="B70" i="5"/>
  <c r="G68" i="6"/>
  <c r="H68" i="6" s="1"/>
  <c r="B68" i="6" s="1"/>
  <c r="A69" i="6"/>
  <c r="C70" i="5"/>
  <c r="A71" i="5"/>
  <c r="D70" i="5"/>
  <c r="E70" i="5"/>
  <c r="D68" i="6"/>
  <c r="C68" i="6"/>
  <c r="I68" i="6"/>
  <c r="G223" i="14" l="1"/>
  <c r="F223" i="14"/>
  <c r="H71" i="5"/>
  <c r="F71" i="5"/>
  <c r="F224" i="12"/>
  <c r="D224" i="12"/>
  <c r="C224" i="12"/>
  <c r="M224" i="12"/>
  <c r="C223" i="14"/>
  <c r="B223" i="14"/>
  <c r="O224" i="12"/>
  <c r="J224" i="12"/>
  <c r="I224" i="12"/>
  <c r="H224" i="12"/>
  <c r="G224" i="12"/>
  <c r="E223" i="14"/>
  <c r="A224" i="14"/>
  <c r="H223" i="14"/>
  <c r="D223" i="14"/>
  <c r="B224" i="12"/>
  <c r="A225" i="12"/>
  <c r="K224" i="12"/>
  <c r="E224" i="12"/>
  <c r="L224" i="12"/>
  <c r="E68" i="6"/>
  <c r="F68" i="6" s="1"/>
  <c r="J68" i="6" s="1"/>
  <c r="C130" i="10"/>
  <c r="G70" i="5"/>
  <c r="B130" i="10"/>
  <c r="E130" i="10"/>
  <c r="G130" i="10"/>
  <c r="A131" i="10"/>
  <c r="D130" i="10"/>
  <c r="B71" i="5"/>
  <c r="G69" i="6"/>
  <c r="H69" i="6" s="1"/>
  <c r="B69" i="6" s="1"/>
  <c r="A70" i="6"/>
  <c r="C71" i="5"/>
  <c r="A72" i="5"/>
  <c r="D71" i="5"/>
  <c r="E71" i="5" s="1"/>
  <c r="I69" i="6"/>
  <c r="D69" i="6"/>
  <c r="C69" i="6"/>
  <c r="F224" i="14" l="1"/>
  <c r="G224" i="14"/>
  <c r="H72" i="5"/>
  <c r="F72" i="5"/>
  <c r="M225" i="12"/>
  <c r="F225" i="12"/>
  <c r="D225" i="12"/>
  <c r="C225" i="12"/>
  <c r="C224" i="14"/>
  <c r="B224" i="14"/>
  <c r="O225" i="12"/>
  <c r="J225" i="12"/>
  <c r="H225" i="12"/>
  <c r="G225" i="12"/>
  <c r="I225" i="12"/>
  <c r="H224" i="14"/>
  <c r="A225" i="14"/>
  <c r="D224" i="14"/>
  <c r="E224" i="14"/>
  <c r="A226" i="12"/>
  <c r="E225" i="12"/>
  <c r="L225" i="12"/>
  <c r="K225" i="12"/>
  <c r="B225" i="12"/>
  <c r="E69" i="6"/>
  <c r="F69" i="6" s="1"/>
  <c r="J69" i="6" s="1"/>
  <c r="C131" i="10"/>
  <c r="G71" i="5"/>
  <c r="G131" i="10"/>
  <c r="B131" i="10"/>
  <c r="A132" i="10"/>
  <c r="D131" i="10"/>
  <c r="E131" i="10"/>
  <c r="B72" i="5"/>
  <c r="A71" i="6"/>
  <c r="G70" i="6"/>
  <c r="H70" i="6" s="1"/>
  <c r="B70" i="6" s="1"/>
  <c r="C72" i="5"/>
  <c r="A73" i="5"/>
  <c r="D72" i="5"/>
  <c r="E72" i="5"/>
  <c r="I70" i="6"/>
  <c r="D70" i="6"/>
  <c r="C70" i="6"/>
  <c r="H73" i="5" l="1"/>
  <c r="F73" i="5"/>
  <c r="G225" i="14"/>
  <c r="F225" i="14"/>
  <c r="F226" i="12"/>
  <c r="D226" i="12"/>
  <c r="C226" i="12"/>
  <c r="M226" i="12"/>
  <c r="C225" i="14"/>
  <c r="B225" i="14"/>
  <c r="O226" i="12"/>
  <c r="J226" i="12"/>
  <c r="H226" i="12"/>
  <c r="I226" i="12"/>
  <c r="G226" i="12"/>
  <c r="E225" i="14"/>
  <c r="D225" i="14"/>
  <c r="A226" i="14"/>
  <c r="H225" i="14"/>
  <c r="A227" i="12"/>
  <c r="K226" i="12"/>
  <c r="B226" i="12"/>
  <c r="E226" i="12"/>
  <c r="L226" i="12"/>
  <c r="E70" i="6"/>
  <c r="F70" i="6" s="1"/>
  <c r="J70" i="6" s="1"/>
  <c r="C132" i="10"/>
  <c r="G72" i="5"/>
  <c r="A133" i="10"/>
  <c r="D132" i="10"/>
  <c r="G132" i="10"/>
  <c r="E132" i="10"/>
  <c r="B132" i="10"/>
  <c r="B73" i="5"/>
  <c r="A72" i="6"/>
  <c r="G71" i="6"/>
  <c r="H71" i="6" s="1"/>
  <c r="B71" i="6" s="1"/>
  <c r="C73" i="5"/>
  <c r="A74" i="5"/>
  <c r="D73" i="5"/>
  <c r="E73" i="5" s="1"/>
  <c r="I71" i="6"/>
  <c r="D71" i="6"/>
  <c r="C71" i="6"/>
  <c r="H74" i="5" l="1"/>
  <c r="F74" i="5"/>
  <c r="M227" i="12"/>
  <c r="F227" i="12"/>
  <c r="D227" i="12"/>
  <c r="C227" i="12"/>
  <c r="G226" i="14"/>
  <c r="F226" i="14"/>
  <c r="C226" i="14"/>
  <c r="B226" i="14"/>
  <c r="O227" i="12"/>
  <c r="J227" i="12"/>
  <c r="I227" i="12"/>
  <c r="H227" i="12"/>
  <c r="G227" i="12"/>
  <c r="H226" i="14"/>
  <c r="A227" i="14"/>
  <c r="D226" i="14"/>
  <c r="E226" i="14"/>
  <c r="A228" i="12"/>
  <c r="L227" i="12"/>
  <c r="K227" i="12"/>
  <c r="B227" i="12"/>
  <c r="E227" i="12"/>
  <c r="E71" i="6"/>
  <c r="F71" i="6" s="1"/>
  <c r="J71" i="6" s="1"/>
  <c r="C133" i="10"/>
  <c r="G73" i="5"/>
  <c r="E133" i="10"/>
  <c r="A134" i="10"/>
  <c r="D133" i="10"/>
  <c r="B133" i="10"/>
  <c r="G133" i="10"/>
  <c r="B74" i="5"/>
  <c r="A73" i="6"/>
  <c r="G72" i="6"/>
  <c r="H72" i="6" s="1"/>
  <c r="B72" i="6" s="1"/>
  <c r="C74" i="5"/>
  <c r="A75" i="5"/>
  <c r="D74" i="5"/>
  <c r="E74" i="5"/>
  <c r="C72" i="6"/>
  <c r="I72" i="6"/>
  <c r="D72" i="6"/>
  <c r="F228" i="12" l="1"/>
  <c r="D228" i="12"/>
  <c r="C228" i="12"/>
  <c r="M228" i="12"/>
  <c r="G227" i="14"/>
  <c r="F227" i="14"/>
  <c r="H75" i="5"/>
  <c r="F75" i="5"/>
  <c r="C227" i="14"/>
  <c r="B227" i="14"/>
  <c r="O228" i="12"/>
  <c r="J228" i="12"/>
  <c r="I228" i="12"/>
  <c r="H228" i="12"/>
  <c r="G228" i="12"/>
  <c r="E227" i="14"/>
  <c r="A228" i="14"/>
  <c r="H227" i="14"/>
  <c r="D227" i="14"/>
  <c r="A229" i="12"/>
  <c r="E228" i="12"/>
  <c r="K228" i="12"/>
  <c r="B228" i="12"/>
  <c r="L228" i="12"/>
  <c r="E72" i="6"/>
  <c r="F72" i="6" s="1"/>
  <c r="J72" i="6" s="1"/>
  <c r="C134" i="10"/>
  <c r="G74" i="5"/>
  <c r="B134" i="10"/>
  <c r="E134" i="10"/>
  <c r="G134" i="10"/>
  <c r="A135" i="10"/>
  <c r="D134" i="10"/>
  <c r="B75" i="5"/>
  <c r="A74" i="6"/>
  <c r="G73" i="6"/>
  <c r="H73" i="6" s="1"/>
  <c r="B73" i="6" s="1"/>
  <c r="C75" i="5"/>
  <c r="D75" i="5"/>
  <c r="A76" i="5"/>
  <c r="E75" i="5"/>
  <c r="C73" i="6"/>
  <c r="D73" i="6"/>
  <c r="I73" i="6"/>
  <c r="F228" i="14" l="1"/>
  <c r="G228" i="14"/>
  <c r="M229" i="12"/>
  <c r="F229" i="12"/>
  <c r="D229" i="12"/>
  <c r="C229" i="12"/>
  <c r="H76" i="5"/>
  <c r="F76" i="5"/>
  <c r="C228" i="14"/>
  <c r="B228" i="14"/>
  <c r="O229" i="12"/>
  <c r="H229" i="12"/>
  <c r="J229" i="12"/>
  <c r="I229" i="12"/>
  <c r="G229" i="12"/>
  <c r="H228" i="14"/>
  <c r="A229" i="14"/>
  <c r="D228" i="14"/>
  <c r="E228" i="14"/>
  <c r="L229" i="12"/>
  <c r="A230" i="12"/>
  <c r="E229" i="12"/>
  <c r="K229" i="12"/>
  <c r="B229" i="12"/>
  <c r="E73" i="6"/>
  <c r="F73" i="6" s="1"/>
  <c r="J73" i="6" s="1"/>
  <c r="C135" i="10"/>
  <c r="G75" i="5"/>
  <c r="G135" i="10"/>
  <c r="B135" i="10"/>
  <c r="A136" i="10"/>
  <c r="D135" i="10"/>
  <c r="E135" i="10"/>
  <c r="B76" i="5"/>
  <c r="A75" i="6"/>
  <c r="G74" i="6"/>
  <c r="H74" i="6" s="1"/>
  <c r="B74" i="6" s="1"/>
  <c r="C76" i="5"/>
  <c r="A77" i="5"/>
  <c r="D76" i="5"/>
  <c r="E76" i="5" s="1"/>
  <c r="I74" i="6"/>
  <c r="D74" i="6"/>
  <c r="C74" i="6"/>
  <c r="F230" i="12" l="1"/>
  <c r="D230" i="12"/>
  <c r="C230" i="12"/>
  <c r="M230" i="12"/>
  <c r="G229" i="14"/>
  <c r="F229" i="14"/>
  <c r="H77" i="5"/>
  <c r="F77" i="5"/>
  <c r="C229" i="14"/>
  <c r="B229" i="14"/>
  <c r="O230" i="12"/>
  <c r="J230" i="12"/>
  <c r="I230" i="12"/>
  <c r="G230" i="12"/>
  <c r="H230" i="12"/>
  <c r="E229" i="14"/>
  <c r="D229" i="14"/>
  <c r="A230" i="14"/>
  <c r="H229" i="14"/>
  <c r="K230" i="12"/>
  <c r="E230" i="12"/>
  <c r="B230" i="12"/>
  <c r="L230" i="12"/>
  <c r="A231" i="12"/>
  <c r="E74" i="6"/>
  <c r="F74" i="6" s="1"/>
  <c r="J74" i="6" s="1"/>
  <c r="C136" i="10"/>
  <c r="G76" i="5"/>
  <c r="A137" i="10"/>
  <c r="D136" i="10"/>
  <c r="G136" i="10"/>
  <c r="E136" i="10"/>
  <c r="B136" i="10"/>
  <c r="B77" i="5"/>
  <c r="A76" i="6"/>
  <c r="G75" i="6"/>
  <c r="H75" i="6" s="1"/>
  <c r="B75" i="6" s="1"/>
  <c r="C77" i="5"/>
  <c r="A78" i="5"/>
  <c r="D77" i="5"/>
  <c r="E77" i="5" s="1"/>
  <c r="D75" i="6"/>
  <c r="I75" i="6"/>
  <c r="C75" i="6"/>
  <c r="G230" i="14" l="1"/>
  <c r="F230" i="14"/>
  <c r="M231" i="12"/>
  <c r="F231" i="12"/>
  <c r="D231" i="12"/>
  <c r="C231" i="12"/>
  <c r="H78" i="5"/>
  <c r="F78" i="5"/>
  <c r="C230" i="14"/>
  <c r="B230" i="14"/>
  <c r="O231" i="12"/>
  <c r="J231" i="12"/>
  <c r="I231" i="12"/>
  <c r="H231" i="12"/>
  <c r="G231" i="12"/>
  <c r="H230" i="14"/>
  <c r="A231" i="14"/>
  <c r="D230" i="14"/>
  <c r="E230" i="14"/>
  <c r="L231" i="12"/>
  <c r="A232" i="12"/>
  <c r="K231" i="12"/>
  <c r="B231" i="12"/>
  <c r="E231" i="12"/>
  <c r="E75" i="6"/>
  <c r="F75" i="6" s="1"/>
  <c r="J75" i="6" s="1"/>
  <c r="C137" i="10"/>
  <c r="G77" i="5"/>
  <c r="E137" i="10"/>
  <c r="A138" i="10"/>
  <c r="D137" i="10"/>
  <c r="B137" i="10"/>
  <c r="G137" i="10"/>
  <c r="B78" i="5"/>
  <c r="A77" i="6"/>
  <c r="G76" i="6"/>
  <c r="H76" i="6" s="1"/>
  <c r="B76" i="6" s="1"/>
  <c r="C78" i="5"/>
  <c r="D78" i="5"/>
  <c r="A79" i="5"/>
  <c r="E78" i="5"/>
  <c r="I76" i="6"/>
  <c r="C76" i="6"/>
  <c r="D76" i="6"/>
  <c r="G231" i="14" l="1"/>
  <c r="F231" i="14"/>
  <c r="F232" i="12"/>
  <c r="D232" i="12"/>
  <c r="C232" i="12"/>
  <c r="M232" i="12"/>
  <c r="H79" i="5"/>
  <c r="F79" i="5"/>
  <c r="C231" i="14"/>
  <c r="B231" i="14"/>
  <c r="O232" i="12"/>
  <c r="J232" i="12"/>
  <c r="I232" i="12"/>
  <c r="H232" i="12"/>
  <c r="G232" i="12"/>
  <c r="E231" i="14"/>
  <c r="A232" i="14"/>
  <c r="H231" i="14"/>
  <c r="D231" i="14"/>
  <c r="B232" i="12"/>
  <c r="A233" i="12"/>
  <c r="K232" i="12"/>
  <c r="E232" i="12"/>
  <c r="L232" i="12"/>
  <c r="E76" i="6"/>
  <c r="F76" i="6" s="1"/>
  <c r="J76" i="6" s="1"/>
  <c r="C138" i="10"/>
  <c r="G78" i="5"/>
  <c r="B138" i="10"/>
  <c r="E138" i="10"/>
  <c r="G138" i="10"/>
  <c r="D138" i="10"/>
  <c r="A139" i="10"/>
  <c r="B79" i="5"/>
  <c r="G77" i="6"/>
  <c r="H77" i="6" s="1"/>
  <c r="B77" i="6" s="1"/>
  <c r="A78" i="6"/>
  <c r="C79" i="5"/>
  <c r="D79" i="5"/>
  <c r="A80" i="5"/>
  <c r="E79" i="5"/>
  <c r="D77" i="6"/>
  <c r="C77" i="6"/>
  <c r="I77" i="6"/>
  <c r="M233" i="12" l="1"/>
  <c r="F233" i="12"/>
  <c r="D233" i="12"/>
  <c r="C233" i="12"/>
  <c r="F232" i="14"/>
  <c r="G232" i="14"/>
  <c r="H80" i="5"/>
  <c r="F80" i="5"/>
  <c r="C232" i="14"/>
  <c r="B232" i="14"/>
  <c r="O233" i="12"/>
  <c r="J233" i="12"/>
  <c r="H233" i="12"/>
  <c r="G233" i="12"/>
  <c r="I233" i="12"/>
  <c r="H232" i="14"/>
  <c r="A233" i="14"/>
  <c r="D232" i="14"/>
  <c r="E232" i="14"/>
  <c r="L233" i="12"/>
  <c r="A234" i="12"/>
  <c r="E233" i="12"/>
  <c r="B233" i="12"/>
  <c r="K233" i="12"/>
  <c r="E77" i="6"/>
  <c r="F77" i="6" s="1"/>
  <c r="J77" i="6" s="1"/>
  <c r="C139" i="10"/>
  <c r="G79" i="5"/>
  <c r="G139" i="10"/>
  <c r="B139" i="10"/>
  <c r="A140" i="10"/>
  <c r="D139" i="10"/>
  <c r="E139" i="10"/>
  <c r="B80" i="5"/>
  <c r="A79" i="6"/>
  <c r="G78" i="6"/>
  <c r="H78" i="6" s="1"/>
  <c r="B78" i="6" s="1"/>
  <c r="C80" i="5"/>
  <c r="A81" i="5"/>
  <c r="D80" i="5"/>
  <c r="E80" i="5"/>
  <c r="C78" i="6"/>
  <c r="I78" i="6"/>
  <c r="D78" i="6"/>
  <c r="D79" i="6" l="1"/>
  <c r="I79" i="6"/>
  <c r="C79" i="6"/>
  <c r="G233" i="14"/>
  <c r="F233" i="14"/>
  <c r="H81" i="5"/>
  <c r="F81" i="5"/>
  <c r="F234" i="12"/>
  <c r="D234" i="12"/>
  <c r="C234" i="12"/>
  <c r="M234" i="12"/>
  <c r="C233" i="14"/>
  <c r="B233" i="14"/>
  <c r="O234" i="12"/>
  <c r="J234" i="12"/>
  <c r="I234" i="12"/>
  <c r="H234" i="12"/>
  <c r="G234" i="12"/>
  <c r="E233" i="14"/>
  <c r="D233" i="14"/>
  <c r="A234" i="14"/>
  <c r="H233" i="14"/>
  <c r="B234" i="12"/>
  <c r="K234" i="12"/>
  <c r="A235" i="12"/>
  <c r="E234" i="12"/>
  <c r="L234" i="12"/>
  <c r="E78" i="6"/>
  <c r="F78" i="6" s="1"/>
  <c r="J78" i="6" s="1"/>
  <c r="B10" i="6" s="1"/>
  <c r="F79" i="6"/>
  <c r="E79" i="6"/>
  <c r="B79" i="6"/>
  <c r="H79" i="6"/>
  <c r="J79" i="6"/>
  <c r="C140" i="10"/>
  <c r="G80" i="5"/>
  <c r="A141" i="10"/>
  <c r="D140" i="10"/>
  <c r="G140" i="10"/>
  <c r="E140" i="10"/>
  <c r="B140" i="10"/>
  <c r="B81" i="5"/>
  <c r="A80" i="6"/>
  <c r="G79" i="6"/>
  <c r="C81" i="5"/>
  <c r="A82" i="5"/>
  <c r="D81" i="5"/>
  <c r="E81" i="5" s="1"/>
  <c r="H82" i="5" l="1"/>
  <c r="F82" i="5"/>
  <c r="G234" i="14"/>
  <c r="F234" i="14"/>
  <c r="I80" i="6"/>
  <c r="D80" i="6"/>
  <c r="C80" i="6"/>
  <c r="M235" i="12"/>
  <c r="F235" i="12"/>
  <c r="D235" i="12"/>
  <c r="C235" i="12"/>
  <c r="C234" i="14"/>
  <c r="B234" i="14"/>
  <c r="O235" i="12"/>
  <c r="J235" i="12"/>
  <c r="I235" i="12"/>
  <c r="H235" i="12"/>
  <c r="G235" i="12"/>
  <c r="H234" i="14"/>
  <c r="A235" i="14"/>
  <c r="D234" i="14"/>
  <c r="E234" i="14"/>
  <c r="A236" i="12"/>
  <c r="K235" i="12"/>
  <c r="B235" i="12"/>
  <c r="L235" i="12"/>
  <c r="E235" i="12"/>
  <c r="F80" i="6"/>
  <c r="E80" i="6"/>
  <c r="B80" i="6"/>
  <c r="H80" i="6"/>
  <c r="J80" i="6"/>
  <c r="C141" i="10"/>
  <c r="G81" i="5"/>
  <c r="E141" i="10"/>
  <c r="A142" i="10"/>
  <c r="D141" i="10"/>
  <c r="B141" i="10"/>
  <c r="G141" i="10"/>
  <c r="B82" i="5"/>
  <c r="G80" i="6"/>
  <c r="A81" i="6"/>
  <c r="C82" i="5"/>
  <c r="D82" i="5"/>
  <c r="A83" i="5"/>
  <c r="E82" i="5"/>
  <c r="H83" i="5" l="1"/>
  <c r="F83" i="5"/>
  <c r="F236" i="12"/>
  <c r="D236" i="12"/>
  <c r="C236" i="12"/>
  <c r="M236" i="12"/>
  <c r="G235" i="14"/>
  <c r="F235" i="14"/>
  <c r="C81" i="6"/>
  <c r="I81" i="6"/>
  <c r="D81" i="6"/>
  <c r="C235" i="14"/>
  <c r="B235" i="14"/>
  <c r="O236" i="12"/>
  <c r="J236" i="12"/>
  <c r="I236" i="12"/>
  <c r="H236" i="12"/>
  <c r="G236" i="12"/>
  <c r="E235" i="14"/>
  <c r="A236" i="14"/>
  <c r="H235" i="14"/>
  <c r="D235" i="14"/>
  <c r="B236" i="12"/>
  <c r="A237" i="12"/>
  <c r="K236" i="12"/>
  <c r="E236" i="12"/>
  <c r="L236" i="12"/>
  <c r="F81" i="6"/>
  <c r="E81" i="6"/>
  <c r="H81" i="6"/>
  <c r="B81" i="6"/>
  <c r="J81" i="6"/>
  <c r="C142" i="10"/>
  <c r="G82" i="5"/>
  <c r="B142" i="10"/>
  <c r="E142" i="10"/>
  <c r="G142" i="10"/>
  <c r="A143" i="10"/>
  <c r="D142" i="10"/>
  <c r="B83" i="5"/>
  <c r="A82" i="6"/>
  <c r="G81" i="6"/>
  <c r="C83" i="5"/>
  <c r="D83" i="5"/>
  <c r="A84" i="5"/>
  <c r="E83" i="5"/>
  <c r="H84" i="5" l="1"/>
  <c r="F84" i="5"/>
  <c r="F236" i="14"/>
  <c r="G236" i="14"/>
  <c r="M237" i="12"/>
  <c r="F237" i="12"/>
  <c r="D237" i="12"/>
  <c r="C237" i="12"/>
  <c r="I82" i="6"/>
  <c r="C82" i="6"/>
  <c r="D82" i="6"/>
  <c r="C236" i="14"/>
  <c r="B236" i="14"/>
  <c r="O237" i="12"/>
  <c r="H237" i="12"/>
  <c r="I237" i="12"/>
  <c r="J237" i="12"/>
  <c r="G237" i="12"/>
  <c r="H236" i="14"/>
  <c r="A237" i="14"/>
  <c r="D236" i="14"/>
  <c r="E236" i="14"/>
  <c r="L237" i="12"/>
  <c r="A238" i="12"/>
  <c r="E237" i="12"/>
  <c r="K237" i="12"/>
  <c r="B237" i="12"/>
  <c r="E82" i="6"/>
  <c r="F82" i="6"/>
  <c r="H82" i="6"/>
  <c r="B82" i="6"/>
  <c r="J82" i="6"/>
  <c r="C143" i="10"/>
  <c r="G83" i="5"/>
  <c r="G143" i="10"/>
  <c r="B143" i="10"/>
  <c r="A144" i="10"/>
  <c r="D143" i="10"/>
  <c r="E143" i="10"/>
  <c r="B84" i="5"/>
  <c r="A83" i="6"/>
  <c r="G82" i="6"/>
  <c r="C84" i="5"/>
  <c r="A85" i="5"/>
  <c r="D84" i="5"/>
  <c r="E84" i="5" s="1"/>
  <c r="H85" i="5" l="1"/>
  <c r="F85" i="5"/>
  <c r="G237" i="14"/>
  <c r="F237" i="14"/>
  <c r="F238" i="12"/>
  <c r="D238" i="12"/>
  <c r="C238" i="12"/>
  <c r="M238" i="12"/>
  <c r="I83" i="6"/>
  <c r="D83" i="6"/>
  <c r="C83" i="6"/>
  <c r="C237" i="14"/>
  <c r="B237" i="14"/>
  <c r="O238" i="12"/>
  <c r="I238" i="12"/>
  <c r="G238" i="12"/>
  <c r="H238" i="12"/>
  <c r="J238" i="12"/>
  <c r="E237" i="14"/>
  <c r="D237" i="14"/>
  <c r="A238" i="14"/>
  <c r="H237" i="14"/>
  <c r="E238" i="12"/>
  <c r="K238" i="12"/>
  <c r="L238" i="12"/>
  <c r="A239" i="12"/>
  <c r="B238" i="12"/>
  <c r="F83" i="6"/>
  <c r="E83" i="6"/>
  <c r="B83" i="6"/>
  <c r="H83" i="6"/>
  <c r="J83" i="6"/>
  <c r="C144" i="10"/>
  <c r="G84" i="5"/>
  <c r="A145" i="10"/>
  <c r="D144" i="10"/>
  <c r="G144" i="10"/>
  <c r="E144" i="10"/>
  <c r="B144" i="10"/>
  <c r="B85" i="5"/>
  <c r="A84" i="6"/>
  <c r="G83" i="6"/>
  <c r="C85" i="5"/>
  <c r="A86" i="5"/>
  <c r="D85" i="5"/>
  <c r="E85" i="5"/>
  <c r="G238" i="14" l="1"/>
  <c r="F238" i="14"/>
  <c r="H86" i="5"/>
  <c r="F86" i="5"/>
  <c r="M239" i="12"/>
  <c r="F239" i="12"/>
  <c r="D239" i="12"/>
  <c r="C239" i="12"/>
  <c r="I84" i="6"/>
  <c r="D84" i="6"/>
  <c r="C84" i="6"/>
  <c r="C238" i="14"/>
  <c r="B238" i="14"/>
  <c r="J239" i="12"/>
  <c r="O239" i="12"/>
  <c r="I239" i="12"/>
  <c r="H239" i="12"/>
  <c r="G239" i="12"/>
  <c r="H238" i="14"/>
  <c r="A239" i="14"/>
  <c r="D238" i="14"/>
  <c r="E238" i="14"/>
  <c r="K239" i="12"/>
  <c r="B239" i="12"/>
  <c r="L239" i="12"/>
  <c r="E239" i="12"/>
  <c r="A240" i="12"/>
  <c r="F84" i="6"/>
  <c r="E84" i="6"/>
  <c r="B84" i="6"/>
  <c r="H84" i="6"/>
  <c r="J84" i="6"/>
  <c r="C145" i="10"/>
  <c r="G85" i="5"/>
  <c r="E145" i="10"/>
  <c r="A146" i="10"/>
  <c r="D145" i="10"/>
  <c r="B145" i="10"/>
  <c r="G145" i="10"/>
  <c r="B86" i="5"/>
  <c r="A85" i="6"/>
  <c r="G84" i="6"/>
  <c r="C86" i="5"/>
  <c r="A87" i="5"/>
  <c r="D86" i="5"/>
  <c r="E86" i="5" s="1"/>
  <c r="I85" i="6" l="1"/>
  <c r="D85" i="6"/>
  <c r="C85" i="6"/>
  <c r="H87" i="5"/>
  <c r="F87" i="5"/>
  <c r="G239" i="14"/>
  <c r="F239" i="14"/>
  <c r="F240" i="12"/>
  <c r="D240" i="12"/>
  <c r="C240" i="12"/>
  <c r="M240" i="12"/>
  <c r="C239" i="14"/>
  <c r="B239" i="14"/>
  <c r="O240" i="12"/>
  <c r="J240" i="12"/>
  <c r="I240" i="12"/>
  <c r="H240" i="12"/>
  <c r="G240" i="12"/>
  <c r="E239" i="14"/>
  <c r="A240" i="14"/>
  <c r="H239" i="14"/>
  <c r="D239" i="14"/>
  <c r="B240" i="12"/>
  <c r="K240" i="12"/>
  <c r="E240" i="12"/>
  <c r="A241" i="12"/>
  <c r="L240" i="12"/>
  <c r="F85" i="6"/>
  <c r="E85" i="6"/>
  <c r="H85" i="6"/>
  <c r="B85" i="6"/>
  <c r="J85" i="6"/>
  <c r="C146" i="10"/>
  <c r="G86" i="5"/>
  <c r="B146" i="10"/>
  <c r="E146" i="10"/>
  <c r="G146" i="10"/>
  <c r="A147" i="10"/>
  <c r="D146" i="10"/>
  <c r="B87" i="5"/>
  <c r="G85" i="6"/>
  <c r="A86" i="6"/>
  <c r="C87" i="5"/>
  <c r="D87" i="5"/>
  <c r="A88" i="5"/>
  <c r="E87" i="5"/>
  <c r="H88" i="5" l="1"/>
  <c r="F88" i="5"/>
  <c r="F240" i="14"/>
  <c r="G240" i="14"/>
  <c r="D86" i="6"/>
  <c r="C86" i="6"/>
  <c r="I86" i="6"/>
  <c r="M241" i="12"/>
  <c r="F241" i="12"/>
  <c r="D241" i="12"/>
  <c r="C241" i="12"/>
  <c r="C240" i="14"/>
  <c r="B240" i="14"/>
  <c r="O241" i="12"/>
  <c r="J241" i="12"/>
  <c r="H241" i="12"/>
  <c r="I241" i="12"/>
  <c r="G241" i="12"/>
  <c r="H240" i="14"/>
  <c r="A241" i="14"/>
  <c r="D240" i="14"/>
  <c r="E240" i="14"/>
  <c r="L241" i="12"/>
  <c r="A242" i="12"/>
  <c r="E241" i="12"/>
  <c r="B241" i="12"/>
  <c r="K241" i="12"/>
  <c r="F86" i="6"/>
  <c r="E86" i="6"/>
  <c r="H86" i="6"/>
  <c r="B86" i="6"/>
  <c r="J86" i="6"/>
  <c r="C147" i="10"/>
  <c r="G87" i="5"/>
  <c r="G147" i="10"/>
  <c r="B147" i="10"/>
  <c r="A148" i="10"/>
  <c r="D147" i="10"/>
  <c r="E147" i="10"/>
  <c r="B88" i="5"/>
  <c r="A87" i="6"/>
  <c r="G86" i="6"/>
  <c r="C88" i="5"/>
  <c r="D88" i="5"/>
  <c r="A89" i="5"/>
  <c r="E88" i="5"/>
  <c r="F242" i="12" l="1"/>
  <c r="D242" i="12"/>
  <c r="C242" i="12"/>
  <c r="M242" i="12"/>
  <c r="H89" i="5"/>
  <c r="F89" i="5"/>
  <c r="G241" i="14"/>
  <c r="F241" i="14"/>
  <c r="D87" i="6"/>
  <c r="C87" i="6"/>
  <c r="I87" i="6"/>
  <c r="C241" i="14"/>
  <c r="B241" i="14"/>
  <c r="O242" i="12"/>
  <c r="J242" i="12"/>
  <c r="I242" i="12"/>
  <c r="G242" i="12"/>
  <c r="H242" i="12"/>
  <c r="E241" i="14"/>
  <c r="D241" i="14"/>
  <c r="A242" i="14"/>
  <c r="H241" i="14"/>
  <c r="K242" i="12"/>
  <c r="B242" i="12"/>
  <c r="E242" i="12"/>
  <c r="L242" i="12"/>
  <c r="A243" i="12"/>
  <c r="F87" i="6"/>
  <c r="E87" i="6"/>
  <c r="B87" i="6"/>
  <c r="H87" i="6"/>
  <c r="J87" i="6"/>
  <c r="C148" i="10"/>
  <c r="G88" i="5"/>
  <c r="A149" i="10"/>
  <c r="D148" i="10"/>
  <c r="G148" i="10"/>
  <c r="E148" i="10"/>
  <c r="B148" i="10"/>
  <c r="B89" i="5"/>
  <c r="A88" i="6"/>
  <c r="G87" i="6"/>
  <c r="C89" i="5"/>
  <c r="A90" i="5"/>
  <c r="D89" i="5"/>
  <c r="E89" i="5"/>
  <c r="G242" i="14" l="1"/>
  <c r="F242" i="14"/>
  <c r="M243" i="12"/>
  <c r="F243" i="12"/>
  <c r="D243" i="12"/>
  <c r="C243" i="12"/>
  <c r="H90" i="5"/>
  <c r="F90" i="5"/>
  <c r="I88" i="6"/>
  <c r="D88" i="6"/>
  <c r="C88" i="6"/>
  <c r="C242" i="14"/>
  <c r="B242" i="14"/>
  <c r="O243" i="12"/>
  <c r="J243" i="12"/>
  <c r="I243" i="12"/>
  <c r="H243" i="12"/>
  <c r="G243" i="12"/>
  <c r="H242" i="14"/>
  <c r="A243" i="14"/>
  <c r="D242" i="14"/>
  <c r="E242" i="14"/>
  <c r="K243" i="12"/>
  <c r="B243" i="12"/>
  <c r="L243" i="12"/>
  <c r="E243" i="12"/>
  <c r="A244" i="12"/>
  <c r="F88" i="6"/>
  <c r="E88" i="6"/>
  <c r="B88" i="6"/>
  <c r="H88" i="6"/>
  <c r="J88" i="6"/>
  <c r="C149" i="10"/>
  <c r="G89" i="5"/>
  <c r="E149" i="10"/>
  <c r="A150" i="10"/>
  <c r="D149" i="10"/>
  <c r="B149" i="10"/>
  <c r="G149" i="10"/>
  <c r="B90" i="5"/>
  <c r="A89" i="6"/>
  <c r="G88" i="6"/>
  <c r="C90" i="5"/>
  <c r="A91" i="5"/>
  <c r="D90" i="5"/>
  <c r="E90" i="5" s="1"/>
  <c r="H91" i="5" l="1"/>
  <c r="F91" i="5"/>
  <c r="G243" i="14"/>
  <c r="F243" i="14"/>
  <c r="F244" i="12"/>
  <c r="D244" i="12"/>
  <c r="C244" i="12"/>
  <c r="M244" i="12"/>
  <c r="C89" i="6"/>
  <c r="I89" i="6"/>
  <c r="D89" i="6"/>
  <c r="C243" i="14"/>
  <c r="B243" i="14"/>
  <c r="O244" i="12"/>
  <c r="J244" i="12"/>
  <c r="I244" i="12"/>
  <c r="H244" i="12"/>
  <c r="G244" i="12"/>
  <c r="E243" i="14"/>
  <c r="A244" i="14"/>
  <c r="H243" i="14"/>
  <c r="D243" i="14"/>
  <c r="B244" i="12"/>
  <c r="K244" i="12"/>
  <c r="A245" i="12"/>
  <c r="L244" i="12"/>
  <c r="E244" i="12"/>
  <c r="F89" i="6"/>
  <c r="E89" i="6"/>
  <c r="H89" i="6"/>
  <c r="B89" i="6"/>
  <c r="J89" i="6"/>
  <c r="C150" i="10"/>
  <c r="G90" i="5"/>
  <c r="B150" i="10"/>
  <c r="E150" i="10"/>
  <c r="G150" i="10"/>
  <c r="D150" i="10"/>
  <c r="A151" i="10"/>
  <c r="B91" i="5"/>
  <c r="A90" i="6"/>
  <c r="G89" i="6"/>
  <c r="C91" i="5"/>
  <c r="A92" i="5"/>
  <c r="D91" i="5"/>
  <c r="E91" i="5" s="1"/>
  <c r="F244" i="14" l="1"/>
  <c r="G244" i="14"/>
  <c r="H92" i="5"/>
  <c r="F92" i="5"/>
  <c r="I90" i="6"/>
  <c r="C90" i="6"/>
  <c r="D90" i="6"/>
  <c r="M245" i="12"/>
  <c r="F245" i="12"/>
  <c r="D245" i="12"/>
  <c r="C245" i="12"/>
  <c r="C244" i="14"/>
  <c r="B244" i="14"/>
  <c r="O245" i="12"/>
  <c r="H245" i="12"/>
  <c r="J245" i="12"/>
  <c r="I245" i="12"/>
  <c r="G245" i="12"/>
  <c r="H244" i="14"/>
  <c r="A245" i="14"/>
  <c r="D244" i="14"/>
  <c r="E244" i="14"/>
  <c r="L245" i="12"/>
  <c r="E245" i="12"/>
  <c r="K245" i="12"/>
  <c r="A246" i="12"/>
  <c r="B245" i="12"/>
  <c r="F90" i="6"/>
  <c r="E90" i="6"/>
  <c r="H90" i="6"/>
  <c r="B90" i="6"/>
  <c r="J90" i="6"/>
  <c r="C151" i="10"/>
  <c r="G91" i="5"/>
  <c r="G151" i="10"/>
  <c r="B151" i="10"/>
  <c r="A152" i="10"/>
  <c r="D151" i="10"/>
  <c r="E151" i="10"/>
  <c r="B92" i="5"/>
  <c r="A91" i="6"/>
  <c r="G90" i="6"/>
  <c r="C92" i="5"/>
  <c r="A93" i="5"/>
  <c r="D92" i="5"/>
  <c r="E92" i="5" s="1"/>
  <c r="F245" i="14" l="1"/>
  <c r="G245" i="14"/>
  <c r="H93" i="5"/>
  <c r="F93" i="5"/>
  <c r="F246" i="12"/>
  <c r="D246" i="12"/>
  <c r="C246" i="12"/>
  <c r="M246" i="12"/>
  <c r="I91" i="6"/>
  <c r="D91" i="6"/>
  <c r="C91" i="6"/>
  <c r="C245" i="14"/>
  <c r="B245" i="14"/>
  <c r="O246" i="12"/>
  <c r="J246" i="12"/>
  <c r="I246" i="12"/>
  <c r="G246" i="12"/>
  <c r="H246" i="12"/>
  <c r="E245" i="14"/>
  <c r="D245" i="14"/>
  <c r="A246" i="14"/>
  <c r="H245" i="14"/>
  <c r="B246" i="12"/>
  <c r="K246" i="12"/>
  <c r="L246" i="12"/>
  <c r="A247" i="12"/>
  <c r="E246" i="12"/>
  <c r="F91" i="6"/>
  <c r="E91" i="6"/>
  <c r="B91" i="6"/>
  <c r="H91" i="6"/>
  <c r="J91" i="6"/>
  <c r="C152" i="10"/>
  <c r="G92" i="5"/>
  <c r="A153" i="10"/>
  <c r="D152" i="10"/>
  <c r="G152" i="10"/>
  <c r="E152" i="10"/>
  <c r="B152" i="10"/>
  <c r="B93" i="5"/>
  <c r="A92" i="6"/>
  <c r="G91" i="6"/>
  <c r="C93" i="5"/>
  <c r="A94" i="5"/>
  <c r="D93" i="5"/>
  <c r="E93" i="5"/>
  <c r="M247" i="12" l="1"/>
  <c r="F247" i="12"/>
  <c r="D247" i="12"/>
  <c r="C247" i="12"/>
  <c r="G246" i="14"/>
  <c r="F246" i="14"/>
  <c r="H94" i="5"/>
  <c r="F94" i="5"/>
  <c r="I92" i="6"/>
  <c r="D92" i="6"/>
  <c r="C92" i="6"/>
  <c r="C246" i="14"/>
  <c r="B246" i="14"/>
  <c r="O247" i="12"/>
  <c r="J247" i="12"/>
  <c r="I247" i="12"/>
  <c r="G247" i="12"/>
  <c r="H247" i="12"/>
  <c r="H246" i="14"/>
  <c r="A247" i="14"/>
  <c r="D246" i="14"/>
  <c r="E246" i="14"/>
  <c r="K247" i="12"/>
  <c r="B247" i="12"/>
  <c r="L247" i="12"/>
  <c r="A248" i="12"/>
  <c r="E247" i="12"/>
  <c r="F92" i="6"/>
  <c r="E92" i="6"/>
  <c r="B92" i="6"/>
  <c r="H92" i="6"/>
  <c r="J92" i="6"/>
  <c r="C153" i="10"/>
  <c r="G93" i="5"/>
  <c r="E153" i="10"/>
  <c r="A154" i="10"/>
  <c r="D153" i="10"/>
  <c r="B153" i="10"/>
  <c r="G153" i="10"/>
  <c r="B94" i="5"/>
  <c r="G92" i="6"/>
  <c r="A93" i="6"/>
  <c r="C94" i="5"/>
  <c r="A95" i="5"/>
  <c r="D94" i="5"/>
  <c r="E94" i="5" s="1"/>
  <c r="H95" i="5" l="1"/>
  <c r="F95" i="5"/>
  <c r="G247" i="14"/>
  <c r="F247" i="14"/>
  <c r="I93" i="6"/>
  <c r="D93" i="6"/>
  <c r="C93" i="6"/>
  <c r="F248" i="12"/>
  <c r="D248" i="12"/>
  <c r="C248" i="12"/>
  <c r="M248" i="12"/>
  <c r="C247" i="14"/>
  <c r="B247" i="14"/>
  <c r="O248" i="12"/>
  <c r="J248" i="12"/>
  <c r="I248" i="12"/>
  <c r="H248" i="12"/>
  <c r="G248" i="12"/>
  <c r="E247" i="14"/>
  <c r="A248" i="14"/>
  <c r="H247" i="14"/>
  <c r="D247" i="14"/>
  <c r="B248" i="12"/>
  <c r="K248" i="12"/>
  <c r="E248" i="12"/>
  <c r="A249" i="12"/>
  <c r="L248" i="12"/>
  <c r="F93" i="6"/>
  <c r="E93" i="6"/>
  <c r="H93" i="6"/>
  <c r="B93" i="6"/>
  <c r="J93" i="6"/>
  <c r="C154" i="10"/>
  <c r="G94" i="5"/>
  <c r="B154" i="10"/>
  <c r="E154" i="10"/>
  <c r="G154" i="10"/>
  <c r="D154" i="10"/>
  <c r="A155" i="10"/>
  <c r="B95" i="5"/>
  <c r="G93" i="6"/>
  <c r="A94" i="6"/>
  <c r="C95" i="5"/>
  <c r="D95" i="5"/>
  <c r="E95" i="5" s="1"/>
  <c r="A96" i="5"/>
  <c r="F248" i="14" l="1"/>
  <c r="G248" i="14"/>
  <c r="M249" i="12"/>
  <c r="F249" i="12"/>
  <c r="D249" i="12"/>
  <c r="C249" i="12"/>
  <c r="H96" i="5"/>
  <c r="F96" i="5"/>
  <c r="D94" i="6"/>
  <c r="C94" i="6"/>
  <c r="I94" i="6"/>
  <c r="C248" i="14"/>
  <c r="B248" i="14"/>
  <c r="O249" i="12"/>
  <c r="J249" i="12"/>
  <c r="H249" i="12"/>
  <c r="G249" i="12"/>
  <c r="I249" i="12"/>
  <c r="H248" i="14"/>
  <c r="A249" i="14"/>
  <c r="D248" i="14"/>
  <c r="E248" i="14"/>
  <c r="L249" i="12"/>
  <c r="A250" i="12"/>
  <c r="K249" i="12"/>
  <c r="B249" i="12"/>
  <c r="E249" i="12"/>
  <c r="F94" i="6"/>
  <c r="E94" i="6"/>
  <c r="H94" i="6"/>
  <c r="B94" i="6"/>
  <c r="J94" i="6"/>
  <c r="C155" i="10"/>
  <c r="G95" i="5"/>
  <c r="G155" i="10"/>
  <c r="B155" i="10"/>
  <c r="A156" i="10"/>
  <c r="D155" i="10"/>
  <c r="E155" i="10"/>
  <c r="B96" i="5"/>
  <c r="A95" i="6"/>
  <c r="G94" i="6"/>
  <c r="C96" i="5"/>
  <c r="D96" i="5"/>
  <c r="A97" i="5"/>
  <c r="E96" i="5"/>
  <c r="H97" i="5" l="1"/>
  <c r="F97" i="5"/>
  <c r="G249" i="14"/>
  <c r="F249" i="14"/>
  <c r="F250" i="12"/>
  <c r="D250" i="12"/>
  <c r="C250" i="12"/>
  <c r="M250" i="12"/>
  <c r="D95" i="6"/>
  <c r="I95" i="6"/>
  <c r="C95" i="6"/>
  <c r="C249" i="14"/>
  <c r="B249" i="14"/>
  <c r="O250" i="12"/>
  <c r="J250" i="12"/>
  <c r="I250" i="12"/>
  <c r="G250" i="12"/>
  <c r="H250" i="12"/>
  <c r="E249" i="14"/>
  <c r="D249" i="14"/>
  <c r="A250" i="14"/>
  <c r="H249" i="14"/>
  <c r="A251" i="12"/>
  <c r="B250" i="12"/>
  <c r="K250" i="12"/>
  <c r="L250" i="12"/>
  <c r="E250" i="12"/>
  <c r="F95" i="6"/>
  <c r="E95" i="6"/>
  <c r="B95" i="6"/>
  <c r="H95" i="6"/>
  <c r="J95" i="6"/>
  <c r="C156" i="10"/>
  <c r="G96" i="5"/>
  <c r="A157" i="10"/>
  <c r="D156" i="10"/>
  <c r="G156" i="10"/>
  <c r="E156" i="10"/>
  <c r="B156" i="10"/>
  <c r="B97" i="5"/>
  <c r="A96" i="6"/>
  <c r="G95" i="6"/>
  <c r="C97" i="5"/>
  <c r="E97" i="5"/>
  <c r="A98" i="5"/>
  <c r="D97" i="5"/>
  <c r="M251" i="12" l="1"/>
  <c r="F251" i="12"/>
  <c r="D251" i="12"/>
  <c r="C251" i="12"/>
  <c r="H98" i="5"/>
  <c r="F98" i="5"/>
  <c r="G250" i="14"/>
  <c r="F250" i="14"/>
  <c r="I96" i="6"/>
  <c r="D96" i="6"/>
  <c r="C96" i="6"/>
  <c r="C250" i="14"/>
  <c r="B250" i="14"/>
  <c r="O251" i="12"/>
  <c r="J251" i="12"/>
  <c r="I251" i="12"/>
  <c r="H251" i="12"/>
  <c r="G251" i="12"/>
  <c r="H250" i="14"/>
  <c r="A251" i="14"/>
  <c r="D250" i="14"/>
  <c r="E250" i="14"/>
  <c r="B251" i="12"/>
  <c r="A252" i="12"/>
  <c r="K251" i="12"/>
  <c r="L251" i="12"/>
  <c r="E251" i="12"/>
  <c r="F96" i="6"/>
  <c r="E96" i="6"/>
  <c r="B96" i="6"/>
  <c r="H96" i="6"/>
  <c r="J96" i="6"/>
  <c r="C157" i="10"/>
  <c r="G97" i="5"/>
  <c r="E157" i="10"/>
  <c r="A158" i="10"/>
  <c r="D157" i="10"/>
  <c r="B157" i="10"/>
  <c r="G157" i="10"/>
  <c r="B98" i="5"/>
  <c r="G96" i="6"/>
  <c r="A97" i="6"/>
  <c r="C98" i="5"/>
  <c r="E98" i="5"/>
  <c r="A99" i="5"/>
  <c r="D98" i="5"/>
  <c r="G251" i="14" l="1"/>
  <c r="F251" i="14"/>
  <c r="F252" i="12"/>
  <c r="D252" i="12"/>
  <c r="C252" i="12"/>
  <c r="M252" i="12"/>
  <c r="H99" i="5"/>
  <c r="F99" i="5"/>
  <c r="C97" i="6"/>
  <c r="I97" i="6"/>
  <c r="D97" i="6"/>
  <c r="C251" i="14"/>
  <c r="B251" i="14"/>
  <c r="O252" i="12"/>
  <c r="J252" i="12"/>
  <c r="I252" i="12"/>
  <c r="H252" i="12"/>
  <c r="G252" i="12"/>
  <c r="E251" i="14"/>
  <c r="A252" i="14"/>
  <c r="H251" i="14"/>
  <c r="D251" i="14"/>
  <c r="B252" i="12"/>
  <c r="A253" i="12"/>
  <c r="E252" i="12"/>
  <c r="K252" i="12"/>
  <c r="L252" i="12"/>
  <c r="F97" i="6"/>
  <c r="E97" i="6"/>
  <c r="H97" i="6"/>
  <c r="B97" i="6"/>
  <c r="J97" i="6"/>
  <c r="C158" i="10"/>
  <c r="G98" i="5"/>
  <c r="B158" i="10"/>
  <c r="E158" i="10"/>
  <c r="G158" i="10"/>
  <c r="A159" i="10"/>
  <c r="D158" i="10"/>
  <c r="B99" i="5"/>
  <c r="A98" i="6"/>
  <c r="G97" i="6"/>
  <c r="C99" i="5"/>
  <c r="A100" i="5"/>
  <c r="D99" i="5"/>
  <c r="E99" i="5" s="1"/>
  <c r="M253" i="12" l="1"/>
  <c r="F253" i="12"/>
  <c r="D253" i="12"/>
  <c r="C253" i="12"/>
  <c r="H100" i="5"/>
  <c r="F100" i="5"/>
  <c r="F252" i="14"/>
  <c r="G252" i="14"/>
  <c r="I98" i="6"/>
  <c r="C98" i="6"/>
  <c r="D98" i="6"/>
  <c r="C252" i="14"/>
  <c r="B252" i="14"/>
  <c r="O253" i="12"/>
  <c r="H253" i="12"/>
  <c r="I253" i="12"/>
  <c r="J253" i="12"/>
  <c r="G253" i="12"/>
  <c r="H252" i="14"/>
  <c r="A253" i="14"/>
  <c r="D252" i="14"/>
  <c r="E252" i="14"/>
  <c r="L253" i="12"/>
  <c r="A254" i="12"/>
  <c r="E253" i="12"/>
  <c r="K253" i="12"/>
  <c r="B253" i="12"/>
  <c r="F98" i="6"/>
  <c r="E98" i="6"/>
  <c r="H98" i="6"/>
  <c r="B98" i="6"/>
  <c r="J98" i="6"/>
  <c r="C159" i="10"/>
  <c r="G99" i="5"/>
  <c r="G159" i="10"/>
  <c r="B159" i="10"/>
  <c r="A160" i="10"/>
  <c r="D159" i="10"/>
  <c r="E159" i="10"/>
  <c r="B100" i="5"/>
  <c r="A99" i="6"/>
  <c r="G98" i="6"/>
  <c r="C100" i="5"/>
  <c r="D100" i="5"/>
  <c r="E100" i="5" s="1"/>
  <c r="A101" i="5"/>
  <c r="H101" i="5" l="1"/>
  <c r="F101" i="5"/>
  <c r="F253" i="14"/>
  <c r="G253" i="14"/>
  <c r="F254" i="12"/>
  <c r="D254" i="12"/>
  <c r="C254" i="12"/>
  <c r="M254" i="12"/>
  <c r="I99" i="6"/>
  <c r="D99" i="6"/>
  <c r="C99" i="6"/>
  <c r="C253" i="14"/>
  <c r="B253" i="14"/>
  <c r="I254" i="12"/>
  <c r="J254" i="12"/>
  <c r="H254" i="12"/>
  <c r="O254" i="12"/>
  <c r="G254" i="12"/>
  <c r="E253" i="14"/>
  <c r="D253" i="14"/>
  <c r="A254" i="14"/>
  <c r="H253" i="14"/>
  <c r="E254" i="12"/>
  <c r="B254" i="12"/>
  <c r="A255" i="12"/>
  <c r="K254" i="12"/>
  <c r="L254" i="12"/>
  <c r="F99" i="6"/>
  <c r="E99" i="6"/>
  <c r="B99" i="6"/>
  <c r="H99" i="6"/>
  <c r="J99" i="6"/>
  <c r="C160" i="10"/>
  <c r="G100" i="5"/>
  <c r="A161" i="10"/>
  <c r="D160" i="10"/>
  <c r="G160" i="10"/>
  <c r="E160" i="10"/>
  <c r="B160" i="10"/>
  <c r="B101" i="5"/>
  <c r="A100" i="6"/>
  <c r="G99" i="6"/>
  <c r="C101" i="5"/>
  <c r="A102" i="5"/>
  <c r="D101" i="5"/>
  <c r="E101" i="5" s="1"/>
  <c r="G254" i="14" l="1"/>
  <c r="F254" i="14"/>
  <c r="H102" i="5"/>
  <c r="F102" i="5"/>
  <c r="I100" i="6"/>
  <c r="D100" i="6"/>
  <c r="C100" i="6"/>
  <c r="M255" i="12"/>
  <c r="F255" i="12"/>
  <c r="D255" i="12"/>
  <c r="C255" i="12"/>
  <c r="C254" i="14"/>
  <c r="B254" i="14"/>
  <c r="J255" i="12"/>
  <c r="I255" i="12"/>
  <c r="O255" i="12"/>
  <c r="G255" i="12"/>
  <c r="H255" i="12"/>
  <c r="H254" i="14"/>
  <c r="A255" i="14"/>
  <c r="D254" i="14"/>
  <c r="E254" i="14"/>
  <c r="B255" i="12"/>
  <c r="A256" i="12"/>
  <c r="L255" i="12"/>
  <c r="K255" i="12"/>
  <c r="E255" i="12"/>
  <c r="F100" i="6"/>
  <c r="E100" i="6"/>
  <c r="B100" i="6"/>
  <c r="H100" i="6"/>
  <c r="J100" i="6"/>
  <c r="C161" i="10"/>
  <c r="G101" i="5"/>
  <c r="E161" i="10"/>
  <c r="A162" i="10"/>
  <c r="D161" i="10"/>
  <c r="B161" i="10"/>
  <c r="G161" i="10"/>
  <c r="B102" i="5"/>
  <c r="A101" i="6"/>
  <c r="G100" i="6"/>
  <c r="C102" i="5"/>
  <c r="D102" i="5"/>
  <c r="E102" i="5" s="1"/>
  <c r="A103" i="5"/>
  <c r="F256" i="12" l="1"/>
  <c r="D256" i="12"/>
  <c r="C256" i="12"/>
  <c r="M256" i="12"/>
  <c r="H103" i="5"/>
  <c r="F103" i="5"/>
  <c r="G255" i="14"/>
  <c r="F255" i="14"/>
  <c r="I101" i="6"/>
  <c r="D101" i="6"/>
  <c r="C101" i="6"/>
  <c r="C255" i="14"/>
  <c r="B255" i="14"/>
  <c r="O256" i="12"/>
  <c r="J256" i="12"/>
  <c r="I256" i="12"/>
  <c r="H256" i="12"/>
  <c r="G256" i="12"/>
  <c r="E255" i="14"/>
  <c r="A256" i="14"/>
  <c r="H255" i="14"/>
  <c r="D255" i="14"/>
  <c r="B256" i="12"/>
  <c r="A257" i="12"/>
  <c r="K256" i="12"/>
  <c r="E256" i="12"/>
  <c r="L256" i="12"/>
  <c r="F101" i="6"/>
  <c r="E101" i="6"/>
  <c r="H101" i="6"/>
  <c r="B101" i="6"/>
  <c r="J101" i="6"/>
  <c r="C162" i="10"/>
  <c r="G102" i="5"/>
  <c r="B162" i="10"/>
  <c r="E162" i="10"/>
  <c r="G162" i="10"/>
  <c r="A163" i="10"/>
  <c r="D162" i="10"/>
  <c r="B103" i="5"/>
  <c r="G101" i="6"/>
  <c r="A102" i="6"/>
  <c r="C103" i="5"/>
  <c r="D103" i="5"/>
  <c r="E103" i="5" s="1"/>
  <c r="A104" i="5"/>
  <c r="H104" i="5" l="1"/>
  <c r="F104" i="5"/>
  <c r="D102" i="6"/>
  <c r="C102" i="6"/>
  <c r="I102" i="6"/>
  <c r="M257" i="12"/>
  <c r="F257" i="12"/>
  <c r="D257" i="12"/>
  <c r="C257" i="12"/>
  <c r="F256" i="14"/>
  <c r="G256" i="14"/>
  <c r="C256" i="14"/>
  <c r="B256" i="14"/>
  <c r="O257" i="12"/>
  <c r="J257" i="12"/>
  <c r="H257" i="12"/>
  <c r="I257" i="12"/>
  <c r="G257" i="12"/>
  <c r="H256" i="14"/>
  <c r="A257" i="14"/>
  <c r="D256" i="14"/>
  <c r="E256" i="14"/>
  <c r="L257" i="12"/>
  <c r="A258" i="12"/>
  <c r="E257" i="12"/>
  <c r="K257" i="12"/>
  <c r="B257" i="12"/>
  <c r="F102" i="6"/>
  <c r="E102" i="6"/>
  <c r="H102" i="6"/>
  <c r="B102" i="6"/>
  <c r="J102" i="6"/>
  <c r="C163" i="10"/>
  <c r="G103" i="5"/>
  <c r="G163" i="10"/>
  <c r="B163" i="10"/>
  <c r="A164" i="10"/>
  <c r="D163" i="10"/>
  <c r="E163" i="10"/>
  <c r="B104" i="5"/>
  <c r="A103" i="6"/>
  <c r="G102" i="6"/>
  <c r="C104" i="5"/>
  <c r="D104" i="5"/>
  <c r="A105" i="5"/>
  <c r="E104" i="5"/>
  <c r="H105" i="5" l="1"/>
  <c r="F105" i="5"/>
  <c r="F258" i="12"/>
  <c r="D258" i="12"/>
  <c r="C258" i="12"/>
  <c r="M258" i="12"/>
  <c r="G257" i="14"/>
  <c r="F257" i="14"/>
  <c r="D103" i="6"/>
  <c r="I103" i="6"/>
  <c r="C103" i="6"/>
  <c r="C257" i="14"/>
  <c r="B257" i="14"/>
  <c r="O258" i="12"/>
  <c r="J258" i="12"/>
  <c r="H258" i="12"/>
  <c r="I258" i="12"/>
  <c r="G258" i="12"/>
  <c r="E257" i="14"/>
  <c r="D257" i="14"/>
  <c r="A258" i="14"/>
  <c r="H257" i="14"/>
  <c r="K258" i="12"/>
  <c r="B258" i="12"/>
  <c r="E258" i="12"/>
  <c r="A259" i="12"/>
  <c r="L258" i="12"/>
  <c r="F103" i="6"/>
  <c r="E103" i="6"/>
  <c r="B103" i="6"/>
  <c r="H103" i="6"/>
  <c r="J103" i="6"/>
  <c r="C164" i="10"/>
  <c r="G104" i="5"/>
  <c r="A165" i="10"/>
  <c r="D164" i="10"/>
  <c r="G164" i="10"/>
  <c r="E164" i="10"/>
  <c r="B164" i="10"/>
  <c r="B105" i="5"/>
  <c r="A104" i="6"/>
  <c r="G103" i="6"/>
  <c r="C105" i="5"/>
  <c r="A106" i="5"/>
  <c r="D105" i="5"/>
  <c r="E105" i="5" s="1"/>
  <c r="H106" i="5" l="1"/>
  <c r="F106" i="5"/>
  <c r="M259" i="12"/>
  <c r="F259" i="12"/>
  <c r="D259" i="12"/>
  <c r="C259" i="12"/>
  <c r="G258" i="14"/>
  <c r="F258" i="14"/>
  <c r="I104" i="6"/>
  <c r="D104" i="6"/>
  <c r="C104" i="6"/>
  <c r="C258" i="14"/>
  <c r="B258" i="14"/>
  <c r="O259" i="12"/>
  <c r="J259" i="12"/>
  <c r="I259" i="12"/>
  <c r="H259" i="12"/>
  <c r="G259" i="12"/>
  <c r="H258" i="14"/>
  <c r="A259" i="14"/>
  <c r="D258" i="14"/>
  <c r="E258" i="14"/>
  <c r="A260" i="12"/>
  <c r="K259" i="12"/>
  <c r="B259" i="12"/>
  <c r="L259" i="12"/>
  <c r="E259" i="12"/>
  <c r="F104" i="6"/>
  <c r="E104" i="6"/>
  <c r="B104" i="6"/>
  <c r="H104" i="6"/>
  <c r="J104" i="6"/>
  <c r="C165" i="10"/>
  <c r="G105" i="5"/>
  <c r="E165" i="10"/>
  <c r="D165" i="10"/>
  <c r="G165" i="10"/>
  <c r="B165" i="10"/>
  <c r="A166" i="10"/>
  <c r="B106" i="5"/>
  <c r="A105" i="6"/>
  <c r="G104" i="6"/>
  <c r="C106" i="5"/>
  <c r="D106" i="5"/>
  <c r="E106" i="5" s="1"/>
  <c r="A107" i="5"/>
  <c r="F260" i="12" l="1"/>
  <c r="D260" i="12"/>
  <c r="C260" i="12"/>
  <c r="M260" i="12"/>
  <c r="H107" i="5"/>
  <c r="F107" i="5"/>
  <c r="G259" i="14"/>
  <c r="F259" i="14"/>
  <c r="C105" i="6"/>
  <c r="I105" i="6"/>
  <c r="D105" i="6"/>
  <c r="C259" i="14"/>
  <c r="B259" i="14"/>
  <c r="O260" i="12"/>
  <c r="J260" i="12"/>
  <c r="I260" i="12"/>
  <c r="H260" i="12"/>
  <c r="G260" i="12"/>
  <c r="E259" i="14"/>
  <c r="A260" i="14"/>
  <c r="H259" i="14"/>
  <c r="D259" i="14"/>
  <c r="B260" i="12"/>
  <c r="A261" i="12"/>
  <c r="K260" i="12"/>
  <c r="E260" i="12"/>
  <c r="L260" i="12"/>
  <c r="F105" i="6"/>
  <c r="E105" i="6"/>
  <c r="H105" i="6"/>
  <c r="B105" i="6"/>
  <c r="J105" i="6"/>
  <c r="C166" i="10"/>
  <c r="G106" i="5"/>
  <c r="G166" i="10"/>
  <c r="D166" i="10"/>
  <c r="A167" i="10"/>
  <c r="B166" i="10"/>
  <c r="E166" i="10"/>
  <c r="B107" i="5"/>
  <c r="A106" i="6"/>
  <c r="G105" i="6"/>
  <c r="C107" i="5"/>
  <c r="D107" i="5"/>
  <c r="E107" i="5" s="1"/>
  <c r="A108" i="5"/>
  <c r="F260" i="14" l="1"/>
  <c r="G260" i="14"/>
  <c r="M261" i="12"/>
  <c r="F261" i="12"/>
  <c r="D261" i="12"/>
  <c r="C261" i="12"/>
  <c r="H108" i="5"/>
  <c r="F108" i="5"/>
  <c r="I106" i="6"/>
  <c r="C106" i="6"/>
  <c r="D106" i="6"/>
  <c r="C260" i="14"/>
  <c r="B260" i="14"/>
  <c r="O261" i="12"/>
  <c r="H261" i="12"/>
  <c r="J261" i="12"/>
  <c r="I261" i="12"/>
  <c r="G261" i="12"/>
  <c r="H260" i="14"/>
  <c r="A261" i="14"/>
  <c r="D260" i="14"/>
  <c r="E260" i="14"/>
  <c r="L261" i="12"/>
  <c r="A262" i="12"/>
  <c r="E261" i="12"/>
  <c r="K261" i="12"/>
  <c r="B261" i="12"/>
  <c r="E106" i="6"/>
  <c r="F106" i="6"/>
  <c r="H106" i="6"/>
  <c r="B106" i="6"/>
  <c r="J106" i="6"/>
  <c r="C167" i="10"/>
  <c r="G107" i="5"/>
  <c r="A168" i="10"/>
  <c r="D167" i="10"/>
  <c r="G167" i="10"/>
  <c r="B167" i="10"/>
  <c r="E167" i="10"/>
  <c r="B108" i="5"/>
  <c r="A107" i="6"/>
  <c r="G106" i="6"/>
  <c r="C108" i="5"/>
  <c r="D108" i="5"/>
  <c r="A109" i="5"/>
  <c r="E108" i="5"/>
  <c r="F262" i="12" l="1"/>
  <c r="D262" i="12"/>
  <c r="C262" i="12"/>
  <c r="M262" i="12"/>
  <c r="H109" i="5"/>
  <c r="F109" i="5"/>
  <c r="G261" i="14"/>
  <c r="F261" i="14"/>
  <c r="I107" i="6"/>
  <c r="D107" i="6"/>
  <c r="C107" i="6"/>
  <c r="C261" i="14"/>
  <c r="B261" i="14"/>
  <c r="O262" i="12"/>
  <c r="J262" i="12"/>
  <c r="I262" i="12"/>
  <c r="G262" i="12"/>
  <c r="H262" i="12"/>
  <c r="E261" i="14"/>
  <c r="D261" i="14"/>
  <c r="A262" i="14"/>
  <c r="H261" i="14"/>
  <c r="K262" i="12"/>
  <c r="B262" i="12"/>
  <c r="E262" i="12"/>
  <c r="L262" i="12"/>
  <c r="A263" i="12"/>
  <c r="F107" i="6"/>
  <c r="E107" i="6"/>
  <c r="B107" i="6"/>
  <c r="H107" i="6"/>
  <c r="J107" i="6"/>
  <c r="C168" i="10"/>
  <c r="G108" i="5"/>
  <c r="E168" i="10"/>
  <c r="D168" i="10"/>
  <c r="G168" i="10"/>
  <c r="B168" i="10"/>
  <c r="A169" i="10"/>
  <c r="B109" i="5"/>
  <c r="A108" i="6"/>
  <c r="G107" i="6"/>
  <c r="C109" i="5"/>
  <c r="E109" i="5"/>
  <c r="A110" i="5"/>
  <c r="D109" i="5"/>
  <c r="G262" i="14" l="1"/>
  <c r="F262" i="14"/>
  <c r="M263" i="12"/>
  <c r="F263" i="12"/>
  <c r="D263" i="12"/>
  <c r="C263" i="12"/>
  <c r="H110" i="5"/>
  <c r="F110" i="5"/>
  <c r="I108" i="6"/>
  <c r="D108" i="6"/>
  <c r="C108" i="6"/>
  <c r="C262" i="14"/>
  <c r="B262" i="14"/>
  <c r="O263" i="12"/>
  <c r="J263" i="12"/>
  <c r="I263" i="12"/>
  <c r="H263" i="12"/>
  <c r="G263" i="12"/>
  <c r="H262" i="14"/>
  <c r="E262" i="14"/>
  <c r="A263" i="14"/>
  <c r="D262" i="14"/>
  <c r="A264" i="12"/>
  <c r="K263" i="12"/>
  <c r="B263" i="12"/>
  <c r="L263" i="12"/>
  <c r="E263" i="12"/>
  <c r="F108" i="6"/>
  <c r="E108" i="6"/>
  <c r="B108" i="6"/>
  <c r="H108" i="6"/>
  <c r="J108" i="6"/>
  <c r="C169" i="10"/>
  <c r="G109" i="5"/>
  <c r="B169" i="10"/>
  <c r="D169" i="10"/>
  <c r="A170" i="10"/>
  <c r="E169" i="10"/>
  <c r="G169" i="10"/>
  <c r="B110" i="5"/>
  <c r="G108" i="6"/>
  <c r="A109" i="6"/>
  <c r="C110" i="5"/>
  <c r="A111" i="5"/>
  <c r="D110" i="5"/>
  <c r="E110" i="5" s="1"/>
  <c r="G263" i="14" l="1"/>
  <c r="F263" i="14"/>
  <c r="F264" i="12"/>
  <c r="D264" i="12"/>
  <c r="C264" i="12"/>
  <c r="M264" i="12"/>
  <c r="H111" i="5"/>
  <c r="F111" i="5"/>
  <c r="I109" i="6"/>
  <c r="D109" i="6"/>
  <c r="C109" i="6"/>
  <c r="C263" i="14"/>
  <c r="B263" i="14"/>
  <c r="O264" i="12"/>
  <c r="J264" i="12"/>
  <c r="I264" i="12"/>
  <c r="H264" i="12"/>
  <c r="G264" i="12"/>
  <c r="E263" i="14"/>
  <c r="H263" i="14"/>
  <c r="A264" i="14"/>
  <c r="D263" i="14"/>
  <c r="B264" i="12"/>
  <c r="A265" i="12"/>
  <c r="K264" i="12"/>
  <c r="E264" i="12"/>
  <c r="L264" i="12"/>
  <c r="F109" i="6"/>
  <c r="E109" i="6"/>
  <c r="H109" i="6"/>
  <c r="B109" i="6"/>
  <c r="J109" i="6"/>
  <c r="C170" i="10"/>
  <c r="G110" i="5"/>
  <c r="G170" i="10"/>
  <c r="A171" i="10"/>
  <c r="B170" i="10"/>
  <c r="D170" i="10"/>
  <c r="E170" i="10"/>
  <c r="B111" i="5"/>
  <c r="G109" i="6"/>
  <c r="A110" i="6"/>
  <c r="C111" i="5"/>
  <c r="D111" i="5"/>
  <c r="E111" i="5" s="1"/>
  <c r="A112" i="5"/>
  <c r="F264" i="14" l="1"/>
  <c r="G264" i="14"/>
  <c r="M265" i="12"/>
  <c r="F265" i="12"/>
  <c r="D265" i="12"/>
  <c r="C265" i="12"/>
  <c r="H112" i="5"/>
  <c r="F112" i="5"/>
  <c r="D110" i="6"/>
  <c r="C110" i="6"/>
  <c r="I110" i="6"/>
  <c r="C264" i="14"/>
  <c r="B264" i="14"/>
  <c r="O265" i="12"/>
  <c r="J265" i="12"/>
  <c r="H265" i="12"/>
  <c r="G265" i="12"/>
  <c r="I265" i="12"/>
  <c r="H264" i="14"/>
  <c r="E264" i="14"/>
  <c r="A265" i="14"/>
  <c r="D264" i="14"/>
  <c r="L265" i="12"/>
  <c r="A266" i="12"/>
  <c r="K265" i="12"/>
  <c r="B265" i="12"/>
  <c r="E265" i="12"/>
  <c r="F110" i="6"/>
  <c r="E110" i="6"/>
  <c r="H110" i="6"/>
  <c r="B110" i="6"/>
  <c r="J110" i="6"/>
  <c r="C171" i="10"/>
  <c r="G111" i="5"/>
  <c r="A172" i="10"/>
  <c r="D171" i="10"/>
  <c r="E171" i="10"/>
  <c r="G171" i="10"/>
  <c r="B171" i="10"/>
  <c r="B112" i="5"/>
  <c r="A111" i="6"/>
  <c r="G110" i="6"/>
  <c r="C112" i="5"/>
  <c r="D112" i="5"/>
  <c r="A113" i="5"/>
  <c r="E112" i="5"/>
  <c r="F266" i="12" l="1"/>
  <c r="D266" i="12"/>
  <c r="C266" i="12"/>
  <c r="M266" i="12"/>
  <c r="F265" i="14"/>
  <c r="G265" i="14"/>
  <c r="H113" i="5"/>
  <c r="F113" i="5"/>
  <c r="D111" i="6"/>
  <c r="I111" i="6"/>
  <c r="C111" i="6"/>
  <c r="C265" i="14"/>
  <c r="B265" i="14"/>
  <c r="O266" i="12"/>
  <c r="J266" i="12"/>
  <c r="I266" i="12"/>
  <c r="H266" i="12"/>
  <c r="G266" i="12"/>
  <c r="E265" i="14"/>
  <c r="H265" i="14"/>
  <c r="D265" i="14"/>
  <c r="A266" i="14"/>
  <c r="A267" i="12"/>
  <c r="K266" i="12"/>
  <c r="B266" i="12"/>
  <c r="E266" i="12"/>
  <c r="L266" i="12"/>
  <c r="F111" i="6"/>
  <c r="E111" i="6"/>
  <c r="B111" i="6"/>
  <c r="H111" i="6"/>
  <c r="J111" i="6"/>
  <c r="C172" i="10"/>
  <c r="G112" i="5"/>
  <c r="G172" i="10"/>
  <c r="E172" i="10"/>
  <c r="D172" i="10"/>
  <c r="B172" i="10"/>
  <c r="A173" i="10"/>
  <c r="B113" i="5"/>
  <c r="A112" i="6"/>
  <c r="G111" i="6"/>
  <c r="C113" i="5"/>
  <c r="A114" i="5"/>
  <c r="D113" i="5"/>
  <c r="E113" i="5" s="1"/>
  <c r="M267" i="12" l="1"/>
  <c r="F267" i="12"/>
  <c r="D267" i="12"/>
  <c r="C267" i="12"/>
  <c r="G266" i="14"/>
  <c r="F266" i="14"/>
  <c r="H114" i="5"/>
  <c r="F114" i="5"/>
  <c r="I112" i="6"/>
  <c r="D112" i="6"/>
  <c r="C112" i="6"/>
  <c r="C266" i="14"/>
  <c r="B266" i="14"/>
  <c r="O267" i="12"/>
  <c r="J267" i="12"/>
  <c r="I267" i="12"/>
  <c r="H267" i="12"/>
  <c r="G267" i="12"/>
  <c r="H266" i="14"/>
  <c r="E266" i="14"/>
  <c r="A267" i="14"/>
  <c r="D266" i="14"/>
  <c r="A268" i="12"/>
  <c r="K267" i="12"/>
  <c r="B267" i="12"/>
  <c r="L267" i="12"/>
  <c r="E267" i="12"/>
  <c r="F112" i="6"/>
  <c r="E112" i="6"/>
  <c r="B112" i="6"/>
  <c r="H112" i="6"/>
  <c r="J112" i="6"/>
  <c r="C173" i="10"/>
  <c r="G113" i="5"/>
  <c r="A174" i="10"/>
  <c r="D173" i="10"/>
  <c r="B173" i="10"/>
  <c r="E173" i="10"/>
  <c r="G173" i="10"/>
  <c r="B114" i="5"/>
  <c r="A113" i="6"/>
  <c r="G112" i="6"/>
  <c r="C114" i="5"/>
  <c r="D114" i="5"/>
  <c r="E114" i="5" s="1"/>
  <c r="A115" i="5"/>
  <c r="F268" i="12" l="1"/>
  <c r="D268" i="12"/>
  <c r="C268" i="12"/>
  <c r="M268" i="12"/>
  <c r="G267" i="14"/>
  <c r="F267" i="14"/>
  <c r="H115" i="5"/>
  <c r="F115" i="5"/>
  <c r="C113" i="6"/>
  <c r="I113" i="6"/>
  <c r="D113" i="6"/>
  <c r="C267" i="14"/>
  <c r="B267" i="14"/>
  <c r="O268" i="12"/>
  <c r="J268" i="12"/>
  <c r="I268" i="12"/>
  <c r="H268" i="12"/>
  <c r="G268" i="12"/>
  <c r="E267" i="14"/>
  <c r="H267" i="14"/>
  <c r="A268" i="14"/>
  <c r="D267" i="14"/>
  <c r="B268" i="12"/>
  <c r="E268" i="12"/>
  <c r="A269" i="12"/>
  <c r="L268" i="12"/>
  <c r="K268" i="12"/>
  <c r="F113" i="6"/>
  <c r="E113" i="6"/>
  <c r="H113" i="6"/>
  <c r="B113" i="6"/>
  <c r="J113" i="6"/>
  <c r="C174" i="10"/>
  <c r="G114" i="5"/>
  <c r="E174" i="10"/>
  <c r="G174" i="10"/>
  <c r="D174" i="10"/>
  <c r="A175" i="10"/>
  <c r="B174" i="10"/>
  <c r="B115" i="5"/>
  <c r="A114" i="6"/>
  <c r="G113" i="6"/>
  <c r="C115" i="5"/>
  <c r="D115" i="5"/>
  <c r="E115" i="5" s="1"/>
  <c r="A116" i="5"/>
  <c r="G268" i="14" l="1"/>
  <c r="F268" i="14"/>
  <c r="H116" i="5"/>
  <c r="F116" i="5"/>
  <c r="I114" i="6"/>
  <c r="C114" i="6"/>
  <c r="D114" i="6"/>
  <c r="M269" i="12"/>
  <c r="F269" i="12"/>
  <c r="D269" i="12"/>
  <c r="C269" i="12"/>
  <c r="C268" i="14"/>
  <c r="B268" i="14"/>
  <c r="O269" i="12"/>
  <c r="H269" i="12"/>
  <c r="I269" i="12"/>
  <c r="J269" i="12"/>
  <c r="G269" i="12"/>
  <c r="H268" i="14"/>
  <c r="E268" i="14"/>
  <c r="A269" i="14"/>
  <c r="D268" i="14"/>
  <c r="L269" i="12"/>
  <c r="A270" i="12"/>
  <c r="E269" i="12"/>
  <c r="K269" i="12"/>
  <c r="B269" i="12"/>
  <c r="E114" i="6"/>
  <c r="F114" i="6"/>
  <c r="H114" i="6"/>
  <c r="B114" i="6"/>
  <c r="J114" i="6"/>
  <c r="C175" i="10"/>
  <c r="G115" i="5"/>
  <c r="B175" i="10"/>
  <c r="A176" i="10"/>
  <c r="D175" i="10"/>
  <c r="G175" i="10"/>
  <c r="E175" i="10"/>
  <c r="B116" i="5"/>
  <c r="A115" i="6"/>
  <c r="G114" i="6"/>
  <c r="C116" i="5"/>
  <c r="D116" i="5"/>
  <c r="A117" i="5"/>
  <c r="E116" i="5"/>
  <c r="F270" i="12" l="1"/>
  <c r="D270" i="12"/>
  <c r="C270" i="12"/>
  <c r="M270" i="12"/>
  <c r="H117" i="5"/>
  <c r="F117" i="5"/>
  <c r="F269" i="14"/>
  <c r="G269" i="14"/>
  <c r="I115" i="6"/>
  <c r="D115" i="6"/>
  <c r="C115" i="6"/>
  <c r="C269" i="14"/>
  <c r="B269" i="14"/>
  <c r="O270" i="12"/>
  <c r="I270" i="12"/>
  <c r="G270" i="12"/>
  <c r="J270" i="12"/>
  <c r="H270" i="12"/>
  <c r="E269" i="14"/>
  <c r="H269" i="14"/>
  <c r="A270" i="14"/>
  <c r="D269" i="14"/>
  <c r="B270" i="12"/>
  <c r="K270" i="12"/>
  <c r="E270" i="12"/>
  <c r="L270" i="12"/>
  <c r="A271" i="12"/>
  <c r="F115" i="6"/>
  <c r="E115" i="6"/>
  <c r="B115" i="6"/>
  <c r="H115" i="6"/>
  <c r="J115" i="6"/>
  <c r="C176" i="10"/>
  <c r="G116" i="5"/>
  <c r="G176" i="10"/>
  <c r="E176" i="10"/>
  <c r="A177" i="10"/>
  <c r="B176" i="10"/>
  <c r="D176" i="10"/>
  <c r="B117" i="5"/>
  <c r="A116" i="6"/>
  <c r="G115" i="6"/>
  <c r="C117" i="5"/>
  <c r="D117" i="5"/>
  <c r="A118" i="5"/>
  <c r="E117" i="5"/>
  <c r="G270" i="14" l="1"/>
  <c r="F270" i="14"/>
  <c r="M271" i="12"/>
  <c r="F271" i="12"/>
  <c r="D271" i="12"/>
  <c r="C271" i="12"/>
  <c r="H118" i="5"/>
  <c r="F118" i="5"/>
  <c r="I116" i="6"/>
  <c r="C116" i="6"/>
  <c r="D116" i="6"/>
  <c r="C270" i="14"/>
  <c r="B270" i="14"/>
  <c r="J271" i="12"/>
  <c r="O271" i="12"/>
  <c r="I271" i="12"/>
  <c r="G271" i="12"/>
  <c r="H271" i="12"/>
  <c r="H270" i="14"/>
  <c r="E270" i="14"/>
  <c r="A271" i="14"/>
  <c r="D270" i="14"/>
  <c r="A272" i="12"/>
  <c r="L271" i="12"/>
  <c r="B271" i="12"/>
  <c r="E271" i="12"/>
  <c r="K271" i="12"/>
  <c r="F116" i="6"/>
  <c r="E116" i="6"/>
  <c r="B116" i="6"/>
  <c r="H116" i="6"/>
  <c r="J116" i="6"/>
  <c r="C177" i="10"/>
  <c r="G117" i="5"/>
  <c r="A178" i="10"/>
  <c r="D177" i="10"/>
  <c r="B177" i="10"/>
  <c r="G177" i="10"/>
  <c r="E177" i="10"/>
  <c r="B118" i="5"/>
  <c r="A117" i="6"/>
  <c r="G116" i="6"/>
  <c r="C118" i="5"/>
  <c r="E118" i="5"/>
  <c r="A119" i="5"/>
  <c r="D118" i="5"/>
  <c r="F272" i="12" l="1"/>
  <c r="D272" i="12"/>
  <c r="C272" i="12"/>
  <c r="M272" i="12"/>
  <c r="G271" i="14"/>
  <c r="F271" i="14"/>
  <c r="H119" i="5"/>
  <c r="F119" i="5"/>
  <c r="I117" i="6"/>
  <c r="D117" i="6"/>
  <c r="C117" i="6"/>
  <c r="C271" i="14"/>
  <c r="B271" i="14"/>
  <c r="O272" i="12"/>
  <c r="J272" i="12"/>
  <c r="I272" i="12"/>
  <c r="H272" i="12"/>
  <c r="G272" i="12"/>
  <c r="E271" i="14"/>
  <c r="H271" i="14"/>
  <c r="A272" i="14"/>
  <c r="D271" i="14"/>
  <c r="B272" i="12"/>
  <c r="K272" i="12"/>
  <c r="A273" i="12"/>
  <c r="L272" i="12"/>
  <c r="E272" i="12"/>
  <c r="F117" i="6"/>
  <c r="E117" i="6"/>
  <c r="H117" i="6"/>
  <c r="B117" i="6"/>
  <c r="J117" i="6"/>
  <c r="C178" i="10"/>
  <c r="G118" i="5"/>
  <c r="E178" i="10"/>
  <c r="G178" i="10"/>
  <c r="B178" i="10"/>
  <c r="A179" i="10"/>
  <c r="D178" i="10"/>
  <c r="B119" i="5"/>
  <c r="G117" i="6"/>
  <c r="A118" i="6"/>
  <c r="C119" i="5"/>
  <c r="D119" i="5"/>
  <c r="E119" i="5"/>
  <c r="A120" i="5"/>
  <c r="H120" i="5" l="1"/>
  <c r="F120" i="5"/>
  <c r="G272" i="14"/>
  <c r="F272" i="14"/>
  <c r="D118" i="6"/>
  <c r="C118" i="6"/>
  <c r="I118" i="6"/>
  <c r="M273" i="12"/>
  <c r="F273" i="12"/>
  <c r="D273" i="12"/>
  <c r="C273" i="12"/>
  <c r="C272" i="14"/>
  <c r="B272" i="14"/>
  <c r="O273" i="12"/>
  <c r="J273" i="12"/>
  <c r="H273" i="12"/>
  <c r="G273" i="12"/>
  <c r="I273" i="12"/>
  <c r="H272" i="14"/>
  <c r="E272" i="14"/>
  <c r="A273" i="14"/>
  <c r="D272" i="14"/>
  <c r="L273" i="12"/>
  <c r="B273" i="12"/>
  <c r="A274" i="12"/>
  <c r="E273" i="12"/>
  <c r="K273" i="12"/>
  <c r="F118" i="6"/>
  <c r="E118" i="6"/>
  <c r="H118" i="6"/>
  <c r="B118" i="6"/>
  <c r="J118" i="6"/>
  <c r="C179" i="10"/>
  <c r="G119" i="5"/>
  <c r="B179" i="10"/>
  <c r="A180" i="10"/>
  <c r="D179" i="10"/>
  <c r="E179" i="10"/>
  <c r="G179" i="10"/>
  <c r="B120" i="5"/>
  <c r="A119" i="6"/>
  <c r="G118" i="6"/>
  <c r="C120" i="5"/>
  <c r="A121" i="5"/>
  <c r="D120" i="5"/>
  <c r="E120" i="5" s="1"/>
  <c r="F273" i="14" l="1"/>
  <c r="G273" i="14"/>
  <c r="H121" i="5"/>
  <c r="F121" i="5"/>
  <c r="D119" i="6"/>
  <c r="I119" i="6"/>
  <c r="C119" i="6"/>
  <c r="F274" i="12"/>
  <c r="D274" i="12"/>
  <c r="C274" i="12"/>
  <c r="M274" i="12"/>
  <c r="C273" i="14"/>
  <c r="B273" i="14"/>
  <c r="O274" i="12"/>
  <c r="J274" i="12"/>
  <c r="I274" i="12"/>
  <c r="H274" i="12"/>
  <c r="G274" i="12"/>
  <c r="E273" i="14"/>
  <c r="H273" i="14"/>
  <c r="D273" i="14"/>
  <c r="A274" i="14"/>
  <c r="K274" i="12"/>
  <c r="B274" i="12"/>
  <c r="E274" i="12"/>
  <c r="A275" i="12"/>
  <c r="L274" i="12"/>
  <c r="F119" i="6"/>
  <c r="E119" i="6"/>
  <c r="B119" i="6"/>
  <c r="H119" i="6"/>
  <c r="J119" i="6"/>
  <c r="C180" i="10"/>
  <c r="G120" i="5"/>
  <c r="G180" i="10"/>
  <c r="E180" i="10"/>
  <c r="D180" i="10"/>
  <c r="B180" i="10"/>
  <c r="A181" i="10"/>
  <c r="B121" i="5"/>
  <c r="A120" i="6"/>
  <c r="G119" i="6"/>
  <c r="C121" i="5"/>
  <c r="A122" i="5"/>
  <c r="D121" i="5"/>
  <c r="E121" i="5"/>
  <c r="G274" i="14" l="1"/>
  <c r="F274" i="14"/>
  <c r="M275" i="12"/>
  <c r="F275" i="12"/>
  <c r="D275" i="12"/>
  <c r="C275" i="12"/>
  <c r="H122" i="5"/>
  <c r="F122" i="5"/>
  <c r="I120" i="6"/>
  <c r="D120" i="6"/>
  <c r="C120" i="6"/>
  <c r="C274" i="14"/>
  <c r="B274" i="14"/>
  <c r="O275" i="12"/>
  <c r="J275" i="12"/>
  <c r="I275" i="12"/>
  <c r="H275" i="12"/>
  <c r="G275" i="12"/>
  <c r="H274" i="14"/>
  <c r="E274" i="14"/>
  <c r="A275" i="14"/>
  <c r="D274" i="14"/>
  <c r="K275" i="12"/>
  <c r="B275" i="12"/>
  <c r="E275" i="12"/>
  <c r="A276" i="12"/>
  <c r="L275" i="12"/>
  <c r="F120" i="6"/>
  <c r="E120" i="6"/>
  <c r="B120" i="6"/>
  <c r="H120" i="6"/>
  <c r="J120" i="6"/>
  <c r="C181" i="10"/>
  <c r="G121" i="5"/>
  <c r="A182" i="10"/>
  <c r="D181" i="10"/>
  <c r="B181" i="10"/>
  <c r="E181" i="10"/>
  <c r="G181" i="10"/>
  <c r="B122" i="5"/>
  <c r="A121" i="6"/>
  <c r="G120" i="6"/>
  <c r="C122" i="5"/>
  <c r="A123" i="5"/>
  <c r="D122" i="5"/>
  <c r="E122" i="5" s="1"/>
  <c r="F275" i="14" l="1"/>
  <c r="G275" i="14"/>
  <c r="H123" i="5"/>
  <c r="F123" i="5"/>
  <c r="F276" i="12"/>
  <c r="D276" i="12"/>
  <c r="C276" i="12"/>
  <c r="M276" i="12"/>
  <c r="C121" i="6"/>
  <c r="I121" i="6"/>
  <c r="D121" i="6"/>
  <c r="C275" i="14"/>
  <c r="B275" i="14"/>
  <c r="O276" i="12"/>
  <c r="J276" i="12"/>
  <c r="I276" i="12"/>
  <c r="H276" i="12"/>
  <c r="G276" i="12"/>
  <c r="E275" i="14"/>
  <c r="H275" i="14"/>
  <c r="A276" i="14"/>
  <c r="D275" i="14"/>
  <c r="B276" i="12"/>
  <c r="A277" i="12"/>
  <c r="K276" i="12"/>
  <c r="L276" i="12"/>
  <c r="E276" i="12"/>
  <c r="F121" i="6"/>
  <c r="E121" i="6"/>
  <c r="H121" i="6"/>
  <c r="B121" i="6"/>
  <c r="J121" i="6"/>
  <c r="C182" i="10"/>
  <c r="G122" i="5"/>
  <c r="E182" i="10"/>
  <c r="G182" i="10"/>
  <c r="D182" i="10"/>
  <c r="A183" i="10"/>
  <c r="B182" i="10"/>
  <c r="B123" i="5"/>
  <c r="A122" i="6"/>
  <c r="G121" i="6"/>
  <c r="C123" i="5"/>
  <c r="D123" i="5"/>
  <c r="E123" i="5"/>
  <c r="A124" i="5"/>
  <c r="M277" i="12" l="1"/>
  <c r="F277" i="12"/>
  <c r="D277" i="12"/>
  <c r="C277" i="12"/>
  <c r="H124" i="5"/>
  <c r="F124" i="5"/>
  <c r="G276" i="14"/>
  <c r="F276" i="14"/>
  <c r="I122" i="6"/>
  <c r="C122" i="6"/>
  <c r="D122" i="6"/>
  <c r="C276" i="14"/>
  <c r="B276" i="14"/>
  <c r="O277" i="12"/>
  <c r="H277" i="12"/>
  <c r="J277" i="12"/>
  <c r="I277" i="12"/>
  <c r="G277" i="12"/>
  <c r="H276" i="14"/>
  <c r="E276" i="14"/>
  <c r="A277" i="14"/>
  <c r="D276" i="14"/>
  <c r="L277" i="12"/>
  <c r="A278" i="12"/>
  <c r="E277" i="12"/>
  <c r="K277" i="12"/>
  <c r="B277" i="12"/>
  <c r="F122" i="6"/>
  <c r="E122" i="6"/>
  <c r="H122" i="6"/>
  <c r="B122" i="6"/>
  <c r="J122" i="6"/>
  <c r="C183" i="10"/>
  <c r="G123" i="5"/>
  <c r="B183" i="10"/>
  <c r="A184" i="10"/>
  <c r="D183" i="10"/>
  <c r="G183" i="10"/>
  <c r="E183" i="10"/>
  <c r="B124" i="5"/>
  <c r="A123" i="6"/>
  <c r="G122" i="6"/>
  <c r="C124" i="5"/>
  <c r="D124" i="5"/>
  <c r="A125" i="5"/>
  <c r="E124" i="5"/>
  <c r="F278" i="12" l="1"/>
  <c r="D278" i="12"/>
  <c r="C278" i="12"/>
  <c r="M278" i="12"/>
  <c r="F277" i="14"/>
  <c r="G277" i="14"/>
  <c r="H125" i="5"/>
  <c r="F125" i="5"/>
  <c r="I123" i="6"/>
  <c r="D123" i="6"/>
  <c r="C123" i="6"/>
  <c r="C277" i="14"/>
  <c r="B277" i="14"/>
  <c r="O278" i="12"/>
  <c r="J278" i="12"/>
  <c r="I278" i="12"/>
  <c r="G278" i="12"/>
  <c r="H278" i="12"/>
  <c r="E277" i="14"/>
  <c r="H277" i="14"/>
  <c r="A278" i="14"/>
  <c r="D277" i="14"/>
  <c r="B278" i="12"/>
  <c r="K278" i="12"/>
  <c r="L278" i="12"/>
  <c r="A279" i="12"/>
  <c r="E278" i="12"/>
  <c r="F123" i="6"/>
  <c r="E123" i="6"/>
  <c r="B123" i="6"/>
  <c r="H123" i="6"/>
  <c r="J123" i="6"/>
  <c r="C184" i="10"/>
  <c r="G124" i="5"/>
  <c r="G184" i="10"/>
  <c r="E184" i="10"/>
  <c r="A185" i="10"/>
  <c r="B184" i="10"/>
  <c r="D184" i="10"/>
  <c r="B125" i="5"/>
  <c r="A124" i="6"/>
  <c r="G123" i="6"/>
  <c r="C125" i="5"/>
  <c r="A126" i="5"/>
  <c r="D125" i="5"/>
  <c r="E125" i="5" s="1"/>
  <c r="G278" i="14" l="1"/>
  <c r="F278" i="14"/>
  <c r="H126" i="5"/>
  <c r="F126" i="5"/>
  <c r="M279" i="12"/>
  <c r="F279" i="12"/>
  <c r="D279" i="12"/>
  <c r="C279" i="12"/>
  <c r="I124" i="6"/>
  <c r="D124" i="6"/>
  <c r="C124" i="6"/>
  <c r="C278" i="14"/>
  <c r="B278" i="14"/>
  <c r="O279" i="12"/>
  <c r="J279" i="12"/>
  <c r="I279" i="12"/>
  <c r="H279" i="12"/>
  <c r="G279" i="12"/>
  <c r="H278" i="14"/>
  <c r="E278" i="14"/>
  <c r="A279" i="14"/>
  <c r="D278" i="14"/>
  <c r="A280" i="12"/>
  <c r="B279" i="12"/>
  <c r="E279" i="12"/>
  <c r="K279" i="12"/>
  <c r="L279" i="12"/>
  <c r="F124" i="6"/>
  <c r="E124" i="6"/>
  <c r="B124" i="6"/>
  <c r="H124" i="6"/>
  <c r="J124" i="6"/>
  <c r="C185" i="10"/>
  <c r="G125" i="5"/>
  <c r="A186" i="10"/>
  <c r="D185" i="10"/>
  <c r="B185" i="10"/>
  <c r="G185" i="10"/>
  <c r="E185" i="10"/>
  <c r="B126" i="5"/>
  <c r="G124" i="6"/>
  <c r="A125" i="6"/>
  <c r="C126" i="5"/>
  <c r="A127" i="5"/>
  <c r="D126" i="5"/>
  <c r="E126" i="5" s="1"/>
  <c r="G279" i="14" l="1"/>
  <c r="F279" i="14"/>
  <c r="F280" i="12"/>
  <c r="D280" i="12"/>
  <c r="C280" i="12"/>
  <c r="M280" i="12"/>
  <c r="H127" i="5"/>
  <c r="F127" i="5"/>
  <c r="I125" i="6"/>
  <c r="D125" i="6"/>
  <c r="C125" i="6"/>
  <c r="C279" i="14"/>
  <c r="B279" i="14"/>
  <c r="O280" i="12"/>
  <c r="J280" i="12"/>
  <c r="I280" i="12"/>
  <c r="H280" i="12"/>
  <c r="G280" i="12"/>
  <c r="E279" i="14"/>
  <c r="H279" i="14"/>
  <c r="A280" i="14"/>
  <c r="D279" i="14"/>
  <c r="B280" i="12"/>
  <c r="A281" i="12"/>
  <c r="K280" i="12"/>
  <c r="E280" i="12"/>
  <c r="L280" i="12"/>
  <c r="F125" i="6"/>
  <c r="E125" i="6"/>
  <c r="H125" i="6"/>
  <c r="B125" i="6"/>
  <c r="J125" i="6"/>
  <c r="C186" i="10"/>
  <c r="G126" i="5"/>
  <c r="B186" i="10"/>
  <c r="E186" i="10"/>
  <c r="G186" i="10"/>
  <c r="D186" i="10"/>
  <c r="A187" i="10"/>
  <c r="B127" i="5"/>
  <c r="G125" i="6"/>
  <c r="A126" i="6"/>
  <c r="C127" i="5"/>
  <c r="A128" i="5"/>
  <c r="D127" i="5"/>
  <c r="E127" i="5" s="1"/>
  <c r="F280" i="14" l="1"/>
  <c r="G280" i="14"/>
  <c r="H128" i="5"/>
  <c r="F128" i="5"/>
  <c r="M281" i="12"/>
  <c r="F281" i="12"/>
  <c r="D281" i="12"/>
  <c r="C281" i="12"/>
  <c r="D126" i="6"/>
  <c r="C126" i="6"/>
  <c r="I126" i="6"/>
  <c r="C280" i="14"/>
  <c r="B280" i="14"/>
  <c r="O281" i="12"/>
  <c r="J281" i="12"/>
  <c r="H281" i="12"/>
  <c r="I281" i="12"/>
  <c r="G281" i="12"/>
  <c r="H280" i="14"/>
  <c r="E280" i="14"/>
  <c r="A281" i="14"/>
  <c r="D280" i="14"/>
  <c r="L281" i="12"/>
  <c r="A282" i="12"/>
  <c r="K281" i="12"/>
  <c r="B281" i="12"/>
  <c r="E281" i="12"/>
  <c r="F126" i="6"/>
  <c r="E126" i="6"/>
  <c r="H126" i="6"/>
  <c r="B126" i="6"/>
  <c r="J126" i="6"/>
  <c r="C187" i="10"/>
  <c r="G127" i="5"/>
  <c r="G187" i="10"/>
  <c r="B187" i="10"/>
  <c r="A188" i="10"/>
  <c r="D187" i="10"/>
  <c r="E187" i="10"/>
  <c r="B128" i="5"/>
  <c r="A127" i="6"/>
  <c r="G126" i="6"/>
  <c r="C128" i="5"/>
  <c r="D128" i="5"/>
  <c r="A129" i="5"/>
  <c r="E128" i="5"/>
  <c r="F282" i="12" l="1"/>
  <c r="D282" i="12"/>
  <c r="C282" i="12"/>
  <c r="M282" i="12"/>
  <c r="H129" i="5"/>
  <c r="F129" i="5"/>
  <c r="F281" i="14"/>
  <c r="G281" i="14"/>
  <c r="D127" i="6"/>
  <c r="I127" i="6"/>
  <c r="C127" i="6"/>
  <c r="C281" i="14"/>
  <c r="B281" i="14"/>
  <c r="O282" i="12"/>
  <c r="J282" i="12"/>
  <c r="I282" i="12"/>
  <c r="H282" i="12"/>
  <c r="G282" i="12"/>
  <c r="E281" i="14"/>
  <c r="H281" i="14"/>
  <c r="D281" i="14"/>
  <c r="A282" i="14"/>
  <c r="A283" i="12"/>
  <c r="K282" i="12"/>
  <c r="E282" i="12"/>
  <c r="B282" i="12"/>
  <c r="L282" i="12"/>
  <c r="F127" i="6"/>
  <c r="E127" i="6"/>
  <c r="B127" i="6"/>
  <c r="H127" i="6"/>
  <c r="J127" i="6"/>
  <c r="C188" i="10"/>
  <c r="G128" i="5"/>
  <c r="A189" i="10"/>
  <c r="D188" i="10"/>
  <c r="G188" i="10"/>
  <c r="E188" i="10"/>
  <c r="B188" i="10"/>
  <c r="B129" i="5"/>
  <c r="A128" i="6"/>
  <c r="G127" i="6"/>
  <c r="C129" i="5"/>
  <c r="A130" i="5"/>
  <c r="D129" i="5"/>
  <c r="E129" i="5"/>
  <c r="M283" i="12" l="1"/>
  <c r="F283" i="12"/>
  <c r="D283" i="12"/>
  <c r="C283" i="12"/>
  <c r="G282" i="14"/>
  <c r="F282" i="14"/>
  <c r="H130" i="5"/>
  <c r="F130" i="5"/>
  <c r="I128" i="6"/>
  <c r="D128" i="6"/>
  <c r="C128" i="6"/>
  <c r="C282" i="14"/>
  <c r="B282" i="14"/>
  <c r="O283" i="12"/>
  <c r="J283" i="12"/>
  <c r="I283" i="12"/>
  <c r="H283" i="12"/>
  <c r="G283" i="12"/>
  <c r="H282" i="14"/>
  <c r="E282" i="14"/>
  <c r="A283" i="14"/>
  <c r="D282" i="14"/>
  <c r="K283" i="12"/>
  <c r="B283" i="12"/>
  <c r="L283" i="12"/>
  <c r="A284" i="12"/>
  <c r="E283" i="12"/>
  <c r="F128" i="6"/>
  <c r="E128" i="6"/>
  <c r="B128" i="6"/>
  <c r="H128" i="6"/>
  <c r="J128" i="6"/>
  <c r="C189" i="10"/>
  <c r="G129" i="5"/>
  <c r="E189" i="10"/>
  <c r="A190" i="10"/>
  <c r="D189" i="10"/>
  <c r="B189" i="10"/>
  <c r="G189" i="10"/>
  <c r="B130" i="5"/>
  <c r="G128" i="6"/>
  <c r="A129" i="6"/>
  <c r="C130" i="5"/>
  <c r="D130" i="5"/>
  <c r="A131" i="5"/>
  <c r="E130" i="5"/>
  <c r="H131" i="5" l="1"/>
  <c r="F131" i="5"/>
  <c r="G283" i="14"/>
  <c r="F283" i="14"/>
  <c r="C129" i="6"/>
  <c r="I129" i="6"/>
  <c r="D129" i="6"/>
  <c r="F284" i="12"/>
  <c r="D284" i="12"/>
  <c r="C284" i="12"/>
  <c r="M284" i="12"/>
  <c r="C283" i="14"/>
  <c r="B283" i="14"/>
  <c r="O284" i="12"/>
  <c r="J284" i="12"/>
  <c r="I284" i="12"/>
  <c r="H284" i="12"/>
  <c r="G284" i="12"/>
  <c r="E283" i="14"/>
  <c r="H283" i="14"/>
  <c r="A284" i="14"/>
  <c r="D283" i="14"/>
  <c r="B284" i="12"/>
  <c r="E284" i="12"/>
  <c r="K284" i="12"/>
  <c r="L284" i="12"/>
  <c r="A285" i="12"/>
  <c r="F129" i="6"/>
  <c r="E129" i="6"/>
  <c r="H129" i="6"/>
  <c r="B129" i="6"/>
  <c r="J129" i="6"/>
  <c r="C190" i="10"/>
  <c r="G130" i="5"/>
  <c r="B190" i="10"/>
  <c r="E190" i="10"/>
  <c r="G190" i="10"/>
  <c r="A191" i="10"/>
  <c r="D190" i="10"/>
  <c r="B131" i="5"/>
  <c r="A130" i="6"/>
  <c r="G129" i="6"/>
  <c r="C131" i="5"/>
  <c r="A132" i="5"/>
  <c r="D131" i="5"/>
  <c r="E131" i="5" s="1"/>
  <c r="H132" i="5" l="1"/>
  <c r="F132" i="5"/>
  <c r="G284" i="14"/>
  <c r="F284" i="14"/>
  <c r="M285" i="12"/>
  <c r="F285" i="12"/>
  <c r="D285" i="12"/>
  <c r="C285" i="12"/>
  <c r="I130" i="6"/>
  <c r="C130" i="6"/>
  <c r="D130" i="6"/>
  <c r="C284" i="14"/>
  <c r="B284" i="14"/>
  <c r="O285" i="12"/>
  <c r="H285" i="12"/>
  <c r="I285" i="12"/>
  <c r="G285" i="12"/>
  <c r="J285" i="12"/>
  <c r="H284" i="14"/>
  <c r="E284" i="14"/>
  <c r="A285" i="14"/>
  <c r="D284" i="14"/>
  <c r="L285" i="12"/>
  <c r="A286" i="12"/>
  <c r="E285" i="12"/>
  <c r="K285" i="12"/>
  <c r="B285" i="12"/>
  <c r="F130" i="6"/>
  <c r="E130" i="6"/>
  <c r="H130" i="6"/>
  <c r="B130" i="6"/>
  <c r="J130" i="6"/>
  <c r="C191" i="10"/>
  <c r="G131" i="5"/>
  <c r="G191" i="10"/>
  <c r="B191" i="10"/>
  <c r="A192" i="10"/>
  <c r="D191" i="10"/>
  <c r="E191" i="10"/>
  <c r="B132" i="5"/>
  <c r="A131" i="6"/>
  <c r="G130" i="6"/>
  <c r="C132" i="5"/>
  <c r="A133" i="5"/>
  <c r="D132" i="5"/>
  <c r="E132" i="5" s="1"/>
  <c r="F286" i="12" l="1"/>
  <c r="D286" i="12"/>
  <c r="C286" i="12"/>
  <c r="M286" i="12"/>
  <c r="F285" i="14"/>
  <c r="G285" i="14"/>
  <c r="H133" i="5"/>
  <c r="F133" i="5"/>
  <c r="I131" i="6"/>
  <c r="D131" i="6"/>
  <c r="C131" i="6"/>
  <c r="C285" i="14"/>
  <c r="B285" i="14"/>
  <c r="I286" i="12"/>
  <c r="O286" i="12"/>
  <c r="J286" i="12"/>
  <c r="G286" i="12"/>
  <c r="H286" i="12"/>
  <c r="E285" i="14"/>
  <c r="H285" i="14"/>
  <c r="A286" i="14"/>
  <c r="D285" i="14"/>
  <c r="K286" i="12"/>
  <c r="E286" i="12"/>
  <c r="B286" i="12"/>
  <c r="L286" i="12"/>
  <c r="A287" i="12"/>
  <c r="F131" i="6"/>
  <c r="E131" i="6"/>
  <c r="B131" i="6"/>
  <c r="H131" i="6"/>
  <c r="J131" i="6"/>
  <c r="C192" i="10"/>
  <c r="G132" i="5"/>
  <c r="A193" i="10"/>
  <c r="D192" i="10"/>
  <c r="G192" i="10"/>
  <c r="E192" i="10"/>
  <c r="B192" i="10"/>
  <c r="B133" i="5"/>
  <c r="A132" i="6"/>
  <c r="G131" i="6"/>
  <c r="C133" i="5"/>
  <c r="A134" i="5"/>
  <c r="D133" i="5"/>
  <c r="E133" i="5"/>
  <c r="G286" i="14" l="1"/>
  <c r="F286" i="14"/>
  <c r="M287" i="12"/>
  <c r="F287" i="12"/>
  <c r="D287" i="12"/>
  <c r="C287" i="12"/>
  <c r="H134" i="5"/>
  <c r="F134" i="5"/>
  <c r="I132" i="6"/>
  <c r="D132" i="6"/>
  <c r="C132" i="6"/>
  <c r="C286" i="14"/>
  <c r="B286" i="14"/>
  <c r="J287" i="12"/>
  <c r="I287" i="12"/>
  <c r="O287" i="12"/>
  <c r="G287" i="12"/>
  <c r="H287" i="12"/>
  <c r="H286" i="14"/>
  <c r="E286" i="14"/>
  <c r="A287" i="14"/>
  <c r="D286" i="14"/>
  <c r="A288" i="12"/>
  <c r="K287" i="12"/>
  <c r="B287" i="12"/>
  <c r="L287" i="12"/>
  <c r="E287" i="12"/>
  <c r="F132" i="6"/>
  <c r="E132" i="6"/>
  <c r="B132" i="6"/>
  <c r="H132" i="6"/>
  <c r="J132" i="6"/>
  <c r="C193" i="10"/>
  <c r="G133" i="5"/>
  <c r="E193" i="10"/>
  <c r="A194" i="10"/>
  <c r="D193" i="10"/>
  <c r="B193" i="10"/>
  <c r="G193" i="10"/>
  <c r="B134" i="5"/>
  <c r="A133" i="6"/>
  <c r="G132" i="6"/>
  <c r="C134" i="5"/>
  <c r="A135" i="5"/>
  <c r="D134" i="5"/>
  <c r="E134" i="5" s="1"/>
  <c r="G287" i="14" l="1"/>
  <c r="F287" i="14"/>
  <c r="F288" i="12"/>
  <c r="D288" i="12"/>
  <c r="C288" i="12"/>
  <c r="M288" i="12"/>
  <c r="H135" i="5"/>
  <c r="F135" i="5"/>
  <c r="I133" i="6"/>
  <c r="D133" i="6"/>
  <c r="C133" i="6"/>
  <c r="C287" i="14"/>
  <c r="B287" i="14"/>
  <c r="O288" i="12"/>
  <c r="J288" i="12"/>
  <c r="I288" i="12"/>
  <c r="H288" i="12"/>
  <c r="G288" i="12"/>
  <c r="E287" i="14"/>
  <c r="H287" i="14"/>
  <c r="A288" i="14"/>
  <c r="D287" i="14"/>
  <c r="B288" i="12"/>
  <c r="A289" i="12"/>
  <c r="K288" i="12"/>
  <c r="E288" i="12"/>
  <c r="L288" i="12"/>
  <c r="F133" i="6"/>
  <c r="E133" i="6"/>
  <c r="H133" i="6"/>
  <c r="B133" i="6"/>
  <c r="J133" i="6"/>
  <c r="C194" i="10"/>
  <c r="G134" i="5"/>
  <c r="B194" i="10"/>
  <c r="E194" i="10"/>
  <c r="G194" i="10"/>
  <c r="A195" i="10"/>
  <c r="D194" i="10"/>
  <c r="B135" i="5"/>
  <c r="G133" i="6"/>
  <c r="A134" i="6"/>
  <c r="C135" i="5"/>
  <c r="A136" i="5"/>
  <c r="D135" i="5"/>
  <c r="E135" i="5" s="1"/>
  <c r="G288" i="14" l="1"/>
  <c r="F288" i="14"/>
  <c r="H136" i="5"/>
  <c r="F136" i="5"/>
  <c r="D134" i="6"/>
  <c r="C134" i="6"/>
  <c r="I134" i="6"/>
  <c r="M289" i="12"/>
  <c r="F289" i="12"/>
  <c r="D289" i="12"/>
  <c r="C289" i="12"/>
  <c r="C288" i="14"/>
  <c r="B288" i="14"/>
  <c r="O289" i="12"/>
  <c r="J289" i="12"/>
  <c r="H289" i="12"/>
  <c r="I289" i="12"/>
  <c r="G289" i="12"/>
  <c r="H288" i="14"/>
  <c r="E288" i="14"/>
  <c r="A289" i="14"/>
  <c r="D288" i="14"/>
  <c r="L289" i="12"/>
  <c r="A290" i="12"/>
  <c r="E289" i="12"/>
  <c r="K289" i="12"/>
  <c r="B289" i="12"/>
  <c r="F134" i="6"/>
  <c r="E134" i="6"/>
  <c r="H134" i="6"/>
  <c r="B134" i="6"/>
  <c r="J134" i="6"/>
  <c r="C195" i="10"/>
  <c r="G135" i="5"/>
  <c r="G195" i="10"/>
  <c r="B195" i="10"/>
  <c r="A196" i="10"/>
  <c r="D195" i="10"/>
  <c r="E195" i="10"/>
  <c r="B136" i="5"/>
  <c r="A135" i="6"/>
  <c r="G134" i="6"/>
  <c r="C136" i="5"/>
  <c r="A137" i="5"/>
  <c r="D136" i="5"/>
  <c r="E136" i="5" s="1"/>
  <c r="F289" i="14" l="1"/>
  <c r="G289" i="14"/>
  <c r="F290" i="12"/>
  <c r="D290" i="12"/>
  <c r="C290" i="12"/>
  <c r="M290" i="12"/>
  <c r="H137" i="5"/>
  <c r="F137" i="5"/>
  <c r="D135" i="6"/>
  <c r="I135" i="6"/>
  <c r="C135" i="6"/>
  <c r="C289" i="14"/>
  <c r="B289" i="14"/>
  <c r="O290" i="12"/>
  <c r="J290" i="12"/>
  <c r="G290" i="12"/>
  <c r="H290" i="12"/>
  <c r="I290" i="12"/>
  <c r="E289" i="14"/>
  <c r="H289" i="14"/>
  <c r="D289" i="14"/>
  <c r="A290" i="14"/>
  <c r="B290" i="12"/>
  <c r="K290" i="12"/>
  <c r="A291" i="12"/>
  <c r="E290" i="12"/>
  <c r="L290" i="12"/>
  <c r="F135" i="6"/>
  <c r="E135" i="6"/>
  <c r="B135" i="6"/>
  <c r="H135" i="6"/>
  <c r="J135" i="6"/>
  <c r="C196" i="10"/>
  <c r="G136" i="5"/>
  <c r="A197" i="10"/>
  <c r="D196" i="10"/>
  <c r="G196" i="10"/>
  <c r="E196" i="10"/>
  <c r="B196" i="10"/>
  <c r="B137" i="5"/>
  <c r="A136" i="6"/>
  <c r="G135" i="6"/>
  <c r="C137" i="5"/>
  <c r="A138" i="5"/>
  <c r="D137" i="5"/>
  <c r="E137" i="5"/>
  <c r="G290" i="14" l="1"/>
  <c r="F290" i="14"/>
  <c r="H138" i="5"/>
  <c r="F138" i="5"/>
  <c r="I136" i="6"/>
  <c r="D136" i="6"/>
  <c r="C136" i="6"/>
  <c r="M291" i="12"/>
  <c r="F291" i="12"/>
  <c r="D291" i="12"/>
  <c r="C291" i="12"/>
  <c r="C290" i="14"/>
  <c r="B290" i="14"/>
  <c r="O291" i="12"/>
  <c r="J291" i="12"/>
  <c r="I291" i="12"/>
  <c r="H291" i="12"/>
  <c r="G291" i="12"/>
  <c r="H290" i="14"/>
  <c r="E290" i="14"/>
  <c r="A291" i="14"/>
  <c r="D290" i="14"/>
  <c r="A292" i="12"/>
  <c r="K291" i="12"/>
  <c r="B291" i="12"/>
  <c r="L291" i="12"/>
  <c r="E291" i="12"/>
  <c r="F136" i="6"/>
  <c r="E136" i="6"/>
  <c r="B136" i="6"/>
  <c r="H136" i="6"/>
  <c r="J136" i="6"/>
  <c r="C197" i="10"/>
  <c r="G137" i="5"/>
  <c r="E197" i="10"/>
  <c r="A198" i="10"/>
  <c r="D197" i="10"/>
  <c r="B197" i="10"/>
  <c r="G197" i="10"/>
  <c r="B138" i="5"/>
  <c r="A137" i="6"/>
  <c r="G136" i="6"/>
  <c r="C138" i="5"/>
  <c r="A139" i="5"/>
  <c r="D138" i="5"/>
  <c r="E138" i="5" s="1"/>
  <c r="H139" i="5" l="1"/>
  <c r="F139" i="5"/>
  <c r="F292" i="12"/>
  <c r="D292" i="12"/>
  <c r="C292" i="12"/>
  <c r="M292" i="12"/>
  <c r="F291" i="14"/>
  <c r="G291" i="14"/>
  <c r="C137" i="6"/>
  <c r="D137" i="6"/>
  <c r="I137" i="6"/>
  <c r="C291" i="14"/>
  <c r="B291" i="14"/>
  <c r="O292" i="12"/>
  <c r="J292" i="12"/>
  <c r="I292" i="12"/>
  <c r="H292" i="12"/>
  <c r="G292" i="12"/>
  <c r="E291" i="14"/>
  <c r="H291" i="14"/>
  <c r="A292" i="14"/>
  <c r="D291" i="14"/>
  <c r="B292" i="12"/>
  <c r="A293" i="12"/>
  <c r="K292" i="12"/>
  <c r="L292" i="12"/>
  <c r="E292" i="12"/>
  <c r="F137" i="6"/>
  <c r="E137" i="6"/>
  <c r="H137" i="6"/>
  <c r="B137" i="6"/>
  <c r="J137" i="6"/>
  <c r="C198" i="10"/>
  <c r="G138" i="5"/>
  <c r="B198" i="10"/>
  <c r="E198" i="10"/>
  <c r="G198" i="10"/>
  <c r="D198" i="10"/>
  <c r="A199" i="10"/>
  <c r="B139" i="5"/>
  <c r="A138" i="6"/>
  <c r="G137" i="6"/>
  <c r="C139" i="5"/>
  <c r="A140" i="5"/>
  <c r="D139" i="5"/>
  <c r="E139" i="5"/>
  <c r="M293" i="12" l="1"/>
  <c r="F293" i="12"/>
  <c r="D293" i="12"/>
  <c r="C293" i="12"/>
  <c r="G292" i="14"/>
  <c r="F292" i="14"/>
  <c r="H140" i="5"/>
  <c r="F140" i="5"/>
  <c r="I138" i="6"/>
  <c r="C138" i="6"/>
  <c r="D138" i="6"/>
  <c r="C292" i="14"/>
  <c r="B292" i="14"/>
  <c r="O293" i="12"/>
  <c r="H293" i="12"/>
  <c r="J293" i="12"/>
  <c r="I293" i="12"/>
  <c r="G293" i="12"/>
  <c r="H292" i="14"/>
  <c r="E292" i="14"/>
  <c r="A293" i="14"/>
  <c r="D292" i="14"/>
  <c r="L293" i="12"/>
  <c r="A294" i="12"/>
  <c r="E293" i="12"/>
  <c r="K293" i="12"/>
  <c r="B293" i="12"/>
  <c r="E138" i="6"/>
  <c r="F138" i="6"/>
  <c r="H138" i="6"/>
  <c r="B138" i="6"/>
  <c r="J138" i="6"/>
  <c r="C199" i="10"/>
  <c r="G139" i="5"/>
  <c r="G199" i="10"/>
  <c r="B199" i="10"/>
  <c r="A200" i="10"/>
  <c r="D199" i="10"/>
  <c r="E199" i="10"/>
  <c r="B140" i="5"/>
  <c r="A139" i="6"/>
  <c r="G138" i="6"/>
  <c r="C140" i="5"/>
  <c r="D140" i="5"/>
  <c r="A141" i="5"/>
  <c r="E140" i="5"/>
  <c r="F294" i="12" l="1"/>
  <c r="D294" i="12"/>
  <c r="C294" i="12"/>
  <c r="M294" i="12"/>
  <c r="F293" i="14"/>
  <c r="G293" i="14"/>
  <c r="H141" i="5"/>
  <c r="F141" i="5"/>
  <c r="I139" i="6"/>
  <c r="D139" i="6"/>
  <c r="C139" i="6"/>
  <c r="C293" i="14"/>
  <c r="B293" i="14"/>
  <c r="O294" i="12"/>
  <c r="J294" i="12"/>
  <c r="I294" i="12"/>
  <c r="H294" i="12"/>
  <c r="G294" i="12"/>
  <c r="E293" i="14"/>
  <c r="H293" i="14"/>
  <c r="A294" i="14"/>
  <c r="D293" i="14"/>
  <c r="K294" i="12"/>
  <c r="L294" i="12"/>
  <c r="A295" i="12"/>
  <c r="E294" i="12"/>
  <c r="B294" i="12"/>
  <c r="F139" i="6"/>
  <c r="E139" i="6"/>
  <c r="B139" i="6"/>
  <c r="H139" i="6"/>
  <c r="J139" i="6"/>
  <c r="C200" i="10"/>
  <c r="G140" i="5"/>
  <c r="A201" i="10"/>
  <c r="D200" i="10"/>
  <c r="G200" i="10"/>
  <c r="E200" i="10"/>
  <c r="B200" i="10"/>
  <c r="B141" i="5"/>
  <c r="A140" i="6"/>
  <c r="G139" i="6"/>
  <c r="C141" i="5"/>
  <c r="A142" i="5"/>
  <c r="D141" i="5"/>
  <c r="E141" i="5"/>
  <c r="G294" i="14" l="1"/>
  <c r="F294" i="14"/>
  <c r="H142" i="5"/>
  <c r="F142" i="5"/>
  <c r="I140" i="6"/>
  <c r="D140" i="6"/>
  <c r="C140" i="6"/>
  <c r="M295" i="12"/>
  <c r="F295" i="12"/>
  <c r="D295" i="12"/>
  <c r="C295" i="12"/>
  <c r="C294" i="14"/>
  <c r="B294" i="14"/>
  <c r="O295" i="12"/>
  <c r="J295" i="12"/>
  <c r="I295" i="12"/>
  <c r="H295" i="12"/>
  <c r="G295" i="12"/>
  <c r="H294" i="14"/>
  <c r="E294" i="14"/>
  <c r="A295" i="14"/>
  <c r="D294" i="14"/>
  <c r="A296" i="12"/>
  <c r="K295" i="12"/>
  <c r="B295" i="12"/>
  <c r="L295" i="12"/>
  <c r="E295" i="12"/>
  <c r="F140" i="6"/>
  <c r="E140" i="6"/>
  <c r="B140" i="6"/>
  <c r="H140" i="6"/>
  <c r="J140" i="6"/>
  <c r="C201" i="10"/>
  <c r="G141" i="5"/>
  <c r="E201" i="10"/>
  <c r="A202" i="10"/>
  <c r="D201" i="10"/>
  <c r="B201" i="10"/>
  <c r="G201" i="10"/>
  <c r="B142" i="5"/>
  <c r="G140" i="6"/>
  <c r="A141" i="6"/>
  <c r="C142" i="5"/>
  <c r="A143" i="5"/>
  <c r="D142" i="5"/>
  <c r="E142" i="5" s="1"/>
  <c r="F296" i="12" l="1"/>
  <c r="D296" i="12"/>
  <c r="C296" i="12"/>
  <c r="M296" i="12"/>
  <c r="G295" i="14"/>
  <c r="F295" i="14"/>
  <c r="H143" i="5"/>
  <c r="F143" i="5"/>
  <c r="I141" i="6"/>
  <c r="D141" i="6"/>
  <c r="C141" i="6"/>
  <c r="C295" i="14"/>
  <c r="B295" i="14"/>
  <c r="O296" i="12"/>
  <c r="J296" i="12"/>
  <c r="I296" i="12"/>
  <c r="H296" i="12"/>
  <c r="G296" i="12"/>
  <c r="E295" i="14"/>
  <c r="H295" i="14"/>
  <c r="A296" i="14"/>
  <c r="D295" i="14"/>
  <c r="B296" i="12"/>
  <c r="A297" i="12"/>
  <c r="K296" i="12"/>
  <c r="E296" i="12"/>
  <c r="L296" i="12"/>
  <c r="F141" i="6"/>
  <c r="E141" i="6"/>
  <c r="H141" i="6"/>
  <c r="B141" i="6"/>
  <c r="J141" i="6"/>
  <c r="C202" i="10"/>
  <c r="G142" i="5"/>
  <c r="B202" i="10"/>
  <c r="E202" i="10"/>
  <c r="G202" i="10"/>
  <c r="D202" i="10"/>
  <c r="A203" i="10"/>
  <c r="B143" i="5"/>
  <c r="G141" i="6"/>
  <c r="A142" i="6"/>
  <c r="C143" i="5"/>
  <c r="A144" i="5"/>
  <c r="D143" i="5"/>
  <c r="E143" i="5" s="1"/>
  <c r="M297" i="12" l="1"/>
  <c r="F297" i="12"/>
  <c r="D297" i="12"/>
  <c r="C297" i="12"/>
  <c r="F296" i="14"/>
  <c r="G296" i="14"/>
  <c r="H144" i="5"/>
  <c r="F144" i="5"/>
  <c r="D142" i="6"/>
  <c r="C142" i="6"/>
  <c r="I142" i="6"/>
  <c r="C296" i="14"/>
  <c r="B296" i="14"/>
  <c r="O297" i="12"/>
  <c r="J297" i="12"/>
  <c r="H297" i="12"/>
  <c r="G297" i="12"/>
  <c r="I297" i="12"/>
  <c r="H296" i="14"/>
  <c r="E296" i="14"/>
  <c r="A297" i="14"/>
  <c r="D296" i="14"/>
  <c r="L297" i="12"/>
  <c r="A298" i="12"/>
  <c r="E297" i="12"/>
  <c r="K297" i="12"/>
  <c r="B297" i="12"/>
  <c r="F142" i="6"/>
  <c r="E142" i="6"/>
  <c r="H142" i="6"/>
  <c r="B142" i="6"/>
  <c r="J142" i="6"/>
  <c r="C203" i="10"/>
  <c r="G143" i="5"/>
  <c r="G203" i="10"/>
  <c r="B203" i="10"/>
  <c r="A204" i="10"/>
  <c r="D203" i="10"/>
  <c r="E203" i="10"/>
  <c r="B144" i="5"/>
  <c r="A143" i="6"/>
  <c r="G142" i="6"/>
  <c r="C144" i="5"/>
  <c r="A145" i="5"/>
  <c r="D144" i="5"/>
  <c r="E144" i="5" s="1"/>
  <c r="F298" i="12" l="1"/>
  <c r="D298" i="12"/>
  <c r="C298" i="12"/>
  <c r="M298" i="12"/>
  <c r="H145" i="5"/>
  <c r="F145" i="5"/>
  <c r="F297" i="14"/>
  <c r="G297" i="14"/>
  <c r="D143" i="6"/>
  <c r="I143" i="6"/>
  <c r="C143" i="6"/>
  <c r="C297" i="14"/>
  <c r="B297" i="14"/>
  <c r="O298" i="12"/>
  <c r="J298" i="12"/>
  <c r="I298" i="12"/>
  <c r="H298" i="12"/>
  <c r="G298" i="12"/>
  <c r="E297" i="14"/>
  <c r="H297" i="14"/>
  <c r="D297" i="14"/>
  <c r="A298" i="14"/>
  <c r="A299" i="12"/>
  <c r="K298" i="12"/>
  <c r="B298" i="12"/>
  <c r="L298" i="12"/>
  <c r="E298" i="12"/>
  <c r="F143" i="6"/>
  <c r="E143" i="6"/>
  <c r="B143" i="6"/>
  <c r="H143" i="6"/>
  <c r="J143" i="6"/>
  <c r="C204" i="10"/>
  <c r="G144" i="5"/>
  <c r="A205" i="10"/>
  <c r="D204" i="10"/>
  <c r="G204" i="10"/>
  <c r="E204" i="10"/>
  <c r="B204" i="10"/>
  <c r="B145" i="5"/>
  <c r="A144" i="6"/>
  <c r="G143" i="6"/>
  <c r="C145" i="5"/>
  <c r="A146" i="5"/>
  <c r="D145" i="5"/>
  <c r="E145" i="5" s="1"/>
  <c r="M299" i="12" l="1"/>
  <c r="F299" i="12"/>
  <c r="D299" i="12"/>
  <c r="C299" i="12"/>
  <c r="G298" i="14"/>
  <c r="F298" i="14"/>
  <c r="H146" i="5"/>
  <c r="F146" i="5"/>
  <c r="I144" i="6"/>
  <c r="D144" i="6"/>
  <c r="C144" i="6"/>
  <c r="C298" i="14"/>
  <c r="B298" i="14"/>
  <c r="O299" i="12"/>
  <c r="J299" i="12"/>
  <c r="I299" i="12"/>
  <c r="H299" i="12"/>
  <c r="G299" i="12"/>
  <c r="H298" i="14"/>
  <c r="E298" i="14"/>
  <c r="A299" i="14"/>
  <c r="D298" i="14"/>
  <c r="A300" i="12"/>
  <c r="E299" i="12"/>
  <c r="K299" i="12"/>
  <c r="B299" i="12"/>
  <c r="L299" i="12"/>
  <c r="F144" i="6"/>
  <c r="E144" i="6"/>
  <c r="B144" i="6"/>
  <c r="H144" i="6"/>
  <c r="J144" i="6"/>
  <c r="C205" i="10"/>
  <c r="G145" i="5"/>
  <c r="E205" i="10"/>
  <c r="A206" i="10"/>
  <c r="D205" i="10"/>
  <c r="B205" i="10"/>
  <c r="G205" i="10"/>
  <c r="B146" i="5"/>
  <c r="A145" i="6"/>
  <c r="G144" i="6"/>
  <c r="C146" i="5"/>
  <c r="D146" i="5"/>
  <c r="A147" i="5"/>
  <c r="E146" i="5"/>
  <c r="F300" i="12" l="1"/>
  <c r="D300" i="12"/>
  <c r="C300" i="12"/>
  <c r="M300" i="12"/>
  <c r="G299" i="14"/>
  <c r="F299" i="14"/>
  <c r="H147" i="5"/>
  <c r="F147" i="5"/>
  <c r="C145" i="6"/>
  <c r="I145" i="6"/>
  <c r="D145" i="6"/>
  <c r="C299" i="14"/>
  <c r="B299" i="14"/>
  <c r="O300" i="12"/>
  <c r="J300" i="12"/>
  <c r="I300" i="12"/>
  <c r="H300" i="12"/>
  <c r="G300" i="12"/>
  <c r="E299" i="14"/>
  <c r="H299" i="14"/>
  <c r="A300" i="14"/>
  <c r="D299" i="14"/>
  <c r="B300" i="12"/>
  <c r="A301" i="12"/>
  <c r="K300" i="12"/>
  <c r="E300" i="12"/>
  <c r="L300" i="12"/>
  <c r="F145" i="6"/>
  <c r="E145" i="6"/>
  <c r="H145" i="6"/>
  <c r="B145" i="6"/>
  <c r="J145" i="6"/>
  <c r="C206" i="10"/>
  <c r="G146" i="5"/>
  <c r="B206" i="10"/>
  <c r="E206" i="10"/>
  <c r="G206" i="10"/>
  <c r="A207" i="10"/>
  <c r="D206" i="10"/>
  <c r="B147" i="5"/>
  <c r="A146" i="6"/>
  <c r="G145" i="6"/>
  <c r="C147" i="5"/>
  <c r="A148" i="5"/>
  <c r="D147" i="5"/>
  <c r="E147" i="5"/>
  <c r="G300" i="14" l="1"/>
  <c r="F300" i="14"/>
  <c r="M301" i="12"/>
  <c r="F301" i="12"/>
  <c r="D301" i="12"/>
  <c r="C301" i="12"/>
  <c r="H148" i="5"/>
  <c r="F148" i="5"/>
  <c r="I146" i="6"/>
  <c r="C146" i="6"/>
  <c r="D146" i="6"/>
  <c r="C300" i="14"/>
  <c r="B300" i="14"/>
  <c r="O301" i="12"/>
  <c r="H301" i="12"/>
  <c r="G301" i="12"/>
  <c r="I301" i="12"/>
  <c r="J301" i="12"/>
  <c r="H300" i="14"/>
  <c r="E300" i="14"/>
  <c r="A301" i="14"/>
  <c r="D300" i="14"/>
  <c r="L301" i="12"/>
  <c r="A302" i="12"/>
  <c r="E301" i="12"/>
  <c r="K301" i="12"/>
  <c r="B301" i="12"/>
  <c r="E146" i="6"/>
  <c r="F146" i="6"/>
  <c r="H146" i="6"/>
  <c r="B146" i="6"/>
  <c r="J146" i="6"/>
  <c r="C207" i="10"/>
  <c r="G147" i="5"/>
  <c r="G207" i="10"/>
  <c r="B207" i="10"/>
  <c r="A208" i="10"/>
  <c r="D207" i="10"/>
  <c r="E207" i="10"/>
  <c r="B148" i="5"/>
  <c r="A147" i="6"/>
  <c r="G146" i="6"/>
  <c r="C148" i="5"/>
  <c r="A149" i="5"/>
  <c r="D148" i="5"/>
  <c r="E148" i="5" s="1"/>
  <c r="F302" i="12" l="1"/>
  <c r="D302" i="12"/>
  <c r="C302" i="12"/>
  <c r="M302" i="12"/>
  <c r="F301" i="14"/>
  <c r="G301" i="14"/>
  <c r="H149" i="5"/>
  <c r="F149" i="5"/>
  <c r="I147" i="6"/>
  <c r="D147" i="6"/>
  <c r="C147" i="6"/>
  <c r="C301" i="14"/>
  <c r="B301" i="14"/>
  <c r="O302" i="12"/>
  <c r="I302" i="12"/>
  <c r="G302" i="12"/>
  <c r="J302" i="12"/>
  <c r="H302" i="12"/>
  <c r="E301" i="14"/>
  <c r="H301" i="14"/>
  <c r="A302" i="14"/>
  <c r="D301" i="14"/>
  <c r="E302" i="12"/>
  <c r="K302" i="12"/>
  <c r="B302" i="12"/>
  <c r="L302" i="12"/>
  <c r="A303" i="12"/>
  <c r="F147" i="6"/>
  <c r="E147" i="6"/>
  <c r="B147" i="6"/>
  <c r="H147" i="6"/>
  <c r="J147" i="6"/>
  <c r="C208" i="10"/>
  <c r="G148" i="5"/>
  <c r="A209" i="10"/>
  <c r="D208" i="10"/>
  <c r="G208" i="10"/>
  <c r="E208" i="10"/>
  <c r="B208" i="10"/>
  <c r="B149" i="5"/>
  <c r="A148" i="6"/>
  <c r="G147" i="6"/>
  <c r="C149" i="5"/>
  <c r="A150" i="5"/>
  <c r="D149" i="5"/>
  <c r="E149" i="5" s="1"/>
  <c r="H150" i="5" l="1"/>
  <c r="F150" i="5"/>
  <c r="G302" i="14"/>
  <c r="F302" i="14"/>
  <c r="M303" i="12"/>
  <c r="F303" i="12"/>
  <c r="D303" i="12"/>
  <c r="C303" i="12"/>
  <c r="I148" i="6"/>
  <c r="D148" i="6"/>
  <c r="C148" i="6"/>
  <c r="C302" i="14"/>
  <c r="B302" i="14"/>
  <c r="J303" i="12"/>
  <c r="O303" i="12"/>
  <c r="I303" i="12"/>
  <c r="G303" i="12"/>
  <c r="H303" i="12"/>
  <c r="H302" i="14"/>
  <c r="E302" i="14"/>
  <c r="A303" i="14"/>
  <c r="D302" i="14"/>
  <c r="A304" i="12"/>
  <c r="K303" i="12"/>
  <c r="B303" i="12"/>
  <c r="L303" i="12"/>
  <c r="E303" i="12"/>
  <c r="F148" i="6"/>
  <c r="E148" i="6"/>
  <c r="B148" i="6"/>
  <c r="H148" i="6"/>
  <c r="J148" i="6"/>
  <c r="C209" i="10"/>
  <c r="G149" i="5"/>
  <c r="E209" i="10"/>
  <c r="A210" i="10"/>
  <c r="D209" i="10"/>
  <c r="B209" i="10"/>
  <c r="G209" i="10"/>
  <c r="B150" i="5"/>
  <c r="A149" i="6"/>
  <c r="G148" i="6"/>
  <c r="C150" i="5"/>
  <c r="A151" i="5"/>
  <c r="D150" i="5"/>
  <c r="E150" i="5" s="1"/>
  <c r="F304" i="12" l="1"/>
  <c r="D304" i="12"/>
  <c r="C304" i="12"/>
  <c r="M304" i="12"/>
  <c r="H151" i="5"/>
  <c r="F151" i="5"/>
  <c r="G303" i="14"/>
  <c r="F303" i="14"/>
  <c r="I149" i="6"/>
  <c r="D149" i="6"/>
  <c r="C149" i="6"/>
  <c r="C303" i="14"/>
  <c r="B303" i="14"/>
  <c r="O304" i="12"/>
  <c r="J304" i="12"/>
  <c r="I304" i="12"/>
  <c r="H304" i="12"/>
  <c r="G304" i="12"/>
  <c r="E303" i="14"/>
  <c r="H303" i="14"/>
  <c r="A304" i="14"/>
  <c r="D303" i="14"/>
  <c r="B304" i="12"/>
  <c r="A305" i="12"/>
  <c r="E304" i="12"/>
  <c r="L304" i="12"/>
  <c r="K304" i="12"/>
  <c r="F149" i="6"/>
  <c r="E149" i="6"/>
  <c r="H149" i="6"/>
  <c r="B149" i="6"/>
  <c r="J149" i="6"/>
  <c r="C210" i="10"/>
  <c r="G150" i="5"/>
  <c r="B210" i="10"/>
  <c r="E210" i="10"/>
  <c r="G210" i="10"/>
  <c r="A211" i="10"/>
  <c r="D210" i="10"/>
  <c r="B151" i="5"/>
  <c r="G149" i="6"/>
  <c r="A150" i="6"/>
  <c r="C151" i="5"/>
  <c r="A152" i="5"/>
  <c r="D151" i="5"/>
  <c r="E151" i="5"/>
  <c r="M305" i="12" l="1"/>
  <c r="F305" i="12"/>
  <c r="D305" i="12"/>
  <c r="C305" i="12"/>
  <c r="G304" i="14"/>
  <c r="F304" i="14"/>
  <c r="D150" i="6"/>
  <c r="C150" i="6"/>
  <c r="I150" i="6"/>
  <c r="H152" i="5"/>
  <c r="F152" i="5"/>
  <c r="C304" i="14"/>
  <c r="B304" i="14"/>
  <c r="O305" i="12"/>
  <c r="J305" i="12"/>
  <c r="H305" i="12"/>
  <c r="G305" i="12"/>
  <c r="I305" i="12"/>
  <c r="H304" i="14"/>
  <c r="E304" i="14"/>
  <c r="A305" i="14"/>
  <c r="D304" i="14"/>
  <c r="L305" i="12"/>
  <c r="E305" i="12"/>
  <c r="K305" i="12"/>
  <c r="A306" i="12"/>
  <c r="B305" i="12"/>
  <c r="F150" i="6"/>
  <c r="E150" i="6"/>
  <c r="H150" i="6"/>
  <c r="B150" i="6"/>
  <c r="J150" i="6"/>
  <c r="C211" i="10"/>
  <c r="G151" i="5"/>
  <c r="G211" i="10"/>
  <c r="B211" i="10"/>
  <c r="A212" i="10"/>
  <c r="D211" i="10"/>
  <c r="E211" i="10"/>
  <c r="B152" i="5"/>
  <c r="A151" i="6"/>
  <c r="G150" i="6"/>
  <c r="C152" i="5"/>
  <c r="A153" i="5"/>
  <c r="D152" i="5"/>
  <c r="E152" i="5" s="1"/>
  <c r="F305" i="14" l="1"/>
  <c r="G305" i="14"/>
  <c r="H153" i="5"/>
  <c r="F153" i="5"/>
  <c r="F306" i="12"/>
  <c r="D306" i="12"/>
  <c r="C306" i="12"/>
  <c r="M306" i="12"/>
  <c r="D151" i="6"/>
  <c r="C151" i="6"/>
  <c r="I151" i="6"/>
  <c r="C305" i="14"/>
  <c r="B305" i="14"/>
  <c r="O306" i="12"/>
  <c r="J306" i="12"/>
  <c r="I306" i="12"/>
  <c r="H306" i="12"/>
  <c r="G306" i="12"/>
  <c r="E305" i="14"/>
  <c r="H305" i="14"/>
  <c r="D305" i="14"/>
  <c r="A306" i="14"/>
  <c r="B306" i="12"/>
  <c r="A307" i="12"/>
  <c r="K306" i="12"/>
  <c r="L306" i="12"/>
  <c r="E306" i="12"/>
  <c r="F151" i="6"/>
  <c r="E151" i="6"/>
  <c r="B151" i="6"/>
  <c r="H151" i="6"/>
  <c r="J151" i="6"/>
  <c r="C212" i="10"/>
  <c r="G152" i="5"/>
  <c r="A213" i="10"/>
  <c r="D212" i="10"/>
  <c r="G212" i="10"/>
  <c r="E212" i="10"/>
  <c r="B212" i="10"/>
  <c r="B153" i="5"/>
  <c r="A152" i="6"/>
  <c r="G151" i="6"/>
  <c r="C153" i="5"/>
  <c r="D153" i="5"/>
  <c r="A154" i="5"/>
  <c r="E153" i="5"/>
  <c r="M307" i="12" l="1"/>
  <c r="F307" i="12"/>
  <c r="D307" i="12"/>
  <c r="C307" i="12"/>
  <c r="G306" i="14"/>
  <c r="F306" i="14"/>
  <c r="H154" i="5"/>
  <c r="F154" i="5"/>
  <c r="I152" i="6"/>
  <c r="D152" i="6"/>
  <c r="C152" i="6"/>
  <c r="C306" i="14"/>
  <c r="B306" i="14"/>
  <c r="O307" i="12"/>
  <c r="J307" i="12"/>
  <c r="I307" i="12"/>
  <c r="H307" i="12"/>
  <c r="G307" i="12"/>
  <c r="H306" i="14"/>
  <c r="E306" i="14"/>
  <c r="A307" i="14"/>
  <c r="D306" i="14"/>
  <c r="A308" i="12"/>
  <c r="B307" i="12"/>
  <c r="L307" i="12"/>
  <c r="E307" i="12"/>
  <c r="K307" i="12"/>
  <c r="F152" i="6"/>
  <c r="E152" i="6"/>
  <c r="B152" i="6"/>
  <c r="H152" i="6"/>
  <c r="J152" i="6"/>
  <c r="C213" i="10"/>
  <c r="G153" i="5"/>
  <c r="E213" i="10"/>
  <c r="A214" i="10"/>
  <c r="D213" i="10"/>
  <c r="B213" i="10"/>
  <c r="G213" i="10"/>
  <c r="B154" i="5"/>
  <c r="G152" i="6"/>
  <c r="A153" i="6"/>
  <c r="C154" i="5"/>
  <c r="A155" i="5"/>
  <c r="D154" i="5"/>
  <c r="E154" i="5" s="1"/>
  <c r="F308" i="12" l="1"/>
  <c r="D308" i="12"/>
  <c r="C308" i="12"/>
  <c r="M308" i="12"/>
  <c r="F307" i="14"/>
  <c r="G307" i="14"/>
  <c r="H155" i="5"/>
  <c r="F155" i="5"/>
  <c r="C153" i="6"/>
  <c r="I153" i="6"/>
  <c r="D153" i="6"/>
  <c r="C307" i="14"/>
  <c r="B307" i="14"/>
  <c r="O308" i="12"/>
  <c r="J308" i="12"/>
  <c r="I308" i="12"/>
  <c r="H308" i="12"/>
  <c r="G308" i="12"/>
  <c r="E307" i="14"/>
  <c r="H307" i="14"/>
  <c r="A308" i="14"/>
  <c r="D307" i="14"/>
  <c r="B308" i="12"/>
  <c r="A309" i="12"/>
  <c r="K308" i="12"/>
  <c r="E308" i="12"/>
  <c r="L308" i="12"/>
  <c r="F153" i="6"/>
  <c r="E153" i="6"/>
  <c r="H153" i="6"/>
  <c r="B153" i="6"/>
  <c r="J153" i="6"/>
  <c r="C214" i="10"/>
  <c r="G154" i="5"/>
  <c r="B214" i="10"/>
  <c r="E214" i="10"/>
  <c r="G214" i="10"/>
  <c r="D214" i="10"/>
  <c r="A215" i="10"/>
  <c r="B155" i="5"/>
  <c r="A154" i="6"/>
  <c r="G153" i="6"/>
  <c r="C155" i="5"/>
  <c r="A156" i="5"/>
  <c r="D155" i="5"/>
  <c r="E155" i="5" s="1"/>
  <c r="M309" i="12" l="1"/>
  <c r="F309" i="12"/>
  <c r="D309" i="12"/>
  <c r="C309" i="12"/>
  <c r="G308" i="14"/>
  <c r="F308" i="14"/>
  <c r="H156" i="5"/>
  <c r="F156" i="5"/>
  <c r="I154" i="6"/>
  <c r="C154" i="6"/>
  <c r="D154" i="6"/>
  <c r="C308" i="14"/>
  <c r="B308" i="14"/>
  <c r="O309" i="12"/>
  <c r="H309" i="12"/>
  <c r="G309" i="12"/>
  <c r="J309" i="12"/>
  <c r="I309" i="12"/>
  <c r="H308" i="14"/>
  <c r="E308" i="14"/>
  <c r="A309" i="14"/>
  <c r="D308" i="14"/>
  <c r="L309" i="12"/>
  <c r="B309" i="12"/>
  <c r="A310" i="12"/>
  <c r="E309" i="12"/>
  <c r="K309" i="12"/>
  <c r="F154" i="6"/>
  <c r="E154" i="6"/>
  <c r="H154" i="6"/>
  <c r="B154" i="6"/>
  <c r="J154" i="6"/>
  <c r="C215" i="10"/>
  <c r="G155" i="5"/>
  <c r="G215" i="10"/>
  <c r="B215" i="10"/>
  <c r="A216" i="10"/>
  <c r="D215" i="10"/>
  <c r="E215" i="10"/>
  <c r="B156" i="5"/>
  <c r="A155" i="6"/>
  <c r="G154" i="6"/>
  <c r="C156" i="5"/>
  <c r="D156" i="5"/>
  <c r="A157" i="5"/>
  <c r="E156" i="5"/>
  <c r="H157" i="5" l="1"/>
  <c r="F157" i="5"/>
  <c r="F309" i="14"/>
  <c r="G309" i="14"/>
  <c r="I155" i="6"/>
  <c r="D155" i="6"/>
  <c r="C155" i="6"/>
  <c r="F310" i="12"/>
  <c r="D310" i="12"/>
  <c r="C310" i="12"/>
  <c r="M310" i="12"/>
  <c r="C309" i="14"/>
  <c r="B309" i="14"/>
  <c r="O310" i="12"/>
  <c r="J310" i="12"/>
  <c r="I310" i="12"/>
  <c r="G310" i="12"/>
  <c r="H310" i="12"/>
  <c r="E309" i="14"/>
  <c r="H309" i="14"/>
  <c r="A310" i="14"/>
  <c r="D309" i="14"/>
  <c r="K310" i="12"/>
  <c r="L310" i="12"/>
  <c r="A311" i="12"/>
  <c r="E310" i="12"/>
  <c r="B310" i="12"/>
  <c r="F155" i="6"/>
  <c r="E155" i="6"/>
  <c r="B155" i="6"/>
  <c r="H155" i="6"/>
  <c r="J155" i="6"/>
  <c r="C216" i="10"/>
  <c r="G156" i="5"/>
  <c r="A217" i="10"/>
  <c r="D216" i="10"/>
  <c r="G216" i="10"/>
  <c r="E216" i="10"/>
  <c r="B216" i="10"/>
  <c r="B157" i="5"/>
  <c r="A156" i="6"/>
  <c r="G155" i="6"/>
  <c r="C157" i="5"/>
  <c r="A158" i="5"/>
  <c r="D157" i="5"/>
  <c r="E157" i="5" s="1"/>
  <c r="G310" i="14" l="1"/>
  <c r="F310" i="14"/>
  <c r="H158" i="5"/>
  <c r="F158" i="5"/>
  <c r="I156" i="6"/>
  <c r="D156" i="6"/>
  <c r="C156" i="6"/>
  <c r="M311" i="12"/>
  <c r="F311" i="12"/>
  <c r="D311" i="12"/>
  <c r="C311" i="12"/>
  <c r="C310" i="14"/>
  <c r="B310" i="14"/>
  <c r="O311" i="12"/>
  <c r="J311" i="12"/>
  <c r="I311" i="12"/>
  <c r="H311" i="12"/>
  <c r="G311" i="12"/>
  <c r="H310" i="14"/>
  <c r="E310" i="14"/>
  <c r="A311" i="14"/>
  <c r="D310" i="14"/>
  <c r="K311" i="12"/>
  <c r="B311" i="12"/>
  <c r="L311" i="12"/>
  <c r="A312" i="12"/>
  <c r="E311" i="12"/>
  <c r="F156" i="6"/>
  <c r="E156" i="6"/>
  <c r="B156" i="6"/>
  <c r="H156" i="6"/>
  <c r="J156" i="6"/>
  <c r="C217" i="10"/>
  <c r="G157" i="5"/>
  <c r="E217" i="10"/>
  <c r="A218" i="10"/>
  <c r="D217" i="10"/>
  <c r="B217" i="10"/>
  <c r="G217" i="10"/>
  <c r="B158" i="5"/>
  <c r="A157" i="6"/>
  <c r="G156" i="6"/>
  <c r="C158" i="5"/>
  <c r="D158" i="5"/>
  <c r="A159" i="5"/>
  <c r="E158" i="5"/>
  <c r="F311" i="14" l="1"/>
  <c r="G311" i="14"/>
  <c r="F312" i="12"/>
  <c r="D312" i="12"/>
  <c r="C312" i="12"/>
  <c r="M312" i="12"/>
  <c r="H159" i="5"/>
  <c r="F159" i="5"/>
  <c r="I157" i="6"/>
  <c r="D157" i="6"/>
  <c r="C157" i="6"/>
  <c r="C311" i="14"/>
  <c r="B311" i="14"/>
  <c r="O312" i="12"/>
  <c r="J312" i="12"/>
  <c r="I312" i="12"/>
  <c r="H312" i="12"/>
  <c r="G312" i="12"/>
  <c r="E311" i="14"/>
  <c r="H311" i="14"/>
  <c r="A312" i="14"/>
  <c r="D311" i="14"/>
  <c r="B312" i="12"/>
  <c r="K312" i="12"/>
  <c r="A313" i="12"/>
  <c r="L312" i="12"/>
  <c r="E312" i="12"/>
  <c r="F157" i="6"/>
  <c r="E157" i="6"/>
  <c r="H157" i="6"/>
  <c r="B157" i="6"/>
  <c r="J157" i="6"/>
  <c r="C218" i="10"/>
  <c r="G158" i="5"/>
  <c r="B218" i="10"/>
  <c r="E218" i="10"/>
  <c r="G218" i="10"/>
  <c r="D218" i="10"/>
  <c r="A219" i="10"/>
  <c r="B159" i="5"/>
  <c r="G157" i="6"/>
  <c r="A158" i="6"/>
  <c r="C159" i="5"/>
  <c r="A160" i="5"/>
  <c r="D159" i="5"/>
  <c r="E159" i="5"/>
  <c r="G312" i="14" l="1"/>
  <c r="F312" i="14"/>
  <c r="H160" i="5"/>
  <c r="F160" i="5"/>
  <c r="D158" i="6"/>
  <c r="C158" i="6"/>
  <c r="I158" i="6"/>
  <c r="M313" i="12"/>
  <c r="F313" i="12"/>
  <c r="D313" i="12"/>
  <c r="C313" i="12"/>
  <c r="C312" i="14"/>
  <c r="B312" i="14"/>
  <c r="O313" i="12"/>
  <c r="J313" i="12"/>
  <c r="H313" i="12"/>
  <c r="G313" i="12"/>
  <c r="I313" i="12"/>
  <c r="H312" i="14"/>
  <c r="E312" i="14"/>
  <c r="A313" i="14"/>
  <c r="D312" i="14"/>
  <c r="L313" i="12"/>
  <c r="K313" i="12"/>
  <c r="A314" i="12"/>
  <c r="E313" i="12"/>
  <c r="B313" i="12"/>
  <c r="F158" i="6"/>
  <c r="E158" i="6"/>
  <c r="H158" i="6"/>
  <c r="B158" i="6"/>
  <c r="J158" i="6"/>
  <c r="C219" i="10"/>
  <c r="G159" i="5"/>
  <c r="G219" i="10"/>
  <c r="B219" i="10"/>
  <c r="A220" i="10"/>
  <c r="D219" i="10"/>
  <c r="E219" i="10"/>
  <c r="B160" i="5"/>
  <c r="A159" i="6"/>
  <c r="G158" i="6"/>
  <c r="C160" i="5"/>
  <c r="A161" i="5"/>
  <c r="D160" i="5"/>
  <c r="E160" i="5" s="1"/>
  <c r="G313" i="14" l="1"/>
  <c r="F313" i="14"/>
  <c r="H161" i="5"/>
  <c r="F161" i="5"/>
  <c r="D159" i="6"/>
  <c r="I159" i="6"/>
  <c r="C159" i="6"/>
  <c r="F314" i="12"/>
  <c r="D314" i="12"/>
  <c r="C314" i="12"/>
  <c r="M314" i="12"/>
  <c r="C313" i="14"/>
  <c r="B313" i="14"/>
  <c r="O314" i="12"/>
  <c r="J314" i="12"/>
  <c r="I314" i="12"/>
  <c r="G314" i="12"/>
  <c r="H314" i="12"/>
  <c r="E313" i="14"/>
  <c r="H313" i="14"/>
  <c r="D313" i="14"/>
  <c r="A314" i="14"/>
  <c r="A315" i="12"/>
  <c r="K314" i="12"/>
  <c r="E314" i="12"/>
  <c r="B314" i="12"/>
  <c r="L314" i="12"/>
  <c r="F159" i="6"/>
  <c r="E159" i="6"/>
  <c r="B159" i="6"/>
  <c r="H159" i="6"/>
  <c r="J159" i="6"/>
  <c r="C220" i="10"/>
  <c r="G160" i="5"/>
  <c r="A221" i="10"/>
  <c r="D220" i="10"/>
  <c r="G220" i="10"/>
  <c r="E220" i="10"/>
  <c r="B220" i="10"/>
  <c r="B161" i="5"/>
  <c r="A160" i="6"/>
  <c r="G159" i="6"/>
  <c r="C161" i="5"/>
  <c r="A162" i="5"/>
  <c r="D161" i="5"/>
  <c r="E161" i="5" s="1"/>
  <c r="G314" i="14" l="1"/>
  <c r="F314" i="14"/>
  <c r="H162" i="5"/>
  <c r="F162" i="5"/>
  <c r="M315" i="12"/>
  <c r="F315" i="12"/>
  <c r="D315" i="12"/>
  <c r="C315" i="12"/>
  <c r="I160" i="6"/>
  <c r="D160" i="6"/>
  <c r="C160" i="6"/>
  <c r="C314" i="14"/>
  <c r="B314" i="14"/>
  <c r="O315" i="12"/>
  <c r="J315" i="12"/>
  <c r="I315" i="12"/>
  <c r="H315" i="12"/>
  <c r="G315" i="12"/>
  <c r="H314" i="14"/>
  <c r="E314" i="14"/>
  <c r="A315" i="14"/>
  <c r="D314" i="14"/>
  <c r="B315" i="12"/>
  <c r="A316" i="12"/>
  <c r="E315" i="12"/>
  <c r="K315" i="12"/>
  <c r="L315" i="12"/>
  <c r="F160" i="6"/>
  <c r="E160" i="6"/>
  <c r="B160" i="6"/>
  <c r="H160" i="6"/>
  <c r="J160" i="6"/>
  <c r="C221" i="10"/>
  <c r="G161" i="5"/>
  <c r="E221" i="10"/>
  <c r="A222" i="10"/>
  <c r="D221" i="10"/>
  <c r="B221" i="10"/>
  <c r="G221" i="10"/>
  <c r="B162" i="5"/>
  <c r="G160" i="6"/>
  <c r="A161" i="6"/>
  <c r="C162" i="5"/>
  <c r="A163" i="5"/>
  <c r="D162" i="5"/>
  <c r="E162" i="5" s="1"/>
  <c r="F316" i="12" l="1"/>
  <c r="D316" i="12"/>
  <c r="C316" i="12"/>
  <c r="M316" i="12"/>
  <c r="H163" i="5"/>
  <c r="F163" i="5"/>
  <c r="F315" i="14"/>
  <c r="G315" i="14"/>
  <c r="C161" i="6"/>
  <c r="I161" i="6"/>
  <c r="D161" i="6"/>
  <c r="C315" i="14"/>
  <c r="B315" i="14"/>
  <c r="O316" i="12"/>
  <c r="J316" i="12"/>
  <c r="I316" i="12"/>
  <c r="H316" i="12"/>
  <c r="G316" i="12"/>
  <c r="E315" i="14"/>
  <c r="H315" i="14"/>
  <c r="A316" i="14"/>
  <c r="D315" i="14"/>
  <c r="B316" i="12"/>
  <c r="A317" i="12"/>
  <c r="K316" i="12"/>
  <c r="L316" i="12"/>
  <c r="E316" i="12"/>
  <c r="F161" i="6"/>
  <c r="E161" i="6"/>
  <c r="H161" i="6"/>
  <c r="B161" i="6"/>
  <c r="J161" i="6"/>
  <c r="C222" i="10"/>
  <c r="G162" i="5"/>
  <c r="B222" i="10"/>
  <c r="E222" i="10"/>
  <c r="G222" i="10"/>
  <c r="A223" i="10"/>
  <c r="D222" i="10"/>
  <c r="B163" i="5"/>
  <c r="A162" i="6"/>
  <c r="G161" i="6"/>
  <c r="C163" i="5"/>
  <c r="A164" i="5"/>
  <c r="D163" i="5"/>
  <c r="E163" i="5"/>
  <c r="G316" i="14" l="1"/>
  <c r="F316" i="14"/>
  <c r="M317" i="12"/>
  <c r="F317" i="12"/>
  <c r="D317" i="12"/>
  <c r="C317" i="12"/>
  <c r="H164" i="5"/>
  <c r="F164" i="5"/>
  <c r="I162" i="6"/>
  <c r="C162" i="6"/>
  <c r="D162" i="6"/>
  <c r="C316" i="14"/>
  <c r="B316" i="14"/>
  <c r="O317" i="12"/>
  <c r="H317" i="12"/>
  <c r="G317" i="12"/>
  <c r="I317" i="12"/>
  <c r="J317" i="12"/>
  <c r="H316" i="14"/>
  <c r="E316" i="14"/>
  <c r="A317" i="14"/>
  <c r="D316" i="14"/>
  <c r="L317" i="12"/>
  <c r="A318" i="12"/>
  <c r="E317" i="12"/>
  <c r="B317" i="12"/>
  <c r="K317" i="12"/>
  <c r="F162" i="6"/>
  <c r="E162" i="6"/>
  <c r="H162" i="6"/>
  <c r="B162" i="6"/>
  <c r="J162" i="6"/>
  <c r="C223" i="10"/>
  <c r="G163" i="5"/>
  <c r="G223" i="10"/>
  <c r="B223" i="10"/>
  <c r="A224" i="10"/>
  <c r="D223" i="10"/>
  <c r="E223" i="10"/>
  <c r="B164" i="5"/>
  <c r="A163" i="6"/>
  <c r="G162" i="6"/>
  <c r="C164" i="5"/>
  <c r="D164" i="5"/>
  <c r="A165" i="5"/>
  <c r="E164" i="5"/>
  <c r="F318" i="12" l="1"/>
  <c r="D318" i="12"/>
  <c r="C318" i="12"/>
  <c r="M318" i="12"/>
  <c r="G317" i="14"/>
  <c r="F317" i="14"/>
  <c r="H165" i="5"/>
  <c r="F165" i="5"/>
  <c r="I163" i="6"/>
  <c r="D163" i="6"/>
  <c r="C163" i="6"/>
  <c r="C317" i="14"/>
  <c r="B317" i="14"/>
  <c r="I318" i="12"/>
  <c r="J318" i="12"/>
  <c r="G318" i="12"/>
  <c r="O318" i="12"/>
  <c r="H318" i="12"/>
  <c r="E317" i="14"/>
  <c r="H317" i="14"/>
  <c r="A318" i="14"/>
  <c r="D317" i="14"/>
  <c r="B318" i="12"/>
  <c r="K318" i="12"/>
  <c r="E318" i="12"/>
  <c r="L318" i="12"/>
  <c r="A319" i="12"/>
  <c r="F163" i="6"/>
  <c r="E163" i="6"/>
  <c r="B163" i="6"/>
  <c r="H163" i="6"/>
  <c r="J163" i="6"/>
  <c r="C224" i="10"/>
  <c r="G164" i="5"/>
  <c r="A225" i="10"/>
  <c r="D224" i="10"/>
  <c r="G224" i="10"/>
  <c r="E224" i="10"/>
  <c r="B224" i="10"/>
  <c r="B165" i="5"/>
  <c r="A164" i="6"/>
  <c r="G163" i="6"/>
  <c r="C165" i="5"/>
  <c r="A166" i="5"/>
  <c r="E165" i="5"/>
  <c r="D165" i="5"/>
  <c r="F318" i="14" l="1"/>
  <c r="G318" i="14"/>
  <c r="H166" i="5"/>
  <c r="F166" i="5"/>
  <c r="M319" i="12"/>
  <c r="F319" i="12"/>
  <c r="D319" i="12"/>
  <c r="C319" i="12"/>
  <c r="I164" i="6"/>
  <c r="D164" i="6"/>
  <c r="C164" i="6"/>
  <c r="C318" i="14"/>
  <c r="B318" i="14"/>
  <c r="J319" i="12"/>
  <c r="I319" i="12"/>
  <c r="O319" i="12"/>
  <c r="G319" i="12"/>
  <c r="H319" i="12"/>
  <c r="H318" i="14"/>
  <c r="E318" i="14"/>
  <c r="A319" i="14"/>
  <c r="D318" i="14"/>
  <c r="A320" i="12"/>
  <c r="K319" i="12"/>
  <c r="L319" i="12"/>
  <c r="E319" i="12"/>
  <c r="B319" i="12"/>
  <c r="F164" i="6"/>
  <c r="E164" i="6"/>
  <c r="B164" i="6"/>
  <c r="H164" i="6"/>
  <c r="J164" i="6"/>
  <c r="C225" i="10"/>
  <c r="G165" i="5"/>
  <c r="E225" i="10"/>
  <c r="A226" i="10"/>
  <c r="D225" i="10"/>
  <c r="B225" i="10"/>
  <c r="G225" i="10"/>
  <c r="B166" i="5"/>
  <c r="A165" i="6"/>
  <c r="G164" i="6"/>
  <c r="C166" i="5"/>
  <c r="D166" i="5"/>
  <c r="A167" i="5"/>
  <c r="E166" i="5"/>
  <c r="F320" i="12" l="1"/>
  <c r="D320" i="12"/>
  <c r="C320" i="12"/>
  <c r="M320" i="12"/>
  <c r="F319" i="14"/>
  <c r="G319" i="14"/>
  <c r="H167" i="5"/>
  <c r="F167" i="5"/>
  <c r="I165" i="6"/>
  <c r="D165" i="6"/>
  <c r="C165" i="6"/>
  <c r="C319" i="14"/>
  <c r="B319" i="14"/>
  <c r="O320" i="12"/>
  <c r="J320" i="12"/>
  <c r="I320" i="12"/>
  <c r="H320" i="12"/>
  <c r="G320" i="12"/>
  <c r="E319" i="14"/>
  <c r="H319" i="14"/>
  <c r="A320" i="14"/>
  <c r="D319" i="14"/>
  <c r="A321" i="12"/>
  <c r="K320" i="12"/>
  <c r="E320" i="12"/>
  <c r="L320" i="12"/>
  <c r="B320" i="12"/>
  <c r="F165" i="6"/>
  <c r="E165" i="6"/>
  <c r="H165" i="6"/>
  <c r="B165" i="6"/>
  <c r="J165" i="6"/>
  <c r="C226" i="10"/>
  <c r="G166" i="5"/>
  <c r="B226" i="10"/>
  <c r="E226" i="10"/>
  <c r="G226" i="10"/>
  <c r="A227" i="10"/>
  <c r="D226" i="10"/>
  <c r="B167" i="5"/>
  <c r="G165" i="6"/>
  <c r="A166" i="6"/>
  <c r="C167" i="5"/>
  <c r="A168" i="5"/>
  <c r="D167" i="5"/>
  <c r="E167" i="5" s="1"/>
  <c r="F320" i="14" l="1"/>
  <c r="G320" i="14"/>
  <c r="H168" i="5"/>
  <c r="F168" i="5"/>
  <c r="M321" i="12"/>
  <c r="F321" i="12"/>
  <c r="D321" i="12"/>
  <c r="C321" i="12"/>
  <c r="D166" i="6"/>
  <c r="C166" i="6"/>
  <c r="I166" i="6"/>
  <c r="C320" i="14"/>
  <c r="B320" i="14"/>
  <c r="O321" i="12"/>
  <c r="J321" i="12"/>
  <c r="H321" i="12"/>
  <c r="G321" i="12"/>
  <c r="I321" i="12"/>
  <c r="H320" i="14"/>
  <c r="E320" i="14"/>
  <c r="A321" i="14"/>
  <c r="D320" i="14"/>
  <c r="L321" i="12"/>
  <c r="A322" i="12"/>
  <c r="E321" i="12"/>
  <c r="K321" i="12"/>
  <c r="B321" i="12"/>
  <c r="F166" i="6"/>
  <c r="E166" i="6"/>
  <c r="H166" i="6"/>
  <c r="B166" i="6"/>
  <c r="J166" i="6"/>
  <c r="C227" i="10"/>
  <c r="G167" i="5"/>
  <c r="G227" i="10"/>
  <c r="B227" i="10"/>
  <c r="A228" i="10"/>
  <c r="D227" i="10"/>
  <c r="E227" i="10"/>
  <c r="B168" i="5"/>
  <c r="A167" i="6"/>
  <c r="G166" i="6"/>
  <c r="C168" i="5"/>
  <c r="A169" i="5"/>
  <c r="D168" i="5"/>
  <c r="E168" i="5" s="1"/>
  <c r="G321" i="14" l="1"/>
  <c r="F321" i="14"/>
  <c r="H169" i="5"/>
  <c r="F169" i="5"/>
  <c r="F322" i="12"/>
  <c r="D322" i="12"/>
  <c r="C322" i="12"/>
  <c r="M322" i="12"/>
  <c r="D167" i="6"/>
  <c r="I167" i="6"/>
  <c r="C167" i="6"/>
  <c r="C321" i="14"/>
  <c r="B321" i="14"/>
  <c r="O322" i="12"/>
  <c r="J322" i="12"/>
  <c r="H322" i="12"/>
  <c r="G322" i="12"/>
  <c r="I322" i="12"/>
  <c r="E321" i="14"/>
  <c r="H321" i="14"/>
  <c r="D321" i="14"/>
  <c r="A322" i="14"/>
  <c r="A323" i="12"/>
  <c r="E322" i="12"/>
  <c r="B322" i="12"/>
  <c r="K322" i="12"/>
  <c r="L322" i="12"/>
  <c r="F167" i="6"/>
  <c r="E167" i="6"/>
  <c r="B167" i="6"/>
  <c r="H167" i="6"/>
  <c r="J167" i="6"/>
  <c r="C228" i="10"/>
  <c r="G168" i="5"/>
  <c r="A229" i="10"/>
  <c r="D228" i="10"/>
  <c r="G228" i="10"/>
  <c r="E228" i="10"/>
  <c r="B228" i="10"/>
  <c r="B169" i="5"/>
  <c r="A168" i="6"/>
  <c r="G167" i="6"/>
  <c r="C169" i="5"/>
  <c r="A170" i="5"/>
  <c r="D169" i="5"/>
  <c r="E169" i="5" s="1"/>
  <c r="G322" i="14" l="1"/>
  <c r="F322" i="14"/>
  <c r="H170" i="5"/>
  <c r="F170" i="5"/>
  <c r="M323" i="12"/>
  <c r="F323" i="12"/>
  <c r="D323" i="12"/>
  <c r="C323" i="12"/>
  <c r="I168" i="6"/>
  <c r="D168" i="6"/>
  <c r="C168" i="6"/>
  <c r="C322" i="14"/>
  <c r="B322" i="14"/>
  <c r="O323" i="12"/>
  <c r="J323" i="12"/>
  <c r="I323" i="12"/>
  <c r="H323" i="12"/>
  <c r="G323" i="12"/>
  <c r="H322" i="14"/>
  <c r="E322" i="14"/>
  <c r="A323" i="14"/>
  <c r="D322" i="14"/>
  <c r="K323" i="12"/>
  <c r="B323" i="12"/>
  <c r="E323" i="12"/>
  <c r="A324" i="12"/>
  <c r="L323" i="12"/>
  <c r="F168" i="6"/>
  <c r="E168" i="6"/>
  <c r="B168" i="6"/>
  <c r="H168" i="6"/>
  <c r="J168" i="6"/>
  <c r="C229" i="10"/>
  <c r="G169" i="5"/>
  <c r="E229" i="10"/>
  <c r="A230" i="10"/>
  <c r="D229" i="10"/>
  <c r="B229" i="10"/>
  <c r="G229" i="10"/>
  <c r="B170" i="5"/>
  <c r="A169" i="6"/>
  <c r="G168" i="6"/>
  <c r="C170" i="5"/>
  <c r="A171" i="5"/>
  <c r="D170" i="5"/>
  <c r="E170" i="5" s="1"/>
  <c r="F323" i="14" l="1"/>
  <c r="G323" i="14"/>
  <c r="H171" i="5"/>
  <c r="F171" i="5"/>
  <c r="F324" i="12"/>
  <c r="D324" i="12"/>
  <c r="C324" i="12"/>
  <c r="M324" i="12"/>
  <c r="C169" i="6"/>
  <c r="I169" i="6"/>
  <c r="D169" i="6"/>
  <c r="C323" i="14"/>
  <c r="B323" i="14"/>
  <c r="O324" i="12"/>
  <c r="J324" i="12"/>
  <c r="I324" i="12"/>
  <c r="H324" i="12"/>
  <c r="G324" i="12"/>
  <c r="E323" i="14"/>
  <c r="H323" i="14"/>
  <c r="A324" i="14"/>
  <c r="D323" i="14"/>
  <c r="B324" i="12"/>
  <c r="E324" i="12"/>
  <c r="A325" i="12"/>
  <c r="K324" i="12"/>
  <c r="L324" i="12"/>
  <c r="F169" i="6"/>
  <c r="E169" i="6"/>
  <c r="H169" i="6"/>
  <c r="B169" i="6"/>
  <c r="J169" i="6"/>
  <c r="C230" i="10"/>
  <c r="G170" i="5"/>
  <c r="B230" i="10"/>
  <c r="E230" i="10"/>
  <c r="G230" i="10"/>
  <c r="D230" i="10"/>
  <c r="A231" i="10"/>
  <c r="B171" i="5"/>
  <c r="A170" i="6"/>
  <c r="G169" i="6"/>
  <c r="C171" i="5"/>
  <c r="A172" i="5"/>
  <c r="D171" i="5"/>
  <c r="E171" i="5"/>
  <c r="G324" i="14" l="1"/>
  <c r="F324" i="14"/>
  <c r="H172" i="5"/>
  <c r="F172" i="5"/>
  <c r="I170" i="6"/>
  <c r="C170" i="6"/>
  <c r="D170" i="6"/>
  <c r="M325" i="12"/>
  <c r="F325" i="12"/>
  <c r="D325" i="12"/>
  <c r="C325" i="12"/>
  <c r="C324" i="14"/>
  <c r="B324" i="14"/>
  <c r="O325" i="12"/>
  <c r="H325" i="12"/>
  <c r="G325" i="12"/>
  <c r="J325" i="12"/>
  <c r="I325" i="12"/>
  <c r="H324" i="14"/>
  <c r="E324" i="14"/>
  <c r="A325" i="14"/>
  <c r="D324" i="14"/>
  <c r="L325" i="12"/>
  <c r="A326" i="12"/>
  <c r="K325" i="12"/>
  <c r="B325" i="12"/>
  <c r="E325" i="12"/>
  <c r="E170" i="6"/>
  <c r="F170" i="6"/>
  <c r="H170" i="6"/>
  <c r="B170" i="6"/>
  <c r="J170" i="6"/>
  <c r="C231" i="10"/>
  <c r="G171" i="5"/>
  <c r="G231" i="10"/>
  <c r="B231" i="10"/>
  <c r="A232" i="10"/>
  <c r="D231" i="10"/>
  <c r="E231" i="10"/>
  <c r="B172" i="5"/>
  <c r="A171" i="6"/>
  <c r="G170" i="6"/>
  <c r="C172" i="5"/>
  <c r="D172" i="5"/>
  <c r="E172" i="5"/>
  <c r="A173" i="5"/>
  <c r="I171" i="6" l="1"/>
  <c r="D171" i="6"/>
  <c r="C171" i="6"/>
  <c r="F326" i="12"/>
  <c r="D326" i="12"/>
  <c r="C326" i="12"/>
  <c r="M326" i="12"/>
  <c r="F325" i="14"/>
  <c r="G325" i="14"/>
  <c r="H173" i="5"/>
  <c r="F173" i="5"/>
  <c r="C325" i="14"/>
  <c r="B325" i="14"/>
  <c r="O326" i="12"/>
  <c r="J326" i="12"/>
  <c r="I326" i="12"/>
  <c r="H326" i="12"/>
  <c r="G326" i="12"/>
  <c r="E325" i="14"/>
  <c r="H325" i="14"/>
  <c r="A326" i="14"/>
  <c r="D325" i="14"/>
  <c r="B326" i="12"/>
  <c r="L326" i="12"/>
  <c r="A327" i="12"/>
  <c r="K326" i="12"/>
  <c r="E326" i="12"/>
  <c r="F171" i="6"/>
  <c r="E171" i="6"/>
  <c r="B171" i="6"/>
  <c r="H171" i="6"/>
  <c r="J171" i="6"/>
  <c r="C232" i="10"/>
  <c r="G172" i="5"/>
  <c r="A233" i="10"/>
  <c r="D232" i="10"/>
  <c r="G232" i="10"/>
  <c r="E232" i="10"/>
  <c r="B232" i="10"/>
  <c r="B173" i="5"/>
  <c r="A172" i="6"/>
  <c r="G171" i="6"/>
  <c r="C173" i="5"/>
  <c r="A174" i="5"/>
  <c r="D173" i="5"/>
  <c r="E173" i="5"/>
  <c r="F326" i="14" l="1"/>
  <c r="G326" i="14"/>
  <c r="H174" i="5"/>
  <c r="F174" i="5"/>
  <c r="I172" i="6"/>
  <c r="D172" i="6"/>
  <c r="C172" i="6"/>
  <c r="M327" i="12"/>
  <c r="F327" i="12"/>
  <c r="D327" i="12"/>
  <c r="C327" i="12"/>
  <c r="C326" i="14"/>
  <c r="B326" i="14"/>
  <c r="O327" i="12"/>
  <c r="J327" i="12"/>
  <c r="I327" i="12"/>
  <c r="H327" i="12"/>
  <c r="G327" i="12"/>
  <c r="H326" i="14"/>
  <c r="E326" i="14"/>
  <c r="A327" i="14"/>
  <c r="D326" i="14"/>
  <c r="A328" i="12"/>
  <c r="E327" i="12"/>
  <c r="K327" i="12"/>
  <c r="B327" i="12"/>
  <c r="L327" i="12"/>
  <c r="F172" i="6"/>
  <c r="E172" i="6"/>
  <c r="B172" i="6"/>
  <c r="H172" i="6"/>
  <c r="J172" i="6"/>
  <c r="C233" i="10"/>
  <c r="G173" i="5"/>
  <c r="E233" i="10"/>
  <c r="A234" i="10"/>
  <c r="D233" i="10"/>
  <c r="B233" i="10"/>
  <c r="G233" i="10"/>
  <c r="B174" i="5"/>
  <c r="A173" i="6"/>
  <c r="G172" i="6"/>
  <c r="C174" i="5"/>
  <c r="A175" i="5"/>
  <c r="D174" i="5"/>
  <c r="E174" i="5" s="1"/>
  <c r="F327" i="14" l="1"/>
  <c r="G327" i="14"/>
  <c r="F328" i="12"/>
  <c r="D328" i="12"/>
  <c r="C328" i="12"/>
  <c r="M328" i="12"/>
  <c r="H175" i="5"/>
  <c r="F175" i="5"/>
  <c r="I173" i="6"/>
  <c r="D173" i="6"/>
  <c r="C173" i="6"/>
  <c r="C327" i="14"/>
  <c r="B327" i="14"/>
  <c r="O328" i="12"/>
  <c r="J328" i="12"/>
  <c r="I328" i="12"/>
  <c r="H328" i="12"/>
  <c r="G328" i="12"/>
  <c r="E327" i="14"/>
  <c r="H327" i="14"/>
  <c r="A328" i="14"/>
  <c r="D327" i="14"/>
  <c r="B328" i="12"/>
  <c r="K328" i="12"/>
  <c r="E328" i="12"/>
  <c r="L328" i="12"/>
  <c r="A329" i="12"/>
  <c r="F173" i="6"/>
  <c r="E173" i="6"/>
  <c r="H173" i="6"/>
  <c r="B173" i="6"/>
  <c r="J173" i="6"/>
  <c r="C234" i="10"/>
  <c r="G174" i="5"/>
  <c r="B234" i="10"/>
  <c r="E234" i="10"/>
  <c r="G234" i="10"/>
  <c r="D234" i="10"/>
  <c r="A235" i="10"/>
  <c r="B175" i="5"/>
  <c r="G173" i="6"/>
  <c r="A174" i="6"/>
  <c r="C175" i="5"/>
  <c r="A176" i="5"/>
  <c r="D175" i="5"/>
  <c r="E175" i="5" s="1"/>
  <c r="G328" i="14" l="1"/>
  <c r="F328" i="14"/>
  <c r="M329" i="12"/>
  <c r="F329" i="12"/>
  <c r="D329" i="12"/>
  <c r="C329" i="12"/>
  <c r="H176" i="5"/>
  <c r="F176" i="5"/>
  <c r="D174" i="6"/>
  <c r="C174" i="6"/>
  <c r="I174" i="6"/>
  <c r="C328" i="14"/>
  <c r="B328" i="14"/>
  <c r="O329" i="12"/>
  <c r="J329" i="12"/>
  <c r="H329" i="12"/>
  <c r="G329" i="12"/>
  <c r="I329" i="12"/>
  <c r="H328" i="14"/>
  <c r="E328" i="14"/>
  <c r="A329" i="14"/>
  <c r="D328" i="14"/>
  <c r="L329" i="12"/>
  <c r="A330" i="12"/>
  <c r="E329" i="12"/>
  <c r="K329" i="12"/>
  <c r="B329" i="12"/>
  <c r="F174" i="6"/>
  <c r="E174" i="6"/>
  <c r="H174" i="6"/>
  <c r="B174" i="6"/>
  <c r="J174" i="6"/>
  <c r="C235" i="10"/>
  <c r="G175" i="5"/>
  <c r="G235" i="10"/>
  <c r="B235" i="10"/>
  <c r="A236" i="10"/>
  <c r="D235" i="10"/>
  <c r="E235" i="10"/>
  <c r="B176" i="5"/>
  <c r="A175" i="6"/>
  <c r="G174" i="6"/>
  <c r="C176" i="5"/>
  <c r="A177" i="5"/>
  <c r="D176" i="5"/>
  <c r="E176" i="5" s="1"/>
  <c r="F330" i="12" l="1"/>
  <c r="D330" i="12"/>
  <c r="C330" i="12"/>
  <c r="M330" i="12"/>
  <c r="F329" i="14"/>
  <c r="G329" i="14"/>
  <c r="H177" i="5"/>
  <c r="F177" i="5"/>
  <c r="D175" i="6"/>
  <c r="I175" i="6"/>
  <c r="C175" i="6"/>
  <c r="C329" i="14"/>
  <c r="B329" i="14"/>
  <c r="O330" i="12"/>
  <c r="J330" i="12"/>
  <c r="I330" i="12"/>
  <c r="G330" i="12"/>
  <c r="H330" i="12"/>
  <c r="E329" i="14"/>
  <c r="H329" i="14"/>
  <c r="D329" i="14"/>
  <c r="A330" i="14"/>
  <c r="B330" i="12"/>
  <c r="K330" i="12"/>
  <c r="A331" i="12"/>
  <c r="E330" i="12"/>
  <c r="L330" i="12"/>
  <c r="E175" i="6"/>
  <c r="F175" i="6"/>
  <c r="B175" i="6"/>
  <c r="H175" i="6"/>
  <c r="J175" i="6"/>
  <c r="C236" i="10"/>
  <c r="G176" i="5"/>
  <c r="A237" i="10"/>
  <c r="D236" i="10"/>
  <c r="G236" i="10"/>
  <c r="E236" i="10"/>
  <c r="B236" i="10"/>
  <c r="B177" i="5"/>
  <c r="A176" i="6"/>
  <c r="G175" i="6"/>
  <c r="C177" i="5"/>
  <c r="D177" i="5"/>
  <c r="A178" i="5"/>
  <c r="E177" i="5"/>
  <c r="G330" i="14" l="1"/>
  <c r="F330" i="14"/>
  <c r="H178" i="5"/>
  <c r="F178" i="5"/>
  <c r="I176" i="6"/>
  <c r="D176" i="6"/>
  <c r="C176" i="6"/>
  <c r="M331" i="12"/>
  <c r="F331" i="12"/>
  <c r="D331" i="12"/>
  <c r="C331" i="12"/>
  <c r="C330" i="14"/>
  <c r="B330" i="14"/>
  <c r="O331" i="12"/>
  <c r="J331" i="12"/>
  <c r="I331" i="12"/>
  <c r="H331" i="12"/>
  <c r="G331" i="12"/>
  <c r="H330" i="14"/>
  <c r="E330" i="14"/>
  <c r="A331" i="14"/>
  <c r="D330" i="14"/>
  <c r="B331" i="12"/>
  <c r="E331" i="12"/>
  <c r="A332" i="12"/>
  <c r="K331" i="12"/>
  <c r="L331" i="12"/>
  <c r="F176" i="6"/>
  <c r="E176" i="6"/>
  <c r="B176" i="6"/>
  <c r="H176" i="6"/>
  <c r="J176" i="6"/>
  <c r="C237" i="10"/>
  <c r="G177" i="5"/>
  <c r="E237" i="10"/>
  <c r="A238" i="10"/>
  <c r="D237" i="10"/>
  <c r="B237" i="10"/>
  <c r="G237" i="10"/>
  <c r="B178" i="5"/>
  <c r="A177" i="6"/>
  <c r="G176" i="6"/>
  <c r="C178" i="5"/>
  <c r="A179" i="5"/>
  <c r="D178" i="5"/>
  <c r="E178" i="5" s="1"/>
  <c r="F331" i="14" l="1"/>
  <c r="G331" i="14"/>
  <c r="H179" i="5"/>
  <c r="F179" i="5"/>
  <c r="C177" i="6"/>
  <c r="I177" i="6"/>
  <c r="D177" i="6"/>
  <c r="F332" i="12"/>
  <c r="D332" i="12"/>
  <c r="C332" i="12"/>
  <c r="M332" i="12"/>
  <c r="C331" i="14"/>
  <c r="B331" i="14"/>
  <c r="O332" i="12"/>
  <c r="J332" i="12"/>
  <c r="I332" i="12"/>
  <c r="H332" i="12"/>
  <c r="G332" i="12"/>
  <c r="E331" i="14"/>
  <c r="H331" i="14"/>
  <c r="A332" i="14"/>
  <c r="D331" i="14"/>
  <c r="B332" i="12"/>
  <c r="A333" i="12"/>
  <c r="K332" i="12"/>
  <c r="E332" i="12"/>
  <c r="L332" i="12"/>
  <c r="F177" i="6"/>
  <c r="E177" i="6"/>
  <c r="H177" i="6"/>
  <c r="B177" i="6"/>
  <c r="J177" i="6"/>
  <c r="C238" i="10"/>
  <c r="G178" i="5"/>
  <c r="B238" i="10"/>
  <c r="E238" i="10"/>
  <c r="G238" i="10"/>
  <c r="A239" i="10"/>
  <c r="D238" i="10"/>
  <c r="B179" i="5"/>
  <c r="A178" i="6"/>
  <c r="G177" i="6"/>
  <c r="C179" i="5"/>
  <c r="A180" i="5"/>
  <c r="D179" i="5"/>
  <c r="E179" i="5" s="1"/>
  <c r="F332" i="14" l="1"/>
  <c r="G332" i="14"/>
  <c r="H180" i="5"/>
  <c r="F180" i="5"/>
  <c r="M333" i="12"/>
  <c r="F333" i="12"/>
  <c r="D333" i="12"/>
  <c r="C333" i="12"/>
  <c r="I178" i="6"/>
  <c r="C178" i="6"/>
  <c r="D178" i="6"/>
  <c r="C332" i="14"/>
  <c r="B332" i="14"/>
  <c r="O333" i="12"/>
  <c r="H333" i="12"/>
  <c r="G333" i="12"/>
  <c r="I333" i="12"/>
  <c r="J333" i="12"/>
  <c r="H332" i="14"/>
  <c r="E332" i="14"/>
  <c r="A333" i="14"/>
  <c r="D332" i="14"/>
  <c r="L333" i="12"/>
  <c r="A334" i="12"/>
  <c r="E333" i="12"/>
  <c r="K333" i="12"/>
  <c r="B333" i="12"/>
  <c r="F178" i="6"/>
  <c r="E178" i="6"/>
  <c r="H178" i="6"/>
  <c r="B178" i="6"/>
  <c r="J178" i="6"/>
  <c r="C239" i="10"/>
  <c r="G179" i="5"/>
  <c r="G239" i="10"/>
  <c r="B239" i="10"/>
  <c r="A240" i="10"/>
  <c r="D239" i="10"/>
  <c r="E239" i="10"/>
  <c r="B180" i="5"/>
  <c r="A179" i="6"/>
  <c r="G178" i="6"/>
  <c r="C180" i="5"/>
  <c r="A181" i="5"/>
  <c r="D180" i="5"/>
  <c r="E180" i="5" s="1"/>
  <c r="F334" i="12" l="1"/>
  <c r="D334" i="12"/>
  <c r="C334" i="12"/>
  <c r="M334" i="12"/>
  <c r="G333" i="14"/>
  <c r="F333" i="14"/>
  <c r="H181" i="5"/>
  <c r="F181" i="5"/>
  <c r="I179" i="6"/>
  <c r="D179" i="6"/>
  <c r="C179" i="6"/>
  <c r="C333" i="14"/>
  <c r="B333" i="14"/>
  <c r="O334" i="12"/>
  <c r="I334" i="12"/>
  <c r="G334" i="12"/>
  <c r="J334" i="12"/>
  <c r="H334" i="12"/>
  <c r="E333" i="14"/>
  <c r="H333" i="14"/>
  <c r="A334" i="14"/>
  <c r="D333" i="14"/>
  <c r="E334" i="12"/>
  <c r="B334" i="12"/>
  <c r="L334" i="12"/>
  <c r="A335" i="12"/>
  <c r="K334" i="12"/>
  <c r="F179" i="6"/>
  <c r="E179" i="6"/>
  <c r="B179" i="6"/>
  <c r="H179" i="6"/>
  <c r="J179" i="6"/>
  <c r="C240" i="10"/>
  <c r="G180" i="5"/>
  <c r="A241" i="10"/>
  <c r="D240" i="10"/>
  <c r="G240" i="10"/>
  <c r="E240" i="10"/>
  <c r="B240" i="10"/>
  <c r="B181" i="5"/>
  <c r="A180" i="6"/>
  <c r="G179" i="6"/>
  <c r="C181" i="5"/>
  <c r="A182" i="5"/>
  <c r="D181" i="5"/>
  <c r="E181" i="5"/>
  <c r="G334" i="14" l="1"/>
  <c r="F334" i="14"/>
  <c r="H182" i="5"/>
  <c r="F182" i="5"/>
  <c r="M335" i="12"/>
  <c r="F335" i="12"/>
  <c r="D335" i="12"/>
  <c r="C335" i="12"/>
  <c r="I180" i="6"/>
  <c r="C180" i="6"/>
  <c r="D180" i="6"/>
  <c r="C334" i="14"/>
  <c r="B334" i="14"/>
  <c r="J335" i="12"/>
  <c r="O335" i="12"/>
  <c r="I335" i="12"/>
  <c r="G335" i="12"/>
  <c r="H335" i="12"/>
  <c r="E334" i="14"/>
  <c r="A335" i="14"/>
  <c r="D334" i="14"/>
  <c r="H334" i="14"/>
  <c r="K335" i="12"/>
  <c r="B335" i="12"/>
  <c r="L335" i="12"/>
  <c r="E335" i="12"/>
  <c r="A336" i="12"/>
  <c r="F180" i="6"/>
  <c r="E180" i="6"/>
  <c r="B180" i="6"/>
  <c r="H180" i="6"/>
  <c r="J180" i="6"/>
  <c r="C241" i="10"/>
  <c r="G181" i="5"/>
  <c r="E241" i="10"/>
  <c r="A242" i="10"/>
  <c r="D241" i="10"/>
  <c r="B241" i="10"/>
  <c r="G241" i="10"/>
  <c r="B182" i="5"/>
  <c r="A181" i="6"/>
  <c r="G180" i="6"/>
  <c r="C182" i="5"/>
  <c r="A183" i="5"/>
  <c r="D182" i="5"/>
  <c r="E182" i="5" s="1"/>
  <c r="F335" i="14" l="1"/>
  <c r="G335" i="14"/>
  <c r="H183" i="5"/>
  <c r="F183" i="5"/>
  <c r="F336" i="12"/>
  <c r="D336" i="12"/>
  <c r="C336" i="12"/>
  <c r="M336" i="12"/>
  <c r="I181" i="6"/>
  <c r="D181" i="6"/>
  <c r="C181" i="6"/>
  <c r="C335" i="14"/>
  <c r="B335" i="14"/>
  <c r="O336" i="12"/>
  <c r="J336" i="12"/>
  <c r="I336" i="12"/>
  <c r="H336" i="12"/>
  <c r="G336" i="12"/>
  <c r="H335" i="14"/>
  <c r="E335" i="14"/>
  <c r="A336" i="14"/>
  <c r="D335" i="14"/>
  <c r="B336" i="12"/>
  <c r="E336" i="12"/>
  <c r="A337" i="12"/>
  <c r="K336" i="12"/>
  <c r="L336" i="12"/>
  <c r="E181" i="6"/>
  <c r="F181" i="6"/>
  <c r="H181" i="6"/>
  <c r="B181" i="6"/>
  <c r="J181" i="6"/>
  <c r="C242" i="10"/>
  <c r="G182" i="5"/>
  <c r="B242" i="10"/>
  <c r="E242" i="10"/>
  <c r="G242" i="10"/>
  <c r="A243" i="10"/>
  <c r="D242" i="10"/>
  <c r="B183" i="5"/>
  <c r="G181" i="6"/>
  <c r="A182" i="6"/>
  <c r="C183" i="5"/>
  <c r="A184" i="5"/>
  <c r="D183" i="5"/>
  <c r="E183" i="5"/>
  <c r="H184" i="5" l="1"/>
  <c r="F184" i="5"/>
  <c r="G336" i="14"/>
  <c r="F336" i="14"/>
  <c r="D182" i="6"/>
  <c r="C182" i="6"/>
  <c r="I182" i="6"/>
  <c r="M337" i="12"/>
  <c r="F337" i="12"/>
  <c r="D337" i="12"/>
  <c r="C337" i="12"/>
  <c r="C336" i="14"/>
  <c r="B336" i="14"/>
  <c r="O337" i="12"/>
  <c r="J337" i="12"/>
  <c r="H337" i="12"/>
  <c r="G337" i="12"/>
  <c r="I337" i="12"/>
  <c r="E336" i="14"/>
  <c r="H336" i="14"/>
  <c r="D336" i="14"/>
  <c r="A337" i="14"/>
  <c r="L337" i="12"/>
  <c r="A338" i="12"/>
  <c r="E337" i="12"/>
  <c r="K337" i="12"/>
  <c r="B337" i="12"/>
  <c r="F182" i="6"/>
  <c r="E182" i="6"/>
  <c r="H182" i="6"/>
  <c r="B182" i="6"/>
  <c r="J182" i="6"/>
  <c r="C243" i="10"/>
  <c r="G183" i="5"/>
  <c r="G243" i="10"/>
  <c r="B243" i="10"/>
  <c r="A244" i="10"/>
  <c r="D243" i="10"/>
  <c r="E243" i="10"/>
  <c r="B184" i="5"/>
  <c r="A183" i="6"/>
  <c r="G182" i="6"/>
  <c r="C184" i="5"/>
  <c r="D184" i="5"/>
  <c r="A185" i="5"/>
  <c r="E184" i="5"/>
  <c r="F338" i="12" l="1"/>
  <c r="D338" i="12"/>
  <c r="C338" i="12"/>
  <c r="M338" i="12"/>
  <c r="H185" i="5"/>
  <c r="F185" i="5"/>
  <c r="F337" i="14"/>
  <c r="G337" i="14"/>
  <c r="D183" i="6"/>
  <c r="I183" i="6"/>
  <c r="C183" i="6"/>
  <c r="C337" i="14"/>
  <c r="B337" i="14"/>
  <c r="O338" i="12"/>
  <c r="J338" i="12"/>
  <c r="I338" i="12"/>
  <c r="H338" i="12"/>
  <c r="G338" i="12"/>
  <c r="A338" i="14"/>
  <c r="D337" i="14"/>
  <c r="H337" i="14"/>
  <c r="E337" i="14"/>
  <c r="A339" i="12"/>
  <c r="L338" i="12"/>
  <c r="K338" i="12"/>
  <c r="E338" i="12"/>
  <c r="B338" i="12"/>
  <c r="F183" i="6"/>
  <c r="E183" i="6"/>
  <c r="B183" i="6"/>
  <c r="H183" i="6"/>
  <c r="J183" i="6"/>
  <c r="C244" i="10"/>
  <c r="G184" i="5"/>
  <c r="A245" i="10"/>
  <c r="D244" i="10"/>
  <c r="G244" i="10"/>
  <c r="E244" i="10"/>
  <c r="B244" i="10"/>
  <c r="B185" i="5"/>
  <c r="A184" i="6"/>
  <c r="G183" i="6"/>
  <c r="C185" i="5"/>
  <c r="A186" i="5"/>
  <c r="D185" i="5"/>
  <c r="E185" i="5" s="1"/>
  <c r="H186" i="5" l="1"/>
  <c r="F186" i="5"/>
  <c r="F338" i="14"/>
  <c r="G338" i="14"/>
  <c r="M339" i="12"/>
  <c r="F339" i="12"/>
  <c r="D339" i="12"/>
  <c r="C339" i="12"/>
  <c r="I184" i="6"/>
  <c r="D184" i="6"/>
  <c r="C184" i="6"/>
  <c r="C338" i="14"/>
  <c r="B338" i="14"/>
  <c r="O339" i="12"/>
  <c r="J339" i="12"/>
  <c r="I339" i="12"/>
  <c r="H339" i="12"/>
  <c r="G339" i="12"/>
  <c r="E338" i="14"/>
  <c r="H338" i="14"/>
  <c r="A339" i="14"/>
  <c r="D338" i="14"/>
  <c r="A340" i="12"/>
  <c r="E339" i="12"/>
  <c r="K339" i="12"/>
  <c r="B339" i="12"/>
  <c r="L339" i="12"/>
  <c r="F184" i="6"/>
  <c r="E184" i="6"/>
  <c r="B184" i="6"/>
  <c r="H184" i="6"/>
  <c r="J184" i="6"/>
  <c r="C245" i="10"/>
  <c r="G185" i="5"/>
  <c r="E245" i="10"/>
  <c r="A246" i="10"/>
  <c r="D245" i="10"/>
  <c r="B245" i="10"/>
  <c r="G245" i="10"/>
  <c r="B186" i="5"/>
  <c r="A185" i="6"/>
  <c r="G184" i="6"/>
  <c r="C186" i="5"/>
  <c r="A187" i="5"/>
  <c r="D186" i="5"/>
  <c r="E186" i="5" s="1"/>
  <c r="F340" i="12" l="1"/>
  <c r="D340" i="12"/>
  <c r="C340" i="12"/>
  <c r="M340" i="12"/>
  <c r="F339" i="14"/>
  <c r="G339" i="14"/>
  <c r="H187" i="5"/>
  <c r="F187" i="5"/>
  <c r="C185" i="6"/>
  <c r="I185" i="6"/>
  <c r="D185" i="6"/>
  <c r="C339" i="14"/>
  <c r="B339" i="14"/>
  <c r="O340" i="12"/>
  <c r="J340" i="12"/>
  <c r="I340" i="12"/>
  <c r="H340" i="12"/>
  <c r="G340" i="12"/>
  <c r="A340" i="14"/>
  <c r="D339" i="14"/>
  <c r="H339" i="14"/>
  <c r="E339" i="14"/>
  <c r="B340" i="12"/>
  <c r="L340" i="12"/>
  <c r="A341" i="12"/>
  <c r="K340" i="12"/>
  <c r="E340" i="12"/>
  <c r="F185" i="6"/>
  <c r="E185" i="6"/>
  <c r="H185" i="6"/>
  <c r="B185" i="6"/>
  <c r="J185" i="6"/>
  <c r="C246" i="10"/>
  <c r="G186" i="5"/>
  <c r="B246" i="10"/>
  <c r="E246" i="10"/>
  <c r="G246" i="10"/>
  <c r="D246" i="10"/>
  <c r="A247" i="10"/>
  <c r="B187" i="5"/>
  <c r="A186" i="6"/>
  <c r="G185" i="6"/>
  <c r="C187" i="5"/>
  <c r="A188" i="5"/>
  <c r="D187" i="5"/>
  <c r="E187" i="5"/>
  <c r="G340" i="14" l="1"/>
  <c r="F340" i="14"/>
  <c r="H188" i="5"/>
  <c r="F188" i="5"/>
  <c r="I186" i="6"/>
  <c r="C186" i="6"/>
  <c r="D186" i="6"/>
  <c r="M341" i="12"/>
  <c r="F341" i="12"/>
  <c r="D341" i="12"/>
  <c r="C341" i="12"/>
  <c r="C340" i="14"/>
  <c r="B340" i="14"/>
  <c r="O341" i="12"/>
  <c r="H341" i="12"/>
  <c r="G341" i="12"/>
  <c r="J341" i="12"/>
  <c r="I341" i="12"/>
  <c r="E340" i="14"/>
  <c r="H340" i="14"/>
  <c r="D340" i="14"/>
  <c r="A341" i="14"/>
  <c r="L341" i="12"/>
  <c r="A342" i="12"/>
  <c r="E341" i="12"/>
  <c r="K341" i="12"/>
  <c r="B341" i="12"/>
  <c r="F186" i="6"/>
  <c r="E186" i="6"/>
  <c r="H186" i="6"/>
  <c r="B186" i="6"/>
  <c r="J186" i="6"/>
  <c r="C247" i="10"/>
  <c r="G187" i="5"/>
  <c r="G247" i="10"/>
  <c r="B247" i="10"/>
  <c r="A248" i="10"/>
  <c r="D247" i="10"/>
  <c r="E247" i="10"/>
  <c r="B188" i="5"/>
  <c r="A187" i="6"/>
  <c r="G186" i="6"/>
  <c r="C188" i="5"/>
  <c r="A189" i="5"/>
  <c r="D188" i="5"/>
  <c r="E188" i="5"/>
  <c r="F341" i="14" l="1"/>
  <c r="G341" i="14"/>
  <c r="F342" i="12"/>
  <c r="D342" i="12"/>
  <c r="C342" i="12"/>
  <c r="M342" i="12"/>
  <c r="H189" i="5"/>
  <c r="F189" i="5"/>
  <c r="I187" i="6"/>
  <c r="D187" i="6"/>
  <c r="C187" i="6"/>
  <c r="C341" i="14"/>
  <c r="B341" i="14"/>
  <c r="O342" i="12"/>
  <c r="J342" i="12"/>
  <c r="I342" i="12"/>
  <c r="G342" i="12"/>
  <c r="H342" i="12"/>
  <c r="A342" i="14"/>
  <c r="D341" i="14"/>
  <c r="H341" i="14"/>
  <c r="E341" i="14"/>
  <c r="K342" i="12"/>
  <c r="B342" i="12"/>
  <c r="L342" i="12"/>
  <c r="A343" i="12"/>
  <c r="E342" i="12"/>
  <c r="F187" i="6"/>
  <c r="E187" i="6"/>
  <c r="B187" i="6"/>
  <c r="H187" i="6"/>
  <c r="J187" i="6"/>
  <c r="C248" i="10"/>
  <c r="G188" i="5"/>
  <c r="A249" i="10"/>
  <c r="D248" i="10"/>
  <c r="G248" i="10"/>
  <c r="E248" i="10"/>
  <c r="B248" i="10"/>
  <c r="B189" i="5"/>
  <c r="G187" i="6"/>
  <c r="A188" i="6"/>
  <c r="C189" i="5"/>
  <c r="A190" i="5"/>
  <c r="D189" i="5"/>
  <c r="E189" i="5" s="1"/>
  <c r="M343" i="12" l="1"/>
  <c r="F343" i="12"/>
  <c r="D343" i="12"/>
  <c r="C343" i="12"/>
  <c r="H190" i="5"/>
  <c r="F190" i="5"/>
  <c r="G342" i="14"/>
  <c r="F342" i="14"/>
  <c r="I188" i="6"/>
  <c r="D188" i="6"/>
  <c r="C188" i="6"/>
  <c r="C342" i="14"/>
  <c r="B342" i="14"/>
  <c r="O343" i="12"/>
  <c r="J343" i="12"/>
  <c r="I343" i="12"/>
  <c r="H343" i="12"/>
  <c r="G343" i="12"/>
  <c r="E342" i="14"/>
  <c r="H342" i="14"/>
  <c r="A343" i="14"/>
  <c r="D342" i="14"/>
  <c r="A344" i="12"/>
  <c r="K343" i="12"/>
  <c r="B343" i="12"/>
  <c r="L343" i="12"/>
  <c r="E343" i="12"/>
  <c r="F188" i="6"/>
  <c r="E188" i="6"/>
  <c r="B188" i="6"/>
  <c r="H188" i="6"/>
  <c r="J188" i="6"/>
  <c r="C249" i="10"/>
  <c r="G189" i="5"/>
  <c r="E249" i="10"/>
  <c r="A250" i="10"/>
  <c r="D249" i="10"/>
  <c r="B249" i="10"/>
  <c r="G249" i="10"/>
  <c r="B190" i="5"/>
  <c r="G188" i="6"/>
  <c r="A189" i="6"/>
  <c r="C190" i="5"/>
  <c r="A191" i="5"/>
  <c r="D190" i="5"/>
  <c r="E190" i="5" s="1"/>
  <c r="H191" i="5" l="1"/>
  <c r="F191" i="5"/>
  <c r="F344" i="12"/>
  <c r="D344" i="12"/>
  <c r="C344" i="12"/>
  <c r="M344" i="12"/>
  <c r="F343" i="14"/>
  <c r="G343" i="14"/>
  <c r="I189" i="6"/>
  <c r="D189" i="6"/>
  <c r="C189" i="6"/>
  <c r="C343" i="14"/>
  <c r="B343" i="14"/>
  <c r="O344" i="12"/>
  <c r="J344" i="12"/>
  <c r="I344" i="12"/>
  <c r="H344" i="12"/>
  <c r="G344" i="12"/>
  <c r="A344" i="14"/>
  <c r="D343" i="14"/>
  <c r="H343" i="14"/>
  <c r="E343" i="14"/>
  <c r="B344" i="12"/>
  <c r="L344" i="12"/>
  <c r="A345" i="12"/>
  <c r="K344" i="12"/>
  <c r="E344" i="12"/>
  <c r="E189" i="6"/>
  <c r="F189" i="6"/>
  <c r="H189" i="6"/>
  <c r="B189" i="6"/>
  <c r="J189" i="6"/>
  <c r="C250" i="10"/>
  <c r="G190" i="5"/>
  <c r="B250" i="10"/>
  <c r="E250" i="10"/>
  <c r="G250" i="10"/>
  <c r="D250" i="10"/>
  <c r="A251" i="10"/>
  <c r="B191" i="5"/>
  <c r="A190" i="6"/>
  <c r="G189" i="6"/>
  <c r="C191" i="5"/>
  <c r="A192" i="5"/>
  <c r="D191" i="5"/>
  <c r="E191" i="5"/>
  <c r="G344" i="14" l="1"/>
  <c r="F344" i="14"/>
  <c r="H192" i="5"/>
  <c r="F192" i="5"/>
  <c r="D190" i="6"/>
  <c r="C190" i="6"/>
  <c r="I190" i="6"/>
  <c r="M345" i="12"/>
  <c r="F345" i="12"/>
  <c r="D345" i="12"/>
  <c r="C345" i="12"/>
  <c r="C344" i="14"/>
  <c r="B344" i="14"/>
  <c r="O345" i="12"/>
  <c r="J345" i="12"/>
  <c r="H345" i="12"/>
  <c r="G345" i="12"/>
  <c r="I345" i="12"/>
  <c r="E344" i="14"/>
  <c r="H344" i="14"/>
  <c r="D344" i="14"/>
  <c r="A345" i="14"/>
  <c r="L345" i="12"/>
  <c r="A346" i="12"/>
  <c r="E345" i="12"/>
  <c r="K345" i="12"/>
  <c r="B345" i="12"/>
  <c r="F190" i="6"/>
  <c r="E190" i="6"/>
  <c r="H190" i="6"/>
  <c r="B190" i="6"/>
  <c r="J190" i="6"/>
  <c r="C251" i="10"/>
  <c r="G191" i="5"/>
  <c r="G251" i="10"/>
  <c r="B251" i="10"/>
  <c r="A252" i="10"/>
  <c r="D251" i="10"/>
  <c r="E251" i="10"/>
  <c r="B192" i="5"/>
  <c r="A191" i="6"/>
  <c r="G190" i="6"/>
  <c r="C192" i="5"/>
  <c r="A193" i="5"/>
  <c r="D192" i="5"/>
  <c r="E192" i="5" s="1"/>
  <c r="G345" i="14" l="1"/>
  <c r="F345" i="14"/>
  <c r="H193" i="5"/>
  <c r="F193" i="5"/>
  <c r="F346" i="12"/>
  <c r="D346" i="12"/>
  <c r="C346" i="12"/>
  <c r="M346" i="12"/>
  <c r="D191" i="6"/>
  <c r="I191" i="6"/>
  <c r="C191" i="6"/>
  <c r="C345" i="14"/>
  <c r="B345" i="14"/>
  <c r="O346" i="12"/>
  <c r="J346" i="12"/>
  <c r="I346" i="12"/>
  <c r="G346" i="12"/>
  <c r="H346" i="12"/>
  <c r="A346" i="14"/>
  <c r="D345" i="14"/>
  <c r="H345" i="14"/>
  <c r="E345" i="14"/>
  <c r="L346" i="12"/>
  <c r="K346" i="12"/>
  <c r="B346" i="12"/>
  <c r="E346" i="12"/>
  <c r="A347" i="12"/>
  <c r="F191" i="6"/>
  <c r="E191" i="6"/>
  <c r="B191" i="6"/>
  <c r="H191" i="6"/>
  <c r="J191" i="6"/>
  <c r="C252" i="10"/>
  <c r="G192" i="5"/>
  <c r="A253" i="10"/>
  <c r="D252" i="10"/>
  <c r="G252" i="10"/>
  <c r="E252" i="10"/>
  <c r="B252" i="10"/>
  <c r="B193" i="5"/>
  <c r="A192" i="6"/>
  <c r="G191" i="6"/>
  <c r="C193" i="5"/>
  <c r="D193" i="5"/>
  <c r="A194" i="5"/>
  <c r="E193" i="5"/>
  <c r="H194" i="5" l="1"/>
  <c r="F194" i="5"/>
  <c r="M347" i="12"/>
  <c r="F347" i="12"/>
  <c r="D347" i="12"/>
  <c r="C347" i="12"/>
  <c r="G346" i="14"/>
  <c r="F346" i="14"/>
  <c r="I192" i="6"/>
  <c r="D192" i="6"/>
  <c r="C192" i="6"/>
  <c r="C346" i="14"/>
  <c r="B346" i="14"/>
  <c r="O347" i="12"/>
  <c r="J347" i="12"/>
  <c r="I347" i="12"/>
  <c r="H347" i="12"/>
  <c r="G347" i="12"/>
  <c r="E346" i="14"/>
  <c r="H346" i="14"/>
  <c r="A347" i="14"/>
  <c r="D346" i="14"/>
  <c r="A348" i="12"/>
  <c r="E347" i="12"/>
  <c r="K347" i="12"/>
  <c r="B347" i="12"/>
  <c r="L347" i="12"/>
  <c r="F192" i="6"/>
  <c r="E192" i="6"/>
  <c r="B192" i="6"/>
  <c r="H192" i="6"/>
  <c r="J192" i="6"/>
  <c r="C253" i="10"/>
  <c r="G193" i="5"/>
  <c r="E253" i="10"/>
  <c r="A254" i="10"/>
  <c r="D253" i="10"/>
  <c r="B253" i="10"/>
  <c r="G253" i="10"/>
  <c r="B194" i="5"/>
  <c r="A193" i="6"/>
  <c r="G192" i="6"/>
  <c r="C194" i="5"/>
  <c r="D194" i="5"/>
  <c r="A195" i="5"/>
  <c r="E194" i="5"/>
  <c r="F348" i="12" l="1"/>
  <c r="D348" i="12"/>
  <c r="C348" i="12"/>
  <c r="M348" i="12"/>
  <c r="H195" i="5"/>
  <c r="F195" i="5"/>
  <c r="F347" i="14"/>
  <c r="G347" i="14"/>
  <c r="C193" i="6"/>
  <c r="I193" i="6"/>
  <c r="D193" i="6"/>
  <c r="C347" i="14"/>
  <c r="B347" i="14"/>
  <c r="O348" i="12"/>
  <c r="J348" i="12"/>
  <c r="I348" i="12"/>
  <c r="H348" i="12"/>
  <c r="G348" i="12"/>
  <c r="A348" i="14"/>
  <c r="D347" i="14"/>
  <c r="H347" i="14"/>
  <c r="E347" i="14"/>
  <c r="B348" i="12"/>
  <c r="L348" i="12"/>
  <c r="A349" i="12"/>
  <c r="K348" i="12"/>
  <c r="E348" i="12"/>
  <c r="F193" i="6"/>
  <c r="E193" i="6"/>
  <c r="H193" i="6"/>
  <c r="B193" i="6"/>
  <c r="J193" i="6"/>
  <c r="C254" i="10"/>
  <c r="G194" i="5"/>
  <c r="B254" i="10"/>
  <c r="E254" i="10"/>
  <c r="G254" i="10"/>
  <c r="A255" i="10"/>
  <c r="D254" i="10"/>
  <c r="B195" i="5"/>
  <c r="A194" i="6"/>
  <c r="G193" i="6"/>
  <c r="C195" i="5"/>
  <c r="A196" i="5"/>
  <c r="D195" i="5"/>
  <c r="E195" i="5"/>
  <c r="H196" i="5" l="1"/>
  <c r="F196" i="5"/>
  <c r="G348" i="14"/>
  <c r="F348" i="14"/>
  <c r="I194" i="6"/>
  <c r="C194" i="6"/>
  <c r="D194" i="6"/>
  <c r="M349" i="12"/>
  <c r="F349" i="12"/>
  <c r="D349" i="12"/>
  <c r="C349" i="12"/>
  <c r="C348" i="14"/>
  <c r="B348" i="14"/>
  <c r="O349" i="12"/>
  <c r="H349" i="12"/>
  <c r="G349" i="12"/>
  <c r="I349" i="12"/>
  <c r="J349" i="12"/>
  <c r="E348" i="14"/>
  <c r="H348" i="14"/>
  <c r="D348" i="14"/>
  <c r="A349" i="14"/>
  <c r="L349" i="12"/>
  <c r="A350" i="12"/>
  <c r="E349" i="12"/>
  <c r="K349" i="12"/>
  <c r="B349" i="12"/>
  <c r="F194" i="6"/>
  <c r="E194" i="6"/>
  <c r="H194" i="6"/>
  <c r="B194" i="6"/>
  <c r="J194" i="6"/>
  <c r="C255" i="10"/>
  <c r="G195" i="5"/>
  <c r="G255" i="10"/>
  <c r="B255" i="10"/>
  <c r="A256" i="10"/>
  <c r="D255" i="10"/>
  <c r="E255" i="10"/>
  <c r="B196" i="5"/>
  <c r="A195" i="6"/>
  <c r="G194" i="6"/>
  <c r="C196" i="5"/>
  <c r="A197" i="5"/>
  <c r="D196" i="5"/>
  <c r="E196" i="5" s="1"/>
  <c r="F350" i="12" l="1"/>
  <c r="D350" i="12"/>
  <c r="C350" i="12"/>
  <c r="M350" i="12"/>
  <c r="H197" i="5"/>
  <c r="F197" i="5"/>
  <c r="F349" i="14"/>
  <c r="G349" i="14"/>
  <c r="I195" i="6"/>
  <c r="D195" i="6"/>
  <c r="C195" i="6"/>
  <c r="C349" i="14"/>
  <c r="B349" i="14"/>
  <c r="I350" i="12"/>
  <c r="O350" i="12"/>
  <c r="J350" i="12"/>
  <c r="G350" i="12"/>
  <c r="H350" i="12"/>
  <c r="A350" i="14"/>
  <c r="D349" i="14"/>
  <c r="H349" i="14"/>
  <c r="E349" i="14"/>
  <c r="B350" i="12"/>
  <c r="K350" i="12"/>
  <c r="A351" i="12"/>
  <c r="E350" i="12"/>
  <c r="L350" i="12"/>
  <c r="F195" i="6"/>
  <c r="E195" i="6"/>
  <c r="B195" i="6"/>
  <c r="H195" i="6"/>
  <c r="J195" i="6"/>
  <c r="C256" i="10"/>
  <c r="G196" i="5"/>
  <c r="A257" i="10"/>
  <c r="D256" i="10"/>
  <c r="G256" i="10"/>
  <c r="E256" i="10"/>
  <c r="B256" i="10"/>
  <c r="B197" i="5"/>
  <c r="G195" i="6"/>
  <c r="A196" i="6"/>
  <c r="C197" i="5"/>
  <c r="A198" i="5"/>
  <c r="D197" i="5"/>
  <c r="E197" i="5"/>
  <c r="H198" i="5" l="1"/>
  <c r="F198" i="5"/>
  <c r="F350" i="14"/>
  <c r="G350" i="14"/>
  <c r="I196" i="6"/>
  <c r="D196" i="6"/>
  <c r="C196" i="6"/>
  <c r="M351" i="12"/>
  <c r="F351" i="12"/>
  <c r="D351" i="12"/>
  <c r="C351" i="12"/>
  <c r="C350" i="14"/>
  <c r="B350" i="14"/>
  <c r="J351" i="12"/>
  <c r="I351" i="12"/>
  <c r="O351" i="12"/>
  <c r="G351" i="12"/>
  <c r="H351" i="12"/>
  <c r="E350" i="14"/>
  <c r="H350" i="14"/>
  <c r="A351" i="14"/>
  <c r="D350" i="14"/>
  <c r="E351" i="12"/>
  <c r="A352" i="12"/>
  <c r="K351" i="12"/>
  <c r="B351" i="12"/>
  <c r="L351" i="12"/>
  <c r="F196" i="6"/>
  <c r="E196" i="6"/>
  <c r="B196" i="6"/>
  <c r="H196" i="6"/>
  <c r="J196" i="6"/>
  <c r="C257" i="10"/>
  <c r="G197" i="5"/>
  <c r="E257" i="10"/>
  <c r="A258" i="10"/>
  <c r="D257" i="10"/>
  <c r="B257" i="10"/>
  <c r="G257" i="10"/>
  <c r="B198" i="5"/>
  <c r="G196" i="6"/>
  <c r="A197" i="6"/>
  <c r="C198" i="5"/>
  <c r="A199" i="5"/>
  <c r="D198" i="5"/>
  <c r="E198" i="5" s="1"/>
  <c r="F352" i="12" l="1"/>
  <c r="D352" i="12"/>
  <c r="C352" i="12"/>
  <c r="M352" i="12"/>
  <c r="H199" i="5"/>
  <c r="F199" i="5"/>
  <c r="G351" i="14"/>
  <c r="F351" i="14"/>
  <c r="I197" i="6"/>
  <c r="D197" i="6"/>
  <c r="C197" i="6"/>
  <c r="C351" i="14"/>
  <c r="B351" i="14"/>
  <c r="O352" i="12"/>
  <c r="J352" i="12"/>
  <c r="I352" i="12"/>
  <c r="H352" i="12"/>
  <c r="G352" i="12"/>
  <c r="A352" i="14"/>
  <c r="D351" i="14"/>
  <c r="H351" i="14"/>
  <c r="E351" i="14"/>
  <c r="B352" i="12"/>
  <c r="A353" i="12"/>
  <c r="K352" i="12"/>
  <c r="E352" i="12"/>
  <c r="L352" i="12"/>
  <c r="E197" i="6"/>
  <c r="F197" i="6"/>
  <c r="H197" i="6"/>
  <c r="B197" i="6"/>
  <c r="J197" i="6"/>
  <c r="C258" i="10"/>
  <c r="G198" i="5"/>
  <c r="B258" i="10"/>
  <c r="E258" i="10"/>
  <c r="G258" i="10"/>
  <c r="A259" i="10"/>
  <c r="D258" i="10"/>
  <c r="B199" i="5"/>
  <c r="A198" i="6"/>
  <c r="G197" i="6"/>
  <c r="C199" i="5"/>
  <c r="A200" i="5"/>
  <c r="D199" i="5"/>
  <c r="E199" i="5"/>
  <c r="H200" i="5" l="1"/>
  <c r="F200" i="5"/>
  <c r="M353" i="12"/>
  <c r="F353" i="12"/>
  <c r="D353" i="12"/>
  <c r="C353" i="12"/>
  <c r="G352" i="14"/>
  <c r="F352" i="14"/>
  <c r="D198" i="6"/>
  <c r="C198" i="6"/>
  <c r="I198" i="6"/>
  <c r="C352" i="14"/>
  <c r="B352" i="14"/>
  <c r="O353" i="12"/>
  <c r="J353" i="12"/>
  <c r="H353" i="12"/>
  <c r="G353" i="12"/>
  <c r="I353" i="12"/>
  <c r="E352" i="14"/>
  <c r="H352" i="14"/>
  <c r="D352" i="14"/>
  <c r="A353" i="14"/>
  <c r="L353" i="12"/>
  <c r="A354" i="12"/>
  <c r="K353" i="12"/>
  <c r="B353" i="12"/>
  <c r="E353" i="12"/>
  <c r="F198" i="6"/>
  <c r="E198" i="6"/>
  <c r="H198" i="6"/>
  <c r="B198" i="6"/>
  <c r="J198" i="6"/>
  <c r="C259" i="10"/>
  <c r="G199" i="5"/>
  <c r="G259" i="10"/>
  <c r="B259" i="10"/>
  <c r="A260" i="10"/>
  <c r="D259" i="10"/>
  <c r="E259" i="10"/>
  <c r="B200" i="5"/>
  <c r="A199" i="6"/>
  <c r="G198" i="6"/>
  <c r="C200" i="5"/>
  <c r="A201" i="5"/>
  <c r="D200" i="5"/>
  <c r="E200" i="5" s="1"/>
  <c r="F354" i="12" l="1"/>
  <c r="D354" i="12"/>
  <c r="C354" i="12"/>
  <c r="M354" i="12"/>
  <c r="G353" i="14"/>
  <c r="F353" i="14"/>
  <c r="H201" i="5"/>
  <c r="F201" i="5"/>
  <c r="D199" i="6"/>
  <c r="I199" i="6"/>
  <c r="C199" i="6"/>
  <c r="C353" i="14"/>
  <c r="B353" i="14"/>
  <c r="O354" i="12"/>
  <c r="J354" i="12"/>
  <c r="H354" i="12"/>
  <c r="G354" i="12"/>
  <c r="I354" i="12"/>
  <c r="A354" i="14"/>
  <c r="D353" i="14"/>
  <c r="H353" i="14"/>
  <c r="E353" i="14"/>
  <c r="A355" i="12"/>
  <c r="K354" i="12"/>
  <c r="B354" i="12"/>
  <c r="E354" i="12"/>
  <c r="L354" i="12"/>
  <c r="F199" i="6"/>
  <c r="E199" i="6"/>
  <c r="B199" i="6"/>
  <c r="H199" i="6"/>
  <c r="J199" i="6"/>
  <c r="C260" i="10"/>
  <c r="G200" i="5"/>
  <c r="A261" i="10"/>
  <c r="D260" i="10"/>
  <c r="G260" i="10"/>
  <c r="E260" i="10"/>
  <c r="B260" i="10"/>
  <c r="B201" i="5"/>
  <c r="A200" i="6"/>
  <c r="G199" i="6"/>
  <c r="C201" i="5"/>
  <c r="A202" i="5"/>
  <c r="D201" i="5"/>
  <c r="E201" i="5" s="1"/>
  <c r="F354" i="14" l="1"/>
  <c r="G354" i="14"/>
  <c r="M355" i="12"/>
  <c r="F355" i="12"/>
  <c r="D355" i="12"/>
  <c r="C355" i="12"/>
  <c r="H202" i="5"/>
  <c r="F202" i="5"/>
  <c r="I200" i="6"/>
  <c r="D200" i="6"/>
  <c r="C200" i="6"/>
  <c r="C354" i="14"/>
  <c r="B354" i="14"/>
  <c r="O355" i="12"/>
  <c r="J355" i="12"/>
  <c r="I355" i="12"/>
  <c r="H355" i="12"/>
  <c r="G355" i="12"/>
  <c r="E354" i="14"/>
  <c r="H354" i="14"/>
  <c r="A355" i="14"/>
  <c r="D354" i="14"/>
  <c r="A356" i="12"/>
  <c r="K355" i="12"/>
  <c r="B355" i="12"/>
  <c r="L355" i="12"/>
  <c r="E355" i="12"/>
  <c r="F200" i="6"/>
  <c r="E200" i="6"/>
  <c r="B200" i="6"/>
  <c r="H200" i="6"/>
  <c r="J200" i="6"/>
  <c r="C261" i="10"/>
  <c r="G201" i="5"/>
  <c r="E261" i="10"/>
  <c r="A262" i="10"/>
  <c r="D261" i="10"/>
  <c r="B261" i="10"/>
  <c r="G261" i="10"/>
  <c r="B202" i="5"/>
  <c r="A201" i="6"/>
  <c r="G200" i="6"/>
  <c r="C202" i="5"/>
  <c r="A203" i="5"/>
  <c r="D202" i="5"/>
  <c r="E202" i="5" s="1"/>
  <c r="G355" i="14" l="1"/>
  <c r="F355" i="14"/>
  <c r="F356" i="12"/>
  <c r="D356" i="12"/>
  <c r="C356" i="12"/>
  <c r="M356" i="12"/>
  <c r="H203" i="5"/>
  <c r="F203" i="5"/>
  <c r="C201" i="6"/>
  <c r="D201" i="6"/>
  <c r="I201" i="6"/>
  <c r="C355" i="14"/>
  <c r="B355" i="14"/>
  <c r="O356" i="12"/>
  <c r="J356" i="12"/>
  <c r="I356" i="12"/>
  <c r="H356" i="12"/>
  <c r="G356" i="12"/>
  <c r="A356" i="14"/>
  <c r="D355" i="14"/>
  <c r="H355" i="14"/>
  <c r="E355" i="14"/>
  <c r="B356" i="12"/>
  <c r="A357" i="12"/>
  <c r="E356" i="12"/>
  <c r="K356" i="12"/>
  <c r="L356" i="12"/>
  <c r="F201" i="6"/>
  <c r="E201" i="6"/>
  <c r="H201" i="6"/>
  <c r="B201" i="6"/>
  <c r="J201" i="6"/>
  <c r="C262" i="10"/>
  <c r="G202" i="5"/>
  <c r="B262" i="10"/>
  <c r="E262" i="10"/>
  <c r="G262" i="10"/>
  <c r="D262" i="10"/>
  <c r="A263" i="10"/>
  <c r="B203" i="5"/>
  <c r="A202" i="6"/>
  <c r="G201" i="6"/>
  <c r="C203" i="5"/>
  <c r="A204" i="5"/>
  <c r="D203" i="5"/>
  <c r="E203" i="5"/>
  <c r="M357" i="12" l="1"/>
  <c r="F357" i="12"/>
  <c r="D357" i="12"/>
  <c r="C357" i="12"/>
  <c r="F356" i="14"/>
  <c r="G356" i="14"/>
  <c r="H204" i="5"/>
  <c r="F204" i="5"/>
  <c r="I202" i="6"/>
  <c r="C202" i="6"/>
  <c r="D202" i="6"/>
  <c r="C356" i="14"/>
  <c r="B356" i="14"/>
  <c r="O357" i="12"/>
  <c r="H357" i="12"/>
  <c r="G357" i="12"/>
  <c r="J357" i="12"/>
  <c r="I357" i="12"/>
  <c r="E356" i="14"/>
  <c r="H356" i="14"/>
  <c r="D356" i="14"/>
  <c r="A357" i="14"/>
  <c r="L357" i="12"/>
  <c r="A358" i="12"/>
  <c r="E357" i="12"/>
  <c r="K357" i="12"/>
  <c r="B357" i="12"/>
  <c r="F202" i="6"/>
  <c r="E202" i="6"/>
  <c r="H202" i="6"/>
  <c r="B202" i="6"/>
  <c r="J202" i="6"/>
  <c r="C263" i="10"/>
  <c r="G203" i="5"/>
  <c r="G263" i="10"/>
  <c r="B263" i="10"/>
  <c r="A264" i="10"/>
  <c r="D263" i="10"/>
  <c r="E263" i="10"/>
  <c r="B204" i="5"/>
  <c r="A203" i="6"/>
  <c r="G202" i="6"/>
  <c r="C204" i="5"/>
  <c r="A205" i="5"/>
  <c r="D204" i="5"/>
  <c r="E204" i="5" s="1"/>
  <c r="F358" i="12" l="1"/>
  <c r="D358" i="12"/>
  <c r="C358" i="12"/>
  <c r="M358" i="12"/>
  <c r="G357" i="14"/>
  <c r="F357" i="14"/>
  <c r="H205" i="5"/>
  <c r="F205" i="5"/>
  <c r="I203" i="6"/>
  <c r="D203" i="6"/>
  <c r="C203" i="6"/>
  <c r="C357" i="14"/>
  <c r="B357" i="14"/>
  <c r="O358" i="12"/>
  <c r="J358" i="12"/>
  <c r="I358" i="12"/>
  <c r="G358" i="12"/>
  <c r="H358" i="12"/>
  <c r="A358" i="14"/>
  <c r="D357" i="14"/>
  <c r="H357" i="14"/>
  <c r="E357" i="14"/>
  <c r="K358" i="12"/>
  <c r="A359" i="12"/>
  <c r="E358" i="12"/>
  <c r="B358" i="12"/>
  <c r="L358" i="12"/>
  <c r="F203" i="6"/>
  <c r="E203" i="6"/>
  <c r="B203" i="6"/>
  <c r="H203" i="6"/>
  <c r="J203" i="6"/>
  <c r="C264" i="10"/>
  <c r="G204" i="5"/>
  <c r="A265" i="10"/>
  <c r="D264" i="10"/>
  <c r="G264" i="10"/>
  <c r="E264" i="10"/>
  <c r="B264" i="10"/>
  <c r="B205" i="5"/>
  <c r="G203" i="6"/>
  <c r="A204" i="6"/>
  <c r="C205" i="5"/>
  <c r="A206" i="5"/>
  <c r="D205" i="5"/>
  <c r="E205" i="5" s="1"/>
  <c r="M359" i="12" l="1"/>
  <c r="F359" i="12"/>
  <c r="D359" i="12"/>
  <c r="C359" i="12"/>
  <c r="H206" i="5"/>
  <c r="F206" i="5"/>
  <c r="F358" i="14"/>
  <c r="G358" i="14"/>
  <c r="I204" i="6"/>
  <c r="D204" i="6"/>
  <c r="C204" i="6"/>
  <c r="C358" i="14"/>
  <c r="B358" i="14"/>
  <c r="O359" i="12"/>
  <c r="J359" i="12"/>
  <c r="I359" i="12"/>
  <c r="H359" i="12"/>
  <c r="G359" i="12"/>
  <c r="E358" i="14"/>
  <c r="H358" i="14"/>
  <c r="A359" i="14"/>
  <c r="D358" i="14"/>
  <c r="A360" i="12"/>
  <c r="L359" i="12"/>
  <c r="K359" i="12"/>
  <c r="B359" i="12"/>
  <c r="E359" i="12"/>
  <c r="F204" i="6"/>
  <c r="E204" i="6"/>
  <c r="B204" i="6"/>
  <c r="H204" i="6"/>
  <c r="J204" i="6"/>
  <c r="C265" i="10"/>
  <c r="G205" i="5"/>
  <c r="E265" i="10"/>
  <c r="A266" i="10"/>
  <c r="D265" i="10"/>
  <c r="B265" i="10"/>
  <c r="G265" i="10"/>
  <c r="B206" i="5"/>
  <c r="G204" i="6"/>
  <c r="A205" i="6"/>
  <c r="C206" i="5"/>
  <c r="D206" i="5"/>
  <c r="A207" i="5"/>
  <c r="E206" i="5"/>
  <c r="F360" i="12" l="1"/>
  <c r="D360" i="12"/>
  <c r="C360" i="12"/>
  <c r="M360" i="12"/>
  <c r="H207" i="5"/>
  <c r="F207" i="5"/>
  <c r="G359" i="14"/>
  <c r="F359" i="14"/>
  <c r="I205" i="6"/>
  <c r="D205" i="6"/>
  <c r="C205" i="6"/>
  <c r="C359" i="14"/>
  <c r="B359" i="14"/>
  <c r="O360" i="12"/>
  <c r="J360" i="12"/>
  <c r="I360" i="12"/>
  <c r="H360" i="12"/>
  <c r="G360" i="12"/>
  <c r="A360" i="14"/>
  <c r="D359" i="14"/>
  <c r="H359" i="14"/>
  <c r="E359" i="14"/>
  <c r="B360" i="12"/>
  <c r="A361" i="12"/>
  <c r="K360" i="12"/>
  <c r="E360" i="12"/>
  <c r="L360" i="12"/>
  <c r="E205" i="6"/>
  <c r="F205" i="6"/>
  <c r="H205" i="6"/>
  <c r="B205" i="6"/>
  <c r="J205" i="6"/>
  <c r="C266" i="10"/>
  <c r="G206" i="5"/>
  <c r="B266" i="10"/>
  <c r="E266" i="10"/>
  <c r="G266" i="10"/>
  <c r="D266" i="10"/>
  <c r="A267" i="10"/>
  <c r="B207" i="5"/>
  <c r="A206" i="6"/>
  <c r="G205" i="6"/>
  <c r="C207" i="5"/>
  <c r="A208" i="5"/>
  <c r="D207" i="5"/>
  <c r="E207" i="5"/>
  <c r="M361" i="12" l="1"/>
  <c r="F361" i="12"/>
  <c r="D361" i="12"/>
  <c r="C361" i="12"/>
  <c r="G360" i="14"/>
  <c r="F360" i="14"/>
  <c r="H208" i="5"/>
  <c r="F208" i="5"/>
  <c r="D206" i="6"/>
  <c r="C206" i="6"/>
  <c r="I206" i="6"/>
  <c r="C360" i="14"/>
  <c r="B360" i="14"/>
  <c r="O361" i="12"/>
  <c r="J361" i="12"/>
  <c r="H361" i="12"/>
  <c r="G361" i="12"/>
  <c r="I361" i="12"/>
  <c r="E360" i="14"/>
  <c r="H360" i="14"/>
  <c r="D360" i="14"/>
  <c r="A361" i="14"/>
  <c r="L361" i="12"/>
  <c r="A362" i="12"/>
  <c r="E361" i="12"/>
  <c r="K361" i="12"/>
  <c r="B361" i="12"/>
  <c r="F206" i="6"/>
  <c r="E206" i="6"/>
  <c r="H206" i="6"/>
  <c r="B206" i="6"/>
  <c r="J206" i="6"/>
  <c r="C267" i="10"/>
  <c r="G207" i="5"/>
  <c r="G267" i="10"/>
  <c r="B267" i="10"/>
  <c r="A268" i="10"/>
  <c r="D267" i="10"/>
  <c r="E267" i="10"/>
  <c r="B208" i="5"/>
  <c r="A207" i="6"/>
  <c r="G206" i="6"/>
  <c r="C208" i="5"/>
  <c r="D208" i="5"/>
  <c r="E208" i="5" s="1"/>
  <c r="A209" i="5"/>
  <c r="F361" i="14" l="1"/>
  <c r="G361" i="14"/>
  <c r="F362" i="12"/>
  <c r="D362" i="12"/>
  <c r="C362" i="12"/>
  <c r="M362" i="12"/>
  <c r="H209" i="5"/>
  <c r="F209" i="5"/>
  <c r="D207" i="6"/>
  <c r="I207" i="6"/>
  <c r="C207" i="6"/>
  <c r="C361" i="14"/>
  <c r="B361" i="14"/>
  <c r="O362" i="12"/>
  <c r="J362" i="12"/>
  <c r="I362" i="12"/>
  <c r="G362" i="12"/>
  <c r="H362" i="12"/>
  <c r="A362" i="14"/>
  <c r="D361" i="14"/>
  <c r="H361" i="14"/>
  <c r="E361" i="14"/>
  <c r="K362" i="12"/>
  <c r="B362" i="12"/>
  <c r="L362" i="12"/>
  <c r="E362" i="12"/>
  <c r="A363" i="12"/>
  <c r="F207" i="6"/>
  <c r="E207" i="6"/>
  <c r="B207" i="6"/>
  <c r="H207" i="6"/>
  <c r="J207" i="6"/>
  <c r="C268" i="10"/>
  <c r="G208" i="5"/>
  <c r="A269" i="10"/>
  <c r="D268" i="10"/>
  <c r="G268" i="10"/>
  <c r="E268" i="10"/>
  <c r="B268" i="10"/>
  <c r="B209" i="5"/>
  <c r="A208" i="6"/>
  <c r="G207" i="6"/>
  <c r="C209" i="5"/>
  <c r="D209" i="5"/>
  <c r="E209" i="5" s="1"/>
  <c r="A210" i="5"/>
  <c r="H210" i="5" l="1"/>
  <c r="F210" i="5"/>
  <c r="F362" i="14"/>
  <c r="G362" i="14"/>
  <c r="M363" i="12"/>
  <c r="F363" i="12"/>
  <c r="D363" i="12"/>
  <c r="C363" i="12"/>
  <c r="I208" i="6"/>
  <c r="D208" i="6"/>
  <c r="C208" i="6"/>
  <c r="C362" i="14"/>
  <c r="B362" i="14"/>
  <c r="O363" i="12"/>
  <c r="J363" i="12"/>
  <c r="I363" i="12"/>
  <c r="H363" i="12"/>
  <c r="G363" i="12"/>
  <c r="E362" i="14"/>
  <c r="H362" i="14"/>
  <c r="A363" i="14"/>
  <c r="D362" i="14"/>
  <c r="A364" i="12"/>
  <c r="E363" i="12"/>
  <c r="K363" i="12"/>
  <c r="B363" i="12"/>
  <c r="L363" i="12"/>
  <c r="F208" i="6"/>
  <c r="E208" i="6"/>
  <c r="B208" i="6"/>
  <c r="H208" i="6"/>
  <c r="J208" i="6"/>
  <c r="C269" i="10"/>
  <c r="G209" i="5"/>
  <c r="E269" i="10"/>
  <c r="A270" i="10"/>
  <c r="D269" i="10"/>
  <c r="B269" i="10"/>
  <c r="G269" i="10"/>
  <c r="B210" i="5"/>
  <c r="A209" i="6"/>
  <c r="G208" i="6"/>
  <c r="C210" i="5"/>
  <c r="A211" i="5"/>
  <c r="D210" i="5"/>
  <c r="E210" i="5" s="1"/>
  <c r="F363" i="14" l="1"/>
  <c r="G363" i="14"/>
  <c r="H211" i="5"/>
  <c r="F211" i="5"/>
  <c r="C364" i="12"/>
  <c r="M364" i="12"/>
  <c r="F364" i="12"/>
  <c r="D364" i="12"/>
  <c r="C209" i="6"/>
  <c r="I209" i="6"/>
  <c r="D209" i="6"/>
  <c r="C363" i="14"/>
  <c r="B363" i="14"/>
  <c r="J364" i="12"/>
  <c r="O364" i="12"/>
  <c r="I364" i="12"/>
  <c r="H364" i="12"/>
  <c r="G364" i="12"/>
  <c r="A364" i="14"/>
  <c r="D363" i="14"/>
  <c r="H363" i="14"/>
  <c r="E363" i="14"/>
  <c r="B364" i="12"/>
  <c r="A365" i="12"/>
  <c r="K364" i="12"/>
  <c r="L364" i="12"/>
  <c r="E364" i="12"/>
  <c r="F209" i="6"/>
  <c r="E209" i="6"/>
  <c r="H209" i="6"/>
  <c r="B209" i="6"/>
  <c r="J209" i="6"/>
  <c r="C270" i="10"/>
  <c r="G210" i="5"/>
  <c r="B270" i="10"/>
  <c r="E270" i="10"/>
  <c r="G270" i="10"/>
  <c r="A271" i="10"/>
  <c r="D270" i="10"/>
  <c r="B211" i="5"/>
  <c r="A210" i="6"/>
  <c r="G209" i="6"/>
  <c r="C211" i="5"/>
  <c r="A212" i="5"/>
  <c r="D211" i="5"/>
  <c r="E211" i="5" s="1"/>
  <c r="M365" i="12" l="1"/>
  <c r="F365" i="12"/>
  <c r="D365" i="12"/>
  <c r="C365" i="12"/>
  <c r="H212" i="5"/>
  <c r="F212" i="5"/>
  <c r="F364" i="14"/>
  <c r="G364" i="14"/>
  <c r="I210" i="6"/>
  <c r="C210" i="6"/>
  <c r="D210" i="6"/>
  <c r="C364" i="14"/>
  <c r="B364" i="14"/>
  <c r="O365" i="12"/>
  <c r="H365" i="12"/>
  <c r="G365" i="12"/>
  <c r="I365" i="12"/>
  <c r="J365" i="12"/>
  <c r="E364" i="14"/>
  <c r="H364" i="14"/>
  <c r="D364" i="14"/>
  <c r="A365" i="14"/>
  <c r="L365" i="12"/>
  <c r="A366" i="12"/>
  <c r="E365" i="12"/>
  <c r="K365" i="12"/>
  <c r="B365" i="12"/>
  <c r="F210" i="6"/>
  <c r="E210" i="6"/>
  <c r="H210" i="6"/>
  <c r="B210" i="6"/>
  <c r="J210" i="6"/>
  <c r="C271" i="10"/>
  <c r="G211" i="5"/>
  <c r="G271" i="10"/>
  <c r="B271" i="10"/>
  <c r="A272" i="10"/>
  <c r="D271" i="10"/>
  <c r="E271" i="10"/>
  <c r="B212" i="5"/>
  <c r="A211" i="6"/>
  <c r="G210" i="6"/>
  <c r="C212" i="5"/>
  <c r="A213" i="5"/>
  <c r="D212" i="5"/>
  <c r="E212" i="5" s="1"/>
  <c r="H213" i="5" l="1"/>
  <c r="F213" i="5"/>
  <c r="F365" i="14"/>
  <c r="G365" i="14"/>
  <c r="C366" i="12"/>
  <c r="M366" i="12"/>
  <c r="F366" i="12"/>
  <c r="D366" i="12"/>
  <c r="I211" i="6"/>
  <c r="D211" i="6"/>
  <c r="C211" i="6"/>
  <c r="C365" i="14"/>
  <c r="B365" i="14"/>
  <c r="O366" i="12"/>
  <c r="I366" i="12"/>
  <c r="G366" i="12"/>
  <c r="J366" i="12"/>
  <c r="H366" i="12"/>
  <c r="A366" i="14"/>
  <c r="D365" i="14"/>
  <c r="H365" i="14"/>
  <c r="E365" i="14"/>
  <c r="B366" i="12"/>
  <c r="L366" i="12"/>
  <c r="A367" i="12"/>
  <c r="K366" i="12"/>
  <c r="E366" i="12"/>
  <c r="F211" i="6"/>
  <c r="E211" i="6"/>
  <c r="B211" i="6"/>
  <c r="H211" i="6"/>
  <c r="J211" i="6"/>
  <c r="C272" i="10"/>
  <c r="G212" i="5"/>
  <c r="A273" i="10"/>
  <c r="D272" i="10"/>
  <c r="G272" i="10"/>
  <c r="E272" i="10"/>
  <c r="B272" i="10"/>
  <c r="B213" i="5"/>
  <c r="G211" i="6"/>
  <c r="A212" i="6"/>
  <c r="C213" i="5"/>
  <c r="A214" i="5"/>
  <c r="D213" i="5"/>
  <c r="E213" i="5"/>
  <c r="H214" i="5" l="1"/>
  <c r="F214" i="5"/>
  <c r="F366" i="14"/>
  <c r="G366" i="14"/>
  <c r="D212" i="6"/>
  <c r="C212" i="6"/>
  <c r="I212" i="6"/>
  <c r="M367" i="12"/>
  <c r="F367" i="12"/>
  <c r="D367" i="12"/>
  <c r="C367" i="12"/>
  <c r="C366" i="14"/>
  <c r="B366" i="14"/>
  <c r="O367" i="12"/>
  <c r="J367" i="12"/>
  <c r="I367" i="12"/>
  <c r="G367" i="12"/>
  <c r="H367" i="12"/>
  <c r="E366" i="14"/>
  <c r="H366" i="14"/>
  <c r="A367" i="14"/>
  <c r="D366" i="14"/>
  <c r="A368" i="12"/>
  <c r="K367" i="12"/>
  <c r="B367" i="12"/>
  <c r="L367" i="12"/>
  <c r="E367" i="12"/>
  <c r="F212" i="6"/>
  <c r="E212" i="6"/>
  <c r="B212" i="6"/>
  <c r="H212" i="6"/>
  <c r="J212" i="6"/>
  <c r="C273" i="10"/>
  <c r="G213" i="5"/>
  <c r="E273" i="10"/>
  <c r="A274" i="10"/>
  <c r="D273" i="10"/>
  <c r="B273" i="10"/>
  <c r="G273" i="10"/>
  <c r="B214" i="5"/>
  <c r="G212" i="6"/>
  <c r="A213" i="6"/>
  <c r="C214" i="5"/>
  <c r="A215" i="5"/>
  <c r="E214" i="5"/>
  <c r="D214" i="5"/>
  <c r="C368" i="12" l="1"/>
  <c r="M368" i="12"/>
  <c r="F368" i="12"/>
  <c r="D368" i="12"/>
  <c r="G367" i="14"/>
  <c r="F367" i="14"/>
  <c r="H215" i="5"/>
  <c r="F215" i="5"/>
  <c r="D213" i="6"/>
  <c r="I213" i="6"/>
  <c r="C213" i="6"/>
  <c r="C367" i="14"/>
  <c r="B367" i="14"/>
  <c r="O368" i="12"/>
  <c r="J368" i="12"/>
  <c r="I368" i="12"/>
  <c r="H368" i="12"/>
  <c r="G368" i="12"/>
  <c r="A368" i="14"/>
  <c r="D367" i="14"/>
  <c r="H367" i="14"/>
  <c r="E367" i="14"/>
  <c r="B368" i="12"/>
  <c r="L368" i="12"/>
  <c r="A369" i="12"/>
  <c r="K368" i="12"/>
  <c r="E368" i="12"/>
  <c r="E213" i="6"/>
  <c r="F213" i="6"/>
  <c r="H213" i="6"/>
  <c r="B213" i="6"/>
  <c r="J213" i="6"/>
  <c r="C274" i="10"/>
  <c r="G214" i="5"/>
  <c r="B274" i="10"/>
  <c r="E274" i="10"/>
  <c r="G274" i="10"/>
  <c r="A275" i="10"/>
  <c r="D274" i="10"/>
  <c r="B215" i="5"/>
  <c r="A214" i="6"/>
  <c r="G213" i="6"/>
  <c r="C215" i="5"/>
  <c r="D215" i="5"/>
  <c r="A216" i="5"/>
  <c r="E215" i="5"/>
  <c r="H216" i="5" l="1"/>
  <c r="F216" i="5"/>
  <c r="F368" i="14"/>
  <c r="G368" i="14"/>
  <c r="I214" i="6"/>
  <c r="D214" i="6"/>
  <c r="C214" i="6"/>
  <c r="M369" i="12"/>
  <c r="F369" i="12"/>
  <c r="D369" i="12"/>
  <c r="C369" i="12"/>
  <c r="C368" i="14"/>
  <c r="B368" i="14"/>
  <c r="O369" i="12"/>
  <c r="J369" i="12"/>
  <c r="H369" i="12"/>
  <c r="G369" i="12"/>
  <c r="I369" i="12"/>
  <c r="E368" i="14"/>
  <c r="H368" i="14"/>
  <c r="D368" i="14"/>
  <c r="A369" i="14"/>
  <c r="L369" i="12"/>
  <c r="A370" i="12"/>
  <c r="K369" i="12"/>
  <c r="B369" i="12"/>
  <c r="E369" i="12"/>
  <c r="F214" i="6"/>
  <c r="E214" i="6"/>
  <c r="H214" i="6"/>
  <c r="B214" i="6"/>
  <c r="J214" i="6"/>
  <c r="C275" i="10"/>
  <c r="G215" i="5"/>
  <c r="G275" i="10"/>
  <c r="B275" i="10"/>
  <c r="A276" i="10"/>
  <c r="D275" i="10"/>
  <c r="E275" i="10"/>
  <c r="B216" i="5"/>
  <c r="A215" i="6"/>
  <c r="G214" i="6"/>
  <c r="C216" i="5"/>
  <c r="A217" i="5"/>
  <c r="D216" i="5"/>
  <c r="E216" i="5"/>
  <c r="C370" i="12" l="1"/>
  <c r="M370" i="12"/>
  <c r="F370" i="12"/>
  <c r="D370" i="12"/>
  <c r="H217" i="5"/>
  <c r="F217" i="5"/>
  <c r="G369" i="14"/>
  <c r="F369" i="14"/>
  <c r="C215" i="6"/>
  <c r="I215" i="6"/>
  <c r="D215" i="6"/>
  <c r="C369" i="14"/>
  <c r="B369" i="14"/>
  <c r="O370" i="12"/>
  <c r="J370" i="12"/>
  <c r="I370" i="12"/>
  <c r="H370" i="12"/>
  <c r="G370" i="12"/>
  <c r="A370" i="14"/>
  <c r="D369" i="14"/>
  <c r="H369" i="14"/>
  <c r="E369" i="14"/>
  <c r="A371" i="12"/>
  <c r="K370" i="12"/>
  <c r="B370" i="12"/>
  <c r="L370" i="12"/>
  <c r="E370" i="12"/>
  <c r="F215" i="6"/>
  <c r="E215" i="6"/>
  <c r="B215" i="6"/>
  <c r="H215" i="6"/>
  <c r="J215" i="6"/>
  <c r="C276" i="10"/>
  <c r="G216" i="5"/>
  <c r="A277" i="10"/>
  <c r="D276" i="10"/>
  <c r="G276" i="10"/>
  <c r="E276" i="10"/>
  <c r="B276" i="10"/>
  <c r="B217" i="5"/>
  <c r="A216" i="6"/>
  <c r="G215" i="6"/>
  <c r="C217" i="5"/>
  <c r="A218" i="5"/>
  <c r="D217" i="5"/>
  <c r="E217" i="5"/>
  <c r="H218" i="5" l="1"/>
  <c r="F218" i="5"/>
  <c r="M371" i="12"/>
  <c r="F371" i="12"/>
  <c r="D371" i="12"/>
  <c r="C371" i="12"/>
  <c r="F370" i="14"/>
  <c r="G370" i="14"/>
  <c r="I216" i="6"/>
  <c r="C216" i="6"/>
  <c r="D216" i="6"/>
  <c r="C370" i="14"/>
  <c r="B370" i="14"/>
  <c r="O371" i="12"/>
  <c r="J371" i="12"/>
  <c r="I371" i="12"/>
  <c r="H371" i="12"/>
  <c r="G371" i="12"/>
  <c r="E370" i="14"/>
  <c r="H370" i="14"/>
  <c r="A371" i="14"/>
  <c r="D370" i="14"/>
  <c r="E371" i="12"/>
  <c r="A372" i="12"/>
  <c r="K371" i="12"/>
  <c r="B371" i="12"/>
  <c r="L371" i="12"/>
  <c r="F216" i="6"/>
  <c r="E216" i="6"/>
  <c r="B216" i="6"/>
  <c r="H216" i="6"/>
  <c r="J216" i="6"/>
  <c r="C277" i="10"/>
  <c r="G217" i="5"/>
  <c r="E277" i="10"/>
  <c r="A278" i="10"/>
  <c r="D277" i="10"/>
  <c r="B277" i="10"/>
  <c r="G277" i="10"/>
  <c r="B218" i="5"/>
  <c r="A217" i="6"/>
  <c r="G216" i="6"/>
  <c r="C218" i="5"/>
  <c r="A219" i="5"/>
  <c r="D218" i="5"/>
  <c r="E218" i="5" s="1"/>
  <c r="C372" i="12" l="1"/>
  <c r="M372" i="12"/>
  <c r="F372" i="12"/>
  <c r="D372" i="12"/>
  <c r="G371" i="14"/>
  <c r="F371" i="14"/>
  <c r="H219" i="5"/>
  <c r="F219" i="5"/>
  <c r="I217" i="6"/>
  <c r="D217" i="6"/>
  <c r="C217" i="6"/>
  <c r="C371" i="14"/>
  <c r="B371" i="14"/>
  <c r="O372" i="12"/>
  <c r="J372" i="12"/>
  <c r="I372" i="12"/>
  <c r="H372" i="12"/>
  <c r="G372" i="12"/>
  <c r="A372" i="14"/>
  <c r="D371" i="14"/>
  <c r="H371" i="14"/>
  <c r="E371" i="14"/>
  <c r="B372" i="12"/>
  <c r="A373" i="12"/>
  <c r="K372" i="12"/>
  <c r="E372" i="12"/>
  <c r="L372" i="12"/>
  <c r="F217" i="6"/>
  <c r="E217" i="6"/>
  <c r="H217" i="6"/>
  <c r="B217" i="6"/>
  <c r="J217" i="6"/>
  <c r="C278" i="10"/>
  <c r="G218" i="5"/>
  <c r="B278" i="10"/>
  <c r="E278" i="10"/>
  <c r="G278" i="10"/>
  <c r="D278" i="10"/>
  <c r="A279" i="10"/>
  <c r="B219" i="5"/>
  <c r="A218" i="6"/>
  <c r="G217" i="6"/>
  <c r="C219" i="5"/>
  <c r="A220" i="5"/>
  <c r="D219" i="5"/>
  <c r="E219" i="5"/>
  <c r="M373" i="12" l="1"/>
  <c r="F373" i="12"/>
  <c r="D373" i="12"/>
  <c r="C373" i="12"/>
  <c r="H220" i="5"/>
  <c r="F220" i="5"/>
  <c r="G372" i="14"/>
  <c r="F372" i="14"/>
  <c r="I218" i="6"/>
  <c r="D218" i="6"/>
  <c r="C218" i="6"/>
  <c r="C372" i="14"/>
  <c r="B372" i="14"/>
  <c r="O373" i="12"/>
  <c r="H373" i="12"/>
  <c r="G373" i="12"/>
  <c r="J373" i="12"/>
  <c r="I373" i="12"/>
  <c r="E372" i="14"/>
  <c r="H372" i="14"/>
  <c r="D372" i="14"/>
  <c r="A373" i="14"/>
  <c r="L373" i="12"/>
  <c r="A374" i="12"/>
  <c r="E373" i="12"/>
  <c r="K373" i="12"/>
  <c r="B373" i="12"/>
  <c r="F218" i="6"/>
  <c r="E218" i="6"/>
  <c r="H218" i="6"/>
  <c r="B218" i="6"/>
  <c r="J218" i="6"/>
  <c r="C279" i="10"/>
  <c r="G219" i="5"/>
  <c r="G279" i="10"/>
  <c r="B279" i="10"/>
  <c r="A280" i="10"/>
  <c r="D279" i="10"/>
  <c r="E279" i="10"/>
  <c r="B220" i="5"/>
  <c r="A219" i="6"/>
  <c r="G218" i="6"/>
  <c r="C220" i="5"/>
  <c r="D220" i="5"/>
  <c r="A221" i="5"/>
  <c r="E220" i="5"/>
  <c r="F373" i="14" l="1"/>
  <c r="G373" i="14"/>
  <c r="H221" i="5"/>
  <c r="F221" i="5"/>
  <c r="C374" i="12"/>
  <c r="M374" i="12"/>
  <c r="F374" i="12"/>
  <c r="D374" i="12"/>
  <c r="I219" i="6"/>
  <c r="D219" i="6"/>
  <c r="C219" i="6"/>
  <c r="C373" i="14"/>
  <c r="B373" i="14"/>
  <c r="O374" i="12"/>
  <c r="J374" i="12"/>
  <c r="I374" i="12"/>
  <c r="H374" i="12"/>
  <c r="G374" i="12"/>
  <c r="A374" i="14"/>
  <c r="D373" i="14"/>
  <c r="H373" i="14"/>
  <c r="E373" i="14"/>
  <c r="K374" i="12"/>
  <c r="B374" i="12"/>
  <c r="E374" i="12"/>
  <c r="L374" i="12"/>
  <c r="A375" i="12"/>
  <c r="F219" i="6"/>
  <c r="E219" i="6"/>
  <c r="B219" i="6"/>
  <c r="H219" i="6"/>
  <c r="J219" i="6"/>
  <c r="C280" i="10"/>
  <c r="G220" i="5"/>
  <c r="A281" i="10"/>
  <c r="D280" i="10"/>
  <c r="G280" i="10"/>
  <c r="E280" i="10"/>
  <c r="B280" i="10"/>
  <c r="B221" i="5"/>
  <c r="G219" i="6"/>
  <c r="A220" i="6"/>
  <c r="C221" i="5"/>
  <c r="A222" i="5"/>
  <c r="D221" i="5"/>
  <c r="E221" i="5" s="1"/>
  <c r="H222" i="5" l="1"/>
  <c r="F222" i="5"/>
  <c r="M375" i="12"/>
  <c r="F375" i="12"/>
  <c r="D375" i="12"/>
  <c r="C375" i="12"/>
  <c r="D220" i="6"/>
  <c r="C220" i="6"/>
  <c r="I220" i="6"/>
  <c r="F374" i="14"/>
  <c r="G374" i="14"/>
  <c r="C374" i="14"/>
  <c r="B374" i="14"/>
  <c r="O375" i="12"/>
  <c r="J375" i="12"/>
  <c r="I375" i="12"/>
  <c r="H375" i="12"/>
  <c r="G375" i="12"/>
  <c r="E374" i="14"/>
  <c r="H374" i="14"/>
  <c r="A375" i="14"/>
  <c r="D374" i="14"/>
  <c r="K375" i="12"/>
  <c r="L375" i="12"/>
  <c r="E375" i="12"/>
  <c r="A376" i="12"/>
  <c r="B375" i="12"/>
  <c r="F220" i="6"/>
  <c r="E220" i="6"/>
  <c r="B220" i="6"/>
  <c r="H220" i="6"/>
  <c r="J220" i="6"/>
  <c r="C281" i="10"/>
  <c r="G221" i="5"/>
  <c r="E281" i="10"/>
  <c r="A282" i="10"/>
  <c r="D281" i="10"/>
  <c r="B281" i="10"/>
  <c r="G281" i="10"/>
  <c r="B222" i="5"/>
  <c r="G220" i="6"/>
  <c r="A221" i="6"/>
  <c r="C222" i="5"/>
  <c r="D222" i="5"/>
  <c r="A223" i="5"/>
  <c r="E222" i="5"/>
  <c r="G375" i="14" l="1"/>
  <c r="F375" i="14"/>
  <c r="H223" i="5"/>
  <c r="F223" i="5"/>
  <c r="D221" i="6"/>
  <c r="C221" i="6"/>
  <c r="I221" i="6"/>
  <c r="C376" i="12"/>
  <c r="M376" i="12"/>
  <c r="F376" i="12"/>
  <c r="D376" i="12"/>
  <c r="C375" i="14"/>
  <c r="B375" i="14"/>
  <c r="O376" i="12"/>
  <c r="J376" i="12"/>
  <c r="I376" i="12"/>
  <c r="H376" i="12"/>
  <c r="G376" i="12"/>
  <c r="A376" i="14"/>
  <c r="D375" i="14"/>
  <c r="H375" i="14"/>
  <c r="E375" i="14"/>
  <c r="B376" i="12"/>
  <c r="E376" i="12"/>
  <c r="A377" i="12"/>
  <c r="K376" i="12"/>
  <c r="L376" i="12"/>
  <c r="E221" i="6"/>
  <c r="F221" i="6"/>
  <c r="H221" i="6"/>
  <c r="B221" i="6"/>
  <c r="J221" i="6"/>
  <c r="C282" i="10"/>
  <c r="G222" i="5"/>
  <c r="B282" i="10"/>
  <c r="E282" i="10"/>
  <c r="G282" i="10"/>
  <c r="D282" i="10"/>
  <c r="A283" i="10"/>
  <c r="B223" i="5"/>
  <c r="A222" i="6"/>
  <c r="G221" i="6"/>
  <c r="C223" i="5"/>
  <c r="D223" i="5"/>
  <c r="E223" i="5" s="1"/>
  <c r="A224" i="5"/>
  <c r="G376" i="14" l="1"/>
  <c r="F376" i="14"/>
  <c r="H224" i="5"/>
  <c r="F224" i="5"/>
  <c r="I222" i="6"/>
  <c r="D222" i="6"/>
  <c r="C222" i="6"/>
  <c r="M377" i="12"/>
  <c r="F377" i="12"/>
  <c r="D377" i="12"/>
  <c r="C377" i="12"/>
  <c r="C376" i="14"/>
  <c r="B376" i="14"/>
  <c r="O377" i="12"/>
  <c r="J377" i="12"/>
  <c r="H377" i="12"/>
  <c r="G377" i="12"/>
  <c r="I377" i="12"/>
  <c r="E376" i="14"/>
  <c r="H376" i="14"/>
  <c r="D376" i="14"/>
  <c r="A377" i="14"/>
  <c r="L377" i="12"/>
  <c r="E377" i="12"/>
  <c r="K377" i="12"/>
  <c r="B377" i="12"/>
  <c r="A378" i="12"/>
  <c r="F222" i="6"/>
  <c r="E222" i="6"/>
  <c r="H222" i="6"/>
  <c r="B222" i="6"/>
  <c r="J222" i="6"/>
  <c r="C283" i="10"/>
  <c r="G223" i="5"/>
  <c r="G283" i="10"/>
  <c r="B283" i="10"/>
  <c r="A284" i="10"/>
  <c r="D283" i="10"/>
  <c r="E283" i="10"/>
  <c r="B224" i="5"/>
  <c r="A223" i="6"/>
  <c r="G222" i="6"/>
  <c r="C224" i="5"/>
  <c r="D224" i="5"/>
  <c r="E224" i="5"/>
  <c r="A225" i="5"/>
  <c r="C378" i="12" l="1"/>
  <c r="M378" i="12"/>
  <c r="F378" i="12"/>
  <c r="D378" i="12"/>
  <c r="H225" i="5"/>
  <c r="F225" i="5"/>
  <c r="F377" i="14"/>
  <c r="G377" i="14"/>
  <c r="C223" i="6"/>
  <c r="I223" i="6"/>
  <c r="D223" i="6"/>
  <c r="C377" i="14"/>
  <c r="B377" i="14"/>
  <c r="O378" i="12"/>
  <c r="J378" i="12"/>
  <c r="I378" i="12"/>
  <c r="G378" i="12"/>
  <c r="H378" i="12"/>
  <c r="A378" i="14"/>
  <c r="D377" i="14"/>
  <c r="H377" i="14"/>
  <c r="E377" i="14"/>
  <c r="B378" i="12"/>
  <c r="K378" i="12"/>
  <c r="A379" i="12"/>
  <c r="E378" i="12"/>
  <c r="L378" i="12"/>
  <c r="F223" i="6"/>
  <c r="E223" i="6"/>
  <c r="B223" i="6"/>
  <c r="H223" i="6"/>
  <c r="J223" i="6"/>
  <c r="C284" i="10"/>
  <c r="G224" i="5"/>
  <c r="A285" i="10"/>
  <c r="D284" i="10"/>
  <c r="G284" i="10"/>
  <c r="E284" i="10"/>
  <c r="B284" i="10"/>
  <c r="B225" i="5"/>
  <c r="A224" i="6"/>
  <c r="G223" i="6"/>
  <c r="C225" i="5"/>
  <c r="D225" i="5"/>
  <c r="A226" i="5"/>
  <c r="E225" i="5"/>
  <c r="H226" i="5" l="1"/>
  <c r="F226" i="5"/>
  <c r="F378" i="14"/>
  <c r="G378" i="14"/>
  <c r="I224" i="6"/>
  <c r="C224" i="6"/>
  <c r="D224" i="6"/>
  <c r="M379" i="12"/>
  <c r="F379" i="12"/>
  <c r="D379" i="12"/>
  <c r="C379" i="12"/>
  <c r="C378" i="14"/>
  <c r="B378" i="14"/>
  <c r="O379" i="12"/>
  <c r="J379" i="12"/>
  <c r="I379" i="12"/>
  <c r="H379" i="12"/>
  <c r="G379" i="12"/>
  <c r="E378" i="14"/>
  <c r="H378" i="14"/>
  <c r="A379" i="14"/>
  <c r="D378" i="14"/>
  <c r="A380" i="12"/>
  <c r="K379" i="12"/>
  <c r="B379" i="12"/>
  <c r="L379" i="12"/>
  <c r="E379" i="12"/>
  <c r="F224" i="6"/>
  <c r="E224" i="6"/>
  <c r="B224" i="6"/>
  <c r="H224" i="6"/>
  <c r="J224" i="6"/>
  <c r="C285" i="10"/>
  <c r="G225" i="5"/>
  <c r="E285" i="10"/>
  <c r="A286" i="10"/>
  <c r="D285" i="10"/>
  <c r="B285" i="10"/>
  <c r="G285" i="10"/>
  <c r="B226" i="5"/>
  <c r="A225" i="6"/>
  <c r="G224" i="6"/>
  <c r="C226" i="5"/>
  <c r="D226" i="5"/>
  <c r="E226" i="5"/>
  <c r="A227" i="5"/>
  <c r="C380" i="12" l="1"/>
  <c r="M380" i="12"/>
  <c r="F380" i="12"/>
  <c r="D380" i="12"/>
  <c r="H227" i="5"/>
  <c r="F227" i="5"/>
  <c r="F379" i="14"/>
  <c r="G379" i="14"/>
  <c r="I225" i="6"/>
  <c r="D225" i="6"/>
  <c r="C225" i="6"/>
  <c r="C379" i="14"/>
  <c r="B379" i="14"/>
  <c r="J380" i="12"/>
  <c r="I380" i="12"/>
  <c r="O380" i="12"/>
  <c r="H380" i="12"/>
  <c r="G380" i="12"/>
  <c r="A380" i="14"/>
  <c r="D379" i="14"/>
  <c r="H379" i="14"/>
  <c r="E379" i="14"/>
  <c r="B380" i="12"/>
  <c r="A381" i="12"/>
  <c r="K380" i="12"/>
  <c r="L380" i="12"/>
  <c r="E380" i="12"/>
  <c r="F225" i="6"/>
  <c r="E225" i="6"/>
  <c r="H225" i="6"/>
  <c r="B225" i="6"/>
  <c r="J225" i="6"/>
  <c r="C286" i="10"/>
  <c r="G226" i="5"/>
  <c r="B286" i="10"/>
  <c r="E286" i="10"/>
  <c r="G286" i="10"/>
  <c r="A287" i="10"/>
  <c r="D286" i="10"/>
  <c r="B227" i="5"/>
  <c r="A226" i="6"/>
  <c r="G225" i="6"/>
  <c r="C227" i="5"/>
  <c r="D227" i="5"/>
  <c r="A228" i="5"/>
  <c r="E227" i="5"/>
  <c r="H228" i="5" l="1"/>
  <c r="F228" i="5"/>
  <c r="M381" i="12"/>
  <c r="F381" i="12"/>
  <c r="D381" i="12"/>
  <c r="C381" i="12"/>
  <c r="G380" i="14"/>
  <c r="F380" i="14"/>
  <c r="I226" i="6"/>
  <c r="D226" i="6"/>
  <c r="C226" i="6"/>
  <c r="C380" i="14"/>
  <c r="B380" i="14"/>
  <c r="O381" i="12"/>
  <c r="H381" i="12"/>
  <c r="G381" i="12"/>
  <c r="I381" i="12"/>
  <c r="J381" i="12"/>
  <c r="E380" i="14"/>
  <c r="H380" i="14"/>
  <c r="D380" i="14"/>
  <c r="A381" i="14"/>
  <c r="L381" i="12"/>
  <c r="A382" i="12"/>
  <c r="E381" i="12"/>
  <c r="K381" i="12"/>
  <c r="B381" i="12"/>
  <c r="F226" i="6"/>
  <c r="E226" i="6"/>
  <c r="H226" i="6"/>
  <c r="B226" i="6"/>
  <c r="J226" i="6"/>
  <c r="C287" i="10"/>
  <c r="G227" i="5"/>
  <c r="G287" i="10"/>
  <c r="B287" i="10"/>
  <c r="A288" i="10"/>
  <c r="D287" i="10"/>
  <c r="E287" i="10"/>
  <c r="B228" i="5"/>
  <c r="A227" i="6"/>
  <c r="G226" i="6"/>
  <c r="C228" i="5"/>
  <c r="A229" i="5"/>
  <c r="D228" i="5"/>
  <c r="E228" i="5"/>
  <c r="C382" i="12" l="1"/>
  <c r="M382" i="12"/>
  <c r="F382" i="12"/>
  <c r="D382" i="12"/>
  <c r="H229" i="5"/>
  <c r="F229" i="5"/>
  <c r="G381" i="14"/>
  <c r="F381" i="14"/>
  <c r="I227" i="6"/>
  <c r="D227" i="6"/>
  <c r="C227" i="6"/>
  <c r="C381" i="14"/>
  <c r="B381" i="14"/>
  <c r="O382" i="12"/>
  <c r="I382" i="12"/>
  <c r="J382" i="12"/>
  <c r="G382" i="12"/>
  <c r="H382" i="12"/>
  <c r="A382" i="14"/>
  <c r="D381" i="14"/>
  <c r="H381" i="14"/>
  <c r="E381" i="14"/>
  <c r="A383" i="12"/>
  <c r="K382" i="12"/>
  <c r="E382" i="12"/>
  <c r="B382" i="12"/>
  <c r="L382" i="12"/>
  <c r="F227" i="6"/>
  <c r="E227" i="6"/>
  <c r="B227" i="6"/>
  <c r="H227" i="6"/>
  <c r="J227" i="6"/>
  <c r="C288" i="10"/>
  <c r="G228" i="5"/>
  <c r="A289" i="10"/>
  <c r="D288" i="10"/>
  <c r="G288" i="10"/>
  <c r="E288" i="10"/>
  <c r="B288" i="10"/>
  <c r="B229" i="5"/>
  <c r="G227" i="6"/>
  <c r="A228" i="6"/>
  <c r="C229" i="5"/>
  <c r="A230" i="5"/>
  <c r="D229" i="5"/>
  <c r="E229" i="5" s="1"/>
  <c r="M383" i="12" l="1"/>
  <c r="F383" i="12"/>
  <c r="D383" i="12"/>
  <c r="C383" i="12"/>
  <c r="H230" i="5"/>
  <c r="F230" i="5"/>
  <c r="F382" i="14"/>
  <c r="G382" i="14"/>
  <c r="D228" i="6"/>
  <c r="C228" i="6"/>
  <c r="I228" i="6"/>
  <c r="C382" i="14"/>
  <c r="B382" i="14"/>
  <c r="J383" i="12"/>
  <c r="O383" i="12"/>
  <c r="I383" i="12"/>
  <c r="G383" i="12"/>
  <c r="H383" i="12"/>
  <c r="E382" i="14"/>
  <c r="H382" i="14"/>
  <c r="A383" i="14"/>
  <c r="D382" i="14"/>
  <c r="A384" i="12"/>
  <c r="K383" i="12"/>
  <c r="B383" i="12"/>
  <c r="L383" i="12"/>
  <c r="E383" i="12"/>
  <c r="F228" i="6"/>
  <c r="E228" i="6"/>
  <c r="B228" i="6"/>
  <c r="H228" i="6"/>
  <c r="J228" i="6"/>
  <c r="C289" i="10"/>
  <c r="G229" i="5"/>
  <c r="E289" i="10"/>
  <c r="A290" i="10"/>
  <c r="D289" i="10"/>
  <c r="B289" i="10"/>
  <c r="G289" i="10"/>
  <c r="B230" i="5"/>
  <c r="G228" i="6"/>
  <c r="A229" i="6"/>
  <c r="C230" i="5"/>
  <c r="D230" i="5"/>
  <c r="E230" i="5" s="1"/>
  <c r="A231" i="5"/>
  <c r="C384" i="12" l="1"/>
  <c r="M384" i="12"/>
  <c r="D384" i="12"/>
  <c r="F384" i="12"/>
  <c r="H231" i="5"/>
  <c r="F231" i="5"/>
  <c r="D229" i="6"/>
  <c r="I229" i="6"/>
  <c r="C229" i="6"/>
  <c r="G383" i="14"/>
  <c r="F383" i="14"/>
  <c r="C383" i="14"/>
  <c r="B383" i="14"/>
  <c r="O384" i="12"/>
  <c r="J384" i="12"/>
  <c r="I384" i="12"/>
  <c r="H384" i="12"/>
  <c r="G384" i="12"/>
  <c r="A384" i="14"/>
  <c r="D383" i="14"/>
  <c r="H383" i="14"/>
  <c r="E383" i="14"/>
  <c r="B384" i="12"/>
  <c r="K384" i="12"/>
  <c r="A385" i="12"/>
  <c r="E384" i="12"/>
  <c r="L384" i="12"/>
  <c r="E229" i="6"/>
  <c r="F229" i="6"/>
  <c r="H229" i="6"/>
  <c r="B229" i="6"/>
  <c r="J229" i="6"/>
  <c r="C290" i="10"/>
  <c r="G230" i="5"/>
  <c r="B290" i="10"/>
  <c r="E290" i="10"/>
  <c r="G290" i="10"/>
  <c r="A291" i="10"/>
  <c r="D290" i="10"/>
  <c r="B231" i="5"/>
  <c r="A230" i="6"/>
  <c r="G229" i="6"/>
  <c r="C231" i="5"/>
  <c r="A232" i="5"/>
  <c r="E231" i="5"/>
  <c r="D231" i="5"/>
  <c r="F384" i="14" l="1"/>
  <c r="G384" i="14"/>
  <c r="H232" i="5"/>
  <c r="F232" i="5"/>
  <c r="I230" i="6"/>
  <c r="D230" i="6"/>
  <c r="C230" i="6"/>
  <c r="M385" i="12"/>
  <c r="F385" i="12"/>
  <c r="D385" i="12"/>
  <c r="C385" i="12"/>
  <c r="C384" i="14"/>
  <c r="B384" i="14"/>
  <c r="O385" i="12"/>
  <c r="J385" i="12"/>
  <c r="H385" i="12"/>
  <c r="G385" i="12"/>
  <c r="I385" i="12"/>
  <c r="E384" i="14"/>
  <c r="H384" i="14"/>
  <c r="D384" i="14"/>
  <c r="A385" i="14"/>
  <c r="K385" i="12"/>
  <c r="B385" i="12"/>
  <c r="E385" i="12"/>
  <c r="L385" i="12"/>
  <c r="A386" i="12"/>
  <c r="F230" i="6"/>
  <c r="E230" i="6"/>
  <c r="H230" i="6"/>
  <c r="B230" i="6"/>
  <c r="J230" i="6"/>
  <c r="C291" i="10"/>
  <c r="G231" i="5"/>
  <c r="G291" i="10"/>
  <c r="B291" i="10"/>
  <c r="A292" i="10"/>
  <c r="D291" i="10"/>
  <c r="E291" i="10"/>
  <c r="B232" i="5"/>
  <c r="A231" i="6"/>
  <c r="G230" i="6"/>
  <c r="C232" i="5"/>
  <c r="A233" i="5"/>
  <c r="D232" i="5"/>
  <c r="E232" i="5"/>
  <c r="G385" i="14" l="1"/>
  <c r="F385" i="14"/>
  <c r="H233" i="5"/>
  <c r="F233" i="5"/>
  <c r="C386" i="12"/>
  <c r="M386" i="12"/>
  <c r="F386" i="12"/>
  <c r="D386" i="12"/>
  <c r="C231" i="6"/>
  <c r="D231" i="6"/>
  <c r="I231" i="6"/>
  <c r="C385" i="14"/>
  <c r="B385" i="14"/>
  <c r="O386" i="12"/>
  <c r="J386" i="12"/>
  <c r="H386" i="12"/>
  <c r="G386" i="12"/>
  <c r="I386" i="12"/>
  <c r="A386" i="14"/>
  <c r="D385" i="14"/>
  <c r="H385" i="14"/>
  <c r="E385" i="14"/>
  <c r="L386" i="12"/>
  <c r="K386" i="12"/>
  <c r="B386" i="12"/>
  <c r="E386" i="12"/>
  <c r="A387" i="12"/>
  <c r="F231" i="6"/>
  <c r="E231" i="6"/>
  <c r="B231" i="6"/>
  <c r="H231" i="6"/>
  <c r="J231" i="6"/>
  <c r="C292" i="10"/>
  <c r="G232" i="5"/>
  <c r="A293" i="10"/>
  <c r="D292" i="10"/>
  <c r="G292" i="10"/>
  <c r="E292" i="10"/>
  <c r="B292" i="10"/>
  <c r="B233" i="5"/>
  <c r="A232" i="6"/>
  <c r="G231" i="6"/>
  <c r="C233" i="5"/>
  <c r="A234" i="5"/>
  <c r="D233" i="5"/>
  <c r="E233" i="5"/>
  <c r="I232" i="6" l="1"/>
  <c r="C232" i="6"/>
  <c r="D232" i="6"/>
  <c r="H234" i="5"/>
  <c r="F234" i="5"/>
  <c r="M387" i="12"/>
  <c r="F387" i="12"/>
  <c r="D387" i="12"/>
  <c r="C387" i="12"/>
  <c r="F386" i="14"/>
  <c r="G386" i="14"/>
  <c r="C386" i="14"/>
  <c r="B386" i="14"/>
  <c r="O387" i="12"/>
  <c r="J387" i="12"/>
  <c r="I387" i="12"/>
  <c r="H387" i="12"/>
  <c r="G387" i="12"/>
  <c r="E386" i="14"/>
  <c r="H386" i="14"/>
  <c r="A387" i="14"/>
  <c r="D386" i="14"/>
  <c r="B387" i="12"/>
  <c r="A388" i="12"/>
  <c r="K387" i="12"/>
  <c r="E387" i="12"/>
  <c r="L387" i="12"/>
  <c r="F232" i="6"/>
  <c r="E232" i="6"/>
  <c r="B232" i="6"/>
  <c r="H232" i="6"/>
  <c r="J232" i="6"/>
  <c r="C293" i="10"/>
  <c r="G233" i="5"/>
  <c r="E293" i="10"/>
  <c r="A294" i="10"/>
  <c r="D293" i="10"/>
  <c r="B293" i="10"/>
  <c r="G293" i="10"/>
  <c r="B234" i="5"/>
  <c r="A233" i="6"/>
  <c r="G232" i="6"/>
  <c r="C234" i="5"/>
  <c r="A235" i="5"/>
  <c r="D234" i="5"/>
  <c r="E234" i="5" s="1"/>
  <c r="C388" i="12" l="1"/>
  <c r="M388" i="12"/>
  <c r="F388" i="12"/>
  <c r="D388" i="12"/>
  <c r="F387" i="14"/>
  <c r="G387" i="14"/>
  <c r="H235" i="5"/>
  <c r="F235" i="5"/>
  <c r="I233" i="6"/>
  <c r="D233" i="6"/>
  <c r="C233" i="6"/>
  <c r="C387" i="14"/>
  <c r="B387" i="14"/>
  <c r="O388" i="12"/>
  <c r="J388" i="12"/>
  <c r="I388" i="12"/>
  <c r="H388" i="12"/>
  <c r="G388" i="12"/>
  <c r="A388" i="14"/>
  <c r="D387" i="14"/>
  <c r="H387" i="14"/>
  <c r="E387" i="14"/>
  <c r="B388" i="12"/>
  <c r="E388" i="12"/>
  <c r="K388" i="12"/>
  <c r="A389" i="12"/>
  <c r="L388" i="12"/>
  <c r="F233" i="6"/>
  <c r="E233" i="6"/>
  <c r="H233" i="6"/>
  <c r="B233" i="6"/>
  <c r="J233" i="6"/>
  <c r="C294" i="10"/>
  <c r="G234" i="5"/>
  <c r="B294" i="10"/>
  <c r="E294" i="10"/>
  <c r="G294" i="10"/>
  <c r="D294" i="10"/>
  <c r="A295" i="10"/>
  <c r="B235" i="5"/>
  <c r="A234" i="6"/>
  <c r="G233" i="6"/>
  <c r="C235" i="5"/>
  <c r="A236" i="5"/>
  <c r="D235" i="5"/>
  <c r="E235" i="5"/>
  <c r="H236" i="5" l="1"/>
  <c r="F236" i="5"/>
  <c r="F388" i="14"/>
  <c r="G388" i="14"/>
  <c r="M389" i="12"/>
  <c r="F389" i="12"/>
  <c r="D389" i="12"/>
  <c r="C389" i="12"/>
  <c r="I234" i="6"/>
  <c r="D234" i="6"/>
  <c r="C234" i="6"/>
  <c r="C388" i="14"/>
  <c r="B388" i="14"/>
  <c r="O389" i="12"/>
  <c r="H389" i="12"/>
  <c r="G389" i="12"/>
  <c r="J389" i="12"/>
  <c r="I389" i="12"/>
  <c r="E388" i="14"/>
  <c r="H388" i="14"/>
  <c r="D388" i="14"/>
  <c r="A389" i="14"/>
  <c r="A390" i="12"/>
  <c r="B389" i="12"/>
  <c r="K389" i="12"/>
  <c r="L389" i="12"/>
  <c r="E389" i="12"/>
  <c r="F234" i="6"/>
  <c r="E234" i="6"/>
  <c r="H234" i="6"/>
  <c r="B234" i="6"/>
  <c r="J234" i="6"/>
  <c r="C295" i="10"/>
  <c r="G235" i="5"/>
  <c r="G295" i="10"/>
  <c r="B295" i="10"/>
  <c r="A296" i="10"/>
  <c r="D295" i="10"/>
  <c r="E295" i="10"/>
  <c r="B236" i="5"/>
  <c r="A235" i="6"/>
  <c r="G234" i="6"/>
  <c r="C236" i="5"/>
  <c r="A237" i="5"/>
  <c r="D236" i="5"/>
  <c r="E236" i="5" s="1"/>
  <c r="C390" i="12" l="1"/>
  <c r="M390" i="12"/>
  <c r="F390" i="12"/>
  <c r="D390" i="12"/>
  <c r="F389" i="14"/>
  <c r="G389" i="14"/>
  <c r="H237" i="5"/>
  <c r="F237" i="5"/>
  <c r="I235" i="6"/>
  <c r="D235" i="6"/>
  <c r="C235" i="6"/>
  <c r="C389" i="14"/>
  <c r="B389" i="14"/>
  <c r="O390" i="12"/>
  <c r="J390" i="12"/>
  <c r="I390" i="12"/>
  <c r="G390" i="12"/>
  <c r="H390" i="12"/>
  <c r="A390" i="14"/>
  <c r="D389" i="14"/>
  <c r="H389" i="14"/>
  <c r="E389" i="14"/>
  <c r="B390" i="12"/>
  <c r="A391" i="12"/>
  <c r="K390" i="12"/>
  <c r="E390" i="12"/>
  <c r="L390" i="12"/>
  <c r="F235" i="6"/>
  <c r="E235" i="6"/>
  <c r="B235" i="6"/>
  <c r="H235" i="6"/>
  <c r="J235" i="6"/>
  <c r="C296" i="10"/>
  <c r="G236" i="5"/>
  <c r="A297" i="10"/>
  <c r="D296" i="10"/>
  <c r="G296" i="10"/>
  <c r="E296" i="10"/>
  <c r="B296" i="10"/>
  <c r="B237" i="5"/>
  <c r="G235" i="6"/>
  <c r="A236" i="6"/>
  <c r="C237" i="5"/>
  <c r="A238" i="5"/>
  <c r="D237" i="5"/>
  <c r="E237" i="5" s="1"/>
  <c r="M391" i="12" l="1"/>
  <c r="F391" i="12"/>
  <c r="D391" i="12"/>
  <c r="C391" i="12"/>
  <c r="H238" i="5"/>
  <c r="F238" i="5"/>
  <c r="F390" i="14"/>
  <c r="G390" i="14"/>
  <c r="D236" i="6"/>
  <c r="C236" i="6"/>
  <c r="I236" i="6"/>
  <c r="C390" i="14"/>
  <c r="B390" i="14"/>
  <c r="O391" i="12"/>
  <c r="J391" i="12"/>
  <c r="I391" i="12"/>
  <c r="H391" i="12"/>
  <c r="G391" i="12"/>
  <c r="E390" i="14"/>
  <c r="H390" i="14"/>
  <c r="A391" i="14"/>
  <c r="D390" i="14"/>
  <c r="L391" i="12"/>
  <c r="A392" i="12"/>
  <c r="E391" i="12"/>
  <c r="K391" i="12"/>
  <c r="B391" i="12"/>
  <c r="F236" i="6"/>
  <c r="E236" i="6"/>
  <c r="B236" i="6"/>
  <c r="H236" i="6"/>
  <c r="J236" i="6"/>
  <c r="C297" i="10"/>
  <c r="G237" i="5"/>
  <c r="E297" i="10"/>
  <c r="A298" i="10"/>
  <c r="D297" i="10"/>
  <c r="B297" i="10"/>
  <c r="G297" i="10"/>
  <c r="B238" i="5"/>
  <c r="G236" i="6"/>
  <c r="A237" i="6"/>
  <c r="C238" i="5"/>
  <c r="A239" i="5"/>
  <c r="F239" i="5" s="1"/>
  <c r="D238" i="5"/>
  <c r="E238" i="5" s="1"/>
  <c r="F391" i="14" l="1"/>
  <c r="G391" i="14"/>
  <c r="C392" i="12"/>
  <c r="M392" i="12"/>
  <c r="F392" i="12"/>
  <c r="D392" i="12"/>
  <c r="D237" i="6"/>
  <c r="I237" i="6"/>
  <c r="C237" i="6"/>
  <c r="C391" i="14"/>
  <c r="B391" i="14"/>
  <c r="O392" i="12"/>
  <c r="J392" i="12"/>
  <c r="I392" i="12"/>
  <c r="H392" i="12"/>
  <c r="G392" i="12"/>
  <c r="A392" i="14"/>
  <c r="D391" i="14"/>
  <c r="H391" i="14"/>
  <c r="E391" i="14"/>
  <c r="A393" i="12"/>
  <c r="K392" i="12"/>
  <c r="E392" i="12"/>
  <c r="B392" i="12"/>
  <c r="L392" i="12"/>
  <c r="E237" i="6"/>
  <c r="F237" i="6"/>
  <c r="H237" i="6"/>
  <c r="B237" i="6"/>
  <c r="J237" i="6"/>
  <c r="G239" i="5"/>
  <c r="H239" i="5"/>
  <c r="C298" i="10"/>
  <c r="G238" i="5"/>
  <c r="B298" i="10"/>
  <c r="E298" i="10"/>
  <c r="G298" i="10"/>
  <c r="D298" i="10"/>
  <c r="A299" i="10"/>
  <c r="B239" i="5"/>
  <c r="A238" i="6"/>
  <c r="G237" i="6"/>
  <c r="C239" i="5"/>
  <c r="D239" i="5"/>
  <c r="A240" i="5"/>
  <c r="F240" i="5" s="1"/>
  <c r="E239" i="5"/>
  <c r="M393" i="12" l="1"/>
  <c r="F393" i="12"/>
  <c r="D393" i="12"/>
  <c r="C393" i="12"/>
  <c r="I238" i="6"/>
  <c r="D238" i="6"/>
  <c r="C238" i="6"/>
  <c r="G392" i="14"/>
  <c r="F392" i="14"/>
  <c r="C392" i="14"/>
  <c r="B392" i="14"/>
  <c r="O393" i="12"/>
  <c r="J393" i="12"/>
  <c r="H393" i="12"/>
  <c r="G393" i="12"/>
  <c r="I393" i="12"/>
  <c r="E392" i="14"/>
  <c r="H392" i="14"/>
  <c r="D392" i="14"/>
  <c r="A393" i="14"/>
  <c r="K393" i="12"/>
  <c r="B393" i="12"/>
  <c r="A394" i="12"/>
  <c r="L393" i="12"/>
  <c r="E393" i="12"/>
  <c r="F238" i="6"/>
  <c r="E238" i="6"/>
  <c r="H238" i="6"/>
  <c r="B238" i="6"/>
  <c r="J238" i="6"/>
  <c r="G240" i="5"/>
  <c r="H240" i="5"/>
  <c r="C299" i="10"/>
  <c r="G299" i="10"/>
  <c r="B299" i="10"/>
  <c r="A300" i="10"/>
  <c r="D299" i="10"/>
  <c r="E299" i="10"/>
  <c r="B240" i="5"/>
  <c r="A239" i="6"/>
  <c r="G238" i="6"/>
  <c r="C240" i="5"/>
  <c r="E240" i="5"/>
  <c r="A241" i="5"/>
  <c r="F241" i="5" s="1"/>
  <c r="D240" i="5"/>
  <c r="C239" i="6" l="1"/>
  <c r="I239" i="6"/>
  <c r="D239" i="6"/>
  <c r="G393" i="14"/>
  <c r="F393" i="14"/>
  <c r="C394" i="12"/>
  <c r="M394" i="12"/>
  <c r="F394" i="12"/>
  <c r="D394" i="12"/>
  <c r="C393" i="14"/>
  <c r="B393" i="14"/>
  <c r="O394" i="12"/>
  <c r="J394" i="12"/>
  <c r="I394" i="12"/>
  <c r="G394" i="12"/>
  <c r="H394" i="12"/>
  <c r="A394" i="14"/>
  <c r="D393" i="14"/>
  <c r="H393" i="14"/>
  <c r="E393" i="14"/>
  <c r="B394" i="12"/>
  <c r="A395" i="12"/>
  <c r="K394" i="12"/>
  <c r="E394" i="12"/>
  <c r="L394" i="12"/>
  <c r="F239" i="6"/>
  <c r="E239" i="6"/>
  <c r="B239" i="6"/>
  <c r="H239" i="6"/>
  <c r="J239" i="6"/>
  <c r="C300" i="10"/>
  <c r="G241" i="5"/>
  <c r="H241" i="5"/>
  <c r="A301" i="10"/>
  <c r="D300" i="10"/>
  <c r="G300" i="10"/>
  <c r="E300" i="10"/>
  <c r="B300" i="10"/>
  <c r="B241" i="5"/>
  <c r="A240" i="6"/>
  <c r="G239" i="6"/>
  <c r="C241" i="5"/>
  <c r="E241" i="5"/>
  <c r="A242" i="5"/>
  <c r="F242" i="5" s="1"/>
  <c r="D241" i="5"/>
  <c r="I240" i="6" l="1"/>
  <c r="C240" i="6"/>
  <c r="D240" i="6"/>
  <c r="M395" i="12"/>
  <c r="F395" i="12"/>
  <c r="D395" i="12"/>
  <c r="C395" i="12"/>
  <c r="F394" i="14"/>
  <c r="G394" i="14"/>
  <c r="C394" i="14"/>
  <c r="B394" i="14"/>
  <c r="O395" i="12"/>
  <c r="J395" i="12"/>
  <c r="I395" i="12"/>
  <c r="H395" i="12"/>
  <c r="G395" i="12"/>
  <c r="E394" i="14"/>
  <c r="H394" i="14"/>
  <c r="A395" i="14"/>
  <c r="D394" i="14"/>
  <c r="L395" i="12"/>
  <c r="A396" i="12"/>
  <c r="E395" i="12"/>
  <c r="K395" i="12"/>
  <c r="B395" i="12"/>
  <c r="F240" i="6"/>
  <c r="E240" i="6"/>
  <c r="B240" i="6"/>
  <c r="H240" i="6"/>
  <c r="J240" i="6"/>
  <c r="G242" i="5"/>
  <c r="H242" i="5"/>
  <c r="C301" i="10"/>
  <c r="E301" i="10"/>
  <c r="A302" i="10"/>
  <c r="D301" i="10"/>
  <c r="B301" i="10"/>
  <c r="G301" i="10"/>
  <c r="B242" i="5"/>
  <c r="A241" i="6"/>
  <c r="G240" i="6"/>
  <c r="C242" i="5"/>
  <c r="A243" i="5"/>
  <c r="F243" i="5" s="1"/>
  <c r="E242" i="5"/>
  <c r="D242" i="5"/>
  <c r="C396" i="12" l="1"/>
  <c r="M396" i="12"/>
  <c r="F396" i="12"/>
  <c r="D396" i="12"/>
  <c r="I241" i="6"/>
  <c r="D241" i="6"/>
  <c r="C241" i="6"/>
  <c r="G395" i="14"/>
  <c r="F395" i="14"/>
  <c r="C395" i="14"/>
  <c r="B395" i="14"/>
  <c r="J396" i="12"/>
  <c r="O396" i="12"/>
  <c r="I396" i="12"/>
  <c r="H396" i="12"/>
  <c r="G396" i="12"/>
  <c r="A396" i="14"/>
  <c r="D395" i="14"/>
  <c r="H395" i="14"/>
  <c r="E395" i="14"/>
  <c r="B396" i="12"/>
  <c r="K396" i="12"/>
  <c r="A397" i="12"/>
  <c r="E396" i="12"/>
  <c r="L396" i="12"/>
  <c r="F241" i="6"/>
  <c r="E241" i="6"/>
  <c r="H241" i="6"/>
  <c r="B241" i="6"/>
  <c r="J241" i="6"/>
  <c r="G243" i="5"/>
  <c r="H243" i="5"/>
  <c r="C302" i="10"/>
  <c r="B302" i="10"/>
  <c r="E302" i="10"/>
  <c r="G302" i="10"/>
  <c r="A303" i="10"/>
  <c r="D302" i="10"/>
  <c r="B243" i="5"/>
  <c r="A242" i="6"/>
  <c r="G241" i="6"/>
  <c r="C243" i="5"/>
  <c r="D243" i="5"/>
  <c r="A244" i="5"/>
  <c r="F244" i="5" s="1"/>
  <c r="E243" i="5"/>
  <c r="M397" i="12" l="1"/>
  <c r="F397" i="12"/>
  <c r="D397" i="12"/>
  <c r="C397" i="12"/>
  <c r="I242" i="6"/>
  <c r="D242" i="6"/>
  <c r="C242" i="6"/>
  <c r="G396" i="14"/>
  <c r="F396" i="14"/>
  <c r="C396" i="14"/>
  <c r="B396" i="14"/>
  <c r="O397" i="12"/>
  <c r="H397" i="12"/>
  <c r="G397" i="12"/>
  <c r="I397" i="12"/>
  <c r="J397" i="12"/>
  <c r="E396" i="14"/>
  <c r="H396" i="14"/>
  <c r="D396" i="14"/>
  <c r="A397" i="14"/>
  <c r="A398" i="12"/>
  <c r="K397" i="12"/>
  <c r="B397" i="12"/>
  <c r="L397" i="12"/>
  <c r="E397" i="12"/>
  <c r="F242" i="6"/>
  <c r="E242" i="6"/>
  <c r="H242" i="6"/>
  <c r="B242" i="6"/>
  <c r="J242" i="6"/>
  <c r="C303" i="10"/>
  <c r="G244" i="5"/>
  <c r="H244" i="5"/>
  <c r="G303" i="10"/>
  <c r="B303" i="10"/>
  <c r="A304" i="10"/>
  <c r="D303" i="10"/>
  <c r="E303" i="10"/>
  <c r="B244" i="5"/>
  <c r="A243" i="6"/>
  <c r="G242" i="6"/>
  <c r="C244" i="5"/>
  <c r="A245" i="5"/>
  <c r="F245" i="5" s="1"/>
  <c r="D244" i="5"/>
  <c r="E244" i="5"/>
  <c r="C398" i="12" l="1"/>
  <c r="M398" i="12"/>
  <c r="F398" i="12"/>
  <c r="D398" i="12"/>
  <c r="I243" i="6"/>
  <c r="D243" i="6"/>
  <c r="C243" i="6"/>
  <c r="F397" i="14"/>
  <c r="G397" i="14"/>
  <c r="C397" i="14"/>
  <c r="B397" i="14"/>
  <c r="O398" i="12"/>
  <c r="I398" i="12"/>
  <c r="G398" i="12"/>
  <c r="J398" i="12"/>
  <c r="H398" i="12"/>
  <c r="A398" i="14"/>
  <c r="D397" i="14"/>
  <c r="H397" i="14"/>
  <c r="E397" i="14"/>
  <c r="B398" i="12"/>
  <c r="A399" i="12"/>
  <c r="K398" i="12"/>
  <c r="E398" i="12"/>
  <c r="L398" i="12"/>
  <c r="F243" i="6"/>
  <c r="E243" i="6"/>
  <c r="B243" i="6"/>
  <c r="H243" i="6"/>
  <c r="J243" i="6"/>
  <c r="C304" i="10"/>
  <c r="G245" i="5"/>
  <c r="H245" i="5"/>
  <c r="A305" i="10"/>
  <c r="D304" i="10"/>
  <c r="G304" i="10"/>
  <c r="E304" i="10"/>
  <c r="B304" i="10"/>
  <c r="B245" i="5"/>
  <c r="G243" i="6"/>
  <c r="A244" i="6"/>
  <c r="C245" i="5"/>
  <c r="E245" i="5"/>
  <c r="A246" i="5"/>
  <c r="F246" i="5" s="1"/>
  <c r="D245" i="5"/>
  <c r="M399" i="12" l="1"/>
  <c r="F399" i="12"/>
  <c r="D399" i="12"/>
  <c r="C399" i="12"/>
  <c r="D244" i="6"/>
  <c r="C244" i="6"/>
  <c r="I244" i="6"/>
  <c r="F398" i="14"/>
  <c r="G398" i="14"/>
  <c r="C398" i="14"/>
  <c r="B398" i="14"/>
  <c r="O399" i="12"/>
  <c r="J399" i="12"/>
  <c r="I399" i="12"/>
  <c r="H399" i="12"/>
  <c r="G399" i="12"/>
  <c r="E398" i="14"/>
  <c r="H398" i="14"/>
  <c r="A399" i="14"/>
  <c r="D398" i="14"/>
  <c r="L399" i="12"/>
  <c r="A400" i="12"/>
  <c r="E399" i="12"/>
  <c r="K399" i="12"/>
  <c r="B399" i="12"/>
  <c r="F244" i="6"/>
  <c r="E244" i="6"/>
  <c r="B244" i="6"/>
  <c r="H244" i="6"/>
  <c r="J244" i="6"/>
  <c r="C305" i="10"/>
  <c r="G246" i="5"/>
  <c r="H246" i="5"/>
  <c r="E305" i="10"/>
  <c r="A306" i="10"/>
  <c r="D305" i="10"/>
  <c r="B305" i="10"/>
  <c r="G305" i="10"/>
  <c r="B246" i="5"/>
  <c r="G244" i="6"/>
  <c r="A245" i="6"/>
  <c r="C246" i="5"/>
  <c r="A247" i="5"/>
  <c r="F247" i="5" s="1"/>
  <c r="E246" i="5"/>
  <c r="D246" i="5"/>
  <c r="C400" i="12" l="1"/>
  <c r="M400" i="12"/>
  <c r="F400" i="12"/>
  <c r="D400" i="12"/>
  <c r="G399" i="14"/>
  <c r="F399" i="14"/>
  <c r="D245" i="6"/>
  <c r="C245" i="6"/>
  <c r="I245" i="6"/>
  <c r="C399" i="14"/>
  <c r="B399" i="14"/>
  <c r="O400" i="12"/>
  <c r="J400" i="12"/>
  <c r="I400" i="12"/>
  <c r="H400" i="12"/>
  <c r="G400" i="12"/>
  <c r="A400" i="14"/>
  <c r="D399" i="14"/>
  <c r="H399" i="14"/>
  <c r="E399" i="14"/>
  <c r="K400" i="12"/>
  <c r="B400" i="12"/>
  <c r="E400" i="12"/>
  <c r="L400" i="12"/>
  <c r="A401" i="12"/>
  <c r="E245" i="6"/>
  <c r="F245" i="6"/>
  <c r="H245" i="6"/>
  <c r="B245" i="6"/>
  <c r="J245" i="6"/>
  <c r="G247" i="5"/>
  <c r="H247" i="5"/>
  <c r="C306" i="10"/>
  <c r="B306" i="10"/>
  <c r="E306" i="10"/>
  <c r="G306" i="10"/>
  <c r="A307" i="10"/>
  <c r="D306" i="10"/>
  <c r="B247" i="5"/>
  <c r="A246" i="6"/>
  <c r="G245" i="6"/>
  <c r="C247" i="5"/>
  <c r="A248" i="5"/>
  <c r="F248" i="5" s="1"/>
  <c r="E247" i="5"/>
  <c r="D247" i="5"/>
  <c r="I246" i="6" l="1"/>
  <c r="D246" i="6"/>
  <c r="C246" i="6"/>
  <c r="M401" i="12"/>
  <c r="F401" i="12"/>
  <c r="D401" i="12"/>
  <c r="C401" i="12"/>
  <c r="G400" i="14"/>
  <c r="F400" i="14"/>
  <c r="C400" i="14"/>
  <c r="B400" i="14"/>
  <c r="O401" i="12"/>
  <c r="J401" i="12"/>
  <c r="H401" i="12"/>
  <c r="G401" i="12"/>
  <c r="I401" i="12"/>
  <c r="E400" i="14"/>
  <c r="H400" i="14"/>
  <c r="D400" i="14"/>
  <c r="A401" i="14"/>
  <c r="A402" i="12"/>
  <c r="K401" i="12"/>
  <c r="B401" i="12"/>
  <c r="L401" i="12"/>
  <c r="E401" i="12"/>
  <c r="F246" i="6"/>
  <c r="E246" i="6"/>
  <c r="H246" i="6"/>
  <c r="B246" i="6"/>
  <c r="J246" i="6"/>
  <c r="G248" i="5"/>
  <c r="H248" i="5"/>
  <c r="C307" i="10"/>
  <c r="G307" i="10"/>
  <c r="B307" i="10"/>
  <c r="A308" i="10"/>
  <c r="D307" i="10"/>
  <c r="E307" i="10"/>
  <c r="B248" i="5"/>
  <c r="A247" i="6"/>
  <c r="G246" i="6"/>
  <c r="C248" i="5"/>
  <c r="A249" i="5"/>
  <c r="F249" i="5" s="1"/>
  <c r="D248" i="5"/>
  <c r="E248" i="5"/>
  <c r="C247" i="6" l="1"/>
  <c r="I247" i="6"/>
  <c r="D247" i="6"/>
  <c r="C402" i="12"/>
  <c r="M402" i="12"/>
  <c r="F402" i="12"/>
  <c r="D402" i="12"/>
  <c r="G401" i="14"/>
  <c r="F401" i="14"/>
  <c r="C401" i="14"/>
  <c r="B401" i="14"/>
  <c r="O402" i="12"/>
  <c r="J402" i="12"/>
  <c r="I402" i="12"/>
  <c r="H402" i="12"/>
  <c r="G402" i="12"/>
  <c r="A402" i="14"/>
  <c r="D401" i="14"/>
  <c r="H401" i="14"/>
  <c r="E401" i="14"/>
  <c r="B402" i="12"/>
  <c r="K402" i="12"/>
  <c r="E402" i="12"/>
  <c r="L402" i="12"/>
  <c r="A403" i="12"/>
  <c r="F247" i="6"/>
  <c r="E247" i="6"/>
  <c r="B247" i="6"/>
  <c r="H247" i="6"/>
  <c r="J247" i="6"/>
  <c r="G249" i="5"/>
  <c r="H249" i="5"/>
  <c r="C308" i="10"/>
  <c r="A309" i="10"/>
  <c r="D308" i="10"/>
  <c r="G308" i="10"/>
  <c r="E308" i="10"/>
  <c r="B308" i="10"/>
  <c r="B249" i="5"/>
  <c r="A248" i="6"/>
  <c r="G247" i="6"/>
  <c r="C249" i="5"/>
  <c r="A250" i="5"/>
  <c r="F250" i="5" s="1"/>
  <c r="D249" i="5"/>
  <c r="E249" i="5"/>
  <c r="I248" i="6" l="1"/>
  <c r="C248" i="6"/>
  <c r="D248" i="6"/>
  <c r="M403" i="12"/>
  <c r="F403" i="12"/>
  <c r="D403" i="12"/>
  <c r="C403" i="12"/>
  <c r="F402" i="14"/>
  <c r="G402" i="14"/>
  <c r="C402" i="14"/>
  <c r="B402" i="14"/>
  <c r="O403" i="12"/>
  <c r="J403" i="12"/>
  <c r="I403" i="12"/>
  <c r="H403" i="12"/>
  <c r="G403" i="12"/>
  <c r="E402" i="14"/>
  <c r="H402" i="14"/>
  <c r="A403" i="14"/>
  <c r="D402" i="14"/>
  <c r="L403" i="12"/>
  <c r="K403" i="12"/>
  <c r="B403" i="12"/>
  <c r="A404" i="12"/>
  <c r="E403" i="12"/>
  <c r="F248" i="6"/>
  <c r="E248" i="6"/>
  <c r="B248" i="6"/>
  <c r="H248" i="6"/>
  <c r="J248" i="6"/>
  <c r="G250" i="5"/>
  <c r="H250" i="5"/>
  <c r="C309" i="10"/>
  <c r="E309" i="10"/>
  <c r="A310" i="10"/>
  <c r="D309" i="10"/>
  <c r="B309" i="10"/>
  <c r="G309" i="10"/>
  <c r="B250" i="5"/>
  <c r="A249" i="6"/>
  <c r="G248" i="6"/>
  <c r="C250" i="5"/>
  <c r="E250" i="5"/>
  <c r="A251" i="5"/>
  <c r="F251" i="5" s="1"/>
  <c r="D250" i="5"/>
  <c r="C404" i="12" l="1"/>
  <c r="M404" i="12"/>
  <c r="F404" i="12"/>
  <c r="D404" i="12"/>
  <c r="I249" i="6"/>
  <c r="D249" i="6"/>
  <c r="C249" i="6"/>
  <c r="F403" i="14"/>
  <c r="G403" i="14"/>
  <c r="C403" i="14"/>
  <c r="B403" i="14"/>
  <c r="O404" i="12"/>
  <c r="J404" i="12"/>
  <c r="I404" i="12"/>
  <c r="H404" i="12"/>
  <c r="G404" i="12"/>
  <c r="A404" i="14"/>
  <c r="D403" i="14"/>
  <c r="H403" i="14"/>
  <c r="E403" i="14"/>
  <c r="B404" i="12"/>
  <c r="A405" i="12"/>
  <c r="K404" i="12"/>
  <c r="E404" i="12"/>
  <c r="L404" i="12"/>
  <c r="F249" i="6"/>
  <c r="E249" i="6"/>
  <c r="H249" i="6"/>
  <c r="B249" i="6"/>
  <c r="J249" i="6"/>
  <c r="C310" i="10"/>
  <c r="G251" i="5"/>
  <c r="H251" i="5"/>
  <c r="B310" i="10"/>
  <c r="E310" i="10"/>
  <c r="G310" i="10"/>
  <c r="D310" i="10"/>
  <c r="A311" i="10"/>
  <c r="B251" i="5"/>
  <c r="A250" i="6"/>
  <c r="G249" i="6"/>
  <c r="C251" i="5"/>
  <c r="E251" i="5"/>
  <c r="A252" i="5"/>
  <c r="F252" i="5" s="1"/>
  <c r="D251" i="5"/>
  <c r="I250" i="6" l="1"/>
  <c r="C250" i="6"/>
  <c r="D250" i="6"/>
  <c r="M405" i="12"/>
  <c r="F405" i="12"/>
  <c r="D405" i="12"/>
  <c r="C405" i="12"/>
  <c r="G404" i="14"/>
  <c r="F404" i="14"/>
  <c r="C404" i="14"/>
  <c r="B404" i="14"/>
  <c r="O405" i="12"/>
  <c r="H405" i="12"/>
  <c r="G405" i="12"/>
  <c r="J405" i="12"/>
  <c r="I405" i="12"/>
  <c r="E404" i="14"/>
  <c r="H404" i="14"/>
  <c r="D404" i="14"/>
  <c r="A405" i="14"/>
  <c r="A406" i="12"/>
  <c r="K405" i="12"/>
  <c r="L405" i="12"/>
  <c r="E405" i="12"/>
  <c r="B405" i="12"/>
  <c r="F250" i="6"/>
  <c r="E250" i="6"/>
  <c r="H250" i="6"/>
  <c r="B250" i="6"/>
  <c r="J250" i="6"/>
  <c r="G252" i="5"/>
  <c r="H252" i="5"/>
  <c r="C311" i="10"/>
  <c r="G311" i="10"/>
  <c r="B311" i="10"/>
  <c r="A312" i="10"/>
  <c r="D311" i="10"/>
  <c r="E311" i="10"/>
  <c r="B252" i="5"/>
  <c r="A251" i="6"/>
  <c r="G250" i="6"/>
  <c r="C252" i="5"/>
  <c r="D252" i="5"/>
  <c r="A253" i="5"/>
  <c r="F253" i="5" s="1"/>
  <c r="E252" i="5"/>
  <c r="C406" i="12" l="1"/>
  <c r="M406" i="12"/>
  <c r="F406" i="12"/>
  <c r="D406" i="12"/>
  <c r="F405" i="14"/>
  <c r="G405" i="14"/>
  <c r="I251" i="6"/>
  <c r="D251" i="6"/>
  <c r="C251" i="6"/>
  <c r="C405" i="14"/>
  <c r="B405" i="14"/>
  <c r="O406" i="12"/>
  <c r="J406" i="12"/>
  <c r="I406" i="12"/>
  <c r="H406" i="12"/>
  <c r="G406" i="12"/>
  <c r="A406" i="14"/>
  <c r="D405" i="14"/>
  <c r="H405" i="14"/>
  <c r="E405" i="14"/>
  <c r="B406" i="12"/>
  <c r="A407" i="12"/>
  <c r="K406" i="12"/>
  <c r="E406" i="12"/>
  <c r="L406" i="12"/>
  <c r="F251" i="6"/>
  <c r="E251" i="6"/>
  <c r="B251" i="6"/>
  <c r="H251" i="6"/>
  <c r="J251" i="6"/>
  <c r="C312" i="10"/>
  <c r="G253" i="5"/>
  <c r="H253" i="5"/>
  <c r="A313" i="10"/>
  <c r="D312" i="10"/>
  <c r="G312" i="10"/>
  <c r="E312" i="10"/>
  <c r="B312" i="10"/>
  <c r="B253" i="5"/>
  <c r="G251" i="6"/>
  <c r="A252" i="6"/>
  <c r="C253" i="5"/>
  <c r="D253" i="5"/>
  <c r="A254" i="5"/>
  <c r="F254" i="5" s="1"/>
  <c r="E253" i="5"/>
  <c r="M407" i="12" l="1"/>
  <c r="F407" i="12"/>
  <c r="D407" i="12"/>
  <c r="C407" i="12"/>
  <c r="D252" i="6"/>
  <c r="C252" i="6"/>
  <c r="I252" i="6"/>
  <c r="F406" i="14"/>
  <c r="G406" i="14"/>
  <c r="C406" i="14"/>
  <c r="B406" i="14"/>
  <c r="O407" i="12"/>
  <c r="J407" i="12"/>
  <c r="I407" i="12"/>
  <c r="H407" i="12"/>
  <c r="G407" i="12"/>
  <c r="E406" i="14"/>
  <c r="H406" i="14"/>
  <c r="A407" i="14"/>
  <c r="D406" i="14"/>
  <c r="L407" i="12"/>
  <c r="B407" i="12"/>
  <c r="A408" i="12"/>
  <c r="E407" i="12"/>
  <c r="K407" i="12"/>
  <c r="F252" i="6"/>
  <c r="E252" i="6"/>
  <c r="B252" i="6"/>
  <c r="H252" i="6"/>
  <c r="J252" i="6"/>
  <c r="G254" i="5"/>
  <c r="H254" i="5"/>
  <c r="C313" i="10"/>
  <c r="E313" i="10"/>
  <c r="A314" i="10"/>
  <c r="D313" i="10"/>
  <c r="B313" i="10"/>
  <c r="G313" i="10"/>
  <c r="B254" i="5"/>
  <c r="G252" i="6"/>
  <c r="A253" i="6"/>
  <c r="C254" i="5"/>
  <c r="A255" i="5"/>
  <c r="F255" i="5" s="1"/>
  <c r="E254" i="5"/>
  <c r="D254" i="5"/>
  <c r="C408" i="12" l="1"/>
  <c r="M408" i="12"/>
  <c r="F408" i="12"/>
  <c r="D408" i="12"/>
  <c r="F407" i="14"/>
  <c r="G407" i="14"/>
  <c r="D253" i="6"/>
  <c r="I253" i="6"/>
  <c r="C253" i="6"/>
  <c r="C407" i="14"/>
  <c r="B407" i="14"/>
  <c r="O408" i="12"/>
  <c r="J408" i="12"/>
  <c r="I408" i="12"/>
  <c r="H408" i="12"/>
  <c r="G408" i="12"/>
  <c r="A408" i="14"/>
  <c r="D407" i="14"/>
  <c r="H407" i="14"/>
  <c r="E407" i="14"/>
  <c r="B408" i="12"/>
  <c r="K408" i="12"/>
  <c r="L408" i="12"/>
  <c r="A409" i="12"/>
  <c r="E408" i="12"/>
  <c r="E253" i="6"/>
  <c r="F253" i="6"/>
  <c r="H253" i="6"/>
  <c r="B253" i="6"/>
  <c r="J253" i="6"/>
  <c r="G255" i="5"/>
  <c r="H255" i="5"/>
  <c r="C314" i="10"/>
  <c r="B314" i="10"/>
  <c r="E314" i="10"/>
  <c r="G314" i="10"/>
  <c r="D314" i="10"/>
  <c r="A315" i="10"/>
  <c r="B255" i="5"/>
  <c r="A254" i="6"/>
  <c r="G253" i="6"/>
  <c r="C255" i="5"/>
  <c r="A256" i="5"/>
  <c r="F256" i="5" s="1"/>
  <c r="E255" i="5"/>
  <c r="D255" i="5"/>
  <c r="I254" i="6" l="1"/>
  <c r="D254" i="6"/>
  <c r="C254" i="6"/>
  <c r="M409" i="12"/>
  <c r="F409" i="12"/>
  <c r="D409" i="12"/>
  <c r="C409" i="12"/>
  <c r="F408" i="14"/>
  <c r="G408" i="14"/>
  <c r="C408" i="14"/>
  <c r="B408" i="14"/>
  <c r="O409" i="12"/>
  <c r="J409" i="12"/>
  <c r="G409" i="12"/>
  <c r="H409" i="12"/>
  <c r="I409" i="12"/>
  <c r="E408" i="14"/>
  <c r="A409" i="14"/>
  <c r="D408" i="14"/>
  <c r="H408" i="14"/>
  <c r="L409" i="12"/>
  <c r="A410" i="12"/>
  <c r="E409" i="12"/>
  <c r="K409" i="12"/>
  <c r="B409" i="12"/>
  <c r="F254" i="6"/>
  <c r="E254" i="6"/>
  <c r="H254" i="6"/>
  <c r="B254" i="6"/>
  <c r="J254" i="6"/>
  <c r="G256" i="5"/>
  <c r="H256" i="5"/>
  <c r="C315" i="10"/>
  <c r="G315" i="10"/>
  <c r="B315" i="10"/>
  <c r="A316" i="10"/>
  <c r="D315" i="10"/>
  <c r="E315" i="10"/>
  <c r="B256" i="5"/>
  <c r="A255" i="6"/>
  <c r="G254" i="6"/>
  <c r="C256" i="5"/>
  <c r="A257" i="5"/>
  <c r="F257" i="5" s="1"/>
  <c r="D256" i="5"/>
  <c r="E256" i="5"/>
  <c r="C255" i="6" l="1"/>
  <c r="I255" i="6"/>
  <c r="D255" i="6"/>
  <c r="C410" i="12"/>
  <c r="M410" i="12"/>
  <c r="F410" i="12"/>
  <c r="D410" i="12"/>
  <c r="G409" i="14"/>
  <c r="F409" i="14"/>
  <c r="C409" i="14"/>
  <c r="B409" i="14"/>
  <c r="O410" i="12"/>
  <c r="J410" i="12"/>
  <c r="H410" i="12"/>
  <c r="I410" i="12"/>
  <c r="G410" i="12"/>
  <c r="H409" i="14"/>
  <c r="A410" i="14"/>
  <c r="D409" i="14"/>
  <c r="E409" i="14"/>
  <c r="B410" i="12"/>
  <c r="A411" i="12"/>
  <c r="K410" i="12"/>
  <c r="E410" i="12"/>
  <c r="L410" i="12"/>
  <c r="F255" i="6"/>
  <c r="E255" i="6"/>
  <c r="B255" i="6"/>
  <c r="H255" i="6"/>
  <c r="J255" i="6"/>
  <c r="G257" i="5"/>
  <c r="H257" i="5"/>
  <c r="C316" i="10"/>
  <c r="A317" i="10"/>
  <c r="D316" i="10"/>
  <c r="G316" i="10"/>
  <c r="E316" i="10"/>
  <c r="B316" i="10"/>
  <c r="B257" i="5"/>
  <c r="A256" i="6"/>
  <c r="G255" i="6"/>
  <c r="C257" i="5"/>
  <c r="A258" i="5"/>
  <c r="F258" i="5" s="1"/>
  <c r="E257" i="5"/>
  <c r="D257" i="5"/>
  <c r="I256" i="6" l="1"/>
  <c r="C256" i="6"/>
  <c r="D256" i="6"/>
  <c r="M411" i="12"/>
  <c r="F411" i="12"/>
  <c r="D411" i="12"/>
  <c r="C411" i="12"/>
  <c r="F410" i="14"/>
  <c r="G410" i="14"/>
  <c r="C410" i="14"/>
  <c r="B410" i="14"/>
  <c r="O411" i="12"/>
  <c r="J411" i="12"/>
  <c r="I411" i="12"/>
  <c r="G411" i="12"/>
  <c r="H411" i="12"/>
  <c r="E410" i="14"/>
  <c r="A411" i="14"/>
  <c r="D410" i="14"/>
  <c r="H410" i="14"/>
  <c r="L411" i="12"/>
  <c r="A412" i="12"/>
  <c r="E411" i="12"/>
  <c r="B411" i="12"/>
  <c r="K411" i="12"/>
  <c r="F256" i="6"/>
  <c r="E256" i="6"/>
  <c r="B256" i="6"/>
  <c r="H256" i="6"/>
  <c r="J256" i="6"/>
  <c r="G258" i="5"/>
  <c r="H258" i="5"/>
  <c r="C317" i="10"/>
  <c r="E317" i="10"/>
  <c r="A318" i="10"/>
  <c r="D317" i="10"/>
  <c r="B317" i="10"/>
  <c r="G317" i="10"/>
  <c r="B258" i="5"/>
  <c r="A257" i="6"/>
  <c r="G256" i="6"/>
  <c r="C258" i="5"/>
  <c r="A259" i="5"/>
  <c r="F259" i="5" s="1"/>
  <c r="E258" i="5"/>
  <c r="D258" i="5"/>
  <c r="I257" i="6" l="1"/>
  <c r="D257" i="6"/>
  <c r="C257" i="6"/>
  <c r="C412" i="12"/>
  <c r="M412" i="12"/>
  <c r="F412" i="12"/>
  <c r="D412" i="12"/>
  <c r="F411" i="14"/>
  <c r="G411" i="14"/>
  <c r="C411" i="14"/>
  <c r="B411" i="14"/>
  <c r="O412" i="12"/>
  <c r="J412" i="12"/>
  <c r="I412" i="12"/>
  <c r="H412" i="12"/>
  <c r="G412" i="12"/>
  <c r="H411" i="14"/>
  <c r="A412" i="14"/>
  <c r="D411" i="14"/>
  <c r="E411" i="14"/>
  <c r="B412" i="12"/>
  <c r="K412" i="12"/>
  <c r="A413" i="12"/>
  <c r="E412" i="12"/>
  <c r="L412" i="12"/>
  <c r="F257" i="6"/>
  <c r="E257" i="6"/>
  <c r="H257" i="6"/>
  <c r="B257" i="6"/>
  <c r="J257" i="6"/>
  <c r="G259" i="5"/>
  <c r="H259" i="5"/>
  <c r="C318" i="10"/>
  <c r="B318" i="10"/>
  <c r="E318" i="10"/>
  <c r="G318" i="10"/>
  <c r="A319" i="10"/>
  <c r="D318" i="10"/>
  <c r="B259" i="5"/>
  <c r="A258" i="6"/>
  <c r="G257" i="6"/>
  <c r="C259" i="5"/>
  <c r="A260" i="5"/>
  <c r="F260" i="5" s="1"/>
  <c r="E259" i="5"/>
  <c r="D259" i="5"/>
  <c r="I258" i="6" l="1"/>
  <c r="D258" i="6"/>
  <c r="C258" i="6"/>
  <c r="M413" i="12"/>
  <c r="F413" i="12"/>
  <c r="D413" i="12"/>
  <c r="C413" i="12"/>
  <c r="F412" i="14"/>
  <c r="G412" i="14"/>
  <c r="C412" i="14"/>
  <c r="B412" i="14"/>
  <c r="O413" i="12"/>
  <c r="G413" i="12"/>
  <c r="I413" i="12"/>
  <c r="H413" i="12"/>
  <c r="J413" i="12"/>
  <c r="E412" i="14"/>
  <c r="A413" i="14"/>
  <c r="D412" i="14"/>
  <c r="H412" i="14"/>
  <c r="A414" i="12"/>
  <c r="K413" i="12"/>
  <c r="B413" i="12"/>
  <c r="E413" i="12"/>
  <c r="L413" i="12"/>
  <c r="F258" i="6"/>
  <c r="E258" i="6"/>
  <c r="H258" i="6"/>
  <c r="B258" i="6"/>
  <c r="J258" i="6"/>
  <c r="G260" i="5"/>
  <c r="H260" i="5"/>
  <c r="C319" i="10"/>
  <c r="G319" i="10"/>
  <c r="B319" i="10"/>
  <c r="A320" i="10"/>
  <c r="D319" i="10"/>
  <c r="E319" i="10"/>
  <c r="B260" i="5"/>
  <c r="A259" i="6"/>
  <c r="G258" i="6"/>
  <c r="C260" i="5"/>
  <c r="A261" i="5"/>
  <c r="F261" i="5" s="1"/>
  <c r="D260" i="5"/>
  <c r="E260" i="5"/>
  <c r="I259" i="6" l="1"/>
  <c r="D259" i="6"/>
  <c r="C259" i="6"/>
  <c r="C414" i="12"/>
  <c r="M414" i="12"/>
  <c r="F414" i="12"/>
  <c r="D414" i="12"/>
  <c r="F413" i="14"/>
  <c r="G413" i="14"/>
  <c r="C413" i="14"/>
  <c r="B413" i="14"/>
  <c r="O414" i="12"/>
  <c r="I414" i="12"/>
  <c r="H414" i="12"/>
  <c r="J414" i="12"/>
  <c r="G414" i="12"/>
  <c r="H413" i="14"/>
  <c r="A414" i="14"/>
  <c r="D413" i="14"/>
  <c r="E413" i="14"/>
  <c r="B414" i="12"/>
  <c r="A415" i="12"/>
  <c r="K414" i="12"/>
  <c r="E414" i="12"/>
  <c r="L414" i="12"/>
  <c r="F259" i="6"/>
  <c r="E259" i="6"/>
  <c r="B259" i="6"/>
  <c r="H259" i="6"/>
  <c r="J259" i="6"/>
  <c r="G261" i="5"/>
  <c r="H261" i="5"/>
  <c r="C320" i="10"/>
  <c r="A321" i="10"/>
  <c r="D320" i="10"/>
  <c r="G320" i="10"/>
  <c r="E320" i="10"/>
  <c r="B320" i="10"/>
  <c r="B261" i="5"/>
  <c r="G259" i="6"/>
  <c r="A260" i="6"/>
  <c r="C261" i="5"/>
  <c r="E261" i="5"/>
  <c r="A262" i="5"/>
  <c r="F262" i="5" s="1"/>
  <c r="D261" i="5"/>
  <c r="M415" i="12" l="1"/>
  <c r="F415" i="12"/>
  <c r="D415" i="12"/>
  <c r="C415" i="12"/>
  <c r="F414" i="14"/>
  <c r="G414" i="14"/>
  <c r="D260" i="6"/>
  <c r="C260" i="6"/>
  <c r="I260" i="6"/>
  <c r="C414" i="14"/>
  <c r="B414" i="14"/>
  <c r="O415" i="12"/>
  <c r="J415" i="12"/>
  <c r="I415" i="12"/>
  <c r="H415" i="12"/>
  <c r="G415" i="12"/>
  <c r="E414" i="14"/>
  <c r="A415" i="14"/>
  <c r="D414" i="14"/>
  <c r="H414" i="14"/>
  <c r="L415" i="12"/>
  <c r="A416" i="12"/>
  <c r="E415" i="12"/>
  <c r="B415" i="12"/>
  <c r="K415" i="12"/>
  <c r="F260" i="6"/>
  <c r="E260" i="6"/>
  <c r="B260" i="6"/>
  <c r="H260" i="6"/>
  <c r="J260" i="6"/>
  <c r="G262" i="5"/>
  <c r="H262" i="5"/>
  <c r="C321" i="10"/>
  <c r="E321" i="10"/>
  <c r="A322" i="10"/>
  <c r="D321" i="10"/>
  <c r="B321" i="10"/>
  <c r="G321" i="10"/>
  <c r="B262" i="5"/>
  <c r="G260" i="6"/>
  <c r="A261" i="6"/>
  <c r="C262" i="5"/>
  <c r="D262" i="5"/>
  <c r="A263" i="5"/>
  <c r="F263" i="5" s="1"/>
  <c r="E262" i="5"/>
  <c r="C416" i="12" l="1"/>
  <c r="M416" i="12"/>
  <c r="D416" i="12"/>
  <c r="F416" i="12"/>
  <c r="G415" i="14"/>
  <c r="F415" i="14"/>
  <c r="D261" i="6"/>
  <c r="I261" i="6"/>
  <c r="C261" i="6"/>
  <c r="C415" i="14"/>
  <c r="B415" i="14"/>
  <c r="O416" i="12"/>
  <c r="J416" i="12"/>
  <c r="I416" i="12"/>
  <c r="H416" i="12"/>
  <c r="G416" i="12"/>
  <c r="H415" i="14"/>
  <c r="A416" i="14"/>
  <c r="D415" i="14"/>
  <c r="E415" i="14"/>
  <c r="K416" i="12"/>
  <c r="E416" i="12"/>
  <c r="B416" i="12"/>
  <c r="L416" i="12"/>
  <c r="A417" i="12"/>
  <c r="E261" i="6"/>
  <c r="F261" i="6"/>
  <c r="H261" i="6"/>
  <c r="B261" i="6"/>
  <c r="J261" i="6"/>
  <c r="C322" i="10"/>
  <c r="G263" i="5"/>
  <c r="H263" i="5"/>
  <c r="B322" i="10"/>
  <c r="E322" i="10"/>
  <c r="G322" i="10"/>
  <c r="A323" i="10"/>
  <c r="D322" i="10"/>
  <c r="B263" i="5"/>
  <c r="A262" i="6"/>
  <c r="G261" i="6"/>
  <c r="C263" i="5"/>
  <c r="D263" i="5"/>
  <c r="A264" i="5"/>
  <c r="F264" i="5" s="1"/>
  <c r="E263" i="5"/>
  <c r="I262" i="6" l="1"/>
  <c r="D262" i="6"/>
  <c r="C262" i="6"/>
  <c r="G416" i="14"/>
  <c r="F416" i="14"/>
  <c r="M417" i="12"/>
  <c r="F417" i="12"/>
  <c r="D417" i="12"/>
  <c r="C417" i="12"/>
  <c r="C416" i="14"/>
  <c r="B416" i="14"/>
  <c r="O417" i="12"/>
  <c r="J417" i="12"/>
  <c r="G417" i="12"/>
  <c r="I417" i="12"/>
  <c r="H417" i="12"/>
  <c r="E416" i="14"/>
  <c r="A417" i="14"/>
  <c r="D416" i="14"/>
  <c r="H416" i="14"/>
  <c r="K417" i="12"/>
  <c r="B417" i="12"/>
  <c r="A418" i="12"/>
  <c r="L417" i="12"/>
  <c r="E417" i="12"/>
  <c r="F262" i="6"/>
  <c r="E262" i="6"/>
  <c r="H262" i="6"/>
  <c r="B262" i="6"/>
  <c r="J262" i="6"/>
  <c r="G264" i="5"/>
  <c r="H264" i="5"/>
  <c r="C323" i="10"/>
  <c r="G323" i="10"/>
  <c r="B323" i="10"/>
  <c r="A324" i="10"/>
  <c r="D323" i="10"/>
  <c r="E323" i="10"/>
  <c r="B264" i="5"/>
  <c r="A263" i="6"/>
  <c r="G262" i="6"/>
  <c r="C264" i="5"/>
  <c r="E264" i="5"/>
  <c r="A265" i="5"/>
  <c r="F265" i="5" s="1"/>
  <c r="D264" i="5"/>
  <c r="C418" i="12" l="1"/>
  <c r="M418" i="12"/>
  <c r="F418" i="12"/>
  <c r="D418" i="12"/>
  <c r="C263" i="6"/>
  <c r="I263" i="6"/>
  <c r="D263" i="6"/>
  <c r="G417" i="14"/>
  <c r="F417" i="14"/>
  <c r="C417" i="14"/>
  <c r="B417" i="14"/>
  <c r="O418" i="12"/>
  <c r="J418" i="12"/>
  <c r="G418" i="12"/>
  <c r="I418" i="12"/>
  <c r="H418" i="12"/>
  <c r="H417" i="14"/>
  <c r="A418" i="14"/>
  <c r="D417" i="14"/>
  <c r="E417" i="14"/>
  <c r="B418" i="12"/>
  <c r="A419" i="12"/>
  <c r="K418" i="12"/>
  <c r="L418" i="12"/>
  <c r="E418" i="12"/>
  <c r="F263" i="6"/>
  <c r="E263" i="6"/>
  <c r="B263" i="6"/>
  <c r="H263" i="6"/>
  <c r="J263" i="6"/>
  <c r="C324" i="10"/>
  <c r="G265" i="5"/>
  <c r="H265" i="5"/>
  <c r="A325" i="10"/>
  <c r="D324" i="10"/>
  <c r="G324" i="10"/>
  <c r="E324" i="10"/>
  <c r="B324" i="10"/>
  <c r="B265" i="5"/>
  <c r="A264" i="6"/>
  <c r="G263" i="6"/>
  <c r="C265" i="5"/>
  <c r="A266" i="5"/>
  <c r="F266" i="5" s="1"/>
  <c r="D265" i="5"/>
  <c r="E265" i="5"/>
  <c r="I264" i="6" l="1"/>
  <c r="C264" i="6"/>
  <c r="D264" i="6"/>
  <c r="F418" i="14"/>
  <c r="G418" i="14"/>
  <c r="M419" i="12"/>
  <c r="F419" i="12"/>
  <c r="D419" i="12"/>
  <c r="C419" i="12"/>
  <c r="C418" i="14"/>
  <c r="B418" i="14"/>
  <c r="O419" i="12"/>
  <c r="J419" i="12"/>
  <c r="I419" i="12"/>
  <c r="H419" i="12"/>
  <c r="G419" i="12"/>
  <c r="E418" i="14"/>
  <c r="A419" i="14"/>
  <c r="D418" i="14"/>
  <c r="H418" i="14"/>
  <c r="L419" i="12"/>
  <c r="A420" i="12"/>
  <c r="E419" i="12"/>
  <c r="K419" i="12"/>
  <c r="B419" i="12"/>
  <c r="F264" i="6"/>
  <c r="E264" i="6"/>
  <c r="B264" i="6"/>
  <c r="H264" i="6"/>
  <c r="J264" i="6"/>
  <c r="G266" i="5"/>
  <c r="H266" i="5"/>
  <c r="C325" i="10"/>
  <c r="E325" i="10"/>
  <c r="A326" i="10"/>
  <c r="D325" i="10"/>
  <c r="B325" i="10"/>
  <c r="G325" i="10"/>
  <c r="B266" i="5"/>
  <c r="A265" i="6"/>
  <c r="G264" i="6"/>
  <c r="C266" i="5"/>
  <c r="A267" i="5"/>
  <c r="F267" i="5" s="1"/>
  <c r="D266" i="5"/>
  <c r="E266" i="5"/>
  <c r="I265" i="6" l="1"/>
  <c r="D265" i="6"/>
  <c r="C265" i="6"/>
  <c r="C420" i="12"/>
  <c r="M420" i="12"/>
  <c r="F420" i="12"/>
  <c r="D420" i="12"/>
  <c r="F419" i="14"/>
  <c r="G419" i="14"/>
  <c r="C419" i="14"/>
  <c r="B419" i="14"/>
  <c r="O420" i="12"/>
  <c r="J420" i="12"/>
  <c r="I420" i="12"/>
  <c r="H420" i="12"/>
  <c r="G420" i="12"/>
  <c r="H419" i="14"/>
  <c r="A420" i="14"/>
  <c r="D419" i="14"/>
  <c r="E419" i="14"/>
  <c r="B420" i="12"/>
  <c r="K420" i="12"/>
  <c r="A421" i="12"/>
  <c r="E420" i="12"/>
  <c r="L420" i="12"/>
  <c r="F265" i="6"/>
  <c r="E265" i="6"/>
  <c r="H265" i="6"/>
  <c r="B265" i="6"/>
  <c r="J265" i="6"/>
  <c r="C326" i="10"/>
  <c r="G267" i="5"/>
  <c r="H267" i="5"/>
  <c r="B326" i="10"/>
  <c r="E326" i="10"/>
  <c r="G326" i="10"/>
  <c r="D326" i="10"/>
  <c r="A327" i="10"/>
  <c r="B267" i="5"/>
  <c r="A266" i="6"/>
  <c r="G265" i="6"/>
  <c r="C267" i="5"/>
  <c r="E267" i="5"/>
  <c r="A268" i="5"/>
  <c r="F268" i="5" s="1"/>
  <c r="D267" i="5"/>
  <c r="I266" i="6" l="1"/>
  <c r="D266" i="6"/>
  <c r="C266" i="6"/>
  <c r="M421" i="12"/>
  <c r="F421" i="12"/>
  <c r="D421" i="12"/>
  <c r="C421" i="12"/>
  <c r="F420" i="14"/>
  <c r="G420" i="14"/>
  <c r="C420" i="14"/>
  <c r="B420" i="14"/>
  <c r="O421" i="12"/>
  <c r="H421" i="12"/>
  <c r="G421" i="12"/>
  <c r="J421" i="12"/>
  <c r="I421" i="12"/>
  <c r="E420" i="14"/>
  <c r="A421" i="14"/>
  <c r="D420" i="14"/>
  <c r="H420" i="14"/>
  <c r="A422" i="12"/>
  <c r="K421" i="12"/>
  <c r="B421" i="12"/>
  <c r="L421" i="12"/>
  <c r="E421" i="12"/>
  <c r="F266" i="6"/>
  <c r="E266" i="6"/>
  <c r="H266" i="6"/>
  <c r="B266" i="6"/>
  <c r="J266" i="6"/>
  <c r="G268" i="5"/>
  <c r="H268" i="5"/>
  <c r="C327" i="10"/>
  <c r="G327" i="10"/>
  <c r="B327" i="10"/>
  <c r="A328" i="10"/>
  <c r="D327" i="10"/>
  <c r="E327" i="10"/>
  <c r="B268" i="5"/>
  <c r="A267" i="6"/>
  <c r="G266" i="6"/>
  <c r="C268" i="5"/>
  <c r="A269" i="5"/>
  <c r="F269" i="5" s="1"/>
  <c r="E268" i="5"/>
  <c r="D268" i="5"/>
  <c r="I267" i="6" l="1"/>
  <c r="D267" i="6"/>
  <c r="C267" i="6"/>
  <c r="C422" i="12"/>
  <c r="M422" i="12"/>
  <c r="F422" i="12"/>
  <c r="D422" i="12"/>
  <c r="G421" i="14"/>
  <c r="F421" i="14"/>
  <c r="C421" i="14"/>
  <c r="B421" i="14"/>
  <c r="O422" i="12"/>
  <c r="J422" i="12"/>
  <c r="I422" i="12"/>
  <c r="G422" i="12"/>
  <c r="H422" i="12"/>
  <c r="H421" i="14"/>
  <c r="A422" i="14"/>
  <c r="D421" i="14"/>
  <c r="E421" i="14"/>
  <c r="B422" i="12"/>
  <c r="A423" i="12"/>
  <c r="K422" i="12"/>
  <c r="L422" i="12"/>
  <c r="E422" i="12"/>
  <c r="F267" i="6"/>
  <c r="E267" i="6"/>
  <c r="B267" i="6"/>
  <c r="H267" i="6"/>
  <c r="J267" i="6"/>
  <c r="G269" i="5"/>
  <c r="H269" i="5"/>
  <c r="C328" i="10"/>
  <c r="A329" i="10"/>
  <c r="D328" i="10"/>
  <c r="G328" i="10"/>
  <c r="E328" i="10"/>
  <c r="B328" i="10"/>
  <c r="B269" i="5"/>
  <c r="G267" i="6"/>
  <c r="A268" i="6"/>
  <c r="C269" i="5"/>
  <c r="A270" i="5"/>
  <c r="F270" i="5" s="1"/>
  <c r="E269" i="5"/>
  <c r="D269" i="5"/>
  <c r="M423" i="12" l="1"/>
  <c r="F423" i="12"/>
  <c r="D423" i="12"/>
  <c r="C423" i="12"/>
  <c r="F422" i="14"/>
  <c r="G422" i="14"/>
  <c r="D268" i="6"/>
  <c r="C268" i="6"/>
  <c r="I268" i="6"/>
  <c r="C422" i="14"/>
  <c r="B422" i="14"/>
  <c r="O423" i="12"/>
  <c r="J423" i="12"/>
  <c r="I423" i="12"/>
  <c r="H423" i="12"/>
  <c r="G423" i="12"/>
  <c r="E422" i="14"/>
  <c r="A423" i="14"/>
  <c r="D422" i="14"/>
  <c r="H422" i="14"/>
  <c r="L423" i="12"/>
  <c r="A424" i="12"/>
  <c r="E423" i="12"/>
  <c r="K423" i="12"/>
  <c r="B423" i="12"/>
  <c r="F268" i="6"/>
  <c r="E268" i="6"/>
  <c r="B268" i="6"/>
  <c r="H268" i="6"/>
  <c r="J268" i="6"/>
  <c r="G270" i="5"/>
  <c r="H270" i="5"/>
  <c r="C329" i="10"/>
  <c r="E329" i="10"/>
  <c r="A330" i="10"/>
  <c r="D329" i="10"/>
  <c r="B329" i="10"/>
  <c r="G329" i="10"/>
  <c r="B270" i="5"/>
  <c r="G268" i="6"/>
  <c r="A269" i="6"/>
  <c r="C270" i="5"/>
  <c r="A271" i="5"/>
  <c r="F271" i="5" s="1"/>
  <c r="E270" i="5"/>
  <c r="D270" i="5"/>
  <c r="C424" i="12" l="1"/>
  <c r="M424" i="12"/>
  <c r="D424" i="12"/>
  <c r="F424" i="12"/>
  <c r="G423" i="14"/>
  <c r="F423" i="14"/>
  <c r="D269" i="6"/>
  <c r="I269" i="6"/>
  <c r="C269" i="6"/>
  <c r="C423" i="14"/>
  <c r="B423" i="14"/>
  <c r="O424" i="12"/>
  <c r="J424" i="12"/>
  <c r="I424" i="12"/>
  <c r="H424" i="12"/>
  <c r="G424" i="12"/>
  <c r="H423" i="14"/>
  <c r="A424" i="14"/>
  <c r="D423" i="14"/>
  <c r="E423" i="14"/>
  <c r="B424" i="12"/>
  <c r="K424" i="12"/>
  <c r="E424" i="12"/>
  <c r="L424" i="12"/>
  <c r="A425" i="12"/>
  <c r="E269" i="6"/>
  <c r="F269" i="6"/>
  <c r="H269" i="6"/>
  <c r="B269" i="6"/>
  <c r="J269" i="6"/>
  <c r="G271" i="5"/>
  <c r="H271" i="5"/>
  <c r="C330" i="10"/>
  <c r="B330" i="10"/>
  <c r="E330" i="10"/>
  <c r="G330" i="10"/>
  <c r="D330" i="10"/>
  <c r="A331" i="10"/>
  <c r="B271" i="5"/>
  <c r="A270" i="6"/>
  <c r="G269" i="6"/>
  <c r="C271" i="5"/>
  <c r="A272" i="5"/>
  <c r="F272" i="5" s="1"/>
  <c r="E271" i="5"/>
  <c r="D271" i="5"/>
  <c r="I270" i="6" l="1"/>
  <c r="D270" i="6"/>
  <c r="C270" i="6"/>
  <c r="G424" i="14"/>
  <c r="F424" i="14"/>
  <c r="M425" i="12"/>
  <c r="F425" i="12"/>
  <c r="D425" i="12"/>
  <c r="C425" i="12"/>
  <c r="C424" i="14"/>
  <c r="B424" i="14"/>
  <c r="O425" i="12"/>
  <c r="J425" i="12"/>
  <c r="G425" i="12"/>
  <c r="H425" i="12"/>
  <c r="I425" i="12"/>
  <c r="E424" i="14"/>
  <c r="A425" i="14"/>
  <c r="D424" i="14"/>
  <c r="H424" i="14"/>
  <c r="A426" i="12"/>
  <c r="K425" i="12"/>
  <c r="L425" i="12"/>
  <c r="E425" i="12"/>
  <c r="B425" i="12"/>
  <c r="F270" i="6"/>
  <c r="E270" i="6"/>
  <c r="H270" i="6"/>
  <c r="B270" i="6"/>
  <c r="J270" i="6"/>
  <c r="G272" i="5"/>
  <c r="H272" i="5"/>
  <c r="C331" i="10"/>
  <c r="G331" i="10"/>
  <c r="B331" i="10"/>
  <c r="A332" i="10"/>
  <c r="D331" i="10"/>
  <c r="E331" i="10"/>
  <c r="B272" i="5"/>
  <c r="A271" i="6"/>
  <c r="G270" i="6"/>
  <c r="C272" i="5"/>
  <c r="E272" i="5"/>
  <c r="A273" i="5"/>
  <c r="F273" i="5" s="1"/>
  <c r="D272" i="5"/>
  <c r="C271" i="6" l="1"/>
  <c r="D271" i="6"/>
  <c r="I271" i="6"/>
  <c r="C426" i="12"/>
  <c r="M426" i="12"/>
  <c r="F426" i="12"/>
  <c r="D426" i="12"/>
  <c r="G425" i="14"/>
  <c r="F425" i="14"/>
  <c r="C425" i="14"/>
  <c r="B425" i="14"/>
  <c r="O426" i="12"/>
  <c r="J426" i="12"/>
  <c r="H426" i="12"/>
  <c r="I426" i="12"/>
  <c r="G426" i="12"/>
  <c r="H425" i="14"/>
  <c r="A426" i="14"/>
  <c r="D425" i="14"/>
  <c r="E425" i="14"/>
  <c r="B426" i="12"/>
  <c r="E426" i="12"/>
  <c r="A427" i="12"/>
  <c r="K426" i="12"/>
  <c r="L426" i="12"/>
  <c r="F271" i="6"/>
  <c r="E271" i="6"/>
  <c r="B271" i="6"/>
  <c r="H271" i="6"/>
  <c r="J271" i="6"/>
  <c r="C332" i="10"/>
  <c r="G273" i="5"/>
  <c r="H273" i="5"/>
  <c r="A333" i="10"/>
  <c r="D332" i="10"/>
  <c r="G332" i="10"/>
  <c r="E332" i="10"/>
  <c r="B332" i="10"/>
  <c r="B273" i="5"/>
  <c r="A272" i="6"/>
  <c r="G271" i="6"/>
  <c r="C273" i="5"/>
  <c r="A274" i="5"/>
  <c r="F274" i="5" s="1"/>
  <c r="E273" i="5"/>
  <c r="D273" i="5"/>
  <c r="M427" i="12" l="1"/>
  <c r="F427" i="12"/>
  <c r="D427" i="12"/>
  <c r="C427" i="12"/>
  <c r="I272" i="6"/>
  <c r="C272" i="6"/>
  <c r="D272" i="6"/>
  <c r="F426" i="14"/>
  <c r="G426" i="14"/>
  <c r="C426" i="14"/>
  <c r="B426" i="14"/>
  <c r="J427" i="12"/>
  <c r="I427" i="12"/>
  <c r="G427" i="12"/>
  <c r="H427" i="12"/>
  <c r="O427" i="12"/>
  <c r="E426" i="14"/>
  <c r="A427" i="14"/>
  <c r="D426" i="14"/>
  <c r="H426" i="14"/>
  <c r="L427" i="12"/>
  <c r="A428" i="12"/>
  <c r="E427" i="12"/>
  <c r="K427" i="12"/>
  <c r="B427" i="12"/>
  <c r="F272" i="6"/>
  <c r="E272" i="6"/>
  <c r="B272" i="6"/>
  <c r="H272" i="6"/>
  <c r="J272" i="6"/>
  <c r="G274" i="5"/>
  <c r="H274" i="5"/>
  <c r="C333" i="10"/>
  <c r="B333" i="10"/>
  <c r="G333" i="10"/>
  <c r="E333" i="10"/>
  <c r="A334" i="10"/>
  <c r="D333" i="10"/>
  <c r="B274" i="5"/>
  <c r="A273" i="6"/>
  <c r="G272" i="6"/>
  <c r="C274" i="5"/>
  <c r="A275" i="5"/>
  <c r="F275" i="5" s="1"/>
  <c r="D274" i="5"/>
  <c r="E274" i="5"/>
  <c r="I273" i="6" l="1"/>
  <c r="D273" i="6"/>
  <c r="C273" i="6"/>
  <c r="G427" i="14"/>
  <c r="F427" i="14"/>
  <c r="C428" i="12"/>
  <c r="M428" i="12"/>
  <c r="F428" i="12"/>
  <c r="D428" i="12"/>
  <c r="C427" i="14"/>
  <c r="B427" i="14"/>
  <c r="O428" i="12"/>
  <c r="J428" i="12"/>
  <c r="I428" i="12"/>
  <c r="H428" i="12"/>
  <c r="G428" i="12"/>
  <c r="H427" i="14"/>
  <c r="A428" i="14"/>
  <c r="D427" i="14"/>
  <c r="E427" i="14"/>
  <c r="B428" i="12"/>
  <c r="K428" i="12"/>
  <c r="A429" i="12"/>
  <c r="E428" i="12"/>
  <c r="L428" i="12"/>
  <c r="F273" i="6"/>
  <c r="E273" i="6"/>
  <c r="H273" i="6"/>
  <c r="B273" i="6"/>
  <c r="J273" i="6"/>
  <c r="G275" i="5"/>
  <c r="H275" i="5"/>
  <c r="C334" i="10"/>
  <c r="G334" i="10"/>
  <c r="E334" i="10"/>
  <c r="D334" i="10"/>
  <c r="A335" i="10"/>
  <c r="B334" i="10"/>
  <c r="B275" i="5"/>
  <c r="A274" i="6"/>
  <c r="G273" i="6"/>
  <c r="C275" i="5"/>
  <c r="A276" i="5"/>
  <c r="F276" i="5" s="1"/>
  <c r="E275" i="5"/>
  <c r="D275" i="5"/>
  <c r="M429" i="12" l="1"/>
  <c r="F429" i="12"/>
  <c r="D429" i="12"/>
  <c r="C429" i="12"/>
  <c r="I274" i="6"/>
  <c r="C274" i="6"/>
  <c r="D274" i="6"/>
  <c r="G428" i="14"/>
  <c r="F428" i="14"/>
  <c r="C428" i="14"/>
  <c r="B428" i="14"/>
  <c r="O429" i="12"/>
  <c r="G429" i="12"/>
  <c r="I429" i="12"/>
  <c r="H429" i="12"/>
  <c r="J429" i="12"/>
  <c r="E428" i="14"/>
  <c r="A429" i="14"/>
  <c r="D428" i="14"/>
  <c r="H428" i="14"/>
  <c r="L429" i="12"/>
  <c r="A430" i="12"/>
  <c r="B429" i="12"/>
  <c r="E429" i="12"/>
  <c r="K429" i="12"/>
  <c r="F274" i="6"/>
  <c r="E274" i="6"/>
  <c r="H274" i="6"/>
  <c r="B274" i="6"/>
  <c r="J274" i="6"/>
  <c r="G276" i="5"/>
  <c r="H276" i="5"/>
  <c r="C335" i="10"/>
  <c r="A336" i="10"/>
  <c r="D335" i="10"/>
  <c r="B335" i="10"/>
  <c r="E335" i="10"/>
  <c r="G335" i="10"/>
  <c r="B276" i="5"/>
  <c r="A275" i="6"/>
  <c r="G274" i="6"/>
  <c r="C276" i="5"/>
  <c r="A277" i="5"/>
  <c r="F277" i="5" s="1"/>
  <c r="E276" i="5"/>
  <c r="D276" i="5"/>
  <c r="I275" i="6" l="1"/>
  <c r="D275" i="6"/>
  <c r="C275" i="6"/>
  <c r="C430" i="12"/>
  <c r="M430" i="12"/>
  <c r="F430" i="12"/>
  <c r="D430" i="12"/>
  <c r="F429" i="14"/>
  <c r="G429" i="14"/>
  <c r="C429" i="14"/>
  <c r="B429" i="14"/>
  <c r="O430" i="12"/>
  <c r="I430" i="12"/>
  <c r="H430" i="12"/>
  <c r="J430" i="12"/>
  <c r="G430" i="12"/>
  <c r="H429" i="14"/>
  <c r="A430" i="14"/>
  <c r="D429" i="14"/>
  <c r="E429" i="14"/>
  <c r="B430" i="12"/>
  <c r="A431" i="12"/>
  <c r="K430" i="12"/>
  <c r="E430" i="12"/>
  <c r="L430" i="12"/>
  <c r="F275" i="6"/>
  <c r="E275" i="6"/>
  <c r="B275" i="6"/>
  <c r="H275" i="6"/>
  <c r="J275" i="6"/>
  <c r="G277" i="5"/>
  <c r="H277" i="5"/>
  <c r="C336" i="10"/>
  <c r="G336" i="10"/>
  <c r="E336" i="10"/>
  <c r="D336" i="10"/>
  <c r="B336" i="10"/>
  <c r="A337" i="10"/>
  <c r="B277" i="5"/>
  <c r="G275" i="6"/>
  <c r="A276" i="6"/>
  <c r="C277" i="5"/>
  <c r="A278" i="5"/>
  <c r="F278" i="5" s="1"/>
  <c r="E277" i="5"/>
  <c r="D277" i="5"/>
  <c r="M431" i="12" l="1"/>
  <c r="F431" i="12"/>
  <c r="D431" i="12"/>
  <c r="C431" i="12"/>
  <c r="F430" i="14"/>
  <c r="G430" i="14"/>
  <c r="D276" i="6"/>
  <c r="C276" i="6"/>
  <c r="I276" i="6"/>
  <c r="C430" i="14"/>
  <c r="B430" i="14"/>
  <c r="J431" i="12"/>
  <c r="I431" i="12"/>
  <c r="H431" i="12"/>
  <c r="O431" i="12"/>
  <c r="G431" i="12"/>
  <c r="E430" i="14"/>
  <c r="A431" i="14"/>
  <c r="D430" i="14"/>
  <c r="H430" i="14"/>
  <c r="L431" i="12"/>
  <c r="E431" i="12"/>
  <c r="K431" i="12"/>
  <c r="B431" i="12"/>
  <c r="A432" i="12"/>
  <c r="F276" i="6"/>
  <c r="E276" i="6"/>
  <c r="B276" i="6"/>
  <c r="H276" i="6"/>
  <c r="J276" i="6"/>
  <c r="G278" i="5"/>
  <c r="H278" i="5"/>
  <c r="C337" i="10"/>
  <c r="A338" i="10"/>
  <c r="D337" i="10"/>
  <c r="B337" i="10"/>
  <c r="E337" i="10"/>
  <c r="G337" i="10"/>
  <c r="B278" i="5"/>
  <c r="G276" i="6"/>
  <c r="A277" i="6"/>
  <c r="C278" i="5"/>
  <c r="A279" i="5"/>
  <c r="F279" i="5" s="1"/>
  <c r="D278" i="5"/>
  <c r="E278" i="5"/>
  <c r="F431" i="14" l="1"/>
  <c r="G431" i="14"/>
  <c r="D277" i="6"/>
  <c r="I277" i="6"/>
  <c r="C277" i="6"/>
  <c r="C432" i="12"/>
  <c r="M432" i="12"/>
  <c r="F432" i="12"/>
  <c r="D432" i="12"/>
  <c r="C431" i="14"/>
  <c r="B431" i="14"/>
  <c r="O432" i="12"/>
  <c r="J432" i="12"/>
  <c r="I432" i="12"/>
  <c r="H432" i="12"/>
  <c r="G432" i="12"/>
  <c r="H431" i="14"/>
  <c r="A432" i="14"/>
  <c r="D431" i="14"/>
  <c r="E431" i="14"/>
  <c r="K432" i="12"/>
  <c r="L432" i="12"/>
  <c r="A433" i="12"/>
  <c r="E432" i="12"/>
  <c r="B432" i="12"/>
  <c r="E277" i="6"/>
  <c r="F277" i="6"/>
  <c r="H277" i="6"/>
  <c r="B277" i="6"/>
  <c r="J277" i="6"/>
  <c r="G279" i="5"/>
  <c r="H279" i="5"/>
  <c r="C338" i="10"/>
  <c r="E338" i="10"/>
  <c r="G338" i="10"/>
  <c r="A339" i="10"/>
  <c r="D338" i="10"/>
  <c r="B338" i="10"/>
  <c r="B279" i="5"/>
  <c r="A278" i="6"/>
  <c r="G277" i="6"/>
  <c r="C279" i="5"/>
  <c r="A280" i="5"/>
  <c r="F280" i="5" s="1"/>
  <c r="E279" i="5"/>
  <c r="D279" i="5"/>
  <c r="I278" i="6" l="1"/>
  <c r="D278" i="6"/>
  <c r="C278" i="6"/>
  <c r="M433" i="12"/>
  <c r="F433" i="12"/>
  <c r="D433" i="12"/>
  <c r="C433" i="12"/>
  <c r="G432" i="14"/>
  <c r="F432" i="14"/>
  <c r="C432" i="14"/>
  <c r="B432" i="14"/>
  <c r="O433" i="12"/>
  <c r="J433" i="12"/>
  <c r="G433" i="12"/>
  <c r="I433" i="12"/>
  <c r="H433" i="12"/>
  <c r="E432" i="14"/>
  <c r="A433" i="14"/>
  <c r="D432" i="14"/>
  <c r="H432" i="14"/>
  <c r="A434" i="12"/>
  <c r="B433" i="12"/>
  <c r="E433" i="12"/>
  <c r="K433" i="12"/>
  <c r="L433" i="12"/>
  <c r="F278" i="6"/>
  <c r="E278" i="6"/>
  <c r="H278" i="6"/>
  <c r="B278" i="6"/>
  <c r="J278" i="6"/>
  <c r="G280" i="5"/>
  <c r="H280" i="5"/>
  <c r="C339" i="10"/>
  <c r="G339" i="10"/>
  <c r="B339" i="10"/>
  <c r="A340" i="10"/>
  <c r="D339" i="10"/>
  <c r="E339" i="10"/>
  <c r="B280" i="5"/>
  <c r="A279" i="6"/>
  <c r="G278" i="6"/>
  <c r="C280" i="5"/>
  <c r="A281" i="5"/>
  <c r="F281" i="5" s="1"/>
  <c r="E280" i="5"/>
  <c r="D280" i="5"/>
  <c r="C434" i="12" l="1"/>
  <c r="M434" i="12"/>
  <c r="F434" i="12"/>
  <c r="D434" i="12"/>
  <c r="C279" i="6"/>
  <c r="I279" i="6"/>
  <c r="D279" i="6"/>
  <c r="G433" i="14"/>
  <c r="F433" i="14"/>
  <c r="C433" i="14"/>
  <c r="B433" i="14"/>
  <c r="O434" i="12"/>
  <c r="J434" i="12"/>
  <c r="H434" i="12"/>
  <c r="I434" i="12"/>
  <c r="G434" i="12"/>
  <c r="H433" i="14"/>
  <c r="A434" i="14"/>
  <c r="D433" i="14"/>
  <c r="E433" i="14"/>
  <c r="B434" i="12"/>
  <c r="A435" i="12"/>
  <c r="K434" i="12"/>
  <c r="E434" i="12"/>
  <c r="L434" i="12"/>
  <c r="F279" i="6"/>
  <c r="E279" i="6"/>
  <c r="B279" i="6"/>
  <c r="H279" i="6"/>
  <c r="J279" i="6"/>
  <c r="G281" i="5"/>
  <c r="H281" i="5"/>
  <c r="C340" i="10"/>
  <c r="A341" i="10"/>
  <c r="D340" i="10"/>
  <c r="G340" i="10"/>
  <c r="E340" i="10"/>
  <c r="B340" i="10"/>
  <c r="B281" i="5"/>
  <c r="A280" i="6"/>
  <c r="G279" i="6"/>
  <c r="C281" i="5"/>
  <c r="A282" i="5"/>
  <c r="F282" i="5" s="1"/>
  <c r="E281" i="5"/>
  <c r="D281" i="5"/>
  <c r="M435" i="12" l="1"/>
  <c r="F435" i="12"/>
  <c r="D435" i="12"/>
  <c r="C435" i="12"/>
  <c r="I280" i="6"/>
  <c r="C280" i="6"/>
  <c r="D280" i="6"/>
  <c r="F434" i="14"/>
  <c r="G434" i="14"/>
  <c r="C434" i="14"/>
  <c r="B434" i="14"/>
  <c r="O435" i="12"/>
  <c r="J435" i="12"/>
  <c r="I435" i="12"/>
  <c r="H435" i="12"/>
  <c r="G435" i="12"/>
  <c r="E434" i="14"/>
  <c r="A435" i="14"/>
  <c r="D434" i="14"/>
  <c r="H434" i="14"/>
  <c r="L435" i="12"/>
  <c r="B435" i="12"/>
  <c r="A436" i="12"/>
  <c r="E435" i="12"/>
  <c r="K435" i="12"/>
  <c r="F280" i="6"/>
  <c r="E280" i="6"/>
  <c r="B280" i="6"/>
  <c r="H280" i="6"/>
  <c r="J280" i="6"/>
  <c r="G282" i="5"/>
  <c r="H282" i="5"/>
  <c r="C341" i="10"/>
  <c r="E341" i="10"/>
  <c r="A342" i="10"/>
  <c r="D341" i="10"/>
  <c r="B341" i="10"/>
  <c r="G341" i="10"/>
  <c r="B282" i="5"/>
  <c r="A281" i="6"/>
  <c r="G280" i="6"/>
  <c r="C282" i="5"/>
  <c r="E282" i="5"/>
  <c r="A283" i="5"/>
  <c r="F283" i="5" s="1"/>
  <c r="D282" i="5"/>
  <c r="C436" i="12" l="1"/>
  <c r="M436" i="12"/>
  <c r="F436" i="12"/>
  <c r="D436" i="12"/>
  <c r="I281" i="6"/>
  <c r="D281" i="6"/>
  <c r="C281" i="6"/>
  <c r="G435" i="14"/>
  <c r="F435" i="14"/>
  <c r="C435" i="14"/>
  <c r="B435" i="14"/>
  <c r="O436" i="12"/>
  <c r="J436" i="12"/>
  <c r="I436" i="12"/>
  <c r="H436" i="12"/>
  <c r="G436" i="12"/>
  <c r="H435" i="14"/>
  <c r="A436" i="14"/>
  <c r="D435" i="14"/>
  <c r="E435" i="14"/>
  <c r="B436" i="12"/>
  <c r="K436" i="12"/>
  <c r="A437" i="12"/>
  <c r="L436" i="12"/>
  <c r="E436" i="12"/>
  <c r="F281" i="6"/>
  <c r="E281" i="6"/>
  <c r="H281" i="6"/>
  <c r="B281" i="6"/>
  <c r="J281" i="6"/>
  <c r="C342" i="10"/>
  <c r="G283" i="5"/>
  <c r="H283" i="5"/>
  <c r="B342" i="10"/>
  <c r="E342" i="10"/>
  <c r="G342" i="10"/>
  <c r="A343" i="10"/>
  <c r="D342" i="10"/>
  <c r="B283" i="5"/>
  <c r="A282" i="6"/>
  <c r="G281" i="6"/>
  <c r="C283" i="5"/>
  <c r="D283" i="5"/>
  <c r="A284" i="5"/>
  <c r="F284" i="5" s="1"/>
  <c r="E283" i="5"/>
  <c r="M437" i="12" l="1"/>
  <c r="F437" i="12"/>
  <c r="D437" i="12"/>
  <c r="C437" i="12"/>
  <c r="I282" i="6"/>
  <c r="D282" i="6"/>
  <c r="C282" i="6"/>
  <c r="F436" i="14"/>
  <c r="G436" i="14"/>
  <c r="C436" i="14"/>
  <c r="B436" i="14"/>
  <c r="O437" i="12"/>
  <c r="H437" i="12"/>
  <c r="G437" i="12"/>
  <c r="J437" i="12"/>
  <c r="I437" i="12"/>
  <c r="E436" i="14"/>
  <c r="A437" i="14"/>
  <c r="D436" i="14"/>
  <c r="H436" i="14"/>
  <c r="B437" i="12"/>
  <c r="A438" i="12"/>
  <c r="K437" i="12"/>
  <c r="L437" i="12"/>
  <c r="E437" i="12"/>
  <c r="F282" i="6"/>
  <c r="E282" i="6"/>
  <c r="H282" i="6"/>
  <c r="B282" i="6"/>
  <c r="J282" i="6"/>
  <c r="C343" i="10"/>
  <c r="G284" i="5"/>
  <c r="H284" i="5"/>
  <c r="G343" i="10"/>
  <c r="B343" i="10"/>
  <c r="A344" i="10"/>
  <c r="D343" i="10"/>
  <c r="E343" i="10"/>
  <c r="B284" i="5"/>
  <c r="A283" i="6"/>
  <c r="G282" i="6"/>
  <c r="C284" i="5"/>
  <c r="D284" i="5"/>
  <c r="A285" i="5"/>
  <c r="F285" i="5" s="1"/>
  <c r="E284" i="5"/>
  <c r="I283" i="6" l="1"/>
  <c r="D283" i="6"/>
  <c r="C283" i="6"/>
  <c r="C438" i="12"/>
  <c r="M438" i="12"/>
  <c r="F438" i="12"/>
  <c r="D438" i="12"/>
  <c r="G437" i="14"/>
  <c r="F437" i="14"/>
  <c r="C437" i="14"/>
  <c r="B437" i="14"/>
  <c r="O438" i="12"/>
  <c r="J438" i="12"/>
  <c r="I438" i="12"/>
  <c r="G438" i="12"/>
  <c r="H438" i="12"/>
  <c r="H437" i="14"/>
  <c r="A438" i="14"/>
  <c r="D437" i="14"/>
  <c r="E437" i="14"/>
  <c r="B438" i="12"/>
  <c r="A439" i="12"/>
  <c r="K438" i="12"/>
  <c r="E438" i="12"/>
  <c r="L438" i="12"/>
  <c r="F283" i="6"/>
  <c r="E283" i="6"/>
  <c r="B283" i="6"/>
  <c r="H283" i="6"/>
  <c r="J283" i="6"/>
  <c r="C344" i="10"/>
  <c r="G285" i="5"/>
  <c r="H285" i="5"/>
  <c r="A345" i="10"/>
  <c r="D344" i="10"/>
  <c r="G344" i="10"/>
  <c r="E344" i="10"/>
  <c r="B344" i="10"/>
  <c r="B285" i="5"/>
  <c r="A284" i="6"/>
  <c r="G283" i="6"/>
  <c r="C285" i="5"/>
  <c r="A286" i="5"/>
  <c r="F286" i="5" s="1"/>
  <c r="E285" i="5"/>
  <c r="D285" i="5"/>
  <c r="D284" i="6" l="1"/>
  <c r="C284" i="6"/>
  <c r="I284" i="6"/>
  <c r="M439" i="12"/>
  <c r="F439" i="12"/>
  <c r="D439" i="12"/>
  <c r="C439" i="12"/>
  <c r="F438" i="14"/>
  <c r="G438" i="14"/>
  <c r="C438" i="14"/>
  <c r="B438" i="14"/>
  <c r="O439" i="12"/>
  <c r="J439" i="12"/>
  <c r="I439" i="12"/>
  <c r="G439" i="12"/>
  <c r="H439" i="12"/>
  <c r="E438" i="14"/>
  <c r="A439" i="14"/>
  <c r="D438" i="14"/>
  <c r="H438" i="14"/>
  <c r="L439" i="12"/>
  <c r="K439" i="12"/>
  <c r="A440" i="12"/>
  <c r="E439" i="12"/>
  <c r="B439" i="12"/>
  <c r="F284" i="6"/>
  <c r="E284" i="6"/>
  <c r="B284" i="6"/>
  <c r="H284" i="6"/>
  <c r="J284" i="6"/>
  <c r="G286" i="5"/>
  <c r="H286" i="5"/>
  <c r="C345" i="10"/>
  <c r="E345" i="10"/>
  <c r="A346" i="10"/>
  <c r="D345" i="10"/>
  <c r="B345" i="10"/>
  <c r="G345" i="10"/>
  <c r="B286" i="5"/>
  <c r="A285" i="6"/>
  <c r="G284" i="6"/>
  <c r="C286" i="5"/>
  <c r="E286" i="5"/>
  <c r="A287" i="5"/>
  <c r="F287" i="5" s="1"/>
  <c r="D286" i="5"/>
  <c r="D285" i="6" l="1"/>
  <c r="C285" i="6"/>
  <c r="I285" i="6"/>
  <c r="C440" i="12"/>
  <c r="M440" i="12"/>
  <c r="F440" i="12"/>
  <c r="D440" i="12"/>
  <c r="G439" i="14"/>
  <c r="F439" i="14"/>
  <c r="C439" i="14"/>
  <c r="B439" i="14"/>
  <c r="O440" i="12"/>
  <c r="J440" i="12"/>
  <c r="I440" i="12"/>
  <c r="H440" i="12"/>
  <c r="G440" i="12"/>
  <c r="H439" i="14"/>
  <c r="A440" i="14"/>
  <c r="D439" i="14"/>
  <c r="E439" i="14"/>
  <c r="B440" i="12"/>
  <c r="K440" i="12"/>
  <c r="E440" i="12"/>
  <c r="L440" i="12"/>
  <c r="A441" i="12"/>
  <c r="E285" i="6"/>
  <c r="F285" i="6"/>
  <c r="H285" i="6"/>
  <c r="B285" i="6"/>
  <c r="J285" i="6"/>
  <c r="C346" i="10"/>
  <c r="G287" i="5"/>
  <c r="H287" i="5"/>
  <c r="B346" i="10"/>
  <c r="E346" i="10"/>
  <c r="G346" i="10"/>
  <c r="D346" i="10"/>
  <c r="A347" i="10"/>
  <c r="B287" i="5"/>
  <c r="A286" i="6"/>
  <c r="G285" i="6"/>
  <c r="C287" i="5"/>
  <c r="D287" i="5"/>
  <c r="A288" i="5"/>
  <c r="F288" i="5" s="1"/>
  <c r="E287" i="5"/>
  <c r="I286" i="6" l="1"/>
  <c r="D286" i="6"/>
  <c r="C286" i="6"/>
  <c r="F440" i="14"/>
  <c r="G440" i="14"/>
  <c r="M441" i="12"/>
  <c r="F441" i="12"/>
  <c r="D441" i="12"/>
  <c r="C441" i="12"/>
  <c r="C440" i="14"/>
  <c r="B440" i="14"/>
  <c r="O441" i="12"/>
  <c r="J441" i="12"/>
  <c r="G441" i="12"/>
  <c r="H441" i="12"/>
  <c r="I441" i="12"/>
  <c r="E440" i="14"/>
  <c r="A441" i="14"/>
  <c r="D440" i="14"/>
  <c r="H440" i="14"/>
  <c r="A442" i="12"/>
  <c r="L441" i="12"/>
  <c r="E441" i="12"/>
  <c r="K441" i="12"/>
  <c r="B441" i="12"/>
  <c r="F286" i="6"/>
  <c r="E286" i="6"/>
  <c r="H286" i="6"/>
  <c r="B286" i="6"/>
  <c r="J286" i="6"/>
  <c r="G288" i="5"/>
  <c r="H288" i="5"/>
  <c r="C347" i="10"/>
  <c r="G347" i="10"/>
  <c r="B347" i="10"/>
  <c r="A348" i="10"/>
  <c r="D347" i="10"/>
  <c r="E347" i="10"/>
  <c r="B288" i="5"/>
  <c r="A287" i="6"/>
  <c r="G286" i="6"/>
  <c r="C288" i="5"/>
  <c r="A289" i="5"/>
  <c r="F289" i="5" s="1"/>
  <c r="E288" i="5"/>
  <c r="D288" i="5"/>
  <c r="C287" i="6" l="1"/>
  <c r="I287" i="6"/>
  <c r="D287" i="6"/>
  <c r="C442" i="12"/>
  <c r="M442" i="12"/>
  <c r="F442" i="12"/>
  <c r="D442" i="12"/>
  <c r="F441" i="14"/>
  <c r="G441" i="14"/>
  <c r="C441" i="14"/>
  <c r="B441" i="14"/>
  <c r="O442" i="12"/>
  <c r="J442" i="12"/>
  <c r="H442" i="12"/>
  <c r="I442" i="12"/>
  <c r="G442" i="12"/>
  <c r="H441" i="14"/>
  <c r="A442" i="14"/>
  <c r="D441" i="14"/>
  <c r="E441" i="14"/>
  <c r="B442" i="12"/>
  <c r="A443" i="12"/>
  <c r="K442" i="12"/>
  <c r="E442" i="12"/>
  <c r="L442" i="12"/>
  <c r="F287" i="6"/>
  <c r="E287" i="6"/>
  <c r="B287" i="6"/>
  <c r="H287" i="6"/>
  <c r="J287" i="6"/>
  <c r="C348" i="10"/>
  <c r="G289" i="5"/>
  <c r="H289" i="5"/>
  <c r="A349" i="10"/>
  <c r="D348" i="10"/>
  <c r="G348" i="10"/>
  <c r="E348" i="10"/>
  <c r="B348" i="10"/>
  <c r="B289" i="5"/>
  <c r="A288" i="6"/>
  <c r="G287" i="6"/>
  <c r="C289" i="5"/>
  <c r="D289" i="5"/>
  <c r="A290" i="5"/>
  <c r="F290" i="5" s="1"/>
  <c r="E289" i="5"/>
  <c r="M443" i="12" l="1"/>
  <c r="F443" i="12"/>
  <c r="D443" i="12"/>
  <c r="C443" i="12"/>
  <c r="I288" i="6"/>
  <c r="C288" i="6"/>
  <c r="D288" i="6"/>
  <c r="F442" i="14"/>
  <c r="G442" i="14"/>
  <c r="C442" i="14"/>
  <c r="B442" i="14"/>
  <c r="O443" i="12"/>
  <c r="J443" i="12"/>
  <c r="I443" i="12"/>
  <c r="G443" i="12"/>
  <c r="H443" i="12"/>
  <c r="E442" i="14"/>
  <c r="A443" i="14"/>
  <c r="D442" i="14"/>
  <c r="H442" i="14"/>
  <c r="A444" i="12"/>
  <c r="E443" i="12"/>
  <c r="K443" i="12"/>
  <c r="B443" i="12"/>
  <c r="L443" i="12"/>
  <c r="F288" i="6"/>
  <c r="E288" i="6"/>
  <c r="B288" i="6"/>
  <c r="H288" i="6"/>
  <c r="J288" i="6"/>
  <c r="G290" i="5"/>
  <c r="H290" i="5"/>
  <c r="C349" i="10"/>
  <c r="E349" i="10"/>
  <c r="A350" i="10"/>
  <c r="D349" i="10"/>
  <c r="B349" i="10"/>
  <c r="G349" i="10"/>
  <c r="B290" i="5"/>
  <c r="A289" i="6"/>
  <c r="G288" i="6"/>
  <c r="C290" i="5"/>
  <c r="A291" i="5"/>
  <c r="F291" i="5" s="1"/>
  <c r="D290" i="5"/>
  <c r="E290" i="5"/>
  <c r="I289" i="6" l="1"/>
  <c r="D289" i="6"/>
  <c r="C289" i="6"/>
  <c r="C444" i="12"/>
  <c r="M444" i="12"/>
  <c r="F444" i="12"/>
  <c r="D444" i="12"/>
  <c r="F443" i="14"/>
  <c r="G443" i="14"/>
  <c r="C443" i="14"/>
  <c r="B443" i="14"/>
  <c r="O444" i="12"/>
  <c r="J444" i="12"/>
  <c r="I444" i="12"/>
  <c r="H444" i="12"/>
  <c r="G444" i="12"/>
  <c r="H443" i="14"/>
  <c r="A444" i="14"/>
  <c r="D443" i="14"/>
  <c r="E443" i="14"/>
  <c r="K444" i="12"/>
  <c r="A445" i="12"/>
  <c r="E444" i="12"/>
  <c r="B444" i="12"/>
  <c r="L444" i="12"/>
  <c r="F289" i="6"/>
  <c r="E289" i="6"/>
  <c r="H289" i="6"/>
  <c r="B289" i="6"/>
  <c r="J289" i="6"/>
  <c r="G291" i="5"/>
  <c r="H291" i="5"/>
  <c r="C350" i="10"/>
  <c r="B350" i="10"/>
  <c r="E350" i="10"/>
  <c r="G350" i="10"/>
  <c r="D350" i="10"/>
  <c r="A351" i="10"/>
  <c r="B291" i="5"/>
  <c r="G289" i="6"/>
  <c r="A290" i="6"/>
  <c r="C291" i="5"/>
  <c r="E291" i="5"/>
  <c r="A292" i="5"/>
  <c r="F292" i="5" s="1"/>
  <c r="D291" i="5"/>
  <c r="M445" i="12" l="1"/>
  <c r="F445" i="12"/>
  <c r="D445" i="12"/>
  <c r="C445" i="12"/>
  <c r="G444" i="14"/>
  <c r="F444" i="14"/>
  <c r="I290" i="6"/>
  <c r="D290" i="6"/>
  <c r="C290" i="6"/>
  <c r="C444" i="14"/>
  <c r="B444" i="14"/>
  <c r="O445" i="12"/>
  <c r="G445" i="12"/>
  <c r="I445" i="12"/>
  <c r="H445" i="12"/>
  <c r="J445" i="12"/>
  <c r="E444" i="14"/>
  <c r="A445" i="14"/>
  <c r="D444" i="14"/>
  <c r="H444" i="14"/>
  <c r="K445" i="12"/>
  <c r="B445" i="12"/>
  <c r="L445" i="12"/>
  <c r="E445" i="12"/>
  <c r="A446" i="12"/>
  <c r="F290" i="6"/>
  <c r="E290" i="6"/>
  <c r="H290" i="6"/>
  <c r="B290" i="6"/>
  <c r="J290" i="6"/>
  <c r="G292" i="5"/>
  <c r="H292" i="5"/>
  <c r="C351" i="10"/>
  <c r="G351" i="10"/>
  <c r="B351" i="10"/>
  <c r="A352" i="10"/>
  <c r="D351" i="10"/>
  <c r="E351" i="10"/>
  <c r="B292" i="5"/>
  <c r="G290" i="6"/>
  <c r="A291" i="6"/>
  <c r="C292" i="5"/>
  <c r="A293" i="5"/>
  <c r="F293" i="5" s="1"/>
  <c r="E292" i="5"/>
  <c r="D292" i="5"/>
  <c r="G445" i="14" l="1"/>
  <c r="F445" i="14"/>
  <c r="I291" i="6"/>
  <c r="D291" i="6"/>
  <c r="C291" i="6"/>
  <c r="C446" i="12"/>
  <c r="M446" i="12"/>
  <c r="F446" i="12"/>
  <c r="D446" i="12"/>
  <c r="C445" i="14"/>
  <c r="B445" i="14"/>
  <c r="O446" i="12"/>
  <c r="I446" i="12"/>
  <c r="H446" i="12"/>
  <c r="J446" i="12"/>
  <c r="G446" i="12"/>
  <c r="H445" i="14"/>
  <c r="A446" i="14"/>
  <c r="D445" i="14"/>
  <c r="E445" i="14"/>
  <c r="E446" i="12"/>
  <c r="A447" i="12"/>
  <c r="K446" i="12"/>
  <c r="L446" i="12"/>
  <c r="B446" i="12"/>
  <c r="F291" i="6"/>
  <c r="E291" i="6"/>
  <c r="B291" i="6"/>
  <c r="H291" i="6"/>
  <c r="J291" i="6"/>
  <c r="G293" i="5"/>
  <c r="H293" i="5"/>
  <c r="C352" i="10"/>
  <c r="A353" i="10"/>
  <c r="D352" i="10"/>
  <c r="G352" i="10"/>
  <c r="E352" i="10"/>
  <c r="B352" i="10"/>
  <c r="B293" i="5"/>
  <c r="A292" i="6"/>
  <c r="G291" i="6"/>
  <c r="C293" i="5"/>
  <c r="D293" i="5"/>
  <c r="A294" i="5"/>
  <c r="F294" i="5" s="1"/>
  <c r="E293" i="5"/>
  <c r="M447" i="12" l="1"/>
  <c r="F447" i="12"/>
  <c r="D447" i="12"/>
  <c r="C447" i="12"/>
  <c r="F446" i="14"/>
  <c r="G446" i="14"/>
  <c r="D292" i="6"/>
  <c r="C292" i="6"/>
  <c r="I292" i="6"/>
  <c r="C446" i="14"/>
  <c r="B446" i="14"/>
  <c r="O447" i="12"/>
  <c r="J447" i="12"/>
  <c r="I447" i="12"/>
  <c r="H447" i="12"/>
  <c r="G447" i="12"/>
  <c r="E446" i="14"/>
  <c r="A447" i="14"/>
  <c r="D446" i="14"/>
  <c r="H446" i="14"/>
  <c r="L447" i="12"/>
  <c r="K447" i="12"/>
  <c r="B447" i="12"/>
  <c r="A448" i="12"/>
  <c r="E447" i="12"/>
  <c r="F292" i="6"/>
  <c r="E292" i="6"/>
  <c r="B292" i="6"/>
  <c r="H292" i="6"/>
  <c r="J292" i="6"/>
  <c r="G294" i="5"/>
  <c r="H294" i="5"/>
  <c r="C353" i="10"/>
  <c r="E353" i="10"/>
  <c r="A354" i="10"/>
  <c r="D353" i="10"/>
  <c r="B353" i="10"/>
  <c r="G353" i="10"/>
  <c r="B294" i="5"/>
  <c r="A293" i="6"/>
  <c r="G292" i="6"/>
  <c r="C294" i="5"/>
  <c r="A295" i="5"/>
  <c r="F295" i="5" s="1"/>
  <c r="D294" i="5"/>
  <c r="E294" i="5"/>
  <c r="C448" i="12" l="1"/>
  <c r="M448" i="12"/>
  <c r="F448" i="12"/>
  <c r="D448" i="12"/>
  <c r="D293" i="6"/>
  <c r="I293" i="6"/>
  <c r="C293" i="6"/>
  <c r="G447" i="14"/>
  <c r="F447" i="14"/>
  <c r="C447" i="14"/>
  <c r="B447" i="14"/>
  <c r="O448" i="12"/>
  <c r="J448" i="12"/>
  <c r="I448" i="12"/>
  <c r="H448" i="12"/>
  <c r="G448" i="12"/>
  <c r="H447" i="14"/>
  <c r="A448" i="14"/>
  <c r="D447" i="14"/>
  <c r="E447" i="14"/>
  <c r="K448" i="12"/>
  <c r="E448" i="12"/>
  <c r="B448" i="12"/>
  <c r="L448" i="12"/>
  <c r="A449" i="12"/>
  <c r="E293" i="6"/>
  <c r="F293" i="6"/>
  <c r="H293" i="6"/>
  <c r="B293" i="6"/>
  <c r="J293" i="6"/>
  <c r="G295" i="5"/>
  <c r="H295" i="5"/>
  <c r="C354" i="10"/>
  <c r="B354" i="10"/>
  <c r="E354" i="10"/>
  <c r="G354" i="10"/>
  <c r="A355" i="10"/>
  <c r="D354" i="10"/>
  <c r="B295" i="5"/>
  <c r="A294" i="6"/>
  <c r="G293" i="6"/>
  <c r="C295" i="5"/>
  <c r="D295" i="5"/>
  <c r="A296" i="5"/>
  <c r="F296" i="5" s="1"/>
  <c r="E295" i="5"/>
  <c r="I294" i="6" l="1"/>
  <c r="D294" i="6"/>
  <c r="C294" i="6"/>
  <c r="F448" i="14"/>
  <c r="G448" i="14"/>
  <c r="M449" i="12"/>
  <c r="F449" i="12"/>
  <c r="D449" i="12"/>
  <c r="C449" i="12"/>
  <c r="C448" i="14"/>
  <c r="B448" i="14"/>
  <c r="O449" i="12"/>
  <c r="J449" i="12"/>
  <c r="G449" i="12"/>
  <c r="H449" i="12"/>
  <c r="I449" i="12"/>
  <c r="E448" i="14"/>
  <c r="A449" i="14"/>
  <c r="D448" i="14"/>
  <c r="H448" i="14"/>
  <c r="A450" i="12"/>
  <c r="K449" i="12"/>
  <c r="B449" i="12"/>
  <c r="L449" i="12"/>
  <c r="E449" i="12"/>
  <c r="F294" i="6"/>
  <c r="E294" i="6"/>
  <c r="H294" i="6"/>
  <c r="B294" i="6"/>
  <c r="J294" i="6"/>
  <c r="C355" i="10"/>
  <c r="G296" i="5"/>
  <c r="H296" i="5"/>
  <c r="G355" i="10"/>
  <c r="B355" i="10"/>
  <c r="A356" i="10"/>
  <c r="D355" i="10"/>
  <c r="E355" i="10"/>
  <c r="B296" i="5"/>
  <c r="A295" i="6"/>
  <c r="G294" i="6"/>
  <c r="C296" i="5"/>
  <c r="D296" i="5"/>
  <c r="A297" i="5"/>
  <c r="F297" i="5" s="1"/>
  <c r="E296" i="5"/>
  <c r="C295" i="6" l="1"/>
  <c r="D295" i="6"/>
  <c r="I295" i="6"/>
  <c r="C450" i="12"/>
  <c r="M450" i="12"/>
  <c r="F450" i="12"/>
  <c r="D450" i="12"/>
  <c r="G449" i="14"/>
  <c r="F449" i="14"/>
  <c r="C449" i="14"/>
  <c r="B449" i="14"/>
  <c r="O450" i="12"/>
  <c r="J450" i="12"/>
  <c r="H450" i="12"/>
  <c r="G450" i="12"/>
  <c r="I450" i="12"/>
  <c r="H449" i="14"/>
  <c r="A450" i="14"/>
  <c r="D449" i="14"/>
  <c r="E449" i="14"/>
  <c r="B450" i="12"/>
  <c r="A451" i="12"/>
  <c r="K450" i="12"/>
  <c r="L450" i="12"/>
  <c r="E450" i="12"/>
  <c r="F295" i="6"/>
  <c r="E295" i="6"/>
  <c r="B295" i="6"/>
  <c r="H295" i="6"/>
  <c r="J295" i="6"/>
  <c r="C356" i="10"/>
  <c r="G297" i="5"/>
  <c r="H297" i="5"/>
  <c r="A357" i="10"/>
  <c r="D356" i="10"/>
  <c r="G356" i="10"/>
  <c r="E356" i="10"/>
  <c r="B356" i="10"/>
  <c r="B297" i="5"/>
  <c r="A296" i="6"/>
  <c r="G295" i="6"/>
  <c r="C297" i="5"/>
  <c r="A298" i="5"/>
  <c r="F298" i="5" s="1"/>
  <c r="E297" i="5"/>
  <c r="D297" i="5"/>
  <c r="M451" i="12" l="1"/>
  <c r="F451" i="12"/>
  <c r="D451" i="12"/>
  <c r="C451" i="12"/>
  <c r="I296" i="6"/>
  <c r="C296" i="6"/>
  <c r="D296" i="6"/>
  <c r="F450" i="14"/>
  <c r="G450" i="14"/>
  <c r="C450" i="14"/>
  <c r="B450" i="14"/>
  <c r="O451" i="12"/>
  <c r="J451" i="12"/>
  <c r="I451" i="12"/>
  <c r="H451" i="12"/>
  <c r="G451" i="12"/>
  <c r="E450" i="14"/>
  <c r="A451" i="14"/>
  <c r="D450" i="14"/>
  <c r="H450" i="14"/>
  <c r="L451" i="12"/>
  <c r="A452" i="12"/>
  <c r="E451" i="12"/>
  <c r="K451" i="12"/>
  <c r="B451" i="12"/>
  <c r="F296" i="6"/>
  <c r="E296" i="6"/>
  <c r="B296" i="6"/>
  <c r="H296" i="6"/>
  <c r="J296" i="6"/>
  <c r="G298" i="5"/>
  <c r="H298" i="5"/>
  <c r="C357" i="10"/>
  <c r="E357" i="10"/>
  <c r="A358" i="10"/>
  <c r="D357" i="10"/>
  <c r="B357" i="10"/>
  <c r="G357" i="10"/>
  <c r="B298" i="5"/>
  <c r="A297" i="6"/>
  <c r="G296" i="6"/>
  <c r="C298" i="5"/>
  <c r="A299" i="5"/>
  <c r="F299" i="5" s="1"/>
  <c r="D298" i="5"/>
  <c r="E298" i="5"/>
  <c r="C452" i="12" l="1"/>
  <c r="M452" i="12"/>
  <c r="F452" i="12"/>
  <c r="D452" i="12"/>
  <c r="I297" i="6"/>
  <c r="D297" i="6"/>
  <c r="C297" i="6"/>
  <c r="G451" i="14"/>
  <c r="F451" i="14"/>
  <c r="C451" i="14"/>
  <c r="B451" i="14"/>
  <c r="O452" i="12"/>
  <c r="J452" i="12"/>
  <c r="I452" i="12"/>
  <c r="H452" i="12"/>
  <c r="G452" i="12"/>
  <c r="H451" i="14"/>
  <c r="A452" i="14"/>
  <c r="D451" i="14"/>
  <c r="E451" i="14"/>
  <c r="B452" i="12"/>
  <c r="K452" i="12"/>
  <c r="A453" i="12"/>
  <c r="E452" i="12"/>
  <c r="L452" i="12"/>
  <c r="F297" i="6"/>
  <c r="E297" i="6"/>
  <c r="H297" i="6"/>
  <c r="B297" i="6"/>
  <c r="J297" i="6"/>
  <c r="G299" i="5"/>
  <c r="H299" i="5"/>
  <c r="C358" i="10"/>
  <c r="B358" i="10"/>
  <c r="E358" i="10"/>
  <c r="G358" i="10"/>
  <c r="A359" i="10"/>
  <c r="D358" i="10"/>
  <c r="B299" i="5"/>
  <c r="G297" i="6"/>
  <c r="A298" i="6"/>
  <c r="C299" i="5"/>
  <c r="A300" i="5"/>
  <c r="F300" i="5" s="1"/>
  <c r="E299" i="5"/>
  <c r="D299" i="5"/>
  <c r="M453" i="12" l="1"/>
  <c r="F453" i="12"/>
  <c r="D453" i="12"/>
  <c r="C453" i="12"/>
  <c r="F452" i="14"/>
  <c r="G452" i="14"/>
  <c r="I298" i="6"/>
  <c r="D298" i="6"/>
  <c r="C298" i="6"/>
  <c r="C452" i="14"/>
  <c r="B452" i="14"/>
  <c r="O453" i="12"/>
  <c r="H453" i="12"/>
  <c r="G453" i="12"/>
  <c r="J453" i="12"/>
  <c r="I453" i="12"/>
  <c r="E452" i="14"/>
  <c r="A453" i="14"/>
  <c r="D452" i="14"/>
  <c r="H452" i="14"/>
  <c r="A454" i="12"/>
  <c r="L453" i="12"/>
  <c r="B453" i="12"/>
  <c r="K453" i="12"/>
  <c r="E453" i="12"/>
  <c r="F298" i="6"/>
  <c r="E298" i="6"/>
  <c r="H298" i="6"/>
  <c r="B298" i="6"/>
  <c r="J298" i="6"/>
  <c r="G300" i="5"/>
  <c r="H300" i="5"/>
  <c r="C359" i="10"/>
  <c r="G359" i="10"/>
  <c r="B359" i="10"/>
  <c r="A360" i="10"/>
  <c r="D359" i="10"/>
  <c r="E359" i="10"/>
  <c r="B300" i="5"/>
  <c r="G298" i="6"/>
  <c r="A299" i="6"/>
  <c r="C300" i="5"/>
  <c r="D300" i="5"/>
  <c r="A301" i="5"/>
  <c r="F301" i="5" s="1"/>
  <c r="E300" i="5"/>
  <c r="G453" i="14" l="1"/>
  <c r="F453" i="14"/>
  <c r="C454" i="12"/>
  <c r="M454" i="12"/>
  <c r="F454" i="12"/>
  <c r="D454" i="12"/>
  <c r="I299" i="6"/>
  <c r="D299" i="6"/>
  <c r="C299" i="6"/>
  <c r="C453" i="14"/>
  <c r="B453" i="14"/>
  <c r="O454" i="12"/>
  <c r="J454" i="12"/>
  <c r="I454" i="12"/>
  <c r="G454" i="12"/>
  <c r="H454" i="12"/>
  <c r="H453" i="14"/>
  <c r="A454" i="14"/>
  <c r="D453" i="14"/>
  <c r="E453" i="14"/>
  <c r="A455" i="12"/>
  <c r="E454" i="12"/>
  <c r="K454" i="12"/>
  <c r="B454" i="12"/>
  <c r="L454" i="12"/>
  <c r="F299" i="6"/>
  <c r="E299" i="6"/>
  <c r="B299" i="6"/>
  <c r="H299" i="6"/>
  <c r="J299" i="6"/>
  <c r="C360" i="10"/>
  <c r="G301" i="5"/>
  <c r="H301" i="5"/>
  <c r="A361" i="10"/>
  <c r="D360" i="10"/>
  <c r="G360" i="10"/>
  <c r="E360" i="10"/>
  <c r="B360" i="10"/>
  <c r="B301" i="5"/>
  <c r="A300" i="6"/>
  <c r="G299" i="6"/>
  <c r="C301" i="5"/>
  <c r="D301" i="5"/>
  <c r="A302" i="5"/>
  <c r="F302" i="5" s="1"/>
  <c r="E301" i="5"/>
  <c r="D300" i="6" l="1"/>
  <c r="C300" i="6"/>
  <c r="I300" i="6"/>
  <c r="M455" i="12"/>
  <c r="F455" i="12"/>
  <c r="D455" i="12"/>
  <c r="C455" i="12"/>
  <c r="F454" i="14"/>
  <c r="G454" i="14"/>
  <c r="C454" i="14"/>
  <c r="B454" i="14"/>
  <c r="O455" i="12"/>
  <c r="J455" i="12"/>
  <c r="I455" i="12"/>
  <c r="H455" i="12"/>
  <c r="G455" i="12"/>
  <c r="E454" i="14"/>
  <c r="A455" i="14"/>
  <c r="D454" i="14"/>
  <c r="H454" i="14"/>
  <c r="B455" i="12"/>
  <c r="A456" i="12"/>
  <c r="E455" i="12"/>
  <c r="K455" i="12"/>
  <c r="L455" i="12"/>
  <c r="F300" i="6"/>
  <c r="E300" i="6"/>
  <c r="B300" i="6"/>
  <c r="H300" i="6"/>
  <c r="J300" i="6"/>
  <c r="G302" i="5"/>
  <c r="H302" i="5"/>
  <c r="C361" i="10"/>
  <c r="E361" i="10"/>
  <c r="A362" i="10"/>
  <c r="D361" i="10"/>
  <c r="B361" i="10"/>
  <c r="G361" i="10"/>
  <c r="B302" i="5"/>
  <c r="A301" i="6"/>
  <c r="G300" i="6"/>
  <c r="C302" i="5"/>
  <c r="E302" i="5"/>
  <c r="A303" i="5"/>
  <c r="F303" i="5" s="1"/>
  <c r="D302" i="5"/>
  <c r="C456" i="12" l="1"/>
  <c r="M456" i="12"/>
  <c r="F456" i="12"/>
  <c r="D456" i="12"/>
  <c r="F455" i="14"/>
  <c r="G455" i="14"/>
  <c r="D301" i="6"/>
  <c r="I301" i="6"/>
  <c r="C301" i="6"/>
  <c r="C455" i="14"/>
  <c r="B455" i="14"/>
  <c r="O456" i="12"/>
  <c r="J456" i="12"/>
  <c r="I456" i="12"/>
  <c r="H456" i="12"/>
  <c r="G456" i="12"/>
  <c r="H455" i="14"/>
  <c r="A456" i="14"/>
  <c r="D455" i="14"/>
  <c r="E455" i="14"/>
  <c r="L456" i="12"/>
  <c r="A457" i="12"/>
  <c r="E456" i="12"/>
  <c r="K456" i="12"/>
  <c r="B456" i="12"/>
  <c r="E301" i="6"/>
  <c r="F301" i="6"/>
  <c r="H301" i="6"/>
  <c r="B301" i="6"/>
  <c r="J301" i="6"/>
  <c r="C362" i="10"/>
  <c r="G303" i="5"/>
  <c r="H303" i="5"/>
  <c r="B362" i="10"/>
  <c r="E362" i="10"/>
  <c r="G362" i="10"/>
  <c r="D362" i="10"/>
  <c r="A363" i="10"/>
  <c r="B303" i="5"/>
  <c r="A302" i="6"/>
  <c r="G301" i="6"/>
  <c r="C303" i="5"/>
  <c r="A304" i="5"/>
  <c r="F304" i="5" s="1"/>
  <c r="E303" i="5"/>
  <c r="D303" i="5"/>
  <c r="M457" i="12" l="1"/>
  <c r="F457" i="12"/>
  <c r="D457" i="12"/>
  <c r="C457" i="12"/>
  <c r="I302" i="6"/>
  <c r="D302" i="6"/>
  <c r="C302" i="6"/>
  <c r="G456" i="14"/>
  <c r="F456" i="14"/>
  <c r="C456" i="14"/>
  <c r="B456" i="14"/>
  <c r="O457" i="12"/>
  <c r="J457" i="12"/>
  <c r="G457" i="12"/>
  <c r="H457" i="12"/>
  <c r="I457" i="12"/>
  <c r="E456" i="14"/>
  <c r="A457" i="14"/>
  <c r="D456" i="14"/>
  <c r="H456" i="14"/>
  <c r="K457" i="12"/>
  <c r="L457" i="12"/>
  <c r="A458" i="12"/>
  <c r="E457" i="12"/>
  <c r="B457" i="12"/>
  <c r="F302" i="6"/>
  <c r="E302" i="6"/>
  <c r="H302" i="6"/>
  <c r="B302" i="6"/>
  <c r="J302" i="6"/>
  <c r="G304" i="5"/>
  <c r="H304" i="5"/>
  <c r="C363" i="10"/>
  <c r="G363" i="10"/>
  <c r="B363" i="10"/>
  <c r="A364" i="10"/>
  <c r="D363" i="10"/>
  <c r="E363" i="10"/>
  <c r="B304" i="5"/>
  <c r="A303" i="6"/>
  <c r="G302" i="6"/>
  <c r="C304" i="5"/>
  <c r="A305" i="5"/>
  <c r="F305" i="5" s="1"/>
  <c r="E304" i="5"/>
  <c r="D304" i="5"/>
  <c r="C458" i="12" l="1"/>
  <c r="M458" i="12"/>
  <c r="F458" i="12"/>
  <c r="D458" i="12"/>
  <c r="C303" i="6"/>
  <c r="I303" i="6"/>
  <c r="D303" i="6"/>
  <c r="F457" i="14"/>
  <c r="G457" i="14"/>
  <c r="C457" i="14"/>
  <c r="B457" i="14"/>
  <c r="O458" i="12"/>
  <c r="J458" i="12"/>
  <c r="H458" i="12"/>
  <c r="I458" i="12"/>
  <c r="G458" i="12"/>
  <c r="H457" i="14"/>
  <c r="A458" i="14"/>
  <c r="D457" i="14"/>
  <c r="E457" i="14"/>
  <c r="A459" i="12"/>
  <c r="E458" i="12"/>
  <c r="K458" i="12"/>
  <c r="B458" i="12"/>
  <c r="L458" i="12"/>
  <c r="F303" i="6"/>
  <c r="E303" i="6"/>
  <c r="B303" i="6"/>
  <c r="H303" i="6"/>
  <c r="J303" i="6"/>
  <c r="G305" i="5"/>
  <c r="H305" i="5"/>
  <c r="C364" i="10"/>
  <c r="A365" i="10"/>
  <c r="D364" i="10"/>
  <c r="G364" i="10"/>
  <c r="E364" i="10"/>
  <c r="B364" i="10"/>
  <c r="B305" i="5"/>
  <c r="A304" i="6"/>
  <c r="G303" i="6"/>
  <c r="C305" i="5"/>
  <c r="A306" i="5"/>
  <c r="F306" i="5" s="1"/>
  <c r="E305" i="5"/>
  <c r="D305" i="5"/>
  <c r="M459" i="12" l="1"/>
  <c r="F459" i="12"/>
  <c r="D459" i="12"/>
  <c r="C459" i="12"/>
  <c r="I304" i="6"/>
  <c r="C304" i="6"/>
  <c r="D304" i="6"/>
  <c r="F458" i="14"/>
  <c r="G458" i="14"/>
  <c r="C458" i="14"/>
  <c r="B458" i="14"/>
  <c r="O459" i="12"/>
  <c r="J459" i="12"/>
  <c r="I459" i="12"/>
  <c r="G459" i="12"/>
  <c r="H459" i="12"/>
  <c r="E458" i="14"/>
  <c r="A459" i="14"/>
  <c r="D458" i="14"/>
  <c r="H458" i="14"/>
  <c r="B459" i="12"/>
  <c r="A460" i="12"/>
  <c r="K459" i="12"/>
  <c r="L459" i="12"/>
  <c r="E459" i="12"/>
  <c r="F304" i="6"/>
  <c r="E304" i="6"/>
  <c r="B304" i="6"/>
  <c r="H304" i="6"/>
  <c r="J304" i="6"/>
  <c r="C365" i="10"/>
  <c r="G306" i="5"/>
  <c r="H306" i="5"/>
  <c r="E365" i="10"/>
  <c r="A366" i="10"/>
  <c r="D365" i="10"/>
  <c r="B365" i="10"/>
  <c r="G365" i="10"/>
  <c r="B306" i="5"/>
  <c r="A305" i="6"/>
  <c r="G304" i="6"/>
  <c r="C306" i="5"/>
  <c r="A307" i="5"/>
  <c r="F307" i="5" s="1"/>
  <c r="D306" i="5"/>
  <c r="E306" i="5"/>
  <c r="C460" i="12" l="1"/>
  <c r="M460" i="12"/>
  <c r="F460" i="12"/>
  <c r="D460" i="12"/>
  <c r="G459" i="14"/>
  <c r="F459" i="14"/>
  <c r="I305" i="6"/>
  <c r="D305" i="6"/>
  <c r="C305" i="6"/>
  <c r="C459" i="14"/>
  <c r="B459" i="14"/>
  <c r="O460" i="12"/>
  <c r="J460" i="12"/>
  <c r="I460" i="12"/>
  <c r="H460" i="12"/>
  <c r="G460" i="12"/>
  <c r="H459" i="14"/>
  <c r="A460" i="14"/>
  <c r="D459" i="14"/>
  <c r="E459" i="14"/>
  <c r="L460" i="12"/>
  <c r="A461" i="12"/>
  <c r="E460" i="12"/>
  <c r="K460" i="12"/>
  <c r="B460" i="12"/>
  <c r="F305" i="6"/>
  <c r="E305" i="6"/>
  <c r="H305" i="6"/>
  <c r="B305" i="6"/>
  <c r="J305" i="6"/>
  <c r="G307" i="5"/>
  <c r="H307" i="5"/>
  <c r="C366" i="10"/>
  <c r="B366" i="10"/>
  <c r="E366" i="10"/>
  <c r="G366" i="10"/>
  <c r="D366" i="10"/>
  <c r="A367" i="10"/>
  <c r="B307" i="5"/>
  <c r="G305" i="6"/>
  <c r="A306" i="6"/>
  <c r="C307" i="5"/>
  <c r="D307" i="5"/>
  <c r="A308" i="5"/>
  <c r="F308" i="5" s="1"/>
  <c r="E307" i="5"/>
  <c r="M461" i="12" l="1"/>
  <c r="F461" i="12"/>
  <c r="D461" i="12"/>
  <c r="C461" i="12"/>
  <c r="F460" i="14"/>
  <c r="G460" i="14"/>
  <c r="I306" i="6"/>
  <c r="D306" i="6"/>
  <c r="C306" i="6"/>
  <c r="C460" i="14"/>
  <c r="B460" i="14"/>
  <c r="O461" i="12"/>
  <c r="G461" i="12"/>
  <c r="I461" i="12"/>
  <c r="H461" i="12"/>
  <c r="J461" i="12"/>
  <c r="E460" i="14"/>
  <c r="A461" i="14"/>
  <c r="D460" i="14"/>
  <c r="H460" i="14"/>
  <c r="B461" i="12"/>
  <c r="A462" i="12"/>
  <c r="E461" i="12"/>
  <c r="L461" i="12"/>
  <c r="K461" i="12"/>
  <c r="F306" i="6"/>
  <c r="E306" i="6"/>
  <c r="H306" i="6"/>
  <c r="B306" i="6"/>
  <c r="J306" i="6"/>
  <c r="G308" i="5"/>
  <c r="H308" i="5"/>
  <c r="C367" i="10"/>
  <c r="G367" i="10"/>
  <c r="B367" i="10"/>
  <c r="A368" i="10"/>
  <c r="D367" i="10"/>
  <c r="E367" i="10"/>
  <c r="B308" i="5"/>
  <c r="G306" i="6"/>
  <c r="A307" i="6"/>
  <c r="C308" i="5"/>
  <c r="A309" i="5"/>
  <c r="F309" i="5" s="1"/>
  <c r="E308" i="5"/>
  <c r="D308" i="5"/>
  <c r="C462" i="12" l="1"/>
  <c r="M462" i="12"/>
  <c r="F462" i="12"/>
  <c r="D462" i="12"/>
  <c r="F461" i="14"/>
  <c r="G461" i="14"/>
  <c r="I307" i="6"/>
  <c r="D307" i="6"/>
  <c r="C307" i="6"/>
  <c r="C461" i="14"/>
  <c r="B461" i="14"/>
  <c r="O462" i="12"/>
  <c r="I462" i="12"/>
  <c r="H462" i="12"/>
  <c r="J462" i="12"/>
  <c r="G462" i="12"/>
  <c r="H461" i="14"/>
  <c r="A462" i="14"/>
  <c r="D461" i="14"/>
  <c r="E461" i="14"/>
  <c r="A463" i="12"/>
  <c r="K462" i="12"/>
  <c r="B462" i="12"/>
  <c r="L462" i="12"/>
  <c r="E462" i="12"/>
  <c r="F307" i="6"/>
  <c r="E307" i="6"/>
  <c r="B307" i="6"/>
  <c r="H307" i="6"/>
  <c r="J307" i="6"/>
  <c r="G309" i="5"/>
  <c r="H309" i="5"/>
  <c r="C368" i="10"/>
  <c r="A369" i="10"/>
  <c r="D368" i="10"/>
  <c r="G368" i="10"/>
  <c r="E368" i="10"/>
  <c r="B368" i="10"/>
  <c r="B309" i="5"/>
  <c r="A308" i="6"/>
  <c r="G307" i="6"/>
  <c r="C309" i="5"/>
  <c r="A310" i="5"/>
  <c r="F310" i="5" s="1"/>
  <c r="E309" i="5"/>
  <c r="D309" i="5"/>
  <c r="D308" i="6" l="1"/>
  <c r="C308" i="6"/>
  <c r="I308" i="6"/>
  <c r="M463" i="12"/>
  <c r="F463" i="12"/>
  <c r="D463" i="12"/>
  <c r="C463" i="12"/>
  <c r="F462" i="14"/>
  <c r="G462" i="14"/>
  <c r="C462" i="14"/>
  <c r="B462" i="14"/>
  <c r="O463" i="12"/>
  <c r="J463" i="12"/>
  <c r="I463" i="12"/>
  <c r="H463" i="12"/>
  <c r="G463" i="12"/>
  <c r="E462" i="14"/>
  <c r="A463" i="14"/>
  <c r="D462" i="14"/>
  <c r="H462" i="14"/>
  <c r="B463" i="12"/>
  <c r="A464" i="12"/>
  <c r="K463" i="12"/>
  <c r="E463" i="12"/>
  <c r="L463" i="12"/>
  <c r="F308" i="6"/>
  <c r="E308" i="6"/>
  <c r="B308" i="6"/>
  <c r="H308" i="6"/>
  <c r="J308" i="6"/>
  <c r="C369" i="10"/>
  <c r="G310" i="5"/>
  <c r="H310" i="5"/>
  <c r="E369" i="10"/>
  <c r="A370" i="10"/>
  <c r="D369" i="10"/>
  <c r="B369" i="10"/>
  <c r="G369" i="10"/>
  <c r="B310" i="5"/>
  <c r="A309" i="6"/>
  <c r="G308" i="6"/>
  <c r="C310" i="5"/>
  <c r="E310" i="5"/>
  <c r="A311" i="5"/>
  <c r="F311" i="5" s="1"/>
  <c r="D310" i="5"/>
  <c r="D309" i="6" l="1"/>
  <c r="C309" i="6"/>
  <c r="I309" i="6"/>
  <c r="C464" i="12"/>
  <c r="M464" i="12"/>
  <c r="F464" i="12"/>
  <c r="D464" i="12"/>
  <c r="G463" i="14"/>
  <c r="F463" i="14"/>
  <c r="C463" i="14"/>
  <c r="B463" i="14"/>
  <c r="O464" i="12"/>
  <c r="J464" i="12"/>
  <c r="I464" i="12"/>
  <c r="H464" i="12"/>
  <c r="G464" i="12"/>
  <c r="H463" i="14"/>
  <c r="A464" i="14"/>
  <c r="D463" i="14"/>
  <c r="E463" i="14"/>
  <c r="L464" i="12"/>
  <c r="E464" i="12"/>
  <c r="K464" i="12"/>
  <c r="A465" i="12"/>
  <c r="B464" i="12"/>
  <c r="E309" i="6"/>
  <c r="F309" i="6"/>
  <c r="H309" i="6"/>
  <c r="B309" i="6"/>
  <c r="J309" i="6"/>
  <c r="G311" i="5"/>
  <c r="H311" i="5"/>
  <c r="C370" i="10"/>
  <c r="B370" i="10"/>
  <c r="E370" i="10"/>
  <c r="G370" i="10"/>
  <c r="A371" i="10"/>
  <c r="D370" i="10"/>
  <c r="B311" i="5"/>
  <c r="A310" i="6"/>
  <c r="G309" i="6"/>
  <c r="C311" i="5"/>
  <c r="A312" i="5"/>
  <c r="F312" i="5" s="1"/>
  <c r="E311" i="5"/>
  <c r="D311" i="5"/>
  <c r="M465" i="12" l="1"/>
  <c r="F465" i="12"/>
  <c r="D465" i="12"/>
  <c r="C465" i="12"/>
  <c r="I310" i="6"/>
  <c r="D310" i="6"/>
  <c r="C310" i="6"/>
  <c r="G464" i="14"/>
  <c r="F464" i="14"/>
  <c r="C464" i="14"/>
  <c r="B464" i="14"/>
  <c r="O465" i="12"/>
  <c r="J465" i="12"/>
  <c r="G465" i="12"/>
  <c r="I465" i="12"/>
  <c r="H465" i="12"/>
  <c r="E464" i="14"/>
  <c r="A465" i="14"/>
  <c r="D464" i="14"/>
  <c r="H464" i="14"/>
  <c r="K465" i="12"/>
  <c r="L465" i="12"/>
  <c r="A466" i="12"/>
  <c r="E465" i="12"/>
  <c r="B465" i="12"/>
  <c r="F310" i="6"/>
  <c r="E310" i="6"/>
  <c r="H310" i="6"/>
  <c r="B310" i="6"/>
  <c r="J310" i="6"/>
  <c r="G312" i="5"/>
  <c r="H312" i="5"/>
  <c r="C371" i="10"/>
  <c r="G371" i="10"/>
  <c r="B371" i="10"/>
  <c r="A372" i="10"/>
  <c r="D371" i="10"/>
  <c r="E371" i="10"/>
  <c r="B312" i="5"/>
  <c r="A311" i="6"/>
  <c r="G310" i="6"/>
  <c r="C312" i="5"/>
  <c r="D312" i="5"/>
  <c r="A313" i="5"/>
  <c r="F313" i="5" s="1"/>
  <c r="E312" i="5"/>
  <c r="C311" i="6" l="1"/>
  <c r="I311" i="6"/>
  <c r="D311" i="6"/>
  <c r="C466" i="12"/>
  <c r="M466" i="12"/>
  <c r="F466" i="12"/>
  <c r="D466" i="12"/>
  <c r="G465" i="14"/>
  <c r="F465" i="14"/>
  <c r="C465" i="14"/>
  <c r="B465" i="14"/>
  <c r="O466" i="12"/>
  <c r="J466" i="12"/>
  <c r="H466" i="12"/>
  <c r="I466" i="12"/>
  <c r="G466" i="12"/>
  <c r="H465" i="14"/>
  <c r="A466" i="14"/>
  <c r="D465" i="14"/>
  <c r="E465" i="14"/>
  <c r="A467" i="12"/>
  <c r="K466" i="12"/>
  <c r="L466" i="12"/>
  <c r="E466" i="12"/>
  <c r="B466" i="12"/>
  <c r="F311" i="6"/>
  <c r="E311" i="6"/>
  <c r="B311" i="6"/>
  <c r="H311" i="6"/>
  <c r="J311" i="6"/>
  <c r="C372" i="10"/>
  <c r="G313" i="5"/>
  <c r="H313" i="5"/>
  <c r="A373" i="10"/>
  <c r="D372" i="10"/>
  <c r="G372" i="10"/>
  <c r="E372" i="10"/>
  <c r="B372" i="10"/>
  <c r="B313" i="5"/>
  <c r="A312" i="6"/>
  <c r="G311" i="6"/>
  <c r="C313" i="5"/>
  <c r="A314" i="5"/>
  <c r="F314" i="5" s="1"/>
  <c r="E313" i="5"/>
  <c r="D313" i="5"/>
  <c r="I312" i="6" l="1"/>
  <c r="C312" i="6"/>
  <c r="D312" i="6"/>
  <c r="M467" i="12"/>
  <c r="F467" i="12"/>
  <c r="D467" i="12"/>
  <c r="C467" i="12"/>
  <c r="F466" i="14"/>
  <c r="G466" i="14"/>
  <c r="C466" i="14"/>
  <c r="B466" i="14"/>
  <c r="O467" i="12"/>
  <c r="J467" i="12"/>
  <c r="I467" i="12"/>
  <c r="H467" i="12"/>
  <c r="G467" i="12"/>
  <c r="E466" i="14"/>
  <c r="A467" i="14"/>
  <c r="D466" i="14"/>
  <c r="H466" i="14"/>
  <c r="B467" i="12"/>
  <c r="A468" i="12"/>
  <c r="K467" i="12"/>
  <c r="E467" i="12"/>
  <c r="L467" i="12"/>
  <c r="F312" i="6"/>
  <c r="E312" i="6"/>
  <c r="B312" i="6"/>
  <c r="H312" i="6"/>
  <c r="J312" i="6"/>
  <c r="C373" i="10"/>
  <c r="G314" i="5"/>
  <c r="H314" i="5"/>
  <c r="E373" i="10"/>
  <c r="A374" i="10"/>
  <c r="D373" i="10"/>
  <c r="B373" i="10"/>
  <c r="G373" i="10"/>
  <c r="B314" i="5"/>
  <c r="A313" i="6"/>
  <c r="G312" i="6"/>
  <c r="C314" i="5"/>
  <c r="A315" i="5"/>
  <c r="F315" i="5" s="1"/>
  <c r="D314" i="5"/>
  <c r="E314" i="5"/>
  <c r="I313" i="6" l="1"/>
  <c r="D313" i="6"/>
  <c r="C313" i="6"/>
  <c r="C468" i="12"/>
  <c r="M468" i="12"/>
  <c r="F468" i="12"/>
  <c r="D468" i="12"/>
  <c r="G467" i="14"/>
  <c r="F467" i="14"/>
  <c r="C467" i="14"/>
  <c r="B467" i="14"/>
  <c r="O468" i="12"/>
  <c r="J468" i="12"/>
  <c r="I468" i="12"/>
  <c r="H468" i="12"/>
  <c r="G468" i="12"/>
  <c r="H467" i="14"/>
  <c r="A468" i="14"/>
  <c r="D467" i="14"/>
  <c r="E467" i="14"/>
  <c r="L468" i="12"/>
  <c r="A469" i="12"/>
  <c r="K468" i="12"/>
  <c r="B468" i="12"/>
  <c r="E468" i="12"/>
  <c r="F313" i="6"/>
  <c r="E313" i="6"/>
  <c r="H313" i="6"/>
  <c r="B313" i="6"/>
  <c r="J313" i="6"/>
  <c r="G315" i="5"/>
  <c r="H315" i="5"/>
  <c r="C374" i="10"/>
  <c r="B374" i="10"/>
  <c r="E374" i="10"/>
  <c r="G374" i="10"/>
  <c r="A375" i="10"/>
  <c r="D374" i="10"/>
  <c r="B315" i="5"/>
  <c r="G313" i="6"/>
  <c r="A314" i="6"/>
  <c r="C315" i="5"/>
  <c r="A316" i="5"/>
  <c r="F316" i="5" s="1"/>
  <c r="E315" i="5"/>
  <c r="D315" i="5"/>
  <c r="M469" i="12" l="1"/>
  <c r="F469" i="12"/>
  <c r="D469" i="12"/>
  <c r="C469" i="12"/>
  <c r="F468" i="14"/>
  <c r="G468" i="14"/>
  <c r="I314" i="6"/>
  <c r="C314" i="6"/>
  <c r="D314" i="6"/>
  <c r="C468" i="14"/>
  <c r="B468" i="14"/>
  <c r="O469" i="12"/>
  <c r="G469" i="12"/>
  <c r="J469" i="12"/>
  <c r="I469" i="12"/>
  <c r="H469" i="12"/>
  <c r="E468" i="14"/>
  <c r="A469" i="14"/>
  <c r="D468" i="14"/>
  <c r="H468" i="14"/>
  <c r="B469" i="12"/>
  <c r="K469" i="12"/>
  <c r="A470" i="12"/>
  <c r="E469" i="12"/>
  <c r="L469" i="12"/>
  <c r="F314" i="6"/>
  <c r="E314" i="6"/>
  <c r="H314" i="6"/>
  <c r="B314" i="6"/>
  <c r="J314" i="6"/>
  <c r="C375" i="10"/>
  <c r="G316" i="5"/>
  <c r="H316" i="5"/>
  <c r="G375" i="10"/>
  <c r="B375" i="10"/>
  <c r="A376" i="10"/>
  <c r="D375" i="10"/>
  <c r="E375" i="10"/>
  <c r="B316" i="5"/>
  <c r="G314" i="6"/>
  <c r="A315" i="6"/>
  <c r="C316" i="5"/>
  <c r="A317" i="5"/>
  <c r="F317" i="5" s="1"/>
  <c r="E316" i="5"/>
  <c r="D316" i="5"/>
  <c r="C470" i="12" l="1"/>
  <c r="M470" i="12"/>
  <c r="F470" i="12"/>
  <c r="D470" i="12"/>
  <c r="G469" i="14"/>
  <c r="F469" i="14"/>
  <c r="I315" i="6"/>
  <c r="D315" i="6"/>
  <c r="C315" i="6"/>
  <c r="C469" i="14"/>
  <c r="B469" i="14"/>
  <c r="O470" i="12"/>
  <c r="J470" i="12"/>
  <c r="I470" i="12"/>
  <c r="H470" i="12"/>
  <c r="G470" i="12"/>
  <c r="H469" i="14"/>
  <c r="A470" i="14"/>
  <c r="D469" i="14"/>
  <c r="E469" i="14"/>
  <c r="A471" i="12"/>
  <c r="K470" i="12"/>
  <c r="B470" i="12"/>
  <c r="L470" i="12"/>
  <c r="E470" i="12"/>
  <c r="F315" i="6"/>
  <c r="E315" i="6"/>
  <c r="B315" i="6"/>
  <c r="H315" i="6"/>
  <c r="J315" i="6"/>
  <c r="G317" i="5"/>
  <c r="H317" i="5"/>
  <c r="C376" i="10"/>
  <c r="A377" i="10"/>
  <c r="D376" i="10"/>
  <c r="G376" i="10"/>
  <c r="E376" i="10"/>
  <c r="B376" i="10"/>
  <c r="B317" i="5"/>
  <c r="A316" i="6"/>
  <c r="G315" i="6"/>
  <c r="C317" i="5"/>
  <c r="D317" i="5"/>
  <c r="A318" i="5"/>
  <c r="F318" i="5" s="1"/>
  <c r="E317" i="5"/>
  <c r="D316" i="6" l="1"/>
  <c r="C316" i="6"/>
  <c r="I316" i="6"/>
  <c r="M471" i="12"/>
  <c r="F471" i="12"/>
  <c r="D471" i="12"/>
  <c r="C471" i="12"/>
  <c r="F470" i="14"/>
  <c r="G470" i="14"/>
  <c r="C470" i="14"/>
  <c r="B470" i="14"/>
  <c r="O471" i="12"/>
  <c r="J471" i="12"/>
  <c r="I471" i="12"/>
  <c r="H471" i="12"/>
  <c r="G471" i="12"/>
  <c r="E470" i="14"/>
  <c r="A471" i="14"/>
  <c r="D470" i="14"/>
  <c r="H470" i="14"/>
  <c r="B471" i="12"/>
  <c r="A472" i="12"/>
  <c r="K471" i="12"/>
  <c r="E471" i="12"/>
  <c r="L471" i="12"/>
  <c r="F316" i="6"/>
  <c r="E316" i="6"/>
  <c r="B316" i="6"/>
  <c r="H316" i="6"/>
  <c r="J316" i="6"/>
  <c r="G318" i="5"/>
  <c r="H318" i="5"/>
  <c r="C377" i="10"/>
  <c r="E377" i="10"/>
  <c r="A378" i="10"/>
  <c r="D377" i="10"/>
  <c r="B377" i="10"/>
  <c r="G377" i="10"/>
  <c r="B318" i="5"/>
  <c r="A317" i="6"/>
  <c r="G316" i="6"/>
  <c r="C318" i="5"/>
  <c r="E318" i="5"/>
  <c r="A319" i="5"/>
  <c r="F319" i="5" s="1"/>
  <c r="D318" i="5"/>
  <c r="D317" i="6" l="1"/>
  <c r="I317" i="6"/>
  <c r="C317" i="6"/>
  <c r="C472" i="12"/>
  <c r="M472" i="12"/>
  <c r="F472" i="12"/>
  <c r="D472" i="12"/>
  <c r="F471" i="14"/>
  <c r="G471" i="14"/>
  <c r="C471" i="14"/>
  <c r="B471" i="14"/>
  <c r="O472" i="12"/>
  <c r="J472" i="12"/>
  <c r="I472" i="12"/>
  <c r="H472" i="12"/>
  <c r="G472" i="12"/>
  <c r="H471" i="14"/>
  <c r="A472" i="14"/>
  <c r="D471" i="14"/>
  <c r="E471" i="14"/>
  <c r="L472" i="12"/>
  <c r="A473" i="12"/>
  <c r="E472" i="12"/>
  <c r="K472" i="12"/>
  <c r="B472" i="12"/>
  <c r="E317" i="6"/>
  <c r="F317" i="6"/>
  <c r="H317" i="6"/>
  <c r="B317" i="6"/>
  <c r="J317" i="6"/>
  <c r="G319" i="5"/>
  <c r="H319" i="5"/>
  <c r="C378" i="10"/>
  <c r="B378" i="10"/>
  <c r="E378" i="10"/>
  <c r="G378" i="10"/>
  <c r="D378" i="10"/>
  <c r="A379" i="10"/>
  <c r="B319" i="5"/>
  <c r="A318" i="6"/>
  <c r="G317" i="6"/>
  <c r="C319" i="5"/>
  <c r="A320" i="5"/>
  <c r="F320" i="5" s="1"/>
  <c r="D319" i="5"/>
  <c r="E319" i="5"/>
  <c r="M473" i="12" l="1"/>
  <c r="F473" i="12"/>
  <c r="D473" i="12"/>
  <c r="C473" i="12"/>
  <c r="I318" i="6"/>
  <c r="D318" i="6"/>
  <c r="C318" i="6"/>
  <c r="G472" i="14"/>
  <c r="F472" i="14"/>
  <c r="C472" i="14"/>
  <c r="B472" i="14"/>
  <c r="O473" i="12"/>
  <c r="J473" i="12"/>
  <c r="G473" i="12"/>
  <c r="H473" i="12"/>
  <c r="I473" i="12"/>
  <c r="E472" i="14"/>
  <c r="A473" i="14"/>
  <c r="D472" i="14"/>
  <c r="H472" i="14"/>
  <c r="K473" i="12"/>
  <c r="E473" i="12"/>
  <c r="L473" i="12"/>
  <c r="A474" i="12"/>
  <c r="B473" i="12"/>
  <c r="F318" i="6"/>
  <c r="E318" i="6"/>
  <c r="H318" i="6"/>
  <c r="B318" i="6"/>
  <c r="J318" i="6"/>
  <c r="G320" i="5"/>
  <c r="H320" i="5"/>
  <c r="C379" i="10"/>
  <c r="G379" i="10"/>
  <c r="B379" i="10"/>
  <c r="A380" i="10"/>
  <c r="D379" i="10"/>
  <c r="E379" i="10"/>
  <c r="B320" i="5"/>
  <c r="A319" i="6"/>
  <c r="G318" i="6"/>
  <c r="C320" i="5"/>
  <c r="A321" i="5"/>
  <c r="F321" i="5" s="1"/>
  <c r="D320" i="5"/>
  <c r="E320" i="5"/>
  <c r="C474" i="12" l="1"/>
  <c r="M474" i="12"/>
  <c r="F474" i="12"/>
  <c r="D474" i="12"/>
  <c r="C319" i="6"/>
  <c r="I319" i="6"/>
  <c r="D319" i="6"/>
  <c r="G473" i="14"/>
  <c r="F473" i="14"/>
  <c r="C473" i="14"/>
  <c r="B473" i="14"/>
  <c r="O474" i="12"/>
  <c r="J474" i="12"/>
  <c r="I474" i="12"/>
  <c r="H474" i="12"/>
  <c r="G474" i="12"/>
  <c r="H473" i="14"/>
  <c r="A474" i="14"/>
  <c r="D473" i="14"/>
  <c r="E473" i="14"/>
  <c r="A475" i="12"/>
  <c r="K474" i="12"/>
  <c r="L474" i="12"/>
  <c r="E474" i="12"/>
  <c r="B474" i="12"/>
  <c r="F319" i="6"/>
  <c r="E319" i="6"/>
  <c r="B319" i="6"/>
  <c r="H319" i="6"/>
  <c r="J319" i="6"/>
  <c r="C380" i="10"/>
  <c r="G321" i="5"/>
  <c r="H321" i="5"/>
  <c r="A381" i="10"/>
  <c r="D380" i="10"/>
  <c r="G380" i="10"/>
  <c r="E380" i="10"/>
  <c r="B380" i="10"/>
  <c r="B321" i="5"/>
  <c r="A320" i="6"/>
  <c r="G319" i="6"/>
  <c r="C321" i="5"/>
  <c r="D321" i="5"/>
  <c r="A322" i="5"/>
  <c r="F322" i="5" s="1"/>
  <c r="E321" i="5"/>
  <c r="I320" i="6" l="1"/>
  <c r="C320" i="6"/>
  <c r="D320" i="6"/>
  <c r="M475" i="12"/>
  <c r="F475" i="12"/>
  <c r="D475" i="12"/>
  <c r="C475" i="12"/>
  <c r="F474" i="14"/>
  <c r="G474" i="14"/>
  <c r="C474" i="14"/>
  <c r="B474" i="14"/>
  <c r="O475" i="12"/>
  <c r="J475" i="12"/>
  <c r="I475" i="12"/>
  <c r="H475" i="12"/>
  <c r="G475" i="12"/>
  <c r="E474" i="14"/>
  <c r="A475" i="14"/>
  <c r="D474" i="14"/>
  <c r="H474" i="14"/>
  <c r="B475" i="12"/>
  <c r="K475" i="12"/>
  <c r="A476" i="12"/>
  <c r="E475" i="12"/>
  <c r="L475" i="12"/>
  <c r="F320" i="6"/>
  <c r="E320" i="6"/>
  <c r="B320" i="6"/>
  <c r="H320" i="6"/>
  <c r="J320" i="6"/>
  <c r="G322" i="5"/>
  <c r="H322" i="5"/>
  <c r="C381" i="10"/>
  <c r="E381" i="10"/>
  <c r="A382" i="10"/>
  <c r="D381" i="10"/>
  <c r="B381" i="10"/>
  <c r="G381" i="10"/>
  <c r="B322" i="5"/>
  <c r="A321" i="6"/>
  <c r="G320" i="6"/>
  <c r="C322" i="5"/>
  <c r="A323" i="5"/>
  <c r="F323" i="5" s="1"/>
  <c r="D322" i="5"/>
  <c r="E322" i="5"/>
  <c r="I321" i="6" l="1"/>
  <c r="D321" i="6"/>
  <c r="C321" i="6"/>
  <c r="C476" i="12"/>
  <c r="M476" i="12"/>
  <c r="F476" i="12"/>
  <c r="D476" i="12"/>
  <c r="F475" i="14"/>
  <c r="G475" i="14"/>
  <c r="C475" i="14"/>
  <c r="B475" i="14"/>
  <c r="O476" i="12"/>
  <c r="J476" i="12"/>
  <c r="I476" i="12"/>
  <c r="H476" i="12"/>
  <c r="G476" i="12"/>
  <c r="H475" i="14"/>
  <c r="A476" i="14"/>
  <c r="D475" i="14"/>
  <c r="E475" i="14"/>
  <c r="L476" i="12"/>
  <c r="K476" i="12"/>
  <c r="A477" i="12"/>
  <c r="E476" i="12"/>
  <c r="B476" i="12"/>
  <c r="F321" i="6"/>
  <c r="E321" i="6"/>
  <c r="H321" i="6"/>
  <c r="B321" i="6"/>
  <c r="J321" i="6"/>
  <c r="G323" i="5"/>
  <c r="H323" i="5"/>
  <c r="C382" i="10"/>
  <c r="B382" i="10"/>
  <c r="E382" i="10"/>
  <c r="G382" i="10"/>
  <c r="D382" i="10"/>
  <c r="A383" i="10"/>
  <c r="B323" i="5"/>
  <c r="G321" i="6"/>
  <c r="A322" i="6"/>
  <c r="C323" i="5"/>
  <c r="A324" i="5"/>
  <c r="F324" i="5" s="1"/>
  <c r="E323" i="5"/>
  <c r="D323" i="5"/>
  <c r="M477" i="12" l="1"/>
  <c r="F477" i="12"/>
  <c r="D477" i="12"/>
  <c r="C477" i="12"/>
  <c r="F476" i="14"/>
  <c r="G476" i="14"/>
  <c r="I322" i="6"/>
  <c r="D322" i="6"/>
  <c r="C322" i="6"/>
  <c r="C476" i="14"/>
  <c r="B476" i="14"/>
  <c r="O477" i="12"/>
  <c r="G477" i="12"/>
  <c r="I477" i="12"/>
  <c r="H477" i="12"/>
  <c r="J477" i="12"/>
  <c r="E476" i="14"/>
  <c r="A477" i="14"/>
  <c r="D476" i="14"/>
  <c r="H476" i="14"/>
  <c r="B477" i="12"/>
  <c r="E477" i="12"/>
  <c r="K477" i="12"/>
  <c r="A478" i="12"/>
  <c r="L477" i="12"/>
  <c r="F322" i="6"/>
  <c r="E322" i="6"/>
  <c r="H322" i="6"/>
  <c r="B322" i="6"/>
  <c r="J322" i="6"/>
  <c r="G324" i="5"/>
  <c r="H324" i="5"/>
  <c r="C383" i="10"/>
  <c r="G383" i="10"/>
  <c r="B383" i="10"/>
  <c r="A384" i="10"/>
  <c r="D383" i="10"/>
  <c r="E383" i="10"/>
  <c r="B324" i="5"/>
  <c r="G322" i="6"/>
  <c r="A323" i="6"/>
  <c r="C324" i="5"/>
  <c r="D324" i="5"/>
  <c r="A325" i="5"/>
  <c r="F325" i="5" s="1"/>
  <c r="E324" i="5"/>
  <c r="C478" i="12" l="1"/>
  <c r="M478" i="12"/>
  <c r="F478" i="12"/>
  <c r="D478" i="12"/>
  <c r="G477" i="14"/>
  <c r="F477" i="14"/>
  <c r="I323" i="6"/>
  <c r="D323" i="6"/>
  <c r="C323" i="6"/>
  <c r="C477" i="14"/>
  <c r="B477" i="14"/>
  <c r="O478" i="12"/>
  <c r="I478" i="12"/>
  <c r="H478" i="12"/>
  <c r="J478" i="12"/>
  <c r="G478" i="12"/>
  <c r="H477" i="14"/>
  <c r="A478" i="14"/>
  <c r="D477" i="14"/>
  <c r="E477" i="14"/>
  <c r="A479" i="12"/>
  <c r="K478" i="12"/>
  <c r="L478" i="12"/>
  <c r="E478" i="12"/>
  <c r="B478" i="12"/>
  <c r="F323" i="6"/>
  <c r="E323" i="6"/>
  <c r="B323" i="6"/>
  <c r="H323" i="6"/>
  <c r="J323" i="6"/>
  <c r="G325" i="5"/>
  <c r="H325" i="5"/>
  <c r="C384" i="10"/>
  <c r="A385" i="10"/>
  <c r="D384" i="10"/>
  <c r="G384" i="10"/>
  <c r="E384" i="10"/>
  <c r="B384" i="10"/>
  <c r="B325" i="5"/>
  <c r="A324" i="6"/>
  <c r="G323" i="6"/>
  <c r="C325" i="5"/>
  <c r="A326" i="5"/>
  <c r="F326" i="5" s="1"/>
  <c r="E325" i="5"/>
  <c r="D325" i="5"/>
  <c r="D324" i="6" l="1"/>
  <c r="C324" i="6"/>
  <c r="I324" i="6"/>
  <c r="F478" i="14"/>
  <c r="G478" i="14"/>
  <c r="M479" i="12"/>
  <c r="F479" i="12"/>
  <c r="D479" i="12"/>
  <c r="C479" i="12"/>
  <c r="C478" i="14"/>
  <c r="B478" i="14"/>
  <c r="O479" i="12"/>
  <c r="J479" i="12"/>
  <c r="I479" i="12"/>
  <c r="H479" i="12"/>
  <c r="G479" i="12"/>
  <c r="E478" i="14"/>
  <c r="A479" i="14"/>
  <c r="D478" i="14"/>
  <c r="H478" i="14"/>
  <c r="B479" i="12"/>
  <c r="A480" i="12"/>
  <c r="K479" i="12"/>
  <c r="L479" i="12"/>
  <c r="E479" i="12"/>
  <c r="F324" i="6"/>
  <c r="E324" i="6"/>
  <c r="B324" i="6"/>
  <c r="H324" i="6"/>
  <c r="J324" i="6"/>
  <c r="G326" i="5"/>
  <c r="H326" i="5"/>
  <c r="C385" i="10"/>
  <c r="E385" i="10"/>
  <c r="A386" i="10"/>
  <c r="D385" i="10"/>
  <c r="B385" i="10"/>
  <c r="G385" i="10"/>
  <c r="B326" i="5"/>
  <c r="A325" i="6"/>
  <c r="G324" i="6"/>
  <c r="C326" i="5"/>
  <c r="A327" i="5"/>
  <c r="F327" i="5" s="1"/>
  <c r="D326" i="5"/>
  <c r="E326" i="5"/>
  <c r="C480" i="12" l="1"/>
  <c r="M480" i="12"/>
  <c r="F480" i="12"/>
  <c r="D480" i="12"/>
  <c r="G479" i="14"/>
  <c r="F479" i="14"/>
  <c r="D325" i="6"/>
  <c r="I325" i="6"/>
  <c r="C325" i="6"/>
  <c r="C479" i="14"/>
  <c r="B479" i="14"/>
  <c r="O480" i="12"/>
  <c r="J480" i="12"/>
  <c r="I480" i="12"/>
  <c r="H480" i="12"/>
  <c r="G480" i="12"/>
  <c r="H479" i="14"/>
  <c r="A480" i="14"/>
  <c r="D479" i="14"/>
  <c r="E479" i="14"/>
  <c r="L480" i="12"/>
  <c r="B480" i="12"/>
  <c r="A481" i="12"/>
  <c r="E480" i="12"/>
  <c r="K480" i="12"/>
  <c r="E325" i="6"/>
  <c r="F325" i="6"/>
  <c r="H325" i="6"/>
  <c r="B325" i="6"/>
  <c r="J325" i="6"/>
  <c r="G327" i="5"/>
  <c r="H327" i="5"/>
  <c r="C386" i="10"/>
  <c r="B386" i="10"/>
  <c r="E386" i="10"/>
  <c r="G386" i="10"/>
  <c r="A387" i="10"/>
  <c r="D386" i="10"/>
  <c r="B327" i="5"/>
  <c r="A326" i="6"/>
  <c r="G325" i="6"/>
  <c r="C327" i="5"/>
  <c r="A328" i="5"/>
  <c r="F328" i="5" s="1"/>
  <c r="E327" i="5"/>
  <c r="D327" i="5"/>
  <c r="I326" i="6" l="1"/>
  <c r="D326" i="6"/>
  <c r="C326" i="6"/>
  <c r="M481" i="12"/>
  <c r="F481" i="12"/>
  <c r="D481" i="12"/>
  <c r="C481" i="12"/>
  <c r="G480" i="14"/>
  <c r="F480" i="14"/>
  <c r="C480" i="14"/>
  <c r="B480" i="14"/>
  <c r="O481" i="12"/>
  <c r="J481" i="12"/>
  <c r="G481" i="12"/>
  <c r="I481" i="12"/>
  <c r="H481" i="12"/>
  <c r="E480" i="14"/>
  <c r="A481" i="14"/>
  <c r="D480" i="14"/>
  <c r="H480" i="14"/>
  <c r="E481" i="12"/>
  <c r="K481" i="12"/>
  <c r="B481" i="12"/>
  <c r="L481" i="12"/>
  <c r="A482" i="12"/>
  <c r="F326" i="6"/>
  <c r="E326" i="6"/>
  <c r="H326" i="6"/>
  <c r="B326" i="6"/>
  <c r="J326" i="6"/>
  <c r="C387" i="10"/>
  <c r="G328" i="5"/>
  <c r="H328" i="5"/>
  <c r="G387" i="10"/>
  <c r="B387" i="10"/>
  <c r="A388" i="10"/>
  <c r="D387" i="10"/>
  <c r="E387" i="10"/>
  <c r="B328" i="5"/>
  <c r="A327" i="6"/>
  <c r="G326" i="6"/>
  <c r="C328" i="5"/>
  <c r="D328" i="5"/>
  <c r="A329" i="5"/>
  <c r="F329" i="5" s="1"/>
  <c r="E328" i="5"/>
  <c r="C327" i="6" l="1"/>
  <c r="I327" i="6"/>
  <c r="D327" i="6"/>
  <c r="F481" i="14"/>
  <c r="G481" i="14"/>
  <c r="C482" i="12"/>
  <c r="M482" i="12"/>
  <c r="F482" i="12"/>
  <c r="D482" i="12"/>
  <c r="C481" i="14"/>
  <c r="B481" i="14"/>
  <c r="O482" i="12"/>
  <c r="J482" i="12"/>
  <c r="H482" i="12"/>
  <c r="G482" i="12"/>
  <c r="I482" i="12"/>
  <c r="H481" i="14"/>
  <c r="A482" i="14"/>
  <c r="D481" i="14"/>
  <c r="E481" i="14"/>
  <c r="B482" i="12"/>
  <c r="A483" i="12"/>
  <c r="K482" i="12"/>
  <c r="L482" i="12"/>
  <c r="E482" i="12"/>
  <c r="F327" i="6"/>
  <c r="E327" i="6"/>
  <c r="B327" i="6"/>
  <c r="H327" i="6"/>
  <c r="J327" i="6"/>
  <c r="G329" i="5"/>
  <c r="H329" i="5"/>
  <c r="C388" i="10"/>
  <c r="A389" i="10"/>
  <c r="D388" i="10"/>
  <c r="G388" i="10"/>
  <c r="E388" i="10"/>
  <c r="B388" i="10"/>
  <c r="B329" i="5"/>
  <c r="A328" i="6"/>
  <c r="G327" i="6"/>
  <c r="C329" i="5"/>
  <c r="A330" i="5"/>
  <c r="F330" i="5" s="1"/>
  <c r="E329" i="5"/>
  <c r="D329" i="5"/>
  <c r="M483" i="12" l="1"/>
  <c r="F483" i="12"/>
  <c r="D483" i="12"/>
  <c r="C483" i="12"/>
  <c r="I328" i="6"/>
  <c r="C328" i="6"/>
  <c r="D328" i="6"/>
  <c r="F482" i="14"/>
  <c r="G482" i="14"/>
  <c r="C482" i="14"/>
  <c r="B482" i="14"/>
  <c r="O483" i="12"/>
  <c r="J483" i="12"/>
  <c r="I483" i="12"/>
  <c r="H483" i="12"/>
  <c r="G483" i="12"/>
  <c r="E482" i="14"/>
  <c r="A483" i="14"/>
  <c r="D482" i="14"/>
  <c r="H482" i="14"/>
  <c r="B483" i="12"/>
  <c r="E483" i="12"/>
  <c r="A484" i="12"/>
  <c r="K483" i="12"/>
  <c r="L483" i="12"/>
  <c r="F328" i="6"/>
  <c r="E328" i="6"/>
  <c r="B328" i="6"/>
  <c r="H328" i="6"/>
  <c r="J328" i="6"/>
  <c r="C389" i="10"/>
  <c r="G330" i="5"/>
  <c r="H330" i="5"/>
  <c r="E389" i="10"/>
  <c r="A390" i="10"/>
  <c r="D389" i="10"/>
  <c r="B389" i="10"/>
  <c r="G389" i="10"/>
  <c r="B330" i="5"/>
  <c r="A329" i="6"/>
  <c r="G328" i="6"/>
  <c r="C330" i="5"/>
  <c r="A331" i="5"/>
  <c r="F331" i="5" s="1"/>
  <c r="D330" i="5"/>
  <c r="E330" i="5"/>
  <c r="I329" i="6" l="1"/>
  <c r="D329" i="6"/>
  <c r="C329" i="6"/>
  <c r="C484" i="12"/>
  <c r="M484" i="12"/>
  <c r="F484" i="12"/>
  <c r="D484" i="12"/>
  <c r="F483" i="14"/>
  <c r="G483" i="14"/>
  <c r="C483" i="14"/>
  <c r="B483" i="14"/>
  <c r="O484" i="12"/>
  <c r="J484" i="12"/>
  <c r="I484" i="12"/>
  <c r="H484" i="12"/>
  <c r="G484" i="12"/>
  <c r="H483" i="14"/>
  <c r="A484" i="14"/>
  <c r="D483" i="14"/>
  <c r="E483" i="14"/>
  <c r="L484" i="12"/>
  <c r="A485" i="12"/>
  <c r="E484" i="12"/>
  <c r="K484" i="12"/>
  <c r="B484" i="12"/>
  <c r="F329" i="6"/>
  <c r="E329" i="6"/>
  <c r="H329" i="6"/>
  <c r="B329" i="6"/>
  <c r="J329" i="6"/>
  <c r="G331" i="5"/>
  <c r="H331" i="5"/>
  <c r="C390" i="10"/>
  <c r="B390" i="10"/>
  <c r="E390" i="10"/>
  <c r="G390" i="10"/>
  <c r="A391" i="10"/>
  <c r="D390" i="10"/>
  <c r="B331" i="5"/>
  <c r="G329" i="6"/>
  <c r="A330" i="6"/>
  <c r="C331" i="5"/>
  <c r="A332" i="5"/>
  <c r="F332" i="5" s="1"/>
  <c r="E331" i="5"/>
  <c r="D331" i="5"/>
  <c r="M485" i="12" l="1"/>
  <c r="F485" i="12"/>
  <c r="D485" i="12"/>
  <c r="C485" i="12"/>
  <c r="F484" i="14"/>
  <c r="G484" i="14"/>
  <c r="I330" i="6"/>
  <c r="D330" i="6"/>
  <c r="C330" i="6"/>
  <c r="C484" i="14"/>
  <c r="B484" i="14"/>
  <c r="O485" i="12"/>
  <c r="G485" i="12"/>
  <c r="J485" i="12"/>
  <c r="I485" i="12"/>
  <c r="H485" i="12"/>
  <c r="E484" i="14"/>
  <c r="A485" i="14"/>
  <c r="D484" i="14"/>
  <c r="H484" i="14"/>
  <c r="K485" i="12"/>
  <c r="A486" i="12"/>
  <c r="E485" i="12"/>
  <c r="L485" i="12"/>
  <c r="B485" i="12"/>
  <c r="F330" i="6"/>
  <c r="E330" i="6"/>
  <c r="H330" i="6"/>
  <c r="B330" i="6"/>
  <c r="J330" i="6"/>
  <c r="G332" i="5"/>
  <c r="H332" i="5"/>
  <c r="C391" i="10"/>
  <c r="G391" i="10"/>
  <c r="B391" i="10"/>
  <c r="A392" i="10"/>
  <c r="D391" i="10"/>
  <c r="E391" i="10"/>
  <c r="B332" i="5"/>
  <c r="G330" i="6"/>
  <c r="A331" i="6"/>
  <c r="C332" i="5"/>
  <c r="A333" i="5"/>
  <c r="F333" i="5" s="1"/>
  <c r="E332" i="5"/>
  <c r="D332" i="5"/>
  <c r="C486" i="12" l="1"/>
  <c r="M486" i="12"/>
  <c r="F486" i="12"/>
  <c r="D486" i="12"/>
  <c r="G485" i="14"/>
  <c r="F485" i="14"/>
  <c r="I331" i="6"/>
  <c r="D331" i="6"/>
  <c r="C331" i="6"/>
  <c r="C485" i="14"/>
  <c r="B485" i="14"/>
  <c r="O486" i="12"/>
  <c r="J486" i="12"/>
  <c r="I486" i="12"/>
  <c r="H486" i="12"/>
  <c r="G486" i="12"/>
  <c r="H485" i="14"/>
  <c r="A486" i="14"/>
  <c r="D485" i="14"/>
  <c r="E485" i="14"/>
  <c r="A487" i="12"/>
  <c r="L486" i="12"/>
  <c r="K486" i="12"/>
  <c r="B486" i="12"/>
  <c r="E486" i="12"/>
  <c r="F331" i="6"/>
  <c r="E331" i="6"/>
  <c r="B331" i="6"/>
  <c r="H331" i="6"/>
  <c r="J331" i="6"/>
  <c r="C392" i="10"/>
  <c r="G333" i="5"/>
  <c r="H333" i="5"/>
  <c r="A393" i="10"/>
  <c r="D392" i="10"/>
  <c r="G392" i="10"/>
  <c r="E392" i="10"/>
  <c r="B392" i="10"/>
  <c r="B333" i="5"/>
  <c r="A332" i="6"/>
  <c r="G331" i="6"/>
  <c r="C333" i="5"/>
  <c r="D333" i="5"/>
  <c r="A334" i="5"/>
  <c r="F334" i="5" s="1"/>
  <c r="E333" i="5"/>
  <c r="D332" i="6" l="1"/>
  <c r="C332" i="6"/>
  <c r="I332" i="6"/>
  <c r="M487" i="12"/>
  <c r="F487" i="12"/>
  <c r="D487" i="12"/>
  <c r="C487" i="12"/>
  <c r="F486" i="14"/>
  <c r="G486" i="14"/>
  <c r="C486" i="14"/>
  <c r="B486" i="14"/>
  <c r="O487" i="12"/>
  <c r="J487" i="12"/>
  <c r="I487" i="12"/>
  <c r="H487" i="12"/>
  <c r="G487" i="12"/>
  <c r="E486" i="14"/>
  <c r="A487" i="14"/>
  <c r="D486" i="14"/>
  <c r="H486" i="14"/>
  <c r="B487" i="12"/>
  <c r="A488" i="12"/>
  <c r="K487" i="12"/>
  <c r="L487" i="12"/>
  <c r="E487" i="12"/>
  <c r="F332" i="6"/>
  <c r="E332" i="6"/>
  <c r="B332" i="6"/>
  <c r="H332" i="6"/>
  <c r="J332" i="6"/>
  <c r="G334" i="5"/>
  <c r="H334" i="5"/>
  <c r="C393" i="10"/>
  <c r="E393" i="10"/>
  <c r="A394" i="10"/>
  <c r="D393" i="10"/>
  <c r="B393" i="10"/>
  <c r="G393" i="10"/>
  <c r="B334" i="5"/>
  <c r="A333" i="6"/>
  <c r="G332" i="6"/>
  <c r="C334" i="5"/>
  <c r="A335" i="5"/>
  <c r="F335" i="5" s="1"/>
  <c r="D334" i="5"/>
  <c r="E334" i="5"/>
  <c r="D333" i="6" l="1"/>
  <c r="I333" i="6"/>
  <c r="C333" i="6"/>
  <c r="C488" i="12"/>
  <c r="M488" i="12"/>
  <c r="F488" i="12"/>
  <c r="D488" i="12"/>
  <c r="G487" i="14"/>
  <c r="F487" i="14"/>
  <c r="C487" i="14"/>
  <c r="B487" i="14"/>
  <c r="O488" i="12"/>
  <c r="J488" i="12"/>
  <c r="I488" i="12"/>
  <c r="H488" i="12"/>
  <c r="G488" i="12"/>
  <c r="H487" i="14"/>
  <c r="A488" i="14"/>
  <c r="D487" i="14"/>
  <c r="E487" i="14"/>
  <c r="L488" i="12"/>
  <c r="K488" i="12"/>
  <c r="B488" i="12"/>
  <c r="A489" i="12"/>
  <c r="E488" i="12"/>
  <c r="E333" i="6"/>
  <c r="F333" i="6"/>
  <c r="H333" i="6"/>
  <c r="B333" i="6"/>
  <c r="J333" i="6"/>
  <c r="G335" i="5"/>
  <c r="H335" i="5"/>
  <c r="C394" i="10"/>
  <c r="B394" i="10"/>
  <c r="E394" i="10"/>
  <c r="G394" i="10"/>
  <c r="D394" i="10"/>
  <c r="A395" i="10"/>
  <c r="B335" i="5"/>
  <c r="A334" i="6"/>
  <c r="G333" i="6"/>
  <c r="C335" i="5"/>
  <c r="D335" i="5"/>
  <c r="A336" i="5"/>
  <c r="F336" i="5" s="1"/>
  <c r="E335" i="5"/>
  <c r="I334" i="6" l="1"/>
  <c r="D334" i="6"/>
  <c r="C334" i="6"/>
  <c r="G488" i="14"/>
  <c r="F488" i="14"/>
  <c r="M489" i="12"/>
  <c r="F489" i="12"/>
  <c r="D489" i="12"/>
  <c r="C489" i="12"/>
  <c r="C488" i="14"/>
  <c r="B488" i="14"/>
  <c r="O489" i="12"/>
  <c r="J489" i="12"/>
  <c r="G489" i="12"/>
  <c r="I489" i="12"/>
  <c r="H489" i="12"/>
  <c r="E488" i="14"/>
  <c r="A489" i="14"/>
  <c r="D488" i="14"/>
  <c r="H488" i="14"/>
  <c r="K489" i="12"/>
  <c r="E489" i="12"/>
  <c r="B489" i="12"/>
  <c r="L489" i="12"/>
  <c r="A490" i="12"/>
  <c r="F334" i="6"/>
  <c r="E334" i="6"/>
  <c r="H334" i="6"/>
  <c r="B334" i="6"/>
  <c r="J334" i="6"/>
  <c r="G336" i="5"/>
  <c r="H336" i="5"/>
  <c r="C395" i="10"/>
  <c r="G395" i="10"/>
  <c r="B395" i="10"/>
  <c r="A396" i="10"/>
  <c r="D395" i="10"/>
  <c r="E395" i="10"/>
  <c r="B336" i="5"/>
  <c r="A335" i="6"/>
  <c r="G334" i="6"/>
  <c r="C336" i="5"/>
  <c r="E336" i="5"/>
  <c r="D336" i="5"/>
  <c r="A337" i="5"/>
  <c r="F337" i="5" s="1"/>
  <c r="C335" i="6" l="1"/>
  <c r="D335" i="6"/>
  <c r="I335" i="6"/>
  <c r="F489" i="14"/>
  <c r="G489" i="14"/>
  <c r="C490" i="12"/>
  <c r="M490" i="12"/>
  <c r="F490" i="12"/>
  <c r="D490" i="12"/>
  <c r="C489" i="14"/>
  <c r="B489" i="14"/>
  <c r="O490" i="12"/>
  <c r="J490" i="12"/>
  <c r="I490" i="12"/>
  <c r="G490" i="12"/>
  <c r="H490" i="12"/>
  <c r="H489" i="14"/>
  <c r="A490" i="14"/>
  <c r="D489" i="14"/>
  <c r="E489" i="14"/>
  <c r="K490" i="12"/>
  <c r="B490" i="12"/>
  <c r="L490" i="12"/>
  <c r="A491" i="12"/>
  <c r="E490" i="12"/>
  <c r="F335" i="6"/>
  <c r="E335" i="6"/>
  <c r="B335" i="6"/>
  <c r="H335" i="6"/>
  <c r="J335" i="6"/>
  <c r="C396" i="10"/>
  <c r="G337" i="5"/>
  <c r="H337" i="5"/>
  <c r="A397" i="10"/>
  <c r="D396" i="10"/>
  <c r="G396" i="10"/>
  <c r="E396" i="10"/>
  <c r="B396" i="10"/>
  <c r="B337" i="5"/>
  <c r="A336" i="6"/>
  <c r="G335" i="6"/>
  <c r="C337" i="5"/>
  <c r="D337" i="5"/>
  <c r="A338" i="5"/>
  <c r="F338" i="5" s="1"/>
  <c r="E337" i="5"/>
  <c r="I336" i="6" l="1"/>
  <c r="C336" i="6"/>
  <c r="D336" i="6"/>
  <c r="F490" i="14"/>
  <c r="G490" i="14"/>
  <c r="M491" i="12"/>
  <c r="F491" i="12"/>
  <c r="D491" i="12"/>
  <c r="C491" i="12"/>
  <c r="C490" i="14"/>
  <c r="B490" i="14"/>
  <c r="J491" i="12"/>
  <c r="O491" i="12"/>
  <c r="I491" i="12"/>
  <c r="H491" i="12"/>
  <c r="G491" i="12"/>
  <c r="E490" i="14"/>
  <c r="A491" i="14"/>
  <c r="D490" i="14"/>
  <c r="H490" i="14"/>
  <c r="B491" i="12"/>
  <c r="A492" i="12"/>
  <c r="K491" i="12"/>
  <c r="E491" i="12"/>
  <c r="L491" i="12"/>
  <c r="F336" i="6"/>
  <c r="E336" i="6"/>
  <c r="B336" i="6"/>
  <c r="H336" i="6"/>
  <c r="J336" i="6"/>
  <c r="G338" i="5"/>
  <c r="H338" i="5"/>
  <c r="C397" i="10"/>
  <c r="E397" i="10"/>
  <c r="A398" i="10"/>
  <c r="D397" i="10"/>
  <c r="B397" i="10"/>
  <c r="G397" i="10"/>
  <c r="B338" i="5"/>
  <c r="A337" i="6"/>
  <c r="G336" i="6"/>
  <c r="C338" i="5"/>
  <c r="A339" i="5"/>
  <c r="F339" i="5" s="1"/>
  <c r="D338" i="5"/>
  <c r="E338" i="5"/>
  <c r="C492" i="12" l="1"/>
  <c r="M492" i="12"/>
  <c r="F492" i="12"/>
  <c r="D492" i="12"/>
  <c r="I337" i="6"/>
  <c r="D337" i="6"/>
  <c r="C337" i="6"/>
  <c r="G491" i="14"/>
  <c r="F491" i="14"/>
  <c r="C491" i="14"/>
  <c r="B491" i="14"/>
  <c r="O492" i="12"/>
  <c r="J492" i="12"/>
  <c r="I492" i="12"/>
  <c r="H492" i="12"/>
  <c r="G492" i="12"/>
  <c r="H491" i="14"/>
  <c r="A492" i="14"/>
  <c r="D491" i="14"/>
  <c r="E491" i="14"/>
  <c r="L492" i="12"/>
  <c r="A493" i="12"/>
  <c r="E492" i="12"/>
  <c r="K492" i="12"/>
  <c r="B492" i="12"/>
  <c r="E337" i="6"/>
  <c r="F337" i="6"/>
  <c r="H337" i="6"/>
  <c r="B337" i="6"/>
  <c r="J337" i="6"/>
  <c r="G339" i="5"/>
  <c r="H339" i="5"/>
  <c r="C398" i="10"/>
  <c r="B398" i="10"/>
  <c r="E398" i="10"/>
  <c r="G398" i="10"/>
  <c r="D398" i="10"/>
  <c r="A399" i="10"/>
  <c r="B339" i="5"/>
  <c r="G337" i="6"/>
  <c r="A338" i="6"/>
  <c r="C339" i="5"/>
  <c r="E339" i="5"/>
  <c r="A340" i="5"/>
  <c r="F340" i="5" s="1"/>
  <c r="D339" i="5"/>
  <c r="M493" i="12" l="1"/>
  <c r="F493" i="12"/>
  <c r="D493" i="12"/>
  <c r="C493" i="12"/>
  <c r="G492" i="14"/>
  <c r="F492" i="14"/>
  <c r="I338" i="6"/>
  <c r="C338" i="6"/>
  <c r="D338" i="6"/>
  <c r="C492" i="14"/>
  <c r="B492" i="14"/>
  <c r="O493" i="12"/>
  <c r="G493" i="12"/>
  <c r="I493" i="12"/>
  <c r="H493" i="12"/>
  <c r="J493" i="12"/>
  <c r="E492" i="14"/>
  <c r="D492" i="14"/>
  <c r="H492" i="14"/>
  <c r="A493" i="14"/>
  <c r="B493" i="12"/>
  <c r="E493" i="12"/>
  <c r="K493" i="12"/>
  <c r="A494" i="12"/>
  <c r="L493" i="12"/>
  <c r="F338" i="6"/>
  <c r="E338" i="6"/>
  <c r="H338" i="6"/>
  <c r="B338" i="6"/>
  <c r="J338" i="6"/>
  <c r="G340" i="5"/>
  <c r="H340" i="5"/>
  <c r="C399" i="10"/>
  <c r="G399" i="10"/>
  <c r="B399" i="10"/>
  <c r="A400" i="10"/>
  <c r="D399" i="10"/>
  <c r="E399" i="10"/>
  <c r="B340" i="5"/>
  <c r="G338" i="6"/>
  <c r="A339" i="6"/>
  <c r="C340" i="5"/>
  <c r="A341" i="5"/>
  <c r="F341" i="5" s="1"/>
  <c r="E340" i="5"/>
  <c r="D340" i="5"/>
  <c r="F493" i="14" l="1"/>
  <c r="G493" i="14"/>
  <c r="C494" i="12"/>
  <c r="M494" i="12"/>
  <c r="F494" i="12"/>
  <c r="D494" i="12"/>
  <c r="I339" i="6"/>
  <c r="D339" i="6"/>
  <c r="C339" i="6"/>
  <c r="C493" i="14"/>
  <c r="B493" i="14"/>
  <c r="O494" i="12"/>
  <c r="I494" i="12"/>
  <c r="H494" i="12"/>
  <c r="J494" i="12"/>
  <c r="G494" i="12"/>
  <c r="H493" i="14"/>
  <c r="E493" i="14"/>
  <c r="D493" i="14"/>
  <c r="A494" i="14"/>
  <c r="K494" i="12"/>
  <c r="L494" i="12"/>
  <c r="A495" i="12"/>
  <c r="B494" i="12"/>
  <c r="E494" i="12"/>
  <c r="F339" i="6"/>
  <c r="E339" i="6"/>
  <c r="B339" i="6"/>
  <c r="H339" i="6"/>
  <c r="J339" i="6"/>
  <c r="G341" i="5"/>
  <c r="H341" i="5"/>
  <c r="C400" i="10"/>
  <c r="A401" i="10"/>
  <c r="D400" i="10"/>
  <c r="G400" i="10"/>
  <c r="E400" i="10"/>
  <c r="B400" i="10"/>
  <c r="B341" i="5"/>
  <c r="A340" i="6"/>
  <c r="G339" i="6"/>
  <c r="C341" i="5"/>
  <c r="A342" i="5"/>
  <c r="F342" i="5" s="1"/>
  <c r="E341" i="5"/>
  <c r="D341" i="5"/>
  <c r="M495" i="12" l="1"/>
  <c r="F495" i="12"/>
  <c r="D495" i="12"/>
  <c r="C495" i="12"/>
  <c r="F494" i="14"/>
  <c r="G494" i="14"/>
  <c r="D340" i="6"/>
  <c r="C340" i="6"/>
  <c r="I340" i="6"/>
  <c r="C494" i="14"/>
  <c r="B494" i="14"/>
  <c r="J495" i="12"/>
  <c r="O495" i="12"/>
  <c r="I495" i="12"/>
  <c r="H495" i="12"/>
  <c r="G495" i="12"/>
  <c r="E494" i="14"/>
  <c r="H494" i="14"/>
  <c r="A495" i="14"/>
  <c r="D494" i="14"/>
  <c r="B495" i="12"/>
  <c r="E495" i="12"/>
  <c r="A496" i="12"/>
  <c r="K495" i="12"/>
  <c r="L495" i="12"/>
  <c r="F340" i="6"/>
  <c r="E340" i="6"/>
  <c r="B340" i="6"/>
  <c r="H340" i="6"/>
  <c r="J340" i="6"/>
  <c r="G342" i="5"/>
  <c r="H342" i="5"/>
  <c r="C401" i="10"/>
  <c r="E401" i="10"/>
  <c r="A402" i="10"/>
  <c r="D401" i="10"/>
  <c r="B401" i="10"/>
  <c r="G401" i="10"/>
  <c r="B342" i="5"/>
  <c r="A341" i="6"/>
  <c r="G340" i="6"/>
  <c r="C342" i="5"/>
  <c r="A343" i="5"/>
  <c r="F343" i="5" s="1"/>
  <c r="D342" i="5"/>
  <c r="E342" i="5"/>
  <c r="D341" i="6" l="1"/>
  <c r="I341" i="6"/>
  <c r="C341" i="6"/>
  <c r="C496" i="12"/>
  <c r="M496" i="12"/>
  <c r="F496" i="12"/>
  <c r="D496" i="12"/>
  <c r="G495" i="14"/>
  <c r="F495" i="14"/>
  <c r="C495" i="14"/>
  <c r="B495" i="14"/>
  <c r="O496" i="12"/>
  <c r="J496" i="12"/>
  <c r="I496" i="12"/>
  <c r="H496" i="12"/>
  <c r="G496" i="12"/>
  <c r="A496" i="14"/>
  <c r="D495" i="14"/>
  <c r="H495" i="14"/>
  <c r="E495" i="14"/>
  <c r="L496" i="12"/>
  <c r="E496" i="12"/>
  <c r="K496" i="12"/>
  <c r="A497" i="12"/>
  <c r="B496" i="12"/>
  <c r="E341" i="6"/>
  <c r="F341" i="6"/>
  <c r="H341" i="6"/>
  <c r="B341" i="6"/>
  <c r="J341" i="6"/>
  <c r="G343" i="5"/>
  <c r="H343" i="5"/>
  <c r="C402" i="10"/>
  <c r="B402" i="10"/>
  <c r="E402" i="10"/>
  <c r="G402" i="10"/>
  <c r="A403" i="10"/>
  <c r="D402" i="10"/>
  <c r="B343" i="5"/>
  <c r="A342" i="6"/>
  <c r="G341" i="6"/>
  <c r="C343" i="5"/>
  <c r="A344" i="5"/>
  <c r="F344" i="5" s="1"/>
  <c r="E343" i="5"/>
  <c r="D343" i="5"/>
  <c r="I342" i="6" l="1"/>
  <c r="D342" i="6"/>
  <c r="C342" i="6"/>
  <c r="M497" i="12"/>
  <c r="F497" i="12"/>
  <c r="D497" i="12"/>
  <c r="C497" i="12"/>
  <c r="G496" i="14"/>
  <c r="F496" i="14"/>
  <c r="C496" i="14"/>
  <c r="B496" i="14"/>
  <c r="O497" i="12"/>
  <c r="J497" i="12"/>
  <c r="G497" i="12"/>
  <c r="H497" i="12"/>
  <c r="I497" i="12"/>
  <c r="E496" i="14"/>
  <c r="H496" i="14"/>
  <c r="A497" i="14"/>
  <c r="D496" i="14"/>
  <c r="K497" i="12"/>
  <c r="L497" i="12"/>
  <c r="A498" i="12"/>
  <c r="E497" i="12"/>
  <c r="B497" i="12"/>
  <c r="F342" i="6"/>
  <c r="E342" i="6"/>
  <c r="H342" i="6"/>
  <c r="B342" i="6"/>
  <c r="J342" i="6"/>
  <c r="G344" i="5"/>
  <c r="H344" i="5"/>
  <c r="C403" i="10"/>
  <c r="G403" i="10"/>
  <c r="B403" i="10"/>
  <c r="A404" i="10"/>
  <c r="D403" i="10"/>
  <c r="E403" i="10"/>
  <c r="B344" i="5"/>
  <c r="A343" i="6"/>
  <c r="G342" i="6"/>
  <c r="C344" i="5"/>
  <c r="E344" i="5"/>
  <c r="A345" i="5"/>
  <c r="F345" i="5" s="1"/>
  <c r="D344" i="5"/>
  <c r="C343" i="6" l="1"/>
  <c r="I343" i="6"/>
  <c r="D343" i="6"/>
  <c r="C498" i="12"/>
  <c r="M498" i="12"/>
  <c r="F498" i="12"/>
  <c r="D498" i="12"/>
  <c r="G497" i="14"/>
  <c r="F497" i="14"/>
  <c r="C497" i="14"/>
  <c r="B497" i="14"/>
  <c r="O498" i="12"/>
  <c r="J498" i="12"/>
  <c r="H498" i="12"/>
  <c r="I498" i="12"/>
  <c r="G498" i="12"/>
  <c r="A498" i="14"/>
  <c r="D497" i="14"/>
  <c r="H497" i="14"/>
  <c r="E497" i="14"/>
  <c r="B498" i="12"/>
  <c r="A499" i="12"/>
  <c r="E498" i="12"/>
  <c r="K498" i="12"/>
  <c r="L498" i="12"/>
  <c r="F343" i="6"/>
  <c r="E343" i="6"/>
  <c r="B343" i="6"/>
  <c r="H343" i="6"/>
  <c r="J343" i="6"/>
  <c r="C404" i="10"/>
  <c r="G345" i="5"/>
  <c r="H345" i="5"/>
  <c r="A405" i="10"/>
  <c r="D404" i="10"/>
  <c r="G404" i="10"/>
  <c r="E404" i="10"/>
  <c r="B404" i="10"/>
  <c r="B345" i="5"/>
  <c r="A344" i="6"/>
  <c r="G343" i="6"/>
  <c r="C345" i="5"/>
  <c r="A346" i="5"/>
  <c r="F346" i="5" s="1"/>
  <c r="E345" i="5"/>
  <c r="D345" i="5"/>
  <c r="I344" i="6" l="1"/>
  <c r="C344" i="6"/>
  <c r="D344" i="6"/>
  <c r="M499" i="12"/>
  <c r="F499" i="12"/>
  <c r="D499" i="12"/>
  <c r="C499" i="12"/>
  <c r="F498" i="14"/>
  <c r="G498" i="14"/>
  <c r="C498" i="14"/>
  <c r="B498" i="14"/>
  <c r="O499" i="12"/>
  <c r="J499" i="12"/>
  <c r="I499" i="12"/>
  <c r="H499" i="12"/>
  <c r="G499" i="12"/>
  <c r="E498" i="14"/>
  <c r="H498" i="14"/>
  <c r="A499" i="14"/>
  <c r="D498" i="14"/>
  <c r="B499" i="12"/>
  <c r="K499" i="12"/>
  <c r="A500" i="12"/>
  <c r="E499" i="12"/>
  <c r="L499" i="12"/>
  <c r="F344" i="6"/>
  <c r="E344" i="6"/>
  <c r="B344" i="6"/>
  <c r="H344" i="6"/>
  <c r="J344" i="6"/>
  <c r="G346" i="5"/>
  <c r="H346" i="5"/>
  <c r="C405" i="10"/>
  <c r="E405" i="10"/>
  <c r="A406" i="10"/>
  <c r="D405" i="10"/>
  <c r="B405" i="10"/>
  <c r="G405" i="10"/>
  <c r="B346" i="5"/>
  <c r="A345" i="6"/>
  <c r="G344" i="6"/>
  <c r="C346" i="5"/>
  <c r="E346" i="5"/>
  <c r="A347" i="5"/>
  <c r="F347" i="5" s="1"/>
  <c r="D346" i="5"/>
  <c r="G499" i="14" l="1"/>
  <c r="F499" i="14"/>
  <c r="I345" i="6"/>
  <c r="D345" i="6"/>
  <c r="C345" i="6"/>
  <c r="C500" i="12"/>
  <c r="M500" i="12"/>
  <c r="F500" i="12"/>
  <c r="D500" i="12"/>
  <c r="C499" i="14"/>
  <c r="B499" i="14"/>
  <c r="O500" i="12"/>
  <c r="J500" i="12"/>
  <c r="I500" i="12"/>
  <c r="H500" i="12"/>
  <c r="G500" i="12"/>
  <c r="A500" i="14"/>
  <c r="D499" i="14"/>
  <c r="H499" i="14"/>
  <c r="E499" i="14"/>
  <c r="L500" i="12"/>
  <c r="K500" i="12"/>
  <c r="B500" i="12"/>
  <c r="A501" i="12"/>
  <c r="E500" i="12"/>
  <c r="E345" i="6"/>
  <c r="F345" i="6"/>
  <c r="H345" i="6"/>
  <c r="B345" i="6"/>
  <c r="J345" i="6"/>
  <c r="C406" i="10"/>
  <c r="G347" i="5"/>
  <c r="H347" i="5"/>
  <c r="B406" i="10"/>
  <c r="E406" i="10"/>
  <c r="G406" i="10"/>
  <c r="A407" i="10"/>
  <c r="D406" i="10"/>
  <c r="B347" i="5"/>
  <c r="G345" i="6"/>
  <c r="A346" i="6"/>
  <c r="C347" i="5"/>
  <c r="E347" i="5"/>
  <c r="D347" i="5"/>
  <c r="A348" i="5"/>
  <c r="F348" i="5" s="1"/>
  <c r="M501" i="12" l="1"/>
  <c r="F501" i="12"/>
  <c r="D501" i="12"/>
  <c r="C501" i="12"/>
  <c r="I346" i="6"/>
  <c r="D346" i="6"/>
  <c r="C346" i="6"/>
  <c r="G500" i="14"/>
  <c r="F500" i="14"/>
  <c r="C500" i="14"/>
  <c r="B500" i="14"/>
  <c r="O501" i="12"/>
  <c r="G501" i="12"/>
  <c r="J501" i="12"/>
  <c r="I501" i="12"/>
  <c r="H501" i="12"/>
  <c r="E500" i="14"/>
  <c r="H500" i="14"/>
  <c r="D500" i="14"/>
  <c r="A501" i="14"/>
  <c r="B501" i="12"/>
  <c r="K501" i="12"/>
  <c r="A502" i="12"/>
  <c r="L501" i="12"/>
  <c r="E501" i="12"/>
  <c r="F346" i="6"/>
  <c r="E346" i="6"/>
  <c r="H346" i="6"/>
  <c r="B346" i="6"/>
  <c r="J346" i="6"/>
  <c r="C407" i="10"/>
  <c r="G348" i="5"/>
  <c r="H348" i="5"/>
  <c r="G407" i="10"/>
  <c r="B407" i="10"/>
  <c r="A408" i="10"/>
  <c r="D407" i="10"/>
  <c r="E407" i="10"/>
  <c r="B348" i="5"/>
  <c r="G346" i="6"/>
  <c r="A347" i="6"/>
  <c r="C348" i="5"/>
  <c r="A349" i="5"/>
  <c r="F349" i="5" s="1"/>
  <c r="D348" i="5"/>
  <c r="E348" i="5"/>
  <c r="C502" i="12" l="1"/>
  <c r="M502" i="12"/>
  <c r="F502" i="12"/>
  <c r="D502" i="12"/>
  <c r="G501" i="14"/>
  <c r="F501" i="14"/>
  <c r="I347" i="6"/>
  <c r="D347" i="6"/>
  <c r="C347" i="6"/>
  <c r="C501" i="14"/>
  <c r="B501" i="14"/>
  <c r="O502" i="12"/>
  <c r="J502" i="12"/>
  <c r="I502" i="12"/>
  <c r="H502" i="12"/>
  <c r="G502" i="12"/>
  <c r="A502" i="14"/>
  <c r="D501" i="14"/>
  <c r="H501" i="14"/>
  <c r="E501" i="14"/>
  <c r="B502" i="12"/>
  <c r="A503" i="12"/>
  <c r="K502" i="12"/>
  <c r="L502" i="12"/>
  <c r="E502" i="12"/>
  <c r="F347" i="6"/>
  <c r="E347" i="6"/>
  <c r="B347" i="6"/>
  <c r="H347" i="6"/>
  <c r="J347" i="6"/>
  <c r="G349" i="5"/>
  <c r="H349" i="5"/>
  <c r="C408" i="10"/>
  <c r="A409" i="10"/>
  <c r="D408" i="10"/>
  <c r="G408" i="10"/>
  <c r="E408" i="10"/>
  <c r="B408" i="10"/>
  <c r="B349" i="5"/>
  <c r="A348" i="6"/>
  <c r="G347" i="6"/>
  <c r="C349" i="5"/>
  <c r="A350" i="5"/>
  <c r="F350" i="5" s="1"/>
  <c r="E349" i="5"/>
  <c r="D349" i="5"/>
  <c r="D348" i="6" l="1"/>
  <c r="C348" i="6"/>
  <c r="I348" i="6"/>
  <c r="M503" i="12"/>
  <c r="F503" i="12"/>
  <c r="D503" i="12"/>
  <c r="C503" i="12"/>
  <c r="F502" i="14"/>
  <c r="G502" i="14"/>
  <c r="C502" i="14"/>
  <c r="B502" i="14"/>
  <c r="O503" i="12"/>
  <c r="J503" i="12"/>
  <c r="I503" i="12"/>
  <c r="H503" i="12"/>
  <c r="G503" i="12"/>
  <c r="E502" i="14"/>
  <c r="H502" i="14"/>
  <c r="D502" i="14"/>
  <c r="A503" i="14"/>
  <c r="B503" i="12"/>
  <c r="A504" i="12"/>
  <c r="K503" i="12"/>
  <c r="E503" i="12"/>
  <c r="L503" i="12"/>
  <c r="F348" i="6"/>
  <c r="E348" i="6"/>
  <c r="B348" i="6"/>
  <c r="H348" i="6"/>
  <c r="J348" i="6"/>
  <c r="G350" i="5"/>
  <c r="H350" i="5"/>
  <c r="C409" i="10"/>
  <c r="G409" i="10"/>
  <c r="E409" i="10"/>
  <c r="D409" i="10"/>
  <c r="B409" i="10"/>
  <c r="A410" i="10"/>
  <c r="B350" i="5"/>
  <c r="A349" i="6"/>
  <c r="G348" i="6"/>
  <c r="C350" i="5"/>
  <c r="A351" i="5"/>
  <c r="F351" i="5" s="1"/>
  <c r="D350" i="5"/>
  <c r="E350" i="5"/>
  <c r="G503" i="14" l="1"/>
  <c r="F503" i="14"/>
  <c r="D349" i="6"/>
  <c r="C349" i="6"/>
  <c r="I349" i="6"/>
  <c r="C504" i="12"/>
  <c r="M504" i="12"/>
  <c r="F504" i="12"/>
  <c r="D504" i="12"/>
  <c r="C503" i="14"/>
  <c r="B503" i="14"/>
  <c r="O504" i="12"/>
  <c r="J504" i="12"/>
  <c r="I504" i="12"/>
  <c r="H504" i="12"/>
  <c r="G504" i="12"/>
  <c r="A504" i="14"/>
  <c r="D503" i="14"/>
  <c r="H503" i="14"/>
  <c r="E503" i="14"/>
  <c r="L504" i="12"/>
  <c r="B504" i="12"/>
  <c r="A505" i="12"/>
  <c r="E504" i="12"/>
  <c r="K504" i="12"/>
  <c r="F349" i="6"/>
  <c r="E349" i="6"/>
  <c r="H349" i="6"/>
  <c r="B349" i="6"/>
  <c r="J349" i="6"/>
  <c r="G351" i="5"/>
  <c r="H351" i="5"/>
  <c r="C410" i="10"/>
  <c r="A411" i="10"/>
  <c r="D410" i="10"/>
  <c r="B410" i="10"/>
  <c r="E410" i="10"/>
  <c r="G410" i="10"/>
  <c r="B351" i="5"/>
  <c r="A350" i="6"/>
  <c r="G349" i="6"/>
  <c r="C351" i="5"/>
  <c r="A352" i="5"/>
  <c r="F352" i="5" s="1"/>
  <c r="E351" i="5"/>
  <c r="D351" i="5"/>
  <c r="I350" i="6" l="1"/>
  <c r="D350" i="6"/>
  <c r="C350" i="6"/>
  <c r="M505" i="12"/>
  <c r="F505" i="12"/>
  <c r="D505" i="12"/>
  <c r="C505" i="12"/>
  <c r="G504" i="14"/>
  <c r="F504" i="14"/>
  <c r="C504" i="14"/>
  <c r="B504" i="14"/>
  <c r="O505" i="12"/>
  <c r="J505" i="12"/>
  <c r="G505" i="12"/>
  <c r="H505" i="12"/>
  <c r="I505" i="12"/>
  <c r="E504" i="14"/>
  <c r="H504" i="14"/>
  <c r="A505" i="14"/>
  <c r="D504" i="14"/>
  <c r="E505" i="12"/>
  <c r="K505" i="12"/>
  <c r="L505" i="12"/>
  <c r="A506" i="12"/>
  <c r="B505" i="12"/>
  <c r="F350" i="6"/>
  <c r="E350" i="6"/>
  <c r="H350" i="6"/>
  <c r="B350" i="6"/>
  <c r="J350" i="6"/>
  <c r="G352" i="5"/>
  <c r="H352" i="5"/>
  <c r="C411" i="10"/>
  <c r="G411" i="10"/>
  <c r="E411" i="10"/>
  <c r="D411" i="10"/>
  <c r="B411" i="10"/>
  <c r="A412" i="10"/>
  <c r="B352" i="5"/>
  <c r="A351" i="6"/>
  <c r="G350" i="6"/>
  <c r="C352" i="5"/>
  <c r="D352" i="5"/>
  <c r="A353" i="5"/>
  <c r="F353" i="5" s="1"/>
  <c r="E352" i="5"/>
  <c r="C506" i="12" l="1"/>
  <c r="M506" i="12"/>
  <c r="F506" i="12"/>
  <c r="D506" i="12"/>
  <c r="F505" i="14"/>
  <c r="G505" i="14"/>
  <c r="C351" i="6"/>
  <c r="I351" i="6"/>
  <c r="D351" i="6"/>
  <c r="C505" i="14"/>
  <c r="B505" i="14"/>
  <c r="O506" i="12"/>
  <c r="J506" i="12"/>
  <c r="I506" i="12"/>
  <c r="H506" i="12"/>
  <c r="G506" i="12"/>
  <c r="A506" i="14"/>
  <c r="D505" i="14"/>
  <c r="H505" i="14"/>
  <c r="E505" i="14"/>
  <c r="A507" i="12"/>
  <c r="L506" i="12"/>
  <c r="B506" i="12"/>
  <c r="E506" i="12"/>
  <c r="K506" i="12"/>
  <c r="F351" i="6"/>
  <c r="E351" i="6"/>
  <c r="B351" i="6"/>
  <c r="H351" i="6"/>
  <c r="J351" i="6"/>
  <c r="G353" i="5"/>
  <c r="H353" i="5"/>
  <c r="C412" i="10"/>
  <c r="A413" i="10"/>
  <c r="D412" i="10"/>
  <c r="B412" i="10"/>
  <c r="E412" i="10"/>
  <c r="G412" i="10"/>
  <c r="B353" i="5"/>
  <c r="A352" i="6"/>
  <c r="G351" i="6"/>
  <c r="C353" i="5"/>
  <c r="A354" i="5"/>
  <c r="F354" i="5" s="1"/>
  <c r="E353" i="5"/>
  <c r="D353" i="5"/>
  <c r="I352" i="6" l="1"/>
  <c r="C352" i="6"/>
  <c r="D352" i="6"/>
  <c r="M507" i="12"/>
  <c r="F507" i="12"/>
  <c r="D507" i="12"/>
  <c r="C507" i="12"/>
  <c r="F506" i="14"/>
  <c r="G506" i="14"/>
  <c r="C506" i="14"/>
  <c r="B506" i="14"/>
  <c r="O507" i="12"/>
  <c r="J507" i="12"/>
  <c r="I507" i="12"/>
  <c r="H507" i="12"/>
  <c r="G507" i="12"/>
  <c r="E506" i="14"/>
  <c r="H506" i="14"/>
  <c r="A507" i="14"/>
  <c r="D506" i="14"/>
  <c r="A508" i="12"/>
  <c r="K507" i="12"/>
  <c r="E507" i="12"/>
  <c r="L507" i="12"/>
  <c r="B507" i="12"/>
  <c r="F352" i="6"/>
  <c r="E352" i="6"/>
  <c r="B352" i="6"/>
  <c r="H352" i="6"/>
  <c r="J352" i="6"/>
  <c r="G354" i="5"/>
  <c r="H354" i="5"/>
  <c r="C413" i="10"/>
  <c r="E413" i="10"/>
  <c r="G413" i="10"/>
  <c r="D413" i="10"/>
  <c r="A414" i="10"/>
  <c r="B413" i="10"/>
  <c r="B354" i="5"/>
  <c r="A353" i="6"/>
  <c r="G352" i="6"/>
  <c r="C354" i="5"/>
  <c r="A355" i="5"/>
  <c r="F355" i="5" s="1"/>
  <c r="D354" i="5"/>
  <c r="E354" i="5"/>
  <c r="C508" i="12" l="1"/>
  <c r="M508" i="12"/>
  <c r="F508" i="12"/>
  <c r="D508" i="12"/>
  <c r="F507" i="14"/>
  <c r="G507" i="14"/>
  <c r="I353" i="6"/>
  <c r="D353" i="6"/>
  <c r="C353" i="6"/>
  <c r="C507" i="14"/>
  <c r="B507" i="14"/>
  <c r="O508" i="12"/>
  <c r="J508" i="12"/>
  <c r="I508" i="12"/>
  <c r="H508" i="12"/>
  <c r="G508" i="12"/>
  <c r="A508" i="14"/>
  <c r="D507" i="14"/>
  <c r="H507" i="14"/>
  <c r="E507" i="14"/>
  <c r="L508" i="12"/>
  <c r="B508" i="12"/>
  <c r="A509" i="12"/>
  <c r="E508" i="12"/>
  <c r="K508" i="12"/>
  <c r="F353" i="6"/>
  <c r="E353" i="6"/>
  <c r="H353" i="6"/>
  <c r="B353" i="6"/>
  <c r="J353" i="6"/>
  <c r="G355" i="5"/>
  <c r="H355" i="5"/>
  <c r="C414" i="10"/>
  <c r="G414" i="10"/>
  <c r="B414" i="10"/>
  <c r="A415" i="10"/>
  <c r="D414" i="10"/>
  <c r="E414" i="10"/>
  <c r="B355" i="5"/>
  <c r="G353" i="6"/>
  <c r="A354" i="6"/>
  <c r="C355" i="5"/>
  <c r="A356" i="5"/>
  <c r="F356" i="5" s="1"/>
  <c r="E355" i="5"/>
  <c r="D355" i="5"/>
  <c r="M509" i="12" l="1"/>
  <c r="F509" i="12"/>
  <c r="D509" i="12"/>
  <c r="C509" i="12"/>
  <c r="I354" i="6"/>
  <c r="D354" i="6"/>
  <c r="C354" i="6"/>
  <c r="G508" i="14"/>
  <c r="F508" i="14"/>
  <c r="C508" i="14"/>
  <c r="B508" i="14"/>
  <c r="O509" i="12"/>
  <c r="G509" i="12"/>
  <c r="I509" i="12"/>
  <c r="H509" i="12"/>
  <c r="J509" i="12"/>
  <c r="E508" i="14"/>
  <c r="H508" i="14"/>
  <c r="D508" i="14"/>
  <c r="A509" i="14"/>
  <c r="B509" i="12"/>
  <c r="A510" i="12"/>
  <c r="E509" i="12"/>
  <c r="K509" i="12"/>
  <c r="L509" i="12"/>
  <c r="F354" i="6"/>
  <c r="E354" i="6"/>
  <c r="H354" i="6"/>
  <c r="B354" i="6"/>
  <c r="J354" i="6"/>
  <c r="C415" i="10"/>
  <c r="G356" i="5"/>
  <c r="H356" i="5"/>
  <c r="A416" i="10"/>
  <c r="D415" i="10"/>
  <c r="G415" i="10"/>
  <c r="E415" i="10"/>
  <c r="B415" i="10"/>
  <c r="B356" i="5"/>
  <c r="G354" i="6"/>
  <c r="A355" i="6"/>
  <c r="C356" i="5"/>
  <c r="D356" i="5"/>
  <c r="A357" i="5"/>
  <c r="F357" i="5" s="1"/>
  <c r="E356" i="5"/>
  <c r="C510" i="12" l="1"/>
  <c r="M510" i="12"/>
  <c r="F510" i="12"/>
  <c r="D510" i="12"/>
  <c r="G509" i="14"/>
  <c r="F509" i="14"/>
  <c r="I355" i="6"/>
  <c r="D355" i="6"/>
  <c r="C355" i="6"/>
  <c r="C509" i="14"/>
  <c r="B509" i="14"/>
  <c r="O510" i="12"/>
  <c r="I510" i="12"/>
  <c r="H510" i="12"/>
  <c r="J510" i="12"/>
  <c r="G510" i="12"/>
  <c r="A510" i="14"/>
  <c r="D509" i="14"/>
  <c r="H509" i="14"/>
  <c r="E509" i="14"/>
  <c r="K510" i="12"/>
  <c r="A511" i="12"/>
  <c r="B510" i="12"/>
  <c r="E510" i="12"/>
  <c r="L510" i="12"/>
  <c r="F355" i="6"/>
  <c r="E355" i="6"/>
  <c r="B355" i="6"/>
  <c r="H355" i="6"/>
  <c r="J355" i="6"/>
  <c r="G357" i="5"/>
  <c r="H357" i="5"/>
  <c r="C416" i="10"/>
  <c r="E416" i="10"/>
  <c r="A417" i="10"/>
  <c r="D416" i="10"/>
  <c r="B416" i="10"/>
  <c r="G416" i="10"/>
  <c r="B357" i="5"/>
  <c r="A356" i="6"/>
  <c r="G355" i="6"/>
  <c r="C357" i="5"/>
  <c r="A358" i="5"/>
  <c r="F358" i="5" s="1"/>
  <c r="E357" i="5"/>
  <c r="D357" i="5"/>
  <c r="D356" i="6" l="1"/>
  <c r="C356" i="6"/>
  <c r="I356" i="6"/>
  <c r="M511" i="12"/>
  <c r="F511" i="12"/>
  <c r="D511" i="12"/>
  <c r="C511" i="12"/>
  <c r="F510" i="14"/>
  <c r="G510" i="14"/>
  <c r="C510" i="14"/>
  <c r="B510" i="14"/>
  <c r="O511" i="12"/>
  <c r="J511" i="12"/>
  <c r="I511" i="12"/>
  <c r="H511" i="12"/>
  <c r="G511" i="12"/>
  <c r="E510" i="14"/>
  <c r="H510" i="14"/>
  <c r="D510" i="14"/>
  <c r="A511" i="14"/>
  <c r="B511" i="12"/>
  <c r="A512" i="12"/>
  <c r="K511" i="12"/>
  <c r="L511" i="12"/>
  <c r="E511" i="12"/>
  <c r="F356" i="6"/>
  <c r="E356" i="6"/>
  <c r="B356" i="6"/>
  <c r="H356" i="6"/>
  <c r="J356" i="6"/>
  <c r="G358" i="5"/>
  <c r="H358" i="5"/>
  <c r="C417" i="10"/>
  <c r="B417" i="10"/>
  <c r="E417" i="10"/>
  <c r="G417" i="10"/>
  <c r="A418" i="10"/>
  <c r="D417" i="10"/>
  <c r="B358" i="5"/>
  <c r="A357" i="6"/>
  <c r="G356" i="6"/>
  <c r="C358" i="5"/>
  <c r="A359" i="5"/>
  <c r="F359" i="5" s="1"/>
  <c r="D358" i="5"/>
  <c r="E358" i="5"/>
  <c r="D357" i="6" l="1"/>
  <c r="C357" i="6"/>
  <c r="I357" i="6"/>
  <c r="G511" i="14"/>
  <c r="F511" i="14"/>
  <c r="C512" i="12"/>
  <c r="M512" i="12"/>
  <c r="F512" i="12"/>
  <c r="D512" i="12"/>
  <c r="C511" i="14"/>
  <c r="B511" i="14"/>
  <c r="O512" i="12"/>
  <c r="J512" i="12"/>
  <c r="I512" i="12"/>
  <c r="H512" i="12"/>
  <c r="G512" i="12"/>
  <c r="A512" i="14"/>
  <c r="D511" i="14"/>
  <c r="H511" i="14"/>
  <c r="E511" i="14"/>
  <c r="L512" i="12"/>
  <c r="A513" i="12"/>
  <c r="E512" i="12"/>
  <c r="B512" i="12"/>
  <c r="K512" i="12"/>
  <c r="F357" i="6"/>
  <c r="E357" i="6"/>
  <c r="H357" i="6"/>
  <c r="B357" i="6"/>
  <c r="J357" i="6"/>
  <c r="G359" i="5"/>
  <c r="H359" i="5"/>
  <c r="C418" i="10"/>
  <c r="G418" i="10"/>
  <c r="B418" i="10"/>
  <c r="A419" i="10"/>
  <c r="D418" i="10"/>
  <c r="E418" i="10"/>
  <c r="B359" i="5"/>
  <c r="A358" i="6"/>
  <c r="G357" i="6"/>
  <c r="C359" i="5"/>
  <c r="D359" i="5"/>
  <c r="E359" i="5"/>
  <c r="A360" i="5"/>
  <c r="F360" i="5" s="1"/>
  <c r="M513" i="12" l="1"/>
  <c r="F513" i="12"/>
  <c r="D513" i="12"/>
  <c r="C513" i="12"/>
  <c r="I358" i="6"/>
  <c r="D358" i="6"/>
  <c r="C358" i="6"/>
  <c r="G512" i="14"/>
  <c r="F512" i="14"/>
  <c r="C512" i="14"/>
  <c r="B512" i="14"/>
  <c r="O513" i="12"/>
  <c r="J513" i="12"/>
  <c r="G513" i="12"/>
  <c r="I513" i="12"/>
  <c r="H513" i="12"/>
  <c r="E512" i="14"/>
  <c r="H512" i="14"/>
  <c r="A513" i="14"/>
  <c r="D512" i="14"/>
  <c r="B513" i="12"/>
  <c r="K513" i="12"/>
  <c r="L513" i="12"/>
  <c r="A514" i="12"/>
  <c r="E513" i="12"/>
  <c r="F358" i="6"/>
  <c r="E358" i="6"/>
  <c r="H358" i="6"/>
  <c r="B358" i="6"/>
  <c r="J358" i="6"/>
  <c r="C419" i="10"/>
  <c r="G360" i="5"/>
  <c r="H360" i="5"/>
  <c r="A420" i="10"/>
  <c r="D419" i="10"/>
  <c r="G419" i="10"/>
  <c r="E419" i="10"/>
  <c r="B419" i="10"/>
  <c r="B360" i="5"/>
  <c r="A359" i="6"/>
  <c r="G358" i="6"/>
  <c r="C360" i="5"/>
  <c r="D360" i="5"/>
  <c r="A361" i="5"/>
  <c r="F361" i="5" s="1"/>
  <c r="E360" i="5"/>
  <c r="G513" i="14" l="1"/>
  <c r="F513" i="14"/>
  <c r="C514" i="12"/>
  <c r="M514" i="12"/>
  <c r="F514" i="12"/>
  <c r="D514" i="12"/>
  <c r="C359" i="6"/>
  <c r="D359" i="6"/>
  <c r="I359" i="6"/>
  <c r="C513" i="14"/>
  <c r="B513" i="14"/>
  <c r="O514" i="12"/>
  <c r="J514" i="12"/>
  <c r="H514" i="12"/>
  <c r="G514" i="12"/>
  <c r="I514" i="12"/>
  <c r="A514" i="14"/>
  <c r="D513" i="14"/>
  <c r="H513" i="14"/>
  <c r="E513" i="14"/>
  <c r="B514" i="12"/>
  <c r="A515" i="12"/>
  <c r="L514" i="12"/>
  <c r="E514" i="12"/>
  <c r="K514" i="12"/>
  <c r="F359" i="6"/>
  <c r="E359" i="6"/>
  <c r="B359" i="6"/>
  <c r="H359" i="6"/>
  <c r="J359" i="6"/>
  <c r="G361" i="5"/>
  <c r="H361" i="5"/>
  <c r="C420" i="10"/>
  <c r="E420" i="10"/>
  <c r="A421" i="10"/>
  <c r="D420" i="10"/>
  <c r="B420" i="10"/>
  <c r="G420" i="10"/>
  <c r="B361" i="5"/>
  <c r="A360" i="6"/>
  <c r="G359" i="6"/>
  <c r="C361" i="5"/>
  <c r="D361" i="5"/>
  <c r="A362" i="5"/>
  <c r="F362" i="5" s="1"/>
  <c r="E361" i="5"/>
  <c r="M515" i="12" l="1"/>
  <c r="F515" i="12"/>
  <c r="D515" i="12"/>
  <c r="C515" i="12"/>
  <c r="I360" i="6"/>
  <c r="C360" i="6"/>
  <c r="D360" i="6"/>
  <c r="F514" i="14"/>
  <c r="G514" i="14"/>
  <c r="C514" i="14"/>
  <c r="B514" i="14"/>
  <c r="O515" i="12"/>
  <c r="J515" i="12"/>
  <c r="I515" i="12"/>
  <c r="H515" i="12"/>
  <c r="G515" i="12"/>
  <c r="E514" i="14"/>
  <c r="H514" i="14"/>
  <c r="A515" i="14"/>
  <c r="D514" i="14"/>
  <c r="B515" i="12"/>
  <c r="A516" i="12"/>
  <c r="K515" i="12"/>
  <c r="L515" i="12"/>
  <c r="E515" i="12"/>
  <c r="F360" i="6"/>
  <c r="E360" i="6"/>
  <c r="B360" i="6"/>
  <c r="H360" i="6"/>
  <c r="J360" i="6"/>
  <c r="C421" i="10"/>
  <c r="G362" i="5"/>
  <c r="H362" i="5"/>
  <c r="B421" i="10"/>
  <c r="E421" i="10"/>
  <c r="G421" i="10"/>
  <c r="A422" i="10"/>
  <c r="D421" i="10"/>
  <c r="B362" i="5"/>
  <c r="A361" i="6"/>
  <c r="G360" i="6"/>
  <c r="C362" i="5"/>
  <c r="E362" i="5"/>
  <c r="A363" i="5"/>
  <c r="F363" i="5" s="1"/>
  <c r="D362" i="5"/>
  <c r="C516" i="12" l="1"/>
  <c r="M516" i="12"/>
  <c r="F516" i="12"/>
  <c r="D516" i="12"/>
  <c r="I361" i="6"/>
  <c r="D361" i="6"/>
  <c r="C361" i="6"/>
  <c r="F515" i="14"/>
  <c r="G515" i="14"/>
  <c r="C515" i="14"/>
  <c r="B515" i="14"/>
  <c r="O516" i="12"/>
  <c r="J516" i="12"/>
  <c r="I516" i="12"/>
  <c r="H516" i="12"/>
  <c r="G516" i="12"/>
  <c r="E515" i="14"/>
  <c r="A516" i="14"/>
  <c r="D515" i="14"/>
  <c r="H515" i="14"/>
  <c r="L516" i="12"/>
  <c r="A517" i="12"/>
  <c r="E516" i="12"/>
  <c r="K516" i="12"/>
  <c r="B516" i="12"/>
  <c r="F361" i="6"/>
  <c r="E361" i="6"/>
  <c r="H361" i="6"/>
  <c r="B361" i="6"/>
  <c r="J361" i="6"/>
  <c r="C422" i="10"/>
  <c r="G363" i="5"/>
  <c r="H363" i="5"/>
  <c r="G422" i="10"/>
  <c r="B422" i="10"/>
  <c r="A423" i="10"/>
  <c r="D422" i="10"/>
  <c r="E422" i="10"/>
  <c r="B363" i="5"/>
  <c r="G361" i="6"/>
  <c r="A362" i="6"/>
  <c r="C363" i="5"/>
  <c r="E363" i="5"/>
  <c r="A364" i="5"/>
  <c r="F364" i="5" s="1"/>
  <c r="D363" i="5"/>
  <c r="M517" i="12" l="1"/>
  <c r="F517" i="12"/>
  <c r="D517" i="12"/>
  <c r="C517" i="12"/>
  <c r="F516" i="14"/>
  <c r="G516" i="14"/>
  <c r="I362" i="6"/>
  <c r="D362" i="6"/>
  <c r="C362" i="6"/>
  <c r="C516" i="14"/>
  <c r="B516" i="14"/>
  <c r="O517" i="12"/>
  <c r="G517" i="12"/>
  <c r="J517" i="12"/>
  <c r="I517" i="12"/>
  <c r="H517" i="12"/>
  <c r="H516" i="14"/>
  <c r="E516" i="14"/>
  <c r="D516" i="14"/>
  <c r="A517" i="14"/>
  <c r="B517" i="12"/>
  <c r="E517" i="12"/>
  <c r="K517" i="12"/>
  <c r="A518" i="12"/>
  <c r="L517" i="12"/>
  <c r="F362" i="6"/>
  <c r="E362" i="6"/>
  <c r="H362" i="6"/>
  <c r="B362" i="6"/>
  <c r="J362" i="6"/>
  <c r="C423" i="10"/>
  <c r="G364" i="5"/>
  <c r="H364" i="5"/>
  <c r="A424" i="10"/>
  <c r="D423" i="10"/>
  <c r="G423" i="10"/>
  <c r="E423" i="10"/>
  <c r="B423" i="10"/>
  <c r="B364" i="5"/>
  <c r="G362" i="6"/>
  <c r="A363" i="6"/>
  <c r="C364" i="5"/>
  <c r="A365" i="5"/>
  <c r="F365" i="5" s="1"/>
  <c r="E364" i="5"/>
  <c r="D364" i="5"/>
  <c r="C518" i="12" l="1"/>
  <c r="M518" i="12"/>
  <c r="F518" i="12"/>
  <c r="D518" i="12"/>
  <c r="G517" i="14"/>
  <c r="F517" i="14"/>
  <c r="I363" i="6"/>
  <c r="D363" i="6"/>
  <c r="C363" i="6"/>
  <c r="C517" i="14"/>
  <c r="B517" i="14"/>
  <c r="O518" i="12"/>
  <c r="J518" i="12"/>
  <c r="I518" i="12"/>
  <c r="H518" i="12"/>
  <c r="G518" i="12"/>
  <c r="E517" i="14"/>
  <c r="A518" i="14"/>
  <c r="D517" i="14"/>
  <c r="H517" i="14"/>
  <c r="K518" i="12"/>
  <c r="L518" i="12"/>
  <c r="A519" i="12"/>
  <c r="E518" i="12"/>
  <c r="B518" i="12"/>
  <c r="F363" i="6"/>
  <c r="E363" i="6"/>
  <c r="B363" i="6"/>
  <c r="H363" i="6"/>
  <c r="J363" i="6"/>
  <c r="G365" i="5"/>
  <c r="H365" i="5"/>
  <c r="C424" i="10"/>
  <c r="E424" i="10"/>
  <c r="A425" i="10"/>
  <c r="D424" i="10"/>
  <c r="B424" i="10"/>
  <c r="G424" i="10"/>
  <c r="B365" i="5"/>
  <c r="A364" i="6"/>
  <c r="G363" i="6"/>
  <c r="C365" i="5"/>
  <c r="A366" i="5"/>
  <c r="F366" i="5" s="1"/>
  <c r="E365" i="5"/>
  <c r="D365" i="5"/>
  <c r="M519" i="12" l="1"/>
  <c r="F519" i="12"/>
  <c r="D519" i="12"/>
  <c r="C519" i="12"/>
  <c r="D364" i="6"/>
  <c r="C364" i="6"/>
  <c r="I364" i="6"/>
  <c r="F518" i="14"/>
  <c r="G518" i="14"/>
  <c r="C518" i="14"/>
  <c r="B518" i="14"/>
  <c r="O519" i="12"/>
  <c r="J519" i="12"/>
  <c r="I519" i="12"/>
  <c r="H519" i="12"/>
  <c r="G519" i="12"/>
  <c r="H518" i="14"/>
  <c r="A519" i="14"/>
  <c r="D518" i="14"/>
  <c r="E518" i="14"/>
  <c r="B519" i="12"/>
  <c r="E519" i="12"/>
  <c r="A520" i="12"/>
  <c r="L519" i="12"/>
  <c r="K519" i="12"/>
  <c r="F364" i="6"/>
  <c r="E364" i="6"/>
  <c r="B364" i="6"/>
  <c r="H364" i="6"/>
  <c r="J364" i="6"/>
  <c r="G366" i="5"/>
  <c r="H366" i="5"/>
  <c r="C425" i="10"/>
  <c r="B425" i="10"/>
  <c r="E425" i="10"/>
  <c r="G425" i="10"/>
  <c r="D425" i="10"/>
  <c r="A426" i="10"/>
  <c r="B366" i="5"/>
  <c r="A365" i="6"/>
  <c r="G364" i="6"/>
  <c r="C366" i="5"/>
  <c r="D366" i="5"/>
  <c r="A367" i="5"/>
  <c r="F367" i="5" s="1"/>
  <c r="E366" i="5"/>
  <c r="D365" i="6" l="1"/>
  <c r="I365" i="6"/>
  <c r="C365" i="6"/>
  <c r="C520" i="12"/>
  <c r="M520" i="12"/>
  <c r="F520" i="12"/>
  <c r="D520" i="12"/>
  <c r="G519" i="14"/>
  <c r="F519" i="14"/>
  <c r="C519" i="14"/>
  <c r="B519" i="14"/>
  <c r="O520" i="12"/>
  <c r="J520" i="12"/>
  <c r="I520" i="12"/>
  <c r="H520" i="12"/>
  <c r="G520" i="12"/>
  <c r="E519" i="14"/>
  <c r="A520" i="14"/>
  <c r="D519" i="14"/>
  <c r="H519" i="14"/>
  <c r="L520" i="12"/>
  <c r="E520" i="12"/>
  <c r="K520" i="12"/>
  <c r="A521" i="12"/>
  <c r="B520" i="12"/>
  <c r="F365" i="6"/>
  <c r="E365" i="6"/>
  <c r="H365" i="6"/>
  <c r="B365" i="6"/>
  <c r="J365" i="6"/>
  <c r="G367" i="5"/>
  <c r="H367" i="5"/>
  <c r="C426" i="10"/>
  <c r="G426" i="10"/>
  <c r="B426" i="10"/>
  <c r="A427" i="10"/>
  <c r="D426" i="10"/>
  <c r="E426" i="10"/>
  <c r="B367" i="5"/>
  <c r="A366" i="6"/>
  <c r="G365" i="6"/>
  <c r="C367" i="5"/>
  <c r="A368" i="5"/>
  <c r="F368" i="5" s="1"/>
  <c r="E367" i="5"/>
  <c r="D367" i="5"/>
  <c r="I366" i="6" l="1"/>
  <c r="D366" i="6"/>
  <c r="C366" i="6"/>
  <c r="M521" i="12"/>
  <c r="F521" i="12"/>
  <c r="D521" i="12"/>
  <c r="C521" i="12"/>
  <c r="G520" i="14"/>
  <c r="F520" i="14"/>
  <c r="C520" i="14"/>
  <c r="B520" i="14"/>
  <c r="O521" i="12"/>
  <c r="J521" i="12"/>
  <c r="G521" i="12"/>
  <c r="I521" i="12"/>
  <c r="H521" i="12"/>
  <c r="H520" i="14"/>
  <c r="E520" i="14"/>
  <c r="D520" i="14"/>
  <c r="A521" i="14"/>
  <c r="E521" i="12"/>
  <c r="B521" i="12"/>
  <c r="K521" i="12"/>
  <c r="L521" i="12"/>
  <c r="A522" i="12"/>
  <c r="F366" i="6"/>
  <c r="E366" i="6"/>
  <c r="H366" i="6"/>
  <c r="B366" i="6"/>
  <c r="J366" i="6"/>
  <c r="C427" i="10"/>
  <c r="G368" i="5"/>
  <c r="H368" i="5"/>
  <c r="A428" i="10"/>
  <c r="D427" i="10"/>
  <c r="G427" i="10"/>
  <c r="E427" i="10"/>
  <c r="B427" i="10"/>
  <c r="B368" i="5"/>
  <c r="A367" i="6"/>
  <c r="G366" i="6"/>
  <c r="C368" i="5"/>
  <c r="A369" i="5"/>
  <c r="F369" i="5" s="1"/>
  <c r="D368" i="5"/>
  <c r="E368" i="5"/>
  <c r="C367" i="6" l="1"/>
  <c r="I367" i="6"/>
  <c r="D367" i="6"/>
  <c r="F521" i="14"/>
  <c r="G521" i="14"/>
  <c r="C522" i="12"/>
  <c r="M522" i="12"/>
  <c r="F522" i="12"/>
  <c r="D522" i="12"/>
  <c r="C521" i="14"/>
  <c r="B521" i="14"/>
  <c r="O522" i="12"/>
  <c r="J522" i="12"/>
  <c r="I522" i="12"/>
  <c r="G522" i="12"/>
  <c r="H522" i="12"/>
  <c r="E521" i="14"/>
  <c r="A522" i="14"/>
  <c r="D521" i="14"/>
  <c r="H521" i="14"/>
  <c r="K522" i="12"/>
  <c r="L522" i="12"/>
  <c r="A523" i="12"/>
  <c r="B522" i="12"/>
  <c r="E522" i="12"/>
  <c r="F367" i="6"/>
  <c r="E367" i="6"/>
  <c r="B367" i="6"/>
  <c r="H367" i="6"/>
  <c r="J367" i="6"/>
  <c r="G369" i="5"/>
  <c r="H369" i="5"/>
  <c r="C428" i="10"/>
  <c r="E428" i="10"/>
  <c r="A429" i="10"/>
  <c r="D428" i="10"/>
  <c r="B428" i="10"/>
  <c r="G428" i="10"/>
  <c r="B369" i="5"/>
  <c r="A368" i="6"/>
  <c r="G367" i="6"/>
  <c r="C369" i="5"/>
  <c r="A370" i="5"/>
  <c r="F370" i="5" s="1"/>
  <c r="D369" i="5"/>
  <c r="E369" i="5"/>
  <c r="M523" i="12" l="1"/>
  <c r="F523" i="12"/>
  <c r="D523" i="12"/>
  <c r="C523" i="12"/>
  <c r="I368" i="6"/>
  <c r="C368" i="6"/>
  <c r="D368" i="6"/>
  <c r="F522" i="14"/>
  <c r="G522" i="14"/>
  <c r="C522" i="14"/>
  <c r="B522" i="14"/>
  <c r="O523" i="12"/>
  <c r="J523" i="12"/>
  <c r="I523" i="12"/>
  <c r="H523" i="12"/>
  <c r="G523" i="12"/>
  <c r="H522" i="14"/>
  <c r="A523" i="14"/>
  <c r="D522" i="14"/>
  <c r="E522" i="14"/>
  <c r="B523" i="12"/>
  <c r="E523" i="12"/>
  <c r="A524" i="12"/>
  <c r="K523" i="12"/>
  <c r="L523" i="12"/>
  <c r="F368" i="6"/>
  <c r="E368" i="6"/>
  <c r="B368" i="6"/>
  <c r="H368" i="6"/>
  <c r="J368" i="6"/>
  <c r="G370" i="5"/>
  <c r="H370" i="5"/>
  <c r="C429" i="10"/>
  <c r="B429" i="10"/>
  <c r="E429" i="10"/>
  <c r="G429" i="10"/>
  <c r="D429" i="10"/>
  <c r="A430" i="10"/>
  <c r="B370" i="5"/>
  <c r="A369" i="6"/>
  <c r="G368" i="6"/>
  <c r="C370" i="5"/>
  <c r="A371" i="5"/>
  <c r="F371" i="5" s="1"/>
  <c r="E370" i="5"/>
  <c r="D370" i="5"/>
  <c r="I369" i="6" l="1"/>
  <c r="D369" i="6"/>
  <c r="C369" i="6"/>
  <c r="C524" i="12"/>
  <c r="M524" i="12"/>
  <c r="F524" i="12"/>
  <c r="D524" i="12"/>
  <c r="F523" i="14"/>
  <c r="G523" i="14"/>
  <c r="C523" i="14"/>
  <c r="B523" i="14"/>
  <c r="O524" i="12"/>
  <c r="J524" i="12"/>
  <c r="I524" i="12"/>
  <c r="H524" i="12"/>
  <c r="G524" i="12"/>
  <c r="E523" i="14"/>
  <c r="A524" i="14"/>
  <c r="D523" i="14"/>
  <c r="H523" i="14"/>
  <c r="L524" i="12"/>
  <c r="B524" i="12"/>
  <c r="A525" i="12"/>
  <c r="E524" i="12"/>
  <c r="K524" i="12"/>
  <c r="F369" i="6"/>
  <c r="E369" i="6"/>
  <c r="H369" i="6"/>
  <c r="B369" i="6"/>
  <c r="J369" i="6"/>
  <c r="G371" i="5"/>
  <c r="H371" i="5"/>
  <c r="C430" i="10"/>
  <c r="G430" i="10"/>
  <c r="B430" i="10"/>
  <c r="A431" i="10"/>
  <c r="D430" i="10"/>
  <c r="E430" i="10"/>
  <c r="B371" i="5"/>
  <c r="G369" i="6"/>
  <c r="A370" i="6"/>
  <c r="C371" i="5"/>
  <c r="A372" i="5"/>
  <c r="F372" i="5" s="1"/>
  <c r="E371" i="5"/>
  <c r="D371" i="5"/>
  <c r="M525" i="12" l="1"/>
  <c r="F525" i="12"/>
  <c r="D525" i="12"/>
  <c r="C525" i="12"/>
  <c r="G524" i="14"/>
  <c r="F524" i="14"/>
  <c r="I370" i="6"/>
  <c r="D370" i="6"/>
  <c r="C370" i="6"/>
  <c r="C524" i="14"/>
  <c r="B524" i="14"/>
  <c r="O525" i="12"/>
  <c r="G525" i="12"/>
  <c r="I525" i="12"/>
  <c r="H525" i="12"/>
  <c r="J525" i="12"/>
  <c r="H524" i="14"/>
  <c r="E524" i="14"/>
  <c r="D524" i="14"/>
  <c r="A525" i="14"/>
  <c r="B525" i="12"/>
  <c r="K525" i="12"/>
  <c r="A526" i="12"/>
  <c r="E525" i="12"/>
  <c r="L525" i="12"/>
  <c r="F370" i="6"/>
  <c r="E370" i="6"/>
  <c r="H370" i="6"/>
  <c r="B370" i="6"/>
  <c r="J370" i="6"/>
  <c r="C431" i="10"/>
  <c r="G372" i="5"/>
  <c r="H372" i="5"/>
  <c r="A432" i="10"/>
  <c r="D431" i="10"/>
  <c r="G431" i="10"/>
  <c r="E431" i="10"/>
  <c r="B431" i="10"/>
  <c r="B372" i="5"/>
  <c r="G370" i="6"/>
  <c r="A371" i="6"/>
  <c r="C372" i="5"/>
  <c r="A373" i="5"/>
  <c r="F373" i="5" s="1"/>
  <c r="E372" i="5"/>
  <c r="D372" i="5"/>
  <c r="C526" i="12" l="1"/>
  <c r="M526" i="12"/>
  <c r="F526" i="12"/>
  <c r="D526" i="12"/>
  <c r="F525" i="14"/>
  <c r="G525" i="14"/>
  <c r="I371" i="6"/>
  <c r="D371" i="6"/>
  <c r="C371" i="6"/>
  <c r="C525" i="14"/>
  <c r="B525" i="14"/>
  <c r="O526" i="12"/>
  <c r="I526" i="12"/>
  <c r="H526" i="12"/>
  <c r="J526" i="12"/>
  <c r="G526" i="12"/>
  <c r="E525" i="14"/>
  <c r="A526" i="14"/>
  <c r="D525" i="14"/>
  <c r="H525" i="14"/>
  <c r="A527" i="12"/>
  <c r="K526" i="12"/>
  <c r="L526" i="12"/>
  <c r="E526" i="12"/>
  <c r="B526" i="12"/>
  <c r="F371" i="6"/>
  <c r="E371" i="6"/>
  <c r="B371" i="6"/>
  <c r="H371" i="6"/>
  <c r="J371" i="6"/>
  <c r="G373" i="5"/>
  <c r="H373" i="5"/>
  <c r="C432" i="10"/>
  <c r="E432" i="10"/>
  <c r="A433" i="10"/>
  <c r="D432" i="10"/>
  <c r="B432" i="10"/>
  <c r="G432" i="10"/>
  <c r="B373" i="5"/>
  <c r="A372" i="6"/>
  <c r="G371" i="6"/>
  <c r="C373" i="5"/>
  <c r="A374" i="5"/>
  <c r="F374" i="5" s="1"/>
  <c r="E373" i="5"/>
  <c r="D373" i="5"/>
  <c r="D372" i="6" l="1"/>
  <c r="C372" i="6"/>
  <c r="I372" i="6"/>
  <c r="M527" i="12"/>
  <c r="F527" i="12"/>
  <c r="D527" i="12"/>
  <c r="C527" i="12"/>
  <c r="F526" i="14"/>
  <c r="G526" i="14"/>
  <c r="C526" i="14"/>
  <c r="B526" i="14"/>
  <c r="O527" i="12"/>
  <c r="J527" i="12"/>
  <c r="I527" i="12"/>
  <c r="H527" i="12"/>
  <c r="G527" i="12"/>
  <c r="H526" i="14"/>
  <c r="A527" i="14"/>
  <c r="D526" i="14"/>
  <c r="E526" i="14"/>
  <c r="B527" i="12"/>
  <c r="A528" i="12"/>
  <c r="K527" i="12"/>
  <c r="E527" i="12"/>
  <c r="L527" i="12"/>
  <c r="F372" i="6"/>
  <c r="E372" i="6"/>
  <c r="B372" i="6"/>
  <c r="H372" i="6"/>
  <c r="J372" i="6"/>
  <c r="C433" i="10"/>
  <c r="G374" i="5"/>
  <c r="H374" i="5"/>
  <c r="B433" i="10"/>
  <c r="E433" i="10"/>
  <c r="G433" i="10"/>
  <c r="A434" i="10"/>
  <c r="D433" i="10"/>
  <c r="B374" i="5"/>
  <c r="A373" i="6"/>
  <c r="G372" i="6"/>
  <c r="C374" i="5"/>
  <c r="A375" i="5"/>
  <c r="F375" i="5" s="1"/>
  <c r="D374" i="5"/>
  <c r="E374" i="5"/>
  <c r="C528" i="12" l="1"/>
  <c r="M528" i="12"/>
  <c r="F528" i="12"/>
  <c r="D528" i="12"/>
  <c r="D373" i="6"/>
  <c r="C373" i="6"/>
  <c r="I373" i="6"/>
  <c r="G527" i="14"/>
  <c r="F527" i="14"/>
  <c r="C527" i="14"/>
  <c r="B527" i="14"/>
  <c r="O528" i="12"/>
  <c r="J528" i="12"/>
  <c r="I528" i="12"/>
  <c r="H528" i="12"/>
  <c r="G528" i="12"/>
  <c r="E527" i="14"/>
  <c r="A528" i="14"/>
  <c r="D527" i="14"/>
  <c r="H527" i="14"/>
  <c r="L528" i="12"/>
  <c r="A529" i="12"/>
  <c r="E528" i="12"/>
  <c r="B528" i="12"/>
  <c r="K528" i="12"/>
  <c r="F373" i="6"/>
  <c r="E373" i="6"/>
  <c r="H373" i="6"/>
  <c r="B373" i="6"/>
  <c r="J373" i="6"/>
  <c r="C434" i="10"/>
  <c r="G375" i="5"/>
  <c r="H375" i="5"/>
  <c r="G434" i="10"/>
  <c r="B434" i="10"/>
  <c r="A435" i="10"/>
  <c r="D434" i="10"/>
  <c r="E434" i="10"/>
  <c r="B375" i="5"/>
  <c r="A374" i="6"/>
  <c r="G373" i="6"/>
  <c r="C375" i="5"/>
  <c r="A376" i="5"/>
  <c r="F376" i="5" s="1"/>
  <c r="D375" i="5"/>
  <c r="E375" i="5"/>
  <c r="M529" i="12" l="1"/>
  <c r="F529" i="12"/>
  <c r="D529" i="12"/>
  <c r="C529" i="12"/>
  <c r="F528" i="14"/>
  <c r="G528" i="14"/>
  <c r="I374" i="6"/>
  <c r="D374" i="6"/>
  <c r="C374" i="6"/>
  <c r="C528" i="14"/>
  <c r="B528" i="14"/>
  <c r="O529" i="12"/>
  <c r="J529" i="12"/>
  <c r="G529" i="12"/>
  <c r="I529" i="12"/>
  <c r="H529" i="12"/>
  <c r="H528" i="14"/>
  <c r="E528" i="14"/>
  <c r="D528" i="14"/>
  <c r="A529" i="14"/>
  <c r="K529" i="12"/>
  <c r="B529" i="12"/>
  <c r="L529" i="12"/>
  <c r="A530" i="12"/>
  <c r="E529" i="12"/>
  <c r="F374" i="6"/>
  <c r="E374" i="6"/>
  <c r="H374" i="6"/>
  <c r="B374" i="6"/>
  <c r="J374" i="6"/>
  <c r="C435" i="10"/>
  <c r="G376" i="5"/>
  <c r="H376" i="5"/>
  <c r="A436" i="10"/>
  <c r="D435" i="10"/>
  <c r="G435" i="10"/>
  <c r="E435" i="10"/>
  <c r="B435" i="10"/>
  <c r="B376" i="5"/>
  <c r="A375" i="6"/>
  <c r="G374" i="6"/>
  <c r="C376" i="5"/>
  <c r="D376" i="5"/>
  <c r="A377" i="5"/>
  <c r="F377" i="5" s="1"/>
  <c r="E376" i="5"/>
  <c r="G529" i="14" l="1"/>
  <c r="F529" i="14"/>
  <c r="C530" i="12"/>
  <c r="M530" i="12"/>
  <c r="F530" i="12"/>
  <c r="D530" i="12"/>
  <c r="C375" i="6"/>
  <c r="I375" i="6"/>
  <c r="D375" i="6"/>
  <c r="C529" i="14"/>
  <c r="B529" i="14"/>
  <c r="O530" i="12"/>
  <c r="J530" i="12"/>
  <c r="H530" i="12"/>
  <c r="I530" i="12"/>
  <c r="G530" i="12"/>
  <c r="E529" i="14"/>
  <c r="A530" i="14"/>
  <c r="D529" i="14"/>
  <c r="H529" i="14"/>
  <c r="L530" i="12"/>
  <c r="A531" i="12"/>
  <c r="B530" i="12"/>
  <c r="E530" i="12"/>
  <c r="K530" i="12"/>
  <c r="F375" i="6"/>
  <c r="E375" i="6"/>
  <c r="B375" i="6"/>
  <c r="H375" i="6"/>
  <c r="J375" i="6"/>
  <c r="G377" i="5"/>
  <c r="H377" i="5"/>
  <c r="C436" i="10"/>
  <c r="E436" i="10"/>
  <c r="A437" i="10"/>
  <c r="D436" i="10"/>
  <c r="B436" i="10"/>
  <c r="G436" i="10"/>
  <c r="B377" i="5"/>
  <c r="A376" i="6"/>
  <c r="G375" i="6"/>
  <c r="C377" i="5"/>
  <c r="D377" i="5"/>
  <c r="A378" i="5"/>
  <c r="F378" i="5" s="1"/>
  <c r="E377" i="5"/>
  <c r="I376" i="6" l="1"/>
  <c r="C376" i="6"/>
  <c r="D376" i="6"/>
  <c r="M531" i="12"/>
  <c r="F531" i="12"/>
  <c r="D531" i="12"/>
  <c r="C531" i="12"/>
  <c r="F530" i="14"/>
  <c r="G530" i="14"/>
  <c r="C530" i="14"/>
  <c r="B530" i="14"/>
  <c r="O531" i="12"/>
  <c r="J531" i="12"/>
  <c r="I531" i="12"/>
  <c r="H531" i="12"/>
  <c r="G531" i="12"/>
  <c r="H530" i="14"/>
  <c r="A531" i="14"/>
  <c r="D530" i="14"/>
  <c r="E530" i="14"/>
  <c r="B531" i="12"/>
  <c r="E531" i="12"/>
  <c r="A532" i="12"/>
  <c r="K531" i="12"/>
  <c r="L531" i="12"/>
  <c r="F376" i="6"/>
  <c r="E376" i="6"/>
  <c r="B376" i="6"/>
  <c r="H376" i="6"/>
  <c r="J376" i="6"/>
  <c r="C437" i="10"/>
  <c r="G378" i="5"/>
  <c r="H378" i="5"/>
  <c r="B437" i="10"/>
  <c r="E437" i="10"/>
  <c r="G437" i="10"/>
  <c r="A438" i="10"/>
  <c r="D437" i="10"/>
  <c r="B378" i="5"/>
  <c r="A377" i="6"/>
  <c r="G376" i="6"/>
  <c r="C378" i="5"/>
  <c r="A379" i="5"/>
  <c r="F379" i="5" s="1"/>
  <c r="D378" i="5"/>
  <c r="E378" i="5"/>
  <c r="I377" i="6" l="1"/>
  <c r="D377" i="6"/>
  <c r="C377" i="6"/>
  <c r="C532" i="12"/>
  <c r="M532" i="12"/>
  <c r="F532" i="12"/>
  <c r="D532" i="12"/>
  <c r="F531" i="14"/>
  <c r="G531" i="14"/>
  <c r="C531" i="14"/>
  <c r="B531" i="14"/>
  <c r="O532" i="12"/>
  <c r="J532" i="12"/>
  <c r="I532" i="12"/>
  <c r="H532" i="12"/>
  <c r="G532" i="12"/>
  <c r="E531" i="14"/>
  <c r="A532" i="14"/>
  <c r="D531" i="14"/>
  <c r="H531" i="14"/>
  <c r="L532" i="12"/>
  <c r="K532" i="12"/>
  <c r="E532" i="12"/>
  <c r="A533" i="12"/>
  <c r="B532" i="12"/>
  <c r="F377" i="6"/>
  <c r="E377" i="6"/>
  <c r="H377" i="6"/>
  <c r="B377" i="6"/>
  <c r="J377" i="6"/>
  <c r="G379" i="5"/>
  <c r="H379" i="5"/>
  <c r="C438" i="10"/>
  <c r="G438" i="10"/>
  <c r="B438" i="10"/>
  <c r="A439" i="10"/>
  <c r="D438" i="10"/>
  <c r="E438" i="10"/>
  <c r="B379" i="5"/>
  <c r="G377" i="6"/>
  <c r="A378" i="6"/>
  <c r="C379" i="5"/>
  <c r="D379" i="5"/>
  <c r="A380" i="5"/>
  <c r="F380" i="5" s="1"/>
  <c r="E379" i="5"/>
  <c r="M533" i="12" l="1"/>
  <c r="F533" i="12"/>
  <c r="D533" i="12"/>
  <c r="C533" i="12"/>
  <c r="G532" i="14"/>
  <c r="F532" i="14"/>
  <c r="I378" i="6"/>
  <c r="C378" i="6"/>
  <c r="D378" i="6"/>
  <c r="C532" i="14"/>
  <c r="B532" i="14"/>
  <c r="O533" i="12"/>
  <c r="G533" i="12"/>
  <c r="J533" i="12"/>
  <c r="I533" i="12"/>
  <c r="H533" i="12"/>
  <c r="H532" i="14"/>
  <c r="E532" i="14"/>
  <c r="D532" i="14"/>
  <c r="A533" i="14"/>
  <c r="B533" i="12"/>
  <c r="K533" i="12"/>
  <c r="A534" i="12"/>
  <c r="E533" i="12"/>
  <c r="L533" i="12"/>
  <c r="F378" i="6"/>
  <c r="E378" i="6"/>
  <c r="H378" i="6"/>
  <c r="B378" i="6"/>
  <c r="J378" i="6"/>
  <c r="C439" i="10"/>
  <c r="G380" i="5"/>
  <c r="H380" i="5"/>
  <c r="A440" i="10"/>
  <c r="D439" i="10"/>
  <c r="G439" i="10"/>
  <c r="E439" i="10"/>
  <c r="B439" i="10"/>
  <c r="B380" i="5"/>
  <c r="G378" i="6"/>
  <c r="A379" i="6"/>
  <c r="C380" i="5"/>
  <c r="A381" i="5"/>
  <c r="F381" i="5" s="1"/>
  <c r="E380" i="5"/>
  <c r="D380" i="5"/>
  <c r="C534" i="12" l="1"/>
  <c r="M534" i="12"/>
  <c r="F534" i="12"/>
  <c r="D534" i="12"/>
  <c r="F533" i="14"/>
  <c r="G533" i="14"/>
  <c r="I379" i="6"/>
  <c r="D379" i="6"/>
  <c r="C379" i="6"/>
  <c r="C533" i="14"/>
  <c r="B533" i="14"/>
  <c r="O534" i="12"/>
  <c r="J534" i="12"/>
  <c r="I534" i="12"/>
  <c r="H534" i="12"/>
  <c r="G534" i="12"/>
  <c r="E533" i="14"/>
  <c r="A534" i="14"/>
  <c r="D533" i="14"/>
  <c r="H533" i="14"/>
  <c r="A535" i="12"/>
  <c r="B534" i="12"/>
  <c r="E534" i="12"/>
  <c r="K534" i="12"/>
  <c r="L534" i="12"/>
  <c r="F379" i="6"/>
  <c r="E379" i="6"/>
  <c r="B379" i="6"/>
  <c r="H379" i="6"/>
  <c r="J379" i="6"/>
  <c r="G381" i="5"/>
  <c r="H381" i="5"/>
  <c r="C440" i="10"/>
  <c r="E440" i="10"/>
  <c r="A441" i="10"/>
  <c r="D440" i="10"/>
  <c r="B440" i="10"/>
  <c r="G440" i="10"/>
  <c r="B381" i="5"/>
  <c r="A380" i="6"/>
  <c r="G379" i="6"/>
  <c r="C381" i="5"/>
  <c r="D381" i="5"/>
  <c r="A382" i="5"/>
  <c r="F382" i="5" s="1"/>
  <c r="E381" i="5"/>
  <c r="D380" i="6" l="1"/>
  <c r="C380" i="6"/>
  <c r="I380" i="6"/>
  <c r="M535" i="12"/>
  <c r="F535" i="12"/>
  <c r="D535" i="12"/>
  <c r="C535" i="12"/>
  <c r="F534" i="14"/>
  <c r="G534" i="14"/>
  <c r="C534" i="14"/>
  <c r="B534" i="14"/>
  <c r="O535" i="12"/>
  <c r="J535" i="12"/>
  <c r="I535" i="12"/>
  <c r="H535" i="12"/>
  <c r="G535" i="12"/>
  <c r="H534" i="14"/>
  <c r="A535" i="14"/>
  <c r="D534" i="14"/>
  <c r="E534" i="14"/>
  <c r="B535" i="12"/>
  <c r="E535" i="12"/>
  <c r="A536" i="12"/>
  <c r="K535" i="12"/>
  <c r="L535" i="12"/>
  <c r="F380" i="6"/>
  <c r="E380" i="6"/>
  <c r="B380" i="6"/>
  <c r="H380" i="6"/>
  <c r="J380" i="6"/>
  <c r="C441" i="10"/>
  <c r="G382" i="5"/>
  <c r="H382" i="5"/>
  <c r="B441" i="10"/>
  <c r="E441" i="10"/>
  <c r="G441" i="10"/>
  <c r="D441" i="10"/>
  <c r="A442" i="10"/>
  <c r="B382" i="5"/>
  <c r="A381" i="6"/>
  <c r="G380" i="6"/>
  <c r="C382" i="5"/>
  <c r="A383" i="5"/>
  <c r="F383" i="5" s="1"/>
  <c r="D382" i="5"/>
  <c r="E382" i="5"/>
  <c r="C536" i="12" l="1"/>
  <c r="M536" i="12"/>
  <c r="F536" i="12"/>
  <c r="D536" i="12"/>
  <c r="D381" i="6"/>
  <c r="I381" i="6"/>
  <c r="C381" i="6"/>
  <c r="G535" i="14"/>
  <c r="F535" i="14"/>
  <c r="C535" i="14"/>
  <c r="B535" i="14"/>
  <c r="O536" i="12"/>
  <c r="J536" i="12"/>
  <c r="I536" i="12"/>
  <c r="H536" i="12"/>
  <c r="G536" i="12"/>
  <c r="E535" i="14"/>
  <c r="A536" i="14"/>
  <c r="D535" i="14"/>
  <c r="H535" i="14"/>
  <c r="L536" i="12"/>
  <c r="A537" i="12"/>
  <c r="E536" i="12"/>
  <c r="B536" i="12"/>
  <c r="K536" i="12"/>
  <c r="F381" i="6"/>
  <c r="E381" i="6"/>
  <c r="H381" i="6"/>
  <c r="B381" i="6"/>
  <c r="J381" i="6"/>
  <c r="G383" i="5"/>
  <c r="H383" i="5"/>
  <c r="C442" i="10"/>
  <c r="G442" i="10"/>
  <c r="B442" i="10"/>
  <c r="A443" i="10"/>
  <c r="D442" i="10"/>
  <c r="E442" i="10"/>
  <c r="B383" i="5"/>
  <c r="A382" i="6"/>
  <c r="G381" i="6"/>
  <c r="C383" i="5"/>
  <c r="D383" i="5"/>
  <c r="A384" i="5"/>
  <c r="F384" i="5" s="1"/>
  <c r="E383" i="5"/>
  <c r="I382" i="6" l="1"/>
  <c r="D382" i="6"/>
  <c r="C382" i="6"/>
  <c r="F536" i="14"/>
  <c r="G536" i="14"/>
  <c r="M537" i="12"/>
  <c r="F537" i="12"/>
  <c r="D537" i="12"/>
  <c r="C537" i="12"/>
  <c r="C536" i="14"/>
  <c r="B536" i="14"/>
  <c r="O537" i="12"/>
  <c r="J537" i="12"/>
  <c r="G537" i="12"/>
  <c r="H537" i="12"/>
  <c r="I537" i="12"/>
  <c r="H536" i="14"/>
  <c r="E536" i="14"/>
  <c r="D536" i="14"/>
  <c r="A537" i="14"/>
  <c r="B537" i="12"/>
  <c r="K537" i="12"/>
  <c r="E537" i="12"/>
  <c r="L537" i="12"/>
  <c r="A538" i="12"/>
  <c r="F382" i="6"/>
  <c r="E382" i="6"/>
  <c r="H382" i="6"/>
  <c r="B382" i="6"/>
  <c r="J382" i="6"/>
  <c r="C443" i="10"/>
  <c r="G384" i="5"/>
  <c r="H384" i="5"/>
  <c r="A444" i="10"/>
  <c r="D443" i="10"/>
  <c r="G443" i="10"/>
  <c r="E443" i="10"/>
  <c r="B443" i="10"/>
  <c r="B384" i="5"/>
  <c r="A383" i="6"/>
  <c r="G382" i="6"/>
  <c r="C384" i="5"/>
  <c r="E384" i="5"/>
  <c r="A385" i="5"/>
  <c r="F385" i="5" s="1"/>
  <c r="D384" i="5"/>
  <c r="C383" i="6" l="1"/>
  <c r="I383" i="6"/>
  <c r="D383" i="6"/>
  <c r="F537" i="14"/>
  <c r="G537" i="14"/>
  <c r="C538" i="12"/>
  <c r="M538" i="12"/>
  <c r="F538" i="12"/>
  <c r="D538" i="12"/>
  <c r="C537" i="14"/>
  <c r="B537" i="14"/>
  <c r="O538" i="12"/>
  <c r="J538" i="12"/>
  <c r="I538" i="12"/>
  <c r="H538" i="12"/>
  <c r="G538" i="12"/>
  <c r="E537" i="14"/>
  <c r="A538" i="14"/>
  <c r="D537" i="14"/>
  <c r="H537" i="14"/>
  <c r="B538" i="12"/>
  <c r="L538" i="12"/>
  <c r="A539" i="12"/>
  <c r="E538" i="12"/>
  <c r="K538" i="12"/>
  <c r="F383" i="6"/>
  <c r="E383" i="6"/>
  <c r="B383" i="6"/>
  <c r="H383" i="6"/>
  <c r="J383" i="6"/>
  <c r="G385" i="5"/>
  <c r="H385" i="5"/>
  <c r="C444" i="10"/>
  <c r="E444" i="10"/>
  <c r="A445" i="10"/>
  <c r="D444" i="10"/>
  <c r="B444" i="10"/>
  <c r="G444" i="10"/>
  <c r="B385" i="5"/>
  <c r="A384" i="6"/>
  <c r="G383" i="6"/>
  <c r="C385" i="5"/>
  <c r="A386" i="5"/>
  <c r="F386" i="5" s="1"/>
  <c r="E385" i="5"/>
  <c r="D385" i="5"/>
  <c r="I384" i="6" l="1"/>
  <c r="C384" i="6"/>
  <c r="D384" i="6"/>
  <c r="M539" i="12"/>
  <c r="F539" i="12"/>
  <c r="D539" i="12"/>
  <c r="C539" i="12"/>
  <c r="F538" i="14"/>
  <c r="G538" i="14"/>
  <c r="C538" i="14"/>
  <c r="B538" i="14"/>
  <c r="O539" i="12"/>
  <c r="J539" i="12"/>
  <c r="I539" i="12"/>
  <c r="H539" i="12"/>
  <c r="G539" i="12"/>
  <c r="H538" i="14"/>
  <c r="A539" i="14"/>
  <c r="D538" i="14"/>
  <c r="E538" i="14"/>
  <c r="B539" i="12"/>
  <c r="A540" i="12"/>
  <c r="K539" i="12"/>
  <c r="L539" i="12"/>
  <c r="E539" i="12"/>
  <c r="F384" i="6"/>
  <c r="E384" i="6"/>
  <c r="B384" i="6"/>
  <c r="H384" i="6"/>
  <c r="J384" i="6"/>
  <c r="G386" i="5"/>
  <c r="H386" i="5"/>
  <c r="C445" i="10"/>
  <c r="B445" i="10"/>
  <c r="E445" i="10"/>
  <c r="G445" i="10"/>
  <c r="D445" i="10"/>
  <c r="A446" i="10"/>
  <c r="B386" i="5"/>
  <c r="A385" i="6"/>
  <c r="G384" i="6"/>
  <c r="C386" i="5"/>
  <c r="A387" i="5"/>
  <c r="F387" i="5" s="1"/>
  <c r="D386" i="5"/>
  <c r="E386" i="5"/>
  <c r="C540" i="12" l="1"/>
  <c r="M540" i="12"/>
  <c r="F540" i="12"/>
  <c r="D540" i="12"/>
  <c r="I385" i="6"/>
  <c r="D385" i="6"/>
  <c r="C385" i="6"/>
  <c r="F539" i="14"/>
  <c r="G539" i="14"/>
  <c r="C539" i="14"/>
  <c r="B539" i="14"/>
  <c r="O540" i="12"/>
  <c r="J540" i="12"/>
  <c r="I540" i="12"/>
  <c r="H540" i="12"/>
  <c r="G540" i="12"/>
  <c r="E539" i="14"/>
  <c r="A540" i="14"/>
  <c r="D539" i="14"/>
  <c r="H539" i="14"/>
  <c r="L540" i="12"/>
  <c r="B540" i="12"/>
  <c r="A541" i="12"/>
  <c r="E540" i="12"/>
  <c r="K540" i="12"/>
  <c r="F385" i="6"/>
  <c r="E385" i="6"/>
  <c r="H385" i="6"/>
  <c r="B385" i="6"/>
  <c r="J385" i="6"/>
  <c r="G387" i="5"/>
  <c r="H387" i="5"/>
  <c r="C446" i="10"/>
  <c r="G446" i="10"/>
  <c r="B446" i="10"/>
  <c r="A447" i="10"/>
  <c r="D446" i="10"/>
  <c r="E446" i="10"/>
  <c r="B387" i="5"/>
  <c r="G385" i="6"/>
  <c r="A386" i="6"/>
  <c r="C387" i="5"/>
  <c r="A388" i="5"/>
  <c r="F388" i="5" s="1"/>
  <c r="D387" i="5"/>
  <c r="E387" i="5"/>
  <c r="M541" i="12" l="1"/>
  <c r="F541" i="12"/>
  <c r="D541" i="12"/>
  <c r="C541" i="12"/>
  <c r="G540" i="14"/>
  <c r="F540" i="14"/>
  <c r="I386" i="6"/>
  <c r="D386" i="6"/>
  <c r="C386" i="6"/>
  <c r="C540" i="14"/>
  <c r="B540" i="14"/>
  <c r="O541" i="12"/>
  <c r="G541" i="12"/>
  <c r="I541" i="12"/>
  <c r="H541" i="12"/>
  <c r="J541" i="12"/>
  <c r="H540" i="14"/>
  <c r="E540" i="14"/>
  <c r="A541" i="14"/>
  <c r="D540" i="14"/>
  <c r="B541" i="12"/>
  <c r="K541" i="12"/>
  <c r="A542" i="12"/>
  <c r="E541" i="12"/>
  <c r="L541" i="12"/>
  <c r="F386" i="6"/>
  <c r="E386" i="6"/>
  <c r="H386" i="6"/>
  <c r="B386" i="6"/>
  <c r="J386" i="6"/>
  <c r="C447" i="10"/>
  <c r="G388" i="5"/>
  <c r="H388" i="5"/>
  <c r="A448" i="10"/>
  <c r="D447" i="10"/>
  <c r="G447" i="10"/>
  <c r="E447" i="10"/>
  <c r="B447" i="10"/>
  <c r="B388" i="5"/>
  <c r="G386" i="6"/>
  <c r="A387" i="6"/>
  <c r="C388" i="5"/>
  <c r="D388" i="5"/>
  <c r="A389" i="5"/>
  <c r="F389" i="5" s="1"/>
  <c r="E388" i="5"/>
  <c r="C542" i="12" l="1"/>
  <c r="M542" i="12"/>
  <c r="F542" i="12"/>
  <c r="D542" i="12"/>
  <c r="F541" i="14"/>
  <c r="G541" i="14"/>
  <c r="I387" i="6"/>
  <c r="D387" i="6"/>
  <c r="C387" i="6"/>
  <c r="C541" i="14"/>
  <c r="B541" i="14"/>
  <c r="O542" i="12"/>
  <c r="I542" i="12"/>
  <c r="H542" i="12"/>
  <c r="J542" i="12"/>
  <c r="G542" i="12"/>
  <c r="E541" i="14"/>
  <c r="A542" i="14"/>
  <c r="D541" i="14"/>
  <c r="H541" i="14"/>
  <c r="K542" i="12"/>
  <c r="L542" i="12"/>
  <c r="A543" i="12"/>
  <c r="B542" i="12"/>
  <c r="E542" i="12"/>
  <c r="F387" i="6"/>
  <c r="E387" i="6"/>
  <c r="B387" i="6"/>
  <c r="H387" i="6"/>
  <c r="J387" i="6"/>
  <c r="G389" i="5"/>
  <c r="H389" i="5"/>
  <c r="C448" i="10"/>
  <c r="E448" i="10"/>
  <c r="A449" i="10"/>
  <c r="D448" i="10"/>
  <c r="B448" i="10"/>
  <c r="G448" i="10"/>
  <c r="B389" i="5"/>
  <c r="A388" i="6"/>
  <c r="G387" i="6"/>
  <c r="C389" i="5"/>
  <c r="E389" i="5"/>
  <c r="D389" i="5"/>
  <c r="A390" i="5"/>
  <c r="F390" i="5" s="1"/>
  <c r="M543" i="12" l="1"/>
  <c r="F543" i="12"/>
  <c r="D543" i="12"/>
  <c r="C543" i="12"/>
  <c r="D388" i="6"/>
  <c r="C388" i="6"/>
  <c r="I388" i="6"/>
  <c r="F542" i="14"/>
  <c r="G542" i="14"/>
  <c r="C542" i="14"/>
  <c r="B542" i="14"/>
  <c r="O543" i="12"/>
  <c r="J543" i="12"/>
  <c r="I543" i="12"/>
  <c r="H543" i="12"/>
  <c r="G543" i="12"/>
  <c r="H542" i="14"/>
  <c r="A543" i="14"/>
  <c r="D542" i="14"/>
  <c r="E542" i="14"/>
  <c r="B543" i="12"/>
  <c r="A544" i="12"/>
  <c r="K543" i="12"/>
  <c r="E543" i="12"/>
  <c r="L543" i="12"/>
  <c r="F388" i="6"/>
  <c r="E388" i="6"/>
  <c r="B388" i="6"/>
  <c r="H388" i="6"/>
  <c r="J388" i="6"/>
  <c r="G390" i="5"/>
  <c r="H390" i="5"/>
  <c r="C449" i="10"/>
  <c r="B449" i="10"/>
  <c r="E449" i="10"/>
  <c r="G449" i="10"/>
  <c r="A450" i="10"/>
  <c r="D449" i="10"/>
  <c r="B390" i="5"/>
  <c r="A389" i="6"/>
  <c r="G388" i="6"/>
  <c r="C390" i="5"/>
  <c r="D390" i="5"/>
  <c r="A391" i="5"/>
  <c r="F391" i="5" s="1"/>
  <c r="E390" i="5"/>
  <c r="D389" i="6" l="1"/>
  <c r="I389" i="6"/>
  <c r="C389" i="6"/>
  <c r="C544" i="12"/>
  <c r="M544" i="12"/>
  <c r="F544" i="12"/>
  <c r="D544" i="12"/>
  <c r="G543" i="14"/>
  <c r="F543" i="14"/>
  <c r="C543" i="14"/>
  <c r="B543" i="14"/>
  <c r="O544" i="12"/>
  <c r="J544" i="12"/>
  <c r="I544" i="12"/>
  <c r="H544" i="12"/>
  <c r="G544" i="12"/>
  <c r="E543" i="14"/>
  <c r="A544" i="14"/>
  <c r="D543" i="14"/>
  <c r="H543" i="14"/>
  <c r="L544" i="12"/>
  <c r="K544" i="12"/>
  <c r="A545" i="12"/>
  <c r="E544" i="12"/>
  <c r="B544" i="12"/>
  <c r="F389" i="6"/>
  <c r="E389" i="6"/>
  <c r="H389" i="6"/>
  <c r="B389" i="6"/>
  <c r="J389" i="6"/>
  <c r="C450" i="10"/>
  <c r="G391" i="5"/>
  <c r="H391" i="5"/>
  <c r="G450" i="10"/>
  <c r="B450" i="10"/>
  <c r="A451" i="10"/>
  <c r="D450" i="10"/>
  <c r="E450" i="10"/>
  <c r="B391" i="5"/>
  <c r="A390" i="6"/>
  <c r="G389" i="6"/>
  <c r="C391" i="5"/>
  <c r="A392" i="5"/>
  <c r="F392" i="5" s="1"/>
  <c r="D391" i="5"/>
  <c r="E391" i="5"/>
  <c r="M545" i="12" l="1"/>
  <c r="F545" i="12"/>
  <c r="D545" i="12"/>
  <c r="C545" i="12"/>
  <c r="I390" i="6"/>
  <c r="D390" i="6"/>
  <c r="C390" i="6"/>
  <c r="F544" i="14"/>
  <c r="G544" i="14"/>
  <c r="C544" i="14"/>
  <c r="B544" i="14"/>
  <c r="O545" i="12"/>
  <c r="J545" i="12"/>
  <c r="G545" i="12"/>
  <c r="H545" i="12"/>
  <c r="I545" i="12"/>
  <c r="H544" i="14"/>
  <c r="E544" i="14"/>
  <c r="D544" i="14"/>
  <c r="A545" i="14"/>
  <c r="K545" i="12"/>
  <c r="B545" i="12"/>
  <c r="E545" i="12"/>
  <c r="L545" i="12"/>
  <c r="A546" i="12"/>
  <c r="F390" i="6"/>
  <c r="E390" i="6"/>
  <c r="H390" i="6"/>
  <c r="B390" i="6"/>
  <c r="J390" i="6"/>
  <c r="G392" i="5"/>
  <c r="H392" i="5"/>
  <c r="C451" i="10"/>
  <c r="A452" i="10"/>
  <c r="D451" i="10"/>
  <c r="G451" i="10"/>
  <c r="E451" i="10"/>
  <c r="B451" i="10"/>
  <c r="B392" i="5"/>
  <c r="A391" i="6"/>
  <c r="G390" i="6"/>
  <c r="C392" i="5"/>
  <c r="E392" i="5"/>
  <c r="A393" i="5"/>
  <c r="F393" i="5" s="1"/>
  <c r="D392" i="5"/>
  <c r="C391" i="6" l="1"/>
  <c r="I391" i="6"/>
  <c r="D391" i="6"/>
  <c r="G545" i="14"/>
  <c r="F545" i="14"/>
  <c r="C546" i="12"/>
  <c r="M546" i="12"/>
  <c r="F546" i="12"/>
  <c r="D546" i="12"/>
  <c r="C545" i="14"/>
  <c r="B545" i="14"/>
  <c r="O546" i="12"/>
  <c r="J546" i="12"/>
  <c r="H546" i="12"/>
  <c r="I546" i="12"/>
  <c r="G546" i="12"/>
  <c r="E545" i="14"/>
  <c r="A546" i="14"/>
  <c r="D545" i="14"/>
  <c r="H545" i="14"/>
  <c r="B546" i="12"/>
  <c r="A547" i="12"/>
  <c r="E546" i="12"/>
  <c r="K546" i="12"/>
  <c r="L546" i="12"/>
  <c r="F391" i="6"/>
  <c r="E391" i="6"/>
  <c r="B391" i="6"/>
  <c r="H391" i="6"/>
  <c r="J391" i="6"/>
  <c r="G393" i="5"/>
  <c r="H393" i="5"/>
  <c r="C452" i="10"/>
  <c r="E452" i="10"/>
  <c r="A453" i="10"/>
  <c r="D452" i="10"/>
  <c r="B452" i="10"/>
  <c r="G452" i="10"/>
  <c r="B393" i="5"/>
  <c r="A392" i="6"/>
  <c r="G391" i="6"/>
  <c r="C393" i="5"/>
  <c r="D393" i="5"/>
  <c r="A394" i="5"/>
  <c r="F394" i="5" s="1"/>
  <c r="E393" i="5"/>
  <c r="I392" i="6" l="1"/>
  <c r="C392" i="6"/>
  <c r="D392" i="6"/>
  <c r="M547" i="12"/>
  <c r="F547" i="12"/>
  <c r="D547" i="12"/>
  <c r="C547" i="12"/>
  <c r="F546" i="14"/>
  <c r="G546" i="14"/>
  <c r="C546" i="14"/>
  <c r="B546" i="14"/>
  <c r="O547" i="12"/>
  <c r="J547" i="12"/>
  <c r="I547" i="12"/>
  <c r="H547" i="12"/>
  <c r="G547" i="12"/>
  <c r="H546" i="14"/>
  <c r="A547" i="14"/>
  <c r="E546" i="14"/>
  <c r="D546" i="14"/>
  <c r="B547" i="12"/>
  <c r="E547" i="12"/>
  <c r="A548" i="12"/>
  <c r="K547" i="12"/>
  <c r="L547" i="12"/>
  <c r="F392" i="6"/>
  <c r="E392" i="6"/>
  <c r="B392" i="6"/>
  <c r="H392" i="6"/>
  <c r="J392" i="6"/>
  <c r="C453" i="10"/>
  <c r="G394" i="5"/>
  <c r="H394" i="5"/>
  <c r="B453" i="10"/>
  <c r="E453" i="10"/>
  <c r="G453" i="10"/>
  <c r="A454" i="10"/>
  <c r="D453" i="10"/>
  <c r="B394" i="5"/>
  <c r="A393" i="6"/>
  <c r="G392" i="6"/>
  <c r="C394" i="5"/>
  <c r="D394" i="5"/>
  <c r="A395" i="5"/>
  <c r="F395" i="5" s="1"/>
  <c r="E394" i="5"/>
  <c r="C548" i="12" l="1"/>
  <c r="M548" i="12"/>
  <c r="F548" i="12"/>
  <c r="D548" i="12"/>
  <c r="I393" i="6"/>
  <c r="D393" i="6"/>
  <c r="C393" i="6"/>
  <c r="G547" i="14"/>
  <c r="F547" i="14"/>
  <c r="C547" i="14"/>
  <c r="B547" i="14"/>
  <c r="O548" i="12"/>
  <c r="J548" i="12"/>
  <c r="I548" i="12"/>
  <c r="H548" i="12"/>
  <c r="G548" i="12"/>
  <c r="E547" i="14"/>
  <c r="A548" i="14"/>
  <c r="D547" i="14"/>
  <c r="H547" i="14"/>
  <c r="L548" i="12"/>
  <c r="K548" i="12"/>
  <c r="B548" i="12"/>
  <c r="A549" i="12"/>
  <c r="E548" i="12"/>
  <c r="F393" i="6"/>
  <c r="E393" i="6"/>
  <c r="H393" i="6"/>
  <c r="B393" i="6"/>
  <c r="J393" i="6"/>
  <c r="C454" i="10"/>
  <c r="G395" i="5"/>
  <c r="H395" i="5"/>
  <c r="G454" i="10"/>
  <c r="B454" i="10"/>
  <c r="A455" i="10"/>
  <c r="D454" i="10"/>
  <c r="E454" i="10"/>
  <c r="B395" i="5"/>
  <c r="G393" i="6"/>
  <c r="A394" i="6"/>
  <c r="C395" i="5"/>
  <c r="E395" i="5"/>
  <c r="A396" i="5"/>
  <c r="F396" i="5" s="1"/>
  <c r="D395" i="5"/>
  <c r="M549" i="12" l="1"/>
  <c r="F549" i="12"/>
  <c r="D549" i="12"/>
  <c r="C549" i="12"/>
  <c r="F548" i="14"/>
  <c r="G548" i="14"/>
  <c r="I394" i="6"/>
  <c r="D394" i="6"/>
  <c r="C394" i="6"/>
  <c r="C548" i="14"/>
  <c r="B548" i="14"/>
  <c r="O549" i="12"/>
  <c r="G549" i="12"/>
  <c r="J549" i="12"/>
  <c r="I549" i="12"/>
  <c r="H549" i="12"/>
  <c r="H548" i="14"/>
  <c r="E548" i="14"/>
  <c r="D548" i="14"/>
  <c r="A549" i="14"/>
  <c r="B549" i="12"/>
  <c r="E549" i="12"/>
  <c r="K549" i="12"/>
  <c r="A550" i="12"/>
  <c r="L549" i="12"/>
  <c r="F394" i="6"/>
  <c r="E394" i="6"/>
  <c r="H394" i="6"/>
  <c r="B394" i="6"/>
  <c r="J394" i="6"/>
  <c r="C455" i="10"/>
  <c r="G396" i="5"/>
  <c r="H396" i="5"/>
  <c r="A456" i="10"/>
  <c r="D455" i="10"/>
  <c r="G455" i="10"/>
  <c r="E455" i="10"/>
  <c r="B455" i="10"/>
  <c r="B396" i="5"/>
  <c r="G394" i="6"/>
  <c r="A395" i="6"/>
  <c r="C396" i="5"/>
  <c r="E396" i="5"/>
  <c r="A397" i="5"/>
  <c r="F397" i="5" s="1"/>
  <c r="D396" i="5"/>
  <c r="F549" i="14" l="1"/>
  <c r="G549" i="14"/>
  <c r="C550" i="12"/>
  <c r="M550" i="12"/>
  <c r="F550" i="12"/>
  <c r="D550" i="12"/>
  <c r="I395" i="6"/>
  <c r="D395" i="6"/>
  <c r="C395" i="6"/>
  <c r="C549" i="14"/>
  <c r="B549" i="14"/>
  <c r="O550" i="12"/>
  <c r="J550" i="12"/>
  <c r="I550" i="12"/>
  <c r="H550" i="12"/>
  <c r="G550" i="12"/>
  <c r="E549" i="14"/>
  <c r="A550" i="14"/>
  <c r="D549" i="14"/>
  <c r="H549" i="14"/>
  <c r="B550" i="12"/>
  <c r="A551" i="12"/>
  <c r="E550" i="12"/>
  <c r="K550" i="12"/>
  <c r="L550" i="12"/>
  <c r="F395" i="6"/>
  <c r="E395" i="6"/>
  <c r="B395" i="6"/>
  <c r="H395" i="6"/>
  <c r="J395" i="6"/>
  <c r="G397" i="5"/>
  <c r="H397" i="5"/>
  <c r="C456" i="10"/>
  <c r="E456" i="10"/>
  <c r="A457" i="10"/>
  <c r="D456" i="10"/>
  <c r="B456" i="10"/>
  <c r="G456" i="10"/>
  <c r="B397" i="5"/>
  <c r="A396" i="6"/>
  <c r="G395" i="6"/>
  <c r="C397" i="5"/>
  <c r="E397" i="5"/>
  <c r="A398" i="5"/>
  <c r="F398" i="5" s="1"/>
  <c r="D397" i="5"/>
  <c r="D396" i="6" l="1"/>
  <c r="C396" i="6"/>
  <c r="I396" i="6"/>
  <c r="M551" i="12"/>
  <c r="F551" i="12"/>
  <c r="D551" i="12"/>
  <c r="C551" i="12"/>
  <c r="F550" i="14"/>
  <c r="G550" i="14"/>
  <c r="C550" i="14"/>
  <c r="B550" i="14"/>
  <c r="O551" i="12"/>
  <c r="J551" i="12"/>
  <c r="I551" i="12"/>
  <c r="H551" i="12"/>
  <c r="G551" i="12"/>
  <c r="H550" i="14"/>
  <c r="E550" i="14"/>
  <c r="D550" i="14"/>
  <c r="A551" i="14"/>
  <c r="B551" i="12"/>
  <c r="A552" i="12"/>
  <c r="E551" i="12"/>
  <c r="L551" i="12"/>
  <c r="K551" i="12"/>
  <c r="F396" i="6"/>
  <c r="E396" i="6"/>
  <c r="B396" i="6"/>
  <c r="H396" i="6"/>
  <c r="J396" i="6"/>
  <c r="C457" i="10"/>
  <c r="G398" i="5"/>
  <c r="H398" i="5"/>
  <c r="B457" i="10"/>
  <c r="E457" i="10"/>
  <c r="G457" i="10"/>
  <c r="D457" i="10"/>
  <c r="A458" i="10"/>
  <c r="B398" i="5"/>
  <c r="A397" i="6"/>
  <c r="G396" i="6"/>
  <c r="C398" i="5"/>
  <c r="A399" i="5"/>
  <c r="F399" i="5" s="1"/>
  <c r="D398" i="5"/>
  <c r="E398" i="5"/>
  <c r="C552" i="12" l="1"/>
  <c r="M552" i="12"/>
  <c r="D552" i="12"/>
  <c r="F552" i="12"/>
  <c r="D397" i="6"/>
  <c r="I397" i="6"/>
  <c r="C397" i="6"/>
  <c r="G551" i="14"/>
  <c r="F551" i="14"/>
  <c r="C551" i="14"/>
  <c r="B551" i="14"/>
  <c r="O552" i="12"/>
  <c r="J552" i="12"/>
  <c r="I552" i="12"/>
  <c r="H552" i="12"/>
  <c r="G552" i="12"/>
  <c r="E551" i="14"/>
  <c r="A552" i="14"/>
  <c r="D551" i="14"/>
  <c r="H551" i="14"/>
  <c r="L552" i="12"/>
  <c r="A553" i="12"/>
  <c r="E552" i="12"/>
  <c r="K552" i="12"/>
  <c r="B552" i="12"/>
  <c r="F397" i="6"/>
  <c r="E397" i="6"/>
  <c r="H397" i="6"/>
  <c r="B397" i="6"/>
  <c r="J397" i="6"/>
  <c r="G399" i="5"/>
  <c r="H399" i="5"/>
  <c r="C458" i="10"/>
  <c r="G458" i="10"/>
  <c r="B458" i="10"/>
  <c r="A459" i="10"/>
  <c r="D458" i="10"/>
  <c r="E458" i="10"/>
  <c r="B399" i="5"/>
  <c r="A398" i="6"/>
  <c r="G397" i="6"/>
  <c r="C399" i="5"/>
  <c r="D399" i="5"/>
  <c r="A400" i="5"/>
  <c r="F400" i="5" s="1"/>
  <c r="E399" i="5"/>
  <c r="I398" i="6" l="1"/>
  <c r="D398" i="6"/>
  <c r="C398" i="6"/>
  <c r="M553" i="12"/>
  <c r="F553" i="12"/>
  <c r="D553" i="12"/>
  <c r="C553" i="12"/>
  <c r="G552" i="14"/>
  <c r="F552" i="14"/>
  <c r="C552" i="14"/>
  <c r="B552" i="14"/>
  <c r="O553" i="12"/>
  <c r="J553" i="12"/>
  <c r="G553" i="12"/>
  <c r="I553" i="12"/>
  <c r="H553" i="12"/>
  <c r="H552" i="14"/>
  <c r="E552" i="14"/>
  <c r="A553" i="14"/>
  <c r="D552" i="14"/>
  <c r="B553" i="12"/>
  <c r="K553" i="12"/>
  <c r="E553" i="12"/>
  <c r="L553" i="12"/>
  <c r="A554" i="12"/>
  <c r="F398" i="6"/>
  <c r="E398" i="6"/>
  <c r="H398" i="6"/>
  <c r="B398" i="6"/>
  <c r="J398" i="6"/>
  <c r="C459" i="10"/>
  <c r="G400" i="5"/>
  <c r="H400" i="5"/>
  <c r="A460" i="10"/>
  <c r="D459" i="10"/>
  <c r="G459" i="10"/>
  <c r="E459" i="10"/>
  <c r="B459" i="10"/>
  <c r="B400" i="5"/>
  <c r="A399" i="6"/>
  <c r="G398" i="6"/>
  <c r="C400" i="5"/>
  <c r="A401" i="5"/>
  <c r="F401" i="5" s="1"/>
  <c r="E400" i="5"/>
  <c r="D400" i="5"/>
  <c r="C399" i="6" l="1"/>
  <c r="D399" i="6"/>
  <c r="I399" i="6"/>
  <c r="G553" i="14"/>
  <c r="F553" i="14"/>
  <c r="C554" i="12"/>
  <c r="M554" i="12"/>
  <c r="F554" i="12"/>
  <c r="D554" i="12"/>
  <c r="C553" i="14"/>
  <c r="B553" i="14"/>
  <c r="O554" i="12"/>
  <c r="J554" i="12"/>
  <c r="I554" i="12"/>
  <c r="G554" i="12"/>
  <c r="H554" i="12"/>
  <c r="E553" i="14"/>
  <c r="A554" i="14"/>
  <c r="D553" i="14"/>
  <c r="H553" i="14"/>
  <c r="K554" i="12"/>
  <c r="L554" i="12"/>
  <c r="A555" i="12"/>
  <c r="B554" i="12"/>
  <c r="E554" i="12"/>
  <c r="E399" i="6"/>
  <c r="F399" i="6"/>
  <c r="B399" i="6"/>
  <c r="H399" i="6"/>
  <c r="J399" i="6"/>
  <c r="G401" i="5"/>
  <c r="H401" i="5"/>
  <c r="C460" i="10"/>
  <c r="E460" i="10"/>
  <c r="A461" i="10"/>
  <c r="D460" i="10"/>
  <c r="B460" i="10"/>
  <c r="G460" i="10"/>
  <c r="B401" i="5"/>
  <c r="A400" i="6"/>
  <c r="G399" i="6"/>
  <c r="C401" i="5"/>
  <c r="A402" i="5"/>
  <c r="F402" i="5" s="1"/>
  <c r="E401" i="5"/>
  <c r="D401" i="5"/>
  <c r="I400" i="6" l="1"/>
  <c r="C400" i="6"/>
  <c r="D400" i="6"/>
  <c r="M555" i="12"/>
  <c r="F555" i="12"/>
  <c r="D555" i="12"/>
  <c r="C555" i="12"/>
  <c r="F554" i="14"/>
  <c r="G554" i="14"/>
  <c r="C554" i="14"/>
  <c r="B554" i="14"/>
  <c r="J555" i="12"/>
  <c r="I555" i="12"/>
  <c r="H555" i="12"/>
  <c r="O555" i="12"/>
  <c r="G555" i="12"/>
  <c r="H554" i="14"/>
  <c r="D554" i="14"/>
  <c r="E554" i="14"/>
  <c r="A555" i="14"/>
  <c r="B555" i="12"/>
  <c r="A556" i="12"/>
  <c r="K555" i="12"/>
  <c r="E555" i="12"/>
  <c r="L555" i="12"/>
  <c r="F400" i="6"/>
  <c r="E400" i="6"/>
  <c r="B400" i="6"/>
  <c r="H400" i="6"/>
  <c r="J400" i="6"/>
  <c r="G402" i="5"/>
  <c r="H402" i="5"/>
  <c r="C461" i="10"/>
  <c r="B461" i="10"/>
  <c r="E461" i="10"/>
  <c r="G461" i="10"/>
  <c r="D461" i="10"/>
  <c r="A462" i="10"/>
  <c r="B402" i="5"/>
  <c r="A401" i="6"/>
  <c r="G400" i="6"/>
  <c r="C402" i="5"/>
  <c r="E402" i="5"/>
  <c r="A403" i="5"/>
  <c r="F403" i="5" s="1"/>
  <c r="D402" i="5"/>
  <c r="C556" i="12" l="1"/>
  <c r="M556" i="12"/>
  <c r="F556" i="12"/>
  <c r="D556" i="12"/>
  <c r="I401" i="6"/>
  <c r="D401" i="6"/>
  <c r="C401" i="6"/>
  <c r="G555" i="14"/>
  <c r="F555" i="14"/>
  <c r="C555" i="14"/>
  <c r="B555" i="14"/>
  <c r="O556" i="12"/>
  <c r="J556" i="12"/>
  <c r="I556" i="12"/>
  <c r="H556" i="12"/>
  <c r="G556" i="12"/>
  <c r="E555" i="14"/>
  <c r="A556" i="14"/>
  <c r="D555" i="14"/>
  <c r="H555" i="14"/>
  <c r="L556" i="12"/>
  <c r="A557" i="12"/>
  <c r="K556" i="12"/>
  <c r="B556" i="12"/>
  <c r="E556" i="12"/>
  <c r="F401" i="6"/>
  <c r="E401" i="6"/>
  <c r="H401" i="6"/>
  <c r="B401" i="6"/>
  <c r="J401" i="6"/>
  <c r="G403" i="5"/>
  <c r="H403" i="5"/>
  <c r="C462" i="10"/>
  <c r="G462" i="10"/>
  <c r="B462" i="10"/>
  <c r="A463" i="10"/>
  <c r="D462" i="10"/>
  <c r="E462" i="10"/>
  <c r="B403" i="5"/>
  <c r="G401" i="6"/>
  <c r="A402" i="6"/>
  <c r="C403" i="5"/>
  <c r="A404" i="5"/>
  <c r="F404" i="5" s="1"/>
  <c r="D403" i="5"/>
  <c r="E403" i="5"/>
  <c r="M557" i="12" l="1"/>
  <c r="F557" i="12"/>
  <c r="D557" i="12"/>
  <c r="C557" i="12"/>
  <c r="G556" i="14"/>
  <c r="F556" i="14"/>
  <c r="I402" i="6"/>
  <c r="C402" i="6"/>
  <c r="D402" i="6"/>
  <c r="C556" i="14"/>
  <c r="B556" i="14"/>
  <c r="O557" i="12"/>
  <c r="G557" i="12"/>
  <c r="I557" i="12"/>
  <c r="H557" i="12"/>
  <c r="J557" i="12"/>
  <c r="H556" i="14"/>
  <c r="E556" i="14"/>
  <c r="A557" i="14"/>
  <c r="D556" i="14"/>
  <c r="B557" i="12"/>
  <c r="A558" i="12"/>
  <c r="K557" i="12"/>
  <c r="E557" i="12"/>
  <c r="L557" i="12"/>
  <c r="F402" i="6"/>
  <c r="E402" i="6"/>
  <c r="H402" i="6"/>
  <c r="B402" i="6"/>
  <c r="J402" i="6"/>
  <c r="G404" i="5"/>
  <c r="H404" i="5"/>
  <c r="C463" i="10"/>
  <c r="A464" i="10"/>
  <c r="D463" i="10"/>
  <c r="G463" i="10"/>
  <c r="E463" i="10"/>
  <c r="B463" i="10"/>
  <c r="B404" i="5"/>
  <c r="G402" i="6"/>
  <c r="A403" i="6"/>
  <c r="C404" i="5"/>
  <c r="D404" i="5"/>
  <c r="A405" i="5"/>
  <c r="F405" i="5" s="1"/>
  <c r="E404" i="5"/>
  <c r="C558" i="12" l="1"/>
  <c r="M558" i="12"/>
  <c r="F558" i="12"/>
  <c r="D558" i="12"/>
  <c r="F557" i="14"/>
  <c r="G557" i="14"/>
  <c r="I403" i="6"/>
  <c r="D403" i="6"/>
  <c r="C403" i="6"/>
  <c r="C557" i="14"/>
  <c r="B557" i="14"/>
  <c r="O558" i="12"/>
  <c r="I558" i="12"/>
  <c r="H558" i="12"/>
  <c r="J558" i="12"/>
  <c r="G558" i="12"/>
  <c r="E557" i="14"/>
  <c r="A558" i="14"/>
  <c r="D557" i="14"/>
  <c r="H557" i="14"/>
  <c r="L558" i="12"/>
  <c r="E558" i="12"/>
  <c r="A559" i="12"/>
  <c r="K558" i="12"/>
  <c r="B558" i="12"/>
  <c r="F403" i="6"/>
  <c r="E403" i="6"/>
  <c r="B403" i="6"/>
  <c r="H403" i="6"/>
  <c r="J403" i="6"/>
  <c r="G405" i="5"/>
  <c r="H405" i="5"/>
  <c r="C464" i="10"/>
  <c r="E464" i="10"/>
  <c r="A465" i="10"/>
  <c r="D464" i="10"/>
  <c r="B464" i="10"/>
  <c r="G464" i="10"/>
  <c r="B405" i="5"/>
  <c r="A404" i="6"/>
  <c r="G403" i="6"/>
  <c r="C405" i="5"/>
  <c r="E405" i="5"/>
  <c r="A406" i="5"/>
  <c r="F406" i="5" s="1"/>
  <c r="D405" i="5"/>
  <c r="M559" i="12" l="1"/>
  <c r="F559" i="12"/>
  <c r="D559" i="12"/>
  <c r="C559" i="12"/>
  <c r="D404" i="6"/>
  <c r="C404" i="6"/>
  <c r="I404" i="6"/>
  <c r="F558" i="14"/>
  <c r="G558" i="14"/>
  <c r="C558" i="14"/>
  <c r="B558" i="14"/>
  <c r="J559" i="12"/>
  <c r="I559" i="12"/>
  <c r="H559" i="12"/>
  <c r="O559" i="12"/>
  <c r="G559" i="12"/>
  <c r="H558" i="14"/>
  <c r="A559" i="14"/>
  <c r="E558" i="14"/>
  <c r="D558" i="14"/>
  <c r="B559" i="12"/>
  <c r="E559" i="12"/>
  <c r="K559" i="12"/>
  <c r="A560" i="12"/>
  <c r="L559" i="12"/>
  <c r="F404" i="6"/>
  <c r="E404" i="6"/>
  <c r="B404" i="6"/>
  <c r="H404" i="6"/>
  <c r="J404" i="6"/>
  <c r="C465" i="10"/>
  <c r="G406" i="5"/>
  <c r="H406" i="5"/>
  <c r="B465" i="10"/>
  <c r="E465" i="10"/>
  <c r="G465" i="10"/>
  <c r="A466" i="10"/>
  <c r="D465" i="10"/>
  <c r="B406" i="5"/>
  <c r="A405" i="6"/>
  <c r="G404" i="6"/>
  <c r="C406" i="5"/>
  <c r="D406" i="5"/>
  <c r="A407" i="5"/>
  <c r="F407" i="5" s="1"/>
  <c r="E406" i="5"/>
  <c r="D405" i="6" l="1"/>
  <c r="I405" i="6"/>
  <c r="C405" i="6"/>
  <c r="C560" i="12"/>
  <c r="M560" i="12"/>
  <c r="F560" i="12"/>
  <c r="D560" i="12"/>
  <c r="G559" i="14"/>
  <c r="F559" i="14"/>
  <c r="C559" i="14"/>
  <c r="B559" i="14"/>
  <c r="O560" i="12"/>
  <c r="J560" i="12"/>
  <c r="I560" i="12"/>
  <c r="H560" i="12"/>
  <c r="G560" i="12"/>
  <c r="E559" i="14"/>
  <c r="A560" i="14"/>
  <c r="D559" i="14"/>
  <c r="H559" i="14"/>
  <c r="A561" i="12"/>
  <c r="K560" i="12"/>
  <c r="B560" i="12"/>
  <c r="E560" i="12"/>
  <c r="L560" i="12"/>
  <c r="F405" i="6"/>
  <c r="E405" i="6"/>
  <c r="H405" i="6"/>
  <c r="B405" i="6"/>
  <c r="J405" i="6"/>
  <c r="C466" i="10"/>
  <c r="G407" i="5"/>
  <c r="H407" i="5"/>
  <c r="G466" i="10"/>
  <c r="B466" i="10"/>
  <c r="A467" i="10"/>
  <c r="D466" i="10"/>
  <c r="E466" i="10"/>
  <c r="B407" i="5"/>
  <c r="A406" i="6"/>
  <c r="G405" i="6"/>
  <c r="C407" i="5"/>
  <c r="E407" i="5"/>
  <c r="A408" i="5"/>
  <c r="F408" i="5" s="1"/>
  <c r="D407" i="5"/>
  <c r="I406" i="6" l="1"/>
  <c r="D406" i="6"/>
  <c r="C406" i="6"/>
  <c r="M561" i="12"/>
  <c r="F561" i="12"/>
  <c r="D561" i="12"/>
  <c r="C561" i="12"/>
  <c r="G560" i="14"/>
  <c r="F560" i="14"/>
  <c r="C560" i="14"/>
  <c r="B560" i="14"/>
  <c r="O561" i="12"/>
  <c r="J561" i="12"/>
  <c r="G561" i="12"/>
  <c r="I561" i="12"/>
  <c r="H561" i="12"/>
  <c r="H560" i="14"/>
  <c r="E560" i="14"/>
  <c r="D560" i="14"/>
  <c r="A561" i="14"/>
  <c r="B561" i="12"/>
  <c r="A562" i="12"/>
  <c r="K561" i="12"/>
  <c r="E561" i="12"/>
  <c r="L561" i="12"/>
  <c r="F406" i="6"/>
  <c r="E406" i="6"/>
  <c r="H406" i="6"/>
  <c r="B406" i="6"/>
  <c r="J406" i="6"/>
  <c r="C467" i="10"/>
  <c r="G408" i="5"/>
  <c r="H408" i="5"/>
  <c r="A468" i="10"/>
  <c r="D467" i="10"/>
  <c r="G467" i="10"/>
  <c r="E467" i="10"/>
  <c r="B467" i="10"/>
  <c r="B408" i="5"/>
  <c r="A407" i="6"/>
  <c r="G406" i="6"/>
  <c r="C408" i="5"/>
  <c r="E408" i="5"/>
  <c r="A409" i="5"/>
  <c r="F409" i="5" s="1"/>
  <c r="D408" i="5"/>
  <c r="C407" i="6" l="1"/>
  <c r="I407" i="6"/>
  <c r="D407" i="6"/>
  <c r="C562" i="12"/>
  <c r="M562" i="12"/>
  <c r="F562" i="12"/>
  <c r="D562" i="12"/>
  <c r="G561" i="14"/>
  <c r="F561" i="14"/>
  <c r="C561" i="14"/>
  <c r="B561" i="14"/>
  <c r="O562" i="12"/>
  <c r="J562" i="12"/>
  <c r="H562" i="12"/>
  <c r="G562" i="12"/>
  <c r="I562" i="12"/>
  <c r="E561" i="14"/>
  <c r="A562" i="14"/>
  <c r="D561" i="14"/>
  <c r="H561" i="14"/>
  <c r="L562" i="12"/>
  <c r="B562" i="12"/>
  <c r="A563" i="12"/>
  <c r="E562" i="12"/>
  <c r="K562" i="12"/>
  <c r="F407" i="6"/>
  <c r="E407" i="6"/>
  <c r="B407" i="6"/>
  <c r="H407" i="6"/>
  <c r="J407" i="6"/>
  <c r="C468" i="10"/>
  <c r="G409" i="5"/>
  <c r="H409" i="5"/>
  <c r="E468" i="10"/>
  <c r="A469" i="10"/>
  <c r="D468" i="10"/>
  <c r="B468" i="10"/>
  <c r="G468" i="10"/>
  <c r="B409" i="5"/>
  <c r="A408" i="6"/>
  <c r="G407" i="6"/>
  <c r="C409" i="5"/>
  <c r="D409" i="5"/>
  <c r="A410" i="5"/>
  <c r="F410" i="5" s="1"/>
  <c r="E409" i="5"/>
  <c r="I408" i="6" l="1"/>
  <c r="C408" i="6"/>
  <c r="D408" i="6"/>
  <c r="M563" i="12"/>
  <c r="F563" i="12"/>
  <c r="D563" i="12"/>
  <c r="C563" i="12"/>
  <c r="F562" i="14"/>
  <c r="G562" i="14"/>
  <c r="C562" i="14"/>
  <c r="B562" i="14"/>
  <c r="O563" i="12"/>
  <c r="J563" i="12"/>
  <c r="I563" i="12"/>
  <c r="H563" i="12"/>
  <c r="G563" i="12"/>
  <c r="H562" i="14"/>
  <c r="A563" i="14"/>
  <c r="D562" i="14"/>
  <c r="E562" i="14"/>
  <c r="K563" i="12"/>
  <c r="L563" i="12"/>
  <c r="A564" i="12"/>
  <c r="E563" i="12"/>
  <c r="B563" i="12"/>
  <c r="F408" i="6"/>
  <c r="E408" i="6"/>
  <c r="B408" i="6"/>
  <c r="H408" i="6"/>
  <c r="J408" i="6"/>
  <c r="C469" i="10"/>
  <c r="G410" i="5"/>
  <c r="H410" i="5"/>
  <c r="B469" i="10"/>
  <c r="E469" i="10"/>
  <c r="G469" i="10"/>
  <c r="A470" i="10"/>
  <c r="D469" i="10"/>
  <c r="B410" i="5"/>
  <c r="A409" i="6"/>
  <c r="G408" i="6"/>
  <c r="C410" i="5"/>
  <c r="A411" i="5"/>
  <c r="F411" i="5" s="1"/>
  <c r="E410" i="5"/>
  <c r="D410" i="5"/>
  <c r="C564" i="12" l="1"/>
  <c r="M564" i="12"/>
  <c r="F564" i="12"/>
  <c r="D564" i="12"/>
  <c r="I409" i="6"/>
  <c r="D409" i="6"/>
  <c r="C409" i="6"/>
  <c r="F563" i="14"/>
  <c r="G563" i="14"/>
  <c r="C563" i="14"/>
  <c r="B563" i="14"/>
  <c r="O564" i="12"/>
  <c r="J564" i="12"/>
  <c r="I564" i="12"/>
  <c r="H564" i="12"/>
  <c r="G564" i="12"/>
  <c r="E563" i="14"/>
  <c r="A564" i="14"/>
  <c r="D563" i="14"/>
  <c r="H563" i="14"/>
  <c r="A565" i="12"/>
  <c r="B564" i="12"/>
  <c r="E564" i="12"/>
  <c r="K564" i="12"/>
  <c r="L564" i="12"/>
  <c r="F409" i="6"/>
  <c r="E409" i="6"/>
  <c r="H409" i="6"/>
  <c r="B409" i="6"/>
  <c r="J409" i="6"/>
  <c r="G411" i="5"/>
  <c r="H411" i="5"/>
  <c r="C470" i="10"/>
  <c r="G470" i="10"/>
  <c r="B470" i="10"/>
  <c r="A471" i="10"/>
  <c r="D470" i="10"/>
  <c r="E470" i="10"/>
  <c r="B411" i="5"/>
  <c r="G409" i="6"/>
  <c r="A410" i="6"/>
  <c r="C411" i="5"/>
  <c r="E411" i="5"/>
  <c r="A412" i="5"/>
  <c r="F412" i="5" s="1"/>
  <c r="D411" i="5"/>
  <c r="G564" i="14" l="1"/>
  <c r="F564" i="14"/>
  <c r="M565" i="12"/>
  <c r="F565" i="12"/>
  <c r="D565" i="12"/>
  <c r="C565" i="12"/>
  <c r="I410" i="6"/>
  <c r="D410" i="6"/>
  <c r="C410" i="6"/>
  <c r="C564" i="14"/>
  <c r="B564" i="14"/>
  <c r="O565" i="12"/>
  <c r="G565" i="12"/>
  <c r="J565" i="12"/>
  <c r="I565" i="12"/>
  <c r="H565" i="12"/>
  <c r="H564" i="14"/>
  <c r="E564" i="14"/>
  <c r="D564" i="14"/>
  <c r="A565" i="14"/>
  <c r="B565" i="12"/>
  <c r="E565" i="12"/>
  <c r="A566" i="12"/>
  <c r="K565" i="12"/>
  <c r="L565" i="12"/>
  <c r="F410" i="6"/>
  <c r="E410" i="6"/>
  <c r="H410" i="6"/>
  <c r="B410" i="6"/>
  <c r="J410" i="6"/>
  <c r="C471" i="10"/>
  <c r="G412" i="5"/>
  <c r="H412" i="5"/>
  <c r="A472" i="10"/>
  <c r="D471" i="10"/>
  <c r="G471" i="10"/>
  <c r="E471" i="10"/>
  <c r="B471" i="10"/>
  <c r="B412" i="5"/>
  <c r="G410" i="6"/>
  <c r="A411" i="6"/>
  <c r="C412" i="5"/>
  <c r="E412" i="5"/>
  <c r="A413" i="5"/>
  <c r="F413" i="5" s="1"/>
  <c r="D412" i="5"/>
  <c r="C566" i="12" l="1"/>
  <c r="M566" i="12"/>
  <c r="F566" i="12"/>
  <c r="D566" i="12"/>
  <c r="G565" i="14"/>
  <c r="F565" i="14"/>
  <c r="I411" i="6"/>
  <c r="D411" i="6"/>
  <c r="C411" i="6"/>
  <c r="C565" i="14"/>
  <c r="B565" i="14"/>
  <c r="O566" i="12"/>
  <c r="J566" i="12"/>
  <c r="I566" i="12"/>
  <c r="H566" i="12"/>
  <c r="G566" i="12"/>
  <c r="E565" i="14"/>
  <c r="A566" i="14"/>
  <c r="D565" i="14"/>
  <c r="H565" i="14"/>
  <c r="L566" i="12"/>
  <c r="A567" i="12"/>
  <c r="E566" i="12"/>
  <c r="B566" i="12"/>
  <c r="K566" i="12"/>
  <c r="F411" i="6"/>
  <c r="E411" i="6"/>
  <c r="B411" i="6"/>
  <c r="H411" i="6"/>
  <c r="J411" i="6"/>
  <c r="G413" i="5"/>
  <c r="H413" i="5"/>
  <c r="C472" i="10"/>
  <c r="E472" i="10"/>
  <c r="A473" i="10"/>
  <c r="D472" i="10"/>
  <c r="B472" i="10"/>
  <c r="G472" i="10"/>
  <c r="B413" i="5"/>
  <c r="A412" i="6"/>
  <c r="G411" i="6"/>
  <c r="C413" i="5"/>
  <c r="A414" i="5"/>
  <c r="F414" i="5" s="1"/>
  <c r="D413" i="5"/>
  <c r="E413" i="5"/>
  <c r="D412" i="6" l="1"/>
  <c r="C412" i="6"/>
  <c r="I412" i="6"/>
  <c r="M567" i="12"/>
  <c r="F567" i="12"/>
  <c r="D567" i="12"/>
  <c r="C567" i="12"/>
  <c r="F566" i="14"/>
  <c r="G566" i="14"/>
  <c r="C566" i="14"/>
  <c r="B566" i="14"/>
  <c r="O567" i="12"/>
  <c r="J567" i="12"/>
  <c r="I567" i="12"/>
  <c r="H567" i="12"/>
  <c r="G567" i="12"/>
  <c r="H566" i="14"/>
  <c r="A567" i="14"/>
  <c r="D566" i="14"/>
  <c r="E566" i="14"/>
  <c r="B567" i="12"/>
  <c r="K567" i="12"/>
  <c r="A568" i="12"/>
  <c r="L567" i="12"/>
  <c r="E567" i="12"/>
  <c r="F412" i="6"/>
  <c r="E412" i="6"/>
  <c r="B412" i="6"/>
  <c r="H412" i="6"/>
  <c r="J412" i="6"/>
  <c r="G414" i="5"/>
  <c r="H414" i="5"/>
  <c r="C473" i="10"/>
  <c r="B473" i="10"/>
  <c r="E473" i="10"/>
  <c r="G473" i="10"/>
  <c r="D473" i="10"/>
  <c r="A474" i="10"/>
  <c r="B414" i="5"/>
  <c r="A413" i="6"/>
  <c r="G412" i="6"/>
  <c r="C414" i="5"/>
  <c r="A415" i="5"/>
  <c r="F415" i="5" s="1"/>
  <c r="D414" i="5"/>
  <c r="E414" i="5"/>
  <c r="D413" i="6" l="1"/>
  <c r="C413" i="6"/>
  <c r="I413" i="6"/>
  <c r="C568" i="12"/>
  <c r="M568" i="12"/>
  <c r="F568" i="12"/>
  <c r="D568" i="12"/>
  <c r="G567" i="14"/>
  <c r="F567" i="14"/>
  <c r="C567" i="14"/>
  <c r="B567" i="14"/>
  <c r="O568" i="12"/>
  <c r="J568" i="12"/>
  <c r="I568" i="12"/>
  <c r="H568" i="12"/>
  <c r="G568" i="12"/>
  <c r="E567" i="14"/>
  <c r="A568" i="14"/>
  <c r="D567" i="14"/>
  <c r="H567" i="14"/>
  <c r="L568" i="12"/>
  <c r="A569" i="12"/>
  <c r="E568" i="12"/>
  <c r="K568" i="12"/>
  <c r="B568" i="12"/>
  <c r="F413" i="6"/>
  <c r="E413" i="6"/>
  <c r="H413" i="6"/>
  <c r="B413" i="6"/>
  <c r="J413" i="6"/>
  <c r="G415" i="5"/>
  <c r="H415" i="5"/>
  <c r="C474" i="10"/>
  <c r="G474" i="10"/>
  <c r="B474" i="10"/>
  <c r="A475" i="10"/>
  <c r="D474" i="10"/>
  <c r="E474" i="10"/>
  <c r="B415" i="5"/>
  <c r="A414" i="6"/>
  <c r="G413" i="6"/>
  <c r="C415" i="5"/>
  <c r="A416" i="5"/>
  <c r="F416" i="5" s="1"/>
  <c r="E415" i="5"/>
  <c r="D415" i="5"/>
  <c r="M569" i="12" l="1"/>
  <c r="F569" i="12"/>
  <c r="D569" i="12"/>
  <c r="C569" i="12"/>
  <c r="I414" i="6"/>
  <c r="D414" i="6"/>
  <c r="C414" i="6"/>
  <c r="G568" i="14"/>
  <c r="F568" i="14"/>
  <c r="C568" i="14"/>
  <c r="B568" i="14"/>
  <c r="O569" i="12"/>
  <c r="J569" i="12"/>
  <c r="G569" i="12"/>
  <c r="H569" i="12"/>
  <c r="I569" i="12"/>
  <c r="H568" i="14"/>
  <c r="E568" i="14"/>
  <c r="D568" i="14"/>
  <c r="A569" i="14"/>
  <c r="B569" i="12"/>
  <c r="E569" i="12"/>
  <c r="A570" i="12"/>
  <c r="K569" i="12"/>
  <c r="L569" i="12"/>
  <c r="F414" i="6"/>
  <c r="E414" i="6"/>
  <c r="H414" i="6"/>
  <c r="B414" i="6"/>
  <c r="J414" i="6"/>
  <c r="G416" i="5"/>
  <c r="H416" i="5"/>
  <c r="C475" i="10"/>
  <c r="A476" i="10"/>
  <c r="D475" i="10"/>
  <c r="G475" i="10"/>
  <c r="E475" i="10"/>
  <c r="B475" i="10"/>
  <c r="B416" i="5"/>
  <c r="A415" i="6"/>
  <c r="G414" i="6"/>
  <c r="C416" i="5"/>
  <c r="A417" i="5"/>
  <c r="F417" i="5" s="1"/>
  <c r="E416" i="5"/>
  <c r="D416" i="5"/>
  <c r="C570" i="12" l="1"/>
  <c r="M570" i="12"/>
  <c r="F570" i="12"/>
  <c r="D570" i="12"/>
  <c r="C415" i="6"/>
  <c r="I415" i="6"/>
  <c r="D415" i="6"/>
  <c r="G569" i="14"/>
  <c r="F569" i="14"/>
  <c r="C569" i="14"/>
  <c r="B569" i="14"/>
  <c r="O570" i="12"/>
  <c r="J570" i="12"/>
  <c r="I570" i="12"/>
  <c r="H570" i="12"/>
  <c r="G570" i="12"/>
  <c r="E569" i="14"/>
  <c r="A570" i="14"/>
  <c r="D569" i="14"/>
  <c r="H569" i="14"/>
  <c r="L570" i="12"/>
  <c r="K570" i="12"/>
  <c r="A571" i="12"/>
  <c r="E570" i="12"/>
  <c r="B570" i="12"/>
  <c r="F415" i="6"/>
  <c r="E415" i="6"/>
  <c r="B415" i="6"/>
  <c r="H415" i="6"/>
  <c r="J415" i="6"/>
  <c r="G417" i="5"/>
  <c r="H417" i="5"/>
  <c r="C476" i="10"/>
  <c r="E476" i="10"/>
  <c r="A477" i="10"/>
  <c r="D476" i="10"/>
  <c r="B476" i="10"/>
  <c r="G476" i="10"/>
  <c r="B417" i="5"/>
  <c r="A416" i="6"/>
  <c r="G415" i="6"/>
  <c r="C417" i="5"/>
  <c r="D417" i="5"/>
  <c r="A418" i="5"/>
  <c r="F418" i="5" s="1"/>
  <c r="E417" i="5"/>
  <c r="I416" i="6" l="1"/>
  <c r="C416" i="6"/>
  <c r="D416" i="6"/>
  <c r="M571" i="12"/>
  <c r="F571" i="12"/>
  <c r="D571" i="12"/>
  <c r="C571" i="12"/>
  <c r="F570" i="14"/>
  <c r="G570" i="14"/>
  <c r="C570" i="14"/>
  <c r="B570" i="14"/>
  <c r="O571" i="12"/>
  <c r="J571" i="12"/>
  <c r="I571" i="12"/>
  <c r="H571" i="12"/>
  <c r="G571" i="12"/>
  <c r="H570" i="14"/>
  <c r="A571" i="14"/>
  <c r="D570" i="14"/>
  <c r="E570" i="14"/>
  <c r="K571" i="12"/>
  <c r="E571" i="12"/>
  <c r="B571" i="12"/>
  <c r="L571" i="12"/>
  <c r="A572" i="12"/>
  <c r="F416" i="6"/>
  <c r="E416" i="6"/>
  <c r="B416" i="6"/>
  <c r="H416" i="6"/>
  <c r="J416" i="6"/>
  <c r="C477" i="10"/>
  <c r="G418" i="5"/>
  <c r="H418" i="5"/>
  <c r="B477" i="10"/>
  <c r="E477" i="10"/>
  <c r="G477" i="10"/>
  <c r="D477" i="10"/>
  <c r="A478" i="10"/>
  <c r="B418" i="5"/>
  <c r="A417" i="6"/>
  <c r="G416" i="6"/>
  <c r="C418" i="5"/>
  <c r="A419" i="5"/>
  <c r="F419" i="5" s="1"/>
  <c r="E418" i="5"/>
  <c r="D418" i="5"/>
  <c r="I417" i="6" l="1"/>
  <c r="D417" i="6"/>
  <c r="C417" i="6"/>
  <c r="F571" i="14"/>
  <c r="G571" i="14"/>
  <c r="C572" i="12"/>
  <c r="M572" i="12"/>
  <c r="F572" i="12"/>
  <c r="D572" i="12"/>
  <c r="C571" i="14"/>
  <c r="B571" i="14"/>
  <c r="O572" i="12"/>
  <c r="J572" i="12"/>
  <c r="I572" i="12"/>
  <c r="H572" i="12"/>
  <c r="G572" i="12"/>
  <c r="E571" i="14"/>
  <c r="A572" i="14"/>
  <c r="D571" i="14"/>
  <c r="H571" i="14"/>
  <c r="A573" i="12"/>
  <c r="L572" i="12"/>
  <c r="E572" i="12"/>
  <c r="K572" i="12"/>
  <c r="B572" i="12"/>
  <c r="F417" i="6"/>
  <c r="E417" i="6"/>
  <c r="H417" i="6"/>
  <c r="B417" i="6"/>
  <c r="J417" i="6"/>
  <c r="G419" i="5"/>
  <c r="H419" i="5"/>
  <c r="C478" i="10"/>
  <c r="G478" i="10"/>
  <c r="B478" i="10"/>
  <c r="A479" i="10"/>
  <c r="D478" i="10"/>
  <c r="E478" i="10"/>
  <c r="B419" i="5"/>
  <c r="G417" i="6"/>
  <c r="A418" i="6"/>
  <c r="C419" i="5"/>
  <c r="D419" i="5"/>
  <c r="E419" i="5"/>
  <c r="A420" i="5"/>
  <c r="F420" i="5" s="1"/>
  <c r="M573" i="12" l="1"/>
  <c r="F573" i="12"/>
  <c r="D573" i="12"/>
  <c r="C573" i="12"/>
  <c r="G572" i="14"/>
  <c r="F572" i="14"/>
  <c r="I418" i="6"/>
  <c r="D418" i="6"/>
  <c r="C418" i="6"/>
  <c r="C572" i="14"/>
  <c r="B572" i="14"/>
  <c r="O573" i="12"/>
  <c r="G573" i="12"/>
  <c r="I573" i="12"/>
  <c r="H573" i="12"/>
  <c r="J573" i="12"/>
  <c r="H572" i="14"/>
  <c r="E572" i="14"/>
  <c r="D572" i="14"/>
  <c r="A573" i="14"/>
  <c r="B573" i="12"/>
  <c r="A574" i="12"/>
  <c r="K573" i="12"/>
  <c r="E573" i="12"/>
  <c r="L573" i="12"/>
  <c r="F418" i="6"/>
  <c r="E418" i="6"/>
  <c r="H418" i="6"/>
  <c r="B418" i="6"/>
  <c r="J418" i="6"/>
  <c r="C479" i="10"/>
  <c r="G420" i="5"/>
  <c r="H420" i="5"/>
  <c r="A480" i="10"/>
  <c r="D479" i="10"/>
  <c r="G479" i="10"/>
  <c r="E479" i="10"/>
  <c r="B479" i="10"/>
  <c r="B420" i="5"/>
  <c r="G418" i="6"/>
  <c r="A419" i="6"/>
  <c r="C420" i="5"/>
  <c r="E420" i="5"/>
  <c r="A421" i="5"/>
  <c r="F421" i="5" s="1"/>
  <c r="D420" i="5"/>
  <c r="C574" i="12" l="1"/>
  <c r="M574" i="12"/>
  <c r="F574" i="12"/>
  <c r="D574" i="12"/>
  <c r="G573" i="14"/>
  <c r="F573" i="14"/>
  <c r="I419" i="6"/>
  <c r="D419" i="6"/>
  <c r="C419" i="6"/>
  <c r="C573" i="14"/>
  <c r="B573" i="14"/>
  <c r="O574" i="12"/>
  <c r="I574" i="12"/>
  <c r="H574" i="12"/>
  <c r="J574" i="12"/>
  <c r="G574" i="12"/>
  <c r="E573" i="14"/>
  <c r="A574" i="14"/>
  <c r="D573" i="14"/>
  <c r="H573" i="14"/>
  <c r="L574" i="12"/>
  <c r="A575" i="12"/>
  <c r="E574" i="12"/>
  <c r="K574" i="12"/>
  <c r="B574" i="12"/>
  <c r="F419" i="6"/>
  <c r="E419" i="6"/>
  <c r="B419" i="6"/>
  <c r="H419" i="6"/>
  <c r="J419" i="6"/>
  <c r="G421" i="5"/>
  <c r="H421" i="5"/>
  <c r="C480" i="10"/>
  <c r="E480" i="10"/>
  <c r="A481" i="10"/>
  <c r="D480" i="10"/>
  <c r="B480" i="10"/>
  <c r="G480" i="10"/>
  <c r="B421" i="5"/>
  <c r="A420" i="6"/>
  <c r="G419" i="6"/>
  <c r="C421" i="5"/>
  <c r="D421" i="5"/>
  <c r="A422" i="5"/>
  <c r="F422" i="5" s="1"/>
  <c r="E421" i="5"/>
  <c r="M575" i="12" l="1"/>
  <c r="F575" i="12"/>
  <c r="D575" i="12"/>
  <c r="C575" i="12"/>
  <c r="F574" i="14"/>
  <c r="G574" i="14"/>
  <c r="D420" i="6"/>
  <c r="C420" i="6"/>
  <c r="I420" i="6"/>
  <c r="C574" i="14"/>
  <c r="B574" i="14"/>
  <c r="O575" i="12"/>
  <c r="J575" i="12"/>
  <c r="I575" i="12"/>
  <c r="H575" i="12"/>
  <c r="G575" i="12"/>
  <c r="H574" i="14"/>
  <c r="A575" i="14"/>
  <c r="D574" i="14"/>
  <c r="E574" i="14"/>
  <c r="B575" i="12"/>
  <c r="K575" i="12"/>
  <c r="E575" i="12"/>
  <c r="A576" i="12"/>
  <c r="L575" i="12"/>
  <c r="F420" i="6"/>
  <c r="E420" i="6"/>
  <c r="B420" i="6"/>
  <c r="H420" i="6"/>
  <c r="J420" i="6"/>
  <c r="G422" i="5"/>
  <c r="H422" i="5"/>
  <c r="C481" i="10"/>
  <c r="A482" i="10"/>
  <c r="B481" i="10"/>
  <c r="E481" i="10"/>
  <c r="G481" i="10"/>
  <c r="D481" i="10"/>
  <c r="B422" i="5"/>
  <c r="A421" i="6"/>
  <c r="G420" i="6"/>
  <c r="C422" i="5"/>
  <c r="A423" i="5"/>
  <c r="F423" i="5" s="1"/>
  <c r="E422" i="5"/>
  <c r="D422" i="5"/>
  <c r="D421" i="6" l="1"/>
  <c r="I421" i="6"/>
  <c r="C421" i="6"/>
  <c r="C576" i="12"/>
  <c r="M576" i="12"/>
  <c r="F576" i="12"/>
  <c r="D576" i="12"/>
  <c r="G575" i="14"/>
  <c r="F575" i="14"/>
  <c r="C575" i="14"/>
  <c r="B575" i="14"/>
  <c r="O576" i="12"/>
  <c r="J576" i="12"/>
  <c r="I576" i="12"/>
  <c r="H576" i="12"/>
  <c r="G576" i="12"/>
  <c r="E575" i="14"/>
  <c r="A576" i="14"/>
  <c r="D575" i="14"/>
  <c r="H575" i="14"/>
  <c r="B576" i="12"/>
  <c r="A577" i="12"/>
  <c r="E576" i="12"/>
  <c r="K576" i="12"/>
  <c r="L576" i="12"/>
  <c r="F421" i="6"/>
  <c r="E421" i="6"/>
  <c r="H421" i="6"/>
  <c r="B421" i="6"/>
  <c r="J421" i="6"/>
  <c r="G423" i="5"/>
  <c r="H423" i="5"/>
  <c r="C482" i="10"/>
  <c r="E482" i="10"/>
  <c r="D482" i="10"/>
  <c r="A483" i="10"/>
  <c r="B482" i="10"/>
  <c r="G482" i="10"/>
  <c r="B423" i="5"/>
  <c r="A422" i="6"/>
  <c r="G421" i="6"/>
  <c r="C423" i="5"/>
  <c r="D423" i="5"/>
  <c r="A424" i="5"/>
  <c r="F424" i="5" s="1"/>
  <c r="E423" i="5"/>
  <c r="M577" i="12" l="1"/>
  <c r="D577" i="12"/>
  <c r="F577" i="12"/>
  <c r="C577" i="12"/>
  <c r="G576" i="14"/>
  <c r="F576" i="14"/>
  <c r="I422" i="6"/>
  <c r="D422" i="6"/>
  <c r="C422" i="6"/>
  <c r="C576" i="14"/>
  <c r="B576" i="14"/>
  <c r="O577" i="12"/>
  <c r="J577" i="12"/>
  <c r="G577" i="12"/>
  <c r="H577" i="12"/>
  <c r="I577" i="12"/>
  <c r="A577" i="14"/>
  <c r="D576" i="14"/>
  <c r="E576" i="14"/>
  <c r="H576" i="14"/>
  <c r="B577" i="12"/>
  <c r="A578" i="12"/>
  <c r="K577" i="12"/>
  <c r="E577" i="12"/>
  <c r="L577" i="12"/>
  <c r="F422" i="6"/>
  <c r="E422" i="6"/>
  <c r="H422" i="6"/>
  <c r="B422" i="6"/>
  <c r="J422" i="6"/>
  <c r="G424" i="5"/>
  <c r="H424" i="5"/>
  <c r="C483" i="10"/>
  <c r="B483" i="10"/>
  <c r="A484" i="10"/>
  <c r="G483" i="10"/>
  <c r="D483" i="10"/>
  <c r="E483" i="10"/>
  <c r="B424" i="5"/>
  <c r="A423" i="6"/>
  <c r="G422" i="6"/>
  <c r="C424" i="5"/>
  <c r="A425" i="5"/>
  <c r="F425" i="5" s="1"/>
  <c r="E424" i="5"/>
  <c r="D424" i="5"/>
  <c r="C423" i="6" l="1"/>
  <c r="D423" i="6"/>
  <c r="I423" i="6"/>
  <c r="F578" i="12"/>
  <c r="D578" i="12"/>
  <c r="C578" i="12"/>
  <c r="M578" i="12"/>
  <c r="G577" i="14"/>
  <c r="F577" i="14"/>
  <c r="C577" i="14"/>
  <c r="B577" i="14"/>
  <c r="O578" i="12"/>
  <c r="J578" i="12"/>
  <c r="H578" i="12"/>
  <c r="I578" i="12"/>
  <c r="G578" i="12"/>
  <c r="A578" i="14"/>
  <c r="H577" i="14"/>
  <c r="E577" i="14"/>
  <c r="D577" i="14"/>
  <c r="L578" i="12"/>
  <c r="K578" i="12"/>
  <c r="A579" i="12"/>
  <c r="E578" i="12"/>
  <c r="B578" i="12"/>
  <c r="F423" i="6"/>
  <c r="E423" i="6"/>
  <c r="B423" i="6"/>
  <c r="H423" i="6"/>
  <c r="J423" i="6"/>
  <c r="G425" i="5"/>
  <c r="H425" i="5"/>
  <c r="C484" i="10"/>
  <c r="B484" i="10"/>
  <c r="G484" i="10"/>
  <c r="A485" i="10"/>
  <c r="D484" i="10"/>
  <c r="E484" i="10"/>
  <c r="B425" i="5"/>
  <c r="A424" i="6"/>
  <c r="G423" i="6"/>
  <c r="C425" i="5"/>
  <c r="A426" i="5"/>
  <c r="F426" i="5" s="1"/>
  <c r="D425" i="5"/>
  <c r="E425" i="5"/>
  <c r="M579" i="12" l="1"/>
  <c r="D579" i="12"/>
  <c r="F579" i="12"/>
  <c r="C579" i="12"/>
  <c r="I424" i="6"/>
  <c r="C424" i="6"/>
  <c r="D424" i="6"/>
  <c r="F578" i="14"/>
  <c r="G578" i="14"/>
  <c r="C578" i="14"/>
  <c r="B578" i="14"/>
  <c r="O579" i="12"/>
  <c r="J579" i="12"/>
  <c r="I579" i="12"/>
  <c r="H579" i="12"/>
  <c r="G579" i="12"/>
  <c r="A579" i="14"/>
  <c r="D578" i="14"/>
  <c r="E578" i="14"/>
  <c r="H578" i="14"/>
  <c r="K579" i="12"/>
  <c r="E579" i="12"/>
  <c r="B579" i="12"/>
  <c r="L579" i="12"/>
  <c r="A580" i="12"/>
  <c r="F424" i="6"/>
  <c r="E424" i="6"/>
  <c r="B424" i="6"/>
  <c r="H424" i="6"/>
  <c r="J424" i="6"/>
  <c r="G426" i="5"/>
  <c r="H426" i="5"/>
  <c r="C485" i="10"/>
  <c r="G485" i="10"/>
  <c r="A486" i="10"/>
  <c r="D485" i="10"/>
  <c r="B485" i="10"/>
  <c r="E485" i="10"/>
  <c r="B426" i="5"/>
  <c r="A425" i="6"/>
  <c r="G424" i="6"/>
  <c r="C426" i="5"/>
  <c r="E426" i="5"/>
  <c r="A427" i="5"/>
  <c r="F427" i="5" s="1"/>
  <c r="D426" i="5"/>
  <c r="I425" i="6" l="1"/>
  <c r="D425" i="6"/>
  <c r="C425" i="6"/>
  <c r="F580" i="12"/>
  <c r="D580" i="12"/>
  <c r="C580" i="12"/>
  <c r="M580" i="12"/>
  <c r="F579" i="14"/>
  <c r="G579" i="14"/>
  <c r="C579" i="14"/>
  <c r="B579" i="14"/>
  <c r="O580" i="12"/>
  <c r="J580" i="12"/>
  <c r="I580" i="12"/>
  <c r="H580" i="12"/>
  <c r="G580" i="12"/>
  <c r="H579" i="14"/>
  <c r="E579" i="14"/>
  <c r="A580" i="14"/>
  <c r="D579" i="14"/>
  <c r="B580" i="12"/>
  <c r="A581" i="12"/>
  <c r="E580" i="12"/>
  <c r="K580" i="12"/>
  <c r="L580" i="12"/>
  <c r="F425" i="6"/>
  <c r="E425" i="6"/>
  <c r="H425" i="6"/>
  <c r="B425" i="6"/>
  <c r="J425" i="6"/>
  <c r="C486" i="10"/>
  <c r="G427" i="5"/>
  <c r="H427" i="5"/>
  <c r="A487" i="10"/>
  <c r="D486" i="10"/>
  <c r="G486" i="10"/>
  <c r="E486" i="10"/>
  <c r="B486" i="10"/>
  <c r="B427" i="5"/>
  <c r="G425" i="6"/>
  <c r="A426" i="6"/>
  <c r="C427" i="5"/>
  <c r="A428" i="5"/>
  <c r="F428" i="5" s="1"/>
  <c r="E427" i="5"/>
  <c r="D427" i="5"/>
  <c r="M581" i="12" l="1"/>
  <c r="D581" i="12"/>
  <c r="F581" i="12"/>
  <c r="C581" i="12"/>
  <c r="I426" i="6"/>
  <c r="D426" i="6"/>
  <c r="C426" i="6"/>
  <c r="F580" i="14"/>
  <c r="G580" i="14"/>
  <c r="C580" i="14"/>
  <c r="B580" i="14"/>
  <c r="O581" i="12"/>
  <c r="G581" i="12"/>
  <c r="J581" i="12"/>
  <c r="I581" i="12"/>
  <c r="H581" i="12"/>
  <c r="A581" i="14"/>
  <c r="D580" i="14"/>
  <c r="H580" i="14"/>
  <c r="E580" i="14"/>
  <c r="B581" i="12"/>
  <c r="A582" i="12"/>
  <c r="E581" i="12"/>
  <c r="K581" i="12"/>
  <c r="L581" i="12"/>
  <c r="F426" i="6"/>
  <c r="E426" i="6"/>
  <c r="H426" i="6"/>
  <c r="B426" i="6"/>
  <c r="J426" i="6"/>
  <c r="G428" i="5"/>
  <c r="H428" i="5"/>
  <c r="C487" i="10"/>
  <c r="E487" i="10"/>
  <c r="A488" i="10"/>
  <c r="D487" i="10"/>
  <c r="B487" i="10"/>
  <c r="G487" i="10"/>
  <c r="B428" i="5"/>
  <c r="G426" i="6"/>
  <c r="A427" i="6"/>
  <c r="C428" i="5"/>
  <c r="A429" i="5"/>
  <c r="F429" i="5" s="1"/>
  <c r="E428" i="5"/>
  <c r="D428" i="5"/>
  <c r="F582" i="12" l="1"/>
  <c r="D582" i="12"/>
  <c r="C582" i="12"/>
  <c r="M582" i="12"/>
  <c r="I427" i="6"/>
  <c r="D427" i="6"/>
  <c r="C427" i="6"/>
  <c r="G581" i="14"/>
  <c r="F581" i="14"/>
  <c r="C581" i="14"/>
  <c r="B581" i="14"/>
  <c r="O582" i="12"/>
  <c r="J582" i="12"/>
  <c r="I582" i="12"/>
  <c r="H582" i="12"/>
  <c r="G582" i="12"/>
  <c r="E581" i="14"/>
  <c r="D581" i="14"/>
  <c r="H581" i="14"/>
  <c r="A582" i="14"/>
  <c r="L582" i="12"/>
  <c r="A583" i="12"/>
  <c r="E582" i="12"/>
  <c r="K582" i="12"/>
  <c r="B582" i="12"/>
  <c r="F427" i="6"/>
  <c r="E427" i="6"/>
  <c r="B427" i="6"/>
  <c r="H427" i="6"/>
  <c r="J427" i="6"/>
  <c r="G429" i="5"/>
  <c r="H429" i="5"/>
  <c r="C488" i="10"/>
  <c r="B488" i="10"/>
  <c r="E488" i="10"/>
  <c r="G488" i="10"/>
  <c r="A489" i="10"/>
  <c r="D488" i="10"/>
  <c r="B429" i="5"/>
  <c r="A428" i="6"/>
  <c r="G427" i="6"/>
  <c r="C429" i="5"/>
  <c r="A430" i="5"/>
  <c r="F430" i="5" s="1"/>
  <c r="D429" i="5"/>
  <c r="E429" i="5"/>
  <c r="D428" i="6" l="1"/>
  <c r="C428" i="6"/>
  <c r="I428" i="6"/>
  <c r="M583" i="12"/>
  <c r="D583" i="12"/>
  <c r="F583" i="12"/>
  <c r="C583" i="12"/>
  <c r="F582" i="14"/>
  <c r="G582" i="14"/>
  <c r="C582" i="14"/>
  <c r="B582" i="14"/>
  <c r="O583" i="12"/>
  <c r="J583" i="12"/>
  <c r="I583" i="12"/>
  <c r="H583" i="12"/>
  <c r="G583" i="12"/>
  <c r="A583" i="14"/>
  <c r="D582" i="14"/>
  <c r="H582" i="14"/>
  <c r="E582" i="14"/>
  <c r="B583" i="12"/>
  <c r="E583" i="12"/>
  <c r="K583" i="12"/>
  <c r="A584" i="12"/>
  <c r="L583" i="12"/>
  <c r="F428" i="6"/>
  <c r="E428" i="6"/>
  <c r="B428" i="6"/>
  <c r="H428" i="6"/>
  <c r="J428" i="6"/>
  <c r="G430" i="5"/>
  <c r="H430" i="5"/>
  <c r="C489" i="10"/>
  <c r="G489" i="10"/>
  <c r="B489" i="10"/>
  <c r="A490" i="10"/>
  <c r="D489" i="10"/>
  <c r="E489" i="10"/>
  <c r="B430" i="5"/>
  <c r="A429" i="6"/>
  <c r="G428" i="6"/>
  <c r="C430" i="5"/>
  <c r="E430" i="5"/>
  <c r="A431" i="5"/>
  <c r="F431" i="5" s="1"/>
  <c r="D430" i="5"/>
  <c r="D429" i="6" l="1"/>
  <c r="I429" i="6"/>
  <c r="C429" i="6"/>
  <c r="F584" i="12"/>
  <c r="D584" i="12"/>
  <c r="C584" i="12"/>
  <c r="M584" i="12"/>
  <c r="F583" i="14"/>
  <c r="G583" i="14"/>
  <c r="C583" i="14"/>
  <c r="B583" i="14"/>
  <c r="O584" i="12"/>
  <c r="J584" i="12"/>
  <c r="I584" i="12"/>
  <c r="H584" i="12"/>
  <c r="G584" i="12"/>
  <c r="D583" i="14"/>
  <c r="A584" i="14"/>
  <c r="H583" i="14"/>
  <c r="E583" i="14"/>
  <c r="L584" i="12"/>
  <c r="A585" i="12"/>
  <c r="K584" i="12"/>
  <c r="E584" i="12"/>
  <c r="B584" i="12"/>
  <c r="F429" i="6"/>
  <c r="E429" i="6"/>
  <c r="H429" i="6"/>
  <c r="B429" i="6"/>
  <c r="J429" i="6"/>
  <c r="C490" i="10"/>
  <c r="G431" i="5"/>
  <c r="H431" i="5"/>
  <c r="A491" i="10"/>
  <c r="D490" i="10"/>
  <c r="G490" i="10"/>
  <c r="E490" i="10"/>
  <c r="B490" i="10"/>
  <c r="B431" i="5"/>
  <c r="A430" i="6"/>
  <c r="G429" i="6"/>
  <c r="C431" i="5"/>
  <c r="D431" i="5"/>
  <c r="A432" i="5"/>
  <c r="F432" i="5" s="1"/>
  <c r="E431" i="5"/>
  <c r="I430" i="6" l="1"/>
  <c r="D430" i="6"/>
  <c r="C430" i="6"/>
  <c r="M585" i="12"/>
  <c r="D585" i="12"/>
  <c r="C585" i="12"/>
  <c r="F585" i="12"/>
  <c r="G584" i="14"/>
  <c r="F584" i="14"/>
  <c r="C584" i="14"/>
  <c r="B584" i="14"/>
  <c r="O585" i="12"/>
  <c r="J585" i="12"/>
  <c r="G585" i="12"/>
  <c r="I585" i="12"/>
  <c r="H585" i="12"/>
  <c r="A585" i="14"/>
  <c r="D584" i="14"/>
  <c r="E584" i="14"/>
  <c r="H584" i="14"/>
  <c r="B585" i="12"/>
  <c r="K585" i="12"/>
  <c r="A586" i="12"/>
  <c r="E585" i="12"/>
  <c r="L585" i="12"/>
  <c r="F430" i="6"/>
  <c r="E430" i="6"/>
  <c r="H430" i="6"/>
  <c r="B430" i="6"/>
  <c r="J430" i="6"/>
  <c r="G432" i="5"/>
  <c r="H432" i="5"/>
  <c r="C491" i="10"/>
  <c r="E491" i="10"/>
  <c r="A492" i="10"/>
  <c r="D491" i="10"/>
  <c r="B491" i="10"/>
  <c r="G491" i="10"/>
  <c r="B432" i="5"/>
  <c r="G430" i="6"/>
  <c r="A431" i="6"/>
  <c r="C432" i="5"/>
  <c r="D432" i="5"/>
  <c r="A433" i="5"/>
  <c r="F433" i="5" s="1"/>
  <c r="E432" i="5"/>
  <c r="F586" i="12" l="1"/>
  <c r="D586" i="12"/>
  <c r="C586" i="12"/>
  <c r="M586" i="12"/>
  <c r="C431" i="6"/>
  <c r="I431" i="6"/>
  <c r="D431" i="6"/>
  <c r="G585" i="14"/>
  <c r="F585" i="14"/>
  <c r="C585" i="14"/>
  <c r="B585" i="14"/>
  <c r="O586" i="12"/>
  <c r="J586" i="12"/>
  <c r="I586" i="12"/>
  <c r="G586" i="12"/>
  <c r="H586" i="12"/>
  <c r="A586" i="14"/>
  <c r="H585" i="14"/>
  <c r="D585" i="14"/>
  <c r="E585" i="14"/>
  <c r="L586" i="12"/>
  <c r="K586" i="12"/>
  <c r="B586" i="12"/>
  <c r="A587" i="12"/>
  <c r="E586" i="12"/>
  <c r="F431" i="6"/>
  <c r="E431" i="6"/>
  <c r="B431" i="6"/>
  <c r="H431" i="6"/>
  <c r="J431" i="6"/>
  <c r="G433" i="5"/>
  <c r="H433" i="5"/>
  <c r="C492" i="10"/>
  <c r="B492" i="10"/>
  <c r="E492" i="10"/>
  <c r="G492" i="10"/>
  <c r="D492" i="10"/>
  <c r="A493" i="10"/>
  <c r="B433" i="5"/>
  <c r="G431" i="6"/>
  <c r="A432" i="6"/>
  <c r="C433" i="5"/>
  <c r="A434" i="5"/>
  <c r="F434" i="5" s="1"/>
  <c r="D433" i="5"/>
  <c r="E433" i="5"/>
  <c r="M587" i="12" l="1"/>
  <c r="D587" i="12"/>
  <c r="F587" i="12"/>
  <c r="C587" i="12"/>
  <c r="I432" i="6"/>
  <c r="C432" i="6"/>
  <c r="D432" i="6"/>
  <c r="F586" i="14"/>
  <c r="G586" i="14"/>
  <c r="C586" i="14"/>
  <c r="B586" i="14"/>
  <c r="O587" i="12"/>
  <c r="J587" i="12"/>
  <c r="I587" i="12"/>
  <c r="H587" i="12"/>
  <c r="G587" i="12"/>
  <c r="A587" i="14"/>
  <c r="D586" i="14"/>
  <c r="E586" i="14"/>
  <c r="H586" i="14"/>
  <c r="E587" i="12"/>
  <c r="B587" i="12"/>
  <c r="K587" i="12"/>
  <c r="L587" i="12"/>
  <c r="A588" i="12"/>
  <c r="F432" i="6"/>
  <c r="E432" i="6"/>
  <c r="B432" i="6"/>
  <c r="H432" i="6"/>
  <c r="J432" i="6"/>
  <c r="G434" i="5"/>
  <c r="H434" i="5"/>
  <c r="C493" i="10"/>
  <c r="G493" i="10"/>
  <c r="B493" i="10"/>
  <c r="A494" i="10"/>
  <c r="D493" i="10"/>
  <c r="E493" i="10"/>
  <c r="B434" i="5"/>
  <c r="A433" i="6"/>
  <c r="G432" i="6"/>
  <c r="C434" i="5"/>
  <c r="E434" i="5"/>
  <c r="A435" i="5"/>
  <c r="F435" i="5" s="1"/>
  <c r="D434" i="5"/>
  <c r="I433" i="6" l="1"/>
  <c r="D433" i="6"/>
  <c r="C433" i="6"/>
  <c r="F588" i="12"/>
  <c r="D588" i="12"/>
  <c r="C588" i="12"/>
  <c r="M588" i="12"/>
  <c r="G587" i="14"/>
  <c r="F587" i="14"/>
  <c r="C587" i="14"/>
  <c r="B587" i="14"/>
  <c r="O588" i="12"/>
  <c r="J588" i="12"/>
  <c r="I588" i="12"/>
  <c r="H588" i="12"/>
  <c r="G588" i="12"/>
  <c r="H587" i="14"/>
  <c r="E587" i="14"/>
  <c r="D587" i="14"/>
  <c r="A588" i="14"/>
  <c r="K588" i="12"/>
  <c r="L588" i="12"/>
  <c r="A589" i="12"/>
  <c r="E588" i="12"/>
  <c r="B588" i="12"/>
  <c r="F433" i="6"/>
  <c r="E433" i="6"/>
  <c r="H433" i="6"/>
  <c r="B433" i="6"/>
  <c r="J433" i="6"/>
  <c r="C494" i="10"/>
  <c r="G435" i="5"/>
  <c r="H435" i="5"/>
  <c r="A495" i="10"/>
  <c r="D494" i="10"/>
  <c r="G494" i="10"/>
  <c r="E494" i="10"/>
  <c r="B494" i="10"/>
  <c r="B435" i="5"/>
  <c r="A434" i="6"/>
  <c r="G433" i="6"/>
  <c r="C435" i="5"/>
  <c r="E435" i="5"/>
  <c r="A436" i="5"/>
  <c r="F436" i="5" s="1"/>
  <c r="D435" i="5"/>
  <c r="I434" i="6" l="1"/>
  <c r="D434" i="6"/>
  <c r="C434" i="6"/>
  <c r="M589" i="12"/>
  <c r="D589" i="12"/>
  <c r="F589" i="12"/>
  <c r="C589" i="12"/>
  <c r="F588" i="14"/>
  <c r="G588" i="14"/>
  <c r="C588" i="14"/>
  <c r="B588" i="14"/>
  <c r="O589" i="12"/>
  <c r="G589" i="12"/>
  <c r="I589" i="12"/>
  <c r="H589" i="12"/>
  <c r="J589" i="12"/>
  <c r="E588" i="14"/>
  <c r="D588" i="14"/>
  <c r="A589" i="14"/>
  <c r="H588" i="14"/>
  <c r="B589" i="12"/>
  <c r="L589" i="12"/>
  <c r="E589" i="12"/>
  <c r="K589" i="12"/>
  <c r="A590" i="12"/>
  <c r="F434" i="6"/>
  <c r="E434" i="6"/>
  <c r="H434" i="6"/>
  <c r="B434" i="6"/>
  <c r="J434" i="6"/>
  <c r="G436" i="5"/>
  <c r="H436" i="5"/>
  <c r="C495" i="10"/>
  <c r="E495" i="10"/>
  <c r="A496" i="10"/>
  <c r="D495" i="10"/>
  <c r="B495" i="10"/>
  <c r="G495" i="10"/>
  <c r="B436" i="5"/>
  <c r="A435" i="6"/>
  <c r="G434" i="6"/>
  <c r="C436" i="5"/>
  <c r="D436" i="5"/>
  <c r="A437" i="5"/>
  <c r="F437" i="5" s="1"/>
  <c r="E436" i="5"/>
  <c r="I435" i="6" l="1"/>
  <c r="D435" i="6"/>
  <c r="C435" i="6"/>
  <c r="F589" i="14"/>
  <c r="G589" i="14"/>
  <c r="F590" i="12"/>
  <c r="D590" i="12"/>
  <c r="C590" i="12"/>
  <c r="M590" i="12"/>
  <c r="C589" i="14"/>
  <c r="B589" i="14"/>
  <c r="O590" i="12"/>
  <c r="I590" i="12"/>
  <c r="H590" i="12"/>
  <c r="J590" i="12"/>
  <c r="G590" i="12"/>
  <c r="H589" i="14"/>
  <c r="D589" i="14"/>
  <c r="E589" i="14"/>
  <c r="A590" i="14"/>
  <c r="K590" i="12"/>
  <c r="E590" i="12"/>
  <c r="A591" i="12"/>
  <c r="L590" i="12"/>
  <c r="B590" i="12"/>
  <c r="F435" i="6"/>
  <c r="E435" i="6"/>
  <c r="B435" i="6"/>
  <c r="H435" i="6"/>
  <c r="J435" i="6"/>
  <c r="C496" i="10"/>
  <c r="G437" i="5"/>
  <c r="H437" i="5"/>
  <c r="B496" i="10"/>
  <c r="E496" i="10"/>
  <c r="G496" i="10"/>
  <c r="D496" i="10"/>
  <c r="A497" i="10"/>
  <c r="B437" i="5"/>
  <c r="A436" i="6"/>
  <c r="G435" i="6"/>
  <c r="C437" i="5"/>
  <c r="A438" i="5"/>
  <c r="F438" i="5" s="1"/>
  <c r="D437" i="5"/>
  <c r="E437" i="5"/>
  <c r="M591" i="12" l="1"/>
  <c r="D591" i="12"/>
  <c r="F591" i="12"/>
  <c r="C591" i="12"/>
  <c r="F590" i="14"/>
  <c r="G590" i="14"/>
  <c r="D436" i="6"/>
  <c r="C436" i="6"/>
  <c r="I436" i="6"/>
  <c r="C590" i="14"/>
  <c r="B590" i="14"/>
  <c r="O591" i="12"/>
  <c r="J591" i="12"/>
  <c r="I591" i="12"/>
  <c r="H591" i="12"/>
  <c r="G591" i="12"/>
  <c r="E590" i="14"/>
  <c r="A591" i="14"/>
  <c r="D590" i="14"/>
  <c r="H590" i="14"/>
  <c r="B591" i="12"/>
  <c r="L591" i="12"/>
  <c r="A592" i="12"/>
  <c r="K591" i="12"/>
  <c r="E591" i="12"/>
  <c r="F436" i="6"/>
  <c r="E436" i="6"/>
  <c r="B436" i="6"/>
  <c r="H436" i="6"/>
  <c r="J436" i="6"/>
  <c r="G438" i="5"/>
  <c r="H438" i="5"/>
  <c r="C497" i="10"/>
  <c r="G497" i="10"/>
  <c r="B497" i="10"/>
  <c r="A498" i="10"/>
  <c r="D497" i="10"/>
  <c r="E497" i="10"/>
  <c r="B438" i="5"/>
  <c r="A437" i="6"/>
  <c r="G436" i="6"/>
  <c r="C438" i="5"/>
  <c r="E438" i="5"/>
  <c r="A439" i="5"/>
  <c r="F439" i="5" s="1"/>
  <c r="D438" i="5"/>
  <c r="D437" i="6" l="1"/>
  <c r="C437" i="6"/>
  <c r="I437" i="6"/>
  <c r="F592" i="12"/>
  <c r="D592" i="12"/>
  <c r="C592" i="12"/>
  <c r="M592" i="12"/>
  <c r="F591" i="14"/>
  <c r="G591" i="14"/>
  <c r="C591" i="14"/>
  <c r="B591" i="14"/>
  <c r="O592" i="12"/>
  <c r="J592" i="12"/>
  <c r="I592" i="12"/>
  <c r="H592" i="12"/>
  <c r="G592" i="12"/>
  <c r="H591" i="14"/>
  <c r="E591" i="14"/>
  <c r="D591" i="14"/>
  <c r="A592" i="14"/>
  <c r="E592" i="12"/>
  <c r="A593" i="12"/>
  <c r="L592" i="12"/>
  <c r="B592" i="12"/>
  <c r="K592" i="12"/>
  <c r="F437" i="6"/>
  <c r="E437" i="6"/>
  <c r="H437" i="6"/>
  <c r="B437" i="6"/>
  <c r="J437" i="6"/>
  <c r="C498" i="10"/>
  <c r="G439" i="5"/>
  <c r="H439" i="5"/>
  <c r="A499" i="10"/>
  <c r="D498" i="10"/>
  <c r="G498" i="10"/>
  <c r="E498" i="10"/>
  <c r="B498" i="10"/>
  <c r="B439" i="5"/>
  <c r="A438" i="6"/>
  <c r="G437" i="6"/>
  <c r="C439" i="5"/>
  <c r="A440" i="5"/>
  <c r="F440" i="5" s="1"/>
  <c r="E439" i="5"/>
  <c r="D439" i="5"/>
  <c r="G592" i="14" l="1"/>
  <c r="F592" i="14"/>
  <c r="M593" i="12"/>
  <c r="D593" i="12"/>
  <c r="F593" i="12"/>
  <c r="C593" i="12"/>
  <c r="I438" i="6"/>
  <c r="D438" i="6"/>
  <c r="C438" i="6"/>
  <c r="C592" i="14"/>
  <c r="B592" i="14"/>
  <c r="O593" i="12"/>
  <c r="J593" i="12"/>
  <c r="G593" i="12"/>
  <c r="I593" i="12"/>
  <c r="H593" i="12"/>
  <c r="E592" i="14"/>
  <c r="H592" i="14"/>
  <c r="D592" i="14"/>
  <c r="A593" i="14"/>
  <c r="K593" i="12"/>
  <c r="L593" i="12"/>
  <c r="A594" i="12"/>
  <c r="E593" i="12"/>
  <c r="B593" i="12"/>
  <c r="F438" i="6"/>
  <c r="E438" i="6"/>
  <c r="H438" i="6"/>
  <c r="B438" i="6"/>
  <c r="J438" i="6"/>
  <c r="G440" i="5"/>
  <c r="H440" i="5"/>
  <c r="C499" i="10"/>
  <c r="E499" i="10"/>
  <c r="A500" i="10"/>
  <c r="D499" i="10"/>
  <c r="B499" i="10"/>
  <c r="G499" i="10"/>
  <c r="B440" i="5"/>
  <c r="G438" i="6"/>
  <c r="A439" i="6"/>
  <c r="C440" i="5"/>
  <c r="A441" i="5"/>
  <c r="F441" i="5" s="1"/>
  <c r="E440" i="5"/>
  <c r="D440" i="5"/>
  <c r="F594" i="12" l="1"/>
  <c r="D594" i="12"/>
  <c r="C594" i="12"/>
  <c r="M594" i="12"/>
  <c r="G593" i="14"/>
  <c r="F593" i="14"/>
  <c r="C439" i="6"/>
  <c r="I439" i="6"/>
  <c r="D439" i="6"/>
  <c r="C593" i="14"/>
  <c r="B593" i="14"/>
  <c r="O594" i="12"/>
  <c r="J594" i="12"/>
  <c r="H594" i="12"/>
  <c r="G594" i="12"/>
  <c r="I594" i="12"/>
  <c r="H593" i="14"/>
  <c r="D593" i="14"/>
  <c r="E593" i="14"/>
  <c r="A594" i="14"/>
  <c r="E594" i="12"/>
  <c r="L594" i="12"/>
  <c r="K594" i="12"/>
  <c r="B594" i="12"/>
  <c r="A595" i="12"/>
  <c r="F439" i="6"/>
  <c r="E439" i="6"/>
  <c r="B439" i="6"/>
  <c r="H439" i="6"/>
  <c r="J439" i="6"/>
  <c r="G441" i="5"/>
  <c r="H441" i="5"/>
  <c r="C500" i="10"/>
  <c r="B500" i="10"/>
  <c r="E500" i="10"/>
  <c r="G500" i="10"/>
  <c r="A501" i="10"/>
  <c r="D500" i="10"/>
  <c r="B441" i="5"/>
  <c r="G439" i="6"/>
  <c r="A440" i="6"/>
  <c r="C441" i="5"/>
  <c r="E441" i="5"/>
  <c r="A442" i="5"/>
  <c r="F442" i="5" s="1"/>
  <c r="D441" i="5"/>
  <c r="F594" i="14" l="1"/>
  <c r="G594" i="14"/>
  <c r="I440" i="6"/>
  <c r="C440" i="6"/>
  <c r="D440" i="6"/>
  <c r="M595" i="12"/>
  <c r="D595" i="12"/>
  <c r="F595" i="12"/>
  <c r="C595" i="12"/>
  <c r="C594" i="14"/>
  <c r="B594" i="14"/>
  <c r="O595" i="12"/>
  <c r="J595" i="12"/>
  <c r="I595" i="12"/>
  <c r="H595" i="12"/>
  <c r="G595" i="12"/>
  <c r="E594" i="14"/>
  <c r="D594" i="14"/>
  <c r="H594" i="14"/>
  <c r="A595" i="14"/>
  <c r="K595" i="12"/>
  <c r="E595" i="12"/>
  <c r="L595" i="12"/>
  <c r="A596" i="12"/>
  <c r="B595" i="12"/>
  <c r="F440" i="6"/>
  <c r="E440" i="6"/>
  <c r="B440" i="6"/>
  <c r="H440" i="6"/>
  <c r="J440" i="6"/>
  <c r="C501" i="10"/>
  <c r="G442" i="5"/>
  <c r="H442" i="5"/>
  <c r="G501" i="10"/>
  <c r="B501" i="10"/>
  <c r="A502" i="10"/>
  <c r="D501" i="10"/>
  <c r="E501" i="10"/>
  <c r="B442" i="5"/>
  <c r="A441" i="6"/>
  <c r="G440" i="6"/>
  <c r="C442" i="5"/>
  <c r="A443" i="5"/>
  <c r="F443" i="5" s="1"/>
  <c r="E442" i="5"/>
  <c r="D442" i="5"/>
  <c r="G595" i="14" l="1"/>
  <c r="F595" i="14"/>
  <c r="F596" i="12"/>
  <c r="D596" i="12"/>
  <c r="C596" i="12"/>
  <c r="M596" i="12"/>
  <c r="I441" i="6"/>
  <c r="D441" i="6"/>
  <c r="C441" i="6"/>
  <c r="C595" i="14"/>
  <c r="B595" i="14"/>
  <c r="O596" i="12"/>
  <c r="J596" i="12"/>
  <c r="I596" i="12"/>
  <c r="H596" i="12"/>
  <c r="G596" i="12"/>
  <c r="H595" i="14"/>
  <c r="A596" i="14"/>
  <c r="E595" i="14"/>
  <c r="D595" i="14"/>
  <c r="A597" i="12"/>
  <c r="E596" i="12"/>
  <c r="L596" i="12"/>
  <c r="B596" i="12"/>
  <c r="K596" i="12"/>
  <c r="F441" i="6"/>
  <c r="E441" i="6"/>
  <c r="H441" i="6"/>
  <c r="B441" i="6"/>
  <c r="J441" i="6"/>
  <c r="C502" i="10"/>
  <c r="G443" i="5"/>
  <c r="H443" i="5"/>
  <c r="A503" i="10"/>
  <c r="D502" i="10"/>
  <c r="G502" i="10"/>
  <c r="E502" i="10"/>
  <c r="B502" i="10"/>
  <c r="B443" i="5"/>
  <c r="A442" i="6"/>
  <c r="G441" i="6"/>
  <c r="C443" i="5"/>
  <c r="D443" i="5"/>
  <c r="A444" i="5"/>
  <c r="F444" i="5" s="1"/>
  <c r="E443" i="5"/>
  <c r="I442" i="6" l="1"/>
  <c r="C442" i="6"/>
  <c r="D442" i="6"/>
  <c r="M597" i="12"/>
  <c r="D597" i="12"/>
  <c r="F597" i="12"/>
  <c r="C597" i="12"/>
  <c r="F596" i="14"/>
  <c r="G596" i="14"/>
  <c r="C596" i="14"/>
  <c r="B596" i="14"/>
  <c r="O597" i="12"/>
  <c r="G597" i="12"/>
  <c r="J597" i="12"/>
  <c r="I597" i="12"/>
  <c r="H597" i="12"/>
  <c r="E596" i="14"/>
  <c r="D596" i="14"/>
  <c r="H596" i="14"/>
  <c r="A597" i="14"/>
  <c r="K597" i="12"/>
  <c r="B597" i="12"/>
  <c r="L597" i="12"/>
  <c r="A598" i="12"/>
  <c r="E597" i="12"/>
  <c r="F442" i="6"/>
  <c r="E442" i="6"/>
  <c r="H442" i="6"/>
  <c r="B442" i="6"/>
  <c r="J442" i="6"/>
  <c r="G444" i="5"/>
  <c r="H444" i="5"/>
  <c r="C503" i="10"/>
  <c r="E503" i="10"/>
  <c r="A504" i="10"/>
  <c r="D503" i="10"/>
  <c r="B503" i="10"/>
  <c r="G503" i="10"/>
  <c r="B444" i="5"/>
  <c r="A443" i="6"/>
  <c r="G442" i="6"/>
  <c r="C444" i="5"/>
  <c r="A445" i="5"/>
  <c r="F445" i="5" s="1"/>
  <c r="E444" i="5"/>
  <c r="D444" i="5"/>
  <c r="I443" i="6" l="1"/>
  <c r="D443" i="6"/>
  <c r="C443" i="6"/>
  <c r="F598" i="12"/>
  <c r="D598" i="12"/>
  <c r="C598" i="12"/>
  <c r="M598" i="12"/>
  <c r="G597" i="14"/>
  <c r="F597" i="14"/>
  <c r="C597" i="14"/>
  <c r="B597" i="14"/>
  <c r="O598" i="12"/>
  <c r="J598" i="12"/>
  <c r="I598" i="12"/>
  <c r="H598" i="12"/>
  <c r="G598" i="12"/>
  <c r="H597" i="14"/>
  <c r="E597" i="14"/>
  <c r="D597" i="14"/>
  <c r="A598" i="14"/>
  <c r="E598" i="12"/>
  <c r="L598" i="12"/>
  <c r="K598" i="12"/>
  <c r="B598" i="12"/>
  <c r="A599" i="12"/>
  <c r="F443" i="6"/>
  <c r="E443" i="6"/>
  <c r="B443" i="6"/>
  <c r="H443" i="6"/>
  <c r="J443" i="6"/>
  <c r="G445" i="5"/>
  <c r="H445" i="5"/>
  <c r="C504" i="10"/>
  <c r="B504" i="10"/>
  <c r="E504" i="10"/>
  <c r="G504" i="10"/>
  <c r="A505" i="10"/>
  <c r="D504" i="10"/>
  <c r="B445" i="5"/>
  <c r="A444" i="6"/>
  <c r="G443" i="6"/>
  <c r="C445" i="5"/>
  <c r="A446" i="5"/>
  <c r="F446" i="5" s="1"/>
  <c r="D445" i="5"/>
  <c r="E445" i="5"/>
  <c r="F598" i="14" l="1"/>
  <c r="G598" i="14"/>
  <c r="D444" i="6"/>
  <c r="C444" i="6"/>
  <c r="I444" i="6"/>
  <c r="M599" i="12"/>
  <c r="D599" i="12"/>
  <c r="F599" i="12"/>
  <c r="C599" i="12"/>
  <c r="C598" i="14"/>
  <c r="B598" i="14"/>
  <c r="O599" i="12"/>
  <c r="J599" i="12"/>
  <c r="I599" i="12"/>
  <c r="H599" i="12"/>
  <c r="G599" i="12"/>
  <c r="E598" i="14"/>
  <c r="A599" i="14"/>
  <c r="D598" i="14"/>
  <c r="H598" i="14"/>
  <c r="K599" i="12"/>
  <c r="E599" i="12"/>
  <c r="L599" i="12"/>
  <c r="A600" i="12"/>
  <c r="B599" i="12"/>
  <c r="F444" i="6"/>
  <c r="E444" i="6"/>
  <c r="B444" i="6"/>
  <c r="H444" i="6"/>
  <c r="J444" i="6"/>
  <c r="G446" i="5"/>
  <c r="H446" i="5"/>
  <c r="C505" i="10"/>
  <c r="G505" i="10"/>
  <c r="B505" i="10"/>
  <c r="A506" i="10"/>
  <c r="D505" i="10"/>
  <c r="E505" i="10"/>
  <c r="B446" i="5"/>
  <c r="A445" i="6"/>
  <c r="G444" i="6"/>
  <c r="C446" i="5"/>
  <c r="D446" i="5"/>
  <c r="A447" i="5"/>
  <c r="F447" i="5" s="1"/>
  <c r="E446" i="5"/>
  <c r="F600" i="12" l="1"/>
  <c r="D600" i="12"/>
  <c r="C600" i="12"/>
  <c r="M600" i="12"/>
  <c r="F599" i="14"/>
  <c r="G599" i="14"/>
  <c r="D445" i="6"/>
  <c r="I445" i="6"/>
  <c r="C445" i="6"/>
  <c r="C599" i="14"/>
  <c r="B599" i="14"/>
  <c r="O600" i="12"/>
  <c r="J600" i="12"/>
  <c r="I600" i="12"/>
  <c r="H600" i="12"/>
  <c r="G600" i="12"/>
  <c r="H599" i="14"/>
  <c r="E599" i="14"/>
  <c r="D599" i="14"/>
  <c r="A600" i="14"/>
  <c r="E600" i="12"/>
  <c r="L600" i="12"/>
  <c r="B600" i="12"/>
  <c r="K600" i="12"/>
  <c r="A601" i="12"/>
  <c r="F445" i="6"/>
  <c r="E445" i="6"/>
  <c r="H445" i="6"/>
  <c r="B445" i="6"/>
  <c r="J445" i="6"/>
  <c r="C506" i="10"/>
  <c r="G447" i="5"/>
  <c r="H447" i="5"/>
  <c r="A507" i="10"/>
  <c r="D506" i="10"/>
  <c r="G506" i="10"/>
  <c r="E506" i="10"/>
  <c r="B506" i="10"/>
  <c r="B447" i="5"/>
  <c r="A446" i="6"/>
  <c r="G445" i="6"/>
  <c r="C447" i="5"/>
  <c r="D447" i="5"/>
  <c r="A448" i="5"/>
  <c r="F448" i="5" s="1"/>
  <c r="E447" i="5"/>
  <c r="G600" i="14" l="1"/>
  <c r="F600" i="14"/>
  <c r="I446" i="6"/>
  <c r="D446" i="6"/>
  <c r="C446" i="6"/>
  <c r="M601" i="12"/>
  <c r="D601" i="12"/>
  <c r="C601" i="12"/>
  <c r="F601" i="12"/>
  <c r="C600" i="14"/>
  <c r="B600" i="14"/>
  <c r="O601" i="12"/>
  <c r="J601" i="12"/>
  <c r="G601" i="12"/>
  <c r="H601" i="12"/>
  <c r="I601" i="12"/>
  <c r="E600" i="14"/>
  <c r="H600" i="14"/>
  <c r="D600" i="14"/>
  <c r="A601" i="14"/>
  <c r="K601" i="12"/>
  <c r="L601" i="12"/>
  <c r="A602" i="12"/>
  <c r="E601" i="12"/>
  <c r="B601" i="12"/>
  <c r="F446" i="6"/>
  <c r="E446" i="6"/>
  <c r="H446" i="6"/>
  <c r="B446" i="6"/>
  <c r="J446" i="6"/>
  <c r="G448" i="5"/>
  <c r="H448" i="5"/>
  <c r="C507" i="10"/>
  <c r="E507" i="10"/>
  <c r="A508" i="10"/>
  <c r="D507" i="10"/>
  <c r="B507" i="10"/>
  <c r="G507" i="10"/>
  <c r="B448" i="5"/>
  <c r="G446" i="6"/>
  <c r="A447" i="6"/>
  <c r="C448" i="5"/>
  <c r="D448" i="5"/>
  <c r="A449" i="5"/>
  <c r="F449" i="5" s="1"/>
  <c r="E448" i="5"/>
  <c r="F602" i="12" l="1"/>
  <c r="D602" i="12"/>
  <c r="C602" i="12"/>
  <c r="M602" i="12"/>
  <c r="F601" i="14"/>
  <c r="G601" i="14"/>
  <c r="C447" i="6"/>
  <c r="I447" i="6"/>
  <c r="D447" i="6"/>
  <c r="C601" i="14"/>
  <c r="B601" i="14"/>
  <c r="O602" i="12"/>
  <c r="J602" i="12"/>
  <c r="I602" i="12"/>
  <c r="H602" i="12"/>
  <c r="G602" i="12"/>
  <c r="H601" i="14"/>
  <c r="D601" i="14"/>
  <c r="E601" i="14"/>
  <c r="A602" i="14"/>
  <c r="E602" i="12"/>
  <c r="L602" i="12"/>
  <c r="B602" i="12"/>
  <c r="A603" i="12"/>
  <c r="K602" i="12"/>
  <c r="F447" i="6"/>
  <c r="E447" i="6"/>
  <c r="B447" i="6"/>
  <c r="H447" i="6"/>
  <c r="J447" i="6"/>
  <c r="C508" i="10"/>
  <c r="G449" i="5"/>
  <c r="H449" i="5"/>
  <c r="B508" i="10"/>
  <c r="E508" i="10"/>
  <c r="G508" i="10"/>
  <c r="D508" i="10"/>
  <c r="A509" i="10"/>
  <c r="B449" i="5"/>
  <c r="G447" i="6"/>
  <c r="A448" i="6"/>
  <c r="C449" i="5"/>
  <c r="A450" i="5"/>
  <c r="F450" i="5" s="1"/>
  <c r="D449" i="5"/>
  <c r="E449" i="5"/>
  <c r="M603" i="12" l="1"/>
  <c r="D603" i="12"/>
  <c r="F603" i="12"/>
  <c r="C603" i="12"/>
  <c r="F602" i="14"/>
  <c r="G602" i="14"/>
  <c r="I448" i="6"/>
  <c r="C448" i="6"/>
  <c r="D448" i="6"/>
  <c r="C602" i="14"/>
  <c r="B602" i="14"/>
  <c r="O603" i="12"/>
  <c r="J603" i="12"/>
  <c r="I603" i="12"/>
  <c r="H603" i="12"/>
  <c r="G603" i="12"/>
  <c r="E602" i="14"/>
  <c r="H602" i="14"/>
  <c r="D602" i="14"/>
  <c r="A603" i="14"/>
  <c r="K603" i="12"/>
  <c r="L603" i="12"/>
  <c r="A604" i="12"/>
  <c r="B603" i="12"/>
  <c r="E603" i="12"/>
  <c r="F448" i="6"/>
  <c r="E448" i="6"/>
  <c r="B448" i="6"/>
  <c r="H448" i="6"/>
  <c r="J448" i="6"/>
  <c r="C509" i="10"/>
  <c r="G450" i="5"/>
  <c r="H450" i="5"/>
  <c r="G509" i="10"/>
  <c r="B509" i="10"/>
  <c r="A510" i="10"/>
  <c r="D509" i="10"/>
  <c r="E509" i="10"/>
  <c r="B450" i="5"/>
  <c r="A449" i="6"/>
  <c r="G448" i="6"/>
  <c r="C450" i="5"/>
  <c r="A451" i="5"/>
  <c r="F451" i="5" s="1"/>
  <c r="D450" i="5"/>
  <c r="E450" i="5"/>
  <c r="F604" i="12" l="1"/>
  <c r="D604" i="12"/>
  <c r="C604" i="12"/>
  <c r="M604" i="12"/>
  <c r="F603" i="14"/>
  <c r="G603" i="14"/>
  <c r="I449" i="6"/>
  <c r="D449" i="6"/>
  <c r="C449" i="6"/>
  <c r="C603" i="14"/>
  <c r="B603" i="14"/>
  <c r="O604" i="12"/>
  <c r="J604" i="12"/>
  <c r="I604" i="12"/>
  <c r="H604" i="12"/>
  <c r="G604" i="12"/>
  <c r="H603" i="14"/>
  <c r="A604" i="14"/>
  <c r="E603" i="14"/>
  <c r="D603" i="14"/>
  <c r="A605" i="12"/>
  <c r="L604" i="12"/>
  <c r="E604" i="12"/>
  <c r="B604" i="12"/>
  <c r="K604" i="12"/>
  <c r="F449" i="6"/>
  <c r="E449" i="6"/>
  <c r="H449" i="6"/>
  <c r="B449" i="6"/>
  <c r="J449" i="6"/>
  <c r="G451" i="5"/>
  <c r="H451" i="5"/>
  <c r="C510" i="10"/>
  <c r="A511" i="10"/>
  <c r="D510" i="10"/>
  <c r="G510" i="10"/>
  <c r="E510" i="10"/>
  <c r="B510" i="10"/>
  <c r="B451" i="5"/>
  <c r="A450" i="6"/>
  <c r="G449" i="6"/>
  <c r="C451" i="5"/>
  <c r="E451" i="5"/>
  <c r="A452" i="5"/>
  <c r="F452" i="5" s="1"/>
  <c r="D451" i="5"/>
  <c r="I450" i="6" l="1"/>
  <c r="D450" i="6"/>
  <c r="C450" i="6"/>
  <c r="F604" i="14"/>
  <c r="G604" i="14"/>
  <c r="M605" i="12"/>
  <c r="D605" i="12"/>
  <c r="F605" i="12"/>
  <c r="C605" i="12"/>
  <c r="C604" i="14"/>
  <c r="B604" i="14"/>
  <c r="O605" i="12"/>
  <c r="G605" i="12"/>
  <c r="I605" i="12"/>
  <c r="H605" i="12"/>
  <c r="J605" i="12"/>
  <c r="E604" i="14"/>
  <c r="D604" i="14"/>
  <c r="H604" i="14"/>
  <c r="A605" i="14"/>
  <c r="K605" i="12"/>
  <c r="B605" i="12"/>
  <c r="L605" i="12"/>
  <c r="A606" i="12"/>
  <c r="E605" i="12"/>
  <c r="F450" i="6"/>
  <c r="E450" i="6"/>
  <c r="H450" i="6"/>
  <c r="B450" i="6"/>
  <c r="J450" i="6"/>
  <c r="G452" i="5"/>
  <c r="H452" i="5"/>
  <c r="C511" i="10"/>
  <c r="E511" i="10"/>
  <c r="A512" i="10"/>
  <c r="D511" i="10"/>
  <c r="B511" i="10"/>
  <c r="G511" i="10"/>
  <c r="B452" i="5"/>
  <c r="A451" i="6"/>
  <c r="G450" i="6"/>
  <c r="C452" i="5"/>
  <c r="A453" i="5"/>
  <c r="F453" i="5" s="1"/>
  <c r="E452" i="5"/>
  <c r="D452" i="5"/>
  <c r="F606" i="12" l="1"/>
  <c r="D606" i="12"/>
  <c r="C606" i="12"/>
  <c r="M606" i="12"/>
  <c r="I451" i="6"/>
  <c r="D451" i="6"/>
  <c r="C451" i="6"/>
  <c r="G605" i="14"/>
  <c r="F605" i="14"/>
  <c r="C605" i="14"/>
  <c r="B605" i="14"/>
  <c r="O606" i="12"/>
  <c r="I606" i="12"/>
  <c r="H606" i="12"/>
  <c r="J606" i="12"/>
  <c r="G606" i="12"/>
  <c r="H605" i="14"/>
  <c r="A606" i="14"/>
  <c r="E605" i="14"/>
  <c r="D605" i="14"/>
  <c r="K606" i="12"/>
  <c r="E606" i="12"/>
  <c r="L606" i="12"/>
  <c r="B606" i="12"/>
  <c r="A607" i="12"/>
  <c r="F451" i="6"/>
  <c r="E451" i="6"/>
  <c r="B451" i="6"/>
  <c r="H451" i="6"/>
  <c r="J451" i="6"/>
  <c r="G453" i="5"/>
  <c r="H453" i="5"/>
  <c r="C512" i="10"/>
  <c r="B512" i="10"/>
  <c r="E512" i="10"/>
  <c r="G512" i="10"/>
  <c r="D512" i="10"/>
  <c r="A513" i="10"/>
  <c r="B453" i="5"/>
  <c r="A452" i="6"/>
  <c r="G451" i="6"/>
  <c r="C453" i="5"/>
  <c r="A454" i="5"/>
  <c r="F454" i="5" s="1"/>
  <c r="D453" i="5"/>
  <c r="E453" i="5"/>
  <c r="D452" i="6" l="1"/>
  <c r="C452" i="6"/>
  <c r="I452" i="6"/>
  <c r="F606" i="14"/>
  <c r="G606" i="14"/>
  <c r="M607" i="12"/>
  <c r="D607" i="12"/>
  <c r="F607" i="12"/>
  <c r="C607" i="12"/>
  <c r="C606" i="14"/>
  <c r="B606" i="14"/>
  <c r="O607" i="12"/>
  <c r="J607" i="12"/>
  <c r="I607" i="12"/>
  <c r="H607" i="12"/>
  <c r="G607" i="12"/>
  <c r="E606" i="14"/>
  <c r="A607" i="14"/>
  <c r="H606" i="14"/>
  <c r="D606" i="14"/>
  <c r="K607" i="12"/>
  <c r="L607" i="12"/>
  <c r="E607" i="12"/>
  <c r="A608" i="12"/>
  <c r="B607" i="12"/>
  <c r="F452" i="6"/>
  <c r="E452" i="6"/>
  <c r="B452" i="6"/>
  <c r="H452" i="6"/>
  <c r="J452" i="6"/>
  <c r="C513" i="10"/>
  <c r="G454" i="5"/>
  <c r="H454" i="5"/>
  <c r="G513" i="10"/>
  <c r="B513" i="10"/>
  <c r="A514" i="10"/>
  <c r="D513" i="10"/>
  <c r="E513" i="10"/>
  <c r="B454" i="5"/>
  <c r="A453" i="6"/>
  <c r="G452" i="6"/>
  <c r="C454" i="5"/>
  <c r="A455" i="5"/>
  <c r="F455" i="5" s="1"/>
  <c r="D454" i="5"/>
  <c r="E454" i="5"/>
  <c r="D453" i="6" l="1"/>
  <c r="I453" i="6"/>
  <c r="C453" i="6"/>
  <c r="G607" i="14"/>
  <c r="F607" i="14"/>
  <c r="F608" i="12"/>
  <c r="D608" i="12"/>
  <c r="C608" i="12"/>
  <c r="M608" i="12"/>
  <c r="C607" i="14"/>
  <c r="B607" i="14"/>
  <c r="O608" i="12"/>
  <c r="J608" i="12"/>
  <c r="I608" i="12"/>
  <c r="H608" i="12"/>
  <c r="G608" i="12"/>
  <c r="H607" i="14"/>
  <c r="E607" i="14"/>
  <c r="A608" i="14"/>
  <c r="D607" i="14"/>
  <c r="L608" i="12"/>
  <c r="E608" i="12"/>
  <c r="B608" i="12"/>
  <c r="K608" i="12"/>
  <c r="A609" i="12"/>
  <c r="F453" i="6"/>
  <c r="E453" i="6"/>
  <c r="H453" i="6"/>
  <c r="B453" i="6"/>
  <c r="J453" i="6"/>
  <c r="G455" i="5"/>
  <c r="H455" i="5"/>
  <c r="C514" i="10"/>
  <c r="A515" i="10"/>
  <c r="D514" i="10"/>
  <c r="G514" i="10"/>
  <c r="E514" i="10"/>
  <c r="B514" i="10"/>
  <c r="B455" i="5"/>
  <c r="A454" i="6"/>
  <c r="G453" i="6"/>
  <c r="C455" i="5"/>
  <c r="D455" i="5"/>
  <c r="A456" i="5"/>
  <c r="F456" i="5" s="1"/>
  <c r="E455" i="5"/>
  <c r="I454" i="6" l="1"/>
  <c r="D454" i="6"/>
  <c r="C454" i="6"/>
  <c r="G608" i="14"/>
  <c r="F608" i="14"/>
  <c r="M609" i="12"/>
  <c r="D609" i="12"/>
  <c r="F609" i="12"/>
  <c r="C609" i="12"/>
  <c r="C608" i="14"/>
  <c r="B608" i="14"/>
  <c r="O609" i="12"/>
  <c r="J609" i="12"/>
  <c r="G609" i="12"/>
  <c r="H609" i="12"/>
  <c r="I609" i="12"/>
  <c r="E608" i="14"/>
  <c r="H608" i="14"/>
  <c r="A609" i="14"/>
  <c r="D608" i="14"/>
  <c r="K609" i="12"/>
  <c r="B609" i="12"/>
  <c r="L609" i="12"/>
  <c r="A610" i="12"/>
  <c r="E609" i="12"/>
  <c r="F454" i="6"/>
  <c r="E454" i="6"/>
  <c r="H454" i="6"/>
  <c r="B454" i="6"/>
  <c r="J454" i="6"/>
  <c r="G456" i="5"/>
  <c r="H456" i="5"/>
  <c r="C515" i="10"/>
  <c r="E515" i="10"/>
  <c r="A516" i="10"/>
  <c r="D515" i="10"/>
  <c r="B515" i="10"/>
  <c r="G515" i="10"/>
  <c r="B456" i="5"/>
  <c r="G454" i="6"/>
  <c r="A455" i="6"/>
  <c r="C456" i="5"/>
  <c r="D456" i="5"/>
  <c r="A457" i="5"/>
  <c r="F457" i="5" s="1"/>
  <c r="E456" i="5"/>
  <c r="F610" i="12" l="1"/>
  <c r="D610" i="12"/>
  <c r="C610" i="12"/>
  <c r="M610" i="12"/>
  <c r="F609" i="14"/>
  <c r="G609" i="14"/>
  <c r="C455" i="6"/>
  <c r="I455" i="6"/>
  <c r="D455" i="6"/>
  <c r="C609" i="14"/>
  <c r="B609" i="14"/>
  <c r="O610" i="12"/>
  <c r="J610" i="12"/>
  <c r="H610" i="12"/>
  <c r="I610" i="12"/>
  <c r="G610" i="12"/>
  <c r="H609" i="14"/>
  <c r="D609" i="14"/>
  <c r="A610" i="14"/>
  <c r="E609" i="14"/>
  <c r="E610" i="12"/>
  <c r="L610" i="12"/>
  <c r="K610" i="12"/>
  <c r="B610" i="12"/>
  <c r="A611" i="12"/>
  <c r="F455" i="6"/>
  <c r="E455" i="6"/>
  <c r="B455" i="6"/>
  <c r="H455" i="6"/>
  <c r="J455" i="6"/>
  <c r="G457" i="5"/>
  <c r="H457" i="5"/>
  <c r="C516" i="10"/>
  <c r="B516" i="10"/>
  <c r="E516" i="10"/>
  <c r="G516" i="10"/>
  <c r="A517" i="10"/>
  <c r="D516" i="10"/>
  <c r="B457" i="5"/>
  <c r="G455" i="6"/>
  <c r="A456" i="6"/>
  <c r="C457" i="5"/>
  <c r="A458" i="5"/>
  <c r="F458" i="5" s="1"/>
  <c r="D457" i="5"/>
  <c r="E457" i="5"/>
  <c r="F610" i="14" l="1"/>
  <c r="G610" i="14"/>
  <c r="I456" i="6"/>
  <c r="C456" i="6"/>
  <c r="D456" i="6"/>
  <c r="M611" i="12"/>
  <c r="D611" i="12"/>
  <c r="F611" i="12"/>
  <c r="C611" i="12"/>
  <c r="C610" i="14"/>
  <c r="B610" i="14"/>
  <c r="O611" i="12"/>
  <c r="J611" i="12"/>
  <c r="I611" i="12"/>
  <c r="H611" i="12"/>
  <c r="G611" i="12"/>
  <c r="E610" i="14"/>
  <c r="A611" i="14"/>
  <c r="H610" i="14"/>
  <c r="D610" i="14"/>
  <c r="K611" i="12"/>
  <c r="E611" i="12"/>
  <c r="L611" i="12"/>
  <c r="A612" i="12"/>
  <c r="B611" i="12"/>
  <c r="F456" i="6"/>
  <c r="E456" i="6"/>
  <c r="B456" i="6"/>
  <c r="H456" i="6"/>
  <c r="J456" i="6"/>
  <c r="G458" i="5"/>
  <c r="H458" i="5"/>
  <c r="C517" i="10"/>
  <c r="G517" i="10"/>
  <c r="B517" i="10"/>
  <c r="A518" i="10"/>
  <c r="D517" i="10"/>
  <c r="E517" i="10"/>
  <c r="B458" i="5"/>
  <c r="A457" i="6"/>
  <c r="G456" i="6"/>
  <c r="C458" i="5"/>
  <c r="E458" i="5"/>
  <c r="A459" i="5"/>
  <c r="F459" i="5" s="1"/>
  <c r="D458" i="5"/>
  <c r="F612" i="12" l="1"/>
  <c r="D612" i="12"/>
  <c r="C612" i="12"/>
  <c r="M612" i="12"/>
  <c r="I457" i="6"/>
  <c r="D457" i="6"/>
  <c r="C457" i="6"/>
  <c r="G611" i="14"/>
  <c r="F611" i="14"/>
  <c r="C611" i="14"/>
  <c r="B611" i="14"/>
  <c r="O612" i="12"/>
  <c r="J612" i="12"/>
  <c r="I612" i="12"/>
  <c r="H612" i="12"/>
  <c r="G612" i="12"/>
  <c r="H611" i="14"/>
  <c r="A612" i="14"/>
  <c r="E611" i="14"/>
  <c r="D611" i="14"/>
  <c r="A613" i="12"/>
  <c r="E612" i="12"/>
  <c r="L612" i="12"/>
  <c r="B612" i="12"/>
  <c r="K612" i="12"/>
  <c r="F457" i="6"/>
  <c r="E457" i="6"/>
  <c r="H457" i="6"/>
  <c r="B457" i="6"/>
  <c r="J457" i="6"/>
  <c r="C518" i="10"/>
  <c r="G459" i="5"/>
  <c r="H459" i="5"/>
  <c r="A519" i="10"/>
  <c r="D518" i="10"/>
  <c r="G518" i="10"/>
  <c r="E518" i="10"/>
  <c r="B518" i="10"/>
  <c r="B459" i="5"/>
  <c r="A458" i="6"/>
  <c r="G457" i="6"/>
  <c r="C459" i="5"/>
  <c r="D459" i="5"/>
  <c r="A460" i="5"/>
  <c r="F460" i="5" s="1"/>
  <c r="E459" i="5"/>
  <c r="M613" i="12" l="1"/>
  <c r="D613" i="12"/>
  <c r="F613" i="12"/>
  <c r="C613" i="12"/>
  <c r="F612" i="14"/>
  <c r="G612" i="14"/>
  <c r="I458" i="6"/>
  <c r="D458" i="6"/>
  <c r="C458" i="6"/>
  <c r="C612" i="14"/>
  <c r="B612" i="14"/>
  <c r="O613" i="12"/>
  <c r="J613" i="12"/>
  <c r="G613" i="12"/>
  <c r="I613" i="12"/>
  <c r="H613" i="12"/>
  <c r="E612" i="14"/>
  <c r="D612" i="14"/>
  <c r="A613" i="14"/>
  <c r="H612" i="14"/>
  <c r="K613" i="12"/>
  <c r="B613" i="12"/>
  <c r="L613" i="12"/>
  <c r="A614" i="12"/>
  <c r="E613" i="12"/>
  <c r="F458" i="6"/>
  <c r="E458" i="6"/>
  <c r="H458" i="6"/>
  <c r="B458" i="6"/>
  <c r="J458" i="6"/>
  <c r="C519" i="10"/>
  <c r="G460" i="5"/>
  <c r="H460" i="5"/>
  <c r="E519" i="10"/>
  <c r="A520" i="10"/>
  <c r="D519" i="10"/>
  <c r="B519" i="10"/>
  <c r="G519" i="10"/>
  <c r="B460" i="5"/>
  <c r="A459" i="6"/>
  <c r="G458" i="6"/>
  <c r="C460" i="5"/>
  <c r="D460" i="5"/>
  <c r="A461" i="5"/>
  <c r="F461" i="5" s="1"/>
  <c r="E460" i="5"/>
  <c r="F614" i="12" l="1"/>
  <c r="D614" i="12"/>
  <c r="C614" i="12"/>
  <c r="M614" i="12"/>
  <c r="I459" i="6"/>
  <c r="D459" i="6"/>
  <c r="C459" i="6"/>
  <c r="G613" i="14"/>
  <c r="F613" i="14"/>
  <c r="C613" i="14"/>
  <c r="B613" i="14"/>
  <c r="O614" i="12"/>
  <c r="J614" i="12"/>
  <c r="I614" i="12"/>
  <c r="H614" i="12"/>
  <c r="G614" i="12"/>
  <c r="H613" i="14"/>
  <c r="A614" i="14"/>
  <c r="E613" i="14"/>
  <c r="D613" i="14"/>
  <c r="E614" i="12"/>
  <c r="L614" i="12"/>
  <c r="B614" i="12"/>
  <c r="A615" i="12"/>
  <c r="K614" i="12"/>
  <c r="E459" i="6"/>
  <c r="F459" i="6"/>
  <c r="B459" i="6"/>
  <c r="H459" i="6"/>
  <c r="J459" i="6"/>
  <c r="C520" i="10"/>
  <c r="G461" i="5"/>
  <c r="H461" i="5"/>
  <c r="B520" i="10"/>
  <c r="E520" i="10"/>
  <c r="G520" i="10"/>
  <c r="A521" i="10"/>
  <c r="D520" i="10"/>
  <c r="B461" i="5"/>
  <c r="A460" i="6"/>
  <c r="G459" i="6"/>
  <c r="C461" i="5"/>
  <c r="A462" i="5"/>
  <c r="F462" i="5" s="1"/>
  <c r="D461" i="5"/>
  <c r="E461" i="5"/>
  <c r="M615" i="12" l="1"/>
  <c r="D615" i="12"/>
  <c r="F615" i="12"/>
  <c r="C615" i="12"/>
  <c r="D460" i="6"/>
  <c r="C460" i="6"/>
  <c r="I460" i="6"/>
  <c r="F614" i="14"/>
  <c r="G614" i="14"/>
  <c r="C614" i="14"/>
  <c r="B614" i="14"/>
  <c r="O615" i="12"/>
  <c r="I615" i="12"/>
  <c r="H615" i="12"/>
  <c r="J615" i="12"/>
  <c r="G615" i="12"/>
  <c r="E614" i="14"/>
  <c r="A615" i="14"/>
  <c r="H614" i="14"/>
  <c r="D614" i="14"/>
  <c r="K615" i="12"/>
  <c r="L615" i="12"/>
  <c r="A616" i="12"/>
  <c r="B615" i="12"/>
  <c r="E615" i="12"/>
  <c r="F460" i="6"/>
  <c r="E460" i="6"/>
  <c r="B460" i="6"/>
  <c r="H460" i="6"/>
  <c r="J460" i="6"/>
  <c r="G462" i="5"/>
  <c r="H462" i="5"/>
  <c r="C521" i="10"/>
  <c r="G521" i="10"/>
  <c r="B521" i="10"/>
  <c r="A522" i="10"/>
  <c r="D521" i="10"/>
  <c r="E521" i="10"/>
  <c r="B462" i="5"/>
  <c r="A461" i="6"/>
  <c r="G460" i="6"/>
  <c r="C462" i="5"/>
  <c r="E462" i="5"/>
  <c r="A463" i="5"/>
  <c r="F463" i="5" s="1"/>
  <c r="D462" i="5"/>
  <c r="D461" i="6" l="1"/>
  <c r="I461" i="6"/>
  <c r="C461" i="6"/>
  <c r="G615" i="14"/>
  <c r="F615" i="14"/>
  <c r="F616" i="12"/>
  <c r="D616" i="12"/>
  <c r="C616" i="12"/>
  <c r="M616" i="12"/>
  <c r="C615" i="14"/>
  <c r="B615" i="14"/>
  <c r="O616" i="12"/>
  <c r="I616" i="12"/>
  <c r="H616" i="12"/>
  <c r="J616" i="12"/>
  <c r="G616" i="12"/>
  <c r="H615" i="14"/>
  <c r="E615" i="14"/>
  <c r="A616" i="14"/>
  <c r="D615" i="14"/>
  <c r="A617" i="12"/>
  <c r="E616" i="12"/>
  <c r="L616" i="12"/>
  <c r="B616" i="12"/>
  <c r="K616" i="12"/>
  <c r="F461" i="6"/>
  <c r="E461" i="6"/>
  <c r="H461" i="6"/>
  <c r="B461" i="6"/>
  <c r="J461" i="6"/>
  <c r="C522" i="10"/>
  <c r="G463" i="5"/>
  <c r="H463" i="5"/>
  <c r="A523" i="10"/>
  <c r="D522" i="10"/>
  <c r="G522" i="10"/>
  <c r="E522" i="10"/>
  <c r="B522" i="10"/>
  <c r="B463" i="5"/>
  <c r="A462" i="6"/>
  <c r="G461" i="6"/>
  <c r="C463" i="5"/>
  <c r="D463" i="5"/>
  <c r="A464" i="5"/>
  <c r="F464" i="5" s="1"/>
  <c r="E463" i="5"/>
  <c r="G616" i="14" l="1"/>
  <c r="F616" i="14"/>
  <c r="I462" i="6"/>
  <c r="D462" i="6"/>
  <c r="C462" i="6"/>
  <c r="M617" i="12"/>
  <c r="D617" i="12"/>
  <c r="C617" i="12"/>
  <c r="F617" i="12"/>
  <c r="C616" i="14"/>
  <c r="B616" i="14"/>
  <c r="O617" i="12"/>
  <c r="J617" i="12"/>
  <c r="G617" i="12"/>
  <c r="I617" i="12"/>
  <c r="H617" i="12"/>
  <c r="E616" i="14"/>
  <c r="H616" i="14"/>
  <c r="A617" i="14"/>
  <c r="D616" i="14"/>
  <c r="K617" i="12"/>
  <c r="B617" i="12"/>
  <c r="L617" i="12"/>
  <c r="A618" i="12"/>
  <c r="E617" i="12"/>
  <c r="F462" i="6"/>
  <c r="E462" i="6"/>
  <c r="H462" i="6"/>
  <c r="B462" i="6"/>
  <c r="J462" i="6"/>
  <c r="G464" i="5"/>
  <c r="H464" i="5"/>
  <c r="C523" i="10"/>
  <c r="E523" i="10"/>
  <c r="A524" i="10"/>
  <c r="D523" i="10"/>
  <c r="B523" i="10"/>
  <c r="G523" i="10"/>
  <c r="B464" i="5"/>
  <c r="G462" i="6"/>
  <c r="A463" i="6"/>
  <c r="C464" i="5"/>
  <c r="A465" i="5"/>
  <c r="F465" i="5" s="1"/>
  <c r="E464" i="5"/>
  <c r="D464" i="5"/>
  <c r="F618" i="12" l="1"/>
  <c r="D618" i="12"/>
  <c r="C618" i="12"/>
  <c r="M618" i="12"/>
  <c r="F617" i="14"/>
  <c r="G617" i="14"/>
  <c r="C463" i="6"/>
  <c r="D463" i="6"/>
  <c r="I463" i="6"/>
  <c r="C617" i="14"/>
  <c r="B617" i="14"/>
  <c r="O618" i="12"/>
  <c r="J618" i="12"/>
  <c r="I618" i="12"/>
  <c r="G618" i="12"/>
  <c r="H618" i="12"/>
  <c r="H617" i="14"/>
  <c r="D617" i="14"/>
  <c r="A618" i="14"/>
  <c r="E617" i="14"/>
  <c r="E618" i="12"/>
  <c r="L618" i="12"/>
  <c r="K618" i="12"/>
  <c r="B618" i="12"/>
  <c r="A619" i="12"/>
  <c r="E463" i="6"/>
  <c r="F463" i="6"/>
  <c r="B463" i="6"/>
  <c r="H463" i="6"/>
  <c r="J463" i="6"/>
  <c r="G465" i="5"/>
  <c r="H465" i="5"/>
  <c r="C524" i="10"/>
  <c r="B524" i="10"/>
  <c r="E524" i="10"/>
  <c r="G524" i="10"/>
  <c r="D524" i="10"/>
  <c r="A525" i="10"/>
  <c r="B465" i="5"/>
  <c r="G463" i="6"/>
  <c r="A464" i="6"/>
  <c r="C465" i="5"/>
  <c r="E465" i="5"/>
  <c r="A466" i="5"/>
  <c r="F466" i="5" s="1"/>
  <c r="D465" i="5"/>
  <c r="F618" i="14" l="1"/>
  <c r="G618" i="14"/>
  <c r="I464" i="6"/>
  <c r="C464" i="6"/>
  <c r="D464" i="6"/>
  <c r="M619" i="12"/>
  <c r="D619" i="12"/>
  <c r="F619" i="12"/>
  <c r="C619" i="12"/>
  <c r="C618" i="14"/>
  <c r="B618" i="14"/>
  <c r="J619" i="12"/>
  <c r="O619" i="12"/>
  <c r="I619" i="12"/>
  <c r="H619" i="12"/>
  <c r="G619" i="12"/>
  <c r="H618" i="14"/>
  <c r="D618" i="14"/>
  <c r="E618" i="14"/>
  <c r="A619" i="14"/>
  <c r="K619" i="12"/>
  <c r="L619" i="12"/>
  <c r="E619" i="12"/>
  <c r="A620" i="12"/>
  <c r="B619" i="12"/>
  <c r="F464" i="6"/>
  <c r="E464" i="6"/>
  <c r="B464" i="6"/>
  <c r="H464" i="6"/>
  <c r="J464" i="6"/>
  <c r="G466" i="5"/>
  <c r="H466" i="5"/>
  <c r="C525" i="10"/>
  <c r="G525" i="10"/>
  <c r="B525" i="10"/>
  <c r="A526" i="10"/>
  <c r="D525" i="10"/>
  <c r="E525" i="10"/>
  <c r="B466" i="5"/>
  <c r="A465" i="6"/>
  <c r="G464" i="6"/>
  <c r="C466" i="5"/>
  <c r="D466" i="5"/>
  <c r="A467" i="5"/>
  <c r="F467" i="5" s="1"/>
  <c r="E466" i="5"/>
  <c r="G619" i="14" l="1"/>
  <c r="F619" i="14"/>
  <c r="F620" i="12"/>
  <c r="D620" i="12"/>
  <c r="C620" i="12"/>
  <c r="M620" i="12"/>
  <c r="I465" i="6"/>
  <c r="D465" i="6"/>
  <c r="C465" i="6"/>
  <c r="C619" i="14"/>
  <c r="B619" i="14"/>
  <c r="O620" i="12"/>
  <c r="J620" i="12"/>
  <c r="I620" i="12"/>
  <c r="H620" i="12"/>
  <c r="G620" i="12"/>
  <c r="E619" i="14"/>
  <c r="H619" i="14"/>
  <c r="A620" i="14"/>
  <c r="D619" i="14"/>
  <c r="A621" i="12"/>
  <c r="E620" i="12"/>
  <c r="L620" i="12"/>
  <c r="B620" i="12"/>
  <c r="K620" i="12"/>
  <c r="F465" i="6"/>
  <c r="E465" i="6"/>
  <c r="H465" i="6"/>
  <c r="B465" i="6"/>
  <c r="J465" i="6"/>
  <c r="G467" i="5"/>
  <c r="H467" i="5"/>
  <c r="C526" i="10"/>
  <c r="A527" i="10"/>
  <c r="D526" i="10"/>
  <c r="G526" i="10"/>
  <c r="E526" i="10"/>
  <c r="B526" i="10"/>
  <c r="B467" i="5"/>
  <c r="A466" i="6"/>
  <c r="G465" i="6"/>
  <c r="C467" i="5"/>
  <c r="A468" i="5"/>
  <c r="F468" i="5" s="1"/>
  <c r="E467" i="5"/>
  <c r="D467" i="5"/>
  <c r="I466" i="6" l="1"/>
  <c r="C466" i="6"/>
  <c r="D466" i="6"/>
  <c r="G620" i="14"/>
  <c r="F620" i="14"/>
  <c r="M621" i="12"/>
  <c r="D621" i="12"/>
  <c r="F621" i="12"/>
  <c r="C621" i="12"/>
  <c r="C620" i="14"/>
  <c r="B620" i="14"/>
  <c r="O621" i="12"/>
  <c r="J621" i="12"/>
  <c r="G621" i="12"/>
  <c r="I621" i="12"/>
  <c r="H621" i="12"/>
  <c r="H620" i="14"/>
  <c r="D620" i="14"/>
  <c r="A621" i="14"/>
  <c r="E620" i="14"/>
  <c r="K621" i="12"/>
  <c r="B621" i="12"/>
  <c r="L621" i="12"/>
  <c r="A622" i="12"/>
  <c r="E621" i="12"/>
  <c r="F466" i="6"/>
  <c r="E466" i="6"/>
  <c r="H466" i="6"/>
  <c r="B466" i="6"/>
  <c r="J466" i="6"/>
  <c r="G468" i="5"/>
  <c r="H468" i="5"/>
  <c r="C527" i="10"/>
  <c r="E527" i="10"/>
  <c r="A528" i="10"/>
  <c r="D527" i="10"/>
  <c r="B527" i="10"/>
  <c r="G527" i="10"/>
  <c r="B468" i="5"/>
  <c r="A467" i="6"/>
  <c r="G466" i="6"/>
  <c r="C468" i="5"/>
  <c r="A469" i="5"/>
  <c r="F469" i="5" s="1"/>
  <c r="E468" i="5"/>
  <c r="D468" i="5"/>
  <c r="I467" i="6" l="1"/>
  <c r="D467" i="6"/>
  <c r="C467" i="6"/>
  <c r="F621" i="14"/>
  <c r="G621" i="14"/>
  <c r="F622" i="12"/>
  <c r="D622" i="12"/>
  <c r="C622" i="12"/>
  <c r="M622" i="12"/>
  <c r="C621" i="14"/>
  <c r="B621" i="14"/>
  <c r="O622" i="12"/>
  <c r="J622" i="12"/>
  <c r="I622" i="12"/>
  <c r="H622" i="12"/>
  <c r="G622" i="12"/>
  <c r="E621" i="14"/>
  <c r="A622" i="14"/>
  <c r="D621" i="14"/>
  <c r="H621" i="14"/>
  <c r="K622" i="12"/>
  <c r="E622" i="12"/>
  <c r="L622" i="12"/>
  <c r="B622" i="12"/>
  <c r="A623" i="12"/>
  <c r="F467" i="6"/>
  <c r="E467" i="6"/>
  <c r="B467" i="6"/>
  <c r="H467" i="6"/>
  <c r="J467" i="6"/>
  <c r="G469" i="5"/>
  <c r="H469" i="5"/>
  <c r="C528" i="10"/>
  <c r="B528" i="10"/>
  <c r="E528" i="10"/>
  <c r="G528" i="10"/>
  <c r="D528" i="10"/>
  <c r="A529" i="10"/>
  <c r="B469" i="5"/>
  <c r="A468" i="6"/>
  <c r="G467" i="6"/>
  <c r="C469" i="5"/>
  <c r="A470" i="5"/>
  <c r="F470" i="5" s="1"/>
  <c r="D469" i="5"/>
  <c r="E469" i="5"/>
  <c r="D468" i="6" l="1"/>
  <c r="C468" i="6"/>
  <c r="I468" i="6"/>
  <c r="F622" i="14"/>
  <c r="G622" i="14"/>
  <c r="M623" i="12"/>
  <c r="D623" i="12"/>
  <c r="F623" i="12"/>
  <c r="C623" i="12"/>
  <c r="C622" i="14"/>
  <c r="B622" i="14"/>
  <c r="O623" i="12"/>
  <c r="J623" i="12"/>
  <c r="I623" i="12"/>
  <c r="H623" i="12"/>
  <c r="G623" i="12"/>
  <c r="H622" i="14"/>
  <c r="A623" i="14"/>
  <c r="E622" i="14"/>
  <c r="D622" i="14"/>
  <c r="K623" i="12"/>
  <c r="L623" i="12"/>
  <c r="A624" i="12"/>
  <c r="B623" i="12"/>
  <c r="E623" i="12"/>
  <c r="F468" i="6"/>
  <c r="E468" i="6"/>
  <c r="B468" i="6"/>
  <c r="H468" i="6"/>
  <c r="J468" i="6"/>
  <c r="G470" i="5"/>
  <c r="H470" i="5"/>
  <c r="C529" i="10"/>
  <c r="G529" i="10"/>
  <c r="B529" i="10"/>
  <c r="A530" i="10"/>
  <c r="D529" i="10"/>
  <c r="E529" i="10"/>
  <c r="B470" i="5"/>
  <c r="A469" i="6"/>
  <c r="G468" i="6"/>
  <c r="C470" i="5"/>
  <c r="A471" i="5"/>
  <c r="F471" i="5" s="1"/>
  <c r="D470" i="5"/>
  <c r="E470" i="5"/>
  <c r="D469" i="6" l="1"/>
  <c r="I469" i="6"/>
  <c r="C469" i="6"/>
  <c r="F623" i="14"/>
  <c r="G623" i="14"/>
  <c r="F624" i="12"/>
  <c r="D624" i="12"/>
  <c r="C624" i="12"/>
  <c r="M624" i="12"/>
  <c r="C623" i="14"/>
  <c r="B623" i="14"/>
  <c r="O624" i="12"/>
  <c r="J624" i="12"/>
  <c r="I624" i="12"/>
  <c r="H624" i="12"/>
  <c r="G624" i="12"/>
  <c r="E623" i="14"/>
  <c r="A624" i="14"/>
  <c r="D623" i="14"/>
  <c r="H623" i="14"/>
  <c r="A625" i="12"/>
  <c r="E624" i="12"/>
  <c r="B624" i="12"/>
  <c r="K624" i="12"/>
  <c r="L624" i="12"/>
  <c r="F469" i="6"/>
  <c r="E469" i="6"/>
  <c r="H469" i="6"/>
  <c r="B469" i="6"/>
  <c r="J469" i="6"/>
  <c r="G471" i="5"/>
  <c r="H471" i="5"/>
  <c r="C530" i="10"/>
  <c r="A531" i="10"/>
  <c r="D530" i="10"/>
  <c r="G530" i="10"/>
  <c r="E530" i="10"/>
  <c r="B530" i="10"/>
  <c r="B471" i="5"/>
  <c r="A470" i="6"/>
  <c r="G469" i="6"/>
  <c r="C471" i="5"/>
  <c r="A472" i="5"/>
  <c r="F472" i="5" s="1"/>
  <c r="E471" i="5"/>
  <c r="D471" i="5"/>
  <c r="I470" i="6" l="1"/>
  <c r="D470" i="6"/>
  <c r="C470" i="6"/>
  <c r="M625" i="12"/>
  <c r="D625" i="12"/>
  <c r="F625" i="12"/>
  <c r="C625" i="12"/>
  <c r="G624" i="14"/>
  <c r="F624" i="14"/>
  <c r="C624" i="14"/>
  <c r="B624" i="14"/>
  <c r="O625" i="12"/>
  <c r="J625" i="12"/>
  <c r="G625" i="12"/>
  <c r="I625" i="12"/>
  <c r="H625" i="12"/>
  <c r="H624" i="14"/>
  <c r="E624" i="14"/>
  <c r="D624" i="14"/>
  <c r="A625" i="14"/>
  <c r="K625" i="12"/>
  <c r="L625" i="12"/>
  <c r="B625" i="12"/>
  <c r="A626" i="12"/>
  <c r="E625" i="12"/>
  <c r="F470" i="6"/>
  <c r="E470" i="6"/>
  <c r="H470" i="6"/>
  <c r="B470" i="6"/>
  <c r="J470" i="6"/>
  <c r="G472" i="5"/>
  <c r="H472" i="5"/>
  <c r="C531" i="10"/>
  <c r="E531" i="10"/>
  <c r="A532" i="10"/>
  <c r="D531" i="10"/>
  <c r="B531" i="10"/>
  <c r="G531" i="10"/>
  <c r="B472" i="5"/>
  <c r="G470" i="6"/>
  <c r="A471" i="6"/>
  <c r="C472" i="5"/>
  <c r="D472" i="5"/>
  <c r="A473" i="5"/>
  <c r="F473" i="5" s="1"/>
  <c r="E472" i="5"/>
  <c r="F626" i="12" l="1"/>
  <c r="D626" i="12"/>
  <c r="C626" i="12"/>
  <c r="M626" i="12"/>
  <c r="G625" i="14"/>
  <c r="F625" i="14"/>
  <c r="C471" i="6"/>
  <c r="D471" i="6"/>
  <c r="I471" i="6"/>
  <c r="C625" i="14"/>
  <c r="B625" i="14"/>
  <c r="O626" i="12"/>
  <c r="J626" i="12"/>
  <c r="H626" i="12"/>
  <c r="G626" i="12"/>
  <c r="I626" i="12"/>
  <c r="E625" i="14"/>
  <c r="A626" i="14"/>
  <c r="D625" i="14"/>
  <c r="H625" i="14"/>
  <c r="E626" i="12"/>
  <c r="L626" i="12"/>
  <c r="B626" i="12"/>
  <c r="A627" i="12"/>
  <c r="K626" i="12"/>
  <c r="E471" i="6"/>
  <c r="F471" i="6"/>
  <c r="B471" i="6"/>
  <c r="H471" i="6"/>
  <c r="J471" i="6"/>
  <c r="C532" i="10"/>
  <c r="G473" i="5"/>
  <c r="H473" i="5"/>
  <c r="B532" i="10"/>
  <c r="E532" i="10"/>
  <c r="G532" i="10"/>
  <c r="A533" i="10"/>
  <c r="D532" i="10"/>
  <c r="B473" i="5"/>
  <c r="G471" i="6"/>
  <c r="A472" i="6"/>
  <c r="C473" i="5"/>
  <c r="A474" i="5"/>
  <c r="F474" i="5" s="1"/>
  <c r="D473" i="5"/>
  <c r="E473" i="5"/>
  <c r="M627" i="12" l="1"/>
  <c r="D627" i="12"/>
  <c r="F627" i="12"/>
  <c r="C627" i="12"/>
  <c r="F626" i="14"/>
  <c r="G626" i="14"/>
  <c r="I472" i="6"/>
  <c r="C472" i="6"/>
  <c r="D472" i="6"/>
  <c r="C626" i="14"/>
  <c r="B626" i="14"/>
  <c r="O627" i="12"/>
  <c r="J627" i="12"/>
  <c r="I627" i="12"/>
  <c r="H627" i="12"/>
  <c r="G627" i="12"/>
  <c r="H626" i="14"/>
  <c r="A627" i="14"/>
  <c r="D626" i="14"/>
  <c r="E626" i="14"/>
  <c r="K627" i="12"/>
  <c r="L627" i="12"/>
  <c r="A628" i="12"/>
  <c r="B627" i="12"/>
  <c r="E627" i="12"/>
  <c r="F472" i="6"/>
  <c r="E472" i="6"/>
  <c r="B472" i="6"/>
  <c r="H472" i="6"/>
  <c r="J472" i="6"/>
  <c r="G474" i="5"/>
  <c r="H474" i="5"/>
  <c r="C533" i="10"/>
  <c r="G533" i="10"/>
  <c r="B533" i="10"/>
  <c r="A534" i="10"/>
  <c r="D533" i="10"/>
  <c r="E533" i="10"/>
  <c r="B474" i="5"/>
  <c r="A473" i="6"/>
  <c r="G472" i="6"/>
  <c r="C474" i="5"/>
  <c r="A475" i="5"/>
  <c r="F475" i="5" s="1"/>
  <c r="E474" i="5"/>
  <c r="D474" i="5"/>
  <c r="I473" i="6" l="1"/>
  <c r="D473" i="6"/>
  <c r="C473" i="6"/>
  <c r="F628" i="12"/>
  <c r="D628" i="12"/>
  <c r="C628" i="12"/>
  <c r="M628" i="12"/>
  <c r="G627" i="14"/>
  <c r="F627" i="14"/>
  <c r="C627" i="14"/>
  <c r="B627" i="14"/>
  <c r="O628" i="12"/>
  <c r="J628" i="12"/>
  <c r="I628" i="12"/>
  <c r="H628" i="12"/>
  <c r="G628" i="12"/>
  <c r="E627" i="14"/>
  <c r="A628" i="14"/>
  <c r="D627" i="14"/>
  <c r="H627" i="14"/>
  <c r="A629" i="12"/>
  <c r="L628" i="12"/>
  <c r="E628" i="12"/>
  <c r="B628" i="12"/>
  <c r="K628" i="12"/>
  <c r="F473" i="6"/>
  <c r="E473" i="6"/>
  <c r="H473" i="6"/>
  <c r="B473" i="6"/>
  <c r="J473" i="6"/>
  <c r="C534" i="10"/>
  <c r="G475" i="5"/>
  <c r="H475" i="5"/>
  <c r="A535" i="10"/>
  <c r="D534" i="10"/>
  <c r="G534" i="10"/>
  <c r="E534" i="10"/>
  <c r="B534" i="10"/>
  <c r="B475" i="5"/>
  <c r="A474" i="6"/>
  <c r="G473" i="6"/>
  <c r="C475" i="5"/>
  <c r="D475" i="5"/>
  <c r="A476" i="5"/>
  <c r="F476" i="5" s="1"/>
  <c r="E475" i="5"/>
  <c r="M629" i="12" l="1"/>
  <c r="D629" i="12"/>
  <c r="F629" i="12"/>
  <c r="C629" i="12"/>
  <c r="G628" i="14"/>
  <c r="F628" i="14"/>
  <c r="I474" i="6"/>
  <c r="D474" i="6"/>
  <c r="C474" i="6"/>
  <c r="C628" i="14"/>
  <c r="B628" i="14"/>
  <c r="O629" i="12"/>
  <c r="J629" i="12"/>
  <c r="G629" i="12"/>
  <c r="I629" i="12"/>
  <c r="H629" i="12"/>
  <c r="H628" i="14"/>
  <c r="E628" i="14"/>
  <c r="A629" i="14"/>
  <c r="D628" i="14"/>
  <c r="K629" i="12"/>
  <c r="B629" i="12"/>
  <c r="L629" i="12"/>
  <c r="A630" i="12"/>
  <c r="E629" i="12"/>
  <c r="F474" i="6"/>
  <c r="E474" i="6"/>
  <c r="H474" i="6"/>
  <c r="B474" i="6"/>
  <c r="J474" i="6"/>
  <c r="G476" i="5"/>
  <c r="H476" i="5"/>
  <c r="C535" i="10"/>
  <c r="E535" i="10"/>
  <c r="A536" i="10"/>
  <c r="D535" i="10"/>
  <c r="B535" i="10"/>
  <c r="G535" i="10"/>
  <c r="B476" i="5"/>
  <c r="A475" i="6"/>
  <c r="G474" i="6"/>
  <c r="C476" i="5"/>
  <c r="A477" i="5"/>
  <c r="F477" i="5" s="1"/>
  <c r="E476" i="5"/>
  <c r="D476" i="5"/>
  <c r="F630" i="12" l="1"/>
  <c r="D630" i="12"/>
  <c r="C630" i="12"/>
  <c r="M630" i="12"/>
  <c r="I475" i="6"/>
  <c r="D475" i="6"/>
  <c r="C475" i="6"/>
  <c r="G629" i="14"/>
  <c r="F629" i="14"/>
  <c r="C629" i="14"/>
  <c r="B629" i="14"/>
  <c r="O630" i="12"/>
  <c r="J630" i="12"/>
  <c r="I630" i="12"/>
  <c r="H630" i="12"/>
  <c r="G630" i="12"/>
  <c r="E629" i="14"/>
  <c r="A630" i="14"/>
  <c r="D629" i="14"/>
  <c r="H629" i="14"/>
  <c r="E630" i="12"/>
  <c r="L630" i="12"/>
  <c r="B630" i="12"/>
  <c r="A631" i="12"/>
  <c r="K630" i="12"/>
  <c r="E475" i="6"/>
  <c r="F475" i="6"/>
  <c r="B475" i="6"/>
  <c r="H475" i="6"/>
  <c r="J475" i="6"/>
  <c r="G477" i="5"/>
  <c r="H477" i="5"/>
  <c r="C536" i="10"/>
  <c r="B536" i="10"/>
  <c r="E536" i="10"/>
  <c r="G536" i="10"/>
  <c r="A537" i="10"/>
  <c r="D536" i="10"/>
  <c r="B477" i="5"/>
  <c r="A476" i="6"/>
  <c r="G475" i="6"/>
  <c r="C477" i="5"/>
  <c r="A478" i="5"/>
  <c r="F478" i="5" s="1"/>
  <c r="D477" i="5"/>
  <c r="E477" i="5"/>
  <c r="M631" i="12" l="1"/>
  <c r="D631" i="12"/>
  <c r="F631" i="12"/>
  <c r="C631" i="12"/>
  <c r="D476" i="6"/>
  <c r="C476" i="6"/>
  <c r="I476" i="6"/>
  <c r="F630" i="14"/>
  <c r="G630" i="14"/>
  <c r="C630" i="14"/>
  <c r="B630" i="14"/>
  <c r="O631" i="12"/>
  <c r="I631" i="12"/>
  <c r="H631" i="12"/>
  <c r="G631" i="12"/>
  <c r="J631" i="12"/>
  <c r="H630" i="14"/>
  <c r="E630" i="14"/>
  <c r="A631" i="14"/>
  <c r="D630" i="14"/>
  <c r="K631" i="12"/>
  <c r="L631" i="12"/>
  <c r="E631" i="12"/>
  <c r="A632" i="12"/>
  <c r="B631" i="12"/>
  <c r="F476" i="6"/>
  <c r="E476" i="6"/>
  <c r="B476" i="6"/>
  <c r="H476" i="6"/>
  <c r="J476" i="6"/>
  <c r="G478" i="5"/>
  <c r="H478" i="5"/>
  <c r="C537" i="10"/>
  <c r="G537" i="10"/>
  <c r="B537" i="10"/>
  <c r="A538" i="10"/>
  <c r="D537" i="10"/>
  <c r="E537" i="10"/>
  <c r="B478" i="5"/>
  <c r="A477" i="6"/>
  <c r="G476" i="6"/>
  <c r="C478" i="5"/>
  <c r="D478" i="5"/>
  <c r="A479" i="5"/>
  <c r="F479" i="5" s="1"/>
  <c r="E478" i="5"/>
  <c r="D477" i="6" l="1"/>
  <c r="C477" i="6"/>
  <c r="I477" i="6"/>
  <c r="G631" i="14"/>
  <c r="F631" i="14"/>
  <c r="F632" i="12"/>
  <c r="D632" i="12"/>
  <c r="C632" i="12"/>
  <c r="M632" i="12"/>
  <c r="C631" i="14"/>
  <c r="B631" i="14"/>
  <c r="O632" i="12"/>
  <c r="I632" i="12"/>
  <c r="H632" i="12"/>
  <c r="G632" i="12"/>
  <c r="J632" i="12"/>
  <c r="E631" i="14"/>
  <c r="A632" i="14"/>
  <c r="D631" i="14"/>
  <c r="H631" i="14"/>
  <c r="E632" i="12"/>
  <c r="L632" i="12"/>
  <c r="A633" i="12"/>
  <c r="B632" i="12"/>
  <c r="K632" i="12"/>
  <c r="F477" i="6"/>
  <c r="E477" i="6"/>
  <c r="H477" i="6"/>
  <c r="B477" i="6"/>
  <c r="J477" i="6"/>
  <c r="C538" i="10"/>
  <c r="G479" i="5"/>
  <c r="H479" i="5"/>
  <c r="A539" i="10"/>
  <c r="D538" i="10"/>
  <c r="G538" i="10"/>
  <c r="E538" i="10"/>
  <c r="B538" i="10"/>
  <c r="B479" i="5"/>
  <c r="A478" i="6"/>
  <c r="G477" i="6"/>
  <c r="C479" i="5"/>
  <c r="A480" i="5"/>
  <c r="F480" i="5" s="1"/>
  <c r="E479" i="5"/>
  <c r="D479" i="5"/>
  <c r="I478" i="6" l="1"/>
  <c r="D478" i="6"/>
  <c r="C478" i="6"/>
  <c r="M633" i="12"/>
  <c r="D633" i="12"/>
  <c r="C633" i="12"/>
  <c r="F633" i="12"/>
  <c r="G632" i="14"/>
  <c r="F632" i="14"/>
  <c r="C632" i="14"/>
  <c r="B632" i="14"/>
  <c r="O633" i="12"/>
  <c r="J633" i="12"/>
  <c r="G633" i="12"/>
  <c r="H633" i="12"/>
  <c r="I633" i="12"/>
  <c r="H632" i="14"/>
  <c r="E632" i="14"/>
  <c r="A633" i="14"/>
  <c r="D632" i="14"/>
  <c r="K633" i="12"/>
  <c r="B633" i="12"/>
  <c r="L633" i="12"/>
  <c r="A634" i="12"/>
  <c r="E633" i="12"/>
  <c r="F478" i="6"/>
  <c r="E478" i="6"/>
  <c r="H478" i="6"/>
  <c r="B478" i="6"/>
  <c r="J478" i="6"/>
  <c r="G480" i="5"/>
  <c r="H480" i="5"/>
  <c r="C539" i="10"/>
  <c r="E539" i="10"/>
  <c r="A540" i="10"/>
  <c r="D539" i="10"/>
  <c r="B539" i="10"/>
  <c r="G539" i="10"/>
  <c r="B480" i="5"/>
  <c r="A479" i="6"/>
  <c r="G478" i="6"/>
  <c r="C480" i="5"/>
  <c r="A481" i="5"/>
  <c r="F481" i="5" s="1"/>
  <c r="E480" i="5"/>
  <c r="D480" i="5"/>
  <c r="F634" i="12" l="1"/>
  <c r="D634" i="12"/>
  <c r="C634" i="12"/>
  <c r="M634" i="12"/>
  <c r="C479" i="6"/>
  <c r="I479" i="6"/>
  <c r="D479" i="6"/>
  <c r="G633" i="14"/>
  <c r="F633" i="14"/>
  <c r="C633" i="14"/>
  <c r="B633" i="14"/>
  <c r="O634" i="12"/>
  <c r="J634" i="12"/>
  <c r="I634" i="12"/>
  <c r="H634" i="12"/>
  <c r="G634" i="12"/>
  <c r="E633" i="14"/>
  <c r="A634" i="14"/>
  <c r="D633" i="14"/>
  <c r="H633" i="14"/>
  <c r="E634" i="12"/>
  <c r="L634" i="12"/>
  <c r="B634" i="12"/>
  <c r="A635" i="12"/>
  <c r="K634" i="12"/>
  <c r="E479" i="6"/>
  <c r="F479" i="6"/>
  <c r="B479" i="6"/>
  <c r="H479" i="6"/>
  <c r="J479" i="6"/>
  <c r="G481" i="5"/>
  <c r="H481" i="5"/>
  <c r="C540" i="10"/>
  <c r="B540" i="10"/>
  <c r="E540" i="10"/>
  <c r="G540" i="10"/>
  <c r="D540" i="10"/>
  <c r="A541" i="10"/>
  <c r="B481" i="5"/>
  <c r="A480" i="6"/>
  <c r="G479" i="6"/>
  <c r="C481" i="5"/>
  <c r="A482" i="5"/>
  <c r="F482" i="5" s="1"/>
  <c r="D481" i="5"/>
  <c r="E481" i="5"/>
  <c r="I480" i="6" l="1"/>
  <c r="C480" i="6"/>
  <c r="D480" i="6"/>
  <c r="M635" i="12"/>
  <c r="D635" i="12"/>
  <c r="F635" i="12"/>
  <c r="C635" i="12"/>
  <c r="F634" i="14"/>
  <c r="G634" i="14"/>
  <c r="C634" i="14"/>
  <c r="B634" i="14"/>
  <c r="O635" i="12"/>
  <c r="J635" i="12"/>
  <c r="I635" i="12"/>
  <c r="H635" i="12"/>
  <c r="G635" i="12"/>
  <c r="H634" i="14"/>
  <c r="D634" i="14"/>
  <c r="E634" i="14"/>
  <c r="A635" i="14"/>
  <c r="K635" i="12"/>
  <c r="L635" i="12"/>
  <c r="A636" i="12"/>
  <c r="B635" i="12"/>
  <c r="E635" i="12"/>
  <c r="F480" i="6"/>
  <c r="E480" i="6"/>
  <c r="B480" i="6"/>
  <c r="H480" i="6"/>
  <c r="J480" i="6"/>
  <c r="G482" i="5"/>
  <c r="H482" i="5"/>
  <c r="C541" i="10"/>
  <c r="G541" i="10"/>
  <c r="B541" i="10"/>
  <c r="A542" i="10"/>
  <c r="D541" i="10"/>
  <c r="E541" i="10"/>
  <c r="B482" i="5"/>
  <c r="A481" i="6"/>
  <c r="G480" i="6"/>
  <c r="C482" i="5"/>
  <c r="E482" i="5"/>
  <c r="A483" i="5"/>
  <c r="F483" i="5" s="1"/>
  <c r="D482" i="5"/>
  <c r="F636" i="12" l="1"/>
  <c r="D636" i="12"/>
  <c r="C636" i="12"/>
  <c r="M636" i="12"/>
  <c r="F635" i="14"/>
  <c r="G635" i="14"/>
  <c r="I481" i="6"/>
  <c r="D481" i="6"/>
  <c r="C481" i="6"/>
  <c r="C635" i="14"/>
  <c r="B635" i="14"/>
  <c r="O636" i="12"/>
  <c r="J636" i="12"/>
  <c r="I636" i="12"/>
  <c r="H636" i="12"/>
  <c r="G636" i="12"/>
  <c r="E635" i="14"/>
  <c r="A636" i="14"/>
  <c r="D635" i="14"/>
  <c r="H635" i="14"/>
  <c r="A637" i="12"/>
  <c r="E636" i="12"/>
  <c r="L636" i="12"/>
  <c r="B636" i="12"/>
  <c r="K636" i="12"/>
  <c r="F481" i="6"/>
  <c r="E481" i="6"/>
  <c r="H481" i="6"/>
  <c r="B481" i="6"/>
  <c r="J481" i="6"/>
  <c r="G483" i="5"/>
  <c r="H483" i="5"/>
  <c r="C542" i="10"/>
  <c r="A543" i="10"/>
  <c r="D542" i="10"/>
  <c r="G542" i="10"/>
  <c r="E542" i="10"/>
  <c r="B542" i="10"/>
  <c r="B483" i="5"/>
  <c r="A482" i="6"/>
  <c r="G481" i="6"/>
  <c r="C483" i="5"/>
  <c r="D483" i="5"/>
  <c r="A484" i="5"/>
  <c r="F484" i="5" s="1"/>
  <c r="E483" i="5"/>
  <c r="I482" i="6" l="1"/>
  <c r="D482" i="6"/>
  <c r="C482" i="6"/>
  <c r="M637" i="12"/>
  <c r="D637" i="12"/>
  <c r="F637" i="12"/>
  <c r="C637" i="12"/>
  <c r="G636" i="14"/>
  <c r="F636" i="14"/>
  <c r="C636" i="14"/>
  <c r="B636" i="14"/>
  <c r="O637" i="12"/>
  <c r="J637" i="12"/>
  <c r="G637" i="12"/>
  <c r="I637" i="12"/>
  <c r="H637" i="12"/>
  <c r="H636" i="14"/>
  <c r="E636" i="14"/>
  <c r="A637" i="14"/>
  <c r="D636" i="14"/>
  <c r="K637" i="12"/>
  <c r="B637" i="12"/>
  <c r="L637" i="12"/>
  <c r="A638" i="12"/>
  <c r="E637" i="12"/>
  <c r="F482" i="6"/>
  <c r="E482" i="6"/>
  <c r="H482" i="6"/>
  <c r="B482" i="6"/>
  <c r="J482" i="6"/>
  <c r="G484" i="5"/>
  <c r="H484" i="5"/>
  <c r="C543" i="10"/>
  <c r="E543" i="10"/>
  <c r="A544" i="10"/>
  <c r="D543" i="10"/>
  <c r="B543" i="10"/>
  <c r="G543" i="10"/>
  <c r="B484" i="5"/>
  <c r="A483" i="6"/>
  <c r="G482" i="6"/>
  <c r="C484" i="5"/>
  <c r="D484" i="5"/>
  <c r="A485" i="5"/>
  <c r="F485" i="5" s="1"/>
  <c r="E484" i="5"/>
  <c r="F638" i="12" l="1"/>
  <c r="D638" i="12"/>
  <c r="C638" i="12"/>
  <c r="M638" i="12"/>
  <c r="I483" i="6"/>
  <c r="D483" i="6"/>
  <c r="C483" i="6"/>
  <c r="G637" i="14"/>
  <c r="F637" i="14"/>
  <c r="C637" i="14"/>
  <c r="B637" i="14"/>
  <c r="O638" i="12"/>
  <c r="J638" i="12"/>
  <c r="I638" i="12"/>
  <c r="H638" i="12"/>
  <c r="G638" i="12"/>
  <c r="E637" i="14"/>
  <c r="A638" i="14"/>
  <c r="D637" i="14"/>
  <c r="H637" i="14"/>
  <c r="E638" i="12"/>
  <c r="L638" i="12"/>
  <c r="B638" i="12"/>
  <c r="A639" i="12"/>
  <c r="K638" i="12"/>
  <c r="F483" i="6"/>
  <c r="E483" i="6"/>
  <c r="B483" i="6"/>
  <c r="H483" i="6"/>
  <c r="J483" i="6"/>
  <c r="C544" i="10"/>
  <c r="G485" i="5"/>
  <c r="H485" i="5"/>
  <c r="B544" i="10"/>
  <c r="E544" i="10"/>
  <c r="G544" i="10"/>
  <c r="D544" i="10"/>
  <c r="A545" i="10"/>
  <c r="B485" i="5"/>
  <c r="A484" i="6"/>
  <c r="G483" i="6"/>
  <c r="C485" i="5"/>
  <c r="A486" i="5"/>
  <c r="F486" i="5" s="1"/>
  <c r="D485" i="5"/>
  <c r="E485" i="5"/>
  <c r="D484" i="6" l="1"/>
  <c r="C484" i="6"/>
  <c r="I484" i="6"/>
  <c r="F638" i="14"/>
  <c r="G638" i="14"/>
  <c r="M639" i="12"/>
  <c r="D639" i="12"/>
  <c r="F639" i="12"/>
  <c r="C639" i="12"/>
  <c r="C638" i="14"/>
  <c r="B638" i="14"/>
  <c r="O639" i="12"/>
  <c r="J639" i="12"/>
  <c r="I639" i="12"/>
  <c r="H639" i="12"/>
  <c r="G639" i="12"/>
  <c r="H638" i="14"/>
  <c r="D638" i="14"/>
  <c r="A639" i="14"/>
  <c r="E638" i="14"/>
  <c r="K639" i="12"/>
  <c r="A640" i="12"/>
  <c r="E639" i="12"/>
  <c r="B639" i="12"/>
  <c r="L639" i="12"/>
  <c r="F484" i="6"/>
  <c r="E484" i="6"/>
  <c r="B484" i="6"/>
  <c r="H484" i="6"/>
  <c r="J484" i="6"/>
  <c r="G486" i="5"/>
  <c r="H486" i="5"/>
  <c r="C545" i="10"/>
  <c r="G545" i="10"/>
  <c r="B545" i="10"/>
  <c r="A546" i="10"/>
  <c r="D545" i="10"/>
  <c r="E545" i="10"/>
  <c r="B486" i="5"/>
  <c r="G484" i="6"/>
  <c r="A485" i="6"/>
  <c r="C486" i="5"/>
  <c r="E486" i="5"/>
  <c r="A487" i="5"/>
  <c r="F487" i="5" s="1"/>
  <c r="D486" i="5"/>
  <c r="F640" i="12" l="1"/>
  <c r="D640" i="12"/>
  <c r="C640" i="12"/>
  <c r="M640" i="12"/>
  <c r="G639" i="14"/>
  <c r="F639" i="14"/>
  <c r="D485" i="6"/>
  <c r="I485" i="6"/>
  <c r="C485" i="6"/>
  <c r="C639" i="14"/>
  <c r="B639" i="14"/>
  <c r="O640" i="12"/>
  <c r="J640" i="12"/>
  <c r="I640" i="12"/>
  <c r="H640" i="12"/>
  <c r="G640" i="12"/>
  <c r="E639" i="14"/>
  <c r="A640" i="14"/>
  <c r="D639" i="14"/>
  <c r="H639" i="14"/>
  <c r="B640" i="12"/>
  <c r="A641" i="12"/>
  <c r="K640" i="12"/>
  <c r="L640" i="12"/>
  <c r="E640" i="12"/>
  <c r="F485" i="6"/>
  <c r="E485" i="6"/>
  <c r="H485" i="6"/>
  <c r="B485" i="6"/>
  <c r="J485" i="6"/>
  <c r="C546" i="10"/>
  <c r="G487" i="5"/>
  <c r="H487" i="5"/>
  <c r="A547" i="10"/>
  <c r="D546" i="10"/>
  <c r="G546" i="10"/>
  <c r="E546" i="10"/>
  <c r="B546" i="10"/>
  <c r="B487" i="5"/>
  <c r="G485" i="6"/>
  <c r="A486" i="6"/>
  <c r="C487" i="5"/>
  <c r="E487" i="5"/>
  <c r="A488" i="5"/>
  <c r="F488" i="5" s="1"/>
  <c r="D487" i="5"/>
  <c r="M641" i="12" l="1"/>
  <c r="D641" i="12"/>
  <c r="F641" i="12"/>
  <c r="C641" i="12"/>
  <c r="G640" i="14"/>
  <c r="F640" i="14"/>
  <c r="I486" i="6"/>
  <c r="D486" i="6"/>
  <c r="C486" i="6"/>
  <c r="C640" i="14"/>
  <c r="B640" i="14"/>
  <c r="O641" i="12"/>
  <c r="J641" i="12"/>
  <c r="G641" i="12"/>
  <c r="H641" i="12"/>
  <c r="I641" i="12"/>
  <c r="H640" i="14"/>
  <c r="E640" i="14"/>
  <c r="D640" i="14"/>
  <c r="A641" i="14"/>
  <c r="L641" i="12"/>
  <c r="E641" i="12"/>
  <c r="A642" i="12"/>
  <c r="K641" i="12"/>
  <c r="B641" i="12"/>
  <c r="F486" i="6"/>
  <c r="E486" i="6"/>
  <c r="H486" i="6"/>
  <c r="B486" i="6"/>
  <c r="J486" i="6"/>
  <c r="G488" i="5"/>
  <c r="H488" i="5"/>
  <c r="C547" i="10"/>
  <c r="E547" i="10"/>
  <c r="A548" i="10"/>
  <c r="D547" i="10"/>
  <c r="B547" i="10"/>
  <c r="G547" i="10"/>
  <c r="B488" i="5"/>
  <c r="A487" i="6"/>
  <c r="G486" i="6"/>
  <c r="C488" i="5"/>
  <c r="A489" i="5"/>
  <c r="F489" i="5" s="1"/>
  <c r="D488" i="5"/>
  <c r="E488" i="5"/>
  <c r="F642" i="12" l="1"/>
  <c r="D642" i="12"/>
  <c r="C642" i="12"/>
  <c r="M642" i="12"/>
  <c r="G641" i="14"/>
  <c r="F641" i="14"/>
  <c r="C487" i="6"/>
  <c r="D487" i="6"/>
  <c r="I487" i="6"/>
  <c r="C641" i="14"/>
  <c r="B641" i="14"/>
  <c r="O642" i="12"/>
  <c r="J642" i="12"/>
  <c r="H642" i="12"/>
  <c r="I642" i="12"/>
  <c r="G642" i="12"/>
  <c r="E641" i="14"/>
  <c r="A642" i="14"/>
  <c r="D641" i="14"/>
  <c r="H641" i="14"/>
  <c r="B642" i="12"/>
  <c r="L642" i="12"/>
  <c r="A643" i="12"/>
  <c r="K642" i="12"/>
  <c r="E642" i="12"/>
  <c r="E487" i="6"/>
  <c r="F487" i="6"/>
  <c r="B487" i="6"/>
  <c r="H487" i="6"/>
  <c r="J487" i="6"/>
  <c r="G489" i="5"/>
  <c r="H489" i="5"/>
  <c r="C548" i="10"/>
  <c r="B548" i="10"/>
  <c r="E548" i="10"/>
  <c r="G548" i="10"/>
  <c r="A549" i="10"/>
  <c r="D548" i="10"/>
  <c r="B489" i="5"/>
  <c r="A488" i="6"/>
  <c r="G487" i="6"/>
  <c r="C489" i="5"/>
  <c r="A490" i="5"/>
  <c r="F490" i="5" s="1"/>
  <c r="D489" i="5"/>
  <c r="E489" i="5"/>
  <c r="M643" i="12" l="1"/>
  <c r="D643" i="12"/>
  <c r="F643" i="12"/>
  <c r="C643" i="12"/>
  <c r="I488" i="6"/>
  <c r="C488" i="6"/>
  <c r="D488" i="6"/>
  <c r="F642" i="14"/>
  <c r="G642" i="14"/>
  <c r="C642" i="14"/>
  <c r="B642" i="14"/>
  <c r="O643" i="12"/>
  <c r="J643" i="12"/>
  <c r="I643" i="12"/>
  <c r="H643" i="12"/>
  <c r="G643" i="12"/>
  <c r="H642" i="14"/>
  <c r="A643" i="14"/>
  <c r="D642" i="14"/>
  <c r="E642" i="14"/>
  <c r="A644" i="12"/>
  <c r="K643" i="12"/>
  <c r="L643" i="12"/>
  <c r="E643" i="12"/>
  <c r="B643" i="12"/>
  <c r="F488" i="6"/>
  <c r="E488" i="6"/>
  <c r="B488" i="6"/>
  <c r="H488" i="6"/>
  <c r="J488" i="6"/>
  <c r="G490" i="5"/>
  <c r="H490" i="5"/>
  <c r="C549" i="10"/>
  <c r="G549" i="10"/>
  <c r="B549" i="10"/>
  <c r="A550" i="10"/>
  <c r="D549" i="10"/>
  <c r="E549" i="10"/>
  <c r="B490" i="5"/>
  <c r="A489" i="6"/>
  <c r="G488" i="6"/>
  <c r="C490" i="5"/>
  <c r="A491" i="5"/>
  <c r="F491" i="5" s="1"/>
  <c r="E490" i="5"/>
  <c r="D490" i="5"/>
  <c r="F643" i="14" l="1"/>
  <c r="G643" i="14"/>
  <c r="I489" i="6"/>
  <c r="D489" i="6"/>
  <c r="C489" i="6"/>
  <c r="F644" i="12"/>
  <c r="D644" i="12"/>
  <c r="C644" i="12"/>
  <c r="M644" i="12"/>
  <c r="C643" i="14"/>
  <c r="B643" i="14"/>
  <c r="O644" i="12"/>
  <c r="J644" i="12"/>
  <c r="I644" i="12"/>
  <c r="H644" i="12"/>
  <c r="G644" i="12"/>
  <c r="E643" i="14"/>
  <c r="A644" i="14"/>
  <c r="D643" i="14"/>
  <c r="H643" i="14"/>
  <c r="B644" i="12"/>
  <c r="E644" i="12"/>
  <c r="A645" i="12"/>
  <c r="K644" i="12"/>
  <c r="L644" i="12"/>
  <c r="F489" i="6"/>
  <c r="E489" i="6"/>
  <c r="H489" i="6"/>
  <c r="B489" i="6"/>
  <c r="J489" i="6"/>
  <c r="G491" i="5"/>
  <c r="H491" i="5"/>
  <c r="C550" i="10"/>
  <c r="A551" i="10"/>
  <c r="D550" i="10"/>
  <c r="G550" i="10"/>
  <c r="E550" i="10"/>
  <c r="B550" i="10"/>
  <c r="B491" i="5"/>
  <c r="A490" i="6"/>
  <c r="G489" i="6"/>
  <c r="C491" i="5"/>
  <c r="A492" i="5"/>
  <c r="F492" i="5" s="1"/>
  <c r="E491" i="5"/>
  <c r="D491" i="5"/>
  <c r="M645" i="12" l="1"/>
  <c r="D645" i="12"/>
  <c r="F645" i="12"/>
  <c r="C645" i="12"/>
  <c r="F644" i="14"/>
  <c r="G644" i="14"/>
  <c r="I490" i="6"/>
  <c r="D490" i="6"/>
  <c r="C490" i="6"/>
  <c r="C644" i="14"/>
  <c r="B644" i="14"/>
  <c r="O645" i="12"/>
  <c r="J645" i="12"/>
  <c r="G645" i="12"/>
  <c r="I645" i="12"/>
  <c r="H645" i="12"/>
  <c r="H644" i="14"/>
  <c r="E644" i="14"/>
  <c r="D644" i="14"/>
  <c r="A645" i="14"/>
  <c r="L645" i="12"/>
  <c r="A646" i="12"/>
  <c r="E645" i="12"/>
  <c r="B645" i="12"/>
  <c r="K645" i="12"/>
  <c r="F490" i="6"/>
  <c r="E490" i="6"/>
  <c r="H490" i="6"/>
  <c r="B490" i="6"/>
  <c r="J490" i="6"/>
  <c r="G492" i="5"/>
  <c r="H492" i="5"/>
  <c r="C551" i="10"/>
  <c r="E551" i="10"/>
  <c r="A552" i="10"/>
  <c r="D551" i="10"/>
  <c r="B551" i="10"/>
  <c r="G551" i="10"/>
  <c r="B492" i="5"/>
  <c r="A491" i="6"/>
  <c r="G490" i="6"/>
  <c r="C492" i="5"/>
  <c r="D492" i="5"/>
  <c r="A493" i="5"/>
  <c r="F493" i="5" s="1"/>
  <c r="E492" i="5"/>
  <c r="G645" i="14" l="1"/>
  <c r="F645" i="14"/>
  <c r="F646" i="12"/>
  <c r="D646" i="12"/>
  <c r="C646" i="12"/>
  <c r="M646" i="12"/>
  <c r="I491" i="6"/>
  <c r="D491" i="6"/>
  <c r="C491" i="6"/>
  <c r="C645" i="14"/>
  <c r="B645" i="14"/>
  <c r="O646" i="12"/>
  <c r="J646" i="12"/>
  <c r="I646" i="12"/>
  <c r="H646" i="12"/>
  <c r="G646" i="12"/>
  <c r="E645" i="14"/>
  <c r="A646" i="14"/>
  <c r="D645" i="14"/>
  <c r="H645" i="14"/>
  <c r="B646" i="12"/>
  <c r="K646" i="12"/>
  <c r="A647" i="12"/>
  <c r="L646" i="12"/>
  <c r="E646" i="12"/>
  <c r="E491" i="6"/>
  <c r="F491" i="6"/>
  <c r="B491" i="6"/>
  <c r="H491" i="6"/>
  <c r="J491" i="6"/>
  <c r="C552" i="10"/>
  <c r="G493" i="5"/>
  <c r="H493" i="5"/>
  <c r="B552" i="10"/>
  <c r="E552" i="10"/>
  <c r="G552" i="10"/>
  <c r="A553" i="10"/>
  <c r="D552" i="10"/>
  <c r="B493" i="5"/>
  <c r="A492" i="6"/>
  <c r="G491" i="6"/>
  <c r="C493" i="5"/>
  <c r="D493" i="5"/>
  <c r="A494" i="5"/>
  <c r="F494" i="5" s="1"/>
  <c r="E493" i="5"/>
  <c r="D492" i="6" l="1"/>
  <c r="C492" i="6"/>
  <c r="I492" i="6"/>
  <c r="M647" i="12"/>
  <c r="D647" i="12"/>
  <c r="F647" i="12"/>
  <c r="C647" i="12"/>
  <c r="F646" i="14"/>
  <c r="G646" i="14"/>
  <c r="C646" i="14"/>
  <c r="B646" i="14"/>
  <c r="O647" i="12"/>
  <c r="I647" i="12"/>
  <c r="H647" i="12"/>
  <c r="J647" i="12"/>
  <c r="G647" i="12"/>
  <c r="H646" i="14"/>
  <c r="E646" i="14"/>
  <c r="D646" i="14"/>
  <c r="A647" i="14"/>
  <c r="B647" i="12"/>
  <c r="A648" i="12"/>
  <c r="K647" i="12"/>
  <c r="L647" i="12"/>
  <c r="E647" i="12"/>
  <c r="F492" i="6"/>
  <c r="E492" i="6"/>
  <c r="B492" i="6"/>
  <c r="H492" i="6"/>
  <c r="J492" i="6"/>
  <c r="C553" i="10"/>
  <c r="G494" i="5"/>
  <c r="H494" i="5"/>
  <c r="G553" i="10"/>
  <c r="B553" i="10"/>
  <c r="A554" i="10"/>
  <c r="D553" i="10"/>
  <c r="E553" i="10"/>
  <c r="B494" i="5"/>
  <c r="G492" i="6"/>
  <c r="A493" i="6"/>
  <c r="C494" i="5"/>
  <c r="D494" i="5"/>
  <c r="A495" i="5"/>
  <c r="F495" i="5" s="1"/>
  <c r="E494" i="5"/>
  <c r="G647" i="14" l="1"/>
  <c r="F647" i="14"/>
  <c r="F648" i="12"/>
  <c r="D648" i="12"/>
  <c r="C648" i="12"/>
  <c r="M648" i="12"/>
  <c r="D493" i="6"/>
  <c r="I493" i="6"/>
  <c r="C493" i="6"/>
  <c r="C647" i="14"/>
  <c r="B647" i="14"/>
  <c r="O648" i="12"/>
  <c r="I648" i="12"/>
  <c r="H648" i="12"/>
  <c r="J648" i="12"/>
  <c r="G648" i="12"/>
  <c r="E647" i="14"/>
  <c r="A648" i="14"/>
  <c r="D647" i="14"/>
  <c r="H647" i="14"/>
  <c r="B648" i="12"/>
  <c r="E648" i="12"/>
  <c r="A649" i="12"/>
  <c r="K648" i="12"/>
  <c r="L648" i="12"/>
  <c r="F493" i="6"/>
  <c r="E493" i="6"/>
  <c r="H493" i="6"/>
  <c r="B493" i="6"/>
  <c r="J493" i="6"/>
  <c r="C554" i="10"/>
  <c r="G495" i="5"/>
  <c r="H495" i="5"/>
  <c r="A555" i="10"/>
  <c r="D554" i="10"/>
  <c r="G554" i="10"/>
  <c r="E554" i="10"/>
  <c r="B554" i="10"/>
  <c r="B495" i="5"/>
  <c r="G493" i="6"/>
  <c r="A494" i="6"/>
  <c r="C495" i="5"/>
  <c r="A496" i="5"/>
  <c r="F496" i="5" s="1"/>
  <c r="D495" i="5"/>
  <c r="E495" i="5"/>
  <c r="M649" i="12" l="1"/>
  <c r="D649" i="12"/>
  <c r="C649" i="12"/>
  <c r="F649" i="12"/>
  <c r="G648" i="14"/>
  <c r="F648" i="14"/>
  <c r="I494" i="6"/>
  <c r="D494" i="6"/>
  <c r="C494" i="6"/>
  <c r="C648" i="14"/>
  <c r="B648" i="14"/>
  <c r="O649" i="12"/>
  <c r="J649" i="12"/>
  <c r="G649" i="12"/>
  <c r="I649" i="12"/>
  <c r="H649" i="12"/>
  <c r="H648" i="14"/>
  <c r="E648" i="14"/>
  <c r="D648" i="14"/>
  <c r="A649" i="14"/>
  <c r="L649" i="12"/>
  <c r="A650" i="12"/>
  <c r="E649" i="12"/>
  <c r="K649" i="12"/>
  <c r="B649" i="12"/>
  <c r="F494" i="6"/>
  <c r="E494" i="6"/>
  <c r="H494" i="6"/>
  <c r="B494" i="6"/>
  <c r="J494" i="6"/>
  <c r="G496" i="5"/>
  <c r="H496" i="5"/>
  <c r="C555" i="10"/>
  <c r="E555" i="10"/>
  <c r="A556" i="10"/>
  <c r="D555" i="10"/>
  <c r="B555" i="10"/>
  <c r="G555" i="10"/>
  <c r="B496" i="5"/>
  <c r="A495" i="6"/>
  <c r="G494" i="6"/>
  <c r="C496" i="5"/>
  <c r="E496" i="5"/>
  <c r="A497" i="5"/>
  <c r="F497" i="5" s="1"/>
  <c r="D496" i="5"/>
  <c r="C495" i="6" l="1"/>
  <c r="I495" i="6"/>
  <c r="D495" i="6"/>
  <c r="F650" i="12"/>
  <c r="D650" i="12"/>
  <c r="C650" i="12"/>
  <c r="M650" i="12"/>
  <c r="G649" i="14"/>
  <c r="F649" i="14"/>
  <c r="C649" i="14"/>
  <c r="B649" i="14"/>
  <c r="O650" i="12"/>
  <c r="J650" i="12"/>
  <c r="I650" i="12"/>
  <c r="G650" i="12"/>
  <c r="H650" i="12"/>
  <c r="E649" i="14"/>
  <c r="A650" i="14"/>
  <c r="D649" i="14"/>
  <c r="H649" i="14"/>
  <c r="K650" i="12"/>
  <c r="E650" i="12"/>
  <c r="B650" i="12"/>
  <c r="L650" i="12"/>
  <c r="A651" i="12"/>
  <c r="E495" i="6"/>
  <c r="F495" i="6"/>
  <c r="B495" i="6"/>
  <c r="H495" i="6"/>
  <c r="J495" i="6"/>
  <c r="C556" i="10"/>
  <c r="G497" i="5"/>
  <c r="H497" i="5"/>
  <c r="B556" i="10"/>
  <c r="E556" i="10"/>
  <c r="G556" i="10"/>
  <c r="D556" i="10"/>
  <c r="A557" i="10"/>
  <c r="B497" i="5"/>
  <c r="A496" i="6"/>
  <c r="G495" i="6"/>
  <c r="C497" i="5"/>
  <c r="D497" i="5"/>
  <c r="A498" i="5"/>
  <c r="F498" i="5" s="1"/>
  <c r="E497" i="5"/>
  <c r="I496" i="6" l="1"/>
  <c r="C496" i="6"/>
  <c r="D496" i="6"/>
  <c r="F650" i="14"/>
  <c r="G650" i="14"/>
  <c r="M651" i="12"/>
  <c r="D651" i="12"/>
  <c r="F651" i="12"/>
  <c r="C651" i="12"/>
  <c r="C650" i="14"/>
  <c r="B650" i="14"/>
  <c r="O651" i="12"/>
  <c r="J651" i="12"/>
  <c r="I651" i="12"/>
  <c r="H651" i="12"/>
  <c r="G651" i="12"/>
  <c r="H650" i="14"/>
  <c r="D650" i="14"/>
  <c r="E650" i="14"/>
  <c r="A651" i="14"/>
  <c r="B651" i="12"/>
  <c r="E651" i="12"/>
  <c r="A652" i="12"/>
  <c r="K651" i="12"/>
  <c r="L651" i="12"/>
  <c r="F496" i="6"/>
  <c r="E496" i="6"/>
  <c r="B496" i="6"/>
  <c r="H496" i="6"/>
  <c r="J496" i="6"/>
  <c r="G498" i="5"/>
  <c r="H498" i="5"/>
  <c r="C557" i="10"/>
  <c r="G557" i="10"/>
  <c r="B557" i="10"/>
  <c r="A558" i="10"/>
  <c r="D557" i="10"/>
  <c r="E557" i="10"/>
  <c r="B498" i="5"/>
  <c r="A497" i="6"/>
  <c r="G496" i="6"/>
  <c r="C498" i="5"/>
  <c r="A499" i="5"/>
  <c r="F499" i="5" s="1"/>
  <c r="E498" i="5"/>
  <c r="D498" i="5"/>
  <c r="F651" i="14" l="1"/>
  <c r="G651" i="14"/>
  <c r="I497" i="6"/>
  <c r="D497" i="6"/>
  <c r="C497" i="6"/>
  <c r="F652" i="12"/>
  <c r="D652" i="12"/>
  <c r="C652" i="12"/>
  <c r="M652" i="12"/>
  <c r="C651" i="14"/>
  <c r="B651" i="14"/>
  <c r="O652" i="12"/>
  <c r="J652" i="12"/>
  <c r="I652" i="12"/>
  <c r="H652" i="12"/>
  <c r="G652" i="12"/>
  <c r="E651" i="14"/>
  <c r="A652" i="14"/>
  <c r="D651" i="14"/>
  <c r="H651" i="14"/>
  <c r="B652" i="12"/>
  <c r="A653" i="12"/>
  <c r="K652" i="12"/>
  <c r="L652" i="12"/>
  <c r="E652" i="12"/>
  <c r="F497" i="6"/>
  <c r="E497" i="6"/>
  <c r="H497" i="6"/>
  <c r="B497" i="6"/>
  <c r="J497" i="6"/>
  <c r="C558" i="10"/>
  <c r="G499" i="5"/>
  <c r="H499" i="5"/>
  <c r="A559" i="10"/>
  <c r="D558" i="10"/>
  <c r="G558" i="10"/>
  <c r="E558" i="10"/>
  <c r="B558" i="10"/>
  <c r="B499" i="5"/>
  <c r="A498" i="6"/>
  <c r="G497" i="6"/>
  <c r="C499" i="5"/>
  <c r="A500" i="5"/>
  <c r="F500" i="5" s="1"/>
  <c r="D499" i="5"/>
  <c r="E499" i="5"/>
  <c r="I498" i="6" l="1"/>
  <c r="D498" i="6"/>
  <c r="C498" i="6"/>
  <c r="M653" i="12"/>
  <c r="D653" i="12"/>
  <c r="F653" i="12"/>
  <c r="C653" i="12"/>
  <c r="G652" i="14"/>
  <c r="F652" i="14"/>
  <c r="C652" i="14"/>
  <c r="B652" i="14"/>
  <c r="O653" i="12"/>
  <c r="J653" i="12"/>
  <c r="G653" i="12"/>
  <c r="I653" i="12"/>
  <c r="H653" i="12"/>
  <c r="H652" i="14"/>
  <c r="E652" i="14"/>
  <c r="A653" i="14"/>
  <c r="D652" i="14"/>
  <c r="L653" i="12"/>
  <c r="A654" i="12"/>
  <c r="E653" i="12"/>
  <c r="K653" i="12"/>
  <c r="B653" i="12"/>
  <c r="F498" i="6"/>
  <c r="E498" i="6"/>
  <c r="H498" i="6"/>
  <c r="B498" i="6"/>
  <c r="J498" i="6"/>
  <c r="G500" i="5"/>
  <c r="H500" i="5"/>
  <c r="C559" i="10"/>
  <c r="E559" i="10"/>
  <c r="A560" i="10"/>
  <c r="D559" i="10"/>
  <c r="B559" i="10"/>
  <c r="G559" i="10"/>
  <c r="B500" i="5"/>
  <c r="A499" i="6"/>
  <c r="G498" i="6"/>
  <c r="C500" i="5"/>
  <c r="A501" i="5"/>
  <c r="F501" i="5" s="1"/>
  <c r="D500" i="5"/>
  <c r="E500" i="5"/>
  <c r="F654" i="12" l="1"/>
  <c r="D654" i="12"/>
  <c r="C654" i="12"/>
  <c r="M654" i="12"/>
  <c r="I499" i="6"/>
  <c r="D499" i="6"/>
  <c r="C499" i="6"/>
  <c r="F653" i="14"/>
  <c r="G653" i="14"/>
  <c r="C653" i="14"/>
  <c r="B653" i="14"/>
  <c r="O654" i="12"/>
  <c r="J654" i="12"/>
  <c r="I654" i="12"/>
  <c r="H654" i="12"/>
  <c r="G654" i="12"/>
  <c r="E653" i="14"/>
  <c r="A654" i="14"/>
  <c r="D653" i="14"/>
  <c r="H653" i="14"/>
  <c r="B654" i="12"/>
  <c r="K654" i="12"/>
  <c r="A655" i="12"/>
  <c r="L654" i="12"/>
  <c r="E654" i="12"/>
  <c r="F499" i="6"/>
  <c r="E499" i="6"/>
  <c r="B499" i="6"/>
  <c r="H499" i="6"/>
  <c r="J499" i="6"/>
  <c r="C560" i="10"/>
  <c r="G501" i="5"/>
  <c r="H501" i="5"/>
  <c r="B560" i="10"/>
  <c r="E560" i="10"/>
  <c r="G560" i="10"/>
  <c r="D560" i="10"/>
  <c r="A561" i="10"/>
  <c r="B501" i="5"/>
  <c r="A500" i="6"/>
  <c r="G499" i="6"/>
  <c r="C501" i="5"/>
  <c r="A502" i="5"/>
  <c r="F502" i="5" s="1"/>
  <c r="E501" i="5"/>
  <c r="D501" i="5"/>
  <c r="D500" i="6" l="1"/>
  <c r="C500" i="6"/>
  <c r="I500" i="6"/>
  <c r="M655" i="12"/>
  <c r="D655" i="12"/>
  <c r="F655" i="12"/>
  <c r="C655" i="12"/>
  <c r="F654" i="14"/>
  <c r="G654" i="14"/>
  <c r="C654" i="14"/>
  <c r="B654" i="14"/>
  <c r="O655" i="12"/>
  <c r="J655" i="12"/>
  <c r="I655" i="12"/>
  <c r="H655" i="12"/>
  <c r="G655" i="12"/>
  <c r="E654" i="14"/>
  <c r="A655" i="14"/>
  <c r="H654" i="14"/>
  <c r="D654" i="14"/>
  <c r="A656" i="12"/>
  <c r="K655" i="12"/>
  <c r="L655" i="12"/>
  <c r="E655" i="12"/>
  <c r="B655" i="12"/>
  <c r="F500" i="6"/>
  <c r="E500" i="6"/>
  <c r="B500" i="6"/>
  <c r="H500" i="6"/>
  <c r="J500" i="6"/>
  <c r="C561" i="10"/>
  <c r="G502" i="5"/>
  <c r="H502" i="5"/>
  <c r="G561" i="10"/>
  <c r="D561" i="10"/>
  <c r="A562" i="10"/>
  <c r="B561" i="10"/>
  <c r="E561" i="10"/>
  <c r="B502" i="5"/>
  <c r="G500" i="6"/>
  <c r="A501" i="6"/>
  <c r="C502" i="5"/>
  <c r="D502" i="5"/>
  <c r="E502" i="5"/>
  <c r="A503" i="5"/>
  <c r="F503" i="5" s="1"/>
  <c r="F656" i="12" l="1"/>
  <c r="D656" i="12"/>
  <c r="C656" i="12"/>
  <c r="M656" i="12"/>
  <c r="G655" i="14"/>
  <c r="F655" i="14"/>
  <c r="D501" i="6"/>
  <c r="C501" i="6"/>
  <c r="I501" i="6"/>
  <c r="C655" i="14"/>
  <c r="B655" i="14"/>
  <c r="O656" i="12"/>
  <c r="J656" i="12"/>
  <c r="I656" i="12"/>
  <c r="H656" i="12"/>
  <c r="G656" i="12"/>
  <c r="A656" i="14"/>
  <c r="D655" i="14"/>
  <c r="H655" i="14"/>
  <c r="E655" i="14"/>
  <c r="B656" i="12"/>
  <c r="A657" i="12"/>
  <c r="K656" i="12"/>
  <c r="E656" i="12"/>
  <c r="L656" i="12"/>
  <c r="F501" i="6"/>
  <c r="E501" i="6"/>
  <c r="H501" i="6"/>
  <c r="B501" i="6"/>
  <c r="J501" i="6"/>
  <c r="C562" i="10"/>
  <c r="G503" i="5"/>
  <c r="H503" i="5"/>
  <c r="A563" i="10"/>
  <c r="D562" i="10"/>
  <c r="G562" i="10"/>
  <c r="B562" i="10"/>
  <c r="E562" i="10"/>
  <c r="B503" i="5"/>
  <c r="G501" i="6"/>
  <c r="A502" i="6"/>
  <c r="C503" i="5"/>
  <c r="E503" i="5"/>
  <c r="A504" i="5"/>
  <c r="F504" i="5" s="1"/>
  <c r="D503" i="5"/>
  <c r="M657" i="12" l="1"/>
  <c r="D657" i="12"/>
  <c r="F657" i="12"/>
  <c r="C657" i="12"/>
  <c r="I502" i="6"/>
  <c r="D502" i="6"/>
  <c r="C502" i="6"/>
  <c r="F656" i="14"/>
  <c r="G656" i="14"/>
  <c r="C656" i="14"/>
  <c r="B656" i="14"/>
  <c r="O657" i="12"/>
  <c r="J657" i="12"/>
  <c r="G657" i="12"/>
  <c r="I657" i="12"/>
  <c r="H657" i="12"/>
  <c r="E656" i="14"/>
  <c r="D656" i="14"/>
  <c r="A657" i="14"/>
  <c r="H656" i="14"/>
  <c r="K657" i="12"/>
  <c r="B657" i="12"/>
  <c r="L657" i="12"/>
  <c r="E657" i="12"/>
  <c r="A658" i="12"/>
  <c r="F502" i="6"/>
  <c r="E502" i="6"/>
  <c r="H502" i="6"/>
  <c r="B502" i="6"/>
  <c r="J502" i="6"/>
  <c r="G504" i="5"/>
  <c r="H504" i="5"/>
  <c r="C563" i="10"/>
  <c r="E563" i="10"/>
  <c r="D563" i="10"/>
  <c r="G563" i="10"/>
  <c r="B563" i="10"/>
  <c r="A564" i="10"/>
  <c r="B504" i="5"/>
  <c r="A503" i="6"/>
  <c r="G502" i="6"/>
  <c r="C504" i="5"/>
  <c r="E504" i="5"/>
  <c r="A505" i="5"/>
  <c r="F505" i="5" s="1"/>
  <c r="D504" i="5"/>
  <c r="C503" i="6" l="1"/>
  <c r="I503" i="6"/>
  <c r="D503" i="6"/>
  <c r="G657" i="14"/>
  <c r="F657" i="14"/>
  <c r="F658" i="12"/>
  <c r="D658" i="12"/>
  <c r="C658" i="12"/>
  <c r="M658" i="12"/>
  <c r="C657" i="14"/>
  <c r="B657" i="14"/>
  <c r="O658" i="12"/>
  <c r="J658" i="12"/>
  <c r="H658" i="12"/>
  <c r="I658" i="12"/>
  <c r="G658" i="12"/>
  <c r="A658" i="14"/>
  <c r="D657" i="14"/>
  <c r="H657" i="14"/>
  <c r="E657" i="14"/>
  <c r="E658" i="12"/>
  <c r="L658" i="12"/>
  <c r="A659" i="12"/>
  <c r="B658" i="12"/>
  <c r="K658" i="12"/>
  <c r="E503" i="6"/>
  <c r="F503" i="6"/>
  <c r="B503" i="6"/>
  <c r="H503" i="6"/>
  <c r="J503" i="6"/>
  <c r="G505" i="5"/>
  <c r="H505" i="5"/>
  <c r="C564" i="10"/>
  <c r="B564" i="10"/>
  <c r="G564" i="10"/>
  <c r="D564" i="10"/>
  <c r="E564" i="10"/>
  <c r="A565" i="10"/>
  <c r="B505" i="5"/>
  <c r="A504" i="6"/>
  <c r="G503" i="6"/>
  <c r="C505" i="5"/>
  <c r="E505" i="5"/>
  <c r="A506" i="5"/>
  <c r="F506" i="5" s="1"/>
  <c r="D505" i="5"/>
  <c r="M659" i="12" l="1"/>
  <c r="D659" i="12"/>
  <c r="F659" i="12"/>
  <c r="C659" i="12"/>
  <c r="I504" i="6"/>
  <c r="C504" i="6"/>
  <c r="D504" i="6"/>
  <c r="F658" i="14"/>
  <c r="G658" i="14"/>
  <c r="C658" i="14"/>
  <c r="B658" i="14"/>
  <c r="O659" i="12"/>
  <c r="J659" i="12"/>
  <c r="I659" i="12"/>
  <c r="H659" i="12"/>
  <c r="G659" i="12"/>
  <c r="E658" i="14"/>
  <c r="A659" i="14"/>
  <c r="H658" i="14"/>
  <c r="D658" i="14"/>
  <c r="K659" i="12"/>
  <c r="L659" i="12"/>
  <c r="B659" i="12"/>
  <c r="A660" i="12"/>
  <c r="E659" i="12"/>
  <c r="F504" i="6"/>
  <c r="E504" i="6"/>
  <c r="B504" i="6"/>
  <c r="H504" i="6"/>
  <c r="J504" i="6"/>
  <c r="G506" i="5"/>
  <c r="H506" i="5"/>
  <c r="C565" i="10"/>
  <c r="G565" i="10"/>
  <c r="A566" i="10"/>
  <c r="D565" i="10"/>
  <c r="E565" i="10"/>
  <c r="B565" i="10"/>
  <c r="B506" i="5"/>
  <c r="A505" i="6"/>
  <c r="G504" i="6"/>
  <c r="C506" i="5"/>
  <c r="E506" i="5"/>
  <c r="D506" i="5"/>
  <c r="A507" i="5"/>
  <c r="F507" i="5" s="1"/>
  <c r="I505" i="6" l="1"/>
  <c r="D505" i="6"/>
  <c r="C505" i="6"/>
  <c r="F660" i="12"/>
  <c r="D660" i="12"/>
  <c r="C660" i="12"/>
  <c r="M660" i="12"/>
  <c r="F659" i="14"/>
  <c r="G659" i="14"/>
  <c r="C659" i="14"/>
  <c r="B659" i="14"/>
  <c r="O660" i="12"/>
  <c r="J660" i="12"/>
  <c r="I660" i="12"/>
  <c r="H660" i="12"/>
  <c r="G660" i="12"/>
  <c r="A660" i="14"/>
  <c r="D659" i="14"/>
  <c r="H659" i="14"/>
  <c r="E659" i="14"/>
  <c r="E660" i="12"/>
  <c r="L660" i="12"/>
  <c r="K660" i="12"/>
  <c r="B660" i="12"/>
  <c r="A661" i="12"/>
  <c r="F505" i="6"/>
  <c r="E505" i="6"/>
  <c r="H505" i="6"/>
  <c r="B505" i="6"/>
  <c r="J505" i="6"/>
  <c r="C566" i="10"/>
  <c r="G507" i="5"/>
  <c r="H507" i="5"/>
  <c r="A567" i="10"/>
  <c r="D566" i="10"/>
  <c r="E566" i="10"/>
  <c r="G566" i="10"/>
  <c r="B566" i="10"/>
  <c r="B507" i="5"/>
  <c r="A506" i="6"/>
  <c r="G505" i="6"/>
  <c r="C507" i="5"/>
  <c r="D507" i="5"/>
  <c r="A508" i="5"/>
  <c r="F508" i="5" s="1"/>
  <c r="E507" i="5"/>
  <c r="I506" i="6" l="1"/>
  <c r="C506" i="6"/>
  <c r="D506" i="6"/>
  <c r="M661" i="12"/>
  <c r="D661" i="12"/>
  <c r="F661" i="12"/>
  <c r="C661" i="12"/>
  <c r="G660" i="14"/>
  <c r="F660" i="14"/>
  <c r="C660" i="14"/>
  <c r="B660" i="14"/>
  <c r="O661" i="12"/>
  <c r="J661" i="12"/>
  <c r="G661" i="12"/>
  <c r="I661" i="12"/>
  <c r="H661" i="12"/>
  <c r="E660" i="14"/>
  <c r="D660" i="14"/>
  <c r="H660" i="14"/>
  <c r="A661" i="14"/>
  <c r="K661" i="12"/>
  <c r="L661" i="12"/>
  <c r="E661" i="12"/>
  <c r="A662" i="12"/>
  <c r="B661" i="12"/>
  <c r="F506" i="6"/>
  <c r="E506" i="6"/>
  <c r="H506" i="6"/>
  <c r="B506" i="6"/>
  <c r="J506" i="6"/>
  <c r="G508" i="5"/>
  <c r="H508" i="5"/>
  <c r="C567" i="10"/>
  <c r="E567" i="10"/>
  <c r="B567" i="10"/>
  <c r="G567" i="10"/>
  <c r="D567" i="10"/>
  <c r="A568" i="10"/>
  <c r="B508" i="5"/>
  <c r="A507" i="6"/>
  <c r="G506" i="6"/>
  <c r="C508" i="5"/>
  <c r="E508" i="5"/>
  <c r="A509" i="5"/>
  <c r="F509" i="5" s="1"/>
  <c r="D508" i="5"/>
  <c r="F661" i="14" l="1"/>
  <c r="G661" i="14"/>
  <c r="F662" i="12"/>
  <c r="D662" i="12"/>
  <c r="C662" i="12"/>
  <c r="M662" i="12"/>
  <c r="I507" i="6"/>
  <c r="D507" i="6"/>
  <c r="C507" i="6"/>
  <c r="C661" i="14"/>
  <c r="B661" i="14"/>
  <c r="O662" i="12"/>
  <c r="J662" i="12"/>
  <c r="I662" i="12"/>
  <c r="H662" i="12"/>
  <c r="G662" i="12"/>
  <c r="A662" i="14"/>
  <c r="D661" i="14"/>
  <c r="H661" i="14"/>
  <c r="E661" i="14"/>
  <c r="A663" i="12"/>
  <c r="E662" i="12"/>
  <c r="L662" i="12"/>
  <c r="B662" i="12"/>
  <c r="K662" i="12"/>
  <c r="E507" i="6"/>
  <c r="F507" i="6"/>
  <c r="B507" i="6"/>
  <c r="H507" i="6"/>
  <c r="J507" i="6"/>
  <c r="G509" i="5"/>
  <c r="H509" i="5"/>
  <c r="C568" i="10"/>
  <c r="B568" i="10"/>
  <c r="G568" i="10"/>
  <c r="A569" i="10"/>
  <c r="E568" i="10"/>
  <c r="D568" i="10"/>
  <c r="B509" i="5"/>
  <c r="A508" i="6"/>
  <c r="G507" i="6"/>
  <c r="C509" i="5"/>
  <c r="E509" i="5"/>
  <c r="A510" i="5"/>
  <c r="F510" i="5" s="1"/>
  <c r="D509" i="5"/>
  <c r="D508" i="6" l="1"/>
  <c r="C508" i="6"/>
  <c r="I508" i="6"/>
  <c r="M663" i="12"/>
  <c r="D663" i="12"/>
  <c r="F663" i="12"/>
  <c r="C663" i="12"/>
  <c r="F662" i="14"/>
  <c r="G662" i="14"/>
  <c r="C662" i="14"/>
  <c r="B662" i="14"/>
  <c r="O663" i="12"/>
  <c r="I663" i="12"/>
  <c r="H663" i="12"/>
  <c r="G663" i="12"/>
  <c r="J663" i="12"/>
  <c r="E662" i="14"/>
  <c r="A663" i="14"/>
  <c r="H662" i="14"/>
  <c r="D662" i="14"/>
  <c r="K663" i="12"/>
  <c r="B663" i="12"/>
  <c r="L663" i="12"/>
  <c r="A664" i="12"/>
  <c r="E663" i="12"/>
  <c r="F508" i="6"/>
  <c r="E508" i="6"/>
  <c r="B508" i="6"/>
  <c r="H508" i="6"/>
  <c r="J508" i="6"/>
  <c r="C569" i="10"/>
  <c r="G510" i="5"/>
  <c r="H510" i="5"/>
  <c r="G569" i="10"/>
  <c r="A570" i="10"/>
  <c r="D569" i="10"/>
  <c r="B569" i="10"/>
  <c r="E569" i="10"/>
  <c r="B510" i="5"/>
  <c r="G508" i="6"/>
  <c r="A509" i="6"/>
  <c r="C510" i="5"/>
  <c r="A511" i="5"/>
  <c r="F511" i="5" s="1"/>
  <c r="E510" i="5"/>
  <c r="D510" i="5"/>
  <c r="F664" i="12" l="1"/>
  <c r="D664" i="12"/>
  <c r="C664" i="12"/>
  <c r="M664" i="12"/>
  <c r="F663" i="14"/>
  <c r="G663" i="14"/>
  <c r="D509" i="6"/>
  <c r="I509" i="6"/>
  <c r="C509" i="6"/>
  <c r="C663" i="14"/>
  <c r="B663" i="14"/>
  <c r="O664" i="12"/>
  <c r="I664" i="12"/>
  <c r="H664" i="12"/>
  <c r="G664" i="12"/>
  <c r="J664" i="12"/>
  <c r="A664" i="14"/>
  <c r="D663" i="14"/>
  <c r="H663" i="14"/>
  <c r="E663" i="14"/>
  <c r="E664" i="12"/>
  <c r="L664" i="12"/>
  <c r="K664" i="12"/>
  <c r="B664" i="12"/>
  <c r="A665" i="12"/>
  <c r="F509" i="6"/>
  <c r="E509" i="6"/>
  <c r="H509" i="6"/>
  <c r="B509" i="6"/>
  <c r="J509" i="6"/>
  <c r="G511" i="5"/>
  <c r="H511" i="5"/>
  <c r="C570" i="10"/>
  <c r="A571" i="10"/>
  <c r="D570" i="10"/>
  <c r="E570" i="10"/>
  <c r="B570" i="10"/>
  <c r="G570" i="10"/>
  <c r="B511" i="5"/>
  <c r="G509" i="6"/>
  <c r="A510" i="6"/>
  <c r="C511" i="5"/>
  <c r="A512" i="5"/>
  <c r="F512" i="5" s="1"/>
  <c r="E511" i="5"/>
  <c r="D511" i="5"/>
  <c r="I510" i="6" l="1"/>
  <c r="D510" i="6"/>
  <c r="C510" i="6"/>
  <c r="M665" i="12"/>
  <c r="D665" i="12"/>
  <c r="C665" i="12"/>
  <c r="F665" i="12"/>
  <c r="F664" i="14"/>
  <c r="G664" i="14"/>
  <c r="C664" i="14"/>
  <c r="B664" i="14"/>
  <c r="O665" i="12"/>
  <c r="J665" i="12"/>
  <c r="G665" i="12"/>
  <c r="I665" i="12"/>
  <c r="H665" i="12"/>
  <c r="E664" i="14"/>
  <c r="D664" i="14"/>
  <c r="A665" i="14"/>
  <c r="H664" i="14"/>
  <c r="K665" i="12"/>
  <c r="L665" i="12"/>
  <c r="E665" i="12"/>
  <c r="A666" i="12"/>
  <c r="B665" i="12"/>
  <c r="F510" i="6"/>
  <c r="E510" i="6"/>
  <c r="H510" i="6"/>
  <c r="B510" i="6"/>
  <c r="J510" i="6"/>
  <c r="G512" i="5"/>
  <c r="H512" i="5"/>
  <c r="C571" i="10"/>
  <c r="E571" i="10"/>
  <c r="A572" i="10"/>
  <c r="D571" i="10"/>
  <c r="B571" i="10"/>
  <c r="G571" i="10"/>
  <c r="B512" i="5"/>
  <c r="A511" i="6"/>
  <c r="G510" i="6"/>
  <c r="C512" i="5"/>
  <c r="A513" i="5"/>
  <c r="F513" i="5" s="1"/>
  <c r="D512" i="5"/>
  <c r="E512" i="5"/>
  <c r="F666" i="12" l="1"/>
  <c r="D666" i="12"/>
  <c r="C666" i="12"/>
  <c r="M666" i="12"/>
  <c r="C511" i="6"/>
  <c r="I511" i="6"/>
  <c r="D511" i="6"/>
  <c r="G665" i="14"/>
  <c r="F665" i="14"/>
  <c r="C665" i="14"/>
  <c r="B665" i="14"/>
  <c r="O666" i="12"/>
  <c r="J666" i="12"/>
  <c r="I666" i="12"/>
  <c r="H666" i="12"/>
  <c r="G666" i="12"/>
  <c r="D665" i="14"/>
  <c r="A666" i="14"/>
  <c r="H665" i="14"/>
  <c r="E665" i="14"/>
  <c r="E666" i="12"/>
  <c r="L666" i="12"/>
  <c r="A667" i="12"/>
  <c r="B666" i="12"/>
  <c r="K666" i="12"/>
  <c r="E511" i="6"/>
  <c r="F511" i="6"/>
  <c r="B511" i="6"/>
  <c r="H511" i="6"/>
  <c r="J511" i="6"/>
  <c r="G513" i="5"/>
  <c r="H513" i="5"/>
  <c r="C572" i="10"/>
  <c r="B572" i="10"/>
  <c r="E572" i="10"/>
  <c r="G572" i="10"/>
  <c r="A573" i="10"/>
  <c r="D572" i="10"/>
  <c r="B513" i="5"/>
  <c r="A512" i="6"/>
  <c r="G511" i="6"/>
  <c r="C513" i="5"/>
  <c r="A514" i="5"/>
  <c r="F514" i="5" s="1"/>
  <c r="E513" i="5"/>
  <c r="D513" i="5"/>
  <c r="I512" i="6" l="1"/>
  <c r="C512" i="6"/>
  <c r="D512" i="6"/>
  <c r="M667" i="12"/>
  <c r="D667" i="12"/>
  <c r="F667" i="12"/>
  <c r="C667" i="12"/>
  <c r="F666" i="14"/>
  <c r="G666" i="14"/>
  <c r="C666" i="14"/>
  <c r="B666" i="14"/>
  <c r="O667" i="12"/>
  <c r="J667" i="12"/>
  <c r="I667" i="12"/>
  <c r="H667" i="12"/>
  <c r="G667" i="12"/>
  <c r="A667" i="14"/>
  <c r="D666" i="14"/>
  <c r="E666" i="14"/>
  <c r="H666" i="14"/>
  <c r="K667" i="12"/>
  <c r="L667" i="12"/>
  <c r="B667" i="12"/>
  <c r="A668" i="12"/>
  <c r="E667" i="12"/>
  <c r="F512" i="6"/>
  <c r="E512" i="6"/>
  <c r="B512" i="6"/>
  <c r="H512" i="6"/>
  <c r="J512" i="6"/>
  <c r="G514" i="5"/>
  <c r="H514" i="5"/>
  <c r="C573" i="10"/>
  <c r="G573" i="10"/>
  <c r="B573" i="10"/>
  <c r="A574" i="10"/>
  <c r="D573" i="10"/>
  <c r="E573" i="10"/>
  <c r="B514" i="5"/>
  <c r="A513" i="6"/>
  <c r="G512" i="6"/>
  <c r="C514" i="5"/>
  <c r="A515" i="5"/>
  <c r="F515" i="5" s="1"/>
  <c r="E514" i="5"/>
  <c r="D514" i="5"/>
  <c r="F668" i="12" l="1"/>
  <c r="D668" i="12"/>
  <c r="C668" i="12"/>
  <c r="M668" i="12"/>
  <c r="I513" i="6"/>
  <c r="D513" i="6"/>
  <c r="C513" i="6"/>
  <c r="F667" i="14"/>
  <c r="G667" i="14"/>
  <c r="C667" i="14"/>
  <c r="B667" i="14"/>
  <c r="O668" i="12"/>
  <c r="J668" i="12"/>
  <c r="I668" i="12"/>
  <c r="H668" i="12"/>
  <c r="G668" i="12"/>
  <c r="A668" i="14"/>
  <c r="H667" i="14"/>
  <c r="E667" i="14"/>
  <c r="D667" i="14"/>
  <c r="E668" i="12"/>
  <c r="L668" i="12"/>
  <c r="K668" i="12"/>
  <c r="B668" i="12"/>
  <c r="A669" i="12"/>
  <c r="F513" i="6"/>
  <c r="E513" i="6"/>
  <c r="H513" i="6"/>
  <c r="B513" i="6"/>
  <c r="J513" i="6"/>
  <c r="C574" i="10"/>
  <c r="G515" i="5"/>
  <c r="H515" i="5"/>
  <c r="A575" i="10"/>
  <c r="D574" i="10"/>
  <c r="G574" i="10"/>
  <c r="E574" i="10"/>
  <c r="B574" i="10"/>
  <c r="B515" i="5"/>
  <c r="A514" i="6"/>
  <c r="G513" i="6"/>
  <c r="C515" i="5"/>
  <c r="D515" i="5"/>
  <c r="A516" i="5"/>
  <c r="F516" i="5" s="1"/>
  <c r="E515" i="5"/>
  <c r="I514" i="6" l="1"/>
  <c r="D514" i="6"/>
  <c r="C514" i="6"/>
  <c r="M669" i="12"/>
  <c r="D669" i="12"/>
  <c r="F669" i="12"/>
  <c r="C669" i="12"/>
  <c r="G668" i="14"/>
  <c r="F668" i="14"/>
  <c r="C668" i="14"/>
  <c r="B668" i="14"/>
  <c r="O669" i="12"/>
  <c r="J669" i="12"/>
  <c r="G669" i="12"/>
  <c r="I669" i="12"/>
  <c r="H669" i="12"/>
  <c r="A669" i="14"/>
  <c r="D668" i="14"/>
  <c r="H668" i="14"/>
  <c r="E668" i="14"/>
  <c r="K669" i="12"/>
  <c r="L669" i="12"/>
  <c r="E669" i="12"/>
  <c r="A670" i="12"/>
  <c r="B669" i="12"/>
  <c r="F514" i="6"/>
  <c r="E514" i="6"/>
  <c r="H514" i="6"/>
  <c r="B514" i="6"/>
  <c r="J514" i="6"/>
  <c r="G516" i="5"/>
  <c r="H516" i="5"/>
  <c r="C575" i="10"/>
  <c r="E575" i="10"/>
  <c r="A576" i="10"/>
  <c r="D575" i="10"/>
  <c r="B575" i="10"/>
  <c r="G575" i="10"/>
  <c r="B516" i="5"/>
  <c r="A515" i="6"/>
  <c r="G514" i="6"/>
  <c r="C516" i="5"/>
  <c r="E516" i="5"/>
  <c r="A517" i="5"/>
  <c r="F517" i="5" s="1"/>
  <c r="D516" i="5"/>
  <c r="F670" i="12" l="1"/>
  <c r="D670" i="12"/>
  <c r="C670" i="12"/>
  <c r="M670" i="12"/>
  <c r="I515" i="6"/>
  <c r="D515" i="6"/>
  <c r="C515" i="6"/>
  <c r="F669" i="14"/>
  <c r="G669" i="14"/>
  <c r="C669" i="14"/>
  <c r="B669" i="14"/>
  <c r="O670" i="12"/>
  <c r="J670" i="12"/>
  <c r="I670" i="12"/>
  <c r="H670" i="12"/>
  <c r="G670" i="12"/>
  <c r="E669" i="14"/>
  <c r="H669" i="14"/>
  <c r="D669" i="14"/>
  <c r="A670" i="14"/>
  <c r="A671" i="12"/>
  <c r="E670" i="12"/>
  <c r="L670" i="12"/>
  <c r="B670" i="12"/>
  <c r="K670" i="12"/>
  <c r="F515" i="6"/>
  <c r="E515" i="6"/>
  <c r="B515" i="6"/>
  <c r="H515" i="6"/>
  <c r="J515" i="6"/>
  <c r="C576" i="10"/>
  <c r="G517" i="5"/>
  <c r="H517" i="5"/>
  <c r="B576" i="10"/>
  <c r="E576" i="10"/>
  <c r="G576" i="10"/>
  <c r="D576" i="10"/>
  <c r="A577" i="10"/>
  <c r="B517" i="5"/>
  <c r="A516" i="6"/>
  <c r="G515" i="6"/>
  <c r="C517" i="5"/>
  <c r="A518" i="5"/>
  <c r="F518" i="5" s="1"/>
  <c r="E517" i="5"/>
  <c r="D517" i="5"/>
  <c r="M671" i="12" l="1"/>
  <c r="D671" i="12"/>
  <c r="F671" i="12"/>
  <c r="C671" i="12"/>
  <c r="F670" i="14"/>
  <c r="G670" i="14"/>
  <c r="D516" i="6"/>
  <c r="C516" i="6"/>
  <c r="I516" i="6"/>
  <c r="C670" i="14"/>
  <c r="B670" i="14"/>
  <c r="O671" i="12"/>
  <c r="J671" i="12"/>
  <c r="I671" i="12"/>
  <c r="H671" i="12"/>
  <c r="G671" i="12"/>
  <c r="A671" i="14"/>
  <c r="D670" i="14"/>
  <c r="H670" i="14"/>
  <c r="E670" i="14"/>
  <c r="K671" i="12"/>
  <c r="B671" i="12"/>
  <c r="L671" i="12"/>
  <c r="A672" i="12"/>
  <c r="E671" i="12"/>
  <c r="F516" i="6"/>
  <c r="E516" i="6"/>
  <c r="B516" i="6"/>
  <c r="H516" i="6"/>
  <c r="J516" i="6"/>
  <c r="G518" i="5"/>
  <c r="H518" i="5"/>
  <c r="C577" i="10"/>
  <c r="G577" i="10"/>
  <c r="B577" i="10"/>
  <c r="A578" i="10"/>
  <c r="D577" i="10"/>
  <c r="E577" i="10"/>
  <c r="B518" i="5"/>
  <c r="G516" i="6"/>
  <c r="A517" i="6"/>
  <c r="C518" i="5"/>
  <c r="D518" i="5"/>
  <c r="A519" i="5"/>
  <c r="F519" i="5" s="1"/>
  <c r="E518" i="5"/>
  <c r="F672" i="12" l="1"/>
  <c r="D672" i="12"/>
  <c r="C672" i="12"/>
  <c r="M672" i="12"/>
  <c r="D517" i="6"/>
  <c r="I517" i="6"/>
  <c r="C517" i="6"/>
  <c r="G671" i="14"/>
  <c r="F671" i="14"/>
  <c r="C671" i="14"/>
  <c r="B671" i="14"/>
  <c r="O672" i="12"/>
  <c r="J672" i="12"/>
  <c r="I672" i="12"/>
  <c r="H672" i="12"/>
  <c r="G672" i="12"/>
  <c r="E671" i="14"/>
  <c r="A672" i="14"/>
  <c r="H671" i="14"/>
  <c r="D671" i="14"/>
  <c r="E672" i="12"/>
  <c r="L672" i="12"/>
  <c r="K672" i="12"/>
  <c r="B672" i="12"/>
  <c r="A673" i="12"/>
  <c r="F517" i="6"/>
  <c r="E517" i="6"/>
  <c r="H517" i="6"/>
  <c r="B517" i="6"/>
  <c r="J517" i="6"/>
  <c r="C578" i="10"/>
  <c r="G519" i="5"/>
  <c r="H519" i="5"/>
  <c r="A579" i="10"/>
  <c r="D578" i="10"/>
  <c r="G578" i="10"/>
  <c r="E578" i="10"/>
  <c r="B578" i="10"/>
  <c r="B519" i="5"/>
  <c r="G517" i="6"/>
  <c r="A518" i="6"/>
  <c r="C519" i="5"/>
  <c r="A520" i="5"/>
  <c r="F520" i="5" s="1"/>
  <c r="E519" i="5"/>
  <c r="D519" i="5"/>
  <c r="F672" i="14" l="1"/>
  <c r="G672" i="14"/>
  <c r="I518" i="6"/>
  <c r="D518" i="6"/>
  <c r="C518" i="6"/>
  <c r="M673" i="12"/>
  <c r="D673" i="12"/>
  <c r="F673" i="12"/>
  <c r="C673" i="12"/>
  <c r="C672" i="14"/>
  <c r="B672" i="14"/>
  <c r="O673" i="12"/>
  <c r="J673" i="12"/>
  <c r="G673" i="12"/>
  <c r="H673" i="12"/>
  <c r="I673" i="12"/>
  <c r="A673" i="14"/>
  <c r="D672" i="14"/>
  <c r="H672" i="14"/>
  <c r="E672" i="14"/>
  <c r="K673" i="12"/>
  <c r="L673" i="12"/>
  <c r="E673" i="12"/>
  <c r="A674" i="12"/>
  <c r="B673" i="12"/>
  <c r="F518" i="6"/>
  <c r="E518" i="6"/>
  <c r="H518" i="6"/>
  <c r="B518" i="6"/>
  <c r="J518" i="6"/>
  <c r="G520" i="5"/>
  <c r="H520" i="5"/>
  <c r="C579" i="10"/>
  <c r="E579" i="10"/>
  <c r="A580" i="10"/>
  <c r="D579" i="10"/>
  <c r="B579" i="10"/>
  <c r="G579" i="10"/>
  <c r="B520" i="5"/>
  <c r="A519" i="6"/>
  <c r="G518" i="6"/>
  <c r="C520" i="5"/>
  <c r="A521" i="5"/>
  <c r="F521" i="5" s="1"/>
  <c r="D520" i="5"/>
  <c r="E520" i="5"/>
  <c r="C519" i="6" l="1"/>
  <c r="I519" i="6"/>
  <c r="D519" i="6"/>
  <c r="F674" i="12"/>
  <c r="D674" i="12"/>
  <c r="C674" i="12"/>
  <c r="M674" i="12"/>
  <c r="G673" i="14"/>
  <c r="F673" i="14"/>
  <c r="C673" i="14"/>
  <c r="B673" i="14"/>
  <c r="O674" i="12"/>
  <c r="J674" i="12"/>
  <c r="H674" i="12"/>
  <c r="G674" i="12"/>
  <c r="I674" i="12"/>
  <c r="E673" i="14"/>
  <c r="H673" i="14"/>
  <c r="D673" i="14"/>
  <c r="A674" i="14"/>
  <c r="E674" i="12"/>
  <c r="L674" i="12"/>
  <c r="A675" i="12"/>
  <c r="B674" i="12"/>
  <c r="K674" i="12"/>
  <c r="E519" i="6"/>
  <c r="F519" i="6"/>
  <c r="B519" i="6"/>
  <c r="H519" i="6"/>
  <c r="J519" i="6"/>
  <c r="G521" i="5"/>
  <c r="H521" i="5"/>
  <c r="C580" i="10"/>
  <c r="B580" i="10"/>
  <c r="E580" i="10"/>
  <c r="G580" i="10"/>
  <c r="D580" i="10"/>
  <c r="A581" i="10"/>
  <c r="B521" i="5"/>
  <c r="A520" i="6"/>
  <c r="G519" i="6"/>
  <c r="C521" i="5"/>
  <c r="D521" i="5"/>
  <c r="E521" i="5"/>
  <c r="A522" i="5"/>
  <c r="F522" i="5" s="1"/>
  <c r="M675" i="12" l="1"/>
  <c r="D675" i="12"/>
  <c r="F675" i="12"/>
  <c r="C675" i="12"/>
  <c r="I520" i="6"/>
  <c r="C520" i="6"/>
  <c r="D520" i="6"/>
  <c r="F674" i="14"/>
  <c r="G674" i="14"/>
  <c r="C674" i="14"/>
  <c r="B674" i="14"/>
  <c r="O675" i="12"/>
  <c r="J675" i="12"/>
  <c r="I675" i="12"/>
  <c r="H675" i="12"/>
  <c r="G675" i="12"/>
  <c r="A675" i="14"/>
  <c r="D674" i="14"/>
  <c r="H674" i="14"/>
  <c r="E674" i="14"/>
  <c r="K675" i="12"/>
  <c r="L675" i="12"/>
  <c r="B675" i="12"/>
  <c r="E675" i="12"/>
  <c r="A676" i="12"/>
  <c r="F520" i="6"/>
  <c r="E520" i="6"/>
  <c r="B520" i="6"/>
  <c r="H520" i="6"/>
  <c r="J520" i="6"/>
  <c r="G522" i="5"/>
  <c r="H522" i="5"/>
  <c r="C581" i="10"/>
  <c r="G581" i="10"/>
  <c r="B581" i="10"/>
  <c r="A582" i="10"/>
  <c r="D581" i="10"/>
  <c r="E581" i="10"/>
  <c r="B522" i="5"/>
  <c r="A521" i="6"/>
  <c r="G520" i="6"/>
  <c r="C522" i="5"/>
  <c r="A523" i="5"/>
  <c r="F523" i="5" s="1"/>
  <c r="E522" i="5"/>
  <c r="D522" i="5"/>
  <c r="I521" i="6" l="1"/>
  <c r="D521" i="6"/>
  <c r="C521" i="6"/>
  <c r="F676" i="12"/>
  <c r="D676" i="12"/>
  <c r="C676" i="12"/>
  <c r="M676" i="12"/>
  <c r="G675" i="14"/>
  <c r="F675" i="14"/>
  <c r="C675" i="14"/>
  <c r="B675" i="14"/>
  <c r="O676" i="12"/>
  <c r="J676" i="12"/>
  <c r="I676" i="12"/>
  <c r="H676" i="12"/>
  <c r="G676" i="12"/>
  <c r="E675" i="14"/>
  <c r="A676" i="14"/>
  <c r="H675" i="14"/>
  <c r="D675" i="14"/>
  <c r="E676" i="12"/>
  <c r="L676" i="12"/>
  <c r="K676" i="12"/>
  <c r="B676" i="12"/>
  <c r="A677" i="12"/>
  <c r="F521" i="6"/>
  <c r="E521" i="6"/>
  <c r="H521" i="6"/>
  <c r="B521" i="6"/>
  <c r="J521" i="6"/>
  <c r="G523" i="5"/>
  <c r="H523" i="5"/>
  <c r="C582" i="10"/>
  <c r="A583" i="10"/>
  <c r="D582" i="10"/>
  <c r="G582" i="10"/>
  <c r="E582" i="10"/>
  <c r="B582" i="10"/>
  <c r="B523" i="5"/>
  <c r="A522" i="6"/>
  <c r="G521" i="6"/>
  <c r="C523" i="5"/>
  <c r="A524" i="5"/>
  <c r="F524" i="5" s="1"/>
  <c r="E523" i="5"/>
  <c r="D523" i="5"/>
  <c r="I522" i="6" l="1"/>
  <c r="D522" i="6"/>
  <c r="C522" i="6"/>
  <c r="F676" i="14"/>
  <c r="G676" i="14"/>
  <c r="M677" i="12"/>
  <c r="D677" i="12"/>
  <c r="F677" i="12"/>
  <c r="C677" i="12"/>
  <c r="C676" i="14"/>
  <c r="B676" i="14"/>
  <c r="O677" i="12"/>
  <c r="J677" i="12"/>
  <c r="G677" i="12"/>
  <c r="I677" i="12"/>
  <c r="H677" i="12"/>
  <c r="A677" i="14"/>
  <c r="D676" i="14"/>
  <c r="H676" i="14"/>
  <c r="E676" i="14"/>
  <c r="K677" i="12"/>
  <c r="L677" i="12"/>
  <c r="E677" i="12"/>
  <c r="A678" i="12"/>
  <c r="B677" i="12"/>
  <c r="F522" i="6"/>
  <c r="E522" i="6"/>
  <c r="H522" i="6"/>
  <c r="B522" i="6"/>
  <c r="J522" i="6"/>
  <c r="G524" i="5"/>
  <c r="H524" i="5"/>
  <c r="C583" i="10"/>
  <c r="E583" i="10"/>
  <c r="A584" i="10"/>
  <c r="D583" i="10"/>
  <c r="B583" i="10"/>
  <c r="G583" i="10"/>
  <c r="B524" i="5"/>
  <c r="A523" i="6"/>
  <c r="G522" i="6"/>
  <c r="C524" i="5"/>
  <c r="A525" i="5"/>
  <c r="F525" i="5" s="1"/>
  <c r="D524" i="5"/>
  <c r="E524" i="5"/>
  <c r="F678" i="12" l="1"/>
  <c r="D678" i="12"/>
  <c r="C678" i="12"/>
  <c r="M678" i="12"/>
  <c r="I523" i="6"/>
  <c r="D523" i="6"/>
  <c r="C523" i="6"/>
  <c r="F677" i="14"/>
  <c r="G677" i="14"/>
  <c r="C677" i="14"/>
  <c r="B677" i="14"/>
  <c r="O678" i="12"/>
  <c r="J678" i="12"/>
  <c r="I678" i="12"/>
  <c r="H678" i="12"/>
  <c r="G678" i="12"/>
  <c r="E677" i="14"/>
  <c r="H677" i="14"/>
  <c r="D677" i="14"/>
  <c r="A678" i="14"/>
  <c r="A679" i="12"/>
  <c r="E678" i="12"/>
  <c r="L678" i="12"/>
  <c r="B678" i="12"/>
  <c r="K678" i="12"/>
  <c r="E523" i="6"/>
  <c r="F523" i="6"/>
  <c r="B523" i="6"/>
  <c r="H523" i="6"/>
  <c r="J523" i="6"/>
  <c r="C584" i="10"/>
  <c r="G525" i="5"/>
  <c r="H525" i="5"/>
  <c r="B584" i="10"/>
  <c r="E584" i="10"/>
  <c r="G584" i="10"/>
  <c r="A585" i="10"/>
  <c r="D584" i="10"/>
  <c r="B525" i="5"/>
  <c r="A524" i="6"/>
  <c r="G523" i="6"/>
  <c r="C525" i="5"/>
  <c r="A526" i="5"/>
  <c r="F526" i="5" s="1"/>
  <c r="E525" i="5"/>
  <c r="D525" i="5"/>
  <c r="M679" i="12" l="1"/>
  <c r="D679" i="12"/>
  <c r="F679" i="12"/>
  <c r="C679" i="12"/>
  <c r="F678" i="14"/>
  <c r="G678" i="14"/>
  <c r="D524" i="6"/>
  <c r="C524" i="6"/>
  <c r="I524" i="6"/>
  <c r="C678" i="14"/>
  <c r="B678" i="14"/>
  <c r="O679" i="12"/>
  <c r="I679" i="12"/>
  <c r="H679" i="12"/>
  <c r="J679" i="12"/>
  <c r="G679" i="12"/>
  <c r="A679" i="14"/>
  <c r="D678" i="14"/>
  <c r="H678" i="14"/>
  <c r="E678" i="14"/>
  <c r="K679" i="12"/>
  <c r="B679" i="12"/>
  <c r="L679" i="12"/>
  <c r="A680" i="12"/>
  <c r="E679" i="12"/>
  <c r="F524" i="6"/>
  <c r="E524" i="6"/>
  <c r="B524" i="6"/>
  <c r="H524" i="6"/>
  <c r="J524" i="6"/>
  <c r="G526" i="5"/>
  <c r="H526" i="5"/>
  <c r="C585" i="10"/>
  <c r="G585" i="10"/>
  <c r="B585" i="10"/>
  <c r="A586" i="10"/>
  <c r="D585" i="10"/>
  <c r="E585" i="10"/>
  <c r="B526" i="5"/>
  <c r="G524" i="6"/>
  <c r="A525" i="6"/>
  <c r="C526" i="5"/>
  <c r="A527" i="5"/>
  <c r="F527" i="5" s="1"/>
  <c r="E526" i="5"/>
  <c r="D526" i="5"/>
  <c r="F680" i="12" l="1"/>
  <c r="D680" i="12"/>
  <c r="C680" i="12"/>
  <c r="M680" i="12"/>
  <c r="D525" i="6"/>
  <c r="I525" i="6"/>
  <c r="C525" i="6"/>
  <c r="G679" i="14"/>
  <c r="F679" i="14"/>
  <c r="C679" i="14"/>
  <c r="B679" i="14"/>
  <c r="O680" i="12"/>
  <c r="I680" i="12"/>
  <c r="H680" i="12"/>
  <c r="J680" i="12"/>
  <c r="G680" i="12"/>
  <c r="E679" i="14"/>
  <c r="A680" i="14"/>
  <c r="H679" i="14"/>
  <c r="D679" i="14"/>
  <c r="E680" i="12"/>
  <c r="L680" i="12"/>
  <c r="K680" i="12"/>
  <c r="B680" i="12"/>
  <c r="A681" i="12"/>
  <c r="F525" i="6"/>
  <c r="E525" i="6"/>
  <c r="H525" i="6"/>
  <c r="B525" i="6"/>
  <c r="J525" i="6"/>
  <c r="G527" i="5"/>
  <c r="H527" i="5"/>
  <c r="C586" i="10"/>
  <c r="A587" i="10"/>
  <c r="D586" i="10"/>
  <c r="G586" i="10"/>
  <c r="E586" i="10"/>
  <c r="B586" i="10"/>
  <c r="B527" i="5"/>
  <c r="G525" i="6"/>
  <c r="A526" i="6"/>
  <c r="C527" i="5"/>
  <c r="D527" i="5"/>
  <c r="A528" i="5"/>
  <c r="F528" i="5" s="1"/>
  <c r="E527" i="5"/>
  <c r="G680" i="14" l="1"/>
  <c r="F680" i="14"/>
  <c r="I526" i="6"/>
  <c r="D526" i="6"/>
  <c r="C526" i="6"/>
  <c r="M681" i="12"/>
  <c r="D681" i="12"/>
  <c r="C681" i="12"/>
  <c r="F681" i="12"/>
  <c r="C680" i="14"/>
  <c r="B680" i="14"/>
  <c r="O681" i="12"/>
  <c r="J681" i="12"/>
  <c r="G681" i="12"/>
  <c r="H681" i="12"/>
  <c r="I681" i="12"/>
  <c r="A681" i="14"/>
  <c r="D680" i="14"/>
  <c r="H680" i="14"/>
  <c r="E680" i="14"/>
  <c r="K681" i="12"/>
  <c r="L681" i="12"/>
  <c r="E681" i="12"/>
  <c r="A682" i="12"/>
  <c r="B681" i="12"/>
  <c r="F526" i="6"/>
  <c r="E526" i="6"/>
  <c r="H526" i="6"/>
  <c r="B526" i="6"/>
  <c r="J526" i="6"/>
  <c r="G528" i="5"/>
  <c r="H528" i="5"/>
  <c r="C587" i="10"/>
  <c r="E587" i="10"/>
  <c r="A588" i="10"/>
  <c r="D587" i="10"/>
  <c r="B587" i="10"/>
  <c r="G587" i="10"/>
  <c r="B528" i="5"/>
  <c r="A527" i="6"/>
  <c r="G526" i="6"/>
  <c r="C528" i="5"/>
  <c r="E528" i="5"/>
  <c r="A529" i="5"/>
  <c r="F529" i="5" s="1"/>
  <c r="D528" i="5"/>
  <c r="F682" i="12" l="1"/>
  <c r="D682" i="12"/>
  <c r="C682" i="12"/>
  <c r="M682" i="12"/>
  <c r="C527" i="6"/>
  <c r="D527" i="6"/>
  <c r="I527" i="6"/>
  <c r="G681" i="14"/>
  <c r="F681" i="14"/>
  <c r="C681" i="14"/>
  <c r="B681" i="14"/>
  <c r="O682" i="12"/>
  <c r="J682" i="12"/>
  <c r="I682" i="12"/>
  <c r="G682" i="12"/>
  <c r="H682" i="12"/>
  <c r="E681" i="14"/>
  <c r="H681" i="14"/>
  <c r="D681" i="14"/>
  <c r="A682" i="14"/>
  <c r="E682" i="12"/>
  <c r="L682" i="12"/>
  <c r="A683" i="12"/>
  <c r="B682" i="12"/>
  <c r="K682" i="12"/>
  <c r="E527" i="6"/>
  <c r="F527" i="6"/>
  <c r="B527" i="6"/>
  <c r="H527" i="6"/>
  <c r="J527" i="6"/>
  <c r="C588" i="10"/>
  <c r="G529" i="5"/>
  <c r="H529" i="5"/>
  <c r="B588" i="10"/>
  <c r="E588" i="10"/>
  <c r="G588" i="10"/>
  <c r="A589" i="10"/>
  <c r="D588" i="10"/>
  <c r="B529" i="5"/>
  <c r="A528" i="6"/>
  <c r="G527" i="6"/>
  <c r="C529" i="5"/>
  <c r="A530" i="5"/>
  <c r="F530" i="5" s="1"/>
  <c r="E529" i="5"/>
  <c r="D529" i="5"/>
  <c r="I528" i="6" l="1"/>
  <c r="C528" i="6"/>
  <c r="D528" i="6"/>
  <c r="M683" i="12"/>
  <c r="D683" i="12"/>
  <c r="F683" i="12"/>
  <c r="C683" i="12"/>
  <c r="F682" i="14"/>
  <c r="G682" i="14"/>
  <c r="C682" i="14"/>
  <c r="B682" i="14"/>
  <c r="J683" i="12"/>
  <c r="I683" i="12"/>
  <c r="H683" i="12"/>
  <c r="G683" i="12"/>
  <c r="O683" i="12"/>
  <c r="A683" i="14"/>
  <c r="D682" i="14"/>
  <c r="H682" i="14"/>
  <c r="E682" i="14"/>
  <c r="K683" i="12"/>
  <c r="L683" i="12"/>
  <c r="B683" i="12"/>
  <c r="A684" i="12"/>
  <c r="E683" i="12"/>
  <c r="F528" i="6"/>
  <c r="E528" i="6"/>
  <c r="B528" i="6"/>
  <c r="H528" i="6"/>
  <c r="J528" i="6"/>
  <c r="C589" i="10"/>
  <c r="G530" i="5"/>
  <c r="H530" i="5"/>
  <c r="G589" i="10"/>
  <c r="B589" i="10"/>
  <c r="A590" i="10"/>
  <c r="D589" i="10"/>
  <c r="E589" i="10"/>
  <c r="B530" i="5"/>
  <c r="A529" i="6"/>
  <c r="G528" i="6"/>
  <c r="C530" i="5"/>
  <c r="E530" i="5"/>
  <c r="A531" i="5"/>
  <c r="F531" i="5" s="1"/>
  <c r="D530" i="5"/>
  <c r="F684" i="12" l="1"/>
  <c r="D684" i="12"/>
  <c r="C684" i="12"/>
  <c r="M684" i="12"/>
  <c r="I529" i="6"/>
  <c r="D529" i="6"/>
  <c r="C529" i="6"/>
  <c r="G683" i="14"/>
  <c r="F683" i="14"/>
  <c r="C683" i="14"/>
  <c r="B683" i="14"/>
  <c r="O684" i="12"/>
  <c r="J684" i="12"/>
  <c r="I684" i="12"/>
  <c r="H684" i="12"/>
  <c r="G684" i="12"/>
  <c r="E683" i="14"/>
  <c r="A684" i="14"/>
  <c r="H683" i="14"/>
  <c r="D683" i="14"/>
  <c r="E684" i="12"/>
  <c r="L684" i="12"/>
  <c r="K684" i="12"/>
  <c r="B684" i="12"/>
  <c r="A685" i="12"/>
  <c r="F529" i="6"/>
  <c r="E529" i="6"/>
  <c r="H529" i="6"/>
  <c r="B529" i="6"/>
  <c r="J529" i="6"/>
  <c r="C590" i="10"/>
  <c r="G531" i="5"/>
  <c r="H531" i="5"/>
  <c r="A591" i="10"/>
  <c r="D590" i="10"/>
  <c r="G590" i="10"/>
  <c r="E590" i="10"/>
  <c r="B590" i="10"/>
  <c r="B531" i="5"/>
  <c r="A530" i="6"/>
  <c r="G529" i="6"/>
  <c r="C531" i="5"/>
  <c r="A532" i="5"/>
  <c r="F532" i="5" s="1"/>
  <c r="E531" i="5"/>
  <c r="D531" i="5"/>
  <c r="I530" i="6" l="1"/>
  <c r="C530" i="6"/>
  <c r="D530" i="6"/>
  <c r="G684" i="14"/>
  <c r="F684" i="14"/>
  <c r="M685" i="12"/>
  <c r="D685" i="12"/>
  <c r="F685" i="12"/>
  <c r="C685" i="12"/>
  <c r="C684" i="14"/>
  <c r="B684" i="14"/>
  <c r="O685" i="12"/>
  <c r="J685" i="12"/>
  <c r="G685" i="12"/>
  <c r="I685" i="12"/>
  <c r="H685" i="12"/>
  <c r="A685" i="14"/>
  <c r="D684" i="14"/>
  <c r="H684" i="14"/>
  <c r="E684" i="14"/>
  <c r="K685" i="12"/>
  <c r="L685" i="12"/>
  <c r="E685" i="12"/>
  <c r="A686" i="12"/>
  <c r="B685" i="12"/>
  <c r="F530" i="6"/>
  <c r="E530" i="6"/>
  <c r="H530" i="6"/>
  <c r="B530" i="6"/>
  <c r="J530" i="6"/>
  <c r="G532" i="5"/>
  <c r="H532" i="5"/>
  <c r="C591" i="10"/>
  <c r="E591" i="10"/>
  <c r="A592" i="10"/>
  <c r="D591" i="10"/>
  <c r="B591" i="10"/>
  <c r="G591" i="10"/>
  <c r="B532" i="5"/>
  <c r="A531" i="6"/>
  <c r="G530" i="6"/>
  <c r="C532" i="5"/>
  <c r="E532" i="5"/>
  <c r="A533" i="5"/>
  <c r="F533" i="5" s="1"/>
  <c r="D532" i="5"/>
  <c r="F686" i="12" l="1"/>
  <c r="D686" i="12"/>
  <c r="C686" i="12"/>
  <c r="M686" i="12"/>
  <c r="I531" i="6"/>
  <c r="D531" i="6"/>
  <c r="C531" i="6"/>
  <c r="F685" i="14"/>
  <c r="G685" i="14"/>
  <c r="C685" i="14"/>
  <c r="B685" i="14"/>
  <c r="O686" i="12"/>
  <c r="J686" i="12"/>
  <c r="I686" i="12"/>
  <c r="H686" i="12"/>
  <c r="G686" i="12"/>
  <c r="E685" i="14"/>
  <c r="H685" i="14"/>
  <c r="D685" i="14"/>
  <c r="A686" i="14"/>
  <c r="A687" i="12"/>
  <c r="E686" i="12"/>
  <c r="L686" i="12"/>
  <c r="B686" i="12"/>
  <c r="K686" i="12"/>
  <c r="F531" i="6"/>
  <c r="E531" i="6"/>
  <c r="B531" i="6"/>
  <c r="H531" i="6"/>
  <c r="J531" i="6"/>
  <c r="C592" i="10"/>
  <c r="G533" i="5"/>
  <c r="H533" i="5"/>
  <c r="B592" i="10"/>
  <c r="E592" i="10"/>
  <c r="G592" i="10"/>
  <c r="D592" i="10"/>
  <c r="A593" i="10"/>
  <c r="B533" i="5"/>
  <c r="A532" i="6"/>
  <c r="G531" i="6"/>
  <c r="C533" i="5"/>
  <c r="E533" i="5"/>
  <c r="D533" i="5"/>
  <c r="A534" i="5"/>
  <c r="F534" i="5" s="1"/>
  <c r="M687" i="12" l="1"/>
  <c r="D687" i="12"/>
  <c r="F687" i="12"/>
  <c r="C687" i="12"/>
  <c r="D532" i="6"/>
  <c r="C532" i="6"/>
  <c r="I532" i="6"/>
  <c r="F686" i="14"/>
  <c r="G686" i="14"/>
  <c r="C686" i="14"/>
  <c r="B686" i="14"/>
  <c r="J687" i="12"/>
  <c r="I687" i="12"/>
  <c r="H687" i="12"/>
  <c r="O687" i="12"/>
  <c r="G687" i="12"/>
  <c r="A687" i="14"/>
  <c r="D686" i="14"/>
  <c r="H686" i="14"/>
  <c r="E686" i="14"/>
  <c r="K687" i="12"/>
  <c r="B687" i="12"/>
  <c r="L687" i="12"/>
  <c r="A688" i="12"/>
  <c r="E687" i="12"/>
  <c r="F532" i="6"/>
  <c r="E532" i="6"/>
  <c r="B532" i="6"/>
  <c r="H532" i="6"/>
  <c r="J532" i="6"/>
  <c r="G534" i="5"/>
  <c r="H534" i="5"/>
  <c r="C593" i="10"/>
  <c r="G593" i="10"/>
  <c r="B593" i="10"/>
  <c r="A594" i="10"/>
  <c r="D593" i="10"/>
  <c r="E593" i="10"/>
  <c r="B534" i="5"/>
  <c r="G532" i="6"/>
  <c r="A533" i="6"/>
  <c r="C534" i="5"/>
  <c r="E534" i="5"/>
  <c r="D534" i="5"/>
  <c r="A535" i="5"/>
  <c r="F535" i="5" s="1"/>
  <c r="F688" i="12" l="1"/>
  <c r="D688" i="12"/>
  <c r="C688" i="12"/>
  <c r="M688" i="12"/>
  <c r="D533" i="6"/>
  <c r="I533" i="6"/>
  <c r="C533" i="6"/>
  <c r="G687" i="14"/>
  <c r="F687" i="14"/>
  <c r="C687" i="14"/>
  <c r="B687" i="14"/>
  <c r="O688" i="12"/>
  <c r="J688" i="12"/>
  <c r="I688" i="12"/>
  <c r="H688" i="12"/>
  <c r="G688" i="12"/>
  <c r="E687" i="14"/>
  <c r="A688" i="14"/>
  <c r="H687" i="14"/>
  <c r="D687" i="14"/>
  <c r="L688" i="12"/>
  <c r="E688" i="12"/>
  <c r="K688" i="12"/>
  <c r="B688" i="12"/>
  <c r="A689" i="12"/>
  <c r="F533" i="6"/>
  <c r="E533" i="6"/>
  <c r="H533" i="6"/>
  <c r="B533" i="6"/>
  <c r="J533" i="6"/>
  <c r="C594" i="10"/>
  <c r="G535" i="5"/>
  <c r="H535" i="5"/>
  <c r="A595" i="10"/>
  <c r="D594" i="10"/>
  <c r="G594" i="10"/>
  <c r="E594" i="10"/>
  <c r="B594" i="10"/>
  <c r="B535" i="5"/>
  <c r="G533" i="6"/>
  <c r="A534" i="6"/>
  <c r="C535" i="5"/>
  <c r="D535" i="5"/>
  <c r="A536" i="5"/>
  <c r="F536" i="5" s="1"/>
  <c r="E535" i="5"/>
  <c r="G688" i="14" l="1"/>
  <c r="F688" i="14"/>
  <c r="I534" i="6"/>
  <c r="D534" i="6"/>
  <c r="C534" i="6"/>
  <c r="M689" i="12"/>
  <c r="D689" i="12"/>
  <c r="F689" i="12"/>
  <c r="C689" i="12"/>
  <c r="C688" i="14"/>
  <c r="B688" i="14"/>
  <c r="O689" i="12"/>
  <c r="J689" i="12"/>
  <c r="G689" i="12"/>
  <c r="I689" i="12"/>
  <c r="H689" i="12"/>
  <c r="A689" i="14"/>
  <c r="D688" i="14"/>
  <c r="H688" i="14"/>
  <c r="E688" i="14"/>
  <c r="K689" i="12"/>
  <c r="E689" i="12"/>
  <c r="L689" i="12"/>
  <c r="A690" i="12"/>
  <c r="B689" i="12"/>
  <c r="F534" i="6"/>
  <c r="E534" i="6"/>
  <c r="H534" i="6"/>
  <c r="B534" i="6"/>
  <c r="J534" i="6"/>
  <c r="G536" i="5"/>
  <c r="H536" i="5"/>
  <c r="C595" i="10"/>
  <c r="E595" i="10"/>
  <c r="A596" i="10"/>
  <c r="D595" i="10"/>
  <c r="B595" i="10"/>
  <c r="G595" i="10"/>
  <c r="B536" i="5"/>
  <c r="A535" i="6"/>
  <c r="G534" i="6"/>
  <c r="C536" i="5"/>
  <c r="E536" i="5"/>
  <c r="A537" i="5"/>
  <c r="F537" i="5" s="1"/>
  <c r="D536" i="5"/>
  <c r="F690" i="12" l="1"/>
  <c r="D690" i="12"/>
  <c r="C690" i="12"/>
  <c r="M690" i="12"/>
  <c r="C535" i="6"/>
  <c r="I535" i="6"/>
  <c r="D535" i="6"/>
  <c r="G689" i="14"/>
  <c r="F689" i="14"/>
  <c r="C689" i="14"/>
  <c r="B689" i="14"/>
  <c r="O690" i="12"/>
  <c r="J690" i="12"/>
  <c r="H690" i="12"/>
  <c r="I690" i="12"/>
  <c r="G690" i="12"/>
  <c r="E689" i="14"/>
  <c r="H689" i="14"/>
  <c r="D689" i="14"/>
  <c r="B13" i="12"/>
  <c r="B14" i="12" s="1"/>
  <c r="E690" i="12"/>
  <c r="L690" i="12"/>
  <c r="B690" i="12"/>
  <c r="K690" i="12"/>
  <c r="E535" i="6"/>
  <c r="F535" i="6"/>
  <c r="B535" i="6"/>
  <c r="H535" i="6"/>
  <c r="J535" i="6"/>
  <c r="C596" i="10"/>
  <c r="G537" i="5"/>
  <c r="H537" i="5"/>
  <c r="B596" i="10"/>
  <c r="E596" i="10"/>
  <c r="G596" i="10"/>
  <c r="D596" i="10"/>
  <c r="A597" i="10"/>
  <c r="B537" i="5"/>
  <c r="A536" i="6"/>
  <c r="G535" i="6"/>
  <c r="C537" i="5"/>
  <c r="E537" i="5"/>
  <c r="D537" i="5"/>
  <c r="A538" i="5"/>
  <c r="F538" i="5" s="1"/>
  <c r="I536" i="6" l="1"/>
  <c r="C536" i="6"/>
  <c r="D536" i="6"/>
  <c r="F536" i="6"/>
  <c r="E536" i="6"/>
  <c r="B536" i="6"/>
  <c r="H536" i="6"/>
  <c r="J536" i="6"/>
  <c r="G538" i="5"/>
  <c r="H538" i="5"/>
  <c r="C597" i="10"/>
  <c r="G597" i="10"/>
  <c r="B597" i="10"/>
  <c r="A598" i="10"/>
  <c r="D597" i="10"/>
  <c r="E597" i="10"/>
  <c r="B538" i="5"/>
  <c r="A537" i="6"/>
  <c r="G536" i="6"/>
  <c r="C538" i="5"/>
  <c r="E538" i="5"/>
  <c r="D538" i="5"/>
  <c r="A539" i="5"/>
  <c r="F539" i="5" s="1"/>
  <c r="I537" i="6" l="1"/>
  <c r="D537" i="6"/>
  <c r="C537" i="6"/>
  <c r="F537" i="6"/>
  <c r="E537" i="6"/>
  <c r="H537" i="6"/>
  <c r="B537" i="6"/>
  <c r="J537" i="6"/>
  <c r="C598" i="10"/>
  <c r="G539" i="5"/>
  <c r="H539" i="5"/>
  <c r="A599" i="10"/>
  <c r="D598" i="10"/>
  <c r="G598" i="10"/>
  <c r="E598" i="10"/>
  <c r="B598" i="10"/>
  <c r="B539" i="5"/>
  <c r="A538" i="6"/>
  <c r="G537" i="6"/>
  <c r="C539" i="5"/>
  <c r="D539" i="5"/>
  <c r="A540" i="5"/>
  <c r="F540" i="5" s="1"/>
  <c r="E539" i="5"/>
  <c r="I538" i="6" l="1"/>
  <c r="D538" i="6"/>
  <c r="C538" i="6"/>
  <c r="F538" i="6"/>
  <c r="E538" i="6"/>
  <c r="H538" i="6"/>
  <c r="B538" i="6"/>
  <c r="J538" i="6"/>
  <c r="G540" i="5"/>
  <c r="H540" i="5"/>
  <c r="C599" i="10"/>
  <c r="E599" i="10"/>
  <c r="A600" i="10"/>
  <c r="D599" i="10"/>
  <c r="B599" i="10"/>
  <c r="G599" i="10"/>
  <c r="B540" i="5"/>
  <c r="A539" i="6"/>
  <c r="G538" i="6"/>
  <c r="C540" i="5"/>
  <c r="E540" i="5"/>
  <c r="A541" i="5"/>
  <c r="F541" i="5" s="1"/>
  <c r="D540" i="5"/>
  <c r="I539" i="6" l="1"/>
  <c r="D539" i="6"/>
  <c r="C539" i="6"/>
  <c r="E539" i="6"/>
  <c r="F539" i="6"/>
  <c r="B539" i="6"/>
  <c r="H539" i="6"/>
  <c r="J539" i="6"/>
  <c r="C600" i="10"/>
  <c r="G541" i="5"/>
  <c r="H541" i="5"/>
  <c r="B600" i="10"/>
  <c r="E600" i="10"/>
  <c r="G600" i="10"/>
  <c r="A601" i="10"/>
  <c r="D600" i="10"/>
  <c r="B541" i="5"/>
  <c r="A540" i="6"/>
  <c r="G539" i="6"/>
  <c r="C541" i="5"/>
  <c r="D541" i="5"/>
  <c r="A542" i="5"/>
  <c r="F542" i="5" s="1"/>
  <c r="E541" i="5"/>
  <c r="D540" i="6" l="1"/>
  <c r="C540" i="6"/>
  <c r="I540" i="6"/>
  <c r="F540" i="6"/>
  <c r="E540" i="6"/>
  <c r="B540" i="6"/>
  <c r="H540" i="6"/>
  <c r="J540" i="6"/>
  <c r="C601" i="10"/>
  <c r="G542" i="5"/>
  <c r="H542" i="5"/>
  <c r="G601" i="10"/>
  <c r="B601" i="10"/>
  <c r="A602" i="10"/>
  <c r="D601" i="10"/>
  <c r="E601" i="10"/>
  <c r="B542" i="5"/>
  <c r="G540" i="6"/>
  <c r="A541" i="6"/>
  <c r="C542" i="5"/>
  <c r="D542" i="5"/>
  <c r="A543" i="5"/>
  <c r="F543" i="5" s="1"/>
  <c r="E542" i="5"/>
  <c r="D541" i="6" l="1"/>
  <c r="C541" i="6"/>
  <c r="I541" i="6"/>
  <c r="F541" i="6"/>
  <c r="E541" i="6"/>
  <c r="H541" i="6"/>
  <c r="B541" i="6"/>
  <c r="J541" i="6"/>
  <c r="C602" i="10"/>
  <c r="G543" i="5"/>
  <c r="H543" i="5"/>
  <c r="A603" i="10"/>
  <c r="D602" i="10"/>
  <c r="G602" i="10"/>
  <c r="E602" i="10"/>
  <c r="B602" i="10"/>
  <c r="B543" i="5"/>
  <c r="G541" i="6"/>
  <c r="A542" i="6"/>
  <c r="C543" i="5"/>
  <c r="D543" i="5"/>
  <c r="A544" i="5"/>
  <c r="F544" i="5" s="1"/>
  <c r="E543" i="5"/>
  <c r="I542" i="6" l="1"/>
  <c r="D542" i="6"/>
  <c r="C542" i="6"/>
  <c r="F542" i="6"/>
  <c r="E542" i="6"/>
  <c r="H542" i="6"/>
  <c r="B542" i="6"/>
  <c r="J542" i="6"/>
  <c r="G544" i="5"/>
  <c r="H544" i="5"/>
  <c r="C603" i="10"/>
  <c r="E603" i="10"/>
  <c r="A604" i="10"/>
  <c r="D603" i="10"/>
  <c r="B603" i="10"/>
  <c r="G603" i="10"/>
  <c r="B544" i="5"/>
  <c r="A543" i="6"/>
  <c r="G542" i="6"/>
  <c r="C544" i="5"/>
  <c r="A545" i="5"/>
  <c r="F545" i="5" s="1"/>
  <c r="D544" i="5"/>
  <c r="E544" i="5"/>
  <c r="C543" i="6" l="1"/>
  <c r="I543" i="6"/>
  <c r="D543" i="6"/>
  <c r="E543" i="6"/>
  <c r="F543" i="6"/>
  <c r="B543" i="6"/>
  <c r="H543" i="6"/>
  <c r="J543" i="6"/>
  <c r="G545" i="5"/>
  <c r="H545" i="5"/>
  <c r="C604" i="10"/>
  <c r="G604" i="10"/>
  <c r="B604" i="10"/>
  <c r="E604" i="10"/>
  <c r="A605" i="10"/>
  <c r="D604" i="10"/>
  <c r="B545" i="5"/>
  <c r="A544" i="6"/>
  <c r="G543" i="6"/>
  <c r="C545" i="5"/>
  <c r="E545" i="5"/>
  <c r="D545" i="5"/>
  <c r="A546" i="5"/>
  <c r="F546" i="5" s="1"/>
  <c r="I544" i="6" l="1"/>
  <c r="C544" i="6"/>
  <c r="D544" i="6"/>
  <c r="F544" i="6"/>
  <c r="E544" i="6"/>
  <c r="B544" i="6"/>
  <c r="H544" i="6"/>
  <c r="J544" i="6"/>
  <c r="C605" i="10"/>
  <c r="G546" i="5"/>
  <c r="H546" i="5"/>
  <c r="A606" i="10"/>
  <c r="D605" i="10"/>
  <c r="E605" i="10"/>
  <c r="G605" i="10"/>
  <c r="B605" i="10"/>
  <c r="B546" i="5"/>
  <c r="A545" i="6"/>
  <c r="G544" i="6"/>
  <c r="C546" i="5"/>
  <c r="D546" i="5"/>
  <c r="E546" i="5"/>
  <c r="A547" i="5"/>
  <c r="F547" i="5" s="1"/>
  <c r="I545" i="6" l="1"/>
  <c r="D545" i="6"/>
  <c r="C545" i="6"/>
  <c r="F545" i="6"/>
  <c r="E545" i="6"/>
  <c r="H545" i="6"/>
  <c r="B545" i="6"/>
  <c r="J545" i="6"/>
  <c r="G547" i="5"/>
  <c r="H547" i="5"/>
  <c r="C606" i="10"/>
  <c r="A607" i="10"/>
  <c r="D606" i="10"/>
  <c r="E606" i="10"/>
  <c r="B606" i="10"/>
  <c r="G606" i="10"/>
  <c r="B547" i="5"/>
  <c r="A546" i="6"/>
  <c r="G545" i="6"/>
  <c r="C547" i="5"/>
  <c r="A548" i="5"/>
  <c r="F548" i="5" s="1"/>
  <c r="E547" i="5"/>
  <c r="D547" i="5"/>
  <c r="I546" i="6" l="1"/>
  <c r="D546" i="6"/>
  <c r="C546" i="6"/>
  <c r="F546" i="6"/>
  <c r="E546" i="6"/>
  <c r="H546" i="6"/>
  <c r="B546" i="6"/>
  <c r="J546" i="6"/>
  <c r="G548" i="5"/>
  <c r="H548" i="5"/>
  <c r="C607" i="10"/>
  <c r="E607" i="10"/>
  <c r="B607" i="10"/>
  <c r="D607" i="10"/>
  <c r="G607" i="10"/>
  <c r="A608" i="10"/>
  <c r="B548" i="5"/>
  <c r="A547" i="6"/>
  <c r="G546" i="6"/>
  <c r="C548" i="5"/>
  <c r="A549" i="5"/>
  <c r="F549" i="5" s="1"/>
  <c r="D548" i="5"/>
  <c r="E548" i="5"/>
  <c r="I547" i="6" l="1"/>
  <c r="D547" i="6"/>
  <c r="C547" i="6"/>
  <c r="F547" i="6"/>
  <c r="E547" i="6"/>
  <c r="B547" i="6"/>
  <c r="H547" i="6"/>
  <c r="J547" i="6"/>
  <c r="G549" i="5"/>
  <c r="H549" i="5"/>
  <c r="C608" i="10"/>
  <c r="B608" i="10"/>
  <c r="G608" i="10"/>
  <c r="E608" i="10"/>
  <c r="D608" i="10"/>
  <c r="A609" i="10"/>
  <c r="B549" i="5"/>
  <c r="A548" i="6"/>
  <c r="G547" i="6"/>
  <c r="C549" i="5"/>
  <c r="D549" i="5"/>
  <c r="E549" i="5"/>
  <c r="A550" i="5"/>
  <c r="F550" i="5" s="1"/>
  <c r="D548" i="6" l="1"/>
  <c r="C548" i="6"/>
  <c r="I548" i="6"/>
  <c r="F548" i="6"/>
  <c r="E548" i="6"/>
  <c r="B548" i="6"/>
  <c r="H548" i="6"/>
  <c r="J548" i="6"/>
  <c r="G550" i="5"/>
  <c r="H550" i="5"/>
  <c r="C609" i="10"/>
  <c r="G609" i="10"/>
  <c r="A610" i="10"/>
  <c r="D609" i="10"/>
  <c r="E609" i="10"/>
  <c r="B609" i="10"/>
  <c r="B550" i="5"/>
  <c r="G548" i="6"/>
  <c r="A549" i="6"/>
  <c r="C550" i="5"/>
  <c r="D550" i="5"/>
  <c r="A551" i="5"/>
  <c r="F551" i="5" s="1"/>
  <c r="E550" i="5"/>
  <c r="D549" i="6" l="1"/>
  <c r="I549" i="6"/>
  <c r="C549" i="6"/>
  <c r="F549" i="6"/>
  <c r="E549" i="6"/>
  <c r="H549" i="6"/>
  <c r="B549" i="6"/>
  <c r="J549" i="6"/>
  <c r="C610" i="10"/>
  <c r="G551" i="5"/>
  <c r="H551" i="5"/>
  <c r="A611" i="10"/>
  <c r="D610" i="10"/>
  <c r="E610" i="10"/>
  <c r="G610" i="10"/>
  <c r="B610" i="10"/>
  <c r="B551" i="5"/>
  <c r="G549" i="6"/>
  <c r="A550" i="6"/>
  <c r="C551" i="5"/>
  <c r="A552" i="5"/>
  <c r="F552" i="5" s="1"/>
  <c r="E551" i="5"/>
  <c r="D551" i="5"/>
  <c r="I550" i="6" l="1"/>
  <c r="D550" i="6"/>
  <c r="C550" i="6"/>
  <c r="F550" i="6"/>
  <c r="E550" i="6"/>
  <c r="H550" i="6"/>
  <c r="B550" i="6"/>
  <c r="J550" i="6"/>
  <c r="G552" i="5"/>
  <c r="H552" i="5"/>
  <c r="C611" i="10"/>
  <c r="E611" i="10"/>
  <c r="B611" i="10"/>
  <c r="A612" i="10"/>
  <c r="G611" i="10"/>
  <c r="D611" i="10"/>
  <c r="B552" i="5"/>
  <c r="A551" i="6"/>
  <c r="G550" i="6"/>
  <c r="C552" i="5"/>
  <c r="A553" i="5"/>
  <c r="F553" i="5" s="1"/>
  <c r="D552" i="5"/>
  <c r="E552" i="5"/>
  <c r="C551" i="6" l="1"/>
  <c r="D551" i="6"/>
  <c r="I551" i="6"/>
  <c r="E551" i="6"/>
  <c r="F551" i="6"/>
  <c r="B551" i="6"/>
  <c r="H551" i="6"/>
  <c r="J551" i="6"/>
  <c r="C612" i="10"/>
  <c r="G553" i="5"/>
  <c r="H553" i="5"/>
  <c r="B612" i="10"/>
  <c r="G612" i="10"/>
  <c r="A613" i="10"/>
  <c r="D612" i="10"/>
  <c r="E612" i="10"/>
  <c r="B553" i="5"/>
  <c r="A552" i="6"/>
  <c r="G551" i="6"/>
  <c r="C553" i="5"/>
  <c r="E553" i="5"/>
  <c r="A554" i="5"/>
  <c r="F554" i="5" s="1"/>
  <c r="D553" i="5"/>
  <c r="I552" i="6" l="1"/>
  <c r="C552" i="6"/>
  <c r="D552" i="6"/>
  <c r="F552" i="6"/>
  <c r="E552" i="6"/>
  <c r="B552" i="6"/>
  <c r="H552" i="6"/>
  <c r="J552" i="6"/>
  <c r="C613" i="10"/>
  <c r="G554" i="5"/>
  <c r="H554" i="5"/>
  <c r="G613" i="10"/>
  <c r="A614" i="10"/>
  <c r="D613" i="10"/>
  <c r="B613" i="10"/>
  <c r="E613" i="10"/>
  <c r="B554" i="5"/>
  <c r="A553" i="6"/>
  <c r="G552" i="6"/>
  <c r="C554" i="5"/>
  <c r="E554" i="5"/>
  <c r="A555" i="5"/>
  <c r="F555" i="5" s="1"/>
  <c r="D554" i="5"/>
  <c r="I553" i="6" l="1"/>
  <c r="D553" i="6"/>
  <c r="C553" i="6"/>
  <c r="F553" i="6"/>
  <c r="E553" i="6"/>
  <c r="H553" i="6"/>
  <c r="B553" i="6"/>
  <c r="J553" i="6"/>
  <c r="C614" i="10"/>
  <c r="G555" i="5"/>
  <c r="H555" i="5"/>
  <c r="A615" i="10"/>
  <c r="D614" i="10"/>
  <c r="G614" i="10"/>
  <c r="E614" i="10"/>
  <c r="B614" i="10"/>
  <c r="B555" i="5"/>
  <c r="A554" i="6"/>
  <c r="G553" i="6"/>
  <c r="C555" i="5"/>
  <c r="A556" i="5"/>
  <c r="F556" i="5" s="1"/>
  <c r="E555" i="5"/>
  <c r="D555" i="5"/>
  <c r="I554" i="6" l="1"/>
  <c r="D554" i="6"/>
  <c r="C554" i="6"/>
  <c r="F554" i="6"/>
  <c r="E554" i="6"/>
  <c r="H554" i="6"/>
  <c r="B554" i="6"/>
  <c r="J554" i="6"/>
  <c r="G556" i="5"/>
  <c r="H556" i="5"/>
  <c r="C615" i="10"/>
  <c r="E615" i="10"/>
  <c r="A616" i="10"/>
  <c r="D615" i="10"/>
  <c r="B615" i="10"/>
  <c r="G615" i="10"/>
  <c r="B556" i="5"/>
  <c r="A555" i="6"/>
  <c r="G554" i="6"/>
  <c r="C556" i="5"/>
  <c r="A557" i="5"/>
  <c r="F557" i="5" s="1"/>
  <c r="D556" i="5"/>
  <c r="E556" i="5"/>
  <c r="I555" i="6" l="1"/>
  <c r="D555" i="6"/>
  <c r="C555" i="6"/>
  <c r="E555" i="6"/>
  <c r="F555" i="6"/>
  <c r="B555" i="6"/>
  <c r="H555" i="6"/>
  <c r="J555" i="6"/>
  <c r="G557" i="5"/>
  <c r="H557" i="5"/>
  <c r="C616" i="10"/>
  <c r="B616" i="10"/>
  <c r="E616" i="10"/>
  <c r="G616" i="10"/>
  <c r="A617" i="10"/>
  <c r="D616" i="10"/>
  <c r="B557" i="5"/>
  <c r="A556" i="6"/>
  <c r="G555" i="6"/>
  <c r="C557" i="5"/>
  <c r="E557" i="5"/>
  <c r="A558" i="5"/>
  <c r="F558" i="5" s="1"/>
  <c r="D557" i="5"/>
  <c r="D556" i="6" l="1"/>
  <c r="C556" i="6"/>
  <c r="I556" i="6"/>
  <c r="F556" i="6"/>
  <c r="E556" i="6"/>
  <c r="B556" i="6"/>
  <c r="H556" i="6"/>
  <c r="J556" i="6"/>
  <c r="C617" i="10"/>
  <c r="G558" i="5"/>
  <c r="H558" i="5"/>
  <c r="G617" i="10"/>
  <c r="B617" i="10"/>
  <c r="A618" i="10"/>
  <c r="D617" i="10"/>
  <c r="E617" i="10"/>
  <c r="B558" i="5"/>
  <c r="A557" i="6"/>
  <c r="G556" i="6"/>
  <c r="C558" i="5"/>
  <c r="A559" i="5"/>
  <c r="F559" i="5" s="1"/>
  <c r="E558" i="5"/>
  <c r="D558" i="5"/>
  <c r="D557" i="6" l="1"/>
  <c r="I557" i="6"/>
  <c r="C557" i="6"/>
  <c r="F557" i="6"/>
  <c r="E557" i="6"/>
  <c r="H557" i="6"/>
  <c r="B557" i="6"/>
  <c r="J557" i="6"/>
  <c r="C618" i="10"/>
  <c r="G559" i="5"/>
  <c r="H559" i="5"/>
  <c r="A619" i="10"/>
  <c r="D618" i="10"/>
  <c r="G618" i="10"/>
  <c r="E618" i="10"/>
  <c r="B618" i="10"/>
  <c r="B559" i="5"/>
  <c r="A558" i="6"/>
  <c r="G557" i="6"/>
  <c r="C559" i="5"/>
  <c r="A560" i="5"/>
  <c r="F560" i="5" s="1"/>
  <c r="E559" i="5"/>
  <c r="D559" i="5"/>
  <c r="I558" i="6" l="1"/>
  <c r="D558" i="6"/>
  <c r="C558" i="6"/>
  <c r="F558" i="6"/>
  <c r="E558" i="6"/>
  <c r="H558" i="6"/>
  <c r="B558" i="6"/>
  <c r="J558" i="6"/>
  <c r="G560" i="5"/>
  <c r="H560" i="5"/>
  <c r="C619" i="10"/>
  <c r="E619" i="10"/>
  <c r="A620" i="10"/>
  <c r="D619" i="10"/>
  <c r="B619" i="10"/>
  <c r="G619" i="10"/>
  <c r="B560" i="5"/>
  <c r="G558" i="6"/>
  <c r="A559" i="6"/>
  <c r="C560" i="5"/>
  <c r="A561" i="5"/>
  <c r="F561" i="5" s="1"/>
  <c r="D560" i="5"/>
  <c r="E560" i="5"/>
  <c r="C559" i="6" l="1"/>
  <c r="I559" i="6"/>
  <c r="D559" i="6"/>
  <c r="E559" i="6"/>
  <c r="F559" i="6"/>
  <c r="B559" i="6"/>
  <c r="H559" i="6"/>
  <c r="J559" i="6"/>
  <c r="C620" i="10"/>
  <c r="G561" i="5"/>
  <c r="H561" i="5"/>
  <c r="B620" i="10"/>
  <c r="E620" i="10"/>
  <c r="G620" i="10"/>
  <c r="D620" i="10"/>
  <c r="A621" i="10"/>
  <c r="B561" i="5"/>
  <c r="A560" i="6"/>
  <c r="G559" i="6"/>
  <c r="C561" i="5"/>
  <c r="D561" i="5"/>
  <c r="A562" i="5"/>
  <c r="F562" i="5" s="1"/>
  <c r="E561" i="5"/>
  <c r="I560" i="6" l="1"/>
  <c r="C560" i="6"/>
  <c r="D560" i="6"/>
  <c r="F560" i="6"/>
  <c r="E560" i="6"/>
  <c r="B560" i="6"/>
  <c r="H560" i="6"/>
  <c r="J560" i="6"/>
  <c r="G562" i="5"/>
  <c r="H562" i="5"/>
  <c r="C621" i="10"/>
  <c r="G621" i="10"/>
  <c r="B621" i="10"/>
  <c r="A622" i="10"/>
  <c r="D621" i="10"/>
  <c r="E621" i="10"/>
  <c r="B562" i="5"/>
  <c r="G560" i="6"/>
  <c r="A561" i="6"/>
  <c r="C562" i="5"/>
  <c r="A563" i="5"/>
  <c r="F563" i="5" s="1"/>
  <c r="E562" i="5"/>
  <c r="D562" i="5"/>
  <c r="I561" i="6" l="1"/>
  <c r="D561" i="6"/>
  <c r="C561" i="6"/>
  <c r="F561" i="6"/>
  <c r="E561" i="6"/>
  <c r="H561" i="6"/>
  <c r="B561" i="6"/>
  <c r="J561" i="6"/>
  <c r="C622" i="10"/>
  <c r="G563" i="5"/>
  <c r="H563" i="5"/>
  <c r="A623" i="10"/>
  <c r="D622" i="10"/>
  <c r="G622" i="10"/>
  <c r="E622" i="10"/>
  <c r="B622" i="10"/>
  <c r="B563" i="5"/>
  <c r="A562" i="6"/>
  <c r="G561" i="6"/>
  <c r="C563" i="5"/>
  <c r="A564" i="5"/>
  <c r="F564" i="5" s="1"/>
  <c r="E563" i="5"/>
  <c r="D563" i="5"/>
  <c r="I562" i="6" l="1"/>
  <c r="D562" i="6"/>
  <c r="C562" i="6"/>
  <c r="F562" i="6"/>
  <c r="E562" i="6"/>
  <c r="H562" i="6"/>
  <c r="B562" i="6"/>
  <c r="J562" i="6"/>
  <c r="G564" i="5"/>
  <c r="H564" i="5"/>
  <c r="C623" i="10"/>
  <c r="E623" i="10"/>
  <c r="A624" i="10"/>
  <c r="D623" i="10"/>
  <c r="B623" i="10"/>
  <c r="G623" i="10"/>
  <c r="B564" i="5"/>
  <c r="G562" i="6"/>
  <c r="A563" i="6"/>
  <c r="C564" i="5"/>
  <c r="E564" i="5"/>
  <c r="A565" i="5"/>
  <c r="F565" i="5" s="1"/>
  <c r="D564" i="5"/>
  <c r="I563" i="6" l="1"/>
  <c r="D563" i="6"/>
  <c r="C563" i="6"/>
  <c r="F563" i="6"/>
  <c r="E563" i="6"/>
  <c r="B563" i="6"/>
  <c r="H563" i="6"/>
  <c r="J563" i="6"/>
  <c r="C624" i="10"/>
  <c r="G565" i="5"/>
  <c r="H565" i="5"/>
  <c r="B624" i="10"/>
  <c r="E624" i="10"/>
  <c r="G624" i="10"/>
  <c r="D624" i="10"/>
  <c r="A625" i="10"/>
  <c r="B565" i="5"/>
  <c r="A564" i="6"/>
  <c r="G563" i="6"/>
  <c r="C565" i="5"/>
  <c r="D565" i="5"/>
  <c r="A566" i="5"/>
  <c r="F566" i="5" s="1"/>
  <c r="E565" i="5"/>
  <c r="D564" i="6" l="1"/>
  <c r="C564" i="6"/>
  <c r="I564" i="6"/>
  <c r="F564" i="6"/>
  <c r="E564" i="6"/>
  <c r="B564" i="6"/>
  <c r="H564" i="6"/>
  <c r="J564" i="6"/>
  <c r="G566" i="5"/>
  <c r="H566" i="5"/>
  <c r="C625" i="10"/>
  <c r="G625" i="10"/>
  <c r="B625" i="10"/>
  <c r="A626" i="10"/>
  <c r="D625" i="10"/>
  <c r="E625" i="10"/>
  <c r="B566" i="5"/>
  <c r="A565" i="6"/>
  <c r="G564" i="6"/>
  <c r="C566" i="5"/>
  <c r="D566" i="5"/>
  <c r="A567" i="5"/>
  <c r="F567" i="5" s="1"/>
  <c r="E566" i="5"/>
  <c r="D565" i="6" l="1"/>
  <c r="C565" i="6"/>
  <c r="I565" i="6"/>
  <c r="F565" i="6"/>
  <c r="E565" i="6"/>
  <c r="H565" i="6"/>
  <c r="B565" i="6"/>
  <c r="J565" i="6"/>
  <c r="C626" i="10"/>
  <c r="G567" i="5"/>
  <c r="H567" i="5"/>
  <c r="A627" i="10"/>
  <c r="D626" i="10"/>
  <c r="G626" i="10"/>
  <c r="E626" i="10"/>
  <c r="B626" i="10"/>
  <c r="B567" i="5"/>
  <c r="A566" i="6"/>
  <c r="G565" i="6"/>
  <c r="C567" i="5"/>
  <c r="A568" i="5"/>
  <c r="F568" i="5" s="1"/>
  <c r="E567" i="5"/>
  <c r="D567" i="5"/>
  <c r="I566" i="6" l="1"/>
  <c r="D566" i="6"/>
  <c r="C566" i="6"/>
  <c r="F566" i="6"/>
  <c r="E566" i="6"/>
  <c r="H566" i="6"/>
  <c r="B566" i="6"/>
  <c r="J566" i="6"/>
  <c r="G568" i="5"/>
  <c r="H568" i="5"/>
  <c r="C627" i="10"/>
  <c r="E627" i="10"/>
  <c r="A628" i="10"/>
  <c r="D627" i="10"/>
  <c r="B627" i="10"/>
  <c r="G627" i="10"/>
  <c r="B568" i="5"/>
  <c r="A567" i="6"/>
  <c r="G566" i="6"/>
  <c r="C568" i="5"/>
  <c r="A569" i="5"/>
  <c r="F569" i="5" s="1"/>
  <c r="D568" i="5"/>
  <c r="E568" i="5"/>
  <c r="C567" i="6" l="1"/>
  <c r="I567" i="6"/>
  <c r="D567" i="6"/>
  <c r="E567" i="6"/>
  <c r="F567" i="6"/>
  <c r="B567" i="6"/>
  <c r="H567" i="6"/>
  <c r="J567" i="6"/>
  <c r="G569" i="5"/>
  <c r="H569" i="5"/>
  <c r="C628" i="10"/>
  <c r="B628" i="10"/>
  <c r="E628" i="10"/>
  <c r="G628" i="10"/>
  <c r="A629" i="10"/>
  <c r="D628" i="10"/>
  <c r="B569" i="5"/>
  <c r="A568" i="6"/>
  <c r="G567" i="6"/>
  <c r="C569" i="5"/>
  <c r="D569" i="5"/>
  <c r="A570" i="5"/>
  <c r="F570" i="5" s="1"/>
  <c r="E569" i="5"/>
  <c r="I568" i="6" l="1"/>
  <c r="C568" i="6"/>
  <c r="D568" i="6"/>
  <c r="F568" i="6"/>
  <c r="E568" i="6"/>
  <c r="B568" i="6"/>
  <c r="H568" i="6"/>
  <c r="J568" i="6"/>
  <c r="C629" i="10"/>
  <c r="G570" i="5"/>
  <c r="H570" i="5"/>
  <c r="G629" i="10"/>
  <c r="B629" i="10"/>
  <c r="A630" i="10"/>
  <c r="D629" i="10"/>
  <c r="E629" i="10"/>
  <c r="B570" i="5"/>
  <c r="G568" i="6"/>
  <c r="A569" i="6"/>
  <c r="C570" i="5"/>
  <c r="D570" i="5"/>
  <c r="A571" i="5"/>
  <c r="F571" i="5" s="1"/>
  <c r="E570" i="5"/>
  <c r="I569" i="6" l="1"/>
  <c r="D569" i="6"/>
  <c r="C569" i="6"/>
  <c r="F569" i="6"/>
  <c r="E569" i="6"/>
  <c r="H569" i="6"/>
  <c r="B569" i="6"/>
  <c r="J569" i="6"/>
  <c r="C630" i="10"/>
  <c r="G571" i="5"/>
  <c r="H571" i="5"/>
  <c r="A631" i="10"/>
  <c r="D630" i="10"/>
  <c r="G630" i="10"/>
  <c r="E630" i="10"/>
  <c r="B630" i="10"/>
  <c r="B571" i="5"/>
  <c r="A570" i="6"/>
  <c r="G569" i="6"/>
  <c r="C571" i="5"/>
  <c r="A572" i="5"/>
  <c r="F572" i="5" s="1"/>
  <c r="E571" i="5"/>
  <c r="D571" i="5"/>
  <c r="I570" i="6" l="1"/>
  <c r="C570" i="6"/>
  <c r="D570" i="6"/>
  <c r="F570" i="6"/>
  <c r="E570" i="6"/>
  <c r="H570" i="6"/>
  <c r="B570" i="6"/>
  <c r="J570" i="6"/>
  <c r="G572" i="5"/>
  <c r="H572" i="5"/>
  <c r="C631" i="10"/>
  <c r="E631" i="10"/>
  <c r="A632" i="10"/>
  <c r="D631" i="10"/>
  <c r="B631" i="10"/>
  <c r="G631" i="10"/>
  <c r="B572" i="5"/>
  <c r="A571" i="6"/>
  <c r="G570" i="6"/>
  <c r="C572" i="5"/>
  <c r="A573" i="5"/>
  <c r="F573" i="5" s="1"/>
  <c r="D572" i="5"/>
  <c r="E572" i="5"/>
  <c r="I571" i="6" l="1"/>
  <c r="D571" i="6"/>
  <c r="C571" i="6"/>
  <c r="E571" i="6"/>
  <c r="F571" i="6"/>
  <c r="B571" i="6"/>
  <c r="H571" i="6"/>
  <c r="J571" i="6"/>
  <c r="C632" i="10"/>
  <c r="G573" i="5"/>
  <c r="H573" i="5"/>
  <c r="B632" i="10"/>
  <c r="E632" i="10"/>
  <c r="G632" i="10"/>
  <c r="A633" i="10"/>
  <c r="D632" i="10"/>
  <c r="B573" i="5"/>
  <c r="A572" i="6"/>
  <c r="G571" i="6"/>
  <c r="C573" i="5"/>
  <c r="A574" i="5"/>
  <c r="F574" i="5" s="1"/>
  <c r="D573" i="5"/>
  <c r="E573" i="5"/>
  <c r="D572" i="6" l="1"/>
  <c r="C572" i="6"/>
  <c r="I572" i="6"/>
  <c r="F572" i="6"/>
  <c r="E572" i="6"/>
  <c r="B572" i="6"/>
  <c r="H572" i="6"/>
  <c r="J572" i="6"/>
  <c r="G574" i="5"/>
  <c r="H574" i="5"/>
  <c r="C633" i="10"/>
  <c r="G633" i="10"/>
  <c r="B633" i="10"/>
  <c r="A634" i="10"/>
  <c r="D633" i="10"/>
  <c r="E633" i="10"/>
  <c r="B574" i="5"/>
  <c r="A573" i="6"/>
  <c r="G572" i="6"/>
  <c r="C574" i="5"/>
  <c r="A575" i="5"/>
  <c r="F575" i="5" s="1"/>
  <c r="E574" i="5"/>
  <c r="D574" i="5"/>
  <c r="D573" i="6" l="1"/>
  <c r="I573" i="6"/>
  <c r="C573" i="6"/>
  <c r="F573" i="6"/>
  <c r="E573" i="6"/>
  <c r="H573" i="6"/>
  <c r="B573" i="6"/>
  <c r="J573" i="6"/>
  <c r="C634" i="10"/>
  <c r="G575" i="5"/>
  <c r="H575" i="5"/>
  <c r="A635" i="10"/>
  <c r="D634" i="10"/>
  <c r="G634" i="10"/>
  <c r="E634" i="10"/>
  <c r="B634" i="10"/>
  <c r="B575" i="5"/>
  <c r="A574" i="6"/>
  <c r="G573" i="6"/>
  <c r="C575" i="5"/>
  <c r="A576" i="5"/>
  <c r="F576" i="5" s="1"/>
  <c r="E575" i="5"/>
  <c r="D575" i="5"/>
  <c r="I574" i="6" l="1"/>
  <c r="D574" i="6"/>
  <c r="C574" i="6"/>
  <c r="F574" i="6"/>
  <c r="E574" i="6"/>
  <c r="H574" i="6"/>
  <c r="B574" i="6"/>
  <c r="J574" i="6"/>
  <c r="G576" i="5"/>
  <c r="H576" i="5"/>
  <c r="C635" i="10"/>
  <c r="E635" i="10"/>
  <c r="A636" i="10"/>
  <c r="D635" i="10"/>
  <c r="B635" i="10"/>
  <c r="G635" i="10"/>
  <c r="B576" i="5"/>
  <c r="A575" i="6"/>
  <c r="G574" i="6"/>
  <c r="C576" i="5"/>
  <c r="D576" i="5"/>
  <c r="A577" i="5"/>
  <c r="F577" i="5" s="1"/>
  <c r="E576" i="5"/>
  <c r="C575" i="6" l="1"/>
  <c r="I575" i="6"/>
  <c r="D575" i="6"/>
  <c r="E575" i="6"/>
  <c r="F575" i="6"/>
  <c r="B575" i="6"/>
  <c r="H575" i="6"/>
  <c r="J575" i="6"/>
  <c r="C636" i="10"/>
  <c r="G577" i="5"/>
  <c r="H577" i="5"/>
  <c r="B636" i="10"/>
  <c r="E636" i="10"/>
  <c r="G636" i="10"/>
  <c r="D636" i="10"/>
  <c r="A637" i="10"/>
  <c r="B577" i="5"/>
  <c r="A576" i="6"/>
  <c r="G575" i="6"/>
  <c r="C577" i="5"/>
  <c r="A578" i="5"/>
  <c r="F578" i="5" s="1"/>
  <c r="E577" i="5"/>
  <c r="D577" i="5"/>
  <c r="I576" i="6" l="1"/>
  <c r="C576" i="6"/>
  <c r="D576" i="6"/>
  <c r="F576" i="6"/>
  <c r="E576" i="6"/>
  <c r="B576" i="6"/>
  <c r="H576" i="6"/>
  <c r="J576" i="6"/>
  <c r="G578" i="5"/>
  <c r="H578" i="5"/>
  <c r="C637" i="10"/>
  <c r="G637" i="10"/>
  <c r="B637" i="10"/>
  <c r="A638" i="10"/>
  <c r="D637" i="10"/>
  <c r="E637" i="10"/>
  <c r="B578" i="5"/>
  <c r="A577" i="6"/>
  <c r="G576" i="6"/>
  <c r="C578" i="5"/>
  <c r="A579" i="5"/>
  <c r="F579" i="5" s="1"/>
  <c r="E578" i="5"/>
  <c r="D578" i="5"/>
  <c r="I577" i="6" l="1"/>
  <c r="D577" i="6"/>
  <c r="C577" i="6"/>
  <c r="F577" i="6"/>
  <c r="E577" i="6"/>
  <c r="H577" i="6"/>
  <c r="B577" i="6"/>
  <c r="J577" i="6"/>
  <c r="C638" i="10"/>
  <c r="G579" i="5"/>
  <c r="H579" i="5"/>
  <c r="A639" i="10"/>
  <c r="D638" i="10"/>
  <c r="G638" i="10"/>
  <c r="E638" i="10"/>
  <c r="B638" i="10"/>
  <c r="B579" i="5"/>
  <c r="A578" i="6"/>
  <c r="G577" i="6"/>
  <c r="C579" i="5"/>
  <c r="A580" i="5"/>
  <c r="F580" i="5" s="1"/>
  <c r="E579" i="5"/>
  <c r="D579" i="5"/>
  <c r="I578" i="6" l="1"/>
  <c r="D578" i="6"/>
  <c r="C578" i="6"/>
  <c r="F578" i="6"/>
  <c r="E578" i="6"/>
  <c r="H578" i="6"/>
  <c r="B578" i="6"/>
  <c r="J578" i="6"/>
  <c r="G580" i="5"/>
  <c r="H580" i="5"/>
  <c r="C639" i="10"/>
  <c r="E639" i="10"/>
  <c r="A640" i="10"/>
  <c r="D639" i="10"/>
  <c r="B639" i="10"/>
  <c r="G639" i="10"/>
  <c r="B580" i="5"/>
  <c r="A579" i="6"/>
  <c r="G578" i="6"/>
  <c r="C580" i="5"/>
  <c r="A581" i="5"/>
  <c r="F581" i="5" s="1"/>
  <c r="D580" i="5"/>
  <c r="E580" i="5"/>
  <c r="I579" i="6" l="1"/>
  <c r="D579" i="6"/>
  <c r="C579" i="6"/>
  <c r="F579" i="6"/>
  <c r="E579" i="6"/>
  <c r="B579" i="6"/>
  <c r="H579" i="6"/>
  <c r="J579" i="6"/>
  <c r="G581" i="5"/>
  <c r="H581" i="5"/>
  <c r="C640" i="10"/>
  <c r="B640" i="10"/>
  <c r="E640" i="10"/>
  <c r="G640" i="10"/>
  <c r="D640" i="10"/>
  <c r="A641" i="10"/>
  <c r="B581" i="5"/>
  <c r="A580" i="6"/>
  <c r="G579" i="6"/>
  <c r="C581" i="5"/>
  <c r="A582" i="5"/>
  <c r="F582" i="5" s="1"/>
  <c r="D581" i="5"/>
  <c r="E581" i="5"/>
  <c r="D580" i="6" l="1"/>
  <c r="C580" i="6"/>
  <c r="I580" i="6"/>
  <c r="F580" i="6"/>
  <c r="E580" i="6"/>
  <c r="B580" i="6"/>
  <c r="H580" i="6"/>
  <c r="J580" i="6"/>
  <c r="G582" i="5"/>
  <c r="H582" i="5"/>
  <c r="C641" i="10"/>
  <c r="A642" i="10"/>
  <c r="D641" i="10"/>
  <c r="G641" i="10"/>
  <c r="B641" i="10"/>
  <c r="E641" i="10"/>
  <c r="B582" i="5"/>
  <c r="A581" i="6"/>
  <c r="G580" i="6"/>
  <c r="C582" i="5"/>
  <c r="A583" i="5"/>
  <c r="F583" i="5" s="1"/>
  <c r="D582" i="5"/>
  <c r="E582" i="5"/>
  <c r="D581" i="6" l="1"/>
  <c r="I581" i="6"/>
  <c r="C581" i="6"/>
  <c r="F581" i="6"/>
  <c r="E581" i="6"/>
  <c r="H581" i="6"/>
  <c r="B581" i="6"/>
  <c r="J581" i="6"/>
  <c r="G583" i="5"/>
  <c r="H583" i="5"/>
  <c r="C642" i="10"/>
  <c r="E642" i="10"/>
  <c r="G642" i="10"/>
  <c r="B642" i="10"/>
  <c r="A643" i="10"/>
  <c r="D642" i="10"/>
  <c r="B583" i="5"/>
  <c r="A582" i="6"/>
  <c r="G581" i="6"/>
  <c r="C583" i="5"/>
  <c r="E583" i="5"/>
  <c r="A584" i="5"/>
  <c r="F584" i="5" s="1"/>
  <c r="D583" i="5"/>
  <c r="I582" i="6" l="1"/>
  <c r="D582" i="6"/>
  <c r="C582" i="6"/>
  <c r="F582" i="6"/>
  <c r="E582" i="6"/>
  <c r="H582" i="6"/>
  <c r="B582" i="6"/>
  <c r="J582" i="6"/>
  <c r="C643" i="10"/>
  <c r="G584" i="5"/>
  <c r="H584" i="5"/>
  <c r="E643" i="10"/>
  <c r="A644" i="10"/>
  <c r="B643" i="10"/>
  <c r="G643" i="10"/>
  <c r="D643" i="10"/>
  <c r="B584" i="5"/>
  <c r="A583" i="6"/>
  <c r="G582" i="6"/>
  <c r="C584" i="5"/>
  <c r="A585" i="5"/>
  <c r="F585" i="5" s="1"/>
  <c r="E584" i="5"/>
  <c r="D584" i="5"/>
  <c r="C583" i="6" l="1"/>
  <c r="I583" i="6"/>
  <c r="D583" i="6"/>
  <c r="E583" i="6"/>
  <c r="F583" i="6"/>
  <c r="B583" i="6"/>
  <c r="H583" i="6"/>
  <c r="J583" i="6"/>
  <c r="G585" i="5"/>
  <c r="H585" i="5"/>
  <c r="C644" i="10"/>
  <c r="B644" i="10"/>
  <c r="E644" i="10"/>
  <c r="G644" i="10"/>
  <c r="D644" i="10"/>
  <c r="A645" i="10"/>
  <c r="B585" i="5"/>
  <c r="A584" i="6"/>
  <c r="G583" i="6"/>
  <c r="C585" i="5"/>
  <c r="A586" i="5"/>
  <c r="F586" i="5" s="1"/>
  <c r="E585" i="5"/>
  <c r="D585" i="5"/>
  <c r="I584" i="6" l="1"/>
  <c r="C584" i="6"/>
  <c r="D584" i="6"/>
  <c r="F584" i="6"/>
  <c r="E584" i="6"/>
  <c r="B584" i="6"/>
  <c r="H584" i="6"/>
  <c r="J584" i="6"/>
  <c r="G586" i="5"/>
  <c r="H586" i="5"/>
  <c r="C645" i="10"/>
  <c r="G645" i="10"/>
  <c r="B645" i="10"/>
  <c r="A646" i="10"/>
  <c r="D645" i="10"/>
  <c r="E645" i="10"/>
  <c r="B586" i="5"/>
  <c r="G584" i="6"/>
  <c r="A585" i="6"/>
  <c r="C586" i="5"/>
  <c r="D586" i="5"/>
  <c r="A587" i="5"/>
  <c r="F587" i="5" s="1"/>
  <c r="E586" i="5"/>
  <c r="I585" i="6" l="1"/>
  <c r="D585" i="6"/>
  <c r="C585" i="6"/>
  <c r="F585" i="6"/>
  <c r="E585" i="6"/>
  <c r="H585" i="6"/>
  <c r="B585" i="6"/>
  <c r="J585" i="6"/>
  <c r="C646" i="10"/>
  <c r="G587" i="5"/>
  <c r="H587" i="5"/>
  <c r="A647" i="10"/>
  <c r="D646" i="10"/>
  <c r="G646" i="10"/>
  <c r="E646" i="10"/>
  <c r="B646" i="10"/>
  <c r="B587" i="5"/>
  <c r="A586" i="6"/>
  <c r="G585" i="6"/>
  <c r="C587" i="5"/>
  <c r="E587" i="5"/>
  <c r="A588" i="5"/>
  <c r="F588" i="5" s="1"/>
  <c r="D587" i="5"/>
  <c r="I586" i="6" l="1"/>
  <c r="D586" i="6"/>
  <c r="C586" i="6"/>
  <c r="F586" i="6"/>
  <c r="E586" i="6"/>
  <c r="H586" i="6"/>
  <c r="B586" i="6"/>
  <c r="J586" i="6"/>
  <c r="G588" i="5"/>
  <c r="H588" i="5"/>
  <c r="C647" i="10"/>
  <c r="E647" i="10"/>
  <c r="A648" i="10"/>
  <c r="D647" i="10"/>
  <c r="B647" i="10"/>
  <c r="G647" i="10"/>
  <c r="B588" i="5"/>
  <c r="A587" i="6"/>
  <c r="G586" i="6"/>
  <c r="C588" i="5"/>
  <c r="E588" i="5"/>
  <c r="A589" i="5"/>
  <c r="F589" i="5" s="1"/>
  <c r="D588" i="5"/>
  <c r="I587" i="6" l="1"/>
  <c r="D587" i="6"/>
  <c r="C587" i="6"/>
  <c r="E587" i="6"/>
  <c r="F587" i="6"/>
  <c r="B587" i="6"/>
  <c r="H587" i="6"/>
  <c r="J587" i="6"/>
  <c r="C648" i="10"/>
  <c r="G589" i="5"/>
  <c r="H589" i="5"/>
  <c r="B648" i="10"/>
  <c r="E648" i="10"/>
  <c r="G648" i="10"/>
  <c r="D648" i="10"/>
  <c r="A649" i="10"/>
  <c r="B589" i="5"/>
  <c r="A588" i="6"/>
  <c r="G587" i="6"/>
  <c r="C589" i="5"/>
  <c r="A590" i="5"/>
  <c r="F590" i="5" s="1"/>
  <c r="E589" i="5"/>
  <c r="D589" i="5"/>
  <c r="D588" i="6" l="1"/>
  <c r="C588" i="6"/>
  <c r="I588" i="6"/>
  <c r="F588" i="6"/>
  <c r="E588" i="6"/>
  <c r="B588" i="6"/>
  <c r="H588" i="6"/>
  <c r="J588" i="6"/>
  <c r="G590" i="5"/>
  <c r="H590" i="5"/>
  <c r="C649" i="10"/>
  <c r="G649" i="10"/>
  <c r="B649" i="10"/>
  <c r="A650" i="10"/>
  <c r="D649" i="10"/>
  <c r="E649" i="10"/>
  <c r="B590" i="5"/>
  <c r="A589" i="6"/>
  <c r="G588" i="6"/>
  <c r="C590" i="5"/>
  <c r="A591" i="5"/>
  <c r="F591" i="5" s="1"/>
  <c r="E590" i="5"/>
  <c r="D590" i="5"/>
  <c r="D589" i="6" l="1"/>
  <c r="I589" i="6"/>
  <c r="C589" i="6"/>
  <c r="F589" i="6"/>
  <c r="E589" i="6"/>
  <c r="H589" i="6"/>
  <c r="B589" i="6"/>
  <c r="J589" i="6"/>
  <c r="C650" i="10"/>
  <c r="G591" i="5"/>
  <c r="H591" i="5"/>
  <c r="A651" i="10"/>
  <c r="D650" i="10"/>
  <c r="G650" i="10"/>
  <c r="E650" i="10"/>
  <c r="B650" i="10"/>
  <c r="B591" i="5"/>
  <c r="A590" i="6"/>
  <c r="G589" i="6"/>
  <c r="C591" i="5"/>
  <c r="E591" i="5"/>
  <c r="D591" i="5"/>
  <c r="A592" i="5"/>
  <c r="F592" i="5" s="1"/>
  <c r="I590" i="6" l="1"/>
  <c r="D590" i="6"/>
  <c r="C590" i="6"/>
  <c r="F590" i="6"/>
  <c r="E590" i="6"/>
  <c r="H590" i="6"/>
  <c r="B590" i="6"/>
  <c r="J590" i="6"/>
  <c r="G592" i="5"/>
  <c r="H592" i="5"/>
  <c r="C651" i="10"/>
  <c r="E651" i="10"/>
  <c r="A652" i="10"/>
  <c r="D651" i="10"/>
  <c r="B651" i="10"/>
  <c r="G651" i="10"/>
  <c r="B592" i="5"/>
  <c r="A591" i="6"/>
  <c r="G590" i="6"/>
  <c r="C592" i="5"/>
  <c r="A593" i="5"/>
  <c r="F593" i="5" s="1"/>
  <c r="E592" i="5"/>
  <c r="D592" i="5"/>
  <c r="C591" i="6" l="1"/>
  <c r="D591" i="6"/>
  <c r="I591" i="6"/>
  <c r="E591" i="6"/>
  <c r="F591" i="6"/>
  <c r="B591" i="6"/>
  <c r="H591" i="6"/>
  <c r="J591" i="6"/>
  <c r="C652" i="10"/>
  <c r="G593" i="5"/>
  <c r="H593" i="5"/>
  <c r="B652" i="10"/>
  <c r="E652" i="10"/>
  <c r="G652" i="10"/>
  <c r="A653" i="10"/>
  <c r="D652" i="10"/>
  <c r="B593" i="5"/>
  <c r="A592" i="6"/>
  <c r="G591" i="6"/>
  <c r="C593" i="5"/>
  <c r="A594" i="5"/>
  <c r="F594" i="5" s="1"/>
  <c r="E593" i="5"/>
  <c r="D593" i="5"/>
  <c r="I592" i="6" l="1"/>
  <c r="C592" i="6"/>
  <c r="D592" i="6"/>
  <c r="F592" i="6"/>
  <c r="E592" i="6"/>
  <c r="B592" i="6"/>
  <c r="H592" i="6"/>
  <c r="J592" i="6"/>
  <c r="C653" i="10"/>
  <c r="G594" i="5"/>
  <c r="H594" i="5"/>
  <c r="G653" i="10"/>
  <c r="B653" i="10"/>
  <c r="A654" i="10"/>
  <c r="D653" i="10"/>
  <c r="E653" i="10"/>
  <c r="B594" i="5"/>
  <c r="A593" i="6"/>
  <c r="G592" i="6"/>
  <c r="C594" i="5"/>
  <c r="A595" i="5"/>
  <c r="F595" i="5" s="1"/>
  <c r="D594" i="5"/>
  <c r="E594" i="5"/>
  <c r="I593" i="6" l="1"/>
  <c r="D593" i="6"/>
  <c r="C593" i="6"/>
  <c r="F593" i="6"/>
  <c r="E593" i="6"/>
  <c r="H593" i="6"/>
  <c r="B593" i="6"/>
  <c r="J593" i="6"/>
  <c r="G595" i="5"/>
  <c r="H595" i="5"/>
  <c r="C654" i="10"/>
  <c r="A655" i="10"/>
  <c r="D654" i="10"/>
  <c r="G654" i="10"/>
  <c r="E654" i="10"/>
  <c r="B654" i="10"/>
  <c r="B595" i="5"/>
  <c r="A594" i="6"/>
  <c r="G593" i="6"/>
  <c r="C595" i="5"/>
  <c r="A596" i="5"/>
  <c r="F596" i="5" s="1"/>
  <c r="E595" i="5"/>
  <c r="D595" i="5"/>
  <c r="I594" i="6" l="1"/>
  <c r="C594" i="6"/>
  <c r="D594" i="6"/>
  <c r="F594" i="6"/>
  <c r="E594" i="6"/>
  <c r="H594" i="6"/>
  <c r="B594" i="6"/>
  <c r="J594" i="6"/>
  <c r="G596" i="5"/>
  <c r="H596" i="5"/>
  <c r="C655" i="10"/>
  <c r="E655" i="10"/>
  <c r="A656" i="10"/>
  <c r="D655" i="10"/>
  <c r="B655" i="10"/>
  <c r="G655" i="10"/>
  <c r="B596" i="5"/>
  <c r="A595" i="6"/>
  <c r="G594" i="6"/>
  <c r="C596" i="5"/>
  <c r="A597" i="5"/>
  <c r="F597" i="5" s="1"/>
  <c r="E596" i="5"/>
  <c r="D596" i="5"/>
  <c r="I595" i="6" l="1"/>
  <c r="D595" i="6"/>
  <c r="C595" i="6"/>
  <c r="F595" i="6"/>
  <c r="E595" i="6"/>
  <c r="B595" i="6"/>
  <c r="H595" i="6"/>
  <c r="J595" i="6"/>
  <c r="G597" i="5"/>
  <c r="H597" i="5"/>
  <c r="C656" i="10"/>
  <c r="B656" i="10"/>
  <c r="E656" i="10"/>
  <c r="G656" i="10"/>
  <c r="A657" i="10"/>
  <c r="D656" i="10"/>
  <c r="B597" i="5"/>
  <c r="A596" i="6"/>
  <c r="G595" i="6"/>
  <c r="C597" i="5"/>
  <c r="A598" i="5"/>
  <c r="F598" i="5" s="1"/>
  <c r="E597" i="5"/>
  <c r="D597" i="5"/>
  <c r="D596" i="6" l="1"/>
  <c r="C596" i="6"/>
  <c r="I596" i="6"/>
  <c r="F596" i="6"/>
  <c r="E596" i="6"/>
  <c r="B596" i="6"/>
  <c r="H596" i="6"/>
  <c r="J596" i="6"/>
  <c r="G598" i="5"/>
  <c r="H598" i="5"/>
  <c r="C657" i="10"/>
  <c r="G657" i="10"/>
  <c r="B657" i="10"/>
  <c r="A658" i="10"/>
  <c r="D657" i="10"/>
  <c r="E657" i="10"/>
  <c r="B598" i="5"/>
  <c r="A597" i="6"/>
  <c r="G596" i="6"/>
  <c r="C598" i="5"/>
  <c r="A599" i="5"/>
  <c r="F599" i="5" s="1"/>
  <c r="D598" i="5"/>
  <c r="E598" i="5"/>
  <c r="D597" i="6" l="1"/>
  <c r="I597" i="6"/>
  <c r="C597" i="6"/>
  <c r="F597" i="6"/>
  <c r="E597" i="6"/>
  <c r="H597" i="6"/>
  <c r="B597" i="6"/>
  <c r="J597" i="6"/>
  <c r="G599" i="5"/>
  <c r="H599" i="5"/>
  <c r="C658" i="10"/>
  <c r="A659" i="10"/>
  <c r="D658" i="10"/>
  <c r="G658" i="10"/>
  <c r="E658" i="10"/>
  <c r="B658" i="10"/>
  <c r="B599" i="5"/>
  <c r="A598" i="6"/>
  <c r="G597" i="6"/>
  <c r="C599" i="5"/>
  <c r="A600" i="5"/>
  <c r="F600" i="5" s="1"/>
  <c r="E599" i="5"/>
  <c r="D599" i="5"/>
  <c r="I598" i="6" l="1"/>
  <c r="D598" i="6"/>
  <c r="C598" i="6"/>
  <c r="F598" i="6"/>
  <c r="E598" i="6"/>
  <c r="H598" i="6"/>
  <c r="B598" i="6"/>
  <c r="J598" i="6"/>
  <c r="G600" i="5"/>
  <c r="H600" i="5"/>
  <c r="C659" i="10"/>
  <c r="E659" i="10"/>
  <c r="A660" i="10"/>
  <c r="D659" i="10"/>
  <c r="B659" i="10"/>
  <c r="G659" i="10"/>
  <c r="B600" i="5"/>
  <c r="A599" i="6"/>
  <c r="G598" i="6"/>
  <c r="C600" i="5"/>
  <c r="A601" i="5"/>
  <c r="F601" i="5" s="1"/>
  <c r="E600" i="5"/>
  <c r="D600" i="5"/>
  <c r="D599" i="6" l="1"/>
  <c r="C599" i="6"/>
  <c r="I599" i="6"/>
  <c r="E599" i="6"/>
  <c r="F599" i="6"/>
  <c r="B599" i="6"/>
  <c r="H599" i="6"/>
  <c r="J599" i="6"/>
  <c r="C660" i="10"/>
  <c r="G601" i="5"/>
  <c r="H601" i="5"/>
  <c r="B660" i="10"/>
  <c r="E660" i="10"/>
  <c r="G660" i="10"/>
  <c r="D660" i="10"/>
  <c r="A661" i="10"/>
  <c r="B601" i="5"/>
  <c r="A600" i="6"/>
  <c r="G599" i="6"/>
  <c r="C601" i="5"/>
  <c r="A602" i="5"/>
  <c r="F602" i="5" s="1"/>
  <c r="E601" i="5"/>
  <c r="D601" i="5"/>
  <c r="I600" i="6" l="1"/>
  <c r="D600" i="6"/>
  <c r="C600" i="6"/>
  <c r="F600" i="6"/>
  <c r="E600" i="6"/>
  <c r="B600" i="6"/>
  <c r="H600" i="6"/>
  <c r="J600" i="6"/>
  <c r="G602" i="5"/>
  <c r="H602" i="5"/>
  <c r="C661" i="10"/>
  <c r="G661" i="10"/>
  <c r="B661" i="10"/>
  <c r="A662" i="10"/>
  <c r="D661" i="10"/>
  <c r="E661" i="10"/>
  <c r="B602" i="5"/>
  <c r="G600" i="6"/>
  <c r="A601" i="6"/>
  <c r="C602" i="5"/>
  <c r="A603" i="5"/>
  <c r="F603" i="5" s="1"/>
  <c r="D602" i="5"/>
  <c r="E602" i="5"/>
  <c r="C601" i="6" l="1"/>
  <c r="I601" i="6"/>
  <c r="D601" i="6"/>
  <c r="F601" i="6"/>
  <c r="E601" i="6"/>
  <c r="H601" i="6"/>
  <c r="B601" i="6"/>
  <c r="J601" i="6"/>
  <c r="C662" i="10"/>
  <c r="G603" i="5"/>
  <c r="H603" i="5"/>
  <c r="A663" i="10"/>
  <c r="D662" i="10"/>
  <c r="G662" i="10"/>
  <c r="E662" i="10"/>
  <c r="B662" i="10"/>
  <c r="B603" i="5"/>
  <c r="A602" i="6"/>
  <c r="G601" i="6"/>
  <c r="C603" i="5"/>
  <c r="A604" i="5"/>
  <c r="F604" i="5" s="1"/>
  <c r="E603" i="5"/>
  <c r="D603" i="5"/>
  <c r="I602" i="6" l="1"/>
  <c r="C602" i="6"/>
  <c r="D602" i="6"/>
  <c r="F602" i="6"/>
  <c r="E602" i="6"/>
  <c r="H602" i="6"/>
  <c r="B602" i="6"/>
  <c r="J602" i="6"/>
  <c r="G604" i="5"/>
  <c r="H604" i="5"/>
  <c r="C663" i="10"/>
  <c r="E663" i="10"/>
  <c r="A664" i="10"/>
  <c r="D663" i="10"/>
  <c r="B663" i="10"/>
  <c r="G663" i="10"/>
  <c r="B604" i="5"/>
  <c r="G602" i="6"/>
  <c r="A603" i="6"/>
  <c r="C604" i="5"/>
  <c r="A605" i="5"/>
  <c r="F605" i="5" s="1"/>
  <c r="E604" i="5"/>
  <c r="D604" i="5"/>
  <c r="I603" i="6" l="1"/>
  <c r="D603" i="6"/>
  <c r="C603" i="6"/>
  <c r="E603" i="6"/>
  <c r="F603" i="6"/>
  <c r="B603" i="6"/>
  <c r="H603" i="6"/>
  <c r="J603" i="6"/>
  <c r="C664" i="10"/>
  <c r="G605" i="5"/>
  <c r="H605" i="5"/>
  <c r="B664" i="10"/>
  <c r="E664" i="10"/>
  <c r="G664" i="10"/>
  <c r="D664" i="10"/>
  <c r="A665" i="10"/>
  <c r="B605" i="5"/>
  <c r="A604" i="6"/>
  <c r="G603" i="6"/>
  <c r="C605" i="5"/>
  <c r="A606" i="5"/>
  <c r="F606" i="5" s="1"/>
  <c r="E605" i="5"/>
  <c r="D605" i="5"/>
  <c r="I604" i="6" l="1"/>
  <c r="D604" i="6"/>
  <c r="C604" i="6"/>
  <c r="F604" i="6"/>
  <c r="E604" i="6"/>
  <c r="B604" i="6"/>
  <c r="H604" i="6"/>
  <c r="J604" i="6"/>
  <c r="C665" i="10"/>
  <c r="G606" i="5"/>
  <c r="H606" i="5"/>
  <c r="G665" i="10"/>
  <c r="B665" i="10"/>
  <c r="A666" i="10"/>
  <c r="D665" i="10"/>
  <c r="E665" i="10"/>
  <c r="B606" i="5"/>
  <c r="G604" i="6"/>
  <c r="A605" i="6"/>
  <c r="C606" i="5"/>
  <c r="A607" i="5"/>
  <c r="F607" i="5" s="1"/>
  <c r="D606" i="5"/>
  <c r="E606" i="5"/>
  <c r="I605" i="6" l="1"/>
  <c r="D605" i="6"/>
  <c r="C605" i="6"/>
  <c r="F605" i="6"/>
  <c r="E605" i="6"/>
  <c r="H605" i="6"/>
  <c r="B605" i="6"/>
  <c r="J605" i="6"/>
  <c r="G607" i="5"/>
  <c r="H607" i="5"/>
  <c r="C666" i="10"/>
  <c r="A667" i="10"/>
  <c r="D666" i="10"/>
  <c r="G666" i="10"/>
  <c r="E666" i="10"/>
  <c r="B666" i="10"/>
  <c r="B607" i="5"/>
  <c r="A606" i="6"/>
  <c r="G605" i="6"/>
  <c r="C607" i="5"/>
  <c r="A608" i="5"/>
  <c r="F608" i="5" s="1"/>
  <c r="E607" i="5"/>
  <c r="D607" i="5"/>
  <c r="D606" i="6" l="1"/>
  <c r="C606" i="6"/>
  <c r="I606" i="6"/>
  <c r="F606" i="6"/>
  <c r="E606" i="6"/>
  <c r="H606" i="6"/>
  <c r="B606" i="6"/>
  <c r="J606" i="6"/>
  <c r="G608" i="5"/>
  <c r="H608" i="5"/>
  <c r="C667" i="10"/>
  <c r="E667" i="10"/>
  <c r="A668" i="10"/>
  <c r="D667" i="10"/>
  <c r="B667" i="10"/>
  <c r="G667" i="10"/>
  <c r="B608" i="5"/>
  <c r="A607" i="6"/>
  <c r="G606" i="6"/>
  <c r="C608" i="5"/>
  <c r="D608" i="5"/>
  <c r="A609" i="5"/>
  <c r="F609" i="5" s="1"/>
  <c r="E608" i="5"/>
  <c r="D607" i="6" l="1"/>
  <c r="I607" i="6"/>
  <c r="C607" i="6"/>
  <c r="E607" i="6"/>
  <c r="F607" i="6"/>
  <c r="B607" i="6"/>
  <c r="H607" i="6"/>
  <c r="J607" i="6"/>
  <c r="C668" i="10"/>
  <c r="G609" i="5"/>
  <c r="H609" i="5"/>
  <c r="B668" i="10"/>
  <c r="E668" i="10"/>
  <c r="G668" i="10"/>
  <c r="A669" i="10"/>
  <c r="D668" i="10"/>
  <c r="B609" i="5"/>
  <c r="A608" i="6"/>
  <c r="G607" i="6"/>
  <c r="C609" i="5"/>
  <c r="A610" i="5"/>
  <c r="F610" i="5" s="1"/>
  <c r="E609" i="5"/>
  <c r="D609" i="5"/>
  <c r="I608" i="6" l="1"/>
  <c r="D608" i="6"/>
  <c r="C608" i="6"/>
  <c r="F608" i="6"/>
  <c r="E608" i="6"/>
  <c r="B608" i="6"/>
  <c r="H608" i="6"/>
  <c r="J608" i="6"/>
  <c r="G610" i="5"/>
  <c r="H610" i="5"/>
  <c r="C669" i="10"/>
  <c r="G669" i="10"/>
  <c r="B669" i="10"/>
  <c r="A670" i="10"/>
  <c r="D669" i="10"/>
  <c r="E669" i="10"/>
  <c r="B610" i="5"/>
  <c r="A609" i="6"/>
  <c r="G608" i="6"/>
  <c r="C610" i="5"/>
  <c r="A611" i="5"/>
  <c r="F611" i="5" s="1"/>
  <c r="D610" i="5"/>
  <c r="E610" i="5"/>
  <c r="C609" i="6" l="1"/>
  <c r="D609" i="6"/>
  <c r="I609" i="6"/>
  <c r="F609" i="6"/>
  <c r="E609" i="6"/>
  <c r="H609" i="6"/>
  <c r="B609" i="6"/>
  <c r="J609" i="6"/>
  <c r="G611" i="5"/>
  <c r="H611" i="5"/>
  <c r="C670" i="10"/>
  <c r="A671" i="10"/>
  <c r="D670" i="10"/>
  <c r="G670" i="10"/>
  <c r="E670" i="10"/>
  <c r="B670" i="10"/>
  <c r="B611" i="5"/>
  <c r="A610" i="6"/>
  <c r="G609" i="6"/>
  <c r="C611" i="5"/>
  <c r="E611" i="5"/>
  <c r="A612" i="5"/>
  <c r="F612" i="5" s="1"/>
  <c r="D611" i="5"/>
  <c r="I610" i="6" l="1"/>
  <c r="C610" i="6"/>
  <c r="D610" i="6"/>
  <c r="F610" i="6"/>
  <c r="E610" i="6"/>
  <c r="H610" i="6"/>
  <c r="B610" i="6"/>
  <c r="J610" i="6"/>
  <c r="G612" i="5"/>
  <c r="H612" i="5"/>
  <c r="C671" i="10"/>
  <c r="E671" i="10"/>
  <c r="A672" i="10"/>
  <c r="D671" i="10"/>
  <c r="B671" i="10"/>
  <c r="G671" i="10"/>
  <c r="B612" i="5"/>
  <c r="A611" i="6"/>
  <c r="G610" i="6"/>
  <c r="C612" i="5"/>
  <c r="D612" i="5"/>
  <c r="A613" i="5"/>
  <c r="F613" i="5" s="1"/>
  <c r="E612" i="5"/>
  <c r="I611" i="6" l="1"/>
  <c r="D611" i="6"/>
  <c r="C611" i="6"/>
  <c r="F611" i="6"/>
  <c r="E611" i="6"/>
  <c r="B611" i="6"/>
  <c r="H611" i="6"/>
  <c r="J611" i="6"/>
  <c r="G613" i="5"/>
  <c r="H613" i="5"/>
  <c r="C672" i="10"/>
  <c r="B672" i="10"/>
  <c r="E672" i="10"/>
  <c r="G672" i="10"/>
  <c r="A673" i="10"/>
  <c r="D672" i="10"/>
  <c r="B613" i="5"/>
  <c r="A612" i="6"/>
  <c r="G611" i="6"/>
  <c r="C613" i="5"/>
  <c r="A614" i="5"/>
  <c r="F614" i="5" s="1"/>
  <c r="E613" i="5"/>
  <c r="D613" i="5"/>
  <c r="I612" i="6" l="1"/>
  <c r="D612" i="6"/>
  <c r="C612" i="6"/>
  <c r="F612" i="6"/>
  <c r="E612" i="6"/>
  <c r="B612" i="6"/>
  <c r="H612" i="6"/>
  <c r="J612" i="6"/>
  <c r="G614" i="5"/>
  <c r="H614" i="5"/>
  <c r="C673" i="10"/>
  <c r="G673" i="10"/>
  <c r="B673" i="10"/>
  <c r="A674" i="10"/>
  <c r="D673" i="10"/>
  <c r="E673" i="10"/>
  <c r="B614" i="5"/>
  <c r="G612" i="6"/>
  <c r="A613" i="6"/>
  <c r="C614" i="5"/>
  <c r="A615" i="5"/>
  <c r="F615" i="5" s="1"/>
  <c r="D614" i="5"/>
  <c r="E614" i="5"/>
  <c r="I613" i="6" l="1"/>
  <c r="D613" i="6"/>
  <c r="C613" i="6"/>
  <c r="F613" i="6"/>
  <c r="E613" i="6"/>
  <c r="H613" i="6"/>
  <c r="B613" i="6"/>
  <c r="J613" i="6"/>
  <c r="G615" i="5"/>
  <c r="H615" i="5"/>
  <c r="C674" i="10"/>
  <c r="A675" i="10"/>
  <c r="D674" i="10"/>
  <c r="G674" i="10"/>
  <c r="E674" i="10"/>
  <c r="B674" i="10"/>
  <c r="B615" i="5"/>
  <c r="A614" i="6"/>
  <c r="G613" i="6"/>
  <c r="C615" i="5"/>
  <c r="A616" i="5"/>
  <c r="F616" i="5" s="1"/>
  <c r="D615" i="5"/>
  <c r="E615" i="5"/>
  <c r="D614" i="6" l="1"/>
  <c r="C614" i="6"/>
  <c r="I614" i="6"/>
  <c r="F614" i="6"/>
  <c r="E614" i="6"/>
  <c r="H614" i="6"/>
  <c r="B614" i="6"/>
  <c r="J614" i="6"/>
  <c r="C675" i="10"/>
  <c r="G616" i="5"/>
  <c r="H616" i="5"/>
  <c r="E675" i="10"/>
  <c r="A676" i="10"/>
  <c r="D675" i="10"/>
  <c r="B675" i="10"/>
  <c r="G675" i="10"/>
  <c r="B616" i="5"/>
  <c r="A615" i="6"/>
  <c r="G614" i="6"/>
  <c r="C616" i="5"/>
  <c r="E616" i="5"/>
  <c r="D616" i="5"/>
  <c r="A617" i="5"/>
  <c r="F617" i="5" s="1"/>
  <c r="D615" i="6" l="1"/>
  <c r="I615" i="6"/>
  <c r="C615" i="6"/>
  <c r="E615" i="6"/>
  <c r="F615" i="6"/>
  <c r="B615" i="6"/>
  <c r="H615" i="6"/>
  <c r="J615" i="6"/>
  <c r="G617" i="5"/>
  <c r="H617" i="5"/>
  <c r="C676" i="10"/>
  <c r="B676" i="10"/>
  <c r="E676" i="10"/>
  <c r="G676" i="10"/>
  <c r="D676" i="10"/>
  <c r="A677" i="10"/>
  <c r="B617" i="5"/>
  <c r="A616" i="6"/>
  <c r="G615" i="6"/>
  <c r="C617" i="5"/>
  <c r="D617" i="5"/>
  <c r="A618" i="5"/>
  <c r="F618" i="5" s="1"/>
  <c r="E617" i="5"/>
  <c r="I616" i="6" l="1"/>
  <c r="D616" i="6"/>
  <c r="C616" i="6"/>
  <c r="F616" i="6"/>
  <c r="E616" i="6"/>
  <c r="B616" i="6"/>
  <c r="H616" i="6"/>
  <c r="J616" i="6"/>
  <c r="G618" i="5"/>
  <c r="H618" i="5"/>
  <c r="C677" i="10"/>
  <c r="G677" i="10"/>
  <c r="B677" i="10"/>
  <c r="A678" i="10"/>
  <c r="D677" i="10"/>
  <c r="E677" i="10"/>
  <c r="B618" i="5"/>
  <c r="A617" i="6"/>
  <c r="G616" i="6"/>
  <c r="C618" i="5"/>
  <c r="E618" i="5"/>
  <c r="A619" i="5"/>
  <c r="F619" i="5" s="1"/>
  <c r="D618" i="5"/>
  <c r="C617" i="6" l="1"/>
  <c r="I617" i="6"/>
  <c r="D617" i="6"/>
  <c r="F617" i="6"/>
  <c r="E617" i="6"/>
  <c r="H617" i="6"/>
  <c r="B617" i="6"/>
  <c r="J617" i="6"/>
  <c r="G619" i="5"/>
  <c r="H619" i="5"/>
  <c r="C678" i="10"/>
  <c r="A679" i="10"/>
  <c r="D678" i="10"/>
  <c r="G678" i="10"/>
  <c r="E678" i="10"/>
  <c r="B678" i="10"/>
  <c r="B619" i="5"/>
  <c r="A618" i="6"/>
  <c r="G617" i="6"/>
  <c r="C619" i="5"/>
  <c r="A620" i="5"/>
  <c r="F620" i="5" s="1"/>
  <c r="E619" i="5"/>
  <c r="D619" i="5"/>
  <c r="I618" i="6" l="1"/>
  <c r="C618" i="6"/>
  <c r="D618" i="6"/>
  <c r="F618" i="6"/>
  <c r="E618" i="6"/>
  <c r="H618" i="6"/>
  <c r="B618" i="6"/>
  <c r="J618" i="6"/>
  <c r="G620" i="5"/>
  <c r="H620" i="5"/>
  <c r="C679" i="10"/>
  <c r="E679" i="10"/>
  <c r="A680" i="10"/>
  <c r="D679" i="10"/>
  <c r="B679" i="10"/>
  <c r="G679" i="10"/>
  <c r="B620" i="5"/>
  <c r="A619" i="6"/>
  <c r="G618" i="6"/>
  <c r="C620" i="5"/>
  <c r="A621" i="5"/>
  <c r="F621" i="5" s="1"/>
  <c r="E620" i="5"/>
  <c r="D620" i="5"/>
  <c r="I619" i="6" l="1"/>
  <c r="D619" i="6"/>
  <c r="C619" i="6"/>
  <c r="E619" i="6"/>
  <c r="F619" i="6"/>
  <c r="B619" i="6"/>
  <c r="H619" i="6"/>
  <c r="J619" i="6"/>
  <c r="G621" i="5"/>
  <c r="H621" i="5"/>
  <c r="C680" i="10"/>
  <c r="B680" i="10"/>
  <c r="E680" i="10"/>
  <c r="G680" i="10"/>
  <c r="D680" i="10"/>
  <c r="A681" i="10"/>
  <c r="B621" i="5"/>
  <c r="A620" i="6"/>
  <c r="G619" i="6"/>
  <c r="C621" i="5"/>
  <c r="A622" i="5"/>
  <c r="F622" i="5" s="1"/>
  <c r="E621" i="5"/>
  <c r="D621" i="5"/>
  <c r="I620" i="6" l="1"/>
  <c r="D620" i="6"/>
  <c r="C620" i="6"/>
  <c r="F620" i="6"/>
  <c r="E620" i="6"/>
  <c r="B620" i="6"/>
  <c r="H620" i="6"/>
  <c r="J620" i="6"/>
  <c r="C681" i="10"/>
  <c r="G622" i="5"/>
  <c r="H622" i="5"/>
  <c r="G681" i="10"/>
  <c r="B681" i="10"/>
  <c r="A682" i="10"/>
  <c r="D681" i="10"/>
  <c r="E681" i="10"/>
  <c r="B622" i="5"/>
  <c r="A621" i="6"/>
  <c r="G620" i="6"/>
  <c r="C622" i="5"/>
  <c r="A623" i="5"/>
  <c r="F623" i="5" s="1"/>
  <c r="E622" i="5"/>
  <c r="D622" i="5"/>
  <c r="I621" i="6" l="1"/>
  <c r="D621" i="6"/>
  <c r="C621" i="6"/>
  <c r="F621" i="6"/>
  <c r="E621" i="6"/>
  <c r="H621" i="6"/>
  <c r="B621" i="6"/>
  <c r="J621" i="6"/>
  <c r="G623" i="5"/>
  <c r="H623" i="5"/>
  <c r="C682" i="10"/>
  <c r="A683" i="10"/>
  <c r="D682" i="10"/>
  <c r="G682" i="10"/>
  <c r="E682" i="10"/>
  <c r="B682" i="10"/>
  <c r="B623" i="5"/>
  <c r="A622" i="6"/>
  <c r="G621" i="6"/>
  <c r="C623" i="5"/>
  <c r="A624" i="5"/>
  <c r="F624" i="5" s="1"/>
  <c r="E623" i="5"/>
  <c r="D623" i="5"/>
  <c r="D622" i="6" l="1"/>
  <c r="C622" i="6"/>
  <c r="I622" i="6"/>
  <c r="F622" i="6"/>
  <c r="E622" i="6"/>
  <c r="H622" i="6"/>
  <c r="B622" i="6"/>
  <c r="J622" i="6"/>
  <c r="G624" i="5"/>
  <c r="H624" i="5"/>
  <c r="C683" i="10"/>
  <c r="E683" i="10"/>
  <c r="A684" i="10"/>
  <c r="D683" i="10"/>
  <c r="B683" i="10"/>
  <c r="G683" i="10"/>
  <c r="B624" i="5"/>
  <c r="A623" i="6"/>
  <c r="G622" i="6"/>
  <c r="C624" i="5"/>
  <c r="A625" i="5"/>
  <c r="F625" i="5" s="1"/>
  <c r="E624" i="5"/>
  <c r="D624" i="5"/>
  <c r="D623" i="6" l="1"/>
  <c r="C623" i="6"/>
  <c r="I623" i="6"/>
  <c r="E623" i="6"/>
  <c r="F623" i="6"/>
  <c r="B623" i="6"/>
  <c r="H623" i="6"/>
  <c r="J623" i="6"/>
  <c r="G625" i="5"/>
  <c r="H625" i="5"/>
  <c r="C684" i="10"/>
  <c r="B684" i="10"/>
  <c r="E684" i="10"/>
  <c r="G684" i="10"/>
  <c r="A685" i="10"/>
  <c r="D684" i="10"/>
  <c r="B625" i="5"/>
  <c r="A624" i="6"/>
  <c r="G623" i="6"/>
  <c r="C625" i="5"/>
  <c r="A626" i="5"/>
  <c r="F626" i="5" s="1"/>
  <c r="E625" i="5"/>
  <c r="D625" i="5"/>
  <c r="I624" i="6" l="1"/>
  <c r="D624" i="6"/>
  <c r="C624" i="6"/>
  <c r="F624" i="6"/>
  <c r="E624" i="6"/>
  <c r="B624" i="6"/>
  <c r="H624" i="6"/>
  <c r="J624" i="6"/>
  <c r="C685" i="10"/>
  <c r="G626" i="5"/>
  <c r="H626" i="5"/>
  <c r="G685" i="10"/>
  <c r="B685" i="10"/>
  <c r="A686" i="10"/>
  <c r="D685" i="10"/>
  <c r="E685" i="10"/>
  <c r="B626" i="5"/>
  <c r="A625" i="6"/>
  <c r="G624" i="6"/>
  <c r="C626" i="5"/>
  <c r="E626" i="5"/>
  <c r="A627" i="5"/>
  <c r="F627" i="5" s="1"/>
  <c r="D626" i="5"/>
  <c r="C625" i="6" l="1"/>
  <c r="I625" i="6"/>
  <c r="D625" i="6"/>
  <c r="F625" i="6"/>
  <c r="E625" i="6"/>
  <c r="H625" i="6"/>
  <c r="B625" i="6"/>
  <c r="J625" i="6"/>
  <c r="C686" i="10"/>
  <c r="G627" i="5"/>
  <c r="H627" i="5"/>
  <c r="A687" i="10"/>
  <c r="D686" i="10"/>
  <c r="G686" i="10"/>
  <c r="E686" i="10"/>
  <c r="B686" i="10"/>
  <c r="B627" i="5"/>
  <c r="A626" i="6"/>
  <c r="G625" i="6"/>
  <c r="C627" i="5"/>
  <c r="E627" i="5"/>
  <c r="A628" i="5"/>
  <c r="F628" i="5" s="1"/>
  <c r="D627" i="5"/>
  <c r="I626" i="6" l="1"/>
  <c r="C626" i="6"/>
  <c r="D626" i="6"/>
  <c r="F626" i="6"/>
  <c r="E626" i="6"/>
  <c r="H626" i="6"/>
  <c r="B626" i="6"/>
  <c r="J626" i="6"/>
  <c r="G628" i="5"/>
  <c r="H628" i="5"/>
  <c r="C687" i="10"/>
  <c r="E687" i="10"/>
  <c r="A688" i="10"/>
  <c r="D687" i="10"/>
  <c r="B687" i="10"/>
  <c r="G687" i="10"/>
  <c r="B628" i="5"/>
  <c r="A627" i="6"/>
  <c r="G626" i="6"/>
  <c r="C628" i="5"/>
  <c r="D628" i="5"/>
  <c r="A629" i="5"/>
  <c r="F629" i="5" s="1"/>
  <c r="E628" i="5"/>
  <c r="I627" i="6" l="1"/>
  <c r="D627" i="6"/>
  <c r="C627" i="6"/>
  <c r="F627" i="6"/>
  <c r="E627" i="6"/>
  <c r="B627" i="6"/>
  <c r="H627" i="6"/>
  <c r="J627" i="6"/>
  <c r="C688" i="10"/>
  <c r="G629" i="5"/>
  <c r="H629" i="5"/>
  <c r="B688" i="10"/>
  <c r="E688" i="10"/>
  <c r="G688" i="10"/>
  <c r="A689" i="10"/>
  <c r="D688" i="10"/>
  <c r="B629" i="5"/>
  <c r="A628" i="6"/>
  <c r="G627" i="6"/>
  <c r="C629" i="5"/>
  <c r="D629" i="5"/>
  <c r="A630" i="5"/>
  <c r="F630" i="5" s="1"/>
  <c r="E629" i="5"/>
  <c r="I628" i="6" l="1"/>
  <c r="D628" i="6"/>
  <c r="C628" i="6"/>
  <c r="F628" i="6"/>
  <c r="E628" i="6"/>
  <c r="B628" i="6"/>
  <c r="H628" i="6"/>
  <c r="J628" i="6"/>
  <c r="C689" i="10"/>
  <c r="G630" i="5"/>
  <c r="H630" i="5"/>
  <c r="G689" i="10"/>
  <c r="B13" i="10" s="1"/>
  <c r="B14" i="10" s="1"/>
  <c r="B689" i="10"/>
  <c r="D689" i="10"/>
  <c r="E689" i="10"/>
  <c r="B630" i="5"/>
  <c r="G628" i="6"/>
  <c r="A629" i="6"/>
  <c r="C630" i="5"/>
  <c r="A631" i="5"/>
  <c r="F631" i="5" s="1"/>
  <c r="D630" i="5"/>
  <c r="E630" i="5"/>
  <c r="I629" i="6" l="1"/>
  <c r="D629" i="6"/>
  <c r="C629" i="6"/>
  <c r="F629" i="6"/>
  <c r="E629" i="6"/>
  <c r="H629" i="6"/>
  <c r="B629" i="6"/>
  <c r="J629" i="6"/>
  <c r="G631" i="5"/>
  <c r="H631" i="5"/>
  <c r="B631" i="5"/>
  <c r="A630" i="6"/>
  <c r="G629" i="6"/>
  <c r="C631" i="5"/>
  <c r="E631" i="5"/>
  <c r="A632" i="5"/>
  <c r="F632" i="5" s="1"/>
  <c r="D631" i="5"/>
  <c r="D630" i="6" l="1"/>
  <c r="C630" i="6"/>
  <c r="I630" i="6"/>
  <c r="F630" i="6"/>
  <c r="E630" i="6"/>
  <c r="H630" i="6"/>
  <c r="B630" i="6"/>
  <c r="J630" i="6"/>
  <c r="G632" i="5"/>
  <c r="H632" i="5"/>
  <c r="B632" i="5"/>
  <c r="A631" i="6"/>
  <c r="G630" i="6"/>
  <c r="C632" i="5"/>
  <c r="E632" i="5"/>
  <c r="A633" i="5"/>
  <c r="F633" i="5" s="1"/>
  <c r="D632" i="5"/>
  <c r="D631" i="6" l="1"/>
  <c r="C631" i="6"/>
  <c r="I631" i="6"/>
  <c r="E631" i="6"/>
  <c r="F631" i="6"/>
  <c r="B631" i="6"/>
  <c r="H631" i="6"/>
  <c r="J631" i="6"/>
  <c r="G633" i="5"/>
  <c r="H633" i="5"/>
  <c r="B633" i="5"/>
  <c r="A632" i="6"/>
  <c r="G631" i="6"/>
  <c r="C633" i="5"/>
  <c r="D633" i="5"/>
  <c r="A634" i="5"/>
  <c r="F634" i="5" s="1"/>
  <c r="E633" i="5"/>
  <c r="I632" i="6" l="1"/>
  <c r="D632" i="6"/>
  <c r="C632" i="6"/>
  <c r="F632" i="6"/>
  <c r="E632" i="6"/>
  <c r="B632" i="6"/>
  <c r="H632" i="6"/>
  <c r="J632" i="6"/>
  <c r="G634" i="5"/>
  <c r="H634" i="5"/>
  <c r="B634" i="5"/>
  <c r="A633" i="6"/>
  <c r="G632" i="6"/>
  <c r="C634" i="5"/>
  <c r="A635" i="5"/>
  <c r="F635" i="5" s="1"/>
  <c r="E634" i="5"/>
  <c r="D634" i="5"/>
  <c r="C633" i="6" l="1"/>
  <c r="I633" i="6"/>
  <c r="D633" i="6"/>
  <c r="F633" i="6"/>
  <c r="E633" i="6"/>
  <c r="H633" i="6"/>
  <c r="B633" i="6"/>
  <c r="J633" i="6"/>
  <c r="G635" i="5"/>
  <c r="H635" i="5"/>
  <c r="B635" i="5"/>
  <c r="A634" i="6"/>
  <c r="G633" i="6"/>
  <c r="C635" i="5"/>
  <c r="A636" i="5"/>
  <c r="F636" i="5" s="1"/>
  <c r="E635" i="5"/>
  <c r="D635" i="5"/>
  <c r="I634" i="6" l="1"/>
  <c r="C634" i="6"/>
  <c r="D634" i="6"/>
  <c r="F634" i="6"/>
  <c r="E634" i="6"/>
  <c r="H634" i="6"/>
  <c r="B634" i="6"/>
  <c r="J634" i="6"/>
  <c r="G636" i="5"/>
  <c r="H636" i="5"/>
  <c r="B636" i="5"/>
  <c r="A635" i="6"/>
  <c r="G634" i="6"/>
  <c r="C636" i="5"/>
  <c r="A637" i="5"/>
  <c r="F637" i="5" s="1"/>
  <c r="D636" i="5"/>
  <c r="E636" i="5"/>
  <c r="I635" i="6" l="1"/>
  <c r="D635" i="6"/>
  <c r="C635" i="6"/>
  <c r="E635" i="6"/>
  <c r="F635" i="6"/>
  <c r="B635" i="6"/>
  <c r="H635" i="6"/>
  <c r="J635" i="6"/>
  <c r="G637" i="5"/>
  <c r="H637" i="5"/>
  <c r="B637" i="5"/>
  <c r="A636" i="6"/>
  <c r="G635" i="6"/>
  <c r="C637" i="5"/>
  <c r="A638" i="5"/>
  <c r="F638" i="5" s="1"/>
  <c r="E637" i="5"/>
  <c r="D637" i="5"/>
  <c r="I636" i="6" l="1"/>
  <c r="D636" i="6"/>
  <c r="C636" i="6"/>
  <c r="F636" i="6"/>
  <c r="E636" i="6"/>
  <c r="B636" i="6"/>
  <c r="H636" i="6"/>
  <c r="J636" i="6"/>
  <c r="G638" i="5"/>
  <c r="H638" i="5"/>
  <c r="B638" i="5"/>
  <c r="A637" i="6"/>
  <c r="G636" i="6"/>
  <c r="C638" i="5"/>
  <c r="D638" i="5"/>
  <c r="A639" i="5"/>
  <c r="F639" i="5" s="1"/>
  <c r="E638" i="5"/>
  <c r="I637" i="6" l="1"/>
  <c r="D637" i="6"/>
  <c r="C637" i="6"/>
  <c r="F637" i="6"/>
  <c r="E637" i="6"/>
  <c r="H637" i="6"/>
  <c r="B637" i="6"/>
  <c r="J637" i="6"/>
  <c r="G639" i="5"/>
  <c r="H639" i="5"/>
  <c r="B639" i="5"/>
  <c r="A638" i="6"/>
  <c r="G637" i="6"/>
  <c r="C639" i="5"/>
  <c r="A640" i="5"/>
  <c r="F640" i="5" s="1"/>
  <c r="E639" i="5"/>
  <c r="D639" i="5"/>
  <c r="D638" i="6" l="1"/>
  <c r="C638" i="6"/>
  <c r="I638" i="6"/>
  <c r="F638" i="6"/>
  <c r="E638" i="6"/>
  <c r="H638" i="6"/>
  <c r="B638" i="6"/>
  <c r="J638" i="6"/>
  <c r="G640" i="5"/>
  <c r="H640" i="5"/>
  <c r="B640" i="5"/>
  <c r="A639" i="6"/>
  <c r="G638" i="6"/>
  <c r="C640" i="5"/>
  <c r="A641" i="5"/>
  <c r="F641" i="5" s="1"/>
  <c r="D640" i="5"/>
  <c r="E640" i="5"/>
  <c r="D639" i="6" l="1"/>
  <c r="C639" i="6"/>
  <c r="I639" i="6"/>
  <c r="E639" i="6"/>
  <c r="F639" i="6"/>
  <c r="B639" i="6"/>
  <c r="H639" i="6"/>
  <c r="J639" i="6"/>
  <c r="G641" i="5"/>
  <c r="H641" i="5"/>
  <c r="B641" i="5"/>
  <c r="G639" i="6"/>
  <c r="A640" i="6"/>
  <c r="C641" i="5"/>
  <c r="A642" i="5"/>
  <c r="F642" i="5" s="1"/>
  <c r="E641" i="5"/>
  <c r="D641" i="5"/>
  <c r="I640" i="6" l="1"/>
  <c r="D640" i="6"/>
  <c r="C640" i="6"/>
  <c r="F640" i="6"/>
  <c r="E640" i="6"/>
  <c r="B640" i="6"/>
  <c r="H640" i="6"/>
  <c r="J640" i="6"/>
  <c r="G642" i="5"/>
  <c r="H642" i="5"/>
  <c r="B642" i="5"/>
  <c r="A641" i="6"/>
  <c r="G640" i="6"/>
  <c r="C642" i="5"/>
  <c r="E642" i="5"/>
  <c r="A643" i="5"/>
  <c r="F643" i="5" s="1"/>
  <c r="D642" i="5"/>
  <c r="C641" i="6" l="1"/>
  <c r="I641" i="6"/>
  <c r="D641" i="6"/>
  <c r="F641" i="6"/>
  <c r="E641" i="6"/>
  <c r="H641" i="6"/>
  <c r="B641" i="6"/>
  <c r="J641" i="6"/>
  <c r="G643" i="5"/>
  <c r="H643" i="5"/>
  <c r="B643" i="5"/>
  <c r="A642" i="6"/>
  <c r="G641" i="6"/>
  <c r="C643" i="5"/>
  <c r="A644" i="5"/>
  <c r="F644" i="5" s="1"/>
  <c r="E643" i="5"/>
  <c r="D643" i="5"/>
  <c r="I642" i="6" l="1"/>
  <c r="C642" i="6"/>
  <c r="D642" i="6"/>
  <c r="F642" i="6"/>
  <c r="E642" i="6"/>
  <c r="H642" i="6"/>
  <c r="B642" i="6"/>
  <c r="J642" i="6"/>
  <c r="G644" i="5"/>
  <c r="H644" i="5"/>
  <c r="B644" i="5"/>
  <c r="A643" i="6"/>
  <c r="G642" i="6"/>
  <c r="C644" i="5"/>
  <c r="A645" i="5"/>
  <c r="F645" i="5" s="1"/>
  <c r="D644" i="5"/>
  <c r="E644" i="5"/>
  <c r="I643" i="6" l="1"/>
  <c r="D643" i="6"/>
  <c r="C643" i="6"/>
  <c r="F643" i="6"/>
  <c r="E643" i="6"/>
  <c r="B643" i="6"/>
  <c r="H643" i="6"/>
  <c r="J643" i="6"/>
  <c r="G645" i="5"/>
  <c r="H645" i="5"/>
  <c r="B645" i="5"/>
  <c r="A644" i="6"/>
  <c r="G643" i="6"/>
  <c r="C645" i="5"/>
  <c r="E645" i="5"/>
  <c r="A646" i="5"/>
  <c r="F646" i="5" s="1"/>
  <c r="D645" i="5"/>
  <c r="I644" i="6" l="1"/>
  <c r="D644" i="6"/>
  <c r="C644" i="6"/>
  <c r="F644" i="6"/>
  <c r="E644" i="6"/>
  <c r="B644" i="6"/>
  <c r="H644" i="6"/>
  <c r="J644" i="6"/>
  <c r="G646" i="5"/>
  <c r="H646" i="5"/>
  <c r="B646" i="5"/>
  <c r="A645" i="6"/>
  <c r="G644" i="6"/>
  <c r="C646" i="5"/>
  <c r="D646" i="5"/>
  <c r="A647" i="5"/>
  <c r="F647" i="5" s="1"/>
  <c r="E646" i="5"/>
  <c r="I645" i="6" l="1"/>
  <c r="D645" i="6"/>
  <c r="C645" i="6"/>
  <c r="F645" i="6"/>
  <c r="E645" i="6"/>
  <c r="H645" i="6"/>
  <c r="B645" i="6"/>
  <c r="J645" i="6"/>
  <c r="G647" i="5"/>
  <c r="H647" i="5"/>
  <c r="B647" i="5"/>
  <c r="A646" i="6"/>
  <c r="G645" i="6"/>
  <c r="C647" i="5"/>
  <c r="A648" i="5"/>
  <c r="F648" i="5" s="1"/>
  <c r="E647" i="5"/>
  <c r="D647" i="5"/>
  <c r="D646" i="6" l="1"/>
  <c r="C646" i="6"/>
  <c r="I646" i="6"/>
  <c r="F646" i="6"/>
  <c r="E646" i="6"/>
  <c r="H646" i="6"/>
  <c r="B646" i="6"/>
  <c r="J646" i="6"/>
  <c r="G648" i="5"/>
  <c r="H648" i="5"/>
  <c r="B648" i="5"/>
  <c r="A647" i="6"/>
  <c r="G646" i="6"/>
  <c r="C648" i="5"/>
  <c r="A649" i="5"/>
  <c r="F649" i="5" s="1"/>
  <c r="D648" i="5"/>
  <c r="E648" i="5"/>
  <c r="D647" i="6" l="1"/>
  <c r="C647" i="6"/>
  <c r="I647" i="6"/>
  <c r="E647" i="6"/>
  <c r="F647" i="6"/>
  <c r="B647" i="6"/>
  <c r="H647" i="6"/>
  <c r="J647" i="6"/>
  <c r="G649" i="5"/>
  <c r="H649" i="5"/>
  <c r="B649" i="5"/>
  <c r="A648" i="6"/>
  <c r="G647" i="6"/>
  <c r="C649" i="5"/>
  <c r="E649" i="5"/>
  <c r="D649" i="5"/>
  <c r="A650" i="5"/>
  <c r="F650" i="5" s="1"/>
  <c r="I648" i="6" l="1"/>
  <c r="D648" i="6"/>
  <c r="C648" i="6"/>
  <c r="F648" i="6"/>
  <c r="E648" i="6"/>
  <c r="B648" i="6"/>
  <c r="H648" i="6"/>
  <c r="J648" i="6"/>
  <c r="G650" i="5"/>
  <c r="H650" i="5"/>
  <c r="B650" i="5"/>
  <c r="A649" i="6"/>
  <c r="G648" i="6"/>
  <c r="C650" i="5"/>
  <c r="E650" i="5"/>
  <c r="A651" i="5"/>
  <c r="F651" i="5" s="1"/>
  <c r="D650" i="5"/>
  <c r="C649" i="6" l="1"/>
  <c r="I649" i="6"/>
  <c r="D649" i="6"/>
  <c r="F649" i="6"/>
  <c r="E649" i="6"/>
  <c r="J649" i="6"/>
  <c r="H649" i="6"/>
  <c r="B649" i="6"/>
  <c r="G651" i="5"/>
  <c r="H651" i="5"/>
  <c r="B651" i="5"/>
  <c r="A650" i="6"/>
  <c r="G649" i="6"/>
  <c r="C651" i="5"/>
  <c r="D651" i="5"/>
  <c r="A652" i="5"/>
  <c r="F652" i="5" s="1"/>
  <c r="E651" i="5"/>
  <c r="I650" i="6" l="1"/>
  <c r="C650" i="6"/>
  <c r="D650" i="6"/>
  <c r="F650" i="6"/>
  <c r="E650" i="6"/>
  <c r="H650" i="6"/>
  <c r="B650" i="6"/>
  <c r="J650" i="6"/>
  <c r="G652" i="5"/>
  <c r="H652" i="5"/>
  <c r="B652" i="5"/>
  <c r="A651" i="6"/>
  <c r="G650" i="6"/>
  <c r="C652" i="5"/>
  <c r="A653" i="5"/>
  <c r="F653" i="5" s="1"/>
  <c r="D652" i="5"/>
  <c r="E652" i="5"/>
  <c r="I651" i="6" l="1"/>
  <c r="D651" i="6"/>
  <c r="C651" i="6"/>
  <c r="E651" i="6"/>
  <c r="F651" i="6"/>
  <c r="B651" i="6"/>
  <c r="J651" i="6"/>
  <c r="H651" i="6"/>
  <c r="G653" i="5"/>
  <c r="H653" i="5"/>
  <c r="B653" i="5"/>
  <c r="A652" i="6"/>
  <c r="G651" i="6"/>
  <c r="C653" i="5"/>
  <c r="E653" i="5"/>
  <c r="D653" i="5"/>
  <c r="A654" i="5"/>
  <c r="F654" i="5" s="1"/>
  <c r="I652" i="6" l="1"/>
  <c r="D652" i="6"/>
  <c r="C652" i="6"/>
  <c r="F652" i="6"/>
  <c r="E652" i="6"/>
  <c r="B652" i="6"/>
  <c r="H652" i="6"/>
  <c r="J652" i="6"/>
  <c r="G654" i="5"/>
  <c r="H654" i="5"/>
  <c r="B654" i="5"/>
  <c r="A653" i="6"/>
  <c r="G652" i="6"/>
  <c r="C654" i="5"/>
  <c r="A655" i="5"/>
  <c r="F655" i="5" s="1"/>
  <c r="E654" i="5"/>
  <c r="D654" i="5"/>
  <c r="I653" i="6" l="1"/>
  <c r="D653" i="6"/>
  <c r="C653" i="6"/>
  <c r="F653" i="6"/>
  <c r="E653" i="6"/>
  <c r="J653" i="6"/>
  <c r="H653" i="6"/>
  <c r="B653" i="6"/>
  <c r="G655" i="5"/>
  <c r="H655" i="5"/>
  <c r="B655" i="5"/>
  <c r="A654" i="6"/>
  <c r="G653" i="6"/>
  <c r="C655" i="5"/>
  <c r="D655" i="5"/>
  <c r="A656" i="5"/>
  <c r="F656" i="5" s="1"/>
  <c r="E655" i="5"/>
  <c r="D654" i="6" l="1"/>
  <c r="C654" i="6"/>
  <c r="I654" i="6"/>
  <c r="F654" i="6"/>
  <c r="E654" i="6"/>
  <c r="H654" i="6"/>
  <c r="B654" i="6"/>
  <c r="J654" i="6"/>
  <c r="G656" i="5"/>
  <c r="H656" i="5"/>
  <c r="B656" i="5"/>
  <c r="A655" i="6"/>
  <c r="G654" i="6"/>
  <c r="C656" i="5"/>
  <c r="A657" i="5"/>
  <c r="F657" i="5" s="1"/>
  <c r="D656" i="5"/>
  <c r="E656" i="5"/>
  <c r="D655" i="6" l="1"/>
  <c r="C655" i="6"/>
  <c r="I655" i="6"/>
  <c r="E655" i="6"/>
  <c r="F655" i="6"/>
  <c r="B655" i="6"/>
  <c r="J655" i="6"/>
  <c r="H655" i="6"/>
  <c r="G657" i="5"/>
  <c r="H657" i="5"/>
  <c r="B657" i="5"/>
  <c r="G655" i="6"/>
  <c r="A656" i="6"/>
  <c r="C657" i="5"/>
  <c r="A658" i="5"/>
  <c r="F658" i="5" s="1"/>
  <c r="E657" i="5"/>
  <c r="D657" i="5"/>
  <c r="I656" i="6" l="1"/>
  <c r="D656" i="6"/>
  <c r="C656" i="6"/>
  <c r="F656" i="6"/>
  <c r="E656" i="6"/>
  <c r="B656" i="6"/>
  <c r="H656" i="6"/>
  <c r="J656" i="6"/>
  <c r="G658" i="5"/>
  <c r="H658" i="5"/>
  <c r="B658" i="5"/>
  <c r="A657" i="6"/>
  <c r="G656" i="6"/>
  <c r="C658" i="5"/>
  <c r="A659" i="5"/>
  <c r="F659" i="5" s="1"/>
  <c r="E658" i="5"/>
  <c r="D658" i="5"/>
  <c r="C657" i="6" l="1"/>
  <c r="I657" i="6"/>
  <c r="D657" i="6"/>
  <c r="F657" i="6"/>
  <c r="E657" i="6"/>
  <c r="J657" i="6"/>
  <c r="H657" i="6"/>
  <c r="B657" i="6"/>
  <c r="G659" i="5"/>
  <c r="H659" i="5"/>
  <c r="B659" i="5"/>
  <c r="A658" i="6"/>
  <c r="G657" i="6"/>
  <c r="C659" i="5"/>
  <c r="A660" i="5"/>
  <c r="F660" i="5" s="1"/>
  <c r="E659" i="5"/>
  <c r="D659" i="5"/>
  <c r="I658" i="6" l="1"/>
  <c r="C658" i="6"/>
  <c r="D658" i="6"/>
  <c r="F658" i="6"/>
  <c r="E658" i="6"/>
  <c r="H658" i="6"/>
  <c r="B658" i="6"/>
  <c r="J658" i="6"/>
  <c r="G660" i="5"/>
  <c r="H660" i="5"/>
  <c r="B660" i="5"/>
  <c r="A659" i="6"/>
  <c r="G658" i="6"/>
  <c r="C660" i="5"/>
  <c r="E660" i="5"/>
  <c r="A661" i="5"/>
  <c r="F661" i="5" s="1"/>
  <c r="D660" i="5"/>
  <c r="I659" i="6" l="1"/>
  <c r="D659" i="6"/>
  <c r="C659" i="6"/>
  <c r="F659" i="6"/>
  <c r="E659" i="6"/>
  <c r="B659" i="6"/>
  <c r="J659" i="6"/>
  <c r="H659" i="6"/>
  <c r="G661" i="5"/>
  <c r="H661" i="5"/>
  <c r="B661" i="5"/>
  <c r="A660" i="6"/>
  <c r="G659" i="6"/>
  <c r="C661" i="5"/>
  <c r="A662" i="5"/>
  <c r="F662" i="5" s="1"/>
  <c r="E661" i="5"/>
  <c r="D661" i="5"/>
  <c r="I660" i="6" l="1"/>
  <c r="D660" i="6"/>
  <c r="C660" i="6"/>
  <c r="F660" i="6"/>
  <c r="E660" i="6"/>
  <c r="B660" i="6"/>
  <c r="H660" i="6"/>
  <c r="J660" i="6"/>
  <c r="G662" i="5"/>
  <c r="H662" i="5"/>
  <c r="B662" i="5"/>
  <c r="A661" i="6"/>
  <c r="G660" i="6"/>
  <c r="C662" i="5"/>
  <c r="E662" i="5"/>
  <c r="A663" i="5"/>
  <c r="F663" i="5" s="1"/>
  <c r="D662" i="5"/>
  <c r="I661" i="6" l="1"/>
  <c r="D661" i="6"/>
  <c r="C661" i="6"/>
  <c r="F661" i="6"/>
  <c r="E661" i="6"/>
  <c r="J661" i="6"/>
  <c r="H661" i="6"/>
  <c r="B661" i="6"/>
  <c r="G663" i="5"/>
  <c r="H663" i="5"/>
  <c r="B663" i="5"/>
  <c r="A662" i="6"/>
  <c r="G661" i="6"/>
  <c r="C663" i="5"/>
  <c r="D663" i="5"/>
  <c r="A664" i="5"/>
  <c r="F664" i="5" s="1"/>
  <c r="E663" i="5"/>
  <c r="D662" i="6" l="1"/>
  <c r="C662" i="6"/>
  <c r="I662" i="6"/>
  <c r="F662" i="6"/>
  <c r="E662" i="6"/>
  <c r="H662" i="6"/>
  <c r="B662" i="6"/>
  <c r="J662" i="6"/>
  <c r="G664" i="5"/>
  <c r="H664" i="5"/>
  <c r="B664" i="5"/>
  <c r="A663" i="6"/>
  <c r="G662" i="6"/>
  <c r="C664" i="5"/>
  <c r="A665" i="5"/>
  <c r="F665" i="5" s="1"/>
  <c r="D664" i="5"/>
  <c r="E664" i="5"/>
  <c r="D663" i="6" l="1"/>
  <c r="C663" i="6"/>
  <c r="I663" i="6"/>
  <c r="E663" i="6"/>
  <c r="F663" i="6"/>
  <c r="B663" i="6"/>
  <c r="J663" i="6"/>
  <c r="H663" i="6"/>
  <c r="G665" i="5"/>
  <c r="H665" i="5"/>
  <c r="B665" i="5"/>
  <c r="A664" i="6"/>
  <c r="G663" i="6"/>
  <c r="C665" i="5"/>
  <c r="E665" i="5"/>
  <c r="D665" i="5"/>
  <c r="A666" i="5"/>
  <c r="F666" i="5" s="1"/>
  <c r="I664" i="6" l="1"/>
  <c r="D664" i="6"/>
  <c r="C664" i="6"/>
  <c r="F664" i="6"/>
  <c r="E664" i="6"/>
  <c r="B664" i="6"/>
  <c r="H664" i="6"/>
  <c r="J664" i="6"/>
  <c r="G666" i="5"/>
  <c r="H666" i="5"/>
  <c r="B666" i="5"/>
  <c r="A665" i="6"/>
  <c r="G664" i="6"/>
  <c r="C666" i="5"/>
  <c r="E666" i="5"/>
  <c r="A667" i="5"/>
  <c r="F667" i="5" s="1"/>
  <c r="D666" i="5"/>
  <c r="C665" i="6" l="1"/>
  <c r="I665" i="6"/>
  <c r="D665" i="6"/>
  <c r="F665" i="6"/>
  <c r="E665" i="6"/>
  <c r="J665" i="6"/>
  <c r="H665" i="6"/>
  <c r="B665" i="6"/>
  <c r="G667" i="5"/>
  <c r="H667" i="5"/>
  <c r="B667" i="5"/>
  <c r="A666" i="6"/>
  <c r="G665" i="6"/>
  <c r="C667" i="5"/>
  <c r="A668" i="5"/>
  <c r="F668" i="5" s="1"/>
  <c r="E667" i="5"/>
  <c r="D667" i="5"/>
  <c r="I666" i="6" l="1"/>
  <c r="C666" i="6"/>
  <c r="D666" i="6"/>
  <c r="F666" i="6"/>
  <c r="E666" i="6"/>
  <c r="H666" i="6"/>
  <c r="B666" i="6"/>
  <c r="J666" i="6"/>
  <c r="G668" i="5"/>
  <c r="H668" i="5"/>
  <c r="B668" i="5"/>
  <c r="A667" i="6"/>
  <c r="G666" i="6"/>
  <c r="C668" i="5"/>
  <c r="E668" i="5"/>
  <c r="A669" i="5"/>
  <c r="F669" i="5" s="1"/>
  <c r="D668" i="5"/>
  <c r="I667" i="6" l="1"/>
  <c r="D667" i="6"/>
  <c r="C667" i="6"/>
  <c r="E667" i="6"/>
  <c r="F667" i="6"/>
  <c r="B667" i="6"/>
  <c r="J667" i="6"/>
  <c r="H667" i="6"/>
  <c r="G669" i="5"/>
  <c r="H669" i="5"/>
  <c r="B669" i="5"/>
  <c r="A668" i="6"/>
  <c r="G667" i="6"/>
  <c r="C669" i="5"/>
  <c r="A670" i="5"/>
  <c r="F670" i="5" s="1"/>
  <c r="D669" i="5"/>
  <c r="E669" i="5"/>
  <c r="I668" i="6" l="1"/>
  <c r="D668" i="6"/>
  <c r="C668" i="6"/>
  <c r="F668" i="6"/>
  <c r="E668" i="6"/>
  <c r="B668" i="6"/>
  <c r="H668" i="6"/>
  <c r="J668" i="6"/>
  <c r="G670" i="5"/>
  <c r="H670" i="5"/>
  <c r="B670" i="5"/>
  <c r="A669" i="6"/>
  <c r="G668" i="6"/>
  <c r="C670" i="5"/>
  <c r="A671" i="5"/>
  <c r="F671" i="5" s="1"/>
  <c r="E670" i="5"/>
  <c r="D670" i="5"/>
  <c r="I669" i="6" l="1"/>
  <c r="D669" i="6"/>
  <c r="C669" i="6"/>
  <c r="F669" i="6"/>
  <c r="E669" i="6"/>
  <c r="J669" i="6"/>
  <c r="H669" i="6"/>
  <c r="B669" i="6"/>
  <c r="G671" i="5"/>
  <c r="H671" i="5"/>
  <c r="B671" i="5"/>
  <c r="A670" i="6"/>
  <c r="G669" i="6"/>
  <c r="C671" i="5"/>
  <c r="D671" i="5"/>
  <c r="A672" i="5"/>
  <c r="F672" i="5" s="1"/>
  <c r="E671" i="5"/>
  <c r="D670" i="6" l="1"/>
  <c r="C670" i="6"/>
  <c r="I670" i="6"/>
  <c r="F670" i="6"/>
  <c r="E670" i="6"/>
  <c r="H670" i="6"/>
  <c r="B670" i="6"/>
  <c r="J670" i="6"/>
  <c r="G672" i="5"/>
  <c r="H672" i="5"/>
  <c r="B672" i="5"/>
  <c r="A671" i="6"/>
  <c r="G670" i="6"/>
  <c r="C672" i="5"/>
  <c r="A673" i="5"/>
  <c r="F673" i="5" s="1"/>
  <c r="D672" i="5"/>
  <c r="E672" i="5"/>
  <c r="D671" i="6" l="1"/>
  <c r="C671" i="6"/>
  <c r="I671" i="6"/>
  <c r="E671" i="6"/>
  <c r="F671" i="6"/>
  <c r="B671" i="6"/>
  <c r="J671" i="6"/>
  <c r="H671" i="6"/>
  <c r="G673" i="5"/>
  <c r="H673" i="5"/>
  <c r="B673" i="5"/>
  <c r="G671" i="6"/>
  <c r="A672" i="6"/>
  <c r="C673" i="5"/>
  <c r="D673" i="5"/>
  <c r="E673" i="5"/>
  <c r="A674" i="5"/>
  <c r="F674" i="5" s="1"/>
  <c r="I672" i="6" l="1"/>
  <c r="D672" i="6"/>
  <c r="C672" i="6"/>
  <c r="F672" i="6"/>
  <c r="E672" i="6"/>
  <c r="B672" i="6"/>
  <c r="H672" i="6"/>
  <c r="J672" i="6"/>
  <c r="G674" i="5"/>
  <c r="H674" i="5"/>
  <c r="B674" i="5"/>
  <c r="A673" i="6"/>
  <c r="G672" i="6"/>
  <c r="C674" i="5"/>
  <c r="D674" i="5"/>
  <c r="A675" i="5"/>
  <c r="F675" i="5" s="1"/>
  <c r="E674" i="5"/>
  <c r="C673" i="6" l="1"/>
  <c r="I673" i="6"/>
  <c r="D673" i="6"/>
  <c r="F673" i="6"/>
  <c r="E673" i="6"/>
  <c r="J673" i="6"/>
  <c r="H673" i="6"/>
  <c r="B673" i="6"/>
  <c r="G675" i="5"/>
  <c r="H675" i="5"/>
  <c r="B675" i="5"/>
  <c r="A674" i="6"/>
  <c r="G673" i="6"/>
  <c r="C675" i="5"/>
  <c r="A676" i="5"/>
  <c r="F676" i="5" s="1"/>
  <c r="E675" i="5"/>
  <c r="D675" i="5"/>
  <c r="I674" i="6" l="1"/>
  <c r="C674" i="6"/>
  <c r="D674" i="6"/>
  <c r="F674" i="6"/>
  <c r="E674" i="6"/>
  <c r="H674" i="6"/>
  <c r="B674" i="6"/>
  <c r="J674" i="6"/>
  <c r="G676" i="5"/>
  <c r="H676" i="5"/>
  <c r="B676" i="5"/>
  <c r="A675" i="6"/>
  <c r="G674" i="6"/>
  <c r="C676" i="5"/>
  <c r="A677" i="5"/>
  <c r="F677" i="5" s="1"/>
  <c r="D676" i="5"/>
  <c r="E676" i="5"/>
  <c r="I675" i="6" l="1"/>
  <c r="D675" i="6"/>
  <c r="C675" i="6"/>
  <c r="F675" i="6"/>
  <c r="E675" i="6"/>
  <c r="B675" i="6"/>
  <c r="J675" i="6"/>
  <c r="H675" i="6"/>
  <c r="G677" i="5"/>
  <c r="H677" i="5"/>
  <c r="B677" i="5"/>
  <c r="A676" i="6"/>
  <c r="G675" i="6"/>
  <c r="C677" i="5"/>
  <c r="A678" i="5"/>
  <c r="F678" i="5" s="1"/>
  <c r="E677" i="5"/>
  <c r="D677" i="5"/>
  <c r="I676" i="6" l="1"/>
  <c r="D676" i="6"/>
  <c r="C676" i="6"/>
  <c r="F676" i="6"/>
  <c r="E676" i="6"/>
  <c r="B676" i="6"/>
  <c r="H676" i="6"/>
  <c r="J676" i="6"/>
  <c r="G678" i="5"/>
  <c r="H678" i="5"/>
  <c r="B678" i="5"/>
  <c r="A677" i="6"/>
  <c r="G676" i="6"/>
  <c r="C678" i="5"/>
  <c r="D678" i="5"/>
  <c r="A679" i="5"/>
  <c r="F679" i="5" s="1"/>
  <c r="E678" i="5"/>
  <c r="I677" i="6" l="1"/>
  <c r="D677" i="6"/>
  <c r="C677" i="6"/>
  <c r="F677" i="6"/>
  <c r="E677" i="6"/>
  <c r="J677" i="6"/>
  <c r="H677" i="6"/>
  <c r="B677" i="6"/>
  <c r="G679" i="5"/>
  <c r="H679" i="5"/>
  <c r="B679" i="5"/>
  <c r="A678" i="6"/>
  <c r="G677" i="6"/>
  <c r="C679" i="5"/>
  <c r="A680" i="5"/>
  <c r="F680" i="5" s="1"/>
  <c r="E679" i="5"/>
  <c r="D679" i="5"/>
  <c r="D678" i="6" l="1"/>
  <c r="C678" i="6"/>
  <c r="I678" i="6"/>
  <c r="F678" i="6"/>
  <c r="E678" i="6"/>
  <c r="H678" i="6"/>
  <c r="B678" i="6"/>
  <c r="J678" i="6"/>
  <c r="G680" i="5"/>
  <c r="H680" i="5"/>
  <c r="B680" i="5"/>
  <c r="A679" i="6"/>
  <c r="G678" i="6"/>
  <c r="C680" i="5"/>
  <c r="E680" i="5"/>
  <c r="A681" i="5"/>
  <c r="F681" i="5" s="1"/>
  <c r="D680" i="5"/>
  <c r="D679" i="6" l="1"/>
  <c r="C679" i="6"/>
  <c r="I679" i="6"/>
  <c r="E679" i="6"/>
  <c r="F679" i="6"/>
  <c r="B679" i="6"/>
  <c r="J679" i="6"/>
  <c r="H679" i="6"/>
  <c r="G681" i="5"/>
  <c r="H681" i="5"/>
  <c r="B681" i="5"/>
  <c r="A680" i="6"/>
  <c r="G679" i="6"/>
  <c r="C681" i="5"/>
  <c r="A682" i="5"/>
  <c r="F682" i="5" s="1"/>
  <c r="E681" i="5"/>
  <c r="D681" i="5"/>
  <c r="I680" i="6" l="1"/>
  <c r="D680" i="6"/>
  <c r="C680" i="6"/>
  <c r="F680" i="6"/>
  <c r="E680" i="6"/>
  <c r="B680" i="6"/>
  <c r="H680" i="6"/>
  <c r="J680" i="6"/>
  <c r="G682" i="5"/>
  <c r="H682" i="5"/>
  <c r="B682" i="5"/>
  <c r="A681" i="6"/>
  <c r="G680" i="6"/>
  <c r="C682" i="5"/>
  <c r="A683" i="5"/>
  <c r="F683" i="5" s="1"/>
  <c r="E682" i="5"/>
  <c r="D682" i="5"/>
  <c r="C681" i="6" l="1"/>
  <c r="I681" i="6"/>
  <c r="D681" i="6"/>
  <c r="F681" i="6"/>
  <c r="E681" i="6"/>
  <c r="J681" i="6"/>
  <c r="H681" i="6"/>
  <c r="B681" i="6"/>
  <c r="G683" i="5"/>
  <c r="H683" i="5"/>
  <c r="B683" i="5"/>
  <c r="A682" i="6"/>
  <c r="G681" i="6"/>
  <c r="C683" i="5"/>
  <c r="D683" i="5"/>
  <c r="A684" i="5"/>
  <c r="F684" i="5" s="1"/>
  <c r="E683" i="5"/>
  <c r="I682" i="6" l="1"/>
  <c r="C682" i="6"/>
  <c r="D682" i="6"/>
  <c r="F682" i="6"/>
  <c r="E682" i="6"/>
  <c r="H682" i="6"/>
  <c r="B682" i="6"/>
  <c r="J682" i="6"/>
  <c r="G684" i="5"/>
  <c r="H684" i="5"/>
  <c r="B684" i="5"/>
  <c r="A683" i="6"/>
  <c r="G682" i="6"/>
  <c r="C684" i="5"/>
  <c r="E684" i="5"/>
  <c r="A685" i="5"/>
  <c r="F685" i="5" s="1"/>
  <c r="D684" i="5"/>
  <c r="I683" i="6" l="1"/>
  <c r="D683" i="6"/>
  <c r="C683" i="6"/>
  <c r="E683" i="6"/>
  <c r="F683" i="6"/>
  <c r="B683" i="6"/>
  <c r="J683" i="6"/>
  <c r="H683" i="6"/>
  <c r="G685" i="5"/>
  <c r="H685" i="5"/>
  <c r="B685" i="5"/>
  <c r="A684" i="6"/>
  <c r="G683" i="6"/>
  <c r="C685" i="5"/>
  <c r="A686" i="5"/>
  <c r="F686" i="5" s="1"/>
  <c r="E685" i="5"/>
  <c r="D685" i="5"/>
  <c r="I684" i="6" l="1"/>
  <c r="D684" i="6"/>
  <c r="C684" i="6"/>
  <c r="F684" i="6"/>
  <c r="E684" i="6"/>
  <c r="B684" i="6"/>
  <c r="H684" i="6"/>
  <c r="J684" i="6"/>
  <c r="G686" i="5"/>
  <c r="H686" i="5"/>
  <c r="B686" i="5"/>
  <c r="A685" i="6"/>
  <c r="G684" i="6"/>
  <c r="C686" i="5"/>
  <c r="E686" i="5"/>
  <c r="D686" i="5"/>
  <c r="A687" i="5"/>
  <c r="F687" i="5" s="1"/>
  <c r="I685" i="6" l="1"/>
  <c r="D685" i="6"/>
  <c r="C685" i="6"/>
  <c r="F685" i="6"/>
  <c r="E685" i="6"/>
  <c r="J685" i="6"/>
  <c r="H685" i="6"/>
  <c r="B685" i="6"/>
  <c r="G687" i="5"/>
  <c r="H687" i="5"/>
  <c r="B687" i="5"/>
  <c r="A686" i="6"/>
  <c r="G685" i="6"/>
  <c r="C687" i="5"/>
  <c r="D687" i="5"/>
  <c r="A688" i="5"/>
  <c r="F688" i="5" s="1"/>
  <c r="E687" i="5"/>
  <c r="D686" i="6" l="1"/>
  <c r="C686" i="6"/>
  <c r="I686" i="6"/>
  <c r="F686" i="6"/>
  <c r="E686" i="6"/>
  <c r="H686" i="6"/>
  <c r="B686" i="6"/>
  <c r="J686" i="6"/>
  <c r="G688" i="5"/>
  <c r="H688" i="5"/>
  <c r="B688" i="5"/>
  <c r="A687" i="6"/>
  <c r="G686" i="6"/>
  <c r="C688" i="5"/>
  <c r="A689" i="5"/>
  <c r="F689" i="5" s="1"/>
  <c r="D688" i="5"/>
  <c r="E688" i="5"/>
  <c r="D687" i="6" l="1"/>
  <c r="C687" i="6"/>
  <c r="I687" i="6"/>
  <c r="E687" i="6"/>
  <c r="F687" i="6"/>
  <c r="B687" i="6"/>
  <c r="J687" i="6"/>
  <c r="B11" i="6" s="1"/>
  <c r="H687" i="6"/>
  <c r="G689" i="5"/>
  <c r="H689" i="5"/>
  <c r="B689" i="5"/>
  <c r="G687" i="6"/>
  <c r="C689" i="5"/>
  <c r="E689" i="5"/>
  <c r="D689" i="5"/>
  <c r="B14" i="5" l="1"/>
  <c r="H20" i="14" l="1"/>
  <c r="B12" i="14" l="1"/>
  <c r="B13" i="14" s="1"/>
  <c r="C8547" i="13"/>
  <c r="C8546" i="13" s="1"/>
  <c r="C8545" i="13" s="1"/>
  <c r="C8544" i="13" s="1"/>
  <c r="C8543" i="13" s="1"/>
  <c r="C8542" i="13" s="1"/>
  <c r="C8541" i="13" s="1"/>
  <c r="C8540" i="13" s="1"/>
  <c r="C8539" i="13" s="1"/>
  <c r="C8538" i="13" s="1"/>
  <c r="C8537" i="13" s="1"/>
  <c r="C8536" i="13" s="1"/>
  <c r="C8535" i="13" s="1"/>
  <c r="C8534" i="13" s="1"/>
  <c r="C8533" i="13" s="1"/>
  <c r="C8532" i="13" s="1"/>
  <c r="C8531" i="13" s="1"/>
  <c r="C8530" i="13" s="1"/>
  <c r="C8529" i="13" s="1"/>
  <c r="C8528" i="13" s="1"/>
  <c r="C8527" i="13" s="1"/>
  <c r="C8526" i="13" s="1"/>
  <c r="C8525" i="13" s="1"/>
  <c r="C8524" i="13" s="1"/>
  <c r="C8523" i="13" s="1"/>
  <c r="C8522" i="13" s="1"/>
  <c r="C8521" i="13" s="1"/>
  <c r="C8520" i="13" s="1"/>
  <c r="C8519" i="13" s="1"/>
  <c r="C8518" i="13" s="1"/>
  <c r="C8517" i="13" s="1"/>
  <c r="C8516" i="13" s="1"/>
  <c r="C8515" i="13" s="1"/>
  <c r="C8514" i="13" s="1"/>
  <c r="C8513" i="13" s="1"/>
  <c r="C8512" i="13" s="1"/>
  <c r="C8511" i="13" s="1"/>
  <c r="C8510" i="13" s="1"/>
  <c r="C8509" i="13" s="1"/>
  <c r="C8508" i="13" s="1"/>
  <c r="C8507" i="13" s="1"/>
  <c r="C8506" i="13" s="1"/>
  <c r="C8505" i="13" s="1"/>
  <c r="C8504" i="13" s="1"/>
  <c r="C8503" i="13" s="1"/>
  <c r="C8502" i="13" s="1"/>
  <c r="C8501" i="13" s="1"/>
  <c r="C8500" i="13" s="1"/>
  <c r="C8499" i="13" s="1"/>
  <c r="C8498" i="13" s="1"/>
  <c r="C8497" i="13" s="1"/>
  <c r="C8496" i="13" s="1"/>
  <c r="C8495" i="13" s="1"/>
  <c r="C8494" i="13" s="1"/>
  <c r="C8493" i="13" s="1"/>
  <c r="C8492" i="13" s="1"/>
  <c r="C8491" i="13" s="1"/>
  <c r="C8490" i="13" s="1"/>
  <c r="C8489" i="13" s="1"/>
  <c r="C8488" i="13" s="1"/>
  <c r="C8487" i="13" s="1"/>
  <c r="C8486" i="13" s="1"/>
  <c r="C8485" i="13" s="1"/>
  <c r="C8484" i="13" s="1"/>
  <c r="C8483" i="13" s="1"/>
  <c r="C8482" i="13" s="1"/>
  <c r="C8481" i="13" s="1"/>
  <c r="C8480" i="13" s="1"/>
  <c r="C8479" i="13" s="1"/>
  <c r="C8478" i="13" s="1"/>
  <c r="C8477" i="13" s="1"/>
  <c r="C8476" i="13" s="1"/>
  <c r="C8475" i="13" s="1"/>
  <c r="C8474" i="13" s="1"/>
  <c r="C8473" i="13" s="1"/>
  <c r="C8472" i="13" s="1"/>
  <c r="C8471" i="13" s="1"/>
  <c r="C8470" i="13" s="1"/>
  <c r="C8469" i="13" s="1"/>
  <c r="C8468" i="13" s="1"/>
  <c r="C8467" i="13" s="1"/>
  <c r="C8466" i="13" s="1"/>
  <c r="C8465" i="13" s="1"/>
  <c r="C8464" i="13" s="1"/>
  <c r="C8463" i="13" s="1"/>
  <c r="C8462" i="13" s="1"/>
  <c r="C8461" i="13" s="1"/>
  <c r="C8460" i="13" s="1"/>
  <c r="C8459" i="13" s="1"/>
  <c r="C8458" i="13" s="1"/>
  <c r="C8457" i="13" s="1"/>
  <c r="C8456" i="13" s="1"/>
  <c r="C8455" i="13" s="1"/>
  <c r="C8454" i="13" s="1"/>
  <c r="C8453" i="13" s="1"/>
  <c r="C8452" i="13" s="1"/>
  <c r="C8451" i="13" s="1"/>
  <c r="C8450" i="13" s="1"/>
  <c r="C8449" i="13" s="1"/>
  <c r="C8448" i="13" s="1"/>
  <c r="C8447" i="13" s="1"/>
  <c r="C8446" i="13" s="1"/>
  <c r="C8445" i="13" s="1"/>
  <c r="C8444" i="13" s="1"/>
  <c r="C8443" i="13" s="1"/>
  <c r="C8442" i="13" s="1"/>
  <c r="C8441" i="13" s="1"/>
  <c r="C8440" i="13" s="1"/>
  <c r="C8439" i="13" s="1"/>
  <c r="C8438" i="13" s="1"/>
  <c r="C8437" i="13" s="1"/>
  <c r="C8436" i="13" s="1"/>
  <c r="C8435" i="13" s="1"/>
  <c r="C8434" i="13" s="1"/>
  <c r="C8433" i="13" s="1"/>
  <c r="C8432" i="13" s="1"/>
  <c r="C8431" i="13" s="1"/>
  <c r="C8430" i="13" s="1"/>
  <c r="C8429" i="13" s="1"/>
  <c r="C8428" i="13" s="1"/>
  <c r="C8427" i="13" s="1"/>
  <c r="C8426" i="13" s="1"/>
  <c r="C8425" i="13" s="1"/>
  <c r="C8424" i="13" s="1"/>
  <c r="C8423" i="13" s="1"/>
  <c r="C8422" i="13" s="1"/>
  <c r="C8421" i="13" s="1"/>
  <c r="C8420" i="13" s="1"/>
  <c r="C8419" i="13" s="1"/>
  <c r="C8418" i="13" s="1"/>
  <c r="C8417" i="13" s="1"/>
  <c r="C8416" i="13" s="1"/>
  <c r="C8415" i="13" s="1"/>
  <c r="C8414" i="13" s="1"/>
  <c r="C8413" i="13" s="1"/>
  <c r="C8412" i="13" s="1"/>
  <c r="C8411" i="13" s="1"/>
  <c r="C8410" i="13" s="1"/>
  <c r="C8409" i="13" s="1"/>
  <c r="C8408" i="13" s="1"/>
  <c r="C8407" i="13" s="1"/>
  <c r="C8406" i="13" s="1"/>
  <c r="C8405" i="13" s="1"/>
  <c r="C8404" i="13" s="1"/>
  <c r="C8403" i="13" s="1"/>
  <c r="C8402" i="13" s="1"/>
  <c r="C8401" i="13" s="1"/>
  <c r="C8400" i="13" s="1"/>
  <c r="C8399" i="13" s="1"/>
  <c r="C8398" i="13" s="1"/>
  <c r="C8397" i="13" s="1"/>
  <c r="C8396" i="13" s="1"/>
  <c r="C8395" i="13" s="1"/>
  <c r="C8394" i="13" s="1"/>
  <c r="C8393" i="13" s="1"/>
  <c r="C8392" i="13" s="1"/>
  <c r="C8391" i="13" s="1"/>
  <c r="C8390" i="13" s="1"/>
  <c r="C8389" i="13" s="1"/>
  <c r="C8388" i="13" s="1"/>
  <c r="C8387" i="13" s="1"/>
  <c r="C8386" i="13" s="1"/>
  <c r="C8385" i="13" s="1"/>
  <c r="C8384" i="13" s="1"/>
  <c r="C8383" i="13" s="1"/>
  <c r="C8382" i="13" s="1"/>
  <c r="C8381" i="13" s="1"/>
  <c r="C8380" i="13" s="1"/>
  <c r="C8379" i="13" s="1"/>
  <c r="C8378" i="13" s="1"/>
  <c r="C8377" i="13" s="1"/>
  <c r="C8376" i="13" s="1"/>
  <c r="C8375" i="13" s="1"/>
  <c r="C8374" i="13" s="1"/>
  <c r="C8373" i="13" s="1"/>
  <c r="C8372" i="13" s="1"/>
  <c r="C8371" i="13" s="1"/>
  <c r="C8370" i="13" s="1"/>
  <c r="C8369" i="13" s="1"/>
  <c r="C8368" i="13" s="1"/>
  <c r="C8367" i="13" s="1"/>
  <c r="C8366" i="13" s="1"/>
  <c r="C8365" i="13" s="1"/>
  <c r="C8364" i="13" s="1"/>
  <c r="C8363" i="13" s="1"/>
  <c r="C8362" i="13" s="1"/>
  <c r="C8361" i="13" s="1"/>
  <c r="C8360" i="13" s="1"/>
  <c r="C8359" i="13" s="1"/>
  <c r="C8358" i="13" s="1"/>
  <c r="C8357" i="13" s="1"/>
  <c r="C8356" i="13" s="1"/>
  <c r="C8355" i="13" s="1"/>
  <c r="C8354" i="13" s="1"/>
  <c r="C8353" i="13" s="1"/>
  <c r="C8352" i="13" s="1"/>
  <c r="C8351" i="13" s="1"/>
  <c r="C8350" i="13" s="1"/>
  <c r="C8349" i="13" s="1"/>
  <c r="C8348" i="13" s="1"/>
  <c r="C8347" i="13" s="1"/>
  <c r="C8346" i="13" s="1"/>
  <c r="C8345" i="13" s="1"/>
  <c r="C8344" i="13" s="1"/>
  <c r="C8343" i="13" s="1"/>
  <c r="C8342" i="13" s="1"/>
  <c r="C8341" i="13" s="1"/>
  <c r="C8340" i="13" s="1"/>
  <c r="C8339" i="13" s="1"/>
  <c r="C8338" i="13" s="1"/>
  <c r="C8337" i="13" s="1"/>
  <c r="C8336" i="13" s="1"/>
  <c r="C8335" i="13" s="1"/>
  <c r="C8334" i="13" s="1"/>
  <c r="C8333" i="13" s="1"/>
  <c r="C8332" i="13" s="1"/>
  <c r="C8331" i="13" s="1"/>
  <c r="C8330" i="13" s="1"/>
  <c r="C8329" i="13" s="1"/>
  <c r="C8328" i="13" s="1"/>
  <c r="C8327" i="13" s="1"/>
  <c r="C8326" i="13" s="1"/>
  <c r="C8325" i="13" s="1"/>
  <c r="C8324" i="13" s="1"/>
  <c r="C8323" i="13" s="1"/>
  <c r="C8322" i="13" s="1"/>
  <c r="C8321" i="13" s="1"/>
  <c r="C8320" i="13" s="1"/>
  <c r="C8319" i="13" s="1"/>
  <c r="C8318" i="13" s="1"/>
  <c r="C8317" i="13" s="1"/>
  <c r="C8316" i="13" s="1"/>
  <c r="C8315" i="13" s="1"/>
  <c r="C8314" i="13" s="1"/>
  <c r="C8313" i="13" s="1"/>
  <c r="C8312" i="13" s="1"/>
  <c r="C8311" i="13" s="1"/>
  <c r="C8310" i="13" s="1"/>
  <c r="C8309" i="13" s="1"/>
  <c r="C8308" i="13" s="1"/>
  <c r="C8307" i="13" s="1"/>
  <c r="C8306" i="13" s="1"/>
  <c r="C8305" i="13" s="1"/>
  <c r="C8304" i="13" s="1"/>
  <c r="C8303" i="13" s="1"/>
  <c r="C8302" i="13" s="1"/>
  <c r="C8301" i="13" s="1"/>
  <c r="C8300" i="13" s="1"/>
  <c r="C8299" i="13" s="1"/>
  <c r="C8298" i="13" s="1"/>
  <c r="C8297" i="13" s="1"/>
  <c r="C8296" i="13" s="1"/>
  <c r="C8295" i="13" s="1"/>
  <c r="C8294" i="13" s="1"/>
  <c r="C8293" i="13" s="1"/>
  <c r="C8292" i="13" s="1"/>
  <c r="C8291" i="13" s="1"/>
  <c r="C8290" i="13" s="1"/>
  <c r="C8289" i="13" s="1"/>
  <c r="C8288" i="13" s="1"/>
  <c r="C8287" i="13" s="1"/>
  <c r="C8286" i="13" s="1"/>
  <c r="C8285" i="13" s="1"/>
  <c r="C8284" i="13" s="1"/>
  <c r="C8283" i="13" s="1"/>
  <c r="C8282" i="13" s="1"/>
  <c r="C8281" i="13" s="1"/>
  <c r="C8280" i="13" s="1"/>
  <c r="C8279" i="13" s="1"/>
  <c r="C8278" i="13" s="1"/>
  <c r="C8277" i="13" s="1"/>
  <c r="C8276" i="13" s="1"/>
  <c r="C8275" i="13" s="1"/>
  <c r="C8274" i="13" s="1"/>
  <c r="C8273" i="13" s="1"/>
  <c r="C8272" i="13" s="1"/>
  <c r="C8271" i="13" s="1"/>
  <c r="C8270" i="13" s="1"/>
  <c r="C8269" i="13" s="1"/>
  <c r="C8268" i="13" s="1"/>
  <c r="C8267" i="13" s="1"/>
  <c r="C8266" i="13" s="1"/>
  <c r="C8265" i="13" s="1"/>
  <c r="C8264" i="13" s="1"/>
  <c r="C8263" i="13" s="1"/>
  <c r="C8262" i="13" s="1"/>
  <c r="C8261" i="13" s="1"/>
  <c r="C8260" i="13" s="1"/>
  <c r="C8259" i="13" s="1"/>
  <c r="C8258" i="13" s="1"/>
  <c r="C8257" i="13" s="1"/>
  <c r="C8256" i="13" s="1"/>
  <c r="C8255" i="13" s="1"/>
  <c r="C8254" i="13" s="1"/>
  <c r="C8253" i="13" s="1"/>
  <c r="C8252" i="13" s="1"/>
  <c r="C8251" i="13" s="1"/>
  <c r="C8250" i="13" s="1"/>
  <c r="C8249" i="13" s="1"/>
  <c r="C8248" i="13" s="1"/>
  <c r="C8247" i="13" s="1"/>
  <c r="C8246" i="13" s="1"/>
  <c r="C8245" i="13" s="1"/>
  <c r="C8244" i="13" s="1"/>
  <c r="C8243" i="13" s="1"/>
  <c r="C8242" i="13" s="1"/>
  <c r="C8241" i="13" s="1"/>
  <c r="C8240" i="13" s="1"/>
  <c r="C8239" i="13" s="1"/>
  <c r="C8238" i="13" s="1"/>
  <c r="C8237" i="13" s="1"/>
  <c r="C8236" i="13" s="1"/>
  <c r="C8235" i="13" s="1"/>
  <c r="C8234" i="13" s="1"/>
  <c r="C8233" i="13" s="1"/>
  <c r="C8232" i="13" s="1"/>
  <c r="C8231" i="13" s="1"/>
  <c r="C8230" i="13" s="1"/>
  <c r="C8229" i="13" s="1"/>
  <c r="C8228" i="13" s="1"/>
  <c r="C8227" i="13" s="1"/>
  <c r="C8226" i="13" s="1"/>
  <c r="C8225" i="13" s="1"/>
  <c r="C8224" i="13" s="1"/>
  <c r="C8223" i="13" s="1"/>
  <c r="C8222" i="13" s="1"/>
  <c r="C8221" i="13" s="1"/>
  <c r="C8220" i="13" s="1"/>
  <c r="C8219" i="13" s="1"/>
  <c r="C8218" i="13" s="1"/>
  <c r="C8217" i="13" s="1"/>
  <c r="C8216" i="13" s="1"/>
  <c r="C8215" i="13" s="1"/>
  <c r="C8214" i="13" s="1"/>
  <c r="C8213" i="13" s="1"/>
  <c r="C8212" i="13" s="1"/>
  <c r="C8211" i="13" s="1"/>
  <c r="C8210" i="13" s="1"/>
  <c r="C8209" i="13" s="1"/>
  <c r="C8208" i="13" s="1"/>
  <c r="C8207" i="13" s="1"/>
  <c r="C8206" i="13" s="1"/>
  <c r="C8205" i="13" s="1"/>
  <c r="C8204" i="13" s="1"/>
  <c r="C8203" i="13" s="1"/>
  <c r="C8202" i="13" s="1"/>
  <c r="C8201" i="13" s="1"/>
  <c r="C8200" i="13" s="1"/>
  <c r="C8199" i="13" s="1"/>
  <c r="C8198" i="13" s="1"/>
  <c r="C8197" i="13" s="1"/>
  <c r="C8196" i="13" s="1"/>
  <c r="C8195" i="13" s="1"/>
  <c r="C8194" i="13" s="1"/>
  <c r="C8193" i="13" s="1"/>
  <c r="C8192" i="13" s="1"/>
  <c r="C8191" i="13" s="1"/>
  <c r="C8190" i="13" s="1"/>
  <c r="C8189" i="13" s="1"/>
  <c r="C8188" i="13" s="1"/>
  <c r="C8187" i="13" s="1"/>
  <c r="C8186" i="13" s="1"/>
  <c r="C8185" i="13" s="1"/>
  <c r="C8184" i="13" s="1"/>
  <c r="C8183" i="13" s="1"/>
  <c r="C8182" i="13" s="1"/>
  <c r="C8181" i="13" s="1"/>
  <c r="C8180" i="13" s="1"/>
  <c r="C8179" i="13" s="1"/>
  <c r="C8178" i="13" s="1"/>
  <c r="C8177" i="13" s="1"/>
  <c r="C8176" i="13" s="1"/>
  <c r="C8175" i="13" s="1"/>
  <c r="C8174" i="13" s="1"/>
  <c r="C8173" i="13" s="1"/>
  <c r="C8172" i="13" s="1"/>
  <c r="C8171" i="13" s="1"/>
  <c r="C8170" i="13" s="1"/>
  <c r="C8169" i="13" s="1"/>
  <c r="C8168" i="13" s="1"/>
  <c r="C8167" i="13" s="1"/>
  <c r="C8166" i="13" s="1"/>
  <c r="C8165" i="13" s="1"/>
  <c r="C8164" i="13" s="1"/>
  <c r="C8163" i="13" s="1"/>
  <c r="C8162" i="13" s="1"/>
  <c r="C8161" i="13" s="1"/>
  <c r="C8160" i="13" s="1"/>
  <c r="C8159" i="13" s="1"/>
  <c r="C8158" i="13" s="1"/>
  <c r="C8157" i="13" s="1"/>
  <c r="C8156" i="13" s="1"/>
  <c r="C8155" i="13" s="1"/>
  <c r="C8154" i="13" s="1"/>
  <c r="C8153" i="13" s="1"/>
  <c r="C8152" i="13" s="1"/>
  <c r="C8151" i="13" s="1"/>
  <c r="C8150" i="13" s="1"/>
  <c r="C8149" i="13" s="1"/>
  <c r="C8148" i="13" s="1"/>
  <c r="C8147" i="13" s="1"/>
  <c r="C8146" i="13" s="1"/>
  <c r="C8145" i="13" s="1"/>
  <c r="C8144" i="13" s="1"/>
  <c r="C8143" i="13" s="1"/>
  <c r="C8142" i="13" s="1"/>
  <c r="C8141" i="13" s="1"/>
  <c r="C8140" i="13" s="1"/>
  <c r="C8139" i="13" s="1"/>
  <c r="C8138" i="13" s="1"/>
  <c r="C8137" i="13" s="1"/>
  <c r="C8136" i="13" s="1"/>
  <c r="C8135" i="13" s="1"/>
  <c r="C8134" i="13" s="1"/>
  <c r="C8133" i="13" s="1"/>
  <c r="C8132" i="13" s="1"/>
  <c r="C8131" i="13" s="1"/>
  <c r="C8130" i="13" s="1"/>
  <c r="C8129" i="13" s="1"/>
  <c r="C8128" i="13" s="1"/>
  <c r="C8127" i="13" s="1"/>
  <c r="C8126" i="13" s="1"/>
  <c r="C8125" i="13" s="1"/>
  <c r="C8124" i="13" s="1"/>
  <c r="C8123" i="13" s="1"/>
  <c r="C8122" i="13" s="1"/>
  <c r="C8121" i="13" s="1"/>
  <c r="C8120" i="13" s="1"/>
  <c r="C8119" i="13" s="1"/>
  <c r="C8118" i="13" s="1"/>
  <c r="C8117" i="13" s="1"/>
  <c r="C8116" i="13" s="1"/>
  <c r="C8115" i="13" s="1"/>
  <c r="C8114" i="13" s="1"/>
  <c r="C8113" i="13" s="1"/>
  <c r="C8112" i="13" s="1"/>
  <c r="C8111" i="13" s="1"/>
  <c r="C8110" i="13" s="1"/>
  <c r="C8109" i="13" s="1"/>
  <c r="C8108" i="13" s="1"/>
  <c r="C8107" i="13" s="1"/>
  <c r="C8106" i="13" s="1"/>
  <c r="C8105" i="13" s="1"/>
  <c r="C8104" i="13" s="1"/>
  <c r="C8103" i="13" s="1"/>
  <c r="C8102" i="13" s="1"/>
  <c r="C8101" i="13" s="1"/>
  <c r="C8100" i="13" s="1"/>
  <c r="C8099" i="13" s="1"/>
  <c r="C8098" i="13" s="1"/>
  <c r="C8097" i="13" s="1"/>
  <c r="C8096" i="13" s="1"/>
  <c r="C8095" i="13" s="1"/>
  <c r="C8094" i="13" s="1"/>
  <c r="C8093" i="13" s="1"/>
  <c r="C8092" i="13" s="1"/>
  <c r="C8091" i="13" s="1"/>
  <c r="C8090" i="13" s="1"/>
  <c r="C8089" i="13" s="1"/>
  <c r="C8088" i="13" s="1"/>
  <c r="C8087" i="13" s="1"/>
  <c r="C8086" i="13" s="1"/>
  <c r="C8085" i="13" s="1"/>
  <c r="C8084" i="13" s="1"/>
  <c r="C8083" i="13" s="1"/>
  <c r="C8082" i="13" s="1"/>
  <c r="C8081" i="13" s="1"/>
  <c r="C8080" i="13" s="1"/>
  <c r="C8079" i="13" s="1"/>
  <c r="C8078" i="13" s="1"/>
  <c r="C8077" i="13" s="1"/>
  <c r="C8076" i="13" s="1"/>
  <c r="C8075" i="13" s="1"/>
  <c r="C8074" i="13" s="1"/>
  <c r="C8073" i="13" s="1"/>
  <c r="C8072" i="13" s="1"/>
  <c r="C8071" i="13" s="1"/>
  <c r="C8070" i="13" s="1"/>
  <c r="C8069" i="13" s="1"/>
  <c r="C8068" i="13" s="1"/>
  <c r="C8067" i="13" s="1"/>
  <c r="C8066" i="13" s="1"/>
  <c r="C8065" i="13" s="1"/>
  <c r="C8064" i="13" s="1"/>
  <c r="C8063" i="13" s="1"/>
  <c r="C8062" i="13" s="1"/>
  <c r="C8061" i="13" s="1"/>
  <c r="C8060" i="13" s="1"/>
  <c r="C8059" i="13" s="1"/>
  <c r="C8058" i="13" s="1"/>
  <c r="C8057" i="13" s="1"/>
  <c r="C8056" i="13" s="1"/>
  <c r="C8055" i="13" s="1"/>
  <c r="C8054" i="13" s="1"/>
  <c r="C8053" i="13" s="1"/>
  <c r="C8052" i="13" s="1"/>
  <c r="C8051" i="13" s="1"/>
  <c r="C8050" i="13" s="1"/>
  <c r="C8049" i="13" s="1"/>
  <c r="C8048" i="13" s="1"/>
  <c r="C8047" i="13" s="1"/>
  <c r="C8046" i="13" s="1"/>
  <c r="C8045" i="13" s="1"/>
  <c r="C8044" i="13" s="1"/>
  <c r="C8043" i="13" s="1"/>
  <c r="C8042" i="13" s="1"/>
  <c r="C8041" i="13" s="1"/>
  <c r="C8040" i="13" s="1"/>
  <c r="C8039" i="13" s="1"/>
  <c r="C8038" i="13" s="1"/>
  <c r="C8037" i="13" s="1"/>
  <c r="C8036" i="13" s="1"/>
  <c r="C8035" i="13" s="1"/>
  <c r="C8034" i="13" s="1"/>
  <c r="C8033" i="13" s="1"/>
  <c r="C8032" i="13" s="1"/>
  <c r="C8031" i="13" s="1"/>
  <c r="C8030" i="13" s="1"/>
  <c r="C8029" i="13" s="1"/>
  <c r="C8028" i="13" s="1"/>
  <c r="C8027" i="13" s="1"/>
  <c r="C8026" i="13" s="1"/>
  <c r="C8025" i="13" s="1"/>
  <c r="C8024" i="13" s="1"/>
  <c r="C8023" i="13" s="1"/>
  <c r="C8022" i="13" s="1"/>
  <c r="C8021" i="13" s="1"/>
  <c r="C8020" i="13" s="1"/>
  <c r="C8019" i="13" s="1"/>
  <c r="C8018" i="13" s="1"/>
  <c r="C8017" i="13" s="1"/>
  <c r="C8016" i="13" s="1"/>
  <c r="C8015" i="13" s="1"/>
  <c r="C8014" i="13" s="1"/>
  <c r="C8013" i="13" s="1"/>
  <c r="C8012" i="13" s="1"/>
  <c r="C8011" i="13" s="1"/>
  <c r="C8010" i="13" s="1"/>
  <c r="C8009" i="13" s="1"/>
  <c r="C8008" i="13" s="1"/>
  <c r="C8007" i="13" s="1"/>
  <c r="C8006" i="13" s="1"/>
  <c r="C8005" i="13" s="1"/>
  <c r="C8004" i="13" s="1"/>
  <c r="C8003" i="13" s="1"/>
  <c r="C8002" i="13" s="1"/>
  <c r="C8001" i="13" s="1"/>
  <c r="C8000" i="13" s="1"/>
  <c r="C7999" i="13" s="1"/>
  <c r="C7998" i="13" s="1"/>
  <c r="C7997" i="13" s="1"/>
  <c r="C7996" i="13" s="1"/>
  <c r="C7995" i="13" s="1"/>
  <c r="C7994" i="13" s="1"/>
  <c r="C7993" i="13" s="1"/>
  <c r="C7992" i="13" s="1"/>
  <c r="C7991" i="13" s="1"/>
  <c r="C7990" i="13" s="1"/>
  <c r="C7989" i="13" s="1"/>
  <c r="C7988" i="13" s="1"/>
  <c r="C7987" i="13" s="1"/>
  <c r="C7986" i="13" s="1"/>
  <c r="C7985" i="13" s="1"/>
  <c r="C7984" i="13" s="1"/>
  <c r="C7983" i="13" s="1"/>
  <c r="C7982" i="13" s="1"/>
  <c r="C7981" i="13" s="1"/>
  <c r="C7980" i="13" s="1"/>
  <c r="C7979" i="13" s="1"/>
  <c r="C7978" i="13" s="1"/>
  <c r="C7977" i="13" s="1"/>
  <c r="C7976" i="13" s="1"/>
  <c r="C7975" i="13" s="1"/>
  <c r="C7974" i="13" s="1"/>
  <c r="C7973" i="13" s="1"/>
  <c r="C7972" i="13" s="1"/>
  <c r="C7971" i="13" s="1"/>
  <c r="C7970" i="13" s="1"/>
  <c r="C7969" i="13" s="1"/>
  <c r="C7968" i="13" s="1"/>
  <c r="C7967" i="13" s="1"/>
  <c r="C7966" i="13" s="1"/>
  <c r="C7965" i="13" s="1"/>
  <c r="C7964" i="13" s="1"/>
  <c r="C7963" i="13" s="1"/>
  <c r="C7962" i="13" s="1"/>
  <c r="C7961" i="13" s="1"/>
  <c r="C7960" i="13" s="1"/>
  <c r="C7959" i="13" s="1"/>
  <c r="C7958" i="13" s="1"/>
  <c r="C7957" i="13" s="1"/>
  <c r="C7956" i="13" s="1"/>
  <c r="C7955" i="13" s="1"/>
  <c r="C7954" i="13" s="1"/>
  <c r="C7953" i="13" s="1"/>
  <c r="C7952" i="13" s="1"/>
  <c r="C7951" i="13" s="1"/>
  <c r="C7950" i="13" s="1"/>
  <c r="C7949" i="13" s="1"/>
  <c r="C7948" i="13" s="1"/>
  <c r="C7947" i="13" s="1"/>
  <c r="C7946" i="13" s="1"/>
  <c r="C7945" i="13" s="1"/>
  <c r="C7944" i="13" s="1"/>
  <c r="C7943" i="13" s="1"/>
  <c r="C7942" i="13" s="1"/>
  <c r="C7941" i="13" s="1"/>
  <c r="C7940" i="13" s="1"/>
  <c r="C7939" i="13" s="1"/>
  <c r="C7938" i="13" s="1"/>
  <c r="C7937" i="13" s="1"/>
  <c r="C7936" i="13" s="1"/>
  <c r="C7935" i="13" s="1"/>
  <c r="C7934" i="13" s="1"/>
  <c r="C7933" i="13" s="1"/>
  <c r="C7932" i="13" s="1"/>
  <c r="C7931" i="13" s="1"/>
  <c r="C7930" i="13" s="1"/>
  <c r="C7929" i="13" s="1"/>
  <c r="C7928" i="13" s="1"/>
  <c r="C7927" i="13" s="1"/>
  <c r="C7926" i="13" s="1"/>
  <c r="C7925" i="13" s="1"/>
  <c r="C7924" i="13" s="1"/>
  <c r="C7923" i="13" s="1"/>
  <c r="C7922" i="13" s="1"/>
  <c r="C7921" i="13" s="1"/>
  <c r="C7920" i="13" s="1"/>
  <c r="C7919" i="13" s="1"/>
  <c r="C7918" i="13" s="1"/>
  <c r="C7917" i="13" s="1"/>
  <c r="C7916" i="13" s="1"/>
  <c r="C7915" i="13" s="1"/>
  <c r="C7914" i="13" s="1"/>
  <c r="C7913" i="13" s="1"/>
  <c r="C7912" i="13" s="1"/>
  <c r="C7911" i="13" s="1"/>
  <c r="C7910" i="13" s="1"/>
  <c r="C7909" i="13" s="1"/>
  <c r="C7908" i="13" s="1"/>
  <c r="C7907" i="13" s="1"/>
  <c r="C7906" i="13" s="1"/>
  <c r="C7905" i="13" s="1"/>
  <c r="C7904" i="13" s="1"/>
  <c r="C7903" i="13" s="1"/>
  <c r="C7902" i="13" s="1"/>
  <c r="C7901" i="13" s="1"/>
  <c r="C7900" i="13" s="1"/>
  <c r="C7899" i="13" s="1"/>
  <c r="C7898" i="13" s="1"/>
  <c r="C7897" i="13" s="1"/>
  <c r="C7896" i="13" s="1"/>
  <c r="C7895" i="13" s="1"/>
  <c r="C7894" i="13" s="1"/>
  <c r="C7893" i="13" s="1"/>
  <c r="C7892" i="13" s="1"/>
  <c r="C7891" i="13" s="1"/>
  <c r="C7890" i="13" s="1"/>
  <c r="C7889" i="13" s="1"/>
  <c r="C7888" i="13" s="1"/>
  <c r="C7887" i="13" s="1"/>
  <c r="C7886" i="13" s="1"/>
  <c r="C7885" i="13" s="1"/>
  <c r="C7884" i="13" s="1"/>
  <c r="C7883" i="13" s="1"/>
  <c r="C7882" i="13" s="1"/>
  <c r="C7881" i="13" s="1"/>
  <c r="C7880" i="13" s="1"/>
  <c r="C7879" i="13" s="1"/>
  <c r="C7878" i="13" s="1"/>
  <c r="C7877" i="13" s="1"/>
  <c r="C7876" i="13" s="1"/>
  <c r="C7875" i="13" s="1"/>
  <c r="C7874" i="13" s="1"/>
  <c r="C7873" i="13" s="1"/>
  <c r="C7872" i="13" s="1"/>
  <c r="C7871" i="13" s="1"/>
  <c r="C7870" i="13" s="1"/>
  <c r="C7869" i="13" s="1"/>
  <c r="C7868" i="13" s="1"/>
  <c r="C7867" i="13" s="1"/>
  <c r="C7866" i="13" s="1"/>
  <c r="C7865" i="13" s="1"/>
  <c r="C7864" i="13" s="1"/>
  <c r="C7863" i="13" s="1"/>
  <c r="C7862" i="13" s="1"/>
  <c r="C7861" i="13" s="1"/>
  <c r="C7860" i="13" s="1"/>
  <c r="C7859" i="13" s="1"/>
  <c r="C7858" i="13" s="1"/>
  <c r="C7857" i="13" s="1"/>
  <c r="C7856" i="13" s="1"/>
  <c r="C7855" i="13" s="1"/>
  <c r="C7854" i="13" s="1"/>
  <c r="C7853" i="13" s="1"/>
  <c r="C7852" i="13" s="1"/>
  <c r="C7851" i="13" s="1"/>
  <c r="C7850" i="13" s="1"/>
  <c r="C7849" i="13" s="1"/>
  <c r="C7848" i="13" s="1"/>
  <c r="C7847" i="13" s="1"/>
  <c r="C7846" i="13" s="1"/>
  <c r="C7845" i="13" s="1"/>
  <c r="C7844" i="13" s="1"/>
  <c r="C7843" i="13" s="1"/>
  <c r="C7842" i="13" s="1"/>
  <c r="C7841" i="13" s="1"/>
  <c r="C7840" i="13" s="1"/>
  <c r="C7839" i="13" s="1"/>
  <c r="C7838" i="13" s="1"/>
  <c r="C7837" i="13" s="1"/>
  <c r="C7836" i="13" s="1"/>
  <c r="C7835" i="13" s="1"/>
  <c r="C7834" i="13" s="1"/>
  <c r="C7833" i="13" s="1"/>
  <c r="C7832" i="13" s="1"/>
  <c r="C7831" i="13" s="1"/>
  <c r="C7830" i="13" s="1"/>
  <c r="C7829" i="13" s="1"/>
  <c r="C7828" i="13" s="1"/>
  <c r="C7827" i="13" s="1"/>
  <c r="C7826" i="13" s="1"/>
  <c r="C7825" i="13" s="1"/>
  <c r="C7824" i="13" s="1"/>
  <c r="C7823" i="13" s="1"/>
  <c r="C7822" i="13" s="1"/>
  <c r="C7821" i="13" s="1"/>
  <c r="C7820" i="13" s="1"/>
  <c r="C7819" i="13" s="1"/>
  <c r="C7818" i="13" s="1"/>
  <c r="C7817" i="13" s="1"/>
  <c r="C7816" i="13" s="1"/>
  <c r="C7815" i="13" s="1"/>
  <c r="C7814" i="13" s="1"/>
  <c r="C7813" i="13" s="1"/>
  <c r="C7812" i="13" s="1"/>
  <c r="C7811" i="13" s="1"/>
  <c r="C7810" i="13" s="1"/>
  <c r="C7809" i="13" s="1"/>
  <c r="C7808" i="13" s="1"/>
  <c r="C7807" i="13" s="1"/>
  <c r="C7806" i="13" s="1"/>
  <c r="C7805" i="13" s="1"/>
  <c r="C7804" i="13" s="1"/>
  <c r="C7803" i="13" s="1"/>
  <c r="C7802" i="13" s="1"/>
  <c r="C7801" i="13" s="1"/>
  <c r="C7800" i="13" s="1"/>
  <c r="C7799" i="13" s="1"/>
  <c r="C7798" i="13" s="1"/>
  <c r="C7797" i="13" s="1"/>
  <c r="C7796" i="13" s="1"/>
  <c r="C7795" i="13" s="1"/>
  <c r="C7794" i="13" s="1"/>
  <c r="C7793" i="13" s="1"/>
  <c r="C7792" i="13" s="1"/>
  <c r="C7791" i="13" s="1"/>
  <c r="C7790" i="13" s="1"/>
  <c r="C7789" i="13" s="1"/>
  <c r="C7788" i="13" s="1"/>
  <c r="C7787" i="13" s="1"/>
  <c r="C7786" i="13" s="1"/>
  <c r="C7785" i="13" s="1"/>
  <c r="C7784" i="13" s="1"/>
  <c r="C7783" i="13" s="1"/>
  <c r="C7782" i="13" s="1"/>
  <c r="C7781" i="13" s="1"/>
  <c r="C7780" i="13" s="1"/>
  <c r="C7779" i="13" s="1"/>
  <c r="C7778" i="13" s="1"/>
  <c r="C7777" i="13" s="1"/>
  <c r="C7776" i="13" s="1"/>
  <c r="C7775" i="13" s="1"/>
  <c r="C7774" i="13" s="1"/>
  <c r="C7773" i="13" s="1"/>
  <c r="C7772" i="13" s="1"/>
  <c r="C7771" i="13" s="1"/>
  <c r="C7770" i="13" s="1"/>
  <c r="C7769" i="13" s="1"/>
  <c r="C7768" i="13" s="1"/>
  <c r="C7767" i="13" s="1"/>
  <c r="C7766" i="13" s="1"/>
  <c r="C7765" i="13" s="1"/>
  <c r="C7764" i="13" s="1"/>
  <c r="C7763" i="13" s="1"/>
  <c r="C7762" i="13" s="1"/>
  <c r="C7761" i="13" s="1"/>
  <c r="C7760" i="13" s="1"/>
  <c r="C7759" i="13" s="1"/>
  <c r="C7758" i="13" s="1"/>
  <c r="C7757" i="13" s="1"/>
  <c r="C7756" i="13" s="1"/>
  <c r="C7755" i="13" s="1"/>
  <c r="C7754" i="13" s="1"/>
  <c r="C7753" i="13" s="1"/>
  <c r="C7752" i="13" s="1"/>
  <c r="C7751" i="13" s="1"/>
  <c r="C7750" i="13" s="1"/>
  <c r="C7749" i="13" s="1"/>
  <c r="C7748" i="13" s="1"/>
  <c r="C7747" i="13" s="1"/>
  <c r="C7746" i="13" s="1"/>
  <c r="C7745" i="13" s="1"/>
  <c r="C7744" i="13" s="1"/>
  <c r="C7743" i="13" s="1"/>
  <c r="C7742" i="13" s="1"/>
  <c r="C7741" i="13" s="1"/>
  <c r="C7740" i="13" s="1"/>
  <c r="C7739" i="13" s="1"/>
  <c r="C7738" i="13" s="1"/>
  <c r="C7737" i="13" s="1"/>
  <c r="C7736" i="13" s="1"/>
  <c r="C7735" i="13" s="1"/>
  <c r="C7734" i="13" s="1"/>
  <c r="C7733" i="13" s="1"/>
  <c r="C7732" i="13" s="1"/>
  <c r="C7731" i="13" s="1"/>
  <c r="C7730" i="13" s="1"/>
  <c r="C7729" i="13" s="1"/>
  <c r="C7728" i="13" s="1"/>
  <c r="C7727" i="13" s="1"/>
  <c r="C7726" i="13" s="1"/>
  <c r="C7725" i="13" s="1"/>
  <c r="C7724" i="13" s="1"/>
  <c r="C7723" i="13" s="1"/>
  <c r="C7722" i="13" s="1"/>
  <c r="C7721" i="13" s="1"/>
  <c r="C7720" i="13" s="1"/>
  <c r="C7719" i="13" s="1"/>
  <c r="C7718" i="13" s="1"/>
  <c r="C7717" i="13" s="1"/>
  <c r="C7716" i="13" s="1"/>
  <c r="C7715" i="13" s="1"/>
  <c r="C7714" i="13" s="1"/>
  <c r="C7713" i="13" s="1"/>
  <c r="C7712" i="13" s="1"/>
  <c r="C7711" i="13" s="1"/>
  <c r="C7710" i="13" s="1"/>
  <c r="C7709" i="13" s="1"/>
  <c r="C7708" i="13" s="1"/>
  <c r="C7707" i="13" s="1"/>
  <c r="C7706" i="13" s="1"/>
  <c r="C7705" i="13" s="1"/>
  <c r="C7704" i="13" s="1"/>
  <c r="C7703" i="13" s="1"/>
  <c r="C7702" i="13" s="1"/>
  <c r="C7701" i="13" s="1"/>
  <c r="C7700" i="13" s="1"/>
  <c r="C7699" i="13" s="1"/>
  <c r="C7698" i="13" s="1"/>
  <c r="C7697" i="13" s="1"/>
  <c r="C7696" i="13" s="1"/>
  <c r="C7695" i="13" s="1"/>
  <c r="C7694" i="13" s="1"/>
  <c r="C7693" i="13" s="1"/>
  <c r="C7692" i="13" s="1"/>
  <c r="C7691" i="13" s="1"/>
  <c r="C7690" i="13" s="1"/>
  <c r="C7689" i="13" s="1"/>
  <c r="C7688" i="13" s="1"/>
  <c r="C7687" i="13" s="1"/>
  <c r="C7686" i="13" s="1"/>
  <c r="C7685" i="13" s="1"/>
  <c r="C7684" i="13" s="1"/>
  <c r="C7683" i="13" s="1"/>
  <c r="C7682" i="13" s="1"/>
  <c r="C7681" i="13" s="1"/>
  <c r="C7680" i="13" s="1"/>
  <c r="C7679" i="13" s="1"/>
  <c r="C7678" i="13" s="1"/>
  <c r="C7677" i="13" s="1"/>
  <c r="C7676" i="13" s="1"/>
  <c r="C7675" i="13" s="1"/>
  <c r="C7674" i="13" s="1"/>
  <c r="C7673" i="13" s="1"/>
  <c r="C7672" i="13" s="1"/>
  <c r="C7671" i="13" s="1"/>
  <c r="C7670" i="13" s="1"/>
  <c r="C7669" i="13" s="1"/>
  <c r="C7668" i="13" s="1"/>
  <c r="C7667" i="13" s="1"/>
  <c r="C7666" i="13" s="1"/>
  <c r="C7665" i="13" s="1"/>
  <c r="C7664" i="13" s="1"/>
  <c r="C7663" i="13" s="1"/>
  <c r="C7662" i="13" s="1"/>
  <c r="C7661" i="13" s="1"/>
  <c r="C7660" i="13" s="1"/>
  <c r="C7659" i="13" s="1"/>
  <c r="C7658" i="13" s="1"/>
  <c r="C7657" i="13" s="1"/>
  <c r="C7656" i="13" s="1"/>
  <c r="C7655" i="13" s="1"/>
  <c r="C7654" i="13" s="1"/>
  <c r="C7653" i="13" s="1"/>
  <c r="C7652" i="13" s="1"/>
  <c r="C7651" i="13" s="1"/>
  <c r="C7650" i="13" s="1"/>
  <c r="C7649" i="13" s="1"/>
  <c r="C7648" i="13" s="1"/>
  <c r="C7647" i="13" s="1"/>
  <c r="C7646" i="13" s="1"/>
  <c r="C7645" i="13" s="1"/>
  <c r="C7644" i="13" s="1"/>
  <c r="C7643" i="13" s="1"/>
  <c r="C7642" i="13" s="1"/>
  <c r="C7641" i="13" s="1"/>
  <c r="C7640" i="13" s="1"/>
  <c r="C7639" i="13" s="1"/>
  <c r="C7638" i="13" s="1"/>
  <c r="C7637" i="13" s="1"/>
  <c r="C7636" i="13" s="1"/>
  <c r="C7635" i="13" s="1"/>
  <c r="C7634" i="13" s="1"/>
  <c r="C7633" i="13" s="1"/>
  <c r="C7632" i="13" s="1"/>
  <c r="C7631" i="13" s="1"/>
  <c r="C7630" i="13" s="1"/>
  <c r="C7629" i="13" s="1"/>
  <c r="C7628" i="13" s="1"/>
  <c r="C7627" i="13" s="1"/>
  <c r="C7626" i="13" s="1"/>
  <c r="C7625" i="13" s="1"/>
  <c r="C7624" i="13" s="1"/>
  <c r="C7623" i="13" s="1"/>
  <c r="C7622" i="13" s="1"/>
  <c r="C7621" i="13" s="1"/>
  <c r="C7620" i="13" s="1"/>
  <c r="C7619" i="13" s="1"/>
  <c r="C7618" i="13" s="1"/>
  <c r="C7617" i="13" s="1"/>
  <c r="C7616" i="13" s="1"/>
  <c r="C7615" i="13" s="1"/>
  <c r="C7614" i="13" s="1"/>
  <c r="C7613" i="13" s="1"/>
  <c r="C7612" i="13" s="1"/>
  <c r="C7611" i="13" s="1"/>
  <c r="C7610" i="13" s="1"/>
  <c r="C7609" i="13" s="1"/>
  <c r="C7608" i="13" s="1"/>
  <c r="C7607" i="13" s="1"/>
  <c r="C7606" i="13" s="1"/>
  <c r="C7605" i="13" s="1"/>
  <c r="C7604" i="13" s="1"/>
  <c r="C7603" i="13" s="1"/>
  <c r="C7602" i="13" s="1"/>
  <c r="C7601" i="13" s="1"/>
  <c r="C7600" i="13" s="1"/>
  <c r="C7599" i="13" s="1"/>
  <c r="C7598" i="13" s="1"/>
  <c r="C7597" i="13" s="1"/>
  <c r="C7596" i="13" s="1"/>
  <c r="C7595" i="13" s="1"/>
  <c r="C7594" i="13" s="1"/>
  <c r="C7593" i="13" s="1"/>
  <c r="C7592" i="13" s="1"/>
  <c r="C7591" i="13" s="1"/>
  <c r="C7590" i="13" s="1"/>
  <c r="C7589" i="13" s="1"/>
  <c r="C7588" i="13" s="1"/>
  <c r="C7587" i="13" s="1"/>
  <c r="C7586" i="13" s="1"/>
  <c r="C7585" i="13" s="1"/>
  <c r="C7584" i="13" s="1"/>
  <c r="C7583" i="13" s="1"/>
  <c r="C7582" i="13" s="1"/>
  <c r="C7581" i="13" s="1"/>
  <c r="C7580" i="13" s="1"/>
  <c r="C7579" i="13" s="1"/>
  <c r="C7578" i="13" s="1"/>
  <c r="C7577" i="13" s="1"/>
  <c r="C7576" i="13" s="1"/>
  <c r="C7575" i="13" s="1"/>
  <c r="C7574" i="13" s="1"/>
  <c r="C7573" i="13" s="1"/>
  <c r="C7572" i="13" s="1"/>
  <c r="C7571" i="13" s="1"/>
  <c r="C7570" i="13" s="1"/>
  <c r="C7569" i="13" s="1"/>
  <c r="C7568" i="13" s="1"/>
  <c r="C7567" i="13" s="1"/>
  <c r="C7566" i="13" s="1"/>
  <c r="C7565" i="13" s="1"/>
  <c r="C7564" i="13" s="1"/>
  <c r="C7563" i="13" s="1"/>
  <c r="C7562" i="13" s="1"/>
  <c r="C7561" i="13" s="1"/>
  <c r="C7560" i="13" s="1"/>
  <c r="C7559" i="13" s="1"/>
  <c r="C7558" i="13" s="1"/>
  <c r="C7557" i="13" s="1"/>
  <c r="C7556" i="13" s="1"/>
  <c r="C7555" i="13" s="1"/>
  <c r="C7554" i="13" s="1"/>
  <c r="C7553" i="13" s="1"/>
  <c r="C7552" i="13" s="1"/>
  <c r="C7551" i="13" s="1"/>
  <c r="C7550" i="13" s="1"/>
  <c r="C7549" i="13" s="1"/>
  <c r="C7548" i="13" s="1"/>
  <c r="C7547" i="13" s="1"/>
  <c r="C7546" i="13" s="1"/>
  <c r="C7545" i="13" s="1"/>
  <c r="C7544" i="13" s="1"/>
  <c r="C7543" i="13" s="1"/>
  <c r="C7542" i="13" s="1"/>
  <c r="C7541" i="13" s="1"/>
  <c r="C7540" i="13" s="1"/>
  <c r="C7539" i="13" s="1"/>
  <c r="C7538" i="13" s="1"/>
  <c r="C7537" i="13" s="1"/>
  <c r="C7536" i="13" s="1"/>
  <c r="C7535" i="13" s="1"/>
  <c r="C7534" i="13" s="1"/>
  <c r="C7533" i="13" s="1"/>
  <c r="C7532" i="13" s="1"/>
  <c r="C7531" i="13" s="1"/>
  <c r="C7530" i="13" s="1"/>
  <c r="C7529" i="13" s="1"/>
  <c r="C7528" i="13" s="1"/>
  <c r="C7527" i="13" s="1"/>
  <c r="C7526" i="13" s="1"/>
  <c r="C7525" i="13" s="1"/>
  <c r="C7524" i="13" s="1"/>
  <c r="C7523" i="13" s="1"/>
  <c r="C7522" i="13" s="1"/>
  <c r="C7521" i="13" s="1"/>
  <c r="C7520" i="13" s="1"/>
  <c r="C7519" i="13" s="1"/>
  <c r="C7518" i="13" s="1"/>
  <c r="C7517" i="13" s="1"/>
  <c r="C7516" i="13" s="1"/>
  <c r="C7515" i="13" s="1"/>
  <c r="C7514" i="13" s="1"/>
  <c r="C7513" i="13" s="1"/>
  <c r="C7512" i="13" s="1"/>
  <c r="C7511" i="13" s="1"/>
  <c r="C7510" i="13" s="1"/>
  <c r="C7509" i="13" s="1"/>
  <c r="C7508" i="13" s="1"/>
  <c r="C7507" i="13" s="1"/>
  <c r="C7506" i="13" s="1"/>
  <c r="C7505" i="13" s="1"/>
  <c r="C7504" i="13" s="1"/>
  <c r="C7503" i="13" s="1"/>
  <c r="C7502" i="13" s="1"/>
  <c r="C7501" i="13" s="1"/>
  <c r="C7500" i="13" s="1"/>
  <c r="C7499" i="13" s="1"/>
  <c r="C7498" i="13" s="1"/>
  <c r="C7497" i="13" s="1"/>
  <c r="C7496" i="13" s="1"/>
  <c r="C7495" i="13" s="1"/>
  <c r="C7494" i="13" s="1"/>
  <c r="C7493" i="13" s="1"/>
  <c r="C7492" i="13" s="1"/>
  <c r="C7491" i="13" s="1"/>
  <c r="C7490" i="13" s="1"/>
  <c r="C7489" i="13" s="1"/>
  <c r="C7488" i="13" s="1"/>
  <c r="C7487" i="13" s="1"/>
  <c r="C7486" i="13" s="1"/>
  <c r="C7485" i="13" s="1"/>
  <c r="C7484" i="13" s="1"/>
  <c r="C7483" i="13" s="1"/>
  <c r="C7482" i="13" s="1"/>
  <c r="C7481" i="13" s="1"/>
  <c r="C7480" i="13" s="1"/>
  <c r="C7479" i="13" s="1"/>
  <c r="C7478" i="13" s="1"/>
  <c r="C7477" i="13" s="1"/>
  <c r="C7476" i="13" s="1"/>
  <c r="C7475" i="13" s="1"/>
  <c r="C7474" i="13" s="1"/>
  <c r="C7473" i="13" s="1"/>
  <c r="C7472" i="13" s="1"/>
  <c r="C7471" i="13" s="1"/>
  <c r="C7470" i="13" s="1"/>
  <c r="C7469" i="13" s="1"/>
  <c r="C7468" i="13" s="1"/>
  <c r="C7467" i="13" s="1"/>
  <c r="C7466" i="13" s="1"/>
  <c r="C7465" i="13" s="1"/>
  <c r="C7464" i="13" s="1"/>
  <c r="C7463" i="13" s="1"/>
  <c r="C7462" i="13" s="1"/>
  <c r="C7461" i="13" s="1"/>
  <c r="C7460" i="13" s="1"/>
  <c r="C7459" i="13" s="1"/>
  <c r="C7458" i="13" s="1"/>
  <c r="C7457" i="13" s="1"/>
  <c r="C7456" i="13" s="1"/>
  <c r="C7455" i="13" s="1"/>
  <c r="C7454" i="13" s="1"/>
  <c r="C7453" i="13" s="1"/>
  <c r="C7452" i="13" s="1"/>
  <c r="C7451" i="13" s="1"/>
  <c r="C7450" i="13" s="1"/>
  <c r="C7449" i="13" s="1"/>
  <c r="C7448" i="13" s="1"/>
  <c r="C7447" i="13" s="1"/>
  <c r="C7446" i="13" s="1"/>
  <c r="C7445" i="13" s="1"/>
  <c r="C7444" i="13" s="1"/>
  <c r="C7443" i="13" s="1"/>
  <c r="C7442" i="13" s="1"/>
  <c r="C7441" i="13" s="1"/>
  <c r="C7440" i="13" s="1"/>
  <c r="C7439" i="13" s="1"/>
  <c r="C7438" i="13" s="1"/>
  <c r="C7437" i="13" s="1"/>
  <c r="C7436" i="13" s="1"/>
  <c r="C7435" i="13" s="1"/>
  <c r="C7434" i="13" s="1"/>
  <c r="C7433" i="13" s="1"/>
  <c r="C7432" i="13" s="1"/>
  <c r="C7431" i="13" s="1"/>
  <c r="C7430" i="13" s="1"/>
  <c r="C7429" i="13" s="1"/>
  <c r="C7428" i="13" s="1"/>
  <c r="C7427" i="13" s="1"/>
  <c r="C7426" i="13" s="1"/>
  <c r="C7425" i="13" s="1"/>
  <c r="C7424" i="13" s="1"/>
  <c r="C7423" i="13" s="1"/>
  <c r="C7422" i="13" s="1"/>
  <c r="C7421" i="13" s="1"/>
  <c r="C7420" i="13" s="1"/>
  <c r="C7419" i="13" s="1"/>
  <c r="C7418" i="13" s="1"/>
  <c r="C7417" i="13" s="1"/>
  <c r="C7416" i="13" s="1"/>
  <c r="C7415" i="13" s="1"/>
  <c r="C7414" i="13" s="1"/>
  <c r="C7413" i="13" s="1"/>
  <c r="C7412" i="13" s="1"/>
  <c r="C7411" i="13" s="1"/>
  <c r="C7410" i="13" s="1"/>
  <c r="C7409" i="13" s="1"/>
  <c r="C7408" i="13" s="1"/>
  <c r="C7407" i="13" s="1"/>
  <c r="C7406" i="13" s="1"/>
  <c r="C7405" i="13" s="1"/>
  <c r="C7404" i="13" s="1"/>
  <c r="C7403" i="13" s="1"/>
  <c r="C7402" i="13" s="1"/>
  <c r="C7401" i="13" s="1"/>
  <c r="C7400" i="13" s="1"/>
  <c r="C7399" i="13" s="1"/>
  <c r="C7398" i="13" s="1"/>
  <c r="C7397" i="13" s="1"/>
  <c r="C7396" i="13" s="1"/>
  <c r="C7395" i="13" s="1"/>
  <c r="C7394" i="13" s="1"/>
  <c r="C7393" i="13" s="1"/>
  <c r="C7392" i="13" s="1"/>
  <c r="C7391" i="13" s="1"/>
  <c r="C7390" i="13" s="1"/>
  <c r="C7389" i="13" s="1"/>
  <c r="C7388" i="13" s="1"/>
  <c r="C7387" i="13" s="1"/>
  <c r="C7386" i="13" s="1"/>
  <c r="C7385" i="13" s="1"/>
  <c r="C7384" i="13" s="1"/>
  <c r="C7383" i="13" s="1"/>
  <c r="C7382" i="13" s="1"/>
  <c r="C7381" i="13" s="1"/>
  <c r="C7380" i="13" s="1"/>
  <c r="C7379" i="13" s="1"/>
  <c r="C7378" i="13" s="1"/>
  <c r="C7377" i="13" s="1"/>
  <c r="C7376" i="13" s="1"/>
  <c r="C7375" i="13" s="1"/>
  <c r="C7374" i="13" s="1"/>
  <c r="C7373" i="13" s="1"/>
  <c r="C7372" i="13" s="1"/>
  <c r="C7371" i="13" s="1"/>
  <c r="C7370" i="13" s="1"/>
  <c r="C7369" i="13" s="1"/>
  <c r="C7368" i="13" s="1"/>
  <c r="C7367" i="13" s="1"/>
  <c r="C7366" i="13" s="1"/>
  <c r="C7365" i="13" s="1"/>
  <c r="C7364" i="13" s="1"/>
  <c r="C7363" i="13" s="1"/>
  <c r="C7362" i="13" s="1"/>
  <c r="C7361" i="13" s="1"/>
  <c r="C7360" i="13" s="1"/>
  <c r="C7359" i="13" s="1"/>
  <c r="C7358" i="13" s="1"/>
  <c r="C7357" i="13" s="1"/>
  <c r="C7356" i="13" s="1"/>
  <c r="C7355" i="13" s="1"/>
  <c r="C7354" i="13" s="1"/>
  <c r="C7353" i="13" s="1"/>
  <c r="C7352" i="13" s="1"/>
  <c r="C7351" i="13" s="1"/>
  <c r="C7350" i="13" s="1"/>
  <c r="C7349" i="13" s="1"/>
  <c r="C7348" i="13" s="1"/>
  <c r="C7347" i="13" s="1"/>
  <c r="C7346" i="13" s="1"/>
  <c r="C7345" i="13" s="1"/>
  <c r="C7344" i="13" s="1"/>
  <c r="C7343" i="13" s="1"/>
  <c r="C7342" i="13" s="1"/>
  <c r="C7341" i="13" s="1"/>
  <c r="C7340" i="13" s="1"/>
  <c r="C7339" i="13" s="1"/>
  <c r="C7338" i="13" s="1"/>
  <c r="C7337" i="13" s="1"/>
  <c r="C7336" i="13" s="1"/>
  <c r="C7335" i="13" s="1"/>
  <c r="C7334" i="13" s="1"/>
  <c r="C7333" i="13" s="1"/>
  <c r="C7332" i="13" s="1"/>
  <c r="C7331" i="13" s="1"/>
  <c r="C7330" i="13" s="1"/>
  <c r="C7329" i="13" s="1"/>
  <c r="C7328" i="13" s="1"/>
  <c r="C7327" i="13" s="1"/>
  <c r="C7326" i="13" s="1"/>
  <c r="C7325" i="13" s="1"/>
  <c r="C7324" i="13" s="1"/>
  <c r="C7323" i="13" s="1"/>
  <c r="C7322" i="13" s="1"/>
  <c r="C7321" i="13" s="1"/>
  <c r="C7320" i="13" s="1"/>
  <c r="C7319" i="13" s="1"/>
  <c r="C7318" i="13" s="1"/>
  <c r="C7317" i="13" s="1"/>
  <c r="C7316" i="13" s="1"/>
  <c r="C7315" i="13" s="1"/>
  <c r="C7314" i="13" s="1"/>
  <c r="C7313" i="13" s="1"/>
  <c r="C7312" i="13" s="1"/>
  <c r="C7311" i="13" s="1"/>
  <c r="C7310" i="13" s="1"/>
  <c r="C7309" i="13" s="1"/>
  <c r="C7308" i="13" s="1"/>
  <c r="C7307" i="13" s="1"/>
  <c r="C7306" i="13" s="1"/>
  <c r="C7305" i="13" s="1"/>
  <c r="C7304" i="13" s="1"/>
  <c r="C7303" i="13" s="1"/>
  <c r="C7302" i="13" s="1"/>
  <c r="C7301" i="13" s="1"/>
  <c r="C7300" i="13" s="1"/>
  <c r="C7299" i="13" s="1"/>
  <c r="C7298" i="13" s="1"/>
  <c r="C7297" i="13" s="1"/>
  <c r="C7296" i="13" s="1"/>
  <c r="C7295" i="13" s="1"/>
  <c r="C7294" i="13" s="1"/>
  <c r="C7293" i="13" s="1"/>
  <c r="C7292" i="13" s="1"/>
  <c r="C7291" i="13" s="1"/>
  <c r="C7290" i="13" s="1"/>
  <c r="C7289" i="13" s="1"/>
  <c r="C7288" i="13" s="1"/>
  <c r="C7287" i="13" s="1"/>
  <c r="C7286" i="13" s="1"/>
  <c r="C7285" i="13" s="1"/>
  <c r="C7284" i="13" s="1"/>
  <c r="C7283" i="13" s="1"/>
  <c r="C7282" i="13" s="1"/>
  <c r="C7281" i="13" s="1"/>
  <c r="C7280" i="13" s="1"/>
  <c r="C7279" i="13" s="1"/>
  <c r="C7278" i="13" s="1"/>
  <c r="C7277" i="13" s="1"/>
  <c r="C7276" i="13" s="1"/>
  <c r="C7275" i="13" s="1"/>
  <c r="C7274" i="13" s="1"/>
  <c r="C7273" i="13" s="1"/>
  <c r="C7272" i="13" s="1"/>
  <c r="C7271" i="13" s="1"/>
  <c r="C7270" i="13" s="1"/>
  <c r="C7269" i="13" s="1"/>
  <c r="C7268" i="13" s="1"/>
  <c r="C7267" i="13" s="1"/>
  <c r="C7266" i="13" s="1"/>
  <c r="C7265" i="13" s="1"/>
  <c r="C7264" i="13" s="1"/>
  <c r="C7263" i="13" s="1"/>
  <c r="C7262" i="13" s="1"/>
  <c r="C7261" i="13" s="1"/>
  <c r="C7260" i="13" s="1"/>
  <c r="C7259" i="13" s="1"/>
  <c r="C7258" i="13" s="1"/>
  <c r="C7257" i="13" s="1"/>
  <c r="C7256" i="13" s="1"/>
  <c r="C7255" i="13" s="1"/>
  <c r="C7254" i="13" s="1"/>
  <c r="C7253" i="13" s="1"/>
  <c r="C7252" i="13" s="1"/>
  <c r="C7251" i="13" s="1"/>
  <c r="C7250" i="13" s="1"/>
  <c r="C7249" i="13" s="1"/>
  <c r="C7248" i="13" s="1"/>
  <c r="C7247" i="13" s="1"/>
  <c r="C7246" i="13" s="1"/>
  <c r="C7245" i="13" s="1"/>
  <c r="C7244" i="13" s="1"/>
  <c r="C7243" i="13" s="1"/>
  <c r="C7242" i="13" s="1"/>
  <c r="C7241" i="13" s="1"/>
  <c r="C7240" i="13" s="1"/>
  <c r="C7239" i="13" s="1"/>
  <c r="C7238" i="13" s="1"/>
  <c r="C7237" i="13" s="1"/>
  <c r="C7236" i="13" s="1"/>
  <c r="C7235" i="13" s="1"/>
  <c r="C7234" i="13" s="1"/>
  <c r="C7233" i="13" s="1"/>
  <c r="C7232" i="13" s="1"/>
  <c r="C7231" i="13" s="1"/>
  <c r="C7230" i="13" s="1"/>
  <c r="C7229" i="13" s="1"/>
  <c r="C7228" i="13" s="1"/>
  <c r="C7227" i="13" s="1"/>
  <c r="C7226" i="13" s="1"/>
  <c r="C7225" i="13" s="1"/>
  <c r="C7224" i="13" s="1"/>
  <c r="C7223" i="13" s="1"/>
  <c r="C7222" i="13" s="1"/>
  <c r="C7221" i="13" s="1"/>
  <c r="C7220" i="13" s="1"/>
  <c r="C7219" i="13" s="1"/>
  <c r="C7218" i="13" s="1"/>
  <c r="C7217" i="13" s="1"/>
  <c r="C7216" i="13" s="1"/>
  <c r="C7215" i="13" s="1"/>
  <c r="C7214" i="13" s="1"/>
  <c r="C7213" i="13" s="1"/>
  <c r="C7212" i="13" s="1"/>
  <c r="C7211" i="13" s="1"/>
  <c r="C7210" i="13" s="1"/>
  <c r="C7209" i="13" s="1"/>
  <c r="C7208" i="13" s="1"/>
  <c r="C7207" i="13" s="1"/>
  <c r="C7206" i="13" s="1"/>
  <c r="C7205" i="13" s="1"/>
  <c r="C7204" i="13" s="1"/>
  <c r="C7203" i="13" s="1"/>
  <c r="C7202" i="13" s="1"/>
  <c r="C7201" i="13" s="1"/>
  <c r="C7200" i="13" s="1"/>
  <c r="C7199" i="13" s="1"/>
  <c r="C7198" i="13" s="1"/>
  <c r="C7197" i="13" s="1"/>
  <c r="C7196" i="13" s="1"/>
  <c r="C7195" i="13" s="1"/>
  <c r="C7194" i="13" s="1"/>
  <c r="C7193" i="13" s="1"/>
  <c r="C7192" i="13" s="1"/>
  <c r="C7191" i="13" s="1"/>
  <c r="C7190" i="13" s="1"/>
  <c r="C7189" i="13" s="1"/>
  <c r="C7188" i="13" s="1"/>
  <c r="C7187" i="13" s="1"/>
  <c r="C7186" i="13" s="1"/>
  <c r="C7185" i="13" s="1"/>
  <c r="C7184" i="13" s="1"/>
  <c r="C7183" i="13" s="1"/>
  <c r="C7182" i="13" s="1"/>
  <c r="C7181" i="13" s="1"/>
  <c r="C7180" i="13" s="1"/>
  <c r="C7179" i="13" s="1"/>
  <c r="C7178" i="13" s="1"/>
  <c r="C7177" i="13" s="1"/>
  <c r="C7176" i="13" s="1"/>
  <c r="C7175" i="13" s="1"/>
  <c r="C7174" i="13" s="1"/>
  <c r="C7173" i="13" s="1"/>
  <c r="C7172" i="13" s="1"/>
  <c r="C7171" i="13" s="1"/>
  <c r="C7170" i="13" s="1"/>
  <c r="C7169" i="13" s="1"/>
  <c r="C7168" i="13" s="1"/>
  <c r="C7167" i="13" s="1"/>
  <c r="C7166" i="13" s="1"/>
  <c r="C7165" i="13" s="1"/>
  <c r="C7164" i="13" s="1"/>
  <c r="C7163" i="13" s="1"/>
  <c r="C7162" i="13" s="1"/>
  <c r="C7161" i="13" s="1"/>
  <c r="C7160" i="13" s="1"/>
  <c r="C7159" i="13" s="1"/>
  <c r="C7158" i="13" s="1"/>
  <c r="C7157" i="13" s="1"/>
  <c r="C7156" i="13" s="1"/>
  <c r="C7155" i="13" s="1"/>
  <c r="C7154" i="13" s="1"/>
  <c r="C7153" i="13" s="1"/>
  <c r="C7152" i="13" s="1"/>
  <c r="C7151" i="13" s="1"/>
  <c r="C7150" i="13" s="1"/>
  <c r="C7149" i="13" s="1"/>
  <c r="C7148" i="13" s="1"/>
  <c r="C7147" i="13" s="1"/>
  <c r="C7146" i="13" s="1"/>
  <c r="C7145" i="13" s="1"/>
  <c r="C7144" i="13" s="1"/>
  <c r="C7143" i="13" s="1"/>
  <c r="C7142" i="13" s="1"/>
  <c r="C7141" i="13" s="1"/>
  <c r="C7140" i="13" s="1"/>
  <c r="C7139" i="13" s="1"/>
  <c r="C7138" i="13" s="1"/>
  <c r="C7137" i="13" s="1"/>
  <c r="C7136" i="13" s="1"/>
  <c r="C7135" i="13" s="1"/>
  <c r="C7134" i="13" s="1"/>
  <c r="C7133" i="13" s="1"/>
  <c r="C7132" i="13" s="1"/>
  <c r="C7131" i="13" s="1"/>
  <c r="C7130" i="13" s="1"/>
  <c r="C7129" i="13" s="1"/>
  <c r="C7128" i="13" s="1"/>
  <c r="C7127" i="13" s="1"/>
  <c r="C7126" i="13" s="1"/>
  <c r="C7125" i="13" s="1"/>
  <c r="C7124" i="13" s="1"/>
  <c r="C7123" i="13" s="1"/>
  <c r="C7122" i="13" s="1"/>
  <c r="C7121" i="13" s="1"/>
  <c r="C7120" i="13" s="1"/>
  <c r="C7119" i="13" s="1"/>
  <c r="C7118" i="13" s="1"/>
  <c r="C7117" i="13" s="1"/>
  <c r="C7116" i="13" s="1"/>
  <c r="C7115" i="13" s="1"/>
  <c r="C7114" i="13" s="1"/>
  <c r="C7113" i="13" s="1"/>
  <c r="C7112" i="13" s="1"/>
  <c r="C7111" i="13" s="1"/>
  <c r="C7110" i="13" s="1"/>
  <c r="C7109" i="13" s="1"/>
  <c r="C7108" i="13" s="1"/>
  <c r="C7107" i="13" s="1"/>
  <c r="C7106" i="13" s="1"/>
  <c r="C7105" i="13" s="1"/>
  <c r="C7104" i="13" s="1"/>
  <c r="C7103" i="13" s="1"/>
  <c r="C7102" i="13" s="1"/>
  <c r="C7101" i="13" s="1"/>
  <c r="C7100" i="13" s="1"/>
  <c r="C7099" i="13" s="1"/>
  <c r="C7098" i="13" s="1"/>
  <c r="C7097" i="13" s="1"/>
  <c r="C7096" i="13" s="1"/>
  <c r="C7095" i="13" s="1"/>
  <c r="C7094" i="13" s="1"/>
  <c r="C7093" i="13" s="1"/>
  <c r="C7092" i="13" s="1"/>
  <c r="C7091" i="13" s="1"/>
  <c r="C7090" i="13" s="1"/>
  <c r="C7089" i="13" s="1"/>
  <c r="C7088" i="13" s="1"/>
  <c r="C7087" i="13" s="1"/>
  <c r="C7086" i="13" s="1"/>
  <c r="C7085" i="13" s="1"/>
  <c r="C7084" i="13" s="1"/>
  <c r="C7083" i="13" s="1"/>
  <c r="C7082" i="13" s="1"/>
  <c r="C7081" i="13" s="1"/>
  <c r="C7080" i="13" s="1"/>
  <c r="C7079" i="13" s="1"/>
  <c r="C7078" i="13" s="1"/>
  <c r="C7077" i="13" s="1"/>
  <c r="C7076" i="13" s="1"/>
  <c r="C7075" i="13" s="1"/>
  <c r="C7074" i="13" s="1"/>
  <c r="C7073" i="13" s="1"/>
  <c r="C7072" i="13" s="1"/>
  <c r="C7071" i="13" s="1"/>
  <c r="C7070" i="13" s="1"/>
  <c r="C7069" i="13" s="1"/>
  <c r="C7068" i="13" s="1"/>
  <c r="C7067" i="13" s="1"/>
  <c r="C7066" i="13" s="1"/>
  <c r="C7065" i="13" s="1"/>
  <c r="C7064" i="13" s="1"/>
  <c r="C7063" i="13" s="1"/>
  <c r="C7062" i="13" s="1"/>
  <c r="C7061" i="13" s="1"/>
  <c r="C7060" i="13" s="1"/>
  <c r="C7059" i="13" s="1"/>
  <c r="C7058" i="13" s="1"/>
  <c r="C7057" i="13" s="1"/>
  <c r="C7056" i="13" s="1"/>
  <c r="C7055" i="13" s="1"/>
  <c r="C7054" i="13" s="1"/>
  <c r="C7053" i="13" s="1"/>
  <c r="C7052" i="13" s="1"/>
  <c r="C7051" i="13" s="1"/>
  <c r="C7050" i="13" s="1"/>
  <c r="C7049" i="13" s="1"/>
  <c r="C7048" i="13" s="1"/>
  <c r="C7047" i="13" s="1"/>
  <c r="C7046" i="13" s="1"/>
  <c r="C7045" i="13" s="1"/>
  <c r="C7044" i="13" s="1"/>
  <c r="C7043" i="13" s="1"/>
  <c r="C7042" i="13" s="1"/>
  <c r="C7041" i="13" s="1"/>
  <c r="C7040" i="13" s="1"/>
  <c r="C7039" i="13" s="1"/>
  <c r="C7038" i="13" s="1"/>
  <c r="C7037" i="13" s="1"/>
  <c r="C7036" i="13" s="1"/>
  <c r="C7035" i="13" s="1"/>
  <c r="C7034" i="13" s="1"/>
  <c r="C7033" i="13" s="1"/>
  <c r="C7032" i="13" s="1"/>
  <c r="C7031" i="13" s="1"/>
  <c r="C7030" i="13" s="1"/>
  <c r="C7029" i="13" s="1"/>
  <c r="C7028" i="13" s="1"/>
  <c r="C7027" i="13" s="1"/>
  <c r="C7026" i="13" s="1"/>
  <c r="C7025" i="13" s="1"/>
  <c r="C7024" i="13" s="1"/>
  <c r="C7023" i="13" s="1"/>
  <c r="C7022" i="13" s="1"/>
  <c r="C7021" i="13" s="1"/>
  <c r="C7020" i="13" s="1"/>
  <c r="C7019" i="13" s="1"/>
  <c r="C7018" i="13" s="1"/>
  <c r="C7017" i="13" s="1"/>
  <c r="C7016" i="13" s="1"/>
  <c r="C7015" i="13" s="1"/>
  <c r="C7014" i="13" s="1"/>
  <c r="C7013" i="13" s="1"/>
  <c r="C7012" i="13" s="1"/>
  <c r="C7011" i="13" s="1"/>
  <c r="C7010" i="13" s="1"/>
  <c r="C7009" i="13" s="1"/>
  <c r="C7008" i="13" s="1"/>
  <c r="C7007" i="13" s="1"/>
  <c r="C7006" i="13" s="1"/>
  <c r="C7005" i="13" s="1"/>
  <c r="C7004" i="13" s="1"/>
  <c r="C7003" i="13" s="1"/>
  <c r="C7002" i="13" s="1"/>
  <c r="C7001" i="13" s="1"/>
  <c r="C7000" i="13" s="1"/>
  <c r="C6999" i="13" s="1"/>
  <c r="C6998" i="13" s="1"/>
  <c r="C6997" i="13" s="1"/>
  <c r="C6996" i="13" s="1"/>
  <c r="C6995" i="13" s="1"/>
  <c r="C6994" i="13" s="1"/>
  <c r="C6993" i="13" s="1"/>
  <c r="C6992" i="13" s="1"/>
  <c r="C6991" i="13" s="1"/>
  <c r="C6990" i="13" s="1"/>
  <c r="C6989" i="13" s="1"/>
  <c r="C6988" i="13" s="1"/>
  <c r="C6987" i="13" s="1"/>
  <c r="C6986" i="13" s="1"/>
  <c r="C6985" i="13" s="1"/>
  <c r="C6984" i="13" s="1"/>
  <c r="C6983" i="13" s="1"/>
  <c r="C6982" i="13" s="1"/>
  <c r="C6981" i="13" s="1"/>
  <c r="C6980" i="13" s="1"/>
  <c r="C6979" i="13" s="1"/>
  <c r="C6978" i="13" s="1"/>
  <c r="C6977" i="13" s="1"/>
  <c r="C6976" i="13" s="1"/>
  <c r="C6975" i="13" s="1"/>
  <c r="C6974" i="13" s="1"/>
  <c r="C6973" i="13" s="1"/>
  <c r="C6972" i="13" s="1"/>
  <c r="C6971" i="13" s="1"/>
  <c r="C6970" i="13" s="1"/>
  <c r="C6969" i="13" s="1"/>
  <c r="C6968" i="13" s="1"/>
  <c r="C6967" i="13" s="1"/>
  <c r="C6966" i="13" s="1"/>
  <c r="C6965" i="13" s="1"/>
  <c r="C6964" i="13" s="1"/>
  <c r="C6963" i="13" s="1"/>
  <c r="C6962" i="13" s="1"/>
  <c r="C6961" i="13" s="1"/>
  <c r="C6960" i="13" s="1"/>
  <c r="C6959" i="13" s="1"/>
  <c r="C6958" i="13" s="1"/>
  <c r="C6957" i="13" s="1"/>
  <c r="C6956" i="13" s="1"/>
  <c r="C6955" i="13" s="1"/>
  <c r="C6954" i="13" s="1"/>
  <c r="C6953" i="13" s="1"/>
  <c r="C6952" i="13" s="1"/>
  <c r="C6951" i="13" s="1"/>
  <c r="C6950" i="13" s="1"/>
  <c r="C6949" i="13" s="1"/>
  <c r="C6948" i="13" s="1"/>
  <c r="C6947" i="13" s="1"/>
  <c r="C6946" i="13" s="1"/>
  <c r="C6945" i="13" s="1"/>
  <c r="C6944" i="13" s="1"/>
  <c r="C6943" i="13" s="1"/>
  <c r="C6942" i="13" s="1"/>
  <c r="C6941" i="13" s="1"/>
  <c r="C6940" i="13" s="1"/>
  <c r="C6939" i="13" s="1"/>
  <c r="C6938" i="13" s="1"/>
  <c r="C6937" i="13" s="1"/>
  <c r="C6936" i="13" s="1"/>
  <c r="C6935" i="13" s="1"/>
  <c r="C6934" i="13" s="1"/>
  <c r="C6933" i="13" s="1"/>
  <c r="C6932" i="13" s="1"/>
  <c r="C6931" i="13" s="1"/>
  <c r="C6930" i="13" s="1"/>
  <c r="C6929" i="13" s="1"/>
  <c r="C6928" i="13" s="1"/>
  <c r="C6927" i="13" s="1"/>
  <c r="C6926" i="13" s="1"/>
  <c r="C6925" i="13" s="1"/>
  <c r="C6924" i="13" s="1"/>
  <c r="C6923" i="13" s="1"/>
  <c r="C6922" i="13" s="1"/>
  <c r="C6921" i="13" s="1"/>
  <c r="C6920" i="13" s="1"/>
  <c r="C6919" i="13" s="1"/>
  <c r="C6918" i="13" s="1"/>
  <c r="C6917" i="13" s="1"/>
  <c r="C6916" i="13" s="1"/>
  <c r="C6915" i="13" s="1"/>
  <c r="C6914" i="13" s="1"/>
  <c r="C6913" i="13" s="1"/>
  <c r="C6912" i="13" s="1"/>
  <c r="C6911" i="13" s="1"/>
  <c r="C6910" i="13" s="1"/>
  <c r="C6909" i="13" s="1"/>
  <c r="C6908" i="13" s="1"/>
  <c r="C6907" i="13" s="1"/>
  <c r="C6906" i="13" s="1"/>
  <c r="C6905" i="13" s="1"/>
  <c r="C6904" i="13" s="1"/>
  <c r="C6903" i="13" s="1"/>
  <c r="C6902" i="13" s="1"/>
  <c r="C6901" i="13" s="1"/>
  <c r="C6900" i="13" s="1"/>
  <c r="C6899" i="13" s="1"/>
  <c r="C6898" i="13" s="1"/>
  <c r="C6897" i="13" s="1"/>
  <c r="C6896" i="13" s="1"/>
  <c r="C6895" i="13" s="1"/>
  <c r="C6894" i="13" s="1"/>
  <c r="C6893" i="13" s="1"/>
  <c r="C6892" i="13" s="1"/>
  <c r="C6891" i="13" s="1"/>
  <c r="C6890" i="13" s="1"/>
  <c r="C6889" i="13" s="1"/>
  <c r="C6888" i="13" s="1"/>
  <c r="C6887" i="13" s="1"/>
  <c r="C6886" i="13" s="1"/>
  <c r="C6885" i="13" s="1"/>
  <c r="C6884" i="13" s="1"/>
  <c r="C6883" i="13" s="1"/>
  <c r="C6882" i="13" s="1"/>
  <c r="C6881" i="13" s="1"/>
  <c r="C6880" i="13" s="1"/>
  <c r="C6879" i="13" s="1"/>
  <c r="C6878" i="13" s="1"/>
  <c r="C6877" i="13" s="1"/>
  <c r="C6876" i="13" s="1"/>
  <c r="C6875" i="13" s="1"/>
  <c r="C6874" i="13" s="1"/>
  <c r="C6873" i="13" s="1"/>
  <c r="C6872" i="13" s="1"/>
  <c r="C6871" i="13" s="1"/>
  <c r="C6870" i="13" s="1"/>
  <c r="C6869" i="13" s="1"/>
  <c r="C6868" i="13" s="1"/>
  <c r="C6867" i="13" s="1"/>
  <c r="C6866" i="13" s="1"/>
  <c r="C6865" i="13" s="1"/>
  <c r="C6864" i="13" s="1"/>
  <c r="C6863" i="13" s="1"/>
  <c r="C6862" i="13" s="1"/>
  <c r="C6861" i="13" s="1"/>
  <c r="C6860" i="13" s="1"/>
  <c r="C6859" i="13" s="1"/>
  <c r="C6858" i="13" s="1"/>
  <c r="C6857" i="13" s="1"/>
  <c r="C6856" i="13" s="1"/>
  <c r="C6855" i="13" s="1"/>
  <c r="C6854" i="13" s="1"/>
  <c r="C6853" i="13" s="1"/>
  <c r="C6852" i="13" s="1"/>
  <c r="C6851" i="13" s="1"/>
  <c r="C6850" i="13" s="1"/>
  <c r="C6849" i="13" s="1"/>
  <c r="C6848" i="13" s="1"/>
  <c r="C6847" i="13" s="1"/>
  <c r="C6846" i="13" s="1"/>
  <c r="C6845" i="13" s="1"/>
  <c r="C6844" i="13" s="1"/>
  <c r="C6843" i="13" s="1"/>
  <c r="C6842" i="13" s="1"/>
  <c r="C6841" i="13" s="1"/>
  <c r="C6840" i="13" s="1"/>
  <c r="C6839" i="13" s="1"/>
  <c r="C6838" i="13" s="1"/>
  <c r="C6837" i="13" s="1"/>
  <c r="C6836" i="13" s="1"/>
  <c r="C6835" i="13" s="1"/>
  <c r="C6834" i="13" s="1"/>
  <c r="C6833" i="13" s="1"/>
  <c r="C6832" i="13" s="1"/>
  <c r="C6831" i="13" s="1"/>
  <c r="C6830" i="13" s="1"/>
  <c r="C6829" i="13" s="1"/>
  <c r="C6828" i="13" s="1"/>
  <c r="C6827" i="13" s="1"/>
  <c r="C6826" i="13" s="1"/>
  <c r="C6825" i="13" s="1"/>
  <c r="C6824" i="13" s="1"/>
  <c r="C6823" i="13" s="1"/>
  <c r="C6822" i="13" s="1"/>
  <c r="C6821" i="13" s="1"/>
  <c r="C6820" i="13" s="1"/>
  <c r="C6819" i="13" s="1"/>
  <c r="C6818" i="13" s="1"/>
  <c r="C6817" i="13" s="1"/>
  <c r="C6816" i="13" s="1"/>
  <c r="C6815" i="13" s="1"/>
  <c r="C6814" i="13" s="1"/>
  <c r="C6813" i="13" s="1"/>
  <c r="C6812" i="13" s="1"/>
  <c r="C6811" i="13" s="1"/>
  <c r="C6810" i="13" s="1"/>
  <c r="C6809" i="13" s="1"/>
  <c r="C6808" i="13" s="1"/>
  <c r="C6807" i="13" s="1"/>
  <c r="C6806" i="13" s="1"/>
  <c r="C6805" i="13" s="1"/>
  <c r="C6804" i="13" s="1"/>
  <c r="C6803" i="13" s="1"/>
  <c r="C6802" i="13" s="1"/>
  <c r="C6801" i="13" s="1"/>
  <c r="C6800" i="13" s="1"/>
  <c r="C6799" i="13" s="1"/>
  <c r="C6798" i="13" s="1"/>
  <c r="C6797" i="13" s="1"/>
  <c r="C6796" i="13" s="1"/>
  <c r="C6795" i="13" s="1"/>
  <c r="C6794" i="13" s="1"/>
  <c r="C6793" i="13" s="1"/>
  <c r="C6792" i="13" s="1"/>
  <c r="C6791" i="13" s="1"/>
  <c r="C6790" i="13" s="1"/>
  <c r="C6789" i="13" s="1"/>
  <c r="C6788" i="13" s="1"/>
  <c r="C6787" i="13" s="1"/>
  <c r="C6786" i="13" s="1"/>
  <c r="C6785" i="13" s="1"/>
  <c r="C6784" i="13" s="1"/>
  <c r="C6783" i="13" s="1"/>
  <c r="C6782" i="13" s="1"/>
  <c r="C6781" i="13" s="1"/>
  <c r="C6780" i="13" s="1"/>
  <c r="C6779" i="13" s="1"/>
  <c r="C6778" i="13" s="1"/>
  <c r="C6777" i="13" s="1"/>
  <c r="C6776" i="13" s="1"/>
  <c r="C6775" i="13" s="1"/>
  <c r="C6774" i="13" s="1"/>
  <c r="C6773" i="13" s="1"/>
  <c r="C6772" i="13" s="1"/>
  <c r="C6771" i="13" s="1"/>
  <c r="C6770" i="13" s="1"/>
  <c r="C6769" i="13" s="1"/>
  <c r="C6768" i="13" s="1"/>
  <c r="C6767" i="13" s="1"/>
  <c r="C6766" i="13" s="1"/>
  <c r="C6765" i="13" s="1"/>
  <c r="C6764" i="13" s="1"/>
  <c r="C6763" i="13" s="1"/>
  <c r="C6762" i="13" s="1"/>
  <c r="C6761" i="13" s="1"/>
  <c r="C6760" i="13" s="1"/>
  <c r="C6759" i="13" s="1"/>
  <c r="C6758" i="13" s="1"/>
  <c r="C6757" i="13" s="1"/>
  <c r="C6756" i="13" s="1"/>
  <c r="C6755" i="13" s="1"/>
  <c r="C6754" i="13" s="1"/>
  <c r="C6753" i="13" s="1"/>
  <c r="C6752" i="13" s="1"/>
  <c r="C6751" i="13" s="1"/>
  <c r="C6750" i="13" s="1"/>
  <c r="C6749" i="13" s="1"/>
  <c r="C6748" i="13" s="1"/>
  <c r="C6747" i="13" s="1"/>
  <c r="C6746" i="13" s="1"/>
  <c r="C6745" i="13" s="1"/>
  <c r="C6744" i="13" s="1"/>
  <c r="C6743" i="13" s="1"/>
  <c r="C6742" i="13" s="1"/>
  <c r="C6741" i="13" s="1"/>
  <c r="C6740" i="13" s="1"/>
  <c r="C6739" i="13" s="1"/>
  <c r="C6738" i="13" s="1"/>
  <c r="C6737" i="13" s="1"/>
  <c r="C6736" i="13" s="1"/>
  <c r="C6735" i="13" s="1"/>
  <c r="C6734" i="13" s="1"/>
  <c r="C6733" i="13" s="1"/>
  <c r="C6732" i="13" s="1"/>
  <c r="C6731" i="13" s="1"/>
  <c r="C6730" i="13" s="1"/>
  <c r="C6729" i="13" s="1"/>
  <c r="C6728" i="13" s="1"/>
  <c r="C6727" i="13" s="1"/>
  <c r="C6726" i="13" s="1"/>
  <c r="C6725" i="13" s="1"/>
  <c r="C6724" i="13" s="1"/>
  <c r="C6723" i="13" s="1"/>
  <c r="C6722" i="13" s="1"/>
  <c r="C6721" i="13" s="1"/>
  <c r="C6720" i="13" s="1"/>
  <c r="C6719" i="13" s="1"/>
  <c r="C6718" i="13" s="1"/>
  <c r="C6717" i="13" s="1"/>
  <c r="C6716" i="13" s="1"/>
  <c r="C6715" i="13" s="1"/>
  <c r="C6714" i="13" s="1"/>
  <c r="C6713" i="13" s="1"/>
  <c r="C6712" i="13" s="1"/>
  <c r="C6711" i="13" s="1"/>
  <c r="C6710" i="13" s="1"/>
  <c r="C6709" i="13" s="1"/>
  <c r="C6708" i="13" s="1"/>
  <c r="C6707" i="13" s="1"/>
  <c r="C6706" i="13" s="1"/>
  <c r="C6705" i="13" s="1"/>
  <c r="C6704" i="13" s="1"/>
  <c r="C6703" i="13" s="1"/>
  <c r="C6702" i="13" s="1"/>
  <c r="C6701" i="13" s="1"/>
  <c r="C6700" i="13" s="1"/>
  <c r="C6699" i="13" s="1"/>
  <c r="C6698" i="13" s="1"/>
  <c r="C6697" i="13" s="1"/>
  <c r="C6696" i="13" s="1"/>
  <c r="C6695" i="13" s="1"/>
  <c r="C6694" i="13" s="1"/>
  <c r="C6693" i="13" s="1"/>
  <c r="C6692" i="13" s="1"/>
  <c r="C6691" i="13" s="1"/>
  <c r="C6690" i="13" s="1"/>
  <c r="C6689" i="13" s="1"/>
  <c r="C6688" i="13" s="1"/>
  <c r="C6687" i="13" s="1"/>
  <c r="C6686" i="13" s="1"/>
  <c r="C6685" i="13" s="1"/>
  <c r="C6684" i="13" s="1"/>
  <c r="C6683" i="13" s="1"/>
  <c r="C6682" i="13" s="1"/>
  <c r="C6681" i="13" s="1"/>
  <c r="C6680" i="13" s="1"/>
  <c r="C6679" i="13" s="1"/>
  <c r="C6678" i="13" s="1"/>
  <c r="C6677" i="13" s="1"/>
  <c r="C6676" i="13" s="1"/>
  <c r="C6675" i="13" s="1"/>
  <c r="C6674" i="13" s="1"/>
  <c r="C6673" i="13" s="1"/>
  <c r="C6672" i="13" s="1"/>
  <c r="C6671" i="13" s="1"/>
  <c r="C6670" i="13" s="1"/>
  <c r="C6669" i="13" s="1"/>
  <c r="C6668" i="13" s="1"/>
  <c r="C6667" i="13" s="1"/>
  <c r="C6666" i="13" s="1"/>
  <c r="C6665" i="13" s="1"/>
  <c r="C6664" i="13" s="1"/>
  <c r="C6663" i="13" s="1"/>
  <c r="C6662" i="13" s="1"/>
  <c r="C6661" i="13" s="1"/>
  <c r="C6660" i="13" s="1"/>
  <c r="C6659" i="13" s="1"/>
  <c r="C6658" i="13" s="1"/>
  <c r="C6657" i="13" s="1"/>
  <c r="C6656" i="13" s="1"/>
  <c r="C6655" i="13" s="1"/>
  <c r="C6654" i="13" s="1"/>
  <c r="C6653" i="13" s="1"/>
  <c r="C6652" i="13" s="1"/>
  <c r="C6651" i="13" s="1"/>
  <c r="C6650" i="13" s="1"/>
  <c r="C6649" i="13" s="1"/>
  <c r="C6648" i="13" s="1"/>
  <c r="C6647" i="13" s="1"/>
  <c r="C6646" i="13" s="1"/>
  <c r="C6645" i="13" s="1"/>
  <c r="C6644" i="13" s="1"/>
  <c r="C6643" i="13" s="1"/>
  <c r="C6642" i="13" s="1"/>
  <c r="C6641" i="13" s="1"/>
  <c r="C6640" i="13" s="1"/>
  <c r="C6639" i="13" s="1"/>
  <c r="C6638" i="13" s="1"/>
  <c r="C6637" i="13" s="1"/>
  <c r="C6636" i="13" s="1"/>
  <c r="C6635" i="13" s="1"/>
  <c r="C6634" i="13" s="1"/>
  <c r="C6633" i="13" s="1"/>
  <c r="C6632" i="13" s="1"/>
  <c r="C6631" i="13" s="1"/>
  <c r="C6630" i="13" s="1"/>
  <c r="C6629" i="13" s="1"/>
  <c r="C6628" i="13" s="1"/>
  <c r="C6627" i="13" s="1"/>
  <c r="C6626" i="13" s="1"/>
  <c r="C6625" i="13" s="1"/>
  <c r="C6624" i="13" s="1"/>
  <c r="C6623" i="13" s="1"/>
  <c r="C6622" i="13" s="1"/>
  <c r="C6621" i="13" s="1"/>
  <c r="C6620" i="13" s="1"/>
  <c r="C6619" i="13" s="1"/>
  <c r="C6618" i="13" s="1"/>
  <c r="C6617" i="13" s="1"/>
  <c r="C6616" i="13" s="1"/>
  <c r="C6615" i="13" s="1"/>
  <c r="C6614" i="13" s="1"/>
  <c r="C6613" i="13" s="1"/>
  <c r="C6612" i="13" s="1"/>
  <c r="C6611" i="13" s="1"/>
  <c r="C6610" i="13" s="1"/>
  <c r="C6609" i="13" s="1"/>
  <c r="C6608" i="13" s="1"/>
  <c r="C6607" i="13" s="1"/>
  <c r="C6606" i="13" s="1"/>
  <c r="C6605" i="13" s="1"/>
  <c r="C6604" i="13" s="1"/>
  <c r="C6603" i="13" s="1"/>
  <c r="C6602" i="13" s="1"/>
  <c r="C6601" i="13" s="1"/>
  <c r="C6600" i="13" s="1"/>
  <c r="C6599" i="13" s="1"/>
  <c r="C6598" i="13" s="1"/>
  <c r="C6597" i="13" s="1"/>
  <c r="C6596" i="13" s="1"/>
  <c r="C6595" i="13" s="1"/>
  <c r="C6594" i="13" s="1"/>
  <c r="C6593" i="13" s="1"/>
  <c r="C6592" i="13" s="1"/>
  <c r="C6591" i="13" s="1"/>
  <c r="C6590" i="13" s="1"/>
  <c r="C6589" i="13" s="1"/>
  <c r="C6588" i="13" s="1"/>
  <c r="C6587" i="13" s="1"/>
  <c r="C6586" i="13" s="1"/>
  <c r="C6585" i="13" s="1"/>
  <c r="C6584" i="13" s="1"/>
  <c r="C6583" i="13" s="1"/>
  <c r="C6582" i="13" s="1"/>
  <c r="C6581" i="13" s="1"/>
  <c r="C6580" i="13" s="1"/>
  <c r="C6579" i="13" s="1"/>
  <c r="C6578" i="13" s="1"/>
  <c r="C6577" i="13" s="1"/>
  <c r="C6576" i="13" s="1"/>
  <c r="C6575" i="13" s="1"/>
  <c r="C6574" i="13" s="1"/>
  <c r="C6573" i="13" s="1"/>
  <c r="C6572" i="13" s="1"/>
  <c r="C6571" i="13" s="1"/>
  <c r="C6570" i="13" s="1"/>
  <c r="C6569" i="13" s="1"/>
  <c r="C6568" i="13" s="1"/>
  <c r="C6567" i="13" s="1"/>
  <c r="C6566" i="13" s="1"/>
  <c r="C6565" i="13" s="1"/>
  <c r="C6564" i="13" s="1"/>
  <c r="C6563" i="13" s="1"/>
  <c r="C6562" i="13" s="1"/>
  <c r="C6561" i="13" s="1"/>
  <c r="C6560" i="13" s="1"/>
  <c r="C6559" i="13" s="1"/>
  <c r="C6558" i="13" s="1"/>
  <c r="C6557" i="13" s="1"/>
  <c r="C6556" i="13" s="1"/>
  <c r="C6555" i="13" s="1"/>
  <c r="C6554" i="13" s="1"/>
  <c r="C6553" i="13" s="1"/>
  <c r="C6552" i="13" s="1"/>
  <c r="C6551" i="13" s="1"/>
  <c r="C6550" i="13" s="1"/>
  <c r="C6549" i="13" s="1"/>
  <c r="C6548" i="13" s="1"/>
  <c r="C6547" i="13" s="1"/>
  <c r="C6546" i="13" s="1"/>
  <c r="C6545" i="13" s="1"/>
  <c r="C6544" i="13" s="1"/>
  <c r="C6543" i="13" s="1"/>
  <c r="C6542" i="13" s="1"/>
  <c r="C6541" i="13" s="1"/>
  <c r="C6540" i="13" s="1"/>
  <c r="C6539" i="13" s="1"/>
  <c r="C6538" i="13" s="1"/>
  <c r="C6537" i="13" s="1"/>
  <c r="C6536" i="13" s="1"/>
  <c r="C6535" i="13" s="1"/>
  <c r="C6534" i="13" s="1"/>
  <c r="C6533" i="13" s="1"/>
  <c r="C6532" i="13" s="1"/>
  <c r="C6531" i="13" s="1"/>
  <c r="C6530" i="13" s="1"/>
  <c r="C6529" i="13" s="1"/>
  <c r="C6528" i="13" s="1"/>
  <c r="C6527" i="13" s="1"/>
  <c r="C6526" i="13" s="1"/>
  <c r="C6525" i="13" s="1"/>
  <c r="C6524" i="13" s="1"/>
  <c r="C6523" i="13" s="1"/>
  <c r="C6522" i="13" s="1"/>
  <c r="C6521" i="13" s="1"/>
  <c r="C6520" i="13" s="1"/>
  <c r="C6519" i="13" s="1"/>
  <c r="C6518" i="13" s="1"/>
  <c r="C6517" i="13" s="1"/>
  <c r="C6516" i="13" s="1"/>
  <c r="C6515" i="13" s="1"/>
  <c r="C6514" i="13" s="1"/>
  <c r="C6513" i="13" s="1"/>
  <c r="C6512" i="13" s="1"/>
  <c r="C6511" i="13" s="1"/>
  <c r="C6510" i="13" s="1"/>
  <c r="C6509" i="13" s="1"/>
  <c r="C6508" i="13" s="1"/>
  <c r="C6507" i="13" s="1"/>
  <c r="C6506" i="13" s="1"/>
  <c r="C6505" i="13" s="1"/>
  <c r="C6504" i="13" s="1"/>
  <c r="C6503" i="13" s="1"/>
  <c r="C6502" i="13" s="1"/>
  <c r="C6501" i="13" s="1"/>
  <c r="C6500" i="13" s="1"/>
  <c r="C6499" i="13" s="1"/>
  <c r="C6498" i="13" s="1"/>
  <c r="C6497" i="13" s="1"/>
  <c r="C6496" i="13" s="1"/>
  <c r="C6495" i="13" s="1"/>
  <c r="C6494" i="13" s="1"/>
  <c r="C6493" i="13" s="1"/>
  <c r="C6492" i="13" s="1"/>
  <c r="C6491" i="13" s="1"/>
  <c r="C6490" i="13" s="1"/>
  <c r="C6489" i="13" s="1"/>
  <c r="C6488" i="13" s="1"/>
  <c r="C6487" i="13" s="1"/>
  <c r="C6486" i="13" s="1"/>
  <c r="C6485" i="13" s="1"/>
  <c r="C6484" i="13" s="1"/>
  <c r="C6483" i="13" s="1"/>
  <c r="C6482" i="13" s="1"/>
  <c r="C6481" i="13" s="1"/>
  <c r="C6480" i="13" s="1"/>
  <c r="C6479" i="13" s="1"/>
  <c r="C6478" i="13" s="1"/>
  <c r="C6477" i="13" s="1"/>
  <c r="C6476" i="13" s="1"/>
  <c r="C6475" i="13" s="1"/>
  <c r="C6474" i="13" s="1"/>
  <c r="C6473" i="13" s="1"/>
  <c r="C6472" i="13" s="1"/>
  <c r="C6471" i="13" s="1"/>
  <c r="C6470" i="13" s="1"/>
  <c r="C6469" i="13" s="1"/>
  <c r="C6468" i="13" s="1"/>
  <c r="C6467" i="13" s="1"/>
  <c r="C6466" i="13" s="1"/>
  <c r="C6465" i="13" s="1"/>
  <c r="C6464" i="13" s="1"/>
  <c r="C6463" i="13" s="1"/>
  <c r="C6462" i="13" s="1"/>
  <c r="C6461" i="13" s="1"/>
  <c r="C6460" i="13" s="1"/>
  <c r="C6459" i="13" s="1"/>
  <c r="C6458" i="13" s="1"/>
  <c r="C6457" i="13" s="1"/>
  <c r="C6456" i="13" s="1"/>
  <c r="C6455" i="13" s="1"/>
  <c r="C6454" i="13" s="1"/>
  <c r="C6453" i="13" s="1"/>
  <c r="C6452" i="13" s="1"/>
  <c r="C6451" i="13" s="1"/>
  <c r="C6450" i="13" s="1"/>
  <c r="C6449" i="13" s="1"/>
  <c r="C6448" i="13" s="1"/>
  <c r="C6447" i="13" s="1"/>
  <c r="C6446" i="13" s="1"/>
  <c r="C6445" i="13" s="1"/>
  <c r="C6444" i="13" s="1"/>
  <c r="C6443" i="13" s="1"/>
  <c r="C6442" i="13" s="1"/>
  <c r="C6441" i="13" s="1"/>
  <c r="C6440" i="13" s="1"/>
  <c r="C6439" i="13" s="1"/>
  <c r="C6438" i="13" s="1"/>
  <c r="C6437" i="13" s="1"/>
  <c r="C6436" i="13" s="1"/>
  <c r="C6435" i="13" s="1"/>
  <c r="C6434" i="13" s="1"/>
  <c r="C6433" i="13" s="1"/>
  <c r="C6432" i="13" s="1"/>
  <c r="C6431" i="13" s="1"/>
  <c r="C6430" i="13" s="1"/>
  <c r="C6429" i="13" s="1"/>
  <c r="C6428" i="13" s="1"/>
  <c r="C6427" i="13" s="1"/>
  <c r="C6426" i="13" s="1"/>
  <c r="C6425" i="13" s="1"/>
  <c r="C6424" i="13" s="1"/>
  <c r="C6423" i="13" s="1"/>
  <c r="C6422" i="13" s="1"/>
  <c r="C6421" i="13" s="1"/>
  <c r="C6420" i="13" s="1"/>
  <c r="C6419" i="13" s="1"/>
  <c r="C6418" i="13" s="1"/>
  <c r="C6417" i="13" s="1"/>
  <c r="C6416" i="13" s="1"/>
  <c r="C6415" i="13" s="1"/>
  <c r="C6414" i="13" s="1"/>
  <c r="C6413" i="13" s="1"/>
  <c r="C6412" i="13" s="1"/>
  <c r="C6411" i="13" s="1"/>
  <c r="C6410" i="13" s="1"/>
  <c r="C6409" i="13" s="1"/>
  <c r="C6408" i="13" s="1"/>
  <c r="C6407" i="13" s="1"/>
  <c r="C6406" i="13" s="1"/>
  <c r="C6405" i="13" s="1"/>
  <c r="C6404" i="13" s="1"/>
  <c r="C6403" i="13" s="1"/>
  <c r="C6402" i="13" s="1"/>
  <c r="C6401" i="13" s="1"/>
  <c r="C6400" i="13" s="1"/>
  <c r="C6399" i="13" s="1"/>
  <c r="C6398" i="13" s="1"/>
  <c r="C6397" i="13" s="1"/>
  <c r="C6396" i="13" s="1"/>
  <c r="C6395" i="13" s="1"/>
  <c r="C6394" i="13" s="1"/>
  <c r="C6393" i="13" s="1"/>
  <c r="C6392" i="13" s="1"/>
  <c r="C6391" i="13" s="1"/>
  <c r="C6390" i="13" s="1"/>
  <c r="C6389" i="13" s="1"/>
  <c r="C6388" i="13" s="1"/>
  <c r="C6387" i="13" s="1"/>
  <c r="C6386" i="13" s="1"/>
  <c r="C6385" i="13" s="1"/>
  <c r="C6384" i="13" s="1"/>
  <c r="C6383" i="13" s="1"/>
  <c r="C6382" i="13" s="1"/>
  <c r="C6381" i="13" s="1"/>
  <c r="C6380" i="13" s="1"/>
  <c r="C6379" i="13" s="1"/>
  <c r="C6378" i="13" s="1"/>
  <c r="C6377" i="13" s="1"/>
  <c r="C6376" i="13" s="1"/>
  <c r="C6375" i="13" s="1"/>
  <c r="C6374" i="13" s="1"/>
  <c r="C6373" i="13" s="1"/>
  <c r="C6372" i="13" s="1"/>
  <c r="C6371" i="13" s="1"/>
  <c r="C6370" i="13" s="1"/>
  <c r="C6369" i="13" s="1"/>
  <c r="C6368" i="13" s="1"/>
  <c r="C6367" i="13" s="1"/>
  <c r="C6366" i="13" s="1"/>
  <c r="C6365" i="13" s="1"/>
  <c r="C6364" i="13" s="1"/>
  <c r="C6363" i="13" s="1"/>
  <c r="C6362" i="13" s="1"/>
  <c r="C6361" i="13" s="1"/>
  <c r="C6360" i="13" s="1"/>
  <c r="C6359" i="13" s="1"/>
  <c r="C6358" i="13" s="1"/>
  <c r="C6357" i="13" s="1"/>
  <c r="C6356" i="13" s="1"/>
  <c r="C6355" i="13" s="1"/>
  <c r="C6354" i="13" s="1"/>
  <c r="C6353" i="13" s="1"/>
  <c r="C6352" i="13" s="1"/>
  <c r="C6351" i="13" s="1"/>
  <c r="C6350" i="13" s="1"/>
  <c r="C6349" i="13" s="1"/>
  <c r="C6348" i="13" s="1"/>
  <c r="C6347" i="13" s="1"/>
  <c r="C6346" i="13" s="1"/>
  <c r="C6345" i="13" s="1"/>
  <c r="C6344" i="13" s="1"/>
  <c r="C6343" i="13" s="1"/>
  <c r="C6342" i="13" s="1"/>
  <c r="C6341" i="13" s="1"/>
  <c r="C6340" i="13" s="1"/>
  <c r="C6339" i="13" s="1"/>
  <c r="C6338" i="13" s="1"/>
  <c r="C6337" i="13" s="1"/>
  <c r="C6336" i="13" s="1"/>
  <c r="C6335" i="13" s="1"/>
  <c r="C6334" i="13" s="1"/>
  <c r="C6333" i="13" s="1"/>
  <c r="C6332" i="13" s="1"/>
  <c r="C6331" i="13" s="1"/>
  <c r="C6330" i="13" s="1"/>
  <c r="C6329" i="13" s="1"/>
  <c r="C6328" i="13" s="1"/>
  <c r="C6327" i="13" s="1"/>
  <c r="C6326" i="13" s="1"/>
  <c r="C6325" i="13" s="1"/>
  <c r="C6324" i="13" s="1"/>
  <c r="C6323" i="13" s="1"/>
  <c r="C6322" i="13" s="1"/>
  <c r="C6321" i="13" s="1"/>
  <c r="C6320" i="13" s="1"/>
  <c r="C6319" i="13" s="1"/>
  <c r="C6318" i="13" s="1"/>
  <c r="C6317" i="13" s="1"/>
  <c r="C6316" i="13" s="1"/>
  <c r="C6315" i="13" s="1"/>
  <c r="C6314" i="13" s="1"/>
  <c r="C6313" i="13" s="1"/>
  <c r="C6312" i="13" s="1"/>
  <c r="C6311" i="13" s="1"/>
  <c r="C6310" i="13" s="1"/>
  <c r="C6309" i="13" s="1"/>
  <c r="C6308" i="13" s="1"/>
  <c r="C6307" i="13" s="1"/>
  <c r="C6306" i="13" s="1"/>
  <c r="C6305" i="13" s="1"/>
  <c r="C6304" i="13" s="1"/>
  <c r="C6303" i="13" s="1"/>
  <c r="C6302" i="13" s="1"/>
  <c r="C6301" i="13" s="1"/>
  <c r="C6300" i="13" s="1"/>
  <c r="C6299" i="13" s="1"/>
  <c r="C6298" i="13" s="1"/>
  <c r="C6297" i="13" s="1"/>
  <c r="C6296" i="13" s="1"/>
  <c r="C6295" i="13" s="1"/>
  <c r="C6294" i="13" s="1"/>
  <c r="C6293" i="13" s="1"/>
  <c r="C6292" i="13" s="1"/>
  <c r="C6291" i="13" s="1"/>
  <c r="C6290" i="13" s="1"/>
  <c r="C6289" i="13" s="1"/>
  <c r="C6288" i="13" s="1"/>
  <c r="C6287" i="13" s="1"/>
  <c r="C6286" i="13" s="1"/>
  <c r="C6285" i="13" s="1"/>
  <c r="C6284" i="13" s="1"/>
  <c r="C6283" i="13" s="1"/>
  <c r="C6282" i="13" s="1"/>
  <c r="C6281" i="13" s="1"/>
  <c r="C6280" i="13" s="1"/>
  <c r="C6279" i="13" s="1"/>
  <c r="C6278" i="13" s="1"/>
  <c r="C6277" i="13" s="1"/>
  <c r="C6276" i="13" s="1"/>
  <c r="C6275" i="13" s="1"/>
  <c r="C6274" i="13" s="1"/>
  <c r="C6273" i="13" s="1"/>
  <c r="C6272" i="13" s="1"/>
  <c r="C6271" i="13" s="1"/>
  <c r="C6270" i="13" s="1"/>
  <c r="C6269" i="13" s="1"/>
  <c r="C6268" i="13" s="1"/>
  <c r="C6267" i="13" s="1"/>
  <c r="C6266" i="13" s="1"/>
  <c r="C6265" i="13" s="1"/>
  <c r="C6264" i="13" s="1"/>
  <c r="C6263" i="13" s="1"/>
  <c r="C6262" i="13" s="1"/>
  <c r="C6261" i="13" s="1"/>
  <c r="C6260" i="13" s="1"/>
  <c r="C6259" i="13" s="1"/>
  <c r="C6258" i="13" s="1"/>
  <c r="C6257" i="13" s="1"/>
  <c r="C6256" i="13" s="1"/>
  <c r="C6255" i="13" s="1"/>
  <c r="C6254" i="13" s="1"/>
  <c r="C6253" i="13" s="1"/>
  <c r="C6252" i="13" s="1"/>
  <c r="C6251" i="13" s="1"/>
  <c r="C6250" i="13" s="1"/>
  <c r="C6249" i="13" s="1"/>
  <c r="C6248" i="13" s="1"/>
  <c r="C6247" i="13" s="1"/>
  <c r="C6246" i="13" s="1"/>
  <c r="C6245" i="13" s="1"/>
  <c r="C6244" i="13" s="1"/>
  <c r="C6243" i="13" s="1"/>
  <c r="C6242" i="13" s="1"/>
  <c r="C6241" i="13" s="1"/>
  <c r="C6240" i="13" s="1"/>
  <c r="C6239" i="13" s="1"/>
  <c r="C6238" i="13" s="1"/>
  <c r="C6237" i="13" s="1"/>
  <c r="C6236" i="13" s="1"/>
  <c r="C6235" i="13" s="1"/>
  <c r="C6234" i="13" s="1"/>
  <c r="C6233" i="13" s="1"/>
  <c r="C6232" i="13" s="1"/>
  <c r="C6231" i="13" s="1"/>
  <c r="C6230" i="13" s="1"/>
  <c r="C6229" i="13" s="1"/>
  <c r="C6228" i="13" s="1"/>
  <c r="C6227" i="13" s="1"/>
  <c r="C6226" i="13" s="1"/>
  <c r="C6225" i="13" s="1"/>
  <c r="C6224" i="13" s="1"/>
  <c r="C6223" i="13" s="1"/>
  <c r="C6222" i="13" s="1"/>
  <c r="C6221" i="13" s="1"/>
  <c r="C6220" i="13" s="1"/>
  <c r="C6219" i="13" s="1"/>
  <c r="C6218" i="13" s="1"/>
  <c r="C6217" i="13" s="1"/>
  <c r="C6216" i="13" s="1"/>
  <c r="C6215" i="13" s="1"/>
  <c r="C6214" i="13" s="1"/>
  <c r="C6213" i="13" s="1"/>
  <c r="C6212" i="13" s="1"/>
  <c r="C6211" i="13" s="1"/>
  <c r="C6210" i="13" s="1"/>
  <c r="C6209" i="13" s="1"/>
  <c r="C6208" i="13" s="1"/>
  <c r="C6207" i="13" s="1"/>
  <c r="C6206" i="13" s="1"/>
  <c r="C6205" i="13" s="1"/>
  <c r="C6204" i="13" s="1"/>
  <c r="C6203" i="13" s="1"/>
  <c r="C6202" i="13" s="1"/>
  <c r="C6201" i="13" s="1"/>
  <c r="C6200" i="13" s="1"/>
  <c r="C6199" i="13" s="1"/>
  <c r="C6198" i="13" s="1"/>
  <c r="C6197" i="13" s="1"/>
  <c r="C6196" i="13" s="1"/>
  <c r="C6195" i="13" s="1"/>
  <c r="C6194" i="13" s="1"/>
  <c r="C6193" i="13" s="1"/>
  <c r="C6192" i="13" s="1"/>
  <c r="C6191" i="13" s="1"/>
  <c r="C6190" i="13" s="1"/>
  <c r="C6189" i="13" s="1"/>
  <c r="C6188" i="13" s="1"/>
  <c r="C6187" i="13" s="1"/>
  <c r="C6186" i="13" s="1"/>
  <c r="C6185" i="13" s="1"/>
  <c r="C6184" i="13" s="1"/>
  <c r="C6183" i="13" s="1"/>
  <c r="C6182" i="13" s="1"/>
  <c r="C6181" i="13" s="1"/>
  <c r="C6180" i="13" s="1"/>
  <c r="C6179" i="13" s="1"/>
  <c r="C6178" i="13" s="1"/>
  <c r="C6177" i="13" s="1"/>
  <c r="C6176" i="13" s="1"/>
  <c r="C6175" i="13" s="1"/>
  <c r="C6174" i="13" s="1"/>
  <c r="C6173" i="13" s="1"/>
  <c r="C6172" i="13" s="1"/>
  <c r="C6171" i="13" s="1"/>
  <c r="C6170" i="13" s="1"/>
  <c r="C6169" i="13" s="1"/>
  <c r="C6168" i="13" s="1"/>
  <c r="C6167" i="13" s="1"/>
  <c r="C6166" i="13" s="1"/>
  <c r="C6165" i="13" s="1"/>
  <c r="C6164" i="13" s="1"/>
  <c r="C6163" i="13" s="1"/>
  <c r="C6162" i="13" s="1"/>
  <c r="C6161" i="13" s="1"/>
  <c r="C6160" i="13" s="1"/>
  <c r="C6159" i="13" s="1"/>
  <c r="C6158" i="13" s="1"/>
  <c r="C6157" i="13" s="1"/>
  <c r="C6156" i="13" s="1"/>
  <c r="C6155" i="13" s="1"/>
  <c r="C6154" i="13" s="1"/>
  <c r="C6153" i="13" s="1"/>
  <c r="C6152" i="13" s="1"/>
  <c r="C6151" i="13" s="1"/>
  <c r="C6150" i="13" s="1"/>
  <c r="C6149" i="13" s="1"/>
  <c r="C6148" i="13" s="1"/>
  <c r="C6147" i="13" s="1"/>
  <c r="C6146" i="13" s="1"/>
  <c r="C6145" i="13" s="1"/>
  <c r="C6144" i="13" s="1"/>
  <c r="C6143" i="13" s="1"/>
  <c r="C6142" i="13" s="1"/>
  <c r="C6141" i="13" s="1"/>
  <c r="C6140" i="13" s="1"/>
  <c r="C6139" i="13" s="1"/>
  <c r="C6138" i="13" s="1"/>
  <c r="C6137" i="13" s="1"/>
  <c r="C6136" i="13" s="1"/>
  <c r="C6135" i="13" s="1"/>
  <c r="C6134" i="13" s="1"/>
  <c r="C6133" i="13" s="1"/>
  <c r="C6132" i="13" s="1"/>
  <c r="C6131" i="13" s="1"/>
  <c r="C6130" i="13" s="1"/>
  <c r="C6129" i="13" s="1"/>
  <c r="C6128" i="13" s="1"/>
  <c r="C6127" i="13" s="1"/>
  <c r="C6126" i="13" s="1"/>
  <c r="C6125" i="13" s="1"/>
  <c r="C6124" i="13" s="1"/>
  <c r="C6123" i="13" s="1"/>
  <c r="C6122" i="13" s="1"/>
  <c r="C6121" i="13" s="1"/>
  <c r="C6120" i="13" s="1"/>
  <c r="C6119" i="13" s="1"/>
  <c r="C6118" i="13" s="1"/>
  <c r="C6117" i="13" s="1"/>
  <c r="C6116" i="13" s="1"/>
  <c r="C6115" i="13" s="1"/>
  <c r="C6114" i="13" s="1"/>
  <c r="C6113" i="13" s="1"/>
  <c r="C6112" i="13" s="1"/>
  <c r="C6111" i="13" s="1"/>
  <c r="C6110" i="13" s="1"/>
  <c r="C6109" i="13" s="1"/>
  <c r="C6108" i="13" s="1"/>
  <c r="C6107" i="13" s="1"/>
  <c r="C6106" i="13" s="1"/>
  <c r="C6105" i="13" s="1"/>
  <c r="C6104" i="13" s="1"/>
  <c r="C6103" i="13" s="1"/>
  <c r="C6102" i="13" s="1"/>
  <c r="C6101" i="13" s="1"/>
  <c r="C6100" i="13" s="1"/>
  <c r="C6099" i="13" s="1"/>
  <c r="C6098" i="13" s="1"/>
  <c r="C6097" i="13" s="1"/>
  <c r="C6096" i="13" s="1"/>
  <c r="C6095" i="13" s="1"/>
  <c r="C6094" i="13" s="1"/>
  <c r="C6093" i="13" s="1"/>
  <c r="C6092" i="13" s="1"/>
  <c r="C6091" i="13" s="1"/>
  <c r="C6090" i="13" s="1"/>
  <c r="C6089" i="13" s="1"/>
  <c r="C6088" i="13" s="1"/>
  <c r="C6087" i="13" s="1"/>
  <c r="C6086" i="13" s="1"/>
  <c r="C6085" i="13" s="1"/>
  <c r="C6084" i="13" s="1"/>
  <c r="C6083" i="13" s="1"/>
  <c r="C6082" i="13" s="1"/>
  <c r="C6081" i="13" s="1"/>
  <c r="C6080" i="13" s="1"/>
  <c r="C6079" i="13" s="1"/>
  <c r="C6078" i="13" s="1"/>
  <c r="C6077" i="13" s="1"/>
  <c r="C6076" i="13" s="1"/>
  <c r="C6075" i="13" s="1"/>
  <c r="C6074" i="13" s="1"/>
  <c r="C6073" i="13" s="1"/>
  <c r="C6072" i="13" s="1"/>
  <c r="C6071" i="13" s="1"/>
  <c r="C6070" i="13" s="1"/>
  <c r="C6069" i="13" s="1"/>
  <c r="C6068" i="13" s="1"/>
  <c r="C6067" i="13" s="1"/>
  <c r="C6066" i="13" s="1"/>
  <c r="C6065" i="13" s="1"/>
  <c r="C6064" i="13" s="1"/>
  <c r="C6063" i="13" s="1"/>
  <c r="C6062" i="13" s="1"/>
  <c r="C6061" i="13" s="1"/>
  <c r="C6060" i="13" s="1"/>
  <c r="C6059" i="13" s="1"/>
  <c r="C6058" i="13" s="1"/>
  <c r="C6057" i="13" s="1"/>
  <c r="C6056" i="13" s="1"/>
  <c r="C6055" i="13" s="1"/>
  <c r="C6054" i="13" s="1"/>
  <c r="C6053" i="13" s="1"/>
  <c r="C6052" i="13" s="1"/>
  <c r="C6051" i="13" s="1"/>
  <c r="C6050" i="13" s="1"/>
  <c r="C6049" i="13" s="1"/>
  <c r="C6048" i="13" s="1"/>
  <c r="C6047" i="13" s="1"/>
  <c r="C6046" i="13" s="1"/>
  <c r="C6045" i="13" s="1"/>
  <c r="C6044" i="13" s="1"/>
  <c r="C6043" i="13" s="1"/>
  <c r="C6042" i="13" s="1"/>
  <c r="C6041" i="13" s="1"/>
  <c r="C6040" i="13" s="1"/>
  <c r="C6039" i="13" s="1"/>
  <c r="C6038" i="13" s="1"/>
  <c r="C6037" i="13" s="1"/>
  <c r="C6036" i="13" s="1"/>
  <c r="C6035" i="13" s="1"/>
  <c r="C6034" i="13" s="1"/>
  <c r="C6033" i="13" s="1"/>
  <c r="C6032" i="13" s="1"/>
  <c r="C6031" i="13" s="1"/>
  <c r="C6030" i="13" s="1"/>
  <c r="C6029" i="13" s="1"/>
  <c r="C6028" i="13" s="1"/>
  <c r="C6027" i="13" s="1"/>
  <c r="C6026" i="13" s="1"/>
  <c r="C6025" i="13" s="1"/>
  <c r="C6024" i="13" s="1"/>
  <c r="C6023" i="13" s="1"/>
  <c r="C6022" i="13" s="1"/>
  <c r="C6021" i="13" s="1"/>
  <c r="C6020" i="13" s="1"/>
  <c r="C6019" i="13" s="1"/>
  <c r="C6018" i="13" s="1"/>
  <c r="C6017" i="13" s="1"/>
  <c r="C6016" i="13" s="1"/>
  <c r="C6015" i="13" s="1"/>
  <c r="C6014" i="13" s="1"/>
  <c r="C6013" i="13" s="1"/>
  <c r="C6012" i="13" s="1"/>
  <c r="C6011" i="13" s="1"/>
  <c r="C6010" i="13" s="1"/>
  <c r="C6009" i="13" s="1"/>
  <c r="C6008" i="13" s="1"/>
  <c r="C6007" i="13" s="1"/>
  <c r="C6006" i="13" s="1"/>
  <c r="C6005" i="13" s="1"/>
  <c r="C6004" i="13" s="1"/>
  <c r="C6003" i="13" s="1"/>
  <c r="C6002" i="13" s="1"/>
  <c r="C6001" i="13" s="1"/>
  <c r="C6000" i="13" s="1"/>
  <c r="C5999" i="13" s="1"/>
  <c r="C5998" i="13" s="1"/>
  <c r="C5997" i="13" s="1"/>
  <c r="C5996" i="13" s="1"/>
  <c r="C5995" i="13" s="1"/>
  <c r="C5994" i="13" s="1"/>
  <c r="C5993" i="13" s="1"/>
  <c r="C5992" i="13" s="1"/>
  <c r="C5991" i="13" s="1"/>
  <c r="C5990" i="13" s="1"/>
  <c r="C5989" i="13" s="1"/>
  <c r="C5988" i="13" s="1"/>
  <c r="C5987" i="13" s="1"/>
  <c r="C5986" i="13" s="1"/>
  <c r="C5985" i="13" s="1"/>
  <c r="C5984" i="13" s="1"/>
  <c r="C5983" i="13" s="1"/>
  <c r="C5982" i="13" s="1"/>
  <c r="C5981" i="13" s="1"/>
  <c r="C5980" i="13" s="1"/>
  <c r="C5979" i="13" s="1"/>
  <c r="C5978" i="13" s="1"/>
  <c r="C5977" i="13" s="1"/>
  <c r="C5976" i="13" s="1"/>
  <c r="C5975" i="13" s="1"/>
  <c r="C5974" i="13" s="1"/>
  <c r="C5973" i="13" s="1"/>
  <c r="C5972" i="13" s="1"/>
  <c r="C5971" i="13" s="1"/>
  <c r="C5970" i="13" s="1"/>
  <c r="C5969" i="13" s="1"/>
  <c r="C5968" i="13" s="1"/>
  <c r="C5967" i="13" s="1"/>
  <c r="C5966" i="13" s="1"/>
  <c r="C5965" i="13" s="1"/>
  <c r="C5964" i="13" s="1"/>
  <c r="C5963" i="13" s="1"/>
  <c r="C5962" i="13" s="1"/>
  <c r="C5961" i="13" s="1"/>
  <c r="C5960" i="13" s="1"/>
  <c r="C5959" i="13" s="1"/>
  <c r="C5958" i="13" s="1"/>
  <c r="C5957" i="13" s="1"/>
  <c r="C5956" i="13" s="1"/>
  <c r="C5955" i="13" s="1"/>
  <c r="C5954" i="13" s="1"/>
  <c r="C5953" i="13" s="1"/>
  <c r="C5952" i="13" s="1"/>
  <c r="C5951" i="13" s="1"/>
  <c r="C5950" i="13" s="1"/>
  <c r="C5949" i="13" s="1"/>
  <c r="C5948" i="13" s="1"/>
  <c r="C5947" i="13" s="1"/>
  <c r="C5946" i="13" s="1"/>
  <c r="C5945" i="13" s="1"/>
  <c r="C5944" i="13" s="1"/>
  <c r="C5943" i="13" s="1"/>
  <c r="C5942" i="13" s="1"/>
  <c r="C5941" i="13" s="1"/>
  <c r="C5940" i="13" s="1"/>
  <c r="C5939" i="13" s="1"/>
  <c r="C5938" i="13" s="1"/>
  <c r="C5937" i="13" s="1"/>
  <c r="C5936" i="13" s="1"/>
  <c r="C5935" i="13" s="1"/>
  <c r="C5934" i="13" s="1"/>
  <c r="C5933" i="13" s="1"/>
  <c r="C5932" i="13" s="1"/>
  <c r="C5931" i="13" s="1"/>
  <c r="C5930" i="13" s="1"/>
  <c r="C5929" i="13" s="1"/>
  <c r="C5928" i="13" s="1"/>
  <c r="C5927" i="13" s="1"/>
  <c r="C5926" i="13" s="1"/>
  <c r="C5925" i="13" s="1"/>
  <c r="C5924" i="13" s="1"/>
  <c r="C5923" i="13" s="1"/>
  <c r="C5922" i="13" s="1"/>
  <c r="C5921" i="13" s="1"/>
  <c r="C5920" i="13" s="1"/>
  <c r="C5919" i="13" s="1"/>
  <c r="C5918" i="13" s="1"/>
  <c r="C5917" i="13" s="1"/>
  <c r="C5916" i="13" s="1"/>
  <c r="C5915" i="13" s="1"/>
  <c r="C5914" i="13" s="1"/>
  <c r="C5913" i="13" s="1"/>
  <c r="C5912" i="13" s="1"/>
  <c r="C5911" i="13" s="1"/>
  <c r="C5910" i="13" s="1"/>
  <c r="C5909" i="13" s="1"/>
  <c r="C5908" i="13" s="1"/>
  <c r="C5907" i="13" s="1"/>
  <c r="C5906" i="13" s="1"/>
  <c r="C5905" i="13" s="1"/>
  <c r="C5904" i="13" s="1"/>
  <c r="C5903" i="13" s="1"/>
  <c r="C5902" i="13" s="1"/>
  <c r="C5901" i="13" s="1"/>
  <c r="C5900" i="13" s="1"/>
  <c r="C5899" i="13" s="1"/>
  <c r="C5898" i="13" s="1"/>
  <c r="C5897" i="13" s="1"/>
  <c r="C5896" i="13" s="1"/>
  <c r="C5895" i="13" s="1"/>
  <c r="C5894" i="13" s="1"/>
  <c r="C5893" i="13" s="1"/>
  <c r="C5892" i="13" s="1"/>
  <c r="C5891" i="13" s="1"/>
  <c r="C5890" i="13" s="1"/>
  <c r="C5889" i="13" s="1"/>
  <c r="C5888" i="13" s="1"/>
  <c r="C5887" i="13" s="1"/>
  <c r="C5886" i="13" s="1"/>
  <c r="C5885" i="13" s="1"/>
  <c r="C5884" i="13" s="1"/>
  <c r="C5883" i="13" s="1"/>
  <c r="C5882" i="13" s="1"/>
  <c r="C5881" i="13" s="1"/>
  <c r="C5880" i="13" s="1"/>
  <c r="C5879" i="13" s="1"/>
  <c r="C5878" i="13" s="1"/>
  <c r="C5877" i="13" s="1"/>
  <c r="C5876" i="13" s="1"/>
  <c r="C5875" i="13" s="1"/>
  <c r="C5874" i="13" s="1"/>
  <c r="C5873" i="13" s="1"/>
  <c r="C5872" i="13" s="1"/>
  <c r="C5871" i="13" s="1"/>
  <c r="C5870" i="13" s="1"/>
  <c r="C5869" i="13" s="1"/>
  <c r="C5868" i="13" s="1"/>
  <c r="C5867" i="13" s="1"/>
  <c r="C5866" i="13" s="1"/>
  <c r="C5865" i="13" s="1"/>
  <c r="C5864" i="13" s="1"/>
  <c r="C5863" i="13" s="1"/>
  <c r="C5862" i="13" s="1"/>
  <c r="C5861" i="13" s="1"/>
  <c r="C5860" i="13" s="1"/>
  <c r="C5859" i="13" s="1"/>
  <c r="C5858" i="13" s="1"/>
  <c r="C5857" i="13" s="1"/>
  <c r="C5856" i="13" s="1"/>
  <c r="C5855" i="13" s="1"/>
  <c r="C5854" i="13" s="1"/>
  <c r="C5853" i="13" s="1"/>
  <c r="C5852" i="13" s="1"/>
  <c r="C5851" i="13" s="1"/>
  <c r="C5850" i="13" s="1"/>
  <c r="C5849" i="13" s="1"/>
  <c r="C5848" i="13" s="1"/>
  <c r="C5847" i="13" s="1"/>
  <c r="C5846" i="13" s="1"/>
  <c r="C5845" i="13" s="1"/>
  <c r="C5844" i="13" s="1"/>
  <c r="C5843" i="13" s="1"/>
  <c r="C5842" i="13" s="1"/>
  <c r="C5841" i="13" s="1"/>
  <c r="C5840" i="13" s="1"/>
  <c r="C5839" i="13" s="1"/>
  <c r="C5838" i="13" s="1"/>
  <c r="C5837" i="13" s="1"/>
  <c r="C5836" i="13" s="1"/>
  <c r="C5835" i="13" s="1"/>
  <c r="C5834" i="13" s="1"/>
  <c r="C5833" i="13" s="1"/>
  <c r="C5832" i="13" s="1"/>
  <c r="C5831" i="13" s="1"/>
  <c r="C5830" i="13" s="1"/>
  <c r="C5829" i="13" s="1"/>
  <c r="C5828" i="13" s="1"/>
  <c r="C5827" i="13" s="1"/>
  <c r="C5826" i="13" s="1"/>
  <c r="C5825" i="13" s="1"/>
  <c r="C5824" i="13" s="1"/>
  <c r="C5823" i="13" s="1"/>
  <c r="C5822" i="13" s="1"/>
  <c r="C5821" i="13" s="1"/>
  <c r="C5820" i="13" s="1"/>
  <c r="C5819" i="13" s="1"/>
  <c r="C5818" i="13" s="1"/>
  <c r="C5817" i="13" s="1"/>
  <c r="C5816" i="13" s="1"/>
  <c r="C5815" i="13" s="1"/>
  <c r="C5814" i="13" s="1"/>
  <c r="C5813" i="13" s="1"/>
  <c r="C5812" i="13" s="1"/>
  <c r="C5811" i="13" s="1"/>
  <c r="C5810" i="13" s="1"/>
  <c r="C5809" i="13" s="1"/>
  <c r="C5808" i="13" s="1"/>
  <c r="C5807" i="13" s="1"/>
  <c r="C5806" i="13" s="1"/>
  <c r="C5805" i="13" s="1"/>
  <c r="C5804" i="13" s="1"/>
  <c r="C5803" i="13" s="1"/>
  <c r="C5802" i="13" s="1"/>
  <c r="C5801" i="13" s="1"/>
  <c r="C5800" i="13" s="1"/>
  <c r="C5799" i="13" s="1"/>
  <c r="C5798" i="13" s="1"/>
  <c r="C5797" i="13" s="1"/>
  <c r="C5796" i="13" s="1"/>
  <c r="C5795" i="13" s="1"/>
  <c r="C5794" i="13" s="1"/>
  <c r="C5793" i="13" s="1"/>
  <c r="C5792" i="13" s="1"/>
  <c r="C5791" i="13" s="1"/>
  <c r="C5790" i="13" s="1"/>
  <c r="C5789" i="13" s="1"/>
  <c r="C5788" i="13" s="1"/>
  <c r="C5787" i="13" s="1"/>
  <c r="C5786" i="13" s="1"/>
  <c r="C5785" i="13" s="1"/>
  <c r="C5784" i="13" s="1"/>
  <c r="C5783" i="13" s="1"/>
  <c r="C5782" i="13" s="1"/>
  <c r="C5781" i="13" s="1"/>
  <c r="C5780" i="13" s="1"/>
  <c r="C5779" i="13" s="1"/>
  <c r="C5778" i="13" s="1"/>
  <c r="C5777" i="13" s="1"/>
  <c r="C5776" i="13" s="1"/>
  <c r="C5775" i="13" s="1"/>
  <c r="C5774" i="13" s="1"/>
  <c r="C5773" i="13" s="1"/>
  <c r="C5772" i="13" s="1"/>
  <c r="C5771" i="13" s="1"/>
  <c r="C5770" i="13" s="1"/>
  <c r="C5769" i="13" s="1"/>
  <c r="C5768" i="13" s="1"/>
  <c r="C5767" i="13" s="1"/>
  <c r="C5766" i="13" s="1"/>
  <c r="C5765" i="13" s="1"/>
  <c r="C5764" i="13" s="1"/>
  <c r="C5763" i="13" s="1"/>
  <c r="C5762" i="13" s="1"/>
  <c r="C5761" i="13" s="1"/>
  <c r="C5760" i="13" s="1"/>
  <c r="C5759" i="13" s="1"/>
  <c r="C5758" i="13" s="1"/>
  <c r="C5757" i="13" s="1"/>
  <c r="C5756" i="13" s="1"/>
  <c r="C5755" i="13" s="1"/>
  <c r="C5754" i="13" s="1"/>
  <c r="C5753" i="13" s="1"/>
  <c r="C5752" i="13" s="1"/>
  <c r="C5751" i="13" s="1"/>
  <c r="C5750" i="13" s="1"/>
  <c r="C5749" i="13" s="1"/>
  <c r="C5748" i="13" s="1"/>
  <c r="C5747" i="13" s="1"/>
  <c r="C5746" i="13" s="1"/>
  <c r="C5745" i="13" s="1"/>
  <c r="C5744" i="13" s="1"/>
  <c r="C5743" i="13" s="1"/>
  <c r="C5742" i="13" s="1"/>
  <c r="C5741" i="13" s="1"/>
  <c r="C5740" i="13" s="1"/>
  <c r="C5739" i="13" s="1"/>
  <c r="C5738" i="13" s="1"/>
  <c r="C5737" i="13" s="1"/>
  <c r="C5736" i="13" s="1"/>
  <c r="C5735" i="13" s="1"/>
  <c r="C5734" i="13" s="1"/>
  <c r="C5733" i="13" s="1"/>
  <c r="C5732" i="13" s="1"/>
  <c r="C5731" i="13" s="1"/>
  <c r="C5730" i="13" s="1"/>
  <c r="C5729" i="13" s="1"/>
  <c r="C5728" i="13" s="1"/>
  <c r="C5727" i="13" s="1"/>
  <c r="C5726" i="13" s="1"/>
  <c r="C5725" i="13" s="1"/>
  <c r="C5724" i="13" s="1"/>
  <c r="C5723" i="13" s="1"/>
  <c r="C5722" i="13" s="1"/>
  <c r="C5721" i="13" s="1"/>
  <c r="C5720" i="13" s="1"/>
  <c r="C5719" i="13" s="1"/>
  <c r="C5718" i="13" s="1"/>
  <c r="C5717" i="13" s="1"/>
  <c r="C5716" i="13" s="1"/>
  <c r="C5715" i="13" s="1"/>
  <c r="C5714" i="13" s="1"/>
  <c r="C5713" i="13" s="1"/>
  <c r="C5712" i="13" s="1"/>
  <c r="C5711" i="13" s="1"/>
  <c r="C5710" i="13" s="1"/>
  <c r="C5709" i="13" s="1"/>
  <c r="C5708" i="13" s="1"/>
  <c r="C5707" i="13" s="1"/>
  <c r="C5706" i="13" s="1"/>
  <c r="C5705" i="13" s="1"/>
  <c r="C5704" i="13" s="1"/>
  <c r="C5703" i="13" s="1"/>
  <c r="C5702" i="13" s="1"/>
  <c r="C5701" i="13" s="1"/>
  <c r="C5700" i="13" s="1"/>
  <c r="C5699" i="13" s="1"/>
  <c r="C5698" i="13" s="1"/>
  <c r="C5697" i="13" s="1"/>
  <c r="C5696" i="13" s="1"/>
  <c r="C5695" i="13" s="1"/>
  <c r="C5694" i="13" s="1"/>
  <c r="C5693" i="13" s="1"/>
  <c r="C5692" i="13" s="1"/>
  <c r="C5691" i="13" s="1"/>
  <c r="C5690" i="13" s="1"/>
  <c r="C5689" i="13" s="1"/>
  <c r="C5688" i="13" s="1"/>
  <c r="C5687" i="13" s="1"/>
  <c r="C5686" i="13" s="1"/>
  <c r="C5685" i="13" s="1"/>
  <c r="C5684" i="13" s="1"/>
  <c r="C5683" i="13" s="1"/>
  <c r="C5682" i="13" s="1"/>
  <c r="C5681" i="13" s="1"/>
  <c r="C5680" i="13" s="1"/>
  <c r="C5679" i="13" s="1"/>
  <c r="C5678" i="13" s="1"/>
  <c r="C5677" i="13" s="1"/>
  <c r="C5676" i="13" s="1"/>
  <c r="C5675" i="13" s="1"/>
  <c r="C5674" i="13" s="1"/>
  <c r="C5673" i="13" s="1"/>
  <c r="C5672" i="13" s="1"/>
  <c r="C5671" i="13" s="1"/>
  <c r="C5670" i="13" s="1"/>
  <c r="C5669" i="13" s="1"/>
  <c r="C5668" i="13" s="1"/>
  <c r="C5667" i="13" s="1"/>
  <c r="C5666" i="13" s="1"/>
  <c r="C5665" i="13" s="1"/>
  <c r="C5664" i="13" s="1"/>
  <c r="C5663" i="13" s="1"/>
  <c r="C5662" i="13" s="1"/>
  <c r="C5661" i="13" s="1"/>
  <c r="C5660" i="13" s="1"/>
  <c r="C5659" i="13" s="1"/>
  <c r="C5658" i="13" s="1"/>
  <c r="C5657" i="13" s="1"/>
  <c r="C5656" i="13" s="1"/>
  <c r="C5655" i="13" s="1"/>
  <c r="C5654" i="13" s="1"/>
  <c r="C5653" i="13" s="1"/>
  <c r="C5652" i="13" s="1"/>
  <c r="C5651" i="13" s="1"/>
  <c r="C5650" i="13" s="1"/>
  <c r="C5649" i="13" s="1"/>
  <c r="C5648" i="13" s="1"/>
  <c r="C5647" i="13" s="1"/>
  <c r="C5646" i="13" s="1"/>
  <c r="C5645" i="13" s="1"/>
  <c r="C5644" i="13" s="1"/>
  <c r="C5643" i="13" s="1"/>
  <c r="C5642" i="13" s="1"/>
  <c r="C5641" i="13" s="1"/>
  <c r="C5640" i="13" s="1"/>
  <c r="C5639" i="13" s="1"/>
  <c r="C5638" i="13" s="1"/>
  <c r="C5637" i="13" s="1"/>
  <c r="C5636" i="13" s="1"/>
  <c r="C5635" i="13" s="1"/>
  <c r="C5634" i="13" s="1"/>
  <c r="C5633" i="13" s="1"/>
  <c r="C5632" i="13" s="1"/>
  <c r="C5631" i="13" s="1"/>
  <c r="C5630" i="13" s="1"/>
  <c r="C5629" i="13" s="1"/>
  <c r="C5628" i="13" s="1"/>
  <c r="C5627" i="13" s="1"/>
  <c r="C5626" i="13" s="1"/>
  <c r="C5625" i="13" s="1"/>
  <c r="C5624" i="13" s="1"/>
  <c r="C5623" i="13" s="1"/>
  <c r="C5622" i="13" s="1"/>
  <c r="C5621" i="13" s="1"/>
  <c r="C5620" i="13" s="1"/>
  <c r="C5619" i="13" s="1"/>
  <c r="C5618" i="13" s="1"/>
  <c r="C5617" i="13" s="1"/>
  <c r="C5616" i="13" s="1"/>
  <c r="C5615" i="13" s="1"/>
  <c r="C5614" i="13" s="1"/>
  <c r="C5613" i="13" s="1"/>
  <c r="C5612" i="13" s="1"/>
  <c r="C5611" i="13" s="1"/>
  <c r="C5610" i="13" s="1"/>
  <c r="C5609" i="13" s="1"/>
  <c r="C5608" i="13" s="1"/>
  <c r="C5607" i="13" s="1"/>
  <c r="C5606" i="13" s="1"/>
  <c r="C5605" i="13" s="1"/>
  <c r="C5604" i="13" s="1"/>
  <c r="C5603" i="13" s="1"/>
  <c r="C5602" i="13" s="1"/>
  <c r="C5601" i="13" s="1"/>
  <c r="C5600" i="13" s="1"/>
  <c r="C5599" i="13" s="1"/>
  <c r="C5598" i="13" s="1"/>
  <c r="C5597" i="13" s="1"/>
  <c r="C5596" i="13" s="1"/>
  <c r="C5595" i="13" s="1"/>
  <c r="C5594" i="13" s="1"/>
  <c r="C5593" i="13" s="1"/>
  <c r="C5592" i="13" s="1"/>
  <c r="C5591" i="13" s="1"/>
  <c r="C5590" i="13" s="1"/>
  <c r="C5589" i="13" s="1"/>
  <c r="C5588" i="13" s="1"/>
  <c r="C5587" i="13" s="1"/>
  <c r="C5586" i="13" s="1"/>
  <c r="C5585" i="13" s="1"/>
  <c r="C5584" i="13" s="1"/>
  <c r="C5583" i="13" s="1"/>
  <c r="C5582" i="13" s="1"/>
  <c r="C5581" i="13" s="1"/>
  <c r="C5580" i="13" s="1"/>
  <c r="C5579" i="13" s="1"/>
  <c r="C5578" i="13" s="1"/>
  <c r="C5577" i="13" s="1"/>
  <c r="C5576" i="13" s="1"/>
  <c r="C5575" i="13" s="1"/>
  <c r="C5574" i="13" s="1"/>
  <c r="C5573" i="13" s="1"/>
  <c r="C5572" i="13" s="1"/>
  <c r="C5571" i="13" s="1"/>
  <c r="C5570" i="13" s="1"/>
  <c r="C5569" i="13" s="1"/>
  <c r="C5568" i="13" s="1"/>
  <c r="C5567" i="13" s="1"/>
  <c r="C5566" i="13" s="1"/>
  <c r="C5565" i="13" s="1"/>
  <c r="C5564" i="13" s="1"/>
  <c r="C5563" i="13" s="1"/>
  <c r="C5562" i="13" s="1"/>
  <c r="C5561" i="13" s="1"/>
  <c r="C5560" i="13" s="1"/>
  <c r="C5559" i="13" s="1"/>
  <c r="C5558" i="13" s="1"/>
  <c r="C5557" i="13" s="1"/>
  <c r="C5556" i="13" s="1"/>
  <c r="C5555" i="13" s="1"/>
  <c r="C5554" i="13" s="1"/>
  <c r="C5553" i="13" s="1"/>
  <c r="C5552" i="13" s="1"/>
  <c r="C5551" i="13" s="1"/>
  <c r="C5550" i="13" s="1"/>
  <c r="C5549" i="13" s="1"/>
  <c r="C5548" i="13" s="1"/>
  <c r="C5547" i="13" s="1"/>
  <c r="C5546" i="13" s="1"/>
  <c r="C5545" i="13" s="1"/>
  <c r="C5544" i="13" s="1"/>
  <c r="C5543" i="13" s="1"/>
  <c r="C5542" i="13" s="1"/>
  <c r="C5541" i="13" s="1"/>
  <c r="C5540" i="13" s="1"/>
  <c r="C5539" i="13" s="1"/>
  <c r="C5538" i="13" s="1"/>
  <c r="C5537" i="13" s="1"/>
  <c r="C5536" i="13" s="1"/>
  <c r="C5535" i="13" s="1"/>
  <c r="C5534" i="13" s="1"/>
  <c r="C5533" i="13" s="1"/>
  <c r="C5532" i="13" s="1"/>
  <c r="C5531" i="13" s="1"/>
  <c r="C5530" i="13" s="1"/>
  <c r="C5529" i="13" s="1"/>
  <c r="C5528" i="13" s="1"/>
  <c r="C5527" i="13" s="1"/>
  <c r="C5526" i="13" s="1"/>
  <c r="C5525" i="13" s="1"/>
  <c r="C5524" i="13" s="1"/>
  <c r="C5523" i="13" s="1"/>
  <c r="C5522" i="13" s="1"/>
  <c r="C5521" i="13" s="1"/>
  <c r="C5520" i="13" s="1"/>
  <c r="C5519" i="13" s="1"/>
  <c r="C5518" i="13" s="1"/>
  <c r="C5517" i="13" s="1"/>
  <c r="C5516" i="13" s="1"/>
  <c r="C5515" i="13" s="1"/>
  <c r="C5514" i="13" s="1"/>
  <c r="C5513" i="13" s="1"/>
  <c r="C5512" i="13" s="1"/>
  <c r="C5511" i="13" s="1"/>
  <c r="C5510" i="13" s="1"/>
  <c r="C5509" i="13" s="1"/>
  <c r="C5508" i="13" s="1"/>
  <c r="C5507" i="13" s="1"/>
  <c r="C5506" i="13" s="1"/>
  <c r="C5505" i="13" s="1"/>
  <c r="C5504" i="13" s="1"/>
  <c r="C5503" i="13" s="1"/>
  <c r="C5502" i="13" s="1"/>
  <c r="C5501" i="13" s="1"/>
  <c r="C5500" i="13" s="1"/>
  <c r="C5499" i="13" s="1"/>
  <c r="C5498" i="13" s="1"/>
  <c r="C5497" i="13" s="1"/>
  <c r="C5496" i="13" s="1"/>
  <c r="C5495" i="13" s="1"/>
  <c r="C5494" i="13" s="1"/>
  <c r="C5493" i="13" s="1"/>
  <c r="C5492" i="13" s="1"/>
  <c r="C5491" i="13" s="1"/>
  <c r="C5490" i="13" s="1"/>
  <c r="C5489" i="13" s="1"/>
  <c r="C5488" i="13" s="1"/>
  <c r="C5487" i="13" s="1"/>
  <c r="C5486" i="13" s="1"/>
  <c r="C5485" i="13" s="1"/>
  <c r="C5484" i="13" s="1"/>
  <c r="C5483" i="13" s="1"/>
  <c r="C5482" i="13" s="1"/>
  <c r="C5481" i="13" s="1"/>
  <c r="C5480" i="13" s="1"/>
  <c r="C5479" i="13" s="1"/>
  <c r="C5478" i="13" s="1"/>
  <c r="C5477" i="13" s="1"/>
  <c r="C5476" i="13" s="1"/>
  <c r="C5475" i="13" s="1"/>
  <c r="C5474" i="13" s="1"/>
  <c r="C5473" i="13" s="1"/>
  <c r="C5472" i="13" s="1"/>
  <c r="C5471" i="13" s="1"/>
  <c r="C5470" i="13" s="1"/>
  <c r="C5469" i="13" s="1"/>
  <c r="C5468" i="13" s="1"/>
  <c r="C5467" i="13" s="1"/>
  <c r="C5466" i="13" s="1"/>
  <c r="C5465" i="13" s="1"/>
  <c r="C5464" i="13" s="1"/>
  <c r="C5463" i="13" s="1"/>
  <c r="C5462" i="13" s="1"/>
  <c r="C5461" i="13" s="1"/>
  <c r="C5460" i="13" s="1"/>
  <c r="C5459" i="13" s="1"/>
  <c r="C5458" i="13" s="1"/>
  <c r="C5457" i="13" s="1"/>
  <c r="C5456" i="13" s="1"/>
  <c r="C5455" i="13" s="1"/>
  <c r="C5454" i="13" s="1"/>
  <c r="C5453" i="13" s="1"/>
  <c r="C5452" i="13" s="1"/>
  <c r="C5451" i="13" s="1"/>
  <c r="C5450" i="13" s="1"/>
  <c r="C5449" i="13" s="1"/>
  <c r="C5448" i="13" s="1"/>
  <c r="C5447" i="13" s="1"/>
  <c r="C5446" i="13" s="1"/>
  <c r="C5445" i="13" s="1"/>
  <c r="C5444" i="13" s="1"/>
  <c r="C5443" i="13" s="1"/>
  <c r="C5442" i="13" s="1"/>
  <c r="C5441" i="13" s="1"/>
  <c r="C5440" i="13" s="1"/>
  <c r="C5439" i="13" s="1"/>
  <c r="C5438" i="13" s="1"/>
  <c r="C5437" i="13" s="1"/>
  <c r="C5436" i="13" s="1"/>
  <c r="C5435" i="13" s="1"/>
  <c r="C5434" i="13" s="1"/>
  <c r="C5433" i="13" s="1"/>
  <c r="C5432" i="13" s="1"/>
  <c r="C5431" i="13" s="1"/>
  <c r="C5430" i="13" s="1"/>
  <c r="C5429" i="13" s="1"/>
  <c r="C5428" i="13" s="1"/>
  <c r="C5427" i="13" s="1"/>
  <c r="C5426" i="13" s="1"/>
  <c r="C5425" i="13" s="1"/>
  <c r="C5424" i="13" s="1"/>
  <c r="C5423" i="13" s="1"/>
  <c r="C5422" i="13" s="1"/>
  <c r="C5421" i="13" s="1"/>
  <c r="C5420" i="13" s="1"/>
  <c r="C5419" i="13" s="1"/>
  <c r="C5418" i="13" s="1"/>
  <c r="C5417" i="13" s="1"/>
  <c r="C5416" i="13" s="1"/>
  <c r="C5415" i="13" s="1"/>
  <c r="C5414" i="13" s="1"/>
  <c r="C5413" i="13" s="1"/>
  <c r="C5412" i="13" s="1"/>
  <c r="C5411" i="13" s="1"/>
  <c r="C5410" i="13" s="1"/>
  <c r="C5409" i="13" s="1"/>
  <c r="C5408" i="13" s="1"/>
  <c r="C5407" i="13" s="1"/>
  <c r="C5406" i="13" s="1"/>
  <c r="C5405" i="13" s="1"/>
  <c r="C5404" i="13" s="1"/>
  <c r="C5403" i="13" s="1"/>
  <c r="C5402" i="13" s="1"/>
  <c r="C5401" i="13" s="1"/>
  <c r="C5400" i="13" s="1"/>
  <c r="C5399" i="13" s="1"/>
  <c r="C5398" i="13" s="1"/>
  <c r="C5397" i="13" s="1"/>
  <c r="C5396" i="13" s="1"/>
  <c r="C5395" i="13" s="1"/>
  <c r="C5394" i="13" s="1"/>
  <c r="C5393" i="13" s="1"/>
  <c r="C5392" i="13" s="1"/>
  <c r="C5391" i="13" s="1"/>
  <c r="C5390" i="13" s="1"/>
  <c r="C5389" i="13" s="1"/>
  <c r="C5388" i="13" s="1"/>
  <c r="C5387" i="13" s="1"/>
  <c r="C5386" i="13" s="1"/>
  <c r="C5385" i="13" s="1"/>
  <c r="C5384" i="13" s="1"/>
  <c r="C5383" i="13" s="1"/>
  <c r="C5382" i="13" s="1"/>
  <c r="C5381" i="13" s="1"/>
  <c r="C5380" i="13" s="1"/>
  <c r="C5379" i="13" s="1"/>
  <c r="C5378" i="13" s="1"/>
  <c r="C5377" i="13" s="1"/>
  <c r="C5376" i="13" s="1"/>
  <c r="C5375" i="13" s="1"/>
  <c r="C5374" i="13" s="1"/>
  <c r="C5373" i="13" s="1"/>
  <c r="C5372" i="13" s="1"/>
  <c r="C5371" i="13" s="1"/>
  <c r="C5370" i="13" s="1"/>
  <c r="C5369" i="13" s="1"/>
  <c r="C5368" i="13" s="1"/>
  <c r="C5367" i="13" s="1"/>
  <c r="C5366" i="13" s="1"/>
  <c r="C5365" i="13" s="1"/>
  <c r="C5364" i="13" s="1"/>
  <c r="C5363" i="13" s="1"/>
  <c r="C5362" i="13" s="1"/>
  <c r="C5361" i="13" s="1"/>
  <c r="C5360" i="13" s="1"/>
  <c r="C5359" i="13" s="1"/>
  <c r="C5358" i="13" s="1"/>
  <c r="C5357" i="13" s="1"/>
  <c r="C5356" i="13" s="1"/>
  <c r="C5355" i="13" s="1"/>
  <c r="C5354" i="13" s="1"/>
</calcChain>
</file>

<file path=xl/sharedStrings.xml><?xml version="1.0" encoding="utf-8"?>
<sst xmlns="http://schemas.openxmlformats.org/spreadsheetml/2006/main" count="264" uniqueCount="150">
  <si>
    <t>Plazo</t>
  </si>
  <si>
    <t>Cetes</t>
  </si>
  <si>
    <t>Cetes IMPTO</t>
  </si>
  <si>
    <t>Yield Bonos</t>
  </si>
  <si>
    <t>Ipabono</t>
  </si>
  <si>
    <t>Ipabono Trimestral</t>
  </si>
  <si>
    <t>Bonde 182</t>
  </si>
  <si>
    <t>Bondes LT</t>
  </si>
  <si>
    <t>Brems</t>
  </si>
  <si>
    <t>Yield Real</t>
  </si>
  <si>
    <t>Real</t>
  </si>
  <si>
    <t>Real IMPTO</t>
  </si>
  <si>
    <t>Pagares Udizados</t>
  </si>
  <si>
    <t>Reporto Guber G1</t>
  </si>
  <si>
    <t>Reporto Guber G1 IMPTO</t>
  </si>
  <si>
    <t>Reporto Guber G2</t>
  </si>
  <si>
    <t>Reporto Guber G2 IMPTO</t>
  </si>
  <si>
    <t>Reporto Guber G3</t>
  </si>
  <si>
    <t>Reporto Guber G3 IMPTO</t>
  </si>
  <si>
    <t>Reporto Bancario B1</t>
  </si>
  <si>
    <t>Reporto Bancario B2</t>
  </si>
  <si>
    <t>Reporto Bancario B3</t>
  </si>
  <si>
    <t>Reporto Bancario B4</t>
  </si>
  <si>
    <t>Bancario B1</t>
  </si>
  <si>
    <t>Bancario B2</t>
  </si>
  <si>
    <t>Bancario B3</t>
  </si>
  <si>
    <t>Bancario B4</t>
  </si>
  <si>
    <t>Ums</t>
  </si>
  <si>
    <t>Cedes Dolarizados</t>
  </si>
  <si>
    <t>Calificacion A</t>
  </si>
  <si>
    <t>Calificacion AA</t>
  </si>
  <si>
    <t>Calificacion AAA</t>
  </si>
  <si>
    <t>Calificacion B</t>
  </si>
  <si>
    <t>Calificacion C</t>
  </si>
  <si>
    <t>Calificacion D</t>
  </si>
  <si>
    <t>Implicita Pesos</t>
  </si>
  <si>
    <t>Puntos Forward</t>
  </si>
  <si>
    <t>Tipo de Cambio Forward</t>
  </si>
  <si>
    <t>Fras Tiie</t>
  </si>
  <si>
    <t>Descuento Irs</t>
  </si>
  <si>
    <t>Treasuries</t>
  </si>
  <si>
    <t>Libor Yield</t>
  </si>
  <si>
    <t>Libor</t>
  </si>
  <si>
    <t>Cross Currency BID</t>
  </si>
  <si>
    <t>Cross Currency MID</t>
  </si>
  <si>
    <t>Libor Canada</t>
  </si>
  <si>
    <t>Libor Euro</t>
  </si>
  <si>
    <t>Libor Yen</t>
  </si>
  <si>
    <t>Libor Marco</t>
  </si>
  <si>
    <t>Riesgo Mexico</t>
  </si>
  <si>
    <t>Tipo de Cambio Forward (Base FIX)</t>
  </si>
  <si>
    <t>Implicita Pesos (Base FIX)</t>
  </si>
  <si>
    <t>Ipabono Semestral</t>
  </si>
  <si>
    <t>Cross Currency Swap Udi/Libor</t>
  </si>
  <si>
    <t>Libor Hong Kong</t>
  </si>
  <si>
    <t>Implicita en Forward de Peso Colombiano</t>
  </si>
  <si>
    <t>Cetes Irs</t>
  </si>
  <si>
    <t>Libor Australiana</t>
  </si>
  <si>
    <t>Libor Franco Suizo</t>
  </si>
  <si>
    <t>Libor Londres</t>
  </si>
  <si>
    <t>Implicita en Forward de Real Brasilenio</t>
  </si>
  <si>
    <t>Bondes D</t>
  </si>
  <si>
    <t>Cross Currency Swap Udi/TIIE</t>
  </si>
  <si>
    <t>Udi/TIIE tasa Swap</t>
  </si>
  <si>
    <t>Yield Bonos Neto</t>
  </si>
  <si>
    <t>Euribor</t>
  </si>
  <si>
    <t>Implicita en Forward de Euro</t>
  </si>
  <si>
    <t>Implicita en Forward de Yen Japones</t>
  </si>
  <si>
    <t>Implicita en Forward de Dolar Canadiense</t>
  </si>
  <si>
    <t>Tipo de Cambio Forward Dolar Canadiense</t>
  </si>
  <si>
    <t>Tipo de Cambio Forward Euro</t>
  </si>
  <si>
    <t>Tipo de Cambio Forward MXP/EUR</t>
  </si>
  <si>
    <t>Tipo de Cambio Forward Real Brasilenio</t>
  </si>
  <si>
    <t>Tipo de Cambio Forward Yen Japones</t>
  </si>
  <si>
    <t>Implicita en Forward de Libra Esterlina</t>
  </si>
  <si>
    <t>Tipo de Cambio Forward Libra Esterlina</t>
  </si>
  <si>
    <t>Reporto UMS</t>
  </si>
  <si>
    <t>Cross Currency Swap Libor USD/Euribor</t>
  </si>
  <si>
    <t>Cross Currency Swap Tiie/Euribor</t>
  </si>
  <si>
    <t>Ums Zero 364/YTM</t>
  </si>
  <si>
    <t>Libor Yen Cupon Cero</t>
  </si>
  <si>
    <t>Libor Euro Cupon Cero</t>
  </si>
  <si>
    <t>Udi/Libor tasa Swap</t>
  </si>
  <si>
    <t>Yield Real con Impuesto</t>
  </si>
  <si>
    <t>Reporto Privados AAA</t>
  </si>
  <si>
    <t>Cross Currency Swap TIIE/Libor Bid</t>
  </si>
  <si>
    <t>Tiie Swap</t>
  </si>
  <si>
    <t>Nominal</t>
  </si>
  <si>
    <t>Fecha de valoración</t>
  </si>
  <si>
    <t>Fecha de vencimiento</t>
  </si>
  <si>
    <t>Días por vencer</t>
  </si>
  <si>
    <t>Posición</t>
  </si>
  <si>
    <t>Tasa</t>
  </si>
  <si>
    <t>Valor Bono</t>
  </si>
  <si>
    <t>Valores a cambiar</t>
  </si>
  <si>
    <t>Valores Calculados</t>
  </si>
  <si>
    <t>Curva</t>
  </si>
  <si>
    <t>Sí</t>
  </si>
  <si>
    <t>No</t>
  </si>
  <si>
    <t>Tipo Interpolación Alambrada</t>
  </si>
  <si>
    <t>Tasa Cupón Fija</t>
  </si>
  <si>
    <t>Fecha</t>
  </si>
  <si>
    <t>Cupón</t>
  </si>
  <si>
    <t>VPN Cupón</t>
  </si>
  <si>
    <t>Tasa VPN</t>
  </si>
  <si>
    <t>Dias pago cupón</t>
  </si>
  <si>
    <t>Dias cupon</t>
  </si>
  <si>
    <t>Dias transcurridos</t>
  </si>
  <si>
    <t>Tasa Cupón</t>
  </si>
  <si>
    <t>SOLUCIÓN POR FÓRMULA ANUALIDAD</t>
  </si>
  <si>
    <t>Precio Sucio =</t>
  </si>
  <si>
    <t>Precio Limpio =</t>
  </si>
  <si>
    <t>Cupones por pagar</t>
  </si>
  <si>
    <t>Días devengados cupón vig</t>
  </si>
  <si>
    <t>Intereses acumulados cupón</t>
  </si>
  <si>
    <t>Flujo/cupón</t>
  </si>
  <si>
    <t>Valor Bono (Precio Sucio)</t>
  </si>
  <si>
    <t>Valor Bono (Precio Limpio)</t>
  </si>
  <si>
    <t>SOLUCIÓN POR FÓRMULA MACRO</t>
  </si>
  <si>
    <t>b</t>
  </si>
  <si>
    <t>Plazo Corto</t>
  </si>
  <si>
    <t>Tasa corta p/ Cupón</t>
  </si>
  <si>
    <t>Tasa larga p/ Cupón</t>
  </si>
  <si>
    <t>Curva cupón</t>
  </si>
  <si>
    <t>Tasa Forward</t>
  </si>
  <si>
    <t>Sobretasa</t>
  </si>
  <si>
    <t>Curva valor presente</t>
  </si>
  <si>
    <t>Curva cupón Guber</t>
  </si>
  <si>
    <t>Curva cupón Real (UDI)</t>
  </si>
  <si>
    <t>I Dummy</t>
  </si>
  <si>
    <t>SobreTasa VPN</t>
  </si>
  <si>
    <t>St BPAS</t>
  </si>
  <si>
    <t>UDI</t>
  </si>
  <si>
    <t>Tfondeo</t>
  </si>
  <si>
    <t>TFONDEO</t>
  </si>
  <si>
    <t>UDI Forward</t>
  </si>
  <si>
    <t>UDI SPOT</t>
  </si>
  <si>
    <t>UD 182</t>
  </si>
  <si>
    <t>Tasa fwd CETE 182</t>
  </si>
  <si>
    <t>Tasa ext Real</t>
  </si>
  <si>
    <t>Tasa VPN CETE</t>
  </si>
  <si>
    <t>Valor Bono Precio Sucio</t>
  </si>
  <si>
    <t>Valor Bono Precio Limpio</t>
  </si>
  <si>
    <t>Valor Bono Limpio</t>
  </si>
  <si>
    <t>Valor Bono Sucio</t>
  </si>
  <si>
    <t>TC_dev</t>
  </si>
  <si>
    <t>Tasa cupón</t>
  </si>
  <si>
    <t>Tasa de Fondeo actual</t>
  </si>
  <si>
    <t>Sobre Tasa VPN</t>
  </si>
  <si>
    <t>PR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</si>
</sst>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3">
    <numFmt numFmtId="44" formatCode="_-&quot;$&quot;* #,##0.00_-;\-&quot;$&quot;* #,##0.00_-;_-&quot;$&quot;* &quot;-&quot;??_-;_-@_-"/>
    <numFmt numFmtId="43" formatCode="_-* #,##0.00_-;\-* #,##0.00_-;_-* &quot;-&quot;??_-;_-@_-"/>
    <numFmt numFmtId="164" formatCode="0.000000"/>
    <numFmt numFmtId="165" formatCode="0.0000000"/>
    <numFmt numFmtId="166" formatCode="0.00000%"/>
    <numFmt numFmtId="167" formatCode="_-* #,##0_-;\-* #,##0_-;_-* &quot;-&quot;??_-;_-@_-"/>
    <numFmt numFmtId="168" formatCode="_-&quot;$&quot;* #,##0_-;\-&quot;$&quot;* #,##0_-;_-&quot;$&quot;* &quot;-&quot;??_-;_-@_-"/>
    <numFmt numFmtId="169" formatCode="0.000%"/>
    <numFmt numFmtId="170" formatCode="0.0000%"/>
    <numFmt numFmtId="171" formatCode="_-* #,##0.00000_-;\-* #,##0.00000_-;_-* &quot;-&quot;??_-;_-@_-"/>
    <numFmt numFmtId="172" formatCode="_-* #,##0.000_-;\-* #,##0.000_-;_-* &quot;-&quot;??_-;_-@_-"/>
    <numFmt numFmtId="173" formatCode="0.00000000"/>
    <numFmt numFmtId="174" formatCode="_-* #,##0.0_-;\-* #,##0.0_-;_-* &quot;-&quot;??_-;_-@_-"/>
  </numFmts>
  <fonts count="6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color theme="1"/>
      <name val="Calibri"/>
      <family val="2"/>
      <scheme val="minor"/>
    </font>
    <font>
      <i/>
      <sz val="10"/>
      <name val="Arial"/>
      <family val="2"/>
    </font>
    <font>
      <b/>
      <sz val="10"/>
      <color theme="1" tint="0.34998626667073579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-0.249977111117893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4">
    <xf numFmtId="0" fontId="0" fillId="0" borderId="0" xfId="0"/>
    <xf numFmtId="164" fontId="0" fillId="0" borderId="0" xfId="0" applyNumberFormat="1"/>
    <xf numFmtId="0" fontId="0" fillId="2" borderId="0" xfId="0" applyFill="1"/>
    <xf numFmtId="0" fontId="0" fillId="3" borderId="0" xfId="0" applyFill="1"/>
    <xf numFmtId="0" fontId="0" fillId="4" borderId="0" xfId="0" applyFill="1"/>
    <xf numFmtId="165" fontId="0" fillId="0" borderId="0" xfId="0" applyNumberFormat="1"/>
    <xf numFmtId="167" fontId="0" fillId="0" borderId="0" xfId="1" applyNumberFormat="1" applyFont="1"/>
    <xf numFmtId="0" fontId="0" fillId="0" borderId="0" xfId="0" applyAlignment="1">
      <alignment horizontal="center"/>
    </xf>
    <xf numFmtId="0" fontId="2" fillId="0" borderId="0" xfId="0" applyFont="1"/>
    <xf numFmtId="166" fontId="2" fillId="0" borderId="0" xfId="3" applyNumberFormat="1" applyFont="1"/>
    <xf numFmtId="44" fontId="2" fillId="0" borderId="0" xfId="2" applyFont="1"/>
    <xf numFmtId="168" fontId="0" fillId="0" borderId="0" xfId="2" applyNumberFormat="1" applyFont="1"/>
    <xf numFmtId="15" fontId="0" fillId="0" borderId="0" xfId="0" applyNumberFormat="1"/>
    <xf numFmtId="0" fontId="2" fillId="4" borderId="0" xfId="0" applyFont="1" applyFill="1"/>
    <xf numFmtId="0" fontId="1" fillId="3" borderId="0" xfId="0" applyFont="1" applyFill="1"/>
    <xf numFmtId="10" fontId="0" fillId="0" borderId="0" xfId="0" applyNumberFormat="1"/>
    <xf numFmtId="0" fontId="1" fillId="0" borderId="0" xfId="0" applyFont="1"/>
    <xf numFmtId="167" fontId="0" fillId="0" borderId="0" xfId="0" applyNumberFormat="1"/>
    <xf numFmtId="167" fontId="1" fillId="0" borderId="0" xfId="0" applyNumberFormat="1" applyFont="1"/>
    <xf numFmtId="43" fontId="0" fillId="0" borderId="0" xfId="0" applyNumberFormat="1"/>
    <xf numFmtId="10" fontId="0" fillId="0" borderId="0" xfId="3" applyNumberFormat="1" applyFont="1"/>
    <xf numFmtId="169" fontId="0" fillId="0" borderId="0" xfId="3" applyNumberFormat="1" applyFont="1"/>
    <xf numFmtId="0" fontId="2" fillId="0" borderId="0" xfId="0" applyFont="1" applyAlignment="1">
      <alignment horizontal="center" wrapText="1"/>
    </xf>
    <xf numFmtId="170" fontId="0" fillId="0" borderId="0" xfId="3" applyNumberFormat="1" applyFont="1"/>
    <xf numFmtId="0" fontId="3" fillId="0" borderId="0" xfId="0" applyFont="1"/>
    <xf numFmtId="171" fontId="0" fillId="0" borderId="0" xfId="1" applyNumberFormat="1" applyFont="1"/>
    <xf numFmtId="0" fontId="1" fillId="4" borderId="0" xfId="0" applyFont="1" applyFill="1"/>
    <xf numFmtId="167" fontId="4" fillId="0" borderId="0" xfId="0" applyNumberFormat="1" applyFont="1"/>
    <xf numFmtId="0" fontId="4" fillId="0" borderId="0" xfId="0" applyFont="1"/>
    <xf numFmtId="168" fontId="2" fillId="0" borderId="0" xfId="2" applyNumberFormat="1" applyFont="1"/>
    <xf numFmtId="168" fontId="0" fillId="0" borderId="0" xfId="0" applyNumberFormat="1"/>
    <xf numFmtId="168" fontId="2" fillId="0" borderId="0" xfId="0" applyNumberFormat="1" applyFont="1"/>
    <xf numFmtId="168" fontId="2" fillId="0" borderId="0" xfId="2" applyNumberFormat="1" applyFont="1" applyFill="1"/>
    <xf numFmtId="0" fontId="5" fillId="0" borderId="0" xfId="0" applyFont="1"/>
    <xf numFmtId="14" fontId="0" fillId="0" borderId="0" xfId="0" applyNumberFormat="1"/>
    <xf numFmtId="172" fontId="0" fillId="0" borderId="0" xfId="1" applyNumberFormat="1" applyFont="1"/>
    <xf numFmtId="173" fontId="0" fillId="0" borderId="0" xfId="0" applyNumberFormat="1"/>
    <xf numFmtId="10" fontId="2" fillId="0" borderId="0" xfId="3" applyNumberFormat="1" applyFont="1"/>
    <xf numFmtId="0" fontId="0" fillId="5" borderId="0" xfId="0" applyFill="1"/>
    <xf numFmtId="0" fontId="2" fillId="0" borderId="0" xfId="0" applyFont="1" applyAlignment="1">
      <alignment horizontal="center"/>
    </xf>
    <xf numFmtId="0" fontId="0" fillId="6" borderId="0" xfId="0" applyFill="1"/>
    <xf numFmtId="168" fontId="2" fillId="6" borderId="0" xfId="2" applyNumberFormat="1" applyFont="1" applyFill="1"/>
    <xf numFmtId="174" fontId="0" fillId="0" borderId="0" xfId="1" applyNumberFormat="1" applyFont="1"/>
    <xf numFmtId="44" fontId="0" fillId="0" borderId="0" xfId="2" applyNumberFormat="1" applyFont="1"/>
  </cellXfs>
  <cellStyles count="4">
    <cellStyle name="Millares" xfId="1" builtinId="3"/>
    <cellStyle name="Moneda" xfId="2" builtinId="4"/>
    <cellStyle name="Normal" xfId="0" builtinId="0"/>
    <cellStyle name="Porcentaje" xfId="3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GR355TX/Downloads/interpolar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interpolar"/>
    </sheetNames>
    <definedNames>
      <definedName name="interpolar"/>
    </definedNames>
    <sheetDataSet>
      <sheetData sheetId="0" refreshError="1"/>
      <sheetData sheetId="1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L71"/>
  <sheetViews>
    <sheetView zoomScale="130" zoomScaleNormal="130" workbookViewId="0">
      <selection activeCell="C2" sqref="C2"/>
    </sheetView>
  </sheetViews>
  <sheetFormatPr baseColWidth="10" defaultColWidth="9.140625" defaultRowHeight="12.75" x14ac:dyDescent="0.2"/>
  <cols>
    <col min="3" max="3" width="11.42578125" customWidth="1"/>
    <col min="37" max="37" width="14.28515625" bestFit="1" customWidth="1"/>
    <col min="38" max="38" width="22" bestFit="1" customWidth="1"/>
    <col min="49" max="49" width="9.5703125" bestFit="1" customWidth="1"/>
    <col min="50" max="50" width="9.42578125" bestFit="1" customWidth="1"/>
    <col min="51" max="51" width="11" bestFit="1" customWidth="1"/>
    <col min="52" max="52" width="13.42578125" bestFit="1" customWidth="1"/>
    <col min="53" max="53" width="32" bestFit="1" customWidth="1"/>
    <col min="54" max="54" width="23.5703125" bestFit="1" customWidth="1"/>
  </cols>
  <sheetData>
    <row r="1" spans="1:90" x14ac:dyDescent="0.2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8" t="s">
        <v>9</v>
      </c>
      <c r="K1" s="8" t="s">
        <v>10</v>
      </c>
      <c r="L1" s="8" t="s">
        <v>11</v>
      </c>
      <c r="M1" s="8" t="s">
        <v>12</v>
      </c>
      <c r="N1" s="8" t="s">
        <v>13</v>
      </c>
      <c r="O1" s="8" t="s">
        <v>14</v>
      </c>
      <c r="P1" s="8" t="s">
        <v>15</v>
      </c>
      <c r="Q1" s="8" t="s">
        <v>16</v>
      </c>
      <c r="R1" s="8" t="s">
        <v>17</v>
      </c>
      <c r="S1" s="8" t="s">
        <v>18</v>
      </c>
      <c r="T1" s="8" t="s">
        <v>19</v>
      </c>
      <c r="U1" s="8" t="s">
        <v>20</v>
      </c>
      <c r="V1" s="8" t="s">
        <v>21</v>
      </c>
      <c r="W1" s="8" t="s">
        <v>22</v>
      </c>
      <c r="X1" s="8" t="s">
        <v>23</v>
      </c>
      <c r="Y1" s="8" t="s">
        <v>24</v>
      </c>
      <c r="Z1" s="8" t="s">
        <v>25</v>
      </c>
      <c r="AA1" s="8" t="s">
        <v>26</v>
      </c>
      <c r="AB1" s="8" t="s">
        <v>27</v>
      </c>
      <c r="AC1" s="8" t="s">
        <v>28</v>
      </c>
      <c r="AD1" s="8" t="s">
        <v>29</v>
      </c>
      <c r="AE1" s="8" t="s">
        <v>30</v>
      </c>
      <c r="AF1" s="8" t="s">
        <v>31</v>
      </c>
      <c r="AG1" s="8" t="s">
        <v>32</v>
      </c>
      <c r="AH1" s="8" t="s">
        <v>33</v>
      </c>
      <c r="AI1" s="8" t="s">
        <v>34</v>
      </c>
      <c r="AJ1" s="8" t="s">
        <v>35</v>
      </c>
      <c r="AK1" s="8" t="s">
        <v>36</v>
      </c>
      <c r="AL1" s="8" t="s">
        <v>37</v>
      </c>
      <c r="AM1" s="8" t="s">
        <v>38</v>
      </c>
      <c r="AN1" s="8" t="s">
        <v>39</v>
      </c>
      <c r="AO1" s="8" t="s">
        <v>40</v>
      </c>
      <c r="AP1" s="8" t="s">
        <v>41</v>
      </c>
      <c r="AQ1" s="8" t="s">
        <v>42</v>
      </c>
      <c r="AR1" s="8" t="s">
        <v>131</v>
      </c>
      <c r="AS1" s="8" t="s">
        <v>43</v>
      </c>
      <c r="AT1" s="8" t="s">
        <v>44</v>
      </c>
      <c r="AV1" t="s">
        <v>45</v>
      </c>
      <c r="AW1" t="s">
        <v>46</v>
      </c>
      <c r="AX1" t="s">
        <v>47</v>
      </c>
      <c r="AY1" t="s">
        <v>48</v>
      </c>
      <c r="AZ1" t="s">
        <v>49</v>
      </c>
      <c r="BA1" t="s">
        <v>50</v>
      </c>
      <c r="BB1" t="s">
        <v>51</v>
      </c>
      <c r="BC1" t="s">
        <v>52</v>
      </c>
      <c r="BD1" t="s">
        <v>53</v>
      </c>
      <c r="BE1" t="s">
        <v>54</v>
      </c>
      <c r="BF1" t="s">
        <v>55</v>
      </c>
      <c r="BG1" t="s">
        <v>56</v>
      </c>
      <c r="BH1" t="s">
        <v>57</v>
      </c>
      <c r="BI1" t="s">
        <v>58</v>
      </c>
      <c r="BJ1" t="s">
        <v>59</v>
      </c>
      <c r="BK1" t="s">
        <v>60</v>
      </c>
      <c r="BL1" t="s">
        <v>61</v>
      </c>
      <c r="BM1" t="s">
        <v>62</v>
      </c>
      <c r="BN1" t="s">
        <v>63</v>
      </c>
      <c r="BO1" t="s">
        <v>64</v>
      </c>
      <c r="BP1" t="s">
        <v>65</v>
      </c>
      <c r="BQ1" t="s">
        <v>66</v>
      </c>
      <c r="BR1" t="s">
        <v>67</v>
      </c>
      <c r="BS1" t="s">
        <v>68</v>
      </c>
      <c r="BT1" t="s">
        <v>69</v>
      </c>
      <c r="BU1" t="s">
        <v>70</v>
      </c>
      <c r="BV1" t="s">
        <v>71</v>
      </c>
      <c r="BW1" t="s">
        <v>72</v>
      </c>
      <c r="BX1" t="s">
        <v>73</v>
      </c>
      <c r="BY1" t="s">
        <v>74</v>
      </c>
      <c r="BZ1" t="s">
        <v>75</v>
      </c>
      <c r="CA1" t="s">
        <v>76</v>
      </c>
      <c r="CB1" t="s">
        <v>77</v>
      </c>
      <c r="CC1" t="s">
        <v>78</v>
      </c>
      <c r="CD1" t="s">
        <v>79</v>
      </c>
      <c r="CE1" t="s">
        <v>80</v>
      </c>
      <c r="CF1" t="s">
        <v>81</v>
      </c>
      <c r="CG1" t="s">
        <v>82</v>
      </c>
      <c r="CH1" t="s">
        <v>83</v>
      </c>
      <c r="CI1" t="s">
        <v>84</v>
      </c>
      <c r="CJ1" t="s">
        <v>85</v>
      </c>
      <c r="CK1" t="s">
        <v>86</v>
      </c>
    </row>
    <row r="2" spans="1:90" x14ac:dyDescent="0.2">
      <c r="A2" s="8">
        <v>1</v>
      </c>
      <c r="B2" s="1">
        <v>0</v>
      </c>
      <c r="C2" s="1">
        <v>7.9060000000000005E-2</v>
      </c>
      <c r="D2" s="1">
        <v>8.0652210000000002E-2</v>
      </c>
      <c r="E2" s="1">
        <v>0</v>
      </c>
      <c r="F2" s="1">
        <v>0</v>
      </c>
      <c r="G2" s="1">
        <v>0</v>
      </c>
      <c r="H2" s="1">
        <v>0</v>
      </c>
      <c r="I2" s="1">
        <v>0</v>
      </c>
      <c r="J2" s="1">
        <v>3.4885520000000003E-2</v>
      </c>
      <c r="K2" s="1">
        <v>3.4583120000000002E-2</v>
      </c>
      <c r="L2" s="1">
        <v>3.7027409999999997E-2</v>
      </c>
      <c r="M2" s="1">
        <v>3.1940330000000003E-2</v>
      </c>
      <c r="N2" s="1">
        <v>7.4459999999999998E-2</v>
      </c>
      <c r="O2" s="1">
        <v>7.9060000000000005E-2</v>
      </c>
      <c r="P2" s="1">
        <v>7.4459999999999998E-2</v>
      </c>
      <c r="Q2" s="1">
        <v>7.9060000000000005E-2</v>
      </c>
      <c r="R2" s="1">
        <v>7.4459999999999998E-2</v>
      </c>
      <c r="S2" s="1">
        <v>7.9060000000000005E-2</v>
      </c>
      <c r="T2" s="1">
        <v>7.8205579999999997E-2</v>
      </c>
      <c r="U2" s="1">
        <v>7.8399999999999997E-2</v>
      </c>
      <c r="V2" s="1">
        <v>7.8205579999999997E-2</v>
      </c>
      <c r="W2" s="1">
        <v>7.8205579999999997E-2</v>
      </c>
      <c r="X2" s="1">
        <v>7.7705579999999996E-2</v>
      </c>
      <c r="Y2" s="1">
        <v>7.7899999999999997E-2</v>
      </c>
      <c r="Z2" s="1">
        <v>7.7705579999999996E-2</v>
      </c>
      <c r="AA2" s="1">
        <v>7.7705579999999996E-2</v>
      </c>
      <c r="AB2" s="1">
        <v>1.9099999999999999E-2</v>
      </c>
      <c r="AC2" s="1">
        <v>1.782839E-2</v>
      </c>
      <c r="AD2" s="1">
        <v>9.6750000000000003E-2</v>
      </c>
      <c r="AE2" s="1">
        <v>8.8749999999999996E-2</v>
      </c>
      <c r="AF2" s="1">
        <v>7.8750000000000001E-2</v>
      </c>
      <c r="AG2" s="1">
        <v>0.10359</v>
      </c>
      <c r="AH2" s="1">
        <v>0.11115</v>
      </c>
      <c r="AI2" s="1">
        <v>0.11655</v>
      </c>
      <c r="AJ2" s="1">
        <v>7.5852989999999995E-2</v>
      </c>
      <c r="AK2" s="1">
        <v>3.1199999999999999E-3</v>
      </c>
      <c r="AL2" s="1">
        <v>19.884119999999999</v>
      </c>
      <c r="AM2" s="1">
        <v>0</v>
      </c>
      <c r="AN2" s="1">
        <v>8.0514849999999999E-2</v>
      </c>
      <c r="AO2" s="1">
        <v>1.6815199999999999E-2</v>
      </c>
      <c r="AP2" s="1">
        <v>1.9353800000000001E-2</v>
      </c>
      <c r="AQ2" s="1">
        <v>1.9353800000000001E-2</v>
      </c>
      <c r="AR2" s="1">
        <v>2.4102370000000001E-2</v>
      </c>
      <c r="AS2" s="1">
        <v>2.3903199999999999E-2</v>
      </c>
      <c r="AT2" s="1">
        <v>2.400279E-2</v>
      </c>
    </row>
    <row r="3" spans="1:90" x14ac:dyDescent="0.2">
      <c r="A3" s="8">
        <v>7</v>
      </c>
      <c r="B3" s="1">
        <v>0</v>
      </c>
      <c r="C3" s="1">
        <v>7.8088870000000005E-2</v>
      </c>
      <c r="D3" s="1">
        <v>7.9589160000000006E-2</v>
      </c>
      <c r="E3" s="1">
        <v>0</v>
      </c>
      <c r="F3" s="1">
        <v>0</v>
      </c>
      <c r="G3" s="1">
        <v>0</v>
      </c>
      <c r="H3" s="1">
        <v>0</v>
      </c>
      <c r="I3" s="1">
        <v>0</v>
      </c>
      <c r="J3" s="1">
        <v>3.4895679999999998E-2</v>
      </c>
      <c r="K3" s="1">
        <v>3.4603080000000001E-2</v>
      </c>
      <c r="L3" s="1">
        <v>3.7050409999999999E-2</v>
      </c>
      <c r="M3" s="1">
        <v>3.1960450000000001E-2</v>
      </c>
      <c r="N3" s="1">
        <v>6.9070999999999994E-2</v>
      </c>
      <c r="O3" s="1">
        <v>7.8914869999999998E-2</v>
      </c>
      <c r="P3" s="1">
        <v>6.9070999999999994E-2</v>
      </c>
      <c r="Q3" s="1">
        <v>7.8922870000000006E-2</v>
      </c>
      <c r="R3" s="1">
        <v>6.9070999999999994E-2</v>
      </c>
      <c r="S3" s="1">
        <v>7.893087E-2</v>
      </c>
      <c r="T3" s="1">
        <v>7.8314640000000005E-2</v>
      </c>
      <c r="U3" s="1">
        <v>7.8427460000000004E-2</v>
      </c>
      <c r="V3" s="1">
        <v>7.8314640000000005E-2</v>
      </c>
      <c r="W3" s="1">
        <v>7.8314640000000005E-2</v>
      </c>
      <c r="X3" s="1">
        <v>7.7814640000000004E-2</v>
      </c>
      <c r="Y3" s="1">
        <v>7.7927460000000004E-2</v>
      </c>
      <c r="Z3" s="1">
        <v>7.7814640000000004E-2</v>
      </c>
      <c r="AA3" s="1">
        <v>7.7814640000000004E-2</v>
      </c>
      <c r="AB3" s="1">
        <v>1.9206480000000001E-2</v>
      </c>
      <c r="AC3" s="1">
        <v>1.7820800000000001E-2</v>
      </c>
      <c r="AD3" s="1">
        <v>9.7352209999999995E-2</v>
      </c>
      <c r="AE3" s="1">
        <v>8.9352210000000001E-2</v>
      </c>
      <c r="AF3" s="1">
        <v>7.9352210000000006E-2</v>
      </c>
      <c r="AG3" s="1">
        <v>0.10419220999999999</v>
      </c>
      <c r="AH3" s="1">
        <v>0.11175221</v>
      </c>
      <c r="AI3" s="1">
        <v>0.11715221000000001</v>
      </c>
      <c r="AJ3" s="1">
        <v>7.7628279999999994E-2</v>
      </c>
      <c r="AK3" s="1">
        <v>2.2349999999999998E-2</v>
      </c>
      <c r="AL3" s="1">
        <v>19.90335</v>
      </c>
      <c r="AM3" s="1">
        <v>0</v>
      </c>
      <c r="AN3" s="1">
        <v>8.0623210000000001E-2</v>
      </c>
      <c r="AO3" s="1">
        <v>1.6807619999999999E-2</v>
      </c>
      <c r="AP3" s="1">
        <v>1.9790599999999998E-2</v>
      </c>
      <c r="AQ3" s="1">
        <v>1.9790599999999998E-2</v>
      </c>
      <c r="AR3" s="1">
        <v>2.4112390000000001E-2</v>
      </c>
      <c r="AS3" s="1">
        <v>2.3913050000000002E-2</v>
      </c>
      <c r="AT3" s="1">
        <v>2.4012720000000001E-2</v>
      </c>
      <c r="AU3" s="1"/>
      <c r="AV3" s="1">
        <v>1.337761E-2</v>
      </c>
      <c r="AW3" s="1">
        <v>-4.2485999999999999E-3</v>
      </c>
      <c r="AX3" s="1">
        <v>-6.4999999999999997E-4</v>
      </c>
      <c r="AY3" s="1">
        <v>-4.2485999999999999E-3</v>
      </c>
      <c r="AZ3" s="1">
        <v>6.7335700000000004E-3</v>
      </c>
      <c r="BA3" s="1">
        <v>19.713550000000001</v>
      </c>
      <c r="BB3" s="1">
        <v>7.8185770000000002E-2</v>
      </c>
      <c r="BC3" s="1">
        <v>-2.5000000000000001E-3</v>
      </c>
      <c r="BD3" s="1">
        <v>3.2541309999999997E-2</v>
      </c>
      <c r="BE3" s="1">
        <v>2.24E-2</v>
      </c>
      <c r="BF3" s="1">
        <v>2.5654989999999999E-2</v>
      </c>
      <c r="BG3" s="1">
        <v>7.9061329999999999E-2</v>
      </c>
      <c r="BH3" s="1">
        <v>1.9410480000000001E-2</v>
      </c>
      <c r="BI3" s="1">
        <v>-7.9240000000000005E-3</v>
      </c>
      <c r="BJ3" s="1">
        <v>4.8094000000000001E-3</v>
      </c>
      <c r="BK3" s="1">
        <v>5.6521370000000001E-2</v>
      </c>
      <c r="BL3" s="1">
        <v>3.9800000000000002E-4</v>
      </c>
      <c r="BM3" s="1">
        <v>3.3000099999999997E-2</v>
      </c>
      <c r="BN3" s="1">
        <v>1.2692300000000001E-3</v>
      </c>
      <c r="BO3" s="1">
        <v>0</v>
      </c>
      <c r="BP3" s="1">
        <v>-3.8E-3</v>
      </c>
      <c r="BQ3" s="1">
        <v>-5.4034499999999997E-3</v>
      </c>
      <c r="BR3" s="1">
        <v>-3.67308E-3</v>
      </c>
      <c r="BS3" s="1">
        <v>1.2476589999999999E-2</v>
      </c>
      <c r="BT3" s="1">
        <v>1.315213</v>
      </c>
      <c r="BU3" s="1">
        <v>1.168072</v>
      </c>
      <c r="BV3" s="1">
        <v>23.004453340000001</v>
      </c>
      <c r="BW3" s="1">
        <v>3.8686600000000002</v>
      </c>
      <c r="BX3" s="1">
        <v>110.78945</v>
      </c>
      <c r="BY3" s="1">
        <v>4.2356199999999998E-3</v>
      </c>
      <c r="BZ3" s="1">
        <v>1.319699</v>
      </c>
      <c r="CA3" s="1">
        <v>1.9409639999999999E-2</v>
      </c>
      <c r="CB3" s="1">
        <v>-4.5397700000000003E-3</v>
      </c>
      <c r="CC3" s="1">
        <v>-2.4133399999999999E-3</v>
      </c>
      <c r="CD3" s="1">
        <v>1.9206480000000001E-2</v>
      </c>
      <c r="CE3">
        <v>-6.4999999999999997E-4</v>
      </c>
      <c r="CF3">
        <v>-4.2485999999999999E-3</v>
      </c>
      <c r="CG3">
        <v>1.26154E-3</v>
      </c>
      <c r="CH3">
        <v>3.7385990000000001E-2</v>
      </c>
      <c r="CI3">
        <v>8.0352209999999993E-2</v>
      </c>
      <c r="CJ3">
        <v>5.5921599999999997E-3</v>
      </c>
      <c r="CK3">
        <v>2.0251000000000002E-2</v>
      </c>
      <c r="CL3">
        <v>1</v>
      </c>
    </row>
    <row r="4" spans="1:90" x14ac:dyDescent="0.2">
      <c r="A4" s="8">
        <v>30</v>
      </c>
      <c r="B4" s="1">
        <v>0</v>
      </c>
      <c r="C4" s="1">
        <v>7.7092640000000004E-2</v>
      </c>
      <c r="D4" s="1">
        <v>7.835831E-2</v>
      </c>
      <c r="E4" s="1">
        <v>0</v>
      </c>
      <c r="F4" s="1">
        <v>0</v>
      </c>
      <c r="G4" s="1">
        <v>0</v>
      </c>
      <c r="H4" s="1">
        <v>0</v>
      </c>
      <c r="I4" s="1">
        <v>0</v>
      </c>
      <c r="J4" s="1">
        <v>3.4934649999999998E-2</v>
      </c>
      <c r="K4" s="1">
        <v>3.4679750000000002E-2</v>
      </c>
      <c r="L4" s="1">
        <v>3.713872E-2</v>
      </c>
      <c r="M4" s="1">
        <v>3.2037749999999997E-2</v>
      </c>
      <c r="N4" s="1">
        <v>3.6499999999999998E-2</v>
      </c>
      <c r="O4" s="1">
        <v>7.7805639999999995E-2</v>
      </c>
      <c r="P4" s="1">
        <v>3.6499999999999998E-2</v>
      </c>
      <c r="Q4" s="1">
        <v>7.7812640000000002E-2</v>
      </c>
      <c r="R4" s="1">
        <v>3.6499999999999998E-2</v>
      </c>
      <c r="S4" s="1">
        <v>7.7819639999999995E-2</v>
      </c>
      <c r="T4" s="1">
        <v>7.8249520000000003E-2</v>
      </c>
      <c r="U4" s="1">
        <v>7.8312640000000003E-2</v>
      </c>
      <c r="V4" s="1">
        <v>7.8597280000000005E-2</v>
      </c>
      <c r="W4" s="1">
        <v>7.9911029999999994E-2</v>
      </c>
      <c r="X4" s="1">
        <v>7.7749520000000003E-2</v>
      </c>
      <c r="Y4" s="1">
        <v>7.7812640000000002E-2</v>
      </c>
      <c r="Z4" s="1">
        <v>7.8097280000000005E-2</v>
      </c>
      <c r="AA4" s="1">
        <v>7.9411029999999994E-2</v>
      </c>
      <c r="AB4" s="1">
        <v>1.9615179999999999E-2</v>
      </c>
      <c r="AC4" s="1">
        <v>1.8499999999999999E-2</v>
      </c>
      <c r="AD4" s="1">
        <v>9.8062579999999996E-2</v>
      </c>
      <c r="AE4" s="1">
        <v>8.9903960000000005E-2</v>
      </c>
      <c r="AF4" s="1">
        <v>7.9681920000000003E-2</v>
      </c>
      <c r="AG4" s="1">
        <v>0.10479386</v>
      </c>
      <c r="AH4" s="1">
        <v>0.11250461</v>
      </c>
      <c r="AI4" s="1">
        <v>0.12071034</v>
      </c>
      <c r="AJ4" s="1">
        <v>7.7849000000000002E-2</v>
      </c>
      <c r="AK4" s="1">
        <v>9.4182050000000003E-2</v>
      </c>
      <c r="AL4" s="1">
        <v>19.975182050000001</v>
      </c>
      <c r="AM4" s="1">
        <v>0</v>
      </c>
      <c r="AN4" s="1">
        <v>8.1043580000000004E-2</v>
      </c>
      <c r="AO4" s="1">
        <v>1.7486809999999998E-2</v>
      </c>
      <c r="AP4" s="1">
        <v>2.0902500000000001E-2</v>
      </c>
      <c r="AQ4" s="1">
        <v>2.0902500000000001E-2</v>
      </c>
      <c r="AR4" s="1">
        <v>2.4150830000000002E-2</v>
      </c>
      <c r="AS4" s="1">
        <v>2.3950849999999999E-2</v>
      </c>
      <c r="AT4" s="1">
        <v>2.405084E-2</v>
      </c>
      <c r="AU4" s="1"/>
      <c r="AV4" s="1">
        <v>1.6449999999999999E-2</v>
      </c>
      <c r="AW4" s="1">
        <v>-3.9399999999999999E-3</v>
      </c>
      <c r="AX4" s="1">
        <v>-7.4169999999999998E-4</v>
      </c>
      <c r="AY4" s="1">
        <v>-3.9399999999999999E-3</v>
      </c>
      <c r="AZ4" s="1">
        <v>6.7956600000000002E-3</v>
      </c>
      <c r="BA4" s="1">
        <v>19.785382049999999</v>
      </c>
      <c r="BB4" s="1">
        <v>7.8397889999999998E-2</v>
      </c>
      <c r="BC4" s="1">
        <v>-2.5000000000000001E-3</v>
      </c>
      <c r="BD4" s="1">
        <v>3.2575159999999999E-2</v>
      </c>
      <c r="BE4" s="1">
        <v>2.0119600000000001E-2</v>
      </c>
      <c r="BF4" s="1">
        <v>2.8098020000000001E-2</v>
      </c>
      <c r="BG4" s="1">
        <v>7.9065609999999995E-2</v>
      </c>
      <c r="BH4" s="1">
        <v>1.9400000000000001E-2</v>
      </c>
      <c r="BI4" s="1">
        <v>-7.7999999999999996E-3</v>
      </c>
      <c r="BJ4" s="1">
        <v>5.0080999999999997E-3</v>
      </c>
      <c r="BK4" s="1">
        <v>6.2209260000000002E-2</v>
      </c>
      <c r="BL4" s="1">
        <v>3.9800000000000002E-4</v>
      </c>
      <c r="BM4" s="1">
        <v>3.3000410000000001E-2</v>
      </c>
      <c r="BN4" s="1">
        <v>5.4395600000000004E-3</v>
      </c>
      <c r="BO4" s="1">
        <v>0</v>
      </c>
      <c r="BP4" s="1">
        <v>-3.7117600000000001E-3</v>
      </c>
      <c r="BQ4" s="1">
        <v>-5.1013600000000001E-3</v>
      </c>
      <c r="BR4" s="1">
        <v>-3.01323E-3</v>
      </c>
      <c r="BS4" s="1">
        <v>1.447684E-2</v>
      </c>
      <c r="BT4" s="1">
        <v>1.3146968699999999</v>
      </c>
      <c r="BU4" s="1">
        <v>1.1700310300000001</v>
      </c>
      <c r="BV4" s="1">
        <v>23.120771640000001</v>
      </c>
      <c r="BW4" s="1">
        <v>3.8791841800000002</v>
      </c>
      <c r="BX4" s="1">
        <v>110.61948246</v>
      </c>
      <c r="BY4" s="1">
        <v>4.5840200000000003E-3</v>
      </c>
      <c r="BZ4" s="1">
        <v>1.3210934000000001</v>
      </c>
      <c r="CA4" s="1">
        <v>1.9796589999999999E-2</v>
      </c>
      <c r="CB4" s="1">
        <v>-4.4866300000000001E-3</v>
      </c>
      <c r="CC4" s="1">
        <v>-1.9287099999999999E-3</v>
      </c>
      <c r="CD4" s="1">
        <v>1.9615179999999999E-2</v>
      </c>
      <c r="CE4">
        <v>-7.4169999999999998E-4</v>
      </c>
      <c r="CF4">
        <v>-3.9399999999999999E-3</v>
      </c>
      <c r="CG4">
        <v>5.4065900000000002E-3</v>
      </c>
      <c r="CH4">
        <v>3.743113E-2</v>
      </c>
      <c r="CI4">
        <v>8.0681920000000004E-2</v>
      </c>
      <c r="CJ4">
        <v>2.3966419999999999E-2</v>
      </c>
      <c r="CK4">
        <v>8.1025310000000003E-2</v>
      </c>
      <c r="CL4">
        <v>1</v>
      </c>
    </row>
    <row r="5" spans="1:90" x14ac:dyDescent="0.2">
      <c r="A5" s="8">
        <v>60</v>
      </c>
      <c r="B5" s="1">
        <v>0</v>
      </c>
      <c r="C5" s="1">
        <v>7.7944289999999999E-2</v>
      </c>
      <c r="D5" s="1">
        <v>7.8978329999999999E-2</v>
      </c>
      <c r="E5" s="1">
        <v>0</v>
      </c>
      <c r="F5" s="1">
        <v>0</v>
      </c>
      <c r="G5" s="1">
        <v>0</v>
      </c>
      <c r="H5" s="1">
        <v>0</v>
      </c>
      <c r="I5" s="1">
        <v>0</v>
      </c>
      <c r="J5" s="1">
        <v>3.4985740000000001E-2</v>
      </c>
      <c r="K5" s="1">
        <v>3.4780360000000003E-2</v>
      </c>
      <c r="L5" s="1">
        <v>3.7254339999999997E-2</v>
      </c>
      <c r="M5" s="1">
        <v>3.213891E-2</v>
      </c>
      <c r="N5" s="1">
        <v>3.6499999999999998E-2</v>
      </c>
      <c r="O5" s="1">
        <v>7.8657290000000005E-2</v>
      </c>
      <c r="P5" s="1">
        <v>3.6499999999999998E-2</v>
      </c>
      <c r="Q5" s="1">
        <v>7.8664289999999998E-2</v>
      </c>
      <c r="R5" s="1">
        <v>3.6499999999999998E-2</v>
      </c>
      <c r="S5" s="1">
        <v>7.8671290000000005E-2</v>
      </c>
      <c r="T5" s="1">
        <v>7.9097269999999997E-2</v>
      </c>
      <c r="U5" s="1">
        <v>7.9164280000000004E-2</v>
      </c>
      <c r="V5" s="1">
        <v>7.9442970000000002E-2</v>
      </c>
      <c r="W5" s="1">
        <v>8.0748920000000002E-2</v>
      </c>
      <c r="X5" s="1">
        <v>7.8597269999999997E-2</v>
      </c>
      <c r="Y5" s="1">
        <v>7.8664280000000003E-2</v>
      </c>
      <c r="Z5" s="1">
        <v>7.8942970000000001E-2</v>
      </c>
      <c r="AA5" s="1">
        <v>8.0248920000000001E-2</v>
      </c>
      <c r="AB5" s="1">
        <v>2.014956E-2</v>
      </c>
      <c r="AC5" s="1">
        <v>0.02</v>
      </c>
      <c r="AD5" s="1">
        <v>0.10477293999999999</v>
      </c>
      <c r="AE5" s="1">
        <v>9.4061439999999996E-2</v>
      </c>
      <c r="AF5" s="1">
        <v>8.0265509999999998E-2</v>
      </c>
      <c r="AG5" s="1">
        <v>0.11308809</v>
      </c>
      <c r="AH5" s="1">
        <v>0.12402918</v>
      </c>
      <c r="AI5" s="1">
        <v>0.13497039</v>
      </c>
      <c r="AJ5" s="1">
        <v>7.8714320000000004E-2</v>
      </c>
      <c r="AK5" s="1">
        <v>0.18835009999999999</v>
      </c>
      <c r="AL5" s="1">
        <v>20.069350100000001</v>
      </c>
      <c r="AM5" s="1">
        <v>0</v>
      </c>
      <c r="AN5" s="1">
        <v>8.1640240000000003E-2</v>
      </c>
      <c r="AO5" s="1">
        <v>1.8477469999999999E-2</v>
      </c>
      <c r="AP5" s="1">
        <v>2.165189E-2</v>
      </c>
      <c r="AQ5" s="1">
        <v>2.1665819999999999E-2</v>
      </c>
      <c r="AR5" s="1">
        <v>2.4454529999999999E-2</v>
      </c>
      <c r="AS5" s="1">
        <v>2.4264069999999999E-2</v>
      </c>
      <c r="AT5" s="1">
        <v>2.43593E-2</v>
      </c>
      <c r="AU5" s="1"/>
      <c r="AV5" s="1">
        <v>1.6875000000000001E-2</v>
      </c>
      <c r="AW5" s="1">
        <v>-3.6857000000000001E-3</v>
      </c>
      <c r="AX5" s="1">
        <v>-5.1329999999999995E-4</v>
      </c>
      <c r="AY5" s="1">
        <v>-3.6857000000000001E-3</v>
      </c>
      <c r="AZ5" s="1">
        <v>6.8765700000000003E-3</v>
      </c>
      <c r="BA5" s="1">
        <v>19.879550099999999</v>
      </c>
      <c r="BB5" s="1">
        <v>7.9264200000000007E-2</v>
      </c>
      <c r="BC5" s="1">
        <v>-1.6999999999999999E-3</v>
      </c>
      <c r="BD5" s="1">
        <v>3.2619370000000002E-2</v>
      </c>
      <c r="BE5" s="1">
        <v>2.0039299999999999E-2</v>
      </c>
      <c r="BF5" s="1">
        <v>3.7817770000000001E-2</v>
      </c>
      <c r="BG5" s="1">
        <v>7.9069169999999994E-2</v>
      </c>
      <c r="BH5" s="1">
        <v>1.9955759999999999E-2</v>
      </c>
      <c r="BI5" s="1">
        <v>-7.476E-3</v>
      </c>
      <c r="BJ5" s="1">
        <v>5.8275000000000002E-3</v>
      </c>
      <c r="BK5" s="1">
        <v>6.1446239999999999E-2</v>
      </c>
      <c r="BL5" s="1">
        <v>4.0900000000000002E-4</v>
      </c>
      <c r="BM5" s="1">
        <v>3.3000670000000003E-2</v>
      </c>
      <c r="BN5" s="1">
        <v>1.0879120000000001E-2</v>
      </c>
      <c r="BO5" s="1">
        <v>0</v>
      </c>
      <c r="BP5" s="1">
        <v>-3.4006599999999998E-3</v>
      </c>
      <c r="BQ5" s="1">
        <v>-4.6763400000000002E-3</v>
      </c>
      <c r="BR5" s="1">
        <v>-2.51513E-3</v>
      </c>
      <c r="BS5" s="1">
        <v>1.566261E-2</v>
      </c>
      <c r="BT5" s="1">
        <v>1.3140886300000001</v>
      </c>
      <c r="BU5" s="1">
        <v>1.1726297400000001</v>
      </c>
      <c r="BV5" s="1">
        <v>23.282771700000001</v>
      </c>
      <c r="BW5" s="1">
        <v>3.8914389699999998</v>
      </c>
      <c r="BX5" s="1">
        <v>110.39490447999999</v>
      </c>
      <c r="BY5" s="1">
        <v>5.8204600000000004E-3</v>
      </c>
      <c r="BZ5" s="1">
        <v>1.3227807499999999</v>
      </c>
      <c r="CA5" s="1">
        <v>2.0333879999999999E-2</v>
      </c>
      <c r="CB5" s="1">
        <v>-4.4173800000000003E-3</v>
      </c>
      <c r="CC5" s="1">
        <v>-1.7905600000000001E-3</v>
      </c>
      <c r="CD5" s="1">
        <v>2.014956E-2</v>
      </c>
      <c r="CE5">
        <v>-5.1329999999999995E-4</v>
      </c>
      <c r="CF5">
        <v>-3.6857000000000001E-3</v>
      </c>
      <c r="CG5">
        <v>1.081319E-2</v>
      </c>
      <c r="CH5">
        <v>3.7490009999999997E-2</v>
      </c>
      <c r="CI5">
        <v>8.1265509999999999E-2</v>
      </c>
      <c r="CJ5">
        <v>2.424921E-2</v>
      </c>
      <c r="CK5">
        <v>8.1344879999999994E-2</v>
      </c>
      <c r="CL5">
        <v>1</v>
      </c>
    </row>
    <row r="6" spans="1:90" x14ac:dyDescent="0.2">
      <c r="A6" s="8">
        <v>90</v>
      </c>
      <c r="B6" s="1">
        <v>0</v>
      </c>
      <c r="C6" s="1">
        <v>7.8969999999999999E-2</v>
      </c>
      <c r="D6" s="1">
        <v>7.9766970000000006E-2</v>
      </c>
      <c r="E6" s="1">
        <v>0</v>
      </c>
      <c r="F6" s="1">
        <v>0</v>
      </c>
      <c r="G6" s="1">
        <v>0</v>
      </c>
      <c r="H6" s="1">
        <v>0</v>
      </c>
      <c r="I6" s="1">
        <v>0</v>
      </c>
      <c r="J6" s="1">
        <v>3.5036829999999998E-2</v>
      </c>
      <c r="K6" s="1">
        <v>3.488136E-2</v>
      </c>
      <c r="L6" s="1">
        <v>3.7370430000000003E-2</v>
      </c>
      <c r="M6" s="1">
        <v>3.2240449999999997E-2</v>
      </c>
      <c r="N6" s="1">
        <v>4.0779999999999997E-2</v>
      </c>
      <c r="O6" s="1">
        <v>7.9683000000000004E-2</v>
      </c>
      <c r="P6" s="1">
        <v>4.0779999999999997E-2</v>
      </c>
      <c r="Q6" s="1">
        <v>7.9689999999999997E-2</v>
      </c>
      <c r="R6" s="1">
        <v>4.0779999999999997E-2</v>
      </c>
      <c r="S6" s="1">
        <v>7.9697000000000004E-2</v>
      </c>
      <c r="T6" s="1">
        <v>8.0119140000000005E-2</v>
      </c>
      <c r="U6" s="1">
        <v>8.0189999999999997E-2</v>
      </c>
      <c r="V6" s="1">
        <v>8.0462800000000001E-2</v>
      </c>
      <c r="W6" s="1">
        <v>8.176108E-2</v>
      </c>
      <c r="X6" s="1">
        <v>7.9619140000000005E-2</v>
      </c>
      <c r="Y6" s="1">
        <v>7.9689999999999997E-2</v>
      </c>
      <c r="Z6" s="1">
        <v>7.9962800000000001E-2</v>
      </c>
      <c r="AA6" s="1">
        <v>8.1261079999999999E-2</v>
      </c>
      <c r="AB6" s="1">
        <v>2.0685470000000001E-2</v>
      </c>
      <c r="AC6" s="1">
        <v>0.04</v>
      </c>
      <c r="AD6" s="1">
        <v>0.10966125</v>
      </c>
      <c r="AE6" s="1">
        <v>9.7883330000000005E-2</v>
      </c>
      <c r="AF6" s="1">
        <v>8.0994579999999997E-2</v>
      </c>
      <c r="AG6" s="1">
        <v>0.12065014</v>
      </c>
      <c r="AH6" s="1">
        <v>0.13832791999999999</v>
      </c>
      <c r="AI6" s="1">
        <v>0.15027236999999999</v>
      </c>
      <c r="AJ6" s="1">
        <v>8.0131359999999999E-2</v>
      </c>
      <c r="AK6" s="1">
        <v>0.28108143000000002</v>
      </c>
      <c r="AL6" s="1">
        <v>20.162081430000001</v>
      </c>
      <c r="AM6" s="1">
        <v>0</v>
      </c>
      <c r="AN6" s="1">
        <v>8.2239599999999996E-2</v>
      </c>
      <c r="AO6" s="1">
        <v>1.8890299999999999E-2</v>
      </c>
      <c r="AP6" s="1">
        <v>2.3262499999999998E-2</v>
      </c>
      <c r="AQ6" s="1">
        <v>2.3249869999999999E-2</v>
      </c>
      <c r="AR6" s="1">
        <v>2.4751769999999999E-2</v>
      </c>
      <c r="AS6" s="1">
        <v>2.457115E-2</v>
      </c>
      <c r="AT6" s="1">
        <v>2.466146E-2</v>
      </c>
      <c r="AU6" s="1"/>
      <c r="AV6" s="1">
        <v>1.7524999999999999E-2</v>
      </c>
      <c r="AW6" s="1">
        <v>-3.5714000000000002E-3</v>
      </c>
      <c r="AX6" s="1">
        <v>-4.4999999999999999E-4</v>
      </c>
      <c r="AY6" s="1">
        <v>-3.5714000000000002E-3</v>
      </c>
      <c r="AZ6" s="1">
        <v>6.95738E-3</v>
      </c>
      <c r="BA6" s="1">
        <v>19.972281429999999</v>
      </c>
      <c r="BB6" s="1">
        <v>8.0679630000000002E-2</v>
      </c>
      <c r="BC6" s="1">
        <v>-1.6999999999999999E-3</v>
      </c>
      <c r="BD6" s="1">
        <v>3.2663659999999997E-2</v>
      </c>
      <c r="BE6" s="1">
        <v>2.0964300000000002E-2</v>
      </c>
      <c r="BF6" s="1">
        <v>4.0500710000000002E-2</v>
      </c>
      <c r="BG6" s="1">
        <v>7.907045E-2</v>
      </c>
      <c r="BH6" s="1">
        <v>2.0799999999999999E-2</v>
      </c>
      <c r="BI6" s="1">
        <v>-7.3159999999999996E-3</v>
      </c>
      <c r="BJ6" s="1">
        <v>6.7413000000000004E-3</v>
      </c>
      <c r="BK6" s="1">
        <v>6.0200789999999997E-2</v>
      </c>
      <c r="BL6" s="1">
        <v>4.3800000000000002E-4</v>
      </c>
      <c r="BM6" s="1">
        <v>3.3000759999999997E-2</v>
      </c>
      <c r="BN6" s="1">
        <v>1.6318679999999999E-2</v>
      </c>
      <c r="BO6" s="1">
        <v>0</v>
      </c>
      <c r="BP6" s="1">
        <v>-3.2581799999999998E-3</v>
      </c>
      <c r="BQ6" s="1">
        <v>-3.8587000000000001E-3</v>
      </c>
      <c r="BR6" s="1">
        <v>-1.9988599999999999E-3</v>
      </c>
      <c r="BS6" s="1">
        <v>1.726256E-2</v>
      </c>
      <c r="BT6" s="1">
        <v>1.3134424499999999</v>
      </c>
      <c r="BU6" s="1">
        <v>1.17541995</v>
      </c>
      <c r="BV6" s="1">
        <v>23.446114380000001</v>
      </c>
      <c r="BW6" s="1">
        <v>3.9014057700000002</v>
      </c>
      <c r="BX6" s="1">
        <v>110.14440073</v>
      </c>
      <c r="BY6" s="1">
        <v>7.3011300000000003E-3</v>
      </c>
      <c r="BZ6" s="1">
        <v>1.32455071</v>
      </c>
      <c r="CA6" s="1">
        <v>2.087224E-2</v>
      </c>
      <c r="CB6" s="1">
        <v>-4.3481800000000001E-3</v>
      </c>
      <c r="CC6" s="1">
        <v>-1.79385E-3</v>
      </c>
      <c r="CD6" s="1">
        <v>2.0685470000000001E-2</v>
      </c>
      <c r="CE6">
        <v>-4.4999999999999999E-4</v>
      </c>
      <c r="CF6">
        <v>-3.5714000000000002E-3</v>
      </c>
      <c r="CG6">
        <v>1.621978E-2</v>
      </c>
      <c r="CH6">
        <v>3.7548890000000001E-2</v>
      </c>
      <c r="CI6">
        <v>8.1994579999999997E-2</v>
      </c>
      <c r="CJ6">
        <v>2.4518519999999999E-2</v>
      </c>
      <c r="CK6">
        <v>8.1660709999999997E-2</v>
      </c>
      <c r="CL6">
        <v>1</v>
      </c>
    </row>
    <row r="7" spans="1:90" x14ac:dyDescent="0.2">
      <c r="A7" s="8">
        <v>120</v>
      </c>
      <c r="B7" s="1">
        <v>0</v>
      </c>
      <c r="C7" s="1">
        <v>7.9198530000000003E-2</v>
      </c>
      <c r="D7" s="1">
        <v>7.9736379999999996E-2</v>
      </c>
      <c r="E7" s="1">
        <v>0</v>
      </c>
      <c r="F7" s="1">
        <v>0</v>
      </c>
      <c r="G7" s="1">
        <v>0</v>
      </c>
      <c r="H7" s="1">
        <v>0</v>
      </c>
      <c r="I7" s="1">
        <v>0</v>
      </c>
      <c r="J7" s="1">
        <v>3.5088420000000002E-2</v>
      </c>
      <c r="K7" s="1">
        <v>3.4983229999999997E-2</v>
      </c>
      <c r="L7" s="1">
        <v>3.7486999999999999E-2</v>
      </c>
      <c r="M7" s="1">
        <v>3.2342379999999997E-2</v>
      </c>
      <c r="N7" s="1">
        <v>4.0779999999999997E-2</v>
      </c>
      <c r="O7" s="1">
        <v>7.9911529999999995E-2</v>
      </c>
      <c r="P7" s="1">
        <v>4.0779999999999997E-2</v>
      </c>
      <c r="Q7" s="1">
        <v>7.9918530000000002E-2</v>
      </c>
      <c r="R7" s="1">
        <v>4.0779999999999997E-2</v>
      </c>
      <c r="S7" s="1">
        <v>7.9925529999999995E-2</v>
      </c>
      <c r="T7" s="1">
        <v>8.034347E-2</v>
      </c>
      <c r="U7" s="1">
        <v>8.0418580000000003E-2</v>
      </c>
      <c r="V7" s="1">
        <v>8.0684909999999999E-2</v>
      </c>
      <c r="W7" s="1">
        <v>8.1974790000000006E-2</v>
      </c>
      <c r="X7" s="1">
        <v>7.984347E-2</v>
      </c>
      <c r="Y7" s="1">
        <v>7.9918580000000003E-2</v>
      </c>
      <c r="Z7" s="1">
        <v>8.0184909999999998E-2</v>
      </c>
      <c r="AA7" s="1">
        <v>8.1474790000000005E-2</v>
      </c>
      <c r="AB7" s="1">
        <v>2.1222990000000001E-2</v>
      </c>
      <c r="AC7" s="1">
        <v>2.1499999999999998E-2</v>
      </c>
      <c r="AD7" s="1">
        <v>0.11155276</v>
      </c>
      <c r="AE7" s="1">
        <v>0.10183412999999999</v>
      </c>
      <c r="AF7" s="1">
        <v>8.1271529999999995E-2</v>
      </c>
      <c r="AG7" s="1">
        <v>0.12344498</v>
      </c>
      <c r="AH7" s="1">
        <v>0.14127381999999999</v>
      </c>
      <c r="AI7" s="1">
        <v>0.15488979999999999</v>
      </c>
      <c r="AJ7" s="1">
        <v>8.0674179999999998E-2</v>
      </c>
      <c r="AK7" s="1">
        <v>0.37603008999999998</v>
      </c>
      <c r="AL7" s="1">
        <v>20.257030090000001</v>
      </c>
      <c r="AM7" s="1">
        <v>0</v>
      </c>
      <c r="AN7" s="1">
        <v>8.283314E-2</v>
      </c>
      <c r="AO7" s="1">
        <v>1.958756E-2</v>
      </c>
      <c r="AP7" s="1">
        <v>2.4012729999999999E-2</v>
      </c>
      <c r="AQ7" s="1">
        <v>2.34878E-2</v>
      </c>
      <c r="AR7" s="1">
        <v>2.498471E-2</v>
      </c>
      <c r="AS7" s="1">
        <v>2.4813669999999999E-2</v>
      </c>
      <c r="AT7" s="1">
        <v>2.4899190000000002E-2</v>
      </c>
      <c r="AU7" s="1"/>
      <c r="AV7" s="1">
        <v>1.823021E-2</v>
      </c>
      <c r="AW7" s="1">
        <v>-3.4663599999999999E-3</v>
      </c>
      <c r="AX7" s="1">
        <v>-3.6225999999999999E-4</v>
      </c>
      <c r="AY7" s="1">
        <v>-3.4663599999999999E-3</v>
      </c>
      <c r="AZ7" s="1">
        <v>7.0381000000000003E-3</v>
      </c>
      <c r="BA7" s="1">
        <v>20.067230089999999</v>
      </c>
      <c r="BB7" s="1">
        <v>8.122538E-2</v>
      </c>
      <c r="BC7" s="1">
        <v>-1.6999999999999999E-3</v>
      </c>
      <c r="BD7" s="1">
        <v>3.2708040000000001E-2</v>
      </c>
      <c r="BE7" s="1">
        <v>2.167881E-2</v>
      </c>
      <c r="BF7" s="1">
        <v>4.1003110000000002E-2</v>
      </c>
      <c r="BG7" s="1">
        <v>7.9069429999999996E-2</v>
      </c>
      <c r="BH7" s="1">
        <v>2.1602030000000001E-2</v>
      </c>
      <c r="BI7" s="1">
        <v>-7.0930899999999998E-3</v>
      </c>
      <c r="BJ7" s="1">
        <v>7.3241699999999996E-3</v>
      </c>
      <c r="BK7" s="1">
        <v>5.9386799999999997E-2</v>
      </c>
      <c r="BL7" s="1">
        <v>4.8799999999999999E-4</v>
      </c>
      <c r="BM7" s="1">
        <v>3.3000679999999998E-2</v>
      </c>
      <c r="BN7" s="1">
        <v>2.1758240000000002E-2</v>
      </c>
      <c r="BO7" s="1">
        <v>0</v>
      </c>
      <c r="BP7" s="1">
        <v>-3.0856099999999999E-3</v>
      </c>
      <c r="BQ7" s="1">
        <v>-3.9222399999999996E-3</v>
      </c>
      <c r="BR7" s="1">
        <v>-2.0807500000000001E-3</v>
      </c>
      <c r="BS7" s="1">
        <v>1.7468020000000001E-2</v>
      </c>
      <c r="BT7" s="1">
        <v>1.31278103</v>
      </c>
      <c r="BU7" s="1">
        <v>1.1781810399999999</v>
      </c>
      <c r="BV7" s="1">
        <v>23.60996317</v>
      </c>
      <c r="BW7" s="1">
        <v>3.9118012800000002</v>
      </c>
      <c r="BX7" s="1">
        <v>109.90266624</v>
      </c>
      <c r="BY7" s="1">
        <v>7.4231599999999998E-3</v>
      </c>
      <c r="BZ7" s="1">
        <v>1.32634725</v>
      </c>
      <c r="CA7" s="1">
        <v>2.141405E-2</v>
      </c>
      <c r="CB7" s="1">
        <v>-4.2790299999999996E-3</v>
      </c>
      <c r="CC7" s="1">
        <v>-1.82256E-3</v>
      </c>
      <c r="CD7" s="1">
        <v>2.1222990000000001E-2</v>
      </c>
      <c r="CE7">
        <v>-2.8163999999999999E-4</v>
      </c>
      <c r="CF7">
        <v>-3.4437199999999999E-3</v>
      </c>
      <c r="CG7">
        <v>2.1626369999999999E-2</v>
      </c>
      <c r="CH7">
        <v>3.7607759999999997E-2</v>
      </c>
      <c r="CI7">
        <v>8.2271529999999995E-2</v>
      </c>
      <c r="CJ7">
        <v>2.473392E-2</v>
      </c>
      <c r="CK7">
        <v>8.1964289999999995E-2</v>
      </c>
      <c r="CL7">
        <v>1</v>
      </c>
    </row>
    <row r="8" spans="1:90" x14ac:dyDescent="0.2">
      <c r="A8" s="8">
        <v>150</v>
      </c>
      <c r="B8" s="1">
        <v>0</v>
      </c>
      <c r="C8" s="1">
        <v>7.9568470000000002E-2</v>
      </c>
      <c r="D8" s="1">
        <v>7.984745E-2</v>
      </c>
      <c r="E8" s="1">
        <v>0</v>
      </c>
      <c r="F8" s="1">
        <v>0</v>
      </c>
      <c r="G8" s="1">
        <v>0</v>
      </c>
      <c r="H8" s="1">
        <v>0</v>
      </c>
      <c r="I8" s="1">
        <v>0</v>
      </c>
      <c r="J8" s="1">
        <v>3.5140020000000001E-2</v>
      </c>
      <c r="K8" s="1">
        <v>3.5085520000000002E-2</v>
      </c>
      <c r="L8" s="1">
        <v>3.760405E-2</v>
      </c>
      <c r="M8" s="1">
        <v>3.24447E-2</v>
      </c>
      <c r="N8" s="1">
        <v>4.0779999999999997E-2</v>
      </c>
      <c r="O8" s="1">
        <v>8.0281469999999994E-2</v>
      </c>
      <c r="P8" s="1">
        <v>4.0779999999999997E-2</v>
      </c>
      <c r="Q8" s="1">
        <v>8.0288470000000001E-2</v>
      </c>
      <c r="R8" s="1">
        <v>4.0779999999999997E-2</v>
      </c>
      <c r="S8" s="1">
        <v>8.0295469999999994E-2</v>
      </c>
      <c r="T8" s="1">
        <v>8.0709219999999998E-2</v>
      </c>
      <c r="U8" s="1">
        <v>8.0788499999999999E-2</v>
      </c>
      <c r="V8" s="1">
        <v>8.1048439999999999E-2</v>
      </c>
      <c r="W8" s="1">
        <v>8.2329920000000001E-2</v>
      </c>
      <c r="X8" s="1">
        <v>8.0209219999999998E-2</v>
      </c>
      <c r="Y8" s="1">
        <v>8.0288499999999999E-2</v>
      </c>
      <c r="Z8" s="1">
        <v>8.0548439999999999E-2</v>
      </c>
      <c r="AA8" s="1">
        <v>8.182992E-2</v>
      </c>
      <c r="AB8" s="1">
        <v>2.1762179999999999E-2</v>
      </c>
      <c r="AC8" s="1">
        <v>2.1999999999999999E-2</v>
      </c>
      <c r="AD8" s="1">
        <v>0.11271622000000001</v>
      </c>
      <c r="AE8" s="1">
        <v>0.10406253</v>
      </c>
      <c r="AF8" s="1">
        <v>8.1370150000000002E-2</v>
      </c>
      <c r="AG8" s="1">
        <v>0.12609685000000001</v>
      </c>
      <c r="AH8" s="1">
        <v>0.1413758</v>
      </c>
      <c r="AI8" s="1">
        <v>0.15923747999999999</v>
      </c>
      <c r="AJ8" s="1">
        <v>8.1295240000000005E-2</v>
      </c>
      <c r="AK8" s="1">
        <v>0.47304508000000001</v>
      </c>
      <c r="AL8" s="1">
        <v>20.354045079999999</v>
      </c>
      <c r="AM8" s="1">
        <v>0</v>
      </c>
      <c r="AN8" s="1">
        <v>8.3432179999999995E-2</v>
      </c>
      <c r="AO8" s="1">
        <v>2.030154E-2</v>
      </c>
      <c r="AP8" s="1">
        <v>2.3871779999999999E-2</v>
      </c>
      <c r="AQ8" s="1">
        <v>2.3627860000000001E-2</v>
      </c>
      <c r="AR8" s="1">
        <v>2.5218520000000001E-2</v>
      </c>
      <c r="AS8" s="1">
        <v>2.5057090000000001E-2</v>
      </c>
      <c r="AT8" s="1">
        <v>2.5137799999999998E-2</v>
      </c>
      <c r="AU8" s="1"/>
      <c r="AV8" s="1">
        <v>1.876396E-2</v>
      </c>
      <c r="AW8" s="1">
        <v>-3.3359499999999999E-3</v>
      </c>
      <c r="AX8" s="1">
        <v>-1.7707000000000001E-4</v>
      </c>
      <c r="AY8" s="1">
        <v>-3.3359499999999999E-3</v>
      </c>
      <c r="AZ8" s="1">
        <v>7.1187400000000001E-3</v>
      </c>
      <c r="BA8" s="1">
        <v>20.164245080000001</v>
      </c>
      <c r="BB8" s="1">
        <v>8.1851090000000001E-2</v>
      </c>
      <c r="BC8" s="1">
        <v>0</v>
      </c>
      <c r="BD8" s="1">
        <v>3.2752490000000002E-2</v>
      </c>
      <c r="BE8" s="1">
        <v>2.217096E-2</v>
      </c>
      <c r="BF8" s="1">
        <v>4.1508490000000002E-2</v>
      </c>
      <c r="BG8" s="1">
        <v>7.9066109999999995E-2</v>
      </c>
      <c r="BH8" s="1">
        <v>2.2253120000000001E-2</v>
      </c>
      <c r="BI8" s="1">
        <v>-6.7948000000000001E-3</v>
      </c>
      <c r="BJ8" s="1">
        <v>7.6518799999999998E-3</v>
      </c>
      <c r="BK8" s="1">
        <v>5.8596780000000001E-2</v>
      </c>
      <c r="BL8" s="1">
        <v>4.8799999999999999E-4</v>
      </c>
      <c r="BM8" s="1">
        <v>3.3000439999999999E-2</v>
      </c>
      <c r="BN8" s="1">
        <v>2.7197800000000001E-2</v>
      </c>
      <c r="BO8" s="1">
        <v>0</v>
      </c>
      <c r="BP8" s="1">
        <v>-2.9075799999999999E-3</v>
      </c>
      <c r="BQ8" s="1">
        <v>-3.99768E-3</v>
      </c>
      <c r="BR8" s="1">
        <v>-2.2023899999999998E-3</v>
      </c>
      <c r="BS8" s="1">
        <v>1.7710409999999999E-2</v>
      </c>
      <c r="BT8" s="1">
        <v>1.3121883599999999</v>
      </c>
      <c r="BU8" s="1">
        <v>1.1809611</v>
      </c>
      <c r="BV8" s="1">
        <v>23.77774466</v>
      </c>
      <c r="BW8" s="1">
        <v>3.92167851</v>
      </c>
      <c r="BX8" s="1">
        <v>109.65870265</v>
      </c>
      <c r="BY8" s="1">
        <v>7.47717E-3</v>
      </c>
      <c r="BZ8" s="1">
        <v>1.3281505899999999</v>
      </c>
      <c r="CA8" s="1">
        <v>2.1957190000000001E-2</v>
      </c>
      <c r="CB8" s="1">
        <v>-4.2099399999999997E-3</v>
      </c>
      <c r="CC8" s="1">
        <v>-1.9342000000000001E-3</v>
      </c>
      <c r="CD8" s="1">
        <v>2.1762179999999999E-2</v>
      </c>
      <c r="CE8">
        <v>-1.1331E-4</v>
      </c>
      <c r="CF8">
        <v>-3.3161200000000001E-3</v>
      </c>
      <c r="CG8">
        <v>2.703297E-2</v>
      </c>
      <c r="CH8">
        <v>3.7666640000000001E-2</v>
      </c>
      <c r="CI8">
        <v>8.2370150000000003E-2</v>
      </c>
      <c r="CJ8">
        <v>2.4949320000000001E-2</v>
      </c>
      <c r="CK8">
        <v>8.2267859999999998E-2</v>
      </c>
      <c r="CL8">
        <v>1</v>
      </c>
    </row>
    <row r="9" spans="1:90" x14ac:dyDescent="0.2">
      <c r="A9" s="8">
        <v>180</v>
      </c>
      <c r="B9" s="1">
        <v>0</v>
      </c>
      <c r="C9" s="1">
        <v>7.9882640000000005E-2</v>
      </c>
      <c r="D9" s="1">
        <v>7.9900139999999995E-2</v>
      </c>
      <c r="E9" s="1">
        <v>0</v>
      </c>
      <c r="F9" s="1">
        <v>0</v>
      </c>
      <c r="G9" s="1">
        <v>0</v>
      </c>
      <c r="H9" s="1">
        <v>0</v>
      </c>
      <c r="I9" s="1">
        <v>0</v>
      </c>
      <c r="J9" s="1">
        <v>3.519162E-2</v>
      </c>
      <c r="K9" s="1">
        <v>3.5188200000000003E-2</v>
      </c>
      <c r="L9" s="1">
        <v>3.769608E-2</v>
      </c>
      <c r="M9" s="1">
        <v>3.2521849999999998E-2</v>
      </c>
      <c r="N9" s="1">
        <v>4.0779999999999997E-2</v>
      </c>
      <c r="O9" s="1">
        <v>8.0595639999999996E-2</v>
      </c>
      <c r="P9" s="1">
        <v>4.0779999999999997E-2</v>
      </c>
      <c r="Q9" s="1">
        <v>8.0602640000000003E-2</v>
      </c>
      <c r="R9" s="1">
        <v>4.0779999999999997E-2</v>
      </c>
      <c r="S9" s="1">
        <v>8.0609639999999996E-2</v>
      </c>
      <c r="T9" s="1">
        <v>8.1018980000000004E-2</v>
      </c>
      <c r="U9" s="1">
        <v>8.1102400000000005E-2</v>
      </c>
      <c r="V9" s="1">
        <v>8.1355869999999997E-2</v>
      </c>
      <c r="W9" s="1">
        <v>8.2628549999999995E-2</v>
      </c>
      <c r="X9" s="1">
        <v>8.0518980000000004E-2</v>
      </c>
      <c r="Y9" s="1">
        <v>8.0602400000000005E-2</v>
      </c>
      <c r="Z9" s="1">
        <v>8.0855869999999996E-2</v>
      </c>
      <c r="AA9" s="1">
        <v>8.2128549999999995E-2</v>
      </c>
      <c r="AB9" s="1">
        <v>2.2303119999999999E-2</v>
      </c>
      <c r="AC9" s="1">
        <v>2.2499999999999999E-2</v>
      </c>
      <c r="AD9" s="1">
        <v>0.11424833</v>
      </c>
      <c r="AE9" s="1">
        <v>0.10667567</v>
      </c>
      <c r="AF9" s="1">
        <v>8.182101E-2</v>
      </c>
      <c r="AG9" s="1">
        <v>0.12914613</v>
      </c>
      <c r="AH9" s="1">
        <v>0.14182164</v>
      </c>
      <c r="AI9" s="1">
        <v>0.16402833</v>
      </c>
      <c r="AJ9" s="1">
        <v>8.1836419999999993E-2</v>
      </c>
      <c r="AK9" s="1">
        <v>0.56975566</v>
      </c>
      <c r="AL9" s="1">
        <v>20.450755659999999</v>
      </c>
      <c r="AM9" s="1">
        <v>0</v>
      </c>
      <c r="AN9" s="1">
        <v>8.3932010000000001E-2</v>
      </c>
      <c r="AO9" s="1">
        <v>2.0726359999999999E-2</v>
      </c>
      <c r="AP9" s="1">
        <v>2.3701239999999998E-2</v>
      </c>
      <c r="AQ9" s="1">
        <v>2.3836699999999999E-2</v>
      </c>
      <c r="AR9" s="1">
        <v>2.5462439999999999E-2</v>
      </c>
      <c r="AS9" s="1">
        <v>2.5310639999999999E-2</v>
      </c>
      <c r="AT9" s="1">
        <v>2.5386539999999999E-2</v>
      </c>
      <c r="AU9" s="1"/>
      <c r="AV9" s="1">
        <v>1.92125E-2</v>
      </c>
      <c r="AW9" s="1">
        <v>-3.1886000000000002E-3</v>
      </c>
      <c r="AX9" s="1">
        <v>5.5000000000000002E-5</v>
      </c>
      <c r="AY9" s="1">
        <v>-3.1886000000000002E-3</v>
      </c>
      <c r="AZ9" s="1">
        <v>7.1992899999999997E-3</v>
      </c>
      <c r="BA9" s="1">
        <v>20.26095566</v>
      </c>
      <c r="BB9" s="1">
        <v>8.2395469999999998E-2</v>
      </c>
      <c r="BC9" s="1">
        <v>0</v>
      </c>
      <c r="BD9" s="1">
        <v>3.2797029999999998E-2</v>
      </c>
      <c r="BE9" s="1">
        <v>2.25963E-2</v>
      </c>
      <c r="BF9" s="1">
        <v>4.2016909999999998E-2</v>
      </c>
      <c r="BG9" s="1">
        <v>7.9060459999999999E-2</v>
      </c>
      <c r="BH9" s="1">
        <v>2.2700000000000001E-2</v>
      </c>
      <c r="BI9" s="1">
        <v>-6.4739999999999997E-3</v>
      </c>
      <c r="BJ9" s="1">
        <v>7.8805999999999998E-3</v>
      </c>
      <c r="BK9" s="1">
        <v>5.7797679999999997E-2</v>
      </c>
      <c r="BL9" s="1">
        <v>4.9899999999999999E-4</v>
      </c>
      <c r="BM9" s="1">
        <v>3.300003E-2</v>
      </c>
      <c r="BN9" s="1">
        <v>3.2637359999999997E-2</v>
      </c>
      <c r="BO9" s="1">
        <v>0</v>
      </c>
      <c r="BP9" s="1">
        <v>-2.7296500000000001E-3</v>
      </c>
      <c r="BQ9" s="1">
        <v>-4.7205900000000002E-3</v>
      </c>
      <c r="BR9" s="1">
        <v>-3.35959E-3</v>
      </c>
      <c r="BS9" s="1">
        <v>1.752331E-2</v>
      </c>
      <c r="BT9" s="1">
        <v>1.31129659</v>
      </c>
      <c r="BU9" s="1">
        <v>1.1842097599999999</v>
      </c>
      <c r="BV9" s="1">
        <v>23.950755780000001</v>
      </c>
      <c r="BW9" s="1">
        <v>3.9307717100000001</v>
      </c>
      <c r="BX9" s="1">
        <v>109.35053336999999</v>
      </c>
      <c r="BY9" s="1">
        <v>7.0552999999999996E-3</v>
      </c>
      <c r="BZ9" s="1">
        <v>1.3303309400000001</v>
      </c>
      <c r="CA9" s="1">
        <v>2.2502189999999998E-2</v>
      </c>
      <c r="CB9" s="1">
        <v>-4.1408900000000004E-3</v>
      </c>
      <c r="CC9" s="1">
        <v>-2.7121300000000001E-3</v>
      </c>
      <c r="CD9" s="1">
        <v>2.2303119999999999E-2</v>
      </c>
      <c r="CE9">
        <v>5.5000000000000002E-5</v>
      </c>
      <c r="CF9">
        <v>-3.1886000000000002E-3</v>
      </c>
      <c r="CG9">
        <v>3.2439559999999999E-2</v>
      </c>
      <c r="CH9">
        <v>3.7699999999999997E-2</v>
      </c>
      <c r="CI9">
        <v>8.282101E-2</v>
      </c>
      <c r="CJ9">
        <v>2.5173540000000001E-2</v>
      </c>
      <c r="CK9">
        <v>8.2471429999999998E-2</v>
      </c>
      <c r="CL9">
        <v>1</v>
      </c>
    </row>
    <row r="10" spans="1:90" x14ac:dyDescent="0.2">
      <c r="A10" s="8">
        <v>210</v>
      </c>
      <c r="B10" s="1">
        <v>0</v>
      </c>
      <c r="C10" s="1">
        <v>8.0196920000000005E-2</v>
      </c>
      <c r="D10" s="1">
        <v>7.9944940000000006E-2</v>
      </c>
      <c r="E10" s="1">
        <v>0</v>
      </c>
      <c r="F10" s="1">
        <v>0</v>
      </c>
      <c r="G10" s="1">
        <v>0</v>
      </c>
      <c r="H10" s="1">
        <v>0</v>
      </c>
      <c r="I10" s="1">
        <v>0</v>
      </c>
      <c r="J10" s="1">
        <v>3.5242999999999997E-2</v>
      </c>
      <c r="K10" s="1">
        <v>3.5292230000000001E-2</v>
      </c>
      <c r="L10" s="1">
        <v>3.775498E-2</v>
      </c>
      <c r="M10" s="1">
        <v>3.2565719999999999E-2</v>
      </c>
      <c r="N10" s="1">
        <v>4.0779999999999997E-2</v>
      </c>
      <c r="O10" s="1">
        <v>8.0908919999999995E-2</v>
      </c>
      <c r="P10" s="1">
        <v>4.0779999999999997E-2</v>
      </c>
      <c r="Q10" s="1">
        <v>8.0915920000000002E-2</v>
      </c>
      <c r="R10" s="1">
        <v>4.0779999999999997E-2</v>
      </c>
      <c r="S10" s="1">
        <v>8.0922919999999995E-2</v>
      </c>
      <c r="T10" s="1">
        <v>8.1328040000000004E-2</v>
      </c>
      <c r="U10" s="1">
        <v>8.141545E-2</v>
      </c>
      <c r="V10" s="1">
        <v>8.1662150000000003E-2</v>
      </c>
      <c r="W10" s="1">
        <v>8.2924380000000006E-2</v>
      </c>
      <c r="X10" s="1">
        <v>8.0828040000000004E-2</v>
      </c>
      <c r="Y10" s="1">
        <v>8.091545E-2</v>
      </c>
      <c r="Z10" s="1">
        <v>8.1162150000000002E-2</v>
      </c>
      <c r="AA10" s="1">
        <v>8.2424380000000005E-2</v>
      </c>
      <c r="AB10" s="1">
        <v>2.2845879999999999E-2</v>
      </c>
      <c r="AC10" s="1">
        <v>2.2360519999999998E-2</v>
      </c>
      <c r="AD10" s="1">
        <v>0.11532795999999999</v>
      </c>
      <c r="AE10" s="1">
        <v>0.10726796</v>
      </c>
      <c r="AF10" s="1">
        <v>8.2126030000000003E-2</v>
      </c>
      <c r="AG10" s="1">
        <v>0.13102569999999999</v>
      </c>
      <c r="AH10" s="1">
        <v>0.14491689999999999</v>
      </c>
      <c r="AI10" s="1">
        <v>0.16741157000000001</v>
      </c>
      <c r="AJ10" s="1">
        <v>8.2246059999999996E-2</v>
      </c>
      <c r="AK10" s="1">
        <v>0.66422365999999999</v>
      </c>
      <c r="AL10" s="1">
        <v>20.545223660000001</v>
      </c>
      <c r="AM10" s="1">
        <v>0</v>
      </c>
      <c r="AN10" s="1">
        <v>8.4277840000000007E-2</v>
      </c>
      <c r="AO10" s="1">
        <v>2.0767500000000001E-2</v>
      </c>
      <c r="AP10" s="1">
        <v>2.3932950000000001E-2</v>
      </c>
      <c r="AQ10" s="1">
        <v>2.4164479999999999E-2</v>
      </c>
      <c r="AR10" s="1">
        <v>2.572116E-2</v>
      </c>
      <c r="AS10" s="1">
        <v>2.5579000000000001E-2</v>
      </c>
      <c r="AT10" s="1">
        <v>2.5650079999999999E-2</v>
      </c>
      <c r="AU10" s="1"/>
      <c r="AV10" s="1">
        <v>1.9644890000000002E-2</v>
      </c>
      <c r="AW10" s="1">
        <v>-3.0321900000000001E-3</v>
      </c>
      <c r="AX10" s="1">
        <v>2.9060000000000002E-4</v>
      </c>
      <c r="AY10" s="1">
        <v>-3.0321900000000001E-3</v>
      </c>
      <c r="AZ10" s="1">
        <v>7.2797499999999998E-3</v>
      </c>
      <c r="BA10" s="1">
        <v>20.35542366</v>
      </c>
      <c r="BB10" s="1">
        <v>8.2805900000000002E-2</v>
      </c>
      <c r="BC10" s="1">
        <v>0</v>
      </c>
      <c r="BD10" s="1">
        <v>3.3699180000000002E-2</v>
      </c>
      <c r="BE10" s="1">
        <v>2.3078359999999999E-2</v>
      </c>
      <c r="BF10" s="1">
        <v>4.2839139999999998E-2</v>
      </c>
      <c r="BG10" s="1">
        <v>7.9203220000000005E-2</v>
      </c>
      <c r="BH10" s="1">
        <v>2.2907429999999999E-2</v>
      </c>
      <c r="BI10" s="1">
        <v>-6.1751100000000001E-3</v>
      </c>
      <c r="BJ10" s="1">
        <v>8.1372900000000001E-3</v>
      </c>
      <c r="BK10" s="1">
        <v>5.8132679999999999E-2</v>
      </c>
      <c r="BL10" s="1">
        <v>7.0699999999999995E-4</v>
      </c>
      <c r="BM10" s="1">
        <v>3.3977930000000003E-2</v>
      </c>
      <c r="BN10" s="1">
        <v>3.3923080000000001E-2</v>
      </c>
      <c r="BO10" s="1">
        <v>0</v>
      </c>
      <c r="BP10" s="1">
        <v>-2.66103E-3</v>
      </c>
      <c r="BQ10" s="1">
        <v>-4.7107800000000003E-3</v>
      </c>
      <c r="BR10" s="1">
        <v>-3.4013899999999998E-3</v>
      </c>
      <c r="BS10" s="1">
        <v>1.7841010000000001E-2</v>
      </c>
      <c r="BT10" s="1">
        <v>1.31061534</v>
      </c>
      <c r="BU10" s="1">
        <v>1.18721945</v>
      </c>
      <c r="BV10" s="1">
        <v>24.121592419999999</v>
      </c>
      <c r="BW10" s="1">
        <v>3.9414372000000002</v>
      </c>
      <c r="BX10" s="1">
        <v>109.08245656</v>
      </c>
      <c r="BY10" s="1">
        <v>7.2367400000000002E-3</v>
      </c>
      <c r="BZ10" s="1">
        <v>1.3322726899999999</v>
      </c>
      <c r="CA10" s="1">
        <v>2.304871E-2</v>
      </c>
      <c r="CB10" s="1">
        <v>-4.0718999999999998E-3</v>
      </c>
      <c r="CC10" s="1">
        <v>-2.7773400000000001E-3</v>
      </c>
      <c r="CD10" s="1">
        <v>2.2845879999999999E-2</v>
      </c>
      <c r="CE10">
        <v>2.3860999999999999E-4</v>
      </c>
      <c r="CF10">
        <v>-3.04149E-3</v>
      </c>
      <c r="CG10">
        <v>3.364615E-2</v>
      </c>
      <c r="CH10">
        <v>3.769927E-2</v>
      </c>
      <c r="CI10">
        <v>8.3126030000000004E-2</v>
      </c>
      <c r="CJ10">
        <v>2.5410970000000001E-2</v>
      </c>
      <c r="CK10">
        <v>8.2525000000000001E-2</v>
      </c>
      <c r="CL10">
        <v>1</v>
      </c>
    </row>
    <row r="11" spans="1:90" x14ac:dyDescent="0.2">
      <c r="A11" s="8">
        <v>240</v>
      </c>
      <c r="B11" s="1">
        <v>0</v>
      </c>
      <c r="C11" s="1">
        <v>8.0333329999999994E-2</v>
      </c>
      <c r="D11" s="1">
        <v>7.9819760000000003E-2</v>
      </c>
      <c r="E11" s="1">
        <v>0</v>
      </c>
      <c r="F11" s="1">
        <v>0</v>
      </c>
      <c r="G11" s="1">
        <v>0</v>
      </c>
      <c r="H11" s="1">
        <v>0</v>
      </c>
      <c r="I11" s="1">
        <v>0</v>
      </c>
      <c r="J11" s="1">
        <v>3.529463E-2</v>
      </c>
      <c r="K11" s="1">
        <v>3.5396660000000003E-2</v>
      </c>
      <c r="L11" s="1">
        <v>3.7814E-2</v>
      </c>
      <c r="M11" s="1">
        <v>3.260967E-2</v>
      </c>
      <c r="N11" s="1">
        <v>4.0779999999999997E-2</v>
      </c>
      <c r="O11" s="1">
        <v>8.1043329999999997E-2</v>
      </c>
      <c r="P11" s="1">
        <v>4.0779999999999997E-2</v>
      </c>
      <c r="Q11" s="1">
        <v>8.1050330000000004E-2</v>
      </c>
      <c r="R11" s="1">
        <v>4.0779999999999997E-2</v>
      </c>
      <c r="S11" s="1">
        <v>8.1057329999999997E-2</v>
      </c>
      <c r="T11" s="1">
        <v>8.1459219999999999E-2</v>
      </c>
      <c r="U11" s="1">
        <v>8.1550620000000004E-2</v>
      </c>
      <c r="V11" s="1">
        <v>8.1790570000000007E-2</v>
      </c>
      <c r="W11" s="1">
        <v>8.3042329999999998E-2</v>
      </c>
      <c r="X11" s="1">
        <v>8.0959219999999998E-2</v>
      </c>
      <c r="Y11" s="1">
        <v>8.1050620000000004E-2</v>
      </c>
      <c r="Z11" s="1">
        <v>8.1290570000000006E-2</v>
      </c>
      <c r="AA11" s="1">
        <v>8.2542329999999997E-2</v>
      </c>
      <c r="AB11" s="1">
        <v>2.3390520000000001E-2</v>
      </c>
      <c r="AC11" s="1">
        <v>2.2762850000000001E-2</v>
      </c>
      <c r="AD11" s="1">
        <v>0.11641648</v>
      </c>
      <c r="AE11" s="1">
        <v>0.10774641</v>
      </c>
      <c r="AF11" s="1">
        <v>8.24516E-2</v>
      </c>
      <c r="AG11" s="1">
        <v>0.13287626999999999</v>
      </c>
      <c r="AH11" s="1">
        <v>0.14829049</v>
      </c>
      <c r="AI11" s="1">
        <v>0.17078420999999999</v>
      </c>
      <c r="AJ11" s="1">
        <v>8.2549059999999994E-2</v>
      </c>
      <c r="AK11" s="1">
        <v>0.75710595999999997</v>
      </c>
      <c r="AL11" s="1">
        <v>20.638105960000001</v>
      </c>
      <c r="AM11" s="1">
        <v>0</v>
      </c>
      <c r="AN11" s="1">
        <v>8.4625770000000003E-2</v>
      </c>
      <c r="AO11" s="1">
        <v>2.1541069999999999E-2</v>
      </c>
      <c r="AP11" s="1">
        <v>2.4388779999999999E-2</v>
      </c>
      <c r="AQ11" s="1">
        <v>2.4493480000000002E-2</v>
      </c>
      <c r="AR11" s="1">
        <v>2.5980880000000001E-2</v>
      </c>
      <c r="AS11" s="1">
        <v>2.5848409999999999E-2</v>
      </c>
      <c r="AT11" s="1">
        <v>2.5914639999999999E-2</v>
      </c>
      <c r="AU11" s="1"/>
      <c r="AV11" s="1">
        <v>2.0061260000000001E-2</v>
      </c>
      <c r="AW11" s="1">
        <v>-2.8725299999999999E-3</v>
      </c>
      <c r="AX11" s="1">
        <v>5.1517999999999996E-4</v>
      </c>
      <c r="AY11" s="1">
        <v>-2.8725299999999999E-3</v>
      </c>
      <c r="AZ11" s="1">
        <v>7.3601400000000003E-3</v>
      </c>
      <c r="BA11" s="1">
        <v>20.448305959999999</v>
      </c>
      <c r="BB11" s="1">
        <v>8.3108650000000006E-2</v>
      </c>
      <c r="BC11" s="1">
        <v>-2.5000000000000001E-4</v>
      </c>
      <c r="BD11" s="1">
        <v>3.4667290000000003E-2</v>
      </c>
      <c r="BE11" s="1">
        <v>2.3612669999999999E-2</v>
      </c>
      <c r="BF11" s="1">
        <v>4.3688860000000003E-2</v>
      </c>
      <c r="BG11" s="1">
        <v>7.935644E-2</v>
      </c>
      <c r="BH11" s="1">
        <v>2.2912189999999999E-2</v>
      </c>
      <c r="BI11" s="1">
        <v>-5.9086900000000003E-3</v>
      </c>
      <c r="BJ11" s="1">
        <v>8.4320999999999997E-3</v>
      </c>
      <c r="BK11" s="1">
        <v>5.8646619999999997E-2</v>
      </c>
      <c r="BL11" s="1">
        <v>8.12E-4</v>
      </c>
      <c r="BM11" s="1">
        <v>3.5030840000000001E-2</v>
      </c>
      <c r="BN11" s="1">
        <v>3.491209E-2</v>
      </c>
      <c r="BO11" s="1">
        <v>0</v>
      </c>
      <c r="BP11" s="1">
        <v>-2.6142800000000001E-3</v>
      </c>
      <c r="BQ11" s="1">
        <v>-4.5477E-3</v>
      </c>
      <c r="BR11" s="1">
        <v>-3.1575800000000001E-3</v>
      </c>
      <c r="BS11" s="1">
        <v>1.8191189999999999E-2</v>
      </c>
      <c r="BT11" s="1">
        <v>1.3099621100000001</v>
      </c>
      <c r="BU11" s="1">
        <v>1.1901724499999999</v>
      </c>
      <c r="BV11" s="1">
        <v>24.292163460000001</v>
      </c>
      <c r="BW11" s="1">
        <v>3.95250755</v>
      </c>
      <c r="BX11" s="1">
        <v>108.82959906000001</v>
      </c>
      <c r="BY11" s="1">
        <v>7.5711299999999997E-3</v>
      </c>
      <c r="BZ11" s="1">
        <v>1.3341090200000001</v>
      </c>
      <c r="CA11" s="1">
        <v>2.359725E-2</v>
      </c>
      <c r="CB11" s="1">
        <v>-4.0029499999999999E-3</v>
      </c>
      <c r="CC11" s="1">
        <v>-2.5852800000000001E-3</v>
      </c>
      <c r="CD11" s="1">
        <v>2.3390520000000001E-2</v>
      </c>
      <c r="CE11">
        <v>4.2220000000000002E-4</v>
      </c>
      <c r="CF11">
        <v>-2.8944700000000001E-3</v>
      </c>
      <c r="CG11">
        <v>3.455275E-2</v>
      </c>
      <c r="CH11">
        <v>3.769898E-2</v>
      </c>
      <c r="CI11">
        <v>8.3451600000000001E-2</v>
      </c>
      <c r="CJ11">
        <v>2.564841E-2</v>
      </c>
      <c r="CK11">
        <v>8.2578570000000004E-2</v>
      </c>
      <c r="CL11">
        <v>1</v>
      </c>
    </row>
    <row r="12" spans="1:90" x14ac:dyDescent="0.2">
      <c r="A12" s="8">
        <v>270</v>
      </c>
      <c r="B12" s="1">
        <v>0</v>
      </c>
      <c r="C12" s="1">
        <v>8.0423999999999995E-2</v>
      </c>
      <c r="D12" s="1">
        <v>7.9654810000000006E-2</v>
      </c>
      <c r="E12" s="1">
        <v>0</v>
      </c>
      <c r="F12" s="1">
        <v>0</v>
      </c>
      <c r="G12" s="1">
        <v>0</v>
      </c>
      <c r="H12" s="1">
        <v>0</v>
      </c>
      <c r="I12" s="1">
        <v>0</v>
      </c>
      <c r="J12" s="1">
        <v>3.5346379999999997E-2</v>
      </c>
      <c r="K12" s="1">
        <v>3.550151E-2</v>
      </c>
      <c r="L12" s="1">
        <v>3.7873150000000001E-2</v>
      </c>
      <c r="M12" s="1">
        <v>3.2653700000000001E-2</v>
      </c>
      <c r="N12" s="1">
        <v>4.0779999999999997E-2</v>
      </c>
      <c r="O12" s="1">
        <v>8.1132999999999997E-2</v>
      </c>
      <c r="P12" s="1">
        <v>4.0779999999999997E-2</v>
      </c>
      <c r="Q12" s="1">
        <v>8.1140000000000004E-2</v>
      </c>
      <c r="R12" s="1">
        <v>4.0779999999999997E-2</v>
      </c>
      <c r="S12" s="1">
        <v>8.1146999999999997E-2</v>
      </c>
      <c r="T12" s="1">
        <v>8.1544649999999996E-2</v>
      </c>
      <c r="U12" s="1">
        <v>8.1640000000000004E-2</v>
      </c>
      <c r="V12" s="1">
        <v>8.1873230000000005E-2</v>
      </c>
      <c r="W12" s="1">
        <v>8.3114540000000001E-2</v>
      </c>
      <c r="X12" s="1">
        <v>8.1044649999999996E-2</v>
      </c>
      <c r="Y12" s="1">
        <v>8.1140000000000004E-2</v>
      </c>
      <c r="Z12" s="1">
        <v>8.1373230000000005E-2</v>
      </c>
      <c r="AA12" s="1">
        <v>8.261454E-2</v>
      </c>
      <c r="AB12" s="1">
        <v>2.3937130000000001E-2</v>
      </c>
      <c r="AC12" s="1">
        <v>2.3E-2</v>
      </c>
      <c r="AD12" s="1">
        <v>0.11753199</v>
      </c>
      <c r="AE12" s="1">
        <v>0.10824126000000001</v>
      </c>
      <c r="AF12" s="1">
        <v>8.2792699999999997E-2</v>
      </c>
      <c r="AG12" s="1">
        <v>0.13476930000000001</v>
      </c>
      <c r="AH12" s="1">
        <v>0.15174175000000001</v>
      </c>
      <c r="AI12" s="1">
        <v>0.17423938999999999</v>
      </c>
      <c r="AJ12" s="1">
        <v>8.2878220000000002E-2</v>
      </c>
      <c r="AK12" s="1">
        <v>0.85002164999999996</v>
      </c>
      <c r="AL12" s="1">
        <v>20.731021649999999</v>
      </c>
      <c r="AM12" s="1">
        <v>0</v>
      </c>
      <c r="AN12" s="1">
        <v>8.4923910000000005E-2</v>
      </c>
      <c r="AO12" s="1">
        <v>2.2084099999999999E-2</v>
      </c>
      <c r="AP12" s="1">
        <v>2.4845180000000001E-2</v>
      </c>
      <c r="AQ12" s="1">
        <v>2.481015E-2</v>
      </c>
      <c r="AR12" s="1">
        <v>2.6220750000000001E-2</v>
      </c>
      <c r="AS12" s="1">
        <v>2.609802E-2</v>
      </c>
      <c r="AT12" s="1">
        <v>2.6159379999999999E-2</v>
      </c>
      <c r="AU12" s="1"/>
      <c r="AV12" s="1">
        <v>2.0444549999999999E-2</v>
      </c>
      <c r="AW12" s="1">
        <v>-2.7149000000000001E-3</v>
      </c>
      <c r="AX12" s="1">
        <v>7.2141000000000002E-4</v>
      </c>
      <c r="AY12" s="1">
        <v>-2.7149000000000001E-3</v>
      </c>
      <c r="AZ12" s="1">
        <v>7.4404600000000003E-3</v>
      </c>
      <c r="BA12" s="1">
        <v>20.541221650000001</v>
      </c>
      <c r="BB12" s="1">
        <v>8.3437929999999993E-2</v>
      </c>
      <c r="BC12" s="1">
        <v>-2.5000000000000001E-4</v>
      </c>
      <c r="BD12" s="1">
        <v>3.564047E-2</v>
      </c>
      <c r="BE12" s="1">
        <v>2.4162759999999998E-2</v>
      </c>
      <c r="BF12" s="1">
        <v>4.4544140000000003E-2</v>
      </c>
      <c r="BG12" s="1">
        <v>7.9509410000000003E-2</v>
      </c>
      <c r="BH12" s="1">
        <v>2.2769049999999999E-2</v>
      </c>
      <c r="BI12" s="1">
        <v>-5.6768499999999998E-3</v>
      </c>
      <c r="BJ12" s="1">
        <v>8.7460000000000003E-3</v>
      </c>
      <c r="BK12" s="1">
        <v>5.9164559999999998E-2</v>
      </c>
      <c r="BL12" s="1">
        <v>8.3500000000000002E-4</v>
      </c>
      <c r="BM12" s="1">
        <v>3.6089320000000001E-2</v>
      </c>
      <c r="BN12" s="1">
        <v>3.5901099999999998E-2</v>
      </c>
      <c r="BO12" s="1">
        <v>0</v>
      </c>
      <c r="BP12" s="1">
        <v>-2.56756E-3</v>
      </c>
      <c r="BQ12" s="1">
        <v>-4.5506499999999998E-3</v>
      </c>
      <c r="BR12" s="1">
        <v>-3.2242500000000001E-3</v>
      </c>
      <c r="BS12" s="1">
        <v>1.8432529999999999E-2</v>
      </c>
      <c r="BT12" s="1">
        <v>1.3092231000000001</v>
      </c>
      <c r="BU12" s="1">
        <v>1.1932971000000001</v>
      </c>
      <c r="BV12" s="1">
        <v>24.465034589999998</v>
      </c>
      <c r="BW12" s="1">
        <v>3.9636884299999999</v>
      </c>
      <c r="BX12" s="1">
        <v>108.5520736</v>
      </c>
      <c r="BY12" s="1">
        <v>7.7044599999999998E-3</v>
      </c>
      <c r="BZ12" s="1">
        <v>1.3361284099999999</v>
      </c>
      <c r="CA12" s="1">
        <v>2.4148159999999998E-2</v>
      </c>
      <c r="CB12" s="1">
        <v>-3.9340499999999997E-3</v>
      </c>
      <c r="CC12" s="1">
        <v>-2.6312499999999999E-3</v>
      </c>
      <c r="CD12" s="1">
        <v>2.3937130000000001E-2</v>
      </c>
      <c r="CE12">
        <v>6.0579999999999998E-4</v>
      </c>
      <c r="CF12">
        <v>-2.7475199999999998E-3</v>
      </c>
      <c r="CG12">
        <v>3.5459339999999999E-2</v>
      </c>
      <c r="CH12">
        <v>3.7698990000000002E-2</v>
      </c>
      <c r="CI12">
        <v>8.3792699999999998E-2</v>
      </c>
      <c r="CJ12">
        <v>2.586509E-2</v>
      </c>
      <c r="CK12">
        <v>8.258393E-2</v>
      </c>
      <c r="CL12">
        <v>1</v>
      </c>
    </row>
    <row r="13" spans="1:90" x14ac:dyDescent="0.2">
      <c r="A13" s="8">
        <v>300</v>
      </c>
      <c r="B13" s="1">
        <v>0</v>
      </c>
      <c r="C13" s="1">
        <v>8.0520449999999993E-2</v>
      </c>
      <c r="D13" s="1">
        <v>7.9492060000000003E-2</v>
      </c>
      <c r="E13" s="1">
        <v>0</v>
      </c>
      <c r="F13" s="1">
        <v>0</v>
      </c>
      <c r="G13" s="1">
        <v>0</v>
      </c>
      <c r="H13" s="1">
        <v>0</v>
      </c>
      <c r="I13" s="1">
        <v>0</v>
      </c>
      <c r="J13" s="1">
        <v>3.5398319999999997E-2</v>
      </c>
      <c r="K13" s="1">
        <v>3.5606760000000001E-2</v>
      </c>
      <c r="L13" s="1">
        <v>3.7932420000000001E-2</v>
      </c>
      <c r="M13" s="1">
        <v>3.2697810000000001E-2</v>
      </c>
      <c r="N13" s="1">
        <v>4.1020000000000001E-2</v>
      </c>
      <c r="O13" s="1">
        <v>8.1228449999999994E-2</v>
      </c>
      <c r="P13" s="1">
        <v>4.1020000000000001E-2</v>
      </c>
      <c r="Q13" s="1">
        <v>8.1235450000000001E-2</v>
      </c>
      <c r="R13" s="1">
        <v>4.1020000000000001E-2</v>
      </c>
      <c r="S13" s="1">
        <v>8.1242449999999994E-2</v>
      </c>
      <c r="T13" s="1">
        <v>8.1638089999999996E-2</v>
      </c>
      <c r="U13" s="1">
        <v>8.1737669999999998E-2</v>
      </c>
      <c r="V13" s="1">
        <v>8.1965079999999996E-2</v>
      </c>
      <c r="W13" s="1">
        <v>8.3200369999999996E-2</v>
      </c>
      <c r="X13" s="1">
        <v>8.1138089999999996E-2</v>
      </c>
      <c r="Y13" s="1">
        <v>8.1237669999999998E-2</v>
      </c>
      <c r="Z13" s="1">
        <v>8.1465079999999995E-2</v>
      </c>
      <c r="AA13" s="1">
        <v>8.2700369999999995E-2</v>
      </c>
      <c r="AB13" s="1">
        <v>2.4485779999999999E-2</v>
      </c>
      <c r="AC13" s="1">
        <v>2.319187E-2</v>
      </c>
      <c r="AD13" s="1">
        <v>0.1193178</v>
      </c>
      <c r="AE13" s="1">
        <v>0.10895892</v>
      </c>
      <c r="AF13" s="1">
        <v>8.3089140000000006E-2</v>
      </c>
      <c r="AG13" s="1">
        <v>0.13681636</v>
      </c>
      <c r="AH13" s="1">
        <v>0.15553569</v>
      </c>
      <c r="AI13" s="1">
        <v>0.17803182000000001</v>
      </c>
      <c r="AJ13" s="1">
        <v>8.3278980000000002E-2</v>
      </c>
      <c r="AK13" s="1">
        <v>0.94429076000000001</v>
      </c>
      <c r="AL13" s="1">
        <v>20.825290760000001</v>
      </c>
      <c r="AM13" s="1">
        <v>0</v>
      </c>
      <c r="AN13" s="1">
        <v>8.5188630000000001E-2</v>
      </c>
      <c r="AO13" s="1">
        <v>2.2453399999999998E-2</v>
      </c>
      <c r="AP13" s="1">
        <v>2.5172839999999998E-2</v>
      </c>
      <c r="AQ13" s="1">
        <v>2.5090669999999999E-2</v>
      </c>
      <c r="AR13" s="1">
        <v>2.6447640000000001E-2</v>
      </c>
      <c r="AS13" s="1">
        <v>2.6334679999999999E-2</v>
      </c>
      <c r="AT13" s="1">
        <v>2.639116E-2</v>
      </c>
      <c r="AU13" s="1"/>
      <c r="AV13" s="1">
        <v>2.0777650000000002E-2</v>
      </c>
      <c r="AW13" s="1">
        <v>-2.5645899999999998E-3</v>
      </c>
      <c r="AX13" s="1">
        <v>9.0196000000000004E-4</v>
      </c>
      <c r="AY13" s="1">
        <v>-2.5645899999999998E-3</v>
      </c>
      <c r="AZ13" s="1">
        <v>7.5207E-3</v>
      </c>
      <c r="BA13" s="1">
        <v>20.63549076</v>
      </c>
      <c r="BB13" s="1">
        <v>8.3839849999999994E-2</v>
      </c>
      <c r="BC13" s="1">
        <v>-2.5000000000000001E-4</v>
      </c>
      <c r="BD13" s="1">
        <v>3.6618970000000001E-2</v>
      </c>
      <c r="BE13" s="1">
        <v>2.4692140000000001E-2</v>
      </c>
      <c r="BF13" s="1">
        <v>4.5503969999999998E-2</v>
      </c>
      <c r="BG13" s="1">
        <v>7.9662140000000006E-2</v>
      </c>
      <c r="BH13" s="1">
        <v>2.253279E-2</v>
      </c>
      <c r="BI13" s="1">
        <v>-5.4817199999999998E-3</v>
      </c>
      <c r="BJ13" s="1">
        <v>9.0599600000000006E-3</v>
      </c>
      <c r="BK13" s="1">
        <v>5.9771400000000002E-2</v>
      </c>
      <c r="BL13" s="1">
        <v>9.2000000000000003E-4</v>
      </c>
      <c r="BM13" s="1">
        <v>3.7153640000000002E-2</v>
      </c>
      <c r="BN13" s="1">
        <v>3.6890109999999997E-2</v>
      </c>
      <c r="BO13" s="1">
        <v>0</v>
      </c>
      <c r="BP13" s="1">
        <v>-2.5208600000000002E-3</v>
      </c>
      <c r="BQ13" s="1">
        <v>-4.46884E-3</v>
      </c>
      <c r="BR13" s="1">
        <v>-3.1523800000000002E-3</v>
      </c>
      <c r="BS13" s="1">
        <v>1.869177E-2</v>
      </c>
      <c r="BT13" s="1">
        <v>1.3085293899999999</v>
      </c>
      <c r="BU13" s="1">
        <v>1.19636644</v>
      </c>
      <c r="BV13" s="1">
        <v>24.639579300000001</v>
      </c>
      <c r="BW13" s="1">
        <v>3.97533863</v>
      </c>
      <c r="BX13" s="1">
        <v>108.28471202</v>
      </c>
      <c r="BY13" s="1">
        <v>7.9500200000000004E-3</v>
      </c>
      <c r="BZ13" s="1">
        <v>1.33802069</v>
      </c>
      <c r="CA13" s="1">
        <v>2.470108E-2</v>
      </c>
      <c r="CB13" s="1">
        <v>-3.8652000000000001E-3</v>
      </c>
      <c r="CC13" s="1">
        <v>-2.6897700000000002E-3</v>
      </c>
      <c r="CD13" s="1">
        <v>2.4485779999999999E-2</v>
      </c>
      <c r="CE13">
        <v>7.8941999999999999E-4</v>
      </c>
      <c r="CF13">
        <v>-2.6006499999999999E-3</v>
      </c>
      <c r="CG13">
        <v>3.6365929999999998E-2</v>
      </c>
      <c r="CH13">
        <v>3.7699240000000002E-2</v>
      </c>
      <c r="CI13">
        <v>8.4089140000000007E-2</v>
      </c>
      <c r="CJ13">
        <v>2.6067940000000001E-2</v>
      </c>
      <c r="CK13">
        <v>8.2557140000000001E-2</v>
      </c>
      <c r="CL13">
        <v>1</v>
      </c>
    </row>
    <row r="14" spans="1:90" x14ac:dyDescent="0.2">
      <c r="A14" s="8">
        <v>330</v>
      </c>
      <c r="B14" s="1">
        <v>0</v>
      </c>
      <c r="C14" s="1">
        <v>8.0611710000000003E-2</v>
      </c>
      <c r="D14" s="1">
        <v>7.9327220000000004E-2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  <c r="J14" s="1">
        <v>3.5450370000000002E-2</v>
      </c>
      <c r="K14" s="1">
        <v>3.5712420000000002E-2</v>
      </c>
      <c r="L14" s="1">
        <v>3.7991810000000001E-2</v>
      </c>
      <c r="M14" s="1">
        <v>3.2742E-2</v>
      </c>
      <c r="N14" s="1">
        <v>4.1259999999999998E-2</v>
      </c>
      <c r="O14" s="1">
        <v>8.1318710000000002E-2</v>
      </c>
      <c r="P14" s="1">
        <v>4.1259999999999998E-2</v>
      </c>
      <c r="Q14" s="1">
        <v>8.1325709999999996E-2</v>
      </c>
      <c r="R14" s="1">
        <v>4.1259999999999998E-2</v>
      </c>
      <c r="S14" s="1">
        <v>8.1332710000000003E-2</v>
      </c>
      <c r="T14" s="1">
        <v>8.1726339999999995E-2</v>
      </c>
      <c r="U14" s="1">
        <v>8.1830120000000006E-2</v>
      </c>
      <c r="V14" s="1">
        <v>8.2051739999999998E-2</v>
      </c>
      <c r="W14" s="1">
        <v>8.3280999999999994E-2</v>
      </c>
      <c r="X14" s="1">
        <v>8.1226339999999994E-2</v>
      </c>
      <c r="Y14" s="1">
        <v>8.1330120000000006E-2</v>
      </c>
      <c r="Z14" s="1">
        <v>8.1551739999999998E-2</v>
      </c>
      <c r="AA14" s="1">
        <v>8.2780999999999993E-2</v>
      </c>
      <c r="AB14" s="1">
        <v>2.5036530000000001E-2</v>
      </c>
      <c r="AC14" s="1">
        <v>2.327767E-2</v>
      </c>
      <c r="AD14" s="1">
        <v>0.12147586</v>
      </c>
      <c r="AE14" s="1">
        <v>0.10980876000000001</v>
      </c>
      <c r="AF14" s="1">
        <v>8.3377820000000005E-2</v>
      </c>
      <c r="AG14" s="1">
        <v>0.13897407000000001</v>
      </c>
      <c r="AH14" s="1">
        <v>0.15956005000000001</v>
      </c>
      <c r="AI14" s="1">
        <v>0.18205525</v>
      </c>
      <c r="AJ14" s="1">
        <v>8.3734470000000005E-2</v>
      </c>
      <c r="AK14" s="1">
        <v>1.03943216</v>
      </c>
      <c r="AL14" s="1">
        <v>20.920432160000001</v>
      </c>
      <c r="AM14" s="1">
        <v>0</v>
      </c>
      <c r="AN14" s="1">
        <v>8.5454290000000002E-2</v>
      </c>
      <c r="AO14" s="1">
        <v>2.2684670000000001E-2</v>
      </c>
      <c r="AP14" s="1">
        <v>2.541738E-2</v>
      </c>
      <c r="AQ14" s="1">
        <v>2.5372280000000001E-2</v>
      </c>
      <c r="AR14" s="1">
        <v>2.667543E-2</v>
      </c>
      <c r="AS14" s="1">
        <v>2.657228E-2</v>
      </c>
      <c r="AT14" s="1">
        <v>2.6623859999999999E-2</v>
      </c>
      <c r="AU14" s="1"/>
      <c r="AV14" s="1">
        <v>2.10435E-2</v>
      </c>
      <c r="AW14" s="1">
        <v>-2.4269000000000001E-3</v>
      </c>
      <c r="AX14" s="1">
        <v>1.0495000000000001E-3</v>
      </c>
      <c r="AY14" s="1">
        <v>-2.4269000000000001E-3</v>
      </c>
      <c r="AZ14" s="1">
        <v>7.60088E-3</v>
      </c>
      <c r="BA14" s="1">
        <v>20.730632159999999</v>
      </c>
      <c r="BB14" s="1">
        <v>8.4297010000000006E-2</v>
      </c>
      <c r="BC14" s="1">
        <v>0</v>
      </c>
      <c r="BD14" s="1">
        <v>3.7602999999999998E-2</v>
      </c>
      <c r="BE14" s="1">
        <v>2.5164349999999999E-2</v>
      </c>
      <c r="BF14" s="1">
        <v>4.6477499999999998E-2</v>
      </c>
      <c r="BG14" s="1">
        <v>7.9814620000000003E-2</v>
      </c>
      <c r="BH14" s="1">
        <v>2.2258179999999999E-2</v>
      </c>
      <c r="BI14" s="1">
        <v>-5.3254000000000001E-3</v>
      </c>
      <c r="BJ14" s="1">
        <v>9.3549400000000008E-3</v>
      </c>
      <c r="BK14" s="1">
        <v>6.0396310000000002E-2</v>
      </c>
      <c r="BL14" s="1">
        <v>9.6100000000000005E-4</v>
      </c>
      <c r="BM14" s="1">
        <v>3.8224080000000001E-2</v>
      </c>
      <c r="BN14" s="1">
        <v>3.7879120000000002E-2</v>
      </c>
      <c r="BO14" s="1">
        <v>0</v>
      </c>
      <c r="BP14" s="1">
        <v>-2.4741699999999999E-3</v>
      </c>
      <c r="BQ14" s="1">
        <v>-4.3696200000000003E-3</v>
      </c>
      <c r="BR14" s="1">
        <v>-3.0255600000000001E-3</v>
      </c>
      <c r="BS14" s="1">
        <v>1.8970999999999998E-2</v>
      </c>
      <c r="BT14" s="1">
        <v>1.30785689</v>
      </c>
      <c r="BU14" s="1">
        <v>1.1994580399999999</v>
      </c>
      <c r="BV14" s="1">
        <v>24.816080729999999</v>
      </c>
      <c r="BW14" s="1">
        <v>3.98719505</v>
      </c>
      <c r="BX14" s="1">
        <v>108.02026669</v>
      </c>
      <c r="BY14" s="1">
        <v>8.1567900000000006E-3</v>
      </c>
      <c r="BZ14" s="1">
        <v>1.3399651699999999</v>
      </c>
      <c r="CA14" s="1">
        <v>2.5256109999999998E-2</v>
      </c>
      <c r="CB14" s="1">
        <v>-3.7963900000000002E-3</v>
      </c>
      <c r="CC14" s="1">
        <v>-2.7788000000000001E-3</v>
      </c>
      <c r="CD14" s="1">
        <v>2.5036530000000001E-2</v>
      </c>
      <c r="CE14">
        <v>9.7303999999999999E-4</v>
      </c>
      <c r="CF14">
        <v>-2.4538400000000001E-3</v>
      </c>
      <c r="CG14">
        <v>3.7272529999999998E-2</v>
      </c>
      <c r="CH14">
        <v>3.7699650000000001E-2</v>
      </c>
      <c r="CI14">
        <v>8.4377820000000006E-2</v>
      </c>
      <c r="CJ14">
        <v>2.6270780000000001E-2</v>
      </c>
      <c r="CK14">
        <v>8.2530359999999997E-2</v>
      </c>
      <c r="CL14">
        <v>1</v>
      </c>
    </row>
    <row r="15" spans="1:90" x14ac:dyDescent="0.2">
      <c r="A15" s="8">
        <v>360</v>
      </c>
      <c r="B15" s="1">
        <v>0</v>
      </c>
      <c r="C15" s="1">
        <v>8.0636340000000001E-2</v>
      </c>
      <c r="D15" s="1">
        <v>7.9100439999999994E-2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  <c r="J15" s="1">
        <v>3.5502489999999998E-2</v>
      </c>
      <c r="K15" s="1">
        <v>3.5818500000000003E-2</v>
      </c>
      <c r="L15" s="1">
        <v>3.8049239999999998E-2</v>
      </c>
      <c r="M15" s="1">
        <v>3.2784180000000003E-2</v>
      </c>
      <c r="N15" s="1">
        <v>4.1500000000000002E-2</v>
      </c>
      <c r="O15" s="1">
        <v>8.134334E-2</v>
      </c>
      <c r="P15" s="1">
        <v>4.1500000000000002E-2</v>
      </c>
      <c r="Q15" s="1">
        <v>8.1350339999999993E-2</v>
      </c>
      <c r="R15" s="1">
        <v>4.1500000000000002E-2</v>
      </c>
      <c r="S15" s="1">
        <v>8.135734E-2</v>
      </c>
      <c r="T15" s="1">
        <v>8.1747959999999995E-2</v>
      </c>
      <c r="U15" s="1">
        <v>8.1855899999999995E-2</v>
      </c>
      <c r="V15" s="1">
        <v>8.2071759999999994E-2</v>
      </c>
      <c r="W15" s="1">
        <v>8.3294999999999994E-2</v>
      </c>
      <c r="X15" s="1">
        <v>8.1247959999999994E-2</v>
      </c>
      <c r="Y15" s="1">
        <v>8.1355899999999995E-2</v>
      </c>
      <c r="Z15" s="1">
        <v>8.1571759999999993E-2</v>
      </c>
      <c r="AA15" s="1">
        <v>8.2794999999999994E-2</v>
      </c>
      <c r="AB15" s="1">
        <v>2.558947E-2</v>
      </c>
      <c r="AC15" s="1">
        <v>2.35E-2</v>
      </c>
      <c r="AD15" s="1">
        <v>0.12366190000000001</v>
      </c>
      <c r="AE15" s="1">
        <v>0.11066189999999999</v>
      </c>
      <c r="AF15" s="1">
        <v>8.3661899999999997E-2</v>
      </c>
      <c r="AG15" s="1">
        <v>0.14116190000000001</v>
      </c>
      <c r="AH15" s="1">
        <v>0.1636619</v>
      </c>
      <c r="AI15" s="1">
        <v>0.18616189999999999</v>
      </c>
      <c r="AJ15" s="1">
        <v>8.4164139999999998E-2</v>
      </c>
      <c r="AK15" s="1">
        <v>1.13429687</v>
      </c>
      <c r="AL15" s="1">
        <v>21.01529687</v>
      </c>
      <c r="AM15" s="1">
        <v>0</v>
      </c>
      <c r="AN15" s="1">
        <v>8.5720889999999994E-2</v>
      </c>
      <c r="AO15" s="1">
        <v>2.3003780000000001E-2</v>
      </c>
      <c r="AP15" s="1">
        <v>2.5643229999999999E-2</v>
      </c>
      <c r="AQ15" s="1">
        <v>2.5646579999999999E-2</v>
      </c>
      <c r="AR15" s="1">
        <v>2.6904129999999998E-2</v>
      </c>
      <c r="AS15" s="1">
        <v>2.6810839999999999E-2</v>
      </c>
      <c r="AT15" s="1">
        <v>2.685748E-2</v>
      </c>
      <c r="AU15" s="1"/>
      <c r="AV15" s="1">
        <v>2.1225000000000001E-2</v>
      </c>
      <c r="AW15" s="1">
        <v>-2.3070999999999999E-3</v>
      </c>
      <c r="AX15" s="1">
        <v>1.1567000000000001E-3</v>
      </c>
      <c r="AY15" s="1">
        <v>-2.3070999999999999E-3</v>
      </c>
      <c r="AZ15" s="1">
        <v>7.6809900000000004E-3</v>
      </c>
      <c r="BA15" s="1">
        <v>20.825496869999998</v>
      </c>
      <c r="BB15" s="1">
        <v>8.472818E-2</v>
      </c>
      <c r="BC15" s="1">
        <v>0</v>
      </c>
      <c r="BD15" s="1">
        <v>3.8592799999999997E-2</v>
      </c>
      <c r="BE15" s="1">
        <v>2.55429E-2</v>
      </c>
      <c r="BF15" s="1">
        <v>4.7457930000000002E-2</v>
      </c>
      <c r="BG15" s="1">
        <v>7.9966850000000006E-2</v>
      </c>
      <c r="BH15" s="1">
        <v>2.1999999999999999E-2</v>
      </c>
      <c r="BI15" s="1">
        <v>-5.2100000000000002E-3</v>
      </c>
      <c r="BJ15" s="1">
        <v>9.6118999999999996E-3</v>
      </c>
      <c r="BK15" s="1">
        <v>6.1026370000000003E-2</v>
      </c>
      <c r="BL15" s="1">
        <v>7.8299999999999995E-4</v>
      </c>
      <c r="BM15" s="1">
        <v>3.93009E-2</v>
      </c>
      <c r="BN15" s="1">
        <v>3.8868130000000001E-2</v>
      </c>
      <c r="BO15" s="1">
        <v>0</v>
      </c>
      <c r="BP15" s="1">
        <v>-2.4275099999999999E-3</v>
      </c>
      <c r="BQ15" s="1">
        <v>-4.3714599999999998E-3</v>
      </c>
      <c r="BR15" s="1">
        <v>-3.1371699999999999E-3</v>
      </c>
      <c r="BS15" s="1">
        <v>1.930867E-2</v>
      </c>
      <c r="BT15" s="1">
        <v>1.30727159</v>
      </c>
      <c r="BU15" s="1">
        <v>1.2026999300000001</v>
      </c>
      <c r="BV15" s="1">
        <v>24.994781060000001</v>
      </c>
      <c r="BW15" s="1">
        <v>3.9992546600000001</v>
      </c>
      <c r="BX15" s="1">
        <v>107.72938575000001</v>
      </c>
      <c r="BY15" s="1">
        <v>8.2147699999999997E-3</v>
      </c>
      <c r="BZ15" s="1">
        <v>1.3421103999999999</v>
      </c>
      <c r="CA15" s="1">
        <v>2.5813829999999999E-2</v>
      </c>
      <c r="CB15" s="1">
        <v>-3.72763E-3</v>
      </c>
      <c r="CC15" s="1">
        <v>-2.9418399999999998E-3</v>
      </c>
      <c r="CD15" s="1">
        <v>2.558947E-2</v>
      </c>
      <c r="CE15">
        <v>1.1567000000000001E-3</v>
      </c>
      <c r="CF15">
        <v>-2.3070999999999999E-3</v>
      </c>
      <c r="CG15">
        <v>3.8179119999999997E-2</v>
      </c>
      <c r="CH15">
        <v>3.7697969999999997E-2</v>
      </c>
      <c r="CI15">
        <v>8.4661899999999998E-2</v>
      </c>
      <c r="CJ15">
        <v>2.6473630000000001E-2</v>
      </c>
      <c r="CK15">
        <v>8.2503569999999998E-2</v>
      </c>
      <c r="CL15">
        <v>1</v>
      </c>
    </row>
    <row r="16" spans="1:90" x14ac:dyDescent="0.2">
      <c r="A16" s="8">
        <v>720</v>
      </c>
      <c r="B16" s="1">
        <v>0</v>
      </c>
      <c r="C16" s="1">
        <v>8.1110169999999995E-2</v>
      </c>
      <c r="D16" s="1">
        <v>7.6725650000000006E-2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  <c r="J16" s="1">
        <v>3.414967E-2</v>
      </c>
      <c r="K16" s="1">
        <v>3.4988199999999997E-2</v>
      </c>
      <c r="L16" s="1">
        <v>3.8702279999999999E-2</v>
      </c>
      <c r="M16" s="1">
        <v>3.325111E-2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8.1721290000000002E-2</v>
      </c>
      <c r="Y16" s="1">
        <v>8.1885520000000003E-2</v>
      </c>
      <c r="Z16" s="1">
        <v>8.2044820000000004E-2</v>
      </c>
      <c r="AA16" s="1">
        <v>8.3267060000000004E-2</v>
      </c>
      <c r="AB16" s="1">
        <v>3.2422680000000002E-2</v>
      </c>
      <c r="AC16" s="1">
        <v>0</v>
      </c>
      <c r="AD16" s="1">
        <v>0.13443194</v>
      </c>
      <c r="AE16" s="1">
        <v>0.12143194</v>
      </c>
      <c r="AF16" s="1">
        <v>9.4431940000000006E-2</v>
      </c>
      <c r="AG16" s="1">
        <v>0.15193193999999999</v>
      </c>
      <c r="AH16" s="1">
        <v>0.17443194000000001</v>
      </c>
      <c r="AI16" s="1">
        <v>0.19693194</v>
      </c>
      <c r="AJ16" s="1">
        <v>8.5796860000000003E-2</v>
      </c>
      <c r="AK16" s="1">
        <v>2.17476475</v>
      </c>
      <c r="AL16" s="1">
        <v>22.055764750000002</v>
      </c>
      <c r="AM16" s="1">
        <v>0</v>
      </c>
      <c r="AN16" s="1">
        <v>8.7706820000000005E-2</v>
      </c>
      <c r="AO16" s="1">
        <v>2.5717710000000001E-2</v>
      </c>
      <c r="AP16" s="1">
        <v>2.8036780000000001E-2</v>
      </c>
      <c r="AQ16" s="1">
        <v>2.8035529999999999E-2</v>
      </c>
      <c r="AR16" s="1">
        <v>2.9372140000000001E-2</v>
      </c>
      <c r="AS16" s="1">
        <v>2.9194100000000001E-2</v>
      </c>
      <c r="AT16" s="1">
        <v>2.9283119999999999E-2</v>
      </c>
      <c r="AU16" s="1"/>
      <c r="AV16" s="1">
        <v>1.8180000000000002E-2</v>
      </c>
      <c r="AW16" s="1">
        <v>-1.75E-3</v>
      </c>
      <c r="AX16" s="1">
        <v>4.2499999999999998E-4</v>
      </c>
      <c r="AY16" s="1">
        <v>-1.75E-3</v>
      </c>
      <c r="AZ16" s="1">
        <v>8.6383899999999993E-3</v>
      </c>
      <c r="BA16" s="1">
        <v>21.86596475</v>
      </c>
      <c r="BB16" s="1">
        <v>8.6353620000000006E-2</v>
      </c>
      <c r="BC16" s="1">
        <v>-2.9999999999999997E-4</v>
      </c>
      <c r="BD16" s="1">
        <v>3.8909829999999999E-2</v>
      </c>
      <c r="BE16" s="1">
        <v>2.46E-2</v>
      </c>
      <c r="BF16" s="1">
        <v>5.3286260000000002E-2</v>
      </c>
      <c r="BG16" s="1">
        <v>7.6907349999999999E-2</v>
      </c>
      <c r="BH16" s="1">
        <v>2.24E-2</v>
      </c>
      <c r="BI16" s="1">
        <v>-5.4200000000000003E-3</v>
      </c>
      <c r="BJ16" s="1">
        <v>1.0189999999999999E-2</v>
      </c>
      <c r="BK16" s="1">
        <v>7.3053919999999994E-2</v>
      </c>
      <c r="BL16" s="1">
        <v>1.158E-3</v>
      </c>
      <c r="BM16" s="1">
        <v>3.9230170000000002E-2</v>
      </c>
      <c r="BN16" s="1">
        <v>3.8119960000000001E-2</v>
      </c>
      <c r="BO16" s="1">
        <v>0</v>
      </c>
      <c r="BP16" s="1">
        <v>-1.6960499999999999E-3</v>
      </c>
      <c r="BQ16" s="1">
        <v>-3.6204000000000002E-3</v>
      </c>
      <c r="BR16" s="1">
        <v>-3.26604E-3</v>
      </c>
      <c r="BS16" s="1">
        <v>2.1735689999999998E-2</v>
      </c>
      <c r="BT16" s="1">
        <v>1.2997063200000001</v>
      </c>
      <c r="BU16" s="1">
        <v>1.24195571</v>
      </c>
      <c r="BV16" s="1">
        <v>27.13563242</v>
      </c>
      <c r="BW16" s="1">
        <v>4.19549254</v>
      </c>
      <c r="BX16" s="1">
        <v>104.26948388</v>
      </c>
      <c r="BY16" s="1">
        <v>9.7968299999999994E-3</v>
      </c>
      <c r="BZ16" s="1">
        <v>1.3664998100000001</v>
      </c>
      <c r="CA16" s="1">
        <v>3.270696E-2</v>
      </c>
      <c r="CB16" s="1">
        <v>-3.1856200000000001E-3</v>
      </c>
      <c r="CC16" s="1">
        <v>-2.00198E-3</v>
      </c>
      <c r="CD16" s="1">
        <v>3.1447830000000003E-2</v>
      </c>
      <c r="CE16">
        <v>4.2502000000000002E-4</v>
      </c>
      <c r="CF16">
        <v>-1.74899E-3</v>
      </c>
      <c r="CG16">
        <v>3.7811160000000003E-2</v>
      </c>
      <c r="CH16">
        <v>3.7631919999999999E-2</v>
      </c>
      <c r="CI16">
        <v>0</v>
      </c>
      <c r="CJ16">
        <v>2.836692E-2</v>
      </c>
      <c r="CK16">
        <v>8.1130770000000005E-2</v>
      </c>
      <c r="CL16">
        <v>1</v>
      </c>
    </row>
    <row r="17" spans="1:90" x14ac:dyDescent="0.2">
      <c r="A17" s="8">
        <v>1080</v>
      </c>
      <c r="B17" s="1">
        <v>0</v>
      </c>
      <c r="C17" s="1">
        <v>8.4750539999999999E-2</v>
      </c>
      <c r="D17" s="1">
        <v>7.7013860000000003E-2</v>
      </c>
      <c r="E17" s="1">
        <v>0</v>
      </c>
      <c r="F17" s="1">
        <v>0</v>
      </c>
      <c r="G17" s="1">
        <v>0</v>
      </c>
      <c r="H17" s="1">
        <v>0</v>
      </c>
      <c r="I17" s="1">
        <v>0</v>
      </c>
      <c r="J17" s="1">
        <v>3.3371489999999997E-2</v>
      </c>
      <c r="K17" s="1">
        <v>3.4720819999999999E-2</v>
      </c>
      <c r="L17" s="1">
        <v>3.9433139999999998E-2</v>
      </c>
      <c r="M17" s="1">
        <v>3.3789350000000003E-2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8.5361660000000006E-2</v>
      </c>
      <c r="Y17" s="1">
        <v>8.5587269999999993E-2</v>
      </c>
      <c r="Z17" s="1">
        <v>8.5685189999999994E-2</v>
      </c>
      <c r="AA17" s="1">
        <v>8.6907429999999994E-2</v>
      </c>
      <c r="AB17" s="1">
        <v>3.7448290000000002E-2</v>
      </c>
      <c r="AC17" s="1">
        <v>0</v>
      </c>
      <c r="AD17" s="1">
        <v>0.13807230000000001</v>
      </c>
      <c r="AE17" s="1">
        <v>0.1250723</v>
      </c>
      <c r="AF17" s="1">
        <v>9.8072300000000001E-2</v>
      </c>
      <c r="AG17" s="1">
        <v>0.1555723</v>
      </c>
      <c r="AH17" s="1">
        <v>0.17807229999999999</v>
      </c>
      <c r="AI17" s="1">
        <v>0.20057230000000001</v>
      </c>
      <c r="AJ17" s="1">
        <v>8.6382780000000006E-2</v>
      </c>
      <c r="AK17" s="1">
        <v>3.1315905499999999</v>
      </c>
      <c r="AL17" s="1">
        <v>23.012590549999999</v>
      </c>
      <c r="AM17" s="1">
        <v>0</v>
      </c>
      <c r="AN17" s="1">
        <v>8.9304120000000001E-2</v>
      </c>
      <c r="AO17" s="1">
        <v>2.6773680000000001E-2</v>
      </c>
      <c r="AP17" s="1">
        <v>2.92673E-2</v>
      </c>
      <c r="AQ17" s="1">
        <v>2.9267129999999999E-2</v>
      </c>
      <c r="AR17" s="1">
        <v>3.1363509999999997E-2</v>
      </c>
      <c r="AS17" s="1">
        <v>3.1252769999999999E-2</v>
      </c>
      <c r="AT17" s="1">
        <v>3.1308130000000003E-2</v>
      </c>
      <c r="AU17" s="1"/>
      <c r="AV17" s="1">
        <v>1.5859999999999999E-2</v>
      </c>
      <c r="AW17" s="1">
        <v>-3.5E-4</v>
      </c>
      <c r="AX17" s="1">
        <v>5.7499999999999999E-4</v>
      </c>
      <c r="AY17" s="1">
        <v>-3.5E-4</v>
      </c>
      <c r="AZ17" s="1">
        <v>9.5924400000000007E-3</v>
      </c>
      <c r="BA17" s="1">
        <v>22.822790550000001</v>
      </c>
      <c r="BB17" s="1">
        <v>8.693331E-2</v>
      </c>
      <c r="BC17" s="1">
        <v>-1.5499999999999999E-3</v>
      </c>
      <c r="BD17" s="1">
        <v>3.7110249999999997E-2</v>
      </c>
      <c r="BE17" s="1">
        <v>2.5899999999999999E-2</v>
      </c>
      <c r="BF17" s="1">
        <v>5.3437150000000003E-2</v>
      </c>
      <c r="BG17" s="1">
        <v>6.1174619999999999E-2</v>
      </c>
      <c r="BH17" s="1">
        <v>2.308E-2</v>
      </c>
      <c r="BI17" s="1">
        <v>-3.9750000000000002E-3</v>
      </c>
      <c r="BJ17" s="1">
        <v>1.1351E-2</v>
      </c>
      <c r="BK17" s="1">
        <v>8.5238190000000005E-2</v>
      </c>
      <c r="BL17" s="1">
        <v>1.418E-3</v>
      </c>
      <c r="BM17" s="1">
        <v>3.8090400000000003E-2</v>
      </c>
      <c r="BN17" s="1">
        <v>3.6456040000000002E-2</v>
      </c>
      <c r="BO17" s="1">
        <v>0</v>
      </c>
      <c r="BP17" s="1">
        <v>-4.0451000000000001E-4</v>
      </c>
      <c r="BQ17" s="1">
        <v>-2.27596E-3</v>
      </c>
      <c r="BR17" s="1">
        <v>-3.4375299999999998E-3</v>
      </c>
      <c r="BS17" s="1">
        <v>2.3765600000000001E-2</v>
      </c>
      <c r="BT17" s="1">
        <v>1.2954421700000001</v>
      </c>
      <c r="BU17" s="1">
        <v>1.2787392099999999</v>
      </c>
      <c r="BV17" s="1">
        <v>29.150275090000001</v>
      </c>
      <c r="BW17" s="1">
        <v>4.4626408199999998</v>
      </c>
      <c r="BX17" s="1">
        <v>100.84281227</v>
      </c>
      <c r="BY17" s="1">
        <v>1.1197550000000001E-2</v>
      </c>
      <c r="BZ17" s="1">
        <v>1.3884932299999999</v>
      </c>
      <c r="CA17" s="1">
        <v>3.7776629999999999E-2</v>
      </c>
      <c r="CB17" s="1">
        <v>-1.8298399999999999E-3</v>
      </c>
      <c r="CC17" s="1">
        <v>2.8289999999999998E-5</v>
      </c>
      <c r="CD17" s="1">
        <v>3.5448029999999998E-2</v>
      </c>
      <c r="CE17">
        <v>5.754E-4</v>
      </c>
      <c r="CF17">
        <v>-3.5043999999999999E-4</v>
      </c>
      <c r="CG17">
        <v>3.5575849999999999E-2</v>
      </c>
      <c r="CH17">
        <v>3.7623620000000003E-2</v>
      </c>
      <c r="CI17">
        <v>0</v>
      </c>
      <c r="CJ17">
        <v>2.983386E-2</v>
      </c>
      <c r="CK17">
        <v>7.9552750000000005E-2</v>
      </c>
      <c r="CL17">
        <v>1</v>
      </c>
    </row>
    <row r="18" spans="1:90" x14ac:dyDescent="0.2">
      <c r="A18" s="8">
        <v>1440</v>
      </c>
      <c r="B18" s="1">
        <v>0</v>
      </c>
      <c r="C18" s="1">
        <v>8.7997839999999994E-2</v>
      </c>
      <c r="D18" s="1">
        <v>7.6901919999999999E-2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  <c r="J18" s="1">
        <v>3.3563170000000003E-2</v>
      </c>
      <c r="K18" s="1">
        <v>3.5563730000000002E-2</v>
      </c>
      <c r="L18" s="1">
        <v>4.024577E-2</v>
      </c>
      <c r="M18" s="1">
        <v>3.4401670000000002E-2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8.8608950000000006E-2</v>
      </c>
      <c r="Y18" s="1">
        <v>8.8900179999999995E-2</v>
      </c>
      <c r="Z18" s="1">
        <v>8.8932490000000003E-2</v>
      </c>
      <c r="AA18" s="1">
        <v>9.0154719999999994E-2</v>
      </c>
      <c r="AB18" s="1">
        <v>3.9855479999999999E-2</v>
      </c>
      <c r="AC18" s="1">
        <v>0</v>
      </c>
      <c r="AD18" s="1">
        <v>0.14131959999999999</v>
      </c>
      <c r="AE18" s="1">
        <v>0.12831960000000001</v>
      </c>
      <c r="AF18" s="1">
        <v>0.1013196</v>
      </c>
      <c r="AG18" s="1">
        <v>0.15881960000000001</v>
      </c>
      <c r="AH18" s="1">
        <v>0.1813196</v>
      </c>
      <c r="AI18" s="1">
        <v>0.20381959999999999</v>
      </c>
      <c r="AJ18" s="1">
        <v>8.8416640000000005E-2</v>
      </c>
      <c r="AK18" s="1">
        <v>4.1396128699999997</v>
      </c>
      <c r="AL18" s="1">
        <v>24.020612870000001</v>
      </c>
      <c r="AM18" s="1">
        <v>0</v>
      </c>
      <c r="AN18" s="1">
        <v>9.232427E-2</v>
      </c>
      <c r="AO18" s="1">
        <v>2.787421E-2</v>
      </c>
      <c r="AP18" s="1">
        <v>3.0092879999999999E-2</v>
      </c>
      <c r="AQ18" s="1">
        <v>3.0095319999999998E-2</v>
      </c>
      <c r="AR18" s="1">
        <v>3.289272E-2</v>
      </c>
      <c r="AS18" s="1">
        <v>3.2781169999999998E-2</v>
      </c>
      <c r="AT18" s="1">
        <v>3.2836940000000002E-2</v>
      </c>
      <c r="AU18" s="1"/>
      <c r="AV18" s="1">
        <v>2.1245E-2</v>
      </c>
      <c r="AW18" s="1">
        <v>1.206E-3</v>
      </c>
      <c r="AX18" s="1">
        <v>7.5000000000000002E-4</v>
      </c>
      <c r="AY18" s="1">
        <v>1.206E-3</v>
      </c>
      <c r="AZ18" s="1">
        <v>1.0548699999999999E-2</v>
      </c>
      <c r="BA18" s="1">
        <v>23.830812869999999</v>
      </c>
      <c r="BB18" s="1">
        <v>8.8978790000000002E-2</v>
      </c>
      <c r="BC18" s="1">
        <v>-1.5499999999999999E-3</v>
      </c>
      <c r="BD18" s="1">
        <v>3.759581E-2</v>
      </c>
      <c r="BE18" s="1">
        <v>2.6700000000000002E-2</v>
      </c>
      <c r="BF18" s="1">
        <v>0</v>
      </c>
      <c r="BG18" s="1">
        <v>8.4733000000000003E-2</v>
      </c>
      <c r="BH18" s="1">
        <v>2.3900000000000001E-2</v>
      </c>
      <c r="BI18" s="1">
        <v>-2.5999999999999999E-3</v>
      </c>
      <c r="BJ18" s="1">
        <v>1.227E-2</v>
      </c>
      <c r="BK18" s="1">
        <v>9.5821139999999999E-2</v>
      </c>
      <c r="BL18" s="1">
        <v>1.4599999999999999E-3</v>
      </c>
      <c r="BM18" s="1">
        <v>3.938001E-2</v>
      </c>
      <c r="BN18" s="1">
        <v>3.6925810000000003E-2</v>
      </c>
      <c r="BO18" s="1">
        <v>0</v>
      </c>
      <c r="BP18" s="1">
        <v>1.0855400000000001E-3</v>
      </c>
      <c r="BQ18" s="1">
        <v>-7.7893999999999999E-4</v>
      </c>
      <c r="BR18" s="1">
        <v>-3.4820300000000001E-3</v>
      </c>
      <c r="BS18" s="1">
        <v>2.4671700000000001E-2</v>
      </c>
      <c r="BT18" s="1">
        <v>1.2899293000000001</v>
      </c>
      <c r="BU18" s="1">
        <v>1.3121334099999999</v>
      </c>
      <c r="BV18" s="1">
        <v>31.266074799999998</v>
      </c>
      <c r="BW18" s="1">
        <v>4.7730534499999999</v>
      </c>
      <c r="BX18" s="1">
        <v>97.552690470000002</v>
      </c>
      <c r="BY18" s="1">
        <v>1.2474280000000001E-2</v>
      </c>
      <c r="BZ18" s="1">
        <v>1.4078703100000001</v>
      </c>
      <c r="CA18" s="1">
        <v>0</v>
      </c>
      <c r="CB18" s="1">
        <v>-4.2529999999999998E-4</v>
      </c>
      <c r="CC18" s="1">
        <v>2.0987699999999998E-3</v>
      </c>
      <c r="CD18" s="1">
        <v>3.6926010000000002E-2</v>
      </c>
      <c r="CE18">
        <v>7.5117999999999995E-4</v>
      </c>
      <c r="CF18">
        <v>1.2124900000000001E-3</v>
      </c>
      <c r="CG18">
        <v>3.5400420000000002E-2</v>
      </c>
      <c r="CH18">
        <v>3.7669870000000001E-2</v>
      </c>
      <c r="CI18">
        <v>0</v>
      </c>
      <c r="CJ18">
        <v>3.0738339999999999E-2</v>
      </c>
      <c r="CK18">
        <v>7.9021980000000006E-2</v>
      </c>
      <c r="CL18">
        <v>1</v>
      </c>
    </row>
    <row r="19" spans="1:90" x14ac:dyDescent="0.2">
      <c r="A19" s="8">
        <v>1800</v>
      </c>
      <c r="B19" s="1">
        <v>0</v>
      </c>
      <c r="C19" s="1">
        <v>9.1313430000000001E-2</v>
      </c>
      <c r="D19" s="1">
        <v>7.673201077419653E-2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  <c r="J19" s="1">
        <v>3.3759280000000003E-2</v>
      </c>
      <c r="K19" s="1">
        <v>3.6437230000000001E-2</v>
      </c>
      <c r="L19" s="1">
        <v>4.1754409999999999E-2</v>
      </c>
      <c r="M19" s="1">
        <v>3.5688770000000002E-2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9.1924549999999994E-2</v>
      </c>
      <c r="Y19" s="1">
        <v>9.2286069999999998E-2</v>
      </c>
      <c r="Z19" s="1">
        <v>9.2248090000000005E-2</v>
      </c>
      <c r="AA19" s="1">
        <v>9.3470319999999996E-2</v>
      </c>
      <c r="AB19" s="1">
        <v>4.2500290000000003E-2</v>
      </c>
      <c r="AC19" s="1">
        <v>0</v>
      </c>
      <c r="AD19" s="1">
        <v>0.14463519999999999</v>
      </c>
      <c r="AE19" s="1">
        <v>0.13163520000000001</v>
      </c>
      <c r="AF19" s="1">
        <v>0.1046352</v>
      </c>
      <c r="AG19" s="1">
        <v>0.16213520000000001</v>
      </c>
      <c r="AH19" s="1">
        <v>0.1846352</v>
      </c>
      <c r="AI19" s="1">
        <v>0.20713519999999999</v>
      </c>
      <c r="AJ19" s="1">
        <v>9.1597079999999997E-2</v>
      </c>
      <c r="AK19" s="1">
        <v>5.2836420899999998</v>
      </c>
      <c r="AL19" s="1">
        <v>25.164642090000001</v>
      </c>
      <c r="AM19" s="1">
        <v>0</v>
      </c>
      <c r="AN19" s="1">
        <v>9.6105880000000005E-2</v>
      </c>
      <c r="AO19" s="1">
        <v>2.9020520000000001E-2</v>
      </c>
      <c r="AP19" s="1">
        <v>2.8968480000000001E-2</v>
      </c>
      <c r="AQ19" s="1">
        <v>3.03725E-2</v>
      </c>
      <c r="AR19" s="1">
        <v>3.3510709999999999E-2</v>
      </c>
      <c r="AS19" s="1">
        <v>3.3395359999999999E-2</v>
      </c>
      <c r="AT19" s="1">
        <v>3.3453030000000002E-2</v>
      </c>
      <c r="AU19" s="1"/>
      <c r="AV19" s="1">
        <v>2.2605E-2</v>
      </c>
      <c r="AW19" s="1">
        <v>2.617E-3</v>
      </c>
      <c r="AX19" s="1">
        <v>9.7499999999999996E-4</v>
      </c>
      <c r="AY19" s="1">
        <v>2.617E-3</v>
      </c>
      <c r="AZ19" s="1">
        <v>1.151166E-2</v>
      </c>
      <c r="BA19" s="1">
        <v>24.974842089999999</v>
      </c>
      <c r="BB19" s="1">
        <v>9.218722E-2</v>
      </c>
      <c r="BC19" s="1">
        <v>3.5100000000000002E-4</v>
      </c>
      <c r="BD19" s="1">
        <v>3.8173190000000003E-2</v>
      </c>
      <c r="BE19" s="1">
        <v>2.7199999999999998E-2</v>
      </c>
      <c r="BF19" s="1">
        <v>0</v>
      </c>
      <c r="BG19" s="1">
        <v>0.11457515</v>
      </c>
      <c r="BH19" s="1">
        <v>3.1150000000000001E-2</v>
      </c>
      <c r="BI19" s="1">
        <v>-1.2600000000000001E-3</v>
      </c>
      <c r="BJ19" s="1">
        <v>1.3006999999999999E-2</v>
      </c>
      <c r="BK19" s="1">
        <v>0.1077442</v>
      </c>
      <c r="BL19" s="1">
        <v>1.6750000000000001E-3</v>
      </c>
      <c r="BM19" s="1">
        <v>4.0823470000000001E-2</v>
      </c>
      <c r="BN19" s="1">
        <v>3.7469820000000001E-2</v>
      </c>
      <c r="BO19" s="1">
        <v>0</v>
      </c>
      <c r="BP19" s="1">
        <v>2.55507E-3</v>
      </c>
      <c r="BQ19" s="1">
        <v>3.3362000000000002E-4</v>
      </c>
      <c r="BR19" s="1">
        <v>-3.7097499999999999E-3</v>
      </c>
      <c r="BS19" s="1">
        <v>2.5543989999999999E-2</v>
      </c>
      <c r="BT19" s="1">
        <v>1.2878297700000001</v>
      </c>
      <c r="BU19" s="1">
        <v>1.34255996</v>
      </c>
      <c r="BV19" s="1">
        <v>33.409429080000002</v>
      </c>
      <c r="BW19" s="1">
        <v>5.1642808499999999</v>
      </c>
      <c r="BX19" s="1">
        <v>94.441873310000005</v>
      </c>
      <c r="BY19" s="1">
        <v>1.3238430000000001E-2</v>
      </c>
      <c r="BZ19" s="1">
        <v>1.4253080499999999</v>
      </c>
      <c r="CA19" s="1">
        <v>0</v>
      </c>
      <c r="CB19" s="1">
        <v>9.8507999999999994E-4</v>
      </c>
      <c r="CC19" s="1">
        <v>3.4312600000000002E-3</v>
      </c>
      <c r="CD19" s="1">
        <v>3.8415690000000002E-2</v>
      </c>
      <c r="CE19">
        <v>9.7779000000000008E-4</v>
      </c>
      <c r="CF19">
        <v>2.6458200000000001E-3</v>
      </c>
      <c r="CG19">
        <v>3.530519E-2</v>
      </c>
      <c r="CH19">
        <v>3.8213839999999999E-2</v>
      </c>
      <c r="CI19">
        <v>0</v>
      </c>
      <c r="CJ19">
        <v>3.0833159999999998E-2</v>
      </c>
      <c r="CK19">
        <v>7.8905489999999995E-2</v>
      </c>
      <c r="CL19">
        <v>1</v>
      </c>
    </row>
    <row r="20" spans="1:90" x14ac:dyDescent="0.2">
      <c r="A20" s="8">
        <v>2160</v>
      </c>
      <c r="B20" s="1">
        <v>0</v>
      </c>
      <c r="C20" s="1">
        <v>9.4131129999999993E-2</v>
      </c>
      <c r="D20" s="1">
        <v>7.6239299999999996E-2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  <c r="J20" s="1">
        <v>3.3955770000000003E-2</v>
      </c>
      <c r="K20" s="1">
        <v>3.7342710000000001E-2</v>
      </c>
      <c r="L20" s="1">
        <v>4.2813169999999998E-2</v>
      </c>
      <c r="M20" s="1">
        <v>3.652321E-2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9.4742240000000005E-2</v>
      </c>
      <c r="Y20" s="1">
        <v>9.5176990000000003E-2</v>
      </c>
      <c r="Z20" s="1">
        <v>9.5065780000000003E-2</v>
      </c>
      <c r="AA20" s="1">
        <v>9.6288009999999993E-2</v>
      </c>
      <c r="AB20" s="1">
        <v>4.5687730000000003E-2</v>
      </c>
      <c r="AC20" s="1">
        <v>0</v>
      </c>
      <c r="AD20" s="1">
        <v>0.14745289</v>
      </c>
      <c r="AE20" s="1">
        <v>0.13445288999999999</v>
      </c>
      <c r="AF20" s="1">
        <v>0.10745289</v>
      </c>
      <c r="AG20" s="1">
        <v>0.16495288999999999</v>
      </c>
      <c r="AH20" s="1">
        <v>0.18745289000000001</v>
      </c>
      <c r="AI20" s="1">
        <v>0.20995289</v>
      </c>
      <c r="AJ20" s="1">
        <v>9.5581689999999997E-2</v>
      </c>
      <c r="AK20" s="1">
        <v>6.5179909</v>
      </c>
      <c r="AL20" s="1">
        <v>26.398990900000001</v>
      </c>
      <c r="AM20" s="1">
        <v>0</v>
      </c>
      <c r="AN20" s="1">
        <v>0.10082186999999999</v>
      </c>
      <c r="AO20" s="1">
        <v>2.9973300000000001E-2</v>
      </c>
      <c r="AP20" s="1">
        <v>2.8840890000000001E-2</v>
      </c>
      <c r="AQ20" s="1">
        <v>3.0831770000000001E-2</v>
      </c>
      <c r="AR20" s="1">
        <v>3.4364369999999998E-2</v>
      </c>
      <c r="AS20" s="1">
        <v>3.4244999999999998E-2</v>
      </c>
      <c r="AT20" s="1">
        <v>3.4304679999999997E-2</v>
      </c>
      <c r="AU20" s="1"/>
      <c r="AV20" s="1">
        <v>2.3393649999999998E-2</v>
      </c>
      <c r="AW20" s="1">
        <v>4.0291199999999998E-3</v>
      </c>
      <c r="AX20" s="1">
        <v>1.2505699999999999E-3</v>
      </c>
      <c r="AY20" s="1">
        <v>4.0291199999999998E-3</v>
      </c>
      <c r="AZ20" s="1">
        <v>1.248324E-2</v>
      </c>
      <c r="BA20" s="1">
        <v>26.209190899999999</v>
      </c>
      <c r="BB20" s="1">
        <v>9.6205799999999994E-2</v>
      </c>
      <c r="BC20" s="1">
        <v>-2.0000000000000001E-4</v>
      </c>
      <c r="BD20" s="1">
        <v>3.8191500000000003E-2</v>
      </c>
      <c r="BE20" s="1">
        <v>2.7578640000000001E-2</v>
      </c>
      <c r="BF20" s="1">
        <v>0</v>
      </c>
      <c r="BG20" s="1">
        <v>0.11265537</v>
      </c>
      <c r="BH20" s="1">
        <v>3.0942420000000002E-2</v>
      </c>
      <c r="BI20" s="1">
        <v>-2.0000000000000002E-5</v>
      </c>
      <c r="BJ20" s="1">
        <v>1.3600259999999999E-2</v>
      </c>
      <c r="BK20" s="1">
        <v>0.10867084</v>
      </c>
      <c r="BL20" s="1">
        <v>1.6750000000000001E-3</v>
      </c>
      <c r="BM20" s="1">
        <v>4.0768470000000001E-2</v>
      </c>
      <c r="BN20" s="1">
        <v>3.684635E-2</v>
      </c>
      <c r="BO20" s="1">
        <v>0</v>
      </c>
      <c r="BP20" s="1">
        <v>3.9313799999999999E-3</v>
      </c>
      <c r="BQ20" s="1">
        <v>1.6065400000000001E-3</v>
      </c>
      <c r="BR20" s="1">
        <v>-3.516E-3</v>
      </c>
      <c r="BS20" s="1">
        <v>2.605613E-2</v>
      </c>
      <c r="BT20" s="1">
        <v>1.2835927300000001</v>
      </c>
      <c r="BU20" s="1">
        <v>1.37026826</v>
      </c>
      <c r="BV20" s="1">
        <v>35.701339730000001</v>
      </c>
      <c r="BW20" s="1">
        <v>5.3895476599999999</v>
      </c>
      <c r="BX20" s="1">
        <v>91.563353770000006</v>
      </c>
      <c r="BY20" s="1">
        <v>1.393527E-2</v>
      </c>
      <c r="BZ20" s="1">
        <v>1.44272924</v>
      </c>
      <c r="CA20" s="1">
        <v>0</v>
      </c>
      <c r="CB20" s="1">
        <v>2.2841900000000002E-3</v>
      </c>
      <c r="CC20" s="1">
        <v>4.9689299999999999E-3</v>
      </c>
      <c r="CD20" s="1">
        <v>4.0115489999999997E-2</v>
      </c>
      <c r="CE20">
        <v>1.2626899999999999E-3</v>
      </c>
      <c r="CF20">
        <v>4.0874199999999996E-3</v>
      </c>
      <c r="CG20">
        <v>3.4784320000000001E-2</v>
      </c>
      <c r="CH20">
        <v>3.8418229999999998E-2</v>
      </c>
      <c r="CI20">
        <v>0</v>
      </c>
      <c r="CJ20">
        <v>3.1087900000000002E-2</v>
      </c>
      <c r="CK20">
        <v>7.917971E-2</v>
      </c>
      <c r="CL20">
        <v>1</v>
      </c>
    </row>
    <row r="21" spans="1:90" x14ac:dyDescent="0.2">
      <c r="A21" s="8">
        <v>2520</v>
      </c>
      <c r="B21" s="1">
        <v>0</v>
      </c>
      <c r="C21" s="1">
        <v>9.7182130000000005E-2</v>
      </c>
      <c r="D21" s="1">
        <v>7.5859720000000005E-2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  <c r="J21" s="1">
        <v>3.4151050000000002E-2</v>
      </c>
      <c r="K21" s="1">
        <v>3.8281669999999997E-2</v>
      </c>
      <c r="L21" s="1">
        <v>4.2602960000000002E-2</v>
      </c>
      <c r="M21" s="1">
        <v>3.611727E-2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9.7793240000000003E-2</v>
      </c>
      <c r="Y21" s="1">
        <v>9.8306110000000002E-2</v>
      </c>
      <c r="Z21" s="1">
        <v>9.8116780000000001E-2</v>
      </c>
      <c r="AA21" s="1">
        <v>9.9339010000000005E-2</v>
      </c>
      <c r="AB21" s="1">
        <v>4.8595970000000002E-2</v>
      </c>
      <c r="AC21" s="1">
        <v>0</v>
      </c>
      <c r="AD21" s="1">
        <v>0.15050389</v>
      </c>
      <c r="AE21" s="1">
        <v>0.13750388999999999</v>
      </c>
      <c r="AF21" s="1">
        <v>0.11050388999999999</v>
      </c>
      <c r="AG21" s="1">
        <v>0.16800388999999999</v>
      </c>
      <c r="AH21" s="1">
        <v>0.19050389000000001</v>
      </c>
      <c r="AI21" s="1">
        <v>0.21300389</v>
      </c>
      <c r="AJ21" s="1">
        <v>9.9887450000000003E-2</v>
      </c>
      <c r="AK21" s="1">
        <v>7.8185716999999997</v>
      </c>
      <c r="AL21" s="1">
        <v>27.6995717</v>
      </c>
      <c r="AM21" s="1">
        <v>0</v>
      </c>
      <c r="AN21" s="1">
        <v>0.10591115</v>
      </c>
      <c r="AO21" s="1">
        <v>3.096546E-2</v>
      </c>
      <c r="AP21" s="1">
        <v>2.8965810000000002E-2</v>
      </c>
      <c r="AQ21" s="1">
        <v>3.1369569999999999E-2</v>
      </c>
      <c r="AR21" s="1">
        <v>3.5266020000000002E-2</v>
      </c>
      <c r="AS21" s="1">
        <v>3.5142409999999999E-2</v>
      </c>
      <c r="AT21" s="1">
        <v>3.520421E-2</v>
      </c>
      <c r="AU21" s="1"/>
      <c r="AV21" s="1">
        <v>2.4705000000000001E-2</v>
      </c>
      <c r="AW21" s="1">
        <v>5.3990000000000002E-3</v>
      </c>
      <c r="AX21" s="1">
        <v>1.5380000000000001E-3</v>
      </c>
      <c r="AY21" s="1">
        <v>5.3990000000000002E-3</v>
      </c>
      <c r="AZ21" s="1">
        <v>1.345942E-2</v>
      </c>
      <c r="BA21" s="1">
        <v>27.509771700000002</v>
      </c>
      <c r="BB21" s="1">
        <v>0.10054788000000001</v>
      </c>
      <c r="BC21" s="1">
        <v>8.5300000000000003E-4</v>
      </c>
      <c r="BD21" s="1">
        <v>3.8146640000000002E-2</v>
      </c>
      <c r="BE21" s="1">
        <v>2.7799999999999998E-2</v>
      </c>
      <c r="BF21" s="1">
        <v>0</v>
      </c>
      <c r="BG21" s="1">
        <v>0.10761957</v>
      </c>
      <c r="BH21" s="1">
        <v>2.6450000000000001E-2</v>
      </c>
      <c r="BI21" s="1">
        <v>1.1000000000000001E-3</v>
      </c>
      <c r="BJ21" s="1">
        <v>1.4075000000000001E-2</v>
      </c>
      <c r="BK21" s="1">
        <v>0.10867084</v>
      </c>
      <c r="BL21" s="1">
        <v>1.6750000000000001E-3</v>
      </c>
      <c r="BM21" s="1">
        <v>4.0578589999999998E-2</v>
      </c>
      <c r="BN21" s="1">
        <v>3.615384E-2</v>
      </c>
      <c r="BO21" s="1">
        <v>0</v>
      </c>
      <c r="BP21" s="1">
        <v>5.31928E-3</v>
      </c>
      <c r="BQ21" s="1">
        <v>2.8608599999999998E-3</v>
      </c>
      <c r="BR21" s="1">
        <v>-3.2897899999999999E-3</v>
      </c>
      <c r="BS21" s="1">
        <v>2.694643E-2</v>
      </c>
      <c r="BT21" s="1">
        <v>1.2820056099999999</v>
      </c>
      <c r="BU21" s="1">
        <v>1.39591317</v>
      </c>
      <c r="BV21" s="1">
        <v>38.060935309999998</v>
      </c>
      <c r="BW21" s="1">
        <v>5.5811305999999998</v>
      </c>
      <c r="BX21" s="1">
        <v>88.790319949999997</v>
      </c>
      <c r="BY21" s="1">
        <v>1.464709E-2</v>
      </c>
      <c r="BZ21" s="1">
        <v>1.4593721900000001</v>
      </c>
      <c r="CA21" s="1">
        <v>0</v>
      </c>
      <c r="CB21" s="1">
        <v>3.5903599999999999E-3</v>
      </c>
      <c r="CC21" s="1">
        <v>6.4768500000000001E-3</v>
      </c>
      <c r="CD21" s="1">
        <v>4.14531E-2</v>
      </c>
      <c r="CE21">
        <v>1.54872E-3</v>
      </c>
      <c r="CF21">
        <v>5.5508800000000002E-3</v>
      </c>
      <c r="CG21">
        <v>3.4242069999999999E-2</v>
      </c>
      <c r="CH21">
        <v>3.7690349999999997E-2</v>
      </c>
      <c r="CI21">
        <v>0</v>
      </c>
      <c r="CJ21">
        <v>3.1349229999999999E-2</v>
      </c>
      <c r="CK21">
        <v>7.947688E-2</v>
      </c>
      <c r="CL21">
        <v>1</v>
      </c>
    </row>
    <row r="22" spans="1:90" x14ac:dyDescent="0.2">
      <c r="A22" s="8">
        <v>2880</v>
      </c>
      <c r="B22" s="1">
        <v>0</v>
      </c>
      <c r="C22" s="1">
        <v>0.10142255999999999</v>
      </c>
      <c r="D22" s="1">
        <v>7.5838489999999995E-2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  <c r="J22" s="1">
        <v>3.4344310000000003E-2</v>
      </c>
      <c r="K22" s="1">
        <v>3.9255640000000001E-2</v>
      </c>
      <c r="L22" s="1">
        <v>4.2869169999999998E-2</v>
      </c>
      <c r="M22" s="1">
        <v>3.6174129999999999E-2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0.10203368</v>
      </c>
      <c r="Y22" s="1">
        <v>0.10263448999999999</v>
      </c>
      <c r="Z22" s="1">
        <v>0.10235721</v>
      </c>
      <c r="AA22" s="1">
        <v>0.10357945</v>
      </c>
      <c r="AB22" s="1">
        <v>5.1002239999999997E-2</v>
      </c>
      <c r="AC22" s="1">
        <v>0</v>
      </c>
      <c r="AD22" s="1">
        <v>0.15474431999999999</v>
      </c>
      <c r="AE22" s="1">
        <v>0.14174432000000001</v>
      </c>
      <c r="AF22" s="1">
        <v>0.11474432</v>
      </c>
      <c r="AG22" s="1">
        <v>0.17224432000000001</v>
      </c>
      <c r="AH22" s="1">
        <v>0.19474432</v>
      </c>
      <c r="AI22" s="1">
        <v>0.21724431999999999</v>
      </c>
      <c r="AJ22" s="1">
        <v>0.10457378000000001</v>
      </c>
      <c r="AK22" s="1">
        <v>9.1993965499999995</v>
      </c>
      <c r="AL22" s="1">
        <v>29.08039655</v>
      </c>
      <c r="AM22" s="1">
        <v>0</v>
      </c>
      <c r="AN22" s="1">
        <v>0.11142552999999999</v>
      </c>
      <c r="AO22" s="1">
        <v>3.1582800000000001E-2</v>
      </c>
      <c r="AP22" s="1">
        <v>2.9034319999999999E-2</v>
      </c>
      <c r="AQ22" s="1">
        <v>3.194959E-2</v>
      </c>
      <c r="AR22" s="1">
        <v>3.609391E-2</v>
      </c>
      <c r="AS22" s="1">
        <v>3.5966060000000001E-2</v>
      </c>
      <c r="AT22" s="1">
        <v>3.6029970000000001E-2</v>
      </c>
      <c r="AU22" s="1"/>
      <c r="AV22" s="1">
        <v>2.577376E-2</v>
      </c>
      <c r="AW22" s="1">
        <v>6.6487899999999999E-3</v>
      </c>
      <c r="AX22" s="1">
        <v>1.84592E-3</v>
      </c>
      <c r="AY22" s="1">
        <v>6.6487899999999999E-3</v>
      </c>
      <c r="AZ22" s="1">
        <v>1.443798E-2</v>
      </c>
      <c r="BA22" s="1">
        <v>28.890596550000001</v>
      </c>
      <c r="BB22" s="1">
        <v>0.10527379000000001</v>
      </c>
      <c r="BC22" s="1">
        <v>0</v>
      </c>
      <c r="BD22" s="1">
        <v>3.8473300000000002E-2</v>
      </c>
      <c r="BE22" s="1">
        <v>2.7942040000000001E-2</v>
      </c>
      <c r="BF22" s="1">
        <v>0</v>
      </c>
      <c r="BG22" s="1">
        <v>0.11799405</v>
      </c>
      <c r="BH22" s="1">
        <v>2.502621E-2</v>
      </c>
      <c r="BI22" s="1">
        <v>2.14E-3</v>
      </c>
      <c r="BJ22" s="1">
        <v>1.4501500000000001E-2</v>
      </c>
      <c r="BK22" s="1">
        <v>0</v>
      </c>
      <c r="BL22" s="1">
        <v>0</v>
      </c>
      <c r="BM22" s="1">
        <v>4.1415349999999997E-2</v>
      </c>
      <c r="BN22" s="1">
        <v>3.6189529999999998E-2</v>
      </c>
      <c r="BO22" s="1">
        <v>0</v>
      </c>
      <c r="BP22" s="1">
        <v>6.5453200000000003E-3</v>
      </c>
      <c r="BQ22" s="1">
        <v>4.1172099999999996E-3</v>
      </c>
      <c r="BR22" s="1">
        <v>-3.0647600000000001E-3</v>
      </c>
      <c r="BS22" s="1">
        <v>2.7800060000000001E-2</v>
      </c>
      <c r="BT22" s="1">
        <v>1.2806226700000001</v>
      </c>
      <c r="BU22" s="1">
        <v>1.4191651000000001</v>
      </c>
      <c r="BV22" s="1">
        <v>40.526399769999998</v>
      </c>
      <c r="BW22" s="1">
        <v>0</v>
      </c>
      <c r="BX22" s="1">
        <v>86.112376370000007</v>
      </c>
      <c r="BY22" s="1">
        <v>1.5379200000000001E-2</v>
      </c>
      <c r="BZ22" s="1">
        <v>1.47503041</v>
      </c>
      <c r="CA22" s="1">
        <v>0</v>
      </c>
      <c r="CB22" s="1">
        <v>4.7831200000000001E-3</v>
      </c>
      <c r="CC22" s="1">
        <v>7.9707900000000002E-3</v>
      </c>
      <c r="CD22" s="1">
        <v>4.2328879999999999E-2</v>
      </c>
      <c r="CE22">
        <v>1.88646E-3</v>
      </c>
      <c r="CF22">
        <v>6.7833800000000003E-3</v>
      </c>
      <c r="CG22">
        <v>3.3983239999999998E-2</v>
      </c>
      <c r="CH22">
        <v>3.731015E-2</v>
      </c>
      <c r="CI22">
        <v>0</v>
      </c>
      <c r="CJ22">
        <v>3.1531339999999998E-2</v>
      </c>
      <c r="CK22">
        <v>7.9795379999999999E-2</v>
      </c>
      <c r="CL22">
        <v>1</v>
      </c>
    </row>
    <row r="23" spans="1:90" x14ac:dyDescent="0.2">
      <c r="A23" s="8">
        <v>3240</v>
      </c>
      <c r="B23" s="1">
        <v>0</v>
      </c>
      <c r="C23" s="1">
        <v>0.10582242</v>
      </c>
      <c r="D23" s="1">
        <v>7.5918529999999998E-2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  <c r="J23" s="1">
        <v>3.4535110000000001E-2</v>
      </c>
      <c r="K23" s="1">
        <v>4.026627E-2</v>
      </c>
      <c r="L23" s="1">
        <v>4.376501E-2</v>
      </c>
      <c r="M23" s="1">
        <v>3.6833860000000003E-2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0.10643353999999999</v>
      </c>
      <c r="Y23" s="1">
        <v>0.10712905</v>
      </c>
      <c r="Z23" s="1">
        <v>0.10675708</v>
      </c>
      <c r="AA23" s="1">
        <v>0.10797931</v>
      </c>
      <c r="AB23" s="1">
        <v>5.3973050000000002E-2</v>
      </c>
      <c r="AC23" s="1">
        <v>0</v>
      </c>
      <c r="AD23" s="1">
        <v>0.15914418999999999</v>
      </c>
      <c r="AE23" s="1">
        <v>0.14614419000000001</v>
      </c>
      <c r="AF23" s="1">
        <v>0.11914419</v>
      </c>
      <c r="AG23" s="1">
        <v>0.17664419000000001</v>
      </c>
      <c r="AH23" s="1">
        <v>0.19914419</v>
      </c>
      <c r="AI23" s="1">
        <v>0.22164418999999999</v>
      </c>
      <c r="AJ23" s="1">
        <v>0.10976733</v>
      </c>
      <c r="AK23" s="1">
        <v>10.68090518</v>
      </c>
      <c r="AL23" s="1">
        <v>30.56190518</v>
      </c>
      <c r="AM23" s="1">
        <v>0</v>
      </c>
      <c r="AN23" s="1">
        <v>0.11735023999999999</v>
      </c>
      <c r="AO23" s="1">
        <v>3.2208670000000002E-2</v>
      </c>
      <c r="AP23" s="1">
        <v>2.9146209999999999E-2</v>
      </c>
      <c r="AQ23" s="1">
        <v>3.2573789999999998E-2</v>
      </c>
      <c r="AR23" s="1">
        <v>3.6941149999999999E-2</v>
      </c>
      <c r="AS23" s="1">
        <v>3.6808880000000002E-2</v>
      </c>
      <c r="AT23" s="1">
        <v>3.6874999999999998E-2</v>
      </c>
      <c r="AU23" s="1"/>
      <c r="AV23" s="1">
        <v>2.6557609999999999E-2</v>
      </c>
      <c r="AW23" s="1">
        <v>7.7715299999999996E-3</v>
      </c>
      <c r="AX23" s="1">
        <v>2.1752500000000001E-3</v>
      </c>
      <c r="AY23" s="1">
        <v>7.7715299999999996E-3</v>
      </c>
      <c r="AZ23" s="1">
        <v>1.542251E-2</v>
      </c>
      <c r="BA23" s="1">
        <v>30.372105179999998</v>
      </c>
      <c r="BB23" s="1">
        <v>0.11051139</v>
      </c>
      <c r="BC23" s="1">
        <v>0</v>
      </c>
      <c r="BD23" s="1">
        <v>3.882758E-2</v>
      </c>
      <c r="BE23" s="1">
        <v>2.8082719999999999E-2</v>
      </c>
      <c r="BF23" s="1">
        <v>0</v>
      </c>
      <c r="BG23" s="1">
        <v>0.13131835</v>
      </c>
      <c r="BH23" s="1">
        <v>2.636608E-2</v>
      </c>
      <c r="BI23" s="1">
        <v>3.1099999999999999E-3</v>
      </c>
      <c r="BJ23" s="1">
        <v>1.488606E-2</v>
      </c>
      <c r="BK23" s="1">
        <v>0</v>
      </c>
      <c r="BL23" s="1">
        <v>0</v>
      </c>
      <c r="BM23" s="1">
        <v>4.2370400000000003E-2</v>
      </c>
      <c r="BN23" s="1">
        <v>3.6288639999999997E-2</v>
      </c>
      <c r="BO23" s="1">
        <v>0</v>
      </c>
      <c r="BP23" s="1">
        <v>7.7743700000000001E-3</v>
      </c>
      <c r="BQ23" s="1">
        <v>5.3337999999999997E-3</v>
      </c>
      <c r="BR23" s="1">
        <v>-2.84075E-3</v>
      </c>
      <c r="BS23" s="1">
        <v>0</v>
      </c>
      <c r="BT23" s="1">
        <v>0</v>
      </c>
      <c r="BU23" s="1">
        <v>1.44061365</v>
      </c>
      <c r="BV23" s="1">
        <v>43.060478600000003</v>
      </c>
      <c r="BW23" s="1">
        <v>0</v>
      </c>
      <c r="BX23" s="1">
        <v>83.520858110000006</v>
      </c>
      <c r="BY23" s="1">
        <v>1.6133149999999999E-2</v>
      </c>
      <c r="BZ23" s="1">
        <v>1.4897606699999999</v>
      </c>
      <c r="CA23" s="1">
        <v>0</v>
      </c>
      <c r="CB23" s="1">
        <v>5.9853299999999996E-3</v>
      </c>
      <c r="CC23" s="1">
        <v>9.3314299999999999E-3</v>
      </c>
      <c r="CD23" s="1">
        <v>4.3400569999999999E-2</v>
      </c>
      <c r="CE23">
        <v>2.2262599999999999E-3</v>
      </c>
      <c r="CF23">
        <v>8.0420700000000001E-3</v>
      </c>
      <c r="CG23">
        <v>3.3752310000000001E-2</v>
      </c>
      <c r="CH23">
        <v>3.7334239999999998E-2</v>
      </c>
      <c r="CI23">
        <v>0</v>
      </c>
      <c r="CJ23">
        <v>3.1703530000000001E-2</v>
      </c>
      <c r="CK23">
        <v>8.0109739999999999E-2</v>
      </c>
      <c r="CL23">
        <v>1</v>
      </c>
    </row>
    <row r="24" spans="1:90" x14ac:dyDescent="0.2">
      <c r="A24" s="8">
        <v>3600</v>
      </c>
      <c r="B24" s="1">
        <v>0</v>
      </c>
      <c r="C24" s="1">
        <v>0.11045650999999999</v>
      </c>
      <c r="D24" s="1">
        <v>7.5958990000000004E-2</v>
      </c>
      <c r="E24" s="1">
        <v>0</v>
      </c>
      <c r="F24" s="1">
        <v>0</v>
      </c>
      <c r="G24" s="1">
        <v>0</v>
      </c>
      <c r="H24" s="1">
        <v>0</v>
      </c>
      <c r="I24" s="1">
        <v>0</v>
      </c>
      <c r="J24" s="1">
        <v>3.4723219999999999E-2</v>
      </c>
      <c r="K24" s="1">
        <v>4.1315299999999999E-2</v>
      </c>
      <c r="L24" s="1">
        <v>4.468656E-2</v>
      </c>
      <c r="M24" s="1">
        <v>3.7510380000000003E-2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0.11106763</v>
      </c>
      <c r="Y24" s="1">
        <v>0.11186533</v>
      </c>
      <c r="Z24" s="1">
        <v>0.11139116</v>
      </c>
      <c r="AA24" s="1">
        <v>0.1126134</v>
      </c>
      <c r="AB24" s="1">
        <v>5.7442899999999998E-2</v>
      </c>
      <c r="AC24" s="1">
        <v>0</v>
      </c>
      <c r="AD24" s="1">
        <v>0.16377827</v>
      </c>
      <c r="AE24" s="1">
        <v>0.15077826999999999</v>
      </c>
      <c r="AF24" s="1">
        <v>0.12377827</v>
      </c>
      <c r="AG24" s="1">
        <v>0.18127826999999999</v>
      </c>
      <c r="AH24" s="1">
        <v>0.20377827000000001</v>
      </c>
      <c r="AI24" s="1">
        <v>0.22627827</v>
      </c>
      <c r="AJ24" s="1">
        <v>0.11553693</v>
      </c>
      <c r="AK24" s="1">
        <v>12.283540800000001</v>
      </c>
      <c r="AL24" s="1">
        <v>32.164540799999997</v>
      </c>
      <c r="AM24" s="1">
        <v>0</v>
      </c>
      <c r="AN24" s="1">
        <v>0.12371602</v>
      </c>
      <c r="AO24" s="1">
        <v>3.2852899999999997E-2</v>
      </c>
      <c r="AP24" s="1">
        <v>2.9262549999999998E-2</v>
      </c>
      <c r="AQ24" s="1">
        <v>3.3224030000000002E-2</v>
      </c>
      <c r="AR24" s="1">
        <v>3.7817780000000002E-2</v>
      </c>
      <c r="AS24" s="1">
        <v>3.768088E-2</v>
      </c>
      <c r="AT24" s="1">
        <v>3.7749310000000001E-2</v>
      </c>
      <c r="AU24" s="1"/>
      <c r="AV24" s="1">
        <v>2.7195E-2</v>
      </c>
      <c r="AW24" s="1">
        <v>8.7779999999999993E-3</v>
      </c>
      <c r="AX24" s="1">
        <v>2.5249999999999999E-3</v>
      </c>
      <c r="AY24" s="1">
        <v>8.7779999999999993E-3</v>
      </c>
      <c r="AZ24" s="1">
        <v>1.6409630000000001E-2</v>
      </c>
      <c r="BA24" s="1">
        <v>31.974740799999999</v>
      </c>
      <c r="BB24" s="1">
        <v>0.11633033</v>
      </c>
      <c r="BC24" s="1">
        <v>0</v>
      </c>
      <c r="BD24" s="1">
        <v>3.9176139999999998E-2</v>
      </c>
      <c r="BE24" s="1">
        <v>2.8299999999999999E-2</v>
      </c>
      <c r="BF24" s="1">
        <v>0</v>
      </c>
      <c r="BG24" s="1">
        <v>0.14662546000000001</v>
      </c>
      <c r="BH24" s="1">
        <v>2.8250000000000001E-2</v>
      </c>
      <c r="BI24" s="1">
        <v>4.0249999999999999E-3</v>
      </c>
      <c r="BJ24" s="1">
        <v>1.5219E-2</v>
      </c>
      <c r="BK24" s="1">
        <v>0</v>
      </c>
      <c r="BL24" s="1">
        <v>0</v>
      </c>
      <c r="BM24" s="1">
        <v>4.3357479999999997E-2</v>
      </c>
      <c r="BN24" s="1">
        <v>3.6388839999999999E-2</v>
      </c>
      <c r="BO24" s="1">
        <v>0</v>
      </c>
      <c r="BP24" s="1">
        <v>9.0328400000000003E-3</v>
      </c>
      <c r="BQ24" s="1">
        <v>6.4810700000000002E-3</v>
      </c>
      <c r="BR24" s="1">
        <v>-2.6176300000000001E-3</v>
      </c>
      <c r="BS24" s="1">
        <v>0</v>
      </c>
      <c r="BT24" s="1">
        <v>0</v>
      </c>
      <c r="BU24" s="1">
        <v>1.46072022</v>
      </c>
      <c r="BV24" s="1">
        <v>45.649880670000002</v>
      </c>
      <c r="BW24" s="1">
        <v>0</v>
      </c>
      <c r="BX24" s="1">
        <v>81.020385480000002</v>
      </c>
      <c r="BY24" s="1">
        <v>1.691055E-2</v>
      </c>
      <c r="BZ24" s="1">
        <v>1.5033927</v>
      </c>
      <c r="CA24" s="1">
        <v>0</v>
      </c>
      <c r="CB24" s="1">
        <v>7.2124299999999997E-3</v>
      </c>
      <c r="CC24" s="1">
        <v>1.052176E-2</v>
      </c>
      <c r="CD24" s="1">
        <v>4.4585310000000003E-2</v>
      </c>
      <c r="CE24">
        <v>2.56844E-3</v>
      </c>
      <c r="CF24">
        <v>9.3317299999999999E-3</v>
      </c>
      <c r="CG24">
        <v>3.3525109999999997E-2</v>
      </c>
      <c r="CH24">
        <v>3.7353629999999999E-2</v>
      </c>
      <c r="CI24">
        <v>0</v>
      </c>
      <c r="CJ24">
        <v>3.187251E-2</v>
      </c>
      <c r="CK24">
        <v>8.0416059999999998E-2</v>
      </c>
      <c r="CL24">
        <v>1</v>
      </c>
    </row>
    <row r="25" spans="1:90" x14ac:dyDescent="0.2">
      <c r="A25" s="8">
        <v>3960</v>
      </c>
      <c r="B25" s="1">
        <v>0</v>
      </c>
      <c r="C25" s="1">
        <v>0.11535421</v>
      </c>
      <c r="D25" s="1">
        <v>7.6008229999999996E-2</v>
      </c>
      <c r="E25" s="1">
        <v>0</v>
      </c>
      <c r="F25" s="1">
        <v>0</v>
      </c>
      <c r="G25" s="1">
        <v>0</v>
      </c>
      <c r="H25" s="1">
        <v>0</v>
      </c>
      <c r="I25" s="1">
        <v>0</v>
      </c>
      <c r="J25" s="1">
        <v>3.4908170000000002E-2</v>
      </c>
      <c r="K25" s="1">
        <v>4.2404539999999998E-2</v>
      </c>
      <c r="L25" s="1">
        <v>4.5548770000000002E-2</v>
      </c>
      <c r="M25" s="1">
        <v>3.8122530000000002E-2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0.11596555</v>
      </c>
      <c r="Y25" s="1">
        <v>0.11687367</v>
      </c>
      <c r="Z25" s="1">
        <v>0.11628908</v>
      </c>
      <c r="AA25" s="1">
        <v>0.11751132</v>
      </c>
      <c r="AB25" s="1">
        <v>6.1274809999999999E-2</v>
      </c>
      <c r="AC25" s="1">
        <v>0</v>
      </c>
      <c r="AD25" s="1">
        <v>0.16867598</v>
      </c>
      <c r="AE25" s="1">
        <v>0.15567597999999999</v>
      </c>
      <c r="AF25" s="1">
        <v>0.12867598</v>
      </c>
      <c r="AG25" s="1">
        <v>0.18617597999999999</v>
      </c>
      <c r="AH25" s="1">
        <v>0.20867598000000001</v>
      </c>
      <c r="AI25" s="1">
        <v>0.23117598</v>
      </c>
      <c r="AJ25" s="1">
        <v>0.12184138999999999</v>
      </c>
      <c r="AK25" s="1">
        <v>14.02535529</v>
      </c>
      <c r="AL25" s="1">
        <v>33.90635529</v>
      </c>
      <c r="AM25" s="1">
        <v>0</v>
      </c>
      <c r="AN25" s="1">
        <v>0.13074995</v>
      </c>
      <c r="AO25" s="1">
        <v>3.3452950000000002E-2</v>
      </c>
      <c r="AP25" s="1">
        <v>2.9371399999999999E-2</v>
      </c>
      <c r="AQ25" s="1">
        <v>3.383721E-2</v>
      </c>
      <c r="AR25" s="1">
        <v>3.8778310000000003E-2</v>
      </c>
      <c r="AS25" s="1">
        <v>3.8650759999999999E-2</v>
      </c>
      <c r="AT25" s="1">
        <v>3.8714520000000002E-2</v>
      </c>
      <c r="AU25" s="1"/>
      <c r="AV25" s="1">
        <v>2.7798369999999999E-2</v>
      </c>
      <c r="AW25" s="1">
        <v>9.6780400000000006E-3</v>
      </c>
      <c r="AX25" s="1">
        <v>2.8931E-3</v>
      </c>
      <c r="AY25" s="1">
        <v>9.6780400000000006E-3</v>
      </c>
      <c r="AZ25" s="1">
        <v>1.7385790000000002E-2</v>
      </c>
      <c r="BA25" s="1">
        <v>33.716555290000002</v>
      </c>
      <c r="BB25" s="1">
        <v>0.12268965</v>
      </c>
      <c r="BC25" s="1">
        <v>0</v>
      </c>
      <c r="BD25" s="1">
        <v>4.0266669999999997E-2</v>
      </c>
      <c r="BE25" s="1">
        <v>0</v>
      </c>
      <c r="BF25" s="1">
        <v>0</v>
      </c>
      <c r="BG25" s="1">
        <v>0.15554978999999999</v>
      </c>
      <c r="BH25" s="1">
        <v>2.899318E-2</v>
      </c>
      <c r="BI25" s="1">
        <v>4.7999999999999996E-3</v>
      </c>
      <c r="BJ25" s="1">
        <v>1.5493639999999999E-2</v>
      </c>
      <c r="BK25" s="1">
        <v>0</v>
      </c>
      <c r="BL25" s="1">
        <v>0</v>
      </c>
      <c r="BM25" s="1">
        <v>4.4408490000000002E-2</v>
      </c>
      <c r="BN25" s="1">
        <v>3.6506719999999999E-2</v>
      </c>
      <c r="BO25" s="1">
        <v>0</v>
      </c>
      <c r="BP25" s="1">
        <v>9.9396299999999996E-3</v>
      </c>
      <c r="BQ25" s="1">
        <v>7.3740200000000002E-3</v>
      </c>
      <c r="BR25" s="1">
        <v>-2.36419E-3</v>
      </c>
      <c r="BS25" s="1">
        <v>0</v>
      </c>
      <c r="BT25" s="1">
        <v>0</v>
      </c>
      <c r="BU25" s="1">
        <v>1.4818548300000001</v>
      </c>
      <c r="BV25" s="1">
        <v>48.470856380000001</v>
      </c>
      <c r="BW25" s="1">
        <v>0</v>
      </c>
      <c r="BX25" s="1">
        <v>78.674210239999994</v>
      </c>
      <c r="BY25" s="1">
        <v>1.7317079999999999E-2</v>
      </c>
      <c r="BZ25" s="1">
        <v>1.5206838600000001</v>
      </c>
      <c r="CA25" s="1">
        <v>0</v>
      </c>
      <c r="CB25" s="1">
        <v>7.9897400000000004E-3</v>
      </c>
      <c r="CC25" s="1">
        <v>1.148946E-2</v>
      </c>
      <c r="CD25" s="1">
        <v>4.5781860000000001E-2</v>
      </c>
      <c r="CE25">
        <v>2.97022E-3</v>
      </c>
      <c r="CF25">
        <v>1.0206460000000001E-2</v>
      </c>
      <c r="CG25">
        <v>3.3748229999999997E-2</v>
      </c>
      <c r="CH25">
        <v>3.7335220000000002E-2</v>
      </c>
      <c r="CI25">
        <v>0</v>
      </c>
      <c r="CJ25">
        <v>3.2078429999999998E-2</v>
      </c>
      <c r="CK25">
        <v>8.0762769999999998E-2</v>
      </c>
      <c r="CL25">
        <v>1</v>
      </c>
    </row>
    <row r="26" spans="1:90" x14ac:dyDescent="0.2">
      <c r="A26" s="8">
        <v>4320</v>
      </c>
      <c r="B26" s="1">
        <v>0</v>
      </c>
      <c r="C26" s="1">
        <v>0.12074153999999999</v>
      </c>
      <c r="D26" s="1">
        <v>7.6101799999999997E-2</v>
      </c>
      <c r="E26" s="1">
        <v>0</v>
      </c>
      <c r="F26" s="1">
        <v>0</v>
      </c>
      <c r="G26" s="1">
        <v>0</v>
      </c>
      <c r="H26" s="1">
        <v>0</v>
      </c>
      <c r="I26" s="1">
        <v>0</v>
      </c>
      <c r="J26" s="1">
        <v>3.5324460000000002E-2</v>
      </c>
      <c r="K26" s="1">
        <v>4.4018420000000003E-2</v>
      </c>
      <c r="L26" s="1">
        <v>4.6311419999999999E-2</v>
      </c>
      <c r="M26" s="1">
        <v>3.8633210000000001E-2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0.12135292</v>
      </c>
      <c r="Y26" s="1">
        <v>0.12238186</v>
      </c>
      <c r="Z26" s="1">
        <v>0.12167645000000001</v>
      </c>
      <c r="AA26" s="1">
        <v>0.12289869</v>
      </c>
      <c r="AB26" s="1">
        <v>6.5420019999999995E-2</v>
      </c>
      <c r="AC26" s="1">
        <v>0</v>
      </c>
      <c r="AD26" s="1">
        <v>0.1740633</v>
      </c>
      <c r="AE26" s="1">
        <v>0.16106329999999999</v>
      </c>
      <c r="AF26" s="1">
        <v>0.1340633</v>
      </c>
      <c r="AG26" s="1">
        <v>0.19156329999999999</v>
      </c>
      <c r="AH26" s="1">
        <v>0.21406330000000001</v>
      </c>
      <c r="AI26" s="1">
        <v>0.2365633</v>
      </c>
      <c r="AJ26" s="1">
        <v>0.12871622999999999</v>
      </c>
      <c r="AK26" s="1">
        <v>15.909441080000001</v>
      </c>
      <c r="AL26" s="1">
        <v>35.790441080000001</v>
      </c>
      <c r="AM26" s="1">
        <v>0</v>
      </c>
      <c r="AN26" s="1">
        <v>0.13836644000000001</v>
      </c>
      <c r="AO26" s="1">
        <v>3.4067449999999999E-2</v>
      </c>
      <c r="AP26" s="1">
        <v>2.9458399999999999E-2</v>
      </c>
      <c r="AQ26" s="1">
        <v>3.44567E-2</v>
      </c>
      <c r="AR26" s="1">
        <v>3.9781480000000001E-2</v>
      </c>
      <c r="AS26" s="1">
        <v>3.9665869999999999E-2</v>
      </c>
      <c r="AT26" s="1">
        <v>3.9723660000000001E-2</v>
      </c>
      <c r="AU26" s="1"/>
      <c r="AV26" s="1">
        <v>2.8376140000000001E-2</v>
      </c>
      <c r="AW26" s="1">
        <v>1.0477820000000001E-2</v>
      </c>
      <c r="AX26" s="1">
        <v>3.2732799999999999E-3</v>
      </c>
      <c r="AY26" s="1">
        <v>1.0477820000000001E-2</v>
      </c>
      <c r="AZ26" s="1">
        <v>1.8332709999999999E-2</v>
      </c>
      <c r="BA26" s="1">
        <v>35.600641080000003</v>
      </c>
      <c r="BB26" s="1">
        <v>0.12962478</v>
      </c>
      <c r="BC26" s="1">
        <v>0</v>
      </c>
      <c r="BD26" s="1">
        <v>4.1498559999999997E-2</v>
      </c>
      <c r="BE26" s="1">
        <v>0</v>
      </c>
      <c r="BF26" s="1">
        <v>0</v>
      </c>
      <c r="BG26" s="1">
        <v>0.16402811</v>
      </c>
      <c r="BH26" s="1">
        <v>2.9049999999999999E-2</v>
      </c>
      <c r="BI26" s="1">
        <v>5.45E-3</v>
      </c>
      <c r="BJ26" s="1">
        <v>1.5715260000000002E-2</v>
      </c>
      <c r="BK26" s="1">
        <v>0</v>
      </c>
      <c r="BL26" s="1">
        <v>0</v>
      </c>
      <c r="BM26" s="1">
        <v>4.5500510000000001E-2</v>
      </c>
      <c r="BN26" s="1">
        <v>3.6626480000000003E-2</v>
      </c>
      <c r="BO26" s="1">
        <v>0</v>
      </c>
      <c r="BP26" s="1">
        <v>1.0802290000000001E-2</v>
      </c>
      <c r="BQ26" s="1">
        <v>8.2400800000000003E-3</v>
      </c>
      <c r="BR26" s="1">
        <v>-2.10596E-3</v>
      </c>
      <c r="BS26" s="1">
        <v>0</v>
      </c>
      <c r="BT26" s="1">
        <v>0</v>
      </c>
      <c r="BU26" s="1">
        <v>1.5017445199999999</v>
      </c>
      <c r="BV26" s="1">
        <v>51.422752639999999</v>
      </c>
      <c r="BW26" s="1">
        <v>0</v>
      </c>
      <c r="BX26" s="1">
        <v>76.434666399999998</v>
      </c>
      <c r="BY26" s="1">
        <v>1.7664820000000001E-2</v>
      </c>
      <c r="BZ26" s="1">
        <v>1.53864588</v>
      </c>
      <c r="CA26" s="1">
        <v>0</v>
      </c>
      <c r="CB26" s="1">
        <v>8.7233299999999996E-3</v>
      </c>
      <c r="CC26" s="1">
        <v>1.240751E-2</v>
      </c>
      <c r="CD26" s="1">
        <v>4.694736E-2</v>
      </c>
      <c r="CE26">
        <v>3.3758899999999999E-3</v>
      </c>
      <c r="CF26">
        <v>1.1103969999999999E-2</v>
      </c>
      <c r="CG26">
        <v>3.4027389999999998E-2</v>
      </c>
      <c r="CH26">
        <v>3.725411E-2</v>
      </c>
      <c r="CI26">
        <v>0</v>
      </c>
      <c r="CJ26">
        <v>3.2286219999999997E-2</v>
      </c>
      <c r="CK26">
        <v>8.1104609999999994E-2</v>
      </c>
      <c r="CL26">
        <v>1</v>
      </c>
    </row>
    <row r="27" spans="1:90" x14ac:dyDescent="0.2">
      <c r="A27" s="8">
        <v>4680</v>
      </c>
      <c r="B27" s="1">
        <v>0</v>
      </c>
      <c r="C27" s="1">
        <v>0.12648131000000001</v>
      </c>
      <c r="D27" s="1">
        <v>7.6201130000000006E-2</v>
      </c>
      <c r="E27" s="1">
        <v>0</v>
      </c>
      <c r="F27" s="1">
        <v>0</v>
      </c>
      <c r="G27" s="1">
        <v>0</v>
      </c>
      <c r="H27" s="1">
        <v>0</v>
      </c>
      <c r="I27" s="1">
        <v>0</v>
      </c>
      <c r="J27" s="1">
        <v>3.6080960000000002E-2</v>
      </c>
      <c r="K27" s="1">
        <v>4.644997E-2</v>
      </c>
      <c r="L27" s="1">
        <v>4.7086709999999997E-2</v>
      </c>
      <c r="M27" s="1">
        <v>3.914948E-2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0.12709271</v>
      </c>
      <c r="Y27" s="1">
        <v>0.12825278000000001</v>
      </c>
      <c r="Z27" s="1">
        <v>0.12741623999999999</v>
      </c>
      <c r="AA27" s="1">
        <v>0.12863848</v>
      </c>
      <c r="AB27" s="1">
        <v>6.9914409999999996E-2</v>
      </c>
      <c r="AC27" s="1">
        <v>0</v>
      </c>
      <c r="AD27" s="1">
        <v>0.17980308</v>
      </c>
      <c r="AE27" s="1">
        <v>0.16680307999999999</v>
      </c>
      <c r="AF27" s="1">
        <v>0.13980308</v>
      </c>
      <c r="AG27" s="1">
        <v>0.19730307999999999</v>
      </c>
      <c r="AH27" s="1">
        <v>0.21980308000000001</v>
      </c>
      <c r="AI27" s="1">
        <v>0.24230308</v>
      </c>
      <c r="AJ27" s="1">
        <v>0.13613322999999999</v>
      </c>
      <c r="AK27" s="1">
        <v>17.933117719999998</v>
      </c>
      <c r="AL27" s="1">
        <v>37.814117719999999</v>
      </c>
      <c r="AM27" s="1">
        <v>0</v>
      </c>
      <c r="AN27" s="1">
        <v>0.14673579</v>
      </c>
      <c r="AO27" s="1">
        <v>3.469829E-2</v>
      </c>
      <c r="AP27" s="1">
        <v>2.9525650000000001E-2</v>
      </c>
      <c r="AQ27" s="1">
        <v>3.5092560000000002E-2</v>
      </c>
      <c r="AR27" s="1">
        <v>4.0582279999999998E-2</v>
      </c>
      <c r="AS27" s="1">
        <v>4.0464960000000001E-2</v>
      </c>
      <c r="AT27" s="1">
        <v>4.0523610000000002E-2</v>
      </c>
      <c r="AU27" s="1"/>
      <c r="AV27" s="1">
        <v>2.8910720000000001E-2</v>
      </c>
      <c r="AW27" s="1">
        <v>1.1182579999999999E-2</v>
      </c>
      <c r="AX27" s="1">
        <v>3.6582099999999998E-3</v>
      </c>
      <c r="AY27" s="1">
        <v>1.1182579999999999E-2</v>
      </c>
      <c r="AZ27" s="1">
        <v>1.9231789999999999E-2</v>
      </c>
      <c r="BA27" s="1">
        <v>37.624317720000001</v>
      </c>
      <c r="BB27" s="1">
        <v>0.13710713999999999</v>
      </c>
      <c r="BC27" s="1">
        <v>0</v>
      </c>
      <c r="BD27" s="1">
        <v>4.2784200000000001E-2</v>
      </c>
      <c r="BE27" s="1">
        <v>0</v>
      </c>
      <c r="BF27" s="1">
        <v>0</v>
      </c>
      <c r="BG27" s="1">
        <v>0.17308037000000001</v>
      </c>
      <c r="BH27" s="1">
        <v>2.9220960000000001E-2</v>
      </c>
      <c r="BI27" s="1">
        <v>6.03828E-3</v>
      </c>
      <c r="BJ27" s="1">
        <v>1.5892170000000001E-2</v>
      </c>
      <c r="BK27" s="1">
        <v>0</v>
      </c>
      <c r="BL27" s="1">
        <v>0</v>
      </c>
      <c r="BM27" s="1">
        <v>4.663146E-2</v>
      </c>
      <c r="BN27" s="1">
        <v>3.6745550000000002E-2</v>
      </c>
      <c r="BO27" s="1">
        <v>0</v>
      </c>
      <c r="BP27" s="1">
        <v>1.1688479999999999E-2</v>
      </c>
      <c r="BQ27" s="1">
        <v>9.1490500000000006E-3</v>
      </c>
      <c r="BR27" s="1">
        <v>-1.84808E-3</v>
      </c>
      <c r="BS27" s="1">
        <v>0</v>
      </c>
      <c r="BT27" s="1">
        <v>0</v>
      </c>
      <c r="BU27" s="1">
        <v>1.51940297</v>
      </c>
      <c r="BV27" s="1">
        <v>54.475804840000002</v>
      </c>
      <c r="BW27" s="1">
        <v>0</v>
      </c>
      <c r="BX27" s="1">
        <v>74.287061339999994</v>
      </c>
      <c r="BY27" s="1">
        <v>1.802113E-2</v>
      </c>
      <c r="BZ27" s="1">
        <v>1.55651651</v>
      </c>
      <c r="CA27" s="1">
        <v>0</v>
      </c>
      <c r="CB27" s="1">
        <v>9.4737799999999994E-3</v>
      </c>
      <c r="CC27" s="1">
        <v>1.3432360000000001E-2</v>
      </c>
      <c r="CD27" s="1">
        <v>4.808076E-2</v>
      </c>
      <c r="CE27">
        <v>3.7859399999999998E-3</v>
      </c>
      <c r="CF27">
        <v>1.202666E-2</v>
      </c>
      <c r="CG27">
        <v>3.4305389999999998E-2</v>
      </c>
      <c r="CH27">
        <v>3.7200999999999998E-2</v>
      </c>
      <c r="CI27">
        <v>0</v>
      </c>
      <c r="CJ27">
        <v>3.2355670000000003E-2</v>
      </c>
      <c r="CK27">
        <v>8.1461950000000005E-2</v>
      </c>
      <c r="CL27">
        <v>1</v>
      </c>
    </row>
    <row r="28" spans="1:90" x14ac:dyDescent="0.2">
      <c r="A28" s="8">
        <v>5040</v>
      </c>
      <c r="B28" s="1">
        <v>0</v>
      </c>
      <c r="C28" s="1">
        <v>0.13246562000000001</v>
      </c>
      <c r="D28" s="1">
        <v>7.6276759999999999E-2</v>
      </c>
      <c r="E28" s="1">
        <v>0</v>
      </c>
      <c r="F28" s="1">
        <v>0</v>
      </c>
      <c r="G28" s="1">
        <v>0</v>
      </c>
      <c r="H28" s="1">
        <v>0</v>
      </c>
      <c r="I28" s="1">
        <v>0</v>
      </c>
      <c r="J28" s="1">
        <v>3.6118209999999998E-2</v>
      </c>
      <c r="K28" s="1">
        <v>4.7371700000000003E-2</v>
      </c>
      <c r="L28" s="1">
        <v>4.7874769999999997E-2</v>
      </c>
      <c r="M28" s="1">
        <v>3.9671289999999998E-2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0.13307701999999999</v>
      </c>
      <c r="Y28" s="1">
        <v>0.13437834000000001</v>
      </c>
      <c r="Z28" s="1">
        <v>0.13340056</v>
      </c>
      <c r="AA28" s="1">
        <v>0.13462278999999999</v>
      </c>
      <c r="AB28" s="1">
        <v>7.4798390000000006E-2</v>
      </c>
      <c r="AC28" s="1">
        <v>0</v>
      </c>
      <c r="AD28" s="1">
        <v>0.18578739</v>
      </c>
      <c r="AE28" s="1">
        <v>0.17278739000000001</v>
      </c>
      <c r="AF28" s="1">
        <v>0.14578738999999999</v>
      </c>
      <c r="AG28" s="1">
        <v>0.20328739000000001</v>
      </c>
      <c r="AH28" s="1">
        <v>0.22578739</v>
      </c>
      <c r="AI28" s="1">
        <v>0.24828739</v>
      </c>
      <c r="AJ28" s="1">
        <v>0.14406574</v>
      </c>
      <c r="AK28" s="1">
        <v>20.09369246</v>
      </c>
      <c r="AL28" s="1">
        <v>39.97469246</v>
      </c>
      <c r="AM28" s="1">
        <v>0</v>
      </c>
      <c r="AN28" s="1">
        <v>0.15582720999999999</v>
      </c>
      <c r="AO28" s="1">
        <v>3.5346000000000002E-2</v>
      </c>
      <c r="AP28" s="1">
        <v>2.9575259999999999E-2</v>
      </c>
      <c r="AQ28" s="1">
        <v>3.5745300000000001E-2</v>
      </c>
      <c r="AR28" s="1">
        <v>4.1367689999999999E-2</v>
      </c>
      <c r="AS28" s="1">
        <v>4.1246339999999999E-2</v>
      </c>
      <c r="AT28" s="1">
        <v>4.1307000000000003E-2</v>
      </c>
      <c r="AU28" s="1"/>
      <c r="AV28" s="1">
        <v>2.9384540000000001E-2</v>
      </c>
      <c r="AW28" s="1">
        <v>1.179756E-2</v>
      </c>
      <c r="AX28" s="1">
        <v>4.0405600000000003E-3</v>
      </c>
      <c r="AY28" s="1">
        <v>1.179756E-2</v>
      </c>
      <c r="AZ28" s="1">
        <v>2.0064419999999999E-2</v>
      </c>
      <c r="BA28" s="1">
        <v>39.784892460000002</v>
      </c>
      <c r="BB28" s="1">
        <v>0.14510982</v>
      </c>
      <c r="BC28" s="1">
        <v>0</v>
      </c>
      <c r="BD28" s="1">
        <v>4.4126609999999997E-2</v>
      </c>
      <c r="BE28" s="1">
        <v>0</v>
      </c>
      <c r="BF28" s="1">
        <v>0</v>
      </c>
      <c r="BG28" s="1">
        <v>0.1827491</v>
      </c>
      <c r="BH28" s="1">
        <v>2.9551899999999999E-2</v>
      </c>
      <c r="BI28" s="1">
        <v>6.5691200000000003E-3</v>
      </c>
      <c r="BJ28" s="1">
        <v>1.6032649999999999E-2</v>
      </c>
      <c r="BK28" s="1">
        <v>0</v>
      </c>
      <c r="BL28" s="1">
        <v>0</v>
      </c>
      <c r="BM28" s="1">
        <v>4.7803039999999998E-2</v>
      </c>
      <c r="BN28" s="1">
        <v>3.6863659999999999E-2</v>
      </c>
      <c r="BO28" s="1">
        <v>0</v>
      </c>
      <c r="BP28" s="1">
        <v>1.260053E-2</v>
      </c>
      <c r="BQ28" s="1">
        <v>1.0086639999999999E-2</v>
      </c>
      <c r="BR28" s="1">
        <v>-1.5903600000000001E-3</v>
      </c>
      <c r="BS28" s="1">
        <v>0</v>
      </c>
      <c r="BT28" s="1">
        <v>0</v>
      </c>
      <c r="BU28" s="1">
        <v>1.53499556</v>
      </c>
      <c r="BV28" s="1">
        <v>57.627048440000003</v>
      </c>
      <c r="BW28" s="1">
        <v>0</v>
      </c>
      <c r="BX28" s="1">
        <v>72.227190410000006</v>
      </c>
      <c r="BY28" s="1">
        <v>1.8386320000000001E-2</v>
      </c>
      <c r="BZ28" s="1">
        <v>1.5742878</v>
      </c>
      <c r="CA28" s="1">
        <v>0</v>
      </c>
      <c r="CB28" s="1">
        <v>1.024277E-2</v>
      </c>
      <c r="CC28" s="1">
        <v>1.4535660000000001E-2</v>
      </c>
      <c r="CD28" s="1">
        <v>4.9180979999999999E-2</v>
      </c>
      <c r="CE28">
        <v>4.2008899999999997E-3</v>
      </c>
      <c r="CF28">
        <v>1.297707E-2</v>
      </c>
      <c r="CG28">
        <v>3.4581359999999998E-2</v>
      </c>
      <c r="CH28">
        <v>3.7125930000000001E-2</v>
      </c>
      <c r="CI28">
        <v>0</v>
      </c>
      <c r="CJ28">
        <v>3.2402199999999999E-2</v>
      </c>
      <c r="CK28">
        <v>8.18102E-2</v>
      </c>
      <c r="CL28">
        <v>1</v>
      </c>
    </row>
    <row r="29" spans="1:90" x14ac:dyDescent="0.2">
      <c r="A29" s="8">
        <v>5400</v>
      </c>
      <c r="B29" s="1">
        <v>0</v>
      </c>
      <c r="C29" s="1">
        <v>0.13880269000000001</v>
      </c>
      <c r="D29" s="1">
        <v>7.6348079999999999E-2</v>
      </c>
      <c r="E29" s="1">
        <v>0</v>
      </c>
      <c r="F29" s="1">
        <v>0</v>
      </c>
      <c r="G29" s="1">
        <v>0</v>
      </c>
      <c r="H29" s="1">
        <v>0</v>
      </c>
      <c r="I29" s="1">
        <v>0</v>
      </c>
      <c r="J29" s="1">
        <v>3.6150340000000003E-2</v>
      </c>
      <c r="K29" s="1">
        <v>4.8316970000000001E-2</v>
      </c>
      <c r="L29" s="1">
        <v>4.8556429999999998E-2</v>
      </c>
      <c r="M29" s="1">
        <v>4.0087560000000001E-2</v>
      </c>
      <c r="N29" s="1">
        <v>0</v>
      </c>
      <c r="O29" s="1">
        <v>0</v>
      </c>
      <c r="P29" s="1">
        <v>0</v>
      </c>
      <c r="Q29" s="1">
        <v>0</v>
      </c>
      <c r="R29" s="1">
        <v>0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0.13941411000000001</v>
      </c>
      <c r="Y29" s="1">
        <v>0.14086831</v>
      </c>
      <c r="Z29" s="1">
        <v>0.13973764</v>
      </c>
      <c r="AA29" s="1">
        <v>0.14095988000000001</v>
      </c>
      <c r="AB29" s="1">
        <v>8.0117659999999993E-2</v>
      </c>
      <c r="AC29" s="1">
        <v>0</v>
      </c>
      <c r="AD29" s="1">
        <v>0.19212445</v>
      </c>
      <c r="AE29" s="1">
        <v>0.17912444999999999</v>
      </c>
      <c r="AF29" s="1">
        <v>0.15212444999999999</v>
      </c>
      <c r="AG29" s="1">
        <v>0.20962444999999999</v>
      </c>
      <c r="AH29" s="1">
        <v>0.23212445000000001</v>
      </c>
      <c r="AI29" s="1">
        <v>0.25462445</v>
      </c>
      <c r="AJ29" s="1">
        <v>0.15249872</v>
      </c>
      <c r="AK29" s="1">
        <v>22.388472539999999</v>
      </c>
      <c r="AL29" s="1">
        <v>42.269472540000002</v>
      </c>
      <c r="AM29" s="1">
        <v>0</v>
      </c>
      <c r="AN29" s="1">
        <v>0.16569101</v>
      </c>
      <c r="AO29" s="1">
        <v>3.6011139999999997E-2</v>
      </c>
      <c r="AP29" s="1">
        <v>2.9609380000000001E-2</v>
      </c>
      <c r="AQ29" s="1">
        <v>3.6415459999999997E-2</v>
      </c>
      <c r="AR29" s="1">
        <v>4.2174059999999999E-2</v>
      </c>
      <c r="AS29" s="1">
        <v>4.2048530000000001E-2</v>
      </c>
      <c r="AT29" s="1">
        <v>4.2111280000000001E-2</v>
      </c>
      <c r="AU29" s="1"/>
      <c r="AV29" s="1">
        <v>2.9780000000000001E-2</v>
      </c>
      <c r="AW29" s="1">
        <v>1.2328E-2</v>
      </c>
      <c r="AX29" s="1">
        <v>4.4130000000000003E-3</v>
      </c>
      <c r="AY29" s="1">
        <v>1.2328E-2</v>
      </c>
      <c r="AZ29" s="1">
        <v>2.0812000000000001E-2</v>
      </c>
      <c r="BA29" s="1">
        <v>42.079672539999997</v>
      </c>
      <c r="BB29" s="1">
        <v>0.15361762000000001</v>
      </c>
      <c r="BC29" s="1">
        <v>0</v>
      </c>
      <c r="BD29" s="1">
        <v>4.5529E-2</v>
      </c>
      <c r="BE29" s="1">
        <v>0</v>
      </c>
      <c r="BF29" s="1">
        <v>0</v>
      </c>
      <c r="BG29" s="1">
        <v>0.19308016</v>
      </c>
      <c r="BH29" s="1">
        <v>2.9899999999999999E-2</v>
      </c>
      <c r="BI29" s="1">
        <v>7.0299999999999998E-3</v>
      </c>
      <c r="BJ29" s="1">
        <v>1.6145E-2</v>
      </c>
      <c r="BK29" s="1">
        <v>0</v>
      </c>
      <c r="BL29" s="1">
        <v>0</v>
      </c>
      <c r="BM29" s="1">
        <v>4.9016999999999998E-2</v>
      </c>
      <c r="BN29" s="1">
        <v>3.6980600000000002E-2</v>
      </c>
      <c r="BO29" s="1">
        <v>0</v>
      </c>
      <c r="BP29" s="1">
        <v>1.354093E-2</v>
      </c>
      <c r="BQ29" s="1">
        <v>1.1050829999999999E-2</v>
      </c>
      <c r="BR29" s="1">
        <v>-1.33259E-3</v>
      </c>
      <c r="BS29" s="1">
        <v>0</v>
      </c>
      <c r="BT29" s="1">
        <v>0</v>
      </c>
      <c r="BU29" s="1">
        <v>1.5485364699999999</v>
      </c>
      <c r="BV29" s="1">
        <v>60.872923739999997</v>
      </c>
      <c r="BW29" s="1">
        <v>0</v>
      </c>
      <c r="BX29" s="1">
        <v>70.251066320000007</v>
      </c>
      <c r="BY29" s="1">
        <v>1.8760700000000002E-2</v>
      </c>
      <c r="BZ29" s="1">
        <v>1.59195175</v>
      </c>
      <c r="CA29" s="1">
        <v>0</v>
      </c>
      <c r="CB29" s="1">
        <v>1.103208E-2</v>
      </c>
      <c r="CC29" s="1">
        <v>1.5728909999999999E-2</v>
      </c>
      <c r="CD29" s="1">
        <v>5.0246939999999997E-2</v>
      </c>
      <c r="CE29">
        <v>4.6212500000000004E-3</v>
      </c>
      <c r="CF29">
        <v>1.3957890000000001E-2</v>
      </c>
      <c r="CG29">
        <v>3.4854660000000003E-2</v>
      </c>
      <c r="CH29">
        <v>3.697483E-2</v>
      </c>
      <c r="CI29">
        <v>0</v>
      </c>
      <c r="CJ29">
        <v>3.2447040000000003E-2</v>
      </c>
      <c r="CK29">
        <v>8.2144629999999996E-2</v>
      </c>
      <c r="CL29">
        <v>1</v>
      </c>
    </row>
    <row r="30" spans="1:90" x14ac:dyDescent="0.2">
      <c r="A30" s="8">
        <v>5760</v>
      </c>
      <c r="B30" s="1">
        <v>0</v>
      </c>
      <c r="C30" s="1">
        <v>0.14552999999999999</v>
      </c>
      <c r="D30" s="1">
        <v>7.6417810000000003E-2</v>
      </c>
      <c r="E30" s="1">
        <v>0</v>
      </c>
      <c r="F30" s="1">
        <v>0</v>
      </c>
      <c r="G30" s="1">
        <v>0</v>
      </c>
      <c r="H30" s="1">
        <v>0</v>
      </c>
      <c r="I30" s="1">
        <v>0</v>
      </c>
      <c r="J30" s="1">
        <v>3.6178380000000003E-2</v>
      </c>
      <c r="K30" s="1">
        <v>4.9286440000000001E-2</v>
      </c>
      <c r="L30" s="1">
        <v>4.9472420000000003E-2</v>
      </c>
      <c r="M30" s="1">
        <v>4.0715540000000001E-2</v>
      </c>
      <c r="N30" s="1">
        <v>0</v>
      </c>
      <c r="O30" s="1">
        <v>0</v>
      </c>
      <c r="P30" s="1">
        <v>0</v>
      </c>
      <c r="Q30" s="1">
        <v>0</v>
      </c>
      <c r="R30" s="1">
        <v>0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0.14614144000000001</v>
      </c>
      <c r="Y30" s="1">
        <v>0.14776126000000001</v>
      </c>
      <c r="Z30" s="1">
        <v>0.14646497</v>
      </c>
      <c r="AA30" s="1">
        <v>0.14768721000000001</v>
      </c>
      <c r="AB30" s="1">
        <v>8.5923970000000002E-2</v>
      </c>
      <c r="AC30" s="1">
        <v>0</v>
      </c>
      <c r="AD30" s="1">
        <v>0.19885177000000001</v>
      </c>
      <c r="AE30" s="1">
        <v>0.18585177</v>
      </c>
      <c r="AF30" s="1">
        <v>0.15885177</v>
      </c>
      <c r="AG30" s="1">
        <v>0.21635177</v>
      </c>
      <c r="AH30" s="1">
        <v>0.23885176999999999</v>
      </c>
      <c r="AI30" s="1">
        <v>0.26135176999999998</v>
      </c>
      <c r="AJ30" s="1">
        <v>0.16122115000000001</v>
      </c>
      <c r="AK30" s="1">
        <v>24.817550950000001</v>
      </c>
      <c r="AL30" s="1">
        <v>44.698550949999998</v>
      </c>
      <c r="AM30" s="1">
        <v>0</v>
      </c>
      <c r="AN30" s="1">
        <v>0.17561054000000001</v>
      </c>
      <c r="AO30" s="1">
        <v>3.6694249999999998E-2</v>
      </c>
      <c r="AP30" s="1">
        <v>2.9630090000000001E-2</v>
      </c>
      <c r="AQ30" s="1">
        <v>3.7006589999999999E-2</v>
      </c>
      <c r="AR30" s="1">
        <v>4.2895820000000001E-2</v>
      </c>
      <c r="AS30" s="1">
        <v>4.2765959999999999E-2</v>
      </c>
      <c r="AT30" s="1">
        <v>4.283087E-2</v>
      </c>
      <c r="AU30" s="1"/>
      <c r="AV30" s="1">
        <v>3.008419E-2</v>
      </c>
      <c r="AW30" s="1">
        <v>1.277941E-2</v>
      </c>
      <c r="AX30" s="1">
        <v>4.7693400000000004E-3</v>
      </c>
      <c r="AY30" s="1">
        <v>1.277941E-2</v>
      </c>
      <c r="AZ30" s="1">
        <v>2.1455910000000002E-2</v>
      </c>
      <c r="BA30" s="1">
        <v>44.50875095</v>
      </c>
      <c r="BB30" s="1">
        <v>0.16241844</v>
      </c>
      <c r="BC30" s="1">
        <v>0</v>
      </c>
      <c r="BD30" s="1">
        <v>4.6868809999999997E-2</v>
      </c>
      <c r="BE30" s="1">
        <v>0</v>
      </c>
      <c r="BF30" s="1">
        <v>0</v>
      </c>
      <c r="BG30" s="1">
        <v>0.204123</v>
      </c>
      <c r="BH30" s="1">
        <v>3.0150449999999999E-2</v>
      </c>
      <c r="BI30" s="1">
        <v>7.4125700000000003E-3</v>
      </c>
      <c r="BJ30" s="1">
        <v>1.6236339999999998E-2</v>
      </c>
      <c r="BK30" s="1">
        <v>0</v>
      </c>
      <c r="BL30" s="1">
        <v>0</v>
      </c>
      <c r="BM30" s="1">
        <v>5.0409910000000002E-2</v>
      </c>
      <c r="BN30" s="1">
        <v>3.7152570000000003E-2</v>
      </c>
      <c r="BO30" s="1">
        <v>0</v>
      </c>
      <c r="BP30" s="1">
        <v>1.413642E-2</v>
      </c>
      <c r="BQ30" s="1">
        <v>1.179027E-2</v>
      </c>
      <c r="BR30" s="1">
        <v>-1.2745600000000001E-3</v>
      </c>
      <c r="BS30" s="1">
        <v>0</v>
      </c>
      <c r="BT30" s="1">
        <v>0</v>
      </c>
      <c r="BU30" s="1">
        <v>1.56378404</v>
      </c>
      <c r="BV30" s="1">
        <v>64.524186479999997</v>
      </c>
      <c r="BW30" s="1">
        <v>0</v>
      </c>
      <c r="BX30" s="1">
        <v>68.198774839999999</v>
      </c>
      <c r="BY30" s="1">
        <v>1.9075109999999999E-2</v>
      </c>
      <c r="BZ30" s="1">
        <v>1.6093027</v>
      </c>
      <c r="CA30" s="1">
        <v>0</v>
      </c>
      <c r="CB30" s="1">
        <v>1.1843579999999999E-2</v>
      </c>
      <c r="CC30" s="1">
        <v>1.65685E-2</v>
      </c>
      <c r="CD30" s="1">
        <v>5.1277549999999998E-2</v>
      </c>
      <c r="CE30">
        <v>4.9929800000000002E-3</v>
      </c>
      <c r="CF30">
        <v>1.447005E-2</v>
      </c>
      <c r="CG30">
        <v>3.5069740000000002E-2</v>
      </c>
      <c r="CH30">
        <v>3.6929579999999997E-2</v>
      </c>
      <c r="CI30">
        <v>0</v>
      </c>
      <c r="CJ30">
        <v>3.2441919999999999E-2</v>
      </c>
      <c r="CK30">
        <v>8.2364119999999999E-2</v>
      </c>
      <c r="CL30">
        <v>1</v>
      </c>
    </row>
    <row r="31" spans="1:90" x14ac:dyDescent="0.2">
      <c r="A31" s="8">
        <v>6120</v>
      </c>
      <c r="B31" s="1">
        <v>0</v>
      </c>
      <c r="C31" s="1">
        <v>0.15282435999999999</v>
      </c>
      <c r="D31" s="1">
        <v>7.6507119999999998E-2</v>
      </c>
      <c r="E31" s="1">
        <v>0</v>
      </c>
      <c r="F31" s="1">
        <v>0</v>
      </c>
      <c r="G31" s="1">
        <v>0</v>
      </c>
      <c r="H31" s="1">
        <v>0</v>
      </c>
      <c r="I31" s="1">
        <v>0</v>
      </c>
      <c r="J31" s="1">
        <v>3.6203069999999997E-2</v>
      </c>
      <c r="K31" s="1">
        <v>5.02808E-2</v>
      </c>
      <c r="L31" s="1">
        <v>5.1174249999999998E-2</v>
      </c>
      <c r="M31" s="1">
        <v>4.2060340000000002E-2</v>
      </c>
      <c r="N31" s="1">
        <v>0</v>
      </c>
      <c r="O31" s="1">
        <v>0</v>
      </c>
      <c r="P31" s="1">
        <v>0</v>
      </c>
      <c r="Q31" s="1">
        <v>0</v>
      </c>
      <c r="R31" s="1">
        <v>0</v>
      </c>
      <c r="S31" s="1">
        <v>0</v>
      </c>
      <c r="T31" s="1">
        <v>0</v>
      </c>
      <c r="U31" s="1">
        <v>0</v>
      </c>
      <c r="V31" s="1">
        <v>0</v>
      </c>
      <c r="W31" s="1">
        <v>0</v>
      </c>
      <c r="X31" s="1">
        <v>0.15343587</v>
      </c>
      <c r="Y31" s="1">
        <v>0.15523677</v>
      </c>
      <c r="Z31" s="1">
        <v>0.15375939999999999</v>
      </c>
      <c r="AA31" s="1">
        <v>0.15498164</v>
      </c>
      <c r="AB31" s="1">
        <v>8.9569360000000001E-2</v>
      </c>
      <c r="AC31" s="1">
        <v>0</v>
      </c>
      <c r="AD31" s="1">
        <v>0.20614611999999999</v>
      </c>
      <c r="AE31" s="1">
        <v>0.19314612</v>
      </c>
      <c r="AF31" s="1">
        <v>0.16614612000000001</v>
      </c>
      <c r="AG31" s="1">
        <v>0.22364612</v>
      </c>
      <c r="AH31" s="1">
        <v>0.24614612</v>
      </c>
      <c r="AI31" s="1">
        <v>0.26864611999999999</v>
      </c>
      <c r="AJ31" s="1">
        <v>0.17046518999999999</v>
      </c>
      <c r="AK31" s="1">
        <v>27.403345860000002</v>
      </c>
      <c r="AL31" s="1">
        <v>47.284345860000002</v>
      </c>
      <c r="AM31" s="1">
        <v>0</v>
      </c>
      <c r="AN31" s="1">
        <v>0.18614161000000001</v>
      </c>
      <c r="AO31" s="1">
        <v>3.7395940000000003E-2</v>
      </c>
      <c r="AP31" s="1">
        <v>2.963928E-2</v>
      </c>
      <c r="AQ31" s="1">
        <v>3.758235E-2</v>
      </c>
      <c r="AR31" s="1">
        <v>4.361085E-2</v>
      </c>
      <c r="AS31" s="1">
        <v>4.3476510000000003E-2</v>
      </c>
      <c r="AT31" s="1">
        <v>4.3543659999999998E-2</v>
      </c>
      <c r="AU31" s="1"/>
      <c r="AV31" s="1">
        <v>3.0302869999999999E-2</v>
      </c>
      <c r="AW31" s="1">
        <v>1.3158319999999999E-2</v>
      </c>
      <c r="AX31" s="1">
        <v>5.1079699999999999E-3</v>
      </c>
      <c r="AY31" s="1">
        <v>1.3158319999999999E-2</v>
      </c>
      <c r="AZ31" s="1">
        <v>2.1978250000000001E-2</v>
      </c>
      <c r="BA31" s="1">
        <v>47.094545859999997</v>
      </c>
      <c r="BB31" s="1">
        <v>0.17174602</v>
      </c>
      <c r="BC31" s="1">
        <v>0</v>
      </c>
      <c r="BD31" s="1">
        <v>4.8239190000000001E-2</v>
      </c>
      <c r="BE31" s="1">
        <v>0</v>
      </c>
      <c r="BF31" s="1">
        <v>0</v>
      </c>
      <c r="BG31" s="1">
        <v>0.21593092999999999</v>
      </c>
      <c r="BH31" s="1">
        <v>3.0300469999999999E-2</v>
      </c>
      <c r="BI31" s="1">
        <v>7.7252600000000003E-3</v>
      </c>
      <c r="BJ31" s="1">
        <v>1.630918E-2</v>
      </c>
      <c r="BK31" s="1">
        <v>0</v>
      </c>
      <c r="BL31" s="1">
        <v>0</v>
      </c>
      <c r="BM31" s="1">
        <v>5.1888040000000003E-2</v>
      </c>
      <c r="BN31" s="1">
        <v>3.7333680000000001E-2</v>
      </c>
      <c r="BO31" s="1">
        <v>0</v>
      </c>
      <c r="BP31" s="1">
        <v>1.46415E-2</v>
      </c>
      <c r="BQ31" s="1">
        <v>1.2475760000000001E-2</v>
      </c>
      <c r="BR31" s="1">
        <v>0</v>
      </c>
      <c r="BS31" s="1">
        <v>0</v>
      </c>
      <c r="BT31" s="1">
        <v>0</v>
      </c>
      <c r="BU31" s="1">
        <v>1.5786112400000001</v>
      </c>
      <c r="BV31" s="1">
        <v>68.43762667</v>
      </c>
      <c r="BW31" s="1">
        <v>0</v>
      </c>
      <c r="BX31" s="1">
        <v>0</v>
      </c>
      <c r="BY31" s="1">
        <v>1.937618E-2</v>
      </c>
      <c r="BZ31" s="1">
        <v>1.6264545500000001</v>
      </c>
      <c r="CA31" s="1">
        <v>0</v>
      </c>
      <c r="CB31" s="1">
        <v>1.267922E-2</v>
      </c>
      <c r="CC31" s="1">
        <v>1.7350480000000001E-2</v>
      </c>
      <c r="CD31" s="1">
        <v>5.1638940000000001E-2</v>
      </c>
      <c r="CE31">
        <v>5.3700600000000003E-3</v>
      </c>
      <c r="CF31">
        <v>1.4996199999999999E-2</v>
      </c>
      <c r="CG31">
        <v>3.5271089999999998E-2</v>
      </c>
      <c r="CH31">
        <v>3.7201430000000001E-2</v>
      </c>
      <c r="CI31">
        <v>0</v>
      </c>
      <c r="CJ31">
        <v>3.2426030000000002E-2</v>
      </c>
      <c r="CK31">
        <v>8.2552959999999995E-2</v>
      </c>
      <c r="CL31">
        <v>1</v>
      </c>
    </row>
    <row r="32" spans="1:90" x14ac:dyDescent="0.2">
      <c r="A32" s="8">
        <v>6480</v>
      </c>
      <c r="B32" s="1">
        <v>0</v>
      </c>
      <c r="C32" s="1">
        <v>0.16087947</v>
      </c>
      <c r="D32" s="1">
        <v>7.658827E-2</v>
      </c>
      <c r="E32" s="1">
        <v>0</v>
      </c>
      <c r="F32" s="1">
        <v>0</v>
      </c>
      <c r="G32" s="1">
        <v>0</v>
      </c>
      <c r="H32" s="1">
        <v>0</v>
      </c>
      <c r="I32" s="1">
        <v>0</v>
      </c>
      <c r="J32" s="1">
        <v>3.6224949999999999E-2</v>
      </c>
      <c r="K32" s="1">
        <v>5.1300770000000002E-2</v>
      </c>
      <c r="L32" s="1">
        <v>5.2712130000000003E-2</v>
      </c>
      <c r="M32" s="1">
        <v>4.3239920000000001E-2</v>
      </c>
      <c r="N32" s="1">
        <v>0</v>
      </c>
      <c r="O32" s="1">
        <v>0</v>
      </c>
      <c r="P32" s="1">
        <v>0</v>
      </c>
      <c r="Q32" s="1">
        <v>0</v>
      </c>
      <c r="R32" s="1">
        <v>0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0.16149102000000001</v>
      </c>
      <c r="Y32" s="1">
        <v>0.16349182000000001</v>
      </c>
      <c r="Z32" s="1">
        <v>0.16181455</v>
      </c>
      <c r="AA32" s="1">
        <v>0.16303678999999999</v>
      </c>
      <c r="AB32" s="1">
        <v>9.2512469999999999E-2</v>
      </c>
      <c r="AC32" s="1">
        <v>0</v>
      </c>
      <c r="AD32" s="1">
        <v>0.21420123999999999</v>
      </c>
      <c r="AE32" s="1">
        <v>0.20120124</v>
      </c>
      <c r="AF32" s="1">
        <v>0.17420124000000001</v>
      </c>
      <c r="AG32" s="1">
        <v>0.23170124</v>
      </c>
      <c r="AH32" s="1">
        <v>0.25420123999999999</v>
      </c>
      <c r="AI32" s="1">
        <v>0.27670124000000001</v>
      </c>
      <c r="AJ32" s="1">
        <v>0.18044239000000001</v>
      </c>
      <c r="AK32" s="1">
        <v>30.17900406</v>
      </c>
      <c r="AL32" s="1">
        <v>50.060004059999997</v>
      </c>
      <c r="AM32" s="1">
        <v>0</v>
      </c>
      <c r="AN32" s="1">
        <v>0.19749706</v>
      </c>
      <c r="AO32" s="1">
        <v>3.8116810000000001E-2</v>
      </c>
      <c r="AP32" s="1">
        <v>2.96387E-2</v>
      </c>
      <c r="AQ32" s="1">
        <v>3.8169469999999997E-2</v>
      </c>
      <c r="AR32" s="1">
        <v>4.4339980000000001E-2</v>
      </c>
      <c r="AS32" s="1">
        <v>4.4200999999999997E-2</v>
      </c>
      <c r="AT32" s="1">
        <v>4.4270459999999998E-2</v>
      </c>
      <c r="AU32" s="1"/>
      <c r="AV32" s="1">
        <v>3.044645E-2</v>
      </c>
      <c r="AW32" s="1">
        <v>1.3471530000000001E-2</v>
      </c>
      <c r="AX32" s="1">
        <v>5.4284399999999997E-3</v>
      </c>
      <c r="AY32" s="1">
        <v>1.3471530000000001E-2</v>
      </c>
      <c r="AZ32" s="1">
        <v>2.2375450000000002E-2</v>
      </c>
      <c r="BA32" s="1">
        <v>49.870204059999999</v>
      </c>
      <c r="BB32" s="1">
        <v>0.18181374</v>
      </c>
      <c r="BC32" s="1">
        <v>0</v>
      </c>
      <c r="BD32" s="1">
        <v>4.9667210000000003E-2</v>
      </c>
      <c r="BE32" s="1">
        <v>0</v>
      </c>
      <c r="BF32" s="1">
        <v>0</v>
      </c>
      <c r="BG32" s="1">
        <v>0.22856145999999999</v>
      </c>
      <c r="BH32" s="1">
        <v>3.0375249999999999E-2</v>
      </c>
      <c r="BI32" s="1">
        <v>7.9806500000000006E-3</v>
      </c>
      <c r="BJ32" s="1">
        <v>1.6364839999999999E-2</v>
      </c>
      <c r="BK32" s="1">
        <v>0</v>
      </c>
      <c r="BL32" s="1">
        <v>0</v>
      </c>
      <c r="BM32" s="1">
        <v>5.342856E-2</v>
      </c>
      <c r="BN32" s="1">
        <v>3.7512370000000003E-2</v>
      </c>
      <c r="BO32" s="1">
        <v>0</v>
      </c>
      <c r="BP32" s="1">
        <v>1.5160440000000001E-2</v>
      </c>
      <c r="BQ32" s="1">
        <v>1.318102E-2</v>
      </c>
      <c r="BR32" s="1">
        <v>0</v>
      </c>
      <c r="BS32" s="1">
        <v>0</v>
      </c>
      <c r="BT32" s="1">
        <v>0</v>
      </c>
      <c r="BU32" s="1">
        <v>1.59193232</v>
      </c>
      <c r="BV32" s="1">
        <v>72.540605139999997</v>
      </c>
      <c r="BW32" s="1">
        <v>0</v>
      </c>
      <c r="BX32" s="1">
        <v>0</v>
      </c>
      <c r="BY32" s="1">
        <v>1.9683920000000001E-2</v>
      </c>
      <c r="BZ32" s="1">
        <v>1.6434381300000001</v>
      </c>
      <c r="CA32" s="1">
        <v>0</v>
      </c>
      <c r="CB32" s="1">
        <v>1.354108E-2</v>
      </c>
      <c r="CC32" s="1">
        <v>1.8148339999999999E-2</v>
      </c>
      <c r="CD32" s="1">
        <v>5.1778890000000001E-2</v>
      </c>
      <c r="CE32">
        <v>5.75291E-3</v>
      </c>
      <c r="CF32">
        <v>1.553713E-2</v>
      </c>
      <c r="CG32">
        <v>3.5469609999999999E-2</v>
      </c>
      <c r="CH32">
        <v>3.7373339999999998E-2</v>
      </c>
      <c r="CI32">
        <v>0</v>
      </c>
      <c r="CJ32">
        <v>3.2409300000000002E-2</v>
      </c>
      <c r="CK32">
        <v>8.2732390000000003E-2</v>
      </c>
      <c r="CL32">
        <v>1</v>
      </c>
    </row>
    <row r="33" spans="1:90" x14ac:dyDescent="0.2">
      <c r="A33" s="8">
        <v>6840</v>
      </c>
      <c r="B33" s="1">
        <v>0</v>
      </c>
      <c r="C33" s="1">
        <v>0.16921214000000001</v>
      </c>
      <c r="D33" s="1">
        <v>7.6671989999999995E-2</v>
      </c>
      <c r="E33" s="1">
        <v>0</v>
      </c>
      <c r="F33" s="1">
        <v>0</v>
      </c>
      <c r="G33" s="1">
        <v>0</v>
      </c>
      <c r="H33" s="1">
        <v>0</v>
      </c>
      <c r="I33" s="1">
        <v>0</v>
      </c>
      <c r="J33" s="1">
        <v>3.6244480000000003E-2</v>
      </c>
      <c r="K33" s="1">
        <v>5.2347070000000002E-2</v>
      </c>
      <c r="L33" s="1">
        <v>5.3834350000000003E-2</v>
      </c>
      <c r="M33" s="1">
        <v>4.4026990000000002E-2</v>
      </c>
      <c r="N33" s="1">
        <v>0</v>
      </c>
      <c r="O33" s="1">
        <v>0</v>
      </c>
      <c r="P33" s="1">
        <v>0</v>
      </c>
      <c r="Q33" s="1">
        <v>0</v>
      </c>
      <c r="R33" s="1">
        <v>0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0.16982361000000001</v>
      </c>
      <c r="Y33" s="1">
        <v>0.17203889</v>
      </c>
      <c r="Z33" s="1">
        <v>0.17014715</v>
      </c>
      <c r="AA33" s="1">
        <v>0.17136937999999999</v>
      </c>
      <c r="AB33" s="1">
        <v>9.5578540000000003E-2</v>
      </c>
      <c r="AC33" s="1">
        <v>0</v>
      </c>
      <c r="AD33" s="1">
        <v>0.22253390000000001</v>
      </c>
      <c r="AE33" s="1">
        <v>0.2095339</v>
      </c>
      <c r="AF33" s="1">
        <v>0.1825339</v>
      </c>
      <c r="AG33" s="1">
        <v>0.24003389999999999</v>
      </c>
      <c r="AH33" s="1">
        <v>0.26253389999999999</v>
      </c>
      <c r="AI33" s="1">
        <v>0.28503390000000001</v>
      </c>
      <c r="AJ33" s="1">
        <v>0.19129763</v>
      </c>
      <c r="AK33" s="1">
        <v>33.177740540000002</v>
      </c>
      <c r="AL33" s="1">
        <v>53.058740540000002</v>
      </c>
      <c r="AM33" s="1">
        <v>0</v>
      </c>
      <c r="AN33" s="1">
        <v>0.20975113000000001</v>
      </c>
      <c r="AO33" s="1">
        <v>3.8857500000000003E-2</v>
      </c>
      <c r="AP33" s="1">
        <v>2.9630099999999999E-2</v>
      </c>
      <c r="AQ33" s="1">
        <v>3.8768190000000001E-2</v>
      </c>
      <c r="AR33" s="1">
        <v>4.5083480000000002E-2</v>
      </c>
      <c r="AS33" s="1">
        <v>4.4939720000000002E-2</v>
      </c>
      <c r="AT33" s="1">
        <v>4.5011570000000001E-2</v>
      </c>
      <c r="AU33" s="1"/>
      <c r="AV33" s="1">
        <v>3.052535E-2</v>
      </c>
      <c r="AW33" s="1">
        <v>1.372582E-2</v>
      </c>
      <c r="AX33" s="1">
        <v>5.73027E-3</v>
      </c>
      <c r="AY33" s="1">
        <v>1.372582E-2</v>
      </c>
      <c r="AZ33" s="1">
        <v>2.2657730000000001E-2</v>
      </c>
      <c r="BA33" s="1">
        <v>52.868940539999997</v>
      </c>
      <c r="BB33" s="1">
        <v>0.19276783</v>
      </c>
      <c r="BC33" s="1">
        <v>0</v>
      </c>
      <c r="BD33" s="1">
        <v>5.1155880000000001E-2</v>
      </c>
      <c r="BE33" s="1">
        <v>0</v>
      </c>
      <c r="BF33" s="1">
        <v>0</v>
      </c>
      <c r="BG33" s="1">
        <v>0.24207662999999999</v>
      </c>
      <c r="BH33" s="1">
        <v>3.0400030000000001E-2</v>
      </c>
      <c r="BI33" s="1">
        <v>8.1913699999999999E-3</v>
      </c>
      <c r="BJ33" s="1">
        <v>1.640467E-2</v>
      </c>
      <c r="BK33" s="1">
        <v>0</v>
      </c>
      <c r="BL33" s="1">
        <v>0</v>
      </c>
      <c r="BM33" s="1">
        <v>5.5034689999999997E-2</v>
      </c>
      <c r="BN33" s="1">
        <v>3.7688449999999998E-2</v>
      </c>
      <c r="BO33" s="1">
        <v>0</v>
      </c>
      <c r="BP33" s="1">
        <v>1.5693970000000002E-2</v>
      </c>
      <c r="BQ33" s="1">
        <v>1.390748E-2</v>
      </c>
      <c r="BR33" s="1">
        <v>0</v>
      </c>
      <c r="BS33" s="1">
        <v>0</v>
      </c>
      <c r="BT33" s="1">
        <v>0</v>
      </c>
      <c r="BU33" s="1">
        <v>1.60370816</v>
      </c>
      <c r="BV33" s="1">
        <v>76.838942810000006</v>
      </c>
      <c r="BW33" s="1">
        <v>0</v>
      </c>
      <c r="BX33" s="1">
        <v>0</v>
      </c>
      <c r="BY33" s="1">
        <v>1.9998519999999999E-2</v>
      </c>
      <c r="BZ33" s="1">
        <v>1.6602444300000001</v>
      </c>
      <c r="CA33" s="1">
        <v>0</v>
      </c>
      <c r="CB33" s="1">
        <v>1.4431370000000001E-2</v>
      </c>
      <c r="CC33" s="1">
        <v>1.894123E-2</v>
      </c>
      <c r="CD33" s="1">
        <v>5.1904909999999999E-2</v>
      </c>
      <c r="CE33">
        <v>6.14198E-3</v>
      </c>
      <c r="CF33">
        <v>1.6093639999999999E-2</v>
      </c>
      <c r="CG33">
        <v>3.566515E-2</v>
      </c>
      <c r="CH33">
        <v>3.7382810000000002E-2</v>
      </c>
      <c r="CI33">
        <v>0</v>
      </c>
      <c r="CJ33">
        <v>3.2391929999999999E-2</v>
      </c>
      <c r="CK33">
        <v>8.2902779999999995E-2</v>
      </c>
      <c r="CL33">
        <v>1</v>
      </c>
    </row>
    <row r="34" spans="1:90" x14ac:dyDescent="0.2">
      <c r="A34" s="8">
        <v>7200</v>
      </c>
      <c r="B34" s="1">
        <v>0</v>
      </c>
      <c r="C34" s="1">
        <v>0.17750794</v>
      </c>
      <c r="D34" s="1">
        <v>7.6732750000000002E-2</v>
      </c>
      <c r="E34" s="1">
        <v>0</v>
      </c>
      <c r="F34" s="1">
        <v>0</v>
      </c>
      <c r="G34" s="1">
        <v>0</v>
      </c>
      <c r="H34" s="1">
        <v>0</v>
      </c>
      <c r="I34" s="1">
        <v>0</v>
      </c>
      <c r="J34" s="1">
        <v>3.6262000000000003E-2</v>
      </c>
      <c r="K34" s="1">
        <v>5.342044E-2</v>
      </c>
      <c r="L34" s="1">
        <v>5.4987380000000002E-2</v>
      </c>
      <c r="M34" s="1">
        <v>4.4832749999999998E-2</v>
      </c>
      <c r="N34" s="1">
        <v>0</v>
      </c>
      <c r="O34" s="1">
        <v>0</v>
      </c>
      <c r="P34" s="1">
        <v>0</v>
      </c>
      <c r="Q34" s="1">
        <v>0</v>
      </c>
      <c r="R34" s="1">
        <v>0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0.17811943999999999</v>
      </c>
      <c r="Y34" s="1">
        <v>0.18056032999999999</v>
      </c>
      <c r="Z34" s="1">
        <v>0.17844297000000001</v>
      </c>
      <c r="AA34" s="1">
        <v>0.17966520999999999</v>
      </c>
      <c r="AB34" s="1">
        <v>9.8773299999999994E-2</v>
      </c>
      <c r="AC34" s="1">
        <v>0</v>
      </c>
      <c r="AD34" s="1">
        <v>0.2308297</v>
      </c>
      <c r="AE34" s="1">
        <v>0.21782969999999999</v>
      </c>
      <c r="AF34" s="1">
        <v>0.19082969999999999</v>
      </c>
      <c r="AG34" s="1">
        <v>0.24832969999999999</v>
      </c>
      <c r="AH34" s="1">
        <v>0.27082970000000001</v>
      </c>
      <c r="AI34" s="1">
        <v>0.29332970000000003</v>
      </c>
      <c r="AJ34" s="1">
        <v>0.20316909</v>
      </c>
      <c r="AK34" s="1">
        <v>36.432770259999998</v>
      </c>
      <c r="AL34" s="1">
        <v>56.313770259999998</v>
      </c>
      <c r="AM34" s="1">
        <v>0</v>
      </c>
      <c r="AN34" s="1">
        <v>0.22298546999999999</v>
      </c>
      <c r="AO34" s="1">
        <v>3.9618639999999997E-2</v>
      </c>
      <c r="AP34" s="1">
        <v>2.9615260000000001E-2</v>
      </c>
      <c r="AQ34" s="1">
        <v>3.9378749999999997E-2</v>
      </c>
      <c r="AR34" s="1">
        <v>4.5841630000000001E-2</v>
      </c>
      <c r="AS34" s="1">
        <v>4.5692950000000003E-2</v>
      </c>
      <c r="AT34" s="1">
        <v>4.5767259999999997E-2</v>
      </c>
      <c r="AU34" s="1"/>
      <c r="AV34" s="1">
        <v>3.0550000000000001E-2</v>
      </c>
      <c r="AW34" s="1">
        <v>1.3927999999999999E-2</v>
      </c>
      <c r="AX34" s="1">
        <v>6.0130000000000001E-3</v>
      </c>
      <c r="AY34" s="1">
        <v>1.3927999999999999E-2</v>
      </c>
      <c r="AZ34" s="1">
        <v>2.2835870000000001E-2</v>
      </c>
      <c r="BA34" s="1">
        <v>56.12397026</v>
      </c>
      <c r="BB34" s="1">
        <v>0.20474782999999999</v>
      </c>
      <c r="BC34" s="1">
        <v>0</v>
      </c>
      <c r="BD34" s="1">
        <v>5.2708369999999997E-2</v>
      </c>
      <c r="BE34" s="1">
        <v>0</v>
      </c>
      <c r="BF34" s="1">
        <v>0</v>
      </c>
      <c r="BG34" s="1">
        <v>0.25654336</v>
      </c>
      <c r="BH34" s="1">
        <v>3.04E-2</v>
      </c>
      <c r="BI34" s="1">
        <v>8.3700000000000007E-3</v>
      </c>
      <c r="BJ34" s="1">
        <v>1.643E-2</v>
      </c>
      <c r="BK34" s="1">
        <v>0</v>
      </c>
      <c r="BL34" s="1">
        <v>0</v>
      </c>
      <c r="BM34" s="1">
        <v>5.6709870000000002E-2</v>
      </c>
      <c r="BN34" s="1">
        <v>3.7861779999999998E-2</v>
      </c>
      <c r="BO34" s="1">
        <v>0</v>
      </c>
      <c r="BP34" s="1">
        <v>1.6242880000000001E-2</v>
      </c>
      <c r="BQ34" s="1">
        <v>1.465668E-2</v>
      </c>
      <c r="BR34" s="1">
        <v>0</v>
      </c>
      <c r="BS34" s="1">
        <v>0</v>
      </c>
      <c r="BT34" s="1">
        <v>0</v>
      </c>
      <c r="BU34" s="1">
        <v>1.6139042100000001</v>
      </c>
      <c r="BV34" s="1">
        <v>81.338414310000005</v>
      </c>
      <c r="BW34" s="1">
        <v>0</v>
      </c>
      <c r="BX34" s="1">
        <v>0</v>
      </c>
      <c r="BY34" s="1">
        <v>2.0320169999999999E-2</v>
      </c>
      <c r="BZ34" s="1">
        <v>1.6768644800000001</v>
      </c>
      <c r="CA34" s="1">
        <v>0</v>
      </c>
      <c r="CB34" s="1">
        <v>1.535239E-2</v>
      </c>
      <c r="CC34" s="1">
        <v>1.9717579999999998E-2</v>
      </c>
      <c r="CD34" s="1">
        <v>5.2019019999999999E-2</v>
      </c>
      <c r="CE34">
        <v>6.5377200000000003E-3</v>
      </c>
      <c r="CF34">
        <v>1.6666569999999999E-2</v>
      </c>
      <c r="CG34">
        <v>3.5857569999999998E-2</v>
      </c>
      <c r="CH34">
        <v>3.7394150000000001E-2</v>
      </c>
      <c r="CI34">
        <v>0</v>
      </c>
      <c r="CJ34">
        <v>3.237404E-2</v>
      </c>
      <c r="CK34">
        <v>8.3064479999999996E-2</v>
      </c>
      <c r="CL34">
        <v>1</v>
      </c>
    </row>
    <row r="35" spans="1:90" x14ac:dyDescent="0.2">
      <c r="A35" s="8">
        <v>7560</v>
      </c>
      <c r="B35" s="1">
        <v>0</v>
      </c>
      <c r="C35" s="1">
        <v>0.18639116999999999</v>
      </c>
      <c r="D35" s="1">
        <v>7.67674E-2</v>
      </c>
      <c r="E35" s="1">
        <v>0</v>
      </c>
      <c r="F35" s="1">
        <v>0</v>
      </c>
      <c r="G35" s="1">
        <v>0</v>
      </c>
      <c r="H35" s="1">
        <v>0</v>
      </c>
      <c r="I35" s="1">
        <v>0</v>
      </c>
      <c r="J35" s="1">
        <v>3.6277810000000001E-2</v>
      </c>
      <c r="K35" s="1">
        <v>5.4521670000000001E-2</v>
      </c>
      <c r="L35" s="1">
        <v>5.6172159999999999E-2</v>
      </c>
      <c r="M35" s="1">
        <v>4.5657700000000002E-2</v>
      </c>
      <c r="N35" s="1">
        <v>0</v>
      </c>
      <c r="O35" s="1">
        <v>0</v>
      </c>
      <c r="P35" s="1">
        <v>0</v>
      </c>
      <c r="Q35" s="1">
        <v>0</v>
      </c>
      <c r="R35" s="1">
        <v>0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0.18700273000000001</v>
      </c>
      <c r="Y35" s="1">
        <v>0.18968872000000001</v>
      </c>
      <c r="Z35" s="1">
        <v>0.18732626999999999</v>
      </c>
      <c r="AA35" s="1">
        <v>0.18854850000000001</v>
      </c>
      <c r="AB35" s="1">
        <v>0.10210276</v>
      </c>
      <c r="AC35" s="1">
        <v>0</v>
      </c>
      <c r="AD35" s="1">
        <v>0.23971294000000001</v>
      </c>
      <c r="AE35" s="1">
        <v>0.22671294</v>
      </c>
      <c r="AF35" s="1">
        <v>0.19971294000000001</v>
      </c>
      <c r="AG35" s="1">
        <v>0.25721294</v>
      </c>
      <c r="AH35" s="1">
        <v>0.27971294000000002</v>
      </c>
      <c r="AI35" s="1">
        <v>0.30221293999999999</v>
      </c>
      <c r="AJ35" s="1">
        <v>0.21602809000000001</v>
      </c>
      <c r="AK35" s="1">
        <v>39.977308200000003</v>
      </c>
      <c r="AL35" s="1">
        <v>59.858308200000003</v>
      </c>
      <c r="AM35" s="1">
        <v>0</v>
      </c>
      <c r="AN35" s="1">
        <v>0.23810698999999999</v>
      </c>
      <c r="AO35" s="1">
        <v>4.0400940000000003E-2</v>
      </c>
      <c r="AP35" s="1">
        <v>2.959583E-2</v>
      </c>
      <c r="AQ35" s="1">
        <v>3.9947219999999999E-2</v>
      </c>
      <c r="AR35" s="1">
        <v>4.6649549999999998E-2</v>
      </c>
      <c r="AS35" s="1">
        <v>4.6491570000000003E-2</v>
      </c>
      <c r="AT35" s="1">
        <v>4.6570529999999999E-2</v>
      </c>
      <c r="AU35" s="1"/>
      <c r="AV35" s="1">
        <v>3.0530809999999999E-2</v>
      </c>
      <c r="AW35" s="1">
        <v>1.4084859999999999E-2</v>
      </c>
      <c r="AX35" s="1">
        <v>6.2761700000000002E-3</v>
      </c>
      <c r="AY35" s="1">
        <v>1.4084859999999999E-2</v>
      </c>
      <c r="AZ35" s="1">
        <v>2.2920639999999999E-2</v>
      </c>
      <c r="BA35" s="1">
        <v>59.668508199999998</v>
      </c>
      <c r="BB35" s="1">
        <v>0.21772530000000001</v>
      </c>
      <c r="BC35" s="1">
        <v>0</v>
      </c>
      <c r="BD35" s="1">
        <v>5.3953050000000002E-2</v>
      </c>
      <c r="BE35" s="1">
        <v>0</v>
      </c>
      <c r="BF35" s="1">
        <v>0</v>
      </c>
      <c r="BG35" s="1">
        <v>0</v>
      </c>
      <c r="BH35" s="1">
        <v>3.03959E-2</v>
      </c>
      <c r="BI35" s="1">
        <v>8.5272899999999999E-3</v>
      </c>
      <c r="BJ35" s="1">
        <v>1.6442169999999999E-2</v>
      </c>
      <c r="BK35" s="1">
        <v>0</v>
      </c>
      <c r="BL35" s="1">
        <v>0</v>
      </c>
      <c r="BM35" s="1">
        <v>5.8188330000000003E-2</v>
      </c>
      <c r="BN35" s="1">
        <v>3.7951480000000003E-2</v>
      </c>
      <c r="BO35" s="1">
        <v>0</v>
      </c>
      <c r="BP35" s="1">
        <v>1.6548500000000001E-2</v>
      </c>
      <c r="BQ35" s="1">
        <v>1.4886119999999999E-2</v>
      </c>
      <c r="BR35" s="1">
        <v>0</v>
      </c>
      <c r="BS35" s="1">
        <v>0</v>
      </c>
      <c r="BT35" s="1">
        <v>0</v>
      </c>
      <c r="BU35" s="1">
        <v>1.63560265</v>
      </c>
      <c r="BV35" s="1">
        <v>86.392681109999998</v>
      </c>
      <c r="BW35" s="1">
        <v>0</v>
      </c>
      <c r="BX35" s="1">
        <v>0</v>
      </c>
      <c r="BY35" s="1">
        <v>2.056972E-2</v>
      </c>
      <c r="BZ35" s="1">
        <v>1.69421124</v>
      </c>
      <c r="CA35" s="1">
        <v>0</v>
      </c>
      <c r="CB35" s="1">
        <v>0</v>
      </c>
      <c r="CC35" s="1">
        <v>2.0120559999999999E-2</v>
      </c>
      <c r="CD35" s="1">
        <v>5.2122880000000003E-2</v>
      </c>
      <c r="CE35">
        <v>6.7636399999999996E-3</v>
      </c>
      <c r="CF35">
        <v>1.6872970000000001E-2</v>
      </c>
      <c r="CG35">
        <v>3.5927489999999999E-2</v>
      </c>
      <c r="CH35">
        <v>3.7404769999999997E-2</v>
      </c>
      <c r="CI35">
        <v>0</v>
      </c>
      <c r="CJ35">
        <v>0</v>
      </c>
      <c r="CK35">
        <v>8.3267030000000006E-2</v>
      </c>
      <c r="CL35">
        <v>1</v>
      </c>
    </row>
    <row r="36" spans="1:90" x14ac:dyDescent="0.2">
      <c r="A36" s="8">
        <v>7920</v>
      </c>
      <c r="B36" s="1">
        <v>0</v>
      </c>
      <c r="C36" s="1">
        <v>0.19603197999999999</v>
      </c>
      <c r="D36" s="1">
        <v>7.6816309999999999E-2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  <c r="J36" s="1">
        <v>3.6292129999999999E-2</v>
      </c>
      <c r="K36" s="1">
        <v>5.5651550000000001E-2</v>
      </c>
      <c r="L36" s="1">
        <v>5.7389669999999997E-2</v>
      </c>
      <c r="M36" s="1">
        <v>4.650236E-2</v>
      </c>
      <c r="N36" s="1">
        <v>0</v>
      </c>
      <c r="O36" s="1">
        <v>0</v>
      </c>
      <c r="P36" s="1">
        <v>0</v>
      </c>
      <c r="Q36" s="1">
        <v>0</v>
      </c>
      <c r="R36" s="1">
        <v>0</v>
      </c>
      <c r="S36" s="1">
        <v>0</v>
      </c>
      <c r="T36" s="1">
        <v>0</v>
      </c>
      <c r="U36" s="1">
        <v>0</v>
      </c>
      <c r="V36" s="1">
        <v>0</v>
      </c>
      <c r="W36" s="1">
        <v>0</v>
      </c>
      <c r="X36" s="1">
        <v>0.19664356999999999</v>
      </c>
      <c r="Y36" s="1">
        <v>0.19959776000000001</v>
      </c>
      <c r="Z36" s="1">
        <v>0.19696710000000001</v>
      </c>
      <c r="AA36" s="1">
        <v>0.19818933999999999</v>
      </c>
      <c r="AB36" s="1">
        <v>0.10478369</v>
      </c>
      <c r="AC36" s="1">
        <v>0</v>
      </c>
      <c r="AD36" s="1">
        <v>0.24935373999999999</v>
      </c>
      <c r="AE36" s="1">
        <v>0.23635374000000001</v>
      </c>
      <c r="AF36" s="1">
        <v>0.20935374000000001</v>
      </c>
      <c r="AG36" s="1">
        <v>0.26685374000000001</v>
      </c>
      <c r="AH36" s="1">
        <v>0.28935374000000003</v>
      </c>
      <c r="AI36" s="1">
        <v>0.31185373999999999</v>
      </c>
      <c r="AJ36" s="1">
        <v>0.23006616999999999</v>
      </c>
      <c r="AK36" s="1">
        <v>43.844569329999999</v>
      </c>
      <c r="AL36" s="1">
        <v>63.725569329999999</v>
      </c>
      <c r="AM36" s="1">
        <v>0</v>
      </c>
      <c r="AN36" s="1">
        <v>0.25481446000000002</v>
      </c>
      <c r="AO36" s="1">
        <v>4.1205079999999998E-2</v>
      </c>
      <c r="AP36" s="1">
        <v>2.9572660000000001E-2</v>
      </c>
      <c r="AQ36" s="1">
        <v>4.0501959999999997E-2</v>
      </c>
      <c r="AR36" s="1">
        <v>4.7485239999999998E-2</v>
      </c>
      <c r="AS36" s="1">
        <v>4.7316289999999997E-2</v>
      </c>
      <c r="AT36" s="1">
        <v>4.7400730000000002E-2</v>
      </c>
      <c r="AU36" s="1"/>
      <c r="AV36" s="1">
        <v>3.047822E-2</v>
      </c>
      <c r="AW36" s="1">
        <v>1.4203179999999999E-2</v>
      </c>
      <c r="AX36" s="1">
        <v>6.5193200000000003E-3</v>
      </c>
      <c r="AY36" s="1">
        <v>1.4203179999999999E-2</v>
      </c>
      <c r="AZ36" s="1">
        <v>2.29228E-2</v>
      </c>
      <c r="BA36" s="1">
        <v>63.535769330000001</v>
      </c>
      <c r="BB36" s="1">
        <v>0.23189335</v>
      </c>
      <c r="BC36" s="1">
        <v>0</v>
      </c>
      <c r="BD36" s="1">
        <v>5.5127139999999998E-2</v>
      </c>
      <c r="BE36" s="1">
        <v>0</v>
      </c>
      <c r="BF36" s="1">
        <v>0</v>
      </c>
      <c r="BG36" s="1">
        <v>0</v>
      </c>
      <c r="BH36" s="1">
        <v>3.0390540000000001E-2</v>
      </c>
      <c r="BI36" s="1">
        <v>8.6665200000000005E-3</v>
      </c>
      <c r="BJ36" s="1">
        <v>1.6442519999999999E-2</v>
      </c>
      <c r="BK36" s="1">
        <v>0</v>
      </c>
      <c r="BL36" s="1">
        <v>0</v>
      </c>
      <c r="BM36" s="1">
        <v>5.9640329999999998E-2</v>
      </c>
      <c r="BN36" s="1">
        <v>3.8016260000000003E-2</v>
      </c>
      <c r="BO36" s="1">
        <v>0</v>
      </c>
      <c r="BP36" s="1">
        <v>1.6752719999999999E-2</v>
      </c>
      <c r="BQ36" s="1">
        <v>1.4886119999999999E-2</v>
      </c>
      <c r="BR36" s="1">
        <v>0</v>
      </c>
      <c r="BS36" s="1">
        <v>0</v>
      </c>
      <c r="BT36" s="1">
        <v>0</v>
      </c>
      <c r="BU36" s="1">
        <v>1.66312752</v>
      </c>
      <c r="BV36" s="1">
        <v>91.895599349999998</v>
      </c>
      <c r="BW36" s="1">
        <v>0</v>
      </c>
      <c r="BX36" s="1">
        <v>0</v>
      </c>
      <c r="BY36" s="1">
        <v>2.0789160000000001E-2</v>
      </c>
      <c r="BZ36" s="1">
        <v>1.7118973500000001</v>
      </c>
      <c r="CA36" s="1">
        <v>0</v>
      </c>
      <c r="CB36" s="1">
        <v>0</v>
      </c>
      <c r="CC36" s="1">
        <v>2.030614E-2</v>
      </c>
      <c r="CD36" s="1">
        <v>5.2098319999999997E-2</v>
      </c>
      <c r="CE36">
        <v>6.9930000000000001E-3</v>
      </c>
      <c r="CF36">
        <v>1.7083040000000001E-2</v>
      </c>
      <c r="CG36">
        <v>3.59615E-2</v>
      </c>
      <c r="CH36">
        <v>3.7413740000000001E-2</v>
      </c>
      <c r="CI36">
        <v>0</v>
      </c>
      <c r="CJ36">
        <v>0</v>
      </c>
      <c r="CK36">
        <v>8.3473350000000002E-2</v>
      </c>
      <c r="CL36">
        <v>1</v>
      </c>
    </row>
    <row r="37" spans="1:90" x14ac:dyDescent="0.2">
      <c r="A37" s="8">
        <v>8280</v>
      </c>
      <c r="B37" s="1">
        <v>0</v>
      </c>
      <c r="C37" s="1">
        <v>0.2062882</v>
      </c>
      <c r="D37" s="1">
        <v>7.6883220000000002E-2</v>
      </c>
      <c r="E37" s="1">
        <v>0</v>
      </c>
      <c r="F37" s="1">
        <v>0</v>
      </c>
      <c r="G37" s="1">
        <v>0</v>
      </c>
      <c r="H37" s="1">
        <v>0</v>
      </c>
      <c r="I37" s="1">
        <v>0</v>
      </c>
      <c r="J37" s="1">
        <v>3.6305169999999998E-2</v>
      </c>
      <c r="K37" s="1">
        <v>5.6810899999999998E-2</v>
      </c>
      <c r="L37" s="1">
        <v>5.867932E-2</v>
      </c>
      <c r="M37" s="1">
        <v>4.740159E-2</v>
      </c>
      <c r="N37" s="1">
        <v>0</v>
      </c>
      <c r="O37" s="1">
        <v>0</v>
      </c>
      <c r="P37" s="1">
        <v>0</v>
      </c>
      <c r="Q37" s="1">
        <v>0</v>
      </c>
      <c r="R37" s="1">
        <v>0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0.20689982000000001</v>
      </c>
      <c r="Y37" s="1">
        <v>0.21014478</v>
      </c>
      <c r="Z37" s="1">
        <v>0.20722336</v>
      </c>
      <c r="AA37" s="1">
        <v>0.20844558999999999</v>
      </c>
      <c r="AB37" s="1">
        <v>0.10658397</v>
      </c>
      <c r="AC37" s="1">
        <v>0</v>
      </c>
      <c r="AD37" s="1">
        <v>0.25960995999999997</v>
      </c>
      <c r="AE37" s="1">
        <v>0.24660995999999999</v>
      </c>
      <c r="AF37" s="1">
        <v>0.21960995999999999</v>
      </c>
      <c r="AG37" s="1">
        <v>0.27710995999999999</v>
      </c>
      <c r="AH37" s="1">
        <v>0.29960996000000001</v>
      </c>
      <c r="AI37" s="1">
        <v>0.32210995999999997</v>
      </c>
      <c r="AJ37" s="1">
        <v>0.24547068</v>
      </c>
      <c r="AK37" s="1">
        <v>48.067768630000003</v>
      </c>
      <c r="AL37" s="1">
        <v>67.948768630000004</v>
      </c>
      <c r="AM37" s="1">
        <v>0</v>
      </c>
      <c r="AN37" s="1">
        <v>0.27303727999999999</v>
      </c>
      <c r="AO37" s="1">
        <v>4.2031810000000003E-2</v>
      </c>
      <c r="AP37" s="1">
        <v>2.9546090000000001E-2</v>
      </c>
      <c r="AQ37" s="1">
        <v>4.1064759999999999E-2</v>
      </c>
      <c r="AR37" s="1">
        <v>4.8339519999999997E-2</v>
      </c>
      <c r="AS37" s="1">
        <v>4.8159050000000002E-2</v>
      </c>
      <c r="AT37" s="1">
        <v>4.8249239999999999E-2</v>
      </c>
      <c r="AU37" s="1"/>
      <c r="AV37" s="1">
        <v>3.0402620000000002E-2</v>
      </c>
      <c r="AW37" s="1">
        <v>1.428977E-2</v>
      </c>
      <c r="AX37" s="1">
        <v>6.7419799999999998E-3</v>
      </c>
      <c r="AY37" s="1">
        <v>1.428977E-2</v>
      </c>
      <c r="AZ37" s="1">
        <v>2.2853120000000001E-2</v>
      </c>
      <c r="BA37" s="1">
        <v>67.758968629999998</v>
      </c>
      <c r="BB37" s="1">
        <v>0.24744090999999999</v>
      </c>
      <c r="BC37" s="1">
        <v>0</v>
      </c>
      <c r="BD37" s="1">
        <v>5.6334759999999998E-2</v>
      </c>
      <c r="BE37" s="1">
        <v>0</v>
      </c>
      <c r="BF37" s="1">
        <v>0</v>
      </c>
      <c r="BG37" s="1">
        <v>0</v>
      </c>
      <c r="BH37" s="1">
        <v>3.0382220000000001E-2</v>
      </c>
      <c r="BI37" s="1">
        <v>8.7891099999999993E-3</v>
      </c>
      <c r="BJ37" s="1">
        <v>1.6432370000000002E-2</v>
      </c>
      <c r="BK37" s="1">
        <v>0</v>
      </c>
      <c r="BL37" s="1">
        <v>0</v>
      </c>
      <c r="BM37" s="1">
        <v>6.1141620000000001E-2</v>
      </c>
      <c r="BN37" s="1">
        <v>3.8079450000000001E-2</v>
      </c>
      <c r="BO37" s="1">
        <v>0</v>
      </c>
      <c r="BP37" s="1">
        <v>1.6960550000000001E-2</v>
      </c>
      <c r="BQ37" s="1">
        <v>1.4886119999999999E-2</v>
      </c>
      <c r="BR37" s="1">
        <v>0</v>
      </c>
      <c r="BS37" s="1">
        <v>0</v>
      </c>
      <c r="BT37" s="1">
        <v>0</v>
      </c>
      <c r="BU37" s="1">
        <v>1.6911679500000001</v>
      </c>
      <c r="BV37" s="1">
        <v>97.737570410000004</v>
      </c>
      <c r="BW37" s="1">
        <v>0</v>
      </c>
      <c r="BX37" s="1">
        <v>0</v>
      </c>
      <c r="BY37" s="1">
        <v>2.1011930000000002E-2</v>
      </c>
      <c r="BZ37" s="1">
        <v>1.72952818</v>
      </c>
      <c r="CA37" s="1">
        <v>0</v>
      </c>
      <c r="CB37" s="1">
        <v>0</v>
      </c>
      <c r="CC37" s="1">
        <v>2.0454259999999998E-2</v>
      </c>
      <c r="CD37" s="1">
        <v>5.193068E-2</v>
      </c>
      <c r="CE37">
        <v>7.2259500000000001E-3</v>
      </c>
      <c r="CF37">
        <v>1.7296869999999999E-2</v>
      </c>
      <c r="CG37">
        <v>3.5994100000000001E-2</v>
      </c>
      <c r="CH37">
        <v>3.7432890000000003E-2</v>
      </c>
      <c r="CI37">
        <v>0</v>
      </c>
      <c r="CJ37">
        <v>0</v>
      </c>
      <c r="CK37">
        <v>8.3668939999999997E-2</v>
      </c>
      <c r="CL37">
        <v>1</v>
      </c>
    </row>
    <row r="38" spans="1:90" x14ac:dyDescent="0.2">
      <c r="A38" s="8">
        <v>8640</v>
      </c>
      <c r="B38" s="1">
        <v>0</v>
      </c>
      <c r="C38" s="1">
        <v>0.21720348</v>
      </c>
      <c r="D38" s="1">
        <v>7.6929079999999997E-2</v>
      </c>
      <c r="E38" s="1">
        <v>0</v>
      </c>
      <c r="F38" s="1">
        <v>0</v>
      </c>
      <c r="G38" s="1">
        <v>0</v>
      </c>
      <c r="H38" s="1">
        <v>0</v>
      </c>
      <c r="I38" s="1">
        <v>0</v>
      </c>
      <c r="J38" s="1">
        <v>3.6317080000000002E-2</v>
      </c>
      <c r="K38" s="1">
        <v>5.8000570000000001E-2</v>
      </c>
      <c r="L38" s="1">
        <v>6.0103579999999997E-2</v>
      </c>
      <c r="M38" s="1">
        <v>4.8410059999999998E-2</v>
      </c>
      <c r="N38" s="1">
        <v>0</v>
      </c>
      <c r="O38" s="1">
        <v>0</v>
      </c>
      <c r="P38" s="1">
        <v>0</v>
      </c>
      <c r="Q38" s="1">
        <v>0</v>
      </c>
      <c r="R38" s="1">
        <v>0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0.21781515000000001</v>
      </c>
      <c r="Y38" s="1">
        <v>0.2213754</v>
      </c>
      <c r="Z38" s="1">
        <v>0.21813868</v>
      </c>
      <c r="AA38" s="1">
        <v>0.21936091999999999</v>
      </c>
      <c r="AB38" s="1">
        <v>0.10835843000000001</v>
      </c>
      <c r="AC38" s="1">
        <v>0</v>
      </c>
      <c r="AD38" s="1">
        <v>0.27052524999999999</v>
      </c>
      <c r="AE38" s="1">
        <v>0.25752524999999998</v>
      </c>
      <c r="AF38" s="1">
        <v>0.23052524999999999</v>
      </c>
      <c r="AG38" s="1">
        <v>0.28802525000000001</v>
      </c>
      <c r="AH38" s="1">
        <v>0.31052524999999997</v>
      </c>
      <c r="AI38" s="1">
        <v>0.33302524999999999</v>
      </c>
      <c r="AJ38" s="1">
        <v>0.26236797000000001</v>
      </c>
      <c r="AK38" s="1">
        <v>52.680121069999998</v>
      </c>
      <c r="AL38" s="1">
        <v>72.561121069999999</v>
      </c>
      <c r="AM38" s="1">
        <v>0</v>
      </c>
      <c r="AN38" s="1">
        <v>0.29293385999999999</v>
      </c>
      <c r="AO38" s="1">
        <v>4.2881870000000002E-2</v>
      </c>
      <c r="AP38" s="1">
        <v>2.951645E-2</v>
      </c>
      <c r="AQ38" s="1">
        <v>4.1635690000000003E-2</v>
      </c>
      <c r="AR38" s="1">
        <v>4.9212829999999999E-2</v>
      </c>
      <c r="AS38" s="1">
        <v>4.9020269999999998E-2</v>
      </c>
      <c r="AT38" s="1">
        <v>4.91165E-2</v>
      </c>
      <c r="AU38" s="1"/>
      <c r="AV38" s="1">
        <v>3.0314460000000001E-2</v>
      </c>
      <c r="AW38" s="1">
        <v>1.435142E-2</v>
      </c>
      <c r="AX38" s="1">
        <v>6.9436899999999998E-3</v>
      </c>
      <c r="AY38" s="1">
        <v>1.435142E-2</v>
      </c>
      <c r="AZ38" s="1">
        <v>2.272238E-2</v>
      </c>
      <c r="BA38" s="1">
        <v>72.371321069999993</v>
      </c>
      <c r="BB38" s="1">
        <v>0.26449557000000001</v>
      </c>
      <c r="BC38" s="1">
        <v>0</v>
      </c>
      <c r="BD38" s="1">
        <v>5.7577009999999998E-2</v>
      </c>
      <c r="BE38" s="1">
        <v>0</v>
      </c>
      <c r="BF38" s="1">
        <v>0</v>
      </c>
      <c r="BG38" s="1">
        <v>0</v>
      </c>
      <c r="BH38" s="1">
        <v>3.036927E-2</v>
      </c>
      <c r="BI38" s="1">
        <v>8.8964600000000001E-3</v>
      </c>
      <c r="BJ38" s="1">
        <v>1.641308E-2</v>
      </c>
      <c r="BK38" s="1">
        <v>0</v>
      </c>
      <c r="BL38" s="1">
        <v>0</v>
      </c>
      <c r="BM38" s="1">
        <v>6.2694139999999995E-2</v>
      </c>
      <c r="BN38" s="1">
        <v>3.8141139999999997E-2</v>
      </c>
      <c r="BO38" s="1">
        <v>0</v>
      </c>
      <c r="BP38" s="1">
        <v>1.7172079999999999E-2</v>
      </c>
      <c r="BQ38" s="1">
        <v>1.4886119999999999E-2</v>
      </c>
      <c r="BR38" s="1">
        <v>0</v>
      </c>
      <c r="BS38" s="1">
        <v>0</v>
      </c>
      <c r="BT38" s="1">
        <v>0</v>
      </c>
      <c r="BU38" s="1">
        <v>1.7197296</v>
      </c>
      <c r="BV38" s="1">
        <v>103.93873527</v>
      </c>
      <c r="BW38" s="1">
        <v>0</v>
      </c>
      <c r="BX38" s="1">
        <v>0</v>
      </c>
      <c r="BY38" s="1">
        <v>2.1238099999999999E-2</v>
      </c>
      <c r="BZ38" s="1">
        <v>1.7470982500000001</v>
      </c>
      <c r="CA38" s="1">
        <v>0</v>
      </c>
      <c r="CB38" s="1">
        <v>0</v>
      </c>
      <c r="CC38" s="1">
        <v>2.0571610000000001E-2</v>
      </c>
      <c r="CD38" s="1">
        <v>5.1757900000000003E-2</v>
      </c>
      <c r="CE38">
        <v>7.4626600000000003E-3</v>
      </c>
      <c r="CF38">
        <v>1.751455E-2</v>
      </c>
      <c r="CG38">
        <v>3.6025420000000002E-2</v>
      </c>
      <c r="CH38">
        <v>3.7476820000000001E-2</v>
      </c>
      <c r="CI38">
        <v>0</v>
      </c>
      <c r="CJ38">
        <v>0</v>
      </c>
      <c r="CK38">
        <v>8.3853999999999998E-2</v>
      </c>
      <c r="CL38">
        <v>1</v>
      </c>
    </row>
    <row r="39" spans="1:90" x14ac:dyDescent="0.2">
      <c r="A39" s="8">
        <v>9000</v>
      </c>
      <c r="B39" s="1">
        <v>0</v>
      </c>
      <c r="C39" s="1">
        <v>0.22875706000000001</v>
      </c>
      <c r="D39" s="1">
        <v>7.6969579999999996E-2</v>
      </c>
      <c r="E39" s="1">
        <v>0</v>
      </c>
      <c r="F39" s="1">
        <v>0</v>
      </c>
      <c r="G39" s="1">
        <v>0</v>
      </c>
      <c r="H39" s="1">
        <v>0</v>
      </c>
      <c r="I39" s="1">
        <v>0</v>
      </c>
      <c r="J39" s="1">
        <v>3.6327999999999999E-2</v>
      </c>
      <c r="K39" s="1">
        <v>5.9221429999999999E-2</v>
      </c>
      <c r="L39" s="1">
        <v>6.1574400000000001E-2</v>
      </c>
      <c r="M39" s="1">
        <v>4.944809E-2</v>
      </c>
      <c r="N39" s="1">
        <v>0</v>
      </c>
      <c r="O39" s="1">
        <v>0</v>
      </c>
      <c r="P39" s="1">
        <v>0</v>
      </c>
      <c r="Q39" s="1">
        <v>0</v>
      </c>
      <c r="R39" s="1">
        <v>0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0.22936873999999999</v>
      </c>
      <c r="Y39" s="1">
        <v>0.23326986</v>
      </c>
      <c r="Z39" s="1">
        <v>0.22969227</v>
      </c>
      <c r="AA39" s="1">
        <v>0.23091450999999999</v>
      </c>
      <c r="AB39" s="1">
        <v>0.11010343</v>
      </c>
      <c r="AC39" s="1">
        <v>0</v>
      </c>
      <c r="AD39" s="1">
        <v>0.28207883</v>
      </c>
      <c r="AE39" s="1">
        <v>0.26907882999999999</v>
      </c>
      <c r="AF39" s="1">
        <v>0.24207882999999999</v>
      </c>
      <c r="AG39" s="1">
        <v>0.29957883000000002</v>
      </c>
      <c r="AH39" s="1">
        <v>0.32207882999999998</v>
      </c>
      <c r="AI39" s="1">
        <v>0.34457883</v>
      </c>
      <c r="AJ39" s="1">
        <v>0.28088583</v>
      </c>
      <c r="AK39" s="1">
        <v>57.714841620000001</v>
      </c>
      <c r="AL39" s="1">
        <v>77.595841620000002</v>
      </c>
      <c r="AM39" s="1">
        <v>0</v>
      </c>
      <c r="AN39" s="1">
        <v>0.31468091999999998</v>
      </c>
      <c r="AO39" s="1">
        <v>4.3756070000000001E-2</v>
      </c>
      <c r="AP39" s="1">
        <v>2.9484079999999999E-2</v>
      </c>
      <c r="AQ39" s="1">
        <v>4.221486E-2</v>
      </c>
      <c r="AR39" s="1">
        <v>5.010564E-2</v>
      </c>
      <c r="AS39" s="1">
        <v>4.9900390000000003E-2</v>
      </c>
      <c r="AT39" s="1">
        <v>5.0002959999999999E-2</v>
      </c>
      <c r="AU39" s="1"/>
      <c r="AV39" s="1">
        <v>3.022414E-2</v>
      </c>
      <c r="AW39" s="1">
        <v>1.439492E-2</v>
      </c>
      <c r="AX39" s="1">
        <v>7.1239900000000002E-3</v>
      </c>
      <c r="AY39" s="1">
        <v>1.439492E-2</v>
      </c>
      <c r="AZ39" s="1">
        <v>2.254134E-2</v>
      </c>
      <c r="BA39" s="1">
        <v>77.406041619999996</v>
      </c>
      <c r="BB39" s="1">
        <v>0.28318633999999998</v>
      </c>
      <c r="BC39" s="1">
        <v>0</v>
      </c>
      <c r="BD39" s="1">
        <v>5.8855009999999999E-2</v>
      </c>
      <c r="BE39" s="1">
        <v>0</v>
      </c>
      <c r="BF39" s="1">
        <v>0</v>
      </c>
      <c r="BG39" s="1">
        <v>0</v>
      </c>
      <c r="BH39" s="1">
        <v>3.0349999999999999E-2</v>
      </c>
      <c r="BI39" s="1">
        <v>8.9899999999999997E-3</v>
      </c>
      <c r="BJ39" s="1">
        <v>1.638597E-2</v>
      </c>
      <c r="BK39" s="1">
        <v>0</v>
      </c>
      <c r="BL39" s="1">
        <v>0</v>
      </c>
      <c r="BM39" s="1">
        <v>6.429994E-2</v>
      </c>
      <c r="BN39" s="1">
        <v>3.8201369999999998E-2</v>
      </c>
      <c r="BO39" s="1">
        <v>0</v>
      </c>
      <c r="BP39" s="1">
        <v>1.7387389999999999E-2</v>
      </c>
      <c r="BQ39" s="1">
        <v>1.4886119999999999E-2</v>
      </c>
      <c r="BR39" s="1">
        <v>0</v>
      </c>
      <c r="BS39" s="1">
        <v>0</v>
      </c>
      <c r="BT39" s="1">
        <v>0</v>
      </c>
      <c r="BU39" s="1">
        <v>1.74881821</v>
      </c>
      <c r="BV39" s="1">
        <v>110.52038476</v>
      </c>
      <c r="BW39" s="1">
        <v>0</v>
      </c>
      <c r="BX39" s="1">
        <v>0</v>
      </c>
      <c r="BY39" s="1">
        <v>2.1467719999999999E-2</v>
      </c>
      <c r="BZ39" s="1">
        <v>1.7646020200000001</v>
      </c>
      <c r="CA39" s="1">
        <v>0</v>
      </c>
      <c r="CB39" s="1">
        <v>0</v>
      </c>
      <c r="CC39" s="1">
        <v>2.066662E-2</v>
      </c>
      <c r="CD39" s="1">
        <v>5.1581009999999997E-2</v>
      </c>
      <c r="CE39">
        <v>7.7032799999999998E-3</v>
      </c>
      <c r="CF39">
        <v>1.7736160000000001E-2</v>
      </c>
      <c r="CG39">
        <v>3.605556E-2</v>
      </c>
      <c r="CH39">
        <v>3.7520320000000003E-2</v>
      </c>
      <c r="CI39">
        <v>0</v>
      </c>
      <c r="CJ39">
        <v>0</v>
      </c>
      <c r="CK39">
        <v>8.4028770000000003E-2</v>
      </c>
      <c r="CL39">
        <v>1</v>
      </c>
    </row>
    <row r="40" spans="1:90" x14ac:dyDescent="0.2">
      <c r="A40" s="8">
        <v>9360</v>
      </c>
      <c r="B40" s="1">
        <v>0</v>
      </c>
      <c r="C40" s="1">
        <v>0.24085760000000001</v>
      </c>
      <c r="D40" s="1">
        <v>7.6999079999999998E-2</v>
      </c>
      <c r="E40" s="1">
        <v>0</v>
      </c>
      <c r="F40" s="1">
        <v>0</v>
      </c>
      <c r="G40" s="1">
        <v>0</v>
      </c>
      <c r="H40" s="1">
        <v>0</v>
      </c>
      <c r="I40" s="1">
        <v>0</v>
      </c>
      <c r="J40" s="1">
        <v>3.6338040000000002E-2</v>
      </c>
      <c r="K40" s="1">
        <v>6.047437E-2</v>
      </c>
      <c r="L40" s="1">
        <v>6.3093540000000004E-2</v>
      </c>
      <c r="M40" s="1">
        <v>5.0516709999999999E-2</v>
      </c>
      <c r="N40" s="1">
        <v>0</v>
      </c>
      <c r="O40" s="1">
        <v>0</v>
      </c>
      <c r="P40" s="1">
        <v>0</v>
      </c>
      <c r="Q40" s="1">
        <v>0</v>
      </c>
      <c r="R40" s="1">
        <v>0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0.24146930999999999</v>
      </c>
      <c r="Y40" s="1">
        <v>0.24573666999999999</v>
      </c>
      <c r="Z40" s="1">
        <v>0.24179284000000001</v>
      </c>
      <c r="AA40" s="1">
        <v>0.24301507999999999</v>
      </c>
      <c r="AB40" s="1">
        <v>0.11181528</v>
      </c>
      <c r="AC40" s="1">
        <v>0</v>
      </c>
      <c r="AD40" s="1">
        <v>0.29417936</v>
      </c>
      <c r="AE40" s="1">
        <v>0.28117935999999999</v>
      </c>
      <c r="AF40" s="1">
        <v>0.25417936000000002</v>
      </c>
      <c r="AG40" s="1">
        <v>0.31167936000000002</v>
      </c>
      <c r="AH40" s="1">
        <v>0.33417935999999998</v>
      </c>
      <c r="AI40" s="1">
        <v>0.35667936</v>
      </c>
      <c r="AJ40" s="1">
        <v>0.30115433000000003</v>
      </c>
      <c r="AK40" s="1">
        <v>63.205145250000001</v>
      </c>
      <c r="AL40" s="1">
        <v>83.086145250000001</v>
      </c>
      <c r="AM40" s="1">
        <v>0</v>
      </c>
      <c r="AN40" s="1">
        <v>0.33847578</v>
      </c>
      <c r="AO40" s="1">
        <v>4.4655199999999999E-2</v>
      </c>
      <c r="AP40" s="1">
        <v>2.9449329999999999E-2</v>
      </c>
      <c r="AQ40" s="1">
        <v>4.2802350000000003E-2</v>
      </c>
      <c r="AR40" s="1">
        <v>5.1018399999999998E-2</v>
      </c>
      <c r="AS40" s="1">
        <v>5.0799850000000001E-2</v>
      </c>
      <c r="AT40" s="1">
        <v>5.0909059999999999E-2</v>
      </c>
      <c r="AU40" s="1"/>
      <c r="AV40" s="1">
        <v>3.0142100000000002E-2</v>
      </c>
      <c r="AW40" s="1">
        <v>1.442707E-2</v>
      </c>
      <c r="AX40" s="1">
        <v>7.2823999999999996E-3</v>
      </c>
      <c r="AY40" s="1">
        <v>1.442707E-2</v>
      </c>
      <c r="AZ40" s="1">
        <v>2.232077E-2</v>
      </c>
      <c r="BA40" s="1">
        <v>82.896345249999996</v>
      </c>
      <c r="BB40" s="1">
        <v>0.30364454000000002</v>
      </c>
      <c r="BC40" s="1">
        <v>0</v>
      </c>
      <c r="BD40" s="1">
        <v>6.0169939999999998E-2</v>
      </c>
      <c r="BE40" s="1">
        <v>0</v>
      </c>
      <c r="BF40" s="1">
        <v>0</v>
      </c>
      <c r="BG40" s="1">
        <v>0</v>
      </c>
      <c r="BH40" s="1">
        <v>3.0322729999999999E-2</v>
      </c>
      <c r="BI40" s="1">
        <v>9.0711400000000001E-3</v>
      </c>
      <c r="BJ40" s="1">
        <v>1.6352390000000001E-2</v>
      </c>
      <c r="BK40" s="1">
        <v>0</v>
      </c>
      <c r="BL40" s="1">
        <v>0</v>
      </c>
      <c r="BM40" s="1">
        <v>6.596117E-2</v>
      </c>
      <c r="BN40" s="1">
        <v>3.8260200000000001E-2</v>
      </c>
      <c r="BO40" s="1">
        <v>0</v>
      </c>
      <c r="BP40" s="1">
        <v>1.7606569999999998E-2</v>
      </c>
      <c r="BQ40" s="1">
        <v>1.4886119999999999E-2</v>
      </c>
      <c r="BR40" s="1">
        <v>0</v>
      </c>
      <c r="BS40" s="1">
        <v>0</v>
      </c>
      <c r="BT40" s="1">
        <v>0</v>
      </c>
      <c r="BU40" s="1">
        <v>1.7784395399999999</v>
      </c>
      <c r="BV40" s="1">
        <v>117.5050202</v>
      </c>
      <c r="BW40" s="1">
        <v>0</v>
      </c>
      <c r="BX40" s="1">
        <v>0</v>
      </c>
      <c r="BY40" s="1">
        <v>2.1700870000000001E-2</v>
      </c>
      <c r="BZ40" s="1">
        <v>1.78203394</v>
      </c>
      <c r="CA40" s="1">
        <v>0</v>
      </c>
      <c r="CB40" s="1">
        <v>0</v>
      </c>
      <c r="CC40" s="1">
        <v>2.0748659999999999E-2</v>
      </c>
      <c r="CD40" s="1">
        <v>5.1400880000000003E-2</v>
      </c>
      <c r="CE40">
        <v>7.9479900000000003E-3</v>
      </c>
      <c r="CF40">
        <v>1.7961789999999998E-2</v>
      </c>
      <c r="CG40">
        <v>3.6084629999999999E-2</v>
      </c>
      <c r="CH40">
        <v>3.7563340000000001E-2</v>
      </c>
      <c r="CI40">
        <v>0</v>
      </c>
      <c r="CJ40">
        <v>0</v>
      </c>
      <c r="CK40">
        <v>8.4193509999999999E-2</v>
      </c>
      <c r="CL40">
        <v>1</v>
      </c>
    </row>
    <row r="41" spans="1:90" x14ac:dyDescent="0.2">
      <c r="A41" s="8">
        <v>9720</v>
      </c>
      <c r="B41" s="1">
        <v>0</v>
      </c>
      <c r="C41" s="1">
        <v>0.25372443</v>
      </c>
      <c r="D41" s="1">
        <v>7.7027170000000006E-2</v>
      </c>
      <c r="E41" s="1">
        <v>0</v>
      </c>
      <c r="F41" s="1">
        <v>0</v>
      </c>
      <c r="G41" s="1">
        <v>0</v>
      </c>
      <c r="H41" s="1">
        <v>0</v>
      </c>
      <c r="I41" s="1">
        <v>0</v>
      </c>
      <c r="J41" s="1">
        <v>3.6347299999999999E-2</v>
      </c>
      <c r="K41" s="1">
        <v>6.176032E-2</v>
      </c>
      <c r="L41" s="1">
        <v>6.4662860000000003E-2</v>
      </c>
      <c r="M41" s="1">
        <v>5.1616969999999998E-2</v>
      </c>
      <c r="N41" s="1">
        <v>0</v>
      </c>
      <c r="O41" s="1">
        <v>0</v>
      </c>
      <c r="P41" s="1">
        <v>0</v>
      </c>
      <c r="Q41" s="1">
        <v>0</v>
      </c>
      <c r="R41" s="1">
        <v>0</v>
      </c>
      <c r="S41" s="1">
        <v>0</v>
      </c>
      <c r="T41" s="1">
        <v>0</v>
      </c>
      <c r="U41" s="1">
        <v>0</v>
      </c>
      <c r="V41" s="1">
        <v>0</v>
      </c>
      <c r="W41" s="1">
        <v>0</v>
      </c>
      <c r="X41" s="1">
        <v>0.25433618000000002</v>
      </c>
      <c r="Y41" s="1">
        <v>0.25900014999999998</v>
      </c>
      <c r="Z41" s="1">
        <v>0.25465970999999998</v>
      </c>
      <c r="AA41" s="1">
        <v>0.25588195000000002</v>
      </c>
      <c r="AB41" s="1">
        <v>0.11349024000000001</v>
      </c>
      <c r="AC41" s="1">
        <v>0</v>
      </c>
      <c r="AD41" s="1">
        <v>0.30704619</v>
      </c>
      <c r="AE41" s="1">
        <v>0.29404618999999999</v>
      </c>
      <c r="AF41" s="1">
        <v>0.26704619000000002</v>
      </c>
      <c r="AG41" s="1">
        <v>0.32454619000000001</v>
      </c>
      <c r="AH41" s="1">
        <v>0.34704618999999998</v>
      </c>
      <c r="AI41" s="1">
        <v>0.36954619</v>
      </c>
      <c r="AJ41" s="1">
        <v>0.32330642999999998</v>
      </c>
      <c r="AK41" s="1">
        <v>69.184246950000002</v>
      </c>
      <c r="AL41" s="1">
        <v>89.065246950000002</v>
      </c>
      <c r="AM41" s="1">
        <v>0</v>
      </c>
      <c r="AN41" s="1">
        <v>0.36453894999999997</v>
      </c>
      <c r="AO41" s="1">
        <v>4.5580139999999998E-2</v>
      </c>
      <c r="AP41" s="1">
        <v>2.9412529999999999E-2</v>
      </c>
      <c r="AQ41" s="1">
        <v>4.3398249999999999E-2</v>
      </c>
      <c r="AR41" s="1">
        <v>5.1951600000000001E-2</v>
      </c>
      <c r="AS41" s="1">
        <v>5.1719109999999999E-2</v>
      </c>
      <c r="AT41" s="1">
        <v>5.1835279999999997E-2</v>
      </c>
      <c r="AU41" s="1"/>
      <c r="AV41" s="1">
        <v>3.007874E-2</v>
      </c>
      <c r="AW41" s="1">
        <v>1.4454659999999999E-2</v>
      </c>
      <c r="AX41" s="1">
        <v>7.4184699999999999E-3</v>
      </c>
      <c r="AY41" s="1">
        <v>1.4454659999999999E-2</v>
      </c>
      <c r="AZ41" s="1">
        <v>2.2071449999999999E-2</v>
      </c>
      <c r="BA41" s="1">
        <v>88.875446949999997</v>
      </c>
      <c r="BB41" s="1">
        <v>0.32600441000000002</v>
      </c>
      <c r="BC41" s="1">
        <v>0</v>
      </c>
      <c r="BD41" s="1">
        <v>6.1523010000000003E-2</v>
      </c>
      <c r="BE41" s="1">
        <v>0</v>
      </c>
      <c r="BF41" s="1">
        <v>0</v>
      </c>
      <c r="BG41" s="1">
        <v>0</v>
      </c>
      <c r="BH41" s="1">
        <v>3.0285780000000002E-2</v>
      </c>
      <c r="BI41" s="1">
        <v>9.1412899999999998E-3</v>
      </c>
      <c r="BJ41" s="1">
        <v>1.6313660000000001E-2</v>
      </c>
      <c r="BK41" s="1">
        <v>0</v>
      </c>
      <c r="BL41" s="1">
        <v>0</v>
      </c>
      <c r="BM41" s="1">
        <v>6.7680050000000005E-2</v>
      </c>
      <c r="BN41" s="1">
        <v>3.8317669999999998E-2</v>
      </c>
      <c r="BO41" s="1">
        <v>0</v>
      </c>
      <c r="BP41" s="1">
        <v>1.78297E-2</v>
      </c>
      <c r="BQ41" s="1">
        <v>1.4886119999999999E-2</v>
      </c>
      <c r="BR41" s="1">
        <v>0</v>
      </c>
      <c r="BS41" s="1">
        <v>0</v>
      </c>
      <c r="BT41" s="1">
        <v>0</v>
      </c>
      <c r="BU41" s="1">
        <v>1.80859942</v>
      </c>
      <c r="BV41" s="1">
        <v>124.91642161</v>
      </c>
      <c r="BW41" s="1">
        <v>0</v>
      </c>
      <c r="BX41" s="1">
        <v>0</v>
      </c>
      <c r="BY41" s="1">
        <v>2.193759E-2</v>
      </c>
      <c r="BZ41" s="1">
        <v>1.79938844</v>
      </c>
      <c r="CA41" s="1">
        <v>0</v>
      </c>
      <c r="CB41" s="1">
        <v>0</v>
      </c>
      <c r="CC41" s="1">
        <v>2.0827459999999999E-2</v>
      </c>
      <c r="CD41" s="1">
        <v>5.121821E-2</v>
      </c>
      <c r="CE41">
        <v>8.1969599999999997E-3</v>
      </c>
      <c r="CF41">
        <v>1.8191539999999999E-2</v>
      </c>
      <c r="CG41">
        <v>3.6112699999999998E-2</v>
      </c>
      <c r="CH41">
        <v>3.7605859999999998E-2</v>
      </c>
      <c r="CI41">
        <v>0</v>
      </c>
      <c r="CJ41">
        <v>0</v>
      </c>
      <c r="CK41">
        <v>8.4348519999999996E-2</v>
      </c>
      <c r="CL41">
        <v>1</v>
      </c>
    </row>
    <row r="42" spans="1:90" x14ac:dyDescent="0.2">
      <c r="A42" s="8">
        <v>10080</v>
      </c>
      <c r="B42" s="1">
        <v>0</v>
      </c>
      <c r="C42" s="1">
        <v>0.26741059</v>
      </c>
      <c r="D42" s="1">
        <v>7.7046680000000006E-2</v>
      </c>
      <c r="E42" s="1">
        <v>0</v>
      </c>
      <c r="F42" s="1">
        <v>0</v>
      </c>
      <c r="G42" s="1">
        <v>0</v>
      </c>
      <c r="H42" s="1">
        <v>0</v>
      </c>
      <c r="I42" s="1">
        <v>0</v>
      </c>
      <c r="J42" s="1">
        <v>3.6355859999999997E-2</v>
      </c>
      <c r="K42" s="1">
        <v>6.3080239999999996E-2</v>
      </c>
      <c r="L42" s="1">
        <v>6.6284280000000001E-2</v>
      </c>
      <c r="M42" s="1">
        <v>5.2749980000000002E-2</v>
      </c>
      <c r="N42" s="1">
        <v>0</v>
      </c>
      <c r="O42" s="1">
        <v>0</v>
      </c>
      <c r="P42" s="1">
        <v>0</v>
      </c>
      <c r="Q42" s="1">
        <v>0</v>
      </c>
      <c r="R42" s="1">
        <v>0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0.26802239</v>
      </c>
      <c r="Y42" s="1">
        <v>0.27311590000000002</v>
      </c>
      <c r="Z42" s="1">
        <v>0.26834592000000002</v>
      </c>
      <c r="AA42" s="1">
        <v>0.26956815000000001</v>
      </c>
      <c r="AB42" s="1">
        <v>0.11522420999999999</v>
      </c>
      <c r="AC42" s="1">
        <v>0</v>
      </c>
      <c r="AD42" s="1">
        <v>0.32073235999999999</v>
      </c>
      <c r="AE42" s="1">
        <v>0.30773235999999998</v>
      </c>
      <c r="AF42" s="1">
        <v>0.28073236000000001</v>
      </c>
      <c r="AG42" s="1">
        <v>0.33823236000000001</v>
      </c>
      <c r="AH42" s="1">
        <v>0.36073235999999997</v>
      </c>
      <c r="AI42" s="1">
        <v>0.38323235999999999</v>
      </c>
      <c r="AJ42" s="1">
        <v>0.34747856999999999</v>
      </c>
      <c r="AK42" s="1">
        <v>75.68536168</v>
      </c>
      <c r="AL42" s="1">
        <v>95.56636168</v>
      </c>
      <c r="AM42" s="1">
        <v>0</v>
      </c>
      <c r="AN42" s="1">
        <v>0.39311706000000002</v>
      </c>
      <c r="AO42" s="1">
        <v>4.6531740000000002E-2</v>
      </c>
      <c r="AP42" s="1">
        <v>2.9374009999999999E-2</v>
      </c>
      <c r="AQ42" s="1">
        <v>4.4002649999999997E-2</v>
      </c>
      <c r="AR42" s="1">
        <v>5.290574E-2</v>
      </c>
      <c r="AS42" s="1">
        <v>5.2658620000000003E-2</v>
      </c>
      <c r="AT42" s="1">
        <v>5.2782099999999998E-2</v>
      </c>
      <c r="AU42" s="1"/>
      <c r="AV42" s="1">
        <v>3.004449E-2</v>
      </c>
      <c r="AW42" s="1">
        <v>1.4484479999999999E-2</v>
      </c>
      <c r="AX42" s="1">
        <v>7.5317400000000003E-3</v>
      </c>
      <c r="AY42" s="1">
        <v>1.4484479999999999E-2</v>
      </c>
      <c r="AZ42" s="1">
        <v>2.1804130000000001E-2</v>
      </c>
      <c r="BA42" s="1">
        <v>95.376561679999995</v>
      </c>
      <c r="BB42" s="1">
        <v>0.35040371999999997</v>
      </c>
      <c r="BC42" s="1">
        <v>0</v>
      </c>
      <c r="BD42" s="1">
        <v>6.2915479999999996E-2</v>
      </c>
      <c r="BE42" s="1">
        <v>0</v>
      </c>
      <c r="BF42" s="1">
        <v>0</v>
      </c>
      <c r="BG42" s="1">
        <v>0</v>
      </c>
      <c r="BH42" s="1">
        <v>3.0237460000000001E-2</v>
      </c>
      <c r="BI42" s="1">
        <v>9.2018800000000008E-3</v>
      </c>
      <c r="BJ42" s="1">
        <v>1.6271130000000002E-2</v>
      </c>
      <c r="BK42" s="1">
        <v>0</v>
      </c>
      <c r="BL42" s="1">
        <v>0</v>
      </c>
      <c r="BM42" s="1">
        <v>6.9458919999999993E-2</v>
      </c>
      <c r="BN42" s="1">
        <v>3.8373839999999999E-2</v>
      </c>
      <c r="BO42" s="1">
        <v>0</v>
      </c>
      <c r="BP42" s="1">
        <v>1.8056880000000001E-2</v>
      </c>
      <c r="BQ42" s="1">
        <v>1.4886119999999999E-2</v>
      </c>
      <c r="BR42" s="1">
        <v>0</v>
      </c>
      <c r="BS42" s="1">
        <v>0</v>
      </c>
      <c r="BT42" s="1">
        <v>0</v>
      </c>
      <c r="BU42" s="1">
        <v>1.83930376</v>
      </c>
      <c r="BV42" s="1">
        <v>132.77971453000001</v>
      </c>
      <c r="BW42" s="1">
        <v>0</v>
      </c>
      <c r="BX42" s="1">
        <v>0</v>
      </c>
      <c r="BY42" s="1">
        <v>2.2177970000000002E-2</v>
      </c>
      <c r="BZ42" s="1">
        <v>1.81665991</v>
      </c>
      <c r="CA42" s="1">
        <v>0</v>
      </c>
      <c r="CB42" s="1">
        <v>0</v>
      </c>
      <c r="CC42" s="1">
        <v>2.091266E-2</v>
      </c>
      <c r="CD42" s="1">
        <v>5.1043749999999999E-2</v>
      </c>
      <c r="CE42">
        <v>8.4503700000000005E-3</v>
      </c>
      <c r="CF42">
        <v>1.8425500000000001E-2</v>
      </c>
      <c r="CG42">
        <v>3.6139860000000003E-2</v>
      </c>
      <c r="CH42">
        <v>3.7647849999999997E-2</v>
      </c>
      <c r="CI42">
        <v>0</v>
      </c>
      <c r="CJ42">
        <v>0</v>
      </c>
      <c r="CK42">
        <v>8.4494109999999997E-2</v>
      </c>
      <c r="CL42">
        <v>1</v>
      </c>
    </row>
    <row r="43" spans="1:90" x14ac:dyDescent="0.2">
      <c r="A43" s="8">
        <v>10440</v>
      </c>
      <c r="B43" s="1">
        <v>0</v>
      </c>
      <c r="C43" s="1">
        <v>0.28197302000000002</v>
      </c>
      <c r="D43" s="1">
        <v>7.7072160000000001E-2</v>
      </c>
      <c r="E43" s="1">
        <v>0</v>
      </c>
      <c r="F43" s="1">
        <v>0</v>
      </c>
      <c r="G43" s="1">
        <v>0</v>
      </c>
      <c r="H43" s="1">
        <v>0</v>
      </c>
      <c r="I43" s="1">
        <v>0</v>
      </c>
      <c r="J43" s="1">
        <v>3.6363800000000002E-2</v>
      </c>
      <c r="K43" s="1">
        <v>6.4435110000000004E-2</v>
      </c>
      <c r="L43" s="1">
        <v>6.7914730000000006E-2</v>
      </c>
      <c r="M43" s="1">
        <v>5.3877790000000002E-2</v>
      </c>
      <c r="N43" s="1">
        <v>0</v>
      </c>
      <c r="O43" s="1">
        <v>0</v>
      </c>
      <c r="P43" s="1">
        <v>0</v>
      </c>
      <c r="Q43" s="1">
        <v>0</v>
      </c>
      <c r="R43" s="1">
        <v>0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0.28258485999999999</v>
      </c>
      <c r="Y43" s="1">
        <v>0.28814363999999998</v>
      </c>
      <c r="Z43" s="1">
        <v>0.28290839000000001</v>
      </c>
      <c r="AA43" s="1">
        <v>0.28413063</v>
      </c>
      <c r="AB43" s="1">
        <v>0.1170571</v>
      </c>
      <c r="AC43" s="1">
        <v>0</v>
      </c>
      <c r="AD43" s="1">
        <v>0.33529478000000001</v>
      </c>
      <c r="AE43" s="1">
        <v>0.32229478</v>
      </c>
      <c r="AF43" s="1">
        <v>0.29529477999999998</v>
      </c>
      <c r="AG43" s="1">
        <v>0.35279477999999997</v>
      </c>
      <c r="AH43" s="1">
        <v>0.37529477999999999</v>
      </c>
      <c r="AI43" s="1">
        <v>0.39779478000000001</v>
      </c>
      <c r="AJ43" s="1">
        <v>0.37381114999999998</v>
      </c>
      <c r="AK43" s="1">
        <v>82.741704409999997</v>
      </c>
      <c r="AL43" s="1">
        <v>102.62270441</v>
      </c>
      <c r="AM43" s="1">
        <v>0</v>
      </c>
      <c r="AN43" s="1">
        <v>0.42448623000000002</v>
      </c>
      <c r="AO43" s="1">
        <v>4.7510940000000002E-2</v>
      </c>
      <c r="AP43" s="1">
        <v>2.9334120000000002E-2</v>
      </c>
      <c r="AQ43" s="1">
        <v>4.4615639999999998E-2</v>
      </c>
      <c r="AR43" s="1">
        <v>5.3881320000000003E-2</v>
      </c>
      <c r="AS43" s="1">
        <v>5.3618869999999999E-2</v>
      </c>
      <c r="AT43" s="1">
        <v>5.3749999999999999E-2</v>
      </c>
      <c r="AU43" s="1"/>
      <c r="AV43" s="1">
        <v>3.004977E-2</v>
      </c>
      <c r="AW43" s="1">
        <v>1.4523329999999999E-2</v>
      </c>
      <c r="AX43" s="1">
        <v>7.6217400000000001E-3</v>
      </c>
      <c r="AY43" s="1">
        <v>1.4523329999999999E-2</v>
      </c>
      <c r="AZ43" s="1">
        <v>2.1528289999999999E-2</v>
      </c>
      <c r="BA43" s="1">
        <v>102.43290441000001</v>
      </c>
      <c r="BB43" s="1">
        <v>0.37698420999999999</v>
      </c>
      <c r="BC43" s="1">
        <v>0</v>
      </c>
      <c r="BD43" s="1">
        <v>6.4348639999999999E-2</v>
      </c>
      <c r="BE43" s="1">
        <v>0</v>
      </c>
      <c r="BF43" s="1">
        <v>0</v>
      </c>
      <c r="BG43" s="1">
        <v>0</v>
      </c>
      <c r="BH43" s="1">
        <v>3.0176100000000001E-2</v>
      </c>
      <c r="BI43" s="1">
        <v>9.25431E-3</v>
      </c>
      <c r="BJ43" s="1">
        <v>1.6226129999999998E-2</v>
      </c>
      <c r="BK43" s="1">
        <v>0</v>
      </c>
      <c r="BL43" s="1">
        <v>0</v>
      </c>
      <c r="BM43" s="1">
        <v>7.1300199999999994E-2</v>
      </c>
      <c r="BN43" s="1">
        <v>3.842872E-2</v>
      </c>
      <c r="BO43" s="1">
        <v>0</v>
      </c>
      <c r="BP43" s="1">
        <v>1.8288200000000001E-2</v>
      </c>
      <c r="BQ43" s="1">
        <v>1.4886119999999999E-2</v>
      </c>
      <c r="BR43" s="1">
        <v>0</v>
      </c>
      <c r="BS43" s="1">
        <v>0</v>
      </c>
      <c r="BT43" s="1">
        <v>0</v>
      </c>
      <c r="BU43" s="1">
        <v>1.87055846</v>
      </c>
      <c r="BV43" s="1">
        <v>141.12144511</v>
      </c>
      <c r="BW43" s="1">
        <v>0</v>
      </c>
      <c r="BX43" s="1">
        <v>0</v>
      </c>
      <c r="BY43" s="1">
        <v>2.2422069999999999E-2</v>
      </c>
      <c r="BZ43" s="1">
        <v>1.83384273</v>
      </c>
      <c r="CA43" s="1">
        <v>0</v>
      </c>
      <c r="CB43" s="1">
        <v>0</v>
      </c>
      <c r="CC43" s="1">
        <v>2.1013500000000001E-2</v>
      </c>
      <c r="CD43" s="1">
        <v>5.0881139999999998E-2</v>
      </c>
      <c r="CE43">
        <v>8.7084099999999998E-3</v>
      </c>
      <c r="CF43">
        <v>1.866377E-2</v>
      </c>
      <c r="CG43">
        <v>3.6166160000000003E-2</v>
      </c>
      <c r="CH43">
        <v>3.768092E-2</v>
      </c>
      <c r="CI43">
        <v>0</v>
      </c>
      <c r="CJ43">
        <v>0</v>
      </c>
      <c r="CK43">
        <v>8.46306E-2</v>
      </c>
      <c r="CL43">
        <v>1</v>
      </c>
    </row>
    <row r="44" spans="1:90" x14ac:dyDescent="0.2">
      <c r="A44" s="8">
        <v>10800</v>
      </c>
      <c r="B44" s="1">
        <v>0</v>
      </c>
      <c r="C44" s="1">
        <v>0.29734466999999998</v>
      </c>
      <c r="D44" s="1">
        <v>7.7092889999999997E-2</v>
      </c>
      <c r="E44" s="1">
        <v>0</v>
      </c>
      <c r="F44" s="1">
        <v>0</v>
      </c>
      <c r="G44" s="1">
        <v>0</v>
      </c>
      <c r="H44" s="1">
        <v>0</v>
      </c>
      <c r="I44" s="1">
        <v>0</v>
      </c>
      <c r="J44" s="1">
        <v>3.6371189999999998E-2</v>
      </c>
      <c r="K44" s="1">
        <v>6.5825930000000005E-2</v>
      </c>
      <c r="L44" s="1">
        <v>6.9436490000000003E-2</v>
      </c>
      <c r="M44" s="1">
        <v>5.4898790000000003E-2</v>
      </c>
      <c r="N44" s="1">
        <v>0</v>
      </c>
      <c r="O44" s="1">
        <v>0</v>
      </c>
      <c r="P44" s="1">
        <v>0</v>
      </c>
      <c r="Q44" s="1">
        <v>0</v>
      </c>
      <c r="R44" s="1">
        <v>0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0.29795649000000002</v>
      </c>
      <c r="Y44" s="1">
        <v>0.30401676999999999</v>
      </c>
      <c r="Z44" s="1">
        <v>0.29828001999999998</v>
      </c>
      <c r="AA44" s="1">
        <v>0.29950226000000002</v>
      </c>
      <c r="AB44" s="1">
        <v>0.11961686000000001</v>
      </c>
      <c r="AC44" s="1">
        <v>0</v>
      </c>
      <c r="AD44" s="1">
        <v>0.35066642999999997</v>
      </c>
      <c r="AE44" s="1">
        <v>0.33766643000000002</v>
      </c>
      <c r="AF44" s="1">
        <v>0.31066642999999999</v>
      </c>
      <c r="AG44" s="1">
        <v>0.36816642999999999</v>
      </c>
      <c r="AH44" s="1">
        <v>0.39066643000000001</v>
      </c>
      <c r="AI44" s="1">
        <v>0.41316642999999997</v>
      </c>
      <c r="AJ44" s="1">
        <v>0.40244892999999998</v>
      </c>
      <c r="AK44" s="1">
        <v>90.386490129999999</v>
      </c>
      <c r="AL44" s="1">
        <v>110.26749013</v>
      </c>
      <c r="AM44" s="1">
        <v>0</v>
      </c>
      <c r="AN44" s="1">
        <v>0.45895585999999999</v>
      </c>
      <c r="AO44" s="1">
        <v>4.8518680000000002E-2</v>
      </c>
      <c r="AP44" s="1">
        <v>2.9293199999999998E-2</v>
      </c>
      <c r="AQ44" s="1">
        <v>4.5237310000000003E-2</v>
      </c>
      <c r="AR44" s="1">
        <v>5.487885E-2</v>
      </c>
      <c r="AS44" s="1">
        <v>5.4600349999999999E-2</v>
      </c>
      <c r="AT44" s="1">
        <v>5.4739500000000003E-2</v>
      </c>
      <c r="AU44" s="1"/>
      <c r="AV44" s="1">
        <v>3.0105E-2</v>
      </c>
      <c r="AW44" s="1">
        <v>1.4578000000000001E-2</v>
      </c>
      <c r="AX44" s="1">
        <v>7.6880000000000004E-3</v>
      </c>
      <c r="AY44" s="1">
        <v>1.4578000000000001E-2</v>
      </c>
      <c r="AZ44" s="1">
        <v>2.1248659999999999E-2</v>
      </c>
      <c r="BA44" s="1">
        <v>110.07769012999999</v>
      </c>
      <c r="BB44" s="1">
        <v>0.40589203000000001</v>
      </c>
      <c r="BC44" s="1">
        <v>0</v>
      </c>
      <c r="BD44" s="1">
        <v>6.5823850000000003E-2</v>
      </c>
      <c r="BE44" s="1">
        <v>0</v>
      </c>
      <c r="BF44" s="1">
        <v>0</v>
      </c>
      <c r="BG44" s="1">
        <v>0</v>
      </c>
      <c r="BH44" s="1">
        <v>3.0099999999999998E-2</v>
      </c>
      <c r="BI44" s="1">
        <v>9.2999999999999992E-3</v>
      </c>
      <c r="BJ44" s="1">
        <v>1.618E-2</v>
      </c>
      <c r="BK44" s="1">
        <v>0</v>
      </c>
      <c r="BL44" s="1">
        <v>0</v>
      </c>
      <c r="BM44" s="1">
        <v>7.3206450000000006E-2</v>
      </c>
      <c r="BN44" s="1">
        <v>3.848236E-2</v>
      </c>
      <c r="BO44" s="1">
        <v>0</v>
      </c>
      <c r="BP44" s="1">
        <v>1.852376E-2</v>
      </c>
      <c r="BQ44" s="1">
        <v>1.4886119999999999E-2</v>
      </c>
      <c r="BR44" s="1">
        <v>0</v>
      </c>
      <c r="BS44" s="1">
        <v>0</v>
      </c>
      <c r="BT44" s="1">
        <v>0</v>
      </c>
      <c r="BU44" s="1">
        <v>1.9023695199999999</v>
      </c>
      <c r="BV44" s="1">
        <v>149.96965477000001</v>
      </c>
      <c r="BW44" s="1">
        <v>0</v>
      </c>
      <c r="BX44" s="1">
        <v>0</v>
      </c>
      <c r="BY44" s="1">
        <v>2.2669959999999999E-2</v>
      </c>
      <c r="BZ44" s="1">
        <v>1.8509312600000001</v>
      </c>
      <c r="CA44" s="1">
        <v>0</v>
      </c>
      <c r="CB44" s="1">
        <v>0</v>
      </c>
      <c r="CC44" s="1">
        <v>2.1138629999999999E-2</v>
      </c>
      <c r="CD44" s="1">
        <v>5.0785169999999998E-2</v>
      </c>
      <c r="CE44">
        <v>8.97126E-3</v>
      </c>
      <c r="CF44">
        <v>1.8906450000000002E-2</v>
      </c>
      <c r="CG44">
        <v>3.6191649999999999E-2</v>
      </c>
      <c r="CH44">
        <v>3.7684889999999999E-2</v>
      </c>
      <c r="CI44">
        <v>0</v>
      </c>
      <c r="CJ44">
        <v>0</v>
      </c>
      <c r="CK44">
        <v>8.4758349999999996E-2</v>
      </c>
      <c r="CL44">
        <v>1</v>
      </c>
    </row>
    <row r="45" spans="1:90" x14ac:dyDescent="0.2">
      <c r="A45" s="8">
        <v>11160</v>
      </c>
      <c r="B45" s="1">
        <v>0</v>
      </c>
      <c r="C45" s="1">
        <v>0.31318972</v>
      </c>
      <c r="D45" s="1">
        <v>7.7100479999999999E-2</v>
      </c>
      <c r="E45" s="1">
        <v>0</v>
      </c>
      <c r="F45" s="1">
        <v>0</v>
      </c>
      <c r="G45" s="1">
        <v>0</v>
      </c>
      <c r="H45" s="1">
        <v>0</v>
      </c>
      <c r="I45" s="1">
        <v>0</v>
      </c>
      <c r="J45" s="1">
        <v>3.6378059999999997E-2</v>
      </c>
      <c r="K45" s="1">
        <v>6.7253759999999996E-2</v>
      </c>
      <c r="L45" s="1">
        <v>7.1000179999999996E-2</v>
      </c>
      <c r="M45" s="1">
        <v>5.594383E-2</v>
      </c>
      <c r="N45" s="1">
        <v>0</v>
      </c>
      <c r="O45" s="1">
        <v>0</v>
      </c>
      <c r="P45" s="1">
        <v>0</v>
      </c>
      <c r="Q45" s="1">
        <v>0</v>
      </c>
      <c r="R45" s="1">
        <v>0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0.31380159000000002</v>
      </c>
      <c r="Y45" s="1">
        <v>0.32039456999999999</v>
      </c>
      <c r="Z45" s="1">
        <v>0.31412511999999998</v>
      </c>
      <c r="AA45" s="1">
        <v>0.31534736000000002</v>
      </c>
      <c r="AB45" s="1">
        <v>0.12346943000000001</v>
      </c>
      <c r="AC45" s="1">
        <v>0</v>
      </c>
      <c r="AD45" s="1">
        <v>0.36651149</v>
      </c>
      <c r="AE45" s="1">
        <v>0.35351148999999998</v>
      </c>
      <c r="AF45" s="1">
        <v>0.32651149000000002</v>
      </c>
      <c r="AG45" s="1">
        <v>0.38401149000000001</v>
      </c>
      <c r="AH45" s="1">
        <v>0.40651148999999998</v>
      </c>
      <c r="AI45" s="1">
        <v>0.42901149</v>
      </c>
      <c r="AJ45" s="1">
        <v>0</v>
      </c>
      <c r="AK45" s="1">
        <v>0</v>
      </c>
      <c r="AL45" s="1">
        <v>0</v>
      </c>
      <c r="AM45" s="1">
        <v>0</v>
      </c>
      <c r="AN45" s="1">
        <v>0</v>
      </c>
      <c r="AO45" s="1">
        <v>4.9422439999999998E-2</v>
      </c>
      <c r="AP45" s="1">
        <v>2.9251570000000001E-2</v>
      </c>
      <c r="AQ45" s="1">
        <v>4.584216E-2</v>
      </c>
      <c r="AR45" s="1">
        <v>0</v>
      </c>
      <c r="AS45" s="1">
        <v>0</v>
      </c>
      <c r="AT45" s="1">
        <v>0</v>
      </c>
      <c r="AU45" s="1"/>
      <c r="AV45" s="1">
        <v>0</v>
      </c>
      <c r="AW45" s="1">
        <v>0</v>
      </c>
      <c r="AX45" s="1">
        <v>0</v>
      </c>
      <c r="AY45" s="1">
        <v>0</v>
      </c>
      <c r="AZ45" s="1">
        <v>2.0968839999999999E-2</v>
      </c>
      <c r="BA45" s="1">
        <v>0</v>
      </c>
      <c r="BB45" s="1">
        <v>0</v>
      </c>
      <c r="BC45" s="1">
        <v>0</v>
      </c>
      <c r="BD45" s="1">
        <v>0</v>
      </c>
      <c r="BE45" s="1">
        <v>0</v>
      </c>
      <c r="BF45" s="1">
        <v>0</v>
      </c>
      <c r="BG45" s="1">
        <v>0</v>
      </c>
      <c r="BH45" s="1">
        <v>0</v>
      </c>
      <c r="BI45" s="1">
        <v>0</v>
      </c>
      <c r="BJ45" s="1">
        <v>0</v>
      </c>
      <c r="BK45" s="1">
        <v>0</v>
      </c>
      <c r="BL45" s="1">
        <v>0</v>
      </c>
      <c r="BM45" s="1">
        <v>0</v>
      </c>
      <c r="BN45" s="1">
        <v>0</v>
      </c>
      <c r="BO45" s="1">
        <v>0</v>
      </c>
      <c r="BP45" s="1">
        <v>1.8691920000000001E-2</v>
      </c>
      <c r="BQ45" s="1">
        <v>0</v>
      </c>
      <c r="BR45" s="1">
        <v>0</v>
      </c>
      <c r="BS45" s="1">
        <v>0</v>
      </c>
      <c r="BT45" s="1">
        <v>0</v>
      </c>
      <c r="BU45" s="1">
        <v>0</v>
      </c>
      <c r="BV45" s="1">
        <v>0</v>
      </c>
      <c r="BW45" s="1">
        <v>0</v>
      </c>
      <c r="BX45" s="1">
        <v>0</v>
      </c>
      <c r="BY45" s="1">
        <v>2.277997E-2</v>
      </c>
      <c r="BZ45" s="1">
        <v>1.87211694</v>
      </c>
      <c r="CA45" s="1">
        <v>0</v>
      </c>
      <c r="CB45" s="1">
        <v>0</v>
      </c>
      <c r="CC45" s="1">
        <v>0</v>
      </c>
      <c r="CD45" s="1">
        <v>5.0795310000000003E-2</v>
      </c>
      <c r="CE45">
        <v>0</v>
      </c>
      <c r="CF45">
        <v>0</v>
      </c>
      <c r="CG45">
        <v>0</v>
      </c>
      <c r="CH45">
        <v>3.7688579999999999E-2</v>
      </c>
      <c r="CI45">
        <v>0</v>
      </c>
      <c r="CJ45">
        <v>0</v>
      </c>
      <c r="CK45">
        <v>0</v>
      </c>
      <c r="CL45">
        <v>1</v>
      </c>
    </row>
    <row r="46" spans="1:90" x14ac:dyDescent="0.2">
      <c r="A46" s="8">
        <v>11520</v>
      </c>
      <c r="B46" s="1">
        <v>0</v>
      </c>
      <c r="C46" s="1">
        <v>0</v>
      </c>
      <c r="D46" s="1">
        <v>0</v>
      </c>
      <c r="E46" s="1">
        <v>0</v>
      </c>
      <c r="F46" s="1">
        <v>0</v>
      </c>
      <c r="G46" s="1">
        <v>0</v>
      </c>
      <c r="H46" s="1">
        <v>0</v>
      </c>
      <c r="I46" s="1">
        <v>0</v>
      </c>
      <c r="J46" s="1">
        <v>3.6384479999999997E-2</v>
      </c>
      <c r="K46" s="1">
        <v>6.8719660000000002E-2</v>
      </c>
      <c r="L46" s="1">
        <v>7.2607060000000001E-2</v>
      </c>
      <c r="M46" s="1">
        <v>5.7013510000000003E-2</v>
      </c>
      <c r="N46" s="1">
        <v>0</v>
      </c>
      <c r="O46" s="1">
        <v>0</v>
      </c>
      <c r="P46" s="1">
        <v>0</v>
      </c>
      <c r="Q46" s="1">
        <v>0</v>
      </c>
      <c r="R46" s="1">
        <v>0</v>
      </c>
      <c r="S46" s="1">
        <v>0</v>
      </c>
      <c r="T46" s="1">
        <v>0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0.12747038999999999</v>
      </c>
      <c r="AC46" s="1">
        <v>0</v>
      </c>
      <c r="AD46" s="1">
        <v>0</v>
      </c>
      <c r="AE46" s="1">
        <v>0</v>
      </c>
      <c r="AF46" s="1">
        <v>0</v>
      </c>
      <c r="AG46" s="1">
        <v>0</v>
      </c>
      <c r="AH46" s="1">
        <v>0</v>
      </c>
      <c r="AI46" s="1">
        <v>0</v>
      </c>
      <c r="AJ46" s="1">
        <v>0</v>
      </c>
      <c r="AK46" s="1">
        <v>0</v>
      </c>
      <c r="AL46" s="1">
        <v>0</v>
      </c>
      <c r="AM46" s="1">
        <v>0</v>
      </c>
      <c r="AN46" s="1">
        <v>0</v>
      </c>
      <c r="AO46" s="1">
        <v>5.0285290000000003E-2</v>
      </c>
      <c r="AP46" s="1">
        <v>2.920942E-2</v>
      </c>
      <c r="AQ46" s="1">
        <v>4.643394E-2</v>
      </c>
      <c r="AR46" s="1">
        <v>0</v>
      </c>
      <c r="AS46" s="1">
        <v>0</v>
      </c>
      <c r="AT46" s="1">
        <v>0</v>
      </c>
      <c r="AU46" s="1"/>
      <c r="AV46" s="1">
        <v>0</v>
      </c>
      <c r="AW46" s="1">
        <v>0</v>
      </c>
      <c r="AX46" s="1">
        <v>0</v>
      </c>
      <c r="AY46" s="1">
        <v>0</v>
      </c>
      <c r="AZ46" s="1">
        <v>2.0692459999999999E-2</v>
      </c>
      <c r="BA46" s="1">
        <v>0</v>
      </c>
      <c r="BB46" s="1">
        <v>0</v>
      </c>
      <c r="BC46" s="1">
        <v>0</v>
      </c>
      <c r="BD46" s="1">
        <v>0</v>
      </c>
      <c r="BE46" s="1">
        <v>0</v>
      </c>
      <c r="BF46" s="1">
        <v>0</v>
      </c>
      <c r="BG46" s="1">
        <v>0</v>
      </c>
      <c r="BH46" s="1">
        <v>0</v>
      </c>
      <c r="BI46" s="1">
        <v>0</v>
      </c>
      <c r="BJ46" s="1">
        <v>0</v>
      </c>
      <c r="BK46" s="1">
        <v>0</v>
      </c>
      <c r="BL46" s="1">
        <v>0</v>
      </c>
      <c r="BM46" s="1">
        <v>0</v>
      </c>
      <c r="BN46" s="1">
        <v>0</v>
      </c>
      <c r="BO46" s="1">
        <v>0</v>
      </c>
      <c r="BP46" s="1">
        <v>1.8805309999999999E-2</v>
      </c>
      <c r="BQ46" s="1">
        <v>0</v>
      </c>
      <c r="BR46" s="1">
        <v>0</v>
      </c>
      <c r="BS46" s="1">
        <v>0</v>
      </c>
      <c r="BT46" s="1">
        <v>0</v>
      </c>
      <c r="BU46" s="1">
        <v>0</v>
      </c>
      <c r="BV46" s="1">
        <v>0</v>
      </c>
      <c r="BW46" s="1">
        <v>0</v>
      </c>
      <c r="BX46" s="1">
        <v>0</v>
      </c>
      <c r="BY46" s="1">
        <v>0</v>
      </c>
      <c r="BZ46" s="1">
        <v>0</v>
      </c>
      <c r="CA46" s="1">
        <v>0</v>
      </c>
      <c r="CB46" s="1">
        <v>0</v>
      </c>
      <c r="CC46" s="1">
        <v>0</v>
      </c>
      <c r="CD46" s="1">
        <v>5.0804759999999997E-2</v>
      </c>
      <c r="CE46">
        <v>0</v>
      </c>
      <c r="CF46">
        <v>0</v>
      </c>
      <c r="CG46">
        <v>0</v>
      </c>
      <c r="CH46">
        <v>3.7692009999999998E-2</v>
      </c>
      <c r="CI46">
        <v>0</v>
      </c>
      <c r="CJ46">
        <v>0</v>
      </c>
      <c r="CK46">
        <v>0</v>
      </c>
      <c r="CL46">
        <v>1</v>
      </c>
    </row>
    <row r="47" spans="1:90" x14ac:dyDescent="0.2">
      <c r="A47" s="8">
        <v>11880</v>
      </c>
      <c r="B47" s="1">
        <v>0</v>
      </c>
      <c r="C47" s="1">
        <v>0</v>
      </c>
      <c r="D47" s="1">
        <v>0</v>
      </c>
      <c r="E47" s="1">
        <v>0</v>
      </c>
      <c r="F47" s="1">
        <v>0</v>
      </c>
      <c r="G47" s="1">
        <v>0</v>
      </c>
      <c r="H47" s="1">
        <v>0</v>
      </c>
      <c r="I47" s="1">
        <v>0</v>
      </c>
      <c r="J47" s="1">
        <v>0</v>
      </c>
      <c r="K47" s="1">
        <v>0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>
        <v>0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0.13162591000000001</v>
      </c>
      <c r="AC47" s="1">
        <v>0</v>
      </c>
      <c r="AD47" s="1">
        <v>0</v>
      </c>
      <c r="AE47" s="1">
        <v>0</v>
      </c>
      <c r="AF47" s="1">
        <v>0</v>
      </c>
      <c r="AG47" s="1">
        <v>0</v>
      </c>
      <c r="AH47" s="1">
        <v>0</v>
      </c>
      <c r="AI47" s="1">
        <v>0</v>
      </c>
      <c r="AJ47" s="1">
        <v>0</v>
      </c>
      <c r="AK47" s="1">
        <v>0</v>
      </c>
      <c r="AL47" s="1">
        <v>0</v>
      </c>
      <c r="AM47" s="1">
        <v>0</v>
      </c>
      <c r="AN47" s="1">
        <v>0</v>
      </c>
      <c r="AO47" s="1">
        <v>5.1166860000000002E-2</v>
      </c>
      <c r="AP47" s="1">
        <v>2.916682E-2</v>
      </c>
      <c r="AQ47" s="1">
        <v>4.7032119999999997E-2</v>
      </c>
      <c r="AR47" s="1">
        <v>0</v>
      </c>
      <c r="AS47" s="1">
        <v>0</v>
      </c>
      <c r="AT47" s="1">
        <v>0</v>
      </c>
      <c r="AU47" s="1"/>
      <c r="AV47" s="1">
        <v>0</v>
      </c>
      <c r="AW47" s="1">
        <v>0</v>
      </c>
      <c r="AX47" s="1">
        <v>0</v>
      </c>
      <c r="AY47" s="1">
        <v>0</v>
      </c>
      <c r="AZ47" s="1">
        <v>2.0423150000000001E-2</v>
      </c>
      <c r="BA47" s="1">
        <v>0</v>
      </c>
      <c r="BB47" s="1">
        <v>0</v>
      </c>
      <c r="BC47" s="1">
        <v>0</v>
      </c>
      <c r="BD47" s="1">
        <v>0</v>
      </c>
      <c r="BE47" s="1">
        <v>0</v>
      </c>
      <c r="BF47" s="1">
        <v>0</v>
      </c>
      <c r="BG47" s="1">
        <v>0</v>
      </c>
      <c r="BH47" s="1">
        <v>0</v>
      </c>
      <c r="BI47" s="1">
        <v>0</v>
      </c>
      <c r="BJ47" s="1">
        <v>0</v>
      </c>
      <c r="BK47" s="1">
        <v>0</v>
      </c>
      <c r="BL47" s="1">
        <v>0</v>
      </c>
      <c r="BM47" s="1">
        <v>0</v>
      </c>
      <c r="BN47" s="1">
        <v>0</v>
      </c>
      <c r="BO47" s="1">
        <v>0</v>
      </c>
      <c r="BP47" s="1">
        <v>1.8919209999999999E-2</v>
      </c>
      <c r="BQ47" s="1">
        <v>0</v>
      </c>
      <c r="BR47" s="1">
        <v>0</v>
      </c>
      <c r="BS47" s="1">
        <v>0</v>
      </c>
      <c r="BT47" s="1">
        <v>0</v>
      </c>
      <c r="BU47" s="1">
        <v>0</v>
      </c>
      <c r="BV47" s="1">
        <v>0</v>
      </c>
      <c r="BW47" s="1">
        <v>0</v>
      </c>
      <c r="BX47" s="1">
        <v>0</v>
      </c>
      <c r="BY47" s="1">
        <v>0</v>
      </c>
      <c r="BZ47" s="1">
        <v>0</v>
      </c>
      <c r="CA47" s="1">
        <v>0</v>
      </c>
      <c r="CB47" s="1">
        <v>0</v>
      </c>
      <c r="CC47" s="1">
        <v>0</v>
      </c>
      <c r="CD47" s="1">
        <v>5.0813579999999997E-2</v>
      </c>
      <c r="CE47">
        <v>0</v>
      </c>
      <c r="CF47">
        <v>0</v>
      </c>
      <c r="CG47">
        <v>0</v>
      </c>
      <c r="CH47">
        <v>0</v>
      </c>
      <c r="CI47">
        <v>0</v>
      </c>
      <c r="CJ47">
        <v>0</v>
      </c>
      <c r="CK47">
        <v>0</v>
      </c>
      <c r="CL47">
        <v>1</v>
      </c>
    </row>
    <row r="52" spans="41:44" x14ac:dyDescent="0.2">
      <c r="AO52">
        <v>1</v>
      </c>
      <c r="AP52">
        <v>7.9060000000000005E-2</v>
      </c>
      <c r="AQ52">
        <f>VLOOKUP(AO52,$A$1:$AR$47,44,0)</f>
        <v>2.4102370000000001E-2</v>
      </c>
      <c r="AR52">
        <f>AQ52/AP52</f>
        <v>0.30486175056918796</v>
      </c>
    </row>
    <row r="53" spans="41:44" x14ac:dyDescent="0.2">
      <c r="AO53">
        <v>7</v>
      </c>
      <c r="AP53">
        <v>7.8088870000000005E-2</v>
      </c>
      <c r="AQ53">
        <f t="shared" ref="AQ53:AQ71" si="0">VLOOKUP(AO53,$A$1:$AR$47,44,0)</f>
        <v>2.4112390000000001E-2</v>
      </c>
      <c r="AR53">
        <f t="shared" ref="AR53:AR71" si="1">AQ53/AP53</f>
        <v>0.30878139227779833</v>
      </c>
    </row>
    <row r="54" spans="41:44" x14ac:dyDescent="0.2">
      <c r="AO54">
        <v>30</v>
      </c>
      <c r="AP54">
        <v>7.7092640000000004E-2</v>
      </c>
      <c r="AQ54">
        <f t="shared" si="0"/>
        <v>2.4150830000000002E-2</v>
      </c>
      <c r="AR54">
        <f t="shared" si="1"/>
        <v>0.31327024213984628</v>
      </c>
    </row>
    <row r="55" spans="41:44" x14ac:dyDescent="0.2">
      <c r="AO55">
        <v>90</v>
      </c>
      <c r="AP55">
        <v>7.8969999999999999E-2</v>
      </c>
      <c r="AQ55">
        <f t="shared" si="0"/>
        <v>2.4751769999999999E-2</v>
      </c>
      <c r="AR55">
        <f t="shared" si="1"/>
        <v>0.31343256933012537</v>
      </c>
    </row>
    <row r="56" spans="41:44" x14ac:dyDescent="0.2">
      <c r="AO56">
        <v>180</v>
      </c>
      <c r="AP56">
        <v>7.9882640000000005E-2</v>
      </c>
      <c r="AQ56">
        <f t="shared" si="0"/>
        <v>2.5462439999999999E-2</v>
      </c>
      <c r="AR56">
        <f t="shared" si="1"/>
        <v>0.3187481034677872</v>
      </c>
    </row>
    <row r="57" spans="41:44" x14ac:dyDescent="0.2">
      <c r="AO57">
        <v>270</v>
      </c>
      <c r="AP57">
        <v>8.0423999999999995E-2</v>
      </c>
      <c r="AQ57">
        <f t="shared" si="0"/>
        <v>2.6220750000000001E-2</v>
      </c>
      <c r="AR57">
        <f t="shared" si="1"/>
        <v>0.32603140853476575</v>
      </c>
    </row>
    <row r="58" spans="41:44" x14ac:dyDescent="0.2">
      <c r="AO58">
        <v>360</v>
      </c>
      <c r="AP58">
        <v>8.0636340000000001E-2</v>
      </c>
      <c r="AQ58">
        <f t="shared" si="0"/>
        <v>2.6904129999999998E-2</v>
      </c>
      <c r="AR58">
        <f t="shared" si="1"/>
        <v>0.33364770772086133</v>
      </c>
    </row>
    <row r="59" spans="41:44" x14ac:dyDescent="0.2">
      <c r="AO59">
        <v>720</v>
      </c>
      <c r="AP59">
        <v>8.1110169999999995E-2</v>
      </c>
      <c r="AQ59">
        <f t="shared" si="0"/>
        <v>2.9372140000000001E-2</v>
      </c>
      <c r="AR59">
        <f t="shared" si="1"/>
        <v>0.36212647563184741</v>
      </c>
    </row>
    <row r="60" spans="41:44" x14ac:dyDescent="0.2">
      <c r="AO60">
        <v>1080</v>
      </c>
      <c r="AP60">
        <v>8.4750539999999999E-2</v>
      </c>
      <c r="AQ60">
        <f t="shared" si="0"/>
        <v>3.1363509999999997E-2</v>
      </c>
      <c r="AR60">
        <f t="shared" si="1"/>
        <v>0.37006855649533321</v>
      </c>
    </row>
    <row r="61" spans="41:44" x14ac:dyDescent="0.2">
      <c r="AO61">
        <v>1440</v>
      </c>
      <c r="AP61">
        <v>8.7997839999999994E-2</v>
      </c>
      <c r="AQ61">
        <f t="shared" si="0"/>
        <v>3.289272E-2</v>
      </c>
      <c r="AR61">
        <f t="shared" si="1"/>
        <v>0.37379008393842394</v>
      </c>
    </row>
    <row r="62" spans="41:44" x14ac:dyDescent="0.2">
      <c r="AO62">
        <v>1800</v>
      </c>
      <c r="AP62">
        <v>9.1313430000000001E-2</v>
      </c>
      <c r="AQ62">
        <f t="shared" si="0"/>
        <v>3.3510709999999999E-2</v>
      </c>
      <c r="AR62">
        <f t="shared" si="1"/>
        <v>0.36698555732710947</v>
      </c>
    </row>
    <row r="63" spans="41:44" x14ac:dyDescent="0.2">
      <c r="AO63">
        <v>2160</v>
      </c>
      <c r="AP63">
        <v>9.4131129999999993E-2</v>
      </c>
      <c r="AQ63">
        <f t="shared" si="0"/>
        <v>3.4364369999999998E-2</v>
      </c>
      <c r="AR63">
        <f t="shared" si="1"/>
        <v>0.36506913281504216</v>
      </c>
    </row>
    <row r="64" spans="41:44" x14ac:dyDescent="0.2">
      <c r="AO64">
        <v>2520</v>
      </c>
      <c r="AP64">
        <v>9.7182130000000005E-2</v>
      </c>
      <c r="AQ64">
        <f t="shared" si="0"/>
        <v>3.5266020000000002E-2</v>
      </c>
      <c r="AR64">
        <f t="shared" si="1"/>
        <v>0.36288585154492908</v>
      </c>
    </row>
    <row r="65" spans="41:44" x14ac:dyDescent="0.2">
      <c r="AO65">
        <v>2880</v>
      </c>
      <c r="AP65">
        <v>0.10142255999999999</v>
      </c>
      <c r="AQ65">
        <f t="shared" si="0"/>
        <v>3.609391E-2</v>
      </c>
      <c r="AR65">
        <f t="shared" si="1"/>
        <v>0.35587654265480978</v>
      </c>
    </row>
    <row r="66" spans="41:44" x14ac:dyDescent="0.2">
      <c r="AO66">
        <v>3240</v>
      </c>
      <c r="AP66">
        <v>0.10582242</v>
      </c>
      <c r="AQ66">
        <f t="shared" si="0"/>
        <v>3.6941149999999999E-2</v>
      </c>
      <c r="AR66">
        <f t="shared" si="1"/>
        <v>0.34908623333316324</v>
      </c>
    </row>
    <row r="67" spans="41:44" x14ac:dyDescent="0.2">
      <c r="AO67">
        <v>3600</v>
      </c>
      <c r="AP67">
        <v>0.11045650999999999</v>
      </c>
      <c r="AQ67">
        <f t="shared" si="0"/>
        <v>3.7817780000000002E-2</v>
      </c>
      <c r="AR67">
        <f t="shared" si="1"/>
        <v>0.34237710389365011</v>
      </c>
    </row>
    <row r="68" spans="41:44" x14ac:dyDescent="0.2">
      <c r="AO68">
        <v>5400</v>
      </c>
      <c r="AP68">
        <v>0.13880269000000001</v>
      </c>
      <c r="AQ68">
        <f t="shared" si="0"/>
        <v>4.2174059999999999E-2</v>
      </c>
      <c r="AR68">
        <f t="shared" si="1"/>
        <v>0.30384180594770893</v>
      </c>
    </row>
    <row r="69" spans="41:44" x14ac:dyDescent="0.2">
      <c r="AO69">
        <v>7200</v>
      </c>
      <c r="AP69">
        <v>0.17750794</v>
      </c>
      <c r="AQ69">
        <f t="shared" si="0"/>
        <v>4.5841630000000001E-2</v>
      </c>
      <c r="AR69">
        <f t="shared" si="1"/>
        <v>0.25825115203297383</v>
      </c>
    </row>
    <row r="70" spans="41:44" x14ac:dyDescent="0.2">
      <c r="AO70">
        <v>9000</v>
      </c>
      <c r="AP70">
        <v>0.22875706000000001</v>
      </c>
      <c r="AQ70">
        <f t="shared" si="0"/>
        <v>5.010564E-2</v>
      </c>
      <c r="AR70">
        <f t="shared" si="1"/>
        <v>0.21903428904008471</v>
      </c>
    </row>
    <row r="71" spans="41:44" x14ac:dyDescent="0.2">
      <c r="AO71">
        <v>10800</v>
      </c>
      <c r="AP71">
        <v>0.29734466999999998</v>
      </c>
      <c r="AQ71">
        <f t="shared" si="0"/>
        <v>5.487885E-2</v>
      </c>
      <c r="AR71">
        <f t="shared" si="1"/>
        <v>0.18456308633344598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8548"/>
  <sheetViews>
    <sheetView topLeftCell="A58" zoomScale="150" zoomScaleNormal="150" workbookViewId="0">
      <selection activeCell="F80" sqref="F80"/>
    </sheetView>
  </sheetViews>
  <sheetFormatPr baseColWidth="10" defaultColWidth="9.140625" defaultRowHeight="12.75" x14ac:dyDescent="0.2"/>
  <cols>
    <col min="1" max="1" width="10.140625" bestFit="1" customWidth="1"/>
    <col min="4" max="4" width="10.140625" bestFit="1" customWidth="1"/>
    <col min="6" max="6" width="11.85546875" customWidth="1"/>
    <col min="13" max="13" width="10.140625" bestFit="1" customWidth="1"/>
  </cols>
  <sheetData>
    <row r="1" spans="1:14" x14ac:dyDescent="0.2">
      <c r="A1" t="s">
        <v>101</v>
      </c>
      <c r="B1" s="16" t="s">
        <v>132</v>
      </c>
      <c r="C1" s="16" t="s">
        <v>134</v>
      </c>
      <c r="M1" s="16" t="s">
        <v>101</v>
      </c>
      <c r="N1" s="16" t="s">
        <v>133</v>
      </c>
    </row>
    <row r="2" spans="1:14" x14ac:dyDescent="0.2">
      <c r="A2" s="34">
        <v>43339</v>
      </c>
      <c r="B2">
        <v>6.0661990000000001</v>
      </c>
      <c r="C2">
        <f t="shared" ref="C2:C65" si="0">IFERROR(VLOOKUP(A2,$M$2:$N$3695,2,0),C3)</f>
        <v>7.78</v>
      </c>
      <c r="M2" s="34">
        <v>43339</v>
      </c>
      <c r="N2">
        <v>7.78</v>
      </c>
    </row>
    <row r="3" spans="1:14" x14ac:dyDescent="0.2">
      <c r="A3" s="34">
        <v>43338</v>
      </c>
      <c r="B3">
        <v>6.0649009999999999</v>
      </c>
      <c r="C3">
        <f>IFERROR(VLOOKUP(A3,$M$2:$N$3695,2,0),C4)</f>
        <v>7.77</v>
      </c>
      <c r="E3" s="34"/>
      <c r="M3" s="34">
        <v>43336</v>
      </c>
      <c r="N3">
        <v>7.77</v>
      </c>
    </row>
    <row r="4" spans="1:14" x14ac:dyDescent="0.2">
      <c r="A4" s="34">
        <v>43337</v>
      </c>
      <c r="B4">
        <v>6.0636029999999996</v>
      </c>
      <c r="C4">
        <f t="shared" si="0"/>
        <v>7.77</v>
      </c>
      <c r="E4" s="34"/>
      <c r="M4" s="34">
        <v>43335</v>
      </c>
      <c r="N4">
        <v>7.77</v>
      </c>
    </row>
    <row r="5" spans="1:14" x14ac:dyDescent="0.2">
      <c r="A5" s="34">
        <v>43336</v>
      </c>
      <c r="B5">
        <v>6.0628710000000003</v>
      </c>
      <c r="C5">
        <f t="shared" si="0"/>
        <v>7.77</v>
      </c>
      <c r="E5" s="34"/>
      <c r="M5" s="34">
        <v>43334</v>
      </c>
      <c r="N5">
        <v>7.75</v>
      </c>
    </row>
    <row r="6" spans="1:14" x14ac:dyDescent="0.2">
      <c r="A6" s="34">
        <v>43335</v>
      </c>
      <c r="B6">
        <v>6.062138</v>
      </c>
      <c r="C6">
        <f t="shared" si="0"/>
        <v>7.77</v>
      </c>
      <c r="E6" s="34"/>
      <c r="M6" s="34">
        <v>43333</v>
      </c>
      <c r="N6">
        <v>7.75</v>
      </c>
    </row>
    <row r="7" spans="1:14" x14ac:dyDescent="0.2">
      <c r="A7" s="34">
        <v>43334</v>
      </c>
      <c r="B7">
        <v>6.0614059999999998</v>
      </c>
      <c r="C7">
        <f t="shared" si="0"/>
        <v>7.75</v>
      </c>
      <c r="E7" s="34"/>
      <c r="M7" s="34">
        <v>43332</v>
      </c>
      <c r="N7">
        <v>7.76</v>
      </c>
    </row>
    <row r="8" spans="1:14" x14ac:dyDescent="0.2">
      <c r="A8" s="34">
        <v>43333</v>
      </c>
      <c r="B8">
        <v>6.0606739999999997</v>
      </c>
      <c r="C8">
        <f t="shared" si="0"/>
        <v>7.75</v>
      </c>
      <c r="E8" s="34"/>
      <c r="M8" s="34">
        <v>43329</v>
      </c>
      <c r="N8">
        <v>7.76</v>
      </c>
    </row>
    <row r="9" spans="1:14" x14ac:dyDescent="0.2">
      <c r="A9" s="34">
        <v>43332</v>
      </c>
      <c r="B9">
        <v>6.0599420000000004</v>
      </c>
      <c r="C9">
        <f t="shared" si="0"/>
        <v>7.76</v>
      </c>
      <c r="E9" s="34"/>
      <c r="M9" s="34">
        <v>43328</v>
      </c>
      <c r="N9">
        <v>7.78</v>
      </c>
    </row>
    <row r="10" spans="1:14" x14ac:dyDescent="0.2">
      <c r="A10" s="34">
        <v>43331</v>
      </c>
      <c r="B10">
        <v>6.0592100000000002</v>
      </c>
      <c r="C10">
        <f t="shared" si="0"/>
        <v>7.76</v>
      </c>
      <c r="E10" s="34"/>
      <c r="M10" s="34">
        <v>43327</v>
      </c>
      <c r="N10">
        <v>7.77</v>
      </c>
    </row>
    <row r="11" spans="1:14" x14ac:dyDescent="0.2">
      <c r="A11" s="34">
        <v>43330</v>
      </c>
      <c r="B11">
        <v>6.058478</v>
      </c>
      <c r="C11">
        <f t="shared" si="0"/>
        <v>7.76</v>
      </c>
      <c r="E11" s="34"/>
      <c r="M11" s="34">
        <v>43326</v>
      </c>
      <c r="N11">
        <v>7.82</v>
      </c>
    </row>
    <row r="12" spans="1:14" x14ac:dyDescent="0.2">
      <c r="A12" s="34">
        <v>43329</v>
      </c>
      <c r="B12">
        <v>6.0577459999999999</v>
      </c>
      <c r="C12">
        <f t="shared" si="0"/>
        <v>7.76</v>
      </c>
      <c r="E12" s="34"/>
      <c r="M12" s="34">
        <v>43325</v>
      </c>
      <c r="N12">
        <v>7.83</v>
      </c>
    </row>
    <row r="13" spans="1:14" x14ac:dyDescent="0.2">
      <c r="A13" s="34">
        <v>43328</v>
      </c>
      <c r="B13">
        <v>6.0570139999999997</v>
      </c>
      <c r="C13">
        <f t="shared" si="0"/>
        <v>7.78</v>
      </c>
      <c r="E13" s="34"/>
      <c r="M13" s="34">
        <v>43322</v>
      </c>
      <c r="N13">
        <v>7.79</v>
      </c>
    </row>
    <row r="14" spans="1:14" x14ac:dyDescent="0.2">
      <c r="A14" s="34">
        <v>43327</v>
      </c>
      <c r="B14">
        <v>6.0562820000000004</v>
      </c>
      <c r="C14">
        <f t="shared" si="0"/>
        <v>7.77</v>
      </c>
      <c r="E14" s="34"/>
      <c r="M14" s="34">
        <v>43321</v>
      </c>
      <c r="N14">
        <v>7.88</v>
      </c>
    </row>
    <row r="15" spans="1:14" x14ac:dyDescent="0.2">
      <c r="A15" s="34">
        <v>43326</v>
      </c>
      <c r="B15">
        <v>6.0555510000000004</v>
      </c>
      <c r="C15">
        <f t="shared" si="0"/>
        <v>7.82</v>
      </c>
      <c r="M15" s="34">
        <v>43320</v>
      </c>
      <c r="N15">
        <v>7.79</v>
      </c>
    </row>
    <row r="16" spans="1:14" x14ac:dyDescent="0.2">
      <c r="A16" s="34">
        <v>43325</v>
      </c>
      <c r="B16">
        <v>6.0548190000000002</v>
      </c>
      <c r="C16">
        <f t="shared" si="0"/>
        <v>7.83</v>
      </c>
      <c r="M16" s="34">
        <v>43319</v>
      </c>
      <c r="N16">
        <v>7.78</v>
      </c>
    </row>
    <row r="17" spans="1:14" x14ac:dyDescent="0.2">
      <c r="A17" s="34">
        <v>43324</v>
      </c>
      <c r="B17">
        <v>6.0540880000000001</v>
      </c>
      <c r="C17">
        <f t="shared" si="0"/>
        <v>7.79</v>
      </c>
      <c r="M17" s="34">
        <v>43318</v>
      </c>
      <c r="N17">
        <v>7.84</v>
      </c>
    </row>
    <row r="18" spans="1:14" x14ac:dyDescent="0.2">
      <c r="A18" s="34">
        <v>43323</v>
      </c>
      <c r="B18">
        <v>6.053356</v>
      </c>
      <c r="C18">
        <f t="shared" si="0"/>
        <v>7.79</v>
      </c>
      <c r="M18" s="34">
        <v>43315</v>
      </c>
      <c r="N18">
        <v>7.76</v>
      </c>
    </row>
    <row r="19" spans="1:14" x14ac:dyDescent="0.2">
      <c r="A19" s="34">
        <v>43322</v>
      </c>
      <c r="B19">
        <v>6.0526249999999999</v>
      </c>
      <c r="C19">
        <f t="shared" si="0"/>
        <v>7.79</v>
      </c>
      <c r="M19" s="34">
        <v>43314</v>
      </c>
      <c r="N19">
        <v>7.88</v>
      </c>
    </row>
    <row r="20" spans="1:14" x14ac:dyDescent="0.2">
      <c r="A20" s="34">
        <v>43321</v>
      </c>
      <c r="B20">
        <v>6.0514099999999997</v>
      </c>
      <c r="C20">
        <f t="shared" si="0"/>
        <v>7.88</v>
      </c>
      <c r="M20" s="34">
        <v>43313</v>
      </c>
      <c r="N20">
        <v>7.83</v>
      </c>
    </row>
    <row r="21" spans="1:14" x14ac:dyDescent="0.2">
      <c r="A21" s="34">
        <v>43320</v>
      </c>
      <c r="B21">
        <v>6.0501959999999997</v>
      </c>
      <c r="C21">
        <f t="shared" si="0"/>
        <v>7.79</v>
      </c>
      <c r="M21" s="34">
        <v>43312</v>
      </c>
      <c r="N21">
        <v>7.88</v>
      </c>
    </row>
    <row r="22" spans="1:14" x14ac:dyDescent="0.2">
      <c r="A22" s="34">
        <v>43319</v>
      </c>
      <c r="B22">
        <v>6.0489819999999996</v>
      </c>
      <c r="C22">
        <f t="shared" si="0"/>
        <v>7.78</v>
      </c>
      <c r="M22" s="34">
        <v>43311</v>
      </c>
      <c r="N22">
        <v>7.85</v>
      </c>
    </row>
    <row r="23" spans="1:14" x14ac:dyDescent="0.2">
      <c r="A23" s="34">
        <v>43318</v>
      </c>
      <c r="B23">
        <v>6.0477679999999996</v>
      </c>
      <c r="C23">
        <f t="shared" si="0"/>
        <v>7.84</v>
      </c>
      <c r="M23" s="34">
        <v>43308</v>
      </c>
      <c r="N23">
        <v>7.9</v>
      </c>
    </row>
    <row r="24" spans="1:14" x14ac:dyDescent="0.2">
      <c r="A24" s="34">
        <v>43317</v>
      </c>
      <c r="B24">
        <v>6.0465540000000004</v>
      </c>
      <c r="C24">
        <f t="shared" si="0"/>
        <v>7.76</v>
      </c>
      <c r="M24" s="34">
        <v>43307</v>
      </c>
      <c r="N24">
        <v>7.8</v>
      </c>
    </row>
    <row r="25" spans="1:14" x14ac:dyDescent="0.2">
      <c r="A25" s="34">
        <v>43316</v>
      </c>
      <c r="B25">
        <v>6.0453409999999996</v>
      </c>
      <c r="C25">
        <f t="shared" si="0"/>
        <v>7.76</v>
      </c>
      <c r="M25" s="34">
        <v>43306</v>
      </c>
      <c r="N25">
        <v>7.82</v>
      </c>
    </row>
    <row r="26" spans="1:14" x14ac:dyDescent="0.2">
      <c r="A26" s="34">
        <v>43315</v>
      </c>
      <c r="B26">
        <v>6.0441279999999997</v>
      </c>
      <c r="C26">
        <f t="shared" si="0"/>
        <v>7.76</v>
      </c>
      <c r="M26" s="34">
        <v>43305</v>
      </c>
      <c r="N26">
        <v>7.75</v>
      </c>
    </row>
    <row r="27" spans="1:14" x14ac:dyDescent="0.2">
      <c r="A27" s="34">
        <v>43314</v>
      </c>
      <c r="B27">
        <v>6.0429149999999998</v>
      </c>
      <c r="C27">
        <f t="shared" si="0"/>
        <v>7.88</v>
      </c>
      <c r="M27" s="34">
        <v>43304</v>
      </c>
      <c r="N27">
        <v>7.76</v>
      </c>
    </row>
    <row r="28" spans="1:14" x14ac:dyDescent="0.2">
      <c r="A28" s="34">
        <v>43313</v>
      </c>
      <c r="B28">
        <v>6.0417019999999999</v>
      </c>
      <c r="C28">
        <f t="shared" si="0"/>
        <v>7.83</v>
      </c>
      <c r="M28" s="34">
        <v>43301</v>
      </c>
      <c r="N28">
        <v>7.73</v>
      </c>
    </row>
    <row r="29" spans="1:14" x14ac:dyDescent="0.2">
      <c r="A29" s="34">
        <v>43312</v>
      </c>
      <c r="B29">
        <v>6.040489</v>
      </c>
      <c r="C29">
        <f t="shared" si="0"/>
        <v>7.88</v>
      </c>
      <c r="M29" s="34">
        <v>43300</v>
      </c>
      <c r="N29">
        <v>7.77</v>
      </c>
    </row>
    <row r="30" spans="1:14" x14ac:dyDescent="0.2">
      <c r="A30" s="34">
        <v>43311</v>
      </c>
      <c r="B30">
        <v>6.0392770000000002</v>
      </c>
      <c r="C30">
        <f t="shared" si="0"/>
        <v>7.85</v>
      </c>
      <c r="M30" s="34">
        <v>43299</v>
      </c>
      <c r="N30">
        <v>7.75</v>
      </c>
    </row>
    <row r="31" spans="1:14" x14ac:dyDescent="0.2">
      <c r="A31" s="34">
        <v>43310</v>
      </c>
      <c r="B31">
        <v>6.0380649999999996</v>
      </c>
      <c r="C31">
        <f t="shared" si="0"/>
        <v>7.9</v>
      </c>
      <c r="D31">
        <f>1+C31/36000</f>
        <v>1.0002194444444445</v>
      </c>
      <c r="M31" s="34">
        <v>43298</v>
      </c>
      <c r="N31">
        <v>7.74</v>
      </c>
    </row>
    <row r="32" spans="1:14" x14ac:dyDescent="0.2">
      <c r="A32" s="34">
        <v>43309</v>
      </c>
      <c r="B32">
        <v>6.0368529999999998</v>
      </c>
      <c r="C32">
        <f t="shared" si="0"/>
        <v>7.9</v>
      </c>
      <c r="D32">
        <f>1+C32/36000</f>
        <v>1.0002194444444445</v>
      </c>
      <c r="E32">
        <f>D31*D32</f>
        <v>1.0004389370447533</v>
      </c>
      <c r="M32" s="34">
        <v>43297</v>
      </c>
      <c r="N32">
        <v>7.79</v>
      </c>
    </row>
    <row r="33" spans="1:14" x14ac:dyDescent="0.2">
      <c r="A33" s="34">
        <v>43308</v>
      </c>
      <c r="B33">
        <v>6.0356420000000002</v>
      </c>
      <c r="C33">
        <f t="shared" si="0"/>
        <v>7.9</v>
      </c>
      <c r="D33">
        <f>1+C33/36000</f>
        <v>1.0002194444444445</v>
      </c>
      <c r="E33">
        <f t="shared" ref="E33:E45" si="1">E32*D33</f>
        <v>1.0006584778114938</v>
      </c>
      <c r="M33" s="34">
        <v>43294</v>
      </c>
      <c r="N33">
        <v>7.77</v>
      </c>
    </row>
    <row r="34" spans="1:14" x14ac:dyDescent="0.2">
      <c r="A34" s="34">
        <v>43307</v>
      </c>
      <c r="B34">
        <v>6.0344309999999997</v>
      </c>
      <c r="C34">
        <f t="shared" si="0"/>
        <v>7.8</v>
      </c>
      <c r="D34">
        <f t="shared" ref="D34:D60" si="2">1+C34/36000</f>
        <v>1.0002166666666668</v>
      </c>
      <c r="E34">
        <f t="shared" si="1"/>
        <v>1.0008752871483531</v>
      </c>
      <c r="M34" s="34">
        <v>43293</v>
      </c>
      <c r="N34">
        <v>7.77</v>
      </c>
    </row>
    <row r="35" spans="1:14" x14ac:dyDescent="0.2">
      <c r="A35" s="34">
        <v>43306</v>
      </c>
      <c r="B35">
        <v>6.03322</v>
      </c>
      <c r="C35">
        <f t="shared" si="0"/>
        <v>7.82</v>
      </c>
      <c r="D35">
        <f t="shared" si="2"/>
        <v>1.0002172222222223</v>
      </c>
      <c r="E35">
        <f t="shared" si="1"/>
        <v>1.0010926995023948</v>
      </c>
      <c r="M35" s="34">
        <v>43292</v>
      </c>
      <c r="N35">
        <v>7.76</v>
      </c>
    </row>
    <row r="36" spans="1:14" x14ac:dyDescent="0.2">
      <c r="A36" s="34">
        <v>43305</v>
      </c>
      <c r="B36">
        <v>6.0322290000000001</v>
      </c>
      <c r="C36">
        <f t="shared" si="0"/>
        <v>7.75</v>
      </c>
      <c r="D36">
        <f t="shared" si="2"/>
        <v>1.0002152777777777</v>
      </c>
      <c r="E36">
        <f t="shared" si="1"/>
        <v>1.0013082125140931</v>
      </c>
      <c r="M36" s="34">
        <v>43291</v>
      </c>
      <c r="N36">
        <v>7.75</v>
      </c>
    </row>
    <row r="37" spans="1:14" x14ac:dyDescent="0.2">
      <c r="A37" s="34">
        <v>43304</v>
      </c>
      <c r="B37">
        <v>6.0312380000000001</v>
      </c>
      <c r="C37">
        <f t="shared" si="0"/>
        <v>7.76</v>
      </c>
      <c r="D37">
        <f t="shared" si="2"/>
        <v>1.0002155555555556</v>
      </c>
      <c r="E37">
        <f t="shared" si="1"/>
        <v>1.0015240500621241</v>
      </c>
      <c r="M37" s="34">
        <v>43290</v>
      </c>
      <c r="N37">
        <v>7.78</v>
      </c>
    </row>
    <row r="38" spans="1:14" x14ac:dyDescent="0.2">
      <c r="A38" s="34">
        <v>43303</v>
      </c>
      <c r="B38">
        <v>6.0302470000000001</v>
      </c>
      <c r="C38">
        <f t="shared" si="0"/>
        <v>7.73</v>
      </c>
      <c r="D38">
        <f t="shared" si="2"/>
        <v>1.0002147222222222</v>
      </c>
      <c r="E38">
        <f t="shared" si="1"/>
        <v>1.0017390995317623</v>
      </c>
      <c r="M38" s="34">
        <v>43287</v>
      </c>
      <c r="N38">
        <v>7.82</v>
      </c>
    </row>
    <row r="39" spans="1:14" x14ac:dyDescent="0.2">
      <c r="A39" s="34">
        <v>43302</v>
      </c>
      <c r="B39">
        <v>6.0292560000000002</v>
      </c>
      <c r="C39">
        <f t="shared" si="0"/>
        <v>7.73</v>
      </c>
      <c r="D39">
        <f t="shared" si="2"/>
        <v>1.0002147222222222</v>
      </c>
      <c r="E39">
        <f t="shared" si="1"/>
        <v>1.0019541951773006</v>
      </c>
      <c r="M39" s="34">
        <v>43286</v>
      </c>
      <c r="N39">
        <v>7.91</v>
      </c>
    </row>
    <row r="40" spans="1:14" x14ac:dyDescent="0.2">
      <c r="A40" s="34">
        <v>43301</v>
      </c>
      <c r="B40">
        <v>6.0282660000000003</v>
      </c>
      <c r="C40">
        <f t="shared" si="0"/>
        <v>7.73</v>
      </c>
      <c r="D40">
        <f t="shared" si="2"/>
        <v>1.0002147222222222</v>
      </c>
      <c r="E40">
        <f t="shared" si="1"/>
        <v>1.002169337008654</v>
      </c>
      <c r="M40" s="34">
        <v>43285</v>
      </c>
      <c r="N40">
        <v>7.88</v>
      </c>
    </row>
    <row r="41" spans="1:14" x14ac:dyDescent="0.2">
      <c r="A41" s="34">
        <v>43300</v>
      </c>
      <c r="B41">
        <v>6.0272750000000004</v>
      </c>
      <c r="C41">
        <f t="shared" si="0"/>
        <v>7.77</v>
      </c>
      <c r="D41">
        <f t="shared" si="2"/>
        <v>1.0002158333333333</v>
      </c>
      <c r="E41">
        <f t="shared" si="1"/>
        <v>1.002385638557225</v>
      </c>
      <c r="M41" s="34">
        <v>43284</v>
      </c>
      <c r="N41">
        <v>7.7</v>
      </c>
    </row>
    <row r="42" spans="1:14" x14ac:dyDescent="0.2">
      <c r="A42" s="34">
        <v>43299</v>
      </c>
      <c r="B42">
        <v>6.0262849999999997</v>
      </c>
      <c r="C42">
        <f t="shared" si="0"/>
        <v>7.75</v>
      </c>
      <c r="D42">
        <f t="shared" si="2"/>
        <v>1.0002152777777777</v>
      </c>
      <c r="E42">
        <f t="shared" si="1"/>
        <v>1.0026014299099699</v>
      </c>
      <c r="M42" s="34">
        <v>43283</v>
      </c>
      <c r="N42">
        <v>7.78</v>
      </c>
    </row>
    <row r="43" spans="1:14" x14ac:dyDescent="0.2">
      <c r="A43" s="34">
        <v>43298</v>
      </c>
      <c r="B43">
        <v>6.0252949999999998</v>
      </c>
      <c r="C43">
        <f t="shared" si="0"/>
        <v>7.74</v>
      </c>
      <c r="D43">
        <f t="shared" si="2"/>
        <v>1.0002150000000001</v>
      </c>
      <c r="E43">
        <f t="shared" si="1"/>
        <v>1.0028169892174006</v>
      </c>
      <c r="M43" s="34">
        <v>43280</v>
      </c>
      <c r="N43">
        <v>7.95</v>
      </c>
    </row>
    <row r="44" spans="1:14" x14ac:dyDescent="0.2">
      <c r="A44" s="34">
        <v>43297</v>
      </c>
      <c r="B44">
        <v>6.024305</v>
      </c>
      <c r="C44">
        <f t="shared" si="0"/>
        <v>7.79</v>
      </c>
      <c r="D44">
        <f t="shared" si="2"/>
        <v>1.0002163888888889</v>
      </c>
      <c r="E44">
        <f t="shared" si="1"/>
        <v>1.0030339876714562</v>
      </c>
      <c r="M44" s="34">
        <v>43279</v>
      </c>
      <c r="N44">
        <v>7.81</v>
      </c>
    </row>
    <row r="45" spans="1:14" x14ac:dyDescent="0.2">
      <c r="A45" s="34">
        <v>43296</v>
      </c>
      <c r="B45">
        <v>6.0233160000000003</v>
      </c>
      <c r="C45">
        <f t="shared" si="0"/>
        <v>7.77</v>
      </c>
      <c r="D45">
        <f t="shared" si="2"/>
        <v>1.0002158333333333</v>
      </c>
      <c r="E45">
        <f t="shared" si="1"/>
        <v>1.0032504758404619</v>
      </c>
      <c r="M45" s="34">
        <v>43278</v>
      </c>
      <c r="N45">
        <v>7.79</v>
      </c>
    </row>
    <row r="46" spans="1:14" x14ac:dyDescent="0.2">
      <c r="A46" s="34">
        <v>43295</v>
      </c>
      <c r="B46">
        <v>6.0223259999999996</v>
      </c>
      <c r="C46">
        <f t="shared" si="0"/>
        <v>7.77</v>
      </c>
      <c r="D46">
        <f t="shared" si="2"/>
        <v>1.0002158333333333</v>
      </c>
      <c r="E46">
        <f t="shared" ref="E46:E50" si="3">E45*D46</f>
        <v>1.0034670107348307</v>
      </c>
      <c r="M46" s="34">
        <v>43277</v>
      </c>
      <c r="N46">
        <v>7.76</v>
      </c>
    </row>
    <row r="47" spans="1:14" x14ac:dyDescent="0.2">
      <c r="A47" s="34">
        <v>43294</v>
      </c>
      <c r="B47">
        <v>6.0213369999999999</v>
      </c>
      <c r="C47">
        <f t="shared" si="0"/>
        <v>7.77</v>
      </c>
      <c r="D47">
        <f t="shared" si="2"/>
        <v>1.0002158333333333</v>
      </c>
      <c r="E47">
        <f t="shared" si="3"/>
        <v>1.0036835923646477</v>
      </c>
      <c r="M47" s="34">
        <v>43276</v>
      </c>
      <c r="N47">
        <v>7.74</v>
      </c>
    </row>
    <row r="48" spans="1:14" x14ac:dyDescent="0.2">
      <c r="A48" s="34">
        <v>43293</v>
      </c>
      <c r="B48">
        <v>6.0203470000000001</v>
      </c>
      <c r="C48">
        <f t="shared" si="0"/>
        <v>7.77</v>
      </c>
      <c r="D48">
        <f t="shared" si="2"/>
        <v>1.0002158333333333</v>
      </c>
      <c r="E48">
        <f t="shared" si="3"/>
        <v>1.0039002207399996</v>
      </c>
      <c r="M48" s="34">
        <v>43273</v>
      </c>
      <c r="N48">
        <v>7.75</v>
      </c>
    </row>
    <row r="49" spans="1:14" x14ac:dyDescent="0.2">
      <c r="A49" s="34">
        <v>43292</v>
      </c>
      <c r="B49">
        <v>6.0193580000000004</v>
      </c>
      <c r="C49">
        <f t="shared" si="0"/>
        <v>7.76</v>
      </c>
      <c r="D49">
        <f t="shared" si="2"/>
        <v>1.0002155555555556</v>
      </c>
      <c r="E49">
        <f t="shared" si="3"/>
        <v>1.0041166170098037</v>
      </c>
      <c r="M49" s="34">
        <v>43272</v>
      </c>
      <c r="N49">
        <v>7.72</v>
      </c>
    </row>
    <row r="50" spans="1:14" x14ac:dyDescent="0.2">
      <c r="A50" s="34">
        <v>43291</v>
      </c>
      <c r="B50">
        <v>6.01837</v>
      </c>
      <c r="C50">
        <f t="shared" si="0"/>
        <v>7.75</v>
      </c>
      <c r="D50">
        <f t="shared" si="2"/>
        <v>1.0002152777777777</v>
      </c>
      <c r="E50">
        <f t="shared" si="3"/>
        <v>1.0043327810037432</v>
      </c>
      <c r="F50" s="36">
        <f>(E50-1)*360/20</f>
        <v>7.7990058067378243E-2</v>
      </c>
      <c r="G50">
        <f>PRODUCT(D31:D50)</f>
        <v>1.0043327810037432</v>
      </c>
      <c r="M50" s="34">
        <v>43271</v>
      </c>
      <c r="N50">
        <v>7.55</v>
      </c>
    </row>
    <row r="51" spans="1:14" x14ac:dyDescent="0.2">
      <c r="A51" s="34">
        <v>43290</v>
      </c>
      <c r="B51">
        <v>6.0178320000000003</v>
      </c>
      <c r="C51">
        <f t="shared" si="0"/>
        <v>7.78</v>
      </c>
      <c r="D51">
        <f t="shared" si="2"/>
        <v>1.0002161111111112</v>
      </c>
      <c r="M51" s="34">
        <v>43270</v>
      </c>
      <c r="N51">
        <v>7.56</v>
      </c>
    </row>
    <row r="52" spans="1:14" x14ac:dyDescent="0.2">
      <c r="A52" s="34">
        <v>43289</v>
      </c>
      <c r="B52">
        <v>6.0172939999999997</v>
      </c>
      <c r="C52">
        <f t="shared" si="0"/>
        <v>7.82</v>
      </c>
      <c r="D52">
        <f t="shared" si="2"/>
        <v>1.0002172222222223</v>
      </c>
      <c r="M52" s="34">
        <v>43269</v>
      </c>
      <c r="N52">
        <v>7.53</v>
      </c>
    </row>
    <row r="53" spans="1:14" x14ac:dyDescent="0.2">
      <c r="A53" s="34">
        <v>43288</v>
      </c>
      <c r="B53">
        <v>6.016756</v>
      </c>
      <c r="C53">
        <f t="shared" si="0"/>
        <v>7.82</v>
      </c>
      <c r="D53">
        <f t="shared" si="2"/>
        <v>1.0002172222222223</v>
      </c>
      <c r="M53" s="34">
        <v>43266</v>
      </c>
      <c r="N53">
        <v>7.51</v>
      </c>
    </row>
    <row r="54" spans="1:14" x14ac:dyDescent="0.2">
      <c r="A54" s="34">
        <v>43287</v>
      </c>
      <c r="B54">
        <v>6.0162180000000003</v>
      </c>
      <c r="C54">
        <f t="shared" si="0"/>
        <v>7.82</v>
      </c>
      <c r="D54">
        <f t="shared" si="2"/>
        <v>1.0002172222222223</v>
      </c>
      <c r="M54" s="34">
        <v>43265</v>
      </c>
      <c r="N54">
        <v>7.61</v>
      </c>
    </row>
    <row r="55" spans="1:14" x14ac:dyDescent="0.2">
      <c r="A55" s="34">
        <v>43286</v>
      </c>
      <c r="B55">
        <v>6.0156809999999998</v>
      </c>
      <c r="C55">
        <f t="shared" si="0"/>
        <v>7.91</v>
      </c>
      <c r="D55">
        <f t="shared" si="2"/>
        <v>1.0002197222222222</v>
      </c>
      <c r="M55" s="34">
        <v>43264</v>
      </c>
      <c r="N55">
        <v>7.57</v>
      </c>
    </row>
    <row r="56" spans="1:14" x14ac:dyDescent="0.2">
      <c r="A56" s="34">
        <v>43285</v>
      </c>
      <c r="B56">
        <v>6.0151430000000001</v>
      </c>
      <c r="C56">
        <f t="shared" si="0"/>
        <v>7.88</v>
      </c>
      <c r="D56">
        <f t="shared" si="2"/>
        <v>1.000218888888889</v>
      </c>
      <c r="M56" s="34">
        <v>43263</v>
      </c>
      <c r="N56">
        <v>7.52</v>
      </c>
    </row>
    <row r="57" spans="1:14" x14ac:dyDescent="0.2">
      <c r="A57" s="34">
        <v>43284</v>
      </c>
      <c r="B57">
        <v>6.0146059999999997</v>
      </c>
      <c r="C57">
        <f t="shared" si="0"/>
        <v>7.7</v>
      </c>
      <c r="D57">
        <f t="shared" si="2"/>
        <v>1.000213888888889</v>
      </c>
      <c r="M57" s="34">
        <v>43262</v>
      </c>
      <c r="N57">
        <v>7.56</v>
      </c>
    </row>
    <row r="58" spans="1:14" x14ac:dyDescent="0.2">
      <c r="A58" s="34">
        <v>43283</v>
      </c>
      <c r="B58">
        <v>6.014068</v>
      </c>
      <c r="C58">
        <f t="shared" si="0"/>
        <v>7.78</v>
      </c>
      <c r="D58">
        <f t="shared" si="2"/>
        <v>1.0002161111111112</v>
      </c>
      <c r="M58" s="34">
        <v>43259</v>
      </c>
      <c r="N58">
        <v>7.48</v>
      </c>
    </row>
    <row r="59" spans="1:14" x14ac:dyDescent="0.2">
      <c r="A59" s="34">
        <v>43282</v>
      </c>
      <c r="B59">
        <v>6.0135310000000004</v>
      </c>
      <c r="C59">
        <f t="shared" si="0"/>
        <v>7.95</v>
      </c>
      <c r="D59">
        <f t="shared" si="2"/>
        <v>1.0002208333333333</v>
      </c>
      <c r="M59" s="34">
        <v>43258</v>
      </c>
      <c r="N59">
        <v>7.55</v>
      </c>
    </row>
    <row r="60" spans="1:14" x14ac:dyDescent="0.2">
      <c r="A60" s="34">
        <v>43281</v>
      </c>
      <c r="B60">
        <v>6.0129929999999998</v>
      </c>
      <c r="C60">
        <f t="shared" si="0"/>
        <v>7.95</v>
      </c>
      <c r="D60">
        <f t="shared" si="2"/>
        <v>1.0002208333333333</v>
      </c>
      <c r="M60" s="34">
        <v>43257</v>
      </c>
      <c r="N60">
        <v>7.63</v>
      </c>
    </row>
    <row r="61" spans="1:14" x14ac:dyDescent="0.2">
      <c r="A61" s="34">
        <v>43280</v>
      </c>
      <c r="B61">
        <v>6.0124560000000002</v>
      </c>
      <c r="C61">
        <f t="shared" si="0"/>
        <v>7.95</v>
      </c>
      <c r="D61">
        <f>1+C61/36000</f>
        <v>1.0002208333333333</v>
      </c>
      <c r="M61" s="34">
        <v>43256</v>
      </c>
      <c r="N61">
        <v>7.55</v>
      </c>
    </row>
    <row r="62" spans="1:14" x14ac:dyDescent="0.2">
      <c r="A62" s="34">
        <v>43279</v>
      </c>
      <c r="B62">
        <v>6.0119179999999997</v>
      </c>
      <c r="C62">
        <f t="shared" si="0"/>
        <v>7.81</v>
      </c>
      <c r="D62">
        <f t="shared" ref="D62:D93" si="4">1+C62/36000</f>
        <v>1.0002169444444444</v>
      </c>
      <c r="E62">
        <f>D61*D62</f>
        <v>1.0004378256863427</v>
      </c>
      <c r="M62" s="34">
        <v>43255</v>
      </c>
      <c r="N62">
        <v>7.58</v>
      </c>
    </row>
    <row r="63" spans="1:14" x14ac:dyDescent="0.2">
      <c r="A63" s="34">
        <v>43278</v>
      </c>
      <c r="B63">
        <v>6.0113810000000001</v>
      </c>
      <c r="C63">
        <f t="shared" si="0"/>
        <v>7.79</v>
      </c>
      <c r="D63">
        <f t="shared" si="4"/>
        <v>1.0002163888888889</v>
      </c>
      <c r="E63">
        <f>E62*D63</f>
        <v>1.0006543093158453</v>
      </c>
      <c r="M63" s="34">
        <v>43252</v>
      </c>
      <c r="N63">
        <v>7.55</v>
      </c>
    </row>
    <row r="64" spans="1:14" x14ac:dyDescent="0.2">
      <c r="A64" s="34">
        <v>43277</v>
      </c>
      <c r="B64">
        <v>6.0108439999999996</v>
      </c>
      <c r="C64">
        <f t="shared" si="0"/>
        <v>7.76</v>
      </c>
      <c r="D64">
        <f t="shared" si="4"/>
        <v>1.0002155555555556</v>
      </c>
      <c r="E64">
        <f>E63*D64</f>
        <v>1.0008700059114091</v>
      </c>
      <c r="M64" s="34">
        <v>43251</v>
      </c>
      <c r="N64">
        <v>7.73</v>
      </c>
    </row>
    <row r="65" spans="1:14" x14ac:dyDescent="0.2">
      <c r="A65" s="34">
        <v>43276</v>
      </c>
      <c r="B65">
        <v>6.0103070000000001</v>
      </c>
      <c r="C65">
        <f t="shared" si="0"/>
        <v>7.74</v>
      </c>
      <c r="D65">
        <f t="shared" si="4"/>
        <v>1.0002150000000001</v>
      </c>
      <c r="E65">
        <f t="shared" ref="E64:E80" si="5">E64*D65</f>
        <v>1.0010851929626801</v>
      </c>
      <c r="M65" s="34">
        <v>43250</v>
      </c>
      <c r="N65">
        <v>7.57</v>
      </c>
    </row>
    <row r="66" spans="1:14" x14ac:dyDescent="0.2">
      <c r="A66" s="34">
        <v>43275</v>
      </c>
      <c r="B66">
        <v>6.0092819999999998</v>
      </c>
      <c r="C66">
        <f t="shared" ref="C66:C129" si="6">IFERROR(VLOOKUP(A66,$M$2:$N$3695,2,0),C67)</f>
        <v>7.75</v>
      </c>
      <c r="D66">
        <f t="shared" si="4"/>
        <v>1.0002152777777777</v>
      </c>
      <c r="E66">
        <f t="shared" si="5"/>
        <v>1.0013007043583873</v>
      </c>
      <c r="M66" s="34">
        <v>43249</v>
      </c>
      <c r="N66">
        <v>7.59</v>
      </c>
    </row>
    <row r="67" spans="1:14" x14ac:dyDescent="0.2">
      <c r="A67" s="34">
        <v>43274</v>
      </c>
      <c r="B67">
        <v>6.0082579999999997</v>
      </c>
      <c r="C67">
        <f t="shared" si="6"/>
        <v>7.75</v>
      </c>
      <c r="D67">
        <f t="shared" si="4"/>
        <v>1.0002152777777777</v>
      </c>
      <c r="E67">
        <f t="shared" si="5"/>
        <v>1.0015162621489089</v>
      </c>
      <c r="M67" s="34">
        <v>43248</v>
      </c>
      <c r="N67">
        <v>7.68</v>
      </c>
    </row>
    <row r="68" spans="1:14" x14ac:dyDescent="0.2">
      <c r="A68" s="34">
        <v>43273</v>
      </c>
      <c r="B68">
        <v>6.0072330000000003</v>
      </c>
      <c r="C68">
        <f t="shared" si="6"/>
        <v>7.75</v>
      </c>
      <c r="D68">
        <f t="shared" si="4"/>
        <v>1.0002152777777777</v>
      </c>
      <c r="E68">
        <f t="shared" si="5"/>
        <v>1.0017318663442325</v>
      </c>
      <c r="M68" s="34">
        <v>43245</v>
      </c>
      <c r="N68">
        <v>7.58</v>
      </c>
    </row>
    <row r="69" spans="1:14" x14ac:dyDescent="0.2">
      <c r="A69" s="34">
        <v>43272</v>
      </c>
      <c r="B69">
        <v>6.0062090000000001</v>
      </c>
      <c r="C69">
        <f t="shared" si="6"/>
        <v>7.72</v>
      </c>
      <c r="D69">
        <f t="shared" si="4"/>
        <v>1.0002144444444445</v>
      </c>
      <c r="E69">
        <f t="shared" si="5"/>
        <v>1.0019466821777931</v>
      </c>
      <c r="M69" s="34">
        <v>43244</v>
      </c>
      <c r="N69">
        <v>7.62</v>
      </c>
    </row>
    <row r="70" spans="1:14" x14ac:dyDescent="0.2">
      <c r="A70" s="34">
        <v>43271</v>
      </c>
      <c r="B70">
        <v>6.005185</v>
      </c>
      <c r="C70">
        <f t="shared" si="6"/>
        <v>7.55</v>
      </c>
      <c r="D70">
        <f t="shared" si="4"/>
        <v>1.0002097222222222</v>
      </c>
      <c r="E70">
        <f t="shared" si="5"/>
        <v>1.0021568126625275</v>
      </c>
      <c r="M70" s="34">
        <v>43243</v>
      </c>
      <c r="N70">
        <v>7.53</v>
      </c>
    </row>
    <row r="71" spans="1:14" x14ac:dyDescent="0.2">
      <c r="A71" s="34">
        <v>43270</v>
      </c>
      <c r="B71">
        <v>6.004162</v>
      </c>
      <c r="C71">
        <f t="shared" si="6"/>
        <v>7.56</v>
      </c>
      <c r="D71">
        <f t="shared" si="4"/>
        <v>1.00021</v>
      </c>
      <c r="E71">
        <f t="shared" si="5"/>
        <v>1.0023672655931868</v>
      </c>
      <c r="M71" s="34">
        <v>43242</v>
      </c>
      <c r="N71">
        <v>7.55</v>
      </c>
    </row>
    <row r="72" spans="1:14" x14ac:dyDescent="0.2">
      <c r="A72" s="34">
        <v>43269</v>
      </c>
      <c r="B72">
        <v>6.0031379999999999</v>
      </c>
      <c r="C72">
        <f t="shared" si="6"/>
        <v>7.53</v>
      </c>
      <c r="D72">
        <f t="shared" si="4"/>
        <v>1.0002091666666666</v>
      </c>
      <c r="E72">
        <f t="shared" si="5"/>
        <v>1.0025769274129066</v>
      </c>
      <c r="M72" s="34">
        <v>43241</v>
      </c>
      <c r="N72">
        <v>7.43</v>
      </c>
    </row>
    <row r="73" spans="1:14" x14ac:dyDescent="0.2">
      <c r="A73" s="34">
        <v>43268</v>
      </c>
      <c r="B73">
        <v>6.0021149999999999</v>
      </c>
      <c r="C73">
        <f t="shared" si="6"/>
        <v>7.51</v>
      </c>
      <c r="D73">
        <f t="shared" si="4"/>
        <v>1.000208611111111</v>
      </c>
      <c r="E73">
        <f t="shared" si="5"/>
        <v>1.0027860760997085</v>
      </c>
      <c r="M73" s="34">
        <v>43238</v>
      </c>
      <c r="N73">
        <v>7.5</v>
      </c>
    </row>
    <row r="74" spans="1:14" x14ac:dyDescent="0.2">
      <c r="A74" s="34">
        <v>43267</v>
      </c>
      <c r="B74">
        <v>6.0010909999999997</v>
      </c>
      <c r="C74">
        <f t="shared" si="6"/>
        <v>7.51</v>
      </c>
      <c r="D74">
        <f t="shared" si="4"/>
        <v>1.000208611111111</v>
      </c>
      <c r="E74">
        <f t="shared" si="5"/>
        <v>1.0029952684172503</v>
      </c>
      <c r="M74" s="34">
        <v>43237</v>
      </c>
      <c r="N74">
        <v>7.69</v>
      </c>
    </row>
    <row r="75" spans="1:14" x14ac:dyDescent="0.2">
      <c r="A75" s="34">
        <v>43266</v>
      </c>
      <c r="B75">
        <v>6.0000679999999997</v>
      </c>
      <c r="C75">
        <f t="shared" si="6"/>
        <v>7.51</v>
      </c>
      <c r="D75">
        <f t="shared" si="4"/>
        <v>1.000208611111111</v>
      </c>
      <c r="E75">
        <f t="shared" si="5"/>
        <v>1.0032045043746338</v>
      </c>
      <c r="M75" s="34">
        <v>43236</v>
      </c>
      <c r="N75">
        <v>7.55</v>
      </c>
    </row>
    <row r="76" spans="1:14" x14ac:dyDescent="0.2">
      <c r="A76" s="34">
        <v>43265</v>
      </c>
      <c r="B76">
        <v>5.9990449999999997</v>
      </c>
      <c r="C76">
        <f t="shared" si="6"/>
        <v>7.61</v>
      </c>
      <c r="D76">
        <f t="shared" si="4"/>
        <v>1.0002113888888888</v>
      </c>
      <c r="E76">
        <f t="shared" si="5"/>
        <v>1.0034165706601419</v>
      </c>
      <c r="M76" s="34">
        <v>43235</v>
      </c>
      <c r="N76">
        <v>7.59</v>
      </c>
    </row>
    <row r="77" spans="1:14" x14ac:dyDescent="0.2">
      <c r="A77" s="34">
        <v>43264</v>
      </c>
      <c r="B77">
        <v>5.9980229999999999</v>
      </c>
      <c r="C77">
        <f t="shared" si="6"/>
        <v>7.57</v>
      </c>
      <c r="D77">
        <f t="shared" si="4"/>
        <v>1.0002102777777777</v>
      </c>
      <c r="E77">
        <f t="shared" si="5"/>
        <v>1.0036275668668055</v>
      </c>
      <c r="M77" s="34">
        <v>43234</v>
      </c>
      <c r="N77">
        <v>7.63</v>
      </c>
    </row>
    <row r="78" spans="1:14" x14ac:dyDescent="0.2">
      <c r="A78" s="34">
        <v>43263</v>
      </c>
      <c r="B78">
        <v>5.9969999999999999</v>
      </c>
      <c r="C78">
        <f t="shared" si="6"/>
        <v>7.52</v>
      </c>
      <c r="D78">
        <f t="shared" si="4"/>
        <v>1.0002088888888889</v>
      </c>
      <c r="E78">
        <f t="shared" si="5"/>
        <v>1.0038372135141067</v>
      </c>
      <c r="M78" s="34">
        <v>43231</v>
      </c>
      <c r="N78">
        <v>7.5</v>
      </c>
    </row>
    <row r="79" spans="1:14" x14ac:dyDescent="0.2">
      <c r="A79" s="34">
        <v>43262</v>
      </c>
      <c r="B79">
        <v>5.995978</v>
      </c>
      <c r="C79">
        <f t="shared" si="6"/>
        <v>7.56</v>
      </c>
      <c r="D79">
        <f t="shared" si="4"/>
        <v>1.00021</v>
      </c>
      <c r="E79">
        <f t="shared" si="5"/>
        <v>1.0040480193289447</v>
      </c>
      <c r="M79" s="34">
        <v>43230</v>
      </c>
      <c r="N79">
        <v>7.5</v>
      </c>
    </row>
    <row r="80" spans="1:14" x14ac:dyDescent="0.2">
      <c r="A80" s="34">
        <v>43261</v>
      </c>
      <c r="B80">
        <v>5.9949560000000002</v>
      </c>
      <c r="C80">
        <f t="shared" si="6"/>
        <v>7.48</v>
      </c>
      <c r="D80">
        <f t="shared" si="4"/>
        <v>1.0002077777777778</v>
      </c>
      <c r="E80">
        <f t="shared" si="5"/>
        <v>1.0042566381951832</v>
      </c>
      <c r="F80" s="36">
        <f>(E80-1)*360/20</f>
        <v>7.661948751329728E-2</v>
      </c>
      <c r="G80">
        <f>PRODUCT(D61:D80)</f>
        <v>1.0042566381951832</v>
      </c>
      <c r="M80" s="34">
        <v>43229</v>
      </c>
      <c r="N80">
        <v>7.51</v>
      </c>
    </row>
    <row r="81" spans="1:14" x14ac:dyDescent="0.2">
      <c r="A81" s="34">
        <v>43260</v>
      </c>
      <c r="B81">
        <v>5.9960469999999999</v>
      </c>
      <c r="C81">
        <f t="shared" si="6"/>
        <v>7.48</v>
      </c>
      <c r="D81">
        <f t="shared" si="4"/>
        <v>1.0002077777777778</v>
      </c>
      <c r="M81" s="34">
        <v>43228</v>
      </c>
      <c r="N81">
        <v>7.51</v>
      </c>
    </row>
    <row r="82" spans="1:14" x14ac:dyDescent="0.2">
      <c r="A82" s="34">
        <v>43259</v>
      </c>
      <c r="B82">
        <v>5.9971389999999998</v>
      </c>
      <c r="C82">
        <f t="shared" si="6"/>
        <v>7.48</v>
      </c>
      <c r="D82">
        <f t="shared" si="4"/>
        <v>1.0002077777777778</v>
      </c>
      <c r="M82" s="34">
        <v>43227</v>
      </c>
      <c r="N82">
        <v>7.51</v>
      </c>
    </row>
    <row r="83" spans="1:14" x14ac:dyDescent="0.2">
      <c r="A83" s="34">
        <v>43258</v>
      </c>
      <c r="B83">
        <v>5.9982309999999996</v>
      </c>
      <c r="C83">
        <f t="shared" si="6"/>
        <v>7.55</v>
      </c>
      <c r="D83">
        <f t="shared" si="4"/>
        <v>1.0002097222222222</v>
      </c>
      <c r="M83" s="34">
        <v>43224</v>
      </c>
      <c r="N83">
        <v>7.51</v>
      </c>
    </row>
    <row r="84" spans="1:14" x14ac:dyDescent="0.2">
      <c r="A84" s="34">
        <v>43257</v>
      </c>
      <c r="B84">
        <v>5.9993239999999997</v>
      </c>
      <c r="C84">
        <f t="shared" si="6"/>
        <v>7.63</v>
      </c>
      <c r="D84">
        <f t="shared" si="4"/>
        <v>1.0002119444444444</v>
      </c>
      <c r="M84" s="34">
        <v>43223</v>
      </c>
      <c r="N84">
        <v>7.55</v>
      </c>
    </row>
    <row r="85" spans="1:14" x14ac:dyDescent="0.2">
      <c r="A85" s="34">
        <v>43256</v>
      </c>
      <c r="B85">
        <v>6.0004160000000004</v>
      </c>
      <c r="C85">
        <f t="shared" si="6"/>
        <v>7.55</v>
      </c>
      <c r="D85">
        <f t="shared" si="4"/>
        <v>1.0002097222222222</v>
      </c>
      <c r="M85" s="34">
        <v>43222</v>
      </c>
      <c r="N85">
        <v>7.62</v>
      </c>
    </row>
    <row r="86" spans="1:14" x14ac:dyDescent="0.2">
      <c r="A86" s="34">
        <v>43255</v>
      </c>
      <c r="B86">
        <v>6.0015090000000004</v>
      </c>
      <c r="C86">
        <f t="shared" si="6"/>
        <v>7.58</v>
      </c>
      <c r="D86">
        <f t="shared" si="4"/>
        <v>1.0002105555555556</v>
      </c>
      <c r="M86" s="34">
        <v>43220</v>
      </c>
      <c r="N86">
        <v>7.6</v>
      </c>
    </row>
    <row r="87" spans="1:14" x14ac:dyDescent="0.2">
      <c r="A87" s="34">
        <v>43254</v>
      </c>
      <c r="B87">
        <v>6.0026020000000004</v>
      </c>
      <c r="C87">
        <f t="shared" si="6"/>
        <v>7.55</v>
      </c>
      <c r="D87">
        <f t="shared" si="4"/>
        <v>1.0002097222222222</v>
      </c>
      <c r="M87" s="34">
        <v>43217</v>
      </c>
      <c r="N87">
        <v>7.55</v>
      </c>
    </row>
    <row r="88" spans="1:14" x14ac:dyDescent="0.2">
      <c r="A88" s="34">
        <v>43253</v>
      </c>
      <c r="B88">
        <v>6.0036949999999996</v>
      </c>
      <c r="C88">
        <f t="shared" si="6"/>
        <v>7.55</v>
      </c>
      <c r="D88">
        <f t="shared" si="4"/>
        <v>1.0002097222222222</v>
      </c>
      <c r="M88" s="34">
        <v>43216</v>
      </c>
      <c r="N88">
        <v>7.55</v>
      </c>
    </row>
    <row r="89" spans="1:14" x14ac:dyDescent="0.2">
      <c r="A89" s="34">
        <v>43252</v>
      </c>
      <c r="B89">
        <v>6.0047889999999997</v>
      </c>
      <c r="C89">
        <f t="shared" si="6"/>
        <v>7.55</v>
      </c>
      <c r="D89">
        <f t="shared" si="4"/>
        <v>1.0002097222222222</v>
      </c>
      <c r="M89" s="34">
        <v>43215</v>
      </c>
      <c r="N89">
        <v>7.5</v>
      </c>
    </row>
    <row r="90" spans="1:14" x14ac:dyDescent="0.2">
      <c r="A90" s="34">
        <v>43251</v>
      </c>
      <c r="B90">
        <v>6.0058819999999997</v>
      </c>
      <c r="C90">
        <f t="shared" si="6"/>
        <v>7.73</v>
      </c>
      <c r="D90">
        <f t="shared" si="4"/>
        <v>1.0002147222222222</v>
      </c>
      <c r="M90" s="34">
        <v>43214</v>
      </c>
      <c r="N90">
        <v>7.5</v>
      </c>
    </row>
    <row r="91" spans="1:14" x14ac:dyDescent="0.2">
      <c r="A91" s="34">
        <v>43250</v>
      </c>
      <c r="B91">
        <v>6.0069759999999999</v>
      </c>
      <c r="C91">
        <f t="shared" si="6"/>
        <v>7.57</v>
      </c>
      <c r="D91">
        <f t="shared" si="4"/>
        <v>1.0002102777777777</v>
      </c>
      <c r="M91" s="34">
        <v>43213</v>
      </c>
      <c r="N91">
        <v>7.5</v>
      </c>
    </row>
    <row r="92" spans="1:14" x14ac:dyDescent="0.2">
      <c r="A92" s="34">
        <v>43249</v>
      </c>
      <c r="B92">
        <v>6.00807</v>
      </c>
      <c r="C92">
        <f t="shared" si="6"/>
        <v>7.59</v>
      </c>
      <c r="D92">
        <f t="shared" si="4"/>
        <v>1.0002108333333333</v>
      </c>
      <c r="M92" s="34">
        <v>43210</v>
      </c>
      <c r="N92">
        <v>7.5</v>
      </c>
    </row>
    <row r="93" spans="1:14" x14ac:dyDescent="0.2">
      <c r="A93" s="34">
        <v>43248</v>
      </c>
      <c r="B93">
        <v>6.0091640000000002</v>
      </c>
      <c r="C93">
        <f t="shared" si="6"/>
        <v>7.68</v>
      </c>
      <c r="D93">
        <f t="shared" si="4"/>
        <v>1.0002133333333334</v>
      </c>
      <c r="M93" s="34">
        <v>43209</v>
      </c>
      <c r="N93">
        <v>7.47</v>
      </c>
    </row>
    <row r="94" spans="1:14" x14ac:dyDescent="0.2">
      <c r="A94" s="34">
        <v>43247</v>
      </c>
      <c r="B94">
        <v>6.0102580000000003</v>
      </c>
      <c r="C94">
        <f t="shared" si="6"/>
        <v>7.58</v>
      </c>
      <c r="M94" s="34">
        <v>43208</v>
      </c>
      <c r="N94">
        <v>7.54</v>
      </c>
    </row>
    <row r="95" spans="1:14" x14ac:dyDescent="0.2">
      <c r="A95" s="34">
        <v>43246</v>
      </c>
      <c r="B95">
        <v>6.0113529999999997</v>
      </c>
      <c r="C95">
        <f t="shared" si="6"/>
        <v>7.58</v>
      </c>
      <c r="M95" s="34">
        <v>43207</v>
      </c>
      <c r="N95">
        <v>7.5</v>
      </c>
    </row>
    <row r="96" spans="1:14" x14ac:dyDescent="0.2">
      <c r="A96" s="34">
        <v>43245</v>
      </c>
      <c r="B96">
        <v>6.012448</v>
      </c>
      <c r="C96">
        <f t="shared" si="6"/>
        <v>7.58</v>
      </c>
      <c r="M96" s="34">
        <v>43206</v>
      </c>
      <c r="N96">
        <v>7.53</v>
      </c>
    </row>
    <row r="97" spans="1:14" x14ac:dyDescent="0.2">
      <c r="A97" s="34">
        <v>43244</v>
      </c>
      <c r="B97">
        <v>6.0124389999999996</v>
      </c>
      <c r="C97">
        <f t="shared" si="6"/>
        <v>7.62</v>
      </c>
      <c r="M97" s="34">
        <v>43203</v>
      </c>
      <c r="N97">
        <v>7.55</v>
      </c>
    </row>
    <row r="98" spans="1:14" x14ac:dyDescent="0.2">
      <c r="A98" s="34">
        <v>43243</v>
      </c>
      <c r="B98">
        <v>6.012429</v>
      </c>
      <c r="C98">
        <f t="shared" si="6"/>
        <v>7.53</v>
      </c>
      <c r="M98" s="34">
        <v>43202</v>
      </c>
      <c r="N98">
        <v>7.68</v>
      </c>
    </row>
    <row r="99" spans="1:14" x14ac:dyDescent="0.2">
      <c r="A99" s="34">
        <v>43242</v>
      </c>
      <c r="B99">
        <v>6.0124199999999997</v>
      </c>
      <c r="C99">
        <f t="shared" si="6"/>
        <v>7.55</v>
      </c>
      <c r="M99" s="34">
        <v>43201</v>
      </c>
      <c r="N99">
        <v>7.55</v>
      </c>
    </row>
    <row r="100" spans="1:14" x14ac:dyDescent="0.2">
      <c r="A100" s="34">
        <v>43241</v>
      </c>
      <c r="B100">
        <v>6.0124110000000002</v>
      </c>
      <c r="C100">
        <f t="shared" si="6"/>
        <v>7.43</v>
      </c>
      <c r="M100" s="34">
        <v>43200</v>
      </c>
      <c r="N100">
        <v>7.5</v>
      </c>
    </row>
    <row r="101" spans="1:14" x14ac:dyDescent="0.2">
      <c r="A101" s="34">
        <v>43240</v>
      </c>
      <c r="B101">
        <v>6.0124019999999998</v>
      </c>
      <c r="C101">
        <f t="shared" si="6"/>
        <v>7.5</v>
      </c>
      <c r="M101" s="34">
        <v>43199</v>
      </c>
      <c r="N101">
        <v>7.49</v>
      </c>
    </row>
    <row r="102" spans="1:14" x14ac:dyDescent="0.2">
      <c r="A102" s="34">
        <v>43239</v>
      </c>
      <c r="B102">
        <v>6.0123930000000003</v>
      </c>
      <c r="C102">
        <f t="shared" si="6"/>
        <v>7.5</v>
      </c>
      <c r="M102" s="34">
        <v>43196</v>
      </c>
      <c r="N102">
        <v>7.55</v>
      </c>
    </row>
    <row r="103" spans="1:14" x14ac:dyDescent="0.2">
      <c r="A103" s="34">
        <v>43238</v>
      </c>
      <c r="B103">
        <v>6.012384</v>
      </c>
      <c r="C103">
        <f t="shared" si="6"/>
        <v>7.5</v>
      </c>
      <c r="M103" s="34">
        <v>43195</v>
      </c>
      <c r="N103">
        <v>7.55</v>
      </c>
    </row>
    <row r="104" spans="1:14" x14ac:dyDescent="0.2">
      <c r="A104" s="34">
        <v>43237</v>
      </c>
      <c r="B104">
        <v>6.0123749999999996</v>
      </c>
      <c r="C104">
        <f t="shared" si="6"/>
        <v>7.69</v>
      </c>
      <c r="M104" s="34">
        <v>43194</v>
      </c>
      <c r="N104">
        <v>7.5</v>
      </c>
    </row>
    <row r="105" spans="1:14" x14ac:dyDescent="0.2">
      <c r="A105" s="34">
        <v>43236</v>
      </c>
      <c r="B105">
        <v>6.0123660000000001</v>
      </c>
      <c r="C105">
        <f t="shared" si="6"/>
        <v>7.55</v>
      </c>
      <c r="M105" s="34">
        <v>43193</v>
      </c>
      <c r="N105">
        <v>7.56</v>
      </c>
    </row>
    <row r="106" spans="1:14" x14ac:dyDescent="0.2">
      <c r="A106" s="34">
        <v>43235</v>
      </c>
      <c r="B106">
        <v>6.0123569999999997</v>
      </c>
      <c r="C106">
        <f t="shared" si="6"/>
        <v>7.59</v>
      </c>
      <c r="M106" s="34">
        <v>43192</v>
      </c>
      <c r="N106">
        <v>7.54</v>
      </c>
    </row>
    <row r="107" spans="1:14" x14ac:dyDescent="0.2">
      <c r="A107" s="34">
        <v>43234</v>
      </c>
      <c r="B107">
        <v>6.0123480000000002</v>
      </c>
      <c r="C107">
        <f t="shared" si="6"/>
        <v>7.63</v>
      </c>
      <c r="M107" s="34">
        <v>43187</v>
      </c>
      <c r="N107">
        <v>7.58</v>
      </c>
    </row>
    <row r="108" spans="1:14" x14ac:dyDescent="0.2">
      <c r="A108" s="34">
        <v>43233</v>
      </c>
      <c r="B108">
        <v>6.0123379999999997</v>
      </c>
      <c r="C108">
        <f t="shared" si="6"/>
        <v>7.5</v>
      </c>
      <c r="M108" s="34">
        <v>43186</v>
      </c>
      <c r="N108">
        <v>7.52</v>
      </c>
    </row>
    <row r="109" spans="1:14" x14ac:dyDescent="0.2">
      <c r="A109" s="34">
        <v>43232</v>
      </c>
      <c r="B109">
        <v>6.0123290000000003</v>
      </c>
      <c r="C109">
        <f t="shared" si="6"/>
        <v>7.5</v>
      </c>
      <c r="M109" s="34">
        <v>43185</v>
      </c>
      <c r="N109">
        <v>7.53</v>
      </c>
    </row>
    <row r="110" spans="1:14" x14ac:dyDescent="0.2">
      <c r="A110" s="34">
        <v>43231</v>
      </c>
      <c r="B110">
        <v>6.0123199999999999</v>
      </c>
      <c r="C110">
        <f t="shared" si="6"/>
        <v>7.5</v>
      </c>
      <c r="M110" s="34">
        <v>43182</v>
      </c>
      <c r="N110">
        <v>7.45</v>
      </c>
    </row>
    <row r="111" spans="1:14" x14ac:dyDescent="0.2">
      <c r="A111" s="34">
        <v>43230</v>
      </c>
      <c r="B111">
        <v>6.0123110000000004</v>
      </c>
      <c r="C111">
        <f t="shared" si="6"/>
        <v>7.5</v>
      </c>
      <c r="M111" s="34">
        <v>43181</v>
      </c>
      <c r="N111">
        <v>7.6</v>
      </c>
    </row>
    <row r="112" spans="1:14" x14ac:dyDescent="0.2">
      <c r="A112" s="34">
        <v>43229</v>
      </c>
      <c r="B112">
        <v>6.0137</v>
      </c>
      <c r="C112">
        <f t="shared" si="6"/>
        <v>7.51</v>
      </c>
      <c r="M112" s="34">
        <v>43180</v>
      </c>
      <c r="N112">
        <v>7.5</v>
      </c>
    </row>
    <row r="113" spans="1:14" x14ac:dyDescent="0.2">
      <c r="A113" s="34">
        <v>43228</v>
      </c>
      <c r="B113">
        <v>6.0150889999999997</v>
      </c>
      <c r="C113">
        <f t="shared" si="6"/>
        <v>7.51</v>
      </c>
      <c r="M113" s="34">
        <v>43179</v>
      </c>
      <c r="N113">
        <v>7.5</v>
      </c>
    </row>
    <row r="114" spans="1:14" x14ac:dyDescent="0.2">
      <c r="A114" s="34">
        <v>43227</v>
      </c>
      <c r="B114">
        <v>6.0164780000000002</v>
      </c>
      <c r="C114">
        <f t="shared" si="6"/>
        <v>7.51</v>
      </c>
      <c r="M114" s="34">
        <v>43175</v>
      </c>
      <c r="N114">
        <v>7.57</v>
      </c>
    </row>
    <row r="115" spans="1:14" x14ac:dyDescent="0.2">
      <c r="A115" s="34">
        <v>43226</v>
      </c>
      <c r="B115">
        <v>6.0178669999999999</v>
      </c>
      <c r="C115">
        <f t="shared" si="6"/>
        <v>7.51</v>
      </c>
      <c r="M115" s="34">
        <v>43174</v>
      </c>
      <c r="N115">
        <v>7.56</v>
      </c>
    </row>
    <row r="116" spans="1:14" x14ac:dyDescent="0.2">
      <c r="A116" s="34">
        <v>43225</v>
      </c>
      <c r="B116">
        <v>6.0192569999999996</v>
      </c>
      <c r="C116">
        <f t="shared" si="6"/>
        <v>7.51</v>
      </c>
      <c r="M116" s="34">
        <v>43173</v>
      </c>
      <c r="N116">
        <v>7.58</v>
      </c>
    </row>
    <row r="117" spans="1:14" x14ac:dyDescent="0.2">
      <c r="A117" s="34">
        <v>43224</v>
      </c>
      <c r="B117">
        <v>6.0206480000000004</v>
      </c>
      <c r="C117">
        <f t="shared" si="6"/>
        <v>7.51</v>
      </c>
      <c r="M117" s="34">
        <v>43172</v>
      </c>
      <c r="N117">
        <v>7.49</v>
      </c>
    </row>
    <row r="118" spans="1:14" x14ac:dyDescent="0.2">
      <c r="A118" s="34">
        <v>43223</v>
      </c>
      <c r="B118">
        <v>6.0220380000000002</v>
      </c>
      <c r="C118">
        <f t="shared" si="6"/>
        <v>7.55</v>
      </c>
      <c r="M118" s="34">
        <v>43171</v>
      </c>
      <c r="N118">
        <v>7.53</v>
      </c>
    </row>
    <row r="119" spans="1:14" x14ac:dyDescent="0.2">
      <c r="A119" s="34">
        <v>43222</v>
      </c>
      <c r="B119">
        <v>6.0234290000000001</v>
      </c>
      <c r="C119">
        <f t="shared" si="6"/>
        <v>7.62</v>
      </c>
      <c r="M119" s="34">
        <v>43168</v>
      </c>
      <c r="N119">
        <v>7.47</v>
      </c>
    </row>
    <row r="120" spans="1:14" x14ac:dyDescent="0.2">
      <c r="A120" s="34">
        <v>43221</v>
      </c>
      <c r="B120">
        <v>6.0248200000000001</v>
      </c>
      <c r="C120">
        <f t="shared" si="6"/>
        <v>7.6</v>
      </c>
      <c r="M120" s="34">
        <v>43167</v>
      </c>
      <c r="N120">
        <v>7.54</v>
      </c>
    </row>
    <row r="121" spans="1:14" x14ac:dyDescent="0.2">
      <c r="A121" s="34">
        <v>43220</v>
      </c>
      <c r="B121">
        <v>6.0262120000000001</v>
      </c>
      <c r="C121">
        <f t="shared" si="6"/>
        <v>7.6</v>
      </c>
      <c r="M121" s="34">
        <v>43166</v>
      </c>
      <c r="N121">
        <v>7.64</v>
      </c>
    </row>
    <row r="122" spans="1:14" x14ac:dyDescent="0.2">
      <c r="A122" s="34">
        <v>43219</v>
      </c>
      <c r="B122">
        <v>6.0276040000000002</v>
      </c>
      <c r="C122">
        <f t="shared" si="6"/>
        <v>7.55</v>
      </c>
      <c r="M122" s="34">
        <v>43165</v>
      </c>
      <c r="N122">
        <v>7.6</v>
      </c>
    </row>
    <row r="123" spans="1:14" x14ac:dyDescent="0.2">
      <c r="A123" s="34">
        <v>43218</v>
      </c>
      <c r="B123">
        <v>6.0289960000000002</v>
      </c>
      <c r="C123">
        <f t="shared" si="6"/>
        <v>7.55</v>
      </c>
      <c r="M123" s="34">
        <v>43164</v>
      </c>
      <c r="N123">
        <v>7.54</v>
      </c>
    </row>
    <row r="124" spans="1:14" x14ac:dyDescent="0.2">
      <c r="A124" s="34">
        <v>43217</v>
      </c>
      <c r="B124">
        <v>6.0303880000000003</v>
      </c>
      <c r="C124">
        <f t="shared" si="6"/>
        <v>7.55</v>
      </c>
      <c r="M124" s="34">
        <v>43161</v>
      </c>
      <c r="N124">
        <v>7.59</v>
      </c>
    </row>
    <row r="125" spans="1:14" x14ac:dyDescent="0.2">
      <c r="A125" s="34">
        <v>43216</v>
      </c>
      <c r="B125">
        <v>6.0317809999999996</v>
      </c>
      <c r="C125">
        <f t="shared" si="6"/>
        <v>7.55</v>
      </c>
      <c r="M125" s="34">
        <v>43160</v>
      </c>
      <c r="N125">
        <v>7.63</v>
      </c>
    </row>
    <row r="126" spans="1:14" x14ac:dyDescent="0.2">
      <c r="A126" s="34">
        <v>43215</v>
      </c>
      <c r="B126">
        <v>6.0331739999999998</v>
      </c>
      <c r="C126">
        <f t="shared" si="6"/>
        <v>7.5</v>
      </c>
      <c r="M126" s="34">
        <v>43159</v>
      </c>
      <c r="N126">
        <v>7.61</v>
      </c>
    </row>
    <row r="127" spans="1:14" x14ac:dyDescent="0.2">
      <c r="A127" s="34">
        <v>43214</v>
      </c>
      <c r="B127">
        <v>6.0331229999999998</v>
      </c>
      <c r="C127">
        <f t="shared" si="6"/>
        <v>7.5</v>
      </c>
      <c r="M127" s="34">
        <v>43158</v>
      </c>
      <c r="N127">
        <v>7.6</v>
      </c>
    </row>
    <row r="128" spans="1:14" x14ac:dyDescent="0.2">
      <c r="A128" s="34">
        <v>43213</v>
      </c>
      <c r="B128">
        <v>6.0330709999999996</v>
      </c>
      <c r="C128">
        <f t="shared" si="6"/>
        <v>7.5</v>
      </c>
      <c r="M128" s="34">
        <v>43157</v>
      </c>
      <c r="N128">
        <v>7.52</v>
      </c>
    </row>
    <row r="129" spans="1:14" x14ac:dyDescent="0.2">
      <c r="A129" s="34">
        <v>43212</v>
      </c>
      <c r="B129">
        <v>6.0330190000000004</v>
      </c>
      <c r="C129">
        <f t="shared" si="6"/>
        <v>7.5</v>
      </c>
      <c r="M129" s="34">
        <v>43154</v>
      </c>
      <c r="N129">
        <v>7.53</v>
      </c>
    </row>
    <row r="130" spans="1:14" x14ac:dyDescent="0.2">
      <c r="A130" s="34">
        <v>43211</v>
      </c>
      <c r="B130">
        <v>6.0329680000000003</v>
      </c>
      <c r="C130">
        <f t="shared" ref="C130:C193" si="7">IFERROR(VLOOKUP(A130,$M$2:$N$3695,2,0),C131)</f>
        <v>7.5</v>
      </c>
      <c r="M130" s="34">
        <v>43153</v>
      </c>
      <c r="N130">
        <v>7.55</v>
      </c>
    </row>
    <row r="131" spans="1:14" x14ac:dyDescent="0.2">
      <c r="A131" s="34">
        <v>43210</v>
      </c>
      <c r="B131">
        <v>6.0329160000000002</v>
      </c>
      <c r="C131">
        <f t="shared" si="7"/>
        <v>7.5</v>
      </c>
      <c r="M131" s="34">
        <v>43152</v>
      </c>
      <c r="N131">
        <v>7.5</v>
      </c>
    </row>
    <row r="132" spans="1:14" x14ac:dyDescent="0.2">
      <c r="A132" s="34">
        <v>43209</v>
      </c>
      <c r="B132">
        <v>6.032864</v>
      </c>
      <c r="C132">
        <f t="shared" si="7"/>
        <v>7.47</v>
      </c>
      <c r="M132" s="34">
        <v>43151</v>
      </c>
      <c r="N132">
        <v>7.45</v>
      </c>
    </row>
    <row r="133" spans="1:14" x14ac:dyDescent="0.2">
      <c r="A133" s="34">
        <v>43208</v>
      </c>
      <c r="B133">
        <v>6.032813</v>
      </c>
      <c r="C133">
        <f t="shared" si="7"/>
        <v>7.54</v>
      </c>
      <c r="M133" s="34">
        <v>43150</v>
      </c>
      <c r="N133">
        <v>7.53</v>
      </c>
    </row>
    <row r="134" spans="1:14" x14ac:dyDescent="0.2">
      <c r="A134" s="34">
        <v>43207</v>
      </c>
      <c r="B134">
        <v>6.0327609999999998</v>
      </c>
      <c r="C134">
        <f t="shared" si="7"/>
        <v>7.5</v>
      </c>
      <c r="M134" s="34">
        <v>43147</v>
      </c>
      <c r="N134">
        <v>7.51</v>
      </c>
    </row>
    <row r="135" spans="1:14" x14ac:dyDescent="0.2">
      <c r="A135" s="34">
        <v>43206</v>
      </c>
      <c r="B135">
        <v>6.0327099999999998</v>
      </c>
      <c r="C135">
        <f t="shared" si="7"/>
        <v>7.53</v>
      </c>
      <c r="M135" s="34">
        <v>43146</v>
      </c>
      <c r="N135">
        <v>7.55</v>
      </c>
    </row>
    <row r="136" spans="1:14" x14ac:dyDescent="0.2">
      <c r="A136" s="34">
        <v>43205</v>
      </c>
      <c r="B136">
        <v>6.0326579999999996</v>
      </c>
      <c r="C136">
        <f t="shared" si="7"/>
        <v>7.55</v>
      </c>
      <c r="M136" s="34">
        <v>43145</v>
      </c>
      <c r="N136">
        <v>7.53</v>
      </c>
    </row>
    <row r="137" spans="1:14" x14ac:dyDescent="0.2">
      <c r="A137" s="34">
        <v>43204</v>
      </c>
      <c r="B137">
        <v>6.0326060000000004</v>
      </c>
      <c r="C137">
        <f t="shared" si="7"/>
        <v>7.55</v>
      </c>
      <c r="M137" s="34">
        <v>43144</v>
      </c>
      <c r="N137">
        <v>7.51</v>
      </c>
    </row>
    <row r="138" spans="1:14" x14ac:dyDescent="0.2">
      <c r="A138" s="34">
        <v>43203</v>
      </c>
      <c r="B138">
        <v>6.0325550000000003</v>
      </c>
      <c r="C138">
        <f t="shared" si="7"/>
        <v>7.55</v>
      </c>
      <c r="M138" s="34">
        <v>43143</v>
      </c>
      <c r="N138">
        <v>7.51</v>
      </c>
    </row>
    <row r="139" spans="1:14" x14ac:dyDescent="0.2">
      <c r="A139" s="34">
        <v>43202</v>
      </c>
      <c r="B139">
        <v>6.0325030000000002</v>
      </c>
      <c r="C139">
        <f t="shared" si="7"/>
        <v>7.68</v>
      </c>
      <c r="M139" s="34">
        <v>43140</v>
      </c>
      <c r="N139">
        <v>7.49</v>
      </c>
    </row>
    <row r="140" spans="1:14" x14ac:dyDescent="0.2">
      <c r="A140" s="34">
        <v>43201</v>
      </c>
      <c r="B140">
        <v>6.032451</v>
      </c>
      <c r="C140">
        <f t="shared" si="7"/>
        <v>7.55</v>
      </c>
      <c r="M140" s="34">
        <v>43139</v>
      </c>
      <c r="N140">
        <v>7.35</v>
      </c>
    </row>
    <row r="141" spans="1:14" x14ac:dyDescent="0.2">
      <c r="A141" s="34">
        <v>43200</v>
      </c>
      <c r="B141">
        <v>6.0324</v>
      </c>
      <c r="C141">
        <f t="shared" si="7"/>
        <v>7.5</v>
      </c>
      <c r="M141" s="34">
        <v>43138</v>
      </c>
      <c r="N141">
        <v>7.22</v>
      </c>
    </row>
    <row r="142" spans="1:14" x14ac:dyDescent="0.2">
      <c r="A142" s="34">
        <v>43199</v>
      </c>
      <c r="B142">
        <v>6.0312910000000004</v>
      </c>
      <c r="C142">
        <f t="shared" si="7"/>
        <v>7.49</v>
      </c>
      <c r="M142" s="34">
        <v>43137</v>
      </c>
      <c r="N142">
        <v>7.27</v>
      </c>
    </row>
    <row r="143" spans="1:14" x14ac:dyDescent="0.2">
      <c r="A143" s="34">
        <v>43198</v>
      </c>
      <c r="B143">
        <v>6.0301819999999999</v>
      </c>
      <c r="C143">
        <f t="shared" si="7"/>
        <v>7.55</v>
      </c>
      <c r="M143" s="34">
        <v>43133</v>
      </c>
      <c r="N143">
        <v>7.41</v>
      </c>
    </row>
    <row r="144" spans="1:14" x14ac:dyDescent="0.2">
      <c r="A144" s="34">
        <v>43197</v>
      </c>
      <c r="B144">
        <v>6.0290730000000003</v>
      </c>
      <c r="C144">
        <f t="shared" si="7"/>
        <v>7.55</v>
      </c>
      <c r="M144" s="34">
        <v>43132</v>
      </c>
      <c r="N144">
        <v>7.4</v>
      </c>
    </row>
    <row r="145" spans="1:14" x14ac:dyDescent="0.2">
      <c r="A145" s="34">
        <v>43196</v>
      </c>
      <c r="B145">
        <v>6.027965</v>
      </c>
      <c r="C145">
        <f t="shared" si="7"/>
        <v>7.55</v>
      </c>
      <c r="M145" s="34">
        <v>43131</v>
      </c>
      <c r="N145">
        <v>7.38</v>
      </c>
    </row>
    <row r="146" spans="1:14" x14ac:dyDescent="0.2">
      <c r="A146" s="34">
        <v>43195</v>
      </c>
      <c r="B146">
        <v>6.0268569999999997</v>
      </c>
      <c r="C146">
        <f t="shared" si="7"/>
        <v>7.55</v>
      </c>
      <c r="M146" s="34">
        <v>43130</v>
      </c>
      <c r="N146">
        <v>7.25</v>
      </c>
    </row>
    <row r="147" spans="1:14" x14ac:dyDescent="0.2">
      <c r="A147" s="34">
        <v>43194</v>
      </c>
      <c r="B147">
        <v>6.0257490000000002</v>
      </c>
      <c r="C147">
        <f t="shared" si="7"/>
        <v>7.5</v>
      </c>
      <c r="M147" s="34">
        <v>43129</v>
      </c>
      <c r="N147">
        <v>7.27</v>
      </c>
    </row>
    <row r="148" spans="1:14" x14ac:dyDescent="0.2">
      <c r="A148" s="34">
        <v>43193</v>
      </c>
      <c r="B148">
        <v>6.0246409999999999</v>
      </c>
      <c r="C148">
        <f t="shared" si="7"/>
        <v>7.56</v>
      </c>
      <c r="M148" s="34">
        <v>43126</v>
      </c>
      <c r="N148">
        <v>7.27</v>
      </c>
    </row>
    <row r="149" spans="1:14" x14ac:dyDescent="0.2">
      <c r="A149" s="34">
        <v>43192</v>
      </c>
      <c r="B149">
        <v>6.0235329999999996</v>
      </c>
      <c r="C149">
        <f t="shared" si="7"/>
        <v>7.54</v>
      </c>
      <c r="M149" s="34">
        <v>43125</v>
      </c>
      <c r="N149">
        <v>7.26</v>
      </c>
    </row>
    <row r="150" spans="1:14" x14ac:dyDescent="0.2">
      <c r="A150" s="34">
        <v>43191</v>
      </c>
      <c r="B150">
        <v>6.0224260000000003</v>
      </c>
      <c r="C150">
        <f t="shared" si="7"/>
        <v>7.58</v>
      </c>
      <c r="M150" s="34">
        <v>43124</v>
      </c>
      <c r="N150">
        <v>7.24</v>
      </c>
    </row>
    <row r="151" spans="1:14" x14ac:dyDescent="0.2">
      <c r="A151" s="34">
        <v>43190</v>
      </c>
      <c r="B151">
        <v>6.0213190000000001</v>
      </c>
      <c r="C151">
        <f t="shared" si="7"/>
        <v>7.58</v>
      </c>
      <c r="M151" s="34">
        <v>43123</v>
      </c>
      <c r="N151">
        <v>7.25</v>
      </c>
    </row>
    <row r="152" spans="1:14" x14ac:dyDescent="0.2">
      <c r="A152" s="34">
        <v>43189</v>
      </c>
      <c r="B152">
        <v>6.0202119999999999</v>
      </c>
      <c r="C152">
        <f t="shared" si="7"/>
        <v>7.58</v>
      </c>
      <c r="M152" s="34">
        <v>43122</v>
      </c>
      <c r="N152">
        <v>7.24</v>
      </c>
    </row>
    <row r="153" spans="1:14" x14ac:dyDescent="0.2">
      <c r="A153" s="34">
        <v>43188</v>
      </c>
      <c r="B153">
        <v>6.0191049999999997</v>
      </c>
      <c r="C153">
        <f t="shared" si="7"/>
        <v>7.58</v>
      </c>
      <c r="M153" s="34">
        <v>43119</v>
      </c>
      <c r="N153">
        <v>7.34</v>
      </c>
    </row>
    <row r="154" spans="1:14" x14ac:dyDescent="0.2">
      <c r="A154" s="34">
        <v>43187</v>
      </c>
      <c r="B154">
        <v>6.0179980000000004</v>
      </c>
      <c r="C154">
        <f t="shared" si="7"/>
        <v>7.58</v>
      </c>
      <c r="M154" s="34">
        <v>43118</v>
      </c>
      <c r="N154">
        <v>7.35</v>
      </c>
    </row>
    <row r="155" spans="1:14" x14ac:dyDescent="0.2">
      <c r="A155" s="34">
        <v>43186</v>
      </c>
      <c r="B155">
        <v>6.0168920000000004</v>
      </c>
      <c r="C155">
        <f t="shared" si="7"/>
        <v>7.52</v>
      </c>
      <c r="M155" s="34">
        <v>43117</v>
      </c>
      <c r="N155">
        <v>7.22</v>
      </c>
    </row>
    <row r="156" spans="1:14" x14ac:dyDescent="0.2">
      <c r="A156" s="34">
        <v>43185</v>
      </c>
      <c r="B156">
        <v>6.0157860000000003</v>
      </c>
      <c r="C156">
        <f t="shared" si="7"/>
        <v>7.53</v>
      </c>
      <c r="M156" s="34">
        <v>43116</v>
      </c>
      <c r="N156">
        <v>7.26</v>
      </c>
    </row>
    <row r="157" spans="1:14" x14ac:dyDescent="0.2">
      <c r="A157" s="34">
        <v>43184</v>
      </c>
      <c r="B157">
        <v>6.0146800000000002</v>
      </c>
      <c r="C157">
        <f t="shared" si="7"/>
        <v>7.45</v>
      </c>
      <c r="M157" s="34">
        <v>43115</v>
      </c>
      <c r="N157">
        <v>7.25</v>
      </c>
    </row>
    <row r="158" spans="1:14" x14ac:dyDescent="0.2">
      <c r="A158" s="34">
        <v>43183</v>
      </c>
      <c r="B158">
        <v>6.014507</v>
      </c>
      <c r="C158">
        <f t="shared" si="7"/>
        <v>7.45</v>
      </c>
      <c r="M158" s="34">
        <v>43112</v>
      </c>
      <c r="N158">
        <v>7.27</v>
      </c>
    </row>
    <row r="159" spans="1:14" x14ac:dyDescent="0.2">
      <c r="A159" s="34">
        <v>43182</v>
      </c>
      <c r="B159">
        <v>6.0143339999999998</v>
      </c>
      <c r="C159">
        <f t="shared" si="7"/>
        <v>7.45</v>
      </c>
      <c r="M159" s="34">
        <v>43111</v>
      </c>
      <c r="N159">
        <v>7.25</v>
      </c>
    </row>
    <row r="160" spans="1:14" x14ac:dyDescent="0.2">
      <c r="A160" s="34">
        <v>43181</v>
      </c>
      <c r="B160">
        <v>6.0141600000000004</v>
      </c>
      <c r="C160">
        <f t="shared" si="7"/>
        <v>7.6</v>
      </c>
      <c r="M160" s="34">
        <v>43110</v>
      </c>
      <c r="N160">
        <v>7.27</v>
      </c>
    </row>
    <row r="161" spans="1:14" x14ac:dyDescent="0.2">
      <c r="A161" s="34">
        <v>43180</v>
      </c>
      <c r="B161">
        <v>6.0139870000000002</v>
      </c>
      <c r="C161">
        <f t="shared" si="7"/>
        <v>7.5</v>
      </c>
      <c r="M161" s="34">
        <v>43109</v>
      </c>
      <c r="N161">
        <v>7.28</v>
      </c>
    </row>
    <row r="162" spans="1:14" x14ac:dyDescent="0.2">
      <c r="A162" s="34">
        <v>43179</v>
      </c>
      <c r="B162">
        <v>6.013814</v>
      </c>
      <c r="C162">
        <f t="shared" si="7"/>
        <v>7.5</v>
      </c>
      <c r="M162" s="34">
        <v>43108</v>
      </c>
      <c r="N162">
        <v>7.25</v>
      </c>
    </row>
    <row r="163" spans="1:14" x14ac:dyDescent="0.2">
      <c r="A163" s="34">
        <v>43178</v>
      </c>
      <c r="B163">
        <v>6.0136409999999998</v>
      </c>
      <c r="C163">
        <f t="shared" si="7"/>
        <v>7.57</v>
      </c>
      <c r="M163" s="34">
        <v>43105</v>
      </c>
      <c r="N163">
        <v>7.25</v>
      </c>
    </row>
    <row r="164" spans="1:14" x14ac:dyDescent="0.2">
      <c r="A164" s="34">
        <v>43177</v>
      </c>
      <c r="B164">
        <v>6.0134679999999996</v>
      </c>
      <c r="C164">
        <f t="shared" si="7"/>
        <v>7.57</v>
      </c>
      <c r="M164" s="34">
        <v>43104</v>
      </c>
      <c r="N164">
        <v>7.39</v>
      </c>
    </row>
    <row r="165" spans="1:14" x14ac:dyDescent="0.2">
      <c r="A165" s="34">
        <v>43176</v>
      </c>
      <c r="B165">
        <v>6.0132950000000003</v>
      </c>
      <c r="C165">
        <f t="shared" si="7"/>
        <v>7.57</v>
      </c>
      <c r="M165" s="34">
        <v>43103</v>
      </c>
      <c r="N165">
        <v>7.25</v>
      </c>
    </row>
    <row r="166" spans="1:14" x14ac:dyDescent="0.2">
      <c r="A166" s="34">
        <v>43175</v>
      </c>
      <c r="B166">
        <v>6.0131220000000001</v>
      </c>
      <c r="C166">
        <f t="shared" si="7"/>
        <v>7.57</v>
      </c>
      <c r="M166" s="34">
        <v>43102</v>
      </c>
      <c r="N166">
        <v>7.33</v>
      </c>
    </row>
    <row r="167" spans="1:14" x14ac:dyDescent="0.2">
      <c r="A167" s="34">
        <v>43174</v>
      </c>
      <c r="B167">
        <v>6.0129489999999999</v>
      </c>
      <c r="C167">
        <f t="shared" si="7"/>
        <v>7.56</v>
      </c>
      <c r="M167" s="34">
        <v>43098</v>
      </c>
      <c r="N167">
        <v>7.35</v>
      </c>
    </row>
    <row r="168" spans="1:14" x14ac:dyDescent="0.2">
      <c r="A168" s="34">
        <v>43173</v>
      </c>
      <c r="B168">
        <v>6.0127759999999997</v>
      </c>
      <c r="C168">
        <f t="shared" si="7"/>
        <v>7.58</v>
      </c>
      <c r="M168" s="34">
        <v>43097</v>
      </c>
      <c r="N168">
        <v>7.35</v>
      </c>
    </row>
    <row r="169" spans="1:14" x14ac:dyDescent="0.2">
      <c r="A169" s="34">
        <v>43172</v>
      </c>
      <c r="B169">
        <v>6.0126030000000004</v>
      </c>
      <c r="C169">
        <f t="shared" si="7"/>
        <v>7.49</v>
      </c>
      <c r="M169" s="34">
        <v>43096</v>
      </c>
      <c r="N169">
        <v>7.32</v>
      </c>
    </row>
    <row r="170" spans="1:14" x14ac:dyDescent="0.2">
      <c r="A170" s="34">
        <v>43171</v>
      </c>
      <c r="B170">
        <v>6.012429</v>
      </c>
      <c r="C170">
        <f t="shared" si="7"/>
        <v>7.53</v>
      </c>
      <c r="M170" s="34">
        <v>43095</v>
      </c>
      <c r="N170">
        <v>7.27</v>
      </c>
    </row>
    <row r="171" spans="1:14" x14ac:dyDescent="0.2">
      <c r="A171" s="34">
        <v>43170</v>
      </c>
      <c r="B171">
        <v>6.0122559999999998</v>
      </c>
      <c r="C171">
        <f t="shared" si="7"/>
        <v>7.47</v>
      </c>
      <c r="M171" s="34">
        <v>43091</v>
      </c>
      <c r="N171">
        <v>7.31</v>
      </c>
    </row>
    <row r="172" spans="1:14" x14ac:dyDescent="0.2">
      <c r="A172" s="34">
        <v>43169</v>
      </c>
      <c r="B172">
        <v>6.0120829999999996</v>
      </c>
      <c r="C172">
        <f t="shared" si="7"/>
        <v>7.47</v>
      </c>
      <c r="M172" s="34">
        <v>43090</v>
      </c>
      <c r="N172">
        <v>7.29</v>
      </c>
    </row>
    <row r="173" spans="1:14" x14ac:dyDescent="0.2">
      <c r="A173" s="34">
        <v>43168</v>
      </c>
      <c r="B173">
        <v>6.0111359999999996</v>
      </c>
      <c r="C173">
        <f t="shared" si="7"/>
        <v>7.47</v>
      </c>
      <c r="M173" s="34">
        <v>43089</v>
      </c>
      <c r="N173">
        <v>7.28</v>
      </c>
    </row>
    <row r="174" spans="1:14" x14ac:dyDescent="0.2">
      <c r="A174" s="34">
        <v>43167</v>
      </c>
      <c r="B174">
        <v>6.0101889999999996</v>
      </c>
      <c r="C174">
        <f t="shared" si="7"/>
        <v>7.54</v>
      </c>
      <c r="M174" s="34">
        <v>43088</v>
      </c>
      <c r="N174">
        <v>7.27</v>
      </c>
    </row>
    <row r="175" spans="1:14" x14ac:dyDescent="0.2">
      <c r="A175" s="34">
        <v>43166</v>
      </c>
      <c r="B175">
        <v>6.0092429999999997</v>
      </c>
      <c r="C175">
        <f t="shared" si="7"/>
        <v>7.64</v>
      </c>
      <c r="M175" s="34">
        <v>43087</v>
      </c>
      <c r="N175">
        <v>7.28</v>
      </c>
    </row>
    <row r="176" spans="1:14" x14ac:dyDescent="0.2">
      <c r="A176" s="34">
        <v>43165</v>
      </c>
      <c r="B176">
        <v>6.0082959999999996</v>
      </c>
      <c r="C176">
        <f t="shared" si="7"/>
        <v>7.6</v>
      </c>
      <c r="M176" s="34">
        <v>43084</v>
      </c>
      <c r="N176">
        <v>7.3</v>
      </c>
    </row>
    <row r="177" spans="1:14" x14ac:dyDescent="0.2">
      <c r="A177" s="34">
        <v>43164</v>
      </c>
      <c r="B177">
        <v>6.0073499999999997</v>
      </c>
      <c r="C177">
        <f t="shared" si="7"/>
        <v>7.54</v>
      </c>
      <c r="M177" s="34">
        <v>43083</v>
      </c>
      <c r="N177">
        <v>7.32</v>
      </c>
    </row>
    <row r="178" spans="1:14" x14ac:dyDescent="0.2">
      <c r="A178" s="34">
        <v>43163</v>
      </c>
      <c r="B178">
        <v>6.0064039999999999</v>
      </c>
      <c r="C178">
        <f t="shared" si="7"/>
        <v>7.59</v>
      </c>
      <c r="M178" s="34">
        <v>43082</v>
      </c>
      <c r="N178">
        <v>7.15</v>
      </c>
    </row>
    <row r="179" spans="1:14" x14ac:dyDescent="0.2">
      <c r="A179" s="34">
        <v>43162</v>
      </c>
      <c r="B179">
        <v>6.005458</v>
      </c>
      <c r="C179">
        <f t="shared" si="7"/>
        <v>7.59</v>
      </c>
      <c r="M179" s="34">
        <v>43080</v>
      </c>
      <c r="N179">
        <v>7.11</v>
      </c>
    </row>
    <row r="180" spans="1:14" x14ac:dyDescent="0.2">
      <c r="A180" s="34">
        <v>43161</v>
      </c>
      <c r="B180">
        <v>6.0045120000000001</v>
      </c>
      <c r="C180">
        <f t="shared" si="7"/>
        <v>7.59</v>
      </c>
      <c r="M180" s="34">
        <v>43077</v>
      </c>
      <c r="N180">
        <v>7.07</v>
      </c>
    </row>
    <row r="181" spans="1:14" x14ac:dyDescent="0.2">
      <c r="A181" s="34">
        <v>43160</v>
      </c>
      <c r="B181">
        <v>6.0035660000000002</v>
      </c>
      <c r="C181">
        <f t="shared" si="7"/>
        <v>7.63</v>
      </c>
      <c r="M181" s="34">
        <v>43076</v>
      </c>
      <c r="N181">
        <v>7.1</v>
      </c>
    </row>
    <row r="182" spans="1:14" x14ac:dyDescent="0.2">
      <c r="A182" s="34">
        <v>43159</v>
      </c>
      <c r="B182">
        <v>6.0026200000000003</v>
      </c>
      <c r="C182">
        <f t="shared" si="7"/>
        <v>7.61</v>
      </c>
      <c r="M182" s="34">
        <v>43075</v>
      </c>
      <c r="N182">
        <v>7.02</v>
      </c>
    </row>
    <row r="183" spans="1:14" x14ac:dyDescent="0.2">
      <c r="A183" s="34">
        <v>43158</v>
      </c>
      <c r="B183">
        <v>6.0016749999999996</v>
      </c>
      <c r="C183">
        <f t="shared" si="7"/>
        <v>7.6</v>
      </c>
      <c r="M183" s="34">
        <v>43074</v>
      </c>
      <c r="N183">
        <v>7.08</v>
      </c>
    </row>
    <row r="184" spans="1:14" x14ac:dyDescent="0.2">
      <c r="A184" s="34">
        <v>43157</v>
      </c>
      <c r="B184">
        <v>6.0007289999999998</v>
      </c>
      <c r="C184">
        <f t="shared" si="7"/>
        <v>7.52</v>
      </c>
      <c r="M184" s="34">
        <v>43073</v>
      </c>
      <c r="N184">
        <v>6.97</v>
      </c>
    </row>
    <row r="185" spans="1:14" x14ac:dyDescent="0.2">
      <c r="A185" s="34">
        <v>43156</v>
      </c>
      <c r="B185">
        <v>5.999784</v>
      </c>
      <c r="C185">
        <f t="shared" si="7"/>
        <v>7.53</v>
      </c>
      <c r="M185" s="34">
        <v>43070</v>
      </c>
      <c r="N185">
        <v>7.12</v>
      </c>
    </row>
    <row r="186" spans="1:14" x14ac:dyDescent="0.2">
      <c r="A186" s="34">
        <v>43155</v>
      </c>
      <c r="B186">
        <v>5.9985489999999997</v>
      </c>
      <c r="C186">
        <f t="shared" si="7"/>
        <v>7.53</v>
      </c>
      <c r="M186" s="34">
        <v>43069</v>
      </c>
      <c r="N186">
        <v>7.05</v>
      </c>
    </row>
    <row r="187" spans="1:14" x14ac:dyDescent="0.2">
      <c r="A187" s="34">
        <v>43154</v>
      </c>
      <c r="B187">
        <v>5.9973150000000004</v>
      </c>
      <c r="C187">
        <f t="shared" si="7"/>
        <v>7.53</v>
      </c>
      <c r="M187" s="34">
        <v>43068</v>
      </c>
      <c r="N187">
        <v>6.95</v>
      </c>
    </row>
    <row r="188" spans="1:14" x14ac:dyDescent="0.2">
      <c r="A188" s="34">
        <v>43153</v>
      </c>
      <c r="B188">
        <v>5.9960810000000002</v>
      </c>
      <c r="C188">
        <f t="shared" si="7"/>
        <v>7.55</v>
      </c>
      <c r="M188" s="34">
        <v>43067</v>
      </c>
      <c r="N188">
        <v>7.01</v>
      </c>
    </row>
    <row r="189" spans="1:14" x14ac:dyDescent="0.2">
      <c r="A189" s="34">
        <v>43152</v>
      </c>
      <c r="B189">
        <v>5.994847</v>
      </c>
      <c r="C189">
        <f t="shared" si="7"/>
        <v>7.5</v>
      </c>
      <c r="M189" s="34">
        <v>43066</v>
      </c>
      <c r="N189">
        <v>7.02</v>
      </c>
    </row>
    <row r="190" spans="1:14" x14ac:dyDescent="0.2">
      <c r="A190" s="34">
        <v>43151</v>
      </c>
      <c r="B190">
        <v>5.9936129999999999</v>
      </c>
      <c r="C190">
        <f t="shared" si="7"/>
        <v>7.45</v>
      </c>
      <c r="M190" s="34">
        <v>43063</v>
      </c>
      <c r="N190">
        <v>7</v>
      </c>
    </row>
    <row r="191" spans="1:14" x14ac:dyDescent="0.2">
      <c r="A191" s="34">
        <v>43150</v>
      </c>
      <c r="B191">
        <v>5.9923789999999997</v>
      </c>
      <c r="C191">
        <f t="shared" si="7"/>
        <v>7.53</v>
      </c>
      <c r="M191" s="34">
        <v>43062</v>
      </c>
      <c r="N191">
        <v>6.8</v>
      </c>
    </row>
    <row r="192" spans="1:14" x14ac:dyDescent="0.2">
      <c r="A192" s="34">
        <v>43149</v>
      </c>
      <c r="B192">
        <v>5.9911459999999996</v>
      </c>
      <c r="C192">
        <f t="shared" si="7"/>
        <v>7.51</v>
      </c>
      <c r="M192" s="34">
        <v>43061</v>
      </c>
      <c r="N192">
        <v>7.02</v>
      </c>
    </row>
    <row r="193" spans="1:14" x14ac:dyDescent="0.2">
      <c r="A193" s="34">
        <v>43148</v>
      </c>
      <c r="B193">
        <v>5.9899129999999996</v>
      </c>
      <c r="C193">
        <f t="shared" si="7"/>
        <v>7.51</v>
      </c>
      <c r="M193" s="34">
        <v>43060</v>
      </c>
      <c r="N193">
        <v>6.95</v>
      </c>
    </row>
    <row r="194" spans="1:14" x14ac:dyDescent="0.2">
      <c r="A194" s="34">
        <v>43147</v>
      </c>
      <c r="B194">
        <v>5.9886809999999997</v>
      </c>
      <c r="C194">
        <f t="shared" ref="C194:C257" si="8">IFERROR(VLOOKUP(A194,$M$2:$N$3695,2,0),C195)</f>
        <v>7.51</v>
      </c>
      <c r="M194" s="34">
        <v>43056</v>
      </c>
      <c r="N194">
        <v>7</v>
      </c>
    </row>
    <row r="195" spans="1:14" x14ac:dyDescent="0.2">
      <c r="A195" s="34">
        <v>43146</v>
      </c>
      <c r="B195">
        <v>5.9874479999999997</v>
      </c>
      <c r="C195">
        <f t="shared" si="8"/>
        <v>7.55</v>
      </c>
      <c r="M195" s="34">
        <v>43055</v>
      </c>
      <c r="N195">
        <v>7.01</v>
      </c>
    </row>
    <row r="196" spans="1:14" x14ac:dyDescent="0.2">
      <c r="A196" s="34">
        <v>43145</v>
      </c>
      <c r="B196">
        <v>5.9862159999999998</v>
      </c>
      <c r="C196">
        <f t="shared" si="8"/>
        <v>7.53</v>
      </c>
      <c r="M196" s="34">
        <v>43054</v>
      </c>
      <c r="N196">
        <v>7.01</v>
      </c>
    </row>
    <row r="197" spans="1:14" x14ac:dyDescent="0.2">
      <c r="A197" s="34">
        <v>43144</v>
      </c>
      <c r="B197">
        <v>5.9849839999999999</v>
      </c>
      <c r="C197">
        <f t="shared" si="8"/>
        <v>7.51</v>
      </c>
      <c r="M197" s="34">
        <v>43053</v>
      </c>
      <c r="N197">
        <v>7.02</v>
      </c>
    </row>
    <row r="198" spans="1:14" x14ac:dyDescent="0.2">
      <c r="A198" s="34">
        <v>43143</v>
      </c>
      <c r="B198">
        <v>5.983752</v>
      </c>
      <c r="C198">
        <f t="shared" si="8"/>
        <v>7.51</v>
      </c>
      <c r="M198" s="34">
        <v>43052</v>
      </c>
      <c r="N198">
        <v>7</v>
      </c>
    </row>
    <row r="199" spans="1:14" x14ac:dyDescent="0.2">
      <c r="A199" s="34">
        <v>43142</v>
      </c>
      <c r="B199">
        <v>5.9825210000000002</v>
      </c>
      <c r="C199">
        <f t="shared" si="8"/>
        <v>7.49</v>
      </c>
      <c r="M199" s="34">
        <v>43049</v>
      </c>
      <c r="N199">
        <v>7.01</v>
      </c>
    </row>
    <row r="200" spans="1:14" x14ac:dyDescent="0.2">
      <c r="A200" s="34">
        <v>43141</v>
      </c>
      <c r="B200">
        <v>5.9812900000000004</v>
      </c>
      <c r="C200">
        <f t="shared" si="8"/>
        <v>7.49</v>
      </c>
      <c r="M200" s="34">
        <v>43048</v>
      </c>
      <c r="N200">
        <v>6.95</v>
      </c>
    </row>
    <row r="201" spans="1:14" x14ac:dyDescent="0.2">
      <c r="A201" s="34">
        <v>43140</v>
      </c>
      <c r="B201">
        <v>5.9804000000000004</v>
      </c>
      <c r="C201">
        <f t="shared" si="8"/>
        <v>7.49</v>
      </c>
      <c r="M201" s="34">
        <v>43047</v>
      </c>
      <c r="N201">
        <v>7.03</v>
      </c>
    </row>
    <row r="202" spans="1:14" x14ac:dyDescent="0.2">
      <c r="A202" s="34">
        <v>43139</v>
      </c>
      <c r="B202">
        <v>5.9795109999999996</v>
      </c>
      <c r="C202">
        <f t="shared" si="8"/>
        <v>7.35</v>
      </c>
      <c r="M202" s="34">
        <v>43046</v>
      </c>
      <c r="N202">
        <v>7</v>
      </c>
    </row>
    <row r="203" spans="1:14" x14ac:dyDescent="0.2">
      <c r="A203" s="34">
        <v>43138</v>
      </c>
      <c r="B203">
        <v>5.9786219999999997</v>
      </c>
      <c r="C203">
        <f t="shared" si="8"/>
        <v>7.22</v>
      </c>
      <c r="M203" s="34">
        <v>43045</v>
      </c>
      <c r="N203">
        <v>7.04</v>
      </c>
    </row>
    <row r="204" spans="1:14" x14ac:dyDescent="0.2">
      <c r="A204" s="34">
        <v>43137</v>
      </c>
      <c r="B204">
        <v>5.9777329999999997</v>
      </c>
      <c r="C204">
        <f t="shared" si="8"/>
        <v>7.27</v>
      </c>
      <c r="M204" s="34">
        <v>43042</v>
      </c>
      <c r="N204">
        <v>7.14</v>
      </c>
    </row>
    <row r="205" spans="1:14" x14ac:dyDescent="0.2">
      <c r="A205" s="34">
        <v>43136</v>
      </c>
      <c r="B205">
        <v>5.976845</v>
      </c>
      <c r="C205">
        <f t="shared" si="8"/>
        <v>7.41</v>
      </c>
      <c r="M205" s="34">
        <v>43040</v>
      </c>
      <c r="N205">
        <v>7.03</v>
      </c>
    </row>
    <row r="206" spans="1:14" x14ac:dyDescent="0.2">
      <c r="A206" s="34">
        <v>43135</v>
      </c>
      <c r="B206">
        <v>5.975956</v>
      </c>
      <c r="C206">
        <f t="shared" si="8"/>
        <v>7.41</v>
      </c>
      <c r="M206" s="34">
        <v>43039</v>
      </c>
      <c r="N206">
        <v>6.95</v>
      </c>
    </row>
    <row r="207" spans="1:14" x14ac:dyDescent="0.2">
      <c r="A207" s="34">
        <v>43134</v>
      </c>
      <c r="B207">
        <v>5.9750680000000003</v>
      </c>
      <c r="C207">
        <f t="shared" si="8"/>
        <v>7.41</v>
      </c>
      <c r="M207" s="34">
        <v>43038</v>
      </c>
      <c r="N207">
        <v>6.92</v>
      </c>
    </row>
    <row r="208" spans="1:14" x14ac:dyDescent="0.2">
      <c r="A208" s="34">
        <v>43133</v>
      </c>
      <c r="B208">
        <v>5.9741790000000004</v>
      </c>
      <c r="C208">
        <f t="shared" si="8"/>
        <v>7.41</v>
      </c>
      <c r="M208" s="34">
        <v>43035</v>
      </c>
      <c r="N208">
        <v>6.97</v>
      </c>
    </row>
    <row r="209" spans="1:14" x14ac:dyDescent="0.2">
      <c r="A209" s="34">
        <v>43132</v>
      </c>
      <c r="B209">
        <v>5.9732909999999997</v>
      </c>
      <c r="C209">
        <f t="shared" si="8"/>
        <v>7.4</v>
      </c>
      <c r="M209" s="34">
        <v>43034</v>
      </c>
      <c r="N209">
        <v>7</v>
      </c>
    </row>
    <row r="210" spans="1:14" x14ac:dyDescent="0.2">
      <c r="A210" s="34">
        <v>43131</v>
      </c>
      <c r="B210">
        <v>5.9724029999999999</v>
      </c>
      <c r="C210">
        <f t="shared" si="8"/>
        <v>7.38</v>
      </c>
      <c r="M210" s="34">
        <v>43033</v>
      </c>
      <c r="N210">
        <v>7.05</v>
      </c>
    </row>
    <row r="211" spans="1:14" x14ac:dyDescent="0.2">
      <c r="A211" s="34">
        <v>43130</v>
      </c>
      <c r="B211">
        <v>5.9715150000000001</v>
      </c>
      <c r="C211">
        <f t="shared" si="8"/>
        <v>7.25</v>
      </c>
      <c r="M211" s="34">
        <v>43032</v>
      </c>
      <c r="N211">
        <v>7.06</v>
      </c>
    </row>
    <row r="212" spans="1:14" x14ac:dyDescent="0.2">
      <c r="A212" s="34">
        <v>43129</v>
      </c>
      <c r="B212">
        <v>5.9706270000000004</v>
      </c>
      <c r="C212">
        <f t="shared" si="8"/>
        <v>7.27</v>
      </c>
      <c r="M212" s="34">
        <v>43031</v>
      </c>
      <c r="N212">
        <v>6.85</v>
      </c>
    </row>
    <row r="213" spans="1:14" x14ac:dyDescent="0.2">
      <c r="A213" s="34">
        <v>43128</v>
      </c>
      <c r="B213">
        <v>5.9697399999999998</v>
      </c>
      <c r="C213">
        <f t="shared" si="8"/>
        <v>7.27</v>
      </c>
      <c r="M213" s="34">
        <v>43028</v>
      </c>
      <c r="N213">
        <v>6.99</v>
      </c>
    </row>
    <row r="214" spans="1:14" x14ac:dyDescent="0.2">
      <c r="A214" s="34">
        <v>43127</v>
      </c>
      <c r="B214">
        <v>5.968852</v>
      </c>
      <c r="C214">
        <f t="shared" si="8"/>
        <v>7.27</v>
      </c>
      <c r="M214" s="34">
        <v>43027</v>
      </c>
      <c r="N214">
        <v>7.06</v>
      </c>
    </row>
    <row r="215" spans="1:14" x14ac:dyDescent="0.2">
      <c r="A215" s="34">
        <v>43126</v>
      </c>
      <c r="B215">
        <v>5.9679650000000004</v>
      </c>
      <c r="C215">
        <f t="shared" si="8"/>
        <v>7.27</v>
      </c>
      <c r="M215" s="34">
        <v>43026</v>
      </c>
      <c r="N215">
        <v>7.03</v>
      </c>
    </row>
    <row r="216" spans="1:14" x14ac:dyDescent="0.2">
      <c r="A216" s="34">
        <v>43125</v>
      </c>
      <c r="B216">
        <v>5.9670769999999997</v>
      </c>
      <c r="C216">
        <f t="shared" si="8"/>
        <v>7.26</v>
      </c>
      <c r="M216" s="34">
        <v>43025</v>
      </c>
      <c r="N216">
        <v>6.95</v>
      </c>
    </row>
    <row r="217" spans="1:14" x14ac:dyDescent="0.2">
      <c r="A217" s="34">
        <v>43124</v>
      </c>
      <c r="B217">
        <v>5.9659829999999996</v>
      </c>
      <c r="C217">
        <f t="shared" si="8"/>
        <v>7.24</v>
      </c>
      <c r="M217" s="34">
        <v>43024</v>
      </c>
      <c r="N217">
        <v>7.02</v>
      </c>
    </row>
    <row r="218" spans="1:14" x14ac:dyDescent="0.2">
      <c r="A218" s="34">
        <v>43123</v>
      </c>
      <c r="B218">
        <v>5.9648880000000002</v>
      </c>
      <c r="C218">
        <f t="shared" si="8"/>
        <v>7.25</v>
      </c>
      <c r="M218" s="34">
        <v>43021</v>
      </c>
      <c r="N218">
        <v>7.04</v>
      </c>
    </row>
    <row r="219" spans="1:14" x14ac:dyDescent="0.2">
      <c r="A219" s="34">
        <v>43122</v>
      </c>
      <c r="B219">
        <v>5.963794</v>
      </c>
      <c r="C219">
        <f t="shared" si="8"/>
        <v>7.24</v>
      </c>
      <c r="M219" s="34">
        <v>43020</v>
      </c>
      <c r="N219">
        <v>7.1</v>
      </c>
    </row>
    <row r="220" spans="1:14" x14ac:dyDescent="0.2">
      <c r="A220" s="34">
        <v>43121</v>
      </c>
      <c r="B220">
        <v>5.9626999999999999</v>
      </c>
      <c r="C220">
        <f t="shared" si="8"/>
        <v>7.34</v>
      </c>
      <c r="M220" s="34">
        <v>43019</v>
      </c>
      <c r="N220">
        <v>7.08</v>
      </c>
    </row>
    <row r="221" spans="1:14" x14ac:dyDescent="0.2">
      <c r="A221" s="34">
        <v>43120</v>
      </c>
      <c r="B221">
        <v>5.9616059999999997</v>
      </c>
      <c r="C221">
        <f t="shared" si="8"/>
        <v>7.34</v>
      </c>
      <c r="M221" s="34">
        <v>43018</v>
      </c>
      <c r="N221">
        <v>7.01</v>
      </c>
    </row>
    <row r="222" spans="1:14" x14ac:dyDescent="0.2">
      <c r="A222" s="34">
        <v>43119</v>
      </c>
      <c r="B222">
        <v>5.9605119999999996</v>
      </c>
      <c r="C222">
        <f t="shared" si="8"/>
        <v>7.34</v>
      </c>
      <c r="M222" s="34">
        <v>43017</v>
      </c>
      <c r="N222">
        <v>7.04</v>
      </c>
    </row>
    <row r="223" spans="1:14" x14ac:dyDescent="0.2">
      <c r="A223" s="34">
        <v>43118</v>
      </c>
      <c r="B223">
        <v>5.9594189999999996</v>
      </c>
      <c r="C223">
        <f t="shared" si="8"/>
        <v>7.35</v>
      </c>
      <c r="M223" s="34">
        <v>43014</v>
      </c>
      <c r="N223">
        <v>7</v>
      </c>
    </row>
    <row r="224" spans="1:14" x14ac:dyDescent="0.2">
      <c r="A224" s="34">
        <v>43117</v>
      </c>
      <c r="B224">
        <v>5.9583259999999996</v>
      </c>
      <c r="C224">
        <f t="shared" si="8"/>
        <v>7.22</v>
      </c>
      <c r="M224" s="34">
        <v>43013</v>
      </c>
      <c r="N224">
        <v>7.03</v>
      </c>
    </row>
    <row r="225" spans="1:14" x14ac:dyDescent="0.2">
      <c r="A225" s="34">
        <v>43116</v>
      </c>
      <c r="B225">
        <v>5.9572329999999996</v>
      </c>
      <c r="C225">
        <f t="shared" si="8"/>
        <v>7.26</v>
      </c>
      <c r="M225" s="34">
        <v>43012</v>
      </c>
      <c r="N225">
        <v>7.03</v>
      </c>
    </row>
    <row r="226" spans="1:14" x14ac:dyDescent="0.2">
      <c r="A226" s="34">
        <v>43115</v>
      </c>
      <c r="B226">
        <v>5.9561400000000004</v>
      </c>
      <c r="C226">
        <f t="shared" si="8"/>
        <v>7.25</v>
      </c>
      <c r="M226" s="34">
        <v>43011</v>
      </c>
      <c r="N226">
        <v>7</v>
      </c>
    </row>
    <row r="227" spans="1:14" x14ac:dyDescent="0.2">
      <c r="A227" s="34">
        <v>43114</v>
      </c>
      <c r="B227">
        <v>5.9550470000000004</v>
      </c>
      <c r="C227">
        <f t="shared" si="8"/>
        <v>7.27</v>
      </c>
      <c r="M227" s="34">
        <v>43010</v>
      </c>
      <c r="N227">
        <v>7.14</v>
      </c>
    </row>
    <row r="228" spans="1:14" x14ac:dyDescent="0.2">
      <c r="A228" s="34">
        <v>43113</v>
      </c>
      <c r="B228">
        <v>5.9539549999999997</v>
      </c>
      <c r="C228">
        <f t="shared" si="8"/>
        <v>7.27</v>
      </c>
      <c r="M228" s="34">
        <v>43007</v>
      </c>
      <c r="N228">
        <v>7.07</v>
      </c>
    </row>
    <row r="229" spans="1:14" x14ac:dyDescent="0.2">
      <c r="A229" s="34">
        <v>43112</v>
      </c>
      <c r="B229">
        <v>5.9528619999999997</v>
      </c>
      <c r="C229">
        <f t="shared" si="8"/>
        <v>7.27</v>
      </c>
      <c r="M229" s="34">
        <v>43006</v>
      </c>
      <c r="N229">
        <v>6.98</v>
      </c>
    </row>
    <row r="230" spans="1:14" x14ac:dyDescent="0.2">
      <c r="A230" s="34">
        <v>43111</v>
      </c>
      <c r="B230">
        <v>5.9517699999999998</v>
      </c>
      <c r="C230">
        <f t="shared" si="8"/>
        <v>7.25</v>
      </c>
      <c r="M230" s="34">
        <v>43005</v>
      </c>
      <c r="N230">
        <v>6.87</v>
      </c>
    </row>
    <row r="231" spans="1:14" x14ac:dyDescent="0.2">
      <c r="A231" s="34">
        <v>43110</v>
      </c>
      <c r="B231">
        <v>5.9506779999999999</v>
      </c>
      <c r="C231">
        <f t="shared" si="8"/>
        <v>7.27</v>
      </c>
      <c r="M231" s="34">
        <v>43004</v>
      </c>
      <c r="N231">
        <v>6.9</v>
      </c>
    </row>
    <row r="232" spans="1:14" x14ac:dyDescent="0.2">
      <c r="A232" s="34">
        <v>43109</v>
      </c>
      <c r="B232">
        <v>5.9490639999999999</v>
      </c>
      <c r="C232">
        <f t="shared" si="8"/>
        <v>7.28</v>
      </c>
      <c r="M232" s="34">
        <v>43003</v>
      </c>
      <c r="N232">
        <v>6.35</v>
      </c>
    </row>
    <row r="233" spans="1:14" x14ac:dyDescent="0.2">
      <c r="A233" s="34">
        <v>43108</v>
      </c>
      <c r="B233">
        <v>5.9474489999999998</v>
      </c>
      <c r="C233">
        <f t="shared" si="8"/>
        <v>7.25</v>
      </c>
      <c r="M233" s="34">
        <v>43000</v>
      </c>
      <c r="N233">
        <v>6.99</v>
      </c>
    </row>
    <row r="234" spans="1:14" x14ac:dyDescent="0.2">
      <c r="A234" s="34">
        <v>43107</v>
      </c>
      <c r="B234">
        <v>5.9458359999999999</v>
      </c>
      <c r="C234">
        <f t="shared" si="8"/>
        <v>7.25</v>
      </c>
      <c r="M234" s="34">
        <v>42999</v>
      </c>
      <c r="N234">
        <v>7.2</v>
      </c>
    </row>
    <row r="235" spans="1:14" x14ac:dyDescent="0.2">
      <c r="A235" s="34">
        <v>43106</v>
      </c>
      <c r="B235">
        <v>5.9442219999999999</v>
      </c>
      <c r="C235">
        <f t="shared" si="8"/>
        <v>7.25</v>
      </c>
      <c r="M235" s="34">
        <v>42998</v>
      </c>
      <c r="N235">
        <v>7.02</v>
      </c>
    </row>
    <row r="236" spans="1:14" x14ac:dyDescent="0.2">
      <c r="A236" s="34">
        <v>43105</v>
      </c>
      <c r="B236">
        <v>5.942609</v>
      </c>
      <c r="C236">
        <f t="shared" si="8"/>
        <v>7.25</v>
      </c>
      <c r="M236" s="34">
        <v>42997</v>
      </c>
      <c r="N236">
        <v>7.13</v>
      </c>
    </row>
    <row r="237" spans="1:14" x14ac:dyDescent="0.2">
      <c r="A237" s="34">
        <v>43104</v>
      </c>
      <c r="B237">
        <v>5.9409970000000003</v>
      </c>
      <c r="C237">
        <f t="shared" si="8"/>
        <v>7.39</v>
      </c>
      <c r="M237" s="34">
        <v>42996</v>
      </c>
      <c r="N237">
        <v>7.02</v>
      </c>
    </row>
    <row r="238" spans="1:14" x14ac:dyDescent="0.2">
      <c r="A238" s="34">
        <v>43103</v>
      </c>
      <c r="B238">
        <v>5.9393849999999997</v>
      </c>
      <c r="C238">
        <f t="shared" si="8"/>
        <v>7.25</v>
      </c>
      <c r="M238" s="34">
        <v>42993</v>
      </c>
      <c r="N238">
        <v>7.03</v>
      </c>
    </row>
    <row r="239" spans="1:14" x14ac:dyDescent="0.2">
      <c r="A239" s="34">
        <v>43102</v>
      </c>
      <c r="B239">
        <v>5.937773</v>
      </c>
      <c r="C239">
        <f t="shared" si="8"/>
        <v>7.33</v>
      </c>
      <c r="M239" s="34">
        <v>42992</v>
      </c>
      <c r="N239">
        <v>7.12</v>
      </c>
    </row>
    <row r="240" spans="1:14" x14ac:dyDescent="0.2">
      <c r="A240" s="34">
        <v>43101</v>
      </c>
      <c r="B240">
        <v>5.9361620000000004</v>
      </c>
      <c r="C240">
        <f t="shared" si="8"/>
        <v>7.35</v>
      </c>
      <c r="M240" s="34">
        <v>42991</v>
      </c>
      <c r="N240">
        <v>7</v>
      </c>
    </row>
    <row r="241" spans="1:14" x14ac:dyDescent="0.2">
      <c r="A241" s="34">
        <v>43100</v>
      </c>
      <c r="B241">
        <v>5.9345509999999999</v>
      </c>
      <c r="C241">
        <f t="shared" si="8"/>
        <v>7.35</v>
      </c>
      <c r="M241" s="34">
        <v>42990</v>
      </c>
      <c r="N241">
        <v>7.11</v>
      </c>
    </row>
    <row r="242" spans="1:14" x14ac:dyDescent="0.2">
      <c r="A242" s="34">
        <v>43099</v>
      </c>
      <c r="B242">
        <v>5.9329409999999996</v>
      </c>
      <c r="C242">
        <f t="shared" si="8"/>
        <v>7.35</v>
      </c>
      <c r="M242" s="34">
        <v>42989</v>
      </c>
      <c r="N242">
        <v>7.06</v>
      </c>
    </row>
    <row r="243" spans="1:14" x14ac:dyDescent="0.2">
      <c r="A243" s="34">
        <v>43098</v>
      </c>
      <c r="B243">
        <v>5.9313310000000001</v>
      </c>
      <c r="C243">
        <f t="shared" si="8"/>
        <v>7.35</v>
      </c>
      <c r="M243" s="34">
        <v>42986</v>
      </c>
      <c r="N243">
        <v>7.03</v>
      </c>
    </row>
    <row r="244" spans="1:14" x14ac:dyDescent="0.2">
      <c r="A244" s="34">
        <v>43097</v>
      </c>
      <c r="B244">
        <v>5.9297209999999998</v>
      </c>
      <c r="C244">
        <f t="shared" si="8"/>
        <v>7.35</v>
      </c>
      <c r="M244" s="34">
        <v>42985</v>
      </c>
      <c r="N244">
        <v>7.04</v>
      </c>
    </row>
    <row r="245" spans="1:14" x14ac:dyDescent="0.2">
      <c r="A245" s="34">
        <v>43096</v>
      </c>
      <c r="B245">
        <v>5.9281119999999996</v>
      </c>
      <c r="C245">
        <f t="shared" si="8"/>
        <v>7.32</v>
      </c>
      <c r="M245" s="34">
        <v>42984</v>
      </c>
      <c r="N245">
        <v>7.03</v>
      </c>
    </row>
    <row r="246" spans="1:14" x14ac:dyDescent="0.2">
      <c r="A246" s="34">
        <v>43095</v>
      </c>
      <c r="B246">
        <v>5.9265040000000004</v>
      </c>
      <c r="C246">
        <f t="shared" si="8"/>
        <v>7.27</v>
      </c>
      <c r="M246" s="34">
        <v>42983</v>
      </c>
      <c r="N246">
        <v>7.02</v>
      </c>
    </row>
    <row r="247" spans="1:14" x14ac:dyDescent="0.2">
      <c r="A247" s="34">
        <v>43094</v>
      </c>
      <c r="B247">
        <v>5.9248960000000004</v>
      </c>
      <c r="C247">
        <f t="shared" si="8"/>
        <v>7.31</v>
      </c>
      <c r="M247" s="34">
        <v>42982</v>
      </c>
      <c r="N247">
        <v>7.04</v>
      </c>
    </row>
    <row r="248" spans="1:14" x14ac:dyDescent="0.2">
      <c r="A248" s="34">
        <v>43093</v>
      </c>
      <c r="B248">
        <v>5.9247529999999999</v>
      </c>
      <c r="C248">
        <f t="shared" si="8"/>
        <v>7.31</v>
      </c>
      <c r="M248" s="34">
        <v>42979</v>
      </c>
      <c r="N248">
        <v>7.09</v>
      </c>
    </row>
    <row r="249" spans="1:14" x14ac:dyDescent="0.2">
      <c r="A249" s="34">
        <v>43092</v>
      </c>
      <c r="B249">
        <v>5.9246100000000004</v>
      </c>
      <c r="C249">
        <f t="shared" si="8"/>
        <v>7.31</v>
      </c>
      <c r="M249" s="34">
        <v>42978</v>
      </c>
      <c r="N249">
        <v>7.16</v>
      </c>
    </row>
    <row r="250" spans="1:14" x14ac:dyDescent="0.2">
      <c r="A250" s="34">
        <v>43091</v>
      </c>
      <c r="B250">
        <v>5.9244669999999999</v>
      </c>
      <c r="C250">
        <f t="shared" si="8"/>
        <v>7.31</v>
      </c>
      <c r="M250" s="34">
        <v>42977</v>
      </c>
      <c r="N250">
        <v>6.9</v>
      </c>
    </row>
    <row r="251" spans="1:14" x14ac:dyDescent="0.2">
      <c r="A251" s="34">
        <v>43090</v>
      </c>
      <c r="B251">
        <v>5.9243249999999996</v>
      </c>
      <c r="C251">
        <f t="shared" si="8"/>
        <v>7.29</v>
      </c>
      <c r="M251" s="34">
        <v>42976</v>
      </c>
      <c r="N251">
        <v>7</v>
      </c>
    </row>
    <row r="252" spans="1:14" x14ac:dyDescent="0.2">
      <c r="A252" s="34">
        <v>43089</v>
      </c>
      <c r="B252">
        <v>5.9241820000000001</v>
      </c>
      <c r="C252">
        <f t="shared" si="8"/>
        <v>7.28</v>
      </c>
      <c r="M252" s="34">
        <v>42975</v>
      </c>
      <c r="N252">
        <v>7.03</v>
      </c>
    </row>
    <row r="253" spans="1:14" x14ac:dyDescent="0.2">
      <c r="A253" s="34">
        <v>43088</v>
      </c>
      <c r="B253">
        <v>5.9240389999999996</v>
      </c>
      <c r="C253">
        <f t="shared" si="8"/>
        <v>7.27</v>
      </c>
      <c r="M253" s="34">
        <v>42972</v>
      </c>
      <c r="N253">
        <v>6.95</v>
      </c>
    </row>
    <row r="254" spans="1:14" x14ac:dyDescent="0.2">
      <c r="A254" s="34">
        <v>43087</v>
      </c>
      <c r="B254">
        <v>5.9238960000000001</v>
      </c>
      <c r="C254">
        <f t="shared" si="8"/>
        <v>7.28</v>
      </c>
      <c r="M254" s="34">
        <v>42971</v>
      </c>
      <c r="N254">
        <v>7.01</v>
      </c>
    </row>
    <row r="255" spans="1:14" x14ac:dyDescent="0.2">
      <c r="A255" s="34">
        <v>43086</v>
      </c>
      <c r="B255">
        <v>5.9237539999999997</v>
      </c>
      <c r="C255">
        <f t="shared" si="8"/>
        <v>7.3</v>
      </c>
      <c r="M255" s="34">
        <v>42970</v>
      </c>
      <c r="N255">
        <v>7.05</v>
      </c>
    </row>
    <row r="256" spans="1:14" x14ac:dyDescent="0.2">
      <c r="A256" s="34">
        <v>43085</v>
      </c>
      <c r="B256">
        <v>5.9236110000000002</v>
      </c>
      <c r="C256">
        <f t="shared" si="8"/>
        <v>7.3</v>
      </c>
      <c r="M256" s="34">
        <v>42969</v>
      </c>
      <c r="N256">
        <v>7.04</v>
      </c>
    </row>
    <row r="257" spans="1:14" x14ac:dyDescent="0.2">
      <c r="A257" s="34">
        <v>43084</v>
      </c>
      <c r="B257">
        <v>5.9234679999999997</v>
      </c>
      <c r="C257">
        <f t="shared" si="8"/>
        <v>7.3</v>
      </c>
      <c r="M257" s="34">
        <v>42968</v>
      </c>
      <c r="N257">
        <v>7.08</v>
      </c>
    </row>
    <row r="258" spans="1:14" x14ac:dyDescent="0.2">
      <c r="A258" s="34">
        <v>43083</v>
      </c>
      <c r="B258">
        <v>5.9233250000000002</v>
      </c>
      <c r="C258">
        <f t="shared" ref="C258:C321" si="9">IFERROR(VLOOKUP(A258,$M$2:$N$3695,2,0),C259)</f>
        <v>7.32</v>
      </c>
      <c r="M258" s="34">
        <v>42965</v>
      </c>
      <c r="N258">
        <v>7.07</v>
      </c>
    </row>
    <row r="259" spans="1:14" x14ac:dyDescent="0.2">
      <c r="A259" s="34">
        <v>43082</v>
      </c>
      <c r="B259">
        <v>5.9231829999999999</v>
      </c>
      <c r="C259">
        <f t="shared" si="9"/>
        <v>7.15</v>
      </c>
      <c r="M259" s="34">
        <v>42964</v>
      </c>
      <c r="N259">
        <v>7</v>
      </c>
    </row>
    <row r="260" spans="1:14" x14ac:dyDescent="0.2">
      <c r="A260" s="34">
        <v>43081</v>
      </c>
      <c r="B260">
        <v>5.9230400000000003</v>
      </c>
      <c r="C260">
        <f t="shared" si="9"/>
        <v>7.11</v>
      </c>
      <c r="M260" s="34">
        <v>42963</v>
      </c>
      <c r="N260">
        <v>7</v>
      </c>
    </row>
    <row r="261" spans="1:14" x14ac:dyDescent="0.2">
      <c r="A261" s="34">
        <v>43080</v>
      </c>
      <c r="B261">
        <v>5.9228969999999999</v>
      </c>
      <c r="C261">
        <f t="shared" si="9"/>
        <v>7.11</v>
      </c>
      <c r="M261" s="34">
        <v>42962</v>
      </c>
      <c r="N261">
        <v>7.03</v>
      </c>
    </row>
    <row r="262" spans="1:14" x14ac:dyDescent="0.2">
      <c r="A262" s="34">
        <v>43079</v>
      </c>
      <c r="B262">
        <v>5.9227550000000004</v>
      </c>
      <c r="C262">
        <f t="shared" si="9"/>
        <v>7.07</v>
      </c>
      <c r="M262" s="34">
        <v>42961</v>
      </c>
      <c r="N262">
        <v>7.02</v>
      </c>
    </row>
    <row r="263" spans="1:14" x14ac:dyDescent="0.2">
      <c r="A263" s="34">
        <v>43078</v>
      </c>
      <c r="B263">
        <v>5.9191589999999996</v>
      </c>
      <c r="C263">
        <f t="shared" si="9"/>
        <v>7.07</v>
      </c>
      <c r="M263" s="34">
        <v>42958</v>
      </c>
      <c r="N263">
        <v>7</v>
      </c>
    </row>
    <row r="264" spans="1:14" x14ac:dyDescent="0.2">
      <c r="A264" s="34">
        <v>43077</v>
      </c>
      <c r="B264">
        <v>5.915565</v>
      </c>
      <c r="C264">
        <f t="shared" si="9"/>
        <v>7.07</v>
      </c>
      <c r="M264" s="34">
        <v>42957</v>
      </c>
      <c r="N264">
        <v>6.98</v>
      </c>
    </row>
    <row r="265" spans="1:14" x14ac:dyDescent="0.2">
      <c r="A265" s="34">
        <v>43076</v>
      </c>
      <c r="B265">
        <v>5.9119739999999998</v>
      </c>
      <c r="C265">
        <f t="shared" si="9"/>
        <v>7.1</v>
      </c>
      <c r="M265" s="34">
        <v>42956</v>
      </c>
      <c r="N265">
        <v>6.99</v>
      </c>
    </row>
    <row r="266" spans="1:14" x14ac:dyDescent="0.2">
      <c r="A266" s="34">
        <v>43075</v>
      </c>
      <c r="B266">
        <v>5.908385</v>
      </c>
      <c r="C266">
        <f t="shared" si="9"/>
        <v>7.02</v>
      </c>
      <c r="M266" s="34">
        <v>42955</v>
      </c>
      <c r="N266">
        <v>7.04</v>
      </c>
    </row>
    <row r="267" spans="1:14" x14ac:dyDescent="0.2">
      <c r="A267" s="34">
        <v>43074</v>
      </c>
      <c r="B267">
        <v>5.9047980000000004</v>
      </c>
      <c r="C267">
        <f t="shared" si="9"/>
        <v>7.08</v>
      </c>
      <c r="M267" s="34">
        <v>42954</v>
      </c>
      <c r="N267">
        <v>7.04</v>
      </c>
    </row>
    <row r="268" spans="1:14" x14ac:dyDescent="0.2">
      <c r="A268" s="34">
        <v>43073</v>
      </c>
      <c r="B268">
        <v>5.9012130000000003</v>
      </c>
      <c r="C268">
        <f t="shared" si="9"/>
        <v>6.97</v>
      </c>
      <c r="M268" s="34">
        <v>42951</v>
      </c>
      <c r="N268">
        <v>7.03</v>
      </c>
    </row>
    <row r="269" spans="1:14" x14ac:dyDescent="0.2">
      <c r="A269" s="34">
        <v>43072</v>
      </c>
      <c r="B269">
        <v>5.8976309999999996</v>
      </c>
      <c r="C269">
        <f t="shared" si="9"/>
        <v>7.12</v>
      </c>
      <c r="M269" s="34">
        <v>42950</v>
      </c>
      <c r="N269">
        <v>7.03</v>
      </c>
    </row>
    <row r="270" spans="1:14" x14ac:dyDescent="0.2">
      <c r="A270" s="34">
        <v>43071</v>
      </c>
      <c r="B270">
        <v>5.89405</v>
      </c>
      <c r="C270">
        <f t="shared" si="9"/>
        <v>7.12</v>
      </c>
      <c r="M270" s="34">
        <v>42949</v>
      </c>
      <c r="N270">
        <v>7.05</v>
      </c>
    </row>
    <row r="271" spans="1:14" x14ac:dyDescent="0.2">
      <c r="A271" s="34">
        <v>43070</v>
      </c>
      <c r="B271">
        <v>5.8904719999999999</v>
      </c>
      <c r="C271">
        <f t="shared" si="9"/>
        <v>7.12</v>
      </c>
      <c r="M271" s="34">
        <v>42948</v>
      </c>
      <c r="N271">
        <v>7.07</v>
      </c>
    </row>
    <row r="272" spans="1:14" x14ac:dyDescent="0.2">
      <c r="A272" s="34">
        <v>43069</v>
      </c>
      <c r="B272">
        <v>5.8868960000000001</v>
      </c>
      <c r="C272">
        <f t="shared" si="9"/>
        <v>7.05</v>
      </c>
      <c r="M272" s="34">
        <v>42947</v>
      </c>
      <c r="N272">
        <v>7.12</v>
      </c>
    </row>
    <row r="273" spans="1:14" x14ac:dyDescent="0.2">
      <c r="A273" s="34">
        <v>43068</v>
      </c>
      <c r="B273">
        <v>5.8833219999999997</v>
      </c>
      <c r="C273">
        <f t="shared" si="9"/>
        <v>6.95</v>
      </c>
      <c r="M273" s="34">
        <v>42944</v>
      </c>
      <c r="N273">
        <v>7.02</v>
      </c>
    </row>
    <row r="274" spans="1:14" x14ac:dyDescent="0.2">
      <c r="A274" s="34">
        <v>43067</v>
      </c>
      <c r="B274">
        <v>5.8797499999999996</v>
      </c>
      <c r="C274">
        <f t="shared" si="9"/>
        <v>7.01</v>
      </c>
      <c r="M274" s="34">
        <v>42943</v>
      </c>
      <c r="N274">
        <v>7.11</v>
      </c>
    </row>
    <row r="275" spans="1:14" x14ac:dyDescent="0.2">
      <c r="A275" s="34">
        <v>43066</v>
      </c>
      <c r="B275">
        <v>5.8761809999999999</v>
      </c>
      <c r="C275">
        <f t="shared" si="9"/>
        <v>7.02</v>
      </c>
      <c r="M275" s="34">
        <v>42942</v>
      </c>
      <c r="N275">
        <v>7.07</v>
      </c>
    </row>
    <row r="276" spans="1:14" x14ac:dyDescent="0.2">
      <c r="A276" s="34">
        <v>43065</v>
      </c>
      <c r="B276">
        <v>5.8726130000000003</v>
      </c>
      <c r="C276">
        <f t="shared" si="9"/>
        <v>7</v>
      </c>
      <c r="M276" s="34">
        <v>42941</v>
      </c>
      <c r="N276">
        <v>7.04</v>
      </c>
    </row>
    <row r="277" spans="1:14" x14ac:dyDescent="0.2">
      <c r="A277" s="34">
        <v>43064</v>
      </c>
      <c r="B277">
        <v>5.8690480000000003</v>
      </c>
      <c r="C277">
        <f t="shared" si="9"/>
        <v>7</v>
      </c>
      <c r="M277" s="34">
        <v>42940</v>
      </c>
      <c r="N277">
        <v>6.99</v>
      </c>
    </row>
    <row r="278" spans="1:14" x14ac:dyDescent="0.2">
      <c r="A278" s="34">
        <v>43063</v>
      </c>
      <c r="B278">
        <v>5.8682910000000001</v>
      </c>
      <c r="C278">
        <f t="shared" si="9"/>
        <v>7</v>
      </c>
      <c r="M278" s="34">
        <v>42937</v>
      </c>
      <c r="N278">
        <v>7.04</v>
      </c>
    </row>
    <row r="279" spans="1:14" x14ac:dyDescent="0.2">
      <c r="A279" s="34">
        <v>43062</v>
      </c>
      <c r="B279">
        <v>5.867534</v>
      </c>
      <c r="C279">
        <f t="shared" si="9"/>
        <v>6.8</v>
      </c>
      <c r="M279" s="34">
        <v>42936</v>
      </c>
      <c r="N279">
        <v>7</v>
      </c>
    </row>
    <row r="280" spans="1:14" x14ac:dyDescent="0.2">
      <c r="A280" s="34">
        <v>43061</v>
      </c>
      <c r="B280">
        <v>5.866778</v>
      </c>
      <c r="C280">
        <f t="shared" si="9"/>
        <v>7.02</v>
      </c>
      <c r="M280" s="34">
        <v>42935</v>
      </c>
      <c r="N280">
        <v>7.09</v>
      </c>
    </row>
    <row r="281" spans="1:14" x14ac:dyDescent="0.2">
      <c r="A281" s="34">
        <v>43060</v>
      </c>
      <c r="B281">
        <v>5.8660209999999999</v>
      </c>
      <c r="C281">
        <f t="shared" si="9"/>
        <v>6.95</v>
      </c>
      <c r="M281" s="34">
        <v>42934</v>
      </c>
      <c r="N281">
        <v>7.03</v>
      </c>
    </row>
    <row r="282" spans="1:14" x14ac:dyDescent="0.2">
      <c r="A282" s="34">
        <v>43059</v>
      </c>
      <c r="B282">
        <v>5.865265</v>
      </c>
      <c r="C282">
        <f t="shared" si="9"/>
        <v>7</v>
      </c>
      <c r="M282" s="34">
        <v>42933</v>
      </c>
      <c r="N282">
        <v>7.01</v>
      </c>
    </row>
    <row r="283" spans="1:14" x14ac:dyDescent="0.2">
      <c r="A283" s="34">
        <v>43058</v>
      </c>
      <c r="B283">
        <v>5.8645079999999998</v>
      </c>
      <c r="C283">
        <f t="shared" si="9"/>
        <v>7</v>
      </c>
      <c r="M283" s="34">
        <v>42930</v>
      </c>
      <c r="N283">
        <v>7.06</v>
      </c>
    </row>
    <row r="284" spans="1:14" x14ac:dyDescent="0.2">
      <c r="A284" s="34">
        <v>43057</v>
      </c>
      <c r="B284">
        <v>5.8637519999999999</v>
      </c>
      <c r="C284">
        <f t="shared" si="9"/>
        <v>7</v>
      </c>
      <c r="M284" s="34">
        <v>42929</v>
      </c>
      <c r="N284">
        <v>7.09</v>
      </c>
    </row>
    <row r="285" spans="1:14" x14ac:dyDescent="0.2">
      <c r="A285" s="34">
        <v>43056</v>
      </c>
      <c r="B285">
        <v>5.8629959999999999</v>
      </c>
      <c r="C285">
        <f t="shared" si="9"/>
        <v>7</v>
      </c>
      <c r="M285" s="34">
        <v>42928</v>
      </c>
      <c r="N285">
        <v>7.03</v>
      </c>
    </row>
    <row r="286" spans="1:14" x14ac:dyDescent="0.2">
      <c r="A286" s="34">
        <v>43055</v>
      </c>
      <c r="B286">
        <v>5.8622399999999999</v>
      </c>
      <c r="C286">
        <f t="shared" si="9"/>
        <v>7.01</v>
      </c>
      <c r="M286" s="34">
        <v>42927</v>
      </c>
      <c r="N286">
        <v>7.06</v>
      </c>
    </row>
    <row r="287" spans="1:14" x14ac:dyDescent="0.2">
      <c r="A287" s="34">
        <v>43054</v>
      </c>
      <c r="B287">
        <v>5.8614839999999999</v>
      </c>
      <c r="C287">
        <f t="shared" si="9"/>
        <v>7.01</v>
      </c>
      <c r="M287" s="34">
        <v>42926</v>
      </c>
      <c r="N287">
        <v>6.9</v>
      </c>
    </row>
    <row r="288" spans="1:14" x14ac:dyDescent="0.2">
      <c r="A288" s="34">
        <v>43053</v>
      </c>
      <c r="B288">
        <v>5.8607279999999999</v>
      </c>
      <c r="C288">
        <f t="shared" si="9"/>
        <v>7.02</v>
      </c>
      <c r="M288" s="34">
        <v>42923</v>
      </c>
      <c r="N288">
        <v>6.95</v>
      </c>
    </row>
    <row r="289" spans="1:14" x14ac:dyDescent="0.2">
      <c r="A289" s="34">
        <v>43052</v>
      </c>
      <c r="B289">
        <v>5.859972</v>
      </c>
      <c r="C289">
        <f t="shared" si="9"/>
        <v>7</v>
      </c>
      <c r="M289" s="34">
        <v>42922</v>
      </c>
      <c r="N289">
        <v>6.98</v>
      </c>
    </row>
    <row r="290" spans="1:14" x14ac:dyDescent="0.2">
      <c r="A290" s="34">
        <v>43051</v>
      </c>
      <c r="B290">
        <v>5.859216</v>
      </c>
      <c r="C290">
        <f t="shared" si="9"/>
        <v>7.01</v>
      </c>
      <c r="M290" s="34">
        <v>42921</v>
      </c>
      <c r="N290">
        <v>7</v>
      </c>
    </row>
    <row r="291" spans="1:14" x14ac:dyDescent="0.2">
      <c r="A291" s="34">
        <v>43050</v>
      </c>
      <c r="B291">
        <v>5.8584610000000001</v>
      </c>
      <c r="C291">
        <f t="shared" si="9"/>
        <v>7.01</v>
      </c>
      <c r="M291" s="34">
        <v>42920</v>
      </c>
      <c r="N291">
        <v>6.98</v>
      </c>
    </row>
    <row r="292" spans="1:14" x14ac:dyDescent="0.2">
      <c r="A292" s="34">
        <v>43049</v>
      </c>
      <c r="B292">
        <v>5.8577050000000002</v>
      </c>
      <c r="C292">
        <f t="shared" si="9"/>
        <v>7.01</v>
      </c>
      <c r="M292" s="34">
        <v>42919</v>
      </c>
      <c r="N292">
        <v>7.15</v>
      </c>
    </row>
    <row r="293" spans="1:14" x14ac:dyDescent="0.2">
      <c r="A293" s="34">
        <v>43048</v>
      </c>
      <c r="B293">
        <v>5.8554469999999998</v>
      </c>
      <c r="C293">
        <f t="shared" si="9"/>
        <v>6.95</v>
      </c>
      <c r="M293" s="34">
        <v>42916</v>
      </c>
      <c r="N293">
        <v>7.11</v>
      </c>
    </row>
    <row r="294" spans="1:14" x14ac:dyDescent="0.2">
      <c r="A294" s="34">
        <v>43047</v>
      </c>
      <c r="B294">
        <v>5.8531890000000004</v>
      </c>
      <c r="C294">
        <f t="shared" si="9"/>
        <v>7.03</v>
      </c>
      <c r="M294" s="34">
        <v>42915</v>
      </c>
      <c r="N294">
        <v>7</v>
      </c>
    </row>
    <row r="295" spans="1:14" x14ac:dyDescent="0.2">
      <c r="A295" s="34">
        <v>43046</v>
      </c>
      <c r="B295">
        <v>5.8509320000000002</v>
      </c>
      <c r="C295">
        <f t="shared" si="9"/>
        <v>7</v>
      </c>
      <c r="M295" s="34">
        <v>42914</v>
      </c>
      <c r="N295">
        <v>6.99</v>
      </c>
    </row>
    <row r="296" spans="1:14" x14ac:dyDescent="0.2">
      <c r="A296" s="34">
        <v>43045</v>
      </c>
      <c r="B296">
        <v>5.8486770000000003</v>
      </c>
      <c r="C296">
        <f t="shared" si="9"/>
        <v>7.04</v>
      </c>
      <c r="M296" s="34">
        <v>42913</v>
      </c>
      <c r="N296">
        <v>6.9</v>
      </c>
    </row>
    <row r="297" spans="1:14" x14ac:dyDescent="0.2">
      <c r="A297" s="34">
        <v>43044</v>
      </c>
      <c r="B297">
        <v>5.8464210000000003</v>
      </c>
      <c r="C297">
        <f t="shared" si="9"/>
        <v>7.14</v>
      </c>
      <c r="M297" s="34">
        <v>42912</v>
      </c>
      <c r="N297">
        <v>6.93</v>
      </c>
    </row>
    <row r="298" spans="1:14" x14ac:dyDescent="0.2">
      <c r="A298" s="34">
        <v>43043</v>
      </c>
      <c r="B298">
        <v>5.8441669999999997</v>
      </c>
      <c r="C298">
        <f t="shared" si="9"/>
        <v>7.14</v>
      </c>
      <c r="M298" s="34">
        <v>42909</v>
      </c>
      <c r="N298">
        <v>6.97</v>
      </c>
    </row>
    <row r="299" spans="1:14" x14ac:dyDescent="0.2">
      <c r="A299" s="34">
        <v>43042</v>
      </c>
      <c r="B299">
        <v>5.8419140000000001</v>
      </c>
      <c r="C299">
        <f t="shared" si="9"/>
        <v>7.14</v>
      </c>
      <c r="M299" s="34">
        <v>42908</v>
      </c>
      <c r="N299">
        <v>6.91</v>
      </c>
    </row>
    <row r="300" spans="1:14" x14ac:dyDescent="0.2">
      <c r="A300" s="34">
        <v>43041</v>
      </c>
      <c r="B300">
        <v>5.8396619999999997</v>
      </c>
      <c r="C300">
        <f t="shared" si="9"/>
        <v>7.03</v>
      </c>
      <c r="M300" s="34">
        <v>42907</v>
      </c>
      <c r="N300">
        <v>6.73</v>
      </c>
    </row>
    <row r="301" spans="1:14" x14ac:dyDescent="0.2">
      <c r="A301" s="34">
        <v>43040</v>
      </c>
      <c r="B301">
        <v>5.8374100000000002</v>
      </c>
      <c r="C301">
        <f t="shared" si="9"/>
        <v>7.03</v>
      </c>
      <c r="M301" s="34">
        <v>42906</v>
      </c>
      <c r="N301">
        <v>6.71</v>
      </c>
    </row>
    <row r="302" spans="1:14" x14ac:dyDescent="0.2">
      <c r="A302" s="34">
        <v>43039</v>
      </c>
      <c r="B302">
        <v>5.835159</v>
      </c>
      <c r="C302">
        <f t="shared" si="9"/>
        <v>6.95</v>
      </c>
      <c r="M302" s="34">
        <v>42905</v>
      </c>
      <c r="N302">
        <v>6.76</v>
      </c>
    </row>
    <row r="303" spans="1:14" x14ac:dyDescent="0.2">
      <c r="A303" s="34">
        <v>43038</v>
      </c>
      <c r="B303">
        <v>5.8329089999999999</v>
      </c>
      <c r="C303">
        <f t="shared" si="9"/>
        <v>6.92</v>
      </c>
      <c r="M303" s="34">
        <v>42902</v>
      </c>
      <c r="N303">
        <v>6.89</v>
      </c>
    </row>
    <row r="304" spans="1:14" x14ac:dyDescent="0.2">
      <c r="A304" s="34">
        <v>43037</v>
      </c>
      <c r="B304">
        <v>5.83066</v>
      </c>
      <c r="C304">
        <f t="shared" si="9"/>
        <v>6.97</v>
      </c>
      <c r="M304" s="34">
        <v>42901</v>
      </c>
      <c r="N304">
        <v>6.93</v>
      </c>
    </row>
    <row r="305" spans="1:14" x14ac:dyDescent="0.2">
      <c r="A305" s="34">
        <v>43036</v>
      </c>
      <c r="B305">
        <v>5.8284120000000001</v>
      </c>
      <c r="C305">
        <f t="shared" si="9"/>
        <v>6.97</v>
      </c>
      <c r="M305" s="34">
        <v>42900</v>
      </c>
      <c r="N305">
        <v>6.79</v>
      </c>
    </row>
    <row r="306" spans="1:14" x14ac:dyDescent="0.2">
      <c r="A306" s="34">
        <v>43035</v>
      </c>
      <c r="B306">
        <v>5.8261649999999996</v>
      </c>
      <c r="C306">
        <f t="shared" si="9"/>
        <v>6.97</v>
      </c>
      <c r="M306" s="34">
        <v>42899</v>
      </c>
      <c r="N306">
        <v>6.77</v>
      </c>
    </row>
    <row r="307" spans="1:14" x14ac:dyDescent="0.2">
      <c r="A307" s="34">
        <v>43034</v>
      </c>
      <c r="B307">
        <v>5.8239190000000001</v>
      </c>
      <c r="C307">
        <f t="shared" si="9"/>
        <v>7</v>
      </c>
      <c r="M307" s="34">
        <v>42898</v>
      </c>
      <c r="N307">
        <v>6.76</v>
      </c>
    </row>
    <row r="308" spans="1:14" x14ac:dyDescent="0.2">
      <c r="A308" s="34">
        <v>43033</v>
      </c>
      <c r="B308">
        <v>5.8216729999999997</v>
      </c>
      <c r="C308">
        <f t="shared" si="9"/>
        <v>7.05</v>
      </c>
      <c r="M308" s="34">
        <v>42895</v>
      </c>
      <c r="N308">
        <v>6.74</v>
      </c>
    </row>
    <row r="309" spans="1:14" x14ac:dyDescent="0.2">
      <c r="A309" s="34">
        <v>43032</v>
      </c>
      <c r="B309">
        <v>5.8223440000000002</v>
      </c>
      <c r="C309">
        <f t="shared" si="9"/>
        <v>7.06</v>
      </c>
      <c r="M309" s="34">
        <v>42894</v>
      </c>
      <c r="N309">
        <v>6.68</v>
      </c>
    </row>
    <row r="310" spans="1:14" x14ac:dyDescent="0.2">
      <c r="A310" s="34">
        <v>43031</v>
      </c>
      <c r="B310">
        <v>5.8230149999999998</v>
      </c>
      <c r="C310">
        <f t="shared" si="9"/>
        <v>6.85</v>
      </c>
      <c r="M310" s="34">
        <v>42893</v>
      </c>
      <c r="N310">
        <v>6.77</v>
      </c>
    </row>
    <row r="311" spans="1:14" x14ac:dyDescent="0.2">
      <c r="A311" s="34">
        <v>43030</v>
      </c>
      <c r="B311">
        <v>5.8236850000000002</v>
      </c>
      <c r="C311">
        <f t="shared" si="9"/>
        <v>6.99</v>
      </c>
      <c r="M311" s="34">
        <v>42892</v>
      </c>
      <c r="N311">
        <v>6.83</v>
      </c>
    </row>
    <row r="312" spans="1:14" x14ac:dyDescent="0.2">
      <c r="A312" s="34">
        <v>43029</v>
      </c>
      <c r="B312">
        <v>5.8243559999999999</v>
      </c>
      <c r="C312">
        <f t="shared" si="9"/>
        <v>6.99</v>
      </c>
      <c r="M312" s="34">
        <v>42891</v>
      </c>
      <c r="N312">
        <v>6.85</v>
      </c>
    </row>
    <row r="313" spans="1:14" x14ac:dyDescent="0.2">
      <c r="A313" s="34">
        <v>43028</v>
      </c>
      <c r="B313">
        <v>5.8250270000000004</v>
      </c>
      <c r="C313">
        <f t="shared" si="9"/>
        <v>6.99</v>
      </c>
      <c r="M313" s="34">
        <v>42888</v>
      </c>
      <c r="N313">
        <v>6.81</v>
      </c>
    </row>
    <row r="314" spans="1:14" x14ac:dyDescent="0.2">
      <c r="A314" s="34">
        <v>43027</v>
      </c>
      <c r="B314">
        <v>5.825698</v>
      </c>
      <c r="C314">
        <f t="shared" si="9"/>
        <v>7.06</v>
      </c>
      <c r="M314" s="34">
        <v>42887</v>
      </c>
      <c r="N314">
        <v>6.82</v>
      </c>
    </row>
    <row r="315" spans="1:14" x14ac:dyDescent="0.2">
      <c r="A315" s="34">
        <v>43026</v>
      </c>
      <c r="B315">
        <v>5.8263689999999997</v>
      </c>
      <c r="C315">
        <f t="shared" si="9"/>
        <v>7.03</v>
      </c>
      <c r="M315" s="34">
        <v>42886</v>
      </c>
      <c r="N315">
        <v>6.83</v>
      </c>
    </row>
    <row r="316" spans="1:14" x14ac:dyDescent="0.2">
      <c r="A316" s="34">
        <v>43025</v>
      </c>
      <c r="B316">
        <v>5.8270400000000002</v>
      </c>
      <c r="C316">
        <f t="shared" si="9"/>
        <v>6.95</v>
      </c>
      <c r="M316" s="34">
        <v>42885</v>
      </c>
      <c r="N316">
        <v>6.79</v>
      </c>
    </row>
    <row r="317" spans="1:14" x14ac:dyDescent="0.2">
      <c r="A317" s="34">
        <v>43024</v>
      </c>
      <c r="B317">
        <v>5.8277109999999999</v>
      </c>
      <c r="C317">
        <f t="shared" si="9"/>
        <v>7.02</v>
      </c>
      <c r="M317" s="34">
        <v>42884</v>
      </c>
      <c r="N317">
        <v>6.8</v>
      </c>
    </row>
    <row r="318" spans="1:14" x14ac:dyDescent="0.2">
      <c r="A318" s="34">
        <v>43023</v>
      </c>
      <c r="B318">
        <v>5.8283829999999996</v>
      </c>
      <c r="C318">
        <f t="shared" si="9"/>
        <v>7.04</v>
      </c>
      <c r="M318" s="34">
        <v>42881</v>
      </c>
      <c r="N318">
        <v>6.75</v>
      </c>
    </row>
    <row r="319" spans="1:14" x14ac:dyDescent="0.2">
      <c r="A319" s="34">
        <v>43022</v>
      </c>
      <c r="B319">
        <v>5.8290540000000002</v>
      </c>
      <c r="C319">
        <f t="shared" si="9"/>
        <v>7.04</v>
      </c>
      <c r="M319" s="34">
        <v>42880</v>
      </c>
      <c r="N319">
        <v>6.82</v>
      </c>
    </row>
    <row r="320" spans="1:14" x14ac:dyDescent="0.2">
      <c r="A320" s="34">
        <v>43021</v>
      </c>
      <c r="B320">
        <v>5.829726</v>
      </c>
      <c r="C320">
        <f t="shared" si="9"/>
        <v>7.04</v>
      </c>
      <c r="M320" s="34">
        <v>42879</v>
      </c>
      <c r="N320">
        <v>6.74</v>
      </c>
    </row>
    <row r="321" spans="1:14" x14ac:dyDescent="0.2">
      <c r="A321" s="34">
        <v>43020</v>
      </c>
      <c r="B321">
        <v>5.8303969999999996</v>
      </c>
      <c r="C321">
        <f t="shared" si="9"/>
        <v>7.1</v>
      </c>
      <c r="M321" s="34">
        <v>42878</v>
      </c>
      <c r="N321">
        <v>6.6</v>
      </c>
    </row>
    <row r="322" spans="1:14" x14ac:dyDescent="0.2">
      <c r="A322" s="34">
        <v>43019</v>
      </c>
      <c r="B322">
        <v>5.8310690000000003</v>
      </c>
      <c r="C322">
        <f t="shared" ref="C322:C385" si="10">IFERROR(VLOOKUP(A322,$M$2:$N$3695,2,0),C323)</f>
        <v>7.08</v>
      </c>
      <c r="M322" s="34">
        <v>42877</v>
      </c>
      <c r="N322">
        <v>6.72</v>
      </c>
    </row>
    <row r="323" spans="1:14" x14ac:dyDescent="0.2">
      <c r="A323" s="34">
        <v>43018</v>
      </c>
      <c r="B323">
        <v>5.8317399999999999</v>
      </c>
      <c r="C323">
        <f t="shared" si="10"/>
        <v>7.01</v>
      </c>
      <c r="M323" s="34">
        <v>42874</v>
      </c>
      <c r="N323">
        <v>6.76</v>
      </c>
    </row>
    <row r="324" spans="1:14" x14ac:dyDescent="0.2">
      <c r="A324" s="34">
        <v>43017</v>
      </c>
      <c r="B324">
        <v>5.8304169999999997</v>
      </c>
      <c r="C324">
        <f t="shared" si="10"/>
        <v>7.04</v>
      </c>
      <c r="M324" s="34">
        <v>42873</v>
      </c>
      <c r="N324">
        <v>6.55</v>
      </c>
    </row>
    <row r="325" spans="1:14" x14ac:dyDescent="0.2">
      <c r="A325" s="34">
        <v>43016</v>
      </c>
      <c r="B325">
        <v>5.8290940000000004</v>
      </c>
      <c r="C325">
        <f t="shared" si="10"/>
        <v>7</v>
      </c>
      <c r="M325" s="34">
        <v>42872</v>
      </c>
      <c r="N325">
        <v>6.48</v>
      </c>
    </row>
    <row r="326" spans="1:14" x14ac:dyDescent="0.2">
      <c r="A326" s="34">
        <v>43015</v>
      </c>
      <c r="B326">
        <v>5.8277720000000004</v>
      </c>
      <c r="C326">
        <f t="shared" si="10"/>
        <v>7</v>
      </c>
      <c r="M326" s="34">
        <v>42871</v>
      </c>
      <c r="N326">
        <v>6.5</v>
      </c>
    </row>
    <row r="327" spans="1:14" x14ac:dyDescent="0.2">
      <c r="A327" s="34">
        <v>43014</v>
      </c>
      <c r="B327">
        <v>5.8264500000000004</v>
      </c>
      <c r="C327">
        <f t="shared" si="10"/>
        <v>7</v>
      </c>
      <c r="M327" s="34">
        <v>42870</v>
      </c>
      <c r="N327">
        <v>6.59</v>
      </c>
    </row>
    <row r="328" spans="1:14" x14ac:dyDescent="0.2">
      <c r="A328" s="34">
        <v>43013</v>
      </c>
      <c r="B328">
        <v>5.8251280000000003</v>
      </c>
      <c r="C328">
        <f t="shared" si="10"/>
        <v>7.03</v>
      </c>
      <c r="M328" s="34">
        <v>42867</v>
      </c>
      <c r="N328">
        <v>6.55</v>
      </c>
    </row>
    <row r="329" spans="1:14" x14ac:dyDescent="0.2">
      <c r="A329" s="34">
        <v>43012</v>
      </c>
      <c r="B329">
        <v>5.8238060000000003</v>
      </c>
      <c r="C329">
        <f t="shared" si="10"/>
        <v>7.03</v>
      </c>
      <c r="M329" s="34">
        <v>42866</v>
      </c>
      <c r="N329">
        <v>6.53</v>
      </c>
    </row>
    <row r="330" spans="1:14" x14ac:dyDescent="0.2">
      <c r="A330" s="34">
        <v>43011</v>
      </c>
      <c r="B330">
        <v>5.8224850000000004</v>
      </c>
      <c r="C330">
        <f t="shared" si="10"/>
        <v>7</v>
      </c>
      <c r="M330" s="34">
        <v>42865</v>
      </c>
      <c r="N330">
        <v>6.54</v>
      </c>
    </row>
    <row r="331" spans="1:14" x14ac:dyDescent="0.2">
      <c r="A331" s="34">
        <v>43010</v>
      </c>
      <c r="B331">
        <v>5.8211639999999996</v>
      </c>
      <c r="C331">
        <f t="shared" si="10"/>
        <v>7.14</v>
      </c>
      <c r="M331" s="34">
        <v>42864</v>
      </c>
      <c r="N331">
        <v>6.6</v>
      </c>
    </row>
    <row r="332" spans="1:14" x14ac:dyDescent="0.2">
      <c r="A332" s="34">
        <v>43009</v>
      </c>
      <c r="B332">
        <v>5.8198429999999997</v>
      </c>
      <c r="C332">
        <f t="shared" si="10"/>
        <v>7.07</v>
      </c>
      <c r="M332" s="34">
        <v>42863</v>
      </c>
      <c r="N332">
        <v>6.45</v>
      </c>
    </row>
    <row r="333" spans="1:14" x14ac:dyDescent="0.2">
      <c r="A333" s="34">
        <v>43008</v>
      </c>
      <c r="B333">
        <v>5.8185229999999999</v>
      </c>
      <c r="C333">
        <f t="shared" si="10"/>
        <v>7.07</v>
      </c>
      <c r="M333" s="34">
        <v>42860</v>
      </c>
      <c r="N333">
        <v>6.48</v>
      </c>
    </row>
    <row r="334" spans="1:14" x14ac:dyDescent="0.2">
      <c r="A334" s="34">
        <v>43007</v>
      </c>
      <c r="B334">
        <v>5.8172030000000001</v>
      </c>
      <c r="C334">
        <f t="shared" si="10"/>
        <v>7.07</v>
      </c>
      <c r="M334" s="34">
        <v>42859</v>
      </c>
      <c r="N334">
        <v>6.46</v>
      </c>
    </row>
    <row r="335" spans="1:14" x14ac:dyDescent="0.2">
      <c r="A335" s="34">
        <v>43006</v>
      </c>
      <c r="B335">
        <v>5.8158830000000004</v>
      </c>
      <c r="C335">
        <f t="shared" si="10"/>
        <v>6.98</v>
      </c>
      <c r="M335" s="34">
        <v>42858</v>
      </c>
      <c r="N335">
        <v>6.52</v>
      </c>
    </row>
    <row r="336" spans="1:14" x14ac:dyDescent="0.2">
      <c r="A336" s="34">
        <v>43005</v>
      </c>
      <c r="B336">
        <v>5.8145629999999997</v>
      </c>
      <c r="C336">
        <f t="shared" si="10"/>
        <v>6.87</v>
      </c>
      <c r="M336" s="34">
        <v>42857</v>
      </c>
      <c r="N336">
        <v>6.73</v>
      </c>
    </row>
    <row r="337" spans="1:14" x14ac:dyDescent="0.2">
      <c r="A337" s="34">
        <v>43004</v>
      </c>
      <c r="B337">
        <v>5.8132440000000001</v>
      </c>
      <c r="C337">
        <f t="shared" si="10"/>
        <v>6.9</v>
      </c>
      <c r="M337" s="34">
        <v>42853</v>
      </c>
      <c r="N337">
        <v>6.7</v>
      </c>
    </row>
    <row r="338" spans="1:14" x14ac:dyDescent="0.2">
      <c r="A338" s="34">
        <v>43003</v>
      </c>
      <c r="B338">
        <v>5.8119249999999996</v>
      </c>
      <c r="C338">
        <f t="shared" si="10"/>
        <v>6.35</v>
      </c>
      <c r="M338" s="34">
        <v>42852</v>
      </c>
      <c r="N338">
        <v>6.48</v>
      </c>
    </row>
    <row r="339" spans="1:14" x14ac:dyDescent="0.2">
      <c r="A339" s="34">
        <v>43002</v>
      </c>
      <c r="B339">
        <v>5.8114720000000002</v>
      </c>
      <c r="C339">
        <f t="shared" si="10"/>
        <v>6.99</v>
      </c>
      <c r="M339" s="34">
        <v>42851</v>
      </c>
      <c r="N339">
        <v>6.55</v>
      </c>
    </row>
    <row r="340" spans="1:14" x14ac:dyDescent="0.2">
      <c r="A340" s="34">
        <v>43001</v>
      </c>
      <c r="B340">
        <v>5.8110200000000001</v>
      </c>
      <c r="C340">
        <f t="shared" si="10"/>
        <v>6.99</v>
      </c>
      <c r="M340" s="34">
        <v>42850</v>
      </c>
      <c r="N340">
        <v>6.77</v>
      </c>
    </row>
    <row r="341" spans="1:14" x14ac:dyDescent="0.2">
      <c r="A341" s="34">
        <v>43000</v>
      </c>
      <c r="B341">
        <v>5.8105669999999998</v>
      </c>
      <c r="C341">
        <f t="shared" si="10"/>
        <v>6.99</v>
      </c>
      <c r="M341" s="34">
        <v>42849</v>
      </c>
      <c r="N341">
        <v>6.68</v>
      </c>
    </row>
    <row r="342" spans="1:14" x14ac:dyDescent="0.2">
      <c r="A342" s="34">
        <v>42999</v>
      </c>
      <c r="B342">
        <v>5.8101139999999996</v>
      </c>
      <c r="C342">
        <f t="shared" si="10"/>
        <v>7.2</v>
      </c>
      <c r="M342" s="34">
        <v>42846</v>
      </c>
      <c r="N342">
        <v>6.8</v>
      </c>
    </row>
    <row r="343" spans="1:14" x14ac:dyDescent="0.2">
      <c r="A343" s="34">
        <v>42998</v>
      </c>
      <c r="B343">
        <v>5.8096620000000003</v>
      </c>
      <c r="C343">
        <f t="shared" si="10"/>
        <v>7.02</v>
      </c>
      <c r="M343" s="34">
        <v>42845</v>
      </c>
      <c r="N343">
        <v>6.48</v>
      </c>
    </row>
    <row r="344" spans="1:14" x14ac:dyDescent="0.2">
      <c r="A344" s="34">
        <v>42997</v>
      </c>
      <c r="B344">
        <v>5.8092090000000001</v>
      </c>
      <c r="C344">
        <f t="shared" si="10"/>
        <v>7.13</v>
      </c>
      <c r="M344" s="34">
        <v>42844</v>
      </c>
      <c r="N344">
        <v>6.53</v>
      </c>
    </row>
    <row r="345" spans="1:14" x14ac:dyDescent="0.2">
      <c r="A345" s="34">
        <v>42996</v>
      </c>
      <c r="B345">
        <v>5.8087569999999999</v>
      </c>
      <c r="C345">
        <f t="shared" si="10"/>
        <v>7.02</v>
      </c>
      <c r="M345" s="34">
        <v>42843</v>
      </c>
      <c r="N345">
        <v>6.4</v>
      </c>
    </row>
    <row r="346" spans="1:14" x14ac:dyDescent="0.2">
      <c r="A346" s="34">
        <v>42995</v>
      </c>
      <c r="B346">
        <v>5.8083039999999997</v>
      </c>
      <c r="C346">
        <f t="shared" si="10"/>
        <v>7.03</v>
      </c>
      <c r="M346" s="34">
        <v>42842</v>
      </c>
      <c r="N346">
        <v>6.47</v>
      </c>
    </row>
    <row r="347" spans="1:14" x14ac:dyDescent="0.2">
      <c r="A347" s="34">
        <v>42994</v>
      </c>
      <c r="B347">
        <v>5.8078519999999996</v>
      </c>
      <c r="C347">
        <f t="shared" si="10"/>
        <v>7.03</v>
      </c>
      <c r="M347" s="34">
        <v>42837</v>
      </c>
      <c r="N347">
        <v>6.6</v>
      </c>
    </row>
    <row r="348" spans="1:14" x14ac:dyDescent="0.2">
      <c r="A348" s="34">
        <v>42993</v>
      </c>
      <c r="B348">
        <v>5.8073990000000002</v>
      </c>
      <c r="C348">
        <f t="shared" si="10"/>
        <v>7.03</v>
      </c>
      <c r="M348" s="34">
        <v>42836</v>
      </c>
      <c r="N348">
        <v>6.64</v>
      </c>
    </row>
    <row r="349" spans="1:14" x14ac:dyDescent="0.2">
      <c r="A349" s="34">
        <v>42992</v>
      </c>
      <c r="B349">
        <v>5.8069470000000001</v>
      </c>
      <c r="C349">
        <f t="shared" si="10"/>
        <v>7.12</v>
      </c>
      <c r="M349" s="34">
        <v>42835</v>
      </c>
      <c r="N349">
        <v>6.54</v>
      </c>
    </row>
    <row r="350" spans="1:14" x14ac:dyDescent="0.2">
      <c r="A350" s="34">
        <v>42991</v>
      </c>
      <c r="B350">
        <v>5.8064939999999998</v>
      </c>
      <c r="C350">
        <f t="shared" si="10"/>
        <v>7</v>
      </c>
      <c r="M350" s="34">
        <v>42832</v>
      </c>
      <c r="N350">
        <v>6.46</v>
      </c>
    </row>
    <row r="351" spans="1:14" x14ac:dyDescent="0.2">
      <c r="A351" s="34">
        <v>42990</v>
      </c>
      <c r="B351">
        <v>5.8060419999999997</v>
      </c>
      <c r="C351">
        <f t="shared" si="10"/>
        <v>7.11</v>
      </c>
      <c r="M351" s="34">
        <v>42831</v>
      </c>
      <c r="N351">
        <v>6.45</v>
      </c>
    </row>
    <row r="352" spans="1:14" x14ac:dyDescent="0.2">
      <c r="A352" s="34">
        <v>42989</v>
      </c>
      <c r="B352">
        <v>5.8055899999999996</v>
      </c>
      <c r="C352">
        <f t="shared" si="10"/>
        <v>7.06</v>
      </c>
      <c r="M352" s="34">
        <v>42830</v>
      </c>
      <c r="N352">
        <v>6.55</v>
      </c>
    </row>
    <row r="353" spans="1:14" x14ac:dyDescent="0.2">
      <c r="A353" s="34">
        <v>42988</v>
      </c>
      <c r="B353">
        <v>5.8051380000000004</v>
      </c>
      <c r="C353">
        <f t="shared" si="10"/>
        <v>7.03</v>
      </c>
      <c r="M353" s="34">
        <v>42829</v>
      </c>
      <c r="N353">
        <v>6.77</v>
      </c>
    </row>
    <row r="354" spans="1:14" x14ac:dyDescent="0.2">
      <c r="A354" s="34">
        <v>42987</v>
      </c>
      <c r="B354">
        <v>5.8040200000000004</v>
      </c>
      <c r="C354">
        <f t="shared" si="10"/>
        <v>7.03</v>
      </c>
      <c r="M354" s="34">
        <v>42828</v>
      </c>
      <c r="N354">
        <v>6.67</v>
      </c>
    </row>
    <row r="355" spans="1:14" x14ac:dyDescent="0.2">
      <c r="A355" s="34">
        <v>42986</v>
      </c>
      <c r="B355">
        <v>5.8029029999999997</v>
      </c>
      <c r="C355">
        <f t="shared" si="10"/>
        <v>7.03</v>
      </c>
      <c r="M355" s="34">
        <v>42825</v>
      </c>
      <c r="N355">
        <v>6.58</v>
      </c>
    </row>
    <row r="356" spans="1:14" x14ac:dyDescent="0.2">
      <c r="A356" s="34">
        <v>42985</v>
      </c>
      <c r="B356">
        <v>5.8017849999999997</v>
      </c>
      <c r="C356">
        <f t="shared" si="10"/>
        <v>7.04</v>
      </c>
      <c r="M356" s="34">
        <v>42824</v>
      </c>
      <c r="N356">
        <v>6.46</v>
      </c>
    </row>
    <row r="357" spans="1:14" x14ac:dyDescent="0.2">
      <c r="A357" s="34">
        <v>42984</v>
      </c>
      <c r="B357">
        <v>5.8006679999999999</v>
      </c>
      <c r="C357">
        <f t="shared" si="10"/>
        <v>7.03</v>
      </c>
      <c r="M357" s="34">
        <v>42823</v>
      </c>
      <c r="N357">
        <v>6.27</v>
      </c>
    </row>
    <row r="358" spans="1:14" x14ac:dyDescent="0.2">
      <c r="A358" s="34">
        <v>42983</v>
      </c>
      <c r="B358">
        <v>5.7995520000000003</v>
      </c>
      <c r="C358">
        <f t="shared" si="10"/>
        <v>7.02</v>
      </c>
      <c r="M358" s="34">
        <v>42822</v>
      </c>
      <c r="N358">
        <v>6.25</v>
      </c>
    </row>
    <row r="359" spans="1:14" x14ac:dyDescent="0.2">
      <c r="A359" s="34">
        <v>42982</v>
      </c>
      <c r="B359">
        <v>5.7984349999999996</v>
      </c>
      <c r="C359">
        <f t="shared" si="10"/>
        <v>7.04</v>
      </c>
      <c r="M359" s="34">
        <v>42821</v>
      </c>
      <c r="N359">
        <v>6.24</v>
      </c>
    </row>
    <row r="360" spans="1:14" x14ac:dyDescent="0.2">
      <c r="A360" s="34">
        <v>42981</v>
      </c>
      <c r="B360">
        <v>5.7973189999999999</v>
      </c>
      <c r="C360">
        <f t="shared" si="10"/>
        <v>7.09</v>
      </c>
      <c r="M360" s="34">
        <v>42818</v>
      </c>
      <c r="N360">
        <v>6.05</v>
      </c>
    </row>
    <row r="361" spans="1:14" x14ac:dyDescent="0.2">
      <c r="A361" s="34">
        <v>42980</v>
      </c>
      <c r="B361">
        <v>5.7962020000000001</v>
      </c>
      <c r="C361">
        <f t="shared" si="10"/>
        <v>7.09</v>
      </c>
      <c r="M361" s="34">
        <v>42817</v>
      </c>
      <c r="N361">
        <v>6.37</v>
      </c>
    </row>
    <row r="362" spans="1:14" x14ac:dyDescent="0.2">
      <c r="A362" s="34">
        <v>42979</v>
      </c>
      <c r="B362">
        <v>5.7950869999999997</v>
      </c>
      <c r="C362">
        <f t="shared" si="10"/>
        <v>7.09</v>
      </c>
      <c r="M362" s="34">
        <v>42816</v>
      </c>
      <c r="N362">
        <v>6.29</v>
      </c>
    </row>
    <row r="363" spans="1:14" x14ac:dyDescent="0.2">
      <c r="A363" s="34">
        <v>42978</v>
      </c>
      <c r="B363">
        <v>5.793971</v>
      </c>
      <c r="C363">
        <f t="shared" si="10"/>
        <v>7.16</v>
      </c>
      <c r="M363" s="34">
        <v>42815</v>
      </c>
      <c r="N363">
        <v>6.22</v>
      </c>
    </row>
    <row r="364" spans="1:14" x14ac:dyDescent="0.2">
      <c r="A364" s="34">
        <v>42977</v>
      </c>
      <c r="B364">
        <v>5.7928550000000003</v>
      </c>
      <c r="C364">
        <f t="shared" si="10"/>
        <v>6.9</v>
      </c>
      <c r="M364" s="34">
        <v>42811</v>
      </c>
      <c r="N364">
        <v>6.33</v>
      </c>
    </row>
    <row r="365" spans="1:14" x14ac:dyDescent="0.2">
      <c r="A365" s="34">
        <v>42976</v>
      </c>
      <c r="B365">
        <v>5.7917399999999999</v>
      </c>
      <c r="C365">
        <f t="shared" si="10"/>
        <v>7</v>
      </c>
      <c r="M365" s="34">
        <v>42810</v>
      </c>
      <c r="N365">
        <v>6.23</v>
      </c>
    </row>
    <row r="366" spans="1:14" x14ac:dyDescent="0.2">
      <c r="A366" s="34">
        <v>42975</v>
      </c>
      <c r="B366">
        <v>5.7906250000000004</v>
      </c>
      <c r="C366">
        <f t="shared" si="10"/>
        <v>7.03</v>
      </c>
      <c r="M366" s="34">
        <v>42809</v>
      </c>
      <c r="N366">
        <v>6.4</v>
      </c>
    </row>
    <row r="367" spans="1:14" x14ac:dyDescent="0.2">
      <c r="A367" s="34">
        <v>42974</v>
      </c>
      <c r="B367">
        <v>5.7895099999999999</v>
      </c>
      <c r="C367">
        <f t="shared" si="10"/>
        <v>6.95</v>
      </c>
      <c r="M367" s="34">
        <v>42808</v>
      </c>
      <c r="N367">
        <v>6.37</v>
      </c>
    </row>
    <row r="368" spans="1:14" x14ac:dyDescent="0.2">
      <c r="A368" s="34">
        <v>42973</v>
      </c>
      <c r="B368">
        <v>5.7883950000000004</v>
      </c>
      <c r="C368">
        <f t="shared" si="10"/>
        <v>6.95</v>
      </c>
      <c r="M368" s="34">
        <v>42807</v>
      </c>
      <c r="N368">
        <v>6.34</v>
      </c>
    </row>
    <row r="369" spans="1:14" x14ac:dyDescent="0.2">
      <c r="A369" s="34">
        <v>42972</v>
      </c>
      <c r="B369">
        <v>5.7872810000000001</v>
      </c>
      <c r="C369">
        <f t="shared" si="10"/>
        <v>6.95</v>
      </c>
      <c r="M369" s="34">
        <v>42804</v>
      </c>
      <c r="N369">
        <v>6.29</v>
      </c>
    </row>
    <row r="370" spans="1:14" x14ac:dyDescent="0.2">
      <c r="A370" s="34">
        <v>42971</v>
      </c>
      <c r="B370">
        <v>5.7863110000000004</v>
      </c>
      <c r="C370">
        <f t="shared" si="10"/>
        <v>7.01</v>
      </c>
      <c r="M370" s="34">
        <v>42803</v>
      </c>
      <c r="N370">
        <v>6.31</v>
      </c>
    </row>
    <row r="371" spans="1:14" x14ac:dyDescent="0.2">
      <c r="A371" s="34">
        <v>42970</v>
      </c>
      <c r="B371">
        <v>5.7853409999999998</v>
      </c>
      <c r="C371">
        <f t="shared" si="10"/>
        <v>7.05</v>
      </c>
      <c r="M371" s="34">
        <v>42802</v>
      </c>
      <c r="N371">
        <v>6.29</v>
      </c>
    </row>
    <row r="372" spans="1:14" x14ac:dyDescent="0.2">
      <c r="A372" s="34">
        <v>42969</v>
      </c>
      <c r="B372">
        <v>5.7843720000000003</v>
      </c>
      <c r="C372">
        <f t="shared" si="10"/>
        <v>7.04</v>
      </c>
      <c r="M372" s="34">
        <v>42801</v>
      </c>
      <c r="N372">
        <v>6.28</v>
      </c>
    </row>
    <row r="373" spans="1:14" x14ac:dyDescent="0.2">
      <c r="A373" s="34">
        <v>42968</v>
      </c>
      <c r="B373">
        <v>5.7834019999999997</v>
      </c>
      <c r="C373">
        <f t="shared" si="10"/>
        <v>7.08</v>
      </c>
      <c r="M373" s="34">
        <v>42800</v>
      </c>
      <c r="N373">
        <v>6.27</v>
      </c>
    </row>
    <row r="374" spans="1:14" x14ac:dyDescent="0.2">
      <c r="A374" s="34">
        <v>42967</v>
      </c>
      <c r="B374">
        <v>5.7824330000000002</v>
      </c>
      <c r="C374">
        <f t="shared" si="10"/>
        <v>7.07</v>
      </c>
      <c r="M374" s="34">
        <v>42797</v>
      </c>
      <c r="N374">
        <v>6.31</v>
      </c>
    </row>
    <row r="375" spans="1:14" x14ac:dyDescent="0.2">
      <c r="A375" s="34">
        <v>42966</v>
      </c>
      <c r="B375">
        <v>5.7814639999999997</v>
      </c>
      <c r="C375">
        <f t="shared" si="10"/>
        <v>7.07</v>
      </c>
      <c r="M375" s="34">
        <v>42796</v>
      </c>
      <c r="N375">
        <v>6.3</v>
      </c>
    </row>
    <row r="376" spans="1:14" x14ac:dyDescent="0.2">
      <c r="A376" s="34">
        <v>42965</v>
      </c>
      <c r="B376">
        <v>5.7804950000000002</v>
      </c>
      <c r="C376">
        <f t="shared" si="10"/>
        <v>7.07</v>
      </c>
      <c r="M376" s="34">
        <v>42795</v>
      </c>
      <c r="N376">
        <v>6.4</v>
      </c>
    </row>
    <row r="377" spans="1:14" x14ac:dyDescent="0.2">
      <c r="A377" s="34">
        <v>42964</v>
      </c>
      <c r="B377">
        <v>5.7795259999999997</v>
      </c>
      <c r="C377">
        <f t="shared" si="10"/>
        <v>7</v>
      </c>
      <c r="M377" s="34">
        <v>42794</v>
      </c>
      <c r="N377">
        <v>6.29</v>
      </c>
    </row>
    <row r="378" spans="1:14" x14ac:dyDescent="0.2">
      <c r="A378" s="34">
        <v>42963</v>
      </c>
      <c r="B378">
        <v>5.7785580000000003</v>
      </c>
      <c r="C378">
        <f t="shared" si="10"/>
        <v>7</v>
      </c>
      <c r="M378" s="34">
        <v>42793</v>
      </c>
      <c r="N378">
        <v>6.26</v>
      </c>
    </row>
    <row r="379" spans="1:14" x14ac:dyDescent="0.2">
      <c r="A379" s="34">
        <v>42962</v>
      </c>
      <c r="B379">
        <v>5.7775889999999999</v>
      </c>
      <c r="C379">
        <f t="shared" si="10"/>
        <v>7.03</v>
      </c>
      <c r="M379" s="34">
        <v>42790</v>
      </c>
      <c r="N379">
        <v>6.27</v>
      </c>
    </row>
    <row r="380" spans="1:14" x14ac:dyDescent="0.2">
      <c r="A380" s="34">
        <v>42961</v>
      </c>
      <c r="B380">
        <v>5.7766209999999996</v>
      </c>
      <c r="C380">
        <f t="shared" si="10"/>
        <v>7.02</v>
      </c>
      <c r="M380" s="34">
        <v>42789</v>
      </c>
      <c r="N380">
        <v>6.26</v>
      </c>
    </row>
    <row r="381" spans="1:14" x14ac:dyDescent="0.2">
      <c r="A381" s="34">
        <v>42960</v>
      </c>
      <c r="B381">
        <v>5.7756530000000001</v>
      </c>
      <c r="C381">
        <f t="shared" si="10"/>
        <v>7</v>
      </c>
      <c r="M381" s="34">
        <v>42788</v>
      </c>
      <c r="N381">
        <v>6.25</v>
      </c>
    </row>
    <row r="382" spans="1:14" x14ac:dyDescent="0.2">
      <c r="A382" s="34">
        <v>42959</v>
      </c>
      <c r="B382">
        <v>5.7746849999999998</v>
      </c>
      <c r="C382">
        <f t="shared" si="10"/>
        <v>7</v>
      </c>
      <c r="M382" s="34">
        <v>42787</v>
      </c>
      <c r="N382">
        <v>6.26</v>
      </c>
    </row>
    <row r="383" spans="1:14" x14ac:dyDescent="0.2">
      <c r="A383" s="34">
        <v>42958</v>
      </c>
      <c r="B383">
        <v>5.7737170000000004</v>
      </c>
      <c r="C383">
        <f t="shared" si="10"/>
        <v>7</v>
      </c>
      <c r="M383" s="34">
        <v>42786</v>
      </c>
      <c r="N383">
        <v>6.23</v>
      </c>
    </row>
    <row r="384" spans="1:14" x14ac:dyDescent="0.2">
      <c r="A384" s="34">
        <v>42957</v>
      </c>
      <c r="B384">
        <v>5.7727500000000003</v>
      </c>
      <c r="C384">
        <f t="shared" si="10"/>
        <v>6.98</v>
      </c>
      <c r="M384" s="34">
        <v>42783</v>
      </c>
      <c r="N384">
        <v>6.22</v>
      </c>
    </row>
    <row r="385" spans="1:14" x14ac:dyDescent="0.2">
      <c r="A385" s="34">
        <v>42956</v>
      </c>
      <c r="B385">
        <v>5.7718999999999996</v>
      </c>
      <c r="C385">
        <f t="shared" si="10"/>
        <v>6.99</v>
      </c>
      <c r="M385" s="34">
        <v>42782</v>
      </c>
      <c r="N385">
        <v>6.24</v>
      </c>
    </row>
    <row r="386" spans="1:14" x14ac:dyDescent="0.2">
      <c r="A386" s="34">
        <v>42955</v>
      </c>
      <c r="B386">
        <v>5.7710509999999999</v>
      </c>
      <c r="C386">
        <f t="shared" ref="C386:C449" si="11">IFERROR(VLOOKUP(A386,$M$2:$N$3695,2,0),C387)</f>
        <v>7.04</v>
      </c>
      <c r="M386" s="34">
        <v>42781</v>
      </c>
      <c r="N386">
        <v>6.27</v>
      </c>
    </row>
    <row r="387" spans="1:14" x14ac:dyDescent="0.2">
      <c r="A387" s="34">
        <v>42954</v>
      </c>
      <c r="B387">
        <v>5.7702020000000003</v>
      </c>
      <c r="C387">
        <f t="shared" si="11"/>
        <v>7.04</v>
      </c>
      <c r="M387" s="34">
        <v>42780</v>
      </c>
      <c r="N387">
        <v>6.3</v>
      </c>
    </row>
    <row r="388" spans="1:14" x14ac:dyDescent="0.2">
      <c r="A388" s="34">
        <v>42953</v>
      </c>
      <c r="B388">
        <v>5.7693529999999997</v>
      </c>
      <c r="C388">
        <f t="shared" si="11"/>
        <v>7.03</v>
      </c>
      <c r="M388" s="34">
        <v>42779</v>
      </c>
      <c r="N388">
        <v>6.26</v>
      </c>
    </row>
    <row r="389" spans="1:14" x14ac:dyDescent="0.2">
      <c r="A389" s="34">
        <v>42952</v>
      </c>
      <c r="B389">
        <v>5.7685040000000001</v>
      </c>
      <c r="C389">
        <f t="shared" si="11"/>
        <v>7.03</v>
      </c>
      <c r="M389" s="34">
        <v>42776</v>
      </c>
      <c r="N389">
        <v>6.28</v>
      </c>
    </row>
    <row r="390" spans="1:14" x14ac:dyDescent="0.2">
      <c r="A390" s="34">
        <v>42951</v>
      </c>
      <c r="B390">
        <v>5.7676550000000004</v>
      </c>
      <c r="C390">
        <f t="shared" si="11"/>
        <v>7.03</v>
      </c>
      <c r="M390" s="34">
        <v>42775</v>
      </c>
      <c r="N390">
        <v>6.15</v>
      </c>
    </row>
    <row r="391" spans="1:14" x14ac:dyDescent="0.2">
      <c r="A391" s="34">
        <v>42950</v>
      </c>
      <c r="B391">
        <v>5.766807</v>
      </c>
      <c r="C391">
        <f t="shared" si="11"/>
        <v>7.03</v>
      </c>
      <c r="M391" s="34">
        <v>42774</v>
      </c>
      <c r="N391">
        <v>5.8</v>
      </c>
    </row>
    <row r="392" spans="1:14" x14ac:dyDescent="0.2">
      <c r="A392" s="34">
        <v>42949</v>
      </c>
      <c r="B392">
        <v>5.7659580000000004</v>
      </c>
      <c r="C392">
        <f t="shared" si="11"/>
        <v>7.05</v>
      </c>
      <c r="M392" s="34">
        <v>42773</v>
      </c>
      <c r="N392">
        <v>5.78</v>
      </c>
    </row>
    <row r="393" spans="1:14" x14ac:dyDescent="0.2">
      <c r="A393" s="34">
        <v>42948</v>
      </c>
      <c r="B393">
        <v>5.76511</v>
      </c>
      <c r="C393">
        <f t="shared" si="11"/>
        <v>7.07</v>
      </c>
      <c r="M393" s="34">
        <v>42769</v>
      </c>
      <c r="N393">
        <v>5.82</v>
      </c>
    </row>
    <row r="394" spans="1:14" x14ac:dyDescent="0.2">
      <c r="A394" s="34">
        <v>42947</v>
      </c>
      <c r="B394">
        <v>5.7642620000000004</v>
      </c>
      <c r="C394">
        <f t="shared" si="11"/>
        <v>7.12</v>
      </c>
      <c r="M394" s="34">
        <v>42768</v>
      </c>
      <c r="N394">
        <v>5.83</v>
      </c>
    </row>
    <row r="395" spans="1:14" x14ac:dyDescent="0.2">
      <c r="A395" s="34">
        <v>42946</v>
      </c>
      <c r="B395">
        <v>5.763414</v>
      </c>
      <c r="C395">
        <f t="shared" si="11"/>
        <v>7.02</v>
      </c>
      <c r="M395" s="34">
        <v>42767</v>
      </c>
      <c r="N395">
        <v>5.78</v>
      </c>
    </row>
    <row r="396" spans="1:14" x14ac:dyDescent="0.2">
      <c r="A396" s="34">
        <v>42945</v>
      </c>
      <c r="B396">
        <v>5.7625659999999996</v>
      </c>
      <c r="C396">
        <f t="shared" si="11"/>
        <v>7.02</v>
      </c>
      <c r="M396" s="34">
        <v>42766</v>
      </c>
      <c r="N396">
        <v>5.78</v>
      </c>
    </row>
    <row r="397" spans="1:14" x14ac:dyDescent="0.2">
      <c r="A397" s="34">
        <v>42944</v>
      </c>
      <c r="B397">
        <v>5.7617180000000001</v>
      </c>
      <c r="C397">
        <f t="shared" si="11"/>
        <v>7.02</v>
      </c>
      <c r="M397" s="34">
        <v>42765</v>
      </c>
      <c r="N397">
        <v>5.75</v>
      </c>
    </row>
    <row r="398" spans="1:14" x14ac:dyDescent="0.2">
      <c r="A398" s="34">
        <v>42943</v>
      </c>
      <c r="B398">
        <v>5.7608699999999997</v>
      </c>
      <c r="C398">
        <f t="shared" si="11"/>
        <v>7.11</v>
      </c>
      <c r="M398" s="34">
        <v>42762</v>
      </c>
      <c r="N398">
        <v>5.76</v>
      </c>
    </row>
    <row r="399" spans="1:14" x14ac:dyDescent="0.2">
      <c r="A399" s="34">
        <v>42942</v>
      </c>
      <c r="B399">
        <v>5.7600230000000003</v>
      </c>
      <c r="C399">
        <f t="shared" si="11"/>
        <v>7.07</v>
      </c>
      <c r="M399" s="34">
        <v>42761</v>
      </c>
      <c r="N399">
        <v>5.75</v>
      </c>
    </row>
    <row r="400" spans="1:14" x14ac:dyDescent="0.2">
      <c r="A400" s="34">
        <v>42941</v>
      </c>
      <c r="B400">
        <v>5.7591749999999999</v>
      </c>
      <c r="C400">
        <f t="shared" si="11"/>
        <v>7.04</v>
      </c>
      <c r="M400" s="34">
        <v>42760</v>
      </c>
      <c r="N400">
        <v>5.77</v>
      </c>
    </row>
    <row r="401" spans="1:14" x14ac:dyDescent="0.2">
      <c r="A401" s="34">
        <v>42940</v>
      </c>
      <c r="B401">
        <v>5.7590440000000003</v>
      </c>
      <c r="C401">
        <f t="shared" si="11"/>
        <v>6.99</v>
      </c>
      <c r="M401" s="34">
        <v>42759</v>
      </c>
      <c r="N401">
        <v>5.76</v>
      </c>
    </row>
    <row r="402" spans="1:14" x14ac:dyDescent="0.2">
      <c r="A402" s="34">
        <v>42939</v>
      </c>
      <c r="B402">
        <v>5.7589139999999999</v>
      </c>
      <c r="C402">
        <f t="shared" si="11"/>
        <v>7.04</v>
      </c>
      <c r="M402" s="34">
        <v>42758</v>
      </c>
      <c r="N402">
        <v>5.75</v>
      </c>
    </row>
    <row r="403" spans="1:14" x14ac:dyDescent="0.2">
      <c r="A403" s="34">
        <v>42938</v>
      </c>
      <c r="B403">
        <v>5.7587830000000002</v>
      </c>
      <c r="C403">
        <f t="shared" si="11"/>
        <v>7.04</v>
      </c>
      <c r="M403" s="34">
        <v>42755</v>
      </c>
      <c r="N403">
        <v>5.79</v>
      </c>
    </row>
    <row r="404" spans="1:14" x14ac:dyDescent="0.2">
      <c r="A404" s="34">
        <v>42937</v>
      </c>
      <c r="B404">
        <v>5.7586529999999998</v>
      </c>
      <c r="C404">
        <f t="shared" si="11"/>
        <v>7.04</v>
      </c>
      <c r="M404" s="34">
        <v>42754</v>
      </c>
      <c r="N404">
        <v>5.81</v>
      </c>
    </row>
    <row r="405" spans="1:14" x14ac:dyDescent="0.2">
      <c r="A405" s="34">
        <v>42936</v>
      </c>
      <c r="B405">
        <v>5.7585220000000001</v>
      </c>
      <c r="C405">
        <f t="shared" si="11"/>
        <v>7</v>
      </c>
      <c r="M405" s="34">
        <v>42753</v>
      </c>
      <c r="N405">
        <v>5.75</v>
      </c>
    </row>
    <row r="406" spans="1:14" x14ac:dyDescent="0.2">
      <c r="A406" s="34">
        <v>42935</v>
      </c>
      <c r="B406">
        <v>5.7583909999999996</v>
      </c>
      <c r="C406">
        <f t="shared" si="11"/>
        <v>7.09</v>
      </c>
      <c r="M406" s="34">
        <v>42752</v>
      </c>
      <c r="N406">
        <v>5.74</v>
      </c>
    </row>
    <row r="407" spans="1:14" x14ac:dyDescent="0.2">
      <c r="A407" s="34">
        <v>42934</v>
      </c>
      <c r="B407">
        <v>5.7582610000000001</v>
      </c>
      <c r="C407">
        <f t="shared" si="11"/>
        <v>7.03</v>
      </c>
      <c r="M407" s="34">
        <v>42751</v>
      </c>
      <c r="N407">
        <v>5.89</v>
      </c>
    </row>
    <row r="408" spans="1:14" x14ac:dyDescent="0.2">
      <c r="A408" s="34">
        <v>42933</v>
      </c>
      <c r="B408">
        <v>5.7581300000000004</v>
      </c>
      <c r="C408">
        <f t="shared" si="11"/>
        <v>7.01</v>
      </c>
      <c r="M408" s="34">
        <v>42748</v>
      </c>
      <c r="N408">
        <v>5.82</v>
      </c>
    </row>
    <row r="409" spans="1:14" x14ac:dyDescent="0.2">
      <c r="A409" s="34">
        <v>42932</v>
      </c>
      <c r="B409">
        <v>5.758</v>
      </c>
      <c r="C409">
        <f t="shared" si="11"/>
        <v>7.06</v>
      </c>
      <c r="M409" s="34">
        <v>42747</v>
      </c>
      <c r="N409">
        <v>5.87</v>
      </c>
    </row>
    <row r="410" spans="1:14" x14ac:dyDescent="0.2">
      <c r="A410" s="34">
        <v>42931</v>
      </c>
      <c r="B410">
        <v>5.7578690000000003</v>
      </c>
      <c r="C410">
        <f t="shared" si="11"/>
        <v>7.06</v>
      </c>
      <c r="M410" s="34">
        <v>42746</v>
      </c>
      <c r="N410">
        <v>5.74</v>
      </c>
    </row>
    <row r="411" spans="1:14" x14ac:dyDescent="0.2">
      <c r="A411" s="34">
        <v>42930</v>
      </c>
      <c r="B411">
        <v>5.7577389999999999</v>
      </c>
      <c r="C411">
        <f t="shared" si="11"/>
        <v>7.06</v>
      </c>
      <c r="M411" s="34">
        <v>42745</v>
      </c>
      <c r="N411">
        <v>5.75</v>
      </c>
    </row>
    <row r="412" spans="1:14" x14ac:dyDescent="0.2">
      <c r="A412" s="34">
        <v>42929</v>
      </c>
      <c r="B412">
        <v>5.7576080000000003</v>
      </c>
      <c r="C412">
        <f t="shared" si="11"/>
        <v>7.09</v>
      </c>
      <c r="M412" s="34">
        <v>42744</v>
      </c>
      <c r="N412">
        <v>5.76</v>
      </c>
    </row>
    <row r="413" spans="1:14" x14ac:dyDescent="0.2">
      <c r="A413" s="34">
        <v>42928</v>
      </c>
      <c r="B413">
        <v>5.7574769999999997</v>
      </c>
      <c r="C413">
        <f t="shared" si="11"/>
        <v>7.03</v>
      </c>
      <c r="M413" s="34">
        <v>42741</v>
      </c>
      <c r="N413">
        <v>5.76</v>
      </c>
    </row>
    <row r="414" spans="1:14" x14ac:dyDescent="0.2">
      <c r="A414" s="34">
        <v>42927</v>
      </c>
      <c r="B414">
        <v>5.7573470000000002</v>
      </c>
      <c r="C414">
        <f t="shared" si="11"/>
        <v>7.06</v>
      </c>
      <c r="M414" s="34">
        <v>42740</v>
      </c>
      <c r="N414">
        <v>5.74</v>
      </c>
    </row>
    <row r="415" spans="1:14" x14ac:dyDescent="0.2">
      <c r="A415" s="34">
        <v>42926</v>
      </c>
      <c r="B415">
        <v>5.7572159999999997</v>
      </c>
      <c r="C415">
        <f t="shared" si="11"/>
        <v>6.9</v>
      </c>
      <c r="M415" s="34">
        <v>42739</v>
      </c>
      <c r="N415">
        <v>5.75</v>
      </c>
    </row>
    <row r="416" spans="1:14" x14ac:dyDescent="0.2">
      <c r="A416" s="34">
        <v>42925</v>
      </c>
      <c r="B416">
        <v>5.7566360000000003</v>
      </c>
      <c r="C416">
        <f t="shared" si="11"/>
        <v>6.95</v>
      </c>
      <c r="M416" s="34">
        <v>42738</v>
      </c>
      <c r="N416">
        <v>5.77</v>
      </c>
    </row>
    <row r="417" spans="1:14" x14ac:dyDescent="0.2">
      <c r="A417" s="34">
        <v>42924</v>
      </c>
      <c r="B417">
        <v>5.7560549999999999</v>
      </c>
      <c r="C417">
        <f t="shared" si="11"/>
        <v>6.95</v>
      </c>
      <c r="M417" s="34">
        <v>42737</v>
      </c>
      <c r="N417">
        <v>5.74</v>
      </c>
    </row>
    <row r="418" spans="1:14" x14ac:dyDescent="0.2">
      <c r="A418" s="34">
        <v>42923</v>
      </c>
      <c r="B418">
        <v>5.7554749999999997</v>
      </c>
      <c r="C418">
        <f t="shared" si="11"/>
        <v>6.95</v>
      </c>
      <c r="M418" s="34">
        <v>42734</v>
      </c>
      <c r="N418">
        <v>5.8</v>
      </c>
    </row>
    <row r="419" spans="1:14" x14ac:dyDescent="0.2">
      <c r="A419" s="34">
        <v>42922</v>
      </c>
      <c r="B419">
        <v>5.7548950000000003</v>
      </c>
      <c r="C419">
        <f t="shared" si="11"/>
        <v>6.98</v>
      </c>
      <c r="M419" s="34">
        <v>42733</v>
      </c>
      <c r="N419">
        <v>5.77</v>
      </c>
    </row>
    <row r="420" spans="1:14" x14ac:dyDescent="0.2">
      <c r="A420" s="34">
        <v>42921</v>
      </c>
      <c r="B420">
        <v>5.7543150000000001</v>
      </c>
      <c r="C420">
        <f t="shared" si="11"/>
        <v>7</v>
      </c>
      <c r="M420" s="34">
        <v>42732</v>
      </c>
      <c r="N420">
        <v>5.77</v>
      </c>
    </row>
    <row r="421" spans="1:14" x14ac:dyDescent="0.2">
      <c r="A421" s="34">
        <v>42920</v>
      </c>
      <c r="B421">
        <v>5.7537339999999997</v>
      </c>
      <c r="C421">
        <f t="shared" si="11"/>
        <v>6.98</v>
      </c>
      <c r="M421" s="34">
        <v>42731</v>
      </c>
      <c r="N421">
        <v>5.8</v>
      </c>
    </row>
    <row r="422" spans="1:14" x14ac:dyDescent="0.2">
      <c r="A422" s="34">
        <v>42919</v>
      </c>
      <c r="B422">
        <v>5.7531540000000003</v>
      </c>
      <c r="C422">
        <f t="shared" si="11"/>
        <v>7.15</v>
      </c>
      <c r="M422" s="34">
        <v>42730</v>
      </c>
      <c r="N422">
        <v>5.78</v>
      </c>
    </row>
    <row r="423" spans="1:14" x14ac:dyDescent="0.2">
      <c r="A423" s="34">
        <v>42918</v>
      </c>
      <c r="B423">
        <v>5.7525740000000001</v>
      </c>
      <c r="C423">
        <f t="shared" si="11"/>
        <v>7.11</v>
      </c>
      <c r="M423" s="34">
        <v>42727</v>
      </c>
      <c r="N423">
        <v>5.75</v>
      </c>
    </row>
    <row r="424" spans="1:14" x14ac:dyDescent="0.2">
      <c r="A424" s="34">
        <v>42917</v>
      </c>
      <c r="B424">
        <v>5.7519939999999998</v>
      </c>
      <c r="C424">
        <f t="shared" si="11"/>
        <v>7.11</v>
      </c>
      <c r="M424" s="34">
        <v>42726</v>
      </c>
      <c r="N424">
        <v>5.77</v>
      </c>
    </row>
    <row r="425" spans="1:14" x14ac:dyDescent="0.2">
      <c r="A425" s="34">
        <v>42916</v>
      </c>
      <c r="B425">
        <v>5.7514139999999996</v>
      </c>
      <c r="C425">
        <f t="shared" si="11"/>
        <v>7.11</v>
      </c>
      <c r="M425" s="34">
        <v>42725</v>
      </c>
      <c r="N425">
        <v>5.75</v>
      </c>
    </row>
    <row r="426" spans="1:14" x14ac:dyDescent="0.2">
      <c r="A426" s="34">
        <v>42915</v>
      </c>
      <c r="B426">
        <v>5.7508350000000004</v>
      </c>
      <c r="C426">
        <f t="shared" si="11"/>
        <v>7</v>
      </c>
      <c r="M426" s="34">
        <v>42724</v>
      </c>
      <c r="N426">
        <v>5.79</v>
      </c>
    </row>
    <row r="427" spans="1:14" x14ac:dyDescent="0.2">
      <c r="A427" s="34">
        <v>42914</v>
      </c>
      <c r="B427">
        <v>5.7502550000000001</v>
      </c>
      <c r="C427">
        <f t="shared" si="11"/>
        <v>6.99</v>
      </c>
      <c r="M427" s="34">
        <v>42723</v>
      </c>
      <c r="N427">
        <v>5.79</v>
      </c>
    </row>
    <row r="428" spans="1:14" x14ac:dyDescent="0.2">
      <c r="A428" s="34">
        <v>42913</v>
      </c>
      <c r="B428">
        <v>5.7496749999999999</v>
      </c>
      <c r="C428">
        <f t="shared" si="11"/>
        <v>6.9</v>
      </c>
      <c r="M428" s="34">
        <v>42720</v>
      </c>
      <c r="N428">
        <v>5.85</v>
      </c>
    </row>
    <row r="429" spans="1:14" x14ac:dyDescent="0.2">
      <c r="A429" s="34">
        <v>42912</v>
      </c>
      <c r="B429">
        <v>5.7490949999999996</v>
      </c>
      <c r="C429">
        <f t="shared" si="11"/>
        <v>6.93</v>
      </c>
      <c r="M429" s="34">
        <v>42719</v>
      </c>
      <c r="N429">
        <v>5.85</v>
      </c>
    </row>
    <row r="430" spans="1:14" x14ac:dyDescent="0.2">
      <c r="A430" s="34">
        <v>42911</v>
      </c>
      <c r="B430">
        <v>5.7485160000000004</v>
      </c>
      <c r="C430">
        <f t="shared" si="11"/>
        <v>6.97</v>
      </c>
      <c r="M430" s="34">
        <v>42718</v>
      </c>
      <c r="N430">
        <v>5.49</v>
      </c>
    </row>
    <row r="431" spans="1:14" x14ac:dyDescent="0.2">
      <c r="A431" s="34">
        <v>42910</v>
      </c>
      <c r="B431">
        <v>5.747884</v>
      </c>
      <c r="C431">
        <f t="shared" si="11"/>
        <v>6.97</v>
      </c>
      <c r="M431" s="34">
        <v>42717</v>
      </c>
      <c r="N431">
        <v>5.28</v>
      </c>
    </row>
    <row r="432" spans="1:14" x14ac:dyDescent="0.2">
      <c r="A432" s="34">
        <v>42909</v>
      </c>
      <c r="B432">
        <v>5.7472510000000003</v>
      </c>
      <c r="C432">
        <f t="shared" si="11"/>
        <v>6.97</v>
      </c>
      <c r="M432" s="34">
        <v>42713</v>
      </c>
      <c r="N432">
        <v>5.27</v>
      </c>
    </row>
    <row r="433" spans="1:14" x14ac:dyDescent="0.2">
      <c r="A433" s="34">
        <v>42908</v>
      </c>
      <c r="B433">
        <v>5.7466189999999999</v>
      </c>
      <c r="C433">
        <f t="shared" si="11"/>
        <v>6.91</v>
      </c>
      <c r="M433" s="34">
        <v>42712</v>
      </c>
      <c r="N433">
        <v>5.24</v>
      </c>
    </row>
    <row r="434" spans="1:14" x14ac:dyDescent="0.2">
      <c r="A434" s="34">
        <v>42907</v>
      </c>
      <c r="B434">
        <v>5.7459879999999997</v>
      </c>
      <c r="C434">
        <f t="shared" si="11"/>
        <v>6.73</v>
      </c>
      <c r="M434" s="34">
        <v>42711</v>
      </c>
      <c r="N434">
        <v>5.26</v>
      </c>
    </row>
    <row r="435" spans="1:14" x14ac:dyDescent="0.2">
      <c r="A435" s="34">
        <v>42906</v>
      </c>
      <c r="B435">
        <v>5.7453560000000001</v>
      </c>
      <c r="C435">
        <f t="shared" si="11"/>
        <v>6.71</v>
      </c>
      <c r="M435" s="34">
        <v>42710</v>
      </c>
      <c r="N435">
        <v>5.23</v>
      </c>
    </row>
    <row r="436" spans="1:14" x14ac:dyDescent="0.2">
      <c r="A436" s="34">
        <v>42905</v>
      </c>
      <c r="B436">
        <v>5.7447239999999997</v>
      </c>
      <c r="C436">
        <f t="shared" si="11"/>
        <v>6.76</v>
      </c>
      <c r="M436" s="34">
        <v>42709</v>
      </c>
      <c r="N436">
        <v>5.26</v>
      </c>
    </row>
    <row r="437" spans="1:14" x14ac:dyDescent="0.2">
      <c r="A437" s="34">
        <v>42904</v>
      </c>
      <c r="B437">
        <v>5.7440920000000002</v>
      </c>
      <c r="C437">
        <f t="shared" si="11"/>
        <v>6.89</v>
      </c>
      <c r="M437" s="34">
        <v>42706</v>
      </c>
      <c r="N437">
        <v>5.26</v>
      </c>
    </row>
    <row r="438" spans="1:14" x14ac:dyDescent="0.2">
      <c r="A438" s="34">
        <v>42903</v>
      </c>
      <c r="B438">
        <v>5.7434599999999998</v>
      </c>
      <c r="C438">
        <f t="shared" si="11"/>
        <v>6.89</v>
      </c>
      <c r="M438" s="34">
        <v>42705</v>
      </c>
      <c r="N438">
        <v>5.25</v>
      </c>
    </row>
    <row r="439" spans="1:14" x14ac:dyDescent="0.2">
      <c r="A439" s="34">
        <v>42902</v>
      </c>
      <c r="B439">
        <v>5.7428290000000004</v>
      </c>
      <c r="C439">
        <f t="shared" si="11"/>
        <v>6.89</v>
      </c>
      <c r="M439" s="34">
        <v>42704</v>
      </c>
      <c r="N439">
        <v>5.28</v>
      </c>
    </row>
    <row r="440" spans="1:14" x14ac:dyDescent="0.2">
      <c r="A440" s="34">
        <v>42901</v>
      </c>
      <c r="B440">
        <v>5.742197</v>
      </c>
      <c r="C440">
        <f t="shared" si="11"/>
        <v>6.93</v>
      </c>
      <c r="M440" s="34">
        <v>42703</v>
      </c>
      <c r="N440">
        <v>5.26</v>
      </c>
    </row>
    <row r="441" spans="1:14" x14ac:dyDescent="0.2">
      <c r="A441" s="34">
        <v>42900</v>
      </c>
      <c r="B441">
        <v>5.7415659999999997</v>
      </c>
      <c r="C441">
        <f t="shared" si="11"/>
        <v>6.79</v>
      </c>
      <c r="M441" s="34">
        <v>42702</v>
      </c>
      <c r="N441">
        <v>5.25</v>
      </c>
    </row>
    <row r="442" spans="1:14" x14ac:dyDescent="0.2">
      <c r="A442" s="34">
        <v>42899</v>
      </c>
      <c r="B442">
        <v>5.7409340000000002</v>
      </c>
      <c r="C442">
        <f t="shared" si="11"/>
        <v>6.77</v>
      </c>
      <c r="M442" s="34">
        <v>42699</v>
      </c>
      <c r="N442">
        <v>5.25</v>
      </c>
    </row>
    <row r="443" spans="1:14" x14ac:dyDescent="0.2">
      <c r="A443" s="34">
        <v>42898</v>
      </c>
      <c r="B443">
        <v>5.7403029999999999</v>
      </c>
      <c r="C443">
        <f t="shared" si="11"/>
        <v>6.76</v>
      </c>
      <c r="M443" s="34">
        <v>42698</v>
      </c>
      <c r="N443">
        <v>5.22</v>
      </c>
    </row>
    <row r="444" spans="1:14" x14ac:dyDescent="0.2">
      <c r="A444" s="34">
        <v>42897</v>
      </c>
      <c r="B444">
        <v>5.7396719999999997</v>
      </c>
      <c r="C444">
        <f t="shared" si="11"/>
        <v>6.74</v>
      </c>
      <c r="M444" s="34">
        <v>42697</v>
      </c>
      <c r="N444">
        <v>5.2</v>
      </c>
    </row>
    <row r="445" spans="1:14" x14ac:dyDescent="0.2">
      <c r="A445" s="34">
        <v>42896</v>
      </c>
      <c r="B445">
        <v>5.7390410000000003</v>
      </c>
      <c r="C445">
        <f t="shared" si="11"/>
        <v>6.74</v>
      </c>
      <c r="M445" s="34">
        <v>42696</v>
      </c>
      <c r="N445">
        <v>5.25</v>
      </c>
    </row>
    <row r="446" spans="1:14" x14ac:dyDescent="0.2">
      <c r="A446" s="34">
        <v>42895</v>
      </c>
      <c r="B446">
        <v>5.7402550000000003</v>
      </c>
      <c r="C446">
        <f t="shared" si="11"/>
        <v>6.74</v>
      </c>
      <c r="M446" s="34">
        <v>42692</v>
      </c>
      <c r="N446">
        <v>5.3</v>
      </c>
    </row>
    <row r="447" spans="1:14" x14ac:dyDescent="0.2">
      <c r="A447" s="34">
        <v>42894</v>
      </c>
      <c r="B447">
        <v>5.7414690000000004</v>
      </c>
      <c r="C447">
        <f t="shared" si="11"/>
        <v>6.68</v>
      </c>
      <c r="M447" s="34">
        <v>42691</v>
      </c>
      <c r="N447">
        <v>5.15</v>
      </c>
    </row>
    <row r="448" spans="1:14" x14ac:dyDescent="0.2">
      <c r="A448" s="34">
        <v>42893</v>
      </c>
      <c r="B448">
        <v>5.7426830000000004</v>
      </c>
      <c r="C448">
        <f t="shared" si="11"/>
        <v>6.77</v>
      </c>
      <c r="M448" s="34">
        <v>42690</v>
      </c>
      <c r="N448">
        <v>4.7699999999999996</v>
      </c>
    </row>
    <row r="449" spans="1:14" x14ac:dyDescent="0.2">
      <c r="A449" s="34">
        <v>42892</v>
      </c>
      <c r="B449">
        <v>5.7438969999999996</v>
      </c>
      <c r="C449">
        <f t="shared" si="11"/>
        <v>6.83</v>
      </c>
      <c r="M449" s="34">
        <v>42689</v>
      </c>
      <c r="N449">
        <v>4.75</v>
      </c>
    </row>
    <row r="450" spans="1:14" x14ac:dyDescent="0.2">
      <c r="A450" s="34">
        <v>42891</v>
      </c>
      <c r="B450">
        <v>5.7451119999999998</v>
      </c>
      <c r="C450">
        <f t="shared" ref="C450:C513" si="12">IFERROR(VLOOKUP(A450,$M$2:$N$3695,2,0),C451)</f>
        <v>6.85</v>
      </c>
      <c r="M450" s="34">
        <v>42688</v>
      </c>
      <c r="N450">
        <v>4.78</v>
      </c>
    </row>
    <row r="451" spans="1:14" x14ac:dyDescent="0.2">
      <c r="A451" s="34">
        <v>42890</v>
      </c>
      <c r="B451">
        <v>5.746327</v>
      </c>
      <c r="C451">
        <f t="shared" si="12"/>
        <v>6.81</v>
      </c>
      <c r="M451" s="34">
        <v>42685</v>
      </c>
      <c r="N451">
        <v>4.76</v>
      </c>
    </row>
    <row r="452" spans="1:14" x14ac:dyDescent="0.2">
      <c r="A452" s="34">
        <v>42889</v>
      </c>
      <c r="B452">
        <v>5.7475420000000002</v>
      </c>
      <c r="C452">
        <f t="shared" si="12"/>
        <v>6.81</v>
      </c>
      <c r="M452" s="34">
        <v>42684</v>
      </c>
      <c r="N452">
        <v>4.8</v>
      </c>
    </row>
    <row r="453" spans="1:14" x14ac:dyDescent="0.2">
      <c r="A453" s="34">
        <v>42888</v>
      </c>
      <c r="B453">
        <v>5.7487579999999996</v>
      </c>
      <c r="C453">
        <f t="shared" si="12"/>
        <v>6.81</v>
      </c>
      <c r="M453" s="34">
        <v>42683</v>
      </c>
      <c r="N453">
        <v>4.91</v>
      </c>
    </row>
    <row r="454" spans="1:14" x14ac:dyDescent="0.2">
      <c r="A454" s="34">
        <v>42887</v>
      </c>
      <c r="B454">
        <v>5.7499739999999999</v>
      </c>
      <c r="C454">
        <f t="shared" si="12"/>
        <v>6.82</v>
      </c>
      <c r="M454" s="34">
        <v>42682</v>
      </c>
      <c r="N454">
        <v>4.91</v>
      </c>
    </row>
    <row r="455" spans="1:14" x14ac:dyDescent="0.2">
      <c r="A455" s="34">
        <v>42886</v>
      </c>
      <c r="B455">
        <v>5.7511900000000002</v>
      </c>
      <c r="C455">
        <f t="shared" si="12"/>
        <v>6.83</v>
      </c>
      <c r="M455" s="34">
        <v>42681</v>
      </c>
      <c r="N455">
        <v>4.78</v>
      </c>
    </row>
    <row r="456" spans="1:14" x14ac:dyDescent="0.2">
      <c r="A456" s="34">
        <v>42885</v>
      </c>
      <c r="B456">
        <v>5.7524059999999997</v>
      </c>
      <c r="C456">
        <f t="shared" si="12"/>
        <v>6.79</v>
      </c>
      <c r="M456" s="34">
        <v>42678</v>
      </c>
      <c r="N456">
        <v>4.8099999999999996</v>
      </c>
    </row>
    <row r="457" spans="1:14" x14ac:dyDescent="0.2">
      <c r="A457" s="34">
        <v>42884</v>
      </c>
      <c r="B457">
        <v>5.7536230000000002</v>
      </c>
      <c r="C457">
        <f t="shared" si="12"/>
        <v>6.8</v>
      </c>
      <c r="M457" s="34">
        <v>42677</v>
      </c>
      <c r="N457">
        <v>4.79</v>
      </c>
    </row>
    <row r="458" spans="1:14" x14ac:dyDescent="0.2">
      <c r="A458" s="34">
        <v>42883</v>
      </c>
      <c r="B458">
        <v>5.7548399999999997</v>
      </c>
      <c r="C458">
        <f t="shared" si="12"/>
        <v>6.75</v>
      </c>
      <c r="M458" s="34">
        <v>42675</v>
      </c>
      <c r="N458">
        <v>4.79</v>
      </c>
    </row>
    <row r="459" spans="1:14" x14ac:dyDescent="0.2">
      <c r="A459" s="34">
        <v>42882</v>
      </c>
      <c r="B459">
        <v>5.7560570000000002</v>
      </c>
      <c r="C459">
        <f t="shared" si="12"/>
        <v>6.75</v>
      </c>
      <c r="M459" s="34">
        <v>42674</v>
      </c>
      <c r="N459">
        <v>4.82</v>
      </c>
    </row>
    <row r="460" spans="1:14" x14ac:dyDescent="0.2">
      <c r="A460" s="34">
        <v>42881</v>
      </c>
      <c r="B460">
        <v>5.7572739999999998</v>
      </c>
      <c r="C460">
        <f t="shared" si="12"/>
        <v>6.75</v>
      </c>
      <c r="M460" s="34">
        <v>42671</v>
      </c>
      <c r="N460">
        <v>4.76</v>
      </c>
    </row>
    <row r="461" spans="1:14" x14ac:dyDescent="0.2">
      <c r="A461" s="34">
        <v>42880</v>
      </c>
      <c r="B461">
        <v>5.7584920000000004</v>
      </c>
      <c r="C461">
        <f t="shared" si="12"/>
        <v>6.82</v>
      </c>
      <c r="M461" s="34">
        <v>42670</v>
      </c>
      <c r="N461">
        <v>4.75</v>
      </c>
    </row>
    <row r="462" spans="1:14" x14ac:dyDescent="0.2">
      <c r="A462" s="34">
        <v>42879</v>
      </c>
      <c r="B462">
        <v>5.7574459999999998</v>
      </c>
      <c r="C462">
        <f t="shared" si="12"/>
        <v>6.74</v>
      </c>
      <c r="M462" s="34">
        <v>42669</v>
      </c>
      <c r="N462">
        <v>4.75</v>
      </c>
    </row>
    <row r="463" spans="1:14" x14ac:dyDescent="0.2">
      <c r="A463" s="34">
        <v>42878</v>
      </c>
      <c r="B463">
        <v>5.7564000000000002</v>
      </c>
      <c r="C463">
        <f t="shared" si="12"/>
        <v>6.6</v>
      </c>
      <c r="M463" s="34">
        <v>42668</v>
      </c>
      <c r="N463">
        <v>4.75</v>
      </c>
    </row>
    <row r="464" spans="1:14" x14ac:dyDescent="0.2">
      <c r="A464" s="34">
        <v>42877</v>
      </c>
      <c r="B464">
        <v>5.7553539999999996</v>
      </c>
      <c r="C464">
        <f t="shared" si="12"/>
        <v>6.72</v>
      </c>
      <c r="M464" s="34">
        <v>42667</v>
      </c>
      <c r="N464">
        <v>4.76</v>
      </c>
    </row>
    <row r="465" spans="1:14" x14ac:dyDescent="0.2">
      <c r="A465" s="34">
        <v>42876</v>
      </c>
      <c r="B465">
        <v>5.7543090000000001</v>
      </c>
      <c r="C465">
        <f t="shared" si="12"/>
        <v>6.76</v>
      </c>
      <c r="M465" s="34">
        <v>42664</v>
      </c>
      <c r="N465">
        <v>4.74</v>
      </c>
    </row>
    <row r="466" spans="1:14" x14ac:dyDescent="0.2">
      <c r="A466" s="34">
        <v>42875</v>
      </c>
      <c r="B466">
        <v>5.7532639999999997</v>
      </c>
      <c r="C466">
        <f t="shared" si="12"/>
        <v>6.76</v>
      </c>
      <c r="M466" s="34">
        <v>42663</v>
      </c>
      <c r="N466">
        <v>4.75</v>
      </c>
    </row>
    <row r="467" spans="1:14" x14ac:dyDescent="0.2">
      <c r="A467" s="34">
        <v>42874</v>
      </c>
      <c r="B467">
        <v>5.7522190000000002</v>
      </c>
      <c r="C467">
        <f t="shared" si="12"/>
        <v>6.76</v>
      </c>
      <c r="M467" s="34">
        <v>42662</v>
      </c>
      <c r="N467">
        <v>4.78</v>
      </c>
    </row>
    <row r="468" spans="1:14" x14ac:dyDescent="0.2">
      <c r="A468" s="34">
        <v>42873</v>
      </c>
      <c r="B468">
        <v>5.7511739999999998</v>
      </c>
      <c r="C468">
        <f t="shared" si="12"/>
        <v>6.55</v>
      </c>
      <c r="M468" s="34">
        <v>42661</v>
      </c>
      <c r="N468">
        <v>4.75</v>
      </c>
    </row>
    <row r="469" spans="1:14" x14ac:dyDescent="0.2">
      <c r="A469" s="34">
        <v>42872</v>
      </c>
      <c r="B469">
        <v>5.7501290000000003</v>
      </c>
      <c r="C469">
        <f t="shared" si="12"/>
        <v>6.48</v>
      </c>
      <c r="M469" s="34">
        <v>42660</v>
      </c>
      <c r="N469">
        <v>4.75</v>
      </c>
    </row>
    <row r="470" spans="1:14" x14ac:dyDescent="0.2">
      <c r="A470" s="34">
        <v>42871</v>
      </c>
      <c r="B470">
        <v>5.749085</v>
      </c>
      <c r="C470">
        <f t="shared" si="12"/>
        <v>6.5</v>
      </c>
      <c r="M470" s="34">
        <v>42657</v>
      </c>
      <c r="N470">
        <v>4.76</v>
      </c>
    </row>
    <row r="471" spans="1:14" x14ac:dyDescent="0.2">
      <c r="A471" s="34">
        <v>42870</v>
      </c>
      <c r="B471">
        <v>5.7480399999999996</v>
      </c>
      <c r="C471">
        <f t="shared" si="12"/>
        <v>6.59</v>
      </c>
      <c r="M471" s="34">
        <v>42656</v>
      </c>
      <c r="N471">
        <v>4.76</v>
      </c>
    </row>
    <row r="472" spans="1:14" x14ac:dyDescent="0.2">
      <c r="A472" s="34">
        <v>42869</v>
      </c>
      <c r="B472">
        <v>5.7469960000000002</v>
      </c>
      <c r="C472">
        <f t="shared" si="12"/>
        <v>6.55</v>
      </c>
      <c r="M472" s="34">
        <v>42655</v>
      </c>
      <c r="N472">
        <v>4.7300000000000004</v>
      </c>
    </row>
    <row r="473" spans="1:14" x14ac:dyDescent="0.2">
      <c r="A473" s="34">
        <v>42868</v>
      </c>
      <c r="B473">
        <v>5.7459519999999999</v>
      </c>
      <c r="C473">
        <f t="shared" si="12"/>
        <v>6.55</v>
      </c>
      <c r="M473" s="34">
        <v>42654</v>
      </c>
      <c r="N473">
        <v>4.75</v>
      </c>
    </row>
    <row r="474" spans="1:14" x14ac:dyDescent="0.2">
      <c r="A474" s="34">
        <v>42867</v>
      </c>
      <c r="B474">
        <v>5.7449089999999998</v>
      </c>
      <c r="C474">
        <f t="shared" si="12"/>
        <v>6.55</v>
      </c>
      <c r="M474" s="34">
        <v>42653</v>
      </c>
      <c r="N474">
        <v>4.75</v>
      </c>
    </row>
    <row r="475" spans="1:14" x14ac:dyDescent="0.2">
      <c r="A475" s="34">
        <v>42866</v>
      </c>
      <c r="B475">
        <v>5.7438650000000004</v>
      </c>
      <c r="C475">
        <f t="shared" si="12"/>
        <v>6.53</v>
      </c>
      <c r="M475" s="34">
        <v>42650</v>
      </c>
      <c r="N475">
        <v>4.74</v>
      </c>
    </row>
    <row r="476" spans="1:14" x14ac:dyDescent="0.2">
      <c r="A476" s="34">
        <v>42865</v>
      </c>
      <c r="B476">
        <v>5.7428220000000003</v>
      </c>
      <c r="C476">
        <f t="shared" si="12"/>
        <v>6.54</v>
      </c>
      <c r="M476" s="34">
        <v>42649</v>
      </c>
      <c r="N476">
        <v>4.76</v>
      </c>
    </row>
    <row r="477" spans="1:14" x14ac:dyDescent="0.2">
      <c r="A477" s="34">
        <v>42864</v>
      </c>
      <c r="B477">
        <v>5.743398</v>
      </c>
      <c r="C477">
        <f t="shared" si="12"/>
        <v>6.6</v>
      </c>
      <c r="M477" s="34">
        <v>42648</v>
      </c>
      <c r="N477">
        <v>4.75</v>
      </c>
    </row>
    <row r="478" spans="1:14" x14ac:dyDescent="0.2">
      <c r="A478" s="34">
        <v>42863</v>
      </c>
      <c r="B478">
        <v>5.7439749999999998</v>
      </c>
      <c r="C478">
        <f t="shared" si="12"/>
        <v>6.45</v>
      </c>
      <c r="M478" s="34">
        <v>42647</v>
      </c>
      <c r="N478">
        <v>4.7699999999999996</v>
      </c>
    </row>
    <row r="479" spans="1:14" x14ac:dyDescent="0.2">
      <c r="A479" s="34">
        <v>42862</v>
      </c>
      <c r="B479">
        <v>5.7445519999999997</v>
      </c>
      <c r="C479">
        <f t="shared" si="12"/>
        <v>6.48</v>
      </c>
      <c r="M479" s="34">
        <v>42646</v>
      </c>
      <c r="N479">
        <v>4.75</v>
      </c>
    </row>
    <row r="480" spans="1:14" x14ac:dyDescent="0.2">
      <c r="A480" s="34">
        <v>42861</v>
      </c>
      <c r="B480">
        <v>5.7451280000000002</v>
      </c>
      <c r="C480">
        <f t="shared" si="12"/>
        <v>6.48</v>
      </c>
      <c r="M480" s="34">
        <v>42643</v>
      </c>
      <c r="N480">
        <v>4.82</v>
      </c>
    </row>
    <row r="481" spans="1:14" x14ac:dyDescent="0.2">
      <c r="A481" s="34">
        <v>42860</v>
      </c>
      <c r="B481">
        <v>5.7457050000000001</v>
      </c>
      <c r="C481">
        <f t="shared" si="12"/>
        <v>6.48</v>
      </c>
      <c r="M481" s="34">
        <v>42642</v>
      </c>
      <c r="N481">
        <v>4.3899999999999997</v>
      </c>
    </row>
    <row r="482" spans="1:14" x14ac:dyDescent="0.2">
      <c r="A482" s="34">
        <v>42859</v>
      </c>
      <c r="B482">
        <v>5.7462819999999999</v>
      </c>
      <c r="C482">
        <f t="shared" si="12"/>
        <v>6.46</v>
      </c>
      <c r="M482" s="34">
        <v>42641</v>
      </c>
      <c r="N482">
        <v>4.25</v>
      </c>
    </row>
    <row r="483" spans="1:14" x14ac:dyDescent="0.2">
      <c r="A483" s="34">
        <v>42858</v>
      </c>
      <c r="B483">
        <v>5.7468589999999997</v>
      </c>
      <c r="C483">
        <f t="shared" si="12"/>
        <v>6.52</v>
      </c>
      <c r="M483" s="34">
        <v>42640</v>
      </c>
      <c r="N483">
        <v>4.25</v>
      </c>
    </row>
    <row r="484" spans="1:14" x14ac:dyDescent="0.2">
      <c r="A484" s="34">
        <v>42857</v>
      </c>
      <c r="B484">
        <v>5.7474360000000004</v>
      </c>
      <c r="C484">
        <f t="shared" si="12"/>
        <v>6.73</v>
      </c>
      <c r="M484" s="34">
        <v>42639</v>
      </c>
      <c r="N484">
        <v>4.2</v>
      </c>
    </row>
    <row r="485" spans="1:14" x14ac:dyDescent="0.2">
      <c r="A485" s="34">
        <v>42856</v>
      </c>
      <c r="B485">
        <v>5.7480130000000003</v>
      </c>
      <c r="C485">
        <f t="shared" si="12"/>
        <v>6.7</v>
      </c>
      <c r="M485" s="34">
        <v>42636</v>
      </c>
      <c r="N485">
        <v>4.25</v>
      </c>
    </row>
    <row r="486" spans="1:14" x14ac:dyDescent="0.2">
      <c r="A486" s="34">
        <v>42855</v>
      </c>
      <c r="B486">
        <v>5.7485900000000001</v>
      </c>
      <c r="C486">
        <f t="shared" si="12"/>
        <v>6.7</v>
      </c>
      <c r="M486" s="34">
        <v>42635</v>
      </c>
      <c r="N486">
        <v>4.25</v>
      </c>
    </row>
    <row r="487" spans="1:14" x14ac:dyDescent="0.2">
      <c r="A487" s="34">
        <v>42854</v>
      </c>
      <c r="B487">
        <v>5.7491669999999999</v>
      </c>
      <c r="C487">
        <f t="shared" si="12"/>
        <v>6.7</v>
      </c>
      <c r="M487" s="34">
        <v>42634</v>
      </c>
      <c r="N487">
        <v>4.26</v>
      </c>
    </row>
    <row r="488" spans="1:14" x14ac:dyDescent="0.2">
      <c r="A488" s="34">
        <v>42853</v>
      </c>
      <c r="B488">
        <v>5.7497449999999999</v>
      </c>
      <c r="C488">
        <f t="shared" si="12"/>
        <v>6.7</v>
      </c>
      <c r="M488" s="34">
        <v>42633</v>
      </c>
      <c r="N488">
        <v>4.28</v>
      </c>
    </row>
    <row r="489" spans="1:14" x14ac:dyDescent="0.2">
      <c r="A489" s="34">
        <v>42852</v>
      </c>
      <c r="B489">
        <v>5.7503219999999997</v>
      </c>
      <c r="C489">
        <f t="shared" si="12"/>
        <v>6.48</v>
      </c>
      <c r="M489" s="34">
        <v>42632</v>
      </c>
      <c r="N489">
        <v>4.3099999999999996</v>
      </c>
    </row>
    <row r="490" spans="1:14" x14ac:dyDescent="0.2">
      <c r="A490" s="34">
        <v>42851</v>
      </c>
      <c r="B490">
        <v>5.7508990000000004</v>
      </c>
      <c r="C490">
        <f t="shared" si="12"/>
        <v>6.55</v>
      </c>
      <c r="M490" s="34">
        <v>42628</v>
      </c>
      <c r="N490">
        <v>4.3899999999999997</v>
      </c>
    </row>
    <row r="491" spans="1:14" x14ac:dyDescent="0.2">
      <c r="A491" s="34">
        <v>42850</v>
      </c>
      <c r="B491">
        <v>5.7514770000000004</v>
      </c>
      <c r="C491">
        <f t="shared" si="12"/>
        <v>6.77</v>
      </c>
      <c r="M491" s="34">
        <v>42627</v>
      </c>
      <c r="N491">
        <v>4.3099999999999996</v>
      </c>
    </row>
    <row r="492" spans="1:14" x14ac:dyDescent="0.2">
      <c r="A492" s="34">
        <v>42849</v>
      </c>
      <c r="B492">
        <v>5.7504210000000002</v>
      </c>
      <c r="C492">
        <f t="shared" si="12"/>
        <v>6.68</v>
      </c>
      <c r="M492" s="34">
        <v>42626</v>
      </c>
      <c r="N492">
        <v>4.3</v>
      </c>
    </row>
    <row r="493" spans="1:14" x14ac:dyDescent="0.2">
      <c r="A493" s="34">
        <v>42848</v>
      </c>
      <c r="B493">
        <v>5.7493670000000003</v>
      </c>
      <c r="C493">
        <f t="shared" si="12"/>
        <v>6.8</v>
      </c>
      <c r="M493" s="34">
        <v>42625</v>
      </c>
      <c r="N493">
        <v>4.32</v>
      </c>
    </row>
    <row r="494" spans="1:14" x14ac:dyDescent="0.2">
      <c r="A494" s="34">
        <v>42847</v>
      </c>
      <c r="B494">
        <v>5.7483120000000003</v>
      </c>
      <c r="C494">
        <f t="shared" si="12"/>
        <v>6.8</v>
      </c>
      <c r="M494" s="34">
        <v>42622</v>
      </c>
      <c r="N494">
        <v>4.25</v>
      </c>
    </row>
    <row r="495" spans="1:14" x14ac:dyDescent="0.2">
      <c r="A495" s="34">
        <v>42846</v>
      </c>
      <c r="B495">
        <v>5.7472570000000003</v>
      </c>
      <c r="C495">
        <f t="shared" si="12"/>
        <v>6.8</v>
      </c>
      <c r="M495" s="34">
        <v>42621</v>
      </c>
      <c r="N495">
        <v>4.3899999999999997</v>
      </c>
    </row>
    <row r="496" spans="1:14" x14ac:dyDescent="0.2">
      <c r="A496" s="34">
        <v>42845</v>
      </c>
      <c r="B496">
        <v>5.7462030000000004</v>
      </c>
      <c r="C496">
        <f t="shared" si="12"/>
        <v>6.48</v>
      </c>
      <c r="M496" s="34">
        <v>42620</v>
      </c>
      <c r="N496">
        <v>4.32</v>
      </c>
    </row>
    <row r="497" spans="1:14" x14ac:dyDescent="0.2">
      <c r="A497" s="34">
        <v>42844</v>
      </c>
      <c r="B497">
        <v>5.7451489999999996</v>
      </c>
      <c r="C497">
        <f t="shared" si="12"/>
        <v>6.53</v>
      </c>
      <c r="M497" s="34">
        <v>42619</v>
      </c>
      <c r="N497">
        <v>4.3</v>
      </c>
    </row>
    <row r="498" spans="1:14" x14ac:dyDescent="0.2">
      <c r="A498" s="34">
        <v>42843</v>
      </c>
      <c r="B498">
        <v>5.7440949999999997</v>
      </c>
      <c r="C498">
        <f t="shared" si="12"/>
        <v>6.4</v>
      </c>
      <c r="M498" s="34">
        <v>42618</v>
      </c>
      <c r="N498">
        <v>4.25</v>
      </c>
    </row>
    <row r="499" spans="1:14" x14ac:dyDescent="0.2">
      <c r="A499" s="34">
        <v>42842</v>
      </c>
      <c r="B499">
        <v>5.7430409999999998</v>
      </c>
      <c r="C499">
        <f t="shared" si="12"/>
        <v>6.47</v>
      </c>
      <c r="M499" s="34">
        <v>42615</v>
      </c>
      <c r="N499">
        <v>4.33</v>
      </c>
    </row>
    <row r="500" spans="1:14" x14ac:dyDescent="0.2">
      <c r="A500" s="34">
        <v>42841</v>
      </c>
      <c r="B500">
        <v>5.741987</v>
      </c>
      <c r="C500">
        <f t="shared" si="12"/>
        <v>6.6</v>
      </c>
      <c r="M500" s="34">
        <v>42614</v>
      </c>
      <c r="N500">
        <v>4.32</v>
      </c>
    </row>
    <row r="501" spans="1:14" x14ac:dyDescent="0.2">
      <c r="A501" s="34">
        <v>42840</v>
      </c>
      <c r="B501">
        <v>5.7409340000000002</v>
      </c>
      <c r="C501">
        <f t="shared" si="12"/>
        <v>6.6</v>
      </c>
      <c r="M501" s="34">
        <v>42613</v>
      </c>
      <c r="N501">
        <v>4.33</v>
      </c>
    </row>
    <row r="502" spans="1:14" x14ac:dyDescent="0.2">
      <c r="A502" s="34">
        <v>42839</v>
      </c>
      <c r="B502">
        <v>5.7398809999999996</v>
      </c>
      <c r="C502">
        <f t="shared" si="12"/>
        <v>6.6</v>
      </c>
      <c r="M502" s="34">
        <v>42612</v>
      </c>
      <c r="N502">
        <v>4.29</v>
      </c>
    </row>
    <row r="503" spans="1:14" x14ac:dyDescent="0.2">
      <c r="A503" s="34">
        <v>42838</v>
      </c>
      <c r="B503">
        <v>5.7388279999999998</v>
      </c>
      <c r="C503">
        <f t="shared" si="12"/>
        <v>6.6</v>
      </c>
      <c r="M503" s="34">
        <v>42611</v>
      </c>
      <c r="N503">
        <v>4.26</v>
      </c>
    </row>
    <row r="504" spans="1:14" x14ac:dyDescent="0.2">
      <c r="A504" s="34">
        <v>42837</v>
      </c>
      <c r="B504">
        <v>5.7377750000000001</v>
      </c>
      <c r="C504">
        <f t="shared" si="12"/>
        <v>6.6</v>
      </c>
      <c r="M504" s="34">
        <v>42608</v>
      </c>
      <c r="N504">
        <v>4.3099999999999996</v>
      </c>
    </row>
    <row r="505" spans="1:14" x14ac:dyDescent="0.2">
      <c r="A505" s="34">
        <v>42836</v>
      </c>
      <c r="B505">
        <v>5.7367220000000003</v>
      </c>
      <c r="C505">
        <f t="shared" si="12"/>
        <v>6.64</v>
      </c>
      <c r="M505" s="34">
        <v>42607</v>
      </c>
      <c r="N505">
        <v>4.2699999999999996</v>
      </c>
    </row>
    <row r="506" spans="1:14" x14ac:dyDescent="0.2">
      <c r="A506" s="34">
        <v>42835</v>
      </c>
      <c r="B506">
        <v>5.7356699999999998</v>
      </c>
      <c r="C506">
        <f t="shared" si="12"/>
        <v>6.54</v>
      </c>
      <c r="M506" s="34">
        <v>42606</v>
      </c>
      <c r="N506">
        <v>4.2699999999999996</v>
      </c>
    </row>
    <row r="507" spans="1:14" x14ac:dyDescent="0.2">
      <c r="A507" s="34">
        <v>42834</v>
      </c>
      <c r="B507">
        <v>5.7344150000000003</v>
      </c>
      <c r="C507">
        <f t="shared" si="12"/>
        <v>6.46</v>
      </c>
      <c r="M507" s="34">
        <v>42605</v>
      </c>
      <c r="N507">
        <v>4.2699999999999996</v>
      </c>
    </row>
    <row r="508" spans="1:14" x14ac:dyDescent="0.2">
      <c r="A508" s="34">
        <v>42833</v>
      </c>
      <c r="B508">
        <v>5.733161</v>
      </c>
      <c r="C508">
        <f t="shared" si="12"/>
        <v>6.46</v>
      </c>
      <c r="M508" s="34">
        <v>42604</v>
      </c>
      <c r="N508">
        <v>4.25</v>
      </c>
    </row>
    <row r="509" spans="1:14" x14ac:dyDescent="0.2">
      <c r="A509" s="34">
        <v>42832</v>
      </c>
      <c r="B509">
        <v>5.7319060000000004</v>
      </c>
      <c r="C509">
        <f t="shared" si="12"/>
        <v>6.46</v>
      </c>
      <c r="M509" s="34">
        <v>42601</v>
      </c>
      <c r="N509">
        <v>4.26</v>
      </c>
    </row>
    <row r="510" spans="1:14" x14ac:dyDescent="0.2">
      <c r="A510" s="34">
        <v>42831</v>
      </c>
      <c r="B510">
        <v>5.7306520000000001</v>
      </c>
      <c r="C510">
        <f t="shared" si="12"/>
        <v>6.45</v>
      </c>
      <c r="M510" s="34">
        <v>42600</v>
      </c>
      <c r="N510">
        <v>4.32</v>
      </c>
    </row>
    <row r="511" spans="1:14" x14ac:dyDescent="0.2">
      <c r="A511" s="34">
        <v>42830</v>
      </c>
      <c r="B511">
        <v>5.7293989999999999</v>
      </c>
      <c r="C511">
        <f t="shared" si="12"/>
        <v>6.55</v>
      </c>
      <c r="M511" s="34">
        <v>42599</v>
      </c>
      <c r="N511">
        <v>4.26</v>
      </c>
    </row>
    <row r="512" spans="1:14" x14ac:dyDescent="0.2">
      <c r="A512" s="34">
        <v>42829</v>
      </c>
      <c r="B512">
        <v>5.7281449999999996</v>
      </c>
      <c r="C512">
        <f t="shared" si="12"/>
        <v>6.77</v>
      </c>
      <c r="M512" s="34">
        <v>42598</v>
      </c>
      <c r="N512">
        <v>4.28</v>
      </c>
    </row>
    <row r="513" spans="1:14" x14ac:dyDescent="0.2">
      <c r="A513" s="34">
        <v>42828</v>
      </c>
      <c r="B513">
        <v>5.7268920000000003</v>
      </c>
      <c r="C513">
        <f t="shared" si="12"/>
        <v>6.67</v>
      </c>
      <c r="M513" s="34">
        <v>42597</v>
      </c>
      <c r="N513">
        <v>4.3</v>
      </c>
    </row>
    <row r="514" spans="1:14" x14ac:dyDescent="0.2">
      <c r="A514" s="34">
        <v>42827</v>
      </c>
      <c r="B514">
        <v>5.7256400000000003</v>
      </c>
      <c r="C514">
        <f t="shared" ref="C514:C577" si="13">IFERROR(VLOOKUP(A514,$M$2:$N$3695,2,0),C515)</f>
        <v>6.58</v>
      </c>
      <c r="M514" s="34">
        <v>42594</v>
      </c>
      <c r="N514">
        <v>4.28</v>
      </c>
    </row>
    <row r="515" spans="1:14" x14ac:dyDescent="0.2">
      <c r="A515" s="34">
        <v>42826</v>
      </c>
      <c r="B515">
        <v>5.7243870000000001</v>
      </c>
      <c r="C515">
        <f t="shared" si="13"/>
        <v>6.58</v>
      </c>
      <c r="M515" s="34">
        <v>42593</v>
      </c>
      <c r="N515">
        <v>4.2699999999999996</v>
      </c>
    </row>
    <row r="516" spans="1:14" x14ac:dyDescent="0.2">
      <c r="A516" s="34">
        <v>42825</v>
      </c>
      <c r="B516">
        <v>5.7231350000000001</v>
      </c>
      <c r="C516">
        <f t="shared" si="13"/>
        <v>6.58</v>
      </c>
      <c r="M516" s="34">
        <v>42592</v>
      </c>
      <c r="N516">
        <v>4.28</v>
      </c>
    </row>
    <row r="517" spans="1:14" x14ac:dyDescent="0.2">
      <c r="A517" s="34">
        <v>42824</v>
      </c>
      <c r="B517">
        <v>5.7218830000000001</v>
      </c>
      <c r="C517">
        <f t="shared" si="13"/>
        <v>6.46</v>
      </c>
      <c r="M517" s="34">
        <v>42591</v>
      </c>
      <c r="N517">
        <v>4.3</v>
      </c>
    </row>
    <row r="518" spans="1:14" x14ac:dyDescent="0.2">
      <c r="A518" s="34">
        <v>42823</v>
      </c>
      <c r="B518">
        <v>5.720631</v>
      </c>
      <c r="C518">
        <f t="shared" si="13"/>
        <v>6.27</v>
      </c>
      <c r="M518" s="34">
        <v>42590</v>
      </c>
      <c r="N518">
        <v>4.29</v>
      </c>
    </row>
    <row r="519" spans="1:14" x14ac:dyDescent="0.2">
      <c r="A519" s="34">
        <v>42822</v>
      </c>
      <c r="B519">
        <v>5.719379</v>
      </c>
      <c r="C519">
        <f t="shared" si="13"/>
        <v>6.25</v>
      </c>
      <c r="M519" s="34">
        <v>42587</v>
      </c>
      <c r="N519">
        <v>4.2699999999999996</v>
      </c>
    </row>
    <row r="520" spans="1:14" x14ac:dyDescent="0.2">
      <c r="A520" s="34">
        <v>42821</v>
      </c>
      <c r="B520">
        <v>5.7181280000000001</v>
      </c>
      <c r="C520">
        <f t="shared" si="13"/>
        <v>6.24</v>
      </c>
      <c r="M520" s="34">
        <v>42586</v>
      </c>
      <c r="N520">
        <v>4.2699999999999996</v>
      </c>
    </row>
    <row r="521" spans="1:14" x14ac:dyDescent="0.2">
      <c r="A521" s="34">
        <v>42820</v>
      </c>
      <c r="B521">
        <v>5.7168770000000002</v>
      </c>
      <c r="C521">
        <f t="shared" si="13"/>
        <v>6.05</v>
      </c>
      <c r="M521" s="34">
        <v>42585</v>
      </c>
      <c r="N521">
        <v>4.26</v>
      </c>
    </row>
    <row r="522" spans="1:14" x14ac:dyDescent="0.2">
      <c r="A522" s="34">
        <v>42819</v>
      </c>
      <c r="B522">
        <v>5.7156269999999996</v>
      </c>
      <c r="C522">
        <f t="shared" si="13"/>
        <v>6.05</v>
      </c>
      <c r="M522" s="34">
        <v>42584</v>
      </c>
      <c r="N522">
        <v>4.3</v>
      </c>
    </row>
    <row r="523" spans="1:14" x14ac:dyDescent="0.2">
      <c r="A523" s="34">
        <v>42818</v>
      </c>
      <c r="B523">
        <v>5.7146840000000001</v>
      </c>
      <c r="C523">
        <f t="shared" si="13"/>
        <v>6.05</v>
      </c>
      <c r="M523" s="34">
        <v>42583</v>
      </c>
      <c r="N523">
        <v>4.41</v>
      </c>
    </row>
    <row r="524" spans="1:14" x14ac:dyDescent="0.2">
      <c r="A524" s="34">
        <v>42817</v>
      </c>
      <c r="B524">
        <v>5.7137419999999999</v>
      </c>
      <c r="C524">
        <f t="shared" si="13"/>
        <v>6.37</v>
      </c>
      <c r="M524" s="34">
        <v>42580</v>
      </c>
      <c r="N524">
        <v>4.3600000000000003</v>
      </c>
    </row>
    <row r="525" spans="1:14" x14ac:dyDescent="0.2">
      <c r="A525" s="34">
        <v>42816</v>
      </c>
      <c r="B525">
        <v>5.7127999999999997</v>
      </c>
      <c r="C525">
        <f t="shared" si="13"/>
        <v>6.29</v>
      </c>
      <c r="M525" s="34">
        <v>42579</v>
      </c>
      <c r="N525">
        <v>4.25</v>
      </c>
    </row>
    <row r="526" spans="1:14" x14ac:dyDescent="0.2">
      <c r="A526" s="34">
        <v>42815</v>
      </c>
      <c r="B526">
        <v>5.7118580000000003</v>
      </c>
      <c r="C526">
        <f t="shared" si="13"/>
        <v>6.22</v>
      </c>
      <c r="M526" s="34">
        <v>42578</v>
      </c>
      <c r="N526">
        <v>4.25</v>
      </c>
    </row>
    <row r="527" spans="1:14" x14ac:dyDescent="0.2">
      <c r="A527" s="34">
        <v>42814</v>
      </c>
      <c r="B527">
        <v>5.7109160000000001</v>
      </c>
      <c r="C527">
        <f t="shared" si="13"/>
        <v>6.33</v>
      </c>
      <c r="M527" s="34">
        <v>42577</v>
      </c>
      <c r="N527">
        <v>4.2300000000000004</v>
      </c>
    </row>
    <row r="528" spans="1:14" x14ac:dyDescent="0.2">
      <c r="A528" s="34">
        <v>42813</v>
      </c>
      <c r="B528">
        <v>5.7099739999999999</v>
      </c>
      <c r="C528">
        <f t="shared" si="13"/>
        <v>6.33</v>
      </c>
      <c r="M528" s="34">
        <v>42576</v>
      </c>
      <c r="N528">
        <v>4.2300000000000004</v>
      </c>
    </row>
    <row r="529" spans="1:14" x14ac:dyDescent="0.2">
      <c r="A529" s="34">
        <v>42812</v>
      </c>
      <c r="B529">
        <v>5.7090319999999997</v>
      </c>
      <c r="C529">
        <f t="shared" si="13"/>
        <v>6.33</v>
      </c>
      <c r="M529" s="34">
        <v>42573</v>
      </c>
      <c r="N529">
        <v>4.25</v>
      </c>
    </row>
    <row r="530" spans="1:14" x14ac:dyDescent="0.2">
      <c r="A530" s="34">
        <v>42811</v>
      </c>
      <c r="B530">
        <v>5.7080909999999996</v>
      </c>
      <c r="C530">
        <f t="shared" si="13"/>
        <v>6.33</v>
      </c>
      <c r="M530" s="34">
        <v>42572</v>
      </c>
      <c r="N530">
        <v>4.26</v>
      </c>
    </row>
    <row r="531" spans="1:14" x14ac:dyDescent="0.2">
      <c r="A531" s="34">
        <v>42810</v>
      </c>
      <c r="B531">
        <v>5.7071500000000004</v>
      </c>
      <c r="C531">
        <f t="shared" si="13"/>
        <v>6.23</v>
      </c>
      <c r="M531" s="34">
        <v>42571</v>
      </c>
      <c r="N531">
        <v>4.26</v>
      </c>
    </row>
    <row r="532" spans="1:14" x14ac:dyDescent="0.2">
      <c r="A532" s="34">
        <v>42809</v>
      </c>
      <c r="B532">
        <v>5.7062090000000003</v>
      </c>
      <c r="C532">
        <f t="shared" si="13"/>
        <v>6.4</v>
      </c>
      <c r="M532" s="34">
        <v>42570</v>
      </c>
      <c r="N532">
        <v>4.26</v>
      </c>
    </row>
    <row r="533" spans="1:14" x14ac:dyDescent="0.2">
      <c r="A533" s="34">
        <v>42808</v>
      </c>
      <c r="B533">
        <v>5.7052680000000002</v>
      </c>
      <c r="C533">
        <f t="shared" si="13"/>
        <v>6.37</v>
      </c>
      <c r="M533" s="34">
        <v>42569</v>
      </c>
      <c r="N533">
        <v>4.25</v>
      </c>
    </row>
    <row r="534" spans="1:14" x14ac:dyDescent="0.2">
      <c r="A534" s="34">
        <v>42807</v>
      </c>
      <c r="B534">
        <v>5.7043270000000001</v>
      </c>
      <c r="C534">
        <f t="shared" si="13"/>
        <v>6.34</v>
      </c>
      <c r="M534" s="34">
        <v>42566</v>
      </c>
      <c r="N534">
        <v>4.25</v>
      </c>
    </row>
    <row r="535" spans="1:14" x14ac:dyDescent="0.2">
      <c r="A535" s="34">
        <v>42806</v>
      </c>
      <c r="B535">
        <v>5.7033860000000001</v>
      </c>
      <c r="C535">
        <f t="shared" si="13"/>
        <v>6.29</v>
      </c>
      <c r="M535" s="34">
        <v>42565</v>
      </c>
      <c r="N535">
        <v>4.26</v>
      </c>
    </row>
    <row r="536" spans="1:14" x14ac:dyDescent="0.2">
      <c r="A536" s="34">
        <v>42805</v>
      </c>
      <c r="B536">
        <v>5.7024460000000001</v>
      </c>
      <c r="C536">
        <f t="shared" si="13"/>
        <v>6.29</v>
      </c>
      <c r="M536" s="34">
        <v>42564</v>
      </c>
      <c r="N536">
        <v>4.2300000000000004</v>
      </c>
    </row>
    <row r="537" spans="1:14" x14ac:dyDescent="0.2">
      <c r="A537" s="34">
        <v>42804</v>
      </c>
      <c r="B537">
        <v>5.701505</v>
      </c>
      <c r="C537">
        <f t="shared" si="13"/>
        <v>6.29</v>
      </c>
      <c r="M537" s="34">
        <v>42563</v>
      </c>
      <c r="N537">
        <v>4.25</v>
      </c>
    </row>
    <row r="538" spans="1:14" x14ac:dyDescent="0.2">
      <c r="A538" s="34">
        <v>42803</v>
      </c>
      <c r="B538">
        <v>5.7000450000000003</v>
      </c>
      <c r="C538">
        <f t="shared" si="13"/>
        <v>6.31</v>
      </c>
      <c r="M538" s="34">
        <v>42562</v>
      </c>
      <c r="N538">
        <v>4.25</v>
      </c>
    </row>
    <row r="539" spans="1:14" x14ac:dyDescent="0.2">
      <c r="A539" s="34">
        <v>42802</v>
      </c>
      <c r="B539">
        <v>5.6985859999999997</v>
      </c>
      <c r="C539">
        <f t="shared" si="13"/>
        <v>6.29</v>
      </c>
      <c r="M539" s="34">
        <v>42559</v>
      </c>
      <c r="N539">
        <v>4.25</v>
      </c>
    </row>
    <row r="540" spans="1:14" x14ac:dyDescent="0.2">
      <c r="A540" s="34">
        <v>42801</v>
      </c>
      <c r="B540">
        <v>5.6971270000000001</v>
      </c>
      <c r="C540">
        <f t="shared" si="13"/>
        <v>6.28</v>
      </c>
      <c r="M540" s="34">
        <v>42558</v>
      </c>
      <c r="N540">
        <v>4.26</v>
      </c>
    </row>
    <row r="541" spans="1:14" x14ac:dyDescent="0.2">
      <c r="A541" s="34">
        <v>42800</v>
      </c>
      <c r="B541">
        <v>5.6956680000000004</v>
      </c>
      <c r="C541">
        <f t="shared" si="13"/>
        <v>6.27</v>
      </c>
      <c r="M541" s="34">
        <v>42557</v>
      </c>
      <c r="N541">
        <v>4.1500000000000004</v>
      </c>
    </row>
    <row r="542" spans="1:14" x14ac:dyDescent="0.2">
      <c r="A542" s="34">
        <v>42799</v>
      </c>
      <c r="B542">
        <v>5.6942089999999999</v>
      </c>
      <c r="C542">
        <f t="shared" si="13"/>
        <v>6.31</v>
      </c>
      <c r="M542" s="34">
        <v>42556</v>
      </c>
      <c r="N542">
        <v>4.26</v>
      </c>
    </row>
    <row r="543" spans="1:14" x14ac:dyDescent="0.2">
      <c r="A543" s="34">
        <v>42798</v>
      </c>
      <c r="B543">
        <v>5.6927510000000003</v>
      </c>
      <c r="C543">
        <f t="shared" si="13"/>
        <v>6.31</v>
      </c>
      <c r="M543" s="34">
        <v>42555</v>
      </c>
      <c r="N543">
        <v>4.22</v>
      </c>
    </row>
    <row r="544" spans="1:14" x14ac:dyDescent="0.2">
      <c r="A544" s="34">
        <v>42797</v>
      </c>
      <c r="B544">
        <v>5.6912940000000001</v>
      </c>
      <c r="C544">
        <f t="shared" si="13"/>
        <v>6.31</v>
      </c>
      <c r="M544" s="34">
        <v>42552</v>
      </c>
      <c r="N544">
        <v>4.2699999999999996</v>
      </c>
    </row>
    <row r="545" spans="1:14" x14ac:dyDescent="0.2">
      <c r="A545" s="34">
        <v>42796</v>
      </c>
      <c r="B545">
        <v>5.6898359999999997</v>
      </c>
      <c r="C545">
        <f t="shared" si="13"/>
        <v>6.3</v>
      </c>
      <c r="M545" s="34">
        <v>42551</v>
      </c>
      <c r="N545">
        <v>3.92</v>
      </c>
    </row>
    <row r="546" spans="1:14" x14ac:dyDescent="0.2">
      <c r="A546" s="34">
        <v>42795</v>
      </c>
      <c r="B546">
        <v>5.6883800000000004</v>
      </c>
      <c r="C546">
        <f t="shared" si="13"/>
        <v>6.4</v>
      </c>
      <c r="M546" s="34">
        <v>42550</v>
      </c>
      <c r="N546">
        <v>3.79</v>
      </c>
    </row>
    <row r="547" spans="1:14" x14ac:dyDescent="0.2">
      <c r="A547" s="34">
        <v>42794</v>
      </c>
      <c r="B547">
        <v>5.6869230000000002</v>
      </c>
      <c r="C547">
        <f t="shared" si="13"/>
        <v>6.29</v>
      </c>
      <c r="M547" s="34">
        <v>42549</v>
      </c>
      <c r="N547">
        <v>3.81</v>
      </c>
    </row>
    <row r="548" spans="1:14" x14ac:dyDescent="0.2">
      <c r="A548" s="34">
        <v>42793</v>
      </c>
      <c r="B548">
        <v>5.685467</v>
      </c>
      <c r="C548">
        <f t="shared" si="13"/>
        <v>6.26</v>
      </c>
      <c r="M548" s="34">
        <v>42548</v>
      </c>
      <c r="N548">
        <v>3.83</v>
      </c>
    </row>
    <row r="549" spans="1:14" x14ac:dyDescent="0.2">
      <c r="A549" s="34">
        <v>42792</v>
      </c>
      <c r="B549">
        <v>5.6840109999999999</v>
      </c>
      <c r="C549">
        <f t="shared" si="13"/>
        <v>6.27</v>
      </c>
      <c r="M549" s="34">
        <v>42545</v>
      </c>
      <c r="N549">
        <v>3.86</v>
      </c>
    </row>
    <row r="550" spans="1:14" x14ac:dyDescent="0.2">
      <c r="A550" s="34">
        <v>42791</v>
      </c>
      <c r="B550">
        <v>5.6825549999999998</v>
      </c>
      <c r="C550">
        <f t="shared" si="13"/>
        <v>6.27</v>
      </c>
      <c r="M550" s="34">
        <v>42544</v>
      </c>
      <c r="N550">
        <v>3.79</v>
      </c>
    </row>
    <row r="551" spans="1:14" x14ac:dyDescent="0.2">
      <c r="A551" s="34">
        <v>42790</v>
      </c>
      <c r="B551">
        <v>5.6816490000000002</v>
      </c>
      <c r="C551">
        <f t="shared" si="13"/>
        <v>6.27</v>
      </c>
      <c r="M551" s="34">
        <v>42543</v>
      </c>
      <c r="N551">
        <v>3.75</v>
      </c>
    </row>
    <row r="552" spans="1:14" x14ac:dyDescent="0.2">
      <c r="A552" s="34">
        <v>42789</v>
      </c>
      <c r="B552">
        <v>5.6807439999999998</v>
      </c>
      <c r="C552">
        <f t="shared" si="13"/>
        <v>6.26</v>
      </c>
      <c r="M552" s="34">
        <v>42542</v>
      </c>
      <c r="N552">
        <v>3.77</v>
      </c>
    </row>
    <row r="553" spans="1:14" x14ac:dyDescent="0.2">
      <c r="A553" s="34">
        <v>42788</v>
      </c>
      <c r="B553">
        <v>5.6798380000000002</v>
      </c>
      <c r="C553">
        <f t="shared" si="13"/>
        <v>6.25</v>
      </c>
      <c r="M553" s="34">
        <v>42541</v>
      </c>
      <c r="N553">
        <v>3.75</v>
      </c>
    </row>
    <row r="554" spans="1:14" x14ac:dyDescent="0.2">
      <c r="A554" s="34">
        <v>42787</v>
      </c>
      <c r="B554">
        <v>5.6789319999999996</v>
      </c>
      <c r="C554">
        <f t="shared" si="13"/>
        <v>6.26</v>
      </c>
      <c r="M554" s="34">
        <v>42538</v>
      </c>
      <c r="N554">
        <v>3.74</v>
      </c>
    </row>
    <row r="555" spans="1:14" x14ac:dyDescent="0.2">
      <c r="A555" s="34">
        <v>42786</v>
      </c>
      <c r="B555">
        <v>5.6780270000000002</v>
      </c>
      <c r="C555">
        <f t="shared" si="13"/>
        <v>6.23</v>
      </c>
      <c r="M555" s="34">
        <v>42537</v>
      </c>
      <c r="N555">
        <v>3.7</v>
      </c>
    </row>
    <row r="556" spans="1:14" x14ac:dyDescent="0.2">
      <c r="A556" s="34">
        <v>42785</v>
      </c>
      <c r="B556">
        <v>5.6771219999999998</v>
      </c>
      <c r="C556">
        <f t="shared" si="13"/>
        <v>6.22</v>
      </c>
      <c r="M556" s="34">
        <v>42536</v>
      </c>
      <c r="N556">
        <v>3.76</v>
      </c>
    </row>
    <row r="557" spans="1:14" x14ac:dyDescent="0.2">
      <c r="A557" s="34">
        <v>42784</v>
      </c>
      <c r="B557">
        <v>5.6762170000000003</v>
      </c>
      <c r="C557">
        <f t="shared" si="13"/>
        <v>6.22</v>
      </c>
      <c r="M557" s="34">
        <v>42535</v>
      </c>
      <c r="N557">
        <v>3.8</v>
      </c>
    </row>
    <row r="558" spans="1:14" x14ac:dyDescent="0.2">
      <c r="A558" s="34">
        <v>42783</v>
      </c>
      <c r="B558">
        <v>5.6753119999999999</v>
      </c>
      <c r="C558">
        <f t="shared" si="13"/>
        <v>6.22</v>
      </c>
      <c r="M558" s="34">
        <v>42534</v>
      </c>
      <c r="N558">
        <v>3.82</v>
      </c>
    </row>
    <row r="559" spans="1:14" x14ac:dyDescent="0.2">
      <c r="A559" s="34">
        <v>42782</v>
      </c>
      <c r="B559">
        <v>5.6744070000000004</v>
      </c>
      <c r="C559">
        <f t="shared" si="13"/>
        <v>6.24</v>
      </c>
      <c r="M559" s="34">
        <v>42531</v>
      </c>
      <c r="N559">
        <v>3.8</v>
      </c>
    </row>
    <row r="560" spans="1:14" x14ac:dyDescent="0.2">
      <c r="A560" s="34">
        <v>42781</v>
      </c>
      <c r="B560">
        <v>5.673502</v>
      </c>
      <c r="C560">
        <f t="shared" si="13"/>
        <v>6.27</v>
      </c>
      <c r="M560" s="34">
        <v>42530</v>
      </c>
      <c r="N560">
        <v>3.75</v>
      </c>
    </row>
    <row r="561" spans="1:14" x14ac:dyDescent="0.2">
      <c r="A561" s="34">
        <v>42780</v>
      </c>
      <c r="B561">
        <v>5.6725979999999998</v>
      </c>
      <c r="C561">
        <f t="shared" si="13"/>
        <v>6.3</v>
      </c>
      <c r="M561" s="34">
        <v>42529</v>
      </c>
      <c r="N561">
        <v>3.78</v>
      </c>
    </row>
    <row r="562" spans="1:14" x14ac:dyDescent="0.2">
      <c r="A562" s="34">
        <v>42779</v>
      </c>
      <c r="B562">
        <v>5.6716930000000003</v>
      </c>
      <c r="C562">
        <f t="shared" si="13"/>
        <v>6.26</v>
      </c>
      <c r="M562" s="34">
        <v>42528</v>
      </c>
      <c r="N562">
        <v>3.76</v>
      </c>
    </row>
    <row r="563" spans="1:14" x14ac:dyDescent="0.2">
      <c r="A563" s="34">
        <v>42778</v>
      </c>
      <c r="B563">
        <v>5.6707890000000001</v>
      </c>
      <c r="C563">
        <f t="shared" si="13"/>
        <v>6.28</v>
      </c>
      <c r="M563" s="34">
        <v>42527</v>
      </c>
      <c r="N563">
        <v>3.75</v>
      </c>
    </row>
    <row r="564" spans="1:14" x14ac:dyDescent="0.2">
      <c r="A564" s="34">
        <v>42777</v>
      </c>
      <c r="B564">
        <v>5.6698849999999998</v>
      </c>
      <c r="C564">
        <f t="shared" si="13"/>
        <v>6.28</v>
      </c>
      <c r="M564" s="34">
        <v>42524</v>
      </c>
      <c r="N564">
        <v>4.0999999999999996</v>
      </c>
    </row>
    <row r="565" spans="1:14" x14ac:dyDescent="0.2">
      <c r="A565" s="34">
        <v>42776</v>
      </c>
      <c r="B565">
        <v>5.6689809999999996</v>
      </c>
      <c r="C565">
        <f t="shared" si="13"/>
        <v>6.28</v>
      </c>
      <c r="M565" s="34">
        <v>42523</v>
      </c>
      <c r="N565">
        <v>4</v>
      </c>
    </row>
    <row r="566" spans="1:14" x14ac:dyDescent="0.2">
      <c r="A566" s="34">
        <v>42775</v>
      </c>
      <c r="B566">
        <v>5.6636620000000004</v>
      </c>
      <c r="C566">
        <f t="shared" si="13"/>
        <v>6.15</v>
      </c>
      <c r="M566" s="34">
        <v>42522</v>
      </c>
      <c r="N566">
        <v>3.84</v>
      </c>
    </row>
    <row r="567" spans="1:14" x14ac:dyDescent="0.2">
      <c r="A567" s="34">
        <v>42774</v>
      </c>
      <c r="B567">
        <v>5.6583490000000003</v>
      </c>
      <c r="C567">
        <f t="shared" si="13"/>
        <v>5.8</v>
      </c>
      <c r="M567" s="34">
        <v>42521</v>
      </c>
      <c r="N567">
        <v>3.95</v>
      </c>
    </row>
    <row r="568" spans="1:14" x14ac:dyDescent="0.2">
      <c r="A568" s="34">
        <v>42773</v>
      </c>
      <c r="B568">
        <v>5.6530399999999998</v>
      </c>
      <c r="C568">
        <f t="shared" si="13"/>
        <v>5.78</v>
      </c>
      <c r="M568" s="34">
        <v>42520</v>
      </c>
      <c r="N568">
        <v>3.5</v>
      </c>
    </row>
    <row r="569" spans="1:14" x14ac:dyDescent="0.2">
      <c r="A569" s="34">
        <v>42772</v>
      </c>
      <c r="B569">
        <v>5.6477370000000002</v>
      </c>
      <c r="C569">
        <f t="shared" si="13"/>
        <v>5.82</v>
      </c>
      <c r="M569" s="34">
        <v>42517</v>
      </c>
      <c r="N569">
        <v>3.78</v>
      </c>
    </row>
    <row r="570" spans="1:14" x14ac:dyDescent="0.2">
      <c r="A570" s="34">
        <v>42771</v>
      </c>
      <c r="B570">
        <v>5.6424380000000003</v>
      </c>
      <c r="C570">
        <f t="shared" si="13"/>
        <v>5.82</v>
      </c>
      <c r="M570" s="34">
        <v>42516</v>
      </c>
      <c r="N570">
        <v>3.75</v>
      </c>
    </row>
    <row r="571" spans="1:14" x14ac:dyDescent="0.2">
      <c r="A571" s="34">
        <v>42770</v>
      </c>
      <c r="B571">
        <v>5.6371440000000002</v>
      </c>
      <c r="C571">
        <f t="shared" si="13"/>
        <v>5.82</v>
      </c>
      <c r="M571" s="34">
        <v>42515</v>
      </c>
      <c r="N571">
        <v>3.72</v>
      </c>
    </row>
    <row r="572" spans="1:14" x14ac:dyDescent="0.2">
      <c r="A572" s="34">
        <v>42769</v>
      </c>
      <c r="B572">
        <v>5.631856</v>
      </c>
      <c r="C572">
        <f t="shared" si="13"/>
        <v>5.82</v>
      </c>
      <c r="M572" s="34">
        <v>42514</v>
      </c>
      <c r="N572">
        <v>3.69</v>
      </c>
    </row>
    <row r="573" spans="1:14" x14ac:dyDescent="0.2">
      <c r="A573" s="34">
        <v>42768</v>
      </c>
      <c r="B573">
        <v>5.6265720000000004</v>
      </c>
      <c r="C573">
        <f t="shared" si="13"/>
        <v>5.83</v>
      </c>
      <c r="M573" s="34">
        <v>42513</v>
      </c>
      <c r="N573">
        <v>3.74</v>
      </c>
    </row>
    <row r="574" spans="1:14" x14ac:dyDescent="0.2">
      <c r="A574" s="34">
        <v>42767</v>
      </c>
      <c r="B574">
        <v>5.6212929999999997</v>
      </c>
      <c r="C574">
        <f t="shared" si="13"/>
        <v>5.78</v>
      </c>
      <c r="M574" s="34">
        <v>42510</v>
      </c>
      <c r="N574">
        <v>3.78</v>
      </c>
    </row>
    <row r="575" spans="1:14" x14ac:dyDescent="0.2">
      <c r="A575" s="34">
        <v>42766</v>
      </c>
      <c r="B575">
        <v>5.6160199999999998</v>
      </c>
      <c r="C575">
        <f t="shared" si="13"/>
        <v>5.78</v>
      </c>
      <c r="M575" s="34">
        <v>42509</v>
      </c>
      <c r="N575">
        <v>3.78</v>
      </c>
    </row>
    <row r="576" spans="1:14" x14ac:dyDescent="0.2">
      <c r="A576" s="34">
        <v>42765</v>
      </c>
      <c r="B576">
        <v>5.6107509999999996</v>
      </c>
      <c r="C576">
        <f t="shared" si="13"/>
        <v>5.75</v>
      </c>
      <c r="M576" s="34">
        <v>42508</v>
      </c>
      <c r="N576">
        <v>3.75</v>
      </c>
    </row>
    <row r="577" spans="1:14" x14ac:dyDescent="0.2">
      <c r="A577" s="34">
        <v>42764</v>
      </c>
      <c r="B577">
        <v>5.6054870000000001</v>
      </c>
      <c r="C577">
        <f t="shared" si="13"/>
        <v>5.76</v>
      </c>
      <c r="M577" s="34">
        <v>42507</v>
      </c>
      <c r="N577">
        <v>3.81</v>
      </c>
    </row>
    <row r="578" spans="1:14" x14ac:dyDescent="0.2">
      <c r="A578" s="34">
        <v>42763</v>
      </c>
      <c r="B578">
        <v>5.6002280000000004</v>
      </c>
      <c r="C578">
        <f t="shared" ref="C578:C641" si="14">IFERROR(VLOOKUP(A578,$M$2:$N$3695,2,0),C579)</f>
        <v>5.76</v>
      </c>
      <c r="M578" s="34">
        <v>42506</v>
      </c>
      <c r="N578">
        <v>3.83</v>
      </c>
    </row>
    <row r="579" spans="1:14" x14ac:dyDescent="0.2">
      <c r="A579" s="34">
        <v>42762</v>
      </c>
      <c r="B579">
        <v>5.5949739999999997</v>
      </c>
      <c r="C579">
        <f t="shared" si="14"/>
        <v>5.76</v>
      </c>
      <c r="M579" s="34">
        <v>42503</v>
      </c>
      <c r="N579">
        <v>3.85</v>
      </c>
    </row>
    <row r="580" spans="1:14" x14ac:dyDescent="0.2">
      <c r="A580" s="34">
        <v>42761</v>
      </c>
      <c r="B580">
        <v>5.5897249999999996</v>
      </c>
      <c r="C580">
        <f t="shared" si="14"/>
        <v>5.75</v>
      </c>
      <c r="M580" s="34">
        <v>42502</v>
      </c>
      <c r="N580">
        <v>3.83</v>
      </c>
    </row>
    <row r="581" spans="1:14" x14ac:dyDescent="0.2">
      <c r="A581" s="34">
        <v>42760</v>
      </c>
      <c r="B581">
        <v>5.5844810000000003</v>
      </c>
      <c r="C581">
        <f t="shared" si="14"/>
        <v>5.77</v>
      </c>
      <c r="M581" s="34">
        <v>42501</v>
      </c>
      <c r="N581">
        <v>3.84</v>
      </c>
    </row>
    <row r="582" spans="1:14" x14ac:dyDescent="0.2">
      <c r="A582" s="34">
        <v>42759</v>
      </c>
      <c r="B582">
        <v>5.5840040000000002</v>
      </c>
      <c r="C582">
        <f t="shared" si="14"/>
        <v>5.76</v>
      </c>
      <c r="M582" s="34">
        <v>42500</v>
      </c>
      <c r="N582">
        <v>3.8</v>
      </c>
    </row>
    <row r="583" spans="1:14" x14ac:dyDescent="0.2">
      <c r="A583" s="34">
        <v>42758</v>
      </c>
      <c r="B583">
        <v>5.5835270000000001</v>
      </c>
      <c r="C583">
        <f t="shared" si="14"/>
        <v>5.75</v>
      </c>
      <c r="M583" s="34">
        <v>42499</v>
      </c>
      <c r="N583">
        <v>3.7</v>
      </c>
    </row>
    <row r="584" spans="1:14" x14ac:dyDescent="0.2">
      <c r="A584" s="34">
        <v>42757</v>
      </c>
      <c r="B584">
        <v>5.5830500000000001</v>
      </c>
      <c r="C584">
        <f t="shared" si="14"/>
        <v>5.79</v>
      </c>
      <c r="M584" s="34">
        <v>42496</v>
      </c>
      <c r="N584">
        <v>3.71</v>
      </c>
    </row>
    <row r="585" spans="1:14" x14ac:dyDescent="0.2">
      <c r="A585" s="34">
        <v>42756</v>
      </c>
      <c r="B585">
        <v>5.582573</v>
      </c>
      <c r="C585">
        <f t="shared" si="14"/>
        <v>5.79</v>
      </c>
      <c r="M585" s="34">
        <v>42495</v>
      </c>
      <c r="N585">
        <v>3.85</v>
      </c>
    </row>
    <row r="586" spans="1:14" x14ac:dyDescent="0.2">
      <c r="A586" s="34">
        <v>42755</v>
      </c>
      <c r="B586">
        <v>5.5820959999999999</v>
      </c>
      <c r="C586">
        <f t="shared" si="14"/>
        <v>5.79</v>
      </c>
      <c r="M586" s="34">
        <v>42494</v>
      </c>
      <c r="N586">
        <v>3.84</v>
      </c>
    </row>
    <row r="587" spans="1:14" x14ac:dyDescent="0.2">
      <c r="A587" s="34">
        <v>42754</v>
      </c>
      <c r="B587">
        <v>5.5816189999999999</v>
      </c>
      <c r="C587">
        <f t="shared" si="14"/>
        <v>5.81</v>
      </c>
      <c r="M587" s="34">
        <v>42493</v>
      </c>
      <c r="N587">
        <v>3.86</v>
      </c>
    </row>
    <row r="588" spans="1:14" x14ac:dyDescent="0.2">
      <c r="A588" s="34">
        <v>42753</v>
      </c>
      <c r="B588">
        <v>5.5811419999999998</v>
      </c>
      <c r="C588">
        <f t="shared" si="14"/>
        <v>5.75</v>
      </c>
      <c r="M588" s="34">
        <v>42492</v>
      </c>
      <c r="N588">
        <v>4</v>
      </c>
    </row>
    <row r="589" spans="1:14" x14ac:dyDescent="0.2">
      <c r="A589" s="34">
        <v>42752</v>
      </c>
      <c r="B589">
        <v>5.5806649999999998</v>
      </c>
      <c r="C589">
        <f t="shared" si="14"/>
        <v>5.74</v>
      </c>
      <c r="M589" s="34">
        <v>42489</v>
      </c>
      <c r="N589">
        <v>3.99</v>
      </c>
    </row>
    <row r="590" spans="1:14" x14ac:dyDescent="0.2">
      <c r="A590" s="34">
        <v>42751</v>
      </c>
      <c r="B590">
        <v>5.5801879999999997</v>
      </c>
      <c r="C590">
        <f t="shared" si="14"/>
        <v>5.89</v>
      </c>
      <c r="M590" s="34">
        <v>42488</v>
      </c>
      <c r="N590">
        <v>3.9</v>
      </c>
    </row>
    <row r="591" spans="1:14" x14ac:dyDescent="0.2">
      <c r="A591" s="34">
        <v>42750</v>
      </c>
      <c r="B591">
        <v>5.5797119999999998</v>
      </c>
      <c r="C591">
        <f t="shared" si="14"/>
        <v>5.82</v>
      </c>
      <c r="M591" s="34">
        <v>42487</v>
      </c>
      <c r="N591">
        <v>3.9</v>
      </c>
    </row>
    <row r="592" spans="1:14" x14ac:dyDescent="0.2">
      <c r="A592" s="34">
        <v>42749</v>
      </c>
      <c r="B592">
        <v>5.5792349999999997</v>
      </c>
      <c r="C592">
        <f t="shared" si="14"/>
        <v>5.82</v>
      </c>
      <c r="M592" s="34">
        <v>42486</v>
      </c>
      <c r="N592">
        <v>3.86</v>
      </c>
    </row>
    <row r="593" spans="1:14" x14ac:dyDescent="0.2">
      <c r="A593" s="34">
        <v>42748</v>
      </c>
      <c r="B593">
        <v>5.5787579999999997</v>
      </c>
      <c r="C593">
        <f t="shared" si="14"/>
        <v>5.82</v>
      </c>
      <c r="M593" s="34">
        <v>42485</v>
      </c>
      <c r="N593">
        <v>3.75</v>
      </c>
    </row>
    <row r="594" spans="1:14" x14ac:dyDescent="0.2">
      <c r="A594" s="34">
        <v>42747</v>
      </c>
      <c r="B594">
        <v>5.5782819999999997</v>
      </c>
      <c r="C594">
        <f t="shared" si="14"/>
        <v>5.87</v>
      </c>
      <c r="M594" s="34">
        <v>42482</v>
      </c>
      <c r="N594">
        <v>3.75</v>
      </c>
    </row>
    <row r="595" spans="1:14" x14ac:dyDescent="0.2">
      <c r="A595" s="34">
        <v>42746</v>
      </c>
      <c r="B595">
        <v>5.5778049999999997</v>
      </c>
      <c r="C595">
        <f t="shared" si="14"/>
        <v>5.74</v>
      </c>
      <c r="M595" s="34">
        <v>42481</v>
      </c>
      <c r="N595">
        <v>3.76</v>
      </c>
    </row>
    <row r="596" spans="1:14" x14ac:dyDescent="0.2">
      <c r="A596" s="34">
        <v>42745</v>
      </c>
      <c r="B596">
        <v>5.5773289999999998</v>
      </c>
      <c r="C596">
        <f t="shared" si="14"/>
        <v>5.75</v>
      </c>
      <c r="M596" s="34">
        <v>42480</v>
      </c>
      <c r="N596">
        <v>3.75</v>
      </c>
    </row>
    <row r="597" spans="1:14" x14ac:dyDescent="0.2">
      <c r="A597" s="34">
        <v>42744</v>
      </c>
      <c r="B597">
        <v>5.5758830000000001</v>
      </c>
      <c r="C597">
        <f t="shared" si="14"/>
        <v>5.76</v>
      </c>
      <c r="M597" s="34">
        <v>42479</v>
      </c>
      <c r="N597">
        <v>3.74</v>
      </c>
    </row>
    <row r="598" spans="1:14" x14ac:dyDescent="0.2">
      <c r="A598" s="34">
        <v>42743</v>
      </c>
      <c r="B598">
        <v>5.5744369999999996</v>
      </c>
      <c r="C598">
        <f t="shared" si="14"/>
        <v>5.76</v>
      </c>
      <c r="M598" s="34">
        <v>42478</v>
      </c>
      <c r="N598">
        <v>3.76</v>
      </c>
    </row>
    <row r="599" spans="1:14" x14ac:dyDescent="0.2">
      <c r="A599" s="34">
        <v>42742</v>
      </c>
      <c r="B599">
        <v>5.572991</v>
      </c>
      <c r="C599">
        <f t="shared" si="14"/>
        <v>5.76</v>
      </c>
      <c r="M599" s="34">
        <v>42475</v>
      </c>
      <c r="N599">
        <v>3.75</v>
      </c>
    </row>
    <row r="600" spans="1:14" x14ac:dyDescent="0.2">
      <c r="A600" s="34">
        <v>42741</v>
      </c>
      <c r="B600">
        <v>5.5715459999999997</v>
      </c>
      <c r="C600">
        <f t="shared" si="14"/>
        <v>5.76</v>
      </c>
      <c r="M600" s="34">
        <v>42474</v>
      </c>
      <c r="N600">
        <v>3.76</v>
      </c>
    </row>
    <row r="601" spans="1:14" x14ac:dyDescent="0.2">
      <c r="A601" s="34">
        <v>42740</v>
      </c>
      <c r="B601">
        <v>5.5701010000000002</v>
      </c>
      <c r="C601">
        <f t="shared" si="14"/>
        <v>5.74</v>
      </c>
      <c r="M601" s="34">
        <v>42473</v>
      </c>
      <c r="N601">
        <v>3.72</v>
      </c>
    </row>
    <row r="602" spans="1:14" x14ac:dyDescent="0.2">
      <c r="A602" s="34">
        <v>42739</v>
      </c>
      <c r="B602">
        <v>5.568657</v>
      </c>
      <c r="C602">
        <f t="shared" si="14"/>
        <v>5.75</v>
      </c>
      <c r="M602" s="34">
        <v>42472</v>
      </c>
      <c r="N602">
        <v>3.76</v>
      </c>
    </row>
    <row r="603" spans="1:14" x14ac:dyDescent="0.2">
      <c r="A603" s="34">
        <v>42738</v>
      </c>
      <c r="B603">
        <v>5.5672129999999997</v>
      </c>
      <c r="C603">
        <f t="shared" si="14"/>
        <v>5.77</v>
      </c>
      <c r="M603" s="34">
        <v>42471</v>
      </c>
      <c r="N603">
        <v>3.74</v>
      </c>
    </row>
    <row r="604" spans="1:14" x14ac:dyDescent="0.2">
      <c r="A604" s="34">
        <v>42737</v>
      </c>
      <c r="B604">
        <v>5.5657690000000004</v>
      </c>
      <c r="C604">
        <f t="shared" si="14"/>
        <v>5.74</v>
      </c>
      <c r="M604" s="34">
        <v>42468</v>
      </c>
      <c r="N604">
        <v>3.67</v>
      </c>
    </row>
    <row r="605" spans="1:14" x14ac:dyDescent="0.2">
      <c r="A605" s="34">
        <v>42736</v>
      </c>
      <c r="B605">
        <v>5.5643260000000003</v>
      </c>
      <c r="C605">
        <f t="shared" si="14"/>
        <v>5.8</v>
      </c>
      <c r="M605" s="34">
        <v>42467</v>
      </c>
      <c r="N605">
        <v>3.66</v>
      </c>
    </row>
    <row r="606" spans="1:14" x14ac:dyDescent="0.2">
      <c r="A606" s="34">
        <v>42735</v>
      </c>
      <c r="B606">
        <v>5.5628830000000002</v>
      </c>
      <c r="C606">
        <f t="shared" si="14"/>
        <v>5.8</v>
      </c>
      <c r="M606" s="34">
        <v>42466</v>
      </c>
      <c r="N606">
        <v>3.68</v>
      </c>
    </row>
    <row r="607" spans="1:14" x14ac:dyDescent="0.2">
      <c r="A607" s="34">
        <v>42734</v>
      </c>
      <c r="B607">
        <v>5.5614410000000003</v>
      </c>
      <c r="C607">
        <f t="shared" si="14"/>
        <v>5.8</v>
      </c>
      <c r="M607" s="34">
        <v>42465</v>
      </c>
      <c r="N607">
        <v>3.73</v>
      </c>
    </row>
    <row r="608" spans="1:14" x14ac:dyDescent="0.2">
      <c r="A608" s="34">
        <v>42733</v>
      </c>
      <c r="B608">
        <v>5.5599990000000004</v>
      </c>
      <c r="C608">
        <f t="shared" si="14"/>
        <v>5.77</v>
      </c>
      <c r="M608" s="34">
        <v>42464</v>
      </c>
      <c r="N608">
        <v>3.78</v>
      </c>
    </row>
    <row r="609" spans="1:14" x14ac:dyDescent="0.2">
      <c r="A609" s="34">
        <v>42732</v>
      </c>
      <c r="B609">
        <v>5.5585570000000004</v>
      </c>
      <c r="C609">
        <f t="shared" si="14"/>
        <v>5.77</v>
      </c>
      <c r="M609" s="34">
        <v>42461</v>
      </c>
      <c r="N609">
        <v>3.76</v>
      </c>
    </row>
    <row r="610" spans="1:14" x14ac:dyDescent="0.2">
      <c r="A610" s="34">
        <v>42731</v>
      </c>
      <c r="B610">
        <v>5.5571149999999996</v>
      </c>
      <c r="C610">
        <f t="shared" si="14"/>
        <v>5.8</v>
      </c>
      <c r="M610" s="34">
        <v>42460</v>
      </c>
      <c r="N610">
        <v>3.81</v>
      </c>
    </row>
    <row r="611" spans="1:14" x14ac:dyDescent="0.2">
      <c r="A611" s="34">
        <v>42730</v>
      </c>
      <c r="B611">
        <v>5.5556739999999998</v>
      </c>
      <c r="C611">
        <f t="shared" si="14"/>
        <v>5.78</v>
      </c>
      <c r="M611" s="34">
        <v>42459</v>
      </c>
      <c r="N611">
        <v>3.7</v>
      </c>
    </row>
    <row r="612" spans="1:14" x14ac:dyDescent="0.2">
      <c r="A612" s="34">
        <v>42729</v>
      </c>
      <c r="B612">
        <v>5.5542340000000001</v>
      </c>
      <c r="C612">
        <f t="shared" si="14"/>
        <v>5.75</v>
      </c>
      <c r="M612" s="34">
        <v>42458</v>
      </c>
      <c r="N612">
        <v>3.7</v>
      </c>
    </row>
    <row r="613" spans="1:14" x14ac:dyDescent="0.2">
      <c r="A613" s="34">
        <v>42728</v>
      </c>
      <c r="B613">
        <v>5.554373</v>
      </c>
      <c r="C613">
        <f t="shared" si="14"/>
        <v>5.75</v>
      </c>
      <c r="M613" s="34">
        <v>42457</v>
      </c>
      <c r="N613">
        <v>3.8</v>
      </c>
    </row>
    <row r="614" spans="1:14" x14ac:dyDescent="0.2">
      <c r="A614" s="34">
        <v>42727</v>
      </c>
      <c r="B614">
        <v>5.554513</v>
      </c>
      <c r="C614">
        <f t="shared" si="14"/>
        <v>5.75</v>
      </c>
      <c r="M614" s="34">
        <v>42452</v>
      </c>
      <c r="N614">
        <v>3.81</v>
      </c>
    </row>
    <row r="615" spans="1:14" x14ac:dyDescent="0.2">
      <c r="A615" s="34">
        <v>42726</v>
      </c>
      <c r="B615">
        <v>5.5546530000000001</v>
      </c>
      <c r="C615">
        <f t="shared" si="14"/>
        <v>5.77</v>
      </c>
      <c r="M615" s="34">
        <v>42451</v>
      </c>
      <c r="N615">
        <v>3.79</v>
      </c>
    </row>
    <row r="616" spans="1:14" x14ac:dyDescent="0.2">
      <c r="A616" s="34">
        <v>42725</v>
      </c>
      <c r="B616">
        <v>5.554792</v>
      </c>
      <c r="C616">
        <f t="shared" si="14"/>
        <v>5.75</v>
      </c>
      <c r="M616" s="34">
        <v>42447</v>
      </c>
      <c r="N616">
        <v>3.84</v>
      </c>
    </row>
    <row r="617" spans="1:14" x14ac:dyDescent="0.2">
      <c r="A617" s="34">
        <v>42724</v>
      </c>
      <c r="B617">
        <v>5.554932</v>
      </c>
      <c r="C617">
        <f t="shared" si="14"/>
        <v>5.79</v>
      </c>
      <c r="M617" s="34">
        <v>42446</v>
      </c>
      <c r="N617">
        <v>3.79</v>
      </c>
    </row>
    <row r="618" spans="1:14" x14ac:dyDescent="0.2">
      <c r="A618" s="34">
        <v>42723</v>
      </c>
      <c r="B618">
        <v>5.555072</v>
      </c>
      <c r="C618">
        <f t="shared" si="14"/>
        <v>5.79</v>
      </c>
      <c r="M618" s="34">
        <v>42445</v>
      </c>
      <c r="N618">
        <v>3.85</v>
      </c>
    </row>
    <row r="619" spans="1:14" x14ac:dyDescent="0.2">
      <c r="A619" s="34">
        <v>42722</v>
      </c>
      <c r="B619">
        <v>5.5552109999999999</v>
      </c>
      <c r="C619">
        <f t="shared" si="14"/>
        <v>5.85</v>
      </c>
      <c r="M619" s="34">
        <v>42444</v>
      </c>
      <c r="N619">
        <v>3.75</v>
      </c>
    </row>
    <row r="620" spans="1:14" x14ac:dyDescent="0.2">
      <c r="A620" s="34">
        <v>42721</v>
      </c>
      <c r="B620">
        <v>5.5553509999999999</v>
      </c>
      <c r="C620">
        <f t="shared" si="14"/>
        <v>5.85</v>
      </c>
      <c r="M620" s="34">
        <v>42443</v>
      </c>
      <c r="N620">
        <v>3.8</v>
      </c>
    </row>
    <row r="621" spans="1:14" x14ac:dyDescent="0.2">
      <c r="A621" s="34">
        <v>42720</v>
      </c>
      <c r="B621">
        <v>5.555491</v>
      </c>
      <c r="C621">
        <f t="shared" si="14"/>
        <v>5.85</v>
      </c>
      <c r="M621" s="34">
        <v>42440</v>
      </c>
      <c r="N621">
        <v>3.75</v>
      </c>
    </row>
    <row r="622" spans="1:14" x14ac:dyDescent="0.2">
      <c r="A622" s="34">
        <v>42719</v>
      </c>
      <c r="B622">
        <v>5.555631</v>
      </c>
      <c r="C622">
        <f t="shared" si="14"/>
        <v>5.85</v>
      </c>
      <c r="M622" s="34">
        <v>42439</v>
      </c>
      <c r="N622">
        <v>3.75</v>
      </c>
    </row>
    <row r="623" spans="1:14" x14ac:dyDescent="0.2">
      <c r="A623" s="34">
        <v>42718</v>
      </c>
      <c r="B623">
        <v>5.5557699999999999</v>
      </c>
      <c r="C623">
        <f t="shared" si="14"/>
        <v>5.49</v>
      </c>
      <c r="M623" s="34">
        <v>42438</v>
      </c>
      <c r="N623">
        <v>3.76</v>
      </c>
    </row>
    <row r="624" spans="1:14" x14ac:dyDescent="0.2">
      <c r="A624" s="34">
        <v>42717</v>
      </c>
      <c r="B624">
        <v>5.5559099999999999</v>
      </c>
      <c r="C624">
        <f t="shared" si="14"/>
        <v>5.28</v>
      </c>
      <c r="M624" s="34">
        <v>42437</v>
      </c>
      <c r="N624">
        <v>3.76</v>
      </c>
    </row>
    <row r="625" spans="1:14" x14ac:dyDescent="0.2">
      <c r="A625" s="34">
        <v>42716</v>
      </c>
      <c r="B625">
        <v>5.5560499999999999</v>
      </c>
      <c r="C625">
        <f t="shared" si="14"/>
        <v>5.27</v>
      </c>
      <c r="M625" s="34">
        <v>42436</v>
      </c>
      <c r="N625">
        <v>3.78</v>
      </c>
    </row>
    <row r="626" spans="1:14" x14ac:dyDescent="0.2">
      <c r="A626" s="34">
        <v>42715</v>
      </c>
      <c r="B626">
        <v>5.5561889999999998</v>
      </c>
      <c r="C626">
        <f t="shared" si="14"/>
        <v>5.27</v>
      </c>
      <c r="M626" s="34">
        <v>42433</v>
      </c>
      <c r="N626">
        <v>3.8</v>
      </c>
    </row>
    <row r="627" spans="1:14" x14ac:dyDescent="0.2">
      <c r="A627" s="34">
        <v>42714</v>
      </c>
      <c r="B627">
        <v>5.5563289999999999</v>
      </c>
      <c r="C627">
        <f t="shared" si="14"/>
        <v>5.27</v>
      </c>
      <c r="M627" s="34">
        <v>42432</v>
      </c>
      <c r="N627">
        <v>3.8</v>
      </c>
    </row>
    <row r="628" spans="1:14" x14ac:dyDescent="0.2">
      <c r="A628" s="34">
        <v>42713</v>
      </c>
      <c r="B628">
        <v>5.5534829999999999</v>
      </c>
      <c r="C628">
        <f t="shared" si="14"/>
        <v>5.27</v>
      </c>
      <c r="M628" s="34">
        <v>42431</v>
      </c>
      <c r="N628">
        <v>3.74</v>
      </c>
    </row>
    <row r="629" spans="1:14" x14ac:dyDescent="0.2">
      <c r="A629" s="34">
        <v>42712</v>
      </c>
      <c r="B629">
        <v>5.550637</v>
      </c>
      <c r="C629">
        <f t="shared" si="14"/>
        <v>5.24</v>
      </c>
      <c r="M629" s="34">
        <v>42430</v>
      </c>
      <c r="N629">
        <v>3.83</v>
      </c>
    </row>
    <row r="630" spans="1:14" x14ac:dyDescent="0.2">
      <c r="A630" s="34">
        <v>42711</v>
      </c>
      <c r="B630">
        <v>5.5477939999999997</v>
      </c>
      <c r="C630">
        <f t="shared" si="14"/>
        <v>5.26</v>
      </c>
      <c r="M630" s="34">
        <v>42429</v>
      </c>
      <c r="N630">
        <v>3.92</v>
      </c>
    </row>
    <row r="631" spans="1:14" x14ac:dyDescent="0.2">
      <c r="A631" s="34">
        <v>42710</v>
      </c>
      <c r="B631">
        <v>5.5449510000000002</v>
      </c>
      <c r="C631">
        <f t="shared" si="14"/>
        <v>5.23</v>
      </c>
      <c r="M631" s="34">
        <v>42426</v>
      </c>
      <c r="N631">
        <v>3.81</v>
      </c>
    </row>
    <row r="632" spans="1:14" x14ac:dyDescent="0.2">
      <c r="A632" s="34">
        <v>42709</v>
      </c>
      <c r="B632">
        <v>5.5421110000000002</v>
      </c>
      <c r="C632">
        <f t="shared" si="14"/>
        <v>5.26</v>
      </c>
      <c r="M632" s="34">
        <v>42425</v>
      </c>
      <c r="N632">
        <v>3.71</v>
      </c>
    </row>
    <row r="633" spans="1:14" x14ac:dyDescent="0.2">
      <c r="A633" s="34">
        <v>42708</v>
      </c>
      <c r="B633">
        <v>5.5392710000000003</v>
      </c>
      <c r="C633">
        <f t="shared" si="14"/>
        <v>5.26</v>
      </c>
      <c r="M633" s="34">
        <v>42424</v>
      </c>
      <c r="N633">
        <v>3.75</v>
      </c>
    </row>
    <row r="634" spans="1:14" x14ac:dyDescent="0.2">
      <c r="A634" s="34">
        <v>42707</v>
      </c>
      <c r="B634">
        <v>5.5364339999999999</v>
      </c>
      <c r="C634">
        <f t="shared" si="14"/>
        <v>5.26</v>
      </c>
      <c r="M634" s="34">
        <v>42423</v>
      </c>
      <c r="N634">
        <v>3.78</v>
      </c>
    </row>
    <row r="635" spans="1:14" x14ac:dyDescent="0.2">
      <c r="A635" s="34">
        <v>42706</v>
      </c>
      <c r="B635">
        <v>5.5335970000000003</v>
      </c>
      <c r="C635">
        <f t="shared" si="14"/>
        <v>5.26</v>
      </c>
      <c r="M635" s="34">
        <v>42422</v>
      </c>
      <c r="N635">
        <v>3.85</v>
      </c>
    </row>
    <row r="636" spans="1:14" x14ac:dyDescent="0.2">
      <c r="A636" s="34">
        <v>42705</v>
      </c>
      <c r="B636">
        <v>5.5307620000000002</v>
      </c>
      <c r="C636">
        <f t="shared" si="14"/>
        <v>5.25</v>
      </c>
      <c r="M636" s="34">
        <v>42419</v>
      </c>
      <c r="N636">
        <v>3.84</v>
      </c>
    </row>
    <row r="637" spans="1:14" x14ac:dyDescent="0.2">
      <c r="A637" s="34">
        <v>42704</v>
      </c>
      <c r="B637">
        <v>5.5279290000000003</v>
      </c>
      <c r="C637">
        <f t="shared" si="14"/>
        <v>5.28</v>
      </c>
      <c r="M637" s="34">
        <v>42418</v>
      </c>
      <c r="N637">
        <v>3.82</v>
      </c>
    </row>
    <row r="638" spans="1:14" x14ac:dyDescent="0.2">
      <c r="A638" s="34">
        <v>42703</v>
      </c>
      <c r="B638">
        <v>5.5250969999999997</v>
      </c>
      <c r="C638">
        <f t="shared" si="14"/>
        <v>5.26</v>
      </c>
      <c r="M638" s="34">
        <v>42417</v>
      </c>
      <c r="N638">
        <v>3.22</v>
      </c>
    </row>
    <row r="639" spans="1:14" x14ac:dyDescent="0.2">
      <c r="A639" s="34">
        <v>42702</v>
      </c>
      <c r="B639">
        <v>5.5222660000000001</v>
      </c>
      <c r="C639">
        <f t="shared" si="14"/>
        <v>5.25</v>
      </c>
      <c r="M639" s="34">
        <v>42416</v>
      </c>
      <c r="N639">
        <v>3.25</v>
      </c>
    </row>
    <row r="640" spans="1:14" x14ac:dyDescent="0.2">
      <c r="A640" s="34">
        <v>42701</v>
      </c>
      <c r="B640">
        <v>5.5194369999999999</v>
      </c>
      <c r="C640">
        <f t="shared" si="14"/>
        <v>5.25</v>
      </c>
      <c r="M640" s="34">
        <v>42415</v>
      </c>
      <c r="N640">
        <v>3.24</v>
      </c>
    </row>
    <row r="641" spans="1:14" x14ac:dyDescent="0.2">
      <c r="A641" s="34">
        <v>42700</v>
      </c>
      <c r="B641">
        <v>5.5166089999999999</v>
      </c>
      <c r="C641">
        <f t="shared" si="14"/>
        <v>5.25</v>
      </c>
      <c r="M641" s="34">
        <v>42412</v>
      </c>
      <c r="N641">
        <v>3.28</v>
      </c>
    </row>
    <row r="642" spans="1:14" x14ac:dyDescent="0.2">
      <c r="A642" s="34">
        <v>42699</v>
      </c>
      <c r="B642">
        <v>5.5137830000000001</v>
      </c>
      <c r="C642">
        <f t="shared" ref="C642:C705" si="15">IFERROR(VLOOKUP(A642,$M$2:$N$3695,2,0),C643)</f>
        <v>5.25</v>
      </c>
      <c r="M642" s="34">
        <v>42411</v>
      </c>
      <c r="N642">
        <v>3.26</v>
      </c>
    </row>
    <row r="643" spans="1:14" x14ac:dyDescent="0.2">
      <c r="A643" s="34">
        <v>42698</v>
      </c>
      <c r="B643">
        <v>5.5135699999999996</v>
      </c>
      <c r="C643">
        <f t="shared" si="15"/>
        <v>5.22</v>
      </c>
      <c r="M643" s="34">
        <v>42410</v>
      </c>
      <c r="N643">
        <v>3.23</v>
      </c>
    </row>
    <row r="644" spans="1:14" x14ac:dyDescent="0.2">
      <c r="A644" s="34">
        <v>42697</v>
      </c>
      <c r="B644">
        <v>5.5133580000000002</v>
      </c>
      <c r="C644">
        <f t="shared" si="15"/>
        <v>5.2</v>
      </c>
      <c r="M644" s="34">
        <v>42409</v>
      </c>
      <c r="N644">
        <v>3.21</v>
      </c>
    </row>
    <row r="645" spans="1:14" x14ac:dyDescent="0.2">
      <c r="A645" s="34">
        <v>42696</v>
      </c>
      <c r="B645">
        <v>5.5131449999999997</v>
      </c>
      <c r="C645">
        <f t="shared" si="15"/>
        <v>5.25</v>
      </c>
      <c r="M645" s="34">
        <v>42408</v>
      </c>
      <c r="N645">
        <v>3.27</v>
      </c>
    </row>
    <row r="646" spans="1:14" x14ac:dyDescent="0.2">
      <c r="A646" s="34">
        <v>42695</v>
      </c>
      <c r="B646">
        <v>5.5129320000000002</v>
      </c>
      <c r="C646">
        <f t="shared" si="15"/>
        <v>5.3</v>
      </c>
      <c r="M646" s="34">
        <v>42405</v>
      </c>
      <c r="N646">
        <v>3.25</v>
      </c>
    </row>
    <row r="647" spans="1:14" x14ac:dyDescent="0.2">
      <c r="A647" s="34">
        <v>42694</v>
      </c>
      <c r="B647">
        <v>5.5127199999999998</v>
      </c>
      <c r="C647">
        <f t="shared" si="15"/>
        <v>5.3</v>
      </c>
      <c r="M647" s="34">
        <v>42404</v>
      </c>
      <c r="N647">
        <v>3.26</v>
      </c>
    </row>
    <row r="648" spans="1:14" x14ac:dyDescent="0.2">
      <c r="A648" s="34">
        <v>42693</v>
      </c>
      <c r="B648">
        <v>5.5125070000000003</v>
      </c>
      <c r="C648">
        <f t="shared" si="15"/>
        <v>5.3</v>
      </c>
      <c r="M648" s="34">
        <v>42403</v>
      </c>
      <c r="N648">
        <v>3.27</v>
      </c>
    </row>
    <row r="649" spans="1:14" x14ac:dyDescent="0.2">
      <c r="A649" s="34">
        <v>42692</v>
      </c>
      <c r="B649">
        <v>5.5122949999999999</v>
      </c>
      <c r="C649">
        <f t="shared" si="15"/>
        <v>5.3</v>
      </c>
      <c r="M649" s="34">
        <v>42402</v>
      </c>
      <c r="N649">
        <v>3.29</v>
      </c>
    </row>
    <row r="650" spans="1:14" x14ac:dyDescent="0.2">
      <c r="A650" s="34">
        <v>42691</v>
      </c>
      <c r="B650">
        <v>5.5120820000000004</v>
      </c>
      <c r="C650">
        <f t="shared" si="15"/>
        <v>5.15</v>
      </c>
      <c r="M650" s="34">
        <v>42398</v>
      </c>
      <c r="N650">
        <v>3.28</v>
      </c>
    </row>
    <row r="651" spans="1:14" x14ac:dyDescent="0.2">
      <c r="A651" s="34">
        <v>42690</v>
      </c>
      <c r="B651">
        <v>5.51187</v>
      </c>
      <c r="C651">
        <f t="shared" si="15"/>
        <v>4.7699999999999996</v>
      </c>
      <c r="M651" s="34">
        <v>42397</v>
      </c>
      <c r="N651">
        <v>3.25</v>
      </c>
    </row>
    <row r="652" spans="1:14" x14ac:dyDescent="0.2">
      <c r="A652" s="34">
        <v>42689</v>
      </c>
      <c r="B652">
        <v>5.5116569999999996</v>
      </c>
      <c r="C652">
        <f t="shared" si="15"/>
        <v>4.75</v>
      </c>
      <c r="M652" s="34">
        <v>42396</v>
      </c>
      <c r="N652">
        <v>3.3</v>
      </c>
    </row>
    <row r="653" spans="1:14" x14ac:dyDescent="0.2">
      <c r="A653" s="34">
        <v>42688</v>
      </c>
      <c r="B653">
        <v>5.511444</v>
      </c>
      <c r="C653">
        <f t="shared" si="15"/>
        <v>4.78</v>
      </c>
      <c r="M653" s="34">
        <v>42395</v>
      </c>
      <c r="N653">
        <v>3.24</v>
      </c>
    </row>
    <row r="654" spans="1:14" x14ac:dyDescent="0.2">
      <c r="A654" s="34">
        <v>42687</v>
      </c>
      <c r="B654">
        <v>5.5112319999999997</v>
      </c>
      <c r="C654">
        <f t="shared" si="15"/>
        <v>4.76</v>
      </c>
      <c r="M654" s="34">
        <v>42394</v>
      </c>
      <c r="N654">
        <v>3.23</v>
      </c>
    </row>
    <row r="655" spans="1:14" x14ac:dyDescent="0.2">
      <c r="A655" s="34">
        <v>42686</v>
      </c>
      <c r="B655">
        <v>5.5110190000000001</v>
      </c>
      <c r="C655">
        <f t="shared" si="15"/>
        <v>4.76</v>
      </c>
      <c r="M655" s="34">
        <v>42391</v>
      </c>
      <c r="N655">
        <v>3.26</v>
      </c>
    </row>
    <row r="656" spans="1:14" x14ac:dyDescent="0.2">
      <c r="A656" s="34">
        <v>42685</v>
      </c>
      <c r="B656">
        <v>5.5108069999999998</v>
      </c>
      <c r="C656">
        <f t="shared" si="15"/>
        <v>4.76</v>
      </c>
      <c r="M656" s="34">
        <v>42390</v>
      </c>
      <c r="N656">
        <v>3.28</v>
      </c>
    </row>
    <row r="657" spans="1:14" x14ac:dyDescent="0.2">
      <c r="A657" s="34">
        <v>42684</v>
      </c>
      <c r="B657">
        <v>5.5105940000000002</v>
      </c>
      <c r="C657">
        <f t="shared" si="15"/>
        <v>4.8</v>
      </c>
      <c r="M657" s="34">
        <v>42389</v>
      </c>
      <c r="N657">
        <v>3.37</v>
      </c>
    </row>
    <row r="658" spans="1:14" x14ac:dyDescent="0.2">
      <c r="A658" s="34">
        <v>42683</v>
      </c>
      <c r="B658">
        <v>5.5088990000000004</v>
      </c>
      <c r="C658">
        <f t="shared" si="15"/>
        <v>4.91</v>
      </c>
      <c r="M658" s="34">
        <v>42388</v>
      </c>
      <c r="N658">
        <v>3.23</v>
      </c>
    </row>
    <row r="659" spans="1:14" x14ac:dyDescent="0.2">
      <c r="A659" s="34">
        <v>42682</v>
      </c>
      <c r="B659">
        <v>5.5072049999999999</v>
      </c>
      <c r="C659">
        <f t="shared" si="15"/>
        <v>4.91</v>
      </c>
      <c r="M659" s="34">
        <v>42387</v>
      </c>
      <c r="N659">
        <v>3.21</v>
      </c>
    </row>
    <row r="660" spans="1:14" x14ac:dyDescent="0.2">
      <c r="A660" s="34">
        <v>42681</v>
      </c>
      <c r="B660">
        <v>5.5055110000000003</v>
      </c>
      <c r="C660">
        <f t="shared" si="15"/>
        <v>4.78</v>
      </c>
      <c r="M660" s="34">
        <v>42384</v>
      </c>
      <c r="N660">
        <v>3.24</v>
      </c>
    </row>
    <row r="661" spans="1:14" x14ac:dyDescent="0.2">
      <c r="A661" s="34">
        <v>42680</v>
      </c>
      <c r="B661">
        <v>5.5038169999999997</v>
      </c>
      <c r="C661">
        <f t="shared" si="15"/>
        <v>4.8099999999999996</v>
      </c>
      <c r="M661" s="34">
        <v>42383</v>
      </c>
      <c r="N661">
        <v>3.18</v>
      </c>
    </row>
    <row r="662" spans="1:14" x14ac:dyDescent="0.2">
      <c r="A662" s="34">
        <v>42679</v>
      </c>
      <c r="B662">
        <v>5.5021240000000002</v>
      </c>
      <c r="C662">
        <f t="shared" si="15"/>
        <v>4.8099999999999996</v>
      </c>
      <c r="M662" s="34">
        <v>42382</v>
      </c>
      <c r="N662">
        <v>3.25</v>
      </c>
    </row>
    <row r="663" spans="1:14" x14ac:dyDescent="0.2">
      <c r="A663" s="34">
        <v>42678</v>
      </c>
      <c r="B663">
        <v>5.500432</v>
      </c>
      <c r="C663">
        <f t="shared" si="15"/>
        <v>4.8099999999999996</v>
      </c>
      <c r="M663" s="34">
        <v>42381</v>
      </c>
      <c r="N663">
        <v>3.24</v>
      </c>
    </row>
    <row r="664" spans="1:14" x14ac:dyDescent="0.2">
      <c r="A664" s="34">
        <v>42677</v>
      </c>
      <c r="B664">
        <v>5.4987399999999997</v>
      </c>
      <c r="C664">
        <f t="shared" si="15"/>
        <v>4.79</v>
      </c>
      <c r="M664" s="34">
        <v>42380</v>
      </c>
      <c r="N664">
        <v>3.26</v>
      </c>
    </row>
    <row r="665" spans="1:14" x14ac:dyDescent="0.2">
      <c r="A665" s="34">
        <v>42676</v>
      </c>
      <c r="B665">
        <v>5.4970480000000004</v>
      </c>
      <c r="C665">
        <f t="shared" si="15"/>
        <v>4.79</v>
      </c>
      <c r="M665" s="34">
        <v>42377</v>
      </c>
      <c r="N665">
        <v>3.2</v>
      </c>
    </row>
    <row r="666" spans="1:14" x14ac:dyDescent="0.2">
      <c r="A666" s="34">
        <v>42675</v>
      </c>
      <c r="B666">
        <v>5.4953580000000004</v>
      </c>
      <c r="C666">
        <f t="shared" si="15"/>
        <v>4.79</v>
      </c>
      <c r="M666" s="34">
        <v>42376</v>
      </c>
      <c r="N666">
        <v>3.25</v>
      </c>
    </row>
    <row r="667" spans="1:14" x14ac:dyDescent="0.2">
      <c r="A667" s="34">
        <v>42674</v>
      </c>
      <c r="B667">
        <v>5.4936670000000003</v>
      </c>
      <c r="C667">
        <f t="shared" si="15"/>
        <v>4.82</v>
      </c>
      <c r="M667" s="34">
        <v>42375</v>
      </c>
      <c r="N667">
        <v>3.33</v>
      </c>
    </row>
    <row r="668" spans="1:14" x14ac:dyDescent="0.2">
      <c r="A668" s="34">
        <v>42673</v>
      </c>
      <c r="B668">
        <v>5.4919770000000003</v>
      </c>
      <c r="C668">
        <f t="shared" si="15"/>
        <v>4.76</v>
      </c>
      <c r="M668" s="34">
        <v>42374</v>
      </c>
      <c r="N668">
        <v>3.37</v>
      </c>
    </row>
    <row r="669" spans="1:14" x14ac:dyDescent="0.2">
      <c r="A669" s="34">
        <v>42672</v>
      </c>
      <c r="B669">
        <v>5.4902879999999996</v>
      </c>
      <c r="C669">
        <f t="shared" si="15"/>
        <v>4.76</v>
      </c>
      <c r="M669" s="34">
        <v>42373</v>
      </c>
      <c r="N669">
        <v>3.3</v>
      </c>
    </row>
    <row r="670" spans="1:14" x14ac:dyDescent="0.2">
      <c r="A670" s="34">
        <v>42671</v>
      </c>
      <c r="B670">
        <v>5.4885989999999998</v>
      </c>
      <c r="C670">
        <f t="shared" si="15"/>
        <v>4.76</v>
      </c>
      <c r="M670" s="34">
        <v>42369</v>
      </c>
      <c r="N670">
        <v>3</v>
      </c>
    </row>
    <row r="671" spans="1:14" x14ac:dyDescent="0.2">
      <c r="A671" s="34">
        <v>42670</v>
      </c>
      <c r="B671">
        <v>5.4869110000000001</v>
      </c>
      <c r="C671">
        <f t="shared" si="15"/>
        <v>4.75</v>
      </c>
      <c r="M671" s="34">
        <v>42368</v>
      </c>
      <c r="N671">
        <v>3.25</v>
      </c>
    </row>
    <row r="672" spans="1:14" x14ac:dyDescent="0.2">
      <c r="A672" s="34">
        <v>42669</v>
      </c>
      <c r="B672">
        <v>5.4852230000000004</v>
      </c>
      <c r="C672">
        <f t="shared" si="15"/>
        <v>4.75</v>
      </c>
      <c r="M672" s="34">
        <v>42367</v>
      </c>
      <c r="N672">
        <v>3.1</v>
      </c>
    </row>
    <row r="673" spans="1:14" x14ac:dyDescent="0.2">
      <c r="A673" s="34">
        <v>42668</v>
      </c>
      <c r="B673">
        <v>5.483536</v>
      </c>
      <c r="C673">
        <f t="shared" si="15"/>
        <v>4.75</v>
      </c>
      <c r="M673" s="34">
        <v>42366</v>
      </c>
      <c r="N673">
        <v>3.32</v>
      </c>
    </row>
    <row r="674" spans="1:14" x14ac:dyDescent="0.2">
      <c r="A674" s="34">
        <v>42667</v>
      </c>
      <c r="B674">
        <v>5.4829220000000003</v>
      </c>
      <c r="C674">
        <f t="shared" si="15"/>
        <v>4.76</v>
      </c>
      <c r="M674" s="34">
        <v>42362</v>
      </c>
      <c r="N674">
        <v>3.15</v>
      </c>
    </row>
    <row r="675" spans="1:14" x14ac:dyDescent="0.2">
      <c r="A675" s="34">
        <v>42666</v>
      </c>
      <c r="B675">
        <v>5.4823079999999997</v>
      </c>
      <c r="C675">
        <f t="shared" si="15"/>
        <v>4.74</v>
      </c>
      <c r="M675" s="34">
        <v>42361</v>
      </c>
      <c r="N675">
        <v>3.43</v>
      </c>
    </row>
    <row r="676" spans="1:14" x14ac:dyDescent="0.2">
      <c r="A676" s="34">
        <v>42665</v>
      </c>
      <c r="B676">
        <v>5.4816940000000001</v>
      </c>
      <c r="C676">
        <f t="shared" si="15"/>
        <v>4.74</v>
      </c>
      <c r="M676" s="34">
        <v>42360</v>
      </c>
      <c r="N676">
        <v>3.35</v>
      </c>
    </row>
    <row r="677" spans="1:14" x14ac:dyDescent="0.2">
      <c r="A677" s="34">
        <v>42664</v>
      </c>
      <c r="B677">
        <v>5.4810809999999996</v>
      </c>
      <c r="C677">
        <f t="shared" si="15"/>
        <v>4.74</v>
      </c>
      <c r="M677" s="34">
        <v>42359</v>
      </c>
      <c r="N677">
        <v>3.2</v>
      </c>
    </row>
    <row r="678" spans="1:14" x14ac:dyDescent="0.2">
      <c r="A678" s="34">
        <v>42663</v>
      </c>
      <c r="B678">
        <v>5.480467</v>
      </c>
      <c r="C678">
        <f t="shared" si="15"/>
        <v>4.75</v>
      </c>
      <c r="M678" s="34">
        <v>42356</v>
      </c>
      <c r="N678">
        <v>3.25</v>
      </c>
    </row>
    <row r="679" spans="1:14" x14ac:dyDescent="0.2">
      <c r="A679" s="34">
        <v>42662</v>
      </c>
      <c r="B679">
        <v>5.4798530000000003</v>
      </c>
      <c r="C679">
        <f t="shared" si="15"/>
        <v>4.78</v>
      </c>
      <c r="M679" s="34">
        <v>42355</v>
      </c>
      <c r="N679">
        <v>3.1</v>
      </c>
    </row>
    <row r="680" spans="1:14" x14ac:dyDescent="0.2">
      <c r="A680" s="34">
        <v>42661</v>
      </c>
      <c r="B680">
        <v>5.4792399999999999</v>
      </c>
      <c r="C680">
        <f t="shared" si="15"/>
        <v>4.75</v>
      </c>
      <c r="M680" s="34">
        <v>42354</v>
      </c>
      <c r="N680">
        <v>3.45</v>
      </c>
    </row>
    <row r="681" spans="1:14" x14ac:dyDescent="0.2">
      <c r="A681" s="34">
        <v>42660</v>
      </c>
      <c r="B681">
        <v>5.4786270000000004</v>
      </c>
      <c r="C681">
        <f t="shared" si="15"/>
        <v>4.75</v>
      </c>
      <c r="M681" s="34">
        <v>42353</v>
      </c>
      <c r="N681">
        <v>3.1</v>
      </c>
    </row>
    <row r="682" spans="1:14" x14ac:dyDescent="0.2">
      <c r="A682" s="34">
        <v>42659</v>
      </c>
      <c r="B682">
        <v>5.4780129999999998</v>
      </c>
      <c r="C682">
        <f t="shared" si="15"/>
        <v>4.76</v>
      </c>
      <c r="M682" s="34">
        <v>42352</v>
      </c>
      <c r="N682">
        <v>3</v>
      </c>
    </row>
    <row r="683" spans="1:14" x14ac:dyDescent="0.2">
      <c r="A683" s="34">
        <v>42658</v>
      </c>
      <c r="B683">
        <v>5.4774000000000003</v>
      </c>
      <c r="C683">
        <f t="shared" si="15"/>
        <v>4.76</v>
      </c>
      <c r="M683" s="34">
        <v>42349</v>
      </c>
      <c r="N683">
        <v>3.05</v>
      </c>
    </row>
    <row r="684" spans="1:14" x14ac:dyDescent="0.2">
      <c r="A684" s="34">
        <v>42657</v>
      </c>
      <c r="B684">
        <v>5.4767869999999998</v>
      </c>
      <c r="C684">
        <f t="shared" si="15"/>
        <v>4.76</v>
      </c>
      <c r="M684" s="34">
        <v>42348</v>
      </c>
      <c r="N684">
        <v>3.15</v>
      </c>
    </row>
    <row r="685" spans="1:14" x14ac:dyDescent="0.2">
      <c r="A685" s="34">
        <v>42656</v>
      </c>
      <c r="B685">
        <v>5.4761730000000002</v>
      </c>
      <c r="C685">
        <f t="shared" si="15"/>
        <v>4.76</v>
      </c>
      <c r="M685" s="34">
        <v>42347</v>
      </c>
      <c r="N685">
        <v>2.9</v>
      </c>
    </row>
    <row r="686" spans="1:14" x14ac:dyDescent="0.2">
      <c r="A686" s="34">
        <v>42655</v>
      </c>
      <c r="B686">
        <v>5.4755599999999998</v>
      </c>
      <c r="C686">
        <f t="shared" si="15"/>
        <v>4.7300000000000004</v>
      </c>
      <c r="M686" s="34">
        <v>42346</v>
      </c>
      <c r="N686">
        <v>3.15</v>
      </c>
    </row>
    <row r="687" spans="1:14" x14ac:dyDescent="0.2">
      <c r="A687" s="34">
        <v>42654</v>
      </c>
      <c r="B687">
        <v>5.4749470000000002</v>
      </c>
      <c r="C687">
        <f t="shared" si="15"/>
        <v>4.75</v>
      </c>
      <c r="M687" s="34">
        <v>42345</v>
      </c>
      <c r="N687">
        <v>3.7</v>
      </c>
    </row>
    <row r="688" spans="1:14" x14ac:dyDescent="0.2">
      <c r="A688" s="34">
        <v>42653</v>
      </c>
      <c r="B688">
        <v>5.4743339999999998</v>
      </c>
      <c r="C688">
        <f t="shared" si="15"/>
        <v>4.75</v>
      </c>
      <c r="M688" s="34">
        <v>42342</v>
      </c>
      <c r="N688">
        <v>3</v>
      </c>
    </row>
    <row r="689" spans="1:14" x14ac:dyDescent="0.2">
      <c r="A689" s="34">
        <v>42652</v>
      </c>
      <c r="B689">
        <v>5.4723769999999998</v>
      </c>
      <c r="C689">
        <f t="shared" si="15"/>
        <v>4.74</v>
      </c>
      <c r="M689" s="34">
        <v>42341</v>
      </c>
      <c r="N689">
        <v>3.1</v>
      </c>
    </row>
    <row r="690" spans="1:14" x14ac:dyDescent="0.2">
      <c r="A690" s="34">
        <v>42651</v>
      </c>
      <c r="B690">
        <v>5.4704199999999998</v>
      </c>
      <c r="C690">
        <f t="shared" si="15"/>
        <v>4.74</v>
      </c>
      <c r="M690" s="34">
        <v>42340</v>
      </c>
      <c r="N690">
        <v>3.03</v>
      </c>
    </row>
    <row r="691" spans="1:14" x14ac:dyDescent="0.2">
      <c r="A691" s="34">
        <v>42650</v>
      </c>
      <c r="B691">
        <v>5.468464</v>
      </c>
      <c r="C691">
        <f t="shared" si="15"/>
        <v>4.74</v>
      </c>
      <c r="M691" s="34">
        <v>42339</v>
      </c>
      <c r="N691">
        <v>3.25</v>
      </c>
    </row>
    <row r="692" spans="1:14" x14ac:dyDescent="0.2">
      <c r="A692" s="34">
        <v>42649</v>
      </c>
      <c r="B692">
        <v>5.4665080000000001</v>
      </c>
      <c r="C692">
        <f t="shared" si="15"/>
        <v>4.76</v>
      </c>
      <c r="M692" s="34">
        <v>42338</v>
      </c>
      <c r="N692">
        <v>3.05</v>
      </c>
    </row>
    <row r="693" spans="1:14" x14ac:dyDescent="0.2">
      <c r="A693" s="34">
        <v>42648</v>
      </c>
      <c r="B693">
        <v>5.4645530000000004</v>
      </c>
      <c r="C693">
        <f t="shared" si="15"/>
        <v>4.75</v>
      </c>
      <c r="M693" s="34">
        <v>42335</v>
      </c>
      <c r="N693">
        <v>2.95</v>
      </c>
    </row>
    <row r="694" spans="1:14" x14ac:dyDescent="0.2">
      <c r="A694" s="34">
        <v>42647</v>
      </c>
      <c r="B694">
        <v>5.462599</v>
      </c>
      <c r="C694">
        <f t="shared" si="15"/>
        <v>4.7699999999999996</v>
      </c>
      <c r="M694" s="34">
        <v>42334</v>
      </c>
      <c r="N694">
        <v>3</v>
      </c>
    </row>
    <row r="695" spans="1:14" x14ac:dyDescent="0.2">
      <c r="A695" s="34">
        <v>42646</v>
      </c>
      <c r="B695">
        <v>5.4606459999999997</v>
      </c>
      <c r="C695">
        <f t="shared" si="15"/>
        <v>4.75</v>
      </c>
      <c r="M695" s="34">
        <v>42333</v>
      </c>
      <c r="N695">
        <v>2.93</v>
      </c>
    </row>
    <row r="696" spans="1:14" x14ac:dyDescent="0.2">
      <c r="A696" s="34">
        <v>42645</v>
      </c>
      <c r="B696">
        <v>5.4586930000000002</v>
      </c>
      <c r="C696">
        <f t="shared" si="15"/>
        <v>4.82</v>
      </c>
      <c r="M696" s="34">
        <v>42332</v>
      </c>
      <c r="N696">
        <v>2.9</v>
      </c>
    </row>
    <row r="697" spans="1:14" x14ac:dyDescent="0.2">
      <c r="A697" s="34">
        <v>42644</v>
      </c>
      <c r="B697">
        <v>5.4567410000000001</v>
      </c>
      <c r="C697">
        <f t="shared" si="15"/>
        <v>4.82</v>
      </c>
      <c r="M697" s="34">
        <v>42331</v>
      </c>
      <c r="N697">
        <v>3.03</v>
      </c>
    </row>
    <row r="698" spans="1:14" x14ac:dyDescent="0.2">
      <c r="A698" s="34">
        <v>42643</v>
      </c>
      <c r="B698">
        <v>5.45479</v>
      </c>
      <c r="C698">
        <f t="shared" si="15"/>
        <v>4.82</v>
      </c>
      <c r="M698" s="34">
        <v>42328</v>
      </c>
      <c r="N698">
        <v>3.03</v>
      </c>
    </row>
    <row r="699" spans="1:14" x14ac:dyDescent="0.2">
      <c r="A699" s="34">
        <v>42642</v>
      </c>
      <c r="B699">
        <v>5.452839</v>
      </c>
      <c r="C699">
        <f t="shared" si="15"/>
        <v>4.3899999999999997</v>
      </c>
      <c r="M699" s="34">
        <v>42327</v>
      </c>
      <c r="N699">
        <v>3.05</v>
      </c>
    </row>
    <row r="700" spans="1:14" x14ac:dyDescent="0.2">
      <c r="A700" s="34">
        <v>42641</v>
      </c>
      <c r="B700">
        <v>5.4508900000000002</v>
      </c>
      <c r="C700">
        <f t="shared" si="15"/>
        <v>4.25</v>
      </c>
      <c r="M700" s="34">
        <v>42326</v>
      </c>
      <c r="N700">
        <v>2.9</v>
      </c>
    </row>
    <row r="701" spans="1:14" x14ac:dyDescent="0.2">
      <c r="A701" s="34">
        <v>42640</v>
      </c>
      <c r="B701">
        <v>5.4489400000000003</v>
      </c>
      <c r="C701">
        <f t="shared" si="15"/>
        <v>4.25</v>
      </c>
      <c r="M701" s="34">
        <v>42325</v>
      </c>
      <c r="N701">
        <v>3.18</v>
      </c>
    </row>
    <row r="702" spans="1:14" x14ac:dyDescent="0.2">
      <c r="A702" s="34">
        <v>42639</v>
      </c>
      <c r="B702">
        <v>5.4469919999999998</v>
      </c>
      <c r="C702">
        <f t="shared" si="15"/>
        <v>4.2</v>
      </c>
      <c r="M702" s="34">
        <v>42321</v>
      </c>
      <c r="N702">
        <v>2.9</v>
      </c>
    </row>
    <row r="703" spans="1:14" x14ac:dyDescent="0.2">
      <c r="A703" s="34">
        <v>42638</v>
      </c>
      <c r="B703">
        <v>5.4450440000000002</v>
      </c>
      <c r="C703">
        <f t="shared" si="15"/>
        <v>4.25</v>
      </c>
      <c r="M703" s="34">
        <v>42320</v>
      </c>
      <c r="N703">
        <v>3</v>
      </c>
    </row>
    <row r="704" spans="1:14" x14ac:dyDescent="0.2">
      <c r="A704" s="34">
        <v>42637</v>
      </c>
      <c r="B704">
        <v>5.4451289999999997</v>
      </c>
      <c r="C704">
        <f t="shared" si="15"/>
        <v>4.25</v>
      </c>
      <c r="M704" s="34">
        <v>42319</v>
      </c>
      <c r="N704">
        <v>3.12</v>
      </c>
    </row>
    <row r="705" spans="1:14" x14ac:dyDescent="0.2">
      <c r="A705" s="34">
        <v>42636</v>
      </c>
      <c r="B705">
        <v>5.445214</v>
      </c>
      <c r="C705">
        <f t="shared" si="15"/>
        <v>4.25</v>
      </c>
      <c r="M705" s="34">
        <v>42318</v>
      </c>
      <c r="N705">
        <v>3.2</v>
      </c>
    </row>
    <row r="706" spans="1:14" x14ac:dyDescent="0.2">
      <c r="A706" s="34">
        <v>42635</v>
      </c>
      <c r="B706">
        <v>5.4452990000000003</v>
      </c>
      <c r="C706">
        <f t="shared" ref="C706:C769" si="16">IFERROR(VLOOKUP(A706,$M$2:$N$3695,2,0),C707)</f>
        <v>4.25</v>
      </c>
      <c r="M706" s="34">
        <v>42317</v>
      </c>
      <c r="N706">
        <v>3</v>
      </c>
    </row>
    <row r="707" spans="1:14" x14ac:dyDescent="0.2">
      <c r="A707" s="34">
        <v>42634</v>
      </c>
      <c r="B707">
        <v>5.4453839999999998</v>
      </c>
      <c r="C707">
        <f t="shared" si="16"/>
        <v>4.26</v>
      </c>
      <c r="M707" s="34">
        <v>42314</v>
      </c>
      <c r="N707">
        <v>3.02</v>
      </c>
    </row>
    <row r="708" spans="1:14" x14ac:dyDescent="0.2">
      <c r="A708" s="34">
        <v>42633</v>
      </c>
      <c r="B708">
        <v>5.4454690000000001</v>
      </c>
      <c r="C708">
        <f t="shared" si="16"/>
        <v>4.28</v>
      </c>
      <c r="M708" s="34">
        <v>42313</v>
      </c>
      <c r="N708">
        <v>3.1</v>
      </c>
    </row>
    <row r="709" spans="1:14" x14ac:dyDescent="0.2">
      <c r="A709" s="34">
        <v>42632</v>
      </c>
      <c r="B709">
        <v>5.4455539999999996</v>
      </c>
      <c r="C709">
        <f t="shared" si="16"/>
        <v>4.3099999999999996</v>
      </c>
      <c r="M709" s="34">
        <v>42312</v>
      </c>
      <c r="N709">
        <v>3.01</v>
      </c>
    </row>
    <row r="710" spans="1:14" x14ac:dyDescent="0.2">
      <c r="A710" s="34">
        <v>42631</v>
      </c>
      <c r="B710">
        <v>5.4456389999999999</v>
      </c>
      <c r="C710">
        <f t="shared" si="16"/>
        <v>4.3899999999999997</v>
      </c>
      <c r="M710" s="34">
        <v>42311</v>
      </c>
      <c r="N710">
        <v>3.05</v>
      </c>
    </row>
    <row r="711" spans="1:14" x14ac:dyDescent="0.2">
      <c r="A711" s="34">
        <v>42630</v>
      </c>
      <c r="B711">
        <v>5.4457240000000002</v>
      </c>
      <c r="C711">
        <f t="shared" si="16"/>
        <v>4.3899999999999997</v>
      </c>
      <c r="M711" s="34">
        <v>42307</v>
      </c>
      <c r="N711">
        <v>3.26</v>
      </c>
    </row>
    <row r="712" spans="1:14" x14ac:dyDescent="0.2">
      <c r="A712" s="34">
        <v>42629</v>
      </c>
      <c r="B712">
        <v>5.4458089999999997</v>
      </c>
      <c r="C712">
        <f t="shared" si="16"/>
        <v>4.3899999999999997</v>
      </c>
      <c r="M712" s="34">
        <v>42306</v>
      </c>
      <c r="N712">
        <v>3.11</v>
      </c>
    </row>
    <row r="713" spans="1:14" x14ac:dyDescent="0.2">
      <c r="A713" s="34">
        <v>42628</v>
      </c>
      <c r="B713">
        <v>5.445894</v>
      </c>
      <c r="C713">
        <f t="shared" si="16"/>
        <v>4.3899999999999997</v>
      </c>
      <c r="M713" s="34">
        <v>42305</v>
      </c>
      <c r="N713">
        <v>3.1</v>
      </c>
    </row>
    <row r="714" spans="1:14" x14ac:dyDescent="0.2">
      <c r="A714" s="34">
        <v>42627</v>
      </c>
      <c r="B714">
        <v>5.4459790000000003</v>
      </c>
      <c r="C714">
        <f t="shared" si="16"/>
        <v>4.3099999999999996</v>
      </c>
      <c r="M714" s="34">
        <v>42304</v>
      </c>
      <c r="N714">
        <v>3.02</v>
      </c>
    </row>
    <row r="715" spans="1:14" x14ac:dyDescent="0.2">
      <c r="A715" s="34">
        <v>42626</v>
      </c>
      <c r="B715">
        <v>5.4460639999999998</v>
      </c>
      <c r="C715">
        <f t="shared" si="16"/>
        <v>4.3</v>
      </c>
      <c r="M715" s="34">
        <v>42303</v>
      </c>
      <c r="N715">
        <v>3.1</v>
      </c>
    </row>
    <row r="716" spans="1:14" x14ac:dyDescent="0.2">
      <c r="A716" s="34">
        <v>42625</v>
      </c>
      <c r="B716">
        <v>5.4461490000000001</v>
      </c>
      <c r="C716">
        <f t="shared" si="16"/>
        <v>4.32</v>
      </c>
      <c r="M716" s="34">
        <v>42300</v>
      </c>
      <c r="N716">
        <v>2.95</v>
      </c>
    </row>
    <row r="717" spans="1:14" x14ac:dyDescent="0.2">
      <c r="A717" s="34">
        <v>42624</v>
      </c>
      <c r="B717">
        <v>5.4462339999999996</v>
      </c>
      <c r="C717">
        <f t="shared" si="16"/>
        <v>4.25</v>
      </c>
      <c r="M717" s="34">
        <v>42299</v>
      </c>
      <c r="N717">
        <v>3.01</v>
      </c>
    </row>
    <row r="718" spans="1:14" x14ac:dyDescent="0.2">
      <c r="A718" s="34">
        <v>42623</v>
      </c>
      <c r="B718">
        <v>5.4463189999999999</v>
      </c>
      <c r="C718">
        <f t="shared" si="16"/>
        <v>4.25</v>
      </c>
      <c r="M718" s="34">
        <v>42298</v>
      </c>
      <c r="N718">
        <v>2.95</v>
      </c>
    </row>
    <row r="719" spans="1:14" x14ac:dyDescent="0.2">
      <c r="A719" s="34">
        <v>42622</v>
      </c>
      <c r="B719">
        <v>5.4452530000000001</v>
      </c>
      <c r="C719">
        <f t="shared" si="16"/>
        <v>4.25</v>
      </c>
      <c r="M719" s="34">
        <v>42297</v>
      </c>
      <c r="N719">
        <v>3.1</v>
      </c>
    </row>
    <row r="720" spans="1:14" x14ac:dyDescent="0.2">
      <c r="A720" s="34">
        <v>42621</v>
      </c>
      <c r="B720">
        <v>5.4441870000000003</v>
      </c>
      <c r="C720">
        <f t="shared" si="16"/>
        <v>4.3899999999999997</v>
      </c>
      <c r="M720" s="34">
        <v>42296</v>
      </c>
      <c r="N720">
        <v>3</v>
      </c>
    </row>
    <row r="721" spans="1:14" x14ac:dyDescent="0.2">
      <c r="A721" s="34">
        <v>42620</v>
      </c>
      <c r="B721">
        <v>5.4431209999999997</v>
      </c>
      <c r="C721">
        <f t="shared" si="16"/>
        <v>4.32</v>
      </c>
      <c r="M721" s="34">
        <v>42293</v>
      </c>
      <c r="N721">
        <v>3.02</v>
      </c>
    </row>
    <row r="722" spans="1:14" x14ac:dyDescent="0.2">
      <c r="A722" s="34">
        <v>42619</v>
      </c>
      <c r="B722">
        <v>5.4420549999999999</v>
      </c>
      <c r="C722">
        <f t="shared" si="16"/>
        <v>4.3</v>
      </c>
      <c r="M722" s="34">
        <v>42292</v>
      </c>
      <c r="N722">
        <v>2.99</v>
      </c>
    </row>
    <row r="723" spans="1:14" x14ac:dyDescent="0.2">
      <c r="A723" s="34">
        <v>42618</v>
      </c>
      <c r="B723">
        <v>5.4409900000000002</v>
      </c>
      <c r="C723">
        <f t="shared" si="16"/>
        <v>4.25</v>
      </c>
      <c r="M723" s="34">
        <v>42291</v>
      </c>
      <c r="N723">
        <v>3</v>
      </c>
    </row>
    <row r="724" spans="1:14" x14ac:dyDescent="0.2">
      <c r="A724" s="34">
        <v>42617</v>
      </c>
      <c r="B724">
        <v>5.4399240000000004</v>
      </c>
      <c r="C724">
        <f t="shared" si="16"/>
        <v>4.33</v>
      </c>
      <c r="M724" s="34">
        <v>42290</v>
      </c>
      <c r="N724">
        <v>3</v>
      </c>
    </row>
    <row r="725" spans="1:14" x14ac:dyDescent="0.2">
      <c r="A725" s="34">
        <v>42616</v>
      </c>
      <c r="B725">
        <v>5.4388589999999999</v>
      </c>
      <c r="C725">
        <f t="shared" si="16"/>
        <v>4.33</v>
      </c>
      <c r="M725" s="34">
        <v>42289</v>
      </c>
      <c r="N725">
        <v>3</v>
      </c>
    </row>
    <row r="726" spans="1:14" x14ac:dyDescent="0.2">
      <c r="A726" s="34">
        <v>42615</v>
      </c>
      <c r="B726">
        <v>5.4377940000000002</v>
      </c>
      <c r="C726">
        <f t="shared" si="16"/>
        <v>4.33</v>
      </c>
      <c r="M726" s="34">
        <v>42286</v>
      </c>
      <c r="N726">
        <v>2.95</v>
      </c>
    </row>
    <row r="727" spans="1:14" x14ac:dyDescent="0.2">
      <c r="A727" s="34">
        <v>42614</v>
      </c>
      <c r="B727">
        <v>5.4367299999999998</v>
      </c>
      <c r="C727">
        <f t="shared" si="16"/>
        <v>4.32</v>
      </c>
      <c r="M727" s="34">
        <v>42285</v>
      </c>
      <c r="N727">
        <v>3</v>
      </c>
    </row>
    <row r="728" spans="1:14" x14ac:dyDescent="0.2">
      <c r="A728" s="34">
        <v>42613</v>
      </c>
      <c r="B728">
        <v>5.4356650000000002</v>
      </c>
      <c r="C728">
        <f t="shared" si="16"/>
        <v>4.33</v>
      </c>
      <c r="M728" s="34">
        <v>42284</v>
      </c>
      <c r="N728">
        <v>2.96</v>
      </c>
    </row>
    <row r="729" spans="1:14" x14ac:dyDescent="0.2">
      <c r="A729" s="34">
        <v>42612</v>
      </c>
      <c r="B729">
        <v>5.4346009999999998</v>
      </c>
      <c r="C729">
        <f t="shared" si="16"/>
        <v>4.29</v>
      </c>
      <c r="M729" s="34">
        <v>42283</v>
      </c>
      <c r="N729">
        <v>3</v>
      </c>
    </row>
    <row r="730" spans="1:14" x14ac:dyDescent="0.2">
      <c r="A730" s="34">
        <v>42611</v>
      </c>
      <c r="B730">
        <v>5.4335370000000003</v>
      </c>
      <c r="C730">
        <f t="shared" si="16"/>
        <v>4.26</v>
      </c>
      <c r="M730" s="34">
        <v>42282</v>
      </c>
      <c r="N730">
        <v>2.99</v>
      </c>
    </row>
    <row r="731" spans="1:14" x14ac:dyDescent="0.2">
      <c r="A731" s="34">
        <v>42610</v>
      </c>
      <c r="B731">
        <v>5.4324729999999999</v>
      </c>
      <c r="C731">
        <f t="shared" si="16"/>
        <v>4.3099999999999996</v>
      </c>
      <c r="M731" s="34">
        <v>42279</v>
      </c>
      <c r="N731">
        <v>3</v>
      </c>
    </row>
    <row r="732" spans="1:14" x14ac:dyDescent="0.2">
      <c r="A732" s="34">
        <v>42609</v>
      </c>
      <c r="B732">
        <v>5.4314090000000004</v>
      </c>
      <c r="C732">
        <f t="shared" si="16"/>
        <v>4.3099999999999996</v>
      </c>
      <c r="M732" s="34">
        <v>42278</v>
      </c>
      <c r="N732">
        <v>3.35</v>
      </c>
    </row>
    <row r="733" spans="1:14" x14ac:dyDescent="0.2">
      <c r="A733" s="34">
        <v>42608</v>
      </c>
      <c r="B733">
        <v>5.4303460000000001</v>
      </c>
      <c r="C733">
        <f t="shared" si="16"/>
        <v>4.3099999999999996</v>
      </c>
      <c r="M733" s="34">
        <v>42277</v>
      </c>
      <c r="N733">
        <v>2.9</v>
      </c>
    </row>
    <row r="734" spans="1:14" x14ac:dyDescent="0.2">
      <c r="A734" s="34">
        <v>42607</v>
      </c>
      <c r="B734">
        <v>5.4292829999999999</v>
      </c>
      <c r="C734">
        <f t="shared" si="16"/>
        <v>4.2699999999999996</v>
      </c>
      <c r="M734" s="34">
        <v>42276</v>
      </c>
      <c r="N734">
        <v>2.95</v>
      </c>
    </row>
    <row r="735" spans="1:14" x14ac:dyDescent="0.2">
      <c r="A735" s="34">
        <v>42606</v>
      </c>
      <c r="B735">
        <v>5.4294320000000003</v>
      </c>
      <c r="C735">
        <f t="shared" si="16"/>
        <v>4.2699999999999996</v>
      </c>
      <c r="M735" s="34">
        <v>42275</v>
      </c>
      <c r="N735">
        <v>2.95</v>
      </c>
    </row>
    <row r="736" spans="1:14" x14ac:dyDescent="0.2">
      <c r="A736" s="34">
        <v>42605</v>
      </c>
      <c r="B736">
        <v>5.4295799999999996</v>
      </c>
      <c r="C736">
        <f t="shared" si="16"/>
        <v>4.2699999999999996</v>
      </c>
      <c r="M736" s="34">
        <v>42272</v>
      </c>
      <c r="N736">
        <v>3.05</v>
      </c>
    </row>
    <row r="737" spans="1:14" x14ac:dyDescent="0.2">
      <c r="A737" s="34">
        <v>42604</v>
      </c>
      <c r="B737">
        <v>5.429729</v>
      </c>
      <c r="C737">
        <f t="shared" si="16"/>
        <v>4.25</v>
      </c>
      <c r="M737" s="34">
        <v>42271</v>
      </c>
      <c r="N737">
        <v>2.96</v>
      </c>
    </row>
    <row r="738" spans="1:14" x14ac:dyDescent="0.2">
      <c r="A738" s="34">
        <v>42603</v>
      </c>
      <c r="B738">
        <v>5.4298780000000004</v>
      </c>
      <c r="C738">
        <f t="shared" si="16"/>
        <v>4.26</v>
      </c>
      <c r="M738" s="34">
        <v>42270</v>
      </c>
      <c r="N738">
        <v>2.93</v>
      </c>
    </row>
    <row r="739" spans="1:14" x14ac:dyDescent="0.2">
      <c r="A739" s="34">
        <v>42602</v>
      </c>
      <c r="B739">
        <v>5.4300269999999999</v>
      </c>
      <c r="C739">
        <f t="shared" si="16"/>
        <v>4.26</v>
      </c>
      <c r="M739" s="34">
        <v>42269</v>
      </c>
      <c r="N739">
        <v>2.95</v>
      </c>
    </row>
    <row r="740" spans="1:14" x14ac:dyDescent="0.2">
      <c r="A740" s="34">
        <v>42601</v>
      </c>
      <c r="B740">
        <v>5.4301760000000003</v>
      </c>
      <c r="C740">
        <f t="shared" si="16"/>
        <v>4.26</v>
      </c>
      <c r="M740" s="34">
        <v>42268</v>
      </c>
      <c r="N740">
        <v>2.85</v>
      </c>
    </row>
    <row r="741" spans="1:14" x14ac:dyDescent="0.2">
      <c r="A741" s="34">
        <v>42600</v>
      </c>
      <c r="B741">
        <v>5.4303239999999997</v>
      </c>
      <c r="C741">
        <f t="shared" si="16"/>
        <v>4.32</v>
      </c>
      <c r="M741" s="34">
        <v>42265</v>
      </c>
      <c r="N741">
        <v>2.95</v>
      </c>
    </row>
    <row r="742" spans="1:14" x14ac:dyDescent="0.2">
      <c r="A742" s="34">
        <v>42599</v>
      </c>
      <c r="B742">
        <v>5.4304730000000001</v>
      </c>
      <c r="C742">
        <f t="shared" si="16"/>
        <v>4.26</v>
      </c>
      <c r="M742" s="34">
        <v>42264</v>
      </c>
      <c r="N742">
        <v>2.92</v>
      </c>
    </row>
    <row r="743" spans="1:14" x14ac:dyDescent="0.2">
      <c r="A743" s="34">
        <v>42598</v>
      </c>
      <c r="B743">
        <v>5.4306219999999996</v>
      </c>
      <c r="C743">
        <f t="shared" si="16"/>
        <v>4.28</v>
      </c>
      <c r="M743" s="34">
        <v>42262</v>
      </c>
      <c r="N743">
        <v>2.98</v>
      </c>
    </row>
    <row r="744" spans="1:14" x14ac:dyDescent="0.2">
      <c r="A744" s="34">
        <v>42597</v>
      </c>
      <c r="B744">
        <v>5.430771</v>
      </c>
      <c r="C744">
        <f t="shared" si="16"/>
        <v>4.3</v>
      </c>
      <c r="M744" s="34">
        <v>42261</v>
      </c>
      <c r="N744">
        <v>3.04</v>
      </c>
    </row>
    <row r="745" spans="1:14" x14ac:dyDescent="0.2">
      <c r="A745" s="34">
        <v>42596</v>
      </c>
      <c r="B745">
        <v>5.4309200000000004</v>
      </c>
      <c r="C745">
        <f t="shared" si="16"/>
        <v>4.28</v>
      </c>
      <c r="M745" s="34">
        <v>42258</v>
      </c>
      <c r="N745">
        <v>3.03</v>
      </c>
    </row>
    <row r="746" spans="1:14" x14ac:dyDescent="0.2">
      <c r="A746" s="34">
        <v>42595</v>
      </c>
      <c r="B746">
        <v>5.4310679999999998</v>
      </c>
      <c r="C746">
        <f t="shared" si="16"/>
        <v>4.28</v>
      </c>
      <c r="M746" s="34">
        <v>42257</v>
      </c>
      <c r="N746">
        <v>3</v>
      </c>
    </row>
    <row r="747" spans="1:14" x14ac:dyDescent="0.2">
      <c r="A747" s="34">
        <v>42594</v>
      </c>
      <c r="B747">
        <v>5.4312170000000002</v>
      </c>
      <c r="C747">
        <f t="shared" si="16"/>
        <v>4.28</v>
      </c>
      <c r="M747" s="34">
        <v>42256</v>
      </c>
      <c r="N747">
        <v>3</v>
      </c>
    </row>
    <row r="748" spans="1:14" x14ac:dyDescent="0.2">
      <c r="A748" s="34">
        <v>42593</v>
      </c>
      <c r="B748">
        <v>5.4313659999999997</v>
      </c>
      <c r="C748">
        <f t="shared" si="16"/>
        <v>4.2699999999999996</v>
      </c>
      <c r="M748" s="34">
        <v>42255</v>
      </c>
      <c r="N748">
        <v>3</v>
      </c>
    </row>
    <row r="749" spans="1:14" x14ac:dyDescent="0.2">
      <c r="A749" s="34">
        <v>42592</v>
      </c>
      <c r="B749">
        <v>5.4315150000000001</v>
      </c>
      <c r="C749">
        <f t="shared" si="16"/>
        <v>4.28</v>
      </c>
      <c r="M749" s="34">
        <v>42254</v>
      </c>
      <c r="N749">
        <v>2.95</v>
      </c>
    </row>
    <row r="750" spans="1:14" x14ac:dyDescent="0.2">
      <c r="A750" s="34">
        <v>42591</v>
      </c>
      <c r="B750">
        <v>5.430574</v>
      </c>
      <c r="C750">
        <f t="shared" si="16"/>
        <v>4.3</v>
      </c>
      <c r="M750" s="34">
        <v>42251</v>
      </c>
      <c r="N750">
        <v>3</v>
      </c>
    </row>
    <row r="751" spans="1:14" x14ac:dyDescent="0.2">
      <c r="A751" s="34">
        <v>42590</v>
      </c>
      <c r="B751">
        <v>5.4296340000000001</v>
      </c>
      <c r="C751">
        <f t="shared" si="16"/>
        <v>4.29</v>
      </c>
      <c r="M751" s="34">
        <v>42250</v>
      </c>
      <c r="N751">
        <v>3.01</v>
      </c>
    </row>
    <row r="752" spans="1:14" x14ac:dyDescent="0.2">
      <c r="A752" s="34">
        <v>42589</v>
      </c>
      <c r="B752">
        <v>5.428693</v>
      </c>
      <c r="C752">
        <f t="shared" si="16"/>
        <v>4.2699999999999996</v>
      </c>
      <c r="M752" s="34">
        <v>42249</v>
      </c>
      <c r="N752">
        <v>3</v>
      </c>
    </row>
    <row r="753" spans="1:14" x14ac:dyDescent="0.2">
      <c r="A753" s="34">
        <v>42588</v>
      </c>
      <c r="B753">
        <v>5.427753</v>
      </c>
      <c r="C753">
        <f t="shared" si="16"/>
        <v>4.2699999999999996</v>
      </c>
      <c r="M753" s="34">
        <v>42248</v>
      </c>
      <c r="N753">
        <v>3</v>
      </c>
    </row>
    <row r="754" spans="1:14" x14ac:dyDescent="0.2">
      <c r="A754" s="34">
        <v>42587</v>
      </c>
      <c r="B754">
        <v>5.4268130000000001</v>
      </c>
      <c r="C754">
        <f t="shared" si="16"/>
        <v>4.2699999999999996</v>
      </c>
      <c r="M754" s="34">
        <v>42247</v>
      </c>
      <c r="N754">
        <v>3.1</v>
      </c>
    </row>
    <row r="755" spans="1:14" x14ac:dyDescent="0.2">
      <c r="A755" s="34">
        <v>42586</v>
      </c>
      <c r="B755">
        <v>5.4258730000000002</v>
      </c>
      <c r="C755">
        <f t="shared" si="16"/>
        <v>4.2699999999999996</v>
      </c>
      <c r="M755" s="34">
        <v>42244</v>
      </c>
      <c r="N755">
        <v>3.08</v>
      </c>
    </row>
    <row r="756" spans="1:14" x14ac:dyDescent="0.2">
      <c r="A756" s="34">
        <v>42585</v>
      </c>
      <c r="B756">
        <v>5.4249330000000002</v>
      </c>
      <c r="C756">
        <f t="shared" si="16"/>
        <v>4.26</v>
      </c>
      <c r="M756" s="34">
        <v>42243</v>
      </c>
      <c r="N756">
        <v>2.98</v>
      </c>
    </row>
    <row r="757" spans="1:14" x14ac:dyDescent="0.2">
      <c r="A757" s="34">
        <v>42584</v>
      </c>
      <c r="B757">
        <v>5.4239930000000003</v>
      </c>
      <c r="C757">
        <f t="shared" si="16"/>
        <v>4.3</v>
      </c>
      <c r="M757" s="34">
        <v>42242</v>
      </c>
      <c r="N757">
        <v>3.01</v>
      </c>
    </row>
    <row r="758" spans="1:14" x14ac:dyDescent="0.2">
      <c r="A758" s="34">
        <v>42583</v>
      </c>
      <c r="B758">
        <v>5.4230539999999996</v>
      </c>
      <c r="C758">
        <f t="shared" si="16"/>
        <v>4.41</v>
      </c>
      <c r="M758" s="34">
        <v>42241</v>
      </c>
      <c r="N758">
        <v>3</v>
      </c>
    </row>
    <row r="759" spans="1:14" x14ac:dyDescent="0.2">
      <c r="A759" s="34">
        <v>42582</v>
      </c>
      <c r="B759">
        <v>5.4221149999999998</v>
      </c>
      <c r="C759">
        <f t="shared" si="16"/>
        <v>4.3600000000000003</v>
      </c>
      <c r="M759" s="34">
        <v>42240</v>
      </c>
      <c r="N759">
        <v>2.95</v>
      </c>
    </row>
    <row r="760" spans="1:14" x14ac:dyDescent="0.2">
      <c r="A760" s="34">
        <v>42581</v>
      </c>
      <c r="B760">
        <v>5.421176</v>
      </c>
      <c r="C760">
        <f t="shared" si="16"/>
        <v>4.3600000000000003</v>
      </c>
      <c r="M760" s="34">
        <v>42237</v>
      </c>
      <c r="N760">
        <v>3.03</v>
      </c>
    </row>
    <row r="761" spans="1:14" x14ac:dyDescent="0.2">
      <c r="A761" s="34">
        <v>42580</v>
      </c>
      <c r="B761">
        <v>5.4202370000000002</v>
      </c>
      <c r="C761">
        <f t="shared" si="16"/>
        <v>4.3600000000000003</v>
      </c>
      <c r="M761" s="34">
        <v>42236</v>
      </c>
      <c r="N761">
        <v>3.05</v>
      </c>
    </row>
    <row r="762" spans="1:14" x14ac:dyDescent="0.2">
      <c r="A762" s="34">
        <v>42579</v>
      </c>
      <c r="B762">
        <v>5.4192980000000004</v>
      </c>
      <c r="C762">
        <f t="shared" si="16"/>
        <v>4.25</v>
      </c>
      <c r="M762" s="34">
        <v>42235</v>
      </c>
      <c r="N762">
        <v>3</v>
      </c>
    </row>
    <row r="763" spans="1:14" x14ac:dyDescent="0.2">
      <c r="A763" s="34">
        <v>42578</v>
      </c>
      <c r="B763">
        <v>5.4183589999999997</v>
      </c>
      <c r="C763">
        <f t="shared" si="16"/>
        <v>4.25</v>
      </c>
      <c r="M763" s="34">
        <v>42234</v>
      </c>
      <c r="N763">
        <v>3</v>
      </c>
    </row>
    <row r="764" spans="1:14" x14ac:dyDescent="0.2">
      <c r="A764" s="34">
        <v>42577</v>
      </c>
      <c r="B764">
        <v>5.417421</v>
      </c>
      <c r="C764">
        <f t="shared" si="16"/>
        <v>4.2300000000000004</v>
      </c>
      <c r="M764" s="34">
        <v>42233</v>
      </c>
      <c r="N764">
        <v>3</v>
      </c>
    </row>
    <row r="765" spans="1:14" x14ac:dyDescent="0.2">
      <c r="A765" s="34">
        <v>42576</v>
      </c>
      <c r="B765">
        <v>5.4164820000000002</v>
      </c>
      <c r="C765">
        <f t="shared" si="16"/>
        <v>4.2300000000000004</v>
      </c>
      <c r="M765" s="34">
        <v>42230</v>
      </c>
      <c r="N765">
        <v>3</v>
      </c>
    </row>
    <row r="766" spans="1:14" x14ac:dyDescent="0.2">
      <c r="A766" s="34">
        <v>42575</v>
      </c>
      <c r="B766">
        <v>5.4164519999999996</v>
      </c>
      <c r="C766">
        <f t="shared" si="16"/>
        <v>4.25</v>
      </c>
      <c r="M766" s="34">
        <v>42229</v>
      </c>
      <c r="N766">
        <v>2.98</v>
      </c>
    </row>
    <row r="767" spans="1:14" x14ac:dyDescent="0.2">
      <c r="A767" s="34">
        <v>42574</v>
      </c>
      <c r="B767">
        <v>5.4164219999999998</v>
      </c>
      <c r="C767">
        <f t="shared" si="16"/>
        <v>4.25</v>
      </c>
      <c r="M767" s="34">
        <v>42228</v>
      </c>
      <c r="N767">
        <v>3.1</v>
      </c>
    </row>
    <row r="768" spans="1:14" x14ac:dyDescent="0.2">
      <c r="A768" s="34">
        <v>42573</v>
      </c>
      <c r="B768">
        <v>5.416391</v>
      </c>
      <c r="C768">
        <f t="shared" si="16"/>
        <v>4.25</v>
      </c>
      <c r="M768" s="34">
        <v>42227</v>
      </c>
      <c r="N768">
        <v>3.25</v>
      </c>
    </row>
    <row r="769" spans="1:14" x14ac:dyDescent="0.2">
      <c r="A769" s="34">
        <v>42572</v>
      </c>
      <c r="B769">
        <v>5.4163610000000002</v>
      </c>
      <c r="C769">
        <f t="shared" si="16"/>
        <v>4.26</v>
      </c>
      <c r="M769" s="34">
        <v>42226</v>
      </c>
      <c r="N769">
        <v>3.1</v>
      </c>
    </row>
    <row r="770" spans="1:14" x14ac:dyDescent="0.2">
      <c r="A770" s="34">
        <v>42571</v>
      </c>
      <c r="B770">
        <v>5.4163309999999996</v>
      </c>
      <c r="C770">
        <f t="shared" ref="C770:C833" si="17">IFERROR(VLOOKUP(A770,$M$2:$N$3695,2,0),C771)</f>
        <v>4.26</v>
      </c>
      <c r="M770" s="34">
        <v>42223</v>
      </c>
      <c r="N770">
        <v>3.03</v>
      </c>
    </row>
    <row r="771" spans="1:14" x14ac:dyDescent="0.2">
      <c r="A771" s="34">
        <v>42570</v>
      </c>
      <c r="B771">
        <v>5.4162999999999997</v>
      </c>
      <c r="C771">
        <f t="shared" si="17"/>
        <v>4.26</v>
      </c>
      <c r="M771" s="34">
        <v>42222</v>
      </c>
      <c r="N771">
        <v>3.12</v>
      </c>
    </row>
    <row r="772" spans="1:14" x14ac:dyDescent="0.2">
      <c r="A772" s="34">
        <v>42569</v>
      </c>
      <c r="B772">
        <v>5.4162699999999999</v>
      </c>
      <c r="C772">
        <f t="shared" si="17"/>
        <v>4.25</v>
      </c>
      <c r="M772" s="34">
        <v>42221</v>
      </c>
      <c r="N772">
        <v>3</v>
      </c>
    </row>
    <row r="773" spans="1:14" x14ac:dyDescent="0.2">
      <c r="A773" s="34">
        <v>42568</v>
      </c>
      <c r="B773">
        <v>5.4162400000000002</v>
      </c>
      <c r="C773">
        <f t="shared" si="17"/>
        <v>4.25</v>
      </c>
      <c r="M773" s="34">
        <v>42220</v>
      </c>
      <c r="N773">
        <v>2.98</v>
      </c>
    </row>
    <row r="774" spans="1:14" x14ac:dyDescent="0.2">
      <c r="A774" s="34">
        <v>42567</v>
      </c>
      <c r="B774">
        <v>5.4162090000000003</v>
      </c>
      <c r="C774">
        <f t="shared" si="17"/>
        <v>4.25</v>
      </c>
      <c r="M774" s="34">
        <v>42219</v>
      </c>
      <c r="N774">
        <v>3.07</v>
      </c>
    </row>
    <row r="775" spans="1:14" x14ac:dyDescent="0.2">
      <c r="A775" s="34">
        <v>42566</v>
      </c>
      <c r="B775">
        <v>5.4161789999999996</v>
      </c>
      <c r="C775">
        <f t="shared" si="17"/>
        <v>4.25</v>
      </c>
      <c r="M775" s="34">
        <v>42216</v>
      </c>
      <c r="N775">
        <v>3.05</v>
      </c>
    </row>
    <row r="776" spans="1:14" x14ac:dyDescent="0.2">
      <c r="A776" s="34">
        <v>42565</v>
      </c>
      <c r="B776">
        <v>5.4161479999999997</v>
      </c>
      <c r="C776">
        <f t="shared" si="17"/>
        <v>4.26</v>
      </c>
      <c r="M776" s="34">
        <v>42215</v>
      </c>
      <c r="N776">
        <v>3.1</v>
      </c>
    </row>
    <row r="777" spans="1:14" x14ac:dyDescent="0.2">
      <c r="A777" s="34">
        <v>42564</v>
      </c>
      <c r="B777">
        <v>5.416118</v>
      </c>
      <c r="C777">
        <f t="shared" si="17"/>
        <v>4.2300000000000004</v>
      </c>
      <c r="M777" s="34">
        <v>42214</v>
      </c>
      <c r="N777">
        <v>3.04</v>
      </c>
    </row>
    <row r="778" spans="1:14" x14ac:dyDescent="0.2">
      <c r="A778" s="34">
        <v>42563</v>
      </c>
      <c r="B778">
        <v>5.4160880000000002</v>
      </c>
      <c r="C778">
        <f t="shared" si="17"/>
        <v>4.25</v>
      </c>
      <c r="M778" s="34">
        <v>42213</v>
      </c>
      <c r="N778">
        <v>2.95</v>
      </c>
    </row>
    <row r="779" spans="1:14" x14ac:dyDescent="0.2">
      <c r="A779" s="34">
        <v>42562</v>
      </c>
      <c r="B779">
        <v>5.4160570000000003</v>
      </c>
      <c r="C779">
        <f t="shared" si="17"/>
        <v>4.25</v>
      </c>
      <c r="M779" s="34">
        <v>42212</v>
      </c>
      <c r="N779">
        <v>3.05</v>
      </c>
    </row>
    <row r="780" spans="1:14" x14ac:dyDescent="0.2">
      <c r="A780" s="34">
        <v>42561</v>
      </c>
      <c r="B780">
        <v>5.4160269999999997</v>
      </c>
      <c r="C780">
        <f t="shared" si="17"/>
        <v>4.25</v>
      </c>
      <c r="M780" s="34">
        <v>42209</v>
      </c>
      <c r="N780">
        <v>2.97</v>
      </c>
    </row>
    <row r="781" spans="1:14" x14ac:dyDescent="0.2">
      <c r="A781" s="34">
        <v>42560</v>
      </c>
      <c r="B781">
        <v>5.4159449999999998</v>
      </c>
      <c r="C781">
        <f t="shared" si="17"/>
        <v>4.25</v>
      </c>
      <c r="M781" s="34">
        <v>42208</v>
      </c>
      <c r="N781">
        <v>2.95</v>
      </c>
    </row>
    <row r="782" spans="1:14" x14ac:dyDescent="0.2">
      <c r="A782" s="34">
        <v>42559</v>
      </c>
      <c r="B782">
        <v>5.4158629999999999</v>
      </c>
      <c r="C782">
        <f t="shared" si="17"/>
        <v>4.25</v>
      </c>
      <c r="M782" s="34">
        <v>42207</v>
      </c>
      <c r="N782">
        <v>2.9</v>
      </c>
    </row>
    <row r="783" spans="1:14" x14ac:dyDescent="0.2">
      <c r="A783" s="34">
        <v>42558</v>
      </c>
      <c r="B783">
        <v>5.415781</v>
      </c>
      <c r="C783">
        <f t="shared" si="17"/>
        <v>4.26</v>
      </c>
      <c r="M783" s="34">
        <v>42206</v>
      </c>
      <c r="N783">
        <v>3.06</v>
      </c>
    </row>
    <row r="784" spans="1:14" x14ac:dyDescent="0.2">
      <c r="A784" s="34">
        <v>42557</v>
      </c>
      <c r="B784">
        <v>5.415699</v>
      </c>
      <c r="C784">
        <f t="shared" si="17"/>
        <v>4.1500000000000004</v>
      </c>
      <c r="M784" s="34">
        <v>42205</v>
      </c>
      <c r="N784">
        <v>3.02</v>
      </c>
    </row>
    <row r="785" spans="1:14" x14ac:dyDescent="0.2">
      <c r="A785" s="34">
        <v>42556</v>
      </c>
      <c r="B785">
        <v>5.4156170000000001</v>
      </c>
      <c r="C785">
        <f t="shared" si="17"/>
        <v>4.26</v>
      </c>
      <c r="M785" s="34">
        <v>42202</v>
      </c>
      <c r="N785">
        <v>2.98</v>
      </c>
    </row>
    <row r="786" spans="1:14" x14ac:dyDescent="0.2">
      <c r="A786" s="34">
        <v>42555</v>
      </c>
      <c r="B786">
        <v>5.4155350000000002</v>
      </c>
      <c r="C786">
        <f t="shared" si="17"/>
        <v>4.22</v>
      </c>
      <c r="M786" s="34">
        <v>42201</v>
      </c>
      <c r="N786">
        <v>3.2</v>
      </c>
    </row>
    <row r="787" spans="1:14" x14ac:dyDescent="0.2">
      <c r="A787" s="34">
        <v>42554</v>
      </c>
      <c r="B787">
        <v>5.4154530000000003</v>
      </c>
      <c r="C787">
        <f t="shared" si="17"/>
        <v>4.2699999999999996</v>
      </c>
      <c r="M787" s="34">
        <v>42200</v>
      </c>
      <c r="N787">
        <v>2.95</v>
      </c>
    </row>
    <row r="788" spans="1:14" x14ac:dyDescent="0.2">
      <c r="A788" s="34">
        <v>42553</v>
      </c>
      <c r="B788">
        <v>5.4153710000000004</v>
      </c>
      <c r="C788">
        <f t="shared" si="17"/>
        <v>4.2699999999999996</v>
      </c>
      <c r="M788" s="34">
        <v>42199</v>
      </c>
      <c r="N788">
        <v>2.95</v>
      </c>
    </row>
    <row r="789" spans="1:14" x14ac:dyDescent="0.2">
      <c r="A789" s="34">
        <v>42552</v>
      </c>
      <c r="B789">
        <v>5.4152889999999996</v>
      </c>
      <c r="C789">
        <f t="shared" si="17"/>
        <v>4.2699999999999996</v>
      </c>
      <c r="M789" s="34">
        <v>42198</v>
      </c>
      <c r="N789">
        <v>3</v>
      </c>
    </row>
    <row r="790" spans="1:14" x14ac:dyDescent="0.2">
      <c r="A790" s="34">
        <v>42551</v>
      </c>
      <c r="B790">
        <v>5.4152069999999997</v>
      </c>
      <c r="C790">
        <f t="shared" si="17"/>
        <v>3.92</v>
      </c>
      <c r="M790" s="34">
        <v>42195</v>
      </c>
      <c r="N790">
        <v>2.95</v>
      </c>
    </row>
    <row r="791" spans="1:14" x14ac:dyDescent="0.2">
      <c r="A791" s="34">
        <v>42550</v>
      </c>
      <c r="B791">
        <v>5.4151249999999997</v>
      </c>
      <c r="C791">
        <f t="shared" si="17"/>
        <v>3.79</v>
      </c>
      <c r="M791" s="34">
        <v>42194</v>
      </c>
      <c r="N791">
        <v>2.96</v>
      </c>
    </row>
    <row r="792" spans="1:14" x14ac:dyDescent="0.2">
      <c r="A792" s="34">
        <v>42549</v>
      </c>
      <c r="B792">
        <v>5.4150429999999998</v>
      </c>
      <c r="C792">
        <f t="shared" si="17"/>
        <v>3.81</v>
      </c>
      <c r="M792" s="34">
        <v>42193</v>
      </c>
      <c r="N792">
        <v>2.98</v>
      </c>
    </row>
    <row r="793" spans="1:14" x14ac:dyDescent="0.2">
      <c r="A793" s="34">
        <v>42548</v>
      </c>
      <c r="B793">
        <v>5.4149609999999999</v>
      </c>
      <c r="C793">
        <f t="shared" si="17"/>
        <v>3.83</v>
      </c>
      <c r="M793" s="34">
        <v>42192</v>
      </c>
      <c r="N793">
        <v>3.02</v>
      </c>
    </row>
    <row r="794" spans="1:14" x14ac:dyDescent="0.2">
      <c r="A794" s="34">
        <v>42547</v>
      </c>
      <c r="B794">
        <v>5.414879</v>
      </c>
      <c r="C794">
        <f t="shared" si="17"/>
        <v>3.86</v>
      </c>
      <c r="M794" s="34">
        <v>42191</v>
      </c>
      <c r="N794">
        <v>3.11</v>
      </c>
    </row>
    <row r="795" spans="1:14" x14ac:dyDescent="0.2">
      <c r="A795" s="34">
        <v>42546</v>
      </c>
      <c r="B795">
        <v>5.4147970000000001</v>
      </c>
      <c r="C795">
        <f t="shared" si="17"/>
        <v>3.86</v>
      </c>
      <c r="M795" s="34">
        <v>42188</v>
      </c>
      <c r="N795">
        <v>3.25</v>
      </c>
    </row>
    <row r="796" spans="1:14" x14ac:dyDescent="0.2">
      <c r="A796" s="34">
        <v>42545</v>
      </c>
      <c r="B796">
        <v>5.4141919999999999</v>
      </c>
      <c r="C796">
        <f t="shared" si="17"/>
        <v>3.86</v>
      </c>
      <c r="M796" s="34">
        <v>42187</v>
      </c>
      <c r="N796">
        <v>2.97</v>
      </c>
    </row>
    <row r="797" spans="1:14" x14ac:dyDescent="0.2">
      <c r="A797" s="34">
        <v>42544</v>
      </c>
      <c r="B797">
        <v>5.4135879999999998</v>
      </c>
      <c r="C797">
        <f t="shared" si="17"/>
        <v>3.79</v>
      </c>
      <c r="M797" s="34">
        <v>42186</v>
      </c>
      <c r="N797">
        <v>3</v>
      </c>
    </row>
    <row r="798" spans="1:14" x14ac:dyDescent="0.2">
      <c r="A798" s="34">
        <v>42543</v>
      </c>
      <c r="B798">
        <v>5.4129829999999997</v>
      </c>
      <c r="C798">
        <f t="shared" si="17"/>
        <v>3.75</v>
      </c>
      <c r="M798" s="34">
        <v>42185</v>
      </c>
      <c r="N798">
        <v>3.15</v>
      </c>
    </row>
    <row r="799" spans="1:14" x14ac:dyDescent="0.2">
      <c r="A799" s="34">
        <v>42542</v>
      </c>
      <c r="B799">
        <v>5.4123780000000004</v>
      </c>
      <c r="C799">
        <f t="shared" si="17"/>
        <v>3.77</v>
      </c>
      <c r="M799" s="34">
        <v>42184</v>
      </c>
      <c r="N799">
        <v>3.24</v>
      </c>
    </row>
    <row r="800" spans="1:14" x14ac:dyDescent="0.2">
      <c r="A800" s="34">
        <v>42541</v>
      </c>
      <c r="B800">
        <v>5.4117740000000003</v>
      </c>
      <c r="C800">
        <f t="shared" si="17"/>
        <v>3.75</v>
      </c>
      <c r="M800" s="34">
        <v>42181</v>
      </c>
      <c r="N800">
        <v>3.15</v>
      </c>
    </row>
    <row r="801" spans="1:14" x14ac:dyDescent="0.2">
      <c r="A801" s="34">
        <v>42540</v>
      </c>
      <c r="B801">
        <v>5.4111690000000001</v>
      </c>
      <c r="C801">
        <f t="shared" si="17"/>
        <v>3.74</v>
      </c>
      <c r="M801" s="34">
        <v>42180</v>
      </c>
      <c r="N801">
        <v>3.1</v>
      </c>
    </row>
    <row r="802" spans="1:14" x14ac:dyDescent="0.2">
      <c r="A802" s="34">
        <v>42539</v>
      </c>
      <c r="B802">
        <v>5.4105650000000001</v>
      </c>
      <c r="C802">
        <f t="shared" si="17"/>
        <v>3.74</v>
      </c>
      <c r="M802" s="34">
        <v>42179</v>
      </c>
      <c r="N802">
        <v>2.98</v>
      </c>
    </row>
    <row r="803" spans="1:14" x14ac:dyDescent="0.2">
      <c r="A803" s="34">
        <v>42538</v>
      </c>
      <c r="B803">
        <v>5.409961</v>
      </c>
      <c r="C803">
        <f t="shared" si="17"/>
        <v>3.74</v>
      </c>
      <c r="M803" s="34">
        <v>42178</v>
      </c>
      <c r="N803">
        <v>3</v>
      </c>
    </row>
    <row r="804" spans="1:14" x14ac:dyDescent="0.2">
      <c r="A804" s="34">
        <v>42537</v>
      </c>
      <c r="B804">
        <v>5.4093559999999998</v>
      </c>
      <c r="C804">
        <f t="shared" si="17"/>
        <v>3.7</v>
      </c>
      <c r="M804" s="34">
        <v>42177</v>
      </c>
      <c r="N804">
        <v>3</v>
      </c>
    </row>
    <row r="805" spans="1:14" x14ac:dyDescent="0.2">
      <c r="A805" s="34">
        <v>42536</v>
      </c>
      <c r="B805">
        <v>5.4087519999999998</v>
      </c>
      <c r="C805">
        <f t="shared" si="17"/>
        <v>3.76</v>
      </c>
      <c r="M805" s="34">
        <v>42174</v>
      </c>
      <c r="N805">
        <v>3.05</v>
      </c>
    </row>
    <row r="806" spans="1:14" x14ac:dyDescent="0.2">
      <c r="A806" s="34">
        <v>42535</v>
      </c>
      <c r="B806">
        <v>5.4081479999999997</v>
      </c>
      <c r="C806">
        <f t="shared" si="17"/>
        <v>3.8</v>
      </c>
      <c r="M806" s="34">
        <v>42173</v>
      </c>
      <c r="N806">
        <v>3.05</v>
      </c>
    </row>
    <row r="807" spans="1:14" x14ac:dyDescent="0.2">
      <c r="A807" s="34">
        <v>42534</v>
      </c>
      <c r="B807">
        <v>5.4075439999999997</v>
      </c>
      <c r="C807">
        <f t="shared" si="17"/>
        <v>3.82</v>
      </c>
      <c r="M807" s="34">
        <v>42172</v>
      </c>
      <c r="N807">
        <v>3.02</v>
      </c>
    </row>
    <row r="808" spans="1:14" x14ac:dyDescent="0.2">
      <c r="A808" s="34">
        <v>42533</v>
      </c>
      <c r="B808">
        <v>5.4069399999999996</v>
      </c>
      <c r="C808">
        <f t="shared" si="17"/>
        <v>3.8</v>
      </c>
      <c r="M808" s="34">
        <v>42171</v>
      </c>
      <c r="N808">
        <v>3.07</v>
      </c>
    </row>
    <row r="809" spans="1:14" x14ac:dyDescent="0.2">
      <c r="A809" s="34">
        <v>42532</v>
      </c>
      <c r="B809">
        <v>5.4063359999999996</v>
      </c>
      <c r="C809">
        <f t="shared" si="17"/>
        <v>3.8</v>
      </c>
      <c r="M809" s="34">
        <v>42170</v>
      </c>
      <c r="N809">
        <v>3</v>
      </c>
    </row>
    <row r="810" spans="1:14" x14ac:dyDescent="0.2">
      <c r="A810" s="34">
        <v>42531</v>
      </c>
      <c r="B810">
        <v>5.4057320000000004</v>
      </c>
      <c r="C810">
        <f t="shared" si="17"/>
        <v>3.8</v>
      </c>
      <c r="M810" s="34">
        <v>42167</v>
      </c>
      <c r="N810">
        <v>3.08</v>
      </c>
    </row>
    <row r="811" spans="1:14" x14ac:dyDescent="0.2">
      <c r="A811" s="34">
        <v>42530</v>
      </c>
      <c r="B811">
        <v>5.4073710000000004</v>
      </c>
      <c r="C811">
        <f t="shared" si="17"/>
        <v>3.75</v>
      </c>
      <c r="M811" s="34">
        <v>42166</v>
      </c>
      <c r="N811">
        <v>3</v>
      </c>
    </row>
    <row r="812" spans="1:14" x14ac:dyDescent="0.2">
      <c r="A812" s="34">
        <v>42529</v>
      </c>
      <c r="B812">
        <v>5.4090109999999996</v>
      </c>
      <c r="C812">
        <f t="shared" si="17"/>
        <v>3.78</v>
      </c>
      <c r="M812" s="34">
        <v>42165</v>
      </c>
      <c r="N812">
        <v>3</v>
      </c>
    </row>
    <row r="813" spans="1:14" x14ac:dyDescent="0.2">
      <c r="A813" s="34">
        <v>42528</v>
      </c>
      <c r="B813">
        <v>5.4106509999999997</v>
      </c>
      <c r="C813">
        <f t="shared" si="17"/>
        <v>3.76</v>
      </c>
      <c r="M813" s="34">
        <v>42164</v>
      </c>
      <c r="N813">
        <v>3</v>
      </c>
    </row>
    <row r="814" spans="1:14" x14ac:dyDescent="0.2">
      <c r="A814" s="34">
        <v>42527</v>
      </c>
      <c r="B814">
        <v>5.4122909999999997</v>
      </c>
      <c r="C814">
        <f t="shared" si="17"/>
        <v>3.75</v>
      </c>
      <c r="M814" s="34">
        <v>42163</v>
      </c>
      <c r="N814">
        <v>3.05</v>
      </c>
    </row>
    <row r="815" spans="1:14" x14ac:dyDescent="0.2">
      <c r="A815" s="34">
        <v>42526</v>
      </c>
      <c r="B815">
        <v>5.413932</v>
      </c>
      <c r="C815">
        <f t="shared" si="17"/>
        <v>4.0999999999999996</v>
      </c>
      <c r="M815" s="34">
        <v>42160</v>
      </c>
      <c r="N815">
        <v>3.13</v>
      </c>
    </row>
    <row r="816" spans="1:14" x14ac:dyDescent="0.2">
      <c r="A816" s="34">
        <v>42525</v>
      </c>
      <c r="B816">
        <v>5.4155740000000003</v>
      </c>
      <c r="C816">
        <f t="shared" si="17"/>
        <v>4.0999999999999996</v>
      </c>
      <c r="M816" s="34">
        <v>42159</v>
      </c>
      <c r="N816">
        <v>3.07</v>
      </c>
    </row>
    <row r="817" spans="1:14" x14ac:dyDescent="0.2">
      <c r="A817" s="34">
        <v>42524</v>
      </c>
      <c r="B817">
        <v>5.4172159999999998</v>
      </c>
      <c r="C817">
        <f t="shared" si="17"/>
        <v>4.0999999999999996</v>
      </c>
      <c r="M817" s="34">
        <v>42158</v>
      </c>
      <c r="N817">
        <v>3.03</v>
      </c>
    </row>
    <row r="818" spans="1:14" x14ac:dyDescent="0.2">
      <c r="A818" s="34">
        <v>42523</v>
      </c>
      <c r="B818">
        <v>5.4188580000000002</v>
      </c>
      <c r="C818">
        <f t="shared" si="17"/>
        <v>4</v>
      </c>
      <c r="M818" s="34">
        <v>42157</v>
      </c>
      <c r="N818">
        <v>3</v>
      </c>
    </row>
    <row r="819" spans="1:14" x14ac:dyDescent="0.2">
      <c r="A819" s="34">
        <v>42522</v>
      </c>
      <c r="B819">
        <v>5.4205009999999998</v>
      </c>
      <c r="C819">
        <f t="shared" si="17"/>
        <v>3.84</v>
      </c>
      <c r="M819" s="34">
        <v>42156</v>
      </c>
      <c r="N819">
        <v>3.02</v>
      </c>
    </row>
    <row r="820" spans="1:14" x14ac:dyDescent="0.2">
      <c r="A820" s="34">
        <v>42521</v>
      </c>
      <c r="B820">
        <v>5.4221450000000004</v>
      </c>
      <c r="C820">
        <f t="shared" si="17"/>
        <v>3.95</v>
      </c>
      <c r="M820" s="34">
        <v>42153</v>
      </c>
      <c r="N820">
        <v>3.1</v>
      </c>
    </row>
    <row r="821" spans="1:14" x14ac:dyDescent="0.2">
      <c r="A821" s="34">
        <v>42520</v>
      </c>
      <c r="B821">
        <v>5.4237890000000002</v>
      </c>
      <c r="C821">
        <f t="shared" si="17"/>
        <v>3.5</v>
      </c>
      <c r="M821" s="34">
        <v>42152</v>
      </c>
      <c r="N821">
        <v>3.03</v>
      </c>
    </row>
    <row r="822" spans="1:14" x14ac:dyDescent="0.2">
      <c r="A822" s="34">
        <v>42519</v>
      </c>
      <c r="B822">
        <v>5.425433</v>
      </c>
      <c r="C822">
        <f t="shared" si="17"/>
        <v>3.78</v>
      </c>
      <c r="M822" s="34">
        <v>42151</v>
      </c>
      <c r="N822">
        <v>3</v>
      </c>
    </row>
    <row r="823" spans="1:14" x14ac:dyDescent="0.2">
      <c r="A823" s="34">
        <v>42518</v>
      </c>
      <c r="B823">
        <v>5.4270779999999998</v>
      </c>
      <c r="C823">
        <f t="shared" si="17"/>
        <v>3.78</v>
      </c>
      <c r="M823" s="34">
        <v>42150</v>
      </c>
      <c r="N823">
        <v>2.99</v>
      </c>
    </row>
    <row r="824" spans="1:14" x14ac:dyDescent="0.2">
      <c r="A824" s="34">
        <v>42517</v>
      </c>
      <c r="B824">
        <v>5.4287229999999997</v>
      </c>
      <c r="C824">
        <f t="shared" si="17"/>
        <v>3.78</v>
      </c>
      <c r="M824" s="34">
        <v>42149</v>
      </c>
      <c r="N824">
        <v>2.99</v>
      </c>
    </row>
    <row r="825" spans="1:14" x14ac:dyDescent="0.2">
      <c r="A825" s="34">
        <v>42516</v>
      </c>
      <c r="B825">
        <v>5.4303689999999998</v>
      </c>
      <c r="C825">
        <f t="shared" si="17"/>
        <v>3.75</v>
      </c>
      <c r="M825" s="34">
        <v>42146</v>
      </c>
      <c r="N825">
        <v>3.01</v>
      </c>
    </row>
    <row r="826" spans="1:14" x14ac:dyDescent="0.2">
      <c r="A826" s="34">
        <v>42515</v>
      </c>
      <c r="B826">
        <v>5.432016</v>
      </c>
      <c r="C826">
        <f t="shared" si="17"/>
        <v>3.72</v>
      </c>
      <c r="M826" s="34">
        <v>42145</v>
      </c>
      <c r="N826">
        <v>2.85</v>
      </c>
    </row>
    <row r="827" spans="1:14" x14ac:dyDescent="0.2">
      <c r="A827" s="34">
        <v>42514</v>
      </c>
      <c r="B827">
        <v>5.432353</v>
      </c>
      <c r="C827">
        <f t="shared" si="17"/>
        <v>3.69</v>
      </c>
      <c r="M827" s="34">
        <v>42144</v>
      </c>
      <c r="N827">
        <v>3</v>
      </c>
    </row>
    <row r="828" spans="1:14" x14ac:dyDescent="0.2">
      <c r="A828" s="34">
        <v>42513</v>
      </c>
      <c r="B828">
        <v>5.43269</v>
      </c>
      <c r="C828">
        <f t="shared" si="17"/>
        <v>3.74</v>
      </c>
      <c r="M828" s="34">
        <v>42143</v>
      </c>
      <c r="N828">
        <v>2.96</v>
      </c>
    </row>
    <row r="829" spans="1:14" x14ac:dyDescent="0.2">
      <c r="A829" s="34">
        <v>42512</v>
      </c>
      <c r="B829">
        <v>5.4330270000000001</v>
      </c>
      <c r="C829">
        <f t="shared" si="17"/>
        <v>3.78</v>
      </c>
      <c r="M829" s="34">
        <v>42142</v>
      </c>
      <c r="N829">
        <v>2.97</v>
      </c>
    </row>
    <row r="830" spans="1:14" x14ac:dyDescent="0.2">
      <c r="A830" s="34">
        <v>42511</v>
      </c>
      <c r="B830">
        <v>5.4333640000000001</v>
      </c>
      <c r="C830">
        <f t="shared" si="17"/>
        <v>3.78</v>
      </c>
      <c r="M830" s="34">
        <v>42139</v>
      </c>
      <c r="N830">
        <v>2.9</v>
      </c>
    </row>
    <row r="831" spans="1:14" x14ac:dyDescent="0.2">
      <c r="A831" s="34">
        <v>42510</v>
      </c>
      <c r="B831">
        <v>5.4337010000000001</v>
      </c>
      <c r="C831">
        <f t="shared" si="17"/>
        <v>3.78</v>
      </c>
      <c r="M831" s="34">
        <v>42138</v>
      </c>
      <c r="N831">
        <v>3.01</v>
      </c>
    </row>
    <row r="832" spans="1:14" x14ac:dyDescent="0.2">
      <c r="A832" s="34">
        <v>42509</v>
      </c>
      <c r="B832">
        <v>5.4340380000000001</v>
      </c>
      <c r="C832">
        <f t="shared" si="17"/>
        <v>3.78</v>
      </c>
      <c r="M832" s="34">
        <v>42137</v>
      </c>
      <c r="N832">
        <v>3</v>
      </c>
    </row>
    <row r="833" spans="1:14" x14ac:dyDescent="0.2">
      <c r="A833" s="34">
        <v>42508</v>
      </c>
      <c r="B833">
        <v>5.4343750000000002</v>
      </c>
      <c r="C833">
        <f t="shared" si="17"/>
        <v>3.75</v>
      </c>
      <c r="M833" s="34">
        <v>42136</v>
      </c>
      <c r="N833">
        <v>3</v>
      </c>
    </row>
    <row r="834" spans="1:14" x14ac:dyDescent="0.2">
      <c r="A834" s="34">
        <v>42507</v>
      </c>
      <c r="B834">
        <v>5.4347120000000002</v>
      </c>
      <c r="C834">
        <f t="shared" ref="C834:C897" si="18">IFERROR(VLOOKUP(A834,$M$2:$N$3695,2,0),C835)</f>
        <v>3.81</v>
      </c>
      <c r="M834" s="34">
        <v>42135</v>
      </c>
      <c r="N834">
        <v>2.97</v>
      </c>
    </row>
    <row r="835" spans="1:14" x14ac:dyDescent="0.2">
      <c r="A835" s="34">
        <v>42506</v>
      </c>
      <c r="B835">
        <v>5.4350490000000002</v>
      </c>
      <c r="C835">
        <f t="shared" si="18"/>
        <v>3.83</v>
      </c>
      <c r="M835" s="34">
        <v>42132</v>
      </c>
      <c r="N835">
        <v>2.98</v>
      </c>
    </row>
    <row r="836" spans="1:14" x14ac:dyDescent="0.2">
      <c r="A836" s="34">
        <v>42505</v>
      </c>
      <c r="B836">
        <v>5.4353860000000003</v>
      </c>
      <c r="C836">
        <f t="shared" si="18"/>
        <v>3.85</v>
      </c>
      <c r="M836" s="34">
        <v>42131</v>
      </c>
      <c r="N836">
        <v>2.95</v>
      </c>
    </row>
    <row r="837" spans="1:14" x14ac:dyDescent="0.2">
      <c r="A837" s="34">
        <v>42504</v>
      </c>
      <c r="B837">
        <v>5.4357230000000003</v>
      </c>
      <c r="C837">
        <f t="shared" si="18"/>
        <v>3.85</v>
      </c>
      <c r="M837" s="34">
        <v>42130</v>
      </c>
      <c r="N837">
        <v>2.96</v>
      </c>
    </row>
    <row r="838" spans="1:14" x14ac:dyDescent="0.2">
      <c r="A838" s="34">
        <v>42503</v>
      </c>
      <c r="B838">
        <v>5.4360609999999996</v>
      </c>
      <c r="C838">
        <f t="shared" si="18"/>
        <v>3.85</v>
      </c>
      <c r="M838" s="34">
        <v>42129</v>
      </c>
      <c r="N838">
        <v>2.65</v>
      </c>
    </row>
    <row r="839" spans="1:14" x14ac:dyDescent="0.2">
      <c r="A839" s="34">
        <v>42502</v>
      </c>
      <c r="B839">
        <v>5.4363979999999996</v>
      </c>
      <c r="C839">
        <f t="shared" si="18"/>
        <v>3.83</v>
      </c>
      <c r="M839" s="34">
        <v>42128</v>
      </c>
      <c r="N839">
        <v>3</v>
      </c>
    </row>
    <row r="840" spans="1:14" x14ac:dyDescent="0.2">
      <c r="A840" s="34">
        <v>42501</v>
      </c>
      <c r="B840">
        <v>5.4367349999999997</v>
      </c>
      <c r="C840">
        <f t="shared" si="18"/>
        <v>3.84</v>
      </c>
      <c r="M840" s="34">
        <v>42124</v>
      </c>
      <c r="N840">
        <v>3.1</v>
      </c>
    </row>
    <row r="841" spans="1:14" x14ac:dyDescent="0.2">
      <c r="A841" s="34">
        <v>42500</v>
      </c>
      <c r="B841">
        <v>5.4370719999999997</v>
      </c>
      <c r="C841">
        <f t="shared" si="18"/>
        <v>3.8</v>
      </c>
      <c r="M841" s="34">
        <v>42123</v>
      </c>
      <c r="N841">
        <v>3</v>
      </c>
    </row>
    <row r="842" spans="1:14" x14ac:dyDescent="0.2">
      <c r="A842" s="34">
        <v>42499</v>
      </c>
      <c r="B842">
        <v>5.4383239999999997</v>
      </c>
      <c r="C842">
        <f t="shared" si="18"/>
        <v>3.7</v>
      </c>
      <c r="M842" s="34">
        <v>42122</v>
      </c>
      <c r="N842">
        <v>3</v>
      </c>
    </row>
    <row r="843" spans="1:14" x14ac:dyDescent="0.2">
      <c r="A843" s="34">
        <v>42498</v>
      </c>
      <c r="B843">
        <v>5.4395769999999999</v>
      </c>
      <c r="C843">
        <f t="shared" si="18"/>
        <v>3.71</v>
      </c>
      <c r="M843" s="34">
        <v>42121</v>
      </c>
      <c r="N843">
        <v>2.98</v>
      </c>
    </row>
    <row r="844" spans="1:14" x14ac:dyDescent="0.2">
      <c r="A844" s="34">
        <v>42497</v>
      </c>
      <c r="B844">
        <v>5.4408300000000001</v>
      </c>
      <c r="C844">
        <f t="shared" si="18"/>
        <v>3.71</v>
      </c>
      <c r="M844" s="34">
        <v>42118</v>
      </c>
      <c r="N844">
        <v>2.95</v>
      </c>
    </row>
    <row r="845" spans="1:14" x14ac:dyDescent="0.2">
      <c r="A845" s="34">
        <v>42496</v>
      </c>
      <c r="B845">
        <v>5.4420830000000002</v>
      </c>
      <c r="C845">
        <f t="shared" si="18"/>
        <v>3.71</v>
      </c>
      <c r="M845" s="34">
        <v>42117</v>
      </c>
      <c r="N845">
        <v>2.99</v>
      </c>
    </row>
    <row r="846" spans="1:14" x14ac:dyDescent="0.2">
      <c r="A846" s="34">
        <v>42495</v>
      </c>
      <c r="B846">
        <v>5.4433360000000004</v>
      </c>
      <c r="C846">
        <f t="shared" si="18"/>
        <v>3.85</v>
      </c>
      <c r="M846" s="34">
        <v>42116</v>
      </c>
      <c r="N846">
        <v>2.85</v>
      </c>
    </row>
    <row r="847" spans="1:14" x14ac:dyDescent="0.2">
      <c r="A847" s="34">
        <v>42494</v>
      </c>
      <c r="B847">
        <v>5.4445899999999998</v>
      </c>
      <c r="C847">
        <f t="shared" si="18"/>
        <v>3.84</v>
      </c>
      <c r="M847" s="34">
        <v>42115</v>
      </c>
      <c r="N847">
        <v>3</v>
      </c>
    </row>
    <row r="848" spans="1:14" x14ac:dyDescent="0.2">
      <c r="A848" s="34">
        <v>42493</v>
      </c>
      <c r="B848">
        <v>5.4458440000000001</v>
      </c>
      <c r="C848">
        <f t="shared" si="18"/>
        <v>3.86</v>
      </c>
      <c r="M848" s="34">
        <v>42114</v>
      </c>
      <c r="N848">
        <v>3</v>
      </c>
    </row>
    <row r="849" spans="1:14" x14ac:dyDescent="0.2">
      <c r="A849" s="34">
        <v>42492</v>
      </c>
      <c r="B849">
        <v>5.4470980000000004</v>
      </c>
      <c r="C849">
        <f t="shared" si="18"/>
        <v>4</v>
      </c>
      <c r="M849" s="34">
        <v>42111</v>
      </c>
      <c r="N849">
        <v>3.02</v>
      </c>
    </row>
    <row r="850" spans="1:14" x14ac:dyDescent="0.2">
      <c r="A850" s="34">
        <v>42491</v>
      </c>
      <c r="B850">
        <v>5.4483519999999999</v>
      </c>
      <c r="C850">
        <f t="shared" si="18"/>
        <v>3.99</v>
      </c>
      <c r="M850" s="34">
        <v>42110</v>
      </c>
      <c r="N850">
        <v>2.95</v>
      </c>
    </row>
    <row r="851" spans="1:14" x14ac:dyDescent="0.2">
      <c r="A851" s="34">
        <v>42490</v>
      </c>
      <c r="B851">
        <v>5.4496070000000003</v>
      </c>
      <c r="C851">
        <f t="shared" si="18"/>
        <v>3.99</v>
      </c>
      <c r="M851" s="34">
        <v>42109</v>
      </c>
      <c r="N851">
        <v>2.95</v>
      </c>
    </row>
    <row r="852" spans="1:14" x14ac:dyDescent="0.2">
      <c r="A852" s="34">
        <v>42489</v>
      </c>
      <c r="B852">
        <v>5.4508619999999999</v>
      </c>
      <c r="C852">
        <f t="shared" si="18"/>
        <v>3.99</v>
      </c>
      <c r="M852" s="34">
        <v>42108</v>
      </c>
      <c r="N852">
        <v>3</v>
      </c>
    </row>
    <row r="853" spans="1:14" x14ac:dyDescent="0.2">
      <c r="A853" s="34">
        <v>42488</v>
      </c>
      <c r="B853">
        <v>5.4521179999999996</v>
      </c>
      <c r="C853">
        <f t="shared" si="18"/>
        <v>3.9</v>
      </c>
      <c r="M853" s="34">
        <v>42107</v>
      </c>
      <c r="N853">
        <v>3.02</v>
      </c>
    </row>
    <row r="854" spans="1:14" x14ac:dyDescent="0.2">
      <c r="A854" s="34">
        <v>42487</v>
      </c>
      <c r="B854">
        <v>5.453373</v>
      </c>
      <c r="C854">
        <f t="shared" si="18"/>
        <v>3.9</v>
      </c>
      <c r="M854" s="34">
        <v>42104</v>
      </c>
      <c r="N854">
        <v>2.98</v>
      </c>
    </row>
    <row r="855" spans="1:14" x14ac:dyDescent="0.2">
      <c r="A855" s="34">
        <v>42486</v>
      </c>
      <c r="B855">
        <v>5.4546289999999997</v>
      </c>
      <c r="C855">
        <f t="shared" si="18"/>
        <v>3.86</v>
      </c>
      <c r="M855" s="34">
        <v>42103</v>
      </c>
      <c r="N855">
        <v>3</v>
      </c>
    </row>
    <row r="856" spans="1:14" x14ac:dyDescent="0.2">
      <c r="A856" s="34">
        <v>42485</v>
      </c>
      <c r="B856">
        <v>5.4558859999999996</v>
      </c>
      <c r="C856">
        <f t="shared" si="18"/>
        <v>3.75</v>
      </c>
      <c r="M856" s="34">
        <v>42102</v>
      </c>
      <c r="N856">
        <v>2.95</v>
      </c>
    </row>
    <row r="857" spans="1:14" x14ac:dyDescent="0.2">
      <c r="A857" s="34">
        <v>42484</v>
      </c>
      <c r="B857">
        <v>5.4553349999999998</v>
      </c>
      <c r="C857">
        <f t="shared" si="18"/>
        <v>3.75</v>
      </c>
      <c r="M857" s="34">
        <v>42101</v>
      </c>
      <c r="N857">
        <v>3</v>
      </c>
    </row>
    <row r="858" spans="1:14" x14ac:dyDescent="0.2">
      <c r="A858" s="34">
        <v>42483</v>
      </c>
      <c r="B858">
        <v>5.4547850000000002</v>
      </c>
      <c r="C858">
        <f t="shared" si="18"/>
        <v>3.75</v>
      </c>
      <c r="M858" s="34">
        <v>42100</v>
      </c>
      <c r="N858">
        <v>3</v>
      </c>
    </row>
    <row r="859" spans="1:14" x14ac:dyDescent="0.2">
      <c r="A859" s="34">
        <v>42482</v>
      </c>
      <c r="B859">
        <v>5.4542359999999999</v>
      </c>
      <c r="C859">
        <f t="shared" si="18"/>
        <v>3.75</v>
      </c>
      <c r="M859" s="34">
        <v>42095</v>
      </c>
      <c r="N859">
        <v>3.12</v>
      </c>
    </row>
    <row r="860" spans="1:14" x14ac:dyDescent="0.2">
      <c r="A860" s="34">
        <v>42481</v>
      </c>
      <c r="B860">
        <v>5.4536860000000003</v>
      </c>
      <c r="C860">
        <f t="shared" si="18"/>
        <v>3.76</v>
      </c>
      <c r="M860" s="34">
        <v>42094</v>
      </c>
      <c r="N860">
        <v>3.05</v>
      </c>
    </row>
    <row r="861" spans="1:14" x14ac:dyDescent="0.2">
      <c r="A861" s="34">
        <v>42480</v>
      </c>
      <c r="B861">
        <v>5.4531359999999998</v>
      </c>
      <c r="C861">
        <f t="shared" si="18"/>
        <v>3.75</v>
      </c>
      <c r="M861" s="34">
        <v>42093</v>
      </c>
      <c r="N861">
        <v>3</v>
      </c>
    </row>
    <row r="862" spans="1:14" x14ac:dyDescent="0.2">
      <c r="A862" s="34">
        <v>42479</v>
      </c>
      <c r="B862">
        <v>5.4525860000000002</v>
      </c>
      <c r="C862">
        <f t="shared" si="18"/>
        <v>3.74</v>
      </c>
      <c r="M862" s="34">
        <v>42090</v>
      </c>
      <c r="N862">
        <v>3.02</v>
      </c>
    </row>
    <row r="863" spans="1:14" x14ac:dyDescent="0.2">
      <c r="A863" s="34">
        <v>42478</v>
      </c>
      <c r="B863">
        <v>5.4520359999999997</v>
      </c>
      <c r="C863">
        <f t="shared" si="18"/>
        <v>3.76</v>
      </c>
      <c r="M863" s="34">
        <v>42089</v>
      </c>
      <c r="N863">
        <v>3</v>
      </c>
    </row>
    <row r="864" spans="1:14" x14ac:dyDescent="0.2">
      <c r="A864" s="34">
        <v>42477</v>
      </c>
      <c r="B864">
        <v>5.4514870000000002</v>
      </c>
      <c r="C864">
        <f t="shared" si="18"/>
        <v>3.75</v>
      </c>
      <c r="M864" s="34">
        <v>42088</v>
      </c>
      <c r="N864">
        <v>3.04</v>
      </c>
    </row>
    <row r="865" spans="1:14" x14ac:dyDescent="0.2">
      <c r="A865" s="34">
        <v>42476</v>
      </c>
      <c r="B865">
        <v>5.4509369999999997</v>
      </c>
      <c r="C865">
        <f t="shared" si="18"/>
        <v>3.75</v>
      </c>
      <c r="M865" s="34">
        <v>42087</v>
      </c>
      <c r="N865">
        <v>2.95</v>
      </c>
    </row>
    <row r="866" spans="1:14" x14ac:dyDescent="0.2">
      <c r="A866" s="34">
        <v>42475</v>
      </c>
      <c r="B866">
        <v>5.4503870000000001</v>
      </c>
      <c r="C866">
        <f t="shared" si="18"/>
        <v>3.75</v>
      </c>
      <c r="M866" s="34">
        <v>42086</v>
      </c>
      <c r="N866">
        <v>3.07</v>
      </c>
    </row>
    <row r="867" spans="1:14" x14ac:dyDescent="0.2">
      <c r="A867" s="34">
        <v>42474</v>
      </c>
      <c r="B867">
        <v>5.4498379999999997</v>
      </c>
      <c r="C867">
        <f t="shared" si="18"/>
        <v>3.76</v>
      </c>
      <c r="M867" s="34">
        <v>42083</v>
      </c>
      <c r="N867">
        <v>3</v>
      </c>
    </row>
    <row r="868" spans="1:14" x14ac:dyDescent="0.2">
      <c r="A868" s="34">
        <v>42473</v>
      </c>
      <c r="B868">
        <v>5.4492890000000003</v>
      </c>
      <c r="C868">
        <f t="shared" si="18"/>
        <v>3.72</v>
      </c>
      <c r="M868" s="34">
        <v>42082</v>
      </c>
      <c r="N868">
        <v>2.98</v>
      </c>
    </row>
    <row r="869" spans="1:14" x14ac:dyDescent="0.2">
      <c r="A869" s="34">
        <v>42472</v>
      </c>
      <c r="B869">
        <v>5.4487389999999998</v>
      </c>
      <c r="C869">
        <f t="shared" si="18"/>
        <v>3.76</v>
      </c>
      <c r="M869" s="34">
        <v>42081</v>
      </c>
      <c r="N869">
        <v>3.03</v>
      </c>
    </row>
    <row r="870" spans="1:14" x14ac:dyDescent="0.2">
      <c r="A870" s="34">
        <v>42471</v>
      </c>
      <c r="B870">
        <v>5.4481900000000003</v>
      </c>
      <c r="C870">
        <f t="shared" si="18"/>
        <v>3.74</v>
      </c>
      <c r="M870" s="34">
        <v>42080</v>
      </c>
      <c r="N870">
        <v>3.11</v>
      </c>
    </row>
    <row r="871" spans="1:14" x14ac:dyDescent="0.2">
      <c r="A871" s="34">
        <v>42470</v>
      </c>
      <c r="B871">
        <v>5.447641</v>
      </c>
      <c r="C871">
        <f t="shared" si="18"/>
        <v>3.67</v>
      </c>
      <c r="M871" s="34">
        <v>42076</v>
      </c>
      <c r="N871">
        <v>2.9</v>
      </c>
    </row>
    <row r="872" spans="1:14" x14ac:dyDescent="0.2">
      <c r="A872" s="34">
        <v>42469</v>
      </c>
      <c r="B872">
        <v>5.4473130000000003</v>
      </c>
      <c r="C872">
        <f t="shared" si="18"/>
        <v>3.67</v>
      </c>
      <c r="M872" s="34">
        <v>42075</v>
      </c>
      <c r="N872">
        <v>3.01</v>
      </c>
    </row>
    <row r="873" spans="1:14" x14ac:dyDescent="0.2">
      <c r="A873" s="34">
        <v>42468</v>
      </c>
      <c r="B873">
        <v>5.4469849999999997</v>
      </c>
      <c r="C873">
        <f t="shared" si="18"/>
        <v>3.67</v>
      </c>
      <c r="M873" s="34">
        <v>42074</v>
      </c>
      <c r="N873">
        <v>3.1</v>
      </c>
    </row>
    <row r="874" spans="1:14" x14ac:dyDescent="0.2">
      <c r="A874" s="34">
        <v>42467</v>
      </c>
      <c r="B874">
        <v>5.4466580000000002</v>
      </c>
      <c r="C874">
        <f t="shared" si="18"/>
        <v>3.66</v>
      </c>
      <c r="M874" s="34">
        <v>42073</v>
      </c>
      <c r="N874">
        <v>3.09</v>
      </c>
    </row>
    <row r="875" spans="1:14" x14ac:dyDescent="0.2">
      <c r="A875" s="34">
        <v>42466</v>
      </c>
      <c r="B875">
        <v>5.4463299999999997</v>
      </c>
      <c r="C875">
        <f t="shared" si="18"/>
        <v>3.68</v>
      </c>
      <c r="M875" s="34">
        <v>42072</v>
      </c>
      <c r="N875">
        <v>3</v>
      </c>
    </row>
    <row r="876" spans="1:14" x14ac:dyDescent="0.2">
      <c r="A876" s="34">
        <v>42465</v>
      </c>
      <c r="B876">
        <v>5.4460030000000001</v>
      </c>
      <c r="C876">
        <f t="shared" si="18"/>
        <v>3.73</v>
      </c>
      <c r="M876" s="34">
        <v>42069</v>
      </c>
      <c r="N876">
        <v>2.95</v>
      </c>
    </row>
    <row r="877" spans="1:14" x14ac:dyDescent="0.2">
      <c r="A877" s="34">
        <v>42464</v>
      </c>
      <c r="B877">
        <v>5.4456749999999996</v>
      </c>
      <c r="C877">
        <f t="shared" si="18"/>
        <v>3.78</v>
      </c>
      <c r="M877" s="34">
        <v>42068</v>
      </c>
      <c r="N877">
        <v>3</v>
      </c>
    </row>
    <row r="878" spans="1:14" x14ac:dyDescent="0.2">
      <c r="A878" s="34">
        <v>42463</v>
      </c>
      <c r="B878">
        <v>5.4453480000000001</v>
      </c>
      <c r="C878">
        <f t="shared" si="18"/>
        <v>3.76</v>
      </c>
      <c r="M878" s="34">
        <v>42067</v>
      </c>
      <c r="N878">
        <v>2.95</v>
      </c>
    </row>
    <row r="879" spans="1:14" x14ac:dyDescent="0.2">
      <c r="A879" s="34">
        <v>42462</v>
      </c>
      <c r="B879">
        <v>5.4450209999999997</v>
      </c>
      <c r="C879">
        <f t="shared" si="18"/>
        <v>3.76</v>
      </c>
      <c r="M879" s="34">
        <v>42066</v>
      </c>
      <c r="N879">
        <v>2.98</v>
      </c>
    </row>
    <row r="880" spans="1:14" x14ac:dyDescent="0.2">
      <c r="A880" s="34">
        <v>42461</v>
      </c>
      <c r="B880">
        <v>5.444693</v>
      </c>
      <c r="C880">
        <f t="shared" si="18"/>
        <v>3.76</v>
      </c>
      <c r="M880" s="34">
        <v>42065</v>
      </c>
      <c r="N880">
        <v>3.05</v>
      </c>
    </row>
    <row r="881" spans="1:14" x14ac:dyDescent="0.2">
      <c r="A881" s="34">
        <v>42460</v>
      </c>
      <c r="B881">
        <v>5.4443659999999996</v>
      </c>
      <c r="C881">
        <f t="shared" si="18"/>
        <v>3.81</v>
      </c>
      <c r="M881" s="34">
        <v>42062</v>
      </c>
      <c r="N881">
        <v>3</v>
      </c>
    </row>
    <row r="882" spans="1:14" x14ac:dyDescent="0.2">
      <c r="A882" s="34">
        <v>42459</v>
      </c>
      <c r="B882">
        <v>5.4440379999999999</v>
      </c>
      <c r="C882">
        <f t="shared" si="18"/>
        <v>3.7</v>
      </c>
      <c r="M882" s="34">
        <v>42061</v>
      </c>
      <c r="N882">
        <v>3.03</v>
      </c>
    </row>
    <row r="883" spans="1:14" x14ac:dyDescent="0.2">
      <c r="A883" s="34">
        <v>42458</v>
      </c>
      <c r="B883">
        <v>5.4437110000000004</v>
      </c>
      <c r="C883">
        <f t="shared" si="18"/>
        <v>3.7</v>
      </c>
      <c r="M883" s="34">
        <v>42060</v>
      </c>
      <c r="N883">
        <v>3.02</v>
      </c>
    </row>
    <row r="884" spans="1:14" x14ac:dyDescent="0.2">
      <c r="A884" s="34">
        <v>42457</v>
      </c>
      <c r="B884">
        <v>5.443384</v>
      </c>
      <c r="C884">
        <f t="shared" si="18"/>
        <v>3.8</v>
      </c>
      <c r="M884" s="34">
        <v>42059</v>
      </c>
      <c r="N884">
        <v>3.03</v>
      </c>
    </row>
    <row r="885" spans="1:14" x14ac:dyDescent="0.2">
      <c r="A885" s="34">
        <v>42456</v>
      </c>
      <c r="B885">
        <v>5.4430560000000003</v>
      </c>
      <c r="C885">
        <f t="shared" si="18"/>
        <v>3.81</v>
      </c>
      <c r="M885" s="34">
        <v>42058</v>
      </c>
      <c r="N885">
        <v>3.02</v>
      </c>
    </row>
    <row r="886" spans="1:14" x14ac:dyDescent="0.2">
      <c r="A886" s="34">
        <v>42455</v>
      </c>
      <c r="B886">
        <v>5.4427289999999999</v>
      </c>
      <c r="C886">
        <f t="shared" si="18"/>
        <v>3.81</v>
      </c>
      <c r="M886" s="34">
        <v>42055</v>
      </c>
      <c r="N886">
        <v>2.9</v>
      </c>
    </row>
    <row r="887" spans="1:14" x14ac:dyDescent="0.2">
      <c r="A887" s="34">
        <v>42454</v>
      </c>
      <c r="B887">
        <v>5.4424020000000004</v>
      </c>
      <c r="C887">
        <f t="shared" si="18"/>
        <v>3.81</v>
      </c>
      <c r="M887" s="34">
        <v>42054</v>
      </c>
      <c r="N887">
        <v>3.03</v>
      </c>
    </row>
    <row r="888" spans="1:14" x14ac:dyDescent="0.2">
      <c r="A888" s="34">
        <v>42453</v>
      </c>
      <c r="B888">
        <v>5.4425809999999997</v>
      </c>
      <c r="C888">
        <f t="shared" si="18"/>
        <v>3.81</v>
      </c>
      <c r="M888" s="34">
        <v>42053</v>
      </c>
      <c r="N888">
        <v>3.02</v>
      </c>
    </row>
    <row r="889" spans="1:14" x14ac:dyDescent="0.2">
      <c r="A889" s="34">
        <v>42452</v>
      </c>
      <c r="B889">
        <v>5.4427599999999998</v>
      </c>
      <c r="C889">
        <f t="shared" si="18"/>
        <v>3.81</v>
      </c>
      <c r="M889" s="34">
        <v>42052</v>
      </c>
      <c r="N889">
        <v>3.06</v>
      </c>
    </row>
    <row r="890" spans="1:14" x14ac:dyDescent="0.2">
      <c r="A890" s="34">
        <v>42451</v>
      </c>
      <c r="B890">
        <v>5.442939</v>
      </c>
      <c r="C890">
        <f t="shared" si="18"/>
        <v>3.79</v>
      </c>
      <c r="M890" s="34">
        <v>42051</v>
      </c>
      <c r="N890">
        <v>3</v>
      </c>
    </row>
    <row r="891" spans="1:14" x14ac:dyDescent="0.2">
      <c r="A891" s="34">
        <v>42450</v>
      </c>
      <c r="B891">
        <v>5.4431190000000003</v>
      </c>
      <c r="C891">
        <f t="shared" si="18"/>
        <v>3.84</v>
      </c>
      <c r="M891" s="34">
        <v>42048</v>
      </c>
      <c r="N891">
        <v>3.01</v>
      </c>
    </row>
    <row r="892" spans="1:14" x14ac:dyDescent="0.2">
      <c r="A892" s="34">
        <v>42449</v>
      </c>
      <c r="B892">
        <v>5.4432980000000004</v>
      </c>
      <c r="C892">
        <f t="shared" si="18"/>
        <v>3.84</v>
      </c>
      <c r="M892" s="34">
        <v>42047</v>
      </c>
      <c r="N892">
        <v>2.9</v>
      </c>
    </row>
    <row r="893" spans="1:14" x14ac:dyDescent="0.2">
      <c r="A893" s="34">
        <v>42448</v>
      </c>
      <c r="B893">
        <v>5.4434769999999997</v>
      </c>
      <c r="C893">
        <f t="shared" si="18"/>
        <v>3.84</v>
      </c>
      <c r="M893" s="34">
        <v>42046</v>
      </c>
      <c r="N893">
        <v>3.09</v>
      </c>
    </row>
    <row r="894" spans="1:14" x14ac:dyDescent="0.2">
      <c r="A894" s="34">
        <v>42447</v>
      </c>
      <c r="B894">
        <v>5.4436559999999998</v>
      </c>
      <c r="C894">
        <f t="shared" si="18"/>
        <v>3.84</v>
      </c>
      <c r="M894" s="34">
        <v>42045</v>
      </c>
      <c r="N894">
        <v>3</v>
      </c>
    </row>
    <row r="895" spans="1:14" x14ac:dyDescent="0.2">
      <c r="A895" s="34">
        <v>42446</v>
      </c>
      <c r="B895">
        <v>5.443835</v>
      </c>
      <c r="C895">
        <f t="shared" si="18"/>
        <v>3.79</v>
      </c>
      <c r="M895" s="34">
        <v>42044</v>
      </c>
      <c r="N895">
        <v>3</v>
      </c>
    </row>
    <row r="896" spans="1:14" x14ac:dyDescent="0.2">
      <c r="A896" s="34">
        <v>42445</v>
      </c>
      <c r="B896">
        <v>5.4440140000000001</v>
      </c>
      <c r="C896">
        <f t="shared" si="18"/>
        <v>3.85</v>
      </c>
      <c r="M896" s="34">
        <v>42041</v>
      </c>
      <c r="N896">
        <v>3</v>
      </c>
    </row>
    <row r="897" spans="1:14" x14ac:dyDescent="0.2">
      <c r="A897" s="34">
        <v>42444</v>
      </c>
      <c r="B897">
        <v>5.4441940000000004</v>
      </c>
      <c r="C897">
        <f t="shared" si="18"/>
        <v>3.75</v>
      </c>
      <c r="M897" s="34">
        <v>42040</v>
      </c>
      <c r="N897">
        <v>3</v>
      </c>
    </row>
    <row r="898" spans="1:14" x14ac:dyDescent="0.2">
      <c r="A898" s="34">
        <v>42443</v>
      </c>
      <c r="B898">
        <v>5.4443729999999997</v>
      </c>
      <c r="C898">
        <f t="shared" ref="C898:C961" si="19">IFERROR(VLOOKUP(A898,$M$2:$N$3695,2,0),C899)</f>
        <v>3.8</v>
      </c>
      <c r="M898" s="34">
        <v>42039</v>
      </c>
      <c r="N898">
        <v>2.95</v>
      </c>
    </row>
    <row r="899" spans="1:14" x14ac:dyDescent="0.2">
      <c r="A899" s="34">
        <v>42442</v>
      </c>
      <c r="B899">
        <v>5.4445519999999998</v>
      </c>
      <c r="C899">
        <f t="shared" si="19"/>
        <v>3.75</v>
      </c>
      <c r="M899" s="34">
        <v>42038</v>
      </c>
      <c r="N899">
        <v>3.04</v>
      </c>
    </row>
    <row r="900" spans="1:14" x14ac:dyDescent="0.2">
      <c r="A900" s="34">
        <v>42441</v>
      </c>
      <c r="B900">
        <v>5.444731</v>
      </c>
      <c r="C900">
        <f t="shared" si="19"/>
        <v>3.75</v>
      </c>
      <c r="M900" s="34">
        <v>42034</v>
      </c>
      <c r="N900">
        <v>3</v>
      </c>
    </row>
    <row r="901" spans="1:14" x14ac:dyDescent="0.2">
      <c r="A901" s="34">
        <v>42440</v>
      </c>
      <c r="B901">
        <v>5.4449100000000001</v>
      </c>
      <c r="C901">
        <f t="shared" si="19"/>
        <v>3.75</v>
      </c>
      <c r="M901" s="34">
        <v>42033</v>
      </c>
      <c r="N901">
        <v>2.9</v>
      </c>
    </row>
    <row r="902" spans="1:14" x14ac:dyDescent="0.2">
      <c r="A902" s="34">
        <v>42439</v>
      </c>
      <c r="B902">
        <v>5.4450900000000004</v>
      </c>
      <c r="C902">
        <f t="shared" si="19"/>
        <v>3.75</v>
      </c>
      <c r="M902" s="34">
        <v>42032</v>
      </c>
      <c r="N902">
        <v>3.03</v>
      </c>
    </row>
    <row r="903" spans="1:14" x14ac:dyDescent="0.2">
      <c r="A903" s="34">
        <v>42438</v>
      </c>
      <c r="B903">
        <v>5.4439820000000001</v>
      </c>
      <c r="C903">
        <f t="shared" si="19"/>
        <v>3.76</v>
      </c>
      <c r="M903" s="34">
        <v>42031</v>
      </c>
      <c r="N903">
        <v>2.95</v>
      </c>
    </row>
    <row r="904" spans="1:14" x14ac:dyDescent="0.2">
      <c r="A904" s="34">
        <v>42437</v>
      </c>
      <c r="B904">
        <v>5.4428739999999998</v>
      </c>
      <c r="C904">
        <f t="shared" si="19"/>
        <v>3.76</v>
      </c>
      <c r="M904" s="34">
        <v>42030</v>
      </c>
      <c r="N904">
        <v>2.95</v>
      </c>
    </row>
    <row r="905" spans="1:14" x14ac:dyDescent="0.2">
      <c r="A905" s="34">
        <v>42436</v>
      </c>
      <c r="B905">
        <v>5.4417669999999996</v>
      </c>
      <c r="C905">
        <f t="shared" si="19"/>
        <v>3.78</v>
      </c>
      <c r="M905" s="34">
        <v>42027</v>
      </c>
      <c r="N905">
        <v>3.03</v>
      </c>
    </row>
    <row r="906" spans="1:14" x14ac:dyDescent="0.2">
      <c r="A906" s="34">
        <v>42435</v>
      </c>
      <c r="B906">
        <v>5.4406600000000003</v>
      </c>
      <c r="C906">
        <f t="shared" si="19"/>
        <v>3.8</v>
      </c>
      <c r="M906" s="34">
        <v>42026</v>
      </c>
      <c r="N906">
        <v>2.8</v>
      </c>
    </row>
    <row r="907" spans="1:14" x14ac:dyDescent="0.2">
      <c r="A907" s="34">
        <v>42434</v>
      </c>
      <c r="B907">
        <v>5.4395530000000001</v>
      </c>
      <c r="C907">
        <f t="shared" si="19"/>
        <v>3.8</v>
      </c>
      <c r="M907" s="34">
        <v>42025</v>
      </c>
      <c r="N907">
        <v>2.8</v>
      </c>
    </row>
    <row r="908" spans="1:14" x14ac:dyDescent="0.2">
      <c r="A908" s="34">
        <v>42433</v>
      </c>
      <c r="B908">
        <v>5.4384459999999999</v>
      </c>
      <c r="C908">
        <f t="shared" si="19"/>
        <v>3.8</v>
      </c>
      <c r="M908" s="34">
        <v>42024</v>
      </c>
      <c r="N908">
        <v>2.95</v>
      </c>
    </row>
    <row r="909" spans="1:14" x14ac:dyDescent="0.2">
      <c r="A909" s="34">
        <v>42432</v>
      </c>
      <c r="B909">
        <v>5.4373399999999998</v>
      </c>
      <c r="C909">
        <f t="shared" si="19"/>
        <v>3.8</v>
      </c>
      <c r="M909" s="34">
        <v>42023</v>
      </c>
      <c r="N909">
        <v>2.98</v>
      </c>
    </row>
    <row r="910" spans="1:14" x14ac:dyDescent="0.2">
      <c r="A910" s="34">
        <v>42431</v>
      </c>
      <c r="B910">
        <v>5.4362339999999998</v>
      </c>
      <c r="C910">
        <f t="shared" si="19"/>
        <v>3.74</v>
      </c>
      <c r="M910" s="34">
        <v>42020</v>
      </c>
      <c r="N910">
        <v>2.98</v>
      </c>
    </row>
    <row r="911" spans="1:14" x14ac:dyDescent="0.2">
      <c r="A911" s="34">
        <v>42430</v>
      </c>
      <c r="B911">
        <v>5.4351279999999997</v>
      </c>
      <c r="C911">
        <f t="shared" si="19"/>
        <v>3.83</v>
      </c>
      <c r="M911" s="34">
        <v>42019</v>
      </c>
      <c r="N911">
        <v>3</v>
      </c>
    </row>
    <row r="912" spans="1:14" x14ac:dyDescent="0.2">
      <c r="A912" s="34">
        <v>42429</v>
      </c>
      <c r="B912">
        <v>5.4340219999999997</v>
      </c>
      <c r="C912">
        <f t="shared" si="19"/>
        <v>3.92</v>
      </c>
      <c r="M912" s="34">
        <v>42018</v>
      </c>
      <c r="N912">
        <v>3</v>
      </c>
    </row>
    <row r="913" spans="1:14" x14ac:dyDescent="0.2">
      <c r="A913" s="34">
        <v>42428</v>
      </c>
      <c r="B913">
        <v>5.4329169999999998</v>
      </c>
      <c r="C913">
        <f t="shared" si="19"/>
        <v>3.81</v>
      </c>
      <c r="M913" s="34">
        <v>42017</v>
      </c>
      <c r="N913">
        <v>3.02</v>
      </c>
    </row>
    <row r="914" spans="1:14" x14ac:dyDescent="0.2">
      <c r="A914" s="34">
        <v>42427</v>
      </c>
      <c r="B914">
        <v>5.4318119999999999</v>
      </c>
      <c r="C914">
        <f t="shared" si="19"/>
        <v>3.81</v>
      </c>
      <c r="M914" s="34">
        <v>42016</v>
      </c>
      <c r="N914">
        <v>2.95</v>
      </c>
    </row>
    <row r="915" spans="1:14" x14ac:dyDescent="0.2">
      <c r="A915" s="34">
        <v>42426</v>
      </c>
      <c r="B915">
        <v>5.4307059999999998</v>
      </c>
      <c r="C915">
        <f t="shared" si="19"/>
        <v>3.81</v>
      </c>
      <c r="M915" s="34">
        <v>42013</v>
      </c>
      <c r="N915">
        <v>3.03</v>
      </c>
    </row>
    <row r="916" spans="1:14" x14ac:dyDescent="0.2">
      <c r="A916" s="34">
        <v>42425</v>
      </c>
      <c r="B916">
        <v>5.429602</v>
      </c>
      <c r="C916">
        <f t="shared" si="19"/>
        <v>3.71</v>
      </c>
      <c r="M916" s="34">
        <v>42012</v>
      </c>
      <c r="N916">
        <v>3.03</v>
      </c>
    </row>
    <row r="917" spans="1:14" x14ac:dyDescent="0.2">
      <c r="A917" s="34">
        <v>42424</v>
      </c>
      <c r="B917">
        <v>5.4283239999999999</v>
      </c>
      <c r="C917">
        <f t="shared" si="19"/>
        <v>3.75</v>
      </c>
      <c r="M917" s="34">
        <v>42011</v>
      </c>
      <c r="N917">
        <v>3</v>
      </c>
    </row>
    <row r="918" spans="1:14" x14ac:dyDescent="0.2">
      <c r="A918" s="34">
        <v>42423</v>
      </c>
      <c r="B918">
        <v>5.427047</v>
      </c>
      <c r="C918">
        <f t="shared" si="19"/>
        <v>3.78</v>
      </c>
      <c r="M918" s="34">
        <v>42010</v>
      </c>
      <c r="N918">
        <v>2.99</v>
      </c>
    </row>
    <row r="919" spans="1:14" x14ac:dyDescent="0.2">
      <c r="A919" s="34">
        <v>42422</v>
      </c>
      <c r="B919">
        <v>5.42577</v>
      </c>
      <c r="C919">
        <f t="shared" si="19"/>
        <v>3.85</v>
      </c>
      <c r="M919" s="34">
        <v>42009</v>
      </c>
      <c r="N919">
        <v>2.98</v>
      </c>
    </row>
    <row r="920" spans="1:14" x14ac:dyDescent="0.2">
      <c r="A920" s="34">
        <v>42421</v>
      </c>
      <c r="B920">
        <v>5.424493</v>
      </c>
      <c r="C920">
        <f t="shared" si="19"/>
        <v>3.84</v>
      </c>
      <c r="M920" s="34">
        <v>42006</v>
      </c>
      <c r="N920">
        <v>3.04</v>
      </c>
    </row>
    <row r="921" spans="1:14" x14ac:dyDescent="0.2">
      <c r="A921" s="34">
        <v>42420</v>
      </c>
      <c r="B921">
        <v>5.4232170000000002</v>
      </c>
      <c r="C921">
        <f t="shared" si="19"/>
        <v>3.84</v>
      </c>
      <c r="M921" s="34">
        <v>42004</v>
      </c>
      <c r="N921">
        <v>3</v>
      </c>
    </row>
    <row r="922" spans="1:14" x14ac:dyDescent="0.2">
      <c r="A922" s="34">
        <v>42419</v>
      </c>
      <c r="B922">
        <v>5.4219410000000003</v>
      </c>
      <c r="C922">
        <f t="shared" si="19"/>
        <v>3.84</v>
      </c>
      <c r="M922" s="34">
        <v>42003</v>
      </c>
      <c r="N922">
        <v>3.06</v>
      </c>
    </row>
    <row r="923" spans="1:14" x14ac:dyDescent="0.2">
      <c r="A923" s="34">
        <v>42418</v>
      </c>
      <c r="B923">
        <v>5.4206649999999996</v>
      </c>
      <c r="C923">
        <f t="shared" si="19"/>
        <v>3.82</v>
      </c>
      <c r="M923" s="34">
        <v>42002</v>
      </c>
      <c r="N923">
        <v>2.98</v>
      </c>
    </row>
    <row r="924" spans="1:14" x14ac:dyDescent="0.2">
      <c r="A924" s="34">
        <v>42417</v>
      </c>
      <c r="B924">
        <v>5.4193889999999998</v>
      </c>
      <c r="C924">
        <f t="shared" si="19"/>
        <v>3.22</v>
      </c>
      <c r="M924" s="34">
        <v>41999</v>
      </c>
      <c r="N924">
        <v>2.9</v>
      </c>
    </row>
    <row r="925" spans="1:14" x14ac:dyDescent="0.2">
      <c r="A925" s="34">
        <v>42416</v>
      </c>
      <c r="B925">
        <v>5.4181140000000001</v>
      </c>
      <c r="C925">
        <f t="shared" si="19"/>
        <v>3.25</v>
      </c>
      <c r="M925" s="34">
        <v>41997</v>
      </c>
      <c r="N925">
        <v>2.98</v>
      </c>
    </row>
    <row r="926" spans="1:14" x14ac:dyDescent="0.2">
      <c r="A926" s="34">
        <v>42415</v>
      </c>
      <c r="B926">
        <v>5.4168390000000004</v>
      </c>
      <c r="C926">
        <f t="shared" si="19"/>
        <v>3.24</v>
      </c>
      <c r="M926" s="34">
        <v>41996</v>
      </c>
      <c r="N926">
        <v>3.1</v>
      </c>
    </row>
    <row r="927" spans="1:14" x14ac:dyDescent="0.2">
      <c r="A927" s="34">
        <v>42414</v>
      </c>
      <c r="B927">
        <v>5.415565</v>
      </c>
      <c r="C927">
        <f t="shared" si="19"/>
        <v>3.28</v>
      </c>
      <c r="M927" s="34">
        <v>41995</v>
      </c>
      <c r="N927">
        <v>2.99</v>
      </c>
    </row>
    <row r="928" spans="1:14" x14ac:dyDescent="0.2">
      <c r="A928" s="34">
        <v>42413</v>
      </c>
      <c r="B928">
        <v>5.4142910000000004</v>
      </c>
      <c r="C928">
        <f t="shared" si="19"/>
        <v>3.28</v>
      </c>
      <c r="M928" s="34">
        <v>41992</v>
      </c>
      <c r="N928">
        <v>2.9</v>
      </c>
    </row>
    <row r="929" spans="1:14" x14ac:dyDescent="0.2">
      <c r="A929" s="34">
        <v>42412</v>
      </c>
      <c r="B929">
        <v>5.413017</v>
      </c>
      <c r="C929">
        <f t="shared" si="19"/>
        <v>3.28</v>
      </c>
      <c r="M929" s="34">
        <v>41991</v>
      </c>
      <c r="N929">
        <v>3.05</v>
      </c>
    </row>
    <row r="930" spans="1:14" x14ac:dyDescent="0.2">
      <c r="A930" s="34">
        <v>42411</v>
      </c>
      <c r="B930">
        <v>5.4117430000000004</v>
      </c>
      <c r="C930">
        <f t="shared" si="19"/>
        <v>3.26</v>
      </c>
      <c r="M930" s="34">
        <v>41990</v>
      </c>
      <c r="N930">
        <v>3.01</v>
      </c>
    </row>
    <row r="931" spans="1:14" x14ac:dyDescent="0.2">
      <c r="A931" s="34">
        <v>42410</v>
      </c>
      <c r="B931">
        <v>5.4104700000000001</v>
      </c>
      <c r="C931">
        <f t="shared" si="19"/>
        <v>3.23</v>
      </c>
      <c r="M931" s="34">
        <v>41989</v>
      </c>
      <c r="N931">
        <v>3.01</v>
      </c>
    </row>
    <row r="932" spans="1:14" x14ac:dyDescent="0.2">
      <c r="A932" s="34">
        <v>42409</v>
      </c>
      <c r="B932">
        <v>5.4103779999999997</v>
      </c>
      <c r="C932">
        <f t="shared" si="19"/>
        <v>3.21</v>
      </c>
      <c r="M932" s="34">
        <v>41988</v>
      </c>
      <c r="N932">
        <v>3</v>
      </c>
    </row>
    <row r="933" spans="1:14" x14ac:dyDescent="0.2">
      <c r="A933" s="34">
        <v>42408</v>
      </c>
      <c r="B933">
        <v>5.4102870000000003</v>
      </c>
      <c r="C933">
        <f t="shared" si="19"/>
        <v>3.27</v>
      </c>
      <c r="M933" s="34">
        <v>41984</v>
      </c>
      <c r="N933">
        <v>3</v>
      </c>
    </row>
    <row r="934" spans="1:14" x14ac:dyDescent="0.2">
      <c r="A934" s="34">
        <v>42407</v>
      </c>
      <c r="B934">
        <v>5.410196</v>
      </c>
      <c r="C934">
        <f t="shared" si="19"/>
        <v>3.25</v>
      </c>
      <c r="M934" s="34">
        <v>41983</v>
      </c>
      <c r="N934">
        <v>3</v>
      </c>
    </row>
    <row r="935" spans="1:14" x14ac:dyDescent="0.2">
      <c r="A935" s="34">
        <v>42406</v>
      </c>
      <c r="B935">
        <v>5.4101049999999997</v>
      </c>
      <c r="C935">
        <f t="shared" si="19"/>
        <v>3.25</v>
      </c>
      <c r="M935" s="34">
        <v>41982</v>
      </c>
      <c r="N935">
        <v>3.03</v>
      </c>
    </row>
    <row r="936" spans="1:14" x14ac:dyDescent="0.2">
      <c r="A936" s="34">
        <v>42405</v>
      </c>
      <c r="B936">
        <v>5.4100140000000003</v>
      </c>
      <c r="C936">
        <f t="shared" si="19"/>
        <v>3.25</v>
      </c>
      <c r="M936" s="34">
        <v>41981</v>
      </c>
      <c r="N936">
        <v>3</v>
      </c>
    </row>
    <row r="937" spans="1:14" x14ac:dyDescent="0.2">
      <c r="A937" s="34">
        <v>42404</v>
      </c>
      <c r="B937">
        <v>5.409923</v>
      </c>
      <c r="C937">
        <f t="shared" si="19"/>
        <v>3.26</v>
      </c>
      <c r="M937" s="34">
        <v>41978</v>
      </c>
      <c r="N937">
        <v>2.97</v>
      </c>
    </row>
    <row r="938" spans="1:14" x14ac:dyDescent="0.2">
      <c r="A938" s="34">
        <v>42403</v>
      </c>
      <c r="B938">
        <v>5.4098319999999998</v>
      </c>
      <c r="C938">
        <f t="shared" si="19"/>
        <v>3.27</v>
      </c>
      <c r="M938" s="34">
        <v>41977</v>
      </c>
      <c r="N938">
        <v>3</v>
      </c>
    </row>
    <row r="939" spans="1:14" x14ac:dyDescent="0.2">
      <c r="A939" s="34">
        <v>42402</v>
      </c>
      <c r="B939">
        <v>5.4097410000000004</v>
      </c>
      <c r="C939">
        <f t="shared" si="19"/>
        <v>3.29</v>
      </c>
      <c r="M939" s="34">
        <v>41976</v>
      </c>
      <c r="N939">
        <v>2.97</v>
      </c>
    </row>
    <row r="940" spans="1:14" x14ac:dyDescent="0.2">
      <c r="A940" s="34">
        <v>42401</v>
      </c>
      <c r="B940">
        <v>5.4096500000000001</v>
      </c>
      <c r="C940">
        <f t="shared" si="19"/>
        <v>3.28</v>
      </c>
      <c r="M940" s="34">
        <v>41975</v>
      </c>
      <c r="N940">
        <v>2.97</v>
      </c>
    </row>
    <row r="941" spans="1:14" x14ac:dyDescent="0.2">
      <c r="A941" s="34">
        <v>42400</v>
      </c>
      <c r="B941">
        <v>5.4095579999999996</v>
      </c>
      <c r="C941">
        <f t="shared" si="19"/>
        <v>3.28</v>
      </c>
      <c r="M941" s="34">
        <v>41974</v>
      </c>
      <c r="N941">
        <v>3.02</v>
      </c>
    </row>
    <row r="942" spans="1:14" x14ac:dyDescent="0.2">
      <c r="A942" s="34">
        <v>42399</v>
      </c>
      <c r="B942">
        <v>5.4094670000000002</v>
      </c>
      <c r="C942">
        <f t="shared" si="19"/>
        <v>3.28</v>
      </c>
      <c r="M942" s="34">
        <v>41971</v>
      </c>
      <c r="N942">
        <v>2.95</v>
      </c>
    </row>
    <row r="943" spans="1:14" x14ac:dyDescent="0.2">
      <c r="A943" s="34">
        <v>42398</v>
      </c>
      <c r="B943">
        <v>5.409376</v>
      </c>
      <c r="C943">
        <f t="shared" si="19"/>
        <v>3.28</v>
      </c>
      <c r="M943" s="34">
        <v>41970</v>
      </c>
      <c r="N943">
        <v>3.02</v>
      </c>
    </row>
    <row r="944" spans="1:14" x14ac:dyDescent="0.2">
      <c r="A944" s="34">
        <v>42397</v>
      </c>
      <c r="B944">
        <v>5.4092849999999997</v>
      </c>
      <c r="C944">
        <f t="shared" si="19"/>
        <v>3.25</v>
      </c>
      <c r="M944" s="34">
        <v>41969</v>
      </c>
      <c r="N944">
        <v>3</v>
      </c>
    </row>
    <row r="945" spans="1:14" x14ac:dyDescent="0.2">
      <c r="A945" s="34">
        <v>42396</v>
      </c>
      <c r="B945">
        <v>5.4091940000000003</v>
      </c>
      <c r="C945">
        <f t="shared" si="19"/>
        <v>3.3</v>
      </c>
      <c r="M945" s="34">
        <v>41968</v>
      </c>
      <c r="N945">
        <v>3.02</v>
      </c>
    </row>
    <row r="946" spans="1:14" x14ac:dyDescent="0.2">
      <c r="A946" s="34">
        <v>42395</v>
      </c>
      <c r="B946">
        <v>5.409103</v>
      </c>
      <c r="C946">
        <f t="shared" si="19"/>
        <v>3.24</v>
      </c>
      <c r="M946" s="34">
        <v>41967</v>
      </c>
      <c r="N946">
        <v>3</v>
      </c>
    </row>
    <row r="947" spans="1:14" x14ac:dyDescent="0.2">
      <c r="A947" s="34">
        <v>42394</v>
      </c>
      <c r="B947">
        <v>5.4090119999999997</v>
      </c>
      <c r="C947">
        <f t="shared" si="19"/>
        <v>3.23</v>
      </c>
      <c r="M947" s="34">
        <v>41964</v>
      </c>
      <c r="N947">
        <v>3.04</v>
      </c>
    </row>
    <row r="948" spans="1:14" x14ac:dyDescent="0.2">
      <c r="A948" s="34">
        <v>42393</v>
      </c>
      <c r="B948">
        <v>5.4077310000000001</v>
      </c>
      <c r="C948">
        <f t="shared" si="19"/>
        <v>3.26</v>
      </c>
      <c r="M948" s="34">
        <v>41963</v>
      </c>
      <c r="N948">
        <v>2.92</v>
      </c>
    </row>
    <row r="949" spans="1:14" x14ac:dyDescent="0.2">
      <c r="A949" s="34">
        <v>42392</v>
      </c>
      <c r="B949">
        <v>5.4064509999999997</v>
      </c>
      <c r="C949">
        <f t="shared" si="19"/>
        <v>3.26</v>
      </c>
      <c r="M949" s="34">
        <v>41962</v>
      </c>
      <c r="N949">
        <v>3.03</v>
      </c>
    </row>
    <row r="950" spans="1:14" x14ac:dyDescent="0.2">
      <c r="A950" s="34">
        <v>42391</v>
      </c>
      <c r="B950">
        <v>5.4051710000000002</v>
      </c>
      <c r="C950">
        <f t="shared" si="19"/>
        <v>3.26</v>
      </c>
      <c r="M950" s="34">
        <v>41961</v>
      </c>
      <c r="N950">
        <v>3.11</v>
      </c>
    </row>
    <row r="951" spans="1:14" x14ac:dyDescent="0.2">
      <c r="A951" s="34">
        <v>42390</v>
      </c>
      <c r="B951">
        <v>5.4038909999999998</v>
      </c>
      <c r="C951">
        <f t="shared" si="19"/>
        <v>3.28</v>
      </c>
      <c r="M951" s="34">
        <v>41957</v>
      </c>
      <c r="N951">
        <v>3</v>
      </c>
    </row>
    <row r="952" spans="1:14" x14ac:dyDescent="0.2">
      <c r="A952" s="34">
        <v>42389</v>
      </c>
      <c r="B952">
        <v>5.4026120000000004</v>
      </c>
      <c r="C952">
        <f t="shared" si="19"/>
        <v>3.37</v>
      </c>
      <c r="M952" s="34">
        <v>41956</v>
      </c>
      <c r="N952">
        <v>3.02</v>
      </c>
    </row>
    <row r="953" spans="1:14" x14ac:dyDescent="0.2">
      <c r="A953" s="34">
        <v>42388</v>
      </c>
      <c r="B953">
        <v>5.4013330000000002</v>
      </c>
      <c r="C953">
        <f t="shared" si="19"/>
        <v>3.23</v>
      </c>
      <c r="M953" s="34">
        <v>41955</v>
      </c>
      <c r="N953">
        <v>3</v>
      </c>
    </row>
    <row r="954" spans="1:14" x14ac:dyDescent="0.2">
      <c r="A954" s="34">
        <v>42387</v>
      </c>
      <c r="B954">
        <v>5.4000539999999999</v>
      </c>
      <c r="C954">
        <f t="shared" si="19"/>
        <v>3.21</v>
      </c>
      <c r="M954" s="34">
        <v>41954</v>
      </c>
      <c r="N954">
        <v>2.95</v>
      </c>
    </row>
    <row r="955" spans="1:14" x14ac:dyDescent="0.2">
      <c r="A955" s="34">
        <v>42386</v>
      </c>
      <c r="B955">
        <v>5.3987749999999997</v>
      </c>
      <c r="C955">
        <f t="shared" si="19"/>
        <v>3.24</v>
      </c>
      <c r="M955" s="34">
        <v>41953</v>
      </c>
      <c r="N955">
        <v>3</v>
      </c>
    </row>
    <row r="956" spans="1:14" x14ac:dyDescent="0.2">
      <c r="A956" s="34">
        <v>42385</v>
      </c>
      <c r="B956">
        <v>5.3974970000000004</v>
      </c>
      <c r="C956">
        <f t="shared" si="19"/>
        <v>3.24</v>
      </c>
      <c r="M956" s="34">
        <v>41950</v>
      </c>
      <c r="N956">
        <v>3</v>
      </c>
    </row>
    <row r="957" spans="1:14" x14ac:dyDescent="0.2">
      <c r="A957" s="34">
        <v>42384</v>
      </c>
      <c r="B957">
        <v>5.3962190000000003</v>
      </c>
      <c r="C957">
        <f t="shared" si="19"/>
        <v>3.24</v>
      </c>
      <c r="M957" s="34">
        <v>41949</v>
      </c>
      <c r="N957">
        <v>3</v>
      </c>
    </row>
    <row r="958" spans="1:14" x14ac:dyDescent="0.2">
      <c r="A958" s="34">
        <v>42383</v>
      </c>
      <c r="B958">
        <v>5.3949420000000003</v>
      </c>
      <c r="C958">
        <f t="shared" si="19"/>
        <v>3.18</v>
      </c>
      <c r="M958" s="34">
        <v>41948</v>
      </c>
      <c r="N958">
        <v>3</v>
      </c>
    </row>
    <row r="959" spans="1:14" x14ac:dyDescent="0.2">
      <c r="A959" s="34">
        <v>42382</v>
      </c>
      <c r="B959">
        <v>5.3936640000000002</v>
      </c>
      <c r="C959">
        <f t="shared" si="19"/>
        <v>3.25</v>
      </c>
      <c r="M959" s="34">
        <v>41947</v>
      </c>
      <c r="N959">
        <v>2.98</v>
      </c>
    </row>
    <row r="960" spans="1:14" x14ac:dyDescent="0.2">
      <c r="A960" s="34">
        <v>42381</v>
      </c>
      <c r="B960">
        <v>5.3923870000000003</v>
      </c>
      <c r="C960">
        <f t="shared" si="19"/>
        <v>3.24</v>
      </c>
      <c r="M960" s="34">
        <v>41946</v>
      </c>
      <c r="N960">
        <v>3.1</v>
      </c>
    </row>
    <row r="961" spans="1:14" x14ac:dyDescent="0.2">
      <c r="A961" s="34">
        <v>42380</v>
      </c>
      <c r="B961">
        <v>5.3911110000000004</v>
      </c>
      <c r="C961">
        <f t="shared" si="19"/>
        <v>3.26</v>
      </c>
      <c r="M961" s="34">
        <v>41943</v>
      </c>
      <c r="N961">
        <v>3.05</v>
      </c>
    </row>
    <row r="962" spans="1:14" x14ac:dyDescent="0.2">
      <c r="A962" s="34">
        <v>42379</v>
      </c>
      <c r="B962">
        <v>5.3898339999999996</v>
      </c>
      <c r="C962">
        <f t="shared" ref="C962:C1025" si="20">IFERROR(VLOOKUP(A962,$M$2:$N$3695,2,0),C963)</f>
        <v>3.2</v>
      </c>
      <c r="M962" s="34">
        <v>41942</v>
      </c>
      <c r="N962">
        <v>3.04</v>
      </c>
    </row>
    <row r="963" spans="1:14" x14ac:dyDescent="0.2">
      <c r="A963" s="34">
        <v>42378</v>
      </c>
      <c r="B963">
        <v>5.3889680000000002</v>
      </c>
      <c r="C963">
        <f t="shared" si="20"/>
        <v>3.2</v>
      </c>
      <c r="M963" s="34">
        <v>41941</v>
      </c>
      <c r="N963">
        <v>3</v>
      </c>
    </row>
    <row r="964" spans="1:14" x14ac:dyDescent="0.2">
      <c r="A964" s="34">
        <v>42377</v>
      </c>
      <c r="B964">
        <v>5.3881009999999998</v>
      </c>
      <c r="C964">
        <f t="shared" si="20"/>
        <v>3.2</v>
      </c>
      <c r="M964" s="34">
        <v>41940</v>
      </c>
      <c r="N964">
        <v>2.96</v>
      </c>
    </row>
    <row r="965" spans="1:14" x14ac:dyDescent="0.2">
      <c r="A965" s="34">
        <v>42376</v>
      </c>
      <c r="B965">
        <v>5.3872350000000004</v>
      </c>
      <c r="C965">
        <f t="shared" si="20"/>
        <v>3.25</v>
      </c>
      <c r="M965" s="34">
        <v>41939</v>
      </c>
      <c r="N965">
        <v>3.1</v>
      </c>
    </row>
    <row r="966" spans="1:14" x14ac:dyDescent="0.2">
      <c r="A966" s="34">
        <v>42375</v>
      </c>
      <c r="B966">
        <v>5.3863690000000002</v>
      </c>
      <c r="C966">
        <f t="shared" si="20"/>
        <v>3.33</v>
      </c>
      <c r="M966" s="34">
        <v>41936</v>
      </c>
      <c r="N966">
        <v>3</v>
      </c>
    </row>
    <row r="967" spans="1:14" x14ac:dyDescent="0.2">
      <c r="A967" s="34">
        <v>42374</v>
      </c>
      <c r="B967">
        <v>5.3855029999999999</v>
      </c>
      <c r="C967">
        <f t="shared" si="20"/>
        <v>3.37</v>
      </c>
      <c r="M967" s="34">
        <v>41935</v>
      </c>
      <c r="N967">
        <v>2.95</v>
      </c>
    </row>
    <row r="968" spans="1:14" x14ac:dyDescent="0.2">
      <c r="A968" s="34">
        <v>42373</v>
      </c>
      <c r="B968">
        <v>5.3846369999999997</v>
      </c>
      <c r="C968">
        <f t="shared" si="20"/>
        <v>3.3</v>
      </c>
      <c r="M968" s="34">
        <v>41934</v>
      </c>
      <c r="N968">
        <v>2.9</v>
      </c>
    </row>
    <row r="969" spans="1:14" x14ac:dyDescent="0.2">
      <c r="A969" s="34">
        <v>42372</v>
      </c>
      <c r="B969">
        <v>5.3837710000000003</v>
      </c>
      <c r="C969">
        <f t="shared" si="20"/>
        <v>3</v>
      </c>
      <c r="M969" s="34">
        <v>41933</v>
      </c>
      <c r="N969">
        <v>3.01</v>
      </c>
    </row>
    <row r="970" spans="1:14" x14ac:dyDescent="0.2">
      <c r="A970" s="34">
        <v>42371</v>
      </c>
      <c r="B970">
        <v>5.3829060000000002</v>
      </c>
      <c r="C970">
        <f t="shared" si="20"/>
        <v>3</v>
      </c>
      <c r="M970" s="34">
        <v>41932</v>
      </c>
      <c r="N970">
        <v>3</v>
      </c>
    </row>
    <row r="971" spans="1:14" x14ac:dyDescent="0.2">
      <c r="A971" s="34">
        <v>42370</v>
      </c>
      <c r="B971">
        <v>5.3820399999999999</v>
      </c>
      <c r="C971">
        <f t="shared" si="20"/>
        <v>3</v>
      </c>
      <c r="M971" s="34">
        <v>41929</v>
      </c>
      <c r="N971">
        <v>3</v>
      </c>
    </row>
    <row r="972" spans="1:14" x14ac:dyDescent="0.2">
      <c r="A972" s="34">
        <v>42369</v>
      </c>
      <c r="B972">
        <v>5.3811749999999998</v>
      </c>
      <c r="C972">
        <f t="shared" si="20"/>
        <v>3</v>
      </c>
      <c r="M972" s="34">
        <v>41928</v>
      </c>
      <c r="N972">
        <v>2.98</v>
      </c>
    </row>
    <row r="973" spans="1:14" x14ac:dyDescent="0.2">
      <c r="A973" s="34">
        <v>42368</v>
      </c>
      <c r="B973">
        <v>5.3803099999999997</v>
      </c>
      <c r="C973">
        <f t="shared" si="20"/>
        <v>3.25</v>
      </c>
      <c r="M973" s="34">
        <v>41927</v>
      </c>
      <c r="N973">
        <v>2.99</v>
      </c>
    </row>
    <row r="974" spans="1:14" x14ac:dyDescent="0.2">
      <c r="A974" s="34">
        <v>42367</v>
      </c>
      <c r="B974">
        <v>5.3794449999999996</v>
      </c>
      <c r="C974">
        <f t="shared" si="20"/>
        <v>3.1</v>
      </c>
      <c r="M974" s="34">
        <v>41926</v>
      </c>
      <c r="N974">
        <v>3.05</v>
      </c>
    </row>
    <row r="975" spans="1:14" x14ac:dyDescent="0.2">
      <c r="A975" s="34">
        <v>42366</v>
      </c>
      <c r="B975">
        <v>5.3785800000000004</v>
      </c>
      <c r="C975">
        <f t="shared" si="20"/>
        <v>3.32</v>
      </c>
      <c r="M975" s="34">
        <v>41925</v>
      </c>
      <c r="N975">
        <v>2.99</v>
      </c>
    </row>
    <row r="976" spans="1:14" x14ac:dyDescent="0.2">
      <c r="A976" s="34">
        <v>42365</v>
      </c>
      <c r="B976">
        <v>5.3777150000000002</v>
      </c>
      <c r="C976">
        <f t="shared" si="20"/>
        <v>3.15</v>
      </c>
      <c r="M976" s="34">
        <v>41922</v>
      </c>
      <c r="N976">
        <v>2.99</v>
      </c>
    </row>
    <row r="977" spans="1:14" x14ac:dyDescent="0.2">
      <c r="A977" s="34">
        <v>42364</v>
      </c>
      <c r="B977">
        <v>5.3768510000000003</v>
      </c>
      <c r="C977">
        <f t="shared" si="20"/>
        <v>3.15</v>
      </c>
      <c r="M977" s="34">
        <v>41921</v>
      </c>
      <c r="N977">
        <v>3</v>
      </c>
    </row>
    <row r="978" spans="1:14" x14ac:dyDescent="0.2">
      <c r="A978" s="34">
        <v>42363</v>
      </c>
      <c r="B978">
        <v>5.3759860000000002</v>
      </c>
      <c r="C978">
        <f t="shared" si="20"/>
        <v>3.15</v>
      </c>
      <c r="M978" s="34">
        <v>41920</v>
      </c>
      <c r="N978">
        <v>3.01</v>
      </c>
    </row>
    <row r="979" spans="1:14" x14ac:dyDescent="0.2">
      <c r="A979" s="34">
        <v>42362</v>
      </c>
      <c r="B979">
        <v>5.3761960000000002</v>
      </c>
      <c r="C979">
        <f t="shared" si="20"/>
        <v>3.15</v>
      </c>
      <c r="M979" s="34">
        <v>41919</v>
      </c>
      <c r="N979">
        <v>3</v>
      </c>
    </row>
    <row r="980" spans="1:14" x14ac:dyDescent="0.2">
      <c r="A980" s="34">
        <v>42361</v>
      </c>
      <c r="B980">
        <v>5.3764050000000001</v>
      </c>
      <c r="C980">
        <f t="shared" si="20"/>
        <v>3.43</v>
      </c>
      <c r="M980" s="34">
        <v>41918</v>
      </c>
      <c r="N980">
        <v>2.99</v>
      </c>
    </row>
    <row r="981" spans="1:14" x14ac:dyDescent="0.2">
      <c r="A981" s="34">
        <v>42360</v>
      </c>
      <c r="B981">
        <v>5.3766150000000001</v>
      </c>
      <c r="C981">
        <f t="shared" si="20"/>
        <v>3.35</v>
      </c>
      <c r="M981" s="34">
        <v>41915</v>
      </c>
      <c r="N981">
        <v>2.99</v>
      </c>
    </row>
    <row r="982" spans="1:14" x14ac:dyDescent="0.2">
      <c r="A982" s="34">
        <v>42359</v>
      </c>
      <c r="B982">
        <v>5.376824</v>
      </c>
      <c r="C982">
        <f t="shared" si="20"/>
        <v>3.2</v>
      </c>
      <c r="M982" s="34">
        <v>41914</v>
      </c>
      <c r="N982">
        <v>3</v>
      </c>
    </row>
    <row r="983" spans="1:14" x14ac:dyDescent="0.2">
      <c r="A983" s="34">
        <v>42358</v>
      </c>
      <c r="B983">
        <v>5.3770340000000001</v>
      </c>
      <c r="C983">
        <f t="shared" si="20"/>
        <v>3.25</v>
      </c>
      <c r="M983" s="34">
        <v>41913</v>
      </c>
      <c r="N983">
        <v>3.04</v>
      </c>
    </row>
    <row r="984" spans="1:14" x14ac:dyDescent="0.2">
      <c r="A984" s="34">
        <v>42357</v>
      </c>
      <c r="B984">
        <v>5.377243</v>
      </c>
      <c r="C984">
        <f t="shared" si="20"/>
        <v>3.25</v>
      </c>
      <c r="M984" s="34">
        <v>41912</v>
      </c>
      <c r="N984">
        <v>2.99</v>
      </c>
    </row>
    <row r="985" spans="1:14" x14ac:dyDescent="0.2">
      <c r="A985" s="34">
        <v>42356</v>
      </c>
      <c r="B985">
        <v>5.377453</v>
      </c>
      <c r="C985">
        <f t="shared" si="20"/>
        <v>3.25</v>
      </c>
      <c r="M985" s="34">
        <v>41911</v>
      </c>
      <c r="N985">
        <v>3.1</v>
      </c>
    </row>
    <row r="986" spans="1:14" x14ac:dyDescent="0.2">
      <c r="A986" s="34">
        <v>42355</v>
      </c>
      <c r="B986">
        <v>5.3776619999999999</v>
      </c>
      <c r="C986">
        <f t="shared" si="20"/>
        <v>3.1</v>
      </c>
      <c r="M986" s="34">
        <v>41908</v>
      </c>
      <c r="N986">
        <v>2.9</v>
      </c>
    </row>
    <row r="987" spans="1:14" x14ac:dyDescent="0.2">
      <c r="A987" s="34">
        <v>42354</v>
      </c>
      <c r="B987">
        <v>5.377872</v>
      </c>
      <c r="C987">
        <f t="shared" si="20"/>
        <v>3.45</v>
      </c>
      <c r="M987" s="34">
        <v>41907</v>
      </c>
      <c r="N987">
        <v>2.98</v>
      </c>
    </row>
    <row r="988" spans="1:14" x14ac:dyDescent="0.2">
      <c r="A988" s="34">
        <v>42353</v>
      </c>
      <c r="B988">
        <v>5.3780809999999999</v>
      </c>
      <c r="C988">
        <f t="shared" si="20"/>
        <v>3.1</v>
      </c>
      <c r="M988" s="34">
        <v>41906</v>
      </c>
      <c r="N988">
        <v>2.95</v>
      </c>
    </row>
    <row r="989" spans="1:14" x14ac:dyDescent="0.2">
      <c r="A989" s="34">
        <v>42352</v>
      </c>
      <c r="B989">
        <v>5.3782909999999999</v>
      </c>
      <c r="C989">
        <f t="shared" si="20"/>
        <v>3</v>
      </c>
      <c r="M989" s="34">
        <v>41905</v>
      </c>
      <c r="N989">
        <v>2.95</v>
      </c>
    </row>
    <row r="990" spans="1:14" x14ac:dyDescent="0.2">
      <c r="A990" s="34">
        <v>42351</v>
      </c>
      <c r="B990">
        <v>5.378501</v>
      </c>
      <c r="C990">
        <f t="shared" si="20"/>
        <v>3.05</v>
      </c>
      <c r="M990" s="34">
        <v>41904</v>
      </c>
      <c r="N990">
        <v>2.8</v>
      </c>
    </row>
    <row r="991" spans="1:14" x14ac:dyDescent="0.2">
      <c r="A991" s="34">
        <v>42350</v>
      </c>
      <c r="B991">
        <v>5.3787099999999999</v>
      </c>
      <c r="C991">
        <f t="shared" si="20"/>
        <v>3.05</v>
      </c>
      <c r="M991" s="34">
        <v>41901</v>
      </c>
      <c r="N991">
        <v>2.9</v>
      </c>
    </row>
    <row r="992" spans="1:14" x14ac:dyDescent="0.2">
      <c r="A992" s="34">
        <v>42349</v>
      </c>
      <c r="B992">
        <v>5.3789199999999999</v>
      </c>
      <c r="C992">
        <f t="shared" si="20"/>
        <v>3.05</v>
      </c>
      <c r="M992" s="34">
        <v>41900</v>
      </c>
      <c r="N992">
        <v>2.98</v>
      </c>
    </row>
    <row r="993" spans="1:14" x14ac:dyDescent="0.2">
      <c r="A993" s="34">
        <v>42348</v>
      </c>
      <c r="B993">
        <v>5.3791289999999998</v>
      </c>
      <c r="C993">
        <f t="shared" si="20"/>
        <v>3.15</v>
      </c>
      <c r="M993" s="34">
        <v>41899</v>
      </c>
      <c r="N993">
        <v>2.95</v>
      </c>
    </row>
    <row r="994" spans="1:14" x14ac:dyDescent="0.2">
      <c r="A994" s="34">
        <v>42347</v>
      </c>
      <c r="B994">
        <v>5.3772659999999997</v>
      </c>
      <c r="C994">
        <f t="shared" si="20"/>
        <v>2.9</v>
      </c>
      <c r="M994" s="34">
        <v>41897</v>
      </c>
      <c r="N994">
        <v>3.07</v>
      </c>
    </row>
    <row r="995" spans="1:14" x14ac:dyDescent="0.2">
      <c r="A995" s="34">
        <v>42346</v>
      </c>
      <c r="B995">
        <v>5.3754039999999996</v>
      </c>
      <c r="C995">
        <f t="shared" si="20"/>
        <v>3.15</v>
      </c>
      <c r="M995" s="34">
        <v>41894</v>
      </c>
      <c r="N995">
        <v>3</v>
      </c>
    </row>
    <row r="996" spans="1:14" x14ac:dyDescent="0.2">
      <c r="A996" s="34">
        <v>42345</v>
      </c>
      <c r="B996">
        <v>5.3735419999999996</v>
      </c>
      <c r="C996">
        <f t="shared" si="20"/>
        <v>3.7</v>
      </c>
      <c r="M996" s="34">
        <v>41893</v>
      </c>
      <c r="N996">
        <v>2.99</v>
      </c>
    </row>
    <row r="997" spans="1:14" x14ac:dyDescent="0.2">
      <c r="A997" s="34">
        <v>42344</v>
      </c>
      <c r="B997">
        <v>5.3716809999999997</v>
      </c>
      <c r="C997">
        <f t="shared" si="20"/>
        <v>3</v>
      </c>
      <c r="M997" s="34">
        <v>41892</v>
      </c>
      <c r="N997">
        <v>2.99</v>
      </c>
    </row>
    <row r="998" spans="1:14" x14ac:dyDescent="0.2">
      <c r="A998" s="34">
        <v>42343</v>
      </c>
      <c r="B998">
        <v>5.3698199999999998</v>
      </c>
      <c r="C998">
        <f t="shared" si="20"/>
        <v>3</v>
      </c>
      <c r="M998" s="34">
        <v>41891</v>
      </c>
      <c r="N998">
        <v>3</v>
      </c>
    </row>
    <row r="999" spans="1:14" x14ac:dyDescent="0.2">
      <c r="A999" s="34">
        <v>42342</v>
      </c>
      <c r="B999">
        <v>5.3679610000000002</v>
      </c>
      <c r="C999">
        <f t="shared" si="20"/>
        <v>3</v>
      </c>
      <c r="M999" s="34">
        <v>41890</v>
      </c>
      <c r="N999">
        <v>3</v>
      </c>
    </row>
    <row r="1000" spans="1:14" x14ac:dyDescent="0.2">
      <c r="A1000" s="34">
        <v>42341</v>
      </c>
      <c r="B1000">
        <v>5.3661009999999996</v>
      </c>
      <c r="C1000">
        <f t="shared" si="20"/>
        <v>3.1</v>
      </c>
      <c r="M1000" s="34">
        <v>41887</v>
      </c>
      <c r="N1000">
        <v>3</v>
      </c>
    </row>
    <row r="1001" spans="1:14" x14ac:dyDescent="0.2">
      <c r="A1001" s="34">
        <v>42340</v>
      </c>
      <c r="B1001">
        <v>5.3642430000000001</v>
      </c>
      <c r="C1001">
        <f t="shared" si="20"/>
        <v>3.03</v>
      </c>
      <c r="M1001" s="34">
        <v>41886</v>
      </c>
      <c r="N1001">
        <v>2.99</v>
      </c>
    </row>
    <row r="1002" spans="1:14" x14ac:dyDescent="0.2">
      <c r="A1002" s="34">
        <v>42339</v>
      </c>
      <c r="B1002">
        <v>5.3623849999999997</v>
      </c>
      <c r="C1002">
        <f t="shared" si="20"/>
        <v>3.25</v>
      </c>
      <c r="M1002" s="34">
        <v>41885</v>
      </c>
      <c r="N1002">
        <v>2.99</v>
      </c>
    </row>
    <row r="1003" spans="1:14" x14ac:dyDescent="0.2">
      <c r="A1003" s="34">
        <v>42338</v>
      </c>
      <c r="B1003">
        <v>5.3605280000000004</v>
      </c>
      <c r="C1003">
        <f t="shared" si="20"/>
        <v>3.05</v>
      </c>
      <c r="M1003" s="34">
        <v>41884</v>
      </c>
      <c r="N1003">
        <v>3</v>
      </c>
    </row>
    <row r="1004" spans="1:14" x14ac:dyDescent="0.2">
      <c r="A1004" s="34">
        <v>42337</v>
      </c>
      <c r="B1004">
        <v>5.3586710000000002</v>
      </c>
      <c r="C1004">
        <f t="shared" si="20"/>
        <v>2.95</v>
      </c>
      <c r="M1004" s="34">
        <v>41883</v>
      </c>
      <c r="N1004">
        <v>2.95</v>
      </c>
    </row>
    <row r="1005" spans="1:14" x14ac:dyDescent="0.2">
      <c r="A1005" s="34">
        <v>42336</v>
      </c>
      <c r="B1005">
        <v>5.3568150000000001</v>
      </c>
      <c r="C1005">
        <f t="shared" si="20"/>
        <v>2.95</v>
      </c>
      <c r="M1005" s="34">
        <v>41880</v>
      </c>
      <c r="N1005">
        <v>3</v>
      </c>
    </row>
    <row r="1006" spans="1:14" x14ac:dyDescent="0.2">
      <c r="A1006" s="34">
        <v>42335</v>
      </c>
      <c r="B1006">
        <v>5.3549600000000002</v>
      </c>
      <c r="C1006">
        <f t="shared" si="20"/>
        <v>2.95</v>
      </c>
      <c r="M1006" s="34">
        <v>41879</v>
      </c>
      <c r="N1006">
        <v>3</v>
      </c>
    </row>
    <row r="1007" spans="1:14" x14ac:dyDescent="0.2">
      <c r="A1007" s="34">
        <v>42334</v>
      </c>
      <c r="B1007">
        <v>5.3531050000000002</v>
      </c>
      <c r="C1007">
        <f t="shared" si="20"/>
        <v>3</v>
      </c>
      <c r="M1007" s="34">
        <v>41878</v>
      </c>
      <c r="N1007">
        <v>3.01</v>
      </c>
    </row>
    <row r="1008" spans="1:14" x14ac:dyDescent="0.2">
      <c r="A1008" s="34">
        <v>42333</v>
      </c>
      <c r="B1008">
        <v>5.3512510000000004</v>
      </c>
      <c r="C1008">
        <f t="shared" si="20"/>
        <v>2.93</v>
      </c>
      <c r="M1008" s="34">
        <v>41877</v>
      </c>
      <c r="N1008">
        <v>3</v>
      </c>
    </row>
    <row r="1009" spans="1:14" x14ac:dyDescent="0.2">
      <c r="A1009" s="34">
        <v>42332</v>
      </c>
      <c r="B1009">
        <v>5.3508649999999998</v>
      </c>
      <c r="C1009">
        <f t="shared" si="20"/>
        <v>2.9</v>
      </c>
      <c r="M1009" s="34">
        <v>41876</v>
      </c>
      <c r="N1009">
        <v>3</v>
      </c>
    </row>
    <row r="1010" spans="1:14" x14ac:dyDescent="0.2">
      <c r="A1010" s="34">
        <v>42331</v>
      </c>
      <c r="B1010">
        <v>5.350479</v>
      </c>
      <c r="C1010">
        <f t="shared" si="20"/>
        <v>3.03</v>
      </c>
      <c r="M1010" s="34">
        <v>41873</v>
      </c>
      <c r="N1010">
        <v>3</v>
      </c>
    </row>
    <row r="1011" spans="1:14" x14ac:dyDescent="0.2">
      <c r="A1011" s="34">
        <v>42330</v>
      </c>
      <c r="B1011">
        <v>5.3500940000000003</v>
      </c>
      <c r="C1011">
        <f t="shared" si="20"/>
        <v>3.03</v>
      </c>
      <c r="M1011" s="34">
        <v>41872</v>
      </c>
      <c r="N1011">
        <v>3.15</v>
      </c>
    </row>
    <row r="1012" spans="1:14" x14ac:dyDescent="0.2">
      <c r="A1012" s="34">
        <v>42329</v>
      </c>
      <c r="B1012">
        <v>5.3497079999999997</v>
      </c>
      <c r="C1012">
        <f t="shared" si="20"/>
        <v>3.03</v>
      </c>
      <c r="M1012" s="34">
        <v>41871</v>
      </c>
      <c r="N1012">
        <v>2.99</v>
      </c>
    </row>
    <row r="1013" spans="1:14" x14ac:dyDescent="0.2">
      <c r="A1013" s="34">
        <v>42328</v>
      </c>
      <c r="B1013">
        <v>5.3493219999999999</v>
      </c>
      <c r="C1013">
        <f t="shared" si="20"/>
        <v>3.03</v>
      </c>
      <c r="M1013" s="34">
        <v>41870</v>
      </c>
      <c r="N1013">
        <v>3.04</v>
      </c>
    </row>
    <row r="1014" spans="1:14" x14ac:dyDescent="0.2">
      <c r="A1014" s="34">
        <v>42327</v>
      </c>
      <c r="B1014">
        <v>5.3489360000000001</v>
      </c>
      <c r="C1014">
        <f t="shared" si="20"/>
        <v>3.05</v>
      </c>
      <c r="M1014" s="34">
        <v>41869</v>
      </c>
      <c r="N1014">
        <v>2.92</v>
      </c>
    </row>
    <row r="1015" spans="1:14" x14ac:dyDescent="0.2">
      <c r="A1015" s="34">
        <v>42326</v>
      </c>
      <c r="B1015">
        <v>5.3485509999999996</v>
      </c>
      <c r="C1015">
        <f t="shared" si="20"/>
        <v>2.9</v>
      </c>
      <c r="M1015" s="34">
        <v>41866</v>
      </c>
      <c r="N1015">
        <v>3</v>
      </c>
    </row>
    <row r="1016" spans="1:14" x14ac:dyDescent="0.2">
      <c r="A1016" s="34">
        <v>42325</v>
      </c>
      <c r="B1016">
        <v>5.3481649999999998</v>
      </c>
      <c r="C1016">
        <f t="shared" si="20"/>
        <v>3.18</v>
      </c>
      <c r="M1016" s="34">
        <v>41865</v>
      </c>
      <c r="N1016">
        <v>2.99</v>
      </c>
    </row>
    <row r="1017" spans="1:14" x14ac:dyDescent="0.2">
      <c r="A1017" s="34">
        <v>42324</v>
      </c>
      <c r="B1017">
        <v>5.3477790000000001</v>
      </c>
      <c r="C1017">
        <f t="shared" si="20"/>
        <v>2.9</v>
      </c>
      <c r="M1017" s="34">
        <v>41864</v>
      </c>
      <c r="N1017">
        <v>3.06</v>
      </c>
    </row>
    <row r="1018" spans="1:14" x14ac:dyDescent="0.2">
      <c r="A1018" s="34">
        <v>42323</v>
      </c>
      <c r="B1018">
        <v>5.3473940000000004</v>
      </c>
      <c r="C1018">
        <f t="shared" si="20"/>
        <v>2.9</v>
      </c>
      <c r="M1018" s="34">
        <v>41863</v>
      </c>
      <c r="N1018">
        <v>3.06</v>
      </c>
    </row>
    <row r="1019" spans="1:14" x14ac:dyDescent="0.2">
      <c r="A1019" s="34">
        <v>42322</v>
      </c>
      <c r="B1019">
        <v>5.3470079999999998</v>
      </c>
      <c r="C1019">
        <f t="shared" si="20"/>
        <v>2.9</v>
      </c>
      <c r="M1019" s="34">
        <v>41862</v>
      </c>
      <c r="N1019">
        <v>3.02</v>
      </c>
    </row>
    <row r="1020" spans="1:14" x14ac:dyDescent="0.2">
      <c r="A1020" s="34">
        <v>42321</v>
      </c>
      <c r="B1020">
        <v>5.346622</v>
      </c>
      <c r="C1020">
        <f t="shared" si="20"/>
        <v>2.9</v>
      </c>
      <c r="M1020" s="34">
        <v>41859</v>
      </c>
      <c r="N1020">
        <v>3.07</v>
      </c>
    </row>
    <row r="1021" spans="1:14" x14ac:dyDescent="0.2">
      <c r="A1021" s="34">
        <v>42320</v>
      </c>
      <c r="B1021">
        <v>5.3462370000000004</v>
      </c>
      <c r="C1021">
        <f t="shared" si="20"/>
        <v>3</v>
      </c>
      <c r="M1021" s="34">
        <v>41858</v>
      </c>
      <c r="N1021">
        <v>2.99</v>
      </c>
    </row>
    <row r="1022" spans="1:14" x14ac:dyDescent="0.2">
      <c r="A1022" s="34">
        <v>42319</v>
      </c>
      <c r="B1022">
        <v>5.3458509999999997</v>
      </c>
      <c r="C1022">
        <f t="shared" si="20"/>
        <v>3.12</v>
      </c>
      <c r="M1022" s="34">
        <v>41857</v>
      </c>
      <c r="N1022">
        <v>3</v>
      </c>
    </row>
    <row r="1023" spans="1:14" x14ac:dyDescent="0.2">
      <c r="A1023" s="34">
        <v>42318</v>
      </c>
      <c r="B1023">
        <v>5.3454660000000001</v>
      </c>
      <c r="C1023">
        <f t="shared" si="20"/>
        <v>3.2</v>
      </c>
      <c r="M1023" s="34">
        <v>41856</v>
      </c>
      <c r="N1023">
        <v>3</v>
      </c>
    </row>
    <row r="1024" spans="1:14" x14ac:dyDescent="0.2">
      <c r="A1024" s="34">
        <v>42317</v>
      </c>
      <c r="B1024">
        <v>5.3439249999999996</v>
      </c>
      <c r="C1024">
        <f t="shared" si="20"/>
        <v>3</v>
      </c>
      <c r="M1024" s="34">
        <v>41855</v>
      </c>
      <c r="N1024">
        <v>3</v>
      </c>
    </row>
    <row r="1025" spans="1:14" x14ac:dyDescent="0.2">
      <c r="A1025" s="34">
        <v>42316</v>
      </c>
      <c r="B1025">
        <v>5.3423850000000002</v>
      </c>
      <c r="C1025">
        <f t="shared" si="20"/>
        <v>3.02</v>
      </c>
      <c r="M1025" s="34">
        <v>41852</v>
      </c>
      <c r="N1025">
        <v>3.04</v>
      </c>
    </row>
    <row r="1026" spans="1:14" x14ac:dyDescent="0.2">
      <c r="A1026" s="34">
        <v>42315</v>
      </c>
      <c r="B1026">
        <v>5.3408449999999998</v>
      </c>
      <c r="C1026">
        <f t="shared" ref="C1026:C1089" si="21">IFERROR(VLOOKUP(A1026,$M$2:$N$3695,2,0),C1027)</f>
        <v>3.02</v>
      </c>
      <c r="M1026" s="34">
        <v>41851</v>
      </c>
      <c r="N1026">
        <v>2.9</v>
      </c>
    </row>
    <row r="1027" spans="1:14" x14ac:dyDescent="0.2">
      <c r="A1027" s="34">
        <v>42314</v>
      </c>
      <c r="B1027">
        <v>5.3393059999999997</v>
      </c>
      <c r="C1027">
        <f t="shared" si="21"/>
        <v>3.02</v>
      </c>
      <c r="M1027" s="34">
        <v>41850</v>
      </c>
      <c r="N1027">
        <v>3.04</v>
      </c>
    </row>
    <row r="1028" spans="1:14" x14ac:dyDescent="0.2">
      <c r="A1028" s="34">
        <v>42313</v>
      </c>
      <c r="B1028">
        <v>5.3377670000000004</v>
      </c>
      <c r="C1028">
        <f t="shared" si="21"/>
        <v>3.1</v>
      </c>
      <c r="M1028" s="34">
        <v>41849</v>
      </c>
      <c r="N1028">
        <v>3.01</v>
      </c>
    </row>
    <row r="1029" spans="1:14" x14ac:dyDescent="0.2">
      <c r="A1029" s="34">
        <v>42312</v>
      </c>
      <c r="B1029">
        <v>5.3362280000000002</v>
      </c>
      <c r="C1029">
        <f t="shared" si="21"/>
        <v>3.01</v>
      </c>
      <c r="M1029" s="34">
        <v>41848</v>
      </c>
      <c r="N1029">
        <v>3.02</v>
      </c>
    </row>
    <row r="1030" spans="1:14" x14ac:dyDescent="0.2">
      <c r="A1030" s="34">
        <v>42311</v>
      </c>
      <c r="B1030">
        <v>5.3346900000000002</v>
      </c>
      <c r="C1030">
        <f t="shared" si="21"/>
        <v>3.05</v>
      </c>
      <c r="M1030" s="34">
        <v>41845</v>
      </c>
      <c r="N1030">
        <v>2.97</v>
      </c>
    </row>
    <row r="1031" spans="1:14" x14ac:dyDescent="0.2">
      <c r="A1031" s="34">
        <v>42310</v>
      </c>
      <c r="B1031">
        <v>5.3331530000000003</v>
      </c>
      <c r="C1031">
        <f t="shared" si="21"/>
        <v>3.26</v>
      </c>
      <c r="M1031" s="34">
        <v>41844</v>
      </c>
      <c r="N1031">
        <v>3</v>
      </c>
    </row>
    <row r="1032" spans="1:14" x14ac:dyDescent="0.2">
      <c r="A1032" s="34">
        <v>42309</v>
      </c>
      <c r="B1032">
        <v>5.3316150000000002</v>
      </c>
      <c r="C1032">
        <f t="shared" si="21"/>
        <v>3.26</v>
      </c>
      <c r="M1032" s="34">
        <v>41843</v>
      </c>
      <c r="N1032">
        <v>3</v>
      </c>
    </row>
    <row r="1033" spans="1:14" x14ac:dyDescent="0.2">
      <c r="A1033" s="34">
        <v>42308</v>
      </c>
      <c r="B1033">
        <v>5.3300789999999996</v>
      </c>
      <c r="C1033">
        <f t="shared" si="21"/>
        <v>3.26</v>
      </c>
      <c r="M1033" s="34">
        <v>41842</v>
      </c>
      <c r="N1033">
        <v>2.95</v>
      </c>
    </row>
    <row r="1034" spans="1:14" x14ac:dyDescent="0.2">
      <c r="A1034" s="34">
        <v>42307</v>
      </c>
      <c r="B1034">
        <v>5.3285419999999997</v>
      </c>
      <c r="C1034">
        <f t="shared" si="21"/>
        <v>3.26</v>
      </c>
      <c r="M1034" s="34">
        <v>41841</v>
      </c>
      <c r="N1034">
        <v>2.98</v>
      </c>
    </row>
    <row r="1035" spans="1:14" x14ac:dyDescent="0.2">
      <c r="A1035" s="34">
        <v>42306</v>
      </c>
      <c r="B1035">
        <v>5.3270059999999999</v>
      </c>
      <c r="C1035">
        <f t="shared" si="21"/>
        <v>3.11</v>
      </c>
      <c r="M1035" s="34">
        <v>41838</v>
      </c>
      <c r="N1035">
        <v>3</v>
      </c>
    </row>
    <row r="1036" spans="1:14" x14ac:dyDescent="0.2">
      <c r="A1036" s="34">
        <v>42305</v>
      </c>
      <c r="B1036">
        <v>5.3254710000000003</v>
      </c>
      <c r="C1036">
        <f t="shared" si="21"/>
        <v>3.1</v>
      </c>
      <c r="M1036" s="34">
        <v>41837</v>
      </c>
      <c r="N1036">
        <v>2.9</v>
      </c>
    </row>
    <row r="1037" spans="1:14" x14ac:dyDescent="0.2">
      <c r="A1037" s="34">
        <v>42304</v>
      </c>
      <c r="B1037">
        <v>5.3239359999999998</v>
      </c>
      <c r="C1037">
        <f t="shared" si="21"/>
        <v>3.02</v>
      </c>
      <c r="M1037" s="34">
        <v>41836</v>
      </c>
      <c r="N1037">
        <v>2.95</v>
      </c>
    </row>
    <row r="1038" spans="1:14" x14ac:dyDescent="0.2">
      <c r="A1038" s="34">
        <v>42303</v>
      </c>
      <c r="B1038">
        <v>5.3224020000000003</v>
      </c>
      <c r="C1038">
        <f t="shared" si="21"/>
        <v>3.1</v>
      </c>
      <c r="M1038" s="34">
        <v>41835</v>
      </c>
      <c r="N1038">
        <v>2.98</v>
      </c>
    </row>
    <row r="1039" spans="1:14" x14ac:dyDescent="0.2">
      <c r="A1039" s="34">
        <v>42302</v>
      </c>
      <c r="B1039">
        <v>5.3208679999999999</v>
      </c>
      <c r="C1039">
        <f t="shared" si="21"/>
        <v>2.95</v>
      </c>
      <c r="M1039" s="34">
        <v>41834</v>
      </c>
      <c r="N1039">
        <v>2.99</v>
      </c>
    </row>
    <row r="1040" spans="1:14" x14ac:dyDescent="0.2">
      <c r="A1040" s="34">
        <v>42301</v>
      </c>
      <c r="B1040">
        <v>5.3208799999999998</v>
      </c>
      <c r="C1040">
        <f t="shared" si="21"/>
        <v>2.95</v>
      </c>
      <c r="M1040" s="34">
        <v>41831</v>
      </c>
      <c r="N1040">
        <v>3.02</v>
      </c>
    </row>
    <row r="1041" spans="1:14" x14ac:dyDescent="0.2">
      <c r="A1041" s="34">
        <v>42300</v>
      </c>
      <c r="B1041">
        <v>5.3208919999999997</v>
      </c>
      <c r="C1041">
        <f t="shared" si="21"/>
        <v>2.95</v>
      </c>
      <c r="M1041" s="34">
        <v>41830</v>
      </c>
      <c r="N1041">
        <v>3.02</v>
      </c>
    </row>
    <row r="1042" spans="1:14" x14ac:dyDescent="0.2">
      <c r="A1042" s="34">
        <v>42299</v>
      </c>
      <c r="B1042">
        <v>5.3209039999999996</v>
      </c>
      <c r="C1042">
        <f t="shared" si="21"/>
        <v>3.01</v>
      </c>
      <c r="M1042" s="34">
        <v>41829</v>
      </c>
      <c r="N1042">
        <v>3</v>
      </c>
    </row>
    <row r="1043" spans="1:14" x14ac:dyDescent="0.2">
      <c r="A1043" s="34">
        <v>42298</v>
      </c>
      <c r="B1043">
        <v>5.3209160000000004</v>
      </c>
      <c r="C1043">
        <f t="shared" si="21"/>
        <v>2.95</v>
      </c>
      <c r="M1043" s="34">
        <v>41828</v>
      </c>
      <c r="N1043">
        <v>2.97</v>
      </c>
    </row>
    <row r="1044" spans="1:14" x14ac:dyDescent="0.2">
      <c r="A1044" s="34">
        <v>42297</v>
      </c>
      <c r="B1044">
        <v>5.3209280000000003</v>
      </c>
      <c r="C1044">
        <f t="shared" si="21"/>
        <v>3.1</v>
      </c>
      <c r="M1044" s="34">
        <v>41827</v>
      </c>
      <c r="N1044">
        <v>2.98</v>
      </c>
    </row>
    <row r="1045" spans="1:14" x14ac:dyDescent="0.2">
      <c r="A1045" s="34">
        <v>42296</v>
      </c>
      <c r="B1045">
        <v>5.3209400000000002</v>
      </c>
      <c r="C1045">
        <f t="shared" si="21"/>
        <v>3</v>
      </c>
      <c r="M1045" s="34">
        <v>41824</v>
      </c>
      <c r="N1045">
        <v>3</v>
      </c>
    </row>
    <row r="1046" spans="1:14" x14ac:dyDescent="0.2">
      <c r="A1046" s="34">
        <v>42295</v>
      </c>
      <c r="B1046">
        <v>5.3209530000000003</v>
      </c>
      <c r="C1046">
        <f t="shared" si="21"/>
        <v>3.02</v>
      </c>
      <c r="M1046" s="34">
        <v>41823</v>
      </c>
      <c r="N1046">
        <v>2.97</v>
      </c>
    </row>
    <row r="1047" spans="1:14" x14ac:dyDescent="0.2">
      <c r="A1047" s="34">
        <v>42294</v>
      </c>
      <c r="B1047">
        <v>5.3209650000000002</v>
      </c>
      <c r="C1047">
        <f t="shared" si="21"/>
        <v>3.02</v>
      </c>
      <c r="M1047" s="34">
        <v>41822</v>
      </c>
      <c r="N1047">
        <v>2.99</v>
      </c>
    </row>
    <row r="1048" spans="1:14" x14ac:dyDescent="0.2">
      <c r="A1048" s="34">
        <v>42293</v>
      </c>
      <c r="B1048">
        <v>5.3209770000000001</v>
      </c>
      <c r="C1048">
        <f t="shared" si="21"/>
        <v>3.02</v>
      </c>
      <c r="M1048" s="34">
        <v>41821</v>
      </c>
      <c r="N1048">
        <v>3.01</v>
      </c>
    </row>
    <row r="1049" spans="1:14" x14ac:dyDescent="0.2">
      <c r="A1049" s="34">
        <v>42292</v>
      </c>
      <c r="B1049">
        <v>5.320989</v>
      </c>
      <c r="C1049">
        <f t="shared" si="21"/>
        <v>2.99</v>
      </c>
      <c r="M1049" s="34">
        <v>41820</v>
      </c>
      <c r="N1049">
        <v>3</v>
      </c>
    </row>
    <row r="1050" spans="1:14" x14ac:dyDescent="0.2">
      <c r="A1050" s="34">
        <v>42291</v>
      </c>
      <c r="B1050">
        <v>5.3210009999999999</v>
      </c>
      <c r="C1050">
        <f t="shared" si="21"/>
        <v>3</v>
      </c>
      <c r="M1050" s="34">
        <v>41817</v>
      </c>
      <c r="N1050">
        <v>2.97</v>
      </c>
    </row>
    <row r="1051" spans="1:14" x14ac:dyDescent="0.2">
      <c r="A1051" s="34">
        <v>42290</v>
      </c>
      <c r="B1051">
        <v>5.3210129999999998</v>
      </c>
      <c r="C1051">
        <f t="shared" si="21"/>
        <v>3</v>
      </c>
      <c r="M1051" s="34">
        <v>41816</v>
      </c>
      <c r="N1051">
        <v>2.98</v>
      </c>
    </row>
    <row r="1052" spans="1:14" x14ac:dyDescent="0.2">
      <c r="A1052" s="34">
        <v>42289</v>
      </c>
      <c r="B1052">
        <v>5.3210249999999997</v>
      </c>
      <c r="C1052">
        <f t="shared" si="21"/>
        <v>3</v>
      </c>
      <c r="M1052" s="34">
        <v>41815</v>
      </c>
      <c r="N1052">
        <v>3.08</v>
      </c>
    </row>
    <row r="1053" spans="1:14" x14ac:dyDescent="0.2">
      <c r="A1053" s="34">
        <v>42288</v>
      </c>
      <c r="B1053">
        <v>5.3210379999999997</v>
      </c>
      <c r="C1053">
        <f t="shared" si="21"/>
        <v>2.95</v>
      </c>
      <c r="M1053" s="34">
        <v>41814</v>
      </c>
      <c r="N1053">
        <v>2.96</v>
      </c>
    </row>
    <row r="1054" spans="1:14" x14ac:dyDescent="0.2">
      <c r="A1054" s="34">
        <v>42287</v>
      </c>
      <c r="B1054">
        <v>5.3210499999999996</v>
      </c>
      <c r="C1054">
        <f t="shared" si="21"/>
        <v>2.95</v>
      </c>
      <c r="M1054" s="34">
        <v>41813</v>
      </c>
      <c r="N1054">
        <v>2.98</v>
      </c>
    </row>
    <row r="1055" spans="1:14" x14ac:dyDescent="0.2">
      <c r="A1055" s="34">
        <v>42286</v>
      </c>
      <c r="B1055">
        <v>5.3199149999999999</v>
      </c>
      <c r="C1055">
        <f t="shared" si="21"/>
        <v>2.95</v>
      </c>
      <c r="M1055" s="34">
        <v>41810</v>
      </c>
      <c r="N1055">
        <v>2.96</v>
      </c>
    </row>
    <row r="1056" spans="1:14" x14ac:dyDescent="0.2">
      <c r="A1056" s="34">
        <v>42285</v>
      </c>
      <c r="B1056">
        <v>5.3187810000000004</v>
      </c>
      <c r="C1056">
        <f t="shared" si="21"/>
        <v>3</v>
      </c>
      <c r="M1056" s="34">
        <v>41809</v>
      </c>
      <c r="N1056">
        <v>3</v>
      </c>
    </row>
    <row r="1057" spans="1:14" x14ac:dyDescent="0.2">
      <c r="A1057" s="34">
        <v>42284</v>
      </c>
      <c r="B1057">
        <v>5.317647</v>
      </c>
      <c r="C1057">
        <f t="shared" si="21"/>
        <v>2.96</v>
      </c>
      <c r="M1057" s="34">
        <v>41808</v>
      </c>
      <c r="N1057">
        <v>3.04</v>
      </c>
    </row>
    <row r="1058" spans="1:14" x14ac:dyDescent="0.2">
      <c r="A1058" s="34">
        <v>42283</v>
      </c>
      <c r="B1058">
        <v>5.3165129999999996</v>
      </c>
      <c r="C1058">
        <f t="shared" si="21"/>
        <v>3</v>
      </c>
      <c r="M1058" s="34">
        <v>41807</v>
      </c>
      <c r="N1058">
        <v>3.01</v>
      </c>
    </row>
    <row r="1059" spans="1:14" x14ac:dyDescent="0.2">
      <c r="A1059" s="34">
        <v>42282</v>
      </c>
      <c r="B1059">
        <v>5.3153800000000002</v>
      </c>
      <c r="C1059">
        <f t="shared" si="21"/>
        <v>2.99</v>
      </c>
      <c r="M1059" s="34">
        <v>41806</v>
      </c>
      <c r="N1059">
        <v>3</v>
      </c>
    </row>
    <row r="1060" spans="1:14" x14ac:dyDescent="0.2">
      <c r="A1060" s="34">
        <v>42281</v>
      </c>
      <c r="B1060">
        <v>5.3142469999999999</v>
      </c>
      <c r="C1060">
        <f t="shared" si="21"/>
        <v>3</v>
      </c>
      <c r="M1060" s="34">
        <v>41803</v>
      </c>
      <c r="N1060">
        <v>3</v>
      </c>
    </row>
    <row r="1061" spans="1:14" x14ac:dyDescent="0.2">
      <c r="A1061" s="34">
        <v>42280</v>
      </c>
      <c r="B1061">
        <v>5.3131139999999997</v>
      </c>
      <c r="C1061">
        <f t="shared" si="21"/>
        <v>3</v>
      </c>
      <c r="M1061" s="34">
        <v>41802</v>
      </c>
      <c r="N1061">
        <v>3.05</v>
      </c>
    </row>
    <row r="1062" spans="1:14" x14ac:dyDescent="0.2">
      <c r="A1062" s="34">
        <v>42279</v>
      </c>
      <c r="B1062">
        <v>5.3119810000000003</v>
      </c>
      <c r="C1062">
        <f t="shared" si="21"/>
        <v>3</v>
      </c>
      <c r="M1062" s="34">
        <v>41801</v>
      </c>
      <c r="N1062">
        <v>3.03</v>
      </c>
    </row>
    <row r="1063" spans="1:14" x14ac:dyDescent="0.2">
      <c r="A1063" s="34">
        <v>42278</v>
      </c>
      <c r="B1063">
        <v>5.3108490000000002</v>
      </c>
      <c r="C1063">
        <f t="shared" si="21"/>
        <v>3.35</v>
      </c>
      <c r="M1063" s="34">
        <v>41800</v>
      </c>
      <c r="N1063">
        <v>3.01</v>
      </c>
    </row>
    <row r="1064" spans="1:14" x14ac:dyDescent="0.2">
      <c r="A1064" s="34">
        <v>42277</v>
      </c>
      <c r="B1064">
        <v>5.3097159999999999</v>
      </c>
      <c r="C1064">
        <f t="shared" si="21"/>
        <v>2.9</v>
      </c>
      <c r="M1064" s="34">
        <v>41799</v>
      </c>
      <c r="N1064">
        <v>3.02</v>
      </c>
    </row>
    <row r="1065" spans="1:14" x14ac:dyDescent="0.2">
      <c r="A1065" s="34">
        <v>42276</v>
      </c>
      <c r="B1065">
        <v>5.3085839999999997</v>
      </c>
      <c r="C1065">
        <f t="shared" si="21"/>
        <v>2.95</v>
      </c>
      <c r="M1065" s="34">
        <v>41796</v>
      </c>
      <c r="N1065">
        <v>3.05</v>
      </c>
    </row>
    <row r="1066" spans="1:14" x14ac:dyDescent="0.2">
      <c r="A1066" s="34">
        <v>42275</v>
      </c>
      <c r="B1066">
        <v>5.3074519999999996</v>
      </c>
      <c r="C1066">
        <f t="shared" si="21"/>
        <v>2.95</v>
      </c>
      <c r="M1066" s="34">
        <v>41795</v>
      </c>
      <c r="N1066">
        <v>3.48</v>
      </c>
    </row>
    <row r="1067" spans="1:14" x14ac:dyDescent="0.2">
      <c r="A1067" s="34">
        <v>42274</v>
      </c>
      <c r="B1067">
        <v>5.3063209999999996</v>
      </c>
      <c r="C1067">
        <f t="shared" si="21"/>
        <v>3.05</v>
      </c>
      <c r="M1067" s="34">
        <v>41794</v>
      </c>
      <c r="N1067">
        <v>3.53</v>
      </c>
    </row>
    <row r="1068" spans="1:14" x14ac:dyDescent="0.2">
      <c r="A1068" s="34">
        <v>42273</v>
      </c>
      <c r="B1068">
        <v>5.3051899999999996</v>
      </c>
      <c r="C1068">
        <f t="shared" si="21"/>
        <v>3.05</v>
      </c>
      <c r="M1068" s="34">
        <v>41793</v>
      </c>
      <c r="N1068">
        <v>3.48</v>
      </c>
    </row>
    <row r="1069" spans="1:14" x14ac:dyDescent="0.2">
      <c r="A1069" s="34">
        <v>42272</v>
      </c>
      <c r="B1069">
        <v>5.3040589999999996</v>
      </c>
      <c r="C1069">
        <f t="shared" si="21"/>
        <v>3.05</v>
      </c>
      <c r="M1069" s="34">
        <v>41792</v>
      </c>
      <c r="N1069">
        <v>3.47</v>
      </c>
    </row>
    <row r="1070" spans="1:14" x14ac:dyDescent="0.2">
      <c r="A1070" s="34">
        <v>42271</v>
      </c>
      <c r="B1070">
        <v>5.3036640000000004</v>
      </c>
      <c r="C1070">
        <f t="shared" si="21"/>
        <v>2.96</v>
      </c>
      <c r="M1070" s="34">
        <v>41789</v>
      </c>
      <c r="N1070">
        <v>3.54</v>
      </c>
    </row>
    <row r="1071" spans="1:14" x14ac:dyDescent="0.2">
      <c r="A1071" s="34">
        <v>42270</v>
      </c>
      <c r="B1071">
        <v>5.3032690000000002</v>
      </c>
      <c r="C1071">
        <f t="shared" si="21"/>
        <v>2.93</v>
      </c>
      <c r="M1071" s="34">
        <v>41788</v>
      </c>
      <c r="N1071">
        <v>3.52</v>
      </c>
    </row>
    <row r="1072" spans="1:14" x14ac:dyDescent="0.2">
      <c r="A1072" s="34">
        <v>42269</v>
      </c>
      <c r="B1072">
        <v>5.3028740000000001</v>
      </c>
      <c r="C1072">
        <f t="shared" si="21"/>
        <v>2.95</v>
      </c>
      <c r="M1072" s="34">
        <v>41787</v>
      </c>
      <c r="N1072">
        <v>3.5</v>
      </c>
    </row>
    <row r="1073" spans="1:14" x14ac:dyDescent="0.2">
      <c r="A1073" s="34">
        <v>42268</v>
      </c>
      <c r="B1073">
        <v>5.3024789999999999</v>
      </c>
      <c r="C1073">
        <f t="shared" si="21"/>
        <v>2.85</v>
      </c>
      <c r="M1073" s="34">
        <v>41786</v>
      </c>
      <c r="N1073">
        <v>3.48</v>
      </c>
    </row>
    <row r="1074" spans="1:14" x14ac:dyDescent="0.2">
      <c r="A1074" s="34">
        <v>42267</v>
      </c>
      <c r="B1074">
        <v>5.3020839999999998</v>
      </c>
      <c r="C1074">
        <f t="shared" si="21"/>
        <v>2.95</v>
      </c>
      <c r="M1074" s="34">
        <v>41785</v>
      </c>
      <c r="N1074">
        <v>3.5</v>
      </c>
    </row>
    <row r="1075" spans="1:14" x14ac:dyDescent="0.2">
      <c r="A1075" s="34">
        <v>42266</v>
      </c>
      <c r="B1075">
        <v>5.3016889999999997</v>
      </c>
      <c r="C1075">
        <f t="shared" si="21"/>
        <v>2.95</v>
      </c>
      <c r="M1075" s="34">
        <v>41782</v>
      </c>
      <c r="N1075">
        <v>3.48</v>
      </c>
    </row>
    <row r="1076" spans="1:14" x14ac:dyDescent="0.2">
      <c r="A1076" s="34">
        <v>42265</v>
      </c>
      <c r="B1076">
        <v>5.3012940000000004</v>
      </c>
      <c r="C1076">
        <f t="shared" si="21"/>
        <v>2.95</v>
      </c>
      <c r="M1076" s="34">
        <v>41781</v>
      </c>
      <c r="N1076">
        <v>3.47</v>
      </c>
    </row>
    <row r="1077" spans="1:14" x14ac:dyDescent="0.2">
      <c r="A1077" s="34">
        <v>42264</v>
      </c>
      <c r="B1077">
        <v>5.3008990000000002</v>
      </c>
      <c r="C1077">
        <f t="shared" si="21"/>
        <v>2.92</v>
      </c>
      <c r="M1077" s="34">
        <v>41780</v>
      </c>
      <c r="N1077">
        <v>3.45</v>
      </c>
    </row>
    <row r="1078" spans="1:14" x14ac:dyDescent="0.2">
      <c r="A1078" s="34">
        <v>42263</v>
      </c>
      <c r="B1078">
        <v>5.3005050000000002</v>
      </c>
      <c r="C1078">
        <f t="shared" si="21"/>
        <v>2.98</v>
      </c>
      <c r="M1078" s="34">
        <v>41779</v>
      </c>
      <c r="N1078">
        <v>3.53</v>
      </c>
    </row>
    <row r="1079" spans="1:14" x14ac:dyDescent="0.2">
      <c r="A1079" s="34">
        <v>42262</v>
      </c>
      <c r="B1079">
        <v>5.3001100000000001</v>
      </c>
      <c r="C1079">
        <f t="shared" si="21"/>
        <v>2.98</v>
      </c>
      <c r="M1079" s="34">
        <v>41778</v>
      </c>
      <c r="N1079">
        <v>3.4</v>
      </c>
    </row>
    <row r="1080" spans="1:14" x14ac:dyDescent="0.2">
      <c r="A1080" s="34">
        <v>42261</v>
      </c>
      <c r="B1080">
        <v>5.299715</v>
      </c>
      <c r="C1080">
        <f t="shared" si="21"/>
        <v>3.04</v>
      </c>
      <c r="M1080" s="34">
        <v>41775</v>
      </c>
      <c r="N1080">
        <v>3.46</v>
      </c>
    </row>
    <row r="1081" spans="1:14" x14ac:dyDescent="0.2">
      <c r="A1081" s="34">
        <v>42260</v>
      </c>
      <c r="B1081">
        <v>5.2993209999999999</v>
      </c>
      <c r="C1081">
        <f t="shared" si="21"/>
        <v>3.03</v>
      </c>
      <c r="M1081" s="34">
        <v>41774</v>
      </c>
      <c r="N1081">
        <v>3.52</v>
      </c>
    </row>
    <row r="1082" spans="1:14" x14ac:dyDescent="0.2">
      <c r="A1082" s="34">
        <v>42259</v>
      </c>
      <c r="B1082">
        <v>5.2989259999999998</v>
      </c>
      <c r="C1082">
        <f t="shared" si="21"/>
        <v>3.03</v>
      </c>
      <c r="M1082" s="34">
        <v>41773</v>
      </c>
      <c r="N1082">
        <v>3.55</v>
      </c>
    </row>
    <row r="1083" spans="1:14" x14ac:dyDescent="0.2">
      <c r="A1083" s="34">
        <v>42258</v>
      </c>
      <c r="B1083">
        <v>5.2985309999999997</v>
      </c>
      <c r="C1083">
        <f t="shared" si="21"/>
        <v>3.03</v>
      </c>
      <c r="M1083" s="34">
        <v>41772</v>
      </c>
      <c r="N1083">
        <v>3.49</v>
      </c>
    </row>
    <row r="1084" spans="1:14" x14ac:dyDescent="0.2">
      <c r="A1084" s="34">
        <v>42257</v>
      </c>
      <c r="B1084">
        <v>5.2981369999999997</v>
      </c>
      <c r="C1084">
        <f t="shared" si="21"/>
        <v>3</v>
      </c>
      <c r="M1084" s="34">
        <v>41771</v>
      </c>
      <c r="N1084">
        <v>3.51</v>
      </c>
    </row>
    <row r="1085" spans="1:14" x14ac:dyDescent="0.2">
      <c r="A1085" s="34">
        <v>42256</v>
      </c>
      <c r="B1085">
        <v>5.2977550000000004</v>
      </c>
      <c r="C1085">
        <f t="shared" si="21"/>
        <v>3</v>
      </c>
      <c r="M1085" s="34">
        <v>41768</v>
      </c>
      <c r="N1085">
        <v>3.49</v>
      </c>
    </row>
    <row r="1086" spans="1:14" x14ac:dyDescent="0.2">
      <c r="A1086" s="34">
        <v>42255</v>
      </c>
      <c r="B1086">
        <v>5.2973730000000003</v>
      </c>
      <c r="C1086">
        <f t="shared" si="21"/>
        <v>3</v>
      </c>
      <c r="M1086" s="34">
        <v>41767</v>
      </c>
      <c r="N1086">
        <v>3.47</v>
      </c>
    </row>
    <row r="1087" spans="1:14" x14ac:dyDescent="0.2">
      <c r="A1087" s="34">
        <v>42254</v>
      </c>
      <c r="B1087">
        <v>5.2969920000000004</v>
      </c>
      <c r="C1087">
        <f t="shared" si="21"/>
        <v>2.95</v>
      </c>
      <c r="M1087" s="34">
        <v>41766</v>
      </c>
      <c r="N1087">
        <v>3.51</v>
      </c>
    </row>
    <row r="1088" spans="1:14" x14ac:dyDescent="0.2">
      <c r="A1088" s="34">
        <v>42253</v>
      </c>
      <c r="B1088">
        <v>5.2966100000000003</v>
      </c>
      <c r="C1088">
        <f t="shared" si="21"/>
        <v>3</v>
      </c>
      <c r="M1088" s="34">
        <v>41765</v>
      </c>
      <c r="N1088">
        <v>3.5</v>
      </c>
    </row>
    <row r="1089" spans="1:14" x14ac:dyDescent="0.2">
      <c r="A1089" s="34">
        <v>42252</v>
      </c>
      <c r="B1089">
        <v>5.2962280000000002</v>
      </c>
      <c r="C1089">
        <f t="shared" si="21"/>
        <v>3</v>
      </c>
      <c r="M1089" s="34">
        <v>41764</v>
      </c>
      <c r="N1089">
        <v>3.48</v>
      </c>
    </row>
    <row r="1090" spans="1:14" x14ac:dyDescent="0.2">
      <c r="A1090" s="34">
        <v>42251</v>
      </c>
      <c r="B1090">
        <v>5.2958470000000002</v>
      </c>
      <c r="C1090">
        <f t="shared" ref="C1090:C1153" si="22">IFERROR(VLOOKUP(A1090,$M$2:$N$3695,2,0),C1091)</f>
        <v>3</v>
      </c>
      <c r="M1090" s="34">
        <v>41761</v>
      </c>
      <c r="N1090">
        <v>3.48</v>
      </c>
    </row>
    <row r="1091" spans="1:14" x14ac:dyDescent="0.2">
      <c r="A1091" s="34">
        <v>42250</v>
      </c>
      <c r="B1091">
        <v>5.2954650000000001</v>
      </c>
      <c r="C1091">
        <f t="shared" si="22"/>
        <v>3.01</v>
      </c>
      <c r="M1091" s="34">
        <v>41759</v>
      </c>
      <c r="N1091">
        <v>3.56</v>
      </c>
    </row>
    <row r="1092" spans="1:14" x14ac:dyDescent="0.2">
      <c r="A1092" s="34">
        <v>42249</v>
      </c>
      <c r="B1092">
        <v>5.2950840000000001</v>
      </c>
      <c r="C1092">
        <f t="shared" si="22"/>
        <v>3</v>
      </c>
      <c r="M1092" s="34">
        <v>41758</v>
      </c>
      <c r="N1092">
        <v>3.52</v>
      </c>
    </row>
    <row r="1093" spans="1:14" x14ac:dyDescent="0.2">
      <c r="A1093" s="34">
        <v>42248</v>
      </c>
      <c r="B1093">
        <v>5.294702</v>
      </c>
      <c r="C1093">
        <f t="shared" si="22"/>
        <v>3</v>
      </c>
      <c r="M1093" s="34">
        <v>41757</v>
      </c>
      <c r="N1093">
        <v>3.7</v>
      </c>
    </row>
    <row r="1094" spans="1:14" x14ac:dyDescent="0.2">
      <c r="A1094" s="34">
        <v>42247</v>
      </c>
      <c r="B1094">
        <v>5.2943210000000001</v>
      </c>
      <c r="C1094">
        <f t="shared" si="22"/>
        <v>3.1</v>
      </c>
      <c r="M1094" s="34">
        <v>41754</v>
      </c>
      <c r="N1094">
        <v>3.52</v>
      </c>
    </row>
    <row r="1095" spans="1:14" x14ac:dyDescent="0.2">
      <c r="A1095" s="34">
        <v>42246</v>
      </c>
      <c r="B1095">
        <v>5.293939</v>
      </c>
      <c r="C1095">
        <f t="shared" si="22"/>
        <v>3.08</v>
      </c>
      <c r="M1095" s="34">
        <v>41753</v>
      </c>
      <c r="N1095">
        <v>3.5</v>
      </c>
    </row>
    <row r="1096" spans="1:14" x14ac:dyDescent="0.2">
      <c r="A1096" s="34">
        <v>42245</v>
      </c>
      <c r="B1096">
        <v>5.293558</v>
      </c>
      <c r="C1096">
        <f t="shared" si="22"/>
        <v>3.08</v>
      </c>
      <c r="M1096" s="34">
        <v>41752</v>
      </c>
      <c r="N1096">
        <v>3.5</v>
      </c>
    </row>
    <row r="1097" spans="1:14" x14ac:dyDescent="0.2">
      <c r="A1097" s="34">
        <v>42244</v>
      </c>
      <c r="B1097">
        <v>5.293177</v>
      </c>
      <c r="C1097">
        <f t="shared" si="22"/>
        <v>3.08</v>
      </c>
      <c r="M1097" s="34">
        <v>41751</v>
      </c>
      <c r="N1097">
        <v>3.48</v>
      </c>
    </row>
    <row r="1098" spans="1:14" x14ac:dyDescent="0.2">
      <c r="A1098" s="34">
        <v>42243</v>
      </c>
      <c r="B1098">
        <v>5.2927949999999999</v>
      </c>
      <c r="C1098">
        <f t="shared" si="22"/>
        <v>2.98</v>
      </c>
      <c r="M1098" s="34">
        <v>41750</v>
      </c>
      <c r="N1098">
        <v>3.45</v>
      </c>
    </row>
    <row r="1099" spans="1:14" x14ac:dyDescent="0.2">
      <c r="A1099" s="34">
        <v>42242</v>
      </c>
      <c r="B1099">
        <v>5.292414</v>
      </c>
      <c r="C1099">
        <f t="shared" si="22"/>
        <v>3.01</v>
      </c>
      <c r="M1099" s="34">
        <v>41745</v>
      </c>
      <c r="N1099">
        <v>3.45</v>
      </c>
    </row>
    <row r="1100" spans="1:14" x14ac:dyDescent="0.2">
      <c r="A1100" s="34">
        <v>42241</v>
      </c>
      <c r="B1100">
        <v>5.292033</v>
      </c>
      <c r="C1100">
        <f t="shared" si="22"/>
        <v>3</v>
      </c>
      <c r="M1100" s="34">
        <v>41744</v>
      </c>
      <c r="N1100">
        <v>3.5</v>
      </c>
    </row>
    <row r="1101" spans="1:14" x14ac:dyDescent="0.2">
      <c r="A1101" s="34">
        <v>42240</v>
      </c>
      <c r="B1101">
        <v>5.2917560000000003</v>
      </c>
      <c r="C1101">
        <f t="shared" si="22"/>
        <v>2.95</v>
      </c>
      <c r="M1101" s="34">
        <v>41743</v>
      </c>
      <c r="N1101">
        <v>3.52</v>
      </c>
    </row>
    <row r="1102" spans="1:14" x14ac:dyDescent="0.2">
      <c r="A1102" s="34">
        <v>42239</v>
      </c>
      <c r="B1102">
        <v>5.29148</v>
      </c>
      <c r="C1102">
        <f t="shared" si="22"/>
        <v>3.03</v>
      </c>
      <c r="M1102" s="34">
        <v>41740</v>
      </c>
      <c r="N1102">
        <v>3.47</v>
      </c>
    </row>
    <row r="1103" spans="1:14" x14ac:dyDescent="0.2">
      <c r="A1103" s="34">
        <v>42238</v>
      </c>
      <c r="B1103">
        <v>5.2912030000000003</v>
      </c>
      <c r="C1103">
        <f t="shared" si="22"/>
        <v>3.03</v>
      </c>
      <c r="M1103" s="34">
        <v>41739</v>
      </c>
      <c r="N1103">
        <v>3.52</v>
      </c>
    </row>
    <row r="1104" spans="1:14" x14ac:dyDescent="0.2">
      <c r="A1104" s="34">
        <v>42237</v>
      </c>
      <c r="B1104">
        <v>5.2909269999999999</v>
      </c>
      <c r="C1104">
        <f t="shared" si="22"/>
        <v>3.03</v>
      </c>
      <c r="M1104" s="34">
        <v>41738</v>
      </c>
      <c r="N1104">
        <v>3.49</v>
      </c>
    </row>
    <row r="1105" spans="1:14" x14ac:dyDescent="0.2">
      <c r="A1105" s="34">
        <v>42236</v>
      </c>
      <c r="B1105">
        <v>5.2906510000000004</v>
      </c>
      <c r="C1105">
        <f t="shared" si="22"/>
        <v>3.05</v>
      </c>
      <c r="M1105" s="34">
        <v>41737</v>
      </c>
      <c r="N1105">
        <v>3.51</v>
      </c>
    </row>
    <row r="1106" spans="1:14" x14ac:dyDescent="0.2">
      <c r="A1106" s="34">
        <v>42235</v>
      </c>
      <c r="B1106">
        <v>5.2903739999999999</v>
      </c>
      <c r="C1106">
        <f t="shared" si="22"/>
        <v>3</v>
      </c>
      <c r="M1106" s="34">
        <v>41736</v>
      </c>
      <c r="N1106">
        <v>3.52</v>
      </c>
    </row>
    <row r="1107" spans="1:14" x14ac:dyDescent="0.2">
      <c r="A1107" s="34">
        <v>42234</v>
      </c>
      <c r="B1107">
        <v>5.2900980000000004</v>
      </c>
      <c r="C1107">
        <f t="shared" si="22"/>
        <v>3</v>
      </c>
      <c r="M1107" s="34">
        <v>41733</v>
      </c>
      <c r="N1107">
        <v>3.55</v>
      </c>
    </row>
    <row r="1108" spans="1:14" x14ac:dyDescent="0.2">
      <c r="A1108" s="34">
        <v>42233</v>
      </c>
      <c r="B1108">
        <v>5.2898209999999999</v>
      </c>
      <c r="C1108">
        <f t="shared" si="22"/>
        <v>3</v>
      </c>
      <c r="M1108" s="34">
        <v>41732</v>
      </c>
      <c r="N1108">
        <v>3.51</v>
      </c>
    </row>
    <row r="1109" spans="1:14" x14ac:dyDescent="0.2">
      <c r="A1109" s="34">
        <v>42232</v>
      </c>
      <c r="B1109">
        <v>5.2895450000000004</v>
      </c>
      <c r="C1109">
        <f t="shared" si="22"/>
        <v>3</v>
      </c>
      <c r="M1109" s="34">
        <v>41731</v>
      </c>
      <c r="N1109">
        <v>3.5</v>
      </c>
    </row>
    <row r="1110" spans="1:14" x14ac:dyDescent="0.2">
      <c r="A1110" s="34">
        <v>42231</v>
      </c>
      <c r="B1110">
        <v>5.289269</v>
      </c>
      <c r="C1110">
        <f t="shared" si="22"/>
        <v>3</v>
      </c>
      <c r="M1110" s="34">
        <v>41730</v>
      </c>
      <c r="N1110">
        <v>3.48</v>
      </c>
    </row>
    <row r="1111" spans="1:14" x14ac:dyDescent="0.2">
      <c r="A1111" s="34">
        <v>42230</v>
      </c>
      <c r="B1111">
        <v>5.2889920000000004</v>
      </c>
      <c r="C1111">
        <f t="shared" si="22"/>
        <v>3</v>
      </c>
      <c r="M1111" s="34">
        <v>41729</v>
      </c>
      <c r="N1111">
        <v>3.5</v>
      </c>
    </row>
    <row r="1112" spans="1:14" x14ac:dyDescent="0.2">
      <c r="A1112" s="34">
        <v>42229</v>
      </c>
      <c r="B1112">
        <v>5.288716</v>
      </c>
      <c r="C1112">
        <f t="shared" si="22"/>
        <v>2.98</v>
      </c>
      <c r="M1112" s="34">
        <v>41726</v>
      </c>
      <c r="N1112">
        <v>3.53</v>
      </c>
    </row>
    <row r="1113" spans="1:14" x14ac:dyDescent="0.2">
      <c r="A1113" s="34">
        <v>42228</v>
      </c>
      <c r="B1113">
        <v>5.2884399999999996</v>
      </c>
      <c r="C1113">
        <f t="shared" si="22"/>
        <v>3.1</v>
      </c>
      <c r="M1113" s="34">
        <v>41725</v>
      </c>
      <c r="N1113">
        <v>3.48</v>
      </c>
    </row>
    <row r="1114" spans="1:14" x14ac:dyDescent="0.2">
      <c r="A1114" s="34">
        <v>42227</v>
      </c>
      <c r="B1114">
        <v>5.2881640000000001</v>
      </c>
      <c r="C1114">
        <f t="shared" si="22"/>
        <v>3.25</v>
      </c>
      <c r="M1114" s="34">
        <v>41724</v>
      </c>
      <c r="N1114">
        <v>3.6</v>
      </c>
    </row>
    <row r="1115" spans="1:14" x14ac:dyDescent="0.2">
      <c r="A1115" s="34">
        <v>42226</v>
      </c>
      <c r="B1115">
        <v>5.2878869999999996</v>
      </c>
      <c r="C1115">
        <f t="shared" si="22"/>
        <v>3.1</v>
      </c>
      <c r="M1115" s="34">
        <v>41723</v>
      </c>
      <c r="N1115">
        <v>3.47</v>
      </c>
    </row>
    <row r="1116" spans="1:14" x14ac:dyDescent="0.2">
      <c r="A1116" s="34">
        <v>42225</v>
      </c>
      <c r="B1116">
        <v>5.2875769999999997</v>
      </c>
      <c r="C1116">
        <f t="shared" si="22"/>
        <v>3.03</v>
      </c>
      <c r="M1116" s="34">
        <v>41722</v>
      </c>
      <c r="N1116">
        <v>3.46</v>
      </c>
    </row>
    <row r="1117" spans="1:14" x14ac:dyDescent="0.2">
      <c r="A1117" s="34">
        <v>42224</v>
      </c>
      <c r="B1117">
        <v>5.2872659999999998</v>
      </c>
      <c r="C1117">
        <f t="shared" si="22"/>
        <v>3.03</v>
      </c>
      <c r="M1117" s="34">
        <v>41719</v>
      </c>
      <c r="N1117">
        <v>3.5</v>
      </c>
    </row>
    <row r="1118" spans="1:14" x14ac:dyDescent="0.2">
      <c r="A1118" s="34">
        <v>42223</v>
      </c>
      <c r="B1118">
        <v>5.286956</v>
      </c>
      <c r="C1118">
        <f t="shared" si="22"/>
        <v>3.03</v>
      </c>
      <c r="M1118" s="34">
        <v>41718</v>
      </c>
      <c r="N1118">
        <v>3.45</v>
      </c>
    </row>
    <row r="1119" spans="1:14" x14ac:dyDescent="0.2">
      <c r="A1119" s="34">
        <v>42222</v>
      </c>
      <c r="B1119">
        <v>5.2866460000000002</v>
      </c>
      <c r="C1119">
        <f t="shared" si="22"/>
        <v>3.12</v>
      </c>
      <c r="M1119" s="34">
        <v>41717</v>
      </c>
      <c r="N1119">
        <v>3.48</v>
      </c>
    </row>
    <row r="1120" spans="1:14" x14ac:dyDescent="0.2">
      <c r="A1120" s="34">
        <v>42221</v>
      </c>
      <c r="B1120">
        <v>5.2863350000000002</v>
      </c>
      <c r="C1120">
        <f t="shared" si="22"/>
        <v>3</v>
      </c>
      <c r="M1120" s="34">
        <v>41716</v>
      </c>
      <c r="N1120">
        <v>3.48</v>
      </c>
    </row>
    <row r="1121" spans="1:14" x14ac:dyDescent="0.2">
      <c r="A1121" s="34">
        <v>42220</v>
      </c>
      <c r="B1121">
        <v>5.2860250000000004</v>
      </c>
      <c r="C1121">
        <f t="shared" si="22"/>
        <v>2.98</v>
      </c>
      <c r="M1121" s="34">
        <v>41712</v>
      </c>
      <c r="N1121">
        <v>3.45</v>
      </c>
    </row>
    <row r="1122" spans="1:14" x14ac:dyDescent="0.2">
      <c r="A1122" s="34">
        <v>42219</v>
      </c>
      <c r="B1122">
        <v>5.2857149999999997</v>
      </c>
      <c r="C1122">
        <f t="shared" si="22"/>
        <v>3.07</v>
      </c>
      <c r="M1122" s="34">
        <v>41711</v>
      </c>
      <c r="N1122">
        <v>3.52</v>
      </c>
    </row>
    <row r="1123" spans="1:14" x14ac:dyDescent="0.2">
      <c r="A1123" s="34">
        <v>42218</v>
      </c>
      <c r="B1123">
        <v>5.2854039999999998</v>
      </c>
      <c r="C1123">
        <f t="shared" si="22"/>
        <v>3.05</v>
      </c>
      <c r="M1123" s="34">
        <v>41710</v>
      </c>
      <c r="N1123">
        <v>3.48</v>
      </c>
    </row>
    <row r="1124" spans="1:14" x14ac:dyDescent="0.2">
      <c r="A1124" s="34">
        <v>42217</v>
      </c>
      <c r="B1124">
        <v>5.285094</v>
      </c>
      <c r="C1124">
        <f t="shared" si="22"/>
        <v>3.05</v>
      </c>
      <c r="M1124" s="34">
        <v>41709</v>
      </c>
      <c r="N1124">
        <v>3.5</v>
      </c>
    </row>
    <row r="1125" spans="1:14" x14ac:dyDescent="0.2">
      <c r="A1125" s="34">
        <v>42216</v>
      </c>
      <c r="B1125">
        <v>5.2847840000000001</v>
      </c>
      <c r="C1125">
        <f t="shared" si="22"/>
        <v>3.05</v>
      </c>
      <c r="M1125" s="34">
        <v>41708</v>
      </c>
      <c r="N1125">
        <v>3.47</v>
      </c>
    </row>
    <row r="1126" spans="1:14" x14ac:dyDescent="0.2">
      <c r="A1126" s="34">
        <v>42215</v>
      </c>
      <c r="B1126">
        <v>5.2844730000000002</v>
      </c>
      <c r="C1126">
        <f t="shared" si="22"/>
        <v>3.1</v>
      </c>
      <c r="M1126" s="34">
        <v>41705</v>
      </c>
      <c r="N1126">
        <v>3.4</v>
      </c>
    </row>
    <row r="1127" spans="1:14" x14ac:dyDescent="0.2">
      <c r="A1127" s="34">
        <v>42214</v>
      </c>
      <c r="B1127">
        <v>5.2841630000000004</v>
      </c>
      <c r="C1127">
        <f t="shared" si="22"/>
        <v>3.04</v>
      </c>
      <c r="M1127" s="34">
        <v>41704</v>
      </c>
      <c r="N1127">
        <v>3.45</v>
      </c>
    </row>
    <row r="1128" spans="1:14" x14ac:dyDescent="0.2">
      <c r="A1128" s="34">
        <v>42213</v>
      </c>
      <c r="B1128">
        <v>5.2838529999999997</v>
      </c>
      <c r="C1128">
        <f t="shared" si="22"/>
        <v>2.95</v>
      </c>
      <c r="M1128" s="34">
        <v>41703</v>
      </c>
      <c r="N1128">
        <v>3.53</v>
      </c>
    </row>
    <row r="1129" spans="1:14" x14ac:dyDescent="0.2">
      <c r="A1129" s="34">
        <v>42212</v>
      </c>
      <c r="B1129">
        <v>5.2835429999999999</v>
      </c>
      <c r="C1129">
        <f t="shared" si="22"/>
        <v>3.05</v>
      </c>
      <c r="M1129" s="34">
        <v>41702</v>
      </c>
      <c r="N1129">
        <v>3.47</v>
      </c>
    </row>
    <row r="1130" spans="1:14" x14ac:dyDescent="0.2">
      <c r="A1130" s="34">
        <v>42211</v>
      </c>
      <c r="B1130">
        <v>5.2832319999999999</v>
      </c>
      <c r="C1130">
        <f t="shared" si="22"/>
        <v>2.97</v>
      </c>
      <c r="M1130" s="34">
        <v>41701</v>
      </c>
      <c r="N1130">
        <v>3.47</v>
      </c>
    </row>
    <row r="1131" spans="1:14" x14ac:dyDescent="0.2">
      <c r="A1131" s="34">
        <v>42210</v>
      </c>
      <c r="B1131">
        <v>5.2829220000000001</v>
      </c>
      <c r="C1131">
        <f t="shared" si="22"/>
        <v>2.97</v>
      </c>
      <c r="M1131" s="34">
        <v>41698</v>
      </c>
      <c r="N1131">
        <v>3.5</v>
      </c>
    </row>
    <row r="1132" spans="1:14" x14ac:dyDescent="0.2">
      <c r="A1132" s="34">
        <v>42209</v>
      </c>
      <c r="B1132">
        <v>5.2828220000000004</v>
      </c>
      <c r="C1132">
        <f t="shared" si="22"/>
        <v>2.97</v>
      </c>
      <c r="M1132" s="34">
        <v>41697</v>
      </c>
      <c r="N1132">
        <v>3.49</v>
      </c>
    </row>
    <row r="1133" spans="1:14" x14ac:dyDescent="0.2">
      <c r="A1133" s="34">
        <v>42208</v>
      </c>
      <c r="B1133">
        <v>5.2827219999999997</v>
      </c>
      <c r="C1133">
        <f t="shared" si="22"/>
        <v>2.95</v>
      </c>
      <c r="M1133" s="34">
        <v>41696</v>
      </c>
      <c r="N1133">
        <v>3.5</v>
      </c>
    </row>
    <row r="1134" spans="1:14" x14ac:dyDescent="0.2">
      <c r="A1134" s="34">
        <v>42207</v>
      </c>
      <c r="B1134">
        <v>5.2826209999999998</v>
      </c>
      <c r="C1134">
        <f t="shared" si="22"/>
        <v>2.9</v>
      </c>
      <c r="M1134" s="34">
        <v>41695</v>
      </c>
      <c r="N1134">
        <v>3.52</v>
      </c>
    </row>
    <row r="1135" spans="1:14" x14ac:dyDescent="0.2">
      <c r="A1135" s="34">
        <v>42206</v>
      </c>
      <c r="B1135">
        <v>5.282521</v>
      </c>
      <c r="C1135">
        <f t="shared" si="22"/>
        <v>3.06</v>
      </c>
      <c r="M1135" s="34">
        <v>41694</v>
      </c>
      <c r="N1135">
        <v>3.47</v>
      </c>
    </row>
    <row r="1136" spans="1:14" x14ac:dyDescent="0.2">
      <c r="A1136" s="34">
        <v>42205</v>
      </c>
      <c r="B1136">
        <v>5.2824210000000003</v>
      </c>
      <c r="C1136">
        <f t="shared" si="22"/>
        <v>3.02</v>
      </c>
      <c r="M1136" s="34">
        <v>41691</v>
      </c>
      <c r="N1136">
        <v>3.5</v>
      </c>
    </row>
    <row r="1137" spans="1:14" x14ac:dyDescent="0.2">
      <c r="A1137" s="34">
        <v>42204</v>
      </c>
      <c r="B1137">
        <v>5.2823209999999996</v>
      </c>
      <c r="C1137">
        <f t="shared" si="22"/>
        <v>2.98</v>
      </c>
      <c r="M1137" s="34">
        <v>41690</v>
      </c>
      <c r="N1137">
        <v>3.5</v>
      </c>
    </row>
    <row r="1138" spans="1:14" x14ac:dyDescent="0.2">
      <c r="A1138" s="34">
        <v>42203</v>
      </c>
      <c r="B1138">
        <v>5.2822209999999998</v>
      </c>
      <c r="C1138">
        <f t="shared" si="22"/>
        <v>2.98</v>
      </c>
      <c r="M1138" s="34">
        <v>41689</v>
      </c>
      <c r="N1138">
        <v>3.53</v>
      </c>
    </row>
    <row r="1139" spans="1:14" x14ac:dyDescent="0.2">
      <c r="A1139" s="34">
        <v>42202</v>
      </c>
      <c r="B1139">
        <v>5.2821199999999999</v>
      </c>
      <c r="C1139">
        <f t="shared" si="22"/>
        <v>2.98</v>
      </c>
      <c r="M1139" s="34">
        <v>41688</v>
      </c>
      <c r="N1139">
        <v>3.47</v>
      </c>
    </row>
    <row r="1140" spans="1:14" x14ac:dyDescent="0.2">
      <c r="A1140" s="34">
        <v>42201</v>
      </c>
      <c r="B1140">
        <v>5.2820200000000002</v>
      </c>
      <c r="C1140">
        <f t="shared" si="22"/>
        <v>3.2</v>
      </c>
      <c r="M1140" s="34">
        <v>41687</v>
      </c>
      <c r="N1140">
        <v>3.5</v>
      </c>
    </row>
    <row r="1141" spans="1:14" x14ac:dyDescent="0.2">
      <c r="A1141" s="34">
        <v>42200</v>
      </c>
      <c r="B1141">
        <v>5.2819200000000004</v>
      </c>
      <c r="C1141">
        <f t="shared" si="22"/>
        <v>2.95</v>
      </c>
      <c r="M1141" s="34">
        <v>41684</v>
      </c>
      <c r="N1141">
        <v>3.47</v>
      </c>
    </row>
    <row r="1142" spans="1:14" x14ac:dyDescent="0.2">
      <c r="A1142" s="34">
        <v>42199</v>
      </c>
      <c r="B1142">
        <v>5.2818199999999997</v>
      </c>
      <c r="C1142">
        <f t="shared" si="22"/>
        <v>2.95</v>
      </c>
      <c r="M1142" s="34">
        <v>41683</v>
      </c>
      <c r="N1142">
        <v>3.47</v>
      </c>
    </row>
    <row r="1143" spans="1:14" x14ac:dyDescent="0.2">
      <c r="A1143" s="34">
        <v>42198</v>
      </c>
      <c r="B1143">
        <v>5.28172</v>
      </c>
      <c r="C1143">
        <f t="shared" si="22"/>
        <v>3</v>
      </c>
      <c r="M1143" s="34">
        <v>41682</v>
      </c>
      <c r="N1143">
        <v>3.45</v>
      </c>
    </row>
    <row r="1144" spans="1:14" x14ac:dyDescent="0.2">
      <c r="A1144" s="34">
        <v>42197</v>
      </c>
      <c r="B1144">
        <v>5.2816190000000001</v>
      </c>
      <c r="C1144">
        <f t="shared" si="22"/>
        <v>2.95</v>
      </c>
      <c r="M1144" s="34">
        <v>41681</v>
      </c>
      <c r="N1144">
        <v>3.47</v>
      </c>
    </row>
    <row r="1145" spans="1:14" x14ac:dyDescent="0.2">
      <c r="A1145" s="34">
        <v>42196</v>
      </c>
      <c r="B1145">
        <v>5.2815190000000003</v>
      </c>
      <c r="C1145">
        <f t="shared" si="22"/>
        <v>2.95</v>
      </c>
      <c r="M1145" s="34">
        <v>41680</v>
      </c>
      <c r="N1145">
        <v>3.48</v>
      </c>
    </row>
    <row r="1146" spans="1:14" x14ac:dyDescent="0.2">
      <c r="A1146" s="34">
        <v>42195</v>
      </c>
      <c r="B1146">
        <v>5.2814189999999996</v>
      </c>
      <c r="C1146">
        <f t="shared" si="22"/>
        <v>2.95</v>
      </c>
      <c r="M1146" s="34">
        <v>41677</v>
      </c>
      <c r="N1146">
        <v>3.47</v>
      </c>
    </row>
    <row r="1147" spans="1:14" x14ac:dyDescent="0.2">
      <c r="A1147" s="34">
        <v>42194</v>
      </c>
      <c r="B1147">
        <v>5.2809540000000004</v>
      </c>
      <c r="C1147">
        <f t="shared" si="22"/>
        <v>2.96</v>
      </c>
      <c r="M1147" s="34">
        <v>41676</v>
      </c>
      <c r="N1147">
        <v>3.45</v>
      </c>
    </row>
    <row r="1148" spans="1:14" x14ac:dyDescent="0.2">
      <c r="A1148" s="34">
        <v>42193</v>
      </c>
      <c r="B1148">
        <v>5.2804890000000002</v>
      </c>
      <c r="C1148">
        <f t="shared" si="22"/>
        <v>2.98</v>
      </c>
      <c r="M1148" s="34">
        <v>41675</v>
      </c>
      <c r="N1148">
        <v>3.46</v>
      </c>
    </row>
    <row r="1149" spans="1:14" x14ac:dyDescent="0.2">
      <c r="A1149" s="34">
        <v>42192</v>
      </c>
      <c r="B1149">
        <v>5.2800240000000001</v>
      </c>
      <c r="C1149">
        <f t="shared" si="22"/>
        <v>3.02</v>
      </c>
      <c r="M1149" s="34">
        <v>41674</v>
      </c>
      <c r="N1149">
        <v>3.47</v>
      </c>
    </row>
    <row r="1150" spans="1:14" x14ac:dyDescent="0.2">
      <c r="A1150" s="34">
        <v>42191</v>
      </c>
      <c r="B1150">
        <v>5.2795589999999999</v>
      </c>
      <c r="C1150">
        <f t="shared" si="22"/>
        <v>3.11</v>
      </c>
      <c r="M1150" s="34">
        <v>41670</v>
      </c>
      <c r="N1150">
        <v>3.52</v>
      </c>
    </row>
    <row r="1151" spans="1:14" x14ac:dyDescent="0.2">
      <c r="A1151" s="34">
        <v>42190</v>
      </c>
      <c r="B1151">
        <v>5.2790949999999999</v>
      </c>
      <c r="C1151">
        <f t="shared" si="22"/>
        <v>3.25</v>
      </c>
      <c r="M1151" s="34">
        <v>41669</v>
      </c>
      <c r="N1151">
        <v>3.48</v>
      </c>
    </row>
    <row r="1152" spans="1:14" x14ac:dyDescent="0.2">
      <c r="A1152" s="34">
        <v>42189</v>
      </c>
      <c r="B1152">
        <v>5.2786299999999997</v>
      </c>
      <c r="C1152">
        <f t="shared" si="22"/>
        <v>3.25</v>
      </c>
      <c r="M1152" s="34">
        <v>41668</v>
      </c>
      <c r="N1152">
        <v>3.46</v>
      </c>
    </row>
    <row r="1153" spans="1:14" x14ac:dyDescent="0.2">
      <c r="A1153" s="34">
        <v>42188</v>
      </c>
      <c r="B1153">
        <v>5.2781650000000004</v>
      </c>
      <c r="C1153">
        <f t="shared" si="22"/>
        <v>3.25</v>
      </c>
      <c r="M1153" s="34">
        <v>41667</v>
      </c>
      <c r="N1153">
        <v>3.4</v>
      </c>
    </row>
    <row r="1154" spans="1:14" x14ac:dyDescent="0.2">
      <c r="A1154" s="34">
        <v>42187</v>
      </c>
      <c r="B1154">
        <v>5.2777010000000004</v>
      </c>
      <c r="C1154">
        <f t="shared" ref="C1154:C1217" si="23">IFERROR(VLOOKUP(A1154,$M$2:$N$3695,2,0),C1155)</f>
        <v>2.97</v>
      </c>
      <c r="M1154" s="34">
        <v>41666</v>
      </c>
      <c r="N1154">
        <v>3.48</v>
      </c>
    </row>
    <row r="1155" spans="1:14" x14ac:dyDescent="0.2">
      <c r="A1155" s="34">
        <v>42186</v>
      </c>
      <c r="B1155">
        <v>5.2772360000000003</v>
      </c>
      <c r="C1155">
        <f t="shared" si="23"/>
        <v>3</v>
      </c>
      <c r="M1155" s="34">
        <v>41663</v>
      </c>
      <c r="N1155">
        <v>3.5</v>
      </c>
    </row>
    <row r="1156" spans="1:14" x14ac:dyDescent="0.2">
      <c r="A1156" s="34">
        <v>42185</v>
      </c>
      <c r="B1156">
        <v>5.2767720000000002</v>
      </c>
      <c r="C1156">
        <f t="shared" si="23"/>
        <v>3.15</v>
      </c>
      <c r="M1156" s="34">
        <v>41662</v>
      </c>
      <c r="N1156">
        <v>3.48</v>
      </c>
    </row>
    <row r="1157" spans="1:14" x14ac:dyDescent="0.2">
      <c r="A1157" s="34">
        <v>42184</v>
      </c>
      <c r="B1157">
        <v>5.2763070000000001</v>
      </c>
      <c r="C1157">
        <f t="shared" si="23"/>
        <v>3.24</v>
      </c>
      <c r="M1157" s="34">
        <v>41661</v>
      </c>
      <c r="N1157">
        <v>3.52</v>
      </c>
    </row>
    <row r="1158" spans="1:14" x14ac:dyDescent="0.2">
      <c r="A1158" s="34">
        <v>42183</v>
      </c>
      <c r="B1158">
        <v>5.2758430000000001</v>
      </c>
      <c r="C1158">
        <f t="shared" si="23"/>
        <v>3.15</v>
      </c>
      <c r="M1158" s="34">
        <v>41660</v>
      </c>
      <c r="N1158">
        <v>3.43</v>
      </c>
    </row>
    <row r="1159" spans="1:14" x14ac:dyDescent="0.2">
      <c r="A1159" s="34">
        <v>42182</v>
      </c>
      <c r="B1159">
        <v>5.2753779999999999</v>
      </c>
      <c r="C1159">
        <f t="shared" si="23"/>
        <v>3.15</v>
      </c>
      <c r="M1159" s="34">
        <v>41659</v>
      </c>
      <c r="N1159">
        <v>3.49</v>
      </c>
    </row>
    <row r="1160" spans="1:14" x14ac:dyDescent="0.2">
      <c r="A1160" s="34">
        <v>42181</v>
      </c>
      <c r="B1160">
        <v>5.2749139999999999</v>
      </c>
      <c r="C1160">
        <f t="shared" si="23"/>
        <v>3.15</v>
      </c>
      <c r="M1160" s="34">
        <v>41656</v>
      </c>
      <c r="N1160">
        <v>3.5</v>
      </c>
    </row>
    <row r="1161" spans="1:14" x14ac:dyDescent="0.2">
      <c r="A1161" s="34">
        <v>42180</v>
      </c>
      <c r="B1161">
        <v>5.2744489999999997</v>
      </c>
      <c r="C1161">
        <f t="shared" si="23"/>
        <v>3.1</v>
      </c>
      <c r="M1161" s="34">
        <v>41655</v>
      </c>
      <c r="N1161">
        <v>3.5</v>
      </c>
    </row>
    <row r="1162" spans="1:14" x14ac:dyDescent="0.2">
      <c r="A1162" s="34">
        <v>42179</v>
      </c>
      <c r="B1162">
        <v>5.2743010000000004</v>
      </c>
      <c r="C1162">
        <f t="shared" si="23"/>
        <v>2.98</v>
      </c>
      <c r="M1162" s="34">
        <v>41654</v>
      </c>
      <c r="N1162">
        <v>3.55</v>
      </c>
    </row>
    <row r="1163" spans="1:14" x14ac:dyDescent="0.2">
      <c r="A1163" s="34">
        <v>42178</v>
      </c>
      <c r="B1163">
        <v>5.274152</v>
      </c>
      <c r="C1163">
        <f t="shared" si="23"/>
        <v>3</v>
      </c>
      <c r="M1163" s="34">
        <v>41653</v>
      </c>
      <c r="N1163">
        <v>3.45</v>
      </c>
    </row>
    <row r="1164" spans="1:14" x14ac:dyDescent="0.2">
      <c r="A1164" s="34">
        <v>42177</v>
      </c>
      <c r="B1164">
        <v>5.2740030000000004</v>
      </c>
      <c r="C1164">
        <f t="shared" si="23"/>
        <v>3</v>
      </c>
      <c r="M1164" s="34">
        <v>41652</v>
      </c>
      <c r="N1164">
        <v>3.45</v>
      </c>
    </row>
    <row r="1165" spans="1:14" x14ac:dyDescent="0.2">
      <c r="A1165" s="34">
        <v>42176</v>
      </c>
      <c r="B1165">
        <v>5.273854</v>
      </c>
      <c r="C1165">
        <f t="shared" si="23"/>
        <v>3.05</v>
      </c>
      <c r="M1165" s="34">
        <v>41649</v>
      </c>
      <c r="N1165">
        <v>3.47</v>
      </c>
    </row>
    <row r="1166" spans="1:14" x14ac:dyDescent="0.2">
      <c r="A1166" s="34">
        <v>42175</v>
      </c>
      <c r="B1166">
        <v>5.2737049999999996</v>
      </c>
      <c r="C1166">
        <f t="shared" si="23"/>
        <v>3.05</v>
      </c>
      <c r="M1166" s="34">
        <v>41648</v>
      </c>
      <c r="N1166">
        <v>3.44</v>
      </c>
    </row>
    <row r="1167" spans="1:14" x14ac:dyDescent="0.2">
      <c r="A1167" s="34">
        <v>42174</v>
      </c>
      <c r="B1167">
        <v>5.2735560000000001</v>
      </c>
      <c r="C1167">
        <f t="shared" si="23"/>
        <v>3.05</v>
      </c>
      <c r="M1167" s="34">
        <v>41647</v>
      </c>
      <c r="N1167">
        <v>3.45</v>
      </c>
    </row>
    <row r="1168" spans="1:14" x14ac:dyDescent="0.2">
      <c r="A1168" s="34">
        <v>42173</v>
      </c>
      <c r="B1168">
        <v>5.2734079999999999</v>
      </c>
      <c r="C1168">
        <f t="shared" si="23"/>
        <v>3.05</v>
      </c>
      <c r="M1168" s="34">
        <v>41646</v>
      </c>
      <c r="N1168">
        <v>3.42</v>
      </c>
    </row>
    <row r="1169" spans="1:14" x14ac:dyDescent="0.2">
      <c r="A1169" s="34">
        <v>42172</v>
      </c>
      <c r="B1169">
        <v>5.2732590000000004</v>
      </c>
      <c r="C1169">
        <f t="shared" si="23"/>
        <v>3.02</v>
      </c>
      <c r="M1169" s="34">
        <v>41645</v>
      </c>
      <c r="N1169">
        <v>3.45</v>
      </c>
    </row>
    <row r="1170" spans="1:14" x14ac:dyDescent="0.2">
      <c r="A1170" s="34">
        <v>42171</v>
      </c>
      <c r="B1170">
        <v>5.27311</v>
      </c>
      <c r="C1170">
        <f t="shared" si="23"/>
        <v>3.07</v>
      </c>
      <c r="M1170" s="34">
        <v>41642</v>
      </c>
      <c r="N1170">
        <v>3.46</v>
      </c>
    </row>
    <row r="1171" spans="1:14" x14ac:dyDescent="0.2">
      <c r="A1171" s="34">
        <v>42170</v>
      </c>
      <c r="B1171">
        <v>5.2729609999999996</v>
      </c>
      <c r="C1171">
        <f t="shared" si="23"/>
        <v>3</v>
      </c>
      <c r="M1171" s="34">
        <v>41641</v>
      </c>
      <c r="N1171">
        <v>3.54</v>
      </c>
    </row>
    <row r="1172" spans="1:14" x14ac:dyDescent="0.2">
      <c r="A1172" s="34">
        <v>42169</v>
      </c>
      <c r="B1172">
        <v>5.2728120000000001</v>
      </c>
      <c r="C1172">
        <f t="shared" si="23"/>
        <v>3.08</v>
      </c>
      <c r="M1172" s="34">
        <v>41639</v>
      </c>
      <c r="N1172">
        <v>3.5</v>
      </c>
    </row>
    <row r="1173" spans="1:14" x14ac:dyDescent="0.2">
      <c r="A1173" s="34">
        <v>42168</v>
      </c>
      <c r="B1173">
        <v>5.2726639999999998</v>
      </c>
      <c r="C1173">
        <f t="shared" si="23"/>
        <v>3.08</v>
      </c>
      <c r="M1173" s="34">
        <v>41638</v>
      </c>
      <c r="N1173">
        <v>3.64</v>
      </c>
    </row>
    <row r="1174" spans="1:14" x14ac:dyDescent="0.2">
      <c r="A1174" s="34">
        <v>42167</v>
      </c>
      <c r="B1174">
        <v>5.2725150000000003</v>
      </c>
      <c r="C1174">
        <f t="shared" si="23"/>
        <v>3.08</v>
      </c>
      <c r="M1174" s="34">
        <v>41635</v>
      </c>
      <c r="N1174">
        <v>3.5</v>
      </c>
    </row>
    <row r="1175" spans="1:14" x14ac:dyDescent="0.2">
      <c r="A1175" s="34">
        <v>42166</v>
      </c>
      <c r="B1175">
        <v>5.2723659999999999</v>
      </c>
      <c r="C1175">
        <f t="shared" si="23"/>
        <v>3</v>
      </c>
      <c r="M1175" s="34">
        <v>41634</v>
      </c>
      <c r="N1175">
        <v>3.5</v>
      </c>
    </row>
    <row r="1176" spans="1:14" x14ac:dyDescent="0.2">
      <c r="A1176" s="34">
        <v>42165</v>
      </c>
      <c r="B1176">
        <v>5.2722170000000004</v>
      </c>
      <c r="C1176">
        <f t="shared" si="23"/>
        <v>3</v>
      </c>
      <c r="M1176" s="34">
        <v>41632</v>
      </c>
      <c r="N1176">
        <v>3.52</v>
      </c>
    </row>
    <row r="1177" spans="1:14" x14ac:dyDescent="0.2">
      <c r="A1177" s="34">
        <v>42164</v>
      </c>
      <c r="B1177">
        <v>5.2739700000000003</v>
      </c>
      <c r="C1177">
        <f t="shared" si="23"/>
        <v>3</v>
      </c>
      <c r="M1177" s="34">
        <v>41631</v>
      </c>
      <c r="N1177">
        <v>3.58</v>
      </c>
    </row>
    <row r="1178" spans="1:14" x14ac:dyDescent="0.2">
      <c r="A1178" s="34">
        <v>42163</v>
      </c>
      <c r="B1178">
        <v>5.275722</v>
      </c>
      <c r="C1178">
        <f t="shared" si="23"/>
        <v>3.05</v>
      </c>
      <c r="M1178" s="34">
        <v>41628</v>
      </c>
      <c r="N1178">
        <v>3.5</v>
      </c>
    </row>
    <row r="1179" spans="1:14" x14ac:dyDescent="0.2">
      <c r="A1179" s="34">
        <v>42162</v>
      </c>
      <c r="B1179">
        <v>5.2774760000000001</v>
      </c>
      <c r="C1179">
        <f t="shared" si="23"/>
        <v>3.13</v>
      </c>
      <c r="M1179" s="34">
        <v>41627</v>
      </c>
      <c r="N1179">
        <v>3.48</v>
      </c>
    </row>
    <row r="1180" spans="1:14" x14ac:dyDescent="0.2">
      <c r="A1180" s="34">
        <v>42161</v>
      </c>
      <c r="B1180">
        <v>5.2792300000000001</v>
      </c>
      <c r="C1180">
        <f t="shared" si="23"/>
        <v>3.13</v>
      </c>
      <c r="M1180" s="34">
        <v>41626</v>
      </c>
      <c r="N1180">
        <v>3.65</v>
      </c>
    </row>
    <row r="1181" spans="1:14" x14ac:dyDescent="0.2">
      <c r="A1181" s="34">
        <v>42160</v>
      </c>
      <c r="B1181">
        <v>5.2809840000000001</v>
      </c>
      <c r="C1181">
        <f t="shared" si="23"/>
        <v>3.13</v>
      </c>
      <c r="M1181" s="34">
        <v>41625</v>
      </c>
      <c r="N1181">
        <v>3.5</v>
      </c>
    </row>
    <row r="1182" spans="1:14" x14ac:dyDescent="0.2">
      <c r="A1182" s="34">
        <v>42159</v>
      </c>
      <c r="B1182">
        <v>5.2827400000000004</v>
      </c>
      <c r="C1182">
        <f t="shared" si="23"/>
        <v>3.07</v>
      </c>
      <c r="M1182" s="34">
        <v>41624</v>
      </c>
      <c r="N1182">
        <v>3.5</v>
      </c>
    </row>
    <row r="1183" spans="1:14" x14ac:dyDescent="0.2">
      <c r="A1183" s="34">
        <v>42158</v>
      </c>
      <c r="B1183">
        <v>5.2844949999999997</v>
      </c>
      <c r="C1183">
        <f t="shared" si="23"/>
        <v>3.03</v>
      </c>
      <c r="M1183" s="34">
        <v>41621</v>
      </c>
      <c r="N1183">
        <v>3.75</v>
      </c>
    </row>
    <row r="1184" spans="1:14" x14ac:dyDescent="0.2">
      <c r="A1184" s="34">
        <v>42157</v>
      </c>
      <c r="B1184">
        <v>5.2862520000000002</v>
      </c>
      <c r="C1184">
        <f t="shared" si="23"/>
        <v>3</v>
      </c>
      <c r="M1184" s="34">
        <v>41619</v>
      </c>
      <c r="N1184">
        <v>3.9</v>
      </c>
    </row>
    <row r="1185" spans="1:14" x14ac:dyDescent="0.2">
      <c r="A1185" s="34">
        <v>42156</v>
      </c>
      <c r="B1185">
        <v>5.2880089999999997</v>
      </c>
      <c r="C1185">
        <f t="shared" si="23"/>
        <v>3.02</v>
      </c>
      <c r="M1185" s="34">
        <v>41618</v>
      </c>
      <c r="N1185">
        <v>3.52</v>
      </c>
    </row>
    <row r="1186" spans="1:14" x14ac:dyDescent="0.2">
      <c r="A1186" s="34">
        <v>42155</v>
      </c>
      <c r="B1186">
        <v>5.2897660000000002</v>
      </c>
      <c r="C1186">
        <f t="shared" si="23"/>
        <v>3.1</v>
      </c>
      <c r="M1186" s="34">
        <v>41617</v>
      </c>
      <c r="N1186">
        <v>3.62</v>
      </c>
    </row>
    <row r="1187" spans="1:14" x14ac:dyDescent="0.2">
      <c r="A1187" s="34">
        <v>42154</v>
      </c>
      <c r="B1187">
        <v>5.2915239999999999</v>
      </c>
      <c r="C1187">
        <f t="shared" si="23"/>
        <v>3.1</v>
      </c>
      <c r="M1187" s="34">
        <v>41614</v>
      </c>
      <c r="N1187">
        <v>3.5</v>
      </c>
    </row>
    <row r="1188" spans="1:14" x14ac:dyDescent="0.2">
      <c r="A1188" s="34">
        <v>42153</v>
      </c>
      <c r="B1188">
        <v>5.2932829999999997</v>
      </c>
      <c r="C1188">
        <f t="shared" si="23"/>
        <v>3.1</v>
      </c>
      <c r="M1188" s="34">
        <v>41613</v>
      </c>
      <c r="N1188">
        <v>3.56</v>
      </c>
    </row>
    <row r="1189" spans="1:14" x14ac:dyDescent="0.2">
      <c r="A1189" s="34">
        <v>42152</v>
      </c>
      <c r="B1189">
        <v>5.2950419999999996</v>
      </c>
      <c r="C1189">
        <f t="shared" si="23"/>
        <v>3.03</v>
      </c>
      <c r="M1189" s="34">
        <v>41612</v>
      </c>
      <c r="N1189">
        <v>3.53</v>
      </c>
    </row>
    <row r="1190" spans="1:14" x14ac:dyDescent="0.2">
      <c r="A1190" s="34">
        <v>42151</v>
      </c>
      <c r="B1190">
        <v>5.2968019999999996</v>
      </c>
      <c r="C1190">
        <f t="shared" si="23"/>
        <v>3</v>
      </c>
      <c r="M1190" s="34">
        <v>41611</v>
      </c>
      <c r="N1190">
        <v>3.52</v>
      </c>
    </row>
    <row r="1191" spans="1:14" x14ac:dyDescent="0.2">
      <c r="A1191" s="34">
        <v>42150</v>
      </c>
      <c r="B1191">
        <v>5.2985620000000004</v>
      </c>
      <c r="C1191">
        <f t="shared" si="23"/>
        <v>2.99</v>
      </c>
      <c r="M1191" s="34">
        <v>41610</v>
      </c>
      <c r="N1191">
        <v>3.51</v>
      </c>
    </row>
    <row r="1192" spans="1:14" x14ac:dyDescent="0.2">
      <c r="A1192" s="34">
        <v>42149</v>
      </c>
      <c r="B1192">
        <v>5.3003229999999997</v>
      </c>
      <c r="C1192">
        <f t="shared" si="23"/>
        <v>2.99</v>
      </c>
      <c r="M1192" s="34">
        <v>41607</v>
      </c>
      <c r="N1192">
        <v>3.55</v>
      </c>
    </row>
    <row r="1193" spans="1:14" x14ac:dyDescent="0.2">
      <c r="A1193" s="34">
        <v>42148</v>
      </c>
      <c r="B1193">
        <v>5.3002589999999996</v>
      </c>
      <c r="C1193">
        <f t="shared" si="23"/>
        <v>3.01</v>
      </c>
      <c r="M1193" s="34">
        <v>41606</v>
      </c>
      <c r="N1193">
        <v>3.58</v>
      </c>
    </row>
    <row r="1194" spans="1:14" x14ac:dyDescent="0.2">
      <c r="A1194" s="34">
        <v>42147</v>
      </c>
      <c r="B1194">
        <v>5.3001959999999997</v>
      </c>
      <c r="C1194">
        <f t="shared" si="23"/>
        <v>3.01</v>
      </c>
      <c r="M1194" s="34">
        <v>41605</v>
      </c>
      <c r="N1194">
        <v>3.5</v>
      </c>
    </row>
    <row r="1195" spans="1:14" x14ac:dyDescent="0.2">
      <c r="A1195" s="34">
        <v>42146</v>
      </c>
      <c r="B1195">
        <v>5.3001319999999996</v>
      </c>
      <c r="C1195">
        <f t="shared" si="23"/>
        <v>3.01</v>
      </c>
      <c r="M1195" s="34">
        <v>41604</v>
      </c>
      <c r="N1195">
        <v>3.53</v>
      </c>
    </row>
    <row r="1196" spans="1:14" x14ac:dyDescent="0.2">
      <c r="A1196" s="34">
        <v>42145</v>
      </c>
      <c r="B1196">
        <v>5.3000679999999996</v>
      </c>
      <c r="C1196">
        <f t="shared" si="23"/>
        <v>2.85</v>
      </c>
      <c r="M1196" s="34">
        <v>41603</v>
      </c>
      <c r="N1196">
        <v>3.47</v>
      </c>
    </row>
    <row r="1197" spans="1:14" x14ac:dyDescent="0.2">
      <c r="A1197" s="34">
        <v>42144</v>
      </c>
      <c r="B1197">
        <v>5.3000040000000004</v>
      </c>
      <c r="C1197">
        <f t="shared" si="23"/>
        <v>3</v>
      </c>
      <c r="M1197" s="34">
        <v>41600</v>
      </c>
      <c r="N1197">
        <v>3.45</v>
      </c>
    </row>
    <row r="1198" spans="1:14" x14ac:dyDescent="0.2">
      <c r="A1198" s="34">
        <v>42143</v>
      </c>
      <c r="B1198">
        <v>5.2999409999999996</v>
      </c>
      <c r="C1198">
        <f t="shared" si="23"/>
        <v>2.96</v>
      </c>
      <c r="M1198" s="34">
        <v>41599</v>
      </c>
      <c r="N1198">
        <v>3.47</v>
      </c>
    </row>
    <row r="1199" spans="1:14" x14ac:dyDescent="0.2">
      <c r="A1199" s="34">
        <v>42142</v>
      </c>
      <c r="B1199">
        <v>5.2998770000000004</v>
      </c>
      <c r="C1199">
        <f t="shared" si="23"/>
        <v>2.97</v>
      </c>
      <c r="M1199" s="34">
        <v>41598</v>
      </c>
      <c r="N1199">
        <v>3.5</v>
      </c>
    </row>
    <row r="1200" spans="1:14" x14ac:dyDescent="0.2">
      <c r="A1200" s="34">
        <v>42141</v>
      </c>
      <c r="B1200">
        <v>5.2998130000000003</v>
      </c>
      <c r="C1200">
        <f t="shared" si="23"/>
        <v>2.9</v>
      </c>
      <c r="M1200" s="34">
        <v>41597</v>
      </c>
      <c r="N1200">
        <v>3.59</v>
      </c>
    </row>
    <row r="1201" spans="1:14" x14ac:dyDescent="0.2">
      <c r="A1201" s="34">
        <v>42140</v>
      </c>
      <c r="B1201">
        <v>5.2997490000000003</v>
      </c>
      <c r="C1201">
        <f t="shared" si="23"/>
        <v>2.9</v>
      </c>
      <c r="M1201" s="34">
        <v>41593</v>
      </c>
      <c r="N1201">
        <v>3.59</v>
      </c>
    </row>
    <row r="1202" spans="1:14" x14ac:dyDescent="0.2">
      <c r="A1202" s="34">
        <v>42139</v>
      </c>
      <c r="B1202">
        <v>5.2996860000000003</v>
      </c>
      <c r="C1202">
        <f t="shared" si="23"/>
        <v>2.9</v>
      </c>
      <c r="M1202" s="34">
        <v>41592</v>
      </c>
      <c r="N1202">
        <v>3.55</v>
      </c>
    </row>
    <row r="1203" spans="1:14" x14ac:dyDescent="0.2">
      <c r="A1203" s="34">
        <v>42138</v>
      </c>
      <c r="B1203">
        <v>5.2996220000000003</v>
      </c>
      <c r="C1203">
        <f t="shared" si="23"/>
        <v>3.01</v>
      </c>
      <c r="M1203" s="34">
        <v>41591</v>
      </c>
      <c r="N1203">
        <v>3.5</v>
      </c>
    </row>
    <row r="1204" spans="1:14" x14ac:dyDescent="0.2">
      <c r="A1204" s="34">
        <v>42137</v>
      </c>
      <c r="B1204">
        <v>5.2995580000000002</v>
      </c>
      <c r="C1204">
        <f t="shared" si="23"/>
        <v>3</v>
      </c>
      <c r="M1204" s="34">
        <v>41590</v>
      </c>
      <c r="N1204">
        <v>3.55</v>
      </c>
    </row>
    <row r="1205" spans="1:14" x14ac:dyDescent="0.2">
      <c r="A1205" s="34">
        <v>42136</v>
      </c>
      <c r="B1205">
        <v>5.2994940000000001</v>
      </c>
      <c r="C1205">
        <f t="shared" si="23"/>
        <v>3</v>
      </c>
      <c r="M1205" s="34">
        <v>41589</v>
      </c>
      <c r="N1205">
        <v>3.57</v>
      </c>
    </row>
    <row r="1206" spans="1:14" x14ac:dyDescent="0.2">
      <c r="A1206" s="34">
        <v>42135</v>
      </c>
      <c r="B1206">
        <v>5.2994300000000001</v>
      </c>
      <c r="C1206">
        <f t="shared" si="23"/>
        <v>2.97</v>
      </c>
      <c r="M1206" s="34">
        <v>41586</v>
      </c>
      <c r="N1206">
        <v>3.5</v>
      </c>
    </row>
    <row r="1207" spans="1:14" x14ac:dyDescent="0.2">
      <c r="A1207" s="34">
        <v>42134</v>
      </c>
      <c r="B1207">
        <v>5.2993670000000002</v>
      </c>
      <c r="C1207">
        <f t="shared" si="23"/>
        <v>2.98</v>
      </c>
      <c r="M1207" s="34">
        <v>41585</v>
      </c>
      <c r="N1207">
        <v>3.54</v>
      </c>
    </row>
    <row r="1208" spans="1:14" x14ac:dyDescent="0.2">
      <c r="A1208" s="34">
        <v>42133</v>
      </c>
      <c r="B1208">
        <v>5.3009639999999996</v>
      </c>
      <c r="C1208">
        <f t="shared" si="23"/>
        <v>2.98</v>
      </c>
      <c r="M1208" s="34">
        <v>41584</v>
      </c>
      <c r="N1208">
        <v>3.51</v>
      </c>
    </row>
    <row r="1209" spans="1:14" x14ac:dyDescent="0.2">
      <c r="A1209" s="34">
        <v>42132</v>
      </c>
      <c r="B1209">
        <v>5.3025609999999999</v>
      </c>
      <c r="C1209">
        <f t="shared" si="23"/>
        <v>2.98</v>
      </c>
      <c r="M1209" s="34">
        <v>41583</v>
      </c>
      <c r="N1209">
        <v>3.54</v>
      </c>
    </row>
    <row r="1210" spans="1:14" x14ac:dyDescent="0.2">
      <c r="A1210" s="34">
        <v>42131</v>
      </c>
      <c r="B1210">
        <v>5.3041590000000003</v>
      </c>
      <c r="C1210">
        <f t="shared" si="23"/>
        <v>2.95</v>
      </c>
      <c r="M1210" s="34">
        <v>41582</v>
      </c>
      <c r="N1210">
        <v>3.52</v>
      </c>
    </row>
    <row r="1211" spans="1:14" x14ac:dyDescent="0.2">
      <c r="A1211" s="34">
        <v>42130</v>
      </c>
      <c r="B1211">
        <v>5.305758</v>
      </c>
      <c r="C1211">
        <f t="shared" si="23"/>
        <v>2.96</v>
      </c>
      <c r="M1211" s="34">
        <v>41579</v>
      </c>
      <c r="N1211">
        <v>3.52</v>
      </c>
    </row>
    <row r="1212" spans="1:14" x14ac:dyDescent="0.2">
      <c r="A1212" s="34">
        <v>42129</v>
      </c>
      <c r="B1212">
        <v>5.3073569999999997</v>
      </c>
      <c r="C1212">
        <f t="shared" si="23"/>
        <v>2.65</v>
      </c>
      <c r="M1212" s="34">
        <v>41578</v>
      </c>
      <c r="N1212">
        <v>3.5</v>
      </c>
    </row>
    <row r="1213" spans="1:14" x14ac:dyDescent="0.2">
      <c r="A1213" s="34">
        <v>42128</v>
      </c>
      <c r="B1213">
        <v>5.3089560000000002</v>
      </c>
      <c r="C1213">
        <f t="shared" si="23"/>
        <v>3</v>
      </c>
      <c r="M1213" s="34">
        <v>41577</v>
      </c>
      <c r="N1213">
        <v>3.52</v>
      </c>
    </row>
    <row r="1214" spans="1:14" x14ac:dyDescent="0.2">
      <c r="A1214" s="34">
        <v>42127</v>
      </c>
      <c r="B1214">
        <v>5.3105560000000001</v>
      </c>
      <c r="C1214">
        <f t="shared" si="23"/>
        <v>3.1</v>
      </c>
      <c r="M1214" s="34">
        <v>41576</v>
      </c>
      <c r="N1214">
        <v>3.54</v>
      </c>
    </row>
    <row r="1215" spans="1:14" x14ac:dyDescent="0.2">
      <c r="A1215" s="34">
        <v>42126</v>
      </c>
      <c r="B1215">
        <v>5.3121559999999999</v>
      </c>
      <c r="C1215">
        <f t="shared" si="23"/>
        <v>3.1</v>
      </c>
      <c r="M1215" s="34">
        <v>41575</v>
      </c>
      <c r="N1215">
        <v>3.5</v>
      </c>
    </row>
    <row r="1216" spans="1:14" x14ac:dyDescent="0.2">
      <c r="A1216" s="34">
        <v>42125</v>
      </c>
      <c r="B1216">
        <v>5.3137569999999998</v>
      </c>
      <c r="C1216">
        <f t="shared" si="23"/>
        <v>3.1</v>
      </c>
      <c r="M1216" s="34">
        <v>41572</v>
      </c>
      <c r="N1216">
        <v>3.53</v>
      </c>
    </row>
    <row r="1217" spans="1:14" x14ac:dyDescent="0.2">
      <c r="A1217" s="34">
        <v>42124</v>
      </c>
      <c r="B1217">
        <v>5.3153589999999999</v>
      </c>
      <c r="C1217">
        <f t="shared" si="23"/>
        <v>3.1</v>
      </c>
      <c r="M1217" s="34">
        <v>41571</v>
      </c>
      <c r="N1217">
        <v>3.74</v>
      </c>
    </row>
    <row r="1218" spans="1:14" x14ac:dyDescent="0.2">
      <c r="A1218" s="34">
        <v>42123</v>
      </c>
      <c r="B1218">
        <v>5.316961</v>
      </c>
      <c r="C1218">
        <f t="shared" ref="C1218:C1281" si="24">IFERROR(VLOOKUP(A1218,$M$2:$N$3695,2,0),C1219)</f>
        <v>3</v>
      </c>
      <c r="M1218" s="34">
        <v>41570</v>
      </c>
      <c r="N1218">
        <v>3.76</v>
      </c>
    </row>
    <row r="1219" spans="1:14" x14ac:dyDescent="0.2">
      <c r="A1219" s="34">
        <v>42122</v>
      </c>
      <c r="B1219">
        <v>5.3185630000000002</v>
      </c>
      <c r="C1219">
        <f t="shared" si="24"/>
        <v>3</v>
      </c>
      <c r="M1219" s="34">
        <v>41569</v>
      </c>
      <c r="N1219">
        <v>3.75</v>
      </c>
    </row>
    <row r="1220" spans="1:14" x14ac:dyDescent="0.2">
      <c r="A1220" s="34">
        <v>42121</v>
      </c>
      <c r="B1220">
        <v>5.3201660000000004</v>
      </c>
      <c r="C1220">
        <f t="shared" si="24"/>
        <v>2.98</v>
      </c>
      <c r="M1220" s="34">
        <v>41568</v>
      </c>
      <c r="N1220">
        <v>3.78</v>
      </c>
    </row>
    <row r="1221" spans="1:14" x14ac:dyDescent="0.2">
      <c r="A1221" s="34">
        <v>42120</v>
      </c>
      <c r="B1221">
        <v>5.3217689999999997</v>
      </c>
      <c r="C1221">
        <f t="shared" si="24"/>
        <v>2.95</v>
      </c>
      <c r="M1221" s="34">
        <v>41565</v>
      </c>
      <c r="N1221">
        <v>3.78</v>
      </c>
    </row>
    <row r="1222" spans="1:14" x14ac:dyDescent="0.2">
      <c r="A1222" s="34">
        <v>42119</v>
      </c>
      <c r="B1222">
        <v>5.3233730000000001</v>
      </c>
      <c r="C1222">
        <f t="shared" si="24"/>
        <v>2.95</v>
      </c>
      <c r="M1222" s="34">
        <v>41564</v>
      </c>
      <c r="N1222">
        <v>3.74</v>
      </c>
    </row>
    <row r="1223" spans="1:14" x14ac:dyDescent="0.2">
      <c r="A1223" s="34">
        <v>42118</v>
      </c>
      <c r="B1223">
        <v>5.3220619999999998</v>
      </c>
      <c r="C1223">
        <f t="shared" si="24"/>
        <v>2.95</v>
      </c>
      <c r="M1223" s="34">
        <v>41563</v>
      </c>
      <c r="N1223">
        <v>3.8</v>
      </c>
    </row>
    <row r="1224" spans="1:14" x14ac:dyDescent="0.2">
      <c r="A1224" s="34">
        <v>42117</v>
      </c>
      <c r="B1224">
        <v>5.3207509999999996</v>
      </c>
      <c r="C1224">
        <f t="shared" si="24"/>
        <v>2.99</v>
      </c>
      <c r="M1224" s="34">
        <v>41562</v>
      </c>
      <c r="N1224">
        <v>3.75</v>
      </c>
    </row>
    <row r="1225" spans="1:14" x14ac:dyDescent="0.2">
      <c r="A1225" s="34">
        <v>42116</v>
      </c>
      <c r="B1225">
        <v>5.3194400000000002</v>
      </c>
      <c r="C1225">
        <f t="shared" si="24"/>
        <v>2.85</v>
      </c>
      <c r="M1225" s="34">
        <v>41561</v>
      </c>
      <c r="N1225">
        <v>3.78</v>
      </c>
    </row>
    <row r="1226" spans="1:14" x14ac:dyDescent="0.2">
      <c r="A1226" s="34">
        <v>42115</v>
      </c>
      <c r="B1226">
        <v>5.31813</v>
      </c>
      <c r="C1226">
        <f t="shared" si="24"/>
        <v>3</v>
      </c>
      <c r="M1226" s="34">
        <v>41558</v>
      </c>
      <c r="N1226">
        <v>3.76</v>
      </c>
    </row>
    <row r="1227" spans="1:14" x14ac:dyDescent="0.2">
      <c r="A1227" s="34">
        <v>42114</v>
      </c>
      <c r="B1227">
        <v>5.3168199999999999</v>
      </c>
      <c r="C1227">
        <f t="shared" si="24"/>
        <v>3</v>
      </c>
      <c r="M1227" s="34">
        <v>41557</v>
      </c>
      <c r="N1227">
        <v>3.75</v>
      </c>
    </row>
    <row r="1228" spans="1:14" x14ac:dyDescent="0.2">
      <c r="A1228" s="34">
        <v>42113</v>
      </c>
      <c r="B1228">
        <v>5.3155109999999999</v>
      </c>
      <c r="C1228">
        <f t="shared" si="24"/>
        <v>3.02</v>
      </c>
      <c r="M1228" s="34">
        <v>41556</v>
      </c>
      <c r="N1228">
        <v>3.76</v>
      </c>
    </row>
    <row r="1229" spans="1:14" x14ac:dyDescent="0.2">
      <c r="A1229" s="34">
        <v>42112</v>
      </c>
      <c r="B1229">
        <v>5.3142019999999999</v>
      </c>
      <c r="C1229">
        <f t="shared" si="24"/>
        <v>3.02</v>
      </c>
      <c r="M1229" s="34">
        <v>41555</v>
      </c>
      <c r="N1229">
        <v>3.8</v>
      </c>
    </row>
    <row r="1230" spans="1:14" x14ac:dyDescent="0.2">
      <c r="A1230" s="34">
        <v>42111</v>
      </c>
      <c r="B1230">
        <v>5.3128929999999999</v>
      </c>
      <c r="C1230">
        <f t="shared" si="24"/>
        <v>3.02</v>
      </c>
      <c r="M1230" s="34">
        <v>41554</v>
      </c>
      <c r="N1230">
        <v>3.65</v>
      </c>
    </row>
    <row r="1231" spans="1:14" x14ac:dyDescent="0.2">
      <c r="A1231" s="34">
        <v>42110</v>
      </c>
      <c r="B1231">
        <v>5.3115839999999999</v>
      </c>
      <c r="C1231">
        <f t="shared" si="24"/>
        <v>2.95</v>
      </c>
      <c r="M1231" s="34">
        <v>41551</v>
      </c>
      <c r="N1231">
        <v>3.75</v>
      </c>
    </row>
    <row r="1232" spans="1:14" x14ac:dyDescent="0.2">
      <c r="A1232" s="34">
        <v>42109</v>
      </c>
      <c r="B1232">
        <v>5.310276</v>
      </c>
      <c r="C1232">
        <f t="shared" si="24"/>
        <v>2.95</v>
      </c>
      <c r="M1232" s="34">
        <v>41550</v>
      </c>
      <c r="N1232">
        <v>3.77</v>
      </c>
    </row>
    <row r="1233" spans="1:14" x14ac:dyDescent="0.2">
      <c r="A1233" s="34">
        <v>42108</v>
      </c>
      <c r="B1233">
        <v>5.3089680000000001</v>
      </c>
      <c r="C1233">
        <f t="shared" si="24"/>
        <v>3</v>
      </c>
      <c r="M1233" s="34">
        <v>41549</v>
      </c>
      <c r="N1233">
        <v>3.7</v>
      </c>
    </row>
    <row r="1234" spans="1:14" x14ac:dyDescent="0.2">
      <c r="A1234" s="34">
        <v>42107</v>
      </c>
      <c r="B1234">
        <v>5.3076610000000004</v>
      </c>
      <c r="C1234">
        <f t="shared" si="24"/>
        <v>3.02</v>
      </c>
      <c r="M1234" s="34">
        <v>41548</v>
      </c>
      <c r="N1234">
        <v>3.75</v>
      </c>
    </row>
    <row r="1235" spans="1:14" x14ac:dyDescent="0.2">
      <c r="A1235" s="34">
        <v>42106</v>
      </c>
      <c r="B1235">
        <v>5.3063529999999997</v>
      </c>
      <c r="C1235">
        <f t="shared" si="24"/>
        <v>2.98</v>
      </c>
      <c r="M1235" s="34">
        <v>41547</v>
      </c>
      <c r="N1235">
        <v>3.82</v>
      </c>
    </row>
    <row r="1236" spans="1:14" x14ac:dyDescent="0.2">
      <c r="A1236" s="34">
        <v>42105</v>
      </c>
      <c r="B1236">
        <v>5.3050459999999999</v>
      </c>
      <c r="C1236">
        <f t="shared" si="24"/>
        <v>2.98</v>
      </c>
      <c r="M1236" s="34">
        <v>41544</v>
      </c>
      <c r="N1236">
        <v>3.6</v>
      </c>
    </row>
    <row r="1237" spans="1:14" x14ac:dyDescent="0.2">
      <c r="A1237" s="34">
        <v>42104</v>
      </c>
      <c r="B1237">
        <v>5.3037400000000003</v>
      </c>
      <c r="C1237">
        <f t="shared" si="24"/>
        <v>2.98</v>
      </c>
      <c r="M1237" s="34">
        <v>41543</v>
      </c>
      <c r="N1237">
        <v>3.75</v>
      </c>
    </row>
    <row r="1238" spans="1:14" x14ac:dyDescent="0.2">
      <c r="A1238" s="34">
        <v>42103</v>
      </c>
      <c r="B1238">
        <v>5.3031439999999996</v>
      </c>
      <c r="C1238">
        <f t="shared" si="24"/>
        <v>3</v>
      </c>
      <c r="M1238" s="34">
        <v>41542</v>
      </c>
      <c r="N1238">
        <v>3.75</v>
      </c>
    </row>
    <row r="1239" spans="1:14" x14ac:dyDescent="0.2">
      <c r="A1239" s="34">
        <v>42102</v>
      </c>
      <c r="B1239">
        <v>5.302549</v>
      </c>
      <c r="C1239">
        <f t="shared" si="24"/>
        <v>2.95</v>
      </c>
      <c r="M1239" s="34">
        <v>41541</v>
      </c>
      <c r="N1239">
        <v>3.9</v>
      </c>
    </row>
    <row r="1240" spans="1:14" x14ac:dyDescent="0.2">
      <c r="A1240" s="34">
        <v>42101</v>
      </c>
      <c r="B1240">
        <v>5.3019530000000001</v>
      </c>
      <c r="C1240">
        <f t="shared" si="24"/>
        <v>3</v>
      </c>
      <c r="M1240" s="34">
        <v>41540</v>
      </c>
      <c r="N1240">
        <v>3.76</v>
      </c>
    </row>
    <row r="1241" spans="1:14" x14ac:dyDescent="0.2">
      <c r="A1241" s="34">
        <v>42100</v>
      </c>
      <c r="B1241">
        <v>5.3013579999999996</v>
      </c>
      <c r="C1241">
        <f t="shared" si="24"/>
        <v>3</v>
      </c>
      <c r="M1241" s="34">
        <v>41537</v>
      </c>
      <c r="N1241">
        <v>3.7</v>
      </c>
    </row>
    <row r="1242" spans="1:14" x14ac:dyDescent="0.2">
      <c r="A1242" s="34">
        <v>42099</v>
      </c>
      <c r="B1242">
        <v>5.3007629999999999</v>
      </c>
      <c r="C1242">
        <f t="shared" si="24"/>
        <v>3.12</v>
      </c>
      <c r="M1242" s="34">
        <v>41536</v>
      </c>
      <c r="N1242">
        <v>3.73</v>
      </c>
    </row>
    <row r="1243" spans="1:14" x14ac:dyDescent="0.2">
      <c r="A1243" s="34">
        <v>42098</v>
      </c>
      <c r="B1243">
        <v>5.3001680000000002</v>
      </c>
      <c r="C1243">
        <f t="shared" si="24"/>
        <v>3.12</v>
      </c>
      <c r="M1243" s="34">
        <v>41535</v>
      </c>
      <c r="N1243">
        <v>3.68</v>
      </c>
    </row>
    <row r="1244" spans="1:14" x14ac:dyDescent="0.2">
      <c r="A1244" s="34">
        <v>42097</v>
      </c>
      <c r="B1244">
        <v>5.2995720000000004</v>
      </c>
      <c r="C1244">
        <f t="shared" si="24"/>
        <v>3.12</v>
      </c>
      <c r="M1244" s="34">
        <v>41534</v>
      </c>
      <c r="N1244">
        <v>3.75</v>
      </c>
    </row>
    <row r="1245" spans="1:14" x14ac:dyDescent="0.2">
      <c r="A1245" s="34">
        <v>42096</v>
      </c>
      <c r="B1245">
        <v>5.2989769999999998</v>
      </c>
      <c r="C1245">
        <f t="shared" si="24"/>
        <v>3.12</v>
      </c>
      <c r="M1245" s="34">
        <v>41530</v>
      </c>
      <c r="N1245">
        <v>3.76</v>
      </c>
    </row>
    <row r="1246" spans="1:14" x14ac:dyDescent="0.2">
      <c r="A1246" s="34">
        <v>42095</v>
      </c>
      <c r="B1246">
        <v>5.2983820000000001</v>
      </c>
      <c r="C1246">
        <f t="shared" si="24"/>
        <v>3.12</v>
      </c>
      <c r="M1246" s="34">
        <v>41529</v>
      </c>
      <c r="N1246">
        <v>3.76</v>
      </c>
    </row>
    <row r="1247" spans="1:14" x14ac:dyDescent="0.2">
      <c r="A1247" s="34">
        <v>42094</v>
      </c>
      <c r="B1247">
        <v>5.2977869999999996</v>
      </c>
      <c r="C1247">
        <f t="shared" si="24"/>
        <v>3.05</v>
      </c>
      <c r="M1247" s="34">
        <v>41528</v>
      </c>
      <c r="N1247">
        <v>3.75</v>
      </c>
    </row>
    <row r="1248" spans="1:14" x14ac:dyDescent="0.2">
      <c r="A1248" s="34">
        <v>42093</v>
      </c>
      <c r="B1248">
        <v>5.297193</v>
      </c>
      <c r="C1248">
        <f t="shared" si="24"/>
        <v>3</v>
      </c>
      <c r="M1248" s="34">
        <v>41527</v>
      </c>
      <c r="N1248">
        <v>3.8</v>
      </c>
    </row>
    <row r="1249" spans="1:14" x14ac:dyDescent="0.2">
      <c r="A1249" s="34">
        <v>42092</v>
      </c>
      <c r="B1249">
        <v>5.2965980000000004</v>
      </c>
      <c r="C1249">
        <f t="shared" si="24"/>
        <v>3.02</v>
      </c>
      <c r="M1249" s="34">
        <v>41526</v>
      </c>
      <c r="N1249">
        <v>3.73</v>
      </c>
    </row>
    <row r="1250" spans="1:14" x14ac:dyDescent="0.2">
      <c r="A1250" s="34">
        <v>42091</v>
      </c>
      <c r="B1250">
        <v>5.2960029999999998</v>
      </c>
      <c r="C1250">
        <f t="shared" si="24"/>
        <v>3.02</v>
      </c>
      <c r="M1250" s="34">
        <v>41523</v>
      </c>
      <c r="N1250">
        <v>3.73</v>
      </c>
    </row>
    <row r="1251" spans="1:14" x14ac:dyDescent="0.2">
      <c r="A1251" s="34">
        <v>42090</v>
      </c>
      <c r="B1251">
        <v>5.2954080000000001</v>
      </c>
      <c r="C1251">
        <f t="shared" si="24"/>
        <v>3.02</v>
      </c>
      <c r="M1251" s="34">
        <v>41522</v>
      </c>
      <c r="N1251">
        <v>4.01</v>
      </c>
    </row>
    <row r="1252" spans="1:14" x14ac:dyDescent="0.2">
      <c r="A1252" s="34">
        <v>42089</v>
      </c>
      <c r="B1252">
        <v>5.2948139999999997</v>
      </c>
      <c r="C1252">
        <f t="shared" si="24"/>
        <v>3</v>
      </c>
      <c r="M1252" s="34">
        <v>41521</v>
      </c>
      <c r="N1252">
        <v>3.95</v>
      </c>
    </row>
    <row r="1253" spans="1:14" x14ac:dyDescent="0.2">
      <c r="A1253" s="34">
        <v>42088</v>
      </c>
      <c r="B1253">
        <v>5.294219</v>
      </c>
      <c r="C1253">
        <f t="shared" si="24"/>
        <v>3.04</v>
      </c>
      <c r="M1253" s="34">
        <v>41520</v>
      </c>
      <c r="N1253">
        <v>3.96</v>
      </c>
    </row>
    <row r="1254" spans="1:14" x14ac:dyDescent="0.2">
      <c r="A1254" s="34">
        <v>42087</v>
      </c>
      <c r="B1254">
        <v>5.2939249999999998</v>
      </c>
      <c r="C1254">
        <f t="shared" si="24"/>
        <v>2.95</v>
      </c>
      <c r="M1254" s="34">
        <v>41519</v>
      </c>
      <c r="N1254">
        <v>4.03</v>
      </c>
    </row>
    <row r="1255" spans="1:14" x14ac:dyDescent="0.2">
      <c r="A1255" s="34">
        <v>42086</v>
      </c>
      <c r="B1255">
        <v>5.2936300000000003</v>
      </c>
      <c r="C1255">
        <f t="shared" si="24"/>
        <v>3.07</v>
      </c>
      <c r="M1255" s="34">
        <v>41516</v>
      </c>
      <c r="N1255">
        <v>3.98</v>
      </c>
    </row>
    <row r="1256" spans="1:14" x14ac:dyDescent="0.2">
      <c r="A1256" s="34">
        <v>42085</v>
      </c>
      <c r="B1256">
        <v>5.2933349999999999</v>
      </c>
      <c r="C1256">
        <f t="shared" si="24"/>
        <v>3</v>
      </c>
      <c r="M1256" s="34">
        <v>41515</v>
      </c>
      <c r="N1256">
        <v>4</v>
      </c>
    </row>
    <row r="1257" spans="1:14" x14ac:dyDescent="0.2">
      <c r="A1257" s="34">
        <v>42084</v>
      </c>
      <c r="B1257">
        <v>5.2930409999999997</v>
      </c>
      <c r="C1257">
        <f t="shared" si="24"/>
        <v>3</v>
      </c>
      <c r="M1257" s="34">
        <v>41514</v>
      </c>
      <c r="N1257">
        <v>3.95</v>
      </c>
    </row>
    <row r="1258" spans="1:14" x14ac:dyDescent="0.2">
      <c r="A1258" s="34">
        <v>42083</v>
      </c>
      <c r="B1258">
        <v>5.2927460000000002</v>
      </c>
      <c r="C1258">
        <f t="shared" si="24"/>
        <v>3</v>
      </c>
      <c r="M1258" s="34">
        <v>41513</v>
      </c>
      <c r="N1258">
        <v>3.96</v>
      </c>
    </row>
    <row r="1259" spans="1:14" x14ac:dyDescent="0.2">
      <c r="A1259" s="34">
        <v>42082</v>
      </c>
      <c r="B1259">
        <v>5.2924509999999998</v>
      </c>
      <c r="C1259">
        <f t="shared" si="24"/>
        <v>2.98</v>
      </c>
      <c r="M1259" s="34">
        <v>41512</v>
      </c>
      <c r="N1259">
        <v>4.0199999999999996</v>
      </c>
    </row>
    <row r="1260" spans="1:14" x14ac:dyDescent="0.2">
      <c r="A1260" s="34">
        <v>42081</v>
      </c>
      <c r="B1260">
        <v>5.2921569999999996</v>
      </c>
      <c r="C1260">
        <f t="shared" si="24"/>
        <v>3.03</v>
      </c>
      <c r="M1260" s="34">
        <v>41509</v>
      </c>
      <c r="N1260">
        <v>3.99</v>
      </c>
    </row>
    <row r="1261" spans="1:14" x14ac:dyDescent="0.2">
      <c r="A1261" s="34">
        <v>42080</v>
      </c>
      <c r="B1261">
        <v>5.2918620000000001</v>
      </c>
      <c r="C1261">
        <f t="shared" si="24"/>
        <v>3.11</v>
      </c>
      <c r="M1261" s="34">
        <v>41508</v>
      </c>
      <c r="N1261">
        <v>3.95</v>
      </c>
    </row>
    <row r="1262" spans="1:14" x14ac:dyDescent="0.2">
      <c r="A1262" s="34">
        <v>42079</v>
      </c>
      <c r="B1262">
        <v>5.2915679999999998</v>
      </c>
      <c r="C1262">
        <f t="shared" si="24"/>
        <v>2.9</v>
      </c>
      <c r="M1262" s="34">
        <v>41507</v>
      </c>
      <c r="N1262">
        <v>4</v>
      </c>
    </row>
    <row r="1263" spans="1:14" x14ac:dyDescent="0.2">
      <c r="A1263" s="34">
        <v>42078</v>
      </c>
      <c r="B1263">
        <v>5.2912730000000003</v>
      </c>
      <c r="C1263">
        <f t="shared" si="24"/>
        <v>2.9</v>
      </c>
      <c r="M1263" s="34">
        <v>41506</v>
      </c>
      <c r="N1263">
        <v>4</v>
      </c>
    </row>
    <row r="1264" spans="1:14" x14ac:dyDescent="0.2">
      <c r="A1264" s="34">
        <v>42077</v>
      </c>
      <c r="B1264">
        <v>5.2909790000000001</v>
      </c>
      <c r="C1264">
        <f t="shared" si="24"/>
        <v>2.9</v>
      </c>
      <c r="M1264" s="34">
        <v>41505</v>
      </c>
      <c r="N1264">
        <v>4</v>
      </c>
    </row>
    <row r="1265" spans="1:14" x14ac:dyDescent="0.2">
      <c r="A1265" s="34">
        <v>42076</v>
      </c>
      <c r="B1265">
        <v>5.2906839999999997</v>
      </c>
      <c r="C1265">
        <f t="shared" si="24"/>
        <v>2.9</v>
      </c>
      <c r="M1265" s="34">
        <v>41502</v>
      </c>
      <c r="N1265">
        <v>3.99</v>
      </c>
    </row>
    <row r="1266" spans="1:14" x14ac:dyDescent="0.2">
      <c r="A1266" s="34">
        <v>42075</v>
      </c>
      <c r="B1266">
        <v>5.2903900000000004</v>
      </c>
      <c r="C1266">
        <f t="shared" si="24"/>
        <v>3.01</v>
      </c>
      <c r="M1266" s="34">
        <v>41501</v>
      </c>
      <c r="N1266">
        <v>4.01</v>
      </c>
    </row>
    <row r="1267" spans="1:14" x14ac:dyDescent="0.2">
      <c r="A1267" s="34">
        <v>42074</v>
      </c>
      <c r="B1267">
        <v>5.290095</v>
      </c>
      <c r="C1267">
        <f t="shared" si="24"/>
        <v>3.1</v>
      </c>
      <c r="M1267" s="34">
        <v>41500</v>
      </c>
      <c r="N1267">
        <v>3.95</v>
      </c>
    </row>
    <row r="1268" spans="1:14" x14ac:dyDescent="0.2">
      <c r="A1268" s="34">
        <v>42073</v>
      </c>
      <c r="B1268">
        <v>5.2898009999999998</v>
      </c>
      <c r="C1268">
        <f t="shared" si="24"/>
        <v>3.09</v>
      </c>
      <c r="M1268" s="34">
        <v>41499</v>
      </c>
      <c r="N1268">
        <v>4</v>
      </c>
    </row>
    <row r="1269" spans="1:14" x14ac:dyDescent="0.2">
      <c r="A1269" s="34">
        <v>42072</v>
      </c>
      <c r="B1269">
        <v>5.2893730000000003</v>
      </c>
      <c r="C1269">
        <f t="shared" si="24"/>
        <v>3</v>
      </c>
      <c r="M1269" s="34">
        <v>41498</v>
      </c>
      <c r="N1269">
        <v>3.97</v>
      </c>
    </row>
    <row r="1270" spans="1:14" x14ac:dyDescent="0.2">
      <c r="A1270" s="34">
        <v>42071</v>
      </c>
      <c r="B1270">
        <v>5.288945</v>
      </c>
      <c r="C1270">
        <f t="shared" si="24"/>
        <v>2.95</v>
      </c>
      <c r="M1270" s="34">
        <v>41495</v>
      </c>
      <c r="N1270">
        <v>3.92</v>
      </c>
    </row>
    <row r="1271" spans="1:14" x14ac:dyDescent="0.2">
      <c r="A1271" s="34">
        <v>42070</v>
      </c>
      <c r="B1271">
        <v>5.2885179999999998</v>
      </c>
      <c r="C1271">
        <f t="shared" si="24"/>
        <v>2.95</v>
      </c>
      <c r="M1271" s="34">
        <v>41494</v>
      </c>
      <c r="N1271">
        <v>3.9</v>
      </c>
    </row>
    <row r="1272" spans="1:14" x14ac:dyDescent="0.2">
      <c r="A1272" s="34">
        <v>42069</v>
      </c>
      <c r="B1272">
        <v>5.2880900000000004</v>
      </c>
      <c r="C1272">
        <f t="shared" si="24"/>
        <v>2.95</v>
      </c>
      <c r="M1272" s="34">
        <v>41493</v>
      </c>
      <c r="N1272">
        <v>4</v>
      </c>
    </row>
    <row r="1273" spans="1:14" x14ac:dyDescent="0.2">
      <c r="A1273" s="34">
        <v>42068</v>
      </c>
      <c r="B1273">
        <v>5.2876620000000001</v>
      </c>
      <c r="C1273">
        <f t="shared" si="24"/>
        <v>3</v>
      </c>
      <c r="M1273" s="34">
        <v>41492</v>
      </c>
      <c r="N1273">
        <v>4.01</v>
      </c>
    </row>
    <row r="1274" spans="1:14" x14ac:dyDescent="0.2">
      <c r="A1274" s="34">
        <v>42067</v>
      </c>
      <c r="B1274">
        <v>5.2872349999999999</v>
      </c>
      <c r="C1274">
        <f t="shared" si="24"/>
        <v>2.95</v>
      </c>
      <c r="M1274" s="34">
        <v>41491</v>
      </c>
      <c r="N1274">
        <v>4</v>
      </c>
    </row>
    <row r="1275" spans="1:14" x14ac:dyDescent="0.2">
      <c r="A1275" s="34">
        <v>42066</v>
      </c>
      <c r="B1275">
        <v>5.2868069999999996</v>
      </c>
      <c r="C1275">
        <f t="shared" si="24"/>
        <v>2.98</v>
      </c>
      <c r="M1275" s="34">
        <v>41488</v>
      </c>
      <c r="N1275">
        <v>4</v>
      </c>
    </row>
    <row r="1276" spans="1:14" x14ac:dyDescent="0.2">
      <c r="A1276" s="34">
        <v>42065</v>
      </c>
      <c r="B1276">
        <v>5.2863800000000003</v>
      </c>
      <c r="C1276">
        <f t="shared" si="24"/>
        <v>3.05</v>
      </c>
      <c r="M1276" s="34">
        <v>41487</v>
      </c>
      <c r="N1276">
        <v>3.95</v>
      </c>
    </row>
    <row r="1277" spans="1:14" x14ac:dyDescent="0.2">
      <c r="A1277" s="34">
        <v>42064</v>
      </c>
      <c r="B1277">
        <v>5.2859530000000001</v>
      </c>
      <c r="C1277">
        <f t="shared" si="24"/>
        <v>3</v>
      </c>
      <c r="M1277" s="34">
        <v>41486</v>
      </c>
      <c r="N1277">
        <v>3.95</v>
      </c>
    </row>
    <row r="1278" spans="1:14" x14ac:dyDescent="0.2">
      <c r="A1278" s="34">
        <v>42063</v>
      </c>
      <c r="B1278">
        <v>5.2855249999999998</v>
      </c>
      <c r="C1278">
        <f t="shared" si="24"/>
        <v>3</v>
      </c>
      <c r="M1278" s="34">
        <v>41485</v>
      </c>
      <c r="N1278">
        <v>4</v>
      </c>
    </row>
    <row r="1279" spans="1:14" x14ac:dyDescent="0.2">
      <c r="A1279" s="34">
        <v>42062</v>
      </c>
      <c r="B1279">
        <v>5.2850979999999996</v>
      </c>
      <c r="C1279">
        <f t="shared" si="24"/>
        <v>3</v>
      </c>
      <c r="M1279" s="34">
        <v>41484</v>
      </c>
      <c r="N1279">
        <v>4</v>
      </c>
    </row>
    <row r="1280" spans="1:14" x14ac:dyDescent="0.2">
      <c r="A1280" s="34">
        <v>42061</v>
      </c>
      <c r="B1280">
        <v>5.2846700000000002</v>
      </c>
      <c r="C1280">
        <f t="shared" si="24"/>
        <v>3.03</v>
      </c>
      <c r="M1280" s="34">
        <v>41481</v>
      </c>
      <c r="N1280">
        <v>3.98</v>
      </c>
    </row>
    <row r="1281" spans="1:14" x14ac:dyDescent="0.2">
      <c r="A1281" s="34">
        <v>42060</v>
      </c>
      <c r="B1281">
        <v>5.284243</v>
      </c>
      <c r="C1281">
        <f t="shared" si="24"/>
        <v>3.02</v>
      </c>
      <c r="M1281" s="34">
        <v>41480</v>
      </c>
      <c r="N1281">
        <v>4.0199999999999996</v>
      </c>
    </row>
    <row r="1282" spans="1:14" x14ac:dyDescent="0.2">
      <c r="A1282" s="34">
        <v>42059</v>
      </c>
      <c r="B1282">
        <v>5.2839419999999997</v>
      </c>
      <c r="C1282">
        <f t="shared" ref="C1282:C1345" si="25">IFERROR(VLOOKUP(A1282,$M$2:$N$3695,2,0),C1283)</f>
        <v>3.03</v>
      </c>
      <c r="M1282" s="34">
        <v>41479</v>
      </c>
      <c r="N1282">
        <v>4.09</v>
      </c>
    </row>
    <row r="1283" spans="1:14" x14ac:dyDescent="0.2">
      <c r="A1283" s="34">
        <v>42058</v>
      </c>
      <c r="B1283">
        <v>5.2836420000000004</v>
      </c>
      <c r="C1283">
        <f t="shared" si="25"/>
        <v>3.02</v>
      </c>
      <c r="M1283" s="34">
        <v>41478</v>
      </c>
      <c r="N1283">
        <v>3.97</v>
      </c>
    </row>
    <row r="1284" spans="1:14" x14ac:dyDescent="0.2">
      <c r="A1284" s="34">
        <v>42057</v>
      </c>
      <c r="B1284">
        <v>5.2833410000000001</v>
      </c>
      <c r="C1284">
        <f t="shared" si="25"/>
        <v>2.9</v>
      </c>
      <c r="M1284" s="34">
        <v>41477</v>
      </c>
      <c r="N1284">
        <v>3.9</v>
      </c>
    </row>
    <row r="1285" spans="1:14" x14ac:dyDescent="0.2">
      <c r="A1285" s="34">
        <v>42056</v>
      </c>
      <c r="B1285">
        <v>5.2830399999999997</v>
      </c>
      <c r="C1285">
        <f t="shared" si="25"/>
        <v>2.9</v>
      </c>
      <c r="M1285" s="34">
        <v>41474</v>
      </c>
      <c r="N1285">
        <v>4</v>
      </c>
    </row>
    <row r="1286" spans="1:14" x14ac:dyDescent="0.2">
      <c r="A1286" s="34">
        <v>42055</v>
      </c>
      <c r="B1286">
        <v>5.2827400000000004</v>
      </c>
      <c r="C1286">
        <f t="shared" si="25"/>
        <v>2.9</v>
      </c>
      <c r="M1286" s="34">
        <v>41473</v>
      </c>
      <c r="N1286">
        <v>4</v>
      </c>
    </row>
    <row r="1287" spans="1:14" x14ac:dyDescent="0.2">
      <c r="A1287" s="34">
        <v>42054</v>
      </c>
      <c r="B1287">
        <v>5.2824390000000001</v>
      </c>
      <c r="C1287">
        <f t="shared" si="25"/>
        <v>3.03</v>
      </c>
      <c r="M1287" s="34">
        <v>41472</v>
      </c>
      <c r="N1287">
        <v>3.95</v>
      </c>
    </row>
    <row r="1288" spans="1:14" x14ac:dyDescent="0.2">
      <c r="A1288" s="34">
        <v>42053</v>
      </c>
      <c r="B1288">
        <v>5.2821379999999998</v>
      </c>
      <c r="C1288">
        <f t="shared" si="25"/>
        <v>3.02</v>
      </c>
      <c r="M1288" s="34">
        <v>41471</v>
      </c>
      <c r="N1288">
        <v>3.97</v>
      </c>
    </row>
    <row r="1289" spans="1:14" x14ac:dyDescent="0.2">
      <c r="A1289" s="34">
        <v>42052</v>
      </c>
      <c r="B1289">
        <v>5.2818379999999996</v>
      </c>
      <c r="C1289">
        <f t="shared" si="25"/>
        <v>3.06</v>
      </c>
      <c r="M1289" s="34">
        <v>41470</v>
      </c>
      <c r="N1289">
        <v>4.01</v>
      </c>
    </row>
    <row r="1290" spans="1:14" x14ac:dyDescent="0.2">
      <c r="A1290" s="34">
        <v>42051</v>
      </c>
      <c r="B1290">
        <v>5.2815370000000001</v>
      </c>
      <c r="C1290">
        <f t="shared" si="25"/>
        <v>3</v>
      </c>
      <c r="M1290" s="34">
        <v>41467</v>
      </c>
      <c r="N1290">
        <v>3.9</v>
      </c>
    </row>
    <row r="1291" spans="1:14" x14ac:dyDescent="0.2">
      <c r="A1291" s="34">
        <v>42050</v>
      </c>
      <c r="B1291">
        <v>5.2812359999999998</v>
      </c>
      <c r="C1291">
        <f t="shared" si="25"/>
        <v>3.01</v>
      </c>
      <c r="M1291" s="34">
        <v>41466</v>
      </c>
      <c r="N1291">
        <v>3.99</v>
      </c>
    </row>
    <row r="1292" spans="1:14" x14ac:dyDescent="0.2">
      <c r="A1292" s="34">
        <v>42049</v>
      </c>
      <c r="B1292">
        <v>5.2809359999999996</v>
      </c>
      <c r="C1292">
        <f t="shared" si="25"/>
        <v>3.01</v>
      </c>
      <c r="M1292" s="34">
        <v>41465</v>
      </c>
      <c r="N1292">
        <v>4</v>
      </c>
    </row>
    <row r="1293" spans="1:14" x14ac:dyDescent="0.2">
      <c r="A1293" s="34">
        <v>42048</v>
      </c>
      <c r="B1293">
        <v>5.2806350000000002</v>
      </c>
      <c r="C1293">
        <f t="shared" si="25"/>
        <v>3.01</v>
      </c>
      <c r="M1293" s="34">
        <v>41464</v>
      </c>
      <c r="N1293">
        <v>4.01</v>
      </c>
    </row>
    <row r="1294" spans="1:14" x14ac:dyDescent="0.2">
      <c r="A1294" s="34">
        <v>42047</v>
      </c>
      <c r="B1294">
        <v>5.280335</v>
      </c>
      <c r="C1294">
        <f t="shared" si="25"/>
        <v>2.9</v>
      </c>
      <c r="M1294" s="34">
        <v>41463</v>
      </c>
      <c r="N1294">
        <v>4</v>
      </c>
    </row>
    <row r="1295" spans="1:14" x14ac:dyDescent="0.2">
      <c r="A1295" s="34">
        <v>42046</v>
      </c>
      <c r="B1295">
        <v>5.2800339999999997</v>
      </c>
      <c r="C1295">
        <f t="shared" si="25"/>
        <v>3.09</v>
      </c>
      <c r="M1295" s="34">
        <v>41460</v>
      </c>
      <c r="N1295">
        <v>3.98</v>
      </c>
    </row>
    <row r="1296" spans="1:14" x14ac:dyDescent="0.2">
      <c r="A1296" s="34">
        <v>42045</v>
      </c>
      <c r="B1296">
        <v>5.2797330000000002</v>
      </c>
      <c r="C1296">
        <f t="shared" si="25"/>
        <v>3</v>
      </c>
      <c r="M1296" s="34">
        <v>41459</v>
      </c>
      <c r="N1296">
        <v>4</v>
      </c>
    </row>
    <row r="1297" spans="1:14" x14ac:dyDescent="0.2">
      <c r="A1297" s="34">
        <v>42044</v>
      </c>
      <c r="B1297">
        <v>5.2803509999999996</v>
      </c>
      <c r="C1297">
        <f t="shared" si="25"/>
        <v>3</v>
      </c>
      <c r="M1297" s="34">
        <v>41458</v>
      </c>
      <c r="N1297">
        <v>3.94</v>
      </c>
    </row>
    <row r="1298" spans="1:14" x14ac:dyDescent="0.2">
      <c r="A1298" s="34">
        <v>42043</v>
      </c>
      <c r="B1298">
        <v>5.2809679999999997</v>
      </c>
      <c r="C1298">
        <f t="shared" si="25"/>
        <v>3</v>
      </c>
      <c r="M1298" s="34">
        <v>41457</v>
      </c>
      <c r="N1298">
        <v>3.94</v>
      </c>
    </row>
    <row r="1299" spans="1:14" x14ac:dyDescent="0.2">
      <c r="A1299" s="34">
        <v>42042</v>
      </c>
      <c r="B1299">
        <v>5.2815849999999998</v>
      </c>
      <c r="C1299">
        <f t="shared" si="25"/>
        <v>3</v>
      </c>
      <c r="M1299" s="34">
        <v>41456</v>
      </c>
      <c r="N1299">
        <v>3.97</v>
      </c>
    </row>
    <row r="1300" spans="1:14" x14ac:dyDescent="0.2">
      <c r="A1300" s="34">
        <v>42041</v>
      </c>
      <c r="B1300">
        <v>5.282203</v>
      </c>
      <c r="C1300">
        <f t="shared" si="25"/>
        <v>3</v>
      </c>
      <c r="M1300" s="34">
        <v>41453</v>
      </c>
      <c r="N1300">
        <v>3.99</v>
      </c>
    </row>
    <row r="1301" spans="1:14" x14ac:dyDescent="0.2">
      <c r="A1301" s="34">
        <v>42040</v>
      </c>
      <c r="B1301">
        <v>5.2828210000000002</v>
      </c>
      <c r="C1301">
        <f t="shared" si="25"/>
        <v>3</v>
      </c>
      <c r="M1301" s="34">
        <v>41452</v>
      </c>
      <c r="N1301">
        <v>4.05</v>
      </c>
    </row>
    <row r="1302" spans="1:14" x14ac:dyDescent="0.2">
      <c r="A1302" s="34">
        <v>42039</v>
      </c>
      <c r="B1302">
        <v>5.2834380000000003</v>
      </c>
      <c r="C1302">
        <f t="shared" si="25"/>
        <v>2.95</v>
      </c>
      <c r="M1302" s="34">
        <v>41451</v>
      </c>
      <c r="N1302">
        <v>3.99</v>
      </c>
    </row>
    <row r="1303" spans="1:14" x14ac:dyDescent="0.2">
      <c r="A1303" s="34">
        <v>42038</v>
      </c>
      <c r="B1303">
        <v>5.2840559999999996</v>
      </c>
      <c r="C1303">
        <f t="shared" si="25"/>
        <v>3.04</v>
      </c>
      <c r="M1303" s="34">
        <v>41450</v>
      </c>
      <c r="N1303">
        <v>3.99</v>
      </c>
    </row>
    <row r="1304" spans="1:14" x14ac:dyDescent="0.2">
      <c r="A1304" s="34">
        <v>42037</v>
      </c>
      <c r="B1304">
        <v>5.2846739999999999</v>
      </c>
      <c r="C1304">
        <f t="shared" si="25"/>
        <v>3</v>
      </c>
      <c r="M1304" s="34">
        <v>41449</v>
      </c>
      <c r="N1304">
        <v>4</v>
      </c>
    </row>
    <row r="1305" spans="1:14" x14ac:dyDescent="0.2">
      <c r="A1305" s="34">
        <v>42036</v>
      </c>
      <c r="B1305">
        <v>5.285291</v>
      </c>
      <c r="C1305">
        <f t="shared" si="25"/>
        <v>3</v>
      </c>
      <c r="M1305" s="34">
        <v>41446</v>
      </c>
      <c r="N1305">
        <v>3.95</v>
      </c>
    </row>
    <row r="1306" spans="1:14" x14ac:dyDescent="0.2">
      <c r="A1306" s="34">
        <v>42035</v>
      </c>
      <c r="B1306">
        <v>5.2859090000000002</v>
      </c>
      <c r="C1306">
        <f t="shared" si="25"/>
        <v>3</v>
      </c>
      <c r="M1306" s="34">
        <v>41445</v>
      </c>
      <c r="N1306">
        <v>4</v>
      </c>
    </row>
    <row r="1307" spans="1:14" x14ac:dyDescent="0.2">
      <c r="A1307" s="34">
        <v>42034</v>
      </c>
      <c r="B1307">
        <v>5.2865270000000004</v>
      </c>
      <c r="C1307">
        <f t="shared" si="25"/>
        <v>3</v>
      </c>
      <c r="M1307" s="34">
        <v>41444</v>
      </c>
      <c r="N1307">
        <v>4.0199999999999996</v>
      </c>
    </row>
    <row r="1308" spans="1:14" x14ac:dyDescent="0.2">
      <c r="A1308" s="34">
        <v>42033</v>
      </c>
      <c r="B1308">
        <v>5.2871449999999998</v>
      </c>
      <c r="C1308">
        <f t="shared" si="25"/>
        <v>2.9</v>
      </c>
      <c r="M1308" s="34">
        <v>41443</v>
      </c>
      <c r="N1308">
        <v>4.0199999999999996</v>
      </c>
    </row>
    <row r="1309" spans="1:14" x14ac:dyDescent="0.2">
      <c r="A1309" s="34">
        <v>42032</v>
      </c>
      <c r="B1309">
        <v>5.2877640000000001</v>
      </c>
      <c r="C1309">
        <f t="shared" si="25"/>
        <v>3.03</v>
      </c>
      <c r="M1309" s="34">
        <v>41442</v>
      </c>
      <c r="N1309">
        <v>3.92</v>
      </c>
    </row>
    <row r="1310" spans="1:14" x14ac:dyDescent="0.2">
      <c r="A1310" s="34">
        <v>42031</v>
      </c>
      <c r="B1310">
        <v>5.2883820000000004</v>
      </c>
      <c r="C1310">
        <f t="shared" si="25"/>
        <v>2.95</v>
      </c>
      <c r="M1310" s="34">
        <v>41439</v>
      </c>
      <c r="N1310">
        <v>4.03</v>
      </c>
    </row>
    <row r="1311" spans="1:14" x14ac:dyDescent="0.2">
      <c r="A1311" s="34">
        <v>42030</v>
      </c>
      <c r="B1311">
        <v>5.2889999999999997</v>
      </c>
      <c r="C1311">
        <f t="shared" si="25"/>
        <v>2.95</v>
      </c>
      <c r="M1311" s="34">
        <v>41438</v>
      </c>
      <c r="N1311">
        <v>3.95</v>
      </c>
    </row>
    <row r="1312" spans="1:14" x14ac:dyDescent="0.2">
      <c r="A1312" s="34">
        <v>42029</v>
      </c>
      <c r="B1312">
        <v>5.2896179999999999</v>
      </c>
      <c r="C1312">
        <f t="shared" si="25"/>
        <v>3.03</v>
      </c>
      <c r="M1312" s="34">
        <v>41437</v>
      </c>
      <c r="N1312">
        <v>3.95</v>
      </c>
    </row>
    <row r="1313" spans="1:14" x14ac:dyDescent="0.2">
      <c r="A1313" s="34">
        <v>42028</v>
      </c>
      <c r="B1313">
        <v>5.2892450000000002</v>
      </c>
      <c r="C1313">
        <f t="shared" si="25"/>
        <v>3.03</v>
      </c>
      <c r="M1313" s="34">
        <v>41436</v>
      </c>
      <c r="N1313">
        <v>4.03</v>
      </c>
    </row>
    <row r="1314" spans="1:14" x14ac:dyDescent="0.2">
      <c r="A1314" s="34">
        <v>42027</v>
      </c>
      <c r="B1314">
        <v>5.2888710000000003</v>
      </c>
      <c r="C1314">
        <f t="shared" si="25"/>
        <v>3.03</v>
      </c>
      <c r="M1314" s="34">
        <v>41435</v>
      </c>
      <c r="N1314">
        <v>3.95</v>
      </c>
    </row>
    <row r="1315" spans="1:14" x14ac:dyDescent="0.2">
      <c r="A1315" s="34">
        <v>42026</v>
      </c>
      <c r="B1315">
        <v>5.2884969999999996</v>
      </c>
      <c r="C1315">
        <f t="shared" si="25"/>
        <v>2.8</v>
      </c>
      <c r="M1315" s="34">
        <v>41432</v>
      </c>
      <c r="N1315">
        <v>4</v>
      </c>
    </row>
    <row r="1316" spans="1:14" x14ac:dyDescent="0.2">
      <c r="A1316" s="34">
        <v>42025</v>
      </c>
      <c r="B1316">
        <v>5.2881239999999998</v>
      </c>
      <c r="C1316">
        <f t="shared" si="25"/>
        <v>2.8</v>
      </c>
      <c r="M1316" s="34">
        <v>41431</v>
      </c>
      <c r="N1316">
        <v>3.98</v>
      </c>
    </row>
    <row r="1317" spans="1:14" x14ac:dyDescent="0.2">
      <c r="A1317" s="34">
        <v>42024</v>
      </c>
      <c r="B1317">
        <v>5.28775</v>
      </c>
      <c r="C1317">
        <f t="shared" si="25"/>
        <v>2.95</v>
      </c>
      <c r="M1317" s="34">
        <v>41430</v>
      </c>
      <c r="N1317">
        <v>3.98</v>
      </c>
    </row>
    <row r="1318" spans="1:14" x14ac:dyDescent="0.2">
      <c r="A1318" s="34">
        <v>42023</v>
      </c>
      <c r="B1318">
        <v>5.2873760000000001</v>
      </c>
      <c r="C1318">
        <f t="shared" si="25"/>
        <v>2.98</v>
      </c>
      <c r="M1318" s="34">
        <v>41429</v>
      </c>
      <c r="N1318">
        <v>3.98</v>
      </c>
    </row>
    <row r="1319" spans="1:14" x14ac:dyDescent="0.2">
      <c r="A1319" s="34">
        <v>42022</v>
      </c>
      <c r="B1319">
        <v>5.2870030000000003</v>
      </c>
      <c r="C1319">
        <f t="shared" si="25"/>
        <v>2.98</v>
      </c>
      <c r="M1319" s="34">
        <v>41428</v>
      </c>
      <c r="N1319">
        <v>4.04</v>
      </c>
    </row>
    <row r="1320" spans="1:14" x14ac:dyDescent="0.2">
      <c r="A1320" s="34">
        <v>42021</v>
      </c>
      <c r="B1320">
        <v>5.2866289999999996</v>
      </c>
      <c r="C1320">
        <f t="shared" si="25"/>
        <v>2.98</v>
      </c>
      <c r="M1320" s="34">
        <v>41425</v>
      </c>
      <c r="N1320">
        <v>4.03</v>
      </c>
    </row>
    <row r="1321" spans="1:14" x14ac:dyDescent="0.2">
      <c r="A1321" s="34">
        <v>42020</v>
      </c>
      <c r="B1321">
        <v>5.2862559999999998</v>
      </c>
      <c r="C1321">
        <f t="shared" si="25"/>
        <v>2.98</v>
      </c>
      <c r="M1321" s="34">
        <v>41424</v>
      </c>
      <c r="N1321">
        <v>4.0199999999999996</v>
      </c>
    </row>
    <row r="1322" spans="1:14" x14ac:dyDescent="0.2">
      <c r="A1322" s="34">
        <v>42019</v>
      </c>
      <c r="B1322">
        <v>5.285882</v>
      </c>
      <c r="C1322">
        <f t="shared" si="25"/>
        <v>3</v>
      </c>
      <c r="M1322" s="34">
        <v>41423</v>
      </c>
      <c r="N1322">
        <v>4</v>
      </c>
    </row>
    <row r="1323" spans="1:14" x14ac:dyDescent="0.2">
      <c r="A1323" s="34">
        <v>42018</v>
      </c>
      <c r="B1323">
        <v>5.2855090000000002</v>
      </c>
      <c r="C1323">
        <f t="shared" si="25"/>
        <v>3</v>
      </c>
      <c r="M1323" s="34">
        <v>41422</v>
      </c>
      <c r="N1323">
        <v>3.97</v>
      </c>
    </row>
    <row r="1324" spans="1:14" x14ac:dyDescent="0.2">
      <c r="A1324" s="34">
        <v>42017</v>
      </c>
      <c r="B1324">
        <v>5.2851359999999996</v>
      </c>
      <c r="C1324">
        <f t="shared" si="25"/>
        <v>3.02</v>
      </c>
      <c r="M1324" s="34">
        <v>41421</v>
      </c>
      <c r="N1324">
        <v>4.4000000000000004</v>
      </c>
    </row>
    <row r="1325" spans="1:14" x14ac:dyDescent="0.2">
      <c r="A1325" s="34">
        <v>42016</v>
      </c>
      <c r="B1325">
        <v>5.2847619999999997</v>
      </c>
      <c r="C1325">
        <f t="shared" si="25"/>
        <v>2.95</v>
      </c>
      <c r="M1325" s="34">
        <v>41418</v>
      </c>
      <c r="N1325">
        <v>3.85</v>
      </c>
    </row>
    <row r="1326" spans="1:14" x14ac:dyDescent="0.2">
      <c r="A1326" s="34">
        <v>42015</v>
      </c>
      <c r="B1326">
        <v>5.284389</v>
      </c>
      <c r="C1326">
        <f t="shared" si="25"/>
        <v>3.03</v>
      </c>
      <c r="M1326" s="34">
        <v>41417</v>
      </c>
      <c r="N1326">
        <v>3.8</v>
      </c>
    </row>
    <row r="1327" spans="1:14" x14ac:dyDescent="0.2">
      <c r="A1327" s="34">
        <v>42014</v>
      </c>
      <c r="B1327">
        <v>5.2840150000000001</v>
      </c>
      <c r="C1327">
        <f t="shared" si="25"/>
        <v>3.03</v>
      </c>
      <c r="M1327" s="34">
        <v>41416</v>
      </c>
      <c r="N1327">
        <v>3.6</v>
      </c>
    </row>
    <row r="1328" spans="1:14" x14ac:dyDescent="0.2">
      <c r="A1328" s="34">
        <v>42013</v>
      </c>
      <c r="B1328">
        <v>5.2826490000000002</v>
      </c>
      <c r="C1328">
        <f t="shared" si="25"/>
        <v>3.03</v>
      </c>
      <c r="M1328" s="34">
        <v>41415</v>
      </c>
      <c r="N1328">
        <v>3.7</v>
      </c>
    </row>
    <row r="1329" spans="1:14" x14ac:dyDescent="0.2">
      <c r="A1329" s="34">
        <v>42012</v>
      </c>
      <c r="B1329">
        <v>5.2812830000000002</v>
      </c>
      <c r="C1329">
        <f t="shared" si="25"/>
        <v>3.03</v>
      </c>
      <c r="M1329" s="34">
        <v>41414</v>
      </c>
      <c r="N1329">
        <v>4.0199999999999996</v>
      </c>
    </row>
    <row r="1330" spans="1:14" x14ac:dyDescent="0.2">
      <c r="A1330" s="34">
        <v>42011</v>
      </c>
      <c r="B1330">
        <v>5.2799170000000002</v>
      </c>
      <c r="C1330">
        <f t="shared" si="25"/>
        <v>3</v>
      </c>
      <c r="M1330" s="34">
        <v>41411</v>
      </c>
      <c r="N1330">
        <v>4.0199999999999996</v>
      </c>
    </row>
    <row r="1331" spans="1:14" x14ac:dyDescent="0.2">
      <c r="A1331" s="34">
        <v>42010</v>
      </c>
      <c r="B1331">
        <v>5.2785520000000004</v>
      </c>
      <c r="C1331">
        <f t="shared" si="25"/>
        <v>2.99</v>
      </c>
      <c r="M1331" s="34">
        <v>41410</v>
      </c>
      <c r="N1331">
        <v>4</v>
      </c>
    </row>
    <row r="1332" spans="1:14" x14ac:dyDescent="0.2">
      <c r="A1332" s="34">
        <v>42009</v>
      </c>
      <c r="B1332">
        <v>5.2771869999999996</v>
      </c>
      <c r="C1332">
        <f t="shared" si="25"/>
        <v>2.98</v>
      </c>
      <c r="M1332" s="34">
        <v>41409</v>
      </c>
      <c r="N1332">
        <v>4</v>
      </c>
    </row>
    <row r="1333" spans="1:14" x14ac:dyDescent="0.2">
      <c r="A1333" s="34">
        <v>42008</v>
      </c>
      <c r="B1333">
        <v>5.2758219999999998</v>
      </c>
      <c r="C1333">
        <f t="shared" si="25"/>
        <v>3.04</v>
      </c>
      <c r="M1333" s="34">
        <v>41408</v>
      </c>
      <c r="N1333">
        <v>3.99</v>
      </c>
    </row>
    <row r="1334" spans="1:14" x14ac:dyDescent="0.2">
      <c r="A1334" s="34">
        <v>42007</v>
      </c>
      <c r="B1334">
        <v>5.2744580000000001</v>
      </c>
      <c r="C1334">
        <f t="shared" si="25"/>
        <v>3.04</v>
      </c>
      <c r="M1334" s="34">
        <v>41407</v>
      </c>
      <c r="N1334">
        <v>4.0199999999999996</v>
      </c>
    </row>
    <row r="1335" spans="1:14" x14ac:dyDescent="0.2">
      <c r="A1335" s="34">
        <v>42006</v>
      </c>
      <c r="B1335">
        <v>5.2730940000000004</v>
      </c>
      <c r="C1335">
        <f t="shared" si="25"/>
        <v>3.04</v>
      </c>
      <c r="M1335" s="34">
        <v>41404</v>
      </c>
      <c r="N1335">
        <v>3.96</v>
      </c>
    </row>
    <row r="1336" spans="1:14" x14ac:dyDescent="0.2">
      <c r="A1336" s="34">
        <v>42005</v>
      </c>
      <c r="B1336">
        <v>5.2717309999999999</v>
      </c>
      <c r="C1336">
        <f t="shared" si="25"/>
        <v>3</v>
      </c>
      <c r="M1336" s="34">
        <v>41403</v>
      </c>
      <c r="N1336">
        <v>4.0199999999999996</v>
      </c>
    </row>
    <row r="1337" spans="1:14" x14ac:dyDescent="0.2">
      <c r="A1337" s="34">
        <v>42004</v>
      </c>
      <c r="B1337">
        <v>5.2703680000000004</v>
      </c>
      <c r="C1337">
        <f t="shared" si="25"/>
        <v>3</v>
      </c>
      <c r="M1337" s="34">
        <v>41402</v>
      </c>
      <c r="N1337">
        <v>4.01</v>
      </c>
    </row>
    <row r="1338" spans="1:14" x14ac:dyDescent="0.2">
      <c r="A1338" s="34">
        <v>42003</v>
      </c>
      <c r="B1338">
        <v>5.2690049999999999</v>
      </c>
      <c r="C1338">
        <f t="shared" si="25"/>
        <v>3.06</v>
      </c>
      <c r="M1338" s="34">
        <v>41401</v>
      </c>
      <c r="N1338">
        <v>3.98</v>
      </c>
    </row>
    <row r="1339" spans="1:14" x14ac:dyDescent="0.2">
      <c r="A1339" s="34">
        <v>42002</v>
      </c>
      <c r="B1339">
        <v>5.2676420000000004</v>
      </c>
      <c r="C1339">
        <f t="shared" si="25"/>
        <v>2.98</v>
      </c>
      <c r="M1339" s="34">
        <v>41400</v>
      </c>
      <c r="N1339">
        <v>3.97</v>
      </c>
    </row>
    <row r="1340" spans="1:14" x14ac:dyDescent="0.2">
      <c r="A1340" s="34">
        <v>42001</v>
      </c>
      <c r="B1340">
        <v>5.2662800000000001</v>
      </c>
      <c r="C1340">
        <f t="shared" si="25"/>
        <v>2.9</v>
      </c>
      <c r="M1340" s="34">
        <v>41397</v>
      </c>
      <c r="N1340">
        <v>3.96</v>
      </c>
    </row>
    <row r="1341" spans="1:14" x14ac:dyDescent="0.2">
      <c r="A1341" s="34">
        <v>42000</v>
      </c>
      <c r="B1341">
        <v>5.2649179999999998</v>
      </c>
      <c r="C1341">
        <f t="shared" si="25"/>
        <v>2.9</v>
      </c>
      <c r="M1341" s="34">
        <v>41396</v>
      </c>
      <c r="N1341">
        <v>3.9</v>
      </c>
    </row>
    <row r="1342" spans="1:14" x14ac:dyDescent="0.2">
      <c r="A1342" s="34">
        <v>41999</v>
      </c>
      <c r="B1342">
        <v>5.2635569999999996</v>
      </c>
      <c r="C1342">
        <f t="shared" si="25"/>
        <v>2.9</v>
      </c>
      <c r="M1342" s="34">
        <v>41394</v>
      </c>
      <c r="N1342">
        <v>4.05</v>
      </c>
    </row>
    <row r="1343" spans="1:14" x14ac:dyDescent="0.2">
      <c r="A1343" s="34">
        <v>41998</v>
      </c>
      <c r="B1343">
        <v>5.2621960000000003</v>
      </c>
      <c r="C1343">
        <f t="shared" si="25"/>
        <v>2.98</v>
      </c>
      <c r="M1343" s="34">
        <v>41393</v>
      </c>
      <c r="N1343">
        <v>4.0199999999999996</v>
      </c>
    </row>
    <row r="1344" spans="1:14" x14ac:dyDescent="0.2">
      <c r="A1344" s="34">
        <v>41997</v>
      </c>
      <c r="B1344">
        <v>5.262041</v>
      </c>
      <c r="C1344">
        <f t="shared" si="25"/>
        <v>2.98</v>
      </c>
      <c r="M1344" s="34">
        <v>41390</v>
      </c>
      <c r="N1344">
        <v>3.09</v>
      </c>
    </row>
    <row r="1345" spans="1:14" x14ac:dyDescent="0.2">
      <c r="A1345" s="34">
        <v>41996</v>
      </c>
      <c r="B1345">
        <v>5.2618859999999996</v>
      </c>
      <c r="C1345">
        <f t="shared" si="25"/>
        <v>3.1</v>
      </c>
      <c r="M1345" s="34">
        <v>41389</v>
      </c>
      <c r="N1345">
        <v>4.08</v>
      </c>
    </row>
    <row r="1346" spans="1:14" x14ac:dyDescent="0.2">
      <c r="A1346" s="34">
        <v>41995</v>
      </c>
      <c r="B1346">
        <v>5.2617310000000002</v>
      </c>
      <c r="C1346">
        <f t="shared" ref="C1346:C1409" si="26">IFERROR(VLOOKUP(A1346,$M$2:$N$3695,2,0),C1347)</f>
        <v>2.99</v>
      </c>
      <c r="M1346" s="34">
        <v>41388</v>
      </c>
      <c r="N1346">
        <v>3.96</v>
      </c>
    </row>
    <row r="1347" spans="1:14" x14ac:dyDescent="0.2">
      <c r="A1347" s="34">
        <v>41994</v>
      </c>
      <c r="B1347">
        <v>5.2615759999999998</v>
      </c>
      <c r="C1347">
        <f t="shared" si="26"/>
        <v>2.9</v>
      </c>
      <c r="M1347" s="34">
        <v>41387</v>
      </c>
      <c r="N1347">
        <v>4.05</v>
      </c>
    </row>
    <row r="1348" spans="1:14" x14ac:dyDescent="0.2">
      <c r="A1348" s="34">
        <v>41993</v>
      </c>
      <c r="B1348">
        <v>5.2614210000000003</v>
      </c>
      <c r="C1348">
        <f t="shared" si="26"/>
        <v>2.9</v>
      </c>
      <c r="M1348" s="34">
        <v>41386</v>
      </c>
      <c r="N1348">
        <v>3.99</v>
      </c>
    </row>
    <row r="1349" spans="1:14" x14ac:dyDescent="0.2">
      <c r="A1349" s="34">
        <v>41992</v>
      </c>
      <c r="B1349">
        <v>5.261266</v>
      </c>
      <c r="C1349">
        <f t="shared" si="26"/>
        <v>2.9</v>
      </c>
      <c r="M1349" s="34">
        <v>41383</v>
      </c>
      <c r="N1349">
        <v>4.04</v>
      </c>
    </row>
    <row r="1350" spans="1:14" x14ac:dyDescent="0.2">
      <c r="A1350" s="34">
        <v>41991</v>
      </c>
      <c r="B1350">
        <v>5.2611109999999996</v>
      </c>
      <c r="C1350">
        <f t="shared" si="26"/>
        <v>3.05</v>
      </c>
      <c r="M1350" s="34">
        <v>41382</v>
      </c>
      <c r="N1350">
        <v>4.01</v>
      </c>
    </row>
    <row r="1351" spans="1:14" x14ac:dyDescent="0.2">
      <c r="A1351" s="34">
        <v>41990</v>
      </c>
      <c r="B1351">
        <v>5.2609570000000003</v>
      </c>
      <c r="C1351">
        <f t="shared" si="26"/>
        <v>3.01</v>
      </c>
      <c r="M1351" s="34">
        <v>41381</v>
      </c>
      <c r="N1351">
        <v>3.98</v>
      </c>
    </row>
    <row r="1352" spans="1:14" x14ac:dyDescent="0.2">
      <c r="A1352" s="34">
        <v>41989</v>
      </c>
      <c r="B1352">
        <v>5.260802</v>
      </c>
      <c r="C1352">
        <f t="shared" si="26"/>
        <v>3.01</v>
      </c>
      <c r="M1352" s="34">
        <v>41380</v>
      </c>
      <c r="N1352">
        <v>3.97</v>
      </c>
    </row>
    <row r="1353" spans="1:14" x14ac:dyDescent="0.2">
      <c r="A1353" s="34">
        <v>41988</v>
      </c>
      <c r="B1353">
        <v>5.2606469999999996</v>
      </c>
      <c r="C1353">
        <f t="shared" si="26"/>
        <v>3</v>
      </c>
      <c r="M1353" s="34">
        <v>41379</v>
      </c>
      <c r="N1353">
        <v>4.07</v>
      </c>
    </row>
    <row r="1354" spans="1:14" x14ac:dyDescent="0.2">
      <c r="A1354" s="34">
        <v>41987</v>
      </c>
      <c r="B1354">
        <v>5.2604920000000002</v>
      </c>
      <c r="C1354">
        <f t="shared" si="26"/>
        <v>3</v>
      </c>
      <c r="M1354" s="34">
        <v>41376</v>
      </c>
      <c r="N1354">
        <v>4.01</v>
      </c>
    </row>
    <row r="1355" spans="1:14" x14ac:dyDescent="0.2">
      <c r="A1355" s="34">
        <v>41986</v>
      </c>
      <c r="B1355">
        <v>5.2603369999999998</v>
      </c>
      <c r="C1355">
        <f t="shared" si="26"/>
        <v>3</v>
      </c>
      <c r="M1355" s="34">
        <v>41375</v>
      </c>
      <c r="N1355">
        <v>3.98</v>
      </c>
    </row>
    <row r="1356" spans="1:14" x14ac:dyDescent="0.2">
      <c r="A1356" s="34">
        <v>41985</v>
      </c>
      <c r="B1356">
        <v>5.2601820000000004</v>
      </c>
      <c r="C1356">
        <f t="shared" si="26"/>
        <v>3</v>
      </c>
      <c r="M1356" s="34">
        <v>41374</v>
      </c>
      <c r="N1356">
        <v>3.95</v>
      </c>
    </row>
    <row r="1357" spans="1:14" x14ac:dyDescent="0.2">
      <c r="A1357" s="34">
        <v>41984</v>
      </c>
      <c r="B1357">
        <v>5.260027</v>
      </c>
      <c r="C1357">
        <f t="shared" si="26"/>
        <v>3</v>
      </c>
      <c r="M1357" s="34">
        <v>41373</v>
      </c>
      <c r="N1357">
        <v>3.95</v>
      </c>
    </row>
    <row r="1358" spans="1:14" x14ac:dyDescent="0.2">
      <c r="A1358" s="34">
        <v>41983</v>
      </c>
      <c r="B1358">
        <v>5.2598729999999998</v>
      </c>
      <c r="C1358">
        <f t="shared" si="26"/>
        <v>3</v>
      </c>
      <c r="M1358" s="34">
        <v>41372</v>
      </c>
      <c r="N1358">
        <v>4.0199999999999996</v>
      </c>
    </row>
    <row r="1359" spans="1:14" x14ac:dyDescent="0.2">
      <c r="A1359" s="34">
        <v>41982</v>
      </c>
      <c r="B1359">
        <v>5.2572979999999996</v>
      </c>
      <c r="C1359">
        <f t="shared" si="26"/>
        <v>3.03</v>
      </c>
      <c r="M1359" s="34">
        <v>41369</v>
      </c>
      <c r="N1359">
        <v>3.96</v>
      </c>
    </row>
    <row r="1360" spans="1:14" x14ac:dyDescent="0.2">
      <c r="A1360" s="34">
        <v>41981</v>
      </c>
      <c r="B1360">
        <v>5.2547240000000004</v>
      </c>
      <c r="C1360">
        <f t="shared" si="26"/>
        <v>3</v>
      </c>
      <c r="M1360" s="34">
        <v>41368</v>
      </c>
      <c r="N1360">
        <v>4.03</v>
      </c>
    </row>
    <row r="1361" spans="1:14" x14ac:dyDescent="0.2">
      <c r="A1361" s="34">
        <v>41980</v>
      </c>
      <c r="B1361">
        <v>5.2521509999999996</v>
      </c>
      <c r="C1361">
        <f t="shared" si="26"/>
        <v>2.97</v>
      </c>
      <c r="M1361" s="34">
        <v>41367</v>
      </c>
      <c r="N1361">
        <v>3.98</v>
      </c>
    </row>
    <row r="1362" spans="1:14" x14ac:dyDescent="0.2">
      <c r="A1362" s="34">
        <v>41979</v>
      </c>
      <c r="B1362">
        <v>5.2495799999999999</v>
      </c>
      <c r="C1362">
        <f t="shared" si="26"/>
        <v>2.97</v>
      </c>
      <c r="M1362" s="34">
        <v>41366</v>
      </c>
      <c r="N1362">
        <v>3.98</v>
      </c>
    </row>
    <row r="1363" spans="1:14" x14ac:dyDescent="0.2">
      <c r="A1363" s="34">
        <v>41978</v>
      </c>
      <c r="B1363">
        <v>5.2470100000000004</v>
      </c>
      <c r="C1363">
        <f t="shared" si="26"/>
        <v>2.97</v>
      </c>
      <c r="M1363" s="34">
        <v>41365</v>
      </c>
      <c r="N1363">
        <v>3.98</v>
      </c>
    </row>
    <row r="1364" spans="1:14" x14ac:dyDescent="0.2">
      <c r="A1364" s="34">
        <v>41977</v>
      </c>
      <c r="B1364">
        <v>5.2444420000000003</v>
      </c>
      <c r="C1364">
        <f t="shared" si="26"/>
        <v>3</v>
      </c>
      <c r="M1364" s="34">
        <v>41360</v>
      </c>
      <c r="N1364">
        <v>4.07</v>
      </c>
    </row>
    <row r="1365" spans="1:14" x14ac:dyDescent="0.2">
      <c r="A1365" s="34">
        <v>41976</v>
      </c>
      <c r="B1365">
        <v>5.2418740000000001</v>
      </c>
      <c r="C1365">
        <f t="shared" si="26"/>
        <v>2.97</v>
      </c>
      <c r="M1365" s="34">
        <v>41359</v>
      </c>
      <c r="N1365">
        <v>4.25</v>
      </c>
    </row>
    <row r="1366" spans="1:14" x14ac:dyDescent="0.2">
      <c r="A1366" s="34">
        <v>41975</v>
      </c>
      <c r="B1366">
        <v>5.2393080000000003</v>
      </c>
      <c r="C1366">
        <f t="shared" si="26"/>
        <v>2.97</v>
      </c>
      <c r="M1366" s="34">
        <v>41358</v>
      </c>
      <c r="N1366">
        <v>3.98</v>
      </c>
    </row>
    <row r="1367" spans="1:14" x14ac:dyDescent="0.2">
      <c r="A1367" s="34">
        <v>41974</v>
      </c>
      <c r="B1367">
        <v>5.2367429999999997</v>
      </c>
      <c r="C1367">
        <f t="shared" si="26"/>
        <v>3.02</v>
      </c>
      <c r="M1367" s="34">
        <v>41355</v>
      </c>
      <c r="N1367">
        <v>4.0199999999999996</v>
      </c>
    </row>
    <row r="1368" spans="1:14" x14ac:dyDescent="0.2">
      <c r="A1368" s="34">
        <v>41973</v>
      </c>
      <c r="B1368">
        <v>5.2341800000000003</v>
      </c>
      <c r="C1368">
        <f t="shared" si="26"/>
        <v>2.95</v>
      </c>
      <c r="M1368" s="34">
        <v>41354</v>
      </c>
      <c r="N1368">
        <v>4</v>
      </c>
    </row>
    <row r="1369" spans="1:14" x14ac:dyDescent="0.2">
      <c r="A1369" s="34">
        <v>41972</v>
      </c>
      <c r="B1369">
        <v>5.231617</v>
      </c>
      <c r="C1369">
        <f t="shared" si="26"/>
        <v>2.95</v>
      </c>
      <c r="M1369" s="34">
        <v>41353</v>
      </c>
      <c r="N1369">
        <v>3.96</v>
      </c>
    </row>
    <row r="1370" spans="1:14" x14ac:dyDescent="0.2">
      <c r="A1370" s="34">
        <v>41971</v>
      </c>
      <c r="B1370">
        <v>5.2290559999999999</v>
      </c>
      <c r="C1370">
        <f t="shared" si="26"/>
        <v>2.95</v>
      </c>
      <c r="M1370" s="34">
        <v>41352</v>
      </c>
      <c r="N1370">
        <v>3.98</v>
      </c>
    </row>
    <row r="1371" spans="1:14" x14ac:dyDescent="0.2">
      <c r="A1371" s="34">
        <v>41970</v>
      </c>
      <c r="B1371">
        <v>5.226496</v>
      </c>
      <c r="C1371">
        <f t="shared" si="26"/>
        <v>3.02</v>
      </c>
      <c r="M1371" s="34">
        <v>41348</v>
      </c>
      <c r="N1371">
        <v>4.0199999999999996</v>
      </c>
    </row>
    <row r="1372" spans="1:14" x14ac:dyDescent="0.2">
      <c r="A1372" s="34">
        <v>41969</v>
      </c>
      <c r="B1372">
        <v>5.2239380000000004</v>
      </c>
      <c r="C1372">
        <f t="shared" si="26"/>
        <v>3</v>
      </c>
      <c r="M1372" s="34">
        <v>41347</v>
      </c>
      <c r="N1372">
        <v>4</v>
      </c>
    </row>
    <row r="1373" spans="1:14" x14ac:dyDescent="0.2">
      <c r="A1373" s="34">
        <v>41968</v>
      </c>
      <c r="B1373">
        <v>5.221381</v>
      </c>
      <c r="C1373">
        <f t="shared" si="26"/>
        <v>3.02</v>
      </c>
      <c r="M1373" s="34">
        <v>41346</v>
      </c>
      <c r="N1373">
        <v>3.98</v>
      </c>
    </row>
    <row r="1374" spans="1:14" x14ac:dyDescent="0.2">
      <c r="A1374" s="34">
        <v>41967</v>
      </c>
      <c r="B1374">
        <v>5.2210520000000002</v>
      </c>
      <c r="C1374">
        <f t="shared" si="26"/>
        <v>3</v>
      </c>
      <c r="M1374" s="34">
        <v>41345</v>
      </c>
      <c r="N1374">
        <v>3.99</v>
      </c>
    </row>
    <row r="1375" spans="1:14" x14ac:dyDescent="0.2">
      <c r="A1375" s="34">
        <v>41966</v>
      </c>
      <c r="B1375">
        <v>5.2207239999999997</v>
      </c>
      <c r="C1375">
        <f t="shared" si="26"/>
        <v>3.04</v>
      </c>
      <c r="M1375" s="34">
        <v>41344</v>
      </c>
      <c r="N1375">
        <v>3.95</v>
      </c>
    </row>
    <row r="1376" spans="1:14" x14ac:dyDescent="0.2">
      <c r="A1376" s="34">
        <v>41965</v>
      </c>
      <c r="B1376">
        <v>5.220396</v>
      </c>
      <c r="C1376">
        <f t="shared" si="26"/>
        <v>3.04</v>
      </c>
      <c r="M1376" s="34">
        <v>41341</v>
      </c>
      <c r="N1376">
        <v>3.9</v>
      </c>
    </row>
    <row r="1377" spans="1:14" x14ac:dyDescent="0.2">
      <c r="A1377" s="34">
        <v>41964</v>
      </c>
      <c r="B1377">
        <v>5.2200680000000004</v>
      </c>
      <c r="C1377">
        <f t="shared" si="26"/>
        <v>3.04</v>
      </c>
      <c r="M1377" s="34">
        <v>41340</v>
      </c>
      <c r="N1377">
        <v>4.4000000000000004</v>
      </c>
    </row>
    <row r="1378" spans="1:14" x14ac:dyDescent="0.2">
      <c r="A1378" s="34">
        <v>41963</v>
      </c>
      <c r="B1378">
        <v>5.2197399999999998</v>
      </c>
      <c r="C1378">
        <f t="shared" si="26"/>
        <v>2.92</v>
      </c>
      <c r="M1378" s="34">
        <v>41339</v>
      </c>
      <c r="N1378">
        <v>4.53</v>
      </c>
    </row>
    <row r="1379" spans="1:14" x14ac:dyDescent="0.2">
      <c r="A1379" s="34">
        <v>41962</v>
      </c>
      <c r="B1379">
        <v>5.2194120000000002</v>
      </c>
      <c r="C1379">
        <f t="shared" si="26"/>
        <v>3.03</v>
      </c>
      <c r="M1379" s="34">
        <v>41338</v>
      </c>
      <c r="N1379">
        <v>4.9000000000000004</v>
      </c>
    </row>
    <row r="1380" spans="1:14" x14ac:dyDescent="0.2">
      <c r="A1380" s="34">
        <v>41961</v>
      </c>
      <c r="B1380">
        <v>5.2190839999999996</v>
      </c>
      <c r="C1380">
        <f t="shared" si="26"/>
        <v>3.11</v>
      </c>
      <c r="M1380" s="34">
        <v>41337</v>
      </c>
      <c r="N1380">
        <v>4.45</v>
      </c>
    </row>
    <row r="1381" spans="1:14" x14ac:dyDescent="0.2">
      <c r="A1381" s="34">
        <v>41960</v>
      </c>
      <c r="B1381">
        <v>5.218756</v>
      </c>
      <c r="C1381">
        <f t="shared" si="26"/>
        <v>3</v>
      </c>
      <c r="M1381" s="34">
        <v>41334</v>
      </c>
      <c r="N1381">
        <v>4.51</v>
      </c>
    </row>
    <row r="1382" spans="1:14" x14ac:dyDescent="0.2">
      <c r="A1382" s="34">
        <v>41959</v>
      </c>
      <c r="B1382">
        <v>5.2184280000000003</v>
      </c>
      <c r="C1382">
        <f t="shared" si="26"/>
        <v>3</v>
      </c>
      <c r="M1382" s="34">
        <v>41333</v>
      </c>
      <c r="N1382">
        <v>4.45</v>
      </c>
    </row>
    <row r="1383" spans="1:14" x14ac:dyDescent="0.2">
      <c r="A1383" s="34">
        <v>41958</v>
      </c>
      <c r="B1383">
        <v>5.2180999999999997</v>
      </c>
      <c r="C1383">
        <f t="shared" si="26"/>
        <v>3</v>
      </c>
      <c r="M1383" s="34">
        <v>41332</v>
      </c>
      <c r="N1383">
        <v>4.53</v>
      </c>
    </row>
    <row r="1384" spans="1:14" x14ac:dyDescent="0.2">
      <c r="A1384" s="34">
        <v>41957</v>
      </c>
      <c r="B1384">
        <v>5.2177720000000001</v>
      </c>
      <c r="C1384">
        <f t="shared" si="26"/>
        <v>3</v>
      </c>
      <c r="M1384" s="34">
        <v>41331</v>
      </c>
      <c r="N1384">
        <v>4.4800000000000004</v>
      </c>
    </row>
    <row r="1385" spans="1:14" x14ac:dyDescent="0.2">
      <c r="A1385" s="34">
        <v>41956</v>
      </c>
      <c r="B1385">
        <v>5.2174440000000004</v>
      </c>
      <c r="C1385">
        <f t="shared" si="26"/>
        <v>3.02</v>
      </c>
      <c r="M1385" s="34">
        <v>41330</v>
      </c>
      <c r="N1385">
        <v>4.5599999999999996</v>
      </c>
    </row>
    <row r="1386" spans="1:14" x14ac:dyDescent="0.2">
      <c r="A1386" s="34">
        <v>41955</v>
      </c>
      <c r="B1386">
        <v>5.217117</v>
      </c>
      <c r="C1386">
        <f t="shared" si="26"/>
        <v>3</v>
      </c>
      <c r="M1386" s="34">
        <v>41327</v>
      </c>
      <c r="N1386">
        <v>4.5199999999999996</v>
      </c>
    </row>
    <row r="1387" spans="1:14" x14ac:dyDescent="0.2">
      <c r="A1387" s="34">
        <v>41954</v>
      </c>
      <c r="B1387">
        <v>5.2167890000000003</v>
      </c>
      <c r="C1387">
        <f t="shared" si="26"/>
        <v>2.95</v>
      </c>
      <c r="M1387" s="34">
        <v>41326</v>
      </c>
      <c r="N1387">
        <v>4.53</v>
      </c>
    </row>
    <row r="1388" spans="1:14" x14ac:dyDescent="0.2">
      <c r="A1388" s="34">
        <v>41953</v>
      </c>
      <c r="B1388">
        <v>5.2164609999999998</v>
      </c>
      <c r="C1388">
        <f t="shared" si="26"/>
        <v>3</v>
      </c>
      <c r="M1388" s="34">
        <v>41325</v>
      </c>
      <c r="N1388">
        <v>4.47</v>
      </c>
    </row>
    <row r="1389" spans="1:14" x14ac:dyDescent="0.2">
      <c r="A1389" s="34">
        <v>41952</v>
      </c>
      <c r="B1389">
        <v>5.2148430000000001</v>
      </c>
      <c r="C1389">
        <f t="shared" si="26"/>
        <v>3</v>
      </c>
      <c r="M1389" s="34">
        <v>41324</v>
      </c>
      <c r="N1389">
        <v>4.5</v>
      </c>
    </row>
    <row r="1390" spans="1:14" x14ac:dyDescent="0.2">
      <c r="A1390" s="34">
        <v>41951</v>
      </c>
      <c r="B1390">
        <v>5.2132250000000004</v>
      </c>
      <c r="C1390">
        <f t="shared" si="26"/>
        <v>3</v>
      </c>
      <c r="M1390" s="34">
        <v>41323</v>
      </c>
      <c r="N1390">
        <v>4.5199999999999996</v>
      </c>
    </row>
    <row r="1391" spans="1:14" x14ac:dyDescent="0.2">
      <c r="A1391" s="34">
        <v>41950</v>
      </c>
      <c r="B1391">
        <v>5.211608</v>
      </c>
      <c r="C1391">
        <f t="shared" si="26"/>
        <v>3</v>
      </c>
      <c r="M1391" s="34">
        <v>41320</v>
      </c>
      <c r="N1391">
        <v>4.54</v>
      </c>
    </row>
    <row r="1392" spans="1:14" x14ac:dyDescent="0.2">
      <c r="A1392" s="34">
        <v>41949</v>
      </c>
      <c r="B1392">
        <v>5.2099919999999997</v>
      </c>
      <c r="C1392">
        <f t="shared" si="26"/>
        <v>3</v>
      </c>
      <c r="M1392" s="34">
        <v>41319</v>
      </c>
      <c r="N1392">
        <v>4.4800000000000004</v>
      </c>
    </row>
    <row r="1393" spans="1:14" x14ac:dyDescent="0.2">
      <c r="A1393" s="34">
        <v>41948</v>
      </c>
      <c r="B1393">
        <v>5.2083760000000003</v>
      </c>
      <c r="C1393">
        <f t="shared" si="26"/>
        <v>3</v>
      </c>
      <c r="M1393" s="34">
        <v>41318</v>
      </c>
      <c r="N1393">
        <v>4.5</v>
      </c>
    </row>
    <row r="1394" spans="1:14" x14ac:dyDescent="0.2">
      <c r="A1394" s="34">
        <v>41947</v>
      </c>
      <c r="B1394">
        <v>5.2067600000000001</v>
      </c>
      <c r="C1394">
        <f t="shared" si="26"/>
        <v>2.98</v>
      </c>
      <c r="M1394" s="34">
        <v>41317</v>
      </c>
      <c r="N1394">
        <v>4.46</v>
      </c>
    </row>
    <row r="1395" spans="1:14" x14ac:dyDescent="0.2">
      <c r="A1395" s="34">
        <v>41946</v>
      </c>
      <c r="B1395">
        <v>5.2051449999999999</v>
      </c>
      <c r="C1395">
        <f t="shared" si="26"/>
        <v>3.1</v>
      </c>
      <c r="M1395" s="34">
        <v>41316</v>
      </c>
      <c r="N1395">
        <v>4.46</v>
      </c>
    </row>
    <row r="1396" spans="1:14" x14ac:dyDescent="0.2">
      <c r="A1396" s="34">
        <v>41945</v>
      </c>
      <c r="B1396">
        <v>5.2035309999999999</v>
      </c>
      <c r="C1396">
        <f t="shared" si="26"/>
        <v>3.05</v>
      </c>
      <c r="M1396" s="34">
        <v>41313</v>
      </c>
      <c r="N1396">
        <v>4.45</v>
      </c>
    </row>
    <row r="1397" spans="1:14" x14ac:dyDescent="0.2">
      <c r="A1397" s="34">
        <v>41944</v>
      </c>
      <c r="B1397">
        <v>5.2019169999999999</v>
      </c>
      <c r="C1397">
        <f t="shared" si="26"/>
        <v>3.05</v>
      </c>
      <c r="M1397" s="34">
        <v>41312</v>
      </c>
      <c r="N1397">
        <v>4.46</v>
      </c>
    </row>
    <row r="1398" spans="1:14" x14ac:dyDescent="0.2">
      <c r="A1398" s="34">
        <v>41943</v>
      </c>
      <c r="B1398">
        <v>5.2003029999999999</v>
      </c>
      <c r="C1398">
        <f t="shared" si="26"/>
        <v>3.05</v>
      </c>
      <c r="M1398" s="34">
        <v>41311</v>
      </c>
      <c r="N1398">
        <v>4.51</v>
      </c>
    </row>
    <row r="1399" spans="1:14" x14ac:dyDescent="0.2">
      <c r="A1399" s="34">
        <v>41942</v>
      </c>
      <c r="B1399">
        <v>5.19869</v>
      </c>
      <c r="C1399">
        <f t="shared" si="26"/>
        <v>3.04</v>
      </c>
      <c r="M1399" s="34">
        <v>41310</v>
      </c>
      <c r="N1399">
        <v>4.45</v>
      </c>
    </row>
    <row r="1400" spans="1:14" x14ac:dyDescent="0.2">
      <c r="A1400" s="34">
        <v>41941</v>
      </c>
      <c r="B1400">
        <v>5.1970780000000003</v>
      </c>
      <c r="C1400">
        <f t="shared" si="26"/>
        <v>3</v>
      </c>
      <c r="M1400" s="34">
        <v>41306</v>
      </c>
      <c r="N1400">
        <v>4.4800000000000004</v>
      </c>
    </row>
    <row r="1401" spans="1:14" x14ac:dyDescent="0.2">
      <c r="A1401" s="34">
        <v>41940</v>
      </c>
      <c r="B1401">
        <v>5.1954659999999997</v>
      </c>
      <c r="C1401">
        <f t="shared" si="26"/>
        <v>2.96</v>
      </c>
      <c r="M1401" s="34">
        <v>41305</v>
      </c>
      <c r="N1401">
        <v>4.45</v>
      </c>
    </row>
    <row r="1402" spans="1:14" x14ac:dyDescent="0.2">
      <c r="A1402" s="34">
        <v>41939</v>
      </c>
      <c r="B1402">
        <v>5.193854</v>
      </c>
      <c r="C1402">
        <f t="shared" si="26"/>
        <v>3.1</v>
      </c>
      <c r="M1402" s="34">
        <v>41304</v>
      </c>
      <c r="N1402">
        <v>4.5</v>
      </c>
    </row>
    <row r="1403" spans="1:14" x14ac:dyDescent="0.2">
      <c r="A1403" s="34">
        <v>41938</v>
      </c>
      <c r="B1403">
        <v>5.1922430000000004</v>
      </c>
      <c r="C1403">
        <f t="shared" si="26"/>
        <v>3</v>
      </c>
      <c r="M1403" s="34">
        <v>41303</v>
      </c>
      <c r="N1403">
        <v>4.4800000000000004</v>
      </c>
    </row>
    <row r="1404" spans="1:14" x14ac:dyDescent="0.2">
      <c r="A1404" s="34">
        <v>41937</v>
      </c>
      <c r="B1404">
        <v>5.1906319999999999</v>
      </c>
      <c r="C1404">
        <f t="shared" si="26"/>
        <v>3</v>
      </c>
      <c r="M1404" s="34">
        <v>41302</v>
      </c>
      <c r="N1404">
        <v>4.5</v>
      </c>
    </row>
    <row r="1405" spans="1:14" x14ac:dyDescent="0.2">
      <c r="A1405" s="34">
        <v>41936</v>
      </c>
      <c r="B1405">
        <v>5.1905780000000004</v>
      </c>
      <c r="C1405">
        <f t="shared" si="26"/>
        <v>3</v>
      </c>
      <c r="M1405" s="34">
        <v>41299</v>
      </c>
      <c r="N1405">
        <v>4.47</v>
      </c>
    </row>
    <row r="1406" spans="1:14" x14ac:dyDescent="0.2">
      <c r="A1406" s="34">
        <v>41935</v>
      </c>
      <c r="B1406">
        <v>5.1905229999999998</v>
      </c>
      <c r="C1406">
        <f t="shared" si="26"/>
        <v>2.95</v>
      </c>
      <c r="M1406" s="34">
        <v>41298</v>
      </c>
      <c r="N1406">
        <v>4.5</v>
      </c>
    </row>
    <row r="1407" spans="1:14" x14ac:dyDescent="0.2">
      <c r="A1407" s="34">
        <v>41934</v>
      </c>
      <c r="B1407">
        <v>5.1904680000000001</v>
      </c>
      <c r="C1407">
        <f t="shared" si="26"/>
        <v>2.9</v>
      </c>
      <c r="M1407" s="34">
        <v>41297</v>
      </c>
      <c r="N1407">
        <v>4.47</v>
      </c>
    </row>
    <row r="1408" spans="1:14" x14ac:dyDescent="0.2">
      <c r="A1408" s="34">
        <v>41933</v>
      </c>
      <c r="B1408">
        <v>5.1904139999999996</v>
      </c>
      <c r="C1408">
        <f t="shared" si="26"/>
        <v>3.01</v>
      </c>
      <c r="M1408" s="34">
        <v>41296</v>
      </c>
      <c r="N1408">
        <v>4.51</v>
      </c>
    </row>
    <row r="1409" spans="1:14" x14ac:dyDescent="0.2">
      <c r="A1409" s="34">
        <v>41932</v>
      </c>
      <c r="B1409">
        <v>5.1903589999999999</v>
      </c>
      <c r="C1409">
        <f t="shared" si="26"/>
        <v>3</v>
      </c>
      <c r="M1409" s="34">
        <v>41295</v>
      </c>
      <c r="N1409">
        <v>4.51</v>
      </c>
    </row>
    <row r="1410" spans="1:14" x14ac:dyDescent="0.2">
      <c r="A1410" s="34">
        <v>41931</v>
      </c>
      <c r="B1410">
        <v>5.1903050000000004</v>
      </c>
      <c r="C1410">
        <f t="shared" ref="C1410:C1473" si="27">IFERROR(VLOOKUP(A1410,$M$2:$N$3695,2,0),C1411)</f>
        <v>3</v>
      </c>
      <c r="M1410" s="34">
        <v>41292</v>
      </c>
      <c r="N1410">
        <v>4.54</v>
      </c>
    </row>
    <row r="1411" spans="1:14" x14ac:dyDescent="0.2">
      <c r="A1411" s="34">
        <v>41930</v>
      </c>
      <c r="B1411">
        <v>5.1902499999999998</v>
      </c>
      <c r="C1411">
        <f t="shared" si="27"/>
        <v>3</v>
      </c>
      <c r="M1411" s="34">
        <v>41291</v>
      </c>
      <c r="N1411">
        <v>4.4800000000000004</v>
      </c>
    </row>
    <row r="1412" spans="1:14" x14ac:dyDescent="0.2">
      <c r="A1412" s="34">
        <v>41929</v>
      </c>
      <c r="B1412">
        <v>5.1901950000000001</v>
      </c>
      <c r="C1412">
        <f t="shared" si="27"/>
        <v>3</v>
      </c>
      <c r="M1412" s="34">
        <v>41290</v>
      </c>
      <c r="N1412">
        <v>4.4800000000000004</v>
      </c>
    </row>
    <row r="1413" spans="1:14" x14ac:dyDescent="0.2">
      <c r="A1413" s="34">
        <v>41928</v>
      </c>
      <c r="B1413">
        <v>5.1901409999999997</v>
      </c>
      <c r="C1413">
        <f t="shared" si="27"/>
        <v>2.98</v>
      </c>
      <c r="M1413" s="34">
        <v>41289</v>
      </c>
      <c r="N1413">
        <v>4.4000000000000004</v>
      </c>
    </row>
    <row r="1414" spans="1:14" x14ac:dyDescent="0.2">
      <c r="A1414" s="34">
        <v>41927</v>
      </c>
      <c r="B1414">
        <v>5.190086</v>
      </c>
      <c r="C1414">
        <f t="shared" si="27"/>
        <v>2.99</v>
      </c>
      <c r="M1414" s="34">
        <v>41288</v>
      </c>
      <c r="N1414">
        <v>4.4800000000000004</v>
      </c>
    </row>
    <row r="1415" spans="1:14" x14ac:dyDescent="0.2">
      <c r="A1415" s="34">
        <v>41926</v>
      </c>
      <c r="B1415">
        <v>5.1900310000000003</v>
      </c>
      <c r="C1415">
        <f t="shared" si="27"/>
        <v>3.05</v>
      </c>
      <c r="M1415" s="34">
        <v>41285</v>
      </c>
      <c r="N1415">
        <v>4.47</v>
      </c>
    </row>
    <row r="1416" spans="1:14" x14ac:dyDescent="0.2">
      <c r="A1416" s="34">
        <v>41925</v>
      </c>
      <c r="B1416">
        <v>5.1899769999999998</v>
      </c>
      <c r="C1416">
        <f t="shared" si="27"/>
        <v>2.99</v>
      </c>
      <c r="M1416" s="34">
        <v>41284</v>
      </c>
      <c r="N1416">
        <v>4.46</v>
      </c>
    </row>
    <row r="1417" spans="1:14" x14ac:dyDescent="0.2">
      <c r="A1417" s="34">
        <v>41924</v>
      </c>
      <c r="B1417">
        <v>5.1899220000000001</v>
      </c>
      <c r="C1417">
        <f t="shared" si="27"/>
        <v>2.99</v>
      </c>
      <c r="M1417" s="34">
        <v>41283</v>
      </c>
      <c r="N1417">
        <v>4.3</v>
      </c>
    </row>
    <row r="1418" spans="1:14" x14ac:dyDescent="0.2">
      <c r="A1418" s="34">
        <v>41923</v>
      </c>
      <c r="B1418">
        <v>5.1898669999999996</v>
      </c>
      <c r="C1418">
        <f t="shared" si="27"/>
        <v>2.99</v>
      </c>
      <c r="M1418" s="34">
        <v>41282</v>
      </c>
      <c r="N1418">
        <v>4.4800000000000004</v>
      </c>
    </row>
    <row r="1419" spans="1:14" x14ac:dyDescent="0.2">
      <c r="A1419" s="34">
        <v>41922</v>
      </c>
      <c r="B1419">
        <v>5.189813</v>
      </c>
      <c r="C1419">
        <f t="shared" si="27"/>
        <v>2.99</v>
      </c>
      <c r="M1419" s="34">
        <v>41281</v>
      </c>
      <c r="N1419">
        <v>4.47</v>
      </c>
    </row>
    <row r="1420" spans="1:14" x14ac:dyDescent="0.2">
      <c r="A1420" s="34">
        <v>41921</v>
      </c>
      <c r="B1420">
        <v>5.1886929999999998</v>
      </c>
      <c r="C1420">
        <f t="shared" si="27"/>
        <v>3</v>
      </c>
      <c r="M1420" s="34">
        <v>41278</v>
      </c>
      <c r="N1420">
        <v>4.4000000000000004</v>
      </c>
    </row>
    <row r="1421" spans="1:14" x14ac:dyDescent="0.2">
      <c r="A1421" s="34">
        <v>41920</v>
      </c>
      <c r="B1421">
        <v>5.1875739999999997</v>
      </c>
      <c r="C1421">
        <f t="shared" si="27"/>
        <v>3.01</v>
      </c>
      <c r="M1421" s="34">
        <v>41277</v>
      </c>
      <c r="N1421">
        <v>4.53</v>
      </c>
    </row>
    <row r="1422" spans="1:14" x14ac:dyDescent="0.2">
      <c r="A1422" s="34">
        <v>41919</v>
      </c>
      <c r="B1422">
        <v>5.1864559999999997</v>
      </c>
      <c r="C1422">
        <f t="shared" si="27"/>
        <v>3</v>
      </c>
      <c r="M1422" s="34">
        <v>41276</v>
      </c>
      <c r="N1422">
        <v>4.49</v>
      </c>
    </row>
    <row r="1423" spans="1:14" x14ac:dyDescent="0.2">
      <c r="A1423" s="34">
        <v>41918</v>
      </c>
      <c r="B1423">
        <v>5.1853369999999996</v>
      </c>
      <c r="C1423">
        <f t="shared" si="27"/>
        <v>2.99</v>
      </c>
      <c r="M1423" s="34">
        <v>41274</v>
      </c>
      <c r="N1423">
        <v>4.3499999999999996</v>
      </c>
    </row>
    <row r="1424" spans="1:14" x14ac:dyDescent="0.2">
      <c r="A1424" s="34">
        <v>41917</v>
      </c>
      <c r="B1424">
        <v>5.1842189999999997</v>
      </c>
      <c r="C1424">
        <f t="shared" si="27"/>
        <v>2.99</v>
      </c>
      <c r="M1424" s="34">
        <v>41271</v>
      </c>
      <c r="N1424">
        <v>4.4800000000000004</v>
      </c>
    </row>
    <row r="1425" spans="1:14" x14ac:dyDescent="0.2">
      <c r="A1425" s="34">
        <v>41916</v>
      </c>
      <c r="B1425">
        <v>5.1831009999999997</v>
      </c>
      <c r="C1425">
        <f t="shared" si="27"/>
        <v>2.99</v>
      </c>
      <c r="M1425" s="34">
        <v>41270</v>
      </c>
      <c r="N1425">
        <v>4.45</v>
      </c>
    </row>
    <row r="1426" spans="1:14" x14ac:dyDescent="0.2">
      <c r="A1426" s="34">
        <v>41915</v>
      </c>
      <c r="B1426">
        <v>5.1819829999999998</v>
      </c>
      <c r="C1426">
        <f t="shared" si="27"/>
        <v>2.99</v>
      </c>
      <c r="M1426" s="34">
        <v>41269</v>
      </c>
      <c r="N1426">
        <v>4.45</v>
      </c>
    </row>
    <row r="1427" spans="1:14" x14ac:dyDescent="0.2">
      <c r="A1427" s="34">
        <v>41914</v>
      </c>
      <c r="B1427">
        <v>5.1808649999999998</v>
      </c>
      <c r="C1427">
        <f t="shared" si="27"/>
        <v>3</v>
      </c>
      <c r="M1427" s="34">
        <v>41267</v>
      </c>
      <c r="N1427">
        <v>4.5</v>
      </c>
    </row>
    <row r="1428" spans="1:14" x14ac:dyDescent="0.2">
      <c r="A1428" s="34">
        <v>41913</v>
      </c>
      <c r="B1428">
        <v>5.179748</v>
      </c>
      <c r="C1428">
        <f t="shared" si="27"/>
        <v>3.04</v>
      </c>
      <c r="M1428" s="34">
        <v>41264</v>
      </c>
      <c r="N1428">
        <v>4.5</v>
      </c>
    </row>
    <row r="1429" spans="1:14" x14ac:dyDescent="0.2">
      <c r="A1429" s="34">
        <v>41912</v>
      </c>
      <c r="B1429">
        <v>5.1786310000000002</v>
      </c>
      <c r="C1429">
        <f t="shared" si="27"/>
        <v>2.99</v>
      </c>
      <c r="M1429" s="34">
        <v>41263</v>
      </c>
      <c r="N1429">
        <v>4.4800000000000004</v>
      </c>
    </row>
    <row r="1430" spans="1:14" x14ac:dyDescent="0.2">
      <c r="A1430" s="34">
        <v>41911</v>
      </c>
      <c r="B1430">
        <v>5.1775140000000004</v>
      </c>
      <c r="C1430">
        <f t="shared" si="27"/>
        <v>3.1</v>
      </c>
      <c r="M1430" s="34">
        <v>41262</v>
      </c>
      <c r="N1430">
        <v>4.5</v>
      </c>
    </row>
    <row r="1431" spans="1:14" x14ac:dyDescent="0.2">
      <c r="A1431" s="34">
        <v>41910</v>
      </c>
      <c r="B1431">
        <v>5.1763979999999998</v>
      </c>
      <c r="C1431">
        <f t="shared" si="27"/>
        <v>2.9</v>
      </c>
      <c r="M1431" s="34">
        <v>41261</v>
      </c>
      <c r="N1431">
        <v>4.55</v>
      </c>
    </row>
    <row r="1432" spans="1:14" x14ac:dyDescent="0.2">
      <c r="A1432" s="34">
        <v>41909</v>
      </c>
      <c r="B1432">
        <v>5.175281</v>
      </c>
      <c r="C1432">
        <f t="shared" si="27"/>
        <v>2.9</v>
      </c>
      <c r="M1432" s="34">
        <v>41260</v>
      </c>
      <c r="N1432">
        <v>4.57</v>
      </c>
    </row>
    <row r="1433" spans="1:14" x14ac:dyDescent="0.2">
      <c r="A1433" s="34">
        <v>41908</v>
      </c>
      <c r="B1433">
        <v>5.1741650000000003</v>
      </c>
      <c r="C1433">
        <f t="shared" si="27"/>
        <v>2.9</v>
      </c>
      <c r="M1433" s="34">
        <v>41257</v>
      </c>
      <c r="N1433">
        <v>4.4800000000000004</v>
      </c>
    </row>
    <row r="1434" spans="1:14" x14ac:dyDescent="0.2">
      <c r="A1434" s="34">
        <v>41907</v>
      </c>
      <c r="B1434">
        <v>5.1730489999999998</v>
      </c>
      <c r="C1434">
        <f t="shared" si="27"/>
        <v>2.98</v>
      </c>
      <c r="M1434" s="34">
        <v>41256</v>
      </c>
      <c r="N1434">
        <v>4.4800000000000004</v>
      </c>
    </row>
    <row r="1435" spans="1:14" x14ac:dyDescent="0.2">
      <c r="A1435" s="34">
        <v>41906</v>
      </c>
      <c r="B1435">
        <v>5.1722919999999997</v>
      </c>
      <c r="C1435">
        <f t="shared" si="27"/>
        <v>2.95</v>
      </c>
      <c r="M1435" s="34">
        <v>41254</v>
      </c>
      <c r="N1435">
        <v>4.53</v>
      </c>
    </row>
    <row r="1436" spans="1:14" x14ac:dyDescent="0.2">
      <c r="A1436" s="34">
        <v>41905</v>
      </c>
      <c r="B1436">
        <v>5.1715350000000004</v>
      </c>
      <c r="C1436">
        <f t="shared" si="27"/>
        <v>2.95</v>
      </c>
      <c r="M1436" s="34">
        <v>41253</v>
      </c>
      <c r="N1436">
        <v>4.51</v>
      </c>
    </row>
    <row r="1437" spans="1:14" x14ac:dyDescent="0.2">
      <c r="A1437" s="34">
        <v>41904</v>
      </c>
      <c r="B1437">
        <v>5.1707789999999996</v>
      </c>
      <c r="C1437">
        <f t="shared" si="27"/>
        <v>2.8</v>
      </c>
      <c r="M1437" s="34">
        <v>41250</v>
      </c>
      <c r="N1437">
        <v>4.47</v>
      </c>
    </row>
    <row r="1438" spans="1:14" x14ac:dyDescent="0.2">
      <c r="A1438" s="34">
        <v>41903</v>
      </c>
      <c r="B1438">
        <v>5.1700220000000003</v>
      </c>
      <c r="C1438">
        <f t="shared" si="27"/>
        <v>2.9</v>
      </c>
      <c r="M1438" s="34">
        <v>41249</v>
      </c>
      <c r="N1438">
        <v>4.49</v>
      </c>
    </row>
    <row r="1439" spans="1:14" x14ac:dyDescent="0.2">
      <c r="A1439" s="34">
        <v>41902</v>
      </c>
      <c r="B1439">
        <v>5.1692660000000004</v>
      </c>
      <c r="C1439">
        <f t="shared" si="27"/>
        <v>2.9</v>
      </c>
      <c r="M1439" s="34">
        <v>41248</v>
      </c>
      <c r="N1439">
        <v>4.46</v>
      </c>
    </row>
    <row r="1440" spans="1:14" x14ac:dyDescent="0.2">
      <c r="A1440" s="34">
        <v>41901</v>
      </c>
      <c r="B1440">
        <v>5.1685090000000002</v>
      </c>
      <c r="C1440">
        <f t="shared" si="27"/>
        <v>2.9</v>
      </c>
      <c r="M1440" s="34">
        <v>41247</v>
      </c>
      <c r="N1440">
        <v>4.4400000000000004</v>
      </c>
    </row>
    <row r="1441" spans="1:14" x14ac:dyDescent="0.2">
      <c r="A1441" s="34">
        <v>41900</v>
      </c>
      <c r="B1441">
        <v>5.1677530000000003</v>
      </c>
      <c r="C1441">
        <f t="shared" si="27"/>
        <v>2.98</v>
      </c>
      <c r="M1441" s="34">
        <v>41246</v>
      </c>
      <c r="N1441">
        <v>4.4000000000000004</v>
      </c>
    </row>
    <row r="1442" spans="1:14" x14ac:dyDescent="0.2">
      <c r="A1442" s="34">
        <v>41899</v>
      </c>
      <c r="B1442">
        <v>5.1669970000000003</v>
      </c>
      <c r="C1442">
        <f t="shared" si="27"/>
        <v>2.95</v>
      </c>
      <c r="M1442" s="34">
        <v>41243</v>
      </c>
      <c r="N1442">
        <v>4.4800000000000004</v>
      </c>
    </row>
    <row r="1443" spans="1:14" x14ac:dyDescent="0.2">
      <c r="A1443" s="34">
        <v>41898</v>
      </c>
      <c r="B1443">
        <v>5.1662410000000003</v>
      </c>
      <c r="C1443">
        <f t="shared" si="27"/>
        <v>3.07</v>
      </c>
      <c r="M1443" s="34">
        <v>41242</v>
      </c>
      <c r="N1443">
        <v>4.46</v>
      </c>
    </row>
    <row r="1444" spans="1:14" x14ac:dyDescent="0.2">
      <c r="A1444" s="34">
        <v>41897</v>
      </c>
      <c r="B1444">
        <v>5.1654850000000003</v>
      </c>
      <c r="C1444">
        <f t="shared" si="27"/>
        <v>3.07</v>
      </c>
      <c r="M1444" s="34">
        <v>41241</v>
      </c>
      <c r="N1444">
        <v>4.51</v>
      </c>
    </row>
    <row r="1445" spans="1:14" x14ac:dyDescent="0.2">
      <c r="A1445" s="34">
        <v>41896</v>
      </c>
      <c r="B1445">
        <v>5.1647290000000003</v>
      </c>
      <c r="C1445">
        <f t="shared" si="27"/>
        <v>3</v>
      </c>
      <c r="M1445" s="34">
        <v>41240</v>
      </c>
      <c r="N1445">
        <v>4.49</v>
      </c>
    </row>
    <row r="1446" spans="1:14" x14ac:dyDescent="0.2">
      <c r="A1446" s="34">
        <v>41895</v>
      </c>
      <c r="B1446">
        <v>5.1639730000000004</v>
      </c>
      <c r="C1446">
        <f t="shared" si="27"/>
        <v>3</v>
      </c>
      <c r="M1446" s="34">
        <v>41239</v>
      </c>
      <c r="N1446">
        <v>4.4800000000000004</v>
      </c>
    </row>
    <row r="1447" spans="1:14" x14ac:dyDescent="0.2">
      <c r="A1447" s="34">
        <v>41894</v>
      </c>
      <c r="B1447">
        <v>5.1632170000000004</v>
      </c>
      <c r="C1447">
        <f t="shared" si="27"/>
        <v>3</v>
      </c>
      <c r="M1447" s="34">
        <v>41236</v>
      </c>
      <c r="N1447">
        <v>4.49</v>
      </c>
    </row>
    <row r="1448" spans="1:14" x14ac:dyDescent="0.2">
      <c r="A1448" s="34">
        <v>41893</v>
      </c>
      <c r="B1448">
        <v>5.1624619999999997</v>
      </c>
      <c r="C1448">
        <f t="shared" si="27"/>
        <v>2.99</v>
      </c>
      <c r="M1448" s="34">
        <v>41235</v>
      </c>
      <c r="N1448">
        <v>4.51</v>
      </c>
    </row>
    <row r="1449" spans="1:14" x14ac:dyDescent="0.2">
      <c r="A1449" s="34">
        <v>41892</v>
      </c>
      <c r="B1449">
        <v>5.1617069999999998</v>
      </c>
      <c r="C1449">
        <f t="shared" si="27"/>
        <v>2.99</v>
      </c>
      <c r="M1449" s="34">
        <v>41234</v>
      </c>
      <c r="N1449">
        <v>4.45</v>
      </c>
    </row>
    <row r="1450" spans="1:14" x14ac:dyDescent="0.2">
      <c r="A1450" s="34">
        <v>41891</v>
      </c>
      <c r="B1450">
        <v>5.1610969999999998</v>
      </c>
      <c r="C1450">
        <f t="shared" si="27"/>
        <v>3</v>
      </c>
      <c r="M1450" s="34">
        <v>41233</v>
      </c>
      <c r="N1450">
        <v>4.5</v>
      </c>
    </row>
    <row r="1451" spans="1:14" x14ac:dyDescent="0.2">
      <c r="A1451" s="34">
        <v>41890</v>
      </c>
      <c r="B1451">
        <v>5.1604869999999998</v>
      </c>
      <c r="C1451">
        <f t="shared" si="27"/>
        <v>3</v>
      </c>
      <c r="M1451" s="34">
        <v>41229</v>
      </c>
      <c r="N1451">
        <v>4.5</v>
      </c>
    </row>
    <row r="1452" spans="1:14" x14ac:dyDescent="0.2">
      <c r="A1452" s="34">
        <v>41889</v>
      </c>
      <c r="B1452">
        <v>5.1598769999999998</v>
      </c>
      <c r="C1452">
        <f t="shared" si="27"/>
        <v>3</v>
      </c>
      <c r="M1452" s="34">
        <v>41228</v>
      </c>
      <c r="N1452">
        <v>4.51</v>
      </c>
    </row>
    <row r="1453" spans="1:14" x14ac:dyDescent="0.2">
      <c r="A1453" s="34">
        <v>41888</v>
      </c>
      <c r="B1453">
        <v>5.159268</v>
      </c>
      <c r="C1453">
        <f t="shared" si="27"/>
        <v>3</v>
      </c>
      <c r="M1453" s="34">
        <v>41227</v>
      </c>
      <c r="N1453">
        <v>4.49</v>
      </c>
    </row>
    <row r="1454" spans="1:14" x14ac:dyDescent="0.2">
      <c r="A1454" s="34">
        <v>41887</v>
      </c>
      <c r="B1454">
        <v>5.158658</v>
      </c>
      <c r="C1454">
        <f t="shared" si="27"/>
        <v>3</v>
      </c>
      <c r="M1454" s="34">
        <v>41226</v>
      </c>
      <c r="N1454">
        <v>4.4800000000000004</v>
      </c>
    </row>
    <row r="1455" spans="1:14" x14ac:dyDescent="0.2">
      <c r="A1455" s="34">
        <v>41886</v>
      </c>
      <c r="B1455">
        <v>5.1580490000000001</v>
      </c>
      <c r="C1455">
        <f t="shared" si="27"/>
        <v>2.99</v>
      </c>
      <c r="M1455" s="34">
        <v>41225</v>
      </c>
      <c r="N1455">
        <v>4.5</v>
      </c>
    </row>
    <row r="1456" spans="1:14" x14ac:dyDescent="0.2">
      <c r="A1456" s="34">
        <v>41885</v>
      </c>
      <c r="B1456">
        <v>5.1574390000000001</v>
      </c>
      <c r="C1456">
        <f t="shared" si="27"/>
        <v>2.99</v>
      </c>
      <c r="M1456" s="34">
        <v>41222</v>
      </c>
      <c r="N1456">
        <v>4.5</v>
      </c>
    </row>
    <row r="1457" spans="1:14" x14ac:dyDescent="0.2">
      <c r="A1457" s="34">
        <v>41884</v>
      </c>
      <c r="B1457">
        <v>5.1568300000000002</v>
      </c>
      <c r="C1457">
        <f t="shared" si="27"/>
        <v>3</v>
      </c>
      <c r="M1457" s="34">
        <v>41221</v>
      </c>
      <c r="N1457">
        <v>4.5</v>
      </c>
    </row>
    <row r="1458" spans="1:14" x14ac:dyDescent="0.2">
      <c r="A1458" s="34">
        <v>41883</v>
      </c>
      <c r="B1458">
        <v>5.1562210000000004</v>
      </c>
      <c r="C1458">
        <f t="shared" si="27"/>
        <v>2.95</v>
      </c>
      <c r="M1458" s="34">
        <v>41220</v>
      </c>
      <c r="N1458">
        <v>4.5199999999999996</v>
      </c>
    </row>
    <row r="1459" spans="1:14" x14ac:dyDescent="0.2">
      <c r="A1459" s="34">
        <v>41882</v>
      </c>
      <c r="B1459">
        <v>5.1556119999999996</v>
      </c>
      <c r="C1459">
        <f t="shared" si="27"/>
        <v>3</v>
      </c>
      <c r="M1459" s="34">
        <v>41219</v>
      </c>
      <c r="N1459">
        <v>4.5</v>
      </c>
    </row>
    <row r="1460" spans="1:14" x14ac:dyDescent="0.2">
      <c r="A1460" s="34">
        <v>41881</v>
      </c>
      <c r="B1460">
        <v>5.1550029999999998</v>
      </c>
      <c r="C1460">
        <f t="shared" si="27"/>
        <v>3</v>
      </c>
      <c r="M1460" s="34">
        <v>41218</v>
      </c>
      <c r="N1460">
        <v>4.58</v>
      </c>
    </row>
    <row r="1461" spans="1:14" x14ac:dyDescent="0.2">
      <c r="A1461" s="34">
        <v>41880</v>
      </c>
      <c r="B1461">
        <v>5.1543939999999999</v>
      </c>
      <c r="C1461">
        <f t="shared" si="27"/>
        <v>3</v>
      </c>
      <c r="M1461" s="34">
        <v>41214</v>
      </c>
      <c r="N1461">
        <v>4.46</v>
      </c>
    </row>
    <row r="1462" spans="1:14" x14ac:dyDescent="0.2">
      <c r="A1462" s="34">
        <v>41879</v>
      </c>
      <c r="B1462">
        <v>5.1537850000000001</v>
      </c>
      <c r="C1462">
        <f t="shared" si="27"/>
        <v>3</v>
      </c>
      <c r="M1462" s="34">
        <v>41213</v>
      </c>
      <c r="N1462">
        <v>4.47</v>
      </c>
    </row>
    <row r="1463" spans="1:14" x14ac:dyDescent="0.2">
      <c r="A1463" s="34">
        <v>41878</v>
      </c>
      <c r="B1463">
        <v>5.1531760000000002</v>
      </c>
      <c r="C1463">
        <f t="shared" si="27"/>
        <v>3.01</v>
      </c>
      <c r="M1463" s="34">
        <v>41212</v>
      </c>
      <c r="N1463">
        <v>4.5199999999999996</v>
      </c>
    </row>
    <row r="1464" spans="1:14" x14ac:dyDescent="0.2">
      <c r="A1464" s="34">
        <v>41877</v>
      </c>
      <c r="B1464">
        <v>5.1525670000000003</v>
      </c>
      <c r="C1464">
        <f t="shared" si="27"/>
        <v>3</v>
      </c>
      <c r="M1464" s="34">
        <v>41211</v>
      </c>
      <c r="N1464">
        <v>4.5</v>
      </c>
    </row>
    <row r="1465" spans="1:14" x14ac:dyDescent="0.2">
      <c r="A1465" s="34">
        <v>41876</v>
      </c>
      <c r="B1465">
        <v>5.1519579999999996</v>
      </c>
      <c r="C1465">
        <f t="shared" si="27"/>
        <v>3</v>
      </c>
      <c r="M1465" s="34">
        <v>41208</v>
      </c>
      <c r="N1465">
        <v>4.5199999999999996</v>
      </c>
    </row>
    <row r="1466" spans="1:14" x14ac:dyDescent="0.2">
      <c r="A1466" s="34">
        <v>41875</v>
      </c>
      <c r="B1466">
        <v>5.1515510000000004</v>
      </c>
      <c r="C1466">
        <f t="shared" si="27"/>
        <v>3</v>
      </c>
      <c r="M1466" s="34">
        <v>41207</v>
      </c>
      <c r="N1466">
        <v>4.5199999999999996</v>
      </c>
    </row>
    <row r="1467" spans="1:14" x14ac:dyDescent="0.2">
      <c r="A1467" s="34">
        <v>41874</v>
      </c>
      <c r="B1467">
        <v>5.1511440000000004</v>
      </c>
      <c r="C1467">
        <f t="shared" si="27"/>
        <v>3</v>
      </c>
      <c r="M1467" s="34">
        <v>41206</v>
      </c>
      <c r="N1467">
        <v>4.5199999999999996</v>
      </c>
    </row>
    <row r="1468" spans="1:14" x14ac:dyDescent="0.2">
      <c r="A1468" s="34">
        <v>41873</v>
      </c>
      <c r="B1468">
        <v>5.1507370000000003</v>
      </c>
      <c r="C1468">
        <f t="shared" si="27"/>
        <v>3</v>
      </c>
      <c r="M1468" s="34">
        <v>41205</v>
      </c>
      <c r="N1468">
        <v>4.51</v>
      </c>
    </row>
    <row r="1469" spans="1:14" x14ac:dyDescent="0.2">
      <c r="A1469" s="34">
        <v>41872</v>
      </c>
      <c r="B1469">
        <v>5.1503300000000003</v>
      </c>
      <c r="C1469">
        <f t="shared" si="27"/>
        <v>3.15</v>
      </c>
      <c r="M1469" s="34">
        <v>41204</v>
      </c>
      <c r="N1469">
        <v>4.42</v>
      </c>
    </row>
    <row r="1470" spans="1:14" x14ac:dyDescent="0.2">
      <c r="A1470" s="34">
        <v>41871</v>
      </c>
      <c r="B1470">
        <v>5.1499230000000003</v>
      </c>
      <c r="C1470">
        <f t="shared" si="27"/>
        <v>2.99</v>
      </c>
      <c r="M1470" s="34">
        <v>41201</v>
      </c>
      <c r="N1470">
        <v>4.5199999999999996</v>
      </c>
    </row>
    <row r="1471" spans="1:14" x14ac:dyDescent="0.2">
      <c r="A1471" s="34">
        <v>41870</v>
      </c>
      <c r="B1471">
        <v>5.1495160000000002</v>
      </c>
      <c r="C1471">
        <f t="shared" si="27"/>
        <v>3.04</v>
      </c>
      <c r="M1471" s="34">
        <v>41200</v>
      </c>
      <c r="N1471">
        <v>4.5</v>
      </c>
    </row>
    <row r="1472" spans="1:14" x14ac:dyDescent="0.2">
      <c r="A1472" s="34">
        <v>41869</v>
      </c>
      <c r="B1472">
        <v>5.1491090000000002</v>
      </c>
      <c r="C1472">
        <f t="shared" si="27"/>
        <v>2.92</v>
      </c>
      <c r="M1472" s="34">
        <v>41199</v>
      </c>
      <c r="N1472">
        <v>4.4800000000000004</v>
      </c>
    </row>
    <row r="1473" spans="1:14" x14ac:dyDescent="0.2">
      <c r="A1473" s="34">
        <v>41868</v>
      </c>
      <c r="B1473">
        <v>5.1487020000000001</v>
      </c>
      <c r="C1473">
        <f t="shared" si="27"/>
        <v>3</v>
      </c>
      <c r="M1473" s="34">
        <v>41198</v>
      </c>
      <c r="N1473">
        <v>4.5</v>
      </c>
    </row>
    <row r="1474" spans="1:14" x14ac:dyDescent="0.2">
      <c r="A1474" s="34">
        <v>41867</v>
      </c>
      <c r="B1474">
        <v>5.1482950000000001</v>
      </c>
      <c r="C1474">
        <f t="shared" ref="C1474:C1537" si="28">IFERROR(VLOOKUP(A1474,$M$2:$N$3695,2,0),C1475)</f>
        <v>3</v>
      </c>
      <c r="M1474" s="34">
        <v>41197</v>
      </c>
      <c r="N1474">
        <v>4.5199999999999996</v>
      </c>
    </row>
    <row r="1475" spans="1:14" x14ac:dyDescent="0.2">
      <c r="A1475" s="34">
        <v>41866</v>
      </c>
      <c r="B1475">
        <v>5.147888</v>
      </c>
      <c r="C1475">
        <f t="shared" si="28"/>
        <v>3</v>
      </c>
      <c r="M1475" s="34">
        <v>41194</v>
      </c>
      <c r="N1475">
        <v>4.5</v>
      </c>
    </row>
    <row r="1476" spans="1:14" x14ac:dyDescent="0.2">
      <c r="A1476" s="34">
        <v>41865</v>
      </c>
      <c r="B1476">
        <v>5.147481</v>
      </c>
      <c r="C1476">
        <f t="shared" si="28"/>
        <v>2.99</v>
      </c>
      <c r="M1476" s="34">
        <v>41193</v>
      </c>
      <c r="N1476">
        <v>4.5199999999999996</v>
      </c>
    </row>
    <row r="1477" spans="1:14" x14ac:dyDescent="0.2">
      <c r="A1477" s="34">
        <v>41864</v>
      </c>
      <c r="B1477">
        <v>5.1470739999999999</v>
      </c>
      <c r="C1477">
        <f t="shared" si="28"/>
        <v>3.06</v>
      </c>
      <c r="M1477" s="34">
        <v>41192</v>
      </c>
      <c r="N1477">
        <v>4.47</v>
      </c>
    </row>
    <row r="1478" spans="1:14" x14ac:dyDescent="0.2">
      <c r="A1478" s="34">
        <v>41863</v>
      </c>
      <c r="B1478">
        <v>5.146668</v>
      </c>
      <c r="C1478">
        <f t="shared" si="28"/>
        <v>3.06</v>
      </c>
      <c r="M1478" s="34">
        <v>41191</v>
      </c>
      <c r="N1478">
        <v>4.5</v>
      </c>
    </row>
    <row r="1479" spans="1:14" x14ac:dyDescent="0.2">
      <c r="A1479" s="34">
        <v>41862</v>
      </c>
      <c r="B1479">
        <v>5.146261</v>
      </c>
      <c r="C1479">
        <f t="shared" si="28"/>
        <v>3.02</v>
      </c>
      <c r="M1479" s="34">
        <v>41190</v>
      </c>
      <c r="N1479">
        <v>4.5199999999999996</v>
      </c>
    </row>
    <row r="1480" spans="1:14" x14ac:dyDescent="0.2">
      <c r="A1480" s="34">
        <v>41861</v>
      </c>
      <c r="B1480">
        <v>5.1458539999999999</v>
      </c>
      <c r="C1480">
        <f t="shared" si="28"/>
        <v>3.07</v>
      </c>
      <c r="M1480" s="34">
        <v>41187</v>
      </c>
      <c r="N1480">
        <v>4.4800000000000004</v>
      </c>
    </row>
    <row r="1481" spans="1:14" x14ac:dyDescent="0.2">
      <c r="A1481" s="34">
        <v>41860</v>
      </c>
      <c r="B1481">
        <v>5.145219</v>
      </c>
      <c r="C1481">
        <f t="shared" si="28"/>
        <v>3.07</v>
      </c>
      <c r="M1481" s="34">
        <v>41186</v>
      </c>
      <c r="N1481">
        <v>4.5</v>
      </c>
    </row>
    <row r="1482" spans="1:14" x14ac:dyDescent="0.2">
      <c r="A1482" s="34">
        <v>41859</v>
      </c>
      <c r="B1482">
        <v>5.1445829999999999</v>
      </c>
      <c r="C1482">
        <f t="shared" si="28"/>
        <v>3.07</v>
      </c>
      <c r="M1482" s="34">
        <v>41185</v>
      </c>
      <c r="N1482">
        <v>4.5199999999999996</v>
      </c>
    </row>
    <row r="1483" spans="1:14" x14ac:dyDescent="0.2">
      <c r="A1483" s="34">
        <v>41858</v>
      </c>
      <c r="B1483">
        <v>5.143948</v>
      </c>
      <c r="C1483">
        <f t="shared" si="28"/>
        <v>2.99</v>
      </c>
      <c r="M1483" s="34">
        <v>41184</v>
      </c>
      <c r="N1483">
        <v>4.5199999999999996</v>
      </c>
    </row>
    <row r="1484" spans="1:14" x14ac:dyDescent="0.2">
      <c r="A1484" s="34">
        <v>41857</v>
      </c>
      <c r="B1484">
        <v>5.143313</v>
      </c>
      <c r="C1484">
        <f t="shared" si="28"/>
        <v>3</v>
      </c>
      <c r="M1484" s="34">
        <v>41183</v>
      </c>
      <c r="N1484">
        <v>4.5</v>
      </c>
    </row>
    <row r="1485" spans="1:14" x14ac:dyDescent="0.2">
      <c r="A1485" s="34">
        <v>41856</v>
      </c>
      <c r="B1485">
        <v>5.1426780000000001</v>
      </c>
      <c r="C1485">
        <f t="shared" si="28"/>
        <v>3</v>
      </c>
      <c r="M1485" s="34">
        <v>41180</v>
      </c>
      <c r="N1485">
        <v>4.4800000000000004</v>
      </c>
    </row>
    <row r="1486" spans="1:14" x14ac:dyDescent="0.2">
      <c r="A1486" s="34">
        <v>41855</v>
      </c>
      <c r="B1486">
        <v>5.1420430000000001</v>
      </c>
      <c r="C1486">
        <f t="shared" si="28"/>
        <v>3</v>
      </c>
      <c r="M1486" s="34">
        <v>41179</v>
      </c>
      <c r="N1486">
        <v>4.5</v>
      </c>
    </row>
    <row r="1487" spans="1:14" x14ac:dyDescent="0.2">
      <c r="A1487" s="34">
        <v>41854</v>
      </c>
      <c r="B1487">
        <v>5.1414080000000002</v>
      </c>
      <c r="C1487">
        <f t="shared" si="28"/>
        <v>3.04</v>
      </c>
      <c r="M1487" s="34">
        <v>41178</v>
      </c>
      <c r="N1487">
        <v>4.5199999999999996</v>
      </c>
    </row>
    <row r="1488" spans="1:14" x14ac:dyDescent="0.2">
      <c r="A1488" s="34">
        <v>41853</v>
      </c>
      <c r="B1488">
        <v>5.1407730000000003</v>
      </c>
      <c r="C1488">
        <f t="shared" si="28"/>
        <v>3.04</v>
      </c>
      <c r="M1488" s="34">
        <v>41177</v>
      </c>
      <c r="N1488">
        <v>4.5199999999999996</v>
      </c>
    </row>
    <row r="1489" spans="1:14" x14ac:dyDescent="0.2">
      <c r="A1489" s="34">
        <v>41852</v>
      </c>
      <c r="B1489">
        <v>5.1401380000000003</v>
      </c>
      <c r="C1489">
        <f t="shared" si="28"/>
        <v>3.04</v>
      </c>
      <c r="M1489" s="34">
        <v>41176</v>
      </c>
      <c r="N1489">
        <v>4.55</v>
      </c>
    </row>
    <row r="1490" spans="1:14" x14ac:dyDescent="0.2">
      <c r="A1490" s="34">
        <v>41851</v>
      </c>
      <c r="B1490">
        <v>5.1395030000000004</v>
      </c>
      <c r="C1490">
        <f t="shared" si="28"/>
        <v>2.9</v>
      </c>
      <c r="M1490" s="34">
        <v>41173</v>
      </c>
      <c r="N1490">
        <v>4.49</v>
      </c>
    </row>
    <row r="1491" spans="1:14" x14ac:dyDescent="0.2">
      <c r="A1491" s="34">
        <v>41850</v>
      </c>
      <c r="B1491">
        <v>5.1388680000000004</v>
      </c>
      <c r="C1491">
        <f t="shared" si="28"/>
        <v>3.04</v>
      </c>
      <c r="M1491" s="34">
        <v>41172</v>
      </c>
      <c r="N1491">
        <v>4.5199999999999996</v>
      </c>
    </row>
    <row r="1492" spans="1:14" x14ac:dyDescent="0.2">
      <c r="A1492" s="34">
        <v>41849</v>
      </c>
      <c r="B1492">
        <v>5.1382339999999997</v>
      </c>
      <c r="C1492">
        <f t="shared" si="28"/>
        <v>3.01</v>
      </c>
      <c r="M1492" s="34">
        <v>41171</v>
      </c>
      <c r="N1492">
        <v>4.5199999999999996</v>
      </c>
    </row>
    <row r="1493" spans="1:14" x14ac:dyDescent="0.2">
      <c r="A1493" s="34">
        <v>41848</v>
      </c>
      <c r="B1493">
        <v>5.1375989999999998</v>
      </c>
      <c r="C1493">
        <f t="shared" si="28"/>
        <v>3.02</v>
      </c>
      <c r="M1493" s="34">
        <v>41170</v>
      </c>
      <c r="N1493">
        <v>4.5199999999999996</v>
      </c>
    </row>
    <row r="1494" spans="1:14" x14ac:dyDescent="0.2">
      <c r="A1494" s="34">
        <v>41847</v>
      </c>
      <c r="B1494">
        <v>5.136965</v>
      </c>
      <c r="C1494">
        <f t="shared" si="28"/>
        <v>2.97</v>
      </c>
      <c r="M1494" s="34">
        <v>41169</v>
      </c>
      <c r="N1494">
        <v>4.5199999999999996</v>
      </c>
    </row>
    <row r="1495" spans="1:14" x14ac:dyDescent="0.2">
      <c r="A1495" s="34">
        <v>41846</v>
      </c>
      <c r="B1495">
        <v>5.1363300000000001</v>
      </c>
      <c r="C1495">
        <f t="shared" si="28"/>
        <v>2.97</v>
      </c>
      <c r="M1495" s="34">
        <v>41166</v>
      </c>
      <c r="N1495">
        <v>4.5199999999999996</v>
      </c>
    </row>
    <row r="1496" spans="1:14" x14ac:dyDescent="0.2">
      <c r="A1496" s="34">
        <v>41845</v>
      </c>
      <c r="B1496">
        <v>5.1356960000000003</v>
      </c>
      <c r="C1496">
        <f t="shared" si="28"/>
        <v>2.97</v>
      </c>
      <c r="M1496" s="34">
        <v>41165</v>
      </c>
      <c r="N1496">
        <v>4.5</v>
      </c>
    </row>
    <row r="1497" spans="1:14" x14ac:dyDescent="0.2">
      <c r="A1497" s="34">
        <v>41844</v>
      </c>
      <c r="B1497">
        <v>5.1355750000000002</v>
      </c>
      <c r="C1497">
        <f t="shared" si="28"/>
        <v>3</v>
      </c>
      <c r="M1497" s="34">
        <v>41164</v>
      </c>
      <c r="N1497">
        <v>4.46</v>
      </c>
    </row>
    <row r="1498" spans="1:14" x14ac:dyDescent="0.2">
      <c r="A1498" s="34">
        <v>41843</v>
      </c>
      <c r="B1498">
        <v>5.135453</v>
      </c>
      <c r="C1498">
        <f t="shared" si="28"/>
        <v>3</v>
      </c>
      <c r="M1498" s="34">
        <v>41163</v>
      </c>
      <c r="N1498">
        <v>4.46</v>
      </c>
    </row>
    <row r="1499" spans="1:14" x14ac:dyDescent="0.2">
      <c r="A1499" s="34">
        <v>41842</v>
      </c>
      <c r="B1499">
        <v>5.135332</v>
      </c>
      <c r="C1499">
        <f t="shared" si="28"/>
        <v>2.95</v>
      </c>
      <c r="M1499" s="34">
        <v>41162</v>
      </c>
      <c r="N1499">
        <v>4.5199999999999996</v>
      </c>
    </row>
    <row r="1500" spans="1:14" x14ac:dyDescent="0.2">
      <c r="A1500" s="34">
        <v>41841</v>
      </c>
      <c r="B1500">
        <v>5.1352099999999998</v>
      </c>
      <c r="C1500">
        <f t="shared" si="28"/>
        <v>2.98</v>
      </c>
      <c r="M1500" s="34">
        <v>41159</v>
      </c>
      <c r="N1500">
        <v>4.5</v>
      </c>
    </row>
    <row r="1501" spans="1:14" x14ac:dyDescent="0.2">
      <c r="A1501" s="34">
        <v>41840</v>
      </c>
      <c r="B1501">
        <v>5.1350889999999998</v>
      </c>
      <c r="C1501">
        <f t="shared" si="28"/>
        <v>3</v>
      </c>
      <c r="M1501" s="34">
        <v>41158</v>
      </c>
      <c r="N1501">
        <v>4.5199999999999996</v>
      </c>
    </row>
    <row r="1502" spans="1:14" x14ac:dyDescent="0.2">
      <c r="A1502" s="34">
        <v>41839</v>
      </c>
      <c r="B1502">
        <v>5.1349669999999996</v>
      </c>
      <c r="C1502">
        <f t="shared" si="28"/>
        <v>3</v>
      </c>
      <c r="M1502" s="34">
        <v>41157</v>
      </c>
      <c r="N1502">
        <v>4.46</v>
      </c>
    </row>
    <row r="1503" spans="1:14" x14ac:dyDescent="0.2">
      <c r="A1503" s="34">
        <v>41838</v>
      </c>
      <c r="B1503">
        <v>5.1348459999999996</v>
      </c>
      <c r="C1503">
        <f t="shared" si="28"/>
        <v>3</v>
      </c>
      <c r="M1503" s="34">
        <v>41156</v>
      </c>
      <c r="N1503">
        <v>4.5</v>
      </c>
    </row>
    <row r="1504" spans="1:14" x14ac:dyDescent="0.2">
      <c r="A1504" s="34">
        <v>41837</v>
      </c>
      <c r="B1504">
        <v>5.1347240000000003</v>
      </c>
      <c r="C1504">
        <f t="shared" si="28"/>
        <v>2.9</v>
      </c>
      <c r="M1504" s="34">
        <v>41155</v>
      </c>
      <c r="N1504">
        <v>4.5199999999999996</v>
      </c>
    </row>
    <row r="1505" spans="1:14" x14ac:dyDescent="0.2">
      <c r="A1505" s="34">
        <v>41836</v>
      </c>
      <c r="B1505">
        <v>5.1346030000000003</v>
      </c>
      <c r="C1505">
        <f t="shared" si="28"/>
        <v>2.95</v>
      </c>
      <c r="M1505" s="34">
        <v>41152</v>
      </c>
      <c r="N1505">
        <v>4.5199999999999996</v>
      </c>
    </row>
    <row r="1506" spans="1:14" x14ac:dyDescent="0.2">
      <c r="A1506" s="34">
        <v>41835</v>
      </c>
      <c r="B1506">
        <v>5.1344810000000001</v>
      </c>
      <c r="C1506">
        <f t="shared" si="28"/>
        <v>2.98</v>
      </c>
      <c r="M1506" s="34">
        <v>41151</v>
      </c>
      <c r="N1506">
        <v>4.5</v>
      </c>
    </row>
    <row r="1507" spans="1:14" x14ac:dyDescent="0.2">
      <c r="A1507" s="34">
        <v>41834</v>
      </c>
      <c r="B1507">
        <v>5.13436</v>
      </c>
      <c r="C1507">
        <f t="shared" si="28"/>
        <v>2.99</v>
      </c>
      <c r="M1507" s="34">
        <v>41150</v>
      </c>
      <c r="N1507">
        <v>4.51</v>
      </c>
    </row>
    <row r="1508" spans="1:14" x14ac:dyDescent="0.2">
      <c r="A1508" s="34">
        <v>41833</v>
      </c>
      <c r="B1508">
        <v>5.1342379999999999</v>
      </c>
      <c r="C1508">
        <f t="shared" si="28"/>
        <v>3.02</v>
      </c>
      <c r="M1508" s="34">
        <v>41149</v>
      </c>
      <c r="N1508">
        <v>4.5199999999999996</v>
      </c>
    </row>
    <row r="1509" spans="1:14" x14ac:dyDescent="0.2">
      <c r="A1509" s="34">
        <v>41832</v>
      </c>
      <c r="B1509">
        <v>5.1341169999999998</v>
      </c>
      <c r="C1509">
        <f t="shared" si="28"/>
        <v>3.02</v>
      </c>
      <c r="M1509" s="34">
        <v>41148</v>
      </c>
      <c r="N1509">
        <v>4.5</v>
      </c>
    </row>
    <row r="1510" spans="1:14" x14ac:dyDescent="0.2">
      <c r="A1510" s="34">
        <v>41831</v>
      </c>
      <c r="B1510">
        <v>5.1339949999999996</v>
      </c>
      <c r="C1510">
        <f t="shared" si="28"/>
        <v>3.02</v>
      </c>
      <c r="M1510" s="34">
        <v>41145</v>
      </c>
      <c r="N1510">
        <v>4.4800000000000004</v>
      </c>
    </row>
    <row r="1511" spans="1:14" x14ac:dyDescent="0.2">
      <c r="A1511" s="34">
        <v>41830</v>
      </c>
      <c r="B1511">
        <v>5.1338739999999996</v>
      </c>
      <c r="C1511">
        <f t="shared" si="28"/>
        <v>3.02</v>
      </c>
      <c r="M1511" s="34">
        <v>41144</v>
      </c>
      <c r="N1511">
        <v>4.45</v>
      </c>
    </row>
    <row r="1512" spans="1:14" x14ac:dyDescent="0.2">
      <c r="A1512" s="34">
        <v>41829</v>
      </c>
      <c r="B1512">
        <v>5.133597</v>
      </c>
      <c r="C1512">
        <f t="shared" si="28"/>
        <v>3</v>
      </c>
      <c r="M1512" s="34">
        <v>41143</v>
      </c>
      <c r="N1512">
        <v>4.4800000000000004</v>
      </c>
    </row>
    <row r="1513" spans="1:14" x14ac:dyDescent="0.2">
      <c r="A1513" s="34">
        <v>41828</v>
      </c>
      <c r="B1513">
        <v>5.1333209999999996</v>
      </c>
      <c r="C1513">
        <f t="shared" si="28"/>
        <v>2.97</v>
      </c>
      <c r="M1513" s="34">
        <v>41142</v>
      </c>
      <c r="N1513">
        <v>4.5199999999999996</v>
      </c>
    </row>
    <row r="1514" spans="1:14" x14ac:dyDescent="0.2">
      <c r="A1514" s="34">
        <v>41827</v>
      </c>
      <c r="B1514">
        <v>5.1330450000000001</v>
      </c>
      <c r="C1514">
        <f t="shared" si="28"/>
        <v>2.98</v>
      </c>
      <c r="M1514" s="34">
        <v>41141</v>
      </c>
      <c r="N1514">
        <v>4.49</v>
      </c>
    </row>
    <row r="1515" spans="1:14" x14ac:dyDescent="0.2">
      <c r="A1515" s="34">
        <v>41826</v>
      </c>
      <c r="B1515">
        <v>5.1327680000000004</v>
      </c>
      <c r="C1515">
        <f t="shared" si="28"/>
        <v>3</v>
      </c>
      <c r="M1515" s="34">
        <v>41138</v>
      </c>
      <c r="N1515">
        <v>4.5199999999999996</v>
      </c>
    </row>
    <row r="1516" spans="1:14" x14ac:dyDescent="0.2">
      <c r="A1516" s="34">
        <v>41825</v>
      </c>
      <c r="B1516">
        <v>5.1324920000000001</v>
      </c>
      <c r="C1516">
        <f t="shared" si="28"/>
        <v>3</v>
      </c>
      <c r="M1516" s="34">
        <v>41137</v>
      </c>
      <c r="N1516">
        <v>4.5199999999999996</v>
      </c>
    </row>
    <row r="1517" spans="1:14" x14ac:dyDescent="0.2">
      <c r="A1517" s="34">
        <v>41824</v>
      </c>
      <c r="B1517">
        <v>5.1322150000000004</v>
      </c>
      <c r="C1517">
        <f t="shared" si="28"/>
        <v>3</v>
      </c>
      <c r="M1517" s="34">
        <v>41136</v>
      </c>
      <c r="N1517">
        <v>4.5</v>
      </c>
    </row>
    <row r="1518" spans="1:14" x14ac:dyDescent="0.2">
      <c r="A1518" s="34">
        <v>41823</v>
      </c>
      <c r="B1518">
        <v>5.131939</v>
      </c>
      <c r="C1518">
        <f t="shared" si="28"/>
        <v>2.97</v>
      </c>
      <c r="M1518" s="34">
        <v>41135</v>
      </c>
      <c r="N1518">
        <v>4.5199999999999996</v>
      </c>
    </row>
    <row r="1519" spans="1:14" x14ac:dyDescent="0.2">
      <c r="A1519" s="34">
        <v>41822</v>
      </c>
      <c r="B1519">
        <v>5.1316629999999996</v>
      </c>
      <c r="C1519">
        <f t="shared" si="28"/>
        <v>2.99</v>
      </c>
      <c r="M1519" s="34">
        <v>41134</v>
      </c>
      <c r="N1519">
        <v>4.49</v>
      </c>
    </row>
    <row r="1520" spans="1:14" x14ac:dyDescent="0.2">
      <c r="A1520" s="34">
        <v>41821</v>
      </c>
      <c r="B1520">
        <v>5.131386</v>
      </c>
      <c r="C1520">
        <f t="shared" si="28"/>
        <v>3.01</v>
      </c>
      <c r="M1520" s="34">
        <v>41131</v>
      </c>
      <c r="N1520">
        <v>4.49</v>
      </c>
    </row>
    <row r="1521" spans="1:14" x14ac:dyDescent="0.2">
      <c r="A1521" s="34">
        <v>41820</v>
      </c>
      <c r="B1521">
        <v>5.1311099999999996</v>
      </c>
      <c r="C1521">
        <f t="shared" si="28"/>
        <v>3</v>
      </c>
      <c r="M1521" s="34">
        <v>41130</v>
      </c>
      <c r="N1521">
        <v>4.45</v>
      </c>
    </row>
    <row r="1522" spans="1:14" x14ac:dyDescent="0.2">
      <c r="A1522" s="34">
        <v>41819</v>
      </c>
      <c r="B1522">
        <v>5.1308340000000001</v>
      </c>
      <c r="C1522">
        <f t="shared" si="28"/>
        <v>2.97</v>
      </c>
      <c r="M1522" s="34">
        <v>41129</v>
      </c>
      <c r="N1522">
        <v>4.5199999999999996</v>
      </c>
    </row>
    <row r="1523" spans="1:14" x14ac:dyDescent="0.2">
      <c r="A1523" s="34">
        <v>41818</v>
      </c>
      <c r="B1523">
        <v>5.1305569999999996</v>
      </c>
      <c r="C1523">
        <f t="shared" si="28"/>
        <v>2.97</v>
      </c>
      <c r="M1523" s="34">
        <v>41128</v>
      </c>
      <c r="N1523">
        <v>4.4800000000000004</v>
      </c>
    </row>
    <row r="1524" spans="1:14" x14ac:dyDescent="0.2">
      <c r="A1524" s="34">
        <v>41817</v>
      </c>
      <c r="B1524">
        <v>5.1302810000000001</v>
      </c>
      <c r="C1524">
        <f t="shared" si="28"/>
        <v>2.97</v>
      </c>
      <c r="M1524" s="34">
        <v>41127</v>
      </c>
      <c r="N1524">
        <v>4.5199999999999996</v>
      </c>
    </row>
    <row r="1525" spans="1:14" x14ac:dyDescent="0.2">
      <c r="A1525" s="34">
        <v>41816</v>
      </c>
      <c r="B1525">
        <v>5.1300049999999997</v>
      </c>
      <c r="C1525">
        <f t="shared" si="28"/>
        <v>2.98</v>
      </c>
      <c r="M1525" s="34">
        <v>41124</v>
      </c>
      <c r="N1525">
        <v>4.4800000000000004</v>
      </c>
    </row>
    <row r="1526" spans="1:14" x14ac:dyDescent="0.2">
      <c r="A1526" s="34">
        <v>41815</v>
      </c>
      <c r="B1526">
        <v>5.1297290000000002</v>
      </c>
      <c r="C1526">
        <f t="shared" si="28"/>
        <v>3.08</v>
      </c>
      <c r="M1526" s="34">
        <v>41123</v>
      </c>
      <c r="N1526">
        <v>4.49</v>
      </c>
    </row>
    <row r="1527" spans="1:14" x14ac:dyDescent="0.2">
      <c r="A1527" s="34">
        <v>41814</v>
      </c>
      <c r="B1527">
        <v>5.1292210000000003</v>
      </c>
      <c r="C1527">
        <f t="shared" si="28"/>
        <v>2.96</v>
      </c>
      <c r="M1527" s="34">
        <v>41122</v>
      </c>
      <c r="N1527">
        <v>4.5199999999999996</v>
      </c>
    </row>
    <row r="1528" spans="1:14" x14ac:dyDescent="0.2">
      <c r="A1528" s="34">
        <v>41813</v>
      </c>
      <c r="B1528">
        <v>5.1287140000000004</v>
      </c>
      <c r="C1528">
        <f t="shared" si="28"/>
        <v>2.98</v>
      </c>
      <c r="M1528" s="34">
        <v>41121</v>
      </c>
      <c r="N1528">
        <v>4.5199999999999996</v>
      </c>
    </row>
    <row r="1529" spans="1:14" x14ac:dyDescent="0.2">
      <c r="A1529" s="34">
        <v>41812</v>
      </c>
      <c r="B1529">
        <v>5.1282059999999996</v>
      </c>
      <c r="C1529">
        <f t="shared" si="28"/>
        <v>2.96</v>
      </c>
      <c r="M1529" s="34">
        <v>41120</v>
      </c>
      <c r="N1529">
        <v>4.4800000000000004</v>
      </c>
    </row>
    <row r="1530" spans="1:14" x14ac:dyDescent="0.2">
      <c r="A1530" s="34">
        <v>41811</v>
      </c>
      <c r="B1530">
        <v>5.1276989999999998</v>
      </c>
      <c r="C1530">
        <f t="shared" si="28"/>
        <v>2.96</v>
      </c>
      <c r="M1530" s="34">
        <v>41117</v>
      </c>
      <c r="N1530">
        <v>4.5199999999999996</v>
      </c>
    </row>
    <row r="1531" spans="1:14" x14ac:dyDescent="0.2">
      <c r="A1531" s="34">
        <v>41810</v>
      </c>
      <c r="B1531">
        <v>5.127192</v>
      </c>
      <c r="C1531">
        <f t="shared" si="28"/>
        <v>2.96</v>
      </c>
      <c r="M1531" s="34">
        <v>41116</v>
      </c>
      <c r="N1531">
        <v>4.5199999999999996</v>
      </c>
    </row>
    <row r="1532" spans="1:14" x14ac:dyDescent="0.2">
      <c r="A1532" s="34">
        <v>41809</v>
      </c>
      <c r="B1532">
        <v>5.126684</v>
      </c>
      <c r="C1532">
        <f t="shared" si="28"/>
        <v>3</v>
      </c>
      <c r="M1532" s="34">
        <v>41115</v>
      </c>
      <c r="N1532">
        <v>4.49</v>
      </c>
    </row>
    <row r="1533" spans="1:14" x14ac:dyDescent="0.2">
      <c r="A1533" s="34">
        <v>41808</v>
      </c>
      <c r="B1533">
        <v>5.1261770000000002</v>
      </c>
      <c r="C1533">
        <f t="shared" si="28"/>
        <v>3.04</v>
      </c>
      <c r="M1533" s="34">
        <v>41114</v>
      </c>
      <c r="N1533">
        <v>4.49</v>
      </c>
    </row>
    <row r="1534" spans="1:14" x14ac:dyDescent="0.2">
      <c r="A1534" s="34">
        <v>41807</v>
      </c>
      <c r="B1534">
        <v>5.1256700000000004</v>
      </c>
      <c r="C1534">
        <f t="shared" si="28"/>
        <v>3.01</v>
      </c>
      <c r="M1534" s="34">
        <v>41113</v>
      </c>
      <c r="N1534">
        <v>4.7</v>
      </c>
    </row>
    <row r="1535" spans="1:14" x14ac:dyDescent="0.2">
      <c r="A1535" s="34">
        <v>41806</v>
      </c>
      <c r="B1535">
        <v>5.1251629999999997</v>
      </c>
      <c r="C1535">
        <f t="shared" si="28"/>
        <v>3</v>
      </c>
      <c r="M1535" s="34">
        <v>41110</v>
      </c>
      <c r="N1535">
        <v>4.5199999999999996</v>
      </c>
    </row>
    <row r="1536" spans="1:14" x14ac:dyDescent="0.2">
      <c r="A1536" s="34">
        <v>41805</v>
      </c>
      <c r="B1536">
        <v>5.1246559999999999</v>
      </c>
      <c r="C1536">
        <f t="shared" si="28"/>
        <v>3</v>
      </c>
      <c r="M1536" s="34">
        <v>41109</v>
      </c>
      <c r="N1536">
        <v>4.5199999999999996</v>
      </c>
    </row>
    <row r="1537" spans="1:14" x14ac:dyDescent="0.2">
      <c r="A1537" s="34">
        <v>41804</v>
      </c>
      <c r="B1537">
        <v>5.1241490000000001</v>
      </c>
      <c r="C1537">
        <f t="shared" si="28"/>
        <v>3</v>
      </c>
      <c r="M1537" s="34">
        <v>41108</v>
      </c>
      <c r="N1537">
        <v>4.4800000000000004</v>
      </c>
    </row>
    <row r="1538" spans="1:14" x14ac:dyDescent="0.2">
      <c r="A1538" s="34">
        <v>41803</v>
      </c>
      <c r="B1538">
        <v>5.1236420000000003</v>
      </c>
      <c r="C1538">
        <f t="shared" ref="C1538:C1601" si="29">IFERROR(VLOOKUP(A1538,$M$2:$N$3695,2,0),C1539)</f>
        <v>3</v>
      </c>
      <c r="M1538" s="34">
        <v>41107</v>
      </c>
      <c r="N1538">
        <v>4.45</v>
      </c>
    </row>
    <row r="1539" spans="1:14" x14ac:dyDescent="0.2">
      <c r="A1539" s="34">
        <v>41802</v>
      </c>
      <c r="B1539">
        <v>5.1231350000000004</v>
      </c>
      <c r="C1539">
        <f t="shared" si="29"/>
        <v>3.05</v>
      </c>
      <c r="M1539" s="34">
        <v>41106</v>
      </c>
      <c r="N1539">
        <v>4.46</v>
      </c>
    </row>
    <row r="1540" spans="1:14" x14ac:dyDescent="0.2">
      <c r="A1540" s="34">
        <v>41801</v>
      </c>
      <c r="B1540">
        <v>5.1226279999999997</v>
      </c>
      <c r="C1540">
        <f t="shared" si="29"/>
        <v>3.03</v>
      </c>
      <c r="M1540" s="34">
        <v>41103</v>
      </c>
      <c r="N1540">
        <v>4.4400000000000004</v>
      </c>
    </row>
    <row r="1541" spans="1:14" x14ac:dyDescent="0.2">
      <c r="A1541" s="34">
        <v>41800</v>
      </c>
      <c r="B1541">
        <v>5.1221209999999999</v>
      </c>
      <c r="C1541">
        <f t="shared" si="29"/>
        <v>3.01</v>
      </c>
      <c r="M1541" s="34">
        <v>41102</v>
      </c>
      <c r="N1541">
        <v>4.5199999999999996</v>
      </c>
    </row>
    <row r="1542" spans="1:14" x14ac:dyDescent="0.2">
      <c r="A1542" s="34">
        <v>41799</v>
      </c>
      <c r="B1542">
        <v>5.1233040000000001</v>
      </c>
      <c r="C1542">
        <f t="shared" si="29"/>
        <v>3.02</v>
      </c>
      <c r="M1542" s="34">
        <v>41101</v>
      </c>
      <c r="N1542">
        <v>4.46</v>
      </c>
    </row>
    <row r="1543" spans="1:14" x14ac:dyDescent="0.2">
      <c r="A1543" s="34">
        <v>41798</v>
      </c>
      <c r="B1543">
        <v>5.1244860000000001</v>
      </c>
      <c r="C1543">
        <f t="shared" si="29"/>
        <v>3.05</v>
      </c>
      <c r="M1543" s="34">
        <v>41100</v>
      </c>
      <c r="N1543">
        <v>4.5199999999999996</v>
      </c>
    </row>
    <row r="1544" spans="1:14" x14ac:dyDescent="0.2">
      <c r="A1544" s="34">
        <v>41797</v>
      </c>
      <c r="B1544">
        <v>5.1256690000000003</v>
      </c>
      <c r="C1544">
        <f t="shared" si="29"/>
        <v>3.05</v>
      </c>
      <c r="M1544" s="34">
        <v>41099</v>
      </c>
      <c r="N1544">
        <v>4.49</v>
      </c>
    </row>
    <row r="1545" spans="1:14" x14ac:dyDescent="0.2">
      <c r="A1545" s="34">
        <v>41796</v>
      </c>
      <c r="B1545">
        <v>5.1268520000000004</v>
      </c>
      <c r="C1545">
        <f t="shared" si="29"/>
        <v>3.05</v>
      </c>
      <c r="M1545" s="34">
        <v>41096</v>
      </c>
      <c r="N1545">
        <v>4.5199999999999996</v>
      </c>
    </row>
    <row r="1546" spans="1:14" x14ac:dyDescent="0.2">
      <c r="A1546" s="34">
        <v>41795</v>
      </c>
      <c r="B1546">
        <v>5.1280359999999998</v>
      </c>
      <c r="C1546">
        <f t="shared" si="29"/>
        <v>3.48</v>
      </c>
      <c r="M1546" s="34">
        <v>41095</v>
      </c>
      <c r="N1546">
        <v>4.4800000000000004</v>
      </c>
    </row>
    <row r="1547" spans="1:14" x14ac:dyDescent="0.2">
      <c r="A1547" s="34">
        <v>41794</v>
      </c>
      <c r="B1547">
        <v>5.129219</v>
      </c>
      <c r="C1547">
        <f t="shared" si="29"/>
        <v>3.53</v>
      </c>
      <c r="M1547" s="34">
        <v>41094</v>
      </c>
      <c r="N1547">
        <v>4.47</v>
      </c>
    </row>
    <row r="1548" spans="1:14" x14ac:dyDescent="0.2">
      <c r="A1548" s="34">
        <v>41793</v>
      </c>
      <c r="B1548">
        <v>5.1304030000000003</v>
      </c>
      <c r="C1548">
        <f t="shared" si="29"/>
        <v>3.48</v>
      </c>
      <c r="M1548" s="34">
        <v>41093</v>
      </c>
      <c r="N1548">
        <v>4.5199999999999996</v>
      </c>
    </row>
    <row r="1549" spans="1:14" x14ac:dyDescent="0.2">
      <c r="A1549" s="34">
        <v>41792</v>
      </c>
      <c r="B1549">
        <v>5.1315879999999998</v>
      </c>
      <c r="C1549">
        <f t="shared" si="29"/>
        <v>3.47</v>
      </c>
      <c r="M1549" s="34">
        <v>41092</v>
      </c>
      <c r="N1549">
        <v>4.45</v>
      </c>
    </row>
    <row r="1550" spans="1:14" x14ac:dyDescent="0.2">
      <c r="A1550" s="34">
        <v>41791</v>
      </c>
      <c r="B1550">
        <v>5.1327720000000001</v>
      </c>
      <c r="C1550">
        <f t="shared" si="29"/>
        <v>3.54</v>
      </c>
      <c r="M1550" s="34">
        <v>41089</v>
      </c>
      <c r="N1550">
        <v>4.5199999999999996</v>
      </c>
    </row>
    <row r="1551" spans="1:14" x14ac:dyDescent="0.2">
      <c r="A1551" s="34">
        <v>41790</v>
      </c>
      <c r="B1551">
        <v>5.1339569999999997</v>
      </c>
      <c r="C1551">
        <f t="shared" si="29"/>
        <v>3.54</v>
      </c>
      <c r="M1551" s="34">
        <v>41088</v>
      </c>
      <c r="N1551">
        <v>4.46</v>
      </c>
    </row>
    <row r="1552" spans="1:14" x14ac:dyDescent="0.2">
      <c r="A1552" s="34">
        <v>41789</v>
      </c>
      <c r="B1552">
        <v>5.1351420000000001</v>
      </c>
      <c r="C1552">
        <f t="shared" si="29"/>
        <v>3.54</v>
      </c>
      <c r="M1552" s="34">
        <v>41087</v>
      </c>
      <c r="N1552">
        <v>4.4800000000000004</v>
      </c>
    </row>
    <row r="1553" spans="1:14" x14ac:dyDescent="0.2">
      <c r="A1553" s="34">
        <v>41788</v>
      </c>
      <c r="B1553">
        <v>5.1363269999999996</v>
      </c>
      <c r="C1553">
        <f t="shared" si="29"/>
        <v>3.52</v>
      </c>
      <c r="M1553" s="34">
        <v>41086</v>
      </c>
      <c r="N1553">
        <v>4.4800000000000004</v>
      </c>
    </row>
    <row r="1554" spans="1:14" x14ac:dyDescent="0.2">
      <c r="A1554" s="34">
        <v>41787</v>
      </c>
      <c r="B1554">
        <v>5.1375130000000002</v>
      </c>
      <c r="C1554">
        <f t="shared" si="29"/>
        <v>3.5</v>
      </c>
      <c r="M1554" s="34">
        <v>41085</v>
      </c>
      <c r="N1554">
        <v>4.46</v>
      </c>
    </row>
    <row r="1555" spans="1:14" x14ac:dyDescent="0.2">
      <c r="A1555" s="34">
        <v>41786</v>
      </c>
      <c r="B1555">
        <v>5.1386989999999999</v>
      </c>
      <c r="C1555">
        <f t="shared" si="29"/>
        <v>3.48</v>
      </c>
      <c r="M1555" s="34">
        <v>41082</v>
      </c>
      <c r="N1555">
        <v>4.45</v>
      </c>
    </row>
    <row r="1556" spans="1:14" x14ac:dyDescent="0.2">
      <c r="A1556" s="34">
        <v>41785</v>
      </c>
      <c r="B1556">
        <v>5.1398849999999996</v>
      </c>
      <c r="C1556">
        <f t="shared" si="29"/>
        <v>3.5</v>
      </c>
      <c r="M1556" s="34">
        <v>41081</v>
      </c>
      <c r="N1556">
        <v>4.46</v>
      </c>
    </row>
    <row r="1557" spans="1:14" x14ac:dyDescent="0.2">
      <c r="A1557" s="34">
        <v>41784</v>
      </c>
      <c r="B1557">
        <v>5.1410710000000002</v>
      </c>
      <c r="C1557">
        <f t="shared" si="29"/>
        <v>3.48</v>
      </c>
      <c r="M1557" s="34">
        <v>41080</v>
      </c>
      <c r="N1557">
        <v>4.5</v>
      </c>
    </row>
    <row r="1558" spans="1:14" x14ac:dyDescent="0.2">
      <c r="A1558" s="34">
        <v>41783</v>
      </c>
      <c r="B1558">
        <v>5.1412440000000004</v>
      </c>
      <c r="C1558">
        <f t="shared" si="29"/>
        <v>3.48</v>
      </c>
      <c r="M1558" s="34">
        <v>41079</v>
      </c>
      <c r="N1558">
        <v>4.5199999999999996</v>
      </c>
    </row>
    <row r="1559" spans="1:14" x14ac:dyDescent="0.2">
      <c r="A1559" s="34">
        <v>41782</v>
      </c>
      <c r="B1559">
        <v>5.1414169999999997</v>
      </c>
      <c r="C1559">
        <f t="shared" si="29"/>
        <v>3.48</v>
      </c>
      <c r="M1559" s="34">
        <v>41078</v>
      </c>
      <c r="N1559">
        <v>4.45</v>
      </c>
    </row>
    <row r="1560" spans="1:14" x14ac:dyDescent="0.2">
      <c r="A1560" s="34">
        <v>41781</v>
      </c>
      <c r="B1560">
        <v>5.1415899999999999</v>
      </c>
      <c r="C1560">
        <f t="shared" si="29"/>
        <v>3.47</v>
      </c>
      <c r="M1560" s="34">
        <v>41075</v>
      </c>
      <c r="N1560">
        <v>4.5</v>
      </c>
    </row>
    <row r="1561" spans="1:14" x14ac:dyDescent="0.2">
      <c r="A1561" s="34">
        <v>41780</v>
      </c>
      <c r="B1561">
        <v>5.1417630000000001</v>
      </c>
      <c r="C1561">
        <f t="shared" si="29"/>
        <v>3.45</v>
      </c>
      <c r="M1561" s="34">
        <v>41074</v>
      </c>
      <c r="N1561">
        <v>4.47</v>
      </c>
    </row>
    <row r="1562" spans="1:14" x14ac:dyDescent="0.2">
      <c r="A1562" s="34">
        <v>41779</v>
      </c>
      <c r="B1562">
        <v>5.1419370000000004</v>
      </c>
      <c r="C1562">
        <f t="shared" si="29"/>
        <v>3.53</v>
      </c>
      <c r="M1562" s="34">
        <v>41073</v>
      </c>
      <c r="N1562">
        <v>4.5</v>
      </c>
    </row>
    <row r="1563" spans="1:14" x14ac:dyDescent="0.2">
      <c r="A1563" s="34">
        <v>41778</v>
      </c>
      <c r="B1563">
        <v>5.1421099999999997</v>
      </c>
      <c r="C1563">
        <f t="shared" si="29"/>
        <v>3.4</v>
      </c>
      <c r="M1563" s="34">
        <v>41072</v>
      </c>
      <c r="N1563">
        <v>4.5</v>
      </c>
    </row>
    <row r="1564" spans="1:14" x14ac:dyDescent="0.2">
      <c r="A1564" s="34">
        <v>41777</v>
      </c>
      <c r="B1564">
        <v>5.1422829999999999</v>
      </c>
      <c r="C1564">
        <f t="shared" si="29"/>
        <v>3.46</v>
      </c>
      <c r="M1564" s="34">
        <v>41071</v>
      </c>
      <c r="N1564">
        <v>4.5199999999999996</v>
      </c>
    </row>
    <row r="1565" spans="1:14" x14ac:dyDescent="0.2">
      <c r="A1565" s="34">
        <v>41776</v>
      </c>
      <c r="B1565">
        <v>5.1424560000000001</v>
      </c>
      <c r="C1565">
        <f t="shared" si="29"/>
        <v>3.46</v>
      </c>
      <c r="M1565" s="34">
        <v>41068</v>
      </c>
      <c r="N1565">
        <v>4.42</v>
      </c>
    </row>
    <row r="1566" spans="1:14" x14ac:dyDescent="0.2">
      <c r="A1566" s="34">
        <v>41775</v>
      </c>
      <c r="B1566">
        <v>5.1426290000000003</v>
      </c>
      <c r="C1566">
        <f t="shared" si="29"/>
        <v>3.46</v>
      </c>
      <c r="M1566" s="34">
        <v>41067</v>
      </c>
      <c r="N1566">
        <v>4.5199999999999996</v>
      </c>
    </row>
    <row r="1567" spans="1:14" x14ac:dyDescent="0.2">
      <c r="A1567" s="34">
        <v>41774</v>
      </c>
      <c r="B1567">
        <v>5.1428019999999997</v>
      </c>
      <c r="C1567">
        <f t="shared" si="29"/>
        <v>3.52</v>
      </c>
      <c r="M1567" s="34">
        <v>41066</v>
      </c>
      <c r="N1567">
        <v>4.5199999999999996</v>
      </c>
    </row>
    <row r="1568" spans="1:14" x14ac:dyDescent="0.2">
      <c r="A1568" s="34">
        <v>41773</v>
      </c>
      <c r="B1568">
        <v>5.1429749999999999</v>
      </c>
      <c r="C1568">
        <f t="shared" si="29"/>
        <v>3.55</v>
      </c>
      <c r="M1568" s="34">
        <v>41065</v>
      </c>
      <c r="N1568">
        <v>4.5</v>
      </c>
    </row>
    <row r="1569" spans="1:14" x14ac:dyDescent="0.2">
      <c r="A1569" s="34">
        <v>41772</v>
      </c>
      <c r="B1569">
        <v>5.1431480000000001</v>
      </c>
      <c r="C1569">
        <f t="shared" si="29"/>
        <v>3.49</v>
      </c>
      <c r="M1569" s="34">
        <v>41064</v>
      </c>
      <c r="N1569">
        <v>4.45</v>
      </c>
    </row>
    <row r="1570" spans="1:14" x14ac:dyDescent="0.2">
      <c r="A1570" s="34">
        <v>41771</v>
      </c>
      <c r="B1570">
        <v>5.1433210000000003</v>
      </c>
      <c r="C1570">
        <f t="shared" si="29"/>
        <v>3.51</v>
      </c>
      <c r="M1570" s="34">
        <v>41061</v>
      </c>
      <c r="N1570">
        <v>4.46</v>
      </c>
    </row>
    <row r="1571" spans="1:14" x14ac:dyDescent="0.2">
      <c r="A1571" s="34">
        <v>41770</v>
      </c>
      <c r="B1571">
        <v>5.1434949999999997</v>
      </c>
      <c r="C1571">
        <f t="shared" si="29"/>
        <v>3.49</v>
      </c>
      <c r="M1571" s="34">
        <v>41060</v>
      </c>
      <c r="N1571">
        <v>4.45</v>
      </c>
    </row>
    <row r="1572" spans="1:14" x14ac:dyDescent="0.2">
      <c r="A1572" s="34">
        <v>41769</v>
      </c>
      <c r="B1572">
        <v>5.1436679999999999</v>
      </c>
      <c r="C1572">
        <f t="shared" si="29"/>
        <v>3.49</v>
      </c>
      <c r="M1572" s="34">
        <v>41059</v>
      </c>
      <c r="N1572">
        <v>4.51</v>
      </c>
    </row>
    <row r="1573" spans="1:14" x14ac:dyDescent="0.2">
      <c r="A1573" s="34">
        <v>41768</v>
      </c>
      <c r="B1573">
        <v>5.1443050000000001</v>
      </c>
      <c r="C1573">
        <f t="shared" si="29"/>
        <v>3.49</v>
      </c>
      <c r="M1573" s="34">
        <v>41058</v>
      </c>
      <c r="N1573">
        <v>4.5199999999999996</v>
      </c>
    </row>
    <row r="1574" spans="1:14" x14ac:dyDescent="0.2">
      <c r="A1574" s="34">
        <v>41767</v>
      </c>
      <c r="B1574">
        <v>5.1449420000000003</v>
      </c>
      <c r="C1574">
        <f t="shared" si="29"/>
        <v>3.47</v>
      </c>
      <c r="M1574" s="34">
        <v>41057</v>
      </c>
      <c r="N1574">
        <v>4.4800000000000004</v>
      </c>
    </row>
    <row r="1575" spans="1:14" x14ac:dyDescent="0.2">
      <c r="A1575" s="34">
        <v>41766</v>
      </c>
      <c r="B1575">
        <v>5.1455799999999998</v>
      </c>
      <c r="C1575">
        <f t="shared" si="29"/>
        <v>3.51</v>
      </c>
      <c r="M1575" s="34">
        <v>41054</v>
      </c>
      <c r="N1575">
        <v>4.49</v>
      </c>
    </row>
    <row r="1576" spans="1:14" x14ac:dyDescent="0.2">
      <c r="A1576" s="34">
        <v>41765</v>
      </c>
      <c r="B1576">
        <v>5.146217</v>
      </c>
      <c r="C1576">
        <f t="shared" si="29"/>
        <v>3.5</v>
      </c>
      <c r="M1576" s="34">
        <v>41053</v>
      </c>
      <c r="N1576">
        <v>4.5199999999999996</v>
      </c>
    </row>
    <row r="1577" spans="1:14" x14ac:dyDescent="0.2">
      <c r="A1577" s="34">
        <v>41764</v>
      </c>
      <c r="B1577">
        <v>5.1468540000000003</v>
      </c>
      <c r="C1577">
        <f t="shared" si="29"/>
        <v>3.48</v>
      </c>
      <c r="M1577" s="34">
        <v>41052</v>
      </c>
      <c r="N1577">
        <v>4.5</v>
      </c>
    </row>
    <row r="1578" spans="1:14" x14ac:dyDescent="0.2">
      <c r="A1578" s="34">
        <v>41763</v>
      </c>
      <c r="B1578">
        <v>5.1474919999999997</v>
      </c>
      <c r="C1578">
        <f t="shared" si="29"/>
        <v>3.48</v>
      </c>
      <c r="M1578" s="34">
        <v>41051</v>
      </c>
      <c r="N1578">
        <v>4.5199999999999996</v>
      </c>
    </row>
    <row r="1579" spans="1:14" x14ac:dyDescent="0.2">
      <c r="A1579" s="34">
        <v>41762</v>
      </c>
      <c r="B1579">
        <v>5.1481300000000001</v>
      </c>
      <c r="C1579">
        <f t="shared" si="29"/>
        <v>3.48</v>
      </c>
      <c r="M1579" s="34">
        <v>41050</v>
      </c>
      <c r="N1579">
        <v>4.45</v>
      </c>
    </row>
    <row r="1580" spans="1:14" x14ac:dyDescent="0.2">
      <c r="A1580" s="34">
        <v>41761</v>
      </c>
      <c r="B1580">
        <v>5.1487670000000003</v>
      </c>
      <c r="C1580">
        <f t="shared" si="29"/>
        <v>3.48</v>
      </c>
      <c r="M1580" s="34">
        <v>41047</v>
      </c>
      <c r="N1580">
        <v>4.5</v>
      </c>
    </row>
    <row r="1581" spans="1:14" x14ac:dyDescent="0.2">
      <c r="A1581" s="34">
        <v>41760</v>
      </c>
      <c r="B1581">
        <v>5.1494049999999998</v>
      </c>
      <c r="C1581">
        <f t="shared" si="29"/>
        <v>3.56</v>
      </c>
      <c r="M1581" s="34">
        <v>41046</v>
      </c>
      <c r="N1581">
        <v>4.5199999999999996</v>
      </c>
    </row>
    <row r="1582" spans="1:14" x14ac:dyDescent="0.2">
      <c r="A1582" s="34">
        <v>41759</v>
      </c>
      <c r="B1582">
        <v>5.1500430000000001</v>
      </c>
      <c r="C1582">
        <f t="shared" si="29"/>
        <v>3.56</v>
      </c>
      <c r="M1582" s="34">
        <v>41045</v>
      </c>
      <c r="N1582">
        <v>4.5</v>
      </c>
    </row>
    <row r="1583" spans="1:14" x14ac:dyDescent="0.2">
      <c r="A1583" s="34">
        <v>41758</v>
      </c>
      <c r="B1583">
        <v>5.1506809999999996</v>
      </c>
      <c r="C1583">
        <f t="shared" si="29"/>
        <v>3.52</v>
      </c>
      <c r="M1583" s="34">
        <v>41044</v>
      </c>
      <c r="N1583">
        <v>4.55</v>
      </c>
    </row>
    <row r="1584" spans="1:14" x14ac:dyDescent="0.2">
      <c r="A1584" s="34">
        <v>41757</v>
      </c>
      <c r="B1584">
        <v>5.151319</v>
      </c>
      <c r="C1584">
        <f t="shared" si="29"/>
        <v>3.7</v>
      </c>
      <c r="M1584" s="34">
        <v>41043</v>
      </c>
      <c r="N1584">
        <v>4.5599999999999996</v>
      </c>
    </row>
    <row r="1585" spans="1:14" x14ac:dyDescent="0.2">
      <c r="A1585" s="34">
        <v>41756</v>
      </c>
      <c r="B1585">
        <v>5.1519570000000003</v>
      </c>
      <c r="C1585">
        <f t="shared" si="29"/>
        <v>3.52</v>
      </c>
      <c r="M1585" s="34">
        <v>41040</v>
      </c>
      <c r="N1585">
        <v>4.5199999999999996</v>
      </c>
    </row>
    <row r="1586" spans="1:14" x14ac:dyDescent="0.2">
      <c r="A1586" s="34">
        <v>41755</v>
      </c>
      <c r="B1586">
        <v>5.1525949999999998</v>
      </c>
      <c r="C1586">
        <f t="shared" si="29"/>
        <v>3.52</v>
      </c>
      <c r="M1586" s="34">
        <v>41039</v>
      </c>
      <c r="N1586">
        <v>4.5199999999999996</v>
      </c>
    </row>
    <row r="1587" spans="1:14" x14ac:dyDescent="0.2">
      <c r="A1587" s="34">
        <v>41754</v>
      </c>
      <c r="B1587">
        <v>5.1532340000000003</v>
      </c>
      <c r="C1587">
        <f t="shared" si="29"/>
        <v>3.52</v>
      </c>
      <c r="M1587" s="34">
        <v>41038</v>
      </c>
      <c r="N1587">
        <v>4.5</v>
      </c>
    </row>
    <row r="1588" spans="1:14" x14ac:dyDescent="0.2">
      <c r="A1588" s="34">
        <v>41753</v>
      </c>
      <c r="B1588">
        <v>5.1530610000000001</v>
      </c>
      <c r="C1588">
        <f t="shared" si="29"/>
        <v>3.5</v>
      </c>
      <c r="M1588" s="34">
        <v>41037</v>
      </c>
      <c r="N1588">
        <v>4.51</v>
      </c>
    </row>
    <row r="1589" spans="1:14" x14ac:dyDescent="0.2">
      <c r="A1589" s="34">
        <v>41752</v>
      </c>
      <c r="B1589">
        <v>5.1528879999999999</v>
      </c>
      <c r="C1589">
        <f t="shared" si="29"/>
        <v>3.5</v>
      </c>
      <c r="M1589" s="34">
        <v>41036</v>
      </c>
      <c r="N1589">
        <v>4.4000000000000004</v>
      </c>
    </row>
    <row r="1590" spans="1:14" x14ac:dyDescent="0.2">
      <c r="A1590" s="34">
        <v>41751</v>
      </c>
      <c r="B1590">
        <v>5.1527139999999996</v>
      </c>
      <c r="C1590">
        <f t="shared" si="29"/>
        <v>3.48</v>
      </c>
      <c r="M1590" s="34">
        <v>41033</v>
      </c>
      <c r="N1590">
        <v>4.5199999999999996</v>
      </c>
    </row>
    <row r="1591" spans="1:14" x14ac:dyDescent="0.2">
      <c r="A1591" s="34">
        <v>41750</v>
      </c>
      <c r="B1591">
        <v>5.1525410000000003</v>
      </c>
      <c r="C1591">
        <f t="shared" si="29"/>
        <v>3.45</v>
      </c>
      <c r="M1591" s="34">
        <v>41032</v>
      </c>
      <c r="N1591">
        <v>4.5199999999999996</v>
      </c>
    </row>
    <row r="1592" spans="1:14" x14ac:dyDescent="0.2">
      <c r="A1592" s="34">
        <v>41749</v>
      </c>
      <c r="B1592">
        <v>5.1523680000000001</v>
      </c>
      <c r="C1592">
        <f t="shared" si="29"/>
        <v>3.45</v>
      </c>
      <c r="M1592" s="34">
        <v>41031</v>
      </c>
      <c r="N1592">
        <v>4.5199999999999996</v>
      </c>
    </row>
    <row r="1593" spans="1:14" x14ac:dyDescent="0.2">
      <c r="A1593" s="34">
        <v>41748</v>
      </c>
      <c r="B1593">
        <v>5.1521949999999999</v>
      </c>
      <c r="C1593">
        <f t="shared" si="29"/>
        <v>3.45</v>
      </c>
      <c r="M1593" s="34">
        <v>41029</v>
      </c>
      <c r="N1593">
        <v>4.55</v>
      </c>
    </row>
    <row r="1594" spans="1:14" x14ac:dyDescent="0.2">
      <c r="A1594" s="34">
        <v>41747</v>
      </c>
      <c r="B1594">
        <v>5.1520219999999997</v>
      </c>
      <c r="C1594">
        <f t="shared" si="29"/>
        <v>3.45</v>
      </c>
      <c r="M1594" s="34">
        <v>41026</v>
      </c>
      <c r="N1594">
        <v>4.47</v>
      </c>
    </row>
    <row r="1595" spans="1:14" x14ac:dyDescent="0.2">
      <c r="A1595" s="34">
        <v>41746</v>
      </c>
      <c r="B1595">
        <v>5.1518490000000003</v>
      </c>
      <c r="C1595">
        <f t="shared" si="29"/>
        <v>3.45</v>
      </c>
      <c r="M1595" s="34">
        <v>41025</v>
      </c>
      <c r="N1595">
        <v>4.4000000000000004</v>
      </c>
    </row>
    <row r="1596" spans="1:14" x14ac:dyDescent="0.2">
      <c r="A1596" s="34">
        <v>41745</v>
      </c>
      <c r="B1596">
        <v>5.1516760000000001</v>
      </c>
      <c r="C1596">
        <f t="shared" si="29"/>
        <v>3.45</v>
      </c>
      <c r="M1596" s="34">
        <v>41024</v>
      </c>
      <c r="N1596">
        <v>4.55</v>
      </c>
    </row>
    <row r="1597" spans="1:14" x14ac:dyDescent="0.2">
      <c r="A1597" s="34">
        <v>41744</v>
      </c>
      <c r="B1597">
        <v>5.1515029999999999</v>
      </c>
      <c r="C1597">
        <f t="shared" si="29"/>
        <v>3.5</v>
      </c>
      <c r="M1597" s="34">
        <v>41023</v>
      </c>
      <c r="N1597">
        <v>4.55</v>
      </c>
    </row>
    <row r="1598" spans="1:14" x14ac:dyDescent="0.2">
      <c r="A1598" s="34">
        <v>41743</v>
      </c>
      <c r="B1598">
        <v>5.1513299999999997</v>
      </c>
      <c r="C1598">
        <f t="shared" si="29"/>
        <v>3.52</v>
      </c>
      <c r="M1598" s="34">
        <v>41022</v>
      </c>
      <c r="N1598">
        <v>4.5199999999999996</v>
      </c>
    </row>
    <row r="1599" spans="1:14" x14ac:dyDescent="0.2">
      <c r="A1599" s="34">
        <v>41742</v>
      </c>
      <c r="B1599">
        <v>5.1511560000000003</v>
      </c>
      <c r="C1599">
        <f t="shared" si="29"/>
        <v>3.47</v>
      </c>
      <c r="M1599" s="34">
        <v>41019</v>
      </c>
      <c r="N1599">
        <v>4.45</v>
      </c>
    </row>
    <row r="1600" spans="1:14" x14ac:dyDescent="0.2">
      <c r="A1600" s="34">
        <v>41741</v>
      </c>
      <c r="B1600">
        <v>5.1509830000000001</v>
      </c>
      <c r="C1600">
        <f t="shared" si="29"/>
        <v>3.47</v>
      </c>
      <c r="M1600" s="34">
        <v>41018</v>
      </c>
      <c r="N1600">
        <v>4.5199999999999996</v>
      </c>
    </row>
    <row r="1601" spans="1:14" x14ac:dyDescent="0.2">
      <c r="A1601" s="34">
        <v>41740</v>
      </c>
      <c r="B1601">
        <v>5.1508099999999999</v>
      </c>
      <c r="C1601">
        <f t="shared" si="29"/>
        <v>3.47</v>
      </c>
      <c r="M1601" s="34">
        <v>41017</v>
      </c>
      <c r="N1601">
        <v>4.5199999999999996</v>
      </c>
    </row>
    <row r="1602" spans="1:14" x14ac:dyDescent="0.2">
      <c r="A1602" s="34">
        <v>41739</v>
      </c>
      <c r="B1602">
        <v>5.1506369999999997</v>
      </c>
      <c r="C1602">
        <f t="shared" ref="C1602:C1665" si="30">IFERROR(VLOOKUP(A1602,$M$2:$N$3695,2,0),C1603)</f>
        <v>3.52</v>
      </c>
      <c r="M1602" s="34">
        <v>41016</v>
      </c>
      <c r="N1602">
        <v>4.3</v>
      </c>
    </row>
    <row r="1603" spans="1:14" x14ac:dyDescent="0.2">
      <c r="A1603" s="34">
        <v>41738</v>
      </c>
      <c r="B1603">
        <v>5.1500820000000003</v>
      </c>
      <c r="C1603">
        <f t="shared" si="30"/>
        <v>3.49</v>
      </c>
      <c r="M1603" s="34">
        <v>41015</v>
      </c>
      <c r="N1603">
        <v>4.5199999999999996</v>
      </c>
    </row>
    <row r="1604" spans="1:14" x14ac:dyDescent="0.2">
      <c r="A1604" s="34">
        <v>41737</v>
      </c>
      <c r="B1604">
        <v>5.1495259999999998</v>
      </c>
      <c r="C1604">
        <f t="shared" si="30"/>
        <v>3.51</v>
      </c>
      <c r="M1604" s="34">
        <v>41012</v>
      </c>
      <c r="N1604">
        <v>4.5199999999999996</v>
      </c>
    </row>
    <row r="1605" spans="1:14" x14ac:dyDescent="0.2">
      <c r="A1605" s="34">
        <v>41736</v>
      </c>
      <c r="B1605">
        <v>5.1489710000000004</v>
      </c>
      <c r="C1605">
        <f t="shared" si="30"/>
        <v>3.52</v>
      </c>
      <c r="M1605" s="34">
        <v>41011</v>
      </c>
      <c r="N1605">
        <v>4.5</v>
      </c>
    </row>
    <row r="1606" spans="1:14" x14ac:dyDescent="0.2">
      <c r="A1606" s="34">
        <v>41735</v>
      </c>
      <c r="B1606">
        <v>5.148415</v>
      </c>
      <c r="C1606">
        <f t="shared" si="30"/>
        <v>3.55</v>
      </c>
      <c r="M1606" s="34">
        <v>41010</v>
      </c>
      <c r="N1606">
        <v>4.49</v>
      </c>
    </row>
    <row r="1607" spans="1:14" x14ac:dyDescent="0.2">
      <c r="A1607" s="34">
        <v>41734</v>
      </c>
      <c r="B1607">
        <v>5.1478599999999997</v>
      </c>
      <c r="C1607">
        <f t="shared" si="30"/>
        <v>3.55</v>
      </c>
      <c r="M1607" s="34">
        <v>41009</v>
      </c>
      <c r="N1607">
        <v>4.5199999999999996</v>
      </c>
    </row>
    <row r="1608" spans="1:14" x14ac:dyDescent="0.2">
      <c r="A1608" s="34">
        <v>41733</v>
      </c>
      <c r="B1608">
        <v>5.1473040000000001</v>
      </c>
      <c r="C1608">
        <f t="shared" si="30"/>
        <v>3.55</v>
      </c>
      <c r="M1608" s="34">
        <v>41008</v>
      </c>
      <c r="N1608">
        <v>4.47</v>
      </c>
    </row>
    <row r="1609" spans="1:14" x14ac:dyDescent="0.2">
      <c r="A1609" s="34">
        <v>41732</v>
      </c>
      <c r="B1609">
        <v>5.1467489999999998</v>
      </c>
      <c r="C1609">
        <f t="shared" si="30"/>
        <v>3.51</v>
      </c>
      <c r="M1609" s="34">
        <v>41003</v>
      </c>
      <c r="N1609">
        <v>4.5</v>
      </c>
    </row>
    <row r="1610" spans="1:14" x14ac:dyDescent="0.2">
      <c r="A1610" s="34">
        <v>41731</v>
      </c>
      <c r="B1610">
        <v>5.1461940000000004</v>
      </c>
      <c r="C1610">
        <f t="shared" si="30"/>
        <v>3.5</v>
      </c>
      <c r="M1610" s="34">
        <v>41002</v>
      </c>
      <c r="N1610">
        <v>4.45</v>
      </c>
    </row>
    <row r="1611" spans="1:14" x14ac:dyDescent="0.2">
      <c r="A1611" s="34">
        <v>41730</v>
      </c>
      <c r="B1611">
        <v>5.1456390000000001</v>
      </c>
      <c r="C1611">
        <f t="shared" si="30"/>
        <v>3.48</v>
      </c>
      <c r="M1611" s="34">
        <v>41001</v>
      </c>
      <c r="N1611">
        <v>4.5199999999999996</v>
      </c>
    </row>
    <row r="1612" spans="1:14" x14ac:dyDescent="0.2">
      <c r="A1612" s="34">
        <v>41729</v>
      </c>
      <c r="B1612">
        <v>5.1450839999999998</v>
      </c>
      <c r="C1612">
        <f t="shared" si="30"/>
        <v>3.5</v>
      </c>
      <c r="M1612" s="34">
        <v>40998</v>
      </c>
      <c r="N1612">
        <v>4.5199999999999996</v>
      </c>
    </row>
    <row r="1613" spans="1:14" x14ac:dyDescent="0.2">
      <c r="A1613" s="34">
        <v>41728</v>
      </c>
      <c r="B1613">
        <v>5.1445290000000004</v>
      </c>
      <c r="C1613">
        <f t="shared" si="30"/>
        <v>3.53</v>
      </c>
      <c r="M1613" s="34">
        <v>40997</v>
      </c>
      <c r="N1613">
        <v>4.5</v>
      </c>
    </row>
    <row r="1614" spans="1:14" x14ac:dyDescent="0.2">
      <c r="A1614" s="34">
        <v>41727</v>
      </c>
      <c r="B1614">
        <v>5.143974</v>
      </c>
      <c r="C1614">
        <f t="shared" si="30"/>
        <v>3.53</v>
      </c>
      <c r="M1614" s="34">
        <v>40996</v>
      </c>
      <c r="N1614">
        <v>4.57</v>
      </c>
    </row>
    <row r="1615" spans="1:14" x14ac:dyDescent="0.2">
      <c r="A1615" s="34">
        <v>41726</v>
      </c>
      <c r="B1615">
        <v>5.1434189999999997</v>
      </c>
      <c r="C1615">
        <f t="shared" si="30"/>
        <v>3.53</v>
      </c>
      <c r="M1615" s="34">
        <v>40995</v>
      </c>
      <c r="N1615">
        <v>4.5</v>
      </c>
    </row>
    <row r="1616" spans="1:14" x14ac:dyDescent="0.2">
      <c r="A1616" s="34">
        <v>41725</v>
      </c>
      <c r="B1616">
        <v>5.1428640000000003</v>
      </c>
      <c r="C1616">
        <f t="shared" si="30"/>
        <v>3.48</v>
      </c>
      <c r="M1616" s="34">
        <v>40994</v>
      </c>
      <c r="N1616">
        <v>4.5199999999999996</v>
      </c>
    </row>
    <row r="1617" spans="1:14" x14ac:dyDescent="0.2">
      <c r="A1617" s="34">
        <v>41724</v>
      </c>
      <c r="B1617">
        <v>5.142309</v>
      </c>
      <c r="C1617">
        <f t="shared" si="30"/>
        <v>3.6</v>
      </c>
      <c r="M1617" s="34">
        <v>40991</v>
      </c>
      <c r="N1617">
        <v>4.5</v>
      </c>
    </row>
    <row r="1618" spans="1:14" x14ac:dyDescent="0.2">
      <c r="A1618" s="34">
        <v>41723</v>
      </c>
      <c r="B1618">
        <v>5.1417549999999999</v>
      </c>
      <c r="C1618">
        <f t="shared" si="30"/>
        <v>3.47</v>
      </c>
      <c r="M1618" s="34">
        <v>40990</v>
      </c>
      <c r="N1618">
        <v>4.5</v>
      </c>
    </row>
    <row r="1619" spans="1:14" x14ac:dyDescent="0.2">
      <c r="A1619" s="34">
        <v>41722</v>
      </c>
      <c r="B1619">
        <v>5.141235</v>
      </c>
      <c r="C1619">
        <f t="shared" si="30"/>
        <v>3.46</v>
      </c>
      <c r="M1619" s="34">
        <v>40989</v>
      </c>
      <c r="N1619">
        <v>4.4000000000000004</v>
      </c>
    </row>
    <row r="1620" spans="1:14" x14ac:dyDescent="0.2">
      <c r="A1620" s="34">
        <v>41721</v>
      </c>
      <c r="B1620">
        <v>5.1407150000000001</v>
      </c>
      <c r="C1620">
        <f t="shared" si="30"/>
        <v>3.5</v>
      </c>
      <c r="M1620" s="34">
        <v>40988</v>
      </c>
      <c r="N1620">
        <v>4.42</v>
      </c>
    </row>
    <row r="1621" spans="1:14" x14ac:dyDescent="0.2">
      <c r="A1621" s="34">
        <v>41720</v>
      </c>
      <c r="B1621">
        <v>5.1401960000000004</v>
      </c>
      <c r="C1621">
        <f t="shared" si="30"/>
        <v>3.5</v>
      </c>
      <c r="M1621" s="34">
        <v>40984</v>
      </c>
      <c r="N1621">
        <v>4.5199999999999996</v>
      </c>
    </row>
    <row r="1622" spans="1:14" x14ac:dyDescent="0.2">
      <c r="A1622" s="34">
        <v>41719</v>
      </c>
      <c r="B1622">
        <v>5.1396759999999997</v>
      </c>
      <c r="C1622">
        <f t="shared" si="30"/>
        <v>3.5</v>
      </c>
      <c r="M1622" s="34">
        <v>40983</v>
      </c>
      <c r="N1622">
        <v>4.46</v>
      </c>
    </row>
    <row r="1623" spans="1:14" x14ac:dyDescent="0.2">
      <c r="A1623" s="34">
        <v>41718</v>
      </c>
      <c r="B1623">
        <v>5.139157</v>
      </c>
      <c r="C1623">
        <f t="shared" si="30"/>
        <v>3.45</v>
      </c>
      <c r="M1623" s="34">
        <v>40982</v>
      </c>
      <c r="N1623">
        <v>4.42</v>
      </c>
    </row>
    <row r="1624" spans="1:14" x14ac:dyDescent="0.2">
      <c r="A1624" s="34">
        <v>41717</v>
      </c>
      <c r="B1624">
        <v>5.1386370000000001</v>
      </c>
      <c r="C1624">
        <f t="shared" si="30"/>
        <v>3.48</v>
      </c>
      <c r="M1624" s="34">
        <v>40981</v>
      </c>
      <c r="N1624">
        <v>4.4800000000000004</v>
      </c>
    </row>
    <row r="1625" spans="1:14" x14ac:dyDescent="0.2">
      <c r="A1625" s="34">
        <v>41716</v>
      </c>
      <c r="B1625">
        <v>5.1381180000000004</v>
      </c>
      <c r="C1625">
        <f t="shared" si="30"/>
        <v>3.48</v>
      </c>
      <c r="M1625" s="34">
        <v>40980</v>
      </c>
      <c r="N1625">
        <v>4.4000000000000004</v>
      </c>
    </row>
    <row r="1626" spans="1:14" x14ac:dyDescent="0.2">
      <c r="A1626" s="34">
        <v>41715</v>
      </c>
      <c r="B1626">
        <v>5.1375989999999998</v>
      </c>
      <c r="C1626">
        <f t="shared" si="30"/>
        <v>3.45</v>
      </c>
      <c r="M1626" s="34">
        <v>40977</v>
      </c>
      <c r="N1626">
        <v>4.5</v>
      </c>
    </row>
    <row r="1627" spans="1:14" x14ac:dyDescent="0.2">
      <c r="A1627" s="34">
        <v>41714</v>
      </c>
      <c r="B1627">
        <v>5.137079</v>
      </c>
      <c r="C1627">
        <f t="shared" si="30"/>
        <v>3.45</v>
      </c>
      <c r="M1627" s="34">
        <v>40976</v>
      </c>
      <c r="N1627">
        <v>4.4800000000000004</v>
      </c>
    </row>
    <row r="1628" spans="1:14" x14ac:dyDescent="0.2">
      <c r="A1628" s="34">
        <v>41713</v>
      </c>
      <c r="B1628">
        <v>5.1365600000000002</v>
      </c>
      <c r="C1628">
        <f t="shared" si="30"/>
        <v>3.45</v>
      </c>
      <c r="M1628" s="34">
        <v>40975</v>
      </c>
      <c r="N1628">
        <v>4.45</v>
      </c>
    </row>
    <row r="1629" spans="1:14" x14ac:dyDescent="0.2">
      <c r="A1629" s="34">
        <v>41712</v>
      </c>
      <c r="B1629">
        <v>5.1360409999999996</v>
      </c>
      <c r="C1629">
        <f t="shared" si="30"/>
        <v>3.45</v>
      </c>
      <c r="M1629" s="34">
        <v>40974</v>
      </c>
      <c r="N1629">
        <v>4.47</v>
      </c>
    </row>
    <row r="1630" spans="1:14" x14ac:dyDescent="0.2">
      <c r="A1630" s="34">
        <v>41711</v>
      </c>
      <c r="B1630">
        <v>5.1355219999999999</v>
      </c>
      <c r="C1630">
        <f t="shared" si="30"/>
        <v>3.52</v>
      </c>
      <c r="M1630" s="34">
        <v>40973</v>
      </c>
      <c r="N1630">
        <v>4.42</v>
      </c>
    </row>
    <row r="1631" spans="1:14" x14ac:dyDescent="0.2">
      <c r="A1631" s="34">
        <v>41710</v>
      </c>
      <c r="B1631">
        <v>5.1350030000000002</v>
      </c>
      <c r="C1631">
        <f t="shared" si="30"/>
        <v>3.48</v>
      </c>
      <c r="M1631" s="34">
        <v>40970</v>
      </c>
      <c r="N1631">
        <v>4.46</v>
      </c>
    </row>
    <row r="1632" spans="1:14" x14ac:dyDescent="0.2">
      <c r="A1632" s="34">
        <v>41709</v>
      </c>
      <c r="B1632">
        <v>5.1344839999999996</v>
      </c>
      <c r="C1632">
        <f t="shared" si="30"/>
        <v>3.5</v>
      </c>
      <c r="M1632" s="34">
        <v>40969</v>
      </c>
      <c r="N1632">
        <v>4.45</v>
      </c>
    </row>
    <row r="1633" spans="1:14" x14ac:dyDescent="0.2">
      <c r="A1633" s="34">
        <v>41708</v>
      </c>
      <c r="B1633">
        <v>5.1339649999999999</v>
      </c>
      <c r="C1633">
        <f t="shared" si="30"/>
        <v>3.47</v>
      </c>
      <c r="M1633" s="34">
        <v>40968</v>
      </c>
      <c r="N1633">
        <v>4.5</v>
      </c>
    </row>
    <row r="1634" spans="1:14" x14ac:dyDescent="0.2">
      <c r="A1634" s="34">
        <v>41707</v>
      </c>
      <c r="B1634">
        <v>5.1334949999999999</v>
      </c>
      <c r="C1634">
        <f t="shared" si="30"/>
        <v>3.4</v>
      </c>
      <c r="M1634" s="34">
        <v>40967</v>
      </c>
      <c r="N1634">
        <v>4.4800000000000004</v>
      </c>
    </row>
    <row r="1635" spans="1:14" x14ac:dyDescent="0.2">
      <c r="A1635" s="34">
        <v>41706</v>
      </c>
      <c r="B1635">
        <v>5.1330249999999999</v>
      </c>
      <c r="C1635">
        <f t="shared" si="30"/>
        <v>3.4</v>
      </c>
      <c r="M1635" s="34">
        <v>40966</v>
      </c>
      <c r="N1635">
        <v>4.47</v>
      </c>
    </row>
    <row r="1636" spans="1:14" x14ac:dyDescent="0.2">
      <c r="A1636" s="34">
        <v>41705</v>
      </c>
      <c r="B1636">
        <v>5.1325560000000001</v>
      </c>
      <c r="C1636">
        <f t="shared" si="30"/>
        <v>3.4</v>
      </c>
      <c r="M1636" s="34">
        <v>40963</v>
      </c>
      <c r="N1636">
        <v>4.55</v>
      </c>
    </row>
    <row r="1637" spans="1:14" x14ac:dyDescent="0.2">
      <c r="A1637" s="34">
        <v>41704</v>
      </c>
      <c r="B1637">
        <v>5.1320860000000001</v>
      </c>
      <c r="C1637">
        <f t="shared" si="30"/>
        <v>3.45</v>
      </c>
      <c r="M1637" s="34">
        <v>40962</v>
      </c>
      <c r="N1637">
        <v>4.4000000000000004</v>
      </c>
    </row>
    <row r="1638" spans="1:14" x14ac:dyDescent="0.2">
      <c r="A1638" s="34">
        <v>41703</v>
      </c>
      <c r="B1638">
        <v>5.1316160000000002</v>
      </c>
      <c r="C1638">
        <f t="shared" si="30"/>
        <v>3.53</v>
      </c>
      <c r="M1638" s="34">
        <v>40961</v>
      </c>
      <c r="N1638">
        <v>4.5</v>
      </c>
    </row>
    <row r="1639" spans="1:14" x14ac:dyDescent="0.2">
      <c r="A1639" s="34">
        <v>41702</v>
      </c>
      <c r="B1639">
        <v>5.1311470000000003</v>
      </c>
      <c r="C1639">
        <f t="shared" si="30"/>
        <v>3.47</v>
      </c>
      <c r="M1639" s="34">
        <v>40960</v>
      </c>
      <c r="N1639">
        <v>4.42</v>
      </c>
    </row>
    <row r="1640" spans="1:14" x14ac:dyDescent="0.2">
      <c r="A1640" s="34">
        <v>41701</v>
      </c>
      <c r="B1640">
        <v>5.1306770000000004</v>
      </c>
      <c r="C1640">
        <f t="shared" si="30"/>
        <v>3.47</v>
      </c>
      <c r="M1640" s="34">
        <v>40959</v>
      </c>
      <c r="N1640">
        <v>4.55</v>
      </c>
    </row>
    <row r="1641" spans="1:14" x14ac:dyDescent="0.2">
      <c r="A1641" s="34">
        <v>41700</v>
      </c>
      <c r="B1641">
        <v>5.1302079999999997</v>
      </c>
      <c r="C1641">
        <f t="shared" si="30"/>
        <v>3.5</v>
      </c>
      <c r="M1641" s="34">
        <v>40956</v>
      </c>
      <c r="N1641">
        <v>4.49</v>
      </c>
    </row>
    <row r="1642" spans="1:14" x14ac:dyDescent="0.2">
      <c r="A1642" s="34">
        <v>41699</v>
      </c>
      <c r="B1642">
        <v>5.1297379999999997</v>
      </c>
      <c r="C1642">
        <f t="shared" si="30"/>
        <v>3.5</v>
      </c>
      <c r="M1642" s="34">
        <v>40955</v>
      </c>
      <c r="N1642">
        <v>4.45</v>
      </c>
    </row>
    <row r="1643" spans="1:14" x14ac:dyDescent="0.2">
      <c r="A1643" s="34">
        <v>41698</v>
      </c>
      <c r="B1643">
        <v>5.1292689999999999</v>
      </c>
      <c r="C1643">
        <f t="shared" si="30"/>
        <v>3.5</v>
      </c>
      <c r="M1643" s="34">
        <v>40954</v>
      </c>
      <c r="N1643">
        <v>4.42</v>
      </c>
    </row>
    <row r="1644" spans="1:14" x14ac:dyDescent="0.2">
      <c r="A1644" s="34">
        <v>41697</v>
      </c>
      <c r="B1644">
        <v>5.1288</v>
      </c>
      <c r="C1644">
        <f t="shared" si="30"/>
        <v>3.49</v>
      </c>
      <c r="M1644" s="34">
        <v>40953</v>
      </c>
      <c r="N1644">
        <v>4.4400000000000004</v>
      </c>
    </row>
    <row r="1645" spans="1:14" x14ac:dyDescent="0.2">
      <c r="A1645" s="34">
        <v>41696</v>
      </c>
      <c r="B1645">
        <v>5.1283300000000001</v>
      </c>
      <c r="C1645">
        <f t="shared" si="30"/>
        <v>3.5</v>
      </c>
      <c r="M1645" s="34">
        <v>40952</v>
      </c>
      <c r="N1645">
        <v>4.4000000000000004</v>
      </c>
    </row>
    <row r="1646" spans="1:14" x14ac:dyDescent="0.2">
      <c r="A1646" s="34">
        <v>41695</v>
      </c>
      <c r="B1646">
        <v>5.1278610000000002</v>
      </c>
      <c r="C1646">
        <f t="shared" si="30"/>
        <v>3.52</v>
      </c>
      <c r="M1646" s="34">
        <v>40949</v>
      </c>
      <c r="N1646">
        <v>4.43</v>
      </c>
    </row>
    <row r="1647" spans="1:14" x14ac:dyDescent="0.2">
      <c r="A1647" s="34">
        <v>41694</v>
      </c>
      <c r="B1647">
        <v>5.1274660000000001</v>
      </c>
      <c r="C1647">
        <f t="shared" si="30"/>
        <v>3.47</v>
      </c>
      <c r="M1647" s="34">
        <v>40948</v>
      </c>
      <c r="N1647">
        <v>4.57</v>
      </c>
    </row>
    <row r="1648" spans="1:14" x14ac:dyDescent="0.2">
      <c r="A1648" s="34">
        <v>41693</v>
      </c>
      <c r="B1648">
        <v>5.1270709999999999</v>
      </c>
      <c r="C1648">
        <f t="shared" si="30"/>
        <v>3.5</v>
      </c>
      <c r="M1648" s="34">
        <v>40947</v>
      </c>
      <c r="N1648">
        <v>4.5</v>
      </c>
    </row>
    <row r="1649" spans="1:14" x14ac:dyDescent="0.2">
      <c r="A1649" s="34">
        <v>41692</v>
      </c>
      <c r="B1649">
        <v>5.1266759999999998</v>
      </c>
      <c r="C1649">
        <f t="shared" si="30"/>
        <v>3.5</v>
      </c>
      <c r="M1649" s="34">
        <v>40946</v>
      </c>
      <c r="N1649">
        <v>4.51</v>
      </c>
    </row>
    <row r="1650" spans="1:14" x14ac:dyDescent="0.2">
      <c r="A1650" s="34">
        <v>41691</v>
      </c>
      <c r="B1650">
        <v>5.1262809999999996</v>
      </c>
      <c r="C1650">
        <f t="shared" si="30"/>
        <v>3.5</v>
      </c>
      <c r="M1650" s="34">
        <v>40942</v>
      </c>
      <c r="N1650">
        <v>4.4800000000000004</v>
      </c>
    </row>
    <row r="1651" spans="1:14" x14ac:dyDescent="0.2">
      <c r="A1651" s="34">
        <v>41690</v>
      </c>
      <c r="B1651">
        <v>5.1258860000000004</v>
      </c>
      <c r="C1651">
        <f t="shared" si="30"/>
        <v>3.5</v>
      </c>
      <c r="M1651" s="34">
        <v>40941</v>
      </c>
      <c r="N1651">
        <v>4.4800000000000004</v>
      </c>
    </row>
    <row r="1652" spans="1:14" x14ac:dyDescent="0.2">
      <c r="A1652" s="34">
        <v>41689</v>
      </c>
      <c r="B1652">
        <v>5.1254910000000002</v>
      </c>
      <c r="C1652">
        <f t="shared" si="30"/>
        <v>3.53</v>
      </c>
      <c r="M1652" s="34">
        <v>40940</v>
      </c>
      <c r="N1652">
        <v>4.4800000000000004</v>
      </c>
    </row>
    <row r="1653" spans="1:14" x14ac:dyDescent="0.2">
      <c r="A1653" s="34">
        <v>41688</v>
      </c>
      <c r="B1653">
        <v>5.1250970000000002</v>
      </c>
      <c r="C1653">
        <f t="shared" si="30"/>
        <v>3.47</v>
      </c>
      <c r="M1653" s="34">
        <v>40939</v>
      </c>
      <c r="N1653">
        <v>4.5</v>
      </c>
    </row>
    <row r="1654" spans="1:14" x14ac:dyDescent="0.2">
      <c r="A1654" s="34">
        <v>41687</v>
      </c>
      <c r="B1654">
        <v>5.1247020000000001</v>
      </c>
      <c r="C1654">
        <f t="shared" si="30"/>
        <v>3.5</v>
      </c>
      <c r="M1654" s="34">
        <v>40938</v>
      </c>
      <c r="N1654">
        <v>4.4800000000000004</v>
      </c>
    </row>
    <row r="1655" spans="1:14" x14ac:dyDescent="0.2">
      <c r="A1655" s="34">
        <v>41686</v>
      </c>
      <c r="B1655">
        <v>5.1243069999999999</v>
      </c>
      <c r="C1655">
        <f t="shared" si="30"/>
        <v>3.47</v>
      </c>
      <c r="M1655" s="34">
        <v>40935</v>
      </c>
      <c r="N1655">
        <v>4.4800000000000004</v>
      </c>
    </row>
    <row r="1656" spans="1:14" x14ac:dyDescent="0.2">
      <c r="A1656" s="34">
        <v>41685</v>
      </c>
      <c r="B1656">
        <v>5.1239119999999998</v>
      </c>
      <c r="C1656">
        <f t="shared" si="30"/>
        <v>3.47</v>
      </c>
      <c r="M1656" s="34">
        <v>40934</v>
      </c>
      <c r="N1656">
        <v>4.51</v>
      </c>
    </row>
    <row r="1657" spans="1:14" x14ac:dyDescent="0.2">
      <c r="A1657" s="34">
        <v>41684</v>
      </c>
      <c r="B1657">
        <v>5.1235179999999998</v>
      </c>
      <c r="C1657">
        <f t="shared" si="30"/>
        <v>3.47</v>
      </c>
      <c r="M1657" s="34">
        <v>40933</v>
      </c>
      <c r="N1657">
        <v>4.5</v>
      </c>
    </row>
    <row r="1658" spans="1:14" x14ac:dyDescent="0.2">
      <c r="A1658" s="34">
        <v>41683</v>
      </c>
      <c r="B1658">
        <v>5.1231229999999996</v>
      </c>
      <c r="C1658">
        <f t="shared" si="30"/>
        <v>3.47</v>
      </c>
      <c r="M1658" s="34">
        <v>40932</v>
      </c>
      <c r="N1658">
        <v>4.5</v>
      </c>
    </row>
    <row r="1659" spans="1:14" x14ac:dyDescent="0.2">
      <c r="A1659" s="34">
        <v>41682</v>
      </c>
      <c r="B1659">
        <v>5.1227280000000004</v>
      </c>
      <c r="C1659">
        <f t="shared" si="30"/>
        <v>3.45</v>
      </c>
      <c r="M1659" s="34">
        <v>40931</v>
      </c>
      <c r="N1659">
        <v>4.45</v>
      </c>
    </row>
    <row r="1660" spans="1:14" x14ac:dyDescent="0.2">
      <c r="A1660" s="34">
        <v>41681</v>
      </c>
      <c r="B1660">
        <v>5.1223340000000004</v>
      </c>
      <c r="C1660">
        <f t="shared" si="30"/>
        <v>3.47</v>
      </c>
      <c r="M1660" s="34">
        <v>40928</v>
      </c>
      <c r="N1660">
        <v>4.4000000000000004</v>
      </c>
    </row>
    <row r="1661" spans="1:14" x14ac:dyDescent="0.2">
      <c r="A1661" s="34">
        <v>41680</v>
      </c>
      <c r="B1661">
        <v>5.1219390000000002</v>
      </c>
      <c r="C1661">
        <f t="shared" si="30"/>
        <v>3.48</v>
      </c>
      <c r="M1661" s="34">
        <v>40927</v>
      </c>
      <c r="N1661">
        <v>4.42</v>
      </c>
    </row>
    <row r="1662" spans="1:14" x14ac:dyDescent="0.2">
      <c r="A1662" s="34">
        <v>41679</v>
      </c>
      <c r="B1662">
        <v>5.119783</v>
      </c>
      <c r="C1662">
        <f t="shared" si="30"/>
        <v>3.47</v>
      </c>
      <c r="M1662" s="34">
        <v>40926</v>
      </c>
      <c r="N1662">
        <v>4.34</v>
      </c>
    </row>
    <row r="1663" spans="1:14" x14ac:dyDescent="0.2">
      <c r="A1663" s="34">
        <v>41678</v>
      </c>
      <c r="B1663">
        <v>5.1176269999999997</v>
      </c>
      <c r="C1663">
        <f t="shared" si="30"/>
        <v>3.47</v>
      </c>
      <c r="M1663" s="34">
        <v>40925</v>
      </c>
      <c r="N1663">
        <v>4.3</v>
      </c>
    </row>
    <row r="1664" spans="1:14" x14ac:dyDescent="0.2">
      <c r="A1664" s="34">
        <v>41677</v>
      </c>
      <c r="B1664">
        <v>5.1154729999999997</v>
      </c>
      <c r="C1664">
        <f t="shared" si="30"/>
        <v>3.47</v>
      </c>
      <c r="M1664" s="34">
        <v>40924</v>
      </c>
      <c r="N1664">
        <v>4.46</v>
      </c>
    </row>
    <row r="1665" spans="1:14" x14ac:dyDescent="0.2">
      <c r="A1665" s="34">
        <v>41676</v>
      </c>
      <c r="B1665">
        <v>5.1133189999999997</v>
      </c>
      <c r="C1665">
        <f t="shared" si="30"/>
        <v>3.45</v>
      </c>
      <c r="M1665" s="34">
        <v>40921</v>
      </c>
      <c r="N1665">
        <v>4.46</v>
      </c>
    </row>
    <row r="1666" spans="1:14" x14ac:dyDescent="0.2">
      <c r="A1666" s="34">
        <v>41675</v>
      </c>
      <c r="B1666">
        <v>5.111167</v>
      </c>
      <c r="C1666">
        <f t="shared" ref="C1666:C1729" si="31">IFERROR(VLOOKUP(A1666,$M$2:$N$3695,2,0),C1667)</f>
        <v>3.46</v>
      </c>
      <c r="M1666" s="34">
        <v>40920</v>
      </c>
      <c r="N1666">
        <v>4.43</v>
      </c>
    </row>
    <row r="1667" spans="1:14" x14ac:dyDescent="0.2">
      <c r="A1667" s="34">
        <v>41674</v>
      </c>
      <c r="B1667">
        <v>5.1090150000000003</v>
      </c>
      <c r="C1667">
        <f t="shared" si="31"/>
        <v>3.47</v>
      </c>
      <c r="M1667" s="34">
        <v>40919</v>
      </c>
      <c r="N1667">
        <v>4.47</v>
      </c>
    </row>
    <row r="1668" spans="1:14" x14ac:dyDescent="0.2">
      <c r="A1668" s="34">
        <v>41673</v>
      </c>
      <c r="B1668">
        <v>5.1068639999999998</v>
      </c>
      <c r="C1668">
        <f t="shared" si="31"/>
        <v>3.52</v>
      </c>
      <c r="M1668" s="34">
        <v>40918</v>
      </c>
      <c r="N1668">
        <v>4.5199999999999996</v>
      </c>
    </row>
    <row r="1669" spans="1:14" x14ac:dyDescent="0.2">
      <c r="A1669" s="34">
        <v>41672</v>
      </c>
      <c r="B1669">
        <v>5.1047140000000004</v>
      </c>
      <c r="C1669">
        <f t="shared" si="31"/>
        <v>3.52</v>
      </c>
      <c r="M1669" s="34">
        <v>40917</v>
      </c>
      <c r="N1669">
        <v>4.4400000000000004</v>
      </c>
    </row>
    <row r="1670" spans="1:14" x14ac:dyDescent="0.2">
      <c r="A1670" s="34">
        <v>41671</v>
      </c>
      <c r="B1670">
        <v>5.1025650000000002</v>
      </c>
      <c r="C1670">
        <f t="shared" si="31"/>
        <v>3.52</v>
      </c>
      <c r="M1670" s="34">
        <v>40914</v>
      </c>
      <c r="N1670">
        <v>4.4000000000000004</v>
      </c>
    </row>
    <row r="1671" spans="1:14" x14ac:dyDescent="0.2">
      <c r="A1671" s="34">
        <v>41670</v>
      </c>
      <c r="B1671">
        <v>5.1004170000000002</v>
      </c>
      <c r="C1671">
        <f t="shared" si="31"/>
        <v>3.52</v>
      </c>
      <c r="M1671" s="34">
        <v>40913</v>
      </c>
      <c r="N1671">
        <v>4.4400000000000004</v>
      </c>
    </row>
    <row r="1672" spans="1:14" x14ac:dyDescent="0.2">
      <c r="A1672" s="34">
        <v>41669</v>
      </c>
      <c r="B1672">
        <v>5.0982700000000003</v>
      </c>
      <c r="C1672">
        <f t="shared" si="31"/>
        <v>3.48</v>
      </c>
      <c r="M1672" s="34">
        <v>40912</v>
      </c>
      <c r="N1672">
        <v>4.4000000000000004</v>
      </c>
    </row>
    <row r="1673" spans="1:14" x14ac:dyDescent="0.2">
      <c r="A1673" s="34">
        <v>41668</v>
      </c>
      <c r="B1673">
        <v>5.0961230000000004</v>
      </c>
      <c r="C1673">
        <f t="shared" si="31"/>
        <v>3.46</v>
      </c>
      <c r="M1673" s="34">
        <v>40911</v>
      </c>
      <c r="N1673">
        <v>4.46</v>
      </c>
    </row>
    <row r="1674" spans="1:14" x14ac:dyDescent="0.2">
      <c r="A1674" s="34">
        <v>41667</v>
      </c>
      <c r="B1674">
        <v>5.0939779999999999</v>
      </c>
      <c r="C1674">
        <f t="shared" si="31"/>
        <v>3.4</v>
      </c>
      <c r="M1674" s="34">
        <v>40910</v>
      </c>
      <c r="N1674">
        <v>4.5199999999999996</v>
      </c>
    </row>
    <row r="1675" spans="1:14" x14ac:dyDescent="0.2">
      <c r="A1675" s="34">
        <v>41666</v>
      </c>
      <c r="B1675">
        <v>5.0918330000000003</v>
      </c>
      <c r="C1675">
        <f t="shared" si="31"/>
        <v>3.48</v>
      </c>
      <c r="M1675" s="34">
        <v>40907</v>
      </c>
      <c r="N1675">
        <v>4.4800000000000004</v>
      </c>
    </row>
    <row r="1676" spans="1:14" x14ac:dyDescent="0.2">
      <c r="A1676" s="34">
        <v>41665</v>
      </c>
      <c r="B1676">
        <v>5.08969</v>
      </c>
      <c r="C1676">
        <f t="shared" si="31"/>
        <v>3.5</v>
      </c>
      <c r="M1676" s="34">
        <v>40906</v>
      </c>
      <c r="N1676">
        <v>4.4800000000000004</v>
      </c>
    </row>
    <row r="1677" spans="1:14" x14ac:dyDescent="0.2">
      <c r="A1677" s="34">
        <v>41664</v>
      </c>
      <c r="B1677">
        <v>5.0875469999999998</v>
      </c>
      <c r="C1677">
        <f t="shared" si="31"/>
        <v>3.5</v>
      </c>
      <c r="M1677" s="34">
        <v>40905</v>
      </c>
      <c r="N1677">
        <v>4.4800000000000004</v>
      </c>
    </row>
    <row r="1678" spans="1:14" x14ac:dyDescent="0.2">
      <c r="A1678" s="34">
        <v>41663</v>
      </c>
      <c r="B1678">
        <v>5.0864729999999998</v>
      </c>
      <c r="C1678">
        <f t="shared" si="31"/>
        <v>3.5</v>
      </c>
      <c r="M1678" s="34">
        <v>40904</v>
      </c>
      <c r="N1678">
        <v>4.51</v>
      </c>
    </row>
    <row r="1679" spans="1:14" x14ac:dyDescent="0.2">
      <c r="A1679" s="34">
        <v>41662</v>
      </c>
      <c r="B1679">
        <v>5.0853999999999999</v>
      </c>
      <c r="C1679">
        <f t="shared" si="31"/>
        <v>3.48</v>
      </c>
      <c r="M1679" s="34">
        <v>40903</v>
      </c>
      <c r="N1679">
        <v>4.47</v>
      </c>
    </row>
    <row r="1680" spans="1:14" x14ac:dyDescent="0.2">
      <c r="A1680" s="34">
        <v>41661</v>
      </c>
      <c r="B1680">
        <v>5.084327</v>
      </c>
      <c r="C1680">
        <f t="shared" si="31"/>
        <v>3.52</v>
      </c>
      <c r="M1680" s="34">
        <v>40900</v>
      </c>
      <c r="N1680">
        <v>4.49</v>
      </c>
    </row>
    <row r="1681" spans="1:14" x14ac:dyDescent="0.2">
      <c r="A1681" s="34">
        <v>41660</v>
      </c>
      <c r="B1681">
        <v>5.0832540000000002</v>
      </c>
      <c r="C1681">
        <f t="shared" si="31"/>
        <v>3.43</v>
      </c>
      <c r="M1681" s="34">
        <v>40899</v>
      </c>
      <c r="N1681">
        <v>4.5</v>
      </c>
    </row>
    <row r="1682" spans="1:14" x14ac:dyDescent="0.2">
      <c r="A1682" s="34">
        <v>41659</v>
      </c>
      <c r="B1682">
        <v>5.0821810000000003</v>
      </c>
      <c r="C1682">
        <f t="shared" si="31"/>
        <v>3.49</v>
      </c>
      <c r="M1682" s="34">
        <v>40898</v>
      </c>
      <c r="N1682">
        <v>4.49</v>
      </c>
    </row>
    <row r="1683" spans="1:14" x14ac:dyDescent="0.2">
      <c r="A1683" s="34">
        <v>41658</v>
      </c>
      <c r="B1683">
        <v>5.0811089999999997</v>
      </c>
      <c r="C1683">
        <f t="shared" si="31"/>
        <v>3.5</v>
      </c>
      <c r="M1683" s="34">
        <v>40897</v>
      </c>
      <c r="N1683">
        <v>4.5</v>
      </c>
    </row>
    <row r="1684" spans="1:14" x14ac:dyDescent="0.2">
      <c r="A1684" s="34">
        <v>41657</v>
      </c>
      <c r="B1684">
        <v>5.0800359999999998</v>
      </c>
      <c r="C1684">
        <f t="shared" si="31"/>
        <v>3.5</v>
      </c>
      <c r="M1684" s="34">
        <v>40896</v>
      </c>
      <c r="N1684">
        <v>4.53</v>
      </c>
    </row>
    <row r="1685" spans="1:14" x14ac:dyDescent="0.2">
      <c r="A1685" s="34">
        <v>41656</v>
      </c>
      <c r="B1685">
        <v>5.078964</v>
      </c>
      <c r="C1685">
        <f t="shared" si="31"/>
        <v>3.5</v>
      </c>
      <c r="M1685" s="34">
        <v>40893</v>
      </c>
      <c r="N1685">
        <v>4.45</v>
      </c>
    </row>
    <row r="1686" spans="1:14" x14ac:dyDescent="0.2">
      <c r="A1686" s="34">
        <v>41655</v>
      </c>
      <c r="B1686">
        <v>5.0778930000000004</v>
      </c>
      <c r="C1686">
        <f t="shared" si="31"/>
        <v>3.5</v>
      </c>
      <c r="M1686" s="34">
        <v>40892</v>
      </c>
      <c r="N1686">
        <v>4.49</v>
      </c>
    </row>
    <row r="1687" spans="1:14" x14ac:dyDescent="0.2">
      <c r="A1687" s="34">
        <v>41654</v>
      </c>
      <c r="B1687">
        <v>5.0768209999999998</v>
      </c>
      <c r="C1687">
        <f t="shared" si="31"/>
        <v>3.55</v>
      </c>
      <c r="M1687" s="34">
        <v>40891</v>
      </c>
      <c r="N1687">
        <v>4.49</v>
      </c>
    </row>
    <row r="1688" spans="1:14" x14ac:dyDescent="0.2">
      <c r="A1688" s="34">
        <v>41653</v>
      </c>
      <c r="B1688">
        <v>5.0757500000000002</v>
      </c>
      <c r="C1688">
        <f t="shared" si="31"/>
        <v>3.45</v>
      </c>
      <c r="M1688" s="34">
        <v>40890</v>
      </c>
      <c r="N1688">
        <v>4.41</v>
      </c>
    </row>
    <row r="1689" spans="1:14" x14ac:dyDescent="0.2">
      <c r="A1689" s="34">
        <v>41652</v>
      </c>
      <c r="B1689">
        <v>5.0746789999999997</v>
      </c>
      <c r="C1689">
        <f t="shared" si="31"/>
        <v>3.45</v>
      </c>
      <c r="M1689" s="34">
        <v>40886</v>
      </c>
      <c r="N1689">
        <v>4.47</v>
      </c>
    </row>
    <row r="1690" spans="1:14" x14ac:dyDescent="0.2">
      <c r="A1690" s="34">
        <v>41651</v>
      </c>
      <c r="B1690">
        <v>5.0736080000000001</v>
      </c>
      <c r="C1690">
        <f t="shared" si="31"/>
        <v>3.47</v>
      </c>
      <c r="M1690" s="34">
        <v>40885</v>
      </c>
      <c r="N1690">
        <v>4.4000000000000004</v>
      </c>
    </row>
    <row r="1691" spans="1:14" x14ac:dyDescent="0.2">
      <c r="A1691" s="34">
        <v>41650</v>
      </c>
      <c r="B1691">
        <v>5.0725369999999996</v>
      </c>
      <c r="C1691">
        <f t="shared" si="31"/>
        <v>3.47</v>
      </c>
      <c r="M1691" s="34">
        <v>40884</v>
      </c>
      <c r="N1691">
        <v>4.4000000000000004</v>
      </c>
    </row>
    <row r="1692" spans="1:14" x14ac:dyDescent="0.2">
      <c r="A1692" s="34">
        <v>41649</v>
      </c>
      <c r="B1692">
        <v>5.0714670000000002</v>
      </c>
      <c r="C1692">
        <f t="shared" si="31"/>
        <v>3.47</v>
      </c>
      <c r="M1692" s="34">
        <v>40883</v>
      </c>
      <c r="N1692">
        <v>4.41</v>
      </c>
    </row>
    <row r="1693" spans="1:14" x14ac:dyDescent="0.2">
      <c r="A1693" s="34">
        <v>41648</v>
      </c>
      <c r="B1693">
        <v>5.0701919999999996</v>
      </c>
      <c r="C1693">
        <f t="shared" si="31"/>
        <v>3.44</v>
      </c>
      <c r="M1693" s="34">
        <v>40882</v>
      </c>
      <c r="N1693">
        <v>4.37</v>
      </c>
    </row>
    <row r="1694" spans="1:14" x14ac:dyDescent="0.2">
      <c r="A1694" s="34">
        <v>41647</v>
      </c>
      <c r="B1694">
        <v>5.0689169999999999</v>
      </c>
      <c r="C1694">
        <f t="shared" si="31"/>
        <v>3.45</v>
      </c>
      <c r="M1694" s="34">
        <v>40879</v>
      </c>
      <c r="N1694">
        <v>4.1500000000000004</v>
      </c>
    </row>
    <row r="1695" spans="1:14" x14ac:dyDescent="0.2">
      <c r="A1695" s="34">
        <v>41646</v>
      </c>
      <c r="B1695">
        <v>5.0676430000000003</v>
      </c>
      <c r="C1695">
        <f t="shared" si="31"/>
        <v>3.42</v>
      </c>
      <c r="M1695" s="34">
        <v>40878</v>
      </c>
      <c r="N1695">
        <v>4.3499999999999996</v>
      </c>
    </row>
    <row r="1696" spans="1:14" x14ac:dyDescent="0.2">
      <c r="A1696" s="34">
        <v>41645</v>
      </c>
      <c r="B1696">
        <v>5.0663689999999999</v>
      </c>
      <c r="C1696">
        <f t="shared" si="31"/>
        <v>3.45</v>
      </c>
      <c r="M1696" s="34">
        <v>40877</v>
      </c>
      <c r="N1696">
        <v>4.5999999999999996</v>
      </c>
    </row>
    <row r="1697" spans="1:14" x14ac:dyDescent="0.2">
      <c r="A1697" s="34">
        <v>41644</v>
      </c>
      <c r="B1697">
        <v>5.0650950000000003</v>
      </c>
      <c r="C1697">
        <f t="shared" si="31"/>
        <v>3.46</v>
      </c>
      <c r="M1697" s="34">
        <v>40876</v>
      </c>
      <c r="N1697">
        <v>4.5</v>
      </c>
    </row>
    <row r="1698" spans="1:14" x14ac:dyDescent="0.2">
      <c r="A1698" s="34">
        <v>41643</v>
      </c>
      <c r="B1698">
        <v>5.0638209999999999</v>
      </c>
      <c r="C1698">
        <f t="shared" si="31"/>
        <v>3.46</v>
      </c>
      <c r="M1698" s="34">
        <v>40875</v>
      </c>
      <c r="N1698">
        <v>4.5</v>
      </c>
    </row>
    <row r="1699" spans="1:14" x14ac:dyDescent="0.2">
      <c r="A1699" s="34">
        <v>41642</v>
      </c>
      <c r="B1699">
        <v>5.0625479999999996</v>
      </c>
      <c r="C1699">
        <f t="shared" si="31"/>
        <v>3.46</v>
      </c>
      <c r="M1699" s="34">
        <v>40872</v>
      </c>
      <c r="N1699">
        <v>4.45</v>
      </c>
    </row>
    <row r="1700" spans="1:14" x14ac:dyDescent="0.2">
      <c r="A1700" s="34">
        <v>41641</v>
      </c>
      <c r="B1700">
        <v>5.0612760000000003</v>
      </c>
      <c r="C1700">
        <f t="shared" si="31"/>
        <v>3.54</v>
      </c>
      <c r="M1700" s="34">
        <v>40871</v>
      </c>
      <c r="N1700">
        <v>4.3600000000000003</v>
      </c>
    </row>
    <row r="1701" spans="1:14" x14ac:dyDescent="0.2">
      <c r="A1701" s="34">
        <v>41640</v>
      </c>
      <c r="B1701">
        <v>5.060003</v>
      </c>
      <c r="C1701">
        <f t="shared" si="31"/>
        <v>3.5</v>
      </c>
      <c r="M1701" s="34">
        <v>40870</v>
      </c>
      <c r="N1701">
        <v>4.3600000000000003</v>
      </c>
    </row>
    <row r="1702" spans="1:14" x14ac:dyDescent="0.2">
      <c r="A1702" s="34">
        <v>41639</v>
      </c>
      <c r="B1702">
        <v>5.0587309999999999</v>
      </c>
      <c r="C1702">
        <f t="shared" si="31"/>
        <v>3.5</v>
      </c>
      <c r="M1702" s="34">
        <v>40869</v>
      </c>
      <c r="N1702">
        <v>4.3899999999999997</v>
      </c>
    </row>
    <row r="1703" spans="1:14" x14ac:dyDescent="0.2">
      <c r="A1703" s="34">
        <v>41638</v>
      </c>
      <c r="B1703">
        <v>5.0574589999999997</v>
      </c>
      <c r="C1703">
        <f t="shared" si="31"/>
        <v>3.64</v>
      </c>
      <c r="M1703" s="34">
        <v>40865</v>
      </c>
      <c r="N1703">
        <v>4.45</v>
      </c>
    </row>
    <row r="1704" spans="1:14" x14ac:dyDescent="0.2">
      <c r="A1704" s="34">
        <v>41637</v>
      </c>
      <c r="B1704">
        <v>5.0561879999999997</v>
      </c>
      <c r="C1704">
        <f t="shared" si="31"/>
        <v>3.5</v>
      </c>
      <c r="M1704" s="34">
        <v>40864</v>
      </c>
      <c r="N1704">
        <v>4.3499999999999996</v>
      </c>
    </row>
    <row r="1705" spans="1:14" x14ac:dyDescent="0.2">
      <c r="A1705" s="34">
        <v>41636</v>
      </c>
      <c r="B1705">
        <v>5.0549160000000004</v>
      </c>
      <c r="C1705">
        <f t="shared" si="31"/>
        <v>3.5</v>
      </c>
      <c r="M1705" s="34">
        <v>40863</v>
      </c>
      <c r="N1705">
        <v>4.3600000000000003</v>
      </c>
    </row>
    <row r="1706" spans="1:14" x14ac:dyDescent="0.2">
      <c r="A1706" s="34">
        <v>41635</v>
      </c>
      <c r="B1706">
        <v>5.0536459999999996</v>
      </c>
      <c r="C1706">
        <f t="shared" si="31"/>
        <v>3.5</v>
      </c>
      <c r="M1706" s="34">
        <v>40862</v>
      </c>
      <c r="N1706">
        <v>4.37</v>
      </c>
    </row>
    <row r="1707" spans="1:14" x14ac:dyDescent="0.2">
      <c r="A1707" s="34">
        <v>41634</v>
      </c>
      <c r="B1707">
        <v>5.0523749999999996</v>
      </c>
      <c r="C1707">
        <f t="shared" si="31"/>
        <v>3.5</v>
      </c>
      <c r="M1707" s="34">
        <v>40861</v>
      </c>
      <c r="N1707">
        <v>4.3099999999999996</v>
      </c>
    </row>
    <row r="1708" spans="1:14" x14ac:dyDescent="0.2">
      <c r="A1708" s="34">
        <v>41633</v>
      </c>
      <c r="B1708">
        <v>5.0511049999999997</v>
      </c>
      <c r="C1708">
        <f t="shared" si="31"/>
        <v>3.52</v>
      </c>
      <c r="M1708" s="34">
        <v>40858</v>
      </c>
      <c r="N1708">
        <v>4.3499999999999996</v>
      </c>
    </row>
    <row r="1709" spans="1:14" x14ac:dyDescent="0.2">
      <c r="A1709" s="34">
        <v>41632</v>
      </c>
      <c r="B1709">
        <v>5.0510229999999998</v>
      </c>
      <c r="C1709">
        <f t="shared" si="31"/>
        <v>3.52</v>
      </c>
      <c r="M1709" s="34">
        <v>40857</v>
      </c>
      <c r="N1709">
        <v>4.3</v>
      </c>
    </row>
    <row r="1710" spans="1:14" x14ac:dyDescent="0.2">
      <c r="A1710" s="34">
        <v>41631</v>
      </c>
      <c r="B1710">
        <v>5.0509409999999999</v>
      </c>
      <c r="C1710">
        <f t="shared" si="31"/>
        <v>3.58</v>
      </c>
      <c r="M1710" s="34">
        <v>40856</v>
      </c>
      <c r="N1710">
        <v>4.3600000000000003</v>
      </c>
    </row>
    <row r="1711" spans="1:14" x14ac:dyDescent="0.2">
      <c r="A1711" s="34">
        <v>41630</v>
      </c>
      <c r="B1711">
        <v>5.050859</v>
      </c>
      <c r="C1711">
        <f t="shared" si="31"/>
        <v>3.5</v>
      </c>
      <c r="M1711" s="34">
        <v>40855</v>
      </c>
      <c r="N1711">
        <v>4.3600000000000003</v>
      </c>
    </row>
    <row r="1712" spans="1:14" x14ac:dyDescent="0.2">
      <c r="A1712" s="34">
        <v>41629</v>
      </c>
      <c r="B1712">
        <v>5.0507770000000001</v>
      </c>
      <c r="C1712">
        <f t="shared" si="31"/>
        <v>3.5</v>
      </c>
      <c r="M1712" s="34">
        <v>40854</v>
      </c>
      <c r="N1712">
        <v>4.4000000000000004</v>
      </c>
    </row>
    <row r="1713" spans="1:14" x14ac:dyDescent="0.2">
      <c r="A1713" s="34">
        <v>41628</v>
      </c>
      <c r="B1713">
        <v>5.0506950000000002</v>
      </c>
      <c r="C1713">
        <f t="shared" si="31"/>
        <v>3.5</v>
      </c>
      <c r="M1713" s="34">
        <v>40851</v>
      </c>
      <c r="N1713">
        <v>4.3600000000000003</v>
      </c>
    </row>
    <row r="1714" spans="1:14" x14ac:dyDescent="0.2">
      <c r="A1714" s="34">
        <v>41627</v>
      </c>
      <c r="B1714">
        <v>5.0506130000000002</v>
      </c>
      <c r="C1714">
        <f t="shared" si="31"/>
        <v>3.48</v>
      </c>
      <c r="M1714" s="34">
        <v>40850</v>
      </c>
      <c r="N1714">
        <v>4.34</v>
      </c>
    </row>
    <row r="1715" spans="1:14" x14ac:dyDescent="0.2">
      <c r="A1715" s="34">
        <v>41626</v>
      </c>
      <c r="B1715">
        <v>5.0505310000000003</v>
      </c>
      <c r="C1715">
        <f t="shared" si="31"/>
        <v>3.65</v>
      </c>
      <c r="M1715" s="34">
        <v>40848</v>
      </c>
      <c r="N1715">
        <v>4.4400000000000004</v>
      </c>
    </row>
    <row r="1716" spans="1:14" x14ac:dyDescent="0.2">
      <c r="A1716" s="34">
        <v>41625</v>
      </c>
      <c r="B1716">
        <v>5.0504490000000004</v>
      </c>
      <c r="C1716">
        <f t="shared" si="31"/>
        <v>3.5</v>
      </c>
      <c r="M1716" s="34">
        <v>40847</v>
      </c>
      <c r="N1716">
        <v>4.4000000000000004</v>
      </c>
    </row>
    <row r="1717" spans="1:14" x14ac:dyDescent="0.2">
      <c r="A1717" s="34">
        <v>41624</v>
      </c>
      <c r="B1717">
        <v>5.0503669999999996</v>
      </c>
      <c r="C1717">
        <f t="shared" si="31"/>
        <v>3.5</v>
      </c>
      <c r="M1717" s="34">
        <v>40844</v>
      </c>
      <c r="N1717">
        <v>4.45</v>
      </c>
    </row>
    <row r="1718" spans="1:14" x14ac:dyDescent="0.2">
      <c r="A1718" s="34">
        <v>41623</v>
      </c>
      <c r="B1718">
        <v>5.0502849999999997</v>
      </c>
      <c r="C1718">
        <f t="shared" si="31"/>
        <v>3.75</v>
      </c>
      <c r="M1718" s="34">
        <v>40843</v>
      </c>
      <c r="N1718">
        <v>4.4000000000000004</v>
      </c>
    </row>
    <row r="1719" spans="1:14" x14ac:dyDescent="0.2">
      <c r="A1719" s="34">
        <v>41622</v>
      </c>
      <c r="B1719">
        <v>5.0502029999999998</v>
      </c>
      <c r="C1719">
        <f t="shared" si="31"/>
        <v>3.75</v>
      </c>
      <c r="M1719" s="34">
        <v>40842</v>
      </c>
      <c r="N1719">
        <v>4.45</v>
      </c>
    </row>
    <row r="1720" spans="1:14" x14ac:dyDescent="0.2">
      <c r="A1720" s="34">
        <v>41621</v>
      </c>
      <c r="B1720">
        <v>5.0501209999999999</v>
      </c>
      <c r="C1720">
        <f t="shared" si="31"/>
        <v>3.75</v>
      </c>
      <c r="M1720" s="34">
        <v>40841</v>
      </c>
      <c r="N1720">
        <v>4.3499999999999996</v>
      </c>
    </row>
    <row r="1721" spans="1:14" x14ac:dyDescent="0.2">
      <c r="A1721" s="34">
        <v>41620</v>
      </c>
      <c r="B1721">
        <v>5.0500389999999999</v>
      </c>
      <c r="C1721">
        <f t="shared" si="31"/>
        <v>3.9</v>
      </c>
      <c r="M1721" s="34">
        <v>40840</v>
      </c>
      <c r="N1721">
        <v>4.3600000000000003</v>
      </c>
    </row>
    <row r="1722" spans="1:14" x14ac:dyDescent="0.2">
      <c r="A1722" s="34">
        <v>41619</v>
      </c>
      <c r="B1722">
        <v>5.049957</v>
      </c>
      <c r="C1722">
        <f t="shared" si="31"/>
        <v>3.9</v>
      </c>
      <c r="M1722" s="34">
        <v>40837</v>
      </c>
      <c r="N1722">
        <v>4.3</v>
      </c>
    </row>
    <row r="1723" spans="1:14" x14ac:dyDescent="0.2">
      <c r="A1723" s="34">
        <v>41618</v>
      </c>
      <c r="B1723">
        <v>5.0498750000000001</v>
      </c>
      <c r="C1723">
        <f t="shared" si="31"/>
        <v>3.52</v>
      </c>
      <c r="M1723" s="34">
        <v>40836</v>
      </c>
      <c r="N1723">
        <v>4.5</v>
      </c>
    </row>
    <row r="1724" spans="1:14" x14ac:dyDescent="0.2">
      <c r="A1724" s="34">
        <v>41617</v>
      </c>
      <c r="B1724">
        <v>5.0470240000000004</v>
      </c>
      <c r="C1724">
        <f t="shared" si="31"/>
        <v>3.62</v>
      </c>
      <c r="M1724" s="34">
        <v>40835</v>
      </c>
      <c r="N1724">
        <v>4.1500000000000004</v>
      </c>
    </row>
    <row r="1725" spans="1:14" x14ac:dyDescent="0.2">
      <c r="A1725" s="34">
        <v>41616</v>
      </c>
      <c r="B1725">
        <v>5.0441750000000001</v>
      </c>
      <c r="C1725">
        <f t="shared" si="31"/>
        <v>3.5</v>
      </c>
      <c r="M1725" s="34">
        <v>40834</v>
      </c>
      <c r="N1725">
        <v>4.33</v>
      </c>
    </row>
    <row r="1726" spans="1:14" x14ac:dyDescent="0.2">
      <c r="A1726" s="34">
        <v>41615</v>
      </c>
      <c r="B1726">
        <v>5.041328</v>
      </c>
      <c r="C1726">
        <f t="shared" si="31"/>
        <v>3.5</v>
      </c>
      <c r="M1726" s="34">
        <v>40833</v>
      </c>
      <c r="N1726">
        <v>4.32</v>
      </c>
    </row>
    <row r="1727" spans="1:14" x14ac:dyDescent="0.2">
      <c r="A1727" s="34">
        <v>41614</v>
      </c>
      <c r="B1727">
        <v>5.0384820000000001</v>
      </c>
      <c r="C1727">
        <f t="shared" si="31"/>
        <v>3.5</v>
      </c>
      <c r="M1727" s="34">
        <v>40830</v>
      </c>
      <c r="N1727">
        <v>4.34</v>
      </c>
    </row>
    <row r="1728" spans="1:14" x14ac:dyDescent="0.2">
      <c r="A1728" s="34">
        <v>41613</v>
      </c>
      <c r="B1728">
        <v>5.0356370000000004</v>
      </c>
      <c r="C1728">
        <f t="shared" si="31"/>
        <v>3.56</v>
      </c>
      <c r="M1728" s="34">
        <v>40829</v>
      </c>
      <c r="N1728">
        <v>4.3499999999999996</v>
      </c>
    </row>
    <row r="1729" spans="1:14" x14ac:dyDescent="0.2">
      <c r="A1729" s="34">
        <v>41612</v>
      </c>
      <c r="B1729">
        <v>5.0327950000000001</v>
      </c>
      <c r="C1729">
        <f t="shared" si="31"/>
        <v>3.53</v>
      </c>
      <c r="M1729" s="34">
        <v>40828</v>
      </c>
      <c r="N1729">
        <v>4.32</v>
      </c>
    </row>
    <row r="1730" spans="1:14" x14ac:dyDescent="0.2">
      <c r="A1730" s="34">
        <v>41611</v>
      </c>
      <c r="B1730">
        <v>5.029954</v>
      </c>
      <c r="C1730">
        <f t="shared" ref="C1730:C1793" si="32">IFERROR(VLOOKUP(A1730,$M$2:$N$3695,2,0),C1731)</f>
        <v>3.52</v>
      </c>
      <c r="M1730" s="34">
        <v>40827</v>
      </c>
      <c r="N1730">
        <v>4.3600000000000003</v>
      </c>
    </row>
    <row r="1731" spans="1:14" x14ac:dyDescent="0.2">
      <c r="A1731" s="34">
        <v>41610</v>
      </c>
      <c r="B1731">
        <v>5.0271140000000001</v>
      </c>
      <c r="C1731">
        <f t="shared" si="32"/>
        <v>3.51</v>
      </c>
      <c r="M1731" s="34">
        <v>40826</v>
      </c>
      <c r="N1731">
        <v>4.34</v>
      </c>
    </row>
    <row r="1732" spans="1:14" x14ac:dyDescent="0.2">
      <c r="A1732" s="34">
        <v>41609</v>
      </c>
      <c r="B1732">
        <v>5.0242769999999997</v>
      </c>
      <c r="C1732">
        <f t="shared" si="32"/>
        <v>3.55</v>
      </c>
      <c r="M1732" s="34">
        <v>40823</v>
      </c>
      <c r="N1732">
        <v>4.5</v>
      </c>
    </row>
    <row r="1733" spans="1:14" x14ac:dyDescent="0.2">
      <c r="A1733" s="34">
        <v>41608</v>
      </c>
      <c r="B1733">
        <v>5.0214400000000001</v>
      </c>
      <c r="C1733">
        <f t="shared" si="32"/>
        <v>3.55</v>
      </c>
      <c r="M1733" s="34">
        <v>40822</v>
      </c>
      <c r="N1733">
        <v>4.38</v>
      </c>
    </row>
    <row r="1734" spans="1:14" x14ac:dyDescent="0.2">
      <c r="A1734" s="34">
        <v>41607</v>
      </c>
      <c r="B1734">
        <v>5.0186060000000001</v>
      </c>
      <c r="C1734">
        <f t="shared" si="32"/>
        <v>3.55</v>
      </c>
      <c r="M1734" s="34">
        <v>40821</v>
      </c>
      <c r="N1734">
        <v>4.3899999999999997</v>
      </c>
    </row>
    <row r="1735" spans="1:14" x14ac:dyDescent="0.2">
      <c r="A1735" s="34">
        <v>41606</v>
      </c>
      <c r="B1735">
        <v>5.0157730000000003</v>
      </c>
      <c r="C1735">
        <f t="shared" si="32"/>
        <v>3.58</v>
      </c>
      <c r="M1735" s="34">
        <v>40820</v>
      </c>
      <c r="N1735">
        <v>4.38</v>
      </c>
    </row>
    <row r="1736" spans="1:14" x14ac:dyDescent="0.2">
      <c r="A1736" s="34">
        <v>41605</v>
      </c>
      <c r="B1736">
        <v>5.0129409999999996</v>
      </c>
      <c r="C1736">
        <f t="shared" si="32"/>
        <v>3.5</v>
      </c>
      <c r="M1736" s="34">
        <v>40819</v>
      </c>
      <c r="N1736">
        <v>4.3499999999999996</v>
      </c>
    </row>
    <row r="1737" spans="1:14" x14ac:dyDescent="0.2">
      <c r="A1737" s="34">
        <v>41604</v>
      </c>
      <c r="B1737">
        <v>5.0101110000000002</v>
      </c>
      <c r="C1737">
        <f t="shared" si="32"/>
        <v>3.53</v>
      </c>
      <c r="M1737" s="34">
        <v>40816</v>
      </c>
      <c r="N1737">
        <v>4.38</v>
      </c>
    </row>
    <row r="1738" spans="1:14" x14ac:dyDescent="0.2">
      <c r="A1738" s="34">
        <v>41603</v>
      </c>
      <c r="B1738">
        <v>5.0072830000000002</v>
      </c>
      <c r="C1738">
        <f t="shared" si="32"/>
        <v>3.47</v>
      </c>
      <c r="M1738" s="34">
        <v>40815</v>
      </c>
      <c r="N1738">
        <v>4.4000000000000004</v>
      </c>
    </row>
    <row r="1739" spans="1:14" x14ac:dyDescent="0.2">
      <c r="A1739" s="34">
        <v>41602</v>
      </c>
      <c r="B1739">
        <v>5.0068270000000004</v>
      </c>
      <c r="C1739">
        <f t="shared" si="32"/>
        <v>3.45</v>
      </c>
      <c r="M1739" s="34">
        <v>40814</v>
      </c>
      <c r="N1739">
        <v>4.3600000000000003</v>
      </c>
    </row>
    <row r="1740" spans="1:14" x14ac:dyDescent="0.2">
      <c r="A1740" s="34">
        <v>41601</v>
      </c>
      <c r="B1740">
        <v>5.0063719999999998</v>
      </c>
      <c r="C1740">
        <f t="shared" si="32"/>
        <v>3.45</v>
      </c>
      <c r="M1740" s="34">
        <v>40813</v>
      </c>
      <c r="N1740">
        <v>4.3</v>
      </c>
    </row>
    <row r="1741" spans="1:14" x14ac:dyDescent="0.2">
      <c r="A1741" s="34">
        <v>41600</v>
      </c>
      <c r="B1741">
        <v>5.005916</v>
      </c>
      <c r="C1741">
        <f t="shared" si="32"/>
        <v>3.45</v>
      </c>
      <c r="M1741" s="34">
        <v>40812</v>
      </c>
      <c r="N1741">
        <v>4.3499999999999996</v>
      </c>
    </row>
    <row r="1742" spans="1:14" x14ac:dyDescent="0.2">
      <c r="A1742" s="34">
        <v>41599</v>
      </c>
      <c r="B1742">
        <v>5.0054600000000002</v>
      </c>
      <c r="C1742">
        <f t="shared" si="32"/>
        <v>3.47</v>
      </c>
      <c r="M1742" s="34">
        <v>40809</v>
      </c>
      <c r="N1742">
        <v>4.5</v>
      </c>
    </row>
    <row r="1743" spans="1:14" x14ac:dyDescent="0.2">
      <c r="A1743" s="34">
        <v>41598</v>
      </c>
      <c r="B1743">
        <v>5.0050039999999996</v>
      </c>
      <c r="C1743">
        <f t="shared" si="32"/>
        <v>3.5</v>
      </c>
      <c r="M1743" s="34">
        <v>40808</v>
      </c>
      <c r="N1743">
        <v>4.4400000000000004</v>
      </c>
    </row>
    <row r="1744" spans="1:14" x14ac:dyDescent="0.2">
      <c r="A1744" s="34">
        <v>41597</v>
      </c>
      <c r="B1744">
        <v>5.0045489999999999</v>
      </c>
      <c r="C1744">
        <f t="shared" si="32"/>
        <v>3.59</v>
      </c>
      <c r="M1744" s="34">
        <v>40807</v>
      </c>
      <c r="N1744">
        <v>4.43</v>
      </c>
    </row>
    <row r="1745" spans="1:14" x14ac:dyDescent="0.2">
      <c r="A1745" s="34">
        <v>41596</v>
      </c>
      <c r="B1745">
        <v>5.0040930000000001</v>
      </c>
      <c r="C1745">
        <f t="shared" si="32"/>
        <v>3.59</v>
      </c>
      <c r="M1745" s="34">
        <v>40806</v>
      </c>
      <c r="N1745">
        <v>4.4800000000000004</v>
      </c>
    </row>
    <row r="1746" spans="1:14" x14ac:dyDescent="0.2">
      <c r="A1746" s="34">
        <v>41595</v>
      </c>
      <c r="B1746">
        <v>5.0036379999999996</v>
      </c>
      <c r="C1746">
        <f t="shared" si="32"/>
        <v>3.59</v>
      </c>
      <c r="M1746" s="34">
        <v>40805</v>
      </c>
      <c r="N1746">
        <v>4.33</v>
      </c>
    </row>
    <row r="1747" spans="1:14" x14ac:dyDescent="0.2">
      <c r="A1747" s="34">
        <v>41594</v>
      </c>
      <c r="B1747">
        <v>5.0031819999999998</v>
      </c>
      <c r="C1747">
        <f t="shared" si="32"/>
        <v>3.59</v>
      </c>
      <c r="M1747" s="34">
        <v>40801</v>
      </c>
      <c r="N1747">
        <v>4.28</v>
      </c>
    </row>
    <row r="1748" spans="1:14" x14ac:dyDescent="0.2">
      <c r="A1748" s="34">
        <v>41593</v>
      </c>
      <c r="B1748">
        <v>5.0027270000000001</v>
      </c>
      <c r="C1748">
        <f t="shared" si="32"/>
        <v>3.59</v>
      </c>
      <c r="M1748" s="34">
        <v>40800</v>
      </c>
      <c r="N1748">
        <v>4.2699999999999996</v>
      </c>
    </row>
    <row r="1749" spans="1:14" x14ac:dyDescent="0.2">
      <c r="A1749" s="34">
        <v>41592</v>
      </c>
      <c r="B1749">
        <v>5.0022710000000004</v>
      </c>
      <c r="C1749">
        <f t="shared" si="32"/>
        <v>3.55</v>
      </c>
      <c r="M1749" s="34">
        <v>40799</v>
      </c>
      <c r="N1749">
        <v>4.32</v>
      </c>
    </row>
    <row r="1750" spans="1:14" x14ac:dyDescent="0.2">
      <c r="A1750" s="34">
        <v>41591</v>
      </c>
      <c r="B1750">
        <v>5.0018159999999998</v>
      </c>
      <c r="C1750">
        <f t="shared" si="32"/>
        <v>3.5</v>
      </c>
      <c r="M1750" s="34">
        <v>40798</v>
      </c>
      <c r="N1750">
        <v>4.34</v>
      </c>
    </row>
    <row r="1751" spans="1:14" x14ac:dyDescent="0.2">
      <c r="A1751" s="34">
        <v>41590</v>
      </c>
      <c r="B1751">
        <v>5.0013610000000002</v>
      </c>
      <c r="C1751">
        <f t="shared" si="32"/>
        <v>3.55</v>
      </c>
      <c r="M1751" s="34">
        <v>40795</v>
      </c>
      <c r="N1751">
        <v>4.33</v>
      </c>
    </row>
    <row r="1752" spans="1:14" x14ac:dyDescent="0.2">
      <c r="A1752" s="34">
        <v>41589</v>
      </c>
      <c r="B1752">
        <v>5.0009050000000004</v>
      </c>
      <c r="C1752">
        <f t="shared" si="32"/>
        <v>3.57</v>
      </c>
      <c r="M1752" s="34">
        <v>40794</v>
      </c>
      <c r="N1752">
        <v>4.33</v>
      </c>
    </row>
    <row r="1753" spans="1:14" x14ac:dyDescent="0.2">
      <c r="A1753" s="34">
        <v>41588</v>
      </c>
      <c r="B1753">
        <v>5.0004499999999998</v>
      </c>
      <c r="C1753">
        <f t="shared" si="32"/>
        <v>3.5</v>
      </c>
      <c r="M1753" s="34">
        <v>40793</v>
      </c>
      <c r="N1753">
        <v>4.28</v>
      </c>
    </row>
    <row r="1754" spans="1:14" x14ac:dyDescent="0.2">
      <c r="A1754" s="34">
        <v>41587</v>
      </c>
      <c r="B1754">
        <v>4.9991979999999998</v>
      </c>
      <c r="C1754">
        <f t="shared" si="32"/>
        <v>3.5</v>
      </c>
      <c r="M1754" s="34">
        <v>40792</v>
      </c>
      <c r="N1754">
        <v>4.34</v>
      </c>
    </row>
    <row r="1755" spans="1:14" x14ac:dyDescent="0.2">
      <c r="A1755" s="34">
        <v>41586</v>
      </c>
      <c r="B1755">
        <v>4.9979459999999998</v>
      </c>
      <c r="C1755">
        <f t="shared" si="32"/>
        <v>3.5</v>
      </c>
      <c r="M1755" s="34">
        <v>40791</v>
      </c>
      <c r="N1755">
        <v>4.3899999999999997</v>
      </c>
    </row>
    <row r="1756" spans="1:14" x14ac:dyDescent="0.2">
      <c r="A1756" s="34">
        <v>41585</v>
      </c>
      <c r="B1756">
        <v>4.9966949999999999</v>
      </c>
      <c r="C1756">
        <f t="shared" si="32"/>
        <v>3.54</v>
      </c>
      <c r="M1756" s="34">
        <v>40788</v>
      </c>
      <c r="N1756">
        <v>4.3499999999999996</v>
      </c>
    </row>
    <row r="1757" spans="1:14" x14ac:dyDescent="0.2">
      <c r="A1757" s="34">
        <v>41584</v>
      </c>
      <c r="B1757">
        <v>4.9954429999999999</v>
      </c>
      <c r="C1757">
        <f t="shared" si="32"/>
        <v>3.51</v>
      </c>
      <c r="M1757" s="34">
        <v>40787</v>
      </c>
      <c r="N1757">
        <v>4.33</v>
      </c>
    </row>
    <row r="1758" spans="1:14" x14ac:dyDescent="0.2">
      <c r="A1758" s="34">
        <v>41583</v>
      </c>
      <c r="B1758">
        <v>4.994192</v>
      </c>
      <c r="C1758">
        <f t="shared" si="32"/>
        <v>3.54</v>
      </c>
      <c r="M1758" s="34">
        <v>40786</v>
      </c>
      <c r="N1758">
        <v>4.3499999999999996</v>
      </c>
    </row>
    <row r="1759" spans="1:14" x14ac:dyDescent="0.2">
      <c r="A1759" s="34">
        <v>41582</v>
      </c>
      <c r="B1759">
        <v>4.9929420000000002</v>
      </c>
      <c r="C1759">
        <f t="shared" si="32"/>
        <v>3.52</v>
      </c>
      <c r="M1759" s="34">
        <v>40785</v>
      </c>
      <c r="N1759">
        <v>4.37</v>
      </c>
    </row>
    <row r="1760" spans="1:14" x14ac:dyDescent="0.2">
      <c r="A1760" s="34">
        <v>41581</v>
      </c>
      <c r="B1760">
        <v>4.9916910000000003</v>
      </c>
      <c r="C1760">
        <f t="shared" si="32"/>
        <v>3.52</v>
      </c>
      <c r="M1760" s="34">
        <v>40784</v>
      </c>
      <c r="N1760">
        <v>4.4000000000000004</v>
      </c>
    </row>
    <row r="1761" spans="1:14" x14ac:dyDescent="0.2">
      <c r="A1761" s="34">
        <v>41580</v>
      </c>
      <c r="B1761">
        <v>4.9904409999999997</v>
      </c>
      <c r="C1761">
        <f t="shared" si="32"/>
        <v>3.52</v>
      </c>
      <c r="M1761" s="34">
        <v>40781</v>
      </c>
      <c r="N1761">
        <v>4.42</v>
      </c>
    </row>
    <row r="1762" spans="1:14" x14ac:dyDescent="0.2">
      <c r="A1762" s="34">
        <v>41579</v>
      </c>
      <c r="B1762">
        <v>4.9891920000000001</v>
      </c>
      <c r="C1762">
        <f t="shared" si="32"/>
        <v>3.52</v>
      </c>
      <c r="M1762" s="34">
        <v>40780</v>
      </c>
      <c r="N1762">
        <v>4.3600000000000003</v>
      </c>
    </row>
    <row r="1763" spans="1:14" x14ac:dyDescent="0.2">
      <c r="A1763" s="34">
        <v>41578</v>
      </c>
      <c r="B1763">
        <v>4.9879420000000003</v>
      </c>
      <c r="C1763">
        <f t="shared" si="32"/>
        <v>3.5</v>
      </c>
      <c r="M1763" s="34">
        <v>40779</v>
      </c>
      <c r="N1763">
        <v>4.4000000000000004</v>
      </c>
    </row>
    <row r="1764" spans="1:14" x14ac:dyDescent="0.2">
      <c r="A1764" s="34">
        <v>41577</v>
      </c>
      <c r="B1764">
        <v>4.9866929999999998</v>
      </c>
      <c r="C1764">
        <f t="shared" si="32"/>
        <v>3.52</v>
      </c>
      <c r="M1764" s="34">
        <v>40778</v>
      </c>
      <c r="N1764">
        <v>4.42</v>
      </c>
    </row>
    <row r="1765" spans="1:14" x14ac:dyDescent="0.2">
      <c r="A1765" s="34">
        <v>41576</v>
      </c>
      <c r="B1765">
        <v>4.9854440000000002</v>
      </c>
      <c r="C1765">
        <f t="shared" si="32"/>
        <v>3.54</v>
      </c>
      <c r="M1765" s="34">
        <v>40777</v>
      </c>
      <c r="N1765">
        <v>4.4400000000000004</v>
      </c>
    </row>
    <row r="1766" spans="1:14" x14ac:dyDescent="0.2">
      <c r="A1766" s="34">
        <v>41575</v>
      </c>
      <c r="B1766">
        <v>4.9841959999999998</v>
      </c>
      <c r="C1766">
        <f t="shared" si="32"/>
        <v>3.5</v>
      </c>
      <c r="M1766" s="34">
        <v>40774</v>
      </c>
      <c r="N1766">
        <v>4.4800000000000004</v>
      </c>
    </row>
    <row r="1767" spans="1:14" x14ac:dyDescent="0.2">
      <c r="A1767" s="34">
        <v>41574</v>
      </c>
      <c r="B1767">
        <v>4.9829480000000004</v>
      </c>
      <c r="C1767">
        <f t="shared" si="32"/>
        <v>3.53</v>
      </c>
      <c r="M1767" s="34">
        <v>40773</v>
      </c>
      <c r="N1767">
        <v>4.4400000000000004</v>
      </c>
    </row>
    <row r="1768" spans="1:14" x14ac:dyDescent="0.2">
      <c r="A1768" s="34">
        <v>41573</v>
      </c>
      <c r="B1768">
        <v>4.9817</v>
      </c>
      <c r="C1768">
        <f t="shared" si="32"/>
        <v>3.53</v>
      </c>
      <c r="M1768" s="34">
        <v>40772</v>
      </c>
      <c r="N1768">
        <v>4.4400000000000004</v>
      </c>
    </row>
    <row r="1769" spans="1:14" x14ac:dyDescent="0.2">
      <c r="A1769" s="34">
        <v>41572</v>
      </c>
      <c r="B1769">
        <v>4.9804529999999998</v>
      </c>
      <c r="C1769">
        <f t="shared" si="32"/>
        <v>3.53</v>
      </c>
      <c r="M1769" s="34">
        <v>40771</v>
      </c>
      <c r="N1769">
        <v>4.4400000000000004</v>
      </c>
    </row>
    <row r="1770" spans="1:14" x14ac:dyDescent="0.2">
      <c r="A1770" s="34">
        <v>41571</v>
      </c>
      <c r="B1770">
        <v>4.9804190000000004</v>
      </c>
      <c r="C1770">
        <f t="shared" si="32"/>
        <v>3.74</v>
      </c>
      <c r="M1770" s="34">
        <v>40770</v>
      </c>
      <c r="N1770">
        <v>4.5</v>
      </c>
    </row>
    <row r="1771" spans="1:14" x14ac:dyDescent="0.2">
      <c r="A1771" s="34">
        <v>41570</v>
      </c>
      <c r="B1771">
        <v>4.9803860000000002</v>
      </c>
      <c r="C1771">
        <f t="shared" si="32"/>
        <v>3.76</v>
      </c>
      <c r="M1771" s="34">
        <v>40767</v>
      </c>
      <c r="N1771">
        <v>4.3</v>
      </c>
    </row>
    <row r="1772" spans="1:14" x14ac:dyDescent="0.2">
      <c r="A1772" s="34">
        <v>41569</v>
      </c>
      <c r="B1772">
        <v>4.9803519999999999</v>
      </c>
      <c r="C1772">
        <f t="shared" si="32"/>
        <v>3.75</v>
      </c>
      <c r="M1772" s="34">
        <v>40766</v>
      </c>
      <c r="N1772">
        <v>4.43</v>
      </c>
    </row>
    <row r="1773" spans="1:14" x14ac:dyDescent="0.2">
      <c r="A1773" s="34">
        <v>41568</v>
      </c>
      <c r="B1773">
        <v>4.9803189999999997</v>
      </c>
      <c r="C1773">
        <f t="shared" si="32"/>
        <v>3.78</v>
      </c>
      <c r="M1773" s="34">
        <v>40765</v>
      </c>
      <c r="N1773">
        <v>4.45</v>
      </c>
    </row>
    <row r="1774" spans="1:14" x14ac:dyDescent="0.2">
      <c r="A1774" s="34">
        <v>41567</v>
      </c>
      <c r="B1774">
        <v>4.9802860000000004</v>
      </c>
      <c r="C1774">
        <f t="shared" si="32"/>
        <v>3.78</v>
      </c>
      <c r="M1774" s="34">
        <v>40764</v>
      </c>
      <c r="N1774">
        <v>4.43</v>
      </c>
    </row>
    <row r="1775" spans="1:14" x14ac:dyDescent="0.2">
      <c r="A1775" s="34">
        <v>41566</v>
      </c>
      <c r="B1775">
        <v>4.9802520000000001</v>
      </c>
      <c r="C1775">
        <f t="shared" si="32"/>
        <v>3.78</v>
      </c>
      <c r="M1775" s="34">
        <v>40763</v>
      </c>
      <c r="N1775">
        <v>4.45</v>
      </c>
    </row>
    <row r="1776" spans="1:14" x14ac:dyDescent="0.2">
      <c r="A1776" s="34">
        <v>41565</v>
      </c>
      <c r="B1776">
        <v>4.980219</v>
      </c>
      <c r="C1776">
        <f t="shared" si="32"/>
        <v>3.78</v>
      </c>
      <c r="M1776" s="34">
        <v>40760</v>
      </c>
      <c r="N1776">
        <v>4.45</v>
      </c>
    </row>
    <row r="1777" spans="1:14" x14ac:dyDescent="0.2">
      <c r="A1777" s="34">
        <v>41564</v>
      </c>
      <c r="B1777">
        <v>4.9801849999999996</v>
      </c>
      <c r="C1777">
        <f t="shared" si="32"/>
        <v>3.74</v>
      </c>
      <c r="M1777" s="34">
        <v>40759</v>
      </c>
      <c r="N1777">
        <v>4.43</v>
      </c>
    </row>
    <row r="1778" spans="1:14" x14ac:dyDescent="0.2">
      <c r="A1778" s="34">
        <v>41563</v>
      </c>
      <c r="B1778">
        <v>4.9801520000000004</v>
      </c>
      <c r="C1778">
        <f t="shared" si="32"/>
        <v>3.8</v>
      </c>
      <c r="M1778" s="34">
        <v>40758</v>
      </c>
      <c r="N1778">
        <v>4.4400000000000004</v>
      </c>
    </row>
    <row r="1779" spans="1:14" x14ac:dyDescent="0.2">
      <c r="A1779" s="34">
        <v>41562</v>
      </c>
      <c r="B1779">
        <v>4.9801190000000002</v>
      </c>
      <c r="C1779">
        <f t="shared" si="32"/>
        <v>3.75</v>
      </c>
      <c r="M1779" s="34">
        <v>40757</v>
      </c>
      <c r="N1779">
        <v>4.43</v>
      </c>
    </row>
    <row r="1780" spans="1:14" x14ac:dyDescent="0.2">
      <c r="A1780" s="34">
        <v>41561</v>
      </c>
      <c r="B1780">
        <v>4.9800849999999999</v>
      </c>
      <c r="C1780">
        <f t="shared" si="32"/>
        <v>3.78</v>
      </c>
      <c r="M1780" s="34">
        <v>40756</v>
      </c>
      <c r="N1780">
        <v>4.45</v>
      </c>
    </row>
    <row r="1781" spans="1:14" x14ac:dyDescent="0.2">
      <c r="A1781" s="34">
        <v>41560</v>
      </c>
      <c r="B1781">
        <v>4.9800519999999997</v>
      </c>
      <c r="C1781">
        <f t="shared" si="32"/>
        <v>3.76</v>
      </c>
      <c r="M1781" s="34">
        <v>40753</v>
      </c>
      <c r="N1781">
        <v>4.45</v>
      </c>
    </row>
    <row r="1782" spans="1:14" x14ac:dyDescent="0.2">
      <c r="A1782" s="34">
        <v>41559</v>
      </c>
      <c r="B1782">
        <v>4.9800180000000003</v>
      </c>
      <c r="C1782">
        <f t="shared" si="32"/>
        <v>3.76</v>
      </c>
      <c r="M1782" s="34">
        <v>40752</v>
      </c>
      <c r="N1782">
        <v>4.3499999999999996</v>
      </c>
    </row>
    <row r="1783" spans="1:14" x14ac:dyDescent="0.2">
      <c r="A1783" s="34">
        <v>41558</v>
      </c>
      <c r="B1783">
        <v>4.9799850000000001</v>
      </c>
      <c r="C1783">
        <f t="shared" si="32"/>
        <v>3.76</v>
      </c>
      <c r="M1783" s="34">
        <v>40751</v>
      </c>
      <c r="N1783">
        <v>4.38</v>
      </c>
    </row>
    <row r="1784" spans="1:14" x14ac:dyDescent="0.2">
      <c r="A1784" s="34">
        <v>41557</v>
      </c>
      <c r="B1784">
        <v>4.9799519999999999</v>
      </c>
      <c r="C1784">
        <f t="shared" si="32"/>
        <v>3.75</v>
      </c>
      <c r="M1784" s="34">
        <v>40750</v>
      </c>
      <c r="N1784">
        <v>4.45</v>
      </c>
    </row>
    <row r="1785" spans="1:14" x14ac:dyDescent="0.2">
      <c r="A1785" s="34">
        <v>41556</v>
      </c>
      <c r="B1785">
        <v>4.9788319999999997</v>
      </c>
      <c r="C1785">
        <f t="shared" si="32"/>
        <v>3.76</v>
      </c>
      <c r="M1785" s="34">
        <v>40749</v>
      </c>
      <c r="N1785">
        <v>4.46</v>
      </c>
    </row>
    <row r="1786" spans="1:14" x14ac:dyDescent="0.2">
      <c r="A1786" s="34">
        <v>41555</v>
      </c>
      <c r="B1786">
        <v>4.9777129999999996</v>
      </c>
      <c r="C1786">
        <f t="shared" si="32"/>
        <v>3.8</v>
      </c>
      <c r="M1786" s="34">
        <v>40746</v>
      </c>
      <c r="N1786">
        <v>4.46</v>
      </c>
    </row>
    <row r="1787" spans="1:14" x14ac:dyDescent="0.2">
      <c r="A1787" s="34">
        <v>41554</v>
      </c>
      <c r="B1787">
        <v>4.9765940000000004</v>
      </c>
      <c r="C1787">
        <f t="shared" si="32"/>
        <v>3.65</v>
      </c>
      <c r="M1787" s="34">
        <v>40745</v>
      </c>
      <c r="N1787">
        <v>4.45</v>
      </c>
    </row>
    <row r="1788" spans="1:14" x14ac:dyDescent="0.2">
      <c r="A1788" s="34">
        <v>41553</v>
      </c>
      <c r="B1788">
        <v>4.9754759999999996</v>
      </c>
      <c r="C1788">
        <f t="shared" si="32"/>
        <v>3.75</v>
      </c>
      <c r="M1788" s="34">
        <v>40744</v>
      </c>
      <c r="N1788">
        <v>4.5</v>
      </c>
    </row>
    <row r="1789" spans="1:14" x14ac:dyDescent="0.2">
      <c r="A1789" s="34">
        <v>41552</v>
      </c>
      <c r="B1789">
        <v>4.9743570000000004</v>
      </c>
      <c r="C1789">
        <f t="shared" si="32"/>
        <v>3.75</v>
      </c>
      <c r="M1789" s="34">
        <v>40743</v>
      </c>
      <c r="N1789">
        <v>4.49</v>
      </c>
    </row>
    <row r="1790" spans="1:14" x14ac:dyDescent="0.2">
      <c r="A1790" s="34">
        <v>41551</v>
      </c>
      <c r="B1790">
        <v>4.9732390000000004</v>
      </c>
      <c r="C1790">
        <f t="shared" si="32"/>
        <v>3.75</v>
      </c>
      <c r="M1790" s="34">
        <v>40742</v>
      </c>
      <c r="N1790">
        <v>4.4800000000000004</v>
      </c>
    </row>
    <row r="1791" spans="1:14" x14ac:dyDescent="0.2">
      <c r="A1791" s="34">
        <v>41550</v>
      </c>
      <c r="B1791">
        <v>4.9721219999999997</v>
      </c>
      <c r="C1791">
        <f t="shared" si="32"/>
        <v>3.77</v>
      </c>
      <c r="M1791" s="34">
        <v>40739</v>
      </c>
      <c r="N1791">
        <v>4.5</v>
      </c>
    </row>
    <row r="1792" spans="1:14" x14ac:dyDescent="0.2">
      <c r="A1792" s="34">
        <v>41549</v>
      </c>
      <c r="B1792">
        <v>4.9710039999999998</v>
      </c>
      <c r="C1792">
        <f t="shared" si="32"/>
        <v>3.7</v>
      </c>
      <c r="M1792" s="34">
        <v>40738</v>
      </c>
      <c r="N1792">
        <v>4.49</v>
      </c>
    </row>
    <row r="1793" spans="1:14" x14ac:dyDescent="0.2">
      <c r="A1793" s="34">
        <v>41548</v>
      </c>
      <c r="B1793">
        <v>4.9698869999999999</v>
      </c>
      <c r="C1793">
        <f t="shared" si="32"/>
        <v>3.75</v>
      </c>
      <c r="M1793" s="34">
        <v>40737</v>
      </c>
      <c r="N1793">
        <v>4.4800000000000004</v>
      </c>
    </row>
    <row r="1794" spans="1:14" x14ac:dyDescent="0.2">
      <c r="A1794" s="34">
        <v>41547</v>
      </c>
      <c r="B1794">
        <v>4.9687700000000001</v>
      </c>
      <c r="C1794">
        <f t="shared" ref="C1794:C1857" si="33">IFERROR(VLOOKUP(A1794,$M$2:$N$3695,2,0),C1795)</f>
        <v>3.82</v>
      </c>
      <c r="M1794" s="34">
        <v>40736</v>
      </c>
      <c r="N1794">
        <v>4.45</v>
      </c>
    </row>
    <row r="1795" spans="1:14" x14ac:dyDescent="0.2">
      <c r="A1795" s="34">
        <v>41546</v>
      </c>
      <c r="B1795">
        <v>4.9676530000000003</v>
      </c>
      <c r="C1795">
        <f t="shared" si="33"/>
        <v>3.6</v>
      </c>
      <c r="M1795" s="34">
        <v>40735</v>
      </c>
      <c r="N1795">
        <v>4.47</v>
      </c>
    </row>
    <row r="1796" spans="1:14" x14ac:dyDescent="0.2">
      <c r="A1796" s="34">
        <v>41545</v>
      </c>
      <c r="B1796">
        <v>4.9665359999999996</v>
      </c>
      <c r="C1796">
        <f t="shared" si="33"/>
        <v>3.6</v>
      </c>
      <c r="M1796" s="34">
        <v>40732</v>
      </c>
      <c r="N1796">
        <v>4.5</v>
      </c>
    </row>
    <row r="1797" spans="1:14" x14ac:dyDescent="0.2">
      <c r="A1797" s="34">
        <v>41544</v>
      </c>
      <c r="B1797">
        <v>4.9654199999999999</v>
      </c>
      <c r="C1797">
        <f t="shared" si="33"/>
        <v>3.6</v>
      </c>
      <c r="M1797" s="34">
        <v>40731</v>
      </c>
      <c r="N1797">
        <v>4.45</v>
      </c>
    </row>
    <row r="1798" spans="1:14" x14ac:dyDescent="0.2">
      <c r="A1798" s="34">
        <v>41543</v>
      </c>
      <c r="B1798">
        <v>4.9643040000000003</v>
      </c>
      <c r="C1798">
        <f t="shared" si="33"/>
        <v>3.75</v>
      </c>
      <c r="M1798" s="34">
        <v>40730</v>
      </c>
      <c r="N1798">
        <v>4.47</v>
      </c>
    </row>
    <row r="1799" spans="1:14" x14ac:dyDescent="0.2">
      <c r="A1799" s="34">
        <v>41542</v>
      </c>
      <c r="B1799">
        <v>4.9631879999999997</v>
      </c>
      <c r="C1799">
        <f t="shared" si="33"/>
        <v>3.75</v>
      </c>
      <c r="M1799" s="34">
        <v>40729</v>
      </c>
      <c r="N1799">
        <v>4.47</v>
      </c>
    </row>
    <row r="1800" spans="1:14" x14ac:dyDescent="0.2">
      <c r="A1800" s="34">
        <v>41541</v>
      </c>
      <c r="B1800">
        <v>4.9629630000000002</v>
      </c>
      <c r="C1800">
        <f t="shared" si="33"/>
        <v>3.9</v>
      </c>
      <c r="M1800" s="34">
        <v>40728</v>
      </c>
      <c r="N1800">
        <v>4.3</v>
      </c>
    </row>
    <row r="1801" spans="1:14" x14ac:dyDescent="0.2">
      <c r="A1801" s="34">
        <v>41540</v>
      </c>
      <c r="B1801">
        <v>4.962739</v>
      </c>
      <c r="C1801">
        <f t="shared" si="33"/>
        <v>3.76</v>
      </c>
      <c r="M1801" s="34">
        <v>40725</v>
      </c>
      <c r="N1801">
        <v>4.47</v>
      </c>
    </row>
    <row r="1802" spans="1:14" x14ac:dyDescent="0.2">
      <c r="A1802" s="34">
        <v>41539</v>
      </c>
      <c r="B1802">
        <v>4.9625139999999996</v>
      </c>
      <c r="C1802">
        <f t="shared" si="33"/>
        <v>3.7</v>
      </c>
      <c r="M1802" s="34">
        <v>40724</v>
      </c>
      <c r="N1802">
        <v>4.4800000000000004</v>
      </c>
    </row>
    <row r="1803" spans="1:14" x14ac:dyDescent="0.2">
      <c r="A1803" s="34">
        <v>41538</v>
      </c>
      <c r="B1803">
        <v>4.9622890000000002</v>
      </c>
      <c r="C1803">
        <f t="shared" si="33"/>
        <v>3.7</v>
      </c>
      <c r="M1803" s="34">
        <v>40723</v>
      </c>
      <c r="N1803">
        <v>4.45</v>
      </c>
    </row>
    <row r="1804" spans="1:14" x14ac:dyDescent="0.2">
      <c r="A1804" s="34">
        <v>41537</v>
      </c>
      <c r="B1804">
        <v>4.9620639999999998</v>
      </c>
      <c r="C1804">
        <f t="shared" si="33"/>
        <v>3.7</v>
      </c>
      <c r="M1804" s="34">
        <v>40722</v>
      </c>
      <c r="N1804">
        <v>4.45</v>
      </c>
    </row>
    <row r="1805" spans="1:14" x14ac:dyDescent="0.2">
      <c r="A1805" s="34">
        <v>41536</v>
      </c>
      <c r="B1805">
        <v>4.9618399999999996</v>
      </c>
      <c r="C1805">
        <f t="shared" si="33"/>
        <v>3.73</v>
      </c>
      <c r="M1805" s="34">
        <v>40721</v>
      </c>
      <c r="N1805">
        <v>4.47</v>
      </c>
    </row>
    <row r="1806" spans="1:14" x14ac:dyDescent="0.2">
      <c r="A1806" s="34">
        <v>41535</v>
      </c>
      <c r="B1806">
        <v>4.9616150000000001</v>
      </c>
      <c r="C1806">
        <f t="shared" si="33"/>
        <v>3.68</v>
      </c>
      <c r="M1806" s="34">
        <v>40718</v>
      </c>
      <c r="N1806">
        <v>4.45</v>
      </c>
    </row>
    <row r="1807" spans="1:14" x14ac:dyDescent="0.2">
      <c r="A1807" s="34">
        <v>41534</v>
      </c>
      <c r="B1807">
        <v>4.9613899999999997</v>
      </c>
      <c r="C1807">
        <f t="shared" si="33"/>
        <v>3.75</v>
      </c>
      <c r="M1807" s="34">
        <v>40717</v>
      </c>
      <c r="N1807">
        <v>4.4800000000000004</v>
      </c>
    </row>
    <row r="1808" spans="1:14" x14ac:dyDescent="0.2">
      <c r="A1808" s="34">
        <v>41533</v>
      </c>
      <c r="B1808">
        <v>4.9611650000000003</v>
      </c>
      <c r="C1808">
        <f t="shared" si="33"/>
        <v>3.76</v>
      </c>
      <c r="M1808" s="34">
        <v>40716</v>
      </c>
      <c r="N1808">
        <v>4.4000000000000004</v>
      </c>
    </row>
    <row r="1809" spans="1:14" x14ac:dyDescent="0.2">
      <c r="A1809" s="34">
        <v>41532</v>
      </c>
      <c r="B1809">
        <v>4.960941</v>
      </c>
      <c r="C1809">
        <f t="shared" si="33"/>
        <v>3.76</v>
      </c>
      <c r="M1809" s="34">
        <v>40715</v>
      </c>
      <c r="N1809">
        <v>4.4800000000000004</v>
      </c>
    </row>
    <row r="1810" spans="1:14" x14ac:dyDescent="0.2">
      <c r="A1810" s="34">
        <v>41531</v>
      </c>
      <c r="B1810">
        <v>4.9607159999999997</v>
      </c>
      <c r="C1810">
        <f t="shared" si="33"/>
        <v>3.76</v>
      </c>
      <c r="M1810" s="34">
        <v>40714</v>
      </c>
      <c r="N1810">
        <v>4.47</v>
      </c>
    </row>
    <row r="1811" spans="1:14" x14ac:dyDescent="0.2">
      <c r="A1811" s="34">
        <v>41530</v>
      </c>
      <c r="B1811">
        <v>4.9604910000000002</v>
      </c>
      <c r="C1811">
        <f t="shared" si="33"/>
        <v>3.76</v>
      </c>
      <c r="M1811" s="34">
        <v>40711</v>
      </c>
      <c r="N1811">
        <v>4.54</v>
      </c>
    </row>
    <row r="1812" spans="1:14" x14ac:dyDescent="0.2">
      <c r="A1812" s="34">
        <v>41529</v>
      </c>
      <c r="B1812">
        <v>4.960267</v>
      </c>
      <c r="C1812">
        <f t="shared" si="33"/>
        <v>3.76</v>
      </c>
      <c r="M1812" s="34">
        <v>40710</v>
      </c>
      <c r="N1812">
        <v>4.5599999999999996</v>
      </c>
    </row>
    <row r="1813" spans="1:14" x14ac:dyDescent="0.2">
      <c r="A1813" s="34">
        <v>41528</v>
      </c>
      <c r="B1813">
        <v>4.9600419999999996</v>
      </c>
      <c r="C1813">
        <f t="shared" si="33"/>
        <v>3.75</v>
      </c>
      <c r="M1813" s="34">
        <v>40709</v>
      </c>
      <c r="N1813">
        <v>4.55</v>
      </c>
    </row>
    <row r="1814" spans="1:14" x14ac:dyDescent="0.2">
      <c r="A1814" s="34">
        <v>41527</v>
      </c>
      <c r="B1814">
        <v>4.9598170000000001</v>
      </c>
      <c r="C1814">
        <f t="shared" si="33"/>
        <v>3.8</v>
      </c>
      <c r="M1814" s="34">
        <v>40708</v>
      </c>
      <c r="N1814">
        <v>4.45</v>
      </c>
    </row>
    <row r="1815" spans="1:14" x14ac:dyDescent="0.2">
      <c r="A1815" s="34">
        <v>41526</v>
      </c>
      <c r="B1815">
        <v>4.9590110000000003</v>
      </c>
      <c r="C1815">
        <f t="shared" si="33"/>
        <v>3.73</v>
      </c>
      <c r="M1815" s="34">
        <v>40707</v>
      </c>
      <c r="N1815">
        <v>4.4800000000000004</v>
      </c>
    </row>
    <row r="1816" spans="1:14" x14ac:dyDescent="0.2">
      <c r="A1816" s="34">
        <v>41525</v>
      </c>
      <c r="B1816">
        <v>4.9582040000000003</v>
      </c>
      <c r="C1816">
        <f t="shared" si="33"/>
        <v>3.73</v>
      </c>
      <c r="M1816" s="34">
        <v>40704</v>
      </c>
      <c r="N1816">
        <v>4.47</v>
      </c>
    </row>
    <row r="1817" spans="1:14" x14ac:dyDescent="0.2">
      <c r="A1817" s="34">
        <v>41524</v>
      </c>
      <c r="B1817">
        <v>4.9573980000000004</v>
      </c>
      <c r="C1817">
        <f t="shared" si="33"/>
        <v>3.73</v>
      </c>
      <c r="M1817" s="34">
        <v>40703</v>
      </c>
      <c r="N1817">
        <v>4.4800000000000004</v>
      </c>
    </row>
    <row r="1818" spans="1:14" x14ac:dyDescent="0.2">
      <c r="A1818" s="34">
        <v>41523</v>
      </c>
      <c r="B1818">
        <v>4.9565910000000004</v>
      </c>
      <c r="C1818">
        <f t="shared" si="33"/>
        <v>3.73</v>
      </c>
      <c r="M1818" s="34">
        <v>40702</v>
      </c>
      <c r="N1818">
        <v>4.4800000000000004</v>
      </c>
    </row>
    <row r="1819" spans="1:14" x14ac:dyDescent="0.2">
      <c r="A1819" s="34">
        <v>41522</v>
      </c>
      <c r="B1819">
        <v>4.9557849999999997</v>
      </c>
      <c r="C1819">
        <f t="shared" si="33"/>
        <v>4.01</v>
      </c>
      <c r="M1819" s="34">
        <v>40701</v>
      </c>
      <c r="N1819">
        <v>4.4800000000000004</v>
      </c>
    </row>
    <row r="1820" spans="1:14" x14ac:dyDescent="0.2">
      <c r="A1820" s="34">
        <v>41521</v>
      </c>
      <c r="B1820">
        <v>4.9549789999999998</v>
      </c>
      <c r="C1820">
        <f t="shared" si="33"/>
        <v>3.95</v>
      </c>
      <c r="M1820" s="34">
        <v>40700</v>
      </c>
      <c r="N1820">
        <v>4.47</v>
      </c>
    </row>
    <row r="1821" spans="1:14" x14ac:dyDescent="0.2">
      <c r="A1821" s="34">
        <v>41520</v>
      </c>
      <c r="B1821">
        <v>4.9541729999999999</v>
      </c>
      <c r="C1821">
        <f t="shared" si="33"/>
        <v>3.96</v>
      </c>
      <c r="M1821" s="34">
        <v>40697</v>
      </c>
      <c r="N1821">
        <v>4.43</v>
      </c>
    </row>
    <row r="1822" spans="1:14" x14ac:dyDescent="0.2">
      <c r="A1822" s="34">
        <v>41519</v>
      </c>
      <c r="B1822">
        <v>4.9533670000000001</v>
      </c>
      <c r="C1822">
        <f t="shared" si="33"/>
        <v>4.03</v>
      </c>
      <c r="M1822" s="34">
        <v>40696</v>
      </c>
      <c r="N1822">
        <v>4.46</v>
      </c>
    </row>
    <row r="1823" spans="1:14" x14ac:dyDescent="0.2">
      <c r="A1823" s="34">
        <v>41518</v>
      </c>
      <c r="B1823">
        <v>4.9525620000000004</v>
      </c>
      <c r="C1823">
        <f t="shared" si="33"/>
        <v>3.98</v>
      </c>
      <c r="M1823" s="34">
        <v>40695</v>
      </c>
      <c r="N1823">
        <v>4.42</v>
      </c>
    </row>
    <row r="1824" spans="1:14" x14ac:dyDescent="0.2">
      <c r="A1824" s="34">
        <v>41517</v>
      </c>
      <c r="B1824">
        <v>4.9517559999999996</v>
      </c>
      <c r="C1824">
        <f t="shared" si="33"/>
        <v>3.98</v>
      </c>
      <c r="M1824" s="34">
        <v>40694</v>
      </c>
      <c r="N1824">
        <v>4.4800000000000004</v>
      </c>
    </row>
    <row r="1825" spans="1:14" x14ac:dyDescent="0.2">
      <c r="A1825" s="34">
        <v>41516</v>
      </c>
      <c r="B1825">
        <v>4.9509509999999999</v>
      </c>
      <c r="C1825">
        <f t="shared" si="33"/>
        <v>3.98</v>
      </c>
      <c r="M1825" s="34">
        <v>40693</v>
      </c>
      <c r="N1825">
        <v>4.55</v>
      </c>
    </row>
    <row r="1826" spans="1:14" x14ac:dyDescent="0.2">
      <c r="A1826" s="34">
        <v>41515</v>
      </c>
      <c r="B1826">
        <v>4.9501460000000002</v>
      </c>
      <c r="C1826">
        <f t="shared" si="33"/>
        <v>4</v>
      </c>
      <c r="M1826" s="34">
        <v>40690</v>
      </c>
      <c r="N1826">
        <v>4.8</v>
      </c>
    </row>
    <row r="1827" spans="1:14" x14ac:dyDescent="0.2">
      <c r="A1827" s="34">
        <v>41514</v>
      </c>
      <c r="B1827">
        <v>4.9493400000000003</v>
      </c>
      <c r="C1827">
        <f t="shared" si="33"/>
        <v>3.95</v>
      </c>
      <c r="M1827" s="34">
        <v>40689</v>
      </c>
      <c r="N1827">
        <v>4.5</v>
      </c>
    </row>
    <row r="1828" spans="1:14" x14ac:dyDescent="0.2">
      <c r="A1828" s="34">
        <v>41513</v>
      </c>
      <c r="B1828">
        <v>4.9485349999999997</v>
      </c>
      <c r="C1828">
        <f t="shared" si="33"/>
        <v>3.96</v>
      </c>
      <c r="M1828" s="34">
        <v>40688</v>
      </c>
      <c r="N1828">
        <v>4.4000000000000004</v>
      </c>
    </row>
    <row r="1829" spans="1:14" x14ac:dyDescent="0.2">
      <c r="A1829" s="34">
        <v>41512</v>
      </c>
      <c r="B1829">
        <v>4.9477310000000001</v>
      </c>
      <c r="C1829">
        <f t="shared" si="33"/>
        <v>4.0199999999999996</v>
      </c>
      <c r="M1829" s="34">
        <v>40687</v>
      </c>
      <c r="N1829">
        <v>4.43</v>
      </c>
    </row>
    <row r="1830" spans="1:14" x14ac:dyDescent="0.2">
      <c r="A1830" s="34">
        <v>41511</v>
      </c>
      <c r="B1830">
        <v>4.9469260000000004</v>
      </c>
      <c r="C1830">
        <f t="shared" si="33"/>
        <v>3.99</v>
      </c>
      <c r="M1830" s="34">
        <v>40686</v>
      </c>
      <c r="N1830">
        <v>4.46</v>
      </c>
    </row>
    <row r="1831" spans="1:14" x14ac:dyDescent="0.2">
      <c r="A1831" s="34">
        <v>41510</v>
      </c>
      <c r="B1831">
        <v>4.9469900000000004</v>
      </c>
      <c r="C1831">
        <f t="shared" si="33"/>
        <v>3.99</v>
      </c>
      <c r="M1831" s="34">
        <v>40683</v>
      </c>
      <c r="N1831">
        <v>4.46</v>
      </c>
    </row>
    <row r="1832" spans="1:14" x14ac:dyDescent="0.2">
      <c r="A1832" s="34">
        <v>41509</v>
      </c>
      <c r="B1832">
        <v>4.9470530000000004</v>
      </c>
      <c r="C1832">
        <f t="shared" si="33"/>
        <v>3.99</v>
      </c>
      <c r="M1832" s="34">
        <v>40682</v>
      </c>
      <c r="N1832">
        <v>4.46</v>
      </c>
    </row>
    <row r="1833" spans="1:14" x14ac:dyDescent="0.2">
      <c r="A1833" s="34">
        <v>41508</v>
      </c>
      <c r="B1833">
        <v>4.9471170000000004</v>
      </c>
      <c r="C1833">
        <f t="shared" si="33"/>
        <v>3.95</v>
      </c>
      <c r="M1833" s="34">
        <v>40681</v>
      </c>
      <c r="N1833">
        <v>4.9000000000000004</v>
      </c>
    </row>
    <row r="1834" spans="1:14" x14ac:dyDescent="0.2">
      <c r="A1834" s="34">
        <v>41507</v>
      </c>
      <c r="B1834">
        <v>4.9471809999999996</v>
      </c>
      <c r="C1834">
        <f t="shared" si="33"/>
        <v>4</v>
      </c>
      <c r="M1834" s="34">
        <v>40680</v>
      </c>
      <c r="N1834">
        <v>4.49</v>
      </c>
    </row>
    <row r="1835" spans="1:14" x14ac:dyDescent="0.2">
      <c r="A1835" s="34">
        <v>41506</v>
      </c>
      <c r="B1835">
        <v>4.9472449999999997</v>
      </c>
      <c r="C1835">
        <f t="shared" si="33"/>
        <v>4</v>
      </c>
      <c r="M1835" s="34">
        <v>40679</v>
      </c>
      <c r="N1835">
        <v>4.07</v>
      </c>
    </row>
    <row r="1836" spans="1:14" x14ac:dyDescent="0.2">
      <c r="A1836" s="34">
        <v>41505</v>
      </c>
      <c r="B1836">
        <v>4.9473079999999996</v>
      </c>
      <c r="C1836">
        <f t="shared" si="33"/>
        <v>4</v>
      </c>
      <c r="M1836" s="34">
        <v>40676</v>
      </c>
      <c r="N1836">
        <v>4.4800000000000004</v>
      </c>
    </row>
    <row r="1837" spans="1:14" x14ac:dyDescent="0.2">
      <c r="A1837" s="34">
        <v>41504</v>
      </c>
      <c r="B1837">
        <v>4.9473719999999997</v>
      </c>
      <c r="C1837">
        <f t="shared" si="33"/>
        <v>3.99</v>
      </c>
      <c r="M1837" s="34">
        <v>40675</v>
      </c>
      <c r="N1837">
        <v>4.5</v>
      </c>
    </row>
    <row r="1838" spans="1:14" x14ac:dyDescent="0.2">
      <c r="A1838" s="34">
        <v>41503</v>
      </c>
      <c r="B1838">
        <v>4.9474359999999997</v>
      </c>
      <c r="C1838">
        <f t="shared" si="33"/>
        <v>3.99</v>
      </c>
      <c r="M1838" s="34">
        <v>40674</v>
      </c>
      <c r="N1838">
        <v>4.5</v>
      </c>
    </row>
    <row r="1839" spans="1:14" x14ac:dyDescent="0.2">
      <c r="A1839" s="34">
        <v>41502</v>
      </c>
      <c r="B1839">
        <v>4.9474999999999998</v>
      </c>
      <c r="C1839">
        <f t="shared" si="33"/>
        <v>3.99</v>
      </c>
      <c r="M1839" s="34">
        <v>40673</v>
      </c>
      <c r="N1839">
        <v>4.5</v>
      </c>
    </row>
    <row r="1840" spans="1:14" x14ac:dyDescent="0.2">
      <c r="A1840" s="34">
        <v>41501</v>
      </c>
      <c r="B1840">
        <v>4.9475639999999999</v>
      </c>
      <c r="C1840">
        <f t="shared" si="33"/>
        <v>4.01</v>
      </c>
      <c r="M1840" s="34">
        <v>40672</v>
      </c>
      <c r="N1840">
        <v>4.4000000000000004</v>
      </c>
    </row>
    <row r="1841" spans="1:14" x14ac:dyDescent="0.2">
      <c r="A1841" s="34">
        <v>41500</v>
      </c>
      <c r="B1841">
        <v>4.9476269999999998</v>
      </c>
      <c r="C1841">
        <f t="shared" si="33"/>
        <v>3.95</v>
      </c>
      <c r="M1841" s="34">
        <v>40669</v>
      </c>
      <c r="N1841">
        <v>4.4400000000000004</v>
      </c>
    </row>
    <row r="1842" spans="1:14" x14ac:dyDescent="0.2">
      <c r="A1842" s="34">
        <v>41499</v>
      </c>
      <c r="B1842">
        <v>4.9476909999999998</v>
      </c>
      <c r="C1842">
        <f t="shared" si="33"/>
        <v>4</v>
      </c>
      <c r="M1842" s="34">
        <v>40668</v>
      </c>
      <c r="N1842">
        <v>4.47</v>
      </c>
    </row>
    <row r="1843" spans="1:14" x14ac:dyDescent="0.2">
      <c r="A1843" s="34">
        <v>41498</v>
      </c>
      <c r="B1843">
        <v>4.9477549999999999</v>
      </c>
      <c r="C1843">
        <f t="shared" si="33"/>
        <v>3.97</v>
      </c>
      <c r="M1843" s="34">
        <v>40667</v>
      </c>
      <c r="N1843">
        <v>4.51</v>
      </c>
    </row>
    <row r="1844" spans="1:14" x14ac:dyDescent="0.2">
      <c r="A1844" s="34">
        <v>41497</v>
      </c>
      <c r="B1844">
        <v>4.947819</v>
      </c>
      <c r="C1844">
        <f t="shared" si="33"/>
        <v>3.92</v>
      </c>
      <c r="M1844" s="34">
        <v>40666</v>
      </c>
      <c r="N1844">
        <v>4.47</v>
      </c>
    </row>
    <row r="1845" spans="1:14" x14ac:dyDescent="0.2">
      <c r="A1845" s="34">
        <v>41496</v>
      </c>
      <c r="B1845">
        <v>4.9478819999999999</v>
      </c>
      <c r="C1845">
        <f t="shared" si="33"/>
        <v>3.92</v>
      </c>
      <c r="M1845" s="34">
        <v>40665</v>
      </c>
      <c r="N1845">
        <v>4.5</v>
      </c>
    </row>
    <row r="1846" spans="1:14" x14ac:dyDescent="0.2">
      <c r="A1846" s="34">
        <v>41495</v>
      </c>
      <c r="B1846">
        <v>4.9478819999999999</v>
      </c>
      <c r="C1846">
        <f t="shared" si="33"/>
        <v>3.92</v>
      </c>
      <c r="M1846" s="34">
        <v>40662</v>
      </c>
      <c r="N1846">
        <v>4.5</v>
      </c>
    </row>
    <row r="1847" spans="1:14" x14ac:dyDescent="0.2">
      <c r="A1847" s="34">
        <v>41494</v>
      </c>
      <c r="B1847">
        <v>4.9478819999999999</v>
      </c>
      <c r="C1847">
        <f t="shared" si="33"/>
        <v>3.9</v>
      </c>
      <c r="M1847" s="34">
        <v>40661</v>
      </c>
      <c r="N1847">
        <v>4.5</v>
      </c>
    </row>
    <row r="1848" spans="1:14" x14ac:dyDescent="0.2">
      <c r="A1848" s="34">
        <v>41493</v>
      </c>
      <c r="B1848">
        <v>4.9478819999999999</v>
      </c>
      <c r="C1848">
        <f t="shared" si="33"/>
        <v>4</v>
      </c>
      <c r="M1848" s="34">
        <v>40660</v>
      </c>
      <c r="N1848">
        <v>4.53</v>
      </c>
    </row>
    <row r="1849" spans="1:14" x14ac:dyDescent="0.2">
      <c r="A1849" s="34">
        <v>41492</v>
      </c>
      <c r="B1849">
        <v>4.9478819999999999</v>
      </c>
      <c r="C1849">
        <f t="shared" si="33"/>
        <v>4.01</v>
      </c>
      <c r="M1849" s="34">
        <v>40659</v>
      </c>
      <c r="N1849">
        <v>4.45</v>
      </c>
    </row>
    <row r="1850" spans="1:14" x14ac:dyDescent="0.2">
      <c r="A1850" s="34">
        <v>41491</v>
      </c>
      <c r="B1850">
        <v>4.9478819999999999</v>
      </c>
      <c r="C1850">
        <f t="shared" si="33"/>
        <v>4</v>
      </c>
      <c r="M1850" s="34">
        <v>40658</v>
      </c>
      <c r="N1850">
        <v>4.4000000000000004</v>
      </c>
    </row>
    <row r="1851" spans="1:14" x14ac:dyDescent="0.2">
      <c r="A1851" s="34">
        <v>41490</v>
      </c>
      <c r="B1851">
        <v>4.9478819999999999</v>
      </c>
      <c r="C1851">
        <f t="shared" si="33"/>
        <v>4</v>
      </c>
      <c r="M1851" s="34">
        <v>40653</v>
      </c>
      <c r="N1851">
        <v>4.53</v>
      </c>
    </row>
    <row r="1852" spans="1:14" x14ac:dyDescent="0.2">
      <c r="A1852" s="34">
        <v>41489</v>
      </c>
      <c r="B1852">
        <v>4.9478819999999999</v>
      </c>
      <c r="C1852">
        <f t="shared" si="33"/>
        <v>4</v>
      </c>
      <c r="M1852" s="34">
        <v>40652</v>
      </c>
      <c r="N1852">
        <v>4.47</v>
      </c>
    </row>
    <row r="1853" spans="1:14" x14ac:dyDescent="0.2">
      <c r="A1853" s="34">
        <v>41488</v>
      </c>
      <c r="B1853">
        <v>4.9478819999999999</v>
      </c>
      <c r="C1853">
        <f t="shared" si="33"/>
        <v>4</v>
      </c>
      <c r="M1853" s="34">
        <v>40651</v>
      </c>
      <c r="N1853">
        <v>4.46</v>
      </c>
    </row>
    <row r="1854" spans="1:14" x14ac:dyDescent="0.2">
      <c r="A1854" s="34">
        <v>41487</v>
      </c>
      <c r="B1854">
        <v>4.9478819999999999</v>
      </c>
      <c r="C1854">
        <f t="shared" si="33"/>
        <v>3.95</v>
      </c>
      <c r="M1854" s="34">
        <v>40648</v>
      </c>
      <c r="N1854">
        <v>4.49</v>
      </c>
    </row>
    <row r="1855" spans="1:14" x14ac:dyDescent="0.2">
      <c r="A1855" s="34">
        <v>41486</v>
      </c>
      <c r="B1855">
        <v>4.9478819999999999</v>
      </c>
      <c r="C1855">
        <f t="shared" si="33"/>
        <v>3.95</v>
      </c>
      <c r="M1855" s="34">
        <v>40647</v>
      </c>
      <c r="N1855">
        <v>4.49</v>
      </c>
    </row>
    <row r="1856" spans="1:14" x14ac:dyDescent="0.2">
      <c r="A1856" s="34">
        <v>41485</v>
      </c>
      <c r="B1856">
        <v>4.9478819999999999</v>
      </c>
      <c r="C1856">
        <f t="shared" si="33"/>
        <v>4</v>
      </c>
      <c r="M1856" s="34">
        <v>40646</v>
      </c>
      <c r="N1856">
        <v>4.5</v>
      </c>
    </row>
    <row r="1857" spans="1:14" x14ac:dyDescent="0.2">
      <c r="A1857" s="34">
        <v>41484</v>
      </c>
      <c r="B1857">
        <v>4.9478819999999999</v>
      </c>
      <c r="C1857">
        <f t="shared" si="33"/>
        <v>4</v>
      </c>
      <c r="M1857" s="34">
        <v>40645</v>
      </c>
      <c r="N1857">
        <v>4.49</v>
      </c>
    </row>
    <row r="1858" spans="1:14" x14ac:dyDescent="0.2">
      <c r="A1858" s="34">
        <v>41483</v>
      </c>
      <c r="B1858">
        <v>4.9478819999999999</v>
      </c>
      <c r="C1858">
        <f t="shared" ref="C1858:C1921" si="34">IFERROR(VLOOKUP(A1858,$M$2:$N$3695,2,0),C1859)</f>
        <v>3.98</v>
      </c>
      <c r="M1858" s="34">
        <v>40644</v>
      </c>
      <c r="N1858">
        <v>4.49</v>
      </c>
    </row>
    <row r="1859" spans="1:14" x14ac:dyDescent="0.2">
      <c r="A1859" s="34">
        <v>41482</v>
      </c>
      <c r="B1859">
        <v>4.9478819999999999</v>
      </c>
      <c r="C1859">
        <f t="shared" si="34"/>
        <v>3.98</v>
      </c>
      <c r="M1859" s="34">
        <v>40641</v>
      </c>
      <c r="N1859">
        <v>4.49</v>
      </c>
    </row>
    <row r="1860" spans="1:14" x14ac:dyDescent="0.2">
      <c r="A1860" s="34">
        <v>41481</v>
      </c>
      <c r="B1860">
        <v>4.9478819999999999</v>
      </c>
      <c r="C1860">
        <f t="shared" si="34"/>
        <v>3.98</v>
      </c>
      <c r="M1860" s="34">
        <v>40640</v>
      </c>
      <c r="N1860">
        <v>4.49</v>
      </c>
    </row>
    <row r="1861" spans="1:14" x14ac:dyDescent="0.2">
      <c r="A1861" s="34">
        <v>41480</v>
      </c>
      <c r="B1861">
        <v>4.9478819999999999</v>
      </c>
      <c r="C1861">
        <f t="shared" si="34"/>
        <v>4.0199999999999996</v>
      </c>
      <c r="M1861" s="34">
        <v>40639</v>
      </c>
      <c r="N1861">
        <v>4.49</v>
      </c>
    </row>
    <row r="1862" spans="1:14" x14ac:dyDescent="0.2">
      <c r="A1862" s="34">
        <v>41479</v>
      </c>
      <c r="B1862">
        <v>4.9480370000000002</v>
      </c>
      <c r="C1862">
        <f t="shared" si="34"/>
        <v>4.09</v>
      </c>
      <c r="M1862" s="34">
        <v>40638</v>
      </c>
      <c r="N1862">
        <v>4.49</v>
      </c>
    </row>
    <row r="1863" spans="1:14" x14ac:dyDescent="0.2">
      <c r="A1863" s="34">
        <v>41478</v>
      </c>
      <c r="B1863">
        <v>4.9481919999999997</v>
      </c>
      <c r="C1863">
        <f t="shared" si="34"/>
        <v>3.97</v>
      </c>
      <c r="M1863" s="34">
        <v>40637</v>
      </c>
      <c r="N1863">
        <v>4.5</v>
      </c>
    </row>
    <row r="1864" spans="1:14" x14ac:dyDescent="0.2">
      <c r="A1864" s="34">
        <v>41477</v>
      </c>
      <c r="B1864">
        <v>4.9483470000000001</v>
      </c>
      <c r="C1864">
        <f t="shared" si="34"/>
        <v>3.9</v>
      </c>
      <c r="M1864" s="34">
        <v>40634</v>
      </c>
      <c r="N1864">
        <v>4.5</v>
      </c>
    </row>
    <row r="1865" spans="1:14" x14ac:dyDescent="0.2">
      <c r="A1865" s="34">
        <v>41476</v>
      </c>
      <c r="B1865">
        <v>4.9485020000000004</v>
      </c>
      <c r="C1865">
        <f t="shared" si="34"/>
        <v>4</v>
      </c>
      <c r="M1865" s="34">
        <v>40633</v>
      </c>
      <c r="N1865">
        <v>4.5</v>
      </c>
    </row>
    <row r="1866" spans="1:14" x14ac:dyDescent="0.2">
      <c r="A1866" s="34">
        <v>41475</v>
      </c>
      <c r="B1866">
        <v>4.9486569999999999</v>
      </c>
      <c r="C1866">
        <f t="shared" si="34"/>
        <v>4</v>
      </c>
      <c r="M1866" s="34">
        <v>40632</v>
      </c>
      <c r="N1866">
        <v>4.5</v>
      </c>
    </row>
    <row r="1867" spans="1:14" x14ac:dyDescent="0.2">
      <c r="A1867" s="34">
        <v>41474</v>
      </c>
      <c r="B1867">
        <v>4.9488120000000002</v>
      </c>
      <c r="C1867">
        <f t="shared" si="34"/>
        <v>4</v>
      </c>
      <c r="M1867" s="34">
        <v>40631</v>
      </c>
      <c r="N1867">
        <v>4.5</v>
      </c>
    </row>
    <row r="1868" spans="1:14" x14ac:dyDescent="0.2">
      <c r="A1868" s="34">
        <v>41473</v>
      </c>
      <c r="B1868">
        <v>4.9489660000000004</v>
      </c>
      <c r="C1868">
        <f t="shared" si="34"/>
        <v>4</v>
      </c>
      <c r="M1868" s="34">
        <v>40630</v>
      </c>
      <c r="N1868">
        <v>4.5</v>
      </c>
    </row>
    <row r="1869" spans="1:14" x14ac:dyDescent="0.2">
      <c r="A1869" s="34">
        <v>41472</v>
      </c>
      <c r="B1869">
        <v>4.9491209999999999</v>
      </c>
      <c r="C1869">
        <f t="shared" si="34"/>
        <v>3.95</v>
      </c>
      <c r="M1869" s="34">
        <v>40627</v>
      </c>
      <c r="N1869">
        <v>4.5</v>
      </c>
    </row>
    <row r="1870" spans="1:14" x14ac:dyDescent="0.2">
      <c r="A1870" s="34">
        <v>41471</v>
      </c>
      <c r="B1870">
        <v>4.9492760000000002</v>
      </c>
      <c r="C1870">
        <f t="shared" si="34"/>
        <v>3.97</v>
      </c>
      <c r="M1870" s="34">
        <v>40626</v>
      </c>
      <c r="N1870">
        <v>4.51</v>
      </c>
    </row>
    <row r="1871" spans="1:14" x14ac:dyDescent="0.2">
      <c r="A1871" s="34">
        <v>41470</v>
      </c>
      <c r="B1871">
        <v>4.9494309999999997</v>
      </c>
      <c r="C1871">
        <f t="shared" si="34"/>
        <v>4.01</v>
      </c>
      <c r="M1871" s="34">
        <v>40625</v>
      </c>
      <c r="N1871">
        <v>4.4800000000000004</v>
      </c>
    </row>
    <row r="1872" spans="1:14" x14ac:dyDescent="0.2">
      <c r="A1872" s="34">
        <v>41469</v>
      </c>
      <c r="B1872">
        <v>4.949586</v>
      </c>
      <c r="C1872">
        <f t="shared" si="34"/>
        <v>3.9</v>
      </c>
      <c r="M1872" s="34">
        <v>40624</v>
      </c>
      <c r="N1872">
        <v>4.4800000000000004</v>
      </c>
    </row>
    <row r="1873" spans="1:14" x14ac:dyDescent="0.2">
      <c r="A1873" s="34">
        <v>41468</v>
      </c>
      <c r="B1873">
        <v>4.9497410000000004</v>
      </c>
      <c r="C1873">
        <f t="shared" si="34"/>
        <v>3.9</v>
      </c>
      <c r="M1873" s="34">
        <v>40620</v>
      </c>
      <c r="N1873">
        <v>4.53</v>
      </c>
    </row>
    <row r="1874" spans="1:14" x14ac:dyDescent="0.2">
      <c r="A1874" s="34">
        <v>41467</v>
      </c>
      <c r="B1874">
        <v>4.9498959999999999</v>
      </c>
      <c r="C1874">
        <f t="shared" si="34"/>
        <v>3.9</v>
      </c>
      <c r="M1874" s="34">
        <v>40619</v>
      </c>
      <c r="N1874">
        <v>4.5</v>
      </c>
    </row>
    <row r="1875" spans="1:14" x14ac:dyDescent="0.2">
      <c r="A1875" s="34">
        <v>41466</v>
      </c>
      <c r="B1875">
        <v>4.9500510000000002</v>
      </c>
      <c r="C1875">
        <f t="shared" si="34"/>
        <v>3.99</v>
      </c>
      <c r="M1875" s="34">
        <v>40618</v>
      </c>
      <c r="N1875">
        <v>4.45</v>
      </c>
    </row>
    <row r="1876" spans="1:14" x14ac:dyDescent="0.2">
      <c r="A1876" s="34">
        <v>41465</v>
      </c>
      <c r="B1876">
        <v>4.9502059999999997</v>
      </c>
      <c r="C1876">
        <f t="shared" si="34"/>
        <v>4</v>
      </c>
      <c r="M1876" s="34">
        <v>40617</v>
      </c>
      <c r="N1876">
        <v>4.47</v>
      </c>
    </row>
    <row r="1877" spans="1:14" x14ac:dyDescent="0.2">
      <c r="A1877" s="34">
        <v>41464</v>
      </c>
      <c r="B1877">
        <v>4.9503599999999999</v>
      </c>
      <c r="C1877">
        <f t="shared" si="34"/>
        <v>4.01</v>
      </c>
      <c r="M1877" s="34">
        <v>40616</v>
      </c>
      <c r="N1877">
        <v>4.5</v>
      </c>
    </row>
    <row r="1878" spans="1:14" x14ac:dyDescent="0.2">
      <c r="A1878" s="34">
        <v>41463</v>
      </c>
      <c r="B1878">
        <v>4.9505150000000002</v>
      </c>
      <c r="C1878">
        <f t="shared" si="34"/>
        <v>4</v>
      </c>
      <c r="M1878" s="34">
        <v>40613</v>
      </c>
      <c r="N1878">
        <v>4.47</v>
      </c>
    </row>
    <row r="1879" spans="1:14" x14ac:dyDescent="0.2">
      <c r="A1879" s="34">
        <v>41462</v>
      </c>
      <c r="B1879">
        <v>4.9506699999999997</v>
      </c>
      <c r="C1879">
        <f t="shared" si="34"/>
        <v>3.98</v>
      </c>
      <c r="M1879" s="34">
        <v>40612</v>
      </c>
      <c r="N1879">
        <v>4.45</v>
      </c>
    </row>
    <row r="1880" spans="1:14" x14ac:dyDescent="0.2">
      <c r="A1880" s="34">
        <v>41461</v>
      </c>
      <c r="B1880">
        <v>4.950825</v>
      </c>
      <c r="C1880">
        <f t="shared" si="34"/>
        <v>3.98</v>
      </c>
      <c r="M1880" s="34">
        <v>40611</v>
      </c>
      <c r="N1880">
        <v>4.4800000000000004</v>
      </c>
    </row>
    <row r="1881" spans="1:14" x14ac:dyDescent="0.2">
      <c r="A1881" s="34">
        <v>41460</v>
      </c>
      <c r="B1881">
        <v>4.9509800000000004</v>
      </c>
      <c r="C1881">
        <f t="shared" si="34"/>
        <v>3.98</v>
      </c>
      <c r="M1881" s="34">
        <v>40610</v>
      </c>
      <c r="N1881">
        <v>4.51</v>
      </c>
    </row>
    <row r="1882" spans="1:14" x14ac:dyDescent="0.2">
      <c r="A1882" s="34">
        <v>41459</v>
      </c>
      <c r="B1882">
        <v>4.9511349999999998</v>
      </c>
      <c r="C1882">
        <f t="shared" si="34"/>
        <v>4</v>
      </c>
      <c r="M1882" s="34">
        <v>40609</v>
      </c>
      <c r="N1882">
        <v>4.5</v>
      </c>
    </row>
    <row r="1883" spans="1:14" x14ac:dyDescent="0.2">
      <c r="A1883" s="34">
        <v>41458</v>
      </c>
      <c r="B1883">
        <v>4.9512900000000002</v>
      </c>
      <c r="C1883">
        <f t="shared" si="34"/>
        <v>3.94</v>
      </c>
      <c r="M1883" s="34">
        <v>40606</v>
      </c>
      <c r="N1883">
        <v>4.46</v>
      </c>
    </row>
    <row r="1884" spans="1:14" x14ac:dyDescent="0.2">
      <c r="A1884" s="34">
        <v>41457</v>
      </c>
      <c r="B1884">
        <v>4.9514449999999997</v>
      </c>
      <c r="C1884">
        <f t="shared" si="34"/>
        <v>3.94</v>
      </c>
      <c r="M1884" s="34">
        <v>40605</v>
      </c>
      <c r="N1884">
        <v>4.45</v>
      </c>
    </row>
    <row r="1885" spans="1:14" x14ac:dyDescent="0.2">
      <c r="A1885" s="34">
        <v>41456</v>
      </c>
      <c r="B1885">
        <v>4.9515989999999999</v>
      </c>
      <c r="C1885">
        <f t="shared" si="34"/>
        <v>3.97</v>
      </c>
      <c r="M1885" s="34">
        <v>40604</v>
      </c>
      <c r="N1885">
        <v>4.5</v>
      </c>
    </row>
    <row r="1886" spans="1:14" x14ac:dyDescent="0.2">
      <c r="A1886" s="34">
        <v>41455</v>
      </c>
      <c r="B1886">
        <v>4.9517540000000002</v>
      </c>
      <c r="C1886">
        <f t="shared" si="34"/>
        <v>3.99</v>
      </c>
      <c r="M1886" s="34">
        <v>40603</v>
      </c>
      <c r="N1886">
        <v>4.51</v>
      </c>
    </row>
    <row r="1887" spans="1:14" x14ac:dyDescent="0.2">
      <c r="A1887" s="34">
        <v>41454</v>
      </c>
      <c r="B1887">
        <v>4.9519089999999997</v>
      </c>
      <c r="C1887">
        <f t="shared" si="34"/>
        <v>3.99</v>
      </c>
      <c r="M1887" s="34">
        <v>40602</v>
      </c>
      <c r="N1887">
        <v>4.5</v>
      </c>
    </row>
    <row r="1888" spans="1:14" x14ac:dyDescent="0.2">
      <c r="A1888" s="34">
        <v>41453</v>
      </c>
      <c r="B1888">
        <v>4.952064</v>
      </c>
      <c r="C1888">
        <f t="shared" si="34"/>
        <v>3.99</v>
      </c>
      <c r="M1888" s="34">
        <v>40599</v>
      </c>
      <c r="N1888">
        <v>4.45</v>
      </c>
    </row>
    <row r="1889" spans="1:14" x14ac:dyDescent="0.2">
      <c r="A1889" s="34">
        <v>41452</v>
      </c>
      <c r="B1889">
        <v>4.9522190000000004</v>
      </c>
      <c r="C1889">
        <f t="shared" si="34"/>
        <v>4.05</v>
      </c>
      <c r="M1889" s="34">
        <v>40598</v>
      </c>
      <c r="N1889">
        <v>4.4000000000000004</v>
      </c>
    </row>
    <row r="1890" spans="1:14" x14ac:dyDescent="0.2">
      <c r="A1890" s="34">
        <v>41451</v>
      </c>
      <c r="B1890">
        <v>4.9523739999999998</v>
      </c>
      <c r="C1890">
        <f t="shared" si="34"/>
        <v>3.99</v>
      </c>
      <c r="M1890" s="34">
        <v>40597</v>
      </c>
      <c r="N1890">
        <v>4.4800000000000004</v>
      </c>
    </row>
    <row r="1891" spans="1:14" x14ac:dyDescent="0.2">
      <c r="A1891" s="34">
        <v>41450</v>
      </c>
      <c r="B1891">
        <v>4.9525290000000002</v>
      </c>
      <c r="C1891">
        <f t="shared" si="34"/>
        <v>3.99</v>
      </c>
      <c r="M1891" s="34">
        <v>40596</v>
      </c>
      <c r="N1891">
        <v>4.5</v>
      </c>
    </row>
    <row r="1892" spans="1:14" x14ac:dyDescent="0.2">
      <c r="A1892" s="34">
        <v>41449</v>
      </c>
      <c r="B1892">
        <v>4.9524679999999996</v>
      </c>
      <c r="C1892">
        <f t="shared" si="34"/>
        <v>4</v>
      </c>
      <c r="M1892" s="34">
        <v>40595</v>
      </c>
      <c r="N1892">
        <v>4.5199999999999996</v>
      </c>
    </row>
    <row r="1893" spans="1:14" x14ac:dyDescent="0.2">
      <c r="A1893" s="34">
        <v>41448</v>
      </c>
      <c r="B1893">
        <v>4.952407</v>
      </c>
      <c r="C1893">
        <f t="shared" si="34"/>
        <v>3.95</v>
      </c>
      <c r="M1893" s="34">
        <v>40592</v>
      </c>
      <c r="N1893">
        <v>4.3499999999999996</v>
      </c>
    </row>
    <row r="1894" spans="1:14" x14ac:dyDescent="0.2">
      <c r="A1894" s="34">
        <v>41447</v>
      </c>
      <c r="B1894">
        <v>4.9523469999999996</v>
      </c>
      <c r="C1894">
        <f t="shared" si="34"/>
        <v>3.95</v>
      </c>
      <c r="M1894" s="34">
        <v>40591</v>
      </c>
      <c r="N1894">
        <v>4.25</v>
      </c>
    </row>
    <row r="1895" spans="1:14" x14ac:dyDescent="0.2">
      <c r="A1895" s="34">
        <v>41446</v>
      </c>
      <c r="B1895">
        <v>4.952286</v>
      </c>
      <c r="C1895">
        <f t="shared" si="34"/>
        <v>3.95</v>
      </c>
      <c r="M1895" s="34">
        <v>40590</v>
      </c>
      <c r="N1895">
        <v>4.45</v>
      </c>
    </row>
    <row r="1896" spans="1:14" x14ac:dyDescent="0.2">
      <c r="A1896" s="34">
        <v>41445</v>
      </c>
      <c r="B1896">
        <v>4.9522250000000003</v>
      </c>
      <c r="C1896">
        <f t="shared" si="34"/>
        <v>4</v>
      </c>
      <c r="M1896" s="34">
        <v>40589</v>
      </c>
      <c r="N1896">
        <v>4.53</v>
      </c>
    </row>
    <row r="1897" spans="1:14" x14ac:dyDescent="0.2">
      <c r="A1897" s="34">
        <v>41444</v>
      </c>
      <c r="B1897">
        <v>4.9521639999999998</v>
      </c>
      <c r="C1897">
        <f t="shared" si="34"/>
        <v>4.0199999999999996</v>
      </c>
      <c r="M1897" s="34">
        <v>40588</v>
      </c>
      <c r="N1897">
        <v>4.5</v>
      </c>
    </row>
    <row r="1898" spans="1:14" x14ac:dyDescent="0.2">
      <c r="A1898" s="34">
        <v>41443</v>
      </c>
      <c r="B1898">
        <v>4.9521040000000003</v>
      </c>
      <c r="C1898">
        <f t="shared" si="34"/>
        <v>4.0199999999999996</v>
      </c>
      <c r="M1898" s="34">
        <v>40585</v>
      </c>
      <c r="N1898">
        <v>4.5199999999999996</v>
      </c>
    </row>
    <row r="1899" spans="1:14" x14ac:dyDescent="0.2">
      <c r="A1899" s="34">
        <v>41442</v>
      </c>
      <c r="B1899">
        <v>4.9520429999999998</v>
      </c>
      <c r="C1899">
        <f t="shared" si="34"/>
        <v>3.92</v>
      </c>
      <c r="M1899" s="34">
        <v>40584</v>
      </c>
      <c r="N1899">
        <v>4.51</v>
      </c>
    </row>
    <row r="1900" spans="1:14" x14ac:dyDescent="0.2">
      <c r="A1900" s="34">
        <v>41441</v>
      </c>
      <c r="B1900">
        <v>4.9519820000000001</v>
      </c>
      <c r="C1900">
        <f t="shared" si="34"/>
        <v>4.03</v>
      </c>
      <c r="M1900" s="34">
        <v>40583</v>
      </c>
      <c r="N1900">
        <v>4.53</v>
      </c>
    </row>
    <row r="1901" spans="1:14" x14ac:dyDescent="0.2">
      <c r="A1901" s="34">
        <v>41440</v>
      </c>
      <c r="B1901">
        <v>4.9519209999999996</v>
      </c>
      <c r="C1901">
        <f t="shared" si="34"/>
        <v>4.03</v>
      </c>
      <c r="M1901" s="34">
        <v>40582</v>
      </c>
      <c r="N1901">
        <v>4.5199999999999996</v>
      </c>
    </row>
    <row r="1902" spans="1:14" x14ac:dyDescent="0.2">
      <c r="A1902" s="34">
        <v>41439</v>
      </c>
      <c r="B1902">
        <v>4.9518610000000001</v>
      </c>
      <c r="C1902">
        <f t="shared" si="34"/>
        <v>4.03</v>
      </c>
      <c r="M1902" s="34">
        <v>40578</v>
      </c>
      <c r="N1902">
        <v>4.5199999999999996</v>
      </c>
    </row>
    <row r="1903" spans="1:14" x14ac:dyDescent="0.2">
      <c r="A1903" s="34">
        <v>41438</v>
      </c>
      <c r="B1903">
        <v>4.9518000000000004</v>
      </c>
      <c r="C1903">
        <f t="shared" si="34"/>
        <v>3.95</v>
      </c>
      <c r="M1903" s="34">
        <v>40577</v>
      </c>
      <c r="N1903">
        <v>4.53</v>
      </c>
    </row>
    <row r="1904" spans="1:14" x14ac:dyDescent="0.2">
      <c r="A1904" s="34">
        <v>41437</v>
      </c>
      <c r="B1904">
        <v>4.9517389999999999</v>
      </c>
      <c r="C1904">
        <f t="shared" si="34"/>
        <v>3.95</v>
      </c>
      <c r="M1904" s="34">
        <v>40576</v>
      </c>
      <c r="N1904">
        <v>4.5199999999999996</v>
      </c>
    </row>
    <row r="1905" spans="1:14" x14ac:dyDescent="0.2">
      <c r="A1905" s="34">
        <v>41436</v>
      </c>
      <c r="B1905">
        <v>4.9516790000000004</v>
      </c>
      <c r="C1905">
        <f t="shared" si="34"/>
        <v>4.03</v>
      </c>
      <c r="M1905" s="34">
        <v>40575</v>
      </c>
      <c r="N1905">
        <v>4.53</v>
      </c>
    </row>
    <row r="1906" spans="1:14" x14ac:dyDescent="0.2">
      <c r="A1906" s="34">
        <v>41435</v>
      </c>
      <c r="B1906">
        <v>4.9516179999999999</v>
      </c>
      <c r="C1906">
        <f t="shared" si="34"/>
        <v>3.95</v>
      </c>
      <c r="M1906" s="34">
        <v>40574</v>
      </c>
      <c r="N1906">
        <v>4.55</v>
      </c>
    </row>
    <row r="1907" spans="1:14" x14ac:dyDescent="0.2">
      <c r="A1907" s="34">
        <v>41434</v>
      </c>
      <c r="B1907">
        <v>4.9526890000000003</v>
      </c>
      <c r="C1907">
        <f t="shared" si="34"/>
        <v>4</v>
      </c>
      <c r="M1907" s="34">
        <v>40571</v>
      </c>
      <c r="N1907">
        <v>4.54</v>
      </c>
    </row>
    <row r="1908" spans="1:14" x14ac:dyDescent="0.2">
      <c r="A1908" s="34">
        <v>41433</v>
      </c>
      <c r="B1908">
        <v>4.9537610000000001</v>
      </c>
      <c r="C1908">
        <f t="shared" si="34"/>
        <v>4</v>
      </c>
      <c r="M1908" s="34">
        <v>40570</v>
      </c>
      <c r="N1908">
        <v>4.5</v>
      </c>
    </row>
    <row r="1909" spans="1:14" x14ac:dyDescent="0.2">
      <c r="A1909" s="34">
        <v>41432</v>
      </c>
      <c r="B1909">
        <v>4.9548329999999998</v>
      </c>
      <c r="C1909">
        <f t="shared" si="34"/>
        <v>4</v>
      </c>
      <c r="M1909" s="34">
        <v>40569</v>
      </c>
      <c r="N1909">
        <v>4.51</v>
      </c>
    </row>
    <row r="1910" spans="1:14" x14ac:dyDescent="0.2">
      <c r="A1910" s="34">
        <v>41431</v>
      </c>
      <c r="B1910">
        <v>4.9559059999999997</v>
      </c>
      <c r="C1910">
        <f t="shared" si="34"/>
        <v>3.98</v>
      </c>
      <c r="M1910" s="34">
        <v>40568</v>
      </c>
      <c r="N1910">
        <v>4.55</v>
      </c>
    </row>
    <row r="1911" spans="1:14" x14ac:dyDescent="0.2">
      <c r="A1911" s="34">
        <v>41430</v>
      </c>
      <c r="B1911">
        <v>4.9569780000000003</v>
      </c>
      <c r="C1911">
        <f t="shared" si="34"/>
        <v>3.98</v>
      </c>
      <c r="M1911" s="34">
        <v>40567</v>
      </c>
      <c r="N1911">
        <v>4.5</v>
      </c>
    </row>
    <row r="1912" spans="1:14" x14ac:dyDescent="0.2">
      <c r="A1912" s="34">
        <v>41429</v>
      </c>
      <c r="B1912">
        <v>4.9580510000000002</v>
      </c>
      <c r="C1912">
        <f t="shared" si="34"/>
        <v>3.98</v>
      </c>
      <c r="M1912" s="34">
        <v>40564</v>
      </c>
      <c r="N1912">
        <v>4.54</v>
      </c>
    </row>
    <row r="1913" spans="1:14" x14ac:dyDescent="0.2">
      <c r="A1913" s="34">
        <v>41428</v>
      </c>
      <c r="B1913">
        <v>4.9591240000000001</v>
      </c>
      <c r="C1913">
        <f t="shared" si="34"/>
        <v>4.04</v>
      </c>
      <c r="M1913" s="34">
        <v>40563</v>
      </c>
      <c r="N1913">
        <v>4.5199999999999996</v>
      </c>
    </row>
    <row r="1914" spans="1:14" x14ac:dyDescent="0.2">
      <c r="A1914" s="34">
        <v>41427</v>
      </c>
      <c r="B1914">
        <v>4.960197</v>
      </c>
      <c r="C1914">
        <f t="shared" si="34"/>
        <v>4.03</v>
      </c>
      <c r="M1914" s="34">
        <v>40562</v>
      </c>
      <c r="N1914">
        <v>4.5199999999999996</v>
      </c>
    </row>
    <row r="1915" spans="1:14" x14ac:dyDescent="0.2">
      <c r="A1915" s="34">
        <v>41426</v>
      </c>
      <c r="B1915">
        <v>4.9612699999999998</v>
      </c>
      <c r="C1915">
        <f t="shared" si="34"/>
        <v>4.03</v>
      </c>
      <c r="M1915" s="34">
        <v>40561</v>
      </c>
      <c r="N1915">
        <v>4.5</v>
      </c>
    </row>
    <row r="1916" spans="1:14" x14ac:dyDescent="0.2">
      <c r="A1916" s="34">
        <v>41425</v>
      </c>
      <c r="B1916">
        <v>4.9623439999999999</v>
      </c>
      <c r="C1916">
        <f t="shared" si="34"/>
        <v>4.03</v>
      </c>
      <c r="M1916" s="34">
        <v>40560</v>
      </c>
      <c r="N1916">
        <v>4.55</v>
      </c>
    </row>
    <row r="1917" spans="1:14" x14ac:dyDescent="0.2">
      <c r="A1917" s="34">
        <v>41424</v>
      </c>
      <c r="B1917">
        <v>4.9634179999999999</v>
      </c>
      <c r="C1917">
        <f t="shared" si="34"/>
        <v>4.0199999999999996</v>
      </c>
      <c r="M1917" s="34">
        <v>40557</v>
      </c>
      <c r="N1917">
        <v>4.55</v>
      </c>
    </row>
    <row r="1918" spans="1:14" x14ac:dyDescent="0.2">
      <c r="A1918" s="34">
        <v>41423</v>
      </c>
      <c r="B1918">
        <v>4.9644919999999999</v>
      </c>
      <c r="C1918">
        <f t="shared" si="34"/>
        <v>4</v>
      </c>
      <c r="M1918" s="34">
        <v>40556</v>
      </c>
      <c r="N1918">
        <v>4.5</v>
      </c>
    </row>
    <row r="1919" spans="1:14" x14ac:dyDescent="0.2">
      <c r="A1919" s="34">
        <v>41422</v>
      </c>
      <c r="B1919">
        <v>4.9655670000000001</v>
      </c>
      <c r="C1919">
        <f t="shared" si="34"/>
        <v>3.97</v>
      </c>
      <c r="M1919" s="34">
        <v>40555</v>
      </c>
      <c r="N1919">
        <v>4.55</v>
      </c>
    </row>
    <row r="1920" spans="1:14" x14ac:dyDescent="0.2">
      <c r="A1920" s="34">
        <v>41421</v>
      </c>
      <c r="B1920">
        <v>4.9666410000000001</v>
      </c>
      <c r="C1920">
        <f t="shared" si="34"/>
        <v>4.4000000000000004</v>
      </c>
      <c r="M1920" s="34">
        <v>40554</v>
      </c>
      <c r="N1920">
        <v>4.5</v>
      </c>
    </row>
    <row r="1921" spans="1:14" x14ac:dyDescent="0.2">
      <c r="A1921" s="34">
        <v>41420</v>
      </c>
      <c r="B1921">
        <v>4.9677160000000002</v>
      </c>
      <c r="C1921">
        <f t="shared" si="34"/>
        <v>3.85</v>
      </c>
      <c r="M1921" s="34">
        <v>40553</v>
      </c>
      <c r="N1921">
        <v>4.54</v>
      </c>
    </row>
    <row r="1922" spans="1:14" x14ac:dyDescent="0.2">
      <c r="A1922" s="34">
        <v>41419</v>
      </c>
      <c r="B1922">
        <v>4.9687910000000004</v>
      </c>
      <c r="C1922">
        <f t="shared" ref="C1922:C1985" si="35">IFERROR(VLOOKUP(A1922,$M$2:$N$3695,2,0),C1923)</f>
        <v>3.85</v>
      </c>
      <c r="M1922" s="34">
        <v>40550</v>
      </c>
      <c r="N1922">
        <v>4.51</v>
      </c>
    </row>
    <row r="1923" spans="1:14" x14ac:dyDescent="0.2">
      <c r="A1923" s="34">
        <v>41418</v>
      </c>
      <c r="B1923">
        <v>4.9687669999999997</v>
      </c>
      <c r="C1923">
        <f t="shared" si="35"/>
        <v>3.85</v>
      </c>
      <c r="M1923" s="34">
        <v>40549</v>
      </c>
      <c r="N1923">
        <v>4.54</v>
      </c>
    </row>
    <row r="1924" spans="1:14" x14ac:dyDescent="0.2">
      <c r="A1924" s="34">
        <v>41417</v>
      </c>
      <c r="B1924">
        <v>4.9687429999999999</v>
      </c>
      <c r="C1924">
        <f t="shared" si="35"/>
        <v>3.8</v>
      </c>
      <c r="M1924" s="34">
        <v>40548</v>
      </c>
      <c r="N1924">
        <v>4.5</v>
      </c>
    </row>
    <row r="1925" spans="1:14" x14ac:dyDescent="0.2">
      <c r="A1925" s="34">
        <v>41416</v>
      </c>
      <c r="B1925">
        <v>4.968718</v>
      </c>
      <c r="C1925">
        <f t="shared" si="35"/>
        <v>3.6</v>
      </c>
      <c r="M1925" s="34">
        <v>40547</v>
      </c>
      <c r="N1925">
        <v>4.54</v>
      </c>
    </row>
    <row r="1926" spans="1:14" x14ac:dyDescent="0.2">
      <c r="A1926" s="34">
        <v>41415</v>
      </c>
      <c r="B1926">
        <v>4.9686940000000002</v>
      </c>
      <c r="C1926">
        <f t="shared" si="35"/>
        <v>3.7</v>
      </c>
      <c r="M1926" s="34">
        <v>40546</v>
      </c>
      <c r="N1926">
        <v>4.53</v>
      </c>
    </row>
    <row r="1927" spans="1:14" x14ac:dyDescent="0.2">
      <c r="A1927" s="34">
        <v>41414</v>
      </c>
      <c r="B1927">
        <v>4.9686700000000004</v>
      </c>
      <c r="C1927">
        <f t="shared" si="35"/>
        <v>4.0199999999999996</v>
      </c>
      <c r="M1927" s="34">
        <v>40543</v>
      </c>
      <c r="N1927">
        <v>4.5</v>
      </c>
    </row>
    <row r="1928" spans="1:14" x14ac:dyDescent="0.2">
      <c r="A1928" s="34">
        <v>41413</v>
      </c>
      <c r="B1928">
        <v>4.9686450000000004</v>
      </c>
      <c r="C1928">
        <f t="shared" si="35"/>
        <v>4.0199999999999996</v>
      </c>
      <c r="M1928" s="34">
        <v>40542</v>
      </c>
      <c r="N1928">
        <v>4.58</v>
      </c>
    </row>
    <row r="1929" spans="1:14" x14ac:dyDescent="0.2">
      <c r="A1929" s="34">
        <v>41412</v>
      </c>
      <c r="B1929">
        <v>4.9686209999999997</v>
      </c>
      <c r="C1929">
        <f t="shared" si="35"/>
        <v>4.0199999999999996</v>
      </c>
      <c r="M1929" s="34">
        <v>40541</v>
      </c>
      <c r="N1929">
        <v>4.55</v>
      </c>
    </row>
    <row r="1930" spans="1:14" x14ac:dyDescent="0.2">
      <c r="A1930" s="34">
        <v>41411</v>
      </c>
      <c r="B1930">
        <v>4.9685969999999999</v>
      </c>
      <c r="C1930">
        <f t="shared" si="35"/>
        <v>4.0199999999999996</v>
      </c>
      <c r="M1930" s="34">
        <v>40540</v>
      </c>
      <c r="N1930">
        <v>4.5199999999999996</v>
      </c>
    </row>
    <row r="1931" spans="1:14" x14ac:dyDescent="0.2">
      <c r="A1931" s="34">
        <v>41410</v>
      </c>
      <c r="B1931">
        <v>4.968572</v>
      </c>
      <c r="C1931">
        <f t="shared" si="35"/>
        <v>4</v>
      </c>
      <c r="M1931" s="34">
        <v>40539</v>
      </c>
      <c r="N1931">
        <v>4.53</v>
      </c>
    </row>
    <row r="1932" spans="1:14" x14ac:dyDescent="0.2">
      <c r="A1932" s="34">
        <v>41409</v>
      </c>
      <c r="B1932">
        <v>4.9685480000000002</v>
      </c>
      <c r="C1932">
        <f t="shared" si="35"/>
        <v>4</v>
      </c>
      <c r="M1932" s="34">
        <v>40536</v>
      </c>
      <c r="N1932">
        <v>4.5</v>
      </c>
    </row>
    <row r="1933" spans="1:14" x14ac:dyDescent="0.2">
      <c r="A1933" s="34">
        <v>41408</v>
      </c>
      <c r="B1933">
        <v>4.9685240000000004</v>
      </c>
      <c r="C1933">
        <f t="shared" si="35"/>
        <v>3.99</v>
      </c>
      <c r="M1933" s="34">
        <v>40535</v>
      </c>
      <c r="N1933">
        <v>4.57</v>
      </c>
    </row>
    <row r="1934" spans="1:14" x14ac:dyDescent="0.2">
      <c r="A1934" s="34">
        <v>41407</v>
      </c>
      <c r="B1934">
        <v>4.9684999999999997</v>
      </c>
      <c r="C1934">
        <f t="shared" si="35"/>
        <v>4.0199999999999996</v>
      </c>
      <c r="M1934" s="34">
        <v>40534</v>
      </c>
      <c r="N1934">
        <v>4.54</v>
      </c>
    </row>
    <row r="1935" spans="1:14" x14ac:dyDescent="0.2">
      <c r="A1935" s="34">
        <v>41406</v>
      </c>
      <c r="B1935">
        <v>4.9684749999999998</v>
      </c>
      <c r="C1935">
        <f t="shared" si="35"/>
        <v>3.96</v>
      </c>
      <c r="M1935" s="34">
        <v>40533</v>
      </c>
      <c r="N1935">
        <v>4.53</v>
      </c>
    </row>
    <row r="1936" spans="1:14" x14ac:dyDescent="0.2">
      <c r="A1936" s="34">
        <v>41405</v>
      </c>
      <c r="B1936">
        <v>4.968451</v>
      </c>
      <c r="C1936">
        <f t="shared" si="35"/>
        <v>3.96</v>
      </c>
      <c r="M1936" s="34">
        <v>40532</v>
      </c>
      <c r="N1936">
        <v>4.5</v>
      </c>
    </row>
    <row r="1937" spans="1:14" x14ac:dyDescent="0.2">
      <c r="A1937" s="34">
        <v>41404</v>
      </c>
      <c r="B1937">
        <v>4.9684270000000001</v>
      </c>
      <c r="C1937">
        <f t="shared" si="35"/>
        <v>3.96</v>
      </c>
      <c r="M1937" s="34">
        <v>40529</v>
      </c>
      <c r="N1937">
        <v>4.53</v>
      </c>
    </row>
    <row r="1938" spans="1:14" x14ac:dyDescent="0.2">
      <c r="A1938" s="34">
        <v>41403</v>
      </c>
      <c r="B1938">
        <v>4.9687359999999998</v>
      </c>
      <c r="C1938">
        <f t="shared" si="35"/>
        <v>4.0199999999999996</v>
      </c>
      <c r="M1938" s="34">
        <v>40528</v>
      </c>
      <c r="N1938">
        <v>4.53</v>
      </c>
    </row>
    <row r="1939" spans="1:14" x14ac:dyDescent="0.2">
      <c r="A1939" s="34">
        <v>41402</v>
      </c>
      <c r="B1939">
        <v>4.9690459999999996</v>
      </c>
      <c r="C1939">
        <f t="shared" si="35"/>
        <v>4.01</v>
      </c>
      <c r="M1939" s="34">
        <v>40527</v>
      </c>
      <c r="N1939">
        <v>4.5999999999999996</v>
      </c>
    </row>
    <row r="1940" spans="1:14" x14ac:dyDescent="0.2">
      <c r="A1940" s="34">
        <v>41401</v>
      </c>
      <c r="B1940">
        <v>4.9693560000000003</v>
      </c>
      <c r="C1940">
        <f t="shared" si="35"/>
        <v>3.98</v>
      </c>
      <c r="M1940" s="34">
        <v>40526</v>
      </c>
      <c r="N1940">
        <v>4.5999999999999996</v>
      </c>
    </row>
    <row r="1941" spans="1:14" x14ac:dyDescent="0.2">
      <c r="A1941" s="34">
        <v>41400</v>
      </c>
      <c r="B1941">
        <v>4.969665</v>
      </c>
      <c r="C1941">
        <f t="shared" si="35"/>
        <v>3.97</v>
      </c>
      <c r="M1941" s="34">
        <v>40525</v>
      </c>
      <c r="N1941">
        <v>4.5999999999999996</v>
      </c>
    </row>
    <row r="1942" spans="1:14" x14ac:dyDescent="0.2">
      <c r="A1942" s="34">
        <v>41399</v>
      </c>
      <c r="B1942">
        <v>4.9699749999999998</v>
      </c>
      <c r="C1942">
        <f t="shared" si="35"/>
        <v>3.96</v>
      </c>
      <c r="M1942" s="34">
        <v>40522</v>
      </c>
      <c r="N1942">
        <v>4.62</v>
      </c>
    </row>
    <row r="1943" spans="1:14" x14ac:dyDescent="0.2">
      <c r="A1943" s="34">
        <v>41398</v>
      </c>
      <c r="B1943">
        <v>4.9702849999999996</v>
      </c>
      <c r="C1943">
        <f t="shared" si="35"/>
        <v>3.96</v>
      </c>
      <c r="M1943" s="34">
        <v>40521</v>
      </c>
      <c r="N1943">
        <v>4.6500000000000004</v>
      </c>
    </row>
    <row r="1944" spans="1:14" x14ac:dyDescent="0.2">
      <c r="A1944" s="34">
        <v>41397</v>
      </c>
      <c r="B1944">
        <v>4.9705940000000002</v>
      </c>
      <c r="C1944">
        <f t="shared" si="35"/>
        <v>3.96</v>
      </c>
      <c r="M1944" s="34">
        <v>40520</v>
      </c>
      <c r="N1944">
        <v>4.5599999999999996</v>
      </c>
    </row>
    <row r="1945" spans="1:14" x14ac:dyDescent="0.2">
      <c r="A1945" s="34">
        <v>41396</v>
      </c>
      <c r="B1945">
        <v>4.970904</v>
      </c>
      <c r="C1945">
        <f t="shared" si="35"/>
        <v>3.9</v>
      </c>
      <c r="M1945" s="34">
        <v>40519</v>
      </c>
      <c r="N1945">
        <v>4.4000000000000004</v>
      </c>
    </row>
    <row r="1946" spans="1:14" x14ac:dyDescent="0.2">
      <c r="A1946" s="34">
        <v>41395</v>
      </c>
      <c r="B1946">
        <v>4.9712139999999998</v>
      </c>
      <c r="C1946">
        <f t="shared" si="35"/>
        <v>4.05</v>
      </c>
      <c r="M1946" s="34">
        <v>40518</v>
      </c>
      <c r="N1946">
        <v>4.58</v>
      </c>
    </row>
    <row r="1947" spans="1:14" x14ac:dyDescent="0.2">
      <c r="A1947" s="34">
        <v>41394</v>
      </c>
      <c r="B1947">
        <v>4.9715239999999996</v>
      </c>
      <c r="C1947">
        <f t="shared" si="35"/>
        <v>4.05</v>
      </c>
      <c r="M1947" s="34">
        <v>40515</v>
      </c>
      <c r="N1947">
        <v>4.55</v>
      </c>
    </row>
    <row r="1948" spans="1:14" x14ac:dyDescent="0.2">
      <c r="A1948" s="34">
        <v>41393</v>
      </c>
      <c r="B1948">
        <v>4.9718340000000003</v>
      </c>
      <c r="C1948">
        <f t="shared" si="35"/>
        <v>4.0199999999999996</v>
      </c>
      <c r="M1948" s="34">
        <v>40514</v>
      </c>
      <c r="N1948">
        <v>4.58</v>
      </c>
    </row>
    <row r="1949" spans="1:14" x14ac:dyDescent="0.2">
      <c r="A1949" s="34">
        <v>41392</v>
      </c>
      <c r="B1949">
        <v>4.972143</v>
      </c>
      <c r="C1949">
        <f t="shared" si="35"/>
        <v>3.09</v>
      </c>
      <c r="M1949" s="34">
        <v>40513</v>
      </c>
      <c r="N1949">
        <v>4.72</v>
      </c>
    </row>
    <row r="1950" spans="1:14" x14ac:dyDescent="0.2">
      <c r="A1950" s="34">
        <v>41391</v>
      </c>
      <c r="B1950">
        <v>4.9724529999999998</v>
      </c>
      <c r="C1950">
        <f t="shared" si="35"/>
        <v>3.09</v>
      </c>
      <c r="M1950" s="34">
        <v>40512</v>
      </c>
      <c r="N1950">
        <v>4.5</v>
      </c>
    </row>
    <row r="1951" spans="1:14" x14ac:dyDescent="0.2">
      <c r="A1951" s="34">
        <v>41390</v>
      </c>
      <c r="B1951">
        <v>4.9727629999999996</v>
      </c>
      <c r="C1951">
        <f t="shared" si="35"/>
        <v>3.09</v>
      </c>
      <c r="M1951" s="34">
        <v>40511</v>
      </c>
      <c r="N1951">
        <v>4.5</v>
      </c>
    </row>
    <row r="1952" spans="1:14" x14ac:dyDescent="0.2">
      <c r="A1952" s="34">
        <v>41389</v>
      </c>
      <c r="B1952">
        <v>4.9730730000000003</v>
      </c>
      <c r="C1952">
        <f t="shared" si="35"/>
        <v>4.08</v>
      </c>
      <c r="M1952" s="34">
        <v>40508</v>
      </c>
      <c r="N1952">
        <v>4.53</v>
      </c>
    </row>
    <row r="1953" spans="1:14" x14ac:dyDescent="0.2">
      <c r="A1953" s="34">
        <v>41388</v>
      </c>
      <c r="B1953">
        <v>4.9720389999999997</v>
      </c>
      <c r="C1953">
        <f t="shared" si="35"/>
        <v>3.96</v>
      </c>
      <c r="M1953" s="34">
        <v>40507</v>
      </c>
      <c r="N1953">
        <v>4.53</v>
      </c>
    </row>
    <row r="1954" spans="1:14" x14ac:dyDescent="0.2">
      <c r="A1954" s="34">
        <v>41387</v>
      </c>
      <c r="B1954">
        <v>4.9710049999999999</v>
      </c>
      <c r="C1954">
        <f t="shared" si="35"/>
        <v>4.05</v>
      </c>
      <c r="M1954" s="34">
        <v>40506</v>
      </c>
      <c r="N1954">
        <v>4.51</v>
      </c>
    </row>
    <row r="1955" spans="1:14" x14ac:dyDescent="0.2">
      <c r="A1955" s="34">
        <v>41386</v>
      </c>
      <c r="B1955">
        <v>4.9699720000000003</v>
      </c>
      <c r="C1955">
        <f t="shared" si="35"/>
        <v>3.99</v>
      </c>
      <c r="M1955" s="34">
        <v>40505</v>
      </c>
      <c r="N1955">
        <v>4.5199999999999996</v>
      </c>
    </row>
    <row r="1956" spans="1:14" x14ac:dyDescent="0.2">
      <c r="A1956" s="34">
        <v>41385</v>
      </c>
      <c r="B1956">
        <v>4.9689379999999996</v>
      </c>
      <c r="C1956">
        <f t="shared" si="35"/>
        <v>4.04</v>
      </c>
      <c r="M1956" s="34">
        <v>40504</v>
      </c>
      <c r="N1956">
        <v>4.5999999999999996</v>
      </c>
    </row>
    <row r="1957" spans="1:14" x14ac:dyDescent="0.2">
      <c r="A1957" s="34">
        <v>41384</v>
      </c>
      <c r="B1957">
        <v>4.967905</v>
      </c>
      <c r="C1957">
        <f t="shared" si="35"/>
        <v>4.04</v>
      </c>
      <c r="M1957" s="34">
        <v>40501</v>
      </c>
      <c r="N1957">
        <v>4.5599999999999996</v>
      </c>
    </row>
    <row r="1958" spans="1:14" x14ac:dyDescent="0.2">
      <c r="A1958" s="34">
        <v>41383</v>
      </c>
      <c r="B1958">
        <v>4.9668720000000004</v>
      </c>
      <c r="C1958">
        <f t="shared" si="35"/>
        <v>4.04</v>
      </c>
      <c r="M1958" s="34">
        <v>40500</v>
      </c>
      <c r="N1958">
        <v>4.53</v>
      </c>
    </row>
    <row r="1959" spans="1:14" x14ac:dyDescent="0.2">
      <c r="A1959" s="34">
        <v>41382</v>
      </c>
      <c r="B1959">
        <v>4.9658389999999999</v>
      </c>
      <c r="C1959">
        <f t="shared" si="35"/>
        <v>4.01</v>
      </c>
      <c r="M1959" s="34">
        <v>40499</v>
      </c>
      <c r="N1959">
        <v>4.5999999999999996</v>
      </c>
    </row>
    <row r="1960" spans="1:14" x14ac:dyDescent="0.2">
      <c r="A1960" s="34">
        <v>41381</v>
      </c>
      <c r="B1960">
        <v>4.9648070000000004</v>
      </c>
      <c r="C1960">
        <f t="shared" si="35"/>
        <v>3.98</v>
      </c>
      <c r="M1960" s="34">
        <v>40498</v>
      </c>
      <c r="N1960">
        <v>4.51</v>
      </c>
    </row>
    <row r="1961" spans="1:14" x14ac:dyDescent="0.2">
      <c r="A1961" s="34">
        <v>41380</v>
      </c>
      <c r="B1961">
        <v>4.963775</v>
      </c>
      <c r="C1961">
        <f t="shared" si="35"/>
        <v>3.97</v>
      </c>
      <c r="M1961" s="34">
        <v>40494</v>
      </c>
      <c r="N1961">
        <v>4.53</v>
      </c>
    </row>
    <row r="1962" spans="1:14" x14ac:dyDescent="0.2">
      <c r="A1962" s="34">
        <v>41379</v>
      </c>
      <c r="B1962">
        <v>4.9627420000000004</v>
      </c>
      <c r="C1962">
        <f t="shared" si="35"/>
        <v>4.07</v>
      </c>
      <c r="M1962" s="34">
        <v>40493</v>
      </c>
      <c r="N1962">
        <v>4.55</v>
      </c>
    </row>
    <row r="1963" spans="1:14" x14ac:dyDescent="0.2">
      <c r="A1963" s="34">
        <v>41378</v>
      </c>
      <c r="B1963">
        <v>4.9617110000000002</v>
      </c>
      <c r="C1963">
        <f t="shared" si="35"/>
        <v>4.01</v>
      </c>
      <c r="M1963" s="34">
        <v>40492</v>
      </c>
      <c r="N1963">
        <v>4.5199999999999996</v>
      </c>
    </row>
    <row r="1964" spans="1:14" x14ac:dyDescent="0.2">
      <c r="A1964" s="34">
        <v>41377</v>
      </c>
      <c r="B1964">
        <v>4.9606789999999998</v>
      </c>
      <c r="C1964">
        <f t="shared" si="35"/>
        <v>4.01</v>
      </c>
      <c r="M1964" s="34">
        <v>40491</v>
      </c>
      <c r="N1964">
        <v>4.5</v>
      </c>
    </row>
    <row r="1965" spans="1:14" x14ac:dyDescent="0.2">
      <c r="A1965" s="34">
        <v>41376</v>
      </c>
      <c r="B1965">
        <v>4.9596470000000004</v>
      </c>
      <c r="C1965">
        <f t="shared" si="35"/>
        <v>4.01</v>
      </c>
      <c r="M1965" s="34">
        <v>40490</v>
      </c>
      <c r="N1965">
        <v>4.51</v>
      </c>
    </row>
    <row r="1966" spans="1:14" x14ac:dyDescent="0.2">
      <c r="A1966" s="34">
        <v>41375</v>
      </c>
      <c r="B1966">
        <v>4.9586160000000001</v>
      </c>
      <c r="C1966">
        <f t="shared" si="35"/>
        <v>3.98</v>
      </c>
      <c r="M1966" s="34">
        <v>40487</v>
      </c>
      <c r="N1966">
        <v>4.5199999999999996</v>
      </c>
    </row>
    <row r="1967" spans="1:14" x14ac:dyDescent="0.2">
      <c r="A1967" s="34">
        <v>41374</v>
      </c>
      <c r="B1967">
        <v>4.9575849999999999</v>
      </c>
      <c r="C1967">
        <f t="shared" si="35"/>
        <v>3.95</v>
      </c>
      <c r="M1967" s="34">
        <v>40486</v>
      </c>
      <c r="N1967">
        <v>4.5</v>
      </c>
    </row>
    <row r="1968" spans="1:14" x14ac:dyDescent="0.2">
      <c r="A1968" s="34">
        <v>41373</v>
      </c>
      <c r="B1968">
        <v>4.9559759999999997</v>
      </c>
      <c r="C1968">
        <f t="shared" si="35"/>
        <v>3.95</v>
      </c>
      <c r="M1968" s="34">
        <v>40485</v>
      </c>
      <c r="N1968">
        <v>4.8</v>
      </c>
    </row>
    <row r="1969" spans="1:14" x14ac:dyDescent="0.2">
      <c r="A1969" s="34">
        <v>41372</v>
      </c>
      <c r="B1969">
        <v>4.9543660000000003</v>
      </c>
      <c r="C1969">
        <f t="shared" si="35"/>
        <v>4.0199999999999996</v>
      </c>
      <c r="M1969" s="34">
        <v>40483</v>
      </c>
      <c r="N1969">
        <v>4.55</v>
      </c>
    </row>
    <row r="1970" spans="1:14" x14ac:dyDescent="0.2">
      <c r="A1970" s="34">
        <v>41371</v>
      </c>
      <c r="B1970">
        <v>4.9527580000000002</v>
      </c>
      <c r="C1970">
        <f t="shared" si="35"/>
        <v>3.96</v>
      </c>
      <c r="M1970" s="34">
        <v>40480</v>
      </c>
      <c r="N1970">
        <v>4.53</v>
      </c>
    </row>
    <row r="1971" spans="1:14" x14ac:dyDescent="0.2">
      <c r="A1971" s="34">
        <v>41370</v>
      </c>
      <c r="B1971">
        <v>4.9511500000000002</v>
      </c>
      <c r="C1971">
        <f t="shared" si="35"/>
        <v>3.96</v>
      </c>
      <c r="M1971" s="34">
        <v>40479</v>
      </c>
      <c r="N1971">
        <v>4.5999999999999996</v>
      </c>
    </row>
    <row r="1972" spans="1:14" x14ac:dyDescent="0.2">
      <c r="A1972" s="34">
        <v>41369</v>
      </c>
      <c r="B1972">
        <v>4.9495420000000001</v>
      </c>
      <c r="C1972">
        <f t="shared" si="35"/>
        <v>3.96</v>
      </c>
      <c r="M1972" s="34">
        <v>40478</v>
      </c>
      <c r="N1972">
        <v>4.3</v>
      </c>
    </row>
    <row r="1973" spans="1:14" x14ac:dyDescent="0.2">
      <c r="A1973" s="34">
        <v>41368</v>
      </c>
      <c r="B1973">
        <v>4.9479350000000002</v>
      </c>
      <c r="C1973">
        <f t="shared" si="35"/>
        <v>4.03</v>
      </c>
      <c r="M1973" s="34">
        <v>40477</v>
      </c>
      <c r="N1973">
        <v>4.47</v>
      </c>
    </row>
    <row r="1974" spans="1:14" x14ac:dyDescent="0.2">
      <c r="A1974" s="34">
        <v>41367</v>
      </c>
      <c r="B1974">
        <v>4.9463290000000004</v>
      </c>
      <c r="C1974">
        <f t="shared" si="35"/>
        <v>3.98</v>
      </c>
      <c r="M1974" s="34">
        <v>40476</v>
      </c>
      <c r="N1974">
        <v>4.5</v>
      </c>
    </row>
    <row r="1975" spans="1:14" x14ac:dyDescent="0.2">
      <c r="A1975" s="34">
        <v>41366</v>
      </c>
      <c r="B1975">
        <v>4.9447229999999998</v>
      </c>
      <c r="C1975">
        <f t="shared" si="35"/>
        <v>3.98</v>
      </c>
      <c r="M1975" s="34">
        <v>40473</v>
      </c>
      <c r="N1975">
        <v>4.54</v>
      </c>
    </row>
    <row r="1976" spans="1:14" x14ac:dyDescent="0.2">
      <c r="A1976" s="34">
        <v>41365</v>
      </c>
      <c r="B1976">
        <v>4.943117</v>
      </c>
      <c r="C1976">
        <f t="shared" si="35"/>
        <v>3.98</v>
      </c>
      <c r="M1976" s="34">
        <v>40472</v>
      </c>
      <c r="N1976">
        <v>4.54</v>
      </c>
    </row>
    <row r="1977" spans="1:14" x14ac:dyDescent="0.2">
      <c r="A1977" s="34">
        <v>41364</v>
      </c>
      <c r="B1977">
        <v>4.9415120000000003</v>
      </c>
      <c r="C1977">
        <f t="shared" si="35"/>
        <v>4.07</v>
      </c>
      <c r="M1977" s="34">
        <v>40471</v>
      </c>
      <c r="N1977">
        <v>4.5999999999999996</v>
      </c>
    </row>
    <row r="1978" spans="1:14" x14ac:dyDescent="0.2">
      <c r="A1978" s="34">
        <v>41363</v>
      </c>
      <c r="B1978">
        <v>4.939908</v>
      </c>
      <c r="C1978">
        <f t="shared" si="35"/>
        <v>4.07</v>
      </c>
      <c r="M1978" s="34">
        <v>40470</v>
      </c>
      <c r="N1978">
        <v>4.49</v>
      </c>
    </row>
    <row r="1979" spans="1:14" x14ac:dyDescent="0.2">
      <c r="A1979" s="34">
        <v>41362</v>
      </c>
      <c r="B1979">
        <v>4.9383039999999996</v>
      </c>
      <c r="C1979">
        <f t="shared" si="35"/>
        <v>4.07</v>
      </c>
      <c r="M1979" s="34">
        <v>40469</v>
      </c>
      <c r="N1979">
        <v>4.47</v>
      </c>
    </row>
    <row r="1980" spans="1:14" x14ac:dyDescent="0.2">
      <c r="A1980" s="34">
        <v>41361</v>
      </c>
      <c r="B1980">
        <v>4.9367010000000002</v>
      </c>
      <c r="C1980">
        <f t="shared" si="35"/>
        <v>4.07</v>
      </c>
      <c r="M1980" s="34">
        <v>40466</v>
      </c>
      <c r="N1980">
        <v>4.3499999999999996</v>
      </c>
    </row>
    <row r="1981" spans="1:14" x14ac:dyDescent="0.2">
      <c r="A1981" s="34">
        <v>41360</v>
      </c>
      <c r="B1981">
        <v>4.935098</v>
      </c>
      <c r="C1981">
        <f t="shared" si="35"/>
        <v>4.07</v>
      </c>
      <c r="M1981" s="34">
        <v>40465</v>
      </c>
      <c r="N1981">
        <v>4.45</v>
      </c>
    </row>
    <row r="1982" spans="1:14" x14ac:dyDescent="0.2">
      <c r="A1982" s="34">
        <v>41359</v>
      </c>
      <c r="B1982">
        <v>4.9334949999999997</v>
      </c>
      <c r="C1982">
        <f t="shared" si="35"/>
        <v>4.25</v>
      </c>
      <c r="M1982" s="34">
        <v>40464</v>
      </c>
      <c r="N1982">
        <v>4.43</v>
      </c>
    </row>
    <row r="1983" spans="1:14" x14ac:dyDescent="0.2">
      <c r="A1983" s="34">
        <v>41358</v>
      </c>
      <c r="B1983">
        <v>4.9318929999999996</v>
      </c>
      <c r="C1983">
        <f t="shared" si="35"/>
        <v>3.98</v>
      </c>
      <c r="M1983" s="34">
        <v>40463</v>
      </c>
      <c r="N1983">
        <v>4.55</v>
      </c>
    </row>
    <row r="1984" spans="1:14" x14ac:dyDescent="0.2">
      <c r="A1984" s="34">
        <v>41357</v>
      </c>
      <c r="B1984">
        <v>4.9315319999999998</v>
      </c>
      <c r="C1984">
        <f t="shared" si="35"/>
        <v>4.0199999999999996</v>
      </c>
      <c r="M1984" s="34">
        <v>40462</v>
      </c>
      <c r="N1984">
        <v>4.45</v>
      </c>
    </row>
    <row r="1985" spans="1:14" x14ac:dyDescent="0.2">
      <c r="A1985" s="34">
        <v>41356</v>
      </c>
      <c r="B1985">
        <v>4.9311699999999998</v>
      </c>
      <c r="C1985">
        <f t="shared" si="35"/>
        <v>4.0199999999999996</v>
      </c>
      <c r="M1985" s="34">
        <v>40459</v>
      </c>
      <c r="N1985">
        <v>4.54</v>
      </c>
    </row>
    <row r="1986" spans="1:14" x14ac:dyDescent="0.2">
      <c r="A1986" s="34">
        <v>41355</v>
      </c>
      <c r="B1986">
        <v>4.930809</v>
      </c>
      <c r="C1986">
        <f t="shared" ref="C1986:C2049" si="36">IFERROR(VLOOKUP(A1986,$M$2:$N$3695,2,0),C1987)</f>
        <v>4.0199999999999996</v>
      </c>
      <c r="M1986" s="34">
        <v>40458</v>
      </c>
      <c r="N1986">
        <v>4.47</v>
      </c>
    </row>
    <row r="1987" spans="1:14" x14ac:dyDescent="0.2">
      <c r="A1987" s="34">
        <v>41354</v>
      </c>
      <c r="B1987">
        <v>4.930447</v>
      </c>
      <c r="C1987">
        <f t="shared" si="36"/>
        <v>4</v>
      </c>
      <c r="M1987" s="34">
        <v>40457</v>
      </c>
      <c r="N1987">
        <v>4.53</v>
      </c>
    </row>
    <row r="1988" spans="1:14" x14ac:dyDescent="0.2">
      <c r="A1988" s="34">
        <v>41353</v>
      </c>
      <c r="B1988">
        <v>4.9300860000000002</v>
      </c>
      <c r="C1988">
        <f t="shared" si="36"/>
        <v>3.96</v>
      </c>
      <c r="M1988" s="34">
        <v>40456</v>
      </c>
      <c r="N1988">
        <v>4.51</v>
      </c>
    </row>
    <row r="1989" spans="1:14" x14ac:dyDescent="0.2">
      <c r="A1989" s="34">
        <v>41352</v>
      </c>
      <c r="B1989">
        <v>4.9297240000000002</v>
      </c>
      <c r="C1989">
        <f t="shared" si="36"/>
        <v>3.98</v>
      </c>
      <c r="M1989" s="34">
        <v>40455</v>
      </c>
      <c r="N1989">
        <v>4.6100000000000003</v>
      </c>
    </row>
    <row r="1990" spans="1:14" x14ac:dyDescent="0.2">
      <c r="A1990" s="34">
        <v>41351</v>
      </c>
      <c r="B1990">
        <v>4.9293630000000004</v>
      </c>
      <c r="C1990">
        <f t="shared" si="36"/>
        <v>4.0199999999999996</v>
      </c>
      <c r="M1990" s="34">
        <v>40452</v>
      </c>
      <c r="N1990">
        <v>4.4000000000000004</v>
      </c>
    </row>
    <row r="1991" spans="1:14" x14ac:dyDescent="0.2">
      <c r="A1991" s="34">
        <v>41350</v>
      </c>
      <c r="B1991">
        <v>4.9290019999999997</v>
      </c>
      <c r="C1991">
        <f t="shared" si="36"/>
        <v>4.0199999999999996</v>
      </c>
      <c r="M1991" s="34">
        <v>40451</v>
      </c>
      <c r="N1991">
        <v>4.45</v>
      </c>
    </row>
    <row r="1992" spans="1:14" x14ac:dyDescent="0.2">
      <c r="A1992" s="34">
        <v>41349</v>
      </c>
      <c r="B1992">
        <v>4.9286399999999997</v>
      </c>
      <c r="C1992">
        <f t="shared" si="36"/>
        <v>4.0199999999999996</v>
      </c>
      <c r="M1992" s="34">
        <v>40450</v>
      </c>
      <c r="N1992">
        <v>4.53</v>
      </c>
    </row>
    <row r="1993" spans="1:14" x14ac:dyDescent="0.2">
      <c r="A1993" s="34">
        <v>41348</v>
      </c>
      <c r="B1993">
        <v>4.9282789999999999</v>
      </c>
      <c r="C1993">
        <f t="shared" si="36"/>
        <v>4.0199999999999996</v>
      </c>
      <c r="M1993" s="34">
        <v>40449</v>
      </c>
      <c r="N1993">
        <v>4.5</v>
      </c>
    </row>
    <row r="1994" spans="1:14" x14ac:dyDescent="0.2">
      <c r="A1994" s="34">
        <v>41347</v>
      </c>
      <c r="B1994">
        <v>4.927918</v>
      </c>
      <c r="C1994">
        <f t="shared" si="36"/>
        <v>4</v>
      </c>
      <c r="M1994" s="34">
        <v>40448</v>
      </c>
      <c r="N1994">
        <v>4.45</v>
      </c>
    </row>
    <row r="1995" spans="1:14" x14ac:dyDescent="0.2">
      <c r="A1995" s="34">
        <v>41346</v>
      </c>
      <c r="B1995">
        <v>4.927556</v>
      </c>
      <c r="C1995">
        <f t="shared" si="36"/>
        <v>3.98</v>
      </c>
      <c r="M1995" s="34">
        <v>40445</v>
      </c>
      <c r="N1995">
        <v>4.5199999999999996</v>
      </c>
    </row>
    <row r="1996" spans="1:14" x14ac:dyDescent="0.2">
      <c r="A1996" s="34">
        <v>41345</v>
      </c>
      <c r="B1996">
        <v>4.9271950000000002</v>
      </c>
      <c r="C1996">
        <f t="shared" si="36"/>
        <v>3.99</v>
      </c>
      <c r="M1996" s="34">
        <v>40444</v>
      </c>
      <c r="N1996">
        <v>4.53</v>
      </c>
    </row>
    <row r="1997" spans="1:14" x14ac:dyDescent="0.2">
      <c r="A1997" s="34">
        <v>41344</v>
      </c>
      <c r="B1997">
        <v>4.9268340000000004</v>
      </c>
      <c r="C1997">
        <f t="shared" si="36"/>
        <v>3.95</v>
      </c>
      <c r="M1997" s="34">
        <v>40443</v>
      </c>
      <c r="N1997">
        <v>4.51</v>
      </c>
    </row>
    <row r="1998" spans="1:14" x14ac:dyDescent="0.2">
      <c r="A1998" s="34">
        <v>41343</v>
      </c>
      <c r="B1998">
        <v>4.9264729999999997</v>
      </c>
      <c r="C1998">
        <f t="shared" si="36"/>
        <v>3.9</v>
      </c>
      <c r="M1998" s="34">
        <v>40442</v>
      </c>
      <c r="N1998">
        <v>4.55</v>
      </c>
    </row>
    <row r="1999" spans="1:14" x14ac:dyDescent="0.2">
      <c r="A1999" s="34">
        <v>41342</v>
      </c>
      <c r="B1999">
        <v>4.9255709999999997</v>
      </c>
      <c r="C1999">
        <f t="shared" si="36"/>
        <v>3.9</v>
      </c>
      <c r="M1999" s="34">
        <v>40441</v>
      </c>
      <c r="N1999">
        <v>4.5</v>
      </c>
    </row>
    <row r="2000" spans="1:14" x14ac:dyDescent="0.2">
      <c r="A2000" s="34">
        <v>41341</v>
      </c>
      <c r="B2000">
        <v>4.9246699999999999</v>
      </c>
      <c r="C2000">
        <f t="shared" si="36"/>
        <v>3.9</v>
      </c>
      <c r="M2000" s="34">
        <v>40436</v>
      </c>
      <c r="N2000">
        <v>4.5</v>
      </c>
    </row>
    <row r="2001" spans="1:14" x14ac:dyDescent="0.2">
      <c r="A2001" s="34">
        <v>41340</v>
      </c>
      <c r="B2001">
        <v>4.9237690000000001</v>
      </c>
      <c r="C2001">
        <f t="shared" si="36"/>
        <v>4.4000000000000004</v>
      </c>
      <c r="M2001" s="34">
        <v>40435</v>
      </c>
      <c r="N2001">
        <v>4.54</v>
      </c>
    </row>
    <row r="2002" spans="1:14" x14ac:dyDescent="0.2">
      <c r="A2002" s="34">
        <v>41339</v>
      </c>
      <c r="B2002">
        <v>4.9228680000000002</v>
      </c>
      <c r="C2002">
        <f t="shared" si="36"/>
        <v>4.53</v>
      </c>
      <c r="M2002" s="34">
        <v>40434</v>
      </c>
      <c r="N2002">
        <v>4.5</v>
      </c>
    </row>
    <row r="2003" spans="1:14" x14ac:dyDescent="0.2">
      <c r="A2003" s="34">
        <v>41338</v>
      </c>
      <c r="B2003">
        <v>4.9219670000000004</v>
      </c>
      <c r="C2003">
        <f t="shared" si="36"/>
        <v>4.9000000000000004</v>
      </c>
      <c r="M2003" s="34">
        <v>40431</v>
      </c>
      <c r="N2003">
        <v>4.55</v>
      </c>
    </row>
    <row r="2004" spans="1:14" x14ac:dyDescent="0.2">
      <c r="A2004" s="34">
        <v>41337</v>
      </c>
      <c r="B2004">
        <v>4.9210659999999997</v>
      </c>
      <c r="C2004">
        <f t="shared" si="36"/>
        <v>4.45</v>
      </c>
      <c r="M2004" s="34">
        <v>40430</v>
      </c>
      <c r="N2004">
        <v>4.53</v>
      </c>
    </row>
    <row r="2005" spans="1:14" x14ac:dyDescent="0.2">
      <c r="A2005" s="34">
        <v>41336</v>
      </c>
      <c r="B2005">
        <v>4.9201649999999999</v>
      </c>
      <c r="C2005">
        <f t="shared" si="36"/>
        <v>4.51</v>
      </c>
      <c r="M2005" s="34">
        <v>40429</v>
      </c>
      <c r="N2005">
        <v>4.5199999999999996</v>
      </c>
    </row>
    <row r="2006" spans="1:14" x14ac:dyDescent="0.2">
      <c r="A2006" s="34">
        <v>41335</v>
      </c>
      <c r="B2006">
        <v>4.9192650000000002</v>
      </c>
      <c r="C2006">
        <f t="shared" si="36"/>
        <v>4.51</v>
      </c>
      <c r="M2006" s="34">
        <v>40428</v>
      </c>
      <c r="N2006">
        <v>4.53</v>
      </c>
    </row>
    <row r="2007" spans="1:14" x14ac:dyDescent="0.2">
      <c r="A2007" s="34">
        <v>41334</v>
      </c>
      <c r="B2007">
        <v>4.9183649999999997</v>
      </c>
      <c r="C2007">
        <f t="shared" si="36"/>
        <v>4.51</v>
      </c>
      <c r="M2007" s="34">
        <v>40427</v>
      </c>
      <c r="N2007">
        <v>4.5</v>
      </c>
    </row>
    <row r="2008" spans="1:14" x14ac:dyDescent="0.2">
      <c r="A2008" s="34">
        <v>41333</v>
      </c>
      <c r="B2008">
        <v>4.917465</v>
      </c>
      <c r="C2008">
        <f t="shared" si="36"/>
        <v>4.45</v>
      </c>
      <c r="M2008" s="34">
        <v>40424</v>
      </c>
      <c r="N2008">
        <v>4.58</v>
      </c>
    </row>
    <row r="2009" spans="1:14" x14ac:dyDescent="0.2">
      <c r="A2009" s="34">
        <v>41332</v>
      </c>
      <c r="B2009">
        <v>4.9165650000000003</v>
      </c>
      <c r="C2009">
        <f t="shared" si="36"/>
        <v>4.53</v>
      </c>
      <c r="M2009" s="34">
        <v>40423</v>
      </c>
      <c r="N2009">
        <v>4.54</v>
      </c>
    </row>
    <row r="2010" spans="1:14" x14ac:dyDescent="0.2">
      <c r="A2010" s="34">
        <v>41331</v>
      </c>
      <c r="B2010">
        <v>4.9156649999999997</v>
      </c>
      <c r="C2010">
        <f t="shared" si="36"/>
        <v>4.4800000000000004</v>
      </c>
      <c r="M2010" s="34">
        <v>40422</v>
      </c>
      <c r="N2010">
        <v>4.51</v>
      </c>
    </row>
    <row r="2011" spans="1:14" x14ac:dyDescent="0.2">
      <c r="A2011" s="34">
        <v>41330</v>
      </c>
      <c r="B2011">
        <v>4.9147660000000002</v>
      </c>
      <c r="C2011">
        <f t="shared" si="36"/>
        <v>4.5599999999999996</v>
      </c>
      <c r="M2011" s="34">
        <v>40421</v>
      </c>
      <c r="N2011">
        <v>4.58</v>
      </c>
    </row>
    <row r="2012" spans="1:14" x14ac:dyDescent="0.2">
      <c r="A2012" s="34">
        <v>41329</v>
      </c>
      <c r="B2012">
        <v>4.9134599999999997</v>
      </c>
      <c r="C2012">
        <f t="shared" si="36"/>
        <v>4.5199999999999996</v>
      </c>
      <c r="M2012" s="34">
        <v>40420</v>
      </c>
      <c r="N2012">
        <v>4.5</v>
      </c>
    </row>
    <row r="2013" spans="1:14" x14ac:dyDescent="0.2">
      <c r="A2013" s="34">
        <v>41328</v>
      </c>
      <c r="B2013">
        <v>4.9121560000000004</v>
      </c>
      <c r="C2013">
        <f t="shared" si="36"/>
        <v>4.5199999999999996</v>
      </c>
      <c r="M2013" s="34">
        <v>40417</v>
      </c>
      <c r="N2013">
        <v>4.55</v>
      </c>
    </row>
    <row r="2014" spans="1:14" x14ac:dyDescent="0.2">
      <c r="A2014" s="34">
        <v>41327</v>
      </c>
      <c r="B2014">
        <v>4.9108510000000001</v>
      </c>
      <c r="C2014">
        <f t="shared" si="36"/>
        <v>4.5199999999999996</v>
      </c>
      <c r="M2014" s="34">
        <v>40416</v>
      </c>
      <c r="N2014">
        <v>4.5</v>
      </c>
    </row>
    <row r="2015" spans="1:14" x14ac:dyDescent="0.2">
      <c r="A2015" s="34">
        <v>41326</v>
      </c>
      <c r="B2015">
        <v>4.9095469999999999</v>
      </c>
      <c r="C2015">
        <f t="shared" si="36"/>
        <v>4.53</v>
      </c>
      <c r="M2015" s="34">
        <v>40415</v>
      </c>
      <c r="N2015">
        <v>4.6100000000000003</v>
      </c>
    </row>
    <row r="2016" spans="1:14" x14ac:dyDescent="0.2">
      <c r="A2016" s="34">
        <v>41325</v>
      </c>
      <c r="B2016">
        <v>4.9082429999999997</v>
      </c>
      <c r="C2016">
        <f t="shared" si="36"/>
        <v>4.47</v>
      </c>
      <c r="M2016" s="34">
        <v>40414</v>
      </c>
      <c r="N2016">
        <v>4.5999999999999996</v>
      </c>
    </row>
    <row r="2017" spans="1:14" x14ac:dyDescent="0.2">
      <c r="A2017" s="34">
        <v>41324</v>
      </c>
      <c r="B2017">
        <v>4.9069399999999996</v>
      </c>
      <c r="C2017">
        <f t="shared" si="36"/>
        <v>4.5</v>
      </c>
      <c r="M2017" s="34">
        <v>40413</v>
      </c>
      <c r="N2017">
        <v>4.5999999999999996</v>
      </c>
    </row>
    <row r="2018" spans="1:14" x14ac:dyDescent="0.2">
      <c r="A2018" s="34">
        <v>41323</v>
      </c>
      <c r="B2018">
        <v>4.9056360000000003</v>
      </c>
      <c r="C2018">
        <f t="shared" si="36"/>
        <v>4.5199999999999996</v>
      </c>
      <c r="M2018" s="34">
        <v>40410</v>
      </c>
      <c r="N2018">
        <v>4.6100000000000003</v>
      </c>
    </row>
    <row r="2019" spans="1:14" x14ac:dyDescent="0.2">
      <c r="A2019" s="34">
        <v>41322</v>
      </c>
      <c r="B2019">
        <v>4.9043340000000004</v>
      </c>
      <c r="C2019">
        <f t="shared" si="36"/>
        <v>4.54</v>
      </c>
      <c r="M2019" s="34">
        <v>40409</v>
      </c>
      <c r="N2019">
        <v>4.59</v>
      </c>
    </row>
    <row r="2020" spans="1:14" x14ac:dyDescent="0.2">
      <c r="A2020" s="34">
        <v>41321</v>
      </c>
      <c r="B2020">
        <v>4.9030310000000004</v>
      </c>
      <c r="C2020">
        <f t="shared" si="36"/>
        <v>4.54</v>
      </c>
      <c r="M2020" s="34">
        <v>40408</v>
      </c>
      <c r="N2020">
        <v>4.58</v>
      </c>
    </row>
    <row r="2021" spans="1:14" x14ac:dyDescent="0.2">
      <c r="A2021" s="34">
        <v>41320</v>
      </c>
      <c r="B2021">
        <v>4.9017289999999996</v>
      </c>
      <c r="C2021">
        <f t="shared" si="36"/>
        <v>4.54</v>
      </c>
      <c r="M2021" s="34">
        <v>40407</v>
      </c>
      <c r="N2021">
        <v>4.5999999999999996</v>
      </c>
    </row>
    <row r="2022" spans="1:14" x14ac:dyDescent="0.2">
      <c r="A2022" s="34">
        <v>41319</v>
      </c>
      <c r="B2022">
        <v>4.9004269999999996</v>
      </c>
      <c r="C2022">
        <f t="shared" si="36"/>
        <v>4.4800000000000004</v>
      </c>
      <c r="M2022" s="34">
        <v>40406</v>
      </c>
      <c r="N2022">
        <v>4.55</v>
      </c>
    </row>
    <row r="2023" spans="1:14" x14ac:dyDescent="0.2">
      <c r="A2023" s="34">
        <v>41318</v>
      </c>
      <c r="B2023">
        <v>4.8991259999999999</v>
      </c>
      <c r="C2023">
        <f t="shared" si="36"/>
        <v>4.5</v>
      </c>
      <c r="M2023" s="34">
        <v>40403</v>
      </c>
      <c r="N2023">
        <v>4.55</v>
      </c>
    </row>
    <row r="2024" spans="1:14" x14ac:dyDescent="0.2">
      <c r="A2024" s="34">
        <v>41317</v>
      </c>
      <c r="B2024">
        <v>4.8978250000000001</v>
      </c>
      <c r="C2024">
        <f t="shared" si="36"/>
        <v>4.46</v>
      </c>
      <c r="M2024" s="34">
        <v>40402</v>
      </c>
      <c r="N2024">
        <v>4.5999999999999996</v>
      </c>
    </row>
    <row r="2025" spans="1:14" x14ac:dyDescent="0.2">
      <c r="A2025" s="34">
        <v>41316</v>
      </c>
      <c r="B2025">
        <v>4.8965240000000003</v>
      </c>
      <c r="C2025">
        <f t="shared" si="36"/>
        <v>4.46</v>
      </c>
      <c r="M2025" s="34">
        <v>40401</v>
      </c>
      <c r="N2025">
        <v>4.5999999999999996</v>
      </c>
    </row>
    <row r="2026" spans="1:14" x14ac:dyDescent="0.2">
      <c r="A2026" s="34">
        <v>41315</v>
      </c>
      <c r="B2026">
        <v>4.8952239999999998</v>
      </c>
      <c r="C2026">
        <f t="shared" si="36"/>
        <v>4.45</v>
      </c>
      <c r="M2026" s="34">
        <v>40400</v>
      </c>
      <c r="N2026">
        <v>4.58</v>
      </c>
    </row>
    <row r="2027" spans="1:14" x14ac:dyDescent="0.2">
      <c r="A2027" s="34">
        <v>41314</v>
      </c>
      <c r="B2027">
        <v>4.8947539999999998</v>
      </c>
      <c r="C2027">
        <f t="shared" si="36"/>
        <v>4.45</v>
      </c>
      <c r="M2027" s="34">
        <v>40399</v>
      </c>
      <c r="N2027">
        <v>4.57</v>
      </c>
    </row>
    <row r="2028" spans="1:14" x14ac:dyDescent="0.2">
      <c r="A2028" s="34">
        <v>41313</v>
      </c>
      <c r="B2028">
        <v>4.8942829999999997</v>
      </c>
      <c r="C2028">
        <f t="shared" si="36"/>
        <v>4.45</v>
      </c>
      <c r="M2028" s="34">
        <v>40396</v>
      </c>
      <c r="N2028">
        <v>4.5599999999999996</v>
      </c>
    </row>
    <row r="2029" spans="1:14" x14ac:dyDescent="0.2">
      <c r="A2029" s="34">
        <v>41312</v>
      </c>
      <c r="B2029">
        <v>4.8938129999999997</v>
      </c>
      <c r="C2029">
        <f t="shared" si="36"/>
        <v>4.46</v>
      </c>
      <c r="M2029" s="34">
        <v>40395</v>
      </c>
      <c r="N2029">
        <v>4.57</v>
      </c>
    </row>
    <row r="2030" spans="1:14" x14ac:dyDescent="0.2">
      <c r="A2030" s="34">
        <v>41311</v>
      </c>
      <c r="B2030">
        <v>4.8933429999999998</v>
      </c>
      <c r="C2030">
        <f t="shared" si="36"/>
        <v>4.51</v>
      </c>
      <c r="M2030" s="34">
        <v>40394</v>
      </c>
      <c r="N2030">
        <v>4.57</v>
      </c>
    </row>
    <row r="2031" spans="1:14" x14ac:dyDescent="0.2">
      <c r="A2031" s="34">
        <v>41310</v>
      </c>
      <c r="B2031">
        <v>4.8928739999999999</v>
      </c>
      <c r="C2031">
        <f t="shared" si="36"/>
        <v>4.45</v>
      </c>
      <c r="M2031" s="34">
        <v>40393</v>
      </c>
      <c r="N2031">
        <v>4.55</v>
      </c>
    </row>
    <row r="2032" spans="1:14" x14ac:dyDescent="0.2">
      <c r="A2032" s="34">
        <v>41309</v>
      </c>
      <c r="B2032">
        <v>4.892404</v>
      </c>
      <c r="C2032">
        <f t="shared" si="36"/>
        <v>4.4800000000000004</v>
      </c>
      <c r="M2032" s="34">
        <v>40392</v>
      </c>
      <c r="N2032">
        <v>4.53</v>
      </c>
    </row>
    <row r="2033" spans="1:14" x14ac:dyDescent="0.2">
      <c r="A2033" s="34">
        <v>41308</v>
      </c>
      <c r="B2033">
        <v>4.891934</v>
      </c>
      <c r="C2033">
        <f t="shared" si="36"/>
        <v>4.4800000000000004</v>
      </c>
      <c r="M2033" s="34">
        <v>40389</v>
      </c>
      <c r="N2033">
        <v>4.6100000000000003</v>
      </c>
    </row>
    <row r="2034" spans="1:14" x14ac:dyDescent="0.2">
      <c r="A2034" s="34">
        <v>41307</v>
      </c>
      <c r="B2034">
        <v>4.891464</v>
      </c>
      <c r="C2034">
        <f t="shared" si="36"/>
        <v>4.4800000000000004</v>
      </c>
      <c r="M2034" s="34">
        <v>40388</v>
      </c>
      <c r="N2034">
        <v>4.54</v>
      </c>
    </row>
    <row r="2035" spans="1:14" x14ac:dyDescent="0.2">
      <c r="A2035" s="34">
        <v>41306</v>
      </c>
      <c r="B2035">
        <v>4.8909940000000001</v>
      </c>
      <c r="C2035">
        <f t="shared" si="36"/>
        <v>4.4800000000000004</v>
      </c>
      <c r="M2035" s="34">
        <v>40387</v>
      </c>
      <c r="N2035">
        <v>4.55</v>
      </c>
    </row>
    <row r="2036" spans="1:14" x14ac:dyDescent="0.2">
      <c r="A2036" s="34">
        <v>41305</v>
      </c>
      <c r="B2036">
        <v>4.8905250000000002</v>
      </c>
      <c r="C2036">
        <f t="shared" si="36"/>
        <v>4.45</v>
      </c>
      <c r="M2036" s="34">
        <v>40386</v>
      </c>
      <c r="N2036">
        <v>4.58</v>
      </c>
    </row>
    <row r="2037" spans="1:14" x14ac:dyDescent="0.2">
      <c r="A2037" s="34">
        <v>41304</v>
      </c>
      <c r="B2037">
        <v>4.8900550000000003</v>
      </c>
      <c r="C2037">
        <f t="shared" si="36"/>
        <v>4.5</v>
      </c>
      <c r="M2037" s="34">
        <v>40385</v>
      </c>
      <c r="N2037">
        <v>4.5999999999999996</v>
      </c>
    </row>
    <row r="2038" spans="1:14" x14ac:dyDescent="0.2">
      <c r="A2038" s="34">
        <v>41303</v>
      </c>
      <c r="B2038">
        <v>4.8895850000000003</v>
      </c>
      <c r="C2038">
        <f t="shared" si="36"/>
        <v>4.4800000000000004</v>
      </c>
      <c r="M2038" s="34">
        <v>40382</v>
      </c>
      <c r="N2038">
        <v>4.57</v>
      </c>
    </row>
    <row r="2039" spans="1:14" x14ac:dyDescent="0.2">
      <c r="A2039" s="34">
        <v>41302</v>
      </c>
      <c r="B2039">
        <v>4.8891159999999996</v>
      </c>
      <c r="C2039">
        <f t="shared" si="36"/>
        <v>4.5</v>
      </c>
      <c r="M2039" s="34">
        <v>40381</v>
      </c>
      <c r="N2039">
        <v>4.58</v>
      </c>
    </row>
    <row r="2040" spans="1:14" x14ac:dyDescent="0.2">
      <c r="A2040" s="34">
        <v>41301</v>
      </c>
      <c r="B2040">
        <v>4.8886459999999996</v>
      </c>
      <c r="C2040">
        <f t="shared" si="36"/>
        <v>4.47</v>
      </c>
      <c r="M2040" s="34">
        <v>40380</v>
      </c>
      <c r="N2040">
        <v>4.5999999999999996</v>
      </c>
    </row>
    <row r="2041" spans="1:14" x14ac:dyDescent="0.2">
      <c r="A2041" s="34">
        <v>41300</v>
      </c>
      <c r="B2041">
        <v>4.8881769999999998</v>
      </c>
      <c r="C2041">
        <f t="shared" si="36"/>
        <v>4.47</v>
      </c>
      <c r="M2041" s="34">
        <v>40379</v>
      </c>
      <c r="N2041">
        <v>4.5999999999999996</v>
      </c>
    </row>
    <row r="2042" spans="1:14" x14ac:dyDescent="0.2">
      <c r="A2042" s="34">
        <v>41299</v>
      </c>
      <c r="B2042">
        <v>4.8877069999999998</v>
      </c>
      <c r="C2042">
        <f t="shared" si="36"/>
        <v>4.47</v>
      </c>
      <c r="M2042" s="34">
        <v>40378</v>
      </c>
      <c r="N2042">
        <v>4.59</v>
      </c>
    </row>
    <row r="2043" spans="1:14" x14ac:dyDescent="0.2">
      <c r="A2043" s="34">
        <v>41298</v>
      </c>
      <c r="B2043">
        <v>4.887391</v>
      </c>
      <c r="C2043">
        <f t="shared" si="36"/>
        <v>4.5</v>
      </c>
      <c r="M2043" s="34">
        <v>40375</v>
      </c>
      <c r="N2043">
        <v>4.62</v>
      </c>
    </row>
    <row r="2044" spans="1:14" x14ac:dyDescent="0.2">
      <c r="A2044" s="34">
        <v>41297</v>
      </c>
      <c r="B2044">
        <v>4.8870750000000003</v>
      </c>
      <c r="C2044">
        <f t="shared" si="36"/>
        <v>4.47</v>
      </c>
      <c r="M2044" s="34">
        <v>40374</v>
      </c>
      <c r="N2044">
        <v>4.5999999999999996</v>
      </c>
    </row>
    <row r="2045" spans="1:14" x14ac:dyDescent="0.2">
      <c r="A2045" s="34">
        <v>41296</v>
      </c>
      <c r="B2045">
        <v>4.8867599999999998</v>
      </c>
      <c r="C2045">
        <f t="shared" si="36"/>
        <v>4.51</v>
      </c>
      <c r="M2045" s="34">
        <v>40373</v>
      </c>
      <c r="N2045">
        <v>4.6399999999999997</v>
      </c>
    </row>
    <row r="2046" spans="1:14" x14ac:dyDescent="0.2">
      <c r="A2046" s="34">
        <v>41295</v>
      </c>
      <c r="B2046">
        <v>4.886444</v>
      </c>
      <c r="C2046">
        <f t="shared" si="36"/>
        <v>4.51</v>
      </c>
      <c r="M2046" s="34">
        <v>40372</v>
      </c>
      <c r="N2046">
        <v>4.5</v>
      </c>
    </row>
    <row r="2047" spans="1:14" x14ac:dyDescent="0.2">
      <c r="A2047" s="34">
        <v>41294</v>
      </c>
      <c r="B2047">
        <v>4.8861280000000002</v>
      </c>
      <c r="C2047">
        <f t="shared" si="36"/>
        <v>4.54</v>
      </c>
      <c r="M2047" s="34">
        <v>40371</v>
      </c>
      <c r="N2047">
        <v>4.55</v>
      </c>
    </row>
    <row r="2048" spans="1:14" x14ac:dyDescent="0.2">
      <c r="A2048" s="34">
        <v>41293</v>
      </c>
      <c r="B2048">
        <v>4.8858119999999996</v>
      </c>
      <c r="C2048">
        <f t="shared" si="36"/>
        <v>4.54</v>
      </c>
      <c r="M2048" s="34">
        <v>40368</v>
      </c>
      <c r="N2048">
        <v>4.62</v>
      </c>
    </row>
    <row r="2049" spans="1:14" x14ac:dyDescent="0.2">
      <c r="A2049" s="34">
        <v>41292</v>
      </c>
      <c r="B2049">
        <v>4.8854959999999998</v>
      </c>
      <c r="C2049">
        <f t="shared" si="36"/>
        <v>4.54</v>
      </c>
      <c r="M2049" s="34">
        <v>40367</v>
      </c>
      <c r="N2049">
        <v>4.5999999999999996</v>
      </c>
    </row>
    <row r="2050" spans="1:14" x14ac:dyDescent="0.2">
      <c r="A2050" s="34">
        <v>41291</v>
      </c>
      <c r="B2050">
        <v>4.8851800000000001</v>
      </c>
      <c r="C2050">
        <f t="shared" ref="C2050:C2113" si="37">IFERROR(VLOOKUP(A2050,$M$2:$N$3695,2,0),C2051)</f>
        <v>4.4800000000000004</v>
      </c>
      <c r="M2050" s="34">
        <v>40366</v>
      </c>
      <c r="N2050">
        <v>4.58</v>
      </c>
    </row>
    <row r="2051" spans="1:14" x14ac:dyDescent="0.2">
      <c r="A2051" s="34">
        <v>41290</v>
      </c>
      <c r="B2051">
        <v>4.8848640000000003</v>
      </c>
      <c r="C2051">
        <f t="shared" si="37"/>
        <v>4.4800000000000004</v>
      </c>
      <c r="M2051" s="34">
        <v>40365</v>
      </c>
      <c r="N2051">
        <v>4.55</v>
      </c>
    </row>
    <row r="2052" spans="1:14" x14ac:dyDescent="0.2">
      <c r="A2052" s="34">
        <v>41289</v>
      </c>
      <c r="B2052">
        <v>4.8845489999999998</v>
      </c>
      <c r="C2052">
        <f t="shared" si="37"/>
        <v>4.4000000000000004</v>
      </c>
      <c r="M2052" s="34">
        <v>40364</v>
      </c>
      <c r="N2052">
        <v>4.5</v>
      </c>
    </row>
    <row r="2053" spans="1:14" x14ac:dyDescent="0.2">
      <c r="A2053" s="34">
        <v>41288</v>
      </c>
      <c r="B2053">
        <v>4.884233</v>
      </c>
      <c r="C2053">
        <f t="shared" si="37"/>
        <v>4.4800000000000004</v>
      </c>
      <c r="M2053" s="34">
        <v>40361</v>
      </c>
      <c r="N2053">
        <v>4.55</v>
      </c>
    </row>
    <row r="2054" spans="1:14" x14ac:dyDescent="0.2">
      <c r="A2054" s="34">
        <v>41287</v>
      </c>
      <c r="B2054">
        <v>4.8839170000000003</v>
      </c>
      <c r="C2054">
        <f t="shared" si="37"/>
        <v>4.47</v>
      </c>
      <c r="M2054" s="34">
        <v>40360</v>
      </c>
      <c r="N2054">
        <v>4.62</v>
      </c>
    </row>
    <row r="2055" spans="1:14" x14ac:dyDescent="0.2">
      <c r="A2055" s="34">
        <v>41286</v>
      </c>
      <c r="B2055">
        <v>4.8836009999999996</v>
      </c>
      <c r="C2055">
        <f t="shared" si="37"/>
        <v>4.47</v>
      </c>
      <c r="M2055" s="34">
        <v>40359</v>
      </c>
      <c r="N2055">
        <v>4.58</v>
      </c>
    </row>
    <row r="2056" spans="1:14" x14ac:dyDescent="0.2">
      <c r="A2056" s="34">
        <v>41285</v>
      </c>
      <c r="B2056">
        <v>4.883286</v>
      </c>
      <c r="C2056">
        <f t="shared" si="37"/>
        <v>4.47</v>
      </c>
      <c r="M2056" s="34">
        <v>40358</v>
      </c>
      <c r="N2056">
        <v>4.5999999999999996</v>
      </c>
    </row>
    <row r="2057" spans="1:14" x14ac:dyDescent="0.2">
      <c r="A2057" s="34">
        <v>41284</v>
      </c>
      <c r="B2057">
        <v>4.8829700000000003</v>
      </c>
      <c r="C2057">
        <f t="shared" si="37"/>
        <v>4.46</v>
      </c>
      <c r="M2057" s="34">
        <v>40357</v>
      </c>
      <c r="N2057">
        <v>4.58</v>
      </c>
    </row>
    <row r="2058" spans="1:14" x14ac:dyDescent="0.2">
      <c r="A2058" s="34">
        <v>41283</v>
      </c>
      <c r="B2058">
        <v>4.8821349999999999</v>
      </c>
      <c r="C2058">
        <f t="shared" si="37"/>
        <v>4.3</v>
      </c>
      <c r="M2058" s="34">
        <v>40354</v>
      </c>
      <c r="N2058">
        <v>4.4000000000000004</v>
      </c>
    </row>
    <row r="2059" spans="1:14" x14ac:dyDescent="0.2">
      <c r="A2059" s="34">
        <v>41282</v>
      </c>
      <c r="B2059">
        <v>4.8813000000000004</v>
      </c>
      <c r="C2059">
        <f t="shared" si="37"/>
        <v>4.4800000000000004</v>
      </c>
      <c r="M2059" s="34">
        <v>40353</v>
      </c>
      <c r="N2059">
        <v>4.55</v>
      </c>
    </row>
    <row r="2060" spans="1:14" x14ac:dyDescent="0.2">
      <c r="A2060" s="34">
        <v>41281</v>
      </c>
      <c r="B2060">
        <v>4.8804650000000001</v>
      </c>
      <c r="C2060">
        <f t="shared" si="37"/>
        <v>4.47</v>
      </c>
      <c r="M2060" s="34">
        <v>40352</v>
      </c>
      <c r="N2060">
        <v>4.45</v>
      </c>
    </row>
    <row r="2061" spans="1:14" x14ac:dyDescent="0.2">
      <c r="A2061" s="34">
        <v>41280</v>
      </c>
      <c r="B2061">
        <v>4.8796299999999997</v>
      </c>
      <c r="C2061">
        <f t="shared" si="37"/>
        <v>4.4000000000000004</v>
      </c>
      <c r="M2061" s="34">
        <v>40351</v>
      </c>
      <c r="N2061">
        <v>4.5599999999999996</v>
      </c>
    </row>
    <row r="2062" spans="1:14" x14ac:dyDescent="0.2">
      <c r="A2062" s="34">
        <v>41279</v>
      </c>
      <c r="B2062">
        <v>4.8787950000000002</v>
      </c>
      <c r="C2062">
        <f t="shared" si="37"/>
        <v>4.4000000000000004</v>
      </c>
      <c r="M2062" s="34">
        <v>40350</v>
      </c>
      <c r="N2062">
        <v>4.59</v>
      </c>
    </row>
    <row r="2063" spans="1:14" x14ac:dyDescent="0.2">
      <c r="A2063" s="34">
        <v>41278</v>
      </c>
      <c r="B2063">
        <v>4.877961</v>
      </c>
      <c r="C2063">
        <f t="shared" si="37"/>
        <v>4.4000000000000004</v>
      </c>
      <c r="M2063" s="34">
        <v>40347</v>
      </c>
      <c r="N2063">
        <v>4.54</v>
      </c>
    </row>
    <row r="2064" spans="1:14" x14ac:dyDescent="0.2">
      <c r="A2064" s="34">
        <v>41277</v>
      </c>
      <c r="B2064">
        <v>4.8771259999999996</v>
      </c>
      <c r="C2064">
        <f t="shared" si="37"/>
        <v>4.53</v>
      </c>
      <c r="M2064" s="34">
        <v>40346</v>
      </c>
      <c r="N2064">
        <v>4.55</v>
      </c>
    </row>
    <row r="2065" spans="1:14" x14ac:dyDescent="0.2">
      <c r="A2065" s="34">
        <v>41276</v>
      </c>
      <c r="B2065">
        <v>4.8762920000000003</v>
      </c>
      <c r="C2065">
        <f t="shared" si="37"/>
        <v>4.49</v>
      </c>
      <c r="M2065" s="34">
        <v>40345</v>
      </c>
      <c r="N2065">
        <v>4.5</v>
      </c>
    </row>
    <row r="2066" spans="1:14" x14ac:dyDescent="0.2">
      <c r="A2066" s="34">
        <v>41275</v>
      </c>
      <c r="B2066">
        <v>4.8754580000000001</v>
      </c>
      <c r="C2066">
        <f t="shared" si="37"/>
        <v>4.3499999999999996</v>
      </c>
      <c r="M2066" s="34">
        <v>40344</v>
      </c>
      <c r="N2066">
        <v>4.45</v>
      </c>
    </row>
    <row r="2067" spans="1:14" x14ac:dyDescent="0.2">
      <c r="A2067" s="34">
        <v>41274</v>
      </c>
      <c r="B2067">
        <v>4.8746239999999998</v>
      </c>
      <c r="C2067">
        <f t="shared" si="37"/>
        <v>4.3499999999999996</v>
      </c>
      <c r="M2067" s="34">
        <v>40343</v>
      </c>
      <c r="N2067">
        <v>4.55</v>
      </c>
    </row>
    <row r="2068" spans="1:14" x14ac:dyDescent="0.2">
      <c r="A2068" s="34">
        <v>41273</v>
      </c>
      <c r="B2068">
        <v>4.8737899999999996</v>
      </c>
      <c r="C2068">
        <f t="shared" si="37"/>
        <v>4.4800000000000004</v>
      </c>
      <c r="M2068" s="34">
        <v>40340</v>
      </c>
      <c r="N2068">
        <v>4.5599999999999996</v>
      </c>
    </row>
    <row r="2069" spans="1:14" x14ac:dyDescent="0.2">
      <c r="A2069" s="34">
        <v>41272</v>
      </c>
      <c r="B2069">
        <v>4.8729560000000003</v>
      </c>
      <c r="C2069">
        <f t="shared" si="37"/>
        <v>4.4800000000000004</v>
      </c>
      <c r="M2069" s="34">
        <v>40339</v>
      </c>
      <c r="N2069">
        <v>4.58</v>
      </c>
    </row>
    <row r="2070" spans="1:14" x14ac:dyDescent="0.2">
      <c r="A2070" s="34">
        <v>41271</v>
      </c>
      <c r="B2070">
        <v>4.8721230000000002</v>
      </c>
      <c r="C2070">
        <f t="shared" si="37"/>
        <v>4.4800000000000004</v>
      </c>
      <c r="M2070" s="34">
        <v>40338</v>
      </c>
      <c r="N2070">
        <v>4.57</v>
      </c>
    </row>
    <row r="2071" spans="1:14" x14ac:dyDescent="0.2">
      <c r="A2071" s="34">
        <v>41270</v>
      </c>
      <c r="B2071">
        <v>4.871289</v>
      </c>
      <c r="C2071">
        <f t="shared" si="37"/>
        <v>4.45</v>
      </c>
      <c r="M2071" s="34">
        <v>40337</v>
      </c>
      <c r="N2071">
        <v>4.53</v>
      </c>
    </row>
    <row r="2072" spans="1:14" x14ac:dyDescent="0.2">
      <c r="A2072" s="34">
        <v>41269</v>
      </c>
      <c r="B2072">
        <v>4.8704559999999999</v>
      </c>
      <c r="C2072">
        <f t="shared" si="37"/>
        <v>4.45</v>
      </c>
      <c r="M2072" s="34">
        <v>40336</v>
      </c>
      <c r="N2072">
        <v>4.57</v>
      </c>
    </row>
    <row r="2073" spans="1:14" x14ac:dyDescent="0.2">
      <c r="A2073" s="34">
        <v>41268</v>
      </c>
      <c r="B2073">
        <v>4.8696229999999998</v>
      </c>
      <c r="C2073">
        <f t="shared" si="37"/>
        <v>4.5</v>
      </c>
      <c r="M2073" s="34">
        <v>40333</v>
      </c>
      <c r="N2073">
        <v>4.58</v>
      </c>
    </row>
    <row r="2074" spans="1:14" x14ac:dyDescent="0.2">
      <c r="A2074" s="34">
        <v>41267</v>
      </c>
      <c r="B2074">
        <v>4.8702209999999999</v>
      </c>
      <c r="C2074">
        <f t="shared" si="37"/>
        <v>4.5</v>
      </c>
      <c r="M2074" s="34">
        <v>40332</v>
      </c>
      <c r="N2074">
        <v>4.5999999999999996</v>
      </c>
    </row>
    <row r="2075" spans="1:14" x14ac:dyDescent="0.2">
      <c r="A2075" s="34">
        <v>41266</v>
      </c>
      <c r="B2075">
        <v>4.870819</v>
      </c>
      <c r="C2075">
        <f t="shared" si="37"/>
        <v>4.5</v>
      </c>
      <c r="M2075" s="34">
        <v>40331</v>
      </c>
      <c r="N2075">
        <v>4.55</v>
      </c>
    </row>
    <row r="2076" spans="1:14" x14ac:dyDescent="0.2">
      <c r="A2076" s="34">
        <v>41265</v>
      </c>
      <c r="B2076">
        <v>4.871416</v>
      </c>
      <c r="C2076">
        <f t="shared" si="37"/>
        <v>4.5</v>
      </c>
      <c r="M2076" s="34">
        <v>40330</v>
      </c>
      <c r="N2076">
        <v>4.55</v>
      </c>
    </row>
    <row r="2077" spans="1:14" x14ac:dyDescent="0.2">
      <c r="A2077" s="34">
        <v>41264</v>
      </c>
      <c r="B2077">
        <v>4.8720140000000001</v>
      </c>
      <c r="C2077">
        <f t="shared" si="37"/>
        <v>4.5</v>
      </c>
      <c r="M2077" s="34">
        <v>40329</v>
      </c>
      <c r="N2077">
        <v>4.58</v>
      </c>
    </row>
    <row r="2078" spans="1:14" x14ac:dyDescent="0.2">
      <c r="A2078" s="34">
        <v>41263</v>
      </c>
      <c r="B2078">
        <v>4.8726120000000002</v>
      </c>
      <c r="C2078">
        <f t="shared" si="37"/>
        <v>4.4800000000000004</v>
      </c>
      <c r="M2078" s="34">
        <v>40326</v>
      </c>
      <c r="N2078">
        <v>4.55</v>
      </c>
    </row>
    <row r="2079" spans="1:14" x14ac:dyDescent="0.2">
      <c r="A2079" s="34">
        <v>41262</v>
      </c>
      <c r="B2079">
        <v>4.8732110000000004</v>
      </c>
      <c r="C2079">
        <f t="shared" si="37"/>
        <v>4.5</v>
      </c>
      <c r="M2079" s="34">
        <v>40325</v>
      </c>
      <c r="N2079">
        <v>4.58</v>
      </c>
    </row>
    <row r="2080" spans="1:14" x14ac:dyDescent="0.2">
      <c r="A2080" s="34">
        <v>41261</v>
      </c>
      <c r="B2080">
        <v>4.8738089999999996</v>
      </c>
      <c r="C2080">
        <f t="shared" si="37"/>
        <v>4.55</v>
      </c>
      <c r="M2080" s="34">
        <v>40324</v>
      </c>
      <c r="N2080">
        <v>4.55</v>
      </c>
    </row>
    <row r="2081" spans="1:14" x14ac:dyDescent="0.2">
      <c r="A2081" s="34">
        <v>41260</v>
      </c>
      <c r="B2081">
        <v>4.8744069999999997</v>
      </c>
      <c r="C2081">
        <f t="shared" si="37"/>
        <v>4.57</v>
      </c>
      <c r="M2081" s="34">
        <v>40323</v>
      </c>
      <c r="N2081">
        <v>4.5</v>
      </c>
    </row>
    <row r="2082" spans="1:14" x14ac:dyDescent="0.2">
      <c r="A2082" s="34">
        <v>41259</v>
      </c>
      <c r="B2082">
        <v>4.8750049999999998</v>
      </c>
      <c r="C2082">
        <f t="shared" si="37"/>
        <v>4.4800000000000004</v>
      </c>
      <c r="M2082" s="34">
        <v>40322</v>
      </c>
      <c r="N2082">
        <v>5</v>
      </c>
    </row>
    <row r="2083" spans="1:14" x14ac:dyDescent="0.2">
      <c r="A2083" s="34">
        <v>41258</v>
      </c>
      <c r="B2083">
        <v>4.875604</v>
      </c>
      <c r="C2083">
        <f t="shared" si="37"/>
        <v>4.4800000000000004</v>
      </c>
      <c r="M2083" s="34">
        <v>40319</v>
      </c>
      <c r="N2083">
        <v>4.5</v>
      </c>
    </row>
    <row r="2084" spans="1:14" x14ac:dyDescent="0.2">
      <c r="A2084" s="34">
        <v>41257</v>
      </c>
      <c r="B2084">
        <v>4.8762020000000001</v>
      </c>
      <c r="C2084">
        <f t="shared" si="37"/>
        <v>4.4800000000000004</v>
      </c>
      <c r="M2084" s="34">
        <v>40318</v>
      </c>
      <c r="N2084">
        <v>4.55</v>
      </c>
    </row>
    <row r="2085" spans="1:14" x14ac:dyDescent="0.2">
      <c r="A2085" s="34">
        <v>41256</v>
      </c>
      <c r="B2085">
        <v>4.8768010000000004</v>
      </c>
      <c r="C2085">
        <f t="shared" si="37"/>
        <v>4.4800000000000004</v>
      </c>
      <c r="M2085" s="34">
        <v>40317</v>
      </c>
      <c r="N2085">
        <v>4.55</v>
      </c>
    </row>
    <row r="2086" spans="1:14" x14ac:dyDescent="0.2">
      <c r="A2086" s="34">
        <v>41255</v>
      </c>
      <c r="B2086">
        <v>4.8773989999999996</v>
      </c>
      <c r="C2086">
        <f t="shared" si="37"/>
        <v>4.53</v>
      </c>
      <c r="M2086" s="34">
        <v>40316</v>
      </c>
      <c r="N2086">
        <v>4.45</v>
      </c>
    </row>
    <row r="2087" spans="1:14" x14ac:dyDescent="0.2">
      <c r="A2087" s="34">
        <v>41254</v>
      </c>
      <c r="B2087">
        <v>4.8779979999999998</v>
      </c>
      <c r="C2087">
        <f t="shared" si="37"/>
        <v>4.53</v>
      </c>
      <c r="M2087" s="34">
        <v>40315</v>
      </c>
      <c r="N2087">
        <v>5</v>
      </c>
    </row>
    <row r="2088" spans="1:14" x14ac:dyDescent="0.2">
      <c r="A2088" s="34">
        <v>41253</v>
      </c>
      <c r="B2088">
        <v>4.8785970000000001</v>
      </c>
      <c r="C2088">
        <f t="shared" si="37"/>
        <v>4.51</v>
      </c>
      <c r="M2088" s="34">
        <v>40312</v>
      </c>
      <c r="N2088">
        <v>4.55</v>
      </c>
    </row>
    <row r="2089" spans="1:14" x14ac:dyDescent="0.2">
      <c r="A2089" s="34">
        <v>41252</v>
      </c>
      <c r="B2089">
        <v>4.8760430000000001</v>
      </c>
      <c r="C2089">
        <f t="shared" si="37"/>
        <v>4.47</v>
      </c>
      <c r="M2089" s="34">
        <v>40311</v>
      </c>
      <c r="N2089">
        <v>4.63</v>
      </c>
    </row>
    <row r="2090" spans="1:14" x14ac:dyDescent="0.2">
      <c r="A2090" s="34">
        <v>41251</v>
      </c>
      <c r="B2090">
        <v>4.8734900000000003</v>
      </c>
      <c r="C2090">
        <f t="shared" si="37"/>
        <v>4.47</v>
      </c>
      <c r="M2090" s="34">
        <v>40310</v>
      </c>
      <c r="N2090">
        <v>4.5</v>
      </c>
    </row>
    <row r="2091" spans="1:14" x14ac:dyDescent="0.2">
      <c r="A2091" s="34">
        <v>41250</v>
      </c>
      <c r="B2091">
        <v>4.8709379999999998</v>
      </c>
      <c r="C2091">
        <f t="shared" si="37"/>
        <v>4.47</v>
      </c>
      <c r="M2091" s="34">
        <v>40309</v>
      </c>
      <c r="N2091">
        <v>4.5</v>
      </c>
    </row>
    <row r="2092" spans="1:14" x14ac:dyDescent="0.2">
      <c r="A2092" s="34">
        <v>41249</v>
      </c>
      <c r="B2092">
        <v>4.8683880000000004</v>
      </c>
      <c r="C2092">
        <f t="shared" si="37"/>
        <v>4.49</v>
      </c>
      <c r="M2092" s="34">
        <v>40308</v>
      </c>
      <c r="N2092">
        <v>4.58</v>
      </c>
    </row>
    <row r="2093" spans="1:14" x14ac:dyDescent="0.2">
      <c r="A2093" s="34">
        <v>41248</v>
      </c>
      <c r="B2093">
        <v>4.8658390000000002</v>
      </c>
      <c r="C2093">
        <f t="shared" si="37"/>
        <v>4.46</v>
      </c>
      <c r="M2093" s="34">
        <v>40305</v>
      </c>
      <c r="N2093">
        <v>4.6500000000000004</v>
      </c>
    </row>
    <row r="2094" spans="1:14" x14ac:dyDescent="0.2">
      <c r="A2094" s="34">
        <v>41247</v>
      </c>
      <c r="B2094">
        <v>4.8632920000000004</v>
      </c>
      <c r="C2094">
        <f t="shared" si="37"/>
        <v>4.4400000000000004</v>
      </c>
      <c r="M2094" s="34">
        <v>40304</v>
      </c>
      <c r="N2094">
        <v>4.66</v>
      </c>
    </row>
    <row r="2095" spans="1:14" x14ac:dyDescent="0.2">
      <c r="A2095" s="34">
        <v>41246</v>
      </c>
      <c r="B2095">
        <v>4.8607449999999996</v>
      </c>
      <c r="C2095">
        <f t="shared" si="37"/>
        <v>4.4000000000000004</v>
      </c>
      <c r="M2095" s="34">
        <v>40303</v>
      </c>
      <c r="N2095">
        <v>4.62</v>
      </c>
    </row>
    <row r="2096" spans="1:14" x14ac:dyDescent="0.2">
      <c r="A2096" s="34">
        <v>41245</v>
      </c>
      <c r="B2096">
        <v>4.8582010000000002</v>
      </c>
      <c r="C2096">
        <f t="shared" si="37"/>
        <v>4.4800000000000004</v>
      </c>
      <c r="M2096" s="34">
        <v>40302</v>
      </c>
      <c r="N2096">
        <v>4.55</v>
      </c>
    </row>
    <row r="2097" spans="1:14" x14ac:dyDescent="0.2">
      <c r="A2097" s="34">
        <v>41244</v>
      </c>
      <c r="B2097">
        <v>4.8556569999999999</v>
      </c>
      <c r="C2097">
        <f t="shared" si="37"/>
        <v>4.4800000000000004</v>
      </c>
      <c r="M2097" s="34">
        <v>40301</v>
      </c>
      <c r="N2097">
        <v>4.59</v>
      </c>
    </row>
    <row r="2098" spans="1:14" x14ac:dyDescent="0.2">
      <c r="A2098" s="34">
        <v>41243</v>
      </c>
      <c r="B2098">
        <v>4.8531149999999998</v>
      </c>
      <c r="C2098">
        <f t="shared" si="37"/>
        <v>4.4800000000000004</v>
      </c>
      <c r="M2098" s="34">
        <v>40298</v>
      </c>
      <c r="N2098">
        <v>4.5999999999999996</v>
      </c>
    </row>
    <row r="2099" spans="1:14" x14ac:dyDescent="0.2">
      <c r="A2099" s="34">
        <v>41242</v>
      </c>
      <c r="B2099">
        <v>4.8505739999999999</v>
      </c>
      <c r="C2099">
        <f t="shared" si="37"/>
        <v>4.46</v>
      </c>
      <c r="M2099" s="34">
        <v>40297</v>
      </c>
      <c r="N2099">
        <v>4.5</v>
      </c>
    </row>
    <row r="2100" spans="1:14" x14ac:dyDescent="0.2">
      <c r="A2100" s="34">
        <v>41241</v>
      </c>
      <c r="B2100">
        <v>4.8480340000000002</v>
      </c>
      <c r="C2100">
        <f t="shared" si="37"/>
        <v>4.51</v>
      </c>
      <c r="M2100" s="34">
        <v>40296</v>
      </c>
      <c r="N2100">
        <v>4.5</v>
      </c>
    </row>
    <row r="2101" spans="1:14" x14ac:dyDescent="0.2">
      <c r="A2101" s="34">
        <v>41240</v>
      </c>
      <c r="B2101">
        <v>4.8454959999999998</v>
      </c>
      <c r="C2101">
        <f t="shared" si="37"/>
        <v>4.49</v>
      </c>
      <c r="M2101" s="34">
        <v>40295</v>
      </c>
      <c r="N2101">
        <v>4.57</v>
      </c>
    </row>
    <row r="2102" spans="1:14" x14ac:dyDescent="0.2">
      <c r="A2102" s="34">
        <v>41239</v>
      </c>
      <c r="B2102">
        <v>4.8429589999999996</v>
      </c>
      <c r="C2102">
        <f t="shared" si="37"/>
        <v>4.4800000000000004</v>
      </c>
      <c r="M2102" s="34">
        <v>40294</v>
      </c>
      <c r="N2102">
        <v>4.55</v>
      </c>
    </row>
    <row r="2103" spans="1:14" x14ac:dyDescent="0.2">
      <c r="A2103" s="34">
        <v>41238</v>
      </c>
      <c r="B2103">
        <v>4.8404239999999996</v>
      </c>
      <c r="C2103">
        <f t="shared" si="37"/>
        <v>4.49</v>
      </c>
      <c r="M2103" s="34">
        <v>40291</v>
      </c>
      <c r="N2103">
        <v>4.5</v>
      </c>
    </row>
    <row r="2104" spans="1:14" x14ac:dyDescent="0.2">
      <c r="A2104" s="34">
        <v>41237</v>
      </c>
      <c r="B2104">
        <v>4.8405300000000002</v>
      </c>
      <c r="C2104">
        <f t="shared" si="37"/>
        <v>4.49</v>
      </c>
      <c r="M2104" s="34">
        <v>40290</v>
      </c>
      <c r="N2104">
        <v>4.53</v>
      </c>
    </row>
    <row r="2105" spans="1:14" x14ac:dyDescent="0.2">
      <c r="A2105" s="34">
        <v>41236</v>
      </c>
      <c r="B2105">
        <v>4.8406359999999999</v>
      </c>
      <c r="C2105">
        <f t="shared" si="37"/>
        <v>4.49</v>
      </c>
      <c r="M2105" s="34">
        <v>40289</v>
      </c>
      <c r="N2105">
        <v>4.53</v>
      </c>
    </row>
    <row r="2106" spans="1:14" x14ac:dyDescent="0.2">
      <c r="A2106" s="34">
        <v>41235</v>
      </c>
      <c r="B2106">
        <v>4.8407429999999998</v>
      </c>
      <c r="C2106">
        <f t="shared" si="37"/>
        <v>4.51</v>
      </c>
      <c r="M2106" s="34">
        <v>40288</v>
      </c>
      <c r="N2106">
        <v>4.55</v>
      </c>
    </row>
    <row r="2107" spans="1:14" x14ac:dyDescent="0.2">
      <c r="A2107" s="34">
        <v>41234</v>
      </c>
      <c r="B2107">
        <v>4.8408490000000004</v>
      </c>
      <c r="C2107">
        <f t="shared" si="37"/>
        <v>4.45</v>
      </c>
      <c r="M2107" s="34">
        <v>40287</v>
      </c>
      <c r="N2107">
        <v>4.55</v>
      </c>
    </row>
    <row r="2108" spans="1:14" x14ac:dyDescent="0.2">
      <c r="A2108" s="34">
        <v>41233</v>
      </c>
      <c r="B2108">
        <v>4.8409550000000001</v>
      </c>
      <c r="C2108">
        <f t="shared" si="37"/>
        <v>4.5</v>
      </c>
      <c r="M2108" s="34">
        <v>40284</v>
      </c>
      <c r="N2108">
        <v>4.5</v>
      </c>
    </row>
    <row r="2109" spans="1:14" x14ac:dyDescent="0.2">
      <c r="A2109" s="34">
        <v>41232</v>
      </c>
      <c r="B2109">
        <v>4.8410609999999998</v>
      </c>
      <c r="C2109">
        <f t="shared" si="37"/>
        <v>4.5</v>
      </c>
      <c r="M2109" s="34">
        <v>40283</v>
      </c>
      <c r="N2109">
        <v>4.55</v>
      </c>
    </row>
    <row r="2110" spans="1:14" x14ac:dyDescent="0.2">
      <c r="A2110" s="34">
        <v>41231</v>
      </c>
      <c r="B2110">
        <v>4.8411679999999997</v>
      </c>
      <c r="C2110">
        <f t="shared" si="37"/>
        <v>4.5</v>
      </c>
      <c r="M2110" s="34">
        <v>40282</v>
      </c>
      <c r="N2110">
        <v>4.55</v>
      </c>
    </row>
    <row r="2111" spans="1:14" x14ac:dyDescent="0.2">
      <c r="A2111" s="34">
        <v>41230</v>
      </c>
      <c r="B2111">
        <v>4.8412740000000003</v>
      </c>
      <c r="C2111">
        <f t="shared" si="37"/>
        <v>4.5</v>
      </c>
      <c r="M2111" s="34">
        <v>40281</v>
      </c>
      <c r="N2111">
        <v>4.55</v>
      </c>
    </row>
    <row r="2112" spans="1:14" x14ac:dyDescent="0.2">
      <c r="A2112" s="34">
        <v>41229</v>
      </c>
      <c r="B2112">
        <v>4.84138</v>
      </c>
      <c r="C2112">
        <f t="shared" si="37"/>
        <v>4.5</v>
      </c>
      <c r="M2112" s="34">
        <v>40280</v>
      </c>
      <c r="N2112">
        <v>4.55</v>
      </c>
    </row>
    <row r="2113" spans="1:14" x14ac:dyDescent="0.2">
      <c r="A2113" s="34">
        <v>41228</v>
      </c>
      <c r="B2113">
        <v>4.8414869999999999</v>
      </c>
      <c r="C2113">
        <f t="shared" si="37"/>
        <v>4.51</v>
      </c>
      <c r="M2113" s="34">
        <v>40277</v>
      </c>
      <c r="N2113">
        <v>4.55</v>
      </c>
    </row>
    <row r="2114" spans="1:14" x14ac:dyDescent="0.2">
      <c r="A2114" s="34">
        <v>41227</v>
      </c>
      <c r="B2114">
        <v>4.8415929999999996</v>
      </c>
      <c r="C2114">
        <f t="shared" ref="C2114:C2177" si="38">IFERROR(VLOOKUP(A2114,$M$2:$N$3695,2,0),C2115)</f>
        <v>4.49</v>
      </c>
      <c r="M2114" s="34">
        <v>40276</v>
      </c>
      <c r="N2114">
        <v>4.45</v>
      </c>
    </row>
    <row r="2115" spans="1:14" x14ac:dyDescent="0.2">
      <c r="A2115" s="34">
        <v>41226</v>
      </c>
      <c r="B2115">
        <v>4.8416990000000002</v>
      </c>
      <c r="C2115">
        <f t="shared" si="38"/>
        <v>4.4800000000000004</v>
      </c>
      <c r="M2115" s="34">
        <v>40275</v>
      </c>
      <c r="N2115">
        <v>4.55</v>
      </c>
    </row>
    <row r="2116" spans="1:14" x14ac:dyDescent="0.2">
      <c r="A2116" s="34">
        <v>41225</v>
      </c>
      <c r="B2116">
        <v>4.8418060000000001</v>
      </c>
      <c r="C2116">
        <f t="shared" si="38"/>
        <v>4.5</v>
      </c>
      <c r="M2116" s="34">
        <v>40274</v>
      </c>
      <c r="N2116">
        <v>4.51</v>
      </c>
    </row>
    <row r="2117" spans="1:14" x14ac:dyDescent="0.2">
      <c r="A2117" s="34">
        <v>41224</v>
      </c>
      <c r="B2117">
        <v>4.8419119999999998</v>
      </c>
      <c r="C2117">
        <f t="shared" si="38"/>
        <v>4.5</v>
      </c>
      <c r="M2117" s="34">
        <v>40273</v>
      </c>
      <c r="N2117">
        <v>4.59</v>
      </c>
    </row>
    <row r="2118" spans="1:14" x14ac:dyDescent="0.2">
      <c r="A2118" s="34">
        <v>41223</v>
      </c>
      <c r="B2118">
        <v>4.8420180000000004</v>
      </c>
      <c r="C2118">
        <f t="shared" si="38"/>
        <v>4.5</v>
      </c>
      <c r="M2118" s="34">
        <v>40268</v>
      </c>
      <c r="N2118">
        <v>4.5</v>
      </c>
    </row>
    <row r="2119" spans="1:14" x14ac:dyDescent="0.2">
      <c r="A2119" s="34">
        <v>41222</v>
      </c>
      <c r="B2119">
        <v>4.8406599999999997</v>
      </c>
      <c r="C2119">
        <f t="shared" si="38"/>
        <v>4.5</v>
      </c>
      <c r="M2119" s="34">
        <v>40267</v>
      </c>
      <c r="N2119">
        <v>4.5</v>
      </c>
    </row>
    <row r="2120" spans="1:14" x14ac:dyDescent="0.2">
      <c r="A2120" s="34">
        <v>41221</v>
      </c>
      <c r="B2120">
        <v>4.839302</v>
      </c>
      <c r="C2120">
        <f t="shared" si="38"/>
        <v>4.5</v>
      </c>
      <c r="M2120" s="34">
        <v>40266</v>
      </c>
      <c r="N2120">
        <v>4.54</v>
      </c>
    </row>
    <row r="2121" spans="1:14" x14ac:dyDescent="0.2">
      <c r="A2121" s="34">
        <v>41220</v>
      </c>
      <c r="B2121">
        <v>4.8379450000000004</v>
      </c>
      <c r="C2121">
        <f t="shared" si="38"/>
        <v>4.5199999999999996</v>
      </c>
      <c r="M2121" s="34">
        <v>40263</v>
      </c>
      <c r="N2121">
        <v>4.5</v>
      </c>
    </row>
    <row r="2122" spans="1:14" x14ac:dyDescent="0.2">
      <c r="A2122" s="34">
        <v>41219</v>
      </c>
      <c r="B2122">
        <v>4.8365879999999999</v>
      </c>
      <c r="C2122">
        <f t="shared" si="38"/>
        <v>4.5</v>
      </c>
      <c r="M2122" s="34">
        <v>40262</v>
      </c>
      <c r="N2122">
        <v>4.5599999999999996</v>
      </c>
    </row>
    <row r="2123" spans="1:14" x14ac:dyDescent="0.2">
      <c r="A2123" s="34">
        <v>41218</v>
      </c>
      <c r="B2123">
        <v>4.8352320000000004</v>
      </c>
      <c r="C2123">
        <f t="shared" si="38"/>
        <v>4.58</v>
      </c>
      <c r="M2123" s="34">
        <v>40261</v>
      </c>
      <c r="N2123">
        <v>4.54</v>
      </c>
    </row>
    <row r="2124" spans="1:14" x14ac:dyDescent="0.2">
      <c r="A2124" s="34">
        <v>41217</v>
      </c>
      <c r="B2124">
        <v>4.8338760000000001</v>
      </c>
      <c r="C2124">
        <f t="shared" si="38"/>
        <v>4.46</v>
      </c>
      <c r="M2124" s="34">
        <v>40260</v>
      </c>
      <c r="N2124">
        <v>4.5199999999999996</v>
      </c>
    </row>
    <row r="2125" spans="1:14" x14ac:dyDescent="0.2">
      <c r="A2125" s="34">
        <v>41216</v>
      </c>
      <c r="B2125">
        <v>4.8325199999999997</v>
      </c>
      <c r="C2125">
        <f t="shared" si="38"/>
        <v>4.46</v>
      </c>
      <c r="M2125" s="34">
        <v>40259</v>
      </c>
      <c r="N2125">
        <v>4.54</v>
      </c>
    </row>
    <row r="2126" spans="1:14" x14ac:dyDescent="0.2">
      <c r="A2126" s="34">
        <v>41215</v>
      </c>
      <c r="B2126">
        <v>4.8311640000000002</v>
      </c>
      <c r="C2126">
        <f t="shared" si="38"/>
        <v>4.46</v>
      </c>
      <c r="M2126" s="34">
        <v>40256</v>
      </c>
      <c r="N2126">
        <v>4.5</v>
      </c>
    </row>
    <row r="2127" spans="1:14" x14ac:dyDescent="0.2">
      <c r="A2127" s="34">
        <v>41214</v>
      </c>
      <c r="B2127">
        <v>4.829809</v>
      </c>
      <c r="C2127">
        <f t="shared" si="38"/>
        <v>4.46</v>
      </c>
      <c r="M2127" s="34">
        <v>40255</v>
      </c>
      <c r="N2127">
        <v>4.55</v>
      </c>
    </row>
    <row r="2128" spans="1:14" x14ac:dyDescent="0.2">
      <c r="A2128" s="34">
        <v>41213</v>
      </c>
      <c r="B2128">
        <v>4.8284549999999999</v>
      </c>
      <c r="C2128">
        <f t="shared" si="38"/>
        <v>4.47</v>
      </c>
      <c r="M2128" s="34">
        <v>40254</v>
      </c>
      <c r="N2128">
        <v>4.55</v>
      </c>
    </row>
    <row r="2129" spans="1:14" x14ac:dyDescent="0.2">
      <c r="A2129" s="34">
        <v>41212</v>
      </c>
      <c r="B2129">
        <v>4.8271009999999999</v>
      </c>
      <c r="C2129">
        <f t="shared" si="38"/>
        <v>4.5199999999999996</v>
      </c>
      <c r="M2129" s="34">
        <v>40253</v>
      </c>
      <c r="N2129">
        <v>4.55</v>
      </c>
    </row>
    <row r="2130" spans="1:14" x14ac:dyDescent="0.2">
      <c r="A2130" s="34">
        <v>41211</v>
      </c>
      <c r="B2130">
        <v>4.8257469999999998</v>
      </c>
      <c r="C2130">
        <f t="shared" si="38"/>
        <v>4.5</v>
      </c>
      <c r="M2130" s="34">
        <v>40249</v>
      </c>
      <c r="N2130">
        <v>4.5</v>
      </c>
    </row>
    <row r="2131" spans="1:14" x14ac:dyDescent="0.2">
      <c r="A2131" s="34">
        <v>41210</v>
      </c>
      <c r="B2131">
        <v>4.8243929999999997</v>
      </c>
      <c r="C2131">
        <f t="shared" si="38"/>
        <v>4.5199999999999996</v>
      </c>
      <c r="M2131" s="34">
        <v>40248</v>
      </c>
      <c r="N2131">
        <v>4.53</v>
      </c>
    </row>
    <row r="2132" spans="1:14" x14ac:dyDescent="0.2">
      <c r="A2132" s="34">
        <v>41209</v>
      </c>
      <c r="B2132">
        <v>4.8230399999999998</v>
      </c>
      <c r="C2132">
        <f t="shared" si="38"/>
        <v>4.5199999999999996</v>
      </c>
      <c r="M2132" s="34">
        <v>40247</v>
      </c>
      <c r="N2132">
        <v>4.4000000000000004</v>
      </c>
    </row>
    <row r="2133" spans="1:14" x14ac:dyDescent="0.2">
      <c r="A2133" s="34">
        <v>41208</v>
      </c>
      <c r="B2133">
        <v>4.8216869999999998</v>
      </c>
      <c r="C2133">
        <f t="shared" si="38"/>
        <v>4.5199999999999996</v>
      </c>
      <c r="M2133" s="34">
        <v>40246</v>
      </c>
      <c r="N2133">
        <v>4.5599999999999996</v>
      </c>
    </row>
    <row r="2134" spans="1:14" x14ac:dyDescent="0.2">
      <c r="A2134" s="34">
        <v>41207</v>
      </c>
      <c r="B2134">
        <v>4.820335</v>
      </c>
      <c r="C2134">
        <f t="shared" si="38"/>
        <v>4.5199999999999996</v>
      </c>
      <c r="M2134" s="34">
        <v>40245</v>
      </c>
      <c r="N2134">
        <v>4.58</v>
      </c>
    </row>
    <row r="2135" spans="1:14" x14ac:dyDescent="0.2">
      <c r="A2135" s="34">
        <v>41206</v>
      </c>
      <c r="B2135">
        <v>4.8198730000000003</v>
      </c>
      <c r="C2135">
        <f t="shared" si="38"/>
        <v>4.5199999999999996</v>
      </c>
      <c r="M2135" s="34">
        <v>40242</v>
      </c>
      <c r="N2135">
        <v>4.53</v>
      </c>
    </row>
    <row r="2136" spans="1:14" x14ac:dyDescent="0.2">
      <c r="A2136" s="34">
        <v>41205</v>
      </c>
      <c r="B2136">
        <v>4.8194109999999997</v>
      </c>
      <c r="C2136">
        <f t="shared" si="38"/>
        <v>4.51</v>
      </c>
      <c r="M2136" s="34">
        <v>40241</v>
      </c>
      <c r="N2136">
        <v>4.53</v>
      </c>
    </row>
    <row r="2137" spans="1:14" x14ac:dyDescent="0.2">
      <c r="A2137" s="34">
        <v>41204</v>
      </c>
      <c r="B2137">
        <v>4.8189489999999999</v>
      </c>
      <c r="C2137">
        <f t="shared" si="38"/>
        <v>4.42</v>
      </c>
      <c r="M2137" s="34">
        <v>40240</v>
      </c>
      <c r="N2137">
        <v>4.5199999999999996</v>
      </c>
    </row>
    <row r="2138" spans="1:14" x14ac:dyDescent="0.2">
      <c r="A2138" s="34">
        <v>41203</v>
      </c>
      <c r="B2138">
        <v>4.8184880000000003</v>
      </c>
      <c r="C2138">
        <f t="shared" si="38"/>
        <v>4.5199999999999996</v>
      </c>
      <c r="M2138" s="34">
        <v>40239</v>
      </c>
      <c r="N2138">
        <v>4.55</v>
      </c>
    </row>
    <row r="2139" spans="1:14" x14ac:dyDescent="0.2">
      <c r="A2139" s="34">
        <v>41202</v>
      </c>
      <c r="B2139">
        <v>4.8180259999999997</v>
      </c>
      <c r="C2139">
        <f t="shared" si="38"/>
        <v>4.5199999999999996</v>
      </c>
      <c r="M2139" s="34">
        <v>40238</v>
      </c>
      <c r="N2139">
        <v>4.5199999999999996</v>
      </c>
    </row>
    <row r="2140" spans="1:14" x14ac:dyDescent="0.2">
      <c r="A2140" s="34">
        <v>41201</v>
      </c>
      <c r="B2140">
        <v>4.817564</v>
      </c>
      <c r="C2140">
        <f t="shared" si="38"/>
        <v>4.5199999999999996</v>
      </c>
      <c r="M2140" s="34">
        <v>40235</v>
      </c>
      <c r="N2140">
        <v>4.5199999999999996</v>
      </c>
    </row>
    <row r="2141" spans="1:14" x14ac:dyDescent="0.2">
      <c r="A2141" s="34">
        <v>41200</v>
      </c>
      <c r="B2141">
        <v>4.8171030000000004</v>
      </c>
      <c r="C2141">
        <f t="shared" si="38"/>
        <v>4.5</v>
      </c>
      <c r="M2141" s="34">
        <v>40234</v>
      </c>
      <c r="N2141">
        <v>4.55</v>
      </c>
    </row>
    <row r="2142" spans="1:14" x14ac:dyDescent="0.2">
      <c r="A2142" s="34">
        <v>41199</v>
      </c>
      <c r="B2142">
        <v>4.8166409999999997</v>
      </c>
      <c r="C2142">
        <f t="shared" si="38"/>
        <v>4.4800000000000004</v>
      </c>
      <c r="M2142" s="34">
        <v>40233</v>
      </c>
      <c r="N2142">
        <v>4.58</v>
      </c>
    </row>
    <row r="2143" spans="1:14" x14ac:dyDescent="0.2">
      <c r="A2143" s="34">
        <v>41198</v>
      </c>
      <c r="B2143">
        <v>4.816179</v>
      </c>
      <c r="C2143">
        <f t="shared" si="38"/>
        <v>4.5</v>
      </c>
      <c r="M2143" s="34">
        <v>40232</v>
      </c>
      <c r="N2143">
        <v>4.5</v>
      </c>
    </row>
    <row r="2144" spans="1:14" x14ac:dyDescent="0.2">
      <c r="A2144" s="34">
        <v>41197</v>
      </c>
      <c r="B2144">
        <v>4.8157180000000004</v>
      </c>
      <c r="C2144">
        <f t="shared" si="38"/>
        <v>4.5199999999999996</v>
      </c>
      <c r="M2144" s="34">
        <v>40231</v>
      </c>
      <c r="N2144">
        <v>4.62</v>
      </c>
    </row>
    <row r="2145" spans="1:14" x14ac:dyDescent="0.2">
      <c r="A2145" s="34">
        <v>41196</v>
      </c>
      <c r="B2145">
        <v>4.8152559999999998</v>
      </c>
      <c r="C2145">
        <f t="shared" si="38"/>
        <v>4.5</v>
      </c>
      <c r="M2145" s="34">
        <v>40228</v>
      </c>
      <c r="N2145">
        <v>4.67</v>
      </c>
    </row>
    <row r="2146" spans="1:14" x14ac:dyDescent="0.2">
      <c r="A2146" s="34">
        <v>41195</v>
      </c>
      <c r="B2146">
        <v>4.8147950000000002</v>
      </c>
      <c r="C2146">
        <f t="shared" si="38"/>
        <v>4.5</v>
      </c>
      <c r="M2146" s="34">
        <v>40227</v>
      </c>
      <c r="N2146">
        <v>5</v>
      </c>
    </row>
    <row r="2147" spans="1:14" x14ac:dyDescent="0.2">
      <c r="A2147" s="34">
        <v>41194</v>
      </c>
      <c r="B2147">
        <v>4.8143339999999997</v>
      </c>
      <c r="C2147">
        <f t="shared" si="38"/>
        <v>4.5</v>
      </c>
      <c r="M2147" s="34">
        <v>40226</v>
      </c>
      <c r="N2147">
        <v>4.55</v>
      </c>
    </row>
    <row r="2148" spans="1:14" x14ac:dyDescent="0.2">
      <c r="A2148" s="34">
        <v>41193</v>
      </c>
      <c r="B2148">
        <v>4.8138719999999999</v>
      </c>
      <c r="C2148">
        <f t="shared" si="38"/>
        <v>4.5199999999999996</v>
      </c>
      <c r="M2148" s="34">
        <v>40225</v>
      </c>
      <c r="N2148">
        <v>4.55</v>
      </c>
    </row>
    <row r="2149" spans="1:14" x14ac:dyDescent="0.2">
      <c r="A2149" s="34">
        <v>41192</v>
      </c>
      <c r="B2149">
        <v>4.8134110000000003</v>
      </c>
      <c r="C2149">
        <f t="shared" si="38"/>
        <v>4.47</v>
      </c>
      <c r="M2149" s="34">
        <v>40224</v>
      </c>
      <c r="N2149">
        <v>4.5999999999999996</v>
      </c>
    </row>
    <row r="2150" spans="1:14" x14ac:dyDescent="0.2">
      <c r="A2150" s="34">
        <v>41191</v>
      </c>
      <c r="B2150">
        <v>4.8126110000000004</v>
      </c>
      <c r="C2150">
        <f t="shared" si="38"/>
        <v>4.5</v>
      </c>
      <c r="M2150" s="34">
        <v>40221</v>
      </c>
      <c r="N2150">
        <v>4.5</v>
      </c>
    </row>
    <row r="2151" spans="1:14" x14ac:dyDescent="0.2">
      <c r="A2151" s="34">
        <v>41190</v>
      </c>
      <c r="B2151">
        <v>4.8118119999999998</v>
      </c>
      <c r="C2151">
        <f t="shared" si="38"/>
        <v>4.5199999999999996</v>
      </c>
      <c r="M2151" s="34">
        <v>40220</v>
      </c>
      <c r="N2151">
        <v>4.5999999999999996</v>
      </c>
    </row>
    <row r="2152" spans="1:14" x14ac:dyDescent="0.2">
      <c r="A2152" s="34">
        <v>41189</v>
      </c>
      <c r="B2152">
        <v>4.811013</v>
      </c>
      <c r="C2152">
        <f t="shared" si="38"/>
        <v>4.4800000000000004</v>
      </c>
      <c r="M2152" s="34">
        <v>40219</v>
      </c>
      <c r="N2152">
        <v>4.78</v>
      </c>
    </row>
    <row r="2153" spans="1:14" x14ac:dyDescent="0.2">
      <c r="A2153" s="34">
        <v>41188</v>
      </c>
      <c r="B2153">
        <v>4.8102130000000001</v>
      </c>
      <c r="C2153">
        <f t="shared" si="38"/>
        <v>4.4800000000000004</v>
      </c>
      <c r="M2153" s="34">
        <v>40218</v>
      </c>
      <c r="N2153">
        <v>4.5</v>
      </c>
    </row>
    <row r="2154" spans="1:14" x14ac:dyDescent="0.2">
      <c r="A2154" s="34">
        <v>41187</v>
      </c>
      <c r="B2154">
        <v>4.8094140000000003</v>
      </c>
      <c r="C2154">
        <f t="shared" si="38"/>
        <v>4.4800000000000004</v>
      </c>
      <c r="M2154" s="34">
        <v>40217</v>
      </c>
      <c r="N2154">
        <v>4.6500000000000004</v>
      </c>
    </row>
    <row r="2155" spans="1:14" x14ac:dyDescent="0.2">
      <c r="A2155" s="34">
        <v>41186</v>
      </c>
      <c r="B2155">
        <v>4.8086149999999996</v>
      </c>
      <c r="C2155">
        <f t="shared" si="38"/>
        <v>4.5</v>
      </c>
      <c r="M2155" s="34">
        <v>40214</v>
      </c>
      <c r="N2155">
        <v>4.6500000000000004</v>
      </c>
    </row>
    <row r="2156" spans="1:14" x14ac:dyDescent="0.2">
      <c r="A2156" s="34">
        <v>41185</v>
      </c>
      <c r="B2156">
        <v>4.807817</v>
      </c>
      <c r="C2156">
        <f t="shared" si="38"/>
        <v>4.5199999999999996</v>
      </c>
      <c r="M2156" s="34">
        <v>40213</v>
      </c>
      <c r="N2156">
        <v>4.55</v>
      </c>
    </row>
    <row r="2157" spans="1:14" x14ac:dyDescent="0.2">
      <c r="A2157" s="34">
        <v>41184</v>
      </c>
      <c r="B2157">
        <v>4.8070180000000002</v>
      </c>
      <c r="C2157">
        <f t="shared" si="38"/>
        <v>4.5199999999999996</v>
      </c>
      <c r="M2157" s="34">
        <v>40212</v>
      </c>
      <c r="N2157">
        <v>4.55</v>
      </c>
    </row>
    <row r="2158" spans="1:14" x14ac:dyDescent="0.2">
      <c r="A2158" s="34">
        <v>41183</v>
      </c>
      <c r="B2158">
        <v>4.8062189999999996</v>
      </c>
      <c r="C2158">
        <f t="shared" si="38"/>
        <v>4.5</v>
      </c>
      <c r="M2158" s="34">
        <v>40211</v>
      </c>
      <c r="N2158">
        <v>4.4000000000000004</v>
      </c>
    </row>
    <row r="2159" spans="1:14" x14ac:dyDescent="0.2">
      <c r="A2159" s="34">
        <v>41182</v>
      </c>
      <c r="B2159">
        <v>4.8054209999999999</v>
      </c>
      <c r="C2159">
        <f t="shared" si="38"/>
        <v>4.4800000000000004</v>
      </c>
      <c r="M2159" s="34">
        <v>40207</v>
      </c>
      <c r="N2159">
        <v>5</v>
      </c>
    </row>
    <row r="2160" spans="1:14" x14ac:dyDescent="0.2">
      <c r="A2160" s="34">
        <v>41181</v>
      </c>
      <c r="B2160">
        <v>4.8046230000000003</v>
      </c>
      <c r="C2160">
        <f t="shared" si="38"/>
        <v>4.4800000000000004</v>
      </c>
      <c r="M2160" s="34">
        <v>40206</v>
      </c>
      <c r="N2160">
        <v>4.6500000000000004</v>
      </c>
    </row>
    <row r="2161" spans="1:14" x14ac:dyDescent="0.2">
      <c r="A2161" s="34">
        <v>41180</v>
      </c>
      <c r="B2161">
        <v>4.8038239999999996</v>
      </c>
      <c r="C2161">
        <f t="shared" si="38"/>
        <v>4.4800000000000004</v>
      </c>
      <c r="M2161" s="34">
        <v>40205</v>
      </c>
      <c r="N2161">
        <v>4.53</v>
      </c>
    </row>
    <row r="2162" spans="1:14" x14ac:dyDescent="0.2">
      <c r="A2162" s="34">
        <v>41179</v>
      </c>
      <c r="B2162">
        <v>4.803026</v>
      </c>
      <c r="C2162">
        <f t="shared" si="38"/>
        <v>4.5</v>
      </c>
      <c r="M2162" s="34">
        <v>40204</v>
      </c>
      <c r="N2162">
        <v>4.6399999999999997</v>
      </c>
    </row>
    <row r="2163" spans="1:14" x14ac:dyDescent="0.2">
      <c r="A2163" s="34">
        <v>41178</v>
      </c>
      <c r="B2163">
        <v>4.8022280000000004</v>
      </c>
      <c r="C2163">
        <f t="shared" si="38"/>
        <v>4.5199999999999996</v>
      </c>
      <c r="M2163" s="34">
        <v>40203</v>
      </c>
      <c r="N2163">
        <v>4.54</v>
      </c>
    </row>
    <row r="2164" spans="1:14" x14ac:dyDescent="0.2">
      <c r="A2164" s="34">
        <v>41177</v>
      </c>
      <c r="B2164">
        <v>4.801431</v>
      </c>
      <c r="C2164">
        <f t="shared" si="38"/>
        <v>4.5199999999999996</v>
      </c>
      <c r="M2164" s="34">
        <v>40200</v>
      </c>
      <c r="N2164">
        <v>4.58</v>
      </c>
    </row>
    <row r="2165" spans="1:14" x14ac:dyDescent="0.2">
      <c r="A2165" s="34">
        <v>41176</v>
      </c>
      <c r="B2165">
        <v>4.8006710000000004</v>
      </c>
      <c r="C2165">
        <f t="shared" si="38"/>
        <v>4.55</v>
      </c>
      <c r="M2165" s="34">
        <v>40199</v>
      </c>
      <c r="N2165">
        <v>4.45</v>
      </c>
    </row>
    <row r="2166" spans="1:14" x14ac:dyDescent="0.2">
      <c r="A2166" s="34">
        <v>41175</v>
      </c>
      <c r="B2166">
        <v>4.7999109999999998</v>
      </c>
      <c r="C2166">
        <f t="shared" si="38"/>
        <v>4.49</v>
      </c>
      <c r="M2166" s="34">
        <v>40198</v>
      </c>
      <c r="N2166">
        <v>4.5</v>
      </c>
    </row>
    <row r="2167" spans="1:14" x14ac:dyDescent="0.2">
      <c r="A2167" s="34">
        <v>41174</v>
      </c>
      <c r="B2167">
        <v>4.7991510000000002</v>
      </c>
      <c r="C2167">
        <f t="shared" si="38"/>
        <v>4.49</v>
      </c>
      <c r="M2167" s="34">
        <v>40197</v>
      </c>
      <c r="N2167">
        <v>4.8</v>
      </c>
    </row>
    <row r="2168" spans="1:14" x14ac:dyDescent="0.2">
      <c r="A2168" s="34">
        <v>41173</v>
      </c>
      <c r="B2168">
        <v>4.7983909999999996</v>
      </c>
      <c r="C2168">
        <f t="shared" si="38"/>
        <v>4.49</v>
      </c>
      <c r="M2168" s="34">
        <v>40196</v>
      </c>
      <c r="N2168">
        <v>4.58</v>
      </c>
    </row>
    <row r="2169" spans="1:14" x14ac:dyDescent="0.2">
      <c r="A2169" s="34">
        <v>41172</v>
      </c>
      <c r="B2169">
        <v>4.7976320000000001</v>
      </c>
      <c r="C2169">
        <f t="shared" si="38"/>
        <v>4.5199999999999996</v>
      </c>
      <c r="M2169" s="34">
        <v>40193</v>
      </c>
      <c r="N2169">
        <v>4.54</v>
      </c>
    </row>
    <row r="2170" spans="1:14" x14ac:dyDescent="0.2">
      <c r="A2170" s="34">
        <v>41171</v>
      </c>
      <c r="B2170">
        <v>4.7968719999999996</v>
      </c>
      <c r="C2170">
        <f t="shared" si="38"/>
        <v>4.5199999999999996</v>
      </c>
      <c r="M2170" s="34">
        <v>40192</v>
      </c>
      <c r="N2170">
        <v>4.4000000000000004</v>
      </c>
    </row>
    <row r="2171" spans="1:14" x14ac:dyDescent="0.2">
      <c r="A2171" s="34">
        <v>41170</v>
      </c>
      <c r="B2171">
        <v>4.7961130000000001</v>
      </c>
      <c r="C2171">
        <f t="shared" si="38"/>
        <v>4.5199999999999996</v>
      </c>
      <c r="M2171" s="34">
        <v>40191</v>
      </c>
      <c r="N2171">
        <v>4.45</v>
      </c>
    </row>
    <row r="2172" spans="1:14" x14ac:dyDescent="0.2">
      <c r="A2172" s="34">
        <v>41169</v>
      </c>
      <c r="B2172">
        <v>4.7953539999999997</v>
      </c>
      <c r="C2172">
        <f t="shared" si="38"/>
        <v>4.5199999999999996</v>
      </c>
      <c r="M2172" s="34">
        <v>40190</v>
      </c>
      <c r="N2172">
        <v>4.4000000000000004</v>
      </c>
    </row>
    <row r="2173" spans="1:14" x14ac:dyDescent="0.2">
      <c r="A2173" s="34">
        <v>41168</v>
      </c>
      <c r="B2173">
        <v>4.7945950000000002</v>
      </c>
      <c r="C2173">
        <f t="shared" si="38"/>
        <v>4.5199999999999996</v>
      </c>
      <c r="M2173" s="34">
        <v>40189</v>
      </c>
      <c r="N2173">
        <v>4.58</v>
      </c>
    </row>
    <row r="2174" spans="1:14" x14ac:dyDescent="0.2">
      <c r="A2174" s="34">
        <v>41167</v>
      </c>
      <c r="B2174">
        <v>4.7938359999999998</v>
      </c>
      <c r="C2174">
        <f t="shared" si="38"/>
        <v>4.5199999999999996</v>
      </c>
      <c r="M2174" s="34">
        <v>40186</v>
      </c>
      <c r="N2174">
        <v>4.8499999999999996</v>
      </c>
    </row>
    <row r="2175" spans="1:14" x14ac:dyDescent="0.2">
      <c r="A2175" s="34">
        <v>41166</v>
      </c>
      <c r="B2175">
        <v>4.7930770000000003</v>
      </c>
      <c r="C2175">
        <f t="shared" si="38"/>
        <v>4.5199999999999996</v>
      </c>
      <c r="M2175" s="34">
        <v>40185</v>
      </c>
      <c r="N2175">
        <v>4.53</v>
      </c>
    </row>
    <row r="2176" spans="1:14" x14ac:dyDescent="0.2">
      <c r="A2176" s="34">
        <v>41165</v>
      </c>
      <c r="B2176">
        <v>4.7923179999999999</v>
      </c>
      <c r="C2176">
        <f t="shared" si="38"/>
        <v>4.5</v>
      </c>
      <c r="M2176" s="34">
        <v>40184</v>
      </c>
      <c r="N2176">
        <v>4.53</v>
      </c>
    </row>
    <row r="2177" spans="1:14" x14ac:dyDescent="0.2">
      <c r="A2177" s="34">
        <v>41164</v>
      </c>
      <c r="B2177">
        <v>4.7915590000000003</v>
      </c>
      <c r="C2177">
        <f t="shared" si="38"/>
        <v>4.46</v>
      </c>
      <c r="M2177" s="34">
        <v>40183</v>
      </c>
      <c r="N2177">
        <v>4.53</v>
      </c>
    </row>
    <row r="2178" spans="1:14" x14ac:dyDescent="0.2">
      <c r="A2178" s="34">
        <v>41163</v>
      </c>
      <c r="B2178">
        <v>4.7908010000000001</v>
      </c>
      <c r="C2178">
        <f t="shared" ref="C2178:C2241" si="39">IFERROR(VLOOKUP(A2178,$M$2:$N$3695,2,0),C2179)</f>
        <v>4.46</v>
      </c>
      <c r="M2178" s="34">
        <v>40182</v>
      </c>
      <c r="N2178">
        <v>4.53</v>
      </c>
    </row>
    <row r="2179" spans="1:14" x14ac:dyDescent="0.2">
      <c r="A2179" s="34">
        <v>41162</v>
      </c>
      <c r="B2179">
        <v>4.7900429999999998</v>
      </c>
      <c r="C2179">
        <f t="shared" si="39"/>
        <v>4.5199999999999996</v>
      </c>
      <c r="M2179" s="34">
        <v>40178</v>
      </c>
      <c r="N2179">
        <v>4.5199999999999996</v>
      </c>
    </row>
    <row r="2180" spans="1:14" x14ac:dyDescent="0.2">
      <c r="A2180" s="34">
        <v>41161</v>
      </c>
      <c r="B2180">
        <v>4.7896349999999996</v>
      </c>
      <c r="C2180">
        <f t="shared" si="39"/>
        <v>4.5</v>
      </c>
      <c r="M2180" s="34">
        <v>40177</v>
      </c>
      <c r="N2180">
        <v>4.54</v>
      </c>
    </row>
    <row r="2181" spans="1:14" x14ac:dyDescent="0.2">
      <c r="A2181" s="34">
        <v>41160</v>
      </c>
      <c r="B2181">
        <v>4.7892279999999996</v>
      </c>
      <c r="C2181">
        <f t="shared" si="39"/>
        <v>4.5</v>
      </c>
      <c r="M2181" s="34">
        <v>40176</v>
      </c>
      <c r="N2181">
        <v>4.5999999999999996</v>
      </c>
    </row>
    <row r="2182" spans="1:14" x14ac:dyDescent="0.2">
      <c r="A2182" s="34">
        <v>41159</v>
      </c>
      <c r="B2182">
        <v>4.7888210000000004</v>
      </c>
      <c r="C2182">
        <f t="shared" si="39"/>
        <v>4.5</v>
      </c>
      <c r="M2182" s="34">
        <v>40175</v>
      </c>
      <c r="N2182">
        <v>4.45</v>
      </c>
    </row>
    <row r="2183" spans="1:14" x14ac:dyDescent="0.2">
      <c r="A2183" s="34">
        <v>41158</v>
      </c>
      <c r="B2183">
        <v>4.7884130000000003</v>
      </c>
      <c r="C2183">
        <f t="shared" si="39"/>
        <v>4.5199999999999996</v>
      </c>
      <c r="M2183" s="34">
        <v>40171</v>
      </c>
      <c r="N2183">
        <v>4.55</v>
      </c>
    </row>
    <row r="2184" spans="1:14" x14ac:dyDescent="0.2">
      <c r="A2184" s="34">
        <v>41157</v>
      </c>
      <c r="B2184">
        <v>4.7880060000000002</v>
      </c>
      <c r="C2184">
        <f t="shared" si="39"/>
        <v>4.46</v>
      </c>
      <c r="M2184" s="34">
        <v>40170</v>
      </c>
      <c r="N2184">
        <v>4.6500000000000004</v>
      </c>
    </row>
    <row r="2185" spans="1:14" x14ac:dyDescent="0.2">
      <c r="A2185" s="34">
        <v>41156</v>
      </c>
      <c r="B2185">
        <v>4.7875990000000002</v>
      </c>
      <c r="C2185">
        <f t="shared" si="39"/>
        <v>4.5</v>
      </c>
      <c r="M2185" s="34">
        <v>40169</v>
      </c>
      <c r="N2185">
        <v>4.5</v>
      </c>
    </row>
    <row r="2186" spans="1:14" x14ac:dyDescent="0.2">
      <c r="A2186" s="34">
        <v>41155</v>
      </c>
      <c r="B2186">
        <v>4.7871920000000001</v>
      </c>
      <c r="C2186">
        <f t="shared" si="39"/>
        <v>4.5199999999999996</v>
      </c>
      <c r="M2186" s="34">
        <v>40168</v>
      </c>
      <c r="N2186">
        <v>4.58</v>
      </c>
    </row>
    <row r="2187" spans="1:14" x14ac:dyDescent="0.2">
      <c r="A2187" s="34">
        <v>41154</v>
      </c>
      <c r="B2187">
        <v>4.7867839999999999</v>
      </c>
      <c r="C2187">
        <f t="shared" si="39"/>
        <v>4.5199999999999996</v>
      </c>
      <c r="M2187" s="34">
        <v>40165</v>
      </c>
      <c r="N2187">
        <v>4.5999999999999996</v>
      </c>
    </row>
    <row r="2188" spans="1:14" x14ac:dyDescent="0.2">
      <c r="A2188" s="34">
        <v>41153</v>
      </c>
      <c r="B2188">
        <v>4.7863769999999999</v>
      </c>
      <c r="C2188">
        <f t="shared" si="39"/>
        <v>4.5199999999999996</v>
      </c>
      <c r="M2188" s="34">
        <v>40164</v>
      </c>
      <c r="N2188">
        <v>4.54</v>
      </c>
    </row>
    <row r="2189" spans="1:14" x14ac:dyDescent="0.2">
      <c r="A2189" s="34">
        <v>41152</v>
      </c>
      <c r="B2189">
        <v>4.7859699999999998</v>
      </c>
      <c r="C2189">
        <f t="shared" si="39"/>
        <v>4.5199999999999996</v>
      </c>
      <c r="M2189" s="34">
        <v>40163</v>
      </c>
      <c r="N2189">
        <v>4.57</v>
      </c>
    </row>
    <row r="2190" spans="1:14" x14ac:dyDescent="0.2">
      <c r="A2190" s="34">
        <v>41151</v>
      </c>
      <c r="B2190">
        <v>4.7855629999999998</v>
      </c>
      <c r="C2190">
        <f t="shared" si="39"/>
        <v>4.5</v>
      </c>
      <c r="M2190" s="34">
        <v>40162</v>
      </c>
      <c r="N2190">
        <v>4.5</v>
      </c>
    </row>
    <row r="2191" spans="1:14" x14ac:dyDescent="0.2">
      <c r="A2191" s="34">
        <v>41150</v>
      </c>
      <c r="B2191">
        <v>4.7851559999999997</v>
      </c>
      <c r="C2191">
        <f t="shared" si="39"/>
        <v>4.51</v>
      </c>
      <c r="M2191" s="34">
        <v>40161</v>
      </c>
      <c r="N2191">
        <v>4.5999999999999996</v>
      </c>
    </row>
    <row r="2192" spans="1:14" x14ac:dyDescent="0.2">
      <c r="A2192" s="34">
        <v>41149</v>
      </c>
      <c r="B2192">
        <v>4.7847489999999997</v>
      </c>
      <c r="C2192">
        <f t="shared" si="39"/>
        <v>4.5199999999999996</v>
      </c>
      <c r="M2192" s="34">
        <v>40158</v>
      </c>
      <c r="N2192">
        <v>4.5</v>
      </c>
    </row>
    <row r="2193" spans="1:14" x14ac:dyDescent="0.2">
      <c r="A2193" s="34">
        <v>41148</v>
      </c>
      <c r="B2193">
        <v>4.7843419999999997</v>
      </c>
      <c r="C2193">
        <f t="shared" si="39"/>
        <v>4.5</v>
      </c>
      <c r="M2193" s="34">
        <v>40157</v>
      </c>
      <c r="N2193">
        <v>4.55</v>
      </c>
    </row>
    <row r="2194" spans="1:14" x14ac:dyDescent="0.2">
      <c r="A2194" s="34">
        <v>41147</v>
      </c>
      <c r="B2194">
        <v>4.7839349999999996</v>
      </c>
      <c r="C2194">
        <f t="shared" si="39"/>
        <v>4.4800000000000004</v>
      </c>
      <c r="M2194" s="34">
        <v>40156</v>
      </c>
      <c r="N2194">
        <v>4.54</v>
      </c>
    </row>
    <row r="2195" spans="1:14" x14ac:dyDescent="0.2">
      <c r="A2195" s="34">
        <v>41146</v>
      </c>
      <c r="B2195">
        <v>4.7835289999999997</v>
      </c>
      <c r="C2195">
        <f t="shared" si="39"/>
        <v>4.4800000000000004</v>
      </c>
      <c r="M2195" s="34">
        <v>40155</v>
      </c>
      <c r="N2195">
        <v>4.51</v>
      </c>
    </row>
    <row r="2196" spans="1:14" x14ac:dyDescent="0.2">
      <c r="A2196" s="34">
        <v>41145</v>
      </c>
      <c r="B2196">
        <v>4.7832429999999997</v>
      </c>
      <c r="C2196">
        <f t="shared" si="39"/>
        <v>4.4800000000000004</v>
      </c>
      <c r="M2196" s="34">
        <v>40154</v>
      </c>
      <c r="N2196">
        <v>4.54</v>
      </c>
    </row>
    <row r="2197" spans="1:14" x14ac:dyDescent="0.2">
      <c r="A2197" s="34">
        <v>41144</v>
      </c>
      <c r="B2197">
        <v>4.7829569999999997</v>
      </c>
      <c r="C2197">
        <f t="shared" si="39"/>
        <v>4.45</v>
      </c>
      <c r="M2197" s="34">
        <v>40151</v>
      </c>
      <c r="N2197">
        <v>4.4800000000000004</v>
      </c>
    </row>
    <row r="2198" spans="1:14" x14ac:dyDescent="0.2">
      <c r="A2198" s="34">
        <v>41143</v>
      </c>
      <c r="B2198">
        <v>4.7826719999999998</v>
      </c>
      <c r="C2198">
        <f t="shared" si="39"/>
        <v>4.4800000000000004</v>
      </c>
      <c r="M2198" s="34">
        <v>40150</v>
      </c>
      <c r="N2198">
        <v>4.5199999999999996</v>
      </c>
    </row>
    <row r="2199" spans="1:14" x14ac:dyDescent="0.2">
      <c r="A2199" s="34">
        <v>41142</v>
      </c>
      <c r="B2199">
        <v>4.7823859999999998</v>
      </c>
      <c r="C2199">
        <f t="shared" si="39"/>
        <v>4.5199999999999996</v>
      </c>
      <c r="M2199" s="34">
        <v>40149</v>
      </c>
      <c r="N2199">
        <v>4.5199999999999996</v>
      </c>
    </row>
    <row r="2200" spans="1:14" x14ac:dyDescent="0.2">
      <c r="A2200" s="34">
        <v>41141</v>
      </c>
      <c r="B2200">
        <v>4.7821009999999999</v>
      </c>
      <c r="C2200">
        <f t="shared" si="39"/>
        <v>4.49</v>
      </c>
      <c r="M2200" s="34">
        <v>40148</v>
      </c>
      <c r="N2200">
        <v>4.5199999999999996</v>
      </c>
    </row>
    <row r="2201" spans="1:14" x14ac:dyDescent="0.2">
      <c r="A2201" s="34">
        <v>41140</v>
      </c>
      <c r="B2201">
        <v>4.7818149999999999</v>
      </c>
      <c r="C2201">
        <f t="shared" si="39"/>
        <v>4.5199999999999996</v>
      </c>
      <c r="M2201" s="34">
        <v>40147</v>
      </c>
      <c r="N2201">
        <v>4.53</v>
      </c>
    </row>
    <row r="2202" spans="1:14" x14ac:dyDescent="0.2">
      <c r="A2202" s="34">
        <v>41139</v>
      </c>
      <c r="B2202">
        <v>4.7815300000000001</v>
      </c>
      <c r="C2202">
        <f t="shared" si="39"/>
        <v>4.5199999999999996</v>
      </c>
      <c r="M2202" s="34">
        <v>40144</v>
      </c>
      <c r="N2202">
        <v>4.5999999999999996</v>
      </c>
    </row>
    <row r="2203" spans="1:14" x14ac:dyDescent="0.2">
      <c r="A2203" s="34">
        <v>41138</v>
      </c>
      <c r="B2203">
        <v>4.781244</v>
      </c>
      <c r="C2203">
        <f t="shared" si="39"/>
        <v>4.5199999999999996</v>
      </c>
      <c r="M2203" s="34">
        <v>40143</v>
      </c>
      <c r="N2203">
        <v>4.5</v>
      </c>
    </row>
    <row r="2204" spans="1:14" x14ac:dyDescent="0.2">
      <c r="A2204" s="34">
        <v>41137</v>
      </c>
      <c r="B2204">
        <v>4.7809590000000002</v>
      </c>
      <c r="C2204">
        <f t="shared" si="39"/>
        <v>4.5199999999999996</v>
      </c>
      <c r="M2204" s="34">
        <v>40142</v>
      </c>
      <c r="N2204">
        <v>4.5</v>
      </c>
    </row>
    <row r="2205" spans="1:14" x14ac:dyDescent="0.2">
      <c r="A2205" s="34">
        <v>41136</v>
      </c>
      <c r="B2205">
        <v>4.7806730000000002</v>
      </c>
      <c r="C2205">
        <f t="shared" si="39"/>
        <v>4.5</v>
      </c>
      <c r="M2205" s="34">
        <v>40141</v>
      </c>
      <c r="N2205">
        <v>4.62</v>
      </c>
    </row>
    <row r="2206" spans="1:14" x14ac:dyDescent="0.2">
      <c r="A2206" s="34">
        <v>41135</v>
      </c>
      <c r="B2206">
        <v>4.7803880000000003</v>
      </c>
      <c r="C2206">
        <f t="shared" si="39"/>
        <v>4.5199999999999996</v>
      </c>
      <c r="M2206" s="34">
        <v>40140</v>
      </c>
      <c r="N2206">
        <v>4.4800000000000004</v>
      </c>
    </row>
    <row r="2207" spans="1:14" x14ac:dyDescent="0.2">
      <c r="A2207" s="34">
        <v>41134</v>
      </c>
      <c r="B2207">
        <v>4.7801030000000004</v>
      </c>
      <c r="C2207">
        <f t="shared" si="39"/>
        <v>4.49</v>
      </c>
      <c r="M2207" s="34">
        <v>40137</v>
      </c>
      <c r="N2207">
        <v>4.55</v>
      </c>
    </row>
    <row r="2208" spans="1:14" x14ac:dyDescent="0.2">
      <c r="A2208" s="34">
        <v>41133</v>
      </c>
      <c r="B2208">
        <v>4.7798170000000004</v>
      </c>
      <c r="C2208">
        <f t="shared" si="39"/>
        <v>4.49</v>
      </c>
      <c r="M2208" s="34">
        <v>40136</v>
      </c>
      <c r="N2208">
        <v>4.5</v>
      </c>
    </row>
    <row r="2209" spans="1:14" x14ac:dyDescent="0.2">
      <c r="A2209" s="34">
        <v>41132</v>
      </c>
      <c r="B2209">
        <v>4.7795319999999997</v>
      </c>
      <c r="C2209">
        <f t="shared" si="39"/>
        <v>4.49</v>
      </c>
      <c r="M2209" s="34">
        <v>40135</v>
      </c>
      <c r="N2209">
        <v>4.5</v>
      </c>
    </row>
    <row r="2210" spans="1:14" x14ac:dyDescent="0.2">
      <c r="A2210" s="34">
        <v>41131</v>
      </c>
      <c r="B2210">
        <v>4.7792469999999998</v>
      </c>
      <c r="C2210">
        <f t="shared" si="39"/>
        <v>4.49</v>
      </c>
      <c r="M2210" s="34">
        <v>40134</v>
      </c>
      <c r="N2210">
        <v>5</v>
      </c>
    </row>
    <row r="2211" spans="1:14" x14ac:dyDescent="0.2">
      <c r="A2211" s="34">
        <v>41130</v>
      </c>
      <c r="B2211">
        <v>4.7780860000000001</v>
      </c>
      <c r="C2211">
        <f t="shared" si="39"/>
        <v>4.45</v>
      </c>
      <c r="M2211" s="34">
        <v>40130</v>
      </c>
      <c r="N2211">
        <v>4.55</v>
      </c>
    </row>
    <row r="2212" spans="1:14" x14ac:dyDescent="0.2">
      <c r="A2212" s="34">
        <v>41129</v>
      </c>
      <c r="B2212">
        <v>4.7769250000000003</v>
      </c>
      <c r="C2212">
        <f t="shared" si="39"/>
        <v>4.5199999999999996</v>
      </c>
      <c r="M2212" s="34">
        <v>40129</v>
      </c>
      <c r="N2212">
        <v>4.5</v>
      </c>
    </row>
    <row r="2213" spans="1:14" x14ac:dyDescent="0.2">
      <c r="A2213" s="34">
        <v>41128</v>
      </c>
      <c r="B2213">
        <v>4.7757649999999998</v>
      </c>
      <c r="C2213">
        <f t="shared" si="39"/>
        <v>4.4800000000000004</v>
      </c>
      <c r="M2213" s="34">
        <v>40128</v>
      </c>
      <c r="N2213">
        <v>4.25</v>
      </c>
    </row>
    <row r="2214" spans="1:14" x14ac:dyDescent="0.2">
      <c r="A2214" s="34">
        <v>41127</v>
      </c>
      <c r="B2214">
        <v>4.7746050000000002</v>
      </c>
      <c r="C2214">
        <f t="shared" si="39"/>
        <v>4.5199999999999996</v>
      </c>
      <c r="M2214" s="34">
        <v>40127</v>
      </c>
      <c r="N2214">
        <v>4.6500000000000004</v>
      </c>
    </row>
    <row r="2215" spans="1:14" x14ac:dyDescent="0.2">
      <c r="A2215" s="34">
        <v>41126</v>
      </c>
      <c r="B2215">
        <v>4.7734449999999997</v>
      </c>
      <c r="C2215">
        <f t="shared" si="39"/>
        <v>4.4800000000000004</v>
      </c>
      <c r="M2215" s="34">
        <v>40126</v>
      </c>
      <c r="N2215">
        <v>4.45</v>
      </c>
    </row>
    <row r="2216" spans="1:14" x14ac:dyDescent="0.2">
      <c r="A2216" s="34">
        <v>41125</v>
      </c>
      <c r="B2216">
        <v>4.7722860000000003</v>
      </c>
      <c r="C2216">
        <f t="shared" si="39"/>
        <v>4.4800000000000004</v>
      </c>
      <c r="M2216" s="34">
        <v>40123</v>
      </c>
      <c r="N2216">
        <v>4.45</v>
      </c>
    </row>
    <row r="2217" spans="1:14" x14ac:dyDescent="0.2">
      <c r="A2217" s="34">
        <v>41124</v>
      </c>
      <c r="B2217">
        <v>4.7711259999999998</v>
      </c>
      <c r="C2217">
        <f t="shared" si="39"/>
        <v>4.4800000000000004</v>
      </c>
      <c r="M2217" s="34">
        <v>40122</v>
      </c>
      <c r="N2217">
        <v>4.5</v>
      </c>
    </row>
    <row r="2218" spans="1:14" x14ac:dyDescent="0.2">
      <c r="A2218" s="34">
        <v>41123</v>
      </c>
      <c r="B2218">
        <v>4.7699680000000004</v>
      </c>
      <c r="C2218">
        <f t="shared" si="39"/>
        <v>4.49</v>
      </c>
      <c r="M2218" s="34">
        <v>40121</v>
      </c>
      <c r="N2218">
        <v>4.7</v>
      </c>
    </row>
    <row r="2219" spans="1:14" x14ac:dyDescent="0.2">
      <c r="A2219" s="34">
        <v>41122</v>
      </c>
      <c r="B2219">
        <v>4.7688090000000001</v>
      </c>
      <c r="C2219">
        <f t="shared" si="39"/>
        <v>4.5199999999999996</v>
      </c>
      <c r="M2219" s="34">
        <v>40120</v>
      </c>
      <c r="N2219">
        <v>4.5999999999999996</v>
      </c>
    </row>
    <row r="2220" spans="1:14" x14ac:dyDescent="0.2">
      <c r="A2220" s="34">
        <v>41121</v>
      </c>
      <c r="B2220">
        <v>4.7676509999999999</v>
      </c>
      <c r="C2220">
        <f t="shared" si="39"/>
        <v>4.5199999999999996</v>
      </c>
      <c r="M2220" s="34">
        <v>40116</v>
      </c>
      <c r="N2220">
        <v>4.62</v>
      </c>
    </row>
    <row r="2221" spans="1:14" x14ac:dyDescent="0.2">
      <c r="A2221" s="34">
        <v>41120</v>
      </c>
      <c r="B2221">
        <v>4.7664929999999996</v>
      </c>
      <c r="C2221">
        <f t="shared" si="39"/>
        <v>4.4800000000000004</v>
      </c>
      <c r="M2221" s="34">
        <v>40115</v>
      </c>
      <c r="N2221">
        <v>4.5199999999999996</v>
      </c>
    </row>
    <row r="2222" spans="1:14" x14ac:dyDescent="0.2">
      <c r="A2222" s="34">
        <v>41119</v>
      </c>
      <c r="B2222">
        <v>4.7653350000000003</v>
      </c>
      <c r="C2222">
        <f t="shared" si="39"/>
        <v>4.5199999999999996</v>
      </c>
      <c r="M2222" s="34">
        <v>40114</v>
      </c>
      <c r="N2222">
        <v>4.7</v>
      </c>
    </row>
    <row r="2223" spans="1:14" x14ac:dyDescent="0.2">
      <c r="A2223" s="34">
        <v>41118</v>
      </c>
      <c r="B2223">
        <v>4.7641770000000001</v>
      </c>
      <c r="C2223">
        <f t="shared" si="39"/>
        <v>4.5199999999999996</v>
      </c>
      <c r="M2223" s="34">
        <v>40113</v>
      </c>
      <c r="N2223">
        <v>4.53</v>
      </c>
    </row>
    <row r="2224" spans="1:14" x14ac:dyDescent="0.2">
      <c r="A2224" s="34">
        <v>41117</v>
      </c>
      <c r="B2224">
        <v>4.76302</v>
      </c>
      <c r="C2224">
        <f t="shared" si="39"/>
        <v>4.5199999999999996</v>
      </c>
      <c r="M2224" s="34">
        <v>40112</v>
      </c>
      <c r="N2224">
        <v>4.49</v>
      </c>
    </row>
    <row r="2225" spans="1:14" x14ac:dyDescent="0.2">
      <c r="A2225" s="34">
        <v>41116</v>
      </c>
      <c r="B2225">
        <v>4.761863</v>
      </c>
      <c r="C2225">
        <f t="shared" si="39"/>
        <v>4.5199999999999996</v>
      </c>
      <c r="M2225" s="34">
        <v>40109</v>
      </c>
      <c r="N2225">
        <v>4.4000000000000004</v>
      </c>
    </row>
    <row r="2226" spans="1:14" x14ac:dyDescent="0.2">
      <c r="A2226" s="34">
        <v>41115</v>
      </c>
      <c r="B2226">
        <v>4.760707</v>
      </c>
      <c r="C2226">
        <f t="shared" si="39"/>
        <v>4.49</v>
      </c>
      <c r="M2226" s="34">
        <v>40108</v>
      </c>
      <c r="N2226">
        <v>4.4800000000000004</v>
      </c>
    </row>
    <row r="2227" spans="1:14" x14ac:dyDescent="0.2">
      <c r="A2227" s="34">
        <v>41114</v>
      </c>
      <c r="B2227">
        <v>4.7599039999999997</v>
      </c>
      <c r="C2227">
        <f t="shared" si="39"/>
        <v>4.49</v>
      </c>
      <c r="M2227" s="34">
        <v>40107</v>
      </c>
      <c r="N2227">
        <v>4.47</v>
      </c>
    </row>
    <row r="2228" spans="1:14" x14ac:dyDescent="0.2">
      <c r="A2228" s="34">
        <v>41113</v>
      </c>
      <c r="B2228">
        <v>4.7591010000000002</v>
      </c>
      <c r="C2228">
        <f t="shared" si="39"/>
        <v>4.7</v>
      </c>
      <c r="M2228" s="34">
        <v>40106</v>
      </c>
      <c r="N2228">
        <v>4.58</v>
      </c>
    </row>
    <row r="2229" spans="1:14" x14ac:dyDescent="0.2">
      <c r="A2229" s="34">
        <v>41112</v>
      </c>
      <c r="B2229">
        <v>4.7582990000000001</v>
      </c>
      <c r="C2229">
        <f t="shared" si="39"/>
        <v>4.5199999999999996</v>
      </c>
      <c r="M2229" s="34">
        <v>40105</v>
      </c>
      <c r="N2229">
        <v>4.51</v>
      </c>
    </row>
    <row r="2230" spans="1:14" x14ac:dyDescent="0.2">
      <c r="A2230" s="34">
        <v>41111</v>
      </c>
      <c r="B2230">
        <v>4.7574969999999999</v>
      </c>
      <c r="C2230">
        <f t="shared" si="39"/>
        <v>4.5199999999999996</v>
      </c>
      <c r="M2230" s="34">
        <v>40102</v>
      </c>
      <c r="N2230">
        <v>4.5999999999999996</v>
      </c>
    </row>
    <row r="2231" spans="1:14" x14ac:dyDescent="0.2">
      <c r="A2231" s="34">
        <v>41110</v>
      </c>
      <c r="B2231">
        <v>4.7566949999999997</v>
      </c>
      <c r="C2231">
        <f t="shared" si="39"/>
        <v>4.5199999999999996</v>
      </c>
      <c r="M2231" s="34">
        <v>40101</v>
      </c>
      <c r="N2231">
        <v>4.5999999999999996</v>
      </c>
    </row>
    <row r="2232" spans="1:14" x14ac:dyDescent="0.2">
      <c r="A2232" s="34">
        <v>41109</v>
      </c>
      <c r="B2232">
        <v>4.7558930000000004</v>
      </c>
      <c r="C2232">
        <f t="shared" si="39"/>
        <v>4.5199999999999996</v>
      </c>
      <c r="M2232" s="34">
        <v>40100</v>
      </c>
      <c r="N2232">
        <v>4.46</v>
      </c>
    </row>
    <row r="2233" spans="1:14" x14ac:dyDescent="0.2">
      <c r="A2233" s="34">
        <v>41108</v>
      </c>
      <c r="B2233">
        <v>4.7550910000000002</v>
      </c>
      <c r="C2233">
        <f t="shared" si="39"/>
        <v>4.4800000000000004</v>
      </c>
      <c r="M2233" s="34">
        <v>40099</v>
      </c>
      <c r="N2233">
        <v>4.5999999999999996</v>
      </c>
    </row>
    <row r="2234" spans="1:14" x14ac:dyDescent="0.2">
      <c r="A2234" s="34">
        <v>41107</v>
      </c>
      <c r="B2234">
        <v>4.754289</v>
      </c>
      <c r="C2234">
        <f t="shared" si="39"/>
        <v>4.45</v>
      </c>
      <c r="M2234" s="34">
        <v>40098</v>
      </c>
      <c r="N2234">
        <v>4.45</v>
      </c>
    </row>
    <row r="2235" spans="1:14" x14ac:dyDescent="0.2">
      <c r="A2235" s="34">
        <v>41106</v>
      </c>
      <c r="B2235">
        <v>4.7534869999999998</v>
      </c>
      <c r="C2235">
        <f t="shared" si="39"/>
        <v>4.46</v>
      </c>
      <c r="M2235" s="34">
        <v>40095</v>
      </c>
      <c r="N2235">
        <v>4.4000000000000004</v>
      </c>
    </row>
    <row r="2236" spans="1:14" x14ac:dyDescent="0.2">
      <c r="A2236" s="34">
        <v>41105</v>
      </c>
      <c r="B2236">
        <v>4.7526859999999997</v>
      </c>
      <c r="C2236">
        <f t="shared" si="39"/>
        <v>4.4400000000000004</v>
      </c>
      <c r="M2236" s="34">
        <v>40094</v>
      </c>
      <c r="N2236">
        <v>4.47</v>
      </c>
    </row>
    <row r="2237" spans="1:14" x14ac:dyDescent="0.2">
      <c r="A2237" s="34">
        <v>41104</v>
      </c>
      <c r="B2237">
        <v>4.7518849999999997</v>
      </c>
      <c r="C2237">
        <f t="shared" si="39"/>
        <v>4.4400000000000004</v>
      </c>
      <c r="M2237" s="34">
        <v>40093</v>
      </c>
      <c r="N2237">
        <v>4.5</v>
      </c>
    </row>
    <row r="2238" spans="1:14" x14ac:dyDescent="0.2">
      <c r="A2238" s="34">
        <v>41103</v>
      </c>
      <c r="B2238">
        <v>4.7510839999999996</v>
      </c>
      <c r="C2238">
        <f t="shared" si="39"/>
        <v>4.4400000000000004</v>
      </c>
      <c r="M2238" s="34">
        <v>40092</v>
      </c>
      <c r="N2238">
        <v>4.45</v>
      </c>
    </row>
    <row r="2239" spans="1:14" x14ac:dyDescent="0.2">
      <c r="A2239" s="34">
        <v>41102</v>
      </c>
      <c r="B2239">
        <v>4.7502820000000003</v>
      </c>
      <c r="C2239">
        <f t="shared" si="39"/>
        <v>4.5199999999999996</v>
      </c>
      <c r="M2239" s="34">
        <v>40091</v>
      </c>
      <c r="N2239">
        <v>4.45</v>
      </c>
    </row>
    <row r="2240" spans="1:14" x14ac:dyDescent="0.2">
      <c r="A2240" s="34">
        <v>41101</v>
      </c>
      <c r="B2240">
        <v>4.7494820000000004</v>
      </c>
      <c r="C2240">
        <f t="shared" si="39"/>
        <v>4.46</v>
      </c>
      <c r="M2240" s="34">
        <v>40088</v>
      </c>
      <c r="N2240">
        <v>4.2</v>
      </c>
    </row>
    <row r="2241" spans="1:14" x14ac:dyDescent="0.2">
      <c r="A2241" s="34">
        <v>41100</v>
      </c>
      <c r="B2241">
        <v>4.7486810000000004</v>
      </c>
      <c r="C2241">
        <f t="shared" si="39"/>
        <v>4.5199999999999996</v>
      </c>
      <c r="M2241" s="34">
        <v>40087</v>
      </c>
      <c r="N2241">
        <v>4.46</v>
      </c>
    </row>
    <row r="2242" spans="1:14" x14ac:dyDescent="0.2">
      <c r="A2242" s="34">
        <v>41099</v>
      </c>
      <c r="B2242">
        <v>4.7479180000000003</v>
      </c>
      <c r="C2242">
        <f t="shared" ref="C2242:C2305" si="40">IFERROR(VLOOKUP(A2242,$M$2:$N$3695,2,0),C2243)</f>
        <v>4.49</v>
      </c>
      <c r="M2242" s="34">
        <v>40086</v>
      </c>
      <c r="N2242">
        <v>4.5999999999999996</v>
      </c>
    </row>
    <row r="2243" spans="1:14" x14ac:dyDescent="0.2">
      <c r="A2243" s="34">
        <v>41098</v>
      </c>
      <c r="B2243">
        <v>4.7471550000000002</v>
      </c>
      <c r="C2243">
        <f t="shared" si="40"/>
        <v>4.5199999999999996</v>
      </c>
      <c r="M2243" s="34">
        <v>40085</v>
      </c>
      <c r="N2243">
        <v>4.62</v>
      </c>
    </row>
    <row r="2244" spans="1:14" x14ac:dyDescent="0.2">
      <c r="A2244" s="34">
        <v>41097</v>
      </c>
      <c r="B2244">
        <v>4.7463920000000002</v>
      </c>
      <c r="C2244">
        <f t="shared" si="40"/>
        <v>4.5199999999999996</v>
      </c>
      <c r="M2244" s="34">
        <v>40084</v>
      </c>
      <c r="N2244">
        <v>4.5199999999999996</v>
      </c>
    </row>
    <row r="2245" spans="1:14" x14ac:dyDescent="0.2">
      <c r="A2245" s="34">
        <v>41096</v>
      </c>
      <c r="B2245">
        <v>4.7456290000000001</v>
      </c>
      <c r="C2245">
        <f t="shared" si="40"/>
        <v>4.5199999999999996</v>
      </c>
      <c r="M2245" s="34">
        <v>40081</v>
      </c>
      <c r="N2245">
        <v>4.45</v>
      </c>
    </row>
    <row r="2246" spans="1:14" x14ac:dyDescent="0.2">
      <c r="A2246" s="34">
        <v>41095</v>
      </c>
      <c r="B2246">
        <v>4.744866</v>
      </c>
      <c r="C2246">
        <f t="shared" si="40"/>
        <v>4.4800000000000004</v>
      </c>
      <c r="M2246" s="34">
        <v>40080</v>
      </c>
      <c r="N2246">
        <v>5</v>
      </c>
    </row>
    <row r="2247" spans="1:14" x14ac:dyDescent="0.2">
      <c r="A2247" s="34">
        <v>41094</v>
      </c>
      <c r="B2247">
        <v>4.7441040000000001</v>
      </c>
      <c r="C2247">
        <f t="shared" si="40"/>
        <v>4.47</v>
      </c>
      <c r="M2247" s="34">
        <v>40079</v>
      </c>
      <c r="N2247">
        <v>4.47</v>
      </c>
    </row>
    <row r="2248" spans="1:14" x14ac:dyDescent="0.2">
      <c r="A2248" s="34">
        <v>41093</v>
      </c>
      <c r="B2248">
        <v>4.7433420000000002</v>
      </c>
      <c r="C2248">
        <f t="shared" si="40"/>
        <v>4.5199999999999996</v>
      </c>
      <c r="M2248" s="34">
        <v>40078</v>
      </c>
      <c r="N2248">
        <v>4.49</v>
      </c>
    </row>
    <row r="2249" spans="1:14" x14ac:dyDescent="0.2">
      <c r="A2249" s="34">
        <v>41092</v>
      </c>
      <c r="B2249">
        <v>4.7425790000000001</v>
      </c>
      <c r="C2249">
        <f t="shared" si="40"/>
        <v>4.45</v>
      </c>
      <c r="M2249" s="34">
        <v>40077</v>
      </c>
      <c r="N2249">
        <v>4.41</v>
      </c>
    </row>
    <row r="2250" spans="1:14" x14ac:dyDescent="0.2">
      <c r="A2250" s="34">
        <v>41091</v>
      </c>
      <c r="B2250">
        <v>4.7418170000000002</v>
      </c>
      <c r="C2250">
        <f t="shared" si="40"/>
        <v>4.5199999999999996</v>
      </c>
      <c r="M2250" s="34">
        <v>40074</v>
      </c>
      <c r="N2250">
        <v>4.45</v>
      </c>
    </row>
    <row r="2251" spans="1:14" x14ac:dyDescent="0.2">
      <c r="A2251" s="34">
        <v>41090</v>
      </c>
      <c r="B2251">
        <v>4.7410550000000002</v>
      </c>
      <c r="C2251">
        <f t="shared" si="40"/>
        <v>4.5199999999999996</v>
      </c>
      <c r="M2251" s="34">
        <v>40073</v>
      </c>
      <c r="N2251">
        <v>4.5199999999999996</v>
      </c>
    </row>
    <row r="2252" spans="1:14" x14ac:dyDescent="0.2">
      <c r="A2252" s="34">
        <v>41089</v>
      </c>
      <c r="B2252">
        <v>4.7402930000000003</v>
      </c>
      <c r="C2252">
        <f t="shared" si="40"/>
        <v>4.5199999999999996</v>
      </c>
      <c r="M2252" s="34">
        <v>40071</v>
      </c>
      <c r="N2252">
        <v>4.5</v>
      </c>
    </row>
    <row r="2253" spans="1:14" x14ac:dyDescent="0.2">
      <c r="A2253" s="34">
        <v>41088</v>
      </c>
      <c r="B2253">
        <v>4.7395319999999996</v>
      </c>
      <c r="C2253">
        <f t="shared" si="40"/>
        <v>4.46</v>
      </c>
      <c r="M2253" s="34">
        <v>40070</v>
      </c>
      <c r="N2253">
        <v>4.54</v>
      </c>
    </row>
    <row r="2254" spans="1:14" x14ac:dyDescent="0.2">
      <c r="A2254" s="34">
        <v>41087</v>
      </c>
      <c r="B2254">
        <v>4.7387699999999997</v>
      </c>
      <c r="C2254">
        <f t="shared" si="40"/>
        <v>4.4800000000000004</v>
      </c>
      <c r="M2254" s="34">
        <v>40067</v>
      </c>
      <c r="N2254">
        <v>4.5</v>
      </c>
    </row>
    <row r="2255" spans="1:14" x14ac:dyDescent="0.2">
      <c r="A2255" s="34">
        <v>41086</v>
      </c>
      <c r="B2255">
        <v>4.7380079999999998</v>
      </c>
      <c r="C2255">
        <f t="shared" si="40"/>
        <v>4.4800000000000004</v>
      </c>
      <c r="M2255" s="34">
        <v>40066</v>
      </c>
      <c r="N2255">
        <v>4.5</v>
      </c>
    </row>
    <row r="2256" spans="1:14" x14ac:dyDescent="0.2">
      <c r="A2256" s="34">
        <v>41085</v>
      </c>
      <c r="B2256">
        <v>4.737247</v>
      </c>
      <c r="C2256">
        <f t="shared" si="40"/>
        <v>4.46</v>
      </c>
      <c r="M2256" s="34">
        <v>40065</v>
      </c>
      <c r="N2256">
        <v>4.45</v>
      </c>
    </row>
    <row r="2257" spans="1:14" x14ac:dyDescent="0.2">
      <c r="A2257" s="34">
        <v>41084</v>
      </c>
      <c r="B2257">
        <v>4.7366630000000001</v>
      </c>
      <c r="C2257">
        <f t="shared" si="40"/>
        <v>4.45</v>
      </c>
      <c r="M2257" s="34">
        <v>40064</v>
      </c>
      <c r="N2257">
        <v>4.5</v>
      </c>
    </row>
    <row r="2258" spans="1:14" x14ac:dyDescent="0.2">
      <c r="A2258" s="34">
        <v>41083</v>
      </c>
      <c r="B2258">
        <v>4.7360800000000003</v>
      </c>
      <c r="C2258">
        <f t="shared" si="40"/>
        <v>4.45</v>
      </c>
      <c r="M2258" s="34">
        <v>40063</v>
      </c>
      <c r="N2258">
        <v>4.49</v>
      </c>
    </row>
    <row r="2259" spans="1:14" x14ac:dyDescent="0.2">
      <c r="A2259" s="34">
        <v>41082</v>
      </c>
      <c r="B2259">
        <v>4.7354969999999996</v>
      </c>
      <c r="C2259">
        <f t="shared" si="40"/>
        <v>4.45</v>
      </c>
      <c r="M2259" s="34">
        <v>40060</v>
      </c>
      <c r="N2259">
        <v>4.45</v>
      </c>
    </row>
    <row r="2260" spans="1:14" x14ac:dyDescent="0.2">
      <c r="A2260" s="34">
        <v>41081</v>
      </c>
      <c r="B2260">
        <v>4.7349129999999997</v>
      </c>
      <c r="C2260">
        <f t="shared" si="40"/>
        <v>4.46</v>
      </c>
      <c r="M2260" s="34">
        <v>40059</v>
      </c>
      <c r="N2260">
        <v>4.5</v>
      </c>
    </row>
    <row r="2261" spans="1:14" x14ac:dyDescent="0.2">
      <c r="A2261" s="34">
        <v>41080</v>
      </c>
      <c r="B2261">
        <v>4.7343299999999999</v>
      </c>
      <c r="C2261">
        <f t="shared" si="40"/>
        <v>4.5</v>
      </c>
      <c r="M2261" s="34">
        <v>40058</v>
      </c>
      <c r="N2261">
        <v>4.4800000000000004</v>
      </c>
    </row>
    <row r="2262" spans="1:14" x14ac:dyDescent="0.2">
      <c r="A2262" s="34">
        <v>41079</v>
      </c>
      <c r="B2262">
        <v>4.7337470000000001</v>
      </c>
      <c r="C2262">
        <f t="shared" si="40"/>
        <v>4.5199999999999996</v>
      </c>
      <c r="M2262" s="34">
        <v>40057</v>
      </c>
      <c r="N2262">
        <v>4.4800000000000004</v>
      </c>
    </row>
    <row r="2263" spans="1:14" x14ac:dyDescent="0.2">
      <c r="A2263" s="34">
        <v>41078</v>
      </c>
      <c r="B2263">
        <v>4.7331640000000004</v>
      </c>
      <c r="C2263">
        <f t="shared" si="40"/>
        <v>4.45</v>
      </c>
      <c r="M2263" s="34">
        <v>40056</v>
      </c>
      <c r="N2263">
        <v>4.5199999999999996</v>
      </c>
    </row>
    <row r="2264" spans="1:14" x14ac:dyDescent="0.2">
      <c r="A2264" s="34">
        <v>41077</v>
      </c>
      <c r="B2264">
        <v>4.7325799999999996</v>
      </c>
      <c r="C2264">
        <f t="shared" si="40"/>
        <v>4.5</v>
      </c>
      <c r="M2264" s="34">
        <v>40053</v>
      </c>
      <c r="N2264">
        <v>4.5</v>
      </c>
    </row>
    <row r="2265" spans="1:14" x14ac:dyDescent="0.2">
      <c r="A2265" s="34">
        <v>41076</v>
      </c>
      <c r="B2265">
        <v>4.7319969999999998</v>
      </c>
      <c r="C2265">
        <f t="shared" si="40"/>
        <v>4.5</v>
      </c>
      <c r="M2265" s="34">
        <v>40052</v>
      </c>
      <c r="N2265">
        <v>4.4800000000000004</v>
      </c>
    </row>
    <row r="2266" spans="1:14" x14ac:dyDescent="0.2">
      <c r="A2266" s="34">
        <v>41075</v>
      </c>
      <c r="B2266">
        <v>4.7314150000000001</v>
      </c>
      <c r="C2266">
        <f t="shared" si="40"/>
        <v>4.5</v>
      </c>
      <c r="M2266" s="34">
        <v>40051</v>
      </c>
      <c r="N2266">
        <v>4.5</v>
      </c>
    </row>
    <row r="2267" spans="1:14" x14ac:dyDescent="0.2">
      <c r="A2267" s="34">
        <v>41074</v>
      </c>
      <c r="B2267">
        <v>4.7308320000000004</v>
      </c>
      <c r="C2267">
        <f t="shared" si="40"/>
        <v>4.47</v>
      </c>
      <c r="M2267" s="34">
        <v>40050</v>
      </c>
      <c r="N2267">
        <v>4.4000000000000004</v>
      </c>
    </row>
    <row r="2268" spans="1:14" x14ac:dyDescent="0.2">
      <c r="A2268" s="34">
        <v>41073</v>
      </c>
      <c r="B2268">
        <v>4.7302489999999997</v>
      </c>
      <c r="C2268">
        <f t="shared" si="40"/>
        <v>4.5</v>
      </c>
      <c r="M2268" s="34">
        <v>40049</v>
      </c>
      <c r="N2268">
        <v>4.45</v>
      </c>
    </row>
    <row r="2269" spans="1:14" x14ac:dyDescent="0.2">
      <c r="A2269" s="34">
        <v>41072</v>
      </c>
      <c r="B2269">
        <v>4.7296659999999999</v>
      </c>
      <c r="C2269">
        <f t="shared" si="40"/>
        <v>4.5</v>
      </c>
      <c r="M2269" s="34">
        <v>40046</v>
      </c>
      <c r="N2269">
        <v>4.3499999999999996</v>
      </c>
    </row>
    <row r="2270" spans="1:14" x14ac:dyDescent="0.2">
      <c r="A2270" s="34">
        <v>41071</v>
      </c>
      <c r="B2270">
        <v>4.7290840000000003</v>
      </c>
      <c r="C2270">
        <f t="shared" si="40"/>
        <v>4.5199999999999996</v>
      </c>
      <c r="M2270" s="34">
        <v>40045</v>
      </c>
      <c r="N2270">
        <v>4.47</v>
      </c>
    </row>
    <row r="2271" spans="1:14" x14ac:dyDescent="0.2">
      <c r="A2271" s="34">
        <v>41070</v>
      </c>
      <c r="B2271">
        <v>4.7285009999999996</v>
      </c>
      <c r="C2271">
        <f t="shared" si="40"/>
        <v>4.42</v>
      </c>
      <c r="M2271" s="34">
        <v>40044</v>
      </c>
      <c r="N2271">
        <v>4.55</v>
      </c>
    </row>
    <row r="2272" spans="1:14" x14ac:dyDescent="0.2">
      <c r="A2272" s="34">
        <v>41069</v>
      </c>
      <c r="B2272">
        <v>4.7299160000000002</v>
      </c>
      <c r="C2272">
        <f t="shared" si="40"/>
        <v>4.42</v>
      </c>
      <c r="M2272" s="34">
        <v>40043</v>
      </c>
      <c r="N2272">
        <v>4.45</v>
      </c>
    </row>
    <row r="2273" spans="1:14" x14ac:dyDescent="0.2">
      <c r="A2273" s="34">
        <v>41068</v>
      </c>
      <c r="B2273">
        <v>4.731331</v>
      </c>
      <c r="C2273">
        <f t="shared" si="40"/>
        <v>4.42</v>
      </c>
      <c r="M2273" s="34">
        <v>40042</v>
      </c>
      <c r="N2273">
        <v>4.5999999999999996</v>
      </c>
    </row>
    <row r="2274" spans="1:14" x14ac:dyDescent="0.2">
      <c r="A2274" s="34">
        <v>41067</v>
      </c>
      <c r="B2274">
        <v>4.7327459999999997</v>
      </c>
      <c r="C2274">
        <f t="shared" si="40"/>
        <v>4.5199999999999996</v>
      </c>
      <c r="M2274" s="34">
        <v>40039</v>
      </c>
      <c r="N2274">
        <v>4.55</v>
      </c>
    </row>
    <row r="2275" spans="1:14" x14ac:dyDescent="0.2">
      <c r="A2275" s="34">
        <v>41066</v>
      </c>
      <c r="B2275">
        <v>4.7341620000000004</v>
      </c>
      <c r="C2275">
        <f t="shared" si="40"/>
        <v>4.5199999999999996</v>
      </c>
      <c r="M2275" s="34">
        <v>40038</v>
      </c>
      <c r="N2275">
        <v>4.45</v>
      </c>
    </row>
    <row r="2276" spans="1:14" x14ac:dyDescent="0.2">
      <c r="A2276" s="34">
        <v>41065</v>
      </c>
      <c r="B2276">
        <v>4.7355780000000003</v>
      </c>
      <c r="C2276">
        <f t="shared" si="40"/>
        <v>4.5</v>
      </c>
      <c r="M2276" s="34">
        <v>40037</v>
      </c>
      <c r="N2276">
        <v>4.5999999999999996</v>
      </c>
    </row>
    <row r="2277" spans="1:14" x14ac:dyDescent="0.2">
      <c r="A2277" s="34">
        <v>41064</v>
      </c>
      <c r="B2277">
        <v>4.7369950000000003</v>
      </c>
      <c r="C2277">
        <f t="shared" si="40"/>
        <v>4.45</v>
      </c>
      <c r="M2277" s="34">
        <v>40036</v>
      </c>
      <c r="N2277">
        <v>4.45</v>
      </c>
    </row>
    <row r="2278" spans="1:14" x14ac:dyDescent="0.2">
      <c r="A2278" s="34">
        <v>41063</v>
      </c>
      <c r="B2278">
        <v>4.7384120000000003</v>
      </c>
      <c r="C2278">
        <f t="shared" si="40"/>
        <v>4.46</v>
      </c>
      <c r="M2278" s="34">
        <v>40035</v>
      </c>
      <c r="N2278">
        <v>4.5</v>
      </c>
    </row>
    <row r="2279" spans="1:14" x14ac:dyDescent="0.2">
      <c r="A2279" s="34">
        <v>41062</v>
      </c>
      <c r="B2279">
        <v>4.7398300000000004</v>
      </c>
      <c r="C2279">
        <f t="shared" si="40"/>
        <v>4.46</v>
      </c>
      <c r="M2279" s="34">
        <v>40032</v>
      </c>
      <c r="N2279">
        <v>4.45</v>
      </c>
    </row>
    <row r="2280" spans="1:14" x14ac:dyDescent="0.2">
      <c r="A2280" s="34">
        <v>41061</v>
      </c>
      <c r="B2280">
        <v>4.7412479999999997</v>
      </c>
      <c r="C2280">
        <f t="shared" si="40"/>
        <v>4.46</v>
      </c>
      <c r="M2280" s="34">
        <v>40031</v>
      </c>
      <c r="N2280">
        <v>4.4000000000000004</v>
      </c>
    </row>
    <row r="2281" spans="1:14" x14ac:dyDescent="0.2">
      <c r="A2281" s="34">
        <v>41060</v>
      </c>
      <c r="B2281">
        <v>4.7426659999999998</v>
      </c>
      <c r="C2281">
        <f t="shared" si="40"/>
        <v>4.45</v>
      </c>
      <c r="M2281" s="34">
        <v>40030</v>
      </c>
      <c r="N2281">
        <v>4.4000000000000004</v>
      </c>
    </row>
    <row r="2282" spans="1:14" x14ac:dyDescent="0.2">
      <c r="A2282" s="34">
        <v>41059</v>
      </c>
      <c r="B2282">
        <v>4.7440850000000001</v>
      </c>
      <c r="C2282">
        <f t="shared" si="40"/>
        <v>4.51</v>
      </c>
      <c r="M2282" s="34">
        <v>40029</v>
      </c>
      <c r="N2282">
        <v>4.5599999999999996</v>
      </c>
    </row>
    <row r="2283" spans="1:14" x14ac:dyDescent="0.2">
      <c r="A2283" s="34">
        <v>41058</v>
      </c>
      <c r="B2283">
        <v>4.7455049999999996</v>
      </c>
      <c r="C2283">
        <f t="shared" si="40"/>
        <v>4.5199999999999996</v>
      </c>
      <c r="M2283" s="34">
        <v>40028</v>
      </c>
      <c r="N2283">
        <v>4.45</v>
      </c>
    </row>
    <row r="2284" spans="1:14" x14ac:dyDescent="0.2">
      <c r="A2284" s="34">
        <v>41057</v>
      </c>
      <c r="B2284">
        <v>4.7469239999999999</v>
      </c>
      <c r="C2284">
        <f t="shared" si="40"/>
        <v>4.4800000000000004</v>
      </c>
      <c r="M2284" s="34">
        <v>40025</v>
      </c>
      <c r="N2284">
        <v>4.4000000000000004</v>
      </c>
    </row>
    <row r="2285" spans="1:14" x14ac:dyDescent="0.2">
      <c r="A2285" s="34">
        <v>41056</v>
      </c>
      <c r="B2285">
        <v>4.7483449999999996</v>
      </c>
      <c r="C2285">
        <f t="shared" si="40"/>
        <v>4.49</v>
      </c>
      <c r="M2285" s="34">
        <v>40024</v>
      </c>
      <c r="N2285">
        <v>4.75</v>
      </c>
    </row>
    <row r="2286" spans="1:14" x14ac:dyDescent="0.2">
      <c r="A2286" s="34">
        <v>41055</v>
      </c>
      <c r="B2286">
        <v>4.749765</v>
      </c>
      <c r="C2286">
        <f t="shared" si="40"/>
        <v>4.49</v>
      </c>
      <c r="M2286" s="34">
        <v>40023</v>
      </c>
      <c r="N2286">
        <v>4.75</v>
      </c>
    </row>
    <row r="2287" spans="1:14" x14ac:dyDescent="0.2">
      <c r="A2287" s="34">
        <v>41054</v>
      </c>
      <c r="B2287">
        <v>4.7511859999999997</v>
      </c>
      <c r="C2287">
        <f t="shared" si="40"/>
        <v>4.49</v>
      </c>
      <c r="M2287" s="34">
        <v>40022</v>
      </c>
      <c r="N2287">
        <v>4.4800000000000004</v>
      </c>
    </row>
    <row r="2288" spans="1:14" x14ac:dyDescent="0.2">
      <c r="A2288" s="34">
        <v>41053</v>
      </c>
      <c r="B2288">
        <v>4.7507390000000003</v>
      </c>
      <c r="C2288">
        <f t="shared" si="40"/>
        <v>4.5199999999999996</v>
      </c>
      <c r="M2288" s="34">
        <v>40021</v>
      </c>
      <c r="N2288">
        <v>4.4400000000000004</v>
      </c>
    </row>
    <row r="2289" spans="1:14" x14ac:dyDescent="0.2">
      <c r="A2289" s="34">
        <v>41052</v>
      </c>
      <c r="B2289">
        <v>4.7502930000000001</v>
      </c>
      <c r="C2289">
        <f t="shared" si="40"/>
        <v>4.5</v>
      </c>
      <c r="M2289" s="34">
        <v>40018</v>
      </c>
      <c r="N2289">
        <v>4.4000000000000004</v>
      </c>
    </row>
    <row r="2290" spans="1:14" x14ac:dyDescent="0.2">
      <c r="A2290" s="34">
        <v>41051</v>
      </c>
      <c r="B2290">
        <v>4.7498459999999998</v>
      </c>
      <c r="C2290">
        <f t="shared" si="40"/>
        <v>4.5199999999999996</v>
      </c>
      <c r="M2290" s="34">
        <v>40017</v>
      </c>
      <c r="N2290">
        <v>3.5</v>
      </c>
    </row>
    <row r="2291" spans="1:14" x14ac:dyDescent="0.2">
      <c r="A2291" s="34">
        <v>41050</v>
      </c>
      <c r="B2291">
        <v>4.7493999999999996</v>
      </c>
      <c r="C2291">
        <f t="shared" si="40"/>
        <v>4.45</v>
      </c>
      <c r="M2291" s="34">
        <v>40016</v>
      </c>
      <c r="N2291">
        <v>4.4800000000000004</v>
      </c>
    </row>
    <row r="2292" spans="1:14" x14ac:dyDescent="0.2">
      <c r="A2292" s="34">
        <v>41049</v>
      </c>
      <c r="B2292">
        <v>4.7489530000000002</v>
      </c>
      <c r="C2292">
        <f t="shared" si="40"/>
        <v>4.5</v>
      </c>
      <c r="M2292" s="34">
        <v>40015</v>
      </c>
      <c r="N2292">
        <v>4.5</v>
      </c>
    </row>
    <row r="2293" spans="1:14" x14ac:dyDescent="0.2">
      <c r="A2293" s="34">
        <v>41048</v>
      </c>
      <c r="B2293">
        <v>4.748507</v>
      </c>
      <c r="C2293">
        <f t="shared" si="40"/>
        <v>4.5</v>
      </c>
      <c r="M2293" s="34">
        <v>40014</v>
      </c>
      <c r="N2293">
        <v>4.8499999999999996</v>
      </c>
    </row>
    <row r="2294" spans="1:14" x14ac:dyDescent="0.2">
      <c r="A2294" s="34">
        <v>41047</v>
      </c>
      <c r="B2294">
        <v>4.7480599999999997</v>
      </c>
      <c r="C2294">
        <f t="shared" si="40"/>
        <v>4.5</v>
      </c>
      <c r="M2294" s="34">
        <v>40011</v>
      </c>
      <c r="N2294">
        <v>4.3499999999999996</v>
      </c>
    </row>
    <row r="2295" spans="1:14" x14ac:dyDescent="0.2">
      <c r="A2295" s="34">
        <v>41046</v>
      </c>
      <c r="B2295">
        <v>4.7476139999999996</v>
      </c>
      <c r="C2295">
        <f t="shared" si="40"/>
        <v>4.5199999999999996</v>
      </c>
      <c r="M2295" s="34">
        <v>40010</v>
      </c>
      <c r="N2295">
        <v>4.7</v>
      </c>
    </row>
    <row r="2296" spans="1:14" x14ac:dyDescent="0.2">
      <c r="A2296" s="34">
        <v>41045</v>
      </c>
      <c r="B2296">
        <v>4.7471670000000001</v>
      </c>
      <c r="C2296">
        <f t="shared" si="40"/>
        <v>4.5</v>
      </c>
      <c r="M2296" s="34">
        <v>40009</v>
      </c>
      <c r="N2296">
        <v>4.8</v>
      </c>
    </row>
    <row r="2297" spans="1:14" x14ac:dyDescent="0.2">
      <c r="A2297" s="34">
        <v>41044</v>
      </c>
      <c r="B2297">
        <v>4.746721</v>
      </c>
      <c r="C2297">
        <f t="shared" si="40"/>
        <v>4.55</v>
      </c>
      <c r="M2297" s="34">
        <v>40008</v>
      </c>
      <c r="N2297">
        <v>4.95</v>
      </c>
    </row>
    <row r="2298" spans="1:14" x14ac:dyDescent="0.2">
      <c r="A2298" s="34">
        <v>41043</v>
      </c>
      <c r="B2298">
        <v>4.7462749999999998</v>
      </c>
      <c r="C2298">
        <f t="shared" si="40"/>
        <v>4.5599999999999996</v>
      </c>
      <c r="M2298" s="34">
        <v>40007</v>
      </c>
      <c r="N2298">
        <v>4.75</v>
      </c>
    </row>
    <row r="2299" spans="1:14" x14ac:dyDescent="0.2">
      <c r="A2299" s="34">
        <v>41042</v>
      </c>
      <c r="B2299">
        <v>4.7458280000000004</v>
      </c>
      <c r="C2299">
        <f t="shared" si="40"/>
        <v>4.5199999999999996</v>
      </c>
      <c r="M2299" s="34">
        <v>40004</v>
      </c>
      <c r="N2299">
        <v>4.75</v>
      </c>
    </row>
    <row r="2300" spans="1:14" x14ac:dyDescent="0.2">
      <c r="A2300" s="34">
        <v>41041</v>
      </c>
      <c r="B2300">
        <v>4.7453820000000002</v>
      </c>
      <c r="C2300">
        <f t="shared" si="40"/>
        <v>4.5199999999999996</v>
      </c>
      <c r="M2300" s="34">
        <v>40003</v>
      </c>
      <c r="N2300">
        <v>4.7300000000000004</v>
      </c>
    </row>
    <row r="2301" spans="1:14" x14ac:dyDescent="0.2">
      <c r="A2301" s="34">
        <v>41040</v>
      </c>
      <c r="B2301">
        <v>4.744936</v>
      </c>
      <c r="C2301">
        <f t="shared" si="40"/>
        <v>4.5199999999999996</v>
      </c>
      <c r="M2301" s="34">
        <v>40002</v>
      </c>
      <c r="N2301">
        <v>4.79</v>
      </c>
    </row>
    <row r="2302" spans="1:14" x14ac:dyDescent="0.2">
      <c r="A2302" s="34">
        <v>41039</v>
      </c>
      <c r="B2302">
        <v>4.7444899999999999</v>
      </c>
      <c r="C2302">
        <f t="shared" si="40"/>
        <v>4.5199999999999996</v>
      </c>
      <c r="M2302" s="34">
        <v>40001</v>
      </c>
      <c r="N2302">
        <v>4.78</v>
      </c>
    </row>
    <row r="2303" spans="1:14" x14ac:dyDescent="0.2">
      <c r="A2303" s="34">
        <v>41038</v>
      </c>
      <c r="B2303">
        <v>4.7458109999999998</v>
      </c>
      <c r="C2303">
        <f t="shared" si="40"/>
        <v>4.5</v>
      </c>
      <c r="M2303" s="34">
        <v>40000</v>
      </c>
      <c r="N2303">
        <v>4.83</v>
      </c>
    </row>
    <row r="2304" spans="1:14" x14ac:dyDescent="0.2">
      <c r="A2304" s="34">
        <v>41037</v>
      </c>
      <c r="B2304">
        <v>4.7471329999999998</v>
      </c>
      <c r="C2304">
        <f t="shared" si="40"/>
        <v>4.51</v>
      </c>
      <c r="M2304" s="34">
        <v>39997</v>
      </c>
      <c r="N2304">
        <v>4.82</v>
      </c>
    </row>
    <row r="2305" spans="1:14" x14ac:dyDescent="0.2">
      <c r="A2305" s="34">
        <v>41036</v>
      </c>
      <c r="B2305">
        <v>4.7484549999999999</v>
      </c>
      <c r="C2305">
        <f t="shared" si="40"/>
        <v>4.4000000000000004</v>
      </c>
      <c r="M2305" s="34">
        <v>39996</v>
      </c>
      <c r="N2305">
        <v>4.8</v>
      </c>
    </row>
    <row r="2306" spans="1:14" x14ac:dyDescent="0.2">
      <c r="A2306" s="34">
        <v>41035</v>
      </c>
      <c r="B2306">
        <v>4.7497780000000001</v>
      </c>
      <c r="C2306">
        <f t="shared" ref="C2306:C2369" si="41">IFERROR(VLOOKUP(A2306,$M$2:$N$3695,2,0),C2307)</f>
        <v>4.5199999999999996</v>
      </c>
      <c r="M2306" s="34">
        <v>39995</v>
      </c>
      <c r="N2306">
        <v>4.75</v>
      </c>
    </row>
    <row r="2307" spans="1:14" x14ac:dyDescent="0.2">
      <c r="A2307" s="34">
        <v>41034</v>
      </c>
      <c r="B2307">
        <v>4.7511010000000002</v>
      </c>
      <c r="C2307">
        <f t="shared" si="41"/>
        <v>4.5199999999999996</v>
      </c>
      <c r="M2307" s="34">
        <v>39994</v>
      </c>
      <c r="N2307">
        <v>4.7699999999999996</v>
      </c>
    </row>
    <row r="2308" spans="1:14" x14ac:dyDescent="0.2">
      <c r="A2308" s="34">
        <v>41033</v>
      </c>
      <c r="B2308">
        <v>4.7524240000000004</v>
      </c>
      <c r="C2308">
        <f t="shared" si="41"/>
        <v>4.5199999999999996</v>
      </c>
      <c r="M2308" s="34">
        <v>39993</v>
      </c>
      <c r="N2308">
        <v>4.75</v>
      </c>
    </row>
    <row r="2309" spans="1:14" x14ac:dyDescent="0.2">
      <c r="A2309" s="34">
        <v>41032</v>
      </c>
      <c r="B2309">
        <v>4.7537479999999999</v>
      </c>
      <c r="C2309">
        <f t="shared" si="41"/>
        <v>4.5199999999999996</v>
      </c>
      <c r="M2309" s="34">
        <v>39990</v>
      </c>
      <c r="N2309">
        <v>4.78</v>
      </c>
    </row>
    <row r="2310" spans="1:14" x14ac:dyDescent="0.2">
      <c r="A2310" s="34">
        <v>41031</v>
      </c>
      <c r="B2310">
        <v>4.7550720000000002</v>
      </c>
      <c r="C2310">
        <f t="shared" si="41"/>
        <v>4.5199999999999996</v>
      </c>
      <c r="M2310" s="34">
        <v>39989</v>
      </c>
      <c r="N2310">
        <v>5.0999999999999996</v>
      </c>
    </row>
    <row r="2311" spans="1:14" x14ac:dyDescent="0.2">
      <c r="A2311" s="34">
        <v>41030</v>
      </c>
      <c r="B2311">
        <v>4.7563969999999998</v>
      </c>
      <c r="C2311">
        <f t="shared" si="41"/>
        <v>4.55</v>
      </c>
      <c r="M2311" s="34">
        <v>39988</v>
      </c>
      <c r="N2311">
        <v>4.8</v>
      </c>
    </row>
    <row r="2312" spans="1:14" x14ac:dyDescent="0.2">
      <c r="A2312" s="34">
        <v>41029</v>
      </c>
      <c r="B2312">
        <v>4.7577210000000001</v>
      </c>
      <c r="C2312">
        <f t="shared" si="41"/>
        <v>4.55</v>
      </c>
      <c r="M2312" s="34">
        <v>39987</v>
      </c>
      <c r="N2312">
        <v>4.76</v>
      </c>
    </row>
    <row r="2313" spans="1:14" x14ac:dyDescent="0.2">
      <c r="A2313" s="34">
        <v>41028</v>
      </c>
      <c r="B2313">
        <v>4.7590469999999998</v>
      </c>
      <c r="C2313">
        <f t="shared" si="41"/>
        <v>4.47</v>
      </c>
      <c r="M2313" s="34">
        <v>39986</v>
      </c>
      <c r="N2313">
        <v>4.78</v>
      </c>
    </row>
    <row r="2314" spans="1:14" x14ac:dyDescent="0.2">
      <c r="A2314" s="34">
        <v>41027</v>
      </c>
      <c r="B2314">
        <v>4.7603720000000003</v>
      </c>
      <c r="C2314">
        <f t="shared" si="41"/>
        <v>4.47</v>
      </c>
      <c r="M2314" s="34">
        <v>39983</v>
      </c>
      <c r="N2314">
        <v>4.87</v>
      </c>
    </row>
    <row r="2315" spans="1:14" x14ac:dyDescent="0.2">
      <c r="A2315" s="34">
        <v>41026</v>
      </c>
      <c r="B2315">
        <v>4.761698</v>
      </c>
      <c r="C2315">
        <f t="shared" si="41"/>
        <v>4.47</v>
      </c>
      <c r="M2315" s="34">
        <v>39982</v>
      </c>
      <c r="N2315">
        <v>5.26</v>
      </c>
    </row>
    <row r="2316" spans="1:14" x14ac:dyDescent="0.2">
      <c r="A2316" s="34">
        <v>41025</v>
      </c>
      <c r="B2316">
        <v>4.7630239999999997</v>
      </c>
      <c r="C2316">
        <f t="shared" si="41"/>
        <v>4.4000000000000004</v>
      </c>
      <c r="M2316" s="34">
        <v>39981</v>
      </c>
      <c r="N2316">
        <v>5.25</v>
      </c>
    </row>
    <row r="2317" spans="1:14" x14ac:dyDescent="0.2">
      <c r="A2317" s="34">
        <v>41024</v>
      </c>
      <c r="B2317">
        <v>4.7643509999999996</v>
      </c>
      <c r="C2317">
        <f t="shared" si="41"/>
        <v>4.55</v>
      </c>
      <c r="M2317" s="34">
        <v>39980</v>
      </c>
      <c r="N2317">
        <v>5.16</v>
      </c>
    </row>
    <row r="2318" spans="1:14" x14ac:dyDescent="0.2">
      <c r="A2318" s="34">
        <v>41023</v>
      </c>
      <c r="B2318">
        <v>4.7641410000000004</v>
      </c>
      <c r="C2318">
        <f t="shared" si="41"/>
        <v>4.55</v>
      </c>
      <c r="M2318" s="34">
        <v>39979</v>
      </c>
      <c r="N2318">
        <v>5.22</v>
      </c>
    </row>
    <row r="2319" spans="1:14" x14ac:dyDescent="0.2">
      <c r="A2319" s="34">
        <v>41022</v>
      </c>
      <c r="B2319">
        <v>4.7639319999999996</v>
      </c>
      <c r="C2319">
        <f t="shared" si="41"/>
        <v>4.5199999999999996</v>
      </c>
      <c r="M2319" s="34">
        <v>39976</v>
      </c>
      <c r="N2319">
        <v>5</v>
      </c>
    </row>
    <row r="2320" spans="1:14" x14ac:dyDescent="0.2">
      <c r="A2320" s="34">
        <v>41021</v>
      </c>
      <c r="B2320">
        <v>4.7637219999999996</v>
      </c>
      <c r="C2320">
        <f t="shared" si="41"/>
        <v>4.45</v>
      </c>
      <c r="M2320" s="34">
        <v>39975</v>
      </c>
      <c r="N2320">
        <v>5.21</v>
      </c>
    </row>
    <row r="2321" spans="1:14" x14ac:dyDescent="0.2">
      <c r="A2321" s="34">
        <v>41020</v>
      </c>
      <c r="B2321">
        <v>4.7635120000000004</v>
      </c>
      <c r="C2321">
        <f t="shared" si="41"/>
        <v>4.45</v>
      </c>
      <c r="M2321" s="34">
        <v>39974</v>
      </c>
      <c r="N2321">
        <v>5.2</v>
      </c>
    </row>
    <row r="2322" spans="1:14" x14ac:dyDescent="0.2">
      <c r="A2322" s="34">
        <v>41019</v>
      </c>
      <c r="B2322">
        <v>4.7633029999999996</v>
      </c>
      <c r="C2322">
        <f t="shared" si="41"/>
        <v>4.45</v>
      </c>
      <c r="M2322" s="34">
        <v>39973</v>
      </c>
      <c r="N2322">
        <v>5</v>
      </c>
    </row>
    <row r="2323" spans="1:14" x14ac:dyDescent="0.2">
      <c r="A2323" s="34">
        <v>41018</v>
      </c>
      <c r="B2323">
        <v>4.7630929999999996</v>
      </c>
      <c r="C2323">
        <f t="shared" si="41"/>
        <v>4.5199999999999996</v>
      </c>
      <c r="M2323" s="34">
        <v>39972</v>
      </c>
      <c r="N2323">
        <v>5.24</v>
      </c>
    </row>
    <row r="2324" spans="1:14" x14ac:dyDescent="0.2">
      <c r="A2324" s="34">
        <v>41017</v>
      </c>
      <c r="B2324">
        <v>4.7628839999999997</v>
      </c>
      <c r="C2324">
        <f t="shared" si="41"/>
        <v>4.5199999999999996</v>
      </c>
      <c r="M2324" s="34">
        <v>39969</v>
      </c>
      <c r="N2324">
        <v>5.22</v>
      </c>
    </row>
    <row r="2325" spans="1:14" x14ac:dyDescent="0.2">
      <c r="A2325" s="34">
        <v>41016</v>
      </c>
      <c r="B2325">
        <v>4.7626739999999996</v>
      </c>
      <c r="C2325">
        <f t="shared" si="41"/>
        <v>4.3</v>
      </c>
      <c r="M2325" s="34">
        <v>39968</v>
      </c>
      <c r="N2325">
        <v>5.2</v>
      </c>
    </row>
    <row r="2326" spans="1:14" x14ac:dyDescent="0.2">
      <c r="A2326" s="34">
        <v>41015</v>
      </c>
      <c r="B2326">
        <v>4.7624649999999997</v>
      </c>
      <c r="C2326">
        <f t="shared" si="41"/>
        <v>4.5199999999999996</v>
      </c>
      <c r="M2326" s="34">
        <v>39967</v>
      </c>
      <c r="N2326">
        <v>5.2</v>
      </c>
    </row>
    <row r="2327" spans="1:14" x14ac:dyDescent="0.2">
      <c r="A2327" s="34">
        <v>41014</v>
      </c>
      <c r="B2327">
        <v>4.7622549999999997</v>
      </c>
      <c r="C2327">
        <f t="shared" si="41"/>
        <v>4.5199999999999996</v>
      </c>
      <c r="M2327" s="34">
        <v>39966</v>
      </c>
      <c r="N2327">
        <v>5.18</v>
      </c>
    </row>
    <row r="2328" spans="1:14" x14ac:dyDescent="0.2">
      <c r="A2328" s="34">
        <v>41013</v>
      </c>
      <c r="B2328">
        <v>4.7620459999999998</v>
      </c>
      <c r="C2328">
        <f t="shared" si="41"/>
        <v>4.5199999999999996</v>
      </c>
      <c r="M2328" s="34">
        <v>39965</v>
      </c>
      <c r="N2328">
        <v>5.2</v>
      </c>
    </row>
    <row r="2329" spans="1:14" x14ac:dyDescent="0.2">
      <c r="A2329" s="34">
        <v>41012</v>
      </c>
      <c r="B2329">
        <v>4.7618359999999997</v>
      </c>
      <c r="C2329">
        <f t="shared" si="41"/>
        <v>4.5199999999999996</v>
      </c>
      <c r="M2329" s="34">
        <v>39962</v>
      </c>
      <c r="N2329">
        <v>5.15</v>
      </c>
    </row>
    <row r="2330" spans="1:14" x14ac:dyDescent="0.2">
      <c r="A2330" s="34">
        <v>41011</v>
      </c>
      <c r="B2330">
        <v>4.7616269999999998</v>
      </c>
      <c r="C2330">
        <f t="shared" si="41"/>
        <v>4.5</v>
      </c>
      <c r="M2330" s="34">
        <v>39961</v>
      </c>
      <c r="N2330">
        <v>5.24</v>
      </c>
    </row>
    <row r="2331" spans="1:14" x14ac:dyDescent="0.2">
      <c r="A2331" s="34">
        <v>41010</v>
      </c>
      <c r="B2331">
        <v>4.7614169999999998</v>
      </c>
      <c r="C2331">
        <f t="shared" si="41"/>
        <v>4.49</v>
      </c>
      <c r="M2331" s="34">
        <v>39960</v>
      </c>
      <c r="N2331">
        <v>5.22</v>
      </c>
    </row>
    <row r="2332" spans="1:14" x14ac:dyDescent="0.2">
      <c r="A2332" s="34">
        <v>41009</v>
      </c>
      <c r="B2332">
        <v>4.7612079999999999</v>
      </c>
      <c r="C2332">
        <f t="shared" si="41"/>
        <v>4.5199999999999996</v>
      </c>
      <c r="M2332" s="34">
        <v>39959</v>
      </c>
      <c r="N2332">
        <v>5.2</v>
      </c>
    </row>
    <row r="2333" spans="1:14" x14ac:dyDescent="0.2">
      <c r="A2333" s="34">
        <v>41008</v>
      </c>
      <c r="B2333">
        <v>4.7610650000000003</v>
      </c>
      <c r="C2333">
        <f t="shared" si="41"/>
        <v>4.47</v>
      </c>
      <c r="M2333" s="34">
        <v>39958</v>
      </c>
      <c r="N2333">
        <v>5.25</v>
      </c>
    </row>
    <row r="2334" spans="1:14" x14ac:dyDescent="0.2">
      <c r="A2334" s="34">
        <v>41007</v>
      </c>
      <c r="B2334">
        <v>4.760923</v>
      </c>
      <c r="C2334">
        <f t="shared" si="41"/>
        <v>4.5</v>
      </c>
      <c r="M2334" s="34">
        <v>39955</v>
      </c>
      <c r="N2334">
        <v>5.26</v>
      </c>
    </row>
    <row r="2335" spans="1:14" x14ac:dyDescent="0.2">
      <c r="A2335" s="34">
        <v>41006</v>
      </c>
      <c r="B2335">
        <v>4.7607809999999997</v>
      </c>
      <c r="C2335">
        <f t="shared" si="41"/>
        <v>4.5</v>
      </c>
      <c r="M2335" s="34">
        <v>39954</v>
      </c>
      <c r="N2335">
        <v>5.22</v>
      </c>
    </row>
    <row r="2336" spans="1:14" x14ac:dyDescent="0.2">
      <c r="A2336" s="34">
        <v>41005</v>
      </c>
      <c r="B2336">
        <v>4.7606380000000001</v>
      </c>
      <c r="C2336">
        <f t="shared" si="41"/>
        <v>4.5</v>
      </c>
      <c r="M2336" s="34">
        <v>39953</v>
      </c>
      <c r="N2336">
        <v>5.2</v>
      </c>
    </row>
    <row r="2337" spans="1:14" x14ac:dyDescent="0.2">
      <c r="A2337" s="34">
        <v>41004</v>
      </c>
      <c r="B2337">
        <v>4.7604959999999998</v>
      </c>
      <c r="C2337">
        <f t="shared" si="41"/>
        <v>4.5</v>
      </c>
      <c r="M2337" s="34">
        <v>39952</v>
      </c>
      <c r="N2337">
        <v>5.24</v>
      </c>
    </row>
    <row r="2338" spans="1:14" x14ac:dyDescent="0.2">
      <c r="A2338" s="34">
        <v>41003</v>
      </c>
      <c r="B2338">
        <v>4.7603530000000003</v>
      </c>
      <c r="C2338">
        <f t="shared" si="41"/>
        <v>4.5</v>
      </c>
      <c r="M2338" s="34">
        <v>39951</v>
      </c>
      <c r="N2338">
        <v>5.32</v>
      </c>
    </row>
    <row r="2339" spans="1:14" x14ac:dyDescent="0.2">
      <c r="A2339" s="34">
        <v>41002</v>
      </c>
      <c r="B2339">
        <v>4.760211</v>
      </c>
      <c r="C2339">
        <f t="shared" si="41"/>
        <v>4.45</v>
      </c>
      <c r="M2339" s="34">
        <v>39948</v>
      </c>
      <c r="N2339">
        <v>5.2</v>
      </c>
    </row>
    <row r="2340" spans="1:14" x14ac:dyDescent="0.2">
      <c r="A2340" s="34">
        <v>41001</v>
      </c>
      <c r="B2340">
        <v>4.7600689999999997</v>
      </c>
      <c r="C2340">
        <f t="shared" si="41"/>
        <v>4.5199999999999996</v>
      </c>
      <c r="M2340" s="34">
        <v>39947</v>
      </c>
      <c r="N2340">
        <v>6.05</v>
      </c>
    </row>
    <row r="2341" spans="1:14" x14ac:dyDescent="0.2">
      <c r="A2341" s="34">
        <v>41000</v>
      </c>
      <c r="B2341">
        <v>4.7599260000000001</v>
      </c>
      <c r="C2341">
        <f t="shared" si="41"/>
        <v>4.5199999999999996</v>
      </c>
      <c r="M2341" s="34">
        <v>39946</v>
      </c>
      <c r="N2341">
        <v>5.9</v>
      </c>
    </row>
    <row r="2342" spans="1:14" x14ac:dyDescent="0.2">
      <c r="A2342" s="34">
        <v>40999</v>
      </c>
      <c r="B2342">
        <v>4.7597839999999998</v>
      </c>
      <c r="C2342">
        <f t="shared" si="41"/>
        <v>4.5199999999999996</v>
      </c>
      <c r="M2342" s="34">
        <v>39945</v>
      </c>
      <c r="N2342">
        <v>6</v>
      </c>
    </row>
    <row r="2343" spans="1:14" x14ac:dyDescent="0.2">
      <c r="A2343" s="34">
        <v>40998</v>
      </c>
      <c r="B2343">
        <v>4.7596420000000004</v>
      </c>
      <c r="C2343">
        <f t="shared" si="41"/>
        <v>4.5199999999999996</v>
      </c>
      <c r="M2343" s="34">
        <v>39944</v>
      </c>
      <c r="N2343">
        <v>5.95</v>
      </c>
    </row>
    <row r="2344" spans="1:14" x14ac:dyDescent="0.2">
      <c r="A2344" s="34">
        <v>40997</v>
      </c>
      <c r="B2344">
        <v>4.7594989999999999</v>
      </c>
      <c r="C2344">
        <f t="shared" si="41"/>
        <v>4.5</v>
      </c>
      <c r="M2344" s="34">
        <v>39941</v>
      </c>
      <c r="N2344">
        <v>5.95</v>
      </c>
    </row>
    <row r="2345" spans="1:14" x14ac:dyDescent="0.2">
      <c r="A2345" s="34">
        <v>40996</v>
      </c>
      <c r="B2345">
        <v>4.7593569999999996</v>
      </c>
      <c r="C2345">
        <f t="shared" si="41"/>
        <v>4.57</v>
      </c>
      <c r="M2345" s="34">
        <v>39940</v>
      </c>
      <c r="N2345">
        <v>5.98</v>
      </c>
    </row>
    <row r="2346" spans="1:14" x14ac:dyDescent="0.2">
      <c r="A2346" s="34">
        <v>40995</v>
      </c>
      <c r="B2346">
        <v>4.7592150000000002</v>
      </c>
      <c r="C2346">
        <f t="shared" si="41"/>
        <v>4.5</v>
      </c>
      <c r="M2346" s="34">
        <v>39939</v>
      </c>
      <c r="N2346">
        <v>5.94</v>
      </c>
    </row>
    <row r="2347" spans="1:14" x14ac:dyDescent="0.2">
      <c r="A2347" s="34">
        <v>40994</v>
      </c>
      <c r="B2347">
        <v>4.7590719999999997</v>
      </c>
      <c r="C2347">
        <f t="shared" si="41"/>
        <v>4.5199999999999996</v>
      </c>
      <c r="M2347" s="34">
        <v>39938</v>
      </c>
      <c r="N2347">
        <v>5.8</v>
      </c>
    </row>
    <row r="2348" spans="1:14" x14ac:dyDescent="0.2">
      <c r="A2348" s="34">
        <v>40993</v>
      </c>
      <c r="B2348">
        <v>4.7589300000000003</v>
      </c>
      <c r="C2348">
        <f t="shared" si="41"/>
        <v>4.5</v>
      </c>
      <c r="M2348" s="34">
        <v>39937</v>
      </c>
      <c r="N2348">
        <v>5.94</v>
      </c>
    </row>
    <row r="2349" spans="1:14" x14ac:dyDescent="0.2">
      <c r="A2349" s="34">
        <v>40992</v>
      </c>
      <c r="B2349">
        <v>4.7590789999999998</v>
      </c>
      <c r="C2349">
        <f t="shared" si="41"/>
        <v>4.5</v>
      </c>
      <c r="M2349" s="34">
        <v>39933</v>
      </c>
      <c r="N2349">
        <v>5.85</v>
      </c>
    </row>
    <row r="2350" spans="1:14" x14ac:dyDescent="0.2">
      <c r="A2350" s="34">
        <v>40991</v>
      </c>
      <c r="B2350">
        <v>4.7592280000000002</v>
      </c>
      <c r="C2350">
        <f t="shared" si="41"/>
        <v>4.5</v>
      </c>
      <c r="M2350" s="34">
        <v>39932</v>
      </c>
      <c r="N2350">
        <v>6.02</v>
      </c>
    </row>
    <row r="2351" spans="1:14" x14ac:dyDescent="0.2">
      <c r="A2351" s="34">
        <v>40990</v>
      </c>
      <c r="B2351">
        <v>4.7593759999999996</v>
      </c>
      <c r="C2351">
        <f t="shared" si="41"/>
        <v>4.5</v>
      </c>
      <c r="M2351" s="34">
        <v>39931</v>
      </c>
      <c r="N2351">
        <v>5.93</v>
      </c>
    </row>
    <row r="2352" spans="1:14" x14ac:dyDescent="0.2">
      <c r="A2352" s="34">
        <v>40989</v>
      </c>
      <c r="B2352">
        <v>4.759525</v>
      </c>
      <c r="C2352">
        <f t="shared" si="41"/>
        <v>4.4000000000000004</v>
      </c>
      <c r="M2352" s="34">
        <v>39930</v>
      </c>
      <c r="N2352">
        <v>5.95</v>
      </c>
    </row>
    <row r="2353" spans="1:14" x14ac:dyDescent="0.2">
      <c r="A2353" s="34">
        <v>40988</v>
      </c>
      <c r="B2353">
        <v>4.7596740000000004</v>
      </c>
      <c r="C2353">
        <f t="shared" si="41"/>
        <v>4.42</v>
      </c>
      <c r="M2353" s="34">
        <v>39927</v>
      </c>
      <c r="N2353">
        <v>5.93</v>
      </c>
    </row>
    <row r="2354" spans="1:14" x14ac:dyDescent="0.2">
      <c r="A2354" s="34">
        <v>40987</v>
      </c>
      <c r="B2354">
        <v>4.7598229999999999</v>
      </c>
      <c r="C2354">
        <f t="shared" si="41"/>
        <v>4.5199999999999996</v>
      </c>
      <c r="M2354" s="34">
        <v>39926</v>
      </c>
      <c r="N2354">
        <v>5.8</v>
      </c>
    </row>
    <row r="2355" spans="1:14" x14ac:dyDescent="0.2">
      <c r="A2355" s="34">
        <v>40986</v>
      </c>
      <c r="B2355">
        <v>4.7599720000000003</v>
      </c>
      <c r="C2355">
        <f t="shared" si="41"/>
        <v>4.5199999999999996</v>
      </c>
      <c r="M2355" s="34">
        <v>39925</v>
      </c>
      <c r="N2355">
        <v>5.5</v>
      </c>
    </row>
    <row r="2356" spans="1:14" x14ac:dyDescent="0.2">
      <c r="A2356" s="34">
        <v>40985</v>
      </c>
      <c r="B2356">
        <v>4.7601199999999997</v>
      </c>
      <c r="C2356">
        <f t="shared" si="41"/>
        <v>4.5199999999999996</v>
      </c>
      <c r="M2356" s="34">
        <v>39924</v>
      </c>
      <c r="N2356">
        <v>5.75</v>
      </c>
    </row>
    <row r="2357" spans="1:14" x14ac:dyDescent="0.2">
      <c r="A2357" s="34">
        <v>40984</v>
      </c>
      <c r="B2357">
        <v>4.7602690000000001</v>
      </c>
      <c r="C2357">
        <f t="shared" si="41"/>
        <v>4.5199999999999996</v>
      </c>
      <c r="M2357" s="34">
        <v>39923</v>
      </c>
      <c r="N2357">
        <v>6.04</v>
      </c>
    </row>
    <row r="2358" spans="1:14" x14ac:dyDescent="0.2">
      <c r="A2358" s="34">
        <v>40983</v>
      </c>
      <c r="B2358">
        <v>4.7604179999999996</v>
      </c>
      <c r="C2358">
        <f t="shared" si="41"/>
        <v>4.46</v>
      </c>
      <c r="M2358" s="34">
        <v>39920</v>
      </c>
      <c r="N2358">
        <v>6.02</v>
      </c>
    </row>
    <row r="2359" spans="1:14" x14ac:dyDescent="0.2">
      <c r="A2359" s="34">
        <v>40982</v>
      </c>
      <c r="B2359">
        <v>4.760567</v>
      </c>
      <c r="C2359">
        <f t="shared" si="41"/>
        <v>4.42</v>
      </c>
      <c r="M2359" s="34">
        <v>39919</v>
      </c>
      <c r="N2359">
        <v>6.6</v>
      </c>
    </row>
    <row r="2360" spans="1:14" x14ac:dyDescent="0.2">
      <c r="A2360" s="34">
        <v>40981</v>
      </c>
      <c r="B2360">
        <v>4.7607160000000004</v>
      </c>
      <c r="C2360">
        <f t="shared" si="41"/>
        <v>4.4800000000000004</v>
      </c>
      <c r="M2360" s="34">
        <v>39918</v>
      </c>
      <c r="N2360">
        <v>6.75</v>
      </c>
    </row>
    <row r="2361" spans="1:14" x14ac:dyDescent="0.2">
      <c r="A2361" s="34">
        <v>40980</v>
      </c>
      <c r="B2361">
        <v>4.7608649999999999</v>
      </c>
      <c r="C2361">
        <f t="shared" si="41"/>
        <v>4.4000000000000004</v>
      </c>
      <c r="M2361" s="34">
        <v>39917</v>
      </c>
      <c r="N2361">
        <v>6.7</v>
      </c>
    </row>
    <row r="2362" spans="1:14" x14ac:dyDescent="0.2">
      <c r="A2362" s="34">
        <v>40979</v>
      </c>
      <c r="B2362">
        <v>4.7610130000000002</v>
      </c>
      <c r="C2362">
        <f t="shared" si="41"/>
        <v>4.5</v>
      </c>
      <c r="M2362" s="34">
        <v>39916</v>
      </c>
      <c r="N2362">
        <v>6.76</v>
      </c>
    </row>
    <row r="2363" spans="1:14" x14ac:dyDescent="0.2">
      <c r="A2363" s="34">
        <v>40978</v>
      </c>
      <c r="B2363">
        <v>4.7611619999999997</v>
      </c>
      <c r="C2363">
        <f t="shared" si="41"/>
        <v>4.5</v>
      </c>
      <c r="M2363" s="34">
        <v>39911</v>
      </c>
      <c r="N2363">
        <v>6.73</v>
      </c>
    </row>
    <row r="2364" spans="1:14" x14ac:dyDescent="0.2">
      <c r="A2364" s="34">
        <v>40977</v>
      </c>
      <c r="B2364">
        <v>4.7609279999999998</v>
      </c>
      <c r="C2364">
        <f t="shared" si="41"/>
        <v>4.5</v>
      </c>
      <c r="M2364" s="34">
        <v>39910</v>
      </c>
      <c r="N2364">
        <v>6.6</v>
      </c>
    </row>
    <row r="2365" spans="1:14" x14ac:dyDescent="0.2">
      <c r="A2365" s="34">
        <v>40976</v>
      </c>
      <c r="B2365">
        <v>4.760694</v>
      </c>
      <c r="C2365">
        <f t="shared" si="41"/>
        <v>4.4800000000000004</v>
      </c>
      <c r="M2365" s="34">
        <v>39909</v>
      </c>
      <c r="N2365">
        <v>7</v>
      </c>
    </row>
    <row r="2366" spans="1:14" x14ac:dyDescent="0.2">
      <c r="A2366" s="34">
        <v>40975</v>
      </c>
      <c r="B2366">
        <v>4.760459</v>
      </c>
      <c r="C2366">
        <f t="shared" si="41"/>
        <v>4.45</v>
      </c>
      <c r="M2366" s="34">
        <v>39906</v>
      </c>
      <c r="N2366">
        <v>6.7</v>
      </c>
    </row>
    <row r="2367" spans="1:14" x14ac:dyDescent="0.2">
      <c r="A2367" s="34">
        <v>40974</v>
      </c>
      <c r="B2367">
        <v>4.7602250000000002</v>
      </c>
      <c r="C2367">
        <f t="shared" si="41"/>
        <v>4.47</v>
      </c>
      <c r="M2367" s="34">
        <v>39905</v>
      </c>
      <c r="N2367">
        <v>6.68</v>
      </c>
    </row>
    <row r="2368" spans="1:14" x14ac:dyDescent="0.2">
      <c r="A2368" s="34">
        <v>40973</v>
      </c>
      <c r="B2368">
        <v>4.7599910000000003</v>
      </c>
      <c r="C2368">
        <f t="shared" si="41"/>
        <v>4.42</v>
      </c>
      <c r="M2368" s="34">
        <v>39904</v>
      </c>
      <c r="N2368">
        <v>6.65</v>
      </c>
    </row>
    <row r="2369" spans="1:14" x14ac:dyDescent="0.2">
      <c r="A2369" s="34">
        <v>40972</v>
      </c>
      <c r="B2369">
        <v>4.7597560000000003</v>
      </c>
      <c r="C2369">
        <f t="shared" si="41"/>
        <v>4.46</v>
      </c>
      <c r="M2369" s="34">
        <v>39903</v>
      </c>
      <c r="N2369">
        <v>6.76</v>
      </c>
    </row>
    <row r="2370" spans="1:14" x14ac:dyDescent="0.2">
      <c r="A2370" s="34">
        <v>40971</v>
      </c>
      <c r="B2370">
        <v>4.7595219999999996</v>
      </c>
      <c r="C2370">
        <f t="shared" ref="C2370:C2433" si="42">IFERROR(VLOOKUP(A2370,$M$2:$N$3695,2,0),C2371)</f>
        <v>4.46</v>
      </c>
      <c r="M2370" s="34">
        <v>39902</v>
      </c>
      <c r="N2370">
        <v>6.75</v>
      </c>
    </row>
    <row r="2371" spans="1:14" x14ac:dyDescent="0.2">
      <c r="A2371" s="34">
        <v>40970</v>
      </c>
      <c r="B2371">
        <v>4.7592879999999997</v>
      </c>
      <c r="C2371">
        <f t="shared" si="42"/>
        <v>4.46</v>
      </c>
      <c r="M2371" s="34">
        <v>39899</v>
      </c>
      <c r="N2371">
        <v>6.75</v>
      </c>
    </row>
    <row r="2372" spans="1:14" x14ac:dyDescent="0.2">
      <c r="A2372" s="34">
        <v>40969</v>
      </c>
      <c r="B2372">
        <v>4.7590529999999998</v>
      </c>
      <c r="C2372">
        <f t="shared" si="42"/>
        <v>4.45</v>
      </c>
      <c r="M2372" s="34">
        <v>39898</v>
      </c>
      <c r="N2372">
        <v>6.65</v>
      </c>
    </row>
    <row r="2373" spans="1:14" x14ac:dyDescent="0.2">
      <c r="A2373" s="34">
        <v>40968</v>
      </c>
      <c r="B2373">
        <v>4.7588189999999999</v>
      </c>
      <c r="C2373">
        <f t="shared" si="42"/>
        <v>4.5</v>
      </c>
      <c r="M2373" s="34">
        <v>39897</v>
      </c>
      <c r="N2373">
        <v>6.7</v>
      </c>
    </row>
    <row r="2374" spans="1:14" x14ac:dyDescent="0.2">
      <c r="A2374" s="34">
        <v>40967</v>
      </c>
      <c r="B2374">
        <v>4.7585850000000001</v>
      </c>
      <c r="C2374">
        <f t="shared" si="42"/>
        <v>4.4800000000000004</v>
      </c>
      <c r="M2374" s="34">
        <v>39896</v>
      </c>
      <c r="N2374">
        <v>6.8</v>
      </c>
    </row>
    <row r="2375" spans="1:14" x14ac:dyDescent="0.2">
      <c r="A2375" s="34">
        <v>40966</v>
      </c>
      <c r="B2375">
        <v>4.7583510000000002</v>
      </c>
      <c r="C2375">
        <f t="shared" si="42"/>
        <v>4.47</v>
      </c>
      <c r="M2375" s="34">
        <v>39895</v>
      </c>
      <c r="N2375">
        <v>6.7</v>
      </c>
    </row>
    <row r="2376" spans="1:14" x14ac:dyDescent="0.2">
      <c r="A2376" s="34">
        <v>40965</v>
      </c>
      <c r="B2376">
        <v>4.7581170000000004</v>
      </c>
      <c r="C2376">
        <f t="shared" si="42"/>
        <v>4.55</v>
      </c>
      <c r="M2376" s="34">
        <v>39892</v>
      </c>
      <c r="N2376">
        <v>6.6</v>
      </c>
    </row>
    <row r="2377" spans="1:14" x14ac:dyDescent="0.2">
      <c r="A2377" s="34">
        <v>40964</v>
      </c>
      <c r="B2377">
        <v>4.7578820000000004</v>
      </c>
      <c r="C2377">
        <f t="shared" si="42"/>
        <v>4.55</v>
      </c>
      <c r="M2377" s="34">
        <v>39891</v>
      </c>
      <c r="N2377">
        <v>7.48</v>
      </c>
    </row>
    <row r="2378" spans="1:14" x14ac:dyDescent="0.2">
      <c r="A2378" s="34">
        <v>40963</v>
      </c>
      <c r="B2378">
        <v>4.7568849999999996</v>
      </c>
      <c r="C2378">
        <f t="shared" si="42"/>
        <v>4.55</v>
      </c>
      <c r="M2378" s="34">
        <v>39890</v>
      </c>
      <c r="N2378">
        <v>7.45</v>
      </c>
    </row>
    <row r="2379" spans="1:14" x14ac:dyDescent="0.2">
      <c r="A2379" s="34">
        <v>40962</v>
      </c>
      <c r="B2379">
        <v>4.7558879999999997</v>
      </c>
      <c r="C2379">
        <f t="shared" si="42"/>
        <v>4.4000000000000004</v>
      </c>
      <c r="M2379" s="34">
        <v>39889</v>
      </c>
      <c r="N2379">
        <v>7.6</v>
      </c>
    </row>
    <row r="2380" spans="1:14" x14ac:dyDescent="0.2">
      <c r="A2380" s="34">
        <v>40961</v>
      </c>
      <c r="B2380">
        <v>4.7548899999999996</v>
      </c>
      <c r="C2380">
        <f t="shared" si="42"/>
        <v>4.5</v>
      </c>
      <c r="M2380" s="34">
        <v>39885</v>
      </c>
      <c r="N2380">
        <v>7.53</v>
      </c>
    </row>
    <row r="2381" spans="1:14" x14ac:dyDescent="0.2">
      <c r="A2381" s="34">
        <v>40960</v>
      </c>
      <c r="B2381">
        <v>4.7538929999999997</v>
      </c>
      <c r="C2381">
        <f t="shared" si="42"/>
        <v>4.42</v>
      </c>
      <c r="M2381" s="34">
        <v>39884</v>
      </c>
      <c r="N2381">
        <v>7.48</v>
      </c>
    </row>
    <row r="2382" spans="1:14" x14ac:dyDescent="0.2">
      <c r="A2382" s="34">
        <v>40959</v>
      </c>
      <c r="B2382">
        <v>4.7528969999999999</v>
      </c>
      <c r="C2382">
        <f t="shared" si="42"/>
        <v>4.55</v>
      </c>
      <c r="M2382" s="34">
        <v>39883</v>
      </c>
      <c r="N2382">
        <v>7.49</v>
      </c>
    </row>
    <row r="2383" spans="1:14" x14ac:dyDescent="0.2">
      <c r="A2383" s="34">
        <v>40958</v>
      </c>
      <c r="B2383">
        <v>4.7519</v>
      </c>
      <c r="C2383">
        <f t="shared" si="42"/>
        <v>4.49</v>
      </c>
      <c r="M2383" s="34">
        <v>39882</v>
      </c>
      <c r="N2383">
        <v>7.48</v>
      </c>
    </row>
    <row r="2384" spans="1:14" x14ac:dyDescent="0.2">
      <c r="A2384" s="34">
        <v>40957</v>
      </c>
      <c r="B2384">
        <v>4.7509040000000002</v>
      </c>
      <c r="C2384">
        <f t="shared" si="42"/>
        <v>4.49</v>
      </c>
      <c r="M2384" s="34">
        <v>39881</v>
      </c>
      <c r="N2384">
        <v>7.45</v>
      </c>
    </row>
    <row r="2385" spans="1:14" x14ac:dyDescent="0.2">
      <c r="A2385" s="34">
        <v>40956</v>
      </c>
      <c r="B2385">
        <v>4.7499079999999996</v>
      </c>
      <c r="C2385">
        <f t="shared" si="42"/>
        <v>4.49</v>
      </c>
      <c r="M2385" s="34">
        <v>39878</v>
      </c>
      <c r="N2385">
        <v>7.49</v>
      </c>
    </row>
    <row r="2386" spans="1:14" x14ac:dyDescent="0.2">
      <c r="A2386" s="34">
        <v>40955</v>
      </c>
      <c r="B2386">
        <v>4.7489119999999998</v>
      </c>
      <c r="C2386">
        <f t="shared" si="42"/>
        <v>4.45</v>
      </c>
      <c r="M2386" s="34">
        <v>39877</v>
      </c>
      <c r="N2386">
        <v>7.45</v>
      </c>
    </row>
    <row r="2387" spans="1:14" x14ac:dyDescent="0.2">
      <c r="A2387" s="34">
        <v>40954</v>
      </c>
      <c r="B2387">
        <v>4.747916</v>
      </c>
      <c r="C2387">
        <f t="shared" si="42"/>
        <v>4.42</v>
      </c>
      <c r="M2387" s="34">
        <v>39876</v>
      </c>
      <c r="N2387">
        <v>7.45</v>
      </c>
    </row>
    <row r="2388" spans="1:14" x14ac:dyDescent="0.2">
      <c r="A2388" s="34">
        <v>40953</v>
      </c>
      <c r="B2388">
        <v>4.7469210000000004</v>
      </c>
      <c r="C2388">
        <f t="shared" si="42"/>
        <v>4.4400000000000004</v>
      </c>
      <c r="M2388" s="34">
        <v>39875</v>
      </c>
      <c r="N2388">
        <v>7.5</v>
      </c>
    </row>
    <row r="2389" spans="1:14" x14ac:dyDescent="0.2">
      <c r="A2389" s="34">
        <v>40952</v>
      </c>
      <c r="B2389">
        <v>4.7459259999999999</v>
      </c>
      <c r="C2389">
        <f t="shared" si="42"/>
        <v>4.4000000000000004</v>
      </c>
      <c r="M2389" s="34">
        <v>39874</v>
      </c>
      <c r="N2389">
        <v>7.4</v>
      </c>
    </row>
    <row r="2390" spans="1:14" x14ac:dyDescent="0.2">
      <c r="A2390" s="34">
        <v>40951</v>
      </c>
      <c r="B2390">
        <v>4.7449310000000002</v>
      </c>
      <c r="C2390">
        <f t="shared" si="42"/>
        <v>4.43</v>
      </c>
      <c r="M2390" s="34">
        <v>39871</v>
      </c>
      <c r="N2390">
        <v>7.36</v>
      </c>
    </row>
    <row r="2391" spans="1:14" x14ac:dyDescent="0.2">
      <c r="A2391" s="34">
        <v>40950</v>
      </c>
      <c r="B2391">
        <v>4.7439359999999997</v>
      </c>
      <c r="C2391">
        <f t="shared" si="42"/>
        <v>4.43</v>
      </c>
      <c r="M2391" s="34">
        <v>39870</v>
      </c>
      <c r="N2391">
        <v>7.48</v>
      </c>
    </row>
    <row r="2392" spans="1:14" x14ac:dyDescent="0.2">
      <c r="A2392" s="34">
        <v>40949</v>
      </c>
      <c r="B2392">
        <v>4.7429410000000001</v>
      </c>
      <c r="C2392">
        <f t="shared" si="42"/>
        <v>4.43</v>
      </c>
      <c r="M2392" s="34">
        <v>39869</v>
      </c>
      <c r="N2392">
        <v>7.48</v>
      </c>
    </row>
    <row r="2393" spans="1:14" x14ac:dyDescent="0.2">
      <c r="A2393" s="34">
        <v>40948</v>
      </c>
      <c r="B2393">
        <v>4.742</v>
      </c>
      <c r="C2393">
        <f t="shared" si="42"/>
        <v>4.57</v>
      </c>
      <c r="M2393" s="34">
        <v>39868</v>
      </c>
      <c r="N2393">
        <v>7.53</v>
      </c>
    </row>
    <row r="2394" spans="1:14" x14ac:dyDescent="0.2">
      <c r="A2394" s="34">
        <v>40947</v>
      </c>
      <c r="B2394">
        <v>4.7410589999999999</v>
      </c>
      <c r="C2394">
        <f t="shared" si="42"/>
        <v>4.5</v>
      </c>
      <c r="M2394" s="34">
        <v>39867</v>
      </c>
      <c r="N2394">
        <v>7.35</v>
      </c>
    </row>
    <row r="2395" spans="1:14" x14ac:dyDescent="0.2">
      <c r="A2395" s="34">
        <v>40946</v>
      </c>
      <c r="B2395">
        <v>4.740119</v>
      </c>
      <c r="C2395">
        <f t="shared" si="42"/>
        <v>4.51</v>
      </c>
      <c r="M2395" s="34">
        <v>39864</v>
      </c>
      <c r="N2395">
        <v>7.5</v>
      </c>
    </row>
    <row r="2396" spans="1:14" x14ac:dyDescent="0.2">
      <c r="A2396" s="34">
        <v>40945</v>
      </c>
      <c r="B2396">
        <v>4.739179</v>
      </c>
      <c r="C2396">
        <f t="shared" si="42"/>
        <v>4.4800000000000004</v>
      </c>
      <c r="M2396" s="34">
        <v>39863</v>
      </c>
      <c r="N2396">
        <v>7.85</v>
      </c>
    </row>
    <row r="2397" spans="1:14" x14ac:dyDescent="0.2">
      <c r="A2397" s="34">
        <v>40944</v>
      </c>
      <c r="B2397">
        <v>4.7382379999999999</v>
      </c>
      <c r="C2397">
        <f t="shared" si="42"/>
        <v>4.4800000000000004</v>
      </c>
      <c r="M2397" s="34">
        <v>39862</v>
      </c>
      <c r="N2397">
        <v>7.76</v>
      </c>
    </row>
    <row r="2398" spans="1:14" x14ac:dyDescent="0.2">
      <c r="A2398" s="34">
        <v>40943</v>
      </c>
      <c r="B2398">
        <v>4.737298</v>
      </c>
      <c r="C2398">
        <f t="shared" si="42"/>
        <v>4.4800000000000004</v>
      </c>
      <c r="M2398" s="34">
        <v>39861</v>
      </c>
      <c r="N2398">
        <v>7.76</v>
      </c>
    </row>
    <row r="2399" spans="1:14" x14ac:dyDescent="0.2">
      <c r="A2399" s="34">
        <v>40942</v>
      </c>
      <c r="B2399">
        <v>4.7363590000000002</v>
      </c>
      <c r="C2399">
        <f t="shared" si="42"/>
        <v>4.4800000000000004</v>
      </c>
      <c r="M2399" s="34">
        <v>39860</v>
      </c>
      <c r="N2399">
        <v>7.76</v>
      </c>
    </row>
    <row r="2400" spans="1:14" x14ac:dyDescent="0.2">
      <c r="A2400" s="34">
        <v>40941</v>
      </c>
      <c r="B2400">
        <v>4.7354190000000003</v>
      </c>
      <c r="C2400">
        <f t="shared" si="42"/>
        <v>4.4800000000000004</v>
      </c>
      <c r="M2400" s="34">
        <v>39857</v>
      </c>
      <c r="N2400">
        <v>7.5</v>
      </c>
    </row>
    <row r="2401" spans="1:14" x14ac:dyDescent="0.2">
      <c r="A2401" s="34">
        <v>40940</v>
      </c>
      <c r="B2401">
        <v>4.7344799999999996</v>
      </c>
      <c r="C2401">
        <f t="shared" si="42"/>
        <v>4.4800000000000004</v>
      </c>
      <c r="M2401" s="34">
        <v>39856</v>
      </c>
      <c r="N2401">
        <v>7.7</v>
      </c>
    </row>
    <row r="2402" spans="1:14" x14ac:dyDescent="0.2">
      <c r="A2402" s="34">
        <v>40939</v>
      </c>
      <c r="B2402">
        <v>4.7335399999999996</v>
      </c>
      <c r="C2402">
        <f t="shared" si="42"/>
        <v>4.5</v>
      </c>
      <c r="M2402" s="34">
        <v>39855</v>
      </c>
      <c r="N2402">
        <v>7.7</v>
      </c>
    </row>
    <row r="2403" spans="1:14" x14ac:dyDescent="0.2">
      <c r="A2403" s="34">
        <v>40938</v>
      </c>
      <c r="B2403">
        <v>4.7326009999999998</v>
      </c>
      <c r="C2403">
        <f t="shared" si="42"/>
        <v>4.4800000000000004</v>
      </c>
      <c r="M2403" s="34">
        <v>39854</v>
      </c>
      <c r="N2403">
        <v>7.7</v>
      </c>
    </row>
    <row r="2404" spans="1:14" x14ac:dyDescent="0.2">
      <c r="A2404" s="34">
        <v>40937</v>
      </c>
      <c r="B2404">
        <v>4.731662</v>
      </c>
      <c r="C2404">
        <f t="shared" si="42"/>
        <v>4.4800000000000004</v>
      </c>
      <c r="M2404" s="34">
        <v>39853</v>
      </c>
      <c r="N2404">
        <v>7.75</v>
      </c>
    </row>
    <row r="2405" spans="1:14" x14ac:dyDescent="0.2">
      <c r="A2405" s="34">
        <v>40936</v>
      </c>
      <c r="B2405">
        <v>4.7307240000000004</v>
      </c>
      <c r="C2405">
        <f t="shared" si="42"/>
        <v>4.4800000000000004</v>
      </c>
      <c r="M2405" s="34">
        <v>39850</v>
      </c>
      <c r="N2405">
        <v>7.8</v>
      </c>
    </row>
    <row r="2406" spans="1:14" x14ac:dyDescent="0.2">
      <c r="A2406" s="34">
        <v>40935</v>
      </c>
      <c r="B2406">
        <v>4.7297849999999997</v>
      </c>
      <c r="C2406">
        <f t="shared" si="42"/>
        <v>4.4800000000000004</v>
      </c>
      <c r="M2406" s="34">
        <v>39849</v>
      </c>
      <c r="N2406">
        <v>7.71</v>
      </c>
    </row>
    <row r="2407" spans="1:14" x14ac:dyDescent="0.2">
      <c r="A2407" s="34">
        <v>40934</v>
      </c>
      <c r="B2407">
        <v>4.728847</v>
      </c>
      <c r="C2407">
        <f t="shared" si="42"/>
        <v>4.51</v>
      </c>
      <c r="M2407" s="34">
        <v>39848</v>
      </c>
      <c r="N2407">
        <v>7.6</v>
      </c>
    </row>
    <row r="2408" spans="1:14" x14ac:dyDescent="0.2">
      <c r="A2408" s="34">
        <v>40933</v>
      </c>
      <c r="B2408">
        <v>4.7279090000000004</v>
      </c>
      <c r="C2408">
        <f t="shared" si="42"/>
        <v>4.5</v>
      </c>
      <c r="M2408" s="34">
        <v>39847</v>
      </c>
      <c r="N2408">
        <v>7.77</v>
      </c>
    </row>
    <row r="2409" spans="1:14" x14ac:dyDescent="0.2">
      <c r="A2409" s="34">
        <v>40932</v>
      </c>
      <c r="B2409">
        <v>4.7264540000000004</v>
      </c>
      <c r="C2409">
        <f t="shared" si="42"/>
        <v>4.5</v>
      </c>
      <c r="M2409" s="34">
        <v>39843</v>
      </c>
      <c r="N2409">
        <v>7.7</v>
      </c>
    </row>
    <row r="2410" spans="1:14" x14ac:dyDescent="0.2">
      <c r="A2410" s="34">
        <v>40931</v>
      </c>
      <c r="B2410">
        <v>4.7249999999999996</v>
      </c>
      <c r="C2410">
        <f t="shared" si="42"/>
        <v>4.45</v>
      </c>
      <c r="M2410" s="34">
        <v>39842</v>
      </c>
      <c r="N2410">
        <v>7.7</v>
      </c>
    </row>
    <row r="2411" spans="1:14" x14ac:dyDescent="0.2">
      <c r="A2411" s="34">
        <v>40930</v>
      </c>
      <c r="B2411">
        <v>4.7235459999999998</v>
      </c>
      <c r="C2411">
        <f t="shared" si="42"/>
        <v>4.4000000000000004</v>
      </c>
      <c r="M2411" s="34">
        <v>39841</v>
      </c>
      <c r="N2411">
        <v>7.75</v>
      </c>
    </row>
    <row r="2412" spans="1:14" x14ac:dyDescent="0.2">
      <c r="A2412" s="34">
        <v>40929</v>
      </c>
      <c r="B2412">
        <v>4.722092</v>
      </c>
      <c r="C2412">
        <f t="shared" si="42"/>
        <v>4.4000000000000004</v>
      </c>
      <c r="M2412" s="34">
        <v>39840</v>
      </c>
      <c r="N2412">
        <v>7.8</v>
      </c>
    </row>
    <row r="2413" spans="1:14" x14ac:dyDescent="0.2">
      <c r="A2413" s="34">
        <v>40928</v>
      </c>
      <c r="B2413">
        <v>4.7206400000000004</v>
      </c>
      <c r="C2413">
        <f t="shared" si="42"/>
        <v>4.4000000000000004</v>
      </c>
      <c r="M2413" s="34">
        <v>39839</v>
      </c>
      <c r="N2413">
        <v>7.6</v>
      </c>
    </row>
    <row r="2414" spans="1:14" x14ac:dyDescent="0.2">
      <c r="A2414" s="34">
        <v>40927</v>
      </c>
      <c r="B2414">
        <v>4.7191869999999998</v>
      </c>
      <c r="C2414">
        <f t="shared" si="42"/>
        <v>4.42</v>
      </c>
      <c r="M2414" s="34">
        <v>39836</v>
      </c>
      <c r="N2414">
        <v>7.77</v>
      </c>
    </row>
    <row r="2415" spans="1:14" x14ac:dyDescent="0.2">
      <c r="A2415" s="34">
        <v>40926</v>
      </c>
      <c r="B2415">
        <v>4.7177350000000002</v>
      </c>
      <c r="C2415">
        <f t="shared" si="42"/>
        <v>4.34</v>
      </c>
      <c r="M2415" s="34">
        <v>39835</v>
      </c>
      <c r="N2415">
        <v>7.6</v>
      </c>
    </row>
    <row r="2416" spans="1:14" x14ac:dyDescent="0.2">
      <c r="A2416" s="34">
        <v>40925</v>
      </c>
      <c r="B2416">
        <v>4.7162829999999998</v>
      </c>
      <c r="C2416">
        <f t="shared" si="42"/>
        <v>4.3</v>
      </c>
      <c r="M2416" s="34">
        <v>39834</v>
      </c>
      <c r="N2416">
        <v>7.6</v>
      </c>
    </row>
    <row r="2417" spans="1:14" x14ac:dyDescent="0.2">
      <c r="A2417" s="34">
        <v>40924</v>
      </c>
      <c r="B2417">
        <v>4.7148320000000004</v>
      </c>
      <c r="C2417">
        <f t="shared" si="42"/>
        <v>4.46</v>
      </c>
      <c r="M2417" s="34">
        <v>39833</v>
      </c>
      <c r="N2417">
        <v>7.73</v>
      </c>
    </row>
    <row r="2418" spans="1:14" x14ac:dyDescent="0.2">
      <c r="A2418" s="34">
        <v>40923</v>
      </c>
      <c r="B2418">
        <v>4.713381</v>
      </c>
      <c r="C2418">
        <f t="shared" si="42"/>
        <v>4.46</v>
      </c>
      <c r="M2418" s="34">
        <v>39832</v>
      </c>
      <c r="N2418">
        <v>7.77</v>
      </c>
    </row>
    <row r="2419" spans="1:14" x14ac:dyDescent="0.2">
      <c r="A2419" s="34">
        <v>40922</v>
      </c>
      <c r="B2419">
        <v>4.7119309999999999</v>
      </c>
      <c r="C2419">
        <f t="shared" si="42"/>
        <v>4.46</v>
      </c>
      <c r="M2419" s="34">
        <v>39829</v>
      </c>
      <c r="N2419">
        <v>7.75</v>
      </c>
    </row>
    <row r="2420" spans="1:14" x14ac:dyDescent="0.2">
      <c r="A2420" s="34">
        <v>40921</v>
      </c>
      <c r="B2420">
        <v>4.7104809999999997</v>
      </c>
      <c r="C2420">
        <f t="shared" si="42"/>
        <v>4.46</v>
      </c>
      <c r="M2420" s="34">
        <v>39828</v>
      </c>
      <c r="N2420">
        <v>8.5</v>
      </c>
    </row>
    <row r="2421" spans="1:14" x14ac:dyDescent="0.2">
      <c r="A2421" s="34">
        <v>40920</v>
      </c>
      <c r="B2421">
        <v>4.7090319999999997</v>
      </c>
      <c r="C2421">
        <f t="shared" si="42"/>
        <v>4.43</v>
      </c>
      <c r="M2421" s="34">
        <v>39827</v>
      </c>
      <c r="N2421">
        <v>8.1999999999999993</v>
      </c>
    </row>
    <row r="2422" spans="1:14" x14ac:dyDescent="0.2">
      <c r="A2422" s="34">
        <v>40919</v>
      </c>
      <c r="B2422">
        <v>4.7075829999999996</v>
      </c>
      <c r="C2422">
        <f t="shared" si="42"/>
        <v>4.47</v>
      </c>
      <c r="M2422" s="34">
        <v>39826</v>
      </c>
      <c r="N2422">
        <v>8.1999999999999993</v>
      </c>
    </row>
    <row r="2423" spans="1:14" x14ac:dyDescent="0.2">
      <c r="A2423" s="34">
        <v>40918</v>
      </c>
      <c r="B2423">
        <v>4.7061349999999997</v>
      </c>
      <c r="C2423">
        <f t="shared" si="42"/>
        <v>4.5199999999999996</v>
      </c>
      <c r="M2423" s="34">
        <v>39825</v>
      </c>
      <c r="N2423">
        <v>8.25</v>
      </c>
    </row>
    <row r="2424" spans="1:14" x14ac:dyDescent="0.2">
      <c r="A2424" s="34">
        <v>40917</v>
      </c>
      <c r="B2424">
        <v>4.7046510000000001</v>
      </c>
      <c r="C2424">
        <f t="shared" si="42"/>
        <v>4.4400000000000004</v>
      </c>
      <c r="M2424" s="34">
        <v>39822</v>
      </c>
      <c r="N2424">
        <v>8.25</v>
      </c>
    </row>
    <row r="2425" spans="1:14" x14ac:dyDescent="0.2">
      <c r="A2425" s="34">
        <v>40916</v>
      </c>
      <c r="B2425">
        <v>4.7031669999999997</v>
      </c>
      <c r="C2425">
        <f t="shared" si="42"/>
        <v>4.4000000000000004</v>
      </c>
      <c r="M2425" s="34">
        <v>39821</v>
      </c>
      <c r="N2425">
        <v>8.25</v>
      </c>
    </row>
    <row r="2426" spans="1:14" x14ac:dyDescent="0.2">
      <c r="A2426" s="34">
        <v>40915</v>
      </c>
      <c r="B2426">
        <v>4.7016840000000002</v>
      </c>
      <c r="C2426">
        <f t="shared" si="42"/>
        <v>4.4000000000000004</v>
      </c>
      <c r="M2426" s="34">
        <v>39820</v>
      </c>
      <c r="N2426">
        <v>8.25</v>
      </c>
    </row>
    <row r="2427" spans="1:14" x14ac:dyDescent="0.2">
      <c r="A2427" s="34">
        <v>40914</v>
      </c>
      <c r="B2427">
        <v>4.700202</v>
      </c>
      <c r="C2427">
        <f t="shared" si="42"/>
        <v>4.4000000000000004</v>
      </c>
      <c r="M2427" s="34">
        <v>39819</v>
      </c>
      <c r="N2427">
        <v>8.24</v>
      </c>
    </row>
    <row r="2428" spans="1:14" x14ac:dyDescent="0.2">
      <c r="A2428" s="34">
        <v>40913</v>
      </c>
      <c r="B2428">
        <v>4.6987189999999996</v>
      </c>
      <c r="C2428">
        <f t="shared" si="42"/>
        <v>4.4400000000000004</v>
      </c>
      <c r="M2428" s="34">
        <v>39818</v>
      </c>
      <c r="N2428">
        <v>7.5</v>
      </c>
    </row>
    <row r="2429" spans="1:14" x14ac:dyDescent="0.2">
      <c r="A2429" s="34">
        <v>40912</v>
      </c>
      <c r="B2429">
        <v>4.6972379999999996</v>
      </c>
      <c r="C2429">
        <f t="shared" si="42"/>
        <v>4.4000000000000004</v>
      </c>
      <c r="M2429" s="34">
        <v>39815</v>
      </c>
      <c r="N2429">
        <v>8.27</v>
      </c>
    </row>
    <row r="2430" spans="1:14" x14ac:dyDescent="0.2">
      <c r="A2430" s="34">
        <v>40911</v>
      </c>
      <c r="B2430">
        <v>4.6957570000000004</v>
      </c>
      <c r="C2430">
        <f t="shared" si="42"/>
        <v>4.46</v>
      </c>
      <c r="M2430" s="34">
        <v>39813</v>
      </c>
      <c r="N2430">
        <v>7.5</v>
      </c>
    </row>
    <row r="2431" spans="1:14" x14ac:dyDescent="0.2">
      <c r="A2431" s="34">
        <v>40910</v>
      </c>
      <c r="B2431">
        <v>4.6942760000000003</v>
      </c>
      <c r="C2431">
        <f t="shared" si="42"/>
        <v>4.5199999999999996</v>
      </c>
      <c r="M2431" s="34">
        <v>39812</v>
      </c>
      <c r="N2431">
        <v>8.3000000000000007</v>
      </c>
    </row>
    <row r="2432" spans="1:14" x14ac:dyDescent="0.2">
      <c r="A2432" s="34">
        <v>40909</v>
      </c>
      <c r="B2432">
        <v>4.6927960000000004</v>
      </c>
      <c r="C2432">
        <f t="shared" si="42"/>
        <v>4.4800000000000004</v>
      </c>
      <c r="M2432" s="34">
        <v>39811</v>
      </c>
      <c r="N2432">
        <v>8.25</v>
      </c>
    </row>
    <row r="2433" spans="1:14" x14ac:dyDescent="0.2">
      <c r="A2433" s="34">
        <v>40908</v>
      </c>
      <c r="B2433">
        <v>4.6913159999999996</v>
      </c>
      <c r="C2433">
        <f t="shared" si="42"/>
        <v>4.4800000000000004</v>
      </c>
      <c r="M2433" s="34">
        <v>39808</v>
      </c>
      <c r="N2433">
        <v>7.9</v>
      </c>
    </row>
    <row r="2434" spans="1:14" x14ac:dyDescent="0.2">
      <c r="A2434" s="34">
        <v>40907</v>
      </c>
      <c r="B2434">
        <v>4.6898369999999998</v>
      </c>
      <c r="C2434">
        <f t="shared" ref="C2434:C2497" si="43">IFERROR(VLOOKUP(A2434,$M$2:$N$3695,2,0),C2435)</f>
        <v>4.4800000000000004</v>
      </c>
      <c r="M2434" s="34">
        <v>39806</v>
      </c>
      <c r="N2434">
        <v>8.1999999999999993</v>
      </c>
    </row>
    <row r="2435" spans="1:14" x14ac:dyDescent="0.2">
      <c r="A2435" s="34">
        <v>40906</v>
      </c>
      <c r="B2435">
        <v>4.688358</v>
      </c>
      <c r="C2435">
        <f t="shared" si="43"/>
        <v>4.4800000000000004</v>
      </c>
      <c r="M2435" s="34">
        <v>39805</v>
      </c>
      <c r="N2435">
        <v>8.1</v>
      </c>
    </row>
    <row r="2436" spans="1:14" x14ac:dyDescent="0.2">
      <c r="A2436" s="34">
        <v>40905</v>
      </c>
      <c r="B2436">
        <v>4.6868800000000004</v>
      </c>
      <c r="C2436">
        <f t="shared" si="43"/>
        <v>4.4800000000000004</v>
      </c>
      <c r="M2436" s="34">
        <v>39804</v>
      </c>
      <c r="N2436">
        <v>8.3000000000000007</v>
      </c>
    </row>
    <row r="2437" spans="1:14" x14ac:dyDescent="0.2">
      <c r="A2437" s="34">
        <v>40904</v>
      </c>
      <c r="B2437">
        <v>4.6854019999999998</v>
      </c>
      <c r="C2437">
        <f t="shared" si="43"/>
        <v>4.51</v>
      </c>
      <c r="M2437" s="34">
        <v>39801</v>
      </c>
      <c r="N2437">
        <v>8.25</v>
      </c>
    </row>
    <row r="2438" spans="1:14" x14ac:dyDescent="0.2">
      <c r="A2438" s="34">
        <v>40903</v>
      </c>
      <c r="B2438">
        <v>4.6839240000000002</v>
      </c>
      <c r="C2438">
        <f t="shared" si="43"/>
        <v>4.47</v>
      </c>
      <c r="M2438" s="34">
        <v>39800</v>
      </c>
      <c r="N2438">
        <v>8.35</v>
      </c>
    </row>
    <row r="2439" spans="1:14" x14ac:dyDescent="0.2">
      <c r="A2439" s="34">
        <v>40902</v>
      </c>
      <c r="B2439">
        <v>4.6824469999999998</v>
      </c>
      <c r="C2439">
        <f t="shared" si="43"/>
        <v>4.49</v>
      </c>
      <c r="M2439" s="34">
        <v>39799</v>
      </c>
      <c r="N2439">
        <v>8.35</v>
      </c>
    </row>
    <row r="2440" spans="1:14" x14ac:dyDescent="0.2">
      <c r="A2440" s="34">
        <v>40901</v>
      </c>
      <c r="B2440">
        <v>4.6819309999999996</v>
      </c>
      <c r="C2440">
        <f t="shared" si="43"/>
        <v>4.49</v>
      </c>
      <c r="M2440" s="34">
        <v>39798</v>
      </c>
      <c r="N2440">
        <v>8.32</v>
      </c>
    </row>
    <row r="2441" spans="1:14" x14ac:dyDescent="0.2">
      <c r="A2441" s="34">
        <v>40900</v>
      </c>
      <c r="B2441">
        <v>4.6814140000000002</v>
      </c>
      <c r="C2441">
        <f t="shared" si="43"/>
        <v>4.49</v>
      </c>
      <c r="M2441" s="34">
        <v>39797</v>
      </c>
      <c r="N2441">
        <v>8.35</v>
      </c>
    </row>
    <row r="2442" spans="1:14" x14ac:dyDescent="0.2">
      <c r="A2442" s="34">
        <v>40899</v>
      </c>
      <c r="B2442">
        <v>4.6808969999999999</v>
      </c>
      <c r="C2442">
        <f t="shared" si="43"/>
        <v>4.5</v>
      </c>
      <c r="M2442" s="34">
        <v>39793</v>
      </c>
      <c r="N2442">
        <v>8.27</v>
      </c>
    </row>
    <row r="2443" spans="1:14" x14ac:dyDescent="0.2">
      <c r="A2443" s="34">
        <v>40898</v>
      </c>
      <c r="B2443">
        <v>4.6803809999999997</v>
      </c>
      <c r="C2443">
        <f t="shared" si="43"/>
        <v>4.49</v>
      </c>
      <c r="M2443" s="34">
        <v>39792</v>
      </c>
      <c r="N2443">
        <v>8.25</v>
      </c>
    </row>
    <row r="2444" spans="1:14" x14ac:dyDescent="0.2">
      <c r="A2444" s="34">
        <v>40897</v>
      </c>
      <c r="B2444">
        <v>4.6798640000000002</v>
      </c>
      <c r="C2444">
        <f t="shared" si="43"/>
        <v>4.5</v>
      </c>
      <c r="M2444" s="34">
        <v>39791</v>
      </c>
      <c r="N2444">
        <v>8.18</v>
      </c>
    </row>
    <row r="2445" spans="1:14" x14ac:dyDescent="0.2">
      <c r="A2445" s="34">
        <v>40896</v>
      </c>
      <c r="B2445">
        <v>4.6793480000000001</v>
      </c>
      <c r="C2445">
        <f t="shared" si="43"/>
        <v>4.53</v>
      </c>
      <c r="M2445" s="34">
        <v>39790</v>
      </c>
      <c r="N2445">
        <v>8.17</v>
      </c>
    </row>
    <row r="2446" spans="1:14" x14ac:dyDescent="0.2">
      <c r="A2446" s="34">
        <v>40895</v>
      </c>
      <c r="B2446">
        <v>4.6788319999999999</v>
      </c>
      <c r="C2446">
        <f t="shared" si="43"/>
        <v>4.45</v>
      </c>
      <c r="M2446" s="34">
        <v>39787</v>
      </c>
      <c r="N2446">
        <v>8.15</v>
      </c>
    </row>
    <row r="2447" spans="1:14" x14ac:dyDescent="0.2">
      <c r="A2447" s="34">
        <v>40894</v>
      </c>
      <c r="B2447">
        <v>4.6783159999999997</v>
      </c>
      <c r="C2447">
        <f t="shared" si="43"/>
        <v>4.45</v>
      </c>
      <c r="M2447" s="34">
        <v>39786</v>
      </c>
      <c r="N2447">
        <v>7.75</v>
      </c>
    </row>
    <row r="2448" spans="1:14" x14ac:dyDescent="0.2">
      <c r="A2448" s="34">
        <v>40893</v>
      </c>
      <c r="B2448">
        <v>4.6777990000000003</v>
      </c>
      <c r="C2448">
        <f t="shared" si="43"/>
        <v>4.45</v>
      </c>
      <c r="M2448" s="34">
        <v>39785</v>
      </c>
      <c r="N2448">
        <v>8.1999999999999993</v>
      </c>
    </row>
    <row r="2449" spans="1:14" x14ac:dyDescent="0.2">
      <c r="A2449" s="34">
        <v>40892</v>
      </c>
      <c r="B2449">
        <v>4.6772830000000001</v>
      </c>
      <c r="C2449">
        <f t="shared" si="43"/>
        <v>4.49</v>
      </c>
      <c r="M2449" s="34">
        <v>39784</v>
      </c>
      <c r="N2449">
        <v>8.1199999999999992</v>
      </c>
    </row>
    <row r="2450" spans="1:14" x14ac:dyDescent="0.2">
      <c r="A2450" s="34">
        <v>40891</v>
      </c>
      <c r="B2450">
        <v>4.6767669999999999</v>
      </c>
      <c r="C2450">
        <f t="shared" si="43"/>
        <v>4.49</v>
      </c>
      <c r="M2450" s="34">
        <v>39783</v>
      </c>
      <c r="N2450">
        <v>8.15</v>
      </c>
    </row>
    <row r="2451" spans="1:14" x14ac:dyDescent="0.2">
      <c r="A2451" s="34">
        <v>40890</v>
      </c>
      <c r="B2451">
        <v>4.6762509999999997</v>
      </c>
      <c r="C2451">
        <f t="shared" si="43"/>
        <v>4.41</v>
      </c>
      <c r="M2451" s="34">
        <v>39780</v>
      </c>
      <c r="N2451">
        <v>8.4</v>
      </c>
    </row>
    <row r="2452" spans="1:14" x14ac:dyDescent="0.2">
      <c r="A2452" s="34">
        <v>40889</v>
      </c>
      <c r="B2452">
        <v>4.6757350000000004</v>
      </c>
      <c r="C2452">
        <f t="shared" si="43"/>
        <v>4.47</v>
      </c>
      <c r="M2452" s="34">
        <v>39779</v>
      </c>
      <c r="N2452">
        <v>8.3000000000000007</v>
      </c>
    </row>
    <row r="2453" spans="1:14" x14ac:dyDescent="0.2">
      <c r="A2453" s="34">
        <v>40888</v>
      </c>
      <c r="B2453">
        <v>4.6752190000000002</v>
      </c>
      <c r="C2453">
        <f t="shared" si="43"/>
        <v>4.47</v>
      </c>
      <c r="M2453" s="34">
        <v>39778</v>
      </c>
      <c r="N2453">
        <v>7.5</v>
      </c>
    </row>
    <row r="2454" spans="1:14" x14ac:dyDescent="0.2">
      <c r="A2454" s="34">
        <v>40887</v>
      </c>
      <c r="B2454">
        <v>4.6747030000000001</v>
      </c>
      <c r="C2454">
        <f t="shared" si="43"/>
        <v>4.47</v>
      </c>
      <c r="M2454" s="34">
        <v>39777</v>
      </c>
      <c r="N2454">
        <v>8.1</v>
      </c>
    </row>
    <row r="2455" spans="1:14" x14ac:dyDescent="0.2">
      <c r="A2455" s="34">
        <v>40886</v>
      </c>
      <c r="B2455">
        <v>4.6717079999999997</v>
      </c>
      <c r="C2455">
        <f t="shared" si="43"/>
        <v>4.47</v>
      </c>
      <c r="M2455" s="34">
        <v>39776</v>
      </c>
      <c r="N2455">
        <v>8.0500000000000007</v>
      </c>
    </row>
    <row r="2456" spans="1:14" x14ac:dyDescent="0.2">
      <c r="A2456" s="34">
        <v>40885</v>
      </c>
      <c r="B2456">
        <v>4.6687139999999996</v>
      </c>
      <c r="C2456">
        <f t="shared" si="43"/>
        <v>4.4000000000000004</v>
      </c>
      <c r="M2456" s="34">
        <v>39773</v>
      </c>
      <c r="N2456">
        <v>8</v>
      </c>
    </row>
    <row r="2457" spans="1:14" x14ac:dyDescent="0.2">
      <c r="A2457" s="34">
        <v>40884</v>
      </c>
      <c r="B2457">
        <v>4.6657219999999997</v>
      </c>
      <c r="C2457">
        <f t="shared" si="43"/>
        <v>4.4000000000000004</v>
      </c>
      <c r="M2457" s="34">
        <v>39772</v>
      </c>
      <c r="N2457">
        <v>7.5</v>
      </c>
    </row>
    <row r="2458" spans="1:14" x14ac:dyDescent="0.2">
      <c r="A2458" s="34">
        <v>40883</v>
      </c>
      <c r="B2458">
        <v>4.6627320000000001</v>
      </c>
      <c r="C2458">
        <f t="shared" si="43"/>
        <v>4.41</v>
      </c>
      <c r="M2458" s="34">
        <v>39771</v>
      </c>
      <c r="N2458">
        <v>7.5</v>
      </c>
    </row>
    <row r="2459" spans="1:14" x14ac:dyDescent="0.2">
      <c r="A2459" s="34">
        <v>40882</v>
      </c>
      <c r="B2459">
        <v>4.659745</v>
      </c>
      <c r="C2459">
        <f t="shared" si="43"/>
        <v>4.37</v>
      </c>
      <c r="M2459" s="34">
        <v>39770</v>
      </c>
      <c r="N2459">
        <v>8.24</v>
      </c>
    </row>
    <row r="2460" spans="1:14" x14ac:dyDescent="0.2">
      <c r="A2460" s="34">
        <v>40881</v>
      </c>
      <c r="B2460">
        <v>4.6567590000000001</v>
      </c>
      <c r="C2460">
        <f t="shared" si="43"/>
        <v>4.1500000000000004</v>
      </c>
      <c r="M2460" s="34">
        <v>39766</v>
      </c>
      <c r="N2460">
        <v>8.0500000000000007</v>
      </c>
    </row>
    <row r="2461" spans="1:14" x14ac:dyDescent="0.2">
      <c r="A2461" s="34">
        <v>40880</v>
      </c>
      <c r="B2461">
        <v>4.6537740000000003</v>
      </c>
      <c r="C2461">
        <f t="shared" si="43"/>
        <v>4.1500000000000004</v>
      </c>
      <c r="M2461" s="34">
        <v>39765</v>
      </c>
      <c r="N2461">
        <v>8.0500000000000007</v>
      </c>
    </row>
    <row r="2462" spans="1:14" x14ac:dyDescent="0.2">
      <c r="A2462" s="34">
        <v>40879</v>
      </c>
      <c r="B2462">
        <v>4.650792</v>
      </c>
      <c r="C2462">
        <f t="shared" si="43"/>
        <v>4.1500000000000004</v>
      </c>
      <c r="M2462" s="34">
        <v>39764</v>
      </c>
      <c r="N2462">
        <v>7.97</v>
      </c>
    </row>
    <row r="2463" spans="1:14" x14ac:dyDescent="0.2">
      <c r="A2463" s="34">
        <v>40878</v>
      </c>
      <c r="B2463">
        <v>4.6478120000000001</v>
      </c>
      <c r="C2463">
        <f t="shared" si="43"/>
        <v>4.3499999999999996</v>
      </c>
      <c r="M2463" s="34">
        <v>39763</v>
      </c>
      <c r="N2463">
        <v>7.85</v>
      </c>
    </row>
    <row r="2464" spans="1:14" x14ac:dyDescent="0.2">
      <c r="A2464" s="34">
        <v>40877</v>
      </c>
      <c r="B2464">
        <v>4.6448340000000004</v>
      </c>
      <c r="C2464">
        <f t="shared" si="43"/>
        <v>4.5999999999999996</v>
      </c>
      <c r="M2464" s="34">
        <v>39762</v>
      </c>
      <c r="N2464">
        <v>7.9</v>
      </c>
    </row>
    <row r="2465" spans="1:14" x14ac:dyDescent="0.2">
      <c r="A2465" s="34">
        <v>40876</v>
      </c>
      <c r="B2465">
        <v>4.6418569999999999</v>
      </c>
      <c r="C2465">
        <f t="shared" si="43"/>
        <v>4.5</v>
      </c>
      <c r="M2465" s="34">
        <v>39759</v>
      </c>
      <c r="N2465">
        <v>8</v>
      </c>
    </row>
    <row r="2466" spans="1:14" x14ac:dyDescent="0.2">
      <c r="A2466" s="34">
        <v>40875</v>
      </c>
      <c r="B2466">
        <v>4.6388829999999999</v>
      </c>
      <c r="C2466">
        <f t="shared" si="43"/>
        <v>4.5</v>
      </c>
      <c r="M2466" s="34">
        <v>39758</v>
      </c>
      <c r="N2466">
        <v>7.6</v>
      </c>
    </row>
    <row r="2467" spans="1:14" x14ac:dyDescent="0.2">
      <c r="A2467" s="34">
        <v>40874</v>
      </c>
      <c r="B2467">
        <v>4.63591</v>
      </c>
      <c r="C2467">
        <f t="shared" si="43"/>
        <v>4.45</v>
      </c>
      <c r="M2467" s="34">
        <v>39757</v>
      </c>
      <c r="N2467">
        <v>7.7</v>
      </c>
    </row>
    <row r="2468" spans="1:14" x14ac:dyDescent="0.2">
      <c r="A2468" s="34">
        <v>40873</v>
      </c>
      <c r="B2468">
        <v>4.6329390000000004</v>
      </c>
      <c r="C2468">
        <f t="shared" si="43"/>
        <v>4.45</v>
      </c>
      <c r="M2468" s="34">
        <v>39756</v>
      </c>
      <c r="N2468">
        <v>7.55</v>
      </c>
    </row>
    <row r="2469" spans="1:14" x14ac:dyDescent="0.2">
      <c r="A2469" s="34">
        <v>40872</v>
      </c>
      <c r="B2469">
        <v>4.6299710000000003</v>
      </c>
      <c r="C2469">
        <f t="shared" si="43"/>
        <v>4.45</v>
      </c>
      <c r="M2469" s="34">
        <v>39755</v>
      </c>
      <c r="N2469">
        <v>7.6</v>
      </c>
    </row>
    <row r="2470" spans="1:14" x14ac:dyDescent="0.2">
      <c r="A2470" s="34">
        <v>40871</v>
      </c>
      <c r="B2470">
        <v>4.6297790000000001</v>
      </c>
      <c r="C2470">
        <f t="shared" si="43"/>
        <v>4.3600000000000003</v>
      </c>
      <c r="M2470" s="34">
        <v>39752</v>
      </c>
      <c r="N2470">
        <v>8.5</v>
      </c>
    </row>
    <row r="2471" spans="1:14" x14ac:dyDescent="0.2">
      <c r="A2471" s="34">
        <v>40870</v>
      </c>
      <c r="B2471">
        <v>4.629588</v>
      </c>
      <c r="C2471">
        <f t="shared" si="43"/>
        <v>4.3600000000000003</v>
      </c>
      <c r="M2471" s="34">
        <v>39751</v>
      </c>
      <c r="N2471">
        <v>7.7</v>
      </c>
    </row>
    <row r="2472" spans="1:14" x14ac:dyDescent="0.2">
      <c r="A2472" s="34">
        <v>40869</v>
      </c>
      <c r="B2472">
        <v>4.6293959999999998</v>
      </c>
      <c r="C2472">
        <f t="shared" si="43"/>
        <v>4.3899999999999997</v>
      </c>
      <c r="M2472" s="34">
        <v>39750</v>
      </c>
      <c r="N2472">
        <v>8</v>
      </c>
    </row>
    <row r="2473" spans="1:14" x14ac:dyDescent="0.2">
      <c r="A2473" s="34">
        <v>40868</v>
      </c>
      <c r="B2473">
        <v>4.6292049999999998</v>
      </c>
      <c r="C2473">
        <f t="shared" si="43"/>
        <v>4.45</v>
      </c>
      <c r="M2473" s="34">
        <v>39749</v>
      </c>
      <c r="N2473">
        <v>7</v>
      </c>
    </row>
    <row r="2474" spans="1:14" x14ac:dyDescent="0.2">
      <c r="A2474" s="34">
        <v>40867</v>
      </c>
      <c r="B2474">
        <v>4.6290139999999997</v>
      </c>
      <c r="C2474">
        <f t="shared" si="43"/>
        <v>4.45</v>
      </c>
      <c r="M2474" s="34">
        <v>39748</v>
      </c>
      <c r="N2474">
        <v>7.5</v>
      </c>
    </row>
    <row r="2475" spans="1:14" x14ac:dyDescent="0.2">
      <c r="A2475" s="34">
        <v>40866</v>
      </c>
      <c r="B2475">
        <v>4.6288220000000004</v>
      </c>
      <c r="C2475">
        <f t="shared" si="43"/>
        <v>4.45</v>
      </c>
      <c r="M2475" s="34">
        <v>39745</v>
      </c>
      <c r="N2475">
        <v>8</v>
      </c>
    </row>
    <row r="2476" spans="1:14" x14ac:dyDescent="0.2">
      <c r="A2476" s="34">
        <v>40865</v>
      </c>
      <c r="B2476">
        <v>4.6286310000000004</v>
      </c>
      <c r="C2476">
        <f t="shared" si="43"/>
        <v>4.45</v>
      </c>
      <c r="M2476" s="34">
        <v>39744</v>
      </c>
      <c r="N2476">
        <v>6.15</v>
      </c>
    </row>
    <row r="2477" spans="1:14" x14ac:dyDescent="0.2">
      <c r="A2477" s="34">
        <v>40864</v>
      </c>
      <c r="B2477">
        <v>4.6284400000000003</v>
      </c>
      <c r="C2477">
        <f t="shared" si="43"/>
        <v>4.3499999999999996</v>
      </c>
      <c r="M2477" s="34">
        <v>39743</v>
      </c>
      <c r="N2477">
        <v>7</v>
      </c>
    </row>
    <row r="2478" spans="1:14" x14ac:dyDescent="0.2">
      <c r="A2478" s="34">
        <v>40863</v>
      </c>
      <c r="B2478">
        <v>4.6282480000000001</v>
      </c>
      <c r="C2478">
        <f t="shared" si="43"/>
        <v>4.3600000000000003</v>
      </c>
      <c r="M2478" s="34">
        <v>39742</v>
      </c>
      <c r="N2478">
        <v>6.25</v>
      </c>
    </row>
    <row r="2479" spans="1:14" x14ac:dyDescent="0.2">
      <c r="A2479" s="34">
        <v>40862</v>
      </c>
      <c r="B2479">
        <v>4.6280570000000001</v>
      </c>
      <c r="C2479">
        <f t="shared" si="43"/>
        <v>4.37</v>
      </c>
      <c r="M2479" s="34">
        <v>39741</v>
      </c>
      <c r="N2479">
        <v>8.25</v>
      </c>
    </row>
    <row r="2480" spans="1:14" x14ac:dyDescent="0.2">
      <c r="A2480" s="34">
        <v>40861</v>
      </c>
      <c r="B2480">
        <v>4.627866</v>
      </c>
      <c r="C2480">
        <f t="shared" si="43"/>
        <v>4.3099999999999996</v>
      </c>
      <c r="M2480" s="34">
        <v>39738</v>
      </c>
      <c r="N2480">
        <v>7.7</v>
      </c>
    </row>
    <row r="2481" spans="1:14" x14ac:dyDescent="0.2">
      <c r="A2481" s="34">
        <v>40860</v>
      </c>
      <c r="B2481">
        <v>4.627675</v>
      </c>
      <c r="C2481">
        <f t="shared" si="43"/>
        <v>4.3499999999999996</v>
      </c>
      <c r="M2481" s="34">
        <v>39737</v>
      </c>
      <c r="N2481">
        <v>7.5</v>
      </c>
    </row>
    <row r="2482" spans="1:14" x14ac:dyDescent="0.2">
      <c r="A2482" s="34">
        <v>40859</v>
      </c>
      <c r="B2482">
        <v>4.6274829999999998</v>
      </c>
      <c r="C2482">
        <f t="shared" si="43"/>
        <v>4.3499999999999996</v>
      </c>
      <c r="M2482" s="34">
        <v>39736</v>
      </c>
      <c r="N2482">
        <v>7.9</v>
      </c>
    </row>
    <row r="2483" spans="1:14" x14ac:dyDescent="0.2">
      <c r="A2483" s="34">
        <v>40858</v>
      </c>
      <c r="B2483">
        <v>4.6272919999999997</v>
      </c>
      <c r="C2483">
        <f t="shared" si="43"/>
        <v>4.3499999999999996</v>
      </c>
      <c r="M2483" s="34">
        <v>39735</v>
      </c>
      <c r="N2483">
        <v>7.95</v>
      </c>
    </row>
    <row r="2484" spans="1:14" x14ac:dyDescent="0.2">
      <c r="A2484" s="34">
        <v>40857</v>
      </c>
      <c r="B2484">
        <v>4.6271009999999997</v>
      </c>
      <c r="C2484">
        <f t="shared" si="43"/>
        <v>4.3</v>
      </c>
      <c r="M2484" s="34">
        <v>39734</v>
      </c>
      <c r="N2484">
        <v>8.06</v>
      </c>
    </row>
    <row r="2485" spans="1:14" x14ac:dyDescent="0.2">
      <c r="A2485" s="34">
        <v>40856</v>
      </c>
      <c r="B2485">
        <v>4.6253330000000004</v>
      </c>
      <c r="C2485">
        <f t="shared" si="43"/>
        <v>4.3600000000000003</v>
      </c>
      <c r="M2485" s="34">
        <v>39731</v>
      </c>
      <c r="N2485">
        <v>8</v>
      </c>
    </row>
    <row r="2486" spans="1:14" x14ac:dyDescent="0.2">
      <c r="A2486" s="34">
        <v>40855</v>
      </c>
      <c r="B2486">
        <v>4.6235670000000004</v>
      </c>
      <c r="C2486">
        <f t="shared" si="43"/>
        <v>4.3600000000000003</v>
      </c>
      <c r="M2486" s="34">
        <v>39730</v>
      </c>
      <c r="N2486">
        <v>8</v>
      </c>
    </row>
    <row r="2487" spans="1:14" x14ac:dyDescent="0.2">
      <c r="A2487" s="34">
        <v>40854</v>
      </c>
      <c r="B2487">
        <v>4.6218009999999996</v>
      </c>
      <c r="C2487">
        <f t="shared" si="43"/>
        <v>4.4000000000000004</v>
      </c>
      <c r="M2487" s="34">
        <v>39729</v>
      </c>
      <c r="N2487">
        <v>8.0500000000000007</v>
      </c>
    </row>
    <row r="2488" spans="1:14" x14ac:dyDescent="0.2">
      <c r="A2488" s="34">
        <v>40853</v>
      </c>
      <c r="B2488">
        <v>4.6200349999999997</v>
      </c>
      <c r="C2488">
        <f t="shared" si="43"/>
        <v>4.3600000000000003</v>
      </c>
      <c r="M2488" s="34">
        <v>39728</v>
      </c>
      <c r="N2488">
        <v>8.1</v>
      </c>
    </row>
    <row r="2489" spans="1:14" x14ac:dyDescent="0.2">
      <c r="A2489" s="34">
        <v>40852</v>
      </c>
      <c r="B2489">
        <v>4.618271</v>
      </c>
      <c r="C2489">
        <f t="shared" si="43"/>
        <v>4.3600000000000003</v>
      </c>
      <c r="M2489" s="34">
        <v>39727</v>
      </c>
      <c r="N2489">
        <v>8.1</v>
      </c>
    </row>
    <row r="2490" spans="1:14" x14ac:dyDescent="0.2">
      <c r="A2490" s="34">
        <v>40851</v>
      </c>
      <c r="B2490">
        <v>4.6165070000000004</v>
      </c>
      <c r="C2490">
        <f t="shared" si="43"/>
        <v>4.3600000000000003</v>
      </c>
      <c r="M2490" s="34">
        <v>39724</v>
      </c>
      <c r="N2490">
        <v>8.1999999999999993</v>
      </c>
    </row>
    <row r="2491" spans="1:14" x14ac:dyDescent="0.2">
      <c r="A2491" s="34">
        <v>40850</v>
      </c>
      <c r="B2491">
        <v>4.6147429999999998</v>
      </c>
      <c r="C2491">
        <f t="shared" si="43"/>
        <v>4.34</v>
      </c>
      <c r="M2491" s="34">
        <v>39723</v>
      </c>
      <c r="N2491">
        <v>8</v>
      </c>
    </row>
    <row r="2492" spans="1:14" x14ac:dyDescent="0.2">
      <c r="A2492" s="34">
        <v>40849</v>
      </c>
      <c r="B2492">
        <v>4.6129810000000004</v>
      </c>
      <c r="C2492">
        <f t="shared" si="43"/>
        <v>4.4400000000000004</v>
      </c>
      <c r="M2492" s="34">
        <v>39722</v>
      </c>
      <c r="N2492">
        <v>8.1999999999999993</v>
      </c>
    </row>
    <row r="2493" spans="1:14" x14ac:dyDescent="0.2">
      <c r="A2493" s="34">
        <v>40848</v>
      </c>
      <c r="B2493">
        <v>4.6112190000000002</v>
      </c>
      <c r="C2493">
        <f t="shared" si="43"/>
        <v>4.4400000000000004</v>
      </c>
      <c r="M2493" s="34">
        <v>39721</v>
      </c>
      <c r="N2493">
        <v>8.25</v>
      </c>
    </row>
    <row r="2494" spans="1:14" x14ac:dyDescent="0.2">
      <c r="A2494" s="34">
        <v>40847</v>
      </c>
      <c r="B2494">
        <v>4.6094569999999999</v>
      </c>
      <c r="C2494">
        <f t="shared" si="43"/>
        <v>4.4000000000000004</v>
      </c>
      <c r="M2494" s="34">
        <v>39720</v>
      </c>
      <c r="N2494">
        <v>8.24</v>
      </c>
    </row>
    <row r="2495" spans="1:14" x14ac:dyDescent="0.2">
      <c r="A2495" s="34">
        <v>40846</v>
      </c>
      <c r="B2495">
        <v>4.6076969999999999</v>
      </c>
      <c r="C2495">
        <f t="shared" si="43"/>
        <v>4.45</v>
      </c>
      <c r="M2495" s="34">
        <v>39717</v>
      </c>
      <c r="N2495">
        <v>8.25</v>
      </c>
    </row>
    <row r="2496" spans="1:14" x14ac:dyDescent="0.2">
      <c r="A2496" s="34">
        <v>40845</v>
      </c>
      <c r="B2496">
        <v>4.6059369999999999</v>
      </c>
      <c r="C2496">
        <f t="shared" si="43"/>
        <v>4.45</v>
      </c>
      <c r="M2496" s="34">
        <v>39716</v>
      </c>
      <c r="N2496">
        <v>8.23</v>
      </c>
    </row>
    <row r="2497" spans="1:14" x14ac:dyDescent="0.2">
      <c r="A2497" s="34">
        <v>40844</v>
      </c>
      <c r="B2497">
        <v>4.6041780000000001</v>
      </c>
      <c r="C2497">
        <f t="shared" si="43"/>
        <v>4.45</v>
      </c>
      <c r="M2497" s="34">
        <v>39715</v>
      </c>
      <c r="N2497">
        <v>8.2200000000000006</v>
      </c>
    </row>
    <row r="2498" spans="1:14" x14ac:dyDescent="0.2">
      <c r="A2498" s="34">
        <v>40843</v>
      </c>
      <c r="B2498">
        <v>4.6024190000000003</v>
      </c>
      <c r="C2498">
        <f t="shared" ref="C2498:C2561" si="44">IFERROR(VLOOKUP(A2498,$M$2:$N$3695,2,0),C2499)</f>
        <v>4.4000000000000004</v>
      </c>
      <c r="M2498" s="34">
        <v>39714</v>
      </c>
      <c r="N2498">
        <v>8.1999999999999993</v>
      </c>
    </row>
    <row r="2499" spans="1:14" x14ac:dyDescent="0.2">
      <c r="A2499" s="34">
        <v>40842</v>
      </c>
      <c r="B2499">
        <v>4.6006609999999997</v>
      </c>
      <c r="C2499">
        <f t="shared" si="44"/>
        <v>4.45</v>
      </c>
      <c r="M2499" s="34">
        <v>39713</v>
      </c>
      <c r="N2499">
        <v>8.25</v>
      </c>
    </row>
    <row r="2500" spans="1:14" x14ac:dyDescent="0.2">
      <c r="A2500" s="34">
        <v>40841</v>
      </c>
      <c r="B2500">
        <v>4.5989040000000001</v>
      </c>
      <c r="C2500">
        <f t="shared" si="44"/>
        <v>4.3499999999999996</v>
      </c>
      <c r="M2500" s="34">
        <v>39710</v>
      </c>
      <c r="N2500">
        <v>8.0500000000000007</v>
      </c>
    </row>
    <row r="2501" spans="1:14" x14ac:dyDescent="0.2">
      <c r="A2501" s="34">
        <v>40840</v>
      </c>
      <c r="B2501">
        <v>4.5987119999999999</v>
      </c>
      <c r="C2501">
        <f t="shared" si="44"/>
        <v>4.3600000000000003</v>
      </c>
      <c r="M2501" s="34">
        <v>39709</v>
      </c>
      <c r="N2501">
        <v>8.15</v>
      </c>
    </row>
    <row r="2502" spans="1:14" x14ac:dyDescent="0.2">
      <c r="A2502" s="34">
        <v>40839</v>
      </c>
      <c r="B2502">
        <v>4.5985209999999999</v>
      </c>
      <c r="C2502">
        <f t="shared" si="44"/>
        <v>4.3</v>
      </c>
      <c r="M2502" s="34">
        <v>39708</v>
      </c>
      <c r="N2502">
        <v>8.3000000000000007</v>
      </c>
    </row>
    <row r="2503" spans="1:14" x14ac:dyDescent="0.2">
      <c r="A2503" s="34">
        <v>40838</v>
      </c>
      <c r="B2503">
        <v>4.5983299999999998</v>
      </c>
      <c r="C2503">
        <f t="shared" si="44"/>
        <v>4.3</v>
      </c>
      <c r="M2503" s="34">
        <v>39706</v>
      </c>
      <c r="N2503">
        <v>8.25</v>
      </c>
    </row>
    <row r="2504" spans="1:14" x14ac:dyDescent="0.2">
      <c r="A2504" s="34">
        <v>40837</v>
      </c>
      <c r="B2504">
        <v>4.5981379999999996</v>
      </c>
      <c r="C2504">
        <f t="shared" si="44"/>
        <v>4.3</v>
      </c>
      <c r="M2504" s="34">
        <v>39703</v>
      </c>
      <c r="N2504">
        <v>8.24</v>
      </c>
    </row>
    <row r="2505" spans="1:14" x14ac:dyDescent="0.2">
      <c r="A2505" s="34">
        <v>40836</v>
      </c>
      <c r="B2505">
        <v>4.5979469999999996</v>
      </c>
      <c r="C2505">
        <f t="shared" si="44"/>
        <v>4.5</v>
      </c>
      <c r="M2505" s="34">
        <v>39702</v>
      </c>
      <c r="N2505">
        <v>8.25</v>
      </c>
    </row>
    <row r="2506" spans="1:14" x14ac:dyDescent="0.2">
      <c r="A2506" s="34">
        <v>40835</v>
      </c>
      <c r="B2506">
        <v>4.5977560000000004</v>
      </c>
      <c r="C2506">
        <f t="shared" si="44"/>
        <v>4.1500000000000004</v>
      </c>
      <c r="M2506" s="34">
        <v>39701</v>
      </c>
      <c r="N2506">
        <v>8.1999999999999993</v>
      </c>
    </row>
    <row r="2507" spans="1:14" x14ac:dyDescent="0.2">
      <c r="A2507" s="34">
        <v>40834</v>
      </c>
      <c r="B2507">
        <v>4.5975640000000002</v>
      </c>
      <c r="C2507">
        <f t="shared" si="44"/>
        <v>4.33</v>
      </c>
      <c r="M2507" s="34">
        <v>39700</v>
      </c>
      <c r="N2507">
        <v>8.35</v>
      </c>
    </row>
    <row r="2508" spans="1:14" x14ac:dyDescent="0.2">
      <c r="A2508" s="34">
        <v>40833</v>
      </c>
      <c r="B2508">
        <v>4.5973730000000002</v>
      </c>
      <c r="C2508">
        <f t="shared" si="44"/>
        <v>4.32</v>
      </c>
      <c r="M2508" s="34">
        <v>39699</v>
      </c>
      <c r="N2508">
        <v>8.24</v>
      </c>
    </row>
    <row r="2509" spans="1:14" x14ac:dyDescent="0.2">
      <c r="A2509" s="34">
        <v>40832</v>
      </c>
      <c r="B2509">
        <v>4.5971820000000001</v>
      </c>
      <c r="C2509">
        <f t="shared" si="44"/>
        <v>4.34</v>
      </c>
      <c r="M2509" s="34">
        <v>39696</v>
      </c>
      <c r="N2509">
        <v>8.25</v>
      </c>
    </row>
    <row r="2510" spans="1:14" x14ac:dyDescent="0.2">
      <c r="A2510" s="34">
        <v>40831</v>
      </c>
      <c r="B2510">
        <v>4.5969899999999999</v>
      </c>
      <c r="C2510">
        <f t="shared" si="44"/>
        <v>4.34</v>
      </c>
      <c r="M2510" s="34">
        <v>39695</v>
      </c>
      <c r="N2510">
        <v>8.1999999999999993</v>
      </c>
    </row>
    <row r="2511" spans="1:14" x14ac:dyDescent="0.2">
      <c r="A2511" s="34">
        <v>40830</v>
      </c>
      <c r="B2511">
        <v>4.5967989999999999</v>
      </c>
      <c r="C2511">
        <f t="shared" si="44"/>
        <v>4.34</v>
      </c>
      <c r="M2511" s="34">
        <v>39694</v>
      </c>
      <c r="N2511">
        <v>8.1999999999999993</v>
      </c>
    </row>
    <row r="2512" spans="1:14" x14ac:dyDescent="0.2">
      <c r="A2512" s="34">
        <v>40829</v>
      </c>
      <c r="B2512">
        <v>4.5966079999999998</v>
      </c>
      <c r="C2512">
        <f t="shared" si="44"/>
        <v>4.3499999999999996</v>
      </c>
      <c r="M2512" s="34">
        <v>39693</v>
      </c>
      <c r="N2512">
        <v>8.2200000000000006</v>
      </c>
    </row>
    <row r="2513" spans="1:14" x14ac:dyDescent="0.2">
      <c r="A2513" s="34">
        <v>40828</v>
      </c>
      <c r="B2513">
        <v>4.5964159999999996</v>
      </c>
      <c r="C2513">
        <f t="shared" si="44"/>
        <v>4.32</v>
      </c>
      <c r="M2513" s="34">
        <v>39692</v>
      </c>
      <c r="N2513">
        <v>8.24</v>
      </c>
    </row>
    <row r="2514" spans="1:14" x14ac:dyDescent="0.2">
      <c r="A2514" s="34">
        <v>40827</v>
      </c>
      <c r="B2514">
        <v>4.5962249999999996</v>
      </c>
      <c r="C2514">
        <f t="shared" si="44"/>
        <v>4.3600000000000003</v>
      </c>
      <c r="M2514" s="34">
        <v>39689</v>
      </c>
      <c r="N2514">
        <v>8.16</v>
      </c>
    </row>
    <row r="2515" spans="1:14" x14ac:dyDescent="0.2">
      <c r="A2515" s="34">
        <v>40826</v>
      </c>
      <c r="B2515">
        <v>4.5960340000000004</v>
      </c>
      <c r="C2515">
        <f t="shared" si="44"/>
        <v>4.34</v>
      </c>
      <c r="M2515" s="34">
        <v>39688</v>
      </c>
      <c r="N2515">
        <v>8.23</v>
      </c>
    </row>
    <row r="2516" spans="1:14" x14ac:dyDescent="0.2">
      <c r="A2516" s="34">
        <v>40825</v>
      </c>
      <c r="B2516">
        <v>4.5953860000000004</v>
      </c>
      <c r="C2516">
        <f t="shared" si="44"/>
        <v>4.5</v>
      </c>
      <c r="M2516" s="34">
        <v>39687</v>
      </c>
      <c r="N2516">
        <v>8.25</v>
      </c>
    </row>
    <row r="2517" spans="1:14" x14ac:dyDescent="0.2">
      <c r="A2517" s="34">
        <v>40824</v>
      </c>
      <c r="B2517">
        <v>4.5947389999999997</v>
      </c>
      <c r="C2517">
        <f t="shared" si="44"/>
        <v>4.5</v>
      </c>
      <c r="M2517" s="34">
        <v>39686</v>
      </c>
      <c r="N2517">
        <v>8.2200000000000006</v>
      </c>
    </row>
    <row r="2518" spans="1:14" x14ac:dyDescent="0.2">
      <c r="A2518" s="34">
        <v>40823</v>
      </c>
      <c r="B2518">
        <v>4.5940919999999998</v>
      </c>
      <c r="C2518">
        <f t="shared" si="44"/>
        <v>4.5</v>
      </c>
      <c r="M2518" s="34">
        <v>39685</v>
      </c>
      <c r="N2518">
        <v>8.24</v>
      </c>
    </row>
    <row r="2519" spans="1:14" x14ac:dyDescent="0.2">
      <c r="A2519" s="34">
        <v>40822</v>
      </c>
      <c r="B2519">
        <v>4.5934439999999999</v>
      </c>
      <c r="C2519">
        <f t="shared" si="44"/>
        <v>4.38</v>
      </c>
      <c r="M2519" s="34">
        <v>39682</v>
      </c>
      <c r="N2519">
        <v>8.1999999999999993</v>
      </c>
    </row>
    <row r="2520" spans="1:14" x14ac:dyDescent="0.2">
      <c r="A2520" s="34">
        <v>40821</v>
      </c>
      <c r="B2520">
        <v>4.592797</v>
      </c>
      <c r="C2520">
        <f t="shared" si="44"/>
        <v>4.3899999999999997</v>
      </c>
      <c r="M2520" s="34">
        <v>39681</v>
      </c>
      <c r="N2520">
        <v>8.16</v>
      </c>
    </row>
    <row r="2521" spans="1:14" x14ac:dyDescent="0.2">
      <c r="A2521" s="34">
        <v>40820</v>
      </c>
      <c r="B2521">
        <v>4.5921500000000002</v>
      </c>
      <c r="C2521">
        <f t="shared" si="44"/>
        <v>4.38</v>
      </c>
      <c r="M2521" s="34">
        <v>39680</v>
      </c>
      <c r="N2521">
        <v>8.15</v>
      </c>
    </row>
    <row r="2522" spans="1:14" x14ac:dyDescent="0.2">
      <c r="A2522" s="34">
        <v>40819</v>
      </c>
      <c r="B2522">
        <v>4.5915030000000003</v>
      </c>
      <c r="C2522">
        <f t="shared" si="44"/>
        <v>4.3499999999999996</v>
      </c>
      <c r="M2522" s="34">
        <v>39679</v>
      </c>
      <c r="N2522">
        <v>8.2799999999999994</v>
      </c>
    </row>
    <row r="2523" spans="1:14" x14ac:dyDescent="0.2">
      <c r="A2523" s="34">
        <v>40818</v>
      </c>
      <c r="B2523">
        <v>4.5908569999999997</v>
      </c>
      <c r="C2523">
        <f t="shared" si="44"/>
        <v>4.38</v>
      </c>
      <c r="M2523" s="34">
        <v>39678</v>
      </c>
      <c r="N2523">
        <v>8.3000000000000007</v>
      </c>
    </row>
    <row r="2524" spans="1:14" x14ac:dyDescent="0.2">
      <c r="A2524" s="34">
        <v>40817</v>
      </c>
      <c r="B2524">
        <v>4.5902099999999999</v>
      </c>
      <c r="C2524">
        <f t="shared" si="44"/>
        <v>4.38</v>
      </c>
      <c r="M2524" s="34">
        <v>39675</v>
      </c>
      <c r="N2524">
        <v>8.26</v>
      </c>
    </row>
    <row r="2525" spans="1:14" x14ac:dyDescent="0.2">
      <c r="A2525" s="34">
        <v>40816</v>
      </c>
      <c r="B2525">
        <v>4.5895630000000001</v>
      </c>
      <c r="C2525">
        <f t="shared" si="44"/>
        <v>4.38</v>
      </c>
      <c r="M2525" s="34">
        <v>39674</v>
      </c>
      <c r="N2525">
        <v>7.98</v>
      </c>
    </row>
    <row r="2526" spans="1:14" x14ac:dyDescent="0.2">
      <c r="A2526" s="34">
        <v>40815</v>
      </c>
      <c r="B2526">
        <v>4.5889170000000004</v>
      </c>
      <c r="C2526">
        <f t="shared" si="44"/>
        <v>4.4000000000000004</v>
      </c>
      <c r="M2526" s="34">
        <v>39673</v>
      </c>
      <c r="N2526">
        <v>7.98</v>
      </c>
    </row>
    <row r="2527" spans="1:14" x14ac:dyDescent="0.2">
      <c r="A2527" s="34">
        <v>40814</v>
      </c>
      <c r="B2527">
        <v>4.5882699999999996</v>
      </c>
      <c r="C2527">
        <f t="shared" si="44"/>
        <v>4.3600000000000003</v>
      </c>
      <c r="M2527" s="34">
        <v>39672</v>
      </c>
      <c r="N2527">
        <v>7.96</v>
      </c>
    </row>
    <row r="2528" spans="1:14" x14ac:dyDescent="0.2">
      <c r="A2528" s="34">
        <v>40813</v>
      </c>
      <c r="B2528">
        <v>4.5876239999999999</v>
      </c>
      <c r="C2528">
        <f t="shared" si="44"/>
        <v>4.3</v>
      </c>
      <c r="M2528" s="34">
        <v>39671</v>
      </c>
      <c r="N2528">
        <v>7.95</v>
      </c>
    </row>
    <row r="2529" spans="1:14" x14ac:dyDescent="0.2">
      <c r="A2529" s="34">
        <v>40812</v>
      </c>
      <c r="B2529">
        <v>4.5869770000000001</v>
      </c>
      <c r="C2529">
        <f t="shared" si="44"/>
        <v>4.3499999999999996</v>
      </c>
      <c r="M2529" s="34">
        <v>39668</v>
      </c>
      <c r="N2529">
        <v>7.96</v>
      </c>
    </row>
    <row r="2530" spans="1:14" x14ac:dyDescent="0.2">
      <c r="A2530" s="34">
        <v>40811</v>
      </c>
      <c r="B2530">
        <v>4.5863310000000004</v>
      </c>
      <c r="C2530">
        <f t="shared" si="44"/>
        <v>4.5</v>
      </c>
      <c r="M2530" s="34">
        <v>39667</v>
      </c>
      <c r="N2530">
        <v>7.9</v>
      </c>
    </row>
    <row r="2531" spans="1:14" x14ac:dyDescent="0.2">
      <c r="A2531" s="34">
        <v>40810</v>
      </c>
      <c r="B2531">
        <v>4.5863189999999996</v>
      </c>
      <c r="C2531">
        <f t="shared" si="44"/>
        <v>4.5</v>
      </c>
      <c r="M2531" s="34">
        <v>39666</v>
      </c>
      <c r="N2531">
        <v>7.9</v>
      </c>
    </row>
    <row r="2532" spans="1:14" x14ac:dyDescent="0.2">
      <c r="A2532" s="34">
        <v>40809</v>
      </c>
      <c r="B2532">
        <v>4.5863069999999997</v>
      </c>
      <c r="C2532">
        <f t="shared" si="44"/>
        <v>4.5</v>
      </c>
      <c r="M2532" s="34">
        <v>39665</v>
      </c>
      <c r="N2532">
        <v>7.99</v>
      </c>
    </row>
    <row r="2533" spans="1:14" x14ac:dyDescent="0.2">
      <c r="A2533" s="34">
        <v>40808</v>
      </c>
      <c r="B2533">
        <v>4.5862949999999998</v>
      </c>
      <c r="C2533">
        <f t="shared" si="44"/>
        <v>4.4400000000000004</v>
      </c>
      <c r="M2533" s="34">
        <v>39664</v>
      </c>
      <c r="N2533">
        <v>8.02</v>
      </c>
    </row>
    <row r="2534" spans="1:14" x14ac:dyDescent="0.2">
      <c r="A2534" s="34">
        <v>40807</v>
      </c>
      <c r="B2534">
        <v>4.5862829999999999</v>
      </c>
      <c r="C2534">
        <f t="shared" si="44"/>
        <v>4.43</v>
      </c>
      <c r="M2534" s="34">
        <v>39661</v>
      </c>
      <c r="N2534">
        <v>7.95</v>
      </c>
    </row>
    <row r="2535" spans="1:14" x14ac:dyDescent="0.2">
      <c r="A2535" s="34">
        <v>40806</v>
      </c>
      <c r="B2535">
        <v>4.5862699999999998</v>
      </c>
      <c r="C2535">
        <f t="shared" si="44"/>
        <v>4.4800000000000004</v>
      </c>
      <c r="M2535" s="34">
        <v>39660</v>
      </c>
      <c r="N2535">
        <v>8</v>
      </c>
    </row>
    <row r="2536" spans="1:14" x14ac:dyDescent="0.2">
      <c r="A2536" s="34">
        <v>40805</v>
      </c>
      <c r="B2536">
        <v>4.5862579999999999</v>
      </c>
      <c r="C2536">
        <f t="shared" si="44"/>
        <v>4.33</v>
      </c>
      <c r="M2536" s="34">
        <v>39659</v>
      </c>
      <c r="N2536">
        <v>7.9</v>
      </c>
    </row>
    <row r="2537" spans="1:14" x14ac:dyDescent="0.2">
      <c r="A2537" s="34">
        <v>40804</v>
      </c>
      <c r="B2537">
        <v>4.586246</v>
      </c>
      <c r="C2537">
        <f t="shared" si="44"/>
        <v>4.28</v>
      </c>
      <c r="M2537" s="34">
        <v>39658</v>
      </c>
      <c r="N2537">
        <v>8.02</v>
      </c>
    </row>
    <row r="2538" spans="1:14" x14ac:dyDescent="0.2">
      <c r="A2538" s="34">
        <v>40803</v>
      </c>
      <c r="B2538">
        <v>4.5862340000000001</v>
      </c>
      <c r="C2538">
        <f t="shared" si="44"/>
        <v>4.28</v>
      </c>
      <c r="M2538" s="34">
        <v>39657</v>
      </c>
      <c r="N2538">
        <v>7.95</v>
      </c>
    </row>
    <row r="2539" spans="1:14" x14ac:dyDescent="0.2">
      <c r="A2539" s="34">
        <v>40802</v>
      </c>
      <c r="B2539">
        <v>4.5862220000000002</v>
      </c>
      <c r="C2539">
        <f t="shared" si="44"/>
        <v>4.28</v>
      </c>
      <c r="M2539" s="34">
        <v>39654</v>
      </c>
      <c r="N2539">
        <v>8</v>
      </c>
    </row>
    <row r="2540" spans="1:14" x14ac:dyDescent="0.2">
      <c r="A2540" s="34">
        <v>40801</v>
      </c>
      <c r="B2540">
        <v>4.5862100000000003</v>
      </c>
      <c r="C2540">
        <f t="shared" si="44"/>
        <v>4.28</v>
      </c>
      <c r="M2540" s="34">
        <v>39653</v>
      </c>
      <c r="N2540">
        <v>7.95</v>
      </c>
    </row>
    <row r="2541" spans="1:14" x14ac:dyDescent="0.2">
      <c r="A2541" s="34">
        <v>40800</v>
      </c>
      <c r="B2541">
        <v>4.5861980000000004</v>
      </c>
      <c r="C2541">
        <f t="shared" si="44"/>
        <v>4.2699999999999996</v>
      </c>
      <c r="M2541" s="34">
        <v>39652</v>
      </c>
      <c r="N2541">
        <v>8</v>
      </c>
    </row>
    <row r="2542" spans="1:14" x14ac:dyDescent="0.2">
      <c r="A2542" s="34">
        <v>40799</v>
      </c>
      <c r="B2542">
        <v>4.5861850000000004</v>
      </c>
      <c r="C2542">
        <f t="shared" si="44"/>
        <v>4.32</v>
      </c>
      <c r="M2542" s="34">
        <v>39651</v>
      </c>
      <c r="N2542">
        <v>7.8</v>
      </c>
    </row>
    <row r="2543" spans="1:14" x14ac:dyDescent="0.2">
      <c r="A2543" s="34">
        <v>40798</v>
      </c>
      <c r="B2543">
        <v>4.5861729999999996</v>
      </c>
      <c r="C2543">
        <f t="shared" si="44"/>
        <v>4.34</v>
      </c>
      <c r="M2543" s="34">
        <v>39650</v>
      </c>
      <c r="N2543">
        <v>7.75</v>
      </c>
    </row>
    <row r="2544" spans="1:14" x14ac:dyDescent="0.2">
      <c r="A2544" s="34">
        <v>40797</v>
      </c>
      <c r="B2544">
        <v>4.5861609999999997</v>
      </c>
      <c r="C2544">
        <f t="shared" si="44"/>
        <v>4.33</v>
      </c>
      <c r="M2544" s="34">
        <v>39647</v>
      </c>
      <c r="N2544">
        <v>8.0299999999999994</v>
      </c>
    </row>
    <row r="2545" spans="1:14" x14ac:dyDescent="0.2">
      <c r="A2545" s="34">
        <v>40796</v>
      </c>
      <c r="B2545">
        <v>4.5861489999999998</v>
      </c>
      <c r="C2545">
        <f t="shared" si="44"/>
        <v>4.33</v>
      </c>
      <c r="M2545" s="34">
        <v>39646</v>
      </c>
      <c r="N2545">
        <v>7.76</v>
      </c>
    </row>
    <row r="2546" spans="1:14" x14ac:dyDescent="0.2">
      <c r="A2546" s="34">
        <v>40795</v>
      </c>
      <c r="B2546">
        <v>4.5859040000000002</v>
      </c>
      <c r="C2546">
        <f t="shared" si="44"/>
        <v>4.33</v>
      </c>
      <c r="M2546" s="34">
        <v>39645</v>
      </c>
      <c r="N2546">
        <v>7.75</v>
      </c>
    </row>
    <row r="2547" spans="1:14" x14ac:dyDescent="0.2">
      <c r="A2547" s="34">
        <v>40794</v>
      </c>
      <c r="B2547">
        <v>4.5856589999999997</v>
      </c>
      <c r="C2547">
        <f t="shared" si="44"/>
        <v>4.33</v>
      </c>
      <c r="M2547" s="34">
        <v>39644</v>
      </c>
      <c r="N2547">
        <v>7.76</v>
      </c>
    </row>
    <row r="2548" spans="1:14" x14ac:dyDescent="0.2">
      <c r="A2548" s="34">
        <v>40793</v>
      </c>
      <c r="B2548">
        <v>4.5854140000000001</v>
      </c>
      <c r="C2548">
        <f t="shared" si="44"/>
        <v>4.28</v>
      </c>
      <c r="M2548" s="34">
        <v>39643</v>
      </c>
      <c r="N2548">
        <v>7.74</v>
      </c>
    </row>
    <row r="2549" spans="1:14" x14ac:dyDescent="0.2">
      <c r="A2549" s="34">
        <v>40792</v>
      </c>
      <c r="B2549">
        <v>4.5851689999999996</v>
      </c>
      <c r="C2549">
        <f t="shared" si="44"/>
        <v>4.34</v>
      </c>
      <c r="M2549" s="34">
        <v>39640</v>
      </c>
      <c r="N2549">
        <v>7.72</v>
      </c>
    </row>
    <row r="2550" spans="1:14" x14ac:dyDescent="0.2">
      <c r="A2550" s="34">
        <v>40791</v>
      </c>
      <c r="B2550">
        <v>4.584924</v>
      </c>
      <c r="C2550">
        <f t="shared" si="44"/>
        <v>4.3899999999999997</v>
      </c>
      <c r="M2550" s="34">
        <v>39639</v>
      </c>
      <c r="N2550">
        <v>7.78</v>
      </c>
    </row>
    <row r="2551" spans="1:14" x14ac:dyDescent="0.2">
      <c r="A2551" s="34">
        <v>40790</v>
      </c>
      <c r="B2551">
        <v>4.5846790000000004</v>
      </c>
      <c r="C2551">
        <f t="shared" si="44"/>
        <v>4.3499999999999996</v>
      </c>
      <c r="M2551" s="34">
        <v>39638</v>
      </c>
      <c r="N2551">
        <v>7.75</v>
      </c>
    </row>
    <row r="2552" spans="1:14" x14ac:dyDescent="0.2">
      <c r="A2552" s="34">
        <v>40789</v>
      </c>
      <c r="B2552">
        <v>4.584435</v>
      </c>
      <c r="C2552">
        <f t="shared" si="44"/>
        <v>4.3499999999999996</v>
      </c>
      <c r="M2552" s="34">
        <v>39637</v>
      </c>
      <c r="N2552">
        <v>7.8</v>
      </c>
    </row>
    <row r="2553" spans="1:14" x14ac:dyDescent="0.2">
      <c r="A2553" s="34">
        <v>40788</v>
      </c>
      <c r="B2553">
        <v>4.5841900000000004</v>
      </c>
      <c r="C2553">
        <f t="shared" si="44"/>
        <v>4.3499999999999996</v>
      </c>
      <c r="M2553" s="34">
        <v>39636</v>
      </c>
      <c r="N2553">
        <v>7.6</v>
      </c>
    </row>
    <row r="2554" spans="1:14" x14ac:dyDescent="0.2">
      <c r="A2554" s="34">
        <v>40787</v>
      </c>
      <c r="B2554">
        <v>4.5839449999999999</v>
      </c>
      <c r="C2554">
        <f t="shared" si="44"/>
        <v>4.33</v>
      </c>
      <c r="M2554" s="34">
        <v>39633</v>
      </c>
      <c r="N2554">
        <v>7.8</v>
      </c>
    </row>
    <row r="2555" spans="1:14" x14ac:dyDescent="0.2">
      <c r="A2555" s="34">
        <v>40786</v>
      </c>
      <c r="B2555">
        <v>4.5837000000000003</v>
      </c>
      <c r="C2555">
        <f t="shared" si="44"/>
        <v>4.3499999999999996</v>
      </c>
      <c r="M2555" s="34">
        <v>39632</v>
      </c>
      <c r="N2555">
        <v>7.68</v>
      </c>
    </row>
    <row r="2556" spans="1:14" x14ac:dyDescent="0.2">
      <c r="A2556" s="34">
        <v>40785</v>
      </c>
      <c r="B2556">
        <v>4.5834549999999998</v>
      </c>
      <c r="C2556">
        <f t="shared" si="44"/>
        <v>4.37</v>
      </c>
      <c r="M2556" s="34">
        <v>39631</v>
      </c>
      <c r="N2556">
        <v>7.7</v>
      </c>
    </row>
    <row r="2557" spans="1:14" x14ac:dyDescent="0.2">
      <c r="A2557" s="34">
        <v>40784</v>
      </c>
      <c r="B2557">
        <v>4.5832100000000002</v>
      </c>
      <c r="C2557">
        <f t="shared" si="44"/>
        <v>4.4000000000000004</v>
      </c>
      <c r="M2557" s="34">
        <v>39630</v>
      </c>
      <c r="N2557">
        <v>7.7</v>
      </c>
    </row>
    <row r="2558" spans="1:14" x14ac:dyDescent="0.2">
      <c r="A2558" s="34">
        <v>40783</v>
      </c>
      <c r="B2558">
        <v>4.5829659999999999</v>
      </c>
      <c r="C2558">
        <f t="shared" si="44"/>
        <v>4.42</v>
      </c>
      <c r="M2558" s="34">
        <v>39629</v>
      </c>
      <c r="N2558">
        <v>7.78</v>
      </c>
    </row>
    <row r="2559" spans="1:14" x14ac:dyDescent="0.2">
      <c r="A2559" s="34">
        <v>40782</v>
      </c>
      <c r="B2559">
        <v>4.5827210000000003</v>
      </c>
      <c r="C2559">
        <f t="shared" si="44"/>
        <v>4.42</v>
      </c>
      <c r="M2559" s="34">
        <v>39626</v>
      </c>
      <c r="N2559">
        <v>7.72</v>
      </c>
    </row>
    <row r="2560" spans="1:14" x14ac:dyDescent="0.2">
      <c r="A2560" s="34">
        <v>40781</v>
      </c>
      <c r="B2560">
        <v>4.5824759999999998</v>
      </c>
      <c r="C2560">
        <f t="shared" si="44"/>
        <v>4.42</v>
      </c>
      <c r="M2560" s="34">
        <v>39625</v>
      </c>
      <c r="N2560">
        <v>7.74</v>
      </c>
    </row>
    <row r="2561" spans="1:14" x14ac:dyDescent="0.2">
      <c r="A2561" s="34">
        <v>40780</v>
      </c>
      <c r="B2561">
        <v>4.5822310000000002</v>
      </c>
      <c r="C2561">
        <f t="shared" si="44"/>
        <v>4.3600000000000003</v>
      </c>
      <c r="M2561" s="34">
        <v>39624</v>
      </c>
      <c r="N2561">
        <v>7.75</v>
      </c>
    </row>
    <row r="2562" spans="1:14" x14ac:dyDescent="0.2">
      <c r="A2562" s="34">
        <v>40779</v>
      </c>
      <c r="B2562">
        <v>4.5818029999999998</v>
      </c>
      <c r="C2562">
        <f t="shared" ref="C2562:C2625" si="45">IFERROR(VLOOKUP(A2562,$M$2:$N$3695,2,0),C2563)</f>
        <v>4.4000000000000004</v>
      </c>
      <c r="M2562" s="34">
        <v>39623</v>
      </c>
      <c r="N2562">
        <v>7.65</v>
      </c>
    </row>
    <row r="2563" spans="1:14" x14ac:dyDescent="0.2">
      <c r="A2563" s="34">
        <v>40778</v>
      </c>
      <c r="B2563">
        <v>4.5813740000000003</v>
      </c>
      <c r="C2563">
        <f t="shared" si="45"/>
        <v>4.42</v>
      </c>
      <c r="M2563" s="34">
        <v>39622</v>
      </c>
      <c r="N2563">
        <v>7.75</v>
      </c>
    </row>
    <row r="2564" spans="1:14" x14ac:dyDescent="0.2">
      <c r="A2564" s="34">
        <v>40777</v>
      </c>
      <c r="B2564">
        <v>4.580946</v>
      </c>
      <c r="C2564">
        <f t="shared" si="45"/>
        <v>4.4400000000000004</v>
      </c>
      <c r="M2564" s="34">
        <v>39619</v>
      </c>
      <c r="N2564">
        <v>7.75</v>
      </c>
    </row>
    <row r="2565" spans="1:14" x14ac:dyDescent="0.2">
      <c r="A2565" s="34">
        <v>40776</v>
      </c>
      <c r="B2565">
        <v>4.5805179999999996</v>
      </c>
      <c r="C2565">
        <f t="shared" si="45"/>
        <v>4.4800000000000004</v>
      </c>
      <c r="M2565" s="34">
        <v>39618</v>
      </c>
      <c r="N2565">
        <v>7.4</v>
      </c>
    </row>
    <row r="2566" spans="1:14" x14ac:dyDescent="0.2">
      <c r="A2566" s="34">
        <v>40775</v>
      </c>
      <c r="B2566">
        <v>4.5800890000000001</v>
      </c>
      <c r="C2566">
        <f t="shared" si="45"/>
        <v>4.4800000000000004</v>
      </c>
      <c r="M2566" s="34">
        <v>39617</v>
      </c>
      <c r="N2566">
        <v>7.57</v>
      </c>
    </row>
    <row r="2567" spans="1:14" x14ac:dyDescent="0.2">
      <c r="A2567" s="34">
        <v>40774</v>
      </c>
      <c r="B2567">
        <v>4.5796609999999998</v>
      </c>
      <c r="C2567">
        <f t="shared" si="45"/>
        <v>4.4800000000000004</v>
      </c>
      <c r="M2567" s="34">
        <v>39616</v>
      </c>
      <c r="N2567">
        <v>7.53</v>
      </c>
    </row>
    <row r="2568" spans="1:14" x14ac:dyDescent="0.2">
      <c r="A2568" s="34">
        <v>40773</v>
      </c>
      <c r="B2568">
        <v>4.5792330000000003</v>
      </c>
      <c r="C2568">
        <f t="shared" si="45"/>
        <v>4.4400000000000004</v>
      </c>
      <c r="M2568" s="34">
        <v>39615</v>
      </c>
      <c r="N2568">
        <v>7.47</v>
      </c>
    </row>
    <row r="2569" spans="1:14" x14ac:dyDescent="0.2">
      <c r="A2569" s="34">
        <v>40772</v>
      </c>
      <c r="B2569">
        <v>4.578805</v>
      </c>
      <c r="C2569">
        <f t="shared" si="45"/>
        <v>4.4400000000000004</v>
      </c>
      <c r="M2569" s="34">
        <v>39612</v>
      </c>
      <c r="N2569">
        <v>7.56</v>
      </c>
    </row>
    <row r="2570" spans="1:14" x14ac:dyDescent="0.2">
      <c r="A2570" s="34">
        <v>40771</v>
      </c>
      <c r="B2570">
        <v>4.5783769999999997</v>
      </c>
      <c r="C2570">
        <f t="shared" si="45"/>
        <v>4.4400000000000004</v>
      </c>
      <c r="M2570" s="34">
        <v>39611</v>
      </c>
      <c r="N2570">
        <v>7.5</v>
      </c>
    </row>
    <row r="2571" spans="1:14" x14ac:dyDescent="0.2">
      <c r="A2571" s="34">
        <v>40770</v>
      </c>
      <c r="B2571">
        <v>4.5779480000000001</v>
      </c>
      <c r="C2571">
        <f t="shared" si="45"/>
        <v>4.5</v>
      </c>
      <c r="M2571" s="34">
        <v>39610</v>
      </c>
      <c r="N2571">
        <v>7.5</v>
      </c>
    </row>
    <row r="2572" spans="1:14" x14ac:dyDescent="0.2">
      <c r="A2572" s="34">
        <v>40769</v>
      </c>
      <c r="B2572">
        <v>4.5775199999999998</v>
      </c>
      <c r="C2572">
        <f t="shared" si="45"/>
        <v>4.3</v>
      </c>
      <c r="M2572" s="34">
        <v>39609</v>
      </c>
      <c r="N2572">
        <v>7.5</v>
      </c>
    </row>
    <row r="2573" spans="1:14" x14ac:dyDescent="0.2">
      <c r="A2573" s="34">
        <v>40768</v>
      </c>
      <c r="B2573">
        <v>4.5770920000000004</v>
      </c>
      <c r="C2573">
        <f t="shared" si="45"/>
        <v>4.3</v>
      </c>
      <c r="M2573" s="34">
        <v>39608</v>
      </c>
      <c r="N2573">
        <v>7.5</v>
      </c>
    </row>
    <row r="2574" spans="1:14" x14ac:dyDescent="0.2">
      <c r="A2574" s="34">
        <v>40767</v>
      </c>
      <c r="B2574">
        <v>4.5766640000000001</v>
      </c>
      <c r="C2574">
        <f t="shared" si="45"/>
        <v>4.3</v>
      </c>
      <c r="M2574" s="34">
        <v>39605</v>
      </c>
      <c r="N2574">
        <v>7.5</v>
      </c>
    </row>
    <row r="2575" spans="1:14" x14ac:dyDescent="0.2">
      <c r="A2575" s="34">
        <v>40766</v>
      </c>
      <c r="B2575">
        <v>4.5762359999999997</v>
      </c>
      <c r="C2575">
        <f t="shared" si="45"/>
        <v>4.43</v>
      </c>
      <c r="M2575" s="34">
        <v>39604</v>
      </c>
      <c r="N2575">
        <v>7.5</v>
      </c>
    </row>
    <row r="2576" spans="1:14" x14ac:dyDescent="0.2">
      <c r="A2576" s="34">
        <v>40765</v>
      </c>
      <c r="B2576">
        <v>4.5758080000000003</v>
      </c>
      <c r="C2576">
        <f t="shared" si="45"/>
        <v>4.45</v>
      </c>
      <c r="M2576" s="34">
        <v>39603</v>
      </c>
      <c r="N2576">
        <v>7.49</v>
      </c>
    </row>
    <row r="2577" spans="1:14" x14ac:dyDescent="0.2">
      <c r="A2577" s="34">
        <v>40764</v>
      </c>
      <c r="B2577">
        <v>4.5749069999999996</v>
      </c>
      <c r="C2577">
        <f t="shared" si="45"/>
        <v>4.43</v>
      </c>
      <c r="M2577" s="34">
        <v>39602</v>
      </c>
      <c r="N2577">
        <v>7.5</v>
      </c>
    </row>
    <row r="2578" spans="1:14" x14ac:dyDescent="0.2">
      <c r="A2578" s="34">
        <v>40763</v>
      </c>
      <c r="B2578">
        <v>4.5740069999999999</v>
      </c>
      <c r="C2578">
        <f t="shared" si="45"/>
        <v>4.45</v>
      </c>
      <c r="M2578" s="34">
        <v>39601</v>
      </c>
      <c r="N2578">
        <v>7.5</v>
      </c>
    </row>
    <row r="2579" spans="1:14" x14ac:dyDescent="0.2">
      <c r="A2579" s="34">
        <v>40762</v>
      </c>
      <c r="B2579">
        <v>4.5731060000000001</v>
      </c>
      <c r="C2579">
        <f t="shared" si="45"/>
        <v>4.45</v>
      </c>
      <c r="M2579" s="34">
        <v>39598</v>
      </c>
      <c r="N2579">
        <v>7.55</v>
      </c>
    </row>
    <row r="2580" spans="1:14" x14ac:dyDescent="0.2">
      <c r="A2580" s="34">
        <v>40761</v>
      </c>
      <c r="B2580">
        <v>4.5722060000000004</v>
      </c>
      <c r="C2580">
        <f t="shared" si="45"/>
        <v>4.45</v>
      </c>
      <c r="M2580" s="34">
        <v>39597</v>
      </c>
      <c r="N2580">
        <v>7.15</v>
      </c>
    </row>
    <row r="2581" spans="1:14" x14ac:dyDescent="0.2">
      <c r="A2581" s="34">
        <v>40760</v>
      </c>
      <c r="B2581">
        <v>4.5713049999999997</v>
      </c>
      <c r="C2581">
        <f t="shared" si="45"/>
        <v>4.45</v>
      </c>
      <c r="M2581" s="34">
        <v>39596</v>
      </c>
      <c r="N2581">
        <v>7.49</v>
      </c>
    </row>
    <row r="2582" spans="1:14" x14ac:dyDescent="0.2">
      <c r="A2582" s="34">
        <v>40759</v>
      </c>
      <c r="B2582">
        <v>4.5704050000000001</v>
      </c>
      <c r="C2582">
        <f t="shared" si="45"/>
        <v>4.43</v>
      </c>
      <c r="M2582" s="34">
        <v>39595</v>
      </c>
      <c r="N2582">
        <v>7.4</v>
      </c>
    </row>
    <row r="2583" spans="1:14" x14ac:dyDescent="0.2">
      <c r="A2583" s="34">
        <v>40758</v>
      </c>
      <c r="B2583">
        <v>4.5695050000000004</v>
      </c>
      <c r="C2583">
        <f t="shared" si="45"/>
        <v>4.4400000000000004</v>
      </c>
      <c r="M2583" s="34">
        <v>39594</v>
      </c>
      <c r="N2583">
        <v>7.6</v>
      </c>
    </row>
    <row r="2584" spans="1:14" x14ac:dyDescent="0.2">
      <c r="A2584" s="34">
        <v>40757</v>
      </c>
      <c r="B2584">
        <v>4.5686049999999998</v>
      </c>
      <c r="C2584">
        <f t="shared" si="45"/>
        <v>4.43</v>
      </c>
      <c r="M2584" s="34">
        <v>39591</v>
      </c>
      <c r="N2584">
        <v>7.47</v>
      </c>
    </row>
    <row r="2585" spans="1:14" x14ac:dyDescent="0.2">
      <c r="A2585" s="34">
        <v>40756</v>
      </c>
      <c r="B2585">
        <v>4.5677060000000003</v>
      </c>
      <c r="C2585">
        <f t="shared" si="45"/>
        <v>4.45</v>
      </c>
      <c r="M2585" s="34">
        <v>39590</v>
      </c>
      <c r="N2585">
        <v>7.45</v>
      </c>
    </row>
    <row r="2586" spans="1:14" x14ac:dyDescent="0.2">
      <c r="A2586" s="34">
        <v>40755</v>
      </c>
      <c r="B2586">
        <v>4.5668069999999998</v>
      </c>
      <c r="C2586">
        <f t="shared" si="45"/>
        <v>4.45</v>
      </c>
      <c r="M2586" s="34">
        <v>39589</v>
      </c>
      <c r="N2586">
        <v>7.4</v>
      </c>
    </row>
    <row r="2587" spans="1:14" x14ac:dyDescent="0.2">
      <c r="A2587" s="34">
        <v>40754</v>
      </c>
      <c r="B2587">
        <v>4.5659070000000002</v>
      </c>
      <c r="C2587">
        <f t="shared" si="45"/>
        <v>4.45</v>
      </c>
      <c r="M2587" s="34">
        <v>39588</v>
      </c>
      <c r="N2587">
        <v>7.5</v>
      </c>
    </row>
    <row r="2588" spans="1:14" x14ac:dyDescent="0.2">
      <c r="A2588" s="34">
        <v>40753</v>
      </c>
      <c r="B2588">
        <v>4.5650079999999997</v>
      </c>
      <c r="C2588">
        <f t="shared" si="45"/>
        <v>4.45</v>
      </c>
      <c r="M2588" s="34">
        <v>39587</v>
      </c>
      <c r="N2588">
        <v>7.51</v>
      </c>
    </row>
    <row r="2589" spans="1:14" x14ac:dyDescent="0.2">
      <c r="A2589" s="34">
        <v>40752</v>
      </c>
      <c r="B2589">
        <v>4.5641090000000002</v>
      </c>
      <c r="C2589">
        <f t="shared" si="45"/>
        <v>4.3499999999999996</v>
      </c>
      <c r="M2589" s="34">
        <v>39584</v>
      </c>
      <c r="N2589">
        <v>7.48</v>
      </c>
    </row>
    <row r="2590" spans="1:14" x14ac:dyDescent="0.2">
      <c r="A2590" s="34">
        <v>40751</v>
      </c>
      <c r="B2590">
        <v>4.5632109999999999</v>
      </c>
      <c r="C2590">
        <f t="shared" si="45"/>
        <v>4.38</v>
      </c>
      <c r="M2590" s="34">
        <v>39583</v>
      </c>
      <c r="N2590">
        <v>7.51</v>
      </c>
    </row>
    <row r="2591" spans="1:14" x14ac:dyDescent="0.2">
      <c r="A2591" s="34">
        <v>40750</v>
      </c>
      <c r="B2591">
        <v>4.5623120000000004</v>
      </c>
      <c r="C2591">
        <f t="shared" si="45"/>
        <v>4.45</v>
      </c>
      <c r="M2591" s="34">
        <v>39582</v>
      </c>
      <c r="N2591">
        <v>7.51</v>
      </c>
    </row>
    <row r="2592" spans="1:14" x14ac:dyDescent="0.2">
      <c r="A2592" s="34">
        <v>40749</v>
      </c>
      <c r="B2592">
        <v>4.5614140000000001</v>
      </c>
      <c r="C2592">
        <f t="shared" si="45"/>
        <v>4.46</v>
      </c>
      <c r="M2592" s="34">
        <v>39581</v>
      </c>
      <c r="N2592">
        <v>7.46</v>
      </c>
    </row>
    <row r="2593" spans="1:14" x14ac:dyDescent="0.2">
      <c r="A2593" s="34">
        <v>40748</v>
      </c>
      <c r="B2593">
        <v>4.5608389999999996</v>
      </c>
      <c r="C2593">
        <f t="shared" si="45"/>
        <v>4.46</v>
      </c>
      <c r="M2593" s="34">
        <v>39580</v>
      </c>
      <c r="N2593">
        <v>7.49</v>
      </c>
    </row>
    <row r="2594" spans="1:14" x14ac:dyDescent="0.2">
      <c r="A2594" s="34">
        <v>40747</v>
      </c>
      <c r="B2594">
        <v>4.5602650000000002</v>
      </c>
      <c r="C2594">
        <f t="shared" si="45"/>
        <v>4.46</v>
      </c>
      <c r="M2594" s="34">
        <v>39577</v>
      </c>
      <c r="N2594">
        <v>7.5</v>
      </c>
    </row>
    <row r="2595" spans="1:14" x14ac:dyDescent="0.2">
      <c r="A2595" s="34">
        <v>40746</v>
      </c>
      <c r="B2595">
        <v>4.5596909999999999</v>
      </c>
      <c r="C2595">
        <f t="shared" si="45"/>
        <v>4.46</v>
      </c>
      <c r="M2595" s="34">
        <v>39576</v>
      </c>
      <c r="N2595">
        <v>7.5</v>
      </c>
    </row>
    <row r="2596" spans="1:14" x14ac:dyDescent="0.2">
      <c r="A2596" s="34">
        <v>40745</v>
      </c>
      <c r="B2596">
        <v>4.5591160000000004</v>
      </c>
      <c r="C2596">
        <f t="shared" si="45"/>
        <v>4.45</v>
      </c>
      <c r="M2596" s="34">
        <v>39575</v>
      </c>
      <c r="N2596">
        <v>7.51</v>
      </c>
    </row>
    <row r="2597" spans="1:14" x14ac:dyDescent="0.2">
      <c r="A2597" s="34">
        <v>40744</v>
      </c>
      <c r="B2597">
        <v>4.5585420000000001</v>
      </c>
      <c r="C2597">
        <f t="shared" si="45"/>
        <v>4.5</v>
      </c>
      <c r="M2597" s="34">
        <v>39574</v>
      </c>
      <c r="N2597">
        <v>7.4</v>
      </c>
    </row>
    <row r="2598" spans="1:14" x14ac:dyDescent="0.2">
      <c r="A2598" s="34">
        <v>40743</v>
      </c>
      <c r="B2598">
        <v>4.5579679999999998</v>
      </c>
      <c r="C2598">
        <f t="shared" si="45"/>
        <v>4.49</v>
      </c>
      <c r="M2598" s="34">
        <v>39573</v>
      </c>
      <c r="N2598">
        <v>7.4</v>
      </c>
    </row>
    <row r="2599" spans="1:14" x14ac:dyDescent="0.2">
      <c r="A2599" s="34">
        <v>40742</v>
      </c>
      <c r="B2599">
        <v>4.5573940000000004</v>
      </c>
      <c r="C2599">
        <f t="shared" si="45"/>
        <v>4.4800000000000004</v>
      </c>
      <c r="M2599" s="34">
        <v>39570</v>
      </c>
      <c r="N2599">
        <v>7.5</v>
      </c>
    </row>
    <row r="2600" spans="1:14" x14ac:dyDescent="0.2">
      <c r="A2600" s="34">
        <v>40741</v>
      </c>
      <c r="B2600">
        <v>4.5568200000000001</v>
      </c>
      <c r="C2600">
        <f t="shared" si="45"/>
        <v>4.5</v>
      </c>
      <c r="M2600" s="34">
        <v>39568</v>
      </c>
      <c r="N2600">
        <v>7.6</v>
      </c>
    </row>
    <row r="2601" spans="1:14" x14ac:dyDescent="0.2">
      <c r="A2601" s="34">
        <v>40740</v>
      </c>
      <c r="B2601">
        <v>4.5562459999999998</v>
      </c>
      <c r="C2601">
        <f t="shared" si="45"/>
        <v>4.5</v>
      </c>
      <c r="M2601" s="34">
        <v>39567</v>
      </c>
      <c r="N2601">
        <v>7.5</v>
      </c>
    </row>
    <row r="2602" spans="1:14" x14ac:dyDescent="0.2">
      <c r="A2602" s="34">
        <v>40739</v>
      </c>
      <c r="B2602">
        <v>4.5556720000000004</v>
      </c>
      <c r="C2602">
        <f t="shared" si="45"/>
        <v>4.5</v>
      </c>
      <c r="M2602" s="34">
        <v>39566</v>
      </c>
      <c r="N2602">
        <v>7.5</v>
      </c>
    </row>
    <row r="2603" spans="1:14" x14ac:dyDescent="0.2">
      <c r="A2603" s="34">
        <v>40738</v>
      </c>
      <c r="B2603">
        <v>4.5550990000000002</v>
      </c>
      <c r="C2603">
        <f t="shared" si="45"/>
        <v>4.49</v>
      </c>
      <c r="M2603" s="34">
        <v>39563</v>
      </c>
      <c r="N2603">
        <v>7.45</v>
      </c>
    </row>
    <row r="2604" spans="1:14" x14ac:dyDescent="0.2">
      <c r="A2604" s="34">
        <v>40737</v>
      </c>
      <c r="B2604">
        <v>4.5545249999999999</v>
      </c>
      <c r="C2604">
        <f t="shared" si="45"/>
        <v>4.4800000000000004</v>
      </c>
      <c r="M2604" s="34">
        <v>39562</v>
      </c>
      <c r="N2604">
        <v>7.49</v>
      </c>
    </row>
    <row r="2605" spans="1:14" x14ac:dyDescent="0.2">
      <c r="A2605" s="34">
        <v>40736</v>
      </c>
      <c r="B2605">
        <v>4.5539509999999996</v>
      </c>
      <c r="C2605">
        <f t="shared" si="45"/>
        <v>4.45</v>
      </c>
      <c r="M2605" s="34">
        <v>39561</v>
      </c>
      <c r="N2605">
        <v>7.48</v>
      </c>
    </row>
    <row r="2606" spans="1:14" x14ac:dyDescent="0.2">
      <c r="A2606" s="34">
        <v>40735</v>
      </c>
      <c r="B2606">
        <v>4.5533780000000004</v>
      </c>
      <c r="C2606">
        <f t="shared" si="45"/>
        <v>4.47</v>
      </c>
      <c r="M2606" s="34">
        <v>39560</v>
      </c>
      <c r="N2606">
        <v>7.3</v>
      </c>
    </row>
    <row r="2607" spans="1:14" x14ac:dyDescent="0.2">
      <c r="A2607" s="34">
        <v>40734</v>
      </c>
      <c r="B2607">
        <v>4.5528040000000001</v>
      </c>
      <c r="C2607">
        <f t="shared" si="45"/>
        <v>4.5</v>
      </c>
      <c r="M2607" s="34">
        <v>39559</v>
      </c>
      <c r="N2607">
        <v>7.48</v>
      </c>
    </row>
    <row r="2608" spans="1:14" x14ac:dyDescent="0.2">
      <c r="A2608" s="34">
        <v>40733</v>
      </c>
      <c r="B2608">
        <v>4.5529710000000003</v>
      </c>
      <c r="C2608">
        <f t="shared" si="45"/>
        <v>4.5</v>
      </c>
      <c r="M2608" s="34">
        <v>39556</v>
      </c>
      <c r="N2608">
        <v>7.5</v>
      </c>
    </row>
    <row r="2609" spans="1:14" x14ac:dyDescent="0.2">
      <c r="A2609" s="34">
        <v>40732</v>
      </c>
      <c r="B2609">
        <v>4.5531379999999997</v>
      </c>
      <c r="C2609">
        <f t="shared" si="45"/>
        <v>4.5</v>
      </c>
      <c r="M2609" s="34">
        <v>39555</v>
      </c>
      <c r="N2609">
        <v>7.45</v>
      </c>
    </row>
    <row r="2610" spans="1:14" x14ac:dyDescent="0.2">
      <c r="A2610" s="34">
        <v>40731</v>
      </c>
      <c r="B2610">
        <v>4.5533049999999999</v>
      </c>
      <c r="C2610">
        <f t="shared" si="45"/>
        <v>4.45</v>
      </c>
      <c r="M2610" s="34">
        <v>39554</v>
      </c>
      <c r="N2610">
        <v>7.5</v>
      </c>
    </row>
    <row r="2611" spans="1:14" x14ac:dyDescent="0.2">
      <c r="A2611" s="34">
        <v>40730</v>
      </c>
      <c r="B2611">
        <v>4.5534720000000002</v>
      </c>
      <c r="C2611">
        <f t="shared" si="45"/>
        <v>4.47</v>
      </c>
      <c r="M2611" s="34">
        <v>39553</v>
      </c>
      <c r="N2611">
        <v>7.53</v>
      </c>
    </row>
    <row r="2612" spans="1:14" x14ac:dyDescent="0.2">
      <c r="A2612" s="34">
        <v>40729</v>
      </c>
      <c r="B2612">
        <v>4.5536390000000004</v>
      </c>
      <c r="C2612">
        <f t="shared" si="45"/>
        <v>4.47</v>
      </c>
      <c r="M2612" s="34">
        <v>39552</v>
      </c>
      <c r="N2612">
        <v>7.48</v>
      </c>
    </row>
    <row r="2613" spans="1:14" x14ac:dyDescent="0.2">
      <c r="A2613" s="34">
        <v>40728</v>
      </c>
      <c r="B2613">
        <v>4.5538059999999998</v>
      </c>
      <c r="C2613">
        <f t="shared" si="45"/>
        <v>4.3</v>
      </c>
      <c r="M2613" s="34">
        <v>39549</v>
      </c>
      <c r="N2613">
        <v>7.5</v>
      </c>
    </row>
    <row r="2614" spans="1:14" x14ac:dyDescent="0.2">
      <c r="A2614" s="34">
        <v>40727</v>
      </c>
      <c r="B2614">
        <v>4.553973</v>
      </c>
      <c r="C2614">
        <f t="shared" si="45"/>
        <v>4.47</v>
      </c>
      <c r="M2614" s="34">
        <v>39548</v>
      </c>
      <c r="N2614">
        <v>7.47</v>
      </c>
    </row>
    <row r="2615" spans="1:14" x14ac:dyDescent="0.2">
      <c r="A2615" s="34">
        <v>40726</v>
      </c>
      <c r="B2615">
        <v>4.5541400000000003</v>
      </c>
      <c r="C2615">
        <f t="shared" si="45"/>
        <v>4.47</v>
      </c>
      <c r="M2615" s="34">
        <v>39547</v>
      </c>
      <c r="N2615">
        <v>7.45</v>
      </c>
    </row>
    <row r="2616" spans="1:14" x14ac:dyDescent="0.2">
      <c r="A2616" s="34">
        <v>40725</v>
      </c>
      <c r="B2616">
        <v>4.5543069999999997</v>
      </c>
      <c r="C2616">
        <f t="shared" si="45"/>
        <v>4.47</v>
      </c>
      <c r="M2616" s="34">
        <v>39546</v>
      </c>
      <c r="N2616">
        <v>7.45</v>
      </c>
    </row>
    <row r="2617" spans="1:14" x14ac:dyDescent="0.2">
      <c r="A2617" s="34">
        <v>40724</v>
      </c>
      <c r="B2617">
        <v>4.5544750000000001</v>
      </c>
      <c r="C2617">
        <f t="shared" si="45"/>
        <v>4.4800000000000004</v>
      </c>
      <c r="M2617" s="34">
        <v>39545</v>
      </c>
      <c r="N2617">
        <v>7.47</v>
      </c>
    </row>
    <row r="2618" spans="1:14" x14ac:dyDescent="0.2">
      <c r="A2618" s="34">
        <v>40723</v>
      </c>
      <c r="B2618">
        <v>4.5546420000000003</v>
      </c>
      <c r="C2618">
        <f t="shared" si="45"/>
        <v>4.45</v>
      </c>
      <c r="M2618" s="34">
        <v>39542</v>
      </c>
      <c r="N2618">
        <v>7.45</v>
      </c>
    </row>
    <row r="2619" spans="1:14" x14ac:dyDescent="0.2">
      <c r="A2619" s="34">
        <v>40722</v>
      </c>
      <c r="B2619">
        <v>4.5548089999999997</v>
      </c>
      <c r="C2619">
        <f t="shared" si="45"/>
        <v>4.45</v>
      </c>
      <c r="M2619" s="34">
        <v>39541</v>
      </c>
      <c r="N2619">
        <v>7.46</v>
      </c>
    </row>
    <row r="2620" spans="1:14" x14ac:dyDescent="0.2">
      <c r="A2620" s="34">
        <v>40721</v>
      </c>
      <c r="B2620">
        <v>4.5549759999999999</v>
      </c>
      <c r="C2620">
        <f t="shared" si="45"/>
        <v>4.47</v>
      </c>
      <c r="M2620" s="34">
        <v>39540</v>
      </c>
      <c r="N2620">
        <v>7.48</v>
      </c>
    </row>
    <row r="2621" spans="1:14" x14ac:dyDescent="0.2">
      <c r="A2621" s="34">
        <v>40720</v>
      </c>
      <c r="B2621">
        <v>4.5551430000000002</v>
      </c>
      <c r="C2621">
        <f t="shared" si="45"/>
        <v>4.45</v>
      </c>
      <c r="M2621" s="34">
        <v>39539</v>
      </c>
      <c r="N2621">
        <v>7.45</v>
      </c>
    </row>
    <row r="2622" spans="1:14" x14ac:dyDescent="0.2">
      <c r="A2622" s="34">
        <v>40719</v>
      </c>
      <c r="B2622">
        <v>4.5553100000000004</v>
      </c>
      <c r="C2622">
        <f t="shared" si="45"/>
        <v>4.45</v>
      </c>
      <c r="M2622" s="34">
        <v>39538</v>
      </c>
      <c r="N2622">
        <v>7.53</v>
      </c>
    </row>
    <row r="2623" spans="1:14" x14ac:dyDescent="0.2">
      <c r="A2623" s="34">
        <v>40718</v>
      </c>
      <c r="B2623">
        <v>4.55558</v>
      </c>
      <c r="C2623">
        <f t="shared" si="45"/>
        <v>4.45</v>
      </c>
      <c r="M2623" s="34">
        <v>39535</v>
      </c>
      <c r="N2623">
        <v>7.45</v>
      </c>
    </row>
    <row r="2624" spans="1:14" x14ac:dyDescent="0.2">
      <c r="A2624" s="34">
        <v>40717</v>
      </c>
      <c r="B2624">
        <v>4.5558500000000004</v>
      </c>
      <c r="C2624">
        <f t="shared" si="45"/>
        <v>4.4800000000000004</v>
      </c>
      <c r="M2624" s="34">
        <v>39534</v>
      </c>
      <c r="N2624">
        <v>7.47</v>
      </c>
    </row>
    <row r="2625" spans="1:14" x14ac:dyDescent="0.2">
      <c r="A2625" s="34">
        <v>40716</v>
      </c>
      <c r="B2625">
        <v>4.5561199999999999</v>
      </c>
      <c r="C2625">
        <f t="shared" si="45"/>
        <v>4.4000000000000004</v>
      </c>
      <c r="M2625" s="34">
        <v>39533</v>
      </c>
      <c r="N2625">
        <v>7.47</v>
      </c>
    </row>
    <row r="2626" spans="1:14" x14ac:dyDescent="0.2">
      <c r="A2626" s="34">
        <v>40715</v>
      </c>
      <c r="B2626">
        <v>4.5563909999999996</v>
      </c>
      <c r="C2626">
        <f t="shared" ref="C2626:C2689" si="46">IFERROR(VLOOKUP(A2626,$M$2:$N$3695,2,0),C2627)</f>
        <v>4.4800000000000004</v>
      </c>
      <c r="M2626" s="34">
        <v>39532</v>
      </c>
      <c r="N2626">
        <v>7.47</v>
      </c>
    </row>
    <row r="2627" spans="1:14" x14ac:dyDescent="0.2">
      <c r="A2627" s="34">
        <v>40714</v>
      </c>
      <c r="B2627">
        <v>4.5566610000000001</v>
      </c>
      <c r="C2627">
        <f t="shared" si="46"/>
        <v>4.47</v>
      </c>
      <c r="M2627" s="34">
        <v>39531</v>
      </c>
      <c r="N2627">
        <v>6.95</v>
      </c>
    </row>
    <row r="2628" spans="1:14" x14ac:dyDescent="0.2">
      <c r="A2628" s="34">
        <v>40713</v>
      </c>
      <c r="B2628">
        <v>4.5569309999999996</v>
      </c>
      <c r="C2628">
        <f t="shared" si="46"/>
        <v>4.54</v>
      </c>
      <c r="M2628" s="34">
        <v>39526</v>
      </c>
      <c r="N2628">
        <v>7.5</v>
      </c>
    </row>
    <row r="2629" spans="1:14" x14ac:dyDescent="0.2">
      <c r="A2629" s="34">
        <v>40712</v>
      </c>
      <c r="B2629">
        <v>4.5572010000000001</v>
      </c>
      <c r="C2629">
        <f t="shared" si="46"/>
        <v>4.54</v>
      </c>
      <c r="M2629" s="34">
        <v>39525</v>
      </c>
      <c r="N2629">
        <v>7.54</v>
      </c>
    </row>
    <row r="2630" spans="1:14" x14ac:dyDescent="0.2">
      <c r="A2630" s="34">
        <v>40711</v>
      </c>
      <c r="B2630">
        <v>4.5574719999999997</v>
      </c>
      <c r="C2630">
        <f t="shared" si="46"/>
        <v>4.54</v>
      </c>
      <c r="M2630" s="34">
        <v>39521</v>
      </c>
      <c r="N2630">
        <v>7.53</v>
      </c>
    </row>
    <row r="2631" spans="1:14" x14ac:dyDescent="0.2">
      <c r="A2631" s="34">
        <v>40710</v>
      </c>
      <c r="B2631">
        <v>4.5577420000000002</v>
      </c>
      <c r="C2631">
        <f t="shared" si="46"/>
        <v>4.5599999999999996</v>
      </c>
      <c r="M2631" s="34">
        <v>39520</v>
      </c>
      <c r="N2631">
        <v>7.51</v>
      </c>
    </row>
    <row r="2632" spans="1:14" x14ac:dyDescent="0.2">
      <c r="A2632" s="34">
        <v>40709</v>
      </c>
      <c r="B2632">
        <v>4.5580119999999997</v>
      </c>
      <c r="C2632">
        <f t="shared" si="46"/>
        <v>4.55</v>
      </c>
      <c r="M2632" s="34">
        <v>39519</v>
      </c>
      <c r="N2632">
        <v>7.5</v>
      </c>
    </row>
    <row r="2633" spans="1:14" x14ac:dyDescent="0.2">
      <c r="A2633" s="34">
        <v>40708</v>
      </c>
      <c r="B2633">
        <v>4.5582830000000003</v>
      </c>
      <c r="C2633">
        <f t="shared" si="46"/>
        <v>4.45</v>
      </c>
      <c r="M2633" s="34">
        <v>39518</v>
      </c>
      <c r="N2633">
        <v>7.5</v>
      </c>
    </row>
    <row r="2634" spans="1:14" x14ac:dyDescent="0.2">
      <c r="A2634" s="34">
        <v>40707</v>
      </c>
      <c r="B2634">
        <v>4.5585529999999999</v>
      </c>
      <c r="C2634">
        <f t="shared" si="46"/>
        <v>4.4800000000000004</v>
      </c>
      <c r="M2634" s="34">
        <v>39517</v>
      </c>
      <c r="N2634">
        <v>7.48</v>
      </c>
    </row>
    <row r="2635" spans="1:14" x14ac:dyDescent="0.2">
      <c r="A2635" s="34">
        <v>40706</v>
      </c>
      <c r="B2635">
        <v>4.5588230000000003</v>
      </c>
      <c r="C2635">
        <f t="shared" si="46"/>
        <v>4.47</v>
      </c>
      <c r="M2635" s="34">
        <v>39514</v>
      </c>
      <c r="N2635">
        <v>7.5</v>
      </c>
    </row>
    <row r="2636" spans="1:14" x14ac:dyDescent="0.2">
      <c r="A2636" s="34">
        <v>40705</v>
      </c>
      <c r="B2636">
        <v>4.559094</v>
      </c>
      <c r="C2636">
        <f t="shared" si="46"/>
        <v>4.47</v>
      </c>
      <c r="M2636" s="34">
        <v>39513</v>
      </c>
      <c r="N2636">
        <v>7.51</v>
      </c>
    </row>
    <row r="2637" spans="1:14" x14ac:dyDescent="0.2">
      <c r="A2637" s="34">
        <v>40704</v>
      </c>
      <c r="B2637">
        <v>4.5593640000000004</v>
      </c>
      <c r="C2637">
        <f t="shared" si="46"/>
        <v>4.47</v>
      </c>
      <c r="M2637" s="34">
        <v>39512</v>
      </c>
      <c r="N2637">
        <v>7.45</v>
      </c>
    </row>
    <row r="2638" spans="1:14" x14ac:dyDescent="0.2">
      <c r="A2638" s="34">
        <v>40703</v>
      </c>
      <c r="B2638">
        <v>4.561509</v>
      </c>
      <c r="C2638">
        <f t="shared" si="46"/>
        <v>4.4800000000000004</v>
      </c>
      <c r="M2638" s="34">
        <v>39511</v>
      </c>
      <c r="N2638">
        <v>7.4</v>
      </c>
    </row>
    <row r="2639" spans="1:14" x14ac:dyDescent="0.2">
      <c r="A2639" s="34">
        <v>40702</v>
      </c>
      <c r="B2639">
        <v>4.5636549999999998</v>
      </c>
      <c r="C2639">
        <f t="shared" si="46"/>
        <v>4.4800000000000004</v>
      </c>
      <c r="M2639" s="34">
        <v>39510</v>
      </c>
      <c r="N2639">
        <v>7.45</v>
      </c>
    </row>
    <row r="2640" spans="1:14" x14ac:dyDescent="0.2">
      <c r="A2640" s="34">
        <v>40701</v>
      </c>
      <c r="B2640">
        <v>4.5658010000000004</v>
      </c>
      <c r="C2640">
        <f t="shared" si="46"/>
        <v>4.4800000000000004</v>
      </c>
      <c r="M2640" s="34">
        <v>39507</v>
      </c>
      <c r="N2640">
        <v>7.45</v>
      </c>
    </row>
    <row r="2641" spans="1:14" x14ac:dyDescent="0.2">
      <c r="A2641" s="34">
        <v>40700</v>
      </c>
      <c r="B2641">
        <v>4.5679489999999996</v>
      </c>
      <c r="C2641">
        <f t="shared" si="46"/>
        <v>4.47</v>
      </c>
      <c r="M2641" s="34">
        <v>39506</v>
      </c>
      <c r="N2641">
        <v>7.5</v>
      </c>
    </row>
    <row r="2642" spans="1:14" x14ac:dyDescent="0.2">
      <c r="A2642" s="34">
        <v>40699</v>
      </c>
      <c r="B2642">
        <v>4.5700979999999998</v>
      </c>
      <c r="C2642">
        <f t="shared" si="46"/>
        <v>4.43</v>
      </c>
      <c r="M2642" s="34">
        <v>39505</v>
      </c>
      <c r="N2642">
        <v>7.5</v>
      </c>
    </row>
    <row r="2643" spans="1:14" x14ac:dyDescent="0.2">
      <c r="A2643" s="34">
        <v>40698</v>
      </c>
      <c r="B2643">
        <v>4.5722480000000001</v>
      </c>
      <c r="C2643">
        <f t="shared" si="46"/>
        <v>4.43</v>
      </c>
      <c r="M2643" s="34">
        <v>39504</v>
      </c>
      <c r="N2643">
        <v>7.45</v>
      </c>
    </row>
    <row r="2644" spans="1:14" x14ac:dyDescent="0.2">
      <c r="A2644" s="34">
        <v>40697</v>
      </c>
      <c r="B2644">
        <v>4.5743989999999997</v>
      </c>
      <c r="C2644">
        <f t="shared" si="46"/>
        <v>4.43</v>
      </c>
      <c r="M2644" s="34">
        <v>39503</v>
      </c>
      <c r="N2644">
        <v>7.45</v>
      </c>
    </row>
    <row r="2645" spans="1:14" x14ac:dyDescent="0.2">
      <c r="A2645" s="34">
        <v>40696</v>
      </c>
      <c r="B2645">
        <v>4.5765500000000001</v>
      </c>
      <c r="C2645">
        <f t="shared" si="46"/>
        <v>4.46</v>
      </c>
      <c r="M2645" s="34">
        <v>39500</v>
      </c>
      <c r="N2645">
        <v>7.49</v>
      </c>
    </row>
    <row r="2646" spans="1:14" x14ac:dyDescent="0.2">
      <c r="A2646" s="34">
        <v>40695</v>
      </c>
      <c r="B2646">
        <v>4.578703</v>
      </c>
      <c r="C2646">
        <f t="shared" si="46"/>
        <v>4.42</v>
      </c>
      <c r="M2646" s="34">
        <v>39499</v>
      </c>
      <c r="N2646">
        <v>7.48</v>
      </c>
    </row>
    <row r="2647" spans="1:14" x14ac:dyDescent="0.2">
      <c r="A2647" s="34">
        <v>40694</v>
      </c>
      <c r="B2647">
        <v>4.580857</v>
      </c>
      <c r="C2647">
        <f t="shared" si="46"/>
        <v>4.4800000000000004</v>
      </c>
      <c r="M2647" s="34">
        <v>39498</v>
      </c>
      <c r="N2647">
        <v>7.45</v>
      </c>
    </row>
    <row r="2648" spans="1:14" x14ac:dyDescent="0.2">
      <c r="A2648" s="34">
        <v>40693</v>
      </c>
      <c r="B2648">
        <v>4.5830120000000001</v>
      </c>
      <c r="C2648">
        <f t="shared" si="46"/>
        <v>4.55</v>
      </c>
      <c r="M2648" s="34">
        <v>39497</v>
      </c>
      <c r="N2648">
        <v>7.5</v>
      </c>
    </row>
    <row r="2649" spans="1:14" x14ac:dyDescent="0.2">
      <c r="A2649" s="34">
        <v>40692</v>
      </c>
      <c r="B2649">
        <v>4.5851680000000004</v>
      </c>
      <c r="C2649">
        <f t="shared" si="46"/>
        <v>4.8</v>
      </c>
      <c r="M2649" s="34">
        <v>39496</v>
      </c>
      <c r="N2649">
        <v>7.55</v>
      </c>
    </row>
    <row r="2650" spans="1:14" x14ac:dyDescent="0.2">
      <c r="A2650" s="34">
        <v>40691</v>
      </c>
      <c r="B2650">
        <v>4.5873249999999999</v>
      </c>
      <c r="C2650">
        <f t="shared" si="46"/>
        <v>4.8</v>
      </c>
      <c r="M2650" s="34">
        <v>39493</v>
      </c>
      <c r="N2650">
        <v>7.51</v>
      </c>
    </row>
    <row r="2651" spans="1:14" x14ac:dyDescent="0.2">
      <c r="A2651" s="34">
        <v>40690</v>
      </c>
      <c r="B2651">
        <v>4.5894830000000004</v>
      </c>
      <c r="C2651">
        <f t="shared" si="46"/>
        <v>4.8</v>
      </c>
      <c r="M2651" s="34">
        <v>39492</v>
      </c>
      <c r="N2651">
        <v>7.5</v>
      </c>
    </row>
    <row r="2652" spans="1:14" x14ac:dyDescent="0.2">
      <c r="A2652" s="34">
        <v>40689</v>
      </c>
      <c r="B2652">
        <v>4.5916420000000002</v>
      </c>
      <c r="C2652">
        <f t="shared" si="46"/>
        <v>4.5</v>
      </c>
      <c r="M2652" s="34">
        <v>39491</v>
      </c>
      <c r="N2652">
        <v>7.4</v>
      </c>
    </row>
    <row r="2653" spans="1:14" x14ac:dyDescent="0.2">
      <c r="A2653" s="34">
        <v>40688</v>
      </c>
      <c r="B2653">
        <v>4.5938020000000002</v>
      </c>
      <c r="C2653">
        <f t="shared" si="46"/>
        <v>4.4000000000000004</v>
      </c>
      <c r="M2653" s="34">
        <v>39490</v>
      </c>
      <c r="N2653">
        <v>7.5</v>
      </c>
    </row>
    <row r="2654" spans="1:14" x14ac:dyDescent="0.2">
      <c r="A2654" s="34">
        <v>40687</v>
      </c>
      <c r="B2654">
        <v>4.593458</v>
      </c>
      <c r="C2654">
        <f t="shared" si="46"/>
        <v>4.43</v>
      </c>
      <c r="M2654" s="34">
        <v>39489</v>
      </c>
      <c r="N2654">
        <v>7.5</v>
      </c>
    </row>
    <row r="2655" spans="1:14" x14ac:dyDescent="0.2">
      <c r="A2655" s="34">
        <v>40686</v>
      </c>
      <c r="B2655">
        <v>4.5931150000000001</v>
      </c>
      <c r="C2655">
        <f t="shared" si="46"/>
        <v>4.46</v>
      </c>
      <c r="M2655" s="34">
        <v>39486</v>
      </c>
      <c r="N2655">
        <v>7.48</v>
      </c>
    </row>
    <row r="2656" spans="1:14" x14ac:dyDescent="0.2">
      <c r="A2656" s="34">
        <v>40685</v>
      </c>
      <c r="B2656">
        <v>4.5927720000000001</v>
      </c>
      <c r="C2656">
        <f t="shared" si="46"/>
        <v>4.46</v>
      </c>
      <c r="M2656" s="34">
        <v>39485</v>
      </c>
      <c r="N2656">
        <v>7.4</v>
      </c>
    </row>
    <row r="2657" spans="1:14" x14ac:dyDescent="0.2">
      <c r="A2657" s="34">
        <v>40684</v>
      </c>
      <c r="B2657">
        <v>4.5924290000000001</v>
      </c>
      <c r="C2657">
        <f t="shared" si="46"/>
        <v>4.46</v>
      </c>
      <c r="M2657" s="34">
        <v>39484</v>
      </c>
      <c r="N2657">
        <v>7.45</v>
      </c>
    </row>
    <row r="2658" spans="1:14" x14ac:dyDescent="0.2">
      <c r="A2658" s="34">
        <v>40683</v>
      </c>
      <c r="B2658">
        <v>4.592085</v>
      </c>
      <c r="C2658">
        <f t="shared" si="46"/>
        <v>4.46</v>
      </c>
      <c r="M2658" s="34">
        <v>39483</v>
      </c>
      <c r="N2658">
        <v>7.53</v>
      </c>
    </row>
    <row r="2659" spans="1:14" x14ac:dyDescent="0.2">
      <c r="A2659" s="34">
        <v>40682</v>
      </c>
      <c r="B2659">
        <v>4.591742</v>
      </c>
      <c r="C2659">
        <f t="shared" si="46"/>
        <v>4.46</v>
      </c>
      <c r="M2659" s="34">
        <v>39479</v>
      </c>
      <c r="N2659">
        <v>7.4</v>
      </c>
    </row>
    <row r="2660" spans="1:14" x14ac:dyDescent="0.2">
      <c r="A2660" s="34">
        <v>40681</v>
      </c>
      <c r="B2660">
        <v>4.591399</v>
      </c>
      <c r="C2660">
        <f t="shared" si="46"/>
        <v>4.9000000000000004</v>
      </c>
      <c r="M2660" s="34">
        <v>39478</v>
      </c>
      <c r="N2660">
        <v>7.5</v>
      </c>
    </row>
    <row r="2661" spans="1:14" x14ac:dyDescent="0.2">
      <c r="A2661" s="34">
        <v>40680</v>
      </c>
      <c r="B2661">
        <v>4.591056</v>
      </c>
      <c r="C2661">
        <f t="shared" si="46"/>
        <v>4.49</v>
      </c>
      <c r="M2661" s="34">
        <v>39477</v>
      </c>
      <c r="N2661">
        <v>7.5</v>
      </c>
    </row>
    <row r="2662" spans="1:14" x14ac:dyDescent="0.2">
      <c r="A2662" s="34">
        <v>40679</v>
      </c>
      <c r="B2662">
        <v>4.590713</v>
      </c>
      <c r="C2662">
        <f t="shared" si="46"/>
        <v>4.07</v>
      </c>
      <c r="M2662" s="34">
        <v>39476</v>
      </c>
      <c r="N2662">
        <v>7.55</v>
      </c>
    </row>
    <row r="2663" spans="1:14" x14ac:dyDescent="0.2">
      <c r="A2663" s="34">
        <v>40678</v>
      </c>
      <c r="B2663">
        <v>4.5903700000000001</v>
      </c>
      <c r="C2663">
        <f t="shared" si="46"/>
        <v>4.4800000000000004</v>
      </c>
      <c r="M2663" s="34">
        <v>39475</v>
      </c>
      <c r="N2663">
        <v>7.55</v>
      </c>
    </row>
    <row r="2664" spans="1:14" x14ac:dyDescent="0.2">
      <c r="A2664" s="34">
        <v>40677</v>
      </c>
      <c r="B2664">
        <v>4.5900259999999999</v>
      </c>
      <c r="C2664">
        <f t="shared" si="46"/>
        <v>4.4800000000000004</v>
      </c>
      <c r="M2664" s="34">
        <v>39472</v>
      </c>
      <c r="N2664">
        <v>7.5</v>
      </c>
    </row>
    <row r="2665" spans="1:14" x14ac:dyDescent="0.2">
      <c r="A2665" s="34">
        <v>40676</v>
      </c>
      <c r="B2665">
        <v>4.589683</v>
      </c>
      <c r="C2665">
        <f t="shared" si="46"/>
        <v>4.4800000000000004</v>
      </c>
      <c r="M2665" s="34">
        <v>39471</v>
      </c>
      <c r="N2665">
        <v>7.5</v>
      </c>
    </row>
    <row r="2666" spans="1:14" x14ac:dyDescent="0.2">
      <c r="A2666" s="34">
        <v>40675</v>
      </c>
      <c r="B2666">
        <v>4.58934</v>
      </c>
      <c r="C2666">
        <f t="shared" si="46"/>
        <v>4.5</v>
      </c>
      <c r="M2666" s="34">
        <v>39470</v>
      </c>
      <c r="N2666">
        <v>7.5</v>
      </c>
    </row>
    <row r="2667" spans="1:14" x14ac:dyDescent="0.2">
      <c r="A2667" s="34">
        <v>40674</v>
      </c>
      <c r="B2667">
        <v>4.588997</v>
      </c>
      <c r="C2667">
        <f t="shared" si="46"/>
        <v>4.5</v>
      </c>
      <c r="M2667" s="34">
        <v>39469</v>
      </c>
      <c r="N2667">
        <v>7.5</v>
      </c>
    </row>
    <row r="2668" spans="1:14" x14ac:dyDescent="0.2">
      <c r="A2668" s="34">
        <v>40673</v>
      </c>
      <c r="B2668">
        <v>4.588654</v>
      </c>
      <c r="C2668">
        <f t="shared" si="46"/>
        <v>4.5</v>
      </c>
      <c r="M2668" s="34">
        <v>39468</v>
      </c>
      <c r="N2668">
        <v>7.5</v>
      </c>
    </row>
    <row r="2669" spans="1:14" x14ac:dyDescent="0.2">
      <c r="A2669" s="34">
        <v>40672</v>
      </c>
      <c r="B2669">
        <v>4.5889309999999996</v>
      </c>
      <c r="C2669">
        <f t="shared" si="46"/>
        <v>4.4000000000000004</v>
      </c>
      <c r="M2669" s="34">
        <v>39465</v>
      </c>
      <c r="N2669">
        <v>7.5</v>
      </c>
    </row>
    <row r="2670" spans="1:14" x14ac:dyDescent="0.2">
      <c r="A2670" s="34">
        <v>40671</v>
      </c>
      <c r="B2670">
        <v>4.589207</v>
      </c>
      <c r="C2670">
        <f t="shared" si="46"/>
        <v>4.4400000000000004</v>
      </c>
      <c r="M2670" s="34">
        <v>39464</v>
      </c>
      <c r="N2670">
        <v>7.54</v>
      </c>
    </row>
    <row r="2671" spans="1:14" x14ac:dyDescent="0.2">
      <c r="A2671" s="34">
        <v>40670</v>
      </c>
      <c r="B2671">
        <v>4.5894830000000004</v>
      </c>
      <c r="C2671">
        <f t="shared" si="46"/>
        <v>4.4400000000000004</v>
      </c>
      <c r="M2671" s="34">
        <v>39463</v>
      </c>
      <c r="N2671">
        <v>7.48</v>
      </c>
    </row>
    <row r="2672" spans="1:14" x14ac:dyDescent="0.2">
      <c r="A2672" s="34">
        <v>40669</v>
      </c>
      <c r="B2672">
        <v>4.5897589999999999</v>
      </c>
      <c r="C2672">
        <f t="shared" si="46"/>
        <v>4.4400000000000004</v>
      </c>
      <c r="M2672" s="34">
        <v>39462</v>
      </c>
      <c r="N2672">
        <v>7.5</v>
      </c>
    </row>
    <row r="2673" spans="1:14" x14ac:dyDescent="0.2">
      <c r="A2673" s="34">
        <v>40668</v>
      </c>
      <c r="B2673">
        <v>4.5900359999999996</v>
      </c>
      <c r="C2673">
        <f t="shared" si="46"/>
        <v>4.47</v>
      </c>
      <c r="M2673" s="34">
        <v>39461</v>
      </c>
      <c r="N2673">
        <v>7.5</v>
      </c>
    </row>
    <row r="2674" spans="1:14" x14ac:dyDescent="0.2">
      <c r="A2674" s="34">
        <v>40667</v>
      </c>
      <c r="B2674">
        <v>4.5903119999999999</v>
      </c>
      <c r="C2674">
        <f t="shared" si="46"/>
        <v>4.51</v>
      </c>
      <c r="M2674" s="34">
        <v>39458</v>
      </c>
      <c r="N2674">
        <v>7.5</v>
      </c>
    </row>
    <row r="2675" spans="1:14" x14ac:dyDescent="0.2">
      <c r="A2675" s="34">
        <v>40666</v>
      </c>
      <c r="B2675">
        <v>4.5905880000000003</v>
      </c>
      <c r="C2675">
        <f t="shared" si="46"/>
        <v>4.47</v>
      </c>
      <c r="M2675" s="34">
        <v>39457</v>
      </c>
      <c r="N2675">
        <v>7.52</v>
      </c>
    </row>
    <row r="2676" spans="1:14" x14ac:dyDescent="0.2">
      <c r="A2676" s="34">
        <v>40665</v>
      </c>
      <c r="B2676">
        <v>4.590865</v>
      </c>
      <c r="C2676">
        <f t="shared" si="46"/>
        <v>4.5</v>
      </c>
      <c r="M2676" s="34">
        <v>39456</v>
      </c>
      <c r="N2676">
        <v>7.51</v>
      </c>
    </row>
    <row r="2677" spans="1:14" x14ac:dyDescent="0.2">
      <c r="A2677" s="34">
        <v>40664</v>
      </c>
      <c r="B2677">
        <v>4.5911410000000004</v>
      </c>
      <c r="C2677">
        <f t="shared" si="46"/>
        <v>4.5</v>
      </c>
      <c r="M2677" s="34">
        <v>39455</v>
      </c>
      <c r="N2677">
        <v>7.45</v>
      </c>
    </row>
    <row r="2678" spans="1:14" x14ac:dyDescent="0.2">
      <c r="A2678" s="34">
        <v>40663</v>
      </c>
      <c r="B2678">
        <v>4.5914169999999999</v>
      </c>
      <c r="C2678">
        <f t="shared" si="46"/>
        <v>4.5</v>
      </c>
      <c r="M2678" s="34">
        <v>39454</v>
      </c>
      <c r="N2678">
        <v>7.35</v>
      </c>
    </row>
    <row r="2679" spans="1:14" x14ac:dyDescent="0.2">
      <c r="A2679" s="34">
        <v>40662</v>
      </c>
      <c r="B2679">
        <v>4.5916940000000004</v>
      </c>
      <c r="C2679">
        <f t="shared" si="46"/>
        <v>4.5</v>
      </c>
      <c r="M2679" s="34">
        <v>39451</v>
      </c>
      <c r="N2679">
        <v>7.45</v>
      </c>
    </row>
    <row r="2680" spans="1:14" x14ac:dyDescent="0.2">
      <c r="A2680" s="34">
        <v>40661</v>
      </c>
      <c r="B2680">
        <v>4.5919699999999999</v>
      </c>
      <c r="C2680">
        <f t="shared" si="46"/>
        <v>4.5</v>
      </c>
      <c r="M2680" s="34">
        <v>39450</v>
      </c>
      <c r="N2680">
        <v>7.5</v>
      </c>
    </row>
    <row r="2681" spans="1:14" x14ac:dyDescent="0.2">
      <c r="A2681" s="34">
        <v>40660</v>
      </c>
      <c r="B2681">
        <v>4.5922470000000004</v>
      </c>
      <c r="C2681">
        <f t="shared" si="46"/>
        <v>4.53</v>
      </c>
      <c r="M2681" s="34">
        <v>39449</v>
      </c>
      <c r="N2681">
        <v>7.51</v>
      </c>
    </row>
    <row r="2682" spans="1:14" x14ac:dyDescent="0.2">
      <c r="A2682" s="34">
        <v>40659</v>
      </c>
      <c r="B2682">
        <v>4.5925229999999999</v>
      </c>
      <c r="C2682">
        <f t="shared" si="46"/>
        <v>4.45</v>
      </c>
      <c r="M2682" s="34">
        <v>39447</v>
      </c>
      <c r="N2682">
        <v>7.65</v>
      </c>
    </row>
    <row r="2683" spans="1:14" x14ac:dyDescent="0.2">
      <c r="A2683" s="34">
        <v>40658</v>
      </c>
      <c r="B2683">
        <v>4.5928000000000004</v>
      </c>
      <c r="C2683">
        <f t="shared" si="46"/>
        <v>4.4000000000000004</v>
      </c>
      <c r="M2683" s="34">
        <v>39444</v>
      </c>
      <c r="N2683">
        <v>7.5</v>
      </c>
    </row>
    <row r="2684" spans="1:14" x14ac:dyDescent="0.2">
      <c r="A2684" s="34">
        <v>40657</v>
      </c>
      <c r="B2684">
        <v>4.5926330000000002</v>
      </c>
      <c r="C2684">
        <f t="shared" si="46"/>
        <v>4.53</v>
      </c>
      <c r="M2684" s="34">
        <v>39443</v>
      </c>
      <c r="N2684">
        <v>7.56</v>
      </c>
    </row>
    <row r="2685" spans="1:14" x14ac:dyDescent="0.2">
      <c r="A2685" s="34">
        <v>40656</v>
      </c>
      <c r="B2685">
        <v>4.5924649999999998</v>
      </c>
      <c r="C2685">
        <f t="shared" si="46"/>
        <v>4.53</v>
      </c>
      <c r="M2685" s="34">
        <v>39442</v>
      </c>
      <c r="N2685">
        <v>7.5</v>
      </c>
    </row>
    <row r="2686" spans="1:14" x14ac:dyDescent="0.2">
      <c r="A2686" s="34">
        <v>40655</v>
      </c>
      <c r="B2686">
        <v>4.5922980000000004</v>
      </c>
      <c r="C2686">
        <f t="shared" si="46"/>
        <v>4.53</v>
      </c>
      <c r="M2686" s="34">
        <v>39440</v>
      </c>
      <c r="N2686">
        <v>7.5</v>
      </c>
    </row>
    <row r="2687" spans="1:14" x14ac:dyDescent="0.2">
      <c r="A2687" s="34">
        <v>40654</v>
      </c>
      <c r="B2687">
        <v>4.5921310000000002</v>
      </c>
      <c r="C2687">
        <f t="shared" si="46"/>
        <v>4.53</v>
      </c>
      <c r="M2687" s="34">
        <v>39437</v>
      </c>
      <c r="N2687">
        <v>7.5</v>
      </c>
    </row>
    <row r="2688" spans="1:14" x14ac:dyDescent="0.2">
      <c r="A2688" s="34">
        <v>40653</v>
      </c>
      <c r="B2688">
        <v>4.5919639999999999</v>
      </c>
      <c r="C2688">
        <f t="shared" si="46"/>
        <v>4.53</v>
      </c>
      <c r="M2688" s="34">
        <v>39436</v>
      </c>
      <c r="N2688">
        <v>7.51</v>
      </c>
    </row>
    <row r="2689" spans="1:14" x14ac:dyDescent="0.2">
      <c r="A2689" s="34">
        <v>40652</v>
      </c>
      <c r="B2689">
        <v>4.5917969999999997</v>
      </c>
      <c r="C2689">
        <f t="shared" si="46"/>
        <v>4.47</v>
      </c>
      <c r="M2689" s="34">
        <v>39435</v>
      </c>
      <c r="N2689">
        <v>7.5</v>
      </c>
    </row>
    <row r="2690" spans="1:14" x14ac:dyDescent="0.2">
      <c r="A2690" s="34">
        <v>40651</v>
      </c>
      <c r="B2690">
        <v>4.5916300000000003</v>
      </c>
      <c r="C2690">
        <f t="shared" ref="C2690:C2753" si="47">IFERROR(VLOOKUP(A2690,$M$2:$N$3695,2,0),C2691)</f>
        <v>4.46</v>
      </c>
      <c r="M2690" s="34">
        <v>39434</v>
      </c>
      <c r="N2690">
        <v>7.5</v>
      </c>
    </row>
    <row r="2691" spans="1:14" x14ac:dyDescent="0.2">
      <c r="A2691" s="34">
        <v>40650</v>
      </c>
      <c r="B2691">
        <v>4.5914630000000001</v>
      </c>
      <c r="C2691">
        <f t="shared" si="47"/>
        <v>4.49</v>
      </c>
      <c r="M2691" s="34">
        <v>39433</v>
      </c>
      <c r="N2691">
        <v>7.5</v>
      </c>
    </row>
    <row r="2692" spans="1:14" x14ac:dyDescent="0.2">
      <c r="A2692" s="34">
        <v>40649</v>
      </c>
      <c r="B2692">
        <v>4.5912959999999998</v>
      </c>
      <c r="C2692">
        <f t="shared" si="47"/>
        <v>4.49</v>
      </c>
      <c r="M2692" s="34">
        <v>39430</v>
      </c>
      <c r="N2692">
        <v>7.5</v>
      </c>
    </row>
    <row r="2693" spans="1:14" x14ac:dyDescent="0.2">
      <c r="A2693" s="34">
        <v>40648</v>
      </c>
      <c r="B2693">
        <v>4.5911289999999996</v>
      </c>
      <c r="C2693">
        <f t="shared" si="47"/>
        <v>4.49</v>
      </c>
      <c r="M2693" s="34">
        <v>39429</v>
      </c>
      <c r="N2693">
        <v>7.51</v>
      </c>
    </row>
    <row r="2694" spans="1:14" x14ac:dyDescent="0.2">
      <c r="A2694" s="34">
        <v>40647</v>
      </c>
      <c r="B2694">
        <v>4.5909620000000002</v>
      </c>
      <c r="C2694">
        <f t="shared" si="47"/>
        <v>4.49</v>
      </c>
      <c r="M2694" s="34">
        <v>39427</v>
      </c>
      <c r="N2694">
        <v>7.5</v>
      </c>
    </row>
    <row r="2695" spans="1:14" x14ac:dyDescent="0.2">
      <c r="A2695" s="34">
        <v>40646</v>
      </c>
      <c r="B2695">
        <v>4.590795</v>
      </c>
      <c r="C2695">
        <f t="shared" si="47"/>
        <v>4.5</v>
      </c>
      <c r="M2695" s="34">
        <v>39426</v>
      </c>
      <c r="N2695">
        <v>7.55</v>
      </c>
    </row>
    <row r="2696" spans="1:14" x14ac:dyDescent="0.2">
      <c r="A2696" s="34">
        <v>40645</v>
      </c>
      <c r="B2696">
        <v>4.5906279999999997</v>
      </c>
      <c r="C2696">
        <f t="shared" si="47"/>
        <v>4.49</v>
      </c>
      <c r="M2696" s="34">
        <v>39423</v>
      </c>
      <c r="N2696">
        <v>7.52</v>
      </c>
    </row>
    <row r="2697" spans="1:14" x14ac:dyDescent="0.2">
      <c r="A2697" s="34">
        <v>40644</v>
      </c>
      <c r="B2697">
        <v>4.5904610000000003</v>
      </c>
      <c r="C2697">
        <f t="shared" si="47"/>
        <v>4.49</v>
      </c>
      <c r="M2697" s="34">
        <v>39422</v>
      </c>
      <c r="N2697">
        <v>7.48</v>
      </c>
    </row>
    <row r="2698" spans="1:14" x14ac:dyDescent="0.2">
      <c r="A2698" s="34">
        <v>40643</v>
      </c>
      <c r="B2698">
        <v>4.5902940000000001</v>
      </c>
      <c r="C2698">
        <f t="shared" si="47"/>
        <v>4.49</v>
      </c>
      <c r="M2698" s="34">
        <v>39421</v>
      </c>
      <c r="N2698">
        <v>7.47</v>
      </c>
    </row>
    <row r="2699" spans="1:14" x14ac:dyDescent="0.2">
      <c r="A2699" s="34">
        <v>40642</v>
      </c>
      <c r="B2699">
        <v>4.5901550000000002</v>
      </c>
      <c r="C2699">
        <f t="shared" si="47"/>
        <v>4.49</v>
      </c>
      <c r="M2699" s="34">
        <v>39420</v>
      </c>
      <c r="N2699">
        <v>7.35</v>
      </c>
    </row>
    <row r="2700" spans="1:14" x14ac:dyDescent="0.2">
      <c r="A2700" s="34">
        <v>40641</v>
      </c>
      <c r="B2700">
        <v>4.5900150000000002</v>
      </c>
      <c r="C2700">
        <f t="shared" si="47"/>
        <v>4.49</v>
      </c>
      <c r="M2700" s="34">
        <v>39419</v>
      </c>
      <c r="N2700">
        <v>7.53</v>
      </c>
    </row>
    <row r="2701" spans="1:14" x14ac:dyDescent="0.2">
      <c r="A2701" s="34">
        <v>40640</v>
      </c>
      <c r="B2701">
        <v>4.5898760000000003</v>
      </c>
      <c r="C2701">
        <f t="shared" si="47"/>
        <v>4.49</v>
      </c>
      <c r="M2701" s="34">
        <v>39416</v>
      </c>
      <c r="N2701">
        <v>7.5</v>
      </c>
    </row>
    <row r="2702" spans="1:14" x14ac:dyDescent="0.2">
      <c r="A2702" s="34">
        <v>40639</v>
      </c>
      <c r="B2702">
        <v>4.5897360000000003</v>
      </c>
      <c r="C2702">
        <f t="shared" si="47"/>
        <v>4.49</v>
      </c>
      <c r="M2702" s="34">
        <v>39415</v>
      </c>
      <c r="N2702">
        <v>7.48</v>
      </c>
    </row>
    <row r="2703" spans="1:14" x14ac:dyDescent="0.2">
      <c r="A2703" s="34">
        <v>40638</v>
      </c>
      <c r="B2703">
        <v>4.5895970000000004</v>
      </c>
      <c r="C2703">
        <f t="shared" si="47"/>
        <v>4.49</v>
      </c>
      <c r="M2703" s="34">
        <v>39414</v>
      </c>
      <c r="N2703">
        <v>7.5</v>
      </c>
    </row>
    <row r="2704" spans="1:14" x14ac:dyDescent="0.2">
      <c r="A2704" s="34">
        <v>40637</v>
      </c>
      <c r="B2704">
        <v>4.5894570000000003</v>
      </c>
      <c r="C2704">
        <f t="shared" si="47"/>
        <v>4.5</v>
      </c>
      <c r="M2704" s="34">
        <v>39413</v>
      </c>
      <c r="N2704">
        <v>7.48</v>
      </c>
    </row>
    <row r="2705" spans="1:14" x14ac:dyDescent="0.2">
      <c r="A2705" s="34">
        <v>40636</v>
      </c>
      <c r="B2705">
        <v>4.5893179999999996</v>
      </c>
      <c r="C2705">
        <f t="shared" si="47"/>
        <v>4.5</v>
      </c>
      <c r="M2705" s="34">
        <v>39412</v>
      </c>
      <c r="N2705">
        <v>7.45</v>
      </c>
    </row>
    <row r="2706" spans="1:14" x14ac:dyDescent="0.2">
      <c r="A2706" s="34">
        <v>40635</v>
      </c>
      <c r="B2706">
        <v>4.5891780000000004</v>
      </c>
      <c r="C2706">
        <f t="shared" si="47"/>
        <v>4.5</v>
      </c>
      <c r="M2706" s="34">
        <v>39409</v>
      </c>
      <c r="N2706">
        <v>7.4</v>
      </c>
    </row>
    <row r="2707" spans="1:14" x14ac:dyDescent="0.2">
      <c r="A2707" s="34">
        <v>40634</v>
      </c>
      <c r="B2707">
        <v>4.5890389999999996</v>
      </c>
      <c r="C2707">
        <f t="shared" si="47"/>
        <v>4.5</v>
      </c>
      <c r="M2707" s="34">
        <v>39408</v>
      </c>
      <c r="N2707">
        <v>7.35</v>
      </c>
    </row>
    <row r="2708" spans="1:14" x14ac:dyDescent="0.2">
      <c r="A2708" s="34">
        <v>40633</v>
      </c>
      <c r="B2708">
        <v>4.5888989999999996</v>
      </c>
      <c r="C2708">
        <f t="shared" si="47"/>
        <v>4.5</v>
      </c>
      <c r="M2708" s="34">
        <v>39407</v>
      </c>
      <c r="N2708">
        <v>7.4</v>
      </c>
    </row>
    <row r="2709" spans="1:14" x14ac:dyDescent="0.2">
      <c r="A2709" s="34">
        <v>40632</v>
      </c>
      <c r="B2709">
        <v>4.5887599999999997</v>
      </c>
      <c r="C2709">
        <f t="shared" si="47"/>
        <v>4.5</v>
      </c>
      <c r="M2709" s="34">
        <v>39406</v>
      </c>
      <c r="N2709">
        <v>7.55</v>
      </c>
    </row>
    <row r="2710" spans="1:14" x14ac:dyDescent="0.2">
      <c r="A2710" s="34">
        <v>40631</v>
      </c>
      <c r="B2710">
        <v>4.5886199999999997</v>
      </c>
      <c r="C2710">
        <f t="shared" si="47"/>
        <v>4.5</v>
      </c>
      <c r="M2710" s="34">
        <v>39402</v>
      </c>
      <c r="N2710">
        <v>7.5</v>
      </c>
    </row>
    <row r="2711" spans="1:14" x14ac:dyDescent="0.2">
      <c r="A2711" s="34">
        <v>40630</v>
      </c>
      <c r="B2711">
        <v>4.5884809999999998</v>
      </c>
      <c r="C2711">
        <f t="shared" si="47"/>
        <v>4.5</v>
      </c>
      <c r="M2711" s="34">
        <v>39401</v>
      </c>
      <c r="N2711">
        <v>7.5</v>
      </c>
    </row>
    <row r="2712" spans="1:14" x14ac:dyDescent="0.2">
      <c r="A2712" s="34">
        <v>40629</v>
      </c>
      <c r="B2712">
        <v>4.5883409999999998</v>
      </c>
      <c r="C2712">
        <f t="shared" si="47"/>
        <v>4.5</v>
      </c>
      <c r="M2712" s="34">
        <v>39400</v>
      </c>
      <c r="N2712">
        <v>7.52</v>
      </c>
    </row>
    <row r="2713" spans="1:14" x14ac:dyDescent="0.2">
      <c r="A2713" s="34">
        <v>40628</v>
      </c>
      <c r="B2713">
        <v>4.5882019999999999</v>
      </c>
      <c r="C2713">
        <f t="shared" si="47"/>
        <v>4.5</v>
      </c>
      <c r="M2713" s="34">
        <v>39399</v>
      </c>
      <c r="N2713">
        <v>7.4</v>
      </c>
    </row>
    <row r="2714" spans="1:14" x14ac:dyDescent="0.2">
      <c r="A2714" s="34">
        <v>40627</v>
      </c>
      <c r="B2714">
        <v>4.5880619999999999</v>
      </c>
      <c r="C2714">
        <f t="shared" si="47"/>
        <v>4.5</v>
      </c>
      <c r="M2714" s="34">
        <v>39398</v>
      </c>
      <c r="N2714">
        <v>7.52</v>
      </c>
    </row>
    <row r="2715" spans="1:14" x14ac:dyDescent="0.2">
      <c r="A2715" s="34">
        <v>40626</v>
      </c>
      <c r="B2715">
        <v>4.5873569999999999</v>
      </c>
      <c r="C2715">
        <f t="shared" si="47"/>
        <v>4.51</v>
      </c>
      <c r="M2715" s="34">
        <v>39395</v>
      </c>
      <c r="N2715">
        <v>7.45</v>
      </c>
    </row>
    <row r="2716" spans="1:14" x14ac:dyDescent="0.2">
      <c r="A2716" s="34">
        <v>40625</v>
      </c>
      <c r="B2716">
        <v>4.586652</v>
      </c>
      <c r="C2716">
        <f t="shared" si="47"/>
        <v>4.4800000000000004</v>
      </c>
      <c r="M2716" s="34">
        <v>39394</v>
      </c>
      <c r="N2716">
        <v>7.55</v>
      </c>
    </row>
    <row r="2717" spans="1:14" x14ac:dyDescent="0.2">
      <c r="A2717" s="34">
        <v>40624</v>
      </c>
      <c r="B2717">
        <v>4.585947</v>
      </c>
      <c r="C2717">
        <f t="shared" si="47"/>
        <v>4.4800000000000004</v>
      </c>
      <c r="M2717" s="34">
        <v>39393</v>
      </c>
      <c r="N2717">
        <v>7.4</v>
      </c>
    </row>
    <row r="2718" spans="1:14" x14ac:dyDescent="0.2">
      <c r="A2718" s="34">
        <v>40623</v>
      </c>
      <c r="B2718">
        <v>4.585242</v>
      </c>
      <c r="C2718">
        <f t="shared" si="47"/>
        <v>4.53</v>
      </c>
      <c r="M2718" s="34">
        <v>39392</v>
      </c>
      <c r="N2718">
        <v>7.6</v>
      </c>
    </row>
    <row r="2719" spans="1:14" x14ac:dyDescent="0.2">
      <c r="A2719" s="34">
        <v>40622</v>
      </c>
      <c r="B2719">
        <v>4.5845370000000001</v>
      </c>
      <c r="C2719">
        <f t="shared" si="47"/>
        <v>4.53</v>
      </c>
      <c r="M2719" s="34">
        <v>39391</v>
      </c>
      <c r="N2719">
        <v>7.47</v>
      </c>
    </row>
    <row r="2720" spans="1:14" x14ac:dyDescent="0.2">
      <c r="A2720" s="34">
        <v>40621</v>
      </c>
      <c r="B2720">
        <v>4.5838320000000001</v>
      </c>
      <c r="C2720">
        <f t="shared" si="47"/>
        <v>4.53</v>
      </c>
      <c r="M2720" s="34">
        <v>39387</v>
      </c>
      <c r="N2720">
        <v>7.45</v>
      </c>
    </row>
    <row r="2721" spans="1:14" x14ac:dyDescent="0.2">
      <c r="A2721" s="34">
        <v>40620</v>
      </c>
      <c r="B2721">
        <v>4.5831270000000002</v>
      </c>
      <c r="C2721">
        <f t="shared" si="47"/>
        <v>4.53</v>
      </c>
      <c r="M2721" s="34">
        <v>39386</v>
      </c>
      <c r="N2721">
        <v>7.45</v>
      </c>
    </row>
    <row r="2722" spans="1:14" x14ac:dyDescent="0.2">
      <c r="A2722" s="34">
        <v>40619</v>
      </c>
      <c r="B2722">
        <v>4.5824230000000004</v>
      </c>
      <c r="C2722">
        <f t="shared" si="47"/>
        <v>4.5</v>
      </c>
      <c r="M2722" s="34">
        <v>39385</v>
      </c>
      <c r="N2722">
        <v>7.45</v>
      </c>
    </row>
    <row r="2723" spans="1:14" x14ac:dyDescent="0.2">
      <c r="A2723" s="34">
        <v>40618</v>
      </c>
      <c r="B2723">
        <v>4.5817180000000004</v>
      </c>
      <c r="C2723">
        <f t="shared" si="47"/>
        <v>4.45</v>
      </c>
      <c r="M2723" s="34">
        <v>39384</v>
      </c>
      <c r="N2723">
        <v>7.45</v>
      </c>
    </row>
    <row r="2724" spans="1:14" x14ac:dyDescent="0.2">
      <c r="A2724" s="34">
        <v>40617</v>
      </c>
      <c r="B2724">
        <v>4.5810139999999997</v>
      </c>
      <c r="C2724">
        <f t="shared" si="47"/>
        <v>4.47</v>
      </c>
      <c r="M2724" s="34">
        <v>39381</v>
      </c>
      <c r="N2724">
        <v>7.25</v>
      </c>
    </row>
    <row r="2725" spans="1:14" x14ac:dyDescent="0.2">
      <c r="A2725" s="34">
        <v>40616</v>
      </c>
      <c r="B2725">
        <v>4.5803099999999999</v>
      </c>
      <c r="C2725">
        <f t="shared" si="47"/>
        <v>4.5</v>
      </c>
      <c r="M2725" s="34">
        <v>39380</v>
      </c>
      <c r="N2725">
        <v>7.05</v>
      </c>
    </row>
    <row r="2726" spans="1:14" x14ac:dyDescent="0.2">
      <c r="A2726" s="34">
        <v>40615</v>
      </c>
      <c r="B2726">
        <v>4.5796060000000001</v>
      </c>
      <c r="C2726">
        <f t="shared" si="47"/>
        <v>4.47</v>
      </c>
      <c r="M2726" s="34">
        <v>39379</v>
      </c>
      <c r="N2726">
        <v>7.05</v>
      </c>
    </row>
    <row r="2727" spans="1:14" x14ac:dyDescent="0.2">
      <c r="A2727" s="34">
        <v>40614</v>
      </c>
      <c r="B2727">
        <v>4.5789020000000002</v>
      </c>
      <c r="C2727">
        <f t="shared" si="47"/>
        <v>4.47</v>
      </c>
      <c r="M2727" s="34">
        <v>39378</v>
      </c>
      <c r="N2727">
        <v>7.2</v>
      </c>
    </row>
    <row r="2728" spans="1:14" x14ac:dyDescent="0.2">
      <c r="A2728" s="34">
        <v>40613</v>
      </c>
      <c r="B2728">
        <v>4.5781980000000004</v>
      </c>
      <c r="C2728">
        <f t="shared" si="47"/>
        <v>4.47</v>
      </c>
      <c r="M2728" s="34">
        <v>39377</v>
      </c>
      <c r="N2728">
        <v>7.19</v>
      </c>
    </row>
    <row r="2729" spans="1:14" x14ac:dyDescent="0.2">
      <c r="A2729" s="34">
        <v>40612</v>
      </c>
      <c r="B2729">
        <v>4.5774939999999997</v>
      </c>
      <c r="C2729">
        <f t="shared" si="47"/>
        <v>4.45</v>
      </c>
      <c r="M2729" s="34">
        <v>39374</v>
      </c>
      <c r="N2729">
        <v>7.19</v>
      </c>
    </row>
    <row r="2730" spans="1:14" x14ac:dyDescent="0.2">
      <c r="A2730" s="34">
        <v>40611</v>
      </c>
      <c r="B2730">
        <v>4.5767709999999999</v>
      </c>
      <c r="C2730">
        <f t="shared" si="47"/>
        <v>4.4800000000000004</v>
      </c>
      <c r="M2730" s="34">
        <v>39373</v>
      </c>
      <c r="N2730">
        <v>7.25</v>
      </c>
    </row>
    <row r="2731" spans="1:14" x14ac:dyDescent="0.2">
      <c r="A2731" s="34">
        <v>40610</v>
      </c>
      <c r="B2731">
        <v>4.5760490000000003</v>
      </c>
      <c r="C2731">
        <f t="shared" si="47"/>
        <v>4.51</v>
      </c>
      <c r="M2731" s="34">
        <v>39372</v>
      </c>
      <c r="N2731">
        <v>7.3</v>
      </c>
    </row>
    <row r="2732" spans="1:14" x14ac:dyDescent="0.2">
      <c r="A2732" s="34">
        <v>40609</v>
      </c>
      <c r="B2732">
        <v>4.5753269999999997</v>
      </c>
      <c r="C2732">
        <f t="shared" si="47"/>
        <v>4.5</v>
      </c>
      <c r="M2732" s="34">
        <v>39371</v>
      </c>
      <c r="N2732">
        <v>7.25</v>
      </c>
    </row>
    <row r="2733" spans="1:14" x14ac:dyDescent="0.2">
      <c r="A2733" s="34">
        <v>40608</v>
      </c>
      <c r="B2733">
        <v>4.574605</v>
      </c>
      <c r="C2733">
        <f t="shared" si="47"/>
        <v>4.46</v>
      </c>
      <c r="M2733" s="34">
        <v>39370</v>
      </c>
      <c r="N2733">
        <v>7.25</v>
      </c>
    </row>
    <row r="2734" spans="1:14" x14ac:dyDescent="0.2">
      <c r="A2734" s="34">
        <v>40607</v>
      </c>
      <c r="B2734">
        <v>4.5738820000000002</v>
      </c>
      <c r="C2734">
        <f t="shared" si="47"/>
        <v>4.46</v>
      </c>
      <c r="M2734" s="34">
        <v>39367</v>
      </c>
      <c r="N2734">
        <v>7.1</v>
      </c>
    </row>
    <row r="2735" spans="1:14" x14ac:dyDescent="0.2">
      <c r="A2735" s="34">
        <v>40606</v>
      </c>
      <c r="B2735">
        <v>4.5731609999999998</v>
      </c>
      <c r="C2735">
        <f t="shared" si="47"/>
        <v>4.46</v>
      </c>
      <c r="M2735" s="34">
        <v>39366</v>
      </c>
      <c r="N2735">
        <v>7.25</v>
      </c>
    </row>
    <row r="2736" spans="1:14" x14ac:dyDescent="0.2">
      <c r="A2736" s="34">
        <v>40605</v>
      </c>
      <c r="B2736">
        <v>4.5724390000000001</v>
      </c>
      <c r="C2736">
        <f t="shared" si="47"/>
        <v>4.45</v>
      </c>
      <c r="M2736" s="34">
        <v>39365</v>
      </c>
      <c r="N2736">
        <v>7.25</v>
      </c>
    </row>
    <row r="2737" spans="1:14" x14ac:dyDescent="0.2">
      <c r="A2737" s="34">
        <v>40604</v>
      </c>
      <c r="B2737">
        <v>4.5717169999999996</v>
      </c>
      <c r="C2737">
        <f t="shared" si="47"/>
        <v>4.5</v>
      </c>
      <c r="M2737" s="34">
        <v>39364</v>
      </c>
      <c r="N2737">
        <v>7.21</v>
      </c>
    </row>
    <row r="2738" spans="1:14" x14ac:dyDescent="0.2">
      <c r="A2738" s="34">
        <v>40603</v>
      </c>
      <c r="B2738">
        <v>4.5709949999999999</v>
      </c>
      <c r="C2738">
        <f t="shared" si="47"/>
        <v>4.51</v>
      </c>
      <c r="M2738" s="34">
        <v>39363</v>
      </c>
      <c r="N2738">
        <v>7.15</v>
      </c>
    </row>
    <row r="2739" spans="1:14" x14ac:dyDescent="0.2">
      <c r="A2739" s="34">
        <v>40602</v>
      </c>
      <c r="B2739">
        <v>4.5702740000000004</v>
      </c>
      <c r="C2739">
        <f t="shared" si="47"/>
        <v>4.5</v>
      </c>
      <c r="M2739" s="34">
        <v>39360</v>
      </c>
      <c r="N2739">
        <v>7</v>
      </c>
    </row>
    <row r="2740" spans="1:14" x14ac:dyDescent="0.2">
      <c r="A2740" s="34">
        <v>40601</v>
      </c>
      <c r="B2740">
        <v>4.569553</v>
      </c>
      <c r="C2740">
        <f t="shared" si="47"/>
        <v>4.45</v>
      </c>
      <c r="M2740" s="34">
        <v>39359</v>
      </c>
      <c r="N2740">
        <v>7.24</v>
      </c>
    </row>
    <row r="2741" spans="1:14" x14ac:dyDescent="0.2">
      <c r="A2741" s="34">
        <v>40600</v>
      </c>
      <c r="B2741">
        <v>4.5688310000000003</v>
      </c>
      <c r="C2741">
        <f t="shared" si="47"/>
        <v>4.45</v>
      </c>
      <c r="M2741" s="34">
        <v>39358</v>
      </c>
      <c r="N2741">
        <v>7.25</v>
      </c>
    </row>
    <row r="2742" spans="1:14" x14ac:dyDescent="0.2">
      <c r="A2742" s="34">
        <v>40599</v>
      </c>
      <c r="B2742">
        <v>4.5681099999999999</v>
      </c>
      <c r="C2742">
        <f t="shared" si="47"/>
        <v>4.45</v>
      </c>
      <c r="M2742" s="34">
        <v>39357</v>
      </c>
      <c r="N2742">
        <v>7.2</v>
      </c>
    </row>
    <row r="2743" spans="1:14" x14ac:dyDescent="0.2">
      <c r="A2743" s="34">
        <v>40598</v>
      </c>
      <c r="B2743">
        <v>4.5677820000000002</v>
      </c>
      <c r="C2743">
        <f t="shared" si="47"/>
        <v>4.4000000000000004</v>
      </c>
      <c r="M2743" s="34">
        <v>39356</v>
      </c>
      <c r="N2743">
        <v>7.15</v>
      </c>
    </row>
    <row r="2744" spans="1:14" x14ac:dyDescent="0.2">
      <c r="A2744" s="34">
        <v>40597</v>
      </c>
      <c r="B2744">
        <v>4.5674539999999997</v>
      </c>
      <c r="C2744">
        <f t="shared" si="47"/>
        <v>4.4800000000000004</v>
      </c>
      <c r="M2744" s="34">
        <v>39353</v>
      </c>
      <c r="N2744">
        <v>7.35</v>
      </c>
    </row>
    <row r="2745" spans="1:14" x14ac:dyDescent="0.2">
      <c r="A2745" s="34">
        <v>40596</v>
      </c>
      <c r="B2745">
        <v>4.567126</v>
      </c>
      <c r="C2745">
        <f t="shared" si="47"/>
        <v>4.5</v>
      </c>
      <c r="M2745" s="34">
        <v>39352</v>
      </c>
      <c r="N2745">
        <v>7.3</v>
      </c>
    </row>
    <row r="2746" spans="1:14" x14ac:dyDescent="0.2">
      <c r="A2746" s="34">
        <v>40595</v>
      </c>
      <c r="B2746">
        <v>4.5667980000000004</v>
      </c>
      <c r="C2746">
        <f t="shared" si="47"/>
        <v>4.5199999999999996</v>
      </c>
      <c r="M2746" s="34">
        <v>39351</v>
      </c>
      <c r="N2746">
        <v>7.3</v>
      </c>
    </row>
    <row r="2747" spans="1:14" x14ac:dyDescent="0.2">
      <c r="A2747" s="34">
        <v>40594</v>
      </c>
      <c r="B2747">
        <v>4.5664699999999998</v>
      </c>
      <c r="C2747">
        <f t="shared" si="47"/>
        <v>4.3499999999999996</v>
      </c>
      <c r="M2747" s="34">
        <v>39350</v>
      </c>
      <c r="N2747">
        <v>7.2</v>
      </c>
    </row>
    <row r="2748" spans="1:14" x14ac:dyDescent="0.2">
      <c r="A2748" s="34">
        <v>40593</v>
      </c>
      <c r="B2748">
        <v>4.5661420000000001</v>
      </c>
      <c r="C2748">
        <f t="shared" si="47"/>
        <v>4.3499999999999996</v>
      </c>
      <c r="M2748" s="34">
        <v>39349</v>
      </c>
      <c r="N2748">
        <v>7.2</v>
      </c>
    </row>
    <row r="2749" spans="1:14" x14ac:dyDescent="0.2">
      <c r="A2749" s="34">
        <v>40592</v>
      </c>
      <c r="B2749">
        <v>4.5658139999999996</v>
      </c>
      <c r="C2749">
        <f t="shared" si="47"/>
        <v>4.3499999999999996</v>
      </c>
      <c r="M2749" s="34">
        <v>39346</v>
      </c>
      <c r="N2749">
        <v>7.25</v>
      </c>
    </row>
    <row r="2750" spans="1:14" x14ac:dyDescent="0.2">
      <c r="A2750" s="34">
        <v>40591</v>
      </c>
      <c r="B2750">
        <v>4.5654859999999999</v>
      </c>
      <c r="C2750">
        <f t="shared" si="47"/>
        <v>4.25</v>
      </c>
      <c r="M2750" s="34">
        <v>39345</v>
      </c>
      <c r="N2750">
        <v>7</v>
      </c>
    </row>
    <row r="2751" spans="1:14" x14ac:dyDescent="0.2">
      <c r="A2751" s="34">
        <v>40590</v>
      </c>
      <c r="B2751">
        <v>4.5651580000000003</v>
      </c>
      <c r="C2751">
        <f t="shared" si="47"/>
        <v>4.45</v>
      </c>
      <c r="M2751" s="34">
        <v>39344</v>
      </c>
      <c r="N2751">
        <v>7.25</v>
      </c>
    </row>
    <row r="2752" spans="1:14" x14ac:dyDescent="0.2">
      <c r="A2752" s="34">
        <v>40589</v>
      </c>
      <c r="B2752">
        <v>4.5648299999999997</v>
      </c>
      <c r="C2752">
        <f t="shared" si="47"/>
        <v>4.53</v>
      </c>
      <c r="M2752" s="34">
        <v>39343</v>
      </c>
      <c r="N2752">
        <v>7.2</v>
      </c>
    </row>
    <row r="2753" spans="1:14" x14ac:dyDescent="0.2">
      <c r="A2753" s="34">
        <v>40588</v>
      </c>
      <c r="B2753">
        <v>4.5645020000000001</v>
      </c>
      <c r="C2753">
        <f t="shared" si="47"/>
        <v>4.5</v>
      </c>
      <c r="M2753" s="34">
        <v>39342</v>
      </c>
      <c r="N2753">
        <v>7.32</v>
      </c>
    </row>
    <row r="2754" spans="1:14" x14ac:dyDescent="0.2">
      <c r="A2754" s="34">
        <v>40587</v>
      </c>
      <c r="B2754">
        <v>4.5641740000000004</v>
      </c>
      <c r="C2754">
        <f t="shared" ref="C2754:C2817" si="48">IFERROR(VLOOKUP(A2754,$M$2:$N$3695,2,0),C2755)</f>
        <v>4.5199999999999996</v>
      </c>
      <c r="M2754" s="34">
        <v>39339</v>
      </c>
      <c r="N2754">
        <v>6.9</v>
      </c>
    </row>
    <row r="2755" spans="1:14" x14ac:dyDescent="0.2">
      <c r="A2755" s="34">
        <v>40586</v>
      </c>
      <c r="B2755">
        <v>4.5638459999999998</v>
      </c>
      <c r="C2755">
        <f t="shared" si="48"/>
        <v>4.5199999999999996</v>
      </c>
      <c r="M2755" s="34">
        <v>39338</v>
      </c>
      <c r="N2755">
        <v>7.17</v>
      </c>
    </row>
    <row r="2756" spans="1:14" x14ac:dyDescent="0.2">
      <c r="A2756" s="34">
        <v>40585</v>
      </c>
      <c r="B2756">
        <v>4.5635180000000002</v>
      </c>
      <c r="C2756">
        <f t="shared" si="48"/>
        <v>4.5199999999999996</v>
      </c>
      <c r="M2756" s="34">
        <v>39337</v>
      </c>
      <c r="N2756">
        <v>7.25</v>
      </c>
    </row>
    <row r="2757" spans="1:14" x14ac:dyDescent="0.2">
      <c r="A2757" s="34">
        <v>40584</v>
      </c>
      <c r="B2757">
        <v>4.5631899999999996</v>
      </c>
      <c r="C2757">
        <f t="shared" si="48"/>
        <v>4.51</v>
      </c>
      <c r="M2757" s="34">
        <v>39336</v>
      </c>
      <c r="N2757">
        <v>7.2</v>
      </c>
    </row>
    <row r="2758" spans="1:14" x14ac:dyDescent="0.2">
      <c r="A2758" s="34">
        <v>40583</v>
      </c>
      <c r="B2758">
        <v>4.5626949999999997</v>
      </c>
      <c r="C2758">
        <f t="shared" si="48"/>
        <v>4.53</v>
      </c>
      <c r="M2758" s="34">
        <v>39335</v>
      </c>
      <c r="N2758">
        <v>7.25</v>
      </c>
    </row>
    <row r="2759" spans="1:14" x14ac:dyDescent="0.2">
      <c r="A2759" s="34">
        <v>40582</v>
      </c>
      <c r="B2759">
        <v>4.5621989999999997</v>
      </c>
      <c r="C2759">
        <f t="shared" si="48"/>
        <v>4.5199999999999996</v>
      </c>
      <c r="M2759" s="34">
        <v>39332</v>
      </c>
      <c r="N2759">
        <v>7.15</v>
      </c>
    </row>
    <row r="2760" spans="1:14" x14ac:dyDescent="0.2">
      <c r="A2760" s="34">
        <v>40581</v>
      </c>
      <c r="B2760">
        <v>4.5617029999999996</v>
      </c>
      <c r="C2760">
        <f t="shared" si="48"/>
        <v>4.5199999999999996</v>
      </c>
      <c r="M2760" s="34">
        <v>39331</v>
      </c>
      <c r="N2760">
        <v>7.25</v>
      </c>
    </row>
    <row r="2761" spans="1:14" x14ac:dyDescent="0.2">
      <c r="A2761" s="34">
        <v>40580</v>
      </c>
      <c r="B2761">
        <v>4.5612079999999997</v>
      </c>
      <c r="C2761">
        <f t="shared" si="48"/>
        <v>4.5199999999999996</v>
      </c>
      <c r="M2761" s="34">
        <v>39330</v>
      </c>
      <c r="N2761">
        <v>7.25</v>
      </c>
    </row>
    <row r="2762" spans="1:14" x14ac:dyDescent="0.2">
      <c r="A2762" s="34">
        <v>40579</v>
      </c>
      <c r="B2762">
        <v>4.5607119999999997</v>
      </c>
      <c r="C2762">
        <f t="shared" si="48"/>
        <v>4.5199999999999996</v>
      </c>
      <c r="M2762" s="34">
        <v>39329</v>
      </c>
      <c r="N2762">
        <v>7.2</v>
      </c>
    </row>
    <row r="2763" spans="1:14" x14ac:dyDescent="0.2">
      <c r="A2763" s="34">
        <v>40578</v>
      </c>
      <c r="B2763">
        <v>4.5602159999999996</v>
      </c>
      <c r="C2763">
        <f t="shared" si="48"/>
        <v>4.5199999999999996</v>
      </c>
      <c r="M2763" s="34">
        <v>39328</v>
      </c>
      <c r="N2763">
        <v>7.2</v>
      </c>
    </row>
    <row r="2764" spans="1:14" x14ac:dyDescent="0.2">
      <c r="A2764" s="34">
        <v>40577</v>
      </c>
      <c r="B2764">
        <v>4.5597209999999997</v>
      </c>
      <c r="C2764">
        <f t="shared" si="48"/>
        <v>4.53</v>
      </c>
      <c r="M2764" s="34">
        <v>39325</v>
      </c>
      <c r="N2764">
        <v>7.25</v>
      </c>
    </row>
    <row r="2765" spans="1:14" x14ac:dyDescent="0.2">
      <c r="A2765" s="34">
        <v>40576</v>
      </c>
      <c r="B2765">
        <v>4.5592259999999998</v>
      </c>
      <c r="C2765">
        <f t="shared" si="48"/>
        <v>4.5199999999999996</v>
      </c>
      <c r="M2765" s="34">
        <v>39324</v>
      </c>
      <c r="N2765">
        <v>7.24</v>
      </c>
    </row>
    <row r="2766" spans="1:14" x14ac:dyDescent="0.2">
      <c r="A2766" s="34">
        <v>40575</v>
      </c>
      <c r="B2766">
        <v>4.5587299999999997</v>
      </c>
      <c r="C2766">
        <f t="shared" si="48"/>
        <v>4.53</v>
      </c>
      <c r="M2766" s="34">
        <v>39323</v>
      </c>
      <c r="N2766">
        <v>7.3</v>
      </c>
    </row>
    <row r="2767" spans="1:14" x14ac:dyDescent="0.2">
      <c r="A2767" s="34">
        <v>40574</v>
      </c>
      <c r="B2767">
        <v>4.5582349999999998</v>
      </c>
      <c r="C2767">
        <f t="shared" si="48"/>
        <v>4.55</v>
      </c>
      <c r="M2767" s="34">
        <v>39322</v>
      </c>
      <c r="N2767">
        <v>7.25</v>
      </c>
    </row>
    <row r="2768" spans="1:14" x14ac:dyDescent="0.2">
      <c r="A2768" s="34">
        <v>40573</v>
      </c>
      <c r="B2768">
        <v>4.5577399999999999</v>
      </c>
      <c r="C2768">
        <f t="shared" si="48"/>
        <v>4.54</v>
      </c>
      <c r="M2768" s="34">
        <v>39321</v>
      </c>
      <c r="N2768">
        <v>7.25</v>
      </c>
    </row>
    <row r="2769" spans="1:14" x14ac:dyDescent="0.2">
      <c r="A2769" s="34">
        <v>40572</v>
      </c>
      <c r="B2769">
        <v>4.5572439999999999</v>
      </c>
      <c r="C2769">
        <f t="shared" si="48"/>
        <v>4.54</v>
      </c>
      <c r="M2769" s="34">
        <v>39318</v>
      </c>
      <c r="N2769">
        <v>6.9</v>
      </c>
    </row>
    <row r="2770" spans="1:14" x14ac:dyDescent="0.2">
      <c r="A2770" s="34">
        <v>40571</v>
      </c>
      <c r="B2770">
        <v>4.5567489999999999</v>
      </c>
      <c r="C2770">
        <f t="shared" si="48"/>
        <v>4.54</v>
      </c>
      <c r="M2770" s="34">
        <v>39317</v>
      </c>
      <c r="N2770">
        <v>7.25</v>
      </c>
    </row>
    <row r="2771" spans="1:14" x14ac:dyDescent="0.2">
      <c r="A2771" s="34">
        <v>40570</v>
      </c>
      <c r="B2771">
        <v>4.556254</v>
      </c>
      <c r="C2771">
        <f t="shared" si="48"/>
        <v>4.5</v>
      </c>
      <c r="M2771" s="34">
        <v>39316</v>
      </c>
      <c r="N2771">
        <v>7</v>
      </c>
    </row>
    <row r="2772" spans="1:14" x14ac:dyDescent="0.2">
      <c r="A2772" s="34">
        <v>40569</v>
      </c>
      <c r="B2772">
        <v>4.5557590000000001</v>
      </c>
      <c r="C2772">
        <f t="shared" si="48"/>
        <v>4.51</v>
      </c>
      <c r="M2772" s="34">
        <v>39315</v>
      </c>
      <c r="N2772">
        <v>7.15</v>
      </c>
    </row>
    <row r="2773" spans="1:14" x14ac:dyDescent="0.2">
      <c r="A2773" s="34">
        <v>40568</v>
      </c>
      <c r="B2773">
        <v>4.5552640000000002</v>
      </c>
      <c r="C2773">
        <f t="shared" si="48"/>
        <v>4.55</v>
      </c>
      <c r="M2773" s="34">
        <v>39314</v>
      </c>
      <c r="N2773">
        <v>7.25</v>
      </c>
    </row>
    <row r="2774" spans="1:14" x14ac:dyDescent="0.2">
      <c r="A2774" s="34">
        <v>40567</v>
      </c>
      <c r="B2774">
        <v>4.5536940000000001</v>
      </c>
      <c r="C2774">
        <f t="shared" si="48"/>
        <v>4.5</v>
      </c>
      <c r="M2774" s="34">
        <v>39311</v>
      </c>
      <c r="N2774">
        <v>7.25</v>
      </c>
    </row>
    <row r="2775" spans="1:14" x14ac:dyDescent="0.2">
      <c r="A2775" s="34">
        <v>40566</v>
      </c>
      <c r="B2775">
        <v>4.5521240000000001</v>
      </c>
      <c r="C2775">
        <f t="shared" si="48"/>
        <v>4.54</v>
      </c>
      <c r="M2775" s="34">
        <v>39310</v>
      </c>
      <c r="N2775">
        <v>7.25</v>
      </c>
    </row>
    <row r="2776" spans="1:14" x14ac:dyDescent="0.2">
      <c r="A2776" s="34">
        <v>40565</v>
      </c>
      <c r="B2776">
        <v>4.5505550000000001</v>
      </c>
      <c r="C2776">
        <f t="shared" si="48"/>
        <v>4.54</v>
      </c>
      <c r="M2776" s="34">
        <v>39309</v>
      </c>
      <c r="N2776">
        <v>6</v>
      </c>
    </row>
    <row r="2777" spans="1:14" x14ac:dyDescent="0.2">
      <c r="A2777" s="34">
        <v>40564</v>
      </c>
      <c r="B2777">
        <v>4.5489870000000003</v>
      </c>
      <c r="C2777">
        <f t="shared" si="48"/>
        <v>4.54</v>
      </c>
      <c r="M2777" s="34">
        <v>39308</v>
      </c>
      <c r="N2777">
        <v>7.25</v>
      </c>
    </row>
    <row r="2778" spans="1:14" x14ac:dyDescent="0.2">
      <c r="A2778" s="34">
        <v>40563</v>
      </c>
      <c r="B2778">
        <v>4.5474180000000004</v>
      </c>
      <c r="C2778">
        <f t="shared" si="48"/>
        <v>4.5199999999999996</v>
      </c>
      <c r="M2778" s="34">
        <v>39307</v>
      </c>
      <c r="N2778">
        <v>7.21</v>
      </c>
    </row>
    <row r="2779" spans="1:14" x14ac:dyDescent="0.2">
      <c r="A2779" s="34">
        <v>40562</v>
      </c>
      <c r="B2779">
        <v>4.5458509999999999</v>
      </c>
      <c r="C2779">
        <f t="shared" si="48"/>
        <v>4.5199999999999996</v>
      </c>
      <c r="M2779" s="34">
        <v>39304</v>
      </c>
      <c r="N2779">
        <v>7</v>
      </c>
    </row>
    <row r="2780" spans="1:14" x14ac:dyDescent="0.2">
      <c r="A2780" s="34">
        <v>40561</v>
      </c>
      <c r="B2780">
        <v>4.5442840000000002</v>
      </c>
      <c r="C2780">
        <f t="shared" si="48"/>
        <v>4.5</v>
      </c>
      <c r="M2780" s="34">
        <v>39303</v>
      </c>
      <c r="N2780">
        <v>6.15</v>
      </c>
    </row>
    <row r="2781" spans="1:14" x14ac:dyDescent="0.2">
      <c r="A2781" s="34">
        <v>40560</v>
      </c>
      <c r="B2781">
        <v>4.5427179999999998</v>
      </c>
      <c r="C2781">
        <f t="shared" si="48"/>
        <v>4.55</v>
      </c>
      <c r="M2781" s="34">
        <v>39302</v>
      </c>
      <c r="N2781">
        <v>7.3</v>
      </c>
    </row>
    <row r="2782" spans="1:14" x14ac:dyDescent="0.2">
      <c r="A2782" s="34">
        <v>40559</v>
      </c>
      <c r="B2782">
        <v>4.5411520000000003</v>
      </c>
      <c r="C2782">
        <f t="shared" si="48"/>
        <v>4.55</v>
      </c>
      <c r="M2782" s="34">
        <v>39301</v>
      </c>
      <c r="N2782">
        <v>7.25</v>
      </c>
    </row>
    <row r="2783" spans="1:14" x14ac:dyDescent="0.2">
      <c r="A2783" s="34">
        <v>40558</v>
      </c>
      <c r="B2783">
        <v>4.5395859999999999</v>
      </c>
      <c r="C2783">
        <f t="shared" si="48"/>
        <v>4.55</v>
      </c>
      <c r="M2783" s="34">
        <v>39300</v>
      </c>
      <c r="N2783">
        <v>7.4</v>
      </c>
    </row>
    <row r="2784" spans="1:14" x14ac:dyDescent="0.2">
      <c r="A2784" s="34">
        <v>40557</v>
      </c>
      <c r="B2784">
        <v>4.5380209999999996</v>
      </c>
      <c r="C2784">
        <f t="shared" si="48"/>
        <v>4.55</v>
      </c>
      <c r="M2784" s="34">
        <v>39297</v>
      </c>
      <c r="N2784">
        <v>7.25</v>
      </c>
    </row>
    <row r="2785" spans="1:14" x14ac:dyDescent="0.2">
      <c r="A2785" s="34">
        <v>40556</v>
      </c>
      <c r="B2785">
        <v>4.5364570000000004</v>
      </c>
      <c r="C2785">
        <f t="shared" si="48"/>
        <v>4.5</v>
      </c>
      <c r="M2785" s="34">
        <v>39296</v>
      </c>
      <c r="N2785">
        <v>7.25</v>
      </c>
    </row>
    <row r="2786" spans="1:14" x14ac:dyDescent="0.2">
      <c r="A2786" s="34">
        <v>40555</v>
      </c>
      <c r="B2786">
        <v>4.5348930000000003</v>
      </c>
      <c r="C2786">
        <f t="shared" si="48"/>
        <v>4.55</v>
      </c>
      <c r="M2786" s="34">
        <v>39295</v>
      </c>
      <c r="N2786">
        <v>7.26</v>
      </c>
    </row>
    <row r="2787" spans="1:14" x14ac:dyDescent="0.2">
      <c r="A2787" s="34">
        <v>40554</v>
      </c>
      <c r="B2787">
        <v>4.5333300000000003</v>
      </c>
      <c r="C2787">
        <f t="shared" si="48"/>
        <v>4.5</v>
      </c>
      <c r="M2787" s="34">
        <v>39294</v>
      </c>
      <c r="N2787">
        <v>7.25</v>
      </c>
    </row>
    <row r="2788" spans="1:14" x14ac:dyDescent="0.2">
      <c r="A2788" s="34">
        <v>40553</v>
      </c>
      <c r="B2788">
        <v>4.5317670000000003</v>
      </c>
      <c r="C2788">
        <f t="shared" si="48"/>
        <v>4.54</v>
      </c>
      <c r="M2788" s="34">
        <v>39293</v>
      </c>
      <c r="N2788">
        <v>7.2</v>
      </c>
    </row>
    <row r="2789" spans="1:14" x14ac:dyDescent="0.2">
      <c r="A2789" s="34">
        <v>40552</v>
      </c>
      <c r="B2789">
        <v>4.5312210000000004</v>
      </c>
      <c r="C2789">
        <f t="shared" si="48"/>
        <v>4.51</v>
      </c>
      <c r="M2789" s="34">
        <v>39290</v>
      </c>
      <c r="N2789">
        <v>7.3</v>
      </c>
    </row>
    <row r="2790" spans="1:14" x14ac:dyDescent="0.2">
      <c r="A2790" s="34">
        <v>40551</v>
      </c>
      <c r="B2790">
        <v>4.5306749999999996</v>
      </c>
      <c r="C2790">
        <f t="shared" si="48"/>
        <v>4.51</v>
      </c>
      <c r="M2790" s="34">
        <v>39289</v>
      </c>
      <c r="N2790">
        <v>7.2</v>
      </c>
    </row>
    <row r="2791" spans="1:14" x14ac:dyDescent="0.2">
      <c r="A2791" s="34">
        <v>40550</v>
      </c>
      <c r="B2791">
        <v>4.5301289999999996</v>
      </c>
      <c r="C2791">
        <f t="shared" si="48"/>
        <v>4.51</v>
      </c>
      <c r="M2791" s="34">
        <v>39288</v>
      </c>
      <c r="N2791">
        <v>7.15</v>
      </c>
    </row>
    <row r="2792" spans="1:14" x14ac:dyDescent="0.2">
      <c r="A2792" s="34">
        <v>40549</v>
      </c>
      <c r="B2792">
        <v>4.5295829999999997</v>
      </c>
      <c r="C2792">
        <f t="shared" si="48"/>
        <v>4.54</v>
      </c>
      <c r="M2792" s="34">
        <v>39287</v>
      </c>
      <c r="N2792">
        <v>7.27</v>
      </c>
    </row>
    <row r="2793" spans="1:14" x14ac:dyDescent="0.2">
      <c r="A2793" s="34">
        <v>40548</v>
      </c>
      <c r="B2793">
        <v>4.5290369999999998</v>
      </c>
      <c r="C2793">
        <f t="shared" si="48"/>
        <v>4.5</v>
      </c>
      <c r="M2793" s="34">
        <v>39286</v>
      </c>
      <c r="N2793">
        <v>7.1</v>
      </c>
    </row>
    <row r="2794" spans="1:14" x14ac:dyDescent="0.2">
      <c r="A2794" s="34">
        <v>40547</v>
      </c>
      <c r="B2794">
        <v>4.5284909999999998</v>
      </c>
      <c r="C2794">
        <f t="shared" si="48"/>
        <v>4.54</v>
      </c>
      <c r="M2794" s="34">
        <v>39283</v>
      </c>
      <c r="N2794">
        <v>7.28</v>
      </c>
    </row>
    <row r="2795" spans="1:14" x14ac:dyDescent="0.2">
      <c r="A2795" s="34">
        <v>40546</v>
      </c>
      <c r="B2795">
        <v>4.5279449999999999</v>
      </c>
      <c r="C2795">
        <f t="shared" si="48"/>
        <v>4.53</v>
      </c>
      <c r="M2795" s="34">
        <v>39282</v>
      </c>
      <c r="N2795">
        <v>7</v>
      </c>
    </row>
    <row r="2796" spans="1:14" x14ac:dyDescent="0.2">
      <c r="A2796" s="34">
        <v>40545</v>
      </c>
      <c r="B2796">
        <v>4.527399</v>
      </c>
      <c r="C2796">
        <f t="shared" si="48"/>
        <v>4.5</v>
      </c>
      <c r="M2796" s="34">
        <v>39281</v>
      </c>
      <c r="N2796">
        <v>7.24</v>
      </c>
    </row>
    <row r="2797" spans="1:14" x14ac:dyDescent="0.2">
      <c r="A2797" s="34">
        <v>40544</v>
      </c>
      <c r="B2797">
        <v>4.526853</v>
      </c>
      <c r="C2797">
        <f t="shared" si="48"/>
        <v>4.5</v>
      </c>
      <c r="M2797" s="34">
        <v>39280</v>
      </c>
      <c r="N2797">
        <v>7.28</v>
      </c>
    </row>
    <row r="2798" spans="1:14" x14ac:dyDescent="0.2">
      <c r="A2798" s="34">
        <v>40543</v>
      </c>
      <c r="B2798">
        <v>4.5263080000000002</v>
      </c>
      <c r="C2798">
        <f t="shared" si="48"/>
        <v>4.5</v>
      </c>
      <c r="M2798" s="34">
        <v>39279</v>
      </c>
      <c r="N2798">
        <v>7.28</v>
      </c>
    </row>
    <row r="2799" spans="1:14" x14ac:dyDescent="0.2">
      <c r="A2799" s="34">
        <v>40542</v>
      </c>
      <c r="B2799">
        <v>4.5257620000000003</v>
      </c>
      <c r="C2799">
        <f t="shared" si="48"/>
        <v>4.58</v>
      </c>
      <c r="M2799" s="34">
        <v>39276</v>
      </c>
      <c r="N2799">
        <v>7.2</v>
      </c>
    </row>
    <row r="2800" spans="1:14" x14ac:dyDescent="0.2">
      <c r="A2800" s="34">
        <v>40541</v>
      </c>
      <c r="B2800">
        <v>4.5252160000000003</v>
      </c>
      <c r="C2800">
        <f t="shared" si="48"/>
        <v>4.55</v>
      </c>
      <c r="M2800" s="34">
        <v>39275</v>
      </c>
      <c r="N2800">
        <v>7</v>
      </c>
    </row>
    <row r="2801" spans="1:14" x14ac:dyDescent="0.2">
      <c r="A2801" s="34">
        <v>40540</v>
      </c>
      <c r="B2801">
        <v>4.5246709999999997</v>
      </c>
      <c r="C2801">
        <f t="shared" si="48"/>
        <v>4.5199999999999996</v>
      </c>
      <c r="M2801" s="34">
        <v>39274</v>
      </c>
      <c r="N2801">
        <v>7.3</v>
      </c>
    </row>
    <row r="2802" spans="1:14" x14ac:dyDescent="0.2">
      <c r="A2802" s="34">
        <v>40539</v>
      </c>
      <c r="B2802">
        <v>4.5241249999999997</v>
      </c>
      <c r="C2802">
        <f t="shared" si="48"/>
        <v>4.53</v>
      </c>
      <c r="M2802" s="34">
        <v>39273</v>
      </c>
      <c r="N2802">
        <v>7.4</v>
      </c>
    </row>
    <row r="2803" spans="1:14" x14ac:dyDescent="0.2">
      <c r="A2803" s="34">
        <v>40538</v>
      </c>
      <c r="B2803">
        <v>4.5235799999999999</v>
      </c>
      <c r="C2803">
        <f t="shared" si="48"/>
        <v>4.5</v>
      </c>
      <c r="M2803" s="34">
        <v>39272</v>
      </c>
      <c r="N2803">
        <v>7.25</v>
      </c>
    </row>
    <row r="2804" spans="1:14" x14ac:dyDescent="0.2">
      <c r="A2804" s="34">
        <v>40537</v>
      </c>
      <c r="B2804">
        <v>4.5230350000000001</v>
      </c>
      <c r="C2804">
        <f t="shared" si="48"/>
        <v>4.5</v>
      </c>
      <c r="M2804" s="34">
        <v>39269</v>
      </c>
      <c r="N2804">
        <v>7.2</v>
      </c>
    </row>
    <row r="2805" spans="1:14" x14ac:dyDescent="0.2">
      <c r="A2805" s="34">
        <v>40536</v>
      </c>
      <c r="B2805">
        <v>4.5227810000000002</v>
      </c>
      <c r="C2805">
        <f t="shared" si="48"/>
        <v>4.5</v>
      </c>
      <c r="M2805" s="34">
        <v>39268</v>
      </c>
      <c r="N2805">
        <v>7.27</v>
      </c>
    </row>
    <row r="2806" spans="1:14" x14ac:dyDescent="0.2">
      <c r="A2806" s="34">
        <v>40535</v>
      </c>
      <c r="B2806">
        <v>4.5225280000000003</v>
      </c>
      <c r="C2806">
        <f t="shared" si="48"/>
        <v>4.57</v>
      </c>
      <c r="M2806" s="34">
        <v>39267</v>
      </c>
      <c r="N2806">
        <v>7.27</v>
      </c>
    </row>
    <row r="2807" spans="1:14" x14ac:dyDescent="0.2">
      <c r="A2807" s="34">
        <v>40534</v>
      </c>
      <c r="B2807">
        <v>4.5222740000000003</v>
      </c>
      <c r="C2807">
        <f t="shared" si="48"/>
        <v>4.54</v>
      </c>
      <c r="M2807" s="34">
        <v>39266</v>
      </c>
      <c r="N2807">
        <v>7.25</v>
      </c>
    </row>
    <row r="2808" spans="1:14" x14ac:dyDescent="0.2">
      <c r="A2808" s="34">
        <v>40533</v>
      </c>
      <c r="B2808">
        <v>4.5220209999999996</v>
      </c>
      <c r="C2808">
        <f t="shared" si="48"/>
        <v>4.53</v>
      </c>
      <c r="M2808" s="34">
        <v>39265</v>
      </c>
      <c r="N2808">
        <v>7.27</v>
      </c>
    </row>
    <row r="2809" spans="1:14" x14ac:dyDescent="0.2">
      <c r="A2809" s="34">
        <v>40532</v>
      </c>
      <c r="B2809">
        <v>4.5217669999999996</v>
      </c>
      <c r="C2809">
        <f t="shared" si="48"/>
        <v>4.5</v>
      </c>
      <c r="M2809" s="34">
        <v>39262</v>
      </c>
      <c r="N2809">
        <v>7.2</v>
      </c>
    </row>
    <row r="2810" spans="1:14" x14ac:dyDescent="0.2">
      <c r="A2810" s="34">
        <v>40531</v>
      </c>
      <c r="B2810">
        <v>4.5215139999999998</v>
      </c>
      <c r="C2810">
        <f t="shared" si="48"/>
        <v>4.53</v>
      </c>
      <c r="M2810" s="34">
        <v>39261</v>
      </c>
      <c r="N2810">
        <v>7.25</v>
      </c>
    </row>
    <row r="2811" spans="1:14" x14ac:dyDescent="0.2">
      <c r="A2811" s="34">
        <v>40530</v>
      </c>
      <c r="B2811">
        <v>4.521261</v>
      </c>
      <c r="C2811">
        <f t="shared" si="48"/>
        <v>4.53</v>
      </c>
      <c r="M2811" s="34">
        <v>39260</v>
      </c>
      <c r="N2811">
        <v>7.28</v>
      </c>
    </row>
    <row r="2812" spans="1:14" x14ac:dyDescent="0.2">
      <c r="A2812" s="34">
        <v>40529</v>
      </c>
      <c r="B2812">
        <v>4.521007</v>
      </c>
      <c r="C2812">
        <f t="shared" si="48"/>
        <v>4.53</v>
      </c>
      <c r="M2812" s="34">
        <v>39259</v>
      </c>
      <c r="N2812">
        <v>7.32</v>
      </c>
    </row>
    <row r="2813" spans="1:14" x14ac:dyDescent="0.2">
      <c r="A2813" s="34">
        <v>40528</v>
      </c>
      <c r="B2813">
        <v>4.5207540000000002</v>
      </c>
      <c r="C2813">
        <f t="shared" si="48"/>
        <v>4.53</v>
      </c>
      <c r="M2813" s="34">
        <v>39258</v>
      </c>
      <c r="N2813">
        <v>7.3</v>
      </c>
    </row>
    <row r="2814" spans="1:14" x14ac:dyDescent="0.2">
      <c r="A2814" s="34">
        <v>40527</v>
      </c>
      <c r="B2814">
        <v>4.5205000000000002</v>
      </c>
      <c r="C2814">
        <f t="shared" si="48"/>
        <v>4.5999999999999996</v>
      </c>
      <c r="M2814" s="34">
        <v>39255</v>
      </c>
      <c r="N2814">
        <v>7</v>
      </c>
    </row>
    <row r="2815" spans="1:14" x14ac:dyDescent="0.2">
      <c r="A2815" s="34">
        <v>40526</v>
      </c>
      <c r="B2815">
        <v>4.5202470000000003</v>
      </c>
      <c r="C2815">
        <f t="shared" si="48"/>
        <v>4.5999999999999996</v>
      </c>
      <c r="M2815" s="34">
        <v>39254</v>
      </c>
      <c r="N2815">
        <v>7.28</v>
      </c>
    </row>
    <row r="2816" spans="1:14" x14ac:dyDescent="0.2">
      <c r="A2816" s="34">
        <v>40525</v>
      </c>
      <c r="B2816">
        <v>4.5199939999999996</v>
      </c>
      <c r="C2816">
        <f t="shared" si="48"/>
        <v>4.5999999999999996</v>
      </c>
      <c r="M2816" s="34">
        <v>39253</v>
      </c>
      <c r="N2816">
        <v>7.05</v>
      </c>
    </row>
    <row r="2817" spans="1:14" x14ac:dyDescent="0.2">
      <c r="A2817" s="34">
        <v>40524</v>
      </c>
      <c r="B2817">
        <v>4.5197399999999996</v>
      </c>
      <c r="C2817">
        <f t="shared" si="48"/>
        <v>4.62</v>
      </c>
      <c r="M2817" s="34">
        <v>39252</v>
      </c>
      <c r="N2817">
        <v>7.25</v>
      </c>
    </row>
    <row r="2818" spans="1:14" x14ac:dyDescent="0.2">
      <c r="A2818" s="34">
        <v>40523</v>
      </c>
      <c r="B2818">
        <v>4.5194869999999998</v>
      </c>
      <c r="C2818">
        <f t="shared" ref="C2818:C2881" si="49">IFERROR(VLOOKUP(A2818,$M$2:$N$3695,2,0),C2819)</f>
        <v>4.62</v>
      </c>
      <c r="M2818" s="34">
        <v>39251</v>
      </c>
      <c r="N2818">
        <v>7.4</v>
      </c>
    </row>
    <row r="2819" spans="1:14" x14ac:dyDescent="0.2">
      <c r="A2819" s="34">
        <v>40522</v>
      </c>
      <c r="B2819">
        <v>4.519234</v>
      </c>
      <c r="C2819">
        <f t="shared" si="49"/>
        <v>4.62</v>
      </c>
      <c r="M2819" s="34">
        <v>39248</v>
      </c>
      <c r="N2819">
        <v>7.25</v>
      </c>
    </row>
    <row r="2820" spans="1:14" x14ac:dyDescent="0.2">
      <c r="A2820" s="34">
        <v>40521</v>
      </c>
      <c r="B2820">
        <v>4.517188</v>
      </c>
      <c r="C2820">
        <f t="shared" si="49"/>
        <v>4.6500000000000004</v>
      </c>
      <c r="M2820" s="34">
        <v>39247</v>
      </c>
      <c r="N2820">
        <v>7.27</v>
      </c>
    </row>
    <row r="2821" spans="1:14" x14ac:dyDescent="0.2">
      <c r="A2821" s="34">
        <v>40520</v>
      </c>
      <c r="B2821">
        <v>4.515142</v>
      </c>
      <c r="C2821">
        <f t="shared" si="49"/>
        <v>4.5599999999999996</v>
      </c>
      <c r="M2821" s="34">
        <v>39246</v>
      </c>
      <c r="N2821">
        <v>7.15</v>
      </c>
    </row>
    <row r="2822" spans="1:14" x14ac:dyDescent="0.2">
      <c r="A2822" s="34">
        <v>40519</v>
      </c>
      <c r="B2822">
        <v>4.5130980000000003</v>
      </c>
      <c r="C2822">
        <f t="shared" si="49"/>
        <v>4.4000000000000004</v>
      </c>
      <c r="M2822" s="34">
        <v>39245</v>
      </c>
      <c r="N2822">
        <v>7.22</v>
      </c>
    </row>
    <row r="2823" spans="1:14" x14ac:dyDescent="0.2">
      <c r="A2823" s="34">
        <v>40518</v>
      </c>
      <c r="B2823">
        <v>4.5110539999999997</v>
      </c>
      <c r="C2823">
        <f t="shared" si="49"/>
        <v>4.58</v>
      </c>
      <c r="M2823" s="34">
        <v>39244</v>
      </c>
      <c r="N2823">
        <v>7.2</v>
      </c>
    </row>
    <row r="2824" spans="1:14" x14ac:dyDescent="0.2">
      <c r="A2824" s="34">
        <v>40517</v>
      </c>
      <c r="B2824">
        <v>4.5090120000000002</v>
      </c>
      <c r="C2824">
        <f t="shared" si="49"/>
        <v>4.55</v>
      </c>
      <c r="M2824" s="34">
        <v>39241</v>
      </c>
      <c r="N2824">
        <v>7.1</v>
      </c>
    </row>
    <row r="2825" spans="1:14" x14ac:dyDescent="0.2">
      <c r="A2825" s="34">
        <v>40516</v>
      </c>
      <c r="B2825">
        <v>4.5069699999999999</v>
      </c>
      <c r="C2825">
        <f t="shared" si="49"/>
        <v>4.55</v>
      </c>
      <c r="M2825" s="34">
        <v>39240</v>
      </c>
      <c r="N2825">
        <v>7.28</v>
      </c>
    </row>
    <row r="2826" spans="1:14" x14ac:dyDescent="0.2">
      <c r="A2826" s="34">
        <v>40515</v>
      </c>
      <c r="B2826">
        <v>4.5049299999999999</v>
      </c>
      <c r="C2826">
        <f t="shared" si="49"/>
        <v>4.55</v>
      </c>
      <c r="M2826" s="34">
        <v>39239</v>
      </c>
      <c r="N2826">
        <v>7.26</v>
      </c>
    </row>
    <row r="2827" spans="1:14" x14ac:dyDescent="0.2">
      <c r="A2827" s="34">
        <v>40514</v>
      </c>
      <c r="B2827">
        <v>4.5028899999999998</v>
      </c>
      <c r="C2827">
        <f t="shared" si="49"/>
        <v>4.58</v>
      </c>
      <c r="M2827" s="34">
        <v>39238</v>
      </c>
      <c r="N2827">
        <v>7.25</v>
      </c>
    </row>
    <row r="2828" spans="1:14" x14ac:dyDescent="0.2">
      <c r="A2828" s="34">
        <v>40513</v>
      </c>
      <c r="B2828">
        <v>4.5008509999999999</v>
      </c>
      <c r="C2828">
        <f t="shared" si="49"/>
        <v>4.72</v>
      </c>
      <c r="M2828" s="34">
        <v>39237</v>
      </c>
      <c r="N2828">
        <v>7.26</v>
      </c>
    </row>
    <row r="2829" spans="1:14" x14ac:dyDescent="0.2">
      <c r="A2829" s="34">
        <v>40512</v>
      </c>
      <c r="B2829">
        <v>4.4988130000000002</v>
      </c>
      <c r="C2829">
        <f t="shared" si="49"/>
        <v>4.5</v>
      </c>
      <c r="M2829" s="34">
        <v>39234</v>
      </c>
      <c r="N2829">
        <v>7.25</v>
      </c>
    </row>
    <row r="2830" spans="1:14" x14ac:dyDescent="0.2">
      <c r="A2830" s="34">
        <v>40511</v>
      </c>
      <c r="B2830">
        <v>4.4967759999999997</v>
      </c>
      <c r="C2830">
        <f t="shared" si="49"/>
        <v>4.5</v>
      </c>
      <c r="M2830" s="34">
        <v>39233</v>
      </c>
      <c r="N2830">
        <v>7.35</v>
      </c>
    </row>
    <row r="2831" spans="1:14" x14ac:dyDescent="0.2">
      <c r="A2831" s="34">
        <v>40510</v>
      </c>
      <c r="B2831">
        <v>4.4947400000000002</v>
      </c>
      <c r="C2831">
        <f t="shared" si="49"/>
        <v>4.53</v>
      </c>
      <c r="M2831" s="34">
        <v>39232</v>
      </c>
      <c r="N2831">
        <v>7.35</v>
      </c>
    </row>
    <row r="2832" spans="1:14" x14ac:dyDescent="0.2">
      <c r="A2832" s="34">
        <v>40509</v>
      </c>
      <c r="B2832">
        <v>4.4927049999999999</v>
      </c>
      <c r="C2832">
        <f t="shared" si="49"/>
        <v>4.53</v>
      </c>
      <c r="M2832" s="34">
        <v>39231</v>
      </c>
      <c r="N2832">
        <v>7.27</v>
      </c>
    </row>
    <row r="2833" spans="1:14" x14ac:dyDescent="0.2">
      <c r="A2833" s="34">
        <v>40508</v>
      </c>
      <c r="B2833">
        <v>4.4906709999999999</v>
      </c>
      <c r="C2833">
        <f t="shared" si="49"/>
        <v>4.53</v>
      </c>
      <c r="M2833" s="34">
        <v>39230</v>
      </c>
      <c r="N2833">
        <v>7.2</v>
      </c>
    </row>
    <row r="2834" spans="1:14" x14ac:dyDescent="0.2">
      <c r="A2834" s="34">
        <v>40507</v>
      </c>
      <c r="B2834">
        <v>4.4886379999999999</v>
      </c>
      <c r="C2834">
        <f t="shared" si="49"/>
        <v>4.53</v>
      </c>
      <c r="M2834" s="34">
        <v>39227</v>
      </c>
      <c r="N2834">
        <v>7.26</v>
      </c>
    </row>
    <row r="2835" spans="1:14" x14ac:dyDescent="0.2">
      <c r="A2835" s="34">
        <v>40506</v>
      </c>
      <c r="B2835">
        <v>4.4881770000000003</v>
      </c>
      <c r="C2835">
        <f t="shared" si="49"/>
        <v>4.51</v>
      </c>
      <c r="M2835" s="34">
        <v>39226</v>
      </c>
      <c r="N2835">
        <v>7.25</v>
      </c>
    </row>
    <row r="2836" spans="1:14" x14ac:dyDescent="0.2">
      <c r="A2836" s="34">
        <v>40505</v>
      </c>
      <c r="B2836">
        <v>4.4877159999999998</v>
      </c>
      <c r="C2836">
        <f t="shared" si="49"/>
        <v>4.5199999999999996</v>
      </c>
      <c r="M2836" s="34">
        <v>39225</v>
      </c>
      <c r="N2836">
        <v>7.3</v>
      </c>
    </row>
    <row r="2837" spans="1:14" x14ac:dyDescent="0.2">
      <c r="A2837" s="34">
        <v>40504</v>
      </c>
      <c r="B2837">
        <v>4.4872550000000002</v>
      </c>
      <c r="C2837">
        <f t="shared" si="49"/>
        <v>4.5999999999999996</v>
      </c>
      <c r="M2837" s="34">
        <v>39224</v>
      </c>
      <c r="N2837">
        <v>7.25</v>
      </c>
    </row>
    <row r="2838" spans="1:14" x14ac:dyDescent="0.2">
      <c r="A2838" s="34">
        <v>40503</v>
      </c>
      <c r="B2838">
        <v>4.4867939999999997</v>
      </c>
      <c r="C2838">
        <f t="shared" si="49"/>
        <v>4.5599999999999996</v>
      </c>
      <c r="M2838" s="34">
        <v>39223</v>
      </c>
      <c r="N2838">
        <v>7.25</v>
      </c>
    </row>
    <row r="2839" spans="1:14" x14ac:dyDescent="0.2">
      <c r="A2839" s="34">
        <v>40502</v>
      </c>
      <c r="B2839">
        <v>4.4863330000000001</v>
      </c>
      <c r="C2839">
        <f t="shared" si="49"/>
        <v>4.5599999999999996</v>
      </c>
      <c r="M2839" s="34">
        <v>39220</v>
      </c>
      <c r="N2839">
        <v>7.15</v>
      </c>
    </row>
    <row r="2840" spans="1:14" x14ac:dyDescent="0.2">
      <c r="A2840" s="34">
        <v>40501</v>
      </c>
      <c r="B2840">
        <v>4.4858719999999996</v>
      </c>
      <c r="C2840">
        <f t="shared" si="49"/>
        <v>4.5599999999999996</v>
      </c>
      <c r="M2840" s="34">
        <v>39219</v>
      </c>
      <c r="N2840">
        <v>7.27</v>
      </c>
    </row>
    <row r="2841" spans="1:14" x14ac:dyDescent="0.2">
      <c r="A2841" s="34">
        <v>40500</v>
      </c>
      <c r="B2841">
        <v>4.485411</v>
      </c>
      <c r="C2841">
        <f t="shared" si="49"/>
        <v>4.53</v>
      </c>
      <c r="M2841" s="34">
        <v>39218</v>
      </c>
      <c r="N2841">
        <v>7.35</v>
      </c>
    </row>
    <row r="2842" spans="1:14" x14ac:dyDescent="0.2">
      <c r="A2842" s="34">
        <v>40499</v>
      </c>
      <c r="B2842">
        <v>4.4849509999999997</v>
      </c>
      <c r="C2842">
        <f t="shared" si="49"/>
        <v>4.5999999999999996</v>
      </c>
      <c r="M2842" s="34">
        <v>39217</v>
      </c>
      <c r="N2842">
        <v>7.25</v>
      </c>
    </row>
    <row r="2843" spans="1:14" x14ac:dyDescent="0.2">
      <c r="A2843" s="34">
        <v>40498</v>
      </c>
      <c r="B2843">
        <v>4.4844900000000001</v>
      </c>
      <c r="C2843">
        <f t="shared" si="49"/>
        <v>4.51</v>
      </c>
      <c r="M2843" s="34">
        <v>39216</v>
      </c>
      <c r="N2843">
        <v>7.27</v>
      </c>
    </row>
    <row r="2844" spans="1:14" x14ac:dyDescent="0.2">
      <c r="A2844" s="34">
        <v>40497</v>
      </c>
      <c r="B2844">
        <v>4.4840289999999996</v>
      </c>
      <c r="C2844">
        <f t="shared" si="49"/>
        <v>4.53</v>
      </c>
      <c r="M2844" s="34">
        <v>39213</v>
      </c>
      <c r="N2844">
        <v>7.2</v>
      </c>
    </row>
    <row r="2845" spans="1:14" x14ac:dyDescent="0.2">
      <c r="A2845" s="34">
        <v>40496</v>
      </c>
      <c r="B2845">
        <v>4.4835690000000001</v>
      </c>
      <c r="C2845">
        <f t="shared" si="49"/>
        <v>4.53</v>
      </c>
      <c r="M2845" s="34">
        <v>39212</v>
      </c>
      <c r="N2845">
        <v>7.2</v>
      </c>
    </row>
    <row r="2846" spans="1:14" x14ac:dyDescent="0.2">
      <c r="A2846" s="34">
        <v>40495</v>
      </c>
      <c r="B2846">
        <v>4.4831079999999996</v>
      </c>
      <c r="C2846">
        <f t="shared" si="49"/>
        <v>4.53</v>
      </c>
      <c r="M2846" s="34">
        <v>39211</v>
      </c>
      <c r="N2846">
        <v>7.29</v>
      </c>
    </row>
    <row r="2847" spans="1:14" x14ac:dyDescent="0.2">
      <c r="A2847" s="34">
        <v>40494</v>
      </c>
      <c r="B2847">
        <v>4.4826480000000002</v>
      </c>
      <c r="C2847">
        <f t="shared" si="49"/>
        <v>4.53</v>
      </c>
      <c r="M2847" s="34">
        <v>39210</v>
      </c>
      <c r="N2847">
        <v>7.25</v>
      </c>
    </row>
    <row r="2848" spans="1:14" x14ac:dyDescent="0.2">
      <c r="A2848" s="34">
        <v>40493</v>
      </c>
      <c r="B2848">
        <v>4.4821869999999997</v>
      </c>
      <c r="C2848">
        <f t="shared" si="49"/>
        <v>4.55</v>
      </c>
      <c r="M2848" s="34">
        <v>39209</v>
      </c>
      <c r="N2848">
        <v>7.27</v>
      </c>
    </row>
    <row r="2849" spans="1:14" x14ac:dyDescent="0.2">
      <c r="A2849" s="34">
        <v>40492</v>
      </c>
      <c r="B2849">
        <v>4.4817270000000002</v>
      </c>
      <c r="C2849">
        <f t="shared" si="49"/>
        <v>4.5199999999999996</v>
      </c>
      <c r="M2849" s="34">
        <v>39206</v>
      </c>
      <c r="N2849">
        <v>7.29</v>
      </c>
    </row>
    <row r="2850" spans="1:14" x14ac:dyDescent="0.2">
      <c r="A2850" s="34">
        <v>40491</v>
      </c>
      <c r="B2850">
        <v>4.4803790000000001</v>
      </c>
      <c r="C2850">
        <f t="shared" si="49"/>
        <v>4.5</v>
      </c>
      <c r="M2850" s="34">
        <v>39205</v>
      </c>
      <c r="N2850">
        <v>7.25</v>
      </c>
    </row>
    <row r="2851" spans="1:14" x14ac:dyDescent="0.2">
      <c r="A2851" s="34">
        <v>40490</v>
      </c>
      <c r="B2851">
        <v>4.479031</v>
      </c>
      <c r="C2851">
        <f t="shared" si="49"/>
        <v>4.51</v>
      </c>
      <c r="M2851" s="34">
        <v>39204</v>
      </c>
      <c r="N2851">
        <v>7.2</v>
      </c>
    </row>
    <row r="2852" spans="1:14" x14ac:dyDescent="0.2">
      <c r="A2852" s="34">
        <v>40489</v>
      </c>
      <c r="B2852">
        <v>4.477684</v>
      </c>
      <c r="C2852">
        <f t="shared" si="49"/>
        <v>4.5199999999999996</v>
      </c>
      <c r="M2852" s="34">
        <v>39202</v>
      </c>
      <c r="N2852">
        <v>7.4</v>
      </c>
    </row>
    <row r="2853" spans="1:14" x14ac:dyDescent="0.2">
      <c r="A2853" s="34">
        <v>40488</v>
      </c>
      <c r="B2853">
        <v>4.4763380000000002</v>
      </c>
      <c r="C2853">
        <f t="shared" si="49"/>
        <v>4.5199999999999996</v>
      </c>
      <c r="M2853" s="34">
        <v>39199</v>
      </c>
      <c r="N2853">
        <v>7.25</v>
      </c>
    </row>
    <row r="2854" spans="1:14" x14ac:dyDescent="0.2">
      <c r="A2854" s="34">
        <v>40487</v>
      </c>
      <c r="B2854">
        <v>4.4749910000000002</v>
      </c>
      <c r="C2854">
        <f t="shared" si="49"/>
        <v>4.5199999999999996</v>
      </c>
      <c r="M2854" s="34">
        <v>39198</v>
      </c>
      <c r="N2854">
        <v>7.05</v>
      </c>
    </row>
    <row r="2855" spans="1:14" x14ac:dyDescent="0.2">
      <c r="A2855" s="34">
        <v>40486</v>
      </c>
      <c r="B2855">
        <v>4.4736459999999996</v>
      </c>
      <c r="C2855">
        <f t="shared" si="49"/>
        <v>4.5</v>
      </c>
      <c r="M2855" s="34">
        <v>39197</v>
      </c>
      <c r="N2855">
        <v>7.03</v>
      </c>
    </row>
    <row r="2856" spans="1:14" x14ac:dyDescent="0.2">
      <c r="A2856" s="34">
        <v>40485</v>
      </c>
      <c r="B2856">
        <v>4.4722999999999997</v>
      </c>
      <c r="C2856">
        <f t="shared" si="49"/>
        <v>4.8</v>
      </c>
      <c r="M2856" s="34">
        <v>39196</v>
      </c>
      <c r="N2856">
        <v>7.02</v>
      </c>
    </row>
    <row r="2857" spans="1:14" x14ac:dyDescent="0.2">
      <c r="A2857" s="34">
        <v>40484</v>
      </c>
      <c r="B2857">
        <v>4.470955</v>
      </c>
      <c r="C2857">
        <f t="shared" si="49"/>
        <v>4.55</v>
      </c>
      <c r="M2857" s="34">
        <v>39195</v>
      </c>
      <c r="N2857">
        <v>7</v>
      </c>
    </row>
    <row r="2858" spans="1:14" x14ac:dyDescent="0.2">
      <c r="A2858" s="34">
        <v>40483</v>
      </c>
      <c r="B2858">
        <v>4.4696100000000003</v>
      </c>
      <c r="C2858">
        <f t="shared" si="49"/>
        <v>4.55</v>
      </c>
      <c r="M2858" s="34">
        <v>39192</v>
      </c>
      <c r="N2858">
        <v>7</v>
      </c>
    </row>
    <row r="2859" spans="1:14" x14ac:dyDescent="0.2">
      <c r="A2859" s="34">
        <v>40482</v>
      </c>
      <c r="B2859">
        <v>4.4682659999999998</v>
      </c>
      <c r="C2859">
        <f t="shared" si="49"/>
        <v>4.53</v>
      </c>
      <c r="M2859" s="34">
        <v>39191</v>
      </c>
      <c r="N2859">
        <v>6.9</v>
      </c>
    </row>
    <row r="2860" spans="1:14" x14ac:dyDescent="0.2">
      <c r="A2860" s="34">
        <v>40481</v>
      </c>
      <c r="B2860">
        <v>4.4669220000000003</v>
      </c>
      <c r="C2860">
        <f t="shared" si="49"/>
        <v>4.53</v>
      </c>
      <c r="M2860" s="34">
        <v>39190</v>
      </c>
      <c r="N2860">
        <v>7.02</v>
      </c>
    </row>
    <row r="2861" spans="1:14" x14ac:dyDescent="0.2">
      <c r="A2861" s="34">
        <v>40480</v>
      </c>
      <c r="B2861">
        <v>4.465579</v>
      </c>
      <c r="C2861">
        <f t="shared" si="49"/>
        <v>4.53</v>
      </c>
      <c r="M2861" s="34">
        <v>39189</v>
      </c>
      <c r="N2861">
        <v>7.02</v>
      </c>
    </row>
    <row r="2862" spans="1:14" x14ac:dyDescent="0.2">
      <c r="A2862" s="34">
        <v>40479</v>
      </c>
      <c r="B2862">
        <v>4.4642359999999996</v>
      </c>
      <c r="C2862">
        <f t="shared" si="49"/>
        <v>4.5999999999999996</v>
      </c>
      <c r="M2862" s="34">
        <v>39188</v>
      </c>
      <c r="N2862">
        <v>7</v>
      </c>
    </row>
    <row r="2863" spans="1:14" x14ac:dyDescent="0.2">
      <c r="A2863" s="34">
        <v>40478</v>
      </c>
      <c r="B2863">
        <v>4.4628930000000002</v>
      </c>
      <c r="C2863">
        <f t="shared" si="49"/>
        <v>4.3</v>
      </c>
      <c r="M2863" s="34">
        <v>39185</v>
      </c>
      <c r="N2863">
        <v>7.03</v>
      </c>
    </row>
    <row r="2864" spans="1:14" x14ac:dyDescent="0.2">
      <c r="A2864" s="34">
        <v>40477</v>
      </c>
      <c r="B2864">
        <v>4.461551</v>
      </c>
      <c r="C2864">
        <f t="shared" si="49"/>
        <v>4.47</v>
      </c>
      <c r="M2864" s="34">
        <v>39184</v>
      </c>
      <c r="N2864">
        <v>7.01</v>
      </c>
    </row>
    <row r="2865" spans="1:14" x14ac:dyDescent="0.2">
      <c r="A2865" s="34">
        <v>40476</v>
      </c>
      <c r="B2865">
        <v>4.4602089999999999</v>
      </c>
      <c r="C2865">
        <f t="shared" si="49"/>
        <v>4.5</v>
      </c>
      <c r="M2865" s="34">
        <v>39183</v>
      </c>
      <c r="N2865">
        <v>6.85</v>
      </c>
    </row>
    <row r="2866" spans="1:14" x14ac:dyDescent="0.2">
      <c r="A2866" s="34">
        <v>40475</v>
      </c>
      <c r="B2866">
        <v>4.4598699999999996</v>
      </c>
      <c r="C2866">
        <f t="shared" si="49"/>
        <v>4.54</v>
      </c>
      <c r="M2866" s="34">
        <v>39182</v>
      </c>
      <c r="N2866">
        <v>7</v>
      </c>
    </row>
    <row r="2867" spans="1:14" x14ac:dyDescent="0.2">
      <c r="A2867" s="34">
        <v>40474</v>
      </c>
      <c r="B2867">
        <v>4.45953</v>
      </c>
      <c r="C2867">
        <f t="shared" si="49"/>
        <v>4.54</v>
      </c>
      <c r="M2867" s="34">
        <v>39181</v>
      </c>
      <c r="N2867">
        <v>7</v>
      </c>
    </row>
    <row r="2868" spans="1:14" x14ac:dyDescent="0.2">
      <c r="A2868" s="34">
        <v>40473</v>
      </c>
      <c r="B2868">
        <v>4.4591909999999997</v>
      </c>
      <c r="C2868">
        <f t="shared" si="49"/>
        <v>4.54</v>
      </c>
      <c r="M2868" s="34">
        <v>39176</v>
      </c>
      <c r="N2868">
        <v>7.15</v>
      </c>
    </row>
    <row r="2869" spans="1:14" x14ac:dyDescent="0.2">
      <c r="A2869" s="34">
        <v>40472</v>
      </c>
      <c r="B2869">
        <v>4.4588520000000003</v>
      </c>
      <c r="C2869">
        <f t="shared" si="49"/>
        <v>4.54</v>
      </c>
      <c r="M2869" s="34">
        <v>39175</v>
      </c>
      <c r="N2869">
        <v>7</v>
      </c>
    </row>
    <row r="2870" spans="1:14" x14ac:dyDescent="0.2">
      <c r="A2870" s="34">
        <v>40471</v>
      </c>
      <c r="B2870">
        <v>4.4585119999999998</v>
      </c>
      <c r="C2870">
        <f t="shared" si="49"/>
        <v>4.5999999999999996</v>
      </c>
      <c r="M2870" s="34">
        <v>39174</v>
      </c>
      <c r="N2870">
        <v>7.05</v>
      </c>
    </row>
    <row r="2871" spans="1:14" x14ac:dyDescent="0.2">
      <c r="A2871" s="34">
        <v>40470</v>
      </c>
      <c r="B2871">
        <v>4.4581730000000004</v>
      </c>
      <c r="C2871">
        <f t="shared" si="49"/>
        <v>4.49</v>
      </c>
      <c r="M2871" s="34">
        <v>39171</v>
      </c>
      <c r="N2871">
        <v>7.1</v>
      </c>
    </row>
    <row r="2872" spans="1:14" x14ac:dyDescent="0.2">
      <c r="A2872" s="34">
        <v>40469</v>
      </c>
      <c r="B2872">
        <v>4.4578340000000001</v>
      </c>
      <c r="C2872">
        <f t="shared" si="49"/>
        <v>4.47</v>
      </c>
      <c r="M2872" s="34">
        <v>39170</v>
      </c>
      <c r="N2872">
        <v>7</v>
      </c>
    </row>
    <row r="2873" spans="1:14" x14ac:dyDescent="0.2">
      <c r="A2873" s="34">
        <v>40468</v>
      </c>
      <c r="B2873">
        <v>4.4574939999999996</v>
      </c>
      <c r="C2873">
        <f t="shared" si="49"/>
        <v>4.3499999999999996</v>
      </c>
      <c r="M2873" s="34">
        <v>39169</v>
      </c>
      <c r="N2873">
        <v>7</v>
      </c>
    </row>
    <row r="2874" spans="1:14" x14ac:dyDescent="0.2">
      <c r="A2874" s="34">
        <v>40467</v>
      </c>
      <c r="B2874">
        <v>4.4571550000000002</v>
      </c>
      <c r="C2874">
        <f t="shared" si="49"/>
        <v>4.3499999999999996</v>
      </c>
      <c r="M2874" s="34">
        <v>39168</v>
      </c>
      <c r="N2874">
        <v>7</v>
      </c>
    </row>
    <row r="2875" spans="1:14" x14ac:dyDescent="0.2">
      <c r="A2875" s="34">
        <v>40466</v>
      </c>
      <c r="B2875">
        <v>4.4568159999999999</v>
      </c>
      <c r="C2875">
        <f t="shared" si="49"/>
        <v>4.3499999999999996</v>
      </c>
      <c r="M2875" s="34">
        <v>39167</v>
      </c>
      <c r="N2875">
        <v>6.9</v>
      </c>
    </row>
    <row r="2876" spans="1:14" x14ac:dyDescent="0.2">
      <c r="A2876" s="34">
        <v>40465</v>
      </c>
      <c r="B2876">
        <v>4.4564769999999996</v>
      </c>
      <c r="C2876">
        <f t="shared" si="49"/>
        <v>4.45</v>
      </c>
      <c r="M2876" s="34">
        <v>39164</v>
      </c>
      <c r="N2876">
        <v>7.01</v>
      </c>
    </row>
    <row r="2877" spans="1:14" x14ac:dyDescent="0.2">
      <c r="A2877" s="34">
        <v>40464</v>
      </c>
      <c r="B2877">
        <v>4.4561380000000002</v>
      </c>
      <c r="C2877">
        <f t="shared" si="49"/>
        <v>4.43</v>
      </c>
      <c r="M2877" s="34">
        <v>39163</v>
      </c>
      <c r="N2877">
        <v>7</v>
      </c>
    </row>
    <row r="2878" spans="1:14" x14ac:dyDescent="0.2">
      <c r="A2878" s="34">
        <v>40463</v>
      </c>
      <c r="B2878">
        <v>4.4557979999999997</v>
      </c>
      <c r="C2878">
        <f t="shared" si="49"/>
        <v>4.55</v>
      </c>
      <c r="M2878" s="34">
        <v>39162</v>
      </c>
      <c r="N2878">
        <v>7</v>
      </c>
    </row>
    <row r="2879" spans="1:14" x14ac:dyDescent="0.2">
      <c r="A2879" s="34">
        <v>40462</v>
      </c>
      <c r="B2879">
        <v>4.4554590000000003</v>
      </c>
      <c r="C2879">
        <f t="shared" si="49"/>
        <v>4.45</v>
      </c>
      <c r="M2879" s="34">
        <v>39161</v>
      </c>
      <c r="N2879">
        <v>7</v>
      </c>
    </row>
    <row r="2880" spans="1:14" x14ac:dyDescent="0.2">
      <c r="A2880" s="34">
        <v>40461</v>
      </c>
      <c r="B2880">
        <v>4.45512</v>
      </c>
      <c r="C2880">
        <f t="shared" si="49"/>
        <v>4.54</v>
      </c>
      <c r="M2880" s="34">
        <v>39157</v>
      </c>
      <c r="N2880">
        <v>7.01</v>
      </c>
    </row>
    <row r="2881" spans="1:14" x14ac:dyDescent="0.2">
      <c r="A2881" s="34">
        <v>40460</v>
      </c>
      <c r="B2881">
        <v>4.4539260000000001</v>
      </c>
      <c r="C2881">
        <f t="shared" si="49"/>
        <v>4.54</v>
      </c>
      <c r="M2881" s="34">
        <v>39156</v>
      </c>
      <c r="N2881">
        <v>7.02</v>
      </c>
    </row>
    <row r="2882" spans="1:14" x14ac:dyDescent="0.2">
      <c r="A2882" s="34">
        <v>40459</v>
      </c>
      <c r="B2882">
        <v>4.4527330000000003</v>
      </c>
      <c r="C2882">
        <f t="shared" ref="C2882:C2945" si="50">IFERROR(VLOOKUP(A2882,$M$2:$N$3695,2,0),C2883)</f>
        <v>4.54</v>
      </c>
      <c r="M2882" s="34">
        <v>39155</v>
      </c>
      <c r="N2882">
        <v>7</v>
      </c>
    </row>
    <row r="2883" spans="1:14" x14ac:dyDescent="0.2">
      <c r="A2883" s="34">
        <v>40458</v>
      </c>
      <c r="B2883">
        <v>4.4515399999999996</v>
      </c>
      <c r="C2883">
        <f t="shared" si="50"/>
        <v>4.47</v>
      </c>
      <c r="M2883" s="34">
        <v>39154</v>
      </c>
      <c r="N2883">
        <v>7</v>
      </c>
    </row>
    <row r="2884" spans="1:14" x14ac:dyDescent="0.2">
      <c r="A2884" s="34">
        <v>40457</v>
      </c>
      <c r="B2884">
        <v>4.4503469999999998</v>
      </c>
      <c r="C2884">
        <f t="shared" si="50"/>
        <v>4.53</v>
      </c>
      <c r="M2884" s="34">
        <v>39153</v>
      </c>
      <c r="N2884">
        <v>7.02</v>
      </c>
    </row>
    <row r="2885" spans="1:14" x14ac:dyDescent="0.2">
      <c r="A2885" s="34">
        <v>40456</v>
      </c>
      <c r="B2885">
        <v>4.4491540000000001</v>
      </c>
      <c r="C2885">
        <f t="shared" si="50"/>
        <v>4.51</v>
      </c>
      <c r="M2885" s="34">
        <v>39150</v>
      </c>
      <c r="N2885">
        <v>6.9</v>
      </c>
    </row>
    <row r="2886" spans="1:14" x14ac:dyDescent="0.2">
      <c r="A2886" s="34">
        <v>40455</v>
      </c>
      <c r="B2886">
        <v>4.4479620000000004</v>
      </c>
      <c r="C2886">
        <f t="shared" si="50"/>
        <v>4.6100000000000003</v>
      </c>
      <c r="M2886" s="34">
        <v>39149</v>
      </c>
      <c r="N2886">
        <v>7.01</v>
      </c>
    </row>
    <row r="2887" spans="1:14" x14ac:dyDescent="0.2">
      <c r="A2887" s="34">
        <v>40454</v>
      </c>
      <c r="B2887">
        <v>4.4467699999999999</v>
      </c>
      <c r="C2887">
        <f t="shared" si="50"/>
        <v>4.4000000000000004</v>
      </c>
      <c r="M2887" s="34">
        <v>39148</v>
      </c>
      <c r="N2887">
        <v>6.9</v>
      </c>
    </row>
    <row r="2888" spans="1:14" x14ac:dyDescent="0.2">
      <c r="A2888" s="34">
        <v>40453</v>
      </c>
      <c r="B2888">
        <v>4.4455790000000004</v>
      </c>
      <c r="C2888">
        <f t="shared" si="50"/>
        <v>4.4000000000000004</v>
      </c>
      <c r="M2888" s="34">
        <v>39147</v>
      </c>
      <c r="N2888">
        <v>6.95</v>
      </c>
    </row>
    <row r="2889" spans="1:14" x14ac:dyDescent="0.2">
      <c r="A2889" s="34">
        <v>40452</v>
      </c>
      <c r="B2889">
        <v>4.4443869999999999</v>
      </c>
      <c r="C2889">
        <f t="shared" si="50"/>
        <v>4.4000000000000004</v>
      </c>
      <c r="M2889" s="34">
        <v>39146</v>
      </c>
      <c r="N2889">
        <v>7.02</v>
      </c>
    </row>
    <row r="2890" spans="1:14" x14ac:dyDescent="0.2">
      <c r="A2890" s="34">
        <v>40451</v>
      </c>
      <c r="B2890">
        <v>4.4431960000000004</v>
      </c>
      <c r="C2890">
        <f t="shared" si="50"/>
        <v>4.45</v>
      </c>
      <c r="M2890" s="34">
        <v>39143</v>
      </c>
      <c r="N2890">
        <v>6.8</v>
      </c>
    </row>
    <row r="2891" spans="1:14" x14ac:dyDescent="0.2">
      <c r="A2891" s="34">
        <v>40450</v>
      </c>
      <c r="B2891">
        <v>4.4420060000000001</v>
      </c>
      <c r="C2891">
        <f t="shared" si="50"/>
        <v>4.53</v>
      </c>
      <c r="M2891" s="34">
        <v>39142</v>
      </c>
      <c r="N2891">
        <v>7</v>
      </c>
    </row>
    <row r="2892" spans="1:14" x14ac:dyDescent="0.2">
      <c r="A2892" s="34">
        <v>40449</v>
      </c>
      <c r="B2892">
        <v>4.4408149999999997</v>
      </c>
      <c r="C2892">
        <f t="shared" si="50"/>
        <v>4.5</v>
      </c>
      <c r="M2892" s="34">
        <v>39141</v>
      </c>
      <c r="N2892">
        <v>7.25</v>
      </c>
    </row>
    <row r="2893" spans="1:14" x14ac:dyDescent="0.2">
      <c r="A2893" s="34">
        <v>40448</v>
      </c>
      <c r="B2893">
        <v>4.4396250000000004</v>
      </c>
      <c r="C2893">
        <f t="shared" si="50"/>
        <v>4.45</v>
      </c>
      <c r="M2893" s="34">
        <v>39140</v>
      </c>
      <c r="N2893">
        <v>7</v>
      </c>
    </row>
    <row r="2894" spans="1:14" x14ac:dyDescent="0.2">
      <c r="A2894" s="34">
        <v>40447</v>
      </c>
      <c r="B2894">
        <v>4.4384360000000003</v>
      </c>
      <c r="C2894">
        <f t="shared" si="50"/>
        <v>4.5199999999999996</v>
      </c>
      <c r="M2894" s="34">
        <v>39139</v>
      </c>
      <c r="N2894">
        <v>7.02</v>
      </c>
    </row>
    <row r="2895" spans="1:14" x14ac:dyDescent="0.2">
      <c r="A2895" s="34">
        <v>40446</v>
      </c>
      <c r="B2895">
        <v>4.437246</v>
      </c>
      <c r="C2895">
        <f t="shared" si="50"/>
        <v>4.5199999999999996</v>
      </c>
      <c r="M2895" s="34">
        <v>39136</v>
      </c>
      <c r="N2895">
        <v>7.02</v>
      </c>
    </row>
    <row r="2896" spans="1:14" x14ac:dyDescent="0.2">
      <c r="A2896" s="34">
        <v>40445</v>
      </c>
      <c r="B2896">
        <v>4.4368670000000003</v>
      </c>
      <c r="C2896">
        <f t="shared" si="50"/>
        <v>4.5199999999999996</v>
      </c>
      <c r="M2896" s="34">
        <v>39135</v>
      </c>
      <c r="N2896">
        <v>7.02</v>
      </c>
    </row>
    <row r="2897" spans="1:14" x14ac:dyDescent="0.2">
      <c r="A2897" s="34">
        <v>40444</v>
      </c>
      <c r="B2897">
        <v>4.4364879999999998</v>
      </c>
      <c r="C2897">
        <f t="shared" si="50"/>
        <v>4.53</v>
      </c>
      <c r="M2897" s="34">
        <v>39134</v>
      </c>
      <c r="N2897">
        <v>7</v>
      </c>
    </row>
    <row r="2898" spans="1:14" x14ac:dyDescent="0.2">
      <c r="A2898" s="34">
        <v>40443</v>
      </c>
      <c r="B2898">
        <v>4.4361090000000001</v>
      </c>
      <c r="C2898">
        <f t="shared" si="50"/>
        <v>4.51</v>
      </c>
      <c r="M2898" s="34">
        <v>39133</v>
      </c>
      <c r="N2898">
        <v>7.02</v>
      </c>
    </row>
    <row r="2899" spans="1:14" x14ac:dyDescent="0.2">
      <c r="A2899" s="34">
        <v>40442</v>
      </c>
      <c r="B2899">
        <v>4.4357290000000003</v>
      </c>
      <c r="C2899">
        <f t="shared" si="50"/>
        <v>4.55</v>
      </c>
      <c r="M2899" s="34">
        <v>39132</v>
      </c>
      <c r="N2899">
        <v>7.05</v>
      </c>
    </row>
    <row r="2900" spans="1:14" x14ac:dyDescent="0.2">
      <c r="A2900" s="34">
        <v>40441</v>
      </c>
      <c r="B2900">
        <v>4.4353499999999997</v>
      </c>
      <c r="C2900">
        <f t="shared" si="50"/>
        <v>4.5</v>
      </c>
      <c r="M2900" s="34">
        <v>39129</v>
      </c>
      <c r="N2900">
        <v>6.8</v>
      </c>
    </row>
    <row r="2901" spans="1:14" x14ac:dyDescent="0.2">
      <c r="A2901" s="34">
        <v>40440</v>
      </c>
      <c r="B2901">
        <v>4.434971</v>
      </c>
      <c r="C2901">
        <f t="shared" si="50"/>
        <v>4.5</v>
      </c>
      <c r="M2901" s="34">
        <v>39128</v>
      </c>
      <c r="N2901">
        <v>7</v>
      </c>
    </row>
    <row r="2902" spans="1:14" x14ac:dyDescent="0.2">
      <c r="A2902" s="34">
        <v>40439</v>
      </c>
      <c r="B2902">
        <v>4.4345920000000003</v>
      </c>
      <c r="C2902">
        <f t="shared" si="50"/>
        <v>4.5</v>
      </c>
      <c r="M2902" s="34">
        <v>39127</v>
      </c>
      <c r="N2902">
        <v>7.01</v>
      </c>
    </row>
    <row r="2903" spans="1:14" x14ac:dyDescent="0.2">
      <c r="A2903" s="34">
        <v>40438</v>
      </c>
      <c r="B2903">
        <v>4.4342129999999997</v>
      </c>
      <c r="C2903">
        <f t="shared" si="50"/>
        <v>4.5</v>
      </c>
      <c r="M2903" s="34">
        <v>39126</v>
      </c>
      <c r="N2903">
        <v>7</v>
      </c>
    </row>
    <row r="2904" spans="1:14" x14ac:dyDescent="0.2">
      <c r="A2904" s="34">
        <v>40437</v>
      </c>
      <c r="B2904">
        <v>4.4338340000000001</v>
      </c>
      <c r="C2904">
        <f t="shared" si="50"/>
        <v>4.5</v>
      </c>
      <c r="M2904" s="34">
        <v>39125</v>
      </c>
      <c r="N2904">
        <v>7</v>
      </c>
    </row>
    <row r="2905" spans="1:14" x14ac:dyDescent="0.2">
      <c r="A2905" s="34">
        <v>40436</v>
      </c>
      <c r="B2905">
        <v>4.4334550000000004</v>
      </c>
      <c r="C2905">
        <f t="shared" si="50"/>
        <v>4.5</v>
      </c>
      <c r="M2905" s="34">
        <v>39122</v>
      </c>
      <c r="N2905">
        <v>7</v>
      </c>
    </row>
    <row r="2906" spans="1:14" x14ac:dyDescent="0.2">
      <c r="A2906" s="34">
        <v>40435</v>
      </c>
      <c r="B2906">
        <v>4.4330759999999998</v>
      </c>
      <c r="C2906">
        <f t="shared" si="50"/>
        <v>4.54</v>
      </c>
      <c r="M2906" s="34">
        <v>39121</v>
      </c>
      <c r="N2906">
        <v>7.02</v>
      </c>
    </row>
    <row r="2907" spans="1:14" x14ac:dyDescent="0.2">
      <c r="A2907" s="34">
        <v>40434</v>
      </c>
      <c r="B2907">
        <v>4.4326970000000001</v>
      </c>
      <c r="C2907">
        <f t="shared" si="50"/>
        <v>4.5</v>
      </c>
      <c r="M2907" s="34">
        <v>39120</v>
      </c>
      <c r="N2907">
        <v>7.01</v>
      </c>
    </row>
    <row r="2908" spans="1:14" x14ac:dyDescent="0.2">
      <c r="A2908" s="34">
        <v>40433</v>
      </c>
      <c r="B2908">
        <v>4.4323180000000004</v>
      </c>
      <c r="C2908">
        <f t="shared" si="50"/>
        <v>4.55</v>
      </c>
      <c r="M2908" s="34">
        <v>39119</v>
      </c>
      <c r="N2908">
        <v>7</v>
      </c>
    </row>
    <row r="2909" spans="1:14" x14ac:dyDescent="0.2">
      <c r="A2909" s="34">
        <v>40432</v>
      </c>
      <c r="B2909">
        <v>4.4319389999999999</v>
      </c>
      <c r="C2909">
        <f t="shared" si="50"/>
        <v>4.55</v>
      </c>
      <c r="M2909" s="34">
        <v>39115</v>
      </c>
      <c r="N2909">
        <v>6.99</v>
      </c>
    </row>
    <row r="2910" spans="1:14" x14ac:dyDescent="0.2">
      <c r="A2910" s="34">
        <v>40431</v>
      </c>
      <c r="B2910">
        <v>4.4315610000000003</v>
      </c>
      <c r="C2910">
        <f t="shared" si="50"/>
        <v>4.55</v>
      </c>
      <c r="M2910" s="34">
        <v>39114</v>
      </c>
      <c r="N2910">
        <v>6.95</v>
      </c>
    </row>
    <row r="2911" spans="1:14" x14ac:dyDescent="0.2">
      <c r="A2911" s="34">
        <v>40430</v>
      </c>
      <c r="B2911">
        <v>4.4311239999999996</v>
      </c>
      <c r="C2911">
        <f t="shared" si="50"/>
        <v>4.53</v>
      </c>
      <c r="M2911" s="34">
        <v>39113</v>
      </c>
      <c r="N2911">
        <v>7.05</v>
      </c>
    </row>
    <row r="2912" spans="1:14" x14ac:dyDescent="0.2">
      <c r="A2912" s="34">
        <v>40429</v>
      </c>
      <c r="B2912">
        <v>4.430688</v>
      </c>
      <c r="C2912">
        <f t="shared" si="50"/>
        <v>4.5199999999999996</v>
      </c>
      <c r="M2912" s="34">
        <v>39112</v>
      </c>
      <c r="N2912">
        <v>6.99</v>
      </c>
    </row>
    <row r="2913" spans="1:14" x14ac:dyDescent="0.2">
      <c r="A2913" s="34">
        <v>40428</v>
      </c>
      <c r="B2913">
        <v>4.4302520000000003</v>
      </c>
      <c r="C2913">
        <f t="shared" si="50"/>
        <v>4.53</v>
      </c>
      <c r="M2913" s="34">
        <v>39111</v>
      </c>
      <c r="N2913">
        <v>7</v>
      </c>
    </row>
    <row r="2914" spans="1:14" x14ac:dyDescent="0.2">
      <c r="A2914" s="34">
        <v>40427</v>
      </c>
      <c r="B2914">
        <v>4.4298159999999998</v>
      </c>
      <c r="C2914">
        <f t="shared" si="50"/>
        <v>4.5</v>
      </c>
      <c r="M2914" s="34">
        <v>39108</v>
      </c>
      <c r="N2914">
        <v>7.02</v>
      </c>
    </row>
    <row r="2915" spans="1:14" x14ac:dyDescent="0.2">
      <c r="A2915" s="34">
        <v>40426</v>
      </c>
      <c r="B2915">
        <v>4.4293800000000001</v>
      </c>
      <c r="C2915">
        <f t="shared" si="50"/>
        <v>4.58</v>
      </c>
      <c r="M2915" s="34">
        <v>39107</v>
      </c>
      <c r="N2915">
        <v>7.02</v>
      </c>
    </row>
    <row r="2916" spans="1:14" x14ac:dyDescent="0.2">
      <c r="A2916" s="34">
        <v>40425</v>
      </c>
      <c r="B2916">
        <v>4.4289440000000004</v>
      </c>
      <c r="C2916">
        <f t="shared" si="50"/>
        <v>4.58</v>
      </c>
      <c r="M2916" s="34">
        <v>39106</v>
      </c>
      <c r="N2916">
        <v>7</v>
      </c>
    </row>
    <row r="2917" spans="1:14" x14ac:dyDescent="0.2">
      <c r="A2917" s="34">
        <v>40424</v>
      </c>
      <c r="B2917">
        <v>4.4285079999999999</v>
      </c>
      <c r="C2917">
        <f t="shared" si="50"/>
        <v>4.58</v>
      </c>
      <c r="M2917" s="34">
        <v>39105</v>
      </c>
      <c r="N2917">
        <v>7.02</v>
      </c>
    </row>
    <row r="2918" spans="1:14" x14ac:dyDescent="0.2">
      <c r="A2918" s="34">
        <v>40423</v>
      </c>
      <c r="B2918">
        <v>4.4280720000000002</v>
      </c>
      <c r="C2918">
        <f t="shared" si="50"/>
        <v>4.54</v>
      </c>
      <c r="M2918" s="34">
        <v>39104</v>
      </c>
      <c r="N2918">
        <v>7</v>
      </c>
    </row>
    <row r="2919" spans="1:14" x14ac:dyDescent="0.2">
      <c r="A2919" s="34">
        <v>40422</v>
      </c>
      <c r="B2919">
        <v>4.4276369999999998</v>
      </c>
      <c r="C2919">
        <f t="shared" si="50"/>
        <v>4.51</v>
      </c>
      <c r="M2919" s="34">
        <v>39101</v>
      </c>
      <c r="N2919">
        <v>7.02</v>
      </c>
    </row>
    <row r="2920" spans="1:14" x14ac:dyDescent="0.2">
      <c r="A2920" s="34">
        <v>40421</v>
      </c>
      <c r="B2920">
        <v>4.4272010000000002</v>
      </c>
      <c r="C2920">
        <f t="shared" si="50"/>
        <v>4.58</v>
      </c>
      <c r="M2920" s="34">
        <v>39100</v>
      </c>
      <c r="N2920">
        <v>6.98</v>
      </c>
    </row>
    <row r="2921" spans="1:14" x14ac:dyDescent="0.2">
      <c r="A2921" s="34">
        <v>40420</v>
      </c>
      <c r="B2921">
        <v>4.4267649999999996</v>
      </c>
      <c r="C2921">
        <f t="shared" si="50"/>
        <v>4.5</v>
      </c>
      <c r="M2921" s="34">
        <v>39099</v>
      </c>
      <c r="N2921">
        <v>7.5</v>
      </c>
    </row>
    <row r="2922" spans="1:14" x14ac:dyDescent="0.2">
      <c r="A2922" s="34">
        <v>40419</v>
      </c>
      <c r="B2922">
        <v>4.426329</v>
      </c>
      <c r="C2922">
        <f t="shared" si="50"/>
        <v>4.55</v>
      </c>
      <c r="M2922" s="34">
        <v>39098</v>
      </c>
      <c r="N2922">
        <v>7</v>
      </c>
    </row>
    <row r="2923" spans="1:14" x14ac:dyDescent="0.2">
      <c r="A2923" s="34">
        <v>40418</v>
      </c>
      <c r="B2923">
        <v>4.4258940000000004</v>
      </c>
      <c r="C2923">
        <f t="shared" si="50"/>
        <v>4.55</v>
      </c>
      <c r="M2923" s="34">
        <v>39097</v>
      </c>
      <c r="N2923">
        <v>7</v>
      </c>
    </row>
    <row r="2924" spans="1:14" x14ac:dyDescent="0.2">
      <c r="A2924" s="34">
        <v>40417</v>
      </c>
      <c r="B2924">
        <v>4.4254579999999999</v>
      </c>
      <c r="C2924">
        <f t="shared" si="50"/>
        <v>4.55</v>
      </c>
      <c r="M2924" s="34">
        <v>39094</v>
      </c>
      <c r="N2924">
        <v>7.01</v>
      </c>
    </row>
    <row r="2925" spans="1:14" x14ac:dyDescent="0.2">
      <c r="A2925" s="34">
        <v>40416</v>
      </c>
      <c r="B2925">
        <v>4.4250230000000004</v>
      </c>
      <c r="C2925">
        <f t="shared" si="50"/>
        <v>4.5</v>
      </c>
      <c r="M2925" s="34">
        <v>39093</v>
      </c>
      <c r="N2925">
        <v>7.02</v>
      </c>
    </row>
    <row r="2926" spans="1:14" x14ac:dyDescent="0.2">
      <c r="A2926" s="34">
        <v>40415</v>
      </c>
      <c r="B2926">
        <v>4.4245869999999998</v>
      </c>
      <c r="C2926">
        <f t="shared" si="50"/>
        <v>4.6100000000000003</v>
      </c>
      <c r="M2926" s="34">
        <v>39092</v>
      </c>
      <c r="N2926">
        <v>7.02</v>
      </c>
    </row>
    <row r="2927" spans="1:14" x14ac:dyDescent="0.2">
      <c r="A2927" s="34">
        <v>40414</v>
      </c>
      <c r="B2927">
        <v>4.4242619999999997</v>
      </c>
      <c r="C2927">
        <f t="shared" si="50"/>
        <v>4.5999999999999996</v>
      </c>
      <c r="M2927" s="34">
        <v>39091</v>
      </c>
      <c r="N2927">
        <v>7</v>
      </c>
    </row>
    <row r="2928" spans="1:14" x14ac:dyDescent="0.2">
      <c r="A2928" s="34">
        <v>40413</v>
      </c>
      <c r="B2928">
        <v>4.4239369999999996</v>
      </c>
      <c r="C2928">
        <f t="shared" si="50"/>
        <v>4.5999999999999996</v>
      </c>
      <c r="M2928" s="34">
        <v>39090</v>
      </c>
      <c r="N2928">
        <v>7.02</v>
      </c>
    </row>
    <row r="2929" spans="1:14" x14ac:dyDescent="0.2">
      <c r="A2929" s="34">
        <v>40412</v>
      </c>
      <c r="B2929">
        <v>4.4236129999999996</v>
      </c>
      <c r="C2929">
        <f t="shared" si="50"/>
        <v>4.6100000000000003</v>
      </c>
      <c r="M2929" s="34">
        <v>39087</v>
      </c>
      <c r="N2929">
        <v>7.02</v>
      </c>
    </row>
    <row r="2930" spans="1:14" x14ac:dyDescent="0.2">
      <c r="A2930" s="34">
        <v>40411</v>
      </c>
      <c r="B2930">
        <v>4.4232880000000003</v>
      </c>
      <c r="C2930">
        <f t="shared" si="50"/>
        <v>4.6100000000000003</v>
      </c>
      <c r="M2930" s="34">
        <v>39086</v>
      </c>
      <c r="N2930">
        <v>7</v>
      </c>
    </row>
    <row r="2931" spans="1:14" x14ac:dyDescent="0.2">
      <c r="A2931" s="34">
        <v>40410</v>
      </c>
      <c r="B2931">
        <v>4.4229630000000002</v>
      </c>
      <c r="C2931">
        <f t="shared" si="50"/>
        <v>4.6100000000000003</v>
      </c>
      <c r="M2931" s="34">
        <v>39085</v>
      </c>
      <c r="N2931">
        <v>6.95</v>
      </c>
    </row>
    <row r="2932" spans="1:14" x14ac:dyDescent="0.2">
      <c r="A2932" s="34">
        <v>40409</v>
      </c>
      <c r="B2932">
        <v>4.4226390000000002</v>
      </c>
      <c r="C2932">
        <f t="shared" si="50"/>
        <v>4.59</v>
      </c>
      <c r="M2932" s="34">
        <v>39084</v>
      </c>
      <c r="N2932">
        <v>7</v>
      </c>
    </row>
    <row r="2933" spans="1:14" x14ac:dyDescent="0.2">
      <c r="A2933" s="34">
        <v>40408</v>
      </c>
      <c r="B2933">
        <v>4.4223140000000001</v>
      </c>
      <c r="C2933">
        <f t="shared" si="50"/>
        <v>4.58</v>
      </c>
      <c r="M2933" s="34">
        <v>39080</v>
      </c>
      <c r="N2933">
        <v>7.03</v>
      </c>
    </row>
    <row r="2934" spans="1:14" x14ac:dyDescent="0.2">
      <c r="A2934" s="34">
        <v>40407</v>
      </c>
      <c r="B2934">
        <v>4.4219900000000001</v>
      </c>
      <c r="C2934">
        <f t="shared" si="50"/>
        <v>4.5999999999999996</v>
      </c>
      <c r="M2934" s="34">
        <v>39079</v>
      </c>
      <c r="N2934">
        <v>7.04</v>
      </c>
    </row>
    <row r="2935" spans="1:14" x14ac:dyDescent="0.2">
      <c r="A2935" s="34">
        <v>40406</v>
      </c>
      <c r="B2935">
        <v>4.421665</v>
      </c>
      <c r="C2935">
        <f t="shared" si="50"/>
        <v>4.55</v>
      </c>
      <c r="M2935" s="34">
        <v>39078</v>
      </c>
      <c r="N2935">
        <v>7</v>
      </c>
    </row>
    <row r="2936" spans="1:14" x14ac:dyDescent="0.2">
      <c r="A2936" s="34">
        <v>40405</v>
      </c>
      <c r="B2936">
        <v>4.4213399999999998</v>
      </c>
      <c r="C2936">
        <f t="shared" si="50"/>
        <v>4.55</v>
      </c>
      <c r="M2936" s="34">
        <v>39077</v>
      </c>
      <c r="N2936">
        <v>7.05</v>
      </c>
    </row>
    <row r="2937" spans="1:14" x14ac:dyDescent="0.2">
      <c r="A2937" s="34">
        <v>40404</v>
      </c>
      <c r="B2937">
        <v>4.4210159999999998</v>
      </c>
      <c r="C2937">
        <f t="shared" si="50"/>
        <v>4.55</v>
      </c>
      <c r="M2937" s="34">
        <v>39073</v>
      </c>
      <c r="N2937">
        <v>7.05</v>
      </c>
    </row>
    <row r="2938" spans="1:14" x14ac:dyDescent="0.2">
      <c r="A2938" s="34">
        <v>40403</v>
      </c>
      <c r="B2938">
        <v>4.4206909999999997</v>
      </c>
      <c r="C2938">
        <f t="shared" si="50"/>
        <v>4.55</v>
      </c>
      <c r="M2938" s="34">
        <v>39072</v>
      </c>
      <c r="N2938">
        <v>7.04</v>
      </c>
    </row>
    <row r="2939" spans="1:14" x14ac:dyDescent="0.2">
      <c r="A2939" s="34">
        <v>40402</v>
      </c>
      <c r="B2939">
        <v>4.4203669999999997</v>
      </c>
      <c r="C2939">
        <f t="shared" si="50"/>
        <v>4.5999999999999996</v>
      </c>
      <c r="M2939" s="34">
        <v>39071</v>
      </c>
      <c r="N2939">
        <v>7</v>
      </c>
    </row>
    <row r="2940" spans="1:14" x14ac:dyDescent="0.2">
      <c r="A2940" s="34">
        <v>40401</v>
      </c>
      <c r="B2940">
        <v>4.4200419999999996</v>
      </c>
      <c r="C2940">
        <f t="shared" si="50"/>
        <v>4.5999999999999996</v>
      </c>
      <c r="M2940" s="34">
        <v>39070</v>
      </c>
      <c r="N2940">
        <v>7.03</v>
      </c>
    </row>
    <row r="2941" spans="1:14" x14ac:dyDescent="0.2">
      <c r="A2941" s="34">
        <v>40400</v>
      </c>
      <c r="B2941">
        <v>4.4197179999999996</v>
      </c>
      <c r="C2941">
        <f t="shared" si="50"/>
        <v>4.58</v>
      </c>
      <c r="M2941" s="34">
        <v>39069</v>
      </c>
      <c r="N2941">
        <v>7.04</v>
      </c>
    </row>
    <row r="2942" spans="1:14" x14ac:dyDescent="0.2">
      <c r="A2942" s="34">
        <v>40399</v>
      </c>
      <c r="B2942">
        <v>4.4193090000000002</v>
      </c>
      <c r="C2942">
        <f t="shared" si="50"/>
        <v>4.57</v>
      </c>
      <c r="M2942" s="34">
        <v>39066</v>
      </c>
      <c r="N2942">
        <v>6.75</v>
      </c>
    </row>
    <row r="2943" spans="1:14" x14ac:dyDescent="0.2">
      <c r="A2943" s="34">
        <v>40398</v>
      </c>
      <c r="B2943">
        <v>4.418901</v>
      </c>
      <c r="C2943">
        <f t="shared" si="50"/>
        <v>4.5599999999999996</v>
      </c>
      <c r="M2943" s="34">
        <v>39065</v>
      </c>
      <c r="N2943">
        <v>7.15</v>
      </c>
    </row>
    <row r="2944" spans="1:14" x14ac:dyDescent="0.2">
      <c r="A2944" s="34">
        <v>40397</v>
      </c>
      <c r="B2944">
        <v>4.4184919999999996</v>
      </c>
      <c r="C2944">
        <f t="shared" si="50"/>
        <v>4.5599999999999996</v>
      </c>
      <c r="M2944" s="34">
        <v>39064</v>
      </c>
      <c r="N2944">
        <v>7.15</v>
      </c>
    </row>
    <row r="2945" spans="1:14" x14ac:dyDescent="0.2">
      <c r="A2945" s="34">
        <v>40396</v>
      </c>
      <c r="B2945">
        <v>4.4180840000000003</v>
      </c>
      <c r="C2945">
        <f t="shared" si="50"/>
        <v>4.5599999999999996</v>
      </c>
      <c r="M2945" s="34">
        <v>39062</v>
      </c>
      <c r="N2945">
        <v>7</v>
      </c>
    </row>
    <row r="2946" spans="1:14" x14ac:dyDescent="0.2">
      <c r="A2946" s="34">
        <v>40395</v>
      </c>
      <c r="B2946">
        <v>4.417675</v>
      </c>
      <c r="C2946">
        <f t="shared" ref="C2946:C3009" si="51">IFERROR(VLOOKUP(A2946,$M$2:$N$3695,2,0),C2947)</f>
        <v>4.57</v>
      </c>
      <c r="M2946" s="34">
        <v>39059</v>
      </c>
      <c r="N2946">
        <v>7</v>
      </c>
    </row>
    <row r="2947" spans="1:14" x14ac:dyDescent="0.2">
      <c r="A2947" s="34">
        <v>40394</v>
      </c>
      <c r="B2947">
        <v>4.4172669999999998</v>
      </c>
      <c r="C2947">
        <f t="shared" si="51"/>
        <v>4.57</v>
      </c>
      <c r="M2947" s="34">
        <v>39058</v>
      </c>
      <c r="N2947">
        <v>7.02</v>
      </c>
    </row>
    <row r="2948" spans="1:14" x14ac:dyDescent="0.2">
      <c r="A2948" s="34">
        <v>40393</v>
      </c>
      <c r="B2948">
        <v>4.4168580000000004</v>
      </c>
      <c r="C2948">
        <f t="shared" si="51"/>
        <v>4.55</v>
      </c>
      <c r="M2948" s="34">
        <v>39057</v>
      </c>
      <c r="N2948">
        <v>6.95</v>
      </c>
    </row>
    <row r="2949" spans="1:14" x14ac:dyDescent="0.2">
      <c r="A2949" s="34">
        <v>40392</v>
      </c>
      <c r="B2949">
        <v>4.4164500000000002</v>
      </c>
      <c r="C2949">
        <f t="shared" si="51"/>
        <v>4.53</v>
      </c>
      <c r="M2949" s="34">
        <v>39056</v>
      </c>
      <c r="N2949">
        <v>7.05</v>
      </c>
    </row>
    <row r="2950" spans="1:14" x14ac:dyDescent="0.2">
      <c r="A2950" s="34">
        <v>40391</v>
      </c>
      <c r="B2950">
        <v>4.416042</v>
      </c>
      <c r="C2950">
        <f t="shared" si="51"/>
        <v>4.6100000000000003</v>
      </c>
      <c r="M2950" s="34">
        <v>39055</v>
      </c>
      <c r="N2950">
        <v>7</v>
      </c>
    </row>
    <row r="2951" spans="1:14" x14ac:dyDescent="0.2">
      <c r="A2951" s="34">
        <v>40390</v>
      </c>
      <c r="B2951">
        <v>4.4156329999999997</v>
      </c>
      <c r="C2951">
        <f t="shared" si="51"/>
        <v>4.6100000000000003</v>
      </c>
      <c r="M2951" s="34">
        <v>39051</v>
      </c>
      <c r="N2951">
        <v>7</v>
      </c>
    </row>
    <row r="2952" spans="1:14" x14ac:dyDescent="0.2">
      <c r="A2952" s="34">
        <v>40389</v>
      </c>
      <c r="B2952">
        <v>4.4152250000000004</v>
      </c>
      <c r="C2952">
        <f t="shared" si="51"/>
        <v>4.6100000000000003</v>
      </c>
      <c r="M2952" s="34">
        <v>39050</v>
      </c>
      <c r="N2952">
        <v>7.09</v>
      </c>
    </row>
    <row r="2953" spans="1:14" x14ac:dyDescent="0.2">
      <c r="A2953" s="34">
        <v>40388</v>
      </c>
      <c r="B2953">
        <v>4.4148170000000002</v>
      </c>
      <c r="C2953">
        <f t="shared" si="51"/>
        <v>4.54</v>
      </c>
      <c r="M2953" s="34">
        <v>39049</v>
      </c>
      <c r="N2953">
        <v>7.02</v>
      </c>
    </row>
    <row r="2954" spans="1:14" x14ac:dyDescent="0.2">
      <c r="A2954" s="34">
        <v>40387</v>
      </c>
      <c r="B2954">
        <v>4.414409</v>
      </c>
      <c r="C2954">
        <f t="shared" si="51"/>
        <v>4.55</v>
      </c>
      <c r="M2954" s="34">
        <v>39048</v>
      </c>
      <c r="N2954">
        <v>7.01</v>
      </c>
    </row>
    <row r="2955" spans="1:14" x14ac:dyDescent="0.2">
      <c r="A2955" s="34">
        <v>40386</v>
      </c>
      <c r="B2955">
        <v>4.4139999999999997</v>
      </c>
      <c r="C2955">
        <f t="shared" si="51"/>
        <v>4.58</v>
      </c>
      <c r="M2955" s="34">
        <v>39045</v>
      </c>
      <c r="N2955">
        <v>7</v>
      </c>
    </row>
    <row r="2956" spans="1:14" x14ac:dyDescent="0.2">
      <c r="A2956" s="34">
        <v>40385</v>
      </c>
      <c r="B2956">
        <v>4.4135920000000004</v>
      </c>
      <c r="C2956">
        <f t="shared" si="51"/>
        <v>4.5999999999999996</v>
      </c>
      <c r="M2956" s="34">
        <v>39044</v>
      </c>
      <c r="N2956">
        <v>7</v>
      </c>
    </row>
    <row r="2957" spans="1:14" x14ac:dyDescent="0.2">
      <c r="A2957" s="34">
        <v>40384</v>
      </c>
      <c r="B2957">
        <v>4.4131840000000002</v>
      </c>
      <c r="C2957">
        <f t="shared" si="51"/>
        <v>4.57</v>
      </c>
      <c r="M2957" s="34">
        <v>39043</v>
      </c>
      <c r="N2957">
        <v>7.1</v>
      </c>
    </row>
    <row r="2958" spans="1:14" x14ac:dyDescent="0.2">
      <c r="A2958" s="34">
        <v>40383</v>
      </c>
      <c r="B2958">
        <v>4.4131</v>
      </c>
      <c r="C2958">
        <f t="shared" si="51"/>
        <v>4.57</v>
      </c>
      <c r="M2958" s="34">
        <v>39042</v>
      </c>
      <c r="N2958">
        <v>7.1</v>
      </c>
    </row>
    <row r="2959" spans="1:14" x14ac:dyDescent="0.2">
      <c r="A2959" s="34">
        <v>40382</v>
      </c>
      <c r="B2959">
        <v>4.413017</v>
      </c>
      <c r="C2959">
        <f t="shared" si="51"/>
        <v>4.57</v>
      </c>
      <c r="M2959" s="34">
        <v>39038</v>
      </c>
      <c r="N2959">
        <v>6.75</v>
      </c>
    </row>
    <row r="2960" spans="1:14" x14ac:dyDescent="0.2">
      <c r="A2960" s="34">
        <v>40381</v>
      </c>
      <c r="B2960">
        <v>4.4129329999999998</v>
      </c>
      <c r="C2960">
        <f t="shared" si="51"/>
        <v>4.58</v>
      </c>
      <c r="M2960" s="34">
        <v>39037</v>
      </c>
      <c r="N2960">
        <v>6.98</v>
      </c>
    </row>
    <row r="2961" spans="1:14" x14ac:dyDescent="0.2">
      <c r="A2961" s="34">
        <v>40380</v>
      </c>
      <c r="B2961">
        <v>4.4128489999999996</v>
      </c>
      <c r="C2961">
        <f t="shared" si="51"/>
        <v>4.5999999999999996</v>
      </c>
      <c r="M2961" s="34">
        <v>39036</v>
      </c>
      <c r="N2961">
        <v>7.05</v>
      </c>
    </row>
    <row r="2962" spans="1:14" x14ac:dyDescent="0.2">
      <c r="A2962" s="34">
        <v>40379</v>
      </c>
      <c r="B2962">
        <v>4.4127650000000003</v>
      </c>
      <c r="C2962">
        <f t="shared" si="51"/>
        <v>4.5999999999999996</v>
      </c>
      <c r="M2962" s="34">
        <v>39035</v>
      </c>
      <c r="N2962">
        <v>7</v>
      </c>
    </row>
    <row r="2963" spans="1:14" x14ac:dyDescent="0.2">
      <c r="A2963" s="34">
        <v>40378</v>
      </c>
      <c r="B2963">
        <v>4.4126820000000002</v>
      </c>
      <c r="C2963">
        <f t="shared" si="51"/>
        <v>4.59</v>
      </c>
      <c r="M2963" s="34">
        <v>39034</v>
      </c>
      <c r="N2963">
        <v>7.15</v>
      </c>
    </row>
    <row r="2964" spans="1:14" x14ac:dyDescent="0.2">
      <c r="A2964" s="34">
        <v>40377</v>
      </c>
      <c r="B2964">
        <v>4.412598</v>
      </c>
      <c r="C2964">
        <f t="shared" si="51"/>
        <v>4.62</v>
      </c>
      <c r="M2964" s="34">
        <v>39031</v>
      </c>
      <c r="N2964">
        <v>7</v>
      </c>
    </row>
    <row r="2965" spans="1:14" x14ac:dyDescent="0.2">
      <c r="A2965" s="34">
        <v>40376</v>
      </c>
      <c r="B2965">
        <v>4.4125139999999998</v>
      </c>
      <c r="C2965">
        <f t="shared" si="51"/>
        <v>4.62</v>
      </c>
      <c r="M2965" s="34">
        <v>39030</v>
      </c>
      <c r="N2965">
        <v>6.99</v>
      </c>
    </row>
    <row r="2966" spans="1:14" x14ac:dyDescent="0.2">
      <c r="A2966" s="34">
        <v>40375</v>
      </c>
      <c r="B2966">
        <v>4.4124299999999996</v>
      </c>
      <c r="C2966">
        <f t="shared" si="51"/>
        <v>4.62</v>
      </c>
      <c r="M2966" s="34">
        <v>39029</v>
      </c>
      <c r="N2966">
        <v>7</v>
      </c>
    </row>
    <row r="2967" spans="1:14" x14ac:dyDescent="0.2">
      <c r="A2967" s="34">
        <v>40374</v>
      </c>
      <c r="B2967">
        <v>4.4123460000000003</v>
      </c>
      <c r="C2967">
        <f t="shared" si="51"/>
        <v>4.5999999999999996</v>
      </c>
      <c r="M2967" s="34">
        <v>39028</v>
      </c>
      <c r="N2967">
        <v>7.02</v>
      </c>
    </row>
    <row r="2968" spans="1:14" x14ac:dyDescent="0.2">
      <c r="A2968" s="34">
        <v>40373</v>
      </c>
      <c r="B2968">
        <v>4.4122630000000003</v>
      </c>
      <c r="C2968">
        <f t="shared" si="51"/>
        <v>4.6399999999999997</v>
      </c>
      <c r="M2968" s="34">
        <v>39027</v>
      </c>
      <c r="N2968">
        <v>7.01</v>
      </c>
    </row>
    <row r="2969" spans="1:14" x14ac:dyDescent="0.2">
      <c r="A2969" s="34">
        <v>40372</v>
      </c>
      <c r="B2969">
        <v>4.4121790000000001</v>
      </c>
      <c r="C2969">
        <f t="shared" si="51"/>
        <v>4.5</v>
      </c>
      <c r="M2969" s="34">
        <v>39024</v>
      </c>
      <c r="N2969">
        <v>7.01</v>
      </c>
    </row>
    <row r="2970" spans="1:14" x14ac:dyDescent="0.2">
      <c r="A2970" s="34">
        <v>40371</v>
      </c>
      <c r="B2970">
        <v>4.4120949999999999</v>
      </c>
      <c r="C2970">
        <f t="shared" si="51"/>
        <v>4.55</v>
      </c>
      <c r="M2970" s="34">
        <v>39022</v>
      </c>
      <c r="N2970">
        <v>6.92</v>
      </c>
    </row>
    <row r="2971" spans="1:14" x14ac:dyDescent="0.2">
      <c r="A2971" s="34">
        <v>40370</v>
      </c>
      <c r="B2971">
        <v>4.4120109999999997</v>
      </c>
      <c r="C2971">
        <f t="shared" si="51"/>
        <v>4.62</v>
      </c>
      <c r="M2971" s="34">
        <v>39021</v>
      </c>
      <c r="N2971">
        <v>7</v>
      </c>
    </row>
    <row r="2972" spans="1:14" x14ac:dyDescent="0.2">
      <c r="A2972" s="34">
        <v>40369</v>
      </c>
      <c r="B2972">
        <v>4.4119279999999996</v>
      </c>
      <c r="C2972">
        <f t="shared" si="51"/>
        <v>4.62</v>
      </c>
      <c r="M2972" s="34">
        <v>39020</v>
      </c>
      <c r="N2972">
        <v>7.02</v>
      </c>
    </row>
    <row r="2973" spans="1:14" x14ac:dyDescent="0.2">
      <c r="A2973" s="34">
        <v>40368</v>
      </c>
      <c r="B2973">
        <v>4.4120549999999996</v>
      </c>
      <c r="C2973">
        <f t="shared" si="51"/>
        <v>4.62</v>
      </c>
      <c r="M2973" s="34">
        <v>39017</v>
      </c>
      <c r="N2973">
        <v>6.9</v>
      </c>
    </row>
    <row r="2974" spans="1:14" x14ac:dyDescent="0.2">
      <c r="A2974" s="34">
        <v>40367</v>
      </c>
      <c r="B2974">
        <v>4.4121829999999997</v>
      </c>
      <c r="C2974">
        <f t="shared" si="51"/>
        <v>4.5999999999999996</v>
      </c>
      <c r="M2974" s="34">
        <v>39016</v>
      </c>
      <c r="N2974">
        <v>6.98</v>
      </c>
    </row>
    <row r="2975" spans="1:14" x14ac:dyDescent="0.2">
      <c r="A2975" s="34">
        <v>40366</v>
      </c>
      <c r="B2975">
        <v>4.4123109999999999</v>
      </c>
      <c r="C2975">
        <f t="shared" si="51"/>
        <v>4.58</v>
      </c>
      <c r="M2975" s="34">
        <v>39015</v>
      </c>
      <c r="N2975">
        <v>7</v>
      </c>
    </row>
    <row r="2976" spans="1:14" x14ac:dyDescent="0.2">
      <c r="A2976" s="34">
        <v>40365</v>
      </c>
      <c r="B2976">
        <v>4.412439</v>
      </c>
      <c r="C2976">
        <f t="shared" si="51"/>
        <v>4.55</v>
      </c>
      <c r="M2976" s="34">
        <v>39014</v>
      </c>
      <c r="N2976">
        <v>7</v>
      </c>
    </row>
    <row r="2977" spans="1:14" x14ac:dyDescent="0.2">
      <c r="A2977" s="34">
        <v>40364</v>
      </c>
      <c r="B2977">
        <v>4.412566</v>
      </c>
      <c r="C2977">
        <f t="shared" si="51"/>
        <v>4.5</v>
      </c>
      <c r="M2977" s="34">
        <v>39013</v>
      </c>
      <c r="N2977">
        <v>7</v>
      </c>
    </row>
    <row r="2978" spans="1:14" x14ac:dyDescent="0.2">
      <c r="A2978" s="34">
        <v>40363</v>
      </c>
      <c r="B2978">
        <v>4.4126940000000001</v>
      </c>
      <c r="C2978">
        <f t="shared" si="51"/>
        <v>4.55</v>
      </c>
      <c r="M2978" s="34">
        <v>39010</v>
      </c>
      <c r="N2978">
        <v>7</v>
      </c>
    </row>
    <row r="2979" spans="1:14" x14ac:dyDescent="0.2">
      <c r="A2979" s="34">
        <v>40362</v>
      </c>
      <c r="B2979">
        <v>4.4128220000000002</v>
      </c>
      <c r="C2979">
        <f t="shared" si="51"/>
        <v>4.55</v>
      </c>
      <c r="M2979" s="34">
        <v>39009</v>
      </c>
      <c r="N2979">
        <v>7.01</v>
      </c>
    </row>
    <row r="2980" spans="1:14" x14ac:dyDescent="0.2">
      <c r="A2980" s="34">
        <v>40361</v>
      </c>
      <c r="B2980">
        <v>4.4129490000000002</v>
      </c>
      <c r="C2980">
        <f t="shared" si="51"/>
        <v>4.55</v>
      </c>
      <c r="M2980" s="34">
        <v>39008</v>
      </c>
      <c r="N2980">
        <v>7.05</v>
      </c>
    </row>
    <row r="2981" spans="1:14" x14ac:dyDescent="0.2">
      <c r="A2981" s="34">
        <v>40360</v>
      </c>
      <c r="B2981">
        <v>4.4130770000000004</v>
      </c>
      <c r="C2981">
        <f t="shared" si="51"/>
        <v>4.62</v>
      </c>
      <c r="M2981" s="34">
        <v>39007</v>
      </c>
      <c r="N2981">
        <v>7</v>
      </c>
    </row>
    <row r="2982" spans="1:14" x14ac:dyDescent="0.2">
      <c r="A2982" s="34">
        <v>40359</v>
      </c>
      <c r="B2982">
        <v>4.4132049999999996</v>
      </c>
      <c r="C2982">
        <f t="shared" si="51"/>
        <v>4.58</v>
      </c>
      <c r="M2982" s="34">
        <v>39006</v>
      </c>
      <c r="N2982">
        <v>7.02</v>
      </c>
    </row>
    <row r="2983" spans="1:14" x14ac:dyDescent="0.2">
      <c r="A2983" s="34">
        <v>40358</v>
      </c>
      <c r="B2983">
        <v>4.4133329999999997</v>
      </c>
      <c r="C2983">
        <f t="shared" si="51"/>
        <v>4.5999999999999996</v>
      </c>
      <c r="M2983" s="34">
        <v>39003</v>
      </c>
      <c r="N2983">
        <v>7</v>
      </c>
    </row>
    <row r="2984" spans="1:14" x14ac:dyDescent="0.2">
      <c r="A2984" s="34">
        <v>40357</v>
      </c>
      <c r="B2984">
        <v>4.4134609999999999</v>
      </c>
      <c r="C2984">
        <f t="shared" si="51"/>
        <v>4.58</v>
      </c>
      <c r="M2984" s="34">
        <v>39002</v>
      </c>
      <c r="N2984">
        <v>7.1</v>
      </c>
    </row>
    <row r="2985" spans="1:14" x14ac:dyDescent="0.2">
      <c r="A2985" s="34">
        <v>40356</v>
      </c>
      <c r="B2985">
        <v>4.4135879999999998</v>
      </c>
      <c r="C2985">
        <f t="shared" si="51"/>
        <v>4.4000000000000004</v>
      </c>
      <c r="M2985" s="34">
        <v>39001</v>
      </c>
      <c r="N2985">
        <v>7</v>
      </c>
    </row>
    <row r="2986" spans="1:14" x14ac:dyDescent="0.2">
      <c r="A2986" s="34">
        <v>40355</v>
      </c>
      <c r="B2986">
        <v>4.413716</v>
      </c>
      <c r="C2986">
        <f t="shared" si="51"/>
        <v>4.4000000000000004</v>
      </c>
      <c r="M2986" s="34">
        <v>39000</v>
      </c>
      <c r="N2986">
        <v>7.02</v>
      </c>
    </row>
    <row r="2987" spans="1:14" x14ac:dyDescent="0.2">
      <c r="A2987" s="34">
        <v>40354</v>
      </c>
      <c r="B2987">
        <v>4.4138440000000001</v>
      </c>
      <c r="C2987">
        <f t="shared" si="51"/>
        <v>4.4000000000000004</v>
      </c>
      <c r="M2987" s="34">
        <v>38999</v>
      </c>
      <c r="N2987">
        <v>7</v>
      </c>
    </row>
    <row r="2988" spans="1:14" x14ac:dyDescent="0.2">
      <c r="A2988" s="34">
        <v>40353</v>
      </c>
      <c r="B2988">
        <v>4.4138539999999997</v>
      </c>
      <c r="C2988">
        <f t="shared" si="51"/>
        <v>4.55</v>
      </c>
      <c r="M2988" s="34">
        <v>38996</v>
      </c>
      <c r="N2988">
        <v>7.02</v>
      </c>
    </row>
    <row r="2989" spans="1:14" x14ac:dyDescent="0.2">
      <c r="A2989" s="34">
        <v>40352</v>
      </c>
      <c r="B2989">
        <v>4.4138650000000004</v>
      </c>
      <c r="C2989">
        <f t="shared" si="51"/>
        <v>4.45</v>
      </c>
      <c r="M2989" s="34">
        <v>38995</v>
      </c>
      <c r="N2989">
        <v>7</v>
      </c>
    </row>
    <row r="2990" spans="1:14" x14ac:dyDescent="0.2">
      <c r="A2990" s="34">
        <v>40351</v>
      </c>
      <c r="B2990">
        <v>4.413875</v>
      </c>
      <c r="C2990">
        <f t="shared" si="51"/>
        <v>4.5599999999999996</v>
      </c>
      <c r="M2990" s="34">
        <v>38994</v>
      </c>
      <c r="N2990">
        <v>7.03</v>
      </c>
    </row>
    <row r="2991" spans="1:14" x14ac:dyDescent="0.2">
      <c r="A2991" s="34">
        <v>40350</v>
      </c>
      <c r="B2991">
        <v>4.4138859999999998</v>
      </c>
      <c r="C2991">
        <f t="shared" si="51"/>
        <v>4.59</v>
      </c>
      <c r="M2991" s="34">
        <v>38993</v>
      </c>
      <c r="N2991">
        <v>7.03</v>
      </c>
    </row>
    <row r="2992" spans="1:14" x14ac:dyDescent="0.2">
      <c r="A2992" s="34">
        <v>40349</v>
      </c>
      <c r="B2992">
        <v>4.4138960000000003</v>
      </c>
      <c r="C2992">
        <f t="shared" si="51"/>
        <v>4.54</v>
      </c>
      <c r="M2992" s="34">
        <v>38992</v>
      </c>
      <c r="N2992">
        <v>7.01</v>
      </c>
    </row>
    <row r="2993" spans="1:14" x14ac:dyDescent="0.2">
      <c r="A2993" s="34">
        <v>40348</v>
      </c>
      <c r="B2993">
        <v>4.413907</v>
      </c>
      <c r="C2993">
        <f t="shared" si="51"/>
        <v>4.54</v>
      </c>
      <c r="M2993" s="34">
        <v>38989</v>
      </c>
      <c r="N2993">
        <v>7</v>
      </c>
    </row>
    <row r="2994" spans="1:14" x14ac:dyDescent="0.2">
      <c r="A2994" s="34">
        <v>40347</v>
      </c>
      <c r="B2994">
        <v>4.4139169999999996</v>
      </c>
      <c r="C2994">
        <f t="shared" si="51"/>
        <v>4.54</v>
      </c>
      <c r="M2994" s="34">
        <v>38988</v>
      </c>
      <c r="N2994">
        <v>6.95</v>
      </c>
    </row>
    <row r="2995" spans="1:14" x14ac:dyDescent="0.2">
      <c r="A2995" s="34">
        <v>40346</v>
      </c>
      <c r="B2995">
        <v>4.4139280000000003</v>
      </c>
      <c r="C2995">
        <f t="shared" si="51"/>
        <v>4.55</v>
      </c>
      <c r="M2995" s="34">
        <v>38987</v>
      </c>
      <c r="N2995">
        <v>7.07</v>
      </c>
    </row>
    <row r="2996" spans="1:14" x14ac:dyDescent="0.2">
      <c r="A2996" s="34">
        <v>40345</v>
      </c>
      <c r="B2996">
        <v>4.4139379999999999</v>
      </c>
      <c r="C2996">
        <f t="shared" si="51"/>
        <v>4.5</v>
      </c>
      <c r="M2996" s="34">
        <v>38986</v>
      </c>
      <c r="N2996">
        <v>7.05</v>
      </c>
    </row>
    <row r="2997" spans="1:14" x14ac:dyDescent="0.2">
      <c r="A2997" s="34">
        <v>40344</v>
      </c>
      <c r="B2997">
        <v>4.4139489999999997</v>
      </c>
      <c r="C2997">
        <f t="shared" si="51"/>
        <v>4.45</v>
      </c>
      <c r="M2997" s="34">
        <v>38985</v>
      </c>
      <c r="N2997">
        <v>7.02</v>
      </c>
    </row>
    <row r="2998" spans="1:14" x14ac:dyDescent="0.2">
      <c r="A2998" s="34">
        <v>40343</v>
      </c>
      <c r="B2998">
        <v>4.4139590000000002</v>
      </c>
      <c r="C2998">
        <f t="shared" si="51"/>
        <v>4.55</v>
      </c>
      <c r="M2998" s="34">
        <v>38982</v>
      </c>
      <c r="N2998">
        <v>7</v>
      </c>
    </row>
    <row r="2999" spans="1:14" x14ac:dyDescent="0.2">
      <c r="A2999" s="34">
        <v>40342</v>
      </c>
      <c r="B2999">
        <v>4.4139689999999998</v>
      </c>
      <c r="C2999">
        <f t="shared" si="51"/>
        <v>4.5599999999999996</v>
      </c>
      <c r="M2999" s="34">
        <v>38981</v>
      </c>
      <c r="N2999">
        <v>6.9</v>
      </c>
    </row>
    <row r="3000" spans="1:14" x14ac:dyDescent="0.2">
      <c r="A3000" s="34">
        <v>40341</v>
      </c>
      <c r="B3000">
        <v>4.4139799999999996</v>
      </c>
      <c r="C3000">
        <f t="shared" si="51"/>
        <v>4.5599999999999996</v>
      </c>
      <c r="M3000" s="34">
        <v>38980</v>
      </c>
      <c r="N3000">
        <v>6.95</v>
      </c>
    </row>
    <row r="3001" spans="1:14" x14ac:dyDescent="0.2">
      <c r="A3001" s="34">
        <v>40340</v>
      </c>
      <c r="B3001">
        <v>4.4139900000000001</v>
      </c>
      <c r="C3001">
        <f t="shared" si="51"/>
        <v>4.5599999999999996</v>
      </c>
      <c r="M3001" s="34">
        <v>38979</v>
      </c>
      <c r="N3001">
        <v>7.03</v>
      </c>
    </row>
    <row r="3002" spans="1:14" x14ac:dyDescent="0.2">
      <c r="A3002" s="34">
        <v>40339</v>
      </c>
      <c r="B3002">
        <v>4.4140009999999998</v>
      </c>
      <c r="C3002">
        <f t="shared" si="51"/>
        <v>4.58</v>
      </c>
      <c r="M3002" s="34">
        <v>38978</v>
      </c>
      <c r="N3002">
        <v>7</v>
      </c>
    </row>
    <row r="3003" spans="1:14" x14ac:dyDescent="0.2">
      <c r="A3003" s="34">
        <v>40338</v>
      </c>
      <c r="B3003">
        <v>4.415489</v>
      </c>
      <c r="C3003">
        <f t="shared" si="51"/>
        <v>4.57</v>
      </c>
      <c r="M3003" s="34">
        <v>38975</v>
      </c>
      <c r="N3003">
        <v>7.02</v>
      </c>
    </row>
    <row r="3004" spans="1:14" x14ac:dyDescent="0.2">
      <c r="A3004" s="34">
        <v>40337</v>
      </c>
      <c r="B3004">
        <v>4.4169780000000003</v>
      </c>
      <c r="C3004">
        <f t="shared" si="51"/>
        <v>4.53</v>
      </c>
      <c r="M3004" s="34">
        <v>38974</v>
      </c>
      <c r="N3004">
        <v>7.05</v>
      </c>
    </row>
    <row r="3005" spans="1:14" x14ac:dyDescent="0.2">
      <c r="A3005" s="34">
        <v>40336</v>
      </c>
      <c r="B3005">
        <v>4.4184669999999997</v>
      </c>
      <c r="C3005">
        <f t="shared" si="51"/>
        <v>4.57</v>
      </c>
      <c r="M3005" s="34">
        <v>38973</v>
      </c>
      <c r="N3005">
        <v>6.8</v>
      </c>
    </row>
    <row r="3006" spans="1:14" x14ac:dyDescent="0.2">
      <c r="A3006" s="34">
        <v>40335</v>
      </c>
      <c r="B3006">
        <v>4.4199570000000001</v>
      </c>
      <c r="C3006">
        <f t="shared" si="51"/>
        <v>4.58</v>
      </c>
      <c r="M3006" s="34">
        <v>38972</v>
      </c>
      <c r="N3006">
        <v>7.12</v>
      </c>
    </row>
    <row r="3007" spans="1:14" x14ac:dyDescent="0.2">
      <c r="A3007" s="34">
        <v>40334</v>
      </c>
      <c r="B3007">
        <v>4.4214479999999998</v>
      </c>
      <c r="C3007">
        <f t="shared" si="51"/>
        <v>4.58</v>
      </c>
      <c r="M3007" s="34">
        <v>38971</v>
      </c>
      <c r="N3007">
        <v>7</v>
      </c>
    </row>
    <row r="3008" spans="1:14" x14ac:dyDescent="0.2">
      <c r="A3008" s="34">
        <v>40333</v>
      </c>
      <c r="B3008">
        <v>4.4229380000000003</v>
      </c>
      <c r="C3008">
        <f t="shared" si="51"/>
        <v>4.58</v>
      </c>
      <c r="M3008" s="34">
        <v>38968</v>
      </c>
      <c r="N3008">
        <v>7.05</v>
      </c>
    </row>
    <row r="3009" spans="1:14" x14ac:dyDescent="0.2">
      <c r="A3009" s="34">
        <v>40332</v>
      </c>
      <c r="B3009">
        <v>4.4244300000000001</v>
      </c>
      <c r="C3009">
        <f t="shared" si="51"/>
        <v>4.5999999999999996</v>
      </c>
      <c r="M3009" s="34">
        <v>38967</v>
      </c>
      <c r="N3009">
        <v>7</v>
      </c>
    </row>
    <row r="3010" spans="1:14" x14ac:dyDescent="0.2">
      <c r="A3010" s="34">
        <v>40331</v>
      </c>
      <c r="B3010">
        <v>4.4259219999999999</v>
      </c>
      <c r="C3010">
        <f t="shared" ref="C3010:C3073" si="52">IFERROR(VLOOKUP(A3010,$M$2:$N$3695,2,0),C3011)</f>
        <v>4.55</v>
      </c>
      <c r="M3010" s="34">
        <v>38966</v>
      </c>
      <c r="N3010">
        <v>7.02</v>
      </c>
    </row>
    <row r="3011" spans="1:14" x14ac:dyDescent="0.2">
      <c r="A3011" s="34">
        <v>40330</v>
      </c>
      <c r="B3011">
        <v>4.4274139999999997</v>
      </c>
      <c r="C3011">
        <f t="shared" si="52"/>
        <v>4.55</v>
      </c>
      <c r="M3011" s="34">
        <v>38965</v>
      </c>
      <c r="N3011">
        <v>7</v>
      </c>
    </row>
    <row r="3012" spans="1:14" x14ac:dyDescent="0.2">
      <c r="A3012" s="34">
        <v>40329</v>
      </c>
      <c r="B3012">
        <v>4.4289069999999997</v>
      </c>
      <c r="C3012">
        <f t="shared" si="52"/>
        <v>4.58</v>
      </c>
      <c r="M3012" s="34">
        <v>38964</v>
      </c>
      <c r="N3012">
        <v>7.03</v>
      </c>
    </row>
    <row r="3013" spans="1:14" x14ac:dyDescent="0.2">
      <c r="A3013" s="34">
        <v>40328</v>
      </c>
      <c r="B3013">
        <v>4.4303999999999997</v>
      </c>
      <c r="C3013">
        <f t="shared" si="52"/>
        <v>4.55</v>
      </c>
      <c r="M3013" s="34">
        <v>38961</v>
      </c>
      <c r="N3013">
        <v>7.05</v>
      </c>
    </row>
    <row r="3014" spans="1:14" x14ac:dyDescent="0.2">
      <c r="A3014" s="34">
        <v>40327</v>
      </c>
      <c r="B3014">
        <v>4.4318939999999998</v>
      </c>
      <c r="C3014">
        <f t="shared" si="52"/>
        <v>4.55</v>
      </c>
      <c r="M3014" s="34">
        <v>38960</v>
      </c>
      <c r="N3014">
        <v>7</v>
      </c>
    </row>
    <row r="3015" spans="1:14" x14ac:dyDescent="0.2">
      <c r="A3015" s="34">
        <v>40326</v>
      </c>
      <c r="B3015">
        <v>4.4333879999999999</v>
      </c>
      <c r="C3015">
        <f t="shared" si="52"/>
        <v>4.55</v>
      </c>
      <c r="M3015" s="34">
        <v>38959</v>
      </c>
      <c r="N3015">
        <v>7</v>
      </c>
    </row>
    <row r="3016" spans="1:14" x14ac:dyDescent="0.2">
      <c r="A3016" s="34">
        <v>40325</v>
      </c>
      <c r="B3016">
        <v>4.4348830000000001</v>
      </c>
      <c r="C3016">
        <f t="shared" si="52"/>
        <v>4.58</v>
      </c>
      <c r="M3016" s="34">
        <v>38958</v>
      </c>
      <c r="N3016">
        <v>6.9</v>
      </c>
    </row>
    <row r="3017" spans="1:14" x14ac:dyDescent="0.2">
      <c r="A3017" s="34">
        <v>40324</v>
      </c>
      <c r="B3017">
        <v>4.4363789999999996</v>
      </c>
      <c r="C3017">
        <f t="shared" si="52"/>
        <v>4.55</v>
      </c>
      <c r="M3017" s="34">
        <v>38957</v>
      </c>
      <c r="N3017">
        <v>7</v>
      </c>
    </row>
    <row r="3018" spans="1:14" x14ac:dyDescent="0.2">
      <c r="A3018" s="34">
        <v>40323</v>
      </c>
      <c r="B3018">
        <v>4.437875</v>
      </c>
      <c r="C3018">
        <f t="shared" si="52"/>
        <v>4.5</v>
      </c>
      <c r="M3018" s="34">
        <v>38954</v>
      </c>
      <c r="N3018">
        <v>7.25</v>
      </c>
    </row>
    <row r="3019" spans="1:14" x14ac:dyDescent="0.2">
      <c r="A3019" s="34">
        <v>40322</v>
      </c>
      <c r="B3019">
        <v>4.4384139999999999</v>
      </c>
      <c r="C3019">
        <f t="shared" si="52"/>
        <v>5</v>
      </c>
      <c r="M3019" s="34">
        <v>38953</v>
      </c>
      <c r="N3019">
        <v>6.95</v>
      </c>
    </row>
    <row r="3020" spans="1:14" x14ac:dyDescent="0.2">
      <c r="A3020" s="34">
        <v>40321</v>
      </c>
      <c r="B3020">
        <v>4.4389539999999998</v>
      </c>
      <c r="C3020">
        <f t="shared" si="52"/>
        <v>4.5</v>
      </c>
      <c r="M3020" s="34">
        <v>38952</v>
      </c>
      <c r="N3020">
        <v>7</v>
      </c>
    </row>
    <row r="3021" spans="1:14" x14ac:dyDescent="0.2">
      <c r="A3021" s="34">
        <v>40320</v>
      </c>
      <c r="B3021">
        <v>4.4394939999999998</v>
      </c>
      <c r="C3021">
        <f t="shared" si="52"/>
        <v>4.5</v>
      </c>
      <c r="M3021" s="34">
        <v>38951</v>
      </c>
      <c r="N3021">
        <v>6.98</v>
      </c>
    </row>
    <row r="3022" spans="1:14" x14ac:dyDescent="0.2">
      <c r="A3022" s="34">
        <v>40319</v>
      </c>
      <c r="B3022">
        <v>4.4400339999999998</v>
      </c>
      <c r="C3022">
        <f t="shared" si="52"/>
        <v>4.5</v>
      </c>
      <c r="M3022" s="34">
        <v>38950</v>
      </c>
      <c r="N3022">
        <v>6.8</v>
      </c>
    </row>
    <row r="3023" spans="1:14" x14ac:dyDescent="0.2">
      <c r="A3023" s="34">
        <v>40318</v>
      </c>
      <c r="B3023">
        <v>4.4405739999999998</v>
      </c>
      <c r="C3023">
        <f t="shared" si="52"/>
        <v>4.55</v>
      </c>
      <c r="M3023" s="34">
        <v>38947</v>
      </c>
      <c r="N3023">
        <v>6.95</v>
      </c>
    </row>
    <row r="3024" spans="1:14" x14ac:dyDescent="0.2">
      <c r="A3024" s="34">
        <v>40317</v>
      </c>
      <c r="B3024">
        <v>4.4411149999999999</v>
      </c>
      <c r="C3024">
        <f t="shared" si="52"/>
        <v>4.55</v>
      </c>
      <c r="M3024" s="34">
        <v>38946</v>
      </c>
      <c r="N3024">
        <v>7.02</v>
      </c>
    </row>
    <row r="3025" spans="1:14" x14ac:dyDescent="0.2">
      <c r="A3025" s="34">
        <v>40316</v>
      </c>
      <c r="B3025">
        <v>4.4416549999999999</v>
      </c>
      <c r="C3025">
        <f t="shared" si="52"/>
        <v>4.45</v>
      </c>
      <c r="M3025" s="34">
        <v>38945</v>
      </c>
      <c r="N3025">
        <v>7.03</v>
      </c>
    </row>
    <row r="3026" spans="1:14" x14ac:dyDescent="0.2">
      <c r="A3026" s="34">
        <v>40315</v>
      </c>
      <c r="B3026">
        <v>4.4421949999999999</v>
      </c>
      <c r="C3026">
        <f t="shared" si="52"/>
        <v>5</v>
      </c>
      <c r="M3026" s="34">
        <v>38944</v>
      </c>
      <c r="N3026">
        <v>7.03</v>
      </c>
    </row>
    <row r="3027" spans="1:14" x14ac:dyDescent="0.2">
      <c r="A3027" s="34">
        <v>40314</v>
      </c>
      <c r="B3027">
        <v>4.442736</v>
      </c>
      <c r="C3027">
        <f t="shared" si="52"/>
        <v>4.55</v>
      </c>
      <c r="M3027" s="34">
        <v>38943</v>
      </c>
      <c r="N3027">
        <v>7</v>
      </c>
    </row>
    <row r="3028" spans="1:14" x14ac:dyDescent="0.2">
      <c r="A3028" s="34">
        <v>40313</v>
      </c>
      <c r="B3028">
        <v>4.443276</v>
      </c>
      <c r="C3028">
        <f t="shared" si="52"/>
        <v>4.55</v>
      </c>
      <c r="M3028" s="34">
        <v>38940</v>
      </c>
      <c r="N3028">
        <v>6.9</v>
      </c>
    </row>
    <row r="3029" spans="1:14" x14ac:dyDescent="0.2">
      <c r="A3029" s="34">
        <v>40312</v>
      </c>
      <c r="B3029">
        <v>4.443816</v>
      </c>
      <c r="C3029">
        <f t="shared" si="52"/>
        <v>4.55</v>
      </c>
      <c r="M3029" s="34">
        <v>38939</v>
      </c>
      <c r="N3029">
        <v>6.9</v>
      </c>
    </row>
    <row r="3030" spans="1:14" x14ac:dyDescent="0.2">
      <c r="A3030" s="34">
        <v>40311</v>
      </c>
      <c r="B3030">
        <v>4.4443570000000001</v>
      </c>
      <c r="C3030">
        <f t="shared" si="52"/>
        <v>4.63</v>
      </c>
      <c r="M3030" s="34">
        <v>38938</v>
      </c>
      <c r="N3030">
        <v>7</v>
      </c>
    </row>
    <row r="3031" spans="1:14" x14ac:dyDescent="0.2">
      <c r="A3031" s="34">
        <v>40310</v>
      </c>
      <c r="B3031">
        <v>4.4448980000000002</v>
      </c>
      <c r="C3031">
        <f t="shared" si="52"/>
        <v>4.5</v>
      </c>
      <c r="M3031" s="34">
        <v>38937</v>
      </c>
      <c r="N3031">
        <v>7.03</v>
      </c>
    </row>
    <row r="3032" spans="1:14" x14ac:dyDescent="0.2">
      <c r="A3032" s="34">
        <v>40309</v>
      </c>
      <c r="B3032">
        <v>4.4454380000000002</v>
      </c>
      <c r="C3032">
        <f t="shared" si="52"/>
        <v>4.5</v>
      </c>
      <c r="M3032" s="34">
        <v>38936</v>
      </c>
      <c r="N3032">
        <v>7.02</v>
      </c>
    </row>
    <row r="3033" spans="1:14" x14ac:dyDescent="0.2">
      <c r="A3033" s="34">
        <v>40308</v>
      </c>
      <c r="B3033">
        <v>4.4459790000000003</v>
      </c>
      <c r="C3033">
        <f t="shared" si="52"/>
        <v>4.58</v>
      </c>
      <c r="M3033" s="34">
        <v>38933</v>
      </c>
      <c r="N3033">
        <v>7</v>
      </c>
    </row>
    <row r="3034" spans="1:14" x14ac:dyDescent="0.2">
      <c r="A3034" s="34">
        <v>40307</v>
      </c>
      <c r="B3034">
        <v>4.4468930000000002</v>
      </c>
      <c r="C3034">
        <f t="shared" si="52"/>
        <v>4.6500000000000004</v>
      </c>
      <c r="M3034" s="34">
        <v>38932</v>
      </c>
      <c r="N3034">
        <v>6.8</v>
      </c>
    </row>
    <row r="3035" spans="1:14" x14ac:dyDescent="0.2">
      <c r="A3035" s="34">
        <v>40306</v>
      </c>
      <c r="B3035">
        <v>4.4478070000000001</v>
      </c>
      <c r="C3035">
        <f t="shared" si="52"/>
        <v>4.6500000000000004</v>
      </c>
      <c r="M3035" s="34">
        <v>38931</v>
      </c>
      <c r="N3035">
        <v>7.03</v>
      </c>
    </row>
    <row r="3036" spans="1:14" x14ac:dyDescent="0.2">
      <c r="A3036" s="34">
        <v>40305</v>
      </c>
      <c r="B3036">
        <v>4.4487209999999999</v>
      </c>
      <c r="C3036">
        <f t="shared" si="52"/>
        <v>4.6500000000000004</v>
      </c>
      <c r="M3036" s="34">
        <v>38930</v>
      </c>
      <c r="N3036">
        <v>7</v>
      </c>
    </row>
    <row r="3037" spans="1:14" x14ac:dyDescent="0.2">
      <c r="A3037" s="34">
        <v>40304</v>
      </c>
      <c r="B3037">
        <v>4.4496359999999999</v>
      </c>
      <c r="C3037">
        <f t="shared" si="52"/>
        <v>4.66</v>
      </c>
      <c r="M3037" s="34">
        <v>38929</v>
      </c>
      <c r="N3037">
        <v>7.23</v>
      </c>
    </row>
    <row r="3038" spans="1:14" x14ac:dyDescent="0.2">
      <c r="A3038" s="34">
        <v>40303</v>
      </c>
      <c r="B3038">
        <v>4.4505499999999998</v>
      </c>
      <c r="C3038">
        <f t="shared" si="52"/>
        <v>4.62</v>
      </c>
      <c r="M3038" s="34">
        <v>38926</v>
      </c>
      <c r="N3038">
        <v>7.1</v>
      </c>
    </row>
    <row r="3039" spans="1:14" x14ac:dyDescent="0.2">
      <c r="A3039" s="34">
        <v>40302</v>
      </c>
      <c r="B3039">
        <v>4.4514649999999998</v>
      </c>
      <c r="C3039">
        <f t="shared" si="52"/>
        <v>4.55</v>
      </c>
      <c r="M3039" s="34">
        <v>38925</v>
      </c>
      <c r="N3039">
        <v>7</v>
      </c>
    </row>
    <row r="3040" spans="1:14" x14ac:dyDescent="0.2">
      <c r="A3040" s="34">
        <v>40301</v>
      </c>
      <c r="B3040">
        <v>4.4523799999999998</v>
      </c>
      <c r="C3040">
        <f t="shared" si="52"/>
        <v>4.59</v>
      </c>
      <c r="M3040" s="34">
        <v>38924</v>
      </c>
      <c r="N3040">
        <v>7</v>
      </c>
    </row>
    <row r="3041" spans="1:14" x14ac:dyDescent="0.2">
      <c r="A3041" s="34">
        <v>40300</v>
      </c>
      <c r="B3041">
        <v>4.4532949999999998</v>
      </c>
      <c r="C3041">
        <f t="shared" si="52"/>
        <v>4.5999999999999996</v>
      </c>
      <c r="M3041" s="34">
        <v>38923</v>
      </c>
      <c r="N3041">
        <v>7</v>
      </c>
    </row>
    <row r="3042" spans="1:14" x14ac:dyDescent="0.2">
      <c r="A3042" s="34">
        <v>40299</v>
      </c>
      <c r="B3042">
        <v>4.4542099999999998</v>
      </c>
      <c r="C3042">
        <f t="shared" si="52"/>
        <v>4.5999999999999996</v>
      </c>
      <c r="M3042" s="34">
        <v>38922</v>
      </c>
      <c r="N3042">
        <v>7.03</v>
      </c>
    </row>
    <row r="3043" spans="1:14" x14ac:dyDescent="0.2">
      <c r="A3043" s="34">
        <v>40298</v>
      </c>
      <c r="B3043">
        <v>4.4551259999999999</v>
      </c>
      <c r="C3043">
        <f t="shared" si="52"/>
        <v>4.5999999999999996</v>
      </c>
      <c r="M3043" s="34">
        <v>38919</v>
      </c>
      <c r="N3043">
        <v>7</v>
      </c>
    </row>
    <row r="3044" spans="1:14" x14ac:dyDescent="0.2">
      <c r="A3044" s="34">
        <v>40297</v>
      </c>
      <c r="B3044">
        <v>4.4560420000000001</v>
      </c>
      <c r="C3044">
        <f t="shared" si="52"/>
        <v>4.5</v>
      </c>
      <c r="M3044" s="34">
        <v>38918</v>
      </c>
      <c r="N3044">
        <v>7.05</v>
      </c>
    </row>
    <row r="3045" spans="1:14" x14ac:dyDescent="0.2">
      <c r="A3045" s="34">
        <v>40296</v>
      </c>
      <c r="B3045">
        <v>4.4569580000000002</v>
      </c>
      <c r="C3045">
        <f t="shared" si="52"/>
        <v>4.5</v>
      </c>
      <c r="M3045" s="34">
        <v>38917</v>
      </c>
      <c r="N3045">
        <v>7</v>
      </c>
    </row>
    <row r="3046" spans="1:14" x14ac:dyDescent="0.2">
      <c r="A3046" s="34">
        <v>40295</v>
      </c>
      <c r="B3046">
        <v>4.4578740000000003</v>
      </c>
      <c r="C3046">
        <f t="shared" si="52"/>
        <v>4.57</v>
      </c>
      <c r="M3046" s="34">
        <v>38916</v>
      </c>
      <c r="N3046">
        <v>7</v>
      </c>
    </row>
    <row r="3047" spans="1:14" x14ac:dyDescent="0.2">
      <c r="A3047" s="34">
        <v>40294</v>
      </c>
      <c r="B3047">
        <v>4.4587899999999996</v>
      </c>
      <c r="C3047">
        <f t="shared" si="52"/>
        <v>4.55</v>
      </c>
      <c r="M3047" s="34">
        <v>38915</v>
      </c>
      <c r="N3047">
        <v>7</v>
      </c>
    </row>
    <row r="3048" spans="1:14" x14ac:dyDescent="0.2">
      <c r="A3048" s="34">
        <v>40293</v>
      </c>
      <c r="B3048">
        <v>4.4597069999999999</v>
      </c>
      <c r="C3048">
        <f t="shared" si="52"/>
        <v>4.5</v>
      </c>
      <c r="M3048" s="34">
        <v>38912</v>
      </c>
      <c r="N3048">
        <v>7</v>
      </c>
    </row>
    <row r="3049" spans="1:14" x14ac:dyDescent="0.2">
      <c r="A3049" s="34">
        <v>40292</v>
      </c>
      <c r="B3049">
        <v>4.4592289999999997</v>
      </c>
      <c r="C3049">
        <f t="shared" si="52"/>
        <v>4.5</v>
      </c>
      <c r="M3049" s="34">
        <v>38911</v>
      </c>
      <c r="N3049">
        <v>7</v>
      </c>
    </row>
    <row r="3050" spans="1:14" x14ac:dyDescent="0.2">
      <c r="A3050" s="34">
        <v>40291</v>
      </c>
      <c r="B3050">
        <v>4.4587510000000004</v>
      </c>
      <c r="C3050">
        <f t="shared" si="52"/>
        <v>4.5</v>
      </c>
      <c r="M3050" s="34">
        <v>38910</v>
      </c>
      <c r="N3050">
        <v>7</v>
      </c>
    </row>
    <row r="3051" spans="1:14" x14ac:dyDescent="0.2">
      <c r="A3051" s="34">
        <v>40290</v>
      </c>
      <c r="B3051">
        <v>4.4582730000000002</v>
      </c>
      <c r="C3051">
        <f t="shared" si="52"/>
        <v>4.53</v>
      </c>
      <c r="M3051" s="34">
        <v>38909</v>
      </c>
      <c r="N3051">
        <v>7</v>
      </c>
    </row>
    <row r="3052" spans="1:14" x14ac:dyDescent="0.2">
      <c r="A3052" s="34">
        <v>40289</v>
      </c>
      <c r="B3052">
        <v>4.457795</v>
      </c>
      <c r="C3052">
        <f t="shared" si="52"/>
        <v>4.53</v>
      </c>
      <c r="M3052" s="34">
        <v>38908</v>
      </c>
      <c r="N3052">
        <v>7.01</v>
      </c>
    </row>
    <row r="3053" spans="1:14" x14ac:dyDescent="0.2">
      <c r="A3053" s="34">
        <v>40288</v>
      </c>
      <c r="B3053">
        <v>4.4573179999999999</v>
      </c>
      <c r="C3053">
        <f t="shared" si="52"/>
        <v>4.55</v>
      </c>
      <c r="M3053" s="34">
        <v>38905</v>
      </c>
      <c r="N3053">
        <v>7</v>
      </c>
    </row>
    <row r="3054" spans="1:14" x14ac:dyDescent="0.2">
      <c r="A3054" s="34">
        <v>40287</v>
      </c>
      <c r="B3054">
        <v>4.4568399999999997</v>
      </c>
      <c r="C3054">
        <f t="shared" si="52"/>
        <v>4.55</v>
      </c>
      <c r="M3054" s="34">
        <v>38904</v>
      </c>
      <c r="N3054">
        <v>7</v>
      </c>
    </row>
    <row r="3055" spans="1:14" x14ac:dyDescent="0.2">
      <c r="A3055" s="34">
        <v>40286</v>
      </c>
      <c r="B3055">
        <v>4.4563629999999996</v>
      </c>
      <c r="C3055">
        <f t="shared" si="52"/>
        <v>4.5</v>
      </c>
      <c r="M3055" s="34">
        <v>38903</v>
      </c>
      <c r="N3055">
        <v>7</v>
      </c>
    </row>
    <row r="3056" spans="1:14" x14ac:dyDescent="0.2">
      <c r="A3056" s="34">
        <v>40285</v>
      </c>
      <c r="B3056">
        <v>4.4558850000000003</v>
      </c>
      <c r="C3056">
        <f t="shared" si="52"/>
        <v>4.5</v>
      </c>
      <c r="M3056" s="34">
        <v>38902</v>
      </c>
      <c r="N3056">
        <v>7.01</v>
      </c>
    </row>
    <row r="3057" spans="1:14" x14ac:dyDescent="0.2">
      <c r="A3057" s="34">
        <v>40284</v>
      </c>
      <c r="B3057">
        <v>4.4554080000000003</v>
      </c>
      <c r="C3057">
        <f t="shared" si="52"/>
        <v>4.5</v>
      </c>
      <c r="M3057" s="34">
        <v>38901</v>
      </c>
      <c r="N3057">
        <v>6.95</v>
      </c>
    </row>
    <row r="3058" spans="1:14" x14ac:dyDescent="0.2">
      <c r="A3058" s="34">
        <v>40283</v>
      </c>
      <c r="B3058">
        <v>4.4549300000000001</v>
      </c>
      <c r="C3058">
        <f t="shared" si="52"/>
        <v>4.55</v>
      </c>
      <c r="M3058" s="34">
        <v>38898</v>
      </c>
      <c r="N3058">
        <v>7</v>
      </c>
    </row>
    <row r="3059" spans="1:14" x14ac:dyDescent="0.2">
      <c r="A3059" s="34">
        <v>40282</v>
      </c>
      <c r="B3059">
        <v>4.454453</v>
      </c>
      <c r="C3059">
        <f t="shared" si="52"/>
        <v>4.55</v>
      </c>
      <c r="M3059" s="34">
        <v>38897</v>
      </c>
      <c r="N3059">
        <v>7.01</v>
      </c>
    </row>
    <row r="3060" spans="1:14" x14ac:dyDescent="0.2">
      <c r="A3060" s="34">
        <v>40281</v>
      </c>
      <c r="B3060">
        <v>4.4539759999999999</v>
      </c>
      <c r="C3060">
        <f t="shared" si="52"/>
        <v>4.55</v>
      </c>
      <c r="M3060" s="34">
        <v>38896</v>
      </c>
      <c r="N3060">
        <v>6.95</v>
      </c>
    </row>
    <row r="3061" spans="1:14" x14ac:dyDescent="0.2">
      <c r="A3061" s="34">
        <v>40280</v>
      </c>
      <c r="B3061">
        <v>4.4534989999999999</v>
      </c>
      <c r="C3061">
        <f t="shared" si="52"/>
        <v>4.55</v>
      </c>
      <c r="M3061" s="34">
        <v>38895</v>
      </c>
      <c r="N3061">
        <v>7.03</v>
      </c>
    </row>
    <row r="3062" spans="1:14" x14ac:dyDescent="0.2">
      <c r="A3062" s="34">
        <v>40279</v>
      </c>
      <c r="B3062">
        <v>4.4530219999999998</v>
      </c>
      <c r="C3062">
        <f t="shared" si="52"/>
        <v>4.55</v>
      </c>
      <c r="M3062" s="34">
        <v>38894</v>
      </c>
      <c r="N3062">
        <v>6.95</v>
      </c>
    </row>
    <row r="3063" spans="1:14" x14ac:dyDescent="0.2">
      <c r="A3063" s="34">
        <v>40278</v>
      </c>
      <c r="B3063">
        <v>4.4525439999999996</v>
      </c>
      <c r="C3063">
        <f t="shared" si="52"/>
        <v>4.55</v>
      </c>
      <c r="M3063" s="34">
        <v>38891</v>
      </c>
      <c r="N3063">
        <v>6.95</v>
      </c>
    </row>
    <row r="3064" spans="1:14" x14ac:dyDescent="0.2">
      <c r="A3064" s="34">
        <v>40277</v>
      </c>
      <c r="B3064">
        <v>4.4512749999999999</v>
      </c>
      <c r="C3064">
        <f t="shared" si="52"/>
        <v>4.55</v>
      </c>
      <c r="M3064" s="34">
        <v>38890</v>
      </c>
      <c r="N3064">
        <v>6.95</v>
      </c>
    </row>
    <row r="3065" spans="1:14" x14ac:dyDescent="0.2">
      <c r="A3065" s="34">
        <v>40276</v>
      </c>
      <c r="B3065">
        <v>4.4500070000000003</v>
      </c>
      <c r="C3065">
        <f t="shared" si="52"/>
        <v>4.45</v>
      </c>
      <c r="M3065" s="34">
        <v>38889</v>
      </c>
      <c r="N3065">
        <v>6.9</v>
      </c>
    </row>
    <row r="3066" spans="1:14" x14ac:dyDescent="0.2">
      <c r="A3066" s="34">
        <v>40275</v>
      </c>
      <c r="B3066">
        <v>4.4487379999999996</v>
      </c>
      <c r="C3066">
        <f t="shared" si="52"/>
        <v>4.55</v>
      </c>
      <c r="M3066" s="34">
        <v>38888</v>
      </c>
      <c r="N3066">
        <v>7</v>
      </c>
    </row>
    <row r="3067" spans="1:14" x14ac:dyDescent="0.2">
      <c r="A3067" s="34">
        <v>40274</v>
      </c>
      <c r="B3067">
        <v>4.44747</v>
      </c>
      <c r="C3067">
        <f t="shared" si="52"/>
        <v>4.51</v>
      </c>
      <c r="M3067" s="34">
        <v>38887</v>
      </c>
      <c r="N3067">
        <v>7.15</v>
      </c>
    </row>
    <row r="3068" spans="1:14" x14ac:dyDescent="0.2">
      <c r="A3068" s="34">
        <v>40273</v>
      </c>
      <c r="B3068">
        <v>4.4462029999999997</v>
      </c>
      <c r="C3068">
        <f t="shared" si="52"/>
        <v>4.59</v>
      </c>
      <c r="M3068" s="34">
        <v>38884</v>
      </c>
      <c r="N3068">
        <v>6.9</v>
      </c>
    </row>
    <row r="3069" spans="1:14" x14ac:dyDescent="0.2">
      <c r="A3069" s="34">
        <v>40272</v>
      </c>
      <c r="B3069">
        <v>4.4449360000000002</v>
      </c>
      <c r="C3069">
        <f t="shared" si="52"/>
        <v>4.5</v>
      </c>
      <c r="M3069" s="34">
        <v>38883</v>
      </c>
      <c r="N3069">
        <v>7.02</v>
      </c>
    </row>
    <row r="3070" spans="1:14" x14ac:dyDescent="0.2">
      <c r="A3070" s="34">
        <v>40271</v>
      </c>
      <c r="B3070">
        <v>4.4436689999999999</v>
      </c>
      <c r="C3070">
        <f t="shared" si="52"/>
        <v>4.5</v>
      </c>
      <c r="M3070" s="34">
        <v>38882</v>
      </c>
      <c r="N3070">
        <v>6.9</v>
      </c>
    </row>
    <row r="3071" spans="1:14" x14ac:dyDescent="0.2">
      <c r="A3071" s="34">
        <v>40270</v>
      </c>
      <c r="B3071">
        <v>4.4424020000000004</v>
      </c>
      <c r="C3071">
        <f t="shared" si="52"/>
        <v>4.5</v>
      </c>
      <c r="M3071" s="34">
        <v>38881</v>
      </c>
      <c r="N3071">
        <v>7</v>
      </c>
    </row>
    <row r="3072" spans="1:14" x14ac:dyDescent="0.2">
      <c r="A3072" s="34">
        <v>40269</v>
      </c>
      <c r="B3072">
        <v>4.4411360000000002</v>
      </c>
      <c r="C3072">
        <f t="shared" si="52"/>
        <v>4.5</v>
      </c>
      <c r="M3072" s="34">
        <v>38880</v>
      </c>
      <c r="N3072">
        <v>7.01</v>
      </c>
    </row>
    <row r="3073" spans="1:14" x14ac:dyDescent="0.2">
      <c r="A3073" s="34">
        <v>40268</v>
      </c>
      <c r="B3073">
        <v>4.43987</v>
      </c>
      <c r="C3073">
        <f t="shared" si="52"/>
        <v>4.5</v>
      </c>
      <c r="M3073" s="34">
        <v>38877</v>
      </c>
      <c r="N3073">
        <v>6.95</v>
      </c>
    </row>
    <row r="3074" spans="1:14" x14ac:dyDescent="0.2">
      <c r="A3074" s="34">
        <v>40267</v>
      </c>
      <c r="B3074">
        <v>4.4386049999999999</v>
      </c>
      <c r="C3074">
        <f t="shared" ref="C3074:C3137" si="53">IFERROR(VLOOKUP(A3074,$M$2:$N$3695,2,0),C3075)</f>
        <v>4.5</v>
      </c>
      <c r="M3074" s="34">
        <v>38876</v>
      </c>
      <c r="N3074">
        <v>7</v>
      </c>
    </row>
    <row r="3075" spans="1:14" x14ac:dyDescent="0.2">
      <c r="A3075" s="34">
        <v>40266</v>
      </c>
      <c r="B3075">
        <v>4.4373399999999998</v>
      </c>
      <c r="C3075">
        <f t="shared" si="53"/>
        <v>4.54</v>
      </c>
      <c r="M3075" s="34">
        <v>38875</v>
      </c>
      <c r="N3075">
        <v>6.95</v>
      </c>
    </row>
    <row r="3076" spans="1:14" x14ac:dyDescent="0.2">
      <c r="A3076" s="34">
        <v>40265</v>
      </c>
      <c r="B3076">
        <v>4.4360749999999998</v>
      </c>
      <c r="C3076">
        <f t="shared" si="53"/>
        <v>4.5</v>
      </c>
      <c r="M3076" s="34">
        <v>38874</v>
      </c>
      <c r="N3076">
        <v>7.02</v>
      </c>
    </row>
    <row r="3077" spans="1:14" x14ac:dyDescent="0.2">
      <c r="A3077" s="34">
        <v>40264</v>
      </c>
      <c r="B3077">
        <v>4.4348109999999998</v>
      </c>
      <c r="C3077">
        <f t="shared" si="53"/>
        <v>4.5</v>
      </c>
      <c r="M3077" s="34">
        <v>38873</v>
      </c>
      <c r="N3077">
        <v>7.1</v>
      </c>
    </row>
    <row r="3078" spans="1:14" x14ac:dyDescent="0.2">
      <c r="A3078" s="34">
        <v>40263</v>
      </c>
      <c r="B3078">
        <v>4.4335469999999999</v>
      </c>
      <c r="C3078">
        <f t="shared" si="53"/>
        <v>4.5</v>
      </c>
      <c r="M3078" s="34">
        <v>38870</v>
      </c>
      <c r="N3078">
        <v>6.9</v>
      </c>
    </row>
    <row r="3079" spans="1:14" x14ac:dyDescent="0.2">
      <c r="A3079" s="34">
        <v>40262</v>
      </c>
      <c r="B3079">
        <v>4.432283</v>
      </c>
      <c r="C3079">
        <f t="shared" si="53"/>
        <v>4.5599999999999996</v>
      </c>
      <c r="M3079" s="34">
        <v>38869</v>
      </c>
      <c r="N3079">
        <v>7.01</v>
      </c>
    </row>
    <row r="3080" spans="1:14" x14ac:dyDescent="0.2">
      <c r="A3080" s="34">
        <v>40261</v>
      </c>
      <c r="B3080">
        <v>4.4312719999999999</v>
      </c>
      <c r="C3080">
        <f t="shared" si="53"/>
        <v>4.54</v>
      </c>
      <c r="M3080" s="34">
        <v>38868</v>
      </c>
      <c r="N3080">
        <v>7</v>
      </c>
    </row>
    <row r="3081" spans="1:14" x14ac:dyDescent="0.2">
      <c r="A3081" s="34">
        <v>40260</v>
      </c>
      <c r="B3081">
        <v>4.4302609999999998</v>
      </c>
      <c r="C3081">
        <f t="shared" si="53"/>
        <v>4.5199999999999996</v>
      </c>
      <c r="M3081" s="34">
        <v>38867</v>
      </c>
      <c r="N3081">
        <v>7.05</v>
      </c>
    </row>
    <row r="3082" spans="1:14" x14ac:dyDescent="0.2">
      <c r="A3082" s="34">
        <v>40259</v>
      </c>
      <c r="B3082">
        <v>4.4292509999999998</v>
      </c>
      <c r="C3082">
        <f t="shared" si="53"/>
        <v>4.54</v>
      </c>
      <c r="M3082" s="34">
        <v>38866</v>
      </c>
      <c r="N3082">
        <v>7.03</v>
      </c>
    </row>
    <row r="3083" spans="1:14" x14ac:dyDescent="0.2">
      <c r="A3083" s="34">
        <v>40258</v>
      </c>
      <c r="B3083">
        <v>4.4282399999999997</v>
      </c>
      <c r="C3083">
        <f t="shared" si="53"/>
        <v>4.5</v>
      </c>
      <c r="M3083" s="34">
        <v>38863</v>
      </c>
      <c r="N3083">
        <v>6.95</v>
      </c>
    </row>
    <row r="3084" spans="1:14" x14ac:dyDescent="0.2">
      <c r="A3084" s="34">
        <v>40257</v>
      </c>
      <c r="B3084">
        <v>4.4272299999999998</v>
      </c>
      <c r="C3084">
        <f t="shared" si="53"/>
        <v>4.5</v>
      </c>
      <c r="M3084" s="34">
        <v>38862</v>
      </c>
      <c r="N3084">
        <v>7.01</v>
      </c>
    </row>
    <row r="3085" spans="1:14" x14ac:dyDescent="0.2">
      <c r="A3085" s="34">
        <v>40256</v>
      </c>
      <c r="B3085">
        <v>4.426221</v>
      </c>
      <c r="C3085">
        <f t="shared" si="53"/>
        <v>4.5</v>
      </c>
      <c r="M3085" s="34">
        <v>38861</v>
      </c>
      <c r="N3085">
        <v>7.05</v>
      </c>
    </row>
    <row r="3086" spans="1:14" x14ac:dyDescent="0.2">
      <c r="A3086" s="34">
        <v>40255</v>
      </c>
      <c r="B3086">
        <v>4.425211</v>
      </c>
      <c r="C3086">
        <f t="shared" si="53"/>
        <v>4.55</v>
      </c>
      <c r="M3086" s="34">
        <v>38860</v>
      </c>
      <c r="N3086">
        <v>7.05</v>
      </c>
    </row>
    <row r="3087" spans="1:14" x14ac:dyDescent="0.2">
      <c r="A3087" s="34">
        <v>40254</v>
      </c>
      <c r="B3087">
        <v>4.4242020000000002</v>
      </c>
      <c r="C3087">
        <f t="shared" si="53"/>
        <v>4.55</v>
      </c>
      <c r="M3087" s="34">
        <v>38859</v>
      </c>
      <c r="N3087">
        <v>7</v>
      </c>
    </row>
    <row r="3088" spans="1:14" x14ac:dyDescent="0.2">
      <c r="A3088" s="34">
        <v>40253</v>
      </c>
      <c r="B3088">
        <v>4.4231920000000002</v>
      </c>
      <c r="C3088">
        <f t="shared" si="53"/>
        <v>4.55</v>
      </c>
      <c r="M3088" s="34">
        <v>38856</v>
      </c>
      <c r="N3088">
        <v>6.9</v>
      </c>
    </row>
    <row r="3089" spans="1:14" x14ac:dyDescent="0.2">
      <c r="A3089" s="34">
        <v>40252</v>
      </c>
      <c r="B3089">
        <v>4.4221830000000004</v>
      </c>
      <c r="C3089">
        <f t="shared" si="53"/>
        <v>4.5</v>
      </c>
      <c r="M3089" s="34">
        <v>38855</v>
      </c>
      <c r="N3089">
        <v>6.9</v>
      </c>
    </row>
    <row r="3090" spans="1:14" x14ac:dyDescent="0.2">
      <c r="A3090" s="34">
        <v>40251</v>
      </c>
      <c r="B3090">
        <v>4.4211749999999999</v>
      </c>
      <c r="C3090">
        <f t="shared" si="53"/>
        <v>4.5</v>
      </c>
      <c r="M3090" s="34">
        <v>38854</v>
      </c>
      <c r="N3090">
        <v>7.02</v>
      </c>
    </row>
    <row r="3091" spans="1:14" x14ac:dyDescent="0.2">
      <c r="A3091" s="34">
        <v>40250</v>
      </c>
      <c r="B3091">
        <v>4.420166</v>
      </c>
      <c r="C3091">
        <f t="shared" si="53"/>
        <v>4.5</v>
      </c>
      <c r="M3091" s="34">
        <v>38853</v>
      </c>
      <c r="N3091">
        <v>7.05</v>
      </c>
    </row>
    <row r="3092" spans="1:14" x14ac:dyDescent="0.2">
      <c r="A3092" s="34">
        <v>40249</v>
      </c>
      <c r="B3092">
        <v>4.4191580000000004</v>
      </c>
      <c r="C3092">
        <f t="shared" si="53"/>
        <v>4.5</v>
      </c>
      <c r="M3092" s="34">
        <v>38852</v>
      </c>
      <c r="N3092">
        <v>7</v>
      </c>
    </row>
    <row r="3093" spans="1:14" x14ac:dyDescent="0.2">
      <c r="A3093" s="34">
        <v>40248</v>
      </c>
      <c r="B3093">
        <v>4.4181499999999998</v>
      </c>
      <c r="C3093">
        <f t="shared" si="53"/>
        <v>4.53</v>
      </c>
      <c r="M3093" s="34">
        <v>38849</v>
      </c>
      <c r="N3093">
        <v>7.02</v>
      </c>
    </row>
    <row r="3094" spans="1:14" x14ac:dyDescent="0.2">
      <c r="A3094" s="34">
        <v>40247</v>
      </c>
      <c r="B3094">
        <v>4.4171420000000001</v>
      </c>
      <c r="C3094">
        <f t="shared" si="53"/>
        <v>4.4000000000000004</v>
      </c>
      <c r="M3094" s="34">
        <v>38848</v>
      </c>
      <c r="N3094">
        <v>7</v>
      </c>
    </row>
    <row r="3095" spans="1:14" x14ac:dyDescent="0.2">
      <c r="A3095" s="34">
        <v>40246</v>
      </c>
      <c r="B3095">
        <v>4.4165229999999998</v>
      </c>
      <c r="C3095">
        <f t="shared" si="53"/>
        <v>4.5599999999999996</v>
      </c>
      <c r="M3095" s="34">
        <v>38847</v>
      </c>
      <c r="N3095">
        <v>7</v>
      </c>
    </row>
    <row r="3096" spans="1:14" x14ac:dyDescent="0.2">
      <c r="A3096" s="34">
        <v>40245</v>
      </c>
      <c r="B3096">
        <v>4.4159040000000003</v>
      </c>
      <c r="C3096">
        <f t="shared" si="53"/>
        <v>4.58</v>
      </c>
      <c r="M3096" s="34">
        <v>38846</v>
      </c>
      <c r="N3096">
        <v>6.95</v>
      </c>
    </row>
    <row r="3097" spans="1:14" x14ac:dyDescent="0.2">
      <c r="A3097" s="34">
        <v>40244</v>
      </c>
      <c r="B3097">
        <v>4.4152849999999999</v>
      </c>
      <c r="C3097">
        <f t="shared" si="53"/>
        <v>4.53</v>
      </c>
      <c r="M3097" s="34">
        <v>38845</v>
      </c>
      <c r="N3097">
        <v>6.9</v>
      </c>
    </row>
    <row r="3098" spans="1:14" x14ac:dyDescent="0.2">
      <c r="A3098" s="34">
        <v>40243</v>
      </c>
      <c r="B3098">
        <v>4.4146660000000004</v>
      </c>
      <c r="C3098">
        <f t="shared" si="53"/>
        <v>4.53</v>
      </c>
      <c r="M3098" s="34">
        <v>38842</v>
      </c>
      <c r="N3098">
        <v>7</v>
      </c>
    </row>
    <row r="3099" spans="1:14" x14ac:dyDescent="0.2">
      <c r="A3099" s="34">
        <v>40242</v>
      </c>
      <c r="B3099">
        <v>4.4140470000000001</v>
      </c>
      <c r="C3099">
        <f t="shared" si="53"/>
        <v>4.53</v>
      </c>
      <c r="M3099" s="34">
        <v>38841</v>
      </c>
      <c r="N3099">
        <v>6.95</v>
      </c>
    </row>
    <row r="3100" spans="1:14" x14ac:dyDescent="0.2">
      <c r="A3100" s="34">
        <v>40241</v>
      </c>
      <c r="B3100">
        <v>4.4134289999999998</v>
      </c>
      <c r="C3100">
        <f t="shared" si="53"/>
        <v>4.53</v>
      </c>
      <c r="M3100" s="34">
        <v>38840</v>
      </c>
      <c r="N3100">
        <v>6.95</v>
      </c>
    </row>
    <row r="3101" spans="1:14" x14ac:dyDescent="0.2">
      <c r="A3101" s="34">
        <v>40240</v>
      </c>
      <c r="B3101">
        <v>4.4128100000000003</v>
      </c>
      <c r="C3101">
        <f t="shared" si="53"/>
        <v>4.5199999999999996</v>
      </c>
      <c r="M3101" s="34">
        <v>38839</v>
      </c>
      <c r="N3101">
        <v>6.95</v>
      </c>
    </row>
    <row r="3102" spans="1:14" x14ac:dyDescent="0.2">
      <c r="A3102" s="34">
        <v>40239</v>
      </c>
      <c r="B3102">
        <v>4.4121920000000001</v>
      </c>
      <c r="C3102">
        <f t="shared" si="53"/>
        <v>4.55</v>
      </c>
      <c r="M3102" s="34">
        <v>38835</v>
      </c>
      <c r="N3102">
        <v>6.9</v>
      </c>
    </row>
    <row r="3103" spans="1:14" x14ac:dyDescent="0.2">
      <c r="A3103" s="34">
        <v>40238</v>
      </c>
      <c r="B3103">
        <v>4.4115729999999997</v>
      </c>
      <c r="C3103">
        <f t="shared" si="53"/>
        <v>4.5199999999999996</v>
      </c>
      <c r="M3103" s="34">
        <v>38834</v>
      </c>
      <c r="N3103">
        <v>6.9</v>
      </c>
    </row>
    <row r="3104" spans="1:14" x14ac:dyDescent="0.2">
      <c r="A3104" s="34">
        <v>40237</v>
      </c>
      <c r="B3104">
        <v>4.4109550000000004</v>
      </c>
      <c r="C3104">
        <f t="shared" si="53"/>
        <v>4.5199999999999996</v>
      </c>
      <c r="M3104" s="34">
        <v>38833</v>
      </c>
      <c r="N3104">
        <v>7.55</v>
      </c>
    </row>
    <row r="3105" spans="1:14" x14ac:dyDescent="0.2">
      <c r="A3105" s="34">
        <v>40236</v>
      </c>
      <c r="B3105">
        <v>4.4103370000000002</v>
      </c>
      <c r="C3105">
        <f t="shared" si="53"/>
        <v>4.5199999999999996</v>
      </c>
      <c r="M3105" s="34">
        <v>38832</v>
      </c>
      <c r="N3105">
        <v>6.5</v>
      </c>
    </row>
    <row r="3106" spans="1:14" x14ac:dyDescent="0.2">
      <c r="A3106" s="34">
        <v>40235</v>
      </c>
      <c r="B3106">
        <v>4.4097189999999999</v>
      </c>
      <c r="C3106">
        <f t="shared" si="53"/>
        <v>4.5199999999999996</v>
      </c>
      <c r="M3106" s="34">
        <v>38831</v>
      </c>
      <c r="N3106">
        <v>7.35</v>
      </c>
    </row>
    <row r="3107" spans="1:14" x14ac:dyDescent="0.2">
      <c r="A3107" s="34">
        <v>40234</v>
      </c>
      <c r="B3107">
        <v>4.4090999999999996</v>
      </c>
      <c r="C3107">
        <f t="shared" si="53"/>
        <v>4.55</v>
      </c>
      <c r="M3107" s="34">
        <v>38828</v>
      </c>
      <c r="N3107">
        <v>7</v>
      </c>
    </row>
    <row r="3108" spans="1:14" x14ac:dyDescent="0.2">
      <c r="A3108" s="34">
        <v>40233</v>
      </c>
      <c r="B3108">
        <v>4.4077869999999999</v>
      </c>
      <c r="C3108">
        <f t="shared" si="53"/>
        <v>4.58</v>
      </c>
      <c r="M3108" s="34">
        <v>38827</v>
      </c>
      <c r="N3108">
        <v>7.2</v>
      </c>
    </row>
    <row r="3109" spans="1:14" x14ac:dyDescent="0.2">
      <c r="A3109" s="34">
        <v>40232</v>
      </c>
      <c r="B3109">
        <v>4.4064730000000001</v>
      </c>
      <c r="C3109">
        <f t="shared" si="53"/>
        <v>4.5</v>
      </c>
      <c r="M3109" s="34">
        <v>38826</v>
      </c>
      <c r="N3109">
        <v>7.25</v>
      </c>
    </row>
    <row r="3110" spans="1:14" x14ac:dyDescent="0.2">
      <c r="A3110" s="34">
        <v>40231</v>
      </c>
      <c r="B3110">
        <v>4.4051609999999997</v>
      </c>
      <c r="C3110">
        <f t="shared" si="53"/>
        <v>4.62</v>
      </c>
      <c r="M3110" s="34">
        <v>38825</v>
      </c>
      <c r="N3110">
        <v>7.22</v>
      </c>
    </row>
    <row r="3111" spans="1:14" x14ac:dyDescent="0.2">
      <c r="A3111" s="34">
        <v>40230</v>
      </c>
      <c r="B3111">
        <v>4.403848</v>
      </c>
      <c r="C3111">
        <f t="shared" si="53"/>
        <v>4.67</v>
      </c>
      <c r="M3111" s="34">
        <v>38824</v>
      </c>
      <c r="N3111">
        <v>7.25</v>
      </c>
    </row>
    <row r="3112" spans="1:14" x14ac:dyDescent="0.2">
      <c r="A3112" s="34">
        <v>40229</v>
      </c>
      <c r="B3112">
        <v>4.4025359999999996</v>
      </c>
      <c r="C3112">
        <f t="shared" si="53"/>
        <v>4.67</v>
      </c>
      <c r="M3112" s="34">
        <v>38819</v>
      </c>
      <c r="N3112">
        <v>7.28</v>
      </c>
    </row>
    <row r="3113" spans="1:14" x14ac:dyDescent="0.2">
      <c r="A3113" s="34">
        <v>40228</v>
      </c>
      <c r="B3113">
        <v>4.401224</v>
      </c>
      <c r="C3113">
        <f t="shared" si="53"/>
        <v>4.67</v>
      </c>
      <c r="M3113" s="34">
        <v>38818</v>
      </c>
      <c r="N3113">
        <v>7.23</v>
      </c>
    </row>
    <row r="3114" spans="1:14" x14ac:dyDescent="0.2">
      <c r="A3114" s="34">
        <v>40227</v>
      </c>
      <c r="B3114">
        <v>4.3999129999999997</v>
      </c>
      <c r="C3114">
        <f t="shared" si="53"/>
        <v>5</v>
      </c>
      <c r="M3114" s="34">
        <v>38817</v>
      </c>
      <c r="N3114">
        <v>7.26</v>
      </c>
    </row>
    <row r="3115" spans="1:14" x14ac:dyDescent="0.2">
      <c r="A3115" s="34">
        <v>40226</v>
      </c>
      <c r="B3115">
        <v>4.3986020000000003</v>
      </c>
      <c r="C3115">
        <f t="shared" si="53"/>
        <v>4.55</v>
      </c>
      <c r="M3115" s="34">
        <v>38814</v>
      </c>
      <c r="N3115">
        <v>7</v>
      </c>
    </row>
    <row r="3116" spans="1:14" x14ac:dyDescent="0.2">
      <c r="A3116" s="34">
        <v>40225</v>
      </c>
      <c r="B3116">
        <v>4.3972910000000001</v>
      </c>
      <c r="C3116">
        <f t="shared" si="53"/>
        <v>4.55</v>
      </c>
      <c r="M3116" s="34">
        <v>38813</v>
      </c>
      <c r="N3116">
        <v>7.2</v>
      </c>
    </row>
    <row r="3117" spans="1:14" x14ac:dyDescent="0.2">
      <c r="A3117" s="34">
        <v>40224</v>
      </c>
      <c r="B3117">
        <v>4.3959809999999999</v>
      </c>
      <c r="C3117">
        <f t="shared" si="53"/>
        <v>4.5999999999999996</v>
      </c>
      <c r="M3117" s="34">
        <v>38812</v>
      </c>
      <c r="N3117">
        <v>7.25</v>
      </c>
    </row>
    <row r="3118" spans="1:14" x14ac:dyDescent="0.2">
      <c r="A3118" s="34">
        <v>40223</v>
      </c>
      <c r="B3118">
        <v>4.3946709999999998</v>
      </c>
      <c r="C3118">
        <f t="shared" si="53"/>
        <v>4.5</v>
      </c>
      <c r="M3118" s="34">
        <v>38811</v>
      </c>
      <c r="N3118">
        <v>7.25</v>
      </c>
    </row>
    <row r="3119" spans="1:14" x14ac:dyDescent="0.2">
      <c r="A3119" s="34">
        <v>40222</v>
      </c>
      <c r="B3119">
        <v>4.3933619999999998</v>
      </c>
      <c r="C3119">
        <f t="shared" si="53"/>
        <v>4.5</v>
      </c>
      <c r="M3119" s="34">
        <v>38810</v>
      </c>
      <c r="N3119">
        <v>7.22</v>
      </c>
    </row>
    <row r="3120" spans="1:14" x14ac:dyDescent="0.2">
      <c r="A3120" s="34">
        <v>40221</v>
      </c>
      <c r="B3120">
        <v>4.3920529999999998</v>
      </c>
      <c r="C3120">
        <f t="shared" si="53"/>
        <v>4.5</v>
      </c>
      <c r="M3120" s="34">
        <v>38807</v>
      </c>
      <c r="N3120">
        <v>7.23</v>
      </c>
    </row>
    <row r="3121" spans="1:14" x14ac:dyDescent="0.2">
      <c r="A3121" s="34">
        <v>40220</v>
      </c>
      <c r="B3121">
        <v>4.3907439999999998</v>
      </c>
      <c r="C3121">
        <f t="shared" si="53"/>
        <v>4.5999999999999996</v>
      </c>
      <c r="M3121" s="34">
        <v>38806</v>
      </c>
      <c r="N3121">
        <v>7.25</v>
      </c>
    </row>
    <row r="3122" spans="1:14" x14ac:dyDescent="0.2">
      <c r="A3122" s="34">
        <v>40219</v>
      </c>
      <c r="B3122">
        <v>4.3894359999999999</v>
      </c>
      <c r="C3122">
        <f t="shared" si="53"/>
        <v>4.78</v>
      </c>
      <c r="M3122" s="34">
        <v>38805</v>
      </c>
      <c r="N3122">
        <v>7.25</v>
      </c>
    </row>
    <row r="3123" spans="1:14" x14ac:dyDescent="0.2">
      <c r="A3123" s="34">
        <v>40218</v>
      </c>
      <c r="B3123">
        <v>4.387391</v>
      </c>
      <c r="C3123">
        <f t="shared" si="53"/>
        <v>4.5</v>
      </c>
      <c r="M3123" s="34">
        <v>38804</v>
      </c>
      <c r="N3123">
        <v>7.27</v>
      </c>
    </row>
    <row r="3124" spans="1:14" x14ac:dyDescent="0.2">
      <c r="A3124" s="34">
        <v>40217</v>
      </c>
      <c r="B3124">
        <v>4.3853470000000003</v>
      </c>
      <c r="C3124">
        <f t="shared" si="53"/>
        <v>4.6500000000000004</v>
      </c>
      <c r="M3124" s="34">
        <v>38803</v>
      </c>
      <c r="N3124">
        <v>7.28</v>
      </c>
    </row>
    <row r="3125" spans="1:14" x14ac:dyDescent="0.2">
      <c r="A3125" s="34">
        <v>40216</v>
      </c>
      <c r="B3125">
        <v>4.3833039999999999</v>
      </c>
      <c r="C3125">
        <f t="shared" si="53"/>
        <v>4.6500000000000004</v>
      </c>
      <c r="M3125" s="34">
        <v>38800</v>
      </c>
      <c r="N3125">
        <v>7.25</v>
      </c>
    </row>
    <row r="3126" spans="1:14" x14ac:dyDescent="0.2">
      <c r="A3126" s="34">
        <v>40215</v>
      </c>
      <c r="B3126">
        <v>4.3812620000000004</v>
      </c>
      <c r="C3126">
        <f t="shared" si="53"/>
        <v>4.6500000000000004</v>
      </c>
      <c r="M3126" s="34">
        <v>38799</v>
      </c>
      <c r="N3126">
        <v>7.45</v>
      </c>
    </row>
    <row r="3127" spans="1:14" x14ac:dyDescent="0.2">
      <c r="A3127" s="34">
        <v>40214</v>
      </c>
      <c r="B3127">
        <v>4.3792200000000001</v>
      </c>
      <c r="C3127">
        <f t="shared" si="53"/>
        <v>4.6500000000000004</v>
      </c>
      <c r="M3127" s="34">
        <v>38798</v>
      </c>
      <c r="N3127">
        <v>7.48</v>
      </c>
    </row>
    <row r="3128" spans="1:14" x14ac:dyDescent="0.2">
      <c r="A3128" s="34">
        <v>40213</v>
      </c>
      <c r="B3128">
        <v>4.3771800000000001</v>
      </c>
      <c r="C3128">
        <f t="shared" si="53"/>
        <v>4.55</v>
      </c>
      <c r="M3128" s="34">
        <v>38796</v>
      </c>
      <c r="N3128">
        <v>7.4</v>
      </c>
    </row>
    <row r="3129" spans="1:14" x14ac:dyDescent="0.2">
      <c r="A3129" s="34">
        <v>40212</v>
      </c>
      <c r="B3129">
        <v>4.3751410000000002</v>
      </c>
      <c r="C3129">
        <f t="shared" si="53"/>
        <v>4.55</v>
      </c>
      <c r="M3129" s="34">
        <v>38793</v>
      </c>
      <c r="N3129">
        <v>7.45</v>
      </c>
    </row>
    <row r="3130" spans="1:14" x14ac:dyDescent="0.2">
      <c r="A3130" s="34">
        <v>40211</v>
      </c>
      <c r="B3130">
        <v>4.3731020000000003</v>
      </c>
      <c r="C3130">
        <f t="shared" si="53"/>
        <v>4.4000000000000004</v>
      </c>
      <c r="M3130" s="34">
        <v>38792</v>
      </c>
      <c r="N3130">
        <v>7.52</v>
      </c>
    </row>
    <row r="3131" spans="1:14" x14ac:dyDescent="0.2">
      <c r="A3131" s="34">
        <v>40210</v>
      </c>
      <c r="B3131">
        <v>4.3710649999999998</v>
      </c>
      <c r="C3131">
        <f t="shared" si="53"/>
        <v>5</v>
      </c>
      <c r="M3131" s="34">
        <v>38791</v>
      </c>
      <c r="N3131">
        <v>7.5</v>
      </c>
    </row>
    <row r="3132" spans="1:14" x14ac:dyDescent="0.2">
      <c r="A3132" s="34">
        <v>40209</v>
      </c>
      <c r="B3132">
        <v>4.3690290000000003</v>
      </c>
      <c r="C3132">
        <f t="shared" si="53"/>
        <v>5</v>
      </c>
      <c r="M3132" s="34">
        <v>38790</v>
      </c>
      <c r="N3132">
        <v>7.52</v>
      </c>
    </row>
    <row r="3133" spans="1:14" x14ac:dyDescent="0.2">
      <c r="A3133" s="34">
        <v>40208</v>
      </c>
      <c r="B3133">
        <v>4.3669929999999999</v>
      </c>
      <c r="C3133">
        <f t="shared" si="53"/>
        <v>5</v>
      </c>
      <c r="M3133" s="34">
        <v>38789</v>
      </c>
      <c r="N3133">
        <v>7.5</v>
      </c>
    </row>
    <row r="3134" spans="1:14" x14ac:dyDescent="0.2">
      <c r="A3134" s="34">
        <v>40207</v>
      </c>
      <c r="B3134">
        <v>4.3649579999999997</v>
      </c>
      <c r="C3134">
        <f t="shared" si="53"/>
        <v>5</v>
      </c>
      <c r="M3134" s="34">
        <v>38786</v>
      </c>
      <c r="N3134">
        <v>7.5</v>
      </c>
    </row>
    <row r="3135" spans="1:14" x14ac:dyDescent="0.2">
      <c r="A3135" s="34">
        <v>40206</v>
      </c>
      <c r="B3135">
        <v>4.3629249999999997</v>
      </c>
      <c r="C3135">
        <f t="shared" si="53"/>
        <v>4.6500000000000004</v>
      </c>
      <c r="M3135" s="34">
        <v>38785</v>
      </c>
      <c r="N3135">
        <v>7.5</v>
      </c>
    </row>
    <row r="3136" spans="1:14" x14ac:dyDescent="0.2">
      <c r="A3136" s="34">
        <v>40205</v>
      </c>
      <c r="B3136">
        <v>4.3608919999999998</v>
      </c>
      <c r="C3136">
        <f t="shared" si="53"/>
        <v>4.53</v>
      </c>
      <c r="M3136" s="34">
        <v>38784</v>
      </c>
      <c r="N3136">
        <v>7.4</v>
      </c>
    </row>
    <row r="3137" spans="1:14" x14ac:dyDescent="0.2">
      <c r="A3137" s="34">
        <v>40204</v>
      </c>
      <c r="B3137">
        <v>4.35886</v>
      </c>
      <c r="C3137">
        <f t="shared" si="53"/>
        <v>4.6399999999999997</v>
      </c>
      <c r="M3137" s="34">
        <v>38783</v>
      </c>
      <c r="N3137">
        <v>7.5</v>
      </c>
    </row>
    <row r="3138" spans="1:14" x14ac:dyDescent="0.2">
      <c r="A3138" s="34">
        <v>40203</v>
      </c>
      <c r="B3138">
        <v>4.3568300000000004</v>
      </c>
      <c r="C3138">
        <f t="shared" ref="C3138:C3201" si="54">IFERROR(VLOOKUP(A3138,$M$2:$N$3695,2,0),C3139)</f>
        <v>4.54</v>
      </c>
      <c r="M3138" s="34">
        <v>38782</v>
      </c>
      <c r="N3138">
        <v>7.45</v>
      </c>
    </row>
    <row r="3139" spans="1:14" x14ac:dyDescent="0.2">
      <c r="A3139" s="34">
        <v>40202</v>
      </c>
      <c r="B3139">
        <v>4.3561779999999999</v>
      </c>
      <c r="C3139">
        <f t="shared" si="54"/>
        <v>4.58</v>
      </c>
      <c r="M3139" s="34">
        <v>38779</v>
      </c>
      <c r="N3139">
        <v>7.48</v>
      </c>
    </row>
    <row r="3140" spans="1:14" x14ac:dyDescent="0.2">
      <c r="A3140" s="34">
        <v>40201</v>
      </c>
      <c r="B3140">
        <v>4.3555260000000002</v>
      </c>
      <c r="C3140">
        <f t="shared" si="54"/>
        <v>4.58</v>
      </c>
      <c r="M3140" s="34">
        <v>38778</v>
      </c>
      <c r="N3140">
        <v>7.48</v>
      </c>
    </row>
    <row r="3141" spans="1:14" x14ac:dyDescent="0.2">
      <c r="A3141" s="34">
        <v>40200</v>
      </c>
      <c r="B3141">
        <v>4.3548739999999997</v>
      </c>
      <c r="C3141">
        <f t="shared" si="54"/>
        <v>4.58</v>
      </c>
      <c r="M3141" s="34">
        <v>38777</v>
      </c>
      <c r="N3141">
        <v>7.54</v>
      </c>
    </row>
    <row r="3142" spans="1:14" x14ac:dyDescent="0.2">
      <c r="A3142" s="34">
        <v>40199</v>
      </c>
      <c r="B3142">
        <v>4.354222</v>
      </c>
      <c r="C3142">
        <f t="shared" si="54"/>
        <v>4.45</v>
      </c>
      <c r="M3142" s="34">
        <v>38776</v>
      </c>
      <c r="N3142">
        <v>7.5</v>
      </c>
    </row>
    <row r="3143" spans="1:14" x14ac:dyDescent="0.2">
      <c r="A3143" s="34">
        <v>40198</v>
      </c>
      <c r="B3143">
        <v>4.3535709999999996</v>
      </c>
      <c r="C3143">
        <f t="shared" si="54"/>
        <v>4.5</v>
      </c>
      <c r="M3143" s="34">
        <v>38775</v>
      </c>
      <c r="N3143">
        <v>7.58</v>
      </c>
    </row>
    <row r="3144" spans="1:14" x14ac:dyDescent="0.2">
      <c r="A3144" s="34">
        <v>40197</v>
      </c>
      <c r="B3144">
        <v>4.352919</v>
      </c>
      <c r="C3144">
        <f t="shared" si="54"/>
        <v>4.8</v>
      </c>
      <c r="M3144" s="34">
        <v>38772</v>
      </c>
      <c r="N3144">
        <v>7.52</v>
      </c>
    </row>
    <row r="3145" spans="1:14" x14ac:dyDescent="0.2">
      <c r="A3145" s="34">
        <v>40196</v>
      </c>
      <c r="B3145">
        <v>4.3522679999999996</v>
      </c>
      <c r="C3145">
        <f t="shared" si="54"/>
        <v>4.58</v>
      </c>
      <c r="M3145" s="34">
        <v>38771</v>
      </c>
      <c r="N3145">
        <v>7.8</v>
      </c>
    </row>
    <row r="3146" spans="1:14" x14ac:dyDescent="0.2">
      <c r="A3146" s="34">
        <v>40195</v>
      </c>
      <c r="B3146">
        <v>4.3516170000000001</v>
      </c>
      <c r="C3146">
        <f t="shared" si="54"/>
        <v>4.54</v>
      </c>
      <c r="M3146" s="34">
        <v>38770</v>
      </c>
      <c r="N3146">
        <v>7.78</v>
      </c>
    </row>
    <row r="3147" spans="1:14" x14ac:dyDescent="0.2">
      <c r="A3147" s="34">
        <v>40194</v>
      </c>
      <c r="B3147">
        <v>4.3509650000000004</v>
      </c>
      <c r="C3147">
        <f t="shared" si="54"/>
        <v>4.54</v>
      </c>
      <c r="M3147" s="34">
        <v>38769</v>
      </c>
      <c r="N3147">
        <v>7.75</v>
      </c>
    </row>
    <row r="3148" spans="1:14" x14ac:dyDescent="0.2">
      <c r="A3148" s="34">
        <v>40193</v>
      </c>
      <c r="B3148">
        <v>4.350314</v>
      </c>
      <c r="C3148">
        <f t="shared" si="54"/>
        <v>4.54</v>
      </c>
      <c r="M3148" s="34">
        <v>38768</v>
      </c>
      <c r="N3148">
        <v>7.78</v>
      </c>
    </row>
    <row r="3149" spans="1:14" x14ac:dyDescent="0.2">
      <c r="A3149" s="34">
        <v>40192</v>
      </c>
      <c r="B3149">
        <v>4.3496629999999996</v>
      </c>
      <c r="C3149">
        <f t="shared" si="54"/>
        <v>4.4000000000000004</v>
      </c>
      <c r="M3149" s="34">
        <v>38765</v>
      </c>
      <c r="N3149">
        <v>7.75</v>
      </c>
    </row>
    <row r="3150" spans="1:14" x14ac:dyDescent="0.2">
      <c r="A3150" s="34">
        <v>40191</v>
      </c>
      <c r="B3150">
        <v>4.3490120000000001</v>
      </c>
      <c r="C3150">
        <f t="shared" si="54"/>
        <v>4.45</v>
      </c>
      <c r="M3150" s="34">
        <v>38764</v>
      </c>
      <c r="N3150">
        <v>7.8</v>
      </c>
    </row>
    <row r="3151" spans="1:14" x14ac:dyDescent="0.2">
      <c r="A3151" s="34">
        <v>40190</v>
      </c>
      <c r="B3151">
        <v>4.3483619999999998</v>
      </c>
      <c r="C3151">
        <f t="shared" si="54"/>
        <v>4.4000000000000004</v>
      </c>
      <c r="M3151" s="34">
        <v>38763</v>
      </c>
      <c r="N3151">
        <v>7.75</v>
      </c>
    </row>
    <row r="3152" spans="1:14" x14ac:dyDescent="0.2">
      <c r="A3152" s="34">
        <v>40189</v>
      </c>
      <c r="B3152">
        <v>4.3477110000000003</v>
      </c>
      <c r="C3152">
        <f t="shared" si="54"/>
        <v>4.58</v>
      </c>
      <c r="M3152" s="34">
        <v>38762</v>
      </c>
      <c r="N3152">
        <v>7.7</v>
      </c>
    </row>
    <row r="3153" spans="1:14" x14ac:dyDescent="0.2">
      <c r="A3153" s="34">
        <v>40188</v>
      </c>
      <c r="B3153">
        <v>4.3470599999999999</v>
      </c>
      <c r="C3153">
        <f t="shared" si="54"/>
        <v>4.8499999999999996</v>
      </c>
      <c r="M3153" s="34">
        <v>38761</v>
      </c>
      <c r="N3153">
        <v>7.72</v>
      </c>
    </row>
    <row r="3154" spans="1:14" x14ac:dyDescent="0.2">
      <c r="A3154" s="34">
        <v>40187</v>
      </c>
      <c r="B3154">
        <v>4.3463700000000003</v>
      </c>
      <c r="C3154">
        <f t="shared" si="54"/>
        <v>4.8499999999999996</v>
      </c>
      <c r="M3154" s="34">
        <v>38758</v>
      </c>
      <c r="N3154">
        <v>7.7</v>
      </c>
    </row>
    <row r="3155" spans="1:14" x14ac:dyDescent="0.2">
      <c r="A3155" s="34">
        <v>40186</v>
      </c>
      <c r="B3155">
        <v>4.3456799999999998</v>
      </c>
      <c r="C3155">
        <f t="shared" si="54"/>
        <v>4.8499999999999996</v>
      </c>
      <c r="M3155" s="34">
        <v>38757</v>
      </c>
      <c r="N3155">
        <v>7.74</v>
      </c>
    </row>
    <row r="3156" spans="1:14" x14ac:dyDescent="0.2">
      <c r="A3156" s="34">
        <v>40185</v>
      </c>
      <c r="B3156">
        <v>4.3449910000000003</v>
      </c>
      <c r="C3156">
        <f t="shared" si="54"/>
        <v>4.53</v>
      </c>
      <c r="M3156" s="34">
        <v>38756</v>
      </c>
      <c r="N3156">
        <v>7.7</v>
      </c>
    </row>
    <row r="3157" spans="1:14" x14ac:dyDescent="0.2">
      <c r="A3157" s="34">
        <v>40184</v>
      </c>
      <c r="B3157">
        <v>4.3443009999999997</v>
      </c>
      <c r="C3157">
        <f t="shared" si="54"/>
        <v>4.53</v>
      </c>
      <c r="M3157" s="34">
        <v>38755</v>
      </c>
      <c r="N3157">
        <v>7.75</v>
      </c>
    </row>
    <row r="3158" spans="1:14" x14ac:dyDescent="0.2">
      <c r="A3158" s="34">
        <v>40183</v>
      </c>
      <c r="B3158">
        <v>4.3436120000000003</v>
      </c>
      <c r="C3158">
        <f t="shared" si="54"/>
        <v>4.53</v>
      </c>
      <c r="M3158" s="34">
        <v>38751</v>
      </c>
      <c r="N3158">
        <v>7.55</v>
      </c>
    </row>
    <row r="3159" spans="1:14" x14ac:dyDescent="0.2">
      <c r="A3159" s="34">
        <v>40182</v>
      </c>
      <c r="B3159">
        <v>4.3429219999999997</v>
      </c>
      <c r="C3159">
        <f t="shared" si="54"/>
        <v>4.53</v>
      </c>
      <c r="M3159" s="34">
        <v>38750</v>
      </c>
      <c r="N3159">
        <v>7.75</v>
      </c>
    </row>
    <row r="3160" spans="1:14" x14ac:dyDescent="0.2">
      <c r="A3160" s="34">
        <v>40181</v>
      </c>
      <c r="B3160">
        <v>4.3422330000000002</v>
      </c>
      <c r="C3160">
        <f t="shared" si="54"/>
        <v>4.5199999999999996</v>
      </c>
      <c r="M3160" s="34">
        <v>38749</v>
      </c>
      <c r="N3160">
        <v>7.75</v>
      </c>
    </row>
    <row r="3161" spans="1:14" x14ac:dyDescent="0.2">
      <c r="A3161" s="34">
        <v>40180</v>
      </c>
      <c r="B3161">
        <v>4.3415439999999998</v>
      </c>
      <c r="C3161">
        <f t="shared" si="54"/>
        <v>4.5199999999999996</v>
      </c>
      <c r="M3161" s="34">
        <v>38748</v>
      </c>
      <c r="N3161">
        <v>7.77</v>
      </c>
    </row>
    <row r="3162" spans="1:14" x14ac:dyDescent="0.2">
      <c r="A3162" s="34">
        <v>40179</v>
      </c>
      <c r="B3162">
        <v>4.3408550000000004</v>
      </c>
      <c r="C3162">
        <f t="shared" si="54"/>
        <v>4.5199999999999996</v>
      </c>
      <c r="M3162" s="34">
        <v>38747</v>
      </c>
      <c r="N3162">
        <v>7.75</v>
      </c>
    </row>
    <row r="3163" spans="1:14" x14ac:dyDescent="0.2">
      <c r="A3163" s="34">
        <v>40178</v>
      </c>
      <c r="B3163">
        <v>4.340166</v>
      </c>
      <c r="C3163">
        <f t="shared" si="54"/>
        <v>4.5199999999999996</v>
      </c>
      <c r="M3163" s="34">
        <v>38744</v>
      </c>
      <c r="N3163">
        <v>7.7</v>
      </c>
    </row>
    <row r="3164" spans="1:14" x14ac:dyDescent="0.2">
      <c r="A3164" s="34">
        <v>40177</v>
      </c>
      <c r="B3164">
        <v>4.3394769999999996</v>
      </c>
      <c r="C3164">
        <f t="shared" si="54"/>
        <v>4.54</v>
      </c>
      <c r="M3164" s="34">
        <v>38743</v>
      </c>
      <c r="N3164">
        <v>8.25</v>
      </c>
    </row>
    <row r="3165" spans="1:14" x14ac:dyDescent="0.2">
      <c r="A3165" s="34">
        <v>40176</v>
      </c>
      <c r="B3165">
        <v>4.3387880000000001</v>
      </c>
      <c r="C3165">
        <f t="shared" si="54"/>
        <v>4.5999999999999996</v>
      </c>
      <c r="M3165" s="34">
        <v>38742</v>
      </c>
      <c r="N3165">
        <v>8.25</v>
      </c>
    </row>
    <row r="3166" spans="1:14" x14ac:dyDescent="0.2">
      <c r="A3166" s="34">
        <v>40175</v>
      </c>
      <c r="B3166">
        <v>4.3380999999999998</v>
      </c>
      <c r="C3166">
        <f t="shared" si="54"/>
        <v>4.45</v>
      </c>
      <c r="M3166" s="34">
        <v>38741</v>
      </c>
      <c r="N3166">
        <v>8.25</v>
      </c>
    </row>
    <row r="3167" spans="1:14" x14ac:dyDescent="0.2">
      <c r="A3167" s="34">
        <v>40174</v>
      </c>
      <c r="B3167">
        <v>4.3374110000000003</v>
      </c>
      <c r="C3167">
        <f t="shared" si="54"/>
        <v>4.55</v>
      </c>
      <c r="M3167" s="34">
        <v>38740</v>
      </c>
      <c r="N3167">
        <v>8.24</v>
      </c>
    </row>
    <row r="3168" spans="1:14" x14ac:dyDescent="0.2">
      <c r="A3168" s="34">
        <v>40173</v>
      </c>
      <c r="B3168">
        <v>4.3367230000000001</v>
      </c>
      <c r="C3168">
        <f t="shared" si="54"/>
        <v>4.55</v>
      </c>
      <c r="M3168" s="34">
        <v>38737</v>
      </c>
      <c r="N3168">
        <v>8.25</v>
      </c>
    </row>
    <row r="3169" spans="1:14" x14ac:dyDescent="0.2">
      <c r="A3169" s="34">
        <v>40172</v>
      </c>
      <c r="B3169">
        <v>4.3360339999999997</v>
      </c>
      <c r="C3169">
        <f t="shared" si="54"/>
        <v>4.55</v>
      </c>
      <c r="M3169" s="34">
        <v>38736</v>
      </c>
      <c r="N3169">
        <v>8.25</v>
      </c>
    </row>
    <row r="3170" spans="1:14" x14ac:dyDescent="0.2">
      <c r="A3170" s="34">
        <v>40171</v>
      </c>
      <c r="B3170">
        <v>4.3357679999999998</v>
      </c>
      <c r="C3170">
        <f t="shared" si="54"/>
        <v>4.55</v>
      </c>
      <c r="M3170" s="34">
        <v>38735</v>
      </c>
      <c r="N3170">
        <v>8.24</v>
      </c>
    </row>
    <row r="3171" spans="1:14" x14ac:dyDescent="0.2">
      <c r="A3171" s="34">
        <v>40170</v>
      </c>
      <c r="B3171">
        <v>4.335502</v>
      </c>
      <c r="C3171">
        <f t="shared" si="54"/>
        <v>4.6500000000000004</v>
      </c>
      <c r="M3171" s="34">
        <v>38734</v>
      </c>
      <c r="N3171">
        <v>8.25</v>
      </c>
    </row>
    <row r="3172" spans="1:14" x14ac:dyDescent="0.2">
      <c r="A3172" s="34">
        <v>40169</v>
      </c>
      <c r="B3172">
        <v>4.3352360000000001</v>
      </c>
      <c r="C3172">
        <f t="shared" si="54"/>
        <v>4.5</v>
      </c>
      <c r="M3172" s="34">
        <v>38733</v>
      </c>
      <c r="N3172">
        <v>8.25</v>
      </c>
    </row>
    <row r="3173" spans="1:14" x14ac:dyDescent="0.2">
      <c r="A3173" s="34">
        <v>40168</v>
      </c>
      <c r="B3173">
        <v>4.3349700000000002</v>
      </c>
      <c r="C3173">
        <f t="shared" si="54"/>
        <v>4.58</v>
      </c>
      <c r="M3173" s="34">
        <v>38730</v>
      </c>
      <c r="N3173">
        <v>8.27</v>
      </c>
    </row>
    <row r="3174" spans="1:14" x14ac:dyDescent="0.2">
      <c r="A3174" s="34">
        <v>40167</v>
      </c>
      <c r="B3174">
        <v>4.3347040000000003</v>
      </c>
      <c r="C3174">
        <f t="shared" si="54"/>
        <v>4.5999999999999996</v>
      </c>
      <c r="M3174" s="34">
        <v>38729</v>
      </c>
      <c r="N3174">
        <v>8.25</v>
      </c>
    </row>
    <row r="3175" spans="1:14" x14ac:dyDescent="0.2">
      <c r="A3175" s="34">
        <v>40166</v>
      </c>
      <c r="B3175">
        <v>4.3344379999999996</v>
      </c>
      <c r="C3175">
        <f t="shared" si="54"/>
        <v>4.5999999999999996</v>
      </c>
      <c r="M3175" s="34">
        <v>38728</v>
      </c>
      <c r="N3175">
        <v>8.27</v>
      </c>
    </row>
    <row r="3176" spans="1:14" x14ac:dyDescent="0.2">
      <c r="A3176" s="34">
        <v>40165</v>
      </c>
      <c r="B3176">
        <v>4.3341719999999997</v>
      </c>
      <c r="C3176">
        <f t="shared" si="54"/>
        <v>4.5999999999999996</v>
      </c>
      <c r="M3176" s="34">
        <v>38727</v>
      </c>
      <c r="N3176">
        <v>8.25</v>
      </c>
    </row>
    <row r="3177" spans="1:14" x14ac:dyDescent="0.2">
      <c r="A3177" s="34">
        <v>40164</v>
      </c>
      <c r="B3177">
        <v>4.3339059999999998</v>
      </c>
      <c r="C3177">
        <f t="shared" si="54"/>
        <v>4.54</v>
      </c>
      <c r="M3177" s="34">
        <v>38726</v>
      </c>
      <c r="N3177">
        <v>8.1999999999999993</v>
      </c>
    </row>
    <row r="3178" spans="1:14" x14ac:dyDescent="0.2">
      <c r="A3178" s="34">
        <v>40163</v>
      </c>
      <c r="B3178">
        <v>4.3336399999999999</v>
      </c>
      <c r="C3178">
        <f t="shared" si="54"/>
        <v>4.57</v>
      </c>
      <c r="M3178" s="34">
        <v>38723</v>
      </c>
      <c r="N3178">
        <v>8.2200000000000006</v>
      </c>
    </row>
    <row r="3179" spans="1:14" x14ac:dyDescent="0.2">
      <c r="A3179" s="34">
        <v>40162</v>
      </c>
      <c r="B3179">
        <v>4.3333740000000001</v>
      </c>
      <c r="C3179">
        <f t="shared" si="54"/>
        <v>4.5</v>
      </c>
      <c r="M3179" s="34">
        <v>38722</v>
      </c>
      <c r="N3179">
        <v>8.25</v>
      </c>
    </row>
    <row r="3180" spans="1:14" x14ac:dyDescent="0.2">
      <c r="A3180" s="34">
        <v>40161</v>
      </c>
      <c r="B3180">
        <v>4.3331080000000002</v>
      </c>
      <c r="C3180">
        <f t="shared" si="54"/>
        <v>4.5999999999999996</v>
      </c>
      <c r="M3180" s="34">
        <v>38721</v>
      </c>
      <c r="N3180">
        <v>8.25</v>
      </c>
    </row>
    <row r="3181" spans="1:14" x14ac:dyDescent="0.2">
      <c r="A3181" s="34">
        <v>40160</v>
      </c>
      <c r="B3181">
        <v>4.3328420000000003</v>
      </c>
      <c r="C3181">
        <f t="shared" si="54"/>
        <v>4.5</v>
      </c>
      <c r="M3181" s="34">
        <v>38720</v>
      </c>
      <c r="N3181">
        <v>8.2799999999999994</v>
      </c>
    </row>
    <row r="3182" spans="1:14" x14ac:dyDescent="0.2">
      <c r="A3182" s="34">
        <v>40159</v>
      </c>
      <c r="B3182">
        <v>4.3325769999999997</v>
      </c>
      <c r="C3182">
        <f t="shared" si="54"/>
        <v>4.5</v>
      </c>
      <c r="M3182" s="34">
        <v>38719</v>
      </c>
      <c r="N3182">
        <v>8.25</v>
      </c>
    </row>
    <row r="3183" spans="1:14" x14ac:dyDescent="0.2">
      <c r="A3183" s="34">
        <v>40158</v>
      </c>
      <c r="B3183">
        <v>4.3323109999999998</v>
      </c>
      <c r="C3183">
        <f t="shared" si="54"/>
        <v>4.5</v>
      </c>
      <c r="M3183" s="34">
        <v>38716</v>
      </c>
      <c r="N3183">
        <v>8.25</v>
      </c>
    </row>
    <row r="3184" spans="1:14" x14ac:dyDescent="0.2">
      <c r="A3184" s="34">
        <v>40157</v>
      </c>
      <c r="B3184">
        <v>4.3320449999999999</v>
      </c>
      <c r="C3184">
        <f t="shared" si="54"/>
        <v>4.55</v>
      </c>
      <c r="M3184" s="34">
        <v>38715</v>
      </c>
      <c r="N3184">
        <v>8.1999999999999993</v>
      </c>
    </row>
    <row r="3185" spans="1:14" x14ac:dyDescent="0.2">
      <c r="A3185" s="34">
        <v>40156</v>
      </c>
      <c r="B3185">
        <v>4.3305309999999997</v>
      </c>
      <c r="C3185">
        <f t="shared" si="54"/>
        <v>4.54</v>
      </c>
      <c r="M3185" s="34">
        <v>38714</v>
      </c>
      <c r="N3185">
        <v>8.25</v>
      </c>
    </row>
    <row r="3186" spans="1:14" x14ac:dyDescent="0.2">
      <c r="A3186" s="34">
        <v>40155</v>
      </c>
      <c r="B3186">
        <v>4.3290179999999996</v>
      </c>
      <c r="C3186">
        <f t="shared" si="54"/>
        <v>4.51</v>
      </c>
      <c r="M3186" s="34">
        <v>38713</v>
      </c>
      <c r="N3186">
        <v>8.2799999999999994</v>
      </c>
    </row>
    <row r="3187" spans="1:14" x14ac:dyDescent="0.2">
      <c r="A3187" s="34">
        <v>40154</v>
      </c>
      <c r="B3187">
        <v>4.3275059999999996</v>
      </c>
      <c r="C3187">
        <f t="shared" si="54"/>
        <v>4.54</v>
      </c>
      <c r="M3187" s="34">
        <v>38712</v>
      </c>
      <c r="N3187">
        <v>8.24</v>
      </c>
    </row>
    <row r="3188" spans="1:14" x14ac:dyDescent="0.2">
      <c r="A3188" s="34">
        <v>40153</v>
      </c>
      <c r="B3188">
        <v>4.3259939999999997</v>
      </c>
      <c r="C3188">
        <f t="shared" si="54"/>
        <v>4.4800000000000004</v>
      </c>
      <c r="M3188" s="34">
        <v>38709</v>
      </c>
      <c r="N3188">
        <v>8.25</v>
      </c>
    </row>
    <row r="3189" spans="1:14" x14ac:dyDescent="0.2">
      <c r="A3189" s="34">
        <v>40152</v>
      </c>
      <c r="B3189">
        <v>4.3244819999999997</v>
      </c>
      <c r="C3189">
        <f t="shared" si="54"/>
        <v>4.4800000000000004</v>
      </c>
      <c r="M3189" s="34">
        <v>38708</v>
      </c>
      <c r="N3189">
        <v>8.25</v>
      </c>
    </row>
    <row r="3190" spans="1:14" x14ac:dyDescent="0.2">
      <c r="A3190" s="34">
        <v>40151</v>
      </c>
      <c r="B3190">
        <v>4.3229709999999999</v>
      </c>
      <c r="C3190">
        <f t="shared" si="54"/>
        <v>4.4800000000000004</v>
      </c>
      <c r="M3190" s="34">
        <v>38707</v>
      </c>
      <c r="N3190">
        <v>8.35</v>
      </c>
    </row>
    <row r="3191" spans="1:14" x14ac:dyDescent="0.2">
      <c r="A3191" s="34">
        <v>40150</v>
      </c>
      <c r="B3191">
        <v>4.3214610000000002</v>
      </c>
      <c r="C3191">
        <f t="shared" si="54"/>
        <v>4.5199999999999996</v>
      </c>
      <c r="M3191" s="34">
        <v>38706</v>
      </c>
      <c r="N3191">
        <v>8.2799999999999994</v>
      </c>
    </row>
    <row r="3192" spans="1:14" x14ac:dyDescent="0.2">
      <c r="A3192" s="34">
        <v>40149</v>
      </c>
      <c r="B3192">
        <v>4.3199509999999997</v>
      </c>
      <c r="C3192">
        <f t="shared" si="54"/>
        <v>4.5199999999999996</v>
      </c>
      <c r="M3192" s="34">
        <v>38705</v>
      </c>
      <c r="N3192">
        <v>8.27</v>
      </c>
    </row>
    <row r="3193" spans="1:14" x14ac:dyDescent="0.2">
      <c r="A3193" s="34">
        <v>40148</v>
      </c>
      <c r="B3193">
        <v>4.318441</v>
      </c>
      <c r="C3193">
        <f t="shared" si="54"/>
        <v>4.5199999999999996</v>
      </c>
      <c r="M3193" s="34">
        <v>38702</v>
      </c>
      <c r="N3193">
        <v>8.15</v>
      </c>
    </row>
    <row r="3194" spans="1:14" x14ac:dyDescent="0.2">
      <c r="A3194" s="34">
        <v>40147</v>
      </c>
      <c r="B3194">
        <v>4.3169329999999997</v>
      </c>
      <c r="C3194">
        <f t="shared" si="54"/>
        <v>4.53</v>
      </c>
      <c r="M3194" s="34">
        <v>38701</v>
      </c>
      <c r="N3194">
        <v>8.9499999999999993</v>
      </c>
    </row>
    <row r="3195" spans="1:14" x14ac:dyDescent="0.2">
      <c r="A3195" s="34">
        <v>40146</v>
      </c>
      <c r="B3195">
        <v>4.3154240000000001</v>
      </c>
      <c r="C3195">
        <f t="shared" si="54"/>
        <v>4.5999999999999996</v>
      </c>
      <c r="M3195" s="34">
        <v>38700</v>
      </c>
      <c r="N3195">
        <v>8.25</v>
      </c>
    </row>
    <row r="3196" spans="1:14" x14ac:dyDescent="0.2">
      <c r="A3196" s="34">
        <v>40145</v>
      </c>
      <c r="B3196">
        <v>4.3139159999999999</v>
      </c>
      <c r="C3196">
        <f t="shared" si="54"/>
        <v>4.5999999999999996</v>
      </c>
      <c r="M3196" s="34">
        <v>38699</v>
      </c>
      <c r="N3196">
        <v>8.24</v>
      </c>
    </row>
    <row r="3197" spans="1:14" x14ac:dyDescent="0.2">
      <c r="A3197" s="34">
        <v>40144</v>
      </c>
      <c r="B3197">
        <v>4.3124089999999997</v>
      </c>
      <c r="C3197">
        <f t="shared" si="54"/>
        <v>4.5999999999999996</v>
      </c>
      <c r="M3197" s="34">
        <v>38695</v>
      </c>
      <c r="N3197">
        <v>8.26</v>
      </c>
    </row>
    <row r="3198" spans="1:14" x14ac:dyDescent="0.2">
      <c r="A3198" s="34">
        <v>40143</v>
      </c>
      <c r="B3198">
        <v>4.3109019999999996</v>
      </c>
      <c r="C3198">
        <f t="shared" si="54"/>
        <v>4.5</v>
      </c>
      <c r="M3198" s="34">
        <v>38694</v>
      </c>
      <c r="N3198">
        <v>8.6999999999999993</v>
      </c>
    </row>
    <row r="3199" spans="1:14" x14ac:dyDescent="0.2">
      <c r="A3199" s="34">
        <v>40142</v>
      </c>
      <c r="B3199">
        <v>4.3093959999999996</v>
      </c>
      <c r="C3199">
        <f t="shared" si="54"/>
        <v>4.5</v>
      </c>
      <c r="M3199" s="34">
        <v>38693</v>
      </c>
      <c r="N3199">
        <v>8.75</v>
      </c>
    </row>
    <row r="3200" spans="1:14" x14ac:dyDescent="0.2">
      <c r="A3200" s="34">
        <v>40141</v>
      </c>
      <c r="B3200">
        <v>4.309698</v>
      </c>
      <c r="C3200">
        <f t="shared" si="54"/>
        <v>4.62</v>
      </c>
      <c r="M3200" s="34">
        <v>38692</v>
      </c>
      <c r="N3200">
        <v>8.75</v>
      </c>
    </row>
    <row r="3201" spans="1:14" x14ac:dyDescent="0.2">
      <c r="A3201" s="34">
        <v>40140</v>
      </c>
      <c r="B3201">
        <v>4.3099990000000004</v>
      </c>
      <c r="C3201">
        <f t="shared" si="54"/>
        <v>4.4800000000000004</v>
      </c>
      <c r="M3201" s="34">
        <v>38691</v>
      </c>
      <c r="N3201">
        <v>8.75</v>
      </c>
    </row>
    <row r="3202" spans="1:14" x14ac:dyDescent="0.2">
      <c r="A3202" s="34">
        <v>40139</v>
      </c>
      <c r="B3202">
        <v>4.3103009999999999</v>
      </c>
      <c r="C3202">
        <f t="shared" ref="C3202:C3265" si="55">IFERROR(VLOOKUP(A3202,$M$2:$N$3695,2,0),C3203)</f>
        <v>4.55</v>
      </c>
      <c r="M3202" s="34">
        <v>38688</v>
      </c>
      <c r="N3202">
        <v>8.7899999999999991</v>
      </c>
    </row>
    <row r="3203" spans="1:14" x14ac:dyDescent="0.2">
      <c r="A3203" s="34">
        <v>40138</v>
      </c>
      <c r="B3203">
        <v>4.3106020000000003</v>
      </c>
      <c r="C3203">
        <f t="shared" si="55"/>
        <v>4.55</v>
      </c>
      <c r="M3203" s="34">
        <v>38687</v>
      </c>
      <c r="N3203">
        <v>8.73</v>
      </c>
    </row>
    <row r="3204" spans="1:14" x14ac:dyDescent="0.2">
      <c r="A3204" s="34">
        <v>40137</v>
      </c>
      <c r="B3204">
        <v>4.3109039999999998</v>
      </c>
      <c r="C3204">
        <f t="shared" si="55"/>
        <v>4.55</v>
      </c>
      <c r="M3204" s="34">
        <v>38686</v>
      </c>
      <c r="N3204">
        <v>8.75</v>
      </c>
    </row>
    <row r="3205" spans="1:14" x14ac:dyDescent="0.2">
      <c r="A3205" s="34">
        <v>40136</v>
      </c>
      <c r="B3205">
        <v>4.3112050000000002</v>
      </c>
      <c r="C3205">
        <f t="shared" si="55"/>
        <v>4.5</v>
      </c>
      <c r="M3205" s="34">
        <v>38685</v>
      </c>
      <c r="N3205">
        <v>8.75</v>
      </c>
    </row>
    <row r="3206" spans="1:14" x14ac:dyDescent="0.2">
      <c r="A3206" s="34">
        <v>40135</v>
      </c>
      <c r="B3206">
        <v>4.3115069999999998</v>
      </c>
      <c r="C3206">
        <f t="shared" si="55"/>
        <v>4.5</v>
      </c>
      <c r="M3206" s="34">
        <v>38684</v>
      </c>
      <c r="N3206">
        <v>8.75</v>
      </c>
    </row>
    <row r="3207" spans="1:14" x14ac:dyDescent="0.2">
      <c r="A3207" s="34">
        <v>40134</v>
      </c>
      <c r="B3207">
        <v>4.3118080000000001</v>
      </c>
      <c r="C3207">
        <f t="shared" si="55"/>
        <v>5</v>
      </c>
      <c r="M3207" s="34">
        <v>38681</v>
      </c>
      <c r="N3207">
        <v>8.75</v>
      </c>
    </row>
    <row r="3208" spans="1:14" x14ac:dyDescent="0.2">
      <c r="A3208" s="34">
        <v>40133</v>
      </c>
      <c r="B3208">
        <v>4.3121099999999997</v>
      </c>
      <c r="C3208">
        <f t="shared" si="55"/>
        <v>4.55</v>
      </c>
      <c r="M3208" s="34">
        <v>38680</v>
      </c>
      <c r="N3208">
        <v>9</v>
      </c>
    </row>
    <row r="3209" spans="1:14" x14ac:dyDescent="0.2">
      <c r="A3209" s="34">
        <v>40132</v>
      </c>
      <c r="B3209">
        <v>4.312411</v>
      </c>
      <c r="C3209">
        <f t="shared" si="55"/>
        <v>4.55</v>
      </c>
      <c r="M3209" s="34">
        <v>38679</v>
      </c>
      <c r="N3209">
        <v>9</v>
      </c>
    </row>
    <row r="3210" spans="1:14" x14ac:dyDescent="0.2">
      <c r="A3210" s="34">
        <v>40131</v>
      </c>
      <c r="B3210">
        <v>4.3127129999999996</v>
      </c>
      <c r="C3210">
        <f t="shared" si="55"/>
        <v>4.55</v>
      </c>
      <c r="M3210" s="34">
        <v>38678</v>
      </c>
      <c r="N3210">
        <v>9</v>
      </c>
    </row>
    <row r="3211" spans="1:14" x14ac:dyDescent="0.2">
      <c r="A3211" s="34">
        <v>40130</v>
      </c>
      <c r="B3211">
        <v>4.313015</v>
      </c>
      <c r="C3211">
        <f t="shared" si="55"/>
        <v>4.55</v>
      </c>
      <c r="M3211" s="34">
        <v>38677</v>
      </c>
      <c r="N3211">
        <v>9</v>
      </c>
    </row>
    <row r="3212" spans="1:14" x14ac:dyDescent="0.2">
      <c r="A3212" s="34">
        <v>40129</v>
      </c>
      <c r="B3212">
        <v>4.3133160000000004</v>
      </c>
      <c r="C3212">
        <f t="shared" si="55"/>
        <v>4.5</v>
      </c>
      <c r="M3212" s="34">
        <v>38674</v>
      </c>
      <c r="N3212">
        <v>9</v>
      </c>
    </row>
    <row r="3213" spans="1:14" x14ac:dyDescent="0.2">
      <c r="A3213" s="34">
        <v>40128</v>
      </c>
      <c r="B3213">
        <v>4.313618</v>
      </c>
      <c r="C3213">
        <f t="shared" si="55"/>
        <v>4.25</v>
      </c>
      <c r="M3213" s="34">
        <v>38673</v>
      </c>
      <c r="N3213">
        <v>9</v>
      </c>
    </row>
    <row r="3214" spans="1:14" x14ac:dyDescent="0.2">
      <c r="A3214" s="34">
        <v>40127</v>
      </c>
      <c r="B3214">
        <v>4.3139200000000004</v>
      </c>
      <c r="C3214">
        <f t="shared" si="55"/>
        <v>4.6500000000000004</v>
      </c>
      <c r="M3214" s="34">
        <v>38672</v>
      </c>
      <c r="N3214">
        <v>9</v>
      </c>
    </row>
    <row r="3215" spans="1:14" x14ac:dyDescent="0.2">
      <c r="A3215" s="34">
        <v>40126</v>
      </c>
      <c r="B3215">
        <v>4.3129879999999998</v>
      </c>
      <c r="C3215">
        <f t="shared" si="55"/>
        <v>4.45</v>
      </c>
      <c r="M3215" s="34">
        <v>38671</v>
      </c>
      <c r="N3215">
        <v>9</v>
      </c>
    </row>
    <row r="3216" spans="1:14" x14ac:dyDescent="0.2">
      <c r="A3216" s="34">
        <v>40125</v>
      </c>
      <c r="B3216">
        <v>4.3120560000000001</v>
      </c>
      <c r="C3216">
        <f t="shared" si="55"/>
        <v>4.45</v>
      </c>
      <c r="M3216" s="34">
        <v>38670</v>
      </c>
      <c r="N3216">
        <v>9</v>
      </c>
    </row>
    <row r="3217" spans="1:14" x14ac:dyDescent="0.2">
      <c r="A3217" s="34">
        <v>40124</v>
      </c>
      <c r="B3217">
        <v>4.3111240000000004</v>
      </c>
      <c r="C3217">
        <f t="shared" si="55"/>
        <v>4.45</v>
      </c>
      <c r="M3217" s="34">
        <v>38667</v>
      </c>
      <c r="N3217">
        <v>9</v>
      </c>
    </row>
    <row r="3218" spans="1:14" x14ac:dyDescent="0.2">
      <c r="A3218" s="34">
        <v>40123</v>
      </c>
      <c r="B3218">
        <v>4.3101919999999998</v>
      </c>
      <c r="C3218">
        <f t="shared" si="55"/>
        <v>4.45</v>
      </c>
      <c r="M3218" s="34">
        <v>38666</v>
      </c>
      <c r="N3218">
        <v>8.8000000000000007</v>
      </c>
    </row>
    <row r="3219" spans="1:14" x14ac:dyDescent="0.2">
      <c r="A3219" s="34">
        <v>40122</v>
      </c>
      <c r="B3219">
        <v>4.3092610000000002</v>
      </c>
      <c r="C3219">
        <f t="shared" si="55"/>
        <v>4.5</v>
      </c>
      <c r="M3219" s="34">
        <v>38665</v>
      </c>
      <c r="N3219">
        <v>9</v>
      </c>
    </row>
    <row r="3220" spans="1:14" x14ac:dyDescent="0.2">
      <c r="A3220" s="34">
        <v>40121</v>
      </c>
      <c r="B3220">
        <v>4.3083299999999998</v>
      </c>
      <c r="C3220">
        <f t="shared" si="55"/>
        <v>4.7</v>
      </c>
      <c r="M3220" s="34">
        <v>38664</v>
      </c>
      <c r="N3220">
        <v>9</v>
      </c>
    </row>
    <row r="3221" spans="1:14" x14ac:dyDescent="0.2">
      <c r="A3221" s="34">
        <v>40120</v>
      </c>
      <c r="B3221">
        <v>4.3073990000000002</v>
      </c>
      <c r="C3221">
        <f t="shared" si="55"/>
        <v>4.5999999999999996</v>
      </c>
      <c r="M3221" s="34">
        <v>38663</v>
      </c>
      <c r="N3221">
        <v>9</v>
      </c>
    </row>
    <row r="3222" spans="1:14" x14ac:dyDescent="0.2">
      <c r="A3222" s="34">
        <v>40119</v>
      </c>
      <c r="B3222">
        <v>4.3064679999999997</v>
      </c>
      <c r="C3222">
        <f t="shared" si="55"/>
        <v>4.62</v>
      </c>
      <c r="M3222" s="34">
        <v>38660</v>
      </c>
      <c r="N3222">
        <v>8.92</v>
      </c>
    </row>
    <row r="3223" spans="1:14" x14ac:dyDescent="0.2">
      <c r="A3223" s="34">
        <v>40118</v>
      </c>
      <c r="B3223">
        <v>4.3055380000000003</v>
      </c>
      <c r="C3223">
        <f t="shared" si="55"/>
        <v>4.62</v>
      </c>
      <c r="M3223" s="34">
        <v>38659</v>
      </c>
      <c r="N3223">
        <v>8.9499999999999993</v>
      </c>
    </row>
    <row r="3224" spans="1:14" x14ac:dyDescent="0.2">
      <c r="A3224" s="34">
        <v>40117</v>
      </c>
      <c r="B3224">
        <v>4.304608</v>
      </c>
      <c r="C3224">
        <f t="shared" si="55"/>
        <v>4.62</v>
      </c>
      <c r="M3224" s="34">
        <v>38658</v>
      </c>
      <c r="N3224">
        <v>9</v>
      </c>
    </row>
    <row r="3225" spans="1:14" x14ac:dyDescent="0.2">
      <c r="A3225" s="34">
        <v>40116</v>
      </c>
      <c r="B3225">
        <v>4.3036779999999997</v>
      </c>
      <c r="C3225">
        <f t="shared" si="55"/>
        <v>4.62</v>
      </c>
      <c r="M3225" s="34">
        <v>38657</v>
      </c>
      <c r="N3225">
        <v>9</v>
      </c>
    </row>
    <row r="3226" spans="1:14" x14ac:dyDescent="0.2">
      <c r="A3226" s="34">
        <v>40115</v>
      </c>
      <c r="B3226">
        <v>4.3027480000000002</v>
      </c>
      <c r="C3226">
        <f t="shared" si="55"/>
        <v>4.5199999999999996</v>
      </c>
      <c r="M3226" s="34">
        <v>38656</v>
      </c>
      <c r="N3226">
        <v>9.0299999999999994</v>
      </c>
    </row>
    <row r="3227" spans="1:14" x14ac:dyDescent="0.2">
      <c r="A3227" s="34">
        <v>40114</v>
      </c>
      <c r="B3227">
        <v>4.3018179999999999</v>
      </c>
      <c r="C3227">
        <f t="shared" si="55"/>
        <v>4.7</v>
      </c>
      <c r="M3227" s="34">
        <v>38653</v>
      </c>
      <c r="N3227">
        <v>9.1999999999999993</v>
      </c>
    </row>
    <row r="3228" spans="1:14" x14ac:dyDescent="0.2">
      <c r="A3228" s="34">
        <v>40113</v>
      </c>
      <c r="B3228">
        <v>4.3008879999999996</v>
      </c>
      <c r="C3228">
        <f t="shared" si="55"/>
        <v>4.53</v>
      </c>
      <c r="M3228" s="34">
        <v>38652</v>
      </c>
      <c r="N3228">
        <v>9</v>
      </c>
    </row>
    <row r="3229" spans="1:14" x14ac:dyDescent="0.2">
      <c r="A3229" s="34">
        <v>40112</v>
      </c>
      <c r="B3229">
        <v>4.2999590000000003</v>
      </c>
      <c r="C3229">
        <f t="shared" si="55"/>
        <v>4.49</v>
      </c>
      <c r="M3229" s="34">
        <v>38651</v>
      </c>
      <c r="N3229">
        <v>9.15</v>
      </c>
    </row>
    <row r="3230" spans="1:14" x14ac:dyDescent="0.2">
      <c r="A3230" s="34">
        <v>40111</v>
      </c>
      <c r="B3230">
        <v>4.2990300000000001</v>
      </c>
      <c r="C3230">
        <f t="shared" si="55"/>
        <v>4.4000000000000004</v>
      </c>
      <c r="M3230" s="34">
        <v>38650</v>
      </c>
      <c r="N3230">
        <v>9.27</v>
      </c>
    </row>
    <row r="3231" spans="1:14" x14ac:dyDescent="0.2">
      <c r="A3231" s="34">
        <v>40110</v>
      </c>
      <c r="B3231">
        <v>4.2989800000000002</v>
      </c>
      <c r="C3231">
        <f t="shared" si="55"/>
        <v>4.4000000000000004</v>
      </c>
      <c r="M3231" s="34">
        <v>38649</v>
      </c>
      <c r="N3231">
        <v>9.23</v>
      </c>
    </row>
    <row r="3232" spans="1:14" x14ac:dyDescent="0.2">
      <c r="A3232" s="34">
        <v>40109</v>
      </c>
      <c r="B3232">
        <v>4.2989300000000004</v>
      </c>
      <c r="C3232">
        <f t="shared" si="55"/>
        <v>4.4000000000000004</v>
      </c>
      <c r="M3232" s="34">
        <v>38646</v>
      </c>
      <c r="N3232">
        <v>9.1999999999999993</v>
      </c>
    </row>
    <row r="3233" spans="1:14" x14ac:dyDescent="0.2">
      <c r="A3233" s="34">
        <v>40108</v>
      </c>
      <c r="B3233">
        <v>4.2988790000000003</v>
      </c>
      <c r="C3233">
        <f t="shared" si="55"/>
        <v>4.4800000000000004</v>
      </c>
      <c r="M3233" s="34">
        <v>38645</v>
      </c>
      <c r="N3233">
        <v>9.2799999999999994</v>
      </c>
    </row>
    <row r="3234" spans="1:14" x14ac:dyDescent="0.2">
      <c r="A3234" s="34">
        <v>40107</v>
      </c>
      <c r="B3234">
        <v>4.2988289999999996</v>
      </c>
      <c r="C3234">
        <f t="shared" si="55"/>
        <v>4.47</v>
      </c>
      <c r="M3234" s="34">
        <v>38644</v>
      </c>
      <c r="N3234">
        <v>9.25</v>
      </c>
    </row>
    <row r="3235" spans="1:14" x14ac:dyDescent="0.2">
      <c r="A3235" s="34">
        <v>40106</v>
      </c>
      <c r="B3235">
        <v>4.2987789999999997</v>
      </c>
      <c r="C3235">
        <f t="shared" si="55"/>
        <v>4.58</v>
      </c>
      <c r="M3235" s="34">
        <v>38643</v>
      </c>
      <c r="N3235">
        <v>9.25</v>
      </c>
    </row>
    <row r="3236" spans="1:14" x14ac:dyDescent="0.2">
      <c r="A3236" s="34">
        <v>40105</v>
      </c>
      <c r="B3236">
        <v>4.2987279999999997</v>
      </c>
      <c r="C3236">
        <f t="shared" si="55"/>
        <v>4.51</v>
      </c>
      <c r="M3236" s="34">
        <v>38642</v>
      </c>
      <c r="N3236">
        <v>9.25</v>
      </c>
    </row>
    <row r="3237" spans="1:14" x14ac:dyDescent="0.2">
      <c r="A3237" s="34">
        <v>40104</v>
      </c>
      <c r="B3237">
        <v>4.2986779999999998</v>
      </c>
      <c r="C3237">
        <f t="shared" si="55"/>
        <v>4.5999999999999996</v>
      </c>
      <c r="M3237" s="34">
        <v>38639</v>
      </c>
      <c r="N3237">
        <v>9.1999999999999993</v>
      </c>
    </row>
    <row r="3238" spans="1:14" x14ac:dyDescent="0.2">
      <c r="A3238" s="34">
        <v>40103</v>
      </c>
      <c r="B3238">
        <v>4.2986279999999999</v>
      </c>
      <c r="C3238">
        <f t="shared" si="55"/>
        <v>4.5999999999999996</v>
      </c>
      <c r="M3238" s="34">
        <v>38638</v>
      </c>
      <c r="N3238">
        <v>9.1999999999999993</v>
      </c>
    </row>
    <row r="3239" spans="1:14" x14ac:dyDescent="0.2">
      <c r="A3239" s="34">
        <v>40102</v>
      </c>
      <c r="B3239">
        <v>4.298578</v>
      </c>
      <c r="C3239">
        <f t="shared" si="55"/>
        <v>4.5999999999999996</v>
      </c>
      <c r="M3239" s="34">
        <v>38637</v>
      </c>
      <c r="N3239">
        <v>9.25</v>
      </c>
    </row>
    <row r="3240" spans="1:14" x14ac:dyDescent="0.2">
      <c r="A3240" s="34">
        <v>40101</v>
      </c>
      <c r="B3240">
        <v>4.298527</v>
      </c>
      <c r="C3240">
        <f t="shared" si="55"/>
        <v>4.5999999999999996</v>
      </c>
      <c r="M3240" s="34">
        <v>38636</v>
      </c>
      <c r="N3240">
        <v>9.1999999999999993</v>
      </c>
    </row>
    <row r="3241" spans="1:14" x14ac:dyDescent="0.2">
      <c r="A3241" s="34">
        <v>40100</v>
      </c>
      <c r="B3241">
        <v>4.2984770000000001</v>
      </c>
      <c r="C3241">
        <f t="shared" si="55"/>
        <v>4.46</v>
      </c>
      <c r="M3241" s="34">
        <v>38635</v>
      </c>
      <c r="N3241">
        <v>9.25</v>
      </c>
    </row>
    <row r="3242" spans="1:14" x14ac:dyDescent="0.2">
      <c r="A3242" s="34">
        <v>40099</v>
      </c>
      <c r="B3242">
        <v>4.2984270000000002</v>
      </c>
      <c r="C3242">
        <f t="shared" si="55"/>
        <v>4.5999999999999996</v>
      </c>
      <c r="M3242" s="34">
        <v>38632</v>
      </c>
      <c r="N3242">
        <v>9.25</v>
      </c>
    </row>
    <row r="3243" spans="1:14" x14ac:dyDescent="0.2">
      <c r="A3243" s="34">
        <v>40098</v>
      </c>
      <c r="B3243">
        <v>4.2983770000000003</v>
      </c>
      <c r="C3243">
        <f t="shared" si="55"/>
        <v>4.45</v>
      </c>
      <c r="M3243" s="34">
        <v>38631</v>
      </c>
      <c r="N3243">
        <v>9.25</v>
      </c>
    </row>
    <row r="3244" spans="1:14" x14ac:dyDescent="0.2">
      <c r="A3244" s="34">
        <v>40097</v>
      </c>
      <c r="B3244">
        <v>4.2983260000000003</v>
      </c>
      <c r="C3244">
        <f t="shared" si="55"/>
        <v>4.4000000000000004</v>
      </c>
      <c r="M3244" s="34">
        <v>38630</v>
      </c>
      <c r="N3244">
        <v>9.26</v>
      </c>
    </row>
    <row r="3245" spans="1:14" x14ac:dyDescent="0.2">
      <c r="A3245" s="34">
        <v>40096</v>
      </c>
      <c r="B3245">
        <v>4.2982760000000004</v>
      </c>
      <c r="C3245">
        <f t="shared" si="55"/>
        <v>4.4000000000000004</v>
      </c>
      <c r="M3245" s="34">
        <v>38629</v>
      </c>
      <c r="N3245">
        <v>9.25</v>
      </c>
    </row>
    <row r="3246" spans="1:14" x14ac:dyDescent="0.2">
      <c r="A3246" s="34">
        <v>40095</v>
      </c>
      <c r="B3246">
        <v>4.2971490000000001</v>
      </c>
      <c r="C3246">
        <f t="shared" si="55"/>
        <v>4.4000000000000004</v>
      </c>
      <c r="M3246" s="34">
        <v>38628</v>
      </c>
      <c r="N3246">
        <v>9.25</v>
      </c>
    </row>
    <row r="3247" spans="1:14" x14ac:dyDescent="0.2">
      <c r="A3247" s="34">
        <v>40094</v>
      </c>
      <c r="B3247">
        <v>4.2960229999999999</v>
      </c>
      <c r="C3247">
        <f t="shared" si="55"/>
        <v>4.47</v>
      </c>
      <c r="M3247" s="34">
        <v>38625</v>
      </c>
      <c r="N3247">
        <v>9.25</v>
      </c>
    </row>
    <row r="3248" spans="1:14" x14ac:dyDescent="0.2">
      <c r="A3248" s="34">
        <v>40093</v>
      </c>
      <c r="B3248">
        <v>4.2948969999999997</v>
      </c>
      <c r="C3248">
        <f t="shared" si="55"/>
        <v>4.5</v>
      </c>
      <c r="M3248" s="34">
        <v>38624</v>
      </c>
      <c r="N3248">
        <v>9.25</v>
      </c>
    </row>
    <row r="3249" spans="1:14" x14ac:dyDescent="0.2">
      <c r="A3249" s="34">
        <v>40092</v>
      </c>
      <c r="B3249">
        <v>4.2937709999999996</v>
      </c>
      <c r="C3249">
        <f t="shared" si="55"/>
        <v>4.45</v>
      </c>
      <c r="M3249" s="34">
        <v>38623</v>
      </c>
      <c r="N3249">
        <v>9.25</v>
      </c>
    </row>
    <row r="3250" spans="1:14" x14ac:dyDescent="0.2">
      <c r="A3250" s="34">
        <v>40091</v>
      </c>
      <c r="B3250">
        <v>4.2926460000000004</v>
      </c>
      <c r="C3250">
        <f t="shared" si="55"/>
        <v>4.45</v>
      </c>
      <c r="M3250" s="34">
        <v>38622</v>
      </c>
      <c r="N3250">
        <v>9.25</v>
      </c>
    </row>
    <row r="3251" spans="1:14" x14ac:dyDescent="0.2">
      <c r="A3251" s="34">
        <v>40090</v>
      </c>
      <c r="B3251">
        <v>4.2915210000000004</v>
      </c>
      <c r="C3251">
        <f t="shared" si="55"/>
        <v>4.2</v>
      </c>
      <c r="M3251" s="34">
        <v>38621</v>
      </c>
      <c r="N3251">
        <v>9.24</v>
      </c>
    </row>
    <row r="3252" spans="1:14" x14ac:dyDescent="0.2">
      <c r="A3252" s="34">
        <v>40089</v>
      </c>
      <c r="B3252">
        <v>4.2903960000000003</v>
      </c>
      <c r="C3252">
        <f t="shared" si="55"/>
        <v>4.2</v>
      </c>
      <c r="M3252" s="34">
        <v>38618</v>
      </c>
      <c r="N3252">
        <v>9.1999999999999993</v>
      </c>
    </row>
    <row r="3253" spans="1:14" x14ac:dyDescent="0.2">
      <c r="A3253" s="34">
        <v>40088</v>
      </c>
      <c r="B3253">
        <v>4.2892710000000003</v>
      </c>
      <c r="C3253">
        <f t="shared" si="55"/>
        <v>4.2</v>
      </c>
      <c r="M3253" s="34">
        <v>38617</v>
      </c>
      <c r="N3253">
        <v>9.65</v>
      </c>
    </row>
    <row r="3254" spans="1:14" x14ac:dyDescent="0.2">
      <c r="A3254" s="34">
        <v>40087</v>
      </c>
      <c r="B3254">
        <v>4.2881470000000004</v>
      </c>
      <c r="C3254">
        <f t="shared" si="55"/>
        <v>4.46</v>
      </c>
      <c r="M3254" s="34">
        <v>38616</v>
      </c>
      <c r="N3254">
        <v>9.42</v>
      </c>
    </row>
    <row r="3255" spans="1:14" x14ac:dyDescent="0.2">
      <c r="A3255" s="34">
        <v>40086</v>
      </c>
      <c r="B3255">
        <v>4.2870229999999996</v>
      </c>
      <c r="C3255">
        <f t="shared" si="55"/>
        <v>4.5999999999999996</v>
      </c>
      <c r="M3255" s="34">
        <v>38615</v>
      </c>
      <c r="N3255">
        <v>9.25</v>
      </c>
    </row>
    <row r="3256" spans="1:14" x14ac:dyDescent="0.2">
      <c r="A3256" s="34">
        <v>40085</v>
      </c>
      <c r="B3256">
        <v>4.2858989999999997</v>
      </c>
      <c r="C3256">
        <f t="shared" si="55"/>
        <v>4.62</v>
      </c>
      <c r="M3256" s="34">
        <v>38614</v>
      </c>
      <c r="N3256">
        <v>9.65</v>
      </c>
    </row>
    <row r="3257" spans="1:14" x14ac:dyDescent="0.2">
      <c r="A3257" s="34">
        <v>40084</v>
      </c>
      <c r="B3257">
        <v>4.2847759999999999</v>
      </c>
      <c r="C3257">
        <f t="shared" si="55"/>
        <v>4.5199999999999996</v>
      </c>
      <c r="M3257" s="34">
        <v>38610</v>
      </c>
      <c r="N3257">
        <v>9.5500000000000007</v>
      </c>
    </row>
    <row r="3258" spans="1:14" x14ac:dyDescent="0.2">
      <c r="A3258" s="34">
        <v>40083</v>
      </c>
      <c r="B3258">
        <v>4.2836530000000002</v>
      </c>
      <c r="C3258">
        <f t="shared" si="55"/>
        <v>4.45</v>
      </c>
      <c r="M3258" s="34">
        <v>38609</v>
      </c>
      <c r="N3258">
        <v>9.4499999999999993</v>
      </c>
    </row>
    <row r="3259" spans="1:14" x14ac:dyDescent="0.2">
      <c r="A3259" s="34">
        <v>40082</v>
      </c>
      <c r="B3259">
        <v>4.2825300000000004</v>
      </c>
      <c r="C3259">
        <f t="shared" si="55"/>
        <v>4.45</v>
      </c>
      <c r="M3259" s="34">
        <v>38608</v>
      </c>
      <c r="N3259">
        <v>9.5</v>
      </c>
    </row>
    <row r="3260" spans="1:14" x14ac:dyDescent="0.2">
      <c r="A3260" s="34">
        <v>40081</v>
      </c>
      <c r="B3260">
        <v>4.2814069999999997</v>
      </c>
      <c r="C3260">
        <f t="shared" si="55"/>
        <v>4.45</v>
      </c>
      <c r="M3260" s="34">
        <v>38607</v>
      </c>
      <c r="N3260">
        <v>9.5500000000000007</v>
      </c>
    </row>
    <row r="3261" spans="1:14" x14ac:dyDescent="0.2">
      <c r="A3261" s="34">
        <v>40080</v>
      </c>
      <c r="B3261">
        <v>4.2808460000000004</v>
      </c>
      <c r="C3261">
        <f t="shared" si="55"/>
        <v>5</v>
      </c>
      <c r="M3261" s="34">
        <v>38604</v>
      </c>
      <c r="N3261">
        <v>9.5</v>
      </c>
    </row>
    <row r="3262" spans="1:14" x14ac:dyDescent="0.2">
      <c r="A3262" s="34">
        <v>40079</v>
      </c>
      <c r="B3262">
        <v>4.280284</v>
      </c>
      <c r="C3262">
        <f t="shared" si="55"/>
        <v>4.47</v>
      </c>
      <c r="M3262" s="34">
        <v>38603</v>
      </c>
      <c r="N3262">
        <v>9.4499999999999993</v>
      </c>
    </row>
    <row r="3263" spans="1:14" x14ac:dyDescent="0.2">
      <c r="A3263" s="34">
        <v>40078</v>
      </c>
      <c r="B3263">
        <v>4.2797219999999996</v>
      </c>
      <c r="C3263">
        <f t="shared" si="55"/>
        <v>4.49</v>
      </c>
      <c r="M3263" s="34">
        <v>38602</v>
      </c>
      <c r="N3263">
        <v>9.49</v>
      </c>
    </row>
    <row r="3264" spans="1:14" x14ac:dyDescent="0.2">
      <c r="A3264" s="34">
        <v>40077</v>
      </c>
      <c r="B3264">
        <v>4.2791610000000002</v>
      </c>
      <c r="C3264">
        <f t="shared" si="55"/>
        <v>4.41</v>
      </c>
      <c r="M3264" s="34">
        <v>38601</v>
      </c>
      <c r="N3264">
        <v>9.48</v>
      </c>
    </row>
    <row r="3265" spans="1:14" x14ac:dyDescent="0.2">
      <c r="A3265" s="34">
        <v>40076</v>
      </c>
      <c r="B3265">
        <v>4.2785989999999998</v>
      </c>
      <c r="C3265">
        <f t="shared" si="55"/>
        <v>4.45</v>
      </c>
      <c r="M3265" s="34">
        <v>38600</v>
      </c>
      <c r="N3265">
        <v>9.5</v>
      </c>
    </row>
    <row r="3266" spans="1:14" x14ac:dyDescent="0.2">
      <c r="A3266" s="34">
        <v>40075</v>
      </c>
      <c r="B3266">
        <v>4.2780379999999996</v>
      </c>
      <c r="C3266">
        <f t="shared" ref="C3266:C3329" si="56">IFERROR(VLOOKUP(A3266,$M$2:$N$3695,2,0),C3267)</f>
        <v>4.45</v>
      </c>
      <c r="M3266" s="34">
        <v>38597</v>
      </c>
      <c r="N3266">
        <v>9.5</v>
      </c>
    </row>
    <row r="3267" spans="1:14" x14ac:dyDescent="0.2">
      <c r="A3267" s="34">
        <v>40074</v>
      </c>
      <c r="B3267">
        <v>4.2774770000000002</v>
      </c>
      <c r="C3267">
        <f t="shared" si="56"/>
        <v>4.45</v>
      </c>
      <c r="M3267" s="34">
        <v>38596</v>
      </c>
      <c r="N3267">
        <v>9.5</v>
      </c>
    </row>
    <row r="3268" spans="1:14" x14ac:dyDescent="0.2">
      <c r="A3268" s="34">
        <v>40073</v>
      </c>
      <c r="B3268">
        <v>4.2769149999999998</v>
      </c>
      <c r="C3268">
        <f t="shared" si="56"/>
        <v>4.5199999999999996</v>
      </c>
      <c r="M3268" s="34">
        <v>38595</v>
      </c>
      <c r="N3268">
        <v>9.6</v>
      </c>
    </row>
    <row r="3269" spans="1:14" x14ac:dyDescent="0.2">
      <c r="A3269" s="34">
        <v>40072</v>
      </c>
      <c r="B3269">
        <v>4.2763540000000004</v>
      </c>
      <c r="C3269">
        <f t="shared" si="56"/>
        <v>4.5</v>
      </c>
      <c r="M3269" s="34">
        <v>38594</v>
      </c>
      <c r="N3269">
        <v>9.49</v>
      </c>
    </row>
    <row r="3270" spans="1:14" x14ac:dyDescent="0.2">
      <c r="A3270" s="34">
        <v>40071</v>
      </c>
      <c r="B3270">
        <v>4.2757930000000002</v>
      </c>
      <c r="C3270">
        <f t="shared" si="56"/>
        <v>4.5</v>
      </c>
      <c r="M3270" s="34">
        <v>38593</v>
      </c>
      <c r="N3270">
        <v>9.5</v>
      </c>
    </row>
    <row r="3271" spans="1:14" x14ac:dyDescent="0.2">
      <c r="A3271" s="34">
        <v>40070</v>
      </c>
      <c r="B3271">
        <v>4.2752319999999999</v>
      </c>
      <c r="C3271">
        <f t="shared" si="56"/>
        <v>4.54</v>
      </c>
      <c r="M3271" s="34">
        <v>38590</v>
      </c>
      <c r="N3271">
        <v>9.6</v>
      </c>
    </row>
    <row r="3272" spans="1:14" x14ac:dyDescent="0.2">
      <c r="A3272" s="34">
        <v>40069</v>
      </c>
      <c r="B3272">
        <v>4.2746709999999997</v>
      </c>
      <c r="C3272">
        <f t="shared" si="56"/>
        <v>4.5</v>
      </c>
      <c r="M3272" s="34">
        <v>38589</v>
      </c>
      <c r="N3272">
        <v>9.75</v>
      </c>
    </row>
    <row r="3273" spans="1:14" x14ac:dyDescent="0.2">
      <c r="A3273" s="34">
        <v>40068</v>
      </c>
      <c r="B3273">
        <v>4.2741100000000003</v>
      </c>
      <c r="C3273">
        <f t="shared" si="56"/>
        <v>4.5</v>
      </c>
      <c r="M3273" s="34">
        <v>38588</v>
      </c>
      <c r="N3273">
        <v>9.74</v>
      </c>
    </row>
    <row r="3274" spans="1:14" x14ac:dyDescent="0.2">
      <c r="A3274" s="34">
        <v>40067</v>
      </c>
      <c r="B3274">
        <v>4.2735500000000002</v>
      </c>
      <c r="C3274">
        <f t="shared" si="56"/>
        <v>4.5</v>
      </c>
      <c r="M3274" s="34">
        <v>38587</v>
      </c>
      <c r="N3274">
        <v>9.75</v>
      </c>
    </row>
    <row r="3275" spans="1:14" x14ac:dyDescent="0.2">
      <c r="A3275" s="34">
        <v>40066</v>
      </c>
      <c r="B3275">
        <v>4.2729889999999999</v>
      </c>
      <c r="C3275">
        <f t="shared" si="56"/>
        <v>4.5</v>
      </c>
      <c r="M3275" s="34">
        <v>38586</v>
      </c>
      <c r="N3275">
        <v>9.6</v>
      </c>
    </row>
    <row r="3276" spans="1:14" x14ac:dyDescent="0.2">
      <c r="A3276" s="34">
        <v>40065</v>
      </c>
      <c r="B3276">
        <v>4.2726940000000004</v>
      </c>
      <c r="C3276">
        <f t="shared" si="56"/>
        <v>4.45</v>
      </c>
      <c r="M3276" s="34">
        <v>38583</v>
      </c>
      <c r="N3276">
        <v>9.6999999999999993</v>
      </c>
    </row>
    <row r="3277" spans="1:14" x14ac:dyDescent="0.2">
      <c r="A3277" s="34">
        <v>40064</v>
      </c>
      <c r="B3277">
        <v>4.2724000000000002</v>
      </c>
      <c r="C3277">
        <f t="shared" si="56"/>
        <v>4.5</v>
      </c>
      <c r="M3277" s="34">
        <v>38582</v>
      </c>
      <c r="N3277">
        <v>9.75</v>
      </c>
    </row>
    <row r="3278" spans="1:14" x14ac:dyDescent="0.2">
      <c r="A3278" s="34">
        <v>40063</v>
      </c>
      <c r="B3278">
        <v>4.2721049999999998</v>
      </c>
      <c r="C3278">
        <f t="shared" si="56"/>
        <v>4.49</v>
      </c>
      <c r="M3278" s="34">
        <v>38581</v>
      </c>
      <c r="N3278">
        <v>9.74</v>
      </c>
    </row>
    <row r="3279" spans="1:14" x14ac:dyDescent="0.2">
      <c r="A3279" s="34">
        <v>40062</v>
      </c>
      <c r="B3279">
        <v>4.2718100000000003</v>
      </c>
      <c r="C3279">
        <f t="shared" si="56"/>
        <v>4.45</v>
      </c>
      <c r="M3279" s="34">
        <v>38580</v>
      </c>
      <c r="N3279">
        <v>9.73</v>
      </c>
    </row>
    <row r="3280" spans="1:14" x14ac:dyDescent="0.2">
      <c r="A3280" s="34">
        <v>40061</v>
      </c>
      <c r="B3280">
        <v>4.2715160000000001</v>
      </c>
      <c r="C3280">
        <f t="shared" si="56"/>
        <v>4.45</v>
      </c>
      <c r="M3280" s="34">
        <v>38579</v>
      </c>
      <c r="N3280">
        <v>9.74</v>
      </c>
    </row>
    <row r="3281" spans="1:14" x14ac:dyDescent="0.2">
      <c r="A3281" s="34">
        <v>40060</v>
      </c>
      <c r="B3281">
        <v>4.2712209999999997</v>
      </c>
      <c r="C3281">
        <f t="shared" si="56"/>
        <v>4.45</v>
      </c>
      <c r="M3281" s="34">
        <v>38576</v>
      </c>
      <c r="N3281">
        <v>9.68</v>
      </c>
    </row>
    <row r="3282" spans="1:14" x14ac:dyDescent="0.2">
      <c r="A3282" s="34">
        <v>40059</v>
      </c>
      <c r="B3282">
        <v>4.2709270000000004</v>
      </c>
      <c r="C3282">
        <f t="shared" si="56"/>
        <v>4.5</v>
      </c>
      <c r="M3282" s="34">
        <v>38575</v>
      </c>
      <c r="N3282">
        <v>9.75</v>
      </c>
    </row>
    <row r="3283" spans="1:14" x14ac:dyDescent="0.2">
      <c r="A3283" s="34">
        <v>40058</v>
      </c>
      <c r="B3283">
        <v>4.270632</v>
      </c>
      <c r="C3283">
        <f t="shared" si="56"/>
        <v>4.4800000000000004</v>
      </c>
      <c r="M3283" s="34">
        <v>38574</v>
      </c>
      <c r="N3283">
        <v>9.6999999999999993</v>
      </c>
    </row>
    <row r="3284" spans="1:14" x14ac:dyDescent="0.2">
      <c r="A3284" s="34">
        <v>40057</v>
      </c>
      <c r="B3284">
        <v>4.2703379999999997</v>
      </c>
      <c r="C3284">
        <f t="shared" si="56"/>
        <v>4.4800000000000004</v>
      </c>
      <c r="M3284" s="34">
        <v>38573</v>
      </c>
      <c r="N3284">
        <v>9.73</v>
      </c>
    </row>
    <row r="3285" spans="1:14" x14ac:dyDescent="0.2">
      <c r="A3285" s="34">
        <v>40056</v>
      </c>
      <c r="B3285">
        <v>4.2700430000000003</v>
      </c>
      <c r="C3285">
        <f t="shared" si="56"/>
        <v>4.5199999999999996</v>
      </c>
      <c r="M3285" s="34">
        <v>38572</v>
      </c>
      <c r="N3285">
        <v>9.65</v>
      </c>
    </row>
    <row r="3286" spans="1:14" x14ac:dyDescent="0.2">
      <c r="A3286" s="34">
        <v>40055</v>
      </c>
      <c r="B3286">
        <v>4.269749</v>
      </c>
      <c r="C3286">
        <f t="shared" si="56"/>
        <v>4.5</v>
      </c>
      <c r="M3286" s="34">
        <v>38569</v>
      </c>
      <c r="N3286">
        <v>9.6</v>
      </c>
    </row>
    <row r="3287" spans="1:14" x14ac:dyDescent="0.2">
      <c r="A3287" s="34">
        <v>40054</v>
      </c>
      <c r="B3287">
        <v>4.2694539999999996</v>
      </c>
      <c r="C3287">
        <f t="shared" si="56"/>
        <v>4.5</v>
      </c>
      <c r="M3287" s="34">
        <v>38568</v>
      </c>
      <c r="N3287">
        <v>9.73</v>
      </c>
    </row>
    <row r="3288" spans="1:14" x14ac:dyDescent="0.2">
      <c r="A3288" s="34">
        <v>40053</v>
      </c>
      <c r="B3288">
        <v>4.2691600000000003</v>
      </c>
      <c r="C3288">
        <f t="shared" si="56"/>
        <v>4.5</v>
      </c>
      <c r="M3288" s="34">
        <v>38567</v>
      </c>
      <c r="N3288">
        <v>9.6999999999999993</v>
      </c>
    </row>
    <row r="3289" spans="1:14" x14ac:dyDescent="0.2">
      <c r="A3289" s="34">
        <v>40052</v>
      </c>
      <c r="B3289">
        <v>4.268866</v>
      </c>
      <c r="C3289">
        <f t="shared" si="56"/>
        <v>4.4800000000000004</v>
      </c>
      <c r="M3289" s="34">
        <v>38566</v>
      </c>
      <c r="N3289">
        <v>9.73</v>
      </c>
    </row>
    <row r="3290" spans="1:14" x14ac:dyDescent="0.2">
      <c r="A3290" s="34">
        <v>40051</v>
      </c>
      <c r="B3290">
        <v>4.2685709999999997</v>
      </c>
      <c r="C3290">
        <f t="shared" si="56"/>
        <v>4.5</v>
      </c>
      <c r="M3290" s="34">
        <v>38565</v>
      </c>
      <c r="N3290">
        <v>9.7200000000000006</v>
      </c>
    </row>
    <row r="3291" spans="1:14" x14ac:dyDescent="0.2">
      <c r="A3291" s="34">
        <v>40050</v>
      </c>
      <c r="B3291">
        <v>4.2682770000000003</v>
      </c>
      <c r="C3291">
        <f t="shared" si="56"/>
        <v>4.4000000000000004</v>
      </c>
      <c r="M3291" s="34">
        <v>38562</v>
      </c>
      <c r="N3291">
        <v>9.75</v>
      </c>
    </row>
    <row r="3292" spans="1:14" x14ac:dyDescent="0.2">
      <c r="A3292" s="34">
        <v>40049</v>
      </c>
      <c r="B3292">
        <v>4.268103</v>
      </c>
      <c r="C3292">
        <f t="shared" si="56"/>
        <v>4.45</v>
      </c>
      <c r="M3292" s="34">
        <v>38561</v>
      </c>
      <c r="N3292">
        <v>9.73</v>
      </c>
    </row>
    <row r="3293" spans="1:14" x14ac:dyDescent="0.2">
      <c r="A3293" s="34">
        <v>40048</v>
      </c>
      <c r="B3293">
        <v>4.2679289999999996</v>
      </c>
      <c r="C3293">
        <f t="shared" si="56"/>
        <v>4.3499999999999996</v>
      </c>
      <c r="M3293" s="34">
        <v>38560</v>
      </c>
      <c r="N3293">
        <v>9.75</v>
      </c>
    </row>
    <row r="3294" spans="1:14" x14ac:dyDescent="0.2">
      <c r="A3294" s="34">
        <v>40047</v>
      </c>
      <c r="B3294">
        <v>4.2677550000000002</v>
      </c>
      <c r="C3294">
        <f t="shared" si="56"/>
        <v>4.3499999999999996</v>
      </c>
      <c r="M3294" s="34">
        <v>38559</v>
      </c>
      <c r="N3294">
        <v>9.73</v>
      </c>
    </row>
    <row r="3295" spans="1:14" x14ac:dyDescent="0.2">
      <c r="A3295" s="34">
        <v>40046</v>
      </c>
      <c r="B3295">
        <v>4.2675809999999998</v>
      </c>
      <c r="C3295">
        <f t="shared" si="56"/>
        <v>4.3499999999999996</v>
      </c>
      <c r="M3295" s="34">
        <v>38558</v>
      </c>
      <c r="N3295">
        <v>9.6</v>
      </c>
    </row>
    <row r="3296" spans="1:14" x14ac:dyDescent="0.2">
      <c r="A3296" s="34">
        <v>40045</v>
      </c>
      <c r="B3296">
        <v>4.2674079999999996</v>
      </c>
      <c r="C3296">
        <f t="shared" si="56"/>
        <v>4.47</v>
      </c>
      <c r="M3296" s="34">
        <v>38555</v>
      </c>
      <c r="N3296">
        <v>9.75</v>
      </c>
    </row>
    <row r="3297" spans="1:14" x14ac:dyDescent="0.2">
      <c r="A3297" s="34">
        <v>40044</v>
      </c>
      <c r="B3297">
        <v>4.2672340000000002</v>
      </c>
      <c r="C3297">
        <f t="shared" si="56"/>
        <v>4.55</v>
      </c>
      <c r="M3297" s="34">
        <v>38554</v>
      </c>
      <c r="N3297">
        <v>9.73</v>
      </c>
    </row>
    <row r="3298" spans="1:14" x14ac:dyDescent="0.2">
      <c r="A3298" s="34">
        <v>40043</v>
      </c>
      <c r="B3298">
        <v>4.2670599999999999</v>
      </c>
      <c r="C3298">
        <f t="shared" si="56"/>
        <v>4.45</v>
      </c>
      <c r="M3298" s="34">
        <v>38553</v>
      </c>
      <c r="N3298">
        <v>9.75</v>
      </c>
    </row>
    <row r="3299" spans="1:14" x14ac:dyDescent="0.2">
      <c r="A3299" s="34">
        <v>40042</v>
      </c>
      <c r="B3299">
        <v>4.2668860000000004</v>
      </c>
      <c r="C3299">
        <f t="shared" si="56"/>
        <v>4.5999999999999996</v>
      </c>
      <c r="M3299" s="34">
        <v>38552</v>
      </c>
      <c r="N3299">
        <v>9.75</v>
      </c>
    </row>
    <row r="3300" spans="1:14" x14ac:dyDescent="0.2">
      <c r="A3300" s="34">
        <v>40041</v>
      </c>
      <c r="B3300">
        <v>4.2667120000000001</v>
      </c>
      <c r="C3300">
        <f t="shared" si="56"/>
        <v>4.55</v>
      </c>
      <c r="M3300" s="34">
        <v>38551</v>
      </c>
      <c r="N3300">
        <v>9.7799999999999994</v>
      </c>
    </row>
    <row r="3301" spans="1:14" x14ac:dyDescent="0.2">
      <c r="A3301" s="34">
        <v>40040</v>
      </c>
      <c r="B3301">
        <v>4.2665389999999999</v>
      </c>
      <c r="C3301">
        <f t="shared" si="56"/>
        <v>4.55</v>
      </c>
      <c r="M3301" s="34">
        <v>38548</v>
      </c>
      <c r="N3301">
        <v>9.75</v>
      </c>
    </row>
    <row r="3302" spans="1:14" x14ac:dyDescent="0.2">
      <c r="A3302" s="34">
        <v>40039</v>
      </c>
      <c r="B3302">
        <v>4.2663650000000004</v>
      </c>
      <c r="C3302">
        <f t="shared" si="56"/>
        <v>4.55</v>
      </c>
      <c r="M3302" s="34">
        <v>38547</v>
      </c>
      <c r="N3302">
        <v>9.7200000000000006</v>
      </c>
    </row>
    <row r="3303" spans="1:14" x14ac:dyDescent="0.2">
      <c r="A3303" s="34">
        <v>40038</v>
      </c>
      <c r="B3303">
        <v>4.2661910000000001</v>
      </c>
      <c r="C3303">
        <f t="shared" si="56"/>
        <v>4.45</v>
      </c>
      <c r="M3303" s="34">
        <v>38546</v>
      </c>
      <c r="N3303">
        <v>9.6999999999999993</v>
      </c>
    </row>
    <row r="3304" spans="1:14" x14ac:dyDescent="0.2">
      <c r="A3304" s="34">
        <v>40037</v>
      </c>
      <c r="B3304">
        <v>4.2660169999999997</v>
      </c>
      <c r="C3304">
        <f t="shared" si="56"/>
        <v>4.5999999999999996</v>
      </c>
      <c r="M3304" s="34">
        <v>38545</v>
      </c>
      <c r="N3304">
        <v>9.73</v>
      </c>
    </row>
    <row r="3305" spans="1:14" x14ac:dyDescent="0.2">
      <c r="A3305" s="34">
        <v>40036</v>
      </c>
      <c r="B3305">
        <v>4.2658430000000003</v>
      </c>
      <c r="C3305">
        <f t="shared" si="56"/>
        <v>4.45</v>
      </c>
      <c r="M3305" s="34">
        <v>38544</v>
      </c>
      <c r="N3305">
        <v>9.73</v>
      </c>
    </row>
    <row r="3306" spans="1:14" x14ac:dyDescent="0.2">
      <c r="A3306" s="34">
        <v>40035</v>
      </c>
      <c r="B3306">
        <v>4.2656700000000001</v>
      </c>
      <c r="C3306">
        <f t="shared" si="56"/>
        <v>4.5</v>
      </c>
      <c r="M3306" s="34">
        <v>38541</v>
      </c>
      <c r="N3306">
        <v>9.75</v>
      </c>
    </row>
    <row r="3307" spans="1:14" x14ac:dyDescent="0.2">
      <c r="A3307" s="34">
        <v>40034</v>
      </c>
      <c r="B3307">
        <v>4.2651349999999999</v>
      </c>
      <c r="C3307">
        <f t="shared" si="56"/>
        <v>4.45</v>
      </c>
      <c r="M3307" s="34">
        <v>38540</v>
      </c>
      <c r="N3307">
        <v>9.76</v>
      </c>
    </row>
    <row r="3308" spans="1:14" x14ac:dyDescent="0.2">
      <c r="A3308" s="34">
        <v>40033</v>
      </c>
      <c r="B3308">
        <v>4.2646009999999999</v>
      </c>
      <c r="C3308">
        <f t="shared" si="56"/>
        <v>4.45</v>
      </c>
      <c r="M3308" s="34">
        <v>38539</v>
      </c>
      <c r="N3308">
        <v>9.68</v>
      </c>
    </row>
    <row r="3309" spans="1:14" x14ac:dyDescent="0.2">
      <c r="A3309" s="34">
        <v>40032</v>
      </c>
      <c r="B3309">
        <v>4.2640659999999997</v>
      </c>
      <c r="C3309">
        <f t="shared" si="56"/>
        <v>4.45</v>
      </c>
      <c r="M3309" s="34">
        <v>38538</v>
      </c>
      <c r="N3309">
        <v>9.7200000000000006</v>
      </c>
    </row>
    <row r="3310" spans="1:14" x14ac:dyDescent="0.2">
      <c r="A3310" s="34">
        <v>40031</v>
      </c>
      <c r="B3310">
        <v>4.2635319999999997</v>
      </c>
      <c r="C3310">
        <f t="shared" si="56"/>
        <v>4.4000000000000004</v>
      </c>
      <c r="M3310" s="34">
        <v>38537</v>
      </c>
      <c r="N3310">
        <v>9.73</v>
      </c>
    </row>
    <row r="3311" spans="1:14" x14ac:dyDescent="0.2">
      <c r="A3311" s="34">
        <v>40030</v>
      </c>
      <c r="B3311">
        <v>4.2629979999999996</v>
      </c>
      <c r="C3311">
        <f t="shared" si="56"/>
        <v>4.4000000000000004</v>
      </c>
      <c r="M3311" s="34">
        <v>38534</v>
      </c>
      <c r="N3311">
        <v>9.7200000000000006</v>
      </c>
    </row>
    <row r="3312" spans="1:14" x14ac:dyDescent="0.2">
      <c r="A3312" s="34">
        <v>40029</v>
      </c>
      <c r="B3312">
        <v>4.2624639999999996</v>
      </c>
      <c r="C3312">
        <f t="shared" si="56"/>
        <v>4.5599999999999996</v>
      </c>
      <c r="M3312" s="34">
        <v>38533</v>
      </c>
      <c r="N3312">
        <v>9.7200000000000006</v>
      </c>
    </row>
    <row r="3313" spans="1:14" x14ac:dyDescent="0.2">
      <c r="A3313" s="34">
        <v>40028</v>
      </c>
      <c r="B3313">
        <v>4.2619290000000003</v>
      </c>
      <c r="C3313">
        <f t="shared" si="56"/>
        <v>4.45</v>
      </c>
      <c r="M3313" s="34">
        <v>38532</v>
      </c>
      <c r="N3313">
        <v>9.73</v>
      </c>
    </row>
    <row r="3314" spans="1:14" x14ac:dyDescent="0.2">
      <c r="A3314" s="34">
        <v>40027</v>
      </c>
      <c r="B3314">
        <v>4.2613950000000003</v>
      </c>
      <c r="C3314">
        <f t="shared" si="56"/>
        <v>4.4000000000000004</v>
      </c>
      <c r="M3314" s="34">
        <v>38531</v>
      </c>
      <c r="N3314">
        <v>9.75</v>
      </c>
    </row>
    <row r="3315" spans="1:14" x14ac:dyDescent="0.2">
      <c r="A3315" s="34">
        <v>40026</v>
      </c>
      <c r="B3315">
        <v>4.2608610000000002</v>
      </c>
      <c r="C3315">
        <f t="shared" si="56"/>
        <v>4.4000000000000004</v>
      </c>
      <c r="M3315" s="34">
        <v>38530</v>
      </c>
      <c r="N3315">
        <v>9.73</v>
      </c>
    </row>
    <row r="3316" spans="1:14" x14ac:dyDescent="0.2">
      <c r="A3316" s="34">
        <v>40025</v>
      </c>
      <c r="B3316">
        <v>4.2603270000000002</v>
      </c>
      <c r="C3316">
        <f t="shared" si="56"/>
        <v>4.4000000000000004</v>
      </c>
      <c r="M3316" s="34">
        <v>38527</v>
      </c>
      <c r="N3316">
        <v>9.65</v>
      </c>
    </row>
    <row r="3317" spans="1:14" x14ac:dyDescent="0.2">
      <c r="A3317" s="34">
        <v>40024</v>
      </c>
      <c r="B3317">
        <v>4.2597940000000003</v>
      </c>
      <c r="C3317">
        <f t="shared" si="56"/>
        <v>4.75</v>
      </c>
      <c r="M3317" s="34">
        <v>38526</v>
      </c>
      <c r="N3317">
        <v>9.75</v>
      </c>
    </row>
    <row r="3318" spans="1:14" x14ac:dyDescent="0.2">
      <c r="A3318" s="34">
        <v>40023</v>
      </c>
      <c r="B3318">
        <v>4.2592600000000003</v>
      </c>
      <c r="C3318">
        <f t="shared" si="56"/>
        <v>4.75</v>
      </c>
      <c r="M3318" s="34">
        <v>38525</v>
      </c>
      <c r="N3318">
        <v>9.74</v>
      </c>
    </row>
    <row r="3319" spans="1:14" x14ac:dyDescent="0.2">
      <c r="A3319" s="34">
        <v>40022</v>
      </c>
      <c r="B3319">
        <v>4.2587260000000002</v>
      </c>
      <c r="C3319">
        <f t="shared" si="56"/>
        <v>4.4800000000000004</v>
      </c>
      <c r="M3319" s="34">
        <v>38524</v>
      </c>
      <c r="N3319">
        <v>9.73</v>
      </c>
    </row>
    <row r="3320" spans="1:14" x14ac:dyDescent="0.2">
      <c r="A3320" s="34">
        <v>40021</v>
      </c>
      <c r="B3320">
        <v>4.2581920000000002</v>
      </c>
      <c r="C3320">
        <f t="shared" si="56"/>
        <v>4.4400000000000004</v>
      </c>
      <c r="M3320" s="34">
        <v>38523</v>
      </c>
      <c r="N3320">
        <v>9.7799999999999994</v>
      </c>
    </row>
    <row r="3321" spans="1:14" x14ac:dyDescent="0.2">
      <c r="A3321" s="34">
        <v>40020</v>
      </c>
      <c r="B3321">
        <v>4.2576590000000003</v>
      </c>
      <c r="C3321">
        <f t="shared" si="56"/>
        <v>4.4000000000000004</v>
      </c>
      <c r="M3321" s="34">
        <v>38520</v>
      </c>
      <c r="N3321">
        <v>9.7799999999999994</v>
      </c>
    </row>
    <row r="3322" spans="1:14" x14ac:dyDescent="0.2">
      <c r="A3322" s="34">
        <v>40019</v>
      </c>
      <c r="B3322">
        <v>4.2571250000000003</v>
      </c>
      <c r="C3322">
        <f t="shared" si="56"/>
        <v>4.4000000000000004</v>
      </c>
      <c r="M3322" s="34">
        <v>38519</v>
      </c>
      <c r="N3322">
        <v>9.74</v>
      </c>
    </row>
    <row r="3323" spans="1:14" x14ac:dyDescent="0.2">
      <c r="A3323" s="34">
        <v>40018</v>
      </c>
      <c r="B3323">
        <v>4.2568950000000001</v>
      </c>
      <c r="C3323">
        <f t="shared" si="56"/>
        <v>4.4000000000000004</v>
      </c>
      <c r="M3323" s="34">
        <v>38518</v>
      </c>
      <c r="N3323">
        <v>9.75</v>
      </c>
    </row>
    <row r="3324" spans="1:14" x14ac:dyDescent="0.2">
      <c r="A3324" s="34">
        <v>40017</v>
      </c>
      <c r="B3324">
        <v>4.2566639999999998</v>
      </c>
      <c r="C3324">
        <f t="shared" si="56"/>
        <v>3.5</v>
      </c>
      <c r="M3324" s="34">
        <v>38517</v>
      </c>
      <c r="N3324">
        <v>9.75</v>
      </c>
    </row>
    <row r="3325" spans="1:14" x14ac:dyDescent="0.2">
      <c r="A3325" s="34">
        <v>40016</v>
      </c>
      <c r="B3325">
        <v>4.2564339999999996</v>
      </c>
      <c r="C3325">
        <f t="shared" si="56"/>
        <v>4.4800000000000004</v>
      </c>
      <c r="M3325" s="34">
        <v>38516</v>
      </c>
      <c r="N3325">
        <v>9.73</v>
      </c>
    </row>
    <row r="3326" spans="1:14" x14ac:dyDescent="0.2">
      <c r="A3326" s="34">
        <v>40015</v>
      </c>
      <c r="B3326">
        <v>4.2562040000000003</v>
      </c>
      <c r="C3326">
        <f t="shared" si="56"/>
        <v>4.5</v>
      </c>
      <c r="M3326" s="34">
        <v>38513</v>
      </c>
      <c r="N3326">
        <v>9.6</v>
      </c>
    </row>
    <row r="3327" spans="1:14" x14ac:dyDescent="0.2">
      <c r="A3327" s="34">
        <v>40014</v>
      </c>
      <c r="B3327">
        <v>4.255973</v>
      </c>
      <c r="C3327">
        <f t="shared" si="56"/>
        <v>4.8499999999999996</v>
      </c>
      <c r="M3327" s="34">
        <v>38512</v>
      </c>
      <c r="N3327">
        <v>9.6999999999999993</v>
      </c>
    </row>
    <row r="3328" spans="1:14" x14ac:dyDescent="0.2">
      <c r="A3328" s="34">
        <v>40013</v>
      </c>
      <c r="B3328">
        <v>4.2557429999999998</v>
      </c>
      <c r="C3328">
        <f t="shared" si="56"/>
        <v>4.3499999999999996</v>
      </c>
      <c r="M3328" s="34">
        <v>38511</v>
      </c>
      <c r="N3328">
        <v>9.74</v>
      </c>
    </row>
    <row r="3329" spans="1:14" x14ac:dyDescent="0.2">
      <c r="A3329" s="34">
        <v>40012</v>
      </c>
      <c r="B3329">
        <v>4.2555120000000004</v>
      </c>
      <c r="C3329">
        <f t="shared" si="56"/>
        <v>4.3499999999999996</v>
      </c>
      <c r="M3329" s="34">
        <v>38510</v>
      </c>
      <c r="N3329">
        <v>9.75</v>
      </c>
    </row>
    <row r="3330" spans="1:14" x14ac:dyDescent="0.2">
      <c r="A3330" s="34">
        <v>40011</v>
      </c>
      <c r="B3330">
        <v>4.2552820000000002</v>
      </c>
      <c r="C3330">
        <f t="shared" ref="C3330:C3393" si="57">IFERROR(VLOOKUP(A3330,$M$2:$N$3695,2,0),C3331)</f>
        <v>4.3499999999999996</v>
      </c>
      <c r="M3330" s="34">
        <v>38509</v>
      </c>
      <c r="N3330">
        <v>9.75</v>
      </c>
    </row>
    <row r="3331" spans="1:14" x14ac:dyDescent="0.2">
      <c r="A3331" s="34">
        <v>40010</v>
      </c>
      <c r="B3331">
        <v>4.2550520000000001</v>
      </c>
      <c r="C3331">
        <f t="shared" si="57"/>
        <v>4.7</v>
      </c>
      <c r="M3331" s="34">
        <v>38506</v>
      </c>
      <c r="N3331">
        <v>9.75</v>
      </c>
    </row>
    <row r="3332" spans="1:14" x14ac:dyDescent="0.2">
      <c r="A3332" s="34">
        <v>40009</v>
      </c>
      <c r="B3332">
        <v>4.2548209999999997</v>
      </c>
      <c r="C3332">
        <f t="shared" si="57"/>
        <v>4.8</v>
      </c>
      <c r="M3332" s="34">
        <v>38505</v>
      </c>
      <c r="N3332">
        <v>9.74</v>
      </c>
    </row>
    <row r="3333" spans="1:14" x14ac:dyDescent="0.2">
      <c r="A3333" s="34">
        <v>40008</v>
      </c>
      <c r="B3333">
        <v>4.2545909999999996</v>
      </c>
      <c r="C3333">
        <f t="shared" si="57"/>
        <v>4.95</v>
      </c>
      <c r="M3333" s="34">
        <v>38504</v>
      </c>
      <c r="N3333">
        <v>9.75</v>
      </c>
    </row>
    <row r="3334" spans="1:14" x14ac:dyDescent="0.2">
      <c r="A3334" s="34">
        <v>40007</v>
      </c>
      <c r="B3334">
        <v>4.2543610000000003</v>
      </c>
      <c r="C3334">
        <f t="shared" si="57"/>
        <v>4.75</v>
      </c>
      <c r="M3334" s="34">
        <v>38503</v>
      </c>
      <c r="N3334">
        <v>9.75</v>
      </c>
    </row>
    <row r="3335" spans="1:14" x14ac:dyDescent="0.2">
      <c r="A3335" s="34">
        <v>40006</v>
      </c>
      <c r="B3335">
        <v>4.2541310000000001</v>
      </c>
      <c r="C3335">
        <f t="shared" si="57"/>
        <v>4.75</v>
      </c>
      <c r="M3335" s="34">
        <v>38502</v>
      </c>
      <c r="N3335">
        <v>9.75</v>
      </c>
    </row>
    <row r="3336" spans="1:14" x14ac:dyDescent="0.2">
      <c r="A3336" s="34">
        <v>40005</v>
      </c>
      <c r="B3336">
        <v>4.2538999999999998</v>
      </c>
      <c r="C3336">
        <f t="shared" si="57"/>
        <v>4.75</v>
      </c>
      <c r="M3336" s="34">
        <v>38499</v>
      </c>
      <c r="N3336">
        <v>9.74</v>
      </c>
    </row>
    <row r="3337" spans="1:14" x14ac:dyDescent="0.2">
      <c r="A3337" s="34">
        <v>40004</v>
      </c>
      <c r="B3337">
        <v>4.2536699999999996</v>
      </c>
      <c r="C3337">
        <f t="shared" si="57"/>
        <v>4.75</v>
      </c>
      <c r="M3337" s="34">
        <v>38498</v>
      </c>
      <c r="N3337">
        <v>9.73</v>
      </c>
    </row>
    <row r="3338" spans="1:14" x14ac:dyDescent="0.2">
      <c r="A3338" s="34">
        <v>40003</v>
      </c>
      <c r="B3338">
        <v>4.2532889999999997</v>
      </c>
      <c r="C3338">
        <f t="shared" si="57"/>
        <v>4.7300000000000004</v>
      </c>
      <c r="M3338" s="34">
        <v>38497</v>
      </c>
      <c r="N3338">
        <v>9.8000000000000007</v>
      </c>
    </row>
    <row r="3339" spans="1:14" x14ac:dyDescent="0.2">
      <c r="A3339" s="34">
        <v>40002</v>
      </c>
      <c r="B3339">
        <v>4.2529070000000004</v>
      </c>
      <c r="C3339">
        <f t="shared" si="57"/>
        <v>4.79</v>
      </c>
      <c r="M3339" s="34">
        <v>38496</v>
      </c>
      <c r="N3339">
        <v>9.74</v>
      </c>
    </row>
    <row r="3340" spans="1:14" x14ac:dyDescent="0.2">
      <c r="A3340" s="34">
        <v>40001</v>
      </c>
      <c r="B3340">
        <v>4.2525259999999996</v>
      </c>
      <c r="C3340">
        <f t="shared" si="57"/>
        <v>4.78</v>
      </c>
      <c r="M3340" s="34">
        <v>38495</v>
      </c>
      <c r="N3340">
        <v>9.75</v>
      </c>
    </row>
    <row r="3341" spans="1:14" x14ac:dyDescent="0.2">
      <c r="A3341" s="34">
        <v>40000</v>
      </c>
      <c r="B3341">
        <v>4.2521449999999996</v>
      </c>
      <c r="C3341">
        <f t="shared" si="57"/>
        <v>4.83</v>
      </c>
      <c r="M3341" s="34">
        <v>38492</v>
      </c>
      <c r="N3341">
        <v>9.77</v>
      </c>
    </row>
    <row r="3342" spans="1:14" x14ac:dyDescent="0.2">
      <c r="A3342" s="34">
        <v>39999</v>
      </c>
      <c r="B3342">
        <v>4.2517630000000004</v>
      </c>
      <c r="C3342">
        <f t="shared" si="57"/>
        <v>4.82</v>
      </c>
      <c r="M3342" s="34">
        <v>38491</v>
      </c>
      <c r="N3342">
        <v>9.6999999999999993</v>
      </c>
    </row>
    <row r="3343" spans="1:14" x14ac:dyDescent="0.2">
      <c r="A3343" s="34">
        <v>39998</v>
      </c>
      <c r="B3343">
        <v>4.2513820000000004</v>
      </c>
      <c r="C3343">
        <f t="shared" si="57"/>
        <v>4.82</v>
      </c>
      <c r="M3343" s="34">
        <v>38490</v>
      </c>
      <c r="N3343">
        <v>9.75</v>
      </c>
    </row>
    <row r="3344" spans="1:14" x14ac:dyDescent="0.2">
      <c r="A3344" s="34">
        <v>39997</v>
      </c>
      <c r="B3344">
        <v>4.2510009999999996</v>
      </c>
      <c r="C3344">
        <f t="shared" si="57"/>
        <v>4.82</v>
      </c>
      <c r="M3344" s="34">
        <v>38489</v>
      </c>
      <c r="N3344">
        <v>9.75</v>
      </c>
    </row>
    <row r="3345" spans="1:14" x14ac:dyDescent="0.2">
      <c r="A3345" s="34">
        <v>39996</v>
      </c>
      <c r="B3345">
        <v>4.2506199999999996</v>
      </c>
      <c r="C3345">
        <f t="shared" si="57"/>
        <v>4.8</v>
      </c>
      <c r="M3345" s="34">
        <v>38488</v>
      </c>
      <c r="N3345">
        <v>9.75</v>
      </c>
    </row>
    <row r="3346" spans="1:14" x14ac:dyDescent="0.2">
      <c r="A3346" s="34">
        <v>39995</v>
      </c>
      <c r="B3346">
        <v>4.2502389999999997</v>
      </c>
      <c r="C3346">
        <f t="shared" si="57"/>
        <v>4.75</v>
      </c>
      <c r="M3346" s="34">
        <v>38485</v>
      </c>
      <c r="N3346">
        <v>9.75</v>
      </c>
    </row>
    <row r="3347" spans="1:14" x14ac:dyDescent="0.2">
      <c r="A3347" s="34">
        <v>39994</v>
      </c>
      <c r="B3347">
        <v>4.2498579999999997</v>
      </c>
      <c r="C3347">
        <f t="shared" si="57"/>
        <v>4.7699999999999996</v>
      </c>
      <c r="M3347" s="34">
        <v>38484</v>
      </c>
      <c r="N3347">
        <v>9.5500000000000007</v>
      </c>
    </row>
    <row r="3348" spans="1:14" x14ac:dyDescent="0.2">
      <c r="A3348" s="34">
        <v>39993</v>
      </c>
      <c r="B3348">
        <v>4.2494769999999997</v>
      </c>
      <c r="C3348">
        <f t="shared" si="57"/>
        <v>4.75</v>
      </c>
      <c r="M3348" s="34">
        <v>38483</v>
      </c>
      <c r="N3348">
        <v>9.9499999999999993</v>
      </c>
    </row>
    <row r="3349" spans="1:14" x14ac:dyDescent="0.2">
      <c r="A3349" s="34">
        <v>39992</v>
      </c>
      <c r="B3349">
        <v>4.2490959999999998</v>
      </c>
      <c r="C3349">
        <f t="shared" si="57"/>
        <v>4.78</v>
      </c>
      <c r="M3349" s="34">
        <v>38482</v>
      </c>
      <c r="N3349">
        <v>10.199999999999999</v>
      </c>
    </row>
    <row r="3350" spans="1:14" x14ac:dyDescent="0.2">
      <c r="A3350" s="34">
        <v>39991</v>
      </c>
      <c r="B3350">
        <v>4.2487149999999998</v>
      </c>
      <c r="C3350">
        <f t="shared" si="57"/>
        <v>4.78</v>
      </c>
      <c r="M3350" s="34">
        <v>38481</v>
      </c>
      <c r="N3350">
        <v>9.76</v>
      </c>
    </row>
    <row r="3351" spans="1:14" x14ac:dyDescent="0.2">
      <c r="A3351" s="34">
        <v>39990</v>
      </c>
      <c r="B3351">
        <v>4.2483339999999998</v>
      </c>
      <c r="C3351">
        <f t="shared" si="57"/>
        <v>4.78</v>
      </c>
      <c r="M3351" s="34">
        <v>38478</v>
      </c>
      <c r="N3351">
        <v>9.85</v>
      </c>
    </row>
    <row r="3352" spans="1:14" x14ac:dyDescent="0.2">
      <c r="A3352" s="34">
        <v>39989</v>
      </c>
      <c r="B3352">
        <v>4.2479529999999999</v>
      </c>
      <c r="C3352">
        <f t="shared" si="57"/>
        <v>5.0999999999999996</v>
      </c>
      <c r="M3352" s="34">
        <v>38477</v>
      </c>
      <c r="N3352">
        <v>9.75</v>
      </c>
    </row>
    <row r="3353" spans="1:14" x14ac:dyDescent="0.2">
      <c r="A3353" s="34">
        <v>39988</v>
      </c>
      <c r="B3353">
        <v>4.2479050000000003</v>
      </c>
      <c r="C3353">
        <f t="shared" si="57"/>
        <v>4.8</v>
      </c>
      <c r="M3353" s="34">
        <v>38476</v>
      </c>
      <c r="N3353">
        <v>9.8000000000000007</v>
      </c>
    </row>
    <row r="3354" spans="1:14" x14ac:dyDescent="0.2">
      <c r="A3354" s="34">
        <v>39987</v>
      </c>
      <c r="B3354">
        <v>4.2478559999999996</v>
      </c>
      <c r="C3354">
        <f t="shared" si="57"/>
        <v>4.76</v>
      </c>
      <c r="M3354" s="34">
        <v>38475</v>
      </c>
      <c r="N3354">
        <v>9.5</v>
      </c>
    </row>
    <row r="3355" spans="1:14" x14ac:dyDescent="0.2">
      <c r="A3355" s="34">
        <v>39986</v>
      </c>
      <c r="B3355">
        <v>4.247808</v>
      </c>
      <c r="C3355">
        <f t="shared" si="57"/>
        <v>4.78</v>
      </c>
      <c r="M3355" s="34">
        <v>38474</v>
      </c>
      <c r="N3355">
        <v>9.51</v>
      </c>
    </row>
    <row r="3356" spans="1:14" x14ac:dyDescent="0.2">
      <c r="A3356" s="34">
        <v>39985</v>
      </c>
      <c r="B3356">
        <v>4.2477600000000004</v>
      </c>
      <c r="C3356">
        <f t="shared" si="57"/>
        <v>4.87</v>
      </c>
      <c r="M3356" s="34">
        <v>38471</v>
      </c>
      <c r="N3356">
        <v>9.6199999999999992</v>
      </c>
    </row>
    <row r="3357" spans="1:14" x14ac:dyDescent="0.2">
      <c r="A3357" s="34">
        <v>39984</v>
      </c>
      <c r="B3357">
        <v>4.2477119999999999</v>
      </c>
      <c r="C3357">
        <f t="shared" si="57"/>
        <v>4.87</v>
      </c>
      <c r="M3357" s="34">
        <v>38470</v>
      </c>
      <c r="N3357">
        <v>9.52</v>
      </c>
    </row>
    <row r="3358" spans="1:14" x14ac:dyDescent="0.2">
      <c r="A3358" s="34">
        <v>39983</v>
      </c>
      <c r="B3358">
        <v>4.2476640000000003</v>
      </c>
      <c r="C3358">
        <f t="shared" si="57"/>
        <v>4.87</v>
      </c>
      <c r="M3358" s="34">
        <v>38469</v>
      </c>
      <c r="N3358">
        <v>9.6199999999999992</v>
      </c>
    </row>
    <row r="3359" spans="1:14" x14ac:dyDescent="0.2">
      <c r="A3359" s="34">
        <v>39982</v>
      </c>
      <c r="B3359">
        <v>4.2476159999999998</v>
      </c>
      <c r="C3359">
        <f t="shared" si="57"/>
        <v>5.26</v>
      </c>
      <c r="M3359" s="34">
        <v>38468</v>
      </c>
      <c r="N3359">
        <v>9.5299999999999994</v>
      </c>
    </row>
    <row r="3360" spans="1:14" x14ac:dyDescent="0.2">
      <c r="A3360" s="34">
        <v>39981</v>
      </c>
      <c r="B3360">
        <v>4.2475670000000001</v>
      </c>
      <c r="C3360">
        <f t="shared" si="57"/>
        <v>5.25</v>
      </c>
      <c r="M3360" s="34">
        <v>38467</v>
      </c>
      <c r="N3360">
        <v>9.5</v>
      </c>
    </row>
    <row r="3361" spans="1:14" x14ac:dyDescent="0.2">
      <c r="A3361" s="34">
        <v>39980</v>
      </c>
      <c r="B3361">
        <v>4.2475189999999996</v>
      </c>
      <c r="C3361">
        <f t="shared" si="57"/>
        <v>5.16</v>
      </c>
      <c r="M3361" s="34">
        <v>38464</v>
      </c>
      <c r="N3361">
        <v>9.51</v>
      </c>
    </row>
    <row r="3362" spans="1:14" x14ac:dyDescent="0.2">
      <c r="A3362" s="34">
        <v>39979</v>
      </c>
      <c r="B3362">
        <v>4.247471</v>
      </c>
      <c r="C3362">
        <f t="shared" si="57"/>
        <v>5.22</v>
      </c>
      <c r="M3362" s="34">
        <v>38463</v>
      </c>
      <c r="N3362">
        <v>9.5500000000000007</v>
      </c>
    </row>
    <row r="3363" spans="1:14" x14ac:dyDescent="0.2">
      <c r="A3363" s="34">
        <v>39978</v>
      </c>
      <c r="B3363">
        <v>4.2474230000000004</v>
      </c>
      <c r="C3363">
        <f t="shared" si="57"/>
        <v>5</v>
      </c>
      <c r="M3363" s="34">
        <v>38462</v>
      </c>
      <c r="N3363">
        <v>9.5</v>
      </c>
    </row>
    <row r="3364" spans="1:14" x14ac:dyDescent="0.2">
      <c r="A3364" s="34">
        <v>39977</v>
      </c>
      <c r="B3364">
        <v>4.2473749999999999</v>
      </c>
      <c r="C3364">
        <f t="shared" si="57"/>
        <v>5</v>
      </c>
      <c r="M3364" s="34">
        <v>38461</v>
      </c>
      <c r="N3364">
        <v>9.52</v>
      </c>
    </row>
    <row r="3365" spans="1:14" x14ac:dyDescent="0.2">
      <c r="A3365" s="34">
        <v>39976</v>
      </c>
      <c r="B3365">
        <v>4.2473270000000003</v>
      </c>
      <c r="C3365">
        <f t="shared" si="57"/>
        <v>5</v>
      </c>
      <c r="M3365" s="34">
        <v>38460</v>
      </c>
      <c r="N3365">
        <v>9.57</v>
      </c>
    </row>
    <row r="3366" spans="1:14" x14ac:dyDescent="0.2">
      <c r="A3366" s="34">
        <v>39975</v>
      </c>
      <c r="B3366">
        <v>4.2472779999999997</v>
      </c>
      <c r="C3366">
        <f t="shared" si="57"/>
        <v>5.21</v>
      </c>
      <c r="M3366" s="34">
        <v>38457</v>
      </c>
      <c r="N3366">
        <v>9.5500000000000007</v>
      </c>
    </row>
    <row r="3367" spans="1:14" x14ac:dyDescent="0.2">
      <c r="A3367" s="34">
        <v>39974</v>
      </c>
      <c r="B3367">
        <v>4.2472300000000001</v>
      </c>
      <c r="C3367">
        <f t="shared" si="57"/>
        <v>5.2</v>
      </c>
      <c r="M3367" s="34">
        <v>38456</v>
      </c>
      <c r="N3367">
        <v>9.6</v>
      </c>
    </row>
    <row r="3368" spans="1:14" x14ac:dyDescent="0.2">
      <c r="A3368" s="34">
        <v>39973</v>
      </c>
      <c r="B3368">
        <v>4.2481419999999996</v>
      </c>
      <c r="C3368">
        <f t="shared" si="57"/>
        <v>5</v>
      </c>
      <c r="M3368" s="34">
        <v>38455</v>
      </c>
      <c r="N3368">
        <v>9.5</v>
      </c>
    </row>
    <row r="3369" spans="1:14" x14ac:dyDescent="0.2">
      <c r="A3369" s="34">
        <v>39972</v>
      </c>
      <c r="B3369">
        <v>4.249053</v>
      </c>
      <c r="C3369">
        <f t="shared" si="57"/>
        <v>5.24</v>
      </c>
      <c r="M3369" s="34">
        <v>38454</v>
      </c>
      <c r="N3369">
        <v>9.5399999999999991</v>
      </c>
    </row>
    <row r="3370" spans="1:14" x14ac:dyDescent="0.2">
      <c r="A3370" s="34">
        <v>39971</v>
      </c>
      <c r="B3370">
        <v>4.2499650000000004</v>
      </c>
      <c r="C3370">
        <f t="shared" si="57"/>
        <v>5.22</v>
      </c>
      <c r="M3370" s="34">
        <v>38453</v>
      </c>
      <c r="N3370">
        <v>9.56</v>
      </c>
    </row>
    <row r="3371" spans="1:14" x14ac:dyDescent="0.2">
      <c r="A3371" s="34">
        <v>39970</v>
      </c>
      <c r="B3371">
        <v>4.250877</v>
      </c>
      <c r="C3371">
        <f t="shared" si="57"/>
        <v>5.22</v>
      </c>
      <c r="M3371" s="34">
        <v>38450</v>
      </c>
      <c r="N3371">
        <v>9.5</v>
      </c>
    </row>
    <row r="3372" spans="1:14" x14ac:dyDescent="0.2">
      <c r="A3372" s="34">
        <v>39969</v>
      </c>
      <c r="B3372">
        <v>4.2517899999999997</v>
      </c>
      <c r="C3372">
        <f t="shared" si="57"/>
        <v>5.22</v>
      </c>
      <c r="M3372" s="34">
        <v>38449</v>
      </c>
      <c r="N3372">
        <v>9.5</v>
      </c>
    </row>
    <row r="3373" spans="1:14" x14ac:dyDescent="0.2">
      <c r="A3373" s="34">
        <v>39968</v>
      </c>
      <c r="B3373">
        <v>4.2527020000000002</v>
      </c>
      <c r="C3373">
        <f t="shared" si="57"/>
        <v>5.2</v>
      </c>
      <c r="M3373" s="34">
        <v>38448</v>
      </c>
      <c r="N3373">
        <v>9.4499999999999993</v>
      </c>
    </row>
    <row r="3374" spans="1:14" x14ac:dyDescent="0.2">
      <c r="A3374" s="34">
        <v>39967</v>
      </c>
      <c r="B3374">
        <v>4.2536149999999999</v>
      </c>
      <c r="C3374">
        <f t="shared" si="57"/>
        <v>5.2</v>
      </c>
      <c r="M3374" s="34">
        <v>38447</v>
      </c>
      <c r="N3374">
        <v>9.5</v>
      </c>
    </row>
    <row r="3375" spans="1:14" x14ac:dyDescent="0.2">
      <c r="A3375" s="34">
        <v>39966</v>
      </c>
      <c r="B3375">
        <v>4.2545279999999996</v>
      </c>
      <c r="C3375">
        <f t="shared" si="57"/>
        <v>5.18</v>
      </c>
      <c r="M3375" s="34">
        <v>38446</v>
      </c>
      <c r="N3375">
        <v>9.4499999999999993</v>
      </c>
    </row>
    <row r="3376" spans="1:14" x14ac:dyDescent="0.2">
      <c r="A3376" s="34">
        <v>39965</v>
      </c>
      <c r="B3376">
        <v>4.2554410000000003</v>
      </c>
      <c r="C3376">
        <f t="shared" si="57"/>
        <v>5.2</v>
      </c>
      <c r="M3376" s="34">
        <v>38443</v>
      </c>
      <c r="N3376">
        <v>9.4</v>
      </c>
    </row>
    <row r="3377" spans="1:14" x14ac:dyDescent="0.2">
      <c r="A3377" s="34">
        <v>39964</v>
      </c>
      <c r="B3377">
        <v>4.256354</v>
      </c>
      <c r="C3377">
        <f t="shared" si="57"/>
        <v>5.15</v>
      </c>
      <c r="M3377" s="34">
        <v>38442</v>
      </c>
      <c r="N3377">
        <v>9.69</v>
      </c>
    </row>
    <row r="3378" spans="1:14" x14ac:dyDescent="0.2">
      <c r="A3378" s="34">
        <v>39963</v>
      </c>
      <c r="B3378">
        <v>4.2572669999999997</v>
      </c>
      <c r="C3378">
        <f t="shared" si="57"/>
        <v>5.15</v>
      </c>
      <c r="M3378" s="34">
        <v>38441</v>
      </c>
      <c r="N3378">
        <v>9.51</v>
      </c>
    </row>
    <row r="3379" spans="1:14" x14ac:dyDescent="0.2">
      <c r="A3379" s="34">
        <v>39962</v>
      </c>
      <c r="B3379">
        <v>4.2581810000000004</v>
      </c>
      <c r="C3379">
        <f t="shared" si="57"/>
        <v>5.15</v>
      </c>
      <c r="M3379" s="34">
        <v>38440</v>
      </c>
      <c r="N3379">
        <v>9.48</v>
      </c>
    </row>
    <row r="3380" spans="1:14" x14ac:dyDescent="0.2">
      <c r="A3380" s="34">
        <v>39961</v>
      </c>
      <c r="B3380">
        <v>4.2590950000000003</v>
      </c>
      <c r="C3380">
        <f t="shared" si="57"/>
        <v>5.24</v>
      </c>
      <c r="M3380" s="34">
        <v>38439</v>
      </c>
      <c r="N3380">
        <v>9.5</v>
      </c>
    </row>
    <row r="3381" spans="1:14" x14ac:dyDescent="0.2">
      <c r="A3381" s="34">
        <v>39960</v>
      </c>
      <c r="B3381">
        <v>4.2600090000000002</v>
      </c>
      <c r="C3381">
        <f t="shared" si="57"/>
        <v>5.22</v>
      </c>
      <c r="M3381" s="34">
        <v>38434</v>
      </c>
      <c r="N3381">
        <v>9.5</v>
      </c>
    </row>
    <row r="3382" spans="1:14" x14ac:dyDescent="0.2">
      <c r="A3382" s="34">
        <v>39959</v>
      </c>
      <c r="B3382">
        <v>4.260923</v>
      </c>
      <c r="C3382">
        <f t="shared" si="57"/>
        <v>5.2</v>
      </c>
      <c r="M3382" s="34">
        <v>38433</v>
      </c>
      <c r="N3382">
        <v>9.18</v>
      </c>
    </row>
    <row r="3383" spans="1:14" x14ac:dyDescent="0.2">
      <c r="A3383" s="34">
        <v>39958</v>
      </c>
      <c r="B3383">
        <v>4.2618369999999999</v>
      </c>
      <c r="C3383">
        <f t="shared" si="57"/>
        <v>5.25</v>
      </c>
      <c r="M3383" s="34">
        <v>38429</v>
      </c>
      <c r="N3383">
        <v>9.1999999999999993</v>
      </c>
    </row>
    <row r="3384" spans="1:14" x14ac:dyDescent="0.2">
      <c r="A3384" s="34">
        <v>39957</v>
      </c>
      <c r="B3384">
        <v>4.26159</v>
      </c>
      <c r="C3384">
        <f t="shared" si="57"/>
        <v>5.26</v>
      </c>
      <c r="M3384" s="34">
        <v>38428</v>
      </c>
      <c r="N3384">
        <v>9.1999999999999993</v>
      </c>
    </row>
    <row r="3385" spans="1:14" x14ac:dyDescent="0.2">
      <c r="A3385" s="34">
        <v>39956</v>
      </c>
      <c r="B3385">
        <v>4.2613430000000001</v>
      </c>
      <c r="C3385">
        <f t="shared" si="57"/>
        <v>5.26</v>
      </c>
      <c r="M3385" s="34">
        <v>38427</v>
      </c>
      <c r="N3385">
        <v>9.19</v>
      </c>
    </row>
    <row r="3386" spans="1:14" x14ac:dyDescent="0.2">
      <c r="A3386" s="34">
        <v>39955</v>
      </c>
      <c r="B3386">
        <v>4.2610960000000002</v>
      </c>
      <c r="C3386">
        <f t="shared" si="57"/>
        <v>5.26</v>
      </c>
      <c r="M3386" s="34">
        <v>38426</v>
      </c>
      <c r="N3386">
        <v>9.1999999999999993</v>
      </c>
    </row>
    <row r="3387" spans="1:14" x14ac:dyDescent="0.2">
      <c r="A3387" s="34">
        <v>39954</v>
      </c>
      <c r="B3387">
        <v>4.2608490000000003</v>
      </c>
      <c r="C3387">
        <f t="shared" si="57"/>
        <v>5.22</v>
      </c>
      <c r="M3387" s="34">
        <v>38425</v>
      </c>
      <c r="N3387">
        <v>9.1999999999999993</v>
      </c>
    </row>
    <row r="3388" spans="1:14" x14ac:dyDescent="0.2">
      <c r="A3388" s="34">
        <v>39953</v>
      </c>
      <c r="B3388">
        <v>4.2606010000000003</v>
      </c>
      <c r="C3388">
        <f t="shared" si="57"/>
        <v>5.2</v>
      </c>
      <c r="M3388" s="34">
        <v>38422</v>
      </c>
      <c r="N3388">
        <v>9.1999999999999993</v>
      </c>
    </row>
    <row r="3389" spans="1:14" x14ac:dyDescent="0.2">
      <c r="A3389" s="34">
        <v>39952</v>
      </c>
      <c r="B3389">
        <v>4.2603540000000004</v>
      </c>
      <c r="C3389">
        <f t="shared" si="57"/>
        <v>5.24</v>
      </c>
      <c r="M3389" s="34">
        <v>38421</v>
      </c>
      <c r="N3389">
        <v>9.2100000000000009</v>
      </c>
    </row>
    <row r="3390" spans="1:14" x14ac:dyDescent="0.2">
      <c r="A3390" s="34">
        <v>39951</v>
      </c>
      <c r="B3390">
        <v>4.2601069999999996</v>
      </c>
      <c r="C3390">
        <f t="shared" si="57"/>
        <v>5.32</v>
      </c>
      <c r="M3390" s="34">
        <v>38420</v>
      </c>
      <c r="N3390">
        <v>9.18</v>
      </c>
    </row>
    <row r="3391" spans="1:14" x14ac:dyDescent="0.2">
      <c r="A3391" s="34">
        <v>39950</v>
      </c>
      <c r="B3391">
        <v>4.2598599999999998</v>
      </c>
      <c r="C3391">
        <f t="shared" si="57"/>
        <v>5.2</v>
      </c>
      <c r="M3391" s="34">
        <v>38419</v>
      </c>
      <c r="N3391">
        <v>9.1</v>
      </c>
    </row>
    <row r="3392" spans="1:14" x14ac:dyDescent="0.2">
      <c r="A3392" s="34">
        <v>39949</v>
      </c>
      <c r="B3392">
        <v>4.2596129999999999</v>
      </c>
      <c r="C3392">
        <f t="shared" si="57"/>
        <v>5.2</v>
      </c>
      <c r="M3392" s="34">
        <v>38418</v>
      </c>
      <c r="N3392">
        <v>9.19</v>
      </c>
    </row>
    <row r="3393" spans="1:14" x14ac:dyDescent="0.2">
      <c r="A3393" s="34">
        <v>39948</v>
      </c>
      <c r="B3393">
        <v>4.259366</v>
      </c>
      <c r="C3393">
        <f t="shared" si="57"/>
        <v>5.2</v>
      </c>
      <c r="M3393" s="34">
        <v>38415</v>
      </c>
      <c r="N3393">
        <v>9.1999999999999993</v>
      </c>
    </row>
    <row r="3394" spans="1:14" x14ac:dyDescent="0.2">
      <c r="A3394" s="34">
        <v>39947</v>
      </c>
      <c r="B3394">
        <v>4.2591190000000001</v>
      </c>
      <c r="C3394">
        <f t="shared" ref="C3394:C3457" si="58">IFERROR(VLOOKUP(A3394,$M$2:$N$3695,2,0),C3395)</f>
        <v>6.05</v>
      </c>
      <c r="M3394" s="34">
        <v>38414</v>
      </c>
      <c r="N3394">
        <v>9.19</v>
      </c>
    </row>
    <row r="3395" spans="1:14" x14ac:dyDescent="0.2">
      <c r="A3395" s="34">
        <v>39946</v>
      </c>
      <c r="B3395">
        <v>4.2588720000000002</v>
      </c>
      <c r="C3395">
        <f t="shared" si="58"/>
        <v>5.9</v>
      </c>
      <c r="M3395" s="34">
        <v>38413</v>
      </c>
      <c r="N3395">
        <v>9.1999999999999993</v>
      </c>
    </row>
    <row r="3396" spans="1:14" x14ac:dyDescent="0.2">
      <c r="A3396" s="34">
        <v>39945</v>
      </c>
      <c r="B3396">
        <v>4.2586250000000003</v>
      </c>
      <c r="C3396">
        <f t="shared" si="58"/>
        <v>6</v>
      </c>
      <c r="M3396" s="34">
        <v>38412</v>
      </c>
      <c r="N3396">
        <v>9.19</v>
      </c>
    </row>
    <row r="3397" spans="1:14" x14ac:dyDescent="0.2">
      <c r="A3397" s="34">
        <v>39944</v>
      </c>
      <c r="B3397">
        <v>4.2583780000000004</v>
      </c>
      <c r="C3397">
        <f t="shared" si="58"/>
        <v>5.95</v>
      </c>
      <c r="M3397" s="34">
        <v>38411</v>
      </c>
      <c r="N3397">
        <v>9.1999999999999993</v>
      </c>
    </row>
    <row r="3398" spans="1:14" x14ac:dyDescent="0.2">
      <c r="A3398" s="34">
        <v>39943</v>
      </c>
      <c r="B3398">
        <v>4.2581309999999997</v>
      </c>
      <c r="C3398">
        <f t="shared" si="58"/>
        <v>5.95</v>
      </c>
      <c r="M3398" s="34">
        <v>38408</v>
      </c>
      <c r="N3398">
        <v>9.4</v>
      </c>
    </row>
    <row r="3399" spans="1:14" x14ac:dyDescent="0.2">
      <c r="A3399" s="34">
        <v>39942</v>
      </c>
      <c r="B3399">
        <v>4.2577259999999999</v>
      </c>
      <c r="C3399">
        <f t="shared" si="58"/>
        <v>5.95</v>
      </c>
      <c r="M3399" s="34">
        <v>38407</v>
      </c>
      <c r="N3399">
        <v>9.25</v>
      </c>
    </row>
    <row r="3400" spans="1:14" x14ac:dyDescent="0.2">
      <c r="A3400" s="34">
        <v>39941</v>
      </c>
      <c r="B3400">
        <v>4.2573220000000003</v>
      </c>
      <c r="C3400">
        <f t="shared" si="58"/>
        <v>5.95</v>
      </c>
      <c r="M3400" s="34">
        <v>38406</v>
      </c>
      <c r="N3400">
        <v>9.15</v>
      </c>
    </row>
    <row r="3401" spans="1:14" x14ac:dyDescent="0.2">
      <c r="A3401" s="34">
        <v>39940</v>
      </c>
      <c r="B3401">
        <v>4.2569169999999996</v>
      </c>
      <c r="C3401">
        <f t="shared" si="58"/>
        <v>5.98</v>
      </c>
      <c r="M3401" s="34">
        <v>38405</v>
      </c>
      <c r="N3401">
        <v>9.14</v>
      </c>
    </row>
    <row r="3402" spans="1:14" x14ac:dyDescent="0.2">
      <c r="A3402" s="34">
        <v>39939</v>
      </c>
      <c r="B3402">
        <v>4.256513</v>
      </c>
      <c r="C3402">
        <f t="shared" si="58"/>
        <v>5.94</v>
      </c>
      <c r="M3402" s="34">
        <v>38404</v>
      </c>
      <c r="N3402">
        <v>9.15</v>
      </c>
    </row>
    <row r="3403" spans="1:14" x14ac:dyDescent="0.2">
      <c r="A3403" s="34">
        <v>39938</v>
      </c>
      <c r="B3403">
        <v>4.2561090000000004</v>
      </c>
      <c r="C3403">
        <f t="shared" si="58"/>
        <v>5.8</v>
      </c>
      <c r="M3403" s="34">
        <v>38401</v>
      </c>
      <c r="N3403">
        <v>9.15</v>
      </c>
    </row>
    <row r="3404" spans="1:14" x14ac:dyDescent="0.2">
      <c r="A3404" s="34">
        <v>39937</v>
      </c>
      <c r="B3404">
        <v>4.2557039999999997</v>
      </c>
      <c r="C3404">
        <f t="shared" si="58"/>
        <v>5.94</v>
      </c>
      <c r="M3404" s="34">
        <v>38400</v>
      </c>
      <c r="N3404">
        <v>9.1999999999999993</v>
      </c>
    </row>
    <row r="3405" spans="1:14" x14ac:dyDescent="0.2">
      <c r="A3405" s="34">
        <v>39936</v>
      </c>
      <c r="B3405">
        <v>4.2553000000000001</v>
      </c>
      <c r="C3405">
        <f t="shared" si="58"/>
        <v>5.85</v>
      </c>
      <c r="M3405" s="34">
        <v>38399</v>
      </c>
      <c r="N3405">
        <v>9.15</v>
      </c>
    </row>
    <row r="3406" spans="1:14" x14ac:dyDescent="0.2">
      <c r="A3406" s="34">
        <v>39935</v>
      </c>
      <c r="B3406">
        <v>4.2548959999999996</v>
      </c>
      <c r="C3406">
        <f t="shared" si="58"/>
        <v>5.85</v>
      </c>
      <c r="M3406" s="34">
        <v>38398</v>
      </c>
      <c r="N3406">
        <v>9.1300000000000008</v>
      </c>
    </row>
    <row r="3407" spans="1:14" x14ac:dyDescent="0.2">
      <c r="A3407" s="34">
        <v>39934</v>
      </c>
      <c r="B3407">
        <v>4.2544919999999999</v>
      </c>
      <c r="C3407">
        <f t="shared" si="58"/>
        <v>5.85</v>
      </c>
      <c r="M3407" s="34">
        <v>38397</v>
      </c>
      <c r="N3407">
        <v>9.15</v>
      </c>
    </row>
    <row r="3408" spans="1:14" x14ac:dyDescent="0.2">
      <c r="A3408" s="34">
        <v>39933</v>
      </c>
      <c r="B3408">
        <v>4.2540880000000003</v>
      </c>
      <c r="C3408">
        <f t="shared" si="58"/>
        <v>5.85</v>
      </c>
      <c r="M3408" s="34">
        <v>38394</v>
      </c>
      <c r="N3408">
        <v>9.1</v>
      </c>
    </row>
    <row r="3409" spans="1:14" x14ac:dyDescent="0.2">
      <c r="A3409" s="34">
        <v>39932</v>
      </c>
      <c r="B3409">
        <v>4.2536839999999998</v>
      </c>
      <c r="C3409">
        <f t="shared" si="58"/>
        <v>6.02</v>
      </c>
      <c r="M3409" s="34">
        <v>38393</v>
      </c>
      <c r="N3409">
        <v>9.15</v>
      </c>
    </row>
    <row r="3410" spans="1:14" x14ac:dyDescent="0.2">
      <c r="A3410" s="34">
        <v>39931</v>
      </c>
      <c r="B3410">
        <v>4.2532800000000002</v>
      </c>
      <c r="C3410">
        <f t="shared" si="58"/>
        <v>5.93</v>
      </c>
      <c r="M3410" s="34">
        <v>38392</v>
      </c>
      <c r="N3410">
        <v>8.8000000000000007</v>
      </c>
    </row>
    <row r="3411" spans="1:14" x14ac:dyDescent="0.2">
      <c r="A3411" s="34">
        <v>39930</v>
      </c>
      <c r="B3411">
        <v>4.2528759999999997</v>
      </c>
      <c r="C3411">
        <f t="shared" si="58"/>
        <v>5.95</v>
      </c>
      <c r="M3411" s="34">
        <v>38391</v>
      </c>
      <c r="N3411">
        <v>9.1999999999999993</v>
      </c>
    </row>
    <row r="3412" spans="1:14" x14ac:dyDescent="0.2">
      <c r="A3412" s="34">
        <v>39929</v>
      </c>
      <c r="B3412">
        <v>4.252472</v>
      </c>
      <c r="C3412">
        <f t="shared" si="58"/>
        <v>5.93</v>
      </c>
      <c r="M3412" s="34">
        <v>38390</v>
      </c>
      <c r="N3412">
        <v>9.0500000000000007</v>
      </c>
    </row>
    <row r="3413" spans="1:14" x14ac:dyDescent="0.2">
      <c r="A3413" s="34">
        <v>39928</v>
      </c>
      <c r="B3413">
        <v>4.2520680000000004</v>
      </c>
      <c r="C3413">
        <f t="shared" si="58"/>
        <v>5.93</v>
      </c>
      <c r="M3413" s="34">
        <v>38387</v>
      </c>
      <c r="N3413">
        <v>9.15</v>
      </c>
    </row>
    <row r="3414" spans="1:14" x14ac:dyDescent="0.2">
      <c r="A3414" s="34">
        <v>39927</v>
      </c>
      <c r="B3414">
        <v>4.2511409999999996</v>
      </c>
      <c r="C3414">
        <f t="shared" si="58"/>
        <v>5.93</v>
      </c>
      <c r="M3414" s="34">
        <v>38386</v>
      </c>
      <c r="N3414">
        <v>9.02</v>
      </c>
    </row>
    <row r="3415" spans="1:14" x14ac:dyDescent="0.2">
      <c r="A3415" s="34">
        <v>39926</v>
      </c>
      <c r="B3415">
        <v>4.2502139999999997</v>
      </c>
      <c r="C3415">
        <f t="shared" si="58"/>
        <v>5.8</v>
      </c>
      <c r="M3415" s="34">
        <v>38385</v>
      </c>
      <c r="N3415">
        <v>8.9</v>
      </c>
    </row>
    <row r="3416" spans="1:14" x14ac:dyDescent="0.2">
      <c r="A3416" s="34">
        <v>39925</v>
      </c>
      <c r="B3416">
        <v>4.2492869999999998</v>
      </c>
      <c r="C3416">
        <f t="shared" si="58"/>
        <v>5.5</v>
      </c>
      <c r="M3416" s="34">
        <v>38384</v>
      </c>
      <c r="N3416">
        <v>8.8800000000000008</v>
      </c>
    </row>
    <row r="3417" spans="1:14" x14ac:dyDescent="0.2">
      <c r="A3417" s="34">
        <v>39924</v>
      </c>
      <c r="B3417">
        <v>4.2483610000000001</v>
      </c>
      <c r="C3417">
        <f t="shared" si="58"/>
        <v>5.75</v>
      </c>
      <c r="M3417" s="34">
        <v>38383</v>
      </c>
      <c r="N3417">
        <v>9.0500000000000007</v>
      </c>
    </row>
    <row r="3418" spans="1:14" x14ac:dyDescent="0.2">
      <c r="A3418" s="34">
        <v>39923</v>
      </c>
      <c r="B3418">
        <v>4.2474350000000003</v>
      </c>
      <c r="C3418">
        <f t="shared" si="58"/>
        <v>6.04</v>
      </c>
      <c r="M3418" s="34">
        <v>38380</v>
      </c>
      <c r="N3418">
        <v>8.6999999999999993</v>
      </c>
    </row>
    <row r="3419" spans="1:14" x14ac:dyDescent="0.2">
      <c r="A3419" s="34">
        <v>39922</v>
      </c>
      <c r="B3419">
        <v>4.2465089999999996</v>
      </c>
      <c r="C3419">
        <f t="shared" si="58"/>
        <v>6.02</v>
      </c>
      <c r="M3419" s="34">
        <v>38379</v>
      </c>
      <c r="N3419">
        <v>8.7100000000000009</v>
      </c>
    </row>
    <row r="3420" spans="1:14" x14ac:dyDescent="0.2">
      <c r="A3420" s="34">
        <v>39921</v>
      </c>
      <c r="B3420">
        <v>4.2455829999999999</v>
      </c>
      <c r="C3420">
        <f t="shared" si="58"/>
        <v>6.02</v>
      </c>
      <c r="M3420" s="34">
        <v>38378</v>
      </c>
      <c r="N3420">
        <v>8.73</v>
      </c>
    </row>
    <row r="3421" spans="1:14" x14ac:dyDescent="0.2">
      <c r="A3421" s="34">
        <v>39920</v>
      </c>
      <c r="B3421">
        <v>4.2446570000000001</v>
      </c>
      <c r="C3421">
        <f t="shared" si="58"/>
        <v>6.02</v>
      </c>
      <c r="M3421" s="34">
        <v>38377</v>
      </c>
      <c r="N3421">
        <v>8.75</v>
      </c>
    </row>
    <row r="3422" spans="1:14" x14ac:dyDescent="0.2">
      <c r="A3422" s="34">
        <v>39919</v>
      </c>
      <c r="B3422">
        <v>4.2437319999999996</v>
      </c>
      <c r="C3422">
        <f t="shared" si="58"/>
        <v>6.6</v>
      </c>
      <c r="M3422" s="34">
        <v>38376</v>
      </c>
      <c r="N3422">
        <v>8.7200000000000006</v>
      </c>
    </row>
    <row r="3423" spans="1:14" x14ac:dyDescent="0.2">
      <c r="A3423" s="34">
        <v>39918</v>
      </c>
      <c r="B3423">
        <v>4.242807</v>
      </c>
      <c r="C3423">
        <f t="shared" si="58"/>
        <v>6.75</v>
      </c>
      <c r="M3423" s="34">
        <v>38373</v>
      </c>
      <c r="N3423">
        <v>8.75</v>
      </c>
    </row>
    <row r="3424" spans="1:14" x14ac:dyDescent="0.2">
      <c r="A3424" s="34">
        <v>39917</v>
      </c>
      <c r="B3424">
        <v>4.2418820000000004</v>
      </c>
      <c r="C3424">
        <f t="shared" si="58"/>
        <v>6.7</v>
      </c>
      <c r="M3424" s="34">
        <v>38372</v>
      </c>
      <c r="N3424">
        <v>8.7899999999999991</v>
      </c>
    </row>
    <row r="3425" spans="1:14" x14ac:dyDescent="0.2">
      <c r="A3425" s="34">
        <v>39916</v>
      </c>
      <c r="B3425">
        <v>4.2409569999999999</v>
      </c>
      <c r="C3425">
        <f t="shared" si="58"/>
        <v>6.76</v>
      </c>
      <c r="M3425" s="34">
        <v>38371</v>
      </c>
      <c r="N3425">
        <v>8.6999999999999993</v>
      </c>
    </row>
    <row r="3426" spans="1:14" x14ac:dyDescent="0.2">
      <c r="A3426" s="34">
        <v>39915</v>
      </c>
      <c r="B3426">
        <v>4.2400320000000002</v>
      </c>
      <c r="C3426">
        <f t="shared" si="58"/>
        <v>6.73</v>
      </c>
      <c r="M3426" s="34">
        <v>38370</v>
      </c>
      <c r="N3426">
        <v>8.73</v>
      </c>
    </row>
    <row r="3427" spans="1:14" x14ac:dyDescent="0.2">
      <c r="A3427" s="34">
        <v>39914</v>
      </c>
      <c r="B3427">
        <v>4.2391079999999999</v>
      </c>
      <c r="C3427">
        <f t="shared" si="58"/>
        <v>6.73</v>
      </c>
      <c r="M3427" s="34">
        <v>38369</v>
      </c>
      <c r="N3427">
        <v>8.7799999999999994</v>
      </c>
    </row>
    <row r="3428" spans="1:14" x14ac:dyDescent="0.2">
      <c r="A3428" s="34">
        <v>39913</v>
      </c>
      <c r="B3428">
        <v>4.2381830000000003</v>
      </c>
      <c r="C3428">
        <f t="shared" si="58"/>
        <v>6.73</v>
      </c>
      <c r="M3428" s="34">
        <v>38366</v>
      </c>
      <c r="N3428">
        <v>9.1999999999999993</v>
      </c>
    </row>
    <row r="3429" spans="1:14" x14ac:dyDescent="0.2">
      <c r="A3429" s="34">
        <v>39912</v>
      </c>
      <c r="B3429">
        <v>4.2373659999999997</v>
      </c>
      <c r="C3429">
        <f t="shared" si="58"/>
        <v>6.73</v>
      </c>
      <c r="M3429" s="34">
        <v>38365</v>
      </c>
      <c r="N3429">
        <v>8.65</v>
      </c>
    </row>
    <row r="3430" spans="1:14" x14ac:dyDescent="0.2">
      <c r="A3430" s="34">
        <v>39911</v>
      </c>
      <c r="B3430">
        <v>4.236548</v>
      </c>
      <c r="C3430">
        <f t="shared" si="58"/>
        <v>6.73</v>
      </c>
      <c r="M3430" s="34">
        <v>38364</v>
      </c>
      <c r="N3430">
        <v>8.74</v>
      </c>
    </row>
    <row r="3431" spans="1:14" x14ac:dyDescent="0.2">
      <c r="A3431" s="34">
        <v>39910</v>
      </c>
      <c r="B3431">
        <v>4.2357300000000002</v>
      </c>
      <c r="C3431">
        <f t="shared" si="58"/>
        <v>6.6</v>
      </c>
      <c r="M3431" s="34">
        <v>38363</v>
      </c>
      <c r="N3431">
        <v>8.75</v>
      </c>
    </row>
    <row r="3432" spans="1:14" x14ac:dyDescent="0.2">
      <c r="A3432" s="34">
        <v>39909</v>
      </c>
      <c r="B3432">
        <v>4.2349129999999997</v>
      </c>
      <c r="C3432">
        <f t="shared" si="58"/>
        <v>7</v>
      </c>
      <c r="M3432" s="34">
        <v>38362</v>
      </c>
      <c r="N3432">
        <v>8.75</v>
      </c>
    </row>
    <row r="3433" spans="1:14" x14ac:dyDescent="0.2">
      <c r="A3433" s="34">
        <v>39908</v>
      </c>
      <c r="B3433">
        <v>4.2340949999999999</v>
      </c>
      <c r="C3433">
        <f t="shared" si="58"/>
        <v>6.7</v>
      </c>
      <c r="M3433" s="34">
        <v>38359</v>
      </c>
      <c r="N3433">
        <v>8.6999999999999993</v>
      </c>
    </row>
    <row r="3434" spans="1:14" x14ac:dyDescent="0.2">
      <c r="A3434" s="34">
        <v>39907</v>
      </c>
      <c r="B3434">
        <v>4.2332780000000003</v>
      </c>
      <c r="C3434">
        <f t="shared" si="58"/>
        <v>6.7</v>
      </c>
      <c r="M3434" s="34">
        <v>38358</v>
      </c>
      <c r="N3434">
        <v>8.65</v>
      </c>
    </row>
    <row r="3435" spans="1:14" x14ac:dyDescent="0.2">
      <c r="A3435" s="34">
        <v>39906</v>
      </c>
      <c r="B3435">
        <v>4.2324609999999998</v>
      </c>
      <c r="C3435">
        <f t="shared" si="58"/>
        <v>6.7</v>
      </c>
      <c r="M3435" s="34">
        <v>38357</v>
      </c>
      <c r="N3435">
        <v>8.75</v>
      </c>
    </row>
    <row r="3436" spans="1:14" x14ac:dyDescent="0.2">
      <c r="A3436" s="34">
        <v>39905</v>
      </c>
      <c r="B3436">
        <v>4.2316450000000003</v>
      </c>
      <c r="C3436">
        <f t="shared" si="58"/>
        <v>6.68</v>
      </c>
      <c r="M3436" s="34">
        <v>38356</v>
      </c>
      <c r="N3436">
        <v>8.8000000000000007</v>
      </c>
    </row>
    <row r="3437" spans="1:14" x14ac:dyDescent="0.2">
      <c r="A3437" s="34">
        <v>39904</v>
      </c>
      <c r="B3437">
        <v>4.2308279999999998</v>
      </c>
      <c r="C3437">
        <f t="shared" si="58"/>
        <v>6.65</v>
      </c>
      <c r="M3437" s="34">
        <v>38355</v>
      </c>
      <c r="N3437">
        <v>8.75</v>
      </c>
    </row>
    <row r="3438" spans="1:14" x14ac:dyDescent="0.2">
      <c r="A3438" s="34">
        <v>39903</v>
      </c>
      <c r="B3438">
        <v>4.2300110000000002</v>
      </c>
      <c r="C3438">
        <f t="shared" si="58"/>
        <v>6.76</v>
      </c>
      <c r="M3438" s="34">
        <v>38352</v>
      </c>
      <c r="N3438">
        <v>8.75</v>
      </c>
    </row>
    <row r="3439" spans="1:14" x14ac:dyDescent="0.2">
      <c r="A3439" s="34">
        <v>39902</v>
      </c>
      <c r="B3439">
        <v>4.2291949999999998</v>
      </c>
      <c r="C3439">
        <f t="shared" si="58"/>
        <v>6.75</v>
      </c>
      <c r="M3439" s="34">
        <v>38351</v>
      </c>
      <c r="N3439">
        <v>8.75</v>
      </c>
    </row>
    <row r="3440" spans="1:14" x14ac:dyDescent="0.2">
      <c r="A3440" s="34">
        <v>39901</v>
      </c>
      <c r="B3440">
        <v>4.2283790000000003</v>
      </c>
      <c r="C3440">
        <f t="shared" si="58"/>
        <v>6.75</v>
      </c>
      <c r="M3440" s="34">
        <v>38350</v>
      </c>
      <c r="N3440">
        <v>8.76</v>
      </c>
    </row>
    <row r="3441" spans="1:14" x14ac:dyDescent="0.2">
      <c r="A3441" s="34">
        <v>39900</v>
      </c>
      <c r="B3441">
        <v>4.227563</v>
      </c>
      <c r="C3441">
        <f t="shared" si="58"/>
        <v>6.75</v>
      </c>
      <c r="M3441" s="34">
        <v>38349</v>
      </c>
      <c r="N3441">
        <v>8.7899999999999991</v>
      </c>
    </row>
    <row r="3442" spans="1:14" x14ac:dyDescent="0.2">
      <c r="A3442" s="34">
        <v>39899</v>
      </c>
      <c r="B3442">
        <v>4.2267469999999996</v>
      </c>
      <c r="C3442">
        <f t="shared" si="58"/>
        <v>6.75</v>
      </c>
      <c r="M3442" s="34">
        <v>38348</v>
      </c>
      <c r="N3442">
        <v>8.7200000000000006</v>
      </c>
    </row>
    <row r="3443" spans="1:14" x14ac:dyDescent="0.2">
      <c r="A3443" s="34">
        <v>39898</v>
      </c>
      <c r="B3443">
        <v>4.2259310000000001</v>
      </c>
      <c r="C3443">
        <f t="shared" si="58"/>
        <v>6.65</v>
      </c>
      <c r="M3443" s="34">
        <v>38345</v>
      </c>
      <c r="N3443">
        <v>8.75</v>
      </c>
    </row>
    <row r="3444" spans="1:14" x14ac:dyDescent="0.2">
      <c r="A3444" s="34">
        <v>39897</v>
      </c>
      <c r="B3444">
        <v>4.2251159999999999</v>
      </c>
      <c r="C3444">
        <f t="shared" si="58"/>
        <v>6.7</v>
      </c>
      <c r="M3444" s="34">
        <v>38344</v>
      </c>
      <c r="N3444">
        <v>8.65</v>
      </c>
    </row>
    <row r="3445" spans="1:14" x14ac:dyDescent="0.2">
      <c r="A3445" s="34">
        <v>39896</v>
      </c>
      <c r="B3445">
        <v>4.2245460000000001</v>
      </c>
      <c r="C3445">
        <f t="shared" si="58"/>
        <v>6.8</v>
      </c>
      <c r="M3445" s="34">
        <v>38343</v>
      </c>
      <c r="N3445">
        <v>8.75</v>
      </c>
    </row>
    <row r="3446" spans="1:14" x14ac:dyDescent="0.2">
      <c r="A3446" s="34">
        <v>39895</v>
      </c>
      <c r="B3446">
        <v>4.2239750000000003</v>
      </c>
      <c r="C3446">
        <f t="shared" si="58"/>
        <v>6.7</v>
      </c>
      <c r="M3446" s="34">
        <v>38342</v>
      </c>
      <c r="N3446">
        <v>8.75</v>
      </c>
    </row>
    <row r="3447" spans="1:14" x14ac:dyDescent="0.2">
      <c r="A3447" s="34">
        <v>39894</v>
      </c>
      <c r="B3447">
        <v>4.2234049999999996</v>
      </c>
      <c r="C3447">
        <f t="shared" si="58"/>
        <v>6.6</v>
      </c>
      <c r="M3447" s="34">
        <v>38341</v>
      </c>
      <c r="N3447">
        <v>8.75</v>
      </c>
    </row>
    <row r="3448" spans="1:14" x14ac:dyDescent="0.2">
      <c r="A3448" s="34">
        <v>39893</v>
      </c>
      <c r="B3448">
        <v>4.222836</v>
      </c>
      <c r="C3448">
        <f t="shared" si="58"/>
        <v>6.6</v>
      </c>
      <c r="M3448" s="34">
        <v>38338</v>
      </c>
      <c r="N3448">
        <v>8.76</v>
      </c>
    </row>
    <row r="3449" spans="1:14" x14ac:dyDescent="0.2">
      <c r="A3449" s="34">
        <v>39892</v>
      </c>
      <c r="B3449">
        <v>4.2222660000000003</v>
      </c>
      <c r="C3449">
        <f t="shared" si="58"/>
        <v>6.6</v>
      </c>
      <c r="M3449" s="34">
        <v>38337</v>
      </c>
      <c r="N3449">
        <v>8.77</v>
      </c>
    </row>
    <row r="3450" spans="1:14" x14ac:dyDescent="0.2">
      <c r="A3450" s="34">
        <v>39891</v>
      </c>
      <c r="B3450">
        <v>4.2216959999999997</v>
      </c>
      <c r="C3450">
        <f t="shared" si="58"/>
        <v>7.48</v>
      </c>
      <c r="M3450" s="34">
        <v>38336</v>
      </c>
      <c r="N3450">
        <v>8.86</v>
      </c>
    </row>
    <row r="3451" spans="1:14" x14ac:dyDescent="0.2">
      <c r="A3451" s="34">
        <v>39890</v>
      </c>
      <c r="B3451">
        <v>4.2211259999999999</v>
      </c>
      <c r="C3451">
        <f t="shared" si="58"/>
        <v>7.45</v>
      </c>
      <c r="M3451" s="34">
        <v>38335</v>
      </c>
      <c r="N3451">
        <v>8.4499999999999993</v>
      </c>
    </row>
    <row r="3452" spans="1:14" x14ac:dyDescent="0.2">
      <c r="A3452" s="34">
        <v>39889</v>
      </c>
      <c r="B3452">
        <v>4.2205570000000003</v>
      </c>
      <c r="C3452">
        <f t="shared" si="58"/>
        <v>7.6</v>
      </c>
      <c r="M3452" s="34">
        <v>38334</v>
      </c>
      <c r="N3452">
        <v>8.43</v>
      </c>
    </row>
    <row r="3453" spans="1:14" x14ac:dyDescent="0.2">
      <c r="A3453" s="34">
        <v>39888</v>
      </c>
      <c r="B3453">
        <v>4.2199869999999997</v>
      </c>
      <c r="C3453">
        <f t="shared" si="58"/>
        <v>7.53</v>
      </c>
      <c r="M3453" s="34">
        <v>38331</v>
      </c>
      <c r="N3453">
        <v>8.41</v>
      </c>
    </row>
    <row r="3454" spans="1:14" x14ac:dyDescent="0.2">
      <c r="A3454" s="34">
        <v>39887</v>
      </c>
      <c r="B3454">
        <v>4.2194180000000001</v>
      </c>
      <c r="C3454">
        <f t="shared" si="58"/>
        <v>7.53</v>
      </c>
      <c r="M3454" s="34">
        <v>38330</v>
      </c>
      <c r="N3454">
        <v>8.27</v>
      </c>
    </row>
    <row r="3455" spans="1:14" x14ac:dyDescent="0.2">
      <c r="A3455" s="34">
        <v>39886</v>
      </c>
      <c r="B3455">
        <v>4.2188480000000004</v>
      </c>
      <c r="C3455">
        <f t="shared" si="58"/>
        <v>7.53</v>
      </c>
      <c r="M3455" s="34">
        <v>38329</v>
      </c>
      <c r="N3455">
        <v>8.2799999999999994</v>
      </c>
    </row>
    <row r="3456" spans="1:14" x14ac:dyDescent="0.2">
      <c r="A3456" s="34">
        <v>39885</v>
      </c>
      <c r="B3456">
        <v>4.2182789999999999</v>
      </c>
      <c r="C3456">
        <f t="shared" si="58"/>
        <v>7.53</v>
      </c>
      <c r="M3456" s="34">
        <v>38328</v>
      </c>
      <c r="N3456">
        <v>8.27</v>
      </c>
    </row>
    <row r="3457" spans="1:14" x14ac:dyDescent="0.2">
      <c r="A3457" s="34">
        <v>39884</v>
      </c>
      <c r="B3457">
        <v>4.2177100000000003</v>
      </c>
      <c r="C3457">
        <f t="shared" si="58"/>
        <v>7.48</v>
      </c>
      <c r="M3457" s="34">
        <v>38327</v>
      </c>
      <c r="N3457">
        <v>8.2799999999999994</v>
      </c>
    </row>
    <row r="3458" spans="1:14" x14ac:dyDescent="0.2">
      <c r="A3458" s="34">
        <v>39883</v>
      </c>
      <c r="B3458">
        <v>4.2171409999999998</v>
      </c>
      <c r="C3458">
        <f t="shared" ref="C3458:C3521" si="59">IFERROR(VLOOKUP(A3458,$M$2:$N$3695,2,0),C3459)</f>
        <v>7.49</v>
      </c>
      <c r="M3458" s="34">
        <v>38324</v>
      </c>
      <c r="N3458">
        <v>8.25</v>
      </c>
    </row>
    <row r="3459" spans="1:14" x14ac:dyDescent="0.2">
      <c r="A3459" s="34">
        <v>39882</v>
      </c>
      <c r="B3459">
        <v>4.2165710000000001</v>
      </c>
      <c r="C3459">
        <f t="shared" si="59"/>
        <v>7.48</v>
      </c>
      <c r="M3459" s="34">
        <v>38323</v>
      </c>
      <c r="N3459">
        <v>8.2799999999999994</v>
      </c>
    </row>
    <row r="3460" spans="1:14" x14ac:dyDescent="0.2">
      <c r="A3460" s="34">
        <v>39881</v>
      </c>
      <c r="B3460">
        <v>4.216018</v>
      </c>
      <c r="C3460">
        <f t="shared" si="59"/>
        <v>7.45</v>
      </c>
      <c r="M3460" s="34">
        <v>38322</v>
      </c>
      <c r="N3460">
        <v>8.3000000000000007</v>
      </c>
    </row>
    <row r="3461" spans="1:14" x14ac:dyDescent="0.2">
      <c r="A3461" s="34">
        <v>39880</v>
      </c>
      <c r="B3461">
        <v>4.2154639999999999</v>
      </c>
      <c r="C3461">
        <f t="shared" si="59"/>
        <v>7.49</v>
      </c>
      <c r="M3461" s="34">
        <v>38321</v>
      </c>
      <c r="N3461">
        <v>8.25</v>
      </c>
    </row>
    <row r="3462" spans="1:14" x14ac:dyDescent="0.2">
      <c r="A3462" s="34">
        <v>39879</v>
      </c>
      <c r="B3462">
        <v>4.2149099999999997</v>
      </c>
      <c r="C3462">
        <f t="shared" si="59"/>
        <v>7.49</v>
      </c>
      <c r="M3462" s="34">
        <v>38320</v>
      </c>
      <c r="N3462">
        <v>8.26</v>
      </c>
    </row>
    <row r="3463" spans="1:14" x14ac:dyDescent="0.2">
      <c r="A3463" s="34">
        <v>39878</v>
      </c>
      <c r="B3463">
        <v>4.2143569999999997</v>
      </c>
      <c r="C3463">
        <f t="shared" si="59"/>
        <v>7.49</v>
      </c>
      <c r="M3463" s="34">
        <v>38317</v>
      </c>
      <c r="N3463">
        <v>8.35</v>
      </c>
    </row>
    <row r="3464" spans="1:14" x14ac:dyDescent="0.2">
      <c r="A3464" s="34">
        <v>39877</v>
      </c>
      <c r="B3464">
        <v>4.2138030000000004</v>
      </c>
      <c r="C3464">
        <f t="shared" si="59"/>
        <v>7.45</v>
      </c>
      <c r="M3464" s="34">
        <v>38316</v>
      </c>
      <c r="N3464">
        <v>8.06</v>
      </c>
    </row>
    <row r="3465" spans="1:14" x14ac:dyDescent="0.2">
      <c r="A3465" s="34">
        <v>39876</v>
      </c>
      <c r="B3465">
        <v>4.2132500000000004</v>
      </c>
      <c r="C3465">
        <f t="shared" si="59"/>
        <v>7.45</v>
      </c>
      <c r="M3465" s="34">
        <v>38315</v>
      </c>
      <c r="N3465">
        <v>8</v>
      </c>
    </row>
    <row r="3466" spans="1:14" x14ac:dyDescent="0.2">
      <c r="A3466" s="34">
        <v>39875</v>
      </c>
      <c r="B3466">
        <v>4.2126960000000002</v>
      </c>
      <c r="C3466">
        <f t="shared" si="59"/>
        <v>7.5</v>
      </c>
      <c r="M3466" s="34">
        <v>38314</v>
      </c>
      <c r="N3466">
        <v>8.0500000000000007</v>
      </c>
    </row>
    <row r="3467" spans="1:14" x14ac:dyDescent="0.2">
      <c r="A3467" s="34">
        <v>39874</v>
      </c>
      <c r="B3467">
        <v>4.2121430000000002</v>
      </c>
      <c r="C3467">
        <f t="shared" si="59"/>
        <v>7.4</v>
      </c>
      <c r="M3467" s="34">
        <v>38313</v>
      </c>
      <c r="N3467">
        <v>8.06</v>
      </c>
    </row>
    <row r="3468" spans="1:14" x14ac:dyDescent="0.2">
      <c r="A3468" s="34">
        <v>39873</v>
      </c>
      <c r="B3468">
        <v>4.2115900000000002</v>
      </c>
      <c r="C3468">
        <f t="shared" si="59"/>
        <v>7.36</v>
      </c>
      <c r="M3468" s="34">
        <v>38310</v>
      </c>
      <c r="N3468">
        <v>8.0500000000000007</v>
      </c>
    </row>
    <row r="3469" spans="1:14" x14ac:dyDescent="0.2">
      <c r="A3469" s="34">
        <v>39872</v>
      </c>
      <c r="B3469">
        <v>4.2110370000000001</v>
      </c>
      <c r="C3469">
        <f t="shared" si="59"/>
        <v>7.36</v>
      </c>
      <c r="M3469" s="34">
        <v>38309</v>
      </c>
      <c r="N3469">
        <v>8.08</v>
      </c>
    </row>
    <row r="3470" spans="1:14" x14ac:dyDescent="0.2">
      <c r="A3470" s="34">
        <v>39871</v>
      </c>
      <c r="B3470">
        <v>4.2104840000000001</v>
      </c>
      <c r="C3470">
        <f t="shared" si="59"/>
        <v>7.36</v>
      </c>
      <c r="M3470" s="34">
        <v>38308</v>
      </c>
      <c r="N3470">
        <v>8.0500000000000007</v>
      </c>
    </row>
    <row r="3471" spans="1:14" x14ac:dyDescent="0.2">
      <c r="A3471" s="34">
        <v>39870</v>
      </c>
      <c r="B3471">
        <v>4.2099310000000001</v>
      </c>
      <c r="C3471">
        <f t="shared" si="59"/>
        <v>7.48</v>
      </c>
      <c r="M3471" s="34">
        <v>38307</v>
      </c>
      <c r="N3471">
        <v>8</v>
      </c>
    </row>
    <row r="3472" spans="1:14" x14ac:dyDescent="0.2">
      <c r="A3472" s="34">
        <v>39869</v>
      </c>
      <c r="B3472">
        <v>4.2093780000000001</v>
      </c>
      <c r="C3472">
        <f t="shared" si="59"/>
        <v>7.48</v>
      </c>
      <c r="M3472" s="34">
        <v>38306</v>
      </c>
      <c r="N3472">
        <v>8.0500000000000007</v>
      </c>
    </row>
    <row r="3473" spans="1:14" x14ac:dyDescent="0.2">
      <c r="A3473" s="34">
        <v>39868</v>
      </c>
      <c r="B3473">
        <v>4.2096669999999996</v>
      </c>
      <c r="C3473">
        <f t="shared" si="59"/>
        <v>7.53</v>
      </c>
      <c r="M3473" s="34">
        <v>38303</v>
      </c>
      <c r="N3473">
        <v>8.08</v>
      </c>
    </row>
    <row r="3474" spans="1:14" x14ac:dyDescent="0.2">
      <c r="A3474" s="34">
        <v>39867</v>
      </c>
      <c r="B3474">
        <v>4.209956</v>
      </c>
      <c r="C3474">
        <f t="shared" si="59"/>
        <v>7.35</v>
      </c>
      <c r="M3474" s="34">
        <v>38302</v>
      </c>
      <c r="N3474">
        <v>8.25</v>
      </c>
    </row>
    <row r="3475" spans="1:14" x14ac:dyDescent="0.2">
      <c r="A3475" s="34">
        <v>39866</v>
      </c>
      <c r="B3475">
        <v>4.2102449999999996</v>
      </c>
      <c r="C3475">
        <f t="shared" si="59"/>
        <v>7.5</v>
      </c>
      <c r="M3475" s="34">
        <v>38301</v>
      </c>
      <c r="N3475">
        <v>7.7</v>
      </c>
    </row>
    <row r="3476" spans="1:14" x14ac:dyDescent="0.2">
      <c r="A3476" s="34">
        <v>39865</v>
      </c>
      <c r="B3476">
        <v>4.2105329999999999</v>
      </c>
      <c r="C3476">
        <f t="shared" si="59"/>
        <v>7.5</v>
      </c>
      <c r="M3476" s="34">
        <v>38300</v>
      </c>
      <c r="N3476">
        <v>7.8</v>
      </c>
    </row>
    <row r="3477" spans="1:14" x14ac:dyDescent="0.2">
      <c r="A3477" s="34">
        <v>39864</v>
      </c>
      <c r="B3477">
        <v>4.2108220000000003</v>
      </c>
      <c r="C3477">
        <f t="shared" si="59"/>
        <v>7.5</v>
      </c>
      <c r="M3477" s="34">
        <v>38299</v>
      </c>
      <c r="N3477">
        <v>8</v>
      </c>
    </row>
    <row r="3478" spans="1:14" x14ac:dyDescent="0.2">
      <c r="A3478" s="34">
        <v>39863</v>
      </c>
      <c r="B3478">
        <v>4.2111109999999998</v>
      </c>
      <c r="C3478">
        <f t="shared" si="59"/>
        <v>7.85</v>
      </c>
      <c r="M3478" s="34">
        <v>38296</v>
      </c>
      <c r="N3478">
        <v>7.87</v>
      </c>
    </row>
    <row r="3479" spans="1:14" x14ac:dyDescent="0.2">
      <c r="A3479" s="34">
        <v>39862</v>
      </c>
      <c r="B3479">
        <v>4.2114000000000003</v>
      </c>
      <c r="C3479">
        <f t="shared" si="59"/>
        <v>7.76</v>
      </c>
      <c r="M3479" s="34">
        <v>38295</v>
      </c>
      <c r="N3479">
        <v>7.85</v>
      </c>
    </row>
    <row r="3480" spans="1:14" x14ac:dyDescent="0.2">
      <c r="A3480" s="34">
        <v>39861</v>
      </c>
      <c r="B3480">
        <v>4.2116889999999998</v>
      </c>
      <c r="C3480">
        <f t="shared" si="59"/>
        <v>7.76</v>
      </c>
      <c r="M3480" s="34">
        <v>38294</v>
      </c>
      <c r="N3480">
        <v>7.8</v>
      </c>
    </row>
    <row r="3481" spans="1:14" x14ac:dyDescent="0.2">
      <c r="A3481" s="34">
        <v>39860</v>
      </c>
      <c r="B3481">
        <v>4.2119780000000002</v>
      </c>
      <c r="C3481">
        <f t="shared" si="59"/>
        <v>7.76</v>
      </c>
      <c r="M3481" s="34">
        <v>38293</v>
      </c>
      <c r="N3481">
        <v>7.8</v>
      </c>
    </row>
    <row r="3482" spans="1:14" x14ac:dyDescent="0.2">
      <c r="A3482" s="34">
        <v>39859</v>
      </c>
      <c r="B3482">
        <v>4.2122669999999998</v>
      </c>
      <c r="C3482">
        <f t="shared" si="59"/>
        <v>7.5</v>
      </c>
      <c r="M3482" s="34">
        <v>38292</v>
      </c>
      <c r="N3482">
        <v>7.98</v>
      </c>
    </row>
    <row r="3483" spans="1:14" x14ac:dyDescent="0.2">
      <c r="A3483" s="34">
        <v>39858</v>
      </c>
      <c r="B3483">
        <v>4.2125560000000002</v>
      </c>
      <c r="C3483">
        <f t="shared" si="59"/>
        <v>7.5</v>
      </c>
      <c r="M3483" s="34">
        <v>38289</v>
      </c>
      <c r="N3483">
        <v>7.8</v>
      </c>
    </row>
    <row r="3484" spans="1:14" x14ac:dyDescent="0.2">
      <c r="A3484" s="34">
        <v>39857</v>
      </c>
      <c r="B3484">
        <v>4.2128459999999999</v>
      </c>
      <c r="C3484">
        <f t="shared" si="59"/>
        <v>7.5</v>
      </c>
      <c r="M3484" s="34">
        <v>38288</v>
      </c>
      <c r="N3484">
        <v>7.5</v>
      </c>
    </row>
    <row r="3485" spans="1:14" x14ac:dyDescent="0.2">
      <c r="A3485" s="34">
        <v>39856</v>
      </c>
      <c r="B3485">
        <v>4.2131350000000003</v>
      </c>
      <c r="C3485">
        <f t="shared" si="59"/>
        <v>7.7</v>
      </c>
      <c r="M3485" s="34">
        <v>38287</v>
      </c>
      <c r="N3485">
        <v>7.85</v>
      </c>
    </row>
    <row r="3486" spans="1:14" x14ac:dyDescent="0.2">
      <c r="A3486" s="34">
        <v>39855</v>
      </c>
      <c r="B3486">
        <v>4.2134239999999998</v>
      </c>
      <c r="C3486">
        <f t="shared" si="59"/>
        <v>7.7</v>
      </c>
      <c r="M3486" s="34">
        <v>38286</v>
      </c>
      <c r="N3486">
        <v>7.75</v>
      </c>
    </row>
    <row r="3487" spans="1:14" x14ac:dyDescent="0.2">
      <c r="A3487" s="34">
        <v>39854</v>
      </c>
      <c r="B3487">
        <v>4.2137130000000003</v>
      </c>
      <c r="C3487">
        <f t="shared" si="59"/>
        <v>7.7</v>
      </c>
      <c r="M3487" s="34">
        <v>38285</v>
      </c>
      <c r="N3487">
        <v>7.8</v>
      </c>
    </row>
    <row r="3488" spans="1:14" x14ac:dyDescent="0.2">
      <c r="A3488" s="34">
        <v>39853</v>
      </c>
      <c r="B3488">
        <v>4.2133200000000004</v>
      </c>
      <c r="C3488">
        <f t="shared" si="59"/>
        <v>7.75</v>
      </c>
      <c r="M3488" s="34">
        <v>38282</v>
      </c>
      <c r="N3488">
        <v>7.75</v>
      </c>
    </row>
    <row r="3489" spans="1:14" x14ac:dyDescent="0.2">
      <c r="A3489" s="34">
        <v>39852</v>
      </c>
      <c r="B3489">
        <v>4.2129269999999996</v>
      </c>
      <c r="C3489">
        <f t="shared" si="59"/>
        <v>7.8</v>
      </c>
      <c r="M3489" s="34">
        <v>38281</v>
      </c>
      <c r="N3489">
        <v>7.65</v>
      </c>
    </row>
    <row r="3490" spans="1:14" x14ac:dyDescent="0.2">
      <c r="A3490" s="34">
        <v>39851</v>
      </c>
      <c r="B3490">
        <v>4.2125339999999998</v>
      </c>
      <c r="C3490">
        <f t="shared" si="59"/>
        <v>7.8</v>
      </c>
      <c r="M3490" s="34">
        <v>38280</v>
      </c>
      <c r="N3490">
        <v>7.6</v>
      </c>
    </row>
    <row r="3491" spans="1:14" x14ac:dyDescent="0.2">
      <c r="A3491" s="34">
        <v>39850</v>
      </c>
      <c r="B3491">
        <v>4.2121409999999999</v>
      </c>
      <c r="C3491">
        <f t="shared" si="59"/>
        <v>7.8</v>
      </c>
      <c r="M3491" s="34">
        <v>38279</v>
      </c>
      <c r="N3491">
        <v>7.63</v>
      </c>
    </row>
    <row r="3492" spans="1:14" x14ac:dyDescent="0.2">
      <c r="A3492" s="34">
        <v>39849</v>
      </c>
      <c r="B3492">
        <v>4.2117490000000002</v>
      </c>
      <c r="C3492">
        <f t="shared" si="59"/>
        <v>7.71</v>
      </c>
      <c r="M3492" s="34">
        <v>38278</v>
      </c>
      <c r="N3492">
        <v>7.64</v>
      </c>
    </row>
    <row r="3493" spans="1:14" x14ac:dyDescent="0.2">
      <c r="A3493" s="34">
        <v>39848</v>
      </c>
      <c r="B3493">
        <v>4.2113560000000003</v>
      </c>
      <c r="C3493">
        <f t="shared" si="59"/>
        <v>7.6</v>
      </c>
      <c r="M3493" s="34">
        <v>38275</v>
      </c>
      <c r="N3493">
        <v>7.7</v>
      </c>
    </row>
    <row r="3494" spans="1:14" x14ac:dyDescent="0.2">
      <c r="A3494" s="34">
        <v>39847</v>
      </c>
      <c r="B3494">
        <v>4.2109629999999996</v>
      </c>
      <c r="C3494">
        <f t="shared" si="59"/>
        <v>7.77</v>
      </c>
      <c r="M3494" s="34">
        <v>38274</v>
      </c>
      <c r="N3494">
        <v>7.6</v>
      </c>
    </row>
    <row r="3495" spans="1:14" x14ac:dyDescent="0.2">
      <c r="A3495" s="34">
        <v>39846</v>
      </c>
      <c r="B3495">
        <v>4.2105699999999997</v>
      </c>
      <c r="C3495">
        <f t="shared" si="59"/>
        <v>7.7</v>
      </c>
      <c r="M3495" s="34">
        <v>38273</v>
      </c>
      <c r="N3495">
        <v>7.62</v>
      </c>
    </row>
    <row r="3496" spans="1:14" x14ac:dyDescent="0.2">
      <c r="A3496" s="34">
        <v>39845</v>
      </c>
      <c r="B3496">
        <v>4.210178</v>
      </c>
      <c r="C3496">
        <f t="shared" si="59"/>
        <v>7.7</v>
      </c>
      <c r="M3496" s="34">
        <v>38272</v>
      </c>
      <c r="N3496">
        <v>7.65</v>
      </c>
    </row>
    <row r="3497" spans="1:14" x14ac:dyDescent="0.2">
      <c r="A3497" s="34">
        <v>39844</v>
      </c>
      <c r="B3497">
        <v>4.2097850000000001</v>
      </c>
      <c r="C3497">
        <f t="shared" si="59"/>
        <v>7.7</v>
      </c>
      <c r="M3497" s="34">
        <v>38271</v>
      </c>
      <c r="N3497">
        <v>7.6</v>
      </c>
    </row>
    <row r="3498" spans="1:14" x14ac:dyDescent="0.2">
      <c r="A3498" s="34">
        <v>39843</v>
      </c>
      <c r="B3498">
        <v>4.2093930000000004</v>
      </c>
      <c r="C3498">
        <f t="shared" si="59"/>
        <v>7.7</v>
      </c>
      <c r="M3498" s="34">
        <v>38268</v>
      </c>
      <c r="N3498">
        <v>7.6</v>
      </c>
    </row>
    <row r="3499" spans="1:14" x14ac:dyDescent="0.2">
      <c r="A3499" s="34">
        <v>39842</v>
      </c>
      <c r="B3499">
        <v>4.2089999999999996</v>
      </c>
      <c r="C3499">
        <f t="shared" si="59"/>
        <v>7.7</v>
      </c>
      <c r="M3499" s="34">
        <v>38267</v>
      </c>
      <c r="N3499">
        <v>7.6</v>
      </c>
    </row>
    <row r="3500" spans="1:14" x14ac:dyDescent="0.2">
      <c r="A3500" s="34">
        <v>39841</v>
      </c>
      <c r="B3500">
        <v>4.2086079999999999</v>
      </c>
      <c r="C3500">
        <f t="shared" si="59"/>
        <v>7.75</v>
      </c>
      <c r="M3500" s="34">
        <v>38266</v>
      </c>
      <c r="N3500">
        <v>7.62</v>
      </c>
    </row>
    <row r="3501" spans="1:14" x14ac:dyDescent="0.2">
      <c r="A3501" s="34">
        <v>39840</v>
      </c>
      <c r="B3501">
        <v>4.208215</v>
      </c>
      <c r="C3501">
        <f t="shared" si="59"/>
        <v>7.8</v>
      </c>
      <c r="M3501" s="34">
        <v>38265</v>
      </c>
      <c r="N3501">
        <v>7.6</v>
      </c>
    </row>
    <row r="3502" spans="1:14" x14ac:dyDescent="0.2">
      <c r="A3502" s="34">
        <v>39839</v>
      </c>
      <c r="B3502">
        <v>4.2078230000000003</v>
      </c>
      <c r="C3502">
        <f t="shared" si="59"/>
        <v>7.6</v>
      </c>
      <c r="M3502" s="34">
        <v>38264</v>
      </c>
      <c r="N3502">
        <v>7.6</v>
      </c>
    </row>
    <row r="3503" spans="1:14" x14ac:dyDescent="0.2">
      <c r="A3503" s="34">
        <v>39838</v>
      </c>
      <c r="B3503">
        <v>4.2074299999999996</v>
      </c>
      <c r="C3503">
        <f t="shared" si="59"/>
        <v>7.77</v>
      </c>
      <c r="M3503" s="34">
        <v>38261</v>
      </c>
      <c r="N3503">
        <v>7.6</v>
      </c>
    </row>
    <row r="3504" spans="1:14" x14ac:dyDescent="0.2">
      <c r="A3504" s="34">
        <v>39837</v>
      </c>
      <c r="B3504">
        <v>4.2066800000000004</v>
      </c>
      <c r="C3504">
        <f t="shared" si="59"/>
        <v>7.77</v>
      </c>
      <c r="M3504" s="34">
        <v>38260</v>
      </c>
      <c r="N3504">
        <v>7.6</v>
      </c>
    </row>
    <row r="3505" spans="1:14" x14ac:dyDescent="0.2">
      <c r="A3505" s="34">
        <v>39836</v>
      </c>
      <c r="B3505">
        <v>4.2059290000000003</v>
      </c>
      <c r="C3505">
        <f t="shared" si="59"/>
        <v>7.77</v>
      </c>
      <c r="M3505" s="34">
        <v>38259</v>
      </c>
      <c r="N3505">
        <v>7.6</v>
      </c>
    </row>
    <row r="3506" spans="1:14" x14ac:dyDescent="0.2">
      <c r="A3506" s="34">
        <v>39835</v>
      </c>
      <c r="B3506">
        <v>4.2051790000000002</v>
      </c>
      <c r="C3506">
        <f t="shared" si="59"/>
        <v>7.6</v>
      </c>
      <c r="M3506" s="34">
        <v>38258</v>
      </c>
      <c r="N3506">
        <v>7.61</v>
      </c>
    </row>
    <row r="3507" spans="1:14" x14ac:dyDescent="0.2">
      <c r="A3507" s="34">
        <v>39834</v>
      </c>
      <c r="B3507">
        <v>4.2044280000000001</v>
      </c>
      <c r="C3507">
        <f t="shared" si="59"/>
        <v>7.6</v>
      </c>
      <c r="M3507" s="34">
        <v>38257</v>
      </c>
      <c r="N3507">
        <v>7.58</v>
      </c>
    </row>
    <row r="3508" spans="1:14" x14ac:dyDescent="0.2">
      <c r="A3508" s="34">
        <v>39833</v>
      </c>
      <c r="B3508">
        <v>4.203678</v>
      </c>
      <c r="C3508">
        <f t="shared" si="59"/>
        <v>7.73</v>
      </c>
      <c r="M3508" s="34">
        <v>38254</v>
      </c>
      <c r="N3508">
        <v>7.6</v>
      </c>
    </row>
    <row r="3509" spans="1:14" x14ac:dyDescent="0.2">
      <c r="A3509" s="34">
        <v>39832</v>
      </c>
      <c r="B3509">
        <v>4.202928</v>
      </c>
      <c r="C3509">
        <f t="shared" si="59"/>
        <v>7.77</v>
      </c>
      <c r="M3509" s="34">
        <v>38253</v>
      </c>
      <c r="N3509">
        <v>7.4</v>
      </c>
    </row>
    <row r="3510" spans="1:14" x14ac:dyDescent="0.2">
      <c r="A3510" s="34">
        <v>39831</v>
      </c>
      <c r="B3510">
        <v>4.2021790000000001</v>
      </c>
      <c r="C3510">
        <f t="shared" si="59"/>
        <v>7.75</v>
      </c>
      <c r="M3510" s="34">
        <v>38252</v>
      </c>
      <c r="N3510">
        <v>7.4</v>
      </c>
    </row>
    <row r="3511" spans="1:14" x14ac:dyDescent="0.2">
      <c r="A3511" s="34">
        <v>39830</v>
      </c>
      <c r="B3511">
        <v>4.2014290000000001</v>
      </c>
      <c r="C3511">
        <f t="shared" si="59"/>
        <v>7.75</v>
      </c>
      <c r="M3511" s="34">
        <v>38251</v>
      </c>
      <c r="N3511">
        <v>7.17</v>
      </c>
    </row>
    <row r="3512" spans="1:14" x14ac:dyDescent="0.2">
      <c r="A3512" s="34">
        <v>39829</v>
      </c>
      <c r="B3512">
        <v>4.2006790000000001</v>
      </c>
      <c r="C3512">
        <f t="shared" si="59"/>
        <v>7.75</v>
      </c>
      <c r="M3512" s="34">
        <v>38250</v>
      </c>
      <c r="N3512">
        <v>7.15</v>
      </c>
    </row>
    <row r="3513" spans="1:14" x14ac:dyDescent="0.2">
      <c r="A3513" s="34">
        <v>39828</v>
      </c>
      <c r="B3513">
        <v>4.1999300000000002</v>
      </c>
      <c r="C3513">
        <f t="shared" si="59"/>
        <v>8.5</v>
      </c>
      <c r="M3513" s="34">
        <v>38247</v>
      </c>
      <c r="N3513">
        <v>7.15</v>
      </c>
    </row>
    <row r="3514" spans="1:14" x14ac:dyDescent="0.2">
      <c r="A3514" s="34">
        <v>39827</v>
      </c>
      <c r="B3514">
        <v>4.1991800000000001</v>
      </c>
      <c r="C3514">
        <f t="shared" si="59"/>
        <v>8.1999999999999993</v>
      </c>
      <c r="M3514" s="34">
        <v>38245</v>
      </c>
      <c r="N3514">
        <v>7.15</v>
      </c>
    </row>
    <row r="3515" spans="1:14" x14ac:dyDescent="0.2">
      <c r="A3515" s="34">
        <v>39826</v>
      </c>
      <c r="B3515">
        <v>4.1984310000000002</v>
      </c>
      <c r="C3515">
        <f t="shared" si="59"/>
        <v>8.1999999999999993</v>
      </c>
      <c r="M3515" s="34">
        <v>38244</v>
      </c>
      <c r="N3515">
        <v>7.15</v>
      </c>
    </row>
    <row r="3516" spans="1:14" x14ac:dyDescent="0.2">
      <c r="A3516" s="34">
        <v>39825</v>
      </c>
      <c r="B3516">
        <v>4.1976820000000004</v>
      </c>
      <c r="C3516">
        <f t="shared" si="59"/>
        <v>8.25</v>
      </c>
      <c r="M3516" s="34">
        <v>38243</v>
      </c>
      <c r="N3516">
        <v>7.15</v>
      </c>
    </row>
    <row r="3517" spans="1:14" x14ac:dyDescent="0.2">
      <c r="A3517" s="34">
        <v>39824</v>
      </c>
      <c r="B3517">
        <v>4.1969329999999996</v>
      </c>
      <c r="C3517">
        <f t="shared" si="59"/>
        <v>8.25</v>
      </c>
      <c r="M3517" s="34">
        <v>38240</v>
      </c>
      <c r="N3517">
        <v>7.16</v>
      </c>
    </row>
    <row r="3518" spans="1:14" x14ac:dyDescent="0.2">
      <c r="A3518" s="34">
        <v>39823</v>
      </c>
      <c r="B3518">
        <v>4.1961849999999998</v>
      </c>
      <c r="C3518">
        <f t="shared" si="59"/>
        <v>8.25</v>
      </c>
      <c r="M3518" s="34">
        <v>38239</v>
      </c>
      <c r="N3518">
        <v>7.15</v>
      </c>
    </row>
    <row r="3519" spans="1:14" x14ac:dyDescent="0.2">
      <c r="A3519" s="34">
        <v>39822</v>
      </c>
      <c r="B3519">
        <v>4.1949959999999997</v>
      </c>
      <c r="C3519">
        <f t="shared" si="59"/>
        <v>8.25</v>
      </c>
      <c r="M3519" s="34">
        <v>38238</v>
      </c>
      <c r="N3519">
        <v>7.15</v>
      </c>
    </row>
    <row r="3520" spans="1:14" x14ac:dyDescent="0.2">
      <c r="A3520" s="34">
        <v>39821</v>
      </c>
      <c r="B3520">
        <v>4.1938079999999998</v>
      </c>
      <c r="C3520">
        <f t="shared" si="59"/>
        <v>8.25</v>
      </c>
      <c r="M3520" s="34">
        <v>38237</v>
      </c>
      <c r="N3520">
        <v>7.13</v>
      </c>
    </row>
    <row r="3521" spans="1:14" x14ac:dyDescent="0.2">
      <c r="A3521" s="34">
        <v>39820</v>
      </c>
      <c r="B3521">
        <v>4.1926199999999998</v>
      </c>
      <c r="C3521">
        <f t="shared" si="59"/>
        <v>8.25</v>
      </c>
      <c r="M3521" s="34">
        <v>38236</v>
      </c>
      <c r="N3521">
        <v>7.15</v>
      </c>
    </row>
    <row r="3522" spans="1:14" x14ac:dyDescent="0.2">
      <c r="A3522" s="34">
        <v>39819</v>
      </c>
      <c r="B3522">
        <v>4.191433</v>
      </c>
      <c r="C3522">
        <f t="shared" ref="C3522:C3585" si="60">IFERROR(VLOOKUP(A3522,$M$2:$N$3695,2,0),C3523)</f>
        <v>8.24</v>
      </c>
      <c r="M3522" s="34">
        <v>38233</v>
      </c>
      <c r="N3522">
        <v>7.15</v>
      </c>
    </row>
    <row r="3523" spans="1:14" x14ac:dyDescent="0.2">
      <c r="A3523" s="34">
        <v>39818</v>
      </c>
      <c r="B3523">
        <v>4.1902460000000001</v>
      </c>
      <c r="C3523">
        <f t="shared" si="60"/>
        <v>7.5</v>
      </c>
      <c r="M3523" s="34">
        <v>38232</v>
      </c>
      <c r="N3523">
        <v>7.13</v>
      </c>
    </row>
    <row r="3524" spans="1:14" x14ac:dyDescent="0.2">
      <c r="A3524" s="34">
        <v>39817</v>
      </c>
      <c r="B3524">
        <v>4.1890590000000003</v>
      </c>
      <c r="C3524">
        <f t="shared" si="60"/>
        <v>8.27</v>
      </c>
      <c r="M3524" s="34">
        <v>38231</v>
      </c>
      <c r="N3524">
        <v>7.16</v>
      </c>
    </row>
    <row r="3525" spans="1:14" x14ac:dyDescent="0.2">
      <c r="A3525" s="34">
        <v>39816</v>
      </c>
      <c r="B3525">
        <v>4.1878729999999997</v>
      </c>
      <c r="C3525">
        <f t="shared" si="60"/>
        <v>8.27</v>
      </c>
      <c r="M3525" s="34">
        <v>38230</v>
      </c>
      <c r="N3525">
        <v>7.15</v>
      </c>
    </row>
    <row r="3526" spans="1:14" x14ac:dyDescent="0.2">
      <c r="A3526" s="34">
        <v>39815</v>
      </c>
      <c r="B3526">
        <v>4.186687</v>
      </c>
      <c r="C3526">
        <f t="shared" si="60"/>
        <v>8.27</v>
      </c>
      <c r="M3526" s="34">
        <v>38229</v>
      </c>
      <c r="N3526">
        <v>7.15</v>
      </c>
    </row>
    <row r="3527" spans="1:14" x14ac:dyDescent="0.2">
      <c r="A3527" s="34">
        <v>39814</v>
      </c>
      <c r="B3527">
        <v>4.1855010000000004</v>
      </c>
      <c r="C3527">
        <f t="shared" si="60"/>
        <v>7.5</v>
      </c>
      <c r="M3527" s="34">
        <v>38226</v>
      </c>
      <c r="N3527">
        <v>7.15</v>
      </c>
    </row>
    <row r="3528" spans="1:14" x14ac:dyDescent="0.2">
      <c r="A3528" s="34">
        <v>39813</v>
      </c>
      <c r="B3528">
        <v>4.1843159999999999</v>
      </c>
      <c r="C3528">
        <f t="shared" si="60"/>
        <v>7.5</v>
      </c>
      <c r="M3528" s="34">
        <v>38225</v>
      </c>
      <c r="N3528">
        <v>7.1</v>
      </c>
    </row>
    <row r="3529" spans="1:14" x14ac:dyDescent="0.2">
      <c r="A3529" s="34">
        <v>39812</v>
      </c>
      <c r="B3529">
        <v>4.1831310000000004</v>
      </c>
      <c r="C3529">
        <f t="shared" si="60"/>
        <v>8.3000000000000007</v>
      </c>
      <c r="M3529" s="34">
        <v>38224</v>
      </c>
      <c r="N3529">
        <v>7.05</v>
      </c>
    </row>
    <row r="3530" spans="1:14" x14ac:dyDescent="0.2">
      <c r="A3530" s="34">
        <v>39811</v>
      </c>
      <c r="B3530">
        <v>4.1819459999999999</v>
      </c>
      <c r="C3530">
        <f t="shared" si="60"/>
        <v>8.25</v>
      </c>
      <c r="M3530" s="34">
        <v>38223</v>
      </c>
      <c r="N3530">
        <v>7</v>
      </c>
    </row>
    <row r="3531" spans="1:14" x14ac:dyDescent="0.2">
      <c r="A3531" s="34">
        <v>39810</v>
      </c>
      <c r="B3531">
        <v>4.1807619999999996</v>
      </c>
      <c r="C3531">
        <f t="shared" si="60"/>
        <v>7.9</v>
      </c>
      <c r="M3531" s="34">
        <v>38222</v>
      </c>
      <c r="N3531">
        <v>7</v>
      </c>
    </row>
    <row r="3532" spans="1:14" x14ac:dyDescent="0.2">
      <c r="A3532" s="34">
        <v>39809</v>
      </c>
      <c r="B3532">
        <v>4.1795780000000002</v>
      </c>
      <c r="C3532">
        <f t="shared" si="60"/>
        <v>7.9</v>
      </c>
      <c r="M3532" s="34">
        <v>38219</v>
      </c>
      <c r="N3532">
        <v>7.03</v>
      </c>
    </row>
    <row r="3533" spans="1:14" x14ac:dyDescent="0.2">
      <c r="A3533" s="34">
        <v>39808</v>
      </c>
      <c r="B3533">
        <v>4.1783950000000001</v>
      </c>
      <c r="C3533">
        <f t="shared" si="60"/>
        <v>7.9</v>
      </c>
      <c r="M3533" s="34">
        <v>38218</v>
      </c>
      <c r="N3533">
        <v>7</v>
      </c>
    </row>
    <row r="3534" spans="1:14" x14ac:dyDescent="0.2">
      <c r="A3534" s="34">
        <v>39807</v>
      </c>
      <c r="B3534">
        <v>4.1772109999999998</v>
      </c>
      <c r="C3534">
        <f t="shared" si="60"/>
        <v>8.1999999999999993</v>
      </c>
      <c r="M3534" s="34">
        <v>38217</v>
      </c>
      <c r="N3534">
        <v>6.9</v>
      </c>
    </row>
    <row r="3535" spans="1:14" x14ac:dyDescent="0.2">
      <c r="A3535" s="34">
        <v>39806</v>
      </c>
      <c r="B3535">
        <v>4.1766370000000004</v>
      </c>
      <c r="C3535">
        <f t="shared" si="60"/>
        <v>8.1999999999999993</v>
      </c>
      <c r="M3535" s="34">
        <v>38216</v>
      </c>
      <c r="N3535">
        <v>7</v>
      </c>
    </row>
    <row r="3536" spans="1:14" x14ac:dyDescent="0.2">
      <c r="A3536" s="34">
        <v>39805</v>
      </c>
      <c r="B3536">
        <v>4.1760630000000001</v>
      </c>
      <c r="C3536">
        <f t="shared" si="60"/>
        <v>8.1</v>
      </c>
      <c r="M3536" s="34">
        <v>38215</v>
      </c>
      <c r="N3536">
        <v>7</v>
      </c>
    </row>
    <row r="3537" spans="1:14" x14ac:dyDescent="0.2">
      <c r="A3537" s="34">
        <v>39804</v>
      </c>
      <c r="B3537">
        <v>4.1754879999999996</v>
      </c>
      <c r="C3537">
        <f t="shared" si="60"/>
        <v>8.3000000000000007</v>
      </c>
      <c r="M3537" s="34">
        <v>38212</v>
      </c>
      <c r="N3537">
        <v>7</v>
      </c>
    </row>
    <row r="3538" spans="1:14" x14ac:dyDescent="0.2">
      <c r="A3538" s="34">
        <v>39803</v>
      </c>
      <c r="B3538">
        <v>4.1749140000000002</v>
      </c>
      <c r="C3538">
        <f t="shared" si="60"/>
        <v>8.25</v>
      </c>
      <c r="M3538" s="34">
        <v>38211</v>
      </c>
      <c r="N3538">
        <v>7</v>
      </c>
    </row>
    <row r="3539" spans="1:14" x14ac:dyDescent="0.2">
      <c r="A3539" s="34">
        <v>39802</v>
      </c>
      <c r="B3539">
        <v>4.1743399999999999</v>
      </c>
      <c r="C3539">
        <f t="shared" si="60"/>
        <v>8.25</v>
      </c>
      <c r="M3539" s="34">
        <v>38210</v>
      </c>
      <c r="N3539">
        <v>7</v>
      </c>
    </row>
    <row r="3540" spans="1:14" x14ac:dyDescent="0.2">
      <c r="A3540" s="34">
        <v>39801</v>
      </c>
      <c r="B3540">
        <v>4.1737659999999996</v>
      </c>
      <c r="C3540">
        <f t="shared" si="60"/>
        <v>8.25</v>
      </c>
      <c r="M3540" s="34">
        <v>38209</v>
      </c>
      <c r="N3540">
        <v>6.8</v>
      </c>
    </row>
    <row r="3541" spans="1:14" x14ac:dyDescent="0.2">
      <c r="A3541" s="34">
        <v>39800</v>
      </c>
      <c r="B3541">
        <v>4.1731920000000002</v>
      </c>
      <c r="C3541">
        <f t="shared" si="60"/>
        <v>8.35</v>
      </c>
      <c r="M3541" s="34">
        <v>38208</v>
      </c>
      <c r="N3541">
        <v>6.85</v>
      </c>
    </row>
    <row r="3542" spans="1:14" x14ac:dyDescent="0.2">
      <c r="A3542" s="34">
        <v>39799</v>
      </c>
      <c r="B3542">
        <v>4.1726190000000001</v>
      </c>
      <c r="C3542">
        <f t="shared" si="60"/>
        <v>8.35</v>
      </c>
      <c r="M3542" s="34">
        <v>38205</v>
      </c>
      <c r="N3542">
        <v>6.95</v>
      </c>
    </row>
    <row r="3543" spans="1:14" x14ac:dyDescent="0.2">
      <c r="A3543" s="34">
        <v>39798</v>
      </c>
      <c r="B3543">
        <v>4.1720449999999998</v>
      </c>
      <c r="C3543">
        <f t="shared" si="60"/>
        <v>8.32</v>
      </c>
      <c r="M3543" s="34">
        <v>38204</v>
      </c>
      <c r="N3543">
        <v>6.85</v>
      </c>
    </row>
    <row r="3544" spans="1:14" x14ac:dyDescent="0.2">
      <c r="A3544" s="34">
        <v>39797</v>
      </c>
      <c r="B3544">
        <v>4.1714710000000004</v>
      </c>
      <c r="C3544">
        <f t="shared" si="60"/>
        <v>8.35</v>
      </c>
      <c r="M3544" s="34">
        <v>38203</v>
      </c>
      <c r="N3544">
        <v>6.82</v>
      </c>
    </row>
    <row r="3545" spans="1:14" x14ac:dyDescent="0.2">
      <c r="A3545" s="34">
        <v>39796</v>
      </c>
      <c r="B3545">
        <v>4.1708980000000002</v>
      </c>
      <c r="C3545">
        <f t="shared" si="60"/>
        <v>8.27</v>
      </c>
      <c r="M3545" s="34">
        <v>38202</v>
      </c>
      <c r="N3545">
        <v>6.6</v>
      </c>
    </row>
    <row r="3546" spans="1:14" x14ac:dyDescent="0.2">
      <c r="A3546" s="34">
        <v>39795</v>
      </c>
      <c r="B3546">
        <v>4.1703239999999999</v>
      </c>
      <c r="C3546">
        <f t="shared" si="60"/>
        <v>8.27</v>
      </c>
      <c r="M3546" s="34">
        <v>38201</v>
      </c>
      <c r="N3546">
        <v>6.95</v>
      </c>
    </row>
    <row r="3547" spans="1:14" x14ac:dyDescent="0.2">
      <c r="A3547" s="34">
        <v>39794</v>
      </c>
      <c r="B3547">
        <v>4.1697509999999998</v>
      </c>
      <c r="C3547">
        <f t="shared" si="60"/>
        <v>8.27</v>
      </c>
      <c r="M3547" s="34">
        <v>38198</v>
      </c>
      <c r="N3547">
        <v>6.78</v>
      </c>
    </row>
    <row r="3548" spans="1:14" x14ac:dyDescent="0.2">
      <c r="A3548" s="34">
        <v>39793</v>
      </c>
      <c r="B3548">
        <v>4.1691770000000004</v>
      </c>
      <c r="C3548">
        <f t="shared" si="60"/>
        <v>8.27</v>
      </c>
      <c r="M3548" s="34">
        <v>38197</v>
      </c>
      <c r="N3548">
        <v>6.82</v>
      </c>
    </row>
    <row r="3549" spans="1:14" x14ac:dyDescent="0.2">
      <c r="A3549" s="34">
        <v>39792</v>
      </c>
      <c r="B3549">
        <v>4.1686040000000002</v>
      </c>
      <c r="C3549">
        <f t="shared" si="60"/>
        <v>8.25</v>
      </c>
      <c r="M3549" s="34">
        <v>38196</v>
      </c>
      <c r="N3549">
        <v>6.8</v>
      </c>
    </row>
    <row r="3550" spans="1:14" x14ac:dyDescent="0.2">
      <c r="A3550" s="34">
        <v>39791</v>
      </c>
      <c r="B3550">
        <v>4.1659940000000004</v>
      </c>
      <c r="C3550">
        <f t="shared" si="60"/>
        <v>8.18</v>
      </c>
      <c r="M3550" s="34">
        <v>38195</v>
      </c>
      <c r="N3550">
        <v>6.75</v>
      </c>
    </row>
    <row r="3551" spans="1:14" x14ac:dyDescent="0.2">
      <c r="A3551" s="34">
        <v>39790</v>
      </c>
      <c r="B3551">
        <v>4.1633849999999999</v>
      </c>
      <c r="C3551">
        <f t="shared" si="60"/>
        <v>8.17</v>
      </c>
      <c r="M3551" s="34">
        <v>38194</v>
      </c>
      <c r="N3551">
        <v>6.8</v>
      </c>
    </row>
    <row r="3552" spans="1:14" x14ac:dyDescent="0.2">
      <c r="A3552" s="34">
        <v>39789</v>
      </c>
      <c r="B3552">
        <v>4.1607779999999996</v>
      </c>
      <c r="C3552">
        <f t="shared" si="60"/>
        <v>8.15</v>
      </c>
      <c r="M3552" s="34">
        <v>38191</v>
      </c>
      <c r="N3552">
        <v>6.85</v>
      </c>
    </row>
    <row r="3553" spans="1:14" x14ac:dyDescent="0.2">
      <c r="A3553" s="34">
        <v>39788</v>
      </c>
      <c r="B3553">
        <v>4.1581729999999997</v>
      </c>
      <c r="C3553">
        <f t="shared" si="60"/>
        <v>8.15</v>
      </c>
      <c r="M3553" s="34">
        <v>38190</v>
      </c>
      <c r="N3553">
        <v>6.7</v>
      </c>
    </row>
    <row r="3554" spans="1:14" x14ac:dyDescent="0.2">
      <c r="A3554" s="34">
        <v>39787</v>
      </c>
      <c r="B3554">
        <v>4.1555689999999998</v>
      </c>
      <c r="C3554">
        <f t="shared" si="60"/>
        <v>8.15</v>
      </c>
      <c r="M3554" s="34">
        <v>38189</v>
      </c>
      <c r="N3554">
        <v>6.65</v>
      </c>
    </row>
    <row r="3555" spans="1:14" x14ac:dyDescent="0.2">
      <c r="A3555" s="34">
        <v>39786</v>
      </c>
      <c r="B3555">
        <v>4.1529670000000003</v>
      </c>
      <c r="C3555">
        <f t="shared" si="60"/>
        <v>7.75</v>
      </c>
      <c r="M3555" s="34">
        <v>38188</v>
      </c>
      <c r="N3555">
        <v>6.65</v>
      </c>
    </row>
    <row r="3556" spans="1:14" x14ac:dyDescent="0.2">
      <c r="A3556" s="34">
        <v>39785</v>
      </c>
      <c r="B3556">
        <v>4.150366</v>
      </c>
      <c r="C3556">
        <f t="shared" si="60"/>
        <v>8.1999999999999993</v>
      </c>
      <c r="M3556" s="34">
        <v>38187</v>
      </c>
      <c r="N3556">
        <v>6.65</v>
      </c>
    </row>
    <row r="3557" spans="1:14" x14ac:dyDescent="0.2">
      <c r="A3557" s="34">
        <v>39784</v>
      </c>
      <c r="B3557">
        <v>4.147767</v>
      </c>
      <c r="C3557">
        <f t="shared" si="60"/>
        <v>8.1199999999999992</v>
      </c>
      <c r="M3557" s="34">
        <v>38184</v>
      </c>
      <c r="N3557">
        <v>6.65</v>
      </c>
    </row>
    <row r="3558" spans="1:14" x14ac:dyDescent="0.2">
      <c r="A3558" s="34">
        <v>39783</v>
      </c>
      <c r="B3558">
        <v>4.1451700000000002</v>
      </c>
      <c r="C3558">
        <f t="shared" si="60"/>
        <v>8.15</v>
      </c>
      <c r="M3558" s="34">
        <v>38183</v>
      </c>
      <c r="N3558">
        <v>6.6</v>
      </c>
    </row>
    <row r="3559" spans="1:14" x14ac:dyDescent="0.2">
      <c r="A3559" s="34">
        <v>39782</v>
      </c>
      <c r="B3559">
        <v>4.1425749999999999</v>
      </c>
      <c r="C3559">
        <f t="shared" si="60"/>
        <v>8.4</v>
      </c>
      <c r="M3559" s="34">
        <v>38182</v>
      </c>
      <c r="N3559">
        <v>6.65</v>
      </c>
    </row>
    <row r="3560" spans="1:14" x14ac:dyDescent="0.2">
      <c r="A3560" s="34">
        <v>39781</v>
      </c>
      <c r="B3560">
        <v>4.1399809999999997</v>
      </c>
      <c r="C3560">
        <f t="shared" si="60"/>
        <v>8.4</v>
      </c>
      <c r="M3560" s="34">
        <v>38181</v>
      </c>
      <c r="N3560">
        <v>6.65</v>
      </c>
    </row>
    <row r="3561" spans="1:14" x14ac:dyDescent="0.2">
      <c r="A3561" s="34">
        <v>39780</v>
      </c>
      <c r="B3561">
        <v>4.1373879999999996</v>
      </c>
      <c r="C3561">
        <f t="shared" si="60"/>
        <v>8.4</v>
      </c>
      <c r="M3561" s="34">
        <v>38180</v>
      </c>
      <c r="N3561">
        <v>6.65</v>
      </c>
    </row>
    <row r="3562" spans="1:14" x14ac:dyDescent="0.2">
      <c r="A3562" s="34">
        <v>39779</v>
      </c>
      <c r="B3562">
        <v>4.1347969999999998</v>
      </c>
      <c r="C3562">
        <f t="shared" si="60"/>
        <v>8.3000000000000007</v>
      </c>
      <c r="M3562" s="34">
        <v>38177</v>
      </c>
      <c r="N3562">
        <v>6.65</v>
      </c>
    </row>
    <row r="3563" spans="1:14" x14ac:dyDescent="0.2">
      <c r="A3563" s="34">
        <v>39778</v>
      </c>
      <c r="B3563">
        <v>4.1322080000000003</v>
      </c>
      <c r="C3563">
        <f t="shared" si="60"/>
        <v>7.5</v>
      </c>
      <c r="M3563" s="34">
        <v>38176</v>
      </c>
      <c r="N3563">
        <v>6.6</v>
      </c>
    </row>
    <row r="3564" spans="1:14" x14ac:dyDescent="0.2">
      <c r="A3564" s="34">
        <v>39777</v>
      </c>
      <c r="B3564">
        <v>4.1296210000000002</v>
      </c>
      <c r="C3564">
        <f t="shared" si="60"/>
        <v>8.1</v>
      </c>
      <c r="M3564" s="34">
        <v>38175</v>
      </c>
      <c r="N3564">
        <v>6.6</v>
      </c>
    </row>
    <row r="3565" spans="1:14" x14ac:dyDescent="0.2">
      <c r="A3565" s="34">
        <v>39776</v>
      </c>
      <c r="B3565">
        <v>4.1291370000000001</v>
      </c>
      <c r="C3565">
        <f t="shared" si="60"/>
        <v>8.0500000000000007</v>
      </c>
      <c r="M3565" s="34">
        <v>38174</v>
      </c>
      <c r="N3565">
        <v>6.6</v>
      </c>
    </row>
    <row r="3566" spans="1:14" x14ac:dyDescent="0.2">
      <c r="A3566" s="34">
        <v>39775</v>
      </c>
      <c r="B3566">
        <v>4.1286529999999999</v>
      </c>
      <c r="C3566">
        <f t="shared" si="60"/>
        <v>8</v>
      </c>
      <c r="M3566" s="34">
        <v>38173</v>
      </c>
      <c r="N3566">
        <v>6.6</v>
      </c>
    </row>
    <row r="3567" spans="1:14" x14ac:dyDescent="0.2">
      <c r="A3567" s="34">
        <v>39774</v>
      </c>
      <c r="B3567">
        <v>4.1281689999999998</v>
      </c>
      <c r="C3567">
        <f t="shared" si="60"/>
        <v>8</v>
      </c>
      <c r="M3567" s="34">
        <v>38170</v>
      </c>
      <c r="N3567">
        <v>6.6</v>
      </c>
    </row>
    <row r="3568" spans="1:14" x14ac:dyDescent="0.2">
      <c r="A3568" s="34">
        <v>39773</v>
      </c>
      <c r="B3568">
        <v>4.1276849999999996</v>
      </c>
      <c r="C3568">
        <f t="shared" si="60"/>
        <v>8</v>
      </c>
      <c r="M3568" s="34">
        <v>38169</v>
      </c>
      <c r="N3568">
        <v>6.65</v>
      </c>
    </row>
    <row r="3569" spans="1:14" x14ac:dyDescent="0.2">
      <c r="A3569" s="34">
        <v>39772</v>
      </c>
      <c r="B3569">
        <v>4.1272010000000003</v>
      </c>
      <c r="C3569">
        <f t="shared" si="60"/>
        <v>7.5</v>
      </c>
      <c r="M3569" s="34">
        <v>38168</v>
      </c>
      <c r="N3569">
        <v>6.48</v>
      </c>
    </row>
    <row r="3570" spans="1:14" x14ac:dyDescent="0.2">
      <c r="A3570" s="34">
        <v>39771</v>
      </c>
      <c r="B3570">
        <v>4.1267170000000002</v>
      </c>
      <c r="C3570">
        <f t="shared" si="60"/>
        <v>7.5</v>
      </c>
      <c r="M3570" s="34">
        <v>38167</v>
      </c>
      <c r="N3570">
        <v>6.34</v>
      </c>
    </row>
    <row r="3571" spans="1:14" x14ac:dyDescent="0.2">
      <c r="A3571" s="34">
        <v>39770</v>
      </c>
      <c r="B3571">
        <v>4.126233</v>
      </c>
      <c r="C3571">
        <f t="shared" si="60"/>
        <v>8.24</v>
      </c>
      <c r="M3571" s="34">
        <v>38166</v>
      </c>
      <c r="N3571">
        <v>6.37</v>
      </c>
    </row>
    <row r="3572" spans="1:14" x14ac:dyDescent="0.2">
      <c r="A3572" s="34">
        <v>39769</v>
      </c>
      <c r="B3572">
        <v>4.1257489999999999</v>
      </c>
      <c r="C3572">
        <f t="shared" si="60"/>
        <v>8.0500000000000007</v>
      </c>
      <c r="M3572" s="34">
        <v>38163</v>
      </c>
      <c r="N3572">
        <v>6.3</v>
      </c>
    </row>
    <row r="3573" spans="1:14" x14ac:dyDescent="0.2">
      <c r="A3573" s="34">
        <v>39768</v>
      </c>
      <c r="B3573">
        <v>4.1252649999999997</v>
      </c>
      <c r="C3573">
        <f t="shared" si="60"/>
        <v>8.0500000000000007</v>
      </c>
      <c r="M3573" s="34">
        <v>38162</v>
      </c>
      <c r="N3573">
        <v>6.35</v>
      </c>
    </row>
    <row r="3574" spans="1:14" x14ac:dyDescent="0.2">
      <c r="A3574" s="34">
        <v>39767</v>
      </c>
      <c r="B3574">
        <v>4.1247819999999997</v>
      </c>
      <c r="C3574">
        <f t="shared" si="60"/>
        <v>8.0500000000000007</v>
      </c>
      <c r="M3574" s="34">
        <v>38161</v>
      </c>
      <c r="N3574">
        <v>6.35</v>
      </c>
    </row>
    <row r="3575" spans="1:14" x14ac:dyDescent="0.2">
      <c r="A3575" s="34">
        <v>39766</v>
      </c>
      <c r="B3575">
        <v>4.1242979999999996</v>
      </c>
      <c r="C3575">
        <f t="shared" si="60"/>
        <v>8.0500000000000007</v>
      </c>
      <c r="M3575" s="34">
        <v>38160</v>
      </c>
      <c r="N3575">
        <v>6.35</v>
      </c>
    </row>
    <row r="3576" spans="1:14" x14ac:dyDescent="0.2">
      <c r="A3576" s="34">
        <v>39765</v>
      </c>
      <c r="B3576">
        <v>4.1238149999999996</v>
      </c>
      <c r="C3576">
        <f t="shared" si="60"/>
        <v>8.0500000000000007</v>
      </c>
      <c r="M3576" s="34">
        <v>38159</v>
      </c>
      <c r="N3576">
        <v>6.35</v>
      </c>
    </row>
    <row r="3577" spans="1:14" x14ac:dyDescent="0.2">
      <c r="A3577" s="34">
        <v>39764</v>
      </c>
      <c r="B3577">
        <v>4.1233310000000003</v>
      </c>
      <c r="C3577">
        <f t="shared" si="60"/>
        <v>7.97</v>
      </c>
      <c r="M3577" s="34">
        <v>38156</v>
      </c>
      <c r="N3577">
        <v>6.35</v>
      </c>
    </row>
    <row r="3578" spans="1:14" x14ac:dyDescent="0.2">
      <c r="A3578" s="34">
        <v>39763</v>
      </c>
      <c r="B3578">
        <v>4.1228480000000003</v>
      </c>
      <c r="C3578">
        <f t="shared" si="60"/>
        <v>7.85</v>
      </c>
      <c r="M3578" s="34">
        <v>38155</v>
      </c>
      <c r="N3578">
        <v>6.35</v>
      </c>
    </row>
    <row r="3579" spans="1:14" x14ac:dyDescent="0.2">
      <c r="A3579" s="34">
        <v>39762</v>
      </c>
      <c r="B3579">
        <v>4.1223640000000001</v>
      </c>
      <c r="C3579">
        <f t="shared" si="60"/>
        <v>7.9</v>
      </c>
      <c r="M3579" s="34">
        <v>38154</v>
      </c>
      <c r="N3579">
        <v>6.33</v>
      </c>
    </row>
    <row r="3580" spans="1:14" x14ac:dyDescent="0.2">
      <c r="A3580" s="34">
        <v>39761</v>
      </c>
      <c r="B3580">
        <v>4.1211130000000002</v>
      </c>
      <c r="C3580">
        <f t="shared" si="60"/>
        <v>8</v>
      </c>
      <c r="M3580" s="34">
        <v>38153</v>
      </c>
      <c r="N3580">
        <v>6.35</v>
      </c>
    </row>
    <row r="3581" spans="1:14" x14ac:dyDescent="0.2">
      <c r="A3581" s="34">
        <v>39760</v>
      </c>
      <c r="B3581">
        <v>4.1198620000000004</v>
      </c>
      <c r="C3581">
        <f t="shared" si="60"/>
        <v>8</v>
      </c>
      <c r="M3581" s="34">
        <v>38152</v>
      </c>
      <c r="N3581">
        <v>6.35</v>
      </c>
    </row>
    <row r="3582" spans="1:14" x14ac:dyDescent="0.2">
      <c r="A3582" s="34">
        <v>39759</v>
      </c>
      <c r="B3582">
        <v>4.1186109999999996</v>
      </c>
      <c r="C3582">
        <f t="shared" si="60"/>
        <v>8</v>
      </c>
      <c r="M3582" s="34">
        <v>38149</v>
      </c>
      <c r="N3582">
        <v>6.36</v>
      </c>
    </row>
    <row r="3583" spans="1:14" x14ac:dyDescent="0.2">
      <c r="A3583" s="34">
        <v>39758</v>
      </c>
      <c r="B3583">
        <v>4.1173609999999998</v>
      </c>
      <c r="C3583">
        <f t="shared" si="60"/>
        <v>7.6</v>
      </c>
      <c r="M3583" s="34">
        <v>38148</v>
      </c>
      <c r="N3583">
        <v>6.35</v>
      </c>
    </row>
    <row r="3584" spans="1:14" x14ac:dyDescent="0.2">
      <c r="A3584" s="34">
        <v>39757</v>
      </c>
      <c r="B3584">
        <v>4.1161110000000001</v>
      </c>
      <c r="C3584">
        <f t="shared" si="60"/>
        <v>7.7</v>
      </c>
      <c r="M3584" s="34">
        <v>38147</v>
      </c>
      <c r="N3584">
        <v>6.32</v>
      </c>
    </row>
    <row r="3585" spans="1:14" x14ac:dyDescent="0.2">
      <c r="A3585" s="34">
        <v>39756</v>
      </c>
      <c r="B3585">
        <v>4.1148610000000003</v>
      </c>
      <c r="C3585">
        <f t="shared" si="60"/>
        <v>7.55</v>
      </c>
      <c r="M3585" s="34">
        <v>38146</v>
      </c>
      <c r="N3585">
        <v>6.35</v>
      </c>
    </row>
    <row r="3586" spans="1:14" x14ac:dyDescent="0.2">
      <c r="A3586" s="34">
        <v>39755</v>
      </c>
      <c r="B3586">
        <v>4.1136119999999998</v>
      </c>
      <c r="C3586">
        <f t="shared" ref="C3586:C3649" si="61">IFERROR(VLOOKUP(A3586,$M$2:$N$3695,2,0),C3587)</f>
        <v>7.6</v>
      </c>
      <c r="M3586" s="34">
        <v>38145</v>
      </c>
      <c r="N3586">
        <v>6.35</v>
      </c>
    </row>
    <row r="3587" spans="1:14" x14ac:dyDescent="0.2">
      <c r="A3587" s="34">
        <v>39754</v>
      </c>
      <c r="B3587">
        <v>4.1123630000000002</v>
      </c>
      <c r="C3587">
        <f t="shared" si="61"/>
        <v>8.5</v>
      </c>
      <c r="M3587" s="34">
        <v>38142</v>
      </c>
      <c r="N3587">
        <v>6.35</v>
      </c>
    </row>
    <row r="3588" spans="1:14" x14ac:dyDescent="0.2">
      <c r="A3588" s="34">
        <v>39753</v>
      </c>
      <c r="B3588">
        <v>4.1111149999999999</v>
      </c>
      <c r="C3588">
        <f t="shared" si="61"/>
        <v>8.5</v>
      </c>
      <c r="M3588" s="34">
        <v>38141</v>
      </c>
      <c r="N3588">
        <v>6.35</v>
      </c>
    </row>
    <row r="3589" spans="1:14" x14ac:dyDescent="0.2">
      <c r="A3589" s="34">
        <v>39752</v>
      </c>
      <c r="B3589">
        <v>4.1098660000000002</v>
      </c>
      <c r="C3589">
        <f t="shared" si="61"/>
        <v>8.5</v>
      </c>
      <c r="M3589" s="34">
        <v>38140</v>
      </c>
      <c r="N3589">
        <v>6.35</v>
      </c>
    </row>
    <row r="3590" spans="1:14" x14ac:dyDescent="0.2">
      <c r="A3590" s="34">
        <v>39751</v>
      </c>
      <c r="B3590">
        <v>4.108619</v>
      </c>
      <c r="C3590">
        <f t="shared" si="61"/>
        <v>7.7</v>
      </c>
      <c r="M3590" s="34">
        <v>38139</v>
      </c>
      <c r="N3590">
        <v>6.35</v>
      </c>
    </row>
    <row r="3591" spans="1:14" x14ac:dyDescent="0.2">
      <c r="A3591" s="34">
        <v>39750</v>
      </c>
      <c r="B3591">
        <v>4.1073709999999997</v>
      </c>
      <c r="C3591">
        <f t="shared" si="61"/>
        <v>8</v>
      </c>
      <c r="M3591" s="34">
        <v>38138</v>
      </c>
      <c r="N3591">
        <v>6.35</v>
      </c>
    </row>
    <row r="3592" spans="1:14" x14ac:dyDescent="0.2">
      <c r="A3592" s="34">
        <v>39749</v>
      </c>
      <c r="B3592">
        <v>4.1061249999999996</v>
      </c>
      <c r="C3592">
        <f t="shared" si="61"/>
        <v>7</v>
      </c>
      <c r="M3592" s="34">
        <v>38135</v>
      </c>
      <c r="N3592">
        <v>6.36</v>
      </c>
    </row>
    <row r="3593" spans="1:14" x14ac:dyDescent="0.2">
      <c r="A3593" s="34">
        <v>39748</v>
      </c>
      <c r="B3593">
        <v>4.1048780000000002</v>
      </c>
      <c r="C3593">
        <f t="shared" si="61"/>
        <v>7.5</v>
      </c>
      <c r="M3593" s="34">
        <v>38134</v>
      </c>
      <c r="N3593">
        <v>6.35</v>
      </c>
    </row>
    <row r="3594" spans="1:14" x14ac:dyDescent="0.2">
      <c r="A3594" s="34">
        <v>39747</v>
      </c>
      <c r="B3594">
        <v>4.1036320000000002</v>
      </c>
      <c r="C3594">
        <f t="shared" si="61"/>
        <v>8</v>
      </c>
      <c r="M3594" s="34">
        <v>38133</v>
      </c>
      <c r="N3594">
        <v>6.35</v>
      </c>
    </row>
    <row r="3595" spans="1:14" x14ac:dyDescent="0.2">
      <c r="A3595" s="34">
        <v>39746</v>
      </c>
      <c r="B3595">
        <v>4.1023860000000001</v>
      </c>
      <c r="C3595">
        <f t="shared" si="61"/>
        <v>8</v>
      </c>
      <c r="M3595" s="34">
        <v>38132</v>
      </c>
      <c r="N3595">
        <v>6.3</v>
      </c>
    </row>
    <row r="3596" spans="1:14" x14ac:dyDescent="0.2">
      <c r="A3596" s="34">
        <v>39745</v>
      </c>
      <c r="B3596">
        <v>4.1018119999999998</v>
      </c>
      <c r="C3596">
        <f t="shared" si="61"/>
        <v>8</v>
      </c>
      <c r="M3596" s="34">
        <v>38131</v>
      </c>
      <c r="N3596">
        <v>6.5</v>
      </c>
    </row>
    <row r="3597" spans="1:14" x14ac:dyDescent="0.2">
      <c r="A3597" s="34">
        <v>39744</v>
      </c>
      <c r="B3597">
        <v>4.1012370000000002</v>
      </c>
      <c r="C3597">
        <f t="shared" si="61"/>
        <v>6.15</v>
      </c>
      <c r="M3597" s="34">
        <v>38128</v>
      </c>
      <c r="N3597">
        <v>6.5</v>
      </c>
    </row>
    <row r="3598" spans="1:14" x14ac:dyDescent="0.2">
      <c r="A3598" s="34">
        <v>39743</v>
      </c>
      <c r="B3598">
        <v>4.1006629999999999</v>
      </c>
      <c r="C3598">
        <f t="shared" si="61"/>
        <v>7</v>
      </c>
      <c r="M3598" s="34">
        <v>38127</v>
      </c>
      <c r="N3598">
        <v>6.5</v>
      </c>
    </row>
    <row r="3599" spans="1:14" x14ac:dyDescent="0.2">
      <c r="A3599" s="34">
        <v>39742</v>
      </c>
      <c r="B3599">
        <v>4.1000889999999997</v>
      </c>
      <c r="C3599">
        <f t="shared" si="61"/>
        <v>6.25</v>
      </c>
      <c r="M3599" s="34">
        <v>38126</v>
      </c>
      <c r="N3599">
        <v>6.5</v>
      </c>
    </row>
    <row r="3600" spans="1:14" x14ac:dyDescent="0.2">
      <c r="A3600" s="34">
        <v>39741</v>
      </c>
      <c r="B3600">
        <v>4.0995150000000002</v>
      </c>
      <c r="C3600">
        <f t="shared" si="61"/>
        <v>8.25</v>
      </c>
      <c r="M3600" s="34">
        <v>38125</v>
      </c>
      <c r="N3600">
        <v>6.5</v>
      </c>
    </row>
    <row r="3601" spans="1:14" x14ac:dyDescent="0.2">
      <c r="A3601" s="34">
        <v>39740</v>
      </c>
      <c r="B3601">
        <v>4.0989409999999999</v>
      </c>
      <c r="C3601">
        <f t="shared" si="61"/>
        <v>7.7</v>
      </c>
      <c r="M3601" s="34">
        <v>38124</v>
      </c>
      <c r="N3601">
        <v>6.55</v>
      </c>
    </row>
    <row r="3602" spans="1:14" x14ac:dyDescent="0.2">
      <c r="A3602" s="34">
        <v>39739</v>
      </c>
      <c r="B3602">
        <v>4.0983669999999996</v>
      </c>
      <c r="C3602">
        <f t="shared" si="61"/>
        <v>7.7</v>
      </c>
      <c r="M3602" s="34">
        <v>38121</v>
      </c>
      <c r="N3602">
        <v>6.5</v>
      </c>
    </row>
    <row r="3603" spans="1:14" x14ac:dyDescent="0.2">
      <c r="A3603" s="34">
        <v>39738</v>
      </c>
      <c r="B3603">
        <v>4.0977930000000002</v>
      </c>
      <c r="C3603">
        <f t="shared" si="61"/>
        <v>7.7</v>
      </c>
      <c r="M3603" s="34">
        <v>38120</v>
      </c>
      <c r="N3603">
        <v>6.5</v>
      </c>
    </row>
    <row r="3604" spans="1:14" x14ac:dyDescent="0.2">
      <c r="A3604" s="34">
        <v>39737</v>
      </c>
      <c r="B3604">
        <v>4.0972189999999999</v>
      </c>
      <c r="C3604">
        <f t="shared" si="61"/>
        <v>7.5</v>
      </c>
      <c r="M3604" s="34">
        <v>38119</v>
      </c>
      <c r="N3604">
        <v>6.5</v>
      </c>
    </row>
    <row r="3605" spans="1:14" x14ac:dyDescent="0.2">
      <c r="A3605" s="34">
        <v>39736</v>
      </c>
      <c r="B3605">
        <v>4.0966459999999998</v>
      </c>
      <c r="C3605">
        <f t="shared" si="61"/>
        <v>7.9</v>
      </c>
      <c r="M3605" s="34">
        <v>38118</v>
      </c>
      <c r="N3605">
        <v>6.5</v>
      </c>
    </row>
    <row r="3606" spans="1:14" x14ac:dyDescent="0.2">
      <c r="A3606" s="34">
        <v>39735</v>
      </c>
      <c r="B3606">
        <v>4.0960720000000004</v>
      </c>
      <c r="C3606">
        <f t="shared" si="61"/>
        <v>7.95</v>
      </c>
      <c r="M3606" s="34">
        <v>38117</v>
      </c>
      <c r="N3606">
        <v>6.5</v>
      </c>
    </row>
    <row r="3607" spans="1:14" x14ac:dyDescent="0.2">
      <c r="A3607" s="34">
        <v>39734</v>
      </c>
      <c r="B3607">
        <v>4.0954990000000002</v>
      </c>
      <c r="C3607">
        <f t="shared" si="61"/>
        <v>8.06</v>
      </c>
      <c r="M3607" s="34">
        <v>38114</v>
      </c>
      <c r="N3607">
        <v>6.3</v>
      </c>
    </row>
    <row r="3608" spans="1:14" x14ac:dyDescent="0.2">
      <c r="A3608" s="34">
        <v>39733</v>
      </c>
      <c r="B3608">
        <v>4.0949249999999999</v>
      </c>
      <c r="C3608">
        <f t="shared" si="61"/>
        <v>8</v>
      </c>
      <c r="M3608" s="34">
        <v>38113</v>
      </c>
      <c r="N3608">
        <v>6.1</v>
      </c>
    </row>
    <row r="3609" spans="1:14" x14ac:dyDescent="0.2">
      <c r="A3609" s="34">
        <v>39732</v>
      </c>
      <c r="B3609">
        <v>4.0943519999999998</v>
      </c>
      <c r="C3609">
        <f t="shared" si="61"/>
        <v>8</v>
      </c>
      <c r="M3609" s="34">
        <v>38112</v>
      </c>
      <c r="N3609">
        <v>6.1</v>
      </c>
    </row>
    <row r="3610" spans="1:14" x14ac:dyDescent="0.2">
      <c r="A3610" s="34">
        <v>39731</v>
      </c>
      <c r="B3610">
        <v>4.0937789999999996</v>
      </c>
      <c r="C3610">
        <f t="shared" si="61"/>
        <v>8</v>
      </c>
      <c r="M3610" s="34">
        <v>38111</v>
      </c>
      <c r="N3610">
        <v>6.25</v>
      </c>
    </row>
    <row r="3611" spans="1:14" x14ac:dyDescent="0.2">
      <c r="A3611" s="34">
        <v>39730</v>
      </c>
      <c r="B3611">
        <v>4.092587</v>
      </c>
      <c r="C3611">
        <f t="shared" si="61"/>
        <v>8</v>
      </c>
      <c r="M3611" s="34">
        <v>38110</v>
      </c>
      <c r="N3611">
        <v>6.2</v>
      </c>
    </row>
    <row r="3612" spans="1:14" x14ac:dyDescent="0.2">
      <c r="A3612" s="34">
        <v>39729</v>
      </c>
      <c r="B3612">
        <v>4.0913950000000003</v>
      </c>
      <c r="C3612">
        <f t="shared" si="61"/>
        <v>8.0500000000000007</v>
      </c>
      <c r="M3612" s="34">
        <v>38107</v>
      </c>
      <c r="N3612">
        <v>6.25</v>
      </c>
    </row>
    <row r="3613" spans="1:14" x14ac:dyDescent="0.2">
      <c r="A3613" s="34">
        <v>39728</v>
      </c>
      <c r="B3613">
        <v>4.090204</v>
      </c>
      <c r="C3613">
        <f t="shared" si="61"/>
        <v>8.1</v>
      </c>
      <c r="M3613" s="34">
        <v>38106</v>
      </c>
      <c r="N3613">
        <v>6.1</v>
      </c>
    </row>
    <row r="3614" spans="1:14" x14ac:dyDescent="0.2">
      <c r="A3614" s="34">
        <v>39727</v>
      </c>
      <c r="B3614">
        <v>4.0890129999999996</v>
      </c>
      <c r="C3614">
        <f t="shared" si="61"/>
        <v>8.1</v>
      </c>
      <c r="M3614" s="34">
        <v>38105</v>
      </c>
      <c r="N3614">
        <v>6</v>
      </c>
    </row>
    <row r="3615" spans="1:14" x14ac:dyDescent="0.2">
      <c r="A3615" s="34">
        <v>39726</v>
      </c>
      <c r="B3615">
        <v>4.0878230000000002</v>
      </c>
      <c r="C3615">
        <f t="shared" si="61"/>
        <v>8.1999999999999993</v>
      </c>
      <c r="M3615" s="34">
        <v>38104</v>
      </c>
      <c r="N3615">
        <v>5.55</v>
      </c>
    </row>
    <row r="3616" spans="1:14" x14ac:dyDescent="0.2">
      <c r="A3616" s="34">
        <v>39725</v>
      </c>
      <c r="B3616">
        <v>4.0866319999999998</v>
      </c>
      <c r="C3616">
        <f t="shared" si="61"/>
        <v>8.1999999999999993</v>
      </c>
      <c r="M3616" s="34">
        <v>38103</v>
      </c>
      <c r="N3616">
        <v>5.47</v>
      </c>
    </row>
    <row r="3617" spans="1:14" x14ac:dyDescent="0.2">
      <c r="A3617" s="34">
        <v>39724</v>
      </c>
      <c r="B3617">
        <v>4.0854429999999997</v>
      </c>
      <c r="C3617">
        <f t="shared" si="61"/>
        <v>8.1999999999999993</v>
      </c>
      <c r="M3617" s="34">
        <v>38100</v>
      </c>
      <c r="N3617">
        <v>5.65</v>
      </c>
    </row>
    <row r="3618" spans="1:14" x14ac:dyDescent="0.2">
      <c r="A3618" s="34">
        <v>39723</v>
      </c>
      <c r="B3618">
        <v>4.0842530000000004</v>
      </c>
      <c r="C3618">
        <f t="shared" si="61"/>
        <v>8</v>
      </c>
      <c r="M3618" s="34">
        <v>38099</v>
      </c>
      <c r="N3618">
        <v>6</v>
      </c>
    </row>
    <row r="3619" spans="1:14" x14ac:dyDescent="0.2">
      <c r="A3619" s="34">
        <v>39722</v>
      </c>
      <c r="B3619">
        <v>4.0830640000000002</v>
      </c>
      <c r="C3619">
        <f t="shared" si="61"/>
        <v>8.1999999999999993</v>
      </c>
      <c r="M3619" s="34">
        <v>38098</v>
      </c>
      <c r="N3619">
        <v>6</v>
      </c>
    </row>
    <row r="3620" spans="1:14" x14ac:dyDescent="0.2">
      <c r="A3620" s="34">
        <v>39721</v>
      </c>
      <c r="B3620">
        <v>4.0818750000000001</v>
      </c>
      <c r="C3620">
        <f t="shared" si="61"/>
        <v>8.25</v>
      </c>
      <c r="M3620" s="34">
        <v>38097</v>
      </c>
      <c r="N3620">
        <v>5.92</v>
      </c>
    </row>
    <row r="3621" spans="1:14" x14ac:dyDescent="0.2">
      <c r="A3621" s="34">
        <v>39720</v>
      </c>
      <c r="B3621">
        <v>4.0806870000000002</v>
      </c>
      <c r="C3621">
        <f t="shared" si="61"/>
        <v>8.24</v>
      </c>
      <c r="M3621" s="34">
        <v>38096</v>
      </c>
      <c r="N3621">
        <v>5.97</v>
      </c>
    </row>
    <row r="3622" spans="1:14" x14ac:dyDescent="0.2">
      <c r="A3622" s="34">
        <v>39719</v>
      </c>
      <c r="B3622">
        <v>4.0794990000000002</v>
      </c>
      <c r="C3622">
        <f t="shared" si="61"/>
        <v>8.25</v>
      </c>
      <c r="M3622" s="34">
        <v>38093</v>
      </c>
      <c r="N3622">
        <v>6.1</v>
      </c>
    </row>
    <row r="3623" spans="1:14" x14ac:dyDescent="0.2">
      <c r="A3623" s="34">
        <v>39718</v>
      </c>
      <c r="B3623">
        <v>4.0783110000000002</v>
      </c>
      <c r="C3623">
        <f t="shared" si="61"/>
        <v>8.25</v>
      </c>
      <c r="M3623" s="34">
        <v>38092</v>
      </c>
      <c r="N3623">
        <v>5.98</v>
      </c>
    </row>
    <row r="3624" spans="1:14" x14ac:dyDescent="0.2">
      <c r="A3624" s="34">
        <v>39717</v>
      </c>
      <c r="B3624">
        <v>4.0771230000000003</v>
      </c>
      <c r="C3624">
        <f t="shared" si="61"/>
        <v>8.25</v>
      </c>
      <c r="M3624" s="34">
        <v>38091</v>
      </c>
      <c r="N3624">
        <v>6</v>
      </c>
    </row>
    <row r="3625" spans="1:14" x14ac:dyDescent="0.2">
      <c r="A3625" s="34">
        <v>39716</v>
      </c>
      <c r="B3625">
        <v>4.0759359999999996</v>
      </c>
      <c r="C3625">
        <f t="shared" si="61"/>
        <v>8.23</v>
      </c>
      <c r="M3625" s="34">
        <v>38090</v>
      </c>
      <c r="N3625">
        <v>5.85</v>
      </c>
    </row>
    <row r="3626" spans="1:14" x14ac:dyDescent="0.2">
      <c r="A3626" s="34">
        <v>39715</v>
      </c>
      <c r="B3626">
        <v>4.0751920000000004</v>
      </c>
      <c r="C3626">
        <f t="shared" si="61"/>
        <v>8.2200000000000006</v>
      </c>
      <c r="M3626" s="34">
        <v>38089</v>
      </c>
      <c r="N3626">
        <v>5.85</v>
      </c>
    </row>
    <row r="3627" spans="1:14" x14ac:dyDescent="0.2">
      <c r="A3627" s="34">
        <v>39714</v>
      </c>
      <c r="B3627">
        <v>4.0744480000000003</v>
      </c>
      <c r="C3627">
        <f t="shared" si="61"/>
        <v>8.1999999999999993</v>
      </c>
      <c r="M3627" s="34">
        <v>38084</v>
      </c>
      <c r="N3627">
        <v>5.89</v>
      </c>
    </row>
    <row r="3628" spans="1:14" x14ac:dyDescent="0.2">
      <c r="A3628" s="34">
        <v>39713</v>
      </c>
      <c r="B3628">
        <v>4.0737040000000002</v>
      </c>
      <c r="C3628">
        <f t="shared" si="61"/>
        <v>8.25</v>
      </c>
      <c r="M3628" s="34">
        <v>38083</v>
      </c>
      <c r="N3628">
        <v>6.08</v>
      </c>
    </row>
    <row r="3629" spans="1:14" x14ac:dyDescent="0.2">
      <c r="A3629" s="34">
        <v>39712</v>
      </c>
      <c r="B3629">
        <v>4.0729600000000001</v>
      </c>
      <c r="C3629">
        <f t="shared" si="61"/>
        <v>8.0500000000000007</v>
      </c>
      <c r="M3629" s="34">
        <v>38082</v>
      </c>
      <c r="N3629">
        <v>6.12</v>
      </c>
    </row>
    <row r="3630" spans="1:14" x14ac:dyDescent="0.2">
      <c r="A3630" s="34">
        <v>39711</v>
      </c>
      <c r="B3630">
        <v>4.0722160000000001</v>
      </c>
      <c r="C3630">
        <f t="shared" si="61"/>
        <v>8.0500000000000007</v>
      </c>
      <c r="M3630" s="34">
        <v>38079</v>
      </c>
      <c r="N3630">
        <v>6.1</v>
      </c>
    </row>
    <row r="3631" spans="1:14" x14ac:dyDescent="0.2">
      <c r="A3631" s="34">
        <v>39710</v>
      </c>
      <c r="B3631">
        <v>4.071472</v>
      </c>
      <c r="C3631">
        <f t="shared" si="61"/>
        <v>8.0500000000000007</v>
      </c>
      <c r="M3631" s="34">
        <v>38078</v>
      </c>
      <c r="N3631">
        <v>6.05</v>
      </c>
    </row>
    <row r="3632" spans="1:14" x14ac:dyDescent="0.2">
      <c r="A3632" s="34">
        <v>39709</v>
      </c>
      <c r="B3632">
        <v>4.0707279999999999</v>
      </c>
      <c r="C3632">
        <f t="shared" si="61"/>
        <v>8.15</v>
      </c>
      <c r="M3632" s="34">
        <v>38077</v>
      </c>
      <c r="N3632">
        <v>6.12</v>
      </c>
    </row>
    <row r="3633" spans="1:14" x14ac:dyDescent="0.2">
      <c r="A3633" s="34">
        <v>39708</v>
      </c>
      <c r="B3633">
        <v>4.069985</v>
      </c>
      <c r="C3633">
        <f t="shared" si="61"/>
        <v>8.3000000000000007</v>
      </c>
      <c r="M3633" s="34">
        <v>38076</v>
      </c>
      <c r="N3633">
        <v>6.25</v>
      </c>
    </row>
    <row r="3634" spans="1:14" x14ac:dyDescent="0.2">
      <c r="A3634" s="34">
        <v>39707</v>
      </c>
      <c r="B3634">
        <v>4.069242</v>
      </c>
      <c r="C3634">
        <f t="shared" si="61"/>
        <v>8.25</v>
      </c>
      <c r="M3634" s="34">
        <v>38075</v>
      </c>
      <c r="N3634">
        <v>6.1</v>
      </c>
    </row>
    <row r="3635" spans="1:14" x14ac:dyDescent="0.2">
      <c r="A3635" s="34">
        <v>39706</v>
      </c>
      <c r="B3635">
        <v>4.0684990000000001</v>
      </c>
      <c r="C3635">
        <f t="shared" si="61"/>
        <v>8.25</v>
      </c>
      <c r="M3635" s="34">
        <v>38072</v>
      </c>
      <c r="N3635">
        <v>6.05</v>
      </c>
    </row>
    <row r="3636" spans="1:14" x14ac:dyDescent="0.2">
      <c r="A3636" s="34">
        <v>39705</v>
      </c>
      <c r="B3636">
        <v>4.0677560000000001</v>
      </c>
      <c r="C3636">
        <f t="shared" si="61"/>
        <v>8.24</v>
      </c>
      <c r="M3636" s="34">
        <v>38071</v>
      </c>
      <c r="N3636">
        <v>6.25</v>
      </c>
    </row>
    <row r="3637" spans="1:14" x14ac:dyDescent="0.2">
      <c r="A3637" s="34">
        <v>39704</v>
      </c>
      <c r="B3637">
        <v>4.0670130000000002</v>
      </c>
      <c r="C3637">
        <f t="shared" si="61"/>
        <v>8.24</v>
      </c>
      <c r="M3637" s="34">
        <v>38070</v>
      </c>
      <c r="N3637">
        <v>6.35</v>
      </c>
    </row>
    <row r="3638" spans="1:14" x14ac:dyDescent="0.2">
      <c r="A3638" s="34">
        <v>39703</v>
      </c>
      <c r="B3638">
        <v>4.0662700000000003</v>
      </c>
      <c r="C3638">
        <f t="shared" si="61"/>
        <v>8.24</v>
      </c>
      <c r="M3638" s="34">
        <v>38069</v>
      </c>
      <c r="N3638">
        <v>6.4</v>
      </c>
    </row>
    <row r="3639" spans="1:14" x14ac:dyDescent="0.2">
      <c r="A3639" s="34">
        <v>39702</v>
      </c>
      <c r="B3639">
        <v>4.0655270000000003</v>
      </c>
      <c r="C3639">
        <f t="shared" si="61"/>
        <v>8.25</v>
      </c>
      <c r="M3639" s="34">
        <v>38068</v>
      </c>
      <c r="N3639">
        <v>6.55</v>
      </c>
    </row>
    <row r="3640" spans="1:14" x14ac:dyDescent="0.2">
      <c r="A3640" s="34">
        <v>39701</v>
      </c>
      <c r="B3640">
        <v>4.0647849999999996</v>
      </c>
      <c r="C3640">
        <f t="shared" si="61"/>
        <v>8.1999999999999993</v>
      </c>
      <c r="M3640" s="34">
        <v>38065</v>
      </c>
      <c r="N3640">
        <v>6.4</v>
      </c>
    </row>
    <row r="3641" spans="1:14" x14ac:dyDescent="0.2">
      <c r="A3641" s="34">
        <v>39700</v>
      </c>
      <c r="B3641">
        <v>4.0640020000000003</v>
      </c>
      <c r="C3641">
        <f t="shared" si="61"/>
        <v>8.35</v>
      </c>
      <c r="M3641" s="34">
        <v>38064</v>
      </c>
      <c r="N3641">
        <v>6.6</v>
      </c>
    </row>
    <row r="3642" spans="1:14" x14ac:dyDescent="0.2">
      <c r="A3642" s="34">
        <v>39699</v>
      </c>
      <c r="B3642">
        <v>4.0632200000000003</v>
      </c>
      <c r="C3642">
        <f t="shared" si="61"/>
        <v>8.24</v>
      </c>
      <c r="M3642" s="34">
        <v>38063</v>
      </c>
      <c r="N3642">
        <v>6.67</v>
      </c>
    </row>
    <row r="3643" spans="1:14" x14ac:dyDescent="0.2">
      <c r="A3643" s="34">
        <v>39698</v>
      </c>
      <c r="B3643">
        <v>4.0624380000000002</v>
      </c>
      <c r="C3643">
        <f t="shared" si="61"/>
        <v>8.25</v>
      </c>
      <c r="M3643" s="34">
        <v>38062</v>
      </c>
      <c r="N3643">
        <v>6.65</v>
      </c>
    </row>
    <row r="3644" spans="1:14" x14ac:dyDescent="0.2">
      <c r="A3644" s="34">
        <v>39697</v>
      </c>
      <c r="B3644">
        <v>4.0616560000000002</v>
      </c>
      <c r="C3644">
        <f t="shared" si="61"/>
        <v>8.25</v>
      </c>
      <c r="M3644" s="34">
        <v>38061</v>
      </c>
      <c r="N3644">
        <v>6.55</v>
      </c>
    </row>
    <row r="3645" spans="1:14" x14ac:dyDescent="0.2">
      <c r="A3645" s="34">
        <v>39696</v>
      </c>
      <c r="B3645">
        <v>4.0608740000000001</v>
      </c>
      <c r="C3645">
        <f t="shared" si="61"/>
        <v>8.25</v>
      </c>
      <c r="M3645" s="34">
        <v>38058</v>
      </c>
      <c r="N3645">
        <v>6.6</v>
      </c>
    </row>
    <row r="3646" spans="1:14" x14ac:dyDescent="0.2">
      <c r="A3646" s="34">
        <v>39695</v>
      </c>
      <c r="B3646">
        <v>4.060092</v>
      </c>
      <c r="C3646">
        <f t="shared" si="61"/>
        <v>8.1999999999999993</v>
      </c>
      <c r="M3646" s="34">
        <v>38057</v>
      </c>
      <c r="N3646">
        <v>6.35</v>
      </c>
    </row>
    <row r="3647" spans="1:14" x14ac:dyDescent="0.2">
      <c r="A3647" s="34">
        <v>39694</v>
      </c>
      <c r="B3647">
        <v>4.05931</v>
      </c>
      <c r="C3647">
        <f t="shared" si="61"/>
        <v>8.1999999999999993</v>
      </c>
      <c r="M3647" s="34">
        <v>38056</v>
      </c>
      <c r="N3647">
        <v>6.15</v>
      </c>
    </row>
    <row r="3648" spans="1:14" x14ac:dyDescent="0.2">
      <c r="A3648" s="34">
        <v>39693</v>
      </c>
      <c r="B3648">
        <v>4.0585290000000001</v>
      </c>
      <c r="C3648">
        <f t="shared" si="61"/>
        <v>8.2200000000000006</v>
      </c>
      <c r="M3648" s="34">
        <v>38055</v>
      </c>
      <c r="N3648">
        <v>6.2</v>
      </c>
    </row>
    <row r="3649" spans="1:14" x14ac:dyDescent="0.2">
      <c r="A3649" s="34">
        <v>39692</v>
      </c>
      <c r="B3649">
        <v>4.0577480000000001</v>
      </c>
      <c r="C3649">
        <f t="shared" si="61"/>
        <v>8.24</v>
      </c>
      <c r="M3649" s="34">
        <v>38054</v>
      </c>
      <c r="N3649">
        <v>6.1</v>
      </c>
    </row>
    <row r="3650" spans="1:14" x14ac:dyDescent="0.2">
      <c r="A3650" s="34">
        <v>39691</v>
      </c>
      <c r="B3650">
        <v>4.0569660000000001</v>
      </c>
      <c r="C3650">
        <f t="shared" ref="C3650:C3713" si="62">IFERROR(VLOOKUP(A3650,$M$2:$N$3695,2,0),C3651)</f>
        <v>8.16</v>
      </c>
      <c r="M3650" s="34">
        <v>38051</v>
      </c>
      <c r="N3650">
        <v>6.34</v>
      </c>
    </row>
    <row r="3651" spans="1:14" x14ac:dyDescent="0.2">
      <c r="A3651" s="34">
        <v>39690</v>
      </c>
      <c r="B3651">
        <v>4.0561850000000002</v>
      </c>
      <c r="C3651">
        <f t="shared" si="62"/>
        <v>8.16</v>
      </c>
      <c r="M3651" s="34">
        <v>38050</v>
      </c>
      <c r="N3651">
        <v>6.6</v>
      </c>
    </row>
    <row r="3652" spans="1:14" x14ac:dyDescent="0.2">
      <c r="A3652" s="34">
        <v>39689</v>
      </c>
      <c r="B3652">
        <v>4.0554040000000002</v>
      </c>
      <c r="C3652">
        <f t="shared" si="62"/>
        <v>8.16</v>
      </c>
      <c r="M3652" s="34">
        <v>38049</v>
      </c>
      <c r="N3652">
        <v>6.35</v>
      </c>
    </row>
    <row r="3653" spans="1:14" x14ac:dyDescent="0.2">
      <c r="A3653" s="34">
        <v>39688</v>
      </c>
      <c r="B3653">
        <v>4.0546239999999996</v>
      </c>
      <c r="C3653">
        <f t="shared" si="62"/>
        <v>8.23</v>
      </c>
      <c r="M3653" s="34">
        <v>38048</v>
      </c>
      <c r="N3653">
        <v>6.6</v>
      </c>
    </row>
    <row r="3654" spans="1:14" x14ac:dyDescent="0.2">
      <c r="A3654" s="34">
        <v>39687</v>
      </c>
      <c r="B3654">
        <v>4.0538429999999996</v>
      </c>
      <c r="C3654">
        <f t="shared" si="62"/>
        <v>8.25</v>
      </c>
      <c r="M3654" s="34">
        <v>38047</v>
      </c>
      <c r="N3654">
        <v>6.63</v>
      </c>
    </row>
    <row r="3655" spans="1:14" x14ac:dyDescent="0.2">
      <c r="A3655" s="34">
        <v>39686</v>
      </c>
      <c r="B3655">
        <v>4.0530629999999999</v>
      </c>
      <c r="C3655">
        <f t="shared" si="62"/>
        <v>8.2200000000000006</v>
      </c>
      <c r="M3655" s="34">
        <v>38044</v>
      </c>
      <c r="N3655">
        <v>6.7</v>
      </c>
    </row>
    <row r="3656" spans="1:14" x14ac:dyDescent="0.2">
      <c r="A3656" s="34">
        <v>39685</v>
      </c>
      <c r="B3656">
        <v>4.0522830000000001</v>
      </c>
      <c r="C3656">
        <f t="shared" si="62"/>
        <v>8.24</v>
      </c>
      <c r="M3656" s="34">
        <v>38043</v>
      </c>
      <c r="N3656">
        <v>6.7</v>
      </c>
    </row>
    <row r="3657" spans="1:14" x14ac:dyDescent="0.2">
      <c r="A3657" s="34">
        <v>39684</v>
      </c>
      <c r="B3657">
        <v>4.0515759999999998</v>
      </c>
      <c r="C3657">
        <f t="shared" si="62"/>
        <v>8.1999999999999993</v>
      </c>
      <c r="M3657" s="34">
        <v>38042</v>
      </c>
      <c r="N3657">
        <v>6.75</v>
      </c>
    </row>
    <row r="3658" spans="1:14" x14ac:dyDescent="0.2">
      <c r="A3658" s="34">
        <v>39683</v>
      </c>
      <c r="B3658">
        <v>4.0508689999999996</v>
      </c>
      <c r="C3658">
        <f t="shared" si="62"/>
        <v>8.1999999999999993</v>
      </c>
      <c r="M3658" s="34">
        <v>38041</v>
      </c>
      <c r="N3658">
        <v>6.25</v>
      </c>
    </row>
    <row r="3659" spans="1:14" x14ac:dyDescent="0.2">
      <c r="A3659" s="34">
        <v>39682</v>
      </c>
      <c r="B3659">
        <v>4.0501630000000004</v>
      </c>
      <c r="C3659">
        <f t="shared" si="62"/>
        <v>8.1999999999999993</v>
      </c>
      <c r="M3659" s="34">
        <v>38040</v>
      </c>
      <c r="N3659">
        <v>6</v>
      </c>
    </row>
    <row r="3660" spans="1:14" x14ac:dyDescent="0.2">
      <c r="A3660" s="34">
        <v>39681</v>
      </c>
      <c r="B3660">
        <v>4.0494570000000003</v>
      </c>
      <c r="C3660">
        <f t="shared" si="62"/>
        <v>8.16</v>
      </c>
      <c r="M3660" s="34">
        <v>38037</v>
      </c>
      <c r="N3660">
        <v>6</v>
      </c>
    </row>
    <row r="3661" spans="1:14" x14ac:dyDescent="0.2">
      <c r="A3661" s="34">
        <v>39680</v>
      </c>
      <c r="B3661">
        <v>4.0487510000000002</v>
      </c>
      <c r="C3661">
        <f t="shared" si="62"/>
        <v>8.15</v>
      </c>
      <c r="M3661" s="34">
        <v>38036</v>
      </c>
      <c r="N3661">
        <v>5.4</v>
      </c>
    </row>
    <row r="3662" spans="1:14" x14ac:dyDescent="0.2">
      <c r="A3662" s="34">
        <v>39679</v>
      </c>
      <c r="B3662">
        <v>4.0480450000000001</v>
      </c>
      <c r="C3662">
        <f t="shared" si="62"/>
        <v>8.2799999999999994</v>
      </c>
      <c r="M3662" s="34">
        <v>38035</v>
      </c>
      <c r="N3662">
        <v>5.4</v>
      </c>
    </row>
    <row r="3663" spans="1:14" x14ac:dyDescent="0.2">
      <c r="A3663" s="34">
        <v>39678</v>
      </c>
      <c r="B3663">
        <v>4.047339</v>
      </c>
      <c r="C3663">
        <f t="shared" si="62"/>
        <v>8.3000000000000007</v>
      </c>
      <c r="M3663" s="34">
        <v>38034</v>
      </c>
      <c r="N3663">
        <v>5.45</v>
      </c>
    </row>
    <row r="3664" spans="1:14" x14ac:dyDescent="0.2">
      <c r="A3664" s="34">
        <v>39677</v>
      </c>
      <c r="B3664">
        <v>4.0466329999999999</v>
      </c>
      <c r="C3664">
        <f t="shared" si="62"/>
        <v>8.26</v>
      </c>
      <c r="M3664" s="34">
        <v>38033</v>
      </c>
      <c r="N3664">
        <v>5.35</v>
      </c>
    </row>
    <row r="3665" spans="1:14" x14ac:dyDescent="0.2">
      <c r="A3665" s="34">
        <v>39676</v>
      </c>
      <c r="B3665">
        <v>4.045928</v>
      </c>
      <c r="C3665">
        <f t="shared" si="62"/>
        <v>8.26</v>
      </c>
      <c r="M3665" s="34">
        <v>38030</v>
      </c>
      <c r="N3665">
        <v>5.35</v>
      </c>
    </row>
    <row r="3666" spans="1:14" x14ac:dyDescent="0.2">
      <c r="A3666" s="34">
        <v>39675</v>
      </c>
      <c r="B3666">
        <v>4.0452219999999999</v>
      </c>
      <c r="C3666">
        <f t="shared" si="62"/>
        <v>8.26</v>
      </c>
      <c r="M3666" s="34">
        <v>38029</v>
      </c>
      <c r="N3666">
        <v>5.47</v>
      </c>
    </row>
    <row r="3667" spans="1:14" x14ac:dyDescent="0.2">
      <c r="A3667" s="34">
        <v>39674</v>
      </c>
      <c r="B3667">
        <v>4.0445169999999999</v>
      </c>
      <c r="C3667">
        <f t="shared" si="62"/>
        <v>7.98</v>
      </c>
      <c r="M3667" s="34">
        <v>38028</v>
      </c>
      <c r="N3667">
        <v>5.5</v>
      </c>
    </row>
    <row r="3668" spans="1:14" x14ac:dyDescent="0.2">
      <c r="A3668" s="34">
        <v>39673</v>
      </c>
      <c r="B3668">
        <v>4.0438109999999998</v>
      </c>
      <c r="C3668">
        <f t="shared" si="62"/>
        <v>7.98</v>
      </c>
      <c r="M3668" s="34">
        <v>38027</v>
      </c>
      <c r="N3668">
        <v>5.5</v>
      </c>
    </row>
    <row r="3669" spans="1:14" x14ac:dyDescent="0.2">
      <c r="A3669" s="34">
        <v>39672</v>
      </c>
      <c r="B3669">
        <v>4.0431059999999999</v>
      </c>
      <c r="C3669">
        <f t="shared" si="62"/>
        <v>7.96</v>
      </c>
      <c r="M3669" s="34">
        <v>38026</v>
      </c>
      <c r="N3669">
        <v>5.15</v>
      </c>
    </row>
    <row r="3670" spans="1:14" x14ac:dyDescent="0.2">
      <c r="A3670" s="34">
        <v>39671</v>
      </c>
      <c r="B3670">
        <v>4.0424009999999999</v>
      </c>
      <c r="C3670">
        <f t="shared" si="62"/>
        <v>7.95</v>
      </c>
      <c r="M3670" s="34">
        <v>38023</v>
      </c>
      <c r="N3670">
        <v>5.35</v>
      </c>
    </row>
    <row r="3671" spans="1:14" x14ac:dyDescent="0.2">
      <c r="A3671" s="34">
        <v>39670</v>
      </c>
      <c r="B3671">
        <v>4.041696</v>
      </c>
      <c r="C3671">
        <f t="shared" si="62"/>
        <v>7.96</v>
      </c>
      <c r="M3671" s="34">
        <v>38021</v>
      </c>
      <c r="N3671">
        <v>5.18</v>
      </c>
    </row>
    <row r="3672" spans="1:14" x14ac:dyDescent="0.2">
      <c r="A3672" s="34">
        <v>39669</v>
      </c>
      <c r="B3672">
        <v>4.0407310000000001</v>
      </c>
      <c r="C3672">
        <f t="shared" si="62"/>
        <v>7.96</v>
      </c>
      <c r="M3672" s="34">
        <v>38020</v>
      </c>
      <c r="N3672">
        <v>5.05</v>
      </c>
    </row>
    <row r="3673" spans="1:14" x14ac:dyDescent="0.2">
      <c r="A3673" s="34">
        <v>39668</v>
      </c>
      <c r="B3673">
        <v>4.0397650000000001</v>
      </c>
      <c r="C3673">
        <f t="shared" si="62"/>
        <v>7.96</v>
      </c>
      <c r="M3673" s="34">
        <v>38019</v>
      </c>
      <c r="N3673">
        <v>4.9000000000000004</v>
      </c>
    </row>
    <row r="3674" spans="1:14" x14ac:dyDescent="0.2">
      <c r="A3674" s="34">
        <v>39667</v>
      </c>
      <c r="B3674">
        <v>4.0388000000000002</v>
      </c>
      <c r="C3674">
        <f t="shared" si="62"/>
        <v>7.9</v>
      </c>
      <c r="M3674" s="34">
        <v>38016</v>
      </c>
      <c r="N3674">
        <v>5.2</v>
      </c>
    </row>
    <row r="3675" spans="1:14" x14ac:dyDescent="0.2">
      <c r="A3675" s="34">
        <v>39666</v>
      </c>
      <c r="B3675">
        <v>4.0378350000000003</v>
      </c>
      <c r="C3675">
        <f t="shared" si="62"/>
        <v>7.9</v>
      </c>
      <c r="M3675" s="34">
        <v>38015</v>
      </c>
      <c r="N3675">
        <v>5</v>
      </c>
    </row>
    <row r="3676" spans="1:14" x14ac:dyDescent="0.2">
      <c r="A3676" s="34">
        <v>39665</v>
      </c>
      <c r="B3676">
        <v>4.0368700000000004</v>
      </c>
      <c r="C3676">
        <f t="shared" si="62"/>
        <v>7.99</v>
      </c>
      <c r="M3676" s="34">
        <v>38014</v>
      </c>
      <c r="N3676">
        <v>4.8</v>
      </c>
    </row>
    <row r="3677" spans="1:14" x14ac:dyDescent="0.2">
      <c r="A3677" s="34">
        <v>39664</v>
      </c>
      <c r="B3677">
        <v>4.0359059999999998</v>
      </c>
      <c r="C3677">
        <f t="shared" si="62"/>
        <v>8.02</v>
      </c>
      <c r="M3677" s="34">
        <v>38013</v>
      </c>
      <c r="N3677">
        <v>4.8</v>
      </c>
    </row>
    <row r="3678" spans="1:14" x14ac:dyDescent="0.2">
      <c r="A3678" s="34">
        <v>39663</v>
      </c>
      <c r="B3678">
        <v>4.0349409999999999</v>
      </c>
      <c r="C3678">
        <f t="shared" si="62"/>
        <v>7.95</v>
      </c>
      <c r="M3678" s="34">
        <v>38012</v>
      </c>
      <c r="N3678">
        <v>4.8499999999999996</v>
      </c>
    </row>
    <row r="3679" spans="1:14" x14ac:dyDescent="0.2">
      <c r="A3679" s="34">
        <v>39662</v>
      </c>
      <c r="B3679">
        <v>4.0339770000000001</v>
      </c>
      <c r="C3679">
        <f t="shared" si="62"/>
        <v>7.95</v>
      </c>
      <c r="M3679" s="34">
        <v>38009</v>
      </c>
      <c r="N3679">
        <v>5.2</v>
      </c>
    </row>
    <row r="3680" spans="1:14" x14ac:dyDescent="0.2">
      <c r="A3680" s="34">
        <v>39661</v>
      </c>
      <c r="B3680">
        <v>4.0330130000000004</v>
      </c>
      <c r="C3680">
        <f t="shared" si="62"/>
        <v>7.95</v>
      </c>
      <c r="M3680" s="34">
        <v>38008</v>
      </c>
      <c r="N3680">
        <v>4.9000000000000004</v>
      </c>
    </row>
    <row r="3681" spans="1:14" x14ac:dyDescent="0.2">
      <c r="A3681" s="34">
        <v>39660</v>
      </c>
      <c r="B3681">
        <v>4.0320499999999999</v>
      </c>
      <c r="C3681">
        <f t="shared" si="62"/>
        <v>8</v>
      </c>
      <c r="M3681" s="34">
        <v>38007</v>
      </c>
      <c r="N3681">
        <v>4.76</v>
      </c>
    </row>
    <row r="3682" spans="1:14" x14ac:dyDescent="0.2">
      <c r="A3682" s="34">
        <v>39659</v>
      </c>
      <c r="B3682">
        <v>4.0310860000000002</v>
      </c>
      <c r="C3682">
        <f t="shared" si="62"/>
        <v>7.9</v>
      </c>
      <c r="M3682" s="34">
        <v>38006</v>
      </c>
      <c r="N3682">
        <v>4.72</v>
      </c>
    </row>
    <row r="3683" spans="1:14" x14ac:dyDescent="0.2">
      <c r="A3683" s="34">
        <v>39658</v>
      </c>
      <c r="B3683">
        <v>4.0301229999999997</v>
      </c>
      <c r="C3683">
        <f t="shared" si="62"/>
        <v>8.02</v>
      </c>
      <c r="M3683" s="34">
        <v>38005</v>
      </c>
      <c r="N3683">
        <v>4.7</v>
      </c>
    </row>
    <row r="3684" spans="1:14" x14ac:dyDescent="0.2">
      <c r="A3684" s="34">
        <v>39657</v>
      </c>
      <c r="B3684">
        <v>4.0291600000000001</v>
      </c>
      <c r="C3684">
        <f t="shared" si="62"/>
        <v>7.95</v>
      </c>
      <c r="M3684" s="34">
        <v>38002</v>
      </c>
      <c r="N3684">
        <v>4.8</v>
      </c>
    </row>
    <row r="3685" spans="1:14" x14ac:dyDescent="0.2">
      <c r="A3685" s="34">
        <v>39656</v>
      </c>
      <c r="B3685">
        <v>4.0281969999999996</v>
      </c>
      <c r="C3685">
        <f t="shared" si="62"/>
        <v>8</v>
      </c>
      <c r="M3685" s="34">
        <v>38001</v>
      </c>
      <c r="N3685">
        <v>4.8</v>
      </c>
    </row>
    <row r="3686" spans="1:14" x14ac:dyDescent="0.2">
      <c r="A3686" s="34">
        <v>39655</v>
      </c>
      <c r="B3686">
        <v>4.0272350000000001</v>
      </c>
      <c r="C3686">
        <f t="shared" si="62"/>
        <v>8</v>
      </c>
      <c r="M3686" s="34">
        <v>38000</v>
      </c>
      <c r="N3686">
        <v>4.8</v>
      </c>
    </row>
    <row r="3687" spans="1:14" x14ac:dyDescent="0.2">
      <c r="A3687" s="34">
        <v>39654</v>
      </c>
      <c r="B3687">
        <v>4.0262729999999998</v>
      </c>
      <c r="C3687">
        <f t="shared" si="62"/>
        <v>8</v>
      </c>
      <c r="M3687" s="34">
        <v>37999</v>
      </c>
      <c r="N3687">
        <v>4.8499999999999996</v>
      </c>
    </row>
    <row r="3688" spans="1:14" x14ac:dyDescent="0.2">
      <c r="A3688" s="34">
        <v>39653</v>
      </c>
      <c r="B3688">
        <v>4.0260439999999997</v>
      </c>
      <c r="C3688">
        <f t="shared" si="62"/>
        <v>7.95</v>
      </c>
      <c r="M3688" s="34">
        <v>37998</v>
      </c>
      <c r="N3688">
        <v>5.05</v>
      </c>
    </row>
    <row r="3689" spans="1:14" x14ac:dyDescent="0.2">
      <c r="A3689" s="34">
        <v>39652</v>
      </c>
      <c r="B3689">
        <v>4.0258159999999998</v>
      </c>
      <c r="C3689">
        <f t="shared" si="62"/>
        <v>8</v>
      </c>
      <c r="M3689" s="34">
        <v>37995</v>
      </c>
      <c r="N3689">
        <v>5.15</v>
      </c>
    </row>
    <row r="3690" spans="1:14" x14ac:dyDescent="0.2">
      <c r="A3690" s="34">
        <v>39651</v>
      </c>
      <c r="B3690">
        <v>4.0255879999999999</v>
      </c>
      <c r="C3690">
        <f t="shared" si="62"/>
        <v>7.8</v>
      </c>
      <c r="M3690" s="34">
        <v>37994</v>
      </c>
      <c r="N3690">
        <v>4.9000000000000004</v>
      </c>
    </row>
    <row r="3691" spans="1:14" x14ac:dyDescent="0.2">
      <c r="A3691" s="34">
        <v>39650</v>
      </c>
      <c r="B3691">
        <v>4.0253589999999999</v>
      </c>
      <c r="C3691">
        <f t="shared" si="62"/>
        <v>7.75</v>
      </c>
      <c r="M3691" s="34">
        <v>37993</v>
      </c>
      <c r="N3691">
        <v>5.32</v>
      </c>
    </row>
    <row r="3692" spans="1:14" x14ac:dyDescent="0.2">
      <c r="A3692" s="34">
        <v>39649</v>
      </c>
      <c r="B3692">
        <v>4.025131</v>
      </c>
      <c r="C3692">
        <f t="shared" si="62"/>
        <v>8.0299999999999994</v>
      </c>
      <c r="M3692" s="34">
        <v>37992</v>
      </c>
      <c r="N3692">
        <v>5.65</v>
      </c>
    </row>
    <row r="3693" spans="1:14" x14ac:dyDescent="0.2">
      <c r="A3693" s="34">
        <v>39648</v>
      </c>
      <c r="B3693">
        <v>4.0249030000000001</v>
      </c>
      <c r="C3693">
        <f t="shared" si="62"/>
        <v>8.0299999999999994</v>
      </c>
      <c r="M3693" s="34">
        <v>37991</v>
      </c>
      <c r="N3693">
        <v>5.8</v>
      </c>
    </row>
    <row r="3694" spans="1:14" x14ac:dyDescent="0.2">
      <c r="A3694" s="34">
        <v>39647</v>
      </c>
      <c r="B3694">
        <v>4.0246740000000001</v>
      </c>
      <c r="C3694">
        <f t="shared" si="62"/>
        <v>8.0299999999999994</v>
      </c>
      <c r="M3694" s="34">
        <v>37988</v>
      </c>
      <c r="N3694">
        <v>6.1</v>
      </c>
    </row>
    <row r="3695" spans="1:14" x14ac:dyDescent="0.2">
      <c r="A3695" s="34">
        <v>39646</v>
      </c>
      <c r="B3695">
        <v>4.0244460000000002</v>
      </c>
      <c r="C3695">
        <f t="shared" si="62"/>
        <v>7.76</v>
      </c>
    </row>
    <row r="3696" spans="1:14" x14ac:dyDescent="0.2">
      <c r="A3696" s="34">
        <v>39645</v>
      </c>
      <c r="B3696">
        <v>4.0242180000000003</v>
      </c>
      <c r="C3696">
        <f t="shared" si="62"/>
        <v>7.75</v>
      </c>
    </row>
    <row r="3697" spans="1:3" x14ac:dyDescent="0.2">
      <c r="A3697" s="34">
        <v>39644</v>
      </c>
      <c r="B3697">
        <v>4.0239900000000004</v>
      </c>
      <c r="C3697">
        <f t="shared" si="62"/>
        <v>7.76</v>
      </c>
    </row>
    <row r="3698" spans="1:3" x14ac:dyDescent="0.2">
      <c r="A3698" s="34">
        <v>39643</v>
      </c>
      <c r="B3698">
        <v>4.0237610000000004</v>
      </c>
      <c r="C3698">
        <f t="shared" si="62"/>
        <v>7.74</v>
      </c>
    </row>
    <row r="3699" spans="1:3" x14ac:dyDescent="0.2">
      <c r="A3699" s="34">
        <v>39642</v>
      </c>
      <c r="B3699">
        <v>4.0235329999999996</v>
      </c>
      <c r="C3699">
        <f t="shared" si="62"/>
        <v>7.72</v>
      </c>
    </row>
    <row r="3700" spans="1:3" x14ac:dyDescent="0.2">
      <c r="A3700" s="34">
        <v>39641</v>
      </c>
      <c r="B3700">
        <v>4.0233049999999997</v>
      </c>
      <c r="C3700">
        <f t="shared" si="62"/>
        <v>7.72</v>
      </c>
    </row>
    <row r="3701" spans="1:3" x14ac:dyDescent="0.2">
      <c r="A3701" s="34">
        <v>39640</v>
      </c>
      <c r="B3701">
        <v>4.0230769999999998</v>
      </c>
      <c r="C3701">
        <f t="shared" si="62"/>
        <v>7.72</v>
      </c>
    </row>
    <row r="3702" spans="1:3" x14ac:dyDescent="0.2">
      <c r="A3702" s="34">
        <v>39639</v>
      </c>
      <c r="B3702">
        <v>4.0228489999999999</v>
      </c>
      <c r="C3702">
        <f t="shared" si="62"/>
        <v>7.78</v>
      </c>
    </row>
    <row r="3703" spans="1:3" x14ac:dyDescent="0.2">
      <c r="A3703" s="34">
        <v>39638</v>
      </c>
      <c r="B3703">
        <v>4.0220849999999997</v>
      </c>
      <c r="C3703">
        <f t="shared" si="62"/>
        <v>7.75</v>
      </c>
    </row>
    <row r="3704" spans="1:3" x14ac:dyDescent="0.2">
      <c r="A3704" s="34">
        <v>39637</v>
      </c>
      <c r="B3704">
        <v>4.0213219999999996</v>
      </c>
      <c r="C3704">
        <f t="shared" si="62"/>
        <v>7.8</v>
      </c>
    </row>
    <row r="3705" spans="1:3" x14ac:dyDescent="0.2">
      <c r="A3705" s="34">
        <v>39636</v>
      </c>
      <c r="B3705">
        <v>4.0205590000000004</v>
      </c>
      <c r="C3705">
        <f t="shared" si="62"/>
        <v>7.6</v>
      </c>
    </row>
    <row r="3706" spans="1:3" x14ac:dyDescent="0.2">
      <c r="A3706" s="34">
        <v>39635</v>
      </c>
      <c r="B3706">
        <v>4.0197960000000004</v>
      </c>
      <c r="C3706">
        <f t="shared" si="62"/>
        <v>7.8</v>
      </c>
    </row>
    <row r="3707" spans="1:3" x14ac:dyDescent="0.2">
      <c r="A3707" s="34">
        <v>39634</v>
      </c>
      <c r="B3707">
        <v>4.0190340000000004</v>
      </c>
      <c r="C3707">
        <f t="shared" si="62"/>
        <v>7.8</v>
      </c>
    </row>
    <row r="3708" spans="1:3" x14ac:dyDescent="0.2">
      <c r="A3708" s="34">
        <v>39633</v>
      </c>
      <c r="B3708">
        <v>4.0182710000000004</v>
      </c>
      <c r="C3708">
        <f t="shared" si="62"/>
        <v>7.8</v>
      </c>
    </row>
    <row r="3709" spans="1:3" x14ac:dyDescent="0.2">
      <c r="A3709" s="34">
        <v>39632</v>
      </c>
      <c r="B3709">
        <v>4.0175090000000004</v>
      </c>
      <c r="C3709">
        <f t="shared" si="62"/>
        <v>7.68</v>
      </c>
    </row>
    <row r="3710" spans="1:3" x14ac:dyDescent="0.2">
      <c r="A3710" s="34">
        <v>39631</v>
      </c>
      <c r="B3710">
        <v>4.0167460000000004</v>
      </c>
      <c r="C3710">
        <f t="shared" si="62"/>
        <v>7.7</v>
      </c>
    </row>
    <row r="3711" spans="1:3" x14ac:dyDescent="0.2">
      <c r="A3711" s="34">
        <v>39630</v>
      </c>
      <c r="B3711">
        <v>4.0159840000000004</v>
      </c>
      <c r="C3711">
        <f t="shared" si="62"/>
        <v>7.7</v>
      </c>
    </row>
    <row r="3712" spans="1:3" x14ac:dyDescent="0.2">
      <c r="A3712" s="34">
        <v>39629</v>
      </c>
      <c r="B3712">
        <v>4.0152219999999996</v>
      </c>
      <c r="C3712">
        <f t="shared" si="62"/>
        <v>7.78</v>
      </c>
    </row>
    <row r="3713" spans="1:3" x14ac:dyDescent="0.2">
      <c r="A3713" s="34">
        <v>39628</v>
      </c>
      <c r="B3713">
        <v>4.0144599999999997</v>
      </c>
      <c r="C3713">
        <f t="shared" si="62"/>
        <v>7.72</v>
      </c>
    </row>
    <row r="3714" spans="1:3" x14ac:dyDescent="0.2">
      <c r="A3714" s="34">
        <v>39627</v>
      </c>
      <c r="B3714">
        <v>4.0136989999999999</v>
      </c>
      <c r="C3714">
        <f t="shared" ref="C3714:C3777" si="63">IFERROR(VLOOKUP(A3714,$M$2:$N$3695,2,0),C3715)</f>
        <v>7.72</v>
      </c>
    </row>
    <row r="3715" spans="1:3" x14ac:dyDescent="0.2">
      <c r="A3715" s="34">
        <v>39626</v>
      </c>
      <c r="B3715">
        <v>4.012937</v>
      </c>
      <c r="C3715">
        <f t="shared" si="63"/>
        <v>7.72</v>
      </c>
    </row>
    <row r="3716" spans="1:3" x14ac:dyDescent="0.2">
      <c r="A3716" s="34">
        <v>39625</v>
      </c>
      <c r="B3716">
        <v>4.0121760000000002</v>
      </c>
      <c r="C3716">
        <f t="shared" si="63"/>
        <v>7.74</v>
      </c>
    </row>
    <row r="3717" spans="1:3" x14ac:dyDescent="0.2">
      <c r="A3717" s="34">
        <v>39624</v>
      </c>
      <c r="B3717">
        <v>4.0114140000000003</v>
      </c>
      <c r="C3717">
        <f t="shared" si="63"/>
        <v>7.75</v>
      </c>
    </row>
    <row r="3718" spans="1:3" x14ac:dyDescent="0.2">
      <c r="A3718" s="34">
        <v>39623</v>
      </c>
      <c r="B3718">
        <v>4.0109529999999998</v>
      </c>
      <c r="C3718">
        <f t="shared" si="63"/>
        <v>7.65</v>
      </c>
    </row>
    <row r="3719" spans="1:3" x14ac:dyDescent="0.2">
      <c r="A3719" s="34">
        <v>39622</v>
      </c>
      <c r="B3719">
        <v>4.0104920000000002</v>
      </c>
      <c r="C3719">
        <f t="shared" si="63"/>
        <v>7.75</v>
      </c>
    </row>
    <row r="3720" spans="1:3" x14ac:dyDescent="0.2">
      <c r="A3720" s="34">
        <v>39621</v>
      </c>
      <c r="B3720">
        <v>4.0100309999999997</v>
      </c>
      <c r="C3720">
        <f t="shared" si="63"/>
        <v>7.75</v>
      </c>
    </row>
    <row r="3721" spans="1:3" x14ac:dyDescent="0.2">
      <c r="A3721" s="34">
        <v>39620</v>
      </c>
      <c r="B3721">
        <v>4.0095700000000001</v>
      </c>
      <c r="C3721">
        <f t="shared" si="63"/>
        <v>7.75</v>
      </c>
    </row>
    <row r="3722" spans="1:3" x14ac:dyDescent="0.2">
      <c r="A3722" s="34">
        <v>39619</v>
      </c>
      <c r="B3722">
        <v>4.0091099999999997</v>
      </c>
      <c r="C3722">
        <f t="shared" si="63"/>
        <v>7.75</v>
      </c>
    </row>
    <row r="3723" spans="1:3" x14ac:dyDescent="0.2">
      <c r="A3723" s="34">
        <v>39618</v>
      </c>
      <c r="B3723">
        <v>4.0086490000000001</v>
      </c>
      <c r="C3723">
        <f t="shared" si="63"/>
        <v>7.4</v>
      </c>
    </row>
    <row r="3724" spans="1:3" x14ac:dyDescent="0.2">
      <c r="A3724" s="34">
        <v>39617</v>
      </c>
      <c r="B3724">
        <v>4.0081879999999996</v>
      </c>
      <c r="C3724">
        <f t="shared" si="63"/>
        <v>7.57</v>
      </c>
    </row>
    <row r="3725" spans="1:3" x14ac:dyDescent="0.2">
      <c r="A3725" s="34">
        <v>39616</v>
      </c>
      <c r="B3725">
        <v>4.007727</v>
      </c>
      <c r="C3725">
        <f t="shared" si="63"/>
        <v>7.53</v>
      </c>
    </row>
    <row r="3726" spans="1:3" x14ac:dyDescent="0.2">
      <c r="A3726" s="34">
        <v>39615</v>
      </c>
      <c r="B3726">
        <v>4.0072669999999997</v>
      </c>
      <c r="C3726">
        <f t="shared" si="63"/>
        <v>7.47</v>
      </c>
    </row>
    <row r="3727" spans="1:3" x14ac:dyDescent="0.2">
      <c r="A3727" s="34">
        <v>39614</v>
      </c>
      <c r="B3727">
        <v>4.0068060000000001</v>
      </c>
      <c r="C3727">
        <f t="shared" si="63"/>
        <v>7.56</v>
      </c>
    </row>
    <row r="3728" spans="1:3" x14ac:dyDescent="0.2">
      <c r="A3728" s="34">
        <v>39613</v>
      </c>
      <c r="B3728">
        <v>4.0063449999999996</v>
      </c>
      <c r="C3728">
        <f t="shared" si="63"/>
        <v>7.56</v>
      </c>
    </row>
    <row r="3729" spans="1:3" x14ac:dyDescent="0.2">
      <c r="A3729" s="34">
        <v>39612</v>
      </c>
      <c r="B3729">
        <v>4.0058850000000001</v>
      </c>
      <c r="C3729">
        <f t="shared" si="63"/>
        <v>7.56</v>
      </c>
    </row>
    <row r="3730" spans="1:3" x14ac:dyDescent="0.2">
      <c r="A3730" s="34">
        <v>39611</v>
      </c>
      <c r="B3730">
        <v>4.0054239999999997</v>
      </c>
      <c r="C3730">
        <f t="shared" si="63"/>
        <v>7.5</v>
      </c>
    </row>
    <row r="3731" spans="1:3" x14ac:dyDescent="0.2">
      <c r="A3731" s="34">
        <v>39610</v>
      </c>
      <c r="B3731">
        <v>4.0049640000000002</v>
      </c>
      <c r="C3731">
        <f t="shared" si="63"/>
        <v>7.5</v>
      </c>
    </row>
    <row r="3732" spans="1:3" x14ac:dyDescent="0.2">
      <c r="A3732" s="34">
        <v>39609</v>
      </c>
      <c r="B3732">
        <v>4.0045039999999998</v>
      </c>
      <c r="C3732">
        <f t="shared" si="63"/>
        <v>7.5</v>
      </c>
    </row>
    <row r="3733" spans="1:3" x14ac:dyDescent="0.2">
      <c r="A3733" s="34">
        <v>39608</v>
      </c>
      <c r="B3733">
        <v>4.005166</v>
      </c>
      <c r="C3733">
        <f t="shared" si="63"/>
        <v>7.5</v>
      </c>
    </row>
    <row r="3734" spans="1:3" x14ac:dyDescent="0.2">
      <c r="A3734" s="34">
        <v>39607</v>
      </c>
      <c r="B3734">
        <v>4.0058290000000003</v>
      </c>
      <c r="C3734">
        <f t="shared" si="63"/>
        <v>7.5</v>
      </c>
    </row>
    <row r="3735" spans="1:3" x14ac:dyDescent="0.2">
      <c r="A3735" s="34">
        <v>39606</v>
      </c>
      <c r="B3735">
        <v>4.0064919999999997</v>
      </c>
      <c r="C3735">
        <f t="shared" si="63"/>
        <v>7.5</v>
      </c>
    </row>
    <row r="3736" spans="1:3" x14ac:dyDescent="0.2">
      <c r="A3736" s="34">
        <v>39605</v>
      </c>
      <c r="B3736">
        <v>4.007155</v>
      </c>
      <c r="C3736">
        <f t="shared" si="63"/>
        <v>7.5</v>
      </c>
    </row>
    <row r="3737" spans="1:3" x14ac:dyDescent="0.2">
      <c r="A3737" s="34">
        <v>39604</v>
      </c>
      <c r="B3737">
        <v>4.0078189999999996</v>
      </c>
      <c r="C3737">
        <f t="shared" si="63"/>
        <v>7.5</v>
      </c>
    </row>
    <row r="3738" spans="1:3" x14ac:dyDescent="0.2">
      <c r="A3738" s="34">
        <v>39603</v>
      </c>
      <c r="B3738">
        <v>4.0084819999999999</v>
      </c>
      <c r="C3738">
        <f t="shared" si="63"/>
        <v>7.49</v>
      </c>
    </row>
    <row r="3739" spans="1:3" x14ac:dyDescent="0.2">
      <c r="A3739" s="34">
        <v>39602</v>
      </c>
      <c r="B3739">
        <v>4.0091450000000002</v>
      </c>
      <c r="C3739">
        <f t="shared" si="63"/>
        <v>7.5</v>
      </c>
    </row>
    <row r="3740" spans="1:3" x14ac:dyDescent="0.2">
      <c r="A3740" s="34">
        <v>39601</v>
      </c>
      <c r="B3740">
        <v>4.0098089999999997</v>
      </c>
      <c r="C3740">
        <f t="shared" si="63"/>
        <v>7.5</v>
      </c>
    </row>
    <row r="3741" spans="1:3" x14ac:dyDescent="0.2">
      <c r="A3741" s="34">
        <v>39600</v>
      </c>
      <c r="B3741">
        <v>4.0104730000000002</v>
      </c>
      <c r="C3741">
        <f t="shared" si="63"/>
        <v>7.55</v>
      </c>
    </row>
    <row r="3742" spans="1:3" x14ac:dyDescent="0.2">
      <c r="A3742" s="34">
        <v>39599</v>
      </c>
      <c r="B3742">
        <v>4.0111359999999996</v>
      </c>
      <c r="C3742">
        <f t="shared" si="63"/>
        <v>7.55</v>
      </c>
    </row>
    <row r="3743" spans="1:3" x14ac:dyDescent="0.2">
      <c r="A3743" s="34">
        <v>39598</v>
      </c>
      <c r="B3743">
        <v>4.0118</v>
      </c>
      <c r="C3743">
        <f t="shared" si="63"/>
        <v>7.55</v>
      </c>
    </row>
    <row r="3744" spans="1:3" x14ac:dyDescent="0.2">
      <c r="A3744" s="34">
        <v>39597</v>
      </c>
      <c r="B3744">
        <v>4.0124639999999996</v>
      </c>
      <c r="C3744">
        <f t="shared" si="63"/>
        <v>7.15</v>
      </c>
    </row>
    <row r="3745" spans="1:3" x14ac:dyDescent="0.2">
      <c r="A3745" s="34">
        <v>39596</v>
      </c>
      <c r="B3745">
        <v>4.013128</v>
      </c>
      <c r="C3745">
        <f t="shared" si="63"/>
        <v>7.49</v>
      </c>
    </row>
    <row r="3746" spans="1:3" x14ac:dyDescent="0.2">
      <c r="A3746" s="34">
        <v>39595</v>
      </c>
      <c r="B3746">
        <v>4.0137919999999996</v>
      </c>
      <c r="C3746">
        <f t="shared" si="63"/>
        <v>7.4</v>
      </c>
    </row>
    <row r="3747" spans="1:3" x14ac:dyDescent="0.2">
      <c r="A3747" s="34">
        <v>39594</v>
      </c>
      <c r="B3747">
        <v>4.0144570000000002</v>
      </c>
      <c r="C3747">
        <f t="shared" si="63"/>
        <v>7.6</v>
      </c>
    </row>
    <row r="3748" spans="1:3" x14ac:dyDescent="0.2">
      <c r="A3748" s="34">
        <v>39593</v>
      </c>
      <c r="B3748">
        <v>4.0151209999999997</v>
      </c>
      <c r="C3748">
        <f t="shared" si="63"/>
        <v>7.47</v>
      </c>
    </row>
    <row r="3749" spans="1:3" x14ac:dyDescent="0.2">
      <c r="A3749" s="34">
        <v>39592</v>
      </c>
      <c r="B3749">
        <v>4.0147440000000003</v>
      </c>
      <c r="C3749">
        <f t="shared" si="63"/>
        <v>7.47</v>
      </c>
    </row>
    <row r="3750" spans="1:3" x14ac:dyDescent="0.2">
      <c r="A3750" s="34">
        <v>39591</v>
      </c>
      <c r="B3750">
        <v>4.014367</v>
      </c>
      <c r="C3750">
        <f t="shared" si="63"/>
        <v>7.47</v>
      </c>
    </row>
    <row r="3751" spans="1:3" x14ac:dyDescent="0.2">
      <c r="A3751" s="34">
        <v>39590</v>
      </c>
      <c r="B3751">
        <v>4.0139899999999997</v>
      </c>
      <c r="C3751">
        <f t="shared" si="63"/>
        <v>7.45</v>
      </c>
    </row>
    <row r="3752" spans="1:3" x14ac:dyDescent="0.2">
      <c r="A3752" s="34">
        <v>39589</v>
      </c>
      <c r="B3752">
        <v>4.0136130000000003</v>
      </c>
      <c r="C3752">
        <f t="shared" si="63"/>
        <v>7.4</v>
      </c>
    </row>
    <row r="3753" spans="1:3" x14ac:dyDescent="0.2">
      <c r="A3753" s="34">
        <v>39588</v>
      </c>
      <c r="B3753">
        <v>4.013236</v>
      </c>
      <c r="C3753">
        <f t="shared" si="63"/>
        <v>7.5</v>
      </c>
    </row>
    <row r="3754" spans="1:3" x14ac:dyDescent="0.2">
      <c r="A3754" s="34">
        <v>39587</v>
      </c>
      <c r="B3754">
        <v>4.0128579999999996</v>
      </c>
      <c r="C3754">
        <f t="shared" si="63"/>
        <v>7.51</v>
      </c>
    </row>
    <row r="3755" spans="1:3" x14ac:dyDescent="0.2">
      <c r="A3755" s="34">
        <v>39586</v>
      </c>
      <c r="B3755">
        <v>4.0124810000000002</v>
      </c>
      <c r="C3755">
        <f t="shared" si="63"/>
        <v>7.48</v>
      </c>
    </row>
    <row r="3756" spans="1:3" x14ac:dyDescent="0.2">
      <c r="A3756" s="34">
        <v>39585</v>
      </c>
      <c r="B3756">
        <v>4.012105</v>
      </c>
      <c r="C3756">
        <f t="shared" si="63"/>
        <v>7.48</v>
      </c>
    </row>
    <row r="3757" spans="1:3" x14ac:dyDescent="0.2">
      <c r="A3757" s="34">
        <v>39584</v>
      </c>
      <c r="B3757">
        <v>4.0117279999999997</v>
      </c>
      <c r="C3757">
        <f t="shared" si="63"/>
        <v>7.48</v>
      </c>
    </row>
    <row r="3758" spans="1:3" x14ac:dyDescent="0.2">
      <c r="A3758" s="34">
        <v>39583</v>
      </c>
      <c r="B3758">
        <v>4.0113510000000003</v>
      </c>
      <c r="C3758">
        <f t="shared" si="63"/>
        <v>7.51</v>
      </c>
    </row>
    <row r="3759" spans="1:3" x14ac:dyDescent="0.2">
      <c r="A3759" s="34">
        <v>39582</v>
      </c>
      <c r="B3759">
        <v>4.010974</v>
      </c>
      <c r="C3759">
        <f t="shared" si="63"/>
        <v>7.51</v>
      </c>
    </row>
    <row r="3760" spans="1:3" x14ac:dyDescent="0.2">
      <c r="A3760" s="34">
        <v>39581</v>
      </c>
      <c r="B3760">
        <v>4.0105969999999997</v>
      </c>
      <c r="C3760">
        <f t="shared" si="63"/>
        <v>7.46</v>
      </c>
    </row>
    <row r="3761" spans="1:3" x14ac:dyDescent="0.2">
      <c r="A3761" s="34">
        <v>39580</v>
      </c>
      <c r="B3761">
        <v>4.0102200000000003</v>
      </c>
      <c r="C3761">
        <f t="shared" si="63"/>
        <v>7.49</v>
      </c>
    </row>
    <row r="3762" spans="1:3" x14ac:dyDescent="0.2">
      <c r="A3762" s="34">
        <v>39579</v>
      </c>
      <c r="B3762">
        <v>4.0098440000000002</v>
      </c>
      <c r="C3762">
        <f t="shared" si="63"/>
        <v>7.5</v>
      </c>
    </row>
    <row r="3763" spans="1:3" x14ac:dyDescent="0.2">
      <c r="A3763" s="34">
        <v>39578</v>
      </c>
      <c r="B3763">
        <v>4.0094669999999999</v>
      </c>
      <c r="C3763">
        <f t="shared" si="63"/>
        <v>7.5</v>
      </c>
    </row>
    <row r="3764" spans="1:3" x14ac:dyDescent="0.2">
      <c r="A3764" s="34">
        <v>39577</v>
      </c>
      <c r="B3764">
        <v>4.0093100000000002</v>
      </c>
      <c r="C3764">
        <f t="shared" si="63"/>
        <v>7.5</v>
      </c>
    </row>
    <row r="3765" spans="1:3" x14ac:dyDescent="0.2">
      <c r="A3765" s="34">
        <v>39576</v>
      </c>
      <c r="B3765">
        <v>4.0091530000000004</v>
      </c>
      <c r="C3765">
        <f t="shared" si="63"/>
        <v>7.5</v>
      </c>
    </row>
    <row r="3766" spans="1:3" x14ac:dyDescent="0.2">
      <c r="A3766" s="34">
        <v>39575</v>
      </c>
      <c r="B3766">
        <v>4.0089959999999998</v>
      </c>
      <c r="C3766">
        <f t="shared" si="63"/>
        <v>7.51</v>
      </c>
    </row>
    <row r="3767" spans="1:3" x14ac:dyDescent="0.2">
      <c r="A3767" s="34">
        <v>39574</v>
      </c>
      <c r="B3767">
        <v>4.0088379999999999</v>
      </c>
      <c r="C3767">
        <f t="shared" si="63"/>
        <v>7.4</v>
      </c>
    </row>
    <row r="3768" spans="1:3" x14ac:dyDescent="0.2">
      <c r="A3768" s="34">
        <v>39573</v>
      </c>
      <c r="B3768">
        <v>4.0086810000000002</v>
      </c>
      <c r="C3768">
        <f t="shared" si="63"/>
        <v>7.4</v>
      </c>
    </row>
    <row r="3769" spans="1:3" x14ac:dyDescent="0.2">
      <c r="A3769" s="34">
        <v>39572</v>
      </c>
      <c r="B3769">
        <v>4.0085240000000004</v>
      </c>
      <c r="C3769">
        <f t="shared" si="63"/>
        <v>7.5</v>
      </c>
    </row>
    <row r="3770" spans="1:3" x14ac:dyDescent="0.2">
      <c r="A3770" s="34">
        <v>39571</v>
      </c>
      <c r="B3770">
        <v>4.0083669999999998</v>
      </c>
      <c r="C3770">
        <f t="shared" si="63"/>
        <v>7.5</v>
      </c>
    </row>
    <row r="3771" spans="1:3" x14ac:dyDescent="0.2">
      <c r="A3771" s="34">
        <v>39570</v>
      </c>
      <c r="B3771">
        <v>4.0082100000000001</v>
      </c>
      <c r="C3771">
        <f t="shared" si="63"/>
        <v>7.5</v>
      </c>
    </row>
    <row r="3772" spans="1:3" x14ac:dyDescent="0.2">
      <c r="A3772" s="34">
        <v>39569</v>
      </c>
      <c r="B3772">
        <v>4.0080530000000003</v>
      </c>
      <c r="C3772">
        <f t="shared" si="63"/>
        <v>7.6</v>
      </c>
    </row>
    <row r="3773" spans="1:3" x14ac:dyDescent="0.2">
      <c r="A3773" s="34">
        <v>39568</v>
      </c>
      <c r="B3773">
        <v>4.0078959999999997</v>
      </c>
      <c r="C3773">
        <f t="shared" si="63"/>
        <v>7.6</v>
      </c>
    </row>
    <row r="3774" spans="1:3" x14ac:dyDescent="0.2">
      <c r="A3774" s="34">
        <v>39567</v>
      </c>
      <c r="B3774">
        <v>4.0077389999999999</v>
      </c>
      <c r="C3774">
        <f t="shared" si="63"/>
        <v>7.5</v>
      </c>
    </row>
    <row r="3775" spans="1:3" x14ac:dyDescent="0.2">
      <c r="A3775" s="34">
        <v>39566</v>
      </c>
      <c r="B3775">
        <v>4.0075820000000002</v>
      </c>
      <c r="C3775">
        <f t="shared" si="63"/>
        <v>7.5</v>
      </c>
    </row>
    <row r="3776" spans="1:3" x14ac:dyDescent="0.2">
      <c r="A3776" s="34">
        <v>39565</v>
      </c>
      <c r="B3776">
        <v>4.0074249999999996</v>
      </c>
      <c r="C3776">
        <f t="shared" si="63"/>
        <v>7.45</v>
      </c>
    </row>
    <row r="3777" spans="1:3" x14ac:dyDescent="0.2">
      <c r="A3777" s="34">
        <v>39564</v>
      </c>
      <c r="B3777">
        <v>4.0072679999999998</v>
      </c>
      <c r="C3777">
        <f t="shared" si="63"/>
        <v>7.45</v>
      </c>
    </row>
    <row r="3778" spans="1:3" x14ac:dyDescent="0.2">
      <c r="A3778" s="34">
        <v>39563</v>
      </c>
      <c r="B3778">
        <v>4.0071110000000001</v>
      </c>
      <c r="C3778">
        <f t="shared" ref="C3778:C3841" si="64">IFERROR(VLOOKUP(A3778,$M$2:$N$3695,2,0),C3779)</f>
        <v>7.45</v>
      </c>
    </row>
    <row r="3779" spans="1:3" x14ac:dyDescent="0.2">
      <c r="A3779" s="34">
        <v>39562</v>
      </c>
      <c r="B3779">
        <v>4.0065850000000003</v>
      </c>
      <c r="C3779">
        <f t="shared" si="64"/>
        <v>7.49</v>
      </c>
    </row>
    <row r="3780" spans="1:3" x14ac:dyDescent="0.2">
      <c r="A3780" s="34">
        <v>39561</v>
      </c>
      <c r="B3780">
        <v>4.0060589999999996</v>
      </c>
      <c r="C3780">
        <f t="shared" si="64"/>
        <v>7.48</v>
      </c>
    </row>
    <row r="3781" spans="1:3" x14ac:dyDescent="0.2">
      <c r="A3781" s="34">
        <v>39560</v>
      </c>
      <c r="B3781">
        <v>4.0055329999999998</v>
      </c>
      <c r="C3781">
        <f t="shared" si="64"/>
        <v>7.3</v>
      </c>
    </row>
    <row r="3782" spans="1:3" x14ac:dyDescent="0.2">
      <c r="A3782" s="34">
        <v>39559</v>
      </c>
      <c r="B3782">
        <v>4.005007</v>
      </c>
      <c r="C3782">
        <f t="shared" si="64"/>
        <v>7.48</v>
      </c>
    </row>
    <row r="3783" spans="1:3" x14ac:dyDescent="0.2">
      <c r="A3783" s="34">
        <v>39558</v>
      </c>
      <c r="B3783">
        <v>4.0044810000000002</v>
      </c>
      <c r="C3783">
        <f t="shared" si="64"/>
        <v>7.5</v>
      </c>
    </row>
    <row r="3784" spans="1:3" x14ac:dyDescent="0.2">
      <c r="A3784" s="34">
        <v>39557</v>
      </c>
      <c r="B3784">
        <v>4.0039550000000004</v>
      </c>
      <c r="C3784">
        <f t="shared" si="64"/>
        <v>7.5</v>
      </c>
    </row>
    <row r="3785" spans="1:3" x14ac:dyDescent="0.2">
      <c r="A3785" s="34">
        <v>39556</v>
      </c>
      <c r="B3785">
        <v>4.0034289999999997</v>
      </c>
      <c r="C3785">
        <f t="shared" si="64"/>
        <v>7.5</v>
      </c>
    </row>
    <row r="3786" spans="1:3" x14ac:dyDescent="0.2">
      <c r="A3786" s="34">
        <v>39555</v>
      </c>
      <c r="B3786">
        <v>4.002904</v>
      </c>
      <c r="C3786">
        <f t="shared" si="64"/>
        <v>7.45</v>
      </c>
    </row>
    <row r="3787" spans="1:3" x14ac:dyDescent="0.2">
      <c r="A3787" s="34">
        <v>39554</v>
      </c>
      <c r="B3787">
        <v>4.0023780000000002</v>
      </c>
      <c r="C3787">
        <f t="shared" si="64"/>
        <v>7.5</v>
      </c>
    </row>
    <row r="3788" spans="1:3" x14ac:dyDescent="0.2">
      <c r="A3788" s="34">
        <v>39553</v>
      </c>
      <c r="B3788">
        <v>4.0018529999999997</v>
      </c>
      <c r="C3788">
        <f t="shared" si="64"/>
        <v>7.53</v>
      </c>
    </row>
    <row r="3789" spans="1:3" x14ac:dyDescent="0.2">
      <c r="A3789" s="34">
        <v>39552</v>
      </c>
      <c r="B3789">
        <v>4.0013269999999999</v>
      </c>
      <c r="C3789">
        <f t="shared" si="64"/>
        <v>7.48</v>
      </c>
    </row>
    <row r="3790" spans="1:3" x14ac:dyDescent="0.2">
      <c r="A3790" s="34">
        <v>39551</v>
      </c>
      <c r="B3790">
        <v>4.0008020000000002</v>
      </c>
      <c r="C3790">
        <f t="shared" si="64"/>
        <v>7.5</v>
      </c>
    </row>
    <row r="3791" spans="1:3" x14ac:dyDescent="0.2">
      <c r="A3791" s="34">
        <v>39550</v>
      </c>
      <c r="B3791">
        <v>4.0002769999999996</v>
      </c>
      <c r="C3791">
        <f t="shared" si="64"/>
        <v>7.5</v>
      </c>
    </row>
    <row r="3792" spans="1:3" x14ac:dyDescent="0.2">
      <c r="A3792" s="34">
        <v>39549</v>
      </c>
      <c r="B3792">
        <v>3.9997509999999998</v>
      </c>
      <c r="C3792">
        <f t="shared" si="64"/>
        <v>7.5</v>
      </c>
    </row>
    <row r="3793" spans="1:3" x14ac:dyDescent="0.2">
      <c r="A3793" s="34">
        <v>39548</v>
      </c>
      <c r="B3793">
        <v>3.9992260000000002</v>
      </c>
      <c r="C3793">
        <f t="shared" si="64"/>
        <v>7.47</v>
      </c>
    </row>
    <row r="3794" spans="1:3" x14ac:dyDescent="0.2">
      <c r="A3794" s="34">
        <v>39547</v>
      </c>
      <c r="B3794">
        <v>3.9980359999999999</v>
      </c>
      <c r="C3794">
        <f t="shared" si="64"/>
        <v>7.45</v>
      </c>
    </row>
    <row r="3795" spans="1:3" x14ac:dyDescent="0.2">
      <c r="A3795" s="34">
        <v>39546</v>
      </c>
      <c r="B3795">
        <v>3.9968460000000001</v>
      </c>
      <c r="C3795">
        <f t="shared" si="64"/>
        <v>7.45</v>
      </c>
    </row>
    <row r="3796" spans="1:3" x14ac:dyDescent="0.2">
      <c r="A3796" s="34">
        <v>39545</v>
      </c>
      <c r="B3796">
        <v>3.9956559999999999</v>
      </c>
      <c r="C3796">
        <f t="shared" si="64"/>
        <v>7.47</v>
      </c>
    </row>
    <row r="3797" spans="1:3" x14ac:dyDescent="0.2">
      <c r="A3797" s="34">
        <v>39544</v>
      </c>
      <c r="B3797">
        <v>3.9944670000000002</v>
      </c>
      <c r="C3797">
        <f t="shared" si="64"/>
        <v>7.45</v>
      </c>
    </row>
    <row r="3798" spans="1:3" x14ac:dyDescent="0.2">
      <c r="A3798" s="34">
        <v>39543</v>
      </c>
      <c r="B3798">
        <v>3.9932780000000001</v>
      </c>
      <c r="C3798">
        <f t="shared" si="64"/>
        <v>7.45</v>
      </c>
    </row>
    <row r="3799" spans="1:3" x14ac:dyDescent="0.2">
      <c r="A3799" s="34">
        <v>39542</v>
      </c>
      <c r="B3799">
        <v>3.992089</v>
      </c>
      <c r="C3799">
        <f t="shared" si="64"/>
        <v>7.45</v>
      </c>
    </row>
    <row r="3800" spans="1:3" x14ac:dyDescent="0.2">
      <c r="A3800" s="34">
        <v>39541</v>
      </c>
      <c r="B3800">
        <v>3.990901</v>
      </c>
      <c r="C3800">
        <f t="shared" si="64"/>
        <v>7.46</v>
      </c>
    </row>
    <row r="3801" spans="1:3" x14ac:dyDescent="0.2">
      <c r="A3801" s="34">
        <v>39540</v>
      </c>
      <c r="B3801">
        <v>3.9897130000000001</v>
      </c>
      <c r="C3801">
        <f t="shared" si="64"/>
        <v>7.48</v>
      </c>
    </row>
    <row r="3802" spans="1:3" x14ac:dyDescent="0.2">
      <c r="A3802" s="34">
        <v>39539</v>
      </c>
      <c r="B3802">
        <v>3.9885250000000001</v>
      </c>
      <c r="C3802">
        <f t="shared" si="64"/>
        <v>7.45</v>
      </c>
    </row>
    <row r="3803" spans="1:3" x14ac:dyDescent="0.2">
      <c r="A3803" s="34">
        <v>39538</v>
      </c>
      <c r="B3803">
        <v>3.9873379999999998</v>
      </c>
      <c r="C3803">
        <f t="shared" si="64"/>
        <v>7.53</v>
      </c>
    </row>
    <row r="3804" spans="1:3" x14ac:dyDescent="0.2">
      <c r="A3804" s="34">
        <v>39537</v>
      </c>
      <c r="B3804">
        <v>3.986151</v>
      </c>
      <c r="C3804">
        <f t="shared" si="64"/>
        <v>7.45</v>
      </c>
    </row>
    <row r="3805" spans="1:3" x14ac:dyDescent="0.2">
      <c r="A3805" s="34">
        <v>39536</v>
      </c>
      <c r="B3805">
        <v>3.9849640000000002</v>
      </c>
      <c r="C3805">
        <f t="shared" si="64"/>
        <v>7.45</v>
      </c>
    </row>
    <row r="3806" spans="1:3" x14ac:dyDescent="0.2">
      <c r="A3806" s="34">
        <v>39535</v>
      </c>
      <c r="B3806">
        <v>3.983778</v>
      </c>
      <c r="C3806">
        <f t="shared" si="64"/>
        <v>7.45</v>
      </c>
    </row>
    <row r="3807" spans="1:3" x14ac:dyDescent="0.2">
      <c r="A3807" s="34">
        <v>39534</v>
      </c>
      <c r="B3807">
        <v>3.9825919999999999</v>
      </c>
      <c r="C3807">
        <f t="shared" si="64"/>
        <v>7.47</v>
      </c>
    </row>
    <row r="3808" spans="1:3" x14ac:dyDescent="0.2">
      <c r="A3808" s="34">
        <v>39533</v>
      </c>
      <c r="B3808">
        <v>3.9814069999999999</v>
      </c>
      <c r="C3808">
        <f t="shared" si="64"/>
        <v>7.47</v>
      </c>
    </row>
    <row r="3809" spans="1:3" x14ac:dyDescent="0.2">
      <c r="A3809" s="34">
        <v>39532</v>
      </c>
      <c r="B3809">
        <v>3.9802219999999999</v>
      </c>
      <c r="C3809">
        <f t="shared" si="64"/>
        <v>7.47</v>
      </c>
    </row>
    <row r="3810" spans="1:3" x14ac:dyDescent="0.2">
      <c r="A3810" s="34">
        <v>39531</v>
      </c>
      <c r="B3810">
        <v>3.979441</v>
      </c>
      <c r="C3810">
        <f t="shared" si="64"/>
        <v>6.95</v>
      </c>
    </row>
    <row r="3811" spans="1:3" x14ac:dyDescent="0.2">
      <c r="A3811" s="34">
        <v>39530</v>
      </c>
      <c r="B3811">
        <v>3.9786609999999998</v>
      </c>
      <c r="C3811">
        <f t="shared" si="64"/>
        <v>7.5</v>
      </c>
    </row>
    <row r="3812" spans="1:3" x14ac:dyDescent="0.2">
      <c r="A3812" s="34">
        <v>39529</v>
      </c>
      <c r="B3812">
        <v>3.9778820000000001</v>
      </c>
      <c r="C3812">
        <f t="shared" si="64"/>
        <v>7.5</v>
      </c>
    </row>
    <row r="3813" spans="1:3" x14ac:dyDescent="0.2">
      <c r="A3813" s="34">
        <v>39528</v>
      </c>
      <c r="B3813">
        <v>3.9771019999999999</v>
      </c>
      <c r="C3813">
        <f t="shared" si="64"/>
        <v>7.5</v>
      </c>
    </row>
    <row r="3814" spans="1:3" x14ac:dyDescent="0.2">
      <c r="A3814" s="34">
        <v>39527</v>
      </c>
      <c r="B3814">
        <v>3.9763229999999998</v>
      </c>
      <c r="C3814">
        <f t="shared" si="64"/>
        <v>7.5</v>
      </c>
    </row>
    <row r="3815" spans="1:3" x14ac:dyDescent="0.2">
      <c r="A3815" s="34">
        <v>39526</v>
      </c>
      <c r="B3815">
        <v>3.975543</v>
      </c>
      <c r="C3815">
        <f t="shared" si="64"/>
        <v>7.5</v>
      </c>
    </row>
    <row r="3816" spans="1:3" x14ac:dyDescent="0.2">
      <c r="A3816" s="34">
        <v>39525</v>
      </c>
      <c r="B3816">
        <v>3.974764</v>
      </c>
      <c r="C3816">
        <f t="shared" si="64"/>
        <v>7.54</v>
      </c>
    </row>
    <row r="3817" spans="1:3" x14ac:dyDescent="0.2">
      <c r="A3817" s="34">
        <v>39524</v>
      </c>
      <c r="B3817">
        <v>3.9739849999999999</v>
      </c>
      <c r="C3817">
        <f t="shared" si="64"/>
        <v>7.53</v>
      </c>
    </row>
    <row r="3818" spans="1:3" x14ac:dyDescent="0.2">
      <c r="A3818" s="34">
        <v>39523</v>
      </c>
      <c r="B3818">
        <v>3.9732059999999998</v>
      </c>
      <c r="C3818">
        <f t="shared" si="64"/>
        <v>7.53</v>
      </c>
    </row>
    <row r="3819" spans="1:3" x14ac:dyDescent="0.2">
      <c r="A3819" s="34">
        <v>39522</v>
      </c>
      <c r="B3819">
        <v>3.9724270000000002</v>
      </c>
      <c r="C3819">
        <f t="shared" si="64"/>
        <v>7.53</v>
      </c>
    </row>
    <row r="3820" spans="1:3" x14ac:dyDescent="0.2">
      <c r="A3820" s="34">
        <v>39521</v>
      </c>
      <c r="B3820">
        <v>3.9716490000000002</v>
      </c>
      <c r="C3820">
        <f t="shared" si="64"/>
        <v>7.53</v>
      </c>
    </row>
    <row r="3821" spans="1:3" x14ac:dyDescent="0.2">
      <c r="A3821" s="34">
        <v>39520</v>
      </c>
      <c r="B3821">
        <v>3.9708700000000001</v>
      </c>
      <c r="C3821">
        <f t="shared" si="64"/>
        <v>7.51</v>
      </c>
    </row>
    <row r="3822" spans="1:3" x14ac:dyDescent="0.2">
      <c r="A3822" s="34">
        <v>39519</v>
      </c>
      <c r="B3822">
        <v>3.9700920000000002</v>
      </c>
      <c r="C3822">
        <f t="shared" si="64"/>
        <v>7.5</v>
      </c>
    </row>
    <row r="3823" spans="1:3" x14ac:dyDescent="0.2">
      <c r="A3823" s="34">
        <v>39518</v>
      </c>
      <c r="B3823">
        <v>3.9693139999999998</v>
      </c>
      <c r="C3823">
        <f t="shared" si="64"/>
        <v>7.5</v>
      </c>
    </row>
    <row r="3824" spans="1:3" x14ac:dyDescent="0.2">
      <c r="A3824" s="34">
        <v>39517</v>
      </c>
      <c r="B3824">
        <v>3.9685359999999998</v>
      </c>
      <c r="C3824">
        <f t="shared" si="64"/>
        <v>7.48</v>
      </c>
    </row>
    <row r="3825" spans="1:3" x14ac:dyDescent="0.2">
      <c r="A3825" s="34">
        <v>39516</v>
      </c>
      <c r="B3825">
        <v>3.9681790000000001</v>
      </c>
      <c r="C3825">
        <f t="shared" si="64"/>
        <v>7.5</v>
      </c>
    </row>
    <row r="3826" spans="1:3" x14ac:dyDescent="0.2">
      <c r="A3826" s="34">
        <v>39515</v>
      </c>
      <c r="B3826">
        <v>3.967822</v>
      </c>
      <c r="C3826">
        <f t="shared" si="64"/>
        <v>7.5</v>
      </c>
    </row>
    <row r="3827" spans="1:3" x14ac:dyDescent="0.2">
      <c r="A3827" s="34">
        <v>39514</v>
      </c>
      <c r="B3827">
        <v>3.9674649999999998</v>
      </c>
      <c r="C3827">
        <f t="shared" si="64"/>
        <v>7.5</v>
      </c>
    </row>
    <row r="3828" spans="1:3" x14ac:dyDescent="0.2">
      <c r="A3828" s="34">
        <v>39513</v>
      </c>
      <c r="B3828">
        <v>3.9671080000000001</v>
      </c>
      <c r="C3828">
        <f t="shared" si="64"/>
        <v>7.51</v>
      </c>
    </row>
    <row r="3829" spans="1:3" x14ac:dyDescent="0.2">
      <c r="A3829" s="34">
        <v>39512</v>
      </c>
      <c r="B3829">
        <v>3.9667509999999999</v>
      </c>
      <c r="C3829">
        <f t="shared" si="64"/>
        <v>7.45</v>
      </c>
    </row>
    <row r="3830" spans="1:3" x14ac:dyDescent="0.2">
      <c r="A3830" s="34">
        <v>39511</v>
      </c>
      <c r="B3830">
        <v>3.9663949999999999</v>
      </c>
      <c r="C3830">
        <f t="shared" si="64"/>
        <v>7.4</v>
      </c>
    </row>
    <row r="3831" spans="1:3" x14ac:dyDescent="0.2">
      <c r="A3831" s="34">
        <v>39510</v>
      </c>
      <c r="B3831">
        <v>3.9660380000000002</v>
      </c>
      <c r="C3831">
        <f t="shared" si="64"/>
        <v>7.45</v>
      </c>
    </row>
    <row r="3832" spans="1:3" x14ac:dyDescent="0.2">
      <c r="A3832" s="34">
        <v>39509</v>
      </c>
      <c r="B3832">
        <v>3.965681</v>
      </c>
      <c r="C3832">
        <f t="shared" si="64"/>
        <v>7.45</v>
      </c>
    </row>
    <row r="3833" spans="1:3" x14ac:dyDescent="0.2">
      <c r="A3833" s="34">
        <v>39508</v>
      </c>
      <c r="B3833">
        <v>3.9653239999999998</v>
      </c>
      <c r="C3833">
        <f t="shared" si="64"/>
        <v>7.45</v>
      </c>
    </row>
    <row r="3834" spans="1:3" x14ac:dyDescent="0.2">
      <c r="A3834" s="34">
        <v>39507</v>
      </c>
      <c r="B3834">
        <v>3.9649679999999998</v>
      </c>
      <c r="C3834">
        <f t="shared" si="64"/>
        <v>7.45</v>
      </c>
    </row>
    <row r="3835" spans="1:3" x14ac:dyDescent="0.2">
      <c r="A3835" s="34">
        <v>39506</v>
      </c>
      <c r="B3835">
        <v>3.9646110000000001</v>
      </c>
      <c r="C3835">
        <f t="shared" si="64"/>
        <v>7.5</v>
      </c>
    </row>
    <row r="3836" spans="1:3" x14ac:dyDescent="0.2">
      <c r="A3836" s="34">
        <v>39505</v>
      </c>
      <c r="B3836">
        <v>3.9642539999999999</v>
      </c>
      <c r="C3836">
        <f t="shared" si="64"/>
        <v>7.5</v>
      </c>
    </row>
    <row r="3837" spans="1:3" x14ac:dyDescent="0.2">
      <c r="A3837" s="34">
        <v>39504</v>
      </c>
      <c r="B3837">
        <v>3.9638979999999999</v>
      </c>
      <c r="C3837">
        <f t="shared" si="64"/>
        <v>7.45</v>
      </c>
    </row>
    <row r="3838" spans="1:3" x14ac:dyDescent="0.2">
      <c r="A3838" s="34">
        <v>39503</v>
      </c>
      <c r="B3838">
        <v>3.9635410000000002</v>
      </c>
      <c r="C3838">
        <f t="shared" si="64"/>
        <v>7.45</v>
      </c>
    </row>
    <row r="3839" spans="1:3" x14ac:dyDescent="0.2">
      <c r="A3839" s="34">
        <v>39502</v>
      </c>
      <c r="B3839">
        <v>3.9634160000000001</v>
      </c>
      <c r="C3839">
        <f t="shared" si="64"/>
        <v>7.49</v>
      </c>
    </row>
    <row r="3840" spans="1:3" x14ac:dyDescent="0.2">
      <c r="A3840" s="34">
        <v>39501</v>
      </c>
      <c r="B3840">
        <v>3.9632900000000002</v>
      </c>
      <c r="C3840">
        <f t="shared" si="64"/>
        <v>7.49</v>
      </c>
    </row>
    <row r="3841" spans="1:3" x14ac:dyDescent="0.2">
      <c r="A3841" s="34">
        <v>39500</v>
      </c>
      <c r="B3841">
        <v>3.9631639999999999</v>
      </c>
      <c r="C3841">
        <f t="shared" si="64"/>
        <v>7.49</v>
      </c>
    </row>
    <row r="3842" spans="1:3" x14ac:dyDescent="0.2">
      <c r="A3842" s="34">
        <v>39499</v>
      </c>
      <c r="B3842">
        <v>3.9630390000000002</v>
      </c>
      <c r="C3842">
        <f t="shared" ref="C3842:C3905" si="65">IFERROR(VLOOKUP(A3842,$M$2:$N$3695,2,0),C3843)</f>
        <v>7.48</v>
      </c>
    </row>
    <row r="3843" spans="1:3" x14ac:dyDescent="0.2">
      <c r="A3843" s="34">
        <v>39498</v>
      </c>
      <c r="B3843">
        <v>3.9629129999999999</v>
      </c>
      <c r="C3843">
        <f t="shared" si="65"/>
        <v>7.45</v>
      </c>
    </row>
    <row r="3844" spans="1:3" x14ac:dyDescent="0.2">
      <c r="A3844" s="34">
        <v>39497</v>
      </c>
      <c r="B3844">
        <v>3.9627870000000001</v>
      </c>
      <c r="C3844">
        <f t="shared" si="65"/>
        <v>7.5</v>
      </c>
    </row>
    <row r="3845" spans="1:3" x14ac:dyDescent="0.2">
      <c r="A3845" s="34">
        <v>39496</v>
      </c>
      <c r="B3845">
        <v>3.9626619999999999</v>
      </c>
      <c r="C3845">
        <f t="shared" si="65"/>
        <v>7.55</v>
      </c>
    </row>
    <row r="3846" spans="1:3" x14ac:dyDescent="0.2">
      <c r="A3846" s="34">
        <v>39495</v>
      </c>
      <c r="B3846">
        <v>3.9625360000000001</v>
      </c>
      <c r="C3846">
        <f t="shared" si="65"/>
        <v>7.51</v>
      </c>
    </row>
    <row r="3847" spans="1:3" x14ac:dyDescent="0.2">
      <c r="A3847" s="34">
        <v>39494</v>
      </c>
      <c r="B3847">
        <v>3.9624100000000002</v>
      </c>
      <c r="C3847">
        <f t="shared" si="65"/>
        <v>7.51</v>
      </c>
    </row>
    <row r="3848" spans="1:3" x14ac:dyDescent="0.2">
      <c r="A3848" s="34">
        <v>39493</v>
      </c>
      <c r="B3848">
        <v>3.9622850000000001</v>
      </c>
      <c r="C3848">
        <f t="shared" si="65"/>
        <v>7.51</v>
      </c>
    </row>
    <row r="3849" spans="1:3" x14ac:dyDescent="0.2">
      <c r="A3849" s="34">
        <v>39492</v>
      </c>
      <c r="B3849">
        <v>3.9621590000000002</v>
      </c>
      <c r="C3849">
        <f t="shared" si="65"/>
        <v>7.5</v>
      </c>
    </row>
    <row r="3850" spans="1:3" x14ac:dyDescent="0.2">
      <c r="A3850" s="34">
        <v>39491</v>
      </c>
      <c r="B3850">
        <v>3.9620329999999999</v>
      </c>
      <c r="C3850">
        <f t="shared" si="65"/>
        <v>7.4</v>
      </c>
    </row>
    <row r="3851" spans="1:3" x14ac:dyDescent="0.2">
      <c r="A3851" s="34">
        <v>39490</v>
      </c>
      <c r="B3851">
        <v>3.9619080000000002</v>
      </c>
      <c r="C3851">
        <f t="shared" si="65"/>
        <v>7.5</v>
      </c>
    </row>
    <row r="3852" spans="1:3" x14ac:dyDescent="0.2">
      <c r="A3852" s="34">
        <v>39489</v>
      </c>
      <c r="B3852">
        <v>3.9617819999999999</v>
      </c>
      <c r="C3852">
        <f t="shared" si="65"/>
        <v>7.5</v>
      </c>
    </row>
    <row r="3853" spans="1:3" x14ac:dyDescent="0.2">
      <c r="A3853" s="34">
        <v>39488</v>
      </c>
      <c r="B3853">
        <v>3.9616570000000002</v>
      </c>
      <c r="C3853">
        <f t="shared" si="65"/>
        <v>7.48</v>
      </c>
    </row>
    <row r="3854" spans="1:3" x14ac:dyDescent="0.2">
      <c r="A3854" s="34">
        <v>39487</v>
      </c>
      <c r="B3854">
        <v>3.9609800000000002</v>
      </c>
      <c r="C3854">
        <f t="shared" si="65"/>
        <v>7.48</v>
      </c>
    </row>
    <row r="3855" spans="1:3" x14ac:dyDescent="0.2">
      <c r="A3855" s="34">
        <v>39486</v>
      </c>
      <c r="B3855">
        <v>3.9603039999999998</v>
      </c>
      <c r="C3855">
        <f t="shared" si="65"/>
        <v>7.48</v>
      </c>
    </row>
    <row r="3856" spans="1:3" x14ac:dyDescent="0.2">
      <c r="A3856" s="34">
        <v>39485</v>
      </c>
      <c r="B3856">
        <v>3.9596279999999999</v>
      </c>
      <c r="C3856">
        <f t="shared" si="65"/>
        <v>7.4</v>
      </c>
    </row>
    <row r="3857" spans="1:3" x14ac:dyDescent="0.2">
      <c r="A3857" s="34">
        <v>39484</v>
      </c>
      <c r="B3857">
        <v>3.958952</v>
      </c>
      <c r="C3857">
        <f t="shared" si="65"/>
        <v>7.45</v>
      </c>
    </row>
    <row r="3858" spans="1:3" x14ac:dyDescent="0.2">
      <c r="A3858" s="34">
        <v>39483</v>
      </c>
      <c r="B3858">
        <v>3.9582769999999998</v>
      </c>
      <c r="C3858">
        <f t="shared" si="65"/>
        <v>7.53</v>
      </c>
    </row>
    <row r="3859" spans="1:3" x14ac:dyDescent="0.2">
      <c r="A3859" s="34">
        <v>39482</v>
      </c>
      <c r="B3859">
        <v>3.9576009999999999</v>
      </c>
      <c r="C3859">
        <f t="shared" si="65"/>
        <v>7.4</v>
      </c>
    </row>
    <row r="3860" spans="1:3" x14ac:dyDescent="0.2">
      <c r="A3860" s="34">
        <v>39481</v>
      </c>
      <c r="B3860">
        <v>3.956925</v>
      </c>
      <c r="C3860">
        <f t="shared" si="65"/>
        <v>7.4</v>
      </c>
    </row>
    <row r="3861" spans="1:3" x14ac:dyDescent="0.2">
      <c r="A3861" s="34">
        <v>39480</v>
      </c>
      <c r="B3861">
        <v>3.9562499999999998</v>
      </c>
      <c r="C3861">
        <f t="shared" si="65"/>
        <v>7.4</v>
      </c>
    </row>
    <row r="3862" spans="1:3" x14ac:dyDescent="0.2">
      <c r="A3862" s="34">
        <v>39479</v>
      </c>
      <c r="B3862">
        <v>3.9555750000000001</v>
      </c>
      <c r="C3862">
        <f t="shared" si="65"/>
        <v>7.4</v>
      </c>
    </row>
    <row r="3863" spans="1:3" x14ac:dyDescent="0.2">
      <c r="A3863" s="34">
        <v>39478</v>
      </c>
      <c r="B3863">
        <v>3.9548990000000002</v>
      </c>
      <c r="C3863">
        <f t="shared" si="65"/>
        <v>7.5</v>
      </c>
    </row>
    <row r="3864" spans="1:3" x14ac:dyDescent="0.2">
      <c r="A3864" s="34">
        <v>39477</v>
      </c>
      <c r="B3864">
        <v>3.954224</v>
      </c>
      <c r="C3864">
        <f t="shared" si="65"/>
        <v>7.5</v>
      </c>
    </row>
    <row r="3865" spans="1:3" x14ac:dyDescent="0.2">
      <c r="A3865" s="34">
        <v>39476</v>
      </c>
      <c r="B3865">
        <v>3.9535490000000002</v>
      </c>
      <c r="C3865">
        <f t="shared" si="65"/>
        <v>7.55</v>
      </c>
    </row>
    <row r="3866" spans="1:3" x14ac:dyDescent="0.2">
      <c r="A3866" s="34">
        <v>39475</v>
      </c>
      <c r="B3866">
        <v>3.952874</v>
      </c>
      <c r="C3866">
        <f t="shared" si="65"/>
        <v>7.55</v>
      </c>
    </row>
    <row r="3867" spans="1:3" x14ac:dyDescent="0.2">
      <c r="A3867" s="34">
        <v>39474</v>
      </c>
      <c r="B3867">
        <v>3.9521999999999999</v>
      </c>
      <c r="C3867">
        <f t="shared" si="65"/>
        <v>7.5</v>
      </c>
    </row>
    <row r="3868" spans="1:3" x14ac:dyDescent="0.2">
      <c r="A3868" s="34">
        <v>39473</v>
      </c>
      <c r="B3868">
        <v>3.9515250000000002</v>
      </c>
      <c r="C3868">
        <f t="shared" si="65"/>
        <v>7.5</v>
      </c>
    </row>
    <row r="3869" spans="1:3" x14ac:dyDescent="0.2">
      <c r="A3869" s="34">
        <v>39472</v>
      </c>
      <c r="B3869">
        <v>3.9508510000000001</v>
      </c>
      <c r="C3869">
        <f t="shared" si="65"/>
        <v>7.5</v>
      </c>
    </row>
    <row r="3870" spans="1:3" x14ac:dyDescent="0.2">
      <c r="A3870" s="34">
        <v>39471</v>
      </c>
      <c r="B3870">
        <v>3.94998</v>
      </c>
      <c r="C3870">
        <f t="shared" si="65"/>
        <v>7.5</v>
      </c>
    </row>
    <row r="3871" spans="1:3" x14ac:dyDescent="0.2">
      <c r="A3871" s="34">
        <v>39470</v>
      </c>
      <c r="B3871">
        <v>3.9491100000000001</v>
      </c>
      <c r="C3871">
        <f t="shared" si="65"/>
        <v>7.5</v>
      </c>
    </row>
    <row r="3872" spans="1:3" x14ac:dyDescent="0.2">
      <c r="A3872" s="34">
        <v>39469</v>
      </c>
      <c r="B3872">
        <v>3.9482400000000002</v>
      </c>
      <c r="C3872">
        <f t="shared" si="65"/>
        <v>7.5</v>
      </c>
    </row>
    <row r="3873" spans="1:3" x14ac:dyDescent="0.2">
      <c r="A3873" s="34">
        <v>39468</v>
      </c>
      <c r="B3873">
        <v>3.9473699999999998</v>
      </c>
      <c r="C3873">
        <f t="shared" si="65"/>
        <v>7.5</v>
      </c>
    </row>
    <row r="3874" spans="1:3" x14ac:dyDescent="0.2">
      <c r="A3874" s="34">
        <v>39467</v>
      </c>
      <c r="B3874">
        <v>3.9464999999999999</v>
      </c>
      <c r="C3874">
        <f t="shared" si="65"/>
        <v>7.5</v>
      </c>
    </row>
    <row r="3875" spans="1:3" x14ac:dyDescent="0.2">
      <c r="A3875" s="34">
        <v>39466</v>
      </c>
      <c r="B3875">
        <v>3.9456310000000001</v>
      </c>
      <c r="C3875">
        <f t="shared" si="65"/>
        <v>7.5</v>
      </c>
    </row>
    <row r="3876" spans="1:3" x14ac:dyDescent="0.2">
      <c r="A3876" s="34">
        <v>39465</v>
      </c>
      <c r="B3876">
        <v>3.9447619999999999</v>
      </c>
      <c r="C3876">
        <f t="shared" si="65"/>
        <v>7.5</v>
      </c>
    </row>
    <row r="3877" spans="1:3" x14ac:dyDescent="0.2">
      <c r="A3877" s="34">
        <v>39464</v>
      </c>
      <c r="B3877">
        <v>3.9438930000000001</v>
      </c>
      <c r="C3877">
        <f t="shared" si="65"/>
        <v>7.54</v>
      </c>
    </row>
    <row r="3878" spans="1:3" x14ac:dyDescent="0.2">
      <c r="A3878" s="34">
        <v>39463</v>
      </c>
      <c r="B3878">
        <v>3.9430239999999999</v>
      </c>
      <c r="C3878">
        <f t="shared" si="65"/>
        <v>7.48</v>
      </c>
    </row>
    <row r="3879" spans="1:3" x14ac:dyDescent="0.2">
      <c r="A3879" s="34">
        <v>39462</v>
      </c>
      <c r="B3879">
        <v>3.9421550000000001</v>
      </c>
      <c r="C3879">
        <f t="shared" si="65"/>
        <v>7.5</v>
      </c>
    </row>
    <row r="3880" spans="1:3" x14ac:dyDescent="0.2">
      <c r="A3880" s="34">
        <v>39461</v>
      </c>
      <c r="B3880">
        <v>3.9412859999999998</v>
      </c>
      <c r="C3880">
        <f t="shared" si="65"/>
        <v>7.5</v>
      </c>
    </row>
    <row r="3881" spans="1:3" x14ac:dyDescent="0.2">
      <c r="A3881" s="34">
        <v>39460</v>
      </c>
      <c r="B3881">
        <v>3.9404180000000002</v>
      </c>
      <c r="C3881">
        <f t="shared" si="65"/>
        <v>7.5</v>
      </c>
    </row>
    <row r="3882" spans="1:3" x14ac:dyDescent="0.2">
      <c r="A3882" s="34">
        <v>39459</v>
      </c>
      <c r="B3882">
        <v>3.9395500000000001</v>
      </c>
      <c r="C3882">
        <f t="shared" si="65"/>
        <v>7.5</v>
      </c>
    </row>
    <row r="3883" spans="1:3" x14ac:dyDescent="0.2">
      <c r="A3883" s="34">
        <v>39458</v>
      </c>
      <c r="B3883">
        <v>3.938682</v>
      </c>
      <c r="C3883">
        <f t="shared" si="65"/>
        <v>7.5</v>
      </c>
    </row>
    <row r="3884" spans="1:3" x14ac:dyDescent="0.2">
      <c r="A3884" s="34">
        <v>39457</v>
      </c>
      <c r="B3884">
        <v>3.9378139999999999</v>
      </c>
      <c r="C3884">
        <f t="shared" si="65"/>
        <v>7.52</v>
      </c>
    </row>
    <row r="3885" spans="1:3" x14ac:dyDescent="0.2">
      <c r="A3885" s="34">
        <v>39456</v>
      </c>
      <c r="B3885">
        <v>3.9373309999999999</v>
      </c>
      <c r="C3885">
        <f t="shared" si="65"/>
        <v>7.51</v>
      </c>
    </row>
    <row r="3886" spans="1:3" x14ac:dyDescent="0.2">
      <c r="A3886" s="34">
        <v>39455</v>
      </c>
      <c r="B3886">
        <v>3.9368470000000002</v>
      </c>
      <c r="C3886">
        <f t="shared" si="65"/>
        <v>7.45</v>
      </c>
    </row>
    <row r="3887" spans="1:3" x14ac:dyDescent="0.2">
      <c r="A3887" s="34">
        <v>39454</v>
      </c>
      <c r="B3887">
        <v>3.9363640000000002</v>
      </c>
      <c r="C3887">
        <f t="shared" si="65"/>
        <v>7.35</v>
      </c>
    </row>
    <row r="3888" spans="1:3" x14ac:dyDescent="0.2">
      <c r="A3888" s="34">
        <v>39453</v>
      </c>
      <c r="B3888">
        <v>3.9358810000000002</v>
      </c>
      <c r="C3888">
        <f t="shared" si="65"/>
        <v>7.45</v>
      </c>
    </row>
    <row r="3889" spans="1:3" x14ac:dyDescent="0.2">
      <c r="A3889" s="34">
        <v>39452</v>
      </c>
      <c r="B3889">
        <v>3.9353980000000002</v>
      </c>
      <c r="C3889">
        <f t="shared" si="65"/>
        <v>7.45</v>
      </c>
    </row>
    <row r="3890" spans="1:3" x14ac:dyDescent="0.2">
      <c r="A3890" s="34">
        <v>39451</v>
      </c>
      <c r="B3890">
        <v>3.9349150000000002</v>
      </c>
      <c r="C3890">
        <f t="shared" si="65"/>
        <v>7.45</v>
      </c>
    </row>
    <row r="3891" spans="1:3" x14ac:dyDescent="0.2">
      <c r="A3891" s="34">
        <v>39450</v>
      </c>
      <c r="B3891">
        <v>3.9344320000000002</v>
      </c>
      <c r="C3891">
        <f t="shared" si="65"/>
        <v>7.5</v>
      </c>
    </row>
    <row r="3892" spans="1:3" x14ac:dyDescent="0.2">
      <c r="A3892" s="34">
        <v>39449</v>
      </c>
      <c r="B3892">
        <v>3.9339490000000001</v>
      </c>
      <c r="C3892">
        <f t="shared" si="65"/>
        <v>7.51</v>
      </c>
    </row>
    <row r="3893" spans="1:3" x14ac:dyDescent="0.2">
      <c r="A3893" s="34">
        <v>39448</v>
      </c>
      <c r="B3893">
        <v>3.9334660000000001</v>
      </c>
      <c r="C3893">
        <f t="shared" si="65"/>
        <v>7.65</v>
      </c>
    </row>
    <row r="3894" spans="1:3" x14ac:dyDescent="0.2">
      <c r="A3894" s="34">
        <v>39447</v>
      </c>
      <c r="B3894">
        <v>3.9329830000000001</v>
      </c>
      <c r="C3894">
        <f t="shared" si="65"/>
        <v>7.65</v>
      </c>
    </row>
    <row r="3895" spans="1:3" x14ac:dyDescent="0.2">
      <c r="A3895" s="34">
        <v>39446</v>
      </c>
      <c r="B3895">
        <v>3.9325000000000001</v>
      </c>
      <c r="C3895">
        <f t="shared" si="65"/>
        <v>7.5</v>
      </c>
    </row>
    <row r="3896" spans="1:3" x14ac:dyDescent="0.2">
      <c r="A3896" s="34">
        <v>39445</v>
      </c>
      <c r="B3896">
        <v>3.9320170000000001</v>
      </c>
      <c r="C3896">
        <f t="shared" si="65"/>
        <v>7.5</v>
      </c>
    </row>
    <row r="3897" spans="1:3" x14ac:dyDescent="0.2">
      <c r="A3897" s="34">
        <v>39444</v>
      </c>
      <c r="B3897">
        <v>3.9315340000000001</v>
      </c>
      <c r="C3897">
        <f t="shared" si="65"/>
        <v>7.5</v>
      </c>
    </row>
    <row r="3898" spans="1:3" x14ac:dyDescent="0.2">
      <c r="A3898" s="34">
        <v>39443</v>
      </c>
      <c r="B3898">
        <v>3.9310520000000002</v>
      </c>
      <c r="C3898">
        <f t="shared" si="65"/>
        <v>7.56</v>
      </c>
    </row>
    <row r="3899" spans="1:3" x14ac:dyDescent="0.2">
      <c r="A3899" s="34">
        <v>39442</v>
      </c>
      <c r="B3899">
        <v>3.9305690000000002</v>
      </c>
      <c r="C3899">
        <f t="shared" si="65"/>
        <v>7.5</v>
      </c>
    </row>
    <row r="3900" spans="1:3" x14ac:dyDescent="0.2">
      <c r="A3900" s="34">
        <v>39441</v>
      </c>
      <c r="B3900">
        <v>3.9300869999999999</v>
      </c>
      <c r="C3900">
        <f t="shared" si="65"/>
        <v>7.5</v>
      </c>
    </row>
    <row r="3901" spans="1:3" x14ac:dyDescent="0.2">
      <c r="A3901" s="34">
        <v>39440</v>
      </c>
      <c r="B3901">
        <v>3.9298190000000002</v>
      </c>
      <c r="C3901">
        <f t="shared" si="65"/>
        <v>7.5</v>
      </c>
    </row>
    <row r="3902" spans="1:3" x14ac:dyDescent="0.2">
      <c r="A3902" s="34">
        <v>39439</v>
      </c>
      <c r="B3902">
        <v>3.9295499999999999</v>
      </c>
      <c r="C3902">
        <f t="shared" si="65"/>
        <v>7.5</v>
      </c>
    </row>
    <row r="3903" spans="1:3" x14ac:dyDescent="0.2">
      <c r="A3903" s="34">
        <v>39438</v>
      </c>
      <c r="B3903">
        <v>3.9292820000000002</v>
      </c>
      <c r="C3903">
        <f t="shared" si="65"/>
        <v>7.5</v>
      </c>
    </row>
    <row r="3904" spans="1:3" x14ac:dyDescent="0.2">
      <c r="A3904" s="34">
        <v>39437</v>
      </c>
      <c r="B3904">
        <v>3.929014</v>
      </c>
      <c r="C3904">
        <f t="shared" si="65"/>
        <v>7.5</v>
      </c>
    </row>
    <row r="3905" spans="1:3" x14ac:dyDescent="0.2">
      <c r="A3905" s="34">
        <v>39436</v>
      </c>
      <c r="B3905">
        <v>3.9287459999999998</v>
      </c>
      <c r="C3905">
        <f t="shared" si="65"/>
        <v>7.51</v>
      </c>
    </row>
    <row r="3906" spans="1:3" x14ac:dyDescent="0.2">
      <c r="A3906" s="34">
        <v>39435</v>
      </c>
      <c r="B3906">
        <v>3.9284780000000001</v>
      </c>
      <c r="C3906">
        <f t="shared" ref="C3906:C3969" si="66">IFERROR(VLOOKUP(A3906,$M$2:$N$3695,2,0),C3907)</f>
        <v>7.5</v>
      </c>
    </row>
    <row r="3907" spans="1:3" x14ac:dyDescent="0.2">
      <c r="A3907" s="34">
        <v>39434</v>
      </c>
      <c r="B3907">
        <v>3.92821</v>
      </c>
      <c r="C3907">
        <f t="shared" si="66"/>
        <v>7.5</v>
      </c>
    </row>
    <row r="3908" spans="1:3" x14ac:dyDescent="0.2">
      <c r="A3908" s="34">
        <v>39433</v>
      </c>
      <c r="B3908">
        <v>3.9279419999999998</v>
      </c>
      <c r="C3908">
        <f t="shared" si="66"/>
        <v>7.5</v>
      </c>
    </row>
    <row r="3909" spans="1:3" x14ac:dyDescent="0.2">
      <c r="A3909" s="34">
        <v>39432</v>
      </c>
      <c r="B3909">
        <v>3.9276740000000001</v>
      </c>
      <c r="C3909">
        <f t="shared" si="66"/>
        <v>7.5</v>
      </c>
    </row>
    <row r="3910" spans="1:3" x14ac:dyDescent="0.2">
      <c r="A3910" s="34">
        <v>39431</v>
      </c>
      <c r="B3910">
        <v>3.927406</v>
      </c>
      <c r="C3910">
        <f t="shared" si="66"/>
        <v>7.5</v>
      </c>
    </row>
    <row r="3911" spans="1:3" x14ac:dyDescent="0.2">
      <c r="A3911" s="34">
        <v>39430</v>
      </c>
      <c r="B3911">
        <v>3.9271379999999998</v>
      </c>
      <c r="C3911">
        <f t="shared" si="66"/>
        <v>7.5</v>
      </c>
    </row>
    <row r="3912" spans="1:3" x14ac:dyDescent="0.2">
      <c r="A3912" s="34">
        <v>39429</v>
      </c>
      <c r="B3912">
        <v>3.9268700000000001</v>
      </c>
      <c r="C3912">
        <f t="shared" si="66"/>
        <v>7.51</v>
      </c>
    </row>
    <row r="3913" spans="1:3" x14ac:dyDescent="0.2">
      <c r="A3913" s="34">
        <v>39428</v>
      </c>
      <c r="B3913">
        <v>3.9266019999999999</v>
      </c>
      <c r="C3913">
        <f t="shared" si="66"/>
        <v>7.5</v>
      </c>
    </row>
    <row r="3914" spans="1:3" x14ac:dyDescent="0.2">
      <c r="A3914" s="34">
        <v>39427</v>
      </c>
      <c r="B3914">
        <v>3.9263340000000002</v>
      </c>
      <c r="C3914">
        <f t="shared" si="66"/>
        <v>7.5</v>
      </c>
    </row>
    <row r="3915" spans="1:3" x14ac:dyDescent="0.2">
      <c r="A3915" s="34">
        <v>39426</v>
      </c>
      <c r="B3915">
        <v>3.9260660000000001</v>
      </c>
      <c r="C3915">
        <f t="shared" si="66"/>
        <v>7.55</v>
      </c>
    </row>
    <row r="3916" spans="1:3" x14ac:dyDescent="0.2">
      <c r="A3916" s="34">
        <v>39425</v>
      </c>
      <c r="B3916">
        <v>3.924388</v>
      </c>
      <c r="C3916">
        <f t="shared" si="66"/>
        <v>7.52</v>
      </c>
    </row>
    <row r="3917" spans="1:3" x14ac:dyDescent="0.2">
      <c r="A3917" s="34">
        <v>39424</v>
      </c>
      <c r="B3917">
        <v>3.9227099999999999</v>
      </c>
      <c r="C3917">
        <f t="shared" si="66"/>
        <v>7.52</v>
      </c>
    </row>
    <row r="3918" spans="1:3" x14ac:dyDescent="0.2">
      <c r="A3918" s="34">
        <v>39423</v>
      </c>
      <c r="B3918">
        <v>3.921033</v>
      </c>
      <c r="C3918">
        <f t="shared" si="66"/>
        <v>7.52</v>
      </c>
    </row>
    <row r="3919" spans="1:3" x14ac:dyDescent="0.2">
      <c r="A3919" s="34">
        <v>39422</v>
      </c>
      <c r="B3919">
        <v>3.9193570000000002</v>
      </c>
      <c r="C3919">
        <f t="shared" si="66"/>
        <v>7.48</v>
      </c>
    </row>
    <row r="3920" spans="1:3" x14ac:dyDescent="0.2">
      <c r="A3920" s="34">
        <v>39421</v>
      </c>
      <c r="B3920">
        <v>3.9176820000000001</v>
      </c>
      <c r="C3920">
        <f t="shared" si="66"/>
        <v>7.47</v>
      </c>
    </row>
    <row r="3921" spans="1:3" x14ac:dyDescent="0.2">
      <c r="A3921" s="34">
        <v>39420</v>
      </c>
      <c r="B3921">
        <v>3.916007</v>
      </c>
      <c r="C3921">
        <f t="shared" si="66"/>
        <v>7.35</v>
      </c>
    </row>
    <row r="3922" spans="1:3" x14ac:dyDescent="0.2">
      <c r="A3922" s="34">
        <v>39419</v>
      </c>
      <c r="B3922">
        <v>3.9143330000000001</v>
      </c>
      <c r="C3922">
        <f t="shared" si="66"/>
        <v>7.53</v>
      </c>
    </row>
    <row r="3923" spans="1:3" x14ac:dyDescent="0.2">
      <c r="A3923" s="34">
        <v>39418</v>
      </c>
      <c r="B3923">
        <v>3.9126599999999998</v>
      </c>
      <c r="C3923">
        <f t="shared" si="66"/>
        <v>7.5</v>
      </c>
    </row>
    <row r="3924" spans="1:3" x14ac:dyDescent="0.2">
      <c r="A3924" s="34">
        <v>39417</v>
      </c>
      <c r="B3924">
        <v>3.910987</v>
      </c>
      <c r="C3924">
        <f t="shared" si="66"/>
        <v>7.5</v>
      </c>
    </row>
    <row r="3925" spans="1:3" x14ac:dyDescent="0.2">
      <c r="A3925" s="34">
        <v>39416</v>
      </c>
      <c r="B3925">
        <v>3.9093149999999999</v>
      </c>
      <c r="C3925">
        <f t="shared" si="66"/>
        <v>7.5</v>
      </c>
    </row>
    <row r="3926" spans="1:3" x14ac:dyDescent="0.2">
      <c r="A3926" s="34">
        <v>39415</v>
      </c>
      <c r="B3926">
        <v>3.9076439999999999</v>
      </c>
      <c r="C3926">
        <f t="shared" si="66"/>
        <v>7.48</v>
      </c>
    </row>
    <row r="3927" spans="1:3" x14ac:dyDescent="0.2">
      <c r="A3927" s="34">
        <v>39414</v>
      </c>
      <c r="B3927">
        <v>3.9059740000000001</v>
      </c>
      <c r="C3927">
        <f t="shared" si="66"/>
        <v>7.5</v>
      </c>
    </row>
    <row r="3928" spans="1:3" x14ac:dyDescent="0.2">
      <c r="A3928" s="34">
        <v>39413</v>
      </c>
      <c r="B3928">
        <v>3.9043040000000002</v>
      </c>
      <c r="C3928">
        <f t="shared" si="66"/>
        <v>7.48</v>
      </c>
    </row>
    <row r="3929" spans="1:3" x14ac:dyDescent="0.2">
      <c r="A3929" s="34">
        <v>39412</v>
      </c>
      <c r="B3929">
        <v>3.9026350000000001</v>
      </c>
      <c r="C3929">
        <f t="shared" si="66"/>
        <v>7.45</v>
      </c>
    </row>
    <row r="3930" spans="1:3" x14ac:dyDescent="0.2">
      <c r="A3930" s="34">
        <v>39411</v>
      </c>
      <c r="B3930">
        <v>3.9009670000000001</v>
      </c>
      <c r="C3930">
        <f t="shared" si="66"/>
        <v>7.4</v>
      </c>
    </row>
    <row r="3931" spans="1:3" x14ac:dyDescent="0.2">
      <c r="A3931" s="34">
        <v>39410</v>
      </c>
      <c r="B3931">
        <v>3.9009100000000001</v>
      </c>
      <c r="C3931">
        <f t="shared" si="66"/>
        <v>7.4</v>
      </c>
    </row>
    <row r="3932" spans="1:3" x14ac:dyDescent="0.2">
      <c r="A3932" s="34">
        <v>39409</v>
      </c>
      <c r="B3932">
        <v>3.9008539999999998</v>
      </c>
      <c r="C3932">
        <f t="shared" si="66"/>
        <v>7.4</v>
      </c>
    </row>
    <row r="3933" spans="1:3" x14ac:dyDescent="0.2">
      <c r="A3933" s="34">
        <v>39408</v>
      </c>
      <c r="B3933">
        <v>3.9007969999999998</v>
      </c>
      <c r="C3933">
        <f t="shared" si="66"/>
        <v>7.35</v>
      </c>
    </row>
    <row r="3934" spans="1:3" x14ac:dyDescent="0.2">
      <c r="A3934" s="34">
        <v>39407</v>
      </c>
      <c r="B3934">
        <v>3.900741</v>
      </c>
      <c r="C3934">
        <f t="shared" si="66"/>
        <v>7.4</v>
      </c>
    </row>
    <row r="3935" spans="1:3" x14ac:dyDescent="0.2">
      <c r="A3935" s="34">
        <v>39406</v>
      </c>
      <c r="B3935">
        <v>3.900684</v>
      </c>
      <c r="C3935">
        <f t="shared" si="66"/>
        <v>7.55</v>
      </c>
    </row>
    <row r="3936" spans="1:3" x14ac:dyDescent="0.2">
      <c r="A3936" s="34">
        <v>39405</v>
      </c>
      <c r="B3936">
        <v>3.9006280000000002</v>
      </c>
      <c r="C3936">
        <f t="shared" si="66"/>
        <v>7.5</v>
      </c>
    </row>
    <row r="3937" spans="1:3" x14ac:dyDescent="0.2">
      <c r="A3937" s="34">
        <v>39404</v>
      </c>
      <c r="B3937">
        <v>3.9005709999999998</v>
      </c>
      <c r="C3937">
        <f t="shared" si="66"/>
        <v>7.5</v>
      </c>
    </row>
    <row r="3938" spans="1:3" x14ac:dyDescent="0.2">
      <c r="A3938" s="34">
        <v>39403</v>
      </c>
      <c r="B3938">
        <v>3.900515</v>
      </c>
      <c r="C3938">
        <f t="shared" si="66"/>
        <v>7.5</v>
      </c>
    </row>
    <row r="3939" spans="1:3" x14ac:dyDescent="0.2">
      <c r="A3939" s="34">
        <v>39402</v>
      </c>
      <c r="B3939">
        <v>3.900458</v>
      </c>
      <c r="C3939">
        <f t="shared" si="66"/>
        <v>7.5</v>
      </c>
    </row>
    <row r="3940" spans="1:3" x14ac:dyDescent="0.2">
      <c r="A3940" s="34">
        <v>39401</v>
      </c>
      <c r="B3940">
        <v>3.9004020000000001</v>
      </c>
      <c r="C3940">
        <f t="shared" si="66"/>
        <v>7.5</v>
      </c>
    </row>
    <row r="3941" spans="1:3" x14ac:dyDescent="0.2">
      <c r="A3941" s="34">
        <v>39400</v>
      </c>
      <c r="B3941">
        <v>3.9003450000000002</v>
      </c>
      <c r="C3941">
        <f t="shared" si="66"/>
        <v>7.52</v>
      </c>
    </row>
    <row r="3942" spans="1:3" x14ac:dyDescent="0.2">
      <c r="A3942" s="34">
        <v>39399</v>
      </c>
      <c r="B3942">
        <v>3.9002889999999999</v>
      </c>
      <c r="C3942">
        <f t="shared" si="66"/>
        <v>7.4</v>
      </c>
    </row>
    <row r="3943" spans="1:3" x14ac:dyDescent="0.2">
      <c r="A3943" s="34">
        <v>39398</v>
      </c>
      <c r="B3943">
        <v>3.9002319999999999</v>
      </c>
      <c r="C3943">
        <f t="shared" si="66"/>
        <v>7.52</v>
      </c>
    </row>
    <row r="3944" spans="1:3" x14ac:dyDescent="0.2">
      <c r="A3944" s="34">
        <v>39397</v>
      </c>
      <c r="B3944">
        <v>3.9001749999999999</v>
      </c>
      <c r="C3944">
        <f t="shared" si="66"/>
        <v>7.45</v>
      </c>
    </row>
    <row r="3945" spans="1:3" x14ac:dyDescent="0.2">
      <c r="A3945" s="34">
        <v>39396</v>
      </c>
      <c r="B3945">
        <v>3.9001190000000001</v>
      </c>
      <c r="C3945">
        <f t="shared" si="66"/>
        <v>7.45</v>
      </c>
    </row>
    <row r="3946" spans="1:3" x14ac:dyDescent="0.2">
      <c r="A3946" s="34">
        <v>39395</v>
      </c>
      <c r="B3946">
        <v>3.8993419999999999</v>
      </c>
      <c r="C3946">
        <f t="shared" si="66"/>
        <v>7.45</v>
      </c>
    </row>
    <row r="3947" spans="1:3" x14ac:dyDescent="0.2">
      <c r="A3947" s="34">
        <v>39394</v>
      </c>
      <c r="B3947">
        <v>3.8985660000000002</v>
      </c>
      <c r="C3947">
        <f t="shared" si="66"/>
        <v>7.55</v>
      </c>
    </row>
    <row r="3948" spans="1:3" x14ac:dyDescent="0.2">
      <c r="A3948" s="34">
        <v>39393</v>
      </c>
      <c r="B3948">
        <v>3.8977889999999999</v>
      </c>
      <c r="C3948">
        <f t="shared" si="66"/>
        <v>7.4</v>
      </c>
    </row>
    <row r="3949" spans="1:3" x14ac:dyDescent="0.2">
      <c r="A3949" s="34">
        <v>39392</v>
      </c>
      <c r="B3949">
        <v>3.8970129999999998</v>
      </c>
      <c r="C3949">
        <f t="shared" si="66"/>
        <v>7.6</v>
      </c>
    </row>
    <row r="3950" spans="1:3" x14ac:dyDescent="0.2">
      <c r="A3950" s="34">
        <v>39391</v>
      </c>
      <c r="B3950">
        <v>3.8962370000000002</v>
      </c>
      <c r="C3950">
        <f t="shared" si="66"/>
        <v>7.47</v>
      </c>
    </row>
    <row r="3951" spans="1:3" x14ac:dyDescent="0.2">
      <c r="A3951" s="34">
        <v>39390</v>
      </c>
      <c r="B3951">
        <v>3.8954610000000001</v>
      </c>
      <c r="C3951">
        <f t="shared" si="66"/>
        <v>7.45</v>
      </c>
    </row>
    <row r="3952" spans="1:3" x14ac:dyDescent="0.2">
      <c r="A3952" s="34">
        <v>39389</v>
      </c>
      <c r="B3952">
        <v>3.8946860000000001</v>
      </c>
      <c r="C3952">
        <f t="shared" si="66"/>
        <v>7.45</v>
      </c>
    </row>
    <row r="3953" spans="1:3" x14ac:dyDescent="0.2">
      <c r="A3953" s="34">
        <v>39388</v>
      </c>
      <c r="B3953">
        <v>3.89391</v>
      </c>
      <c r="C3953">
        <f t="shared" si="66"/>
        <v>7.45</v>
      </c>
    </row>
    <row r="3954" spans="1:3" x14ac:dyDescent="0.2">
      <c r="A3954" s="34">
        <v>39387</v>
      </c>
      <c r="B3954">
        <v>3.893135</v>
      </c>
      <c r="C3954">
        <f t="shared" si="66"/>
        <v>7.45</v>
      </c>
    </row>
    <row r="3955" spans="1:3" x14ac:dyDescent="0.2">
      <c r="A3955" s="34">
        <v>39386</v>
      </c>
      <c r="B3955">
        <v>3.8923589999999999</v>
      </c>
      <c r="C3955">
        <f t="shared" si="66"/>
        <v>7.45</v>
      </c>
    </row>
    <row r="3956" spans="1:3" x14ac:dyDescent="0.2">
      <c r="A3956" s="34">
        <v>39385</v>
      </c>
      <c r="B3956">
        <v>3.8915839999999999</v>
      </c>
      <c r="C3956">
        <f t="shared" si="66"/>
        <v>7.45</v>
      </c>
    </row>
    <row r="3957" spans="1:3" x14ac:dyDescent="0.2">
      <c r="A3957" s="34">
        <v>39384</v>
      </c>
      <c r="B3957">
        <v>3.890809</v>
      </c>
      <c r="C3957">
        <f t="shared" si="66"/>
        <v>7.45</v>
      </c>
    </row>
    <row r="3958" spans="1:3" x14ac:dyDescent="0.2">
      <c r="A3958" s="34">
        <v>39383</v>
      </c>
      <c r="B3958">
        <v>3.890034</v>
      </c>
      <c r="C3958">
        <f t="shared" si="66"/>
        <v>7.25</v>
      </c>
    </row>
    <row r="3959" spans="1:3" x14ac:dyDescent="0.2">
      <c r="A3959" s="34">
        <v>39382</v>
      </c>
      <c r="B3959">
        <v>3.8892600000000002</v>
      </c>
      <c r="C3959">
        <f t="shared" si="66"/>
        <v>7.25</v>
      </c>
    </row>
    <row r="3960" spans="1:3" x14ac:dyDescent="0.2">
      <c r="A3960" s="34">
        <v>39381</v>
      </c>
      <c r="B3960">
        <v>3.8884850000000002</v>
      </c>
      <c r="C3960">
        <f t="shared" si="66"/>
        <v>7.25</v>
      </c>
    </row>
    <row r="3961" spans="1:3" x14ac:dyDescent="0.2">
      <c r="A3961" s="34">
        <v>39380</v>
      </c>
      <c r="B3961">
        <v>3.8877109999999999</v>
      </c>
      <c r="C3961">
        <f t="shared" si="66"/>
        <v>7.05</v>
      </c>
    </row>
    <row r="3962" spans="1:3" x14ac:dyDescent="0.2">
      <c r="A3962" s="34">
        <v>39379</v>
      </c>
      <c r="B3962">
        <v>3.8874050000000002</v>
      </c>
      <c r="C3962">
        <f t="shared" si="66"/>
        <v>7.05</v>
      </c>
    </row>
    <row r="3963" spans="1:3" x14ac:dyDescent="0.2">
      <c r="A3963" s="34">
        <v>39378</v>
      </c>
      <c r="B3963">
        <v>3.8870990000000001</v>
      </c>
      <c r="C3963">
        <f t="shared" si="66"/>
        <v>7.2</v>
      </c>
    </row>
    <row r="3964" spans="1:3" x14ac:dyDescent="0.2">
      <c r="A3964" s="34">
        <v>39377</v>
      </c>
      <c r="B3964">
        <v>3.8867929999999999</v>
      </c>
      <c r="C3964">
        <f t="shared" si="66"/>
        <v>7.19</v>
      </c>
    </row>
    <row r="3965" spans="1:3" x14ac:dyDescent="0.2">
      <c r="A3965" s="34">
        <v>39376</v>
      </c>
      <c r="B3965">
        <v>3.8864869999999998</v>
      </c>
      <c r="C3965">
        <f t="shared" si="66"/>
        <v>7.19</v>
      </c>
    </row>
    <row r="3966" spans="1:3" x14ac:dyDescent="0.2">
      <c r="A3966" s="34">
        <v>39375</v>
      </c>
      <c r="B3966">
        <v>3.8861810000000001</v>
      </c>
      <c r="C3966">
        <f t="shared" si="66"/>
        <v>7.19</v>
      </c>
    </row>
    <row r="3967" spans="1:3" x14ac:dyDescent="0.2">
      <c r="A3967" s="34">
        <v>39374</v>
      </c>
      <c r="B3967">
        <v>3.8858760000000001</v>
      </c>
      <c r="C3967">
        <f t="shared" si="66"/>
        <v>7.19</v>
      </c>
    </row>
    <row r="3968" spans="1:3" x14ac:dyDescent="0.2">
      <c r="A3968" s="34">
        <v>39373</v>
      </c>
      <c r="B3968">
        <v>3.88557</v>
      </c>
      <c r="C3968">
        <f t="shared" si="66"/>
        <v>7.25</v>
      </c>
    </row>
    <row r="3969" spans="1:3" x14ac:dyDescent="0.2">
      <c r="A3969" s="34">
        <v>39372</v>
      </c>
      <c r="B3969">
        <v>3.8852639999999998</v>
      </c>
      <c r="C3969">
        <f t="shared" si="66"/>
        <v>7.3</v>
      </c>
    </row>
    <row r="3970" spans="1:3" x14ac:dyDescent="0.2">
      <c r="A3970" s="34">
        <v>39371</v>
      </c>
      <c r="B3970">
        <v>3.8849580000000001</v>
      </c>
      <c r="C3970">
        <f t="shared" ref="C3970:C4033" si="67">IFERROR(VLOOKUP(A3970,$M$2:$N$3695,2,0),C3971)</f>
        <v>7.25</v>
      </c>
    </row>
    <row r="3971" spans="1:3" x14ac:dyDescent="0.2">
      <c r="A3971" s="34">
        <v>39370</v>
      </c>
      <c r="B3971">
        <v>3.8846530000000001</v>
      </c>
      <c r="C3971">
        <f t="shared" si="67"/>
        <v>7.25</v>
      </c>
    </row>
    <row r="3972" spans="1:3" x14ac:dyDescent="0.2">
      <c r="A3972" s="34">
        <v>39369</v>
      </c>
      <c r="B3972">
        <v>3.884347</v>
      </c>
      <c r="C3972">
        <f t="shared" si="67"/>
        <v>7.1</v>
      </c>
    </row>
    <row r="3973" spans="1:3" x14ac:dyDescent="0.2">
      <c r="A3973" s="34">
        <v>39368</v>
      </c>
      <c r="B3973">
        <v>3.8840409999999999</v>
      </c>
      <c r="C3973">
        <f t="shared" si="67"/>
        <v>7.1</v>
      </c>
    </row>
    <row r="3974" spans="1:3" x14ac:dyDescent="0.2">
      <c r="A3974" s="34">
        <v>39367</v>
      </c>
      <c r="B3974">
        <v>3.8837359999999999</v>
      </c>
      <c r="C3974">
        <f t="shared" si="67"/>
        <v>7.1</v>
      </c>
    </row>
    <row r="3975" spans="1:3" x14ac:dyDescent="0.2">
      <c r="A3975" s="34">
        <v>39366</v>
      </c>
      <c r="B3975">
        <v>3.8834300000000002</v>
      </c>
      <c r="C3975">
        <f t="shared" si="67"/>
        <v>7.25</v>
      </c>
    </row>
    <row r="3976" spans="1:3" x14ac:dyDescent="0.2">
      <c r="A3976" s="34">
        <v>39365</v>
      </c>
      <c r="B3976">
        <v>3.8831250000000002</v>
      </c>
      <c r="C3976">
        <f t="shared" si="67"/>
        <v>7.25</v>
      </c>
    </row>
    <row r="3977" spans="1:3" x14ac:dyDescent="0.2">
      <c r="A3977" s="34">
        <v>39364</v>
      </c>
      <c r="B3977">
        <v>3.8815179999999998</v>
      </c>
      <c r="C3977">
        <f t="shared" si="67"/>
        <v>7.21</v>
      </c>
    </row>
    <row r="3978" spans="1:3" x14ac:dyDescent="0.2">
      <c r="A3978" s="34">
        <v>39363</v>
      </c>
      <c r="B3978">
        <v>3.879912</v>
      </c>
      <c r="C3978">
        <f t="shared" si="67"/>
        <v>7.15</v>
      </c>
    </row>
    <row r="3979" spans="1:3" x14ac:dyDescent="0.2">
      <c r="A3979" s="34">
        <v>39362</v>
      </c>
      <c r="B3979">
        <v>3.8783059999999998</v>
      </c>
      <c r="C3979">
        <f t="shared" si="67"/>
        <v>7</v>
      </c>
    </row>
    <row r="3980" spans="1:3" x14ac:dyDescent="0.2">
      <c r="A3980" s="34">
        <v>39361</v>
      </c>
      <c r="B3980">
        <v>3.8767019999999999</v>
      </c>
      <c r="C3980">
        <f t="shared" si="67"/>
        <v>7</v>
      </c>
    </row>
    <row r="3981" spans="1:3" x14ac:dyDescent="0.2">
      <c r="A3981" s="34">
        <v>39360</v>
      </c>
      <c r="B3981">
        <v>3.8750979999999999</v>
      </c>
      <c r="C3981">
        <f t="shared" si="67"/>
        <v>7</v>
      </c>
    </row>
    <row r="3982" spans="1:3" x14ac:dyDescent="0.2">
      <c r="A3982" s="34">
        <v>39359</v>
      </c>
      <c r="B3982">
        <v>3.873494</v>
      </c>
      <c r="C3982">
        <f t="shared" si="67"/>
        <v>7.24</v>
      </c>
    </row>
    <row r="3983" spans="1:3" x14ac:dyDescent="0.2">
      <c r="A3983" s="34">
        <v>39358</v>
      </c>
      <c r="B3983">
        <v>3.8718919999999999</v>
      </c>
      <c r="C3983">
        <f t="shared" si="67"/>
        <v>7.25</v>
      </c>
    </row>
    <row r="3984" spans="1:3" x14ac:dyDescent="0.2">
      <c r="A3984" s="34">
        <v>39357</v>
      </c>
      <c r="B3984">
        <v>3.8702899999999998</v>
      </c>
      <c r="C3984">
        <f t="shared" si="67"/>
        <v>7.2</v>
      </c>
    </row>
    <row r="3985" spans="1:3" x14ac:dyDescent="0.2">
      <c r="A3985" s="34">
        <v>39356</v>
      </c>
      <c r="B3985">
        <v>3.8686880000000001</v>
      </c>
      <c r="C3985">
        <f t="shared" si="67"/>
        <v>7.15</v>
      </c>
    </row>
    <row r="3986" spans="1:3" x14ac:dyDescent="0.2">
      <c r="A3986" s="34">
        <v>39355</v>
      </c>
      <c r="B3986">
        <v>3.8670870000000002</v>
      </c>
      <c r="C3986">
        <f t="shared" si="67"/>
        <v>7.35</v>
      </c>
    </row>
    <row r="3987" spans="1:3" x14ac:dyDescent="0.2">
      <c r="A3987" s="34">
        <v>39354</v>
      </c>
      <c r="B3987">
        <v>3.8654869999999999</v>
      </c>
      <c r="C3987">
        <f t="shared" si="67"/>
        <v>7.35</v>
      </c>
    </row>
    <row r="3988" spans="1:3" x14ac:dyDescent="0.2">
      <c r="A3988" s="34">
        <v>39353</v>
      </c>
      <c r="B3988">
        <v>3.8638880000000002</v>
      </c>
      <c r="C3988">
        <f t="shared" si="67"/>
        <v>7.35</v>
      </c>
    </row>
    <row r="3989" spans="1:3" x14ac:dyDescent="0.2">
      <c r="A3989" s="34">
        <v>39352</v>
      </c>
      <c r="B3989">
        <v>3.8622890000000001</v>
      </c>
      <c r="C3989">
        <f t="shared" si="67"/>
        <v>7.3</v>
      </c>
    </row>
    <row r="3990" spans="1:3" x14ac:dyDescent="0.2">
      <c r="A3990" s="34">
        <v>39351</v>
      </c>
      <c r="B3990">
        <v>3.8606910000000001</v>
      </c>
      <c r="C3990">
        <f t="shared" si="67"/>
        <v>7.3</v>
      </c>
    </row>
    <row r="3991" spans="1:3" x14ac:dyDescent="0.2">
      <c r="A3991" s="34">
        <v>39350</v>
      </c>
      <c r="B3991">
        <v>3.8590939999999998</v>
      </c>
      <c r="C3991">
        <f t="shared" si="67"/>
        <v>7.2</v>
      </c>
    </row>
    <row r="3992" spans="1:3" x14ac:dyDescent="0.2">
      <c r="A3992" s="34">
        <v>39349</v>
      </c>
      <c r="B3992">
        <v>3.8586140000000002</v>
      </c>
      <c r="C3992">
        <f t="shared" si="67"/>
        <v>7.2</v>
      </c>
    </row>
    <row r="3993" spans="1:3" x14ac:dyDescent="0.2">
      <c r="A3993" s="34">
        <v>39348</v>
      </c>
      <c r="B3993">
        <v>3.8581340000000002</v>
      </c>
      <c r="C3993">
        <f t="shared" si="67"/>
        <v>7.25</v>
      </c>
    </row>
    <row r="3994" spans="1:3" x14ac:dyDescent="0.2">
      <c r="A3994" s="34">
        <v>39347</v>
      </c>
      <c r="B3994">
        <v>3.8576540000000001</v>
      </c>
      <c r="C3994">
        <f t="shared" si="67"/>
        <v>7.25</v>
      </c>
    </row>
    <row r="3995" spans="1:3" x14ac:dyDescent="0.2">
      <c r="A3995" s="34">
        <v>39346</v>
      </c>
      <c r="B3995">
        <v>3.8571740000000001</v>
      </c>
      <c r="C3995">
        <f t="shared" si="67"/>
        <v>7.25</v>
      </c>
    </row>
    <row r="3996" spans="1:3" x14ac:dyDescent="0.2">
      <c r="A3996" s="34">
        <v>39345</v>
      </c>
      <c r="B3996">
        <v>3.8566940000000001</v>
      </c>
      <c r="C3996">
        <f t="shared" si="67"/>
        <v>7</v>
      </c>
    </row>
    <row r="3997" spans="1:3" x14ac:dyDescent="0.2">
      <c r="A3997" s="34">
        <v>39344</v>
      </c>
      <c r="B3997">
        <v>3.8562150000000002</v>
      </c>
      <c r="C3997">
        <f t="shared" si="67"/>
        <v>7.25</v>
      </c>
    </row>
    <row r="3998" spans="1:3" x14ac:dyDescent="0.2">
      <c r="A3998" s="34">
        <v>39343</v>
      </c>
      <c r="B3998">
        <v>3.8557350000000001</v>
      </c>
      <c r="C3998">
        <f t="shared" si="67"/>
        <v>7.2</v>
      </c>
    </row>
    <row r="3999" spans="1:3" x14ac:dyDescent="0.2">
      <c r="A3999" s="34">
        <v>39342</v>
      </c>
      <c r="B3999">
        <v>3.8552559999999998</v>
      </c>
      <c r="C3999">
        <f t="shared" si="67"/>
        <v>7.32</v>
      </c>
    </row>
    <row r="4000" spans="1:3" x14ac:dyDescent="0.2">
      <c r="A4000" s="34">
        <v>39341</v>
      </c>
      <c r="B4000">
        <v>3.8547760000000002</v>
      </c>
      <c r="C4000">
        <f t="shared" si="67"/>
        <v>6.9</v>
      </c>
    </row>
    <row r="4001" spans="1:3" x14ac:dyDescent="0.2">
      <c r="A4001" s="34">
        <v>39340</v>
      </c>
      <c r="B4001">
        <v>3.8542969999999999</v>
      </c>
      <c r="C4001">
        <f t="shared" si="67"/>
        <v>6.9</v>
      </c>
    </row>
    <row r="4002" spans="1:3" x14ac:dyDescent="0.2">
      <c r="A4002" s="34">
        <v>39339</v>
      </c>
      <c r="B4002">
        <v>3.8538169999999998</v>
      </c>
      <c r="C4002">
        <f t="shared" si="67"/>
        <v>6.9</v>
      </c>
    </row>
    <row r="4003" spans="1:3" x14ac:dyDescent="0.2">
      <c r="A4003" s="34">
        <v>39338</v>
      </c>
      <c r="B4003">
        <v>3.8533379999999999</v>
      </c>
      <c r="C4003">
        <f t="shared" si="67"/>
        <v>7.17</v>
      </c>
    </row>
    <row r="4004" spans="1:3" x14ac:dyDescent="0.2">
      <c r="A4004" s="34">
        <v>39337</v>
      </c>
      <c r="B4004">
        <v>3.852859</v>
      </c>
      <c r="C4004">
        <f t="shared" si="67"/>
        <v>7.25</v>
      </c>
    </row>
    <row r="4005" spans="1:3" x14ac:dyDescent="0.2">
      <c r="A4005" s="34">
        <v>39336</v>
      </c>
      <c r="B4005">
        <v>3.852379</v>
      </c>
      <c r="C4005">
        <f t="shared" si="67"/>
        <v>7.2</v>
      </c>
    </row>
    <row r="4006" spans="1:3" x14ac:dyDescent="0.2">
      <c r="A4006" s="34">
        <v>39335</v>
      </c>
      <c r="B4006">
        <v>3.8519000000000001</v>
      </c>
      <c r="C4006">
        <f t="shared" si="67"/>
        <v>7.25</v>
      </c>
    </row>
    <row r="4007" spans="1:3" x14ac:dyDescent="0.2">
      <c r="A4007" s="34">
        <v>39334</v>
      </c>
      <c r="B4007">
        <v>3.8514089999999999</v>
      </c>
      <c r="C4007">
        <f t="shared" si="67"/>
        <v>7.15</v>
      </c>
    </row>
    <row r="4008" spans="1:3" x14ac:dyDescent="0.2">
      <c r="A4008" s="34">
        <v>39333</v>
      </c>
      <c r="B4008">
        <v>3.8509180000000001</v>
      </c>
      <c r="C4008">
        <f t="shared" si="67"/>
        <v>7.15</v>
      </c>
    </row>
    <row r="4009" spans="1:3" x14ac:dyDescent="0.2">
      <c r="A4009" s="34">
        <v>39332</v>
      </c>
      <c r="B4009">
        <v>3.8504269999999998</v>
      </c>
      <c r="C4009">
        <f t="shared" si="67"/>
        <v>7.15</v>
      </c>
    </row>
    <row r="4010" spans="1:3" x14ac:dyDescent="0.2">
      <c r="A4010" s="34">
        <v>39331</v>
      </c>
      <c r="B4010">
        <v>3.8499349999999999</v>
      </c>
      <c r="C4010">
        <f t="shared" si="67"/>
        <v>7.25</v>
      </c>
    </row>
    <row r="4011" spans="1:3" x14ac:dyDescent="0.2">
      <c r="A4011" s="34">
        <v>39330</v>
      </c>
      <c r="B4011">
        <v>3.8494440000000001</v>
      </c>
      <c r="C4011">
        <f t="shared" si="67"/>
        <v>7.25</v>
      </c>
    </row>
    <row r="4012" spans="1:3" x14ac:dyDescent="0.2">
      <c r="A4012" s="34">
        <v>39329</v>
      </c>
      <c r="B4012">
        <v>3.8489529999999998</v>
      </c>
      <c r="C4012">
        <f t="shared" si="67"/>
        <v>7.2</v>
      </c>
    </row>
    <row r="4013" spans="1:3" x14ac:dyDescent="0.2">
      <c r="A4013" s="34">
        <v>39328</v>
      </c>
      <c r="B4013">
        <v>3.8484630000000002</v>
      </c>
      <c r="C4013">
        <f t="shared" si="67"/>
        <v>7.2</v>
      </c>
    </row>
    <row r="4014" spans="1:3" x14ac:dyDescent="0.2">
      <c r="A4014" s="34">
        <v>39327</v>
      </c>
      <c r="B4014">
        <v>3.8479719999999999</v>
      </c>
      <c r="C4014">
        <f t="shared" si="67"/>
        <v>7.25</v>
      </c>
    </row>
    <row r="4015" spans="1:3" x14ac:dyDescent="0.2">
      <c r="A4015" s="34">
        <v>39326</v>
      </c>
      <c r="B4015">
        <v>3.8474810000000002</v>
      </c>
      <c r="C4015">
        <f t="shared" si="67"/>
        <v>7.25</v>
      </c>
    </row>
    <row r="4016" spans="1:3" x14ac:dyDescent="0.2">
      <c r="A4016" s="34">
        <v>39325</v>
      </c>
      <c r="B4016">
        <v>3.8469899999999999</v>
      </c>
      <c r="C4016">
        <f t="shared" si="67"/>
        <v>7.25</v>
      </c>
    </row>
    <row r="4017" spans="1:3" x14ac:dyDescent="0.2">
      <c r="A4017" s="34">
        <v>39324</v>
      </c>
      <c r="B4017">
        <v>3.8464990000000001</v>
      </c>
      <c r="C4017">
        <f t="shared" si="67"/>
        <v>7.24</v>
      </c>
    </row>
    <row r="4018" spans="1:3" x14ac:dyDescent="0.2">
      <c r="A4018" s="34">
        <v>39323</v>
      </c>
      <c r="B4018">
        <v>3.846009</v>
      </c>
      <c r="C4018">
        <f t="shared" si="67"/>
        <v>7.3</v>
      </c>
    </row>
    <row r="4019" spans="1:3" x14ac:dyDescent="0.2">
      <c r="A4019" s="34">
        <v>39322</v>
      </c>
      <c r="B4019">
        <v>3.8455180000000002</v>
      </c>
      <c r="C4019">
        <f t="shared" si="67"/>
        <v>7.25</v>
      </c>
    </row>
    <row r="4020" spans="1:3" x14ac:dyDescent="0.2">
      <c r="A4020" s="34">
        <v>39321</v>
      </c>
      <c r="B4020">
        <v>3.8450280000000001</v>
      </c>
      <c r="C4020">
        <f t="shared" si="67"/>
        <v>7.25</v>
      </c>
    </row>
    <row r="4021" spans="1:3" x14ac:dyDescent="0.2">
      <c r="A4021" s="34">
        <v>39320</v>
      </c>
      <c r="B4021">
        <v>3.8445369999999999</v>
      </c>
      <c r="C4021">
        <f t="shared" si="67"/>
        <v>6.9</v>
      </c>
    </row>
    <row r="4022" spans="1:3" x14ac:dyDescent="0.2">
      <c r="A4022" s="34">
        <v>39319</v>
      </c>
      <c r="B4022">
        <v>3.8440470000000002</v>
      </c>
      <c r="C4022">
        <f t="shared" si="67"/>
        <v>6.9</v>
      </c>
    </row>
    <row r="4023" spans="1:3" x14ac:dyDescent="0.2">
      <c r="A4023" s="34">
        <v>39318</v>
      </c>
      <c r="B4023">
        <v>3.8434849999999998</v>
      </c>
      <c r="C4023">
        <f t="shared" si="67"/>
        <v>6.9</v>
      </c>
    </row>
    <row r="4024" spans="1:3" x14ac:dyDescent="0.2">
      <c r="A4024" s="34">
        <v>39317</v>
      </c>
      <c r="B4024">
        <v>3.842924</v>
      </c>
      <c r="C4024">
        <f t="shared" si="67"/>
        <v>7.25</v>
      </c>
    </row>
    <row r="4025" spans="1:3" x14ac:dyDescent="0.2">
      <c r="A4025" s="34">
        <v>39316</v>
      </c>
      <c r="B4025">
        <v>3.8423620000000001</v>
      </c>
      <c r="C4025">
        <f t="shared" si="67"/>
        <v>7</v>
      </c>
    </row>
    <row r="4026" spans="1:3" x14ac:dyDescent="0.2">
      <c r="A4026" s="34">
        <v>39315</v>
      </c>
      <c r="B4026">
        <v>3.8418000000000001</v>
      </c>
      <c r="C4026">
        <f t="shared" si="67"/>
        <v>7.15</v>
      </c>
    </row>
    <row r="4027" spans="1:3" x14ac:dyDescent="0.2">
      <c r="A4027" s="34">
        <v>39314</v>
      </c>
      <c r="B4027">
        <v>3.8412389999999998</v>
      </c>
      <c r="C4027">
        <f t="shared" si="67"/>
        <v>7.25</v>
      </c>
    </row>
    <row r="4028" spans="1:3" x14ac:dyDescent="0.2">
      <c r="A4028" s="34">
        <v>39313</v>
      </c>
      <c r="B4028">
        <v>3.8406769999999999</v>
      </c>
      <c r="C4028">
        <f t="shared" si="67"/>
        <v>7.25</v>
      </c>
    </row>
    <row r="4029" spans="1:3" x14ac:dyDescent="0.2">
      <c r="A4029" s="34">
        <v>39312</v>
      </c>
      <c r="B4029">
        <v>3.8401160000000001</v>
      </c>
      <c r="C4029">
        <f t="shared" si="67"/>
        <v>7.25</v>
      </c>
    </row>
    <row r="4030" spans="1:3" x14ac:dyDescent="0.2">
      <c r="A4030" s="34">
        <v>39311</v>
      </c>
      <c r="B4030">
        <v>3.8395549999999998</v>
      </c>
      <c r="C4030">
        <f t="shared" si="67"/>
        <v>7.25</v>
      </c>
    </row>
    <row r="4031" spans="1:3" x14ac:dyDescent="0.2">
      <c r="A4031" s="34">
        <v>39310</v>
      </c>
      <c r="B4031">
        <v>3.838994</v>
      </c>
      <c r="C4031">
        <f t="shared" si="67"/>
        <v>7.25</v>
      </c>
    </row>
    <row r="4032" spans="1:3" x14ac:dyDescent="0.2">
      <c r="A4032" s="34">
        <v>39309</v>
      </c>
      <c r="B4032">
        <v>3.8384330000000002</v>
      </c>
      <c r="C4032">
        <f t="shared" si="67"/>
        <v>6</v>
      </c>
    </row>
    <row r="4033" spans="1:3" x14ac:dyDescent="0.2">
      <c r="A4033" s="34">
        <v>39308</v>
      </c>
      <c r="B4033">
        <v>3.837872</v>
      </c>
      <c r="C4033">
        <f t="shared" si="67"/>
        <v>7.25</v>
      </c>
    </row>
    <row r="4034" spans="1:3" x14ac:dyDescent="0.2">
      <c r="A4034" s="34">
        <v>39307</v>
      </c>
      <c r="B4034">
        <v>3.8373110000000001</v>
      </c>
      <c r="C4034">
        <f t="shared" ref="C4034:C4097" si="68">IFERROR(VLOOKUP(A4034,$M$2:$N$3695,2,0),C4035)</f>
        <v>7.21</v>
      </c>
    </row>
    <row r="4035" spans="1:3" x14ac:dyDescent="0.2">
      <c r="A4035" s="34">
        <v>39306</v>
      </c>
      <c r="B4035">
        <v>3.8367499999999999</v>
      </c>
      <c r="C4035">
        <f t="shared" si="68"/>
        <v>7</v>
      </c>
    </row>
    <row r="4036" spans="1:3" x14ac:dyDescent="0.2">
      <c r="A4036" s="34">
        <v>39305</v>
      </c>
      <c r="B4036">
        <v>3.8361890000000001</v>
      </c>
      <c r="C4036">
        <f t="shared" si="68"/>
        <v>7</v>
      </c>
    </row>
    <row r="4037" spans="1:3" x14ac:dyDescent="0.2">
      <c r="A4037" s="34">
        <v>39304</v>
      </c>
      <c r="B4037">
        <v>3.8356279999999998</v>
      </c>
      <c r="C4037">
        <f t="shared" si="68"/>
        <v>7</v>
      </c>
    </row>
    <row r="4038" spans="1:3" x14ac:dyDescent="0.2">
      <c r="A4038" s="34">
        <v>39303</v>
      </c>
      <c r="B4038">
        <v>3.8350409999999999</v>
      </c>
      <c r="C4038">
        <f t="shared" si="68"/>
        <v>6.15</v>
      </c>
    </row>
    <row r="4039" spans="1:3" x14ac:dyDescent="0.2">
      <c r="A4039" s="34">
        <v>39302</v>
      </c>
      <c r="B4039">
        <v>3.8344529999999999</v>
      </c>
      <c r="C4039">
        <f t="shared" si="68"/>
        <v>7.3</v>
      </c>
    </row>
    <row r="4040" spans="1:3" x14ac:dyDescent="0.2">
      <c r="A4040" s="34">
        <v>39301</v>
      </c>
      <c r="B4040">
        <v>3.833866</v>
      </c>
      <c r="C4040">
        <f t="shared" si="68"/>
        <v>7.25</v>
      </c>
    </row>
    <row r="4041" spans="1:3" x14ac:dyDescent="0.2">
      <c r="A4041" s="34">
        <v>39300</v>
      </c>
      <c r="B4041">
        <v>3.833278</v>
      </c>
      <c r="C4041">
        <f t="shared" si="68"/>
        <v>7.4</v>
      </c>
    </row>
    <row r="4042" spans="1:3" x14ac:dyDescent="0.2">
      <c r="A4042" s="34">
        <v>39299</v>
      </c>
      <c r="B4042">
        <v>3.8326910000000001</v>
      </c>
      <c r="C4042">
        <f t="shared" si="68"/>
        <v>7.25</v>
      </c>
    </row>
    <row r="4043" spans="1:3" x14ac:dyDescent="0.2">
      <c r="A4043" s="34">
        <v>39298</v>
      </c>
      <c r="B4043">
        <v>3.8321040000000002</v>
      </c>
      <c r="C4043">
        <f t="shared" si="68"/>
        <v>7.25</v>
      </c>
    </row>
    <row r="4044" spans="1:3" x14ac:dyDescent="0.2">
      <c r="A4044" s="34">
        <v>39297</v>
      </c>
      <c r="B4044">
        <v>3.8315160000000001</v>
      </c>
      <c r="C4044">
        <f t="shared" si="68"/>
        <v>7.25</v>
      </c>
    </row>
    <row r="4045" spans="1:3" x14ac:dyDescent="0.2">
      <c r="A4045" s="34">
        <v>39296</v>
      </c>
      <c r="B4045">
        <v>3.8309289999999998</v>
      </c>
      <c r="C4045">
        <f t="shared" si="68"/>
        <v>7.25</v>
      </c>
    </row>
    <row r="4046" spans="1:3" x14ac:dyDescent="0.2">
      <c r="A4046" s="34">
        <v>39295</v>
      </c>
      <c r="B4046">
        <v>3.8303419999999999</v>
      </c>
      <c r="C4046">
        <f t="shared" si="68"/>
        <v>7.26</v>
      </c>
    </row>
    <row r="4047" spans="1:3" x14ac:dyDescent="0.2">
      <c r="A4047" s="34">
        <v>39294</v>
      </c>
      <c r="B4047">
        <v>3.829755</v>
      </c>
      <c r="C4047">
        <f t="shared" si="68"/>
        <v>7.25</v>
      </c>
    </row>
    <row r="4048" spans="1:3" x14ac:dyDescent="0.2">
      <c r="A4048" s="34">
        <v>39293</v>
      </c>
      <c r="B4048">
        <v>3.8291689999999998</v>
      </c>
      <c r="C4048">
        <f t="shared" si="68"/>
        <v>7.2</v>
      </c>
    </row>
    <row r="4049" spans="1:3" x14ac:dyDescent="0.2">
      <c r="A4049" s="34">
        <v>39292</v>
      </c>
      <c r="B4049">
        <v>3.8285819999999999</v>
      </c>
      <c r="C4049">
        <f t="shared" si="68"/>
        <v>7.3</v>
      </c>
    </row>
    <row r="4050" spans="1:3" x14ac:dyDescent="0.2">
      <c r="A4050" s="34">
        <v>39291</v>
      </c>
      <c r="B4050">
        <v>3.827995</v>
      </c>
      <c r="C4050">
        <f t="shared" si="68"/>
        <v>7.3</v>
      </c>
    </row>
    <row r="4051" spans="1:3" x14ac:dyDescent="0.2">
      <c r="A4051" s="34">
        <v>39290</v>
      </c>
      <c r="B4051">
        <v>3.8274089999999998</v>
      </c>
      <c r="C4051">
        <f t="shared" si="68"/>
        <v>7.3</v>
      </c>
    </row>
    <row r="4052" spans="1:3" x14ac:dyDescent="0.2">
      <c r="A4052" s="34">
        <v>39289</v>
      </c>
      <c r="B4052">
        <v>3.8268219999999999</v>
      </c>
      <c r="C4052">
        <f t="shared" si="68"/>
        <v>7.2</v>
      </c>
    </row>
    <row r="4053" spans="1:3" x14ac:dyDescent="0.2">
      <c r="A4053" s="34">
        <v>39288</v>
      </c>
      <c r="B4053">
        <v>3.8262360000000002</v>
      </c>
      <c r="C4053">
        <f t="shared" si="68"/>
        <v>7.15</v>
      </c>
    </row>
    <row r="4054" spans="1:3" x14ac:dyDescent="0.2">
      <c r="A4054" s="34">
        <v>39287</v>
      </c>
      <c r="B4054">
        <v>3.8258860000000001</v>
      </c>
      <c r="C4054">
        <f t="shared" si="68"/>
        <v>7.27</v>
      </c>
    </row>
    <row r="4055" spans="1:3" x14ac:dyDescent="0.2">
      <c r="A4055" s="34">
        <v>39286</v>
      </c>
      <c r="B4055">
        <v>3.825536</v>
      </c>
      <c r="C4055">
        <f t="shared" si="68"/>
        <v>7.1</v>
      </c>
    </row>
    <row r="4056" spans="1:3" x14ac:dyDescent="0.2">
      <c r="A4056" s="34">
        <v>39285</v>
      </c>
      <c r="B4056">
        <v>3.825186</v>
      </c>
      <c r="C4056">
        <f t="shared" si="68"/>
        <v>7.28</v>
      </c>
    </row>
    <row r="4057" spans="1:3" x14ac:dyDescent="0.2">
      <c r="A4057" s="34">
        <v>39284</v>
      </c>
      <c r="B4057">
        <v>3.8248359999999999</v>
      </c>
      <c r="C4057">
        <f t="shared" si="68"/>
        <v>7.28</v>
      </c>
    </row>
    <row r="4058" spans="1:3" x14ac:dyDescent="0.2">
      <c r="A4058" s="34">
        <v>39283</v>
      </c>
      <c r="B4058">
        <v>3.824487</v>
      </c>
      <c r="C4058">
        <f t="shared" si="68"/>
        <v>7.28</v>
      </c>
    </row>
    <row r="4059" spans="1:3" x14ac:dyDescent="0.2">
      <c r="A4059" s="34">
        <v>39282</v>
      </c>
      <c r="B4059">
        <v>3.8241369999999999</v>
      </c>
      <c r="C4059">
        <f t="shared" si="68"/>
        <v>7</v>
      </c>
    </row>
    <row r="4060" spans="1:3" x14ac:dyDescent="0.2">
      <c r="A4060" s="34">
        <v>39281</v>
      </c>
      <c r="B4060">
        <v>3.8237869999999998</v>
      </c>
      <c r="C4060">
        <f t="shared" si="68"/>
        <v>7.24</v>
      </c>
    </row>
    <row r="4061" spans="1:3" x14ac:dyDescent="0.2">
      <c r="A4061" s="34">
        <v>39280</v>
      </c>
      <c r="B4061">
        <v>3.8234370000000002</v>
      </c>
      <c r="C4061">
        <f t="shared" si="68"/>
        <v>7.28</v>
      </c>
    </row>
    <row r="4062" spans="1:3" x14ac:dyDescent="0.2">
      <c r="A4062" s="34">
        <v>39279</v>
      </c>
      <c r="B4062">
        <v>3.8230879999999998</v>
      </c>
      <c r="C4062">
        <f t="shared" si="68"/>
        <v>7.28</v>
      </c>
    </row>
    <row r="4063" spans="1:3" x14ac:dyDescent="0.2">
      <c r="A4063" s="34">
        <v>39278</v>
      </c>
      <c r="B4063">
        <v>3.8227380000000002</v>
      </c>
      <c r="C4063">
        <f t="shared" si="68"/>
        <v>7.2</v>
      </c>
    </row>
    <row r="4064" spans="1:3" x14ac:dyDescent="0.2">
      <c r="A4064" s="34">
        <v>39277</v>
      </c>
      <c r="B4064">
        <v>3.8223880000000001</v>
      </c>
      <c r="C4064">
        <f t="shared" si="68"/>
        <v>7.2</v>
      </c>
    </row>
    <row r="4065" spans="1:3" x14ac:dyDescent="0.2">
      <c r="A4065" s="34">
        <v>39276</v>
      </c>
      <c r="B4065">
        <v>3.8220390000000002</v>
      </c>
      <c r="C4065">
        <f t="shared" si="68"/>
        <v>7.2</v>
      </c>
    </row>
    <row r="4066" spans="1:3" x14ac:dyDescent="0.2">
      <c r="A4066" s="34">
        <v>39275</v>
      </c>
      <c r="B4066">
        <v>3.8216890000000001</v>
      </c>
      <c r="C4066">
        <f t="shared" si="68"/>
        <v>7</v>
      </c>
    </row>
    <row r="4067" spans="1:3" x14ac:dyDescent="0.2">
      <c r="A4067" s="34">
        <v>39274</v>
      </c>
      <c r="B4067">
        <v>3.8213400000000002</v>
      </c>
      <c r="C4067">
        <f t="shared" si="68"/>
        <v>7.3</v>
      </c>
    </row>
    <row r="4068" spans="1:3" x14ac:dyDescent="0.2">
      <c r="A4068" s="34">
        <v>39273</v>
      </c>
      <c r="B4068">
        <v>3.8209900000000001</v>
      </c>
      <c r="C4068">
        <f t="shared" si="68"/>
        <v>7.4</v>
      </c>
    </row>
    <row r="4069" spans="1:3" x14ac:dyDescent="0.2">
      <c r="A4069" s="34">
        <v>39272</v>
      </c>
      <c r="B4069">
        <v>3.8207810000000002</v>
      </c>
      <c r="C4069">
        <f t="shared" si="68"/>
        <v>7.25</v>
      </c>
    </row>
    <row r="4070" spans="1:3" x14ac:dyDescent="0.2">
      <c r="A4070" s="34">
        <v>39271</v>
      </c>
      <c r="B4070">
        <v>3.8205710000000002</v>
      </c>
      <c r="C4070">
        <f t="shared" si="68"/>
        <v>7.2</v>
      </c>
    </row>
    <row r="4071" spans="1:3" x14ac:dyDescent="0.2">
      <c r="A4071" s="34">
        <v>39270</v>
      </c>
      <c r="B4071">
        <v>3.8203619999999998</v>
      </c>
      <c r="C4071">
        <f t="shared" si="68"/>
        <v>7.2</v>
      </c>
    </row>
    <row r="4072" spans="1:3" x14ac:dyDescent="0.2">
      <c r="A4072" s="34">
        <v>39269</v>
      </c>
      <c r="B4072">
        <v>3.8201520000000002</v>
      </c>
      <c r="C4072">
        <f t="shared" si="68"/>
        <v>7.2</v>
      </c>
    </row>
    <row r="4073" spans="1:3" x14ac:dyDescent="0.2">
      <c r="A4073" s="34">
        <v>39268</v>
      </c>
      <c r="B4073">
        <v>3.8199429999999999</v>
      </c>
      <c r="C4073">
        <f t="shared" si="68"/>
        <v>7.27</v>
      </c>
    </row>
    <row r="4074" spans="1:3" x14ac:dyDescent="0.2">
      <c r="A4074" s="34">
        <v>39267</v>
      </c>
      <c r="B4074">
        <v>3.8197329999999998</v>
      </c>
      <c r="C4074">
        <f t="shared" si="68"/>
        <v>7.27</v>
      </c>
    </row>
    <row r="4075" spans="1:3" x14ac:dyDescent="0.2">
      <c r="A4075" s="34">
        <v>39266</v>
      </c>
      <c r="B4075">
        <v>3.8195239999999999</v>
      </c>
      <c r="C4075">
        <f t="shared" si="68"/>
        <v>7.25</v>
      </c>
    </row>
    <row r="4076" spans="1:3" x14ac:dyDescent="0.2">
      <c r="A4076" s="34">
        <v>39265</v>
      </c>
      <c r="B4076">
        <v>3.8193139999999999</v>
      </c>
      <c r="C4076">
        <f t="shared" si="68"/>
        <v>7.27</v>
      </c>
    </row>
    <row r="4077" spans="1:3" x14ac:dyDescent="0.2">
      <c r="A4077" s="34">
        <v>39264</v>
      </c>
      <c r="B4077">
        <v>3.819105</v>
      </c>
      <c r="C4077">
        <f t="shared" si="68"/>
        <v>7.2</v>
      </c>
    </row>
    <row r="4078" spans="1:3" x14ac:dyDescent="0.2">
      <c r="A4078" s="34">
        <v>39263</v>
      </c>
      <c r="B4078">
        <v>3.8188960000000001</v>
      </c>
      <c r="C4078">
        <f t="shared" si="68"/>
        <v>7.2</v>
      </c>
    </row>
    <row r="4079" spans="1:3" x14ac:dyDescent="0.2">
      <c r="A4079" s="34">
        <v>39262</v>
      </c>
      <c r="B4079">
        <v>3.818686</v>
      </c>
      <c r="C4079">
        <f t="shared" si="68"/>
        <v>7.2</v>
      </c>
    </row>
    <row r="4080" spans="1:3" x14ac:dyDescent="0.2">
      <c r="A4080" s="34">
        <v>39261</v>
      </c>
      <c r="B4080">
        <v>3.8184770000000001</v>
      </c>
      <c r="C4080">
        <f t="shared" si="68"/>
        <v>7.25</v>
      </c>
    </row>
    <row r="4081" spans="1:3" x14ac:dyDescent="0.2">
      <c r="A4081" s="34">
        <v>39260</v>
      </c>
      <c r="B4081">
        <v>3.8182670000000001</v>
      </c>
      <c r="C4081">
        <f t="shared" si="68"/>
        <v>7.28</v>
      </c>
    </row>
    <row r="4082" spans="1:3" x14ac:dyDescent="0.2">
      <c r="A4082" s="34">
        <v>39259</v>
      </c>
      <c r="B4082">
        <v>3.8180580000000002</v>
      </c>
      <c r="C4082">
        <f t="shared" si="68"/>
        <v>7.32</v>
      </c>
    </row>
    <row r="4083" spans="1:3" x14ac:dyDescent="0.2">
      <c r="A4083" s="34">
        <v>39258</v>
      </c>
      <c r="B4083">
        <v>3.8178489999999998</v>
      </c>
      <c r="C4083">
        <f t="shared" si="68"/>
        <v>7.3</v>
      </c>
    </row>
    <row r="4084" spans="1:3" x14ac:dyDescent="0.2">
      <c r="A4084" s="34">
        <v>39257</v>
      </c>
      <c r="B4084">
        <v>3.8180040000000002</v>
      </c>
      <c r="C4084">
        <f t="shared" si="68"/>
        <v>7</v>
      </c>
    </row>
    <row r="4085" spans="1:3" x14ac:dyDescent="0.2">
      <c r="A4085" s="34">
        <v>39256</v>
      </c>
      <c r="B4085">
        <v>3.8181590000000001</v>
      </c>
      <c r="C4085">
        <f t="shared" si="68"/>
        <v>7</v>
      </c>
    </row>
    <row r="4086" spans="1:3" x14ac:dyDescent="0.2">
      <c r="A4086" s="34">
        <v>39255</v>
      </c>
      <c r="B4086">
        <v>3.818314</v>
      </c>
      <c r="C4086">
        <f t="shared" si="68"/>
        <v>7</v>
      </c>
    </row>
    <row r="4087" spans="1:3" x14ac:dyDescent="0.2">
      <c r="A4087" s="34">
        <v>39254</v>
      </c>
      <c r="B4087">
        <v>3.8184689999999999</v>
      </c>
      <c r="C4087">
        <f t="shared" si="68"/>
        <v>7.28</v>
      </c>
    </row>
    <row r="4088" spans="1:3" x14ac:dyDescent="0.2">
      <c r="A4088" s="34">
        <v>39253</v>
      </c>
      <c r="B4088">
        <v>3.8186230000000001</v>
      </c>
      <c r="C4088">
        <f t="shared" si="68"/>
        <v>7.05</v>
      </c>
    </row>
    <row r="4089" spans="1:3" x14ac:dyDescent="0.2">
      <c r="A4089" s="34">
        <v>39252</v>
      </c>
      <c r="B4089">
        <v>3.818778</v>
      </c>
      <c r="C4089">
        <f t="shared" si="68"/>
        <v>7.25</v>
      </c>
    </row>
    <row r="4090" spans="1:3" x14ac:dyDescent="0.2">
      <c r="A4090" s="34">
        <v>39251</v>
      </c>
      <c r="B4090">
        <v>3.8189329999999999</v>
      </c>
      <c r="C4090">
        <f t="shared" si="68"/>
        <v>7.4</v>
      </c>
    </row>
    <row r="4091" spans="1:3" x14ac:dyDescent="0.2">
      <c r="A4091" s="34">
        <v>39250</v>
      </c>
      <c r="B4091">
        <v>3.8190879999999998</v>
      </c>
      <c r="C4091">
        <f t="shared" si="68"/>
        <v>7.25</v>
      </c>
    </row>
    <row r="4092" spans="1:3" x14ac:dyDescent="0.2">
      <c r="A4092" s="34">
        <v>39249</v>
      </c>
      <c r="B4092">
        <v>3.8192430000000002</v>
      </c>
      <c r="C4092">
        <f t="shared" si="68"/>
        <v>7.25</v>
      </c>
    </row>
    <row r="4093" spans="1:3" x14ac:dyDescent="0.2">
      <c r="A4093" s="34">
        <v>39248</v>
      </c>
      <c r="B4093">
        <v>3.8193980000000001</v>
      </c>
      <c r="C4093">
        <f t="shared" si="68"/>
        <v>7.25</v>
      </c>
    </row>
    <row r="4094" spans="1:3" x14ac:dyDescent="0.2">
      <c r="A4094" s="34">
        <v>39247</v>
      </c>
      <c r="B4094">
        <v>3.819553</v>
      </c>
      <c r="C4094">
        <f t="shared" si="68"/>
        <v>7.27</v>
      </c>
    </row>
    <row r="4095" spans="1:3" x14ac:dyDescent="0.2">
      <c r="A4095" s="34">
        <v>39246</v>
      </c>
      <c r="B4095">
        <v>3.8197079999999999</v>
      </c>
      <c r="C4095">
        <f t="shared" si="68"/>
        <v>7.15</v>
      </c>
    </row>
    <row r="4096" spans="1:3" x14ac:dyDescent="0.2">
      <c r="A4096" s="34">
        <v>39245</v>
      </c>
      <c r="B4096">
        <v>3.8198629999999998</v>
      </c>
      <c r="C4096">
        <f t="shared" si="68"/>
        <v>7.22</v>
      </c>
    </row>
    <row r="4097" spans="1:3" x14ac:dyDescent="0.2">
      <c r="A4097" s="34">
        <v>39244</v>
      </c>
      <c r="B4097">
        <v>3.8200180000000001</v>
      </c>
      <c r="C4097">
        <f t="shared" si="68"/>
        <v>7.2</v>
      </c>
    </row>
    <row r="4098" spans="1:3" x14ac:dyDescent="0.2">
      <c r="A4098" s="34">
        <v>39243</v>
      </c>
      <c r="B4098">
        <v>3.820173</v>
      </c>
      <c r="C4098">
        <f t="shared" ref="C4098:C4161" si="69">IFERROR(VLOOKUP(A4098,$M$2:$N$3695,2,0),C4099)</f>
        <v>7.1</v>
      </c>
    </row>
    <row r="4099" spans="1:3" x14ac:dyDescent="0.2">
      <c r="A4099" s="34">
        <v>39242</v>
      </c>
      <c r="B4099">
        <v>3.821399</v>
      </c>
      <c r="C4099">
        <f t="shared" si="69"/>
        <v>7.1</v>
      </c>
    </row>
    <row r="4100" spans="1:3" x14ac:dyDescent="0.2">
      <c r="A4100" s="34">
        <v>39241</v>
      </c>
      <c r="B4100">
        <v>3.8226260000000001</v>
      </c>
      <c r="C4100">
        <f t="shared" si="69"/>
        <v>7.1</v>
      </c>
    </row>
    <row r="4101" spans="1:3" x14ac:dyDescent="0.2">
      <c r="A4101" s="34">
        <v>39240</v>
      </c>
      <c r="B4101">
        <v>3.8238530000000002</v>
      </c>
      <c r="C4101">
        <f t="shared" si="69"/>
        <v>7.28</v>
      </c>
    </row>
    <row r="4102" spans="1:3" x14ac:dyDescent="0.2">
      <c r="A4102" s="34">
        <v>39239</v>
      </c>
      <c r="B4102">
        <v>3.8250799999999998</v>
      </c>
      <c r="C4102">
        <f t="shared" si="69"/>
        <v>7.26</v>
      </c>
    </row>
    <row r="4103" spans="1:3" x14ac:dyDescent="0.2">
      <c r="A4103" s="34">
        <v>39238</v>
      </c>
      <c r="B4103">
        <v>3.826308</v>
      </c>
      <c r="C4103">
        <f t="shared" si="69"/>
        <v>7.25</v>
      </c>
    </row>
    <row r="4104" spans="1:3" x14ac:dyDescent="0.2">
      <c r="A4104" s="34">
        <v>39237</v>
      </c>
      <c r="B4104">
        <v>3.8275359999999998</v>
      </c>
      <c r="C4104">
        <f t="shared" si="69"/>
        <v>7.26</v>
      </c>
    </row>
    <row r="4105" spans="1:3" x14ac:dyDescent="0.2">
      <c r="A4105" s="34">
        <v>39236</v>
      </c>
      <c r="B4105">
        <v>3.8287640000000001</v>
      </c>
      <c r="C4105">
        <f t="shared" si="69"/>
        <v>7.25</v>
      </c>
    </row>
    <row r="4106" spans="1:3" x14ac:dyDescent="0.2">
      <c r="A4106" s="34">
        <v>39235</v>
      </c>
      <c r="B4106">
        <v>3.829993</v>
      </c>
      <c r="C4106">
        <f t="shared" si="69"/>
        <v>7.25</v>
      </c>
    </row>
    <row r="4107" spans="1:3" x14ac:dyDescent="0.2">
      <c r="A4107" s="34">
        <v>39234</v>
      </c>
      <c r="B4107">
        <v>3.8312219999999999</v>
      </c>
      <c r="C4107">
        <f t="shared" si="69"/>
        <v>7.25</v>
      </c>
    </row>
    <row r="4108" spans="1:3" x14ac:dyDescent="0.2">
      <c r="A4108" s="34">
        <v>39233</v>
      </c>
      <c r="B4108">
        <v>3.832452</v>
      </c>
      <c r="C4108">
        <f t="shared" si="69"/>
        <v>7.35</v>
      </c>
    </row>
    <row r="4109" spans="1:3" x14ac:dyDescent="0.2">
      <c r="A4109" s="34">
        <v>39232</v>
      </c>
      <c r="B4109">
        <v>3.833682</v>
      </c>
      <c r="C4109">
        <f t="shared" si="69"/>
        <v>7.35</v>
      </c>
    </row>
    <row r="4110" spans="1:3" x14ac:dyDescent="0.2">
      <c r="A4110" s="34">
        <v>39231</v>
      </c>
      <c r="B4110">
        <v>3.8349120000000001</v>
      </c>
      <c r="C4110">
        <f t="shared" si="69"/>
        <v>7.27</v>
      </c>
    </row>
    <row r="4111" spans="1:3" x14ac:dyDescent="0.2">
      <c r="A4111" s="34">
        <v>39230</v>
      </c>
      <c r="B4111">
        <v>3.8361429999999999</v>
      </c>
      <c r="C4111">
        <f t="shared" si="69"/>
        <v>7.2</v>
      </c>
    </row>
    <row r="4112" spans="1:3" x14ac:dyDescent="0.2">
      <c r="A4112" s="34">
        <v>39229</v>
      </c>
      <c r="B4112">
        <v>3.8373740000000001</v>
      </c>
      <c r="C4112">
        <f t="shared" si="69"/>
        <v>7.26</v>
      </c>
    </row>
    <row r="4113" spans="1:3" x14ac:dyDescent="0.2">
      <c r="A4113" s="34">
        <v>39228</v>
      </c>
      <c r="B4113">
        <v>3.838606</v>
      </c>
      <c r="C4113">
        <f t="shared" si="69"/>
        <v>7.26</v>
      </c>
    </row>
    <row r="4114" spans="1:3" x14ac:dyDescent="0.2">
      <c r="A4114" s="34">
        <v>39227</v>
      </c>
      <c r="B4114">
        <v>3.8398379999999999</v>
      </c>
      <c r="C4114">
        <f t="shared" si="69"/>
        <v>7.26</v>
      </c>
    </row>
    <row r="4115" spans="1:3" x14ac:dyDescent="0.2">
      <c r="A4115" s="34">
        <v>39226</v>
      </c>
      <c r="B4115">
        <v>3.8395570000000001</v>
      </c>
      <c r="C4115">
        <f t="shared" si="69"/>
        <v>7.25</v>
      </c>
    </row>
    <row r="4116" spans="1:3" x14ac:dyDescent="0.2">
      <c r="A4116" s="34">
        <v>39225</v>
      </c>
      <c r="B4116">
        <v>3.8392759999999999</v>
      </c>
      <c r="C4116">
        <f t="shared" si="69"/>
        <v>7.3</v>
      </c>
    </row>
    <row r="4117" spans="1:3" x14ac:dyDescent="0.2">
      <c r="A4117" s="34">
        <v>39224</v>
      </c>
      <c r="B4117">
        <v>3.8389959999999999</v>
      </c>
      <c r="C4117">
        <f t="shared" si="69"/>
        <v>7.25</v>
      </c>
    </row>
    <row r="4118" spans="1:3" x14ac:dyDescent="0.2">
      <c r="A4118" s="34">
        <v>39223</v>
      </c>
      <c r="B4118">
        <v>3.8387150000000001</v>
      </c>
      <c r="C4118">
        <f t="shared" si="69"/>
        <v>7.25</v>
      </c>
    </row>
    <row r="4119" spans="1:3" x14ac:dyDescent="0.2">
      <c r="A4119" s="34">
        <v>39222</v>
      </c>
      <c r="B4119">
        <v>3.8384339999999999</v>
      </c>
      <c r="C4119">
        <f t="shared" si="69"/>
        <v>7.15</v>
      </c>
    </row>
    <row r="4120" spans="1:3" x14ac:dyDescent="0.2">
      <c r="A4120" s="34">
        <v>39221</v>
      </c>
      <c r="B4120">
        <v>3.8381530000000001</v>
      </c>
      <c r="C4120">
        <f t="shared" si="69"/>
        <v>7.15</v>
      </c>
    </row>
    <row r="4121" spans="1:3" x14ac:dyDescent="0.2">
      <c r="A4121" s="34">
        <v>39220</v>
      </c>
      <c r="B4121">
        <v>3.8378730000000001</v>
      </c>
      <c r="C4121">
        <f t="shared" si="69"/>
        <v>7.15</v>
      </c>
    </row>
    <row r="4122" spans="1:3" x14ac:dyDescent="0.2">
      <c r="A4122" s="34">
        <v>39219</v>
      </c>
      <c r="B4122">
        <v>3.8375919999999999</v>
      </c>
      <c r="C4122">
        <f t="shared" si="69"/>
        <v>7.27</v>
      </c>
    </row>
    <row r="4123" spans="1:3" x14ac:dyDescent="0.2">
      <c r="A4123" s="34">
        <v>39218</v>
      </c>
      <c r="B4123">
        <v>3.8373119999999998</v>
      </c>
      <c r="C4123">
        <f t="shared" si="69"/>
        <v>7.35</v>
      </c>
    </row>
    <row r="4124" spans="1:3" x14ac:dyDescent="0.2">
      <c r="A4124" s="34">
        <v>39217</v>
      </c>
      <c r="B4124">
        <v>3.8370310000000001</v>
      </c>
      <c r="C4124">
        <f t="shared" si="69"/>
        <v>7.25</v>
      </c>
    </row>
    <row r="4125" spans="1:3" x14ac:dyDescent="0.2">
      <c r="A4125" s="34">
        <v>39216</v>
      </c>
      <c r="B4125">
        <v>3.8367499999999999</v>
      </c>
      <c r="C4125">
        <f t="shared" si="69"/>
        <v>7.27</v>
      </c>
    </row>
    <row r="4126" spans="1:3" x14ac:dyDescent="0.2">
      <c r="A4126" s="34">
        <v>39215</v>
      </c>
      <c r="B4126">
        <v>3.8364699999999998</v>
      </c>
      <c r="C4126">
        <f t="shared" si="69"/>
        <v>7.2</v>
      </c>
    </row>
    <row r="4127" spans="1:3" x14ac:dyDescent="0.2">
      <c r="A4127" s="34">
        <v>39214</v>
      </c>
      <c r="B4127">
        <v>3.8361890000000001</v>
      </c>
      <c r="C4127">
        <f t="shared" si="69"/>
        <v>7.2</v>
      </c>
    </row>
    <row r="4128" spans="1:3" x14ac:dyDescent="0.2">
      <c r="A4128" s="34">
        <v>39213</v>
      </c>
      <c r="B4128">
        <v>3.835909</v>
      </c>
      <c r="C4128">
        <f t="shared" si="69"/>
        <v>7.2</v>
      </c>
    </row>
    <row r="4129" spans="1:3" x14ac:dyDescent="0.2">
      <c r="A4129" s="34">
        <v>39212</v>
      </c>
      <c r="B4129">
        <v>3.8356279999999998</v>
      </c>
      <c r="C4129">
        <f t="shared" si="69"/>
        <v>7.2</v>
      </c>
    </row>
    <row r="4130" spans="1:3" x14ac:dyDescent="0.2">
      <c r="A4130" s="34">
        <v>39211</v>
      </c>
      <c r="B4130">
        <v>3.8361640000000001</v>
      </c>
      <c r="C4130">
        <f t="shared" si="69"/>
        <v>7.29</v>
      </c>
    </row>
    <row r="4131" spans="1:3" x14ac:dyDescent="0.2">
      <c r="A4131" s="34">
        <v>39210</v>
      </c>
      <c r="B4131">
        <v>3.8367</v>
      </c>
      <c r="C4131">
        <f t="shared" si="69"/>
        <v>7.25</v>
      </c>
    </row>
    <row r="4132" spans="1:3" x14ac:dyDescent="0.2">
      <c r="A4132" s="34">
        <v>39209</v>
      </c>
      <c r="B4132">
        <v>3.8372350000000002</v>
      </c>
      <c r="C4132">
        <f t="shared" si="69"/>
        <v>7.27</v>
      </c>
    </row>
    <row r="4133" spans="1:3" x14ac:dyDescent="0.2">
      <c r="A4133" s="34">
        <v>39208</v>
      </c>
      <c r="B4133">
        <v>3.837771</v>
      </c>
      <c r="C4133">
        <f t="shared" si="69"/>
        <v>7.29</v>
      </c>
    </row>
    <row r="4134" spans="1:3" x14ac:dyDescent="0.2">
      <c r="A4134" s="34">
        <v>39207</v>
      </c>
      <c r="B4134">
        <v>3.8383069999999999</v>
      </c>
      <c r="C4134">
        <f t="shared" si="69"/>
        <v>7.29</v>
      </c>
    </row>
    <row r="4135" spans="1:3" x14ac:dyDescent="0.2">
      <c r="A4135" s="34">
        <v>39206</v>
      </c>
      <c r="B4135">
        <v>3.8388429999999998</v>
      </c>
      <c r="C4135">
        <f t="shared" si="69"/>
        <v>7.29</v>
      </c>
    </row>
    <row r="4136" spans="1:3" x14ac:dyDescent="0.2">
      <c r="A4136" s="34">
        <v>39205</v>
      </c>
      <c r="B4136">
        <v>3.8393790000000001</v>
      </c>
      <c r="C4136">
        <f t="shared" si="69"/>
        <v>7.25</v>
      </c>
    </row>
    <row r="4137" spans="1:3" x14ac:dyDescent="0.2">
      <c r="A4137" s="34">
        <v>39204</v>
      </c>
      <c r="B4137">
        <v>3.839915</v>
      </c>
      <c r="C4137">
        <f t="shared" si="69"/>
        <v>7.2</v>
      </c>
    </row>
    <row r="4138" spans="1:3" x14ac:dyDescent="0.2">
      <c r="A4138" s="34">
        <v>39203</v>
      </c>
      <c r="B4138">
        <v>3.8404509999999998</v>
      </c>
      <c r="C4138">
        <f t="shared" si="69"/>
        <v>7.4</v>
      </c>
    </row>
    <row r="4139" spans="1:3" x14ac:dyDescent="0.2">
      <c r="A4139" s="34">
        <v>39202</v>
      </c>
      <c r="B4139">
        <v>3.8409879999999998</v>
      </c>
      <c r="C4139">
        <f t="shared" si="69"/>
        <v>7.4</v>
      </c>
    </row>
    <row r="4140" spans="1:3" x14ac:dyDescent="0.2">
      <c r="A4140" s="34">
        <v>39201</v>
      </c>
      <c r="B4140">
        <v>3.8415240000000002</v>
      </c>
      <c r="C4140">
        <f t="shared" si="69"/>
        <v>7.25</v>
      </c>
    </row>
    <row r="4141" spans="1:3" x14ac:dyDescent="0.2">
      <c r="A4141" s="34">
        <v>39200</v>
      </c>
      <c r="B4141">
        <v>3.84206</v>
      </c>
      <c r="C4141">
        <f t="shared" si="69"/>
        <v>7.25</v>
      </c>
    </row>
    <row r="4142" spans="1:3" x14ac:dyDescent="0.2">
      <c r="A4142" s="34">
        <v>39199</v>
      </c>
      <c r="B4142">
        <v>3.842597</v>
      </c>
      <c r="C4142">
        <f t="shared" si="69"/>
        <v>7.25</v>
      </c>
    </row>
    <row r="4143" spans="1:3" x14ac:dyDescent="0.2">
      <c r="A4143" s="34">
        <v>39198</v>
      </c>
      <c r="B4143">
        <v>3.8431329999999999</v>
      </c>
      <c r="C4143">
        <f t="shared" si="69"/>
        <v>7.05</v>
      </c>
    </row>
    <row r="4144" spans="1:3" x14ac:dyDescent="0.2">
      <c r="A4144" s="34">
        <v>39197</v>
      </c>
      <c r="B4144">
        <v>3.8436699999999999</v>
      </c>
      <c r="C4144">
        <f t="shared" si="69"/>
        <v>7.03</v>
      </c>
    </row>
    <row r="4145" spans="1:3" x14ac:dyDescent="0.2">
      <c r="A4145" s="34">
        <v>39196</v>
      </c>
      <c r="B4145">
        <v>3.8431860000000002</v>
      </c>
      <c r="C4145">
        <f t="shared" si="69"/>
        <v>7.02</v>
      </c>
    </row>
    <row r="4146" spans="1:3" x14ac:dyDescent="0.2">
      <c r="A4146" s="34">
        <v>39195</v>
      </c>
      <c r="B4146">
        <v>3.8427020000000001</v>
      </c>
      <c r="C4146">
        <f t="shared" si="69"/>
        <v>7</v>
      </c>
    </row>
    <row r="4147" spans="1:3" x14ac:dyDescent="0.2">
      <c r="A4147" s="34">
        <v>39194</v>
      </c>
      <c r="B4147">
        <v>3.8422179999999999</v>
      </c>
      <c r="C4147">
        <f t="shared" si="69"/>
        <v>7</v>
      </c>
    </row>
    <row r="4148" spans="1:3" x14ac:dyDescent="0.2">
      <c r="A4148" s="34">
        <v>39193</v>
      </c>
      <c r="B4148">
        <v>3.8417340000000002</v>
      </c>
      <c r="C4148">
        <f t="shared" si="69"/>
        <v>7</v>
      </c>
    </row>
    <row r="4149" spans="1:3" x14ac:dyDescent="0.2">
      <c r="A4149" s="34">
        <v>39192</v>
      </c>
      <c r="B4149">
        <v>3.8412500000000001</v>
      </c>
      <c r="C4149">
        <f t="shared" si="69"/>
        <v>7</v>
      </c>
    </row>
    <row r="4150" spans="1:3" x14ac:dyDescent="0.2">
      <c r="A4150" s="34">
        <v>39191</v>
      </c>
      <c r="B4150">
        <v>3.8407659999999999</v>
      </c>
      <c r="C4150">
        <f t="shared" si="69"/>
        <v>6.9</v>
      </c>
    </row>
    <row r="4151" spans="1:3" x14ac:dyDescent="0.2">
      <c r="A4151" s="34">
        <v>39190</v>
      </c>
      <c r="B4151">
        <v>3.8402820000000002</v>
      </c>
      <c r="C4151">
        <f t="shared" si="69"/>
        <v>7.02</v>
      </c>
    </row>
    <row r="4152" spans="1:3" x14ac:dyDescent="0.2">
      <c r="A4152" s="34">
        <v>39189</v>
      </c>
      <c r="B4152">
        <v>3.839798</v>
      </c>
      <c r="C4152">
        <f t="shared" si="69"/>
        <v>7.02</v>
      </c>
    </row>
    <row r="4153" spans="1:3" x14ac:dyDescent="0.2">
      <c r="A4153" s="34">
        <v>39188</v>
      </c>
      <c r="B4153">
        <v>3.839315</v>
      </c>
      <c r="C4153">
        <f t="shared" si="69"/>
        <v>7</v>
      </c>
    </row>
    <row r="4154" spans="1:3" x14ac:dyDescent="0.2">
      <c r="A4154" s="34">
        <v>39187</v>
      </c>
      <c r="B4154">
        <v>3.8388309999999999</v>
      </c>
      <c r="C4154">
        <f t="shared" si="69"/>
        <v>7.03</v>
      </c>
    </row>
    <row r="4155" spans="1:3" x14ac:dyDescent="0.2">
      <c r="A4155" s="34">
        <v>39186</v>
      </c>
      <c r="B4155">
        <v>3.8383470000000002</v>
      </c>
      <c r="C4155">
        <f t="shared" si="69"/>
        <v>7.03</v>
      </c>
    </row>
    <row r="4156" spans="1:3" x14ac:dyDescent="0.2">
      <c r="A4156" s="34">
        <v>39185</v>
      </c>
      <c r="B4156">
        <v>3.8378640000000002</v>
      </c>
      <c r="C4156">
        <f t="shared" si="69"/>
        <v>7.03</v>
      </c>
    </row>
    <row r="4157" spans="1:3" x14ac:dyDescent="0.2">
      <c r="A4157" s="34">
        <v>39184</v>
      </c>
      <c r="B4157">
        <v>3.83738</v>
      </c>
      <c r="C4157">
        <f t="shared" si="69"/>
        <v>7.01</v>
      </c>
    </row>
    <row r="4158" spans="1:3" x14ac:dyDescent="0.2">
      <c r="A4158" s="34">
        <v>39183</v>
      </c>
      <c r="B4158">
        <v>3.836897</v>
      </c>
      <c r="C4158">
        <f t="shared" si="69"/>
        <v>6.85</v>
      </c>
    </row>
    <row r="4159" spans="1:3" x14ac:dyDescent="0.2">
      <c r="A4159" s="34">
        <v>39182</v>
      </c>
      <c r="B4159">
        <v>3.836414</v>
      </c>
      <c r="C4159">
        <f t="shared" si="69"/>
        <v>7</v>
      </c>
    </row>
    <row r="4160" spans="1:3" x14ac:dyDescent="0.2">
      <c r="A4160" s="34">
        <v>39181</v>
      </c>
      <c r="B4160">
        <v>3.8362189999999998</v>
      </c>
      <c r="C4160">
        <f t="shared" si="69"/>
        <v>7</v>
      </c>
    </row>
    <row r="4161" spans="1:3" x14ac:dyDescent="0.2">
      <c r="A4161" s="34">
        <v>39180</v>
      </c>
      <c r="B4161">
        <v>3.8360249999999998</v>
      </c>
      <c r="C4161">
        <f t="shared" si="69"/>
        <v>7.15</v>
      </c>
    </row>
    <row r="4162" spans="1:3" x14ac:dyDescent="0.2">
      <c r="A4162" s="34">
        <v>39179</v>
      </c>
      <c r="B4162">
        <v>3.8358300000000001</v>
      </c>
      <c r="C4162">
        <f t="shared" ref="C4162:C4225" si="70">IFERROR(VLOOKUP(A4162,$M$2:$N$3695,2,0),C4163)</f>
        <v>7.15</v>
      </c>
    </row>
    <row r="4163" spans="1:3" x14ac:dyDescent="0.2">
      <c r="A4163" s="34">
        <v>39178</v>
      </c>
      <c r="B4163">
        <v>3.835636</v>
      </c>
      <c r="C4163">
        <f t="shared" si="70"/>
        <v>7.15</v>
      </c>
    </row>
    <row r="4164" spans="1:3" x14ac:dyDescent="0.2">
      <c r="A4164" s="34">
        <v>39177</v>
      </c>
      <c r="B4164">
        <v>3.835442</v>
      </c>
      <c r="C4164">
        <f t="shared" si="70"/>
        <v>7.15</v>
      </c>
    </row>
    <row r="4165" spans="1:3" x14ac:dyDescent="0.2">
      <c r="A4165" s="34">
        <v>39176</v>
      </c>
      <c r="B4165">
        <v>3.8352469999999999</v>
      </c>
      <c r="C4165">
        <f t="shared" si="70"/>
        <v>7.15</v>
      </c>
    </row>
    <row r="4166" spans="1:3" x14ac:dyDescent="0.2">
      <c r="A4166" s="34">
        <v>39175</v>
      </c>
      <c r="B4166">
        <v>3.8350529999999998</v>
      </c>
      <c r="C4166">
        <f t="shared" si="70"/>
        <v>7</v>
      </c>
    </row>
    <row r="4167" spans="1:3" x14ac:dyDescent="0.2">
      <c r="A4167" s="34">
        <v>39174</v>
      </c>
      <c r="B4167">
        <v>3.8348580000000001</v>
      </c>
      <c r="C4167">
        <f t="shared" si="70"/>
        <v>7.05</v>
      </c>
    </row>
    <row r="4168" spans="1:3" x14ac:dyDescent="0.2">
      <c r="A4168" s="34">
        <v>39173</v>
      </c>
      <c r="B4168">
        <v>3.8346640000000001</v>
      </c>
      <c r="C4168">
        <f t="shared" si="70"/>
        <v>7.1</v>
      </c>
    </row>
    <row r="4169" spans="1:3" x14ac:dyDescent="0.2">
      <c r="A4169" s="34">
        <v>39172</v>
      </c>
      <c r="B4169">
        <v>3.83447</v>
      </c>
      <c r="C4169">
        <f t="shared" si="70"/>
        <v>7.1</v>
      </c>
    </row>
    <row r="4170" spans="1:3" x14ac:dyDescent="0.2">
      <c r="A4170" s="34">
        <v>39171</v>
      </c>
      <c r="B4170">
        <v>3.8342749999999999</v>
      </c>
      <c r="C4170">
        <f t="shared" si="70"/>
        <v>7.1</v>
      </c>
    </row>
    <row r="4171" spans="1:3" x14ac:dyDescent="0.2">
      <c r="A4171" s="34">
        <v>39170</v>
      </c>
      <c r="B4171">
        <v>3.8340809999999999</v>
      </c>
      <c r="C4171">
        <f t="shared" si="70"/>
        <v>7</v>
      </c>
    </row>
    <row r="4172" spans="1:3" x14ac:dyDescent="0.2">
      <c r="A4172" s="34">
        <v>39169</v>
      </c>
      <c r="B4172">
        <v>3.8338869999999998</v>
      </c>
      <c r="C4172">
        <f t="shared" si="70"/>
        <v>7</v>
      </c>
    </row>
    <row r="4173" spans="1:3" x14ac:dyDescent="0.2">
      <c r="A4173" s="34">
        <v>39168</v>
      </c>
      <c r="B4173">
        <v>3.8336920000000001</v>
      </c>
      <c r="C4173">
        <f t="shared" si="70"/>
        <v>7</v>
      </c>
    </row>
    <row r="4174" spans="1:3" x14ac:dyDescent="0.2">
      <c r="A4174" s="34">
        <v>39167</v>
      </c>
      <c r="B4174">
        <v>3.8334980000000001</v>
      </c>
      <c r="C4174">
        <f t="shared" si="70"/>
        <v>6.9</v>
      </c>
    </row>
    <row r="4175" spans="1:3" x14ac:dyDescent="0.2">
      <c r="A4175" s="34">
        <v>39166</v>
      </c>
      <c r="B4175">
        <v>3.833304</v>
      </c>
      <c r="C4175">
        <f t="shared" si="70"/>
        <v>7.01</v>
      </c>
    </row>
    <row r="4176" spans="1:3" x14ac:dyDescent="0.2">
      <c r="A4176" s="34">
        <v>39165</v>
      </c>
      <c r="B4176">
        <v>3.8330959999999998</v>
      </c>
      <c r="C4176">
        <f t="shared" si="70"/>
        <v>7.01</v>
      </c>
    </row>
    <row r="4177" spans="1:3" x14ac:dyDescent="0.2">
      <c r="A4177" s="34">
        <v>39164</v>
      </c>
      <c r="B4177">
        <v>3.8328890000000002</v>
      </c>
      <c r="C4177">
        <f t="shared" si="70"/>
        <v>7.01</v>
      </c>
    </row>
    <row r="4178" spans="1:3" x14ac:dyDescent="0.2">
      <c r="A4178" s="34">
        <v>39163</v>
      </c>
      <c r="B4178">
        <v>3.8326820000000001</v>
      </c>
      <c r="C4178">
        <f t="shared" si="70"/>
        <v>7</v>
      </c>
    </row>
    <row r="4179" spans="1:3" x14ac:dyDescent="0.2">
      <c r="A4179" s="34">
        <v>39162</v>
      </c>
      <c r="B4179">
        <v>3.8324739999999999</v>
      </c>
      <c r="C4179">
        <f t="shared" si="70"/>
        <v>7</v>
      </c>
    </row>
    <row r="4180" spans="1:3" x14ac:dyDescent="0.2">
      <c r="A4180" s="34">
        <v>39161</v>
      </c>
      <c r="B4180">
        <v>3.8322669999999999</v>
      </c>
      <c r="C4180">
        <f t="shared" si="70"/>
        <v>7</v>
      </c>
    </row>
    <row r="4181" spans="1:3" x14ac:dyDescent="0.2">
      <c r="A4181" s="34">
        <v>39160</v>
      </c>
      <c r="B4181">
        <v>3.8320599999999998</v>
      </c>
      <c r="C4181">
        <f t="shared" si="70"/>
        <v>7.01</v>
      </c>
    </row>
    <row r="4182" spans="1:3" x14ac:dyDescent="0.2">
      <c r="A4182" s="34">
        <v>39159</v>
      </c>
      <c r="B4182">
        <v>3.831852</v>
      </c>
      <c r="C4182">
        <f t="shared" si="70"/>
        <v>7.01</v>
      </c>
    </row>
    <row r="4183" spans="1:3" x14ac:dyDescent="0.2">
      <c r="A4183" s="34">
        <v>39158</v>
      </c>
      <c r="B4183">
        <v>3.831645</v>
      </c>
      <c r="C4183">
        <f t="shared" si="70"/>
        <v>7.01</v>
      </c>
    </row>
    <row r="4184" spans="1:3" x14ac:dyDescent="0.2">
      <c r="A4184" s="34">
        <v>39157</v>
      </c>
      <c r="B4184">
        <v>3.8314379999999999</v>
      </c>
      <c r="C4184">
        <f t="shared" si="70"/>
        <v>7.01</v>
      </c>
    </row>
    <row r="4185" spans="1:3" x14ac:dyDescent="0.2">
      <c r="A4185" s="34">
        <v>39156</v>
      </c>
      <c r="B4185">
        <v>3.8312300000000001</v>
      </c>
      <c r="C4185">
        <f t="shared" si="70"/>
        <v>7.02</v>
      </c>
    </row>
    <row r="4186" spans="1:3" x14ac:dyDescent="0.2">
      <c r="A4186" s="34">
        <v>39155</v>
      </c>
      <c r="B4186">
        <v>3.8310230000000001</v>
      </c>
      <c r="C4186">
        <f t="shared" si="70"/>
        <v>7</v>
      </c>
    </row>
    <row r="4187" spans="1:3" x14ac:dyDescent="0.2">
      <c r="A4187" s="34">
        <v>39154</v>
      </c>
      <c r="B4187">
        <v>3.830816</v>
      </c>
      <c r="C4187">
        <f t="shared" si="70"/>
        <v>7</v>
      </c>
    </row>
    <row r="4188" spans="1:3" x14ac:dyDescent="0.2">
      <c r="A4188" s="34">
        <v>39153</v>
      </c>
      <c r="B4188">
        <v>3.8306089999999999</v>
      </c>
      <c r="C4188">
        <f t="shared" si="70"/>
        <v>7.02</v>
      </c>
    </row>
    <row r="4189" spans="1:3" x14ac:dyDescent="0.2">
      <c r="A4189" s="34">
        <v>39152</v>
      </c>
      <c r="B4189">
        <v>3.8304010000000002</v>
      </c>
      <c r="C4189">
        <f t="shared" si="70"/>
        <v>6.9</v>
      </c>
    </row>
    <row r="4190" spans="1:3" x14ac:dyDescent="0.2">
      <c r="A4190" s="34">
        <v>39151</v>
      </c>
      <c r="B4190">
        <v>3.8301940000000001</v>
      </c>
      <c r="C4190">
        <f t="shared" si="70"/>
        <v>6.9</v>
      </c>
    </row>
    <row r="4191" spans="1:3" x14ac:dyDescent="0.2">
      <c r="A4191" s="34">
        <v>39150</v>
      </c>
      <c r="B4191">
        <v>3.8297780000000001</v>
      </c>
      <c r="C4191">
        <f t="shared" si="70"/>
        <v>6.9</v>
      </c>
    </row>
    <row r="4192" spans="1:3" x14ac:dyDescent="0.2">
      <c r="A4192" s="34">
        <v>39149</v>
      </c>
      <c r="B4192">
        <v>3.8293620000000002</v>
      </c>
      <c r="C4192">
        <f t="shared" si="70"/>
        <v>7.01</v>
      </c>
    </row>
    <row r="4193" spans="1:3" x14ac:dyDescent="0.2">
      <c r="A4193" s="34">
        <v>39148</v>
      </c>
      <c r="B4193">
        <v>3.8289460000000002</v>
      </c>
      <c r="C4193">
        <f t="shared" si="70"/>
        <v>6.9</v>
      </c>
    </row>
    <row r="4194" spans="1:3" x14ac:dyDescent="0.2">
      <c r="A4194" s="34">
        <v>39147</v>
      </c>
      <c r="B4194">
        <v>3.8285309999999999</v>
      </c>
      <c r="C4194">
        <f t="shared" si="70"/>
        <v>6.95</v>
      </c>
    </row>
    <row r="4195" spans="1:3" x14ac:dyDescent="0.2">
      <c r="A4195" s="34">
        <v>39146</v>
      </c>
      <c r="B4195">
        <v>3.8281149999999999</v>
      </c>
      <c r="C4195">
        <f t="shared" si="70"/>
        <v>7.02</v>
      </c>
    </row>
    <row r="4196" spans="1:3" x14ac:dyDescent="0.2">
      <c r="A4196" s="34">
        <v>39145</v>
      </c>
      <c r="B4196">
        <v>3.827699</v>
      </c>
      <c r="C4196">
        <f t="shared" si="70"/>
        <v>6.8</v>
      </c>
    </row>
    <row r="4197" spans="1:3" x14ac:dyDescent="0.2">
      <c r="A4197" s="34">
        <v>39144</v>
      </c>
      <c r="B4197">
        <v>3.8272840000000001</v>
      </c>
      <c r="C4197">
        <f t="shared" si="70"/>
        <v>6.8</v>
      </c>
    </row>
    <row r="4198" spans="1:3" x14ac:dyDescent="0.2">
      <c r="A4198" s="34">
        <v>39143</v>
      </c>
      <c r="B4198">
        <v>3.8268680000000002</v>
      </c>
      <c r="C4198">
        <f t="shared" si="70"/>
        <v>6.8</v>
      </c>
    </row>
    <row r="4199" spans="1:3" x14ac:dyDescent="0.2">
      <c r="A4199" s="34">
        <v>39142</v>
      </c>
      <c r="B4199">
        <v>3.8264529999999999</v>
      </c>
      <c r="C4199">
        <f t="shared" si="70"/>
        <v>7</v>
      </c>
    </row>
    <row r="4200" spans="1:3" x14ac:dyDescent="0.2">
      <c r="A4200" s="34">
        <v>39141</v>
      </c>
      <c r="B4200">
        <v>3.8260369999999999</v>
      </c>
      <c r="C4200">
        <f t="shared" si="70"/>
        <v>7.25</v>
      </c>
    </row>
    <row r="4201" spans="1:3" x14ac:dyDescent="0.2">
      <c r="A4201" s="34">
        <v>39140</v>
      </c>
      <c r="B4201">
        <v>3.8256220000000001</v>
      </c>
      <c r="C4201">
        <f t="shared" si="70"/>
        <v>7</v>
      </c>
    </row>
    <row r="4202" spans="1:3" x14ac:dyDescent="0.2">
      <c r="A4202" s="34">
        <v>39139</v>
      </c>
      <c r="B4202">
        <v>3.8252060000000001</v>
      </c>
      <c r="C4202">
        <f t="shared" si="70"/>
        <v>7.02</v>
      </c>
    </row>
    <row r="4203" spans="1:3" x14ac:dyDescent="0.2">
      <c r="A4203" s="34">
        <v>39138</v>
      </c>
      <c r="B4203">
        <v>3.8247909999999998</v>
      </c>
      <c r="C4203">
        <f t="shared" si="70"/>
        <v>7.02</v>
      </c>
    </row>
    <row r="4204" spans="1:3" x14ac:dyDescent="0.2">
      <c r="A4204" s="34">
        <v>39137</v>
      </c>
      <c r="B4204">
        <v>3.8242919999999998</v>
      </c>
      <c r="C4204">
        <f t="shared" si="70"/>
        <v>7.02</v>
      </c>
    </row>
    <row r="4205" spans="1:3" x14ac:dyDescent="0.2">
      <c r="A4205" s="34">
        <v>39136</v>
      </c>
      <c r="B4205">
        <v>3.8237930000000002</v>
      </c>
      <c r="C4205">
        <f t="shared" si="70"/>
        <v>7.02</v>
      </c>
    </row>
    <row r="4206" spans="1:3" x14ac:dyDescent="0.2">
      <c r="A4206" s="34">
        <v>39135</v>
      </c>
      <c r="B4206">
        <v>3.8232949999999999</v>
      </c>
      <c r="C4206">
        <f t="shared" si="70"/>
        <v>7.02</v>
      </c>
    </row>
    <row r="4207" spans="1:3" x14ac:dyDescent="0.2">
      <c r="A4207" s="34">
        <v>39134</v>
      </c>
      <c r="B4207">
        <v>3.8227959999999999</v>
      </c>
      <c r="C4207">
        <f t="shared" si="70"/>
        <v>7</v>
      </c>
    </row>
    <row r="4208" spans="1:3" x14ac:dyDescent="0.2">
      <c r="A4208" s="34">
        <v>39133</v>
      </c>
      <c r="B4208">
        <v>3.8222969999999998</v>
      </c>
      <c r="C4208">
        <f t="shared" si="70"/>
        <v>7.02</v>
      </c>
    </row>
    <row r="4209" spans="1:3" x14ac:dyDescent="0.2">
      <c r="A4209" s="34">
        <v>39132</v>
      </c>
      <c r="B4209">
        <v>3.8217989999999999</v>
      </c>
      <c r="C4209">
        <f t="shared" si="70"/>
        <v>7.05</v>
      </c>
    </row>
    <row r="4210" spans="1:3" x14ac:dyDescent="0.2">
      <c r="A4210" s="34">
        <v>39131</v>
      </c>
      <c r="B4210">
        <v>3.8212999999999999</v>
      </c>
      <c r="C4210">
        <f t="shared" si="70"/>
        <v>6.8</v>
      </c>
    </row>
    <row r="4211" spans="1:3" x14ac:dyDescent="0.2">
      <c r="A4211" s="34">
        <v>39130</v>
      </c>
      <c r="B4211">
        <v>3.820802</v>
      </c>
      <c r="C4211">
        <f t="shared" si="70"/>
        <v>6.8</v>
      </c>
    </row>
    <row r="4212" spans="1:3" x14ac:dyDescent="0.2">
      <c r="A4212" s="34">
        <v>39129</v>
      </c>
      <c r="B4212">
        <v>3.8203040000000001</v>
      </c>
      <c r="C4212">
        <f t="shared" si="70"/>
        <v>6.8</v>
      </c>
    </row>
    <row r="4213" spans="1:3" x14ac:dyDescent="0.2">
      <c r="A4213" s="34">
        <v>39128</v>
      </c>
      <c r="B4213">
        <v>3.8198050000000001</v>
      </c>
      <c r="C4213">
        <f t="shared" si="70"/>
        <v>7</v>
      </c>
    </row>
    <row r="4214" spans="1:3" x14ac:dyDescent="0.2">
      <c r="A4214" s="34">
        <v>39127</v>
      </c>
      <c r="B4214">
        <v>3.8193069999999998</v>
      </c>
      <c r="C4214">
        <f t="shared" si="70"/>
        <v>7.01</v>
      </c>
    </row>
    <row r="4215" spans="1:3" x14ac:dyDescent="0.2">
      <c r="A4215" s="34">
        <v>39126</v>
      </c>
      <c r="B4215">
        <v>3.8188089999999999</v>
      </c>
      <c r="C4215">
        <f t="shared" si="70"/>
        <v>7</v>
      </c>
    </row>
    <row r="4216" spans="1:3" x14ac:dyDescent="0.2">
      <c r="A4216" s="34">
        <v>39125</v>
      </c>
      <c r="B4216">
        <v>3.818311</v>
      </c>
      <c r="C4216">
        <f t="shared" si="70"/>
        <v>7</v>
      </c>
    </row>
    <row r="4217" spans="1:3" x14ac:dyDescent="0.2">
      <c r="A4217" s="34">
        <v>39124</v>
      </c>
      <c r="B4217">
        <v>3.8178130000000001</v>
      </c>
      <c r="C4217">
        <f t="shared" si="70"/>
        <v>7</v>
      </c>
    </row>
    <row r="4218" spans="1:3" x14ac:dyDescent="0.2">
      <c r="A4218" s="34">
        <v>39123</v>
      </c>
      <c r="B4218">
        <v>3.8173149999999998</v>
      </c>
      <c r="C4218">
        <f t="shared" si="70"/>
        <v>7</v>
      </c>
    </row>
    <row r="4219" spans="1:3" x14ac:dyDescent="0.2">
      <c r="A4219" s="34">
        <v>39122</v>
      </c>
      <c r="B4219">
        <v>3.8165279999999999</v>
      </c>
      <c r="C4219">
        <f t="shared" si="70"/>
        <v>7</v>
      </c>
    </row>
    <row r="4220" spans="1:3" x14ac:dyDescent="0.2">
      <c r="A4220" s="34">
        <v>39121</v>
      </c>
      <c r="B4220">
        <v>3.8157420000000002</v>
      </c>
      <c r="C4220">
        <f t="shared" si="70"/>
        <v>7.02</v>
      </c>
    </row>
    <row r="4221" spans="1:3" x14ac:dyDescent="0.2">
      <c r="A4221" s="34">
        <v>39120</v>
      </c>
      <c r="B4221">
        <v>3.814956</v>
      </c>
      <c r="C4221">
        <f t="shared" si="70"/>
        <v>7.01</v>
      </c>
    </row>
    <row r="4222" spans="1:3" x14ac:dyDescent="0.2">
      <c r="A4222" s="34">
        <v>39119</v>
      </c>
      <c r="B4222">
        <v>3.8141699999999998</v>
      </c>
      <c r="C4222">
        <f t="shared" si="70"/>
        <v>7</v>
      </c>
    </row>
    <row r="4223" spans="1:3" x14ac:dyDescent="0.2">
      <c r="A4223" s="34">
        <v>39118</v>
      </c>
      <c r="B4223">
        <v>3.8133840000000001</v>
      </c>
      <c r="C4223">
        <f t="shared" si="70"/>
        <v>6.99</v>
      </c>
    </row>
    <row r="4224" spans="1:3" x14ac:dyDescent="0.2">
      <c r="A4224" s="34">
        <v>39117</v>
      </c>
      <c r="B4224">
        <v>3.8125979999999999</v>
      </c>
      <c r="C4224">
        <f t="shared" si="70"/>
        <v>6.99</v>
      </c>
    </row>
    <row r="4225" spans="1:3" x14ac:dyDescent="0.2">
      <c r="A4225" s="34">
        <v>39116</v>
      </c>
      <c r="B4225">
        <v>3.8118120000000002</v>
      </c>
      <c r="C4225">
        <f t="shared" si="70"/>
        <v>6.99</v>
      </c>
    </row>
    <row r="4226" spans="1:3" x14ac:dyDescent="0.2">
      <c r="A4226" s="34">
        <v>39115</v>
      </c>
      <c r="B4226">
        <v>3.8110270000000002</v>
      </c>
      <c r="C4226">
        <f t="shared" ref="C4226:C4289" si="71">IFERROR(VLOOKUP(A4226,$M$2:$N$3695,2,0),C4227)</f>
        <v>6.99</v>
      </c>
    </row>
    <row r="4227" spans="1:3" x14ac:dyDescent="0.2">
      <c r="A4227" s="34">
        <v>39114</v>
      </c>
      <c r="B4227">
        <v>3.8102420000000001</v>
      </c>
      <c r="C4227">
        <f t="shared" si="71"/>
        <v>6.95</v>
      </c>
    </row>
    <row r="4228" spans="1:3" x14ac:dyDescent="0.2">
      <c r="A4228" s="34">
        <v>39113</v>
      </c>
      <c r="B4228">
        <v>3.8094570000000001</v>
      </c>
      <c r="C4228">
        <f t="shared" si="71"/>
        <v>7.05</v>
      </c>
    </row>
    <row r="4229" spans="1:3" x14ac:dyDescent="0.2">
      <c r="A4229" s="34">
        <v>39112</v>
      </c>
      <c r="B4229">
        <v>3.8086720000000001</v>
      </c>
      <c r="C4229">
        <f t="shared" si="71"/>
        <v>6.99</v>
      </c>
    </row>
    <row r="4230" spans="1:3" x14ac:dyDescent="0.2">
      <c r="A4230" s="34">
        <v>39111</v>
      </c>
      <c r="B4230">
        <v>3.807887</v>
      </c>
      <c r="C4230">
        <f t="shared" si="71"/>
        <v>7</v>
      </c>
    </row>
    <row r="4231" spans="1:3" x14ac:dyDescent="0.2">
      <c r="A4231" s="34">
        <v>39110</v>
      </c>
      <c r="B4231">
        <v>3.807102</v>
      </c>
      <c r="C4231">
        <f t="shared" si="71"/>
        <v>7.02</v>
      </c>
    </row>
    <row r="4232" spans="1:3" x14ac:dyDescent="0.2">
      <c r="A4232" s="34">
        <v>39109</v>
      </c>
      <c r="B4232">
        <v>3.8063180000000001</v>
      </c>
      <c r="C4232">
        <f t="shared" si="71"/>
        <v>7.02</v>
      </c>
    </row>
    <row r="4233" spans="1:3" x14ac:dyDescent="0.2">
      <c r="A4233" s="34">
        <v>39108</v>
      </c>
      <c r="B4233">
        <v>3.8055340000000002</v>
      </c>
      <c r="C4233">
        <f t="shared" si="71"/>
        <v>7.02</v>
      </c>
    </row>
    <row r="4234" spans="1:3" x14ac:dyDescent="0.2">
      <c r="A4234" s="34">
        <v>39107</v>
      </c>
      <c r="B4234">
        <v>3.8047499999999999</v>
      </c>
      <c r="C4234">
        <f t="shared" si="71"/>
        <v>7.02</v>
      </c>
    </row>
    <row r="4235" spans="1:3" x14ac:dyDescent="0.2">
      <c r="A4235" s="34">
        <v>39106</v>
      </c>
      <c r="B4235">
        <v>3.8043049999999998</v>
      </c>
      <c r="C4235">
        <f t="shared" si="71"/>
        <v>7</v>
      </c>
    </row>
    <row r="4236" spans="1:3" x14ac:dyDescent="0.2">
      <c r="A4236" s="34">
        <v>39105</v>
      </c>
      <c r="B4236">
        <v>3.8038609999999999</v>
      </c>
      <c r="C4236">
        <f t="shared" si="71"/>
        <v>7.02</v>
      </c>
    </row>
    <row r="4237" spans="1:3" x14ac:dyDescent="0.2">
      <c r="A4237" s="34">
        <v>39104</v>
      </c>
      <c r="B4237">
        <v>3.803417</v>
      </c>
      <c r="C4237">
        <f t="shared" si="71"/>
        <v>7</v>
      </c>
    </row>
    <row r="4238" spans="1:3" x14ac:dyDescent="0.2">
      <c r="A4238" s="34">
        <v>39103</v>
      </c>
      <c r="B4238">
        <v>3.8029730000000002</v>
      </c>
      <c r="C4238">
        <f t="shared" si="71"/>
        <v>7.02</v>
      </c>
    </row>
    <row r="4239" spans="1:3" x14ac:dyDescent="0.2">
      <c r="A4239" s="34">
        <v>39102</v>
      </c>
      <c r="B4239">
        <v>3.8025289999999998</v>
      </c>
      <c r="C4239">
        <f t="shared" si="71"/>
        <v>7.02</v>
      </c>
    </row>
    <row r="4240" spans="1:3" x14ac:dyDescent="0.2">
      <c r="A4240" s="34">
        <v>39101</v>
      </c>
      <c r="B4240">
        <v>3.8020839999999998</v>
      </c>
      <c r="C4240">
        <f t="shared" si="71"/>
        <v>7.02</v>
      </c>
    </row>
    <row r="4241" spans="1:3" x14ac:dyDescent="0.2">
      <c r="A4241" s="34">
        <v>39100</v>
      </c>
      <c r="B4241">
        <v>3.8016399999999999</v>
      </c>
      <c r="C4241">
        <f t="shared" si="71"/>
        <v>6.98</v>
      </c>
    </row>
    <row r="4242" spans="1:3" x14ac:dyDescent="0.2">
      <c r="A4242" s="34">
        <v>39099</v>
      </c>
      <c r="B4242">
        <v>3.801196</v>
      </c>
      <c r="C4242">
        <f t="shared" si="71"/>
        <v>7.5</v>
      </c>
    </row>
    <row r="4243" spans="1:3" x14ac:dyDescent="0.2">
      <c r="A4243" s="34">
        <v>39098</v>
      </c>
      <c r="B4243">
        <v>3.8007529999999998</v>
      </c>
      <c r="C4243">
        <f t="shared" si="71"/>
        <v>7</v>
      </c>
    </row>
    <row r="4244" spans="1:3" x14ac:dyDescent="0.2">
      <c r="A4244" s="34">
        <v>39097</v>
      </c>
      <c r="B4244">
        <v>3.8003089999999999</v>
      </c>
      <c r="C4244">
        <f t="shared" si="71"/>
        <v>7</v>
      </c>
    </row>
    <row r="4245" spans="1:3" x14ac:dyDescent="0.2">
      <c r="A4245" s="34">
        <v>39096</v>
      </c>
      <c r="B4245">
        <v>3.799865</v>
      </c>
      <c r="C4245">
        <f t="shared" si="71"/>
        <v>7.01</v>
      </c>
    </row>
    <row r="4246" spans="1:3" x14ac:dyDescent="0.2">
      <c r="A4246" s="34">
        <v>39095</v>
      </c>
      <c r="B4246">
        <v>3.7994210000000002</v>
      </c>
      <c r="C4246">
        <f t="shared" si="71"/>
        <v>7.01</v>
      </c>
    </row>
    <row r="4247" spans="1:3" x14ac:dyDescent="0.2">
      <c r="A4247" s="34">
        <v>39094</v>
      </c>
      <c r="B4247">
        <v>3.7989769999999998</v>
      </c>
      <c r="C4247">
        <f t="shared" si="71"/>
        <v>7.01</v>
      </c>
    </row>
    <row r="4248" spans="1:3" x14ac:dyDescent="0.2">
      <c r="A4248" s="34">
        <v>39093</v>
      </c>
      <c r="B4248">
        <v>3.7985340000000001</v>
      </c>
      <c r="C4248">
        <f t="shared" si="71"/>
        <v>7.02</v>
      </c>
    </row>
    <row r="4249" spans="1:3" x14ac:dyDescent="0.2">
      <c r="A4249" s="34">
        <v>39092</v>
      </c>
      <c r="B4249">
        <v>3.7980900000000002</v>
      </c>
      <c r="C4249">
        <f t="shared" si="71"/>
        <v>7.02</v>
      </c>
    </row>
    <row r="4250" spans="1:3" x14ac:dyDescent="0.2">
      <c r="A4250" s="34">
        <v>39091</v>
      </c>
      <c r="B4250">
        <v>3.7971759999999999</v>
      </c>
      <c r="C4250">
        <f t="shared" si="71"/>
        <v>7</v>
      </c>
    </row>
    <row r="4251" spans="1:3" x14ac:dyDescent="0.2">
      <c r="A4251" s="34">
        <v>39090</v>
      </c>
      <c r="B4251">
        <v>3.7962609999999999</v>
      </c>
      <c r="C4251">
        <f t="shared" si="71"/>
        <v>7.02</v>
      </c>
    </row>
    <row r="4252" spans="1:3" x14ac:dyDescent="0.2">
      <c r="A4252" s="34">
        <v>39089</v>
      </c>
      <c r="B4252">
        <v>3.795347</v>
      </c>
      <c r="C4252">
        <f t="shared" si="71"/>
        <v>7.02</v>
      </c>
    </row>
    <row r="4253" spans="1:3" x14ac:dyDescent="0.2">
      <c r="A4253" s="34">
        <v>39088</v>
      </c>
      <c r="B4253">
        <v>3.7944330000000002</v>
      </c>
      <c r="C4253">
        <f t="shared" si="71"/>
        <v>7.02</v>
      </c>
    </row>
    <row r="4254" spans="1:3" x14ac:dyDescent="0.2">
      <c r="A4254" s="34">
        <v>39087</v>
      </c>
      <c r="B4254">
        <v>3.7935189999999999</v>
      </c>
      <c r="C4254">
        <f t="shared" si="71"/>
        <v>7.02</v>
      </c>
    </row>
    <row r="4255" spans="1:3" x14ac:dyDescent="0.2">
      <c r="A4255" s="34">
        <v>39086</v>
      </c>
      <c r="B4255">
        <v>3.7926060000000001</v>
      </c>
      <c r="C4255">
        <f t="shared" si="71"/>
        <v>7</v>
      </c>
    </row>
    <row r="4256" spans="1:3" x14ac:dyDescent="0.2">
      <c r="A4256" s="34">
        <v>39085</v>
      </c>
      <c r="B4256">
        <v>3.791693</v>
      </c>
      <c r="C4256">
        <f t="shared" si="71"/>
        <v>6.95</v>
      </c>
    </row>
    <row r="4257" spans="1:3" x14ac:dyDescent="0.2">
      <c r="A4257" s="34">
        <v>39084</v>
      </c>
      <c r="B4257">
        <v>3.7907799999999998</v>
      </c>
      <c r="C4257">
        <f t="shared" si="71"/>
        <v>7</v>
      </c>
    </row>
    <row r="4258" spans="1:3" x14ac:dyDescent="0.2">
      <c r="A4258" s="34">
        <v>39083</v>
      </c>
      <c r="B4258">
        <v>3.7898670000000001</v>
      </c>
      <c r="C4258">
        <f t="shared" si="71"/>
        <v>7.03</v>
      </c>
    </row>
    <row r="4259" spans="1:3" x14ac:dyDescent="0.2">
      <c r="A4259" s="34">
        <v>39082</v>
      </c>
      <c r="B4259">
        <v>3.7889539999999999</v>
      </c>
      <c r="C4259">
        <f t="shared" si="71"/>
        <v>7.03</v>
      </c>
    </row>
    <row r="4260" spans="1:3" x14ac:dyDescent="0.2">
      <c r="A4260" s="34">
        <v>39081</v>
      </c>
      <c r="B4260">
        <v>3.7880419999999999</v>
      </c>
      <c r="C4260">
        <f t="shared" si="71"/>
        <v>7.03</v>
      </c>
    </row>
    <row r="4261" spans="1:3" x14ac:dyDescent="0.2">
      <c r="A4261" s="34">
        <v>39080</v>
      </c>
      <c r="B4261">
        <v>3.7871299999999999</v>
      </c>
      <c r="C4261">
        <f t="shared" si="71"/>
        <v>7.03</v>
      </c>
    </row>
    <row r="4262" spans="1:3" x14ac:dyDescent="0.2">
      <c r="A4262" s="34">
        <v>39079</v>
      </c>
      <c r="B4262">
        <v>3.7862179999999999</v>
      </c>
      <c r="C4262">
        <f t="shared" si="71"/>
        <v>7.04</v>
      </c>
    </row>
    <row r="4263" spans="1:3" x14ac:dyDescent="0.2">
      <c r="A4263" s="34">
        <v>39078</v>
      </c>
      <c r="B4263">
        <v>3.7853059999999998</v>
      </c>
      <c r="C4263">
        <f t="shared" si="71"/>
        <v>7</v>
      </c>
    </row>
    <row r="4264" spans="1:3" x14ac:dyDescent="0.2">
      <c r="A4264" s="34">
        <v>39077</v>
      </c>
      <c r="B4264">
        <v>3.7843939999999998</v>
      </c>
      <c r="C4264">
        <f t="shared" si="71"/>
        <v>7.05</v>
      </c>
    </row>
    <row r="4265" spans="1:3" x14ac:dyDescent="0.2">
      <c r="A4265" s="34">
        <v>39076</v>
      </c>
      <c r="B4265">
        <v>3.7834829999999999</v>
      </c>
      <c r="C4265">
        <f t="shared" si="71"/>
        <v>7.05</v>
      </c>
    </row>
    <row r="4266" spans="1:3" x14ac:dyDescent="0.2">
      <c r="A4266" s="34">
        <v>39075</v>
      </c>
      <c r="B4266">
        <v>3.7829609999999998</v>
      </c>
      <c r="C4266">
        <f t="shared" si="71"/>
        <v>7.05</v>
      </c>
    </row>
    <row r="4267" spans="1:3" x14ac:dyDescent="0.2">
      <c r="A4267" s="34">
        <v>39074</v>
      </c>
      <c r="B4267">
        <v>3.7824390000000001</v>
      </c>
      <c r="C4267">
        <f t="shared" si="71"/>
        <v>7.05</v>
      </c>
    </row>
    <row r="4268" spans="1:3" x14ac:dyDescent="0.2">
      <c r="A4268" s="34">
        <v>39073</v>
      </c>
      <c r="B4268">
        <v>3.7819180000000001</v>
      </c>
      <c r="C4268">
        <f t="shared" si="71"/>
        <v>7.05</v>
      </c>
    </row>
    <row r="4269" spans="1:3" x14ac:dyDescent="0.2">
      <c r="A4269" s="34">
        <v>39072</v>
      </c>
      <c r="B4269">
        <v>3.781396</v>
      </c>
      <c r="C4269">
        <f t="shared" si="71"/>
        <v>7.04</v>
      </c>
    </row>
    <row r="4270" spans="1:3" x14ac:dyDescent="0.2">
      <c r="A4270" s="34">
        <v>39071</v>
      </c>
      <c r="B4270">
        <v>3.7808739999999998</v>
      </c>
      <c r="C4270">
        <f t="shared" si="71"/>
        <v>7</v>
      </c>
    </row>
    <row r="4271" spans="1:3" x14ac:dyDescent="0.2">
      <c r="A4271" s="34">
        <v>39070</v>
      </c>
      <c r="B4271">
        <v>3.7803529999999999</v>
      </c>
      <c r="C4271">
        <f t="shared" si="71"/>
        <v>7.03</v>
      </c>
    </row>
    <row r="4272" spans="1:3" x14ac:dyDescent="0.2">
      <c r="A4272" s="34">
        <v>39069</v>
      </c>
      <c r="B4272">
        <v>3.7798310000000002</v>
      </c>
      <c r="C4272">
        <f t="shared" si="71"/>
        <v>7.04</v>
      </c>
    </row>
    <row r="4273" spans="1:3" x14ac:dyDescent="0.2">
      <c r="A4273" s="34">
        <v>39068</v>
      </c>
      <c r="B4273">
        <v>3.7793100000000002</v>
      </c>
      <c r="C4273">
        <f t="shared" si="71"/>
        <v>6.75</v>
      </c>
    </row>
    <row r="4274" spans="1:3" x14ac:dyDescent="0.2">
      <c r="A4274" s="34">
        <v>39067</v>
      </c>
      <c r="B4274">
        <v>3.778788</v>
      </c>
      <c r="C4274">
        <f t="shared" si="71"/>
        <v>6.75</v>
      </c>
    </row>
    <row r="4275" spans="1:3" x14ac:dyDescent="0.2">
      <c r="A4275" s="34">
        <v>39066</v>
      </c>
      <c r="B4275">
        <v>3.778267</v>
      </c>
      <c r="C4275">
        <f t="shared" si="71"/>
        <v>6.75</v>
      </c>
    </row>
    <row r="4276" spans="1:3" x14ac:dyDescent="0.2">
      <c r="A4276" s="34">
        <v>39065</v>
      </c>
      <c r="B4276">
        <v>3.777746</v>
      </c>
      <c r="C4276">
        <f t="shared" si="71"/>
        <v>7.15</v>
      </c>
    </row>
    <row r="4277" spans="1:3" x14ac:dyDescent="0.2">
      <c r="A4277" s="34">
        <v>39064</v>
      </c>
      <c r="B4277">
        <v>3.7772239999999999</v>
      </c>
      <c r="C4277">
        <f t="shared" si="71"/>
        <v>7.15</v>
      </c>
    </row>
    <row r="4278" spans="1:3" x14ac:dyDescent="0.2">
      <c r="A4278" s="34">
        <v>39063</v>
      </c>
      <c r="B4278">
        <v>3.7767029999999999</v>
      </c>
      <c r="C4278">
        <f t="shared" si="71"/>
        <v>7</v>
      </c>
    </row>
    <row r="4279" spans="1:3" x14ac:dyDescent="0.2">
      <c r="A4279" s="34">
        <v>39062</v>
      </c>
      <c r="B4279">
        <v>3.7761819999999999</v>
      </c>
      <c r="C4279">
        <f t="shared" si="71"/>
        <v>7</v>
      </c>
    </row>
    <row r="4280" spans="1:3" x14ac:dyDescent="0.2">
      <c r="A4280" s="34">
        <v>39061</v>
      </c>
      <c r="B4280">
        <v>3.7756609999999999</v>
      </c>
      <c r="C4280">
        <f t="shared" si="71"/>
        <v>7</v>
      </c>
    </row>
    <row r="4281" spans="1:3" x14ac:dyDescent="0.2">
      <c r="A4281" s="34">
        <v>39060</v>
      </c>
      <c r="B4281">
        <v>3.7743769999999999</v>
      </c>
      <c r="C4281">
        <f t="shared" si="71"/>
        <v>7</v>
      </c>
    </row>
    <row r="4282" spans="1:3" x14ac:dyDescent="0.2">
      <c r="A4282" s="34">
        <v>39059</v>
      </c>
      <c r="B4282">
        <v>3.7730920000000001</v>
      </c>
      <c r="C4282">
        <f t="shared" si="71"/>
        <v>7</v>
      </c>
    </row>
    <row r="4283" spans="1:3" x14ac:dyDescent="0.2">
      <c r="A4283" s="34">
        <v>39058</v>
      </c>
      <c r="B4283">
        <v>3.7718090000000002</v>
      </c>
      <c r="C4283">
        <f t="shared" si="71"/>
        <v>7.02</v>
      </c>
    </row>
    <row r="4284" spans="1:3" x14ac:dyDescent="0.2">
      <c r="A4284" s="34">
        <v>39057</v>
      </c>
      <c r="B4284">
        <v>3.7705250000000001</v>
      </c>
      <c r="C4284">
        <f t="shared" si="71"/>
        <v>6.95</v>
      </c>
    </row>
    <row r="4285" spans="1:3" x14ac:dyDescent="0.2">
      <c r="A4285" s="34">
        <v>39056</v>
      </c>
      <c r="B4285">
        <v>3.7692420000000002</v>
      </c>
      <c r="C4285">
        <f t="shared" si="71"/>
        <v>7.05</v>
      </c>
    </row>
    <row r="4286" spans="1:3" x14ac:dyDescent="0.2">
      <c r="A4286" s="34">
        <v>39055</v>
      </c>
      <c r="B4286">
        <v>3.76796</v>
      </c>
      <c r="C4286">
        <f t="shared" si="71"/>
        <v>7</v>
      </c>
    </row>
    <row r="4287" spans="1:3" x14ac:dyDescent="0.2">
      <c r="A4287" s="34">
        <v>39054</v>
      </c>
      <c r="B4287">
        <v>3.7666780000000002</v>
      </c>
      <c r="C4287">
        <f t="shared" si="71"/>
        <v>7</v>
      </c>
    </row>
    <row r="4288" spans="1:3" x14ac:dyDescent="0.2">
      <c r="A4288" s="34">
        <v>39053</v>
      </c>
      <c r="B4288">
        <v>3.765396</v>
      </c>
      <c r="C4288">
        <f t="shared" si="71"/>
        <v>7</v>
      </c>
    </row>
    <row r="4289" spans="1:3" x14ac:dyDescent="0.2">
      <c r="A4289" s="34">
        <v>39052</v>
      </c>
      <c r="B4289">
        <v>3.7641149999999999</v>
      </c>
      <c r="C4289">
        <f t="shared" si="71"/>
        <v>7</v>
      </c>
    </row>
    <row r="4290" spans="1:3" x14ac:dyDescent="0.2">
      <c r="A4290" s="34">
        <v>39051</v>
      </c>
      <c r="B4290">
        <v>3.7628339999999998</v>
      </c>
      <c r="C4290">
        <f t="shared" ref="C4290:C4353" si="72">IFERROR(VLOOKUP(A4290,$M$2:$N$3695,2,0),C4291)</f>
        <v>7</v>
      </c>
    </row>
    <row r="4291" spans="1:3" x14ac:dyDescent="0.2">
      <c r="A4291" s="34">
        <v>39050</v>
      </c>
      <c r="B4291">
        <v>3.7615539999999998</v>
      </c>
      <c r="C4291">
        <f t="shared" si="72"/>
        <v>7.09</v>
      </c>
    </row>
    <row r="4292" spans="1:3" x14ac:dyDescent="0.2">
      <c r="A4292" s="34">
        <v>39049</v>
      </c>
      <c r="B4292">
        <v>3.7602739999999999</v>
      </c>
      <c r="C4292">
        <f t="shared" si="72"/>
        <v>7.02</v>
      </c>
    </row>
    <row r="4293" spans="1:3" x14ac:dyDescent="0.2">
      <c r="A4293" s="34">
        <v>39048</v>
      </c>
      <c r="B4293">
        <v>3.7589939999999999</v>
      </c>
      <c r="C4293">
        <f t="shared" si="72"/>
        <v>7.01</v>
      </c>
    </row>
    <row r="4294" spans="1:3" x14ac:dyDescent="0.2">
      <c r="A4294" s="34">
        <v>39047</v>
      </c>
      <c r="B4294">
        <v>3.7577150000000001</v>
      </c>
      <c r="C4294">
        <f t="shared" si="72"/>
        <v>7</v>
      </c>
    </row>
    <row r="4295" spans="1:3" x14ac:dyDescent="0.2">
      <c r="A4295" s="34">
        <v>39046</v>
      </c>
      <c r="B4295">
        <v>3.756437</v>
      </c>
      <c r="C4295">
        <f t="shared" si="72"/>
        <v>7</v>
      </c>
    </row>
    <row r="4296" spans="1:3" x14ac:dyDescent="0.2">
      <c r="A4296" s="34">
        <v>39045</v>
      </c>
      <c r="B4296">
        <v>3.756891</v>
      </c>
      <c r="C4296">
        <f t="shared" si="72"/>
        <v>7</v>
      </c>
    </row>
    <row r="4297" spans="1:3" x14ac:dyDescent="0.2">
      <c r="A4297" s="34">
        <v>39044</v>
      </c>
      <c r="B4297">
        <v>3.7573449999999999</v>
      </c>
      <c r="C4297">
        <f t="shared" si="72"/>
        <v>7</v>
      </c>
    </row>
    <row r="4298" spans="1:3" x14ac:dyDescent="0.2">
      <c r="A4298" s="34">
        <v>39043</v>
      </c>
      <c r="B4298">
        <v>3.7577989999999999</v>
      </c>
      <c r="C4298">
        <f t="shared" si="72"/>
        <v>7.1</v>
      </c>
    </row>
    <row r="4299" spans="1:3" x14ac:dyDescent="0.2">
      <c r="A4299" s="34">
        <v>39042</v>
      </c>
      <c r="B4299">
        <v>3.7582529999999998</v>
      </c>
      <c r="C4299">
        <f t="shared" si="72"/>
        <v>7.1</v>
      </c>
    </row>
    <row r="4300" spans="1:3" x14ac:dyDescent="0.2">
      <c r="A4300" s="34">
        <v>39041</v>
      </c>
      <c r="B4300">
        <v>3.7587079999999999</v>
      </c>
      <c r="C4300">
        <f t="shared" si="72"/>
        <v>6.75</v>
      </c>
    </row>
    <row r="4301" spans="1:3" x14ac:dyDescent="0.2">
      <c r="A4301" s="34">
        <v>39040</v>
      </c>
      <c r="B4301">
        <v>3.7591619999999999</v>
      </c>
      <c r="C4301">
        <f t="shared" si="72"/>
        <v>6.75</v>
      </c>
    </row>
    <row r="4302" spans="1:3" x14ac:dyDescent="0.2">
      <c r="A4302" s="34">
        <v>39039</v>
      </c>
      <c r="B4302">
        <v>3.7596159999999998</v>
      </c>
      <c r="C4302">
        <f t="shared" si="72"/>
        <v>6.75</v>
      </c>
    </row>
    <row r="4303" spans="1:3" x14ac:dyDescent="0.2">
      <c r="A4303" s="34">
        <v>39038</v>
      </c>
      <c r="B4303">
        <v>3.7600709999999999</v>
      </c>
      <c r="C4303">
        <f t="shared" si="72"/>
        <v>6.75</v>
      </c>
    </row>
    <row r="4304" spans="1:3" x14ac:dyDescent="0.2">
      <c r="A4304" s="34">
        <v>39037</v>
      </c>
      <c r="B4304">
        <v>3.7605249999999999</v>
      </c>
      <c r="C4304">
        <f t="shared" si="72"/>
        <v>6.98</v>
      </c>
    </row>
    <row r="4305" spans="1:3" x14ac:dyDescent="0.2">
      <c r="A4305" s="34">
        <v>39036</v>
      </c>
      <c r="B4305">
        <v>3.76098</v>
      </c>
      <c r="C4305">
        <f t="shared" si="72"/>
        <v>7.05</v>
      </c>
    </row>
    <row r="4306" spans="1:3" x14ac:dyDescent="0.2">
      <c r="A4306" s="34">
        <v>39035</v>
      </c>
      <c r="B4306">
        <v>3.7614339999999999</v>
      </c>
      <c r="C4306">
        <f t="shared" si="72"/>
        <v>7</v>
      </c>
    </row>
    <row r="4307" spans="1:3" x14ac:dyDescent="0.2">
      <c r="A4307" s="34">
        <v>39034</v>
      </c>
      <c r="B4307">
        <v>3.761889</v>
      </c>
      <c r="C4307">
        <f t="shared" si="72"/>
        <v>7.15</v>
      </c>
    </row>
    <row r="4308" spans="1:3" x14ac:dyDescent="0.2">
      <c r="A4308" s="34">
        <v>39033</v>
      </c>
      <c r="B4308">
        <v>3.7623440000000001</v>
      </c>
      <c r="C4308">
        <f t="shared" si="72"/>
        <v>7</v>
      </c>
    </row>
    <row r="4309" spans="1:3" x14ac:dyDescent="0.2">
      <c r="A4309" s="34">
        <v>39032</v>
      </c>
      <c r="B4309">
        <v>3.7627989999999998</v>
      </c>
      <c r="C4309">
        <f t="shared" si="72"/>
        <v>7</v>
      </c>
    </row>
    <row r="4310" spans="1:3" x14ac:dyDescent="0.2">
      <c r="A4310" s="34">
        <v>39031</v>
      </c>
      <c r="B4310">
        <v>3.7632530000000002</v>
      </c>
      <c r="C4310">
        <f t="shared" si="72"/>
        <v>7</v>
      </c>
    </row>
    <row r="4311" spans="1:3" x14ac:dyDescent="0.2">
      <c r="A4311" s="34">
        <v>39030</v>
      </c>
      <c r="B4311">
        <v>3.762591</v>
      </c>
      <c r="C4311">
        <f t="shared" si="72"/>
        <v>6.99</v>
      </c>
    </row>
    <row r="4312" spans="1:3" x14ac:dyDescent="0.2">
      <c r="A4312" s="34">
        <v>39029</v>
      </c>
      <c r="B4312">
        <v>3.7619280000000002</v>
      </c>
      <c r="C4312">
        <f t="shared" si="72"/>
        <v>7</v>
      </c>
    </row>
    <row r="4313" spans="1:3" x14ac:dyDescent="0.2">
      <c r="A4313" s="34">
        <v>39028</v>
      </c>
      <c r="B4313">
        <v>3.761266</v>
      </c>
      <c r="C4313">
        <f t="shared" si="72"/>
        <v>7.02</v>
      </c>
    </row>
    <row r="4314" spans="1:3" x14ac:dyDescent="0.2">
      <c r="A4314" s="34">
        <v>39027</v>
      </c>
      <c r="B4314">
        <v>3.7606039999999998</v>
      </c>
      <c r="C4314">
        <f t="shared" si="72"/>
        <v>7.01</v>
      </c>
    </row>
    <row r="4315" spans="1:3" x14ac:dyDescent="0.2">
      <c r="A4315" s="34">
        <v>39026</v>
      </c>
      <c r="B4315">
        <v>3.7599420000000001</v>
      </c>
      <c r="C4315">
        <f t="shared" si="72"/>
        <v>7.01</v>
      </c>
    </row>
    <row r="4316" spans="1:3" x14ac:dyDescent="0.2">
      <c r="A4316" s="34">
        <v>39025</v>
      </c>
      <c r="B4316">
        <v>3.75928</v>
      </c>
      <c r="C4316">
        <f t="shared" si="72"/>
        <v>7.01</v>
      </c>
    </row>
    <row r="4317" spans="1:3" x14ac:dyDescent="0.2">
      <c r="A4317" s="34">
        <v>39024</v>
      </c>
      <c r="B4317">
        <v>3.7586179999999998</v>
      </c>
      <c r="C4317">
        <f t="shared" si="72"/>
        <v>7.01</v>
      </c>
    </row>
    <row r="4318" spans="1:3" x14ac:dyDescent="0.2">
      <c r="A4318" s="34">
        <v>39023</v>
      </c>
      <c r="B4318">
        <v>3.7579570000000002</v>
      </c>
      <c r="C4318">
        <f t="shared" si="72"/>
        <v>6.92</v>
      </c>
    </row>
    <row r="4319" spans="1:3" x14ac:dyDescent="0.2">
      <c r="A4319" s="34">
        <v>39022</v>
      </c>
      <c r="B4319">
        <v>3.7572950000000001</v>
      </c>
      <c r="C4319">
        <f t="shared" si="72"/>
        <v>6.92</v>
      </c>
    </row>
    <row r="4320" spans="1:3" x14ac:dyDescent="0.2">
      <c r="A4320" s="34">
        <v>39021</v>
      </c>
      <c r="B4320">
        <v>3.756634</v>
      </c>
      <c r="C4320">
        <f t="shared" si="72"/>
        <v>7</v>
      </c>
    </row>
    <row r="4321" spans="1:3" x14ac:dyDescent="0.2">
      <c r="A4321" s="34">
        <v>39020</v>
      </c>
      <c r="B4321">
        <v>3.7559719999999999</v>
      </c>
      <c r="C4321">
        <f t="shared" si="72"/>
        <v>7.02</v>
      </c>
    </row>
    <row r="4322" spans="1:3" x14ac:dyDescent="0.2">
      <c r="A4322" s="34">
        <v>39019</v>
      </c>
      <c r="B4322">
        <v>3.7553109999999998</v>
      </c>
      <c r="C4322">
        <f t="shared" si="72"/>
        <v>6.9</v>
      </c>
    </row>
    <row r="4323" spans="1:3" x14ac:dyDescent="0.2">
      <c r="A4323" s="34">
        <v>39018</v>
      </c>
      <c r="B4323">
        <v>3.7546499999999998</v>
      </c>
      <c r="C4323">
        <f t="shared" si="72"/>
        <v>6.9</v>
      </c>
    </row>
    <row r="4324" spans="1:3" x14ac:dyDescent="0.2">
      <c r="A4324" s="34">
        <v>39017</v>
      </c>
      <c r="B4324">
        <v>3.7539889999999998</v>
      </c>
      <c r="C4324">
        <f t="shared" si="72"/>
        <v>6.9</v>
      </c>
    </row>
    <row r="4325" spans="1:3" x14ac:dyDescent="0.2">
      <c r="A4325" s="34">
        <v>39016</v>
      </c>
      <c r="B4325">
        <v>3.7533280000000002</v>
      </c>
      <c r="C4325">
        <f t="shared" si="72"/>
        <v>6.98</v>
      </c>
    </row>
    <row r="4326" spans="1:3" x14ac:dyDescent="0.2">
      <c r="A4326" s="34">
        <v>39015</v>
      </c>
      <c r="B4326">
        <v>3.7526670000000002</v>
      </c>
      <c r="C4326">
        <f t="shared" si="72"/>
        <v>7</v>
      </c>
    </row>
    <row r="4327" spans="1:3" x14ac:dyDescent="0.2">
      <c r="A4327" s="34">
        <v>39014</v>
      </c>
      <c r="B4327">
        <v>3.7514370000000001</v>
      </c>
      <c r="C4327">
        <f t="shared" si="72"/>
        <v>7</v>
      </c>
    </row>
    <row r="4328" spans="1:3" x14ac:dyDescent="0.2">
      <c r="A4328" s="34">
        <v>39013</v>
      </c>
      <c r="B4328">
        <v>3.7502080000000002</v>
      </c>
      <c r="C4328">
        <f t="shared" si="72"/>
        <v>7</v>
      </c>
    </row>
    <row r="4329" spans="1:3" x14ac:dyDescent="0.2">
      <c r="A4329" s="34">
        <v>39012</v>
      </c>
      <c r="B4329">
        <v>3.7489780000000001</v>
      </c>
      <c r="C4329">
        <f t="shared" si="72"/>
        <v>7</v>
      </c>
    </row>
    <row r="4330" spans="1:3" x14ac:dyDescent="0.2">
      <c r="A4330" s="34">
        <v>39011</v>
      </c>
      <c r="B4330">
        <v>3.7477499999999999</v>
      </c>
      <c r="C4330">
        <f t="shared" si="72"/>
        <v>7</v>
      </c>
    </row>
    <row r="4331" spans="1:3" x14ac:dyDescent="0.2">
      <c r="A4331" s="34">
        <v>39010</v>
      </c>
      <c r="B4331">
        <v>3.746521</v>
      </c>
      <c r="C4331">
        <f t="shared" si="72"/>
        <v>7</v>
      </c>
    </row>
    <row r="4332" spans="1:3" x14ac:dyDescent="0.2">
      <c r="A4332" s="34">
        <v>39009</v>
      </c>
      <c r="B4332">
        <v>3.7452930000000002</v>
      </c>
      <c r="C4332">
        <f t="shared" si="72"/>
        <v>7.01</v>
      </c>
    </row>
    <row r="4333" spans="1:3" x14ac:dyDescent="0.2">
      <c r="A4333" s="34">
        <v>39008</v>
      </c>
      <c r="B4333">
        <v>3.7440660000000001</v>
      </c>
      <c r="C4333">
        <f t="shared" si="72"/>
        <v>7.05</v>
      </c>
    </row>
    <row r="4334" spans="1:3" x14ac:dyDescent="0.2">
      <c r="A4334" s="34">
        <v>39007</v>
      </c>
      <c r="B4334">
        <v>3.7428379999999999</v>
      </c>
      <c r="C4334">
        <f t="shared" si="72"/>
        <v>7</v>
      </c>
    </row>
    <row r="4335" spans="1:3" x14ac:dyDescent="0.2">
      <c r="A4335" s="34">
        <v>39006</v>
      </c>
      <c r="B4335">
        <v>3.7416119999999999</v>
      </c>
      <c r="C4335">
        <f t="shared" si="72"/>
        <v>7.02</v>
      </c>
    </row>
    <row r="4336" spans="1:3" x14ac:dyDescent="0.2">
      <c r="A4336" s="34">
        <v>39005</v>
      </c>
      <c r="B4336">
        <v>3.7403849999999998</v>
      </c>
      <c r="C4336">
        <f t="shared" si="72"/>
        <v>7</v>
      </c>
    </row>
    <row r="4337" spans="1:3" x14ac:dyDescent="0.2">
      <c r="A4337" s="34">
        <v>39004</v>
      </c>
      <c r="B4337">
        <v>3.7391589999999999</v>
      </c>
      <c r="C4337">
        <f t="shared" si="72"/>
        <v>7</v>
      </c>
    </row>
    <row r="4338" spans="1:3" x14ac:dyDescent="0.2">
      <c r="A4338" s="34">
        <v>39003</v>
      </c>
      <c r="B4338">
        <v>3.7379340000000001</v>
      </c>
      <c r="C4338">
        <f t="shared" si="72"/>
        <v>7</v>
      </c>
    </row>
    <row r="4339" spans="1:3" x14ac:dyDescent="0.2">
      <c r="A4339" s="34">
        <v>39002</v>
      </c>
      <c r="B4339">
        <v>3.7367080000000001</v>
      </c>
      <c r="C4339">
        <f t="shared" si="72"/>
        <v>7.1</v>
      </c>
    </row>
    <row r="4340" spans="1:3" x14ac:dyDescent="0.2">
      <c r="A4340" s="34">
        <v>39001</v>
      </c>
      <c r="B4340">
        <v>3.735484</v>
      </c>
      <c r="C4340">
        <f t="shared" si="72"/>
        <v>7</v>
      </c>
    </row>
    <row r="4341" spans="1:3" x14ac:dyDescent="0.2">
      <c r="A4341" s="34">
        <v>39000</v>
      </c>
      <c r="B4341">
        <v>3.7342590000000002</v>
      </c>
      <c r="C4341">
        <f t="shared" si="72"/>
        <v>7.02</v>
      </c>
    </row>
    <row r="4342" spans="1:3" x14ac:dyDescent="0.2">
      <c r="A4342" s="34">
        <v>38999</v>
      </c>
      <c r="B4342">
        <v>3.7327699999999999</v>
      </c>
      <c r="C4342">
        <f t="shared" si="72"/>
        <v>7</v>
      </c>
    </row>
    <row r="4343" spans="1:3" x14ac:dyDescent="0.2">
      <c r="A4343" s="34">
        <v>38998</v>
      </c>
      <c r="B4343">
        <v>3.7312820000000002</v>
      </c>
      <c r="C4343">
        <f t="shared" si="72"/>
        <v>7.02</v>
      </c>
    </row>
    <row r="4344" spans="1:3" x14ac:dyDescent="0.2">
      <c r="A4344" s="34">
        <v>38997</v>
      </c>
      <c r="B4344">
        <v>3.7297940000000001</v>
      </c>
      <c r="C4344">
        <f t="shared" si="72"/>
        <v>7.02</v>
      </c>
    </row>
    <row r="4345" spans="1:3" x14ac:dyDescent="0.2">
      <c r="A4345" s="34">
        <v>38996</v>
      </c>
      <c r="B4345">
        <v>3.728307</v>
      </c>
      <c r="C4345">
        <f t="shared" si="72"/>
        <v>7.02</v>
      </c>
    </row>
    <row r="4346" spans="1:3" x14ac:dyDescent="0.2">
      <c r="A4346" s="34">
        <v>38995</v>
      </c>
      <c r="B4346">
        <v>3.7268210000000002</v>
      </c>
      <c r="C4346">
        <f t="shared" si="72"/>
        <v>7</v>
      </c>
    </row>
    <row r="4347" spans="1:3" x14ac:dyDescent="0.2">
      <c r="A4347" s="34">
        <v>38994</v>
      </c>
      <c r="B4347">
        <v>3.7253349999999998</v>
      </c>
      <c r="C4347">
        <f t="shared" si="72"/>
        <v>7.03</v>
      </c>
    </row>
    <row r="4348" spans="1:3" x14ac:dyDescent="0.2">
      <c r="A4348" s="34">
        <v>38993</v>
      </c>
      <c r="B4348">
        <v>3.723849</v>
      </c>
      <c r="C4348">
        <f t="shared" si="72"/>
        <v>7.03</v>
      </c>
    </row>
    <row r="4349" spans="1:3" x14ac:dyDescent="0.2">
      <c r="A4349" s="34">
        <v>38992</v>
      </c>
      <c r="B4349">
        <v>3.7223649999999999</v>
      </c>
      <c r="C4349">
        <f t="shared" si="72"/>
        <v>7.01</v>
      </c>
    </row>
    <row r="4350" spans="1:3" x14ac:dyDescent="0.2">
      <c r="A4350" s="34">
        <v>38991</v>
      </c>
      <c r="B4350">
        <v>3.7208800000000002</v>
      </c>
      <c r="C4350">
        <f t="shared" si="72"/>
        <v>7</v>
      </c>
    </row>
    <row r="4351" spans="1:3" x14ac:dyDescent="0.2">
      <c r="A4351" s="34">
        <v>38990</v>
      </c>
      <c r="B4351">
        <v>3.7193969999999998</v>
      </c>
      <c r="C4351">
        <f t="shared" si="72"/>
        <v>7</v>
      </c>
    </row>
    <row r="4352" spans="1:3" x14ac:dyDescent="0.2">
      <c r="A4352" s="34">
        <v>38989</v>
      </c>
      <c r="B4352">
        <v>3.7179139999999999</v>
      </c>
      <c r="C4352">
        <f t="shared" si="72"/>
        <v>7</v>
      </c>
    </row>
    <row r="4353" spans="1:3" x14ac:dyDescent="0.2">
      <c r="A4353" s="34">
        <v>38988</v>
      </c>
      <c r="B4353">
        <v>3.716431</v>
      </c>
      <c r="C4353">
        <f t="shared" si="72"/>
        <v>6.95</v>
      </c>
    </row>
    <row r="4354" spans="1:3" x14ac:dyDescent="0.2">
      <c r="A4354" s="34">
        <v>38987</v>
      </c>
      <c r="B4354">
        <v>3.71495</v>
      </c>
      <c r="C4354">
        <f t="shared" ref="C4354:C4417" si="73">IFERROR(VLOOKUP(A4354,$M$2:$N$3695,2,0),C4355)</f>
        <v>7.07</v>
      </c>
    </row>
    <row r="4355" spans="1:3" x14ac:dyDescent="0.2">
      <c r="A4355" s="34">
        <v>38986</v>
      </c>
      <c r="B4355">
        <v>3.7134680000000002</v>
      </c>
      <c r="C4355">
        <f t="shared" si="73"/>
        <v>7.05</v>
      </c>
    </row>
    <row r="4356" spans="1:3" x14ac:dyDescent="0.2">
      <c r="A4356" s="34">
        <v>38985</v>
      </c>
      <c r="B4356">
        <v>3.7119879999999998</v>
      </c>
      <c r="C4356">
        <f t="shared" si="73"/>
        <v>7.02</v>
      </c>
    </row>
    <row r="4357" spans="1:3" x14ac:dyDescent="0.2">
      <c r="A4357" s="34">
        <v>38984</v>
      </c>
      <c r="B4357">
        <v>3.711195</v>
      </c>
      <c r="C4357">
        <f t="shared" si="73"/>
        <v>7</v>
      </c>
    </row>
    <row r="4358" spans="1:3" x14ac:dyDescent="0.2">
      <c r="A4358" s="34">
        <v>38983</v>
      </c>
      <c r="B4358">
        <v>3.7104020000000002</v>
      </c>
      <c r="C4358">
        <f t="shared" si="73"/>
        <v>7</v>
      </c>
    </row>
    <row r="4359" spans="1:3" x14ac:dyDescent="0.2">
      <c r="A4359" s="34">
        <v>38982</v>
      </c>
      <c r="B4359">
        <v>3.7096100000000001</v>
      </c>
      <c r="C4359">
        <f t="shared" si="73"/>
        <v>7</v>
      </c>
    </row>
    <row r="4360" spans="1:3" x14ac:dyDescent="0.2">
      <c r="A4360" s="34">
        <v>38981</v>
      </c>
      <c r="B4360">
        <v>3.7088179999999999</v>
      </c>
      <c r="C4360">
        <f t="shared" si="73"/>
        <v>6.9</v>
      </c>
    </row>
    <row r="4361" spans="1:3" x14ac:dyDescent="0.2">
      <c r="A4361" s="34">
        <v>38980</v>
      </c>
      <c r="B4361">
        <v>3.7080250000000001</v>
      </c>
      <c r="C4361">
        <f t="shared" si="73"/>
        <v>6.95</v>
      </c>
    </row>
    <row r="4362" spans="1:3" x14ac:dyDescent="0.2">
      <c r="A4362" s="34">
        <v>38979</v>
      </c>
      <c r="B4362">
        <v>3.707233</v>
      </c>
      <c r="C4362">
        <f t="shared" si="73"/>
        <v>7.03</v>
      </c>
    </row>
    <row r="4363" spans="1:3" x14ac:dyDescent="0.2">
      <c r="A4363" s="34">
        <v>38978</v>
      </c>
      <c r="B4363">
        <v>3.706442</v>
      </c>
      <c r="C4363">
        <f t="shared" si="73"/>
        <v>7</v>
      </c>
    </row>
    <row r="4364" spans="1:3" x14ac:dyDescent="0.2">
      <c r="A4364" s="34">
        <v>38977</v>
      </c>
      <c r="B4364">
        <v>3.7056499999999999</v>
      </c>
      <c r="C4364">
        <f t="shared" si="73"/>
        <v>7.02</v>
      </c>
    </row>
    <row r="4365" spans="1:3" x14ac:dyDescent="0.2">
      <c r="A4365" s="34">
        <v>38976</v>
      </c>
      <c r="B4365">
        <v>3.7048589999999999</v>
      </c>
      <c r="C4365">
        <f t="shared" si="73"/>
        <v>7.02</v>
      </c>
    </row>
    <row r="4366" spans="1:3" x14ac:dyDescent="0.2">
      <c r="A4366" s="34">
        <v>38975</v>
      </c>
      <c r="B4366">
        <v>3.7040670000000002</v>
      </c>
      <c r="C4366">
        <f t="shared" si="73"/>
        <v>7.02</v>
      </c>
    </row>
    <row r="4367" spans="1:3" x14ac:dyDescent="0.2">
      <c r="A4367" s="34">
        <v>38974</v>
      </c>
      <c r="B4367">
        <v>3.7032759999999998</v>
      </c>
      <c r="C4367">
        <f t="shared" si="73"/>
        <v>7.05</v>
      </c>
    </row>
    <row r="4368" spans="1:3" x14ac:dyDescent="0.2">
      <c r="A4368" s="34">
        <v>38973</v>
      </c>
      <c r="B4368">
        <v>3.7024849999999998</v>
      </c>
      <c r="C4368">
        <f t="shared" si="73"/>
        <v>6.8</v>
      </c>
    </row>
    <row r="4369" spans="1:3" x14ac:dyDescent="0.2">
      <c r="A4369" s="34">
        <v>38972</v>
      </c>
      <c r="B4369">
        <v>3.701695</v>
      </c>
      <c r="C4369">
        <f t="shared" si="73"/>
        <v>7.12</v>
      </c>
    </row>
    <row r="4370" spans="1:3" x14ac:dyDescent="0.2">
      <c r="A4370" s="34">
        <v>38971</v>
      </c>
      <c r="B4370">
        <v>3.700904</v>
      </c>
      <c r="C4370">
        <f t="shared" si="73"/>
        <v>7</v>
      </c>
    </row>
    <row r="4371" spans="1:3" x14ac:dyDescent="0.2">
      <c r="A4371" s="34">
        <v>38970</v>
      </c>
      <c r="B4371">
        <v>3.7001140000000001</v>
      </c>
      <c r="C4371">
        <f t="shared" si="73"/>
        <v>7.05</v>
      </c>
    </row>
    <row r="4372" spans="1:3" x14ac:dyDescent="0.2">
      <c r="A4372" s="34">
        <v>38969</v>
      </c>
      <c r="B4372">
        <v>3.6994289999999999</v>
      </c>
      <c r="C4372">
        <f t="shared" si="73"/>
        <v>7.05</v>
      </c>
    </row>
    <row r="4373" spans="1:3" x14ac:dyDescent="0.2">
      <c r="A4373" s="34">
        <v>38968</v>
      </c>
      <c r="B4373">
        <v>3.6987450000000002</v>
      </c>
      <c r="C4373">
        <f t="shared" si="73"/>
        <v>7.05</v>
      </c>
    </row>
    <row r="4374" spans="1:3" x14ac:dyDescent="0.2">
      <c r="A4374" s="34">
        <v>38967</v>
      </c>
      <c r="B4374">
        <v>3.698061</v>
      </c>
      <c r="C4374">
        <f t="shared" si="73"/>
        <v>7</v>
      </c>
    </row>
    <row r="4375" spans="1:3" x14ac:dyDescent="0.2">
      <c r="A4375" s="34">
        <v>38966</v>
      </c>
      <c r="B4375">
        <v>3.6973780000000001</v>
      </c>
      <c r="C4375">
        <f t="shared" si="73"/>
        <v>7.02</v>
      </c>
    </row>
    <row r="4376" spans="1:3" x14ac:dyDescent="0.2">
      <c r="A4376" s="34">
        <v>38965</v>
      </c>
      <c r="B4376">
        <v>3.6966939999999999</v>
      </c>
      <c r="C4376">
        <f t="shared" si="73"/>
        <v>7</v>
      </c>
    </row>
    <row r="4377" spans="1:3" x14ac:dyDescent="0.2">
      <c r="A4377" s="34">
        <v>38964</v>
      </c>
      <c r="B4377">
        <v>3.6960099999999998</v>
      </c>
      <c r="C4377">
        <f t="shared" si="73"/>
        <v>7.03</v>
      </c>
    </row>
    <row r="4378" spans="1:3" x14ac:dyDescent="0.2">
      <c r="A4378" s="34">
        <v>38963</v>
      </c>
      <c r="B4378">
        <v>3.6953269999999998</v>
      </c>
      <c r="C4378">
        <f t="shared" si="73"/>
        <v>7.05</v>
      </c>
    </row>
    <row r="4379" spans="1:3" x14ac:dyDescent="0.2">
      <c r="A4379" s="34">
        <v>38962</v>
      </c>
      <c r="B4379">
        <v>3.6946439999999998</v>
      </c>
      <c r="C4379">
        <f t="shared" si="73"/>
        <v>7.05</v>
      </c>
    </row>
    <row r="4380" spans="1:3" x14ac:dyDescent="0.2">
      <c r="A4380" s="34">
        <v>38961</v>
      </c>
      <c r="B4380">
        <v>3.6939609999999998</v>
      </c>
      <c r="C4380">
        <f t="shared" si="73"/>
        <v>7.05</v>
      </c>
    </row>
    <row r="4381" spans="1:3" x14ac:dyDescent="0.2">
      <c r="A4381" s="34">
        <v>38960</v>
      </c>
      <c r="B4381">
        <v>3.6932779999999998</v>
      </c>
      <c r="C4381">
        <f t="shared" si="73"/>
        <v>7</v>
      </c>
    </row>
    <row r="4382" spans="1:3" x14ac:dyDescent="0.2">
      <c r="A4382" s="34">
        <v>38959</v>
      </c>
      <c r="B4382">
        <v>3.6925949999999998</v>
      </c>
      <c r="C4382">
        <f t="shared" si="73"/>
        <v>7</v>
      </c>
    </row>
    <row r="4383" spans="1:3" x14ac:dyDescent="0.2">
      <c r="A4383" s="34">
        <v>38958</v>
      </c>
      <c r="B4383">
        <v>3.6919119999999999</v>
      </c>
      <c r="C4383">
        <f t="shared" si="73"/>
        <v>6.9</v>
      </c>
    </row>
    <row r="4384" spans="1:3" x14ac:dyDescent="0.2">
      <c r="A4384" s="34">
        <v>38957</v>
      </c>
      <c r="B4384">
        <v>3.6912289999999999</v>
      </c>
      <c r="C4384">
        <f t="shared" si="73"/>
        <v>7</v>
      </c>
    </row>
    <row r="4385" spans="1:3" x14ac:dyDescent="0.2">
      <c r="A4385" s="34">
        <v>38956</v>
      </c>
      <c r="B4385">
        <v>3.690547</v>
      </c>
      <c r="C4385">
        <f t="shared" si="73"/>
        <v>7.25</v>
      </c>
    </row>
    <row r="4386" spans="1:3" x14ac:dyDescent="0.2">
      <c r="A4386" s="34">
        <v>38955</v>
      </c>
      <c r="B4386">
        <v>3.689864</v>
      </c>
      <c r="C4386">
        <f t="shared" si="73"/>
        <v>7.25</v>
      </c>
    </row>
    <row r="4387" spans="1:3" x14ac:dyDescent="0.2">
      <c r="A4387" s="34">
        <v>38954</v>
      </c>
      <c r="B4387">
        <v>3.6891820000000002</v>
      </c>
      <c r="C4387">
        <f t="shared" si="73"/>
        <v>7.25</v>
      </c>
    </row>
    <row r="4388" spans="1:3" x14ac:dyDescent="0.2">
      <c r="A4388" s="34">
        <v>38953</v>
      </c>
      <c r="B4388">
        <v>3.6889219999999998</v>
      </c>
      <c r="C4388">
        <f t="shared" si="73"/>
        <v>6.95</v>
      </c>
    </row>
    <row r="4389" spans="1:3" x14ac:dyDescent="0.2">
      <c r="A4389" s="34">
        <v>38952</v>
      </c>
      <c r="B4389">
        <v>3.6886619999999999</v>
      </c>
      <c r="C4389">
        <f t="shared" si="73"/>
        <v>7</v>
      </c>
    </row>
    <row r="4390" spans="1:3" x14ac:dyDescent="0.2">
      <c r="A4390" s="34">
        <v>38951</v>
      </c>
      <c r="B4390">
        <v>3.6884030000000001</v>
      </c>
      <c r="C4390">
        <f t="shared" si="73"/>
        <v>6.98</v>
      </c>
    </row>
    <row r="4391" spans="1:3" x14ac:dyDescent="0.2">
      <c r="A4391" s="34">
        <v>38950</v>
      </c>
      <c r="B4391">
        <v>3.6881430000000002</v>
      </c>
      <c r="C4391">
        <f t="shared" si="73"/>
        <v>6.8</v>
      </c>
    </row>
    <row r="4392" spans="1:3" x14ac:dyDescent="0.2">
      <c r="A4392" s="34">
        <v>38949</v>
      </c>
      <c r="B4392">
        <v>3.6878829999999998</v>
      </c>
      <c r="C4392">
        <f t="shared" si="73"/>
        <v>6.95</v>
      </c>
    </row>
    <row r="4393" spans="1:3" x14ac:dyDescent="0.2">
      <c r="A4393" s="34">
        <v>38948</v>
      </c>
      <c r="B4393">
        <v>3.6876229999999999</v>
      </c>
      <c r="C4393">
        <f t="shared" si="73"/>
        <v>6.95</v>
      </c>
    </row>
    <row r="4394" spans="1:3" x14ac:dyDescent="0.2">
      <c r="A4394" s="34">
        <v>38947</v>
      </c>
      <c r="B4394">
        <v>3.6873640000000001</v>
      </c>
      <c r="C4394">
        <f t="shared" si="73"/>
        <v>6.95</v>
      </c>
    </row>
    <row r="4395" spans="1:3" x14ac:dyDescent="0.2">
      <c r="A4395" s="34">
        <v>38946</v>
      </c>
      <c r="B4395">
        <v>3.6871040000000002</v>
      </c>
      <c r="C4395">
        <f t="shared" si="73"/>
        <v>7.02</v>
      </c>
    </row>
    <row r="4396" spans="1:3" x14ac:dyDescent="0.2">
      <c r="A4396" s="34">
        <v>38945</v>
      </c>
      <c r="B4396">
        <v>3.6868439999999998</v>
      </c>
      <c r="C4396">
        <f t="shared" si="73"/>
        <v>7.03</v>
      </c>
    </row>
    <row r="4397" spans="1:3" x14ac:dyDescent="0.2">
      <c r="A4397" s="34">
        <v>38944</v>
      </c>
      <c r="B4397">
        <v>3.686585</v>
      </c>
      <c r="C4397">
        <f t="shared" si="73"/>
        <v>7.03</v>
      </c>
    </row>
    <row r="4398" spans="1:3" x14ac:dyDescent="0.2">
      <c r="A4398" s="34">
        <v>38943</v>
      </c>
      <c r="B4398">
        <v>3.6863250000000001</v>
      </c>
      <c r="C4398">
        <f t="shared" si="73"/>
        <v>7</v>
      </c>
    </row>
    <row r="4399" spans="1:3" x14ac:dyDescent="0.2">
      <c r="A4399" s="34">
        <v>38942</v>
      </c>
      <c r="B4399">
        <v>3.6860650000000001</v>
      </c>
      <c r="C4399">
        <f t="shared" si="73"/>
        <v>6.9</v>
      </c>
    </row>
    <row r="4400" spans="1:3" x14ac:dyDescent="0.2">
      <c r="A4400" s="34">
        <v>38941</v>
      </c>
      <c r="B4400">
        <v>3.6858059999999999</v>
      </c>
      <c r="C4400">
        <f t="shared" si="73"/>
        <v>6.9</v>
      </c>
    </row>
    <row r="4401" spans="1:3" x14ac:dyDescent="0.2">
      <c r="A4401" s="34">
        <v>38940</v>
      </c>
      <c r="B4401">
        <v>3.685546</v>
      </c>
      <c r="C4401">
        <f t="shared" si="73"/>
        <v>6.9</v>
      </c>
    </row>
    <row r="4402" spans="1:3" x14ac:dyDescent="0.2">
      <c r="A4402" s="34">
        <v>38939</v>
      </c>
      <c r="B4402">
        <v>3.6852870000000002</v>
      </c>
      <c r="C4402">
        <f t="shared" si="73"/>
        <v>6.9</v>
      </c>
    </row>
    <row r="4403" spans="1:3" x14ac:dyDescent="0.2">
      <c r="A4403" s="34">
        <v>38938</v>
      </c>
      <c r="B4403">
        <v>3.684768</v>
      </c>
      <c r="C4403">
        <f t="shared" si="73"/>
        <v>7</v>
      </c>
    </row>
    <row r="4404" spans="1:3" x14ac:dyDescent="0.2">
      <c r="A4404" s="34">
        <v>38937</v>
      </c>
      <c r="B4404">
        <v>3.6842489999999999</v>
      </c>
      <c r="C4404">
        <f t="shared" si="73"/>
        <v>7.03</v>
      </c>
    </row>
    <row r="4405" spans="1:3" x14ac:dyDescent="0.2">
      <c r="A4405" s="34">
        <v>38936</v>
      </c>
      <c r="B4405">
        <v>3.6837300000000002</v>
      </c>
      <c r="C4405">
        <f t="shared" si="73"/>
        <v>7.02</v>
      </c>
    </row>
    <row r="4406" spans="1:3" x14ac:dyDescent="0.2">
      <c r="A4406" s="34">
        <v>38935</v>
      </c>
      <c r="B4406">
        <v>3.6832120000000002</v>
      </c>
      <c r="C4406">
        <f t="shared" si="73"/>
        <v>7</v>
      </c>
    </row>
    <row r="4407" spans="1:3" x14ac:dyDescent="0.2">
      <c r="A4407" s="34">
        <v>38934</v>
      </c>
      <c r="B4407">
        <v>3.682693</v>
      </c>
      <c r="C4407">
        <f t="shared" si="73"/>
        <v>7</v>
      </c>
    </row>
    <row r="4408" spans="1:3" x14ac:dyDescent="0.2">
      <c r="A4408" s="34">
        <v>38933</v>
      </c>
      <c r="B4408">
        <v>3.682175</v>
      </c>
      <c r="C4408">
        <f t="shared" si="73"/>
        <v>7</v>
      </c>
    </row>
    <row r="4409" spans="1:3" x14ac:dyDescent="0.2">
      <c r="A4409" s="34">
        <v>38932</v>
      </c>
      <c r="B4409">
        <v>3.6816559999999998</v>
      </c>
      <c r="C4409">
        <f t="shared" si="73"/>
        <v>6.8</v>
      </c>
    </row>
    <row r="4410" spans="1:3" x14ac:dyDescent="0.2">
      <c r="A4410" s="34">
        <v>38931</v>
      </c>
      <c r="B4410">
        <v>3.6811379999999998</v>
      </c>
      <c r="C4410">
        <f t="shared" si="73"/>
        <v>7.03</v>
      </c>
    </row>
    <row r="4411" spans="1:3" x14ac:dyDescent="0.2">
      <c r="A4411" s="34">
        <v>38930</v>
      </c>
      <c r="B4411">
        <v>3.6806199999999998</v>
      </c>
      <c r="C4411">
        <f t="shared" si="73"/>
        <v>7</v>
      </c>
    </row>
    <row r="4412" spans="1:3" x14ac:dyDescent="0.2">
      <c r="A4412" s="34">
        <v>38929</v>
      </c>
      <c r="B4412">
        <v>3.6801010000000001</v>
      </c>
      <c r="C4412">
        <f t="shared" si="73"/>
        <v>7.23</v>
      </c>
    </row>
    <row r="4413" spans="1:3" x14ac:dyDescent="0.2">
      <c r="A4413" s="34">
        <v>38928</v>
      </c>
      <c r="B4413">
        <v>3.679583</v>
      </c>
      <c r="C4413">
        <f t="shared" si="73"/>
        <v>7.1</v>
      </c>
    </row>
    <row r="4414" spans="1:3" x14ac:dyDescent="0.2">
      <c r="A4414" s="34">
        <v>38927</v>
      </c>
      <c r="B4414">
        <v>3.679065</v>
      </c>
      <c r="C4414">
        <f t="shared" si="73"/>
        <v>7.1</v>
      </c>
    </row>
    <row r="4415" spans="1:3" x14ac:dyDescent="0.2">
      <c r="A4415" s="34">
        <v>38926</v>
      </c>
      <c r="B4415">
        <v>3.678547</v>
      </c>
      <c r="C4415">
        <f t="shared" si="73"/>
        <v>7.1</v>
      </c>
    </row>
    <row r="4416" spans="1:3" x14ac:dyDescent="0.2">
      <c r="A4416" s="34">
        <v>38925</v>
      </c>
      <c r="B4416">
        <v>3.678029</v>
      </c>
      <c r="C4416">
        <f t="shared" si="73"/>
        <v>7</v>
      </c>
    </row>
    <row r="4417" spans="1:3" x14ac:dyDescent="0.2">
      <c r="A4417" s="34">
        <v>38924</v>
      </c>
      <c r="B4417">
        <v>3.6775120000000001</v>
      </c>
      <c r="C4417">
        <f t="shared" si="73"/>
        <v>7</v>
      </c>
    </row>
    <row r="4418" spans="1:3" x14ac:dyDescent="0.2">
      <c r="A4418" s="34">
        <v>38923</v>
      </c>
      <c r="B4418">
        <v>3.6769940000000001</v>
      </c>
      <c r="C4418">
        <f t="shared" ref="C4418:C4481" si="74">IFERROR(VLOOKUP(A4418,$M$2:$N$3695,2,0),C4419)</f>
        <v>7</v>
      </c>
    </row>
    <row r="4419" spans="1:3" x14ac:dyDescent="0.2">
      <c r="A4419" s="34">
        <v>38922</v>
      </c>
      <c r="B4419">
        <v>3.6770170000000002</v>
      </c>
      <c r="C4419">
        <f t="shared" si="74"/>
        <v>7.03</v>
      </c>
    </row>
    <row r="4420" spans="1:3" x14ac:dyDescent="0.2">
      <c r="A4420" s="34">
        <v>38921</v>
      </c>
      <c r="B4420">
        <v>3.6770399999999999</v>
      </c>
      <c r="C4420">
        <f t="shared" si="74"/>
        <v>7</v>
      </c>
    </row>
    <row r="4421" spans="1:3" x14ac:dyDescent="0.2">
      <c r="A4421" s="34">
        <v>38920</v>
      </c>
      <c r="B4421">
        <v>3.677063</v>
      </c>
      <c r="C4421">
        <f t="shared" si="74"/>
        <v>7</v>
      </c>
    </row>
    <row r="4422" spans="1:3" x14ac:dyDescent="0.2">
      <c r="A4422" s="34">
        <v>38919</v>
      </c>
      <c r="B4422">
        <v>3.6770860000000001</v>
      </c>
      <c r="C4422">
        <f t="shared" si="74"/>
        <v>7</v>
      </c>
    </row>
    <row r="4423" spans="1:3" x14ac:dyDescent="0.2">
      <c r="A4423" s="34">
        <v>38918</v>
      </c>
      <c r="B4423">
        <v>3.6771090000000002</v>
      </c>
      <c r="C4423">
        <f t="shared" si="74"/>
        <v>7.05</v>
      </c>
    </row>
    <row r="4424" spans="1:3" x14ac:dyDescent="0.2">
      <c r="A4424" s="34">
        <v>38917</v>
      </c>
      <c r="B4424">
        <v>3.6771319999999998</v>
      </c>
      <c r="C4424">
        <f t="shared" si="74"/>
        <v>7</v>
      </c>
    </row>
    <row r="4425" spans="1:3" x14ac:dyDescent="0.2">
      <c r="A4425" s="34">
        <v>38916</v>
      </c>
      <c r="B4425">
        <v>3.677155</v>
      </c>
      <c r="C4425">
        <f t="shared" si="74"/>
        <v>7</v>
      </c>
    </row>
    <row r="4426" spans="1:3" x14ac:dyDescent="0.2">
      <c r="A4426" s="34">
        <v>38915</v>
      </c>
      <c r="B4426">
        <v>3.6771780000000001</v>
      </c>
      <c r="C4426">
        <f t="shared" si="74"/>
        <v>7</v>
      </c>
    </row>
    <row r="4427" spans="1:3" x14ac:dyDescent="0.2">
      <c r="A4427" s="34">
        <v>38914</v>
      </c>
      <c r="B4427">
        <v>3.6772010000000002</v>
      </c>
      <c r="C4427">
        <f t="shared" si="74"/>
        <v>7</v>
      </c>
    </row>
    <row r="4428" spans="1:3" x14ac:dyDescent="0.2">
      <c r="A4428" s="34">
        <v>38913</v>
      </c>
      <c r="B4428">
        <v>3.6772239999999998</v>
      </c>
      <c r="C4428">
        <f t="shared" si="74"/>
        <v>7</v>
      </c>
    </row>
    <row r="4429" spans="1:3" x14ac:dyDescent="0.2">
      <c r="A4429" s="34">
        <v>38912</v>
      </c>
      <c r="B4429">
        <v>3.6772469999999999</v>
      </c>
      <c r="C4429">
        <f t="shared" si="74"/>
        <v>7</v>
      </c>
    </row>
    <row r="4430" spans="1:3" x14ac:dyDescent="0.2">
      <c r="A4430" s="34">
        <v>38911</v>
      </c>
      <c r="B4430">
        <v>3.67727</v>
      </c>
      <c r="C4430">
        <f t="shared" si="74"/>
        <v>7</v>
      </c>
    </row>
    <row r="4431" spans="1:3" x14ac:dyDescent="0.2">
      <c r="A4431" s="34">
        <v>38910</v>
      </c>
      <c r="B4431">
        <v>3.6772930000000001</v>
      </c>
      <c r="C4431">
        <f t="shared" si="74"/>
        <v>7</v>
      </c>
    </row>
    <row r="4432" spans="1:3" x14ac:dyDescent="0.2">
      <c r="A4432" s="34">
        <v>38909</v>
      </c>
      <c r="B4432">
        <v>3.6773159999999998</v>
      </c>
      <c r="C4432">
        <f t="shared" si="74"/>
        <v>7</v>
      </c>
    </row>
    <row r="4433" spans="1:3" x14ac:dyDescent="0.2">
      <c r="A4433" s="34">
        <v>38908</v>
      </c>
      <c r="B4433">
        <v>3.6773389999999999</v>
      </c>
      <c r="C4433">
        <f t="shared" si="74"/>
        <v>7.01</v>
      </c>
    </row>
    <row r="4434" spans="1:3" x14ac:dyDescent="0.2">
      <c r="A4434" s="34">
        <v>38907</v>
      </c>
      <c r="B4434">
        <v>3.6771590000000001</v>
      </c>
      <c r="C4434">
        <f t="shared" si="74"/>
        <v>7</v>
      </c>
    </row>
    <row r="4435" spans="1:3" x14ac:dyDescent="0.2">
      <c r="A4435" s="34">
        <v>38906</v>
      </c>
      <c r="B4435">
        <v>3.6769790000000002</v>
      </c>
      <c r="C4435">
        <f t="shared" si="74"/>
        <v>7</v>
      </c>
    </row>
    <row r="4436" spans="1:3" x14ac:dyDescent="0.2">
      <c r="A4436" s="34">
        <v>38905</v>
      </c>
      <c r="B4436">
        <v>3.6767989999999999</v>
      </c>
      <c r="C4436">
        <f t="shared" si="74"/>
        <v>7</v>
      </c>
    </row>
    <row r="4437" spans="1:3" x14ac:dyDescent="0.2">
      <c r="A4437" s="34">
        <v>38904</v>
      </c>
      <c r="B4437">
        <v>3.6766190000000001</v>
      </c>
      <c r="C4437">
        <f t="shared" si="74"/>
        <v>7</v>
      </c>
    </row>
    <row r="4438" spans="1:3" x14ac:dyDescent="0.2">
      <c r="A4438" s="34">
        <v>38903</v>
      </c>
      <c r="B4438">
        <v>3.6764389999999998</v>
      </c>
      <c r="C4438">
        <f t="shared" si="74"/>
        <v>7</v>
      </c>
    </row>
    <row r="4439" spans="1:3" x14ac:dyDescent="0.2">
      <c r="A4439" s="34">
        <v>38902</v>
      </c>
      <c r="B4439">
        <v>3.6762579999999998</v>
      </c>
      <c r="C4439">
        <f t="shared" si="74"/>
        <v>7.01</v>
      </c>
    </row>
    <row r="4440" spans="1:3" x14ac:dyDescent="0.2">
      <c r="A4440" s="34">
        <v>38901</v>
      </c>
      <c r="B4440">
        <v>3.676078</v>
      </c>
      <c r="C4440">
        <f t="shared" si="74"/>
        <v>6.95</v>
      </c>
    </row>
    <row r="4441" spans="1:3" x14ac:dyDescent="0.2">
      <c r="A4441" s="34">
        <v>38900</v>
      </c>
      <c r="B4441">
        <v>3.6758980000000001</v>
      </c>
      <c r="C4441">
        <f t="shared" si="74"/>
        <v>7</v>
      </c>
    </row>
    <row r="4442" spans="1:3" x14ac:dyDescent="0.2">
      <c r="A4442" s="34">
        <v>38899</v>
      </c>
      <c r="B4442">
        <v>3.6757179999999998</v>
      </c>
      <c r="C4442">
        <f t="shared" si="74"/>
        <v>7</v>
      </c>
    </row>
    <row r="4443" spans="1:3" x14ac:dyDescent="0.2">
      <c r="A4443" s="34">
        <v>38898</v>
      </c>
      <c r="B4443">
        <v>3.675538</v>
      </c>
      <c r="C4443">
        <f t="shared" si="74"/>
        <v>7</v>
      </c>
    </row>
    <row r="4444" spans="1:3" x14ac:dyDescent="0.2">
      <c r="A4444" s="34">
        <v>38897</v>
      </c>
      <c r="B4444">
        <v>3.6753580000000001</v>
      </c>
      <c r="C4444">
        <f t="shared" si="74"/>
        <v>7.01</v>
      </c>
    </row>
    <row r="4445" spans="1:3" x14ac:dyDescent="0.2">
      <c r="A4445" s="34">
        <v>38896</v>
      </c>
      <c r="B4445">
        <v>3.6751779999999998</v>
      </c>
      <c r="C4445">
        <f t="shared" si="74"/>
        <v>6.95</v>
      </c>
    </row>
    <row r="4446" spans="1:3" x14ac:dyDescent="0.2">
      <c r="A4446" s="34">
        <v>38895</v>
      </c>
      <c r="B4446">
        <v>3.674998</v>
      </c>
      <c r="C4446">
        <f t="shared" si="74"/>
        <v>7.03</v>
      </c>
    </row>
    <row r="4447" spans="1:3" x14ac:dyDescent="0.2">
      <c r="A4447" s="34">
        <v>38894</v>
      </c>
      <c r="B4447">
        <v>3.6748180000000001</v>
      </c>
      <c r="C4447">
        <f t="shared" si="74"/>
        <v>6.95</v>
      </c>
    </row>
    <row r="4448" spans="1:3" x14ac:dyDescent="0.2">
      <c r="A4448" s="34">
        <v>38893</v>
      </c>
      <c r="B4448">
        <v>3.6746379999999998</v>
      </c>
      <c r="C4448">
        <f t="shared" si="74"/>
        <v>6.95</v>
      </c>
    </row>
    <row r="4449" spans="1:3" x14ac:dyDescent="0.2">
      <c r="A4449" s="34">
        <v>38892</v>
      </c>
      <c r="B4449">
        <v>3.67455</v>
      </c>
      <c r="C4449">
        <f t="shared" si="74"/>
        <v>6.95</v>
      </c>
    </row>
    <row r="4450" spans="1:3" x14ac:dyDescent="0.2">
      <c r="A4450" s="34">
        <v>38891</v>
      </c>
      <c r="B4450">
        <v>3.6744620000000001</v>
      </c>
      <c r="C4450">
        <f t="shared" si="74"/>
        <v>6.95</v>
      </c>
    </row>
    <row r="4451" spans="1:3" x14ac:dyDescent="0.2">
      <c r="A4451" s="34">
        <v>38890</v>
      </c>
      <c r="B4451">
        <v>3.6743739999999998</v>
      </c>
      <c r="C4451">
        <f t="shared" si="74"/>
        <v>6.95</v>
      </c>
    </row>
    <row r="4452" spans="1:3" x14ac:dyDescent="0.2">
      <c r="A4452" s="34">
        <v>38889</v>
      </c>
      <c r="B4452">
        <v>3.6742859999999999</v>
      </c>
      <c r="C4452">
        <f t="shared" si="74"/>
        <v>6.9</v>
      </c>
    </row>
    <row r="4453" spans="1:3" x14ac:dyDescent="0.2">
      <c r="A4453" s="34">
        <v>38888</v>
      </c>
      <c r="B4453">
        <v>3.6741980000000001</v>
      </c>
      <c r="C4453">
        <f t="shared" si="74"/>
        <v>7</v>
      </c>
    </row>
    <row r="4454" spans="1:3" x14ac:dyDescent="0.2">
      <c r="A4454" s="34">
        <v>38887</v>
      </c>
      <c r="B4454">
        <v>3.6741100000000002</v>
      </c>
      <c r="C4454">
        <f t="shared" si="74"/>
        <v>7.15</v>
      </c>
    </row>
    <row r="4455" spans="1:3" x14ac:dyDescent="0.2">
      <c r="A4455" s="34">
        <v>38886</v>
      </c>
      <c r="B4455">
        <v>3.6740219999999999</v>
      </c>
      <c r="C4455">
        <f t="shared" si="74"/>
        <v>6.9</v>
      </c>
    </row>
    <row r="4456" spans="1:3" x14ac:dyDescent="0.2">
      <c r="A4456" s="34">
        <v>38885</v>
      </c>
      <c r="B4456">
        <v>3.673934</v>
      </c>
      <c r="C4456">
        <f t="shared" si="74"/>
        <v>6.9</v>
      </c>
    </row>
    <row r="4457" spans="1:3" x14ac:dyDescent="0.2">
      <c r="A4457" s="34">
        <v>38884</v>
      </c>
      <c r="B4457">
        <v>3.6738460000000002</v>
      </c>
      <c r="C4457">
        <f t="shared" si="74"/>
        <v>6.9</v>
      </c>
    </row>
    <row r="4458" spans="1:3" x14ac:dyDescent="0.2">
      <c r="A4458" s="34">
        <v>38883</v>
      </c>
      <c r="B4458">
        <v>3.6737579999999999</v>
      </c>
      <c r="C4458">
        <f t="shared" si="74"/>
        <v>7.02</v>
      </c>
    </row>
    <row r="4459" spans="1:3" x14ac:dyDescent="0.2">
      <c r="A4459" s="34">
        <v>38882</v>
      </c>
      <c r="B4459">
        <v>3.67367</v>
      </c>
      <c r="C4459">
        <f t="shared" si="74"/>
        <v>6.9</v>
      </c>
    </row>
    <row r="4460" spans="1:3" x14ac:dyDescent="0.2">
      <c r="A4460" s="34">
        <v>38881</v>
      </c>
      <c r="B4460">
        <v>3.6735820000000001</v>
      </c>
      <c r="C4460">
        <f t="shared" si="74"/>
        <v>7</v>
      </c>
    </row>
    <row r="4461" spans="1:3" x14ac:dyDescent="0.2">
      <c r="A4461" s="34">
        <v>38880</v>
      </c>
      <c r="B4461">
        <v>3.6734939999999998</v>
      </c>
      <c r="C4461">
        <f t="shared" si="74"/>
        <v>7.01</v>
      </c>
    </row>
    <row r="4462" spans="1:3" x14ac:dyDescent="0.2">
      <c r="A4462" s="34">
        <v>38879</v>
      </c>
      <c r="B4462">
        <v>3.6734059999999999</v>
      </c>
      <c r="C4462">
        <f t="shared" si="74"/>
        <v>6.95</v>
      </c>
    </row>
    <row r="4463" spans="1:3" x14ac:dyDescent="0.2">
      <c r="A4463" s="34">
        <v>38878</v>
      </c>
      <c r="B4463">
        <v>3.6733180000000001</v>
      </c>
      <c r="C4463">
        <f t="shared" si="74"/>
        <v>6.95</v>
      </c>
    </row>
    <row r="4464" spans="1:3" x14ac:dyDescent="0.2">
      <c r="A4464" s="34">
        <v>38877</v>
      </c>
      <c r="B4464">
        <v>3.674445</v>
      </c>
      <c r="C4464">
        <f t="shared" si="74"/>
        <v>6.95</v>
      </c>
    </row>
    <row r="4465" spans="1:3" x14ac:dyDescent="0.2">
      <c r="A4465" s="34">
        <v>38876</v>
      </c>
      <c r="B4465">
        <v>3.6755710000000001</v>
      </c>
      <c r="C4465">
        <f t="shared" si="74"/>
        <v>7</v>
      </c>
    </row>
    <row r="4466" spans="1:3" x14ac:dyDescent="0.2">
      <c r="A4466" s="34">
        <v>38875</v>
      </c>
      <c r="B4466">
        <v>3.676698</v>
      </c>
      <c r="C4466">
        <f t="shared" si="74"/>
        <v>6.95</v>
      </c>
    </row>
    <row r="4467" spans="1:3" x14ac:dyDescent="0.2">
      <c r="A4467" s="34">
        <v>38874</v>
      </c>
      <c r="B4467">
        <v>3.677826</v>
      </c>
      <c r="C4467">
        <f t="shared" si="74"/>
        <v>7.02</v>
      </c>
    </row>
    <row r="4468" spans="1:3" x14ac:dyDescent="0.2">
      <c r="A4468" s="34">
        <v>38873</v>
      </c>
      <c r="B4468">
        <v>3.6789529999999999</v>
      </c>
      <c r="C4468">
        <f t="shared" si="74"/>
        <v>7.1</v>
      </c>
    </row>
    <row r="4469" spans="1:3" x14ac:dyDescent="0.2">
      <c r="A4469" s="34">
        <v>38872</v>
      </c>
      <c r="B4469">
        <v>3.6800809999999999</v>
      </c>
      <c r="C4469">
        <f t="shared" si="74"/>
        <v>6.9</v>
      </c>
    </row>
    <row r="4470" spans="1:3" x14ac:dyDescent="0.2">
      <c r="A4470" s="34">
        <v>38871</v>
      </c>
      <c r="B4470">
        <v>3.6812100000000001</v>
      </c>
      <c r="C4470">
        <f t="shared" si="74"/>
        <v>6.9</v>
      </c>
    </row>
    <row r="4471" spans="1:3" x14ac:dyDescent="0.2">
      <c r="A4471" s="34">
        <v>38870</v>
      </c>
      <c r="B4471">
        <v>3.6823389999999998</v>
      </c>
      <c r="C4471">
        <f t="shared" si="74"/>
        <v>6.9</v>
      </c>
    </row>
    <row r="4472" spans="1:3" x14ac:dyDescent="0.2">
      <c r="A4472" s="34">
        <v>38869</v>
      </c>
      <c r="B4472">
        <v>3.683468</v>
      </c>
      <c r="C4472">
        <f t="shared" si="74"/>
        <v>7.01</v>
      </c>
    </row>
    <row r="4473" spans="1:3" x14ac:dyDescent="0.2">
      <c r="A4473" s="34">
        <v>38868</v>
      </c>
      <c r="B4473">
        <v>3.6845970000000001</v>
      </c>
      <c r="C4473">
        <f t="shared" si="74"/>
        <v>7</v>
      </c>
    </row>
    <row r="4474" spans="1:3" x14ac:dyDescent="0.2">
      <c r="A4474" s="34">
        <v>38867</v>
      </c>
      <c r="B4474">
        <v>3.685727</v>
      </c>
      <c r="C4474">
        <f t="shared" si="74"/>
        <v>7.05</v>
      </c>
    </row>
    <row r="4475" spans="1:3" x14ac:dyDescent="0.2">
      <c r="A4475" s="34">
        <v>38866</v>
      </c>
      <c r="B4475">
        <v>3.6868569999999998</v>
      </c>
      <c r="C4475">
        <f t="shared" si="74"/>
        <v>7.03</v>
      </c>
    </row>
    <row r="4476" spans="1:3" x14ac:dyDescent="0.2">
      <c r="A4476" s="34">
        <v>38865</v>
      </c>
      <c r="B4476">
        <v>3.6879870000000001</v>
      </c>
      <c r="C4476">
        <f t="shared" si="74"/>
        <v>6.95</v>
      </c>
    </row>
    <row r="4477" spans="1:3" x14ac:dyDescent="0.2">
      <c r="A4477" s="34">
        <v>38864</v>
      </c>
      <c r="B4477">
        <v>3.6891180000000001</v>
      </c>
      <c r="C4477">
        <f t="shared" si="74"/>
        <v>6.95</v>
      </c>
    </row>
    <row r="4478" spans="1:3" x14ac:dyDescent="0.2">
      <c r="A4478" s="34">
        <v>38863</v>
      </c>
      <c r="B4478">
        <v>3.6902490000000001</v>
      </c>
      <c r="C4478">
        <f t="shared" si="74"/>
        <v>6.95</v>
      </c>
    </row>
    <row r="4479" spans="1:3" x14ac:dyDescent="0.2">
      <c r="A4479" s="34">
        <v>38862</v>
      </c>
      <c r="B4479">
        <v>3.6913809999999998</v>
      </c>
      <c r="C4479">
        <f t="shared" si="74"/>
        <v>7.01</v>
      </c>
    </row>
    <row r="4480" spans="1:3" x14ac:dyDescent="0.2">
      <c r="A4480" s="34">
        <v>38861</v>
      </c>
      <c r="B4480">
        <v>3.691249</v>
      </c>
      <c r="C4480">
        <f t="shared" si="74"/>
        <v>7.05</v>
      </c>
    </row>
    <row r="4481" spans="1:3" x14ac:dyDescent="0.2">
      <c r="A4481" s="34">
        <v>38860</v>
      </c>
      <c r="B4481">
        <v>3.6911170000000002</v>
      </c>
      <c r="C4481">
        <f t="shared" si="74"/>
        <v>7.05</v>
      </c>
    </row>
    <row r="4482" spans="1:3" x14ac:dyDescent="0.2">
      <c r="A4482" s="34">
        <v>38859</v>
      </c>
      <c r="B4482">
        <v>3.690985</v>
      </c>
      <c r="C4482">
        <f t="shared" ref="C4482:C4545" si="75">IFERROR(VLOOKUP(A4482,$M$2:$N$3695,2,0),C4483)</f>
        <v>7</v>
      </c>
    </row>
    <row r="4483" spans="1:3" x14ac:dyDescent="0.2">
      <c r="A4483" s="34">
        <v>38858</v>
      </c>
      <c r="B4483">
        <v>3.6908530000000002</v>
      </c>
      <c r="C4483">
        <f t="shared" si="75"/>
        <v>6.9</v>
      </c>
    </row>
    <row r="4484" spans="1:3" x14ac:dyDescent="0.2">
      <c r="A4484" s="34">
        <v>38857</v>
      </c>
      <c r="B4484">
        <v>3.6907209999999999</v>
      </c>
      <c r="C4484">
        <f t="shared" si="75"/>
        <v>6.9</v>
      </c>
    </row>
    <row r="4485" spans="1:3" x14ac:dyDescent="0.2">
      <c r="A4485" s="34">
        <v>38856</v>
      </c>
      <c r="B4485">
        <v>3.6905890000000001</v>
      </c>
      <c r="C4485">
        <f t="shared" si="75"/>
        <v>6.9</v>
      </c>
    </row>
    <row r="4486" spans="1:3" x14ac:dyDescent="0.2">
      <c r="A4486" s="34">
        <v>38855</v>
      </c>
      <c r="B4486">
        <v>3.6904569999999999</v>
      </c>
      <c r="C4486">
        <f t="shared" si="75"/>
        <v>6.9</v>
      </c>
    </row>
    <row r="4487" spans="1:3" x14ac:dyDescent="0.2">
      <c r="A4487" s="34">
        <v>38854</v>
      </c>
      <c r="B4487">
        <v>3.6903250000000001</v>
      </c>
      <c r="C4487">
        <f t="shared" si="75"/>
        <v>7.02</v>
      </c>
    </row>
    <row r="4488" spans="1:3" x14ac:dyDescent="0.2">
      <c r="A4488" s="34">
        <v>38853</v>
      </c>
      <c r="B4488">
        <v>3.6901929999999998</v>
      </c>
      <c r="C4488">
        <f t="shared" si="75"/>
        <v>7.05</v>
      </c>
    </row>
    <row r="4489" spans="1:3" x14ac:dyDescent="0.2">
      <c r="A4489" s="34">
        <v>38852</v>
      </c>
      <c r="B4489">
        <v>3.690061</v>
      </c>
      <c r="C4489">
        <f t="shared" si="75"/>
        <v>7</v>
      </c>
    </row>
    <row r="4490" spans="1:3" x14ac:dyDescent="0.2">
      <c r="A4490" s="34">
        <v>38851</v>
      </c>
      <c r="B4490">
        <v>3.6899289999999998</v>
      </c>
      <c r="C4490">
        <f t="shared" si="75"/>
        <v>7.02</v>
      </c>
    </row>
    <row r="4491" spans="1:3" x14ac:dyDescent="0.2">
      <c r="A4491" s="34">
        <v>38850</v>
      </c>
      <c r="B4491">
        <v>3.6897980000000001</v>
      </c>
      <c r="C4491">
        <f t="shared" si="75"/>
        <v>7.02</v>
      </c>
    </row>
    <row r="4492" spans="1:3" x14ac:dyDescent="0.2">
      <c r="A4492" s="34">
        <v>38849</v>
      </c>
      <c r="B4492">
        <v>3.6896659999999999</v>
      </c>
      <c r="C4492">
        <f t="shared" si="75"/>
        <v>7.02</v>
      </c>
    </row>
    <row r="4493" spans="1:3" x14ac:dyDescent="0.2">
      <c r="A4493" s="34">
        <v>38848</v>
      </c>
      <c r="B4493">
        <v>3.6895340000000001</v>
      </c>
      <c r="C4493">
        <f t="shared" si="75"/>
        <v>7</v>
      </c>
    </row>
    <row r="4494" spans="1:3" x14ac:dyDescent="0.2">
      <c r="A4494" s="34">
        <v>38847</v>
      </c>
      <c r="B4494">
        <v>3.6894019999999998</v>
      </c>
      <c r="C4494">
        <f t="shared" si="75"/>
        <v>7</v>
      </c>
    </row>
    <row r="4495" spans="1:3" x14ac:dyDescent="0.2">
      <c r="A4495" s="34">
        <v>38846</v>
      </c>
      <c r="B4495">
        <v>3.6893389999999999</v>
      </c>
      <c r="C4495">
        <f t="shared" si="75"/>
        <v>6.95</v>
      </c>
    </row>
    <row r="4496" spans="1:3" x14ac:dyDescent="0.2">
      <c r="A4496" s="34">
        <v>38845</v>
      </c>
      <c r="B4496">
        <v>3.689276</v>
      </c>
      <c r="C4496">
        <f t="shared" si="75"/>
        <v>6.9</v>
      </c>
    </row>
    <row r="4497" spans="1:3" x14ac:dyDescent="0.2">
      <c r="A4497" s="34">
        <v>38844</v>
      </c>
      <c r="B4497">
        <v>3.6892130000000001</v>
      </c>
      <c r="C4497">
        <f t="shared" si="75"/>
        <v>7</v>
      </c>
    </row>
    <row r="4498" spans="1:3" x14ac:dyDescent="0.2">
      <c r="A4498" s="34">
        <v>38843</v>
      </c>
      <c r="B4498">
        <v>3.6891509999999998</v>
      </c>
      <c r="C4498">
        <f t="shared" si="75"/>
        <v>7</v>
      </c>
    </row>
    <row r="4499" spans="1:3" x14ac:dyDescent="0.2">
      <c r="A4499" s="34">
        <v>38842</v>
      </c>
      <c r="B4499">
        <v>3.6890879999999999</v>
      </c>
      <c r="C4499">
        <f t="shared" si="75"/>
        <v>7</v>
      </c>
    </row>
    <row r="4500" spans="1:3" x14ac:dyDescent="0.2">
      <c r="A4500" s="34">
        <v>38841</v>
      </c>
      <c r="B4500">
        <v>3.689025</v>
      </c>
      <c r="C4500">
        <f t="shared" si="75"/>
        <v>6.95</v>
      </c>
    </row>
    <row r="4501" spans="1:3" x14ac:dyDescent="0.2">
      <c r="A4501" s="34">
        <v>38840</v>
      </c>
      <c r="B4501">
        <v>3.6889620000000001</v>
      </c>
      <c r="C4501">
        <f t="shared" si="75"/>
        <v>6.95</v>
      </c>
    </row>
    <row r="4502" spans="1:3" x14ac:dyDescent="0.2">
      <c r="A4502" s="34">
        <v>38839</v>
      </c>
      <c r="B4502">
        <v>3.6888990000000002</v>
      </c>
      <c r="C4502">
        <f t="shared" si="75"/>
        <v>6.95</v>
      </c>
    </row>
    <row r="4503" spans="1:3" x14ac:dyDescent="0.2">
      <c r="A4503" s="34">
        <v>38838</v>
      </c>
      <c r="B4503">
        <v>3.6888359999999998</v>
      </c>
      <c r="C4503">
        <f t="shared" si="75"/>
        <v>6.9</v>
      </c>
    </row>
    <row r="4504" spans="1:3" x14ac:dyDescent="0.2">
      <c r="A4504" s="34">
        <v>38837</v>
      </c>
      <c r="B4504">
        <v>3.688774</v>
      </c>
      <c r="C4504">
        <f t="shared" si="75"/>
        <v>6.9</v>
      </c>
    </row>
    <row r="4505" spans="1:3" x14ac:dyDescent="0.2">
      <c r="A4505" s="34">
        <v>38836</v>
      </c>
      <c r="B4505">
        <v>3.6887110000000001</v>
      </c>
      <c r="C4505">
        <f t="shared" si="75"/>
        <v>6.9</v>
      </c>
    </row>
    <row r="4506" spans="1:3" x14ac:dyDescent="0.2">
      <c r="A4506" s="34">
        <v>38835</v>
      </c>
      <c r="B4506">
        <v>3.6886480000000001</v>
      </c>
      <c r="C4506">
        <f t="shared" si="75"/>
        <v>6.9</v>
      </c>
    </row>
    <row r="4507" spans="1:3" x14ac:dyDescent="0.2">
      <c r="A4507" s="34">
        <v>38834</v>
      </c>
      <c r="B4507">
        <v>3.6885849999999998</v>
      </c>
      <c r="C4507">
        <f t="shared" si="75"/>
        <v>6.9</v>
      </c>
    </row>
    <row r="4508" spans="1:3" x14ac:dyDescent="0.2">
      <c r="A4508" s="34">
        <v>38833</v>
      </c>
      <c r="B4508">
        <v>3.6885219999999999</v>
      </c>
      <c r="C4508">
        <f t="shared" si="75"/>
        <v>7.55</v>
      </c>
    </row>
    <row r="4509" spans="1:3" x14ac:dyDescent="0.2">
      <c r="A4509" s="34">
        <v>38832</v>
      </c>
      <c r="B4509">
        <v>3.6884589999999999</v>
      </c>
      <c r="C4509">
        <f t="shared" si="75"/>
        <v>6.5</v>
      </c>
    </row>
    <row r="4510" spans="1:3" x14ac:dyDescent="0.2">
      <c r="A4510" s="34">
        <v>38831</v>
      </c>
      <c r="B4510">
        <v>3.6879979999999999</v>
      </c>
      <c r="C4510">
        <f t="shared" si="75"/>
        <v>7.35</v>
      </c>
    </row>
    <row r="4511" spans="1:3" x14ac:dyDescent="0.2">
      <c r="A4511" s="34">
        <v>38830</v>
      </c>
      <c r="B4511">
        <v>3.6875369999999998</v>
      </c>
      <c r="C4511">
        <f t="shared" si="75"/>
        <v>7</v>
      </c>
    </row>
    <row r="4512" spans="1:3" x14ac:dyDescent="0.2">
      <c r="A4512" s="34">
        <v>38829</v>
      </c>
      <c r="B4512">
        <v>3.6870759999999998</v>
      </c>
      <c r="C4512">
        <f t="shared" si="75"/>
        <v>7</v>
      </c>
    </row>
    <row r="4513" spans="1:3" x14ac:dyDescent="0.2">
      <c r="A4513" s="34">
        <v>38828</v>
      </c>
      <c r="B4513">
        <v>3.6866150000000002</v>
      </c>
      <c r="C4513">
        <f t="shared" si="75"/>
        <v>7</v>
      </c>
    </row>
    <row r="4514" spans="1:3" x14ac:dyDescent="0.2">
      <c r="A4514" s="34">
        <v>38827</v>
      </c>
      <c r="B4514">
        <v>3.6861540000000002</v>
      </c>
      <c r="C4514">
        <f t="shared" si="75"/>
        <v>7.2</v>
      </c>
    </row>
    <row r="4515" spans="1:3" x14ac:dyDescent="0.2">
      <c r="A4515" s="34">
        <v>38826</v>
      </c>
      <c r="B4515">
        <v>3.6856939999999998</v>
      </c>
      <c r="C4515">
        <f t="shared" si="75"/>
        <v>7.25</v>
      </c>
    </row>
    <row r="4516" spans="1:3" x14ac:dyDescent="0.2">
      <c r="A4516" s="34">
        <v>38825</v>
      </c>
      <c r="B4516">
        <v>3.6852330000000002</v>
      </c>
      <c r="C4516">
        <f t="shared" si="75"/>
        <v>7.22</v>
      </c>
    </row>
    <row r="4517" spans="1:3" x14ac:dyDescent="0.2">
      <c r="A4517" s="34">
        <v>38824</v>
      </c>
      <c r="B4517">
        <v>3.6847720000000002</v>
      </c>
      <c r="C4517">
        <f t="shared" si="75"/>
        <v>7.25</v>
      </c>
    </row>
    <row r="4518" spans="1:3" x14ac:dyDescent="0.2">
      <c r="A4518" s="34">
        <v>38823</v>
      </c>
      <c r="B4518">
        <v>3.6843110000000001</v>
      </c>
      <c r="C4518">
        <f t="shared" si="75"/>
        <v>7.28</v>
      </c>
    </row>
    <row r="4519" spans="1:3" x14ac:dyDescent="0.2">
      <c r="A4519" s="34">
        <v>38822</v>
      </c>
      <c r="B4519">
        <v>3.6838510000000002</v>
      </c>
      <c r="C4519">
        <f t="shared" si="75"/>
        <v>7.28</v>
      </c>
    </row>
    <row r="4520" spans="1:3" x14ac:dyDescent="0.2">
      <c r="A4520" s="34">
        <v>38821</v>
      </c>
      <c r="B4520">
        <v>3.6833900000000002</v>
      </c>
      <c r="C4520">
        <f t="shared" si="75"/>
        <v>7.28</v>
      </c>
    </row>
    <row r="4521" spans="1:3" x14ac:dyDescent="0.2">
      <c r="A4521" s="34">
        <v>38820</v>
      </c>
      <c r="B4521">
        <v>3.6829299999999998</v>
      </c>
      <c r="C4521">
        <f t="shared" si="75"/>
        <v>7.28</v>
      </c>
    </row>
    <row r="4522" spans="1:3" x14ac:dyDescent="0.2">
      <c r="A4522" s="34">
        <v>38819</v>
      </c>
      <c r="B4522">
        <v>3.6824690000000002</v>
      </c>
      <c r="C4522">
        <f t="shared" si="75"/>
        <v>7.28</v>
      </c>
    </row>
    <row r="4523" spans="1:3" x14ac:dyDescent="0.2">
      <c r="A4523" s="34">
        <v>38818</v>
      </c>
      <c r="B4523">
        <v>3.6820089999999999</v>
      </c>
      <c r="C4523">
        <f t="shared" si="75"/>
        <v>7.23</v>
      </c>
    </row>
    <row r="4524" spans="1:3" x14ac:dyDescent="0.2">
      <c r="A4524" s="34">
        <v>38817</v>
      </c>
      <c r="B4524">
        <v>3.681549</v>
      </c>
      <c r="C4524">
        <f t="shared" si="75"/>
        <v>7.26</v>
      </c>
    </row>
    <row r="4525" spans="1:3" x14ac:dyDescent="0.2">
      <c r="A4525" s="34">
        <v>38816</v>
      </c>
      <c r="B4525">
        <v>3.681454</v>
      </c>
      <c r="C4525">
        <f t="shared" si="75"/>
        <v>7</v>
      </c>
    </row>
    <row r="4526" spans="1:3" x14ac:dyDescent="0.2">
      <c r="A4526" s="34">
        <v>38815</v>
      </c>
      <c r="B4526">
        <v>3.6813600000000002</v>
      </c>
      <c r="C4526">
        <f t="shared" si="75"/>
        <v>7</v>
      </c>
    </row>
    <row r="4527" spans="1:3" x14ac:dyDescent="0.2">
      <c r="A4527" s="34">
        <v>38814</v>
      </c>
      <c r="B4527">
        <v>3.6812659999999999</v>
      </c>
      <c r="C4527">
        <f t="shared" si="75"/>
        <v>7</v>
      </c>
    </row>
    <row r="4528" spans="1:3" x14ac:dyDescent="0.2">
      <c r="A4528" s="34">
        <v>38813</v>
      </c>
      <c r="B4528">
        <v>3.6811720000000001</v>
      </c>
      <c r="C4528">
        <f t="shared" si="75"/>
        <v>7.2</v>
      </c>
    </row>
    <row r="4529" spans="1:3" x14ac:dyDescent="0.2">
      <c r="A4529" s="34">
        <v>38812</v>
      </c>
      <c r="B4529">
        <v>3.6810770000000002</v>
      </c>
      <c r="C4529">
        <f t="shared" si="75"/>
        <v>7.25</v>
      </c>
    </row>
    <row r="4530" spans="1:3" x14ac:dyDescent="0.2">
      <c r="A4530" s="34">
        <v>38811</v>
      </c>
      <c r="B4530">
        <v>3.6809829999999999</v>
      </c>
      <c r="C4530">
        <f t="shared" si="75"/>
        <v>7.25</v>
      </c>
    </row>
    <row r="4531" spans="1:3" x14ac:dyDescent="0.2">
      <c r="A4531" s="34">
        <v>38810</v>
      </c>
      <c r="B4531">
        <v>3.6808890000000001</v>
      </c>
      <c r="C4531">
        <f t="shared" si="75"/>
        <v>7.22</v>
      </c>
    </row>
    <row r="4532" spans="1:3" x14ac:dyDescent="0.2">
      <c r="A4532" s="34">
        <v>38809</v>
      </c>
      <c r="B4532">
        <v>3.6807949999999998</v>
      </c>
      <c r="C4532">
        <f t="shared" si="75"/>
        <v>7.23</v>
      </c>
    </row>
    <row r="4533" spans="1:3" x14ac:dyDescent="0.2">
      <c r="A4533" s="34">
        <v>38808</v>
      </c>
      <c r="B4533">
        <v>3.6806999999999999</v>
      </c>
      <c r="C4533">
        <f t="shared" si="75"/>
        <v>7.23</v>
      </c>
    </row>
    <row r="4534" spans="1:3" x14ac:dyDescent="0.2">
      <c r="A4534" s="34">
        <v>38807</v>
      </c>
      <c r="B4534">
        <v>3.680606</v>
      </c>
      <c r="C4534">
        <f t="shared" si="75"/>
        <v>7.23</v>
      </c>
    </row>
    <row r="4535" spans="1:3" x14ac:dyDescent="0.2">
      <c r="A4535" s="34">
        <v>38806</v>
      </c>
      <c r="B4535">
        <v>3.6805119999999998</v>
      </c>
      <c r="C4535">
        <f t="shared" si="75"/>
        <v>7.25</v>
      </c>
    </row>
    <row r="4536" spans="1:3" x14ac:dyDescent="0.2">
      <c r="A4536" s="34">
        <v>38805</v>
      </c>
      <c r="B4536">
        <v>3.680418</v>
      </c>
      <c r="C4536">
        <f t="shared" si="75"/>
        <v>7.25</v>
      </c>
    </row>
    <row r="4537" spans="1:3" x14ac:dyDescent="0.2">
      <c r="A4537" s="34">
        <v>38804</v>
      </c>
      <c r="B4537">
        <v>3.680323</v>
      </c>
      <c r="C4537">
        <f t="shared" si="75"/>
        <v>7.27</v>
      </c>
    </row>
    <row r="4538" spans="1:3" x14ac:dyDescent="0.2">
      <c r="A4538" s="34">
        <v>38803</v>
      </c>
      <c r="B4538">
        <v>3.6802290000000002</v>
      </c>
      <c r="C4538">
        <f t="shared" si="75"/>
        <v>7.28</v>
      </c>
    </row>
    <row r="4539" spans="1:3" x14ac:dyDescent="0.2">
      <c r="A4539" s="34">
        <v>38802</v>
      </c>
      <c r="B4539">
        <v>3.6801349999999999</v>
      </c>
      <c r="C4539">
        <f t="shared" si="75"/>
        <v>7.25</v>
      </c>
    </row>
    <row r="4540" spans="1:3" x14ac:dyDescent="0.2">
      <c r="A4540" s="34">
        <v>38801</v>
      </c>
      <c r="B4540">
        <v>3.6800410000000001</v>
      </c>
      <c r="C4540">
        <f t="shared" si="75"/>
        <v>7.25</v>
      </c>
    </row>
    <row r="4541" spans="1:3" x14ac:dyDescent="0.2">
      <c r="A4541" s="34">
        <v>38800</v>
      </c>
      <c r="B4541">
        <v>3.6800869999999999</v>
      </c>
      <c r="C4541">
        <f t="shared" si="75"/>
        <v>7.25</v>
      </c>
    </row>
    <row r="4542" spans="1:3" x14ac:dyDescent="0.2">
      <c r="A4542" s="34">
        <v>38799</v>
      </c>
      <c r="B4542">
        <v>3.6801330000000001</v>
      </c>
      <c r="C4542">
        <f t="shared" si="75"/>
        <v>7.45</v>
      </c>
    </row>
    <row r="4543" spans="1:3" x14ac:dyDescent="0.2">
      <c r="A4543" s="34">
        <v>38798</v>
      </c>
      <c r="B4543">
        <v>3.6801789999999999</v>
      </c>
      <c r="C4543">
        <f t="shared" si="75"/>
        <v>7.48</v>
      </c>
    </row>
    <row r="4544" spans="1:3" x14ac:dyDescent="0.2">
      <c r="A4544" s="34">
        <v>38797</v>
      </c>
      <c r="B4544">
        <v>3.6802250000000001</v>
      </c>
      <c r="C4544">
        <f t="shared" si="75"/>
        <v>7.4</v>
      </c>
    </row>
    <row r="4545" spans="1:3" x14ac:dyDescent="0.2">
      <c r="A4545" s="34">
        <v>38796</v>
      </c>
      <c r="B4545">
        <v>3.6802709999999998</v>
      </c>
      <c r="C4545">
        <f t="shared" si="75"/>
        <v>7.4</v>
      </c>
    </row>
    <row r="4546" spans="1:3" x14ac:dyDescent="0.2">
      <c r="A4546" s="34">
        <v>38795</v>
      </c>
      <c r="B4546">
        <v>3.6803170000000001</v>
      </c>
      <c r="C4546">
        <f t="shared" ref="C4546:C4609" si="76">IFERROR(VLOOKUP(A4546,$M$2:$N$3695,2,0),C4547)</f>
        <v>7.45</v>
      </c>
    </row>
    <row r="4547" spans="1:3" x14ac:dyDescent="0.2">
      <c r="A4547" s="34">
        <v>38794</v>
      </c>
      <c r="B4547">
        <v>3.6803629999999998</v>
      </c>
      <c r="C4547">
        <f t="shared" si="76"/>
        <v>7.45</v>
      </c>
    </row>
    <row r="4548" spans="1:3" x14ac:dyDescent="0.2">
      <c r="A4548" s="34">
        <v>38793</v>
      </c>
      <c r="B4548">
        <v>3.680409</v>
      </c>
      <c r="C4548">
        <f t="shared" si="76"/>
        <v>7.45</v>
      </c>
    </row>
    <row r="4549" spans="1:3" x14ac:dyDescent="0.2">
      <c r="A4549" s="34">
        <v>38792</v>
      </c>
      <c r="B4549">
        <v>3.6804549999999998</v>
      </c>
      <c r="C4549">
        <f t="shared" si="76"/>
        <v>7.52</v>
      </c>
    </row>
    <row r="4550" spans="1:3" x14ac:dyDescent="0.2">
      <c r="A4550" s="34">
        <v>38791</v>
      </c>
      <c r="B4550">
        <v>3.6805020000000002</v>
      </c>
      <c r="C4550">
        <f t="shared" si="76"/>
        <v>7.5</v>
      </c>
    </row>
    <row r="4551" spans="1:3" x14ac:dyDescent="0.2">
      <c r="A4551" s="34">
        <v>38790</v>
      </c>
      <c r="B4551">
        <v>3.6805479999999999</v>
      </c>
      <c r="C4551">
        <f t="shared" si="76"/>
        <v>7.52</v>
      </c>
    </row>
    <row r="4552" spans="1:3" x14ac:dyDescent="0.2">
      <c r="A4552" s="34">
        <v>38789</v>
      </c>
      <c r="B4552">
        <v>3.6805940000000001</v>
      </c>
      <c r="C4552">
        <f t="shared" si="76"/>
        <v>7.5</v>
      </c>
    </row>
    <row r="4553" spans="1:3" x14ac:dyDescent="0.2">
      <c r="A4553" s="34">
        <v>38788</v>
      </c>
      <c r="B4553">
        <v>3.6806399999999999</v>
      </c>
      <c r="C4553">
        <f t="shared" si="76"/>
        <v>7.5</v>
      </c>
    </row>
    <row r="4554" spans="1:3" x14ac:dyDescent="0.2">
      <c r="A4554" s="34">
        <v>38787</v>
      </c>
      <c r="B4554">
        <v>3.6806860000000001</v>
      </c>
      <c r="C4554">
        <f t="shared" si="76"/>
        <v>7.5</v>
      </c>
    </row>
    <row r="4555" spans="1:3" x14ac:dyDescent="0.2">
      <c r="A4555" s="34">
        <v>38786</v>
      </c>
      <c r="B4555">
        <v>3.6807319999999999</v>
      </c>
      <c r="C4555">
        <f t="shared" si="76"/>
        <v>7.5</v>
      </c>
    </row>
    <row r="4556" spans="1:3" x14ac:dyDescent="0.2">
      <c r="A4556" s="34">
        <v>38785</v>
      </c>
      <c r="B4556">
        <v>3.6805340000000002</v>
      </c>
      <c r="C4556">
        <f t="shared" si="76"/>
        <v>7.5</v>
      </c>
    </row>
    <row r="4557" spans="1:3" x14ac:dyDescent="0.2">
      <c r="A4557" s="34">
        <v>38784</v>
      </c>
      <c r="B4557">
        <v>3.6803360000000001</v>
      </c>
      <c r="C4557">
        <f t="shared" si="76"/>
        <v>7.4</v>
      </c>
    </row>
    <row r="4558" spans="1:3" x14ac:dyDescent="0.2">
      <c r="A4558" s="34">
        <v>38783</v>
      </c>
      <c r="B4558">
        <v>3.6801370000000002</v>
      </c>
      <c r="C4558">
        <f t="shared" si="76"/>
        <v>7.5</v>
      </c>
    </row>
    <row r="4559" spans="1:3" x14ac:dyDescent="0.2">
      <c r="A4559" s="34">
        <v>38782</v>
      </c>
      <c r="B4559">
        <v>3.6799390000000001</v>
      </c>
      <c r="C4559">
        <f t="shared" si="76"/>
        <v>7.45</v>
      </c>
    </row>
    <row r="4560" spans="1:3" x14ac:dyDescent="0.2">
      <c r="A4560" s="34">
        <v>38781</v>
      </c>
      <c r="B4560">
        <v>3.6797409999999999</v>
      </c>
      <c r="C4560">
        <f t="shared" si="76"/>
        <v>7.48</v>
      </c>
    </row>
    <row r="4561" spans="1:3" x14ac:dyDescent="0.2">
      <c r="A4561" s="34">
        <v>38780</v>
      </c>
      <c r="B4561">
        <v>3.6795429999999998</v>
      </c>
      <c r="C4561">
        <f t="shared" si="76"/>
        <v>7.48</v>
      </c>
    </row>
    <row r="4562" spans="1:3" x14ac:dyDescent="0.2">
      <c r="A4562" s="34">
        <v>38779</v>
      </c>
      <c r="B4562">
        <v>3.6793450000000001</v>
      </c>
      <c r="C4562">
        <f t="shared" si="76"/>
        <v>7.48</v>
      </c>
    </row>
    <row r="4563" spans="1:3" x14ac:dyDescent="0.2">
      <c r="A4563" s="34">
        <v>38778</v>
      </c>
      <c r="B4563">
        <v>3.6791469999999999</v>
      </c>
      <c r="C4563">
        <f t="shared" si="76"/>
        <v>7.48</v>
      </c>
    </row>
    <row r="4564" spans="1:3" x14ac:dyDescent="0.2">
      <c r="A4564" s="34">
        <v>38777</v>
      </c>
      <c r="B4564">
        <v>3.6789480000000001</v>
      </c>
      <c r="C4564">
        <f t="shared" si="76"/>
        <v>7.54</v>
      </c>
    </row>
    <row r="4565" spans="1:3" x14ac:dyDescent="0.2">
      <c r="A4565" s="34">
        <v>38776</v>
      </c>
      <c r="B4565">
        <v>3.67875</v>
      </c>
      <c r="C4565">
        <f t="shared" si="76"/>
        <v>7.5</v>
      </c>
    </row>
    <row r="4566" spans="1:3" x14ac:dyDescent="0.2">
      <c r="A4566" s="34">
        <v>38775</v>
      </c>
      <c r="B4566">
        <v>3.6785519999999998</v>
      </c>
      <c r="C4566">
        <f t="shared" si="76"/>
        <v>7.58</v>
      </c>
    </row>
    <row r="4567" spans="1:3" x14ac:dyDescent="0.2">
      <c r="A4567" s="34">
        <v>38774</v>
      </c>
      <c r="B4567">
        <v>3.6783540000000001</v>
      </c>
      <c r="C4567">
        <f t="shared" si="76"/>
        <v>7.52</v>
      </c>
    </row>
    <row r="4568" spans="1:3" x14ac:dyDescent="0.2">
      <c r="A4568" s="34">
        <v>38773</v>
      </c>
      <c r="B4568">
        <v>3.678156</v>
      </c>
      <c r="C4568">
        <f t="shared" si="76"/>
        <v>7.52</v>
      </c>
    </row>
    <row r="4569" spans="1:3" x14ac:dyDescent="0.2">
      <c r="A4569" s="34">
        <v>38772</v>
      </c>
      <c r="B4569">
        <v>3.6777030000000002</v>
      </c>
      <c r="C4569">
        <f t="shared" si="76"/>
        <v>7.52</v>
      </c>
    </row>
    <row r="4570" spans="1:3" x14ac:dyDescent="0.2">
      <c r="A4570" s="34">
        <v>38771</v>
      </c>
      <c r="B4570">
        <v>3.677251</v>
      </c>
      <c r="C4570">
        <f t="shared" si="76"/>
        <v>7.8</v>
      </c>
    </row>
    <row r="4571" spans="1:3" x14ac:dyDescent="0.2">
      <c r="A4571" s="34">
        <v>38770</v>
      </c>
      <c r="B4571">
        <v>3.6767979999999998</v>
      </c>
      <c r="C4571">
        <f t="shared" si="76"/>
        <v>7.78</v>
      </c>
    </row>
    <row r="4572" spans="1:3" x14ac:dyDescent="0.2">
      <c r="A4572" s="34">
        <v>38769</v>
      </c>
      <c r="B4572">
        <v>3.676345</v>
      </c>
      <c r="C4572">
        <f t="shared" si="76"/>
        <v>7.75</v>
      </c>
    </row>
    <row r="4573" spans="1:3" x14ac:dyDescent="0.2">
      <c r="A4573" s="34">
        <v>38768</v>
      </c>
      <c r="B4573">
        <v>3.6758929999999999</v>
      </c>
      <c r="C4573">
        <f t="shared" si="76"/>
        <v>7.78</v>
      </c>
    </row>
    <row r="4574" spans="1:3" x14ac:dyDescent="0.2">
      <c r="A4574" s="34">
        <v>38767</v>
      </c>
      <c r="B4574">
        <v>3.67544</v>
      </c>
      <c r="C4574">
        <f t="shared" si="76"/>
        <v>7.75</v>
      </c>
    </row>
    <row r="4575" spans="1:3" x14ac:dyDescent="0.2">
      <c r="A4575" s="34">
        <v>38766</v>
      </c>
      <c r="B4575">
        <v>3.6749879999999999</v>
      </c>
      <c r="C4575">
        <f t="shared" si="76"/>
        <v>7.75</v>
      </c>
    </row>
    <row r="4576" spans="1:3" x14ac:dyDescent="0.2">
      <c r="A4576" s="34">
        <v>38765</v>
      </c>
      <c r="B4576">
        <v>3.6745359999999998</v>
      </c>
      <c r="C4576">
        <f t="shared" si="76"/>
        <v>7.75</v>
      </c>
    </row>
    <row r="4577" spans="1:3" x14ac:dyDescent="0.2">
      <c r="A4577" s="34">
        <v>38764</v>
      </c>
      <c r="B4577">
        <v>3.674083</v>
      </c>
      <c r="C4577">
        <f t="shared" si="76"/>
        <v>7.8</v>
      </c>
    </row>
    <row r="4578" spans="1:3" x14ac:dyDescent="0.2">
      <c r="A4578" s="34">
        <v>38763</v>
      </c>
      <c r="B4578">
        <v>3.6736309999999999</v>
      </c>
      <c r="C4578">
        <f t="shared" si="76"/>
        <v>7.75</v>
      </c>
    </row>
    <row r="4579" spans="1:3" x14ac:dyDescent="0.2">
      <c r="A4579" s="34">
        <v>38762</v>
      </c>
      <c r="B4579">
        <v>3.6731790000000002</v>
      </c>
      <c r="C4579">
        <f t="shared" si="76"/>
        <v>7.7</v>
      </c>
    </row>
    <row r="4580" spans="1:3" x14ac:dyDescent="0.2">
      <c r="A4580" s="34">
        <v>38761</v>
      </c>
      <c r="B4580">
        <v>3.6727270000000001</v>
      </c>
      <c r="C4580">
        <f t="shared" si="76"/>
        <v>7.72</v>
      </c>
    </row>
    <row r="4581" spans="1:3" x14ac:dyDescent="0.2">
      <c r="A4581" s="34">
        <v>38760</v>
      </c>
      <c r="B4581">
        <v>3.672275</v>
      </c>
      <c r="C4581">
        <f t="shared" si="76"/>
        <v>7.7</v>
      </c>
    </row>
    <row r="4582" spans="1:3" x14ac:dyDescent="0.2">
      <c r="A4582" s="34">
        <v>38759</v>
      </c>
      <c r="B4582">
        <v>3.6718229999999998</v>
      </c>
      <c r="C4582">
        <f t="shared" si="76"/>
        <v>7.7</v>
      </c>
    </row>
    <row r="4583" spans="1:3" x14ac:dyDescent="0.2">
      <c r="A4583" s="34">
        <v>38758</v>
      </c>
      <c r="B4583">
        <v>3.6713710000000002</v>
      </c>
      <c r="C4583">
        <f t="shared" si="76"/>
        <v>7.7</v>
      </c>
    </row>
    <row r="4584" spans="1:3" x14ac:dyDescent="0.2">
      <c r="A4584" s="34">
        <v>38757</v>
      </c>
      <c r="B4584">
        <v>3.670639</v>
      </c>
      <c r="C4584">
        <f t="shared" si="76"/>
        <v>7.74</v>
      </c>
    </row>
    <row r="4585" spans="1:3" x14ac:dyDescent="0.2">
      <c r="A4585" s="34">
        <v>38756</v>
      </c>
      <c r="B4585">
        <v>3.6699079999999999</v>
      </c>
      <c r="C4585">
        <f t="shared" si="76"/>
        <v>7.7</v>
      </c>
    </row>
    <row r="4586" spans="1:3" x14ac:dyDescent="0.2">
      <c r="A4586" s="34">
        <v>38755</v>
      </c>
      <c r="B4586">
        <v>3.6691769999999999</v>
      </c>
      <c r="C4586">
        <f t="shared" si="76"/>
        <v>7.75</v>
      </c>
    </row>
    <row r="4587" spans="1:3" x14ac:dyDescent="0.2">
      <c r="A4587" s="34">
        <v>38754</v>
      </c>
      <c r="B4587">
        <v>3.6684459999999999</v>
      </c>
      <c r="C4587">
        <f t="shared" si="76"/>
        <v>7.55</v>
      </c>
    </row>
    <row r="4588" spans="1:3" x14ac:dyDescent="0.2">
      <c r="A4588" s="34">
        <v>38753</v>
      </c>
      <c r="B4588">
        <v>3.6677149999999998</v>
      </c>
      <c r="C4588">
        <f t="shared" si="76"/>
        <v>7.55</v>
      </c>
    </row>
    <row r="4589" spans="1:3" x14ac:dyDescent="0.2">
      <c r="A4589" s="34">
        <v>38752</v>
      </c>
      <c r="B4589">
        <v>3.6669839999999998</v>
      </c>
      <c r="C4589">
        <f t="shared" si="76"/>
        <v>7.55</v>
      </c>
    </row>
    <row r="4590" spans="1:3" x14ac:dyDescent="0.2">
      <c r="A4590" s="34">
        <v>38751</v>
      </c>
      <c r="B4590">
        <v>3.6662539999999999</v>
      </c>
      <c r="C4590">
        <f t="shared" si="76"/>
        <v>7.55</v>
      </c>
    </row>
    <row r="4591" spans="1:3" x14ac:dyDescent="0.2">
      <c r="A4591" s="34">
        <v>38750</v>
      </c>
      <c r="B4591">
        <v>3.6655229999999999</v>
      </c>
      <c r="C4591">
        <f t="shared" si="76"/>
        <v>7.75</v>
      </c>
    </row>
    <row r="4592" spans="1:3" x14ac:dyDescent="0.2">
      <c r="A4592" s="34">
        <v>38749</v>
      </c>
      <c r="B4592">
        <v>3.664793</v>
      </c>
      <c r="C4592">
        <f t="shared" si="76"/>
        <v>7.75</v>
      </c>
    </row>
    <row r="4593" spans="1:3" x14ac:dyDescent="0.2">
      <c r="A4593" s="34">
        <v>38748</v>
      </c>
      <c r="B4593">
        <v>3.6640630000000001</v>
      </c>
      <c r="C4593">
        <f t="shared" si="76"/>
        <v>7.77</v>
      </c>
    </row>
    <row r="4594" spans="1:3" x14ac:dyDescent="0.2">
      <c r="A4594" s="34">
        <v>38747</v>
      </c>
      <c r="B4594">
        <v>3.6633330000000002</v>
      </c>
      <c r="C4594">
        <f t="shared" si="76"/>
        <v>7.75</v>
      </c>
    </row>
    <row r="4595" spans="1:3" x14ac:dyDescent="0.2">
      <c r="A4595" s="34">
        <v>38746</v>
      </c>
      <c r="B4595">
        <v>3.6626029999999998</v>
      </c>
      <c r="C4595">
        <f t="shared" si="76"/>
        <v>7.7</v>
      </c>
    </row>
    <row r="4596" spans="1:3" x14ac:dyDescent="0.2">
      <c r="A4596" s="34">
        <v>38745</v>
      </c>
      <c r="B4596">
        <v>3.6618740000000001</v>
      </c>
      <c r="C4596">
        <f t="shared" si="76"/>
        <v>7.7</v>
      </c>
    </row>
    <row r="4597" spans="1:3" x14ac:dyDescent="0.2">
      <c r="A4597" s="34">
        <v>38744</v>
      </c>
      <c r="B4597">
        <v>3.6611440000000002</v>
      </c>
      <c r="C4597">
        <f t="shared" si="76"/>
        <v>7.7</v>
      </c>
    </row>
    <row r="4598" spans="1:3" x14ac:dyDescent="0.2">
      <c r="A4598" s="34">
        <v>38743</v>
      </c>
      <c r="B4598">
        <v>3.660415</v>
      </c>
      <c r="C4598">
        <f t="shared" si="76"/>
        <v>8.25</v>
      </c>
    </row>
    <row r="4599" spans="1:3" x14ac:dyDescent="0.2">
      <c r="A4599" s="34">
        <v>38742</v>
      </c>
      <c r="B4599">
        <v>3.6596850000000001</v>
      </c>
      <c r="C4599">
        <f t="shared" si="76"/>
        <v>8.25</v>
      </c>
    </row>
    <row r="4600" spans="1:3" x14ac:dyDescent="0.2">
      <c r="A4600" s="34">
        <v>38741</v>
      </c>
      <c r="B4600">
        <v>3.658836</v>
      </c>
      <c r="C4600">
        <f t="shared" si="76"/>
        <v>8.25</v>
      </c>
    </row>
    <row r="4601" spans="1:3" x14ac:dyDescent="0.2">
      <c r="A4601" s="34">
        <v>38740</v>
      </c>
      <c r="B4601">
        <v>3.6579860000000002</v>
      </c>
      <c r="C4601">
        <f t="shared" si="76"/>
        <v>8.24</v>
      </c>
    </row>
    <row r="4602" spans="1:3" x14ac:dyDescent="0.2">
      <c r="A4602" s="34">
        <v>38739</v>
      </c>
      <c r="B4602">
        <v>3.6571370000000001</v>
      </c>
      <c r="C4602">
        <f t="shared" si="76"/>
        <v>8.25</v>
      </c>
    </row>
    <row r="4603" spans="1:3" x14ac:dyDescent="0.2">
      <c r="A4603" s="34">
        <v>38738</v>
      </c>
      <c r="B4603">
        <v>3.656288</v>
      </c>
      <c r="C4603">
        <f t="shared" si="76"/>
        <v>8.25</v>
      </c>
    </row>
    <row r="4604" spans="1:3" x14ac:dyDescent="0.2">
      <c r="A4604" s="34">
        <v>38737</v>
      </c>
      <c r="B4604">
        <v>3.65544</v>
      </c>
      <c r="C4604">
        <f t="shared" si="76"/>
        <v>8.25</v>
      </c>
    </row>
    <row r="4605" spans="1:3" x14ac:dyDescent="0.2">
      <c r="A4605" s="34">
        <v>38736</v>
      </c>
      <c r="B4605">
        <v>3.6545909999999999</v>
      </c>
      <c r="C4605">
        <f t="shared" si="76"/>
        <v>8.25</v>
      </c>
    </row>
    <row r="4606" spans="1:3" x14ac:dyDescent="0.2">
      <c r="A4606" s="34">
        <v>38735</v>
      </c>
      <c r="B4606">
        <v>3.653743</v>
      </c>
      <c r="C4606">
        <f t="shared" si="76"/>
        <v>8.24</v>
      </c>
    </row>
    <row r="4607" spans="1:3" x14ac:dyDescent="0.2">
      <c r="A4607" s="34">
        <v>38734</v>
      </c>
      <c r="B4607">
        <v>3.652895</v>
      </c>
      <c r="C4607">
        <f t="shared" si="76"/>
        <v>8.25</v>
      </c>
    </row>
    <row r="4608" spans="1:3" x14ac:dyDescent="0.2">
      <c r="A4608" s="34">
        <v>38733</v>
      </c>
      <c r="B4608">
        <v>3.652047</v>
      </c>
      <c r="C4608">
        <f t="shared" si="76"/>
        <v>8.25</v>
      </c>
    </row>
    <row r="4609" spans="1:3" x14ac:dyDescent="0.2">
      <c r="A4609" s="34">
        <v>38732</v>
      </c>
      <c r="B4609">
        <v>3.6511990000000001</v>
      </c>
      <c r="C4609">
        <f t="shared" si="76"/>
        <v>8.27</v>
      </c>
    </row>
    <row r="4610" spans="1:3" x14ac:dyDescent="0.2">
      <c r="A4610" s="34">
        <v>38731</v>
      </c>
      <c r="B4610">
        <v>3.6503510000000001</v>
      </c>
      <c r="C4610">
        <f t="shared" ref="C4610:C4673" si="77">IFERROR(VLOOKUP(A4610,$M$2:$N$3695,2,0),C4611)</f>
        <v>8.27</v>
      </c>
    </row>
    <row r="4611" spans="1:3" x14ac:dyDescent="0.2">
      <c r="A4611" s="34">
        <v>38730</v>
      </c>
      <c r="B4611">
        <v>3.6495039999999999</v>
      </c>
      <c r="C4611">
        <f t="shared" si="77"/>
        <v>8.27</v>
      </c>
    </row>
    <row r="4612" spans="1:3" x14ac:dyDescent="0.2">
      <c r="A4612" s="34">
        <v>38729</v>
      </c>
      <c r="B4612">
        <v>3.648657</v>
      </c>
      <c r="C4612">
        <f t="shared" si="77"/>
        <v>8.25</v>
      </c>
    </row>
    <row r="4613" spans="1:3" x14ac:dyDescent="0.2">
      <c r="A4613" s="34">
        <v>38728</v>
      </c>
      <c r="B4613">
        <v>3.6478100000000002</v>
      </c>
      <c r="C4613">
        <f t="shared" si="77"/>
        <v>8.27</v>
      </c>
    </row>
    <row r="4614" spans="1:3" x14ac:dyDescent="0.2">
      <c r="A4614" s="34">
        <v>38727</v>
      </c>
      <c r="B4614">
        <v>3.646963</v>
      </c>
      <c r="C4614">
        <f t="shared" si="77"/>
        <v>8.25</v>
      </c>
    </row>
    <row r="4615" spans="1:3" x14ac:dyDescent="0.2">
      <c r="A4615" s="34">
        <v>38726</v>
      </c>
      <c r="B4615">
        <v>3.6460189999999999</v>
      </c>
      <c r="C4615">
        <f t="shared" si="77"/>
        <v>8.1999999999999993</v>
      </c>
    </row>
    <row r="4616" spans="1:3" x14ac:dyDescent="0.2">
      <c r="A4616" s="34">
        <v>38725</v>
      </c>
      <c r="B4616">
        <v>3.6450749999999998</v>
      </c>
      <c r="C4616">
        <f t="shared" si="77"/>
        <v>8.2200000000000006</v>
      </c>
    </row>
    <row r="4617" spans="1:3" x14ac:dyDescent="0.2">
      <c r="A4617" s="34">
        <v>38724</v>
      </c>
      <c r="B4617">
        <v>3.6441309999999998</v>
      </c>
      <c r="C4617">
        <f t="shared" si="77"/>
        <v>8.2200000000000006</v>
      </c>
    </row>
    <row r="4618" spans="1:3" x14ac:dyDescent="0.2">
      <c r="A4618" s="34">
        <v>38723</v>
      </c>
      <c r="B4618">
        <v>3.6431879999999999</v>
      </c>
      <c r="C4618">
        <f t="shared" si="77"/>
        <v>8.2200000000000006</v>
      </c>
    </row>
    <row r="4619" spans="1:3" x14ac:dyDescent="0.2">
      <c r="A4619" s="34">
        <v>38722</v>
      </c>
      <c r="B4619">
        <v>3.642245</v>
      </c>
      <c r="C4619">
        <f t="shared" si="77"/>
        <v>8.25</v>
      </c>
    </row>
    <row r="4620" spans="1:3" x14ac:dyDescent="0.2">
      <c r="A4620" s="34">
        <v>38721</v>
      </c>
      <c r="B4620">
        <v>3.641302</v>
      </c>
      <c r="C4620">
        <f t="shared" si="77"/>
        <v>8.25</v>
      </c>
    </row>
    <row r="4621" spans="1:3" x14ac:dyDescent="0.2">
      <c r="A4621" s="34">
        <v>38720</v>
      </c>
      <c r="B4621">
        <v>3.6403590000000001</v>
      </c>
      <c r="C4621">
        <f t="shared" si="77"/>
        <v>8.2799999999999994</v>
      </c>
    </row>
    <row r="4622" spans="1:3" x14ac:dyDescent="0.2">
      <c r="A4622" s="34">
        <v>38719</v>
      </c>
      <c r="B4622">
        <v>3.6394160000000002</v>
      </c>
      <c r="C4622">
        <f t="shared" si="77"/>
        <v>8.25</v>
      </c>
    </row>
    <row r="4623" spans="1:3" x14ac:dyDescent="0.2">
      <c r="A4623" s="34">
        <v>38718</v>
      </c>
      <c r="B4623">
        <v>3.638474</v>
      </c>
      <c r="C4623">
        <f t="shared" si="77"/>
        <v>8.25</v>
      </c>
    </row>
    <row r="4624" spans="1:3" x14ac:dyDescent="0.2">
      <c r="A4624" s="34">
        <v>38717</v>
      </c>
      <c r="B4624">
        <v>3.6375320000000002</v>
      </c>
      <c r="C4624">
        <f t="shared" si="77"/>
        <v>8.25</v>
      </c>
    </row>
    <row r="4625" spans="1:3" x14ac:dyDescent="0.2">
      <c r="A4625" s="34">
        <v>38716</v>
      </c>
      <c r="B4625">
        <v>3.63659</v>
      </c>
      <c r="C4625">
        <f t="shared" si="77"/>
        <v>8.25</v>
      </c>
    </row>
    <row r="4626" spans="1:3" x14ac:dyDescent="0.2">
      <c r="A4626" s="34">
        <v>38715</v>
      </c>
      <c r="B4626">
        <v>3.6356489999999999</v>
      </c>
      <c r="C4626">
        <f t="shared" si="77"/>
        <v>8.1999999999999993</v>
      </c>
    </row>
    <row r="4627" spans="1:3" x14ac:dyDescent="0.2">
      <c r="A4627" s="34">
        <v>38714</v>
      </c>
      <c r="B4627">
        <v>3.6347070000000001</v>
      </c>
      <c r="C4627">
        <f t="shared" si="77"/>
        <v>8.25</v>
      </c>
    </row>
    <row r="4628" spans="1:3" x14ac:dyDescent="0.2">
      <c r="A4628" s="34">
        <v>38713</v>
      </c>
      <c r="B4628">
        <v>3.6337660000000001</v>
      </c>
      <c r="C4628">
        <f t="shared" si="77"/>
        <v>8.2799999999999994</v>
      </c>
    </row>
    <row r="4629" spans="1:3" x14ac:dyDescent="0.2">
      <c r="A4629" s="34">
        <v>38712</v>
      </c>
      <c r="B4629">
        <v>3.6328260000000001</v>
      </c>
      <c r="C4629">
        <f t="shared" si="77"/>
        <v>8.24</v>
      </c>
    </row>
    <row r="4630" spans="1:3" x14ac:dyDescent="0.2">
      <c r="A4630" s="34">
        <v>38711</v>
      </c>
      <c r="B4630">
        <v>3.631885</v>
      </c>
      <c r="C4630">
        <f t="shared" si="77"/>
        <v>8.25</v>
      </c>
    </row>
    <row r="4631" spans="1:3" x14ac:dyDescent="0.2">
      <c r="A4631" s="34">
        <v>38710</v>
      </c>
      <c r="B4631">
        <v>3.6317740000000001</v>
      </c>
      <c r="C4631">
        <f t="shared" si="77"/>
        <v>8.25</v>
      </c>
    </row>
    <row r="4632" spans="1:3" x14ac:dyDescent="0.2">
      <c r="A4632" s="34">
        <v>38709</v>
      </c>
      <c r="B4632">
        <v>3.6316630000000001</v>
      </c>
      <c r="C4632">
        <f t="shared" si="77"/>
        <v>8.25</v>
      </c>
    </row>
    <row r="4633" spans="1:3" x14ac:dyDescent="0.2">
      <c r="A4633" s="34">
        <v>38708</v>
      </c>
      <c r="B4633">
        <v>3.6315520000000001</v>
      </c>
      <c r="C4633">
        <f t="shared" si="77"/>
        <v>8.25</v>
      </c>
    </row>
    <row r="4634" spans="1:3" x14ac:dyDescent="0.2">
      <c r="A4634" s="34">
        <v>38707</v>
      </c>
      <c r="B4634">
        <v>3.6314410000000001</v>
      </c>
      <c r="C4634">
        <f t="shared" si="77"/>
        <v>8.35</v>
      </c>
    </row>
    <row r="4635" spans="1:3" x14ac:dyDescent="0.2">
      <c r="A4635" s="34">
        <v>38706</v>
      </c>
      <c r="B4635">
        <v>3.6313300000000002</v>
      </c>
      <c r="C4635">
        <f t="shared" si="77"/>
        <v>8.2799999999999994</v>
      </c>
    </row>
    <row r="4636" spans="1:3" x14ac:dyDescent="0.2">
      <c r="A4636" s="34">
        <v>38705</v>
      </c>
      <c r="B4636">
        <v>3.6312190000000002</v>
      </c>
      <c r="C4636">
        <f t="shared" si="77"/>
        <v>8.27</v>
      </c>
    </row>
    <row r="4637" spans="1:3" x14ac:dyDescent="0.2">
      <c r="A4637" s="34">
        <v>38704</v>
      </c>
      <c r="B4637">
        <v>3.6311079999999998</v>
      </c>
      <c r="C4637">
        <f t="shared" si="77"/>
        <v>8.15</v>
      </c>
    </row>
    <row r="4638" spans="1:3" x14ac:dyDescent="0.2">
      <c r="A4638" s="34">
        <v>38703</v>
      </c>
      <c r="B4638">
        <v>3.6309969999999998</v>
      </c>
      <c r="C4638">
        <f t="shared" si="77"/>
        <v>8.15</v>
      </c>
    </row>
    <row r="4639" spans="1:3" x14ac:dyDescent="0.2">
      <c r="A4639" s="34">
        <v>38702</v>
      </c>
      <c r="B4639">
        <v>3.6308859999999998</v>
      </c>
      <c r="C4639">
        <f t="shared" si="77"/>
        <v>8.15</v>
      </c>
    </row>
    <row r="4640" spans="1:3" x14ac:dyDescent="0.2">
      <c r="A4640" s="34">
        <v>38701</v>
      </c>
      <c r="B4640">
        <v>3.6307749999999999</v>
      </c>
      <c r="C4640">
        <f t="shared" si="77"/>
        <v>8.9499999999999993</v>
      </c>
    </row>
    <row r="4641" spans="1:3" x14ac:dyDescent="0.2">
      <c r="A4641" s="34">
        <v>38700</v>
      </c>
      <c r="B4641">
        <v>3.6306639999999999</v>
      </c>
      <c r="C4641">
        <f t="shared" si="77"/>
        <v>8.25</v>
      </c>
    </row>
    <row r="4642" spans="1:3" x14ac:dyDescent="0.2">
      <c r="A4642" s="34">
        <v>38699</v>
      </c>
      <c r="B4642">
        <v>3.6305529999999999</v>
      </c>
      <c r="C4642">
        <f t="shared" si="77"/>
        <v>8.24</v>
      </c>
    </row>
    <row r="4643" spans="1:3" x14ac:dyDescent="0.2">
      <c r="A4643" s="34">
        <v>38698</v>
      </c>
      <c r="B4643">
        <v>3.6304419999999999</v>
      </c>
      <c r="C4643">
        <f t="shared" si="77"/>
        <v>8.26</v>
      </c>
    </row>
    <row r="4644" spans="1:3" x14ac:dyDescent="0.2">
      <c r="A4644" s="34">
        <v>38697</v>
      </c>
      <c r="B4644">
        <v>3.630331</v>
      </c>
      <c r="C4644">
        <f t="shared" si="77"/>
        <v>8.26</v>
      </c>
    </row>
    <row r="4645" spans="1:3" x14ac:dyDescent="0.2">
      <c r="A4645" s="34">
        <v>38696</v>
      </c>
      <c r="B4645">
        <v>3.63022</v>
      </c>
      <c r="C4645">
        <f t="shared" si="77"/>
        <v>8.26</v>
      </c>
    </row>
    <row r="4646" spans="1:3" x14ac:dyDescent="0.2">
      <c r="A4646" s="34">
        <v>38695</v>
      </c>
      <c r="B4646">
        <v>3.6286070000000001</v>
      </c>
      <c r="C4646">
        <f t="shared" si="77"/>
        <v>8.26</v>
      </c>
    </row>
    <row r="4647" spans="1:3" x14ac:dyDescent="0.2">
      <c r="A4647" s="34">
        <v>38694</v>
      </c>
      <c r="B4647">
        <v>3.6269939999999998</v>
      </c>
      <c r="C4647">
        <f t="shared" si="77"/>
        <v>8.6999999999999993</v>
      </c>
    </row>
    <row r="4648" spans="1:3" x14ac:dyDescent="0.2">
      <c r="A4648" s="34">
        <v>38693</v>
      </c>
      <c r="B4648">
        <v>3.6253820000000001</v>
      </c>
      <c r="C4648">
        <f t="shared" si="77"/>
        <v>8.75</v>
      </c>
    </row>
    <row r="4649" spans="1:3" x14ac:dyDescent="0.2">
      <c r="A4649" s="34">
        <v>38692</v>
      </c>
      <c r="B4649">
        <v>3.6237710000000001</v>
      </c>
      <c r="C4649">
        <f t="shared" si="77"/>
        <v>8.75</v>
      </c>
    </row>
    <row r="4650" spans="1:3" x14ac:dyDescent="0.2">
      <c r="A4650" s="34">
        <v>38691</v>
      </c>
      <c r="B4650">
        <v>3.6221610000000002</v>
      </c>
      <c r="C4650">
        <f t="shared" si="77"/>
        <v>8.75</v>
      </c>
    </row>
    <row r="4651" spans="1:3" x14ac:dyDescent="0.2">
      <c r="A4651" s="34">
        <v>38690</v>
      </c>
      <c r="B4651">
        <v>3.6205509999999999</v>
      </c>
      <c r="C4651">
        <f t="shared" si="77"/>
        <v>8.7899999999999991</v>
      </c>
    </row>
    <row r="4652" spans="1:3" x14ac:dyDescent="0.2">
      <c r="A4652" s="34">
        <v>38689</v>
      </c>
      <c r="B4652">
        <v>3.6189420000000001</v>
      </c>
      <c r="C4652">
        <f t="shared" si="77"/>
        <v>8.7899999999999991</v>
      </c>
    </row>
    <row r="4653" spans="1:3" x14ac:dyDescent="0.2">
      <c r="A4653" s="34">
        <v>38688</v>
      </c>
      <c r="B4653">
        <v>3.6173329999999999</v>
      </c>
      <c r="C4653">
        <f t="shared" si="77"/>
        <v>8.7899999999999991</v>
      </c>
    </row>
    <row r="4654" spans="1:3" x14ac:dyDescent="0.2">
      <c r="A4654" s="34">
        <v>38687</v>
      </c>
      <c r="B4654">
        <v>3.615726</v>
      </c>
      <c r="C4654">
        <f t="shared" si="77"/>
        <v>8.73</v>
      </c>
    </row>
    <row r="4655" spans="1:3" x14ac:dyDescent="0.2">
      <c r="A4655" s="34">
        <v>38686</v>
      </c>
      <c r="B4655">
        <v>3.6141190000000001</v>
      </c>
      <c r="C4655">
        <f t="shared" si="77"/>
        <v>8.75</v>
      </c>
    </row>
    <row r="4656" spans="1:3" x14ac:dyDescent="0.2">
      <c r="A4656" s="34">
        <v>38685</v>
      </c>
      <c r="B4656">
        <v>3.6125129999999999</v>
      </c>
      <c r="C4656">
        <f t="shared" si="77"/>
        <v>8.75</v>
      </c>
    </row>
    <row r="4657" spans="1:3" x14ac:dyDescent="0.2">
      <c r="A4657" s="34">
        <v>38684</v>
      </c>
      <c r="B4657">
        <v>3.6109070000000001</v>
      </c>
      <c r="C4657">
        <f t="shared" si="77"/>
        <v>8.75</v>
      </c>
    </row>
    <row r="4658" spans="1:3" x14ac:dyDescent="0.2">
      <c r="A4658" s="34">
        <v>38683</v>
      </c>
      <c r="B4658">
        <v>3.609302</v>
      </c>
      <c r="C4658">
        <f t="shared" si="77"/>
        <v>8.75</v>
      </c>
    </row>
    <row r="4659" spans="1:3" x14ac:dyDescent="0.2">
      <c r="A4659" s="34">
        <v>38682</v>
      </c>
      <c r="B4659">
        <v>3.6076980000000001</v>
      </c>
      <c r="C4659">
        <f t="shared" si="77"/>
        <v>8.75</v>
      </c>
    </row>
    <row r="4660" spans="1:3" x14ac:dyDescent="0.2">
      <c r="A4660" s="34">
        <v>38681</v>
      </c>
      <c r="B4660">
        <v>3.6060949999999998</v>
      </c>
      <c r="C4660">
        <f t="shared" si="77"/>
        <v>8.75</v>
      </c>
    </row>
    <row r="4661" spans="1:3" x14ac:dyDescent="0.2">
      <c r="A4661" s="34">
        <v>38680</v>
      </c>
      <c r="B4661">
        <v>3.6059610000000002</v>
      </c>
      <c r="C4661">
        <f t="shared" si="77"/>
        <v>9</v>
      </c>
    </row>
    <row r="4662" spans="1:3" x14ac:dyDescent="0.2">
      <c r="A4662" s="34">
        <v>38679</v>
      </c>
      <c r="B4662">
        <v>3.6058270000000001</v>
      </c>
      <c r="C4662">
        <f t="shared" si="77"/>
        <v>9</v>
      </c>
    </row>
    <row r="4663" spans="1:3" x14ac:dyDescent="0.2">
      <c r="A4663" s="34">
        <v>38678</v>
      </c>
      <c r="B4663">
        <v>3.605693</v>
      </c>
      <c r="C4663">
        <f t="shared" si="77"/>
        <v>9</v>
      </c>
    </row>
    <row r="4664" spans="1:3" x14ac:dyDescent="0.2">
      <c r="A4664" s="34">
        <v>38677</v>
      </c>
      <c r="B4664">
        <v>3.605559</v>
      </c>
      <c r="C4664">
        <f t="shared" si="77"/>
        <v>9</v>
      </c>
    </row>
    <row r="4665" spans="1:3" x14ac:dyDescent="0.2">
      <c r="A4665" s="34">
        <v>38676</v>
      </c>
      <c r="B4665">
        <v>3.6054249999999999</v>
      </c>
      <c r="C4665">
        <f t="shared" si="77"/>
        <v>9</v>
      </c>
    </row>
    <row r="4666" spans="1:3" x14ac:dyDescent="0.2">
      <c r="A4666" s="34">
        <v>38675</v>
      </c>
      <c r="B4666">
        <v>3.6052909999999998</v>
      </c>
      <c r="C4666">
        <f t="shared" si="77"/>
        <v>9</v>
      </c>
    </row>
    <row r="4667" spans="1:3" x14ac:dyDescent="0.2">
      <c r="A4667" s="34">
        <v>38674</v>
      </c>
      <c r="B4667">
        <v>3.6051570000000002</v>
      </c>
      <c r="C4667">
        <f t="shared" si="77"/>
        <v>9</v>
      </c>
    </row>
    <row r="4668" spans="1:3" x14ac:dyDescent="0.2">
      <c r="A4668" s="34">
        <v>38673</v>
      </c>
      <c r="B4668">
        <v>3.6050230000000001</v>
      </c>
      <c r="C4668">
        <f t="shared" si="77"/>
        <v>9</v>
      </c>
    </row>
    <row r="4669" spans="1:3" x14ac:dyDescent="0.2">
      <c r="A4669" s="34">
        <v>38672</v>
      </c>
      <c r="B4669">
        <v>3.604889</v>
      </c>
      <c r="C4669">
        <f t="shared" si="77"/>
        <v>9</v>
      </c>
    </row>
    <row r="4670" spans="1:3" x14ac:dyDescent="0.2">
      <c r="A4670" s="34">
        <v>38671</v>
      </c>
      <c r="B4670">
        <v>3.6047549999999999</v>
      </c>
      <c r="C4670">
        <f t="shared" si="77"/>
        <v>9</v>
      </c>
    </row>
    <row r="4671" spans="1:3" x14ac:dyDescent="0.2">
      <c r="A4671" s="34">
        <v>38670</v>
      </c>
      <c r="B4671">
        <v>3.6046209999999999</v>
      </c>
      <c r="C4671">
        <f t="shared" si="77"/>
        <v>9</v>
      </c>
    </row>
    <row r="4672" spans="1:3" x14ac:dyDescent="0.2">
      <c r="A4672" s="34">
        <v>38669</v>
      </c>
      <c r="B4672">
        <v>3.6044870000000002</v>
      </c>
      <c r="C4672">
        <f t="shared" si="77"/>
        <v>9</v>
      </c>
    </row>
    <row r="4673" spans="1:3" x14ac:dyDescent="0.2">
      <c r="A4673" s="34">
        <v>38668</v>
      </c>
      <c r="B4673">
        <v>3.6043530000000001</v>
      </c>
      <c r="C4673">
        <f t="shared" si="77"/>
        <v>9</v>
      </c>
    </row>
    <row r="4674" spans="1:3" x14ac:dyDescent="0.2">
      <c r="A4674" s="34">
        <v>38667</v>
      </c>
      <c r="B4674">
        <v>3.6042190000000001</v>
      </c>
      <c r="C4674">
        <f t="shared" ref="C4674:C4737" si="78">IFERROR(VLOOKUP(A4674,$M$2:$N$3695,2,0),C4675)</f>
        <v>9</v>
      </c>
    </row>
    <row r="4675" spans="1:3" x14ac:dyDescent="0.2">
      <c r="A4675" s="34">
        <v>38666</v>
      </c>
      <c r="B4675">
        <v>3.604085</v>
      </c>
      <c r="C4675">
        <f t="shared" si="78"/>
        <v>8.8000000000000007</v>
      </c>
    </row>
    <row r="4676" spans="1:3" x14ac:dyDescent="0.2">
      <c r="A4676" s="34">
        <v>38665</v>
      </c>
      <c r="B4676">
        <v>3.6036619999999999</v>
      </c>
      <c r="C4676">
        <f t="shared" si="78"/>
        <v>9</v>
      </c>
    </row>
    <row r="4677" spans="1:3" x14ac:dyDescent="0.2">
      <c r="A4677" s="34">
        <v>38664</v>
      </c>
      <c r="B4677">
        <v>3.60324</v>
      </c>
      <c r="C4677">
        <f t="shared" si="78"/>
        <v>9</v>
      </c>
    </row>
    <row r="4678" spans="1:3" x14ac:dyDescent="0.2">
      <c r="A4678" s="34">
        <v>38663</v>
      </c>
      <c r="B4678">
        <v>3.6028169999999999</v>
      </c>
      <c r="C4678">
        <f t="shared" si="78"/>
        <v>9</v>
      </c>
    </row>
    <row r="4679" spans="1:3" x14ac:dyDescent="0.2">
      <c r="A4679" s="34">
        <v>38662</v>
      </c>
      <c r="B4679">
        <v>3.602395</v>
      </c>
      <c r="C4679">
        <f t="shared" si="78"/>
        <v>8.92</v>
      </c>
    </row>
    <row r="4680" spans="1:3" x14ac:dyDescent="0.2">
      <c r="A4680" s="34">
        <v>38661</v>
      </c>
      <c r="B4680">
        <v>3.6019730000000001</v>
      </c>
      <c r="C4680">
        <f t="shared" si="78"/>
        <v>8.92</v>
      </c>
    </row>
    <row r="4681" spans="1:3" x14ac:dyDescent="0.2">
      <c r="A4681" s="34">
        <v>38660</v>
      </c>
      <c r="B4681">
        <v>3.6015510000000002</v>
      </c>
      <c r="C4681">
        <f t="shared" si="78"/>
        <v>8.92</v>
      </c>
    </row>
    <row r="4682" spans="1:3" x14ac:dyDescent="0.2">
      <c r="A4682" s="34">
        <v>38659</v>
      </c>
      <c r="B4682">
        <v>3.6011280000000001</v>
      </c>
      <c r="C4682">
        <f t="shared" si="78"/>
        <v>8.9499999999999993</v>
      </c>
    </row>
    <row r="4683" spans="1:3" x14ac:dyDescent="0.2">
      <c r="A4683" s="34">
        <v>38658</v>
      </c>
      <c r="B4683">
        <v>3.6007060000000002</v>
      </c>
      <c r="C4683">
        <f t="shared" si="78"/>
        <v>9</v>
      </c>
    </row>
    <row r="4684" spans="1:3" x14ac:dyDescent="0.2">
      <c r="A4684" s="34">
        <v>38657</v>
      </c>
      <c r="B4684">
        <v>3.6002839999999998</v>
      </c>
      <c r="C4684">
        <f t="shared" si="78"/>
        <v>9</v>
      </c>
    </row>
    <row r="4685" spans="1:3" x14ac:dyDescent="0.2">
      <c r="A4685" s="34">
        <v>38656</v>
      </c>
      <c r="B4685">
        <v>3.5998619999999999</v>
      </c>
      <c r="C4685">
        <f t="shared" si="78"/>
        <v>9.0299999999999994</v>
      </c>
    </row>
    <row r="4686" spans="1:3" x14ac:dyDescent="0.2">
      <c r="A4686" s="34">
        <v>38655</v>
      </c>
      <c r="B4686">
        <v>3.59944</v>
      </c>
      <c r="C4686">
        <f t="shared" si="78"/>
        <v>9.1999999999999993</v>
      </c>
    </row>
    <row r="4687" spans="1:3" x14ac:dyDescent="0.2">
      <c r="A4687" s="34">
        <v>38654</v>
      </c>
      <c r="B4687">
        <v>3.5990180000000001</v>
      </c>
      <c r="C4687">
        <f t="shared" si="78"/>
        <v>9.1999999999999993</v>
      </c>
    </row>
    <row r="4688" spans="1:3" x14ac:dyDescent="0.2">
      <c r="A4688" s="34">
        <v>38653</v>
      </c>
      <c r="B4688">
        <v>3.5985960000000001</v>
      </c>
      <c r="C4688">
        <f t="shared" si="78"/>
        <v>9.1999999999999993</v>
      </c>
    </row>
    <row r="4689" spans="1:3" x14ac:dyDescent="0.2">
      <c r="A4689" s="34">
        <v>38652</v>
      </c>
      <c r="B4689">
        <v>3.5981740000000002</v>
      </c>
      <c r="C4689">
        <f t="shared" si="78"/>
        <v>9</v>
      </c>
    </row>
    <row r="4690" spans="1:3" x14ac:dyDescent="0.2">
      <c r="A4690" s="34">
        <v>38651</v>
      </c>
      <c r="B4690">
        <v>3.597753</v>
      </c>
      <c r="C4690">
        <f t="shared" si="78"/>
        <v>9.15</v>
      </c>
    </row>
    <row r="4691" spans="1:3" x14ac:dyDescent="0.2">
      <c r="A4691" s="34">
        <v>38650</v>
      </c>
      <c r="B4691">
        <v>3.5973310000000001</v>
      </c>
      <c r="C4691">
        <f t="shared" si="78"/>
        <v>9.27</v>
      </c>
    </row>
    <row r="4692" spans="1:3" x14ac:dyDescent="0.2">
      <c r="A4692" s="34">
        <v>38649</v>
      </c>
      <c r="B4692">
        <v>3.5971880000000001</v>
      </c>
      <c r="C4692">
        <f t="shared" si="78"/>
        <v>9.23</v>
      </c>
    </row>
    <row r="4693" spans="1:3" x14ac:dyDescent="0.2">
      <c r="A4693" s="34">
        <v>38648</v>
      </c>
      <c r="B4693">
        <v>3.5970460000000002</v>
      </c>
      <c r="C4693">
        <f t="shared" si="78"/>
        <v>9.1999999999999993</v>
      </c>
    </row>
    <row r="4694" spans="1:3" x14ac:dyDescent="0.2">
      <c r="A4694" s="34">
        <v>38647</v>
      </c>
      <c r="B4694">
        <v>3.5969039999999999</v>
      </c>
      <c r="C4694">
        <f t="shared" si="78"/>
        <v>9.1999999999999993</v>
      </c>
    </row>
    <row r="4695" spans="1:3" x14ac:dyDescent="0.2">
      <c r="A4695" s="34">
        <v>38646</v>
      </c>
      <c r="B4695">
        <v>3.5967609999999999</v>
      </c>
      <c r="C4695">
        <f t="shared" si="78"/>
        <v>9.1999999999999993</v>
      </c>
    </row>
    <row r="4696" spans="1:3" x14ac:dyDescent="0.2">
      <c r="A4696" s="34">
        <v>38645</v>
      </c>
      <c r="B4696">
        <v>3.596619</v>
      </c>
      <c r="C4696">
        <f t="shared" si="78"/>
        <v>9.2799999999999994</v>
      </c>
    </row>
    <row r="4697" spans="1:3" x14ac:dyDescent="0.2">
      <c r="A4697" s="34">
        <v>38644</v>
      </c>
      <c r="B4697">
        <v>3.596476</v>
      </c>
      <c r="C4697">
        <f t="shared" si="78"/>
        <v>9.25</v>
      </c>
    </row>
    <row r="4698" spans="1:3" x14ac:dyDescent="0.2">
      <c r="A4698" s="34">
        <v>38643</v>
      </c>
      <c r="B4698">
        <v>3.5963340000000001</v>
      </c>
      <c r="C4698">
        <f t="shared" si="78"/>
        <v>9.25</v>
      </c>
    </row>
    <row r="4699" spans="1:3" x14ac:dyDescent="0.2">
      <c r="A4699" s="34">
        <v>38642</v>
      </c>
      <c r="B4699">
        <v>3.5961919999999998</v>
      </c>
      <c r="C4699">
        <f t="shared" si="78"/>
        <v>9.25</v>
      </c>
    </row>
    <row r="4700" spans="1:3" x14ac:dyDescent="0.2">
      <c r="A4700" s="34">
        <v>38641</v>
      </c>
      <c r="B4700">
        <v>3.5960489999999998</v>
      </c>
      <c r="C4700">
        <f t="shared" si="78"/>
        <v>9.1999999999999993</v>
      </c>
    </row>
    <row r="4701" spans="1:3" x14ac:dyDescent="0.2">
      <c r="A4701" s="34">
        <v>38640</v>
      </c>
      <c r="B4701">
        <v>3.595907</v>
      </c>
      <c r="C4701">
        <f t="shared" si="78"/>
        <v>9.1999999999999993</v>
      </c>
    </row>
    <row r="4702" spans="1:3" x14ac:dyDescent="0.2">
      <c r="A4702" s="34">
        <v>38639</v>
      </c>
      <c r="B4702">
        <v>3.595764</v>
      </c>
      <c r="C4702">
        <f t="shared" si="78"/>
        <v>9.1999999999999993</v>
      </c>
    </row>
    <row r="4703" spans="1:3" x14ac:dyDescent="0.2">
      <c r="A4703" s="34">
        <v>38638</v>
      </c>
      <c r="B4703">
        <v>3.5956220000000001</v>
      </c>
      <c r="C4703">
        <f t="shared" si="78"/>
        <v>9.1999999999999993</v>
      </c>
    </row>
    <row r="4704" spans="1:3" x14ac:dyDescent="0.2">
      <c r="A4704" s="34">
        <v>38637</v>
      </c>
      <c r="B4704">
        <v>3.5954799999999998</v>
      </c>
      <c r="C4704">
        <f t="shared" si="78"/>
        <v>9.25</v>
      </c>
    </row>
    <row r="4705" spans="1:3" x14ac:dyDescent="0.2">
      <c r="A4705" s="34">
        <v>38636</v>
      </c>
      <c r="B4705">
        <v>3.5953369999999998</v>
      </c>
      <c r="C4705">
        <f t="shared" si="78"/>
        <v>9.1999999999999993</v>
      </c>
    </row>
    <row r="4706" spans="1:3" x14ac:dyDescent="0.2">
      <c r="A4706" s="34">
        <v>38635</v>
      </c>
      <c r="B4706">
        <v>3.5951949999999999</v>
      </c>
      <c r="C4706">
        <f t="shared" si="78"/>
        <v>9.25</v>
      </c>
    </row>
    <row r="4707" spans="1:3" x14ac:dyDescent="0.2">
      <c r="A4707" s="34">
        <v>38634</v>
      </c>
      <c r="B4707">
        <v>3.5943429999999998</v>
      </c>
      <c r="C4707">
        <f t="shared" si="78"/>
        <v>9.25</v>
      </c>
    </row>
    <row r="4708" spans="1:3" x14ac:dyDescent="0.2">
      <c r="A4708" s="34">
        <v>38633</v>
      </c>
      <c r="B4708">
        <v>3.5934919999999999</v>
      </c>
      <c r="C4708">
        <f t="shared" si="78"/>
        <v>9.25</v>
      </c>
    </row>
    <row r="4709" spans="1:3" x14ac:dyDescent="0.2">
      <c r="A4709" s="34">
        <v>38632</v>
      </c>
      <c r="B4709">
        <v>3.592641</v>
      </c>
      <c r="C4709">
        <f t="shared" si="78"/>
        <v>9.25</v>
      </c>
    </row>
    <row r="4710" spans="1:3" x14ac:dyDescent="0.2">
      <c r="A4710" s="34">
        <v>38631</v>
      </c>
      <c r="B4710">
        <v>3.5917889999999999</v>
      </c>
      <c r="C4710">
        <f t="shared" si="78"/>
        <v>9.25</v>
      </c>
    </row>
    <row r="4711" spans="1:3" x14ac:dyDescent="0.2">
      <c r="A4711" s="34">
        <v>38630</v>
      </c>
      <c r="B4711">
        <v>3.5909390000000001</v>
      </c>
      <c r="C4711">
        <f t="shared" si="78"/>
        <v>9.26</v>
      </c>
    </row>
    <row r="4712" spans="1:3" x14ac:dyDescent="0.2">
      <c r="A4712" s="34">
        <v>38629</v>
      </c>
      <c r="B4712">
        <v>3.5900880000000002</v>
      </c>
      <c r="C4712">
        <f t="shared" si="78"/>
        <v>9.25</v>
      </c>
    </row>
    <row r="4713" spans="1:3" x14ac:dyDescent="0.2">
      <c r="A4713" s="34">
        <v>38628</v>
      </c>
      <c r="B4713">
        <v>3.5892379999999999</v>
      </c>
      <c r="C4713">
        <f t="shared" si="78"/>
        <v>9.25</v>
      </c>
    </row>
    <row r="4714" spans="1:3" x14ac:dyDescent="0.2">
      <c r="A4714" s="34">
        <v>38627</v>
      </c>
      <c r="B4714">
        <v>3.588387</v>
      </c>
      <c r="C4714">
        <f t="shared" si="78"/>
        <v>9.25</v>
      </c>
    </row>
    <row r="4715" spans="1:3" x14ac:dyDescent="0.2">
      <c r="A4715" s="34">
        <v>38626</v>
      </c>
      <c r="B4715">
        <v>3.5875370000000002</v>
      </c>
      <c r="C4715">
        <f t="shared" si="78"/>
        <v>9.25</v>
      </c>
    </row>
    <row r="4716" spans="1:3" x14ac:dyDescent="0.2">
      <c r="A4716" s="34">
        <v>38625</v>
      </c>
      <c r="B4716">
        <v>3.586687</v>
      </c>
      <c r="C4716">
        <f t="shared" si="78"/>
        <v>9.25</v>
      </c>
    </row>
    <row r="4717" spans="1:3" x14ac:dyDescent="0.2">
      <c r="A4717" s="34">
        <v>38624</v>
      </c>
      <c r="B4717">
        <v>3.5858379999999999</v>
      </c>
      <c r="C4717">
        <f t="shared" si="78"/>
        <v>9.25</v>
      </c>
    </row>
    <row r="4718" spans="1:3" x14ac:dyDescent="0.2">
      <c r="A4718" s="34">
        <v>38623</v>
      </c>
      <c r="B4718">
        <v>3.5849880000000001</v>
      </c>
      <c r="C4718">
        <f t="shared" si="78"/>
        <v>9.25</v>
      </c>
    </row>
    <row r="4719" spans="1:3" x14ac:dyDescent="0.2">
      <c r="A4719" s="34">
        <v>38622</v>
      </c>
      <c r="B4719">
        <v>3.584139</v>
      </c>
      <c r="C4719">
        <f t="shared" si="78"/>
        <v>9.25</v>
      </c>
    </row>
    <row r="4720" spans="1:3" x14ac:dyDescent="0.2">
      <c r="A4720" s="34">
        <v>38621</v>
      </c>
      <c r="B4720">
        <v>3.5832899999999999</v>
      </c>
      <c r="C4720">
        <f t="shared" si="78"/>
        <v>9.24</v>
      </c>
    </row>
    <row r="4721" spans="1:3" x14ac:dyDescent="0.2">
      <c r="A4721" s="34">
        <v>38620</v>
      </c>
      <c r="B4721">
        <v>3.5824410000000002</v>
      </c>
      <c r="C4721">
        <f t="shared" si="78"/>
        <v>9.1999999999999993</v>
      </c>
    </row>
    <row r="4722" spans="1:3" x14ac:dyDescent="0.2">
      <c r="A4722" s="34">
        <v>38619</v>
      </c>
      <c r="B4722">
        <v>3.5823680000000002</v>
      </c>
      <c r="C4722">
        <f t="shared" si="78"/>
        <v>9.1999999999999993</v>
      </c>
    </row>
    <row r="4723" spans="1:3" x14ac:dyDescent="0.2">
      <c r="A4723" s="34">
        <v>38618</v>
      </c>
      <c r="B4723">
        <v>3.5822949999999998</v>
      </c>
      <c r="C4723">
        <f t="shared" si="78"/>
        <v>9.1999999999999993</v>
      </c>
    </row>
    <row r="4724" spans="1:3" x14ac:dyDescent="0.2">
      <c r="A4724" s="34">
        <v>38617</v>
      </c>
      <c r="B4724">
        <v>3.5822210000000001</v>
      </c>
      <c r="C4724">
        <f t="shared" si="78"/>
        <v>9.65</v>
      </c>
    </row>
    <row r="4725" spans="1:3" x14ac:dyDescent="0.2">
      <c r="A4725" s="34">
        <v>38616</v>
      </c>
      <c r="B4725">
        <v>3.5821480000000001</v>
      </c>
      <c r="C4725">
        <f t="shared" si="78"/>
        <v>9.42</v>
      </c>
    </row>
    <row r="4726" spans="1:3" x14ac:dyDescent="0.2">
      <c r="A4726" s="34">
        <v>38615</v>
      </c>
      <c r="B4726">
        <v>3.5820750000000001</v>
      </c>
      <c r="C4726">
        <f t="shared" si="78"/>
        <v>9.25</v>
      </c>
    </row>
    <row r="4727" spans="1:3" x14ac:dyDescent="0.2">
      <c r="A4727" s="34">
        <v>38614</v>
      </c>
      <c r="B4727">
        <v>3.582001</v>
      </c>
      <c r="C4727">
        <f t="shared" si="78"/>
        <v>9.65</v>
      </c>
    </row>
    <row r="4728" spans="1:3" x14ac:dyDescent="0.2">
      <c r="A4728" s="34">
        <v>38613</v>
      </c>
      <c r="B4728">
        <v>3.581928</v>
      </c>
      <c r="C4728">
        <f t="shared" si="78"/>
        <v>9.5500000000000007</v>
      </c>
    </row>
    <row r="4729" spans="1:3" x14ac:dyDescent="0.2">
      <c r="A4729" s="34">
        <v>38612</v>
      </c>
      <c r="B4729">
        <v>3.581855</v>
      </c>
      <c r="C4729">
        <f t="shared" si="78"/>
        <v>9.5500000000000007</v>
      </c>
    </row>
    <row r="4730" spans="1:3" x14ac:dyDescent="0.2">
      <c r="A4730" s="34">
        <v>38611</v>
      </c>
      <c r="B4730">
        <v>3.581782</v>
      </c>
      <c r="C4730">
        <f t="shared" si="78"/>
        <v>9.5500000000000007</v>
      </c>
    </row>
    <row r="4731" spans="1:3" x14ac:dyDescent="0.2">
      <c r="A4731" s="34">
        <v>38610</v>
      </c>
      <c r="B4731">
        <v>3.5817079999999999</v>
      </c>
      <c r="C4731">
        <f t="shared" si="78"/>
        <v>9.5500000000000007</v>
      </c>
    </row>
    <row r="4732" spans="1:3" x14ac:dyDescent="0.2">
      <c r="A4732" s="34">
        <v>38609</v>
      </c>
      <c r="B4732">
        <v>3.5816349999999999</v>
      </c>
      <c r="C4732">
        <f t="shared" si="78"/>
        <v>9.4499999999999993</v>
      </c>
    </row>
    <row r="4733" spans="1:3" x14ac:dyDescent="0.2">
      <c r="A4733" s="34">
        <v>38608</v>
      </c>
      <c r="B4733">
        <v>3.5815619999999999</v>
      </c>
      <c r="C4733">
        <f t="shared" si="78"/>
        <v>9.5</v>
      </c>
    </row>
    <row r="4734" spans="1:3" x14ac:dyDescent="0.2">
      <c r="A4734" s="34">
        <v>38607</v>
      </c>
      <c r="B4734">
        <v>3.5814879999999998</v>
      </c>
      <c r="C4734">
        <f t="shared" si="78"/>
        <v>9.5500000000000007</v>
      </c>
    </row>
    <row r="4735" spans="1:3" x14ac:dyDescent="0.2">
      <c r="A4735" s="34">
        <v>38606</v>
      </c>
      <c r="B4735">
        <v>3.5814149999999998</v>
      </c>
      <c r="C4735">
        <f t="shared" si="78"/>
        <v>9.5</v>
      </c>
    </row>
    <row r="4736" spans="1:3" x14ac:dyDescent="0.2">
      <c r="A4736" s="34">
        <v>38605</v>
      </c>
      <c r="B4736">
        <v>3.5813419999999998</v>
      </c>
      <c r="C4736">
        <f t="shared" si="78"/>
        <v>9.5</v>
      </c>
    </row>
    <row r="4737" spans="1:3" x14ac:dyDescent="0.2">
      <c r="A4737" s="34">
        <v>38604</v>
      </c>
      <c r="B4737">
        <v>3.5811809999999999</v>
      </c>
      <c r="C4737">
        <f t="shared" si="78"/>
        <v>9.5</v>
      </c>
    </row>
    <row r="4738" spans="1:3" x14ac:dyDescent="0.2">
      <c r="A4738" s="34">
        <v>38603</v>
      </c>
      <c r="B4738">
        <v>3.5810200000000001</v>
      </c>
      <c r="C4738">
        <f t="shared" ref="C4738:C4801" si="79">IFERROR(VLOOKUP(A4738,$M$2:$N$3695,2,0),C4739)</f>
        <v>9.4499999999999993</v>
      </c>
    </row>
    <row r="4739" spans="1:3" x14ac:dyDescent="0.2">
      <c r="A4739" s="34">
        <v>38602</v>
      </c>
      <c r="B4739">
        <v>3.5808589999999998</v>
      </c>
      <c r="C4739">
        <f t="shared" si="79"/>
        <v>9.49</v>
      </c>
    </row>
    <row r="4740" spans="1:3" x14ac:dyDescent="0.2">
      <c r="A4740" s="34">
        <v>38601</v>
      </c>
      <c r="B4740">
        <v>3.5806979999999999</v>
      </c>
      <c r="C4740">
        <f t="shared" si="79"/>
        <v>9.48</v>
      </c>
    </row>
    <row r="4741" spans="1:3" x14ac:dyDescent="0.2">
      <c r="A4741" s="34">
        <v>38600</v>
      </c>
      <c r="B4741">
        <v>3.5805370000000001</v>
      </c>
      <c r="C4741">
        <f t="shared" si="79"/>
        <v>9.5</v>
      </c>
    </row>
    <row r="4742" spans="1:3" x14ac:dyDescent="0.2">
      <c r="A4742" s="34">
        <v>38599</v>
      </c>
      <c r="B4742">
        <v>3.5803759999999998</v>
      </c>
      <c r="C4742">
        <f t="shared" si="79"/>
        <v>9.5</v>
      </c>
    </row>
    <row r="4743" spans="1:3" x14ac:dyDescent="0.2">
      <c r="A4743" s="34">
        <v>38598</v>
      </c>
      <c r="B4743">
        <v>3.5802149999999999</v>
      </c>
      <c r="C4743">
        <f t="shared" si="79"/>
        <v>9.5</v>
      </c>
    </row>
    <row r="4744" spans="1:3" x14ac:dyDescent="0.2">
      <c r="A4744" s="34">
        <v>38597</v>
      </c>
      <c r="B4744">
        <v>3.5800540000000001</v>
      </c>
      <c r="C4744">
        <f t="shared" si="79"/>
        <v>9.5</v>
      </c>
    </row>
    <row r="4745" spans="1:3" x14ac:dyDescent="0.2">
      <c r="A4745" s="34">
        <v>38596</v>
      </c>
      <c r="B4745">
        <v>3.5798930000000002</v>
      </c>
      <c r="C4745">
        <f t="shared" si="79"/>
        <v>9.5</v>
      </c>
    </row>
    <row r="4746" spans="1:3" x14ac:dyDescent="0.2">
      <c r="A4746" s="34">
        <v>38595</v>
      </c>
      <c r="B4746">
        <v>3.5797319999999999</v>
      </c>
      <c r="C4746">
        <f t="shared" si="79"/>
        <v>9.6</v>
      </c>
    </row>
    <row r="4747" spans="1:3" x14ac:dyDescent="0.2">
      <c r="A4747" s="34">
        <v>38594</v>
      </c>
      <c r="B4747">
        <v>3.5795710000000001</v>
      </c>
      <c r="C4747">
        <f t="shared" si="79"/>
        <v>9.49</v>
      </c>
    </row>
    <row r="4748" spans="1:3" x14ac:dyDescent="0.2">
      <c r="A4748" s="34">
        <v>38593</v>
      </c>
      <c r="B4748">
        <v>3.5794100000000002</v>
      </c>
      <c r="C4748">
        <f t="shared" si="79"/>
        <v>9.5</v>
      </c>
    </row>
    <row r="4749" spans="1:3" x14ac:dyDescent="0.2">
      <c r="A4749" s="34">
        <v>38592</v>
      </c>
      <c r="B4749">
        <v>3.5792489999999999</v>
      </c>
      <c r="C4749">
        <f t="shared" si="79"/>
        <v>9.6</v>
      </c>
    </row>
    <row r="4750" spans="1:3" x14ac:dyDescent="0.2">
      <c r="A4750" s="34">
        <v>38591</v>
      </c>
      <c r="B4750">
        <v>3.579088</v>
      </c>
      <c r="C4750">
        <f t="shared" si="79"/>
        <v>9.6</v>
      </c>
    </row>
    <row r="4751" spans="1:3" x14ac:dyDescent="0.2">
      <c r="A4751" s="34">
        <v>38590</v>
      </c>
      <c r="B4751">
        <v>3.5789270000000002</v>
      </c>
      <c r="C4751">
        <f t="shared" si="79"/>
        <v>9.6</v>
      </c>
    </row>
    <row r="4752" spans="1:3" x14ac:dyDescent="0.2">
      <c r="A4752" s="34">
        <v>38589</v>
      </c>
      <c r="B4752">
        <v>3.5787659999999999</v>
      </c>
      <c r="C4752">
        <f t="shared" si="79"/>
        <v>9.75</v>
      </c>
    </row>
    <row r="4753" spans="1:3" x14ac:dyDescent="0.2">
      <c r="A4753" s="34">
        <v>38588</v>
      </c>
      <c r="B4753">
        <v>3.5786169999999999</v>
      </c>
      <c r="C4753">
        <f t="shared" si="79"/>
        <v>9.74</v>
      </c>
    </row>
    <row r="4754" spans="1:3" x14ac:dyDescent="0.2">
      <c r="A4754" s="34">
        <v>38587</v>
      </c>
      <c r="B4754">
        <v>3.5784690000000001</v>
      </c>
      <c r="C4754">
        <f t="shared" si="79"/>
        <v>9.75</v>
      </c>
    </row>
    <row r="4755" spans="1:3" x14ac:dyDescent="0.2">
      <c r="A4755" s="34">
        <v>38586</v>
      </c>
      <c r="B4755">
        <v>3.5783200000000002</v>
      </c>
      <c r="C4755">
        <f t="shared" si="79"/>
        <v>9.6</v>
      </c>
    </row>
    <row r="4756" spans="1:3" x14ac:dyDescent="0.2">
      <c r="A4756" s="34">
        <v>38585</v>
      </c>
      <c r="B4756">
        <v>3.5781710000000002</v>
      </c>
      <c r="C4756">
        <f t="shared" si="79"/>
        <v>9.6999999999999993</v>
      </c>
    </row>
    <row r="4757" spans="1:3" x14ac:dyDescent="0.2">
      <c r="A4757" s="34">
        <v>38584</v>
      </c>
      <c r="B4757">
        <v>3.5780219999999998</v>
      </c>
      <c r="C4757">
        <f t="shared" si="79"/>
        <v>9.6999999999999993</v>
      </c>
    </row>
    <row r="4758" spans="1:3" x14ac:dyDescent="0.2">
      <c r="A4758" s="34">
        <v>38583</v>
      </c>
      <c r="B4758">
        <v>3.577874</v>
      </c>
      <c r="C4758">
        <f t="shared" si="79"/>
        <v>9.6999999999999993</v>
      </c>
    </row>
    <row r="4759" spans="1:3" x14ac:dyDescent="0.2">
      <c r="A4759" s="34">
        <v>38582</v>
      </c>
      <c r="B4759">
        <v>3.577725</v>
      </c>
      <c r="C4759">
        <f t="shared" si="79"/>
        <v>9.75</v>
      </c>
    </row>
    <row r="4760" spans="1:3" x14ac:dyDescent="0.2">
      <c r="A4760" s="34">
        <v>38581</v>
      </c>
      <c r="B4760">
        <v>3.5775760000000001</v>
      </c>
      <c r="C4760">
        <f t="shared" si="79"/>
        <v>9.74</v>
      </c>
    </row>
    <row r="4761" spans="1:3" x14ac:dyDescent="0.2">
      <c r="A4761" s="34">
        <v>38580</v>
      </c>
      <c r="B4761">
        <v>3.5774279999999998</v>
      </c>
      <c r="C4761">
        <f t="shared" si="79"/>
        <v>9.73</v>
      </c>
    </row>
    <row r="4762" spans="1:3" x14ac:dyDescent="0.2">
      <c r="A4762" s="34">
        <v>38579</v>
      </c>
      <c r="B4762">
        <v>3.5772789999999999</v>
      </c>
      <c r="C4762">
        <f t="shared" si="79"/>
        <v>9.74</v>
      </c>
    </row>
    <row r="4763" spans="1:3" x14ac:dyDescent="0.2">
      <c r="A4763" s="34">
        <v>38578</v>
      </c>
      <c r="B4763">
        <v>3.5771299999999999</v>
      </c>
      <c r="C4763">
        <f t="shared" si="79"/>
        <v>9.68</v>
      </c>
    </row>
    <row r="4764" spans="1:3" x14ac:dyDescent="0.2">
      <c r="A4764" s="34">
        <v>38577</v>
      </c>
      <c r="B4764">
        <v>3.5769820000000001</v>
      </c>
      <c r="C4764">
        <f t="shared" si="79"/>
        <v>9.68</v>
      </c>
    </row>
    <row r="4765" spans="1:3" x14ac:dyDescent="0.2">
      <c r="A4765" s="34">
        <v>38576</v>
      </c>
      <c r="B4765">
        <v>3.5768330000000002</v>
      </c>
      <c r="C4765">
        <f t="shared" si="79"/>
        <v>9.68</v>
      </c>
    </row>
    <row r="4766" spans="1:3" x14ac:dyDescent="0.2">
      <c r="A4766" s="34">
        <v>38575</v>
      </c>
      <c r="B4766">
        <v>3.5766840000000002</v>
      </c>
      <c r="C4766">
        <f t="shared" si="79"/>
        <v>9.75</v>
      </c>
    </row>
    <row r="4767" spans="1:3" x14ac:dyDescent="0.2">
      <c r="A4767" s="34">
        <v>38574</v>
      </c>
      <c r="B4767">
        <v>3.5765359999999999</v>
      </c>
      <c r="C4767">
        <f t="shared" si="79"/>
        <v>9.6999999999999993</v>
      </c>
    </row>
    <row r="4768" spans="1:3" x14ac:dyDescent="0.2">
      <c r="A4768" s="34">
        <v>38573</v>
      </c>
      <c r="B4768">
        <v>3.5759110000000001</v>
      </c>
      <c r="C4768">
        <f t="shared" si="79"/>
        <v>9.73</v>
      </c>
    </row>
    <row r="4769" spans="1:3" x14ac:dyDescent="0.2">
      <c r="A4769" s="34">
        <v>38572</v>
      </c>
      <c r="B4769">
        <v>3.575285</v>
      </c>
      <c r="C4769">
        <f t="shared" si="79"/>
        <v>9.65</v>
      </c>
    </row>
    <row r="4770" spans="1:3" x14ac:dyDescent="0.2">
      <c r="A4770" s="34">
        <v>38571</v>
      </c>
      <c r="B4770">
        <v>3.5746609999999999</v>
      </c>
      <c r="C4770">
        <f t="shared" si="79"/>
        <v>9.6</v>
      </c>
    </row>
    <row r="4771" spans="1:3" x14ac:dyDescent="0.2">
      <c r="A4771" s="34">
        <v>38570</v>
      </c>
      <c r="B4771">
        <v>3.574036</v>
      </c>
      <c r="C4771">
        <f t="shared" si="79"/>
        <v>9.6</v>
      </c>
    </row>
    <row r="4772" spans="1:3" x14ac:dyDescent="0.2">
      <c r="A4772" s="34">
        <v>38569</v>
      </c>
      <c r="B4772">
        <v>3.5734110000000001</v>
      </c>
      <c r="C4772">
        <f t="shared" si="79"/>
        <v>9.6</v>
      </c>
    </row>
    <row r="4773" spans="1:3" x14ac:dyDescent="0.2">
      <c r="A4773" s="34">
        <v>38568</v>
      </c>
      <c r="B4773">
        <v>3.5727859999999998</v>
      </c>
      <c r="C4773">
        <f t="shared" si="79"/>
        <v>9.73</v>
      </c>
    </row>
    <row r="4774" spans="1:3" x14ac:dyDescent="0.2">
      <c r="A4774" s="34">
        <v>38567</v>
      </c>
      <c r="B4774">
        <v>3.5721620000000001</v>
      </c>
      <c r="C4774">
        <f t="shared" si="79"/>
        <v>9.6999999999999993</v>
      </c>
    </row>
    <row r="4775" spans="1:3" x14ac:dyDescent="0.2">
      <c r="A4775" s="34">
        <v>38566</v>
      </c>
      <c r="B4775">
        <v>3.5715379999999999</v>
      </c>
      <c r="C4775">
        <f t="shared" si="79"/>
        <v>9.73</v>
      </c>
    </row>
    <row r="4776" spans="1:3" x14ac:dyDescent="0.2">
      <c r="A4776" s="34">
        <v>38565</v>
      </c>
      <c r="B4776">
        <v>3.570913</v>
      </c>
      <c r="C4776">
        <f t="shared" si="79"/>
        <v>9.7200000000000006</v>
      </c>
    </row>
    <row r="4777" spans="1:3" x14ac:dyDescent="0.2">
      <c r="A4777" s="34">
        <v>38564</v>
      </c>
      <c r="B4777">
        <v>3.5702889999999998</v>
      </c>
      <c r="C4777">
        <f t="shared" si="79"/>
        <v>9.75</v>
      </c>
    </row>
    <row r="4778" spans="1:3" x14ac:dyDescent="0.2">
      <c r="A4778" s="34">
        <v>38563</v>
      </c>
      <c r="B4778">
        <v>3.5696650000000001</v>
      </c>
      <c r="C4778">
        <f t="shared" si="79"/>
        <v>9.75</v>
      </c>
    </row>
    <row r="4779" spans="1:3" x14ac:dyDescent="0.2">
      <c r="A4779" s="34">
        <v>38562</v>
      </c>
      <c r="B4779">
        <v>3.5690409999999999</v>
      </c>
      <c r="C4779">
        <f t="shared" si="79"/>
        <v>9.75</v>
      </c>
    </row>
    <row r="4780" spans="1:3" x14ac:dyDescent="0.2">
      <c r="A4780" s="34">
        <v>38561</v>
      </c>
      <c r="B4780">
        <v>3.5684170000000002</v>
      </c>
      <c r="C4780">
        <f t="shared" si="79"/>
        <v>9.73</v>
      </c>
    </row>
    <row r="4781" spans="1:3" x14ac:dyDescent="0.2">
      <c r="A4781" s="34">
        <v>38560</v>
      </c>
      <c r="B4781">
        <v>3.5677940000000001</v>
      </c>
      <c r="C4781">
        <f t="shared" si="79"/>
        <v>9.75</v>
      </c>
    </row>
    <row r="4782" spans="1:3" x14ac:dyDescent="0.2">
      <c r="A4782" s="34">
        <v>38559</v>
      </c>
      <c r="B4782">
        <v>3.56717</v>
      </c>
      <c r="C4782">
        <f t="shared" si="79"/>
        <v>9.73</v>
      </c>
    </row>
    <row r="4783" spans="1:3" x14ac:dyDescent="0.2">
      <c r="A4783" s="34">
        <v>38558</v>
      </c>
      <c r="B4783">
        <v>3.5665460000000002</v>
      </c>
      <c r="C4783">
        <f t="shared" si="79"/>
        <v>9.6</v>
      </c>
    </row>
    <row r="4784" spans="1:3" x14ac:dyDescent="0.2">
      <c r="A4784" s="34">
        <v>38557</v>
      </c>
      <c r="B4784">
        <v>3.5661649999999998</v>
      </c>
      <c r="C4784">
        <f t="shared" si="79"/>
        <v>9.75</v>
      </c>
    </row>
    <row r="4785" spans="1:3" x14ac:dyDescent="0.2">
      <c r="A4785" s="34">
        <v>38556</v>
      </c>
      <c r="B4785">
        <v>3.5657839999999998</v>
      </c>
      <c r="C4785">
        <f t="shared" si="79"/>
        <v>9.75</v>
      </c>
    </row>
    <row r="4786" spans="1:3" x14ac:dyDescent="0.2">
      <c r="A4786" s="34">
        <v>38555</v>
      </c>
      <c r="B4786">
        <v>3.5654020000000002</v>
      </c>
      <c r="C4786">
        <f t="shared" si="79"/>
        <v>9.75</v>
      </c>
    </row>
    <row r="4787" spans="1:3" x14ac:dyDescent="0.2">
      <c r="A4787" s="34">
        <v>38554</v>
      </c>
      <c r="B4787">
        <v>3.5650210000000002</v>
      </c>
      <c r="C4787">
        <f t="shared" si="79"/>
        <v>9.73</v>
      </c>
    </row>
    <row r="4788" spans="1:3" x14ac:dyDescent="0.2">
      <c r="A4788" s="34">
        <v>38553</v>
      </c>
      <c r="B4788">
        <v>3.5646399999999998</v>
      </c>
      <c r="C4788">
        <f t="shared" si="79"/>
        <v>9.75</v>
      </c>
    </row>
    <row r="4789" spans="1:3" x14ac:dyDescent="0.2">
      <c r="A4789" s="34">
        <v>38552</v>
      </c>
      <c r="B4789">
        <v>3.5642580000000001</v>
      </c>
      <c r="C4789">
        <f t="shared" si="79"/>
        <v>9.75</v>
      </c>
    </row>
    <row r="4790" spans="1:3" x14ac:dyDescent="0.2">
      <c r="A4790" s="34">
        <v>38551</v>
      </c>
      <c r="B4790">
        <v>3.5638770000000002</v>
      </c>
      <c r="C4790">
        <f t="shared" si="79"/>
        <v>9.7799999999999994</v>
      </c>
    </row>
    <row r="4791" spans="1:3" x14ac:dyDescent="0.2">
      <c r="A4791" s="34">
        <v>38550</v>
      </c>
      <c r="B4791">
        <v>3.5634960000000002</v>
      </c>
      <c r="C4791">
        <f t="shared" si="79"/>
        <v>9.75</v>
      </c>
    </row>
    <row r="4792" spans="1:3" x14ac:dyDescent="0.2">
      <c r="A4792" s="34">
        <v>38549</v>
      </c>
      <c r="B4792">
        <v>3.5631149999999998</v>
      </c>
      <c r="C4792">
        <f t="shared" si="79"/>
        <v>9.75</v>
      </c>
    </row>
    <row r="4793" spans="1:3" x14ac:dyDescent="0.2">
      <c r="A4793" s="34">
        <v>38548</v>
      </c>
      <c r="B4793">
        <v>3.5627339999999998</v>
      </c>
      <c r="C4793">
        <f t="shared" si="79"/>
        <v>9.75</v>
      </c>
    </row>
    <row r="4794" spans="1:3" x14ac:dyDescent="0.2">
      <c r="A4794" s="34">
        <v>38547</v>
      </c>
      <c r="B4794">
        <v>3.5623529999999999</v>
      </c>
      <c r="C4794">
        <f t="shared" si="79"/>
        <v>9.7200000000000006</v>
      </c>
    </row>
    <row r="4795" spans="1:3" x14ac:dyDescent="0.2">
      <c r="A4795" s="34">
        <v>38546</v>
      </c>
      <c r="B4795">
        <v>3.5619719999999999</v>
      </c>
      <c r="C4795">
        <f t="shared" si="79"/>
        <v>9.6999999999999993</v>
      </c>
    </row>
    <row r="4796" spans="1:3" x14ac:dyDescent="0.2">
      <c r="A4796" s="34">
        <v>38545</v>
      </c>
      <c r="B4796">
        <v>3.561591</v>
      </c>
      <c r="C4796">
        <f t="shared" si="79"/>
        <v>9.73</v>
      </c>
    </row>
    <row r="4797" spans="1:3" x14ac:dyDescent="0.2">
      <c r="A4797" s="34">
        <v>38544</v>
      </c>
      <c r="B4797">
        <v>3.56121</v>
      </c>
      <c r="C4797">
        <f t="shared" si="79"/>
        <v>9.73</v>
      </c>
    </row>
    <row r="4798" spans="1:3" x14ac:dyDescent="0.2">
      <c r="A4798" s="34">
        <v>38543</v>
      </c>
      <c r="B4798">
        <v>3.560829</v>
      </c>
      <c r="C4798">
        <f t="shared" si="79"/>
        <v>9.75</v>
      </c>
    </row>
    <row r="4799" spans="1:3" x14ac:dyDescent="0.2">
      <c r="A4799" s="34">
        <v>38542</v>
      </c>
      <c r="B4799">
        <v>3.561175</v>
      </c>
      <c r="C4799">
        <f t="shared" si="79"/>
        <v>9.75</v>
      </c>
    </row>
    <row r="4800" spans="1:3" x14ac:dyDescent="0.2">
      <c r="A4800" s="34">
        <v>38541</v>
      </c>
      <c r="B4800">
        <v>3.5615199999999998</v>
      </c>
      <c r="C4800">
        <f t="shared" si="79"/>
        <v>9.75</v>
      </c>
    </row>
    <row r="4801" spans="1:3" x14ac:dyDescent="0.2">
      <c r="A4801" s="34">
        <v>38540</v>
      </c>
      <c r="B4801">
        <v>3.5618650000000001</v>
      </c>
      <c r="C4801">
        <f t="shared" si="79"/>
        <v>9.76</v>
      </c>
    </row>
    <row r="4802" spans="1:3" x14ac:dyDescent="0.2">
      <c r="A4802" s="34">
        <v>38539</v>
      </c>
      <c r="B4802">
        <v>3.562211</v>
      </c>
      <c r="C4802">
        <f t="shared" ref="C4802:C4865" si="80">IFERROR(VLOOKUP(A4802,$M$2:$N$3695,2,0),C4803)</f>
        <v>9.68</v>
      </c>
    </row>
    <row r="4803" spans="1:3" x14ac:dyDescent="0.2">
      <c r="A4803" s="34">
        <v>38538</v>
      </c>
      <c r="B4803">
        <v>3.5625559999999998</v>
      </c>
      <c r="C4803">
        <f t="shared" si="80"/>
        <v>9.7200000000000006</v>
      </c>
    </row>
    <row r="4804" spans="1:3" x14ac:dyDescent="0.2">
      <c r="A4804" s="34">
        <v>38537</v>
      </c>
      <c r="B4804">
        <v>3.5629019999999998</v>
      </c>
      <c r="C4804">
        <f t="shared" si="80"/>
        <v>9.73</v>
      </c>
    </row>
    <row r="4805" spans="1:3" x14ac:dyDescent="0.2">
      <c r="A4805" s="34">
        <v>38536</v>
      </c>
      <c r="B4805">
        <v>3.5632470000000001</v>
      </c>
      <c r="C4805">
        <f t="shared" si="80"/>
        <v>9.7200000000000006</v>
      </c>
    </row>
    <row r="4806" spans="1:3" x14ac:dyDescent="0.2">
      <c r="A4806" s="34">
        <v>38535</v>
      </c>
      <c r="B4806">
        <v>3.563593</v>
      </c>
      <c r="C4806">
        <f t="shared" si="80"/>
        <v>9.7200000000000006</v>
      </c>
    </row>
    <row r="4807" spans="1:3" x14ac:dyDescent="0.2">
      <c r="A4807" s="34">
        <v>38534</v>
      </c>
      <c r="B4807">
        <v>3.5639379999999998</v>
      </c>
      <c r="C4807">
        <f t="shared" si="80"/>
        <v>9.7200000000000006</v>
      </c>
    </row>
    <row r="4808" spans="1:3" x14ac:dyDescent="0.2">
      <c r="A4808" s="34">
        <v>38533</v>
      </c>
      <c r="B4808">
        <v>3.5642839999999998</v>
      </c>
      <c r="C4808">
        <f t="shared" si="80"/>
        <v>9.7200000000000006</v>
      </c>
    </row>
    <row r="4809" spans="1:3" x14ac:dyDescent="0.2">
      <c r="A4809" s="34">
        <v>38532</v>
      </c>
      <c r="B4809">
        <v>3.564629</v>
      </c>
      <c r="C4809">
        <f t="shared" si="80"/>
        <v>9.73</v>
      </c>
    </row>
    <row r="4810" spans="1:3" x14ac:dyDescent="0.2">
      <c r="A4810" s="34">
        <v>38531</v>
      </c>
      <c r="B4810">
        <v>3.564975</v>
      </c>
      <c r="C4810">
        <f t="shared" si="80"/>
        <v>9.75</v>
      </c>
    </row>
    <row r="4811" spans="1:3" x14ac:dyDescent="0.2">
      <c r="A4811" s="34">
        <v>38530</v>
      </c>
      <c r="B4811">
        <v>3.565321</v>
      </c>
      <c r="C4811">
        <f t="shared" si="80"/>
        <v>9.73</v>
      </c>
    </row>
    <row r="4812" spans="1:3" x14ac:dyDescent="0.2">
      <c r="A4812" s="34">
        <v>38529</v>
      </c>
      <c r="B4812">
        <v>3.5656669999999999</v>
      </c>
      <c r="C4812">
        <f t="shared" si="80"/>
        <v>9.65</v>
      </c>
    </row>
    <row r="4813" spans="1:3" x14ac:dyDescent="0.2">
      <c r="A4813" s="34">
        <v>38528</v>
      </c>
      <c r="B4813">
        <v>3.5660120000000002</v>
      </c>
      <c r="C4813">
        <f t="shared" si="80"/>
        <v>9.65</v>
      </c>
    </row>
    <row r="4814" spans="1:3" x14ac:dyDescent="0.2">
      <c r="A4814" s="34">
        <v>38527</v>
      </c>
      <c r="B4814">
        <v>3.566157</v>
      </c>
      <c r="C4814">
        <f t="shared" si="80"/>
        <v>9.65</v>
      </c>
    </row>
    <row r="4815" spans="1:3" x14ac:dyDescent="0.2">
      <c r="A4815" s="34">
        <v>38526</v>
      </c>
      <c r="B4815">
        <v>3.5663010000000002</v>
      </c>
      <c r="C4815">
        <f t="shared" si="80"/>
        <v>9.75</v>
      </c>
    </row>
    <row r="4816" spans="1:3" x14ac:dyDescent="0.2">
      <c r="A4816" s="34">
        <v>38525</v>
      </c>
      <c r="B4816">
        <v>3.566446</v>
      </c>
      <c r="C4816">
        <f t="shared" si="80"/>
        <v>9.74</v>
      </c>
    </row>
    <row r="4817" spans="1:3" x14ac:dyDescent="0.2">
      <c r="A4817" s="34">
        <v>38524</v>
      </c>
      <c r="B4817">
        <v>3.5665900000000001</v>
      </c>
      <c r="C4817">
        <f t="shared" si="80"/>
        <v>9.73</v>
      </c>
    </row>
    <row r="4818" spans="1:3" x14ac:dyDescent="0.2">
      <c r="A4818" s="34">
        <v>38523</v>
      </c>
      <c r="B4818">
        <v>3.566735</v>
      </c>
      <c r="C4818">
        <f t="shared" si="80"/>
        <v>9.7799999999999994</v>
      </c>
    </row>
    <row r="4819" spans="1:3" x14ac:dyDescent="0.2">
      <c r="A4819" s="34">
        <v>38522</v>
      </c>
      <c r="B4819">
        <v>3.5668790000000001</v>
      </c>
      <c r="C4819">
        <f t="shared" si="80"/>
        <v>9.7799999999999994</v>
      </c>
    </row>
    <row r="4820" spans="1:3" x14ac:dyDescent="0.2">
      <c r="A4820" s="34">
        <v>38521</v>
      </c>
      <c r="B4820">
        <v>3.567024</v>
      </c>
      <c r="C4820">
        <f t="shared" si="80"/>
        <v>9.7799999999999994</v>
      </c>
    </row>
    <row r="4821" spans="1:3" x14ac:dyDescent="0.2">
      <c r="A4821" s="34">
        <v>38520</v>
      </c>
      <c r="B4821">
        <v>3.5671680000000001</v>
      </c>
      <c r="C4821">
        <f t="shared" si="80"/>
        <v>9.7799999999999994</v>
      </c>
    </row>
    <row r="4822" spans="1:3" x14ac:dyDescent="0.2">
      <c r="A4822" s="34">
        <v>38519</v>
      </c>
      <c r="B4822">
        <v>3.567313</v>
      </c>
      <c r="C4822">
        <f t="shared" si="80"/>
        <v>9.74</v>
      </c>
    </row>
    <row r="4823" spans="1:3" x14ac:dyDescent="0.2">
      <c r="A4823" s="34">
        <v>38518</v>
      </c>
      <c r="B4823">
        <v>3.5674570000000001</v>
      </c>
      <c r="C4823">
        <f t="shared" si="80"/>
        <v>9.75</v>
      </c>
    </row>
    <row r="4824" spans="1:3" x14ac:dyDescent="0.2">
      <c r="A4824" s="34">
        <v>38517</v>
      </c>
      <c r="B4824">
        <v>3.5676019999999999</v>
      </c>
      <c r="C4824">
        <f t="shared" si="80"/>
        <v>9.75</v>
      </c>
    </row>
    <row r="4825" spans="1:3" x14ac:dyDescent="0.2">
      <c r="A4825" s="34">
        <v>38516</v>
      </c>
      <c r="B4825">
        <v>3.5677460000000001</v>
      </c>
      <c r="C4825">
        <f t="shared" si="80"/>
        <v>9.73</v>
      </c>
    </row>
    <row r="4826" spans="1:3" x14ac:dyDescent="0.2">
      <c r="A4826" s="34">
        <v>38515</v>
      </c>
      <c r="B4826">
        <v>3.5678909999999999</v>
      </c>
      <c r="C4826">
        <f t="shared" si="80"/>
        <v>9.6</v>
      </c>
    </row>
    <row r="4827" spans="1:3" x14ac:dyDescent="0.2">
      <c r="A4827" s="34">
        <v>38514</v>
      </c>
      <c r="B4827">
        <v>3.5680350000000001</v>
      </c>
      <c r="C4827">
        <f t="shared" si="80"/>
        <v>9.6</v>
      </c>
    </row>
    <row r="4828" spans="1:3" x14ac:dyDescent="0.2">
      <c r="A4828" s="34">
        <v>38513</v>
      </c>
      <c r="B4828">
        <v>3.5681799999999999</v>
      </c>
      <c r="C4828">
        <f t="shared" si="80"/>
        <v>9.6</v>
      </c>
    </row>
    <row r="4829" spans="1:3" x14ac:dyDescent="0.2">
      <c r="A4829" s="34">
        <v>38512</v>
      </c>
      <c r="B4829">
        <v>3.569118</v>
      </c>
      <c r="C4829">
        <f t="shared" si="80"/>
        <v>9.6999999999999993</v>
      </c>
    </row>
    <row r="4830" spans="1:3" x14ac:dyDescent="0.2">
      <c r="A4830" s="34">
        <v>38511</v>
      </c>
      <c r="B4830">
        <v>3.5700569999999998</v>
      </c>
      <c r="C4830">
        <f t="shared" si="80"/>
        <v>9.74</v>
      </c>
    </row>
    <row r="4831" spans="1:3" x14ac:dyDescent="0.2">
      <c r="A4831" s="34">
        <v>38510</v>
      </c>
      <c r="B4831">
        <v>3.5709960000000001</v>
      </c>
      <c r="C4831">
        <f t="shared" si="80"/>
        <v>9.75</v>
      </c>
    </row>
    <row r="4832" spans="1:3" x14ac:dyDescent="0.2">
      <c r="A4832" s="34">
        <v>38509</v>
      </c>
      <c r="B4832">
        <v>3.571936</v>
      </c>
      <c r="C4832">
        <f t="shared" si="80"/>
        <v>9.75</v>
      </c>
    </row>
    <row r="4833" spans="1:3" x14ac:dyDescent="0.2">
      <c r="A4833" s="34">
        <v>38508</v>
      </c>
      <c r="B4833">
        <v>3.5728749999999998</v>
      </c>
      <c r="C4833">
        <f t="shared" si="80"/>
        <v>9.75</v>
      </c>
    </row>
    <row r="4834" spans="1:3" x14ac:dyDescent="0.2">
      <c r="A4834" s="34">
        <v>38507</v>
      </c>
      <c r="B4834">
        <v>3.5738150000000002</v>
      </c>
      <c r="C4834">
        <f t="shared" si="80"/>
        <v>9.75</v>
      </c>
    </row>
    <row r="4835" spans="1:3" x14ac:dyDescent="0.2">
      <c r="A4835" s="34">
        <v>38506</v>
      </c>
      <c r="B4835">
        <v>3.5747550000000001</v>
      </c>
      <c r="C4835">
        <f t="shared" si="80"/>
        <v>9.75</v>
      </c>
    </row>
    <row r="4836" spans="1:3" x14ac:dyDescent="0.2">
      <c r="A4836" s="34">
        <v>38505</v>
      </c>
      <c r="B4836">
        <v>3.5756950000000001</v>
      </c>
      <c r="C4836">
        <f t="shared" si="80"/>
        <v>9.74</v>
      </c>
    </row>
    <row r="4837" spans="1:3" x14ac:dyDescent="0.2">
      <c r="A4837" s="34">
        <v>38504</v>
      </c>
      <c r="B4837">
        <v>3.5766360000000001</v>
      </c>
      <c r="C4837">
        <f t="shared" si="80"/>
        <v>9.75</v>
      </c>
    </row>
    <row r="4838" spans="1:3" x14ac:dyDescent="0.2">
      <c r="A4838" s="34">
        <v>38503</v>
      </c>
      <c r="B4838">
        <v>3.5775769999999998</v>
      </c>
      <c r="C4838">
        <f t="shared" si="80"/>
        <v>9.75</v>
      </c>
    </row>
    <row r="4839" spans="1:3" x14ac:dyDescent="0.2">
      <c r="A4839" s="34">
        <v>38502</v>
      </c>
      <c r="B4839">
        <v>3.5785179999999999</v>
      </c>
      <c r="C4839">
        <f t="shared" si="80"/>
        <v>9.75</v>
      </c>
    </row>
    <row r="4840" spans="1:3" x14ac:dyDescent="0.2">
      <c r="A4840" s="34">
        <v>38501</v>
      </c>
      <c r="B4840">
        <v>3.5794589999999999</v>
      </c>
      <c r="C4840">
        <f t="shared" si="80"/>
        <v>9.74</v>
      </c>
    </row>
    <row r="4841" spans="1:3" x14ac:dyDescent="0.2">
      <c r="A4841" s="34">
        <v>38500</v>
      </c>
      <c r="B4841">
        <v>3.5804</v>
      </c>
      <c r="C4841">
        <f t="shared" si="80"/>
        <v>9.74</v>
      </c>
    </row>
    <row r="4842" spans="1:3" x14ac:dyDescent="0.2">
      <c r="A4842" s="34">
        <v>38499</v>
      </c>
      <c r="B4842">
        <v>3.5813419999999998</v>
      </c>
      <c r="C4842">
        <f t="shared" si="80"/>
        <v>9.74</v>
      </c>
    </row>
    <row r="4843" spans="1:3" x14ac:dyDescent="0.2">
      <c r="A4843" s="34">
        <v>38498</v>
      </c>
      <c r="B4843">
        <v>3.582284</v>
      </c>
      <c r="C4843">
        <f t="shared" si="80"/>
        <v>9.73</v>
      </c>
    </row>
    <row r="4844" spans="1:3" x14ac:dyDescent="0.2">
      <c r="A4844" s="34">
        <v>38497</v>
      </c>
      <c r="B4844">
        <v>3.5832269999999999</v>
      </c>
      <c r="C4844">
        <f t="shared" si="80"/>
        <v>9.8000000000000007</v>
      </c>
    </row>
    <row r="4845" spans="1:3" x14ac:dyDescent="0.2">
      <c r="A4845" s="34">
        <v>38496</v>
      </c>
      <c r="B4845">
        <v>3.5822759999999998</v>
      </c>
      <c r="C4845">
        <f t="shared" si="80"/>
        <v>9.74</v>
      </c>
    </row>
    <row r="4846" spans="1:3" x14ac:dyDescent="0.2">
      <c r="A4846" s="34">
        <v>38495</v>
      </c>
      <c r="B4846">
        <v>3.5813259999999998</v>
      </c>
      <c r="C4846">
        <f t="shared" si="80"/>
        <v>9.75</v>
      </c>
    </row>
    <row r="4847" spans="1:3" x14ac:dyDescent="0.2">
      <c r="A4847" s="34">
        <v>38494</v>
      </c>
      <c r="B4847">
        <v>3.5803759999999998</v>
      </c>
      <c r="C4847">
        <f t="shared" si="80"/>
        <v>9.77</v>
      </c>
    </row>
    <row r="4848" spans="1:3" x14ac:dyDescent="0.2">
      <c r="A4848" s="34">
        <v>38493</v>
      </c>
      <c r="B4848">
        <v>3.5794260000000002</v>
      </c>
      <c r="C4848">
        <f t="shared" si="80"/>
        <v>9.77</v>
      </c>
    </row>
    <row r="4849" spans="1:3" x14ac:dyDescent="0.2">
      <c r="A4849" s="34">
        <v>38492</v>
      </c>
      <c r="B4849">
        <v>3.5784769999999999</v>
      </c>
      <c r="C4849">
        <f t="shared" si="80"/>
        <v>9.77</v>
      </c>
    </row>
    <row r="4850" spans="1:3" x14ac:dyDescent="0.2">
      <c r="A4850" s="34">
        <v>38491</v>
      </c>
      <c r="B4850">
        <v>3.577528</v>
      </c>
      <c r="C4850">
        <f t="shared" si="80"/>
        <v>9.6999999999999993</v>
      </c>
    </row>
    <row r="4851" spans="1:3" x14ac:dyDescent="0.2">
      <c r="A4851" s="34">
        <v>38490</v>
      </c>
      <c r="B4851">
        <v>3.5765790000000002</v>
      </c>
      <c r="C4851">
        <f t="shared" si="80"/>
        <v>9.75</v>
      </c>
    </row>
    <row r="4852" spans="1:3" x14ac:dyDescent="0.2">
      <c r="A4852" s="34">
        <v>38489</v>
      </c>
      <c r="B4852">
        <v>3.5756299999999999</v>
      </c>
      <c r="C4852">
        <f t="shared" si="80"/>
        <v>9.75</v>
      </c>
    </row>
    <row r="4853" spans="1:3" x14ac:dyDescent="0.2">
      <c r="A4853" s="34">
        <v>38488</v>
      </c>
      <c r="B4853">
        <v>3.5746820000000001</v>
      </c>
      <c r="C4853">
        <f t="shared" si="80"/>
        <v>9.75</v>
      </c>
    </row>
    <row r="4854" spans="1:3" x14ac:dyDescent="0.2">
      <c r="A4854" s="34">
        <v>38487</v>
      </c>
      <c r="B4854">
        <v>3.573734</v>
      </c>
      <c r="C4854">
        <f t="shared" si="80"/>
        <v>9.75</v>
      </c>
    </row>
    <row r="4855" spans="1:3" x14ac:dyDescent="0.2">
      <c r="A4855" s="34">
        <v>38486</v>
      </c>
      <c r="B4855">
        <v>3.5727859999999998</v>
      </c>
      <c r="C4855">
        <f t="shared" si="80"/>
        <v>9.75</v>
      </c>
    </row>
    <row r="4856" spans="1:3" x14ac:dyDescent="0.2">
      <c r="A4856" s="34">
        <v>38485</v>
      </c>
      <c r="B4856">
        <v>3.5718380000000001</v>
      </c>
      <c r="C4856">
        <f t="shared" si="80"/>
        <v>9.75</v>
      </c>
    </row>
    <row r="4857" spans="1:3" x14ac:dyDescent="0.2">
      <c r="A4857" s="34">
        <v>38484</v>
      </c>
      <c r="B4857">
        <v>3.570891</v>
      </c>
      <c r="C4857">
        <f t="shared" si="80"/>
        <v>9.5500000000000007</v>
      </c>
    </row>
    <row r="4858" spans="1:3" x14ac:dyDescent="0.2">
      <c r="A4858" s="34">
        <v>38483</v>
      </c>
      <c r="B4858">
        <v>3.5699429999999999</v>
      </c>
      <c r="C4858">
        <f t="shared" si="80"/>
        <v>9.9499999999999993</v>
      </c>
    </row>
    <row r="4859" spans="1:3" x14ac:dyDescent="0.2">
      <c r="A4859" s="34">
        <v>38482</v>
      </c>
      <c r="B4859">
        <v>3.568997</v>
      </c>
      <c r="C4859">
        <f t="shared" si="80"/>
        <v>10.199999999999999</v>
      </c>
    </row>
    <row r="4860" spans="1:3" x14ac:dyDescent="0.2">
      <c r="A4860" s="34">
        <v>38481</v>
      </c>
      <c r="B4860">
        <v>3.5688080000000002</v>
      </c>
      <c r="C4860">
        <f t="shared" si="80"/>
        <v>9.76</v>
      </c>
    </row>
    <row r="4861" spans="1:3" x14ac:dyDescent="0.2">
      <c r="A4861" s="34">
        <v>38480</v>
      </c>
      <c r="B4861">
        <v>3.5686200000000001</v>
      </c>
      <c r="C4861">
        <f t="shared" si="80"/>
        <v>9.85</v>
      </c>
    </row>
    <row r="4862" spans="1:3" x14ac:dyDescent="0.2">
      <c r="A4862" s="34">
        <v>38479</v>
      </c>
      <c r="B4862">
        <v>3.5684309999999999</v>
      </c>
      <c r="C4862">
        <f t="shared" si="80"/>
        <v>9.85</v>
      </c>
    </row>
    <row r="4863" spans="1:3" x14ac:dyDescent="0.2">
      <c r="A4863" s="34">
        <v>38478</v>
      </c>
      <c r="B4863">
        <v>3.5682420000000001</v>
      </c>
      <c r="C4863">
        <f t="shared" si="80"/>
        <v>9.85</v>
      </c>
    </row>
    <row r="4864" spans="1:3" x14ac:dyDescent="0.2">
      <c r="A4864" s="34">
        <v>38477</v>
      </c>
      <c r="B4864">
        <v>3.5680540000000001</v>
      </c>
      <c r="C4864">
        <f t="shared" si="80"/>
        <v>9.75</v>
      </c>
    </row>
    <row r="4865" spans="1:3" x14ac:dyDescent="0.2">
      <c r="A4865" s="34">
        <v>38476</v>
      </c>
      <c r="B4865">
        <v>3.5678649999999998</v>
      </c>
      <c r="C4865">
        <f t="shared" si="80"/>
        <v>9.8000000000000007</v>
      </c>
    </row>
    <row r="4866" spans="1:3" x14ac:dyDescent="0.2">
      <c r="A4866" s="34">
        <v>38475</v>
      </c>
      <c r="B4866">
        <v>3.5676770000000002</v>
      </c>
      <c r="C4866">
        <f t="shared" ref="C4866:C4929" si="81">IFERROR(VLOOKUP(A4866,$M$2:$N$3695,2,0),C4867)</f>
        <v>9.5</v>
      </c>
    </row>
    <row r="4867" spans="1:3" x14ac:dyDescent="0.2">
      <c r="A4867" s="34">
        <v>38474</v>
      </c>
      <c r="B4867">
        <v>3.567488</v>
      </c>
      <c r="C4867">
        <f t="shared" si="81"/>
        <v>9.51</v>
      </c>
    </row>
    <row r="4868" spans="1:3" x14ac:dyDescent="0.2">
      <c r="A4868" s="34">
        <v>38473</v>
      </c>
      <c r="B4868">
        <v>3.5672999999999999</v>
      </c>
      <c r="C4868">
        <f t="shared" si="81"/>
        <v>9.6199999999999992</v>
      </c>
    </row>
    <row r="4869" spans="1:3" x14ac:dyDescent="0.2">
      <c r="A4869" s="34">
        <v>38472</v>
      </c>
      <c r="B4869">
        <v>3.5671119999999998</v>
      </c>
      <c r="C4869">
        <f t="shared" si="81"/>
        <v>9.6199999999999992</v>
      </c>
    </row>
    <row r="4870" spans="1:3" x14ac:dyDescent="0.2">
      <c r="A4870" s="34">
        <v>38471</v>
      </c>
      <c r="B4870">
        <v>3.5669230000000001</v>
      </c>
      <c r="C4870">
        <f t="shared" si="81"/>
        <v>9.6199999999999992</v>
      </c>
    </row>
    <row r="4871" spans="1:3" x14ac:dyDescent="0.2">
      <c r="A4871" s="34">
        <v>38470</v>
      </c>
      <c r="B4871">
        <v>3.566735</v>
      </c>
      <c r="C4871">
        <f t="shared" si="81"/>
        <v>9.52</v>
      </c>
    </row>
    <row r="4872" spans="1:3" x14ac:dyDescent="0.2">
      <c r="A4872" s="34">
        <v>38469</v>
      </c>
      <c r="B4872">
        <v>3.5665460000000002</v>
      </c>
      <c r="C4872">
        <f t="shared" si="81"/>
        <v>9.6199999999999992</v>
      </c>
    </row>
    <row r="4873" spans="1:3" x14ac:dyDescent="0.2">
      <c r="A4873" s="34">
        <v>38468</v>
      </c>
      <c r="B4873">
        <v>3.5663580000000001</v>
      </c>
      <c r="C4873">
        <f t="shared" si="81"/>
        <v>9.5299999999999994</v>
      </c>
    </row>
    <row r="4874" spans="1:3" x14ac:dyDescent="0.2">
      <c r="A4874" s="34">
        <v>38467</v>
      </c>
      <c r="B4874">
        <v>3.5661689999999999</v>
      </c>
      <c r="C4874">
        <f t="shared" si="81"/>
        <v>9.5</v>
      </c>
    </row>
    <row r="4875" spans="1:3" x14ac:dyDescent="0.2">
      <c r="A4875" s="34">
        <v>38466</v>
      </c>
      <c r="B4875">
        <v>3.565801</v>
      </c>
      <c r="C4875">
        <f t="shared" si="81"/>
        <v>9.51</v>
      </c>
    </row>
    <row r="4876" spans="1:3" x14ac:dyDescent="0.2">
      <c r="A4876" s="34">
        <v>38465</v>
      </c>
      <c r="B4876">
        <v>3.5654319999999999</v>
      </c>
      <c r="C4876">
        <f t="shared" si="81"/>
        <v>9.51</v>
      </c>
    </row>
    <row r="4877" spans="1:3" x14ac:dyDescent="0.2">
      <c r="A4877" s="34">
        <v>38464</v>
      </c>
      <c r="B4877">
        <v>3.5650629999999999</v>
      </c>
      <c r="C4877">
        <f t="shared" si="81"/>
        <v>9.51</v>
      </c>
    </row>
    <row r="4878" spans="1:3" x14ac:dyDescent="0.2">
      <c r="A4878" s="34">
        <v>38463</v>
      </c>
      <c r="B4878">
        <v>3.5646939999999998</v>
      </c>
      <c r="C4878">
        <f t="shared" si="81"/>
        <v>9.5500000000000007</v>
      </c>
    </row>
    <row r="4879" spans="1:3" x14ac:dyDescent="0.2">
      <c r="A4879" s="34">
        <v>38462</v>
      </c>
      <c r="B4879">
        <v>3.5643259999999999</v>
      </c>
      <c r="C4879">
        <f t="shared" si="81"/>
        <v>9.5</v>
      </c>
    </row>
    <row r="4880" spans="1:3" x14ac:dyDescent="0.2">
      <c r="A4880" s="34">
        <v>38461</v>
      </c>
      <c r="B4880">
        <v>3.5639569999999998</v>
      </c>
      <c r="C4880">
        <f t="shared" si="81"/>
        <v>9.52</v>
      </c>
    </row>
    <row r="4881" spans="1:3" x14ac:dyDescent="0.2">
      <c r="A4881" s="34">
        <v>38460</v>
      </c>
      <c r="B4881">
        <v>3.5635880000000002</v>
      </c>
      <c r="C4881">
        <f t="shared" si="81"/>
        <v>9.57</v>
      </c>
    </row>
    <row r="4882" spans="1:3" x14ac:dyDescent="0.2">
      <c r="A4882" s="34">
        <v>38459</v>
      </c>
      <c r="B4882">
        <v>3.5632199999999998</v>
      </c>
      <c r="C4882">
        <f t="shared" si="81"/>
        <v>9.5500000000000007</v>
      </c>
    </row>
    <row r="4883" spans="1:3" x14ac:dyDescent="0.2">
      <c r="A4883" s="34">
        <v>38458</v>
      </c>
      <c r="B4883">
        <v>3.5628510000000002</v>
      </c>
      <c r="C4883">
        <f t="shared" si="81"/>
        <v>9.5500000000000007</v>
      </c>
    </row>
    <row r="4884" spans="1:3" x14ac:dyDescent="0.2">
      <c r="A4884" s="34">
        <v>38457</v>
      </c>
      <c r="B4884">
        <v>3.5624829999999998</v>
      </c>
      <c r="C4884">
        <f t="shared" si="81"/>
        <v>9.5500000000000007</v>
      </c>
    </row>
    <row r="4885" spans="1:3" x14ac:dyDescent="0.2">
      <c r="A4885" s="34">
        <v>38456</v>
      </c>
      <c r="B4885">
        <v>3.5621139999999998</v>
      </c>
      <c r="C4885">
        <f t="shared" si="81"/>
        <v>9.6</v>
      </c>
    </row>
    <row r="4886" spans="1:3" x14ac:dyDescent="0.2">
      <c r="A4886" s="34">
        <v>38455</v>
      </c>
      <c r="B4886">
        <v>3.5617459999999999</v>
      </c>
      <c r="C4886">
        <f t="shared" si="81"/>
        <v>9.5</v>
      </c>
    </row>
    <row r="4887" spans="1:3" x14ac:dyDescent="0.2">
      <c r="A4887" s="34">
        <v>38454</v>
      </c>
      <c r="B4887">
        <v>3.5613769999999998</v>
      </c>
      <c r="C4887">
        <f t="shared" si="81"/>
        <v>9.5399999999999991</v>
      </c>
    </row>
    <row r="4888" spans="1:3" x14ac:dyDescent="0.2">
      <c r="A4888" s="34">
        <v>38453</v>
      </c>
      <c r="B4888">
        <v>3.5610089999999999</v>
      </c>
      <c r="C4888">
        <f t="shared" si="81"/>
        <v>9.56</v>
      </c>
    </row>
    <row r="4889" spans="1:3" x14ac:dyDescent="0.2">
      <c r="A4889" s="34">
        <v>38452</v>
      </c>
      <c r="B4889">
        <v>3.5606409999999999</v>
      </c>
      <c r="C4889">
        <f t="shared" si="81"/>
        <v>9.5</v>
      </c>
    </row>
    <row r="4890" spans="1:3" x14ac:dyDescent="0.2">
      <c r="A4890" s="34">
        <v>38451</v>
      </c>
      <c r="B4890">
        <v>3.5601929999999999</v>
      </c>
      <c r="C4890">
        <f t="shared" si="81"/>
        <v>9.5</v>
      </c>
    </row>
    <row r="4891" spans="1:3" x14ac:dyDescent="0.2">
      <c r="A4891" s="34">
        <v>38450</v>
      </c>
      <c r="B4891">
        <v>3.5597449999999999</v>
      </c>
      <c r="C4891">
        <f t="shared" si="81"/>
        <v>9.5</v>
      </c>
    </row>
    <row r="4892" spans="1:3" x14ac:dyDescent="0.2">
      <c r="A4892" s="34">
        <v>38449</v>
      </c>
      <c r="B4892">
        <v>3.5592969999999999</v>
      </c>
      <c r="C4892">
        <f t="shared" si="81"/>
        <v>9.5</v>
      </c>
    </row>
    <row r="4893" spans="1:3" x14ac:dyDescent="0.2">
      <c r="A4893" s="34">
        <v>38448</v>
      </c>
      <c r="B4893">
        <v>3.5588489999999999</v>
      </c>
      <c r="C4893">
        <f t="shared" si="81"/>
        <v>9.4499999999999993</v>
      </c>
    </row>
    <row r="4894" spans="1:3" x14ac:dyDescent="0.2">
      <c r="A4894" s="34">
        <v>38447</v>
      </c>
      <c r="B4894">
        <v>3.5584009999999999</v>
      </c>
      <c r="C4894">
        <f t="shared" si="81"/>
        <v>9.5</v>
      </c>
    </row>
    <row r="4895" spans="1:3" x14ac:dyDescent="0.2">
      <c r="A4895" s="34">
        <v>38446</v>
      </c>
      <c r="B4895">
        <v>3.5579529999999999</v>
      </c>
      <c r="C4895">
        <f t="shared" si="81"/>
        <v>9.4499999999999993</v>
      </c>
    </row>
    <row r="4896" spans="1:3" x14ac:dyDescent="0.2">
      <c r="A4896" s="34">
        <v>38445</v>
      </c>
      <c r="B4896">
        <v>3.5575060000000001</v>
      </c>
      <c r="C4896">
        <f t="shared" si="81"/>
        <v>9.4</v>
      </c>
    </row>
    <row r="4897" spans="1:3" x14ac:dyDescent="0.2">
      <c r="A4897" s="34">
        <v>38444</v>
      </c>
      <c r="B4897">
        <v>3.5570580000000001</v>
      </c>
      <c r="C4897">
        <f t="shared" si="81"/>
        <v>9.4</v>
      </c>
    </row>
    <row r="4898" spans="1:3" x14ac:dyDescent="0.2">
      <c r="A4898" s="34">
        <v>38443</v>
      </c>
      <c r="B4898">
        <v>3.55661</v>
      </c>
      <c r="C4898">
        <f t="shared" si="81"/>
        <v>9.4</v>
      </c>
    </row>
    <row r="4899" spans="1:3" x14ac:dyDescent="0.2">
      <c r="A4899" s="34">
        <v>38442</v>
      </c>
      <c r="B4899">
        <v>3.5561630000000002</v>
      </c>
      <c r="C4899">
        <f t="shared" si="81"/>
        <v>9.69</v>
      </c>
    </row>
    <row r="4900" spans="1:3" x14ac:dyDescent="0.2">
      <c r="A4900" s="34">
        <v>38441</v>
      </c>
      <c r="B4900">
        <v>3.5557150000000002</v>
      </c>
      <c r="C4900">
        <f t="shared" si="81"/>
        <v>9.51</v>
      </c>
    </row>
    <row r="4901" spans="1:3" x14ac:dyDescent="0.2">
      <c r="A4901" s="34">
        <v>38440</v>
      </c>
      <c r="B4901">
        <v>3.5552679999999999</v>
      </c>
      <c r="C4901">
        <f t="shared" si="81"/>
        <v>9.48</v>
      </c>
    </row>
    <row r="4902" spans="1:3" x14ac:dyDescent="0.2">
      <c r="A4902" s="34">
        <v>38439</v>
      </c>
      <c r="B4902">
        <v>3.5548199999999999</v>
      </c>
      <c r="C4902">
        <f t="shared" si="81"/>
        <v>9.5</v>
      </c>
    </row>
    <row r="4903" spans="1:3" x14ac:dyDescent="0.2">
      <c r="A4903" s="34">
        <v>38438</v>
      </c>
      <c r="B4903">
        <v>3.554373</v>
      </c>
      <c r="C4903">
        <f t="shared" si="81"/>
        <v>9.5</v>
      </c>
    </row>
    <row r="4904" spans="1:3" x14ac:dyDescent="0.2">
      <c r="A4904" s="34">
        <v>38437</v>
      </c>
      <c r="B4904">
        <v>3.5539260000000001</v>
      </c>
      <c r="C4904">
        <f t="shared" si="81"/>
        <v>9.5</v>
      </c>
    </row>
    <row r="4905" spans="1:3" x14ac:dyDescent="0.2">
      <c r="A4905" s="34">
        <v>38436</v>
      </c>
      <c r="B4905">
        <v>3.5534789999999998</v>
      </c>
      <c r="C4905">
        <f t="shared" si="81"/>
        <v>9.5</v>
      </c>
    </row>
    <row r="4906" spans="1:3" x14ac:dyDescent="0.2">
      <c r="A4906" s="34">
        <v>38435</v>
      </c>
      <c r="B4906">
        <v>3.5526689999999999</v>
      </c>
      <c r="C4906">
        <f t="shared" si="81"/>
        <v>9.5</v>
      </c>
    </row>
    <row r="4907" spans="1:3" x14ac:dyDescent="0.2">
      <c r="A4907" s="34">
        <v>38434</v>
      </c>
      <c r="B4907">
        <v>3.55186</v>
      </c>
      <c r="C4907">
        <f t="shared" si="81"/>
        <v>9.5</v>
      </c>
    </row>
    <row r="4908" spans="1:3" x14ac:dyDescent="0.2">
      <c r="A4908" s="34">
        <v>38433</v>
      </c>
      <c r="B4908">
        <v>3.55105</v>
      </c>
      <c r="C4908">
        <f t="shared" si="81"/>
        <v>9.18</v>
      </c>
    </row>
    <row r="4909" spans="1:3" x14ac:dyDescent="0.2">
      <c r="A4909" s="34">
        <v>38432</v>
      </c>
      <c r="B4909">
        <v>3.5502410000000002</v>
      </c>
      <c r="C4909">
        <f t="shared" si="81"/>
        <v>9.1999999999999993</v>
      </c>
    </row>
    <row r="4910" spans="1:3" x14ac:dyDescent="0.2">
      <c r="A4910" s="34">
        <v>38431</v>
      </c>
      <c r="B4910">
        <v>3.5494319999999999</v>
      </c>
      <c r="C4910">
        <f t="shared" si="81"/>
        <v>9.1999999999999993</v>
      </c>
    </row>
    <row r="4911" spans="1:3" x14ac:dyDescent="0.2">
      <c r="A4911" s="34">
        <v>38430</v>
      </c>
      <c r="B4911">
        <v>3.5486239999999998</v>
      </c>
      <c r="C4911">
        <f t="shared" si="81"/>
        <v>9.1999999999999993</v>
      </c>
    </row>
    <row r="4912" spans="1:3" x14ac:dyDescent="0.2">
      <c r="A4912" s="34">
        <v>38429</v>
      </c>
      <c r="B4912">
        <v>3.5478149999999999</v>
      </c>
      <c r="C4912">
        <f t="shared" si="81"/>
        <v>9.1999999999999993</v>
      </c>
    </row>
    <row r="4913" spans="1:3" x14ac:dyDescent="0.2">
      <c r="A4913" s="34">
        <v>38428</v>
      </c>
      <c r="B4913">
        <v>3.5470069999999998</v>
      </c>
      <c r="C4913">
        <f t="shared" si="81"/>
        <v>9.1999999999999993</v>
      </c>
    </row>
    <row r="4914" spans="1:3" x14ac:dyDescent="0.2">
      <c r="A4914" s="34">
        <v>38427</v>
      </c>
      <c r="B4914">
        <v>3.546198</v>
      </c>
      <c r="C4914">
        <f t="shared" si="81"/>
        <v>9.19</v>
      </c>
    </row>
    <row r="4915" spans="1:3" x14ac:dyDescent="0.2">
      <c r="A4915" s="34">
        <v>38426</v>
      </c>
      <c r="B4915">
        <v>3.5453899999999998</v>
      </c>
      <c r="C4915">
        <f t="shared" si="81"/>
        <v>9.1999999999999993</v>
      </c>
    </row>
    <row r="4916" spans="1:3" x14ac:dyDescent="0.2">
      <c r="A4916" s="34">
        <v>38425</v>
      </c>
      <c r="B4916">
        <v>3.5445829999999998</v>
      </c>
      <c r="C4916">
        <f t="shared" si="81"/>
        <v>9.1999999999999993</v>
      </c>
    </row>
    <row r="4917" spans="1:3" x14ac:dyDescent="0.2">
      <c r="A4917" s="34">
        <v>38424</v>
      </c>
      <c r="B4917">
        <v>3.5437750000000001</v>
      </c>
      <c r="C4917">
        <f t="shared" si="81"/>
        <v>9.1999999999999993</v>
      </c>
    </row>
    <row r="4918" spans="1:3" x14ac:dyDescent="0.2">
      <c r="A4918" s="34">
        <v>38423</v>
      </c>
      <c r="B4918">
        <v>3.5429680000000001</v>
      </c>
      <c r="C4918">
        <f t="shared" si="81"/>
        <v>9.1999999999999993</v>
      </c>
    </row>
    <row r="4919" spans="1:3" x14ac:dyDescent="0.2">
      <c r="A4919" s="34">
        <v>38422</v>
      </c>
      <c r="B4919">
        <v>3.54216</v>
      </c>
      <c r="C4919">
        <f t="shared" si="81"/>
        <v>9.1999999999999993</v>
      </c>
    </row>
    <row r="4920" spans="1:3" x14ac:dyDescent="0.2">
      <c r="A4920" s="34">
        <v>38421</v>
      </c>
      <c r="B4920">
        <v>3.541353</v>
      </c>
      <c r="C4920">
        <f t="shared" si="81"/>
        <v>9.2100000000000009</v>
      </c>
    </row>
    <row r="4921" spans="1:3" x14ac:dyDescent="0.2">
      <c r="A4921" s="34">
        <v>38420</v>
      </c>
      <c r="B4921">
        <v>3.540889</v>
      </c>
      <c r="C4921">
        <f t="shared" si="81"/>
        <v>9.18</v>
      </c>
    </row>
    <row r="4922" spans="1:3" x14ac:dyDescent="0.2">
      <c r="A4922" s="34">
        <v>38419</v>
      </c>
      <c r="B4922">
        <v>3.5404249999999999</v>
      </c>
      <c r="C4922">
        <f t="shared" si="81"/>
        <v>9.1</v>
      </c>
    </row>
    <row r="4923" spans="1:3" x14ac:dyDescent="0.2">
      <c r="A4923" s="34">
        <v>38418</v>
      </c>
      <c r="B4923">
        <v>3.5399609999999999</v>
      </c>
      <c r="C4923">
        <f t="shared" si="81"/>
        <v>9.19</v>
      </c>
    </row>
    <row r="4924" spans="1:3" x14ac:dyDescent="0.2">
      <c r="A4924" s="34">
        <v>38417</v>
      </c>
      <c r="B4924">
        <v>3.5394960000000002</v>
      </c>
      <c r="C4924">
        <f t="shared" si="81"/>
        <v>9.1999999999999993</v>
      </c>
    </row>
    <row r="4925" spans="1:3" x14ac:dyDescent="0.2">
      <c r="A4925" s="34">
        <v>38416</v>
      </c>
      <c r="B4925">
        <v>3.5390320000000002</v>
      </c>
      <c r="C4925">
        <f t="shared" si="81"/>
        <v>9.1999999999999993</v>
      </c>
    </row>
    <row r="4926" spans="1:3" x14ac:dyDescent="0.2">
      <c r="A4926" s="34">
        <v>38415</v>
      </c>
      <c r="B4926">
        <v>3.5385680000000002</v>
      </c>
      <c r="C4926">
        <f t="shared" si="81"/>
        <v>9.1999999999999993</v>
      </c>
    </row>
    <row r="4927" spans="1:3" x14ac:dyDescent="0.2">
      <c r="A4927" s="34">
        <v>38414</v>
      </c>
      <c r="B4927">
        <v>3.5381040000000001</v>
      </c>
      <c r="C4927">
        <f t="shared" si="81"/>
        <v>9.19</v>
      </c>
    </row>
    <row r="4928" spans="1:3" x14ac:dyDescent="0.2">
      <c r="A4928" s="34">
        <v>38413</v>
      </c>
      <c r="B4928">
        <v>3.5376409999999998</v>
      </c>
      <c r="C4928">
        <f t="shared" si="81"/>
        <v>9.1999999999999993</v>
      </c>
    </row>
    <row r="4929" spans="1:3" x14ac:dyDescent="0.2">
      <c r="A4929" s="34">
        <v>38412</v>
      </c>
      <c r="B4929">
        <v>3.5371769999999998</v>
      </c>
      <c r="C4929">
        <f t="shared" si="81"/>
        <v>9.19</v>
      </c>
    </row>
    <row r="4930" spans="1:3" x14ac:dyDescent="0.2">
      <c r="A4930" s="34">
        <v>38411</v>
      </c>
      <c r="B4930">
        <v>3.5367130000000002</v>
      </c>
      <c r="C4930">
        <f t="shared" ref="C4930:C4993" si="82">IFERROR(VLOOKUP(A4930,$M$2:$N$3695,2,0),C4931)</f>
        <v>9.1999999999999993</v>
      </c>
    </row>
    <row r="4931" spans="1:3" x14ac:dyDescent="0.2">
      <c r="A4931" s="34">
        <v>38410</v>
      </c>
      <c r="B4931">
        <v>3.5362490000000002</v>
      </c>
      <c r="C4931">
        <f t="shared" si="82"/>
        <v>9.4</v>
      </c>
    </row>
    <row r="4932" spans="1:3" x14ac:dyDescent="0.2">
      <c r="A4932" s="34">
        <v>38409</v>
      </c>
      <c r="B4932">
        <v>3.5357859999999999</v>
      </c>
      <c r="C4932">
        <f t="shared" si="82"/>
        <v>9.4</v>
      </c>
    </row>
    <row r="4933" spans="1:3" x14ac:dyDescent="0.2">
      <c r="A4933" s="34">
        <v>38408</v>
      </c>
      <c r="B4933">
        <v>3.5353219999999999</v>
      </c>
      <c r="C4933">
        <f t="shared" si="82"/>
        <v>9.4</v>
      </c>
    </row>
    <row r="4934" spans="1:3" x14ac:dyDescent="0.2">
      <c r="A4934" s="34">
        <v>38407</v>
      </c>
      <c r="B4934">
        <v>3.535364</v>
      </c>
      <c r="C4934">
        <f t="shared" si="82"/>
        <v>9.25</v>
      </c>
    </row>
    <row r="4935" spans="1:3" x14ac:dyDescent="0.2">
      <c r="A4935" s="34">
        <v>38406</v>
      </c>
      <c r="B4935">
        <v>3.535406</v>
      </c>
      <c r="C4935">
        <f t="shared" si="82"/>
        <v>9.15</v>
      </c>
    </row>
    <row r="4936" spans="1:3" x14ac:dyDescent="0.2">
      <c r="A4936" s="34">
        <v>38405</v>
      </c>
      <c r="B4936">
        <v>3.5354480000000001</v>
      </c>
      <c r="C4936">
        <f t="shared" si="82"/>
        <v>9.14</v>
      </c>
    </row>
    <row r="4937" spans="1:3" x14ac:dyDescent="0.2">
      <c r="A4937" s="34">
        <v>38404</v>
      </c>
      <c r="B4937">
        <v>3.5354899999999998</v>
      </c>
      <c r="C4937">
        <f t="shared" si="82"/>
        <v>9.15</v>
      </c>
    </row>
    <row r="4938" spans="1:3" x14ac:dyDescent="0.2">
      <c r="A4938" s="34">
        <v>38403</v>
      </c>
      <c r="B4938">
        <v>3.5355310000000002</v>
      </c>
      <c r="C4938">
        <f t="shared" si="82"/>
        <v>9.15</v>
      </c>
    </row>
    <row r="4939" spans="1:3" x14ac:dyDescent="0.2">
      <c r="A4939" s="34">
        <v>38402</v>
      </c>
      <c r="B4939">
        <v>3.5355729999999999</v>
      </c>
      <c r="C4939">
        <f t="shared" si="82"/>
        <v>9.15</v>
      </c>
    </row>
    <row r="4940" spans="1:3" x14ac:dyDescent="0.2">
      <c r="A4940" s="34">
        <v>38401</v>
      </c>
      <c r="B4940">
        <v>3.535615</v>
      </c>
      <c r="C4940">
        <f t="shared" si="82"/>
        <v>9.15</v>
      </c>
    </row>
    <row r="4941" spans="1:3" x14ac:dyDescent="0.2">
      <c r="A4941" s="34">
        <v>38400</v>
      </c>
      <c r="B4941">
        <v>3.535657</v>
      </c>
      <c r="C4941">
        <f t="shared" si="82"/>
        <v>9.1999999999999993</v>
      </c>
    </row>
    <row r="4942" spans="1:3" x14ac:dyDescent="0.2">
      <c r="A4942" s="34">
        <v>38399</v>
      </c>
      <c r="B4942">
        <v>3.5356990000000001</v>
      </c>
      <c r="C4942">
        <f t="shared" si="82"/>
        <v>9.15</v>
      </c>
    </row>
    <row r="4943" spans="1:3" x14ac:dyDescent="0.2">
      <c r="A4943" s="34">
        <v>38398</v>
      </c>
      <c r="B4943">
        <v>3.5357409999999998</v>
      </c>
      <c r="C4943">
        <f t="shared" si="82"/>
        <v>9.1300000000000008</v>
      </c>
    </row>
    <row r="4944" spans="1:3" x14ac:dyDescent="0.2">
      <c r="A4944" s="34">
        <v>38397</v>
      </c>
      <c r="B4944">
        <v>3.5357829999999999</v>
      </c>
      <c r="C4944">
        <f t="shared" si="82"/>
        <v>9.15</v>
      </c>
    </row>
    <row r="4945" spans="1:3" x14ac:dyDescent="0.2">
      <c r="A4945" s="34">
        <v>38396</v>
      </c>
      <c r="B4945">
        <v>3.535825</v>
      </c>
      <c r="C4945">
        <f t="shared" si="82"/>
        <v>9.1</v>
      </c>
    </row>
    <row r="4946" spans="1:3" x14ac:dyDescent="0.2">
      <c r="A4946" s="34">
        <v>38395</v>
      </c>
      <c r="B4946">
        <v>3.5358670000000001</v>
      </c>
      <c r="C4946">
        <f t="shared" si="82"/>
        <v>9.1</v>
      </c>
    </row>
    <row r="4947" spans="1:3" x14ac:dyDescent="0.2">
      <c r="A4947" s="34">
        <v>38394</v>
      </c>
      <c r="B4947">
        <v>3.5359080000000001</v>
      </c>
      <c r="C4947">
        <f t="shared" si="82"/>
        <v>9.1</v>
      </c>
    </row>
    <row r="4948" spans="1:3" x14ac:dyDescent="0.2">
      <c r="A4948" s="34">
        <v>38393</v>
      </c>
      <c r="B4948">
        <v>3.5359500000000001</v>
      </c>
      <c r="C4948">
        <f t="shared" si="82"/>
        <v>9.15</v>
      </c>
    </row>
    <row r="4949" spans="1:3" x14ac:dyDescent="0.2">
      <c r="A4949" s="34">
        <v>38392</v>
      </c>
      <c r="B4949">
        <v>3.5357660000000002</v>
      </c>
      <c r="C4949">
        <f t="shared" si="82"/>
        <v>8.8000000000000007</v>
      </c>
    </row>
    <row r="4950" spans="1:3" x14ac:dyDescent="0.2">
      <c r="A4950" s="34">
        <v>38391</v>
      </c>
      <c r="B4950">
        <v>3.5355810000000001</v>
      </c>
      <c r="C4950">
        <f t="shared" si="82"/>
        <v>9.1999999999999993</v>
      </c>
    </row>
    <row r="4951" spans="1:3" x14ac:dyDescent="0.2">
      <c r="A4951" s="34">
        <v>38390</v>
      </c>
      <c r="B4951">
        <v>3.535396</v>
      </c>
      <c r="C4951">
        <f t="shared" si="82"/>
        <v>9.0500000000000007</v>
      </c>
    </row>
    <row r="4952" spans="1:3" x14ac:dyDescent="0.2">
      <c r="A4952" s="34">
        <v>38389</v>
      </c>
      <c r="B4952">
        <v>3.535212</v>
      </c>
      <c r="C4952">
        <f t="shared" si="82"/>
        <v>9.15</v>
      </c>
    </row>
    <row r="4953" spans="1:3" x14ac:dyDescent="0.2">
      <c r="A4953" s="34">
        <v>38388</v>
      </c>
      <c r="B4953">
        <v>3.5350269999999999</v>
      </c>
      <c r="C4953">
        <f t="shared" si="82"/>
        <v>9.15</v>
      </c>
    </row>
    <row r="4954" spans="1:3" x14ac:dyDescent="0.2">
      <c r="A4954" s="34">
        <v>38387</v>
      </c>
      <c r="B4954">
        <v>3.534843</v>
      </c>
      <c r="C4954">
        <f t="shared" si="82"/>
        <v>9.15</v>
      </c>
    </row>
    <row r="4955" spans="1:3" x14ac:dyDescent="0.2">
      <c r="A4955" s="34">
        <v>38386</v>
      </c>
      <c r="B4955">
        <v>3.5346579999999999</v>
      </c>
      <c r="C4955">
        <f t="shared" si="82"/>
        <v>9.02</v>
      </c>
    </row>
    <row r="4956" spans="1:3" x14ac:dyDescent="0.2">
      <c r="A4956" s="34">
        <v>38385</v>
      </c>
      <c r="B4956">
        <v>3.5344739999999999</v>
      </c>
      <c r="C4956">
        <f t="shared" si="82"/>
        <v>8.9</v>
      </c>
    </row>
    <row r="4957" spans="1:3" x14ac:dyDescent="0.2">
      <c r="A4957" s="34">
        <v>38384</v>
      </c>
      <c r="B4957">
        <v>3.5342889999999998</v>
      </c>
      <c r="C4957">
        <f t="shared" si="82"/>
        <v>8.8800000000000008</v>
      </c>
    </row>
    <row r="4958" spans="1:3" x14ac:dyDescent="0.2">
      <c r="A4958" s="34">
        <v>38383</v>
      </c>
      <c r="B4958">
        <v>3.5341049999999998</v>
      </c>
      <c r="C4958">
        <f t="shared" si="82"/>
        <v>9.0500000000000007</v>
      </c>
    </row>
    <row r="4959" spans="1:3" x14ac:dyDescent="0.2">
      <c r="A4959" s="34">
        <v>38382</v>
      </c>
      <c r="B4959">
        <v>3.5339200000000002</v>
      </c>
      <c r="C4959">
        <f t="shared" si="82"/>
        <v>8.6999999999999993</v>
      </c>
    </row>
    <row r="4960" spans="1:3" x14ac:dyDescent="0.2">
      <c r="A4960" s="34">
        <v>38381</v>
      </c>
      <c r="B4960">
        <v>3.5337350000000001</v>
      </c>
      <c r="C4960">
        <f t="shared" si="82"/>
        <v>8.6999999999999993</v>
      </c>
    </row>
    <row r="4961" spans="1:3" x14ac:dyDescent="0.2">
      <c r="A4961" s="34">
        <v>38380</v>
      </c>
      <c r="B4961">
        <v>3.5335510000000001</v>
      </c>
      <c r="C4961">
        <f t="shared" si="82"/>
        <v>8.6999999999999993</v>
      </c>
    </row>
    <row r="4962" spans="1:3" x14ac:dyDescent="0.2">
      <c r="A4962" s="34">
        <v>38379</v>
      </c>
      <c r="B4962">
        <v>3.533366</v>
      </c>
      <c r="C4962">
        <f t="shared" si="82"/>
        <v>8.7100000000000009</v>
      </c>
    </row>
    <row r="4963" spans="1:3" x14ac:dyDescent="0.2">
      <c r="A4963" s="34">
        <v>38378</v>
      </c>
      <c r="B4963">
        <v>3.533182</v>
      </c>
      <c r="C4963">
        <f t="shared" si="82"/>
        <v>8.73</v>
      </c>
    </row>
    <row r="4964" spans="1:3" x14ac:dyDescent="0.2">
      <c r="A4964" s="34">
        <v>38377</v>
      </c>
      <c r="B4964">
        <v>3.5329980000000001</v>
      </c>
      <c r="C4964">
        <f t="shared" si="82"/>
        <v>8.75</v>
      </c>
    </row>
    <row r="4965" spans="1:3" x14ac:dyDescent="0.2">
      <c r="A4965" s="34">
        <v>38376</v>
      </c>
      <c r="B4965">
        <v>3.533334</v>
      </c>
      <c r="C4965">
        <f t="shared" si="82"/>
        <v>8.7200000000000006</v>
      </c>
    </row>
    <row r="4966" spans="1:3" x14ac:dyDescent="0.2">
      <c r="A4966" s="34">
        <v>38375</v>
      </c>
      <c r="B4966">
        <v>3.533671</v>
      </c>
      <c r="C4966">
        <f t="shared" si="82"/>
        <v>8.75</v>
      </c>
    </row>
    <row r="4967" spans="1:3" x14ac:dyDescent="0.2">
      <c r="A4967" s="34">
        <v>38374</v>
      </c>
      <c r="B4967">
        <v>3.534008</v>
      </c>
      <c r="C4967">
        <f t="shared" si="82"/>
        <v>8.75</v>
      </c>
    </row>
    <row r="4968" spans="1:3" x14ac:dyDescent="0.2">
      <c r="A4968" s="34">
        <v>38373</v>
      </c>
      <c r="B4968">
        <v>3.5343450000000001</v>
      </c>
      <c r="C4968">
        <f t="shared" si="82"/>
        <v>8.75</v>
      </c>
    </row>
    <row r="4969" spans="1:3" x14ac:dyDescent="0.2">
      <c r="A4969" s="34">
        <v>38372</v>
      </c>
      <c r="B4969">
        <v>3.5346829999999998</v>
      </c>
      <c r="C4969">
        <f t="shared" si="82"/>
        <v>8.7899999999999991</v>
      </c>
    </row>
    <row r="4970" spans="1:3" x14ac:dyDescent="0.2">
      <c r="A4970" s="34">
        <v>38371</v>
      </c>
      <c r="B4970">
        <v>3.5350199999999998</v>
      </c>
      <c r="C4970">
        <f t="shared" si="82"/>
        <v>8.6999999999999993</v>
      </c>
    </row>
    <row r="4971" spans="1:3" x14ac:dyDescent="0.2">
      <c r="A4971" s="34">
        <v>38370</v>
      </c>
      <c r="B4971">
        <v>3.5353569999999999</v>
      </c>
      <c r="C4971">
        <f t="shared" si="82"/>
        <v>8.73</v>
      </c>
    </row>
    <row r="4972" spans="1:3" x14ac:dyDescent="0.2">
      <c r="A4972" s="34">
        <v>38369</v>
      </c>
      <c r="B4972">
        <v>3.5356939999999999</v>
      </c>
      <c r="C4972">
        <f t="shared" si="82"/>
        <v>8.7799999999999994</v>
      </c>
    </row>
    <row r="4973" spans="1:3" x14ac:dyDescent="0.2">
      <c r="A4973" s="34">
        <v>38368</v>
      </c>
      <c r="B4973">
        <v>3.5360309999999999</v>
      </c>
      <c r="C4973">
        <f t="shared" si="82"/>
        <v>9.1999999999999993</v>
      </c>
    </row>
    <row r="4974" spans="1:3" x14ac:dyDescent="0.2">
      <c r="A4974" s="34">
        <v>38367</v>
      </c>
      <c r="B4974">
        <v>3.536368</v>
      </c>
      <c r="C4974">
        <f t="shared" si="82"/>
        <v>9.1999999999999993</v>
      </c>
    </row>
    <row r="4975" spans="1:3" x14ac:dyDescent="0.2">
      <c r="A4975" s="34">
        <v>38366</v>
      </c>
      <c r="B4975">
        <v>3.5367060000000001</v>
      </c>
      <c r="C4975">
        <f t="shared" si="82"/>
        <v>9.1999999999999993</v>
      </c>
    </row>
    <row r="4976" spans="1:3" x14ac:dyDescent="0.2">
      <c r="A4976" s="34">
        <v>38365</v>
      </c>
      <c r="B4976">
        <v>3.5370430000000002</v>
      </c>
      <c r="C4976">
        <f t="shared" si="82"/>
        <v>8.65</v>
      </c>
    </row>
    <row r="4977" spans="1:3" x14ac:dyDescent="0.2">
      <c r="A4977" s="34">
        <v>38364</v>
      </c>
      <c r="B4977">
        <v>3.5373800000000002</v>
      </c>
      <c r="C4977">
        <f t="shared" si="82"/>
        <v>8.74</v>
      </c>
    </row>
    <row r="4978" spans="1:3" x14ac:dyDescent="0.2">
      <c r="A4978" s="34">
        <v>38363</v>
      </c>
      <c r="B4978">
        <v>3.5377179999999999</v>
      </c>
      <c r="C4978">
        <f t="shared" si="82"/>
        <v>8.75</v>
      </c>
    </row>
    <row r="4979" spans="1:3" x14ac:dyDescent="0.2">
      <c r="A4979" s="34">
        <v>38362</v>
      </c>
      <c r="B4979">
        <v>3.5380549999999999</v>
      </c>
      <c r="C4979">
        <f t="shared" si="82"/>
        <v>8.75</v>
      </c>
    </row>
    <row r="4980" spans="1:3" x14ac:dyDescent="0.2">
      <c r="A4980" s="34">
        <v>38361</v>
      </c>
      <c r="B4980">
        <v>3.5377209999999999</v>
      </c>
      <c r="C4980">
        <f t="shared" si="82"/>
        <v>8.6999999999999993</v>
      </c>
    </row>
    <row r="4981" spans="1:3" x14ac:dyDescent="0.2">
      <c r="A4981" s="34">
        <v>38360</v>
      </c>
      <c r="B4981">
        <v>3.5373869999999998</v>
      </c>
      <c r="C4981">
        <f t="shared" si="82"/>
        <v>8.6999999999999993</v>
      </c>
    </row>
    <row r="4982" spans="1:3" x14ac:dyDescent="0.2">
      <c r="A4982" s="34">
        <v>38359</v>
      </c>
      <c r="B4982">
        <v>3.5370529999999998</v>
      </c>
      <c r="C4982">
        <f t="shared" si="82"/>
        <v>8.6999999999999993</v>
      </c>
    </row>
    <row r="4983" spans="1:3" x14ac:dyDescent="0.2">
      <c r="A4983" s="34">
        <v>38358</v>
      </c>
      <c r="B4983">
        <v>3.5367190000000002</v>
      </c>
      <c r="C4983">
        <f t="shared" si="82"/>
        <v>8.65</v>
      </c>
    </row>
    <row r="4984" spans="1:3" x14ac:dyDescent="0.2">
      <c r="A4984" s="34">
        <v>38357</v>
      </c>
      <c r="B4984">
        <v>3.5363850000000001</v>
      </c>
      <c r="C4984">
        <f t="shared" si="82"/>
        <v>8.75</v>
      </c>
    </row>
    <row r="4985" spans="1:3" x14ac:dyDescent="0.2">
      <c r="A4985" s="34">
        <v>38356</v>
      </c>
      <c r="B4985">
        <v>3.5360510000000001</v>
      </c>
      <c r="C4985">
        <f t="shared" si="82"/>
        <v>8.8000000000000007</v>
      </c>
    </row>
    <row r="4986" spans="1:3" x14ac:dyDescent="0.2">
      <c r="A4986" s="34">
        <v>38355</v>
      </c>
      <c r="B4986">
        <v>3.5357180000000001</v>
      </c>
      <c r="C4986">
        <f t="shared" si="82"/>
        <v>8.75</v>
      </c>
    </row>
    <row r="4987" spans="1:3" x14ac:dyDescent="0.2">
      <c r="A4987" s="34">
        <v>38354</v>
      </c>
      <c r="B4987">
        <v>3.5353840000000001</v>
      </c>
      <c r="C4987">
        <f t="shared" si="82"/>
        <v>8.75</v>
      </c>
    </row>
    <row r="4988" spans="1:3" x14ac:dyDescent="0.2">
      <c r="A4988" s="34">
        <v>38353</v>
      </c>
      <c r="B4988">
        <v>3.53505</v>
      </c>
      <c r="C4988">
        <f t="shared" si="82"/>
        <v>8.75</v>
      </c>
    </row>
    <row r="4989" spans="1:3" x14ac:dyDescent="0.2">
      <c r="A4989" s="34">
        <v>38352</v>
      </c>
      <c r="B4989">
        <v>3.534716</v>
      </c>
      <c r="C4989">
        <f t="shared" si="82"/>
        <v>8.75</v>
      </c>
    </row>
    <row r="4990" spans="1:3" x14ac:dyDescent="0.2">
      <c r="A4990" s="34">
        <v>38351</v>
      </c>
      <c r="B4990">
        <v>3.5343830000000001</v>
      </c>
      <c r="C4990">
        <f t="shared" si="82"/>
        <v>8.75</v>
      </c>
    </row>
    <row r="4991" spans="1:3" x14ac:dyDescent="0.2">
      <c r="A4991" s="34">
        <v>38350</v>
      </c>
      <c r="B4991">
        <v>3.534049</v>
      </c>
      <c r="C4991">
        <f t="shared" si="82"/>
        <v>8.76</v>
      </c>
    </row>
    <row r="4992" spans="1:3" x14ac:dyDescent="0.2">
      <c r="A4992" s="34">
        <v>38349</v>
      </c>
      <c r="B4992">
        <v>3.5337149999999999</v>
      </c>
      <c r="C4992">
        <f t="shared" si="82"/>
        <v>8.7899999999999991</v>
      </c>
    </row>
    <row r="4993" spans="1:3" x14ac:dyDescent="0.2">
      <c r="A4993" s="34">
        <v>38348</v>
      </c>
      <c r="B4993">
        <v>3.533382</v>
      </c>
      <c r="C4993">
        <f t="shared" si="82"/>
        <v>8.7200000000000006</v>
      </c>
    </row>
    <row r="4994" spans="1:3" x14ac:dyDescent="0.2">
      <c r="A4994" s="34">
        <v>38347</v>
      </c>
      <c r="B4994">
        <v>3.533048</v>
      </c>
      <c r="C4994">
        <f t="shared" ref="C4994:C5057" si="83">IFERROR(VLOOKUP(A4994,$M$2:$N$3695,2,0),C4995)</f>
        <v>8.75</v>
      </c>
    </row>
    <row r="4995" spans="1:3" x14ac:dyDescent="0.2">
      <c r="A4995" s="34">
        <v>38346</v>
      </c>
      <c r="B4995">
        <v>3.532715</v>
      </c>
      <c r="C4995">
        <f t="shared" si="83"/>
        <v>8.75</v>
      </c>
    </row>
    <row r="4996" spans="1:3" x14ac:dyDescent="0.2">
      <c r="A4996" s="34">
        <v>38345</v>
      </c>
      <c r="B4996">
        <v>3.532117</v>
      </c>
      <c r="C4996">
        <f t="shared" si="83"/>
        <v>8.75</v>
      </c>
    </row>
    <row r="4997" spans="1:3" x14ac:dyDescent="0.2">
      <c r="A4997" s="34">
        <v>38344</v>
      </c>
      <c r="B4997">
        <v>3.53152</v>
      </c>
      <c r="C4997">
        <f t="shared" si="83"/>
        <v>8.65</v>
      </c>
    </row>
    <row r="4998" spans="1:3" x14ac:dyDescent="0.2">
      <c r="A4998" s="34">
        <v>38343</v>
      </c>
      <c r="B4998">
        <v>3.5309219999999999</v>
      </c>
      <c r="C4998">
        <f t="shared" si="83"/>
        <v>8.75</v>
      </c>
    </row>
    <row r="4999" spans="1:3" x14ac:dyDescent="0.2">
      <c r="A4999" s="34">
        <v>38342</v>
      </c>
      <c r="B4999">
        <v>3.5303249999999999</v>
      </c>
      <c r="C4999">
        <f t="shared" si="83"/>
        <v>8.75</v>
      </c>
    </row>
    <row r="5000" spans="1:3" x14ac:dyDescent="0.2">
      <c r="A5000" s="34">
        <v>38341</v>
      </c>
      <c r="B5000">
        <v>3.529728</v>
      </c>
      <c r="C5000">
        <f t="shared" si="83"/>
        <v>8.75</v>
      </c>
    </row>
    <row r="5001" spans="1:3" x14ac:dyDescent="0.2">
      <c r="A5001" s="34">
        <v>38340</v>
      </c>
      <c r="B5001">
        <v>3.529131</v>
      </c>
      <c r="C5001">
        <f t="shared" si="83"/>
        <v>8.76</v>
      </c>
    </row>
    <row r="5002" spans="1:3" x14ac:dyDescent="0.2">
      <c r="A5002" s="34">
        <v>38339</v>
      </c>
      <c r="B5002">
        <v>3.5285340000000001</v>
      </c>
      <c r="C5002">
        <f t="shared" si="83"/>
        <v>8.76</v>
      </c>
    </row>
    <row r="5003" spans="1:3" x14ac:dyDescent="0.2">
      <c r="A5003" s="34">
        <v>38338</v>
      </c>
      <c r="B5003">
        <v>3.5279370000000001</v>
      </c>
      <c r="C5003">
        <f t="shared" si="83"/>
        <v>8.76</v>
      </c>
    </row>
    <row r="5004" spans="1:3" x14ac:dyDescent="0.2">
      <c r="A5004" s="34">
        <v>38337</v>
      </c>
      <c r="B5004">
        <v>3.5273400000000001</v>
      </c>
      <c r="C5004">
        <f t="shared" si="83"/>
        <v>8.77</v>
      </c>
    </row>
    <row r="5005" spans="1:3" x14ac:dyDescent="0.2">
      <c r="A5005" s="34">
        <v>38336</v>
      </c>
      <c r="B5005">
        <v>3.5267439999999999</v>
      </c>
      <c r="C5005">
        <f t="shared" si="83"/>
        <v>8.86</v>
      </c>
    </row>
    <row r="5006" spans="1:3" x14ac:dyDescent="0.2">
      <c r="A5006" s="34">
        <v>38335</v>
      </c>
      <c r="B5006">
        <v>3.5261469999999999</v>
      </c>
      <c r="C5006">
        <f t="shared" si="83"/>
        <v>8.4499999999999993</v>
      </c>
    </row>
    <row r="5007" spans="1:3" x14ac:dyDescent="0.2">
      <c r="A5007" s="34">
        <v>38334</v>
      </c>
      <c r="B5007">
        <v>3.5255510000000001</v>
      </c>
      <c r="C5007">
        <f t="shared" si="83"/>
        <v>8.43</v>
      </c>
    </row>
    <row r="5008" spans="1:3" x14ac:dyDescent="0.2">
      <c r="A5008" s="34">
        <v>38333</v>
      </c>
      <c r="B5008">
        <v>3.5249549999999998</v>
      </c>
      <c r="C5008">
        <f t="shared" si="83"/>
        <v>8.41</v>
      </c>
    </row>
    <row r="5009" spans="1:3" x14ac:dyDescent="0.2">
      <c r="A5009" s="34">
        <v>38332</v>
      </c>
      <c r="B5009">
        <v>3.5243579999999999</v>
      </c>
      <c r="C5009">
        <f t="shared" si="83"/>
        <v>8.41</v>
      </c>
    </row>
    <row r="5010" spans="1:3" x14ac:dyDescent="0.2">
      <c r="A5010" s="34">
        <v>38331</v>
      </c>
      <c r="B5010">
        <v>3.5237620000000001</v>
      </c>
      <c r="C5010">
        <f t="shared" si="83"/>
        <v>8.41</v>
      </c>
    </row>
    <row r="5011" spans="1:3" x14ac:dyDescent="0.2">
      <c r="A5011" s="34">
        <v>38330</v>
      </c>
      <c r="B5011">
        <v>3.522262</v>
      </c>
      <c r="C5011">
        <f t="shared" si="83"/>
        <v>8.27</v>
      </c>
    </row>
    <row r="5012" spans="1:3" x14ac:dyDescent="0.2">
      <c r="A5012" s="34">
        <v>38329</v>
      </c>
      <c r="B5012">
        <v>3.5207630000000001</v>
      </c>
      <c r="C5012">
        <f t="shared" si="83"/>
        <v>8.2799999999999994</v>
      </c>
    </row>
    <row r="5013" spans="1:3" x14ac:dyDescent="0.2">
      <c r="A5013" s="34">
        <v>38328</v>
      </c>
      <c r="B5013">
        <v>3.5192649999999999</v>
      </c>
      <c r="C5013">
        <f t="shared" si="83"/>
        <v>8.27</v>
      </c>
    </row>
    <row r="5014" spans="1:3" x14ac:dyDescent="0.2">
      <c r="A5014" s="34">
        <v>38327</v>
      </c>
      <c r="B5014">
        <v>3.5177670000000001</v>
      </c>
      <c r="C5014">
        <f t="shared" si="83"/>
        <v>8.2799999999999994</v>
      </c>
    </row>
    <row r="5015" spans="1:3" x14ac:dyDescent="0.2">
      <c r="A5015" s="34">
        <v>38326</v>
      </c>
      <c r="B5015">
        <v>3.51627</v>
      </c>
      <c r="C5015">
        <f t="shared" si="83"/>
        <v>8.25</v>
      </c>
    </row>
    <row r="5016" spans="1:3" x14ac:dyDescent="0.2">
      <c r="A5016" s="34">
        <v>38325</v>
      </c>
      <c r="B5016">
        <v>3.5147729999999999</v>
      </c>
      <c r="C5016">
        <f t="shared" si="83"/>
        <v>8.25</v>
      </c>
    </row>
    <row r="5017" spans="1:3" x14ac:dyDescent="0.2">
      <c r="A5017" s="34">
        <v>38324</v>
      </c>
      <c r="B5017">
        <v>3.5132780000000001</v>
      </c>
      <c r="C5017">
        <f t="shared" si="83"/>
        <v>8.25</v>
      </c>
    </row>
    <row r="5018" spans="1:3" x14ac:dyDescent="0.2">
      <c r="A5018" s="34">
        <v>38323</v>
      </c>
      <c r="B5018">
        <v>3.5117820000000002</v>
      </c>
      <c r="C5018">
        <f t="shared" si="83"/>
        <v>8.2799999999999994</v>
      </c>
    </row>
    <row r="5019" spans="1:3" x14ac:dyDescent="0.2">
      <c r="A5019" s="34">
        <v>38322</v>
      </c>
      <c r="B5019">
        <v>3.5102880000000001</v>
      </c>
      <c r="C5019">
        <f t="shared" si="83"/>
        <v>8.3000000000000007</v>
      </c>
    </row>
    <row r="5020" spans="1:3" x14ac:dyDescent="0.2">
      <c r="A5020" s="34">
        <v>38321</v>
      </c>
      <c r="B5020">
        <v>3.508794</v>
      </c>
      <c r="C5020">
        <f t="shared" si="83"/>
        <v>8.25</v>
      </c>
    </row>
    <row r="5021" spans="1:3" x14ac:dyDescent="0.2">
      <c r="A5021" s="34">
        <v>38320</v>
      </c>
      <c r="B5021">
        <v>3.5072999999999999</v>
      </c>
      <c r="C5021">
        <f t="shared" si="83"/>
        <v>8.26</v>
      </c>
    </row>
    <row r="5022" spans="1:3" x14ac:dyDescent="0.2">
      <c r="A5022" s="34">
        <v>38319</v>
      </c>
      <c r="B5022">
        <v>3.505808</v>
      </c>
      <c r="C5022">
        <f t="shared" si="83"/>
        <v>8.35</v>
      </c>
    </row>
    <row r="5023" spans="1:3" x14ac:dyDescent="0.2">
      <c r="A5023" s="34">
        <v>38318</v>
      </c>
      <c r="B5023">
        <v>3.5043160000000002</v>
      </c>
      <c r="C5023">
        <f t="shared" si="83"/>
        <v>8.35</v>
      </c>
    </row>
    <row r="5024" spans="1:3" x14ac:dyDescent="0.2">
      <c r="A5024" s="34">
        <v>38317</v>
      </c>
      <c r="B5024">
        <v>3.5028239999999999</v>
      </c>
      <c r="C5024">
        <f t="shared" si="83"/>
        <v>8.35</v>
      </c>
    </row>
    <row r="5025" spans="1:3" x14ac:dyDescent="0.2">
      <c r="A5025" s="34">
        <v>38316</v>
      </c>
      <c r="B5025">
        <v>3.5013329999999998</v>
      </c>
      <c r="C5025">
        <f t="shared" si="83"/>
        <v>8.06</v>
      </c>
    </row>
    <row r="5026" spans="1:3" x14ac:dyDescent="0.2">
      <c r="A5026" s="34">
        <v>38315</v>
      </c>
      <c r="B5026">
        <v>3.5009389999999998</v>
      </c>
      <c r="C5026">
        <f t="shared" si="83"/>
        <v>8</v>
      </c>
    </row>
    <row r="5027" spans="1:3" x14ac:dyDescent="0.2">
      <c r="A5027" s="34">
        <v>38314</v>
      </c>
      <c r="B5027">
        <v>3.5005449999999998</v>
      </c>
      <c r="C5027">
        <f t="shared" si="83"/>
        <v>8.0500000000000007</v>
      </c>
    </row>
    <row r="5028" spans="1:3" x14ac:dyDescent="0.2">
      <c r="A5028" s="34">
        <v>38313</v>
      </c>
      <c r="B5028">
        <v>3.5001509999999998</v>
      </c>
      <c r="C5028">
        <f t="shared" si="83"/>
        <v>8.06</v>
      </c>
    </row>
    <row r="5029" spans="1:3" x14ac:dyDescent="0.2">
      <c r="A5029" s="34">
        <v>38312</v>
      </c>
      <c r="B5029">
        <v>3.4997579999999999</v>
      </c>
      <c r="C5029">
        <f t="shared" si="83"/>
        <v>8.0500000000000007</v>
      </c>
    </row>
    <row r="5030" spans="1:3" x14ac:dyDescent="0.2">
      <c r="A5030" s="34">
        <v>38311</v>
      </c>
      <c r="B5030">
        <v>3.4993639999999999</v>
      </c>
      <c r="C5030">
        <f t="shared" si="83"/>
        <v>8.0500000000000007</v>
      </c>
    </row>
    <row r="5031" spans="1:3" x14ac:dyDescent="0.2">
      <c r="A5031" s="34">
        <v>38310</v>
      </c>
      <c r="B5031">
        <v>3.4989699999999999</v>
      </c>
      <c r="C5031">
        <f t="shared" si="83"/>
        <v>8.0500000000000007</v>
      </c>
    </row>
    <row r="5032" spans="1:3" x14ac:dyDescent="0.2">
      <c r="A5032" s="34">
        <v>38309</v>
      </c>
      <c r="B5032">
        <v>3.4985759999999999</v>
      </c>
      <c r="C5032">
        <f t="shared" si="83"/>
        <v>8.08</v>
      </c>
    </row>
    <row r="5033" spans="1:3" x14ac:dyDescent="0.2">
      <c r="A5033" s="34">
        <v>38308</v>
      </c>
      <c r="B5033">
        <v>3.498183</v>
      </c>
      <c r="C5033">
        <f t="shared" si="83"/>
        <v>8.0500000000000007</v>
      </c>
    </row>
    <row r="5034" spans="1:3" x14ac:dyDescent="0.2">
      <c r="A5034" s="34">
        <v>38307</v>
      </c>
      <c r="B5034">
        <v>3.497789</v>
      </c>
      <c r="C5034">
        <f t="shared" si="83"/>
        <v>8</v>
      </c>
    </row>
    <row r="5035" spans="1:3" x14ac:dyDescent="0.2">
      <c r="A5035" s="34">
        <v>38306</v>
      </c>
      <c r="B5035">
        <v>3.497395</v>
      </c>
      <c r="C5035">
        <f t="shared" si="83"/>
        <v>8.0500000000000007</v>
      </c>
    </row>
    <row r="5036" spans="1:3" x14ac:dyDescent="0.2">
      <c r="A5036" s="34">
        <v>38305</v>
      </c>
      <c r="B5036">
        <v>3.4970020000000002</v>
      </c>
      <c r="C5036">
        <f t="shared" si="83"/>
        <v>8.08</v>
      </c>
    </row>
    <row r="5037" spans="1:3" x14ac:dyDescent="0.2">
      <c r="A5037" s="34">
        <v>38304</v>
      </c>
      <c r="B5037">
        <v>3.4966080000000002</v>
      </c>
      <c r="C5037">
        <f t="shared" si="83"/>
        <v>8.08</v>
      </c>
    </row>
    <row r="5038" spans="1:3" x14ac:dyDescent="0.2">
      <c r="A5038" s="34">
        <v>38303</v>
      </c>
      <c r="B5038">
        <v>3.4962149999999999</v>
      </c>
      <c r="C5038">
        <f t="shared" si="83"/>
        <v>8.08</v>
      </c>
    </row>
    <row r="5039" spans="1:3" x14ac:dyDescent="0.2">
      <c r="A5039" s="34">
        <v>38302</v>
      </c>
      <c r="B5039">
        <v>3.4958209999999998</v>
      </c>
      <c r="C5039">
        <f t="shared" si="83"/>
        <v>8.25</v>
      </c>
    </row>
    <row r="5040" spans="1:3" x14ac:dyDescent="0.2">
      <c r="A5040" s="34">
        <v>38301</v>
      </c>
      <c r="B5040">
        <v>3.495428</v>
      </c>
      <c r="C5040">
        <f t="shared" si="83"/>
        <v>7.7</v>
      </c>
    </row>
    <row r="5041" spans="1:3" x14ac:dyDescent="0.2">
      <c r="A5041" s="34">
        <v>38300</v>
      </c>
      <c r="B5041">
        <v>3.4943059999999999</v>
      </c>
      <c r="C5041">
        <f t="shared" si="83"/>
        <v>7.8</v>
      </c>
    </row>
    <row r="5042" spans="1:3" x14ac:dyDescent="0.2">
      <c r="A5042" s="34">
        <v>38299</v>
      </c>
      <c r="B5042">
        <v>3.493185</v>
      </c>
      <c r="C5042">
        <f t="shared" si="83"/>
        <v>8</v>
      </c>
    </row>
    <row r="5043" spans="1:3" x14ac:dyDescent="0.2">
      <c r="A5043" s="34">
        <v>38298</v>
      </c>
      <c r="B5043">
        <v>3.4920640000000001</v>
      </c>
      <c r="C5043">
        <f t="shared" si="83"/>
        <v>7.87</v>
      </c>
    </row>
    <row r="5044" spans="1:3" x14ac:dyDescent="0.2">
      <c r="A5044" s="34">
        <v>38297</v>
      </c>
      <c r="B5044">
        <v>3.4909430000000001</v>
      </c>
      <c r="C5044">
        <f t="shared" si="83"/>
        <v>7.87</v>
      </c>
    </row>
    <row r="5045" spans="1:3" x14ac:dyDescent="0.2">
      <c r="A5045" s="34">
        <v>38296</v>
      </c>
      <c r="B5045">
        <v>3.4898229999999999</v>
      </c>
      <c r="C5045">
        <f t="shared" si="83"/>
        <v>7.87</v>
      </c>
    </row>
    <row r="5046" spans="1:3" x14ac:dyDescent="0.2">
      <c r="A5046" s="34">
        <v>38295</v>
      </c>
      <c r="B5046">
        <v>3.4887030000000001</v>
      </c>
      <c r="C5046">
        <f t="shared" si="83"/>
        <v>7.85</v>
      </c>
    </row>
    <row r="5047" spans="1:3" x14ac:dyDescent="0.2">
      <c r="A5047" s="34">
        <v>38294</v>
      </c>
      <c r="B5047">
        <v>3.4875829999999999</v>
      </c>
      <c r="C5047">
        <f t="shared" si="83"/>
        <v>7.8</v>
      </c>
    </row>
    <row r="5048" spans="1:3" x14ac:dyDescent="0.2">
      <c r="A5048" s="34">
        <v>38293</v>
      </c>
      <c r="B5048">
        <v>3.4864639999999998</v>
      </c>
      <c r="C5048">
        <f t="shared" si="83"/>
        <v>7.8</v>
      </c>
    </row>
    <row r="5049" spans="1:3" x14ac:dyDescent="0.2">
      <c r="A5049" s="34">
        <v>38292</v>
      </c>
      <c r="B5049">
        <v>3.4853450000000001</v>
      </c>
      <c r="C5049">
        <f t="shared" si="83"/>
        <v>7.98</v>
      </c>
    </row>
    <row r="5050" spans="1:3" x14ac:dyDescent="0.2">
      <c r="A5050" s="34">
        <v>38291</v>
      </c>
      <c r="B5050">
        <v>3.484226</v>
      </c>
      <c r="C5050">
        <f t="shared" si="83"/>
        <v>7.8</v>
      </c>
    </row>
    <row r="5051" spans="1:3" x14ac:dyDescent="0.2">
      <c r="A5051" s="34">
        <v>38290</v>
      </c>
      <c r="B5051">
        <v>3.4831080000000001</v>
      </c>
      <c r="C5051">
        <f t="shared" si="83"/>
        <v>7.8</v>
      </c>
    </row>
    <row r="5052" spans="1:3" x14ac:dyDescent="0.2">
      <c r="A5052" s="34">
        <v>38289</v>
      </c>
      <c r="B5052">
        <v>3.4819900000000001</v>
      </c>
      <c r="C5052">
        <f t="shared" si="83"/>
        <v>7.8</v>
      </c>
    </row>
    <row r="5053" spans="1:3" x14ac:dyDescent="0.2">
      <c r="A5053" s="34">
        <v>38288</v>
      </c>
      <c r="B5053">
        <v>3.4808729999999999</v>
      </c>
      <c r="C5053">
        <f t="shared" si="83"/>
        <v>7.5</v>
      </c>
    </row>
    <row r="5054" spans="1:3" x14ac:dyDescent="0.2">
      <c r="A5054" s="34">
        <v>38287</v>
      </c>
      <c r="B5054">
        <v>3.4797560000000001</v>
      </c>
      <c r="C5054">
        <f t="shared" si="83"/>
        <v>7.85</v>
      </c>
    </row>
    <row r="5055" spans="1:3" x14ac:dyDescent="0.2">
      <c r="A5055" s="34">
        <v>38286</v>
      </c>
      <c r="B5055">
        <v>3.4786389999999998</v>
      </c>
      <c r="C5055">
        <f t="shared" si="83"/>
        <v>7.75</v>
      </c>
    </row>
    <row r="5056" spans="1:3" x14ac:dyDescent="0.2">
      <c r="A5056" s="34">
        <v>38285</v>
      </c>
      <c r="B5056">
        <v>3.4775230000000001</v>
      </c>
      <c r="C5056">
        <f t="shared" si="83"/>
        <v>7.8</v>
      </c>
    </row>
    <row r="5057" spans="1:3" x14ac:dyDescent="0.2">
      <c r="A5057" s="34">
        <v>38284</v>
      </c>
      <c r="B5057">
        <v>3.4770949999999998</v>
      </c>
      <c r="C5057">
        <f t="shared" si="83"/>
        <v>7.75</v>
      </c>
    </row>
    <row r="5058" spans="1:3" x14ac:dyDescent="0.2">
      <c r="A5058" s="34">
        <v>38283</v>
      </c>
      <c r="B5058">
        <v>3.476667</v>
      </c>
      <c r="C5058">
        <f t="shared" ref="C5058:C5121" si="84">IFERROR(VLOOKUP(A5058,$M$2:$N$3695,2,0),C5059)</f>
        <v>7.75</v>
      </c>
    </row>
    <row r="5059" spans="1:3" x14ac:dyDescent="0.2">
      <c r="A5059" s="34">
        <v>38282</v>
      </c>
      <c r="B5059">
        <v>3.4762400000000002</v>
      </c>
      <c r="C5059">
        <f t="shared" si="84"/>
        <v>7.75</v>
      </c>
    </row>
    <row r="5060" spans="1:3" x14ac:dyDescent="0.2">
      <c r="A5060" s="34">
        <v>38281</v>
      </c>
      <c r="B5060">
        <v>3.475813</v>
      </c>
      <c r="C5060">
        <f t="shared" si="84"/>
        <v>7.65</v>
      </c>
    </row>
    <row r="5061" spans="1:3" x14ac:dyDescent="0.2">
      <c r="A5061" s="34">
        <v>38280</v>
      </c>
      <c r="B5061">
        <v>3.4753850000000002</v>
      </c>
      <c r="C5061">
        <f t="shared" si="84"/>
        <v>7.6</v>
      </c>
    </row>
    <row r="5062" spans="1:3" x14ac:dyDescent="0.2">
      <c r="A5062" s="34">
        <v>38279</v>
      </c>
      <c r="B5062">
        <v>3.474958</v>
      </c>
      <c r="C5062">
        <f t="shared" si="84"/>
        <v>7.63</v>
      </c>
    </row>
    <row r="5063" spans="1:3" x14ac:dyDescent="0.2">
      <c r="A5063" s="34">
        <v>38278</v>
      </c>
      <c r="B5063">
        <v>3.4745309999999998</v>
      </c>
      <c r="C5063">
        <f t="shared" si="84"/>
        <v>7.64</v>
      </c>
    </row>
    <row r="5064" spans="1:3" x14ac:dyDescent="0.2">
      <c r="A5064" s="34">
        <v>38277</v>
      </c>
      <c r="B5064">
        <v>3.4741029999999999</v>
      </c>
      <c r="C5064">
        <f t="shared" si="84"/>
        <v>7.7</v>
      </c>
    </row>
    <row r="5065" spans="1:3" x14ac:dyDescent="0.2">
      <c r="A5065" s="34">
        <v>38276</v>
      </c>
      <c r="B5065">
        <v>3.4736760000000002</v>
      </c>
      <c r="C5065">
        <f t="shared" si="84"/>
        <v>7.7</v>
      </c>
    </row>
    <row r="5066" spans="1:3" x14ac:dyDescent="0.2">
      <c r="A5066" s="34">
        <v>38275</v>
      </c>
      <c r="B5066">
        <v>3.473249</v>
      </c>
      <c r="C5066">
        <f t="shared" si="84"/>
        <v>7.7</v>
      </c>
    </row>
    <row r="5067" spans="1:3" x14ac:dyDescent="0.2">
      <c r="A5067" s="34">
        <v>38274</v>
      </c>
      <c r="B5067">
        <v>3.4728219999999999</v>
      </c>
      <c r="C5067">
        <f t="shared" si="84"/>
        <v>7.6</v>
      </c>
    </row>
    <row r="5068" spans="1:3" x14ac:dyDescent="0.2">
      <c r="A5068" s="34">
        <v>38273</v>
      </c>
      <c r="B5068">
        <v>3.4723950000000001</v>
      </c>
      <c r="C5068">
        <f t="shared" si="84"/>
        <v>7.62</v>
      </c>
    </row>
    <row r="5069" spans="1:3" x14ac:dyDescent="0.2">
      <c r="A5069" s="34">
        <v>38272</v>
      </c>
      <c r="B5069">
        <v>3.4719679999999999</v>
      </c>
      <c r="C5069">
        <f t="shared" si="84"/>
        <v>7.65</v>
      </c>
    </row>
    <row r="5070" spans="1:3" x14ac:dyDescent="0.2">
      <c r="A5070" s="34">
        <v>38271</v>
      </c>
      <c r="B5070">
        <v>3.4715410000000002</v>
      </c>
      <c r="C5070">
        <f t="shared" si="84"/>
        <v>7.6</v>
      </c>
    </row>
    <row r="5071" spans="1:3" x14ac:dyDescent="0.2">
      <c r="A5071" s="34">
        <v>38270</v>
      </c>
      <c r="B5071">
        <v>3.471114</v>
      </c>
      <c r="C5071">
        <f t="shared" si="84"/>
        <v>7.6</v>
      </c>
    </row>
    <row r="5072" spans="1:3" x14ac:dyDescent="0.2">
      <c r="A5072" s="34">
        <v>38269</v>
      </c>
      <c r="B5072">
        <v>3.46984</v>
      </c>
      <c r="C5072">
        <f t="shared" si="84"/>
        <v>7.6</v>
      </c>
    </row>
    <row r="5073" spans="1:3" x14ac:dyDescent="0.2">
      <c r="A5073" s="34">
        <v>38268</v>
      </c>
      <c r="B5073">
        <v>3.468566</v>
      </c>
      <c r="C5073">
        <f t="shared" si="84"/>
        <v>7.6</v>
      </c>
    </row>
    <row r="5074" spans="1:3" x14ac:dyDescent="0.2">
      <c r="A5074" s="34">
        <v>38267</v>
      </c>
      <c r="B5074">
        <v>3.467292</v>
      </c>
      <c r="C5074">
        <f t="shared" si="84"/>
        <v>7.6</v>
      </c>
    </row>
    <row r="5075" spans="1:3" x14ac:dyDescent="0.2">
      <c r="A5075" s="34">
        <v>38266</v>
      </c>
      <c r="B5075">
        <v>3.4660190000000002</v>
      </c>
      <c r="C5075">
        <f t="shared" si="84"/>
        <v>7.62</v>
      </c>
    </row>
    <row r="5076" spans="1:3" x14ac:dyDescent="0.2">
      <c r="A5076" s="34">
        <v>38265</v>
      </c>
      <c r="B5076">
        <v>3.464747</v>
      </c>
      <c r="C5076">
        <f t="shared" si="84"/>
        <v>7.6</v>
      </c>
    </row>
    <row r="5077" spans="1:3" x14ac:dyDescent="0.2">
      <c r="A5077" s="34">
        <v>38264</v>
      </c>
      <c r="B5077">
        <v>3.4634749999999999</v>
      </c>
      <c r="C5077">
        <f t="shared" si="84"/>
        <v>7.6</v>
      </c>
    </row>
    <row r="5078" spans="1:3" x14ac:dyDescent="0.2">
      <c r="A5078" s="34">
        <v>38263</v>
      </c>
      <c r="B5078">
        <v>3.4622030000000001</v>
      </c>
      <c r="C5078">
        <f t="shared" si="84"/>
        <v>7.6</v>
      </c>
    </row>
    <row r="5079" spans="1:3" x14ac:dyDescent="0.2">
      <c r="A5079" s="34">
        <v>38262</v>
      </c>
      <c r="B5079">
        <v>3.4609320000000001</v>
      </c>
      <c r="C5079">
        <f t="shared" si="84"/>
        <v>7.6</v>
      </c>
    </row>
    <row r="5080" spans="1:3" x14ac:dyDescent="0.2">
      <c r="A5080" s="34">
        <v>38261</v>
      </c>
      <c r="B5080">
        <v>3.4596610000000001</v>
      </c>
      <c r="C5080">
        <f t="shared" si="84"/>
        <v>7.6</v>
      </c>
    </row>
    <row r="5081" spans="1:3" x14ac:dyDescent="0.2">
      <c r="A5081" s="34">
        <v>38260</v>
      </c>
      <c r="B5081">
        <v>3.4583910000000002</v>
      </c>
      <c r="C5081">
        <f t="shared" si="84"/>
        <v>7.6</v>
      </c>
    </row>
    <row r="5082" spans="1:3" x14ac:dyDescent="0.2">
      <c r="A5082" s="34">
        <v>38259</v>
      </c>
      <c r="B5082">
        <v>3.4571209999999999</v>
      </c>
      <c r="C5082">
        <f t="shared" si="84"/>
        <v>7.6</v>
      </c>
    </row>
    <row r="5083" spans="1:3" x14ac:dyDescent="0.2">
      <c r="A5083" s="34">
        <v>38258</v>
      </c>
      <c r="B5083">
        <v>3.4558520000000001</v>
      </c>
      <c r="C5083">
        <f t="shared" si="84"/>
        <v>7.61</v>
      </c>
    </row>
    <row r="5084" spans="1:3" x14ac:dyDescent="0.2">
      <c r="A5084" s="34">
        <v>38257</v>
      </c>
      <c r="B5084">
        <v>3.454583</v>
      </c>
      <c r="C5084">
        <f t="shared" si="84"/>
        <v>7.58</v>
      </c>
    </row>
    <row r="5085" spans="1:3" x14ac:dyDescent="0.2">
      <c r="A5085" s="34">
        <v>38256</v>
      </c>
      <c r="B5085">
        <v>3.4533149999999999</v>
      </c>
      <c r="C5085">
        <f t="shared" si="84"/>
        <v>7.6</v>
      </c>
    </row>
    <row r="5086" spans="1:3" x14ac:dyDescent="0.2">
      <c r="A5086" s="34">
        <v>38255</v>
      </c>
      <c r="B5086">
        <v>3.4520469999999999</v>
      </c>
      <c r="C5086">
        <f t="shared" si="84"/>
        <v>7.6</v>
      </c>
    </row>
    <row r="5087" spans="1:3" x14ac:dyDescent="0.2">
      <c r="A5087" s="34">
        <v>38254</v>
      </c>
      <c r="B5087">
        <v>3.4512160000000001</v>
      </c>
      <c r="C5087">
        <f t="shared" si="84"/>
        <v>7.6</v>
      </c>
    </row>
    <row r="5088" spans="1:3" x14ac:dyDescent="0.2">
      <c r="A5088" s="34">
        <v>38253</v>
      </c>
      <c r="B5088">
        <v>3.450386</v>
      </c>
      <c r="C5088">
        <f t="shared" si="84"/>
        <v>7.4</v>
      </c>
    </row>
    <row r="5089" spans="1:3" x14ac:dyDescent="0.2">
      <c r="A5089" s="34">
        <v>38252</v>
      </c>
      <c r="B5089">
        <v>3.4495550000000001</v>
      </c>
      <c r="C5089">
        <f t="shared" si="84"/>
        <v>7.4</v>
      </c>
    </row>
    <row r="5090" spans="1:3" x14ac:dyDescent="0.2">
      <c r="A5090" s="34">
        <v>38251</v>
      </c>
      <c r="B5090">
        <v>3.448725</v>
      </c>
      <c r="C5090">
        <f t="shared" si="84"/>
        <v>7.17</v>
      </c>
    </row>
    <row r="5091" spans="1:3" x14ac:dyDescent="0.2">
      <c r="A5091" s="34">
        <v>38250</v>
      </c>
      <c r="B5091">
        <v>3.4478949999999999</v>
      </c>
      <c r="C5091">
        <f t="shared" si="84"/>
        <v>7.15</v>
      </c>
    </row>
    <row r="5092" spans="1:3" x14ac:dyDescent="0.2">
      <c r="A5092" s="34">
        <v>38249</v>
      </c>
      <c r="B5092">
        <v>3.447066</v>
      </c>
      <c r="C5092">
        <f t="shared" si="84"/>
        <v>7.15</v>
      </c>
    </row>
    <row r="5093" spans="1:3" x14ac:dyDescent="0.2">
      <c r="A5093" s="34">
        <v>38248</v>
      </c>
      <c r="B5093">
        <v>3.4462359999999999</v>
      </c>
      <c r="C5093">
        <f t="shared" si="84"/>
        <v>7.15</v>
      </c>
    </row>
    <row r="5094" spans="1:3" x14ac:dyDescent="0.2">
      <c r="A5094" s="34">
        <v>38247</v>
      </c>
      <c r="B5094">
        <v>3.4454069999999999</v>
      </c>
      <c r="C5094">
        <f t="shared" si="84"/>
        <v>7.15</v>
      </c>
    </row>
    <row r="5095" spans="1:3" x14ac:dyDescent="0.2">
      <c r="A5095" s="34">
        <v>38246</v>
      </c>
      <c r="B5095">
        <v>3.4445779999999999</v>
      </c>
      <c r="C5095">
        <f t="shared" si="84"/>
        <v>7.15</v>
      </c>
    </row>
    <row r="5096" spans="1:3" x14ac:dyDescent="0.2">
      <c r="A5096" s="34">
        <v>38245</v>
      </c>
      <c r="B5096">
        <v>3.4437489999999999</v>
      </c>
      <c r="C5096">
        <f t="shared" si="84"/>
        <v>7.15</v>
      </c>
    </row>
    <row r="5097" spans="1:3" x14ac:dyDescent="0.2">
      <c r="A5097" s="34">
        <v>38244</v>
      </c>
      <c r="B5097">
        <v>3.44292</v>
      </c>
      <c r="C5097">
        <f t="shared" si="84"/>
        <v>7.15</v>
      </c>
    </row>
    <row r="5098" spans="1:3" x14ac:dyDescent="0.2">
      <c r="A5098" s="34">
        <v>38243</v>
      </c>
      <c r="B5098">
        <v>3.4420920000000002</v>
      </c>
      <c r="C5098">
        <f t="shared" si="84"/>
        <v>7.15</v>
      </c>
    </row>
    <row r="5099" spans="1:3" x14ac:dyDescent="0.2">
      <c r="A5099" s="34">
        <v>38242</v>
      </c>
      <c r="B5099">
        <v>3.4412630000000002</v>
      </c>
      <c r="C5099">
        <f t="shared" si="84"/>
        <v>7.16</v>
      </c>
    </row>
    <row r="5100" spans="1:3" x14ac:dyDescent="0.2">
      <c r="A5100" s="34">
        <v>38241</v>
      </c>
      <c r="B5100">
        <v>3.4404349999999999</v>
      </c>
      <c r="C5100">
        <f t="shared" si="84"/>
        <v>7.16</v>
      </c>
    </row>
    <row r="5101" spans="1:3" x14ac:dyDescent="0.2">
      <c r="A5101" s="34">
        <v>38240</v>
      </c>
      <c r="B5101">
        <v>3.4396070000000001</v>
      </c>
      <c r="C5101">
        <f t="shared" si="84"/>
        <v>7.16</v>
      </c>
    </row>
    <row r="5102" spans="1:3" x14ac:dyDescent="0.2">
      <c r="A5102" s="34">
        <v>38239</v>
      </c>
      <c r="B5102">
        <v>3.4387910000000002</v>
      </c>
      <c r="C5102">
        <f t="shared" si="84"/>
        <v>7.15</v>
      </c>
    </row>
    <row r="5103" spans="1:3" x14ac:dyDescent="0.2">
      <c r="A5103" s="34">
        <v>38238</v>
      </c>
      <c r="B5103">
        <v>3.4379749999999998</v>
      </c>
      <c r="C5103">
        <f t="shared" si="84"/>
        <v>7.15</v>
      </c>
    </row>
    <row r="5104" spans="1:3" x14ac:dyDescent="0.2">
      <c r="A5104" s="34">
        <v>38237</v>
      </c>
      <c r="B5104">
        <v>3.4371589999999999</v>
      </c>
      <c r="C5104">
        <f t="shared" si="84"/>
        <v>7.13</v>
      </c>
    </row>
    <row r="5105" spans="1:3" x14ac:dyDescent="0.2">
      <c r="A5105" s="34">
        <v>38236</v>
      </c>
      <c r="B5105">
        <v>3.4363440000000001</v>
      </c>
      <c r="C5105">
        <f t="shared" si="84"/>
        <v>7.15</v>
      </c>
    </row>
    <row r="5106" spans="1:3" x14ac:dyDescent="0.2">
      <c r="A5106" s="34">
        <v>38235</v>
      </c>
      <c r="B5106">
        <v>3.4355280000000001</v>
      </c>
      <c r="C5106">
        <f t="shared" si="84"/>
        <v>7.15</v>
      </c>
    </row>
    <row r="5107" spans="1:3" x14ac:dyDescent="0.2">
      <c r="A5107" s="34">
        <v>38234</v>
      </c>
      <c r="B5107">
        <v>3.4347129999999999</v>
      </c>
      <c r="C5107">
        <f t="shared" si="84"/>
        <v>7.15</v>
      </c>
    </row>
    <row r="5108" spans="1:3" x14ac:dyDescent="0.2">
      <c r="A5108" s="34">
        <v>38233</v>
      </c>
      <c r="B5108">
        <v>3.4338980000000001</v>
      </c>
      <c r="C5108">
        <f t="shared" si="84"/>
        <v>7.15</v>
      </c>
    </row>
    <row r="5109" spans="1:3" x14ac:dyDescent="0.2">
      <c r="A5109" s="34">
        <v>38232</v>
      </c>
      <c r="B5109">
        <v>3.4330829999999999</v>
      </c>
      <c r="C5109">
        <f t="shared" si="84"/>
        <v>7.13</v>
      </c>
    </row>
    <row r="5110" spans="1:3" x14ac:dyDescent="0.2">
      <c r="A5110" s="34">
        <v>38231</v>
      </c>
      <c r="B5110">
        <v>3.4322680000000001</v>
      </c>
      <c r="C5110">
        <f t="shared" si="84"/>
        <v>7.16</v>
      </c>
    </row>
    <row r="5111" spans="1:3" x14ac:dyDescent="0.2">
      <c r="A5111" s="34">
        <v>38230</v>
      </c>
      <c r="B5111">
        <v>3.431454</v>
      </c>
      <c r="C5111">
        <f t="shared" si="84"/>
        <v>7.15</v>
      </c>
    </row>
    <row r="5112" spans="1:3" x14ac:dyDescent="0.2">
      <c r="A5112" s="34">
        <v>38229</v>
      </c>
      <c r="B5112">
        <v>3.4306390000000002</v>
      </c>
      <c r="C5112">
        <f t="shared" si="84"/>
        <v>7.15</v>
      </c>
    </row>
    <row r="5113" spans="1:3" x14ac:dyDescent="0.2">
      <c r="A5113" s="34">
        <v>38228</v>
      </c>
      <c r="B5113">
        <v>3.4298250000000001</v>
      </c>
      <c r="C5113">
        <f t="shared" si="84"/>
        <v>7.15</v>
      </c>
    </row>
    <row r="5114" spans="1:3" x14ac:dyDescent="0.2">
      <c r="A5114" s="34">
        <v>38227</v>
      </c>
      <c r="B5114">
        <v>3.429011</v>
      </c>
      <c r="C5114">
        <f t="shared" si="84"/>
        <v>7.15</v>
      </c>
    </row>
    <row r="5115" spans="1:3" x14ac:dyDescent="0.2">
      <c r="A5115" s="34">
        <v>38226</v>
      </c>
      <c r="B5115">
        <v>3.4281980000000001</v>
      </c>
      <c r="C5115">
        <f t="shared" si="84"/>
        <v>7.15</v>
      </c>
    </row>
    <row r="5116" spans="1:3" x14ac:dyDescent="0.2">
      <c r="A5116" s="34">
        <v>38225</v>
      </c>
      <c r="B5116">
        <v>3.427384</v>
      </c>
      <c r="C5116">
        <f t="shared" si="84"/>
        <v>7.1</v>
      </c>
    </row>
    <row r="5117" spans="1:3" x14ac:dyDescent="0.2">
      <c r="A5117" s="34">
        <v>38224</v>
      </c>
      <c r="B5117">
        <v>3.426571</v>
      </c>
      <c r="C5117">
        <f t="shared" si="84"/>
        <v>7.05</v>
      </c>
    </row>
    <row r="5118" spans="1:3" x14ac:dyDescent="0.2">
      <c r="A5118" s="34">
        <v>38223</v>
      </c>
      <c r="B5118">
        <v>3.4263219999999999</v>
      </c>
      <c r="C5118">
        <f t="shared" si="84"/>
        <v>7</v>
      </c>
    </row>
    <row r="5119" spans="1:3" x14ac:dyDescent="0.2">
      <c r="A5119" s="34">
        <v>38222</v>
      </c>
      <c r="B5119">
        <v>3.426072</v>
      </c>
      <c r="C5119">
        <f t="shared" si="84"/>
        <v>7</v>
      </c>
    </row>
    <row r="5120" spans="1:3" x14ac:dyDescent="0.2">
      <c r="A5120" s="34">
        <v>38221</v>
      </c>
      <c r="B5120">
        <v>3.4258229999999998</v>
      </c>
      <c r="C5120">
        <f t="shared" si="84"/>
        <v>7.03</v>
      </c>
    </row>
    <row r="5121" spans="1:3" x14ac:dyDescent="0.2">
      <c r="A5121" s="34">
        <v>38220</v>
      </c>
      <c r="B5121">
        <v>3.4255740000000001</v>
      </c>
      <c r="C5121">
        <f t="shared" si="84"/>
        <v>7.03</v>
      </c>
    </row>
    <row r="5122" spans="1:3" x14ac:dyDescent="0.2">
      <c r="A5122" s="34">
        <v>38219</v>
      </c>
      <c r="B5122">
        <v>3.4253239999999998</v>
      </c>
      <c r="C5122">
        <f t="shared" ref="C5122:C5185" si="85">IFERROR(VLOOKUP(A5122,$M$2:$N$3695,2,0),C5123)</f>
        <v>7.03</v>
      </c>
    </row>
    <row r="5123" spans="1:3" x14ac:dyDescent="0.2">
      <c r="A5123" s="34">
        <v>38218</v>
      </c>
      <c r="B5123">
        <v>3.4250750000000001</v>
      </c>
      <c r="C5123">
        <f t="shared" si="85"/>
        <v>7</v>
      </c>
    </row>
    <row r="5124" spans="1:3" x14ac:dyDescent="0.2">
      <c r="A5124" s="34">
        <v>38217</v>
      </c>
      <c r="B5124">
        <v>3.4248259999999999</v>
      </c>
      <c r="C5124">
        <f t="shared" si="85"/>
        <v>6.9</v>
      </c>
    </row>
    <row r="5125" spans="1:3" x14ac:dyDescent="0.2">
      <c r="A5125" s="34">
        <v>38216</v>
      </c>
      <c r="B5125">
        <v>3.4245770000000002</v>
      </c>
      <c r="C5125">
        <f t="shared" si="85"/>
        <v>7</v>
      </c>
    </row>
    <row r="5126" spans="1:3" x14ac:dyDescent="0.2">
      <c r="A5126" s="34">
        <v>38215</v>
      </c>
      <c r="B5126">
        <v>3.424328</v>
      </c>
      <c r="C5126">
        <f t="shared" si="85"/>
        <v>7</v>
      </c>
    </row>
    <row r="5127" spans="1:3" x14ac:dyDescent="0.2">
      <c r="A5127" s="34">
        <v>38214</v>
      </c>
      <c r="B5127">
        <v>3.4240780000000002</v>
      </c>
      <c r="C5127">
        <f t="shared" si="85"/>
        <v>7</v>
      </c>
    </row>
    <row r="5128" spans="1:3" x14ac:dyDescent="0.2">
      <c r="A5128" s="34">
        <v>38213</v>
      </c>
      <c r="B5128">
        <v>3.423829</v>
      </c>
      <c r="C5128">
        <f t="shared" si="85"/>
        <v>7</v>
      </c>
    </row>
    <row r="5129" spans="1:3" x14ac:dyDescent="0.2">
      <c r="A5129" s="34">
        <v>38212</v>
      </c>
      <c r="B5129">
        <v>3.4235799999999998</v>
      </c>
      <c r="C5129">
        <f t="shared" si="85"/>
        <v>7</v>
      </c>
    </row>
    <row r="5130" spans="1:3" x14ac:dyDescent="0.2">
      <c r="A5130" s="34">
        <v>38211</v>
      </c>
      <c r="B5130">
        <v>3.4233310000000001</v>
      </c>
      <c r="C5130">
        <f t="shared" si="85"/>
        <v>7</v>
      </c>
    </row>
    <row r="5131" spans="1:3" x14ac:dyDescent="0.2">
      <c r="A5131" s="34">
        <v>38210</v>
      </c>
      <c r="B5131">
        <v>3.423082</v>
      </c>
      <c r="C5131">
        <f t="shared" si="85"/>
        <v>7</v>
      </c>
    </row>
    <row r="5132" spans="1:3" x14ac:dyDescent="0.2">
      <c r="A5132" s="34">
        <v>38209</v>
      </c>
      <c r="B5132">
        <v>3.4228329999999998</v>
      </c>
      <c r="C5132">
        <f t="shared" si="85"/>
        <v>6.8</v>
      </c>
    </row>
    <row r="5133" spans="1:3" x14ac:dyDescent="0.2">
      <c r="A5133" s="34">
        <v>38208</v>
      </c>
      <c r="B5133">
        <v>3.4225150000000002</v>
      </c>
      <c r="C5133">
        <f t="shared" si="85"/>
        <v>6.85</v>
      </c>
    </row>
    <row r="5134" spans="1:3" x14ac:dyDescent="0.2">
      <c r="A5134" s="34">
        <v>38207</v>
      </c>
      <c r="B5134">
        <v>3.422196</v>
      </c>
      <c r="C5134">
        <f t="shared" si="85"/>
        <v>6.95</v>
      </c>
    </row>
    <row r="5135" spans="1:3" x14ac:dyDescent="0.2">
      <c r="A5135" s="34">
        <v>38206</v>
      </c>
      <c r="B5135">
        <v>3.421878</v>
      </c>
      <c r="C5135">
        <f t="shared" si="85"/>
        <v>6.95</v>
      </c>
    </row>
    <row r="5136" spans="1:3" x14ac:dyDescent="0.2">
      <c r="A5136" s="34">
        <v>38205</v>
      </c>
      <c r="B5136">
        <v>3.4215599999999999</v>
      </c>
      <c r="C5136">
        <f t="shared" si="85"/>
        <v>6.95</v>
      </c>
    </row>
    <row r="5137" spans="1:3" x14ac:dyDescent="0.2">
      <c r="A5137" s="34">
        <v>38204</v>
      </c>
      <c r="B5137">
        <v>3.4212419999999999</v>
      </c>
      <c r="C5137">
        <f t="shared" si="85"/>
        <v>6.85</v>
      </c>
    </row>
    <row r="5138" spans="1:3" x14ac:dyDescent="0.2">
      <c r="A5138" s="34">
        <v>38203</v>
      </c>
      <c r="B5138">
        <v>3.4209239999999999</v>
      </c>
      <c r="C5138">
        <f t="shared" si="85"/>
        <v>6.82</v>
      </c>
    </row>
    <row r="5139" spans="1:3" x14ac:dyDescent="0.2">
      <c r="A5139" s="34">
        <v>38202</v>
      </c>
      <c r="B5139">
        <v>3.4206059999999998</v>
      </c>
      <c r="C5139">
        <f t="shared" si="85"/>
        <v>6.6</v>
      </c>
    </row>
    <row r="5140" spans="1:3" x14ac:dyDescent="0.2">
      <c r="A5140" s="34">
        <v>38201</v>
      </c>
      <c r="B5140">
        <v>3.4202870000000001</v>
      </c>
      <c r="C5140">
        <f t="shared" si="85"/>
        <v>6.95</v>
      </c>
    </row>
    <row r="5141" spans="1:3" x14ac:dyDescent="0.2">
      <c r="A5141" s="34">
        <v>38200</v>
      </c>
      <c r="B5141">
        <v>3.419969</v>
      </c>
      <c r="C5141">
        <f t="shared" si="85"/>
        <v>6.78</v>
      </c>
    </row>
    <row r="5142" spans="1:3" x14ac:dyDescent="0.2">
      <c r="A5142" s="34">
        <v>38199</v>
      </c>
      <c r="B5142">
        <v>3.419651</v>
      </c>
      <c r="C5142">
        <f t="shared" si="85"/>
        <v>6.78</v>
      </c>
    </row>
    <row r="5143" spans="1:3" x14ac:dyDescent="0.2">
      <c r="A5143" s="34">
        <v>38198</v>
      </c>
      <c r="B5143">
        <v>3.419333</v>
      </c>
      <c r="C5143">
        <f t="shared" si="85"/>
        <v>6.78</v>
      </c>
    </row>
    <row r="5144" spans="1:3" x14ac:dyDescent="0.2">
      <c r="A5144" s="34">
        <v>38197</v>
      </c>
      <c r="B5144">
        <v>3.4190149999999999</v>
      </c>
      <c r="C5144">
        <f t="shared" si="85"/>
        <v>6.82</v>
      </c>
    </row>
    <row r="5145" spans="1:3" x14ac:dyDescent="0.2">
      <c r="A5145" s="34">
        <v>38196</v>
      </c>
      <c r="B5145">
        <v>3.418698</v>
      </c>
      <c r="C5145">
        <f t="shared" si="85"/>
        <v>6.8</v>
      </c>
    </row>
    <row r="5146" spans="1:3" x14ac:dyDescent="0.2">
      <c r="A5146" s="34">
        <v>38195</v>
      </c>
      <c r="B5146">
        <v>3.41838</v>
      </c>
      <c r="C5146">
        <f t="shared" si="85"/>
        <v>6.75</v>
      </c>
    </row>
    <row r="5147" spans="1:3" x14ac:dyDescent="0.2">
      <c r="A5147" s="34">
        <v>38194</v>
      </c>
      <c r="B5147">
        <v>3.4180619999999999</v>
      </c>
      <c r="C5147">
        <f t="shared" si="85"/>
        <v>6.8</v>
      </c>
    </row>
    <row r="5148" spans="1:3" x14ac:dyDescent="0.2">
      <c r="A5148" s="34">
        <v>38193</v>
      </c>
      <c r="B5148">
        <v>3.4177439999999999</v>
      </c>
      <c r="C5148">
        <f t="shared" si="85"/>
        <v>6.85</v>
      </c>
    </row>
    <row r="5149" spans="1:3" x14ac:dyDescent="0.2">
      <c r="A5149" s="34">
        <v>38192</v>
      </c>
      <c r="B5149">
        <v>3.4174760000000002</v>
      </c>
      <c r="C5149">
        <f t="shared" si="85"/>
        <v>6.85</v>
      </c>
    </row>
    <row r="5150" spans="1:3" x14ac:dyDescent="0.2">
      <c r="A5150" s="34">
        <v>38191</v>
      </c>
      <c r="B5150">
        <v>3.417208</v>
      </c>
      <c r="C5150">
        <f t="shared" si="85"/>
        <v>6.85</v>
      </c>
    </row>
    <row r="5151" spans="1:3" x14ac:dyDescent="0.2">
      <c r="A5151" s="34">
        <v>38190</v>
      </c>
      <c r="B5151">
        <v>3.4169390000000002</v>
      </c>
      <c r="C5151">
        <f t="shared" si="85"/>
        <v>6.7</v>
      </c>
    </row>
    <row r="5152" spans="1:3" x14ac:dyDescent="0.2">
      <c r="A5152" s="34">
        <v>38189</v>
      </c>
      <c r="B5152">
        <v>3.416671</v>
      </c>
      <c r="C5152">
        <f t="shared" si="85"/>
        <v>6.65</v>
      </c>
    </row>
    <row r="5153" spans="1:3" x14ac:dyDescent="0.2">
      <c r="A5153" s="34">
        <v>38188</v>
      </c>
      <c r="B5153">
        <v>3.4164029999999999</v>
      </c>
      <c r="C5153">
        <f t="shared" si="85"/>
        <v>6.65</v>
      </c>
    </row>
    <row r="5154" spans="1:3" x14ac:dyDescent="0.2">
      <c r="A5154" s="34">
        <v>38187</v>
      </c>
      <c r="B5154">
        <v>3.4161350000000001</v>
      </c>
      <c r="C5154">
        <f t="shared" si="85"/>
        <v>6.65</v>
      </c>
    </row>
    <row r="5155" spans="1:3" x14ac:dyDescent="0.2">
      <c r="A5155" s="34">
        <v>38186</v>
      </c>
      <c r="B5155">
        <v>3.415867</v>
      </c>
      <c r="C5155">
        <f t="shared" si="85"/>
        <v>6.65</v>
      </c>
    </row>
    <row r="5156" spans="1:3" x14ac:dyDescent="0.2">
      <c r="A5156" s="34">
        <v>38185</v>
      </c>
      <c r="B5156">
        <v>3.4155989999999998</v>
      </c>
      <c r="C5156">
        <f t="shared" si="85"/>
        <v>6.65</v>
      </c>
    </row>
    <row r="5157" spans="1:3" x14ac:dyDescent="0.2">
      <c r="A5157" s="34">
        <v>38184</v>
      </c>
      <c r="B5157">
        <v>3.4153310000000001</v>
      </c>
      <c r="C5157">
        <f t="shared" si="85"/>
        <v>6.65</v>
      </c>
    </row>
    <row r="5158" spans="1:3" x14ac:dyDescent="0.2">
      <c r="A5158" s="34">
        <v>38183</v>
      </c>
      <c r="B5158">
        <v>3.415063</v>
      </c>
      <c r="C5158">
        <f t="shared" si="85"/>
        <v>6.6</v>
      </c>
    </row>
    <row r="5159" spans="1:3" x14ac:dyDescent="0.2">
      <c r="A5159" s="34">
        <v>38182</v>
      </c>
      <c r="B5159">
        <v>3.4147949999999998</v>
      </c>
      <c r="C5159">
        <f t="shared" si="85"/>
        <v>6.65</v>
      </c>
    </row>
    <row r="5160" spans="1:3" x14ac:dyDescent="0.2">
      <c r="A5160" s="34">
        <v>38181</v>
      </c>
      <c r="B5160">
        <v>3.4145270000000001</v>
      </c>
      <c r="C5160">
        <f t="shared" si="85"/>
        <v>6.65</v>
      </c>
    </row>
    <row r="5161" spans="1:3" x14ac:dyDescent="0.2">
      <c r="A5161" s="34">
        <v>38180</v>
      </c>
      <c r="B5161">
        <v>3.4142589999999999</v>
      </c>
      <c r="C5161">
        <f t="shared" si="85"/>
        <v>6.65</v>
      </c>
    </row>
    <row r="5162" spans="1:3" x14ac:dyDescent="0.2">
      <c r="A5162" s="34">
        <v>38179</v>
      </c>
      <c r="B5162">
        <v>3.4139910000000002</v>
      </c>
      <c r="C5162">
        <f t="shared" si="85"/>
        <v>6.65</v>
      </c>
    </row>
    <row r="5163" spans="1:3" x14ac:dyDescent="0.2">
      <c r="A5163" s="34">
        <v>38178</v>
      </c>
      <c r="B5163">
        <v>3.4137230000000001</v>
      </c>
      <c r="C5163">
        <f t="shared" si="85"/>
        <v>6.65</v>
      </c>
    </row>
    <row r="5164" spans="1:3" x14ac:dyDescent="0.2">
      <c r="A5164" s="34">
        <v>38177</v>
      </c>
      <c r="B5164">
        <v>3.4135140000000002</v>
      </c>
      <c r="C5164">
        <f t="shared" si="85"/>
        <v>6.65</v>
      </c>
    </row>
    <row r="5165" spans="1:3" x14ac:dyDescent="0.2">
      <c r="A5165" s="34">
        <v>38176</v>
      </c>
      <c r="B5165">
        <v>3.4133040000000001</v>
      </c>
      <c r="C5165">
        <f t="shared" si="85"/>
        <v>6.6</v>
      </c>
    </row>
    <row r="5166" spans="1:3" x14ac:dyDescent="0.2">
      <c r="A5166" s="34">
        <v>38175</v>
      </c>
      <c r="B5166">
        <v>3.4130950000000002</v>
      </c>
      <c r="C5166">
        <f t="shared" si="85"/>
        <v>6.6</v>
      </c>
    </row>
    <row r="5167" spans="1:3" x14ac:dyDescent="0.2">
      <c r="A5167" s="34">
        <v>38174</v>
      </c>
      <c r="B5167">
        <v>3.4128850000000002</v>
      </c>
      <c r="C5167">
        <f t="shared" si="85"/>
        <v>6.6</v>
      </c>
    </row>
    <row r="5168" spans="1:3" x14ac:dyDescent="0.2">
      <c r="A5168" s="34">
        <v>38173</v>
      </c>
      <c r="B5168">
        <v>3.4126759999999998</v>
      </c>
      <c r="C5168">
        <f t="shared" si="85"/>
        <v>6.6</v>
      </c>
    </row>
    <row r="5169" spans="1:3" x14ac:dyDescent="0.2">
      <c r="A5169" s="34">
        <v>38172</v>
      </c>
      <c r="B5169">
        <v>3.4124660000000002</v>
      </c>
      <c r="C5169">
        <f t="shared" si="85"/>
        <v>6.6</v>
      </c>
    </row>
    <row r="5170" spans="1:3" x14ac:dyDescent="0.2">
      <c r="A5170" s="34">
        <v>38171</v>
      </c>
      <c r="B5170">
        <v>3.4122569999999999</v>
      </c>
      <c r="C5170">
        <f t="shared" si="85"/>
        <v>6.6</v>
      </c>
    </row>
    <row r="5171" spans="1:3" x14ac:dyDescent="0.2">
      <c r="A5171" s="34">
        <v>38170</v>
      </c>
      <c r="B5171">
        <v>3.4120469999999998</v>
      </c>
      <c r="C5171">
        <f t="shared" si="85"/>
        <v>6.6</v>
      </c>
    </row>
    <row r="5172" spans="1:3" x14ac:dyDescent="0.2">
      <c r="A5172" s="34">
        <v>38169</v>
      </c>
      <c r="B5172">
        <v>3.4118379999999999</v>
      </c>
      <c r="C5172">
        <f t="shared" si="85"/>
        <v>6.65</v>
      </c>
    </row>
    <row r="5173" spans="1:3" x14ac:dyDescent="0.2">
      <c r="A5173" s="34">
        <v>38168</v>
      </c>
      <c r="B5173">
        <v>3.411629</v>
      </c>
      <c r="C5173">
        <f t="shared" si="85"/>
        <v>6.48</v>
      </c>
    </row>
    <row r="5174" spans="1:3" x14ac:dyDescent="0.2">
      <c r="A5174" s="34">
        <v>38167</v>
      </c>
      <c r="B5174">
        <v>3.411419</v>
      </c>
      <c r="C5174">
        <f t="shared" si="85"/>
        <v>6.34</v>
      </c>
    </row>
    <row r="5175" spans="1:3" x14ac:dyDescent="0.2">
      <c r="A5175" s="34">
        <v>38166</v>
      </c>
      <c r="B5175">
        <v>3.4112100000000001</v>
      </c>
      <c r="C5175">
        <f t="shared" si="85"/>
        <v>6.37</v>
      </c>
    </row>
    <row r="5176" spans="1:3" x14ac:dyDescent="0.2">
      <c r="A5176" s="34">
        <v>38165</v>
      </c>
      <c r="B5176">
        <v>3.4110010000000002</v>
      </c>
      <c r="C5176">
        <f t="shared" si="85"/>
        <v>6.3</v>
      </c>
    </row>
    <row r="5177" spans="1:3" x14ac:dyDescent="0.2">
      <c r="A5177" s="34">
        <v>38164</v>
      </c>
      <c r="B5177">
        <v>3.4107910000000001</v>
      </c>
      <c r="C5177">
        <f t="shared" si="85"/>
        <v>6.3</v>
      </c>
    </row>
    <row r="5178" spans="1:3" x14ac:dyDescent="0.2">
      <c r="A5178" s="34">
        <v>38163</v>
      </c>
      <c r="B5178">
        <v>3.4105819999999998</v>
      </c>
      <c r="C5178">
        <f t="shared" si="85"/>
        <v>6.3</v>
      </c>
    </row>
    <row r="5179" spans="1:3" x14ac:dyDescent="0.2">
      <c r="A5179" s="34">
        <v>38162</v>
      </c>
      <c r="B5179">
        <v>3.410542</v>
      </c>
      <c r="C5179">
        <f t="shared" si="85"/>
        <v>6.35</v>
      </c>
    </row>
    <row r="5180" spans="1:3" x14ac:dyDescent="0.2">
      <c r="A5180" s="34">
        <v>38161</v>
      </c>
      <c r="B5180">
        <v>3.4105020000000001</v>
      </c>
      <c r="C5180">
        <f t="shared" si="85"/>
        <v>6.35</v>
      </c>
    </row>
    <row r="5181" spans="1:3" x14ac:dyDescent="0.2">
      <c r="A5181" s="34">
        <v>38160</v>
      </c>
      <c r="B5181">
        <v>3.4104619999999999</v>
      </c>
      <c r="C5181">
        <f t="shared" si="85"/>
        <v>6.35</v>
      </c>
    </row>
    <row r="5182" spans="1:3" x14ac:dyDescent="0.2">
      <c r="A5182" s="34">
        <v>38159</v>
      </c>
      <c r="B5182">
        <v>3.4104230000000002</v>
      </c>
      <c r="C5182">
        <f t="shared" si="85"/>
        <v>6.35</v>
      </c>
    </row>
    <row r="5183" spans="1:3" x14ac:dyDescent="0.2">
      <c r="A5183" s="34">
        <v>38158</v>
      </c>
      <c r="B5183">
        <v>3.4103829999999999</v>
      </c>
      <c r="C5183">
        <f t="shared" si="85"/>
        <v>6.35</v>
      </c>
    </row>
    <row r="5184" spans="1:3" x14ac:dyDescent="0.2">
      <c r="A5184" s="34">
        <v>38157</v>
      </c>
      <c r="B5184">
        <v>3.4103430000000001</v>
      </c>
      <c r="C5184">
        <f t="shared" si="85"/>
        <v>6.35</v>
      </c>
    </row>
    <row r="5185" spans="1:3" x14ac:dyDescent="0.2">
      <c r="A5185" s="34">
        <v>38156</v>
      </c>
      <c r="B5185">
        <v>3.4103029999999999</v>
      </c>
      <c r="C5185">
        <f t="shared" si="85"/>
        <v>6.35</v>
      </c>
    </row>
    <row r="5186" spans="1:3" x14ac:dyDescent="0.2">
      <c r="A5186" s="34">
        <v>38155</v>
      </c>
      <c r="B5186">
        <v>3.4102640000000002</v>
      </c>
      <c r="C5186">
        <f t="shared" ref="C5186:C5249" si="86">IFERROR(VLOOKUP(A5186,$M$2:$N$3695,2,0),C5187)</f>
        <v>6.35</v>
      </c>
    </row>
    <row r="5187" spans="1:3" x14ac:dyDescent="0.2">
      <c r="A5187" s="34">
        <v>38154</v>
      </c>
      <c r="B5187">
        <v>3.4102239999999999</v>
      </c>
      <c r="C5187">
        <f t="shared" si="86"/>
        <v>6.33</v>
      </c>
    </row>
    <row r="5188" spans="1:3" x14ac:dyDescent="0.2">
      <c r="A5188" s="34">
        <v>38153</v>
      </c>
      <c r="B5188">
        <v>3.4101840000000001</v>
      </c>
      <c r="C5188">
        <f t="shared" si="86"/>
        <v>6.35</v>
      </c>
    </row>
    <row r="5189" spans="1:3" x14ac:dyDescent="0.2">
      <c r="A5189" s="34">
        <v>38152</v>
      </c>
      <c r="B5189">
        <v>3.4101439999999998</v>
      </c>
      <c r="C5189">
        <f t="shared" si="86"/>
        <v>6.35</v>
      </c>
    </row>
    <row r="5190" spans="1:3" x14ac:dyDescent="0.2">
      <c r="A5190" s="34">
        <v>38151</v>
      </c>
      <c r="B5190">
        <v>3.410104</v>
      </c>
      <c r="C5190">
        <f t="shared" si="86"/>
        <v>6.36</v>
      </c>
    </row>
    <row r="5191" spans="1:3" x14ac:dyDescent="0.2">
      <c r="A5191" s="34">
        <v>38150</v>
      </c>
      <c r="B5191">
        <v>3.4100649999999999</v>
      </c>
      <c r="C5191">
        <f t="shared" si="86"/>
        <v>6.36</v>
      </c>
    </row>
    <row r="5192" spans="1:3" x14ac:dyDescent="0.2">
      <c r="A5192" s="34">
        <v>38149</v>
      </c>
      <c r="B5192">
        <v>3.4100250000000001</v>
      </c>
      <c r="C5192">
        <f t="shared" si="86"/>
        <v>6.36</v>
      </c>
    </row>
    <row r="5193" spans="1:3" x14ac:dyDescent="0.2">
      <c r="A5193" s="34">
        <v>38148</v>
      </c>
      <c r="B5193">
        <v>3.4099849999999998</v>
      </c>
      <c r="C5193">
        <f t="shared" si="86"/>
        <v>6.35</v>
      </c>
    </row>
    <row r="5194" spans="1:3" x14ac:dyDescent="0.2">
      <c r="A5194" s="34">
        <v>38147</v>
      </c>
      <c r="B5194">
        <v>3.4107829999999999</v>
      </c>
      <c r="C5194">
        <f t="shared" si="86"/>
        <v>6.32</v>
      </c>
    </row>
    <row r="5195" spans="1:3" x14ac:dyDescent="0.2">
      <c r="A5195" s="34">
        <v>38146</v>
      </c>
      <c r="B5195">
        <v>3.411581</v>
      </c>
      <c r="C5195">
        <f t="shared" si="86"/>
        <v>6.35</v>
      </c>
    </row>
    <row r="5196" spans="1:3" x14ac:dyDescent="0.2">
      <c r="A5196" s="34">
        <v>38145</v>
      </c>
      <c r="B5196">
        <v>3.4123790000000001</v>
      </c>
      <c r="C5196">
        <f t="shared" si="86"/>
        <v>6.35</v>
      </c>
    </row>
    <row r="5197" spans="1:3" x14ac:dyDescent="0.2">
      <c r="A5197" s="34">
        <v>38144</v>
      </c>
      <c r="B5197">
        <v>3.4131770000000001</v>
      </c>
      <c r="C5197">
        <f t="shared" si="86"/>
        <v>6.35</v>
      </c>
    </row>
    <row r="5198" spans="1:3" x14ac:dyDescent="0.2">
      <c r="A5198" s="34">
        <v>38143</v>
      </c>
      <c r="B5198">
        <v>3.4139750000000002</v>
      </c>
      <c r="C5198">
        <f t="shared" si="86"/>
        <v>6.35</v>
      </c>
    </row>
    <row r="5199" spans="1:3" x14ac:dyDescent="0.2">
      <c r="A5199" s="34">
        <v>38142</v>
      </c>
      <c r="B5199">
        <v>3.414774</v>
      </c>
      <c r="C5199">
        <f t="shared" si="86"/>
        <v>6.35</v>
      </c>
    </row>
    <row r="5200" spans="1:3" x14ac:dyDescent="0.2">
      <c r="A5200" s="34">
        <v>38141</v>
      </c>
      <c r="B5200">
        <v>3.4155730000000002</v>
      </c>
      <c r="C5200">
        <f t="shared" si="86"/>
        <v>6.35</v>
      </c>
    </row>
    <row r="5201" spans="1:3" x14ac:dyDescent="0.2">
      <c r="A5201" s="34">
        <v>38140</v>
      </c>
      <c r="B5201">
        <v>3.416372</v>
      </c>
      <c r="C5201">
        <f t="shared" si="86"/>
        <v>6.35</v>
      </c>
    </row>
    <row r="5202" spans="1:3" x14ac:dyDescent="0.2">
      <c r="A5202" s="34">
        <v>38139</v>
      </c>
      <c r="B5202">
        <v>3.4171710000000002</v>
      </c>
      <c r="C5202">
        <f t="shared" si="86"/>
        <v>6.35</v>
      </c>
    </row>
    <row r="5203" spans="1:3" x14ac:dyDescent="0.2">
      <c r="A5203" s="34">
        <v>38138</v>
      </c>
      <c r="B5203">
        <v>3.41797</v>
      </c>
      <c r="C5203">
        <f t="shared" si="86"/>
        <v>6.35</v>
      </c>
    </row>
    <row r="5204" spans="1:3" x14ac:dyDescent="0.2">
      <c r="A5204" s="34">
        <v>38137</v>
      </c>
      <c r="B5204">
        <v>3.4187699999999999</v>
      </c>
      <c r="C5204">
        <f t="shared" si="86"/>
        <v>6.36</v>
      </c>
    </row>
    <row r="5205" spans="1:3" x14ac:dyDescent="0.2">
      <c r="A5205" s="34">
        <v>38136</v>
      </c>
      <c r="B5205">
        <v>3.4195690000000001</v>
      </c>
      <c r="C5205">
        <f t="shared" si="86"/>
        <v>6.36</v>
      </c>
    </row>
    <row r="5206" spans="1:3" x14ac:dyDescent="0.2">
      <c r="A5206" s="34">
        <v>38135</v>
      </c>
      <c r="B5206">
        <v>3.420369</v>
      </c>
      <c r="C5206">
        <f t="shared" si="86"/>
        <v>6.36</v>
      </c>
    </row>
    <row r="5207" spans="1:3" x14ac:dyDescent="0.2">
      <c r="A5207" s="34">
        <v>38134</v>
      </c>
      <c r="B5207">
        <v>3.4211689999999999</v>
      </c>
      <c r="C5207">
        <f t="shared" si="86"/>
        <v>6.35</v>
      </c>
    </row>
    <row r="5208" spans="1:3" x14ac:dyDescent="0.2">
      <c r="A5208" s="34">
        <v>38133</v>
      </c>
      <c r="B5208">
        <v>3.42197</v>
      </c>
      <c r="C5208">
        <f t="shared" si="86"/>
        <v>6.35</v>
      </c>
    </row>
    <row r="5209" spans="1:3" x14ac:dyDescent="0.2">
      <c r="A5209" s="34">
        <v>38132</v>
      </c>
      <c r="B5209">
        <v>3.4227699999999999</v>
      </c>
      <c r="C5209">
        <f t="shared" si="86"/>
        <v>6.3</v>
      </c>
    </row>
    <row r="5210" spans="1:3" x14ac:dyDescent="0.2">
      <c r="A5210" s="34">
        <v>38131</v>
      </c>
      <c r="B5210">
        <v>3.4222440000000001</v>
      </c>
      <c r="C5210">
        <f t="shared" si="86"/>
        <v>6.5</v>
      </c>
    </row>
    <row r="5211" spans="1:3" x14ac:dyDescent="0.2">
      <c r="A5211" s="34">
        <v>38130</v>
      </c>
      <c r="B5211">
        <v>3.4217179999999998</v>
      </c>
      <c r="C5211">
        <f t="shared" si="86"/>
        <v>6.5</v>
      </c>
    </row>
    <row r="5212" spans="1:3" x14ac:dyDescent="0.2">
      <c r="A5212" s="34">
        <v>38129</v>
      </c>
      <c r="B5212">
        <v>3.421192</v>
      </c>
      <c r="C5212">
        <f t="shared" si="86"/>
        <v>6.5</v>
      </c>
    </row>
    <row r="5213" spans="1:3" x14ac:dyDescent="0.2">
      <c r="A5213" s="34">
        <v>38128</v>
      </c>
      <c r="B5213">
        <v>3.4206660000000002</v>
      </c>
      <c r="C5213">
        <f t="shared" si="86"/>
        <v>6.5</v>
      </c>
    </row>
    <row r="5214" spans="1:3" x14ac:dyDescent="0.2">
      <c r="A5214" s="34">
        <v>38127</v>
      </c>
      <c r="B5214">
        <v>3.42014</v>
      </c>
      <c r="C5214">
        <f t="shared" si="86"/>
        <v>6.5</v>
      </c>
    </row>
    <row r="5215" spans="1:3" x14ac:dyDescent="0.2">
      <c r="A5215" s="34">
        <v>38126</v>
      </c>
      <c r="B5215">
        <v>3.4196140000000002</v>
      </c>
      <c r="C5215">
        <f t="shared" si="86"/>
        <v>6.5</v>
      </c>
    </row>
    <row r="5216" spans="1:3" x14ac:dyDescent="0.2">
      <c r="A5216" s="34">
        <v>38125</v>
      </c>
      <c r="B5216">
        <v>3.4190879999999999</v>
      </c>
      <c r="C5216">
        <f t="shared" si="86"/>
        <v>6.5</v>
      </c>
    </row>
    <row r="5217" spans="1:3" x14ac:dyDescent="0.2">
      <c r="A5217" s="34">
        <v>38124</v>
      </c>
      <c r="B5217">
        <v>3.4185629999999998</v>
      </c>
      <c r="C5217">
        <f t="shared" si="86"/>
        <v>6.55</v>
      </c>
    </row>
    <row r="5218" spans="1:3" x14ac:dyDescent="0.2">
      <c r="A5218" s="34">
        <v>38123</v>
      </c>
      <c r="B5218">
        <v>3.418037</v>
      </c>
      <c r="C5218">
        <f t="shared" si="86"/>
        <v>6.5</v>
      </c>
    </row>
    <row r="5219" spans="1:3" x14ac:dyDescent="0.2">
      <c r="A5219" s="34">
        <v>38122</v>
      </c>
      <c r="B5219">
        <v>3.4175119999999999</v>
      </c>
      <c r="C5219">
        <f t="shared" si="86"/>
        <v>6.5</v>
      </c>
    </row>
    <row r="5220" spans="1:3" x14ac:dyDescent="0.2">
      <c r="A5220" s="34">
        <v>38121</v>
      </c>
      <c r="B5220">
        <v>3.4169860000000001</v>
      </c>
      <c r="C5220">
        <f t="shared" si="86"/>
        <v>6.5</v>
      </c>
    </row>
    <row r="5221" spans="1:3" x14ac:dyDescent="0.2">
      <c r="A5221" s="34">
        <v>38120</v>
      </c>
      <c r="B5221">
        <v>3.416461</v>
      </c>
      <c r="C5221">
        <f t="shared" si="86"/>
        <v>6.5</v>
      </c>
    </row>
    <row r="5222" spans="1:3" x14ac:dyDescent="0.2">
      <c r="A5222" s="34">
        <v>38119</v>
      </c>
      <c r="B5222">
        <v>3.4159359999999999</v>
      </c>
      <c r="C5222">
        <f t="shared" si="86"/>
        <v>6.5</v>
      </c>
    </row>
    <row r="5223" spans="1:3" x14ac:dyDescent="0.2">
      <c r="A5223" s="34">
        <v>38118</v>
      </c>
      <c r="B5223">
        <v>3.4154100000000001</v>
      </c>
      <c r="C5223">
        <f t="shared" si="86"/>
        <v>6.5</v>
      </c>
    </row>
    <row r="5224" spans="1:3" x14ac:dyDescent="0.2">
      <c r="A5224" s="34">
        <v>38117</v>
      </c>
      <c r="B5224">
        <v>3.4148849999999999</v>
      </c>
      <c r="C5224">
        <f t="shared" si="86"/>
        <v>6.5</v>
      </c>
    </row>
    <row r="5225" spans="1:3" x14ac:dyDescent="0.2">
      <c r="A5225" s="34">
        <v>38116</v>
      </c>
      <c r="B5225">
        <v>3.414892</v>
      </c>
      <c r="C5225">
        <f t="shared" si="86"/>
        <v>6.3</v>
      </c>
    </row>
    <row r="5226" spans="1:3" x14ac:dyDescent="0.2">
      <c r="A5226" s="34">
        <v>38115</v>
      </c>
      <c r="B5226">
        <v>3.414898</v>
      </c>
      <c r="C5226">
        <f t="shared" si="86"/>
        <v>6.3</v>
      </c>
    </row>
    <row r="5227" spans="1:3" x14ac:dyDescent="0.2">
      <c r="A5227" s="34">
        <v>38114</v>
      </c>
      <c r="B5227">
        <v>3.4149039999999999</v>
      </c>
      <c r="C5227">
        <f t="shared" si="86"/>
        <v>6.3</v>
      </c>
    </row>
    <row r="5228" spans="1:3" x14ac:dyDescent="0.2">
      <c r="A5228" s="34">
        <v>38113</v>
      </c>
      <c r="B5228">
        <v>3.414911</v>
      </c>
      <c r="C5228">
        <f t="shared" si="86"/>
        <v>6.1</v>
      </c>
    </row>
    <row r="5229" spans="1:3" x14ac:dyDescent="0.2">
      <c r="A5229" s="34">
        <v>38112</v>
      </c>
      <c r="B5229">
        <v>3.414917</v>
      </c>
      <c r="C5229">
        <f t="shared" si="86"/>
        <v>6.1</v>
      </c>
    </row>
    <row r="5230" spans="1:3" x14ac:dyDescent="0.2">
      <c r="A5230" s="34">
        <v>38111</v>
      </c>
      <c r="B5230">
        <v>3.4149229999999999</v>
      </c>
      <c r="C5230">
        <f t="shared" si="86"/>
        <v>6.25</v>
      </c>
    </row>
    <row r="5231" spans="1:3" x14ac:dyDescent="0.2">
      <c r="A5231" s="34">
        <v>38110</v>
      </c>
      <c r="B5231">
        <v>3.4149289999999999</v>
      </c>
      <c r="C5231">
        <f t="shared" si="86"/>
        <v>6.2</v>
      </c>
    </row>
    <row r="5232" spans="1:3" x14ac:dyDescent="0.2">
      <c r="A5232" s="34">
        <v>38109</v>
      </c>
      <c r="B5232">
        <v>3.414936</v>
      </c>
      <c r="C5232">
        <f t="shared" si="86"/>
        <v>6.25</v>
      </c>
    </row>
    <row r="5233" spans="1:3" x14ac:dyDescent="0.2">
      <c r="A5233" s="34">
        <v>38108</v>
      </c>
      <c r="B5233">
        <v>3.4149419999999999</v>
      </c>
      <c r="C5233">
        <f t="shared" si="86"/>
        <v>6.25</v>
      </c>
    </row>
    <row r="5234" spans="1:3" x14ac:dyDescent="0.2">
      <c r="A5234" s="34">
        <v>38107</v>
      </c>
      <c r="B5234">
        <v>3.4149479999999999</v>
      </c>
      <c r="C5234">
        <f t="shared" si="86"/>
        <v>6.25</v>
      </c>
    </row>
    <row r="5235" spans="1:3" x14ac:dyDescent="0.2">
      <c r="A5235" s="34">
        <v>38106</v>
      </c>
      <c r="B5235">
        <v>3.414955</v>
      </c>
      <c r="C5235">
        <f t="shared" si="86"/>
        <v>6.1</v>
      </c>
    </row>
    <row r="5236" spans="1:3" x14ac:dyDescent="0.2">
      <c r="A5236" s="34">
        <v>38105</v>
      </c>
      <c r="B5236">
        <v>3.4149609999999999</v>
      </c>
      <c r="C5236">
        <f t="shared" si="86"/>
        <v>6</v>
      </c>
    </row>
    <row r="5237" spans="1:3" x14ac:dyDescent="0.2">
      <c r="A5237" s="34">
        <v>38104</v>
      </c>
      <c r="B5237">
        <v>3.4149669999999999</v>
      </c>
      <c r="C5237">
        <f t="shared" si="86"/>
        <v>5.55</v>
      </c>
    </row>
    <row r="5238" spans="1:3" x14ac:dyDescent="0.2">
      <c r="A5238" s="34">
        <v>38103</v>
      </c>
      <c r="B5238">
        <v>3.4149729999999998</v>
      </c>
      <c r="C5238">
        <f t="shared" si="86"/>
        <v>5.47</v>
      </c>
    </row>
    <row r="5239" spans="1:3" x14ac:dyDescent="0.2">
      <c r="A5239" s="34">
        <v>38102</v>
      </c>
      <c r="B5239">
        <v>3.4149799999999999</v>
      </c>
      <c r="C5239">
        <f t="shared" si="86"/>
        <v>5.65</v>
      </c>
    </row>
    <row r="5240" spans="1:3" x14ac:dyDescent="0.2">
      <c r="A5240" s="34">
        <v>38101</v>
      </c>
      <c r="B5240">
        <v>3.4148100000000001</v>
      </c>
      <c r="C5240">
        <f t="shared" si="86"/>
        <v>5.65</v>
      </c>
    </row>
    <row r="5241" spans="1:3" x14ac:dyDescent="0.2">
      <c r="A5241" s="34">
        <v>38100</v>
      </c>
      <c r="B5241">
        <v>3.4146399999999999</v>
      </c>
      <c r="C5241">
        <f t="shared" si="86"/>
        <v>5.65</v>
      </c>
    </row>
    <row r="5242" spans="1:3" x14ac:dyDescent="0.2">
      <c r="A5242" s="34">
        <v>38099</v>
      </c>
      <c r="B5242">
        <v>3.4144709999999998</v>
      </c>
      <c r="C5242">
        <f t="shared" si="86"/>
        <v>6</v>
      </c>
    </row>
    <row r="5243" spans="1:3" x14ac:dyDescent="0.2">
      <c r="A5243" s="34">
        <v>38098</v>
      </c>
      <c r="B5243">
        <v>3.414301</v>
      </c>
      <c r="C5243">
        <f t="shared" si="86"/>
        <v>6</v>
      </c>
    </row>
    <row r="5244" spans="1:3" x14ac:dyDescent="0.2">
      <c r="A5244" s="34">
        <v>38097</v>
      </c>
      <c r="B5244">
        <v>3.4141309999999998</v>
      </c>
      <c r="C5244">
        <f t="shared" si="86"/>
        <v>5.92</v>
      </c>
    </row>
    <row r="5245" spans="1:3" x14ac:dyDescent="0.2">
      <c r="A5245" s="34">
        <v>38096</v>
      </c>
      <c r="B5245">
        <v>3.4139620000000002</v>
      </c>
      <c r="C5245">
        <f t="shared" si="86"/>
        <v>5.97</v>
      </c>
    </row>
    <row r="5246" spans="1:3" x14ac:dyDescent="0.2">
      <c r="A5246" s="34">
        <v>38095</v>
      </c>
      <c r="B5246">
        <v>3.4137919999999999</v>
      </c>
      <c r="C5246">
        <f t="shared" si="86"/>
        <v>6.1</v>
      </c>
    </row>
    <row r="5247" spans="1:3" x14ac:dyDescent="0.2">
      <c r="A5247" s="34">
        <v>38094</v>
      </c>
      <c r="B5247">
        <v>3.4136220000000002</v>
      </c>
      <c r="C5247">
        <f t="shared" si="86"/>
        <v>6.1</v>
      </c>
    </row>
    <row r="5248" spans="1:3" x14ac:dyDescent="0.2">
      <c r="A5248" s="34">
        <v>38093</v>
      </c>
      <c r="B5248">
        <v>3.4134530000000001</v>
      </c>
      <c r="C5248">
        <f t="shared" si="86"/>
        <v>6.1</v>
      </c>
    </row>
    <row r="5249" spans="1:3" x14ac:dyDescent="0.2">
      <c r="A5249" s="34">
        <v>38092</v>
      </c>
      <c r="B5249">
        <v>3.4132829999999998</v>
      </c>
      <c r="C5249">
        <f t="shared" si="86"/>
        <v>5.98</v>
      </c>
    </row>
    <row r="5250" spans="1:3" x14ac:dyDescent="0.2">
      <c r="A5250" s="34">
        <v>38091</v>
      </c>
      <c r="B5250">
        <v>3.4131140000000002</v>
      </c>
      <c r="C5250">
        <f t="shared" ref="C5250:C5313" si="87">IFERROR(VLOOKUP(A5250,$M$2:$N$3695,2,0),C5251)</f>
        <v>6</v>
      </c>
    </row>
    <row r="5251" spans="1:3" x14ac:dyDescent="0.2">
      <c r="A5251" s="34">
        <v>38090</v>
      </c>
      <c r="B5251">
        <v>3.412944</v>
      </c>
      <c r="C5251">
        <f t="shared" si="87"/>
        <v>5.85</v>
      </c>
    </row>
    <row r="5252" spans="1:3" x14ac:dyDescent="0.2">
      <c r="A5252" s="34">
        <v>38089</v>
      </c>
      <c r="B5252">
        <v>3.4127740000000002</v>
      </c>
      <c r="C5252">
        <f t="shared" si="87"/>
        <v>5.85</v>
      </c>
    </row>
    <row r="5253" spans="1:3" x14ac:dyDescent="0.2">
      <c r="A5253" s="34">
        <v>38088</v>
      </c>
      <c r="B5253">
        <v>3.4126050000000001</v>
      </c>
      <c r="C5253">
        <f t="shared" si="87"/>
        <v>5.89</v>
      </c>
    </row>
    <row r="5254" spans="1:3" x14ac:dyDescent="0.2">
      <c r="A5254" s="34">
        <v>38087</v>
      </c>
      <c r="B5254">
        <v>3.4124349999999999</v>
      </c>
      <c r="C5254">
        <f t="shared" si="87"/>
        <v>5.89</v>
      </c>
    </row>
    <row r="5255" spans="1:3" x14ac:dyDescent="0.2">
      <c r="A5255" s="34">
        <v>38086</v>
      </c>
      <c r="B5255">
        <v>3.412042</v>
      </c>
      <c r="C5255">
        <f t="shared" si="87"/>
        <v>5.89</v>
      </c>
    </row>
    <row r="5256" spans="1:3" x14ac:dyDescent="0.2">
      <c r="A5256" s="34">
        <v>38085</v>
      </c>
      <c r="B5256">
        <v>3.4116490000000002</v>
      </c>
      <c r="C5256">
        <f t="shared" si="87"/>
        <v>5.89</v>
      </c>
    </row>
    <row r="5257" spans="1:3" x14ac:dyDescent="0.2">
      <c r="A5257" s="34">
        <v>38084</v>
      </c>
      <c r="B5257">
        <v>3.4112559999999998</v>
      </c>
      <c r="C5257">
        <f t="shared" si="87"/>
        <v>5.89</v>
      </c>
    </row>
    <row r="5258" spans="1:3" x14ac:dyDescent="0.2">
      <c r="A5258" s="34">
        <v>38083</v>
      </c>
      <c r="B5258">
        <v>3.410863</v>
      </c>
      <c r="C5258">
        <f t="shared" si="87"/>
        <v>6.08</v>
      </c>
    </row>
    <row r="5259" spans="1:3" x14ac:dyDescent="0.2">
      <c r="A5259" s="34">
        <v>38082</v>
      </c>
      <c r="B5259">
        <v>3.4104709999999998</v>
      </c>
      <c r="C5259">
        <f t="shared" si="87"/>
        <v>6.12</v>
      </c>
    </row>
    <row r="5260" spans="1:3" x14ac:dyDescent="0.2">
      <c r="A5260" s="34">
        <v>38081</v>
      </c>
      <c r="B5260">
        <v>3.4100779999999999</v>
      </c>
      <c r="C5260">
        <f t="shared" si="87"/>
        <v>6.1</v>
      </c>
    </row>
    <row r="5261" spans="1:3" x14ac:dyDescent="0.2">
      <c r="A5261" s="34">
        <v>38080</v>
      </c>
      <c r="B5261">
        <v>3.4096850000000001</v>
      </c>
      <c r="C5261">
        <f t="shared" si="87"/>
        <v>6.1</v>
      </c>
    </row>
    <row r="5262" spans="1:3" x14ac:dyDescent="0.2">
      <c r="A5262" s="34">
        <v>38079</v>
      </c>
      <c r="B5262">
        <v>3.4092920000000002</v>
      </c>
      <c r="C5262">
        <f t="shared" si="87"/>
        <v>6.1</v>
      </c>
    </row>
    <row r="5263" spans="1:3" x14ac:dyDescent="0.2">
      <c r="A5263" s="34">
        <v>38078</v>
      </c>
      <c r="B5263">
        <v>3.4089</v>
      </c>
      <c r="C5263">
        <f t="shared" si="87"/>
        <v>6.05</v>
      </c>
    </row>
    <row r="5264" spans="1:3" x14ac:dyDescent="0.2">
      <c r="A5264" s="34">
        <v>38077</v>
      </c>
      <c r="B5264">
        <v>3.4085070000000002</v>
      </c>
      <c r="C5264">
        <f t="shared" si="87"/>
        <v>6.12</v>
      </c>
    </row>
    <row r="5265" spans="1:3" x14ac:dyDescent="0.2">
      <c r="A5265" s="34">
        <v>38076</v>
      </c>
      <c r="B5265">
        <v>3.408115</v>
      </c>
      <c r="C5265">
        <f t="shared" si="87"/>
        <v>6.25</v>
      </c>
    </row>
    <row r="5266" spans="1:3" x14ac:dyDescent="0.2">
      <c r="A5266" s="34">
        <v>38075</v>
      </c>
      <c r="B5266">
        <v>3.4077220000000001</v>
      </c>
      <c r="C5266">
        <f t="shared" si="87"/>
        <v>6.1</v>
      </c>
    </row>
    <row r="5267" spans="1:3" x14ac:dyDescent="0.2">
      <c r="A5267" s="34">
        <v>38074</v>
      </c>
      <c r="B5267">
        <v>3.40733</v>
      </c>
      <c r="C5267">
        <f t="shared" si="87"/>
        <v>6.05</v>
      </c>
    </row>
    <row r="5268" spans="1:3" x14ac:dyDescent="0.2">
      <c r="A5268" s="34">
        <v>38073</v>
      </c>
      <c r="B5268">
        <v>3.4069370000000001</v>
      </c>
      <c r="C5268">
        <f t="shared" si="87"/>
        <v>6.05</v>
      </c>
    </row>
    <row r="5269" spans="1:3" x14ac:dyDescent="0.2">
      <c r="A5269" s="34">
        <v>38072</v>
      </c>
      <c r="B5269">
        <v>3.4065449999999999</v>
      </c>
      <c r="C5269">
        <f t="shared" si="87"/>
        <v>6.05</v>
      </c>
    </row>
    <row r="5270" spans="1:3" x14ac:dyDescent="0.2">
      <c r="A5270" s="34">
        <v>38071</v>
      </c>
      <c r="B5270">
        <v>3.4061530000000002</v>
      </c>
      <c r="C5270">
        <f t="shared" si="87"/>
        <v>6.25</v>
      </c>
    </row>
    <row r="5271" spans="1:3" x14ac:dyDescent="0.2">
      <c r="A5271" s="34">
        <v>38070</v>
      </c>
      <c r="B5271">
        <v>3.4056199999999999</v>
      </c>
      <c r="C5271">
        <f t="shared" si="87"/>
        <v>6.35</v>
      </c>
    </row>
    <row r="5272" spans="1:3" x14ac:dyDescent="0.2">
      <c r="A5272" s="34">
        <v>38069</v>
      </c>
      <c r="B5272">
        <v>3.4050880000000001</v>
      </c>
      <c r="C5272">
        <f t="shared" si="87"/>
        <v>6.4</v>
      </c>
    </row>
    <row r="5273" spans="1:3" x14ac:dyDescent="0.2">
      <c r="A5273" s="34">
        <v>38068</v>
      </c>
      <c r="B5273">
        <v>3.4045550000000002</v>
      </c>
      <c r="C5273">
        <f t="shared" si="87"/>
        <v>6.55</v>
      </c>
    </row>
    <row r="5274" spans="1:3" x14ac:dyDescent="0.2">
      <c r="A5274" s="34">
        <v>38067</v>
      </c>
      <c r="B5274">
        <v>3.404023</v>
      </c>
      <c r="C5274">
        <f t="shared" si="87"/>
        <v>6.4</v>
      </c>
    </row>
    <row r="5275" spans="1:3" x14ac:dyDescent="0.2">
      <c r="A5275" s="34">
        <v>38066</v>
      </c>
      <c r="B5275">
        <v>3.4034909999999998</v>
      </c>
      <c r="C5275">
        <f t="shared" si="87"/>
        <v>6.4</v>
      </c>
    </row>
    <row r="5276" spans="1:3" x14ac:dyDescent="0.2">
      <c r="A5276" s="34">
        <v>38065</v>
      </c>
      <c r="B5276">
        <v>3.4029590000000001</v>
      </c>
      <c r="C5276">
        <f t="shared" si="87"/>
        <v>6.4</v>
      </c>
    </row>
    <row r="5277" spans="1:3" x14ac:dyDescent="0.2">
      <c r="A5277" s="34">
        <v>38064</v>
      </c>
      <c r="B5277">
        <v>3.4024269999999999</v>
      </c>
      <c r="C5277">
        <f t="shared" si="87"/>
        <v>6.6</v>
      </c>
    </row>
    <row r="5278" spans="1:3" x14ac:dyDescent="0.2">
      <c r="A5278" s="34">
        <v>38063</v>
      </c>
      <c r="B5278">
        <v>3.4018950000000001</v>
      </c>
      <c r="C5278">
        <f t="shared" si="87"/>
        <v>6.67</v>
      </c>
    </row>
    <row r="5279" spans="1:3" x14ac:dyDescent="0.2">
      <c r="A5279" s="34">
        <v>38062</v>
      </c>
      <c r="B5279">
        <v>3.4013629999999999</v>
      </c>
      <c r="C5279">
        <f t="shared" si="87"/>
        <v>6.65</v>
      </c>
    </row>
    <row r="5280" spans="1:3" x14ac:dyDescent="0.2">
      <c r="A5280" s="34">
        <v>38061</v>
      </c>
      <c r="B5280">
        <v>3.4008310000000002</v>
      </c>
      <c r="C5280">
        <f t="shared" si="87"/>
        <v>6.55</v>
      </c>
    </row>
    <row r="5281" spans="1:3" x14ac:dyDescent="0.2">
      <c r="A5281" s="34">
        <v>38060</v>
      </c>
      <c r="B5281">
        <v>3.4003000000000001</v>
      </c>
      <c r="C5281">
        <f t="shared" si="87"/>
        <v>6.6</v>
      </c>
    </row>
    <row r="5282" spans="1:3" x14ac:dyDescent="0.2">
      <c r="A5282" s="34">
        <v>38059</v>
      </c>
      <c r="B5282">
        <v>3.3997679999999999</v>
      </c>
      <c r="C5282">
        <f t="shared" si="87"/>
        <v>6.6</v>
      </c>
    </row>
    <row r="5283" spans="1:3" x14ac:dyDescent="0.2">
      <c r="A5283" s="34">
        <v>38058</v>
      </c>
      <c r="B5283">
        <v>3.3992369999999998</v>
      </c>
      <c r="C5283">
        <f t="shared" si="87"/>
        <v>6.6</v>
      </c>
    </row>
    <row r="5284" spans="1:3" x14ac:dyDescent="0.2">
      <c r="A5284" s="34">
        <v>38057</v>
      </c>
      <c r="B5284">
        <v>3.3987050000000001</v>
      </c>
      <c r="C5284">
        <f t="shared" si="87"/>
        <v>6.35</v>
      </c>
    </row>
    <row r="5285" spans="1:3" x14ac:dyDescent="0.2">
      <c r="A5285" s="34">
        <v>38056</v>
      </c>
      <c r="B5285">
        <v>3.398174</v>
      </c>
      <c r="C5285">
        <f t="shared" si="87"/>
        <v>6.15</v>
      </c>
    </row>
    <row r="5286" spans="1:3" x14ac:dyDescent="0.2">
      <c r="A5286" s="34">
        <v>38055</v>
      </c>
      <c r="B5286">
        <v>3.3973990000000001</v>
      </c>
      <c r="C5286">
        <f t="shared" si="87"/>
        <v>6.2</v>
      </c>
    </row>
    <row r="5287" spans="1:3" x14ac:dyDescent="0.2">
      <c r="A5287" s="34">
        <v>38054</v>
      </c>
      <c r="B5287">
        <v>3.3966229999999999</v>
      </c>
      <c r="C5287">
        <f t="shared" si="87"/>
        <v>6.1</v>
      </c>
    </row>
    <row r="5288" spans="1:3" x14ac:dyDescent="0.2">
      <c r="A5288" s="34">
        <v>38053</v>
      </c>
      <c r="B5288">
        <v>3.3958490000000001</v>
      </c>
      <c r="C5288">
        <f t="shared" si="87"/>
        <v>6.34</v>
      </c>
    </row>
    <row r="5289" spans="1:3" x14ac:dyDescent="0.2">
      <c r="A5289" s="34">
        <v>38052</v>
      </c>
      <c r="B5289">
        <v>3.3950740000000001</v>
      </c>
      <c r="C5289">
        <f t="shared" si="87"/>
        <v>6.34</v>
      </c>
    </row>
    <row r="5290" spans="1:3" x14ac:dyDescent="0.2">
      <c r="A5290" s="34">
        <v>38051</v>
      </c>
      <c r="B5290">
        <v>3.3942990000000002</v>
      </c>
      <c r="C5290">
        <f t="shared" si="87"/>
        <v>6.34</v>
      </c>
    </row>
    <row r="5291" spans="1:3" x14ac:dyDescent="0.2">
      <c r="A5291" s="34">
        <v>38050</v>
      </c>
      <c r="B5291">
        <v>3.3935249999999999</v>
      </c>
      <c r="C5291">
        <f t="shared" si="87"/>
        <v>6.6</v>
      </c>
    </row>
    <row r="5292" spans="1:3" x14ac:dyDescent="0.2">
      <c r="A5292" s="34">
        <v>38049</v>
      </c>
      <c r="B5292">
        <v>3.3927510000000001</v>
      </c>
      <c r="C5292">
        <f t="shared" si="87"/>
        <v>6.35</v>
      </c>
    </row>
    <row r="5293" spans="1:3" x14ac:dyDescent="0.2">
      <c r="A5293" s="34">
        <v>38048</v>
      </c>
      <c r="B5293">
        <v>3.3919769999999998</v>
      </c>
      <c r="C5293">
        <f t="shared" si="87"/>
        <v>6.6</v>
      </c>
    </row>
    <row r="5294" spans="1:3" x14ac:dyDescent="0.2">
      <c r="A5294" s="34">
        <v>38047</v>
      </c>
      <c r="B5294">
        <v>3.391203</v>
      </c>
      <c r="C5294">
        <f t="shared" si="87"/>
        <v>6.63</v>
      </c>
    </row>
    <row r="5295" spans="1:3" x14ac:dyDescent="0.2">
      <c r="A5295" s="34">
        <v>38046</v>
      </c>
      <c r="B5295">
        <v>3.3904290000000001</v>
      </c>
      <c r="C5295">
        <f t="shared" si="87"/>
        <v>6.7</v>
      </c>
    </row>
    <row r="5296" spans="1:3" x14ac:dyDescent="0.2">
      <c r="A5296" s="34">
        <v>38045</v>
      </c>
      <c r="B5296">
        <v>3.389656</v>
      </c>
      <c r="C5296">
        <f t="shared" si="87"/>
        <v>6.7</v>
      </c>
    </row>
    <row r="5297" spans="1:3" x14ac:dyDescent="0.2">
      <c r="A5297" s="34">
        <v>38044</v>
      </c>
      <c r="B5297">
        <v>3.3888820000000002</v>
      </c>
      <c r="C5297">
        <f t="shared" si="87"/>
        <v>6.7</v>
      </c>
    </row>
    <row r="5298" spans="1:3" x14ac:dyDescent="0.2">
      <c r="A5298" s="34">
        <v>38043</v>
      </c>
      <c r="B5298">
        <v>3.388109</v>
      </c>
      <c r="C5298">
        <f t="shared" si="87"/>
        <v>6.7</v>
      </c>
    </row>
    <row r="5299" spans="1:3" x14ac:dyDescent="0.2">
      <c r="A5299" s="34">
        <v>38042</v>
      </c>
      <c r="B5299">
        <v>3.3873359999999999</v>
      </c>
      <c r="C5299">
        <f t="shared" si="87"/>
        <v>6.75</v>
      </c>
    </row>
    <row r="5300" spans="1:3" x14ac:dyDescent="0.2">
      <c r="A5300" s="34">
        <v>38041</v>
      </c>
      <c r="B5300">
        <v>3.3866149999999999</v>
      </c>
      <c r="C5300">
        <f t="shared" si="87"/>
        <v>6.25</v>
      </c>
    </row>
    <row r="5301" spans="1:3" x14ac:dyDescent="0.2">
      <c r="A5301" s="34">
        <v>38040</v>
      </c>
      <c r="B5301">
        <v>3.385894</v>
      </c>
      <c r="C5301">
        <f t="shared" si="87"/>
        <v>6</v>
      </c>
    </row>
    <row r="5302" spans="1:3" x14ac:dyDescent="0.2">
      <c r="A5302" s="34">
        <v>38039</v>
      </c>
      <c r="B5302">
        <v>3.3851719999999998</v>
      </c>
      <c r="C5302">
        <f t="shared" si="87"/>
        <v>6</v>
      </c>
    </row>
    <row r="5303" spans="1:3" x14ac:dyDescent="0.2">
      <c r="A5303" s="34">
        <v>38038</v>
      </c>
      <c r="B5303">
        <v>3.3844509999999999</v>
      </c>
      <c r="C5303">
        <f t="shared" si="87"/>
        <v>6</v>
      </c>
    </row>
    <row r="5304" spans="1:3" x14ac:dyDescent="0.2">
      <c r="A5304" s="34">
        <v>38037</v>
      </c>
      <c r="B5304">
        <v>3.383731</v>
      </c>
      <c r="C5304">
        <f t="shared" si="87"/>
        <v>6</v>
      </c>
    </row>
    <row r="5305" spans="1:3" x14ac:dyDescent="0.2">
      <c r="A5305" s="34">
        <v>38036</v>
      </c>
      <c r="B5305">
        <v>3.3830100000000001</v>
      </c>
      <c r="C5305">
        <f t="shared" si="87"/>
        <v>5.4</v>
      </c>
    </row>
    <row r="5306" spans="1:3" x14ac:dyDescent="0.2">
      <c r="A5306" s="34">
        <v>38035</v>
      </c>
      <c r="B5306">
        <v>3.3822890000000001</v>
      </c>
      <c r="C5306">
        <f t="shared" si="87"/>
        <v>5.4</v>
      </c>
    </row>
    <row r="5307" spans="1:3" x14ac:dyDescent="0.2">
      <c r="A5307" s="34">
        <v>38034</v>
      </c>
      <c r="B5307">
        <v>3.3815689999999998</v>
      </c>
      <c r="C5307">
        <f t="shared" si="87"/>
        <v>5.45</v>
      </c>
    </row>
    <row r="5308" spans="1:3" x14ac:dyDescent="0.2">
      <c r="A5308" s="34">
        <v>38033</v>
      </c>
      <c r="B5308">
        <v>3.380849</v>
      </c>
      <c r="C5308">
        <f t="shared" si="87"/>
        <v>5.35</v>
      </c>
    </row>
    <row r="5309" spans="1:3" x14ac:dyDescent="0.2">
      <c r="A5309" s="34">
        <v>38032</v>
      </c>
      <c r="B5309">
        <v>3.3801290000000002</v>
      </c>
      <c r="C5309">
        <f t="shared" si="87"/>
        <v>5.35</v>
      </c>
    </row>
    <row r="5310" spans="1:3" x14ac:dyDescent="0.2">
      <c r="A5310" s="34">
        <v>38031</v>
      </c>
      <c r="B5310">
        <v>3.3794089999999999</v>
      </c>
      <c r="C5310">
        <f t="shared" si="87"/>
        <v>5.35</v>
      </c>
    </row>
    <row r="5311" spans="1:3" x14ac:dyDescent="0.2">
      <c r="A5311" s="34">
        <v>38030</v>
      </c>
      <c r="B5311">
        <v>3.3786890000000001</v>
      </c>
      <c r="C5311">
        <f t="shared" si="87"/>
        <v>5.35</v>
      </c>
    </row>
    <row r="5312" spans="1:3" x14ac:dyDescent="0.2">
      <c r="A5312" s="34">
        <v>38029</v>
      </c>
      <c r="B5312">
        <v>3.3779690000000002</v>
      </c>
      <c r="C5312">
        <f t="shared" si="87"/>
        <v>5.47</v>
      </c>
    </row>
    <row r="5313" spans="1:3" x14ac:dyDescent="0.2">
      <c r="A5313" s="34">
        <v>38028</v>
      </c>
      <c r="B5313">
        <v>3.3772500000000001</v>
      </c>
      <c r="C5313">
        <f t="shared" si="87"/>
        <v>5.5</v>
      </c>
    </row>
    <row r="5314" spans="1:3" x14ac:dyDescent="0.2">
      <c r="A5314" s="34">
        <v>38027</v>
      </c>
      <c r="B5314">
        <v>3.3765299999999998</v>
      </c>
      <c r="C5314">
        <f t="shared" ref="C5314:C5377" si="88">IFERROR(VLOOKUP(A5314,$M$2:$N$3695,2,0),C5315)</f>
        <v>5.5</v>
      </c>
    </row>
    <row r="5315" spans="1:3" x14ac:dyDescent="0.2">
      <c r="A5315" s="34">
        <v>38026</v>
      </c>
      <c r="B5315">
        <v>3.3758360000000001</v>
      </c>
      <c r="C5315">
        <f t="shared" si="88"/>
        <v>5.15</v>
      </c>
    </row>
    <row r="5316" spans="1:3" x14ac:dyDescent="0.2">
      <c r="A5316" s="34">
        <v>38025</v>
      </c>
      <c r="B5316">
        <v>3.3751419999999999</v>
      </c>
      <c r="C5316">
        <f t="shared" si="88"/>
        <v>5.35</v>
      </c>
    </row>
    <row r="5317" spans="1:3" x14ac:dyDescent="0.2">
      <c r="A5317" s="34">
        <v>38024</v>
      </c>
      <c r="B5317">
        <v>3.3744480000000001</v>
      </c>
      <c r="C5317">
        <f t="shared" si="88"/>
        <v>5.35</v>
      </c>
    </row>
    <row r="5318" spans="1:3" x14ac:dyDescent="0.2">
      <c r="A5318" s="34">
        <v>38023</v>
      </c>
      <c r="B5318">
        <v>3.3737550000000001</v>
      </c>
      <c r="C5318">
        <f t="shared" si="88"/>
        <v>5.35</v>
      </c>
    </row>
    <row r="5319" spans="1:3" x14ac:dyDescent="0.2">
      <c r="A5319" s="34">
        <v>38022</v>
      </c>
      <c r="B5319">
        <v>3.3730609999999999</v>
      </c>
      <c r="C5319">
        <f t="shared" si="88"/>
        <v>5.18</v>
      </c>
    </row>
    <row r="5320" spans="1:3" x14ac:dyDescent="0.2">
      <c r="A5320" s="34">
        <v>38021</v>
      </c>
      <c r="B5320">
        <v>3.3723679999999998</v>
      </c>
      <c r="C5320">
        <f t="shared" si="88"/>
        <v>5.18</v>
      </c>
    </row>
    <row r="5321" spans="1:3" x14ac:dyDescent="0.2">
      <c r="A5321" s="34">
        <v>38020</v>
      </c>
      <c r="B5321">
        <v>3.3716750000000002</v>
      </c>
      <c r="C5321">
        <f t="shared" si="88"/>
        <v>5.05</v>
      </c>
    </row>
    <row r="5322" spans="1:3" x14ac:dyDescent="0.2">
      <c r="A5322" s="34">
        <v>38019</v>
      </c>
      <c r="B5322">
        <v>3.370981</v>
      </c>
      <c r="C5322">
        <f t="shared" si="88"/>
        <v>4.9000000000000004</v>
      </c>
    </row>
    <row r="5323" spans="1:3" x14ac:dyDescent="0.2">
      <c r="A5323" s="34">
        <v>38018</v>
      </c>
      <c r="B5323">
        <v>3.370288</v>
      </c>
      <c r="C5323">
        <f t="shared" si="88"/>
        <v>5.2</v>
      </c>
    </row>
    <row r="5324" spans="1:3" x14ac:dyDescent="0.2">
      <c r="A5324" s="34">
        <v>38017</v>
      </c>
      <c r="B5324">
        <v>3.369596</v>
      </c>
      <c r="C5324">
        <f t="shared" si="88"/>
        <v>5.2</v>
      </c>
    </row>
    <row r="5325" spans="1:3" x14ac:dyDescent="0.2">
      <c r="A5325" s="34">
        <v>38016</v>
      </c>
      <c r="B5325">
        <v>3.368903</v>
      </c>
      <c r="C5325">
        <f t="shared" si="88"/>
        <v>5.2</v>
      </c>
    </row>
    <row r="5326" spans="1:3" x14ac:dyDescent="0.2">
      <c r="A5326" s="34">
        <v>38015</v>
      </c>
      <c r="B5326">
        <v>3.3682099999999999</v>
      </c>
      <c r="C5326">
        <f t="shared" si="88"/>
        <v>5</v>
      </c>
    </row>
    <row r="5327" spans="1:3" x14ac:dyDescent="0.2">
      <c r="A5327" s="34">
        <v>38014</v>
      </c>
      <c r="B5327">
        <v>3.367518</v>
      </c>
      <c r="C5327">
        <f t="shared" si="88"/>
        <v>4.8</v>
      </c>
    </row>
    <row r="5328" spans="1:3" x14ac:dyDescent="0.2">
      <c r="A5328" s="34">
        <v>38013</v>
      </c>
      <c r="B5328">
        <v>3.3668260000000001</v>
      </c>
      <c r="C5328">
        <f t="shared" si="88"/>
        <v>4.8</v>
      </c>
    </row>
    <row r="5329" spans="1:3" x14ac:dyDescent="0.2">
      <c r="A5329" s="34">
        <v>38012</v>
      </c>
      <c r="B5329">
        <v>3.3661340000000002</v>
      </c>
      <c r="C5329">
        <f t="shared" si="88"/>
        <v>4.8499999999999996</v>
      </c>
    </row>
    <row r="5330" spans="1:3" x14ac:dyDescent="0.2">
      <c r="A5330" s="34">
        <v>38011</v>
      </c>
      <c r="B5330">
        <v>3.3654419999999998</v>
      </c>
      <c r="C5330">
        <f t="shared" si="88"/>
        <v>5.2</v>
      </c>
    </row>
    <row r="5331" spans="1:3" x14ac:dyDescent="0.2">
      <c r="A5331" s="34">
        <v>38010</v>
      </c>
      <c r="B5331">
        <v>3.3648570000000002</v>
      </c>
      <c r="C5331">
        <f t="shared" si="88"/>
        <v>5.2</v>
      </c>
    </row>
    <row r="5332" spans="1:3" x14ac:dyDescent="0.2">
      <c r="A5332" s="34">
        <v>38009</v>
      </c>
      <c r="B5332">
        <v>3.3642720000000002</v>
      </c>
      <c r="C5332">
        <f t="shared" si="88"/>
        <v>5.2</v>
      </c>
    </row>
    <row r="5333" spans="1:3" x14ac:dyDescent="0.2">
      <c r="A5333" s="34">
        <v>38008</v>
      </c>
      <c r="B5333">
        <v>3.3636870000000001</v>
      </c>
      <c r="C5333">
        <f t="shared" si="88"/>
        <v>4.9000000000000004</v>
      </c>
    </row>
    <row r="5334" spans="1:3" x14ac:dyDescent="0.2">
      <c r="A5334" s="34">
        <v>38007</v>
      </c>
      <c r="B5334">
        <v>3.363102</v>
      </c>
      <c r="C5334">
        <f t="shared" si="88"/>
        <v>4.76</v>
      </c>
    </row>
    <row r="5335" spans="1:3" x14ac:dyDescent="0.2">
      <c r="A5335" s="34">
        <v>38006</v>
      </c>
      <c r="B5335">
        <v>3.3625180000000001</v>
      </c>
      <c r="C5335">
        <f t="shared" si="88"/>
        <v>4.72</v>
      </c>
    </row>
    <row r="5336" spans="1:3" x14ac:dyDescent="0.2">
      <c r="A5336" s="34">
        <v>38005</v>
      </c>
      <c r="B5336">
        <v>3.3619330000000001</v>
      </c>
      <c r="C5336">
        <f t="shared" si="88"/>
        <v>4.7</v>
      </c>
    </row>
    <row r="5337" spans="1:3" x14ac:dyDescent="0.2">
      <c r="A5337" s="34">
        <v>38004</v>
      </c>
      <c r="B5337">
        <v>3.3613490000000001</v>
      </c>
      <c r="C5337">
        <f t="shared" si="88"/>
        <v>4.8</v>
      </c>
    </row>
    <row r="5338" spans="1:3" x14ac:dyDescent="0.2">
      <c r="A5338" s="34">
        <v>38003</v>
      </c>
      <c r="B5338">
        <v>3.3607649999999998</v>
      </c>
      <c r="C5338">
        <f t="shared" si="88"/>
        <v>4.8</v>
      </c>
    </row>
    <row r="5339" spans="1:3" x14ac:dyDescent="0.2">
      <c r="A5339" s="34">
        <v>38002</v>
      </c>
      <c r="B5339">
        <v>3.3601800000000002</v>
      </c>
      <c r="C5339">
        <f t="shared" si="88"/>
        <v>4.8</v>
      </c>
    </row>
    <row r="5340" spans="1:3" x14ac:dyDescent="0.2">
      <c r="A5340" s="34">
        <v>38001</v>
      </c>
      <c r="B5340">
        <v>3.3595959999999998</v>
      </c>
      <c r="C5340">
        <f t="shared" si="88"/>
        <v>4.8</v>
      </c>
    </row>
    <row r="5341" spans="1:3" x14ac:dyDescent="0.2">
      <c r="A5341" s="34">
        <v>38000</v>
      </c>
      <c r="B5341">
        <v>3.3590119999999999</v>
      </c>
      <c r="C5341">
        <f t="shared" si="88"/>
        <v>4.8</v>
      </c>
    </row>
    <row r="5342" spans="1:3" x14ac:dyDescent="0.2">
      <c r="A5342" s="34">
        <v>37999</v>
      </c>
      <c r="B5342">
        <v>3.358428</v>
      </c>
      <c r="C5342">
        <f t="shared" si="88"/>
        <v>4.8499999999999996</v>
      </c>
    </row>
    <row r="5343" spans="1:3" x14ac:dyDescent="0.2">
      <c r="A5343" s="34">
        <v>37998</v>
      </c>
      <c r="B5343">
        <v>3.3578450000000002</v>
      </c>
      <c r="C5343">
        <f t="shared" si="88"/>
        <v>5.05</v>
      </c>
    </row>
    <row r="5344" spans="1:3" x14ac:dyDescent="0.2">
      <c r="A5344" s="34">
        <v>37997</v>
      </c>
      <c r="B5344">
        <v>3.3572609999999998</v>
      </c>
      <c r="C5344">
        <f t="shared" si="88"/>
        <v>5.15</v>
      </c>
    </row>
    <row r="5345" spans="1:3" x14ac:dyDescent="0.2">
      <c r="A5345" s="34">
        <v>37996</v>
      </c>
      <c r="B5345">
        <v>3.3566769999999999</v>
      </c>
      <c r="C5345">
        <f t="shared" si="88"/>
        <v>5.15</v>
      </c>
    </row>
    <row r="5346" spans="1:3" x14ac:dyDescent="0.2">
      <c r="A5346" s="34">
        <v>37995</v>
      </c>
      <c r="B5346">
        <v>3.3562099999999999</v>
      </c>
      <c r="C5346">
        <f t="shared" si="88"/>
        <v>5.15</v>
      </c>
    </row>
    <row r="5347" spans="1:3" x14ac:dyDescent="0.2">
      <c r="A5347" s="34">
        <v>37994</v>
      </c>
      <c r="B5347">
        <v>3.3557419999999998</v>
      </c>
      <c r="C5347">
        <f t="shared" si="88"/>
        <v>4.9000000000000004</v>
      </c>
    </row>
    <row r="5348" spans="1:3" x14ac:dyDescent="0.2">
      <c r="A5348" s="34">
        <v>37993</v>
      </c>
      <c r="B5348">
        <v>3.3552740000000001</v>
      </c>
      <c r="C5348">
        <f t="shared" si="88"/>
        <v>5.32</v>
      </c>
    </row>
    <row r="5349" spans="1:3" x14ac:dyDescent="0.2">
      <c r="A5349" s="34">
        <v>37992</v>
      </c>
      <c r="B5349">
        <v>3.3548070000000001</v>
      </c>
      <c r="C5349">
        <f t="shared" si="88"/>
        <v>5.65</v>
      </c>
    </row>
    <row r="5350" spans="1:3" x14ac:dyDescent="0.2">
      <c r="A5350" s="34">
        <v>37991</v>
      </c>
      <c r="B5350">
        <v>3.354339</v>
      </c>
      <c r="C5350">
        <f t="shared" si="88"/>
        <v>5.8</v>
      </c>
    </row>
    <row r="5351" spans="1:3" x14ac:dyDescent="0.2">
      <c r="A5351" s="34">
        <v>37990</v>
      </c>
      <c r="B5351">
        <v>3.353872</v>
      </c>
      <c r="C5351">
        <f t="shared" si="88"/>
        <v>6.1</v>
      </c>
    </row>
    <row r="5352" spans="1:3" x14ac:dyDescent="0.2">
      <c r="A5352" s="34">
        <v>37989</v>
      </c>
      <c r="B5352">
        <v>3.353405</v>
      </c>
      <c r="C5352">
        <f t="shared" si="88"/>
        <v>6.1</v>
      </c>
    </row>
    <row r="5353" spans="1:3" x14ac:dyDescent="0.2">
      <c r="A5353" s="34">
        <v>37988</v>
      </c>
      <c r="B5353">
        <v>3.3529369999999998</v>
      </c>
      <c r="C5353">
        <f t="shared" si="88"/>
        <v>6.1</v>
      </c>
    </row>
    <row r="5354" spans="1:3" x14ac:dyDescent="0.2">
      <c r="A5354" s="34">
        <v>37987</v>
      </c>
      <c r="B5354">
        <v>3.3524699999999998</v>
      </c>
      <c r="C5354">
        <f t="shared" si="88"/>
        <v>0</v>
      </c>
    </row>
    <row r="5355" spans="1:3" x14ac:dyDescent="0.2">
      <c r="A5355" s="34">
        <v>37986</v>
      </c>
      <c r="B5355">
        <v>3.3520029999999998</v>
      </c>
      <c r="C5355">
        <f t="shared" si="88"/>
        <v>0</v>
      </c>
    </row>
    <row r="5356" spans="1:3" x14ac:dyDescent="0.2">
      <c r="A5356" s="34">
        <v>37985</v>
      </c>
      <c r="B5356">
        <v>3.3515359999999998</v>
      </c>
      <c r="C5356">
        <f t="shared" si="88"/>
        <v>0</v>
      </c>
    </row>
    <row r="5357" spans="1:3" x14ac:dyDescent="0.2">
      <c r="A5357" s="34">
        <v>37984</v>
      </c>
      <c r="B5357">
        <v>3.3510689999999999</v>
      </c>
      <c r="C5357">
        <f t="shared" si="88"/>
        <v>0</v>
      </c>
    </row>
    <row r="5358" spans="1:3" x14ac:dyDescent="0.2">
      <c r="A5358" s="34">
        <v>37983</v>
      </c>
      <c r="B5358">
        <v>3.3506019999999999</v>
      </c>
      <c r="C5358">
        <f t="shared" si="88"/>
        <v>0</v>
      </c>
    </row>
    <row r="5359" spans="1:3" x14ac:dyDescent="0.2">
      <c r="A5359" s="34">
        <v>37982</v>
      </c>
      <c r="B5359">
        <v>3.3501349999999999</v>
      </c>
      <c r="C5359">
        <f t="shared" si="88"/>
        <v>0</v>
      </c>
    </row>
    <row r="5360" spans="1:3" x14ac:dyDescent="0.2">
      <c r="A5360" s="34">
        <v>37981</v>
      </c>
      <c r="B5360">
        <v>3.3496679999999999</v>
      </c>
      <c r="C5360">
        <f t="shared" si="88"/>
        <v>0</v>
      </c>
    </row>
    <row r="5361" spans="1:3" x14ac:dyDescent="0.2">
      <c r="A5361" s="34">
        <v>37980</v>
      </c>
      <c r="B5361">
        <v>3.3492009999999999</v>
      </c>
      <c r="C5361">
        <f t="shared" si="88"/>
        <v>0</v>
      </c>
    </row>
    <row r="5362" spans="1:3" x14ac:dyDescent="0.2">
      <c r="A5362" s="34">
        <v>37979</v>
      </c>
      <c r="B5362">
        <v>3.348862</v>
      </c>
      <c r="C5362">
        <f t="shared" si="88"/>
        <v>0</v>
      </c>
    </row>
    <row r="5363" spans="1:3" x14ac:dyDescent="0.2">
      <c r="A5363" s="34">
        <v>37978</v>
      </c>
      <c r="B5363">
        <v>3.348522</v>
      </c>
      <c r="C5363">
        <f t="shared" si="88"/>
        <v>0</v>
      </c>
    </row>
    <row r="5364" spans="1:3" x14ac:dyDescent="0.2">
      <c r="A5364" s="34">
        <v>37977</v>
      </c>
      <c r="B5364">
        <v>3.3481830000000001</v>
      </c>
      <c r="C5364">
        <f t="shared" si="88"/>
        <v>0</v>
      </c>
    </row>
    <row r="5365" spans="1:3" x14ac:dyDescent="0.2">
      <c r="A5365" s="34">
        <v>37976</v>
      </c>
      <c r="B5365">
        <v>3.3478430000000001</v>
      </c>
      <c r="C5365">
        <f t="shared" si="88"/>
        <v>0</v>
      </c>
    </row>
    <row r="5366" spans="1:3" x14ac:dyDescent="0.2">
      <c r="A5366" s="34">
        <v>37975</v>
      </c>
      <c r="B5366">
        <v>3.3475039999999998</v>
      </c>
      <c r="C5366">
        <f t="shared" si="88"/>
        <v>0</v>
      </c>
    </row>
    <row r="5367" spans="1:3" x14ac:dyDescent="0.2">
      <c r="A5367" s="34">
        <v>37974</v>
      </c>
      <c r="B5367">
        <v>3.3471649999999999</v>
      </c>
      <c r="C5367">
        <f t="shared" si="88"/>
        <v>0</v>
      </c>
    </row>
    <row r="5368" spans="1:3" x14ac:dyDescent="0.2">
      <c r="A5368" s="34">
        <v>37973</v>
      </c>
      <c r="B5368">
        <v>3.3468249999999999</v>
      </c>
      <c r="C5368">
        <f t="shared" si="88"/>
        <v>0</v>
      </c>
    </row>
    <row r="5369" spans="1:3" x14ac:dyDescent="0.2">
      <c r="A5369" s="34">
        <v>37972</v>
      </c>
      <c r="B5369">
        <v>3.3464860000000001</v>
      </c>
      <c r="C5369">
        <f t="shared" si="88"/>
        <v>0</v>
      </c>
    </row>
    <row r="5370" spans="1:3" x14ac:dyDescent="0.2">
      <c r="A5370" s="34">
        <v>37971</v>
      </c>
      <c r="B5370">
        <v>3.3461470000000002</v>
      </c>
      <c r="C5370">
        <f t="shared" si="88"/>
        <v>0</v>
      </c>
    </row>
    <row r="5371" spans="1:3" x14ac:dyDescent="0.2">
      <c r="A5371" s="34">
        <v>37970</v>
      </c>
      <c r="B5371">
        <v>3.3458079999999999</v>
      </c>
      <c r="C5371">
        <f t="shared" si="88"/>
        <v>0</v>
      </c>
    </row>
    <row r="5372" spans="1:3" x14ac:dyDescent="0.2">
      <c r="A5372" s="34">
        <v>37969</v>
      </c>
      <c r="B5372">
        <v>3.345469</v>
      </c>
      <c r="C5372">
        <f t="shared" si="88"/>
        <v>0</v>
      </c>
    </row>
    <row r="5373" spans="1:3" x14ac:dyDescent="0.2">
      <c r="A5373" s="34">
        <v>37968</v>
      </c>
      <c r="B5373">
        <v>3.3451300000000002</v>
      </c>
      <c r="C5373">
        <f t="shared" si="88"/>
        <v>0</v>
      </c>
    </row>
    <row r="5374" spans="1:3" x14ac:dyDescent="0.2">
      <c r="A5374" s="34">
        <v>37967</v>
      </c>
      <c r="B5374">
        <v>3.3447900000000002</v>
      </c>
      <c r="C5374">
        <f t="shared" si="88"/>
        <v>0</v>
      </c>
    </row>
    <row r="5375" spans="1:3" x14ac:dyDescent="0.2">
      <c r="A5375" s="34">
        <v>37966</v>
      </c>
      <c r="B5375">
        <v>3.3444509999999998</v>
      </c>
      <c r="C5375">
        <f t="shared" si="88"/>
        <v>0</v>
      </c>
    </row>
    <row r="5376" spans="1:3" x14ac:dyDescent="0.2">
      <c r="A5376" s="34">
        <v>37965</v>
      </c>
      <c r="B5376">
        <v>3.344112</v>
      </c>
      <c r="C5376">
        <f t="shared" si="88"/>
        <v>0</v>
      </c>
    </row>
    <row r="5377" spans="1:3" x14ac:dyDescent="0.2">
      <c r="A5377" s="34">
        <v>37964</v>
      </c>
      <c r="B5377">
        <v>3.342587</v>
      </c>
      <c r="C5377">
        <f t="shared" si="88"/>
        <v>0</v>
      </c>
    </row>
    <row r="5378" spans="1:3" x14ac:dyDescent="0.2">
      <c r="A5378" s="34">
        <v>37963</v>
      </c>
      <c r="B5378">
        <v>3.3410630000000001</v>
      </c>
      <c r="C5378">
        <f t="shared" ref="C5378:C5441" si="89">IFERROR(VLOOKUP(A5378,$M$2:$N$3695,2,0),C5379)</f>
        <v>0</v>
      </c>
    </row>
    <row r="5379" spans="1:3" x14ac:dyDescent="0.2">
      <c r="A5379" s="34">
        <v>37962</v>
      </c>
      <c r="B5379">
        <v>3.3395389999999998</v>
      </c>
      <c r="C5379">
        <f t="shared" si="89"/>
        <v>0</v>
      </c>
    </row>
    <row r="5380" spans="1:3" x14ac:dyDescent="0.2">
      <c r="A5380" s="34">
        <v>37961</v>
      </c>
      <c r="B5380">
        <v>3.3380160000000001</v>
      </c>
      <c r="C5380">
        <f t="shared" si="89"/>
        <v>0</v>
      </c>
    </row>
    <row r="5381" spans="1:3" x14ac:dyDescent="0.2">
      <c r="A5381" s="34">
        <v>37960</v>
      </c>
      <c r="B5381">
        <v>3.3364929999999999</v>
      </c>
      <c r="C5381">
        <f t="shared" si="89"/>
        <v>0</v>
      </c>
    </row>
    <row r="5382" spans="1:3" x14ac:dyDescent="0.2">
      <c r="A5382" s="34">
        <v>37959</v>
      </c>
      <c r="B5382">
        <v>3.3349709999999999</v>
      </c>
      <c r="C5382">
        <f t="shared" si="89"/>
        <v>0</v>
      </c>
    </row>
    <row r="5383" spans="1:3" x14ac:dyDescent="0.2">
      <c r="A5383" s="34">
        <v>37958</v>
      </c>
      <c r="B5383">
        <v>3.33345</v>
      </c>
      <c r="C5383">
        <f t="shared" si="89"/>
        <v>0</v>
      </c>
    </row>
    <row r="5384" spans="1:3" x14ac:dyDescent="0.2">
      <c r="A5384" s="34">
        <v>37957</v>
      </c>
      <c r="B5384">
        <v>3.3319299999999998</v>
      </c>
      <c r="C5384">
        <f t="shared" si="89"/>
        <v>0</v>
      </c>
    </row>
    <row r="5385" spans="1:3" x14ac:dyDescent="0.2">
      <c r="A5385" s="34">
        <v>37956</v>
      </c>
      <c r="B5385">
        <v>3.3304100000000001</v>
      </c>
      <c r="C5385">
        <f t="shared" si="89"/>
        <v>0</v>
      </c>
    </row>
    <row r="5386" spans="1:3" x14ac:dyDescent="0.2">
      <c r="A5386" s="34">
        <v>37955</v>
      </c>
      <c r="B5386">
        <v>3.328891</v>
      </c>
      <c r="C5386">
        <f t="shared" si="89"/>
        <v>0</v>
      </c>
    </row>
    <row r="5387" spans="1:3" x14ac:dyDescent="0.2">
      <c r="A5387" s="34">
        <v>37954</v>
      </c>
      <c r="B5387">
        <v>3.3273730000000001</v>
      </c>
      <c r="C5387">
        <f t="shared" si="89"/>
        <v>0</v>
      </c>
    </row>
    <row r="5388" spans="1:3" x14ac:dyDescent="0.2">
      <c r="A5388" s="34">
        <v>37953</v>
      </c>
      <c r="B5388">
        <v>3.3258549999999998</v>
      </c>
      <c r="C5388">
        <f t="shared" si="89"/>
        <v>0</v>
      </c>
    </row>
    <row r="5389" spans="1:3" x14ac:dyDescent="0.2">
      <c r="A5389" s="34">
        <v>37952</v>
      </c>
      <c r="B5389">
        <v>3.324338</v>
      </c>
      <c r="C5389">
        <f t="shared" si="89"/>
        <v>0</v>
      </c>
    </row>
    <row r="5390" spans="1:3" x14ac:dyDescent="0.2">
      <c r="A5390" s="34">
        <v>37951</v>
      </c>
      <c r="B5390">
        <v>3.3228219999999999</v>
      </c>
      <c r="C5390">
        <f t="shared" si="89"/>
        <v>0</v>
      </c>
    </row>
    <row r="5391" spans="1:3" x14ac:dyDescent="0.2">
      <c r="A5391" s="34">
        <v>37950</v>
      </c>
      <c r="B5391">
        <v>3.321307</v>
      </c>
      <c r="C5391">
        <f t="shared" si="89"/>
        <v>0</v>
      </c>
    </row>
    <row r="5392" spans="1:3" x14ac:dyDescent="0.2">
      <c r="A5392" s="34">
        <v>37949</v>
      </c>
      <c r="B5392">
        <v>3.3210130000000002</v>
      </c>
      <c r="C5392">
        <f t="shared" si="89"/>
        <v>0</v>
      </c>
    </row>
    <row r="5393" spans="1:3" x14ac:dyDescent="0.2">
      <c r="A5393" s="34">
        <v>37948</v>
      </c>
      <c r="B5393">
        <v>3.3207200000000001</v>
      </c>
      <c r="C5393">
        <f t="shared" si="89"/>
        <v>0</v>
      </c>
    </row>
    <row r="5394" spans="1:3" x14ac:dyDescent="0.2">
      <c r="A5394" s="34">
        <v>37947</v>
      </c>
      <c r="B5394">
        <v>3.320427</v>
      </c>
      <c r="C5394">
        <f t="shared" si="89"/>
        <v>0</v>
      </c>
    </row>
    <row r="5395" spans="1:3" x14ac:dyDescent="0.2">
      <c r="A5395" s="34">
        <v>37946</v>
      </c>
      <c r="B5395">
        <v>3.3201329999999998</v>
      </c>
      <c r="C5395">
        <f t="shared" si="89"/>
        <v>0</v>
      </c>
    </row>
    <row r="5396" spans="1:3" x14ac:dyDescent="0.2">
      <c r="A5396" s="34">
        <v>37945</v>
      </c>
      <c r="B5396">
        <v>3.3198400000000001</v>
      </c>
      <c r="C5396">
        <f t="shared" si="89"/>
        <v>0</v>
      </c>
    </row>
    <row r="5397" spans="1:3" x14ac:dyDescent="0.2">
      <c r="A5397" s="34">
        <v>37944</v>
      </c>
      <c r="B5397">
        <v>3.319547</v>
      </c>
      <c r="C5397">
        <f t="shared" si="89"/>
        <v>0</v>
      </c>
    </row>
    <row r="5398" spans="1:3" x14ac:dyDescent="0.2">
      <c r="A5398" s="34">
        <v>37943</v>
      </c>
      <c r="B5398">
        <v>3.3192539999999999</v>
      </c>
      <c r="C5398">
        <f t="shared" si="89"/>
        <v>0</v>
      </c>
    </row>
    <row r="5399" spans="1:3" x14ac:dyDescent="0.2">
      <c r="A5399" s="34">
        <v>37942</v>
      </c>
      <c r="B5399">
        <v>3.3189600000000001</v>
      </c>
      <c r="C5399">
        <f t="shared" si="89"/>
        <v>0</v>
      </c>
    </row>
    <row r="5400" spans="1:3" x14ac:dyDescent="0.2">
      <c r="A5400" s="34">
        <v>37941</v>
      </c>
      <c r="B5400">
        <v>3.318667</v>
      </c>
      <c r="C5400">
        <f t="shared" si="89"/>
        <v>0</v>
      </c>
    </row>
    <row r="5401" spans="1:3" x14ac:dyDescent="0.2">
      <c r="A5401" s="34">
        <v>37940</v>
      </c>
      <c r="B5401">
        <v>3.3183739999999999</v>
      </c>
      <c r="C5401">
        <f t="shared" si="89"/>
        <v>0</v>
      </c>
    </row>
    <row r="5402" spans="1:3" x14ac:dyDescent="0.2">
      <c r="A5402" s="34">
        <v>37939</v>
      </c>
      <c r="B5402">
        <v>3.3180809999999998</v>
      </c>
      <c r="C5402">
        <f t="shared" si="89"/>
        <v>0</v>
      </c>
    </row>
    <row r="5403" spans="1:3" x14ac:dyDescent="0.2">
      <c r="A5403" s="34">
        <v>37938</v>
      </c>
      <c r="B5403">
        <v>3.3177880000000002</v>
      </c>
      <c r="C5403">
        <f t="shared" si="89"/>
        <v>0</v>
      </c>
    </row>
    <row r="5404" spans="1:3" x14ac:dyDescent="0.2">
      <c r="A5404" s="34">
        <v>37937</v>
      </c>
      <c r="B5404">
        <v>3.3174950000000001</v>
      </c>
      <c r="C5404">
        <f t="shared" si="89"/>
        <v>0</v>
      </c>
    </row>
    <row r="5405" spans="1:3" x14ac:dyDescent="0.2">
      <c r="A5405" s="34">
        <v>37936</v>
      </c>
      <c r="B5405">
        <v>3.317202</v>
      </c>
      <c r="C5405">
        <f t="shared" si="89"/>
        <v>0</v>
      </c>
    </row>
    <row r="5406" spans="1:3" x14ac:dyDescent="0.2">
      <c r="A5406" s="34">
        <v>37935</v>
      </c>
      <c r="B5406">
        <v>3.3169089999999999</v>
      </c>
      <c r="C5406">
        <f t="shared" si="89"/>
        <v>0</v>
      </c>
    </row>
    <row r="5407" spans="1:3" x14ac:dyDescent="0.2">
      <c r="A5407" s="34">
        <v>37934</v>
      </c>
      <c r="B5407">
        <v>3.316325</v>
      </c>
      <c r="C5407">
        <f t="shared" si="89"/>
        <v>0</v>
      </c>
    </row>
    <row r="5408" spans="1:3" x14ac:dyDescent="0.2">
      <c r="A5408" s="34">
        <v>37933</v>
      </c>
      <c r="B5408">
        <v>3.315741</v>
      </c>
      <c r="C5408">
        <f t="shared" si="89"/>
        <v>0</v>
      </c>
    </row>
    <row r="5409" spans="1:3" x14ac:dyDescent="0.2">
      <c r="A5409" s="34">
        <v>37932</v>
      </c>
      <c r="B5409">
        <v>3.3151579999999998</v>
      </c>
      <c r="C5409">
        <f t="shared" si="89"/>
        <v>0</v>
      </c>
    </row>
    <row r="5410" spans="1:3" x14ac:dyDescent="0.2">
      <c r="A5410" s="34">
        <v>37931</v>
      </c>
      <c r="B5410">
        <v>3.3145739999999999</v>
      </c>
      <c r="C5410">
        <f t="shared" si="89"/>
        <v>0</v>
      </c>
    </row>
    <row r="5411" spans="1:3" x14ac:dyDescent="0.2">
      <c r="A5411" s="34">
        <v>37930</v>
      </c>
      <c r="B5411">
        <v>3.3139910000000001</v>
      </c>
      <c r="C5411">
        <f t="shared" si="89"/>
        <v>0</v>
      </c>
    </row>
    <row r="5412" spans="1:3" x14ac:dyDescent="0.2">
      <c r="A5412" s="34">
        <v>37929</v>
      </c>
      <c r="B5412">
        <v>3.3134070000000002</v>
      </c>
      <c r="C5412">
        <f t="shared" si="89"/>
        <v>0</v>
      </c>
    </row>
    <row r="5413" spans="1:3" x14ac:dyDescent="0.2">
      <c r="A5413" s="34">
        <v>37928</v>
      </c>
      <c r="B5413">
        <v>3.312824</v>
      </c>
      <c r="C5413">
        <f t="shared" si="89"/>
        <v>0</v>
      </c>
    </row>
    <row r="5414" spans="1:3" x14ac:dyDescent="0.2">
      <c r="A5414" s="34">
        <v>37927</v>
      </c>
      <c r="B5414">
        <v>3.3122410000000002</v>
      </c>
      <c r="C5414">
        <f t="shared" si="89"/>
        <v>0</v>
      </c>
    </row>
    <row r="5415" spans="1:3" x14ac:dyDescent="0.2">
      <c r="A5415" s="34">
        <v>37926</v>
      </c>
      <c r="B5415">
        <v>3.311658</v>
      </c>
      <c r="C5415">
        <f t="shared" si="89"/>
        <v>0</v>
      </c>
    </row>
    <row r="5416" spans="1:3" x14ac:dyDescent="0.2">
      <c r="A5416" s="34">
        <v>37925</v>
      </c>
      <c r="B5416">
        <v>3.3110750000000002</v>
      </c>
      <c r="C5416">
        <f t="shared" si="89"/>
        <v>0</v>
      </c>
    </row>
    <row r="5417" spans="1:3" x14ac:dyDescent="0.2">
      <c r="A5417" s="34">
        <v>37924</v>
      </c>
      <c r="B5417">
        <v>3.310492</v>
      </c>
      <c r="C5417">
        <f t="shared" si="89"/>
        <v>0</v>
      </c>
    </row>
    <row r="5418" spans="1:3" x14ac:dyDescent="0.2">
      <c r="A5418" s="34">
        <v>37923</v>
      </c>
      <c r="B5418">
        <v>3.3099090000000002</v>
      </c>
      <c r="C5418">
        <f t="shared" si="89"/>
        <v>0</v>
      </c>
    </row>
    <row r="5419" spans="1:3" x14ac:dyDescent="0.2">
      <c r="A5419" s="34">
        <v>37922</v>
      </c>
      <c r="B5419">
        <v>3.3093270000000001</v>
      </c>
      <c r="C5419">
        <f t="shared" si="89"/>
        <v>0</v>
      </c>
    </row>
    <row r="5420" spans="1:3" x14ac:dyDescent="0.2">
      <c r="A5420" s="34">
        <v>37921</v>
      </c>
      <c r="B5420">
        <v>3.3087439999999999</v>
      </c>
      <c r="C5420">
        <f t="shared" si="89"/>
        <v>0</v>
      </c>
    </row>
    <row r="5421" spans="1:3" x14ac:dyDescent="0.2">
      <c r="A5421" s="34">
        <v>37920</v>
      </c>
      <c r="B5421">
        <v>3.3081619999999998</v>
      </c>
      <c r="C5421">
        <f t="shared" si="89"/>
        <v>0</v>
      </c>
    </row>
    <row r="5422" spans="1:3" x14ac:dyDescent="0.2">
      <c r="A5422" s="34">
        <v>37919</v>
      </c>
      <c r="B5422">
        <v>3.307579</v>
      </c>
      <c r="C5422">
        <f t="shared" si="89"/>
        <v>0</v>
      </c>
    </row>
    <row r="5423" spans="1:3" x14ac:dyDescent="0.2">
      <c r="A5423" s="34">
        <v>37918</v>
      </c>
      <c r="B5423">
        <v>3.3074979999999998</v>
      </c>
      <c r="C5423">
        <f t="shared" si="89"/>
        <v>0</v>
      </c>
    </row>
    <row r="5424" spans="1:3" x14ac:dyDescent="0.2">
      <c r="A5424" s="34">
        <v>37917</v>
      </c>
      <c r="B5424">
        <v>3.3074159999999999</v>
      </c>
      <c r="C5424">
        <f t="shared" si="89"/>
        <v>0</v>
      </c>
    </row>
    <row r="5425" spans="1:3" x14ac:dyDescent="0.2">
      <c r="A5425" s="34">
        <v>37916</v>
      </c>
      <c r="B5425">
        <v>3.307334</v>
      </c>
      <c r="C5425">
        <f t="shared" si="89"/>
        <v>0</v>
      </c>
    </row>
    <row r="5426" spans="1:3" x14ac:dyDescent="0.2">
      <c r="A5426" s="34">
        <v>37915</v>
      </c>
      <c r="B5426">
        <v>3.3072530000000002</v>
      </c>
      <c r="C5426">
        <f t="shared" si="89"/>
        <v>0</v>
      </c>
    </row>
    <row r="5427" spans="1:3" x14ac:dyDescent="0.2">
      <c r="A5427" s="34">
        <v>37914</v>
      </c>
      <c r="B5427">
        <v>3.3071709999999999</v>
      </c>
      <c r="C5427">
        <f t="shared" si="89"/>
        <v>0</v>
      </c>
    </row>
    <row r="5428" spans="1:3" x14ac:dyDescent="0.2">
      <c r="A5428" s="34">
        <v>37913</v>
      </c>
      <c r="B5428">
        <v>3.3070889999999999</v>
      </c>
      <c r="C5428">
        <f t="shared" si="89"/>
        <v>0</v>
      </c>
    </row>
    <row r="5429" spans="1:3" x14ac:dyDescent="0.2">
      <c r="A5429" s="34">
        <v>37912</v>
      </c>
      <c r="B5429">
        <v>3.3070080000000002</v>
      </c>
      <c r="C5429">
        <f t="shared" si="89"/>
        <v>0</v>
      </c>
    </row>
    <row r="5430" spans="1:3" x14ac:dyDescent="0.2">
      <c r="A5430" s="34">
        <v>37911</v>
      </c>
      <c r="B5430">
        <v>3.3069259999999998</v>
      </c>
      <c r="C5430">
        <f t="shared" si="89"/>
        <v>0</v>
      </c>
    </row>
    <row r="5431" spans="1:3" x14ac:dyDescent="0.2">
      <c r="A5431" s="34">
        <v>37910</v>
      </c>
      <c r="B5431">
        <v>3.3068439999999999</v>
      </c>
      <c r="C5431">
        <f t="shared" si="89"/>
        <v>0</v>
      </c>
    </row>
    <row r="5432" spans="1:3" x14ac:dyDescent="0.2">
      <c r="A5432" s="34">
        <v>37909</v>
      </c>
      <c r="B5432">
        <v>3.306762</v>
      </c>
      <c r="C5432">
        <f t="shared" si="89"/>
        <v>0</v>
      </c>
    </row>
    <row r="5433" spans="1:3" x14ac:dyDescent="0.2">
      <c r="A5433" s="34">
        <v>37908</v>
      </c>
      <c r="B5433">
        <v>3.3066810000000002</v>
      </c>
      <c r="C5433">
        <f t="shared" si="89"/>
        <v>0</v>
      </c>
    </row>
    <row r="5434" spans="1:3" x14ac:dyDescent="0.2">
      <c r="A5434" s="34">
        <v>37907</v>
      </c>
      <c r="B5434">
        <v>3.3065989999999998</v>
      </c>
      <c r="C5434">
        <f t="shared" si="89"/>
        <v>0</v>
      </c>
    </row>
    <row r="5435" spans="1:3" x14ac:dyDescent="0.2">
      <c r="A5435" s="34">
        <v>37906</v>
      </c>
      <c r="B5435">
        <v>3.3065169999999999</v>
      </c>
      <c r="C5435">
        <f t="shared" si="89"/>
        <v>0</v>
      </c>
    </row>
    <row r="5436" spans="1:3" x14ac:dyDescent="0.2">
      <c r="A5436" s="34">
        <v>37905</v>
      </c>
      <c r="B5436">
        <v>3.3064360000000002</v>
      </c>
      <c r="C5436">
        <f t="shared" si="89"/>
        <v>0</v>
      </c>
    </row>
    <row r="5437" spans="1:3" x14ac:dyDescent="0.2">
      <c r="A5437" s="34">
        <v>37904</v>
      </c>
      <c r="B5437">
        <v>3.3063539999999998</v>
      </c>
      <c r="C5437">
        <f t="shared" si="89"/>
        <v>0</v>
      </c>
    </row>
    <row r="5438" spans="1:3" x14ac:dyDescent="0.2">
      <c r="A5438" s="34">
        <v>37903</v>
      </c>
      <c r="B5438">
        <v>3.3053129999999999</v>
      </c>
      <c r="C5438">
        <f t="shared" si="89"/>
        <v>0</v>
      </c>
    </row>
    <row r="5439" spans="1:3" x14ac:dyDescent="0.2">
      <c r="A5439" s="34">
        <v>37902</v>
      </c>
      <c r="B5439">
        <v>3.3042720000000001</v>
      </c>
      <c r="C5439">
        <f t="shared" si="89"/>
        <v>0</v>
      </c>
    </row>
    <row r="5440" spans="1:3" x14ac:dyDescent="0.2">
      <c r="A5440" s="34">
        <v>37901</v>
      </c>
      <c r="B5440">
        <v>3.3032319999999999</v>
      </c>
      <c r="C5440">
        <f t="shared" si="89"/>
        <v>0</v>
      </c>
    </row>
    <row r="5441" spans="1:3" x14ac:dyDescent="0.2">
      <c r="A5441" s="34">
        <v>37900</v>
      </c>
      <c r="B5441">
        <v>3.3021919999999998</v>
      </c>
      <c r="C5441">
        <f t="shared" si="89"/>
        <v>0</v>
      </c>
    </row>
    <row r="5442" spans="1:3" x14ac:dyDescent="0.2">
      <c r="A5442" s="34">
        <v>37899</v>
      </c>
      <c r="B5442">
        <v>3.3011520000000001</v>
      </c>
      <c r="C5442">
        <f t="shared" ref="C5442:C5505" si="90">IFERROR(VLOOKUP(A5442,$M$2:$N$3695,2,0),C5443)</f>
        <v>0</v>
      </c>
    </row>
    <row r="5443" spans="1:3" x14ac:dyDescent="0.2">
      <c r="A5443" s="34">
        <v>37898</v>
      </c>
      <c r="B5443">
        <v>3.3001130000000001</v>
      </c>
      <c r="C5443">
        <f t="shared" si="90"/>
        <v>0</v>
      </c>
    </row>
    <row r="5444" spans="1:3" x14ac:dyDescent="0.2">
      <c r="A5444" s="34">
        <v>37897</v>
      </c>
      <c r="B5444">
        <v>3.2990740000000001</v>
      </c>
      <c r="C5444">
        <f t="shared" si="90"/>
        <v>0</v>
      </c>
    </row>
    <row r="5445" spans="1:3" x14ac:dyDescent="0.2">
      <c r="A5445" s="34">
        <v>37896</v>
      </c>
      <c r="B5445">
        <v>3.298035</v>
      </c>
      <c r="C5445">
        <f t="shared" si="90"/>
        <v>0</v>
      </c>
    </row>
    <row r="5446" spans="1:3" x14ac:dyDescent="0.2">
      <c r="A5446" s="34">
        <v>37895</v>
      </c>
      <c r="B5446">
        <v>3.2969970000000002</v>
      </c>
      <c r="C5446">
        <f t="shared" si="90"/>
        <v>0</v>
      </c>
    </row>
    <row r="5447" spans="1:3" x14ac:dyDescent="0.2">
      <c r="A5447" s="34">
        <v>37894</v>
      </c>
      <c r="B5447">
        <v>3.2959589999999999</v>
      </c>
      <c r="C5447">
        <f t="shared" si="90"/>
        <v>0</v>
      </c>
    </row>
    <row r="5448" spans="1:3" x14ac:dyDescent="0.2">
      <c r="A5448" s="34">
        <v>37893</v>
      </c>
      <c r="B5448">
        <v>3.294921</v>
      </c>
      <c r="C5448">
        <f t="shared" si="90"/>
        <v>0</v>
      </c>
    </row>
    <row r="5449" spans="1:3" x14ac:dyDescent="0.2">
      <c r="A5449" s="34">
        <v>37892</v>
      </c>
      <c r="B5449">
        <v>3.2938839999999998</v>
      </c>
      <c r="C5449">
        <f t="shared" si="90"/>
        <v>0</v>
      </c>
    </row>
    <row r="5450" spans="1:3" x14ac:dyDescent="0.2">
      <c r="A5450" s="34">
        <v>37891</v>
      </c>
      <c r="B5450">
        <v>3.2928470000000001</v>
      </c>
      <c r="C5450">
        <f t="shared" si="90"/>
        <v>0</v>
      </c>
    </row>
    <row r="5451" spans="1:3" x14ac:dyDescent="0.2">
      <c r="A5451" s="34">
        <v>37890</v>
      </c>
      <c r="B5451">
        <v>3.2918099999999999</v>
      </c>
      <c r="C5451">
        <f t="shared" si="90"/>
        <v>0</v>
      </c>
    </row>
    <row r="5452" spans="1:3" x14ac:dyDescent="0.2">
      <c r="A5452" s="34">
        <v>37889</v>
      </c>
      <c r="B5452">
        <v>3.2907730000000002</v>
      </c>
      <c r="C5452">
        <f t="shared" si="90"/>
        <v>0</v>
      </c>
    </row>
    <row r="5453" spans="1:3" x14ac:dyDescent="0.2">
      <c r="A5453" s="34">
        <v>37888</v>
      </c>
      <c r="B5453">
        <v>3.2903229999999999</v>
      </c>
      <c r="C5453">
        <f t="shared" si="90"/>
        <v>0</v>
      </c>
    </row>
    <row r="5454" spans="1:3" x14ac:dyDescent="0.2">
      <c r="A5454" s="34">
        <v>37887</v>
      </c>
      <c r="B5454">
        <v>3.2898719999999999</v>
      </c>
      <c r="C5454">
        <f t="shared" si="90"/>
        <v>0</v>
      </c>
    </row>
    <row r="5455" spans="1:3" x14ac:dyDescent="0.2">
      <c r="A5455" s="34">
        <v>37886</v>
      </c>
      <c r="B5455">
        <v>3.2894220000000001</v>
      </c>
      <c r="C5455">
        <f t="shared" si="90"/>
        <v>0</v>
      </c>
    </row>
    <row r="5456" spans="1:3" x14ac:dyDescent="0.2">
      <c r="A5456" s="34">
        <v>37885</v>
      </c>
      <c r="B5456">
        <v>3.2889710000000001</v>
      </c>
      <c r="C5456">
        <f t="shared" si="90"/>
        <v>0</v>
      </c>
    </row>
    <row r="5457" spans="1:3" x14ac:dyDescent="0.2">
      <c r="A5457" s="34">
        <v>37884</v>
      </c>
      <c r="B5457">
        <v>3.2885209999999998</v>
      </c>
      <c r="C5457">
        <f t="shared" si="90"/>
        <v>0</v>
      </c>
    </row>
    <row r="5458" spans="1:3" x14ac:dyDescent="0.2">
      <c r="A5458" s="34">
        <v>37883</v>
      </c>
      <c r="B5458">
        <v>3.2880699999999998</v>
      </c>
      <c r="C5458">
        <f t="shared" si="90"/>
        <v>0</v>
      </c>
    </row>
    <row r="5459" spans="1:3" x14ac:dyDescent="0.2">
      <c r="A5459" s="34">
        <v>37882</v>
      </c>
      <c r="B5459">
        <v>3.28762</v>
      </c>
      <c r="C5459">
        <f t="shared" si="90"/>
        <v>0</v>
      </c>
    </row>
    <row r="5460" spans="1:3" x14ac:dyDescent="0.2">
      <c r="A5460" s="34">
        <v>37881</v>
      </c>
      <c r="B5460">
        <v>3.2871700000000001</v>
      </c>
      <c r="C5460">
        <f t="shared" si="90"/>
        <v>0</v>
      </c>
    </row>
    <row r="5461" spans="1:3" x14ac:dyDescent="0.2">
      <c r="A5461" s="34">
        <v>37880</v>
      </c>
      <c r="B5461">
        <v>3.2867199999999999</v>
      </c>
      <c r="C5461">
        <f t="shared" si="90"/>
        <v>0</v>
      </c>
    </row>
    <row r="5462" spans="1:3" x14ac:dyDescent="0.2">
      <c r="A5462" s="34">
        <v>37879</v>
      </c>
      <c r="B5462">
        <v>3.2862689999999999</v>
      </c>
      <c r="C5462">
        <f t="shared" si="90"/>
        <v>0</v>
      </c>
    </row>
    <row r="5463" spans="1:3" x14ac:dyDescent="0.2">
      <c r="A5463" s="34">
        <v>37878</v>
      </c>
      <c r="B5463">
        <v>3.285819</v>
      </c>
      <c r="C5463">
        <f t="shared" si="90"/>
        <v>0</v>
      </c>
    </row>
    <row r="5464" spans="1:3" x14ac:dyDescent="0.2">
      <c r="A5464" s="34">
        <v>37877</v>
      </c>
      <c r="B5464">
        <v>3.2853690000000002</v>
      </c>
      <c r="C5464">
        <f t="shared" si="90"/>
        <v>0</v>
      </c>
    </row>
    <row r="5465" spans="1:3" x14ac:dyDescent="0.2">
      <c r="A5465" s="34">
        <v>37876</v>
      </c>
      <c r="B5465">
        <v>3.2849189999999999</v>
      </c>
      <c r="C5465">
        <f t="shared" si="90"/>
        <v>0</v>
      </c>
    </row>
    <row r="5466" spans="1:3" x14ac:dyDescent="0.2">
      <c r="A5466" s="34">
        <v>37875</v>
      </c>
      <c r="B5466">
        <v>3.2844690000000001</v>
      </c>
      <c r="C5466">
        <f t="shared" si="90"/>
        <v>0</v>
      </c>
    </row>
    <row r="5467" spans="1:3" x14ac:dyDescent="0.2">
      <c r="A5467" s="34">
        <v>37874</v>
      </c>
      <c r="B5467">
        <v>3.2840199999999999</v>
      </c>
      <c r="C5467">
        <f t="shared" si="90"/>
        <v>0</v>
      </c>
    </row>
    <row r="5468" spans="1:3" x14ac:dyDescent="0.2">
      <c r="A5468" s="34">
        <v>37873</v>
      </c>
      <c r="B5468">
        <v>3.2836479999999999</v>
      </c>
      <c r="C5468">
        <f t="shared" si="90"/>
        <v>0</v>
      </c>
    </row>
    <row r="5469" spans="1:3" x14ac:dyDescent="0.2">
      <c r="A5469" s="34">
        <v>37872</v>
      </c>
      <c r="B5469">
        <v>3.283277</v>
      </c>
      <c r="C5469">
        <f t="shared" si="90"/>
        <v>0</v>
      </c>
    </row>
    <row r="5470" spans="1:3" x14ac:dyDescent="0.2">
      <c r="A5470" s="34">
        <v>37871</v>
      </c>
      <c r="B5470">
        <v>3.2829060000000001</v>
      </c>
      <c r="C5470">
        <f t="shared" si="90"/>
        <v>0</v>
      </c>
    </row>
    <row r="5471" spans="1:3" x14ac:dyDescent="0.2">
      <c r="A5471" s="34">
        <v>37870</v>
      </c>
      <c r="B5471">
        <v>3.2825340000000001</v>
      </c>
      <c r="C5471">
        <f t="shared" si="90"/>
        <v>0</v>
      </c>
    </row>
    <row r="5472" spans="1:3" x14ac:dyDescent="0.2">
      <c r="A5472" s="34">
        <v>37869</v>
      </c>
      <c r="B5472">
        <v>3.2821630000000002</v>
      </c>
      <c r="C5472">
        <f t="shared" si="90"/>
        <v>0</v>
      </c>
    </row>
    <row r="5473" spans="1:3" x14ac:dyDescent="0.2">
      <c r="A5473" s="34">
        <v>37868</v>
      </c>
      <c r="B5473">
        <v>3.2817919999999998</v>
      </c>
      <c r="C5473">
        <f t="shared" si="90"/>
        <v>0</v>
      </c>
    </row>
    <row r="5474" spans="1:3" x14ac:dyDescent="0.2">
      <c r="A5474" s="34">
        <v>37867</v>
      </c>
      <c r="B5474">
        <v>3.2814209999999999</v>
      </c>
      <c r="C5474">
        <f t="shared" si="90"/>
        <v>0</v>
      </c>
    </row>
    <row r="5475" spans="1:3" x14ac:dyDescent="0.2">
      <c r="A5475" s="34">
        <v>37866</v>
      </c>
      <c r="B5475">
        <v>3.28105</v>
      </c>
      <c r="C5475">
        <f t="shared" si="90"/>
        <v>0</v>
      </c>
    </row>
    <row r="5476" spans="1:3" x14ac:dyDescent="0.2">
      <c r="A5476" s="34">
        <v>37865</v>
      </c>
      <c r="B5476">
        <v>3.2806790000000001</v>
      </c>
      <c r="C5476">
        <f t="shared" si="90"/>
        <v>0</v>
      </c>
    </row>
    <row r="5477" spans="1:3" x14ac:dyDescent="0.2">
      <c r="A5477" s="34">
        <v>37864</v>
      </c>
      <c r="B5477">
        <v>3.2803079999999998</v>
      </c>
      <c r="C5477">
        <f t="shared" si="90"/>
        <v>0</v>
      </c>
    </row>
    <row r="5478" spans="1:3" x14ac:dyDescent="0.2">
      <c r="A5478" s="34">
        <v>37863</v>
      </c>
      <c r="B5478">
        <v>3.2799369999999999</v>
      </c>
      <c r="C5478">
        <f t="shared" si="90"/>
        <v>0</v>
      </c>
    </row>
    <row r="5479" spans="1:3" x14ac:dyDescent="0.2">
      <c r="A5479" s="34">
        <v>37862</v>
      </c>
      <c r="B5479">
        <v>3.279566</v>
      </c>
      <c r="C5479">
        <f t="shared" si="90"/>
        <v>0</v>
      </c>
    </row>
    <row r="5480" spans="1:3" x14ac:dyDescent="0.2">
      <c r="A5480" s="34">
        <v>37861</v>
      </c>
      <c r="B5480">
        <v>3.2791950000000001</v>
      </c>
      <c r="C5480">
        <f t="shared" si="90"/>
        <v>0</v>
      </c>
    </row>
    <row r="5481" spans="1:3" x14ac:dyDescent="0.2">
      <c r="A5481" s="34">
        <v>37860</v>
      </c>
      <c r="B5481">
        <v>3.2788240000000002</v>
      </c>
      <c r="C5481">
        <f t="shared" si="90"/>
        <v>0</v>
      </c>
    </row>
    <row r="5482" spans="1:3" x14ac:dyDescent="0.2">
      <c r="A5482" s="34">
        <v>37859</v>
      </c>
      <c r="B5482">
        <v>3.2784529999999998</v>
      </c>
      <c r="C5482">
        <f t="shared" si="90"/>
        <v>0</v>
      </c>
    </row>
    <row r="5483" spans="1:3" x14ac:dyDescent="0.2">
      <c r="A5483" s="34">
        <v>37858</v>
      </c>
      <c r="B5483">
        <v>3.2780830000000001</v>
      </c>
      <c r="C5483">
        <f t="shared" si="90"/>
        <v>0</v>
      </c>
    </row>
    <row r="5484" spans="1:3" x14ac:dyDescent="0.2">
      <c r="A5484" s="34">
        <v>37857</v>
      </c>
      <c r="B5484">
        <v>3.2780179999999999</v>
      </c>
      <c r="C5484">
        <f t="shared" si="90"/>
        <v>0</v>
      </c>
    </row>
    <row r="5485" spans="1:3" x14ac:dyDescent="0.2">
      <c r="A5485" s="34">
        <v>37856</v>
      </c>
      <c r="B5485">
        <v>3.2779530000000001</v>
      </c>
      <c r="C5485">
        <f t="shared" si="90"/>
        <v>0</v>
      </c>
    </row>
    <row r="5486" spans="1:3" x14ac:dyDescent="0.2">
      <c r="A5486" s="34">
        <v>37855</v>
      </c>
      <c r="B5486">
        <v>3.2778879999999999</v>
      </c>
      <c r="C5486">
        <f t="shared" si="90"/>
        <v>0</v>
      </c>
    </row>
    <row r="5487" spans="1:3" x14ac:dyDescent="0.2">
      <c r="A5487" s="34">
        <v>37854</v>
      </c>
      <c r="B5487">
        <v>3.2778230000000002</v>
      </c>
      <c r="C5487">
        <f t="shared" si="90"/>
        <v>0</v>
      </c>
    </row>
    <row r="5488" spans="1:3" x14ac:dyDescent="0.2">
      <c r="A5488" s="34">
        <v>37853</v>
      </c>
      <c r="B5488">
        <v>3.2777579999999999</v>
      </c>
      <c r="C5488">
        <f t="shared" si="90"/>
        <v>0</v>
      </c>
    </row>
    <row r="5489" spans="1:3" x14ac:dyDescent="0.2">
      <c r="A5489" s="34">
        <v>37852</v>
      </c>
      <c r="B5489">
        <v>3.2776930000000002</v>
      </c>
      <c r="C5489">
        <f t="shared" si="90"/>
        <v>0</v>
      </c>
    </row>
    <row r="5490" spans="1:3" x14ac:dyDescent="0.2">
      <c r="A5490" s="34">
        <v>37851</v>
      </c>
      <c r="B5490">
        <v>3.277628</v>
      </c>
      <c r="C5490">
        <f t="shared" si="90"/>
        <v>0</v>
      </c>
    </row>
    <row r="5491" spans="1:3" x14ac:dyDescent="0.2">
      <c r="A5491" s="34">
        <v>37850</v>
      </c>
      <c r="B5491">
        <v>3.2775629999999998</v>
      </c>
      <c r="C5491">
        <f t="shared" si="90"/>
        <v>0</v>
      </c>
    </row>
    <row r="5492" spans="1:3" x14ac:dyDescent="0.2">
      <c r="A5492" s="34">
        <v>37849</v>
      </c>
      <c r="B5492">
        <v>3.277498</v>
      </c>
      <c r="C5492">
        <f t="shared" si="90"/>
        <v>0</v>
      </c>
    </row>
    <row r="5493" spans="1:3" x14ac:dyDescent="0.2">
      <c r="A5493" s="34">
        <v>37848</v>
      </c>
      <c r="B5493">
        <v>3.2774329999999998</v>
      </c>
      <c r="C5493">
        <f t="shared" si="90"/>
        <v>0</v>
      </c>
    </row>
    <row r="5494" spans="1:3" x14ac:dyDescent="0.2">
      <c r="A5494" s="34">
        <v>37847</v>
      </c>
      <c r="B5494">
        <v>3.2773690000000002</v>
      </c>
      <c r="C5494">
        <f t="shared" si="90"/>
        <v>0</v>
      </c>
    </row>
    <row r="5495" spans="1:3" x14ac:dyDescent="0.2">
      <c r="A5495" s="34">
        <v>37846</v>
      </c>
      <c r="B5495">
        <v>3.277304</v>
      </c>
      <c r="C5495">
        <f t="shared" si="90"/>
        <v>0</v>
      </c>
    </row>
    <row r="5496" spans="1:3" x14ac:dyDescent="0.2">
      <c r="A5496" s="34">
        <v>37845</v>
      </c>
      <c r="B5496">
        <v>3.2772389999999998</v>
      </c>
      <c r="C5496">
        <f t="shared" si="90"/>
        <v>0</v>
      </c>
    </row>
    <row r="5497" spans="1:3" x14ac:dyDescent="0.2">
      <c r="A5497" s="34">
        <v>37844</v>
      </c>
      <c r="B5497">
        <v>3.277174</v>
      </c>
      <c r="C5497">
        <f t="shared" si="90"/>
        <v>0</v>
      </c>
    </row>
    <row r="5498" spans="1:3" x14ac:dyDescent="0.2">
      <c r="A5498" s="34">
        <v>37843</v>
      </c>
      <c r="B5498">
        <v>3.2771089999999998</v>
      </c>
      <c r="C5498">
        <f t="shared" si="90"/>
        <v>0</v>
      </c>
    </row>
    <row r="5499" spans="1:3" x14ac:dyDescent="0.2">
      <c r="A5499" s="34">
        <v>37842</v>
      </c>
      <c r="B5499">
        <v>3.2769339999999998</v>
      </c>
      <c r="C5499">
        <f t="shared" si="90"/>
        <v>0</v>
      </c>
    </row>
    <row r="5500" spans="1:3" x14ac:dyDescent="0.2">
      <c r="A5500" s="34">
        <v>37841</v>
      </c>
      <c r="B5500">
        <v>3.2767590000000002</v>
      </c>
      <c r="C5500">
        <f t="shared" si="90"/>
        <v>0</v>
      </c>
    </row>
    <row r="5501" spans="1:3" x14ac:dyDescent="0.2">
      <c r="A5501" s="34">
        <v>37840</v>
      </c>
      <c r="B5501">
        <v>3.2765840000000002</v>
      </c>
      <c r="C5501">
        <f t="shared" si="90"/>
        <v>0</v>
      </c>
    </row>
    <row r="5502" spans="1:3" x14ac:dyDescent="0.2">
      <c r="A5502" s="34">
        <v>37839</v>
      </c>
      <c r="B5502">
        <v>3.2764099999999998</v>
      </c>
      <c r="C5502">
        <f t="shared" si="90"/>
        <v>0</v>
      </c>
    </row>
    <row r="5503" spans="1:3" x14ac:dyDescent="0.2">
      <c r="A5503" s="34">
        <v>37838</v>
      </c>
      <c r="B5503">
        <v>3.2762349999999998</v>
      </c>
      <c r="C5503">
        <f t="shared" si="90"/>
        <v>0</v>
      </c>
    </row>
    <row r="5504" spans="1:3" x14ac:dyDescent="0.2">
      <c r="A5504" s="34">
        <v>37837</v>
      </c>
      <c r="B5504">
        <v>3.2760600000000002</v>
      </c>
      <c r="C5504">
        <f t="shared" si="90"/>
        <v>0</v>
      </c>
    </row>
    <row r="5505" spans="1:3" x14ac:dyDescent="0.2">
      <c r="A5505" s="34">
        <v>37836</v>
      </c>
      <c r="B5505">
        <v>3.2758850000000002</v>
      </c>
      <c r="C5505">
        <f t="shared" si="90"/>
        <v>0</v>
      </c>
    </row>
    <row r="5506" spans="1:3" x14ac:dyDescent="0.2">
      <c r="A5506" s="34">
        <v>37835</v>
      </c>
      <c r="B5506">
        <v>3.2757109999999998</v>
      </c>
      <c r="C5506">
        <f t="shared" ref="C5506:C5569" si="91">IFERROR(VLOOKUP(A5506,$M$2:$N$3695,2,0),C5507)</f>
        <v>0</v>
      </c>
    </row>
    <row r="5507" spans="1:3" x14ac:dyDescent="0.2">
      <c r="A5507" s="34">
        <v>37834</v>
      </c>
      <c r="B5507">
        <v>3.2755359999999998</v>
      </c>
      <c r="C5507">
        <f t="shared" si="91"/>
        <v>0</v>
      </c>
    </row>
    <row r="5508" spans="1:3" x14ac:dyDescent="0.2">
      <c r="A5508" s="34">
        <v>37833</v>
      </c>
      <c r="B5508">
        <v>3.2753610000000002</v>
      </c>
      <c r="C5508">
        <f t="shared" si="91"/>
        <v>0</v>
      </c>
    </row>
    <row r="5509" spans="1:3" x14ac:dyDescent="0.2">
      <c r="A5509" s="34">
        <v>37832</v>
      </c>
      <c r="B5509">
        <v>3.2751869999999998</v>
      </c>
      <c r="C5509">
        <f t="shared" si="91"/>
        <v>0</v>
      </c>
    </row>
    <row r="5510" spans="1:3" x14ac:dyDescent="0.2">
      <c r="A5510" s="34">
        <v>37831</v>
      </c>
      <c r="B5510">
        <v>3.2750119999999998</v>
      </c>
      <c r="C5510">
        <f t="shared" si="91"/>
        <v>0</v>
      </c>
    </row>
    <row r="5511" spans="1:3" x14ac:dyDescent="0.2">
      <c r="A5511" s="34">
        <v>37830</v>
      </c>
      <c r="B5511">
        <v>3.2748370000000002</v>
      </c>
      <c r="C5511">
        <f t="shared" si="91"/>
        <v>0</v>
      </c>
    </row>
    <row r="5512" spans="1:3" x14ac:dyDescent="0.2">
      <c r="A5512" s="34">
        <v>37829</v>
      </c>
      <c r="B5512">
        <v>3.2746620000000002</v>
      </c>
      <c r="C5512">
        <f t="shared" si="91"/>
        <v>0</v>
      </c>
    </row>
    <row r="5513" spans="1:3" x14ac:dyDescent="0.2">
      <c r="A5513" s="34">
        <v>37828</v>
      </c>
      <c r="B5513">
        <v>3.2744879999999998</v>
      </c>
      <c r="C5513">
        <f t="shared" si="91"/>
        <v>0</v>
      </c>
    </row>
    <row r="5514" spans="1:3" x14ac:dyDescent="0.2">
      <c r="A5514" s="34">
        <v>37827</v>
      </c>
      <c r="B5514">
        <v>3.2743129999999998</v>
      </c>
      <c r="C5514">
        <f t="shared" si="91"/>
        <v>0</v>
      </c>
    </row>
    <row r="5515" spans="1:3" x14ac:dyDescent="0.2">
      <c r="A5515" s="34">
        <v>37826</v>
      </c>
      <c r="B5515">
        <v>3.2741159999999998</v>
      </c>
      <c r="C5515">
        <f t="shared" si="91"/>
        <v>0</v>
      </c>
    </row>
    <row r="5516" spans="1:3" x14ac:dyDescent="0.2">
      <c r="A5516" s="34">
        <v>37825</v>
      </c>
      <c r="B5516">
        <v>3.2739189999999998</v>
      </c>
      <c r="C5516">
        <f t="shared" si="91"/>
        <v>0</v>
      </c>
    </row>
    <row r="5517" spans="1:3" x14ac:dyDescent="0.2">
      <c r="A5517" s="34">
        <v>37824</v>
      </c>
      <c r="B5517">
        <v>3.2737219999999998</v>
      </c>
      <c r="C5517">
        <f t="shared" si="91"/>
        <v>0</v>
      </c>
    </row>
    <row r="5518" spans="1:3" x14ac:dyDescent="0.2">
      <c r="A5518" s="34">
        <v>37823</v>
      </c>
      <c r="B5518">
        <v>3.2735249999999998</v>
      </c>
      <c r="C5518">
        <f t="shared" si="91"/>
        <v>0</v>
      </c>
    </row>
    <row r="5519" spans="1:3" x14ac:dyDescent="0.2">
      <c r="A5519" s="34">
        <v>37822</v>
      </c>
      <c r="B5519">
        <v>3.2733289999999999</v>
      </c>
      <c r="C5519">
        <f t="shared" si="91"/>
        <v>0</v>
      </c>
    </row>
    <row r="5520" spans="1:3" x14ac:dyDescent="0.2">
      <c r="A5520" s="34">
        <v>37821</v>
      </c>
      <c r="B5520">
        <v>3.2731319999999999</v>
      </c>
      <c r="C5520">
        <f t="shared" si="91"/>
        <v>0</v>
      </c>
    </row>
    <row r="5521" spans="1:3" x14ac:dyDescent="0.2">
      <c r="A5521" s="34">
        <v>37820</v>
      </c>
      <c r="B5521">
        <v>3.2729349999999999</v>
      </c>
      <c r="C5521">
        <f t="shared" si="91"/>
        <v>0</v>
      </c>
    </row>
    <row r="5522" spans="1:3" x14ac:dyDescent="0.2">
      <c r="A5522" s="34">
        <v>37819</v>
      </c>
      <c r="B5522">
        <v>3.2727379999999999</v>
      </c>
      <c r="C5522">
        <f t="shared" si="91"/>
        <v>0</v>
      </c>
    </row>
    <row r="5523" spans="1:3" x14ac:dyDescent="0.2">
      <c r="A5523" s="34">
        <v>37818</v>
      </c>
      <c r="B5523">
        <v>3.2725409999999999</v>
      </c>
      <c r="C5523">
        <f t="shared" si="91"/>
        <v>0</v>
      </c>
    </row>
    <row r="5524" spans="1:3" x14ac:dyDescent="0.2">
      <c r="A5524" s="34">
        <v>37817</v>
      </c>
      <c r="B5524">
        <v>3.2723439999999999</v>
      </c>
      <c r="C5524">
        <f t="shared" si="91"/>
        <v>0</v>
      </c>
    </row>
    <row r="5525" spans="1:3" x14ac:dyDescent="0.2">
      <c r="A5525" s="34">
        <v>37816</v>
      </c>
      <c r="B5525">
        <v>3.2721469999999999</v>
      </c>
      <c r="C5525">
        <f t="shared" si="91"/>
        <v>0</v>
      </c>
    </row>
    <row r="5526" spans="1:3" x14ac:dyDescent="0.2">
      <c r="A5526" s="34">
        <v>37815</v>
      </c>
      <c r="B5526">
        <v>3.2719510000000001</v>
      </c>
      <c r="C5526">
        <f t="shared" si="91"/>
        <v>0</v>
      </c>
    </row>
    <row r="5527" spans="1:3" x14ac:dyDescent="0.2">
      <c r="A5527" s="34">
        <v>37814</v>
      </c>
      <c r="B5527">
        <v>3.2717540000000001</v>
      </c>
      <c r="C5527">
        <f t="shared" si="91"/>
        <v>0</v>
      </c>
    </row>
    <row r="5528" spans="1:3" x14ac:dyDescent="0.2">
      <c r="A5528" s="34">
        <v>37813</v>
      </c>
      <c r="B5528">
        <v>3.271557</v>
      </c>
      <c r="C5528">
        <f t="shared" si="91"/>
        <v>0</v>
      </c>
    </row>
    <row r="5529" spans="1:3" x14ac:dyDescent="0.2">
      <c r="A5529" s="34">
        <v>37812</v>
      </c>
      <c r="B5529">
        <v>3.27136</v>
      </c>
      <c r="C5529">
        <f t="shared" si="91"/>
        <v>0</v>
      </c>
    </row>
    <row r="5530" spans="1:3" x14ac:dyDescent="0.2">
      <c r="A5530" s="34">
        <v>37811</v>
      </c>
      <c r="B5530">
        <v>3.271404</v>
      </c>
      <c r="C5530">
        <f t="shared" si="91"/>
        <v>0</v>
      </c>
    </row>
    <row r="5531" spans="1:3" x14ac:dyDescent="0.2">
      <c r="A5531" s="34">
        <v>37810</v>
      </c>
      <c r="B5531">
        <v>3.2714479999999999</v>
      </c>
      <c r="C5531">
        <f t="shared" si="91"/>
        <v>0</v>
      </c>
    </row>
    <row r="5532" spans="1:3" x14ac:dyDescent="0.2">
      <c r="A5532" s="34">
        <v>37809</v>
      </c>
      <c r="B5532">
        <v>3.2714919999999998</v>
      </c>
      <c r="C5532">
        <f t="shared" si="91"/>
        <v>0</v>
      </c>
    </row>
    <row r="5533" spans="1:3" x14ac:dyDescent="0.2">
      <c r="A5533" s="34">
        <v>37808</v>
      </c>
      <c r="B5533">
        <v>3.2715360000000002</v>
      </c>
      <c r="C5533">
        <f t="shared" si="91"/>
        <v>0</v>
      </c>
    </row>
    <row r="5534" spans="1:3" x14ac:dyDescent="0.2">
      <c r="A5534" s="34">
        <v>37807</v>
      </c>
      <c r="B5534">
        <v>3.2715800000000002</v>
      </c>
      <c r="C5534">
        <f t="shared" si="91"/>
        <v>0</v>
      </c>
    </row>
    <row r="5535" spans="1:3" x14ac:dyDescent="0.2">
      <c r="A5535" s="34">
        <v>37806</v>
      </c>
      <c r="B5535">
        <v>3.2716240000000001</v>
      </c>
      <c r="C5535">
        <f t="shared" si="91"/>
        <v>0</v>
      </c>
    </row>
    <row r="5536" spans="1:3" x14ac:dyDescent="0.2">
      <c r="A5536" s="34">
        <v>37805</v>
      </c>
      <c r="B5536">
        <v>3.271668</v>
      </c>
      <c r="C5536">
        <f t="shared" si="91"/>
        <v>0</v>
      </c>
    </row>
    <row r="5537" spans="1:3" x14ac:dyDescent="0.2">
      <c r="A5537" s="34">
        <v>37804</v>
      </c>
      <c r="B5537">
        <v>3.271712</v>
      </c>
      <c r="C5537">
        <f t="shared" si="91"/>
        <v>0</v>
      </c>
    </row>
    <row r="5538" spans="1:3" x14ac:dyDescent="0.2">
      <c r="A5538" s="34">
        <v>37803</v>
      </c>
      <c r="B5538">
        <v>3.2717559999999999</v>
      </c>
      <c r="C5538">
        <f t="shared" si="91"/>
        <v>0</v>
      </c>
    </row>
    <row r="5539" spans="1:3" x14ac:dyDescent="0.2">
      <c r="A5539" s="34">
        <v>37802</v>
      </c>
      <c r="B5539">
        <v>3.2717999999999998</v>
      </c>
      <c r="C5539">
        <f t="shared" si="91"/>
        <v>0</v>
      </c>
    </row>
    <row r="5540" spans="1:3" x14ac:dyDescent="0.2">
      <c r="A5540" s="34">
        <v>37801</v>
      </c>
      <c r="B5540">
        <v>3.2718440000000002</v>
      </c>
      <c r="C5540">
        <f t="shared" si="91"/>
        <v>0</v>
      </c>
    </row>
    <row r="5541" spans="1:3" x14ac:dyDescent="0.2">
      <c r="A5541" s="34">
        <v>37800</v>
      </c>
      <c r="B5541">
        <v>3.2718880000000001</v>
      </c>
      <c r="C5541">
        <f t="shared" si="91"/>
        <v>0</v>
      </c>
    </row>
    <row r="5542" spans="1:3" x14ac:dyDescent="0.2">
      <c r="A5542" s="34">
        <v>37799</v>
      </c>
      <c r="B5542">
        <v>3.2719320000000001</v>
      </c>
      <c r="C5542">
        <f t="shared" si="91"/>
        <v>0</v>
      </c>
    </row>
    <row r="5543" spans="1:3" x14ac:dyDescent="0.2">
      <c r="A5543" s="34">
        <v>37798</v>
      </c>
      <c r="B5543">
        <v>3.271976</v>
      </c>
      <c r="C5543">
        <f t="shared" si="91"/>
        <v>0</v>
      </c>
    </row>
    <row r="5544" spans="1:3" x14ac:dyDescent="0.2">
      <c r="A5544" s="34">
        <v>37797</v>
      </c>
      <c r="B5544">
        <v>3.2720199999999999</v>
      </c>
      <c r="C5544">
        <f t="shared" si="91"/>
        <v>0</v>
      </c>
    </row>
    <row r="5545" spans="1:3" x14ac:dyDescent="0.2">
      <c r="A5545" s="34">
        <v>37796</v>
      </c>
      <c r="B5545">
        <v>3.271766</v>
      </c>
      <c r="C5545">
        <f t="shared" si="91"/>
        <v>0</v>
      </c>
    </row>
    <row r="5546" spans="1:3" x14ac:dyDescent="0.2">
      <c r="A5546" s="34">
        <v>37795</v>
      </c>
      <c r="B5546">
        <v>3.2715130000000001</v>
      </c>
      <c r="C5546">
        <f t="shared" si="91"/>
        <v>0</v>
      </c>
    </row>
    <row r="5547" spans="1:3" x14ac:dyDescent="0.2">
      <c r="A5547" s="34">
        <v>37794</v>
      </c>
      <c r="B5547">
        <v>3.2712590000000001</v>
      </c>
      <c r="C5547">
        <f t="shared" si="91"/>
        <v>0</v>
      </c>
    </row>
    <row r="5548" spans="1:3" x14ac:dyDescent="0.2">
      <c r="A5548" s="34">
        <v>37793</v>
      </c>
      <c r="B5548">
        <v>3.2710059999999999</v>
      </c>
      <c r="C5548">
        <f t="shared" si="91"/>
        <v>0</v>
      </c>
    </row>
    <row r="5549" spans="1:3" x14ac:dyDescent="0.2">
      <c r="A5549" s="34">
        <v>37792</v>
      </c>
      <c r="B5549">
        <v>3.270753</v>
      </c>
      <c r="C5549">
        <f t="shared" si="91"/>
        <v>0</v>
      </c>
    </row>
    <row r="5550" spans="1:3" x14ac:dyDescent="0.2">
      <c r="A5550" s="34">
        <v>37791</v>
      </c>
      <c r="B5550">
        <v>3.270499</v>
      </c>
      <c r="C5550">
        <f t="shared" si="91"/>
        <v>0</v>
      </c>
    </row>
    <row r="5551" spans="1:3" x14ac:dyDescent="0.2">
      <c r="A5551" s="34">
        <v>37790</v>
      </c>
      <c r="B5551">
        <v>3.2702460000000002</v>
      </c>
      <c r="C5551">
        <f t="shared" si="91"/>
        <v>0</v>
      </c>
    </row>
    <row r="5552" spans="1:3" x14ac:dyDescent="0.2">
      <c r="A5552" s="34">
        <v>37789</v>
      </c>
      <c r="B5552">
        <v>3.2699919999999998</v>
      </c>
      <c r="C5552">
        <f t="shared" si="91"/>
        <v>0</v>
      </c>
    </row>
    <row r="5553" spans="1:3" x14ac:dyDescent="0.2">
      <c r="A5553" s="34">
        <v>37788</v>
      </c>
      <c r="B5553">
        <v>3.269739</v>
      </c>
      <c r="C5553">
        <f t="shared" si="91"/>
        <v>0</v>
      </c>
    </row>
    <row r="5554" spans="1:3" x14ac:dyDescent="0.2">
      <c r="A5554" s="34">
        <v>37787</v>
      </c>
      <c r="B5554">
        <v>3.2694860000000001</v>
      </c>
      <c r="C5554">
        <f t="shared" si="91"/>
        <v>0</v>
      </c>
    </row>
    <row r="5555" spans="1:3" x14ac:dyDescent="0.2">
      <c r="A5555" s="34">
        <v>37786</v>
      </c>
      <c r="B5555">
        <v>3.2692320000000001</v>
      </c>
      <c r="C5555">
        <f t="shared" si="91"/>
        <v>0</v>
      </c>
    </row>
    <row r="5556" spans="1:3" x14ac:dyDescent="0.2">
      <c r="A5556" s="34">
        <v>37785</v>
      </c>
      <c r="B5556">
        <v>3.2689789999999999</v>
      </c>
      <c r="C5556">
        <f t="shared" si="91"/>
        <v>0</v>
      </c>
    </row>
    <row r="5557" spans="1:3" x14ac:dyDescent="0.2">
      <c r="A5557" s="34">
        <v>37784</v>
      </c>
      <c r="B5557">
        <v>3.268726</v>
      </c>
      <c r="C5557">
        <f t="shared" si="91"/>
        <v>0</v>
      </c>
    </row>
    <row r="5558" spans="1:3" x14ac:dyDescent="0.2">
      <c r="A5558" s="34">
        <v>37783</v>
      </c>
      <c r="B5558">
        <v>3.268472</v>
      </c>
      <c r="C5558">
        <f t="shared" si="91"/>
        <v>0</v>
      </c>
    </row>
    <row r="5559" spans="1:3" x14ac:dyDescent="0.2">
      <c r="A5559" s="34">
        <v>37782</v>
      </c>
      <c r="B5559">
        <v>3.2682190000000002</v>
      </c>
      <c r="C5559">
        <f t="shared" si="91"/>
        <v>0</v>
      </c>
    </row>
    <row r="5560" spans="1:3" x14ac:dyDescent="0.2">
      <c r="A5560" s="34">
        <v>37781</v>
      </c>
      <c r="B5560">
        <v>3.2690640000000002</v>
      </c>
      <c r="C5560">
        <f t="shared" si="91"/>
        <v>0</v>
      </c>
    </row>
    <row r="5561" spans="1:3" x14ac:dyDescent="0.2">
      <c r="A5561" s="34">
        <v>37780</v>
      </c>
      <c r="B5561">
        <v>3.269908</v>
      </c>
      <c r="C5561">
        <f t="shared" si="91"/>
        <v>0</v>
      </c>
    </row>
    <row r="5562" spans="1:3" x14ac:dyDescent="0.2">
      <c r="A5562" s="34">
        <v>37779</v>
      </c>
      <c r="B5562">
        <v>3.270753</v>
      </c>
      <c r="C5562">
        <f t="shared" si="91"/>
        <v>0</v>
      </c>
    </row>
    <row r="5563" spans="1:3" x14ac:dyDescent="0.2">
      <c r="A5563" s="34">
        <v>37778</v>
      </c>
      <c r="B5563">
        <v>3.2715990000000001</v>
      </c>
      <c r="C5563">
        <f t="shared" si="91"/>
        <v>0</v>
      </c>
    </row>
    <row r="5564" spans="1:3" x14ac:dyDescent="0.2">
      <c r="A5564" s="34">
        <v>37777</v>
      </c>
      <c r="B5564">
        <v>3.2724440000000001</v>
      </c>
      <c r="C5564">
        <f t="shared" si="91"/>
        <v>0</v>
      </c>
    </row>
    <row r="5565" spans="1:3" x14ac:dyDescent="0.2">
      <c r="A5565" s="34">
        <v>37776</v>
      </c>
      <c r="B5565">
        <v>3.2732899999999998</v>
      </c>
      <c r="C5565">
        <f t="shared" si="91"/>
        <v>0</v>
      </c>
    </row>
    <row r="5566" spans="1:3" x14ac:dyDescent="0.2">
      <c r="A5566" s="34">
        <v>37775</v>
      </c>
      <c r="B5566">
        <v>3.2741349999999998</v>
      </c>
      <c r="C5566">
        <f t="shared" si="91"/>
        <v>0</v>
      </c>
    </row>
    <row r="5567" spans="1:3" x14ac:dyDescent="0.2">
      <c r="A5567" s="34">
        <v>37774</v>
      </c>
      <c r="B5567">
        <v>3.2749809999999999</v>
      </c>
      <c r="C5567">
        <f t="shared" si="91"/>
        <v>0</v>
      </c>
    </row>
    <row r="5568" spans="1:3" x14ac:dyDescent="0.2">
      <c r="A5568" s="34">
        <v>37773</v>
      </c>
      <c r="B5568">
        <v>3.2758280000000002</v>
      </c>
      <c r="C5568">
        <f t="shared" si="91"/>
        <v>0</v>
      </c>
    </row>
    <row r="5569" spans="1:3" x14ac:dyDescent="0.2">
      <c r="A5569" s="34">
        <v>37772</v>
      </c>
      <c r="B5569">
        <v>3.2766739999999999</v>
      </c>
      <c r="C5569">
        <f t="shared" si="91"/>
        <v>0</v>
      </c>
    </row>
    <row r="5570" spans="1:3" x14ac:dyDescent="0.2">
      <c r="A5570" s="34">
        <v>37771</v>
      </c>
      <c r="B5570">
        <v>3.2775210000000001</v>
      </c>
      <c r="C5570">
        <f t="shared" ref="C5570:C5633" si="92">IFERROR(VLOOKUP(A5570,$M$2:$N$3695,2,0),C5571)</f>
        <v>0</v>
      </c>
    </row>
    <row r="5571" spans="1:3" x14ac:dyDescent="0.2">
      <c r="A5571" s="34">
        <v>37770</v>
      </c>
      <c r="B5571">
        <v>3.2783679999999999</v>
      </c>
      <c r="C5571">
        <f t="shared" si="92"/>
        <v>0</v>
      </c>
    </row>
    <row r="5572" spans="1:3" x14ac:dyDescent="0.2">
      <c r="A5572" s="34">
        <v>37769</v>
      </c>
      <c r="B5572">
        <v>3.2792150000000002</v>
      </c>
      <c r="C5572">
        <f t="shared" si="92"/>
        <v>0</v>
      </c>
    </row>
    <row r="5573" spans="1:3" x14ac:dyDescent="0.2">
      <c r="A5573" s="34">
        <v>37768</v>
      </c>
      <c r="B5573">
        <v>3.2800630000000002</v>
      </c>
      <c r="C5573">
        <f t="shared" si="92"/>
        <v>0</v>
      </c>
    </row>
    <row r="5574" spans="1:3" x14ac:dyDescent="0.2">
      <c r="A5574" s="34">
        <v>37767</v>
      </c>
      <c r="B5574">
        <v>3.28091</v>
      </c>
      <c r="C5574">
        <f t="shared" si="92"/>
        <v>0</v>
      </c>
    </row>
    <row r="5575" spans="1:3" x14ac:dyDescent="0.2">
      <c r="A5575" s="34">
        <v>37766</v>
      </c>
      <c r="B5575">
        <v>3.281758</v>
      </c>
      <c r="C5575">
        <f t="shared" si="92"/>
        <v>0</v>
      </c>
    </row>
    <row r="5576" spans="1:3" x14ac:dyDescent="0.2">
      <c r="A5576" s="34">
        <v>37765</v>
      </c>
      <c r="B5576">
        <v>3.2816200000000002</v>
      </c>
      <c r="C5576">
        <f t="shared" si="92"/>
        <v>0</v>
      </c>
    </row>
    <row r="5577" spans="1:3" x14ac:dyDescent="0.2">
      <c r="A5577" s="34">
        <v>37764</v>
      </c>
      <c r="B5577">
        <v>3.2814809999999999</v>
      </c>
      <c r="C5577">
        <f t="shared" si="92"/>
        <v>0</v>
      </c>
    </row>
    <row r="5578" spans="1:3" x14ac:dyDescent="0.2">
      <c r="A5578" s="34">
        <v>37763</v>
      </c>
      <c r="B5578">
        <v>3.2813430000000001</v>
      </c>
      <c r="C5578">
        <f t="shared" si="92"/>
        <v>0</v>
      </c>
    </row>
    <row r="5579" spans="1:3" x14ac:dyDescent="0.2">
      <c r="A5579" s="34">
        <v>37762</v>
      </c>
      <c r="B5579">
        <v>3.2812049999999999</v>
      </c>
      <c r="C5579">
        <f t="shared" si="92"/>
        <v>0</v>
      </c>
    </row>
    <row r="5580" spans="1:3" x14ac:dyDescent="0.2">
      <c r="A5580" s="34">
        <v>37761</v>
      </c>
      <c r="B5580">
        <v>3.2810670000000002</v>
      </c>
      <c r="C5580">
        <f t="shared" si="92"/>
        <v>0</v>
      </c>
    </row>
    <row r="5581" spans="1:3" x14ac:dyDescent="0.2">
      <c r="A5581" s="34">
        <v>37760</v>
      </c>
      <c r="B5581">
        <v>3.2809279999999998</v>
      </c>
      <c r="C5581">
        <f t="shared" si="92"/>
        <v>0</v>
      </c>
    </row>
    <row r="5582" spans="1:3" x14ac:dyDescent="0.2">
      <c r="A5582" s="34">
        <v>37759</v>
      </c>
      <c r="B5582">
        <v>3.2807900000000001</v>
      </c>
      <c r="C5582">
        <f t="shared" si="92"/>
        <v>0</v>
      </c>
    </row>
    <row r="5583" spans="1:3" x14ac:dyDescent="0.2">
      <c r="A5583" s="34">
        <v>37758</v>
      </c>
      <c r="B5583">
        <v>3.2806519999999999</v>
      </c>
      <c r="C5583">
        <f t="shared" si="92"/>
        <v>0</v>
      </c>
    </row>
    <row r="5584" spans="1:3" x14ac:dyDescent="0.2">
      <c r="A5584" s="34">
        <v>37757</v>
      </c>
      <c r="B5584">
        <v>3.2805140000000002</v>
      </c>
      <c r="C5584">
        <f t="shared" si="92"/>
        <v>0</v>
      </c>
    </row>
    <row r="5585" spans="1:3" x14ac:dyDescent="0.2">
      <c r="A5585" s="34">
        <v>37756</v>
      </c>
      <c r="B5585">
        <v>3.280376</v>
      </c>
      <c r="C5585">
        <f t="shared" si="92"/>
        <v>0</v>
      </c>
    </row>
    <row r="5586" spans="1:3" x14ac:dyDescent="0.2">
      <c r="A5586" s="34">
        <v>37755</v>
      </c>
      <c r="B5586">
        <v>3.2802370000000001</v>
      </c>
      <c r="C5586">
        <f t="shared" si="92"/>
        <v>0</v>
      </c>
    </row>
    <row r="5587" spans="1:3" x14ac:dyDescent="0.2">
      <c r="A5587" s="34">
        <v>37754</v>
      </c>
      <c r="B5587">
        <v>3.2800989999999999</v>
      </c>
      <c r="C5587">
        <f t="shared" si="92"/>
        <v>0</v>
      </c>
    </row>
    <row r="5588" spans="1:3" x14ac:dyDescent="0.2">
      <c r="A5588" s="34">
        <v>37753</v>
      </c>
      <c r="B5588">
        <v>3.2799610000000001</v>
      </c>
      <c r="C5588">
        <f t="shared" si="92"/>
        <v>0</v>
      </c>
    </row>
    <row r="5589" spans="1:3" x14ac:dyDescent="0.2">
      <c r="A5589" s="34">
        <v>37752</v>
      </c>
      <c r="B5589">
        <v>3.2798229999999999</v>
      </c>
      <c r="C5589">
        <f t="shared" si="92"/>
        <v>0</v>
      </c>
    </row>
    <row r="5590" spans="1:3" x14ac:dyDescent="0.2">
      <c r="A5590" s="34">
        <v>37751</v>
      </c>
      <c r="B5590">
        <v>3.2796850000000002</v>
      </c>
      <c r="C5590">
        <f t="shared" si="92"/>
        <v>0</v>
      </c>
    </row>
    <row r="5591" spans="1:3" x14ac:dyDescent="0.2">
      <c r="A5591" s="34">
        <v>37750</v>
      </c>
      <c r="B5591">
        <v>3.2796599999999998</v>
      </c>
      <c r="C5591">
        <f t="shared" si="92"/>
        <v>0</v>
      </c>
    </row>
    <row r="5592" spans="1:3" x14ac:dyDescent="0.2">
      <c r="A5592" s="34">
        <v>37749</v>
      </c>
      <c r="B5592">
        <v>3.2796340000000002</v>
      </c>
      <c r="C5592">
        <f t="shared" si="92"/>
        <v>0</v>
      </c>
    </row>
    <row r="5593" spans="1:3" x14ac:dyDescent="0.2">
      <c r="A5593" s="34">
        <v>37748</v>
      </c>
      <c r="B5593">
        <v>3.2796090000000002</v>
      </c>
      <c r="C5593">
        <f t="shared" si="92"/>
        <v>0</v>
      </c>
    </row>
    <row r="5594" spans="1:3" x14ac:dyDescent="0.2">
      <c r="A5594" s="34">
        <v>37747</v>
      </c>
      <c r="B5594">
        <v>3.2795839999999998</v>
      </c>
      <c r="C5594">
        <f t="shared" si="92"/>
        <v>0</v>
      </c>
    </row>
    <row r="5595" spans="1:3" x14ac:dyDescent="0.2">
      <c r="A5595" s="34">
        <v>37746</v>
      </c>
      <c r="B5595">
        <v>3.2795589999999999</v>
      </c>
      <c r="C5595">
        <f t="shared" si="92"/>
        <v>0</v>
      </c>
    </row>
    <row r="5596" spans="1:3" x14ac:dyDescent="0.2">
      <c r="A5596" s="34">
        <v>37745</v>
      </c>
      <c r="B5596">
        <v>3.2795339999999999</v>
      </c>
      <c r="C5596">
        <f t="shared" si="92"/>
        <v>0</v>
      </c>
    </row>
    <row r="5597" spans="1:3" x14ac:dyDescent="0.2">
      <c r="A5597" s="34">
        <v>37744</v>
      </c>
      <c r="B5597">
        <v>3.279509</v>
      </c>
      <c r="C5597">
        <f t="shared" si="92"/>
        <v>0</v>
      </c>
    </row>
    <row r="5598" spans="1:3" x14ac:dyDescent="0.2">
      <c r="A5598" s="34">
        <v>37743</v>
      </c>
      <c r="B5598">
        <v>3.2794840000000001</v>
      </c>
      <c r="C5598">
        <f t="shared" si="92"/>
        <v>0</v>
      </c>
    </row>
    <row r="5599" spans="1:3" x14ac:dyDescent="0.2">
      <c r="A5599" s="34">
        <v>37742</v>
      </c>
      <c r="B5599">
        <v>3.2794590000000001</v>
      </c>
      <c r="C5599">
        <f t="shared" si="92"/>
        <v>0</v>
      </c>
    </row>
    <row r="5600" spans="1:3" x14ac:dyDescent="0.2">
      <c r="A5600" s="34">
        <v>37741</v>
      </c>
      <c r="B5600">
        <v>3.279433</v>
      </c>
      <c r="C5600">
        <f t="shared" si="92"/>
        <v>0</v>
      </c>
    </row>
    <row r="5601" spans="1:3" x14ac:dyDescent="0.2">
      <c r="A5601" s="34">
        <v>37740</v>
      </c>
      <c r="B5601">
        <v>3.2794080000000001</v>
      </c>
      <c r="C5601">
        <f t="shared" si="92"/>
        <v>0</v>
      </c>
    </row>
    <row r="5602" spans="1:3" x14ac:dyDescent="0.2">
      <c r="A5602" s="34">
        <v>37739</v>
      </c>
      <c r="B5602">
        <v>3.2793830000000002</v>
      </c>
      <c r="C5602">
        <f t="shared" si="92"/>
        <v>0</v>
      </c>
    </row>
    <row r="5603" spans="1:3" x14ac:dyDescent="0.2">
      <c r="A5603" s="34">
        <v>37738</v>
      </c>
      <c r="B5603">
        <v>3.2793580000000002</v>
      </c>
      <c r="C5603">
        <f t="shared" si="92"/>
        <v>0</v>
      </c>
    </row>
    <row r="5604" spans="1:3" x14ac:dyDescent="0.2">
      <c r="A5604" s="34">
        <v>37737</v>
      </c>
      <c r="B5604">
        <v>3.2793329999999998</v>
      </c>
      <c r="C5604">
        <f t="shared" si="92"/>
        <v>0</v>
      </c>
    </row>
    <row r="5605" spans="1:3" x14ac:dyDescent="0.2">
      <c r="A5605" s="34">
        <v>37736</v>
      </c>
      <c r="B5605">
        <v>3.2793079999999999</v>
      </c>
      <c r="C5605">
        <f t="shared" si="92"/>
        <v>0</v>
      </c>
    </row>
    <row r="5606" spans="1:3" x14ac:dyDescent="0.2">
      <c r="A5606" s="34">
        <v>37735</v>
      </c>
      <c r="B5606">
        <v>3.2787500000000001</v>
      </c>
      <c r="C5606">
        <f t="shared" si="92"/>
        <v>0</v>
      </c>
    </row>
    <row r="5607" spans="1:3" x14ac:dyDescent="0.2">
      <c r="A5607" s="34">
        <v>37734</v>
      </c>
      <c r="B5607">
        <v>3.2781920000000002</v>
      </c>
      <c r="C5607">
        <f t="shared" si="92"/>
        <v>0</v>
      </c>
    </row>
    <row r="5608" spans="1:3" x14ac:dyDescent="0.2">
      <c r="A5608" s="34">
        <v>37733</v>
      </c>
      <c r="B5608">
        <v>3.2776350000000001</v>
      </c>
      <c r="C5608">
        <f t="shared" si="92"/>
        <v>0</v>
      </c>
    </row>
    <row r="5609" spans="1:3" x14ac:dyDescent="0.2">
      <c r="A5609" s="34">
        <v>37732</v>
      </c>
      <c r="B5609">
        <v>3.2770769999999998</v>
      </c>
      <c r="C5609">
        <f t="shared" si="92"/>
        <v>0</v>
      </c>
    </row>
    <row r="5610" spans="1:3" x14ac:dyDescent="0.2">
      <c r="A5610" s="34">
        <v>37731</v>
      </c>
      <c r="B5610">
        <v>3.2765200000000001</v>
      </c>
      <c r="C5610">
        <f t="shared" si="92"/>
        <v>0</v>
      </c>
    </row>
    <row r="5611" spans="1:3" x14ac:dyDescent="0.2">
      <c r="A5611" s="34">
        <v>37730</v>
      </c>
      <c r="B5611">
        <v>3.275963</v>
      </c>
      <c r="C5611">
        <f t="shared" si="92"/>
        <v>0</v>
      </c>
    </row>
    <row r="5612" spans="1:3" x14ac:dyDescent="0.2">
      <c r="A5612" s="34">
        <v>37729</v>
      </c>
      <c r="B5612">
        <v>3.2754059999999998</v>
      </c>
      <c r="C5612">
        <f t="shared" si="92"/>
        <v>0</v>
      </c>
    </row>
    <row r="5613" spans="1:3" x14ac:dyDescent="0.2">
      <c r="A5613" s="34">
        <v>37728</v>
      </c>
      <c r="B5613">
        <v>3.2748490000000001</v>
      </c>
      <c r="C5613">
        <f t="shared" si="92"/>
        <v>0</v>
      </c>
    </row>
    <row r="5614" spans="1:3" x14ac:dyDescent="0.2">
      <c r="A5614" s="34">
        <v>37727</v>
      </c>
      <c r="B5614">
        <v>3.274292</v>
      </c>
      <c r="C5614">
        <f t="shared" si="92"/>
        <v>0</v>
      </c>
    </row>
    <row r="5615" spans="1:3" x14ac:dyDescent="0.2">
      <c r="A5615" s="34">
        <v>37726</v>
      </c>
      <c r="B5615">
        <v>3.2737349999999998</v>
      </c>
      <c r="C5615">
        <f t="shared" si="92"/>
        <v>0</v>
      </c>
    </row>
    <row r="5616" spans="1:3" x14ac:dyDescent="0.2">
      <c r="A5616" s="34">
        <v>37725</v>
      </c>
      <c r="B5616">
        <v>3.2731780000000001</v>
      </c>
      <c r="C5616">
        <f t="shared" si="92"/>
        <v>0</v>
      </c>
    </row>
    <row r="5617" spans="1:3" x14ac:dyDescent="0.2">
      <c r="A5617" s="34">
        <v>37724</v>
      </c>
      <c r="B5617">
        <v>3.272621</v>
      </c>
      <c r="C5617">
        <f t="shared" si="92"/>
        <v>0</v>
      </c>
    </row>
    <row r="5618" spans="1:3" x14ac:dyDescent="0.2">
      <c r="A5618" s="34">
        <v>37723</v>
      </c>
      <c r="B5618">
        <v>3.272065</v>
      </c>
      <c r="C5618">
        <f t="shared" si="92"/>
        <v>0</v>
      </c>
    </row>
    <row r="5619" spans="1:3" x14ac:dyDescent="0.2">
      <c r="A5619" s="34">
        <v>37722</v>
      </c>
      <c r="B5619">
        <v>3.2715079999999999</v>
      </c>
      <c r="C5619">
        <f t="shared" si="92"/>
        <v>0</v>
      </c>
    </row>
    <row r="5620" spans="1:3" x14ac:dyDescent="0.2">
      <c r="A5620" s="34">
        <v>37721</v>
      </c>
      <c r="B5620">
        <v>3.2709519999999999</v>
      </c>
      <c r="C5620">
        <f t="shared" si="92"/>
        <v>0</v>
      </c>
    </row>
    <row r="5621" spans="1:3" x14ac:dyDescent="0.2">
      <c r="A5621" s="34">
        <v>37720</v>
      </c>
      <c r="B5621">
        <v>3.2701470000000001</v>
      </c>
      <c r="C5621">
        <f t="shared" si="92"/>
        <v>0</v>
      </c>
    </row>
    <row r="5622" spans="1:3" x14ac:dyDescent="0.2">
      <c r="A5622" s="34">
        <v>37719</v>
      </c>
      <c r="B5622">
        <v>3.2693430000000001</v>
      </c>
      <c r="C5622">
        <f t="shared" si="92"/>
        <v>0</v>
      </c>
    </row>
    <row r="5623" spans="1:3" x14ac:dyDescent="0.2">
      <c r="A5623" s="34">
        <v>37718</v>
      </c>
      <c r="B5623">
        <v>3.2685390000000001</v>
      </c>
      <c r="C5623">
        <f t="shared" si="92"/>
        <v>0</v>
      </c>
    </row>
    <row r="5624" spans="1:3" x14ac:dyDescent="0.2">
      <c r="A5624" s="34">
        <v>37717</v>
      </c>
      <c r="B5624">
        <v>3.2677350000000001</v>
      </c>
      <c r="C5624">
        <f t="shared" si="92"/>
        <v>0</v>
      </c>
    </row>
    <row r="5625" spans="1:3" x14ac:dyDescent="0.2">
      <c r="A5625" s="34">
        <v>37716</v>
      </c>
      <c r="B5625">
        <v>3.2669320000000002</v>
      </c>
      <c r="C5625">
        <f t="shared" si="92"/>
        <v>0</v>
      </c>
    </row>
    <row r="5626" spans="1:3" x14ac:dyDescent="0.2">
      <c r="A5626" s="34">
        <v>37715</v>
      </c>
      <c r="B5626">
        <v>3.2661280000000001</v>
      </c>
      <c r="C5626">
        <f t="shared" si="92"/>
        <v>0</v>
      </c>
    </row>
    <row r="5627" spans="1:3" x14ac:dyDescent="0.2">
      <c r="A5627" s="34">
        <v>37714</v>
      </c>
      <c r="B5627">
        <v>3.2653249999999998</v>
      </c>
      <c r="C5627">
        <f t="shared" si="92"/>
        <v>0</v>
      </c>
    </row>
    <row r="5628" spans="1:3" x14ac:dyDescent="0.2">
      <c r="A5628" s="34">
        <v>37713</v>
      </c>
      <c r="B5628">
        <v>3.2645219999999999</v>
      </c>
      <c r="C5628">
        <f t="shared" si="92"/>
        <v>0</v>
      </c>
    </row>
    <row r="5629" spans="1:3" x14ac:dyDescent="0.2">
      <c r="A5629" s="34">
        <v>37712</v>
      </c>
      <c r="B5629">
        <v>3.263719</v>
      </c>
      <c r="C5629">
        <f t="shared" si="92"/>
        <v>0</v>
      </c>
    </row>
    <row r="5630" spans="1:3" x14ac:dyDescent="0.2">
      <c r="A5630" s="34">
        <v>37711</v>
      </c>
      <c r="B5630">
        <v>3.2629160000000001</v>
      </c>
      <c r="C5630">
        <f t="shared" si="92"/>
        <v>0</v>
      </c>
    </row>
    <row r="5631" spans="1:3" x14ac:dyDescent="0.2">
      <c r="A5631" s="34">
        <v>37710</v>
      </c>
      <c r="B5631">
        <v>3.262114</v>
      </c>
      <c r="C5631">
        <f t="shared" si="92"/>
        <v>0</v>
      </c>
    </row>
    <row r="5632" spans="1:3" x14ac:dyDescent="0.2">
      <c r="A5632" s="34">
        <v>37709</v>
      </c>
      <c r="B5632">
        <v>3.2613110000000001</v>
      </c>
      <c r="C5632">
        <f t="shared" si="92"/>
        <v>0</v>
      </c>
    </row>
    <row r="5633" spans="1:3" x14ac:dyDescent="0.2">
      <c r="A5633" s="34">
        <v>37708</v>
      </c>
      <c r="B5633">
        <v>3.2605089999999999</v>
      </c>
      <c r="C5633">
        <f t="shared" si="92"/>
        <v>0</v>
      </c>
    </row>
    <row r="5634" spans="1:3" x14ac:dyDescent="0.2">
      <c r="A5634" s="34">
        <v>37707</v>
      </c>
      <c r="B5634">
        <v>3.2597070000000001</v>
      </c>
      <c r="C5634">
        <f t="shared" ref="C5634:C5697" si="93">IFERROR(VLOOKUP(A5634,$M$2:$N$3695,2,0),C5635)</f>
        <v>0</v>
      </c>
    </row>
    <row r="5635" spans="1:3" x14ac:dyDescent="0.2">
      <c r="A5635" s="34">
        <v>37706</v>
      </c>
      <c r="B5635">
        <v>3.2589060000000001</v>
      </c>
      <c r="C5635">
        <f t="shared" si="93"/>
        <v>0</v>
      </c>
    </row>
    <row r="5636" spans="1:3" x14ac:dyDescent="0.2">
      <c r="A5636" s="34">
        <v>37705</v>
      </c>
      <c r="B5636">
        <v>3.2581039999999999</v>
      </c>
      <c r="C5636">
        <f t="shared" si="93"/>
        <v>0</v>
      </c>
    </row>
    <row r="5637" spans="1:3" x14ac:dyDescent="0.2">
      <c r="A5637" s="34">
        <v>37704</v>
      </c>
      <c r="B5637">
        <v>3.2576350000000001</v>
      </c>
      <c r="C5637">
        <f t="shared" si="93"/>
        <v>0</v>
      </c>
    </row>
    <row r="5638" spans="1:3" x14ac:dyDescent="0.2">
      <c r="A5638" s="34">
        <v>37703</v>
      </c>
      <c r="B5638">
        <v>3.2571650000000001</v>
      </c>
      <c r="C5638">
        <f t="shared" si="93"/>
        <v>0</v>
      </c>
    </row>
    <row r="5639" spans="1:3" x14ac:dyDescent="0.2">
      <c r="A5639" s="34">
        <v>37702</v>
      </c>
      <c r="B5639">
        <v>3.2566959999999998</v>
      </c>
      <c r="C5639">
        <f t="shared" si="93"/>
        <v>0</v>
      </c>
    </row>
    <row r="5640" spans="1:3" x14ac:dyDescent="0.2">
      <c r="A5640" s="34">
        <v>37701</v>
      </c>
      <c r="B5640">
        <v>3.2562259999999998</v>
      </c>
      <c r="C5640">
        <f t="shared" si="93"/>
        <v>0</v>
      </c>
    </row>
    <row r="5641" spans="1:3" x14ac:dyDescent="0.2">
      <c r="A5641" s="34">
        <v>37700</v>
      </c>
      <c r="B5641">
        <v>3.255757</v>
      </c>
      <c r="C5641">
        <f t="shared" si="93"/>
        <v>0</v>
      </c>
    </row>
    <row r="5642" spans="1:3" x14ac:dyDescent="0.2">
      <c r="A5642" s="34">
        <v>37699</v>
      </c>
      <c r="B5642">
        <v>3.2552880000000002</v>
      </c>
      <c r="C5642">
        <f t="shared" si="93"/>
        <v>0</v>
      </c>
    </row>
    <row r="5643" spans="1:3" x14ac:dyDescent="0.2">
      <c r="A5643" s="34">
        <v>37698</v>
      </c>
      <c r="B5643">
        <v>3.2548189999999999</v>
      </c>
      <c r="C5643">
        <f t="shared" si="93"/>
        <v>0</v>
      </c>
    </row>
    <row r="5644" spans="1:3" x14ac:dyDescent="0.2">
      <c r="A5644" s="34">
        <v>37697</v>
      </c>
      <c r="B5644">
        <v>3.2543489999999999</v>
      </c>
      <c r="C5644">
        <f t="shared" si="93"/>
        <v>0</v>
      </c>
    </row>
    <row r="5645" spans="1:3" x14ac:dyDescent="0.2">
      <c r="A5645" s="34">
        <v>37696</v>
      </c>
      <c r="B5645">
        <v>3.2538800000000001</v>
      </c>
      <c r="C5645">
        <f t="shared" si="93"/>
        <v>0</v>
      </c>
    </row>
    <row r="5646" spans="1:3" x14ac:dyDescent="0.2">
      <c r="A5646" s="34">
        <v>37695</v>
      </c>
      <c r="B5646">
        <v>3.2534109999999998</v>
      </c>
      <c r="C5646">
        <f t="shared" si="93"/>
        <v>0</v>
      </c>
    </row>
    <row r="5647" spans="1:3" x14ac:dyDescent="0.2">
      <c r="A5647" s="34">
        <v>37694</v>
      </c>
      <c r="B5647">
        <v>3.2529430000000001</v>
      </c>
      <c r="C5647">
        <f t="shared" si="93"/>
        <v>0</v>
      </c>
    </row>
    <row r="5648" spans="1:3" x14ac:dyDescent="0.2">
      <c r="A5648" s="34">
        <v>37693</v>
      </c>
      <c r="B5648">
        <v>3.2524739999999999</v>
      </c>
      <c r="C5648">
        <f t="shared" si="93"/>
        <v>0</v>
      </c>
    </row>
    <row r="5649" spans="1:3" x14ac:dyDescent="0.2">
      <c r="A5649" s="34">
        <v>37692</v>
      </c>
      <c r="B5649">
        <v>3.252005</v>
      </c>
      <c r="C5649">
        <f t="shared" si="93"/>
        <v>0</v>
      </c>
    </row>
    <row r="5650" spans="1:3" x14ac:dyDescent="0.2">
      <c r="A5650" s="34">
        <v>37691</v>
      </c>
      <c r="B5650">
        <v>3.2515360000000002</v>
      </c>
      <c r="C5650">
        <f t="shared" si="93"/>
        <v>0</v>
      </c>
    </row>
    <row r="5651" spans="1:3" x14ac:dyDescent="0.2">
      <c r="A5651" s="34">
        <v>37690</v>
      </c>
      <c r="B5651">
        <v>3.2510680000000001</v>
      </c>
      <c r="C5651">
        <f t="shared" si="93"/>
        <v>0</v>
      </c>
    </row>
    <row r="5652" spans="1:3" x14ac:dyDescent="0.2">
      <c r="A5652" s="34">
        <v>37689</v>
      </c>
      <c r="B5652">
        <v>3.2506949999999999</v>
      </c>
      <c r="C5652">
        <f t="shared" si="93"/>
        <v>0</v>
      </c>
    </row>
    <row r="5653" spans="1:3" x14ac:dyDescent="0.2">
      <c r="A5653" s="34">
        <v>37688</v>
      </c>
      <c r="B5653">
        <v>3.2503229999999999</v>
      </c>
      <c r="C5653">
        <f t="shared" si="93"/>
        <v>0</v>
      </c>
    </row>
    <row r="5654" spans="1:3" x14ac:dyDescent="0.2">
      <c r="A5654" s="34">
        <v>37687</v>
      </c>
      <c r="B5654">
        <v>3.2499509999999998</v>
      </c>
      <c r="C5654">
        <f t="shared" si="93"/>
        <v>0</v>
      </c>
    </row>
    <row r="5655" spans="1:3" x14ac:dyDescent="0.2">
      <c r="A5655" s="34">
        <v>37686</v>
      </c>
      <c r="B5655">
        <v>3.2495780000000001</v>
      </c>
      <c r="C5655">
        <f t="shared" si="93"/>
        <v>0</v>
      </c>
    </row>
    <row r="5656" spans="1:3" x14ac:dyDescent="0.2">
      <c r="A5656" s="34">
        <v>37685</v>
      </c>
      <c r="B5656">
        <v>3.249206</v>
      </c>
      <c r="C5656">
        <f t="shared" si="93"/>
        <v>0</v>
      </c>
    </row>
    <row r="5657" spans="1:3" x14ac:dyDescent="0.2">
      <c r="A5657" s="34">
        <v>37684</v>
      </c>
      <c r="B5657">
        <v>3.248834</v>
      </c>
      <c r="C5657">
        <f t="shared" si="93"/>
        <v>0</v>
      </c>
    </row>
    <row r="5658" spans="1:3" x14ac:dyDescent="0.2">
      <c r="A5658" s="34">
        <v>37683</v>
      </c>
      <c r="B5658">
        <v>3.248462</v>
      </c>
      <c r="C5658">
        <f t="shared" si="93"/>
        <v>0</v>
      </c>
    </row>
    <row r="5659" spans="1:3" x14ac:dyDescent="0.2">
      <c r="A5659" s="34">
        <v>37682</v>
      </c>
      <c r="B5659">
        <v>3.2480899999999999</v>
      </c>
      <c r="C5659">
        <f t="shared" si="93"/>
        <v>0</v>
      </c>
    </row>
    <row r="5660" spans="1:3" x14ac:dyDescent="0.2">
      <c r="A5660" s="34">
        <v>37681</v>
      </c>
      <c r="B5660">
        <v>3.2477179999999999</v>
      </c>
      <c r="C5660">
        <f t="shared" si="93"/>
        <v>0</v>
      </c>
    </row>
    <row r="5661" spans="1:3" x14ac:dyDescent="0.2">
      <c r="A5661" s="34">
        <v>37680</v>
      </c>
      <c r="B5661">
        <v>3.2473459999999998</v>
      </c>
      <c r="C5661">
        <f t="shared" si="93"/>
        <v>0</v>
      </c>
    </row>
    <row r="5662" spans="1:3" x14ac:dyDescent="0.2">
      <c r="A5662" s="34">
        <v>37679</v>
      </c>
      <c r="B5662">
        <v>3.2469739999999998</v>
      </c>
      <c r="C5662">
        <f t="shared" si="93"/>
        <v>0</v>
      </c>
    </row>
    <row r="5663" spans="1:3" x14ac:dyDescent="0.2">
      <c r="A5663" s="34">
        <v>37678</v>
      </c>
      <c r="B5663">
        <v>3.2466020000000002</v>
      </c>
      <c r="C5663">
        <f t="shared" si="93"/>
        <v>0</v>
      </c>
    </row>
    <row r="5664" spans="1:3" x14ac:dyDescent="0.2">
      <c r="A5664" s="34">
        <v>37677</v>
      </c>
      <c r="B5664">
        <v>3.2462300000000002</v>
      </c>
      <c r="C5664">
        <f t="shared" si="93"/>
        <v>0</v>
      </c>
    </row>
    <row r="5665" spans="1:3" x14ac:dyDescent="0.2">
      <c r="A5665" s="34">
        <v>37676</v>
      </c>
      <c r="B5665">
        <v>3.2461419999999999</v>
      </c>
      <c r="C5665">
        <f t="shared" si="93"/>
        <v>0</v>
      </c>
    </row>
    <row r="5666" spans="1:3" x14ac:dyDescent="0.2">
      <c r="A5666" s="34">
        <v>37675</v>
      </c>
      <c r="B5666">
        <v>3.246054</v>
      </c>
      <c r="C5666">
        <f t="shared" si="93"/>
        <v>0</v>
      </c>
    </row>
    <row r="5667" spans="1:3" x14ac:dyDescent="0.2">
      <c r="A5667" s="34">
        <v>37674</v>
      </c>
      <c r="B5667">
        <v>3.2459660000000001</v>
      </c>
      <c r="C5667">
        <f t="shared" si="93"/>
        <v>0</v>
      </c>
    </row>
    <row r="5668" spans="1:3" x14ac:dyDescent="0.2">
      <c r="A5668" s="34">
        <v>37673</v>
      </c>
      <c r="B5668">
        <v>3.2458779999999998</v>
      </c>
      <c r="C5668">
        <f t="shared" si="93"/>
        <v>0</v>
      </c>
    </row>
    <row r="5669" spans="1:3" x14ac:dyDescent="0.2">
      <c r="A5669" s="34">
        <v>37672</v>
      </c>
      <c r="B5669">
        <v>3.24579</v>
      </c>
      <c r="C5669">
        <f t="shared" si="93"/>
        <v>0</v>
      </c>
    </row>
    <row r="5670" spans="1:3" x14ac:dyDescent="0.2">
      <c r="A5670" s="34">
        <v>37671</v>
      </c>
      <c r="B5670">
        <v>3.2457020000000001</v>
      </c>
      <c r="C5670">
        <f t="shared" si="93"/>
        <v>0</v>
      </c>
    </row>
    <row r="5671" spans="1:3" x14ac:dyDescent="0.2">
      <c r="A5671" s="34">
        <v>37670</v>
      </c>
      <c r="B5671">
        <v>3.2456140000000002</v>
      </c>
      <c r="C5671">
        <f t="shared" si="93"/>
        <v>0</v>
      </c>
    </row>
    <row r="5672" spans="1:3" x14ac:dyDescent="0.2">
      <c r="A5672" s="34">
        <v>37669</v>
      </c>
      <c r="B5672">
        <v>3.2455259999999999</v>
      </c>
      <c r="C5672">
        <f t="shared" si="93"/>
        <v>0</v>
      </c>
    </row>
    <row r="5673" spans="1:3" x14ac:dyDescent="0.2">
      <c r="A5673" s="34">
        <v>37668</v>
      </c>
      <c r="B5673">
        <v>3.245438</v>
      </c>
      <c r="C5673">
        <f t="shared" si="93"/>
        <v>0</v>
      </c>
    </row>
    <row r="5674" spans="1:3" x14ac:dyDescent="0.2">
      <c r="A5674" s="34">
        <v>37667</v>
      </c>
      <c r="B5674">
        <v>3.2453500000000002</v>
      </c>
      <c r="C5674">
        <f t="shared" si="93"/>
        <v>0</v>
      </c>
    </row>
    <row r="5675" spans="1:3" x14ac:dyDescent="0.2">
      <c r="A5675" s="34">
        <v>37666</v>
      </c>
      <c r="B5675">
        <v>3.245263</v>
      </c>
      <c r="C5675">
        <f t="shared" si="93"/>
        <v>0</v>
      </c>
    </row>
    <row r="5676" spans="1:3" x14ac:dyDescent="0.2">
      <c r="A5676" s="34">
        <v>37665</v>
      </c>
      <c r="B5676">
        <v>3.2451750000000001</v>
      </c>
      <c r="C5676">
        <f t="shared" si="93"/>
        <v>0</v>
      </c>
    </row>
    <row r="5677" spans="1:3" x14ac:dyDescent="0.2">
      <c r="A5677" s="34">
        <v>37664</v>
      </c>
      <c r="B5677">
        <v>3.2450869999999998</v>
      </c>
      <c r="C5677">
        <f t="shared" si="93"/>
        <v>0</v>
      </c>
    </row>
    <row r="5678" spans="1:3" x14ac:dyDescent="0.2">
      <c r="A5678" s="34">
        <v>37663</v>
      </c>
      <c r="B5678">
        <v>3.244999</v>
      </c>
      <c r="C5678">
        <f t="shared" si="93"/>
        <v>0</v>
      </c>
    </row>
    <row r="5679" spans="1:3" x14ac:dyDescent="0.2">
      <c r="A5679" s="34">
        <v>37662</v>
      </c>
      <c r="B5679">
        <v>3.2449110000000001</v>
      </c>
      <c r="C5679">
        <f t="shared" si="93"/>
        <v>0</v>
      </c>
    </row>
    <row r="5680" spans="1:3" x14ac:dyDescent="0.2">
      <c r="A5680" s="34">
        <v>37661</v>
      </c>
      <c r="B5680">
        <v>3.2442700000000002</v>
      </c>
      <c r="C5680">
        <f t="shared" si="93"/>
        <v>0</v>
      </c>
    </row>
    <row r="5681" spans="1:3" x14ac:dyDescent="0.2">
      <c r="A5681" s="34">
        <v>37660</v>
      </c>
      <c r="B5681">
        <v>3.2436289999999999</v>
      </c>
      <c r="C5681">
        <f t="shared" si="93"/>
        <v>0</v>
      </c>
    </row>
    <row r="5682" spans="1:3" x14ac:dyDescent="0.2">
      <c r="A5682" s="34">
        <v>37659</v>
      </c>
      <c r="B5682">
        <v>3.242988</v>
      </c>
      <c r="C5682">
        <f t="shared" si="93"/>
        <v>0</v>
      </c>
    </row>
    <row r="5683" spans="1:3" x14ac:dyDescent="0.2">
      <c r="A5683" s="34">
        <v>37658</v>
      </c>
      <c r="B5683">
        <v>3.2423479999999998</v>
      </c>
      <c r="C5683">
        <f t="shared" si="93"/>
        <v>0</v>
      </c>
    </row>
    <row r="5684" spans="1:3" x14ac:dyDescent="0.2">
      <c r="A5684" s="34">
        <v>37657</v>
      </c>
      <c r="B5684">
        <v>3.2417069999999999</v>
      </c>
      <c r="C5684">
        <f t="shared" si="93"/>
        <v>0</v>
      </c>
    </row>
    <row r="5685" spans="1:3" x14ac:dyDescent="0.2">
      <c r="A5685" s="34">
        <v>37656</v>
      </c>
      <c r="B5685">
        <v>3.2410670000000001</v>
      </c>
      <c r="C5685">
        <f t="shared" si="93"/>
        <v>0</v>
      </c>
    </row>
    <row r="5686" spans="1:3" x14ac:dyDescent="0.2">
      <c r="A5686" s="34">
        <v>37655</v>
      </c>
      <c r="B5686">
        <v>3.2404269999999999</v>
      </c>
      <c r="C5686">
        <f t="shared" si="93"/>
        <v>0</v>
      </c>
    </row>
    <row r="5687" spans="1:3" x14ac:dyDescent="0.2">
      <c r="A5687" s="34">
        <v>37654</v>
      </c>
      <c r="B5687">
        <v>3.2397860000000001</v>
      </c>
      <c r="C5687">
        <f t="shared" si="93"/>
        <v>0</v>
      </c>
    </row>
    <row r="5688" spans="1:3" x14ac:dyDescent="0.2">
      <c r="A5688" s="34">
        <v>37653</v>
      </c>
      <c r="B5688">
        <v>3.2391459999999999</v>
      </c>
      <c r="C5688">
        <f t="shared" si="93"/>
        <v>0</v>
      </c>
    </row>
    <row r="5689" spans="1:3" x14ac:dyDescent="0.2">
      <c r="A5689" s="34">
        <v>37652</v>
      </c>
      <c r="B5689">
        <v>3.2385069999999998</v>
      </c>
      <c r="C5689">
        <f t="shared" si="93"/>
        <v>0</v>
      </c>
    </row>
    <row r="5690" spans="1:3" x14ac:dyDescent="0.2">
      <c r="A5690" s="34">
        <v>37651</v>
      </c>
      <c r="B5690">
        <v>3.2378670000000001</v>
      </c>
      <c r="C5690">
        <f t="shared" si="93"/>
        <v>0</v>
      </c>
    </row>
    <row r="5691" spans="1:3" x14ac:dyDescent="0.2">
      <c r="A5691" s="34">
        <v>37650</v>
      </c>
      <c r="B5691">
        <v>3.2372269999999999</v>
      </c>
      <c r="C5691">
        <f t="shared" si="93"/>
        <v>0</v>
      </c>
    </row>
    <row r="5692" spans="1:3" x14ac:dyDescent="0.2">
      <c r="A5692" s="34">
        <v>37649</v>
      </c>
      <c r="B5692">
        <v>3.2365879999999998</v>
      </c>
      <c r="C5692">
        <f t="shared" si="93"/>
        <v>0</v>
      </c>
    </row>
    <row r="5693" spans="1:3" x14ac:dyDescent="0.2">
      <c r="A5693" s="34">
        <v>37648</v>
      </c>
      <c r="B5693">
        <v>3.235948</v>
      </c>
      <c r="C5693">
        <f t="shared" si="93"/>
        <v>0</v>
      </c>
    </row>
    <row r="5694" spans="1:3" x14ac:dyDescent="0.2">
      <c r="A5694" s="34">
        <v>37647</v>
      </c>
      <c r="B5694">
        <v>3.235309</v>
      </c>
      <c r="C5694">
        <f t="shared" si="93"/>
        <v>0</v>
      </c>
    </row>
    <row r="5695" spans="1:3" x14ac:dyDescent="0.2">
      <c r="A5695" s="34">
        <v>37646</v>
      </c>
      <c r="B5695">
        <v>3.2346699999999999</v>
      </c>
      <c r="C5695">
        <f t="shared" si="93"/>
        <v>0</v>
      </c>
    </row>
    <row r="5696" spans="1:3" x14ac:dyDescent="0.2">
      <c r="A5696" s="34">
        <v>37645</v>
      </c>
      <c r="B5696">
        <v>3.234381</v>
      </c>
      <c r="C5696">
        <f t="shared" si="93"/>
        <v>0</v>
      </c>
    </row>
    <row r="5697" spans="1:3" x14ac:dyDescent="0.2">
      <c r="A5697" s="34">
        <v>37644</v>
      </c>
      <c r="B5697">
        <v>3.234092</v>
      </c>
      <c r="C5697">
        <f t="shared" si="93"/>
        <v>0</v>
      </c>
    </row>
    <row r="5698" spans="1:3" x14ac:dyDescent="0.2">
      <c r="A5698" s="34">
        <v>37643</v>
      </c>
      <c r="B5698">
        <v>3.233803</v>
      </c>
      <c r="C5698">
        <f t="shared" ref="C5698:C5761" si="94">IFERROR(VLOOKUP(A5698,$M$2:$N$3695,2,0),C5699)</f>
        <v>0</v>
      </c>
    </row>
    <row r="5699" spans="1:3" x14ac:dyDescent="0.2">
      <c r="A5699" s="34">
        <v>37642</v>
      </c>
      <c r="B5699">
        <v>3.233514</v>
      </c>
      <c r="C5699">
        <f t="shared" si="94"/>
        <v>0</v>
      </c>
    </row>
    <row r="5700" spans="1:3" x14ac:dyDescent="0.2">
      <c r="A5700" s="34">
        <v>37641</v>
      </c>
      <c r="B5700">
        <v>3.233225</v>
      </c>
      <c r="C5700">
        <f t="shared" si="94"/>
        <v>0</v>
      </c>
    </row>
    <row r="5701" spans="1:3" x14ac:dyDescent="0.2">
      <c r="A5701" s="34">
        <v>37640</v>
      </c>
      <c r="B5701">
        <v>3.2329349999999999</v>
      </c>
      <c r="C5701">
        <f t="shared" si="94"/>
        <v>0</v>
      </c>
    </row>
    <row r="5702" spans="1:3" x14ac:dyDescent="0.2">
      <c r="A5702" s="34">
        <v>37639</v>
      </c>
      <c r="B5702">
        <v>3.2326459999999999</v>
      </c>
      <c r="C5702">
        <f t="shared" si="94"/>
        <v>0</v>
      </c>
    </row>
    <row r="5703" spans="1:3" x14ac:dyDescent="0.2">
      <c r="A5703" s="34">
        <v>37638</v>
      </c>
      <c r="B5703">
        <v>3.2323569999999999</v>
      </c>
      <c r="C5703">
        <f t="shared" si="94"/>
        <v>0</v>
      </c>
    </row>
    <row r="5704" spans="1:3" x14ac:dyDescent="0.2">
      <c r="A5704" s="34">
        <v>37637</v>
      </c>
      <c r="B5704">
        <v>3.2320679999999999</v>
      </c>
      <c r="C5704">
        <f t="shared" si="94"/>
        <v>0</v>
      </c>
    </row>
    <row r="5705" spans="1:3" x14ac:dyDescent="0.2">
      <c r="A5705" s="34">
        <v>37636</v>
      </c>
      <c r="B5705">
        <v>3.2317800000000001</v>
      </c>
      <c r="C5705">
        <f t="shared" si="94"/>
        <v>0</v>
      </c>
    </row>
    <row r="5706" spans="1:3" x14ac:dyDescent="0.2">
      <c r="A5706" s="34">
        <v>37635</v>
      </c>
      <c r="B5706">
        <v>3.2314910000000001</v>
      </c>
      <c r="C5706">
        <f t="shared" si="94"/>
        <v>0</v>
      </c>
    </row>
    <row r="5707" spans="1:3" x14ac:dyDescent="0.2">
      <c r="A5707" s="34">
        <v>37634</v>
      </c>
      <c r="B5707">
        <v>3.2312020000000001</v>
      </c>
      <c r="C5707">
        <f t="shared" si="94"/>
        <v>0</v>
      </c>
    </row>
    <row r="5708" spans="1:3" x14ac:dyDescent="0.2">
      <c r="A5708" s="34">
        <v>37633</v>
      </c>
      <c r="B5708">
        <v>3.2309130000000001</v>
      </c>
      <c r="C5708">
        <f t="shared" si="94"/>
        <v>0</v>
      </c>
    </row>
    <row r="5709" spans="1:3" x14ac:dyDescent="0.2">
      <c r="A5709" s="34">
        <v>37632</v>
      </c>
      <c r="B5709">
        <v>3.2306240000000002</v>
      </c>
      <c r="C5709">
        <f t="shared" si="94"/>
        <v>0</v>
      </c>
    </row>
    <row r="5710" spans="1:3" x14ac:dyDescent="0.2">
      <c r="A5710" s="34">
        <v>37631</v>
      </c>
      <c r="B5710">
        <v>3.2303350000000002</v>
      </c>
      <c r="C5710">
        <f t="shared" si="94"/>
        <v>0</v>
      </c>
    </row>
    <row r="5711" spans="1:3" x14ac:dyDescent="0.2">
      <c r="A5711" s="34">
        <v>37630</v>
      </c>
      <c r="B5711">
        <v>3.2298789999999999</v>
      </c>
      <c r="C5711">
        <f t="shared" si="94"/>
        <v>0</v>
      </c>
    </row>
    <row r="5712" spans="1:3" x14ac:dyDescent="0.2">
      <c r="A5712" s="34">
        <v>37629</v>
      </c>
      <c r="B5712">
        <v>3.2294230000000002</v>
      </c>
      <c r="C5712">
        <f t="shared" si="94"/>
        <v>0</v>
      </c>
    </row>
    <row r="5713" spans="1:3" x14ac:dyDescent="0.2">
      <c r="A5713" s="34">
        <v>37628</v>
      </c>
      <c r="B5713">
        <v>3.2289669999999999</v>
      </c>
      <c r="C5713">
        <f t="shared" si="94"/>
        <v>0</v>
      </c>
    </row>
    <row r="5714" spans="1:3" x14ac:dyDescent="0.2">
      <c r="A5714" s="34">
        <v>37627</v>
      </c>
      <c r="B5714">
        <v>3.2285119999999998</v>
      </c>
      <c r="C5714">
        <f t="shared" si="94"/>
        <v>0</v>
      </c>
    </row>
    <row r="5715" spans="1:3" x14ac:dyDescent="0.2">
      <c r="A5715" s="34">
        <v>37626</v>
      </c>
      <c r="B5715">
        <v>3.228056</v>
      </c>
      <c r="C5715">
        <f t="shared" si="94"/>
        <v>0</v>
      </c>
    </row>
    <row r="5716" spans="1:3" x14ac:dyDescent="0.2">
      <c r="A5716" s="34">
        <v>37625</v>
      </c>
      <c r="B5716">
        <v>3.2275999999999998</v>
      </c>
      <c r="C5716">
        <f t="shared" si="94"/>
        <v>0</v>
      </c>
    </row>
    <row r="5717" spans="1:3" x14ac:dyDescent="0.2">
      <c r="A5717" s="34">
        <v>37624</v>
      </c>
      <c r="B5717">
        <v>3.2271450000000002</v>
      </c>
      <c r="C5717">
        <f t="shared" si="94"/>
        <v>0</v>
      </c>
    </row>
    <row r="5718" spans="1:3" x14ac:dyDescent="0.2">
      <c r="A5718" s="34">
        <v>37623</v>
      </c>
      <c r="B5718">
        <v>3.2266889999999999</v>
      </c>
      <c r="C5718">
        <f t="shared" si="94"/>
        <v>0</v>
      </c>
    </row>
    <row r="5719" spans="1:3" x14ac:dyDescent="0.2">
      <c r="A5719" s="34">
        <v>37622</v>
      </c>
      <c r="B5719">
        <v>3.2262339999999998</v>
      </c>
      <c r="C5719">
        <f t="shared" si="94"/>
        <v>0</v>
      </c>
    </row>
    <row r="5720" spans="1:3" x14ac:dyDescent="0.2">
      <c r="A5720" s="34">
        <v>37621</v>
      </c>
      <c r="B5720">
        <v>3.225778</v>
      </c>
      <c r="C5720">
        <f t="shared" si="94"/>
        <v>0</v>
      </c>
    </row>
    <row r="5721" spans="1:3" x14ac:dyDescent="0.2">
      <c r="A5721" s="34">
        <v>37620</v>
      </c>
      <c r="B5721">
        <v>3.2253229999999999</v>
      </c>
      <c r="C5721">
        <f t="shared" si="94"/>
        <v>0</v>
      </c>
    </row>
    <row r="5722" spans="1:3" x14ac:dyDescent="0.2">
      <c r="A5722" s="34">
        <v>37619</v>
      </c>
      <c r="B5722">
        <v>3.2248679999999998</v>
      </c>
      <c r="C5722">
        <f t="shared" si="94"/>
        <v>0</v>
      </c>
    </row>
    <row r="5723" spans="1:3" x14ac:dyDescent="0.2">
      <c r="A5723" s="34">
        <v>37618</v>
      </c>
      <c r="B5723">
        <v>3.2244130000000002</v>
      </c>
      <c r="C5723">
        <f t="shared" si="94"/>
        <v>0</v>
      </c>
    </row>
    <row r="5724" spans="1:3" x14ac:dyDescent="0.2">
      <c r="A5724" s="34">
        <v>37617</v>
      </c>
      <c r="B5724">
        <v>3.2239580000000001</v>
      </c>
      <c r="C5724">
        <f t="shared" si="94"/>
        <v>0</v>
      </c>
    </row>
    <row r="5725" spans="1:3" x14ac:dyDescent="0.2">
      <c r="A5725" s="34">
        <v>37616</v>
      </c>
      <c r="B5725">
        <v>3.2235019999999999</v>
      </c>
      <c r="C5725">
        <f t="shared" si="94"/>
        <v>0</v>
      </c>
    </row>
    <row r="5726" spans="1:3" x14ac:dyDescent="0.2">
      <c r="A5726" s="34">
        <v>37615</v>
      </c>
      <c r="B5726">
        <v>3.2230470000000002</v>
      </c>
      <c r="C5726">
        <f t="shared" si="94"/>
        <v>0</v>
      </c>
    </row>
    <row r="5727" spans="1:3" x14ac:dyDescent="0.2">
      <c r="A5727" s="34">
        <v>37614</v>
      </c>
      <c r="B5727">
        <v>3.2224370000000002</v>
      </c>
      <c r="C5727">
        <f t="shared" si="94"/>
        <v>0</v>
      </c>
    </row>
    <row r="5728" spans="1:3" x14ac:dyDescent="0.2">
      <c r="A5728" s="34">
        <v>37613</v>
      </c>
      <c r="B5728">
        <v>3.2218270000000002</v>
      </c>
      <c r="C5728">
        <f t="shared" si="94"/>
        <v>0</v>
      </c>
    </row>
    <row r="5729" spans="1:3" x14ac:dyDescent="0.2">
      <c r="A5729" s="34">
        <v>37612</v>
      </c>
      <c r="B5729">
        <v>3.2212170000000002</v>
      </c>
      <c r="C5729">
        <f t="shared" si="94"/>
        <v>0</v>
      </c>
    </row>
    <row r="5730" spans="1:3" x14ac:dyDescent="0.2">
      <c r="A5730" s="34">
        <v>37611</v>
      </c>
      <c r="B5730">
        <v>3.2206070000000002</v>
      </c>
      <c r="C5730">
        <f t="shared" si="94"/>
        <v>0</v>
      </c>
    </row>
    <row r="5731" spans="1:3" x14ac:dyDescent="0.2">
      <c r="A5731" s="34">
        <v>37610</v>
      </c>
      <c r="B5731">
        <v>3.2199979999999999</v>
      </c>
      <c r="C5731">
        <f t="shared" si="94"/>
        <v>0</v>
      </c>
    </row>
    <row r="5732" spans="1:3" x14ac:dyDescent="0.2">
      <c r="A5732" s="34">
        <v>37609</v>
      </c>
      <c r="B5732">
        <v>3.2193879999999999</v>
      </c>
      <c r="C5732">
        <f t="shared" si="94"/>
        <v>0</v>
      </c>
    </row>
    <row r="5733" spans="1:3" x14ac:dyDescent="0.2">
      <c r="A5733" s="34">
        <v>37608</v>
      </c>
      <c r="B5733">
        <v>3.2187779999999999</v>
      </c>
      <c r="C5733">
        <f t="shared" si="94"/>
        <v>0</v>
      </c>
    </row>
    <row r="5734" spans="1:3" x14ac:dyDescent="0.2">
      <c r="A5734" s="34">
        <v>37607</v>
      </c>
      <c r="B5734">
        <v>3.2181690000000001</v>
      </c>
      <c r="C5734">
        <f t="shared" si="94"/>
        <v>0</v>
      </c>
    </row>
    <row r="5735" spans="1:3" x14ac:dyDescent="0.2">
      <c r="A5735" s="34">
        <v>37606</v>
      </c>
      <c r="B5735">
        <v>3.2175600000000002</v>
      </c>
      <c r="C5735">
        <f t="shared" si="94"/>
        <v>0</v>
      </c>
    </row>
    <row r="5736" spans="1:3" x14ac:dyDescent="0.2">
      <c r="A5736" s="34">
        <v>37605</v>
      </c>
      <c r="B5736">
        <v>3.2169500000000002</v>
      </c>
      <c r="C5736">
        <f t="shared" si="94"/>
        <v>0</v>
      </c>
    </row>
    <row r="5737" spans="1:3" x14ac:dyDescent="0.2">
      <c r="A5737" s="34">
        <v>37604</v>
      </c>
      <c r="B5737">
        <v>3.2163409999999999</v>
      </c>
      <c r="C5737">
        <f t="shared" si="94"/>
        <v>0</v>
      </c>
    </row>
    <row r="5738" spans="1:3" x14ac:dyDescent="0.2">
      <c r="A5738" s="34">
        <v>37603</v>
      </c>
      <c r="B5738">
        <v>3.215732</v>
      </c>
      <c r="C5738">
        <f t="shared" si="94"/>
        <v>0</v>
      </c>
    </row>
    <row r="5739" spans="1:3" x14ac:dyDescent="0.2">
      <c r="A5739" s="34">
        <v>37602</v>
      </c>
      <c r="B5739">
        <v>3.2151239999999999</v>
      </c>
      <c r="C5739">
        <f t="shared" si="94"/>
        <v>0</v>
      </c>
    </row>
    <row r="5740" spans="1:3" x14ac:dyDescent="0.2">
      <c r="A5740" s="34">
        <v>37601</v>
      </c>
      <c r="B5740">
        <v>3.214515</v>
      </c>
      <c r="C5740">
        <f t="shared" si="94"/>
        <v>0</v>
      </c>
    </row>
    <row r="5741" spans="1:3" x14ac:dyDescent="0.2">
      <c r="A5741" s="34">
        <v>37600</v>
      </c>
      <c r="B5741">
        <v>3.2139060000000002</v>
      </c>
      <c r="C5741">
        <f t="shared" si="94"/>
        <v>0</v>
      </c>
    </row>
    <row r="5742" spans="1:3" x14ac:dyDescent="0.2">
      <c r="A5742" s="34">
        <v>37599</v>
      </c>
      <c r="B5742">
        <v>3.2126039999999998</v>
      </c>
      <c r="C5742">
        <f t="shared" si="94"/>
        <v>0</v>
      </c>
    </row>
    <row r="5743" spans="1:3" x14ac:dyDescent="0.2">
      <c r="A5743" s="34">
        <v>37598</v>
      </c>
      <c r="B5743">
        <v>3.211303</v>
      </c>
      <c r="C5743">
        <f t="shared" si="94"/>
        <v>0</v>
      </c>
    </row>
    <row r="5744" spans="1:3" x14ac:dyDescent="0.2">
      <c r="A5744" s="34">
        <v>37597</v>
      </c>
      <c r="B5744">
        <v>3.2100019999999998</v>
      </c>
      <c r="C5744">
        <f t="shared" si="94"/>
        <v>0</v>
      </c>
    </row>
    <row r="5745" spans="1:3" x14ac:dyDescent="0.2">
      <c r="A5745" s="34">
        <v>37596</v>
      </c>
      <c r="B5745">
        <v>3.208701</v>
      </c>
      <c r="C5745">
        <f t="shared" si="94"/>
        <v>0</v>
      </c>
    </row>
    <row r="5746" spans="1:3" x14ac:dyDescent="0.2">
      <c r="A5746" s="34">
        <v>37595</v>
      </c>
      <c r="B5746">
        <v>3.2074009999999999</v>
      </c>
      <c r="C5746">
        <f t="shared" si="94"/>
        <v>0</v>
      </c>
    </row>
    <row r="5747" spans="1:3" x14ac:dyDescent="0.2">
      <c r="A5747" s="34">
        <v>37594</v>
      </c>
      <c r="B5747">
        <v>3.206102</v>
      </c>
      <c r="C5747">
        <f t="shared" si="94"/>
        <v>0</v>
      </c>
    </row>
    <row r="5748" spans="1:3" x14ac:dyDescent="0.2">
      <c r="A5748" s="34">
        <v>37593</v>
      </c>
      <c r="B5748">
        <v>3.2048030000000001</v>
      </c>
      <c r="C5748">
        <f t="shared" si="94"/>
        <v>0</v>
      </c>
    </row>
    <row r="5749" spans="1:3" x14ac:dyDescent="0.2">
      <c r="A5749" s="34">
        <v>37592</v>
      </c>
      <c r="B5749">
        <v>3.2035040000000001</v>
      </c>
      <c r="C5749">
        <f t="shared" si="94"/>
        <v>0</v>
      </c>
    </row>
    <row r="5750" spans="1:3" x14ac:dyDescent="0.2">
      <c r="A5750" s="34">
        <v>37591</v>
      </c>
      <c r="B5750">
        <v>3.202207</v>
      </c>
      <c r="C5750">
        <f t="shared" si="94"/>
        <v>0</v>
      </c>
    </row>
    <row r="5751" spans="1:3" x14ac:dyDescent="0.2">
      <c r="A5751" s="34">
        <v>37590</v>
      </c>
      <c r="B5751">
        <v>3.2009089999999998</v>
      </c>
      <c r="C5751">
        <f t="shared" si="94"/>
        <v>0</v>
      </c>
    </row>
    <row r="5752" spans="1:3" x14ac:dyDescent="0.2">
      <c r="A5752" s="34">
        <v>37589</v>
      </c>
      <c r="B5752">
        <v>3.1996120000000001</v>
      </c>
      <c r="C5752">
        <f t="shared" si="94"/>
        <v>0</v>
      </c>
    </row>
    <row r="5753" spans="1:3" x14ac:dyDescent="0.2">
      <c r="A5753" s="34">
        <v>37588</v>
      </c>
      <c r="B5753">
        <v>3.1983160000000002</v>
      </c>
      <c r="C5753">
        <f t="shared" si="94"/>
        <v>0</v>
      </c>
    </row>
    <row r="5754" spans="1:3" x14ac:dyDescent="0.2">
      <c r="A5754" s="34">
        <v>37587</v>
      </c>
      <c r="B5754">
        <v>3.1970200000000002</v>
      </c>
      <c r="C5754">
        <f t="shared" si="94"/>
        <v>0</v>
      </c>
    </row>
    <row r="5755" spans="1:3" x14ac:dyDescent="0.2">
      <c r="A5755" s="34">
        <v>37586</v>
      </c>
      <c r="B5755">
        <v>3.1957249999999999</v>
      </c>
      <c r="C5755">
        <f t="shared" si="94"/>
        <v>0</v>
      </c>
    </row>
    <row r="5756" spans="1:3" x14ac:dyDescent="0.2">
      <c r="A5756" s="34">
        <v>37585</v>
      </c>
      <c r="B5756">
        <v>3.1944300000000001</v>
      </c>
      <c r="C5756">
        <f t="shared" si="94"/>
        <v>0</v>
      </c>
    </row>
    <row r="5757" spans="1:3" x14ac:dyDescent="0.2">
      <c r="A5757" s="34">
        <v>37584</v>
      </c>
      <c r="B5757">
        <v>3.1941980000000001</v>
      </c>
      <c r="C5757">
        <f t="shared" si="94"/>
        <v>0</v>
      </c>
    </row>
    <row r="5758" spans="1:3" x14ac:dyDescent="0.2">
      <c r="A5758" s="34">
        <v>37583</v>
      </c>
      <c r="B5758">
        <v>3.1939649999999999</v>
      </c>
      <c r="C5758">
        <f t="shared" si="94"/>
        <v>0</v>
      </c>
    </row>
    <row r="5759" spans="1:3" x14ac:dyDescent="0.2">
      <c r="A5759" s="34">
        <v>37582</v>
      </c>
      <c r="B5759">
        <v>3.1937329999999999</v>
      </c>
      <c r="C5759">
        <f t="shared" si="94"/>
        <v>0</v>
      </c>
    </row>
    <row r="5760" spans="1:3" x14ac:dyDescent="0.2">
      <c r="A5760" s="34">
        <v>37581</v>
      </c>
      <c r="B5760">
        <v>3.1934999999999998</v>
      </c>
      <c r="C5760">
        <f t="shared" si="94"/>
        <v>0</v>
      </c>
    </row>
    <row r="5761" spans="1:3" x14ac:dyDescent="0.2">
      <c r="A5761" s="34">
        <v>37580</v>
      </c>
      <c r="B5761">
        <v>3.1932680000000002</v>
      </c>
      <c r="C5761">
        <f t="shared" si="94"/>
        <v>0</v>
      </c>
    </row>
    <row r="5762" spans="1:3" x14ac:dyDescent="0.2">
      <c r="A5762" s="34">
        <v>37579</v>
      </c>
      <c r="B5762">
        <v>3.1930350000000001</v>
      </c>
      <c r="C5762">
        <f t="shared" ref="C5762:C5825" si="95">IFERROR(VLOOKUP(A5762,$M$2:$N$3695,2,0),C5763)</f>
        <v>0</v>
      </c>
    </row>
    <row r="5763" spans="1:3" x14ac:dyDescent="0.2">
      <c r="A5763" s="34">
        <v>37578</v>
      </c>
      <c r="B5763">
        <v>3.1928030000000001</v>
      </c>
      <c r="C5763">
        <f t="shared" si="95"/>
        <v>0</v>
      </c>
    </row>
    <row r="5764" spans="1:3" x14ac:dyDescent="0.2">
      <c r="A5764" s="34">
        <v>37577</v>
      </c>
      <c r="B5764">
        <v>3.1925699999999999</v>
      </c>
      <c r="C5764">
        <f t="shared" si="95"/>
        <v>0</v>
      </c>
    </row>
    <row r="5765" spans="1:3" x14ac:dyDescent="0.2">
      <c r="A5765" s="34">
        <v>37576</v>
      </c>
      <c r="B5765">
        <v>3.1923379999999999</v>
      </c>
      <c r="C5765">
        <f t="shared" si="95"/>
        <v>0</v>
      </c>
    </row>
    <row r="5766" spans="1:3" x14ac:dyDescent="0.2">
      <c r="A5766" s="34">
        <v>37575</v>
      </c>
      <c r="B5766">
        <v>3.1921050000000002</v>
      </c>
      <c r="C5766">
        <f t="shared" si="95"/>
        <v>0</v>
      </c>
    </row>
    <row r="5767" spans="1:3" x14ac:dyDescent="0.2">
      <c r="A5767" s="34">
        <v>37574</v>
      </c>
      <c r="B5767">
        <v>3.1918730000000002</v>
      </c>
      <c r="C5767">
        <f t="shared" si="95"/>
        <v>0</v>
      </c>
    </row>
    <row r="5768" spans="1:3" x14ac:dyDescent="0.2">
      <c r="A5768" s="34">
        <v>37573</v>
      </c>
      <c r="B5768">
        <v>3.1916410000000002</v>
      </c>
      <c r="C5768">
        <f t="shared" si="95"/>
        <v>0</v>
      </c>
    </row>
    <row r="5769" spans="1:3" x14ac:dyDescent="0.2">
      <c r="A5769" s="34">
        <v>37572</v>
      </c>
      <c r="B5769">
        <v>3.191408</v>
      </c>
      <c r="C5769">
        <f t="shared" si="95"/>
        <v>0</v>
      </c>
    </row>
    <row r="5770" spans="1:3" x14ac:dyDescent="0.2">
      <c r="A5770" s="34">
        <v>37571</v>
      </c>
      <c r="B5770">
        <v>3.191176</v>
      </c>
      <c r="C5770">
        <f t="shared" si="95"/>
        <v>0</v>
      </c>
    </row>
    <row r="5771" spans="1:3" x14ac:dyDescent="0.2">
      <c r="A5771" s="34">
        <v>37570</v>
      </c>
      <c r="B5771">
        <v>3.190944</v>
      </c>
      <c r="C5771">
        <f t="shared" si="95"/>
        <v>0</v>
      </c>
    </row>
    <row r="5772" spans="1:3" x14ac:dyDescent="0.2">
      <c r="A5772" s="34">
        <v>37569</v>
      </c>
      <c r="B5772">
        <v>3.1902689999999998</v>
      </c>
      <c r="C5772">
        <f t="shared" si="95"/>
        <v>0</v>
      </c>
    </row>
    <row r="5773" spans="1:3" x14ac:dyDescent="0.2">
      <c r="A5773" s="34">
        <v>37568</v>
      </c>
      <c r="B5773">
        <v>3.1895950000000002</v>
      </c>
      <c r="C5773">
        <f t="shared" si="95"/>
        <v>0</v>
      </c>
    </row>
    <row r="5774" spans="1:3" x14ac:dyDescent="0.2">
      <c r="A5774" s="34">
        <v>37567</v>
      </c>
      <c r="B5774">
        <v>3.1889210000000001</v>
      </c>
      <c r="C5774">
        <f t="shared" si="95"/>
        <v>0</v>
      </c>
    </row>
    <row r="5775" spans="1:3" x14ac:dyDescent="0.2">
      <c r="A5775" s="34">
        <v>37566</v>
      </c>
      <c r="B5775">
        <v>3.1882459999999999</v>
      </c>
      <c r="C5775">
        <f t="shared" si="95"/>
        <v>0</v>
      </c>
    </row>
    <row r="5776" spans="1:3" x14ac:dyDescent="0.2">
      <c r="A5776" s="34">
        <v>37565</v>
      </c>
      <c r="B5776">
        <v>3.187573</v>
      </c>
      <c r="C5776">
        <f t="shared" si="95"/>
        <v>0</v>
      </c>
    </row>
    <row r="5777" spans="1:3" x14ac:dyDescent="0.2">
      <c r="A5777" s="34">
        <v>37564</v>
      </c>
      <c r="B5777">
        <v>3.1868989999999999</v>
      </c>
      <c r="C5777">
        <f t="shared" si="95"/>
        <v>0</v>
      </c>
    </row>
    <row r="5778" spans="1:3" x14ac:dyDescent="0.2">
      <c r="A5778" s="34">
        <v>37563</v>
      </c>
      <c r="B5778">
        <v>3.1862249999999999</v>
      </c>
      <c r="C5778">
        <f t="shared" si="95"/>
        <v>0</v>
      </c>
    </row>
    <row r="5779" spans="1:3" x14ac:dyDescent="0.2">
      <c r="A5779" s="34">
        <v>37562</v>
      </c>
      <c r="B5779">
        <v>3.1855519999999999</v>
      </c>
      <c r="C5779">
        <f t="shared" si="95"/>
        <v>0</v>
      </c>
    </row>
    <row r="5780" spans="1:3" x14ac:dyDescent="0.2">
      <c r="A5780" s="34">
        <v>37561</v>
      </c>
      <c r="B5780">
        <v>3.1848779999999999</v>
      </c>
      <c r="C5780">
        <f t="shared" si="95"/>
        <v>0</v>
      </c>
    </row>
    <row r="5781" spans="1:3" x14ac:dyDescent="0.2">
      <c r="A5781" s="34">
        <v>37560</v>
      </c>
      <c r="B5781">
        <v>3.184205</v>
      </c>
      <c r="C5781">
        <f t="shared" si="95"/>
        <v>0</v>
      </c>
    </row>
    <row r="5782" spans="1:3" x14ac:dyDescent="0.2">
      <c r="A5782" s="34">
        <v>37559</v>
      </c>
      <c r="B5782">
        <v>3.183532</v>
      </c>
      <c r="C5782">
        <f t="shared" si="95"/>
        <v>0</v>
      </c>
    </row>
    <row r="5783" spans="1:3" x14ac:dyDescent="0.2">
      <c r="A5783" s="34">
        <v>37558</v>
      </c>
      <c r="B5783">
        <v>3.1828590000000001</v>
      </c>
      <c r="C5783">
        <f t="shared" si="95"/>
        <v>0</v>
      </c>
    </row>
    <row r="5784" spans="1:3" x14ac:dyDescent="0.2">
      <c r="A5784" s="34">
        <v>37557</v>
      </c>
      <c r="B5784">
        <v>3.1821860000000002</v>
      </c>
      <c r="C5784">
        <f t="shared" si="95"/>
        <v>0</v>
      </c>
    </row>
    <row r="5785" spans="1:3" x14ac:dyDescent="0.2">
      <c r="A5785" s="34">
        <v>37556</v>
      </c>
      <c r="B5785">
        <v>3.181514</v>
      </c>
      <c r="C5785">
        <f t="shared" si="95"/>
        <v>0</v>
      </c>
    </row>
    <row r="5786" spans="1:3" x14ac:dyDescent="0.2">
      <c r="A5786" s="34">
        <v>37555</v>
      </c>
      <c r="B5786">
        <v>3.180841</v>
      </c>
      <c r="C5786">
        <f t="shared" si="95"/>
        <v>0</v>
      </c>
    </row>
    <row r="5787" spans="1:3" x14ac:dyDescent="0.2">
      <c r="A5787" s="34">
        <v>37554</v>
      </c>
      <c r="B5787">
        <v>3.1801689999999998</v>
      </c>
      <c r="C5787">
        <f t="shared" si="95"/>
        <v>0</v>
      </c>
    </row>
    <row r="5788" spans="1:3" x14ac:dyDescent="0.2">
      <c r="A5788" s="34">
        <v>37553</v>
      </c>
      <c r="B5788">
        <v>3.1799659999999998</v>
      </c>
      <c r="C5788">
        <f t="shared" si="95"/>
        <v>0</v>
      </c>
    </row>
    <row r="5789" spans="1:3" x14ac:dyDescent="0.2">
      <c r="A5789" s="34">
        <v>37552</v>
      </c>
      <c r="B5789">
        <v>3.1797629999999999</v>
      </c>
      <c r="C5789">
        <f t="shared" si="95"/>
        <v>0</v>
      </c>
    </row>
    <row r="5790" spans="1:3" x14ac:dyDescent="0.2">
      <c r="A5790" s="34">
        <v>37551</v>
      </c>
      <c r="B5790">
        <v>3.1795589999999998</v>
      </c>
      <c r="C5790">
        <f t="shared" si="95"/>
        <v>0</v>
      </c>
    </row>
    <row r="5791" spans="1:3" x14ac:dyDescent="0.2">
      <c r="A5791" s="34">
        <v>37550</v>
      </c>
      <c r="B5791">
        <v>3.1793559999999998</v>
      </c>
      <c r="C5791">
        <f t="shared" si="95"/>
        <v>0</v>
      </c>
    </row>
    <row r="5792" spans="1:3" x14ac:dyDescent="0.2">
      <c r="A5792" s="34">
        <v>37549</v>
      </c>
      <c r="B5792">
        <v>3.1791529999999999</v>
      </c>
      <c r="C5792">
        <f t="shared" si="95"/>
        <v>0</v>
      </c>
    </row>
    <row r="5793" spans="1:3" x14ac:dyDescent="0.2">
      <c r="A5793" s="34">
        <v>37548</v>
      </c>
      <c r="B5793">
        <v>3.1789499999999999</v>
      </c>
      <c r="C5793">
        <f t="shared" si="95"/>
        <v>0</v>
      </c>
    </row>
    <row r="5794" spans="1:3" x14ac:dyDescent="0.2">
      <c r="A5794" s="34">
        <v>37547</v>
      </c>
      <c r="B5794">
        <v>3.178747</v>
      </c>
      <c r="C5794">
        <f t="shared" si="95"/>
        <v>0</v>
      </c>
    </row>
    <row r="5795" spans="1:3" x14ac:dyDescent="0.2">
      <c r="A5795" s="34">
        <v>37546</v>
      </c>
      <c r="B5795">
        <v>3.178544</v>
      </c>
      <c r="C5795">
        <f t="shared" si="95"/>
        <v>0</v>
      </c>
    </row>
    <row r="5796" spans="1:3" x14ac:dyDescent="0.2">
      <c r="A5796" s="34">
        <v>37545</v>
      </c>
      <c r="B5796">
        <v>3.1783399999999999</v>
      </c>
      <c r="C5796">
        <f t="shared" si="95"/>
        <v>0</v>
      </c>
    </row>
    <row r="5797" spans="1:3" x14ac:dyDescent="0.2">
      <c r="A5797" s="34">
        <v>37544</v>
      </c>
      <c r="B5797">
        <v>3.178137</v>
      </c>
      <c r="C5797">
        <f t="shared" si="95"/>
        <v>0</v>
      </c>
    </row>
    <row r="5798" spans="1:3" x14ac:dyDescent="0.2">
      <c r="A5798" s="34">
        <v>37543</v>
      </c>
      <c r="B5798">
        <v>3.177934</v>
      </c>
      <c r="C5798">
        <f t="shared" si="95"/>
        <v>0</v>
      </c>
    </row>
    <row r="5799" spans="1:3" x14ac:dyDescent="0.2">
      <c r="A5799" s="34">
        <v>37542</v>
      </c>
      <c r="B5799">
        <v>3.1777310000000001</v>
      </c>
      <c r="C5799">
        <f t="shared" si="95"/>
        <v>0</v>
      </c>
    </row>
    <row r="5800" spans="1:3" x14ac:dyDescent="0.2">
      <c r="A5800" s="34">
        <v>37541</v>
      </c>
      <c r="B5800">
        <v>3.1775280000000001</v>
      </c>
      <c r="C5800">
        <f t="shared" si="95"/>
        <v>0</v>
      </c>
    </row>
    <row r="5801" spans="1:3" x14ac:dyDescent="0.2">
      <c r="A5801" s="34">
        <v>37540</v>
      </c>
      <c r="B5801">
        <v>3.1773250000000002</v>
      </c>
      <c r="C5801">
        <f t="shared" si="95"/>
        <v>0</v>
      </c>
    </row>
    <row r="5802" spans="1:3" x14ac:dyDescent="0.2">
      <c r="A5802" s="34">
        <v>37539</v>
      </c>
      <c r="B5802">
        <v>3.1771219999999998</v>
      </c>
      <c r="C5802">
        <f t="shared" si="95"/>
        <v>0</v>
      </c>
    </row>
    <row r="5803" spans="1:3" x14ac:dyDescent="0.2">
      <c r="A5803" s="34">
        <v>37538</v>
      </c>
      <c r="B5803">
        <v>3.1760790000000001</v>
      </c>
      <c r="C5803">
        <f t="shared" si="95"/>
        <v>0</v>
      </c>
    </row>
    <row r="5804" spans="1:3" x14ac:dyDescent="0.2">
      <c r="A5804" s="34">
        <v>37537</v>
      </c>
      <c r="B5804">
        <v>3.175036</v>
      </c>
      <c r="C5804">
        <f t="shared" si="95"/>
        <v>0</v>
      </c>
    </row>
    <row r="5805" spans="1:3" x14ac:dyDescent="0.2">
      <c r="A5805" s="34">
        <v>37536</v>
      </c>
      <c r="B5805">
        <v>3.1739929999999998</v>
      </c>
      <c r="C5805">
        <f t="shared" si="95"/>
        <v>0</v>
      </c>
    </row>
    <row r="5806" spans="1:3" x14ac:dyDescent="0.2">
      <c r="A5806" s="34">
        <v>37535</v>
      </c>
      <c r="B5806">
        <v>3.1729509999999999</v>
      </c>
      <c r="C5806">
        <f t="shared" si="95"/>
        <v>0</v>
      </c>
    </row>
    <row r="5807" spans="1:3" x14ac:dyDescent="0.2">
      <c r="A5807" s="34">
        <v>37534</v>
      </c>
      <c r="B5807">
        <v>3.1719089999999999</v>
      </c>
      <c r="C5807">
        <f t="shared" si="95"/>
        <v>0</v>
      </c>
    </row>
    <row r="5808" spans="1:3" x14ac:dyDescent="0.2">
      <c r="A5808" s="34">
        <v>37533</v>
      </c>
      <c r="B5808">
        <v>3.170868</v>
      </c>
      <c r="C5808">
        <f t="shared" si="95"/>
        <v>0</v>
      </c>
    </row>
    <row r="5809" spans="1:3" x14ac:dyDescent="0.2">
      <c r="A5809" s="34">
        <v>37532</v>
      </c>
      <c r="B5809">
        <v>3.1698270000000002</v>
      </c>
      <c r="C5809">
        <f t="shared" si="95"/>
        <v>0</v>
      </c>
    </row>
    <row r="5810" spans="1:3" x14ac:dyDescent="0.2">
      <c r="A5810" s="34">
        <v>37531</v>
      </c>
      <c r="B5810">
        <v>3.1687859999999999</v>
      </c>
      <c r="C5810">
        <f t="shared" si="95"/>
        <v>0</v>
      </c>
    </row>
    <row r="5811" spans="1:3" x14ac:dyDescent="0.2">
      <c r="A5811" s="34">
        <v>37530</v>
      </c>
      <c r="B5811">
        <v>3.167745</v>
      </c>
      <c r="C5811">
        <f t="shared" si="95"/>
        <v>0</v>
      </c>
    </row>
    <row r="5812" spans="1:3" x14ac:dyDescent="0.2">
      <c r="A5812" s="34">
        <v>37529</v>
      </c>
      <c r="B5812">
        <v>3.1667049999999999</v>
      </c>
      <c r="C5812">
        <f t="shared" si="95"/>
        <v>0</v>
      </c>
    </row>
    <row r="5813" spans="1:3" x14ac:dyDescent="0.2">
      <c r="A5813" s="34">
        <v>37528</v>
      </c>
      <c r="B5813">
        <v>3.1656650000000002</v>
      </c>
      <c r="C5813">
        <f t="shared" si="95"/>
        <v>0</v>
      </c>
    </row>
    <row r="5814" spans="1:3" x14ac:dyDescent="0.2">
      <c r="A5814" s="34">
        <v>37527</v>
      </c>
      <c r="B5814">
        <v>3.1646260000000002</v>
      </c>
      <c r="C5814">
        <f t="shared" si="95"/>
        <v>0</v>
      </c>
    </row>
    <row r="5815" spans="1:3" x14ac:dyDescent="0.2">
      <c r="A5815" s="34">
        <v>37526</v>
      </c>
      <c r="B5815">
        <v>3.1635870000000001</v>
      </c>
      <c r="C5815">
        <f t="shared" si="95"/>
        <v>0</v>
      </c>
    </row>
    <row r="5816" spans="1:3" x14ac:dyDescent="0.2">
      <c r="A5816" s="34">
        <v>37525</v>
      </c>
      <c r="B5816">
        <v>3.1625480000000001</v>
      </c>
      <c r="C5816">
        <f t="shared" si="95"/>
        <v>0</v>
      </c>
    </row>
    <row r="5817" spans="1:3" x14ac:dyDescent="0.2">
      <c r="A5817" s="34">
        <v>37524</v>
      </c>
      <c r="B5817">
        <v>3.1615099999999998</v>
      </c>
      <c r="C5817">
        <f t="shared" si="95"/>
        <v>0</v>
      </c>
    </row>
    <row r="5818" spans="1:3" x14ac:dyDescent="0.2">
      <c r="A5818" s="34">
        <v>37523</v>
      </c>
      <c r="B5818">
        <v>3.1612650000000002</v>
      </c>
      <c r="C5818">
        <f t="shared" si="95"/>
        <v>0</v>
      </c>
    </row>
    <row r="5819" spans="1:3" x14ac:dyDescent="0.2">
      <c r="A5819" s="34">
        <v>37522</v>
      </c>
      <c r="B5819">
        <v>3.161019</v>
      </c>
      <c r="C5819">
        <f t="shared" si="95"/>
        <v>0</v>
      </c>
    </row>
    <row r="5820" spans="1:3" x14ac:dyDescent="0.2">
      <c r="A5820" s="34">
        <v>37521</v>
      </c>
      <c r="B5820">
        <v>3.160774</v>
      </c>
      <c r="C5820">
        <f t="shared" si="95"/>
        <v>0</v>
      </c>
    </row>
    <row r="5821" spans="1:3" x14ac:dyDescent="0.2">
      <c r="A5821" s="34">
        <v>37520</v>
      </c>
      <c r="B5821">
        <v>3.1605289999999999</v>
      </c>
      <c r="C5821">
        <f t="shared" si="95"/>
        <v>0</v>
      </c>
    </row>
    <row r="5822" spans="1:3" x14ac:dyDescent="0.2">
      <c r="A5822" s="34">
        <v>37519</v>
      </c>
      <c r="B5822">
        <v>3.1602839999999999</v>
      </c>
      <c r="C5822">
        <f t="shared" si="95"/>
        <v>0</v>
      </c>
    </row>
    <row r="5823" spans="1:3" x14ac:dyDescent="0.2">
      <c r="A5823" s="34">
        <v>37518</v>
      </c>
      <c r="B5823">
        <v>3.1600389999999998</v>
      </c>
      <c r="C5823">
        <f t="shared" si="95"/>
        <v>0</v>
      </c>
    </row>
    <row r="5824" spans="1:3" x14ac:dyDescent="0.2">
      <c r="A5824" s="34">
        <v>37517</v>
      </c>
      <c r="B5824">
        <v>3.1597940000000002</v>
      </c>
      <c r="C5824">
        <f t="shared" si="95"/>
        <v>0</v>
      </c>
    </row>
    <row r="5825" spans="1:3" x14ac:dyDescent="0.2">
      <c r="A5825" s="34">
        <v>37516</v>
      </c>
      <c r="B5825">
        <v>3.1595490000000002</v>
      </c>
      <c r="C5825">
        <f t="shared" si="95"/>
        <v>0</v>
      </c>
    </row>
    <row r="5826" spans="1:3" x14ac:dyDescent="0.2">
      <c r="A5826" s="34">
        <v>37515</v>
      </c>
      <c r="B5826">
        <v>3.1593040000000001</v>
      </c>
      <c r="C5826">
        <f t="shared" ref="C5826:C5889" si="96">IFERROR(VLOOKUP(A5826,$M$2:$N$3695,2,0),C5827)</f>
        <v>0</v>
      </c>
    </row>
    <row r="5827" spans="1:3" x14ac:dyDescent="0.2">
      <c r="A5827" s="34">
        <v>37514</v>
      </c>
      <c r="B5827">
        <v>3.1590590000000001</v>
      </c>
      <c r="C5827">
        <f t="shared" si="96"/>
        <v>0</v>
      </c>
    </row>
    <row r="5828" spans="1:3" x14ac:dyDescent="0.2">
      <c r="A5828" s="34">
        <v>37513</v>
      </c>
      <c r="B5828">
        <v>3.158814</v>
      </c>
      <c r="C5828">
        <f t="shared" si="96"/>
        <v>0</v>
      </c>
    </row>
    <row r="5829" spans="1:3" x14ac:dyDescent="0.2">
      <c r="A5829" s="34">
        <v>37512</v>
      </c>
      <c r="B5829">
        <v>3.158569</v>
      </c>
      <c r="C5829">
        <f t="shared" si="96"/>
        <v>0</v>
      </c>
    </row>
    <row r="5830" spans="1:3" x14ac:dyDescent="0.2">
      <c r="A5830" s="34">
        <v>37511</v>
      </c>
      <c r="B5830">
        <v>3.1583239999999999</v>
      </c>
      <c r="C5830">
        <f t="shared" si="96"/>
        <v>0</v>
      </c>
    </row>
    <row r="5831" spans="1:3" x14ac:dyDescent="0.2">
      <c r="A5831" s="34">
        <v>37510</v>
      </c>
      <c r="B5831">
        <v>3.1580789999999999</v>
      </c>
      <c r="C5831">
        <f t="shared" si="96"/>
        <v>0</v>
      </c>
    </row>
    <row r="5832" spans="1:3" x14ac:dyDescent="0.2">
      <c r="A5832" s="34">
        <v>37509</v>
      </c>
      <c r="B5832">
        <v>3.1578339999999998</v>
      </c>
      <c r="C5832">
        <f t="shared" si="96"/>
        <v>0</v>
      </c>
    </row>
    <row r="5833" spans="1:3" x14ac:dyDescent="0.2">
      <c r="A5833" s="34">
        <v>37508</v>
      </c>
      <c r="B5833">
        <v>3.1573470000000001</v>
      </c>
      <c r="C5833">
        <f t="shared" si="96"/>
        <v>0</v>
      </c>
    </row>
    <row r="5834" spans="1:3" x14ac:dyDescent="0.2">
      <c r="A5834" s="34">
        <v>37507</v>
      </c>
      <c r="B5834">
        <v>3.15686</v>
      </c>
      <c r="C5834">
        <f t="shared" si="96"/>
        <v>0</v>
      </c>
    </row>
    <row r="5835" spans="1:3" x14ac:dyDescent="0.2">
      <c r="A5835" s="34">
        <v>37506</v>
      </c>
      <c r="B5835">
        <v>3.1563720000000002</v>
      </c>
      <c r="C5835">
        <f t="shared" si="96"/>
        <v>0</v>
      </c>
    </row>
    <row r="5836" spans="1:3" x14ac:dyDescent="0.2">
      <c r="A5836" s="34">
        <v>37505</v>
      </c>
      <c r="B5836">
        <v>3.1558850000000001</v>
      </c>
      <c r="C5836">
        <f t="shared" si="96"/>
        <v>0</v>
      </c>
    </row>
    <row r="5837" spans="1:3" x14ac:dyDescent="0.2">
      <c r="A5837" s="34">
        <v>37504</v>
      </c>
      <c r="B5837">
        <v>3.1553979999999999</v>
      </c>
      <c r="C5837">
        <f t="shared" si="96"/>
        <v>0</v>
      </c>
    </row>
    <row r="5838" spans="1:3" x14ac:dyDescent="0.2">
      <c r="A5838" s="34">
        <v>37503</v>
      </c>
      <c r="B5838">
        <v>3.1549109999999998</v>
      </c>
      <c r="C5838">
        <f t="shared" si="96"/>
        <v>0</v>
      </c>
    </row>
    <row r="5839" spans="1:3" x14ac:dyDescent="0.2">
      <c r="A5839" s="34">
        <v>37502</v>
      </c>
      <c r="B5839">
        <v>3.1544240000000001</v>
      </c>
      <c r="C5839">
        <f t="shared" si="96"/>
        <v>0</v>
      </c>
    </row>
    <row r="5840" spans="1:3" x14ac:dyDescent="0.2">
      <c r="A5840" s="34">
        <v>37501</v>
      </c>
      <c r="B5840">
        <v>3.153937</v>
      </c>
      <c r="C5840">
        <f t="shared" si="96"/>
        <v>0</v>
      </c>
    </row>
    <row r="5841" spans="1:3" x14ac:dyDescent="0.2">
      <c r="A5841" s="34">
        <v>37500</v>
      </c>
      <c r="B5841">
        <v>3.1534499999999999</v>
      </c>
      <c r="C5841">
        <f t="shared" si="96"/>
        <v>0</v>
      </c>
    </row>
    <row r="5842" spans="1:3" x14ac:dyDescent="0.2">
      <c r="A5842" s="34">
        <v>37499</v>
      </c>
      <c r="B5842">
        <v>3.1529630000000002</v>
      </c>
      <c r="C5842">
        <f t="shared" si="96"/>
        <v>0</v>
      </c>
    </row>
    <row r="5843" spans="1:3" x14ac:dyDescent="0.2">
      <c r="A5843" s="34">
        <v>37498</v>
      </c>
      <c r="B5843">
        <v>3.1524770000000002</v>
      </c>
      <c r="C5843">
        <f t="shared" si="96"/>
        <v>0</v>
      </c>
    </row>
    <row r="5844" spans="1:3" x14ac:dyDescent="0.2">
      <c r="A5844" s="34">
        <v>37497</v>
      </c>
      <c r="B5844">
        <v>3.1519900000000001</v>
      </c>
      <c r="C5844">
        <f t="shared" si="96"/>
        <v>0</v>
      </c>
    </row>
    <row r="5845" spans="1:3" x14ac:dyDescent="0.2">
      <c r="A5845" s="34">
        <v>37496</v>
      </c>
      <c r="B5845">
        <v>3.1515029999999999</v>
      </c>
      <c r="C5845">
        <f t="shared" si="96"/>
        <v>0</v>
      </c>
    </row>
    <row r="5846" spans="1:3" x14ac:dyDescent="0.2">
      <c r="A5846" s="34">
        <v>37495</v>
      </c>
      <c r="B5846">
        <v>3.151017</v>
      </c>
      <c r="C5846">
        <f t="shared" si="96"/>
        <v>0</v>
      </c>
    </row>
    <row r="5847" spans="1:3" x14ac:dyDescent="0.2">
      <c r="A5847" s="34">
        <v>37494</v>
      </c>
      <c r="B5847">
        <v>3.1505299999999998</v>
      </c>
      <c r="C5847">
        <f t="shared" si="96"/>
        <v>0</v>
      </c>
    </row>
    <row r="5848" spans="1:3" x14ac:dyDescent="0.2">
      <c r="A5848" s="34">
        <v>37493</v>
      </c>
      <c r="B5848">
        <v>3.1500439999999998</v>
      </c>
      <c r="C5848">
        <f t="shared" si="96"/>
        <v>0</v>
      </c>
    </row>
    <row r="5849" spans="1:3" x14ac:dyDescent="0.2">
      <c r="A5849" s="34">
        <v>37492</v>
      </c>
      <c r="B5849">
        <v>3.1497320000000002</v>
      </c>
      <c r="C5849">
        <f t="shared" si="96"/>
        <v>0</v>
      </c>
    </row>
    <row r="5850" spans="1:3" x14ac:dyDescent="0.2">
      <c r="A5850" s="34">
        <v>37491</v>
      </c>
      <c r="B5850">
        <v>3.1494200000000001</v>
      </c>
      <c r="C5850">
        <f t="shared" si="96"/>
        <v>0</v>
      </c>
    </row>
    <row r="5851" spans="1:3" x14ac:dyDescent="0.2">
      <c r="A5851" s="34">
        <v>37490</v>
      </c>
      <c r="B5851">
        <v>3.1491069999999999</v>
      </c>
      <c r="C5851">
        <f t="shared" si="96"/>
        <v>0</v>
      </c>
    </row>
    <row r="5852" spans="1:3" x14ac:dyDescent="0.2">
      <c r="A5852" s="34">
        <v>37489</v>
      </c>
      <c r="B5852">
        <v>3.1487949999999998</v>
      </c>
      <c r="C5852">
        <f t="shared" si="96"/>
        <v>0</v>
      </c>
    </row>
    <row r="5853" spans="1:3" x14ac:dyDescent="0.2">
      <c r="A5853" s="34">
        <v>37488</v>
      </c>
      <c r="B5853">
        <v>3.1484830000000001</v>
      </c>
      <c r="C5853">
        <f t="shared" si="96"/>
        <v>0</v>
      </c>
    </row>
    <row r="5854" spans="1:3" x14ac:dyDescent="0.2">
      <c r="A5854" s="34">
        <v>37487</v>
      </c>
      <c r="B5854">
        <v>3.1481710000000001</v>
      </c>
      <c r="C5854">
        <f t="shared" si="96"/>
        <v>0</v>
      </c>
    </row>
    <row r="5855" spans="1:3" x14ac:dyDescent="0.2">
      <c r="A5855" s="34">
        <v>37486</v>
      </c>
      <c r="B5855">
        <v>3.147859</v>
      </c>
      <c r="C5855">
        <f t="shared" si="96"/>
        <v>0</v>
      </c>
    </row>
    <row r="5856" spans="1:3" x14ac:dyDescent="0.2">
      <c r="A5856" s="34">
        <v>37485</v>
      </c>
      <c r="B5856">
        <v>3.1475469999999999</v>
      </c>
      <c r="C5856">
        <f t="shared" si="96"/>
        <v>0</v>
      </c>
    </row>
    <row r="5857" spans="1:3" x14ac:dyDescent="0.2">
      <c r="A5857" s="34">
        <v>37484</v>
      </c>
      <c r="B5857">
        <v>3.1472349999999998</v>
      </c>
      <c r="C5857">
        <f t="shared" si="96"/>
        <v>0</v>
      </c>
    </row>
    <row r="5858" spans="1:3" x14ac:dyDescent="0.2">
      <c r="A5858" s="34">
        <v>37483</v>
      </c>
      <c r="B5858">
        <v>3.1469230000000001</v>
      </c>
      <c r="C5858">
        <f t="shared" si="96"/>
        <v>0</v>
      </c>
    </row>
    <row r="5859" spans="1:3" x14ac:dyDescent="0.2">
      <c r="A5859" s="34">
        <v>37482</v>
      </c>
      <c r="B5859">
        <v>3.146611</v>
      </c>
      <c r="C5859">
        <f t="shared" si="96"/>
        <v>0</v>
      </c>
    </row>
    <row r="5860" spans="1:3" x14ac:dyDescent="0.2">
      <c r="A5860" s="34">
        <v>37481</v>
      </c>
      <c r="B5860">
        <v>3.146299</v>
      </c>
      <c r="C5860">
        <f t="shared" si="96"/>
        <v>0</v>
      </c>
    </row>
    <row r="5861" spans="1:3" x14ac:dyDescent="0.2">
      <c r="A5861" s="34">
        <v>37480</v>
      </c>
      <c r="B5861">
        <v>3.1459869999999999</v>
      </c>
      <c r="C5861">
        <f t="shared" si="96"/>
        <v>0</v>
      </c>
    </row>
    <row r="5862" spans="1:3" x14ac:dyDescent="0.2">
      <c r="A5862" s="34">
        <v>37479</v>
      </c>
      <c r="B5862">
        <v>3.1456750000000002</v>
      </c>
      <c r="C5862">
        <f t="shared" si="96"/>
        <v>0</v>
      </c>
    </row>
    <row r="5863" spans="1:3" x14ac:dyDescent="0.2">
      <c r="A5863" s="34">
        <v>37478</v>
      </c>
      <c r="B5863">
        <v>3.1453639999999998</v>
      </c>
      <c r="C5863">
        <f t="shared" si="96"/>
        <v>0</v>
      </c>
    </row>
    <row r="5864" spans="1:3" x14ac:dyDescent="0.2">
      <c r="A5864" s="34">
        <v>37477</v>
      </c>
      <c r="B5864">
        <v>3.145108</v>
      </c>
      <c r="C5864">
        <f t="shared" si="96"/>
        <v>0</v>
      </c>
    </row>
    <row r="5865" spans="1:3" x14ac:dyDescent="0.2">
      <c r="A5865" s="34">
        <v>37476</v>
      </c>
      <c r="B5865">
        <v>3.1448529999999999</v>
      </c>
      <c r="C5865">
        <f t="shared" si="96"/>
        <v>0</v>
      </c>
    </row>
    <row r="5866" spans="1:3" x14ac:dyDescent="0.2">
      <c r="A5866" s="34">
        <v>37475</v>
      </c>
      <c r="B5866">
        <v>3.1445970000000001</v>
      </c>
      <c r="C5866">
        <f t="shared" si="96"/>
        <v>0</v>
      </c>
    </row>
    <row r="5867" spans="1:3" x14ac:dyDescent="0.2">
      <c r="A5867" s="34">
        <v>37474</v>
      </c>
      <c r="B5867">
        <v>3.144342</v>
      </c>
      <c r="C5867">
        <f t="shared" si="96"/>
        <v>0</v>
      </c>
    </row>
    <row r="5868" spans="1:3" x14ac:dyDescent="0.2">
      <c r="A5868" s="34">
        <v>37473</v>
      </c>
      <c r="B5868">
        <v>3.1440869999999999</v>
      </c>
      <c r="C5868">
        <f t="shared" si="96"/>
        <v>0</v>
      </c>
    </row>
    <row r="5869" spans="1:3" x14ac:dyDescent="0.2">
      <c r="A5869" s="34">
        <v>37472</v>
      </c>
      <c r="B5869">
        <v>3.1438320000000002</v>
      </c>
      <c r="C5869">
        <f t="shared" si="96"/>
        <v>0</v>
      </c>
    </row>
    <row r="5870" spans="1:3" x14ac:dyDescent="0.2">
      <c r="A5870" s="34">
        <v>37471</v>
      </c>
      <c r="B5870">
        <v>3.1435759999999999</v>
      </c>
      <c r="C5870">
        <f t="shared" si="96"/>
        <v>0</v>
      </c>
    </row>
    <row r="5871" spans="1:3" x14ac:dyDescent="0.2">
      <c r="A5871" s="34">
        <v>37470</v>
      </c>
      <c r="B5871">
        <v>3.1433209999999998</v>
      </c>
      <c r="C5871">
        <f t="shared" si="96"/>
        <v>0</v>
      </c>
    </row>
    <row r="5872" spans="1:3" x14ac:dyDescent="0.2">
      <c r="A5872" s="34">
        <v>37469</v>
      </c>
      <c r="B5872">
        <v>3.1430660000000001</v>
      </c>
      <c r="C5872">
        <f t="shared" si="96"/>
        <v>0</v>
      </c>
    </row>
    <row r="5873" spans="1:3" x14ac:dyDescent="0.2">
      <c r="A5873" s="34">
        <v>37468</v>
      </c>
      <c r="B5873">
        <v>3.142811</v>
      </c>
      <c r="C5873">
        <f t="shared" si="96"/>
        <v>0</v>
      </c>
    </row>
    <row r="5874" spans="1:3" x14ac:dyDescent="0.2">
      <c r="A5874" s="34">
        <v>37467</v>
      </c>
      <c r="B5874">
        <v>3.1425550000000002</v>
      </c>
      <c r="C5874">
        <f t="shared" si="96"/>
        <v>0</v>
      </c>
    </row>
    <row r="5875" spans="1:3" x14ac:dyDescent="0.2">
      <c r="A5875" s="34">
        <v>37466</v>
      </c>
      <c r="B5875">
        <v>3.1423000000000001</v>
      </c>
      <c r="C5875">
        <f t="shared" si="96"/>
        <v>0</v>
      </c>
    </row>
    <row r="5876" spans="1:3" x14ac:dyDescent="0.2">
      <c r="A5876" s="34">
        <v>37465</v>
      </c>
      <c r="B5876">
        <v>3.142045</v>
      </c>
      <c r="C5876">
        <f t="shared" si="96"/>
        <v>0</v>
      </c>
    </row>
    <row r="5877" spans="1:3" x14ac:dyDescent="0.2">
      <c r="A5877" s="34">
        <v>37464</v>
      </c>
      <c r="B5877">
        <v>3.1417899999999999</v>
      </c>
      <c r="C5877">
        <f t="shared" si="96"/>
        <v>0</v>
      </c>
    </row>
    <row r="5878" spans="1:3" x14ac:dyDescent="0.2">
      <c r="A5878" s="34">
        <v>37463</v>
      </c>
      <c r="B5878">
        <v>3.1415350000000002</v>
      </c>
      <c r="C5878">
        <f t="shared" si="96"/>
        <v>0</v>
      </c>
    </row>
    <row r="5879" spans="1:3" x14ac:dyDescent="0.2">
      <c r="A5879" s="34">
        <v>37462</v>
      </c>
      <c r="B5879">
        <v>3.1412800000000001</v>
      </c>
      <c r="C5879">
        <f t="shared" si="96"/>
        <v>0</v>
      </c>
    </row>
    <row r="5880" spans="1:3" x14ac:dyDescent="0.2">
      <c r="A5880" s="34">
        <v>37461</v>
      </c>
      <c r="B5880">
        <v>3.140933</v>
      </c>
      <c r="C5880">
        <f t="shared" si="96"/>
        <v>0</v>
      </c>
    </row>
    <row r="5881" spans="1:3" x14ac:dyDescent="0.2">
      <c r="A5881" s="34">
        <v>37460</v>
      </c>
      <c r="B5881">
        <v>3.140587</v>
      </c>
      <c r="C5881">
        <f t="shared" si="96"/>
        <v>0</v>
      </c>
    </row>
    <row r="5882" spans="1:3" x14ac:dyDescent="0.2">
      <c r="A5882" s="34">
        <v>37459</v>
      </c>
      <c r="B5882">
        <v>3.1402399999999999</v>
      </c>
      <c r="C5882">
        <f t="shared" si="96"/>
        <v>0</v>
      </c>
    </row>
    <row r="5883" spans="1:3" x14ac:dyDescent="0.2">
      <c r="A5883" s="34">
        <v>37458</v>
      </c>
      <c r="B5883">
        <v>3.139894</v>
      </c>
      <c r="C5883">
        <f t="shared" si="96"/>
        <v>0</v>
      </c>
    </row>
    <row r="5884" spans="1:3" x14ac:dyDescent="0.2">
      <c r="A5884" s="34">
        <v>37457</v>
      </c>
      <c r="B5884">
        <v>3.1395469999999999</v>
      </c>
      <c r="C5884">
        <f t="shared" si="96"/>
        <v>0</v>
      </c>
    </row>
    <row r="5885" spans="1:3" x14ac:dyDescent="0.2">
      <c r="A5885" s="34">
        <v>37456</v>
      </c>
      <c r="B5885">
        <v>3.1392009999999999</v>
      </c>
      <c r="C5885">
        <f t="shared" si="96"/>
        <v>0</v>
      </c>
    </row>
    <row r="5886" spans="1:3" x14ac:dyDescent="0.2">
      <c r="A5886" s="34">
        <v>37455</v>
      </c>
      <c r="B5886">
        <v>3.1388539999999998</v>
      </c>
      <c r="C5886">
        <f t="shared" si="96"/>
        <v>0</v>
      </c>
    </row>
    <row r="5887" spans="1:3" x14ac:dyDescent="0.2">
      <c r="A5887" s="34">
        <v>37454</v>
      </c>
      <c r="B5887">
        <v>3.1385079999999999</v>
      </c>
      <c r="C5887">
        <f t="shared" si="96"/>
        <v>0</v>
      </c>
    </row>
    <row r="5888" spans="1:3" x14ac:dyDescent="0.2">
      <c r="A5888" s="34">
        <v>37453</v>
      </c>
      <c r="B5888">
        <v>3.1381619999999999</v>
      </c>
      <c r="C5888">
        <f t="shared" si="96"/>
        <v>0</v>
      </c>
    </row>
    <row r="5889" spans="1:3" x14ac:dyDescent="0.2">
      <c r="A5889" s="34">
        <v>37452</v>
      </c>
      <c r="B5889">
        <v>3.1378149999999998</v>
      </c>
      <c r="C5889">
        <f t="shared" si="96"/>
        <v>0</v>
      </c>
    </row>
    <row r="5890" spans="1:3" x14ac:dyDescent="0.2">
      <c r="A5890" s="34">
        <v>37451</v>
      </c>
      <c r="B5890">
        <v>3.1374689999999998</v>
      </c>
      <c r="C5890">
        <f t="shared" ref="C5890:C5953" si="97">IFERROR(VLOOKUP(A5890,$M$2:$N$3695,2,0),C5891)</f>
        <v>0</v>
      </c>
    </row>
    <row r="5891" spans="1:3" x14ac:dyDescent="0.2">
      <c r="A5891" s="34">
        <v>37450</v>
      </c>
      <c r="B5891">
        <v>3.1371229999999999</v>
      </c>
      <c r="C5891">
        <f t="shared" si="97"/>
        <v>0</v>
      </c>
    </row>
    <row r="5892" spans="1:3" x14ac:dyDescent="0.2">
      <c r="A5892" s="34">
        <v>37449</v>
      </c>
      <c r="B5892">
        <v>3.1367769999999999</v>
      </c>
      <c r="C5892">
        <f t="shared" si="97"/>
        <v>0</v>
      </c>
    </row>
    <row r="5893" spans="1:3" x14ac:dyDescent="0.2">
      <c r="A5893" s="34">
        <v>37448</v>
      </c>
      <c r="B5893">
        <v>3.136431</v>
      </c>
      <c r="C5893">
        <f t="shared" si="97"/>
        <v>0</v>
      </c>
    </row>
    <row r="5894" spans="1:3" x14ac:dyDescent="0.2">
      <c r="A5894" s="34">
        <v>37447</v>
      </c>
      <c r="B5894">
        <v>3.136085</v>
      </c>
      <c r="C5894">
        <f t="shared" si="97"/>
        <v>0</v>
      </c>
    </row>
    <row r="5895" spans="1:3" x14ac:dyDescent="0.2">
      <c r="A5895" s="34">
        <v>37446</v>
      </c>
      <c r="B5895">
        <v>3.135354</v>
      </c>
      <c r="C5895">
        <f t="shared" si="97"/>
        <v>0</v>
      </c>
    </row>
    <row r="5896" spans="1:3" x14ac:dyDescent="0.2">
      <c r="A5896" s="34">
        <v>37445</v>
      </c>
      <c r="B5896">
        <v>3.1346229999999999</v>
      </c>
      <c r="C5896">
        <f t="shared" si="97"/>
        <v>0</v>
      </c>
    </row>
    <row r="5897" spans="1:3" x14ac:dyDescent="0.2">
      <c r="A5897" s="34">
        <v>37444</v>
      </c>
      <c r="B5897">
        <v>3.1338919999999999</v>
      </c>
      <c r="C5897">
        <f t="shared" si="97"/>
        <v>0</v>
      </c>
    </row>
    <row r="5898" spans="1:3" x14ac:dyDescent="0.2">
      <c r="A5898" s="34">
        <v>37443</v>
      </c>
      <c r="B5898">
        <v>3.1331609999999999</v>
      </c>
      <c r="C5898">
        <f t="shared" si="97"/>
        <v>0</v>
      </c>
    </row>
    <row r="5899" spans="1:3" x14ac:dyDescent="0.2">
      <c r="A5899" s="34">
        <v>37442</v>
      </c>
      <c r="B5899">
        <v>3.132431</v>
      </c>
      <c r="C5899">
        <f t="shared" si="97"/>
        <v>0</v>
      </c>
    </row>
    <row r="5900" spans="1:3" x14ac:dyDescent="0.2">
      <c r="A5900" s="34">
        <v>37441</v>
      </c>
      <c r="B5900">
        <v>3.1317010000000001</v>
      </c>
      <c r="C5900">
        <f t="shared" si="97"/>
        <v>0</v>
      </c>
    </row>
    <row r="5901" spans="1:3" x14ac:dyDescent="0.2">
      <c r="A5901" s="34">
        <v>37440</v>
      </c>
      <c r="B5901">
        <v>3.1309710000000002</v>
      </c>
      <c r="C5901">
        <f t="shared" si="97"/>
        <v>0</v>
      </c>
    </row>
    <row r="5902" spans="1:3" x14ac:dyDescent="0.2">
      <c r="A5902" s="34">
        <v>37439</v>
      </c>
      <c r="B5902">
        <v>3.1302409999999998</v>
      </c>
      <c r="C5902">
        <f t="shared" si="97"/>
        <v>0</v>
      </c>
    </row>
    <row r="5903" spans="1:3" x14ac:dyDescent="0.2">
      <c r="A5903" s="34">
        <v>37438</v>
      </c>
      <c r="B5903">
        <v>3.1295109999999999</v>
      </c>
      <c r="C5903">
        <f t="shared" si="97"/>
        <v>0</v>
      </c>
    </row>
    <row r="5904" spans="1:3" x14ac:dyDescent="0.2">
      <c r="A5904" s="34">
        <v>37437</v>
      </c>
      <c r="B5904">
        <v>3.1287820000000002</v>
      </c>
      <c r="C5904">
        <f t="shared" si="97"/>
        <v>0</v>
      </c>
    </row>
    <row r="5905" spans="1:3" x14ac:dyDescent="0.2">
      <c r="A5905" s="34">
        <v>37436</v>
      </c>
      <c r="B5905">
        <v>3.128053</v>
      </c>
      <c r="C5905">
        <f t="shared" si="97"/>
        <v>0</v>
      </c>
    </row>
    <row r="5906" spans="1:3" x14ac:dyDescent="0.2">
      <c r="A5906" s="34">
        <v>37435</v>
      </c>
      <c r="B5906">
        <v>3.1273230000000001</v>
      </c>
      <c r="C5906">
        <f t="shared" si="97"/>
        <v>0</v>
      </c>
    </row>
    <row r="5907" spans="1:3" x14ac:dyDescent="0.2">
      <c r="A5907" s="34">
        <v>37434</v>
      </c>
      <c r="B5907">
        <v>3.1265939999999999</v>
      </c>
      <c r="C5907">
        <f t="shared" si="97"/>
        <v>0</v>
      </c>
    </row>
    <row r="5908" spans="1:3" x14ac:dyDescent="0.2">
      <c r="A5908" s="34">
        <v>37433</v>
      </c>
      <c r="B5908">
        <v>3.1258659999999998</v>
      </c>
      <c r="C5908">
        <f t="shared" si="97"/>
        <v>0</v>
      </c>
    </row>
    <row r="5909" spans="1:3" x14ac:dyDescent="0.2">
      <c r="A5909" s="34">
        <v>37432</v>
      </c>
      <c r="B5909">
        <v>3.1251370000000001</v>
      </c>
      <c r="C5909">
        <f t="shared" si="97"/>
        <v>0</v>
      </c>
    </row>
    <row r="5910" spans="1:3" x14ac:dyDescent="0.2">
      <c r="A5910" s="34">
        <v>37431</v>
      </c>
      <c r="B5910">
        <v>3.1249120000000001</v>
      </c>
      <c r="C5910">
        <f t="shared" si="97"/>
        <v>0</v>
      </c>
    </row>
    <row r="5911" spans="1:3" x14ac:dyDescent="0.2">
      <c r="A5911" s="34">
        <v>37430</v>
      </c>
      <c r="B5911">
        <v>3.1246870000000002</v>
      </c>
      <c r="C5911">
        <f t="shared" si="97"/>
        <v>0</v>
      </c>
    </row>
    <row r="5912" spans="1:3" x14ac:dyDescent="0.2">
      <c r="A5912" s="34">
        <v>37429</v>
      </c>
      <c r="B5912">
        <v>3.1244610000000002</v>
      </c>
      <c r="C5912">
        <f t="shared" si="97"/>
        <v>0</v>
      </c>
    </row>
    <row r="5913" spans="1:3" x14ac:dyDescent="0.2">
      <c r="A5913" s="34">
        <v>37428</v>
      </c>
      <c r="B5913">
        <v>3.1242359999999998</v>
      </c>
      <c r="C5913">
        <f t="shared" si="97"/>
        <v>0</v>
      </c>
    </row>
    <row r="5914" spans="1:3" x14ac:dyDescent="0.2">
      <c r="A5914" s="34">
        <v>37427</v>
      </c>
      <c r="B5914">
        <v>3.1240109999999999</v>
      </c>
      <c r="C5914">
        <f t="shared" si="97"/>
        <v>0</v>
      </c>
    </row>
    <row r="5915" spans="1:3" x14ac:dyDescent="0.2">
      <c r="A5915" s="34">
        <v>37426</v>
      </c>
      <c r="B5915">
        <v>3.123786</v>
      </c>
      <c r="C5915">
        <f t="shared" si="97"/>
        <v>0</v>
      </c>
    </row>
    <row r="5916" spans="1:3" x14ac:dyDescent="0.2">
      <c r="A5916" s="34">
        <v>37425</v>
      </c>
      <c r="B5916">
        <v>3.123561</v>
      </c>
      <c r="C5916">
        <f t="shared" si="97"/>
        <v>0</v>
      </c>
    </row>
    <row r="5917" spans="1:3" x14ac:dyDescent="0.2">
      <c r="A5917" s="34">
        <v>37424</v>
      </c>
      <c r="B5917">
        <v>3.1233360000000001</v>
      </c>
      <c r="C5917">
        <f t="shared" si="97"/>
        <v>0</v>
      </c>
    </row>
    <row r="5918" spans="1:3" x14ac:dyDescent="0.2">
      <c r="A5918" s="34">
        <v>37423</v>
      </c>
      <c r="B5918">
        <v>3.1231110000000002</v>
      </c>
      <c r="C5918">
        <f t="shared" si="97"/>
        <v>0</v>
      </c>
    </row>
    <row r="5919" spans="1:3" x14ac:dyDescent="0.2">
      <c r="A5919" s="34">
        <v>37422</v>
      </c>
      <c r="B5919">
        <v>3.1228859999999998</v>
      </c>
      <c r="C5919">
        <f t="shared" si="97"/>
        <v>0</v>
      </c>
    </row>
    <row r="5920" spans="1:3" x14ac:dyDescent="0.2">
      <c r="A5920" s="34">
        <v>37421</v>
      </c>
      <c r="B5920">
        <v>3.1226609999999999</v>
      </c>
      <c r="C5920">
        <f t="shared" si="97"/>
        <v>0</v>
      </c>
    </row>
    <row r="5921" spans="1:3" x14ac:dyDescent="0.2">
      <c r="A5921" s="34">
        <v>37420</v>
      </c>
      <c r="B5921">
        <v>3.1224349999999998</v>
      </c>
      <c r="C5921">
        <f t="shared" si="97"/>
        <v>0</v>
      </c>
    </row>
    <row r="5922" spans="1:3" x14ac:dyDescent="0.2">
      <c r="A5922" s="34">
        <v>37419</v>
      </c>
      <c r="B5922">
        <v>3.1222099999999999</v>
      </c>
      <c r="C5922">
        <f t="shared" si="97"/>
        <v>0</v>
      </c>
    </row>
    <row r="5923" spans="1:3" x14ac:dyDescent="0.2">
      <c r="A5923" s="34">
        <v>37418</v>
      </c>
      <c r="B5923">
        <v>3.121985</v>
      </c>
      <c r="C5923">
        <f t="shared" si="97"/>
        <v>0</v>
      </c>
    </row>
    <row r="5924" spans="1:3" x14ac:dyDescent="0.2">
      <c r="A5924" s="34">
        <v>37417</v>
      </c>
      <c r="B5924">
        <v>3.1217600000000001</v>
      </c>
      <c r="C5924">
        <f t="shared" si="97"/>
        <v>0</v>
      </c>
    </row>
    <row r="5925" spans="1:3" x14ac:dyDescent="0.2">
      <c r="A5925" s="34">
        <v>37416</v>
      </c>
      <c r="B5925">
        <v>3.1212279999999999</v>
      </c>
      <c r="C5925">
        <f t="shared" si="97"/>
        <v>0</v>
      </c>
    </row>
    <row r="5926" spans="1:3" x14ac:dyDescent="0.2">
      <c r="A5926" s="34">
        <v>37415</v>
      </c>
      <c r="B5926">
        <v>3.120695</v>
      </c>
      <c r="C5926">
        <f t="shared" si="97"/>
        <v>0</v>
      </c>
    </row>
    <row r="5927" spans="1:3" x14ac:dyDescent="0.2">
      <c r="A5927" s="34">
        <v>37414</v>
      </c>
      <c r="B5927">
        <v>3.1201629999999998</v>
      </c>
      <c r="C5927">
        <f t="shared" si="97"/>
        <v>0</v>
      </c>
    </row>
    <row r="5928" spans="1:3" x14ac:dyDescent="0.2">
      <c r="A5928" s="34">
        <v>37413</v>
      </c>
      <c r="B5928">
        <v>3.119631</v>
      </c>
      <c r="C5928">
        <f t="shared" si="97"/>
        <v>0</v>
      </c>
    </row>
    <row r="5929" spans="1:3" x14ac:dyDescent="0.2">
      <c r="A5929" s="34">
        <v>37412</v>
      </c>
      <c r="B5929">
        <v>3.1190980000000001</v>
      </c>
      <c r="C5929">
        <f t="shared" si="97"/>
        <v>0</v>
      </c>
    </row>
    <row r="5930" spans="1:3" x14ac:dyDescent="0.2">
      <c r="A5930" s="34">
        <v>37411</v>
      </c>
      <c r="B5930">
        <v>3.1185659999999999</v>
      </c>
      <c r="C5930">
        <f t="shared" si="97"/>
        <v>0</v>
      </c>
    </row>
    <row r="5931" spans="1:3" x14ac:dyDescent="0.2">
      <c r="A5931" s="34">
        <v>37410</v>
      </c>
      <c r="B5931">
        <v>3.1180340000000002</v>
      </c>
      <c r="C5931">
        <f t="shared" si="97"/>
        <v>0</v>
      </c>
    </row>
    <row r="5932" spans="1:3" x14ac:dyDescent="0.2">
      <c r="A5932" s="34">
        <v>37409</v>
      </c>
      <c r="B5932">
        <v>3.117502</v>
      </c>
      <c r="C5932">
        <f t="shared" si="97"/>
        <v>0</v>
      </c>
    </row>
    <row r="5933" spans="1:3" x14ac:dyDescent="0.2">
      <c r="A5933" s="34">
        <v>37408</v>
      </c>
      <c r="B5933">
        <v>3.1169699999999998</v>
      </c>
      <c r="C5933">
        <f t="shared" si="97"/>
        <v>0</v>
      </c>
    </row>
    <row r="5934" spans="1:3" x14ac:dyDescent="0.2">
      <c r="A5934" s="34">
        <v>37407</v>
      </c>
      <c r="B5934">
        <v>3.116438</v>
      </c>
      <c r="C5934">
        <f t="shared" si="97"/>
        <v>0</v>
      </c>
    </row>
    <row r="5935" spans="1:3" x14ac:dyDescent="0.2">
      <c r="A5935" s="34">
        <v>37406</v>
      </c>
      <c r="B5935">
        <v>3.115907</v>
      </c>
      <c r="C5935">
        <f t="shared" si="97"/>
        <v>0</v>
      </c>
    </row>
    <row r="5936" spans="1:3" x14ac:dyDescent="0.2">
      <c r="A5936" s="34">
        <v>37405</v>
      </c>
      <c r="B5936">
        <v>3.1153749999999998</v>
      </c>
      <c r="C5936">
        <f t="shared" si="97"/>
        <v>0</v>
      </c>
    </row>
    <row r="5937" spans="1:3" x14ac:dyDescent="0.2">
      <c r="A5937" s="34">
        <v>37404</v>
      </c>
      <c r="B5937">
        <v>3.1148440000000002</v>
      </c>
      <c r="C5937">
        <f t="shared" si="97"/>
        <v>0</v>
      </c>
    </row>
    <row r="5938" spans="1:3" x14ac:dyDescent="0.2">
      <c r="A5938" s="34">
        <v>37403</v>
      </c>
      <c r="B5938">
        <v>3.114312</v>
      </c>
      <c r="C5938">
        <f t="shared" si="97"/>
        <v>0</v>
      </c>
    </row>
    <row r="5939" spans="1:3" x14ac:dyDescent="0.2">
      <c r="A5939" s="34">
        <v>37402</v>
      </c>
      <c r="B5939">
        <v>3.1137809999999999</v>
      </c>
      <c r="C5939">
        <f t="shared" si="97"/>
        <v>0</v>
      </c>
    </row>
    <row r="5940" spans="1:3" x14ac:dyDescent="0.2">
      <c r="A5940" s="34">
        <v>37401</v>
      </c>
      <c r="B5940">
        <v>3.1132499999999999</v>
      </c>
      <c r="C5940">
        <f t="shared" si="97"/>
        <v>0</v>
      </c>
    </row>
    <row r="5941" spans="1:3" x14ac:dyDescent="0.2">
      <c r="A5941" s="34">
        <v>37400</v>
      </c>
      <c r="B5941">
        <v>3.113766</v>
      </c>
      <c r="C5941">
        <f t="shared" si="97"/>
        <v>0</v>
      </c>
    </row>
    <row r="5942" spans="1:3" x14ac:dyDescent="0.2">
      <c r="A5942" s="34">
        <v>37399</v>
      </c>
      <c r="B5942">
        <v>3.1142829999999999</v>
      </c>
      <c r="C5942">
        <f t="shared" si="97"/>
        <v>0</v>
      </c>
    </row>
    <row r="5943" spans="1:3" x14ac:dyDescent="0.2">
      <c r="A5943" s="34">
        <v>37398</v>
      </c>
      <c r="B5943">
        <v>3.1148009999999999</v>
      </c>
      <c r="C5943">
        <f t="shared" si="97"/>
        <v>0</v>
      </c>
    </row>
    <row r="5944" spans="1:3" x14ac:dyDescent="0.2">
      <c r="A5944" s="34">
        <v>37397</v>
      </c>
      <c r="B5944">
        <v>3.1153179999999998</v>
      </c>
      <c r="C5944">
        <f t="shared" si="97"/>
        <v>0</v>
      </c>
    </row>
    <row r="5945" spans="1:3" x14ac:dyDescent="0.2">
      <c r="A5945" s="34">
        <v>37396</v>
      </c>
      <c r="B5945">
        <v>3.1158350000000001</v>
      </c>
      <c r="C5945">
        <f t="shared" si="97"/>
        <v>0</v>
      </c>
    </row>
    <row r="5946" spans="1:3" x14ac:dyDescent="0.2">
      <c r="A5946" s="34">
        <v>37395</v>
      </c>
      <c r="B5946">
        <v>3.116352</v>
      </c>
      <c r="C5946">
        <f t="shared" si="97"/>
        <v>0</v>
      </c>
    </row>
    <row r="5947" spans="1:3" x14ac:dyDescent="0.2">
      <c r="A5947" s="34">
        <v>37394</v>
      </c>
      <c r="B5947">
        <v>3.11687</v>
      </c>
      <c r="C5947">
        <f t="shared" si="97"/>
        <v>0</v>
      </c>
    </row>
    <row r="5948" spans="1:3" x14ac:dyDescent="0.2">
      <c r="A5948" s="34">
        <v>37393</v>
      </c>
      <c r="B5948">
        <v>3.1173869999999999</v>
      </c>
      <c r="C5948">
        <f t="shared" si="97"/>
        <v>0</v>
      </c>
    </row>
    <row r="5949" spans="1:3" x14ac:dyDescent="0.2">
      <c r="A5949" s="34">
        <v>37392</v>
      </c>
      <c r="B5949">
        <v>3.1179049999999999</v>
      </c>
      <c r="C5949">
        <f t="shared" si="97"/>
        <v>0</v>
      </c>
    </row>
    <row r="5950" spans="1:3" x14ac:dyDescent="0.2">
      <c r="A5950" s="34">
        <v>37391</v>
      </c>
      <c r="B5950">
        <v>3.1184219999999998</v>
      </c>
      <c r="C5950">
        <f t="shared" si="97"/>
        <v>0</v>
      </c>
    </row>
    <row r="5951" spans="1:3" x14ac:dyDescent="0.2">
      <c r="A5951" s="34">
        <v>37390</v>
      </c>
      <c r="B5951">
        <v>3.1189399999999998</v>
      </c>
      <c r="C5951">
        <f t="shared" si="97"/>
        <v>0</v>
      </c>
    </row>
    <row r="5952" spans="1:3" x14ac:dyDescent="0.2">
      <c r="A5952" s="34">
        <v>37389</v>
      </c>
      <c r="B5952">
        <v>3.1194579999999998</v>
      </c>
      <c r="C5952">
        <f t="shared" si="97"/>
        <v>0</v>
      </c>
    </row>
    <row r="5953" spans="1:3" x14ac:dyDescent="0.2">
      <c r="A5953" s="34">
        <v>37388</v>
      </c>
      <c r="B5953">
        <v>3.1199759999999999</v>
      </c>
      <c r="C5953">
        <f t="shared" si="97"/>
        <v>0</v>
      </c>
    </row>
    <row r="5954" spans="1:3" x14ac:dyDescent="0.2">
      <c r="A5954" s="34">
        <v>37387</v>
      </c>
      <c r="B5954">
        <v>3.1204939999999999</v>
      </c>
      <c r="C5954">
        <f t="shared" ref="C5954:C6017" si="98">IFERROR(VLOOKUP(A5954,$M$2:$N$3695,2,0),C5955)</f>
        <v>0</v>
      </c>
    </row>
    <row r="5955" spans="1:3" x14ac:dyDescent="0.2">
      <c r="A5955" s="34">
        <v>37386</v>
      </c>
      <c r="B5955">
        <v>3.1210119999999999</v>
      </c>
      <c r="C5955">
        <f t="shared" si="98"/>
        <v>0</v>
      </c>
    </row>
    <row r="5956" spans="1:3" x14ac:dyDescent="0.2">
      <c r="A5956" s="34">
        <v>37385</v>
      </c>
      <c r="B5956">
        <v>3.1200770000000002</v>
      </c>
      <c r="C5956">
        <f t="shared" si="98"/>
        <v>0</v>
      </c>
    </row>
    <row r="5957" spans="1:3" x14ac:dyDescent="0.2">
      <c r="A5957" s="34">
        <v>37384</v>
      </c>
      <c r="B5957">
        <v>3.1191409999999999</v>
      </c>
      <c r="C5957">
        <f t="shared" si="98"/>
        <v>0</v>
      </c>
    </row>
    <row r="5958" spans="1:3" x14ac:dyDescent="0.2">
      <c r="A5958" s="34">
        <v>37383</v>
      </c>
      <c r="B5958">
        <v>3.118207</v>
      </c>
      <c r="C5958">
        <f t="shared" si="98"/>
        <v>0</v>
      </c>
    </row>
    <row r="5959" spans="1:3" x14ac:dyDescent="0.2">
      <c r="A5959" s="34">
        <v>37382</v>
      </c>
      <c r="B5959">
        <v>3.1172719999999998</v>
      </c>
      <c r="C5959">
        <f t="shared" si="98"/>
        <v>0</v>
      </c>
    </row>
    <row r="5960" spans="1:3" x14ac:dyDescent="0.2">
      <c r="A5960" s="34">
        <v>37381</v>
      </c>
      <c r="B5960">
        <v>3.1163379999999998</v>
      </c>
      <c r="C5960">
        <f t="shared" si="98"/>
        <v>0</v>
      </c>
    </row>
    <row r="5961" spans="1:3" x14ac:dyDescent="0.2">
      <c r="A5961" s="34">
        <v>37380</v>
      </c>
      <c r="B5961">
        <v>3.1154039999999998</v>
      </c>
      <c r="C5961">
        <f t="shared" si="98"/>
        <v>0</v>
      </c>
    </row>
    <row r="5962" spans="1:3" x14ac:dyDescent="0.2">
      <c r="A5962" s="34">
        <v>37379</v>
      </c>
      <c r="B5962">
        <v>3.1144699999999998</v>
      </c>
      <c r="C5962">
        <f t="shared" si="98"/>
        <v>0</v>
      </c>
    </row>
    <row r="5963" spans="1:3" x14ac:dyDescent="0.2">
      <c r="A5963" s="34">
        <v>37378</v>
      </c>
      <c r="B5963">
        <v>3.1135359999999999</v>
      </c>
      <c r="C5963">
        <f t="shared" si="98"/>
        <v>0</v>
      </c>
    </row>
    <row r="5964" spans="1:3" x14ac:dyDescent="0.2">
      <c r="A5964" s="34">
        <v>37377</v>
      </c>
      <c r="B5964">
        <v>3.112603</v>
      </c>
      <c r="C5964">
        <f t="shared" si="98"/>
        <v>0</v>
      </c>
    </row>
    <row r="5965" spans="1:3" x14ac:dyDescent="0.2">
      <c r="A5965" s="34">
        <v>37376</v>
      </c>
      <c r="B5965">
        <v>3.1116700000000002</v>
      </c>
      <c r="C5965">
        <f t="shared" si="98"/>
        <v>0</v>
      </c>
    </row>
    <row r="5966" spans="1:3" x14ac:dyDescent="0.2">
      <c r="A5966" s="34">
        <v>37375</v>
      </c>
      <c r="B5966">
        <v>3.110738</v>
      </c>
      <c r="C5966">
        <f t="shared" si="98"/>
        <v>0</v>
      </c>
    </row>
    <row r="5967" spans="1:3" x14ac:dyDescent="0.2">
      <c r="A5967" s="34">
        <v>37374</v>
      </c>
      <c r="B5967">
        <v>3.1098050000000002</v>
      </c>
      <c r="C5967">
        <f t="shared" si="98"/>
        <v>0</v>
      </c>
    </row>
    <row r="5968" spans="1:3" x14ac:dyDescent="0.2">
      <c r="A5968" s="34">
        <v>37373</v>
      </c>
      <c r="B5968">
        <v>3.108873</v>
      </c>
      <c r="C5968">
        <f t="shared" si="98"/>
        <v>0</v>
      </c>
    </row>
    <row r="5969" spans="1:3" x14ac:dyDescent="0.2">
      <c r="A5969" s="34">
        <v>37372</v>
      </c>
      <c r="B5969">
        <v>3.1079409999999998</v>
      </c>
      <c r="C5969">
        <f t="shared" si="98"/>
        <v>0</v>
      </c>
    </row>
    <row r="5970" spans="1:3" x14ac:dyDescent="0.2">
      <c r="A5970" s="34">
        <v>37371</v>
      </c>
      <c r="B5970">
        <v>3.1070099999999998</v>
      </c>
      <c r="C5970">
        <f t="shared" si="98"/>
        <v>0</v>
      </c>
    </row>
    <row r="5971" spans="1:3" x14ac:dyDescent="0.2">
      <c r="A5971" s="34">
        <v>37370</v>
      </c>
      <c r="B5971">
        <v>3.1061000000000001</v>
      </c>
      <c r="C5971">
        <f t="shared" si="98"/>
        <v>0</v>
      </c>
    </row>
    <row r="5972" spans="1:3" x14ac:dyDescent="0.2">
      <c r="A5972" s="34">
        <v>37369</v>
      </c>
      <c r="B5972">
        <v>3.105191</v>
      </c>
      <c r="C5972">
        <f t="shared" si="98"/>
        <v>0</v>
      </c>
    </row>
    <row r="5973" spans="1:3" x14ac:dyDescent="0.2">
      <c r="A5973" s="34">
        <v>37368</v>
      </c>
      <c r="B5973">
        <v>3.1042809999999998</v>
      </c>
      <c r="C5973">
        <f t="shared" si="98"/>
        <v>0</v>
      </c>
    </row>
    <row r="5974" spans="1:3" x14ac:dyDescent="0.2">
      <c r="A5974" s="34">
        <v>37367</v>
      </c>
      <c r="B5974">
        <v>3.1033719999999998</v>
      </c>
      <c r="C5974">
        <f t="shared" si="98"/>
        <v>0</v>
      </c>
    </row>
    <row r="5975" spans="1:3" x14ac:dyDescent="0.2">
      <c r="A5975" s="34">
        <v>37366</v>
      </c>
      <c r="B5975">
        <v>3.1024639999999999</v>
      </c>
      <c r="C5975">
        <f t="shared" si="98"/>
        <v>0</v>
      </c>
    </row>
    <row r="5976" spans="1:3" x14ac:dyDescent="0.2">
      <c r="A5976" s="34">
        <v>37365</v>
      </c>
      <c r="B5976">
        <v>3.1015549999999998</v>
      </c>
      <c r="C5976">
        <f t="shared" si="98"/>
        <v>0</v>
      </c>
    </row>
    <row r="5977" spans="1:3" x14ac:dyDescent="0.2">
      <c r="A5977" s="34">
        <v>37364</v>
      </c>
      <c r="B5977">
        <v>3.1006469999999999</v>
      </c>
      <c r="C5977">
        <f t="shared" si="98"/>
        <v>0</v>
      </c>
    </row>
    <row r="5978" spans="1:3" x14ac:dyDescent="0.2">
      <c r="A5978" s="34">
        <v>37363</v>
      </c>
      <c r="B5978">
        <v>3.099739</v>
      </c>
      <c r="C5978">
        <f t="shared" si="98"/>
        <v>0</v>
      </c>
    </row>
    <row r="5979" spans="1:3" x14ac:dyDescent="0.2">
      <c r="A5979" s="34">
        <v>37362</v>
      </c>
      <c r="B5979">
        <v>3.0988310000000001</v>
      </c>
      <c r="C5979">
        <f t="shared" si="98"/>
        <v>0</v>
      </c>
    </row>
    <row r="5980" spans="1:3" x14ac:dyDescent="0.2">
      <c r="A5980" s="34">
        <v>37361</v>
      </c>
      <c r="B5980">
        <v>3.0979239999999999</v>
      </c>
      <c r="C5980">
        <f t="shared" si="98"/>
        <v>0</v>
      </c>
    </row>
    <row r="5981" spans="1:3" x14ac:dyDescent="0.2">
      <c r="A5981" s="34">
        <v>37360</v>
      </c>
      <c r="B5981">
        <v>3.0970170000000001</v>
      </c>
      <c r="C5981">
        <f t="shared" si="98"/>
        <v>0</v>
      </c>
    </row>
    <row r="5982" spans="1:3" x14ac:dyDescent="0.2">
      <c r="A5982" s="34">
        <v>37359</v>
      </c>
      <c r="B5982">
        <v>3.0961099999999999</v>
      </c>
      <c r="C5982">
        <f t="shared" si="98"/>
        <v>0</v>
      </c>
    </row>
    <row r="5983" spans="1:3" x14ac:dyDescent="0.2">
      <c r="A5983" s="34">
        <v>37358</v>
      </c>
      <c r="B5983">
        <v>3.0952030000000001</v>
      </c>
      <c r="C5983">
        <f t="shared" si="98"/>
        <v>0</v>
      </c>
    </row>
    <row r="5984" spans="1:3" x14ac:dyDescent="0.2">
      <c r="A5984" s="34">
        <v>37357</v>
      </c>
      <c r="B5984">
        <v>3.0942970000000001</v>
      </c>
      <c r="C5984">
        <f t="shared" si="98"/>
        <v>0</v>
      </c>
    </row>
    <row r="5985" spans="1:3" x14ac:dyDescent="0.2">
      <c r="A5985" s="34">
        <v>37356</v>
      </c>
      <c r="B5985">
        <v>3.093391</v>
      </c>
      <c r="C5985">
        <f t="shared" si="98"/>
        <v>0</v>
      </c>
    </row>
    <row r="5986" spans="1:3" x14ac:dyDescent="0.2">
      <c r="A5986" s="34">
        <v>37355</v>
      </c>
      <c r="B5986">
        <v>3.092832</v>
      </c>
      <c r="C5986">
        <f t="shared" si="98"/>
        <v>0</v>
      </c>
    </row>
    <row r="5987" spans="1:3" x14ac:dyDescent="0.2">
      <c r="A5987" s="34">
        <v>37354</v>
      </c>
      <c r="B5987">
        <v>3.092273</v>
      </c>
      <c r="C5987">
        <f t="shared" si="98"/>
        <v>0</v>
      </c>
    </row>
    <row r="5988" spans="1:3" x14ac:dyDescent="0.2">
      <c r="A5988" s="34">
        <v>37353</v>
      </c>
      <c r="B5988">
        <v>3.0917150000000002</v>
      </c>
      <c r="C5988">
        <f t="shared" si="98"/>
        <v>0</v>
      </c>
    </row>
    <row r="5989" spans="1:3" x14ac:dyDescent="0.2">
      <c r="A5989" s="34">
        <v>37352</v>
      </c>
      <c r="B5989">
        <v>3.0911559999999998</v>
      </c>
      <c r="C5989">
        <f t="shared" si="98"/>
        <v>0</v>
      </c>
    </row>
    <row r="5990" spans="1:3" x14ac:dyDescent="0.2">
      <c r="A5990" s="34">
        <v>37351</v>
      </c>
      <c r="B5990">
        <v>3.090598</v>
      </c>
      <c r="C5990">
        <f t="shared" si="98"/>
        <v>0</v>
      </c>
    </row>
    <row r="5991" spans="1:3" x14ac:dyDescent="0.2">
      <c r="A5991" s="34">
        <v>37350</v>
      </c>
      <c r="B5991">
        <v>3.090039</v>
      </c>
      <c r="C5991">
        <f t="shared" si="98"/>
        <v>0</v>
      </c>
    </row>
    <row r="5992" spans="1:3" x14ac:dyDescent="0.2">
      <c r="A5992" s="34">
        <v>37349</v>
      </c>
      <c r="B5992">
        <v>3.0894810000000001</v>
      </c>
      <c r="C5992">
        <f t="shared" si="98"/>
        <v>0</v>
      </c>
    </row>
    <row r="5993" spans="1:3" x14ac:dyDescent="0.2">
      <c r="A5993" s="34">
        <v>37348</v>
      </c>
      <c r="B5993">
        <v>3.0889229999999999</v>
      </c>
      <c r="C5993">
        <f t="shared" si="98"/>
        <v>0</v>
      </c>
    </row>
    <row r="5994" spans="1:3" x14ac:dyDescent="0.2">
      <c r="A5994" s="34">
        <v>37347</v>
      </c>
      <c r="B5994">
        <v>3.088365</v>
      </c>
      <c r="C5994">
        <f t="shared" si="98"/>
        <v>0</v>
      </c>
    </row>
    <row r="5995" spans="1:3" x14ac:dyDescent="0.2">
      <c r="A5995" s="34">
        <v>37346</v>
      </c>
      <c r="B5995">
        <v>3.0878070000000002</v>
      </c>
      <c r="C5995">
        <f t="shared" si="98"/>
        <v>0</v>
      </c>
    </row>
    <row r="5996" spans="1:3" x14ac:dyDescent="0.2">
      <c r="A5996" s="34">
        <v>37345</v>
      </c>
      <c r="B5996">
        <v>3.08725</v>
      </c>
      <c r="C5996">
        <f t="shared" si="98"/>
        <v>0</v>
      </c>
    </row>
    <row r="5997" spans="1:3" x14ac:dyDescent="0.2">
      <c r="A5997" s="34">
        <v>37344</v>
      </c>
      <c r="B5997">
        <v>3.0866920000000002</v>
      </c>
      <c r="C5997">
        <f t="shared" si="98"/>
        <v>0</v>
      </c>
    </row>
    <row r="5998" spans="1:3" x14ac:dyDescent="0.2">
      <c r="A5998" s="34">
        <v>37343</v>
      </c>
      <c r="B5998">
        <v>3.0861339999999999</v>
      </c>
      <c r="C5998">
        <f t="shared" si="98"/>
        <v>0</v>
      </c>
    </row>
    <row r="5999" spans="1:3" x14ac:dyDescent="0.2">
      <c r="A5999" s="34">
        <v>37342</v>
      </c>
      <c r="B5999">
        <v>3.0855769999999998</v>
      </c>
      <c r="C5999">
        <f t="shared" si="98"/>
        <v>0</v>
      </c>
    </row>
    <row r="6000" spans="1:3" x14ac:dyDescent="0.2">
      <c r="A6000" s="34">
        <v>37341</v>
      </c>
      <c r="B6000">
        <v>3.085019</v>
      </c>
      <c r="C6000">
        <f t="shared" si="98"/>
        <v>0</v>
      </c>
    </row>
    <row r="6001" spans="1:3" x14ac:dyDescent="0.2">
      <c r="A6001" s="34">
        <v>37340</v>
      </c>
      <c r="B6001">
        <v>3.0844619999999998</v>
      </c>
      <c r="C6001">
        <f t="shared" si="98"/>
        <v>0</v>
      </c>
    </row>
    <row r="6002" spans="1:3" x14ac:dyDescent="0.2">
      <c r="A6002" s="34">
        <v>37339</v>
      </c>
      <c r="B6002">
        <v>3.0844559999999999</v>
      </c>
      <c r="C6002">
        <f t="shared" si="98"/>
        <v>0</v>
      </c>
    </row>
    <row r="6003" spans="1:3" x14ac:dyDescent="0.2">
      <c r="A6003" s="34">
        <v>37338</v>
      </c>
      <c r="B6003">
        <v>3.0844499999999999</v>
      </c>
      <c r="C6003">
        <f t="shared" si="98"/>
        <v>0</v>
      </c>
    </row>
    <row r="6004" spans="1:3" x14ac:dyDescent="0.2">
      <c r="A6004" s="34">
        <v>37337</v>
      </c>
      <c r="B6004">
        <v>3.0844450000000001</v>
      </c>
      <c r="C6004">
        <f t="shared" si="98"/>
        <v>0</v>
      </c>
    </row>
    <row r="6005" spans="1:3" x14ac:dyDescent="0.2">
      <c r="A6005" s="34">
        <v>37336</v>
      </c>
      <c r="B6005">
        <v>3.0844390000000002</v>
      </c>
      <c r="C6005">
        <f t="shared" si="98"/>
        <v>0</v>
      </c>
    </row>
    <row r="6006" spans="1:3" x14ac:dyDescent="0.2">
      <c r="A6006" s="34">
        <v>37335</v>
      </c>
      <c r="B6006">
        <v>3.0844330000000002</v>
      </c>
      <c r="C6006">
        <f t="shared" si="98"/>
        <v>0</v>
      </c>
    </row>
    <row r="6007" spans="1:3" x14ac:dyDescent="0.2">
      <c r="A6007" s="34">
        <v>37334</v>
      </c>
      <c r="B6007">
        <v>3.0844269999999998</v>
      </c>
      <c r="C6007">
        <f t="shared" si="98"/>
        <v>0</v>
      </c>
    </row>
    <row r="6008" spans="1:3" x14ac:dyDescent="0.2">
      <c r="A6008" s="34">
        <v>37333</v>
      </c>
      <c r="B6008">
        <v>3.0844209999999999</v>
      </c>
      <c r="C6008">
        <f t="shared" si="98"/>
        <v>0</v>
      </c>
    </row>
    <row r="6009" spans="1:3" x14ac:dyDescent="0.2">
      <c r="A6009" s="34">
        <v>37332</v>
      </c>
      <c r="B6009">
        <v>3.084416</v>
      </c>
      <c r="C6009">
        <f t="shared" si="98"/>
        <v>0</v>
      </c>
    </row>
    <row r="6010" spans="1:3" x14ac:dyDescent="0.2">
      <c r="A6010" s="34">
        <v>37331</v>
      </c>
      <c r="B6010">
        <v>3.0844100000000001</v>
      </c>
      <c r="C6010">
        <f t="shared" si="98"/>
        <v>0</v>
      </c>
    </row>
    <row r="6011" spans="1:3" x14ac:dyDescent="0.2">
      <c r="A6011" s="34">
        <v>37330</v>
      </c>
      <c r="B6011">
        <v>3.0844040000000001</v>
      </c>
      <c r="C6011">
        <f t="shared" si="98"/>
        <v>0</v>
      </c>
    </row>
    <row r="6012" spans="1:3" x14ac:dyDescent="0.2">
      <c r="A6012" s="34">
        <v>37329</v>
      </c>
      <c r="B6012">
        <v>3.0843980000000002</v>
      </c>
      <c r="C6012">
        <f t="shared" si="98"/>
        <v>0</v>
      </c>
    </row>
    <row r="6013" spans="1:3" x14ac:dyDescent="0.2">
      <c r="A6013" s="34">
        <v>37328</v>
      </c>
      <c r="B6013">
        <v>3.0843919999999998</v>
      </c>
      <c r="C6013">
        <f t="shared" si="98"/>
        <v>0</v>
      </c>
    </row>
    <row r="6014" spans="1:3" x14ac:dyDescent="0.2">
      <c r="A6014" s="34">
        <v>37327</v>
      </c>
      <c r="B6014">
        <v>3.084387</v>
      </c>
      <c r="C6014">
        <f t="shared" si="98"/>
        <v>0</v>
      </c>
    </row>
    <row r="6015" spans="1:3" x14ac:dyDescent="0.2">
      <c r="A6015" s="34">
        <v>37326</v>
      </c>
      <c r="B6015">
        <v>3.084381</v>
      </c>
      <c r="C6015">
        <f t="shared" si="98"/>
        <v>0</v>
      </c>
    </row>
    <row r="6016" spans="1:3" x14ac:dyDescent="0.2">
      <c r="A6016" s="34">
        <v>37325</v>
      </c>
      <c r="B6016">
        <v>3.0843750000000001</v>
      </c>
      <c r="C6016">
        <f t="shared" si="98"/>
        <v>0</v>
      </c>
    </row>
    <row r="6017" spans="1:3" x14ac:dyDescent="0.2">
      <c r="A6017" s="34">
        <v>37324</v>
      </c>
      <c r="B6017">
        <v>3.0849950000000002</v>
      </c>
      <c r="C6017">
        <f t="shared" si="98"/>
        <v>0</v>
      </c>
    </row>
    <row r="6018" spans="1:3" x14ac:dyDescent="0.2">
      <c r="A6018" s="34">
        <v>37323</v>
      </c>
      <c r="B6018">
        <v>3.0856150000000002</v>
      </c>
      <c r="C6018">
        <f t="shared" ref="C6018:C6081" si="99">IFERROR(VLOOKUP(A6018,$M$2:$N$3695,2,0),C6019)</f>
        <v>0</v>
      </c>
    </row>
    <row r="6019" spans="1:3" x14ac:dyDescent="0.2">
      <c r="A6019" s="34">
        <v>37322</v>
      </c>
      <c r="B6019">
        <v>3.0862349999999998</v>
      </c>
      <c r="C6019">
        <f t="shared" si="99"/>
        <v>0</v>
      </c>
    </row>
    <row r="6020" spans="1:3" x14ac:dyDescent="0.2">
      <c r="A6020" s="34">
        <v>37321</v>
      </c>
      <c r="B6020">
        <v>3.0868549999999999</v>
      </c>
      <c r="C6020">
        <f t="shared" si="99"/>
        <v>0</v>
      </c>
    </row>
    <row r="6021" spans="1:3" x14ac:dyDescent="0.2">
      <c r="A6021" s="34">
        <v>37320</v>
      </c>
      <c r="B6021">
        <v>3.087475</v>
      </c>
      <c r="C6021">
        <f t="shared" si="99"/>
        <v>0</v>
      </c>
    </row>
    <row r="6022" spans="1:3" x14ac:dyDescent="0.2">
      <c r="A6022" s="34">
        <v>37319</v>
      </c>
      <c r="B6022">
        <v>3.0880960000000002</v>
      </c>
      <c r="C6022">
        <f t="shared" si="99"/>
        <v>0</v>
      </c>
    </row>
    <row r="6023" spans="1:3" x14ac:dyDescent="0.2">
      <c r="A6023" s="34">
        <v>37318</v>
      </c>
      <c r="B6023">
        <v>3.0887159999999998</v>
      </c>
      <c r="C6023">
        <f t="shared" si="99"/>
        <v>0</v>
      </c>
    </row>
    <row r="6024" spans="1:3" x14ac:dyDescent="0.2">
      <c r="A6024" s="34">
        <v>37317</v>
      </c>
      <c r="B6024">
        <v>3.089337</v>
      </c>
      <c r="C6024">
        <f t="shared" si="99"/>
        <v>0</v>
      </c>
    </row>
    <row r="6025" spans="1:3" x14ac:dyDescent="0.2">
      <c r="A6025" s="34">
        <v>37316</v>
      </c>
      <c r="B6025">
        <v>3.0899580000000002</v>
      </c>
      <c r="C6025">
        <f t="shared" si="99"/>
        <v>0</v>
      </c>
    </row>
    <row r="6026" spans="1:3" x14ac:dyDescent="0.2">
      <c r="A6026" s="34">
        <v>37315</v>
      </c>
      <c r="B6026">
        <v>3.090579</v>
      </c>
      <c r="C6026">
        <f t="shared" si="99"/>
        <v>0</v>
      </c>
    </row>
    <row r="6027" spans="1:3" x14ac:dyDescent="0.2">
      <c r="A6027" s="34">
        <v>37314</v>
      </c>
      <c r="B6027">
        <v>3.0912000000000002</v>
      </c>
      <c r="C6027">
        <f t="shared" si="99"/>
        <v>0</v>
      </c>
    </row>
    <row r="6028" spans="1:3" x14ac:dyDescent="0.2">
      <c r="A6028" s="34">
        <v>37313</v>
      </c>
      <c r="B6028">
        <v>3.0918209999999999</v>
      </c>
      <c r="C6028">
        <f t="shared" si="99"/>
        <v>0</v>
      </c>
    </row>
    <row r="6029" spans="1:3" x14ac:dyDescent="0.2">
      <c r="A6029" s="34">
        <v>37312</v>
      </c>
      <c r="B6029">
        <v>3.0924420000000001</v>
      </c>
      <c r="C6029">
        <f t="shared" si="99"/>
        <v>0</v>
      </c>
    </row>
    <row r="6030" spans="1:3" x14ac:dyDescent="0.2">
      <c r="A6030" s="34">
        <v>37311</v>
      </c>
      <c r="B6030">
        <v>3.0916359999999998</v>
      </c>
      <c r="C6030">
        <f t="shared" si="99"/>
        <v>0</v>
      </c>
    </row>
    <row r="6031" spans="1:3" x14ac:dyDescent="0.2">
      <c r="A6031" s="34">
        <v>37310</v>
      </c>
      <c r="B6031">
        <v>3.09083</v>
      </c>
      <c r="C6031">
        <f t="shared" si="99"/>
        <v>0</v>
      </c>
    </row>
    <row r="6032" spans="1:3" x14ac:dyDescent="0.2">
      <c r="A6032" s="34">
        <v>37309</v>
      </c>
      <c r="B6032">
        <v>3.0900240000000001</v>
      </c>
      <c r="C6032">
        <f t="shared" si="99"/>
        <v>0</v>
      </c>
    </row>
    <row r="6033" spans="1:3" x14ac:dyDescent="0.2">
      <c r="A6033" s="34">
        <v>37308</v>
      </c>
      <c r="B6033">
        <v>3.0892189999999999</v>
      </c>
      <c r="C6033">
        <f t="shared" si="99"/>
        <v>0</v>
      </c>
    </row>
    <row r="6034" spans="1:3" x14ac:dyDescent="0.2">
      <c r="A6034" s="34">
        <v>37307</v>
      </c>
      <c r="B6034">
        <v>3.0884140000000002</v>
      </c>
      <c r="C6034">
        <f t="shared" si="99"/>
        <v>0</v>
      </c>
    </row>
    <row r="6035" spans="1:3" x14ac:dyDescent="0.2">
      <c r="A6035" s="34">
        <v>37306</v>
      </c>
      <c r="B6035">
        <v>3.0876079999999999</v>
      </c>
      <c r="C6035">
        <f t="shared" si="99"/>
        <v>0</v>
      </c>
    </row>
    <row r="6036" spans="1:3" x14ac:dyDescent="0.2">
      <c r="A6036" s="34">
        <v>37305</v>
      </c>
      <c r="B6036">
        <v>3.0868039999999999</v>
      </c>
      <c r="C6036">
        <f t="shared" si="99"/>
        <v>0</v>
      </c>
    </row>
    <row r="6037" spans="1:3" x14ac:dyDescent="0.2">
      <c r="A6037" s="34">
        <v>37304</v>
      </c>
      <c r="B6037">
        <v>3.0859990000000002</v>
      </c>
      <c r="C6037">
        <f t="shared" si="99"/>
        <v>0</v>
      </c>
    </row>
    <row r="6038" spans="1:3" x14ac:dyDescent="0.2">
      <c r="A6038" s="34">
        <v>37303</v>
      </c>
      <c r="B6038">
        <v>3.085194</v>
      </c>
      <c r="C6038">
        <f t="shared" si="99"/>
        <v>0</v>
      </c>
    </row>
    <row r="6039" spans="1:3" x14ac:dyDescent="0.2">
      <c r="A6039" s="34">
        <v>37302</v>
      </c>
      <c r="B6039">
        <v>3.08439</v>
      </c>
      <c r="C6039">
        <f t="shared" si="99"/>
        <v>0</v>
      </c>
    </row>
    <row r="6040" spans="1:3" x14ac:dyDescent="0.2">
      <c r="A6040" s="34">
        <v>37301</v>
      </c>
      <c r="B6040">
        <v>3.0835859999999999</v>
      </c>
      <c r="C6040">
        <f t="shared" si="99"/>
        <v>0</v>
      </c>
    </row>
    <row r="6041" spans="1:3" x14ac:dyDescent="0.2">
      <c r="A6041" s="34">
        <v>37300</v>
      </c>
      <c r="B6041">
        <v>3.0827819999999999</v>
      </c>
      <c r="C6041">
        <f t="shared" si="99"/>
        <v>0</v>
      </c>
    </row>
    <row r="6042" spans="1:3" x14ac:dyDescent="0.2">
      <c r="A6042" s="34">
        <v>37299</v>
      </c>
      <c r="B6042">
        <v>3.081979</v>
      </c>
      <c r="C6042">
        <f t="shared" si="99"/>
        <v>0</v>
      </c>
    </row>
    <row r="6043" spans="1:3" x14ac:dyDescent="0.2">
      <c r="A6043" s="34">
        <v>37298</v>
      </c>
      <c r="B6043">
        <v>3.081175</v>
      </c>
      <c r="C6043">
        <f t="shared" si="99"/>
        <v>0</v>
      </c>
    </row>
    <row r="6044" spans="1:3" x14ac:dyDescent="0.2">
      <c r="A6044" s="34">
        <v>37297</v>
      </c>
      <c r="B6044">
        <v>3.0803720000000001</v>
      </c>
      <c r="C6044">
        <f t="shared" si="99"/>
        <v>0</v>
      </c>
    </row>
    <row r="6045" spans="1:3" x14ac:dyDescent="0.2">
      <c r="A6045" s="34">
        <v>37296</v>
      </c>
      <c r="B6045">
        <v>3.0789749999999998</v>
      </c>
      <c r="C6045">
        <f t="shared" si="99"/>
        <v>0</v>
      </c>
    </row>
    <row r="6046" spans="1:3" x14ac:dyDescent="0.2">
      <c r="A6046" s="34">
        <v>37295</v>
      </c>
      <c r="B6046">
        <v>3.0775790000000001</v>
      </c>
      <c r="C6046">
        <f t="shared" si="99"/>
        <v>0</v>
      </c>
    </row>
    <row r="6047" spans="1:3" x14ac:dyDescent="0.2">
      <c r="A6047" s="34">
        <v>37294</v>
      </c>
      <c r="B6047">
        <v>3.076184</v>
      </c>
      <c r="C6047">
        <f t="shared" si="99"/>
        <v>0</v>
      </c>
    </row>
    <row r="6048" spans="1:3" x14ac:dyDescent="0.2">
      <c r="A6048" s="34">
        <v>37293</v>
      </c>
      <c r="B6048">
        <v>3.074789</v>
      </c>
      <c r="C6048">
        <f t="shared" si="99"/>
        <v>0</v>
      </c>
    </row>
    <row r="6049" spans="1:3" x14ac:dyDescent="0.2">
      <c r="A6049" s="34">
        <v>37292</v>
      </c>
      <c r="B6049">
        <v>3.0733950000000001</v>
      </c>
      <c r="C6049">
        <f t="shared" si="99"/>
        <v>0</v>
      </c>
    </row>
    <row r="6050" spans="1:3" x14ac:dyDescent="0.2">
      <c r="A6050" s="34">
        <v>37291</v>
      </c>
      <c r="B6050">
        <v>3.0720019999999999</v>
      </c>
      <c r="C6050">
        <f t="shared" si="99"/>
        <v>0</v>
      </c>
    </row>
    <row r="6051" spans="1:3" x14ac:dyDescent="0.2">
      <c r="A6051" s="34">
        <v>37290</v>
      </c>
      <c r="B6051">
        <v>3.0706090000000001</v>
      </c>
      <c r="C6051">
        <f t="shared" si="99"/>
        <v>0</v>
      </c>
    </row>
    <row r="6052" spans="1:3" x14ac:dyDescent="0.2">
      <c r="A6052" s="34">
        <v>37289</v>
      </c>
      <c r="B6052">
        <v>3.0692170000000001</v>
      </c>
      <c r="C6052">
        <f t="shared" si="99"/>
        <v>0</v>
      </c>
    </row>
    <row r="6053" spans="1:3" x14ac:dyDescent="0.2">
      <c r="A6053" s="34">
        <v>37288</v>
      </c>
      <c r="B6053">
        <v>3.0678260000000002</v>
      </c>
      <c r="C6053">
        <f t="shared" si="99"/>
        <v>0</v>
      </c>
    </row>
    <row r="6054" spans="1:3" x14ac:dyDescent="0.2">
      <c r="A6054" s="34">
        <v>37287</v>
      </c>
      <c r="B6054">
        <v>3.0664349999999998</v>
      </c>
      <c r="C6054">
        <f t="shared" si="99"/>
        <v>0</v>
      </c>
    </row>
    <row r="6055" spans="1:3" x14ac:dyDescent="0.2">
      <c r="A6055" s="34">
        <v>37286</v>
      </c>
      <c r="B6055">
        <v>3.0650439999999999</v>
      </c>
      <c r="C6055">
        <f t="shared" si="99"/>
        <v>0</v>
      </c>
    </row>
    <row r="6056" spans="1:3" x14ac:dyDescent="0.2">
      <c r="A6056" s="34">
        <v>37285</v>
      </c>
      <c r="B6056">
        <v>3.0636549999999998</v>
      </c>
      <c r="C6056">
        <f t="shared" si="99"/>
        <v>0</v>
      </c>
    </row>
    <row r="6057" spans="1:3" x14ac:dyDescent="0.2">
      <c r="A6057" s="34">
        <v>37284</v>
      </c>
      <c r="B6057">
        <v>3.0622660000000002</v>
      </c>
      <c r="C6057">
        <f t="shared" si="99"/>
        <v>0</v>
      </c>
    </row>
    <row r="6058" spans="1:3" x14ac:dyDescent="0.2">
      <c r="A6058" s="34">
        <v>37283</v>
      </c>
      <c r="B6058">
        <v>3.0608770000000001</v>
      </c>
      <c r="C6058">
        <f t="shared" si="99"/>
        <v>0</v>
      </c>
    </row>
    <row r="6059" spans="1:3" x14ac:dyDescent="0.2">
      <c r="A6059" s="34">
        <v>37282</v>
      </c>
      <c r="B6059">
        <v>3.0594899999999998</v>
      </c>
      <c r="C6059">
        <f t="shared" si="99"/>
        <v>0</v>
      </c>
    </row>
    <row r="6060" spans="1:3" x14ac:dyDescent="0.2">
      <c r="A6060" s="34">
        <v>37281</v>
      </c>
      <c r="B6060">
        <v>3.058103</v>
      </c>
      <c r="C6060">
        <f t="shared" si="99"/>
        <v>0</v>
      </c>
    </row>
    <row r="6061" spans="1:3" x14ac:dyDescent="0.2">
      <c r="A6061" s="34">
        <v>37280</v>
      </c>
      <c r="B6061">
        <v>3.0581109999999998</v>
      </c>
      <c r="C6061">
        <f t="shared" si="99"/>
        <v>0</v>
      </c>
    </row>
    <row r="6062" spans="1:3" x14ac:dyDescent="0.2">
      <c r="A6062" s="34">
        <v>37279</v>
      </c>
      <c r="B6062">
        <v>3.0581200000000002</v>
      </c>
      <c r="C6062">
        <f t="shared" si="99"/>
        <v>0</v>
      </c>
    </row>
    <row r="6063" spans="1:3" x14ac:dyDescent="0.2">
      <c r="A6063" s="34">
        <v>37278</v>
      </c>
      <c r="B6063">
        <v>3.0581290000000001</v>
      </c>
      <c r="C6063">
        <f t="shared" si="99"/>
        <v>0</v>
      </c>
    </row>
    <row r="6064" spans="1:3" x14ac:dyDescent="0.2">
      <c r="A6064" s="34">
        <v>37277</v>
      </c>
      <c r="B6064">
        <v>3.0581369999999999</v>
      </c>
      <c r="C6064">
        <f t="shared" si="99"/>
        <v>0</v>
      </c>
    </row>
    <row r="6065" spans="1:3" x14ac:dyDescent="0.2">
      <c r="A6065" s="34">
        <v>37276</v>
      </c>
      <c r="B6065">
        <v>3.0581459999999998</v>
      </c>
      <c r="C6065">
        <f t="shared" si="99"/>
        <v>0</v>
      </c>
    </row>
    <row r="6066" spans="1:3" x14ac:dyDescent="0.2">
      <c r="A6066" s="34">
        <v>37275</v>
      </c>
      <c r="B6066">
        <v>3.0581550000000002</v>
      </c>
      <c r="C6066">
        <f t="shared" si="99"/>
        <v>0</v>
      </c>
    </row>
    <row r="6067" spans="1:3" x14ac:dyDescent="0.2">
      <c r="A6067" s="34">
        <v>37274</v>
      </c>
      <c r="B6067">
        <v>3.0581640000000001</v>
      </c>
      <c r="C6067">
        <f t="shared" si="99"/>
        <v>0</v>
      </c>
    </row>
    <row r="6068" spans="1:3" x14ac:dyDescent="0.2">
      <c r="A6068" s="34">
        <v>37273</v>
      </c>
      <c r="B6068">
        <v>3.0581719999999999</v>
      </c>
      <c r="C6068">
        <f t="shared" si="99"/>
        <v>0</v>
      </c>
    </row>
    <row r="6069" spans="1:3" x14ac:dyDescent="0.2">
      <c r="A6069" s="34">
        <v>37272</v>
      </c>
      <c r="B6069">
        <v>3.0581809999999998</v>
      </c>
      <c r="C6069">
        <f t="shared" si="99"/>
        <v>0</v>
      </c>
    </row>
    <row r="6070" spans="1:3" x14ac:dyDescent="0.2">
      <c r="A6070" s="34">
        <v>37271</v>
      </c>
      <c r="B6070">
        <v>3.0581900000000002</v>
      </c>
      <c r="C6070">
        <f t="shared" si="99"/>
        <v>0</v>
      </c>
    </row>
    <row r="6071" spans="1:3" x14ac:dyDescent="0.2">
      <c r="A6071" s="34">
        <v>37270</v>
      </c>
      <c r="B6071">
        <v>3.058198</v>
      </c>
      <c r="C6071">
        <f t="shared" si="99"/>
        <v>0</v>
      </c>
    </row>
    <row r="6072" spans="1:3" x14ac:dyDescent="0.2">
      <c r="A6072" s="34">
        <v>37269</v>
      </c>
      <c r="B6072">
        <v>3.0582069999999999</v>
      </c>
      <c r="C6072">
        <f t="shared" si="99"/>
        <v>0</v>
      </c>
    </row>
    <row r="6073" spans="1:3" x14ac:dyDescent="0.2">
      <c r="A6073" s="34">
        <v>37268</v>
      </c>
      <c r="B6073">
        <v>3.0582159999999998</v>
      </c>
      <c r="C6073">
        <f t="shared" si="99"/>
        <v>0</v>
      </c>
    </row>
    <row r="6074" spans="1:3" x14ac:dyDescent="0.2">
      <c r="A6074" s="34">
        <v>37267</v>
      </c>
      <c r="B6074">
        <v>3.0582240000000001</v>
      </c>
      <c r="C6074">
        <f t="shared" si="99"/>
        <v>0</v>
      </c>
    </row>
    <row r="6075" spans="1:3" x14ac:dyDescent="0.2">
      <c r="A6075" s="34">
        <v>37266</v>
      </c>
      <c r="B6075">
        <v>3.058233</v>
      </c>
      <c r="C6075">
        <f t="shared" si="99"/>
        <v>0</v>
      </c>
    </row>
    <row r="6076" spans="1:3" x14ac:dyDescent="0.2">
      <c r="A6076" s="34">
        <v>37265</v>
      </c>
      <c r="B6076">
        <v>3.0579369999999999</v>
      </c>
      <c r="C6076">
        <f t="shared" si="99"/>
        <v>0</v>
      </c>
    </row>
    <row r="6077" spans="1:3" x14ac:dyDescent="0.2">
      <c r="A6077" s="34">
        <v>37264</v>
      </c>
      <c r="B6077">
        <v>3.0576409999999998</v>
      </c>
      <c r="C6077">
        <f t="shared" si="99"/>
        <v>0</v>
      </c>
    </row>
    <row r="6078" spans="1:3" x14ac:dyDescent="0.2">
      <c r="A6078" s="34">
        <v>37263</v>
      </c>
      <c r="B6078">
        <v>3.0573450000000002</v>
      </c>
      <c r="C6078">
        <f t="shared" si="99"/>
        <v>0</v>
      </c>
    </row>
    <row r="6079" spans="1:3" x14ac:dyDescent="0.2">
      <c r="A6079" s="34">
        <v>37262</v>
      </c>
      <c r="B6079">
        <v>3.0570490000000001</v>
      </c>
      <c r="C6079">
        <f t="shared" si="99"/>
        <v>0</v>
      </c>
    </row>
    <row r="6080" spans="1:3" x14ac:dyDescent="0.2">
      <c r="A6080" s="34">
        <v>37261</v>
      </c>
      <c r="B6080">
        <v>3.0567530000000001</v>
      </c>
      <c r="C6080">
        <f t="shared" si="99"/>
        <v>0</v>
      </c>
    </row>
    <row r="6081" spans="1:3" x14ac:dyDescent="0.2">
      <c r="A6081" s="34">
        <v>37260</v>
      </c>
      <c r="B6081">
        <v>3.056457</v>
      </c>
      <c r="C6081">
        <f t="shared" si="99"/>
        <v>0</v>
      </c>
    </row>
    <row r="6082" spans="1:3" x14ac:dyDescent="0.2">
      <c r="A6082" s="34">
        <v>37259</v>
      </c>
      <c r="B6082">
        <v>3.0561609999999999</v>
      </c>
      <c r="C6082">
        <f t="shared" ref="C6082:C6145" si="100">IFERROR(VLOOKUP(A6082,$M$2:$N$3695,2,0),C6083)</f>
        <v>0</v>
      </c>
    </row>
    <row r="6083" spans="1:3" x14ac:dyDescent="0.2">
      <c r="A6083" s="34">
        <v>37258</v>
      </c>
      <c r="B6083">
        <v>3.0558649999999998</v>
      </c>
      <c r="C6083">
        <f t="shared" si="100"/>
        <v>0</v>
      </c>
    </row>
    <row r="6084" spans="1:3" x14ac:dyDescent="0.2">
      <c r="A6084" s="34">
        <v>37257</v>
      </c>
      <c r="B6084">
        <v>3.0555690000000002</v>
      </c>
      <c r="C6084">
        <f t="shared" si="100"/>
        <v>0</v>
      </c>
    </row>
    <row r="6085" spans="1:3" x14ac:dyDescent="0.2">
      <c r="A6085" s="34">
        <v>37256</v>
      </c>
      <c r="B6085">
        <v>3.0552730000000001</v>
      </c>
      <c r="C6085">
        <f t="shared" si="100"/>
        <v>0</v>
      </c>
    </row>
    <row r="6086" spans="1:3" x14ac:dyDescent="0.2">
      <c r="A6086" s="34">
        <v>37255</v>
      </c>
      <c r="B6086">
        <v>3.0549780000000002</v>
      </c>
      <c r="C6086">
        <f t="shared" si="100"/>
        <v>0</v>
      </c>
    </row>
    <row r="6087" spans="1:3" x14ac:dyDescent="0.2">
      <c r="A6087" s="34">
        <v>37254</v>
      </c>
      <c r="B6087">
        <v>3.0546820000000001</v>
      </c>
      <c r="C6087">
        <f t="shared" si="100"/>
        <v>0</v>
      </c>
    </row>
    <row r="6088" spans="1:3" x14ac:dyDescent="0.2">
      <c r="A6088" s="34">
        <v>37253</v>
      </c>
      <c r="B6088">
        <v>3.054386</v>
      </c>
      <c r="C6088">
        <f t="shared" si="100"/>
        <v>0</v>
      </c>
    </row>
    <row r="6089" spans="1:3" x14ac:dyDescent="0.2">
      <c r="A6089" s="34">
        <v>37252</v>
      </c>
      <c r="B6089">
        <v>3.05409</v>
      </c>
      <c r="C6089">
        <f t="shared" si="100"/>
        <v>0</v>
      </c>
    </row>
    <row r="6090" spans="1:3" x14ac:dyDescent="0.2">
      <c r="A6090" s="34">
        <v>37251</v>
      </c>
      <c r="B6090">
        <v>3.053795</v>
      </c>
      <c r="C6090">
        <f t="shared" si="100"/>
        <v>0</v>
      </c>
    </row>
    <row r="6091" spans="1:3" x14ac:dyDescent="0.2">
      <c r="A6091" s="34">
        <v>37250</v>
      </c>
      <c r="B6091">
        <v>3.053499</v>
      </c>
      <c r="C6091">
        <f t="shared" si="100"/>
        <v>0</v>
      </c>
    </row>
    <row r="6092" spans="1:3" x14ac:dyDescent="0.2">
      <c r="A6092" s="34">
        <v>37249</v>
      </c>
      <c r="B6092">
        <v>3.0535580000000002</v>
      </c>
      <c r="C6092">
        <f t="shared" si="100"/>
        <v>0</v>
      </c>
    </row>
    <row r="6093" spans="1:3" x14ac:dyDescent="0.2">
      <c r="A6093" s="34">
        <v>37248</v>
      </c>
      <c r="B6093">
        <v>3.0536159999999999</v>
      </c>
      <c r="C6093">
        <f t="shared" si="100"/>
        <v>0</v>
      </c>
    </row>
    <row r="6094" spans="1:3" x14ac:dyDescent="0.2">
      <c r="A6094" s="34">
        <v>37247</v>
      </c>
      <c r="B6094">
        <v>3.0536750000000001</v>
      </c>
      <c r="C6094">
        <f t="shared" si="100"/>
        <v>0</v>
      </c>
    </row>
    <row r="6095" spans="1:3" x14ac:dyDescent="0.2">
      <c r="A6095" s="34">
        <v>37246</v>
      </c>
      <c r="B6095">
        <v>3.0537329999999998</v>
      </c>
      <c r="C6095">
        <f t="shared" si="100"/>
        <v>0</v>
      </c>
    </row>
    <row r="6096" spans="1:3" x14ac:dyDescent="0.2">
      <c r="A6096" s="34">
        <v>37245</v>
      </c>
      <c r="B6096">
        <v>3.0537920000000001</v>
      </c>
      <c r="C6096">
        <f t="shared" si="100"/>
        <v>0</v>
      </c>
    </row>
    <row r="6097" spans="1:3" x14ac:dyDescent="0.2">
      <c r="A6097" s="34">
        <v>37244</v>
      </c>
      <c r="B6097">
        <v>3.0538509999999999</v>
      </c>
      <c r="C6097">
        <f t="shared" si="100"/>
        <v>0</v>
      </c>
    </row>
    <row r="6098" spans="1:3" x14ac:dyDescent="0.2">
      <c r="A6098" s="34">
        <v>37243</v>
      </c>
      <c r="B6098">
        <v>3.053909</v>
      </c>
      <c r="C6098">
        <f t="shared" si="100"/>
        <v>0</v>
      </c>
    </row>
    <row r="6099" spans="1:3" x14ac:dyDescent="0.2">
      <c r="A6099" s="34">
        <v>37242</v>
      </c>
      <c r="B6099">
        <v>3.0539679999999998</v>
      </c>
      <c r="C6099">
        <f t="shared" si="100"/>
        <v>0</v>
      </c>
    </row>
    <row r="6100" spans="1:3" x14ac:dyDescent="0.2">
      <c r="A6100" s="34">
        <v>37241</v>
      </c>
      <c r="B6100">
        <v>3.0540259999999999</v>
      </c>
      <c r="C6100">
        <f t="shared" si="100"/>
        <v>0</v>
      </c>
    </row>
    <row r="6101" spans="1:3" x14ac:dyDescent="0.2">
      <c r="A6101" s="34">
        <v>37240</v>
      </c>
      <c r="B6101">
        <v>3.0540850000000002</v>
      </c>
      <c r="C6101">
        <f t="shared" si="100"/>
        <v>0</v>
      </c>
    </row>
    <row r="6102" spans="1:3" x14ac:dyDescent="0.2">
      <c r="A6102" s="34">
        <v>37239</v>
      </c>
      <c r="B6102">
        <v>3.054144</v>
      </c>
      <c r="C6102">
        <f t="shared" si="100"/>
        <v>0</v>
      </c>
    </row>
    <row r="6103" spans="1:3" x14ac:dyDescent="0.2">
      <c r="A6103" s="34">
        <v>37238</v>
      </c>
      <c r="B6103">
        <v>3.0542020000000001</v>
      </c>
      <c r="C6103">
        <f t="shared" si="100"/>
        <v>0</v>
      </c>
    </row>
    <row r="6104" spans="1:3" x14ac:dyDescent="0.2">
      <c r="A6104" s="34">
        <v>37237</v>
      </c>
      <c r="B6104">
        <v>3.0542609999999999</v>
      </c>
      <c r="C6104">
        <f t="shared" si="100"/>
        <v>0</v>
      </c>
    </row>
    <row r="6105" spans="1:3" x14ac:dyDescent="0.2">
      <c r="A6105" s="34">
        <v>37236</v>
      </c>
      <c r="B6105">
        <v>3.054319</v>
      </c>
      <c r="C6105">
        <f t="shared" si="100"/>
        <v>0</v>
      </c>
    </row>
    <row r="6106" spans="1:3" x14ac:dyDescent="0.2">
      <c r="A6106" s="34">
        <v>37235</v>
      </c>
      <c r="B6106">
        <v>3.0543779999999998</v>
      </c>
      <c r="C6106">
        <f t="shared" si="100"/>
        <v>0</v>
      </c>
    </row>
    <row r="6107" spans="1:3" x14ac:dyDescent="0.2">
      <c r="A6107" s="34">
        <v>37234</v>
      </c>
      <c r="B6107">
        <v>3.0538129999999999</v>
      </c>
      <c r="C6107">
        <f t="shared" si="100"/>
        <v>0</v>
      </c>
    </row>
    <row r="6108" spans="1:3" x14ac:dyDescent="0.2">
      <c r="A6108" s="34">
        <v>37233</v>
      </c>
      <c r="B6108">
        <v>3.0532490000000001</v>
      </c>
      <c r="C6108">
        <f t="shared" si="100"/>
        <v>0</v>
      </c>
    </row>
    <row r="6109" spans="1:3" x14ac:dyDescent="0.2">
      <c r="A6109" s="34">
        <v>37232</v>
      </c>
      <c r="B6109">
        <v>3.0526840000000002</v>
      </c>
      <c r="C6109">
        <f t="shared" si="100"/>
        <v>0</v>
      </c>
    </row>
    <row r="6110" spans="1:3" x14ac:dyDescent="0.2">
      <c r="A6110" s="34">
        <v>37231</v>
      </c>
      <c r="B6110">
        <v>3.0521199999999999</v>
      </c>
      <c r="C6110">
        <f t="shared" si="100"/>
        <v>0</v>
      </c>
    </row>
    <row r="6111" spans="1:3" x14ac:dyDescent="0.2">
      <c r="A6111" s="34">
        <v>37230</v>
      </c>
      <c r="B6111">
        <v>3.0515560000000002</v>
      </c>
      <c r="C6111">
        <f t="shared" si="100"/>
        <v>0</v>
      </c>
    </row>
    <row r="6112" spans="1:3" x14ac:dyDescent="0.2">
      <c r="A6112" s="34">
        <v>37229</v>
      </c>
      <c r="B6112">
        <v>3.0509919999999999</v>
      </c>
      <c r="C6112">
        <f t="shared" si="100"/>
        <v>0</v>
      </c>
    </row>
    <row r="6113" spans="1:3" x14ac:dyDescent="0.2">
      <c r="A6113" s="34">
        <v>37228</v>
      </c>
      <c r="B6113">
        <v>3.0504280000000001</v>
      </c>
      <c r="C6113">
        <f t="shared" si="100"/>
        <v>0</v>
      </c>
    </row>
    <row r="6114" spans="1:3" x14ac:dyDescent="0.2">
      <c r="A6114" s="34">
        <v>37227</v>
      </c>
      <c r="B6114">
        <v>3.0498639999999999</v>
      </c>
      <c r="C6114">
        <f t="shared" si="100"/>
        <v>0</v>
      </c>
    </row>
    <row r="6115" spans="1:3" x14ac:dyDescent="0.2">
      <c r="A6115" s="34">
        <v>37226</v>
      </c>
      <c r="B6115">
        <v>3.0493000000000001</v>
      </c>
      <c r="C6115">
        <f t="shared" si="100"/>
        <v>0</v>
      </c>
    </row>
    <row r="6116" spans="1:3" x14ac:dyDescent="0.2">
      <c r="A6116" s="34">
        <v>37225</v>
      </c>
      <c r="B6116">
        <v>3.0487359999999999</v>
      </c>
      <c r="C6116">
        <f t="shared" si="100"/>
        <v>0</v>
      </c>
    </row>
    <row r="6117" spans="1:3" x14ac:dyDescent="0.2">
      <c r="A6117" s="34">
        <v>37224</v>
      </c>
      <c r="B6117">
        <v>3.0481729999999998</v>
      </c>
      <c r="C6117">
        <f t="shared" si="100"/>
        <v>0</v>
      </c>
    </row>
    <row r="6118" spans="1:3" x14ac:dyDescent="0.2">
      <c r="A6118" s="34">
        <v>37223</v>
      </c>
      <c r="B6118">
        <v>3.047609</v>
      </c>
      <c r="C6118">
        <f t="shared" si="100"/>
        <v>0</v>
      </c>
    </row>
    <row r="6119" spans="1:3" x14ac:dyDescent="0.2">
      <c r="A6119" s="34">
        <v>37222</v>
      </c>
      <c r="B6119">
        <v>3.0470459999999999</v>
      </c>
      <c r="C6119">
        <f t="shared" si="100"/>
        <v>0</v>
      </c>
    </row>
    <row r="6120" spans="1:3" x14ac:dyDescent="0.2">
      <c r="A6120" s="34">
        <v>37221</v>
      </c>
      <c r="B6120">
        <v>3.0464820000000001</v>
      </c>
      <c r="C6120">
        <f t="shared" si="100"/>
        <v>0</v>
      </c>
    </row>
    <row r="6121" spans="1:3" x14ac:dyDescent="0.2">
      <c r="A6121" s="34">
        <v>37220</v>
      </c>
      <c r="B6121">
        <v>3.045919</v>
      </c>
      <c r="C6121">
        <f t="shared" si="100"/>
        <v>0</v>
      </c>
    </row>
    <row r="6122" spans="1:3" x14ac:dyDescent="0.2">
      <c r="A6122" s="34">
        <v>37219</v>
      </c>
      <c r="B6122">
        <v>3.0454599999999998</v>
      </c>
      <c r="C6122">
        <f t="shared" si="100"/>
        <v>0</v>
      </c>
    </row>
    <row r="6123" spans="1:3" x14ac:dyDescent="0.2">
      <c r="A6123" s="34">
        <v>37218</v>
      </c>
      <c r="B6123">
        <v>3.0450020000000002</v>
      </c>
      <c r="C6123">
        <f t="shared" si="100"/>
        <v>0</v>
      </c>
    </row>
    <row r="6124" spans="1:3" x14ac:dyDescent="0.2">
      <c r="A6124" s="34">
        <v>37217</v>
      </c>
      <c r="B6124">
        <v>3.044543</v>
      </c>
      <c r="C6124">
        <f t="shared" si="100"/>
        <v>0</v>
      </c>
    </row>
    <row r="6125" spans="1:3" x14ac:dyDescent="0.2">
      <c r="A6125" s="34">
        <v>37216</v>
      </c>
      <c r="B6125">
        <v>3.0440839999999998</v>
      </c>
      <c r="C6125">
        <f t="shared" si="100"/>
        <v>0</v>
      </c>
    </row>
    <row r="6126" spans="1:3" x14ac:dyDescent="0.2">
      <c r="A6126" s="34">
        <v>37215</v>
      </c>
      <c r="B6126">
        <v>3.0436260000000002</v>
      </c>
      <c r="C6126">
        <f t="shared" si="100"/>
        <v>0</v>
      </c>
    </row>
    <row r="6127" spans="1:3" x14ac:dyDescent="0.2">
      <c r="A6127" s="34">
        <v>37214</v>
      </c>
      <c r="B6127">
        <v>3.043167</v>
      </c>
      <c r="C6127">
        <f t="shared" si="100"/>
        <v>0</v>
      </c>
    </row>
    <row r="6128" spans="1:3" x14ac:dyDescent="0.2">
      <c r="A6128" s="34">
        <v>37213</v>
      </c>
      <c r="B6128">
        <v>3.0427089999999999</v>
      </c>
      <c r="C6128">
        <f t="shared" si="100"/>
        <v>0</v>
      </c>
    </row>
    <row r="6129" spans="1:3" x14ac:dyDescent="0.2">
      <c r="A6129" s="34">
        <v>37212</v>
      </c>
      <c r="B6129">
        <v>3.0422509999999998</v>
      </c>
      <c r="C6129">
        <f t="shared" si="100"/>
        <v>0</v>
      </c>
    </row>
    <row r="6130" spans="1:3" x14ac:dyDescent="0.2">
      <c r="A6130" s="34">
        <v>37211</v>
      </c>
      <c r="B6130">
        <v>3.0417920000000001</v>
      </c>
      <c r="C6130">
        <f t="shared" si="100"/>
        <v>0</v>
      </c>
    </row>
    <row r="6131" spans="1:3" x14ac:dyDescent="0.2">
      <c r="A6131" s="34">
        <v>37210</v>
      </c>
      <c r="B6131">
        <v>3.041334</v>
      </c>
      <c r="C6131">
        <f t="shared" si="100"/>
        <v>0</v>
      </c>
    </row>
    <row r="6132" spans="1:3" x14ac:dyDescent="0.2">
      <c r="A6132" s="34">
        <v>37209</v>
      </c>
      <c r="B6132">
        <v>3.0408759999999999</v>
      </c>
      <c r="C6132">
        <f t="shared" si="100"/>
        <v>0</v>
      </c>
    </row>
    <row r="6133" spans="1:3" x14ac:dyDescent="0.2">
      <c r="A6133" s="34">
        <v>37208</v>
      </c>
      <c r="B6133">
        <v>3.0404179999999998</v>
      </c>
      <c r="C6133">
        <f t="shared" si="100"/>
        <v>0</v>
      </c>
    </row>
    <row r="6134" spans="1:3" x14ac:dyDescent="0.2">
      <c r="A6134" s="34">
        <v>37207</v>
      </c>
      <c r="B6134">
        <v>3.0399600000000002</v>
      </c>
      <c r="C6134">
        <f t="shared" si="100"/>
        <v>0</v>
      </c>
    </row>
    <row r="6135" spans="1:3" x14ac:dyDescent="0.2">
      <c r="A6135" s="34">
        <v>37206</v>
      </c>
      <c r="B6135">
        <v>3.0395020000000001</v>
      </c>
      <c r="C6135">
        <f t="shared" si="100"/>
        <v>0</v>
      </c>
    </row>
    <row r="6136" spans="1:3" x14ac:dyDescent="0.2">
      <c r="A6136" s="34">
        <v>37205</v>
      </c>
      <c r="B6136">
        <v>3.0390440000000001</v>
      </c>
      <c r="C6136">
        <f t="shared" si="100"/>
        <v>0</v>
      </c>
    </row>
    <row r="6137" spans="1:3" x14ac:dyDescent="0.2">
      <c r="A6137" s="34">
        <v>37204</v>
      </c>
      <c r="B6137">
        <v>3.0385719999999998</v>
      </c>
      <c r="C6137">
        <f t="shared" si="100"/>
        <v>0</v>
      </c>
    </row>
    <row r="6138" spans="1:3" x14ac:dyDescent="0.2">
      <c r="A6138" s="34">
        <v>37203</v>
      </c>
      <c r="B6138">
        <v>3.0380989999999999</v>
      </c>
      <c r="C6138">
        <f t="shared" si="100"/>
        <v>0</v>
      </c>
    </row>
    <row r="6139" spans="1:3" x14ac:dyDescent="0.2">
      <c r="A6139" s="34">
        <v>37202</v>
      </c>
      <c r="B6139">
        <v>3.0376270000000001</v>
      </c>
      <c r="C6139">
        <f t="shared" si="100"/>
        <v>0</v>
      </c>
    </row>
    <row r="6140" spans="1:3" x14ac:dyDescent="0.2">
      <c r="A6140" s="34">
        <v>37201</v>
      </c>
      <c r="B6140">
        <v>3.0371540000000001</v>
      </c>
      <c r="C6140">
        <f t="shared" si="100"/>
        <v>0</v>
      </c>
    </row>
    <row r="6141" spans="1:3" x14ac:dyDescent="0.2">
      <c r="A6141" s="34">
        <v>37200</v>
      </c>
      <c r="B6141">
        <v>3.0366819999999999</v>
      </c>
      <c r="C6141">
        <f t="shared" si="100"/>
        <v>0</v>
      </c>
    </row>
    <row r="6142" spans="1:3" x14ac:dyDescent="0.2">
      <c r="A6142" s="34">
        <v>37199</v>
      </c>
      <c r="B6142">
        <v>3.0362100000000001</v>
      </c>
      <c r="C6142">
        <f t="shared" si="100"/>
        <v>0</v>
      </c>
    </row>
    <row r="6143" spans="1:3" x14ac:dyDescent="0.2">
      <c r="A6143" s="34">
        <v>37198</v>
      </c>
      <c r="B6143">
        <v>3.0357370000000001</v>
      </c>
      <c r="C6143">
        <f t="shared" si="100"/>
        <v>0</v>
      </c>
    </row>
    <row r="6144" spans="1:3" x14ac:dyDescent="0.2">
      <c r="A6144" s="34">
        <v>37197</v>
      </c>
      <c r="B6144">
        <v>3.0352649999999999</v>
      </c>
      <c r="C6144">
        <f t="shared" si="100"/>
        <v>0</v>
      </c>
    </row>
    <row r="6145" spans="1:3" x14ac:dyDescent="0.2">
      <c r="A6145" s="34">
        <v>37196</v>
      </c>
      <c r="B6145">
        <v>3.0347930000000001</v>
      </c>
      <c r="C6145">
        <f t="shared" si="100"/>
        <v>0</v>
      </c>
    </row>
    <row r="6146" spans="1:3" x14ac:dyDescent="0.2">
      <c r="A6146" s="34">
        <v>37195</v>
      </c>
      <c r="B6146">
        <v>3.0343209999999998</v>
      </c>
      <c r="C6146">
        <f t="shared" ref="C6146:C6209" si="101">IFERROR(VLOOKUP(A6146,$M$2:$N$3695,2,0),C6147)</f>
        <v>0</v>
      </c>
    </row>
    <row r="6147" spans="1:3" x14ac:dyDescent="0.2">
      <c r="A6147" s="34">
        <v>37194</v>
      </c>
      <c r="B6147">
        <v>3.033849</v>
      </c>
      <c r="C6147">
        <f t="shared" si="101"/>
        <v>0</v>
      </c>
    </row>
    <row r="6148" spans="1:3" x14ac:dyDescent="0.2">
      <c r="A6148" s="34">
        <v>37193</v>
      </c>
      <c r="B6148">
        <v>3.0333770000000002</v>
      </c>
      <c r="C6148">
        <f t="shared" si="101"/>
        <v>0</v>
      </c>
    </row>
    <row r="6149" spans="1:3" x14ac:dyDescent="0.2">
      <c r="A6149" s="34">
        <v>37192</v>
      </c>
      <c r="B6149">
        <v>3.0329060000000001</v>
      </c>
      <c r="C6149">
        <f t="shared" si="101"/>
        <v>0</v>
      </c>
    </row>
    <row r="6150" spans="1:3" x14ac:dyDescent="0.2">
      <c r="A6150" s="34">
        <v>37191</v>
      </c>
      <c r="B6150">
        <v>3.0324339999999999</v>
      </c>
      <c r="C6150">
        <f t="shared" si="101"/>
        <v>0</v>
      </c>
    </row>
    <row r="6151" spans="1:3" x14ac:dyDescent="0.2">
      <c r="A6151" s="34">
        <v>37190</v>
      </c>
      <c r="B6151">
        <v>3.031962</v>
      </c>
      <c r="C6151">
        <f t="shared" si="101"/>
        <v>0</v>
      </c>
    </row>
    <row r="6152" spans="1:3" x14ac:dyDescent="0.2">
      <c r="A6152" s="34">
        <v>37189</v>
      </c>
      <c r="B6152">
        <v>3.0314909999999999</v>
      </c>
      <c r="C6152">
        <f t="shared" si="101"/>
        <v>0</v>
      </c>
    </row>
    <row r="6153" spans="1:3" x14ac:dyDescent="0.2">
      <c r="A6153" s="34">
        <v>37188</v>
      </c>
      <c r="B6153">
        <v>3.0311309999999998</v>
      </c>
      <c r="C6153">
        <f t="shared" si="101"/>
        <v>0</v>
      </c>
    </row>
    <row r="6154" spans="1:3" x14ac:dyDescent="0.2">
      <c r="A6154" s="34">
        <v>37187</v>
      </c>
      <c r="B6154">
        <v>3.0307710000000001</v>
      </c>
      <c r="C6154">
        <f t="shared" si="101"/>
        <v>0</v>
      </c>
    </row>
    <row r="6155" spans="1:3" x14ac:dyDescent="0.2">
      <c r="A6155" s="34">
        <v>37186</v>
      </c>
      <c r="B6155">
        <v>3.030411</v>
      </c>
      <c r="C6155">
        <f t="shared" si="101"/>
        <v>0</v>
      </c>
    </row>
    <row r="6156" spans="1:3" x14ac:dyDescent="0.2">
      <c r="A6156" s="34">
        <v>37185</v>
      </c>
      <c r="B6156">
        <v>3.0300509999999998</v>
      </c>
      <c r="C6156">
        <f t="shared" si="101"/>
        <v>0</v>
      </c>
    </row>
    <row r="6157" spans="1:3" x14ac:dyDescent="0.2">
      <c r="A6157" s="34">
        <v>37184</v>
      </c>
      <c r="B6157">
        <v>3.0296910000000001</v>
      </c>
      <c r="C6157">
        <f t="shared" si="101"/>
        <v>0</v>
      </c>
    </row>
    <row r="6158" spans="1:3" x14ac:dyDescent="0.2">
      <c r="A6158" s="34">
        <v>37183</v>
      </c>
      <c r="B6158">
        <v>3.029331</v>
      </c>
      <c r="C6158">
        <f t="shared" si="101"/>
        <v>0</v>
      </c>
    </row>
    <row r="6159" spans="1:3" x14ac:dyDescent="0.2">
      <c r="A6159" s="34">
        <v>37182</v>
      </c>
      <c r="B6159">
        <v>3.028972</v>
      </c>
      <c r="C6159">
        <f t="shared" si="101"/>
        <v>0</v>
      </c>
    </row>
    <row r="6160" spans="1:3" x14ac:dyDescent="0.2">
      <c r="A6160" s="34">
        <v>37181</v>
      </c>
      <c r="B6160">
        <v>3.0286119999999999</v>
      </c>
      <c r="C6160">
        <f t="shared" si="101"/>
        <v>0</v>
      </c>
    </row>
    <row r="6161" spans="1:3" x14ac:dyDescent="0.2">
      <c r="A6161" s="34">
        <v>37180</v>
      </c>
      <c r="B6161">
        <v>3.0282520000000002</v>
      </c>
      <c r="C6161">
        <f t="shared" si="101"/>
        <v>0</v>
      </c>
    </row>
    <row r="6162" spans="1:3" x14ac:dyDescent="0.2">
      <c r="A6162" s="34">
        <v>37179</v>
      </c>
      <c r="B6162">
        <v>3.0278930000000002</v>
      </c>
      <c r="C6162">
        <f t="shared" si="101"/>
        <v>0</v>
      </c>
    </row>
    <row r="6163" spans="1:3" x14ac:dyDescent="0.2">
      <c r="A6163" s="34">
        <v>37178</v>
      </c>
      <c r="B6163">
        <v>3.027533</v>
      </c>
      <c r="C6163">
        <f t="shared" si="101"/>
        <v>0</v>
      </c>
    </row>
    <row r="6164" spans="1:3" x14ac:dyDescent="0.2">
      <c r="A6164" s="34">
        <v>37177</v>
      </c>
      <c r="B6164">
        <v>3.027174</v>
      </c>
      <c r="C6164">
        <f t="shared" si="101"/>
        <v>0</v>
      </c>
    </row>
    <row r="6165" spans="1:3" x14ac:dyDescent="0.2">
      <c r="A6165" s="34">
        <v>37176</v>
      </c>
      <c r="B6165">
        <v>3.0268139999999999</v>
      </c>
      <c r="C6165">
        <f t="shared" si="101"/>
        <v>0</v>
      </c>
    </row>
    <row r="6166" spans="1:3" x14ac:dyDescent="0.2">
      <c r="A6166" s="34">
        <v>37175</v>
      </c>
      <c r="B6166">
        <v>3.0264549999999999</v>
      </c>
      <c r="C6166">
        <f t="shared" si="101"/>
        <v>0</v>
      </c>
    </row>
    <row r="6167" spans="1:3" x14ac:dyDescent="0.2">
      <c r="A6167" s="34">
        <v>37174</v>
      </c>
      <c r="B6167">
        <v>3.0260950000000002</v>
      </c>
      <c r="C6167">
        <f t="shared" si="101"/>
        <v>0</v>
      </c>
    </row>
    <row r="6168" spans="1:3" x14ac:dyDescent="0.2">
      <c r="A6168" s="34">
        <v>37173</v>
      </c>
      <c r="B6168">
        <v>3.02474</v>
      </c>
      <c r="C6168">
        <f t="shared" si="101"/>
        <v>0</v>
      </c>
    </row>
    <row r="6169" spans="1:3" x14ac:dyDescent="0.2">
      <c r="A6169" s="34">
        <v>37172</v>
      </c>
      <c r="B6169">
        <v>3.0233859999999999</v>
      </c>
      <c r="C6169">
        <f t="shared" si="101"/>
        <v>0</v>
      </c>
    </row>
    <row r="6170" spans="1:3" x14ac:dyDescent="0.2">
      <c r="A6170" s="34">
        <v>37171</v>
      </c>
      <c r="B6170">
        <v>3.022033</v>
      </c>
      <c r="C6170">
        <f t="shared" si="101"/>
        <v>0</v>
      </c>
    </row>
    <row r="6171" spans="1:3" x14ac:dyDescent="0.2">
      <c r="A6171" s="34">
        <v>37170</v>
      </c>
      <c r="B6171">
        <v>3.0206789999999999</v>
      </c>
      <c r="C6171">
        <f t="shared" si="101"/>
        <v>0</v>
      </c>
    </row>
    <row r="6172" spans="1:3" x14ac:dyDescent="0.2">
      <c r="A6172" s="34">
        <v>37169</v>
      </c>
      <c r="B6172">
        <v>3.0193270000000001</v>
      </c>
      <c r="C6172">
        <f t="shared" si="101"/>
        <v>0</v>
      </c>
    </row>
    <row r="6173" spans="1:3" x14ac:dyDescent="0.2">
      <c r="A6173" s="34">
        <v>37168</v>
      </c>
      <c r="B6173">
        <v>3.0179749999999999</v>
      </c>
      <c r="C6173">
        <f t="shared" si="101"/>
        <v>0</v>
      </c>
    </row>
    <row r="6174" spans="1:3" x14ac:dyDescent="0.2">
      <c r="A6174" s="34">
        <v>37167</v>
      </c>
      <c r="B6174">
        <v>3.0166240000000002</v>
      </c>
      <c r="C6174">
        <f t="shared" si="101"/>
        <v>0</v>
      </c>
    </row>
    <row r="6175" spans="1:3" x14ac:dyDescent="0.2">
      <c r="A6175" s="34">
        <v>37166</v>
      </c>
      <c r="B6175">
        <v>3.0152730000000001</v>
      </c>
      <c r="C6175">
        <f t="shared" si="101"/>
        <v>0</v>
      </c>
    </row>
    <row r="6176" spans="1:3" x14ac:dyDescent="0.2">
      <c r="A6176" s="34">
        <v>37165</v>
      </c>
      <c r="B6176">
        <v>3.0139230000000001</v>
      </c>
      <c r="C6176">
        <f t="shared" si="101"/>
        <v>0</v>
      </c>
    </row>
    <row r="6177" spans="1:3" x14ac:dyDescent="0.2">
      <c r="A6177" s="34">
        <v>37164</v>
      </c>
      <c r="B6177">
        <v>3.0125739999999999</v>
      </c>
      <c r="C6177">
        <f t="shared" si="101"/>
        <v>0</v>
      </c>
    </row>
    <row r="6178" spans="1:3" x14ac:dyDescent="0.2">
      <c r="A6178" s="34">
        <v>37163</v>
      </c>
      <c r="B6178">
        <v>3.011225</v>
      </c>
      <c r="C6178">
        <f t="shared" si="101"/>
        <v>0</v>
      </c>
    </row>
    <row r="6179" spans="1:3" x14ac:dyDescent="0.2">
      <c r="A6179" s="34">
        <v>37162</v>
      </c>
      <c r="B6179">
        <v>3.0098769999999999</v>
      </c>
      <c r="C6179">
        <f t="shared" si="101"/>
        <v>0</v>
      </c>
    </row>
    <row r="6180" spans="1:3" x14ac:dyDescent="0.2">
      <c r="A6180" s="34">
        <v>37161</v>
      </c>
      <c r="B6180">
        <v>3.0085289999999998</v>
      </c>
      <c r="C6180">
        <f t="shared" si="101"/>
        <v>0</v>
      </c>
    </row>
    <row r="6181" spans="1:3" x14ac:dyDescent="0.2">
      <c r="A6181" s="34">
        <v>37160</v>
      </c>
      <c r="B6181">
        <v>3.0071819999999998</v>
      </c>
      <c r="C6181">
        <f t="shared" si="101"/>
        <v>0</v>
      </c>
    </row>
    <row r="6182" spans="1:3" x14ac:dyDescent="0.2">
      <c r="A6182" s="34">
        <v>37159</v>
      </c>
      <c r="B6182">
        <v>3.005836</v>
      </c>
      <c r="C6182">
        <f t="shared" si="101"/>
        <v>0</v>
      </c>
    </row>
    <row r="6183" spans="1:3" x14ac:dyDescent="0.2">
      <c r="A6183" s="34">
        <v>37158</v>
      </c>
      <c r="B6183">
        <v>3.0051709999999998</v>
      </c>
      <c r="C6183">
        <f t="shared" si="101"/>
        <v>0</v>
      </c>
    </row>
    <row r="6184" spans="1:3" x14ac:dyDescent="0.2">
      <c r="A6184" s="34">
        <v>37157</v>
      </c>
      <c r="B6184">
        <v>3.0045060000000001</v>
      </c>
      <c r="C6184">
        <f t="shared" si="101"/>
        <v>0</v>
      </c>
    </row>
    <row r="6185" spans="1:3" x14ac:dyDescent="0.2">
      <c r="A6185" s="34">
        <v>37156</v>
      </c>
      <c r="B6185">
        <v>3.003841</v>
      </c>
      <c r="C6185">
        <f t="shared" si="101"/>
        <v>0</v>
      </c>
    </row>
    <row r="6186" spans="1:3" x14ac:dyDescent="0.2">
      <c r="A6186" s="34">
        <v>37155</v>
      </c>
      <c r="B6186">
        <v>3.0031759999999998</v>
      </c>
      <c r="C6186">
        <f t="shared" si="101"/>
        <v>0</v>
      </c>
    </row>
    <row r="6187" spans="1:3" x14ac:dyDescent="0.2">
      <c r="A6187" s="34">
        <v>37154</v>
      </c>
      <c r="B6187">
        <v>3.0025110000000002</v>
      </c>
      <c r="C6187">
        <f t="shared" si="101"/>
        <v>0</v>
      </c>
    </row>
    <row r="6188" spans="1:3" x14ac:dyDescent="0.2">
      <c r="A6188" s="34">
        <v>37153</v>
      </c>
      <c r="B6188">
        <v>3.001846</v>
      </c>
      <c r="C6188">
        <f t="shared" si="101"/>
        <v>0</v>
      </c>
    </row>
    <row r="6189" spans="1:3" x14ac:dyDescent="0.2">
      <c r="A6189" s="34">
        <v>37152</v>
      </c>
      <c r="B6189">
        <v>3.001182</v>
      </c>
      <c r="C6189">
        <f t="shared" si="101"/>
        <v>0</v>
      </c>
    </row>
    <row r="6190" spans="1:3" x14ac:dyDescent="0.2">
      <c r="A6190" s="34">
        <v>37151</v>
      </c>
      <c r="B6190">
        <v>3.000518</v>
      </c>
      <c r="C6190">
        <f t="shared" si="101"/>
        <v>0</v>
      </c>
    </row>
    <row r="6191" spans="1:3" x14ac:dyDescent="0.2">
      <c r="A6191" s="34">
        <v>37150</v>
      </c>
      <c r="B6191">
        <v>2.999854</v>
      </c>
      <c r="C6191">
        <f t="shared" si="101"/>
        <v>0</v>
      </c>
    </row>
    <row r="6192" spans="1:3" x14ac:dyDescent="0.2">
      <c r="A6192" s="34">
        <v>37149</v>
      </c>
      <c r="B6192">
        <v>2.99919</v>
      </c>
      <c r="C6192">
        <f t="shared" si="101"/>
        <v>0</v>
      </c>
    </row>
    <row r="6193" spans="1:3" x14ac:dyDescent="0.2">
      <c r="A6193" s="34">
        <v>37148</v>
      </c>
      <c r="B6193">
        <v>2.998526</v>
      </c>
      <c r="C6193">
        <f t="shared" si="101"/>
        <v>0</v>
      </c>
    </row>
    <row r="6194" spans="1:3" x14ac:dyDescent="0.2">
      <c r="A6194" s="34">
        <v>37147</v>
      </c>
      <c r="B6194">
        <v>2.997862</v>
      </c>
      <c r="C6194">
        <f t="shared" si="101"/>
        <v>0</v>
      </c>
    </row>
    <row r="6195" spans="1:3" x14ac:dyDescent="0.2">
      <c r="A6195" s="34">
        <v>37146</v>
      </c>
      <c r="B6195">
        <v>2.9971990000000002</v>
      </c>
      <c r="C6195">
        <f t="shared" si="101"/>
        <v>0</v>
      </c>
    </row>
    <row r="6196" spans="1:3" x14ac:dyDescent="0.2">
      <c r="A6196" s="34">
        <v>37145</v>
      </c>
      <c r="B6196">
        <v>2.9965350000000002</v>
      </c>
      <c r="C6196">
        <f t="shared" si="101"/>
        <v>0</v>
      </c>
    </row>
    <row r="6197" spans="1:3" x14ac:dyDescent="0.2">
      <c r="A6197" s="34">
        <v>37144</v>
      </c>
      <c r="B6197">
        <v>2.9958719999999999</v>
      </c>
      <c r="C6197">
        <f t="shared" si="101"/>
        <v>0</v>
      </c>
    </row>
    <row r="6198" spans="1:3" x14ac:dyDescent="0.2">
      <c r="A6198" s="34">
        <v>37143</v>
      </c>
      <c r="B6198">
        <v>2.9952269999999999</v>
      </c>
      <c r="C6198">
        <f t="shared" si="101"/>
        <v>0</v>
      </c>
    </row>
    <row r="6199" spans="1:3" x14ac:dyDescent="0.2">
      <c r="A6199" s="34">
        <v>37142</v>
      </c>
      <c r="B6199">
        <v>2.9945819999999999</v>
      </c>
      <c r="C6199">
        <f t="shared" si="101"/>
        <v>0</v>
      </c>
    </row>
    <row r="6200" spans="1:3" x14ac:dyDescent="0.2">
      <c r="A6200" s="34">
        <v>37141</v>
      </c>
      <c r="B6200">
        <v>2.9939369999999998</v>
      </c>
      <c r="C6200">
        <f t="shared" si="101"/>
        <v>0</v>
      </c>
    </row>
    <row r="6201" spans="1:3" x14ac:dyDescent="0.2">
      <c r="A6201" s="34">
        <v>37140</v>
      </c>
      <c r="B6201">
        <v>2.993293</v>
      </c>
      <c r="C6201">
        <f t="shared" si="101"/>
        <v>0</v>
      </c>
    </row>
    <row r="6202" spans="1:3" x14ac:dyDescent="0.2">
      <c r="A6202" s="34">
        <v>37139</v>
      </c>
      <c r="B6202">
        <v>2.992648</v>
      </c>
      <c r="C6202">
        <f t="shared" si="101"/>
        <v>0</v>
      </c>
    </row>
    <row r="6203" spans="1:3" x14ac:dyDescent="0.2">
      <c r="A6203" s="34">
        <v>37138</v>
      </c>
      <c r="B6203">
        <v>2.9920040000000001</v>
      </c>
      <c r="C6203">
        <f t="shared" si="101"/>
        <v>0</v>
      </c>
    </row>
    <row r="6204" spans="1:3" x14ac:dyDescent="0.2">
      <c r="A6204" s="34">
        <v>37137</v>
      </c>
      <c r="B6204">
        <v>2.9913599999999998</v>
      </c>
      <c r="C6204">
        <f t="shared" si="101"/>
        <v>0</v>
      </c>
    </row>
    <row r="6205" spans="1:3" x14ac:dyDescent="0.2">
      <c r="A6205" s="34">
        <v>37136</v>
      </c>
      <c r="B6205">
        <v>2.9907159999999999</v>
      </c>
      <c r="C6205">
        <f t="shared" si="101"/>
        <v>0</v>
      </c>
    </row>
    <row r="6206" spans="1:3" x14ac:dyDescent="0.2">
      <c r="A6206" s="34">
        <v>37135</v>
      </c>
      <c r="B6206">
        <v>2.9900720000000001</v>
      </c>
      <c r="C6206">
        <f t="shared" si="101"/>
        <v>0</v>
      </c>
    </row>
    <row r="6207" spans="1:3" x14ac:dyDescent="0.2">
      <c r="A6207" s="34">
        <v>37134</v>
      </c>
      <c r="B6207">
        <v>2.9894280000000002</v>
      </c>
      <c r="C6207">
        <f t="shared" si="101"/>
        <v>0</v>
      </c>
    </row>
    <row r="6208" spans="1:3" x14ac:dyDescent="0.2">
      <c r="A6208" s="34">
        <v>37133</v>
      </c>
      <c r="B6208">
        <v>2.9887839999999999</v>
      </c>
      <c r="C6208">
        <f t="shared" si="101"/>
        <v>0</v>
      </c>
    </row>
    <row r="6209" spans="1:3" x14ac:dyDescent="0.2">
      <c r="A6209" s="34">
        <v>37132</v>
      </c>
      <c r="B6209">
        <v>2.9881410000000002</v>
      </c>
      <c r="C6209">
        <f t="shared" si="101"/>
        <v>0</v>
      </c>
    </row>
    <row r="6210" spans="1:3" x14ac:dyDescent="0.2">
      <c r="A6210" s="34">
        <v>37131</v>
      </c>
      <c r="B6210">
        <v>2.9874969999999998</v>
      </c>
      <c r="C6210">
        <f t="shared" ref="C6210:C6273" si="102">IFERROR(VLOOKUP(A6210,$M$2:$N$3695,2,0),C6211)</f>
        <v>0</v>
      </c>
    </row>
    <row r="6211" spans="1:3" x14ac:dyDescent="0.2">
      <c r="A6211" s="34">
        <v>37130</v>
      </c>
      <c r="B6211">
        <v>2.9868540000000001</v>
      </c>
      <c r="C6211">
        <f t="shared" si="102"/>
        <v>0</v>
      </c>
    </row>
    <row r="6212" spans="1:3" x14ac:dyDescent="0.2">
      <c r="A6212" s="34">
        <v>37129</v>
      </c>
      <c r="B6212">
        <v>2.9862109999999999</v>
      </c>
      <c r="C6212">
        <f t="shared" si="102"/>
        <v>0</v>
      </c>
    </row>
    <row r="6213" spans="1:3" x14ac:dyDescent="0.2">
      <c r="A6213" s="34">
        <v>37128</v>
      </c>
      <c r="B6213">
        <v>2.9855680000000002</v>
      </c>
      <c r="C6213">
        <f t="shared" si="102"/>
        <v>0</v>
      </c>
    </row>
    <row r="6214" spans="1:3" x14ac:dyDescent="0.2">
      <c r="A6214" s="34">
        <v>37127</v>
      </c>
      <c r="B6214">
        <v>2.9852509999999999</v>
      </c>
      <c r="C6214">
        <f t="shared" si="102"/>
        <v>0</v>
      </c>
    </row>
    <row r="6215" spans="1:3" x14ac:dyDescent="0.2">
      <c r="A6215" s="34">
        <v>37126</v>
      </c>
      <c r="B6215">
        <v>2.9849329999999998</v>
      </c>
      <c r="C6215">
        <f t="shared" si="102"/>
        <v>0</v>
      </c>
    </row>
    <row r="6216" spans="1:3" x14ac:dyDescent="0.2">
      <c r="A6216" s="34">
        <v>37125</v>
      </c>
      <c r="B6216">
        <v>2.9846159999999999</v>
      </c>
      <c r="C6216">
        <f t="shared" si="102"/>
        <v>0</v>
      </c>
    </row>
    <row r="6217" spans="1:3" x14ac:dyDescent="0.2">
      <c r="A6217" s="34">
        <v>37124</v>
      </c>
      <c r="B6217">
        <v>2.9842979999999999</v>
      </c>
      <c r="C6217">
        <f t="shared" si="102"/>
        <v>0</v>
      </c>
    </row>
    <row r="6218" spans="1:3" x14ac:dyDescent="0.2">
      <c r="A6218" s="34">
        <v>37123</v>
      </c>
      <c r="B6218">
        <v>2.983981</v>
      </c>
      <c r="C6218">
        <f t="shared" si="102"/>
        <v>0</v>
      </c>
    </row>
    <row r="6219" spans="1:3" x14ac:dyDescent="0.2">
      <c r="A6219" s="34">
        <v>37122</v>
      </c>
      <c r="B6219">
        <v>2.983663</v>
      </c>
      <c r="C6219">
        <f t="shared" si="102"/>
        <v>0</v>
      </c>
    </row>
    <row r="6220" spans="1:3" x14ac:dyDescent="0.2">
      <c r="A6220" s="34">
        <v>37121</v>
      </c>
      <c r="B6220">
        <v>2.9833460000000001</v>
      </c>
      <c r="C6220">
        <f t="shared" si="102"/>
        <v>0</v>
      </c>
    </row>
    <row r="6221" spans="1:3" x14ac:dyDescent="0.2">
      <c r="A6221" s="34">
        <v>37120</v>
      </c>
      <c r="B6221">
        <v>2.9830290000000002</v>
      </c>
      <c r="C6221">
        <f t="shared" si="102"/>
        <v>0</v>
      </c>
    </row>
    <row r="6222" spans="1:3" x14ac:dyDescent="0.2">
      <c r="A6222" s="34">
        <v>37119</v>
      </c>
      <c r="B6222">
        <v>2.9827110000000001</v>
      </c>
      <c r="C6222">
        <f t="shared" si="102"/>
        <v>0</v>
      </c>
    </row>
    <row r="6223" spans="1:3" x14ac:dyDescent="0.2">
      <c r="A6223" s="34">
        <v>37118</v>
      </c>
      <c r="B6223">
        <v>2.9823940000000002</v>
      </c>
      <c r="C6223">
        <f t="shared" si="102"/>
        <v>0</v>
      </c>
    </row>
    <row r="6224" spans="1:3" x14ac:dyDescent="0.2">
      <c r="A6224" s="34">
        <v>37117</v>
      </c>
      <c r="B6224">
        <v>2.9820769999999999</v>
      </c>
      <c r="C6224">
        <f t="shared" si="102"/>
        <v>0</v>
      </c>
    </row>
    <row r="6225" spans="1:3" x14ac:dyDescent="0.2">
      <c r="A6225" s="34">
        <v>37116</v>
      </c>
      <c r="B6225">
        <v>2.9817589999999998</v>
      </c>
      <c r="C6225">
        <f t="shared" si="102"/>
        <v>0</v>
      </c>
    </row>
    <row r="6226" spans="1:3" x14ac:dyDescent="0.2">
      <c r="A6226" s="34">
        <v>37115</v>
      </c>
      <c r="B6226">
        <v>2.9814419999999999</v>
      </c>
      <c r="C6226">
        <f t="shared" si="102"/>
        <v>0</v>
      </c>
    </row>
    <row r="6227" spans="1:3" x14ac:dyDescent="0.2">
      <c r="A6227" s="34">
        <v>37114</v>
      </c>
      <c r="B6227">
        <v>2.981125</v>
      </c>
      <c r="C6227">
        <f t="shared" si="102"/>
        <v>0</v>
      </c>
    </row>
    <row r="6228" spans="1:3" x14ac:dyDescent="0.2">
      <c r="A6228" s="34">
        <v>37113</v>
      </c>
      <c r="B6228">
        <v>2.9808080000000001</v>
      </c>
      <c r="C6228">
        <f t="shared" si="102"/>
        <v>0</v>
      </c>
    </row>
    <row r="6229" spans="1:3" x14ac:dyDescent="0.2">
      <c r="A6229" s="34">
        <v>37112</v>
      </c>
      <c r="B6229">
        <v>2.9814759999999998</v>
      </c>
      <c r="C6229">
        <f t="shared" si="102"/>
        <v>0</v>
      </c>
    </row>
    <row r="6230" spans="1:3" x14ac:dyDescent="0.2">
      <c r="A6230" s="34">
        <v>37111</v>
      </c>
      <c r="B6230">
        <v>2.9821439999999999</v>
      </c>
      <c r="C6230">
        <f t="shared" si="102"/>
        <v>0</v>
      </c>
    </row>
    <row r="6231" spans="1:3" x14ac:dyDescent="0.2">
      <c r="A6231" s="34">
        <v>37110</v>
      </c>
      <c r="B6231">
        <v>2.982812</v>
      </c>
      <c r="C6231">
        <f t="shared" si="102"/>
        <v>0</v>
      </c>
    </row>
    <row r="6232" spans="1:3" x14ac:dyDescent="0.2">
      <c r="A6232" s="34">
        <v>37109</v>
      </c>
      <c r="B6232">
        <v>2.9834800000000001</v>
      </c>
      <c r="C6232">
        <f t="shared" si="102"/>
        <v>0</v>
      </c>
    </row>
    <row r="6233" spans="1:3" x14ac:dyDescent="0.2">
      <c r="A6233" s="34">
        <v>37108</v>
      </c>
      <c r="B6233">
        <v>2.9841489999999999</v>
      </c>
      <c r="C6233">
        <f t="shared" si="102"/>
        <v>0</v>
      </c>
    </row>
    <row r="6234" spans="1:3" x14ac:dyDescent="0.2">
      <c r="A6234" s="34">
        <v>37107</v>
      </c>
      <c r="B6234">
        <v>2.9848180000000002</v>
      </c>
      <c r="C6234">
        <f t="shared" si="102"/>
        <v>0</v>
      </c>
    </row>
    <row r="6235" spans="1:3" x14ac:dyDescent="0.2">
      <c r="A6235" s="34">
        <v>37106</v>
      </c>
      <c r="B6235">
        <v>2.9854859999999999</v>
      </c>
      <c r="C6235">
        <f t="shared" si="102"/>
        <v>0</v>
      </c>
    </row>
    <row r="6236" spans="1:3" x14ac:dyDescent="0.2">
      <c r="A6236" s="34">
        <v>37105</v>
      </c>
      <c r="B6236">
        <v>2.9861550000000001</v>
      </c>
      <c r="C6236">
        <f t="shared" si="102"/>
        <v>0</v>
      </c>
    </row>
    <row r="6237" spans="1:3" x14ac:dyDescent="0.2">
      <c r="A6237" s="34">
        <v>37104</v>
      </c>
      <c r="B6237">
        <v>2.9868239999999999</v>
      </c>
      <c r="C6237">
        <f t="shared" si="102"/>
        <v>0</v>
      </c>
    </row>
    <row r="6238" spans="1:3" x14ac:dyDescent="0.2">
      <c r="A6238" s="34">
        <v>37103</v>
      </c>
      <c r="B6238">
        <v>2.9874939999999999</v>
      </c>
      <c r="C6238">
        <f t="shared" si="102"/>
        <v>0</v>
      </c>
    </row>
    <row r="6239" spans="1:3" x14ac:dyDescent="0.2">
      <c r="A6239" s="34">
        <v>37102</v>
      </c>
      <c r="B6239">
        <v>2.9881630000000001</v>
      </c>
      <c r="C6239">
        <f t="shared" si="102"/>
        <v>0</v>
      </c>
    </row>
    <row r="6240" spans="1:3" x14ac:dyDescent="0.2">
      <c r="A6240" s="34">
        <v>37101</v>
      </c>
      <c r="B6240">
        <v>2.9888319999999999</v>
      </c>
      <c r="C6240">
        <f t="shared" si="102"/>
        <v>0</v>
      </c>
    </row>
    <row r="6241" spans="1:3" x14ac:dyDescent="0.2">
      <c r="A6241" s="34">
        <v>37100</v>
      </c>
      <c r="B6241">
        <v>2.9895019999999999</v>
      </c>
      <c r="C6241">
        <f t="shared" si="102"/>
        <v>0</v>
      </c>
    </row>
    <row r="6242" spans="1:3" x14ac:dyDescent="0.2">
      <c r="A6242" s="34">
        <v>37099</v>
      </c>
      <c r="B6242">
        <v>2.9901719999999998</v>
      </c>
      <c r="C6242">
        <f t="shared" si="102"/>
        <v>0</v>
      </c>
    </row>
    <row r="6243" spans="1:3" x14ac:dyDescent="0.2">
      <c r="A6243" s="34">
        <v>37098</v>
      </c>
      <c r="B6243">
        <v>2.9908419999999998</v>
      </c>
      <c r="C6243">
        <f t="shared" si="102"/>
        <v>0</v>
      </c>
    </row>
    <row r="6244" spans="1:3" x14ac:dyDescent="0.2">
      <c r="A6244" s="34">
        <v>37097</v>
      </c>
      <c r="B6244">
        <v>2.9915120000000002</v>
      </c>
      <c r="C6244">
        <f t="shared" si="102"/>
        <v>0</v>
      </c>
    </row>
    <row r="6245" spans="1:3" x14ac:dyDescent="0.2">
      <c r="A6245" s="34">
        <v>37096</v>
      </c>
      <c r="B6245">
        <v>2.991438</v>
      </c>
      <c r="C6245">
        <f t="shared" si="102"/>
        <v>0</v>
      </c>
    </row>
    <row r="6246" spans="1:3" x14ac:dyDescent="0.2">
      <c r="A6246" s="34">
        <v>37095</v>
      </c>
      <c r="B6246">
        <v>2.9913630000000002</v>
      </c>
      <c r="C6246">
        <f t="shared" si="102"/>
        <v>0</v>
      </c>
    </row>
    <row r="6247" spans="1:3" x14ac:dyDescent="0.2">
      <c r="A6247" s="34">
        <v>37094</v>
      </c>
      <c r="B6247">
        <v>2.9912890000000001</v>
      </c>
      <c r="C6247">
        <f t="shared" si="102"/>
        <v>0</v>
      </c>
    </row>
    <row r="6248" spans="1:3" x14ac:dyDescent="0.2">
      <c r="A6248" s="34">
        <v>37093</v>
      </c>
      <c r="B6248">
        <v>2.991215</v>
      </c>
      <c r="C6248">
        <f t="shared" si="102"/>
        <v>0</v>
      </c>
    </row>
    <row r="6249" spans="1:3" x14ac:dyDescent="0.2">
      <c r="A6249" s="34">
        <v>37092</v>
      </c>
      <c r="B6249">
        <v>2.9911409999999998</v>
      </c>
      <c r="C6249">
        <f t="shared" si="102"/>
        <v>0</v>
      </c>
    </row>
    <row r="6250" spans="1:3" x14ac:dyDescent="0.2">
      <c r="A6250" s="34">
        <v>37091</v>
      </c>
      <c r="B6250">
        <v>2.991066</v>
      </c>
      <c r="C6250">
        <f t="shared" si="102"/>
        <v>0</v>
      </c>
    </row>
    <row r="6251" spans="1:3" x14ac:dyDescent="0.2">
      <c r="A6251" s="34">
        <v>37090</v>
      </c>
      <c r="B6251">
        <v>2.9909919999999999</v>
      </c>
      <c r="C6251">
        <f t="shared" si="102"/>
        <v>0</v>
      </c>
    </row>
    <row r="6252" spans="1:3" x14ac:dyDescent="0.2">
      <c r="A6252" s="34">
        <v>37089</v>
      </c>
      <c r="B6252">
        <v>2.9909180000000002</v>
      </c>
      <c r="C6252">
        <f t="shared" si="102"/>
        <v>0</v>
      </c>
    </row>
    <row r="6253" spans="1:3" x14ac:dyDescent="0.2">
      <c r="A6253" s="34">
        <v>37088</v>
      </c>
      <c r="B6253">
        <v>2.9908440000000001</v>
      </c>
      <c r="C6253">
        <f t="shared" si="102"/>
        <v>0</v>
      </c>
    </row>
    <row r="6254" spans="1:3" x14ac:dyDescent="0.2">
      <c r="A6254" s="34">
        <v>37087</v>
      </c>
      <c r="B6254">
        <v>2.9907689999999998</v>
      </c>
      <c r="C6254">
        <f t="shared" si="102"/>
        <v>0</v>
      </c>
    </row>
    <row r="6255" spans="1:3" x14ac:dyDescent="0.2">
      <c r="A6255" s="34">
        <v>37086</v>
      </c>
      <c r="B6255">
        <v>2.9906950000000001</v>
      </c>
      <c r="C6255">
        <f t="shared" si="102"/>
        <v>0</v>
      </c>
    </row>
    <row r="6256" spans="1:3" x14ac:dyDescent="0.2">
      <c r="A6256" s="34">
        <v>37085</v>
      </c>
      <c r="B6256">
        <v>2.990621</v>
      </c>
      <c r="C6256">
        <f t="shared" si="102"/>
        <v>0</v>
      </c>
    </row>
    <row r="6257" spans="1:3" x14ac:dyDescent="0.2">
      <c r="A6257" s="34">
        <v>37084</v>
      </c>
      <c r="B6257">
        <v>2.9905469999999998</v>
      </c>
      <c r="C6257">
        <f t="shared" si="102"/>
        <v>0</v>
      </c>
    </row>
    <row r="6258" spans="1:3" x14ac:dyDescent="0.2">
      <c r="A6258" s="34">
        <v>37083</v>
      </c>
      <c r="B6258">
        <v>2.990472</v>
      </c>
      <c r="C6258">
        <f t="shared" si="102"/>
        <v>0</v>
      </c>
    </row>
    <row r="6259" spans="1:3" x14ac:dyDescent="0.2">
      <c r="A6259" s="34">
        <v>37082</v>
      </c>
      <c r="B6259">
        <v>2.9903979999999999</v>
      </c>
      <c r="C6259">
        <f t="shared" si="102"/>
        <v>0</v>
      </c>
    </row>
    <row r="6260" spans="1:3" x14ac:dyDescent="0.2">
      <c r="A6260" s="34">
        <v>37081</v>
      </c>
      <c r="B6260">
        <v>2.9901849999999999</v>
      </c>
      <c r="C6260">
        <f t="shared" si="102"/>
        <v>0</v>
      </c>
    </row>
    <row r="6261" spans="1:3" x14ac:dyDescent="0.2">
      <c r="A6261" s="34">
        <v>37080</v>
      </c>
      <c r="B6261">
        <v>2.9899719999999999</v>
      </c>
      <c r="C6261">
        <f t="shared" si="102"/>
        <v>0</v>
      </c>
    </row>
    <row r="6262" spans="1:3" x14ac:dyDescent="0.2">
      <c r="A6262" s="34">
        <v>37079</v>
      </c>
      <c r="B6262">
        <v>2.9897589999999998</v>
      </c>
      <c r="C6262">
        <f t="shared" si="102"/>
        <v>0</v>
      </c>
    </row>
    <row r="6263" spans="1:3" x14ac:dyDescent="0.2">
      <c r="A6263" s="34">
        <v>37078</v>
      </c>
      <c r="B6263">
        <v>2.9895459999999998</v>
      </c>
      <c r="C6263">
        <f t="shared" si="102"/>
        <v>0</v>
      </c>
    </row>
    <row r="6264" spans="1:3" x14ac:dyDescent="0.2">
      <c r="A6264" s="34">
        <v>37077</v>
      </c>
      <c r="B6264">
        <v>2.9893329999999998</v>
      </c>
      <c r="C6264">
        <f t="shared" si="102"/>
        <v>0</v>
      </c>
    </row>
    <row r="6265" spans="1:3" x14ac:dyDescent="0.2">
      <c r="A6265" s="34">
        <v>37076</v>
      </c>
      <c r="B6265">
        <v>2.9891200000000002</v>
      </c>
      <c r="C6265">
        <f t="shared" si="102"/>
        <v>0</v>
      </c>
    </row>
    <row r="6266" spans="1:3" x14ac:dyDescent="0.2">
      <c r="A6266" s="34">
        <v>37075</v>
      </c>
      <c r="B6266">
        <v>2.9889070000000002</v>
      </c>
      <c r="C6266">
        <f t="shared" si="102"/>
        <v>0</v>
      </c>
    </row>
    <row r="6267" spans="1:3" x14ac:dyDescent="0.2">
      <c r="A6267" s="34">
        <v>37074</v>
      </c>
      <c r="B6267">
        <v>2.9886940000000002</v>
      </c>
      <c r="C6267">
        <f t="shared" si="102"/>
        <v>0</v>
      </c>
    </row>
    <row r="6268" spans="1:3" x14ac:dyDescent="0.2">
      <c r="A6268" s="34">
        <v>37073</v>
      </c>
      <c r="B6268">
        <v>2.9884810000000002</v>
      </c>
      <c r="C6268">
        <f t="shared" si="102"/>
        <v>0</v>
      </c>
    </row>
    <row r="6269" spans="1:3" x14ac:dyDescent="0.2">
      <c r="A6269" s="34">
        <v>37072</v>
      </c>
      <c r="B6269">
        <v>2.9882689999999998</v>
      </c>
      <c r="C6269">
        <f t="shared" si="102"/>
        <v>0</v>
      </c>
    </row>
    <row r="6270" spans="1:3" x14ac:dyDescent="0.2">
      <c r="A6270" s="34">
        <v>37071</v>
      </c>
      <c r="B6270">
        <v>2.9880559999999998</v>
      </c>
      <c r="C6270">
        <f t="shared" si="102"/>
        <v>0</v>
      </c>
    </row>
    <row r="6271" spans="1:3" x14ac:dyDescent="0.2">
      <c r="A6271" s="34">
        <v>37070</v>
      </c>
      <c r="B6271">
        <v>2.9878429999999998</v>
      </c>
      <c r="C6271">
        <f t="shared" si="102"/>
        <v>0</v>
      </c>
    </row>
    <row r="6272" spans="1:3" x14ac:dyDescent="0.2">
      <c r="A6272" s="34">
        <v>37069</v>
      </c>
      <c r="B6272">
        <v>2.9876299999999998</v>
      </c>
      <c r="C6272">
        <f t="shared" si="102"/>
        <v>0</v>
      </c>
    </row>
    <row r="6273" spans="1:3" x14ac:dyDescent="0.2">
      <c r="A6273" s="34">
        <v>37068</v>
      </c>
      <c r="B6273">
        <v>2.9874170000000002</v>
      </c>
      <c r="C6273">
        <f t="shared" si="102"/>
        <v>0</v>
      </c>
    </row>
    <row r="6274" spans="1:3" x14ac:dyDescent="0.2">
      <c r="A6274" s="34">
        <v>37067</v>
      </c>
      <c r="B6274">
        <v>2.9872040000000002</v>
      </c>
      <c r="C6274">
        <f t="shared" ref="C6274:C6337" si="103">IFERROR(VLOOKUP(A6274,$M$2:$N$3695,2,0),C6275)</f>
        <v>0</v>
      </c>
    </row>
    <row r="6275" spans="1:3" x14ac:dyDescent="0.2">
      <c r="A6275" s="34">
        <v>37066</v>
      </c>
      <c r="B6275">
        <v>2.9867629999999998</v>
      </c>
      <c r="C6275">
        <f t="shared" si="103"/>
        <v>0</v>
      </c>
    </row>
    <row r="6276" spans="1:3" x14ac:dyDescent="0.2">
      <c r="A6276" s="34">
        <v>37065</v>
      </c>
      <c r="B6276">
        <v>2.9863219999999999</v>
      </c>
      <c r="C6276">
        <f t="shared" si="103"/>
        <v>0</v>
      </c>
    </row>
    <row r="6277" spans="1:3" x14ac:dyDescent="0.2">
      <c r="A6277" s="34">
        <v>37064</v>
      </c>
      <c r="B6277">
        <v>2.9858799999999999</v>
      </c>
      <c r="C6277">
        <f t="shared" si="103"/>
        <v>0</v>
      </c>
    </row>
    <row r="6278" spans="1:3" x14ac:dyDescent="0.2">
      <c r="A6278" s="34">
        <v>37063</v>
      </c>
      <c r="B6278">
        <v>2.985439</v>
      </c>
      <c r="C6278">
        <f t="shared" si="103"/>
        <v>0</v>
      </c>
    </row>
    <row r="6279" spans="1:3" x14ac:dyDescent="0.2">
      <c r="A6279" s="34">
        <v>37062</v>
      </c>
      <c r="B6279">
        <v>2.984998</v>
      </c>
      <c r="C6279">
        <f t="shared" si="103"/>
        <v>0</v>
      </c>
    </row>
    <row r="6280" spans="1:3" x14ac:dyDescent="0.2">
      <c r="A6280" s="34">
        <v>37061</v>
      </c>
      <c r="B6280">
        <v>2.9845570000000001</v>
      </c>
      <c r="C6280">
        <f t="shared" si="103"/>
        <v>0</v>
      </c>
    </row>
    <row r="6281" spans="1:3" x14ac:dyDescent="0.2">
      <c r="A6281" s="34">
        <v>37060</v>
      </c>
      <c r="B6281">
        <v>2.9841160000000002</v>
      </c>
      <c r="C6281">
        <f t="shared" si="103"/>
        <v>0</v>
      </c>
    </row>
    <row r="6282" spans="1:3" x14ac:dyDescent="0.2">
      <c r="A6282" s="34">
        <v>37059</v>
      </c>
      <c r="B6282">
        <v>2.9836749999999999</v>
      </c>
      <c r="C6282">
        <f t="shared" si="103"/>
        <v>0</v>
      </c>
    </row>
    <row r="6283" spans="1:3" x14ac:dyDescent="0.2">
      <c r="A6283" s="34">
        <v>37058</v>
      </c>
      <c r="B6283">
        <v>2.9832339999999999</v>
      </c>
      <c r="C6283">
        <f t="shared" si="103"/>
        <v>0</v>
      </c>
    </row>
    <row r="6284" spans="1:3" x14ac:dyDescent="0.2">
      <c r="A6284" s="34">
        <v>37057</v>
      </c>
      <c r="B6284">
        <v>2.982793</v>
      </c>
      <c r="C6284">
        <f t="shared" si="103"/>
        <v>0</v>
      </c>
    </row>
    <row r="6285" spans="1:3" x14ac:dyDescent="0.2">
      <c r="A6285" s="34">
        <v>37056</v>
      </c>
      <c r="B6285">
        <v>2.9823529999999998</v>
      </c>
      <c r="C6285">
        <f t="shared" si="103"/>
        <v>0</v>
      </c>
    </row>
    <row r="6286" spans="1:3" x14ac:dyDescent="0.2">
      <c r="A6286" s="34">
        <v>37055</v>
      </c>
      <c r="B6286">
        <v>2.9819119999999999</v>
      </c>
      <c r="C6286">
        <f t="shared" si="103"/>
        <v>0</v>
      </c>
    </row>
    <row r="6287" spans="1:3" x14ac:dyDescent="0.2">
      <c r="A6287" s="34">
        <v>37054</v>
      </c>
      <c r="B6287">
        <v>2.9814720000000001</v>
      </c>
      <c r="C6287">
        <f t="shared" si="103"/>
        <v>0</v>
      </c>
    </row>
    <row r="6288" spans="1:3" x14ac:dyDescent="0.2">
      <c r="A6288" s="34">
        <v>37053</v>
      </c>
      <c r="B6288">
        <v>2.9810310000000002</v>
      </c>
      <c r="C6288">
        <f t="shared" si="103"/>
        <v>0</v>
      </c>
    </row>
    <row r="6289" spans="1:3" x14ac:dyDescent="0.2">
      <c r="A6289" s="34">
        <v>37052</v>
      </c>
      <c r="B6289">
        <v>2.980591</v>
      </c>
      <c r="C6289">
        <f t="shared" si="103"/>
        <v>0</v>
      </c>
    </row>
    <row r="6290" spans="1:3" x14ac:dyDescent="0.2">
      <c r="A6290" s="34">
        <v>37051</v>
      </c>
      <c r="B6290">
        <v>2.9805459999999999</v>
      </c>
      <c r="C6290">
        <f t="shared" si="103"/>
        <v>0</v>
      </c>
    </row>
    <row r="6291" spans="1:3" x14ac:dyDescent="0.2">
      <c r="A6291" s="34">
        <v>37050</v>
      </c>
      <c r="B6291">
        <v>2.980502</v>
      </c>
      <c r="C6291">
        <f t="shared" si="103"/>
        <v>0</v>
      </c>
    </row>
    <row r="6292" spans="1:3" x14ac:dyDescent="0.2">
      <c r="A6292" s="34">
        <v>37049</v>
      </c>
      <c r="B6292">
        <v>2.9804580000000001</v>
      </c>
      <c r="C6292">
        <f t="shared" si="103"/>
        <v>0</v>
      </c>
    </row>
    <row r="6293" spans="1:3" x14ac:dyDescent="0.2">
      <c r="A6293" s="34">
        <v>37048</v>
      </c>
      <c r="B6293">
        <v>2.9804140000000001</v>
      </c>
      <c r="C6293">
        <f t="shared" si="103"/>
        <v>0</v>
      </c>
    </row>
    <row r="6294" spans="1:3" x14ac:dyDescent="0.2">
      <c r="A6294" s="34">
        <v>37047</v>
      </c>
      <c r="B6294">
        <v>2.9803700000000002</v>
      </c>
      <c r="C6294">
        <f t="shared" si="103"/>
        <v>0</v>
      </c>
    </row>
    <row r="6295" spans="1:3" x14ac:dyDescent="0.2">
      <c r="A6295" s="34">
        <v>37046</v>
      </c>
      <c r="B6295">
        <v>2.9803259999999998</v>
      </c>
      <c r="C6295">
        <f t="shared" si="103"/>
        <v>0</v>
      </c>
    </row>
    <row r="6296" spans="1:3" x14ac:dyDescent="0.2">
      <c r="A6296" s="34">
        <v>37045</v>
      </c>
      <c r="B6296">
        <v>2.9802819999999999</v>
      </c>
      <c r="C6296">
        <f t="shared" si="103"/>
        <v>0</v>
      </c>
    </row>
    <row r="6297" spans="1:3" x14ac:dyDescent="0.2">
      <c r="A6297" s="34">
        <v>37044</v>
      </c>
      <c r="B6297">
        <v>2.9802379999999999</v>
      </c>
      <c r="C6297">
        <f t="shared" si="103"/>
        <v>0</v>
      </c>
    </row>
    <row r="6298" spans="1:3" x14ac:dyDescent="0.2">
      <c r="A6298" s="34">
        <v>37043</v>
      </c>
      <c r="B6298">
        <v>2.980194</v>
      </c>
      <c r="C6298">
        <f t="shared" si="103"/>
        <v>0</v>
      </c>
    </row>
    <row r="6299" spans="1:3" x14ac:dyDescent="0.2">
      <c r="A6299" s="34">
        <v>37042</v>
      </c>
      <c r="B6299">
        <v>2.9801500000000001</v>
      </c>
      <c r="C6299">
        <f t="shared" si="103"/>
        <v>0</v>
      </c>
    </row>
    <row r="6300" spans="1:3" x14ac:dyDescent="0.2">
      <c r="A6300" s="34">
        <v>37041</v>
      </c>
      <c r="B6300">
        <v>2.9801060000000001</v>
      </c>
      <c r="C6300">
        <f t="shared" si="103"/>
        <v>0</v>
      </c>
    </row>
    <row r="6301" spans="1:3" x14ac:dyDescent="0.2">
      <c r="A6301" s="34">
        <v>37040</v>
      </c>
      <c r="B6301">
        <v>2.9800620000000002</v>
      </c>
      <c r="C6301">
        <f t="shared" si="103"/>
        <v>0</v>
      </c>
    </row>
    <row r="6302" spans="1:3" x14ac:dyDescent="0.2">
      <c r="A6302" s="34">
        <v>37039</v>
      </c>
      <c r="B6302">
        <v>2.9800179999999998</v>
      </c>
      <c r="C6302">
        <f t="shared" si="103"/>
        <v>0</v>
      </c>
    </row>
    <row r="6303" spans="1:3" x14ac:dyDescent="0.2">
      <c r="A6303" s="34">
        <v>37038</v>
      </c>
      <c r="B6303">
        <v>2.9799739999999999</v>
      </c>
      <c r="C6303">
        <f t="shared" si="103"/>
        <v>0</v>
      </c>
    </row>
    <row r="6304" spans="1:3" x14ac:dyDescent="0.2">
      <c r="A6304" s="34">
        <v>37037</v>
      </c>
      <c r="B6304">
        <v>2.97993</v>
      </c>
      <c r="C6304">
        <f t="shared" si="103"/>
        <v>0</v>
      </c>
    </row>
    <row r="6305" spans="1:3" x14ac:dyDescent="0.2">
      <c r="A6305" s="34">
        <v>37036</v>
      </c>
      <c r="B6305">
        <v>2.979886</v>
      </c>
      <c r="C6305">
        <f t="shared" si="103"/>
        <v>0</v>
      </c>
    </row>
    <row r="6306" spans="1:3" x14ac:dyDescent="0.2">
      <c r="A6306" s="34">
        <v>37035</v>
      </c>
      <c r="B6306">
        <v>2.9795090000000002</v>
      </c>
      <c r="C6306">
        <f t="shared" si="103"/>
        <v>0</v>
      </c>
    </row>
    <row r="6307" spans="1:3" x14ac:dyDescent="0.2">
      <c r="A6307" s="34">
        <v>37034</v>
      </c>
      <c r="B6307">
        <v>2.9791319999999999</v>
      </c>
      <c r="C6307">
        <f t="shared" si="103"/>
        <v>0</v>
      </c>
    </row>
    <row r="6308" spans="1:3" x14ac:dyDescent="0.2">
      <c r="A6308" s="34">
        <v>37033</v>
      </c>
      <c r="B6308">
        <v>2.978755</v>
      </c>
      <c r="C6308">
        <f t="shared" si="103"/>
        <v>0</v>
      </c>
    </row>
    <row r="6309" spans="1:3" x14ac:dyDescent="0.2">
      <c r="A6309" s="34">
        <v>37032</v>
      </c>
      <c r="B6309">
        <v>2.9783780000000002</v>
      </c>
      <c r="C6309">
        <f t="shared" si="103"/>
        <v>0</v>
      </c>
    </row>
    <row r="6310" spans="1:3" x14ac:dyDescent="0.2">
      <c r="A6310" s="34">
        <v>37031</v>
      </c>
      <c r="B6310">
        <v>2.978002</v>
      </c>
      <c r="C6310">
        <f t="shared" si="103"/>
        <v>0</v>
      </c>
    </row>
    <row r="6311" spans="1:3" x14ac:dyDescent="0.2">
      <c r="A6311" s="34">
        <v>37030</v>
      </c>
      <c r="B6311">
        <v>2.9776250000000002</v>
      </c>
      <c r="C6311">
        <f t="shared" si="103"/>
        <v>0</v>
      </c>
    </row>
    <row r="6312" spans="1:3" x14ac:dyDescent="0.2">
      <c r="A6312" s="34">
        <v>37029</v>
      </c>
      <c r="B6312">
        <v>2.977249</v>
      </c>
      <c r="C6312">
        <f t="shared" si="103"/>
        <v>0</v>
      </c>
    </row>
    <row r="6313" spans="1:3" x14ac:dyDescent="0.2">
      <c r="A6313" s="34">
        <v>37028</v>
      </c>
      <c r="B6313">
        <v>2.9768720000000002</v>
      </c>
      <c r="C6313">
        <f t="shared" si="103"/>
        <v>0</v>
      </c>
    </row>
    <row r="6314" spans="1:3" x14ac:dyDescent="0.2">
      <c r="A6314" s="34">
        <v>37027</v>
      </c>
      <c r="B6314">
        <v>2.976496</v>
      </c>
      <c r="C6314">
        <f t="shared" si="103"/>
        <v>0</v>
      </c>
    </row>
    <row r="6315" spans="1:3" x14ac:dyDescent="0.2">
      <c r="A6315" s="34">
        <v>37026</v>
      </c>
      <c r="B6315">
        <v>2.9761190000000002</v>
      </c>
      <c r="C6315">
        <f t="shared" si="103"/>
        <v>0</v>
      </c>
    </row>
    <row r="6316" spans="1:3" x14ac:dyDescent="0.2">
      <c r="A6316" s="34">
        <v>37025</v>
      </c>
      <c r="B6316">
        <v>2.975743</v>
      </c>
      <c r="C6316">
        <f t="shared" si="103"/>
        <v>0</v>
      </c>
    </row>
    <row r="6317" spans="1:3" x14ac:dyDescent="0.2">
      <c r="A6317" s="34">
        <v>37024</v>
      </c>
      <c r="B6317">
        <v>2.9753660000000002</v>
      </c>
      <c r="C6317">
        <f t="shared" si="103"/>
        <v>0</v>
      </c>
    </row>
    <row r="6318" spans="1:3" x14ac:dyDescent="0.2">
      <c r="A6318" s="34">
        <v>37023</v>
      </c>
      <c r="B6318">
        <v>2.97499</v>
      </c>
      <c r="C6318">
        <f t="shared" si="103"/>
        <v>0</v>
      </c>
    </row>
    <row r="6319" spans="1:3" x14ac:dyDescent="0.2">
      <c r="A6319" s="34">
        <v>37022</v>
      </c>
      <c r="B6319">
        <v>2.9746139999999999</v>
      </c>
      <c r="C6319">
        <f t="shared" si="103"/>
        <v>0</v>
      </c>
    </row>
    <row r="6320" spans="1:3" x14ac:dyDescent="0.2">
      <c r="A6320" s="34">
        <v>37021</v>
      </c>
      <c r="B6320">
        <v>2.9742380000000002</v>
      </c>
      <c r="C6320">
        <f t="shared" si="103"/>
        <v>0</v>
      </c>
    </row>
    <row r="6321" spans="1:3" x14ac:dyDescent="0.2">
      <c r="A6321" s="34">
        <v>37020</v>
      </c>
      <c r="B6321">
        <v>2.9739429999999998</v>
      </c>
      <c r="C6321">
        <f t="shared" si="103"/>
        <v>0</v>
      </c>
    </row>
    <row r="6322" spans="1:3" x14ac:dyDescent="0.2">
      <c r="A6322" s="34">
        <v>37019</v>
      </c>
      <c r="B6322">
        <v>2.9736479999999998</v>
      </c>
      <c r="C6322">
        <f t="shared" si="103"/>
        <v>0</v>
      </c>
    </row>
    <row r="6323" spans="1:3" x14ac:dyDescent="0.2">
      <c r="A6323" s="34">
        <v>37018</v>
      </c>
      <c r="B6323">
        <v>2.9733529999999999</v>
      </c>
      <c r="C6323">
        <f t="shared" si="103"/>
        <v>0</v>
      </c>
    </row>
    <row r="6324" spans="1:3" x14ac:dyDescent="0.2">
      <c r="A6324" s="34">
        <v>37017</v>
      </c>
      <c r="B6324">
        <v>2.973058</v>
      </c>
      <c r="C6324">
        <f t="shared" si="103"/>
        <v>0</v>
      </c>
    </row>
    <row r="6325" spans="1:3" x14ac:dyDescent="0.2">
      <c r="A6325" s="34">
        <v>37016</v>
      </c>
      <c r="B6325">
        <v>2.972763</v>
      </c>
      <c r="C6325">
        <f t="shared" si="103"/>
        <v>0</v>
      </c>
    </row>
    <row r="6326" spans="1:3" x14ac:dyDescent="0.2">
      <c r="A6326" s="34">
        <v>37015</v>
      </c>
      <c r="B6326">
        <v>2.9724689999999998</v>
      </c>
      <c r="C6326">
        <f t="shared" si="103"/>
        <v>0</v>
      </c>
    </row>
    <row r="6327" spans="1:3" x14ac:dyDescent="0.2">
      <c r="A6327" s="34">
        <v>37014</v>
      </c>
      <c r="B6327">
        <v>2.9721739999999999</v>
      </c>
      <c r="C6327">
        <f t="shared" si="103"/>
        <v>0</v>
      </c>
    </row>
    <row r="6328" spans="1:3" x14ac:dyDescent="0.2">
      <c r="A6328" s="34">
        <v>37013</v>
      </c>
      <c r="B6328">
        <v>2.9718789999999999</v>
      </c>
      <c r="C6328">
        <f t="shared" si="103"/>
        <v>0</v>
      </c>
    </row>
    <row r="6329" spans="1:3" x14ac:dyDescent="0.2">
      <c r="A6329" s="34">
        <v>37012</v>
      </c>
      <c r="B6329">
        <v>2.971584</v>
      </c>
      <c r="C6329">
        <f t="shared" si="103"/>
        <v>0</v>
      </c>
    </row>
    <row r="6330" spans="1:3" x14ac:dyDescent="0.2">
      <c r="A6330" s="34">
        <v>37011</v>
      </c>
      <c r="B6330">
        <v>2.9712900000000002</v>
      </c>
      <c r="C6330">
        <f t="shared" si="103"/>
        <v>0</v>
      </c>
    </row>
    <row r="6331" spans="1:3" x14ac:dyDescent="0.2">
      <c r="A6331" s="34">
        <v>37010</v>
      </c>
      <c r="B6331">
        <v>2.9709949999999998</v>
      </c>
      <c r="C6331">
        <f t="shared" si="103"/>
        <v>0</v>
      </c>
    </row>
    <row r="6332" spans="1:3" x14ac:dyDescent="0.2">
      <c r="A6332" s="34">
        <v>37009</v>
      </c>
      <c r="B6332">
        <v>2.970701</v>
      </c>
      <c r="C6332">
        <f t="shared" si="103"/>
        <v>0</v>
      </c>
    </row>
    <row r="6333" spans="1:3" x14ac:dyDescent="0.2">
      <c r="A6333" s="34">
        <v>37008</v>
      </c>
      <c r="B6333">
        <v>2.9704060000000001</v>
      </c>
      <c r="C6333">
        <f t="shared" si="103"/>
        <v>0</v>
      </c>
    </row>
    <row r="6334" spans="1:3" x14ac:dyDescent="0.2">
      <c r="A6334" s="34">
        <v>37007</v>
      </c>
      <c r="B6334">
        <v>2.9701110000000002</v>
      </c>
      <c r="C6334">
        <f t="shared" si="103"/>
        <v>0</v>
      </c>
    </row>
    <row r="6335" spans="1:3" x14ac:dyDescent="0.2">
      <c r="A6335" s="34">
        <v>37006</v>
      </c>
      <c r="B6335">
        <v>2.9698169999999999</v>
      </c>
      <c r="C6335">
        <f t="shared" si="103"/>
        <v>0</v>
      </c>
    </row>
    <row r="6336" spans="1:3" x14ac:dyDescent="0.2">
      <c r="A6336" s="34">
        <v>37005</v>
      </c>
      <c r="B6336">
        <v>2.968788</v>
      </c>
      <c r="C6336">
        <f t="shared" si="103"/>
        <v>0</v>
      </c>
    </row>
    <row r="6337" spans="1:3" x14ac:dyDescent="0.2">
      <c r="A6337" s="34">
        <v>37004</v>
      </c>
      <c r="B6337">
        <v>2.9677600000000002</v>
      </c>
      <c r="C6337">
        <f t="shared" si="103"/>
        <v>0</v>
      </c>
    </row>
    <row r="6338" spans="1:3" x14ac:dyDescent="0.2">
      <c r="A6338" s="34">
        <v>37003</v>
      </c>
      <c r="B6338">
        <v>2.9667319999999999</v>
      </c>
      <c r="C6338">
        <f t="shared" ref="C6338:C6401" si="104">IFERROR(VLOOKUP(A6338,$M$2:$N$3695,2,0),C6339)</f>
        <v>0</v>
      </c>
    </row>
    <row r="6339" spans="1:3" x14ac:dyDescent="0.2">
      <c r="A6339" s="34">
        <v>37002</v>
      </c>
      <c r="B6339">
        <v>2.9657040000000001</v>
      </c>
      <c r="C6339">
        <f t="shared" si="104"/>
        <v>0</v>
      </c>
    </row>
    <row r="6340" spans="1:3" x14ac:dyDescent="0.2">
      <c r="A6340" s="34">
        <v>37001</v>
      </c>
      <c r="B6340">
        <v>2.964677</v>
      </c>
      <c r="C6340">
        <f t="shared" si="104"/>
        <v>0</v>
      </c>
    </row>
    <row r="6341" spans="1:3" x14ac:dyDescent="0.2">
      <c r="A6341" s="34">
        <v>37000</v>
      </c>
      <c r="B6341">
        <v>2.9636499999999999</v>
      </c>
      <c r="C6341">
        <f t="shared" si="104"/>
        <v>0</v>
      </c>
    </row>
    <row r="6342" spans="1:3" x14ac:dyDescent="0.2">
      <c r="A6342" s="34">
        <v>36999</v>
      </c>
      <c r="B6342">
        <v>2.9626229999999998</v>
      </c>
      <c r="C6342">
        <f t="shared" si="104"/>
        <v>0</v>
      </c>
    </row>
    <row r="6343" spans="1:3" x14ac:dyDescent="0.2">
      <c r="A6343" s="34">
        <v>36998</v>
      </c>
      <c r="B6343">
        <v>2.9615969999999998</v>
      </c>
      <c r="C6343">
        <f t="shared" si="104"/>
        <v>0</v>
      </c>
    </row>
    <row r="6344" spans="1:3" x14ac:dyDescent="0.2">
      <c r="A6344" s="34">
        <v>36997</v>
      </c>
      <c r="B6344">
        <v>2.9605709999999998</v>
      </c>
      <c r="C6344">
        <f t="shared" si="104"/>
        <v>0</v>
      </c>
    </row>
    <row r="6345" spans="1:3" x14ac:dyDescent="0.2">
      <c r="A6345" s="34">
        <v>36996</v>
      </c>
      <c r="B6345">
        <v>2.9595449999999999</v>
      </c>
      <c r="C6345">
        <f t="shared" si="104"/>
        <v>0</v>
      </c>
    </row>
    <row r="6346" spans="1:3" x14ac:dyDescent="0.2">
      <c r="A6346" s="34">
        <v>36995</v>
      </c>
      <c r="B6346">
        <v>2.95852</v>
      </c>
      <c r="C6346">
        <f t="shared" si="104"/>
        <v>0</v>
      </c>
    </row>
    <row r="6347" spans="1:3" x14ac:dyDescent="0.2">
      <c r="A6347" s="34">
        <v>36994</v>
      </c>
      <c r="B6347">
        <v>2.9574950000000002</v>
      </c>
      <c r="C6347">
        <f t="shared" si="104"/>
        <v>0</v>
      </c>
    </row>
    <row r="6348" spans="1:3" x14ac:dyDescent="0.2">
      <c r="A6348" s="34">
        <v>36993</v>
      </c>
      <c r="B6348">
        <v>2.9564699999999999</v>
      </c>
      <c r="C6348">
        <f t="shared" si="104"/>
        <v>0</v>
      </c>
    </row>
    <row r="6349" spans="1:3" x14ac:dyDescent="0.2">
      <c r="A6349" s="34">
        <v>36992</v>
      </c>
      <c r="B6349">
        <v>2.9554459999999998</v>
      </c>
      <c r="C6349">
        <f t="shared" si="104"/>
        <v>0</v>
      </c>
    </row>
    <row r="6350" spans="1:3" x14ac:dyDescent="0.2">
      <c r="A6350" s="34">
        <v>36991</v>
      </c>
      <c r="B6350">
        <v>2.9544220000000001</v>
      </c>
      <c r="C6350">
        <f t="shared" si="104"/>
        <v>0</v>
      </c>
    </row>
    <row r="6351" spans="1:3" x14ac:dyDescent="0.2">
      <c r="A6351" s="34">
        <v>36990</v>
      </c>
      <c r="B6351">
        <v>2.9537969999999998</v>
      </c>
      <c r="C6351">
        <f t="shared" si="104"/>
        <v>0</v>
      </c>
    </row>
    <row r="6352" spans="1:3" x14ac:dyDescent="0.2">
      <c r="A6352" s="34">
        <v>36989</v>
      </c>
      <c r="B6352">
        <v>2.9531719999999999</v>
      </c>
      <c r="C6352">
        <f t="shared" si="104"/>
        <v>0</v>
      </c>
    </row>
    <row r="6353" spans="1:3" x14ac:dyDescent="0.2">
      <c r="A6353" s="34">
        <v>36988</v>
      </c>
      <c r="B6353">
        <v>2.952547</v>
      </c>
      <c r="C6353">
        <f t="shared" si="104"/>
        <v>0</v>
      </c>
    </row>
    <row r="6354" spans="1:3" x14ac:dyDescent="0.2">
      <c r="A6354" s="34">
        <v>36987</v>
      </c>
      <c r="B6354">
        <v>2.9519220000000002</v>
      </c>
      <c r="C6354">
        <f t="shared" si="104"/>
        <v>0</v>
      </c>
    </row>
    <row r="6355" spans="1:3" x14ac:dyDescent="0.2">
      <c r="A6355" s="34">
        <v>36986</v>
      </c>
      <c r="B6355">
        <v>2.9512969999999998</v>
      </c>
      <c r="C6355">
        <f t="shared" si="104"/>
        <v>0</v>
      </c>
    </row>
    <row r="6356" spans="1:3" x14ac:dyDescent="0.2">
      <c r="A6356" s="34">
        <v>36985</v>
      </c>
      <c r="B6356">
        <v>2.950672</v>
      </c>
      <c r="C6356">
        <f t="shared" si="104"/>
        <v>0</v>
      </c>
    </row>
    <row r="6357" spans="1:3" x14ac:dyDescent="0.2">
      <c r="A6357" s="34">
        <v>36984</v>
      </c>
      <c r="B6357">
        <v>2.9500479999999998</v>
      </c>
      <c r="C6357">
        <f t="shared" si="104"/>
        <v>0</v>
      </c>
    </row>
    <row r="6358" spans="1:3" x14ac:dyDescent="0.2">
      <c r="A6358" s="34">
        <v>36983</v>
      </c>
      <c r="B6358">
        <v>2.9494229999999999</v>
      </c>
      <c r="C6358">
        <f t="shared" si="104"/>
        <v>0</v>
      </c>
    </row>
    <row r="6359" spans="1:3" x14ac:dyDescent="0.2">
      <c r="A6359" s="34">
        <v>36982</v>
      </c>
      <c r="B6359">
        <v>2.9487990000000002</v>
      </c>
      <c r="C6359">
        <f t="shared" si="104"/>
        <v>0</v>
      </c>
    </row>
    <row r="6360" spans="1:3" x14ac:dyDescent="0.2">
      <c r="A6360" s="34">
        <v>36981</v>
      </c>
      <c r="B6360">
        <v>2.948175</v>
      </c>
      <c r="C6360">
        <f t="shared" si="104"/>
        <v>0</v>
      </c>
    </row>
    <row r="6361" spans="1:3" x14ac:dyDescent="0.2">
      <c r="A6361" s="34">
        <v>36980</v>
      </c>
      <c r="B6361">
        <v>2.9475500000000001</v>
      </c>
      <c r="C6361">
        <f t="shared" si="104"/>
        <v>0</v>
      </c>
    </row>
    <row r="6362" spans="1:3" x14ac:dyDescent="0.2">
      <c r="A6362" s="34">
        <v>36979</v>
      </c>
      <c r="B6362">
        <v>2.9469270000000001</v>
      </c>
      <c r="C6362">
        <f t="shared" si="104"/>
        <v>0</v>
      </c>
    </row>
    <row r="6363" spans="1:3" x14ac:dyDescent="0.2">
      <c r="A6363" s="34">
        <v>36978</v>
      </c>
      <c r="B6363">
        <v>2.9463029999999999</v>
      </c>
      <c r="C6363">
        <f t="shared" si="104"/>
        <v>0</v>
      </c>
    </row>
    <row r="6364" spans="1:3" x14ac:dyDescent="0.2">
      <c r="A6364" s="34">
        <v>36977</v>
      </c>
      <c r="B6364">
        <v>2.9456790000000002</v>
      </c>
      <c r="C6364">
        <f t="shared" si="104"/>
        <v>0</v>
      </c>
    </row>
    <row r="6365" spans="1:3" x14ac:dyDescent="0.2">
      <c r="A6365" s="34">
        <v>36976</v>
      </c>
      <c r="B6365">
        <v>2.9450560000000001</v>
      </c>
      <c r="C6365">
        <f t="shared" si="104"/>
        <v>0</v>
      </c>
    </row>
    <row r="6366" spans="1:3" x14ac:dyDescent="0.2">
      <c r="A6366" s="34">
        <v>36975</v>
      </c>
      <c r="B6366">
        <v>2.9444319999999999</v>
      </c>
      <c r="C6366">
        <f t="shared" si="104"/>
        <v>0</v>
      </c>
    </row>
    <row r="6367" spans="1:3" x14ac:dyDescent="0.2">
      <c r="A6367" s="34">
        <v>36974</v>
      </c>
      <c r="B6367">
        <v>2.9443039999999998</v>
      </c>
      <c r="C6367">
        <f t="shared" si="104"/>
        <v>0</v>
      </c>
    </row>
    <row r="6368" spans="1:3" x14ac:dyDescent="0.2">
      <c r="A6368" s="34">
        <v>36973</v>
      </c>
      <c r="B6368">
        <v>2.9441769999999998</v>
      </c>
      <c r="C6368">
        <f t="shared" si="104"/>
        <v>0</v>
      </c>
    </row>
    <row r="6369" spans="1:3" x14ac:dyDescent="0.2">
      <c r="A6369" s="34">
        <v>36972</v>
      </c>
      <c r="B6369">
        <v>2.9440490000000001</v>
      </c>
      <c r="C6369">
        <f t="shared" si="104"/>
        <v>0</v>
      </c>
    </row>
    <row r="6370" spans="1:3" x14ac:dyDescent="0.2">
      <c r="A6370" s="34">
        <v>36971</v>
      </c>
      <c r="B6370">
        <v>2.943921</v>
      </c>
      <c r="C6370">
        <f t="shared" si="104"/>
        <v>0</v>
      </c>
    </row>
    <row r="6371" spans="1:3" x14ac:dyDescent="0.2">
      <c r="A6371" s="34">
        <v>36970</v>
      </c>
      <c r="B6371">
        <v>2.943794</v>
      </c>
      <c r="C6371">
        <f t="shared" si="104"/>
        <v>0</v>
      </c>
    </row>
    <row r="6372" spans="1:3" x14ac:dyDescent="0.2">
      <c r="A6372" s="34">
        <v>36969</v>
      </c>
      <c r="B6372">
        <v>2.9436659999999999</v>
      </c>
      <c r="C6372">
        <f t="shared" si="104"/>
        <v>0</v>
      </c>
    </row>
    <row r="6373" spans="1:3" x14ac:dyDescent="0.2">
      <c r="A6373" s="34">
        <v>36968</v>
      </c>
      <c r="B6373">
        <v>2.9435389999999999</v>
      </c>
      <c r="C6373">
        <f t="shared" si="104"/>
        <v>0</v>
      </c>
    </row>
    <row r="6374" spans="1:3" x14ac:dyDescent="0.2">
      <c r="A6374" s="34">
        <v>36967</v>
      </c>
      <c r="B6374">
        <v>2.9434110000000002</v>
      </c>
      <c r="C6374">
        <f t="shared" si="104"/>
        <v>0</v>
      </c>
    </row>
    <row r="6375" spans="1:3" x14ac:dyDescent="0.2">
      <c r="A6375" s="34">
        <v>36966</v>
      </c>
      <c r="B6375">
        <v>2.9432830000000001</v>
      </c>
      <c r="C6375">
        <f t="shared" si="104"/>
        <v>0</v>
      </c>
    </row>
    <row r="6376" spans="1:3" x14ac:dyDescent="0.2">
      <c r="A6376" s="34">
        <v>36965</v>
      </c>
      <c r="B6376">
        <v>2.9431560000000001</v>
      </c>
      <c r="C6376">
        <f t="shared" si="104"/>
        <v>0</v>
      </c>
    </row>
    <row r="6377" spans="1:3" x14ac:dyDescent="0.2">
      <c r="A6377" s="34">
        <v>36964</v>
      </c>
      <c r="B6377">
        <v>2.943028</v>
      </c>
      <c r="C6377">
        <f t="shared" si="104"/>
        <v>0</v>
      </c>
    </row>
    <row r="6378" spans="1:3" x14ac:dyDescent="0.2">
      <c r="A6378" s="34">
        <v>36963</v>
      </c>
      <c r="B6378">
        <v>2.9428999999999998</v>
      </c>
      <c r="C6378">
        <f t="shared" si="104"/>
        <v>0</v>
      </c>
    </row>
    <row r="6379" spans="1:3" x14ac:dyDescent="0.2">
      <c r="A6379" s="34">
        <v>36962</v>
      </c>
      <c r="B6379">
        <v>2.9427729999999999</v>
      </c>
      <c r="C6379">
        <f t="shared" si="104"/>
        <v>0</v>
      </c>
    </row>
    <row r="6380" spans="1:3" x14ac:dyDescent="0.2">
      <c r="A6380" s="34">
        <v>36961</v>
      </c>
      <c r="B6380">
        <v>2.9426450000000002</v>
      </c>
      <c r="C6380">
        <f t="shared" si="104"/>
        <v>0</v>
      </c>
    </row>
    <row r="6381" spans="1:3" x14ac:dyDescent="0.2">
      <c r="A6381" s="34">
        <v>36960</v>
      </c>
      <c r="B6381">
        <v>2.9425180000000002</v>
      </c>
      <c r="C6381">
        <f t="shared" si="104"/>
        <v>0</v>
      </c>
    </row>
    <row r="6382" spans="1:3" x14ac:dyDescent="0.2">
      <c r="A6382" s="34">
        <v>36959</v>
      </c>
      <c r="B6382">
        <v>2.942815</v>
      </c>
      <c r="C6382">
        <f t="shared" si="104"/>
        <v>0</v>
      </c>
    </row>
    <row r="6383" spans="1:3" x14ac:dyDescent="0.2">
      <c r="A6383" s="34">
        <v>36958</v>
      </c>
      <c r="B6383">
        <v>2.9431120000000002</v>
      </c>
      <c r="C6383">
        <f t="shared" si="104"/>
        <v>0</v>
      </c>
    </row>
    <row r="6384" spans="1:3" x14ac:dyDescent="0.2">
      <c r="A6384" s="34">
        <v>36957</v>
      </c>
      <c r="B6384">
        <v>2.9434089999999999</v>
      </c>
      <c r="C6384">
        <f t="shared" si="104"/>
        <v>0</v>
      </c>
    </row>
    <row r="6385" spans="1:3" x14ac:dyDescent="0.2">
      <c r="A6385" s="34">
        <v>36956</v>
      </c>
      <c r="B6385">
        <v>2.9437060000000002</v>
      </c>
      <c r="C6385">
        <f t="shared" si="104"/>
        <v>0</v>
      </c>
    </row>
    <row r="6386" spans="1:3" x14ac:dyDescent="0.2">
      <c r="A6386" s="34">
        <v>36955</v>
      </c>
      <c r="B6386">
        <v>2.9440029999999999</v>
      </c>
      <c r="C6386">
        <f t="shared" si="104"/>
        <v>0</v>
      </c>
    </row>
    <row r="6387" spans="1:3" x14ac:dyDescent="0.2">
      <c r="A6387" s="34">
        <v>36954</v>
      </c>
      <c r="B6387">
        <v>2.9443000000000001</v>
      </c>
      <c r="C6387">
        <f t="shared" si="104"/>
        <v>0</v>
      </c>
    </row>
    <row r="6388" spans="1:3" x14ac:dyDescent="0.2">
      <c r="A6388" s="34">
        <v>36953</v>
      </c>
      <c r="B6388">
        <v>2.944598</v>
      </c>
      <c r="C6388">
        <f t="shared" si="104"/>
        <v>0</v>
      </c>
    </row>
    <row r="6389" spans="1:3" x14ac:dyDescent="0.2">
      <c r="A6389" s="34">
        <v>36952</v>
      </c>
      <c r="B6389">
        <v>2.9448949999999998</v>
      </c>
      <c r="C6389">
        <f t="shared" si="104"/>
        <v>0</v>
      </c>
    </row>
    <row r="6390" spans="1:3" x14ac:dyDescent="0.2">
      <c r="A6390" s="34">
        <v>36951</v>
      </c>
      <c r="B6390">
        <v>2.945192</v>
      </c>
      <c r="C6390">
        <f t="shared" si="104"/>
        <v>0</v>
      </c>
    </row>
    <row r="6391" spans="1:3" x14ac:dyDescent="0.2">
      <c r="A6391" s="34">
        <v>36950</v>
      </c>
      <c r="B6391">
        <v>2.9454889999999998</v>
      </c>
      <c r="C6391">
        <f t="shared" si="104"/>
        <v>0</v>
      </c>
    </row>
    <row r="6392" spans="1:3" x14ac:dyDescent="0.2">
      <c r="A6392" s="34">
        <v>36949</v>
      </c>
      <c r="B6392">
        <v>2.9457870000000002</v>
      </c>
      <c r="C6392">
        <f t="shared" si="104"/>
        <v>0</v>
      </c>
    </row>
    <row r="6393" spans="1:3" x14ac:dyDescent="0.2">
      <c r="A6393" s="34">
        <v>36948</v>
      </c>
      <c r="B6393">
        <v>2.9460839999999999</v>
      </c>
      <c r="C6393">
        <f t="shared" si="104"/>
        <v>0</v>
      </c>
    </row>
    <row r="6394" spans="1:3" x14ac:dyDescent="0.2">
      <c r="A6394" s="34">
        <v>36947</v>
      </c>
      <c r="B6394">
        <v>2.9463810000000001</v>
      </c>
      <c r="C6394">
        <f t="shared" si="104"/>
        <v>0</v>
      </c>
    </row>
    <row r="6395" spans="1:3" x14ac:dyDescent="0.2">
      <c r="A6395" s="34">
        <v>36946</v>
      </c>
      <c r="B6395">
        <v>2.9462540000000002</v>
      </c>
      <c r="C6395">
        <f t="shared" si="104"/>
        <v>0</v>
      </c>
    </row>
    <row r="6396" spans="1:3" x14ac:dyDescent="0.2">
      <c r="A6396" s="34">
        <v>36945</v>
      </c>
      <c r="B6396">
        <v>2.946126</v>
      </c>
      <c r="C6396">
        <f t="shared" si="104"/>
        <v>0</v>
      </c>
    </row>
    <row r="6397" spans="1:3" x14ac:dyDescent="0.2">
      <c r="A6397" s="34">
        <v>36944</v>
      </c>
      <c r="B6397">
        <v>2.9459979999999999</v>
      </c>
      <c r="C6397">
        <f t="shared" si="104"/>
        <v>0</v>
      </c>
    </row>
    <row r="6398" spans="1:3" x14ac:dyDescent="0.2">
      <c r="A6398" s="34">
        <v>36943</v>
      </c>
      <c r="B6398">
        <v>2.9458709999999999</v>
      </c>
      <c r="C6398">
        <f t="shared" si="104"/>
        <v>0</v>
      </c>
    </row>
    <row r="6399" spans="1:3" x14ac:dyDescent="0.2">
      <c r="A6399" s="34">
        <v>36942</v>
      </c>
      <c r="B6399">
        <v>2.9457429999999998</v>
      </c>
      <c r="C6399">
        <f t="shared" si="104"/>
        <v>0</v>
      </c>
    </row>
    <row r="6400" spans="1:3" x14ac:dyDescent="0.2">
      <c r="A6400" s="34">
        <v>36941</v>
      </c>
      <c r="B6400">
        <v>2.9456159999999998</v>
      </c>
      <c r="C6400">
        <f t="shared" si="104"/>
        <v>0</v>
      </c>
    </row>
    <row r="6401" spans="1:3" x14ac:dyDescent="0.2">
      <c r="A6401" s="34">
        <v>36940</v>
      </c>
      <c r="B6401">
        <v>2.9454880000000001</v>
      </c>
      <c r="C6401">
        <f t="shared" si="104"/>
        <v>0</v>
      </c>
    </row>
    <row r="6402" spans="1:3" x14ac:dyDescent="0.2">
      <c r="A6402" s="34">
        <v>36939</v>
      </c>
      <c r="B6402">
        <v>2.94536</v>
      </c>
      <c r="C6402">
        <f t="shared" ref="C6402:C6465" si="105">IFERROR(VLOOKUP(A6402,$M$2:$N$3695,2,0),C6403)</f>
        <v>0</v>
      </c>
    </row>
    <row r="6403" spans="1:3" x14ac:dyDescent="0.2">
      <c r="A6403" s="34">
        <v>36938</v>
      </c>
      <c r="B6403">
        <v>2.945233</v>
      </c>
      <c r="C6403">
        <f t="shared" si="105"/>
        <v>0</v>
      </c>
    </row>
    <row r="6404" spans="1:3" x14ac:dyDescent="0.2">
      <c r="A6404" s="34">
        <v>36937</v>
      </c>
      <c r="B6404">
        <v>2.9451049999999999</v>
      </c>
      <c r="C6404">
        <f t="shared" si="105"/>
        <v>0</v>
      </c>
    </row>
    <row r="6405" spans="1:3" x14ac:dyDescent="0.2">
      <c r="A6405" s="34">
        <v>36936</v>
      </c>
      <c r="B6405">
        <v>2.9449770000000002</v>
      </c>
      <c r="C6405">
        <f t="shared" si="105"/>
        <v>0</v>
      </c>
    </row>
    <row r="6406" spans="1:3" x14ac:dyDescent="0.2">
      <c r="A6406" s="34">
        <v>36935</v>
      </c>
      <c r="B6406">
        <v>2.9448500000000002</v>
      </c>
      <c r="C6406">
        <f t="shared" si="105"/>
        <v>0</v>
      </c>
    </row>
    <row r="6407" spans="1:3" x14ac:dyDescent="0.2">
      <c r="A6407" s="34">
        <v>36934</v>
      </c>
      <c r="B6407">
        <v>2.9447220000000001</v>
      </c>
      <c r="C6407">
        <f t="shared" si="105"/>
        <v>0</v>
      </c>
    </row>
    <row r="6408" spans="1:3" x14ac:dyDescent="0.2">
      <c r="A6408" s="34">
        <v>36933</v>
      </c>
      <c r="B6408">
        <v>2.9445950000000001</v>
      </c>
      <c r="C6408">
        <f t="shared" si="105"/>
        <v>0</v>
      </c>
    </row>
    <row r="6409" spans="1:3" x14ac:dyDescent="0.2">
      <c r="A6409" s="34">
        <v>36932</v>
      </c>
      <c r="B6409">
        <v>2.9444669999999999</v>
      </c>
      <c r="C6409">
        <f t="shared" si="105"/>
        <v>0</v>
      </c>
    </row>
    <row r="6410" spans="1:3" x14ac:dyDescent="0.2">
      <c r="A6410" s="34">
        <v>36931</v>
      </c>
      <c r="B6410">
        <v>2.943946</v>
      </c>
      <c r="C6410">
        <f t="shared" si="105"/>
        <v>0</v>
      </c>
    </row>
    <row r="6411" spans="1:3" x14ac:dyDescent="0.2">
      <c r="A6411" s="34">
        <v>36930</v>
      </c>
      <c r="B6411">
        <v>2.9434260000000001</v>
      </c>
      <c r="C6411">
        <f t="shared" si="105"/>
        <v>0</v>
      </c>
    </row>
    <row r="6412" spans="1:3" x14ac:dyDescent="0.2">
      <c r="A6412" s="34">
        <v>36929</v>
      </c>
      <c r="B6412">
        <v>2.9429050000000001</v>
      </c>
      <c r="C6412">
        <f t="shared" si="105"/>
        <v>0</v>
      </c>
    </row>
    <row r="6413" spans="1:3" x14ac:dyDescent="0.2">
      <c r="A6413" s="34">
        <v>36928</v>
      </c>
      <c r="B6413">
        <v>2.9423849999999998</v>
      </c>
      <c r="C6413">
        <f t="shared" si="105"/>
        <v>0</v>
      </c>
    </row>
    <row r="6414" spans="1:3" x14ac:dyDescent="0.2">
      <c r="A6414" s="34">
        <v>36927</v>
      </c>
      <c r="B6414">
        <v>2.941865</v>
      </c>
      <c r="C6414">
        <f t="shared" si="105"/>
        <v>0</v>
      </c>
    </row>
    <row r="6415" spans="1:3" x14ac:dyDescent="0.2">
      <c r="A6415" s="34">
        <v>36926</v>
      </c>
      <c r="B6415">
        <v>2.941344</v>
      </c>
      <c r="C6415">
        <f t="shared" si="105"/>
        <v>0</v>
      </c>
    </row>
    <row r="6416" spans="1:3" x14ac:dyDescent="0.2">
      <c r="A6416" s="34">
        <v>36925</v>
      </c>
      <c r="B6416">
        <v>2.9408240000000001</v>
      </c>
      <c r="C6416">
        <f t="shared" si="105"/>
        <v>0</v>
      </c>
    </row>
    <row r="6417" spans="1:3" x14ac:dyDescent="0.2">
      <c r="A6417" s="34">
        <v>36924</v>
      </c>
      <c r="B6417">
        <v>2.9403039999999998</v>
      </c>
      <c r="C6417">
        <f t="shared" si="105"/>
        <v>0</v>
      </c>
    </row>
    <row r="6418" spans="1:3" x14ac:dyDescent="0.2">
      <c r="A6418" s="34">
        <v>36923</v>
      </c>
      <c r="B6418">
        <v>2.939784</v>
      </c>
      <c r="C6418">
        <f t="shared" si="105"/>
        <v>0</v>
      </c>
    </row>
    <row r="6419" spans="1:3" x14ac:dyDescent="0.2">
      <c r="A6419" s="34">
        <v>36922</v>
      </c>
      <c r="B6419">
        <v>2.9392649999999998</v>
      </c>
      <c r="C6419">
        <f t="shared" si="105"/>
        <v>0</v>
      </c>
    </row>
    <row r="6420" spans="1:3" x14ac:dyDescent="0.2">
      <c r="A6420" s="34">
        <v>36921</v>
      </c>
      <c r="B6420">
        <v>2.9387449999999999</v>
      </c>
      <c r="C6420">
        <f t="shared" si="105"/>
        <v>0</v>
      </c>
    </row>
    <row r="6421" spans="1:3" x14ac:dyDescent="0.2">
      <c r="A6421" s="34">
        <v>36920</v>
      </c>
      <c r="B6421">
        <v>2.9382250000000001</v>
      </c>
      <c r="C6421">
        <f t="shared" si="105"/>
        <v>0</v>
      </c>
    </row>
    <row r="6422" spans="1:3" x14ac:dyDescent="0.2">
      <c r="A6422" s="34">
        <v>36919</v>
      </c>
      <c r="B6422">
        <v>2.9377059999999999</v>
      </c>
      <c r="C6422">
        <f t="shared" si="105"/>
        <v>0</v>
      </c>
    </row>
    <row r="6423" spans="1:3" x14ac:dyDescent="0.2">
      <c r="A6423" s="34">
        <v>36918</v>
      </c>
      <c r="B6423">
        <v>2.9371860000000001</v>
      </c>
      <c r="C6423">
        <f t="shared" si="105"/>
        <v>0</v>
      </c>
    </row>
    <row r="6424" spans="1:3" x14ac:dyDescent="0.2">
      <c r="A6424" s="34">
        <v>36917</v>
      </c>
      <c r="B6424">
        <v>2.9366669999999999</v>
      </c>
      <c r="C6424">
        <f t="shared" si="105"/>
        <v>0</v>
      </c>
    </row>
    <row r="6425" spans="1:3" x14ac:dyDescent="0.2">
      <c r="A6425" s="34">
        <v>36916</v>
      </c>
      <c r="B6425">
        <v>2.9361470000000001</v>
      </c>
      <c r="C6425">
        <f t="shared" si="105"/>
        <v>0</v>
      </c>
    </row>
    <row r="6426" spans="1:3" x14ac:dyDescent="0.2">
      <c r="A6426" s="34">
        <v>36915</v>
      </c>
      <c r="B6426">
        <v>2.9352170000000002</v>
      </c>
      <c r="C6426">
        <f t="shared" si="105"/>
        <v>0</v>
      </c>
    </row>
    <row r="6427" spans="1:3" x14ac:dyDescent="0.2">
      <c r="A6427" s="34">
        <v>36914</v>
      </c>
      <c r="B6427">
        <v>2.9342869999999999</v>
      </c>
      <c r="C6427">
        <f t="shared" si="105"/>
        <v>0</v>
      </c>
    </row>
    <row r="6428" spans="1:3" x14ac:dyDescent="0.2">
      <c r="A6428" s="34">
        <v>36913</v>
      </c>
      <c r="B6428">
        <v>2.933357</v>
      </c>
      <c r="C6428">
        <f t="shared" si="105"/>
        <v>0</v>
      </c>
    </row>
    <row r="6429" spans="1:3" x14ac:dyDescent="0.2">
      <c r="A6429" s="34">
        <v>36912</v>
      </c>
      <c r="B6429">
        <v>2.9324279999999998</v>
      </c>
      <c r="C6429">
        <f t="shared" si="105"/>
        <v>0</v>
      </c>
    </row>
    <row r="6430" spans="1:3" x14ac:dyDescent="0.2">
      <c r="A6430" s="34">
        <v>36911</v>
      </c>
      <c r="B6430">
        <v>2.9314990000000001</v>
      </c>
      <c r="C6430">
        <f t="shared" si="105"/>
        <v>0</v>
      </c>
    </row>
    <row r="6431" spans="1:3" x14ac:dyDescent="0.2">
      <c r="A6431" s="34">
        <v>36910</v>
      </c>
      <c r="B6431">
        <v>2.9305699999999999</v>
      </c>
      <c r="C6431">
        <f t="shared" si="105"/>
        <v>0</v>
      </c>
    </row>
    <row r="6432" spans="1:3" x14ac:dyDescent="0.2">
      <c r="A6432" s="34">
        <v>36909</v>
      </c>
      <c r="B6432">
        <v>2.9296410000000002</v>
      </c>
      <c r="C6432">
        <f t="shared" si="105"/>
        <v>0</v>
      </c>
    </row>
    <row r="6433" spans="1:3" x14ac:dyDescent="0.2">
      <c r="A6433" s="34">
        <v>36908</v>
      </c>
      <c r="B6433">
        <v>2.9287130000000001</v>
      </c>
      <c r="C6433">
        <f t="shared" si="105"/>
        <v>0</v>
      </c>
    </row>
    <row r="6434" spans="1:3" x14ac:dyDescent="0.2">
      <c r="A6434" s="34">
        <v>36907</v>
      </c>
      <c r="B6434">
        <v>2.9277850000000001</v>
      </c>
      <c r="C6434">
        <f t="shared" si="105"/>
        <v>0</v>
      </c>
    </row>
    <row r="6435" spans="1:3" x14ac:dyDescent="0.2">
      <c r="A6435" s="34">
        <v>36906</v>
      </c>
      <c r="B6435">
        <v>2.9268580000000002</v>
      </c>
      <c r="C6435">
        <f t="shared" si="105"/>
        <v>0</v>
      </c>
    </row>
    <row r="6436" spans="1:3" x14ac:dyDescent="0.2">
      <c r="A6436" s="34">
        <v>36905</v>
      </c>
      <c r="B6436">
        <v>2.9259300000000001</v>
      </c>
      <c r="C6436">
        <f t="shared" si="105"/>
        <v>0</v>
      </c>
    </row>
    <row r="6437" spans="1:3" x14ac:dyDescent="0.2">
      <c r="A6437" s="34">
        <v>36904</v>
      </c>
      <c r="B6437">
        <v>2.9250029999999998</v>
      </c>
      <c r="C6437">
        <f t="shared" si="105"/>
        <v>0</v>
      </c>
    </row>
    <row r="6438" spans="1:3" x14ac:dyDescent="0.2">
      <c r="A6438" s="34">
        <v>36903</v>
      </c>
      <c r="B6438">
        <v>2.9240759999999999</v>
      </c>
      <c r="C6438">
        <f t="shared" si="105"/>
        <v>0</v>
      </c>
    </row>
    <row r="6439" spans="1:3" x14ac:dyDescent="0.2">
      <c r="A6439" s="34">
        <v>36902</v>
      </c>
      <c r="B6439">
        <v>2.9231500000000001</v>
      </c>
      <c r="C6439">
        <f t="shared" si="105"/>
        <v>0</v>
      </c>
    </row>
    <row r="6440" spans="1:3" x14ac:dyDescent="0.2">
      <c r="A6440" s="34">
        <v>36901</v>
      </c>
      <c r="B6440">
        <v>2.9222239999999999</v>
      </c>
      <c r="C6440">
        <f t="shared" si="105"/>
        <v>0</v>
      </c>
    </row>
    <row r="6441" spans="1:3" x14ac:dyDescent="0.2">
      <c r="A6441" s="34">
        <v>36900</v>
      </c>
      <c r="B6441">
        <v>2.9209139999999998</v>
      </c>
      <c r="C6441">
        <f t="shared" si="105"/>
        <v>0</v>
      </c>
    </row>
    <row r="6442" spans="1:3" x14ac:dyDescent="0.2">
      <c r="A6442" s="34">
        <v>36899</v>
      </c>
      <c r="B6442">
        <v>2.9196059999999999</v>
      </c>
      <c r="C6442">
        <f t="shared" si="105"/>
        <v>0</v>
      </c>
    </row>
    <row r="6443" spans="1:3" x14ac:dyDescent="0.2">
      <c r="A6443" s="34">
        <v>36898</v>
      </c>
      <c r="B6443">
        <v>2.9182980000000001</v>
      </c>
      <c r="C6443">
        <f t="shared" si="105"/>
        <v>0</v>
      </c>
    </row>
    <row r="6444" spans="1:3" x14ac:dyDescent="0.2">
      <c r="A6444" s="34">
        <v>36897</v>
      </c>
      <c r="B6444">
        <v>2.9169900000000002</v>
      </c>
      <c r="C6444">
        <f t="shared" si="105"/>
        <v>0</v>
      </c>
    </row>
    <row r="6445" spans="1:3" x14ac:dyDescent="0.2">
      <c r="A6445" s="34">
        <v>36896</v>
      </c>
      <c r="B6445">
        <v>2.9156840000000002</v>
      </c>
      <c r="C6445">
        <f t="shared" si="105"/>
        <v>0</v>
      </c>
    </row>
    <row r="6446" spans="1:3" x14ac:dyDescent="0.2">
      <c r="A6446" s="34">
        <v>36895</v>
      </c>
      <c r="B6446">
        <v>2.914377</v>
      </c>
      <c r="C6446">
        <f t="shared" si="105"/>
        <v>0</v>
      </c>
    </row>
    <row r="6447" spans="1:3" x14ac:dyDescent="0.2">
      <c r="A6447" s="34">
        <v>36894</v>
      </c>
      <c r="B6447">
        <v>2.9130720000000001</v>
      </c>
      <c r="C6447">
        <f t="shared" si="105"/>
        <v>0</v>
      </c>
    </row>
    <row r="6448" spans="1:3" x14ac:dyDescent="0.2">
      <c r="A6448" s="34">
        <v>36893</v>
      </c>
      <c r="B6448">
        <v>2.9117660000000001</v>
      </c>
      <c r="C6448">
        <f t="shared" si="105"/>
        <v>0</v>
      </c>
    </row>
    <row r="6449" spans="1:3" x14ac:dyDescent="0.2">
      <c r="A6449" s="34">
        <v>36892</v>
      </c>
      <c r="B6449">
        <v>2.9104619999999999</v>
      </c>
      <c r="C6449">
        <f t="shared" si="105"/>
        <v>0</v>
      </c>
    </row>
    <row r="6450" spans="1:3" x14ac:dyDescent="0.2">
      <c r="A6450" s="34">
        <v>36891</v>
      </c>
      <c r="B6450">
        <v>2.9091580000000001</v>
      </c>
      <c r="C6450">
        <f t="shared" si="105"/>
        <v>0</v>
      </c>
    </row>
    <row r="6451" spans="1:3" x14ac:dyDescent="0.2">
      <c r="A6451" s="34">
        <v>36890</v>
      </c>
      <c r="B6451">
        <v>2.9078550000000001</v>
      </c>
      <c r="C6451">
        <f t="shared" si="105"/>
        <v>0</v>
      </c>
    </row>
    <row r="6452" spans="1:3" x14ac:dyDescent="0.2">
      <c r="A6452" s="34">
        <v>36889</v>
      </c>
      <c r="B6452">
        <v>2.906552</v>
      </c>
      <c r="C6452">
        <f t="shared" si="105"/>
        <v>0</v>
      </c>
    </row>
    <row r="6453" spans="1:3" x14ac:dyDescent="0.2">
      <c r="A6453" s="34">
        <v>36888</v>
      </c>
      <c r="B6453">
        <v>2.9052500000000001</v>
      </c>
      <c r="C6453">
        <f t="shared" si="105"/>
        <v>0</v>
      </c>
    </row>
    <row r="6454" spans="1:3" x14ac:dyDescent="0.2">
      <c r="A6454" s="34">
        <v>36887</v>
      </c>
      <c r="B6454">
        <v>2.9039480000000002</v>
      </c>
      <c r="C6454">
        <f t="shared" si="105"/>
        <v>0</v>
      </c>
    </row>
    <row r="6455" spans="1:3" x14ac:dyDescent="0.2">
      <c r="A6455" s="34">
        <v>36886</v>
      </c>
      <c r="B6455">
        <v>2.902647</v>
      </c>
      <c r="C6455">
        <f t="shared" si="105"/>
        <v>0</v>
      </c>
    </row>
    <row r="6456" spans="1:3" x14ac:dyDescent="0.2">
      <c r="A6456" s="34">
        <v>36885</v>
      </c>
      <c r="B6456">
        <v>2.9013469999999999</v>
      </c>
      <c r="C6456">
        <f t="shared" si="105"/>
        <v>0</v>
      </c>
    </row>
    <row r="6457" spans="1:3" x14ac:dyDescent="0.2">
      <c r="A6457" s="34">
        <v>36884</v>
      </c>
      <c r="B6457">
        <v>2.9008759999999998</v>
      </c>
      <c r="C6457">
        <f t="shared" si="105"/>
        <v>0</v>
      </c>
    </row>
    <row r="6458" spans="1:3" x14ac:dyDescent="0.2">
      <c r="A6458" s="34">
        <v>36883</v>
      </c>
      <c r="B6458">
        <v>2.9004050000000001</v>
      </c>
      <c r="C6458">
        <f t="shared" si="105"/>
        <v>0</v>
      </c>
    </row>
    <row r="6459" spans="1:3" x14ac:dyDescent="0.2">
      <c r="A6459" s="34">
        <v>36882</v>
      </c>
      <c r="B6459">
        <v>2.899934</v>
      </c>
      <c r="C6459">
        <f t="shared" si="105"/>
        <v>0</v>
      </c>
    </row>
    <row r="6460" spans="1:3" x14ac:dyDescent="0.2">
      <c r="A6460" s="34">
        <v>36881</v>
      </c>
      <c r="B6460">
        <v>2.8994629999999999</v>
      </c>
      <c r="C6460">
        <f t="shared" si="105"/>
        <v>0</v>
      </c>
    </row>
    <row r="6461" spans="1:3" x14ac:dyDescent="0.2">
      <c r="A6461" s="34">
        <v>36880</v>
      </c>
      <c r="B6461">
        <v>2.8989919999999998</v>
      </c>
      <c r="C6461">
        <f t="shared" si="105"/>
        <v>0</v>
      </c>
    </row>
    <row r="6462" spans="1:3" x14ac:dyDescent="0.2">
      <c r="A6462" s="34">
        <v>36879</v>
      </c>
      <c r="B6462">
        <v>2.8985219999999998</v>
      </c>
      <c r="C6462">
        <f t="shared" si="105"/>
        <v>0</v>
      </c>
    </row>
    <row r="6463" spans="1:3" x14ac:dyDescent="0.2">
      <c r="A6463" s="34">
        <v>36878</v>
      </c>
      <c r="B6463">
        <v>2.8980510000000002</v>
      </c>
      <c r="C6463">
        <f t="shared" si="105"/>
        <v>0</v>
      </c>
    </row>
    <row r="6464" spans="1:3" x14ac:dyDescent="0.2">
      <c r="A6464" s="34">
        <v>36877</v>
      </c>
      <c r="B6464">
        <v>2.89758</v>
      </c>
      <c r="C6464">
        <f t="shared" si="105"/>
        <v>0</v>
      </c>
    </row>
    <row r="6465" spans="1:3" x14ac:dyDescent="0.2">
      <c r="A6465" s="34">
        <v>36876</v>
      </c>
      <c r="B6465">
        <v>2.8971100000000001</v>
      </c>
      <c r="C6465">
        <f t="shared" si="105"/>
        <v>0</v>
      </c>
    </row>
    <row r="6466" spans="1:3" x14ac:dyDescent="0.2">
      <c r="A6466" s="34">
        <v>36875</v>
      </c>
      <c r="B6466">
        <v>2.8966400000000001</v>
      </c>
      <c r="C6466">
        <f t="shared" ref="C6466:C6529" si="106">IFERROR(VLOOKUP(A6466,$M$2:$N$3695,2,0),C6467)</f>
        <v>0</v>
      </c>
    </row>
    <row r="6467" spans="1:3" x14ac:dyDescent="0.2">
      <c r="A6467" s="34">
        <v>36874</v>
      </c>
      <c r="B6467">
        <v>2.896169</v>
      </c>
      <c r="C6467">
        <f t="shared" si="106"/>
        <v>0</v>
      </c>
    </row>
    <row r="6468" spans="1:3" x14ac:dyDescent="0.2">
      <c r="A6468" s="34">
        <v>36873</v>
      </c>
      <c r="B6468">
        <v>2.895699</v>
      </c>
      <c r="C6468">
        <f t="shared" si="106"/>
        <v>0</v>
      </c>
    </row>
    <row r="6469" spans="1:3" x14ac:dyDescent="0.2">
      <c r="A6469" s="34">
        <v>36872</v>
      </c>
      <c r="B6469">
        <v>2.8952290000000001</v>
      </c>
      <c r="C6469">
        <f t="shared" si="106"/>
        <v>0</v>
      </c>
    </row>
    <row r="6470" spans="1:3" x14ac:dyDescent="0.2">
      <c r="A6470" s="34">
        <v>36871</v>
      </c>
      <c r="B6470">
        <v>2.8947590000000001</v>
      </c>
      <c r="C6470">
        <f t="shared" si="106"/>
        <v>0</v>
      </c>
    </row>
    <row r="6471" spans="1:3" x14ac:dyDescent="0.2">
      <c r="A6471" s="34">
        <v>36870</v>
      </c>
      <c r="B6471">
        <v>2.8942890000000001</v>
      </c>
      <c r="C6471">
        <f t="shared" si="106"/>
        <v>0</v>
      </c>
    </row>
    <row r="6472" spans="1:3" x14ac:dyDescent="0.2">
      <c r="A6472" s="34">
        <v>36869</v>
      </c>
      <c r="B6472">
        <v>2.8932470000000001</v>
      </c>
      <c r="C6472">
        <f t="shared" si="106"/>
        <v>0</v>
      </c>
    </row>
    <row r="6473" spans="1:3" x14ac:dyDescent="0.2">
      <c r="A6473" s="34">
        <v>36868</v>
      </c>
      <c r="B6473">
        <v>2.8922059999999998</v>
      </c>
      <c r="C6473">
        <f t="shared" si="106"/>
        <v>0</v>
      </c>
    </row>
    <row r="6474" spans="1:3" x14ac:dyDescent="0.2">
      <c r="A6474" s="34">
        <v>36867</v>
      </c>
      <c r="B6474">
        <v>2.891165</v>
      </c>
      <c r="C6474">
        <f t="shared" si="106"/>
        <v>0</v>
      </c>
    </row>
    <row r="6475" spans="1:3" x14ac:dyDescent="0.2">
      <c r="A6475" s="34">
        <v>36866</v>
      </c>
      <c r="B6475">
        <v>2.8901249999999998</v>
      </c>
      <c r="C6475">
        <f t="shared" si="106"/>
        <v>0</v>
      </c>
    </row>
    <row r="6476" spans="1:3" x14ac:dyDescent="0.2">
      <c r="A6476" s="34">
        <v>36865</v>
      </c>
      <c r="B6476">
        <v>2.889084</v>
      </c>
      <c r="C6476">
        <f t="shared" si="106"/>
        <v>0</v>
      </c>
    </row>
    <row r="6477" spans="1:3" x14ac:dyDescent="0.2">
      <c r="A6477" s="34">
        <v>36864</v>
      </c>
      <c r="B6477">
        <v>2.888045</v>
      </c>
      <c r="C6477">
        <f t="shared" si="106"/>
        <v>0</v>
      </c>
    </row>
    <row r="6478" spans="1:3" x14ac:dyDescent="0.2">
      <c r="A6478" s="34">
        <v>36863</v>
      </c>
      <c r="B6478">
        <v>2.8870049999999998</v>
      </c>
      <c r="C6478">
        <f t="shared" si="106"/>
        <v>0</v>
      </c>
    </row>
    <row r="6479" spans="1:3" x14ac:dyDescent="0.2">
      <c r="A6479" s="34">
        <v>36862</v>
      </c>
      <c r="B6479">
        <v>2.8859659999999998</v>
      </c>
      <c r="C6479">
        <f t="shared" si="106"/>
        <v>0</v>
      </c>
    </row>
    <row r="6480" spans="1:3" x14ac:dyDescent="0.2">
      <c r="A6480" s="34">
        <v>36861</v>
      </c>
      <c r="B6480">
        <v>2.8849269999999998</v>
      </c>
      <c r="C6480">
        <f t="shared" si="106"/>
        <v>0</v>
      </c>
    </row>
    <row r="6481" spans="1:3" x14ac:dyDescent="0.2">
      <c r="A6481" s="34">
        <v>36860</v>
      </c>
      <c r="B6481">
        <v>2.8838889999999999</v>
      </c>
      <c r="C6481">
        <f t="shared" si="106"/>
        <v>0</v>
      </c>
    </row>
    <row r="6482" spans="1:3" x14ac:dyDescent="0.2">
      <c r="A6482" s="34">
        <v>36859</v>
      </c>
      <c r="B6482">
        <v>2.8828510000000001</v>
      </c>
      <c r="C6482">
        <f t="shared" si="106"/>
        <v>0</v>
      </c>
    </row>
    <row r="6483" spans="1:3" x14ac:dyDescent="0.2">
      <c r="A6483" s="34">
        <v>36858</v>
      </c>
      <c r="B6483">
        <v>2.8818139999999999</v>
      </c>
      <c r="C6483">
        <f t="shared" si="106"/>
        <v>0</v>
      </c>
    </row>
    <row r="6484" spans="1:3" x14ac:dyDescent="0.2">
      <c r="A6484" s="34">
        <v>36857</v>
      </c>
      <c r="B6484">
        <v>2.880776</v>
      </c>
      <c r="C6484">
        <f t="shared" si="106"/>
        <v>0</v>
      </c>
    </row>
    <row r="6485" spans="1:3" x14ac:dyDescent="0.2">
      <c r="A6485" s="34">
        <v>36856</v>
      </c>
      <c r="B6485">
        <v>2.87974</v>
      </c>
      <c r="C6485">
        <f t="shared" si="106"/>
        <v>0</v>
      </c>
    </row>
    <row r="6486" spans="1:3" x14ac:dyDescent="0.2">
      <c r="A6486" s="34">
        <v>36855</v>
      </c>
      <c r="B6486">
        <v>2.8787029999999998</v>
      </c>
      <c r="C6486">
        <f t="shared" si="106"/>
        <v>0</v>
      </c>
    </row>
    <row r="6487" spans="1:3" x14ac:dyDescent="0.2">
      <c r="A6487" s="34">
        <v>36854</v>
      </c>
      <c r="B6487">
        <v>2.877974</v>
      </c>
      <c r="C6487">
        <f t="shared" si="106"/>
        <v>0</v>
      </c>
    </row>
    <row r="6488" spans="1:3" x14ac:dyDescent="0.2">
      <c r="A6488" s="34">
        <v>36853</v>
      </c>
      <c r="B6488">
        <v>2.877246</v>
      </c>
      <c r="C6488">
        <f t="shared" si="106"/>
        <v>0</v>
      </c>
    </row>
    <row r="6489" spans="1:3" x14ac:dyDescent="0.2">
      <c r="A6489" s="34">
        <v>36852</v>
      </c>
      <c r="B6489">
        <v>2.8765170000000002</v>
      </c>
      <c r="C6489">
        <f t="shared" si="106"/>
        <v>0</v>
      </c>
    </row>
    <row r="6490" spans="1:3" x14ac:dyDescent="0.2">
      <c r="A6490" s="34">
        <v>36851</v>
      </c>
      <c r="B6490">
        <v>2.8757890000000002</v>
      </c>
      <c r="C6490">
        <f t="shared" si="106"/>
        <v>0</v>
      </c>
    </row>
    <row r="6491" spans="1:3" x14ac:dyDescent="0.2">
      <c r="A6491" s="34">
        <v>36850</v>
      </c>
      <c r="B6491">
        <v>2.8750610000000001</v>
      </c>
      <c r="C6491">
        <f t="shared" si="106"/>
        <v>0</v>
      </c>
    </row>
    <row r="6492" spans="1:3" x14ac:dyDescent="0.2">
      <c r="A6492" s="34">
        <v>36849</v>
      </c>
      <c r="B6492">
        <v>2.874333</v>
      </c>
      <c r="C6492">
        <f t="shared" si="106"/>
        <v>0</v>
      </c>
    </row>
    <row r="6493" spans="1:3" x14ac:dyDescent="0.2">
      <c r="A6493" s="34">
        <v>36848</v>
      </c>
      <c r="B6493">
        <v>2.873605</v>
      </c>
      <c r="C6493">
        <f t="shared" si="106"/>
        <v>0</v>
      </c>
    </row>
    <row r="6494" spans="1:3" x14ac:dyDescent="0.2">
      <c r="A6494" s="34">
        <v>36847</v>
      </c>
      <c r="B6494">
        <v>2.872878</v>
      </c>
      <c r="C6494">
        <f t="shared" si="106"/>
        <v>0</v>
      </c>
    </row>
    <row r="6495" spans="1:3" x14ac:dyDescent="0.2">
      <c r="A6495" s="34">
        <v>36846</v>
      </c>
      <c r="B6495">
        <v>2.87215</v>
      </c>
      <c r="C6495">
        <f t="shared" si="106"/>
        <v>0</v>
      </c>
    </row>
    <row r="6496" spans="1:3" x14ac:dyDescent="0.2">
      <c r="A6496" s="34">
        <v>36845</v>
      </c>
      <c r="B6496">
        <v>2.8714230000000001</v>
      </c>
      <c r="C6496">
        <f t="shared" si="106"/>
        <v>0</v>
      </c>
    </row>
    <row r="6497" spans="1:3" x14ac:dyDescent="0.2">
      <c r="A6497" s="34">
        <v>36844</v>
      </c>
      <c r="B6497">
        <v>2.8706960000000001</v>
      </c>
      <c r="C6497">
        <f t="shared" si="106"/>
        <v>0</v>
      </c>
    </row>
    <row r="6498" spans="1:3" x14ac:dyDescent="0.2">
      <c r="A6498" s="34">
        <v>36843</v>
      </c>
      <c r="B6498">
        <v>2.8699699999999999</v>
      </c>
      <c r="C6498">
        <f t="shared" si="106"/>
        <v>0</v>
      </c>
    </row>
    <row r="6499" spans="1:3" x14ac:dyDescent="0.2">
      <c r="A6499" s="34">
        <v>36842</v>
      </c>
      <c r="B6499">
        <v>2.869243</v>
      </c>
      <c r="C6499">
        <f t="shared" si="106"/>
        <v>0</v>
      </c>
    </row>
    <row r="6500" spans="1:3" x14ac:dyDescent="0.2">
      <c r="A6500" s="34">
        <v>36841</v>
      </c>
      <c r="B6500">
        <v>2.8685170000000002</v>
      </c>
      <c r="C6500">
        <f t="shared" si="106"/>
        <v>0</v>
      </c>
    </row>
    <row r="6501" spans="1:3" x14ac:dyDescent="0.2">
      <c r="A6501" s="34">
        <v>36840</v>
      </c>
      <c r="B6501">
        <v>2.8677899999999998</v>
      </c>
      <c r="C6501">
        <f t="shared" si="106"/>
        <v>0</v>
      </c>
    </row>
    <row r="6502" spans="1:3" x14ac:dyDescent="0.2">
      <c r="A6502" s="34">
        <v>36839</v>
      </c>
      <c r="B6502">
        <v>2.867003</v>
      </c>
      <c r="C6502">
        <f t="shared" si="106"/>
        <v>0</v>
      </c>
    </row>
    <row r="6503" spans="1:3" x14ac:dyDescent="0.2">
      <c r="A6503" s="34">
        <v>36838</v>
      </c>
      <c r="B6503">
        <v>2.8662160000000001</v>
      </c>
      <c r="C6503">
        <f t="shared" si="106"/>
        <v>0</v>
      </c>
    </row>
    <row r="6504" spans="1:3" x14ac:dyDescent="0.2">
      <c r="A6504" s="34">
        <v>36837</v>
      </c>
      <c r="B6504">
        <v>2.8654299999999999</v>
      </c>
      <c r="C6504">
        <f t="shared" si="106"/>
        <v>0</v>
      </c>
    </row>
    <row r="6505" spans="1:3" x14ac:dyDescent="0.2">
      <c r="A6505" s="34">
        <v>36836</v>
      </c>
      <c r="B6505">
        <v>2.8646440000000002</v>
      </c>
      <c r="C6505">
        <f t="shared" si="106"/>
        <v>0</v>
      </c>
    </row>
    <row r="6506" spans="1:3" x14ac:dyDescent="0.2">
      <c r="A6506" s="34">
        <v>36835</v>
      </c>
      <c r="B6506">
        <v>2.8638569999999999</v>
      </c>
      <c r="C6506">
        <f t="shared" si="106"/>
        <v>0</v>
      </c>
    </row>
    <row r="6507" spans="1:3" x14ac:dyDescent="0.2">
      <c r="A6507" s="34">
        <v>36834</v>
      </c>
      <c r="B6507">
        <v>2.8630710000000001</v>
      </c>
      <c r="C6507">
        <f t="shared" si="106"/>
        <v>0</v>
      </c>
    </row>
    <row r="6508" spans="1:3" x14ac:dyDescent="0.2">
      <c r="A6508" s="34">
        <v>36833</v>
      </c>
      <c r="B6508">
        <v>2.8622860000000001</v>
      </c>
      <c r="C6508">
        <f t="shared" si="106"/>
        <v>0</v>
      </c>
    </row>
    <row r="6509" spans="1:3" x14ac:dyDescent="0.2">
      <c r="A6509" s="34">
        <v>36832</v>
      </c>
      <c r="B6509">
        <v>2.8614999999999999</v>
      </c>
      <c r="C6509">
        <f t="shared" si="106"/>
        <v>0</v>
      </c>
    </row>
    <row r="6510" spans="1:3" x14ac:dyDescent="0.2">
      <c r="A6510" s="34">
        <v>36831</v>
      </c>
      <c r="B6510">
        <v>2.8607149999999999</v>
      </c>
      <c r="C6510">
        <f t="shared" si="106"/>
        <v>0</v>
      </c>
    </row>
    <row r="6511" spans="1:3" x14ac:dyDescent="0.2">
      <c r="A6511" s="34">
        <v>36830</v>
      </c>
      <c r="B6511">
        <v>2.8599299999999999</v>
      </c>
      <c r="C6511">
        <f t="shared" si="106"/>
        <v>0</v>
      </c>
    </row>
    <row r="6512" spans="1:3" x14ac:dyDescent="0.2">
      <c r="A6512" s="34">
        <v>36829</v>
      </c>
      <c r="B6512">
        <v>2.8591449999999998</v>
      </c>
      <c r="C6512">
        <f t="shared" si="106"/>
        <v>0</v>
      </c>
    </row>
    <row r="6513" spans="1:3" x14ac:dyDescent="0.2">
      <c r="A6513" s="34">
        <v>36828</v>
      </c>
      <c r="B6513">
        <v>2.8583599999999998</v>
      </c>
      <c r="C6513">
        <f t="shared" si="106"/>
        <v>0</v>
      </c>
    </row>
    <row r="6514" spans="1:3" x14ac:dyDescent="0.2">
      <c r="A6514" s="34">
        <v>36827</v>
      </c>
      <c r="B6514">
        <v>2.8575759999999999</v>
      </c>
      <c r="C6514">
        <f t="shared" si="106"/>
        <v>0</v>
      </c>
    </row>
    <row r="6515" spans="1:3" x14ac:dyDescent="0.2">
      <c r="A6515" s="34">
        <v>36826</v>
      </c>
      <c r="B6515">
        <v>2.856792</v>
      </c>
      <c r="C6515">
        <f t="shared" si="106"/>
        <v>0</v>
      </c>
    </row>
    <row r="6516" spans="1:3" x14ac:dyDescent="0.2">
      <c r="A6516" s="34">
        <v>36825</v>
      </c>
      <c r="B6516">
        <v>2.8560080000000001</v>
      </c>
      <c r="C6516">
        <f t="shared" si="106"/>
        <v>0</v>
      </c>
    </row>
    <row r="6517" spans="1:3" x14ac:dyDescent="0.2">
      <c r="A6517" s="34">
        <v>36824</v>
      </c>
      <c r="B6517">
        <v>2.8552240000000002</v>
      </c>
      <c r="C6517">
        <f t="shared" si="106"/>
        <v>0</v>
      </c>
    </row>
    <row r="6518" spans="1:3" x14ac:dyDescent="0.2">
      <c r="A6518" s="34">
        <v>36823</v>
      </c>
      <c r="B6518">
        <v>2.8550070000000001</v>
      </c>
      <c r="C6518">
        <f t="shared" si="106"/>
        <v>0</v>
      </c>
    </row>
    <row r="6519" spans="1:3" x14ac:dyDescent="0.2">
      <c r="A6519" s="34">
        <v>36822</v>
      </c>
      <c r="B6519">
        <v>2.8547899999999999</v>
      </c>
      <c r="C6519">
        <f t="shared" si="106"/>
        <v>0</v>
      </c>
    </row>
    <row r="6520" spans="1:3" x14ac:dyDescent="0.2">
      <c r="A6520" s="34">
        <v>36821</v>
      </c>
      <c r="B6520">
        <v>2.8545729999999998</v>
      </c>
      <c r="C6520">
        <f t="shared" si="106"/>
        <v>0</v>
      </c>
    </row>
    <row r="6521" spans="1:3" x14ac:dyDescent="0.2">
      <c r="A6521" s="34">
        <v>36820</v>
      </c>
      <c r="B6521">
        <v>2.8543560000000001</v>
      </c>
      <c r="C6521">
        <f t="shared" si="106"/>
        <v>0</v>
      </c>
    </row>
    <row r="6522" spans="1:3" x14ac:dyDescent="0.2">
      <c r="A6522" s="34">
        <v>36819</v>
      </c>
      <c r="B6522">
        <v>2.854139</v>
      </c>
      <c r="C6522">
        <f t="shared" si="106"/>
        <v>0</v>
      </c>
    </row>
    <row r="6523" spans="1:3" x14ac:dyDescent="0.2">
      <c r="A6523" s="34">
        <v>36818</v>
      </c>
      <c r="B6523">
        <v>2.8539219999999998</v>
      </c>
      <c r="C6523">
        <f t="shared" si="106"/>
        <v>0</v>
      </c>
    </row>
    <row r="6524" spans="1:3" x14ac:dyDescent="0.2">
      <c r="A6524" s="34">
        <v>36817</v>
      </c>
      <c r="B6524">
        <v>2.8537050000000002</v>
      </c>
      <c r="C6524">
        <f t="shared" si="106"/>
        <v>0</v>
      </c>
    </row>
    <row r="6525" spans="1:3" x14ac:dyDescent="0.2">
      <c r="A6525" s="34">
        <v>36816</v>
      </c>
      <c r="B6525">
        <v>2.853488</v>
      </c>
      <c r="C6525">
        <f t="shared" si="106"/>
        <v>0</v>
      </c>
    </row>
    <row r="6526" spans="1:3" x14ac:dyDescent="0.2">
      <c r="A6526" s="34">
        <v>36815</v>
      </c>
      <c r="B6526">
        <v>2.8532709999999999</v>
      </c>
      <c r="C6526">
        <f t="shared" si="106"/>
        <v>0</v>
      </c>
    </row>
    <row r="6527" spans="1:3" x14ac:dyDescent="0.2">
      <c r="A6527" s="34">
        <v>36814</v>
      </c>
      <c r="B6527">
        <v>2.8530540000000002</v>
      </c>
      <c r="C6527">
        <f t="shared" si="106"/>
        <v>0</v>
      </c>
    </row>
    <row r="6528" spans="1:3" x14ac:dyDescent="0.2">
      <c r="A6528" s="34">
        <v>36813</v>
      </c>
      <c r="B6528">
        <v>2.8528370000000001</v>
      </c>
      <c r="C6528">
        <f t="shared" si="106"/>
        <v>0</v>
      </c>
    </row>
    <row r="6529" spans="1:3" x14ac:dyDescent="0.2">
      <c r="A6529" s="34">
        <v>36812</v>
      </c>
      <c r="B6529">
        <v>2.8526199999999999</v>
      </c>
      <c r="C6529">
        <f t="shared" si="106"/>
        <v>0</v>
      </c>
    </row>
    <row r="6530" spans="1:3" x14ac:dyDescent="0.2">
      <c r="A6530" s="34">
        <v>36811</v>
      </c>
      <c r="B6530">
        <v>2.8524029999999998</v>
      </c>
      <c r="C6530">
        <f t="shared" ref="C6530:C6593" si="107">IFERROR(VLOOKUP(A6530,$M$2:$N$3695,2,0),C6531)</f>
        <v>0</v>
      </c>
    </row>
    <row r="6531" spans="1:3" x14ac:dyDescent="0.2">
      <c r="A6531" s="34">
        <v>36810</v>
      </c>
      <c r="B6531">
        <v>2.8521860000000001</v>
      </c>
      <c r="C6531">
        <f t="shared" si="107"/>
        <v>0</v>
      </c>
    </row>
    <row r="6532" spans="1:3" x14ac:dyDescent="0.2">
      <c r="A6532" s="34">
        <v>36809</v>
      </c>
      <c r="B6532">
        <v>2.851969</v>
      </c>
      <c r="C6532">
        <f t="shared" si="107"/>
        <v>0</v>
      </c>
    </row>
    <row r="6533" spans="1:3" x14ac:dyDescent="0.2">
      <c r="A6533" s="34">
        <v>36808</v>
      </c>
      <c r="B6533">
        <v>2.8511160000000002</v>
      </c>
      <c r="C6533">
        <f t="shared" si="107"/>
        <v>0</v>
      </c>
    </row>
    <row r="6534" spans="1:3" x14ac:dyDescent="0.2">
      <c r="A6534" s="34">
        <v>36807</v>
      </c>
      <c r="B6534">
        <v>2.8502640000000001</v>
      </c>
      <c r="C6534">
        <f t="shared" si="107"/>
        <v>0</v>
      </c>
    </row>
    <row r="6535" spans="1:3" x14ac:dyDescent="0.2">
      <c r="A6535" s="34">
        <v>36806</v>
      </c>
      <c r="B6535">
        <v>2.8494120000000001</v>
      </c>
      <c r="C6535">
        <f t="shared" si="107"/>
        <v>0</v>
      </c>
    </row>
    <row r="6536" spans="1:3" x14ac:dyDescent="0.2">
      <c r="A6536" s="34">
        <v>36805</v>
      </c>
      <c r="B6536">
        <v>2.8485589999999998</v>
      </c>
      <c r="C6536">
        <f t="shared" si="107"/>
        <v>0</v>
      </c>
    </row>
    <row r="6537" spans="1:3" x14ac:dyDescent="0.2">
      <c r="A6537" s="34">
        <v>36804</v>
      </c>
      <c r="B6537">
        <v>2.8477079999999999</v>
      </c>
      <c r="C6537">
        <f t="shared" si="107"/>
        <v>0</v>
      </c>
    </row>
    <row r="6538" spans="1:3" x14ac:dyDescent="0.2">
      <c r="A6538" s="34">
        <v>36803</v>
      </c>
      <c r="B6538">
        <v>2.8468559999999998</v>
      </c>
      <c r="C6538">
        <f t="shared" si="107"/>
        <v>0</v>
      </c>
    </row>
    <row r="6539" spans="1:3" x14ac:dyDescent="0.2">
      <c r="A6539" s="34">
        <v>36802</v>
      </c>
      <c r="B6539">
        <v>2.8460049999999999</v>
      </c>
      <c r="C6539">
        <f t="shared" si="107"/>
        <v>0</v>
      </c>
    </row>
    <row r="6540" spans="1:3" x14ac:dyDescent="0.2">
      <c r="A6540" s="34">
        <v>36801</v>
      </c>
      <c r="B6540">
        <v>2.8451529999999998</v>
      </c>
      <c r="C6540">
        <f t="shared" si="107"/>
        <v>0</v>
      </c>
    </row>
    <row r="6541" spans="1:3" x14ac:dyDescent="0.2">
      <c r="A6541" s="34">
        <v>36800</v>
      </c>
      <c r="B6541">
        <v>2.844303</v>
      </c>
      <c r="C6541">
        <f t="shared" si="107"/>
        <v>0</v>
      </c>
    </row>
    <row r="6542" spans="1:3" x14ac:dyDescent="0.2">
      <c r="A6542" s="34">
        <v>36799</v>
      </c>
      <c r="B6542">
        <v>2.8434520000000001</v>
      </c>
      <c r="C6542">
        <f t="shared" si="107"/>
        <v>0</v>
      </c>
    </row>
    <row r="6543" spans="1:3" x14ac:dyDescent="0.2">
      <c r="A6543" s="34">
        <v>36798</v>
      </c>
      <c r="B6543">
        <v>2.8426019999999999</v>
      </c>
      <c r="C6543">
        <f t="shared" si="107"/>
        <v>0</v>
      </c>
    </row>
    <row r="6544" spans="1:3" x14ac:dyDescent="0.2">
      <c r="A6544" s="34">
        <v>36797</v>
      </c>
      <c r="B6544">
        <v>2.8417520000000001</v>
      </c>
      <c r="C6544">
        <f t="shared" si="107"/>
        <v>0</v>
      </c>
    </row>
    <row r="6545" spans="1:3" x14ac:dyDescent="0.2">
      <c r="A6545" s="34">
        <v>36796</v>
      </c>
      <c r="B6545">
        <v>2.8409019999999998</v>
      </c>
      <c r="C6545">
        <f t="shared" si="107"/>
        <v>0</v>
      </c>
    </row>
    <row r="6546" spans="1:3" x14ac:dyDescent="0.2">
      <c r="A6546" s="34">
        <v>36795</v>
      </c>
      <c r="B6546">
        <v>2.840052</v>
      </c>
      <c r="C6546">
        <f t="shared" si="107"/>
        <v>0</v>
      </c>
    </row>
    <row r="6547" spans="1:3" x14ac:dyDescent="0.2">
      <c r="A6547" s="34">
        <v>36794</v>
      </c>
      <c r="B6547">
        <v>2.8392029999999999</v>
      </c>
      <c r="C6547">
        <f t="shared" si="107"/>
        <v>0</v>
      </c>
    </row>
    <row r="6548" spans="1:3" x14ac:dyDescent="0.2">
      <c r="A6548" s="34">
        <v>36793</v>
      </c>
      <c r="B6548">
        <v>2.8383609999999999</v>
      </c>
      <c r="C6548">
        <f t="shared" si="107"/>
        <v>0</v>
      </c>
    </row>
    <row r="6549" spans="1:3" x14ac:dyDescent="0.2">
      <c r="A6549" s="34">
        <v>36792</v>
      </c>
      <c r="B6549">
        <v>2.83752</v>
      </c>
      <c r="C6549">
        <f t="shared" si="107"/>
        <v>0</v>
      </c>
    </row>
    <row r="6550" spans="1:3" x14ac:dyDescent="0.2">
      <c r="A6550" s="34">
        <v>36791</v>
      </c>
      <c r="B6550">
        <v>2.836678</v>
      </c>
      <c r="C6550">
        <f t="shared" si="107"/>
        <v>0</v>
      </c>
    </row>
    <row r="6551" spans="1:3" x14ac:dyDescent="0.2">
      <c r="A6551" s="34">
        <v>36790</v>
      </c>
      <c r="B6551">
        <v>2.8358370000000002</v>
      </c>
      <c r="C6551">
        <f t="shared" si="107"/>
        <v>0</v>
      </c>
    </row>
    <row r="6552" spans="1:3" x14ac:dyDescent="0.2">
      <c r="A6552" s="34">
        <v>36789</v>
      </c>
      <c r="B6552">
        <v>2.8349959999999998</v>
      </c>
      <c r="C6552">
        <f t="shared" si="107"/>
        <v>0</v>
      </c>
    </row>
    <row r="6553" spans="1:3" x14ac:dyDescent="0.2">
      <c r="A6553" s="34">
        <v>36788</v>
      </c>
      <c r="B6553">
        <v>2.8341560000000001</v>
      </c>
      <c r="C6553">
        <f t="shared" si="107"/>
        <v>0</v>
      </c>
    </row>
    <row r="6554" spans="1:3" x14ac:dyDescent="0.2">
      <c r="A6554" s="34">
        <v>36787</v>
      </c>
      <c r="B6554">
        <v>2.8333159999999999</v>
      </c>
      <c r="C6554">
        <f t="shared" si="107"/>
        <v>0</v>
      </c>
    </row>
    <row r="6555" spans="1:3" x14ac:dyDescent="0.2">
      <c r="A6555" s="34">
        <v>36786</v>
      </c>
      <c r="B6555">
        <v>2.8324750000000001</v>
      </c>
      <c r="C6555">
        <f t="shared" si="107"/>
        <v>0</v>
      </c>
    </row>
    <row r="6556" spans="1:3" x14ac:dyDescent="0.2">
      <c r="A6556" s="34">
        <v>36785</v>
      </c>
      <c r="B6556">
        <v>2.831636</v>
      </c>
      <c r="C6556">
        <f t="shared" si="107"/>
        <v>0</v>
      </c>
    </row>
    <row r="6557" spans="1:3" x14ac:dyDescent="0.2">
      <c r="A6557" s="34">
        <v>36784</v>
      </c>
      <c r="B6557">
        <v>2.8307959999999999</v>
      </c>
      <c r="C6557">
        <f t="shared" si="107"/>
        <v>0</v>
      </c>
    </row>
    <row r="6558" spans="1:3" x14ac:dyDescent="0.2">
      <c r="A6558" s="34">
        <v>36783</v>
      </c>
      <c r="B6558">
        <v>2.8299569999999998</v>
      </c>
      <c r="C6558">
        <f t="shared" si="107"/>
        <v>0</v>
      </c>
    </row>
    <row r="6559" spans="1:3" x14ac:dyDescent="0.2">
      <c r="A6559" s="34">
        <v>36782</v>
      </c>
      <c r="B6559">
        <v>2.8291179999999998</v>
      </c>
      <c r="C6559">
        <f t="shared" si="107"/>
        <v>0</v>
      </c>
    </row>
    <row r="6560" spans="1:3" x14ac:dyDescent="0.2">
      <c r="A6560" s="34">
        <v>36781</v>
      </c>
      <c r="B6560">
        <v>2.8282790000000002</v>
      </c>
      <c r="C6560">
        <f t="shared" si="107"/>
        <v>0</v>
      </c>
    </row>
    <row r="6561" spans="1:3" x14ac:dyDescent="0.2">
      <c r="A6561" s="34">
        <v>36780</v>
      </c>
      <c r="B6561">
        <v>2.8274400000000002</v>
      </c>
      <c r="C6561">
        <f t="shared" si="107"/>
        <v>0</v>
      </c>
    </row>
    <row r="6562" spans="1:3" x14ac:dyDescent="0.2">
      <c r="A6562" s="34">
        <v>36779</v>
      </c>
      <c r="B6562">
        <v>2.8266019999999998</v>
      </c>
      <c r="C6562">
        <f t="shared" si="107"/>
        <v>0</v>
      </c>
    </row>
    <row r="6563" spans="1:3" x14ac:dyDescent="0.2">
      <c r="A6563" s="34">
        <v>36778</v>
      </c>
      <c r="B6563">
        <v>2.8261430000000001</v>
      </c>
      <c r="C6563">
        <f t="shared" si="107"/>
        <v>0</v>
      </c>
    </row>
    <row r="6564" spans="1:3" x14ac:dyDescent="0.2">
      <c r="A6564" s="34">
        <v>36777</v>
      </c>
      <c r="B6564">
        <v>2.825685</v>
      </c>
      <c r="C6564">
        <f t="shared" si="107"/>
        <v>0</v>
      </c>
    </row>
    <row r="6565" spans="1:3" x14ac:dyDescent="0.2">
      <c r="A6565" s="34">
        <v>36776</v>
      </c>
      <c r="B6565">
        <v>2.8252269999999999</v>
      </c>
      <c r="C6565">
        <f t="shared" si="107"/>
        <v>0</v>
      </c>
    </row>
    <row r="6566" spans="1:3" x14ac:dyDescent="0.2">
      <c r="A6566" s="34">
        <v>36775</v>
      </c>
      <c r="B6566">
        <v>2.8247680000000002</v>
      </c>
      <c r="C6566">
        <f t="shared" si="107"/>
        <v>0</v>
      </c>
    </row>
    <row r="6567" spans="1:3" x14ac:dyDescent="0.2">
      <c r="A6567" s="34">
        <v>36774</v>
      </c>
      <c r="B6567">
        <v>2.8243100000000001</v>
      </c>
      <c r="C6567">
        <f t="shared" si="107"/>
        <v>0</v>
      </c>
    </row>
    <row r="6568" spans="1:3" x14ac:dyDescent="0.2">
      <c r="A6568" s="34">
        <v>36773</v>
      </c>
      <c r="B6568">
        <v>2.823852</v>
      </c>
      <c r="C6568">
        <f t="shared" si="107"/>
        <v>0</v>
      </c>
    </row>
    <row r="6569" spans="1:3" x14ac:dyDescent="0.2">
      <c r="A6569" s="34">
        <v>36772</v>
      </c>
      <c r="B6569">
        <v>2.823394</v>
      </c>
      <c r="C6569">
        <f t="shared" si="107"/>
        <v>0</v>
      </c>
    </row>
    <row r="6570" spans="1:3" x14ac:dyDescent="0.2">
      <c r="A6570" s="34">
        <v>36771</v>
      </c>
      <c r="B6570">
        <v>2.8229359999999999</v>
      </c>
      <c r="C6570">
        <f t="shared" si="107"/>
        <v>0</v>
      </c>
    </row>
    <row r="6571" spans="1:3" x14ac:dyDescent="0.2">
      <c r="A6571" s="34">
        <v>36770</v>
      </c>
      <c r="B6571">
        <v>2.8224779999999998</v>
      </c>
      <c r="C6571">
        <f t="shared" si="107"/>
        <v>0</v>
      </c>
    </row>
    <row r="6572" spans="1:3" x14ac:dyDescent="0.2">
      <c r="A6572" s="34">
        <v>36769</v>
      </c>
      <c r="B6572">
        <v>2.8220200000000002</v>
      </c>
      <c r="C6572">
        <f t="shared" si="107"/>
        <v>0</v>
      </c>
    </row>
    <row r="6573" spans="1:3" x14ac:dyDescent="0.2">
      <c r="A6573" s="34">
        <v>36768</v>
      </c>
      <c r="B6573">
        <v>2.8215620000000001</v>
      </c>
      <c r="C6573">
        <f t="shared" si="107"/>
        <v>0</v>
      </c>
    </row>
    <row r="6574" spans="1:3" x14ac:dyDescent="0.2">
      <c r="A6574" s="34">
        <v>36767</v>
      </c>
      <c r="B6574">
        <v>2.8211050000000002</v>
      </c>
      <c r="C6574">
        <f t="shared" si="107"/>
        <v>0</v>
      </c>
    </row>
    <row r="6575" spans="1:3" x14ac:dyDescent="0.2">
      <c r="A6575" s="34">
        <v>36766</v>
      </c>
      <c r="B6575">
        <v>2.8206470000000001</v>
      </c>
      <c r="C6575">
        <f t="shared" si="107"/>
        <v>0</v>
      </c>
    </row>
    <row r="6576" spans="1:3" x14ac:dyDescent="0.2">
      <c r="A6576" s="34">
        <v>36765</v>
      </c>
      <c r="B6576">
        <v>2.8201890000000001</v>
      </c>
      <c r="C6576">
        <f t="shared" si="107"/>
        <v>0</v>
      </c>
    </row>
    <row r="6577" spans="1:3" x14ac:dyDescent="0.2">
      <c r="A6577" s="34">
        <v>36764</v>
      </c>
      <c r="B6577">
        <v>2.8197320000000001</v>
      </c>
      <c r="C6577">
        <f t="shared" si="107"/>
        <v>0</v>
      </c>
    </row>
    <row r="6578" spans="1:3" x14ac:dyDescent="0.2">
      <c r="A6578" s="34">
        <v>36763</v>
      </c>
      <c r="B6578">
        <v>2.8192750000000002</v>
      </c>
      <c r="C6578">
        <f t="shared" si="107"/>
        <v>0</v>
      </c>
    </row>
    <row r="6579" spans="1:3" x14ac:dyDescent="0.2">
      <c r="A6579" s="34">
        <v>36762</v>
      </c>
      <c r="B6579">
        <v>2.8190270000000002</v>
      </c>
      <c r="C6579">
        <f t="shared" si="107"/>
        <v>0</v>
      </c>
    </row>
    <row r="6580" spans="1:3" x14ac:dyDescent="0.2">
      <c r="A6580" s="34">
        <v>36761</v>
      </c>
      <c r="B6580">
        <v>2.8187790000000001</v>
      </c>
      <c r="C6580">
        <f t="shared" si="107"/>
        <v>0</v>
      </c>
    </row>
    <row r="6581" spans="1:3" x14ac:dyDescent="0.2">
      <c r="A6581" s="34">
        <v>36760</v>
      </c>
      <c r="B6581">
        <v>2.8185310000000001</v>
      </c>
      <c r="C6581">
        <f t="shared" si="107"/>
        <v>0</v>
      </c>
    </row>
    <row r="6582" spans="1:3" x14ac:dyDescent="0.2">
      <c r="A6582" s="34">
        <v>36759</v>
      </c>
      <c r="B6582">
        <v>2.8182830000000001</v>
      </c>
      <c r="C6582">
        <f t="shared" si="107"/>
        <v>0</v>
      </c>
    </row>
    <row r="6583" spans="1:3" x14ac:dyDescent="0.2">
      <c r="A6583" s="34">
        <v>36758</v>
      </c>
      <c r="B6583">
        <v>2.8180350000000001</v>
      </c>
      <c r="C6583">
        <f t="shared" si="107"/>
        <v>0</v>
      </c>
    </row>
    <row r="6584" spans="1:3" x14ac:dyDescent="0.2">
      <c r="A6584" s="34">
        <v>36757</v>
      </c>
      <c r="B6584">
        <v>2.8177880000000002</v>
      </c>
      <c r="C6584">
        <f t="shared" si="107"/>
        <v>0</v>
      </c>
    </row>
    <row r="6585" spans="1:3" x14ac:dyDescent="0.2">
      <c r="A6585" s="34">
        <v>36756</v>
      </c>
      <c r="B6585">
        <v>2.8175400000000002</v>
      </c>
      <c r="C6585">
        <f t="shared" si="107"/>
        <v>0</v>
      </c>
    </row>
    <row r="6586" spans="1:3" x14ac:dyDescent="0.2">
      <c r="A6586" s="34">
        <v>36755</v>
      </c>
      <c r="B6586">
        <v>2.8172920000000001</v>
      </c>
      <c r="C6586">
        <f t="shared" si="107"/>
        <v>0</v>
      </c>
    </row>
    <row r="6587" spans="1:3" x14ac:dyDescent="0.2">
      <c r="A6587" s="34">
        <v>36754</v>
      </c>
      <c r="B6587">
        <v>2.8170440000000001</v>
      </c>
      <c r="C6587">
        <f t="shared" si="107"/>
        <v>0</v>
      </c>
    </row>
    <row r="6588" spans="1:3" x14ac:dyDescent="0.2">
      <c r="A6588" s="34">
        <v>36753</v>
      </c>
      <c r="B6588">
        <v>2.8167970000000002</v>
      </c>
      <c r="C6588">
        <f t="shared" si="107"/>
        <v>0</v>
      </c>
    </row>
    <row r="6589" spans="1:3" x14ac:dyDescent="0.2">
      <c r="A6589" s="34">
        <v>36752</v>
      </c>
      <c r="B6589">
        <v>2.8165490000000002</v>
      </c>
      <c r="C6589">
        <f t="shared" si="107"/>
        <v>0</v>
      </c>
    </row>
    <row r="6590" spans="1:3" x14ac:dyDescent="0.2">
      <c r="A6590" s="34">
        <v>36751</v>
      </c>
      <c r="B6590">
        <v>2.8163010000000002</v>
      </c>
      <c r="C6590">
        <f t="shared" si="107"/>
        <v>0</v>
      </c>
    </row>
    <row r="6591" spans="1:3" x14ac:dyDescent="0.2">
      <c r="A6591" s="34">
        <v>36750</v>
      </c>
      <c r="B6591">
        <v>2.8160539999999998</v>
      </c>
      <c r="C6591">
        <f t="shared" si="107"/>
        <v>0</v>
      </c>
    </row>
    <row r="6592" spans="1:3" x14ac:dyDescent="0.2">
      <c r="A6592" s="34">
        <v>36749</v>
      </c>
      <c r="B6592">
        <v>2.8158059999999998</v>
      </c>
      <c r="C6592">
        <f t="shared" si="107"/>
        <v>0</v>
      </c>
    </row>
    <row r="6593" spans="1:3" x14ac:dyDescent="0.2">
      <c r="A6593" s="34">
        <v>36748</v>
      </c>
      <c r="B6593">
        <v>2.8155589999999999</v>
      </c>
      <c r="C6593">
        <f t="shared" si="107"/>
        <v>0</v>
      </c>
    </row>
    <row r="6594" spans="1:3" x14ac:dyDescent="0.2">
      <c r="A6594" s="34">
        <v>36747</v>
      </c>
      <c r="B6594">
        <v>2.8151950000000001</v>
      </c>
      <c r="C6594">
        <f t="shared" ref="C6594:C6657" si="108">IFERROR(VLOOKUP(A6594,$M$2:$N$3695,2,0),C6595)</f>
        <v>0</v>
      </c>
    </row>
    <row r="6595" spans="1:3" x14ac:dyDescent="0.2">
      <c r="A6595" s="34">
        <v>36746</v>
      </c>
      <c r="B6595">
        <v>2.8148309999999999</v>
      </c>
      <c r="C6595">
        <f t="shared" si="108"/>
        <v>0</v>
      </c>
    </row>
    <row r="6596" spans="1:3" x14ac:dyDescent="0.2">
      <c r="A6596" s="34">
        <v>36745</v>
      </c>
      <c r="B6596">
        <v>2.8144680000000002</v>
      </c>
      <c r="C6596">
        <f t="shared" si="108"/>
        <v>0</v>
      </c>
    </row>
    <row r="6597" spans="1:3" x14ac:dyDescent="0.2">
      <c r="A6597" s="34">
        <v>36744</v>
      </c>
      <c r="B6597">
        <v>2.8141039999999999</v>
      </c>
      <c r="C6597">
        <f t="shared" si="108"/>
        <v>0</v>
      </c>
    </row>
    <row r="6598" spans="1:3" x14ac:dyDescent="0.2">
      <c r="A6598" s="34">
        <v>36743</v>
      </c>
      <c r="B6598">
        <v>2.8137409999999998</v>
      </c>
      <c r="C6598">
        <f t="shared" si="108"/>
        <v>0</v>
      </c>
    </row>
    <row r="6599" spans="1:3" x14ac:dyDescent="0.2">
      <c r="A6599" s="34">
        <v>36742</v>
      </c>
      <c r="B6599">
        <v>2.813377</v>
      </c>
      <c r="C6599">
        <f t="shared" si="108"/>
        <v>0</v>
      </c>
    </row>
    <row r="6600" spans="1:3" x14ac:dyDescent="0.2">
      <c r="A6600" s="34">
        <v>36741</v>
      </c>
      <c r="B6600">
        <v>2.8130139999999999</v>
      </c>
      <c r="C6600">
        <f t="shared" si="108"/>
        <v>0</v>
      </c>
    </row>
    <row r="6601" spans="1:3" x14ac:dyDescent="0.2">
      <c r="A6601" s="34">
        <v>36740</v>
      </c>
      <c r="B6601">
        <v>2.8126509999999998</v>
      </c>
      <c r="C6601">
        <f t="shared" si="108"/>
        <v>0</v>
      </c>
    </row>
    <row r="6602" spans="1:3" x14ac:dyDescent="0.2">
      <c r="A6602" s="34">
        <v>36739</v>
      </c>
      <c r="B6602">
        <v>2.812287</v>
      </c>
      <c r="C6602">
        <f t="shared" si="108"/>
        <v>0</v>
      </c>
    </row>
    <row r="6603" spans="1:3" x14ac:dyDescent="0.2">
      <c r="A6603" s="34">
        <v>36738</v>
      </c>
      <c r="B6603">
        <v>2.8119239999999999</v>
      </c>
      <c r="C6603">
        <f t="shared" si="108"/>
        <v>0</v>
      </c>
    </row>
    <row r="6604" spans="1:3" x14ac:dyDescent="0.2">
      <c r="A6604" s="34">
        <v>36737</v>
      </c>
      <c r="B6604">
        <v>2.8115610000000002</v>
      </c>
      <c r="C6604">
        <f t="shared" si="108"/>
        <v>0</v>
      </c>
    </row>
    <row r="6605" spans="1:3" x14ac:dyDescent="0.2">
      <c r="A6605" s="34">
        <v>36736</v>
      </c>
      <c r="B6605">
        <v>2.8111980000000001</v>
      </c>
      <c r="C6605">
        <f t="shared" si="108"/>
        <v>0</v>
      </c>
    </row>
    <row r="6606" spans="1:3" x14ac:dyDescent="0.2">
      <c r="A6606" s="34">
        <v>36735</v>
      </c>
      <c r="B6606">
        <v>2.8108339999999998</v>
      </c>
      <c r="C6606">
        <f t="shared" si="108"/>
        <v>0</v>
      </c>
    </row>
    <row r="6607" spans="1:3" x14ac:dyDescent="0.2">
      <c r="A6607" s="34">
        <v>36734</v>
      </c>
      <c r="B6607">
        <v>2.8104710000000002</v>
      </c>
      <c r="C6607">
        <f t="shared" si="108"/>
        <v>0</v>
      </c>
    </row>
    <row r="6608" spans="1:3" x14ac:dyDescent="0.2">
      <c r="A6608" s="34">
        <v>36733</v>
      </c>
      <c r="B6608">
        <v>2.8101080000000001</v>
      </c>
      <c r="C6608">
        <f t="shared" si="108"/>
        <v>0</v>
      </c>
    </row>
    <row r="6609" spans="1:3" x14ac:dyDescent="0.2">
      <c r="A6609" s="34">
        <v>36732</v>
      </c>
      <c r="B6609">
        <v>2.8097449999999999</v>
      </c>
      <c r="C6609">
        <f t="shared" si="108"/>
        <v>0</v>
      </c>
    </row>
    <row r="6610" spans="1:3" x14ac:dyDescent="0.2">
      <c r="A6610" s="34">
        <v>36731</v>
      </c>
      <c r="B6610">
        <v>2.8093089999999998</v>
      </c>
      <c r="C6610">
        <f t="shared" si="108"/>
        <v>0</v>
      </c>
    </row>
    <row r="6611" spans="1:3" x14ac:dyDescent="0.2">
      <c r="A6611" s="34">
        <v>36730</v>
      </c>
      <c r="B6611">
        <v>2.808872</v>
      </c>
      <c r="C6611">
        <f t="shared" si="108"/>
        <v>0</v>
      </c>
    </row>
    <row r="6612" spans="1:3" x14ac:dyDescent="0.2">
      <c r="A6612" s="34">
        <v>36729</v>
      </c>
      <c r="B6612">
        <v>2.8084349999999998</v>
      </c>
      <c r="C6612">
        <f t="shared" si="108"/>
        <v>0</v>
      </c>
    </row>
    <row r="6613" spans="1:3" x14ac:dyDescent="0.2">
      <c r="A6613" s="34">
        <v>36728</v>
      </c>
      <c r="B6613">
        <v>2.8079990000000001</v>
      </c>
      <c r="C6613">
        <f t="shared" si="108"/>
        <v>0</v>
      </c>
    </row>
    <row r="6614" spans="1:3" x14ac:dyDescent="0.2">
      <c r="A6614" s="34">
        <v>36727</v>
      </c>
      <c r="B6614">
        <v>2.8075619999999999</v>
      </c>
      <c r="C6614">
        <f t="shared" si="108"/>
        <v>0</v>
      </c>
    </row>
    <row r="6615" spans="1:3" x14ac:dyDescent="0.2">
      <c r="A6615" s="34">
        <v>36726</v>
      </c>
      <c r="B6615">
        <v>2.8071259999999998</v>
      </c>
      <c r="C6615">
        <f t="shared" si="108"/>
        <v>0</v>
      </c>
    </row>
    <row r="6616" spans="1:3" x14ac:dyDescent="0.2">
      <c r="A6616" s="34">
        <v>36725</v>
      </c>
      <c r="B6616">
        <v>2.8066900000000001</v>
      </c>
      <c r="C6616">
        <f t="shared" si="108"/>
        <v>0</v>
      </c>
    </row>
    <row r="6617" spans="1:3" x14ac:dyDescent="0.2">
      <c r="A6617" s="34">
        <v>36724</v>
      </c>
      <c r="B6617">
        <v>2.8062529999999999</v>
      </c>
      <c r="C6617">
        <f t="shared" si="108"/>
        <v>0</v>
      </c>
    </row>
    <row r="6618" spans="1:3" x14ac:dyDescent="0.2">
      <c r="A6618" s="34">
        <v>36723</v>
      </c>
      <c r="B6618">
        <v>2.8058169999999998</v>
      </c>
      <c r="C6618">
        <f t="shared" si="108"/>
        <v>0</v>
      </c>
    </row>
    <row r="6619" spans="1:3" x14ac:dyDescent="0.2">
      <c r="A6619" s="34">
        <v>36722</v>
      </c>
      <c r="B6619">
        <v>2.8053810000000001</v>
      </c>
      <c r="C6619">
        <f t="shared" si="108"/>
        <v>0</v>
      </c>
    </row>
    <row r="6620" spans="1:3" x14ac:dyDescent="0.2">
      <c r="A6620" s="34">
        <v>36721</v>
      </c>
      <c r="B6620">
        <v>2.804945</v>
      </c>
      <c r="C6620">
        <f t="shared" si="108"/>
        <v>0</v>
      </c>
    </row>
    <row r="6621" spans="1:3" x14ac:dyDescent="0.2">
      <c r="A6621" s="34">
        <v>36720</v>
      </c>
      <c r="B6621">
        <v>2.8045089999999999</v>
      </c>
      <c r="C6621">
        <f t="shared" si="108"/>
        <v>0</v>
      </c>
    </row>
    <row r="6622" spans="1:3" x14ac:dyDescent="0.2">
      <c r="A6622" s="34">
        <v>36719</v>
      </c>
      <c r="B6622">
        <v>2.8040729999999998</v>
      </c>
      <c r="C6622">
        <f t="shared" si="108"/>
        <v>0</v>
      </c>
    </row>
    <row r="6623" spans="1:3" x14ac:dyDescent="0.2">
      <c r="A6623" s="34">
        <v>36718</v>
      </c>
      <c r="B6623">
        <v>2.8036370000000002</v>
      </c>
      <c r="C6623">
        <f t="shared" si="108"/>
        <v>0</v>
      </c>
    </row>
    <row r="6624" spans="1:3" x14ac:dyDescent="0.2">
      <c r="A6624" s="34">
        <v>36717</v>
      </c>
      <c r="B6624">
        <v>2.8032010000000001</v>
      </c>
      <c r="C6624">
        <f t="shared" si="108"/>
        <v>0</v>
      </c>
    </row>
    <row r="6625" spans="1:3" x14ac:dyDescent="0.2">
      <c r="A6625" s="34">
        <v>36716</v>
      </c>
      <c r="B6625">
        <v>2.8024990000000001</v>
      </c>
      <c r="C6625">
        <f t="shared" si="108"/>
        <v>0</v>
      </c>
    </row>
    <row r="6626" spans="1:3" x14ac:dyDescent="0.2">
      <c r="A6626" s="34">
        <v>36715</v>
      </c>
      <c r="B6626">
        <v>2.801796</v>
      </c>
      <c r="C6626">
        <f t="shared" si="108"/>
        <v>0</v>
      </c>
    </row>
    <row r="6627" spans="1:3" x14ac:dyDescent="0.2">
      <c r="A6627" s="34">
        <v>36714</v>
      </c>
      <c r="B6627">
        <v>2.801094</v>
      </c>
      <c r="C6627">
        <f t="shared" si="108"/>
        <v>0</v>
      </c>
    </row>
    <row r="6628" spans="1:3" x14ac:dyDescent="0.2">
      <c r="A6628" s="34">
        <v>36713</v>
      </c>
      <c r="B6628">
        <v>2.800392</v>
      </c>
      <c r="C6628">
        <f t="shared" si="108"/>
        <v>0</v>
      </c>
    </row>
    <row r="6629" spans="1:3" x14ac:dyDescent="0.2">
      <c r="A6629" s="34">
        <v>36712</v>
      </c>
      <c r="B6629">
        <v>2.79969</v>
      </c>
      <c r="C6629">
        <f t="shared" si="108"/>
        <v>0</v>
      </c>
    </row>
    <row r="6630" spans="1:3" x14ac:dyDescent="0.2">
      <c r="A6630" s="34">
        <v>36711</v>
      </c>
      <c r="B6630">
        <v>2.798988</v>
      </c>
      <c r="C6630">
        <f t="shared" si="108"/>
        <v>0</v>
      </c>
    </row>
    <row r="6631" spans="1:3" x14ac:dyDescent="0.2">
      <c r="A6631" s="34">
        <v>36710</v>
      </c>
      <c r="B6631">
        <v>2.7982860000000001</v>
      </c>
      <c r="C6631">
        <f t="shared" si="108"/>
        <v>0</v>
      </c>
    </row>
    <row r="6632" spans="1:3" x14ac:dyDescent="0.2">
      <c r="A6632" s="34">
        <v>36709</v>
      </c>
      <c r="B6632">
        <v>2.7975850000000002</v>
      </c>
      <c r="C6632">
        <f t="shared" si="108"/>
        <v>0</v>
      </c>
    </row>
    <row r="6633" spans="1:3" x14ac:dyDescent="0.2">
      <c r="A6633" s="34">
        <v>36708</v>
      </c>
      <c r="B6633">
        <v>2.7968839999999999</v>
      </c>
      <c r="C6633">
        <f t="shared" si="108"/>
        <v>0</v>
      </c>
    </row>
    <row r="6634" spans="1:3" x14ac:dyDescent="0.2">
      <c r="A6634" s="34">
        <v>36707</v>
      </c>
      <c r="B6634">
        <v>2.7961830000000001</v>
      </c>
      <c r="C6634">
        <f t="shared" si="108"/>
        <v>0</v>
      </c>
    </row>
    <row r="6635" spans="1:3" x14ac:dyDescent="0.2">
      <c r="A6635" s="34">
        <v>36706</v>
      </c>
      <c r="B6635">
        <v>2.7954819999999998</v>
      </c>
      <c r="C6635">
        <f t="shared" si="108"/>
        <v>0</v>
      </c>
    </row>
    <row r="6636" spans="1:3" x14ac:dyDescent="0.2">
      <c r="A6636" s="34">
        <v>36705</v>
      </c>
      <c r="B6636">
        <v>2.794781</v>
      </c>
      <c r="C6636">
        <f t="shared" si="108"/>
        <v>0</v>
      </c>
    </row>
    <row r="6637" spans="1:3" x14ac:dyDescent="0.2">
      <c r="A6637" s="34">
        <v>36704</v>
      </c>
      <c r="B6637">
        <v>2.7940809999999998</v>
      </c>
      <c r="C6637">
        <f t="shared" si="108"/>
        <v>0</v>
      </c>
    </row>
    <row r="6638" spans="1:3" x14ac:dyDescent="0.2">
      <c r="A6638" s="34">
        <v>36703</v>
      </c>
      <c r="B6638">
        <v>2.79338</v>
      </c>
      <c r="C6638">
        <f t="shared" si="108"/>
        <v>0</v>
      </c>
    </row>
    <row r="6639" spans="1:3" x14ac:dyDescent="0.2">
      <c r="A6639" s="34">
        <v>36702</v>
      </c>
      <c r="B6639">
        <v>2.7926799999999998</v>
      </c>
      <c r="C6639">
        <f t="shared" si="108"/>
        <v>0</v>
      </c>
    </row>
    <row r="6640" spans="1:3" x14ac:dyDescent="0.2">
      <c r="A6640" s="34">
        <v>36701</v>
      </c>
      <c r="B6640">
        <v>2.7923149999999999</v>
      </c>
      <c r="C6640">
        <f t="shared" si="108"/>
        <v>0</v>
      </c>
    </row>
    <row r="6641" spans="1:3" x14ac:dyDescent="0.2">
      <c r="A6641" s="34">
        <v>36700</v>
      </c>
      <c r="B6641">
        <v>2.7919510000000001</v>
      </c>
      <c r="C6641">
        <f t="shared" si="108"/>
        <v>0</v>
      </c>
    </row>
    <row r="6642" spans="1:3" x14ac:dyDescent="0.2">
      <c r="A6642" s="34">
        <v>36699</v>
      </c>
      <c r="B6642">
        <v>2.7915860000000001</v>
      </c>
      <c r="C6642">
        <f t="shared" si="108"/>
        <v>0</v>
      </c>
    </row>
    <row r="6643" spans="1:3" x14ac:dyDescent="0.2">
      <c r="A6643" s="34">
        <v>36698</v>
      </c>
      <c r="B6643">
        <v>2.7912219999999999</v>
      </c>
      <c r="C6643">
        <f t="shared" si="108"/>
        <v>0</v>
      </c>
    </row>
    <row r="6644" spans="1:3" x14ac:dyDescent="0.2">
      <c r="A6644" s="34">
        <v>36697</v>
      </c>
      <c r="B6644">
        <v>2.7908569999999999</v>
      </c>
      <c r="C6644">
        <f t="shared" si="108"/>
        <v>0</v>
      </c>
    </row>
    <row r="6645" spans="1:3" x14ac:dyDescent="0.2">
      <c r="A6645" s="34">
        <v>36696</v>
      </c>
      <c r="B6645">
        <v>2.7904930000000001</v>
      </c>
      <c r="C6645">
        <f t="shared" si="108"/>
        <v>0</v>
      </c>
    </row>
    <row r="6646" spans="1:3" x14ac:dyDescent="0.2">
      <c r="A6646" s="34">
        <v>36695</v>
      </c>
      <c r="B6646">
        <v>2.7901280000000002</v>
      </c>
      <c r="C6646">
        <f t="shared" si="108"/>
        <v>0</v>
      </c>
    </row>
    <row r="6647" spans="1:3" x14ac:dyDescent="0.2">
      <c r="A6647" s="34">
        <v>36694</v>
      </c>
      <c r="B6647">
        <v>2.7897639999999999</v>
      </c>
      <c r="C6647">
        <f t="shared" si="108"/>
        <v>0</v>
      </c>
    </row>
    <row r="6648" spans="1:3" x14ac:dyDescent="0.2">
      <c r="A6648" s="34">
        <v>36693</v>
      </c>
      <c r="B6648">
        <v>2.7894000000000001</v>
      </c>
      <c r="C6648">
        <f t="shared" si="108"/>
        <v>0</v>
      </c>
    </row>
    <row r="6649" spans="1:3" x14ac:dyDescent="0.2">
      <c r="A6649" s="34">
        <v>36692</v>
      </c>
      <c r="B6649">
        <v>2.7890350000000002</v>
      </c>
      <c r="C6649">
        <f t="shared" si="108"/>
        <v>0</v>
      </c>
    </row>
    <row r="6650" spans="1:3" x14ac:dyDescent="0.2">
      <c r="A6650" s="34">
        <v>36691</v>
      </c>
      <c r="B6650">
        <v>2.7886709999999999</v>
      </c>
      <c r="C6650">
        <f t="shared" si="108"/>
        <v>0</v>
      </c>
    </row>
    <row r="6651" spans="1:3" x14ac:dyDescent="0.2">
      <c r="A6651" s="34">
        <v>36690</v>
      </c>
      <c r="B6651">
        <v>2.7883070000000001</v>
      </c>
      <c r="C6651">
        <f t="shared" si="108"/>
        <v>0</v>
      </c>
    </row>
    <row r="6652" spans="1:3" x14ac:dyDescent="0.2">
      <c r="A6652" s="34">
        <v>36689</v>
      </c>
      <c r="B6652">
        <v>2.7879429999999998</v>
      </c>
      <c r="C6652">
        <f t="shared" si="108"/>
        <v>0</v>
      </c>
    </row>
    <row r="6653" spans="1:3" x14ac:dyDescent="0.2">
      <c r="A6653" s="34">
        <v>36688</v>
      </c>
      <c r="B6653">
        <v>2.787579</v>
      </c>
      <c r="C6653">
        <f t="shared" si="108"/>
        <v>0</v>
      </c>
    </row>
    <row r="6654" spans="1:3" x14ac:dyDescent="0.2">
      <c r="A6654" s="34">
        <v>36687</v>
      </c>
      <c r="B6654">
        <v>2.7872150000000002</v>
      </c>
      <c r="C6654">
        <f t="shared" si="108"/>
        <v>0</v>
      </c>
    </row>
    <row r="6655" spans="1:3" x14ac:dyDescent="0.2">
      <c r="A6655" s="34">
        <v>36686</v>
      </c>
      <c r="B6655">
        <v>2.78694</v>
      </c>
      <c r="C6655">
        <f t="shared" si="108"/>
        <v>0</v>
      </c>
    </row>
    <row r="6656" spans="1:3" x14ac:dyDescent="0.2">
      <c r="A6656" s="34">
        <v>36685</v>
      </c>
      <c r="B6656">
        <v>2.786664</v>
      </c>
      <c r="C6656">
        <f t="shared" si="108"/>
        <v>0</v>
      </c>
    </row>
    <row r="6657" spans="1:3" x14ac:dyDescent="0.2">
      <c r="A6657" s="34">
        <v>36684</v>
      </c>
      <c r="B6657">
        <v>2.7863889999999998</v>
      </c>
      <c r="C6657">
        <f t="shared" si="108"/>
        <v>0</v>
      </c>
    </row>
    <row r="6658" spans="1:3" x14ac:dyDescent="0.2">
      <c r="A6658" s="34">
        <v>36683</v>
      </c>
      <c r="B6658">
        <v>2.7861129999999998</v>
      </c>
      <c r="C6658">
        <f t="shared" ref="C6658:C6721" si="109">IFERROR(VLOOKUP(A6658,$M$2:$N$3695,2,0),C6659)</f>
        <v>0</v>
      </c>
    </row>
    <row r="6659" spans="1:3" x14ac:dyDescent="0.2">
      <c r="A6659" s="34">
        <v>36682</v>
      </c>
      <c r="B6659">
        <v>2.785838</v>
      </c>
      <c r="C6659">
        <f t="shared" si="109"/>
        <v>0</v>
      </c>
    </row>
    <row r="6660" spans="1:3" x14ac:dyDescent="0.2">
      <c r="A6660" s="34">
        <v>36681</v>
      </c>
      <c r="B6660">
        <v>2.7855629999999998</v>
      </c>
      <c r="C6660">
        <f t="shared" si="109"/>
        <v>0</v>
      </c>
    </row>
    <row r="6661" spans="1:3" x14ac:dyDescent="0.2">
      <c r="A6661" s="34">
        <v>36680</v>
      </c>
      <c r="B6661">
        <v>2.785288</v>
      </c>
      <c r="C6661">
        <f t="shared" si="109"/>
        <v>0</v>
      </c>
    </row>
    <row r="6662" spans="1:3" x14ac:dyDescent="0.2">
      <c r="A6662" s="34">
        <v>36679</v>
      </c>
      <c r="B6662">
        <v>2.785012</v>
      </c>
      <c r="C6662">
        <f t="shared" si="109"/>
        <v>0</v>
      </c>
    </row>
    <row r="6663" spans="1:3" x14ac:dyDescent="0.2">
      <c r="A6663" s="34">
        <v>36678</v>
      </c>
      <c r="B6663">
        <v>2.7847369999999998</v>
      </c>
      <c r="C6663">
        <f t="shared" si="109"/>
        <v>0</v>
      </c>
    </row>
    <row r="6664" spans="1:3" x14ac:dyDescent="0.2">
      <c r="A6664" s="34">
        <v>36677</v>
      </c>
      <c r="B6664">
        <v>2.784462</v>
      </c>
      <c r="C6664">
        <f t="shared" si="109"/>
        <v>0</v>
      </c>
    </row>
    <row r="6665" spans="1:3" x14ac:dyDescent="0.2">
      <c r="A6665" s="34">
        <v>36676</v>
      </c>
      <c r="B6665">
        <v>2.7841870000000002</v>
      </c>
      <c r="C6665">
        <f t="shared" si="109"/>
        <v>0</v>
      </c>
    </row>
    <row r="6666" spans="1:3" x14ac:dyDescent="0.2">
      <c r="A6666" s="34">
        <v>36675</v>
      </c>
      <c r="B6666">
        <v>2.7839119999999999</v>
      </c>
      <c r="C6666">
        <f t="shared" si="109"/>
        <v>0</v>
      </c>
    </row>
    <row r="6667" spans="1:3" x14ac:dyDescent="0.2">
      <c r="A6667" s="34">
        <v>36674</v>
      </c>
      <c r="B6667">
        <v>2.7836370000000001</v>
      </c>
      <c r="C6667">
        <f t="shared" si="109"/>
        <v>0</v>
      </c>
    </row>
    <row r="6668" spans="1:3" x14ac:dyDescent="0.2">
      <c r="A6668" s="34">
        <v>36673</v>
      </c>
      <c r="B6668">
        <v>2.7833619999999999</v>
      </c>
      <c r="C6668">
        <f t="shared" si="109"/>
        <v>0</v>
      </c>
    </row>
    <row r="6669" spans="1:3" x14ac:dyDescent="0.2">
      <c r="A6669" s="34">
        <v>36672</v>
      </c>
      <c r="B6669">
        <v>2.7830870000000001</v>
      </c>
      <c r="C6669">
        <f t="shared" si="109"/>
        <v>0</v>
      </c>
    </row>
    <row r="6670" spans="1:3" x14ac:dyDescent="0.2">
      <c r="A6670" s="34">
        <v>36671</v>
      </c>
      <c r="B6670">
        <v>2.7828119999999998</v>
      </c>
      <c r="C6670">
        <f t="shared" si="109"/>
        <v>0</v>
      </c>
    </row>
    <row r="6671" spans="1:3" x14ac:dyDescent="0.2">
      <c r="A6671" s="34">
        <v>36670</v>
      </c>
      <c r="B6671">
        <v>2.7823769999999999</v>
      </c>
      <c r="C6671">
        <f t="shared" si="109"/>
        <v>0</v>
      </c>
    </row>
    <row r="6672" spans="1:3" x14ac:dyDescent="0.2">
      <c r="A6672" s="34">
        <v>36669</v>
      </c>
      <c r="B6672">
        <v>2.7819430000000001</v>
      </c>
      <c r="C6672">
        <f t="shared" si="109"/>
        <v>0</v>
      </c>
    </row>
    <row r="6673" spans="1:3" x14ac:dyDescent="0.2">
      <c r="A6673" s="34">
        <v>36668</v>
      </c>
      <c r="B6673">
        <v>2.7815080000000001</v>
      </c>
      <c r="C6673">
        <f t="shared" si="109"/>
        <v>0</v>
      </c>
    </row>
    <row r="6674" spans="1:3" x14ac:dyDescent="0.2">
      <c r="A6674" s="34">
        <v>36667</v>
      </c>
      <c r="B6674">
        <v>2.7810739999999998</v>
      </c>
      <c r="C6674">
        <f t="shared" si="109"/>
        <v>0</v>
      </c>
    </row>
    <row r="6675" spans="1:3" x14ac:dyDescent="0.2">
      <c r="A6675" s="34">
        <v>36666</v>
      </c>
      <c r="B6675">
        <v>2.78064</v>
      </c>
      <c r="C6675">
        <f t="shared" si="109"/>
        <v>0</v>
      </c>
    </row>
    <row r="6676" spans="1:3" x14ac:dyDescent="0.2">
      <c r="A6676" s="34">
        <v>36665</v>
      </c>
      <c r="B6676">
        <v>2.7802060000000002</v>
      </c>
      <c r="C6676">
        <f t="shared" si="109"/>
        <v>0</v>
      </c>
    </row>
    <row r="6677" spans="1:3" x14ac:dyDescent="0.2">
      <c r="A6677" s="34">
        <v>36664</v>
      </c>
      <c r="B6677">
        <v>2.7797719999999999</v>
      </c>
      <c r="C6677">
        <f t="shared" si="109"/>
        <v>0</v>
      </c>
    </row>
    <row r="6678" spans="1:3" x14ac:dyDescent="0.2">
      <c r="A6678" s="34">
        <v>36663</v>
      </c>
      <c r="B6678">
        <v>2.7793380000000001</v>
      </c>
      <c r="C6678">
        <f t="shared" si="109"/>
        <v>0</v>
      </c>
    </row>
    <row r="6679" spans="1:3" x14ac:dyDescent="0.2">
      <c r="A6679" s="34">
        <v>36662</v>
      </c>
      <c r="B6679">
        <v>2.7789039999999998</v>
      </c>
      <c r="C6679">
        <f t="shared" si="109"/>
        <v>0</v>
      </c>
    </row>
    <row r="6680" spans="1:3" x14ac:dyDescent="0.2">
      <c r="A6680" s="34">
        <v>36661</v>
      </c>
      <c r="B6680">
        <v>2.77847</v>
      </c>
      <c r="C6680">
        <f t="shared" si="109"/>
        <v>0</v>
      </c>
    </row>
    <row r="6681" spans="1:3" x14ac:dyDescent="0.2">
      <c r="A6681" s="34">
        <v>36660</v>
      </c>
      <c r="B6681">
        <v>2.7780369999999999</v>
      </c>
      <c r="C6681">
        <f t="shared" si="109"/>
        <v>0</v>
      </c>
    </row>
    <row r="6682" spans="1:3" x14ac:dyDescent="0.2">
      <c r="A6682" s="34">
        <v>36659</v>
      </c>
      <c r="B6682">
        <v>2.777603</v>
      </c>
      <c r="C6682">
        <f t="shared" si="109"/>
        <v>0</v>
      </c>
    </row>
    <row r="6683" spans="1:3" x14ac:dyDescent="0.2">
      <c r="A6683" s="34">
        <v>36658</v>
      </c>
      <c r="B6683">
        <v>2.7771690000000002</v>
      </c>
      <c r="C6683">
        <f t="shared" si="109"/>
        <v>0</v>
      </c>
    </row>
    <row r="6684" spans="1:3" x14ac:dyDescent="0.2">
      <c r="A6684" s="34">
        <v>36657</v>
      </c>
      <c r="B6684">
        <v>2.7767360000000001</v>
      </c>
      <c r="C6684">
        <f t="shared" si="109"/>
        <v>0</v>
      </c>
    </row>
    <row r="6685" spans="1:3" x14ac:dyDescent="0.2">
      <c r="A6685" s="34">
        <v>36656</v>
      </c>
      <c r="B6685">
        <v>2.7763019999999998</v>
      </c>
      <c r="C6685">
        <f t="shared" si="109"/>
        <v>0</v>
      </c>
    </row>
    <row r="6686" spans="1:3" x14ac:dyDescent="0.2">
      <c r="A6686" s="34">
        <v>36655</v>
      </c>
      <c r="B6686">
        <v>2.7756729999999998</v>
      </c>
      <c r="C6686">
        <f t="shared" si="109"/>
        <v>0</v>
      </c>
    </row>
    <row r="6687" spans="1:3" x14ac:dyDescent="0.2">
      <c r="A6687" s="34">
        <v>36654</v>
      </c>
      <c r="B6687">
        <v>2.775045</v>
      </c>
      <c r="C6687">
        <f t="shared" si="109"/>
        <v>0</v>
      </c>
    </row>
    <row r="6688" spans="1:3" x14ac:dyDescent="0.2">
      <c r="A6688" s="34">
        <v>36653</v>
      </c>
      <c r="B6688">
        <v>2.774416</v>
      </c>
      <c r="C6688">
        <f t="shared" si="109"/>
        <v>0</v>
      </c>
    </row>
    <row r="6689" spans="1:3" x14ac:dyDescent="0.2">
      <c r="A6689" s="34">
        <v>36652</v>
      </c>
      <c r="B6689">
        <v>2.7737880000000001</v>
      </c>
      <c r="C6689">
        <f t="shared" si="109"/>
        <v>0</v>
      </c>
    </row>
    <row r="6690" spans="1:3" x14ac:dyDescent="0.2">
      <c r="A6690" s="34">
        <v>36651</v>
      </c>
      <c r="B6690">
        <v>2.7731599999999998</v>
      </c>
      <c r="C6690">
        <f t="shared" si="109"/>
        <v>0</v>
      </c>
    </row>
    <row r="6691" spans="1:3" x14ac:dyDescent="0.2">
      <c r="A6691" s="34">
        <v>36650</v>
      </c>
      <c r="B6691">
        <v>2.772532</v>
      </c>
      <c r="C6691">
        <f t="shared" si="109"/>
        <v>0</v>
      </c>
    </row>
    <row r="6692" spans="1:3" x14ac:dyDescent="0.2">
      <c r="A6692" s="34">
        <v>36649</v>
      </c>
      <c r="B6692">
        <v>2.7719040000000001</v>
      </c>
      <c r="C6692">
        <f t="shared" si="109"/>
        <v>0</v>
      </c>
    </row>
    <row r="6693" spans="1:3" x14ac:dyDescent="0.2">
      <c r="A6693" s="34">
        <v>36648</v>
      </c>
      <c r="B6693">
        <v>2.7712759999999999</v>
      </c>
      <c r="C6693">
        <f t="shared" si="109"/>
        <v>0</v>
      </c>
    </row>
    <row r="6694" spans="1:3" x14ac:dyDescent="0.2">
      <c r="A6694" s="34">
        <v>36647</v>
      </c>
      <c r="B6694">
        <v>2.7706490000000001</v>
      </c>
      <c r="C6694">
        <f t="shared" si="109"/>
        <v>0</v>
      </c>
    </row>
    <row r="6695" spans="1:3" x14ac:dyDescent="0.2">
      <c r="A6695" s="34">
        <v>36646</v>
      </c>
      <c r="B6695">
        <v>2.7700209999999998</v>
      </c>
      <c r="C6695">
        <f t="shared" si="109"/>
        <v>0</v>
      </c>
    </row>
    <row r="6696" spans="1:3" x14ac:dyDescent="0.2">
      <c r="A6696" s="34">
        <v>36645</v>
      </c>
      <c r="B6696">
        <v>2.7693940000000001</v>
      </c>
      <c r="C6696">
        <f t="shared" si="109"/>
        <v>0</v>
      </c>
    </row>
    <row r="6697" spans="1:3" x14ac:dyDescent="0.2">
      <c r="A6697" s="34">
        <v>36644</v>
      </c>
      <c r="B6697">
        <v>2.768767</v>
      </c>
      <c r="C6697">
        <f t="shared" si="109"/>
        <v>0</v>
      </c>
    </row>
    <row r="6698" spans="1:3" x14ac:dyDescent="0.2">
      <c r="A6698" s="34">
        <v>36643</v>
      </c>
      <c r="B6698">
        <v>2.7681399999999998</v>
      </c>
      <c r="C6698">
        <f t="shared" si="109"/>
        <v>0</v>
      </c>
    </row>
    <row r="6699" spans="1:3" x14ac:dyDescent="0.2">
      <c r="A6699" s="34">
        <v>36642</v>
      </c>
      <c r="B6699">
        <v>2.7675130000000001</v>
      </c>
      <c r="C6699">
        <f t="shared" si="109"/>
        <v>0</v>
      </c>
    </row>
    <row r="6700" spans="1:3" x14ac:dyDescent="0.2">
      <c r="A6700" s="34">
        <v>36641</v>
      </c>
      <c r="B6700">
        <v>2.766886</v>
      </c>
      <c r="C6700">
        <f t="shared" si="109"/>
        <v>0</v>
      </c>
    </row>
    <row r="6701" spans="1:3" x14ac:dyDescent="0.2">
      <c r="A6701" s="34">
        <v>36640</v>
      </c>
      <c r="B6701">
        <v>2.7664789999999999</v>
      </c>
      <c r="C6701">
        <f t="shared" si="109"/>
        <v>0</v>
      </c>
    </row>
    <row r="6702" spans="1:3" x14ac:dyDescent="0.2">
      <c r="A6702" s="34">
        <v>36639</v>
      </c>
      <c r="B6702">
        <v>2.7660719999999999</v>
      </c>
      <c r="C6702">
        <f t="shared" si="109"/>
        <v>0</v>
      </c>
    </row>
    <row r="6703" spans="1:3" x14ac:dyDescent="0.2">
      <c r="A6703" s="34">
        <v>36638</v>
      </c>
      <c r="B6703">
        <v>2.7656649999999998</v>
      </c>
      <c r="C6703">
        <f t="shared" si="109"/>
        <v>0</v>
      </c>
    </row>
    <row r="6704" spans="1:3" x14ac:dyDescent="0.2">
      <c r="A6704" s="34">
        <v>36637</v>
      </c>
      <c r="B6704">
        <v>2.7652580000000002</v>
      </c>
      <c r="C6704">
        <f t="shared" si="109"/>
        <v>0</v>
      </c>
    </row>
    <row r="6705" spans="1:3" x14ac:dyDescent="0.2">
      <c r="A6705" s="34">
        <v>36636</v>
      </c>
      <c r="B6705">
        <v>2.7648510000000002</v>
      </c>
      <c r="C6705">
        <f t="shared" si="109"/>
        <v>0</v>
      </c>
    </row>
    <row r="6706" spans="1:3" x14ac:dyDescent="0.2">
      <c r="A6706" s="34">
        <v>36635</v>
      </c>
      <c r="B6706">
        <v>2.7644440000000001</v>
      </c>
      <c r="C6706">
        <f t="shared" si="109"/>
        <v>0</v>
      </c>
    </row>
    <row r="6707" spans="1:3" x14ac:dyDescent="0.2">
      <c r="A6707" s="34">
        <v>36634</v>
      </c>
      <c r="B6707">
        <v>2.7640380000000002</v>
      </c>
      <c r="C6707">
        <f t="shared" si="109"/>
        <v>0</v>
      </c>
    </row>
    <row r="6708" spans="1:3" x14ac:dyDescent="0.2">
      <c r="A6708" s="34">
        <v>36633</v>
      </c>
      <c r="B6708">
        <v>2.7636310000000002</v>
      </c>
      <c r="C6708">
        <f t="shared" si="109"/>
        <v>0</v>
      </c>
    </row>
    <row r="6709" spans="1:3" x14ac:dyDescent="0.2">
      <c r="A6709" s="34">
        <v>36632</v>
      </c>
      <c r="B6709">
        <v>2.7632240000000001</v>
      </c>
      <c r="C6709">
        <f t="shared" si="109"/>
        <v>0</v>
      </c>
    </row>
    <row r="6710" spans="1:3" x14ac:dyDescent="0.2">
      <c r="A6710" s="34">
        <v>36631</v>
      </c>
      <c r="B6710">
        <v>2.7628180000000002</v>
      </c>
      <c r="C6710">
        <f t="shared" si="109"/>
        <v>0</v>
      </c>
    </row>
    <row r="6711" spans="1:3" x14ac:dyDescent="0.2">
      <c r="A6711" s="34">
        <v>36630</v>
      </c>
      <c r="B6711">
        <v>2.7624110000000002</v>
      </c>
      <c r="C6711">
        <f t="shared" si="109"/>
        <v>0</v>
      </c>
    </row>
    <row r="6712" spans="1:3" x14ac:dyDescent="0.2">
      <c r="A6712" s="34">
        <v>36629</v>
      </c>
      <c r="B6712">
        <v>2.7620049999999998</v>
      </c>
      <c r="C6712">
        <f t="shared" si="109"/>
        <v>0</v>
      </c>
    </row>
    <row r="6713" spans="1:3" x14ac:dyDescent="0.2">
      <c r="A6713" s="34">
        <v>36628</v>
      </c>
      <c r="B6713">
        <v>2.7615980000000002</v>
      </c>
      <c r="C6713">
        <f t="shared" si="109"/>
        <v>0</v>
      </c>
    </row>
    <row r="6714" spans="1:3" x14ac:dyDescent="0.2">
      <c r="A6714" s="34">
        <v>36627</v>
      </c>
      <c r="B6714">
        <v>2.7611919999999999</v>
      </c>
      <c r="C6714">
        <f t="shared" si="109"/>
        <v>0</v>
      </c>
    </row>
    <row r="6715" spans="1:3" x14ac:dyDescent="0.2">
      <c r="A6715" s="34">
        <v>36626</v>
      </c>
      <c r="B6715">
        <v>2.760786</v>
      </c>
      <c r="C6715">
        <f t="shared" si="109"/>
        <v>0</v>
      </c>
    </row>
    <row r="6716" spans="1:3" x14ac:dyDescent="0.2">
      <c r="A6716" s="34">
        <v>36625</v>
      </c>
      <c r="B6716">
        <v>2.7602380000000002</v>
      </c>
      <c r="C6716">
        <f t="shared" si="109"/>
        <v>0</v>
      </c>
    </row>
    <row r="6717" spans="1:3" x14ac:dyDescent="0.2">
      <c r="A6717" s="34">
        <v>36624</v>
      </c>
      <c r="B6717">
        <v>2.75969</v>
      </c>
      <c r="C6717">
        <f t="shared" si="109"/>
        <v>0</v>
      </c>
    </row>
    <row r="6718" spans="1:3" x14ac:dyDescent="0.2">
      <c r="A6718" s="34">
        <v>36623</v>
      </c>
      <c r="B6718">
        <v>2.7591420000000002</v>
      </c>
      <c r="C6718">
        <f t="shared" si="109"/>
        <v>0</v>
      </c>
    </row>
    <row r="6719" spans="1:3" x14ac:dyDescent="0.2">
      <c r="A6719" s="34">
        <v>36622</v>
      </c>
      <c r="B6719">
        <v>2.7585950000000001</v>
      </c>
      <c r="C6719">
        <f t="shared" si="109"/>
        <v>0</v>
      </c>
    </row>
    <row r="6720" spans="1:3" x14ac:dyDescent="0.2">
      <c r="A6720" s="34">
        <v>36621</v>
      </c>
      <c r="B6720">
        <v>2.7580469999999999</v>
      </c>
      <c r="C6720">
        <f t="shared" si="109"/>
        <v>0</v>
      </c>
    </row>
    <row r="6721" spans="1:3" x14ac:dyDescent="0.2">
      <c r="A6721" s="34">
        <v>36620</v>
      </c>
      <c r="B6721">
        <v>2.7574999999999998</v>
      </c>
      <c r="C6721">
        <f t="shared" si="109"/>
        <v>0</v>
      </c>
    </row>
    <row r="6722" spans="1:3" x14ac:dyDescent="0.2">
      <c r="A6722" s="34">
        <v>36619</v>
      </c>
      <c r="B6722">
        <v>2.7569520000000001</v>
      </c>
      <c r="C6722">
        <f t="shared" ref="C6722:C6785" si="110">IFERROR(VLOOKUP(A6722,$M$2:$N$3695,2,0),C6723)</f>
        <v>0</v>
      </c>
    </row>
    <row r="6723" spans="1:3" x14ac:dyDescent="0.2">
      <c r="A6723" s="34">
        <v>36618</v>
      </c>
      <c r="B6723">
        <v>2.756405</v>
      </c>
      <c r="C6723">
        <f t="shared" si="110"/>
        <v>0</v>
      </c>
    </row>
    <row r="6724" spans="1:3" x14ac:dyDescent="0.2">
      <c r="A6724" s="34">
        <v>36617</v>
      </c>
      <c r="B6724">
        <v>2.7558579999999999</v>
      </c>
      <c r="C6724">
        <f t="shared" si="110"/>
        <v>0</v>
      </c>
    </row>
    <row r="6725" spans="1:3" x14ac:dyDescent="0.2">
      <c r="A6725" s="34">
        <v>36616</v>
      </c>
      <c r="B6725">
        <v>2.7553109999999998</v>
      </c>
      <c r="C6725">
        <f t="shared" si="110"/>
        <v>0</v>
      </c>
    </row>
    <row r="6726" spans="1:3" x14ac:dyDescent="0.2">
      <c r="A6726" s="34">
        <v>36615</v>
      </c>
      <c r="B6726">
        <v>2.7547640000000002</v>
      </c>
      <c r="C6726">
        <f t="shared" si="110"/>
        <v>0</v>
      </c>
    </row>
    <row r="6727" spans="1:3" x14ac:dyDescent="0.2">
      <c r="A6727" s="34">
        <v>36614</v>
      </c>
      <c r="B6727">
        <v>2.7542170000000001</v>
      </c>
      <c r="C6727">
        <f t="shared" si="110"/>
        <v>0</v>
      </c>
    </row>
    <row r="6728" spans="1:3" x14ac:dyDescent="0.2">
      <c r="A6728" s="34">
        <v>36613</v>
      </c>
      <c r="B6728">
        <v>2.7536710000000002</v>
      </c>
      <c r="C6728">
        <f t="shared" si="110"/>
        <v>0</v>
      </c>
    </row>
    <row r="6729" spans="1:3" x14ac:dyDescent="0.2">
      <c r="A6729" s="34">
        <v>36612</v>
      </c>
      <c r="B6729">
        <v>2.7531240000000001</v>
      </c>
      <c r="C6729">
        <f t="shared" si="110"/>
        <v>0</v>
      </c>
    </row>
    <row r="6730" spans="1:3" x14ac:dyDescent="0.2">
      <c r="A6730" s="34">
        <v>36611</v>
      </c>
      <c r="B6730">
        <v>2.7525780000000002</v>
      </c>
      <c r="C6730">
        <f t="shared" si="110"/>
        <v>0</v>
      </c>
    </row>
    <row r="6731" spans="1:3" x14ac:dyDescent="0.2">
      <c r="A6731" s="34">
        <v>36610</v>
      </c>
      <c r="B6731">
        <v>2.7520310000000001</v>
      </c>
      <c r="C6731">
        <f t="shared" si="110"/>
        <v>0</v>
      </c>
    </row>
    <row r="6732" spans="1:3" x14ac:dyDescent="0.2">
      <c r="A6732" s="34">
        <v>36609</v>
      </c>
      <c r="B6732">
        <v>2.7515719999999999</v>
      </c>
      <c r="C6732">
        <f t="shared" si="110"/>
        <v>0</v>
      </c>
    </row>
    <row r="6733" spans="1:3" x14ac:dyDescent="0.2">
      <c r="A6733" s="34">
        <v>36608</v>
      </c>
      <c r="B6733">
        <v>2.751112</v>
      </c>
      <c r="C6733">
        <f t="shared" si="110"/>
        <v>0</v>
      </c>
    </row>
    <row r="6734" spans="1:3" x14ac:dyDescent="0.2">
      <c r="A6734" s="34">
        <v>36607</v>
      </c>
      <c r="B6734">
        <v>2.7506529999999998</v>
      </c>
      <c r="C6734">
        <f t="shared" si="110"/>
        <v>0</v>
      </c>
    </row>
    <row r="6735" spans="1:3" x14ac:dyDescent="0.2">
      <c r="A6735" s="34">
        <v>36606</v>
      </c>
      <c r="B6735">
        <v>2.750194</v>
      </c>
      <c r="C6735">
        <f t="shared" si="110"/>
        <v>0</v>
      </c>
    </row>
    <row r="6736" spans="1:3" x14ac:dyDescent="0.2">
      <c r="A6736" s="34">
        <v>36605</v>
      </c>
      <c r="B6736">
        <v>2.7497349999999998</v>
      </c>
      <c r="C6736">
        <f t="shared" si="110"/>
        <v>0</v>
      </c>
    </row>
    <row r="6737" spans="1:3" x14ac:dyDescent="0.2">
      <c r="A6737" s="34">
        <v>36604</v>
      </c>
      <c r="B6737">
        <v>2.7492760000000001</v>
      </c>
      <c r="C6737">
        <f t="shared" si="110"/>
        <v>0</v>
      </c>
    </row>
    <row r="6738" spans="1:3" x14ac:dyDescent="0.2">
      <c r="A6738" s="34">
        <v>36603</v>
      </c>
      <c r="B6738">
        <v>2.7488169999999998</v>
      </c>
      <c r="C6738">
        <f t="shared" si="110"/>
        <v>0</v>
      </c>
    </row>
    <row r="6739" spans="1:3" x14ac:dyDescent="0.2">
      <c r="A6739" s="34">
        <v>36602</v>
      </c>
      <c r="B6739">
        <v>2.7483580000000001</v>
      </c>
      <c r="C6739">
        <f t="shared" si="110"/>
        <v>0</v>
      </c>
    </row>
    <row r="6740" spans="1:3" x14ac:dyDescent="0.2">
      <c r="A6740" s="34">
        <v>36601</v>
      </c>
      <c r="B6740">
        <v>2.7478989999999999</v>
      </c>
      <c r="C6740">
        <f t="shared" si="110"/>
        <v>0</v>
      </c>
    </row>
    <row r="6741" spans="1:3" x14ac:dyDescent="0.2">
      <c r="A6741" s="34">
        <v>36600</v>
      </c>
      <c r="B6741">
        <v>2.7474400000000001</v>
      </c>
      <c r="C6741">
        <f t="shared" si="110"/>
        <v>0</v>
      </c>
    </row>
    <row r="6742" spans="1:3" x14ac:dyDescent="0.2">
      <c r="A6742" s="34">
        <v>36599</v>
      </c>
      <c r="B6742">
        <v>2.746982</v>
      </c>
      <c r="C6742">
        <f t="shared" si="110"/>
        <v>0</v>
      </c>
    </row>
    <row r="6743" spans="1:3" x14ac:dyDescent="0.2">
      <c r="A6743" s="34">
        <v>36598</v>
      </c>
      <c r="B6743">
        <v>2.7465229999999998</v>
      </c>
      <c r="C6743">
        <f t="shared" si="110"/>
        <v>0</v>
      </c>
    </row>
    <row r="6744" spans="1:3" x14ac:dyDescent="0.2">
      <c r="A6744" s="34">
        <v>36597</v>
      </c>
      <c r="B6744">
        <v>2.7460640000000001</v>
      </c>
      <c r="C6744">
        <f t="shared" si="110"/>
        <v>0</v>
      </c>
    </row>
    <row r="6745" spans="1:3" x14ac:dyDescent="0.2">
      <c r="A6745" s="34">
        <v>36596</v>
      </c>
      <c r="B6745">
        <v>2.745606</v>
      </c>
      <c r="C6745">
        <f t="shared" si="110"/>
        <v>0</v>
      </c>
    </row>
    <row r="6746" spans="1:3" x14ac:dyDescent="0.2">
      <c r="A6746" s="34">
        <v>36595</v>
      </c>
      <c r="B6746">
        <v>2.7451479999999999</v>
      </c>
      <c r="C6746">
        <f t="shared" si="110"/>
        <v>0</v>
      </c>
    </row>
    <row r="6747" spans="1:3" x14ac:dyDescent="0.2">
      <c r="A6747" s="34">
        <v>36594</v>
      </c>
      <c r="B6747">
        <v>2.7441909999999998</v>
      </c>
      <c r="C6747">
        <f t="shared" si="110"/>
        <v>0</v>
      </c>
    </row>
    <row r="6748" spans="1:3" x14ac:dyDescent="0.2">
      <c r="A6748" s="34">
        <v>36593</v>
      </c>
      <c r="B6748">
        <v>2.7432349999999999</v>
      </c>
      <c r="C6748">
        <f t="shared" si="110"/>
        <v>0</v>
      </c>
    </row>
    <row r="6749" spans="1:3" x14ac:dyDescent="0.2">
      <c r="A6749" s="34">
        <v>36592</v>
      </c>
      <c r="B6749">
        <v>2.7422800000000001</v>
      </c>
      <c r="C6749">
        <f t="shared" si="110"/>
        <v>0</v>
      </c>
    </row>
    <row r="6750" spans="1:3" x14ac:dyDescent="0.2">
      <c r="A6750" s="34">
        <v>36591</v>
      </c>
      <c r="B6750">
        <v>2.7413240000000001</v>
      </c>
      <c r="C6750">
        <f t="shared" si="110"/>
        <v>0</v>
      </c>
    </row>
    <row r="6751" spans="1:3" x14ac:dyDescent="0.2">
      <c r="A6751" s="34">
        <v>36590</v>
      </c>
      <c r="B6751">
        <v>2.7403689999999998</v>
      </c>
      <c r="C6751">
        <f t="shared" si="110"/>
        <v>0</v>
      </c>
    </row>
    <row r="6752" spans="1:3" x14ac:dyDescent="0.2">
      <c r="A6752" s="34">
        <v>36589</v>
      </c>
      <c r="B6752">
        <v>2.7394150000000002</v>
      </c>
      <c r="C6752">
        <f t="shared" si="110"/>
        <v>0</v>
      </c>
    </row>
    <row r="6753" spans="1:3" x14ac:dyDescent="0.2">
      <c r="A6753" s="34">
        <v>36588</v>
      </c>
      <c r="B6753">
        <v>2.7384599999999999</v>
      </c>
      <c r="C6753">
        <f t="shared" si="110"/>
        <v>0</v>
      </c>
    </row>
    <row r="6754" spans="1:3" x14ac:dyDescent="0.2">
      <c r="A6754" s="34">
        <v>36587</v>
      </c>
      <c r="B6754">
        <v>2.7375060000000002</v>
      </c>
      <c r="C6754">
        <f t="shared" si="110"/>
        <v>0</v>
      </c>
    </row>
    <row r="6755" spans="1:3" x14ac:dyDescent="0.2">
      <c r="A6755" s="34">
        <v>36586</v>
      </c>
      <c r="B6755">
        <v>2.7365529999999998</v>
      </c>
      <c r="C6755">
        <f t="shared" si="110"/>
        <v>0</v>
      </c>
    </row>
    <row r="6756" spans="1:3" x14ac:dyDescent="0.2">
      <c r="A6756" s="34">
        <v>36585</v>
      </c>
      <c r="B6756">
        <v>2.7355990000000001</v>
      </c>
      <c r="C6756">
        <f t="shared" si="110"/>
        <v>0</v>
      </c>
    </row>
    <row r="6757" spans="1:3" x14ac:dyDescent="0.2">
      <c r="A6757" s="34">
        <v>36584</v>
      </c>
      <c r="B6757">
        <v>2.7346469999999998</v>
      </c>
      <c r="C6757">
        <f t="shared" si="110"/>
        <v>0</v>
      </c>
    </row>
    <row r="6758" spans="1:3" x14ac:dyDescent="0.2">
      <c r="A6758" s="34">
        <v>36583</v>
      </c>
      <c r="B6758">
        <v>2.7336939999999998</v>
      </c>
      <c r="C6758">
        <f t="shared" si="110"/>
        <v>0</v>
      </c>
    </row>
    <row r="6759" spans="1:3" x14ac:dyDescent="0.2">
      <c r="A6759" s="34">
        <v>36582</v>
      </c>
      <c r="B6759">
        <v>2.732742</v>
      </c>
      <c r="C6759">
        <f t="shared" si="110"/>
        <v>0</v>
      </c>
    </row>
    <row r="6760" spans="1:3" x14ac:dyDescent="0.2">
      <c r="A6760" s="34">
        <v>36581</v>
      </c>
      <c r="B6760">
        <v>2.7317900000000002</v>
      </c>
      <c r="C6760">
        <f t="shared" si="110"/>
        <v>0</v>
      </c>
    </row>
    <row r="6761" spans="1:3" x14ac:dyDescent="0.2">
      <c r="A6761" s="34">
        <v>36580</v>
      </c>
      <c r="B6761">
        <v>2.7308050000000001</v>
      </c>
      <c r="C6761">
        <f t="shared" si="110"/>
        <v>0</v>
      </c>
    </row>
    <row r="6762" spans="1:3" x14ac:dyDescent="0.2">
      <c r="A6762" s="34">
        <v>36579</v>
      </c>
      <c r="B6762">
        <v>2.7298209999999998</v>
      </c>
      <c r="C6762">
        <f t="shared" si="110"/>
        <v>0</v>
      </c>
    </row>
    <row r="6763" spans="1:3" x14ac:dyDescent="0.2">
      <c r="A6763" s="34">
        <v>36578</v>
      </c>
      <c r="B6763">
        <v>2.728837</v>
      </c>
      <c r="C6763">
        <f t="shared" si="110"/>
        <v>0</v>
      </c>
    </row>
    <row r="6764" spans="1:3" x14ac:dyDescent="0.2">
      <c r="A6764" s="34">
        <v>36577</v>
      </c>
      <c r="B6764">
        <v>2.7278530000000001</v>
      </c>
      <c r="C6764">
        <f t="shared" si="110"/>
        <v>0</v>
      </c>
    </row>
    <row r="6765" spans="1:3" x14ac:dyDescent="0.2">
      <c r="A6765" s="34">
        <v>36576</v>
      </c>
      <c r="B6765">
        <v>2.7268699999999999</v>
      </c>
      <c r="C6765">
        <f t="shared" si="110"/>
        <v>0</v>
      </c>
    </row>
    <row r="6766" spans="1:3" x14ac:dyDescent="0.2">
      <c r="A6766" s="34">
        <v>36575</v>
      </c>
      <c r="B6766">
        <v>2.7258870000000002</v>
      </c>
      <c r="C6766">
        <f t="shared" si="110"/>
        <v>0</v>
      </c>
    </row>
    <row r="6767" spans="1:3" x14ac:dyDescent="0.2">
      <c r="A6767" s="34">
        <v>36574</v>
      </c>
      <c r="B6767">
        <v>2.724904</v>
      </c>
      <c r="C6767">
        <f t="shared" si="110"/>
        <v>0</v>
      </c>
    </row>
    <row r="6768" spans="1:3" x14ac:dyDescent="0.2">
      <c r="A6768" s="34">
        <v>36573</v>
      </c>
      <c r="B6768">
        <v>2.723922</v>
      </c>
      <c r="C6768">
        <f t="shared" si="110"/>
        <v>0</v>
      </c>
    </row>
    <row r="6769" spans="1:3" x14ac:dyDescent="0.2">
      <c r="A6769" s="34">
        <v>36572</v>
      </c>
      <c r="B6769">
        <v>2.7229399999999999</v>
      </c>
      <c r="C6769">
        <f t="shared" si="110"/>
        <v>0</v>
      </c>
    </row>
    <row r="6770" spans="1:3" x14ac:dyDescent="0.2">
      <c r="A6770" s="34">
        <v>36571</v>
      </c>
      <c r="B6770">
        <v>2.721959</v>
      </c>
      <c r="C6770">
        <f t="shared" si="110"/>
        <v>0</v>
      </c>
    </row>
    <row r="6771" spans="1:3" x14ac:dyDescent="0.2">
      <c r="A6771" s="34">
        <v>36570</v>
      </c>
      <c r="B6771">
        <v>2.720977</v>
      </c>
      <c r="C6771">
        <f t="shared" si="110"/>
        <v>0</v>
      </c>
    </row>
    <row r="6772" spans="1:3" x14ac:dyDescent="0.2">
      <c r="A6772" s="34">
        <v>36569</v>
      </c>
      <c r="B6772">
        <v>2.7199970000000002</v>
      </c>
      <c r="C6772">
        <f t="shared" si="110"/>
        <v>0</v>
      </c>
    </row>
    <row r="6773" spans="1:3" x14ac:dyDescent="0.2">
      <c r="A6773" s="34">
        <v>36568</v>
      </c>
      <c r="B6773">
        <v>2.7190159999999999</v>
      </c>
      <c r="C6773">
        <f t="shared" si="110"/>
        <v>0</v>
      </c>
    </row>
    <row r="6774" spans="1:3" x14ac:dyDescent="0.2">
      <c r="A6774" s="34">
        <v>36567</v>
      </c>
      <c r="B6774">
        <v>2.7180360000000001</v>
      </c>
      <c r="C6774">
        <f t="shared" si="110"/>
        <v>0</v>
      </c>
    </row>
    <row r="6775" spans="1:3" x14ac:dyDescent="0.2">
      <c r="A6775" s="34">
        <v>36566</v>
      </c>
      <c r="B6775">
        <v>2.7170559999999999</v>
      </c>
      <c r="C6775">
        <f t="shared" si="110"/>
        <v>0</v>
      </c>
    </row>
    <row r="6776" spans="1:3" x14ac:dyDescent="0.2">
      <c r="A6776" s="34">
        <v>36565</v>
      </c>
      <c r="B6776">
        <v>2.7157930000000001</v>
      </c>
      <c r="C6776">
        <f t="shared" si="110"/>
        <v>0</v>
      </c>
    </row>
    <row r="6777" spans="1:3" x14ac:dyDescent="0.2">
      <c r="A6777" s="34">
        <v>36564</v>
      </c>
      <c r="B6777">
        <v>2.7145299999999999</v>
      </c>
      <c r="C6777">
        <f t="shared" si="110"/>
        <v>0</v>
      </c>
    </row>
    <row r="6778" spans="1:3" x14ac:dyDescent="0.2">
      <c r="A6778" s="34">
        <v>36563</v>
      </c>
      <c r="B6778">
        <v>2.7132679999999998</v>
      </c>
      <c r="C6778">
        <f t="shared" si="110"/>
        <v>0</v>
      </c>
    </row>
    <row r="6779" spans="1:3" x14ac:dyDescent="0.2">
      <c r="A6779" s="34">
        <v>36562</v>
      </c>
      <c r="B6779">
        <v>2.7120060000000001</v>
      </c>
      <c r="C6779">
        <f t="shared" si="110"/>
        <v>0</v>
      </c>
    </row>
    <row r="6780" spans="1:3" x14ac:dyDescent="0.2">
      <c r="A6780" s="34">
        <v>36561</v>
      </c>
      <c r="B6780">
        <v>2.7107450000000002</v>
      </c>
      <c r="C6780">
        <f t="shared" si="110"/>
        <v>0</v>
      </c>
    </row>
    <row r="6781" spans="1:3" x14ac:dyDescent="0.2">
      <c r="A6781" s="34">
        <v>36560</v>
      </c>
      <c r="B6781">
        <v>2.7094839999999998</v>
      </c>
      <c r="C6781">
        <f t="shared" si="110"/>
        <v>0</v>
      </c>
    </row>
    <row r="6782" spans="1:3" x14ac:dyDescent="0.2">
      <c r="A6782" s="34">
        <v>36559</v>
      </c>
      <c r="B6782">
        <v>2.708224</v>
      </c>
      <c r="C6782">
        <f t="shared" si="110"/>
        <v>0</v>
      </c>
    </row>
    <row r="6783" spans="1:3" x14ac:dyDescent="0.2">
      <c r="A6783" s="34">
        <v>36558</v>
      </c>
      <c r="B6783">
        <v>2.7069649999999998</v>
      </c>
      <c r="C6783">
        <f t="shared" si="110"/>
        <v>0</v>
      </c>
    </row>
    <row r="6784" spans="1:3" x14ac:dyDescent="0.2">
      <c r="A6784" s="34">
        <v>36557</v>
      </c>
      <c r="B6784">
        <v>2.7057060000000002</v>
      </c>
      <c r="C6784">
        <f t="shared" si="110"/>
        <v>0</v>
      </c>
    </row>
    <row r="6785" spans="1:3" x14ac:dyDescent="0.2">
      <c r="A6785" s="34">
        <v>36556</v>
      </c>
      <c r="B6785">
        <v>2.7044480000000002</v>
      </c>
      <c r="C6785">
        <f t="shared" si="110"/>
        <v>0</v>
      </c>
    </row>
    <row r="6786" spans="1:3" x14ac:dyDescent="0.2">
      <c r="A6786" s="34">
        <v>36555</v>
      </c>
      <c r="B6786">
        <v>2.7031900000000002</v>
      </c>
      <c r="C6786">
        <f t="shared" ref="C6786:C6849" si="111">IFERROR(VLOOKUP(A6786,$M$2:$N$3695,2,0),C6787)</f>
        <v>0</v>
      </c>
    </row>
    <row r="6787" spans="1:3" x14ac:dyDescent="0.2">
      <c r="A6787" s="34">
        <v>36554</v>
      </c>
      <c r="B6787">
        <v>2.7019329999999999</v>
      </c>
      <c r="C6787">
        <f t="shared" si="111"/>
        <v>0</v>
      </c>
    </row>
    <row r="6788" spans="1:3" x14ac:dyDescent="0.2">
      <c r="A6788" s="34">
        <v>36553</v>
      </c>
      <c r="B6788">
        <v>2.7006760000000001</v>
      </c>
      <c r="C6788">
        <f t="shared" si="111"/>
        <v>0</v>
      </c>
    </row>
    <row r="6789" spans="1:3" x14ac:dyDescent="0.2">
      <c r="A6789" s="34">
        <v>36552</v>
      </c>
      <c r="B6789">
        <v>2.6994199999999999</v>
      </c>
      <c r="C6789">
        <f t="shared" si="111"/>
        <v>0</v>
      </c>
    </row>
    <row r="6790" spans="1:3" x14ac:dyDescent="0.2">
      <c r="A6790" s="34">
        <v>36551</v>
      </c>
      <c r="B6790">
        <v>2.6981649999999999</v>
      </c>
      <c r="C6790">
        <f t="shared" si="111"/>
        <v>0</v>
      </c>
    </row>
    <row r="6791" spans="1:3" x14ac:dyDescent="0.2">
      <c r="A6791" s="34">
        <v>36550</v>
      </c>
      <c r="B6791">
        <v>2.6969099999999999</v>
      </c>
      <c r="C6791">
        <f t="shared" si="111"/>
        <v>0</v>
      </c>
    </row>
    <row r="6792" spans="1:3" x14ac:dyDescent="0.2">
      <c r="A6792" s="34">
        <v>36549</v>
      </c>
      <c r="B6792">
        <v>2.6957629999999999</v>
      </c>
      <c r="C6792">
        <f t="shared" si="111"/>
        <v>0</v>
      </c>
    </row>
    <row r="6793" spans="1:3" x14ac:dyDescent="0.2">
      <c r="A6793" s="34">
        <v>36548</v>
      </c>
      <c r="B6793">
        <v>2.6946159999999999</v>
      </c>
      <c r="C6793">
        <f t="shared" si="111"/>
        <v>0</v>
      </c>
    </row>
    <row r="6794" spans="1:3" x14ac:dyDescent="0.2">
      <c r="A6794" s="34">
        <v>36547</v>
      </c>
      <c r="B6794">
        <v>2.6934689999999999</v>
      </c>
      <c r="C6794">
        <f t="shared" si="111"/>
        <v>0</v>
      </c>
    </row>
    <row r="6795" spans="1:3" x14ac:dyDescent="0.2">
      <c r="A6795" s="34">
        <v>36546</v>
      </c>
      <c r="B6795">
        <v>2.692323</v>
      </c>
      <c r="C6795">
        <f t="shared" si="111"/>
        <v>0</v>
      </c>
    </row>
    <row r="6796" spans="1:3" x14ac:dyDescent="0.2">
      <c r="A6796" s="34">
        <v>36545</v>
      </c>
      <c r="B6796">
        <v>2.6911779999999998</v>
      </c>
      <c r="C6796">
        <f t="shared" si="111"/>
        <v>0</v>
      </c>
    </row>
    <row r="6797" spans="1:3" x14ac:dyDescent="0.2">
      <c r="A6797" s="34">
        <v>36544</v>
      </c>
      <c r="B6797">
        <v>2.6900330000000001</v>
      </c>
      <c r="C6797">
        <f t="shared" si="111"/>
        <v>0</v>
      </c>
    </row>
    <row r="6798" spans="1:3" x14ac:dyDescent="0.2">
      <c r="A6798" s="34">
        <v>36543</v>
      </c>
      <c r="B6798">
        <v>2.6888879999999999</v>
      </c>
      <c r="C6798">
        <f t="shared" si="111"/>
        <v>0</v>
      </c>
    </row>
    <row r="6799" spans="1:3" x14ac:dyDescent="0.2">
      <c r="A6799" s="34">
        <v>36542</v>
      </c>
      <c r="B6799">
        <v>2.6877439999999999</v>
      </c>
      <c r="C6799">
        <f t="shared" si="111"/>
        <v>0</v>
      </c>
    </row>
    <row r="6800" spans="1:3" x14ac:dyDescent="0.2">
      <c r="A6800" s="34">
        <v>36541</v>
      </c>
      <c r="B6800">
        <v>2.686601</v>
      </c>
      <c r="C6800">
        <f t="shared" si="111"/>
        <v>0</v>
      </c>
    </row>
    <row r="6801" spans="1:3" x14ac:dyDescent="0.2">
      <c r="A6801" s="34">
        <v>36540</v>
      </c>
      <c r="B6801">
        <v>2.6854580000000001</v>
      </c>
      <c r="C6801">
        <f t="shared" si="111"/>
        <v>0</v>
      </c>
    </row>
    <row r="6802" spans="1:3" x14ac:dyDescent="0.2">
      <c r="A6802" s="34">
        <v>36539</v>
      </c>
      <c r="B6802">
        <v>2.6843149999999998</v>
      </c>
      <c r="C6802">
        <f t="shared" si="111"/>
        <v>0</v>
      </c>
    </row>
    <row r="6803" spans="1:3" x14ac:dyDescent="0.2">
      <c r="A6803" s="34">
        <v>36538</v>
      </c>
      <c r="B6803">
        <v>2.683173</v>
      </c>
      <c r="C6803">
        <f t="shared" si="111"/>
        <v>0</v>
      </c>
    </row>
    <row r="6804" spans="1:3" x14ac:dyDescent="0.2">
      <c r="A6804" s="34">
        <v>36537</v>
      </c>
      <c r="B6804">
        <v>2.6820309999999998</v>
      </c>
      <c r="C6804">
        <f t="shared" si="111"/>
        <v>0</v>
      </c>
    </row>
    <row r="6805" spans="1:3" x14ac:dyDescent="0.2">
      <c r="A6805" s="34">
        <v>36536</v>
      </c>
      <c r="B6805">
        <v>2.6808900000000002</v>
      </c>
      <c r="C6805">
        <f t="shared" si="111"/>
        <v>0</v>
      </c>
    </row>
    <row r="6806" spans="1:3" x14ac:dyDescent="0.2">
      <c r="A6806" s="34">
        <v>36535</v>
      </c>
      <c r="B6806">
        <v>2.6797490000000002</v>
      </c>
      <c r="C6806">
        <f t="shared" si="111"/>
        <v>0</v>
      </c>
    </row>
    <row r="6807" spans="1:3" x14ac:dyDescent="0.2">
      <c r="A6807" s="34">
        <v>36534</v>
      </c>
      <c r="B6807">
        <v>2.6789000000000001</v>
      </c>
      <c r="C6807">
        <f t="shared" si="111"/>
        <v>0</v>
      </c>
    </row>
    <row r="6808" spans="1:3" x14ac:dyDescent="0.2">
      <c r="A6808" s="34">
        <v>36533</v>
      </c>
      <c r="B6808">
        <v>2.678051</v>
      </c>
      <c r="C6808">
        <f t="shared" si="111"/>
        <v>0</v>
      </c>
    </row>
    <row r="6809" spans="1:3" x14ac:dyDescent="0.2">
      <c r="A6809" s="34">
        <v>36532</v>
      </c>
      <c r="B6809">
        <v>2.6772019999999999</v>
      </c>
      <c r="C6809">
        <f t="shared" si="111"/>
        <v>0</v>
      </c>
    </row>
    <row r="6810" spans="1:3" x14ac:dyDescent="0.2">
      <c r="A6810" s="34">
        <v>36531</v>
      </c>
      <c r="B6810">
        <v>2.6763530000000002</v>
      </c>
      <c r="C6810">
        <f t="shared" si="111"/>
        <v>0</v>
      </c>
    </row>
    <row r="6811" spans="1:3" x14ac:dyDescent="0.2">
      <c r="A6811" s="34">
        <v>36530</v>
      </c>
      <c r="B6811">
        <v>2.6755049999999998</v>
      </c>
      <c r="C6811">
        <f t="shared" si="111"/>
        <v>0</v>
      </c>
    </row>
    <row r="6812" spans="1:3" x14ac:dyDescent="0.2">
      <c r="A6812" s="34">
        <v>36529</v>
      </c>
      <c r="B6812">
        <v>2.6746569999999998</v>
      </c>
      <c r="C6812">
        <f t="shared" si="111"/>
        <v>0</v>
      </c>
    </row>
    <row r="6813" spans="1:3" x14ac:dyDescent="0.2">
      <c r="A6813" s="34">
        <v>36528</v>
      </c>
      <c r="B6813">
        <v>2.6738089999999999</v>
      </c>
      <c r="C6813">
        <f t="shared" si="111"/>
        <v>0</v>
      </c>
    </row>
    <row r="6814" spans="1:3" x14ac:dyDescent="0.2">
      <c r="A6814" s="34">
        <v>36527</v>
      </c>
      <c r="B6814">
        <v>2.6729620000000001</v>
      </c>
      <c r="C6814">
        <f t="shared" si="111"/>
        <v>0</v>
      </c>
    </row>
    <row r="6815" spans="1:3" x14ac:dyDescent="0.2">
      <c r="A6815" s="34">
        <v>36526</v>
      </c>
      <c r="B6815">
        <v>2.6721140000000001</v>
      </c>
      <c r="C6815">
        <f t="shared" si="111"/>
        <v>0</v>
      </c>
    </row>
    <row r="6816" spans="1:3" x14ac:dyDescent="0.2">
      <c r="A6816" s="34">
        <v>36525</v>
      </c>
      <c r="B6816">
        <v>2.6712669999999998</v>
      </c>
      <c r="C6816">
        <f t="shared" si="111"/>
        <v>0</v>
      </c>
    </row>
    <row r="6817" spans="1:3" x14ac:dyDescent="0.2">
      <c r="A6817" s="34">
        <v>36524</v>
      </c>
      <c r="B6817">
        <v>2.6704210000000002</v>
      </c>
      <c r="C6817">
        <f t="shared" si="111"/>
        <v>0</v>
      </c>
    </row>
    <row r="6818" spans="1:3" x14ac:dyDescent="0.2">
      <c r="A6818" s="34">
        <v>36523</v>
      </c>
      <c r="B6818">
        <v>2.6695739999999999</v>
      </c>
      <c r="C6818">
        <f t="shared" si="111"/>
        <v>0</v>
      </c>
    </row>
    <row r="6819" spans="1:3" x14ac:dyDescent="0.2">
      <c r="A6819" s="34">
        <v>36522</v>
      </c>
      <c r="B6819">
        <v>2.6687280000000002</v>
      </c>
      <c r="C6819">
        <f t="shared" si="111"/>
        <v>0</v>
      </c>
    </row>
    <row r="6820" spans="1:3" x14ac:dyDescent="0.2">
      <c r="A6820" s="34">
        <v>36521</v>
      </c>
      <c r="B6820">
        <v>2.6678820000000001</v>
      </c>
      <c r="C6820">
        <f t="shared" si="111"/>
        <v>0</v>
      </c>
    </row>
    <row r="6821" spans="1:3" x14ac:dyDescent="0.2">
      <c r="A6821" s="34">
        <v>36520</v>
      </c>
      <c r="B6821">
        <v>2.667036</v>
      </c>
      <c r="C6821">
        <f t="shared" si="111"/>
        <v>0</v>
      </c>
    </row>
    <row r="6822" spans="1:3" x14ac:dyDescent="0.2">
      <c r="A6822" s="34">
        <v>36519</v>
      </c>
      <c r="B6822">
        <v>2.666191</v>
      </c>
      <c r="C6822">
        <f t="shared" si="111"/>
        <v>0</v>
      </c>
    </row>
    <row r="6823" spans="1:3" x14ac:dyDescent="0.2">
      <c r="A6823" s="34">
        <v>36518</v>
      </c>
      <c r="B6823">
        <v>2.6655869999999999</v>
      </c>
      <c r="C6823">
        <f t="shared" si="111"/>
        <v>0</v>
      </c>
    </row>
    <row r="6824" spans="1:3" x14ac:dyDescent="0.2">
      <c r="A6824" s="34">
        <v>36517</v>
      </c>
      <c r="B6824">
        <v>2.6649820000000002</v>
      </c>
      <c r="C6824">
        <f t="shared" si="111"/>
        <v>0</v>
      </c>
    </row>
    <row r="6825" spans="1:3" x14ac:dyDescent="0.2">
      <c r="A6825" s="34">
        <v>36516</v>
      </c>
      <c r="B6825">
        <v>2.6643780000000001</v>
      </c>
      <c r="C6825">
        <f t="shared" si="111"/>
        <v>0</v>
      </c>
    </row>
    <row r="6826" spans="1:3" x14ac:dyDescent="0.2">
      <c r="A6826" s="34">
        <v>36515</v>
      </c>
      <c r="B6826">
        <v>2.6637749999999998</v>
      </c>
      <c r="C6826">
        <f t="shared" si="111"/>
        <v>0</v>
      </c>
    </row>
    <row r="6827" spans="1:3" x14ac:dyDescent="0.2">
      <c r="A6827" s="34">
        <v>36514</v>
      </c>
      <c r="B6827">
        <v>2.6631710000000002</v>
      </c>
      <c r="C6827">
        <f t="shared" si="111"/>
        <v>0</v>
      </c>
    </row>
    <row r="6828" spans="1:3" x14ac:dyDescent="0.2">
      <c r="A6828" s="34">
        <v>36513</v>
      </c>
      <c r="B6828">
        <v>2.6625670000000001</v>
      </c>
      <c r="C6828">
        <f t="shared" si="111"/>
        <v>0</v>
      </c>
    </row>
    <row r="6829" spans="1:3" x14ac:dyDescent="0.2">
      <c r="A6829" s="34">
        <v>36512</v>
      </c>
      <c r="B6829">
        <v>2.6619640000000002</v>
      </c>
      <c r="C6829">
        <f t="shared" si="111"/>
        <v>0</v>
      </c>
    </row>
    <row r="6830" spans="1:3" x14ac:dyDescent="0.2">
      <c r="A6830" s="34">
        <v>36511</v>
      </c>
      <c r="B6830">
        <v>2.6613600000000002</v>
      </c>
      <c r="C6830">
        <f t="shared" si="111"/>
        <v>0</v>
      </c>
    </row>
    <row r="6831" spans="1:3" x14ac:dyDescent="0.2">
      <c r="A6831" s="34">
        <v>36510</v>
      </c>
      <c r="B6831">
        <v>2.6607569999999998</v>
      </c>
      <c r="C6831">
        <f t="shared" si="111"/>
        <v>0</v>
      </c>
    </row>
    <row r="6832" spans="1:3" x14ac:dyDescent="0.2">
      <c r="A6832" s="34">
        <v>36509</v>
      </c>
      <c r="B6832">
        <v>2.6601539999999999</v>
      </c>
      <c r="C6832">
        <f t="shared" si="111"/>
        <v>0</v>
      </c>
    </row>
    <row r="6833" spans="1:3" x14ac:dyDescent="0.2">
      <c r="A6833" s="34">
        <v>36508</v>
      </c>
      <c r="B6833">
        <v>2.659551</v>
      </c>
      <c r="C6833">
        <f t="shared" si="111"/>
        <v>0</v>
      </c>
    </row>
    <row r="6834" spans="1:3" x14ac:dyDescent="0.2">
      <c r="A6834" s="34">
        <v>36507</v>
      </c>
      <c r="B6834">
        <v>2.6589480000000001</v>
      </c>
      <c r="C6834">
        <f t="shared" si="111"/>
        <v>0</v>
      </c>
    </row>
    <row r="6835" spans="1:3" x14ac:dyDescent="0.2">
      <c r="A6835" s="34">
        <v>36506</v>
      </c>
      <c r="B6835">
        <v>2.6583450000000002</v>
      </c>
      <c r="C6835">
        <f t="shared" si="111"/>
        <v>0</v>
      </c>
    </row>
    <row r="6836" spans="1:3" x14ac:dyDescent="0.2">
      <c r="A6836" s="34">
        <v>36505</v>
      </c>
      <c r="B6836">
        <v>2.657743</v>
      </c>
      <c r="C6836">
        <f t="shared" si="111"/>
        <v>0</v>
      </c>
    </row>
    <row r="6837" spans="1:3" x14ac:dyDescent="0.2">
      <c r="A6837" s="34">
        <v>36504</v>
      </c>
      <c r="B6837">
        <v>2.6571410000000002</v>
      </c>
      <c r="C6837">
        <f t="shared" si="111"/>
        <v>0</v>
      </c>
    </row>
    <row r="6838" spans="1:3" x14ac:dyDescent="0.2">
      <c r="A6838" s="34">
        <v>36503</v>
      </c>
      <c r="B6838">
        <v>2.656069</v>
      </c>
      <c r="C6838">
        <f t="shared" si="111"/>
        <v>0</v>
      </c>
    </row>
    <row r="6839" spans="1:3" x14ac:dyDescent="0.2">
      <c r="A6839" s="34">
        <v>36502</v>
      </c>
      <c r="B6839">
        <v>2.6549990000000001</v>
      </c>
      <c r="C6839">
        <f t="shared" si="111"/>
        <v>0</v>
      </c>
    </row>
    <row r="6840" spans="1:3" x14ac:dyDescent="0.2">
      <c r="A6840" s="34">
        <v>36501</v>
      </c>
      <c r="B6840">
        <v>2.6539290000000002</v>
      </c>
      <c r="C6840">
        <f t="shared" si="111"/>
        <v>0</v>
      </c>
    </row>
    <row r="6841" spans="1:3" x14ac:dyDescent="0.2">
      <c r="A6841" s="34">
        <v>36500</v>
      </c>
      <c r="B6841">
        <v>2.6528589999999999</v>
      </c>
      <c r="C6841">
        <f t="shared" si="111"/>
        <v>0</v>
      </c>
    </row>
    <row r="6842" spans="1:3" x14ac:dyDescent="0.2">
      <c r="A6842" s="34">
        <v>36499</v>
      </c>
      <c r="B6842">
        <v>2.651789</v>
      </c>
      <c r="C6842">
        <f t="shared" si="111"/>
        <v>0</v>
      </c>
    </row>
    <row r="6843" spans="1:3" x14ac:dyDescent="0.2">
      <c r="A6843" s="34">
        <v>36498</v>
      </c>
      <c r="B6843">
        <v>2.6507200000000002</v>
      </c>
      <c r="C6843">
        <f t="shared" si="111"/>
        <v>0</v>
      </c>
    </row>
    <row r="6844" spans="1:3" x14ac:dyDescent="0.2">
      <c r="A6844" s="34">
        <v>36497</v>
      </c>
      <c r="B6844">
        <v>2.6496520000000001</v>
      </c>
      <c r="C6844">
        <f t="shared" si="111"/>
        <v>0</v>
      </c>
    </row>
    <row r="6845" spans="1:3" x14ac:dyDescent="0.2">
      <c r="A6845" s="34">
        <v>36496</v>
      </c>
      <c r="B6845">
        <v>2.648584</v>
      </c>
      <c r="C6845">
        <f t="shared" si="111"/>
        <v>0</v>
      </c>
    </row>
    <row r="6846" spans="1:3" x14ac:dyDescent="0.2">
      <c r="A6846" s="34">
        <v>36495</v>
      </c>
      <c r="B6846">
        <v>2.647516</v>
      </c>
      <c r="C6846">
        <f t="shared" si="111"/>
        <v>0</v>
      </c>
    </row>
    <row r="6847" spans="1:3" x14ac:dyDescent="0.2">
      <c r="A6847" s="34">
        <v>36494</v>
      </c>
      <c r="B6847">
        <v>2.6464490000000001</v>
      </c>
      <c r="C6847">
        <f t="shared" si="111"/>
        <v>0</v>
      </c>
    </row>
    <row r="6848" spans="1:3" x14ac:dyDescent="0.2">
      <c r="A6848" s="34">
        <v>36493</v>
      </c>
      <c r="B6848">
        <v>2.6453820000000001</v>
      </c>
      <c r="C6848">
        <f t="shared" si="111"/>
        <v>0</v>
      </c>
    </row>
    <row r="6849" spans="1:3" x14ac:dyDescent="0.2">
      <c r="A6849" s="34">
        <v>36492</v>
      </c>
      <c r="B6849">
        <v>2.6443159999999999</v>
      </c>
      <c r="C6849">
        <f t="shared" si="111"/>
        <v>0</v>
      </c>
    </row>
    <row r="6850" spans="1:3" x14ac:dyDescent="0.2">
      <c r="A6850" s="34">
        <v>36491</v>
      </c>
      <c r="B6850">
        <v>2.6432500000000001</v>
      </c>
      <c r="C6850">
        <f t="shared" ref="C6850:C6913" si="112">IFERROR(VLOOKUP(A6850,$M$2:$N$3695,2,0),C6851)</f>
        <v>0</v>
      </c>
    </row>
    <row r="6851" spans="1:3" x14ac:dyDescent="0.2">
      <c r="A6851" s="34">
        <v>36490</v>
      </c>
      <c r="B6851">
        <v>2.642185</v>
      </c>
      <c r="C6851">
        <f t="shared" si="112"/>
        <v>0</v>
      </c>
    </row>
    <row r="6852" spans="1:3" x14ac:dyDescent="0.2">
      <c r="A6852" s="34">
        <v>36489</v>
      </c>
      <c r="B6852">
        <v>2.6411190000000002</v>
      </c>
      <c r="C6852">
        <f t="shared" si="112"/>
        <v>0</v>
      </c>
    </row>
    <row r="6853" spans="1:3" x14ac:dyDescent="0.2">
      <c r="A6853" s="34">
        <v>36488</v>
      </c>
      <c r="B6853">
        <v>2.64073</v>
      </c>
      <c r="C6853">
        <f t="shared" si="112"/>
        <v>0</v>
      </c>
    </row>
    <row r="6854" spans="1:3" x14ac:dyDescent="0.2">
      <c r="A6854" s="34">
        <v>36487</v>
      </c>
      <c r="B6854">
        <v>2.6403409999999998</v>
      </c>
      <c r="C6854">
        <f t="shared" si="112"/>
        <v>0</v>
      </c>
    </row>
    <row r="6855" spans="1:3" x14ac:dyDescent="0.2">
      <c r="A6855" s="34">
        <v>36486</v>
      </c>
      <c r="B6855">
        <v>2.6399520000000001</v>
      </c>
      <c r="C6855">
        <f t="shared" si="112"/>
        <v>0</v>
      </c>
    </row>
    <row r="6856" spans="1:3" x14ac:dyDescent="0.2">
      <c r="A6856" s="34">
        <v>36485</v>
      </c>
      <c r="B6856">
        <v>2.6395629999999999</v>
      </c>
      <c r="C6856">
        <f t="shared" si="112"/>
        <v>0</v>
      </c>
    </row>
    <row r="6857" spans="1:3" x14ac:dyDescent="0.2">
      <c r="A6857" s="34">
        <v>36484</v>
      </c>
      <c r="B6857">
        <v>2.6391740000000001</v>
      </c>
      <c r="C6857">
        <f t="shared" si="112"/>
        <v>0</v>
      </c>
    </row>
    <row r="6858" spans="1:3" x14ac:dyDescent="0.2">
      <c r="A6858" s="34">
        <v>36483</v>
      </c>
      <c r="B6858">
        <v>2.6387860000000001</v>
      </c>
      <c r="C6858">
        <f t="shared" si="112"/>
        <v>0</v>
      </c>
    </row>
    <row r="6859" spans="1:3" x14ac:dyDescent="0.2">
      <c r="A6859" s="34">
        <v>36482</v>
      </c>
      <c r="B6859">
        <v>2.6383969999999999</v>
      </c>
      <c r="C6859">
        <f t="shared" si="112"/>
        <v>0</v>
      </c>
    </row>
    <row r="6860" spans="1:3" x14ac:dyDescent="0.2">
      <c r="A6860" s="34">
        <v>36481</v>
      </c>
      <c r="B6860">
        <v>2.6380080000000001</v>
      </c>
      <c r="C6860">
        <f t="shared" si="112"/>
        <v>0</v>
      </c>
    </row>
    <row r="6861" spans="1:3" x14ac:dyDescent="0.2">
      <c r="A6861" s="34">
        <v>36480</v>
      </c>
      <c r="B6861">
        <v>2.6376200000000001</v>
      </c>
      <c r="C6861">
        <f t="shared" si="112"/>
        <v>0</v>
      </c>
    </row>
    <row r="6862" spans="1:3" x14ac:dyDescent="0.2">
      <c r="A6862" s="34">
        <v>36479</v>
      </c>
      <c r="B6862">
        <v>2.6372309999999999</v>
      </c>
      <c r="C6862">
        <f t="shared" si="112"/>
        <v>0</v>
      </c>
    </row>
    <row r="6863" spans="1:3" x14ac:dyDescent="0.2">
      <c r="A6863" s="34">
        <v>36478</v>
      </c>
      <c r="B6863">
        <v>2.6368420000000001</v>
      </c>
      <c r="C6863">
        <f t="shared" si="112"/>
        <v>0</v>
      </c>
    </row>
    <row r="6864" spans="1:3" x14ac:dyDescent="0.2">
      <c r="A6864" s="34">
        <v>36477</v>
      </c>
      <c r="B6864">
        <v>2.6364540000000001</v>
      </c>
      <c r="C6864">
        <f t="shared" si="112"/>
        <v>0</v>
      </c>
    </row>
    <row r="6865" spans="1:3" x14ac:dyDescent="0.2">
      <c r="A6865" s="34">
        <v>36476</v>
      </c>
      <c r="B6865">
        <v>2.636066</v>
      </c>
      <c r="C6865">
        <f t="shared" si="112"/>
        <v>0</v>
      </c>
    </row>
    <row r="6866" spans="1:3" x14ac:dyDescent="0.2">
      <c r="A6866" s="34">
        <v>36475</v>
      </c>
      <c r="B6866">
        <v>2.6356769999999998</v>
      </c>
      <c r="C6866">
        <f t="shared" si="112"/>
        <v>0</v>
      </c>
    </row>
    <row r="6867" spans="1:3" x14ac:dyDescent="0.2">
      <c r="A6867" s="34">
        <v>36474</v>
      </c>
      <c r="B6867">
        <v>2.6352890000000002</v>
      </c>
      <c r="C6867">
        <f t="shared" si="112"/>
        <v>0</v>
      </c>
    </row>
    <row r="6868" spans="1:3" x14ac:dyDescent="0.2">
      <c r="A6868" s="34">
        <v>36473</v>
      </c>
      <c r="B6868">
        <v>2.6346780000000001</v>
      </c>
      <c r="C6868">
        <f t="shared" si="112"/>
        <v>0</v>
      </c>
    </row>
    <row r="6869" spans="1:3" x14ac:dyDescent="0.2">
      <c r="A6869" s="34">
        <v>36472</v>
      </c>
      <c r="B6869">
        <v>2.6340669999999999</v>
      </c>
      <c r="C6869">
        <f t="shared" si="112"/>
        <v>0</v>
      </c>
    </row>
    <row r="6870" spans="1:3" x14ac:dyDescent="0.2">
      <c r="A6870" s="34">
        <v>36471</v>
      </c>
      <c r="B6870">
        <v>2.6334569999999999</v>
      </c>
      <c r="C6870">
        <f t="shared" si="112"/>
        <v>0</v>
      </c>
    </row>
    <row r="6871" spans="1:3" x14ac:dyDescent="0.2">
      <c r="A6871" s="34">
        <v>36470</v>
      </c>
      <c r="B6871">
        <v>2.6328469999999999</v>
      </c>
      <c r="C6871">
        <f t="shared" si="112"/>
        <v>0</v>
      </c>
    </row>
    <row r="6872" spans="1:3" x14ac:dyDescent="0.2">
      <c r="A6872" s="34">
        <v>36469</v>
      </c>
      <c r="B6872">
        <v>2.6322359999999998</v>
      </c>
      <c r="C6872">
        <f t="shared" si="112"/>
        <v>0</v>
      </c>
    </row>
    <row r="6873" spans="1:3" x14ac:dyDescent="0.2">
      <c r="A6873" s="34">
        <v>36468</v>
      </c>
      <c r="B6873">
        <v>2.6316259999999998</v>
      </c>
      <c r="C6873">
        <f t="shared" si="112"/>
        <v>0</v>
      </c>
    </row>
    <row r="6874" spans="1:3" x14ac:dyDescent="0.2">
      <c r="A6874" s="34">
        <v>36467</v>
      </c>
      <c r="B6874">
        <v>2.6310159999999998</v>
      </c>
      <c r="C6874">
        <f t="shared" si="112"/>
        <v>0</v>
      </c>
    </row>
    <row r="6875" spans="1:3" x14ac:dyDescent="0.2">
      <c r="A6875" s="34">
        <v>36466</v>
      </c>
      <c r="B6875">
        <v>2.6304069999999999</v>
      </c>
      <c r="C6875">
        <f t="shared" si="112"/>
        <v>0</v>
      </c>
    </row>
    <row r="6876" spans="1:3" x14ac:dyDescent="0.2">
      <c r="A6876" s="34">
        <v>36465</v>
      </c>
      <c r="B6876">
        <v>2.6297969999999999</v>
      </c>
      <c r="C6876">
        <f t="shared" si="112"/>
        <v>0</v>
      </c>
    </row>
    <row r="6877" spans="1:3" x14ac:dyDescent="0.2">
      <c r="A6877" s="34">
        <v>36464</v>
      </c>
      <c r="B6877">
        <v>2.6291880000000001</v>
      </c>
      <c r="C6877">
        <f t="shared" si="112"/>
        <v>0</v>
      </c>
    </row>
    <row r="6878" spans="1:3" x14ac:dyDescent="0.2">
      <c r="A6878" s="34">
        <v>36463</v>
      </c>
      <c r="B6878">
        <v>2.6285780000000001</v>
      </c>
      <c r="C6878">
        <f t="shared" si="112"/>
        <v>0</v>
      </c>
    </row>
    <row r="6879" spans="1:3" x14ac:dyDescent="0.2">
      <c r="A6879" s="34">
        <v>36462</v>
      </c>
      <c r="B6879">
        <v>2.6279690000000002</v>
      </c>
      <c r="C6879">
        <f t="shared" si="112"/>
        <v>0</v>
      </c>
    </row>
    <row r="6880" spans="1:3" x14ac:dyDescent="0.2">
      <c r="A6880" s="34">
        <v>36461</v>
      </c>
      <c r="B6880">
        <v>2.6273599999999999</v>
      </c>
      <c r="C6880">
        <f t="shared" si="112"/>
        <v>0</v>
      </c>
    </row>
    <row r="6881" spans="1:3" x14ac:dyDescent="0.2">
      <c r="A6881" s="34">
        <v>36460</v>
      </c>
      <c r="B6881">
        <v>2.6267510000000001</v>
      </c>
      <c r="C6881">
        <f t="shared" si="112"/>
        <v>0</v>
      </c>
    </row>
    <row r="6882" spans="1:3" x14ac:dyDescent="0.2">
      <c r="A6882" s="34">
        <v>36459</v>
      </c>
      <c r="B6882">
        <v>2.6261420000000002</v>
      </c>
      <c r="C6882">
        <f t="shared" si="112"/>
        <v>0</v>
      </c>
    </row>
    <row r="6883" spans="1:3" x14ac:dyDescent="0.2">
      <c r="A6883" s="34">
        <v>36458</v>
      </c>
      <c r="B6883">
        <v>2.6255329999999999</v>
      </c>
      <c r="C6883">
        <f t="shared" si="112"/>
        <v>0</v>
      </c>
    </row>
    <row r="6884" spans="1:3" x14ac:dyDescent="0.2">
      <c r="A6884" s="34">
        <v>36457</v>
      </c>
      <c r="B6884">
        <v>2.6250089999999999</v>
      </c>
      <c r="C6884">
        <f t="shared" si="112"/>
        <v>0</v>
      </c>
    </row>
    <row r="6885" spans="1:3" x14ac:dyDescent="0.2">
      <c r="A6885" s="34">
        <v>36456</v>
      </c>
      <c r="B6885">
        <v>2.6244839999999998</v>
      </c>
      <c r="C6885">
        <f t="shared" si="112"/>
        <v>0</v>
      </c>
    </row>
    <row r="6886" spans="1:3" x14ac:dyDescent="0.2">
      <c r="A6886" s="34">
        <v>36455</v>
      </c>
      <c r="B6886">
        <v>2.6239599999999998</v>
      </c>
      <c r="C6886">
        <f t="shared" si="112"/>
        <v>0</v>
      </c>
    </row>
    <row r="6887" spans="1:3" x14ac:dyDescent="0.2">
      <c r="A6887" s="34">
        <v>36454</v>
      </c>
      <c r="B6887">
        <v>2.6234359999999999</v>
      </c>
      <c r="C6887">
        <f t="shared" si="112"/>
        <v>0</v>
      </c>
    </row>
    <row r="6888" spans="1:3" x14ac:dyDescent="0.2">
      <c r="A6888" s="34">
        <v>36453</v>
      </c>
      <c r="B6888">
        <v>2.6229110000000002</v>
      </c>
      <c r="C6888">
        <f t="shared" si="112"/>
        <v>0</v>
      </c>
    </row>
    <row r="6889" spans="1:3" x14ac:dyDescent="0.2">
      <c r="A6889" s="34">
        <v>36452</v>
      </c>
      <c r="B6889">
        <v>2.6223869999999998</v>
      </c>
      <c r="C6889">
        <f t="shared" si="112"/>
        <v>0</v>
      </c>
    </row>
    <row r="6890" spans="1:3" x14ac:dyDescent="0.2">
      <c r="A6890" s="34">
        <v>36451</v>
      </c>
      <c r="B6890">
        <v>2.6218629999999998</v>
      </c>
      <c r="C6890">
        <f t="shared" si="112"/>
        <v>0</v>
      </c>
    </row>
    <row r="6891" spans="1:3" x14ac:dyDescent="0.2">
      <c r="A6891" s="34">
        <v>36450</v>
      </c>
      <c r="B6891">
        <v>2.6213389999999999</v>
      </c>
      <c r="C6891">
        <f t="shared" si="112"/>
        <v>0</v>
      </c>
    </row>
    <row r="6892" spans="1:3" x14ac:dyDescent="0.2">
      <c r="A6892" s="34">
        <v>36449</v>
      </c>
      <c r="B6892">
        <v>2.620816</v>
      </c>
      <c r="C6892">
        <f t="shared" si="112"/>
        <v>0</v>
      </c>
    </row>
    <row r="6893" spans="1:3" x14ac:dyDescent="0.2">
      <c r="A6893" s="34">
        <v>36448</v>
      </c>
      <c r="B6893">
        <v>2.6202920000000001</v>
      </c>
      <c r="C6893">
        <f t="shared" si="112"/>
        <v>0</v>
      </c>
    </row>
    <row r="6894" spans="1:3" x14ac:dyDescent="0.2">
      <c r="A6894" s="34">
        <v>36447</v>
      </c>
      <c r="B6894">
        <v>2.6197680000000001</v>
      </c>
      <c r="C6894">
        <f t="shared" si="112"/>
        <v>0</v>
      </c>
    </row>
    <row r="6895" spans="1:3" x14ac:dyDescent="0.2">
      <c r="A6895" s="34">
        <v>36446</v>
      </c>
      <c r="B6895">
        <v>2.6192449999999998</v>
      </c>
      <c r="C6895">
        <f t="shared" si="112"/>
        <v>0</v>
      </c>
    </row>
    <row r="6896" spans="1:3" x14ac:dyDescent="0.2">
      <c r="A6896" s="34">
        <v>36445</v>
      </c>
      <c r="B6896">
        <v>2.618722</v>
      </c>
      <c r="C6896">
        <f t="shared" si="112"/>
        <v>0</v>
      </c>
    </row>
    <row r="6897" spans="1:3" x14ac:dyDescent="0.2">
      <c r="A6897" s="34">
        <v>36444</v>
      </c>
      <c r="B6897">
        <v>2.618198</v>
      </c>
      <c r="C6897">
        <f t="shared" si="112"/>
        <v>0</v>
      </c>
    </row>
    <row r="6898" spans="1:3" x14ac:dyDescent="0.2">
      <c r="A6898" s="34">
        <v>36443</v>
      </c>
      <c r="B6898">
        <v>2.6176750000000002</v>
      </c>
      <c r="C6898">
        <f t="shared" si="112"/>
        <v>0</v>
      </c>
    </row>
    <row r="6899" spans="1:3" x14ac:dyDescent="0.2">
      <c r="A6899" s="34">
        <v>36442</v>
      </c>
      <c r="B6899">
        <v>2.6164649999999998</v>
      </c>
      <c r="C6899">
        <f t="shared" si="112"/>
        <v>0</v>
      </c>
    </row>
    <row r="6900" spans="1:3" x14ac:dyDescent="0.2">
      <c r="A6900" s="34">
        <v>36441</v>
      </c>
      <c r="B6900">
        <v>2.615256</v>
      </c>
      <c r="C6900">
        <f t="shared" si="112"/>
        <v>0</v>
      </c>
    </row>
    <row r="6901" spans="1:3" x14ac:dyDescent="0.2">
      <c r="A6901" s="34">
        <v>36440</v>
      </c>
      <c r="B6901">
        <v>2.6140469999999998</v>
      </c>
      <c r="C6901">
        <f t="shared" si="112"/>
        <v>0</v>
      </c>
    </row>
    <row r="6902" spans="1:3" x14ac:dyDescent="0.2">
      <c r="A6902" s="34">
        <v>36439</v>
      </c>
      <c r="B6902">
        <v>2.612838</v>
      </c>
      <c r="C6902">
        <f t="shared" si="112"/>
        <v>0</v>
      </c>
    </row>
    <row r="6903" spans="1:3" x14ac:dyDescent="0.2">
      <c r="A6903" s="34">
        <v>36438</v>
      </c>
      <c r="B6903">
        <v>2.611631</v>
      </c>
      <c r="C6903">
        <f t="shared" si="112"/>
        <v>0</v>
      </c>
    </row>
    <row r="6904" spans="1:3" x14ac:dyDescent="0.2">
      <c r="A6904" s="34">
        <v>36437</v>
      </c>
      <c r="B6904">
        <v>2.6104229999999999</v>
      </c>
      <c r="C6904">
        <f t="shared" si="112"/>
        <v>0</v>
      </c>
    </row>
    <row r="6905" spans="1:3" x14ac:dyDescent="0.2">
      <c r="A6905" s="34">
        <v>36436</v>
      </c>
      <c r="B6905">
        <v>2.6092170000000001</v>
      </c>
      <c r="C6905">
        <f t="shared" si="112"/>
        <v>0</v>
      </c>
    </row>
    <row r="6906" spans="1:3" x14ac:dyDescent="0.2">
      <c r="A6906" s="34">
        <v>36435</v>
      </c>
      <c r="B6906">
        <v>2.6080100000000002</v>
      </c>
      <c r="C6906">
        <f t="shared" si="112"/>
        <v>0</v>
      </c>
    </row>
    <row r="6907" spans="1:3" x14ac:dyDescent="0.2">
      <c r="A6907" s="34">
        <v>36434</v>
      </c>
      <c r="B6907">
        <v>2.606805</v>
      </c>
      <c r="C6907">
        <f t="shared" si="112"/>
        <v>0</v>
      </c>
    </row>
    <row r="6908" spans="1:3" x14ac:dyDescent="0.2">
      <c r="A6908" s="34">
        <v>36433</v>
      </c>
      <c r="B6908">
        <v>2.6055999999999999</v>
      </c>
      <c r="C6908">
        <f t="shared" si="112"/>
        <v>0</v>
      </c>
    </row>
    <row r="6909" spans="1:3" x14ac:dyDescent="0.2">
      <c r="A6909" s="34">
        <v>36432</v>
      </c>
      <c r="B6909">
        <v>2.6043949999999998</v>
      </c>
      <c r="C6909">
        <f t="shared" si="112"/>
        <v>0</v>
      </c>
    </row>
    <row r="6910" spans="1:3" x14ac:dyDescent="0.2">
      <c r="A6910" s="34">
        <v>36431</v>
      </c>
      <c r="B6910">
        <v>2.6031909999999998</v>
      </c>
      <c r="C6910">
        <f t="shared" si="112"/>
        <v>0</v>
      </c>
    </row>
    <row r="6911" spans="1:3" x14ac:dyDescent="0.2">
      <c r="A6911" s="34">
        <v>36430</v>
      </c>
      <c r="B6911">
        <v>2.601988</v>
      </c>
      <c r="C6911">
        <f t="shared" si="112"/>
        <v>0</v>
      </c>
    </row>
    <row r="6912" spans="1:3" x14ac:dyDescent="0.2">
      <c r="A6912" s="34">
        <v>36429</v>
      </c>
      <c r="B6912">
        <v>2.6007850000000001</v>
      </c>
      <c r="C6912">
        <f t="shared" si="112"/>
        <v>0</v>
      </c>
    </row>
    <row r="6913" spans="1:3" x14ac:dyDescent="0.2">
      <c r="A6913" s="34">
        <v>36428</v>
      </c>
      <c r="B6913">
        <v>2.599583</v>
      </c>
      <c r="C6913">
        <f t="shared" si="112"/>
        <v>0</v>
      </c>
    </row>
    <row r="6914" spans="1:3" x14ac:dyDescent="0.2">
      <c r="A6914" s="34">
        <v>36427</v>
      </c>
      <c r="B6914">
        <v>2.5991740000000001</v>
      </c>
      <c r="C6914">
        <f t="shared" ref="C6914:C6977" si="113">IFERROR(VLOOKUP(A6914,$M$2:$N$3695,2,0),C6915)</f>
        <v>0</v>
      </c>
    </row>
    <row r="6915" spans="1:3" x14ac:dyDescent="0.2">
      <c r="A6915" s="34">
        <v>36426</v>
      </c>
      <c r="B6915">
        <v>2.5987640000000001</v>
      </c>
      <c r="C6915">
        <f t="shared" si="113"/>
        <v>0</v>
      </c>
    </row>
    <row r="6916" spans="1:3" x14ac:dyDescent="0.2">
      <c r="A6916" s="34">
        <v>36425</v>
      </c>
      <c r="B6916">
        <v>2.5983550000000002</v>
      </c>
      <c r="C6916">
        <f t="shared" si="113"/>
        <v>0</v>
      </c>
    </row>
    <row r="6917" spans="1:3" x14ac:dyDescent="0.2">
      <c r="A6917" s="34">
        <v>36424</v>
      </c>
      <c r="B6917">
        <v>2.5979459999999999</v>
      </c>
      <c r="C6917">
        <f t="shared" si="113"/>
        <v>0</v>
      </c>
    </row>
    <row r="6918" spans="1:3" x14ac:dyDescent="0.2">
      <c r="A6918" s="34">
        <v>36423</v>
      </c>
      <c r="B6918">
        <v>2.5975359999999998</v>
      </c>
      <c r="C6918">
        <f t="shared" si="113"/>
        <v>0</v>
      </c>
    </row>
    <row r="6919" spans="1:3" x14ac:dyDescent="0.2">
      <c r="A6919" s="34">
        <v>36422</v>
      </c>
      <c r="B6919">
        <v>2.597127</v>
      </c>
      <c r="C6919">
        <f t="shared" si="113"/>
        <v>0</v>
      </c>
    </row>
    <row r="6920" spans="1:3" x14ac:dyDescent="0.2">
      <c r="A6920" s="34">
        <v>36421</v>
      </c>
      <c r="B6920">
        <v>2.5967180000000001</v>
      </c>
      <c r="C6920">
        <f t="shared" si="113"/>
        <v>0</v>
      </c>
    </row>
    <row r="6921" spans="1:3" x14ac:dyDescent="0.2">
      <c r="A6921" s="34">
        <v>36420</v>
      </c>
      <c r="B6921">
        <v>2.5963090000000002</v>
      </c>
      <c r="C6921">
        <f t="shared" si="113"/>
        <v>0</v>
      </c>
    </row>
    <row r="6922" spans="1:3" x14ac:dyDescent="0.2">
      <c r="A6922" s="34">
        <v>36419</v>
      </c>
      <c r="B6922">
        <v>2.5958999999999999</v>
      </c>
      <c r="C6922">
        <f t="shared" si="113"/>
        <v>0</v>
      </c>
    </row>
    <row r="6923" spans="1:3" x14ac:dyDescent="0.2">
      <c r="A6923" s="34">
        <v>36418</v>
      </c>
      <c r="B6923">
        <v>2.595491</v>
      </c>
      <c r="C6923">
        <f t="shared" si="113"/>
        <v>0</v>
      </c>
    </row>
    <row r="6924" spans="1:3" x14ac:dyDescent="0.2">
      <c r="A6924" s="34">
        <v>36417</v>
      </c>
      <c r="B6924">
        <v>2.5950820000000001</v>
      </c>
      <c r="C6924">
        <f t="shared" si="113"/>
        <v>0</v>
      </c>
    </row>
    <row r="6925" spans="1:3" x14ac:dyDescent="0.2">
      <c r="A6925" s="34">
        <v>36416</v>
      </c>
      <c r="B6925">
        <v>2.5946739999999999</v>
      </c>
      <c r="C6925">
        <f t="shared" si="113"/>
        <v>0</v>
      </c>
    </row>
    <row r="6926" spans="1:3" x14ac:dyDescent="0.2">
      <c r="A6926" s="34">
        <v>36415</v>
      </c>
      <c r="B6926">
        <v>2.594265</v>
      </c>
      <c r="C6926">
        <f t="shared" si="113"/>
        <v>0</v>
      </c>
    </row>
    <row r="6927" spans="1:3" x14ac:dyDescent="0.2">
      <c r="A6927" s="34">
        <v>36414</v>
      </c>
      <c r="B6927">
        <v>2.5938560000000002</v>
      </c>
      <c r="C6927">
        <f t="shared" si="113"/>
        <v>0</v>
      </c>
    </row>
    <row r="6928" spans="1:3" x14ac:dyDescent="0.2">
      <c r="A6928" s="34">
        <v>36413</v>
      </c>
      <c r="B6928">
        <v>2.593448</v>
      </c>
      <c r="C6928">
        <f t="shared" si="113"/>
        <v>0</v>
      </c>
    </row>
    <row r="6929" spans="1:3" x14ac:dyDescent="0.2">
      <c r="A6929" s="34">
        <v>36412</v>
      </c>
      <c r="B6929">
        <v>2.592946</v>
      </c>
      <c r="C6929">
        <f t="shared" si="113"/>
        <v>0</v>
      </c>
    </row>
    <row r="6930" spans="1:3" x14ac:dyDescent="0.2">
      <c r="A6930" s="34">
        <v>36411</v>
      </c>
      <c r="B6930">
        <v>2.592444</v>
      </c>
      <c r="C6930">
        <f t="shared" si="113"/>
        <v>0</v>
      </c>
    </row>
    <row r="6931" spans="1:3" x14ac:dyDescent="0.2">
      <c r="A6931" s="34">
        <v>36410</v>
      </c>
      <c r="B6931">
        <v>2.591942</v>
      </c>
      <c r="C6931">
        <f t="shared" si="113"/>
        <v>0</v>
      </c>
    </row>
    <row r="6932" spans="1:3" x14ac:dyDescent="0.2">
      <c r="A6932" s="34">
        <v>36409</v>
      </c>
      <c r="B6932">
        <v>2.59144</v>
      </c>
      <c r="C6932">
        <f t="shared" si="113"/>
        <v>0</v>
      </c>
    </row>
    <row r="6933" spans="1:3" x14ac:dyDescent="0.2">
      <c r="A6933" s="34">
        <v>36408</v>
      </c>
      <c r="B6933">
        <v>2.590938</v>
      </c>
      <c r="C6933">
        <f t="shared" si="113"/>
        <v>0</v>
      </c>
    </row>
    <row r="6934" spans="1:3" x14ac:dyDescent="0.2">
      <c r="A6934" s="34">
        <v>36407</v>
      </c>
      <c r="B6934">
        <v>2.590436</v>
      </c>
      <c r="C6934">
        <f t="shared" si="113"/>
        <v>0</v>
      </c>
    </row>
    <row r="6935" spans="1:3" x14ac:dyDescent="0.2">
      <c r="A6935" s="34">
        <v>36406</v>
      </c>
      <c r="B6935">
        <v>2.589934</v>
      </c>
      <c r="C6935">
        <f t="shared" si="113"/>
        <v>0</v>
      </c>
    </row>
    <row r="6936" spans="1:3" x14ac:dyDescent="0.2">
      <c r="A6936" s="34">
        <v>36405</v>
      </c>
      <c r="B6936">
        <v>2.5894330000000001</v>
      </c>
      <c r="C6936">
        <f t="shared" si="113"/>
        <v>0</v>
      </c>
    </row>
    <row r="6937" spans="1:3" x14ac:dyDescent="0.2">
      <c r="A6937" s="34">
        <v>36404</v>
      </c>
      <c r="B6937">
        <v>2.5889310000000001</v>
      </c>
      <c r="C6937">
        <f t="shared" si="113"/>
        <v>0</v>
      </c>
    </row>
    <row r="6938" spans="1:3" x14ac:dyDescent="0.2">
      <c r="A6938" s="34">
        <v>36403</v>
      </c>
      <c r="B6938">
        <v>2.5884299999999998</v>
      </c>
      <c r="C6938">
        <f t="shared" si="113"/>
        <v>0</v>
      </c>
    </row>
    <row r="6939" spans="1:3" x14ac:dyDescent="0.2">
      <c r="A6939" s="34">
        <v>36402</v>
      </c>
      <c r="B6939">
        <v>2.5879289999999999</v>
      </c>
      <c r="C6939">
        <f t="shared" si="113"/>
        <v>0</v>
      </c>
    </row>
    <row r="6940" spans="1:3" x14ac:dyDescent="0.2">
      <c r="A6940" s="34">
        <v>36401</v>
      </c>
      <c r="B6940">
        <v>2.5874280000000001</v>
      </c>
      <c r="C6940">
        <f t="shared" si="113"/>
        <v>0</v>
      </c>
    </row>
    <row r="6941" spans="1:3" x14ac:dyDescent="0.2">
      <c r="A6941" s="34">
        <v>36400</v>
      </c>
      <c r="B6941">
        <v>2.5869270000000002</v>
      </c>
      <c r="C6941">
        <f t="shared" si="113"/>
        <v>0</v>
      </c>
    </row>
    <row r="6942" spans="1:3" x14ac:dyDescent="0.2">
      <c r="A6942" s="34">
        <v>36399</v>
      </c>
      <c r="B6942">
        <v>2.5864259999999999</v>
      </c>
      <c r="C6942">
        <f t="shared" si="113"/>
        <v>0</v>
      </c>
    </row>
    <row r="6943" spans="1:3" x14ac:dyDescent="0.2">
      <c r="A6943" s="34">
        <v>36398</v>
      </c>
      <c r="B6943">
        <v>2.585925</v>
      </c>
      <c r="C6943">
        <f t="shared" si="113"/>
        <v>0</v>
      </c>
    </row>
    <row r="6944" spans="1:3" x14ac:dyDescent="0.2">
      <c r="A6944" s="34">
        <v>36397</v>
      </c>
      <c r="B6944">
        <v>2.5854240000000002</v>
      </c>
      <c r="C6944">
        <f t="shared" si="113"/>
        <v>0</v>
      </c>
    </row>
    <row r="6945" spans="1:3" x14ac:dyDescent="0.2">
      <c r="A6945" s="34">
        <v>36396</v>
      </c>
      <c r="B6945">
        <v>2.5849639999999998</v>
      </c>
      <c r="C6945">
        <f t="shared" si="113"/>
        <v>0</v>
      </c>
    </row>
    <row r="6946" spans="1:3" x14ac:dyDescent="0.2">
      <c r="A6946" s="34">
        <v>36395</v>
      </c>
      <c r="B6946">
        <v>2.5845039999999999</v>
      </c>
      <c r="C6946">
        <f t="shared" si="113"/>
        <v>0</v>
      </c>
    </row>
    <row r="6947" spans="1:3" x14ac:dyDescent="0.2">
      <c r="A6947" s="34">
        <v>36394</v>
      </c>
      <c r="B6947">
        <v>2.584044</v>
      </c>
      <c r="C6947">
        <f t="shared" si="113"/>
        <v>0</v>
      </c>
    </row>
    <row r="6948" spans="1:3" x14ac:dyDescent="0.2">
      <c r="A6948" s="34">
        <v>36393</v>
      </c>
      <c r="B6948">
        <v>2.5835840000000001</v>
      </c>
      <c r="C6948">
        <f t="shared" si="113"/>
        <v>0</v>
      </c>
    </row>
    <row r="6949" spans="1:3" x14ac:dyDescent="0.2">
      <c r="A6949" s="34">
        <v>36392</v>
      </c>
      <c r="B6949">
        <v>2.5831249999999999</v>
      </c>
      <c r="C6949">
        <f t="shared" si="113"/>
        <v>0</v>
      </c>
    </row>
    <row r="6950" spans="1:3" x14ac:dyDescent="0.2">
      <c r="A6950" s="34">
        <v>36391</v>
      </c>
      <c r="B6950">
        <v>2.582665</v>
      </c>
      <c r="C6950">
        <f t="shared" si="113"/>
        <v>0</v>
      </c>
    </row>
    <row r="6951" spans="1:3" x14ac:dyDescent="0.2">
      <c r="A6951" s="34">
        <v>36390</v>
      </c>
      <c r="B6951">
        <v>2.5822059999999998</v>
      </c>
      <c r="C6951">
        <f t="shared" si="113"/>
        <v>0</v>
      </c>
    </row>
    <row r="6952" spans="1:3" x14ac:dyDescent="0.2">
      <c r="A6952" s="34">
        <v>36389</v>
      </c>
      <c r="B6952">
        <v>2.5817459999999999</v>
      </c>
      <c r="C6952">
        <f t="shared" si="113"/>
        <v>0</v>
      </c>
    </row>
    <row r="6953" spans="1:3" x14ac:dyDescent="0.2">
      <c r="A6953" s="34">
        <v>36388</v>
      </c>
      <c r="B6953">
        <v>2.5812870000000001</v>
      </c>
      <c r="C6953">
        <f t="shared" si="113"/>
        <v>0</v>
      </c>
    </row>
    <row r="6954" spans="1:3" x14ac:dyDescent="0.2">
      <c r="A6954" s="34">
        <v>36387</v>
      </c>
      <c r="B6954">
        <v>2.5808270000000002</v>
      </c>
      <c r="C6954">
        <f t="shared" si="113"/>
        <v>0</v>
      </c>
    </row>
    <row r="6955" spans="1:3" x14ac:dyDescent="0.2">
      <c r="A6955" s="34">
        <v>36386</v>
      </c>
      <c r="B6955">
        <v>2.580368</v>
      </c>
      <c r="C6955">
        <f t="shared" si="113"/>
        <v>0</v>
      </c>
    </row>
    <row r="6956" spans="1:3" x14ac:dyDescent="0.2">
      <c r="A6956" s="34">
        <v>36385</v>
      </c>
      <c r="B6956">
        <v>2.5799089999999998</v>
      </c>
      <c r="C6956">
        <f t="shared" si="113"/>
        <v>0</v>
      </c>
    </row>
    <row r="6957" spans="1:3" x14ac:dyDescent="0.2">
      <c r="A6957" s="34">
        <v>36384</v>
      </c>
      <c r="B6957">
        <v>2.57945</v>
      </c>
      <c r="C6957">
        <f t="shared" si="113"/>
        <v>0</v>
      </c>
    </row>
    <row r="6958" spans="1:3" x14ac:dyDescent="0.2">
      <c r="A6958" s="34">
        <v>36383</v>
      </c>
      <c r="B6958">
        <v>2.5789909999999998</v>
      </c>
      <c r="C6958">
        <f t="shared" si="113"/>
        <v>0</v>
      </c>
    </row>
    <row r="6959" spans="1:3" x14ac:dyDescent="0.2">
      <c r="A6959" s="34">
        <v>36382</v>
      </c>
      <c r="B6959">
        <v>2.578532</v>
      </c>
      <c r="C6959">
        <f t="shared" si="113"/>
        <v>0</v>
      </c>
    </row>
    <row r="6960" spans="1:3" x14ac:dyDescent="0.2">
      <c r="A6960" s="34">
        <v>36381</v>
      </c>
      <c r="B6960">
        <v>2.577906</v>
      </c>
      <c r="C6960">
        <f t="shared" si="113"/>
        <v>0</v>
      </c>
    </row>
    <row r="6961" spans="1:3" x14ac:dyDescent="0.2">
      <c r="A6961" s="34">
        <v>36380</v>
      </c>
      <c r="B6961">
        <v>2.5772810000000002</v>
      </c>
      <c r="C6961">
        <f t="shared" si="113"/>
        <v>0</v>
      </c>
    </row>
    <row r="6962" spans="1:3" x14ac:dyDescent="0.2">
      <c r="A6962" s="34">
        <v>36379</v>
      </c>
      <c r="B6962">
        <v>2.5766559999999998</v>
      </c>
      <c r="C6962">
        <f t="shared" si="113"/>
        <v>0</v>
      </c>
    </row>
    <row r="6963" spans="1:3" x14ac:dyDescent="0.2">
      <c r="A6963" s="34">
        <v>36378</v>
      </c>
      <c r="B6963">
        <v>2.576031</v>
      </c>
      <c r="C6963">
        <f t="shared" si="113"/>
        <v>0</v>
      </c>
    </row>
    <row r="6964" spans="1:3" x14ac:dyDescent="0.2">
      <c r="A6964" s="34">
        <v>36377</v>
      </c>
      <c r="B6964">
        <v>2.5754060000000001</v>
      </c>
      <c r="C6964">
        <f t="shared" si="113"/>
        <v>0</v>
      </c>
    </row>
    <row r="6965" spans="1:3" x14ac:dyDescent="0.2">
      <c r="A6965" s="34">
        <v>36376</v>
      </c>
      <c r="B6965">
        <v>2.5747810000000002</v>
      </c>
      <c r="C6965">
        <f t="shared" si="113"/>
        <v>0</v>
      </c>
    </row>
    <row r="6966" spans="1:3" x14ac:dyDescent="0.2">
      <c r="A6966" s="34">
        <v>36375</v>
      </c>
      <c r="B6966">
        <v>2.5741559999999999</v>
      </c>
      <c r="C6966">
        <f t="shared" si="113"/>
        <v>0</v>
      </c>
    </row>
    <row r="6967" spans="1:3" x14ac:dyDescent="0.2">
      <c r="A6967" s="34">
        <v>36374</v>
      </c>
      <c r="B6967">
        <v>2.5735320000000002</v>
      </c>
      <c r="C6967">
        <f t="shared" si="113"/>
        <v>0</v>
      </c>
    </row>
    <row r="6968" spans="1:3" x14ac:dyDescent="0.2">
      <c r="A6968" s="34">
        <v>36373</v>
      </c>
      <c r="B6968">
        <v>2.572908</v>
      </c>
      <c r="C6968">
        <f t="shared" si="113"/>
        <v>0</v>
      </c>
    </row>
    <row r="6969" spans="1:3" x14ac:dyDescent="0.2">
      <c r="A6969" s="34">
        <v>36372</v>
      </c>
      <c r="B6969">
        <v>2.5722830000000001</v>
      </c>
      <c r="C6969">
        <f t="shared" si="113"/>
        <v>0</v>
      </c>
    </row>
    <row r="6970" spans="1:3" x14ac:dyDescent="0.2">
      <c r="A6970" s="34">
        <v>36371</v>
      </c>
      <c r="B6970">
        <v>2.5716589999999999</v>
      </c>
      <c r="C6970">
        <f t="shared" si="113"/>
        <v>0</v>
      </c>
    </row>
    <row r="6971" spans="1:3" x14ac:dyDescent="0.2">
      <c r="A6971" s="34">
        <v>36370</v>
      </c>
      <c r="B6971">
        <v>2.5710359999999999</v>
      </c>
      <c r="C6971">
        <f t="shared" si="113"/>
        <v>0</v>
      </c>
    </row>
    <row r="6972" spans="1:3" x14ac:dyDescent="0.2">
      <c r="A6972" s="34">
        <v>36369</v>
      </c>
      <c r="B6972">
        <v>2.5704120000000001</v>
      </c>
      <c r="C6972">
        <f t="shared" si="113"/>
        <v>0</v>
      </c>
    </row>
    <row r="6973" spans="1:3" x14ac:dyDescent="0.2">
      <c r="A6973" s="34">
        <v>36368</v>
      </c>
      <c r="B6973">
        <v>2.569788</v>
      </c>
      <c r="C6973">
        <f t="shared" si="113"/>
        <v>0</v>
      </c>
    </row>
    <row r="6974" spans="1:3" x14ac:dyDescent="0.2">
      <c r="A6974" s="34">
        <v>36367</v>
      </c>
      <c r="B6974">
        <v>2.5691649999999999</v>
      </c>
      <c r="C6974">
        <f t="shared" si="113"/>
        <v>0</v>
      </c>
    </row>
    <row r="6975" spans="1:3" x14ac:dyDescent="0.2">
      <c r="A6975" s="34">
        <v>36366</v>
      </c>
      <c r="B6975">
        <v>2.5685419999999999</v>
      </c>
      <c r="C6975">
        <f t="shared" si="113"/>
        <v>0</v>
      </c>
    </row>
    <row r="6976" spans="1:3" x14ac:dyDescent="0.2">
      <c r="A6976" s="34">
        <v>36365</v>
      </c>
      <c r="B6976">
        <v>2.5680730000000001</v>
      </c>
      <c r="C6976">
        <f t="shared" si="113"/>
        <v>0</v>
      </c>
    </row>
    <row r="6977" spans="1:3" x14ac:dyDescent="0.2">
      <c r="A6977" s="34">
        <v>36364</v>
      </c>
      <c r="B6977">
        <v>2.5676040000000002</v>
      </c>
      <c r="C6977">
        <f t="shared" si="113"/>
        <v>0</v>
      </c>
    </row>
    <row r="6978" spans="1:3" x14ac:dyDescent="0.2">
      <c r="A6978" s="34">
        <v>36363</v>
      </c>
      <c r="B6978">
        <v>2.5671360000000001</v>
      </c>
      <c r="C6978">
        <f t="shared" ref="C6978:C7041" si="114">IFERROR(VLOOKUP(A6978,$M$2:$N$3695,2,0),C6979)</f>
        <v>0</v>
      </c>
    </row>
    <row r="6979" spans="1:3" x14ac:dyDescent="0.2">
      <c r="A6979" s="34">
        <v>36362</v>
      </c>
      <c r="B6979">
        <v>2.5666669999999998</v>
      </c>
      <c r="C6979">
        <f t="shared" si="114"/>
        <v>0</v>
      </c>
    </row>
    <row r="6980" spans="1:3" x14ac:dyDescent="0.2">
      <c r="A6980" s="34">
        <v>36361</v>
      </c>
      <c r="B6980">
        <v>2.5661990000000001</v>
      </c>
      <c r="C6980">
        <f t="shared" si="114"/>
        <v>0</v>
      </c>
    </row>
    <row r="6981" spans="1:3" x14ac:dyDescent="0.2">
      <c r="A6981" s="34">
        <v>36360</v>
      </c>
      <c r="B6981">
        <v>2.5657299999999998</v>
      </c>
      <c r="C6981">
        <f t="shared" si="114"/>
        <v>0</v>
      </c>
    </row>
    <row r="6982" spans="1:3" x14ac:dyDescent="0.2">
      <c r="A6982" s="34">
        <v>36359</v>
      </c>
      <c r="B6982">
        <v>2.5652620000000002</v>
      </c>
      <c r="C6982">
        <f t="shared" si="114"/>
        <v>0</v>
      </c>
    </row>
    <row r="6983" spans="1:3" x14ac:dyDescent="0.2">
      <c r="A6983" s="34">
        <v>36358</v>
      </c>
      <c r="B6983">
        <v>2.564794</v>
      </c>
      <c r="C6983">
        <f t="shared" si="114"/>
        <v>0</v>
      </c>
    </row>
    <row r="6984" spans="1:3" x14ac:dyDescent="0.2">
      <c r="A6984" s="34">
        <v>36357</v>
      </c>
      <c r="B6984">
        <v>2.5643259999999999</v>
      </c>
      <c r="C6984">
        <f t="shared" si="114"/>
        <v>0</v>
      </c>
    </row>
    <row r="6985" spans="1:3" x14ac:dyDescent="0.2">
      <c r="A6985" s="34">
        <v>36356</v>
      </c>
      <c r="B6985">
        <v>2.5638580000000002</v>
      </c>
      <c r="C6985">
        <f t="shared" si="114"/>
        <v>0</v>
      </c>
    </row>
    <row r="6986" spans="1:3" x14ac:dyDescent="0.2">
      <c r="A6986" s="34">
        <v>36355</v>
      </c>
      <c r="B6986">
        <v>2.5633900000000001</v>
      </c>
      <c r="C6986">
        <f t="shared" si="114"/>
        <v>0</v>
      </c>
    </row>
    <row r="6987" spans="1:3" x14ac:dyDescent="0.2">
      <c r="A6987" s="34">
        <v>36354</v>
      </c>
      <c r="B6987">
        <v>2.5629219999999999</v>
      </c>
      <c r="C6987">
        <f t="shared" si="114"/>
        <v>0</v>
      </c>
    </row>
    <row r="6988" spans="1:3" x14ac:dyDescent="0.2">
      <c r="A6988" s="34">
        <v>36353</v>
      </c>
      <c r="B6988">
        <v>2.5624539999999998</v>
      </c>
      <c r="C6988">
        <f t="shared" si="114"/>
        <v>0</v>
      </c>
    </row>
    <row r="6989" spans="1:3" x14ac:dyDescent="0.2">
      <c r="A6989" s="34">
        <v>36352</v>
      </c>
      <c r="B6989">
        <v>2.5619860000000001</v>
      </c>
      <c r="C6989">
        <f t="shared" si="114"/>
        <v>0</v>
      </c>
    </row>
    <row r="6990" spans="1:3" x14ac:dyDescent="0.2">
      <c r="A6990" s="34">
        <v>36351</v>
      </c>
      <c r="B6990">
        <v>2.5615190000000001</v>
      </c>
      <c r="C6990">
        <f t="shared" si="114"/>
        <v>0</v>
      </c>
    </row>
    <row r="6991" spans="1:3" x14ac:dyDescent="0.2">
      <c r="A6991" s="34">
        <v>36350</v>
      </c>
      <c r="B6991">
        <v>2.5608840000000002</v>
      </c>
      <c r="C6991">
        <f t="shared" si="114"/>
        <v>0</v>
      </c>
    </row>
    <row r="6992" spans="1:3" x14ac:dyDescent="0.2">
      <c r="A6992" s="34">
        <v>36349</v>
      </c>
      <c r="B6992">
        <v>2.5602490000000002</v>
      </c>
      <c r="C6992">
        <f t="shared" si="114"/>
        <v>0</v>
      </c>
    </row>
    <row r="6993" spans="1:3" x14ac:dyDescent="0.2">
      <c r="A6993" s="34">
        <v>36348</v>
      </c>
      <c r="B6993">
        <v>2.5596139999999998</v>
      </c>
      <c r="C6993">
        <f t="shared" si="114"/>
        <v>0</v>
      </c>
    </row>
    <row r="6994" spans="1:3" x14ac:dyDescent="0.2">
      <c r="A6994" s="34">
        <v>36347</v>
      </c>
      <c r="B6994">
        <v>2.5589789999999999</v>
      </c>
      <c r="C6994">
        <f t="shared" si="114"/>
        <v>0</v>
      </c>
    </row>
    <row r="6995" spans="1:3" x14ac:dyDescent="0.2">
      <c r="A6995" s="34">
        <v>36346</v>
      </c>
      <c r="B6995">
        <v>2.558344</v>
      </c>
      <c r="C6995">
        <f t="shared" si="114"/>
        <v>0</v>
      </c>
    </row>
    <row r="6996" spans="1:3" x14ac:dyDescent="0.2">
      <c r="A6996" s="34">
        <v>36345</v>
      </c>
      <c r="B6996">
        <v>2.5577100000000002</v>
      </c>
      <c r="C6996">
        <f t="shared" si="114"/>
        <v>0</v>
      </c>
    </row>
    <row r="6997" spans="1:3" x14ac:dyDescent="0.2">
      <c r="A6997" s="34">
        <v>36344</v>
      </c>
      <c r="B6997">
        <v>2.5570759999999999</v>
      </c>
      <c r="C6997">
        <f t="shared" si="114"/>
        <v>0</v>
      </c>
    </row>
    <row r="6998" spans="1:3" x14ac:dyDescent="0.2">
      <c r="A6998" s="34">
        <v>36343</v>
      </c>
      <c r="B6998">
        <v>2.556441</v>
      </c>
      <c r="C6998">
        <f t="shared" si="114"/>
        <v>0</v>
      </c>
    </row>
    <row r="6999" spans="1:3" x14ac:dyDescent="0.2">
      <c r="A6999" s="34">
        <v>36342</v>
      </c>
      <c r="B6999">
        <v>2.5558079999999999</v>
      </c>
      <c r="C6999">
        <f t="shared" si="114"/>
        <v>0</v>
      </c>
    </row>
    <row r="7000" spans="1:3" x14ac:dyDescent="0.2">
      <c r="A7000" s="34">
        <v>36341</v>
      </c>
      <c r="B7000">
        <v>2.5551740000000001</v>
      </c>
      <c r="C7000">
        <f t="shared" si="114"/>
        <v>0</v>
      </c>
    </row>
    <row r="7001" spans="1:3" x14ac:dyDescent="0.2">
      <c r="A7001" s="34">
        <v>36340</v>
      </c>
      <c r="B7001">
        <v>2.5545399999999998</v>
      </c>
      <c r="C7001">
        <f t="shared" si="114"/>
        <v>0</v>
      </c>
    </row>
    <row r="7002" spans="1:3" x14ac:dyDescent="0.2">
      <c r="A7002" s="34">
        <v>36339</v>
      </c>
      <c r="B7002">
        <v>2.5539070000000001</v>
      </c>
      <c r="C7002">
        <f t="shared" si="114"/>
        <v>0</v>
      </c>
    </row>
    <row r="7003" spans="1:3" x14ac:dyDescent="0.2">
      <c r="A7003" s="34">
        <v>36338</v>
      </c>
      <c r="B7003">
        <v>2.5532729999999999</v>
      </c>
      <c r="C7003">
        <f t="shared" si="114"/>
        <v>0</v>
      </c>
    </row>
    <row r="7004" spans="1:3" x14ac:dyDescent="0.2">
      <c r="A7004" s="34">
        <v>36337</v>
      </c>
      <c r="B7004">
        <v>2.5526399999999998</v>
      </c>
      <c r="C7004">
        <f t="shared" si="114"/>
        <v>0</v>
      </c>
    </row>
    <row r="7005" spans="1:3" x14ac:dyDescent="0.2">
      <c r="A7005" s="34">
        <v>36336</v>
      </c>
      <c r="B7005">
        <v>2.5520070000000001</v>
      </c>
      <c r="C7005">
        <f t="shared" si="114"/>
        <v>0</v>
      </c>
    </row>
    <row r="7006" spans="1:3" x14ac:dyDescent="0.2">
      <c r="A7006" s="34">
        <v>36335</v>
      </c>
      <c r="B7006">
        <v>2.5515089999999998</v>
      </c>
      <c r="C7006">
        <f t="shared" si="114"/>
        <v>0</v>
      </c>
    </row>
    <row r="7007" spans="1:3" x14ac:dyDescent="0.2">
      <c r="A7007" s="34">
        <v>36334</v>
      </c>
      <c r="B7007">
        <v>2.5510109999999999</v>
      </c>
      <c r="C7007">
        <f t="shared" si="114"/>
        <v>0</v>
      </c>
    </row>
    <row r="7008" spans="1:3" x14ac:dyDescent="0.2">
      <c r="A7008" s="34">
        <v>36333</v>
      </c>
      <c r="B7008">
        <v>2.5505140000000002</v>
      </c>
      <c r="C7008">
        <f t="shared" si="114"/>
        <v>0</v>
      </c>
    </row>
    <row r="7009" spans="1:3" x14ac:dyDescent="0.2">
      <c r="A7009" s="34">
        <v>36332</v>
      </c>
      <c r="B7009">
        <v>2.5500159999999998</v>
      </c>
      <c r="C7009">
        <f t="shared" si="114"/>
        <v>0</v>
      </c>
    </row>
    <row r="7010" spans="1:3" x14ac:dyDescent="0.2">
      <c r="A7010" s="34">
        <v>36331</v>
      </c>
      <c r="B7010">
        <v>2.5495190000000001</v>
      </c>
      <c r="C7010">
        <f t="shared" si="114"/>
        <v>0</v>
      </c>
    </row>
    <row r="7011" spans="1:3" x14ac:dyDescent="0.2">
      <c r="A7011" s="34">
        <v>36330</v>
      </c>
      <c r="B7011">
        <v>2.5490210000000002</v>
      </c>
      <c r="C7011">
        <f t="shared" si="114"/>
        <v>0</v>
      </c>
    </row>
    <row r="7012" spans="1:3" x14ac:dyDescent="0.2">
      <c r="A7012" s="34">
        <v>36329</v>
      </c>
      <c r="B7012">
        <v>2.548524</v>
      </c>
      <c r="C7012">
        <f t="shared" si="114"/>
        <v>0</v>
      </c>
    </row>
    <row r="7013" spans="1:3" x14ac:dyDescent="0.2">
      <c r="A7013" s="34">
        <v>36328</v>
      </c>
      <c r="B7013">
        <v>2.5480269999999998</v>
      </c>
      <c r="C7013">
        <f t="shared" si="114"/>
        <v>0</v>
      </c>
    </row>
    <row r="7014" spans="1:3" x14ac:dyDescent="0.2">
      <c r="A7014" s="34">
        <v>36327</v>
      </c>
      <c r="B7014">
        <v>2.5475300000000001</v>
      </c>
      <c r="C7014">
        <f t="shared" si="114"/>
        <v>0</v>
      </c>
    </row>
    <row r="7015" spans="1:3" x14ac:dyDescent="0.2">
      <c r="A7015" s="34">
        <v>36326</v>
      </c>
      <c r="B7015">
        <v>2.5470329999999999</v>
      </c>
      <c r="C7015">
        <f t="shared" si="114"/>
        <v>0</v>
      </c>
    </row>
    <row r="7016" spans="1:3" x14ac:dyDescent="0.2">
      <c r="A7016" s="34">
        <v>36325</v>
      </c>
      <c r="B7016">
        <v>2.5465360000000001</v>
      </c>
      <c r="C7016">
        <f t="shared" si="114"/>
        <v>0</v>
      </c>
    </row>
    <row r="7017" spans="1:3" x14ac:dyDescent="0.2">
      <c r="A7017" s="34">
        <v>36324</v>
      </c>
      <c r="B7017">
        <v>2.5460389999999999</v>
      </c>
      <c r="C7017">
        <f t="shared" si="114"/>
        <v>0</v>
      </c>
    </row>
    <row r="7018" spans="1:3" x14ac:dyDescent="0.2">
      <c r="A7018" s="34">
        <v>36323</v>
      </c>
      <c r="B7018">
        <v>2.5455420000000002</v>
      </c>
      <c r="C7018">
        <f t="shared" si="114"/>
        <v>0</v>
      </c>
    </row>
    <row r="7019" spans="1:3" x14ac:dyDescent="0.2">
      <c r="A7019" s="34">
        <v>36322</v>
      </c>
      <c r="B7019">
        <v>2.5450460000000001</v>
      </c>
      <c r="C7019">
        <f t="shared" si="114"/>
        <v>0</v>
      </c>
    </row>
    <row r="7020" spans="1:3" x14ac:dyDescent="0.2">
      <c r="A7020" s="34">
        <v>36321</v>
      </c>
      <c r="B7020">
        <v>2.5445489999999999</v>
      </c>
      <c r="C7020">
        <f t="shared" si="114"/>
        <v>0</v>
      </c>
    </row>
    <row r="7021" spans="1:3" x14ac:dyDescent="0.2">
      <c r="A7021" s="34">
        <v>36320</v>
      </c>
      <c r="B7021">
        <v>2.5441609999999999</v>
      </c>
      <c r="C7021">
        <f t="shared" si="114"/>
        <v>0</v>
      </c>
    </row>
    <row r="7022" spans="1:3" x14ac:dyDescent="0.2">
      <c r="A7022" s="34">
        <v>36319</v>
      </c>
      <c r="B7022">
        <v>2.5437729999999998</v>
      </c>
      <c r="C7022">
        <f t="shared" si="114"/>
        <v>0</v>
      </c>
    </row>
    <row r="7023" spans="1:3" x14ac:dyDescent="0.2">
      <c r="A7023" s="34">
        <v>36318</v>
      </c>
      <c r="B7023">
        <v>2.5433849999999998</v>
      </c>
      <c r="C7023">
        <f t="shared" si="114"/>
        <v>0</v>
      </c>
    </row>
    <row r="7024" spans="1:3" x14ac:dyDescent="0.2">
      <c r="A7024" s="34">
        <v>36317</v>
      </c>
      <c r="B7024">
        <v>2.5429970000000002</v>
      </c>
      <c r="C7024">
        <f t="shared" si="114"/>
        <v>0</v>
      </c>
    </row>
    <row r="7025" spans="1:3" x14ac:dyDescent="0.2">
      <c r="A7025" s="34">
        <v>36316</v>
      </c>
      <c r="B7025">
        <v>2.5426090000000001</v>
      </c>
      <c r="C7025">
        <f t="shared" si="114"/>
        <v>0</v>
      </c>
    </row>
    <row r="7026" spans="1:3" x14ac:dyDescent="0.2">
      <c r="A7026" s="34">
        <v>36315</v>
      </c>
      <c r="B7026">
        <v>2.5422210000000001</v>
      </c>
      <c r="C7026">
        <f t="shared" si="114"/>
        <v>0</v>
      </c>
    </row>
    <row r="7027" spans="1:3" x14ac:dyDescent="0.2">
      <c r="A7027" s="34">
        <v>36314</v>
      </c>
      <c r="B7027">
        <v>2.541833</v>
      </c>
      <c r="C7027">
        <f t="shared" si="114"/>
        <v>0</v>
      </c>
    </row>
    <row r="7028" spans="1:3" x14ac:dyDescent="0.2">
      <c r="A7028" s="34">
        <v>36313</v>
      </c>
      <c r="B7028">
        <v>2.541445</v>
      </c>
      <c r="C7028">
        <f t="shared" si="114"/>
        <v>0</v>
      </c>
    </row>
    <row r="7029" spans="1:3" x14ac:dyDescent="0.2">
      <c r="A7029" s="34">
        <v>36312</v>
      </c>
      <c r="B7029">
        <v>2.5410569999999999</v>
      </c>
      <c r="C7029">
        <f t="shared" si="114"/>
        <v>0</v>
      </c>
    </row>
    <row r="7030" spans="1:3" x14ac:dyDescent="0.2">
      <c r="A7030" s="34">
        <v>36311</v>
      </c>
      <c r="B7030">
        <v>2.5406689999999998</v>
      </c>
      <c r="C7030">
        <f t="shared" si="114"/>
        <v>0</v>
      </c>
    </row>
    <row r="7031" spans="1:3" x14ac:dyDescent="0.2">
      <c r="A7031" s="34">
        <v>36310</v>
      </c>
      <c r="B7031">
        <v>2.5402819999999999</v>
      </c>
      <c r="C7031">
        <f t="shared" si="114"/>
        <v>0</v>
      </c>
    </row>
    <row r="7032" spans="1:3" x14ac:dyDescent="0.2">
      <c r="A7032" s="34">
        <v>36309</v>
      </c>
      <c r="B7032">
        <v>2.5398939999999999</v>
      </c>
      <c r="C7032">
        <f t="shared" si="114"/>
        <v>0</v>
      </c>
    </row>
    <row r="7033" spans="1:3" x14ac:dyDescent="0.2">
      <c r="A7033" s="34">
        <v>36308</v>
      </c>
      <c r="B7033">
        <v>2.539507</v>
      </c>
      <c r="C7033">
        <f t="shared" si="114"/>
        <v>0</v>
      </c>
    </row>
    <row r="7034" spans="1:3" x14ac:dyDescent="0.2">
      <c r="A7034" s="34">
        <v>36307</v>
      </c>
      <c r="B7034">
        <v>2.5391189999999999</v>
      </c>
      <c r="C7034">
        <f t="shared" si="114"/>
        <v>0</v>
      </c>
    </row>
    <row r="7035" spans="1:3" x14ac:dyDescent="0.2">
      <c r="A7035" s="34">
        <v>36306</v>
      </c>
      <c r="B7035">
        <v>2.538732</v>
      </c>
      <c r="C7035">
        <f t="shared" si="114"/>
        <v>0</v>
      </c>
    </row>
    <row r="7036" spans="1:3" x14ac:dyDescent="0.2">
      <c r="A7036" s="34">
        <v>36305</v>
      </c>
      <c r="B7036">
        <v>2.5383439999999999</v>
      </c>
      <c r="C7036">
        <f t="shared" si="114"/>
        <v>0</v>
      </c>
    </row>
    <row r="7037" spans="1:3" x14ac:dyDescent="0.2">
      <c r="A7037" s="34">
        <v>36304</v>
      </c>
      <c r="B7037">
        <v>2.537636</v>
      </c>
      <c r="C7037">
        <f t="shared" si="114"/>
        <v>0</v>
      </c>
    </row>
    <row r="7038" spans="1:3" x14ac:dyDescent="0.2">
      <c r="A7038" s="34">
        <v>36303</v>
      </c>
      <c r="B7038">
        <v>2.5369269999999999</v>
      </c>
      <c r="C7038">
        <f t="shared" si="114"/>
        <v>0</v>
      </c>
    </row>
    <row r="7039" spans="1:3" x14ac:dyDescent="0.2">
      <c r="A7039" s="34">
        <v>36302</v>
      </c>
      <c r="B7039">
        <v>2.536219</v>
      </c>
      <c r="C7039">
        <f t="shared" si="114"/>
        <v>0</v>
      </c>
    </row>
    <row r="7040" spans="1:3" x14ac:dyDescent="0.2">
      <c r="A7040" s="34">
        <v>36301</v>
      </c>
      <c r="B7040">
        <v>2.5355110000000001</v>
      </c>
      <c r="C7040">
        <f t="shared" si="114"/>
        <v>0</v>
      </c>
    </row>
    <row r="7041" spans="1:3" x14ac:dyDescent="0.2">
      <c r="A7041" s="34">
        <v>36300</v>
      </c>
      <c r="B7041">
        <v>2.5348030000000001</v>
      </c>
      <c r="C7041">
        <f t="shared" si="114"/>
        <v>0</v>
      </c>
    </row>
    <row r="7042" spans="1:3" x14ac:dyDescent="0.2">
      <c r="A7042" s="34">
        <v>36299</v>
      </c>
      <c r="B7042">
        <v>2.5340959999999999</v>
      </c>
      <c r="C7042">
        <f t="shared" ref="C7042:C7105" si="115">IFERROR(VLOOKUP(A7042,$M$2:$N$3695,2,0),C7043)</f>
        <v>0</v>
      </c>
    </row>
    <row r="7043" spans="1:3" x14ac:dyDescent="0.2">
      <c r="A7043" s="34">
        <v>36298</v>
      </c>
      <c r="B7043">
        <v>2.533388</v>
      </c>
      <c r="C7043">
        <f t="shared" si="115"/>
        <v>0</v>
      </c>
    </row>
    <row r="7044" spans="1:3" x14ac:dyDescent="0.2">
      <c r="A7044" s="34">
        <v>36297</v>
      </c>
      <c r="B7044">
        <v>2.5326810000000002</v>
      </c>
      <c r="C7044">
        <f t="shared" si="115"/>
        <v>0</v>
      </c>
    </row>
    <row r="7045" spans="1:3" x14ac:dyDescent="0.2">
      <c r="A7045" s="34">
        <v>36296</v>
      </c>
      <c r="B7045">
        <v>2.5319739999999999</v>
      </c>
      <c r="C7045">
        <f t="shared" si="115"/>
        <v>0</v>
      </c>
    </row>
    <row r="7046" spans="1:3" x14ac:dyDescent="0.2">
      <c r="A7046" s="34">
        <v>36295</v>
      </c>
      <c r="B7046">
        <v>2.5312670000000002</v>
      </c>
      <c r="C7046">
        <f t="shared" si="115"/>
        <v>0</v>
      </c>
    </row>
    <row r="7047" spans="1:3" x14ac:dyDescent="0.2">
      <c r="A7047" s="34">
        <v>36294</v>
      </c>
      <c r="B7047">
        <v>2.5305610000000001</v>
      </c>
      <c r="C7047">
        <f t="shared" si="115"/>
        <v>0</v>
      </c>
    </row>
    <row r="7048" spans="1:3" x14ac:dyDescent="0.2">
      <c r="A7048" s="34">
        <v>36293</v>
      </c>
      <c r="B7048">
        <v>2.5298539999999998</v>
      </c>
      <c r="C7048">
        <f t="shared" si="115"/>
        <v>0</v>
      </c>
    </row>
    <row r="7049" spans="1:3" x14ac:dyDescent="0.2">
      <c r="A7049" s="34">
        <v>36292</v>
      </c>
      <c r="B7049">
        <v>2.5291480000000002</v>
      </c>
      <c r="C7049">
        <f t="shared" si="115"/>
        <v>0</v>
      </c>
    </row>
    <row r="7050" spans="1:3" x14ac:dyDescent="0.2">
      <c r="A7050" s="34">
        <v>36291</v>
      </c>
      <c r="B7050">
        <v>2.5284420000000001</v>
      </c>
      <c r="C7050">
        <f t="shared" si="115"/>
        <v>0</v>
      </c>
    </row>
    <row r="7051" spans="1:3" x14ac:dyDescent="0.2">
      <c r="A7051" s="34">
        <v>36290</v>
      </c>
      <c r="B7051">
        <v>2.527736</v>
      </c>
      <c r="C7051">
        <f t="shared" si="115"/>
        <v>0</v>
      </c>
    </row>
    <row r="7052" spans="1:3" x14ac:dyDescent="0.2">
      <c r="A7052" s="34">
        <v>36289</v>
      </c>
      <c r="B7052">
        <v>2.5269520000000001</v>
      </c>
      <c r="C7052">
        <f t="shared" si="115"/>
        <v>0</v>
      </c>
    </row>
    <row r="7053" spans="1:3" x14ac:dyDescent="0.2">
      <c r="A7053" s="34">
        <v>36288</v>
      </c>
      <c r="B7053">
        <v>2.5261680000000002</v>
      </c>
      <c r="C7053">
        <f t="shared" si="115"/>
        <v>0</v>
      </c>
    </row>
    <row r="7054" spans="1:3" x14ac:dyDescent="0.2">
      <c r="A7054" s="34">
        <v>36287</v>
      </c>
      <c r="B7054">
        <v>2.5253839999999999</v>
      </c>
      <c r="C7054">
        <f t="shared" si="115"/>
        <v>0</v>
      </c>
    </row>
    <row r="7055" spans="1:3" x14ac:dyDescent="0.2">
      <c r="A7055" s="34">
        <v>36286</v>
      </c>
      <c r="B7055">
        <v>2.5246</v>
      </c>
      <c r="C7055">
        <f t="shared" si="115"/>
        <v>0</v>
      </c>
    </row>
    <row r="7056" spans="1:3" x14ac:dyDescent="0.2">
      <c r="A7056" s="34">
        <v>36285</v>
      </c>
      <c r="B7056">
        <v>2.5238170000000002</v>
      </c>
      <c r="C7056">
        <f t="shared" si="115"/>
        <v>0</v>
      </c>
    </row>
    <row r="7057" spans="1:3" x14ac:dyDescent="0.2">
      <c r="A7057" s="34">
        <v>36284</v>
      </c>
      <c r="B7057">
        <v>2.523034</v>
      </c>
      <c r="C7057">
        <f t="shared" si="115"/>
        <v>0</v>
      </c>
    </row>
    <row r="7058" spans="1:3" x14ac:dyDescent="0.2">
      <c r="A7058" s="34">
        <v>36283</v>
      </c>
      <c r="B7058">
        <v>2.5222509999999998</v>
      </c>
      <c r="C7058">
        <f t="shared" si="115"/>
        <v>0</v>
      </c>
    </row>
    <row r="7059" spans="1:3" x14ac:dyDescent="0.2">
      <c r="A7059" s="34">
        <v>36282</v>
      </c>
      <c r="B7059">
        <v>2.521468</v>
      </c>
      <c r="C7059">
        <f t="shared" si="115"/>
        <v>0</v>
      </c>
    </row>
    <row r="7060" spans="1:3" x14ac:dyDescent="0.2">
      <c r="A7060" s="34">
        <v>36281</v>
      </c>
      <c r="B7060">
        <v>2.520686</v>
      </c>
      <c r="C7060">
        <f t="shared" si="115"/>
        <v>0</v>
      </c>
    </row>
    <row r="7061" spans="1:3" x14ac:dyDescent="0.2">
      <c r="A7061" s="34">
        <v>36280</v>
      </c>
      <c r="B7061">
        <v>2.5199039999999999</v>
      </c>
      <c r="C7061">
        <f t="shared" si="115"/>
        <v>0</v>
      </c>
    </row>
    <row r="7062" spans="1:3" x14ac:dyDescent="0.2">
      <c r="A7062" s="34">
        <v>36279</v>
      </c>
      <c r="B7062">
        <v>2.5191219999999999</v>
      </c>
      <c r="C7062">
        <f t="shared" si="115"/>
        <v>0</v>
      </c>
    </row>
    <row r="7063" spans="1:3" x14ac:dyDescent="0.2">
      <c r="A7063" s="34">
        <v>36278</v>
      </c>
      <c r="B7063">
        <v>2.5183399999999998</v>
      </c>
      <c r="C7063">
        <f t="shared" si="115"/>
        <v>0</v>
      </c>
    </row>
    <row r="7064" spans="1:3" x14ac:dyDescent="0.2">
      <c r="A7064" s="34">
        <v>36277</v>
      </c>
      <c r="B7064">
        <v>2.5175589999999999</v>
      </c>
      <c r="C7064">
        <f t="shared" si="115"/>
        <v>0</v>
      </c>
    </row>
    <row r="7065" spans="1:3" x14ac:dyDescent="0.2">
      <c r="A7065" s="34">
        <v>36276</v>
      </c>
      <c r="B7065">
        <v>2.516778</v>
      </c>
      <c r="C7065">
        <f t="shared" si="115"/>
        <v>0</v>
      </c>
    </row>
    <row r="7066" spans="1:3" x14ac:dyDescent="0.2">
      <c r="A7066" s="34">
        <v>36275</v>
      </c>
      <c r="B7066">
        <v>2.515997</v>
      </c>
      <c r="C7066">
        <f t="shared" si="115"/>
        <v>0</v>
      </c>
    </row>
    <row r="7067" spans="1:3" x14ac:dyDescent="0.2">
      <c r="A7067" s="34">
        <v>36274</v>
      </c>
      <c r="B7067">
        <v>2.5151970000000001</v>
      </c>
      <c r="C7067">
        <f t="shared" si="115"/>
        <v>0</v>
      </c>
    </row>
    <row r="7068" spans="1:3" x14ac:dyDescent="0.2">
      <c r="A7068" s="34">
        <v>36273</v>
      </c>
      <c r="B7068">
        <v>2.5143970000000002</v>
      </c>
      <c r="C7068">
        <f t="shared" si="115"/>
        <v>0</v>
      </c>
    </row>
    <row r="7069" spans="1:3" x14ac:dyDescent="0.2">
      <c r="A7069" s="34">
        <v>36272</v>
      </c>
      <c r="B7069">
        <v>2.5135969999999999</v>
      </c>
      <c r="C7069">
        <f t="shared" si="115"/>
        <v>0</v>
      </c>
    </row>
    <row r="7070" spans="1:3" x14ac:dyDescent="0.2">
      <c r="A7070" s="34">
        <v>36271</v>
      </c>
      <c r="B7070">
        <v>2.5127980000000001</v>
      </c>
      <c r="C7070">
        <f t="shared" si="115"/>
        <v>0</v>
      </c>
    </row>
    <row r="7071" spans="1:3" x14ac:dyDescent="0.2">
      <c r="A7071" s="34">
        <v>36270</v>
      </c>
      <c r="B7071">
        <v>2.5119989999999999</v>
      </c>
      <c r="C7071">
        <f t="shared" si="115"/>
        <v>0</v>
      </c>
    </row>
    <row r="7072" spans="1:3" x14ac:dyDescent="0.2">
      <c r="A7072" s="34">
        <v>36269</v>
      </c>
      <c r="B7072">
        <v>2.5112000000000001</v>
      </c>
      <c r="C7072">
        <f t="shared" si="115"/>
        <v>0</v>
      </c>
    </row>
    <row r="7073" spans="1:3" x14ac:dyDescent="0.2">
      <c r="A7073" s="34">
        <v>36268</v>
      </c>
      <c r="B7073">
        <v>2.5104009999999999</v>
      </c>
      <c r="C7073">
        <f t="shared" si="115"/>
        <v>0</v>
      </c>
    </row>
    <row r="7074" spans="1:3" x14ac:dyDescent="0.2">
      <c r="A7074" s="34">
        <v>36267</v>
      </c>
      <c r="B7074">
        <v>2.5096029999999998</v>
      </c>
      <c r="C7074">
        <f t="shared" si="115"/>
        <v>0</v>
      </c>
    </row>
    <row r="7075" spans="1:3" x14ac:dyDescent="0.2">
      <c r="A7075" s="34">
        <v>36266</v>
      </c>
      <c r="B7075">
        <v>2.5088050000000002</v>
      </c>
      <c r="C7075">
        <f t="shared" si="115"/>
        <v>0</v>
      </c>
    </row>
    <row r="7076" spans="1:3" x14ac:dyDescent="0.2">
      <c r="A7076" s="34">
        <v>36265</v>
      </c>
      <c r="B7076">
        <v>2.5080070000000001</v>
      </c>
      <c r="C7076">
        <f t="shared" si="115"/>
        <v>0</v>
      </c>
    </row>
    <row r="7077" spans="1:3" x14ac:dyDescent="0.2">
      <c r="A7077" s="34">
        <v>36264</v>
      </c>
      <c r="B7077">
        <v>2.5072100000000002</v>
      </c>
      <c r="C7077">
        <f t="shared" si="115"/>
        <v>0</v>
      </c>
    </row>
    <row r="7078" spans="1:3" x14ac:dyDescent="0.2">
      <c r="A7078" s="34">
        <v>36263</v>
      </c>
      <c r="B7078">
        <v>2.5064129999999998</v>
      </c>
      <c r="C7078">
        <f t="shared" si="115"/>
        <v>0</v>
      </c>
    </row>
    <row r="7079" spans="1:3" x14ac:dyDescent="0.2">
      <c r="A7079" s="34">
        <v>36262</v>
      </c>
      <c r="B7079">
        <v>2.5056150000000001</v>
      </c>
      <c r="C7079">
        <f t="shared" si="115"/>
        <v>0</v>
      </c>
    </row>
    <row r="7080" spans="1:3" x14ac:dyDescent="0.2">
      <c r="A7080" s="34">
        <v>36261</v>
      </c>
      <c r="B7080">
        <v>2.5048189999999999</v>
      </c>
      <c r="C7080">
        <f t="shared" si="115"/>
        <v>0</v>
      </c>
    </row>
    <row r="7081" spans="1:3" x14ac:dyDescent="0.2">
      <c r="A7081" s="34">
        <v>36260</v>
      </c>
      <c r="B7081">
        <v>2.504022</v>
      </c>
      <c r="C7081">
        <f t="shared" si="115"/>
        <v>0</v>
      </c>
    </row>
    <row r="7082" spans="1:3" x14ac:dyDescent="0.2">
      <c r="A7082" s="34">
        <v>36259</v>
      </c>
      <c r="B7082">
        <v>2.5032760000000001</v>
      </c>
      <c r="C7082">
        <f t="shared" si="115"/>
        <v>0</v>
      </c>
    </row>
    <row r="7083" spans="1:3" x14ac:dyDescent="0.2">
      <c r="A7083" s="34">
        <v>36258</v>
      </c>
      <c r="B7083">
        <v>2.5025309999999998</v>
      </c>
      <c r="C7083">
        <f t="shared" si="115"/>
        <v>0</v>
      </c>
    </row>
    <row r="7084" spans="1:3" x14ac:dyDescent="0.2">
      <c r="A7084" s="34">
        <v>36257</v>
      </c>
      <c r="B7084">
        <v>2.5017860000000001</v>
      </c>
      <c r="C7084">
        <f t="shared" si="115"/>
        <v>0</v>
      </c>
    </row>
    <row r="7085" spans="1:3" x14ac:dyDescent="0.2">
      <c r="A7085" s="34">
        <v>36256</v>
      </c>
      <c r="B7085">
        <v>2.5010409999999998</v>
      </c>
      <c r="C7085">
        <f t="shared" si="115"/>
        <v>0</v>
      </c>
    </row>
    <row r="7086" spans="1:3" x14ac:dyDescent="0.2">
      <c r="A7086" s="34">
        <v>36255</v>
      </c>
      <c r="B7086">
        <v>2.5002960000000001</v>
      </c>
      <c r="C7086">
        <f t="shared" si="115"/>
        <v>0</v>
      </c>
    </row>
    <row r="7087" spans="1:3" x14ac:dyDescent="0.2">
      <c r="A7087" s="34">
        <v>36254</v>
      </c>
      <c r="B7087">
        <v>2.4995509999999999</v>
      </c>
      <c r="C7087">
        <f t="shared" si="115"/>
        <v>0</v>
      </c>
    </row>
    <row r="7088" spans="1:3" x14ac:dyDescent="0.2">
      <c r="A7088" s="34">
        <v>36253</v>
      </c>
      <c r="B7088">
        <v>2.4988069999999998</v>
      </c>
      <c r="C7088">
        <f t="shared" si="115"/>
        <v>0</v>
      </c>
    </row>
    <row r="7089" spans="1:3" x14ac:dyDescent="0.2">
      <c r="A7089" s="34">
        <v>36252</v>
      </c>
      <c r="B7089">
        <v>2.4980630000000001</v>
      </c>
      <c r="C7089">
        <f t="shared" si="115"/>
        <v>0</v>
      </c>
    </row>
    <row r="7090" spans="1:3" x14ac:dyDescent="0.2">
      <c r="A7090" s="34">
        <v>36251</v>
      </c>
      <c r="B7090">
        <v>2.4973190000000001</v>
      </c>
      <c r="C7090">
        <f t="shared" si="115"/>
        <v>0</v>
      </c>
    </row>
    <row r="7091" spans="1:3" x14ac:dyDescent="0.2">
      <c r="A7091" s="34">
        <v>36250</v>
      </c>
      <c r="B7091">
        <v>2.496575</v>
      </c>
      <c r="C7091">
        <f t="shared" si="115"/>
        <v>0</v>
      </c>
    </row>
    <row r="7092" spans="1:3" x14ac:dyDescent="0.2">
      <c r="A7092" s="34">
        <v>36249</v>
      </c>
      <c r="B7092">
        <v>2.4958320000000001</v>
      </c>
      <c r="C7092">
        <f t="shared" si="115"/>
        <v>0</v>
      </c>
    </row>
    <row r="7093" spans="1:3" x14ac:dyDescent="0.2">
      <c r="A7093" s="34">
        <v>36248</v>
      </c>
      <c r="B7093">
        <v>2.495088</v>
      </c>
      <c r="C7093">
        <f t="shared" si="115"/>
        <v>0</v>
      </c>
    </row>
    <row r="7094" spans="1:3" x14ac:dyDescent="0.2">
      <c r="A7094" s="34">
        <v>36247</v>
      </c>
      <c r="B7094">
        <v>2.494345</v>
      </c>
      <c r="C7094">
        <f t="shared" si="115"/>
        <v>0</v>
      </c>
    </row>
    <row r="7095" spans="1:3" x14ac:dyDescent="0.2">
      <c r="A7095" s="34">
        <v>36246</v>
      </c>
      <c r="B7095">
        <v>2.4936020000000001</v>
      </c>
      <c r="C7095">
        <f t="shared" si="115"/>
        <v>0</v>
      </c>
    </row>
    <row r="7096" spans="1:3" x14ac:dyDescent="0.2">
      <c r="A7096" s="34">
        <v>36245</v>
      </c>
      <c r="B7096">
        <v>2.4928599999999999</v>
      </c>
      <c r="C7096">
        <f t="shared" si="115"/>
        <v>0</v>
      </c>
    </row>
    <row r="7097" spans="1:3" x14ac:dyDescent="0.2">
      <c r="A7097" s="34">
        <v>36244</v>
      </c>
      <c r="B7097">
        <v>2.4921169999999999</v>
      </c>
      <c r="C7097">
        <f t="shared" si="115"/>
        <v>0</v>
      </c>
    </row>
    <row r="7098" spans="1:3" x14ac:dyDescent="0.2">
      <c r="A7098" s="34">
        <v>36243</v>
      </c>
      <c r="B7098">
        <v>2.4914209999999999</v>
      </c>
      <c r="C7098">
        <f t="shared" si="115"/>
        <v>0</v>
      </c>
    </row>
    <row r="7099" spans="1:3" x14ac:dyDescent="0.2">
      <c r="A7099" s="34">
        <v>36242</v>
      </c>
      <c r="B7099">
        <v>2.4907249999999999</v>
      </c>
      <c r="C7099">
        <f t="shared" si="115"/>
        <v>0</v>
      </c>
    </row>
    <row r="7100" spans="1:3" x14ac:dyDescent="0.2">
      <c r="A7100" s="34">
        <v>36241</v>
      </c>
      <c r="B7100">
        <v>2.4900289999999998</v>
      </c>
      <c r="C7100">
        <f t="shared" si="115"/>
        <v>0</v>
      </c>
    </row>
    <row r="7101" spans="1:3" x14ac:dyDescent="0.2">
      <c r="A7101" s="34">
        <v>36240</v>
      </c>
      <c r="B7101">
        <v>2.4893329999999998</v>
      </c>
      <c r="C7101">
        <f t="shared" si="115"/>
        <v>0</v>
      </c>
    </row>
    <row r="7102" spans="1:3" x14ac:dyDescent="0.2">
      <c r="A7102" s="34">
        <v>36239</v>
      </c>
      <c r="B7102">
        <v>2.4886370000000002</v>
      </c>
      <c r="C7102">
        <f t="shared" si="115"/>
        <v>0</v>
      </c>
    </row>
    <row r="7103" spans="1:3" x14ac:dyDescent="0.2">
      <c r="A7103" s="34">
        <v>36238</v>
      </c>
      <c r="B7103">
        <v>2.4879419999999999</v>
      </c>
      <c r="C7103">
        <f t="shared" si="115"/>
        <v>0</v>
      </c>
    </row>
    <row r="7104" spans="1:3" x14ac:dyDescent="0.2">
      <c r="A7104" s="34">
        <v>36237</v>
      </c>
      <c r="B7104">
        <v>2.487247</v>
      </c>
      <c r="C7104">
        <f t="shared" si="115"/>
        <v>0</v>
      </c>
    </row>
    <row r="7105" spans="1:3" x14ac:dyDescent="0.2">
      <c r="A7105" s="34">
        <v>36236</v>
      </c>
      <c r="B7105">
        <v>2.4865520000000001</v>
      </c>
      <c r="C7105">
        <f t="shared" si="115"/>
        <v>0</v>
      </c>
    </row>
    <row r="7106" spans="1:3" x14ac:dyDescent="0.2">
      <c r="A7106" s="34">
        <v>36235</v>
      </c>
      <c r="B7106">
        <v>2.4858570000000002</v>
      </c>
      <c r="C7106">
        <f t="shared" ref="C7106:C7169" si="116">IFERROR(VLOOKUP(A7106,$M$2:$N$3695,2,0),C7107)</f>
        <v>0</v>
      </c>
    </row>
    <row r="7107" spans="1:3" x14ac:dyDescent="0.2">
      <c r="A7107" s="34">
        <v>36234</v>
      </c>
      <c r="B7107">
        <v>2.4851619999999999</v>
      </c>
      <c r="C7107">
        <f t="shared" si="116"/>
        <v>0</v>
      </c>
    </row>
    <row r="7108" spans="1:3" x14ac:dyDescent="0.2">
      <c r="A7108" s="34">
        <v>36233</v>
      </c>
      <c r="B7108">
        <v>2.4844680000000001</v>
      </c>
      <c r="C7108">
        <f t="shared" si="116"/>
        <v>0</v>
      </c>
    </row>
    <row r="7109" spans="1:3" x14ac:dyDescent="0.2">
      <c r="A7109" s="34">
        <v>36232</v>
      </c>
      <c r="B7109">
        <v>2.4837729999999998</v>
      </c>
      <c r="C7109">
        <f t="shared" si="116"/>
        <v>0</v>
      </c>
    </row>
    <row r="7110" spans="1:3" x14ac:dyDescent="0.2">
      <c r="A7110" s="34">
        <v>36231</v>
      </c>
      <c r="B7110">
        <v>2.483079</v>
      </c>
      <c r="C7110">
        <f t="shared" si="116"/>
        <v>0</v>
      </c>
    </row>
    <row r="7111" spans="1:3" x14ac:dyDescent="0.2">
      <c r="A7111" s="34">
        <v>36230</v>
      </c>
      <c r="B7111">
        <v>2.482386</v>
      </c>
      <c r="C7111">
        <f t="shared" si="116"/>
        <v>0</v>
      </c>
    </row>
    <row r="7112" spans="1:3" x14ac:dyDescent="0.2">
      <c r="A7112" s="34">
        <v>36229</v>
      </c>
      <c r="B7112">
        <v>2.4816919999999998</v>
      </c>
      <c r="C7112">
        <f t="shared" si="116"/>
        <v>0</v>
      </c>
    </row>
    <row r="7113" spans="1:3" x14ac:dyDescent="0.2">
      <c r="A7113" s="34">
        <v>36228</v>
      </c>
      <c r="B7113">
        <v>2.480372</v>
      </c>
      <c r="C7113">
        <f t="shared" si="116"/>
        <v>0</v>
      </c>
    </row>
    <row r="7114" spans="1:3" x14ac:dyDescent="0.2">
      <c r="A7114" s="34">
        <v>36227</v>
      </c>
      <c r="B7114">
        <v>2.4790519999999998</v>
      </c>
      <c r="C7114">
        <f t="shared" si="116"/>
        <v>0</v>
      </c>
    </row>
    <row r="7115" spans="1:3" x14ac:dyDescent="0.2">
      <c r="A7115" s="34">
        <v>36226</v>
      </c>
      <c r="B7115">
        <v>2.4777330000000002</v>
      </c>
      <c r="C7115">
        <f t="shared" si="116"/>
        <v>0</v>
      </c>
    </row>
    <row r="7116" spans="1:3" x14ac:dyDescent="0.2">
      <c r="A7116" s="34">
        <v>36225</v>
      </c>
      <c r="B7116">
        <v>2.4764149999999998</v>
      </c>
      <c r="C7116">
        <f t="shared" si="116"/>
        <v>0</v>
      </c>
    </row>
    <row r="7117" spans="1:3" x14ac:dyDescent="0.2">
      <c r="A7117" s="34">
        <v>36224</v>
      </c>
      <c r="B7117">
        <v>2.475098</v>
      </c>
      <c r="C7117">
        <f t="shared" si="116"/>
        <v>0</v>
      </c>
    </row>
    <row r="7118" spans="1:3" x14ac:dyDescent="0.2">
      <c r="A7118" s="34">
        <v>36223</v>
      </c>
      <c r="B7118">
        <v>2.4737809999999998</v>
      </c>
      <c r="C7118">
        <f t="shared" si="116"/>
        <v>0</v>
      </c>
    </row>
    <row r="7119" spans="1:3" x14ac:dyDescent="0.2">
      <c r="A7119" s="34">
        <v>36222</v>
      </c>
      <c r="B7119">
        <v>2.4724650000000001</v>
      </c>
      <c r="C7119">
        <f t="shared" si="116"/>
        <v>0</v>
      </c>
    </row>
    <row r="7120" spans="1:3" x14ac:dyDescent="0.2">
      <c r="A7120" s="34">
        <v>36221</v>
      </c>
      <c r="B7120">
        <v>2.471149</v>
      </c>
      <c r="C7120">
        <f t="shared" si="116"/>
        <v>0</v>
      </c>
    </row>
    <row r="7121" spans="1:3" x14ac:dyDescent="0.2">
      <c r="A7121" s="34">
        <v>36220</v>
      </c>
      <c r="B7121">
        <v>2.4698349999999998</v>
      </c>
      <c r="C7121">
        <f t="shared" si="116"/>
        <v>0</v>
      </c>
    </row>
    <row r="7122" spans="1:3" x14ac:dyDescent="0.2">
      <c r="A7122" s="34">
        <v>36219</v>
      </c>
      <c r="B7122">
        <v>2.468521</v>
      </c>
      <c r="C7122">
        <f t="shared" si="116"/>
        <v>0</v>
      </c>
    </row>
    <row r="7123" spans="1:3" x14ac:dyDescent="0.2">
      <c r="A7123" s="34">
        <v>36218</v>
      </c>
      <c r="B7123">
        <v>2.4672070000000001</v>
      </c>
      <c r="C7123">
        <f t="shared" si="116"/>
        <v>0</v>
      </c>
    </row>
    <row r="7124" spans="1:3" x14ac:dyDescent="0.2">
      <c r="A7124" s="34">
        <v>36217</v>
      </c>
      <c r="B7124">
        <v>2.4658950000000002</v>
      </c>
      <c r="C7124">
        <f t="shared" si="116"/>
        <v>0</v>
      </c>
    </row>
    <row r="7125" spans="1:3" x14ac:dyDescent="0.2">
      <c r="A7125" s="34">
        <v>36216</v>
      </c>
      <c r="B7125">
        <v>2.4645830000000002</v>
      </c>
      <c r="C7125">
        <f t="shared" si="116"/>
        <v>0</v>
      </c>
    </row>
    <row r="7126" spans="1:3" x14ac:dyDescent="0.2">
      <c r="A7126" s="34">
        <v>36215</v>
      </c>
      <c r="B7126">
        <v>2.4631560000000001</v>
      </c>
      <c r="C7126">
        <f t="shared" si="116"/>
        <v>0</v>
      </c>
    </row>
    <row r="7127" spans="1:3" x14ac:dyDescent="0.2">
      <c r="A7127" s="34">
        <v>36214</v>
      </c>
      <c r="B7127">
        <v>2.4617309999999999</v>
      </c>
      <c r="C7127">
        <f t="shared" si="116"/>
        <v>0</v>
      </c>
    </row>
    <row r="7128" spans="1:3" x14ac:dyDescent="0.2">
      <c r="A7128" s="34">
        <v>36213</v>
      </c>
      <c r="B7128">
        <v>2.4603060000000001</v>
      </c>
      <c r="C7128">
        <f t="shared" si="116"/>
        <v>0</v>
      </c>
    </row>
    <row r="7129" spans="1:3" x14ac:dyDescent="0.2">
      <c r="A7129" s="34">
        <v>36212</v>
      </c>
      <c r="B7129">
        <v>2.458882</v>
      </c>
      <c r="C7129">
        <f t="shared" si="116"/>
        <v>0</v>
      </c>
    </row>
    <row r="7130" spans="1:3" x14ac:dyDescent="0.2">
      <c r="A7130" s="34">
        <v>36211</v>
      </c>
      <c r="B7130">
        <v>2.4574579999999999</v>
      </c>
      <c r="C7130">
        <f t="shared" si="116"/>
        <v>0</v>
      </c>
    </row>
    <row r="7131" spans="1:3" x14ac:dyDescent="0.2">
      <c r="A7131" s="34">
        <v>36210</v>
      </c>
      <c r="B7131">
        <v>2.4560360000000001</v>
      </c>
      <c r="C7131">
        <f t="shared" si="116"/>
        <v>0</v>
      </c>
    </row>
    <row r="7132" spans="1:3" x14ac:dyDescent="0.2">
      <c r="A7132" s="34">
        <v>36209</v>
      </c>
      <c r="B7132">
        <v>2.4546139999999999</v>
      </c>
      <c r="C7132">
        <f t="shared" si="116"/>
        <v>0</v>
      </c>
    </row>
    <row r="7133" spans="1:3" x14ac:dyDescent="0.2">
      <c r="A7133" s="34">
        <v>36208</v>
      </c>
      <c r="B7133">
        <v>2.4531939999999999</v>
      </c>
      <c r="C7133">
        <f t="shared" si="116"/>
        <v>0</v>
      </c>
    </row>
    <row r="7134" spans="1:3" x14ac:dyDescent="0.2">
      <c r="A7134" s="34">
        <v>36207</v>
      </c>
      <c r="B7134">
        <v>2.4517739999999999</v>
      </c>
      <c r="C7134">
        <f t="shared" si="116"/>
        <v>0</v>
      </c>
    </row>
    <row r="7135" spans="1:3" x14ac:dyDescent="0.2">
      <c r="A7135" s="34">
        <v>36206</v>
      </c>
      <c r="B7135">
        <v>2.4503539999999999</v>
      </c>
      <c r="C7135">
        <f t="shared" si="116"/>
        <v>0</v>
      </c>
    </row>
    <row r="7136" spans="1:3" x14ac:dyDescent="0.2">
      <c r="A7136" s="34">
        <v>36205</v>
      </c>
      <c r="B7136">
        <v>2.4489359999999998</v>
      </c>
      <c r="C7136">
        <f t="shared" si="116"/>
        <v>0</v>
      </c>
    </row>
    <row r="7137" spans="1:3" x14ac:dyDescent="0.2">
      <c r="A7137" s="34">
        <v>36204</v>
      </c>
      <c r="B7137">
        <v>2.4475189999999998</v>
      </c>
      <c r="C7137">
        <f t="shared" si="116"/>
        <v>0</v>
      </c>
    </row>
    <row r="7138" spans="1:3" x14ac:dyDescent="0.2">
      <c r="A7138" s="34">
        <v>36203</v>
      </c>
      <c r="B7138">
        <v>2.4461020000000002</v>
      </c>
      <c r="C7138">
        <f t="shared" si="116"/>
        <v>0</v>
      </c>
    </row>
    <row r="7139" spans="1:3" x14ac:dyDescent="0.2">
      <c r="A7139" s="34">
        <v>36202</v>
      </c>
      <c r="B7139">
        <v>2.4446859999999999</v>
      </c>
      <c r="C7139">
        <f t="shared" si="116"/>
        <v>0</v>
      </c>
    </row>
    <row r="7140" spans="1:3" x14ac:dyDescent="0.2">
      <c r="A7140" s="34">
        <v>36201</v>
      </c>
      <c r="B7140">
        <v>2.4432710000000002</v>
      </c>
      <c r="C7140">
        <f t="shared" si="116"/>
        <v>0</v>
      </c>
    </row>
    <row r="7141" spans="1:3" x14ac:dyDescent="0.2">
      <c r="A7141" s="34">
        <v>36200</v>
      </c>
      <c r="B7141">
        <v>2.4408180000000002</v>
      </c>
      <c r="C7141">
        <f t="shared" si="116"/>
        <v>0</v>
      </c>
    </row>
    <row r="7142" spans="1:3" x14ac:dyDescent="0.2">
      <c r="A7142" s="34">
        <v>36199</v>
      </c>
      <c r="B7142">
        <v>2.4383680000000001</v>
      </c>
      <c r="C7142">
        <f t="shared" si="116"/>
        <v>0</v>
      </c>
    </row>
    <row r="7143" spans="1:3" x14ac:dyDescent="0.2">
      <c r="A7143" s="34">
        <v>36198</v>
      </c>
      <c r="B7143">
        <v>2.4359199999999999</v>
      </c>
      <c r="C7143">
        <f t="shared" si="116"/>
        <v>0</v>
      </c>
    </row>
    <row r="7144" spans="1:3" x14ac:dyDescent="0.2">
      <c r="A7144" s="34">
        <v>36197</v>
      </c>
      <c r="B7144">
        <v>2.4334739999999999</v>
      </c>
      <c r="C7144">
        <f t="shared" si="116"/>
        <v>0</v>
      </c>
    </row>
    <row r="7145" spans="1:3" x14ac:dyDescent="0.2">
      <c r="A7145" s="34">
        <v>36196</v>
      </c>
      <c r="B7145">
        <v>2.4310309999999999</v>
      </c>
      <c r="C7145">
        <f t="shared" si="116"/>
        <v>0</v>
      </c>
    </row>
    <row r="7146" spans="1:3" x14ac:dyDescent="0.2">
      <c r="A7146" s="34">
        <v>36195</v>
      </c>
      <c r="B7146">
        <v>2.4285909999999999</v>
      </c>
      <c r="C7146">
        <f t="shared" si="116"/>
        <v>0</v>
      </c>
    </row>
    <row r="7147" spans="1:3" x14ac:dyDescent="0.2">
      <c r="A7147" s="34">
        <v>36194</v>
      </c>
      <c r="B7147">
        <v>2.4261520000000001</v>
      </c>
      <c r="C7147">
        <f t="shared" si="116"/>
        <v>0</v>
      </c>
    </row>
    <row r="7148" spans="1:3" x14ac:dyDescent="0.2">
      <c r="A7148" s="34">
        <v>36193</v>
      </c>
      <c r="B7148">
        <v>2.4237169999999999</v>
      </c>
      <c r="C7148">
        <f t="shared" si="116"/>
        <v>0</v>
      </c>
    </row>
    <row r="7149" spans="1:3" x14ac:dyDescent="0.2">
      <c r="A7149" s="34">
        <v>36192</v>
      </c>
      <c r="B7149">
        <v>2.4212829999999999</v>
      </c>
      <c r="C7149">
        <f t="shared" si="116"/>
        <v>0</v>
      </c>
    </row>
    <row r="7150" spans="1:3" x14ac:dyDescent="0.2">
      <c r="A7150" s="34">
        <v>36191</v>
      </c>
      <c r="B7150">
        <v>2.4188529999999999</v>
      </c>
      <c r="C7150">
        <f t="shared" si="116"/>
        <v>0</v>
      </c>
    </row>
    <row r="7151" spans="1:3" x14ac:dyDescent="0.2">
      <c r="A7151" s="34">
        <v>36190</v>
      </c>
      <c r="B7151">
        <v>2.4164240000000001</v>
      </c>
      <c r="C7151">
        <f t="shared" si="116"/>
        <v>0</v>
      </c>
    </row>
    <row r="7152" spans="1:3" x14ac:dyDescent="0.2">
      <c r="A7152" s="34">
        <v>36189</v>
      </c>
      <c r="B7152">
        <v>2.4139979999999999</v>
      </c>
      <c r="C7152">
        <f t="shared" si="116"/>
        <v>0</v>
      </c>
    </row>
    <row r="7153" spans="1:3" x14ac:dyDescent="0.2">
      <c r="A7153" s="34">
        <v>36188</v>
      </c>
      <c r="B7153">
        <v>2.411575</v>
      </c>
      <c r="C7153">
        <f t="shared" si="116"/>
        <v>0</v>
      </c>
    </row>
    <row r="7154" spans="1:3" x14ac:dyDescent="0.2">
      <c r="A7154" s="34">
        <v>36187</v>
      </c>
      <c r="B7154">
        <v>2.409154</v>
      </c>
      <c r="C7154">
        <f t="shared" si="116"/>
        <v>0</v>
      </c>
    </row>
    <row r="7155" spans="1:3" x14ac:dyDescent="0.2">
      <c r="A7155" s="34">
        <v>36186</v>
      </c>
      <c r="B7155">
        <v>2.4067349999999998</v>
      </c>
      <c r="C7155">
        <f t="shared" si="116"/>
        <v>0</v>
      </c>
    </row>
    <row r="7156" spans="1:3" x14ac:dyDescent="0.2">
      <c r="A7156" s="34">
        <v>36185</v>
      </c>
      <c r="B7156">
        <v>2.4043190000000001</v>
      </c>
      <c r="C7156">
        <f t="shared" si="116"/>
        <v>0</v>
      </c>
    </row>
    <row r="7157" spans="1:3" x14ac:dyDescent="0.2">
      <c r="A7157" s="34">
        <v>36184</v>
      </c>
      <c r="B7157">
        <v>2.4028679999999998</v>
      </c>
      <c r="C7157">
        <f t="shared" si="116"/>
        <v>0</v>
      </c>
    </row>
    <row r="7158" spans="1:3" x14ac:dyDescent="0.2">
      <c r="A7158" s="34">
        <v>36183</v>
      </c>
      <c r="B7158">
        <v>2.4014169999999999</v>
      </c>
      <c r="C7158">
        <f t="shared" si="116"/>
        <v>0</v>
      </c>
    </row>
    <row r="7159" spans="1:3" x14ac:dyDescent="0.2">
      <c r="A7159" s="34">
        <v>36182</v>
      </c>
      <c r="B7159">
        <v>2.3999679999999999</v>
      </c>
      <c r="C7159">
        <f t="shared" si="116"/>
        <v>0</v>
      </c>
    </row>
    <row r="7160" spans="1:3" x14ac:dyDescent="0.2">
      <c r="A7160" s="34">
        <v>36181</v>
      </c>
      <c r="B7160">
        <v>2.3985189999999998</v>
      </c>
      <c r="C7160">
        <f t="shared" si="116"/>
        <v>0</v>
      </c>
    </row>
    <row r="7161" spans="1:3" x14ac:dyDescent="0.2">
      <c r="A7161" s="34">
        <v>36180</v>
      </c>
      <c r="B7161">
        <v>2.397071</v>
      </c>
      <c r="C7161">
        <f t="shared" si="116"/>
        <v>0</v>
      </c>
    </row>
    <row r="7162" spans="1:3" x14ac:dyDescent="0.2">
      <c r="A7162" s="34">
        <v>36179</v>
      </c>
      <c r="B7162">
        <v>2.3956240000000002</v>
      </c>
      <c r="C7162">
        <f t="shared" si="116"/>
        <v>0</v>
      </c>
    </row>
    <row r="7163" spans="1:3" x14ac:dyDescent="0.2">
      <c r="A7163" s="34">
        <v>36178</v>
      </c>
      <c r="B7163">
        <v>2.3941780000000001</v>
      </c>
      <c r="C7163">
        <f t="shared" si="116"/>
        <v>0</v>
      </c>
    </row>
    <row r="7164" spans="1:3" x14ac:dyDescent="0.2">
      <c r="A7164" s="34">
        <v>36177</v>
      </c>
      <c r="B7164">
        <v>2.3927330000000002</v>
      </c>
      <c r="C7164">
        <f t="shared" si="116"/>
        <v>0</v>
      </c>
    </row>
    <row r="7165" spans="1:3" x14ac:dyDescent="0.2">
      <c r="A7165" s="34">
        <v>36176</v>
      </c>
      <c r="B7165">
        <v>2.391289</v>
      </c>
      <c r="C7165">
        <f t="shared" si="116"/>
        <v>0</v>
      </c>
    </row>
    <row r="7166" spans="1:3" x14ac:dyDescent="0.2">
      <c r="A7166" s="34">
        <v>36175</v>
      </c>
      <c r="B7166">
        <v>2.3898450000000002</v>
      </c>
      <c r="C7166">
        <f t="shared" si="116"/>
        <v>0</v>
      </c>
    </row>
    <row r="7167" spans="1:3" x14ac:dyDescent="0.2">
      <c r="A7167" s="34">
        <v>36174</v>
      </c>
      <c r="B7167">
        <v>2.3884029999999998</v>
      </c>
      <c r="C7167">
        <f t="shared" si="116"/>
        <v>0</v>
      </c>
    </row>
    <row r="7168" spans="1:3" x14ac:dyDescent="0.2">
      <c r="A7168" s="34">
        <v>36173</v>
      </c>
      <c r="B7168">
        <v>2.3869609999999999</v>
      </c>
      <c r="C7168">
        <f t="shared" si="116"/>
        <v>0</v>
      </c>
    </row>
    <row r="7169" spans="1:3" x14ac:dyDescent="0.2">
      <c r="A7169" s="34">
        <v>36172</v>
      </c>
      <c r="B7169">
        <v>2.3855200000000001</v>
      </c>
      <c r="C7169">
        <f t="shared" si="116"/>
        <v>0</v>
      </c>
    </row>
    <row r="7170" spans="1:3" x14ac:dyDescent="0.2">
      <c r="A7170" s="34">
        <v>36171</v>
      </c>
      <c r="B7170">
        <v>2.3840810000000001</v>
      </c>
      <c r="C7170">
        <f t="shared" ref="C7170:C7233" si="117">IFERROR(VLOOKUP(A7170,$M$2:$N$3695,2,0),C7171)</f>
        <v>0</v>
      </c>
    </row>
    <row r="7171" spans="1:3" x14ac:dyDescent="0.2">
      <c r="A7171" s="34">
        <v>36170</v>
      </c>
      <c r="B7171">
        <v>2.382641</v>
      </c>
      <c r="C7171">
        <f t="shared" si="117"/>
        <v>0</v>
      </c>
    </row>
    <row r="7172" spans="1:3" x14ac:dyDescent="0.2">
      <c r="A7172" s="34">
        <v>36169</v>
      </c>
      <c r="B7172">
        <v>2.3805700000000001</v>
      </c>
      <c r="C7172">
        <f t="shared" si="117"/>
        <v>0</v>
      </c>
    </row>
    <row r="7173" spans="1:3" x14ac:dyDescent="0.2">
      <c r="A7173" s="34">
        <v>36168</v>
      </c>
      <c r="B7173">
        <v>2.3784999999999998</v>
      </c>
      <c r="C7173">
        <f t="shared" si="117"/>
        <v>0</v>
      </c>
    </row>
    <row r="7174" spans="1:3" x14ac:dyDescent="0.2">
      <c r="A7174" s="34">
        <v>36167</v>
      </c>
      <c r="B7174">
        <v>2.3764319999999999</v>
      </c>
      <c r="C7174">
        <f t="shared" si="117"/>
        <v>0</v>
      </c>
    </row>
    <row r="7175" spans="1:3" x14ac:dyDescent="0.2">
      <c r="A7175" s="34">
        <v>36166</v>
      </c>
      <c r="B7175">
        <v>2.3743650000000001</v>
      </c>
      <c r="C7175">
        <f t="shared" si="117"/>
        <v>0</v>
      </c>
    </row>
    <row r="7176" spans="1:3" x14ac:dyDescent="0.2">
      <c r="A7176" s="34">
        <v>36165</v>
      </c>
      <c r="B7176">
        <v>2.3723010000000002</v>
      </c>
      <c r="C7176">
        <f t="shared" si="117"/>
        <v>0</v>
      </c>
    </row>
    <row r="7177" spans="1:3" x14ac:dyDescent="0.2">
      <c r="A7177" s="34">
        <v>36164</v>
      </c>
      <c r="B7177">
        <v>2.3702380000000001</v>
      </c>
      <c r="C7177">
        <f t="shared" si="117"/>
        <v>0</v>
      </c>
    </row>
    <row r="7178" spans="1:3" x14ac:dyDescent="0.2">
      <c r="A7178" s="34">
        <v>36163</v>
      </c>
      <c r="B7178">
        <v>2.3681770000000002</v>
      </c>
      <c r="C7178">
        <f t="shared" si="117"/>
        <v>0</v>
      </c>
    </row>
    <row r="7179" spans="1:3" x14ac:dyDescent="0.2">
      <c r="A7179" s="34">
        <v>36162</v>
      </c>
      <c r="B7179">
        <v>2.3661180000000002</v>
      </c>
      <c r="C7179">
        <f t="shared" si="117"/>
        <v>0</v>
      </c>
    </row>
    <row r="7180" spans="1:3" x14ac:dyDescent="0.2">
      <c r="A7180" s="34">
        <v>36161</v>
      </c>
      <c r="B7180">
        <v>2.364061</v>
      </c>
      <c r="C7180">
        <f t="shared" si="117"/>
        <v>0</v>
      </c>
    </row>
    <row r="7181" spans="1:3" x14ac:dyDescent="0.2">
      <c r="A7181" s="34">
        <v>36160</v>
      </c>
      <c r="B7181">
        <v>2.3620049999999999</v>
      </c>
      <c r="C7181">
        <f t="shared" si="117"/>
        <v>0</v>
      </c>
    </row>
    <row r="7182" spans="1:3" x14ac:dyDescent="0.2">
      <c r="A7182" s="34">
        <v>36159</v>
      </c>
      <c r="B7182">
        <v>2.3599519999999998</v>
      </c>
      <c r="C7182">
        <f t="shared" si="117"/>
        <v>0</v>
      </c>
    </row>
    <row r="7183" spans="1:3" x14ac:dyDescent="0.2">
      <c r="A7183" s="34">
        <v>36158</v>
      </c>
      <c r="B7183">
        <v>2.3578999999999999</v>
      </c>
      <c r="C7183">
        <f t="shared" si="117"/>
        <v>0</v>
      </c>
    </row>
    <row r="7184" spans="1:3" x14ac:dyDescent="0.2">
      <c r="A7184" s="34">
        <v>36157</v>
      </c>
      <c r="B7184">
        <v>2.3558490000000001</v>
      </c>
      <c r="C7184">
        <f t="shared" si="117"/>
        <v>0</v>
      </c>
    </row>
    <row r="7185" spans="1:3" x14ac:dyDescent="0.2">
      <c r="A7185" s="34">
        <v>36156</v>
      </c>
      <c r="B7185">
        <v>2.3538009999999998</v>
      </c>
      <c r="C7185">
        <f t="shared" si="117"/>
        <v>0</v>
      </c>
    </row>
    <row r="7186" spans="1:3" x14ac:dyDescent="0.2">
      <c r="A7186" s="34">
        <v>36155</v>
      </c>
      <c r="B7186">
        <v>2.3517540000000001</v>
      </c>
      <c r="C7186">
        <f t="shared" si="117"/>
        <v>0</v>
      </c>
    </row>
    <row r="7187" spans="1:3" x14ac:dyDescent="0.2">
      <c r="A7187" s="34">
        <v>36154</v>
      </c>
      <c r="B7187">
        <v>2.3497089999999998</v>
      </c>
      <c r="C7187">
        <f t="shared" si="117"/>
        <v>0</v>
      </c>
    </row>
    <row r="7188" spans="1:3" x14ac:dyDescent="0.2">
      <c r="A7188" s="34">
        <v>36153</v>
      </c>
      <c r="B7188">
        <v>2.3479359999999998</v>
      </c>
      <c r="C7188">
        <f t="shared" si="117"/>
        <v>0</v>
      </c>
    </row>
    <row r="7189" spans="1:3" x14ac:dyDescent="0.2">
      <c r="A7189" s="34">
        <v>36152</v>
      </c>
      <c r="B7189">
        <v>2.3461639999999999</v>
      </c>
      <c r="C7189">
        <f t="shared" si="117"/>
        <v>0</v>
      </c>
    </row>
    <row r="7190" spans="1:3" x14ac:dyDescent="0.2">
      <c r="A7190" s="34">
        <v>36151</v>
      </c>
      <c r="B7190">
        <v>2.3443930000000002</v>
      </c>
      <c r="C7190">
        <f t="shared" si="117"/>
        <v>0</v>
      </c>
    </row>
    <row r="7191" spans="1:3" x14ac:dyDescent="0.2">
      <c r="A7191" s="34">
        <v>36150</v>
      </c>
      <c r="B7191">
        <v>2.3426239999999998</v>
      </c>
      <c r="C7191">
        <f t="shared" si="117"/>
        <v>0</v>
      </c>
    </row>
    <row r="7192" spans="1:3" x14ac:dyDescent="0.2">
      <c r="A7192" s="34">
        <v>36149</v>
      </c>
      <c r="B7192">
        <v>2.340856</v>
      </c>
      <c r="C7192">
        <f t="shared" si="117"/>
        <v>0</v>
      </c>
    </row>
    <row r="7193" spans="1:3" x14ac:dyDescent="0.2">
      <c r="A7193" s="34">
        <v>36148</v>
      </c>
      <c r="B7193">
        <v>2.339089</v>
      </c>
      <c r="C7193">
        <f t="shared" si="117"/>
        <v>0</v>
      </c>
    </row>
    <row r="7194" spans="1:3" x14ac:dyDescent="0.2">
      <c r="A7194" s="34">
        <v>36147</v>
      </c>
      <c r="B7194">
        <v>2.337323</v>
      </c>
      <c r="C7194">
        <f t="shared" si="117"/>
        <v>0</v>
      </c>
    </row>
    <row r="7195" spans="1:3" x14ac:dyDescent="0.2">
      <c r="A7195" s="34">
        <v>36146</v>
      </c>
      <c r="B7195">
        <v>2.3355589999999999</v>
      </c>
      <c r="C7195">
        <f t="shared" si="117"/>
        <v>0</v>
      </c>
    </row>
    <row r="7196" spans="1:3" x14ac:dyDescent="0.2">
      <c r="A7196" s="34">
        <v>36145</v>
      </c>
      <c r="B7196">
        <v>2.333796</v>
      </c>
      <c r="C7196">
        <f t="shared" si="117"/>
        <v>0</v>
      </c>
    </row>
    <row r="7197" spans="1:3" x14ac:dyDescent="0.2">
      <c r="A7197" s="34">
        <v>36144</v>
      </c>
      <c r="B7197">
        <v>2.3320349999999999</v>
      </c>
      <c r="C7197">
        <f t="shared" si="117"/>
        <v>0</v>
      </c>
    </row>
    <row r="7198" spans="1:3" x14ac:dyDescent="0.2">
      <c r="A7198" s="34">
        <v>36143</v>
      </c>
      <c r="B7198">
        <v>2.3302749999999999</v>
      </c>
      <c r="C7198">
        <f t="shared" si="117"/>
        <v>0</v>
      </c>
    </row>
    <row r="7199" spans="1:3" x14ac:dyDescent="0.2">
      <c r="A7199" s="34">
        <v>36142</v>
      </c>
      <c r="B7199">
        <v>2.328516</v>
      </c>
      <c r="C7199">
        <f t="shared" si="117"/>
        <v>0</v>
      </c>
    </row>
    <row r="7200" spans="1:3" x14ac:dyDescent="0.2">
      <c r="A7200" s="34">
        <v>36141</v>
      </c>
      <c r="B7200">
        <v>2.326759</v>
      </c>
      <c r="C7200">
        <f t="shared" si="117"/>
        <v>0</v>
      </c>
    </row>
    <row r="7201" spans="1:3" x14ac:dyDescent="0.2">
      <c r="A7201" s="34">
        <v>36140</v>
      </c>
      <c r="B7201">
        <v>2.3250030000000002</v>
      </c>
      <c r="C7201">
        <f t="shared" si="117"/>
        <v>0</v>
      </c>
    </row>
    <row r="7202" spans="1:3" x14ac:dyDescent="0.2">
      <c r="A7202" s="34">
        <v>36139</v>
      </c>
      <c r="B7202">
        <v>2.323248</v>
      </c>
      <c r="C7202">
        <f t="shared" si="117"/>
        <v>0</v>
      </c>
    </row>
    <row r="7203" spans="1:3" x14ac:dyDescent="0.2">
      <c r="A7203" s="34">
        <v>36138</v>
      </c>
      <c r="B7203">
        <v>2.3217490000000001</v>
      </c>
      <c r="C7203">
        <f t="shared" si="117"/>
        <v>0</v>
      </c>
    </row>
    <row r="7204" spans="1:3" x14ac:dyDescent="0.2">
      <c r="A7204" s="34">
        <v>36137</v>
      </c>
      <c r="B7204">
        <v>2.3202509999999998</v>
      </c>
      <c r="C7204">
        <f t="shared" si="117"/>
        <v>0</v>
      </c>
    </row>
    <row r="7205" spans="1:3" x14ac:dyDescent="0.2">
      <c r="A7205" s="34">
        <v>36136</v>
      </c>
      <c r="B7205">
        <v>2.3187540000000002</v>
      </c>
      <c r="C7205">
        <f t="shared" si="117"/>
        <v>0</v>
      </c>
    </row>
    <row r="7206" spans="1:3" x14ac:dyDescent="0.2">
      <c r="A7206" s="34">
        <v>36135</v>
      </c>
      <c r="B7206">
        <v>2.3172579999999998</v>
      </c>
      <c r="C7206">
        <f t="shared" si="117"/>
        <v>0</v>
      </c>
    </row>
    <row r="7207" spans="1:3" x14ac:dyDescent="0.2">
      <c r="A7207" s="34">
        <v>36134</v>
      </c>
      <c r="B7207">
        <v>2.315763</v>
      </c>
      <c r="C7207">
        <f t="shared" si="117"/>
        <v>0</v>
      </c>
    </row>
    <row r="7208" spans="1:3" x14ac:dyDescent="0.2">
      <c r="A7208" s="34">
        <v>36133</v>
      </c>
      <c r="B7208">
        <v>2.3142689999999999</v>
      </c>
      <c r="C7208">
        <f t="shared" si="117"/>
        <v>0</v>
      </c>
    </row>
    <row r="7209" spans="1:3" x14ac:dyDescent="0.2">
      <c r="A7209" s="34">
        <v>36132</v>
      </c>
      <c r="B7209">
        <v>2.3127759999999999</v>
      </c>
      <c r="C7209">
        <f t="shared" si="117"/>
        <v>0</v>
      </c>
    </row>
    <row r="7210" spans="1:3" x14ac:dyDescent="0.2">
      <c r="A7210" s="34">
        <v>36131</v>
      </c>
      <c r="B7210">
        <v>2.311283</v>
      </c>
      <c r="C7210">
        <f t="shared" si="117"/>
        <v>0</v>
      </c>
    </row>
    <row r="7211" spans="1:3" x14ac:dyDescent="0.2">
      <c r="A7211" s="34">
        <v>36130</v>
      </c>
      <c r="B7211">
        <v>2.3097919999999998</v>
      </c>
      <c r="C7211">
        <f t="shared" si="117"/>
        <v>0</v>
      </c>
    </row>
    <row r="7212" spans="1:3" x14ac:dyDescent="0.2">
      <c r="A7212" s="34">
        <v>36129</v>
      </c>
      <c r="B7212">
        <v>2.3083019999999999</v>
      </c>
      <c r="C7212">
        <f t="shared" si="117"/>
        <v>0</v>
      </c>
    </row>
    <row r="7213" spans="1:3" x14ac:dyDescent="0.2">
      <c r="A7213" s="34">
        <v>36128</v>
      </c>
      <c r="B7213">
        <v>2.306813</v>
      </c>
      <c r="C7213">
        <f t="shared" si="117"/>
        <v>0</v>
      </c>
    </row>
    <row r="7214" spans="1:3" x14ac:dyDescent="0.2">
      <c r="A7214" s="34">
        <v>36127</v>
      </c>
      <c r="B7214">
        <v>2.3053240000000002</v>
      </c>
      <c r="C7214">
        <f t="shared" si="117"/>
        <v>0</v>
      </c>
    </row>
    <row r="7215" spans="1:3" x14ac:dyDescent="0.2">
      <c r="A7215" s="34">
        <v>36126</v>
      </c>
      <c r="B7215">
        <v>2.3038370000000001</v>
      </c>
      <c r="C7215">
        <f t="shared" si="117"/>
        <v>0</v>
      </c>
    </row>
    <row r="7216" spans="1:3" x14ac:dyDescent="0.2">
      <c r="A7216" s="34">
        <v>36125</v>
      </c>
      <c r="B7216">
        <v>2.3023509999999998</v>
      </c>
      <c r="C7216">
        <f t="shared" si="117"/>
        <v>0</v>
      </c>
    </row>
    <row r="7217" spans="1:3" x14ac:dyDescent="0.2">
      <c r="A7217" s="34">
        <v>36124</v>
      </c>
      <c r="B7217">
        <v>2.3008649999999999</v>
      </c>
      <c r="C7217">
        <f t="shared" si="117"/>
        <v>0</v>
      </c>
    </row>
    <row r="7218" spans="1:3" x14ac:dyDescent="0.2">
      <c r="A7218" s="34">
        <v>36123</v>
      </c>
      <c r="B7218">
        <v>2.3001909999999999</v>
      </c>
      <c r="C7218">
        <f t="shared" si="117"/>
        <v>0</v>
      </c>
    </row>
    <row r="7219" spans="1:3" x14ac:dyDescent="0.2">
      <c r="A7219" s="34">
        <v>36122</v>
      </c>
      <c r="B7219">
        <v>2.2995169999999998</v>
      </c>
      <c r="C7219">
        <f t="shared" si="117"/>
        <v>0</v>
      </c>
    </row>
    <row r="7220" spans="1:3" x14ac:dyDescent="0.2">
      <c r="A7220" s="34">
        <v>36121</v>
      </c>
      <c r="B7220">
        <v>2.2988430000000002</v>
      </c>
      <c r="C7220">
        <f t="shared" si="117"/>
        <v>0</v>
      </c>
    </row>
    <row r="7221" spans="1:3" x14ac:dyDescent="0.2">
      <c r="A7221" s="34">
        <v>36120</v>
      </c>
      <c r="B7221">
        <v>2.2981690000000001</v>
      </c>
      <c r="C7221">
        <f t="shared" si="117"/>
        <v>0</v>
      </c>
    </row>
    <row r="7222" spans="1:3" x14ac:dyDescent="0.2">
      <c r="A7222" s="34">
        <v>36119</v>
      </c>
      <c r="B7222">
        <v>2.2974950000000001</v>
      </c>
      <c r="C7222">
        <f t="shared" si="117"/>
        <v>0</v>
      </c>
    </row>
    <row r="7223" spans="1:3" x14ac:dyDescent="0.2">
      <c r="A7223" s="34">
        <v>36118</v>
      </c>
      <c r="B7223">
        <v>2.2968220000000001</v>
      </c>
      <c r="C7223">
        <f t="shared" si="117"/>
        <v>0</v>
      </c>
    </row>
    <row r="7224" spans="1:3" x14ac:dyDescent="0.2">
      <c r="A7224" s="34">
        <v>36117</v>
      </c>
      <c r="B7224">
        <v>2.2961490000000002</v>
      </c>
      <c r="C7224">
        <f t="shared" si="117"/>
        <v>0</v>
      </c>
    </row>
    <row r="7225" spans="1:3" x14ac:dyDescent="0.2">
      <c r="A7225" s="34">
        <v>36116</v>
      </c>
      <c r="B7225">
        <v>2.2954759999999998</v>
      </c>
      <c r="C7225">
        <f t="shared" si="117"/>
        <v>0</v>
      </c>
    </row>
    <row r="7226" spans="1:3" x14ac:dyDescent="0.2">
      <c r="A7226" s="34">
        <v>36115</v>
      </c>
      <c r="B7226">
        <v>2.2948029999999999</v>
      </c>
      <c r="C7226">
        <f t="shared" si="117"/>
        <v>0</v>
      </c>
    </row>
    <row r="7227" spans="1:3" x14ac:dyDescent="0.2">
      <c r="A7227" s="34">
        <v>36114</v>
      </c>
      <c r="B7227">
        <v>2.29413</v>
      </c>
      <c r="C7227">
        <f t="shared" si="117"/>
        <v>0</v>
      </c>
    </row>
    <row r="7228" spans="1:3" x14ac:dyDescent="0.2">
      <c r="A7228" s="34">
        <v>36113</v>
      </c>
      <c r="B7228">
        <v>2.2934580000000002</v>
      </c>
      <c r="C7228">
        <f t="shared" si="117"/>
        <v>0</v>
      </c>
    </row>
    <row r="7229" spans="1:3" x14ac:dyDescent="0.2">
      <c r="A7229" s="34">
        <v>36112</v>
      </c>
      <c r="B7229">
        <v>2.292786</v>
      </c>
      <c r="C7229">
        <f t="shared" si="117"/>
        <v>0</v>
      </c>
    </row>
    <row r="7230" spans="1:3" x14ac:dyDescent="0.2">
      <c r="A7230" s="34">
        <v>36111</v>
      </c>
      <c r="B7230">
        <v>2.2921140000000002</v>
      </c>
      <c r="C7230">
        <f t="shared" si="117"/>
        <v>0</v>
      </c>
    </row>
    <row r="7231" spans="1:3" x14ac:dyDescent="0.2">
      <c r="A7231" s="34">
        <v>36110</v>
      </c>
      <c r="B7231">
        <v>2.291442</v>
      </c>
      <c r="C7231">
        <f t="shared" si="117"/>
        <v>0</v>
      </c>
    </row>
    <row r="7232" spans="1:3" x14ac:dyDescent="0.2">
      <c r="A7232" s="34">
        <v>36109</v>
      </c>
      <c r="B7232">
        <v>2.2907700000000002</v>
      </c>
      <c r="C7232">
        <f t="shared" si="117"/>
        <v>0</v>
      </c>
    </row>
    <row r="7233" spans="1:3" x14ac:dyDescent="0.2">
      <c r="A7233" s="34">
        <v>36108</v>
      </c>
      <c r="B7233">
        <v>2.2896580000000002</v>
      </c>
      <c r="C7233">
        <f t="shared" si="117"/>
        <v>0</v>
      </c>
    </row>
    <row r="7234" spans="1:3" x14ac:dyDescent="0.2">
      <c r="A7234" s="34">
        <v>36107</v>
      </c>
      <c r="B7234">
        <v>2.2885469999999999</v>
      </c>
      <c r="C7234">
        <f t="shared" ref="C7234:C7297" si="118">IFERROR(VLOOKUP(A7234,$M$2:$N$3695,2,0),C7235)</f>
        <v>0</v>
      </c>
    </row>
    <row r="7235" spans="1:3" x14ac:dyDescent="0.2">
      <c r="A7235" s="34">
        <v>36106</v>
      </c>
      <c r="B7235">
        <v>2.287436</v>
      </c>
      <c r="C7235">
        <f t="shared" si="118"/>
        <v>0</v>
      </c>
    </row>
    <row r="7236" spans="1:3" x14ac:dyDescent="0.2">
      <c r="A7236" s="34">
        <v>36105</v>
      </c>
      <c r="B7236">
        <v>2.2863259999999999</v>
      </c>
      <c r="C7236">
        <f t="shared" si="118"/>
        <v>0</v>
      </c>
    </row>
    <row r="7237" spans="1:3" x14ac:dyDescent="0.2">
      <c r="A7237" s="34">
        <v>36104</v>
      </c>
      <c r="B7237">
        <v>2.2852160000000001</v>
      </c>
      <c r="C7237">
        <f t="shared" si="118"/>
        <v>0</v>
      </c>
    </row>
    <row r="7238" spans="1:3" x14ac:dyDescent="0.2">
      <c r="A7238" s="34">
        <v>36103</v>
      </c>
      <c r="B7238">
        <v>2.2841070000000001</v>
      </c>
      <c r="C7238">
        <f t="shared" si="118"/>
        <v>0</v>
      </c>
    </row>
    <row r="7239" spans="1:3" x14ac:dyDescent="0.2">
      <c r="A7239" s="34">
        <v>36102</v>
      </c>
      <c r="B7239">
        <v>2.2829980000000001</v>
      </c>
      <c r="C7239">
        <f t="shared" si="118"/>
        <v>0</v>
      </c>
    </row>
    <row r="7240" spans="1:3" x14ac:dyDescent="0.2">
      <c r="A7240" s="34">
        <v>36101</v>
      </c>
      <c r="B7240">
        <v>2.2818900000000002</v>
      </c>
      <c r="C7240">
        <f t="shared" si="118"/>
        <v>0</v>
      </c>
    </row>
    <row r="7241" spans="1:3" x14ac:dyDescent="0.2">
      <c r="A7241" s="34">
        <v>36100</v>
      </c>
      <c r="B7241">
        <v>2.2807819999999999</v>
      </c>
      <c r="C7241">
        <f t="shared" si="118"/>
        <v>0</v>
      </c>
    </row>
    <row r="7242" spans="1:3" x14ac:dyDescent="0.2">
      <c r="A7242" s="34">
        <v>36099</v>
      </c>
      <c r="B7242">
        <v>2.2796750000000001</v>
      </c>
      <c r="C7242">
        <f t="shared" si="118"/>
        <v>0</v>
      </c>
    </row>
    <row r="7243" spans="1:3" x14ac:dyDescent="0.2">
      <c r="A7243" s="34">
        <v>36098</v>
      </c>
      <c r="B7243">
        <v>2.2785690000000001</v>
      </c>
      <c r="C7243">
        <f t="shared" si="118"/>
        <v>0</v>
      </c>
    </row>
    <row r="7244" spans="1:3" x14ac:dyDescent="0.2">
      <c r="A7244" s="34">
        <v>36097</v>
      </c>
      <c r="B7244">
        <v>2.2774619999999999</v>
      </c>
      <c r="C7244">
        <f t="shared" si="118"/>
        <v>0</v>
      </c>
    </row>
    <row r="7245" spans="1:3" x14ac:dyDescent="0.2">
      <c r="A7245" s="34">
        <v>36096</v>
      </c>
      <c r="B7245">
        <v>2.276357</v>
      </c>
      <c r="C7245">
        <f t="shared" si="118"/>
        <v>0</v>
      </c>
    </row>
    <row r="7246" spans="1:3" x14ac:dyDescent="0.2">
      <c r="A7246" s="34">
        <v>36095</v>
      </c>
      <c r="B7246">
        <v>2.2752520000000001</v>
      </c>
      <c r="C7246">
        <f t="shared" si="118"/>
        <v>0</v>
      </c>
    </row>
    <row r="7247" spans="1:3" x14ac:dyDescent="0.2">
      <c r="A7247" s="34">
        <v>36094</v>
      </c>
      <c r="B7247">
        <v>2.2741479999999998</v>
      </c>
      <c r="C7247">
        <f t="shared" si="118"/>
        <v>0</v>
      </c>
    </row>
    <row r="7248" spans="1:3" x14ac:dyDescent="0.2">
      <c r="A7248" s="34">
        <v>36093</v>
      </c>
      <c r="B7248">
        <v>2.2730440000000001</v>
      </c>
      <c r="C7248">
        <f t="shared" si="118"/>
        <v>0</v>
      </c>
    </row>
    <row r="7249" spans="1:3" x14ac:dyDescent="0.2">
      <c r="A7249" s="34">
        <v>36092</v>
      </c>
      <c r="B7249">
        <v>2.2717510000000001</v>
      </c>
      <c r="C7249">
        <f t="shared" si="118"/>
        <v>0</v>
      </c>
    </row>
    <row r="7250" spans="1:3" x14ac:dyDescent="0.2">
      <c r="A7250" s="34">
        <v>36091</v>
      </c>
      <c r="B7250">
        <v>2.2704580000000001</v>
      </c>
      <c r="C7250">
        <f t="shared" si="118"/>
        <v>0</v>
      </c>
    </row>
    <row r="7251" spans="1:3" x14ac:dyDescent="0.2">
      <c r="A7251" s="34">
        <v>36090</v>
      </c>
      <c r="B7251">
        <v>2.2691669999999999</v>
      </c>
      <c r="C7251">
        <f t="shared" si="118"/>
        <v>0</v>
      </c>
    </row>
    <row r="7252" spans="1:3" x14ac:dyDescent="0.2">
      <c r="A7252" s="34">
        <v>36089</v>
      </c>
      <c r="B7252">
        <v>2.2678759999999998</v>
      </c>
      <c r="C7252">
        <f t="shared" si="118"/>
        <v>0</v>
      </c>
    </row>
    <row r="7253" spans="1:3" x14ac:dyDescent="0.2">
      <c r="A7253" s="34">
        <v>36088</v>
      </c>
      <c r="B7253">
        <v>2.2665860000000002</v>
      </c>
      <c r="C7253">
        <f t="shared" si="118"/>
        <v>0</v>
      </c>
    </row>
    <row r="7254" spans="1:3" x14ac:dyDescent="0.2">
      <c r="A7254" s="34">
        <v>36087</v>
      </c>
      <c r="B7254">
        <v>2.2652960000000002</v>
      </c>
      <c r="C7254">
        <f t="shared" si="118"/>
        <v>0</v>
      </c>
    </row>
    <row r="7255" spans="1:3" x14ac:dyDescent="0.2">
      <c r="A7255" s="34">
        <v>36086</v>
      </c>
      <c r="B7255">
        <v>2.2640069999999999</v>
      </c>
      <c r="C7255">
        <f t="shared" si="118"/>
        <v>0</v>
      </c>
    </row>
    <row r="7256" spans="1:3" x14ac:dyDescent="0.2">
      <c r="A7256" s="34">
        <v>36085</v>
      </c>
      <c r="B7256">
        <v>2.2627199999999998</v>
      </c>
      <c r="C7256">
        <f t="shared" si="118"/>
        <v>0</v>
      </c>
    </row>
    <row r="7257" spans="1:3" x14ac:dyDescent="0.2">
      <c r="A7257" s="34">
        <v>36084</v>
      </c>
      <c r="B7257">
        <v>2.2614320000000001</v>
      </c>
      <c r="C7257">
        <f t="shared" si="118"/>
        <v>0</v>
      </c>
    </row>
    <row r="7258" spans="1:3" x14ac:dyDescent="0.2">
      <c r="A7258" s="34">
        <v>36083</v>
      </c>
      <c r="B7258">
        <v>2.2601460000000002</v>
      </c>
      <c r="C7258">
        <f t="shared" si="118"/>
        <v>0</v>
      </c>
    </row>
    <row r="7259" spans="1:3" x14ac:dyDescent="0.2">
      <c r="A7259" s="34">
        <v>36082</v>
      </c>
      <c r="B7259">
        <v>2.2588599999999999</v>
      </c>
      <c r="C7259">
        <f t="shared" si="118"/>
        <v>0</v>
      </c>
    </row>
    <row r="7260" spans="1:3" x14ac:dyDescent="0.2">
      <c r="A7260" s="34">
        <v>36081</v>
      </c>
      <c r="B7260">
        <v>2.2575750000000001</v>
      </c>
      <c r="C7260">
        <f t="shared" si="118"/>
        <v>0</v>
      </c>
    </row>
    <row r="7261" spans="1:3" x14ac:dyDescent="0.2">
      <c r="A7261" s="34">
        <v>36080</v>
      </c>
      <c r="B7261">
        <v>2.256291</v>
      </c>
      <c r="C7261">
        <f t="shared" si="118"/>
        <v>0</v>
      </c>
    </row>
    <row r="7262" spans="1:3" x14ac:dyDescent="0.2">
      <c r="A7262" s="34">
        <v>36079</v>
      </c>
      <c r="B7262">
        <v>2.255007</v>
      </c>
      <c r="C7262">
        <f t="shared" si="118"/>
        <v>0</v>
      </c>
    </row>
    <row r="7263" spans="1:3" x14ac:dyDescent="0.2">
      <c r="A7263" s="34">
        <v>36078</v>
      </c>
      <c r="B7263">
        <v>2.2537240000000001</v>
      </c>
      <c r="C7263">
        <f t="shared" si="118"/>
        <v>0</v>
      </c>
    </row>
    <row r="7264" spans="1:3" x14ac:dyDescent="0.2">
      <c r="A7264" s="34">
        <v>36077</v>
      </c>
      <c r="B7264">
        <v>2.2523049999999998</v>
      </c>
      <c r="C7264">
        <f t="shared" si="118"/>
        <v>0</v>
      </c>
    </row>
    <row r="7265" spans="1:3" x14ac:dyDescent="0.2">
      <c r="A7265" s="34">
        <v>36076</v>
      </c>
      <c r="B7265">
        <v>2.2508859999999999</v>
      </c>
      <c r="C7265">
        <f t="shared" si="118"/>
        <v>0</v>
      </c>
    </row>
    <row r="7266" spans="1:3" x14ac:dyDescent="0.2">
      <c r="A7266" s="34">
        <v>36075</v>
      </c>
      <c r="B7266">
        <v>2.2494689999999999</v>
      </c>
      <c r="C7266">
        <f t="shared" si="118"/>
        <v>0</v>
      </c>
    </row>
    <row r="7267" spans="1:3" x14ac:dyDescent="0.2">
      <c r="A7267" s="34">
        <v>36074</v>
      </c>
      <c r="B7267">
        <v>2.2480519999999999</v>
      </c>
      <c r="C7267">
        <f t="shared" si="118"/>
        <v>0</v>
      </c>
    </row>
    <row r="7268" spans="1:3" x14ac:dyDescent="0.2">
      <c r="A7268" s="34">
        <v>36073</v>
      </c>
      <c r="B7268">
        <v>2.2466360000000001</v>
      </c>
      <c r="C7268">
        <f t="shared" si="118"/>
        <v>0</v>
      </c>
    </row>
    <row r="7269" spans="1:3" x14ac:dyDescent="0.2">
      <c r="A7269" s="34">
        <v>36072</v>
      </c>
      <c r="B7269">
        <v>2.2452209999999999</v>
      </c>
      <c r="C7269">
        <f t="shared" si="118"/>
        <v>0</v>
      </c>
    </row>
    <row r="7270" spans="1:3" x14ac:dyDescent="0.2">
      <c r="A7270" s="34">
        <v>36071</v>
      </c>
      <c r="B7270">
        <v>2.2438069999999999</v>
      </c>
      <c r="C7270">
        <f t="shared" si="118"/>
        <v>0</v>
      </c>
    </row>
    <row r="7271" spans="1:3" x14ac:dyDescent="0.2">
      <c r="A7271" s="34">
        <v>36070</v>
      </c>
      <c r="B7271">
        <v>2.2423929999999999</v>
      </c>
      <c r="C7271">
        <f t="shared" si="118"/>
        <v>0</v>
      </c>
    </row>
    <row r="7272" spans="1:3" x14ac:dyDescent="0.2">
      <c r="A7272" s="34">
        <v>36069</v>
      </c>
      <c r="B7272">
        <v>2.2409810000000001</v>
      </c>
      <c r="C7272">
        <f t="shared" si="118"/>
        <v>0</v>
      </c>
    </row>
    <row r="7273" spans="1:3" x14ac:dyDescent="0.2">
      <c r="A7273" s="34">
        <v>36068</v>
      </c>
      <c r="B7273">
        <v>2.2395689999999999</v>
      </c>
      <c r="C7273">
        <f t="shared" si="118"/>
        <v>0</v>
      </c>
    </row>
    <row r="7274" spans="1:3" x14ac:dyDescent="0.2">
      <c r="A7274" s="34">
        <v>36067</v>
      </c>
      <c r="B7274">
        <v>2.238159</v>
      </c>
      <c r="C7274">
        <f t="shared" si="118"/>
        <v>0</v>
      </c>
    </row>
    <row r="7275" spans="1:3" x14ac:dyDescent="0.2">
      <c r="A7275" s="34">
        <v>36066</v>
      </c>
      <c r="B7275">
        <v>2.2367490000000001</v>
      </c>
      <c r="C7275">
        <f t="shared" si="118"/>
        <v>0</v>
      </c>
    </row>
    <row r="7276" spans="1:3" x14ac:dyDescent="0.2">
      <c r="A7276" s="34">
        <v>36065</v>
      </c>
      <c r="B7276">
        <v>2.2353399999999999</v>
      </c>
      <c r="C7276">
        <f t="shared" si="118"/>
        <v>0</v>
      </c>
    </row>
    <row r="7277" spans="1:3" x14ac:dyDescent="0.2">
      <c r="A7277" s="34">
        <v>36064</v>
      </c>
      <c r="B7277">
        <v>2.2339319999999998</v>
      </c>
      <c r="C7277">
        <f t="shared" si="118"/>
        <v>0</v>
      </c>
    </row>
    <row r="7278" spans="1:3" x14ac:dyDescent="0.2">
      <c r="A7278" s="34">
        <v>36063</v>
      </c>
      <c r="B7278">
        <v>2.2325249999999999</v>
      </c>
      <c r="C7278">
        <f t="shared" si="118"/>
        <v>0</v>
      </c>
    </row>
    <row r="7279" spans="1:3" x14ac:dyDescent="0.2">
      <c r="A7279" s="34">
        <v>36062</v>
      </c>
      <c r="B7279">
        <v>2.2318210000000001</v>
      </c>
      <c r="C7279">
        <f t="shared" si="118"/>
        <v>0</v>
      </c>
    </row>
    <row r="7280" spans="1:3" x14ac:dyDescent="0.2">
      <c r="A7280" s="34">
        <v>36061</v>
      </c>
      <c r="B7280">
        <v>2.2311169999999998</v>
      </c>
      <c r="C7280">
        <f t="shared" si="118"/>
        <v>0</v>
      </c>
    </row>
    <row r="7281" spans="1:3" x14ac:dyDescent="0.2">
      <c r="A7281" s="34">
        <v>36060</v>
      </c>
      <c r="B7281">
        <v>2.2304140000000001</v>
      </c>
      <c r="C7281">
        <f t="shared" si="118"/>
        <v>0</v>
      </c>
    </row>
    <row r="7282" spans="1:3" x14ac:dyDescent="0.2">
      <c r="A7282" s="34">
        <v>36059</v>
      </c>
      <c r="B7282">
        <v>2.2297099999999999</v>
      </c>
      <c r="C7282">
        <f t="shared" si="118"/>
        <v>0</v>
      </c>
    </row>
    <row r="7283" spans="1:3" x14ac:dyDescent="0.2">
      <c r="A7283" s="34">
        <v>36058</v>
      </c>
      <c r="B7283">
        <v>2.2290070000000002</v>
      </c>
      <c r="C7283">
        <f t="shared" si="118"/>
        <v>0</v>
      </c>
    </row>
    <row r="7284" spans="1:3" x14ac:dyDescent="0.2">
      <c r="A7284" s="34">
        <v>36057</v>
      </c>
      <c r="B7284">
        <v>2.2283040000000001</v>
      </c>
      <c r="C7284">
        <f t="shared" si="118"/>
        <v>0</v>
      </c>
    </row>
    <row r="7285" spans="1:3" x14ac:dyDescent="0.2">
      <c r="A7285" s="34">
        <v>36056</v>
      </c>
      <c r="B7285">
        <v>2.2276009999999999</v>
      </c>
      <c r="C7285">
        <f t="shared" si="118"/>
        <v>0</v>
      </c>
    </row>
    <row r="7286" spans="1:3" x14ac:dyDescent="0.2">
      <c r="A7286" s="34">
        <v>36055</v>
      </c>
      <c r="B7286">
        <v>2.226899</v>
      </c>
      <c r="C7286">
        <f t="shared" si="118"/>
        <v>0</v>
      </c>
    </row>
    <row r="7287" spans="1:3" x14ac:dyDescent="0.2">
      <c r="A7287" s="34">
        <v>36054</v>
      </c>
      <c r="B7287">
        <v>2.2261959999999998</v>
      </c>
      <c r="C7287">
        <f t="shared" si="118"/>
        <v>0</v>
      </c>
    </row>
    <row r="7288" spans="1:3" x14ac:dyDescent="0.2">
      <c r="A7288" s="34">
        <v>36053</v>
      </c>
      <c r="B7288">
        <v>2.2254939999999999</v>
      </c>
      <c r="C7288">
        <f t="shared" si="118"/>
        <v>0</v>
      </c>
    </row>
    <row r="7289" spans="1:3" x14ac:dyDescent="0.2">
      <c r="A7289" s="34">
        <v>36052</v>
      </c>
      <c r="B7289">
        <v>2.2247919999999999</v>
      </c>
      <c r="C7289">
        <f t="shared" si="118"/>
        <v>0</v>
      </c>
    </row>
    <row r="7290" spans="1:3" x14ac:dyDescent="0.2">
      <c r="A7290" s="34">
        <v>36051</v>
      </c>
      <c r="B7290">
        <v>2.224091</v>
      </c>
      <c r="C7290">
        <f t="shared" si="118"/>
        <v>0</v>
      </c>
    </row>
    <row r="7291" spans="1:3" x14ac:dyDescent="0.2">
      <c r="A7291" s="34">
        <v>36050</v>
      </c>
      <c r="B7291">
        <v>2.2233890000000001</v>
      </c>
      <c r="C7291">
        <f t="shared" si="118"/>
        <v>0</v>
      </c>
    </row>
    <row r="7292" spans="1:3" x14ac:dyDescent="0.2">
      <c r="A7292" s="34">
        <v>36049</v>
      </c>
      <c r="B7292">
        <v>2.2226880000000002</v>
      </c>
      <c r="C7292">
        <f t="shared" si="118"/>
        <v>0</v>
      </c>
    </row>
    <row r="7293" spans="1:3" x14ac:dyDescent="0.2">
      <c r="A7293" s="34">
        <v>36048</v>
      </c>
      <c r="B7293">
        <v>2.2219869999999999</v>
      </c>
      <c r="C7293">
        <f t="shared" si="118"/>
        <v>0</v>
      </c>
    </row>
    <row r="7294" spans="1:3" x14ac:dyDescent="0.2">
      <c r="A7294" s="34">
        <v>36047</v>
      </c>
      <c r="B7294">
        <v>2.2212700000000001</v>
      </c>
      <c r="C7294">
        <f t="shared" si="118"/>
        <v>0</v>
      </c>
    </row>
    <row r="7295" spans="1:3" x14ac:dyDescent="0.2">
      <c r="A7295" s="34">
        <v>36046</v>
      </c>
      <c r="B7295">
        <v>2.2205530000000002</v>
      </c>
      <c r="C7295">
        <f t="shared" si="118"/>
        <v>0</v>
      </c>
    </row>
    <row r="7296" spans="1:3" x14ac:dyDescent="0.2">
      <c r="A7296" s="34">
        <v>36045</v>
      </c>
      <c r="B7296">
        <v>2.2198370000000001</v>
      </c>
      <c r="C7296">
        <f t="shared" si="118"/>
        <v>0</v>
      </c>
    </row>
    <row r="7297" spans="1:3" x14ac:dyDescent="0.2">
      <c r="A7297" s="34">
        <v>36044</v>
      </c>
      <c r="B7297">
        <v>2.2191200000000002</v>
      </c>
      <c r="C7297">
        <f t="shared" si="118"/>
        <v>0</v>
      </c>
    </row>
    <row r="7298" spans="1:3" x14ac:dyDescent="0.2">
      <c r="A7298" s="34">
        <v>36043</v>
      </c>
      <c r="B7298">
        <v>2.218404</v>
      </c>
      <c r="C7298">
        <f t="shared" ref="C7298:C7361" si="119">IFERROR(VLOOKUP(A7298,$M$2:$N$3695,2,0),C7299)</f>
        <v>0</v>
      </c>
    </row>
    <row r="7299" spans="1:3" x14ac:dyDescent="0.2">
      <c r="A7299" s="34">
        <v>36042</v>
      </c>
      <c r="B7299">
        <v>2.217689</v>
      </c>
      <c r="C7299">
        <f t="shared" si="119"/>
        <v>0</v>
      </c>
    </row>
    <row r="7300" spans="1:3" x14ac:dyDescent="0.2">
      <c r="A7300" s="34">
        <v>36041</v>
      </c>
      <c r="B7300">
        <v>2.2169729999999999</v>
      </c>
      <c r="C7300">
        <f t="shared" si="119"/>
        <v>0</v>
      </c>
    </row>
    <row r="7301" spans="1:3" x14ac:dyDescent="0.2">
      <c r="A7301" s="34">
        <v>36040</v>
      </c>
      <c r="B7301">
        <v>2.2162579999999998</v>
      </c>
      <c r="C7301">
        <f t="shared" si="119"/>
        <v>0</v>
      </c>
    </row>
    <row r="7302" spans="1:3" x14ac:dyDescent="0.2">
      <c r="A7302" s="34">
        <v>36039</v>
      </c>
      <c r="B7302">
        <v>2.2155429999999998</v>
      </c>
      <c r="C7302">
        <f t="shared" si="119"/>
        <v>0</v>
      </c>
    </row>
    <row r="7303" spans="1:3" x14ac:dyDescent="0.2">
      <c r="A7303" s="34">
        <v>36038</v>
      </c>
      <c r="B7303">
        <v>2.2148279999999998</v>
      </c>
      <c r="C7303">
        <f t="shared" si="119"/>
        <v>0</v>
      </c>
    </row>
    <row r="7304" spans="1:3" x14ac:dyDescent="0.2">
      <c r="A7304" s="34">
        <v>36037</v>
      </c>
      <c r="B7304">
        <v>2.2141130000000002</v>
      </c>
      <c r="C7304">
        <f t="shared" si="119"/>
        <v>0</v>
      </c>
    </row>
    <row r="7305" spans="1:3" x14ac:dyDescent="0.2">
      <c r="A7305" s="34">
        <v>36036</v>
      </c>
      <c r="B7305">
        <v>2.2133989999999999</v>
      </c>
      <c r="C7305">
        <f t="shared" si="119"/>
        <v>0</v>
      </c>
    </row>
    <row r="7306" spans="1:3" x14ac:dyDescent="0.2">
      <c r="A7306" s="34">
        <v>36035</v>
      </c>
      <c r="B7306">
        <v>2.2126839999999999</v>
      </c>
      <c r="C7306">
        <f t="shared" si="119"/>
        <v>0</v>
      </c>
    </row>
    <row r="7307" spans="1:3" x14ac:dyDescent="0.2">
      <c r="A7307" s="34">
        <v>36034</v>
      </c>
      <c r="B7307">
        <v>2.21197</v>
      </c>
      <c r="C7307">
        <f t="shared" si="119"/>
        <v>0</v>
      </c>
    </row>
    <row r="7308" spans="1:3" x14ac:dyDescent="0.2">
      <c r="A7308" s="34">
        <v>36033</v>
      </c>
      <c r="B7308">
        <v>2.2112569999999998</v>
      </c>
      <c r="C7308">
        <f t="shared" si="119"/>
        <v>0</v>
      </c>
    </row>
    <row r="7309" spans="1:3" x14ac:dyDescent="0.2">
      <c r="A7309" s="34">
        <v>36032</v>
      </c>
      <c r="B7309">
        <v>2.2105429999999999</v>
      </c>
      <c r="C7309">
        <f t="shared" si="119"/>
        <v>0</v>
      </c>
    </row>
    <row r="7310" spans="1:3" x14ac:dyDescent="0.2">
      <c r="A7310" s="34">
        <v>36031</v>
      </c>
      <c r="B7310">
        <v>2.209943</v>
      </c>
      <c r="C7310">
        <f t="shared" si="119"/>
        <v>0</v>
      </c>
    </row>
    <row r="7311" spans="1:3" x14ac:dyDescent="0.2">
      <c r="A7311" s="34">
        <v>36030</v>
      </c>
      <c r="B7311">
        <v>2.2093440000000002</v>
      </c>
      <c r="C7311">
        <f t="shared" si="119"/>
        <v>0</v>
      </c>
    </row>
    <row r="7312" spans="1:3" x14ac:dyDescent="0.2">
      <c r="A7312" s="34">
        <v>36029</v>
      </c>
      <c r="B7312">
        <v>2.2087439999999998</v>
      </c>
      <c r="C7312">
        <f t="shared" si="119"/>
        <v>0</v>
      </c>
    </row>
    <row r="7313" spans="1:3" x14ac:dyDescent="0.2">
      <c r="A7313" s="34">
        <v>36028</v>
      </c>
      <c r="B7313">
        <v>2.208145</v>
      </c>
      <c r="C7313">
        <f t="shared" si="119"/>
        <v>0</v>
      </c>
    </row>
    <row r="7314" spans="1:3" x14ac:dyDescent="0.2">
      <c r="A7314" s="34">
        <v>36027</v>
      </c>
      <c r="B7314">
        <v>2.2075459999999998</v>
      </c>
      <c r="C7314">
        <f t="shared" si="119"/>
        <v>0</v>
      </c>
    </row>
    <row r="7315" spans="1:3" x14ac:dyDescent="0.2">
      <c r="A7315" s="34">
        <v>36026</v>
      </c>
      <c r="B7315">
        <v>2.2069459999999999</v>
      </c>
      <c r="C7315">
        <f t="shared" si="119"/>
        <v>0</v>
      </c>
    </row>
    <row r="7316" spans="1:3" x14ac:dyDescent="0.2">
      <c r="A7316" s="34">
        <v>36025</v>
      </c>
      <c r="B7316">
        <v>2.2063480000000002</v>
      </c>
      <c r="C7316">
        <f t="shared" si="119"/>
        <v>0</v>
      </c>
    </row>
    <row r="7317" spans="1:3" x14ac:dyDescent="0.2">
      <c r="A7317" s="34">
        <v>36024</v>
      </c>
      <c r="B7317">
        <v>2.205749</v>
      </c>
      <c r="C7317">
        <f t="shared" si="119"/>
        <v>0</v>
      </c>
    </row>
    <row r="7318" spans="1:3" x14ac:dyDescent="0.2">
      <c r="A7318" s="34">
        <v>36023</v>
      </c>
      <c r="B7318">
        <v>2.2051500000000002</v>
      </c>
      <c r="C7318">
        <f t="shared" si="119"/>
        <v>0</v>
      </c>
    </row>
    <row r="7319" spans="1:3" x14ac:dyDescent="0.2">
      <c r="A7319" s="34">
        <v>36022</v>
      </c>
      <c r="B7319">
        <v>2.2045520000000001</v>
      </c>
      <c r="C7319">
        <f t="shared" si="119"/>
        <v>0</v>
      </c>
    </row>
    <row r="7320" spans="1:3" x14ac:dyDescent="0.2">
      <c r="A7320" s="34">
        <v>36021</v>
      </c>
      <c r="B7320">
        <v>2.203954</v>
      </c>
      <c r="C7320">
        <f t="shared" si="119"/>
        <v>0</v>
      </c>
    </row>
    <row r="7321" spans="1:3" x14ac:dyDescent="0.2">
      <c r="A7321" s="34">
        <v>36020</v>
      </c>
      <c r="B7321">
        <v>2.2033559999999999</v>
      </c>
      <c r="C7321">
        <f t="shared" si="119"/>
        <v>0</v>
      </c>
    </row>
    <row r="7322" spans="1:3" x14ac:dyDescent="0.2">
      <c r="A7322" s="34">
        <v>36019</v>
      </c>
      <c r="B7322">
        <v>2.2027580000000002</v>
      </c>
      <c r="C7322">
        <f t="shared" si="119"/>
        <v>0</v>
      </c>
    </row>
    <row r="7323" spans="1:3" x14ac:dyDescent="0.2">
      <c r="A7323" s="34">
        <v>36018</v>
      </c>
      <c r="B7323">
        <v>2.2021600000000001</v>
      </c>
      <c r="C7323">
        <f t="shared" si="119"/>
        <v>0</v>
      </c>
    </row>
    <row r="7324" spans="1:3" x14ac:dyDescent="0.2">
      <c r="A7324" s="34">
        <v>36017</v>
      </c>
      <c r="B7324">
        <v>2.201562</v>
      </c>
      <c r="C7324">
        <f t="shared" si="119"/>
        <v>0</v>
      </c>
    </row>
    <row r="7325" spans="1:3" x14ac:dyDescent="0.2">
      <c r="A7325" s="34">
        <v>36016</v>
      </c>
      <c r="B7325">
        <v>2.2008139999999998</v>
      </c>
      <c r="C7325">
        <f t="shared" si="119"/>
        <v>0</v>
      </c>
    </row>
    <row r="7326" spans="1:3" x14ac:dyDescent="0.2">
      <c r="A7326" s="34">
        <v>36015</v>
      </c>
      <c r="B7326">
        <v>2.2000649999999999</v>
      </c>
      <c r="C7326">
        <f t="shared" si="119"/>
        <v>0</v>
      </c>
    </row>
    <row r="7327" spans="1:3" x14ac:dyDescent="0.2">
      <c r="A7327" s="34">
        <v>36014</v>
      </c>
      <c r="B7327">
        <v>2.1993170000000002</v>
      </c>
      <c r="C7327">
        <f t="shared" si="119"/>
        <v>0</v>
      </c>
    </row>
    <row r="7328" spans="1:3" x14ac:dyDescent="0.2">
      <c r="A7328" s="34">
        <v>36013</v>
      </c>
      <c r="B7328">
        <v>2.198569</v>
      </c>
      <c r="C7328">
        <f t="shared" si="119"/>
        <v>0</v>
      </c>
    </row>
    <row r="7329" spans="1:3" x14ac:dyDescent="0.2">
      <c r="A7329" s="34">
        <v>36012</v>
      </c>
      <c r="B7329">
        <v>2.1978209999999998</v>
      </c>
      <c r="C7329">
        <f t="shared" si="119"/>
        <v>0</v>
      </c>
    </row>
    <row r="7330" spans="1:3" x14ac:dyDescent="0.2">
      <c r="A7330" s="34">
        <v>36011</v>
      </c>
      <c r="B7330">
        <v>2.1970740000000002</v>
      </c>
      <c r="C7330">
        <f t="shared" si="119"/>
        <v>0</v>
      </c>
    </row>
    <row r="7331" spans="1:3" x14ac:dyDescent="0.2">
      <c r="A7331" s="34">
        <v>36010</v>
      </c>
      <c r="B7331">
        <v>2.1963270000000001</v>
      </c>
      <c r="C7331">
        <f t="shared" si="119"/>
        <v>0</v>
      </c>
    </row>
    <row r="7332" spans="1:3" x14ac:dyDescent="0.2">
      <c r="A7332" s="34">
        <v>36009</v>
      </c>
      <c r="B7332">
        <v>2.1955800000000001</v>
      </c>
      <c r="C7332">
        <f t="shared" si="119"/>
        <v>0</v>
      </c>
    </row>
    <row r="7333" spans="1:3" x14ac:dyDescent="0.2">
      <c r="A7333" s="34">
        <v>36008</v>
      </c>
      <c r="B7333">
        <v>2.194833</v>
      </c>
      <c r="C7333">
        <f t="shared" si="119"/>
        <v>0</v>
      </c>
    </row>
    <row r="7334" spans="1:3" x14ac:dyDescent="0.2">
      <c r="A7334" s="34">
        <v>36007</v>
      </c>
      <c r="B7334">
        <v>2.1940870000000001</v>
      </c>
      <c r="C7334">
        <f t="shared" si="119"/>
        <v>0</v>
      </c>
    </row>
    <row r="7335" spans="1:3" x14ac:dyDescent="0.2">
      <c r="A7335" s="34">
        <v>36006</v>
      </c>
      <c r="B7335">
        <v>2.1933410000000002</v>
      </c>
      <c r="C7335">
        <f t="shared" si="119"/>
        <v>0</v>
      </c>
    </row>
    <row r="7336" spans="1:3" x14ac:dyDescent="0.2">
      <c r="A7336" s="34">
        <v>36005</v>
      </c>
      <c r="B7336">
        <v>2.1925949999999998</v>
      </c>
      <c r="C7336">
        <f t="shared" si="119"/>
        <v>0</v>
      </c>
    </row>
    <row r="7337" spans="1:3" x14ac:dyDescent="0.2">
      <c r="A7337" s="34">
        <v>36004</v>
      </c>
      <c r="B7337">
        <v>2.1918489999999999</v>
      </c>
      <c r="C7337">
        <f t="shared" si="119"/>
        <v>0</v>
      </c>
    </row>
    <row r="7338" spans="1:3" x14ac:dyDescent="0.2">
      <c r="A7338" s="34">
        <v>36003</v>
      </c>
      <c r="B7338">
        <v>2.1911040000000002</v>
      </c>
      <c r="C7338">
        <f t="shared" si="119"/>
        <v>0</v>
      </c>
    </row>
    <row r="7339" spans="1:3" x14ac:dyDescent="0.2">
      <c r="A7339" s="34">
        <v>36002</v>
      </c>
      <c r="B7339">
        <v>2.1903589999999999</v>
      </c>
      <c r="C7339">
        <f t="shared" si="119"/>
        <v>0</v>
      </c>
    </row>
    <row r="7340" spans="1:3" x14ac:dyDescent="0.2">
      <c r="A7340" s="34">
        <v>36001</v>
      </c>
      <c r="B7340">
        <v>2.1896140000000002</v>
      </c>
      <c r="C7340">
        <f t="shared" si="119"/>
        <v>0</v>
      </c>
    </row>
    <row r="7341" spans="1:3" x14ac:dyDescent="0.2">
      <c r="A7341" s="34">
        <v>36000</v>
      </c>
      <c r="B7341">
        <v>2.1889949999999998</v>
      </c>
      <c r="C7341">
        <f t="shared" si="119"/>
        <v>0</v>
      </c>
    </row>
    <row r="7342" spans="1:3" x14ac:dyDescent="0.2">
      <c r="A7342" s="34">
        <v>35999</v>
      </c>
      <c r="B7342">
        <v>2.188377</v>
      </c>
      <c r="C7342">
        <f t="shared" si="119"/>
        <v>0</v>
      </c>
    </row>
    <row r="7343" spans="1:3" x14ac:dyDescent="0.2">
      <c r="A7343" s="34">
        <v>35998</v>
      </c>
      <c r="B7343">
        <v>2.1877589999999998</v>
      </c>
      <c r="C7343">
        <f t="shared" si="119"/>
        <v>0</v>
      </c>
    </row>
    <row r="7344" spans="1:3" x14ac:dyDescent="0.2">
      <c r="A7344" s="34">
        <v>35997</v>
      </c>
      <c r="B7344">
        <v>2.187141</v>
      </c>
      <c r="C7344">
        <f t="shared" si="119"/>
        <v>0</v>
      </c>
    </row>
    <row r="7345" spans="1:3" x14ac:dyDescent="0.2">
      <c r="A7345" s="34">
        <v>35996</v>
      </c>
      <c r="B7345">
        <v>2.1865230000000002</v>
      </c>
      <c r="C7345">
        <f t="shared" si="119"/>
        <v>0</v>
      </c>
    </row>
    <row r="7346" spans="1:3" x14ac:dyDescent="0.2">
      <c r="A7346" s="34">
        <v>35995</v>
      </c>
      <c r="B7346">
        <v>2.1859060000000001</v>
      </c>
      <c r="C7346">
        <f t="shared" si="119"/>
        <v>0</v>
      </c>
    </row>
    <row r="7347" spans="1:3" x14ac:dyDescent="0.2">
      <c r="A7347" s="34">
        <v>35994</v>
      </c>
      <c r="B7347">
        <v>2.1852879999999999</v>
      </c>
      <c r="C7347">
        <f t="shared" si="119"/>
        <v>0</v>
      </c>
    </row>
    <row r="7348" spans="1:3" x14ac:dyDescent="0.2">
      <c r="A7348" s="34">
        <v>35993</v>
      </c>
      <c r="B7348">
        <v>2.1846709999999998</v>
      </c>
      <c r="C7348">
        <f t="shared" si="119"/>
        <v>0</v>
      </c>
    </row>
    <row r="7349" spans="1:3" x14ac:dyDescent="0.2">
      <c r="A7349" s="34">
        <v>35992</v>
      </c>
      <c r="B7349">
        <v>2.1840540000000002</v>
      </c>
      <c r="C7349">
        <f t="shared" si="119"/>
        <v>0</v>
      </c>
    </row>
    <row r="7350" spans="1:3" x14ac:dyDescent="0.2">
      <c r="A7350" s="34">
        <v>35991</v>
      </c>
      <c r="B7350">
        <v>2.1834370000000001</v>
      </c>
      <c r="C7350">
        <f t="shared" si="119"/>
        <v>0</v>
      </c>
    </row>
    <row r="7351" spans="1:3" x14ac:dyDescent="0.2">
      <c r="A7351" s="34">
        <v>35990</v>
      </c>
      <c r="B7351">
        <v>2.18282</v>
      </c>
      <c r="C7351">
        <f t="shared" si="119"/>
        <v>0</v>
      </c>
    </row>
    <row r="7352" spans="1:3" x14ac:dyDescent="0.2">
      <c r="A7352" s="34">
        <v>35989</v>
      </c>
      <c r="B7352">
        <v>2.1822029999999999</v>
      </c>
      <c r="C7352">
        <f t="shared" si="119"/>
        <v>0</v>
      </c>
    </row>
    <row r="7353" spans="1:3" x14ac:dyDescent="0.2">
      <c r="A7353" s="34">
        <v>35988</v>
      </c>
      <c r="B7353">
        <v>2.1815869999999999</v>
      </c>
      <c r="C7353">
        <f t="shared" si="119"/>
        <v>0</v>
      </c>
    </row>
    <row r="7354" spans="1:3" x14ac:dyDescent="0.2">
      <c r="A7354" s="34">
        <v>35987</v>
      </c>
      <c r="B7354">
        <v>2.180971</v>
      </c>
      <c r="C7354">
        <f t="shared" si="119"/>
        <v>0</v>
      </c>
    </row>
    <row r="7355" spans="1:3" x14ac:dyDescent="0.2">
      <c r="A7355" s="34">
        <v>35986</v>
      </c>
      <c r="B7355">
        <v>2.180355</v>
      </c>
      <c r="C7355">
        <f t="shared" si="119"/>
        <v>0</v>
      </c>
    </row>
    <row r="7356" spans="1:3" x14ac:dyDescent="0.2">
      <c r="A7356" s="34">
        <v>35985</v>
      </c>
      <c r="B7356">
        <v>2.1792549999999999</v>
      </c>
      <c r="C7356">
        <f t="shared" si="119"/>
        <v>0</v>
      </c>
    </row>
    <row r="7357" spans="1:3" x14ac:dyDescent="0.2">
      <c r="A7357" s="34">
        <v>35984</v>
      </c>
      <c r="B7357">
        <v>2.178156</v>
      </c>
      <c r="C7357">
        <f t="shared" si="119"/>
        <v>0</v>
      </c>
    </row>
    <row r="7358" spans="1:3" x14ac:dyDescent="0.2">
      <c r="A7358" s="34">
        <v>35983</v>
      </c>
      <c r="B7358">
        <v>2.177057</v>
      </c>
      <c r="C7358">
        <f t="shared" si="119"/>
        <v>0</v>
      </c>
    </row>
    <row r="7359" spans="1:3" x14ac:dyDescent="0.2">
      <c r="A7359" s="34">
        <v>35982</v>
      </c>
      <c r="B7359">
        <v>2.1759590000000002</v>
      </c>
      <c r="C7359">
        <f t="shared" si="119"/>
        <v>0</v>
      </c>
    </row>
    <row r="7360" spans="1:3" x14ac:dyDescent="0.2">
      <c r="A7360" s="34">
        <v>35981</v>
      </c>
      <c r="B7360">
        <v>2.1748609999999999</v>
      </c>
      <c r="C7360">
        <f t="shared" si="119"/>
        <v>0</v>
      </c>
    </row>
    <row r="7361" spans="1:3" x14ac:dyDescent="0.2">
      <c r="A7361" s="34">
        <v>35980</v>
      </c>
      <c r="B7361">
        <v>2.1737639999999998</v>
      </c>
      <c r="C7361">
        <f t="shared" si="119"/>
        <v>0</v>
      </c>
    </row>
    <row r="7362" spans="1:3" x14ac:dyDescent="0.2">
      <c r="A7362" s="34">
        <v>35979</v>
      </c>
      <c r="B7362">
        <v>2.1726679999999998</v>
      </c>
      <c r="C7362">
        <f t="shared" ref="C7362:C7425" si="120">IFERROR(VLOOKUP(A7362,$M$2:$N$3695,2,0),C7363)</f>
        <v>0</v>
      </c>
    </row>
    <row r="7363" spans="1:3" x14ac:dyDescent="0.2">
      <c r="A7363" s="34">
        <v>35978</v>
      </c>
      <c r="B7363">
        <v>2.1715719999999998</v>
      </c>
      <c r="C7363">
        <f t="shared" si="120"/>
        <v>0</v>
      </c>
    </row>
    <row r="7364" spans="1:3" x14ac:dyDescent="0.2">
      <c r="A7364" s="34">
        <v>35977</v>
      </c>
      <c r="B7364">
        <v>2.1704759999999998</v>
      </c>
      <c r="C7364">
        <f t="shared" si="120"/>
        <v>0</v>
      </c>
    </row>
    <row r="7365" spans="1:3" x14ac:dyDescent="0.2">
      <c r="A7365" s="34">
        <v>35976</v>
      </c>
      <c r="B7365">
        <v>2.1693820000000001</v>
      </c>
      <c r="C7365">
        <f t="shared" si="120"/>
        <v>0</v>
      </c>
    </row>
    <row r="7366" spans="1:3" x14ac:dyDescent="0.2">
      <c r="A7366" s="34">
        <v>35975</v>
      </c>
      <c r="B7366">
        <v>2.1682869999999999</v>
      </c>
      <c r="C7366">
        <f t="shared" si="120"/>
        <v>0</v>
      </c>
    </row>
    <row r="7367" spans="1:3" x14ac:dyDescent="0.2">
      <c r="A7367" s="34">
        <v>35974</v>
      </c>
      <c r="B7367">
        <v>2.1671939999999998</v>
      </c>
      <c r="C7367">
        <f t="shared" si="120"/>
        <v>0</v>
      </c>
    </row>
    <row r="7368" spans="1:3" x14ac:dyDescent="0.2">
      <c r="A7368" s="34">
        <v>35973</v>
      </c>
      <c r="B7368">
        <v>2.1661009999999998</v>
      </c>
      <c r="C7368">
        <f t="shared" si="120"/>
        <v>0</v>
      </c>
    </row>
    <row r="7369" spans="1:3" x14ac:dyDescent="0.2">
      <c r="A7369" s="34">
        <v>35972</v>
      </c>
      <c r="B7369">
        <v>2.1650079999999998</v>
      </c>
      <c r="C7369">
        <f t="shared" si="120"/>
        <v>0</v>
      </c>
    </row>
    <row r="7370" spans="1:3" x14ac:dyDescent="0.2">
      <c r="A7370" s="34">
        <v>35971</v>
      </c>
      <c r="B7370">
        <v>2.163916</v>
      </c>
      <c r="C7370">
        <f t="shared" si="120"/>
        <v>0</v>
      </c>
    </row>
    <row r="7371" spans="1:3" x14ac:dyDescent="0.2">
      <c r="A7371" s="34">
        <v>35970</v>
      </c>
      <c r="B7371">
        <v>2.1633200000000001</v>
      </c>
      <c r="C7371">
        <f t="shared" si="120"/>
        <v>0</v>
      </c>
    </row>
    <row r="7372" spans="1:3" x14ac:dyDescent="0.2">
      <c r="A7372" s="34">
        <v>35969</v>
      </c>
      <c r="B7372">
        <v>2.1627239999999999</v>
      </c>
      <c r="C7372">
        <f t="shared" si="120"/>
        <v>0</v>
      </c>
    </row>
    <row r="7373" spans="1:3" x14ac:dyDescent="0.2">
      <c r="A7373" s="34">
        <v>35968</v>
      </c>
      <c r="B7373">
        <v>2.1621290000000002</v>
      </c>
      <c r="C7373">
        <f t="shared" si="120"/>
        <v>0</v>
      </c>
    </row>
    <row r="7374" spans="1:3" x14ac:dyDescent="0.2">
      <c r="A7374" s="34">
        <v>35967</v>
      </c>
      <c r="B7374">
        <v>2.1615340000000001</v>
      </c>
      <c r="C7374">
        <f t="shared" si="120"/>
        <v>0</v>
      </c>
    </row>
    <row r="7375" spans="1:3" x14ac:dyDescent="0.2">
      <c r="A7375" s="34">
        <v>35966</v>
      </c>
      <c r="B7375">
        <v>2.1609379999999998</v>
      </c>
      <c r="C7375">
        <f t="shared" si="120"/>
        <v>0</v>
      </c>
    </row>
    <row r="7376" spans="1:3" x14ac:dyDescent="0.2">
      <c r="A7376" s="34">
        <v>35965</v>
      </c>
      <c r="B7376">
        <v>2.1603430000000001</v>
      </c>
      <c r="C7376">
        <f t="shared" si="120"/>
        <v>0</v>
      </c>
    </row>
    <row r="7377" spans="1:3" x14ac:dyDescent="0.2">
      <c r="A7377" s="34">
        <v>35964</v>
      </c>
      <c r="B7377">
        <v>2.1597490000000001</v>
      </c>
      <c r="C7377">
        <f t="shared" si="120"/>
        <v>0</v>
      </c>
    </row>
    <row r="7378" spans="1:3" x14ac:dyDescent="0.2">
      <c r="A7378" s="34">
        <v>35963</v>
      </c>
      <c r="B7378">
        <v>2.159154</v>
      </c>
      <c r="C7378">
        <f t="shared" si="120"/>
        <v>0</v>
      </c>
    </row>
    <row r="7379" spans="1:3" x14ac:dyDescent="0.2">
      <c r="A7379" s="34">
        <v>35962</v>
      </c>
      <c r="B7379">
        <v>2.1585589999999999</v>
      </c>
      <c r="C7379">
        <f t="shared" si="120"/>
        <v>0</v>
      </c>
    </row>
    <row r="7380" spans="1:3" x14ac:dyDescent="0.2">
      <c r="A7380" s="34">
        <v>35961</v>
      </c>
      <c r="B7380">
        <v>2.1579649999999999</v>
      </c>
      <c r="C7380">
        <f t="shared" si="120"/>
        <v>0</v>
      </c>
    </row>
    <row r="7381" spans="1:3" x14ac:dyDescent="0.2">
      <c r="A7381" s="34">
        <v>35960</v>
      </c>
      <c r="B7381">
        <v>2.1573709999999999</v>
      </c>
      <c r="C7381">
        <f t="shared" si="120"/>
        <v>0</v>
      </c>
    </row>
    <row r="7382" spans="1:3" x14ac:dyDescent="0.2">
      <c r="A7382" s="34">
        <v>35959</v>
      </c>
      <c r="B7382">
        <v>2.1567769999999999</v>
      </c>
      <c r="C7382">
        <f t="shared" si="120"/>
        <v>0</v>
      </c>
    </row>
    <row r="7383" spans="1:3" x14ac:dyDescent="0.2">
      <c r="A7383" s="34">
        <v>35958</v>
      </c>
      <c r="B7383">
        <v>2.156183</v>
      </c>
      <c r="C7383">
        <f t="shared" si="120"/>
        <v>0</v>
      </c>
    </row>
    <row r="7384" spans="1:3" x14ac:dyDescent="0.2">
      <c r="A7384" s="34">
        <v>35957</v>
      </c>
      <c r="B7384">
        <v>2.155589</v>
      </c>
      <c r="C7384">
        <f t="shared" si="120"/>
        <v>0</v>
      </c>
    </row>
    <row r="7385" spans="1:3" x14ac:dyDescent="0.2">
      <c r="A7385" s="34">
        <v>35956</v>
      </c>
      <c r="B7385">
        <v>2.1549960000000001</v>
      </c>
      <c r="C7385">
        <f t="shared" si="120"/>
        <v>0</v>
      </c>
    </row>
    <row r="7386" spans="1:3" x14ac:dyDescent="0.2">
      <c r="A7386" s="34">
        <v>35955</v>
      </c>
      <c r="B7386">
        <v>2.154474</v>
      </c>
      <c r="C7386">
        <f t="shared" si="120"/>
        <v>0</v>
      </c>
    </row>
    <row r="7387" spans="1:3" x14ac:dyDescent="0.2">
      <c r="A7387" s="34">
        <v>35954</v>
      </c>
      <c r="B7387">
        <v>2.1539519999999999</v>
      </c>
      <c r="C7387">
        <f t="shared" si="120"/>
        <v>0</v>
      </c>
    </row>
    <row r="7388" spans="1:3" x14ac:dyDescent="0.2">
      <c r="A7388" s="34">
        <v>35953</v>
      </c>
      <c r="B7388">
        <v>2.1534300000000002</v>
      </c>
      <c r="C7388">
        <f t="shared" si="120"/>
        <v>0</v>
      </c>
    </row>
    <row r="7389" spans="1:3" x14ac:dyDescent="0.2">
      <c r="A7389" s="34">
        <v>35952</v>
      </c>
      <c r="B7389">
        <v>2.1529090000000002</v>
      </c>
      <c r="C7389">
        <f t="shared" si="120"/>
        <v>0</v>
      </c>
    </row>
    <row r="7390" spans="1:3" x14ac:dyDescent="0.2">
      <c r="A7390" s="34">
        <v>35951</v>
      </c>
      <c r="B7390">
        <v>2.1523870000000001</v>
      </c>
      <c r="C7390">
        <f t="shared" si="120"/>
        <v>0</v>
      </c>
    </row>
    <row r="7391" spans="1:3" x14ac:dyDescent="0.2">
      <c r="A7391" s="34">
        <v>35950</v>
      </c>
      <c r="B7391">
        <v>2.1518660000000001</v>
      </c>
      <c r="C7391">
        <f t="shared" si="120"/>
        <v>0</v>
      </c>
    </row>
    <row r="7392" spans="1:3" x14ac:dyDescent="0.2">
      <c r="A7392" s="34">
        <v>35949</v>
      </c>
      <c r="B7392">
        <v>2.1513450000000001</v>
      </c>
      <c r="C7392">
        <f t="shared" si="120"/>
        <v>0</v>
      </c>
    </row>
    <row r="7393" spans="1:3" x14ac:dyDescent="0.2">
      <c r="A7393" s="34">
        <v>35948</v>
      </c>
      <c r="B7393">
        <v>2.1508229999999999</v>
      </c>
      <c r="C7393">
        <f t="shared" si="120"/>
        <v>0</v>
      </c>
    </row>
    <row r="7394" spans="1:3" x14ac:dyDescent="0.2">
      <c r="A7394" s="34">
        <v>35947</v>
      </c>
      <c r="B7394">
        <v>2.1503019999999999</v>
      </c>
      <c r="C7394">
        <f t="shared" si="120"/>
        <v>0</v>
      </c>
    </row>
    <row r="7395" spans="1:3" x14ac:dyDescent="0.2">
      <c r="A7395" s="34">
        <v>35946</v>
      </c>
      <c r="B7395">
        <v>2.1497820000000001</v>
      </c>
      <c r="C7395">
        <f t="shared" si="120"/>
        <v>0</v>
      </c>
    </row>
    <row r="7396" spans="1:3" x14ac:dyDescent="0.2">
      <c r="A7396" s="34">
        <v>35945</v>
      </c>
      <c r="B7396">
        <v>2.1492610000000001</v>
      </c>
      <c r="C7396">
        <f t="shared" si="120"/>
        <v>0</v>
      </c>
    </row>
    <row r="7397" spans="1:3" x14ac:dyDescent="0.2">
      <c r="A7397" s="34">
        <v>35944</v>
      </c>
      <c r="B7397">
        <v>2.1487400000000001</v>
      </c>
      <c r="C7397">
        <f t="shared" si="120"/>
        <v>0</v>
      </c>
    </row>
    <row r="7398" spans="1:3" x14ac:dyDescent="0.2">
      <c r="A7398" s="34">
        <v>35943</v>
      </c>
      <c r="B7398">
        <v>2.1482199999999998</v>
      </c>
      <c r="C7398">
        <f t="shared" si="120"/>
        <v>0</v>
      </c>
    </row>
    <row r="7399" spans="1:3" x14ac:dyDescent="0.2">
      <c r="A7399" s="34">
        <v>35942</v>
      </c>
      <c r="B7399">
        <v>2.1476989999999998</v>
      </c>
      <c r="C7399">
        <f t="shared" si="120"/>
        <v>0</v>
      </c>
    </row>
    <row r="7400" spans="1:3" x14ac:dyDescent="0.2">
      <c r="A7400" s="34">
        <v>35941</v>
      </c>
      <c r="B7400">
        <v>2.1471789999999999</v>
      </c>
      <c r="C7400">
        <f t="shared" si="120"/>
        <v>0</v>
      </c>
    </row>
    <row r="7401" spans="1:3" x14ac:dyDescent="0.2">
      <c r="A7401" s="34">
        <v>35940</v>
      </c>
      <c r="B7401">
        <v>2.1466590000000001</v>
      </c>
      <c r="C7401">
        <f t="shared" si="120"/>
        <v>0</v>
      </c>
    </row>
    <row r="7402" spans="1:3" x14ac:dyDescent="0.2">
      <c r="A7402" s="34">
        <v>35939</v>
      </c>
      <c r="B7402">
        <v>2.1460900000000001</v>
      </c>
      <c r="C7402">
        <f t="shared" si="120"/>
        <v>0</v>
      </c>
    </row>
    <row r="7403" spans="1:3" x14ac:dyDescent="0.2">
      <c r="A7403" s="34">
        <v>35938</v>
      </c>
      <c r="B7403">
        <v>2.145521</v>
      </c>
      <c r="C7403">
        <f t="shared" si="120"/>
        <v>0</v>
      </c>
    </row>
    <row r="7404" spans="1:3" x14ac:dyDescent="0.2">
      <c r="A7404" s="34">
        <v>35937</v>
      </c>
      <c r="B7404">
        <v>2.144952</v>
      </c>
      <c r="C7404">
        <f t="shared" si="120"/>
        <v>0</v>
      </c>
    </row>
    <row r="7405" spans="1:3" x14ac:dyDescent="0.2">
      <c r="A7405" s="34">
        <v>35936</v>
      </c>
      <c r="B7405">
        <v>2.1443840000000001</v>
      </c>
      <c r="C7405">
        <f t="shared" si="120"/>
        <v>0</v>
      </c>
    </row>
    <row r="7406" spans="1:3" x14ac:dyDescent="0.2">
      <c r="A7406" s="34">
        <v>35935</v>
      </c>
      <c r="B7406">
        <v>2.143815</v>
      </c>
      <c r="C7406">
        <f t="shared" si="120"/>
        <v>0</v>
      </c>
    </row>
    <row r="7407" spans="1:3" x14ac:dyDescent="0.2">
      <c r="A7407" s="34">
        <v>35934</v>
      </c>
      <c r="B7407">
        <v>2.1432470000000001</v>
      </c>
      <c r="C7407">
        <f t="shared" si="120"/>
        <v>0</v>
      </c>
    </row>
    <row r="7408" spans="1:3" x14ac:dyDescent="0.2">
      <c r="A7408" s="34">
        <v>35933</v>
      </c>
      <c r="B7408">
        <v>2.1426789999999998</v>
      </c>
      <c r="C7408">
        <f t="shared" si="120"/>
        <v>0</v>
      </c>
    </row>
    <row r="7409" spans="1:3" x14ac:dyDescent="0.2">
      <c r="A7409" s="34">
        <v>35932</v>
      </c>
      <c r="B7409">
        <v>2.1421109999999999</v>
      </c>
      <c r="C7409">
        <f t="shared" si="120"/>
        <v>0</v>
      </c>
    </row>
    <row r="7410" spans="1:3" x14ac:dyDescent="0.2">
      <c r="A7410" s="34">
        <v>35931</v>
      </c>
      <c r="B7410">
        <v>2.141543</v>
      </c>
      <c r="C7410">
        <f t="shared" si="120"/>
        <v>0</v>
      </c>
    </row>
    <row r="7411" spans="1:3" x14ac:dyDescent="0.2">
      <c r="A7411" s="34">
        <v>35930</v>
      </c>
      <c r="B7411">
        <v>2.1409760000000002</v>
      </c>
      <c r="C7411">
        <f t="shared" si="120"/>
        <v>0</v>
      </c>
    </row>
    <row r="7412" spans="1:3" x14ac:dyDescent="0.2">
      <c r="A7412" s="34">
        <v>35929</v>
      </c>
      <c r="B7412">
        <v>2.1404079999999999</v>
      </c>
      <c r="C7412">
        <f t="shared" si="120"/>
        <v>0</v>
      </c>
    </row>
    <row r="7413" spans="1:3" x14ac:dyDescent="0.2">
      <c r="A7413" s="34">
        <v>35928</v>
      </c>
      <c r="B7413">
        <v>2.1398410000000001</v>
      </c>
      <c r="C7413">
        <f t="shared" si="120"/>
        <v>0</v>
      </c>
    </row>
    <row r="7414" spans="1:3" x14ac:dyDescent="0.2">
      <c r="A7414" s="34">
        <v>35927</v>
      </c>
      <c r="B7414">
        <v>2.1392730000000002</v>
      </c>
      <c r="C7414">
        <f t="shared" si="120"/>
        <v>0</v>
      </c>
    </row>
    <row r="7415" spans="1:3" x14ac:dyDescent="0.2">
      <c r="A7415" s="34">
        <v>35926</v>
      </c>
      <c r="B7415">
        <v>2.138706</v>
      </c>
      <c r="C7415">
        <f t="shared" si="120"/>
        <v>0</v>
      </c>
    </row>
    <row r="7416" spans="1:3" x14ac:dyDescent="0.2">
      <c r="A7416" s="34">
        <v>35925</v>
      </c>
      <c r="B7416">
        <v>2.1381389999999998</v>
      </c>
      <c r="C7416">
        <f t="shared" si="120"/>
        <v>0</v>
      </c>
    </row>
    <row r="7417" spans="1:3" x14ac:dyDescent="0.2">
      <c r="A7417" s="34">
        <v>35924</v>
      </c>
      <c r="B7417">
        <v>2.1374170000000001</v>
      </c>
      <c r="C7417">
        <f t="shared" si="120"/>
        <v>0</v>
      </c>
    </row>
    <row r="7418" spans="1:3" x14ac:dyDescent="0.2">
      <c r="A7418" s="34">
        <v>35923</v>
      </c>
      <c r="B7418">
        <v>2.1366939999999999</v>
      </c>
      <c r="C7418">
        <f t="shared" si="120"/>
        <v>0</v>
      </c>
    </row>
    <row r="7419" spans="1:3" x14ac:dyDescent="0.2">
      <c r="A7419" s="34">
        <v>35922</v>
      </c>
      <c r="B7419">
        <v>2.1359720000000002</v>
      </c>
      <c r="C7419">
        <f t="shared" si="120"/>
        <v>0</v>
      </c>
    </row>
    <row r="7420" spans="1:3" x14ac:dyDescent="0.2">
      <c r="A7420" s="34">
        <v>35921</v>
      </c>
      <c r="B7420">
        <v>2.1352500000000001</v>
      </c>
      <c r="C7420">
        <f t="shared" si="120"/>
        <v>0</v>
      </c>
    </row>
    <row r="7421" spans="1:3" x14ac:dyDescent="0.2">
      <c r="A7421" s="34">
        <v>35920</v>
      </c>
      <c r="B7421">
        <v>2.134528</v>
      </c>
      <c r="C7421">
        <f t="shared" si="120"/>
        <v>0</v>
      </c>
    </row>
    <row r="7422" spans="1:3" x14ac:dyDescent="0.2">
      <c r="A7422" s="34">
        <v>35919</v>
      </c>
      <c r="B7422">
        <v>2.1338059999999999</v>
      </c>
      <c r="C7422">
        <f t="shared" si="120"/>
        <v>0</v>
      </c>
    </row>
    <row r="7423" spans="1:3" x14ac:dyDescent="0.2">
      <c r="A7423" s="34">
        <v>35918</v>
      </c>
      <c r="B7423">
        <v>2.1330849999999999</v>
      </c>
      <c r="C7423">
        <f t="shared" si="120"/>
        <v>0</v>
      </c>
    </row>
    <row r="7424" spans="1:3" x14ac:dyDescent="0.2">
      <c r="A7424" s="34">
        <v>35917</v>
      </c>
      <c r="B7424">
        <v>2.1323629999999998</v>
      </c>
      <c r="C7424">
        <f t="shared" si="120"/>
        <v>0</v>
      </c>
    </row>
    <row r="7425" spans="1:3" x14ac:dyDescent="0.2">
      <c r="A7425" s="34">
        <v>35916</v>
      </c>
      <c r="B7425">
        <v>2.131643</v>
      </c>
      <c r="C7425">
        <f t="shared" si="120"/>
        <v>0</v>
      </c>
    </row>
    <row r="7426" spans="1:3" x14ac:dyDescent="0.2">
      <c r="A7426" s="34">
        <v>35915</v>
      </c>
      <c r="B7426">
        <v>2.130922</v>
      </c>
      <c r="C7426">
        <f t="shared" ref="C7426:C7489" si="121">IFERROR(VLOOKUP(A7426,$M$2:$N$3695,2,0),C7427)</f>
        <v>0</v>
      </c>
    </row>
    <row r="7427" spans="1:3" x14ac:dyDescent="0.2">
      <c r="A7427" s="34">
        <v>35914</v>
      </c>
      <c r="B7427">
        <v>2.1302020000000002</v>
      </c>
      <c r="C7427">
        <f t="shared" si="121"/>
        <v>0</v>
      </c>
    </row>
    <row r="7428" spans="1:3" x14ac:dyDescent="0.2">
      <c r="A7428" s="34">
        <v>35913</v>
      </c>
      <c r="B7428">
        <v>2.1294810000000002</v>
      </c>
      <c r="C7428">
        <f t="shared" si="121"/>
        <v>0</v>
      </c>
    </row>
    <row r="7429" spans="1:3" x14ac:dyDescent="0.2">
      <c r="A7429" s="34">
        <v>35912</v>
      </c>
      <c r="B7429">
        <v>2.1287609999999999</v>
      </c>
      <c r="C7429">
        <f t="shared" si="121"/>
        <v>0</v>
      </c>
    </row>
    <row r="7430" spans="1:3" x14ac:dyDescent="0.2">
      <c r="A7430" s="34">
        <v>35911</v>
      </c>
      <c r="B7430">
        <v>2.1280420000000002</v>
      </c>
      <c r="C7430">
        <f t="shared" si="121"/>
        <v>0</v>
      </c>
    </row>
    <row r="7431" spans="1:3" x14ac:dyDescent="0.2">
      <c r="A7431" s="34">
        <v>35910</v>
      </c>
      <c r="B7431">
        <v>2.1273219999999999</v>
      </c>
      <c r="C7431">
        <f t="shared" si="121"/>
        <v>0</v>
      </c>
    </row>
    <row r="7432" spans="1:3" x14ac:dyDescent="0.2">
      <c r="A7432" s="34">
        <v>35909</v>
      </c>
      <c r="B7432">
        <v>2.1266820000000002</v>
      </c>
      <c r="C7432">
        <f t="shared" si="121"/>
        <v>0</v>
      </c>
    </row>
    <row r="7433" spans="1:3" x14ac:dyDescent="0.2">
      <c r="A7433" s="34">
        <v>35908</v>
      </c>
      <c r="B7433">
        <v>2.126042</v>
      </c>
      <c r="C7433">
        <f t="shared" si="121"/>
        <v>0</v>
      </c>
    </row>
    <row r="7434" spans="1:3" x14ac:dyDescent="0.2">
      <c r="A7434" s="34">
        <v>35907</v>
      </c>
      <c r="B7434">
        <v>2.1254029999999999</v>
      </c>
      <c r="C7434">
        <f t="shared" si="121"/>
        <v>0</v>
      </c>
    </row>
    <row r="7435" spans="1:3" x14ac:dyDescent="0.2">
      <c r="A7435" s="34">
        <v>35906</v>
      </c>
      <c r="B7435">
        <v>2.1247630000000002</v>
      </c>
      <c r="C7435">
        <f t="shared" si="121"/>
        <v>0</v>
      </c>
    </row>
    <row r="7436" spans="1:3" x14ac:dyDescent="0.2">
      <c r="A7436" s="34">
        <v>35905</v>
      </c>
      <c r="B7436">
        <v>2.1241240000000001</v>
      </c>
      <c r="C7436">
        <f t="shared" si="121"/>
        <v>0</v>
      </c>
    </row>
    <row r="7437" spans="1:3" x14ac:dyDescent="0.2">
      <c r="A7437" s="34">
        <v>35904</v>
      </c>
      <c r="B7437">
        <v>2.1234850000000001</v>
      </c>
      <c r="C7437">
        <f t="shared" si="121"/>
        <v>0</v>
      </c>
    </row>
    <row r="7438" spans="1:3" x14ac:dyDescent="0.2">
      <c r="A7438" s="34">
        <v>35903</v>
      </c>
      <c r="B7438">
        <v>2.122846</v>
      </c>
      <c r="C7438">
        <f t="shared" si="121"/>
        <v>0</v>
      </c>
    </row>
    <row r="7439" spans="1:3" x14ac:dyDescent="0.2">
      <c r="A7439" s="34">
        <v>35902</v>
      </c>
      <c r="B7439">
        <v>2.122207</v>
      </c>
      <c r="C7439">
        <f t="shared" si="121"/>
        <v>0</v>
      </c>
    </row>
    <row r="7440" spans="1:3" x14ac:dyDescent="0.2">
      <c r="A7440" s="34">
        <v>35901</v>
      </c>
      <c r="B7440">
        <v>2.1215679999999999</v>
      </c>
      <c r="C7440">
        <f t="shared" si="121"/>
        <v>0</v>
      </c>
    </row>
    <row r="7441" spans="1:3" x14ac:dyDescent="0.2">
      <c r="A7441" s="34">
        <v>35900</v>
      </c>
      <c r="B7441">
        <v>2.12093</v>
      </c>
      <c r="C7441">
        <f t="shared" si="121"/>
        <v>0</v>
      </c>
    </row>
    <row r="7442" spans="1:3" x14ac:dyDescent="0.2">
      <c r="A7442" s="34">
        <v>35899</v>
      </c>
      <c r="B7442">
        <v>2.1202920000000001</v>
      </c>
      <c r="C7442">
        <f t="shared" si="121"/>
        <v>0</v>
      </c>
    </row>
    <row r="7443" spans="1:3" x14ac:dyDescent="0.2">
      <c r="A7443" s="34">
        <v>35898</v>
      </c>
      <c r="B7443">
        <v>2.1196540000000001</v>
      </c>
      <c r="C7443">
        <f t="shared" si="121"/>
        <v>0</v>
      </c>
    </row>
    <row r="7444" spans="1:3" x14ac:dyDescent="0.2">
      <c r="A7444" s="34">
        <v>35897</v>
      </c>
      <c r="B7444">
        <v>2.1190159999999998</v>
      </c>
      <c r="C7444">
        <f t="shared" si="121"/>
        <v>0</v>
      </c>
    </row>
    <row r="7445" spans="1:3" x14ac:dyDescent="0.2">
      <c r="A7445" s="34">
        <v>35896</v>
      </c>
      <c r="B7445">
        <v>2.1183779999999999</v>
      </c>
      <c r="C7445">
        <f t="shared" si="121"/>
        <v>0</v>
      </c>
    </row>
    <row r="7446" spans="1:3" x14ac:dyDescent="0.2">
      <c r="A7446" s="34">
        <v>35895</v>
      </c>
      <c r="B7446">
        <v>2.1177410000000001</v>
      </c>
      <c r="C7446">
        <f t="shared" si="121"/>
        <v>0</v>
      </c>
    </row>
    <row r="7447" spans="1:3" x14ac:dyDescent="0.2">
      <c r="A7447" s="34">
        <v>35894</v>
      </c>
      <c r="B7447">
        <v>2.1168279999999999</v>
      </c>
      <c r="C7447">
        <f t="shared" si="121"/>
        <v>0</v>
      </c>
    </row>
    <row r="7448" spans="1:3" x14ac:dyDescent="0.2">
      <c r="A7448" s="34">
        <v>35893</v>
      </c>
      <c r="B7448">
        <v>2.1159150000000002</v>
      </c>
      <c r="C7448">
        <f t="shared" si="121"/>
        <v>0</v>
      </c>
    </row>
    <row r="7449" spans="1:3" x14ac:dyDescent="0.2">
      <c r="A7449" s="34">
        <v>35892</v>
      </c>
      <c r="B7449">
        <v>2.115002</v>
      </c>
      <c r="C7449">
        <f t="shared" si="121"/>
        <v>0</v>
      </c>
    </row>
    <row r="7450" spans="1:3" x14ac:dyDescent="0.2">
      <c r="A7450" s="34">
        <v>35891</v>
      </c>
      <c r="B7450">
        <v>2.11409</v>
      </c>
      <c r="C7450">
        <f t="shared" si="121"/>
        <v>0</v>
      </c>
    </row>
    <row r="7451" spans="1:3" x14ac:dyDescent="0.2">
      <c r="A7451" s="34">
        <v>35890</v>
      </c>
      <c r="B7451">
        <v>2.113178</v>
      </c>
      <c r="C7451">
        <f t="shared" si="121"/>
        <v>0</v>
      </c>
    </row>
    <row r="7452" spans="1:3" x14ac:dyDescent="0.2">
      <c r="A7452" s="34">
        <v>35889</v>
      </c>
      <c r="B7452">
        <v>2.112266</v>
      </c>
      <c r="C7452">
        <f t="shared" si="121"/>
        <v>0</v>
      </c>
    </row>
    <row r="7453" spans="1:3" x14ac:dyDescent="0.2">
      <c r="A7453" s="34">
        <v>35888</v>
      </c>
      <c r="B7453">
        <v>2.1113550000000001</v>
      </c>
      <c r="C7453">
        <f t="shared" si="121"/>
        <v>0</v>
      </c>
    </row>
    <row r="7454" spans="1:3" x14ac:dyDescent="0.2">
      <c r="A7454" s="34">
        <v>35887</v>
      </c>
      <c r="B7454">
        <v>2.1104449999999999</v>
      </c>
      <c r="C7454">
        <f t="shared" si="121"/>
        <v>0</v>
      </c>
    </row>
    <row r="7455" spans="1:3" x14ac:dyDescent="0.2">
      <c r="A7455" s="34">
        <v>35886</v>
      </c>
      <c r="B7455">
        <v>2.109534</v>
      </c>
      <c r="C7455">
        <f t="shared" si="121"/>
        <v>0</v>
      </c>
    </row>
    <row r="7456" spans="1:3" x14ac:dyDescent="0.2">
      <c r="A7456" s="34">
        <v>35885</v>
      </c>
      <c r="B7456">
        <v>2.1086239999999998</v>
      </c>
      <c r="C7456">
        <f t="shared" si="121"/>
        <v>0</v>
      </c>
    </row>
    <row r="7457" spans="1:3" x14ac:dyDescent="0.2">
      <c r="A7457" s="34">
        <v>35884</v>
      </c>
      <c r="B7457">
        <v>2.1077149999999998</v>
      </c>
      <c r="C7457">
        <f t="shared" si="121"/>
        <v>0</v>
      </c>
    </row>
    <row r="7458" spans="1:3" x14ac:dyDescent="0.2">
      <c r="A7458" s="34">
        <v>35883</v>
      </c>
      <c r="B7458">
        <v>2.1068060000000002</v>
      </c>
      <c r="C7458">
        <f t="shared" si="121"/>
        <v>0</v>
      </c>
    </row>
    <row r="7459" spans="1:3" x14ac:dyDescent="0.2">
      <c r="A7459" s="34">
        <v>35882</v>
      </c>
      <c r="B7459">
        <v>2.1058970000000001</v>
      </c>
      <c r="C7459">
        <f t="shared" si="121"/>
        <v>0</v>
      </c>
    </row>
    <row r="7460" spans="1:3" x14ac:dyDescent="0.2">
      <c r="A7460" s="34">
        <v>35881</v>
      </c>
      <c r="B7460">
        <v>2.1049890000000002</v>
      </c>
      <c r="C7460">
        <f t="shared" si="121"/>
        <v>0</v>
      </c>
    </row>
    <row r="7461" spans="1:3" x14ac:dyDescent="0.2">
      <c r="A7461" s="34">
        <v>35880</v>
      </c>
      <c r="B7461">
        <v>2.1040809999999999</v>
      </c>
      <c r="C7461">
        <f t="shared" si="121"/>
        <v>0</v>
      </c>
    </row>
    <row r="7462" spans="1:3" x14ac:dyDescent="0.2">
      <c r="A7462" s="34">
        <v>35879</v>
      </c>
      <c r="B7462">
        <v>2.103173</v>
      </c>
      <c r="C7462">
        <f t="shared" si="121"/>
        <v>0</v>
      </c>
    </row>
    <row r="7463" spans="1:3" x14ac:dyDescent="0.2">
      <c r="A7463" s="34">
        <v>35878</v>
      </c>
      <c r="B7463">
        <v>2.1024769999999999</v>
      </c>
      <c r="C7463">
        <f t="shared" si="121"/>
        <v>0</v>
      </c>
    </row>
    <row r="7464" spans="1:3" x14ac:dyDescent="0.2">
      <c r="A7464" s="34">
        <v>35877</v>
      </c>
      <c r="B7464">
        <v>2.1017800000000002</v>
      </c>
      <c r="C7464">
        <f t="shared" si="121"/>
        <v>0</v>
      </c>
    </row>
    <row r="7465" spans="1:3" x14ac:dyDescent="0.2">
      <c r="A7465" s="34">
        <v>35876</v>
      </c>
      <c r="B7465">
        <v>2.1010840000000002</v>
      </c>
      <c r="C7465">
        <f t="shared" si="121"/>
        <v>0</v>
      </c>
    </row>
    <row r="7466" spans="1:3" x14ac:dyDescent="0.2">
      <c r="A7466" s="34">
        <v>35875</v>
      </c>
      <c r="B7466">
        <v>2.1003880000000001</v>
      </c>
      <c r="C7466">
        <f t="shared" si="121"/>
        <v>0</v>
      </c>
    </row>
    <row r="7467" spans="1:3" x14ac:dyDescent="0.2">
      <c r="A7467" s="34">
        <v>35874</v>
      </c>
      <c r="B7467">
        <v>2.0996920000000001</v>
      </c>
      <c r="C7467">
        <f t="shared" si="121"/>
        <v>0</v>
      </c>
    </row>
    <row r="7468" spans="1:3" x14ac:dyDescent="0.2">
      <c r="A7468" s="34">
        <v>35873</v>
      </c>
      <c r="B7468">
        <v>2.0989969999999998</v>
      </c>
      <c r="C7468">
        <f t="shared" si="121"/>
        <v>0</v>
      </c>
    </row>
    <row r="7469" spans="1:3" x14ac:dyDescent="0.2">
      <c r="A7469" s="34">
        <v>35872</v>
      </c>
      <c r="B7469">
        <v>2.0983019999999999</v>
      </c>
      <c r="C7469">
        <f t="shared" si="121"/>
        <v>0</v>
      </c>
    </row>
    <row r="7470" spans="1:3" x14ac:dyDescent="0.2">
      <c r="A7470" s="34">
        <v>35871</v>
      </c>
      <c r="B7470">
        <v>2.097607</v>
      </c>
      <c r="C7470">
        <f t="shared" si="121"/>
        <v>0</v>
      </c>
    </row>
    <row r="7471" spans="1:3" x14ac:dyDescent="0.2">
      <c r="A7471" s="34">
        <v>35870</v>
      </c>
      <c r="B7471">
        <v>2.0969120000000001</v>
      </c>
      <c r="C7471">
        <f t="shared" si="121"/>
        <v>0</v>
      </c>
    </row>
    <row r="7472" spans="1:3" x14ac:dyDescent="0.2">
      <c r="A7472" s="34">
        <v>35869</v>
      </c>
      <c r="B7472">
        <v>2.0962170000000002</v>
      </c>
      <c r="C7472">
        <f t="shared" si="121"/>
        <v>0</v>
      </c>
    </row>
    <row r="7473" spans="1:3" x14ac:dyDescent="0.2">
      <c r="A7473" s="34">
        <v>35868</v>
      </c>
      <c r="B7473">
        <v>2.095523</v>
      </c>
      <c r="C7473">
        <f t="shared" si="121"/>
        <v>0</v>
      </c>
    </row>
    <row r="7474" spans="1:3" x14ac:dyDescent="0.2">
      <c r="A7474" s="34">
        <v>35867</v>
      </c>
      <c r="B7474">
        <v>2.0948289999999998</v>
      </c>
      <c r="C7474">
        <f t="shared" si="121"/>
        <v>0</v>
      </c>
    </row>
    <row r="7475" spans="1:3" x14ac:dyDescent="0.2">
      <c r="A7475" s="34">
        <v>35866</v>
      </c>
      <c r="B7475">
        <v>2.0941350000000001</v>
      </c>
      <c r="C7475">
        <f t="shared" si="121"/>
        <v>0</v>
      </c>
    </row>
    <row r="7476" spans="1:3" x14ac:dyDescent="0.2">
      <c r="A7476" s="34">
        <v>35865</v>
      </c>
      <c r="B7476">
        <v>2.0934409999999999</v>
      </c>
      <c r="C7476">
        <f t="shared" si="121"/>
        <v>0</v>
      </c>
    </row>
    <row r="7477" spans="1:3" x14ac:dyDescent="0.2">
      <c r="A7477" s="34">
        <v>35864</v>
      </c>
      <c r="B7477">
        <v>2.0927479999999998</v>
      </c>
      <c r="C7477">
        <f t="shared" si="121"/>
        <v>0</v>
      </c>
    </row>
    <row r="7478" spans="1:3" x14ac:dyDescent="0.2">
      <c r="A7478" s="34">
        <v>35863</v>
      </c>
      <c r="B7478">
        <v>2.0910139999999999</v>
      </c>
      <c r="C7478">
        <f t="shared" si="121"/>
        <v>0</v>
      </c>
    </row>
    <row r="7479" spans="1:3" x14ac:dyDescent="0.2">
      <c r="A7479" s="34">
        <v>35862</v>
      </c>
      <c r="B7479">
        <v>2.0892819999999999</v>
      </c>
      <c r="C7479">
        <f t="shared" si="121"/>
        <v>0</v>
      </c>
    </row>
    <row r="7480" spans="1:3" x14ac:dyDescent="0.2">
      <c r="A7480" s="34">
        <v>35861</v>
      </c>
      <c r="B7480">
        <v>2.0875509999999999</v>
      </c>
      <c r="C7480">
        <f t="shared" si="121"/>
        <v>0</v>
      </c>
    </row>
    <row r="7481" spans="1:3" x14ac:dyDescent="0.2">
      <c r="A7481" s="34">
        <v>35860</v>
      </c>
      <c r="B7481">
        <v>2.0858219999999998</v>
      </c>
      <c r="C7481">
        <f t="shared" si="121"/>
        <v>0</v>
      </c>
    </row>
    <row r="7482" spans="1:3" x14ac:dyDescent="0.2">
      <c r="A7482" s="34">
        <v>35859</v>
      </c>
      <c r="B7482">
        <v>2.0840939999999999</v>
      </c>
      <c r="C7482">
        <f t="shared" si="121"/>
        <v>0</v>
      </c>
    </row>
    <row r="7483" spans="1:3" x14ac:dyDescent="0.2">
      <c r="A7483" s="34">
        <v>35858</v>
      </c>
      <c r="B7483">
        <v>2.0823670000000001</v>
      </c>
      <c r="C7483">
        <f t="shared" si="121"/>
        <v>0</v>
      </c>
    </row>
    <row r="7484" spans="1:3" x14ac:dyDescent="0.2">
      <c r="A7484" s="34">
        <v>35857</v>
      </c>
      <c r="B7484">
        <v>2.0806420000000001</v>
      </c>
      <c r="C7484">
        <f t="shared" si="121"/>
        <v>0</v>
      </c>
    </row>
    <row r="7485" spans="1:3" x14ac:dyDescent="0.2">
      <c r="A7485" s="34">
        <v>35856</v>
      </c>
      <c r="B7485">
        <v>2.078919</v>
      </c>
      <c r="C7485">
        <f t="shared" si="121"/>
        <v>0</v>
      </c>
    </row>
    <row r="7486" spans="1:3" x14ac:dyDescent="0.2">
      <c r="A7486" s="34">
        <v>35855</v>
      </c>
      <c r="B7486">
        <v>2.0771959999999998</v>
      </c>
      <c r="C7486">
        <f t="shared" si="121"/>
        <v>0</v>
      </c>
    </row>
    <row r="7487" spans="1:3" x14ac:dyDescent="0.2">
      <c r="A7487" s="34">
        <v>35854</v>
      </c>
      <c r="B7487">
        <v>2.0754760000000001</v>
      </c>
      <c r="C7487">
        <f t="shared" si="121"/>
        <v>0</v>
      </c>
    </row>
    <row r="7488" spans="1:3" x14ac:dyDescent="0.2">
      <c r="A7488" s="34">
        <v>35853</v>
      </c>
      <c r="B7488">
        <v>2.0737559999999999</v>
      </c>
      <c r="C7488">
        <f t="shared" si="121"/>
        <v>0</v>
      </c>
    </row>
    <row r="7489" spans="1:3" x14ac:dyDescent="0.2">
      <c r="A7489" s="34">
        <v>35852</v>
      </c>
      <c r="B7489">
        <v>2.072038</v>
      </c>
      <c r="C7489">
        <f t="shared" si="121"/>
        <v>0</v>
      </c>
    </row>
    <row r="7490" spans="1:3" x14ac:dyDescent="0.2">
      <c r="A7490" s="34">
        <v>35851</v>
      </c>
      <c r="B7490">
        <v>2.070322</v>
      </c>
      <c r="C7490">
        <f t="shared" ref="C7490:C7553" si="122">IFERROR(VLOOKUP(A7490,$M$2:$N$3695,2,0),C7491)</f>
        <v>0</v>
      </c>
    </row>
    <row r="7491" spans="1:3" x14ac:dyDescent="0.2">
      <c r="A7491" s="34">
        <v>35850</v>
      </c>
      <c r="B7491">
        <v>2.0691899999999999</v>
      </c>
      <c r="C7491">
        <f t="shared" si="122"/>
        <v>0</v>
      </c>
    </row>
    <row r="7492" spans="1:3" x14ac:dyDescent="0.2">
      <c r="A7492" s="34">
        <v>35849</v>
      </c>
      <c r="B7492">
        <v>2.0680580000000002</v>
      </c>
      <c r="C7492">
        <f t="shared" si="122"/>
        <v>0</v>
      </c>
    </row>
    <row r="7493" spans="1:3" x14ac:dyDescent="0.2">
      <c r="A7493" s="34">
        <v>35848</v>
      </c>
      <c r="B7493">
        <v>2.0669270000000002</v>
      </c>
      <c r="C7493">
        <f t="shared" si="122"/>
        <v>0</v>
      </c>
    </row>
    <row r="7494" spans="1:3" x14ac:dyDescent="0.2">
      <c r="A7494" s="34">
        <v>35847</v>
      </c>
      <c r="B7494">
        <v>2.0657969999999999</v>
      </c>
      <c r="C7494">
        <f t="shared" si="122"/>
        <v>0</v>
      </c>
    </row>
    <row r="7495" spans="1:3" x14ac:dyDescent="0.2">
      <c r="A7495" s="34">
        <v>35846</v>
      </c>
      <c r="B7495">
        <v>2.064667</v>
      </c>
      <c r="C7495">
        <f t="shared" si="122"/>
        <v>0</v>
      </c>
    </row>
    <row r="7496" spans="1:3" x14ac:dyDescent="0.2">
      <c r="A7496" s="34">
        <v>35845</v>
      </c>
      <c r="B7496">
        <v>2.0635379999999999</v>
      </c>
      <c r="C7496">
        <f t="shared" si="122"/>
        <v>0</v>
      </c>
    </row>
    <row r="7497" spans="1:3" x14ac:dyDescent="0.2">
      <c r="A7497" s="34">
        <v>35844</v>
      </c>
      <c r="B7497">
        <v>2.0624099999999999</v>
      </c>
      <c r="C7497">
        <f t="shared" si="122"/>
        <v>0</v>
      </c>
    </row>
    <row r="7498" spans="1:3" x14ac:dyDescent="0.2">
      <c r="A7498" s="34">
        <v>35843</v>
      </c>
      <c r="B7498">
        <v>2.0612819999999998</v>
      </c>
      <c r="C7498">
        <f t="shared" si="122"/>
        <v>0</v>
      </c>
    </row>
    <row r="7499" spans="1:3" x14ac:dyDescent="0.2">
      <c r="A7499" s="34">
        <v>35842</v>
      </c>
      <c r="B7499">
        <v>2.060155</v>
      </c>
      <c r="C7499">
        <f t="shared" si="122"/>
        <v>0</v>
      </c>
    </row>
    <row r="7500" spans="1:3" x14ac:dyDescent="0.2">
      <c r="A7500" s="34">
        <v>35841</v>
      </c>
      <c r="B7500">
        <v>2.0590280000000001</v>
      </c>
      <c r="C7500">
        <f t="shared" si="122"/>
        <v>0</v>
      </c>
    </row>
    <row r="7501" spans="1:3" x14ac:dyDescent="0.2">
      <c r="A7501" s="34">
        <v>35840</v>
      </c>
      <c r="B7501">
        <v>2.0579019999999999</v>
      </c>
      <c r="C7501">
        <f t="shared" si="122"/>
        <v>0</v>
      </c>
    </row>
    <row r="7502" spans="1:3" x14ac:dyDescent="0.2">
      <c r="A7502" s="34">
        <v>35839</v>
      </c>
      <c r="B7502">
        <v>2.0567769999999999</v>
      </c>
      <c r="C7502">
        <f t="shared" si="122"/>
        <v>0</v>
      </c>
    </row>
    <row r="7503" spans="1:3" x14ac:dyDescent="0.2">
      <c r="A7503" s="34">
        <v>35838</v>
      </c>
      <c r="B7503">
        <v>2.0556519999999998</v>
      </c>
      <c r="C7503">
        <f t="shared" si="122"/>
        <v>0</v>
      </c>
    </row>
    <row r="7504" spans="1:3" x14ac:dyDescent="0.2">
      <c r="A7504" s="34">
        <v>35837</v>
      </c>
      <c r="B7504">
        <v>2.0545279999999999</v>
      </c>
      <c r="C7504">
        <f t="shared" si="122"/>
        <v>0</v>
      </c>
    </row>
    <row r="7505" spans="1:3" x14ac:dyDescent="0.2">
      <c r="A7505" s="34">
        <v>35836</v>
      </c>
      <c r="B7505">
        <v>2.053404</v>
      </c>
      <c r="C7505">
        <f t="shared" si="122"/>
        <v>0</v>
      </c>
    </row>
    <row r="7506" spans="1:3" x14ac:dyDescent="0.2">
      <c r="A7506" s="34">
        <v>35835</v>
      </c>
      <c r="B7506">
        <v>2.0516920000000001</v>
      </c>
      <c r="C7506">
        <f t="shared" si="122"/>
        <v>0</v>
      </c>
    </row>
    <row r="7507" spans="1:3" x14ac:dyDescent="0.2">
      <c r="A7507" s="34">
        <v>35834</v>
      </c>
      <c r="B7507">
        <v>2.049982</v>
      </c>
      <c r="C7507">
        <f t="shared" si="122"/>
        <v>0</v>
      </c>
    </row>
    <row r="7508" spans="1:3" x14ac:dyDescent="0.2">
      <c r="A7508" s="34">
        <v>35833</v>
      </c>
      <c r="B7508">
        <v>2.048273</v>
      </c>
      <c r="C7508">
        <f t="shared" si="122"/>
        <v>0</v>
      </c>
    </row>
    <row r="7509" spans="1:3" x14ac:dyDescent="0.2">
      <c r="A7509" s="34">
        <v>35832</v>
      </c>
      <c r="B7509">
        <v>2.0465650000000002</v>
      </c>
      <c r="C7509">
        <f t="shared" si="122"/>
        <v>0</v>
      </c>
    </row>
    <row r="7510" spans="1:3" x14ac:dyDescent="0.2">
      <c r="A7510" s="34">
        <v>35831</v>
      </c>
      <c r="B7510">
        <v>2.0448590000000002</v>
      </c>
      <c r="C7510">
        <f t="shared" si="122"/>
        <v>0</v>
      </c>
    </row>
    <row r="7511" spans="1:3" x14ac:dyDescent="0.2">
      <c r="A7511" s="34">
        <v>35830</v>
      </c>
      <c r="B7511">
        <v>2.0431539999999999</v>
      </c>
      <c r="C7511">
        <f t="shared" si="122"/>
        <v>0</v>
      </c>
    </row>
    <row r="7512" spans="1:3" x14ac:dyDescent="0.2">
      <c r="A7512" s="34">
        <v>35829</v>
      </c>
      <c r="B7512">
        <v>2.0414500000000002</v>
      </c>
      <c r="C7512">
        <f t="shared" si="122"/>
        <v>0</v>
      </c>
    </row>
    <row r="7513" spans="1:3" x14ac:dyDescent="0.2">
      <c r="A7513" s="34">
        <v>35828</v>
      </c>
      <c r="B7513">
        <v>2.0397479999999999</v>
      </c>
      <c r="C7513">
        <f t="shared" si="122"/>
        <v>0</v>
      </c>
    </row>
    <row r="7514" spans="1:3" x14ac:dyDescent="0.2">
      <c r="A7514" s="34">
        <v>35827</v>
      </c>
      <c r="B7514">
        <v>2.0380479999999999</v>
      </c>
      <c r="C7514">
        <f t="shared" si="122"/>
        <v>0</v>
      </c>
    </row>
    <row r="7515" spans="1:3" x14ac:dyDescent="0.2">
      <c r="A7515" s="34">
        <v>35826</v>
      </c>
      <c r="B7515">
        <v>2.036349</v>
      </c>
      <c r="C7515">
        <f t="shared" si="122"/>
        <v>0</v>
      </c>
    </row>
    <row r="7516" spans="1:3" x14ac:dyDescent="0.2">
      <c r="A7516" s="34">
        <v>35825</v>
      </c>
      <c r="B7516">
        <v>2.0346510000000002</v>
      </c>
      <c r="C7516">
        <f t="shared" si="122"/>
        <v>0</v>
      </c>
    </row>
    <row r="7517" spans="1:3" x14ac:dyDescent="0.2">
      <c r="A7517" s="34">
        <v>35824</v>
      </c>
      <c r="B7517">
        <v>2.0329549999999998</v>
      </c>
      <c r="C7517">
        <f t="shared" si="122"/>
        <v>0</v>
      </c>
    </row>
    <row r="7518" spans="1:3" x14ac:dyDescent="0.2">
      <c r="A7518" s="34">
        <v>35823</v>
      </c>
      <c r="B7518">
        <v>2.0312600000000001</v>
      </c>
      <c r="C7518">
        <f t="shared" si="122"/>
        <v>0</v>
      </c>
    </row>
    <row r="7519" spans="1:3" x14ac:dyDescent="0.2">
      <c r="A7519" s="34">
        <v>35822</v>
      </c>
      <c r="B7519">
        <v>2.029566</v>
      </c>
      <c r="C7519">
        <f t="shared" si="122"/>
        <v>0</v>
      </c>
    </row>
    <row r="7520" spans="1:3" x14ac:dyDescent="0.2">
      <c r="A7520" s="34">
        <v>35821</v>
      </c>
      <c r="B7520">
        <v>2.0278740000000002</v>
      </c>
      <c r="C7520">
        <f t="shared" si="122"/>
        <v>0</v>
      </c>
    </row>
    <row r="7521" spans="1:3" x14ac:dyDescent="0.2">
      <c r="A7521" s="34">
        <v>35820</v>
      </c>
      <c r="B7521">
        <v>2.0261830000000001</v>
      </c>
      <c r="C7521">
        <f t="shared" si="122"/>
        <v>0</v>
      </c>
    </row>
    <row r="7522" spans="1:3" x14ac:dyDescent="0.2">
      <c r="A7522" s="34">
        <v>35819</v>
      </c>
      <c r="B7522">
        <v>2.0250819999999998</v>
      </c>
      <c r="C7522">
        <f t="shared" si="122"/>
        <v>0</v>
      </c>
    </row>
    <row r="7523" spans="1:3" x14ac:dyDescent="0.2">
      <c r="A7523" s="34">
        <v>35818</v>
      </c>
      <c r="B7523">
        <v>2.023981</v>
      </c>
      <c r="C7523">
        <f t="shared" si="122"/>
        <v>0</v>
      </c>
    </row>
    <row r="7524" spans="1:3" x14ac:dyDescent="0.2">
      <c r="A7524" s="34">
        <v>35817</v>
      </c>
      <c r="B7524">
        <v>2.0228809999999999</v>
      </c>
      <c r="C7524">
        <f t="shared" si="122"/>
        <v>0</v>
      </c>
    </row>
    <row r="7525" spans="1:3" x14ac:dyDescent="0.2">
      <c r="A7525" s="34">
        <v>35816</v>
      </c>
      <c r="B7525">
        <v>2.021782</v>
      </c>
      <c r="C7525">
        <f t="shared" si="122"/>
        <v>0</v>
      </c>
    </row>
    <row r="7526" spans="1:3" x14ac:dyDescent="0.2">
      <c r="A7526" s="34">
        <v>35815</v>
      </c>
      <c r="B7526">
        <v>2.020683</v>
      </c>
      <c r="C7526">
        <f t="shared" si="122"/>
        <v>0</v>
      </c>
    </row>
    <row r="7527" spans="1:3" x14ac:dyDescent="0.2">
      <c r="A7527" s="34">
        <v>35814</v>
      </c>
      <c r="B7527">
        <v>2.0195850000000002</v>
      </c>
      <c r="C7527">
        <f t="shared" si="122"/>
        <v>0</v>
      </c>
    </row>
    <row r="7528" spans="1:3" x14ac:dyDescent="0.2">
      <c r="A7528" s="34">
        <v>35813</v>
      </c>
      <c r="B7528">
        <v>2.0184869999999999</v>
      </c>
      <c r="C7528">
        <f t="shared" si="122"/>
        <v>0</v>
      </c>
    </row>
    <row r="7529" spans="1:3" x14ac:dyDescent="0.2">
      <c r="A7529" s="34">
        <v>35812</v>
      </c>
      <c r="B7529">
        <v>2.0173899999999998</v>
      </c>
      <c r="C7529">
        <f t="shared" si="122"/>
        <v>0</v>
      </c>
    </row>
    <row r="7530" spans="1:3" x14ac:dyDescent="0.2">
      <c r="A7530" s="34">
        <v>35811</v>
      </c>
      <c r="B7530">
        <v>2.0162939999999998</v>
      </c>
      <c r="C7530">
        <f t="shared" si="122"/>
        <v>0</v>
      </c>
    </row>
    <row r="7531" spans="1:3" x14ac:dyDescent="0.2">
      <c r="A7531" s="34">
        <v>35810</v>
      </c>
      <c r="B7531">
        <v>2.0151979999999998</v>
      </c>
      <c r="C7531">
        <f t="shared" si="122"/>
        <v>0</v>
      </c>
    </row>
    <row r="7532" spans="1:3" x14ac:dyDescent="0.2">
      <c r="A7532" s="34">
        <v>35809</v>
      </c>
      <c r="B7532">
        <v>2.0141019999999998</v>
      </c>
      <c r="C7532">
        <f t="shared" si="122"/>
        <v>0</v>
      </c>
    </row>
    <row r="7533" spans="1:3" x14ac:dyDescent="0.2">
      <c r="A7533" s="34">
        <v>35808</v>
      </c>
      <c r="B7533">
        <v>2.0130080000000001</v>
      </c>
      <c r="C7533">
        <f t="shared" si="122"/>
        <v>0</v>
      </c>
    </row>
    <row r="7534" spans="1:3" x14ac:dyDescent="0.2">
      <c r="A7534" s="34">
        <v>35807</v>
      </c>
      <c r="B7534">
        <v>2.011914</v>
      </c>
      <c r="C7534">
        <f t="shared" si="122"/>
        <v>0</v>
      </c>
    </row>
    <row r="7535" spans="1:3" x14ac:dyDescent="0.2">
      <c r="A7535" s="34">
        <v>35806</v>
      </c>
      <c r="B7535">
        <v>2.0108199999999998</v>
      </c>
      <c r="C7535">
        <f t="shared" si="122"/>
        <v>0</v>
      </c>
    </row>
    <row r="7536" spans="1:3" x14ac:dyDescent="0.2">
      <c r="A7536" s="34">
        <v>35805</v>
      </c>
      <c r="B7536">
        <v>2.0097269999999998</v>
      </c>
      <c r="C7536">
        <f t="shared" si="122"/>
        <v>0</v>
      </c>
    </row>
    <row r="7537" spans="1:3" x14ac:dyDescent="0.2">
      <c r="A7537" s="34">
        <v>35804</v>
      </c>
      <c r="B7537">
        <v>2.0087820000000001</v>
      </c>
      <c r="C7537">
        <f t="shared" si="122"/>
        <v>0</v>
      </c>
    </row>
    <row r="7538" spans="1:3" x14ac:dyDescent="0.2">
      <c r="A7538" s="34">
        <v>35803</v>
      </c>
      <c r="B7538">
        <v>2.0078369999999999</v>
      </c>
      <c r="C7538">
        <f t="shared" si="122"/>
        <v>0</v>
      </c>
    </row>
    <row r="7539" spans="1:3" x14ac:dyDescent="0.2">
      <c r="A7539" s="34">
        <v>35802</v>
      </c>
      <c r="B7539">
        <v>2.0068920000000001</v>
      </c>
      <c r="C7539">
        <f t="shared" si="122"/>
        <v>0</v>
      </c>
    </row>
    <row r="7540" spans="1:3" x14ac:dyDescent="0.2">
      <c r="A7540" s="34">
        <v>35801</v>
      </c>
      <c r="B7540">
        <v>2.0059480000000001</v>
      </c>
      <c r="C7540">
        <f t="shared" si="122"/>
        <v>0</v>
      </c>
    </row>
    <row r="7541" spans="1:3" x14ac:dyDescent="0.2">
      <c r="A7541" s="34">
        <v>35800</v>
      </c>
      <c r="B7541">
        <v>2.0050050000000001</v>
      </c>
      <c r="C7541">
        <f t="shared" si="122"/>
        <v>0</v>
      </c>
    </row>
    <row r="7542" spans="1:3" x14ac:dyDescent="0.2">
      <c r="A7542" s="34">
        <v>35799</v>
      </c>
      <c r="B7542">
        <v>2.0040619999999998</v>
      </c>
      <c r="C7542">
        <f t="shared" si="122"/>
        <v>0</v>
      </c>
    </row>
    <row r="7543" spans="1:3" x14ac:dyDescent="0.2">
      <c r="A7543" s="34">
        <v>35798</v>
      </c>
      <c r="B7543">
        <v>2.0031189999999999</v>
      </c>
      <c r="C7543">
        <f t="shared" si="122"/>
        <v>0</v>
      </c>
    </row>
    <row r="7544" spans="1:3" x14ac:dyDescent="0.2">
      <c r="A7544" s="34">
        <v>35797</v>
      </c>
      <c r="B7544">
        <v>2.0021770000000001</v>
      </c>
      <c r="C7544">
        <f t="shared" si="122"/>
        <v>0</v>
      </c>
    </row>
    <row r="7545" spans="1:3" x14ac:dyDescent="0.2">
      <c r="A7545" s="34">
        <v>35796</v>
      </c>
      <c r="B7545">
        <v>2.0012349999999999</v>
      </c>
      <c r="C7545">
        <f t="shared" si="122"/>
        <v>0</v>
      </c>
    </row>
    <row r="7546" spans="1:3" x14ac:dyDescent="0.2">
      <c r="A7546" s="34">
        <v>35795</v>
      </c>
      <c r="B7546">
        <v>2.0002939999999998</v>
      </c>
      <c r="C7546">
        <f t="shared" si="122"/>
        <v>0</v>
      </c>
    </row>
    <row r="7547" spans="1:3" x14ac:dyDescent="0.2">
      <c r="A7547" s="34">
        <v>35794</v>
      </c>
      <c r="B7547">
        <v>1.9993529999999999</v>
      </c>
      <c r="C7547">
        <f t="shared" si="122"/>
        <v>0</v>
      </c>
    </row>
    <row r="7548" spans="1:3" x14ac:dyDescent="0.2">
      <c r="A7548" s="34">
        <v>35793</v>
      </c>
      <c r="B7548">
        <v>1.9984120000000001</v>
      </c>
      <c r="C7548">
        <f t="shared" si="122"/>
        <v>0</v>
      </c>
    </row>
    <row r="7549" spans="1:3" x14ac:dyDescent="0.2">
      <c r="A7549" s="34">
        <v>35792</v>
      </c>
      <c r="B7549">
        <v>1.9974719999999999</v>
      </c>
      <c r="C7549">
        <f t="shared" si="122"/>
        <v>0</v>
      </c>
    </row>
    <row r="7550" spans="1:3" x14ac:dyDescent="0.2">
      <c r="A7550" s="34">
        <v>35791</v>
      </c>
      <c r="B7550">
        <v>1.996532</v>
      </c>
      <c r="C7550">
        <f t="shared" si="122"/>
        <v>0</v>
      </c>
    </row>
    <row r="7551" spans="1:3" x14ac:dyDescent="0.2">
      <c r="A7551" s="34">
        <v>35790</v>
      </c>
      <c r="B7551">
        <v>1.995593</v>
      </c>
      <c r="C7551">
        <f t="shared" si="122"/>
        <v>0</v>
      </c>
    </row>
    <row r="7552" spans="1:3" x14ac:dyDescent="0.2">
      <c r="A7552" s="34">
        <v>35789</v>
      </c>
      <c r="B7552">
        <v>1.9946550000000001</v>
      </c>
      <c r="C7552">
        <f t="shared" si="122"/>
        <v>0</v>
      </c>
    </row>
    <row r="7553" spans="1:3" x14ac:dyDescent="0.2">
      <c r="A7553" s="34">
        <v>35788</v>
      </c>
      <c r="B7553">
        <v>1.9940439999999999</v>
      </c>
      <c r="C7553">
        <f t="shared" si="122"/>
        <v>0</v>
      </c>
    </row>
    <row r="7554" spans="1:3" x14ac:dyDescent="0.2">
      <c r="A7554" s="34">
        <v>35787</v>
      </c>
      <c r="B7554">
        <v>1.993433</v>
      </c>
      <c r="C7554">
        <f t="shared" ref="C7554:C7617" si="123">IFERROR(VLOOKUP(A7554,$M$2:$N$3695,2,0),C7555)</f>
        <v>0</v>
      </c>
    </row>
    <row r="7555" spans="1:3" x14ac:dyDescent="0.2">
      <c r="A7555" s="34">
        <v>35786</v>
      </c>
      <c r="B7555">
        <v>1.9928220000000001</v>
      </c>
      <c r="C7555">
        <f t="shared" si="123"/>
        <v>0</v>
      </c>
    </row>
    <row r="7556" spans="1:3" x14ac:dyDescent="0.2">
      <c r="A7556" s="34">
        <v>35785</v>
      </c>
      <c r="B7556">
        <v>1.9922120000000001</v>
      </c>
      <c r="C7556">
        <f t="shared" si="123"/>
        <v>0</v>
      </c>
    </row>
    <row r="7557" spans="1:3" x14ac:dyDescent="0.2">
      <c r="A7557" s="34">
        <v>35784</v>
      </c>
      <c r="B7557">
        <v>1.991601</v>
      </c>
      <c r="C7557">
        <f t="shared" si="123"/>
        <v>0</v>
      </c>
    </row>
    <row r="7558" spans="1:3" x14ac:dyDescent="0.2">
      <c r="A7558" s="34">
        <v>35783</v>
      </c>
      <c r="B7558">
        <v>1.990991</v>
      </c>
      <c r="C7558">
        <f t="shared" si="123"/>
        <v>0</v>
      </c>
    </row>
    <row r="7559" spans="1:3" x14ac:dyDescent="0.2">
      <c r="A7559" s="34">
        <v>35782</v>
      </c>
      <c r="B7559">
        <v>1.990381</v>
      </c>
      <c r="C7559">
        <f t="shared" si="123"/>
        <v>0</v>
      </c>
    </row>
    <row r="7560" spans="1:3" x14ac:dyDescent="0.2">
      <c r="A7560" s="34">
        <v>35781</v>
      </c>
      <c r="B7560">
        <v>1.989771</v>
      </c>
      <c r="C7560">
        <f t="shared" si="123"/>
        <v>0</v>
      </c>
    </row>
    <row r="7561" spans="1:3" x14ac:dyDescent="0.2">
      <c r="A7561" s="34">
        <v>35780</v>
      </c>
      <c r="B7561">
        <v>1.9891620000000001</v>
      </c>
      <c r="C7561">
        <f t="shared" si="123"/>
        <v>0</v>
      </c>
    </row>
    <row r="7562" spans="1:3" x14ac:dyDescent="0.2">
      <c r="A7562" s="34">
        <v>35779</v>
      </c>
      <c r="B7562">
        <v>1.9885520000000001</v>
      </c>
      <c r="C7562">
        <f t="shared" si="123"/>
        <v>0</v>
      </c>
    </row>
    <row r="7563" spans="1:3" x14ac:dyDescent="0.2">
      <c r="A7563" s="34">
        <v>35778</v>
      </c>
      <c r="B7563">
        <v>1.987943</v>
      </c>
      <c r="C7563">
        <f t="shared" si="123"/>
        <v>0</v>
      </c>
    </row>
    <row r="7564" spans="1:3" x14ac:dyDescent="0.2">
      <c r="A7564" s="34">
        <v>35777</v>
      </c>
      <c r="B7564">
        <v>1.9873339999999999</v>
      </c>
      <c r="C7564">
        <f t="shared" si="123"/>
        <v>0</v>
      </c>
    </row>
    <row r="7565" spans="1:3" x14ac:dyDescent="0.2">
      <c r="A7565" s="34">
        <v>35776</v>
      </c>
      <c r="B7565">
        <v>1.9867250000000001</v>
      </c>
      <c r="C7565">
        <f t="shared" si="123"/>
        <v>0</v>
      </c>
    </row>
    <row r="7566" spans="1:3" x14ac:dyDescent="0.2">
      <c r="A7566" s="34">
        <v>35775</v>
      </c>
      <c r="B7566">
        <v>1.9861169999999999</v>
      </c>
      <c r="C7566">
        <f t="shared" si="123"/>
        <v>0</v>
      </c>
    </row>
    <row r="7567" spans="1:3" x14ac:dyDescent="0.2">
      <c r="A7567" s="34">
        <v>35774</v>
      </c>
      <c r="B7567">
        <v>1.9855080000000001</v>
      </c>
      <c r="C7567">
        <f t="shared" si="123"/>
        <v>0</v>
      </c>
    </row>
    <row r="7568" spans="1:3" x14ac:dyDescent="0.2">
      <c r="A7568" s="34">
        <v>35773</v>
      </c>
      <c r="B7568">
        <v>1.9845600000000001</v>
      </c>
      <c r="C7568">
        <f t="shared" si="123"/>
        <v>0</v>
      </c>
    </row>
    <row r="7569" spans="1:3" x14ac:dyDescent="0.2">
      <c r="A7569" s="34">
        <v>35772</v>
      </c>
      <c r="B7569">
        <v>1.9836119999999999</v>
      </c>
      <c r="C7569">
        <f t="shared" si="123"/>
        <v>0</v>
      </c>
    </row>
    <row r="7570" spans="1:3" x14ac:dyDescent="0.2">
      <c r="A7570" s="34">
        <v>35771</v>
      </c>
      <c r="B7570">
        <v>1.9826649999999999</v>
      </c>
      <c r="C7570">
        <f t="shared" si="123"/>
        <v>0</v>
      </c>
    </row>
    <row r="7571" spans="1:3" x14ac:dyDescent="0.2">
      <c r="A7571" s="34">
        <v>35770</v>
      </c>
      <c r="B7571">
        <v>1.9817180000000001</v>
      </c>
      <c r="C7571">
        <f t="shared" si="123"/>
        <v>0</v>
      </c>
    </row>
    <row r="7572" spans="1:3" x14ac:dyDescent="0.2">
      <c r="A7572" s="34">
        <v>35769</v>
      </c>
      <c r="B7572">
        <v>1.980772</v>
      </c>
      <c r="C7572">
        <f t="shared" si="123"/>
        <v>0</v>
      </c>
    </row>
    <row r="7573" spans="1:3" x14ac:dyDescent="0.2">
      <c r="A7573" s="34">
        <v>35768</v>
      </c>
      <c r="B7573">
        <v>1.9798260000000001</v>
      </c>
      <c r="C7573">
        <f t="shared" si="123"/>
        <v>0</v>
      </c>
    </row>
    <row r="7574" spans="1:3" x14ac:dyDescent="0.2">
      <c r="A7574" s="34">
        <v>35767</v>
      </c>
      <c r="B7574">
        <v>1.97888</v>
      </c>
      <c r="C7574">
        <f t="shared" si="123"/>
        <v>0</v>
      </c>
    </row>
    <row r="7575" spans="1:3" x14ac:dyDescent="0.2">
      <c r="A7575" s="34">
        <v>35766</v>
      </c>
      <c r="B7575">
        <v>1.977935</v>
      </c>
      <c r="C7575">
        <f t="shared" si="123"/>
        <v>0</v>
      </c>
    </row>
    <row r="7576" spans="1:3" x14ac:dyDescent="0.2">
      <c r="A7576" s="34">
        <v>35765</v>
      </c>
      <c r="B7576">
        <v>1.9769909999999999</v>
      </c>
      <c r="C7576">
        <f t="shared" si="123"/>
        <v>0</v>
      </c>
    </row>
    <row r="7577" spans="1:3" x14ac:dyDescent="0.2">
      <c r="A7577" s="34">
        <v>35764</v>
      </c>
      <c r="B7577">
        <v>1.976046</v>
      </c>
      <c r="C7577">
        <f t="shared" si="123"/>
        <v>0</v>
      </c>
    </row>
    <row r="7578" spans="1:3" x14ac:dyDescent="0.2">
      <c r="A7578" s="34">
        <v>35763</v>
      </c>
      <c r="B7578">
        <v>1.9751030000000001</v>
      </c>
      <c r="C7578">
        <f t="shared" si="123"/>
        <v>0</v>
      </c>
    </row>
    <row r="7579" spans="1:3" x14ac:dyDescent="0.2">
      <c r="A7579" s="34">
        <v>35762</v>
      </c>
      <c r="B7579">
        <v>1.974159</v>
      </c>
      <c r="C7579">
        <f t="shared" si="123"/>
        <v>0</v>
      </c>
    </row>
    <row r="7580" spans="1:3" x14ac:dyDescent="0.2">
      <c r="A7580" s="34">
        <v>35761</v>
      </c>
      <c r="B7580">
        <v>1.973217</v>
      </c>
      <c r="C7580">
        <f t="shared" si="123"/>
        <v>0</v>
      </c>
    </row>
    <row r="7581" spans="1:3" x14ac:dyDescent="0.2">
      <c r="A7581" s="34">
        <v>35760</v>
      </c>
      <c r="B7581">
        <v>1.9722740000000001</v>
      </c>
      <c r="C7581">
        <f t="shared" si="123"/>
        <v>0</v>
      </c>
    </row>
    <row r="7582" spans="1:3" x14ac:dyDescent="0.2">
      <c r="A7582" s="34">
        <v>35759</v>
      </c>
      <c r="B7582">
        <v>1.9713320000000001</v>
      </c>
      <c r="C7582">
        <f t="shared" si="123"/>
        <v>0</v>
      </c>
    </row>
    <row r="7583" spans="1:3" x14ac:dyDescent="0.2">
      <c r="A7583" s="34">
        <v>35758</v>
      </c>
      <c r="B7583">
        <v>1.9708950000000001</v>
      </c>
      <c r="C7583">
        <f t="shared" si="123"/>
        <v>0</v>
      </c>
    </row>
    <row r="7584" spans="1:3" x14ac:dyDescent="0.2">
      <c r="A7584" s="34">
        <v>35757</v>
      </c>
      <c r="B7584">
        <v>1.970458</v>
      </c>
      <c r="C7584">
        <f t="shared" si="123"/>
        <v>0</v>
      </c>
    </row>
    <row r="7585" spans="1:3" x14ac:dyDescent="0.2">
      <c r="A7585" s="34">
        <v>35756</v>
      </c>
      <c r="B7585">
        <v>1.9700219999999999</v>
      </c>
      <c r="C7585">
        <f t="shared" si="123"/>
        <v>0</v>
      </c>
    </row>
    <row r="7586" spans="1:3" x14ac:dyDescent="0.2">
      <c r="A7586" s="34">
        <v>35755</v>
      </c>
      <c r="B7586">
        <v>1.9695849999999999</v>
      </c>
      <c r="C7586">
        <f t="shared" si="123"/>
        <v>0</v>
      </c>
    </row>
    <row r="7587" spans="1:3" x14ac:dyDescent="0.2">
      <c r="A7587" s="34">
        <v>35754</v>
      </c>
      <c r="B7587">
        <v>1.9691479999999999</v>
      </c>
      <c r="C7587">
        <f t="shared" si="123"/>
        <v>0</v>
      </c>
    </row>
    <row r="7588" spans="1:3" x14ac:dyDescent="0.2">
      <c r="A7588" s="34">
        <v>35753</v>
      </c>
      <c r="B7588">
        <v>1.968712</v>
      </c>
      <c r="C7588">
        <f t="shared" si="123"/>
        <v>0</v>
      </c>
    </row>
    <row r="7589" spans="1:3" x14ac:dyDescent="0.2">
      <c r="A7589" s="34">
        <v>35752</v>
      </c>
      <c r="B7589">
        <v>1.9682759999999999</v>
      </c>
      <c r="C7589">
        <f t="shared" si="123"/>
        <v>0</v>
      </c>
    </row>
    <row r="7590" spans="1:3" x14ac:dyDescent="0.2">
      <c r="A7590" s="34">
        <v>35751</v>
      </c>
      <c r="B7590">
        <v>1.9678389999999999</v>
      </c>
      <c r="C7590">
        <f t="shared" si="123"/>
        <v>0</v>
      </c>
    </row>
    <row r="7591" spans="1:3" x14ac:dyDescent="0.2">
      <c r="A7591" s="34">
        <v>35750</v>
      </c>
      <c r="B7591">
        <v>1.967403</v>
      </c>
      <c r="C7591">
        <f t="shared" si="123"/>
        <v>0</v>
      </c>
    </row>
    <row r="7592" spans="1:3" x14ac:dyDescent="0.2">
      <c r="A7592" s="34">
        <v>35749</v>
      </c>
      <c r="B7592">
        <v>1.9669669999999999</v>
      </c>
      <c r="C7592">
        <f t="shared" si="123"/>
        <v>0</v>
      </c>
    </row>
    <row r="7593" spans="1:3" x14ac:dyDescent="0.2">
      <c r="A7593" s="34">
        <v>35748</v>
      </c>
      <c r="B7593">
        <v>1.966531</v>
      </c>
      <c r="C7593">
        <f t="shared" si="123"/>
        <v>0</v>
      </c>
    </row>
    <row r="7594" spans="1:3" x14ac:dyDescent="0.2">
      <c r="A7594" s="34">
        <v>35747</v>
      </c>
      <c r="B7594">
        <v>1.9660949999999999</v>
      </c>
      <c r="C7594">
        <f t="shared" si="123"/>
        <v>0</v>
      </c>
    </row>
    <row r="7595" spans="1:3" x14ac:dyDescent="0.2">
      <c r="A7595" s="34">
        <v>35746</v>
      </c>
      <c r="B7595">
        <v>1.965659</v>
      </c>
      <c r="C7595">
        <f t="shared" si="123"/>
        <v>0</v>
      </c>
    </row>
    <row r="7596" spans="1:3" x14ac:dyDescent="0.2">
      <c r="A7596" s="34">
        <v>35745</v>
      </c>
      <c r="B7596">
        <v>1.9652240000000001</v>
      </c>
      <c r="C7596">
        <f t="shared" si="123"/>
        <v>0</v>
      </c>
    </row>
    <row r="7597" spans="1:3" x14ac:dyDescent="0.2">
      <c r="A7597" s="34">
        <v>35744</v>
      </c>
      <c r="B7597">
        <v>1.964788</v>
      </c>
      <c r="C7597">
        <f t="shared" si="123"/>
        <v>0</v>
      </c>
    </row>
    <row r="7598" spans="1:3" x14ac:dyDescent="0.2">
      <c r="A7598" s="34">
        <v>35743</v>
      </c>
      <c r="B7598">
        <v>1.96421</v>
      </c>
      <c r="C7598">
        <f t="shared" si="123"/>
        <v>0</v>
      </c>
    </row>
    <row r="7599" spans="1:3" x14ac:dyDescent="0.2">
      <c r="A7599" s="34">
        <v>35742</v>
      </c>
      <c r="B7599">
        <v>1.963632</v>
      </c>
      <c r="C7599">
        <f t="shared" si="123"/>
        <v>0</v>
      </c>
    </row>
    <row r="7600" spans="1:3" x14ac:dyDescent="0.2">
      <c r="A7600" s="34">
        <v>35741</v>
      </c>
      <c r="B7600">
        <v>1.9630540000000001</v>
      </c>
      <c r="C7600">
        <f t="shared" si="123"/>
        <v>0</v>
      </c>
    </row>
    <row r="7601" spans="1:3" x14ac:dyDescent="0.2">
      <c r="A7601" s="34">
        <v>35740</v>
      </c>
      <c r="B7601">
        <v>1.9624760000000001</v>
      </c>
      <c r="C7601">
        <f t="shared" si="123"/>
        <v>0</v>
      </c>
    </row>
    <row r="7602" spans="1:3" x14ac:dyDescent="0.2">
      <c r="A7602" s="34">
        <v>35739</v>
      </c>
      <c r="B7602">
        <v>1.9618979999999999</v>
      </c>
      <c r="C7602">
        <f t="shared" si="123"/>
        <v>0</v>
      </c>
    </row>
    <row r="7603" spans="1:3" x14ac:dyDescent="0.2">
      <c r="A7603" s="34">
        <v>35738</v>
      </c>
      <c r="B7603">
        <v>1.96132</v>
      </c>
      <c r="C7603">
        <f t="shared" si="123"/>
        <v>0</v>
      </c>
    </row>
    <row r="7604" spans="1:3" x14ac:dyDescent="0.2">
      <c r="A7604" s="34">
        <v>35737</v>
      </c>
      <c r="B7604">
        <v>1.9607429999999999</v>
      </c>
      <c r="C7604">
        <f t="shared" si="123"/>
        <v>0</v>
      </c>
    </row>
    <row r="7605" spans="1:3" x14ac:dyDescent="0.2">
      <c r="A7605" s="34">
        <v>35736</v>
      </c>
      <c r="B7605">
        <v>1.9601660000000001</v>
      </c>
      <c r="C7605">
        <f t="shared" si="123"/>
        <v>0</v>
      </c>
    </row>
    <row r="7606" spans="1:3" x14ac:dyDescent="0.2">
      <c r="A7606" s="34">
        <v>35735</v>
      </c>
      <c r="B7606">
        <v>1.959589</v>
      </c>
      <c r="C7606">
        <f t="shared" si="123"/>
        <v>0</v>
      </c>
    </row>
    <row r="7607" spans="1:3" x14ac:dyDescent="0.2">
      <c r="A7607" s="34">
        <v>35734</v>
      </c>
      <c r="B7607">
        <v>1.959012</v>
      </c>
      <c r="C7607">
        <f t="shared" si="123"/>
        <v>0</v>
      </c>
    </row>
    <row r="7608" spans="1:3" x14ac:dyDescent="0.2">
      <c r="A7608" s="34">
        <v>35733</v>
      </c>
      <c r="B7608">
        <v>1.9584360000000001</v>
      </c>
      <c r="C7608">
        <f t="shared" si="123"/>
        <v>0</v>
      </c>
    </row>
    <row r="7609" spans="1:3" x14ac:dyDescent="0.2">
      <c r="A7609" s="34">
        <v>35732</v>
      </c>
      <c r="B7609">
        <v>1.957859</v>
      </c>
      <c r="C7609">
        <f t="shared" si="123"/>
        <v>0</v>
      </c>
    </row>
    <row r="7610" spans="1:3" x14ac:dyDescent="0.2">
      <c r="A7610" s="34">
        <v>35731</v>
      </c>
      <c r="B7610">
        <v>1.9572830000000001</v>
      </c>
      <c r="C7610">
        <f t="shared" si="123"/>
        <v>0</v>
      </c>
    </row>
    <row r="7611" spans="1:3" x14ac:dyDescent="0.2">
      <c r="A7611" s="34">
        <v>35730</v>
      </c>
      <c r="B7611">
        <v>1.956707</v>
      </c>
      <c r="C7611">
        <f t="shared" si="123"/>
        <v>0</v>
      </c>
    </row>
    <row r="7612" spans="1:3" x14ac:dyDescent="0.2">
      <c r="A7612" s="34">
        <v>35729</v>
      </c>
      <c r="B7612">
        <v>1.9561310000000001</v>
      </c>
      <c r="C7612">
        <f t="shared" si="123"/>
        <v>0</v>
      </c>
    </row>
    <row r="7613" spans="1:3" x14ac:dyDescent="0.2">
      <c r="A7613" s="34">
        <v>35728</v>
      </c>
      <c r="B7613">
        <v>1.9555549999999999</v>
      </c>
      <c r="C7613">
        <f t="shared" si="123"/>
        <v>0</v>
      </c>
    </row>
    <row r="7614" spans="1:3" x14ac:dyDescent="0.2">
      <c r="A7614" s="34">
        <v>35727</v>
      </c>
      <c r="B7614">
        <v>1.955141</v>
      </c>
      <c r="C7614">
        <f t="shared" si="123"/>
        <v>0</v>
      </c>
    </row>
    <row r="7615" spans="1:3" x14ac:dyDescent="0.2">
      <c r="A7615" s="34">
        <v>35726</v>
      </c>
      <c r="B7615">
        <v>1.954728</v>
      </c>
      <c r="C7615">
        <f t="shared" si="123"/>
        <v>0</v>
      </c>
    </row>
    <row r="7616" spans="1:3" x14ac:dyDescent="0.2">
      <c r="A7616" s="34">
        <v>35725</v>
      </c>
      <c r="B7616">
        <v>1.9543140000000001</v>
      </c>
      <c r="C7616">
        <f t="shared" si="123"/>
        <v>0</v>
      </c>
    </row>
    <row r="7617" spans="1:3" x14ac:dyDescent="0.2">
      <c r="A7617" s="34">
        <v>35724</v>
      </c>
      <c r="B7617">
        <v>1.9539010000000001</v>
      </c>
      <c r="C7617">
        <f t="shared" si="123"/>
        <v>0</v>
      </c>
    </row>
    <row r="7618" spans="1:3" x14ac:dyDescent="0.2">
      <c r="A7618" s="34">
        <v>35723</v>
      </c>
      <c r="B7618">
        <v>1.953487</v>
      </c>
      <c r="C7618">
        <f t="shared" ref="C7618:C7681" si="124">IFERROR(VLOOKUP(A7618,$M$2:$N$3695,2,0),C7619)</f>
        <v>0</v>
      </c>
    </row>
    <row r="7619" spans="1:3" x14ac:dyDescent="0.2">
      <c r="A7619" s="34">
        <v>35722</v>
      </c>
      <c r="B7619">
        <v>1.953074</v>
      </c>
      <c r="C7619">
        <f t="shared" si="124"/>
        <v>0</v>
      </c>
    </row>
    <row r="7620" spans="1:3" x14ac:dyDescent="0.2">
      <c r="A7620" s="34">
        <v>35721</v>
      </c>
      <c r="B7620">
        <v>1.952661</v>
      </c>
      <c r="C7620">
        <f t="shared" si="124"/>
        <v>0</v>
      </c>
    </row>
    <row r="7621" spans="1:3" x14ac:dyDescent="0.2">
      <c r="A7621" s="34">
        <v>35720</v>
      </c>
      <c r="B7621">
        <v>1.952248</v>
      </c>
      <c r="C7621">
        <f t="shared" si="124"/>
        <v>0</v>
      </c>
    </row>
    <row r="7622" spans="1:3" x14ac:dyDescent="0.2">
      <c r="A7622" s="34">
        <v>35719</v>
      </c>
      <c r="B7622">
        <v>1.951835</v>
      </c>
      <c r="C7622">
        <f t="shared" si="124"/>
        <v>0</v>
      </c>
    </row>
    <row r="7623" spans="1:3" x14ac:dyDescent="0.2">
      <c r="A7623" s="34">
        <v>35718</v>
      </c>
      <c r="B7623">
        <v>1.951422</v>
      </c>
      <c r="C7623">
        <f t="shared" si="124"/>
        <v>0</v>
      </c>
    </row>
    <row r="7624" spans="1:3" x14ac:dyDescent="0.2">
      <c r="A7624" s="34">
        <v>35717</v>
      </c>
      <c r="B7624">
        <v>1.951009</v>
      </c>
      <c r="C7624">
        <f t="shared" si="124"/>
        <v>0</v>
      </c>
    </row>
    <row r="7625" spans="1:3" x14ac:dyDescent="0.2">
      <c r="A7625" s="34">
        <v>35716</v>
      </c>
      <c r="B7625">
        <v>1.950596</v>
      </c>
      <c r="C7625">
        <f t="shared" si="124"/>
        <v>0</v>
      </c>
    </row>
    <row r="7626" spans="1:3" x14ac:dyDescent="0.2">
      <c r="A7626" s="34">
        <v>35715</v>
      </c>
      <c r="B7626">
        <v>1.9501839999999999</v>
      </c>
      <c r="C7626">
        <f t="shared" si="124"/>
        <v>0</v>
      </c>
    </row>
    <row r="7627" spans="1:3" x14ac:dyDescent="0.2">
      <c r="A7627" s="34">
        <v>35714</v>
      </c>
      <c r="B7627">
        <v>1.9497709999999999</v>
      </c>
      <c r="C7627">
        <f t="shared" si="124"/>
        <v>0</v>
      </c>
    </row>
    <row r="7628" spans="1:3" x14ac:dyDescent="0.2">
      <c r="A7628" s="34">
        <v>35713</v>
      </c>
      <c r="B7628">
        <v>1.9493590000000001</v>
      </c>
      <c r="C7628">
        <f t="shared" si="124"/>
        <v>0</v>
      </c>
    </row>
    <row r="7629" spans="1:3" x14ac:dyDescent="0.2">
      <c r="A7629" s="34">
        <v>35712</v>
      </c>
      <c r="B7629">
        <v>1.9482360000000001</v>
      </c>
      <c r="C7629">
        <f t="shared" si="124"/>
        <v>0</v>
      </c>
    </row>
    <row r="7630" spans="1:3" x14ac:dyDescent="0.2">
      <c r="A7630" s="34">
        <v>35711</v>
      </c>
      <c r="B7630">
        <v>1.9471130000000001</v>
      </c>
      <c r="C7630">
        <f t="shared" si="124"/>
        <v>0</v>
      </c>
    </row>
    <row r="7631" spans="1:3" x14ac:dyDescent="0.2">
      <c r="A7631" s="34">
        <v>35710</v>
      </c>
      <c r="B7631">
        <v>1.945991</v>
      </c>
      <c r="C7631">
        <f t="shared" si="124"/>
        <v>0</v>
      </c>
    </row>
    <row r="7632" spans="1:3" x14ac:dyDescent="0.2">
      <c r="A7632" s="34">
        <v>35709</v>
      </c>
      <c r="B7632">
        <v>1.9448700000000001</v>
      </c>
      <c r="C7632">
        <f t="shared" si="124"/>
        <v>0</v>
      </c>
    </row>
    <row r="7633" spans="1:3" x14ac:dyDescent="0.2">
      <c r="A7633" s="34">
        <v>35708</v>
      </c>
      <c r="B7633">
        <v>1.9437500000000001</v>
      </c>
      <c r="C7633">
        <f t="shared" si="124"/>
        <v>0</v>
      </c>
    </row>
    <row r="7634" spans="1:3" x14ac:dyDescent="0.2">
      <c r="A7634" s="34">
        <v>35707</v>
      </c>
      <c r="B7634">
        <v>1.9426300000000001</v>
      </c>
      <c r="C7634">
        <f t="shared" si="124"/>
        <v>0</v>
      </c>
    </row>
    <row r="7635" spans="1:3" x14ac:dyDescent="0.2">
      <c r="A7635" s="34">
        <v>35706</v>
      </c>
      <c r="B7635">
        <v>1.941511</v>
      </c>
      <c r="C7635">
        <f t="shared" si="124"/>
        <v>0</v>
      </c>
    </row>
    <row r="7636" spans="1:3" x14ac:dyDescent="0.2">
      <c r="A7636" s="34">
        <v>35705</v>
      </c>
      <c r="B7636">
        <v>1.9403919999999999</v>
      </c>
      <c r="C7636">
        <f t="shared" si="124"/>
        <v>0</v>
      </c>
    </row>
    <row r="7637" spans="1:3" x14ac:dyDescent="0.2">
      <c r="A7637" s="34">
        <v>35704</v>
      </c>
      <c r="B7637">
        <v>1.9392739999999999</v>
      </c>
      <c r="C7637">
        <f t="shared" si="124"/>
        <v>0</v>
      </c>
    </row>
    <row r="7638" spans="1:3" x14ac:dyDescent="0.2">
      <c r="A7638" s="34">
        <v>35703</v>
      </c>
      <c r="B7638">
        <v>1.9381569999999999</v>
      </c>
      <c r="C7638">
        <f t="shared" si="124"/>
        <v>0</v>
      </c>
    </row>
    <row r="7639" spans="1:3" x14ac:dyDescent="0.2">
      <c r="A7639" s="34">
        <v>35702</v>
      </c>
      <c r="B7639">
        <v>1.937041</v>
      </c>
      <c r="C7639">
        <f t="shared" si="124"/>
        <v>0</v>
      </c>
    </row>
    <row r="7640" spans="1:3" x14ac:dyDescent="0.2">
      <c r="A7640" s="34">
        <v>35701</v>
      </c>
      <c r="B7640">
        <v>1.9359249999999999</v>
      </c>
      <c r="C7640">
        <f t="shared" si="124"/>
        <v>0</v>
      </c>
    </row>
    <row r="7641" spans="1:3" x14ac:dyDescent="0.2">
      <c r="A7641" s="34">
        <v>35700</v>
      </c>
      <c r="B7641">
        <v>1.934809</v>
      </c>
      <c r="C7641">
        <f t="shared" si="124"/>
        <v>0</v>
      </c>
    </row>
    <row r="7642" spans="1:3" x14ac:dyDescent="0.2">
      <c r="A7642" s="34">
        <v>35699</v>
      </c>
      <c r="B7642">
        <v>1.9336949999999999</v>
      </c>
      <c r="C7642">
        <f t="shared" si="124"/>
        <v>0</v>
      </c>
    </row>
    <row r="7643" spans="1:3" x14ac:dyDescent="0.2">
      <c r="A7643" s="34">
        <v>35698</v>
      </c>
      <c r="B7643">
        <v>1.9325810000000001</v>
      </c>
      <c r="C7643">
        <f t="shared" si="124"/>
        <v>0</v>
      </c>
    </row>
    <row r="7644" spans="1:3" x14ac:dyDescent="0.2">
      <c r="A7644" s="34">
        <v>35697</v>
      </c>
      <c r="B7644">
        <v>1.9320269999999999</v>
      </c>
      <c r="C7644">
        <f t="shared" si="124"/>
        <v>0</v>
      </c>
    </row>
    <row r="7645" spans="1:3" x14ac:dyDescent="0.2">
      <c r="A7645" s="34">
        <v>35696</v>
      </c>
      <c r="B7645">
        <v>1.931473</v>
      </c>
      <c r="C7645">
        <f t="shared" si="124"/>
        <v>0</v>
      </c>
    </row>
    <row r="7646" spans="1:3" x14ac:dyDescent="0.2">
      <c r="A7646" s="34">
        <v>35695</v>
      </c>
      <c r="B7646">
        <v>1.9309190000000001</v>
      </c>
      <c r="C7646">
        <f t="shared" si="124"/>
        <v>0</v>
      </c>
    </row>
    <row r="7647" spans="1:3" x14ac:dyDescent="0.2">
      <c r="A7647" s="34">
        <v>35694</v>
      </c>
      <c r="B7647">
        <v>1.9303650000000001</v>
      </c>
      <c r="C7647">
        <f t="shared" si="124"/>
        <v>0</v>
      </c>
    </row>
    <row r="7648" spans="1:3" x14ac:dyDescent="0.2">
      <c r="A7648" s="34">
        <v>35693</v>
      </c>
      <c r="B7648">
        <v>1.9298120000000001</v>
      </c>
      <c r="C7648">
        <f t="shared" si="124"/>
        <v>0</v>
      </c>
    </row>
    <row r="7649" spans="1:3" x14ac:dyDescent="0.2">
      <c r="A7649" s="34">
        <v>35692</v>
      </c>
      <c r="B7649">
        <v>1.9292590000000001</v>
      </c>
      <c r="C7649">
        <f t="shared" si="124"/>
        <v>0</v>
      </c>
    </row>
    <row r="7650" spans="1:3" x14ac:dyDescent="0.2">
      <c r="A7650" s="34">
        <v>35691</v>
      </c>
      <c r="B7650">
        <v>1.928706</v>
      </c>
      <c r="C7650">
        <f t="shared" si="124"/>
        <v>0</v>
      </c>
    </row>
    <row r="7651" spans="1:3" x14ac:dyDescent="0.2">
      <c r="A7651" s="34">
        <v>35690</v>
      </c>
      <c r="B7651">
        <v>1.928153</v>
      </c>
      <c r="C7651">
        <f t="shared" si="124"/>
        <v>0</v>
      </c>
    </row>
    <row r="7652" spans="1:3" x14ac:dyDescent="0.2">
      <c r="A7652" s="34">
        <v>35689</v>
      </c>
      <c r="B7652">
        <v>1.9276</v>
      </c>
      <c r="C7652">
        <f t="shared" si="124"/>
        <v>0</v>
      </c>
    </row>
    <row r="7653" spans="1:3" x14ac:dyDescent="0.2">
      <c r="A7653" s="34">
        <v>35688</v>
      </c>
      <c r="B7653">
        <v>1.9270480000000001</v>
      </c>
      <c r="C7653">
        <f t="shared" si="124"/>
        <v>0</v>
      </c>
    </row>
    <row r="7654" spans="1:3" x14ac:dyDescent="0.2">
      <c r="A7654" s="34">
        <v>35687</v>
      </c>
      <c r="B7654">
        <v>1.9264950000000001</v>
      </c>
      <c r="C7654">
        <f t="shared" si="124"/>
        <v>0</v>
      </c>
    </row>
    <row r="7655" spans="1:3" x14ac:dyDescent="0.2">
      <c r="A7655" s="34">
        <v>35686</v>
      </c>
      <c r="B7655">
        <v>1.925943</v>
      </c>
      <c r="C7655">
        <f t="shared" si="124"/>
        <v>0</v>
      </c>
    </row>
    <row r="7656" spans="1:3" x14ac:dyDescent="0.2">
      <c r="A7656" s="34">
        <v>35685</v>
      </c>
      <c r="B7656">
        <v>1.9253910000000001</v>
      </c>
      <c r="C7656">
        <f t="shared" si="124"/>
        <v>0</v>
      </c>
    </row>
    <row r="7657" spans="1:3" x14ac:dyDescent="0.2">
      <c r="A7657" s="34">
        <v>35684</v>
      </c>
      <c r="B7657">
        <v>1.924839</v>
      </c>
      <c r="C7657">
        <f t="shared" si="124"/>
        <v>0</v>
      </c>
    </row>
    <row r="7658" spans="1:3" x14ac:dyDescent="0.2">
      <c r="A7658" s="34">
        <v>35683</v>
      </c>
      <c r="B7658">
        <v>1.9242870000000001</v>
      </c>
      <c r="C7658">
        <f t="shared" si="124"/>
        <v>0</v>
      </c>
    </row>
    <row r="7659" spans="1:3" x14ac:dyDescent="0.2">
      <c r="A7659" s="34">
        <v>35682</v>
      </c>
      <c r="B7659">
        <v>1.92371</v>
      </c>
      <c r="C7659">
        <f t="shared" si="124"/>
        <v>0</v>
      </c>
    </row>
    <row r="7660" spans="1:3" x14ac:dyDescent="0.2">
      <c r="A7660" s="34">
        <v>35681</v>
      </c>
      <c r="B7660">
        <v>1.9231339999999999</v>
      </c>
      <c r="C7660">
        <f t="shared" si="124"/>
        <v>0</v>
      </c>
    </row>
    <row r="7661" spans="1:3" x14ac:dyDescent="0.2">
      <c r="A7661" s="34">
        <v>35680</v>
      </c>
      <c r="B7661">
        <v>1.9225570000000001</v>
      </c>
      <c r="C7661">
        <f t="shared" si="124"/>
        <v>0</v>
      </c>
    </row>
    <row r="7662" spans="1:3" x14ac:dyDescent="0.2">
      <c r="A7662" s="34">
        <v>35679</v>
      </c>
      <c r="B7662">
        <v>1.9219809999999999</v>
      </c>
      <c r="C7662">
        <f t="shared" si="124"/>
        <v>0</v>
      </c>
    </row>
    <row r="7663" spans="1:3" x14ac:dyDescent="0.2">
      <c r="A7663" s="34">
        <v>35678</v>
      </c>
      <c r="B7663">
        <v>1.921405</v>
      </c>
      <c r="C7663">
        <f t="shared" si="124"/>
        <v>0</v>
      </c>
    </row>
    <row r="7664" spans="1:3" x14ac:dyDescent="0.2">
      <c r="A7664" s="34">
        <v>35677</v>
      </c>
      <c r="B7664">
        <v>1.9208289999999999</v>
      </c>
      <c r="C7664">
        <f t="shared" si="124"/>
        <v>0</v>
      </c>
    </row>
    <row r="7665" spans="1:3" x14ac:dyDescent="0.2">
      <c r="A7665" s="34">
        <v>35676</v>
      </c>
      <c r="B7665">
        <v>1.9202539999999999</v>
      </c>
      <c r="C7665">
        <f t="shared" si="124"/>
        <v>0</v>
      </c>
    </row>
    <row r="7666" spans="1:3" x14ac:dyDescent="0.2">
      <c r="A7666" s="34">
        <v>35675</v>
      </c>
      <c r="B7666">
        <v>1.919678</v>
      </c>
      <c r="C7666">
        <f t="shared" si="124"/>
        <v>0</v>
      </c>
    </row>
    <row r="7667" spans="1:3" x14ac:dyDescent="0.2">
      <c r="A7667" s="34">
        <v>35674</v>
      </c>
      <c r="B7667">
        <v>1.919103</v>
      </c>
      <c r="C7667">
        <f t="shared" si="124"/>
        <v>0</v>
      </c>
    </row>
    <row r="7668" spans="1:3" x14ac:dyDescent="0.2">
      <c r="A7668" s="34">
        <v>35673</v>
      </c>
      <c r="B7668">
        <v>1.918528</v>
      </c>
      <c r="C7668">
        <f t="shared" si="124"/>
        <v>0</v>
      </c>
    </row>
    <row r="7669" spans="1:3" x14ac:dyDescent="0.2">
      <c r="A7669" s="34">
        <v>35672</v>
      </c>
      <c r="B7669">
        <v>1.917953</v>
      </c>
      <c r="C7669">
        <f t="shared" si="124"/>
        <v>0</v>
      </c>
    </row>
    <row r="7670" spans="1:3" x14ac:dyDescent="0.2">
      <c r="A7670" s="34">
        <v>35671</v>
      </c>
      <c r="B7670">
        <v>1.917378</v>
      </c>
      <c r="C7670">
        <f t="shared" si="124"/>
        <v>0</v>
      </c>
    </row>
    <row r="7671" spans="1:3" x14ac:dyDescent="0.2">
      <c r="A7671" s="34">
        <v>35670</v>
      </c>
      <c r="B7671">
        <v>1.916803</v>
      </c>
      <c r="C7671">
        <f t="shared" si="124"/>
        <v>0</v>
      </c>
    </row>
    <row r="7672" spans="1:3" x14ac:dyDescent="0.2">
      <c r="A7672" s="34">
        <v>35669</v>
      </c>
      <c r="B7672">
        <v>1.916229</v>
      </c>
      <c r="C7672">
        <f t="shared" si="124"/>
        <v>0</v>
      </c>
    </row>
    <row r="7673" spans="1:3" x14ac:dyDescent="0.2">
      <c r="A7673" s="34">
        <v>35668</v>
      </c>
      <c r="B7673">
        <v>1.915654</v>
      </c>
      <c r="C7673">
        <f t="shared" si="124"/>
        <v>0</v>
      </c>
    </row>
    <row r="7674" spans="1:3" x14ac:dyDescent="0.2">
      <c r="A7674" s="34">
        <v>35667</v>
      </c>
      <c r="B7674">
        <v>1.9150799999999999</v>
      </c>
      <c r="C7674">
        <f t="shared" si="124"/>
        <v>0</v>
      </c>
    </row>
    <row r="7675" spans="1:3" x14ac:dyDescent="0.2">
      <c r="A7675" s="34">
        <v>35666</v>
      </c>
      <c r="B7675">
        <v>1.9145939999999999</v>
      </c>
      <c r="C7675">
        <f t="shared" si="124"/>
        <v>0</v>
      </c>
    </row>
    <row r="7676" spans="1:3" x14ac:dyDescent="0.2">
      <c r="A7676" s="34">
        <v>35665</v>
      </c>
      <c r="B7676">
        <v>1.914107</v>
      </c>
      <c r="C7676">
        <f t="shared" si="124"/>
        <v>0</v>
      </c>
    </row>
    <row r="7677" spans="1:3" x14ac:dyDescent="0.2">
      <c r="A7677" s="34">
        <v>35664</v>
      </c>
      <c r="B7677">
        <v>1.913621</v>
      </c>
      <c r="C7677">
        <f t="shared" si="124"/>
        <v>0</v>
      </c>
    </row>
    <row r="7678" spans="1:3" x14ac:dyDescent="0.2">
      <c r="A7678" s="34">
        <v>35663</v>
      </c>
      <c r="B7678">
        <v>1.913135</v>
      </c>
      <c r="C7678">
        <f t="shared" si="124"/>
        <v>0</v>
      </c>
    </row>
    <row r="7679" spans="1:3" x14ac:dyDescent="0.2">
      <c r="A7679" s="34">
        <v>35662</v>
      </c>
      <c r="B7679">
        <v>1.912649</v>
      </c>
      <c r="C7679">
        <f t="shared" si="124"/>
        <v>0</v>
      </c>
    </row>
    <row r="7680" spans="1:3" x14ac:dyDescent="0.2">
      <c r="A7680" s="34">
        <v>35661</v>
      </c>
      <c r="B7680">
        <v>1.9121630000000001</v>
      </c>
      <c r="C7680">
        <f t="shared" si="124"/>
        <v>0</v>
      </c>
    </row>
    <row r="7681" spans="1:3" x14ac:dyDescent="0.2">
      <c r="A7681" s="34">
        <v>35660</v>
      </c>
      <c r="B7681">
        <v>1.9116770000000001</v>
      </c>
      <c r="C7681">
        <f t="shared" si="124"/>
        <v>0</v>
      </c>
    </row>
    <row r="7682" spans="1:3" x14ac:dyDescent="0.2">
      <c r="A7682" s="34">
        <v>35659</v>
      </c>
      <c r="B7682">
        <v>1.911192</v>
      </c>
      <c r="C7682">
        <f t="shared" ref="C7682:C7745" si="125">IFERROR(VLOOKUP(A7682,$M$2:$N$3695,2,0),C7683)</f>
        <v>0</v>
      </c>
    </row>
    <row r="7683" spans="1:3" x14ac:dyDescent="0.2">
      <c r="A7683" s="34">
        <v>35658</v>
      </c>
      <c r="B7683">
        <v>1.910706</v>
      </c>
      <c r="C7683">
        <f t="shared" si="125"/>
        <v>0</v>
      </c>
    </row>
    <row r="7684" spans="1:3" x14ac:dyDescent="0.2">
      <c r="A7684" s="34">
        <v>35657</v>
      </c>
      <c r="B7684">
        <v>1.9102209999999999</v>
      </c>
      <c r="C7684">
        <f t="shared" si="125"/>
        <v>0</v>
      </c>
    </row>
    <row r="7685" spans="1:3" x14ac:dyDescent="0.2">
      <c r="A7685" s="34">
        <v>35656</v>
      </c>
      <c r="B7685">
        <v>1.9097360000000001</v>
      </c>
      <c r="C7685">
        <f t="shared" si="125"/>
        <v>0</v>
      </c>
    </row>
    <row r="7686" spans="1:3" x14ac:dyDescent="0.2">
      <c r="A7686" s="34">
        <v>35655</v>
      </c>
      <c r="B7686">
        <v>1.909251</v>
      </c>
      <c r="C7686">
        <f t="shared" si="125"/>
        <v>0</v>
      </c>
    </row>
    <row r="7687" spans="1:3" x14ac:dyDescent="0.2">
      <c r="A7687" s="34">
        <v>35654</v>
      </c>
      <c r="B7687">
        <v>1.908766</v>
      </c>
      <c r="C7687">
        <f t="shared" si="125"/>
        <v>0</v>
      </c>
    </row>
    <row r="7688" spans="1:3" x14ac:dyDescent="0.2">
      <c r="A7688" s="34">
        <v>35653</v>
      </c>
      <c r="B7688">
        <v>1.9082809999999999</v>
      </c>
      <c r="C7688">
        <f t="shared" si="125"/>
        <v>0</v>
      </c>
    </row>
    <row r="7689" spans="1:3" x14ac:dyDescent="0.2">
      <c r="A7689" s="34">
        <v>35652</v>
      </c>
      <c r="B7689">
        <v>1.907796</v>
      </c>
      <c r="C7689">
        <f t="shared" si="125"/>
        <v>0</v>
      </c>
    </row>
    <row r="7690" spans="1:3" x14ac:dyDescent="0.2">
      <c r="A7690" s="34">
        <v>35651</v>
      </c>
      <c r="B7690">
        <v>1.9072229999999999</v>
      </c>
      <c r="C7690">
        <f t="shared" si="125"/>
        <v>0</v>
      </c>
    </row>
    <row r="7691" spans="1:3" x14ac:dyDescent="0.2">
      <c r="A7691" s="34">
        <v>35650</v>
      </c>
      <c r="B7691">
        <v>1.9066510000000001</v>
      </c>
      <c r="C7691">
        <f t="shared" si="125"/>
        <v>0</v>
      </c>
    </row>
    <row r="7692" spans="1:3" x14ac:dyDescent="0.2">
      <c r="A7692" s="34">
        <v>35649</v>
      </c>
      <c r="B7692">
        <v>1.9060779999999999</v>
      </c>
      <c r="C7692">
        <f t="shared" si="125"/>
        <v>0</v>
      </c>
    </row>
    <row r="7693" spans="1:3" x14ac:dyDescent="0.2">
      <c r="A7693" s="34">
        <v>35648</v>
      </c>
      <c r="B7693">
        <v>1.9055059999999999</v>
      </c>
      <c r="C7693">
        <f t="shared" si="125"/>
        <v>0</v>
      </c>
    </row>
    <row r="7694" spans="1:3" x14ac:dyDescent="0.2">
      <c r="A7694" s="34">
        <v>35647</v>
      </c>
      <c r="B7694">
        <v>1.904933</v>
      </c>
      <c r="C7694">
        <f t="shared" si="125"/>
        <v>0</v>
      </c>
    </row>
    <row r="7695" spans="1:3" x14ac:dyDescent="0.2">
      <c r="A7695" s="34">
        <v>35646</v>
      </c>
      <c r="B7695">
        <v>1.904361</v>
      </c>
      <c r="C7695">
        <f t="shared" si="125"/>
        <v>0</v>
      </c>
    </row>
    <row r="7696" spans="1:3" x14ac:dyDescent="0.2">
      <c r="A7696" s="34">
        <v>35645</v>
      </c>
      <c r="B7696">
        <v>1.903789</v>
      </c>
      <c r="C7696">
        <f t="shared" si="125"/>
        <v>0</v>
      </c>
    </row>
    <row r="7697" spans="1:3" x14ac:dyDescent="0.2">
      <c r="A7697" s="34">
        <v>35644</v>
      </c>
      <c r="B7697">
        <v>1.9032180000000001</v>
      </c>
      <c r="C7697">
        <f t="shared" si="125"/>
        <v>0</v>
      </c>
    </row>
    <row r="7698" spans="1:3" x14ac:dyDescent="0.2">
      <c r="A7698" s="34">
        <v>35643</v>
      </c>
      <c r="B7698">
        <v>1.9026460000000001</v>
      </c>
      <c r="C7698">
        <f t="shared" si="125"/>
        <v>0</v>
      </c>
    </row>
    <row r="7699" spans="1:3" x14ac:dyDescent="0.2">
      <c r="A7699" s="34">
        <v>35642</v>
      </c>
      <c r="B7699">
        <v>1.902075</v>
      </c>
      <c r="C7699">
        <f t="shared" si="125"/>
        <v>0</v>
      </c>
    </row>
    <row r="7700" spans="1:3" x14ac:dyDescent="0.2">
      <c r="A7700" s="34">
        <v>35641</v>
      </c>
      <c r="B7700">
        <v>1.9015029999999999</v>
      </c>
      <c r="C7700">
        <f t="shared" si="125"/>
        <v>0</v>
      </c>
    </row>
    <row r="7701" spans="1:3" x14ac:dyDescent="0.2">
      <c r="A7701" s="34">
        <v>35640</v>
      </c>
      <c r="B7701">
        <v>1.9009320000000001</v>
      </c>
      <c r="C7701">
        <f t="shared" si="125"/>
        <v>0</v>
      </c>
    </row>
    <row r="7702" spans="1:3" x14ac:dyDescent="0.2">
      <c r="A7702" s="34">
        <v>35639</v>
      </c>
      <c r="B7702">
        <v>1.9003620000000001</v>
      </c>
      <c r="C7702">
        <f t="shared" si="125"/>
        <v>0</v>
      </c>
    </row>
    <row r="7703" spans="1:3" x14ac:dyDescent="0.2">
      <c r="A7703" s="34">
        <v>35638</v>
      </c>
      <c r="B7703">
        <v>1.899791</v>
      </c>
      <c r="C7703">
        <f t="shared" si="125"/>
        <v>0</v>
      </c>
    </row>
    <row r="7704" spans="1:3" x14ac:dyDescent="0.2">
      <c r="A7704" s="34">
        <v>35637</v>
      </c>
      <c r="B7704">
        <v>1.8992199999999999</v>
      </c>
      <c r="C7704">
        <f t="shared" si="125"/>
        <v>0</v>
      </c>
    </row>
    <row r="7705" spans="1:3" x14ac:dyDescent="0.2">
      <c r="A7705" s="34">
        <v>35636</v>
      </c>
      <c r="B7705">
        <v>1.8986499999999999</v>
      </c>
      <c r="C7705">
        <f t="shared" si="125"/>
        <v>0</v>
      </c>
    </row>
    <row r="7706" spans="1:3" x14ac:dyDescent="0.2">
      <c r="A7706" s="34">
        <v>35635</v>
      </c>
      <c r="B7706">
        <v>1.8981539999999999</v>
      </c>
      <c r="C7706">
        <f t="shared" si="125"/>
        <v>0</v>
      </c>
    </row>
    <row r="7707" spans="1:3" x14ac:dyDescent="0.2">
      <c r="A7707" s="34">
        <v>35634</v>
      </c>
      <c r="B7707">
        <v>1.8976569999999999</v>
      </c>
      <c r="C7707">
        <f t="shared" si="125"/>
        <v>0</v>
      </c>
    </row>
    <row r="7708" spans="1:3" x14ac:dyDescent="0.2">
      <c r="A7708" s="34">
        <v>35633</v>
      </c>
      <c r="B7708">
        <v>1.8971610000000001</v>
      </c>
      <c r="C7708">
        <f t="shared" si="125"/>
        <v>0</v>
      </c>
    </row>
    <row r="7709" spans="1:3" x14ac:dyDescent="0.2">
      <c r="A7709" s="34">
        <v>35632</v>
      </c>
      <c r="B7709">
        <v>1.896665</v>
      </c>
      <c r="C7709">
        <f t="shared" si="125"/>
        <v>0</v>
      </c>
    </row>
    <row r="7710" spans="1:3" x14ac:dyDescent="0.2">
      <c r="A7710" s="34">
        <v>35631</v>
      </c>
      <c r="B7710">
        <v>1.896169</v>
      </c>
      <c r="C7710">
        <f t="shared" si="125"/>
        <v>0</v>
      </c>
    </row>
    <row r="7711" spans="1:3" x14ac:dyDescent="0.2">
      <c r="A7711" s="34">
        <v>35630</v>
      </c>
      <c r="B7711">
        <v>1.8956740000000001</v>
      </c>
      <c r="C7711">
        <f t="shared" si="125"/>
        <v>0</v>
      </c>
    </row>
    <row r="7712" spans="1:3" x14ac:dyDescent="0.2">
      <c r="A7712" s="34">
        <v>35629</v>
      </c>
      <c r="B7712">
        <v>1.895178</v>
      </c>
      <c r="C7712">
        <f t="shared" si="125"/>
        <v>0</v>
      </c>
    </row>
    <row r="7713" spans="1:3" x14ac:dyDescent="0.2">
      <c r="A7713" s="34">
        <v>35628</v>
      </c>
      <c r="B7713">
        <v>1.8946829999999999</v>
      </c>
      <c r="C7713">
        <f t="shared" si="125"/>
        <v>0</v>
      </c>
    </row>
    <row r="7714" spans="1:3" x14ac:dyDescent="0.2">
      <c r="A7714" s="34">
        <v>35627</v>
      </c>
      <c r="B7714">
        <v>1.8941870000000001</v>
      </c>
      <c r="C7714">
        <f t="shared" si="125"/>
        <v>0</v>
      </c>
    </row>
    <row r="7715" spans="1:3" x14ac:dyDescent="0.2">
      <c r="A7715" s="34">
        <v>35626</v>
      </c>
      <c r="B7715">
        <v>1.8936919999999999</v>
      </c>
      <c r="C7715">
        <f t="shared" si="125"/>
        <v>0</v>
      </c>
    </row>
    <row r="7716" spans="1:3" x14ac:dyDescent="0.2">
      <c r="A7716" s="34">
        <v>35625</v>
      </c>
      <c r="B7716">
        <v>1.893197</v>
      </c>
      <c r="C7716">
        <f t="shared" si="125"/>
        <v>0</v>
      </c>
    </row>
    <row r="7717" spans="1:3" x14ac:dyDescent="0.2">
      <c r="A7717" s="34">
        <v>35624</v>
      </c>
      <c r="B7717">
        <v>1.8927020000000001</v>
      </c>
      <c r="C7717">
        <f t="shared" si="125"/>
        <v>0</v>
      </c>
    </row>
    <row r="7718" spans="1:3" x14ac:dyDescent="0.2">
      <c r="A7718" s="34">
        <v>35623</v>
      </c>
      <c r="B7718">
        <v>1.892207</v>
      </c>
      <c r="C7718">
        <f t="shared" si="125"/>
        <v>0</v>
      </c>
    </row>
    <row r="7719" spans="1:3" x14ac:dyDescent="0.2">
      <c r="A7719" s="34">
        <v>35622</v>
      </c>
      <c r="B7719">
        <v>1.891713</v>
      </c>
      <c r="C7719">
        <f t="shared" si="125"/>
        <v>0</v>
      </c>
    </row>
    <row r="7720" spans="1:3" x14ac:dyDescent="0.2">
      <c r="A7720" s="34">
        <v>35621</v>
      </c>
      <c r="B7720">
        <v>1.8912180000000001</v>
      </c>
      <c r="C7720">
        <f t="shared" si="125"/>
        <v>0</v>
      </c>
    </row>
    <row r="7721" spans="1:3" x14ac:dyDescent="0.2">
      <c r="A7721" s="34">
        <v>35620</v>
      </c>
      <c r="B7721">
        <v>1.8906050000000001</v>
      </c>
      <c r="C7721">
        <f t="shared" si="125"/>
        <v>0</v>
      </c>
    </row>
    <row r="7722" spans="1:3" x14ac:dyDescent="0.2">
      <c r="A7722" s="34">
        <v>35619</v>
      </c>
      <c r="B7722">
        <v>1.889993</v>
      </c>
      <c r="C7722">
        <f t="shared" si="125"/>
        <v>0</v>
      </c>
    </row>
    <row r="7723" spans="1:3" x14ac:dyDescent="0.2">
      <c r="A7723" s="34">
        <v>35618</v>
      </c>
      <c r="B7723">
        <v>1.8893800000000001</v>
      </c>
      <c r="C7723">
        <f t="shared" si="125"/>
        <v>0</v>
      </c>
    </row>
    <row r="7724" spans="1:3" x14ac:dyDescent="0.2">
      <c r="A7724" s="34">
        <v>35617</v>
      </c>
      <c r="B7724">
        <v>1.888768</v>
      </c>
      <c r="C7724">
        <f t="shared" si="125"/>
        <v>0</v>
      </c>
    </row>
    <row r="7725" spans="1:3" x14ac:dyDescent="0.2">
      <c r="A7725" s="34">
        <v>35616</v>
      </c>
      <c r="B7725">
        <v>1.8881559999999999</v>
      </c>
      <c r="C7725">
        <f t="shared" si="125"/>
        <v>0</v>
      </c>
    </row>
    <row r="7726" spans="1:3" x14ac:dyDescent="0.2">
      <c r="A7726" s="34">
        <v>35615</v>
      </c>
      <c r="B7726">
        <v>1.8875440000000001</v>
      </c>
      <c r="C7726">
        <f t="shared" si="125"/>
        <v>0</v>
      </c>
    </row>
    <row r="7727" spans="1:3" x14ac:dyDescent="0.2">
      <c r="A7727" s="34">
        <v>35614</v>
      </c>
      <c r="B7727">
        <v>1.8869320000000001</v>
      </c>
      <c r="C7727">
        <f t="shared" si="125"/>
        <v>0</v>
      </c>
    </row>
    <row r="7728" spans="1:3" x14ac:dyDescent="0.2">
      <c r="A7728" s="34">
        <v>35613</v>
      </c>
      <c r="B7728">
        <v>1.8863209999999999</v>
      </c>
      <c r="C7728">
        <f t="shared" si="125"/>
        <v>0</v>
      </c>
    </row>
    <row r="7729" spans="1:3" x14ac:dyDescent="0.2">
      <c r="A7729" s="34">
        <v>35612</v>
      </c>
      <c r="B7729">
        <v>1.8857090000000001</v>
      </c>
      <c r="C7729">
        <f t="shared" si="125"/>
        <v>0</v>
      </c>
    </row>
    <row r="7730" spans="1:3" x14ac:dyDescent="0.2">
      <c r="A7730" s="34">
        <v>35611</v>
      </c>
      <c r="B7730">
        <v>1.8850979999999999</v>
      </c>
      <c r="C7730">
        <f t="shared" si="125"/>
        <v>0</v>
      </c>
    </row>
    <row r="7731" spans="1:3" x14ac:dyDescent="0.2">
      <c r="A7731" s="34">
        <v>35610</v>
      </c>
      <c r="B7731">
        <v>1.884487</v>
      </c>
      <c r="C7731">
        <f t="shared" si="125"/>
        <v>0</v>
      </c>
    </row>
    <row r="7732" spans="1:3" x14ac:dyDescent="0.2">
      <c r="A7732" s="34">
        <v>35609</v>
      </c>
      <c r="B7732">
        <v>1.883877</v>
      </c>
      <c r="C7732">
        <f t="shared" si="125"/>
        <v>0</v>
      </c>
    </row>
    <row r="7733" spans="1:3" x14ac:dyDescent="0.2">
      <c r="A7733" s="34">
        <v>35608</v>
      </c>
      <c r="B7733">
        <v>1.8832660000000001</v>
      </c>
      <c r="C7733">
        <f t="shared" si="125"/>
        <v>0</v>
      </c>
    </row>
    <row r="7734" spans="1:3" x14ac:dyDescent="0.2">
      <c r="A7734" s="34">
        <v>35607</v>
      </c>
      <c r="B7734">
        <v>1.8826560000000001</v>
      </c>
      <c r="C7734">
        <f t="shared" si="125"/>
        <v>0</v>
      </c>
    </row>
    <row r="7735" spans="1:3" x14ac:dyDescent="0.2">
      <c r="A7735" s="34">
        <v>35606</v>
      </c>
      <c r="B7735">
        <v>1.8820460000000001</v>
      </c>
      <c r="C7735">
        <f t="shared" si="125"/>
        <v>0</v>
      </c>
    </row>
    <row r="7736" spans="1:3" x14ac:dyDescent="0.2">
      <c r="A7736" s="34">
        <v>35605</v>
      </c>
      <c r="B7736">
        <v>1.8815409999999999</v>
      </c>
      <c r="C7736">
        <f t="shared" si="125"/>
        <v>0</v>
      </c>
    </row>
    <row r="7737" spans="1:3" x14ac:dyDescent="0.2">
      <c r="A7737" s="34">
        <v>35604</v>
      </c>
      <c r="B7737">
        <v>1.8810370000000001</v>
      </c>
      <c r="C7737">
        <f t="shared" si="125"/>
        <v>0</v>
      </c>
    </row>
    <row r="7738" spans="1:3" x14ac:dyDescent="0.2">
      <c r="A7738" s="34">
        <v>35603</v>
      </c>
      <c r="B7738">
        <v>1.880533</v>
      </c>
      <c r="C7738">
        <f t="shared" si="125"/>
        <v>0</v>
      </c>
    </row>
    <row r="7739" spans="1:3" x14ac:dyDescent="0.2">
      <c r="A7739" s="34">
        <v>35602</v>
      </c>
      <c r="B7739">
        <v>1.880029</v>
      </c>
      <c r="C7739">
        <f t="shared" si="125"/>
        <v>0</v>
      </c>
    </row>
    <row r="7740" spans="1:3" x14ac:dyDescent="0.2">
      <c r="A7740" s="34">
        <v>35601</v>
      </c>
      <c r="B7740">
        <v>1.8795249999999999</v>
      </c>
      <c r="C7740">
        <f t="shared" si="125"/>
        <v>0</v>
      </c>
    </row>
    <row r="7741" spans="1:3" x14ac:dyDescent="0.2">
      <c r="A7741" s="34">
        <v>35600</v>
      </c>
      <c r="B7741">
        <v>1.8790210000000001</v>
      </c>
      <c r="C7741">
        <f t="shared" si="125"/>
        <v>0</v>
      </c>
    </row>
    <row r="7742" spans="1:3" x14ac:dyDescent="0.2">
      <c r="A7742" s="34">
        <v>35599</v>
      </c>
      <c r="B7742">
        <v>1.878517</v>
      </c>
      <c r="C7742">
        <f t="shared" si="125"/>
        <v>0</v>
      </c>
    </row>
    <row r="7743" spans="1:3" x14ac:dyDescent="0.2">
      <c r="A7743" s="34">
        <v>35598</v>
      </c>
      <c r="B7743">
        <v>1.8780129999999999</v>
      </c>
      <c r="C7743">
        <f t="shared" si="125"/>
        <v>0</v>
      </c>
    </row>
    <row r="7744" spans="1:3" x14ac:dyDescent="0.2">
      <c r="A7744" s="34">
        <v>35597</v>
      </c>
      <c r="B7744">
        <v>1.87751</v>
      </c>
      <c r="C7744">
        <f t="shared" si="125"/>
        <v>0</v>
      </c>
    </row>
    <row r="7745" spans="1:3" x14ac:dyDescent="0.2">
      <c r="A7745" s="34">
        <v>35596</v>
      </c>
      <c r="B7745">
        <v>1.8770070000000001</v>
      </c>
      <c r="C7745">
        <f t="shared" si="125"/>
        <v>0</v>
      </c>
    </row>
    <row r="7746" spans="1:3" x14ac:dyDescent="0.2">
      <c r="A7746" s="34">
        <v>35595</v>
      </c>
      <c r="B7746">
        <v>1.8765039999999999</v>
      </c>
      <c r="C7746">
        <f t="shared" ref="C7746:C7809" si="126">IFERROR(VLOOKUP(A7746,$M$2:$N$3695,2,0),C7747)</f>
        <v>0</v>
      </c>
    </row>
    <row r="7747" spans="1:3" x14ac:dyDescent="0.2">
      <c r="A7747" s="34">
        <v>35594</v>
      </c>
      <c r="B7747">
        <v>1.8759999999999999</v>
      </c>
      <c r="C7747">
        <f t="shared" si="126"/>
        <v>0</v>
      </c>
    </row>
    <row r="7748" spans="1:3" x14ac:dyDescent="0.2">
      <c r="A7748" s="34">
        <v>35593</v>
      </c>
      <c r="B7748">
        <v>1.8754980000000001</v>
      </c>
      <c r="C7748">
        <f t="shared" si="126"/>
        <v>0</v>
      </c>
    </row>
    <row r="7749" spans="1:3" x14ac:dyDescent="0.2">
      <c r="A7749" s="34">
        <v>35592</v>
      </c>
      <c r="B7749">
        <v>1.874995</v>
      </c>
      <c r="C7749">
        <f t="shared" si="126"/>
        <v>0</v>
      </c>
    </row>
    <row r="7750" spans="1:3" x14ac:dyDescent="0.2">
      <c r="A7750" s="34">
        <v>35591</v>
      </c>
      <c r="B7750">
        <v>1.874492</v>
      </c>
      <c r="C7750">
        <f t="shared" si="126"/>
        <v>0</v>
      </c>
    </row>
    <row r="7751" spans="1:3" x14ac:dyDescent="0.2">
      <c r="A7751" s="34">
        <v>35590</v>
      </c>
      <c r="B7751">
        <v>1.8739269999999999</v>
      </c>
      <c r="C7751">
        <f t="shared" si="126"/>
        <v>0</v>
      </c>
    </row>
    <row r="7752" spans="1:3" x14ac:dyDescent="0.2">
      <c r="A7752" s="34">
        <v>35589</v>
      </c>
      <c r="B7752">
        <v>1.873362</v>
      </c>
      <c r="C7752">
        <f t="shared" si="126"/>
        <v>0</v>
      </c>
    </row>
    <row r="7753" spans="1:3" x14ac:dyDescent="0.2">
      <c r="A7753" s="34">
        <v>35588</v>
      </c>
      <c r="B7753">
        <v>1.872797</v>
      </c>
      <c r="C7753">
        <f t="shared" si="126"/>
        <v>0</v>
      </c>
    </row>
    <row r="7754" spans="1:3" x14ac:dyDescent="0.2">
      <c r="A7754" s="34">
        <v>35587</v>
      </c>
      <c r="B7754">
        <v>1.8722319999999999</v>
      </c>
      <c r="C7754">
        <f t="shared" si="126"/>
        <v>0</v>
      </c>
    </row>
    <row r="7755" spans="1:3" x14ac:dyDescent="0.2">
      <c r="A7755" s="34">
        <v>35586</v>
      </c>
      <c r="B7755">
        <v>1.871667</v>
      </c>
      <c r="C7755">
        <f t="shared" si="126"/>
        <v>0</v>
      </c>
    </row>
    <row r="7756" spans="1:3" x14ac:dyDescent="0.2">
      <c r="A7756" s="34">
        <v>35585</v>
      </c>
      <c r="B7756">
        <v>1.871103</v>
      </c>
      <c r="C7756">
        <f t="shared" si="126"/>
        <v>0</v>
      </c>
    </row>
    <row r="7757" spans="1:3" x14ac:dyDescent="0.2">
      <c r="A7757" s="34">
        <v>35584</v>
      </c>
      <c r="B7757">
        <v>1.870539</v>
      </c>
      <c r="C7757">
        <f t="shared" si="126"/>
        <v>0</v>
      </c>
    </row>
    <row r="7758" spans="1:3" x14ac:dyDescent="0.2">
      <c r="A7758" s="34">
        <v>35583</v>
      </c>
      <c r="B7758">
        <v>1.8699749999999999</v>
      </c>
      <c r="C7758">
        <f t="shared" si="126"/>
        <v>0</v>
      </c>
    </row>
    <row r="7759" spans="1:3" x14ac:dyDescent="0.2">
      <c r="A7759" s="34">
        <v>35582</v>
      </c>
      <c r="B7759">
        <v>1.8694109999999999</v>
      </c>
      <c r="C7759">
        <f t="shared" si="126"/>
        <v>0</v>
      </c>
    </row>
    <row r="7760" spans="1:3" x14ac:dyDescent="0.2">
      <c r="A7760" s="34">
        <v>35581</v>
      </c>
      <c r="B7760">
        <v>1.8688469999999999</v>
      </c>
      <c r="C7760">
        <f t="shared" si="126"/>
        <v>0</v>
      </c>
    </row>
    <row r="7761" spans="1:3" x14ac:dyDescent="0.2">
      <c r="A7761" s="34">
        <v>35580</v>
      </c>
      <c r="B7761">
        <v>1.8682829999999999</v>
      </c>
      <c r="C7761">
        <f t="shared" si="126"/>
        <v>0</v>
      </c>
    </row>
    <row r="7762" spans="1:3" x14ac:dyDescent="0.2">
      <c r="A7762" s="34">
        <v>35579</v>
      </c>
      <c r="B7762">
        <v>1.86772</v>
      </c>
      <c r="C7762">
        <f t="shared" si="126"/>
        <v>0</v>
      </c>
    </row>
    <row r="7763" spans="1:3" x14ac:dyDescent="0.2">
      <c r="A7763" s="34">
        <v>35578</v>
      </c>
      <c r="B7763">
        <v>1.867157</v>
      </c>
      <c r="C7763">
        <f t="shared" si="126"/>
        <v>0</v>
      </c>
    </row>
    <row r="7764" spans="1:3" x14ac:dyDescent="0.2">
      <c r="A7764" s="34">
        <v>35577</v>
      </c>
      <c r="B7764">
        <v>1.8665929999999999</v>
      </c>
      <c r="C7764">
        <f t="shared" si="126"/>
        <v>0</v>
      </c>
    </row>
    <row r="7765" spans="1:3" x14ac:dyDescent="0.2">
      <c r="A7765" s="34">
        <v>35576</v>
      </c>
      <c r="B7765">
        <v>1.866031</v>
      </c>
      <c r="C7765">
        <f t="shared" si="126"/>
        <v>0</v>
      </c>
    </row>
    <row r="7766" spans="1:3" x14ac:dyDescent="0.2">
      <c r="A7766" s="34">
        <v>35575</v>
      </c>
      <c r="B7766">
        <v>1.8654679999999999</v>
      </c>
      <c r="C7766">
        <f t="shared" si="126"/>
        <v>0</v>
      </c>
    </row>
    <row r="7767" spans="1:3" x14ac:dyDescent="0.2">
      <c r="A7767" s="34">
        <v>35574</v>
      </c>
      <c r="B7767">
        <v>1.8649089999999999</v>
      </c>
      <c r="C7767">
        <f t="shared" si="126"/>
        <v>0</v>
      </c>
    </row>
    <row r="7768" spans="1:3" x14ac:dyDescent="0.2">
      <c r="A7768" s="34">
        <v>35573</v>
      </c>
      <c r="B7768">
        <v>1.864349</v>
      </c>
      <c r="C7768">
        <f t="shared" si="126"/>
        <v>0</v>
      </c>
    </row>
    <row r="7769" spans="1:3" x14ac:dyDescent="0.2">
      <c r="A7769" s="34">
        <v>35572</v>
      </c>
      <c r="B7769">
        <v>1.8637900000000001</v>
      </c>
      <c r="C7769">
        <f t="shared" si="126"/>
        <v>0</v>
      </c>
    </row>
    <row r="7770" spans="1:3" x14ac:dyDescent="0.2">
      <c r="A7770" s="34">
        <v>35571</v>
      </c>
      <c r="B7770">
        <v>1.863232</v>
      </c>
      <c r="C7770">
        <f t="shared" si="126"/>
        <v>0</v>
      </c>
    </row>
    <row r="7771" spans="1:3" x14ac:dyDescent="0.2">
      <c r="A7771" s="34">
        <v>35570</v>
      </c>
      <c r="B7771">
        <v>1.862673</v>
      </c>
      <c r="C7771">
        <f t="shared" si="126"/>
        <v>0</v>
      </c>
    </row>
    <row r="7772" spans="1:3" x14ac:dyDescent="0.2">
      <c r="A7772" s="34">
        <v>35569</v>
      </c>
      <c r="B7772">
        <v>1.862115</v>
      </c>
      <c r="C7772">
        <f t="shared" si="126"/>
        <v>0</v>
      </c>
    </row>
    <row r="7773" spans="1:3" x14ac:dyDescent="0.2">
      <c r="A7773" s="34">
        <v>35568</v>
      </c>
      <c r="B7773">
        <v>1.861556</v>
      </c>
      <c r="C7773">
        <f t="shared" si="126"/>
        <v>0</v>
      </c>
    </row>
    <row r="7774" spans="1:3" x14ac:dyDescent="0.2">
      <c r="A7774" s="34">
        <v>35567</v>
      </c>
      <c r="B7774">
        <v>1.8609979999999999</v>
      </c>
      <c r="C7774">
        <f t="shared" si="126"/>
        <v>0</v>
      </c>
    </row>
    <row r="7775" spans="1:3" x14ac:dyDescent="0.2">
      <c r="A7775" s="34">
        <v>35566</v>
      </c>
      <c r="B7775">
        <v>1.8604400000000001</v>
      </c>
      <c r="C7775">
        <f t="shared" si="126"/>
        <v>0</v>
      </c>
    </row>
    <row r="7776" spans="1:3" x14ac:dyDescent="0.2">
      <c r="A7776" s="34">
        <v>35565</v>
      </c>
      <c r="B7776">
        <v>1.859883</v>
      </c>
      <c r="C7776">
        <f t="shared" si="126"/>
        <v>0</v>
      </c>
    </row>
    <row r="7777" spans="1:3" x14ac:dyDescent="0.2">
      <c r="A7777" s="34">
        <v>35564</v>
      </c>
      <c r="B7777">
        <v>1.8593249999999999</v>
      </c>
      <c r="C7777">
        <f t="shared" si="126"/>
        <v>0</v>
      </c>
    </row>
    <row r="7778" spans="1:3" x14ac:dyDescent="0.2">
      <c r="A7778" s="34">
        <v>35563</v>
      </c>
      <c r="B7778">
        <v>1.8587670000000001</v>
      </c>
      <c r="C7778">
        <f t="shared" si="126"/>
        <v>0</v>
      </c>
    </row>
    <row r="7779" spans="1:3" x14ac:dyDescent="0.2">
      <c r="A7779" s="34">
        <v>35562</v>
      </c>
      <c r="B7779">
        <v>1.8582099999999999</v>
      </c>
      <c r="C7779">
        <f t="shared" si="126"/>
        <v>0</v>
      </c>
    </row>
    <row r="7780" spans="1:3" x14ac:dyDescent="0.2">
      <c r="A7780" s="34">
        <v>35561</v>
      </c>
      <c r="B7780">
        <v>1.857653</v>
      </c>
      <c r="C7780">
        <f t="shared" si="126"/>
        <v>0</v>
      </c>
    </row>
    <row r="7781" spans="1:3" x14ac:dyDescent="0.2">
      <c r="A7781" s="34">
        <v>35560</v>
      </c>
      <c r="B7781">
        <v>1.8570960000000001</v>
      </c>
      <c r="C7781">
        <f t="shared" si="126"/>
        <v>0</v>
      </c>
    </row>
    <row r="7782" spans="1:3" x14ac:dyDescent="0.2">
      <c r="A7782" s="34">
        <v>35559</v>
      </c>
      <c r="B7782">
        <v>1.8563769999999999</v>
      </c>
      <c r="C7782">
        <f t="shared" si="126"/>
        <v>0</v>
      </c>
    </row>
    <row r="7783" spans="1:3" x14ac:dyDescent="0.2">
      <c r="A7783" s="34">
        <v>35558</v>
      </c>
      <c r="B7783">
        <v>1.855658</v>
      </c>
      <c r="C7783">
        <f t="shared" si="126"/>
        <v>0</v>
      </c>
    </row>
    <row r="7784" spans="1:3" x14ac:dyDescent="0.2">
      <c r="A7784" s="34">
        <v>35557</v>
      </c>
      <c r="B7784">
        <v>1.85494</v>
      </c>
      <c r="C7784">
        <f t="shared" si="126"/>
        <v>0</v>
      </c>
    </row>
    <row r="7785" spans="1:3" x14ac:dyDescent="0.2">
      <c r="A7785" s="34">
        <v>35556</v>
      </c>
      <c r="B7785">
        <v>1.854222</v>
      </c>
      <c r="C7785">
        <f t="shared" si="126"/>
        <v>0</v>
      </c>
    </row>
    <row r="7786" spans="1:3" x14ac:dyDescent="0.2">
      <c r="A7786" s="34">
        <v>35555</v>
      </c>
      <c r="B7786">
        <v>1.853504</v>
      </c>
      <c r="C7786">
        <f t="shared" si="126"/>
        <v>0</v>
      </c>
    </row>
    <row r="7787" spans="1:3" x14ac:dyDescent="0.2">
      <c r="A7787" s="34">
        <v>35554</v>
      </c>
      <c r="B7787">
        <v>1.852786</v>
      </c>
      <c r="C7787">
        <f t="shared" si="126"/>
        <v>0</v>
      </c>
    </row>
    <row r="7788" spans="1:3" x14ac:dyDescent="0.2">
      <c r="A7788" s="34">
        <v>35553</v>
      </c>
      <c r="B7788">
        <v>1.852069</v>
      </c>
      <c r="C7788">
        <f t="shared" si="126"/>
        <v>0</v>
      </c>
    </row>
    <row r="7789" spans="1:3" x14ac:dyDescent="0.2">
      <c r="A7789" s="34">
        <v>35552</v>
      </c>
      <c r="B7789">
        <v>1.8513520000000001</v>
      </c>
      <c r="C7789">
        <f t="shared" si="126"/>
        <v>0</v>
      </c>
    </row>
    <row r="7790" spans="1:3" x14ac:dyDescent="0.2">
      <c r="A7790" s="34">
        <v>35551</v>
      </c>
      <c r="B7790">
        <v>1.850635</v>
      </c>
      <c r="C7790">
        <f t="shared" si="126"/>
        <v>0</v>
      </c>
    </row>
    <row r="7791" spans="1:3" x14ac:dyDescent="0.2">
      <c r="A7791" s="34">
        <v>35550</v>
      </c>
      <c r="B7791">
        <v>1.849918</v>
      </c>
      <c r="C7791">
        <f t="shared" si="126"/>
        <v>0</v>
      </c>
    </row>
    <row r="7792" spans="1:3" x14ac:dyDescent="0.2">
      <c r="A7792" s="34">
        <v>35549</v>
      </c>
      <c r="B7792">
        <v>1.849202</v>
      </c>
      <c r="C7792">
        <f t="shared" si="126"/>
        <v>0</v>
      </c>
    </row>
    <row r="7793" spans="1:3" x14ac:dyDescent="0.2">
      <c r="A7793" s="34">
        <v>35548</v>
      </c>
      <c r="B7793">
        <v>1.8484860000000001</v>
      </c>
      <c r="C7793">
        <f t="shared" si="126"/>
        <v>0</v>
      </c>
    </row>
    <row r="7794" spans="1:3" x14ac:dyDescent="0.2">
      <c r="A7794" s="34">
        <v>35547</v>
      </c>
      <c r="B7794">
        <v>1.8477710000000001</v>
      </c>
      <c r="C7794">
        <f t="shared" si="126"/>
        <v>0</v>
      </c>
    </row>
    <row r="7795" spans="1:3" x14ac:dyDescent="0.2">
      <c r="A7795" s="34">
        <v>35546</v>
      </c>
      <c r="B7795">
        <v>1.8470549999999999</v>
      </c>
      <c r="C7795">
        <f t="shared" si="126"/>
        <v>0</v>
      </c>
    </row>
    <row r="7796" spans="1:3" x14ac:dyDescent="0.2">
      <c r="A7796" s="34">
        <v>35545</v>
      </c>
      <c r="B7796">
        <v>1.8463400000000001</v>
      </c>
      <c r="C7796">
        <f t="shared" si="126"/>
        <v>0</v>
      </c>
    </row>
    <row r="7797" spans="1:3" x14ac:dyDescent="0.2">
      <c r="A7797" s="34">
        <v>35544</v>
      </c>
      <c r="B7797">
        <v>1.8456790000000001</v>
      </c>
      <c r="C7797">
        <f t="shared" si="126"/>
        <v>0</v>
      </c>
    </row>
    <row r="7798" spans="1:3" x14ac:dyDescent="0.2">
      <c r="A7798" s="34">
        <v>35543</v>
      </c>
      <c r="B7798">
        <v>1.845018</v>
      </c>
      <c r="C7798">
        <f t="shared" si="126"/>
        <v>0</v>
      </c>
    </row>
    <row r="7799" spans="1:3" x14ac:dyDescent="0.2">
      <c r="A7799" s="34">
        <v>35542</v>
      </c>
      <c r="B7799">
        <v>1.844357</v>
      </c>
      <c r="C7799">
        <f t="shared" si="126"/>
        <v>0</v>
      </c>
    </row>
    <row r="7800" spans="1:3" x14ac:dyDescent="0.2">
      <c r="A7800" s="34">
        <v>35541</v>
      </c>
      <c r="B7800">
        <v>1.843696</v>
      </c>
      <c r="C7800">
        <f t="shared" si="126"/>
        <v>0</v>
      </c>
    </row>
    <row r="7801" spans="1:3" x14ac:dyDescent="0.2">
      <c r="A7801" s="34">
        <v>35540</v>
      </c>
      <c r="B7801">
        <v>1.8430359999999999</v>
      </c>
      <c r="C7801">
        <f t="shared" si="126"/>
        <v>0</v>
      </c>
    </row>
    <row r="7802" spans="1:3" x14ac:dyDescent="0.2">
      <c r="A7802" s="34">
        <v>35539</v>
      </c>
      <c r="B7802">
        <v>1.842376</v>
      </c>
      <c r="C7802">
        <f t="shared" si="126"/>
        <v>0</v>
      </c>
    </row>
    <row r="7803" spans="1:3" x14ac:dyDescent="0.2">
      <c r="A7803" s="34">
        <v>35538</v>
      </c>
      <c r="B7803">
        <v>1.8417159999999999</v>
      </c>
      <c r="C7803">
        <f t="shared" si="126"/>
        <v>0</v>
      </c>
    </row>
    <row r="7804" spans="1:3" x14ac:dyDescent="0.2">
      <c r="A7804" s="34">
        <v>35537</v>
      </c>
      <c r="B7804">
        <v>1.841056</v>
      </c>
      <c r="C7804">
        <f t="shared" si="126"/>
        <v>0</v>
      </c>
    </row>
    <row r="7805" spans="1:3" x14ac:dyDescent="0.2">
      <c r="A7805" s="34">
        <v>35536</v>
      </c>
      <c r="B7805">
        <v>1.8403970000000001</v>
      </c>
      <c r="C7805">
        <f t="shared" si="126"/>
        <v>0</v>
      </c>
    </row>
    <row r="7806" spans="1:3" x14ac:dyDescent="0.2">
      <c r="A7806" s="34">
        <v>35535</v>
      </c>
      <c r="B7806">
        <v>1.8397380000000001</v>
      </c>
      <c r="C7806">
        <f t="shared" si="126"/>
        <v>0</v>
      </c>
    </row>
    <row r="7807" spans="1:3" x14ac:dyDescent="0.2">
      <c r="A7807" s="34">
        <v>35534</v>
      </c>
      <c r="B7807">
        <v>1.8390789999999999</v>
      </c>
      <c r="C7807">
        <f t="shared" si="126"/>
        <v>0</v>
      </c>
    </row>
    <row r="7808" spans="1:3" x14ac:dyDescent="0.2">
      <c r="A7808" s="34">
        <v>35533</v>
      </c>
      <c r="B7808">
        <v>1.8384199999999999</v>
      </c>
      <c r="C7808">
        <f t="shared" si="126"/>
        <v>0</v>
      </c>
    </row>
    <row r="7809" spans="1:3" x14ac:dyDescent="0.2">
      <c r="A7809" s="34">
        <v>35532</v>
      </c>
      <c r="B7809">
        <v>1.8377619999999999</v>
      </c>
      <c r="C7809">
        <f t="shared" si="126"/>
        <v>0</v>
      </c>
    </row>
    <row r="7810" spans="1:3" x14ac:dyDescent="0.2">
      <c r="A7810" s="34">
        <v>35531</v>
      </c>
      <c r="B7810">
        <v>1.8371029999999999</v>
      </c>
      <c r="C7810">
        <f t="shared" ref="C7810:C7873" si="127">IFERROR(VLOOKUP(A7810,$M$2:$N$3695,2,0),C7811)</f>
        <v>0</v>
      </c>
    </row>
    <row r="7811" spans="1:3" x14ac:dyDescent="0.2">
      <c r="A7811" s="34">
        <v>35530</v>
      </c>
      <c r="B7811">
        <v>1.8364450000000001</v>
      </c>
      <c r="C7811">
        <f t="shared" si="127"/>
        <v>0</v>
      </c>
    </row>
    <row r="7812" spans="1:3" x14ac:dyDescent="0.2">
      <c r="A7812" s="34">
        <v>35529</v>
      </c>
      <c r="B7812">
        <v>1.83569</v>
      </c>
      <c r="C7812">
        <f t="shared" si="127"/>
        <v>0</v>
      </c>
    </row>
    <row r="7813" spans="1:3" x14ac:dyDescent="0.2">
      <c r="A7813" s="34">
        <v>35528</v>
      </c>
      <c r="B7813">
        <v>1.8349340000000001</v>
      </c>
      <c r="C7813">
        <f t="shared" si="127"/>
        <v>0</v>
      </c>
    </row>
    <row r="7814" spans="1:3" x14ac:dyDescent="0.2">
      <c r="A7814" s="34">
        <v>35527</v>
      </c>
      <c r="B7814">
        <v>1.834179</v>
      </c>
      <c r="C7814">
        <f t="shared" si="127"/>
        <v>0</v>
      </c>
    </row>
    <row r="7815" spans="1:3" x14ac:dyDescent="0.2">
      <c r="A7815" s="34">
        <v>35526</v>
      </c>
      <c r="B7815">
        <v>1.8334250000000001</v>
      </c>
      <c r="C7815">
        <f t="shared" si="127"/>
        <v>0</v>
      </c>
    </row>
    <row r="7816" spans="1:3" x14ac:dyDescent="0.2">
      <c r="A7816" s="34">
        <v>35525</v>
      </c>
      <c r="B7816">
        <v>1.83267</v>
      </c>
      <c r="C7816">
        <f t="shared" si="127"/>
        <v>0</v>
      </c>
    </row>
    <row r="7817" spans="1:3" x14ac:dyDescent="0.2">
      <c r="A7817" s="34">
        <v>35524</v>
      </c>
      <c r="B7817">
        <v>1.8319160000000001</v>
      </c>
      <c r="C7817">
        <f t="shared" si="127"/>
        <v>0</v>
      </c>
    </row>
    <row r="7818" spans="1:3" x14ac:dyDescent="0.2">
      <c r="A7818" s="34">
        <v>35523</v>
      </c>
      <c r="B7818">
        <v>1.8311630000000001</v>
      </c>
      <c r="C7818">
        <f t="shared" si="127"/>
        <v>0</v>
      </c>
    </row>
    <row r="7819" spans="1:3" x14ac:dyDescent="0.2">
      <c r="A7819" s="34">
        <v>35522</v>
      </c>
      <c r="B7819">
        <v>1.830409</v>
      </c>
      <c r="C7819">
        <f t="shared" si="127"/>
        <v>0</v>
      </c>
    </row>
    <row r="7820" spans="1:3" x14ac:dyDescent="0.2">
      <c r="A7820" s="34">
        <v>35521</v>
      </c>
      <c r="B7820">
        <v>1.8296559999999999</v>
      </c>
      <c r="C7820">
        <f t="shared" si="127"/>
        <v>0</v>
      </c>
    </row>
    <row r="7821" spans="1:3" x14ac:dyDescent="0.2">
      <c r="A7821" s="34">
        <v>35520</v>
      </c>
      <c r="B7821">
        <v>1.8289029999999999</v>
      </c>
      <c r="C7821">
        <f t="shared" si="127"/>
        <v>0</v>
      </c>
    </row>
    <row r="7822" spans="1:3" x14ac:dyDescent="0.2">
      <c r="A7822" s="34">
        <v>35519</v>
      </c>
      <c r="B7822">
        <v>1.8281510000000001</v>
      </c>
      <c r="C7822">
        <f t="shared" si="127"/>
        <v>0</v>
      </c>
    </row>
    <row r="7823" spans="1:3" x14ac:dyDescent="0.2">
      <c r="A7823" s="34">
        <v>35518</v>
      </c>
      <c r="B7823">
        <v>1.8273980000000001</v>
      </c>
      <c r="C7823">
        <f t="shared" si="127"/>
        <v>0</v>
      </c>
    </row>
    <row r="7824" spans="1:3" x14ac:dyDescent="0.2">
      <c r="A7824" s="34">
        <v>35517</v>
      </c>
      <c r="B7824">
        <v>1.826646</v>
      </c>
      <c r="C7824">
        <f t="shared" si="127"/>
        <v>0</v>
      </c>
    </row>
    <row r="7825" spans="1:3" x14ac:dyDescent="0.2">
      <c r="A7825" s="34">
        <v>35516</v>
      </c>
      <c r="B7825">
        <v>1.825895</v>
      </c>
      <c r="C7825">
        <f t="shared" si="127"/>
        <v>0</v>
      </c>
    </row>
    <row r="7826" spans="1:3" x14ac:dyDescent="0.2">
      <c r="A7826" s="34">
        <v>35515</v>
      </c>
      <c r="B7826">
        <v>1.8251440000000001</v>
      </c>
      <c r="C7826">
        <f t="shared" si="127"/>
        <v>0</v>
      </c>
    </row>
    <row r="7827" spans="1:3" x14ac:dyDescent="0.2">
      <c r="A7827" s="34">
        <v>35514</v>
      </c>
      <c r="B7827">
        <v>1.8243929999999999</v>
      </c>
      <c r="C7827">
        <f t="shared" si="127"/>
        <v>0</v>
      </c>
    </row>
    <row r="7828" spans="1:3" x14ac:dyDescent="0.2">
      <c r="A7828" s="34">
        <v>35513</v>
      </c>
      <c r="B7828">
        <v>1.823639</v>
      </c>
      <c r="C7828">
        <f t="shared" si="127"/>
        <v>0</v>
      </c>
    </row>
    <row r="7829" spans="1:3" x14ac:dyDescent="0.2">
      <c r="A7829" s="34">
        <v>35512</v>
      </c>
      <c r="B7829">
        <v>1.8228850000000001</v>
      </c>
      <c r="C7829">
        <f t="shared" si="127"/>
        <v>0</v>
      </c>
    </row>
    <row r="7830" spans="1:3" x14ac:dyDescent="0.2">
      <c r="A7830" s="34">
        <v>35511</v>
      </c>
      <c r="B7830">
        <v>1.8221309999999999</v>
      </c>
      <c r="C7830">
        <f t="shared" si="127"/>
        <v>0</v>
      </c>
    </row>
    <row r="7831" spans="1:3" x14ac:dyDescent="0.2">
      <c r="A7831" s="34">
        <v>35510</v>
      </c>
      <c r="B7831">
        <v>1.8213779999999999</v>
      </c>
      <c r="C7831">
        <f t="shared" si="127"/>
        <v>0</v>
      </c>
    </row>
    <row r="7832" spans="1:3" x14ac:dyDescent="0.2">
      <c r="A7832" s="34">
        <v>35509</v>
      </c>
      <c r="B7832">
        <v>1.8206249999999999</v>
      </c>
      <c r="C7832">
        <f t="shared" si="127"/>
        <v>0</v>
      </c>
    </row>
    <row r="7833" spans="1:3" x14ac:dyDescent="0.2">
      <c r="A7833" s="34">
        <v>35508</v>
      </c>
      <c r="B7833">
        <v>1.8198730000000001</v>
      </c>
      <c r="C7833">
        <f t="shared" si="127"/>
        <v>0</v>
      </c>
    </row>
    <row r="7834" spans="1:3" x14ac:dyDescent="0.2">
      <c r="A7834" s="34">
        <v>35507</v>
      </c>
      <c r="B7834">
        <v>1.819121</v>
      </c>
      <c r="C7834">
        <f t="shared" si="127"/>
        <v>0</v>
      </c>
    </row>
    <row r="7835" spans="1:3" x14ac:dyDescent="0.2">
      <c r="A7835" s="34">
        <v>35506</v>
      </c>
      <c r="B7835">
        <v>1.8183689999999999</v>
      </c>
      <c r="C7835">
        <f t="shared" si="127"/>
        <v>0</v>
      </c>
    </row>
    <row r="7836" spans="1:3" x14ac:dyDescent="0.2">
      <c r="A7836" s="34">
        <v>35505</v>
      </c>
      <c r="B7836">
        <v>1.817617</v>
      </c>
      <c r="C7836">
        <f t="shared" si="127"/>
        <v>0</v>
      </c>
    </row>
    <row r="7837" spans="1:3" x14ac:dyDescent="0.2">
      <c r="A7837" s="34">
        <v>35504</v>
      </c>
      <c r="B7837">
        <v>1.8168660000000001</v>
      </c>
      <c r="C7837">
        <f t="shared" si="127"/>
        <v>0</v>
      </c>
    </row>
    <row r="7838" spans="1:3" x14ac:dyDescent="0.2">
      <c r="A7838" s="34">
        <v>35503</v>
      </c>
      <c r="B7838">
        <v>1.8161149999999999</v>
      </c>
      <c r="C7838">
        <f t="shared" si="127"/>
        <v>0</v>
      </c>
    </row>
    <row r="7839" spans="1:3" x14ac:dyDescent="0.2">
      <c r="A7839" s="34">
        <v>35502</v>
      </c>
      <c r="B7839">
        <v>1.815364</v>
      </c>
      <c r="C7839">
        <f t="shared" si="127"/>
        <v>0</v>
      </c>
    </row>
    <row r="7840" spans="1:3" x14ac:dyDescent="0.2">
      <c r="A7840" s="34">
        <v>35501</v>
      </c>
      <c r="B7840">
        <v>1.8146139999999999</v>
      </c>
      <c r="C7840">
        <f t="shared" si="127"/>
        <v>0</v>
      </c>
    </row>
    <row r="7841" spans="1:3" x14ac:dyDescent="0.2">
      <c r="A7841" s="34">
        <v>35500</v>
      </c>
      <c r="B7841">
        <v>1.8138639999999999</v>
      </c>
      <c r="C7841">
        <f t="shared" si="127"/>
        <v>0</v>
      </c>
    </row>
    <row r="7842" spans="1:3" x14ac:dyDescent="0.2">
      <c r="A7842" s="34">
        <v>35499</v>
      </c>
      <c r="B7842">
        <v>1.8131139999999999</v>
      </c>
      <c r="C7842">
        <f t="shared" si="127"/>
        <v>0</v>
      </c>
    </row>
    <row r="7843" spans="1:3" x14ac:dyDescent="0.2">
      <c r="A7843" s="34">
        <v>35498</v>
      </c>
      <c r="B7843">
        <v>1.811874</v>
      </c>
      <c r="C7843">
        <f t="shared" si="127"/>
        <v>0</v>
      </c>
    </row>
    <row r="7844" spans="1:3" x14ac:dyDescent="0.2">
      <c r="A7844" s="34">
        <v>35497</v>
      </c>
      <c r="B7844">
        <v>1.810635</v>
      </c>
      <c r="C7844">
        <f t="shared" si="127"/>
        <v>0</v>
      </c>
    </row>
    <row r="7845" spans="1:3" x14ac:dyDescent="0.2">
      <c r="A7845" s="34">
        <v>35496</v>
      </c>
      <c r="B7845">
        <v>1.809396</v>
      </c>
      <c r="C7845">
        <f t="shared" si="127"/>
        <v>0</v>
      </c>
    </row>
    <row r="7846" spans="1:3" x14ac:dyDescent="0.2">
      <c r="A7846" s="34">
        <v>35495</v>
      </c>
      <c r="B7846">
        <v>1.8081590000000001</v>
      </c>
      <c r="C7846">
        <f t="shared" si="127"/>
        <v>0</v>
      </c>
    </row>
    <row r="7847" spans="1:3" x14ac:dyDescent="0.2">
      <c r="A7847" s="34">
        <v>35494</v>
      </c>
      <c r="B7847">
        <v>1.8069219999999999</v>
      </c>
      <c r="C7847">
        <f t="shared" si="127"/>
        <v>0</v>
      </c>
    </row>
    <row r="7848" spans="1:3" x14ac:dyDescent="0.2">
      <c r="A7848" s="34">
        <v>35493</v>
      </c>
      <c r="B7848">
        <v>1.8056859999999999</v>
      </c>
      <c r="C7848">
        <f t="shared" si="127"/>
        <v>0</v>
      </c>
    </row>
    <row r="7849" spans="1:3" x14ac:dyDescent="0.2">
      <c r="A7849" s="34">
        <v>35492</v>
      </c>
      <c r="B7849">
        <v>1.804451</v>
      </c>
      <c r="C7849">
        <f t="shared" si="127"/>
        <v>0</v>
      </c>
    </row>
    <row r="7850" spans="1:3" x14ac:dyDescent="0.2">
      <c r="A7850" s="34">
        <v>35491</v>
      </c>
      <c r="B7850">
        <v>1.8032170000000001</v>
      </c>
      <c r="C7850">
        <f t="shared" si="127"/>
        <v>0</v>
      </c>
    </row>
    <row r="7851" spans="1:3" x14ac:dyDescent="0.2">
      <c r="A7851" s="34">
        <v>35490</v>
      </c>
      <c r="B7851">
        <v>1.8019829999999999</v>
      </c>
      <c r="C7851">
        <f t="shared" si="127"/>
        <v>0</v>
      </c>
    </row>
    <row r="7852" spans="1:3" x14ac:dyDescent="0.2">
      <c r="A7852" s="34">
        <v>35489</v>
      </c>
      <c r="B7852">
        <v>1.800751</v>
      </c>
      <c r="C7852">
        <f t="shared" si="127"/>
        <v>0</v>
      </c>
    </row>
    <row r="7853" spans="1:3" x14ac:dyDescent="0.2">
      <c r="A7853" s="34">
        <v>35488</v>
      </c>
      <c r="B7853">
        <v>1.7995190000000001</v>
      </c>
      <c r="C7853">
        <f t="shared" si="127"/>
        <v>0</v>
      </c>
    </row>
    <row r="7854" spans="1:3" x14ac:dyDescent="0.2">
      <c r="A7854" s="34">
        <v>35487</v>
      </c>
      <c r="B7854">
        <v>1.7982880000000001</v>
      </c>
      <c r="C7854">
        <f t="shared" si="127"/>
        <v>0</v>
      </c>
    </row>
    <row r="7855" spans="1:3" x14ac:dyDescent="0.2">
      <c r="A7855" s="34">
        <v>35486</v>
      </c>
      <c r="B7855">
        <v>1.797058</v>
      </c>
      <c r="C7855">
        <f t="shared" si="127"/>
        <v>0</v>
      </c>
    </row>
    <row r="7856" spans="1:3" x14ac:dyDescent="0.2">
      <c r="A7856" s="34">
        <v>35485</v>
      </c>
      <c r="B7856">
        <v>1.795938</v>
      </c>
      <c r="C7856">
        <f t="shared" si="127"/>
        <v>0</v>
      </c>
    </row>
    <row r="7857" spans="1:3" x14ac:dyDescent="0.2">
      <c r="A7857" s="34">
        <v>35484</v>
      </c>
      <c r="B7857">
        <v>1.794818</v>
      </c>
      <c r="C7857">
        <f t="shared" si="127"/>
        <v>0</v>
      </c>
    </row>
    <row r="7858" spans="1:3" x14ac:dyDescent="0.2">
      <c r="A7858" s="34">
        <v>35483</v>
      </c>
      <c r="B7858">
        <v>1.7936989999999999</v>
      </c>
      <c r="C7858">
        <f t="shared" si="127"/>
        <v>0</v>
      </c>
    </row>
    <row r="7859" spans="1:3" x14ac:dyDescent="0.2">
      <c r="A7859" s="34">
        <v>35482</v>
      </c>
      <c r="B7859">
        <v>1.792581</v>
      </c>
      <c r="C7859">
        <f t="shared" si="127"/>
        <v>0</v>
      </c>
    </row>
    <row r="7860" spans="1:3" x14ac:dyDescent="0.2">
      <c r="A7860" s="34">
        <v>35481</v>
      </c>
      <c r="B7860">
        <v>1.791463</v>
      </c>
      <c r="C7860">
        <f t="shared" si="127"/>
        <v>0</v>
      </c>
    </row>
    <row r="7861" spans="1:3" x14ac:dyDescent="0.2">
      <c r="A7861" s="34">
        <v>35480</v>
      </c>
      <c r="B7861">
        <v>1.790346</v>
      </c>
      <c r="C7861">
        <f t="shared" si="127"/>
        <v>0</v>
      </c>
    </row>
    <row r="7862" spans="1:3" x14ac:dyDescent="0.2">
      <c r="A7862" s="34">
        <v>35479</v>
      </c>
      <c r="B7862">
        <v>1.789229</v>
      </c>
      <c r="C7862">
        <f t="shared" si="127"/>
        <v>0</v>
      </c>
    </row>
    <row r="7863" spans="1:3" x14ac:dyDescent="0.2">
      <c r="A7863" s="34">
        <v>35478</v>
      </c>
      <c r="B7863">
        <v>1.788114</v>
      </c>
      <c r="C7863">
        <f t="shared" si="127"/>
        <v>0</v>
      </c>
    </row>
    <row r="7864" spans="1:3" x14ac:dyDescent="0.2">
      <c r="A7864" s="34">
        <v>35477</v>
      </c>
      <c r="B7864">
        <v>1.786999</v>
      </c>
      <c r="C7864">
        <f t="shared" si="127"/>
        <v>0</v>
      </c>
    </row>
    <row r="7865" spans="1:3" x14ac:dyDescent="0.2">
      <c r="A7865" s="34">
        <v>35476</v>
      </c>
      <c r="B7865">
        <v>1.7858849999999999</v>
      </c>
      <c r="C7865">
        <f t="shared" si="127"/>
        <v>0</v>
      </c>
    </row>
    <row r="7866" spans="1:3" x14ac:dyDescent="0.2">
      <c r="A7866" s="34">
        <v>35475</v>
      </c>
      <c r="B7866">
        <v>1.7847710000000001</v>
      </c>
      <c r="C7866">
        <f t="shared" si="127"/>
        <v>0</v>
      </c>
    </row>
    <row r="7867" spans="1:3" x14ac:dyDescent="0.2">
      <c r="A7867" s="34">
        <v>35474</v>
      </c>
      <c r="B7867">
        <v>1.783658</v>
      </c>
      <c r="C7867">
        <f t="shared" si="127"/>
        <v>0</v>
      </c>
    </row>
    <row r="7868" spans="1:3" x14ac:dyDescent="0.2">
      <c r="A7868" s="34">
        <v>35473</v>
      </c>
      <c r="B7868">
        <v>1.782546</v>
      </c>
      <c r="C7868">
        <f t="shared" si="127"/>
        <v>0</v>
      </c>
    </row>
    <row r="7869" spans="1:3" x14ac:dyDescent="0.2">
      <c r="A7869" s="34">
        <v>35472</v>
      </c>
      <c r="B7869">
        <v>1.7814350000000001</v>
      </c>
      <c r="C7869">
        <f t="shared" si="127"/>
        <v>0</v>
      </c>
    </row>
    <row r="7870" spans="1:3" x14ac:dyDescent="0.2">
      <c r="A7870" s="34">
        <v>35471</v>
      </c>
      <c r="B7870">
        <v>1.780324</v>
      </c>
      <c r="C7870">
        <f t="shared" si="127"/>
        <v>0</v>
      </c>
    </row>
    <row r="7871" spans="1:3" x14ac:dyDescent="0.2">
      <c r="A7871" s="34">
        <v>35470</v>
      </c>
      <c r="B7871">
        <v>1.7785569999999999</v>
      </c>
      <c r="C7871">
        <f t="shared" si="127"/>
        <v>0</v>
      </c>
    </row>
    <row r="7872" spans="1:3" x14ac:dyDescent="0.2">
      <c r="A7872" s="34">
        <v>35469</v>
      </c>
      <c r="B7872">
        <v>1.776791</v>
      </c>
      <c r="C7872">
        <f t="shared" si="127"/>
        <v>0</v>
      </c>
    </row>
    <row r="7873" spans="1:3" x14ac:dyDescent="0.2">
      <c r="A7873" s="34">
        <v>35468</v>
      </c>
      <c r="B7873">
        <v>1.7750280000000001</v>
      </c>
      <c r="C7873">
        <f t="shared" si="127"/>
        <v>0</v>
      </c>
    </row>
    <row r="7874" spans="1:3" x14ac:dyDescent="0.2">
      <c r="A7874" s="34">
        <v>35467</v>
      </c>
      <c r="B7874">
        <v>1.773266</v>
      </c>
      <c r="C7874">
        <f t="shared" ref="C7874:C7937" si="128">IFERROR(VLOOKUP(A7874,$M$2:$N$3695,2,0),C7875)</f>
        <v>0</v>
      </c>
    </row>
    <row r="7875" spans="1:3" x14ac:dyDescent="0.2">
      <c r="A7875" s="34">
        <v>35466</v>
      </c>
      <c r="B7875">
        <v>1.7715050000000001</v>
      </c>
      <c r="C7875">
        <f t="shared" si="128"/>
        <v>0</v>
      </c>
    </row>
    <row r="7876" spans="1:3" x14ac:dyDescent="0.2">
      <c r="A7876" s="34">
        <v>35465</v>
      </c>
      <c r="B7876">
        <v>1.769747</v>
      </c>
      <c r="C7876">
        <f t="shared" si="128"/>
        <v>0</v>
      </c>
    </row>
    <row r="7877" spans="1:3" x14ac:dyDescent="0.2">
      <c r="A7877" s="34">
        <v>35464</v>
      </c>
      <c r="B7877">
        <v>1.76799</v>
      </c>
      <c r="C7877">
        <f t="shared" si="128"/>
        <v>0</v>
      </c>
    </row>
    <row r="7878" spans="1:3" x14ac:dyDescent="0.2">
      <c r="A7878" s="34">
        <v>35463</v>
      </c>
      <c r="B7878">
        <v>1.766235</v>
      </c>
      <c r="C7878">
        <f t="shared" si="128"/>
        <v>0</v>
      </c>
    </row>
    <row r="7879" spans="1:3" x14ac:dyDescent="0.2">
      <c r="A7879" s="34">
        <v>35462</v>
      </c>
      <c r="B7879">
        <v>1.7644820000000001</v>
      </c>
      <c r="C7879">
        <f t="shared" si="128"/>
        <v>0</v>
      </c>
    </row>
    <row r="7880" spans="1:3" x14ac:dyDescent="0.2">
      <c r="A7880" s="34">
        <v>35461</v>
      </c>
      <c r="B7880">
        <v>1.762731</v>
      </c>
      <c r="C7880">
        <f t="shared" si="128"/>
        <v>0</v>
      </c>
    </row>
    <row r="7881" spans="1:3" x14ac:dyDescent="0.2">
      <c r="A7881" s="34">
        <v>35460</v>
      </c>
      <c r="B7881">
        <v>1.7609809999999999</v>
      </c>
      <c r="C7881">
        <f t="shared" si="128"/>
        <v>0</v>
      </c>
    </row>
    <row r="7882" spans="1:3" x14ac:dyDescent="0.2">
      <c r="A7882" s="34">
        <v>35459</v>
      </c>
      <c r="B7882">
        <v>1.759233</v>
      </c>
      <c r="C7882">
        <f t="shared" si="128"/>
        <v>0</v>
      </c>
    </row>
    <row r="7883" spans="1:3" x14ac:dyDescent="0.2">
      <c r="A7883" s="34">
        <v>35458</v>
      </c>
      <c r="B7883">
        <v>1.757487</v>
      </c>
      <c r="C7883">
        <f t="shared" si="128"/>
        <v>0</v>
      </c>
    </row>
    <row r="7884" spans="1:3" x14ac:dyDescent="0.2">
      <c r="A7884" s="34">
        <v>35457</v>
      </c>
      <c r="B7884">
        <v>1.7557419999999999</v>
      </c>
      <c r="C7884">
        <f t="shared" si="128"/>
        <v>0</v>
      </c>
    </row>
    <row r="7885" spans="1:3" x14ac:dyDescent="0.2">
      <c r="A7885" s="34">
        <v>35456</v>
      </c>
      <c r="B7885">
        <v>1.754</v>
      </c>
      <c r="C7885">
        <f t="shared" si="128"/>
        <v>0</v>
      </c>
    </row>
    <row r="7886" spans="1:3" x14ac:dyDescent="0.2">
      <c r="A7886" s="34">
        <v>35455</v>
      </c>
      <c r="B7886">
        <v>1.752259</v>
      </c>
      <c r="C7886">
        <f t="shared" si="128"/>
        <v>0</v>
      </c>
    </row>
    <row r="7887" spans="1:3" x14ac:dyDescent="0.2">
      <c r="A7887" s="34">
        <v>35454</v>
      </c>
      <c r="B7887">
        <v>1.7511330000000001</v>
      </c>
      <c r="C7887">
        <f t="shared" si="128"/>
        <v>0</v>
      </c>
    </row>
    <row r="7888" spans="1:3" x14ac:dyDescent="0.2">
      <c r="A7888" s="34">
        <v>35453</v>
      </c>
      <c r="B7888">
        <v>1.7500070000000001</v>
      </c>
      <c r="C7888">
        <f t="shared" si="128"/>
        <v>0</v>
      </c>
    </row>
    <row r="7889" spans="1:3" x14ac:dyDescent="0.2">
      <c r="A7889" s="34">
        <v>35452</v>
      </c>
      <c r="B7889">
        <v>1.748883</v>
      </c>
      <c r="C7889">
        <f t="shared" si="128"/>
        <v>0</v>
      </c>
    </row>
    <row r="7890" spans="1:3" x14ac:dyDescent="0.2">
      <c r="A7890" s="34">
        <v>35451</v>
      </c>
      <c r="B7890">
        <v>1.7477590000000001</v>
      </c>
      <c r="C7890">
        <f t="shared" si="128"/>
        <v>0</v>
      </c>
    </row>
    <row r="7891" spans="1:3" x14ac:dyDescent="0.2">
      <c r="A7891" s="34">
        <v>35450</v>
      </c>
      <c r="B7891">
        <v>1.7466360000000001</v>
      </c>
      <c r="C7891">
        <f t="shared" si="128"/>
        <v>0</v>
      </c>
    </row>
    <row r="7892" spans="1:3" x14ac:dyDescent="0.2">
      <c r="A7892" s="34">
        <v>35449</v>
      </c>
      <c r="B7892">
        <v>1.745514</v>
      </c>
      <c r="C7892">
        <f t="shared" si="128"/>
        <v>0</v>
      </c>
    </row>
    <row r="7893" spans="1:3" x14ac:dyDescent="0.2">
      <c r="A7893" s="34">
        <v>35448</v>
      </c>
      <c r="B7893">
        <v>1.7443919999999999</v>
      </c>
      <c r="C7893">
        <f t="shared" si="128"/>
        <v>0</v>
      </c>
    </row>
    <row r="7894" spans="1:3" x14ac:dyDescent="0.2">
      <c r="A7894" s="34">
        <v>35447</v>
      </c>
      <c r="B7894">
        <v>1.743271</v>
      </c>
      <c r="C7894">
        <f t="shared" si="128"/>
        <v>0</v>
      </c>
    </row>
    <row r="7895" spans="1:3" x14ac:dyDescent="0.2">
      <c r="A7895" s="34">
        <v>35446</v>
      </c>
      <c r="B7895">
        <v>1.742151</v>
      </c>
      <c r="C7895">
        <f t="shared" si="128"/>
        <v>0</v>
      </c>
    </row>
    <row r="7896" spans="1:3" x14ac:dyDescent="0.2">
      <c r="A7896" s="34">
        <v>35445</v>
      </c>
      <c r="B7896">
        <v>1.7410319999999999</v>
      </c>
      <c r="C7896">
        <f t="shared" si="128"/>
        <v>0</v>
      </c>
    </row>
    <row r="7897" spans="1:3" x14ac:dyDescent="0.2">
      <c r="A7897" s="34">
        <v>35444</v>
      </c>
      <c r="B7897">
        <v>1.739913</v>
      </c>
      <c r="C7897">
        <f t="shared" si="128"/>
        <v>0</v>
      </c>
    </row>
    <row r="7898" spans="1:3" x14ac:dyDescent="0.2">
      <c r="A7898" s="34">
        <v>35443</v>
      </c>
      <c r="B7898">
        <v>1.7387950000000001</v>
      </c>
      <c r="C7898">
        <f t="shared" si="128"/>
        <v>0</v>
      </c>
    </row>
    <row r="7899" spans="1:3" x14ac:dyDescent="0.2">
      <c r="A7899" s="34">
        <v>35442</v>
      </c>
      <c r="B7899">
        <v>1.7376780000000001</v>
      </c>
      <c r="C7899">
        <f t="shared" si="128"/>
        <v>0</v>
      </c>
    </row>
    <row r="7900" spans="1:3" x14ac:dyDescent="0.2">
      <c r="A7900" s="34">
        <v>35441</v>
      </c>
      <c r="B7900">
        <v>1.736561</v>
      </c>
      <c r="C7900">
        <f t="shared" si="128"/>
        <v>0</v>
      </c>
    </row>
    <row r="7901" spans="1:3" x14ac:dyDescent="0.2">
      <c r="A7901" s="34">
        <v>35440</v>
      </c>
      <c r="B7901">
        <v>1.735446</v>
      </c>
      <c r="C7901">
        <f t="shared" si="128"/>
        <v>0</v>
      </c>
    </row>
    <row r="7902" spans="1:3" x14ac:dyDescent="0.2">
      <c r="A7902" s="34">
        <v>35439</v>
      </c>
      <c r="B7902">
        <v>1.732936</v>
      </c>
      <c r="C7902">
        <f t="shared" si="128"/>
        <v>0</v>
      </c>
    </row>
    <row r="7903" spans="1:3" x14ac:dyDescent="0.2">
      <c r="A7903" s="34">
        <v>35438</v>
      </c>
      <c r="B7903">
        <v>1.7304299999999999</v>
      </c>
      <c r="C7903">
        <f t="shared" si="128"/>
        <v>0</v>
      </c>
    </row>
    <row r="7904" spans="1:3" x14ac:dyDescent="0.2">
      <c r="A7904" s="34">
        <v>35437</v>
      </c>
      <c r="B7904">
        <v>1.7279279999999999</v>
      </c>
      <c r="C7904">
        <f t="shared" si="128"/>
        <v>0</v>
      </c>
    </row>
    <row r="7905" spans="1:3" x14ac:dyDescent="0.2">
      <c r="A7905" s="34">
        <v>35436</v>
      </c>
      <c r="B7905">
        <v>1.72543</v>
      </c>
      <c r="C7905">
        <f t="shared" si="128"/>
        <v>0</v>
      </c>
    </row>
    <row r="7906" spans="1:3" x14ac:dyDescent="0.2">
      <c r="A7906" s="34">
        <v>35435</v>
      </c>
      <c r="B7906">
        <v>1.7229350000000001</v>
      </c>
      <c r="C7906">
        <f t="shared" si="128"/>
        <v>0</v>
      </c>
    </row>
    <row r="7907" spans="1:3" x14ac:dyDescent="0.2">
      <c r="A7907" s="34">
        <v>35434</v>
      </c>
      <c r="B7907">
        <v>1.7204440000000001</v>
      </c>
      <c r="C7907">
        <f t="shared" si="128"/>
        <v>0</v>
      </c>
    </row>
    <row r="7908" spans="1:3" x14ac:dyDescent="0.2">
      <c r="A7908" s="34">
        <v>35433</v>
      </c>
      <c r="B7908">
        <v>1.717956</v>
      </c>
      <c r="C7908">
        <f t="shared" si="128"/>
        <v>0</v>
      </c>
    </row>
    <row r="7909" spans="1:3" x14ac:dyDescent="0.2">
      <c r="A7909" s="34">
        <v>35432</v>
      </c>
      <c r="B7909">
        <v>1.7154720000000001</v>
      </c>
      <c r="C7909">
        <f t="shared" si="128"/>
        <v>0</v>
      </c>
    </row>
    <row r="7910" spans="1:3" x14ac:dyDescent="0.2">
      <c r="A7910" s="34">
        <v>35431</v>
      </c>
      <c r="B7910">
        <v>1.7129909999999999</v>
      </c>
      <c r="C7910">
        <f t="shared" si="128"/>
        <v>0</v>
      </c>
    </row>
    <row r="7911" spans="1:3" x14ac:dyDescent="0.2">
      <c r="A7911" s="34">
        <v>35430</v>
      </c>
      <c r="B7911">
        <v>1.7105140000000001</v>
      </c>
      <c r="C7911">
        <f t="shared" si="128"/>
        <v>0</v>
      </c>
    </row>
    <row r="7912" spans="1:3" x14ac:dyDescent="0.2">
      <c r="A7912" s="34">
        <v>35429</v>
      </c>
      <c r="B7912">
        <v>1.7080409999999999</v>
      </c>
      <c r="C7912">
        <f t="shared" si="128"/>
        <v>0</v>
      </c>
    </row>
    <row r="7913" spans="1:3" x14ac:dyDescent="0.2">
      <c r="A7913" s="34">
        <v>35428</v>
      </c>
      <c r="B7913">
        <v>1.7055709999999999</v>
      </c>
      <c r="C7913">
        <f t="shared" si="128"/>
        <v>0</v>
      </c>
    </row>
    <row r="7914" spans="1:3" x14ac:dyDescent="0.2">
      <c r="A7914" s="34">
        <v>35427</v>
      </c>
      <c r="B7914">
        <v>1.7031050000000001</v>
      </c>
      <c r="C7914">
        <f t="shared" si="128"/>
        <v>0</v>
      </c>
    </row>
    <row r="7915" spans="1:3" x14ac:dyDescent="0.2">
      <c r="A7915" s="34">
        <v>35426</v>
      </c>
      <c r="B7915">
        <v>1.700642</v>
      </c>
      <c r="C7915">
        <f t="shared" si="128"/>
        <v>0</v>
      </c>
    </row>
    <row r="7916" spans="1:3" x14ac:dyDescent="0.2">
      <c r="A7916" s="34">
        <v>35425</v>
      </c>
      <c r="B7916">
        <v>1.698183</v>
      </c>
      <c r="C7916">
        <f t="shared" si="128"/>
        <v>0</v>
      </c>
    </row>
    <row r="7917" spans="1:3" x14ac:dyDescent="0.2">
      <c r="A7917" s="34">
        <v>35424</v>
      </c>
      <c r="B7917">
        <v>1.6957279999999999</v>
      </c>
      <c r="C7917">
        <f t="shared" si="128"/>
        <v>0</v>
      </c>
    </row>
    <row r="7918" spans="1:3" x14ac:dyDescent="0.2">
      <c r="A7918" s="34">
        <v>35423</v>
      </c>
      <c r="B7918">
        <v>1.6949289999999999</v>
      </c>
      <c r="C7918">
        <f t="shared" si="128"/>
        <v>0</v>
      </c>
    </row>
    <row r="7919" spans="1:3" x14ac:dyDescent="0.2">
      <c r="A7919" s="34">
        <v>35422</v>
      </c>
      <c r="B7919">
        <v>1.6941299999999999</v>
      </c>
      <c r="C7919">
        <f t="shared" si="128"/>
        <v>0</v>
      </c>
    </row>
    <row r="7920" spans="1:3" x14ac:dyDescent="0.2">
      <c r="A7920" s="34">
        <v>35421</v>
      </c>
      <c r="B7920">
        <v>1.6933309999999999</v>
      </c>
      <c r="C7920">
        <f t="shared" si="128"/>
        <v>0</v>
      </c>
    </row>
    <row r="7921" spans="1:3" x14ac:dyDescent="0.2">
      <c r="A7921" s="34">
        <v>35420</v>
      </c>
      <c r="B7921">
        <v>1.6925330000000001</v>
      </c>
      <c r="C7921">
        <f t="shared" si="128"/>
        <v>0</v>
      </c>
    </row>
    <row r="7922" spans="1:3" x14ac:dyDescent="0.2">
      <c r="A7922" s="34">
        <v>35419</v>
      </c>
      <c r="B7922">
        <v>1.6917359999999999</v>
      </c>
      <c r="C7922">
        <f t="shared" si="128"/>
        <v>0</v>
      </c>
    </row>
    <row r="7923" spans="1:3" x14ac:dyDescent="0.2">
      <c r="A7923" s="34">
        <v>35418</v>
      </c>
      <c r="B7923">
        <v>1.6909380000000001</v>
      </c>
      <c r="C7923">
        <f t="shared" si="128"/>
        <v>0</v>
      </c>
    </row>
    <row r="7924" spans="1:3" x14ac:dyDescent="0.2">
      <c r="A7924" s="34">
        <v>35417</v>
      </c>
      <c r="B7924">
        <v>1.690142</v>
      </c>
      <c r="C7924">
        <f t="shared" si="128"/>
        <v>0</v>
      </c>
    </row>
    <row r="7925" spans="1:3" x14ac:dyDescent="0.2">
      <c r="A7925" s="34">
        <v>35416</v>
      </c>
      <c r="B7925">
        <v>1.6893450000000001</v>
      </c>
      <c r="C7925">
        <f t="shared" si="128"/>
        <v>0</v>
      </c>
    </row>
    <row r="7926" spans="1:3" x14ac:dyDescent="0.2">
      <c r="A7926" s="34">
        <v>35415</v>
      </c>
      <c r="B7926">
        <v>1.6885490000000001</v>
      </c>
      <c r="C7926">
        <f t="shared" si="128"/>
        <v>0</v>
      </c>
    </row>
    <row r="7927" spans="1:3" x14ac:dyDescent="0.2">
      <c r="A7927" s="34">
        <v>35414</v>
      </c>
      <c r="B7927">
        <v>1.6877530000000001</v>
      </c>
      <c r="C7927">
        <f t="shared" si="128"/>
        <v>0</v>
      </c>
    </row>
    <row r="7928" spans="1:3" x14ac:dyDescent="0.2">
      <c r="A7928" s="34">
        <v>35413</v>
      </c>
      <c r="B7928">
        <v>1.686958</v>
      </c>
      <c r="C7928">
        <f t="shared" si="128"/>
        <v>0</v>
      </c>
    </row>
    <row r="7929" spans="1:3" x14ac:dyDescent="0.2">
      <c r="A7929" s="34">
        <v>35412</v>
      </c>
      <c r="B7929">
        <v>1.6861619999999999</v>
      </c>
      <c r="C7929">
        <f t="shared" si="128"/>
        <v>0</v>
      </c>
    </row>
    <row r="7930" spans="1:3" x14ac:dyDescent="0.2">
      <c r="A7930" s="34">
        <v>35411</v>
      </c>
      <c r="B7930">
        <v>1.685368</v>
      </c>
      <c r="C7930">
        <f t="shared" si="128"/>
        <v>0</v>
      </c>
    </row>
    <row r="7931" spans="1:3" x14ac:dyDescent="0.2">
      <c r="A7931" s="34">
        <v>35410</v>
      </c>
      <c r="B7931">
        <v>1.684574</v>
      </c>
      <c r="C7931">
        <f t="shared" si="128"/>
        <v>0</v>
      </c>
    </row>
    <row r="7932" spans="1:3" x14ac:dyDescent="0.2">
      <c r="A7932" s="34">
        <v>35409</v>
      </c>
      <c r="B7932">
        <v>1.6837800000000001</v>
      </c>
      <c r="C7932">
        <f t="shared" si="128"/>
        <v>0</v>
      </c>
    </row>
    <row r="7933" spans="1:3" x14ac:dyDescent="0.2">
      <c r="A7933" s="34">
        <v>35408</v>
      </c>
      <c r="B7933">
        <v>1.682787</v>
      </c>
      <c r="C7933">
        <f t="shared" si="128"/>
        <v>0</v>
      </c>
    </row>
    <row r="7934" spans="1:3" x14ac:dyDescent="0.2">
      <c r="A7934" s="34">
        <v>35407</v>
      </c>
      <c r="B7934">
        <v>1.6817960000000001</v>
      </c>
      <c r="C7934">
        <f t="shared" si="128"/>
        <v>0</v>
      </c>
    </row>
    <row r="7935" spans="1:3" x14ac:dyDescent="0.2">
      <c r="A7935" s="34">
        <v>35406</v>
      </c>
      <c r="B7935">
        <v>1.6808050000000001</v>
      </c>
      <c r="C7935">
        <f t="shared" si="128"/>
        <v>0</v>
      </c>
    </row>
    <row r="7936" spans="1:3" x14ac:dyDescent="0.2">
      <c r="A7936" s="34">
        <v>35405</v>
      </c>
      <c r="B7936">
        <v>1.6798150000000001</v>
      </c>
      <c r="C7936">
        <f t="shared" si="128"/>
        <v>0</v>
      </c>
    </row>
    <row r="7937" spans="1:3" x14ac:dyDescent="0.2">
      <c r="A7937" s="34">
        <v>35404</v>
      </c>
      <c r="B7937">
        <v>1.678825</v>
      </c>
      <c r="C7937">
        <f t="shared" si="128"/>
        <v>0</v>
      </c>
    </row>
    <row r="7938" spans="1:3" x14ac:dyDescent="0.2">
      <c r="A7938" s="34">
        <v>35403</v>
      </c>
      <c r="B7938">
        <v>1.6778360000000001</v>
      </c>
      <c r="C7938">
        <f t="shared" ref="C7938:C8001" si="129">IFERROR(VLOOKUP(A7938,$M$2:$N$3695,2,0),C7939)</f>
        <v>0</v>
      </c>
    </row>
    <row r="7939" spans="1:3" x14ac:dyDescent="0.2">
      <c r="A7939" s="34">
        <v>35402</v>
      </c>
      <c r="B7939">
        <v>1.676847</v>
      </c>
      <c r="C7939">
        <f t="shared" si="129"/>
        <v>0</v>
      </c>
    </row>
    <row r="7940" spans="1:3" x14ac:dyDescent="0.2">
      <c r="A7940" s="34">
        <v>35401</v>
      </c>
      <c r="B7940">
        <v>1.675859</v>
      </c>
      <c r="C7940">
        <f t="shared" si="129"/>
        <v>0</v>
      </c>
    </row>
    <row r="7941" spans="1:3" x14ac:dyDescent="0.2">
      <c r="A7941" s="34">
        <v>35400</v>
      </c>
      <c r="B7941">
        <v>1.6748719999999999</v>
      </c>
      <c r="C7941">
        <f t="shared" si="129"/>
        <v>0</v>
      </c>
    </row>
    <row r="7942" spans="1:3" x14ac:dyDescent="0.2">
      <c r="A7942" s="34">
        <v>35399</v>
      </c>
      <c r="B7942">
        <v>1.6738850000000001</v>
      </c>
      <c r="C7942">
        <f t="shared" si="129"/>
        <v>0</v>
      </c>
    </row>
    <row r="7943" spans="1:3" x14ac:dyDescent="0.2">
      <c r="A7943" s="34">
        <v>35398</v>
      </c>
      <c r="B7943">
        <v>1.6728989999999999</v>
      </c>
      <c r="C7943">
        <f t="shared" si="129"/>
        <v>0</v>
      </c>
    </row>
    <row r="7944" spans="1:3" x14ac:dyDescent="0.2">
      <c r="A7944" s="34">
        <v>35397</v>
      </c>
      <c r="B7944">
        <v>1.671913</v>
      </c>
      <c r="C7944">
        <f t="shared" si="129"/>
        <v>0</v>
      </c>
    </row>
    <row r="7945" spans="1:3" x14ac:dyDescent="0.2">
      <c r="A7945" s="34">
        <v>35396</v>
      </c>
      <c r="B7945">
        <v>1.670928</v>
      </c>
      <c r="C7945">
        <f t="shared" si="129"/>
        <v>0</v>
      </c>
    </row>
    <row r="7946" spans="1:3" x14ac:dyDescent="0.2">
      <c r="A7946" s="34">
        <v>35395</v>
      </c>
      <c r="B7946">
        <v>1.669943</v>
      </c>
      <c r="C7946">
        <f t="shared" si="129"/>
        <v>0</v>
      </c>
    </row>
    <row r="7947" spans="1:3" x14ac:dyDescent="0.2">
      <c r="A7947" s="34">
        <v>35394</v>
      </c>
      <c r="B7947">
        <v>1.6689590000000001</v>
      </c>
      <c r="C7947">
        <f t="shared" si="129"/>
        <v>0</v>
      </c>
    </row>
    <row r="7948" spans="1:3" x14ac:dyDescent="0.2">
      <c r="A7948" s="34">
        <v>35393</v>
      </c>
      <c r="B7948">
        <v>1.6683680000000001</v>
      </c>
      <c r="C7948">
        <f t="shared" si="129"/>
        <v>0</v>
      </c>
    </row>
    <row r="7949" spans="1:3" x14ac:dyDescent="0.2">
      <c r="A7949" s="34">
        <v>35392</v>
      </c>
      <c r="B7949">
        <v>1.6677770000000001</v>
      </c>
      <c r="C7949">
        <f t="shared" si="129"/>
        <v>0</v>
      </c>
    </row>
    <row r="7950" spans="1:3" x14ac:dyDescent="0.2">
      <c r="A7950" s="34">
        <v>35391</v>
      </c>
      <c r="B7950">
        <v>1.6671860000000001</v>
      </c>
      <c r="C7950">
        <f t="shared" si="129"/>
        <v>0</v>
      </c>
    </row>
    <row r="7951" spans="1:3" x14ac:dyDescent="0.2">
      <c r="A7951" s="34">
        <v>35390</v>
      </c>
      <c r="B7951">
        <v>1.666595</v>
      </c>
      <c r="C7951">
        <f t="shared" si="129"/>
        <v>0</v>
      </c>
    </row>
    <row r="7952" spans="1:3" x14ac:dyDescent="0.2">
      <c r="A7952" s="34">
        <v>35389</v>
      </c>
      <c r="B7952">
        <v>1.666004</v>
      </c>
      <c r="C7952">
        <f t="shared" si="129"/>
        <v>0</v>
      </c>
    </row>
    <row r="7953" spans="1:3" x14ac:dyDescent="0.2">
      <c r="A7953" s="34">
        <v>35388</v>
      </c>
      <c r="B7953">
        <v>1.6654139999999999</v>
      </c>
      <c r="C7953">
        <f t="shared" si="129"/>
        <v>0</v>
      </c>
    </row>
    <row r="7954" spans="1:3" x14ac:dyDescent="0.2">
      <c r="A7954" s="34">
        <v>35387</v>
      </c>
      <c r="B7954">
        <v>1.6648229999999999</v>
      </c>
      <c r="C7954">
        <f t="shared" si="129"/>
        <v>0</v>
      </c>
    </row>
    <row r="7955" spans="1:3" x14ac:dyDescent="0.2">
      <c r="A7955" s="34">
        <v>35386</v>
      </c>
      <c r="B7955">
        <v>1.6642330000000001</v>
      </c>
      <c r="C7955">
        <f t="shared" si="129"/>
        <v>0</v>
      </c>
    </row>
    <row r="7956" spans="1:3" x14ac:dyDescent="0.2">
      <c r="A7956" s="34">
        <v>35385</v>
      </c>
      <c r="B7956">
        <v>1.6636439999999999</v>
      </c>
      <c r="C7956">
        <f t="shared" si="129"/>
        <v>0</v>
      </c>
    </row>
    <row r="7957" spans="1:3" x14ac:dyDescent="0.2">
      <c r="A7957" s="34">
        <v>35384</v>
      </c>
      <c r="B7957">
        <v>1.663054</v>
      </c>
      <c r="C7957">
        <f t="shared" si="129"/>
        <v>0</v>
      </c>
    </row>
    <row r="7958" spans="1:3" x14ac:dyDescent="0.2">
      <c r="A7958" s="34">
        <v>35383</v>
      </c>
      <c r="B7958">
        <v>1.6624650000000001</v>
      </c>
      <c r="C7958">
        <f t="shared" si="129"/>
        <v>0</v>
      </c>
    </row>
    <row r="7959" spans="1:3" x14ac:dyDescent="0.2">
      <c r="A7959" s="34">
        <v>35382</v>
      </c>
      <c r="B7959">
        <v>1.661875</v>
      </c>
      <c r="C7959">
        <f t="shared" si="129"/>
        <v>0</v>
      </c>
    </row>
    <row r="7960" spans="1:3" x14ac:dyDescent="0.2">
      <c r="A7960" s="34">
        <v>35381</v>
      </c>
      <c r="B7960">
        <v>1.661286</v>
      </c>
      <c r="C7960">
        <f t="shared" si="129"/>
        <v>0</v>
      </c>
    </row>
    <row r="7961" spans="1:3" x14ac:dyDescent="0.2">
      <c r="A7961" s="34">
        <v>35380</v>
      </c>
      <c r="B7961">
        <v>1.660698</v>
      </c>
      <c r="C7961">
        <f t="shared" si="129"/>
        <v>0</v>
      </c>
    </row>
    <row r="7962" spans="1:3" x14ac:dyDescent="0.2">
      <c r="A7962" s="34">
        <v>35379</v>
      </c>
      <c r="B7962">
        <v>1.6601090000000001</v>
      </c>
      <c r="C7962">
        <f t="shared" si="129"/>
        <v>0</v>
      </c>
    </row>
    <row r="7963" spans="1:3" x14ac:dyDescent="0.2">
      <c r="A7963" s="34">
        <v>35378</v>
      </c>
      <c r="B7963">
        <v>1.659384</v>
      </c>
      <c r="C7963">
        <f t="shared" si="129"/>
        <v>0</v>
      </c>
    </row>
    <row r="7964" spans="1:3" x14ac:dyDescent="0.2">
      <c r="A7964" s="34">
        <v>35377</v>
      </c>
      <c r="B7964">
        <v>1.6586590000000001</v>
      </c>
      <c r="C7964">
        <f t="shared" si="129"/>
        <v>0</v>
      </c>
    </row>
    <row r="7965" spans="1:3" x14ac:dyDescent="0.2">
      <c r="A7965" s="34">
        <v>35376</v>
      </c>
      <c r="B7965">
        <v>1.657934</v>
      </c>
      <c r="C7965">
        <f t="shared" si="129"/>
        <v>0</v>
      </c>
    </row>
    <row r="7966" spans="1:3" x14ac:dyDescent="0.2">
      <c r="A7966" s="34">
        <v>35375</v>
      </c>
      <c r="B7966">
        <v>1.6572100000000001</v>
      </c>
      <c r="C7966">
        <f t="shared" si="129"/>
        <v>0</v>
      </c>
    </row>
    <row r="7967" spans="1:3" x14ac:dyDescent="0.2">
      <c r="A7967" s="34">
        <v>35374</v>
      </c>
      <c r="B7967">
        <v>1.6564859999999999</v>
      </c>
      <c r="C7967">
        <f t="shared" si="129"/>
        <v>0</v>
      </c>
    </row>
    <row r="7968" spans="1:3" x14ac:dyDescent="0.2">
      <c r="A7968" s="34">
        <v>35373</v>
      </c>
      <c r="B7968">
        <v>1.6557630000000001</v>
      </c>
      <c r="C7968">
        <f t="shared" si="129"/>
        <v>0</v>
      </c>
    </row>
    <row r="7969" spans="1:3" x14ac:dyDescent="0.2">
      <c r="A7969" s="34">
        <v>35372</v>
      </c>
      <c r="B7969">
        <v>1.6550389999999999</v>
      </c>
      <c r="C7969">
        <f t="shared" si="129"/>
        <v>0</v>
      </c>
    </row>
    <row r="7970" spans="1:3" x14ac:dyDescent="0.2">
      <c r="A7970" s="34">
        <v>35371</v>
      </c>
      <c r="B7970">
        <v>1.6543159999999999</v>
      </c>
      <c r="C7970">
        <f t="shared" si="129"/>
        <v>0</v>
      </c>
    </row>
    <row r="7971" spans="1:3" x14ac:dyDescent="0.2">
      <c r="A7971" s="34">
        <v>35370</v>
      </c>
      <c r="B7971">
        <v>1.653594</v>
      </c>
      <c r="C7971">
        <f t="shared" si="129"/>
        <v>0</v>
      </c>
    </row>
    <row r="7972" spans="1:3" x14ac:dyDescent="0.2">
      <c r="A7972" s="34">
        <v>35369</v>
      </c>
      <c r="B7972">
        <v>1.652871</v>
      </c>
      <c r="C7972">
        <f t="shared" si="129"/>
        <v>0</v>
      </c>
    </row>
    <row r="7973" spans="1:3" x14ac:dyDescent="0.2">
      <c r="A7973" s="34">
        <v>35368</v>
      </c>
      <c r="B7973">
        <v>1.6521490000000001</v>
      </c>
      <c r="C7973">
        <f t="shared" si="129"/>
        <v>0</v>
      </c>
    </row>
    <row r="7974" spans="1:3" x14ac:dyDescent="0.2">
      <c r="A7974" s="34">
        <v>35367</v>
      </c>
      <c r="B7974">
        <v>1.651427</v>
      </c>
      <c r="C7974">
        <f t="shared" si="129"/>
        <v>0</v>
      </c>
    </row>
    <row r="7975" spans="1:3" x14ac:dyDescent="0.2">
      <c r="A7975" s="34">
        <v>35366</v>
      </c>
      <c r="B7975">
        <v>1.650706</v>
      </c>
      <c r="C7975">
        <f t="shared" si="129"/>
        <v>0</v>
      </c>
    </row>
    <row r="7976" spans="1:3" x14ac:dyDescent="0.2">
      <c r="A7976" s="34">
        <v>35365</v>
      </c>
      <c r="B7976">
        <v>1.649985</v>
      </c>
      <c r="C7976">
        <f t="shared" si="129"/>
        <v>0</v>
      </c>
    </row>
    <row r="7977" spans="1:3" x14ac:dyDescent="0.2">
      <c r="A7977" s="34">
        <v>35364</v>
      </c>
      <c r="B7977">
        <v>1.6492640000000001</v>
      </c>
      <c r="C7977">
        <f t="shared" si="129"/>
        <v>0</v>
      </c>
    </row>
    <row r="7978" spans="1:3" x14ac:dyDescent="0.2">
      <c r="A7978" s="34">
        <v>35363</v>
      </c>
      <c r="B7978">
        <v>1.648544</v>
      </c>
      <c r="C7978">
        <f t="shared" si="129"/>
        <v>0</v>
      </c>
    </row>
    <row r="7979" spans="1:3" x14ac:dyDescent="0.2">
      <c r="A7979" s="34">
        <v>35362</v>
      </c>
      <c r="B7979">
        <v>1.6479379999999999</v>
      </c>
      <c r="C7979">
        <f t="shared" si="129"/>
        <v>0</v>
      </c>
    </row>
    <row r="7980" spans="1:3" x14ac:dyDescent="0.2">
      <c r="A7980" s="34">
        <v>35361</v>
      </c>
      <c r="B7980">
        <v>1.647332</v>
      </c>
      <c r="C7980">
        <f t="shared" si="129"/>
        <v>0</v>
      </c>
    </row>
    <row r="7981" spans="1:3" x14ac:dyDescent="0.2">
      <c r="A7981" s="34">
        <v>35360</v>
      </c>
      <c r="B7981">
        <v>1.6467259999999999</v>
      </c>
      <c r="C7981">
        <f t="shared" si="129"/>
        <v>0</v>
      </c>
    </row>
    <row r="7982" spans="1:3" x14ac:dyDescent="0.2">
      <c r="A7982" s="34">
        <v>35359</v>
      </c>
      <c r="B7982">
        <v>1.6461209999999999</v>
      </c>
      <c r="C7982">
        <f t="shared" si="129"/>
        <v>0</v>
      </c>
    </row>
    <row r="7983" spans="1:3" x14ac:dyDescent="0.2">
      <c r="A7983" s="34">
        <v>35358</v>
      </c>
      <c r="B7983">
        <v>1.6455150000000001</v>
      </c>
      <c r="C7983">
        <f t="shared" si="129"/>
        <v>0</v>
      </c>
    </row>
    <row r="7984" spans="1:3" x14ac:dyDescent="0.2">
      <c r="A7984" s="34">
        <v>35357</v>
      </c>
      <c r="B7984">
        <v>1.6449100000000001</v>
      </c>
      <c r="C7984">
        <f t="shared" si="129"/>
        <v>0</v>
      </c>
    </row>
    <row r="7985" spans="1:3" x14ac:dyDescent="0.2">
      <c r="A7985" s="34">
        <v>35356</v>
      </c>
      <c r="B7985">
        <v>1.644306</v>
      </c>
      <c r="C7985">
        <f t="shared" si="129"/>
        <v>0</v>
      </c>
    </row>
    <row r="7986" spans="1:3" x14ac:dyDescent="0.2">
      <c r="A7986" s="34">
        <v>35355</v>
      </c>
      <c r="B7986">
        <v>1.6437010000000001</v>
      </c>
      <c r="C7986">
        <f t="shared" si="129"/>
        <v>0</v>
      </c>
    </row>
    <row r="7987" spans="1:3" x14ac:dyDescent="0.2">
      <c r="A7987" s="34">
        <v>35354</v>
      </c>
      <c r="B7987">
        <v>1.643097</v>
      </c>
      <c r="C7987">
        <f t="shared" si="129"/>
        <v>0</v>
      </c>
    </row>
    <row r="7988" spans="1:3" x14ac:dyDescent="0.2">
      <c r="A7988" s="34">
        <v>35353</v>
      </c>
      <c r="B7988">
        <v>1.642493</v>
      </c>
      <c r="C7988">
        <f t="shared" si="129"/>
        <v>0</v>
      </c>
    </row>
    <row r="7989" spans="1:3" x14ac:dyDescent="0.2">
      <c r="A7989" s="34">
        <v>35352</v>
      </c>
      <c r="B7989">
        <v>1.6418889999999999</v>
      </c>
      <c r="C7989">
        <f t="shared" si="129"/>
        <v>0</v>
      </c>
    </row>
    <row r="7990" spans="1:3" x14ac:dyDescent="0.2">
      <c r="A7990" s="34">
        <v>35351</v>
      </c>
      <c r="B7990">
        <v>1.6412850000000001</v>
      </c>
      <c r="C7990">
        <f t="shared" si="129"/>
        <v>0</v>
      </c>
    </row>
    <row r="7991" spans="1:3" x14ac:dyDescent="0.2">
      <c r="A7991" s="34">
        <v>35350</v>
      </c>
      <c r="B7991">
        <v>1.640682</v>
      </c>
      <c r="C7991">
        <f t="shared" si="129"/>
        <v>0</v>
      </c>
    </row>
    <row r="7992" spans="1:3" x14ac:dyDescent="0.2">
      <c r="A7992" s="34">
        <v>35349</v>
      </c>
      <c r="B7992">
        <v>1.6400790000000001</v>
      </c>
      <c r="C7992">
        <f t="shared" si="129"/>
        <v>0</v>
      </c>
    </row>
    <row r="7993" spans="1:3" x14ac:dyDescent="0.2">
      <c r="A7993" s="34">
        <v>35348</v>
      </c>
      <c r="B7993">
        <v>1.6394759999999999</v>
      </c>
      <c r="C7993">
        <f t="shared" si="129"/>
        <v>0</v>
      </c>
    </row>
    <row r="7994" spans="1:3" x14ac:dyDescent="0.2">
      <c r="A7994" s="34">
        <v>35347</v>
      </c>
      <c r="B7994">
        <v>1.6383479999999999</v>
      </c>
      <c r="C7994">
        <f t="shared" si="129"/>
        <v>0</v>
      </c>
    </row>
    <row r="7995" spans="1:3" x14ac:dyDescent="0.2">
      <c r="A7995" s="34">
        <v>35346</v>
      </c>
      <c r="B7995">
        <v>1.637222</v>
      </c>
      <c r="C7995">
        <f t="shared" si="129"/>
        <v>0</v>
      </c>
    </row>
    <row r="7996" spans="1:3" x14ac:dyDescent="0.2">
      <c r="A7996" s="34">
        <v>35345</v>
      </c>
      <c r="B7996">
        <v>1.636096</v>
      </c>
      <c r="C7996">
        <f t="shared" si="129"/>
        <v>0</v>
      </c>
    </row>
    <row r="7997" spans="1:3" x14ac:dyDescent="0.2">
      <c r="A7997" s="34">
        <v>35344</v>
      </c>
      <c r="B7997">
        <v>1.634971</v>
      </c>
      <c r="C7997">
        <f t="shared" si="129"/>
        <v>0</v>
      </c>
    </row>
    <row r="7998" spans="1:3" x14ac:dyDescent="0.2">
      <c r="A7998" s="34">
        <v>35343</v>
      </c>
      <c r="B7998">
        <v>1.6338459999999999</v>
      </c>
      <c r="C7998">
        <f t="shared" si="129"/>
        <v>0</v>
      </c>
    </row>
    <row r="7999" spans="1:3" x14ac:dyDescent="0.2">
      <c r="A7999" s="34">
        <v>35342</v>
      </c>
      <c r="B7999">
        <v>1.6327229999999999</v>
      </c>
      <c r="C7999">
        <f t="shared" si="129"/>
        <v>0</v>
      </c>
    </row>
    <row r="8000" spans="1:3" x14ac:dyDescent="0.2">
      <c r="A8000" s="34">
        <v>35341</v>
      </c>
      <c r="B8000">
        <v>1.6315999999999999</v>
      </c>
      <c r="C8000">
        <f t="shared" si="129"/>
        <v>0</v>
      </c>
    </row>
    <row r="8001" spans="1:3" x14ac:dyDescent="0.2">
      <c r="A8001" s="34">
        <v>35340</v>
      </c>
      <c r="B8001">
        <v>1.6304780000000001</v>
      </c>
      <c r="C8001">
        <f t="shared" si="129"/>
        <v>0</v>
      </c>
    </row>
    <row r="8002" spans="1:3" x14ac:dyDescent="0.2">
      <c r="A8002" s="34">
        <v>35339</v>
      </c>
      <c r="B8002">
        <v>1.6293569999999999</v>
      </c>
      <c r="C8002">
        <f t="shared" ref="C8002:C8065" si="130">IFERROR(VLOOKUP(A8002,$M$2:$N$3695,2,0),C8003)</f>
        <v>0</v>
      </c>
    </row>
    <row r="8003" spans="1:3" x14ac:dyDescent="0.2">
      <c r="A8003" s="34">
        <v>35338</v>
      </c>
      <c r="B8003">
        <v>1.628236</v>
      </c>
      <c r="C8003">
        <f t="shared" si="130"/>
        <v>0</v>
      </c>
    </row>
    <row r="8004" spans="1:3" x14ac:dyDescent="0.2">
      <c r="A8004" s="34">
        <v>35337</v>
      </c>
      <c r="B8004">
        <v>1.6271169999999999</v>
      </c>
      <c r="C8004">
        <f t="shared" si="130"/>
        <v>0</v>
      </c>
    </row>
    <row r="8005" spans="1:3" x14ac:dyDescent="0.2">
      <c r="A8005" s="34">
        <v>35336</v>
      </c>
      <c r="B8005">
        <v>1.6259980000000001</v>
      </c>
      <c r="C8005">
        <f t="shared" si="130"/>
        <v>0</v>
      </c>
    </row>
    <row r="8006" spans="1:3" x14ac:dyDescent="0.2">
      <c r="A8006" s="34">
        <v>35335</v>
      </c>
      <c r="B8006">
        <v>1.624879</v>
      </c>
      <c r="C8006">
        <f t="shared" si="130"/>
        <v>0</v>
      </c>
    </row>
    <row r="8007" spans="1:3" x14ac:dyDescent="0.2">
      <c r="A8007" s="34">
        <v>35334</v>
      </c>
      <c r="B8007">
        <v>1.6237619999999999</v>
      </c>
      <c r="C8007">
        <f t="shared" si="130"/>
        <v>0</v>
      </c>
    </row>
    <row r="8008" spans="1:3" x14ac:dyDescent="0.2">
      <c r="A8008" s="34">
        <v>35333</v>
      </c>
      <c r="B8008">
        <v>1.6226449999999999</v>
      </c>
      <c r="C8008">
        <f t="shared" si="130"/>
        <v>0</v>
      </c>
    </row>
    <row r="8009" spans="1:3" x14ac:dyDescent="0.2">
      <c r="A8009" s="34">
        <v>35332</v>
      </c>
      <c r="B8009">
        <v>1.6220429999999999</v>
      </c>
      <c r="C8009">
        <f t="shared" si="130"/>
        <v>0</v>
      </c>
    </row>
    <row r="8010" spans="1:3" x14ac:dyDescent="0.2">
      <c r="A8010" s="34">
        <v>35331</v>
      </c>
      <c r="B8010">
        <v>1.621442</v>
      </c>
      <c r="C8010">
        <f t="shared" si="130"/>
        <v>0</v>
      </c>
    </row>
    <row r="8011" spans="1:3" x14ac:dyDescent="0.2">
      <c r="A8011" s="34">
        <v>35330</v>
      </c>
      <c r="B8011">
        <v>1.6208400000000001</v>
      </c>
      <c r="C8011">
        <f t="shared" si="130"/>
        <v>0</v>
      </c>
    </row>
    <row r="8012" spans="1:3" x14ac:dyDescent="0.2">
      <c r="A8012" s="34">
        <v>35329</v>
      </c>
      <c r="B8012">
        <v>1.620239</v>
      </c>
      <c r="C8012">
        <f t="shared" si="130"/>
        <v>0</v>
      </c>
    </row>
    <row r="8013" spans="1:3" x14ac:dyDescent="0.2">
      <c r="A8013" s="34">
        <v>35328</v>
      </c>
      <c r="B8013">
        <v>1.619637</v>
      </c>
      <c r="C8013">
        <f t="shared" si="130"/>
        <v>0</v>
      </c>
    </row>
    <row r="8014" spans="1:3" x14ac:dyDescent="0.2">
      <c r="A8014" s="34">
        <v>35327</v>
      </c>
      <c r="B8014">
        <v>1.6190370000000001</v>
      </c>
      <c r="C8014">
        <f t="shared" si="130"/>
        <v>0</v>
      </c>
    </row>
    <row r="8015" spans="1:3" x14ac:dyDescent="0.2">
      <c r="A8015" s="34">
        <v>35326</v>
      </c>
      <c r="B8015">
        <v>1.618436</v>
      </c>
      <c r="C8015">
        <f t="shared" si="130"/>
        <v>0</v>
      </c>
    </row>
    <row r="8016" spans="1:3" x14ac:dyDescent="0.2">
      <c r="A8016" s="34">
        <v>35325</v>
      </c>
      <c r="B8016">
        <v>1.6178349999999999</v>
      </c>
      <c r="C8016">
        <f t="shared" si="130"/>
        <v>0</v>
      </c>
    </row>
    <row r="8017" spans="1:3" x14ac:dyDescent="0.2">
      <c r="A8017" s="34">
        <v>35324</v>
      </c>
      <c r="B8017">
        <v>1.617235</v>
      </c>
      <c r="C8017">
        <f t="shared" si="130"/>
        <v>0</v>
      </c>
    </row>
    <row r="8018" spans="1:3" x14ac:dyDescent="0.2">
      <c r="A8018" s="34">
        <v>35323</v>
      </c>
      <c r="B8018">
        <v>1.616635</v>
      </c>
      <c r="C8018">
        <f t="shared" si="130"/>
        <v>0</v>
      </c>
    </row>
    <row r="8019" spans="1:3" x14ac:dyDescent="0.2">
      <c r="A8019" s="34">
        <v>35322</v>
      </c>
      <c r="B8019">
        <v>1.6160350000000001</v>
      </c>
      <c r="C8019">
        <f t="shared" si="130"/>
        <v>0</v>
      </c>
    </row>
    <row r="8020" spans="1:3" x14ac:dyDescent="0.2">
      <c r="A8020" s="34">
        <v>35321</v>
      </c>
      <c r="B8020">
        <v>1.6154360000000001</v>
      </c>
      <c r="C8020">
        <f t="shared" si="130"/>
        <v>0</v>
      </c>
    </row>
    <row r="8021" spans="1:3" x14ac:dyDescent="0.2">
      <c r="A8021" s="34">
        <v>35320</v>
      </c>
      <c r="B8021">
        <v>1.6148359999999999</v>
      </c>
      <c r="C8021">
        <f t="shared" si="130"/>
        <v>0</v>
      </c>
    </row>
    <row r="8022" spans="1:3" x14ac:dyDescent="0.2">
      <c r="A8022" s="34">
        <v>35319</v>
      </c>
      <c r="B8022">
        <v>1.6142369999999999</v>
      </c>
      <c r="C8022">
        <f t="shared" si="130"/>
        <v>0</v>
      </c>
    </row>
    <row r="8023" spans="1:3" x14ac:dyDescent="0.2">
      <c r="A8023" s="34">
        <v>35318</v>
      </c>
      <c r="B8023">
        <v>1.6136379999999999</v>
      </c>
      <c r="C8023">
        <f t="shared" si="130"/>
        <v>0</v>
      </c>
    </row>
    <row r="8024" spans="1:3" x14ac:dyDescent="0.2">
      <c r="A8024" s="34">
        <v>35317</v>
      </c>
      <c r="B8024">
        <v>1.612924</v>
      </c>
      <c r="C8024">
        <f t="shared" si="130"/>
        <v>0</v>
      </c>
    </row>
    <row r="8025" spans="1:3" x14ac:dyDescent="0.2">
      <c r="A8025" s="34">
        <v>35316</v>
      </c>
      <c r="B8025">
        <v>1.6122099999999999</v>
      </c>
      <c r="C8025">
        <f t="shared" si="130"/>
        <v>0</v>
      </c>
    </row>
    <row r="8026" spans="1:3" x14ac:dyDescent="0.2">
      <c r="A8026" s="34">
        <v>35315</v>
      </c>
      <c r="B8026">
        <v>1.611496</v>
      </c>
      <c r="C8026">
        <f t="shared" si="130"/>
        <v>0</v>
      </c>
    </row>
    <row r="8027" spans="1:3" x14ac:dyDescent="0.2">
      <c r="A8027" s="34">
        <v>35314</v>
      </c>
      <c r="B8027">
        <v>1.6107830000000001</v>
      </c>
      <c r="C8027">
        <f t="shared" si="130"/>
        <v>0</v>
      </c>
    </row>
    <row r="8028" spans="1:3" x14ac:dyDescent="0.2">
      <c r="A8028" s="34">
        <v>35313</v>
      </c>
      <c r="B8028">
        <v>1.6100699999999999</v>
      </c>
      <c r="C8028">
        <f t="shared" si="130"/>
        <v>0</v>
      </c>
    </row>
    <row r="8029" spans="1:3" x14ac:dyDescent="0.2">
      <c r="A8029" s="34">
        <v>35312</v>
      </c>
      <c r="B8029">
        <v>1.6093569999999999</v>
      </c>
      <c r="C8029">
        <f t="shared" si="130"/>
        <v>0</v>
      </c>
    </row>
    <row r="8030" spans="1:3" x14ac:dyDescent="0.2">
      <c r="A8030" s="34">
        <v>35311</v>
      </c>
      <c r="B8030">
        <v>1.6086450000000001</v>
      </c>
      <c r="C8030">
        <f t="shared" si="130"/>
        <v>0</v>
      </c>
    </row>
    <row r="8031" spans="1:3" x14ac:dyDescent="0.2">
      <c r="A8031" s="34">
        <v>35310</v>
      </c>
      <c r="B8031">
        <v>1.6079330000000001</v>
      </c>
      <c r="C8031">
        <f t="shared" si="130"/>
        <v>0</v>
      </c>
    </row>
    <row r="8032" spans="1:3" x14ac:dyDescent="0.2">
      <c r="A8032" s="34">
        <v>35309</v>
      </c>
      <c r="B8032">
        <v>1.607221</v>
      </c>
      <c r="C8032">
        <f t="shared" si="130"/>
        <v>0</v>
      </c>
    </row>
    <row r="8033" spans="1:3" x14ac:dyDescent="0.2">
      <c r="A8033" s="34">
        <v>35308</v>
      </c>
      <c r="B8033">
        <v>1.606509</v>
      </c>
      <c r="C8033">
        <f t="shared" si="130"/>
        <v>0</v>
      </c>
    </row>
    <row r="8034" spans="1:3" x14ac:dyDescent="0.2">
      <c r="A8034" s="34">
        <v>35307</v>
      </c>
      <c r="B8034">
        <v>1.6057980000000001</v>
      </c>
      <c r="C8034">
        <f t="shared" si="130"/>
        <v>0</v>
      </c>
    </row>
    <row r="8035" spans="1:3" x14ac:dyDescent="0.2">
      <c r="A8035" s="34">
        <v>35306</v>
      </c>
      <c r="B8035">
        <v>1.6050869999999999</v>
      </c>
      <c r="C8035">
        <f t="shared" si="130"/>
        <v>0</v>
      </c>
    </row>
    <row r="8036" spans="1:3" x14ac:dyDescent="0.2">
      <c r="A8036" s="34">
        <v>35305</v>
      </c>
      <c r="B8036">
        <v>1.6043769999999999</v>
      </c>
      <c r="C8036">
        <f t="shared" si="130"/>
        <v>0</v>
      </c>
    </row>
    <row r="8037" spans="1:3" x14ac:dyDescent="0.2">
      <c r="A8037" s="34">
        <v>35304</v>
      </c>
      <c r="B8037">
        <v>1.603667</v>
      </c>
      <c r="C8037">
        <f t="shared" si="130"/>
        <v>0</v>
      </c>
    </row>
    <row r="8038" spans="1:3" x14ac:dyDescent="0.2">
      <c r="A8038" s="34">
        <v>35303</v>
      </c>
      <c r="B8038">
        <v>1.602957</v>
      </c>
      <c r="C8038">
        <f t="shared" si="130"/>
        <v>0</v>
      </c>
    </row>
    <row r="8039" spans="1:3" x14ac:dyDescent="0.2">
      <c r="A8039" s="34">
        <v>35302</v>
      </c>
      <c r="B8039">
        <v>1.602247</v>
      </c>
      <c r="C8039">
        <f t="shared" si="130"/>
        <v>0</v>
      </c>
    </row>
    <row r="8040" spans="1:3" x14ac:dyDescent="0.2">
      <c r="A8040" s="34">
        <v>35301</v>
      </c>
      <c r="B8040">
        <v>1.6015330000000001</v>
      </c>
      <c r="C8040">
        <f t="shared" si="130"/>
        <v>0</v>
      </c>
    </row>
    <row r="8041" spans="1:3" x14ac:dyDescent="0.2">
      <c r="A8041" s="34">
        <v>35300</v>
      </c>
      <c r="B8041">
        <v>1.6008199999999999</v>
      </c>
      <c r="C8041">
        <f t="shared" si="130"/>
        <v>0</v>
      </c>
    </row>
    <row r="8042" spans="1:3" x14ac:dyDescent="0.2">
      <c r="A8042" s="34">
        <v>35299</v>
      </c>
      <c r="B8042">
        <v>1.6001069999999999</v>
      </c>
      <c r="C8042">
        <f t="shared" si="130"/>
        <v>0</v>
      </c>
    </row>
    <row r="8043" spans="1:3" x14ac:dyDescent="0.2">
      <c r="A8043" s="34">
        <v>35298</v>
      </c>
      <c r="B8043">
        <v>1.5993949999999999</v>
      </c>
      <c r="C8043">
        <f t="shared" si="130"/>
        <v>0</v>
      </c>
    </row>
    <row r="8044" spans="1:3" x14ac:dyDescent="0.2">
      <c r="A8044" s="34">
        <v>35297</v>
      </c>
      <c r="B8044">
        <v>1.5986830000000001</v>
      </c>
      <c r="C8044">
        <f t="shared" si="130"/>
        <v>0</v>
      </c>
    </row>
    <row r="8045" spans="1:3" x14ac:dyDescent="0.2">
      <c r="A8045" s="34">
        <v>35296</v>
      </c>
      <c r="B8045">
        <v>1.597971</v>
      </c>
      <c r="C8045">
        <f t="shared" si="130"/>
        <v>0</v>
      </c>
    </row>
    <row r="8046" spans="1:3" x14ac:dyDescent="0.2">
      <c r="A8046" s="34">
        <v>35295</v>
      </c>
      <c r="B8046">
        <v>1.597259</v>
      </c>
      <c r="C8046">
        <f t="shared" si="130"/>
        <v>0</v>
      </c>
    </row>
    <row r="8047" spans="1:3" x14ac:dyDescent="0.2">
      <c r="A8047" s="34">
        <v>35294</v>
      </c>
      <c r="B8047">
        <v>1.5965480000000001</v>
      </c>
      <c r="C8047">
        <f t="shared" si="130"/>
        <v>0</v>
      </c>
    </row>
    <row r="8048" spans="1:3" x14ac:dyDescent="0.2">
      <c r="A8048" s="34">
        <v>35293</v>
      </c>
      <c r="B8048">
        <v>1.595837</v>
      </c>
      <c r="C8048">
        <f t="shared" si="130"/>
        <v>0</v>
      </c>
    </row>
    <row r="8049" spans="1:3" x14ac:dyDescent="0.2">
      <c r="A8049" s="34">
        <v>35292</v>
      </c>
      <c r="B8049">
        <v>1.595126</v>
      </c>
      <c r="C8049">
        <f t="shared" si="130"/>
        <v>0</v>
      </c>
    </row>
    <row r="8050" spans="1:3" x14ac:dyDescent="0.2">
      <c r="A8050" s="34">
        <v>35291</v>
      </c>
      <c r="B8050">
        <v>1.5944160000000001</v>
      </c>
      <c r="C8050">
        <f t="shared" si="130"/>
        <v>0</v>
      </c>
    </row>
    <row r="8051" spans="1:3" x14ac:dyDescent="0.2">
      <c r="A8051" s="34">
        <v>35290</v>
      </c>
      <c r="B8051">
        <v>1.5937060000000001</v>
      </c>
      <c r="C8051">
        <f t="shared" si="130"/>
        <v>0</v>
      </c>
    </row>
    <row r="8052" spans="1:3" x14ac:dyDescent="0.2">
      <c r="A8052" s="34">
        <v>35289</v>
      </c>
      <c r="B8052">
        <v>1.5929960000000001</v>
      </c>
      <c r="C8052">
        <f t="shared" si="130"/>
        <v>0</v>
      </c>
    </row>
    <row r="8053" spans="1:3" x14ac:dyDescent="0.2">
      <c r="A8053" s="34">
        <v>35288</v>
      </c>
      <c r="B8053">
        <v>1.592287</v>
      </c>
      <c r="C8053">
        <f t="shared" si="130"/>
        <v>0</v>
      </c>
    </row>
    <row r="8054" spans="1:3" x14ac:dyDescent="0.2">
      <c r="A8054" s="34">
        <v>35287</v>
      </c>
      <c r="B8054">
        <v>1.5915779999999999</v>
      </c>
      <c r="C8054">
        <f t="shared" si="130"/>
        <v>0</v>
      </c>
    </row>
    <row r="8055" spans="1:3" x14ac:dyDescent="0.2">
      <c r="A8055" s="34">
        <v>35286</v>
      </c>
      <c r="B8055">
        <v>1.5908500000000001</v>
      </c>
      <c r="C8055">
        <f t="shared" si="130"/>
        <v>0</v>
      </c>
    </row>
    <row r="8056" spans="1:3" x14ac:dyDescent="0.2">
      <c r="A8056" s="34">
        <v>35285</v>
      </c>
      <c r="B8056">
        <v>1.590122</v>
      </c>
      <c r="C8056">
        <f t="shared" si="130"/>
        <v>0</v>
      </c>
    </row>
    <row r="8057" spans="1:3" x14ac:dyDescent="0.2">
      <c r="A8057" s="34">
        <v>35284</v>
      </c>
      <c r="B8057">
        <v>1.5893949999999999</v>
      </c>
      <c r="C8057">
        <f t="shared" si="130"/>
        <v>0</v>
      </c>
    </row>
    <row r="8058" spans="1:3" x14ac:dyDescent="0.2">
      <c r="A8058" s="34">
        <v>35283</v>
      </c>
      <c r="B8058">
        <v>1.588668</v>
      </c>
      <c r="C8058">
        <f t="shared" si="130"/>
        <v>0</v>
      </c>
    </row>
    <row r="8059" spans="1:3" x14ac:dyDescent="0.2">
      <c r="A8059" s="34">
        <v>35282</v>
      </c>
      <c r="B8059">
        <v>1.587941</v>
      </c>
      <c r="C8059">
        <f t="shared" si="130"/>
        <v>0</v>
      </c>
    </row>
    <row r="8060" spans="1:3" x14ac:dyDescent="0.2">
      <c r="A8060" s="34">
        <v>35281</v>
      </c>
      <c r="B8060">
        <v>1.587215</v>
      </c>
      <c r="C8060">
        <f t="shared" si="130"/>
        <v>0</v>
      </c>
    </row>
    <row r="8061" spans="1:3" x14ac:dyDescent="0.2">
      <c r="A8061" s="34">
        <v>35280</v>
      </c>
      <c r="B8061">
        <v>1.5864879999999999</v>
      </c>
      <c r="C8061">
        <f t="shared" si="130"/>
        <v>0</v>
      </c>
    </row>
    <row r="8062" spans="1:3" x14ac:dyDescent="0.2">
      <c r="A8062" s="34">
        <v>35279</v>
      </c>
      <c r="B8062">
        <v>1.585763</v>
      </c>
      <c r="C8062">
        <f t="shared" si="130"/>
        <v>0</v>
      </c>
    </row>
    <row r="8063" spans="1:3" x14ac:dyDescent="0.2">
      <c r="A8063" s="34">
        <v>35278</v>
      </c>
      <c r="B8063">
        <v>1.585037</v>
      </c>
      <c r="C8063">
        <f t="shared" si="130"/>
        <v>0</v>
      </c>
    </row>
    <row r="8064" spans="1:3" x14ac:dyDescent="0.2">
      <c r="A8064" s="34">
        <v>35277</v>
      </c>
      <c r="B8064">
        <v>1.5843119999999999</v>
      </c>
      <c r="C8064">
        <f t="shared" si="130"/>
        <v>0</v>
      </c>
    </row>
    <row r="8065" spans="1:3" x14ac:dyDescent="0.2">
      <c r="A8065" s="34">
        <v>35276</v>
      </c>
      <c r="B8065">
        <v>1.583588</v>
      </c>
      <c r="C8065">
        <f t="shared" si="130"/>
        <v>0</v>
      </c>
    </row>
    <row r="8066" spans="1:3" x14ac:dyDescent="0.2">
      <c r="A8066" s="34">
        <v>35275</v>
      </c>
      <c r="B8066">
        <v>1.5828629999999999</v>
      </c>
      <c r="C8066">
        <f t="shared" ref="C8066:C8129" si="131">IFERROR(VLOOKUP(A8066,$M$2:$N$3695,2,0),C8067)</f>
        <v>0</v>
      </c>
    </row>
    <row r="8067" spans="1:3" x14ac:dyDescent="0.2">
      <c r="A8067" s="34">
        <v>35274</v>
      </c>
      <c r="B8067">
        <v>1.582139</v>
      </c>
      <c r="C8067">
        <f t="shared" si="131"/>
        <v>0</v>
      </c>
    </row>
    <row r="8068" spans="1:3" x14ac:dyDescent="0.2">
      <c r="A8068" s="34">
        <v>35273</v>
      </c>
      <c r="B8068">
        <v>1.581415</v>
      </c>
      <c r="C8068">
        <f t="shared" si="131"/>
        <v>0</v>
      </c>
    </row>
    <row r="8069" spans="1:3" x14ac:dyDescent="0.2">
      <c r="A8069" s="34">
        <v>35272</v>
      </c>
      <c r="B8069">
        <v>1.580692</v>
      </c>
      <c r="C8069">
        <f t="shared" si="131"/>
        <v>0</v>
      </c>
    </row>
    <row r="8070" spans="1:3" x14ac:dyDescent="0.2">
      <c r="A8070" s="34">
        <v>35271</v>
      </c>
      <c r="B8070">
        <v>1.579969</v>
      </c>
      <c r="C8070">
        <f t="shared" si="131"/>
        <v>0</v>
      </c>
    </row>
    <row r="8071" spans="1:3" x14ac:dyDescent="0.2">
      <c r="A8071" s="34">
        <v>35270</v>
      </c>
      <c r="B8071">
        <v>1.5792409999999999</v>
      </c>
      <c r="C8071">
        <f t="shared" si="131"/>
        <v>0</v>
      </c>
    </row>
    <row r="8072" spans="1:3" x14ac:dyDescent="0.2">
      <c r="A8072" s="34">
        <v>35269</v>
      </c>
      <c r="B8072">
        <v>1.578514</v>
      </c>
      <c r="C8072">
        <f t="shared" si="131"/>
        <v>0</v>
      </c>
    </row>
    <row r="8073" spans="1:3" x14ac:dyDescent="0.2">
      <c r="A8073" s="34">
        <v>35268</v>
      </c>
      <c r="B8073">
        <v>1.5777870000000001</v>
      </c>
      <c r="C8073">
        <f t="shared" si="131"/>
        <v>0</v>
      </c>
    </row>
    <row r="8074" spans="1:3" x14ac:dyDescent="0.2">
      <c r="A8074" s="34">
        <v>35267</v>
      </c>
      <c r="B8074">
        <v>1.577061</v>
      </c>
      <c r="C8074">
        <f t="shared" si="131"/>
        <v>0</v>
      </c>
    </row>
    <row r="8075" spans="1:3" x14ac:dyDescent="0.2">
      <c r="A8075" s="34">
        <v>35266</v>
      </c>
      <c r="B8075">
        <v>1.576335</v>
      </c>
      <c r="C8075">
        <f t="shared" si="131"/>
        <v>0</v>
      </c>
    </row>
    <row r="8076" spans="1:3" x14ac:dyDescent="0.2">
      <c r="A8076" s="34">
        <v>35265</v>
      </c>
      <c r="B8076">
        <v>1.575609</v>
      </c>
      <c r="C8076">
        <f t="shared" si="131"/>
        <v>0</v>
      </c>
    </row>
    <row r="8077" spans="1:3" x14ac:dyDescent="0.2">
      <c r="A8077" s="34">
        <v>35264</v>
      </c>
      <c r="B8077">
        <v>1.574883</v>
      </c>
      <c r="C8077">
        <f t="shared" si="131"/>
        <v>0</v>
      </c>
    </row>
    <row r="8078" spans="1:3" x14ac:dyDescent="0.2">
      <c r="A8078" s="34">
        <v>35263</v>
      </c>
      <c r="B8078">
        <v>1.5741579999999999</v>
      </c>
      <c r="C8078">
        <f t="shared" si="131"/>
        <v>0</v>
      </c>
    </row>
    <row r="8079" spans="1:3" x14ac:dyDescent="0.2">
      <c r="A8079" s="34">
        <v>35262</v>
      </c>
      <c r="B8079">
        <v>1.5734330000000001</v>
      </c>
      <c r="C8079">
        <f t="shared" si="131"/>
        <v>0</v>
      </c>
    </row>
    <row r="8080" spans="1:3" x14ac:dyDescent="0.2">
      <c r="A8080" s="34">
        <v>35261</v>
      </c>
      <c r="B8080">
        <v>1.5727089999999999</v>
      </c>
      <c r="C8080">
        <f t="shared" si="131"/>
        <v>0</v>
      </c>
    </row>
    <row r="8081" spans="1:3" x14ac:dyDescent="0.2">
      <c r="A8081" s="34">
        <v>35260</v>
      </c>
      <c r="B8081">
        <v>1.571984</v>
      </c>
      <c r="C8081">
        <f t="shared" si="131"/>
        <v>0</v>
      </c>
    </row>
    <row r="8082" spans="1:3" x14ac:dyDescent="0.2">
      <c r="A8082" s="34">
        <v>35259</v>
      </c>
      <c r="B8082">
        <v>1.571261</v>
      </c>
      <c r="C8082">
        <f t="shared" si="131"/>
        <v>0</v>
      </c>
    </row>
    <row r="8083" spans="1:3" x14ac:dyDescent="0.2">
      <c r="A8083" s="34">
        <v>35258</v>
      </c>
      <c r="B8083">
        <v>1.5705370000000001</v>
      </c>
      <c r="C8083">
        <f t="shared" si="131"/>
        <v>0</v>
      </c>
    </row>
    <row r="8084" spans="1:3" x14ac:dyDescent="0.2">
      <c r="A8084" s="34">
        <v>35257</v>
      </c>
      <c r="B8084">
        <v>1.569814</v>
      </c>
      <c r="C8084">
        <f t="shared" si="131"/>
        <v>0</v>
      </c>
    </row>
    <row r="8085" spans="1:3" x14ac:dyDescent="0.2">
      <c r="A8085" s="34">
        <v>35256</v>
      </c>
      <c r="B8085">
        <v>1.569091</v>
      </c>
      <c r="C8085">
        <f t="shared" si="131"/>
        <v>0</v>
      </c>
    </row>
    <row r="8086" spans="1:3" x14ac:dyDescent="0.2">
      <c r="A8086" s="34">
        <v>35255</v>
      </c>
      <c r="B8086">
        <v>1.5681940000000001</v>
      </c>
      <c r="C8086">
        <f t="shared" si="131"/>
        <v>0</v>
      </c>
    </row>
    <row r="8087" spans="1:3" x14ac:dyDescent="0.2">
      <c r="A8087" s="34">
        <v>35254</v>
      </c>
      <c r="B8087">
        <v>1.5672969999999999</v>
      </c>
      <c r="C8087">
        <f t="shared" si="131"/>
        <v>0</v>
      </c>
    </row>
    <row r="8088" spans="1:3" x14ac:dyDescent="0.2">
      <c r="A8088" s="34">
        <v>35253</v>
      </c>
      <c r="B8088">
        <v>1.5664009999999999</v>
      </c>
      <c r="C8088">
        <f t="shared" si="131"/>
        <v>0</v>
      </c>
    </row>
    <row r="8089" spans="1:3" x14ac:dyDescent="0.2">
      <c r="A8089" s="34">
        <v>35252</v>
      </c>
      <c r="B8089">
        <v>1.5655060000000001</v>
      </c>
      <c r="C8089">
        <f t="shared" si="131"/>
        <v>0</v>
      </c>
    </row>
    <row r="8090" spans="1:3" x14ac:dyDescent="0.2">
      <c r="A8090" s="34">
        <v>35251</v>
      </c>
      <c r="B8090">
        <v>1.564611</v>
      </c>
      <c r="C8090">
        <f t="shared" si="131"/>
        <v>0</v>
      </c>
    </row>
    <row r="8091" spans="1:3" x14ac:dyDescent="0.2">
      <c r="A8091" s="34">
        <v>35250</v>
      </c>
      <c r="B8091">
        <v>1.5637160000000001</v>
      </c>
      <c r="C8091">
        <f t="shared" si="131"/>
        <v>0</v>
      </c>
    </row>
    <row r="8092" spans="1:3" x14ac:dyDescent="0.2">
      <c r="A8092" s="34">
        <v>35249</v>
      </c>
      <c r="B8092">
        <v>1.5628230000000001</v>
      </c>
      <c r="C8092">
        <f t="shared" si="131"/>
        <v>0</v>
      </c>
    </row>
    <row r="8093" spans="1:3" x14ac:dyDescent="0.2">
      <c r="A8093" s="34">
        <v>35248</v>
      </c>
      <c r="B8093">
        <v>1.5619289999999999</v>
      </c>
      <c r="C8093">
        <f t="shared" si="131"/>
        <v>0</v>
      </c>
    </row>
    <row r="8094" spans="1:3" x14ac:dyDescent="0.2">
      <c r="A8094" s="34">
        <v>35247</v>
      </c>
      <c r="B8094">
        <v>1.5610360000000001</v>
      </c>
      <c r="C8094">
        <f t="shared" si="131"/>
        <v>0</v>
      </c>
    </row>
    <row r="8095" spans="1:3" x14ac:dyDescent="0.2">
      <c r="A8095" s="34">
        <v>35246</v>
      </c>
      <c r="B8095">
        <v>1.560144</v>
      </c>
      <c r="C8095">
        <f t="shared" si="131"/>
        <v>0</v>
      </c>
    </row>
    <row r="8096" spans="1:3" x14ac:dyDescent="0.2">
      <c r="A8096" s="34">
        <v>35245</v>
      </c>
      <c r="B8096">
        <v>1.5592520000000001</v>
      </c>
      <c r="C8096">
        <f t="shared" si="131"/>
        <v>0</v>
      </c>
    </row>
    <row r="8097" spans="1:3" x14ac:dyDescent="0.2">
      <c r="A8097" s="34">
        <v>35244</v>
      </c>
      <c r="B8097">
        <v>1.55836</v>
      </c>
      <c r="C8097">
        <f t="shared" si="131"/>
        <v>0</v>
      </c>
    </row>
    <row r="8098" spans="1:3" x14ac:dyDescent="0.2">
      <c r="A8098" s="34">
        <v>35243</v>
      </c>
      <c r="B8098">
        <v>1.5574699999999999</v>
      </c>
      <c r="C8098">
        <f t="shared" si="131"/>
        <v>0</v>
      </c>
    </row>
    <row r="8099" spans="1:3" x14ac:dyDescent="0.2">
      <c r="A8099" s="34">
        <v>35242</v>
      </c>
      <c r="B8099">
        <v>1.5565789999999999</v>
      </c>
      <c r="C8099">
        <f t="shared" si="131"/>
        <v>0</v>
      </c>
    </row>
    <row r="8100" spans="1:3" x14ac:dyDescent="0.2">
      <c r="A8100" s="34">
        <v>35241</v>
      </c>
      <c r="B8100">
        <v>1.5556890000000001</v>
      </c>
      <c r="C8100">
        <f t="shared" si="131"/>
        <v>0</v>
      </c>
    </row>
    <row r="8101" spans="1:3" x14ac:dyDescent="0.2">
      <c r="A8101" s="34">
        <v>35240</v>
      </c>
      <c r="B8101">
        <v>1.554834</v>
      </c>
      <c r="C8101">
        <f t="shared" si="131"/>
        <v>0</v>
      </c>
    </row>
    <row r="8102" spans="1:3" x14ac:dyDescent="0.2">
      <c r="A8102" s="34">
        <v>35239</v>
      </c>
      <c r="B8102">
        <v>1.5539799999999999</v>
      </c>
      <c r="C8102">
        <f t="shared" si="131"/>
        <v>0</v>
      </c>
    </row>
    <row r="8103" spans="1:3" x14ac:dyDescent="0.2">
      <c r="A8103" s="34">
        <v>35238</v>
      </c>
      <c r="B8103">
        <v>1.553126</v>
      </c>
      <c r="C8103">
        <f t="shared" si="131"/>
        <v>0</v>
      </c>
    </row>
    <row r="8104" spans="1:3" x14ac:dyDescent="0.2">
      <c r="A8104" s="34">
        <v>35237</v>
      </c>
      <c r="B8104">
        <v>1.5522720000000001</v>
      </c>
      <c r="C8104">
        <f t="shared" si="131"/>
        <v>0</v>
      </c>
    </row>
    <row r="8105" spans="1:3" x14ac:dyDescent="0.2">
      <c r="A8105" s="34">
        <v>35236</v>
      </c>
      <c r="B8105">
        <v>1.5514190000000001</v>
      </c>
      <c r="C8105">
        <f t="shared" si="131"/>
        <v>0</v>
      </c>
    </row>
    <row r="8106" spans="1:3" x14ac:dyDescent="0.2">
      <c r="A8106" s="34">
        <v>35235</v>
      </c>
      <c r="B8106">
        <v>1.550567</v>
      </c>
      <c r="C8106">
        <f t="shared" si="131"/>
        <v>0</v>
      </c>
    </row>
    <row r="8107" spans="1:3" x14ac:dyDescent="0.2">
      <c r="A8107" s="34">
        <v>35234</v>
      </c>
      <c r="B8107">
        <v>1.549714</v>
      </c>
      <c r="C8107">
        <f t="shared" si="131"/>
        <v>0</v>
      </c>
    </row>
    <row r="8108" spans="1:3" x14ac:dyDescent="0.2">
      <c r="A8108" s="34">
        <v>35233</v>
      </c>
      <c r="B8108">
        <v>1.5488630000000001</v>
      </c>
      <c r="C8108">
        <f t="shared" si="131"/>
        <v>0</v>
      </c>
    </row>
    <row r="8109" spans="1:3" x14ac:dyDescent="0.2">
      <c r="A8109" s="34">
        <v>35232</v>
      </c>
      <c r="B8109">
        <v>1.5480119999999999</v>
      </c>
      <c r="C8109">
        <f t="shared" si="131"/>
        <v>0</v>
      </c>
    </row>
    <row r="8110" spans="1:3" x14ac:dyDescent="0.2">
      <c r="A8110" s="34">
        <v>35231</v>
      </c>
      <c r="B8110">
        <v>1.547161</v>
      </c>
      <c r="C8110">
        <f t="shared" si="131"/>
        <v>0</v>
      </c>
    </row>
    <row r="8111" spans="1:3" x14ac:dyDescent="0.2">
      <c r="A8111" s="34">
        <v>35230</v>
      </c>
      <c r="B8111">
        <v>1.546311</v>
      </c>
      <c r="C8111">
        <f t="shared" si="131"/>
        <v>0</v>
      </c>
    </row>
    <row r="8112" spans="1:3" x14ac:dyDescent="0.2">
      <c r="A8112" s="34">
        <v>35229</v>
      </c>
      <c r="B8112">
        <v>1.545461</v>
      </c>
      <c r="C8112">
        <f t="shared" si="131"/>
        <v>0</v>
      </c>
    </row>
    <row r="8113" spans="1:3" x14ac:dyDescent="0.2">
      <c r="A8113" s="34">
        <v>35228</v>
      </c>
      <c r="B8113">
        <v>1.544611</v>
      </c>
      <c r="C8113">
        <f t="shared" si="131"/>
        <v>0</v>
      </c>
    </row>
    <row r="8114" spans="1:3" x14ac:dyDescent="0.2">
      <c r="A8114" s="34">
        <v>35227</v>
      </c>
      <c r="B8114">
        <v>1.543763</v>
      </c>
      <c r="C8114">
        <f t="shared" si="131"/>
        <v>0</v>
      </c>
    </row>
    <row r="8115" spans="1:3" x14ac:dyDescent="0.2">
      <c r="A8115" s="34">
        <v>35226</v>
      </c>
      <c r="B8115">
        <v>1.5429139999999999</v>
      </c>
      <c r="C8115">
        <f t="shared" si="131"/>
        <v>0</v>
      </c>
    </row>
    <row r="8116" spans="1:3" x14ac:dyDescent="0.2">
      <c r="A8116" s="34">
        <v>35225</v>
      </c>
      <c r="B8116">
        <v>1.5420039999999999</v>
      </c>
      <c r="C8116">
        <f t="shared" si="131"/>
        <v>0</v>
      </c>
    </row>
    <row r="8117" spans="1:3" x14ac:dyDescent="0.2">
      <c r="A8117" s="34">
        <v>35224</v>
      </c>
      <c r="B8117">
        <v>1.541094</v>
      </c>
      <c r="C8117">
        <f t="shared" si="131"/>
        <v>0</v>
      </c>
    </row>
    <row r="8118" spans="1:3" x14ac:dyDescent="0.2">
      <c r="A8118" s="34">
        <v>35223</v>
      </c>
      <c r="B8118">
        <v>1.5401849999999999</v>
      </c>
      <c r="C8118">
        <f t="shared" si="131"/>
        <v>0</v>
      </c>
    </row>
    <row r="8119" spans="1:3" x14ac:dyDescent="0.2">
      <c r="A8119" s="34">
        <v>35222</v>
      </c>
      <c r="B8119">
        <v>1.539277</v>
      </c>
      <c r="C8119">
        <f t="shared" si="131"/>
        <v>0</v>
      </c>
    </row>
    <row r="8120" spans="1:3" x14ac:dyDescent="0.2">
      <c r="A8120" s="34">
        <v>35221</v>
      </c>
      <c r="B8120">
        <v>1.5383690000000001</v>
      </c>
      <c r="C8120">
        <f t="shared" si="131"/>
        <v>0</v>
      </c>
    </row>
    <row r="8121" spans="1:3" x14ac:dyDescent="0.2">
      <c r="A8121" s="34">
        <v>35220</v>
      </c>
      <c r="B8121">
        <v>1.537461</v>
      </c>
      <c r="C8121">
        <f t="shared" si="131"/>
        <v>0</v>
      </c>
    </row>
    <row r="8122" spans="1:3" x14ac:dyDescent="0.2">
      <c r="A8122" s="34">
        <v>35219</v>
      </c>
      <c r="B8122">
        <v>1.536554</v>
      </c>
      <c r="C8122">
        <f t="shared" si="131"/>
        <v>0</v>
      </c>
    </row>
    <row r="8123" spans="1:3" x14ac:dyDescent="0.2">
      <c r="A8123" s="34">
        <v>35218</v>
      </c>
      <c r="B8123">
        <v>1.5356479999999999</v>
      </c>
      <c r="C8123">
        <f t="shared" si="131"/>
        <v>0</v>
      </c>
    </row>
    <row r="8124" spans="1:3" x14ac:dyDescent="0.2">
      <c r="A8124" s="34">
        <v>35217</v>
      </c>
      <c r="B8124">
        <v>1.5347420000000001</v>
      </c>
      <c r="C8124">
        <f t="shared" si="131"/>
        <v>0</v>
      </c>
    </row>
    <row r="8125" spans="1:3" x14ac:dyDescent="0.2">
      <c r="A8125" s="34">
        <v>35216</v>
      </c>
      <c r="B8125">
        <v>1.5338369999999999</v>
      </c>
      <c r="C8125">
        <f t="shared" si="131"/>
        <v>0</v>
      </c>
    </row>
    <row r="8126" spans="1:3" x14ac:dyDescent="0.2">
      <c r="A8126" s="34">
        <v>35215</v>
      </c>
      <c r="B8126">
        <v>1.532932</v>
      </c>
      <c r="C8126">
        <f t="shared" si="131"/>
        <v>0</v>
      </c>
    </row>
    <row r="8127" spans="1:3" x14ac:dyDescent="0.2">
      <c r="A8127" s="34">
        <v>35214</v>
      </c>
      <c r="B8127">
        <v>1.5320279999999999</v>
      </c>
      <c r="C8127">
        <f t="shared" si="131"/>
        <v>0</v>
      </c>
    </row>
    <row r="8128" spans="1:3" x14ac:dyDescent="0.2">
      <c r="A8128" s="34">
        <v>35213</v>
      </c>
      <c r="B8128">
        <v>1.5311239999999999</v>
      </c>
      <c r="C8128">
        <f t="shared" si="131"/>
        <v>0</v>
      </c>
    </row>
    <row r="8129" spans="1:3" x14ac:dyDescent="0.2">
      <c r="A8129" s="34">
        <v>35212</v>
      </c>
      <c r="B8129">
        <v>1.5302210000000001</v>
      </c>
      <c r="C8129">
        <f t="shared" si="131"/>
        <v>0</v>
      </c>
    </row>
    <row r="8130" spans="1:3" x14ac:dyDescent="0.2">
      <c r="A8130" s="34">
        <v>35211</v>
      </c>
      <c r="B8130">
        <v>1.529318</v>
      </c>
      <c r="C8130">
        <f t="shared" ref="C8130:C8193" si="132">IFERROR(VLOOKUP(A8130,$M$2:$N$3695,2,0),C8131)</f>
        <v>0</v>
      </c>
    </row>
    <row r="8131" spans="1:3" x14ac:dyDescent="0.2">
      <c r="A8131" s="34">
        <v>35210</v>
      </c>
      <c r="B8131">
        <v>1.528416</v>
      </c>
      <c r="C8131">
        <f t="shared" si="132"/>
        <v>0</v>
      </c>
    </row>
    <row r="8132" spans="1:3" x14ac:dyDescent="0.2">
      <c r="A8132" s="34">
        <v>35209</v>
      </c>
      <c r="B8132">
        <v>1.5275000000000001</v>
      </c>
      <c r="C8132">
        <f t="shared" si="132"/>
        <v>0</v>
      </c>
    </row>
    <row r="8133" spans="1:3" x14ac:dyDescent="0.2">
      <c r="A8133" s="34">
        <v>35208</v>
      </c>
      <c r="B8133">
        <v>1.5265839999999999</v>
      </c>
      <c r="C8133">
        <f t="shared" si="132"/>
        <v>0</v>
      </c>
    </row>
    <row r="8134" spans="1:3" x14ac:dyDescent="0.2">
      <c r="A8134" s="34">
        <v>35207</v>
      </c>
      <c r="B8134">
        <v>1.525668</v>
      </c>
      <c r="C8134">
        <f t="shared" si="132"/>
        <v>0</v>
      </c>
    </row>
    <row r="8135" spans="1:3" x14ac:dyDescent="0.2">
      <c r="A8135" s="34">
        <v>35206</v>
      </c>
      <c r="B8135">
        <v>1.5247539999999999</v>
      </c>
      <c r="C8135">
        <f t="shared" si="132"/>
        <v>0</v>
      </c>
    </row>
    <row r="8136" spans="1:3" x14ac:dyDescent="0.2">
      <c r="A8136" s="34">
        <v>35205</v>
      </c>
      <c r="B8136">
        <v>1.5238389999999999</v>
      </c>
      <c r="C8136">
        <f t="shared" si="132"/>
        <v>0</v>
      </c>
    </row>
    <row r="8137" spans="1:3" x14ac:dyDescent="0.2">
      <c r="A8137" s="34">
        <v>35204</v>
      </c>
      <c r="B8137">
        <v>1.522926</v>
      </c>
      <c r="C8137">
        <f t="shared" si="132"/>
        <v>0</v>
      </c>
    </row>
    <row r="8138" spans="1:3" x14ac:dyDescent="0.2">
      <c r="A8138" s="34">
        <v>35203</v>
      </c>
      <c r="B8138">
        <v>1.5220130000000001</v>
      </c>
      <c r="C8138">
        <f t="shared" si="132"/>
        <v>0</v>
      </c>
    </row>
    <row r="8139" spans="1:3" x14ac:dyDescent="0.2">
      <c r="A8139" s="34">
        <v>35202</v>
      </c>
      <c r="B8139">
        <v>1.5210999999999999</v>
      </c>
      <c r="C8139">
        <f t="shared" si="132"/>
        <v>0</v>
      </c>
    </row>
    <row r="8140" spans="1:3" x14ac:dyDescent="0.2">
      <c r="A8140" s="34">
        <v>35201</v>
      </c>
      <c r="B8140">
        <v>1.5201880000000001</v>
      </c>
      <c r="C8140">
        <f t="shared" si="132"/>
        <v>0</v>
      </c>
    </row>
    <row r="8141" spans="1:3" x14ac:dyDescent="0.2">
      <c r="A8141" s="34">
        <v>35200</v>
      </c>
      <c r="B8141">
        <v>1.5192760000000001</v>
      </c>
      <c r="C8141">
        <f t="shared" si="132"/>
        <v>0</v>
      </c>
    </row>
    <row r="8142" spans="1:3" x14ac:dyDescent="0.2">
      <c r="A8142" s="34">
        <v>35199</v>
      </c>
      <c r="B8142">
        <v>1.5183660000000001</v>
      </c>
      <c r="C8142">
        <f t="shared" si="132"/>
        <v>0</v>
      </c>
    </row>
    <row r="8143" spans="1:3" x14ac:dyDescent="0.2">
      <c r="A8143" s="34">
        <v>35198</v>
      </c>
      <c r="B8143">
        <v>1.517455</v>
      </c>
      <c r="C8143">
        <f t="shared" si="132"/>
        <v>0</v>
      </c>
    </row>
    <row r="8144" spans="1:3" x14ac:dyDescent="0.2">
      <c r="A8144" s="34">
        <v>35197</v>
      </c>
      <c r="B8144">
        <v>1.516545</v>
      </c>
      <c r="C8144">
        <f t="shared" si="132"/>
        <v>0</v>
      </c>
    </row>
    <row r="8145" spans="1:3" x14ac:dyDescent="0.2">
      <c r="A8145" s="34">
        <v>35196</v>
      </c>
      <c r="B8145">
        <v>1.515636</v>
      </c>
      <c r="C8145">
        <f t="shared" si="132"/>
        <v>0</v>
      </c>
    </row>
    <row r="8146" spans="1:3" x14ac:dyDescent="0.2">
      <c r="A8146" s="34">
        <v>35195</v>
      </c>
      <c r="B8146">
        <v>1.5147269999999999</v>
      </c>
      <c r="C8146">
        <f t="shared" si="132"/>
        <v>0</v>
      </c>
    </row>
    <row r="8147" spans="1:3" x14ac:dyDescent="0.2">
      <c r="A8147" s="34">
        <v>35194</v>
      </c>
      <c r="B8147">
        <v>1.51295</v>
      </c>
      <c r="C8147">
        <f t="shared" si="132"/>
        <v>0</v>
      </c>
    </row>
    <row r="8148" spans="1:3" x14ac:dyDescent="0.2">
      <c r="A8148" s="34">
        <v>35193</v>
      </c>
      <c r="B8148">
        <v>1.511174</v>
      </c>
      <c r="C8148">
        <f t="shared" si="132"/>
        <v>0</v>
      </c>
    </row>
    <row r="8149" spans="1:3" x14ac:dyDescent="0.2">
      <c r="A8149" s="34">
        <v>35192</v>
      </c>
      <c r="B8149">
        <v>1.509401</v>
      </c>
      <c r="C8149">
        <f t="shared" si="132"/>
        <v>0</v>
      </c>
    </row>
    <row r="8150" spans="1:3" x14ac:dyDescent="0.2">
      <c r="A8150" s="34">
        <v>35191</v>
      </c>
      <c r="B8150">
        <v>1.5076290000000001</v>
      </c>
      <c r="C8150">
        <f t="shared" si="132"/>
        <v>0</v>
      </c>
    </row>
    <row r="8151" spans="1:3" x14ac:dyDescent="0.2">
      <c r="A8151" s="34">
        <v>35190</v>
      </c>
      <c r="B8151">
        <v>1.50586</v>
      </c>
      <c r="C8151">
        <f t="shared" si="132"/>
        <v>0</v>
      </c>
    </row>
    <row r="8152" spans="1:3" x14ac:dyDescent="0.2">
      <c r="A8152" s="34">
        <v>35189</v>
      </c>
      <c r="B8152">
        <v>1.5040929999999999</v>
      </c>
      <c r="C8152">
        <f t="shared" si="132"/>
        <v>0</v>
      </c>
    </row>
    <row r="8153" spans="1:3" x14ac:dyDescent="0.2">
      <c r="A8153" s="34">
        <v>35188</v>
      </c>
      <c r="B8153">
        <v>1.502327</v>
      </c>
      <c r="C8153">
        <f t="shared" si="132"/>
        <v>0</v>
      </c>
    </row>
    <row r="8154" spans="1:3" x14ac:dyDescent="0.2">
      <c r="A8154" s="34">
        <v>35187</v>
      </c>
      <c r="B8154">
        <v>1.500564</v>
      </c>
      <c r="C8154">
        <f t="shared" si="132"/>
        <v>0</v>
      </c>
    </row>
    <row r="8155" spans="1:3" x14ac:dyDescent="0.2">
      <c r="A8155" s="34">
        <v>35186</v>
      </c>
      <c r="B8155">
        <v>1.4988030000000001</v>
      </c>
      <c r="C8155">
        <f t="shared" si="132"/>
        <v>0</v>
      </c>
    </row>
    <row r="8156" spans="1:3" x14ac:dyDescent="0.2">
      <c r="A8156" s="34">
        <v>35185</v>
      </c>
      <c r="B8156">
        <v>1.497044</v>
      </c>
      <c r="C8156">
        <f t="shared" si="132"/>
        <v>0</v>
      </c>
    </row>
    <row r="8157" spans="1:3" x14ac:dyDescent="0.2">
      <c r="A8157" s="34">
        <v>35184</v>
      </c>
      <c r="B8157">
        <v>1.495288</v>
      </c>
      <c r="C8157">
        <f t="shared" si="132"/>
        <v>0</v>
      </c>
    </row>
    <row r="8158" spans="1:3" x14ac:dyDescent="0.2">
      <c r="A8158" s="34">
        <v>35183</v>
      </c>
      <c r="B8158">
        <v>1.493533</v>
      </c>
      <c r="C8158">
        <f t="shared" si="132"/>
        <v>0</v>
      </c>
    </row>
    <row r="8159" spans="1:3" x14ac:dyDescent="0.2">
      <c r="A8159" s="34">
        <v>35182</v>
      </c>
      <c r="B8159">
        <v>1.4917800000000001</v>
      </c>
      <c r="C8159">
        <f t="shared" si="132"/>
        <v>0</v>
      </c>
    </row>
    <row r="8160" spans="1:3" x14ac:dyDescent="0.2">
      <c r="A8160" s="34">
        <v>35181</v>
      </c>
      <c r="B8160">
        <v>1.490029</v>
      </c>
      <c r="C8160">
        <f t="shared" si="132"/>
        <v>0</v>
      </c>
    </row>
    <row r="8161" spans="1:3" x14ac:dyDescent="0.2">
      <c r="A8161" s="34">
        <v>35180</v>
      </c>
      <c r="B8161">
        <v>1.488281</v>
      </c>
      <c r="C8161">
        <f t="shared" si="132"/>
        <v>0</v>
      </c>
    </row>
    <row r="8162" spans="1:3" x14ac:dyDescent="0.2">
      <c r="A8162" s="34">
        <v>35179</v>
      </c>
      <c r="B8162">
        <v>1.4871049999999999</v>
      </c>
      <c r="C8162">
        <f t="shared" si="132"/>
        <v>0</v>
      </c>
    </row>
    <row r="8163" spans="1:3" x14ac:dyDescent="0.2">
      <c r="A8163" s="34">
        <v>35178</v>
      </c>
      <c r="B8163">
        <v>1.4859309999999999</v>
      </c>
      <c r="C8163">
        <f t="shared" si="132"/>
        <v>0</v>
      </c>
    </row>
    <row r="8164" spans="1:3" x14ac:dyDescent="0.2">
      <c r="A8164" s="34">
        <v>35177</v>
      </c>
      <c r="B8164">
        <v>1.4847570000000001</v>
      </c>
      <c r="C8164">
        <f t="shared" si="132"/>
        <v>0</v>
      </c>
    </row>
    <row r="8165" spans="1:3" x14ac:dyDescent="0.2">
      <c r="A8165" s="34">
        <v>35176</v>
      </c>
      <c r="B8165">
        <v>1.483584</v>
      </c>
      <c r="C8165">
        <f t="shared" si="132"/>
        <v>0</v>
      </c>
    </row>
    <row r="8166" spans="1:3" x14ac:dyDescent="0.2">
      <c r="A8166" s="34">
        <v>35175</v>
      </c>
      <c r="B8166">
        <v>1.4824120000000001</v>
      </c>
      <c r="C8166">
        <f t="shared" si="132"/>
        <v>0</v>
      </c>
    </row>
    <row r="8167" spans="1:3" x14ac:dyDescent="0.2">
      <c r="A8167" s="34">
        <v>35174</v>
      </c>
      <c r="B8167">
        <v>1.4812419999999999</v>
      </c>
      <c r="C8167">
        <f t="shared" si="132"/>
        <v>0</v>
      </c>
    </row>
    <row r="8168" spans="1:3" x14ac:dyDescent="0.2">
      <c r="A8168" s="34">
        <v>35173</v>
      </c>
      <c r="B8168">
        <v>1.4800720000000001</v>
      </c>
      <c r="C8168">
        <f t="shared" si="132"/>
        <v>0</v>
      </c>
    </row>
    <row r="8169" spans="1:3" x14ac:dyDescent="0.2">
      <c r="A8169" s="34">
        <v>35172</v>
      </c>
      <c r="B8169">
        <v>1.4789030000000001</v>
      </c>
      <c r="C8169">
        <f t="shared" si="132"/>
        <v>0</v>
      </c>
    </row>
    <row r="8170" spans="1:3" x14ac:dyDescent="0.2">
      <c r="A8170" s="34">
        <v>35171</v>
      </c>
      <c r="B8170">
        <v>1.477735</v>
      </c>
      <c r="C8170">
        <f t="shared" si="132"/>
        <v>0</v>
      </c>
    </row>
    <row r="8171" spans="1:3" x14ac:dyDescent="0.2">
      <c r="A8171" s="34">
        <v>35170</v>
      </c>
      <c r="B8171">
        <v>1.476567</v>
      </c>
      <c r="C8171">
        <f t="shared" si="132"/>
        <v>0</v>
      </c>
    </row>
    <row r="8172" spans="1:3" x14ac:dyDescent="0.2">
      <c r="A8172" s="34">
        <v>35169</v>
      </c>
      <c r="B8172">
        <v>1.475401</v>
      </c>
      <c r="C8172">
        <f t="shared" si="132"/>
        <v>0</v>
      </c>
    </row>
    <row r="8173" spans="1:3" x14ac:dyDescent="0.2">
      <c r="A8173" s="34">
        <v>35168</v>
      </c>
      <c r="B8173">
        <v>1.4742360000000001</v>
      </c>
      <c r="C8173">
        <f t="shared" si="132"/>
        <v>0</v>
      </c>
    </row>
    <row r="8174" spans="1:3" x14ac:dyDescent="0.2">
      <c r="A8174" s="34">
        <v>35167</v>
      </c>
      <c r="B8174">
        <v>1.473071</v>
      </c>
      <c r="C8174">
        <f t="shared" si="132"/>
        <v>0</v>
      </c>
    </row>
    <row r="8175" spans="1:3" x14ac:dyDescent="0.2">
      <c r="A8175" s="34">
        <v>35166</v>
      </c>
      <c r="B8175">
        <v>1.471908</v>
      </c>
      <c r="C8175">
        <f t="shared" si="132"/>
        <v>0</v>
      </c>
    </row>
    <row r="8176" spans="1:3" x14ac:dyDescent="0.2">
      <c r="A8176" s="34">
        <v>35165</v>
      </c>
      <c r="B8176">
        <v>1.470745</v>
      </c>
      <c r="C8176">
        <f t="shared" si="132"/>
        <v>0</v>
      </c>
    </row>
    <row r="8177" spans="1:3" x14ac:dyDescent="0.2">
      <c r="A8177" s="34">
        <v>35164</v>
      </c>
      <c r="B8177">
        <v>1.4697629999999999</v>
      </c>
      <c r="C8177">
        <f t="shared" si="132"/>
        <v>0</v>
      </c>
    </row>
    <row r="8178" spans="1:3" x14ac:dyDescent="0.2">
      <c r="A8178" s="34">
        <v>35163</v>
      </c>
      <c r="B8178">
        <v>1.46878</v>
      </c>
      <c r="C8178">
        <f t="shared" si="132"/>
        <v>0</v>
      </c>
    </row>
    <row r="8179" spans="1:3" x14ac:dyDescent="0.2">
      <c r="A8179" s="34">
        <v>35162</v>
      </c>
      <c r="B8179">
        <v>1.4677990000000001</v>
      </c>
      <c r="C8179">
        <f t="shared" si="132"/>
        <v>0</v>
      </c>
    </row>
    <row r="8180" spans="1:3" x14ac:dyDescent="0.2">
      <c r="A8180" s="34">
        <v>35161</v>
      </c>
      <c r="B8180">
        <v>1.466818</v>
      </c>
      <c r="C8180">
        <f t="shared" si="132"/>
        <v>0</v>
      </c>
    </row>
    <row r="8181" spans="1:3" x14ac:dyDescent="0.2">
      <c r="A8181" s="34">
        <v>35160</v>
      </c>
      <c r="B8181">
        <v>1.465838</v>
      </c>
      <c r="C8181">
        <f t="shared" si="132"/>
        <v>0</v>
      </c>
    </row>
    <row r="8182" spans="1:3" x14ac:dyDescent="0.2">
      <c r="A8182" s="34">
        <v>35159</v>
      </c>
      <c r="B8182">
        <v>1.464858</v>
      </c>
      <c r="C8182">
        <f t="shared" si="132"/>
        <v>0</v>
      </c>
    </row>
    <row r="8183" spans="1:3" x14ac:dyDescent="0.2">
      <c r="A8183" s="34">
        <v>35158</v>
      </c>
      <c r="B8183">
        <v>1.4638789999999999</v>
      </c>
      <c r="C8183">
        <f t="shared" si="132"/>
        <v>0</v>
      </c>
    </row>
    <row r="8184" spans="1:3" x14ac:dyDescent="0.2">
      <c r="A8184" s="34">
        <v>35157</v>
      </c>
      <c r="B8184">
        <v>1.462901</v>
      </c>
      <c r="C8184">
        <f t="shared" si="132"/>
        <v>0</v>
      </c>
    </row>
    <row r="8185" spans="1:3" x14ac:dyDescent="0.2">
      <c r="A8185" s="34">
        <v>35156</v>
      </c>
      <c r="B8185">
        <v>1.4619230000000001</v>
      </c>
      <c r="C8185">
        <f t="shared" si="132"/>
        <v>0</v>
      </c>
    </row>
    <row r="8186" spans="1:3" x14ac:dyDescent="0.2">
      <c r="A8186" s="34">
        <v>35155</v>
      </c>
      <c r="B8186">
        <v>1.4609460000000001</v>
      </c>
      <c r="C8186">
        <f t="shared" si="132"/>
        <v>0</v>
      </c>
    </row>
    <row r="8187" spans="1:3" x14ac:dyDescent="0.2">
      <c r="A8187" s="34">
        <v>35154</v>
      </c>
      <c r="B8187">
        <v>1.45997</v>
      </c>
      <c r="C8187">
        <f t="shared" si="132"/>
        <v>0</v>
      </c>
    </row>
    <row r="8188" spans="1:3" x14ac:dyDescent="0.2">
      <c r="A8188" s="34">
        <v>35153</v>
      </c>
      <c r="B8188">
        <v>1.458995</v>
      </c>
      <c r="C8188">
        <f t="shared" si="132"/>
        <v>0</v>
      </c>
    </row>
    <row r="8189" spans="1:3" x14ac:dyDescent="0.2">
      <c r="A8189" s="34">
        <v>35152</v>
      </c>
      <c r="B8189">
        <v>1.4580200000000001</v>
      </c>
      <c r="C8189">
        <f t="shared" si="132"/>
        <v>0</v>
      </c>
    </row>
    <row r="8190" spans="1:3" x14ac:dyDescent="0.2">
      <c r="A8190" s="34">
        <v>35151</v>
      </c>
      <c r="B8190">
        <v>1.4570449999999999</v>
      </c>
      <c r="C8190">
        <f t="shared" si="132"/>
        <v>0</v>
      </c>
    </row>
    <row r="8191" spans="1:3" x14ac:dyDescent="0.2">
      <c r="A8191" s="34">
        <v>35150</v>
      </c>
      <c r="B8191">
        <v>1.456072</v>
      </c>
      <c r="C8191">
        <f t="shared" si="132"/>
        <v>0</v>
      </c>
    </row>
    <row r="8192" spans="1:3" x14ac:dyDescent="0.2">
      <c r="A8192" s="34">
        <v>35149</v>
      </c>
      <c r="B8192">
        <v>1.455098</v>
      </c>
      <c r="C8192">
        <f t="shared" si="132"/>
        <v>0</v>
      </c>
    </row>
    <row r="8193" spans="1:3" x14ac:dyDescent="0.2">
      <c r="A8193" s="34">
        <v>35148</v>
      </c>
      <c r="B8193">
        <v>1.454099</v>
      </c>
      <c r="C8193">
        <f t="shared" si="132"/>
        <v>0</v>
      </c>
    </row>
    <row r="8194" spans="1:3" x14ac:dyDescent="0.2">
      <c r="A8194" s="34">
        <v>35147</v>
      </c>
      <c r="B8194">
        <v>1.4531000000000001</v>
      </c>
      <c r="C8194">
        <f t="shared" ref="C8194:C8257" si="133">IFERROR(VLOOKUP(A8194,$M$2:$N$3695,2,0),C8195)</f>
        <v>0</v>
      </c>
    </row>
    <row r="8195" spans="1:3" x14ac:dyDescent="0.2">
      <c r="A8195" s="34">
        <v>35146</v>
      </c>
      <c r="B8195">
        <v>1.4521010000000001</v>
      </c>
      <c r="C8195">
        <f t="shared" si="133"/>
        <v>0</v>
      </c>
    </row>
    <row r="8196" spans="1:3" x14ac:dyDescent="0.2">
      <c r="A8196" s="34">
        <v>35145</v>
      </c>
      <c r="B8196">
        <v>1.4511039999999999</v>
      </c>
      <c r="C8196">
        <f t="shared" si="133"/>
        <v>0</v>
      </c>
    </row>
    <row r="8197" spans="1:3" x14ac:dyDescent="0.2">
      <c r="A8197" s="34">
        <v>35144</v>
      </c>
      <c r="B8197">
        <v>1.450107</v>
      </c>
      <c r="C8197">
        <f t="shared" si="133"/>
        <v>0</v>
      </c>
    </row>
    <row r="8198" spans="1:3" x14ac:dyDescent="0.2">
      <c r="A8198" s="34">
        <v>35143</v>
      </c>
      <c r="B8198">
        <v>1.4491099999999999</v>
      </c>
      <c r="C8198">
        <f t="shared" si="133"/>
        <v>0</v>
      </c>
    </row>
    <row r="8199" spans="1:3" x14ac:dyDescent="0.2">
      <c r="A8199" s="34">
        <v>35142</v>
      </c>
      <c r="B8199">
        <v>1.448115</v>
      </c>
      <c r="C8199">
        <f t="shared" si="133"/>
        <v>0</v>
      </c>
    </row>
    <row r="8200" spans="1:3" x14ac:dyDescent="0.2">
      <c r="A8200" s="34">
        <v>35141</v>
      </c>
      <c r="B8200">
        <v>1.44712</v>
      </c>
      <c r="C8200">
        <f t="shared" si="133"/>
        <v>0</v>
      </c>
    </row>
    <row r="8201" spans="1:3" x14ac:dyDescent="0.2">
      <c r="A8201" s="34">
        <v>35140</v>
      </c>
      <c r="B8201">
        <v>1.4461250000000001</v>
      </c>
      <c r="C8201">
        <f t="shared" si="133"/>
        <v>0</v>
      </c>
    </row>
    <row r="8202" spans="1:3" x14ac:dyDescent="0.2">
      <c r="A8202" s="34">
        <v>35139</v>
      </c>
      <c r="B8202">
        <v>1.4451320000000001</v>
      </c>
      <c r="C8202">
        <f t="shared" si="133"/>
        <v>0</v>
      </c>
    </row>
    <row r="8203" spans="1:3" x14ac:dyDescent="0.2">
      <c r="A8203" s="34">
        <v>35138</v>
      </c>
      <c r="B8203">
        <v>1.4441390000000001</v>
      </c>
      <c r="C8203">
        <f t="shared" si="133"/>
        <v>0</v>
      </c>
    </row>
    <row r="8204" spans="1:3" x14ac:dyDescent="0.2">
      <c r="A8204" s="34">
        <v>35137</v>
      </c>
      <c r="B8204">
        <v>1.443147</v>
      </c>
      <c r="C8204">
        <f t="shared" si="133"/>
        <v>0</v>
      </c>
    </row>
    <row r="8205" spans="1:3" x14ac:dyDescent="0.2">
      <c r="A8205" s="34">
        <v>35136</v>
      </c>
      <c r="B8205">
        <v>1.4421550000000001</v>
      </c>
      <c r="C8205">
        <f t="shared" si="133"/>
        <v>0</v>
      </c>
    </row>
    <row r="8206" spans="1:3" x14ac:dyDescent="0.2">
      <c r="A8206" s="34">
        <v>35135</v>
      </c>
      <c r="B8206">
        <v>1.4411639999999999</v>
      </c>
      <c r="C8206">
        <f t="shared" si="133"/>
        <v>0</v>
      </c>
    </row>
    <row r="8207" spans="1:3" x14ac:dyDescent="0.2">
      <c r="A8207" s="34">
        <v>35134</v>
      </c>
      <c r="B8207">
        <v>1.4401740000000001</v>
      </c>
      <c r="C8207">
        <f t="shared" si="133"/>
        <v>0</v>
      </c>
    </row>
    <row r="8208" spans="1:3" x14ac:dyDescent="0.2">
      <c r="A8208" s="34">
        <v>35133</v>
      </c>
      <c r="B8208">
        <v>1.4389289999999999</v>
      </c>
      <c r="C8208">
        <f t="shared" si="133"/>
        <v>0</v>
      </c>
    </row>
    <row r="8209" spans="1:3" x14ac:dyDescent="0.2">
      <c r="A8209" s="34">
        <v>35132</v>
      </c>
      <c r="B8209">
        <v>1.4376850000000001</v>
      </c>
      <c r="C8209">
        <f t="shared" si="133"/>
        <v>0</v>
      </c>
    </row>
    <row r="8210" spans="1:3" x14ac:dyDescent="0.2">
      <c r="A8210" s="34">
        <v>35131</v>
      </c>
      <c r="B8210">
        <v>1.436442</v>
      </c>
      <c r="C8210">
        <f t="shared" si="133"/>
        <v>0</v>
      </c>
    </row>
    <row r="8211" spans="1:3" x14ac:dyDescent="0.2">
      <c r="A8211" s="34">
        <v>35130</v>
      </c>
      <c r="B8211">
        <v>1.4352</v>
      </c>
      <c r="C8211">
        <f t="shared" si="133"/>
        <v>0</v>
      </c>
    </row>
    <row r="8212" spans="1:3" x14ac:dyDescent="0.2">
      <c r="A8212" s="34">
        <v>35129</v>
      </c>
      <c r="B8212">
        <v>1.433959</v>
      </c>
      <c r="C8212">
        <f t="shared" si="133"/>
        <v>0</v>
      </c>
    </row>
    <row r="8213" spans="1:3" x14ac:dyDescent="0.2">
      <c r="A8213" s="34">
        <v>35128</v>
      </c>
      <c r="B8213">
        <v>1.4327190000000001</v>
      </c>
      <c r="C8213">
        <f t="shared" si="133"/>
        <v>0</v>
      </c>
    </row>
    <row r="8214" spans="1:3" x14ac:dyDescent="0.2">
      <c r="A8214" s="34">
        <v>35127</v>
      </c>
      <c r="B8214">
        <v>1.4314800000000001</v>
      </c>
      <c r="C8214">
        <f t="shared" si="133"/>
        <v>0</v>
      </c>
    </row>
    <row r="8215" spans="1:3" x14ac:dyDescent="0.2">
      <c r="A8215" s="34">
        <v>35126</v>
      </c>
      <c r="B8215">
        <v>1.430242</v>
      </c>
      <c r="C8215">
        <f t="shared" si="133"/>
        <v>0</v>
      </c>
    </row>
    <row r="8216" spans="1:3" x14ac:dyDescent="0.2">
      <c r="A8216" s="34">
        <v>35125</v>
      </c>
      <c r="B8216">
        <v>1.429006</v>
      </c>
      <c r="C8216">
        <f t="shared" si="133"/>
        <v>0</v>
      </c>
    </row>
    <row r="8217" spans="1:3" x14ac:dyDescent="0.2">
      <c r="A8217" s="34">
        <v>35124</v>
      </c>
      <c r="B8217">
        <v>1.42777</v>
      </c>
      <c r="C8217">
        <f t="shared" si="133"/>
        <v>0</v>
      </c>
    </row>
    <row r="8218" spans="1:3" x14ac:dyDescent="0.2">
      <c r="A8218" s="34">
        <v>35123</v>
      </c>
      <c r="B8218">
        <v>1.426536</v>
      </c>
      <c r="C8218">
        <f t="shared" si="133"/>
        <v>0</v>
      </c>
    </row>
    <row r="8219" spans="1:3" x14ac:dyDescent="0.2">
      <c r="A8219" s="34">
        <v>35122</v>
      </c>
      <c r="B8219">
        <v>1.4253020000000001</v>
      </c>
      <c r="C8219">
        <f t="shared" si="133"/>
        <v>0</v>
      </c>
    </row>
    <row r="8220" spans="1:3" x14ac:dyDescent="0.2">
      <c r="A8220" s="34">
        <v>35121</v>
      </c>
      <c r="B8220">
        <v>1.4240699999999999</v>
      </c>
      <c r="C8220">
        <f t="shared" si="133"/>
        <v>0</v>
      </c>
    </row>
    <row r="8221" spans="1:3" x14ac:dyDescent="0.2">
      <c r="A8221" s="34">
        <v>35120</v>
      </c>
      <c r="B8221">
        <v>1.422839</v>
      </c>
      <c r="C8221">
        <f t="shared" si="133"/>
        <v>0</v>
      </c>
    </row>
    <row r="8222" spans="1:3" x14ac:dyDescent="0.2">
      <c r="A8222" s="34">
        <v>35119</v>
      </c>
      <c r="B8222">
        <v>1.421737</v>
      </c>
      <c r="C8222">
        <f t="shared" si="133"/>
        <v>0</v>
      </c>
    </row>
    <row r="8223" spans="1:3" x14ac:dyDescent="0.2">
      <c r="A8223" s="34">
        <v>35118</v>
      </c>
      <c r="B8223">
        <v>1.4206369999999999</v>
      </c>
      <c r="C8223">
        <f t="shared" si="133"/>
        <v>0</v>
      </c>
    </row>
    <row r="8224" spans="1:3" x14ac:dyDescent="0.2">
      <c r="A8224" s="34">
        <v>35117</v>
      </c>
      <c r="B8224">
        <v>1.419537</v>
      </c>
      <c r="C8224">
        <f t="shared" si="133"/>
        <v>0</v>
      </c>
    </row>
    <row r="8225" spans="1:3" x14ac:dyDescent="0.2">
      <c r="A8225" s="34">
        <v>35116</v>
      </c>
      <c r="B8225">
        <v>1.418439</v>
      </c>
      <c r="C8225">
        <f t="shared" si="133"/>
        <v>0</v>
      </c>
    </row>
    <row r="8226" spans="1:3" x14ac:dyDescent="0.2">
      <c r="A8226" s="34">
        <v>35115</v>
      </c>
      <c r="B8226">
        <v>1.417341</v>
      </c>
      <c r="C8226">
        <f t="shared" si="133"/>
        <v>0</v>
      </c>
    </row>
    <row r="8227" spans="1:3" x14ac:dyDescent="0.2">
      <c r="A8227" s="34">
        <v>35114</v>
      </c>
      <c r="B8227">
        <v>1.4162440000000001</v>
      </c>
      <c r="C8227">
        <f t="shared" si="133"/>
        <v>0</v>
      </c>
    </row>
    <row r="8228" spans="1:3" x14ac:dyDescent="0.2">
      <c r="A8228" s="34">
        <v>35113</v>
      </c>
      <c r="B8228">
        <v>1.4151480000000001</v>
      </c>
      <c r="C8228">
        <f t="shared" si="133"/>
        <v>0</v>
      </c>
    </row>
    <row r="8229" spans="1:3" x14ac:dyDescent="0.2">
      <c r="A8229" s="34">
        <v>35112</v>
      </c>
      <c r="B8229">
        <v>1.4140520000000001</v>
      </c>
      <c r="C8229">
        <f t="shared" si="133"/>
        <v>0</v>
      </c>
    </row>
    <row r="8230" spans="1:3" x14ac:dyDescent="0.2">
      <c r="A8230" s="34">
        <v>35111</v>
      </c>
      <c r="B8230">
        <v>1.4129579999999999</v>
      </c>
      <c r="C8230">
        <f t="shared" si="133"/>
        <v>0</v>
      </c>
    </row>
    <row r="8231" spans="1:3" x14ac:dyDescent="0.2">
      <c r="A8231" s="34">
        <v>35110</v>
      </c>
      <c r="B8231">
        <v>1.411864</v>
      </c>
      <c r="C8231">
        <f t="shared" si="133"/>
        <v>0</v>
      </c>
    </row>
    <row r="8232" spans="1:3" x14ac:dyDescent="0.2">
      <c r="A8232" s="34">
        <v>35109</v>
      </c>
      <c r="B8232">
        <v>1.410771</v>
      </c>
      <c r="C8232">
        <f t="shared" si="133"/>
        <v>0</v>
      </c>
    </row>
    <row r="8233" spans="1:3" x14ac:dyDescent="0.2">
      <c r="A8233" s="34">
        <v>35108</v>
      </c>
      <c r="B8233">
        <v>1.4096789999999999</v>
      </c>
      <c r="C8233">
        <f t="shared" si="133"/>
        <v>0</v>
      </c>
    </row>
    <row r="8234" spans="1:3" x14ac:dyDescent="0.2">
      <c r="A8234" s="34">
        <v>35107</v>
      </c>
      <c r="B8234">
        <v>1.408588</v>
      </c>
      <c r="C8234">
        <f t="shared" si="133"/>
        <v>0</v>
      </c>
    </row>
    <row r="8235" spans="1:3" x14ac:dyDescent="0.2">
      <c r="A8235" s="34">
        <v>35106</v>
      </c>
      <c r="B8235">
        <v>1.4074979999999999</v>
      </c>
      <c r="C8235">
        <f t="shared" si="133"/>
        <v>0</v>
      </c>
    </row>
    <row r="8236" spans="1:3" x14ac:dyDescent="0.2">
      <c r="A8236" s="34">
        <v>35105</v>
      </c>
      <c r="B8236">
        <v>1.406409</v>
      </c>
      <c r="C8236">
        <f t="shared" si="133"/>
        <v>0</v>
      </c>
    </row>
    <row r="8237" spans="1:3" x14ac:dyDescent="0.2">
      <c r="A8237" s="34">
        <v>35104</v>
      </c>
      <c r="B8237">
        <v>1.404747</v>
      </c>
      <c r="C8237">
        <f t="shared" si="133"/>
        <v>0</v>
      </c>
    </row>
    <row r="8238" spans="1:3" x14ac:dyDescent="0.2">
      <c r="A8238" s="34">
        <v>35103</v>
      </c>
      <c r="B8238">
        <v>1.4030860000000001</v>
      </c>
      <c r="C8238">
        <f t="shared" si="133"/>
        <v>0</v>
      </c>
    </row>
    <row r="8239" spans="1:3" x14ac:dyDescent="0.2">
      <c r="A8239" s="34">
        <v>35102</v>
      </c>
      <c r="B8239">
        <v>1.4014279999999999</v>
      </c>
      <c r="C8239">
        <f t="shared" si="133"/>
        <v>0</v>
      </c>
    </row>
    <row r="8240" spans="1:3" x14ac:dyDescent="0.2">
      <c r="A8240" s="34">
        <v>35101</v>
      </c>
      <c r="B8240">
        <v>1.399772</v>
      </c>
      <c r="C8240">
        <f t="shared" si="133"/>
        <v>0</v>
      </c>
    </row>
    <row r="8241" spans="1:3" x14ac:dyDescent="0.2">
      <c r="A8241" s="34">
        <v>35100</v>
      </c>
      <c r="B8241">
        <v>1.398118</v>
      </c>
      <c r="C8241">
        <f t="shared" si="133"/>
        <v>0</v>
      </c>
    </row>
    <row r="8242" spans="1:3" x14ac:dyDescent="0.2">
      <c r="A8242" s="34">
        <v>35099</v>
      </c>
      <c r="B8242">
        <v>1.3964650000000001</v>
      </c>
      <c r="C8242">
        <f t="shared" si="133"/>
        <v>0</v>
      </c>
    </row>
    <row r="8243" spans="1:3" x14ac:dyDescent="0.2">
      <c r="A8243" s="34">
        <v>35098</v>
      </c>
      <c r="B8243">
        <v>1.3948149999999999</v>
      </c>
      <c r="C8243">
        <f t="shared" si="133"/>
        <v>0</v>
      </c>
    </row>
    <row r="8244" spans="1:3" x14ac:dyDescent="0.2">
      <c r="A8244" s="34">
        <v>35097</v>
      </c>
      <c r="B8244">
        <v>1.393167</v>
      </c>
      <c r="C8244">
        <f t="shared" si="133"/>
        <v>0</v>
      </c>
    </row>
    <row r="8245" spans="1:3" x14ac:dyDescent="0.2">
      <c r="A8245" s="34">
        <v>35096</v>
      </c>
      <c r="B8245">
        <v>1.3915200000000001</v>
      </c>
      <c r="C8245">
        <f t="shared" si="133"/>
        <v>0</v>
      </c>
    </row>
    <row r="8246" spans="1:3" x14ac:dyDescent="0.2">
      <c r="A8246" s="34">
        <v>35095</v>
      </c>
      <c r="B8246">
        <v>1.3898759999999999</v>
      </c>
      <c r="C8246">
        <f t="shared" si="133"/>
        <v>0</v>
      </c>
    </row>
    <row r="8247" spans="1:3" x14ac:dyDescent="0.2">
      <c r="A8247" s="34">
        <v>35094</v>
      </c>
      <c r="B8247">
        <v>1.3882330000000001</v>
      </c>
      <c r="C8247">
        <f t="shared" si="133"/>
        <v>0</v>
      </c>
    </row>
    <row r="8248" spans="1:3" x14ac:dyDescent="0.2">
      <c r="A8248" s="34">
        <v>35093</v>
      </c>
      <c r="B8248">
        <v>1.386592</v>
      </c>
      <c r="C8248">
        <f t="shared" si="133"/>
        <v>0</v>
      </c>
    </row>
    <row r="8249" spans="1:3" x14ac:dyDescent="0.2">
      <c r="A8249" s="34">
        <v>35092</v>
      </c>
      <c r="B8249">
        <v>1.384954</v>
      </c>
      <c r="C8249">
        <f t="shared" si="133"/>
        <v>0</v>
      </c>
    </row>
    <row r="8250" spans="1:3" x14ac:dyDescent="0.2">
      <c r="A8250" s="34">
        <v>35091</v>
      </c>
      <c r="B8250">
        <v>1.3833169999999999</v>
      </c>
      <c r="C8250">
        <f t="shared" si="133"/>
        <v>0</v>
      </c>
    </row>
    <row r="8251" spans="1:3" x14ac:dyDescent="0.2">
      <c r="A8251" s="34">
        <v>35090</v>
      </c>
      <c r="B8251">
        <v>1.3816820000000001</v>
      </c>
      <c r="C8251">
        <f t="shared" si="133"/>
        <v>0</v>
      </c>
    </row>
    <row r="8252" spans="1:3" x14ac:dyDescent="0.2">
      <c r="A8252" s="34">
        <v>35089</v>
      </c>
      <c r="B8252">
        <v>1.3800490000000001</v>
      </c>
      <c r="C8252">
        <f t="shared" si="133"/>
        <v>0</v>
      </c>
    </row>
    <row r="8253" spans="1:3" x14ac:dyDescent="0.2">
      <c r="A8253" s="34">
        <v>35088</v>
      </c>
      <c r="B8253">
        <v>1.3780950000000001</v>
      </c>
      <c r="C8253">
        <f t="shared" si="133"/>
        <v>0</v>
      </c>
    </row>
    <row r="8254" spans="1:3" x14ac:dyDescent="0.2">
      <c r="A8254" s="34">
        <v>35087</v>
      </c>
      <c r="B8254">
        <v>1.376144</v>
      </c>
      <c r="C8254">
        <f t="shared" si="133"/>
        <v>0</v>
      </c>
    </row>
    <row r="8255" spans="1:3" x14ac:dyDescent="0.2">
      <c r="A8255" s="34">
        <v>35086</v>
      </c>
      <c r="B8255">
        <v>1.3741950000000001</v>
      </c>
      <c r="C8255">
        <f t="shared" si="133"/>
        <v>0</v>
      </c>
    </row>
    <row r="8256" spans="1:3" x14ac:dyDescent="0.2">
      <c r="A8256" s="34">
        <v>35085</v>
      </c>
      <c r="B8256">
        <v>1.3722490000000001</v>
      </c>
      <c r="C8256">
        <f t="shared" si="133"/>
        <v>0</v>
      </c>
    </row>
    <row r="8257" spans="1:3" x14ac:dyDescent="0.2">
      <c r="A8257" s="34">
        <v>35084</v>
      </c>
      <c r="B8257">
        <v>1.370306</v>
      </c>
      <c r="C8257">
        <f t="shared" si="133"/>
        <v>0</v>
      </c>
    </row>
    <row r="8258" spans="1:3" x14ac:dyDescent="0.2">
      <c r="A8258" s="34">
        <v>35083</v>
      </c>
      <c r="B8258">
        <v>1.368366</v>
      </c>
      <c r="C8258">
        <f t="shared" ref="C8258:C8321" si="134">IFERROR(VLOOKUP(A8258,$M$2:$N$3695,2,0),C8259)</f>
        <v>0</v>
      </c>
    </row>
    <row r="8259" spans="1:3" x14ac:dyDescent="0.2">
      <c r="A8259" s="34">
        <v>35082</v>
      </c>
      <c r="B8259">
        <v>1.3664289999999999</v>
      </c>
      <c r="C8259">
        <f t="shared" si="134"/>
        <v>0</v>
      </c>
    </row>
    <row r="8260" spans="1:3" x14ac:dyDescent="0.2">
      <c r="A8260" s="34">
        <v>35081</v>
      </c>
      <c r="B8260">
        <v>1.3644940000000001</v>
      </c>
      <c r="C8260">
        <f t="shared" si="134"/>
        <v>0</v>
      </c>
    </row>
    <row r="8261" spans="1:3" x14ac:dyDescent="0.2">
      <c r="A8261" s="34">
        <v>35080</v>
      </c>
      <c r="B8261">
        <v>1.3625620000000001</v>
      </c>
      <c r="C8261">
        <f t="shared" si="134"/>
        <v>0</v>
      </c>
    </row>
    <row r="8262" spans="1:3" x14ac:dyDescent="0.2">
      <c r="A8262" s="34">
        <v>35079</v>
      </c>
      <c r="B8262">
        <v>1.3606320000000001</v>
      </c>
      <c r="C8262">
        <f t="shared" si="134"/>
        <v>0</v>
      </c>
    </row>
    <row r="8263" spans="1:3" x14ac:dyDescent="0.2">
      <c r="A8263" s="34">
        <v>35078</v>
      </c>
      <c r="B8263">
        <v>1.358706</v>
      </c>
      <c r="C8263">
        <f t="shared" si="134"/>
        <v>0</v>
      </c>
    </row>
    <row r="8264" spans="1:3" x14ac:dyDescent="0.2">
      <c r="A8264" s="34">
        <v>35077</v>
      </c>
      <c r="B8264">
        <v>1.3567819999999999</v>
      </c>
      <c r="C8264">
        <f t="shared" si="134"/>
        <v>0</v>
      </c>
    </row>
    <row r="8265" spans="1:3" x14ac:dyDescent="0.2">
      <c r="A8265" s="34">
        <v>35076</v>
      </c>
      <c r="B8265">
        <v>1.3548610000000001</v>
      </c>
      <c r="C8265">
        <f t="shared" si="134"/>
        <v>0</v>
      </c>
    </row>
    <row r="8266" spans="1:3" x14ac:dyDescent="0.2">
      <c r="A8266" s="34">
        <v>35075</v>
      </c>
      <c r="B8266">
        <v>1.3529420000000001</v>
      </c>
      <c r="C8266">
        <f t="shared" si="134"/>
        <v>0</v>
      </c>
    </row>
    <row r="8267" spans="1:3" x14ac:dyDescent="0.2">
      <c r="A8267" s="34">
        <v>35074</v>
      </c>
      <c r="B8267">
        <v>1.351027</v>
      </c>
      <c r="C8267">
        <f t="shared" si="134"/>
        <v>0</v>
      </c>
    </row>
    <row r="8268" spans="1:3" x14ac:dyDescent="0.2">
      <c r="A8268" s="34">
        <v>35073</v>
      </c>
      <c r="B8268">
        <v>1.349702</v>
      </c>
      <c r="C8268">
        <f t="shared" si="134"/>
        <v>0</v>
      </c>
    </row>
    <row r="8269" spans="1:3" x14ac:dyDescent="0.2">
      <c r="A8269" s="34">
        <v>35072</v>
      </c>
      <c r="B8269">
        <v>1.3483780000000001</v>
      </c>
      <c r="C8269">
        <f t="shared" si="134"/>
        <v>0</v>
      </c>
    </row>
    <row r="8270" spans="1:3" x14ac:dyDescent="0.2">
      <c r="A8270" s="34">
        <v>35071</v>
      </c>
      <c r="B8270">
        <v>1.347056</v>
      </c>
      <c r="C8270">
        <f t="shared" si="134"/>
        <v>0</v>
      </c>
    </row>
    <row r="8271" spans="1:3" x14ac:dyDescent="0.2">
      <c r="A8271" s="34">
        <v>35070</v>
      </c>
      <c r="B8271">
        <v>1.3457349999999999</v>
      </c>
      <c r="C8271">
        <f t="shared" si="134"/>
        <v>0</v>
      </c>
    </row>
    <row r="8272" spans="1:3" x14ac:dyDescent="0.2">
      <c r="A8272" s="34">
        <v>35069</v>
      </c>
      <c r="B8272">
        <v>1.3444149999999999</v>
      </c>
      <c r="C8272">
        <f t="shared" si="134"/>
        <v>0</v>
      </c>
    </row>
    <row r="8273" spans="1:3" x14ac:dyDescent="0.2">
      <c r="A8273" s="34">
        <v>35068</v>
      </c>
      <c r="B8273">
        <v>1.343097</v>
      </c>
      <c r="C8273">
        <f t="shared" si="134"/>
        <v>0</v>
      </c>
    </row>
    <row r="8274" spans="1:3" x14ac:dyDescent="0.2">
      <c r="A8274" s="34">
        <v>35067</v>
      </c>
      <c r="B8274">
        <v>1.34178</v>
      </c>
      <c r="C8274">
        <f t="shared" si="134"/>
        <v>0</v>
      </c>
    </row>
    <row r="8275" spans="1:3" x14ac:dyDescent="0.2">
      <c r="A8275" s="34">
        <v>35066</v>
      </c>
      <c r="B8275">
        <v>1.3404640000000001</v>
      </c>
      <c r="C8275">
        <f t="shared" si="134"/>
        <v>0</v>
      </c>
    </row>
    <row r="8276" spans="1:3" x14ac:dyDescent="0.2">
      <c r="A8276" s="34">
        <v>35065</v>
      </c>
      <c r="B8276">
        <v>1.3391500000000001</v>
      </c>
      <c r="C8276">
        <f t="shared" si="134"/>
        <v>0</v>
      </c>
    </row>
    <row r="8277" spans="1:3" x14ac:dyDescent="0.2">
      <c r="A8277" s="34">
        <v>35064</v>
      </c>
      <c r="B8277">
        <v>1.3378369999999999</v>
      </c>
      <c r="C8277">
        <f t="shared" si="134"/>
        <v>0</v>
      </c>
    </row>
    <row r="8278" spans="1:3" x14ac:dyDescent="0.2">
      <c r="A8278" s="34">
        <v>35063</v>
      </c>
      <c r="B8278">
        <v>1.336525</v>
      </c>
      <c r="C8278">
        <f t="shared" si="134"/>
        <v>0</v>
      </c>
    </row>
    <row r="8279" spans="1:3" x14ac:dyDescent="0.2">
      <c r="A8279" s="34">
        <v>35062</v>
      </c>
      <c r="B8279">
        <v>1.3352139999999999</v>
      </c>
      <c r="C8279">
        <f t="shared" si="134"/>
        <v>0</v>
      </c>
    </row>
    <row r="8280" spans="1:3" x14ac:dyDescent="0.2">
      <c r="A8280" s="34">
        <v>35061</v>
      </c>
      <c r="B8280">
        <v>1.3339049999999999</v>
      </c>
      <c r="C8280">
        <f t="shared" si="134"/>
        <v>0</v>
      </c>
    </row>
    <row r="8281" spans="1:3" x14ac:dyDescent="0.2">
      <c r="A8281" s="34">
        <v>35060</v>
      </c>
      <c r="B8281">
        <v>1.332597</v>
      </c>
      <c r="C8281">
        <f t="shared" si="134"/>
        <v>0</v>
      </c>
    </row>
    <row r="8282" spans="1:3" x14ac:dyDescent="0.2">
      <c r="A8282" s="34">
        <v>35059</v>
      </c>
      <c r="B8282">
        <v>1.3312900000000001</v>
      </c>
      <c r="C8282">
        <f t="shared" si="134"/>
        <v>0</v>
      </c>
    </row>
    <row r="8283" spans="1:3" x14ac:dyDescent="0.2">
      <c r="A8283" s="34">
        <v>35058</v>
      </c>
      <c r="B8283">
        <v>1.3299840000000001</v>
      </c>
      <c r="C8283">
        <f t="shared" si="134"/>
        <v>0</v>
      </c>
    </row>
    <row r="8284" spans="1:3" x14ac:dyDescent="0.2">
      <c r="A8284" s="34">
        <v>35057</v>
      </c>
      <c r="B8284">
        <v>1.3289740000000001</v>
      </c>
      <c r="C8284">
        <f t="shared" si="134"/>
        <v>0</v>
      </c>
    </row>
    <row r="8285" spans="1:3" x14ac:dyDescent="0.2">
      <c r="A8285" s="34">
        <v>35056</v>
      </c>
      <c r="B8285">
        <v>1.3279650000000001</v>
      </c>
      <c r="C8285">
        <f t="shared" si="134"/>
        <v>0</v>
      </c>
    </row>
    <row r="8286" spans="1:3" x14ac:dyDescent="0.2">
      <c r="A8286" s="34">
        <v>35055</v>
      </c>
      <c r="B8286">
        <v>1.326956</v>
      </c>
      <c r="C8286">
        <f t="shared" si="134"/>
        <v>0</v>
      </c>
    </row>
    <row r="8287" spans="1:3" x14ac:dyDescent="0.2">
      <c r="A8287" s="34">
        <v>35054</v>
      </c>
      <c r="B8287">
        <v>1.3259479999999999</v>
      </c>
      <c r="C8287">
        <f t="shared" si="134"/>
        <v>0</v>
      </c>
    </row>
    <row r="8288" spans="1:3" x14ac:dyDescent="0.2">
      <c r="A8288" s="34">
        <v>35053</v>
      </c>
      <c r="B8288">
        <v>1.3249409999999999</v>
      </c>
      <c r="C8288">
        <f t="shared" si="134"/>
        <v>0</v>
      </c>
    </row>
    <row r="8289" spans="1:3" x14ac:dyDescent="0.2">
      <c r="A8289" s="34">
        <v>35052</v>
      </c>
      <c r="B8289">
        <v>1.3239350000000001</v>
      </c>
      <c r="C8289">
        <f t="shared" si="134"/>
        <v>0</v>
      </c>
    </row>
    <row r="8290" spans="1:3" x14ac:dyDescent="0.2">
      <c r="A8290" s="34">
        <v>35051</v>
      </c>
      <c r="B8290">
        <v>1.322929</v>
      </c>
      <c r="C8290">
        <f t="shared" si="134"/>
        <v>0</v>
      </c>
    </row>
    <row r="8291" spans="1:3" x14ac:dyDescent="0.2">
      <c r="A8291" s="34">
        <v>35050</v>
      </c>
      <c r="B8291">
        <v>1.3219240000000001</v>
      </c>
      <c r="C8291">
        <f t="shared" si="134"/>
        <v>0</v>
      </c>
    </row>
    <row r="8292" spans="1:3" x14ac:dyDescent="0.2">
      <c r="A8292" s="34">
        <v>35049</v>
      </c>
      <c r="B8292">
        <v>1.3209200000000001</v>
      </c>
      <c r="C8292">
        <f t="shared" si="134"/>
        <v>0</v>
      </c>
    </row>
    <row r="8293" spans="1:3" x14ac:dyDescent="0.2">
      <c r="A8293" s="34">
        <v>35048</v>
      </c>
      <c r="B8293">
        <v>1.319917</v>
      </c>
      <c r="C8293">
        <f t="shared" si="134"/>
        <v>0</v>
      </c>
    </row>
    <row r="8294" spans="1:3" x14ac:dyDescent="0.2">
      <c r="A8294" s="34">
        <v>35047</v>
      </c>
      <c r="B8294">
        <v>1.3189139999999999</v>
      </c>
      <c r="C8294">
        <f t="shared" si="134"/>
        <v>0</v>
      </c>
    </row>
    <row r="8295" spans="1:3" x14ac:dyDescent="0.2">
      <c r="A8295" s="34">
        <v>35046</v>
      </c>
      <c r="B8295">
        <v>1.3179129999999999</v>
      </c>
      <c r="C8295">
        <f t="shared" si="134"/>
        <v>0</v>
      </c>
    </row>
    <row r="8296" spans="1:3" x14ac:dyDescent="0.2">
      <c r="A8296" s="34">
        <v>35045</v>
      </c>
      <c r="B8296">
        <v>1.3169120000000001</v>
      </c>
      <c r="C8296">
        <f t="shared" si="134"/>
        <v>0</v>
      </c>
    </row>
    <row r="8297" spans="1:3" x14ac:dyDescent="0.2">
      <c r="A8297" s="34">
        <v>35044</v>
      </c>
      <c r="B8297">
        <v>1.3159110000000001</v>
      </c>
      <c r="C8297">
        <f t="shared" si="134"/>
        <v>0</v>
      </c>
    </row>
    <row r="8298" spans="1:3" x14ac:dyDescent="0.2">
      <c r="A8298" s="34">
        <v>35043</v>
      </c>
      <c r="B8298">
        <v>1.3149120000000001</v>
      </c>
      <c r="C8298">
        <f t="shared" si="134"/>
        <v>0</v>
      </c>
    </row>
    <row r="8299" spans="1:3" x14ac:dyDescent="0.2">
      <c r="A8299" s="34">
        <v>35042</v>
      </c>
      <c r="B8299">
        <v>1.313715</v>
      </c>
      <c r="C8299">
        <f t="shared" si="134"/>
        <v>0</v>
      </c>
    </row>
    <row r="8300" spans="1:3" x14ac:dyDescent="0.2">
      <c r="A8300" s="34">
        <v>35041</v>
      </c>
      <c r="B8300">
        <v>1.312519</v>
      </c>
      <c r="C8300">
        <f t="shared" si="134"/>
        <v>0</v>
      </c>
    </row>
    <row r="8301" spans="1:3" x14ac:dyDescent="0.2">
      <c r="A8301" s="34">
        <v>35040</v>
      </c>
      <c r="B8301">
        <v>1.3113239999999999</v>
      </c>
      <c r="C8301">
        <f t="shared" si="134"/>
        <v>0</v>
      </c>
    </row>
    <row r="8302" spans="1:3" x14ac:dyDescent="0.2">
      <c r="A8302" s="34">
        <v>35039</v>
      </c>
      <c r="B8302">
        <v>1.3101309999999999</v>
      </c>
      <c r="C8302">
        <f t="shared" si="134"/>
        <v>0</v>
      </c>
    </row>
    <row r="8303" spans="1:3" x14ac:dyDescent="0.2">
      <c r="A8303" s="34">
        <v>35038</v>
      </c>
      <c r="B8303">
        <v>1.3089379999999999</v>
      </c>
      <c r="C8303">
        <f t="shared" si="134"/>
        <v>0</v>
      </c>
    </row>
    <row r="8304" spans="1:3" x14ac:dyDescent="0.2">
      <c r="A8304" s="34">
        <v>35037</v>
      </c>
      <c r="B8304">
        <v>1.307747</v>
      </c>
      <c r="C8304">
        <f t="shared" si="134"/>
        <v>0</v>
      </c>
    </row>
    <row r="8305" spans="1:3" x14ac:dyDescent="0.2">
      <c r="A8305" s="34">
        <v>35036</v>
      </c>
      <c r="B8305">
        <v>1.3065560000000001</v>
      </c>
      <c r="C8305">
        <f t="shared" si="134"/>
        <v>0</v>
      </c>
    </row>
    <row r="8306" spans="1:3" x14ac:dyDescent="0.2">
      <c r="A8306" s="34">
        <v>35035</v>
      </c>
      <c r="B8306">
        <v>1.3053669999999999</v>
      </c>
      <c r="C8306">
        <f t="shared" si="134"/>
        <v>0</v>
      </c>
    </row>
    <row r="8307" spans="1:3" x14ac:dyDescent="0.2">
      <c r="A8307" s="34">
        <v>35034</v>
      </c>
      <c r="B8307">
        <v>1.304179</v>
      </c>
      <c r="C8307">
        <f t="shared" si="134"/>
        <v>0</v>
      </c>
    </row>
    <row r="8308" spans="1:3" x14ac:dyDescent="0.2">
      <c r="A8308" s="34">
        <v>35033</v>
      </c>
      <c r="B8308">
        <v>1.3029919999999999</v>
      </c>
      <c r="C8308">
        <f t="shared" si="134"/>
        <v>0</v>
      </c>
    </row>
    <row r="8309" spans="1:3" x14ac:dyDescent="0.2">
      <c r="A8309" s="34">
        <v>35032</v>
      </c>
      <c r="B8309">
        <v>1.301806</v>
      </c>
      <c r="C8309">
        <f t="shared" si="134"/>
        <v>0</v>
      </c>
    </row>
    <row r="8310" spans="1:3" x14ac:dyDescent="0.2">
      <c r="A8310" s="34">
        <v>35031</v>
      </c>
      <c r="B8310">
        <v>1.300621</v>
      </c>
      <c r="C8310">
        <f t="shared" si="134"/>
        <v>0</v>
      </c>
    </row>
    <row r="8311" spans="1:3" x14ac:dyDescent="0.2">
      <c r="A8311" s="34">
        <v>35030</v>
      </c>
      <c r="B8311">
        <v>1.299437</v>
      </c>
      <c r="C8311">
        <f t="shared" si="134"/>
        <v>0</v>
      </c>
    </row>
    <row r="8312" spans="1:3" x14ac:dyDescent="0.2">
      <c r="A8312" s="34">
        <v>35029</v>
      </c>
      <c r="B8312">
        <v>1.298254</v>
      </c>
      <c r="C8312">
        <f t="shared" si="134"/>
        <v>0</v>
      </c>
    </row>
    <row r="8313" spans="1:3" x14ac:dyDescent="0.2">
      <c r="A8313" s="34">
        <v>35028</v>
      </c>
      <c r="B8313">
        <v>1.297072</v>
      </c>
      <c r="C8313">
        <f t="shared" si="134"/>
        <v>0</v>
      </c>
    </row>
    <row r="8314" spans="1:3" x14ac:dyDescent="0.2">
      <c r="A8314" s="34">
        <v>35027</v>
      </c>
      <c r="B8314">
        <v>1.2962089999999999</v>
      </c>
      <c r="C8314">
        <f t="shared" si="134"/>
        <v>0</v>
      </c>
    </row>
    <row r="8315" spans="1:3" x14ac:dyDescent="0.2">
      <c r="A8315" s="34">
        <v>35026</v>
      </c>
      <c r="B8315">
        <v>1.2953460000000001</v>
      </c>
      <c r="C8315">
        <f t="shared" si="134"/>
        <v>0</v>
      </c>
    </row>
    <row r="8316" spans="1:3" x14ac:dyDescent="0.2">
      <c r="A8316" s="34">
        <v>35025</v>
      </c>
      <c r="B8316">
        <v>1.294484</v>
      </c>
      <c r="C8316">
        <f t="shared" si="134"/>
        <v>0</v>
      </c>
    </row>
    <row r="8317" spans="1:3" x14ac:dyDescent="0.2">
      <c r="A8317" s="34">
        <v>35024</v>
      </c>
      <c r="B8317">
        <v>1.293623</v>
      </c>
      <c r="C8317">
        <f t="shared" si="134"/>
        <v>0</v>
      </c>
    </row>
    <row r="8318" spans="1:3" x14ac:dyDescent="0.2">
      <c r="A8318" s="34">
        <v>35023</v>
      </c>
      <c r="B8318">
        <v>1.292762</v>
      </c>
      <c r="C8318">
        <f t="shared" si="134"/>
        <v>0</v>
      </c>
    </row>
    <row r="8319" spans="1:3" x14ac:dyDescent="0.2">
      <c r="A8319" s="34">
        <v>35022</v>
      </c>
      <c r="B8319">
        <v>1.291901</v>
      </c>
      <c r="C8319">
        <f t="shared" si="134"/>
        <v>0</v>
      </c>
    </row>
    <row r="8320" spans="1:3" x14ac:dyDescent="0.2">
      <c r="A8320" s="34">
        <v>35021</v>
      </c>
      <c r="B8320">
        <v>1.2910410000000001</v>
      </c>
      <c r="C8320">
        <f t="shared" si="134"/>
        <v>0</v>
      </c>
    </row>
    <row r="8321" spans="1:3" x14ac:dyDescent="0.2">
      <c r="A8321" s="34">
        <v>35020</v>
      </c>
      <c r="B8321">
        <v>1.2901819999999999</v>
      </c>
      <c r="C8321">
        <f t="shared" si="134"/>
        <v>0</v>
      </c>
    </row>
    <row r="8322" spans="1:3" x14ac:dyDescent="0.2">
      <c r="A8322" s="34">
        <v>35019</v>
      </c>
      <c r="B8322">
        <v>1.2893239999999999</v>
      </c>
      <c r="C8322">
        <f t="shared" ref="C8322:C8385" si="135">IFERROR(VLOOKUP(A8322,$M$2:$N$3695,2,0),C8323)</f>
        <v>0</v>
      </c>
    </row>
    <row r="8323" spans="1:3" x14ac:dyDescent="0.2">
      <c r="A8323" s="34">
        <v>35018</v>
      </c>
      <c r="B8323">
        <v>1.2884659999999999</v>
      </c>
      <c r="C8323">
        <f t="shared" si="135"/>
        <v>0</v>
      </c>
    </row>
    <row r="8324" spans="1:3" x14ac:dyDescent="0.2">
      <c r="A8324" s="34">
        <v>35017</v>
      </c>
      <c r="B8324">
        <v>1.2876080000000001</v>
      </c>
      <c r="C8324">
        <f t="shared" si="135"/>
        <v>0</v>
      </c>
    </row>
    <row r="8325" spans="1:3" x14ac:dyDescent="0.2">
      <c r="A8325" s="34">
        <v>35016</v>
      </c>
      <c r="B8325">
        <v>1.286751</v>
      </c>
      <c r="C8325">
        <f t="shared" si="135"/>
        <v>0</v>
      </c>
    </row>
    <row r="8326" spans="1:3" x14ac:dyDescent="0.2">
      <c r="A8326" s="34">
        <v>35015</v>
      </c>
      <c r="B8326">
        <v>1.285895</v>
      </c>
      <c r="C8326">
        <f t="shared" si="135"/>
        <v>0</v>
      </c>
    </row>
    <row r="8327" spans="1:3" x14ac:dyDescent="0.2">
      <c r="A8327" s="34">
        <v>35014</v>
      </c>
      <c r="B8327">
        <v>1.285039</v>
      </c>
      <c r="C8327">
        <f t="shared" si="135"/>
        <v>0</v>
      </c>
    </row>
    <row r="8328" spans="1:3" x14ac:dyDescent="0.2">
      <c r="A8328" s="34">
        <v>35013</v>
      </c>
      <c r="B8328">
        <v>1.284184</v>
      </c>
      <c r="C8328">
        <f t="shared" si="135"/>
        <v>0</v>
      </c>
    </row>
    <row r="8329" spans="1:3" x14ac:dyDescent="0.2">
      <c r="A8329" s="34">
        <v>35012</v>
      </c>
      <c r="B8329">
        <v>1.283309</v>
      </c>
      <c r="C8329">
        <f t="shared" si="135"/>
        <v>0</v>
      </c>
    </row>
    <row r="8330" spans="1:3" x14ac:dyDescent="0.2">
      <c r="A8330" s="34">
        <v>35011</v>
      </c>
      <c r="B8330">
        <v>1.2824340000000001</v>
      </c>
      <c r="C8330">
        <f t="shared" si="135"/>
        <v>0</v>
      </c>
    </row>
    <row r="8331" spans="1:3" x14ac:dyDescent="0.2">
      <c r="A8331" s="34">
        <v>35010</v>
      </c>
      <c r="B8331">
        <v>1.28156</v>
      </c>
      <c r="C8331">
        <f t="shared" si="135"/>
        <v>0</v>
      </c>
    </row>
    <row r="8332" spans="1:3" x14ac:dyDescent="0.2">
      <c r="A8332" s="34">
        <v>35009</v>
      </c>
      <c r="B8332">
        <v>1.280686</v>
      </c>
      <c r="C8332">
        <f t="shared" si="135"/>
        <v>0</v>
      </c>
    </row>
    <row r="8333" spans="1:3" x14ac:dyDescent="0.2">
      <c r="A8333" s="34">
        <v>35008</v>
      </c>
      <c r="B8333">
        <v>1.279814</v>
      </c>
      <c r="C8333">
        <f t="shared" si="135"/>
        <v>0</v>
      </c>
    </row>
    <row r="8334" spans="1:3" x14ac:dyDescent="0.2">
      <c r="A8334" s="34">
        <v>35007</v>
      </c>
      <c r="B8334">
        <v>1.2789410000000001</v>
      </c>
      <c r="C8334">
        <f t="shared" si="135"/>
        <v>0</v>
      </c>
    </row>
    <row r="8335" spans="1:3" x14ac:dyDescent="0.2">
      <c r="A8335" s="34">
        <v>35006</v>
      </c>
      <c r="B8335">
        <v>1.27807</v>
      </c>
      <c r="C8335">
        <f t="shared" si="135"/>
        <v>0</v>
      </c>
    </row>
    <row r="8336" spans="1:3" x14ac:dyDescent="0.2">
      <c r="A8336" s="34">
        <v>35005</v>
      </c>
      <c r="B8336">
        <v>1.277199</v>
      </c>
      <c r="C8336">
        <f t="shared" si="135"/>
        <v>0</v>
      </c>
    </row>
    <row r="8337" spans="1:3" x14ac:dyDescent="0.2">
      <c r="A8337" s="34">
        <v>35004</v>
      </c>
      <c r="B8337">
        <v>1.2763279999999999</v>
      </c>
      <c r="C8337">
        <f t="shared" si="135"/>
        <v>0</v>
      </c>
    </row>
    <row r="8338" spans="1:3" x14ac:dyDescent="0.2">
      <c r="A8338" s="34">
        <v>35003</v>
      </c>
      <c r="B8338">
        <v>1.275458</v>
      </c>
      <c r="C8338">
        <f t="shared" si="135"/>
        <v>0</v>
      </c>
    </row>
    <row r="8339" spans="1:3" x14ac:dyDescent="0.2">
      <c r="A8339" s="34">
        <v>35002</v>
      </c>
      <c r="B8339">
        <v>1.274589</v>
      </c>
      <c r="C8339">
        <f t="shared" si="135"/>
        <v>0</v>
      </c>
    </row>
    <row r="8340" spans="1:3" x14ac:dyDescent="0.2">
      <c r="A8340" s="34">
        <v>35001</v>
      </c>
      <c r="B8340">
        <v>1.27372</v>
      </c>
      <c r="C8340">
        <f t="shared" si="135"/>
        <v>0</v>
      </c>
    </row>
    <row r="8341" spans="1:3" x14ac:dyDescent="0.2">
      <c r="A8341" s="34">
        <v>35000</v>
      </c>
      <c r="B8341">
        <v>1.2728520000000001</v>
      </c>
      <c r="C8341">
        <f t="shared" si="135"/>
        <v>0</v>
      </c>
    </row>
    <row r="8342" spans="1:3" x14ac:dyDescent="0.2">
      <c r="A8342" s="34">
        <v>34999</v>
      </c>
      <c r="B8342">
        <v>1.2719849999999999</v>
      </c>
      <c r="C8342">
        <f t="shared" si="135"/>
        <v>0</v>
      </c>
    </row>
    <row r="8343" spans="1:3" x14ac:dyDescent="0.2">
      <c r="A8343" s="34">
        <v>34998</v>
      </c>
      <c r="B8343">
        <v>1.271118</v>
      </c>
      <c r="C8343">
        <f t="shared" si="135"/>
        <v>0</v>
      </c>
    </row>
    <row r="8344" spans="1:3" x14ac:dyDescent="0.2">
      <c r="A8344" s="34">
        <v>34997</v>
      </c>
      <c r="B8344">
        <v>1.270251</v>
      </c>
      <c r="C8344">
        <f t="shared" si="135"/>
        <v>0</v>
      </c>
    </row>
    <row r="8345" spans="1:3" x14ac:dyDescent="0.2">
      <c r="A8345" s="34">
        <v>34996</v>
      </c>
      <c r="B8345">
        <v>1.269496</v>
      </c>
      <c r="C8345">
        <f t="shared" si="135"/>
        <v>0</v>
      </c>
    </row>
    <row r="8346" spans="1:3" x14ac:dyDescent="0.2">
      <c r="A8346" s="34">
        <v>34995</v>
      </c>
      <c r="B8346">
        <v>1.2687409999999999</v>
      </c>
      <c r="C8346">
        <f t="shared" si="135"/>
        <v>0</v>
      </c>
    </row>
    <row r="8347" spans="1:3" x14ac:dyDescent="0.2">
      <c r="A8347" s="34">
        <v>34994</v>
      </c>
      <c r="B8347">
        <v>1.2679860000000001</v>
      </c>
      <c r="C8347">
        <f t="shared" si="135"/>
        <v>0</v>
      </c>
    </row>
    <row r="8348" spans="1:3" x14ac:dyDescent="0.2">
      <c r="A8348" s="34">
        <v>34993</v>
      </c>
      <c r="B8348">
        <v>1.2672319999999999</v>
      </c>
      <c r="C8348">
        <f t="shared" si="135"/>
        <v>0</v>
      </c>
    </row>
    <row r="8349" spans="1:3" x14ac:dyDescent="0.2">
      <c r="A8349" s="34">
        <v>34992</v>
      </c>
      <c r="B8349">
        <v>1.266478</v>
      </c>
      <c r="C8349">
        <f t="shared" si="135"/>
        <v>0</v>
      </c>
    </row>
    <row r="8350" spans="1:3" x14ac:dyDescent="0.2">
      <c r="A8350" s="34">
        <v>34991</v>
      </c>
      <c r="B8350">
        <v>1.2657240000000001</v>
      </c>
      <c r="C8350">
        <f t="shared" si="135"/>
        <v>0</v>
      </c>
    </row>
    <row r="8351" spans="1:3" x14ac:dyDescent="0.2">
      <c r="A8351" s="34">
        <v>34990</v>
      </c>
      <c r="B8351">
        <v>1.2649710000000001</v>
      </c>
      <c r="C8351">
        <f t="shared" si="135"/>
        <v>0</v>
      </c>
    </row>
    <row r="8352" spans="1:3" x14ac:dyDescent="0.2">
      <c r="A8352" s="34">
        <v>34989</v>
      </c>
      <c r="B8352">
        <v>1.264219</v>
      </c>
      <c r="C8352">
        <f t="shared" si="135"/>
        <v>0</v>
      </c>
    </row>
    <row r="8353" spans="1:3" x14ac:dyDescent="0.2">
      <c r="A8353" s="34">
        <v>34988</v>
      </c>
      <c r="B8353">
        <v>1.2634669999999999</v>
      </c>
      <c r="C8353">
        <f t="shared" si="135"/>
        <v>0</v>
      </c>
    </row>
    <row r="8354" spans="1:3" x14ac:dyDescent="0.2">
      <c r="A8354" s="34">
        <v>34987</v>
      </c>
      <c r="B8354">
        <v>1.262715</v>
      </c>
      <c r="C8354">
        <f t="shared" si="135"/>
        <v>0</v>
      </c>
    </row>
    <row r="8355" spans="1:3" x14ac:dyDescent="0.2">
      <c r="A8355" s="34">
        <v>34986</v>
      </c>
      <c r="B8355">
        <v>1.2619640000000001</v>
      </c>
      <c r="C8355">
        <f t="shared" si="135"/>
        <v>0</v>
      </c>
    </row>
    <row r="8356" spans="1:3" x14ac:dyDescent="0.2">
      <c r="A8356" s="34">
        <v>34985</v>
      </c>
      <c r="B8356">
        <v>1.2612140000000001</v>
      </c>
      <c r="C8356">
        <f t="shared" si="135"/>
        <v>0</v>
      </c>
    </row>
    <row r="8357" spans="1:3" x14ac:dyDescent="0.2">
      <c r="A8357" s="34">
        <v>34984</v>
      </c>
      <c r="B8357">
        <v>1.2604630000000001</v>
      </c>
      <c r="C8357">
        <f t="shared" si="135"/>
        <v>0</v>
      </c>
    </row>
    <row r="8358" spans="1:3" x14ac:dyDescent="0.2">
      <c r="A8358" s="34">
        <v>34983</v>
      </c>
      <c r="B8358">
        <v>1.259714</v>
      </c>
      <c r="C8358">
        <f t="shared" si="135"/>
        <v>0</v>
      </c>
    </row>
    <row r="8359" spans="1:3" x14ac:dyDescent="0.2">
      <c r="A8359" s="34">
        <v>34982</v>
      </c>
      <c r="B8359">
        <v>1.258964</v>
      </c>
      <c r="C8359">
        <f t="shared" si="135"/>
        <v>0</v>
      </c>
    </row>
    <row r="8360" spans="1:3" x14ac:dyDescent="0.2">
      <c r="A8360" s="34">
        <v>34981</v>
      </c>
      <c r="B8360">
        <v>1.2579229999999999</v>
      </c>
      <c r="C8360">
        <f t="shared" si="135"/>
        <v>0</v>
      </c>
    </row>
    <row r="8361" spans="1:3" x14ac:dyDescent="0.2">
      <c r="A8361" s="34">
        <v>34980</v>
      </c>
      <c r="B8361">
        <v>1.2568820000000001</v>
      </c>
      <c r="C8361">
        <f t="shared" si="135"/>
        <v>0</v>
      </c>
    </row>
    <row r="8362" spans="1:3" x14ac:dyDescent="0.2">
      <c r="A8362" s="34">
        <v>34979</v>
      </c>
      <c r="B8362">
        <v>1.2558419999999999</v>
      </c>
      <c r="C8362">
        <f t="shared" si="135"/>
        <v>0</v>
      </c>
    </row>
    <row r="8363" spans="1:3" x14ac:dyDescent="0.2">
      <c r="A8363" s="34">
        <v>34978</v>
      </c>
      <c r="B8363">
        <v>1.2548029999999999</v>
      </c>
      <c r="C8363">
        <f t="shared" si="135"/>
        <v>0</v>
      </c>
    </row>
    <row r="8364" spans="1:3" x14ac:dyDescent="0.2">
      <c r="A8364" s="34">
        <v>34977</v>
      </c>
      <c r="B8364">
        <v>1.253765</v>
      </c>
      <c r="C8364">
        <f t="shared" si="135"/>
        <v>0</v>
      </c>
    </row>
    <row r="8365" spans="1:3" x14ac:dyDescent="0.2">
      <c r="A8365" s="34">
        <v>34976</v>
      </c>
      <c r="B8365">
        <v>1.2527280000000001</v>
      </c>
      <c r="C8365">
        <f t="shared" si="135"/>
        <v>0</v>
      </c>
    </row>
    <row r="8366" spans="1:3" x14ac:dyDescent="0.2">
      <c r="A8366" s="34">
        <v>34975</v>
      </c>
      <c r="B8366">
        <v>1.2516910000000001</v>
      </c>
      <c r="C8366">
        <f t="shared" si="135"/>
        <v>0</v>
      </c>
    </row>
    <row r="8367" spans="1:3" x14ac:dyDescent="0.2">
      <c r="A8367" s="34">
        <v>34974</v>
      </c>
      <c r="B8367">
        <v>1.250656</v>
      </c>
      <c r="C8367">
        <f t="shared" si="135"/>
        <v>0</v>
      </c>
    </row>
    <row r="8368" spans="1:3" x14ac:dyDescent="0.2">
      <c r="A8368" s="34">
        <v>34973</v>
      </c>
      <c r="B8368">
        <v>1.2496210000000001</v>
      </c>
      <c r="C8368">
        <f t="shared" si="135"/>
        <v>0</v>
      </c>
    </row>
    <row r="8369" spans="1:3" x14ac:dyDescent="0.2">
      <c r="A8369" s="34">
        <v>34972</v>
      </c>
      <c r="B8369">
        <v>1.2485869999999999</v>
      </c>
      <c r="C8369">
        <f t="shared" si="135"/>
        <v>0</v>
      </c>
    </row>
    <row r="8370" spans="1:3" x14ac:dyDescent="0.2">
      <c r="A8370" s="34">
        <v>34971</v>
      </c>
      <c r="B8370">
        <v>1.2475540000000001</v>
      </c>
      <c r="C8370">
        <f t="shared" si="135"/>
        <v>0</v>
      </c>
    </row>
    <row r="8371" spans="1:3" x14ac:dyDescent="0.2">
      <c r="A8371" s="34">
        <v>34970</v>
      </c>
      <c r="B8371">
        <v>1.2465219999999999</v>
      </c>
      <c r="C8371">
        <f t="shared" si="135"/>
        <v>0</v>
      </c>
    </row>
    <row r="8372" spans="1:3" x14ac:dyDescent="0.2">
      <c r="A8372" s="34">
        <v>34969</v>
      </c>
      <c r="B8372">
        <v>1.2454909999999999</v>
      </c>
      <c r="C8372">
        <f t="shared" si="135"/>
        <v>0</v>
      </c>
    </row>
    <row r="8373" spans="1:3" x14ac:dyDescent="0.2">
      <c r="A8373" s="34">
        <v>34968</v>
      </c>
      <c r="B8373">
        <v>1.2444599999999999</v>
      </c>
      <c r="C8373">
        <f t="shared" si="135"/>
        <v>0</v>
      </c>
    </row>
    <row r="8374" spans="1:3" x14ac:dyDescent="0.2">
      <c r="A8374" s="34">
        <v>34967</v>
      </c>
      <c r="B8374">
        <v>1.243431</v>
      </c>
      <c r="C8374">
        <f t="shared" si="135"/>
        <v>0</v>
      </c>
    </row>
    <row r="8375" spans="1:3" x14ac:dyDescent="0.2">
      <c r="A8375" s="34">
        <v>34966</v>
      </c>
      <c r="B8375">
        <v>1.242834</v>
      </c>
      <c r="C8375">
        <f t="shared" si="135"/>
        <v>0</v>
      </c>
    </row>
    <row r="8376" spans="1:3" x14ac:dyDescent="0.2">
      <c r="A8376" s="34">
        <v>34965</v>
      </c>
      <c r="B8376">
        <v>1.242238</v>
      </c>
      <c r="C8376">
        <f t="shared" si="135"/>
        <v>0</v>
      </c>
    </row>
    <row r="8377" spans="1:3" x14ac:dyDescent="0.2">
      <c r="A8377" s="34">
        <v>34964</v>
      </c>
      <c r="B8377">
        <v>1.241641</v>
      </c>
      <c r="C8377">
        <f t="shared" si="135"/>
        <v>0</v>
      </c>
    </row>
    <row r="8378" spans="1:3" x14ac:dyDescent="0.2">
      <c r="A8378" s="34">
        <v>34963</v>
      </c>
      <c r="B8378">
        <v>1.2410460000000001</v>
      </c>
      <c r="C8378">
        <f t="shared" si="135"/>
        <v>0</v>
      </c>
    </row>
    <row r="8379" spans="1:3" x14ac:dyDescent="0.2">
      <c r="A8379" s="34">
        <v>34962</v>
      </c>
      <c r="B8379">
        <v>1.2404500000000001</v>
      </c>
      <c r="C8379">
        <f t="shared" si="135"/>
        <v>0</v>
      </c>
    </row>
    <row r="8380" spans="1:3" x14ac:dyDescent="0.2">
      <c r="A8380" s="34">
        <v>34961</v>
      </c>
      <c r="B8380">
        <v>1.2398549999999999</v>
      </c>
      <c r="C8380">
        <f t="shared" si="135"/>
        <v>0</v>
      </c>
    </row>
    <row r="8381" spans="1:3" x14ac:dyDescent="0.2">
      <c r="A8381" s="34">
        <v>34960</v>
      </c>
      <c r="B8381">
        <v>1.23926</v>
      </c>
      <c r="C8381">
        <f t="shared" si="135"/>
        <v>0</v>
      </c>
    </row>
    <row r="8382" spans="1:3" x14ac:dyDescent="0.2">
      <c r="A8382" s="34">
        <v>34959</v>
      </c>
      <c r="B8382">
        <v>1.2386649999999999</v>
      </c>
      <c r="C8382">
        <f t="shared" si="135"/>
        <v>0</v>
      </c>
    </row>
    <row r="8383" spans="1:3" x14ac:dyDescent="0.2">
      <c r="A8383" s="34">
        <v>34958</v>
      </c>
      <c r="B8383">
        <v>1.2380709999999999</v>
      </c>
      <c r="C8383">
        <f t="shared" si="135"/>
        <v>0</v>
      </c>
    </row>
    <row r="8384" spans="1:3" x14ac:dyDescent="0.2">
      <c r="A8384" s="34">
        <v>34957</v>
      </c>
      <c r="B8384">
        <v>1.2374769999999999</v>
      </c>
      <c r="C8384">
        <f t="shared" si="135"/>
        <v>0</v>
      </c>
    </row>
    <row r="8385" spans="1:3" x14ac:dyDescent="0.2">
      <c r="A8385" s="34">
        <v>34956</v>
      </c>
      <c r="B8385">
        <v>1.236883</v>
      </c>
      <c r="C8385">
        <f t="shared" si="135"/>
        <v>0</v>
      </c>
    </row>
    <row r="8386" spans="1:3" x14ac:dyDescent="0.2">
      <c r="A8386" s="34">
        <v>34955</v>
      </c>
      <c r="B8386">
        <v>1.236289</v>
      </c>
      <c r="C8386">
        <f t="shared" ref="C8386:C8449" si="136">IFERROR(VLOOKUP(A8386,$M$2:$N$3695,2,0),C8387)</f>
        <v>0</v>
      </c>
    </row>
    <row r="8387" spans="1:3" x14ac:dyDescent="0.2">
      <c r="A8387" s="34">
        <v>34954</v>
      </c>
      <c r="B8387">
        <v>1.2356959999999999</v>
      </c>
      <c r="C8387">
        <f t="shared" si="136"/>
        <v>0</v>
      </c>
    </row>
    <row r="8388" spans="1:3" x14ac:dyDescent="0.2">
      <c r="A8388" s="34">
        <v>34953</v>
      </c>
      <c r="B8388">
        <v>1.2351030000000001</v>
      </c>
      <c r="C8388">
        <f t="shared" si="136"/>
        <v>0</v>
      </c>
    </row>
    <row r="8389" spans="1:3" x14ac:dyDescent="0.2">
      <c r="A8389" s="34">
        <v>34952</v>
      </c>
      <c r="B8389">
        <v>1.2345109999999999</v>
      </c>
      <c r="C8389">
        <f t="shared" si="136"/>
        <v>0</v>
      </c>
    </row>
    <row r="8390" spans="1:3" x14ac:dyDescent="0.2">
      <c r="A8390" s="34">
        <v>34951</v>
      </c>
      <c r="B8390">
        <v>1.2338199999999999</v>
      </c>
      <c r="C8390">
        <f t="shared" si="136"/>
        <v>0</v>
      </c>
    </row>
    <row r="8391" spans="1:3" x14ac:dyDescent="0.2">
      <c r="A8391" s="34">
        <v>34950</v>
      </c>
      <c r="B8391">
        <v>1.2331289999999999</v>
      </c>
      <c r="C8391">
        <f t="shared" si="136"/>
        <v>0</v>
      </c>
    </row>
    <row r="8392" spans="1:3" x14ac:dyDescent="0.2">
      <c r="A8392" s="34">
        <v>34949</v>
      </c>
      <c r="B8392">
        <v>1.2324390000000001</v>
      </c>
      <c r="C8392">
        <f t="shared" si="136"/>
        <v>0</v>
      </c>
    </row>
    <row r="8393" spans="1:3" x14ac:dyDescent="0.2">
      <c r="A8393" s="34">
        <v>34948</v>
      </c>
      <c r="B8393">
        <v>1.231749</v>
      </c>
      <c r="C8393">
        <f t="shared" si="136"/>
        <v>0</v>
      </c>
    </row>
    <row r="8394" spans="1:3" x14ac:dyDescent="0.2">
      <c r="A8394" s="34">
        <v>34947</v>
      </c>
      <c r="B8394">
        <v>1.23106</v>
      </c>
      <c r="C8394">
        <f t="shared" si="136"/>
        <v>0</v>
      </c>
    </row>
    <row r="8395" spans="1:3" x14ac:dyDescent="0.2">
      <c r="A8395" s="34">
        <v>34946</v>
      </c>
      <c r="B8395">
        <v>1.2303710000000001</v>
      </c>
      <c r="C8395">
        <f t="shared" si="136"/>
        <v>0</v>
      </c>
    </row>
    <row r="8396" spans="1:3" x14ac:dyDescent="0.2">
      <c r="A8396" s="34">
        <v>34945</v>
      </c>
      <c r="B8396">
        <v>1.2296819999999999</v>
      </c>
      <c r="C8396">
        <f t="shared" si="136"/>
        <v>0</v>
      </c>
    </row>
    <row r="8397" spans="1:3" x14ac:dyDescent="0.2">
      <c r="A8397" s="34">
        <v>34944</v>
      </c>
      <c r="B8397">
        <v>1.2289939999999999</v>
      </c>
      <c r="C8397">
        <f t="shared" si="136"/>
        <v>0</v>
      </c>
    </row>
    <row r="8398" spans="1:3" x14ac:dyDescent="0.2">
      <c r="A8398" s="34">
        <v>34943</v>
      </c>
      <c r="B8398">
        <v>1.2283059999999999</v>
      </c>
      <c r="C8398">
        <f t="shared" si="136"/>
        <v>0</v>
      </c>
    </row>
    <row r="8399" spans="1:3" x14ac:dyDescent="0.2">
      <c r="A8399" s="34">
        <v>34942</v>
      </c>
      <c r="B8399">
        <v>1.227619</v>
      </c>
      <c r="C8399">
        <f t="shared" si="136"/>
        <v>0</v>
      </c>
    </row>
    <row r="8400" spans="1:3" x14ac:dyDescent="0.2">
      <c r="A8400" s="34">
        <v>34941</v>
      </c>
      <c r="B8400">
        <v>1.2269319999999999</v>
      </c>
      <c r="C8400">
        <f t="shared" si="136"/>
        <v>0</v>
      </c>
    </row>
    <row r="8401" spans="1:3" x14ac:dyDescent="0.2">
      <c r="A8401" s="34">
        <v>34940</v>
      </c>
      <c r="B8401">
        <v>1.226245</v>
      </c>
      <c r="C8401">
        <f t="shared" si="136"/>
        <v>0</v>
      </c>
    </row>
    <row r="8402" spans="1:3" x14ac:dyDescent="0.2">
      <c r="A8402" s="34">
        <v>34939</v>
      </c>
      <c r="B8402">
        <v>1.2255590000000001</v>
      </c>
      <c r="C8402">
        <f t="shared" si="136"/>
        <v>0</v>
      </c>
    </row>
    <row r="8403" spans="1:3" x14ac:dyDescent="0.2">
      <c r="A8403" s="34">
        <v>34938</v>
      </c>
      <c r="B8403">
        <v>1.2248730000000001</v>
      </c>
      <c r="C8403">
        <f t="shared" si="136"/>
        <v>0</v>
      </c>
    </row>
    <row r="8404" spans="1:3" x14ac:dyDescent="0.2">
      <c r="A8404" s="34">
        <v>34937</v>
      </c>
      <c r="B8404">
        <v>1.2241869999999999</v>
      </c>
      <c r="C8404">
        <f t="shared" si="136"/>
        <v>0</v>
      </c>
    </row>
    <row r="8405" spans="1:3" x14ac:dyDescent="0.2">
      <c r="A8405" s="34">
        <v>34936</v>
      </c>
      <c r="B8405">
        <v>1.2235020000000001</v>
      </c>
      <c r="C8405">
        <f t="shared" si="136"/>
        <v>0</v>
      </c>
    </row>
    <row r="8406" spans="1:3" x14ac:dyDescent="0.2">
      <c r="A8406" s="34">
        <v>34935</v>
      </c>
      <c r="B8406">
        <v>1.2228669999999999</v>
      </c>
      <c r="C8406">
        <f t="shared" si="136"/>
        <v>0</v>
      </c>
    </row>
    <row r="8407" spans="1:3" x14ac:dyDescent="0.2">
      <c r="A8407" s="34">
        <v>34934</v>
      </c>
      <c r="B8407">
        <v>1.2222329999999999</v>
      </c>
      <c r="C8407">
        <f t="shared" si="136"/>
        <v>0</v>
      </c>
    </row>
    <row r="8408" spans="1:3" x14ac:dyDescent="0.2">
      <c r="A8408" s="34">
        <v>34933</v>
      </c>
      <c r="B8408">
        <v>1.2215990000000001</v>
      </c>
      <c r="C8408">
        <f t="shared" si="136"/>
        <v>0</v>
      </c>
    </row>
    <row r="8409" spans="1:3" x14ac:dyDescent="0.2">
      <c r="A8409" s="34">
        <v>34932</v>
      </c>
      <c r="B8409">
        <v>1.2209650000000001</v>
      </c>
      <c r="C8409">
        <f t="shared" si="136"/>
        <v>0</v>
      </c>
    </row>
    <row r="8410" spans="1:3" x14ac:dyDescent="0.2">
      <c r="A8410" s="34">
        <v>34931</v>
      </c>
      <c r="B8410">
        <v>1.220332</v>
      </c>
      <c r="C8410">
        <f t="shared" si="136"/>
        <v>0</v>
      </c>
    </row>
    <row r="8411" spans="1:3" x14ac:dyDescent="0.2">
      <c r="A8411" s="34">
        <v>34930</v>
      </c>
      <c r="B8411">
        <v>1.2196990000000001</v>
      </c>
      <c r="C8411">
        <f t="shared" si="136"/>
        <v>0</v>
      </c>
    </row>
    <row r="8412" spans="1:3" x14ac:dyDescent="0.2">
      <c r="A8412" s="34">
        <v>34929</v>
      </c>
      <c r="B8412">
        <v>1.219066</v>
      </c>
      <c r="C8412">
        <f t="shared" si="136"/>
        <v>0</v>
      </c>
    </row>
    <row r="8413" spans="1:3" x14ac:dyDescent="0.2">
      <c r="A8413" s="34">
        <v>34928</v>
      </c>
      <c r="B8413">
        <v>1.218434</v>
      </c>
      <c r="C8413">
        <f t="shared" si="136"/>
        <v>0</v>
      </c>
    </row>
    <row r="8414" spans="1:3" x14ac:dyDescent="0.2">
      <c r="A8414" s="34">
        <v>34927</v>
      </c>
      <c r="B8414">
        <v>1.2178020000000001</v>
      </c>
      <c r="C8414">
        <f t="shared" si="136"/>
        <v>0</v>
      </c>
    </row>
    <row r="8415" spans="1:3" x14ac:dyDescent="0.2">
      <c r="A8415" s="34">
        <v>34926</v>
      </c>
      <c r="B8415">
        <v>1.2171700000000001</v>
      </c>
      <c r="C8415">
        <f t="shared" si="136"/>
        <v>0</v>
      </c>
    </row>
    <row r="8416" spans="1:3" x14ac:dyDescent="0.2">
      <c r="A8416" s="34">
        <v>34925</v>
      </c>
      <c r="B8416">
        <v>1.216539</v>
      </c>
      <c r="C8416">
        <f t="shared" si="136"/>
        <v>0</v>
      </c>
    </row>
    <row r="8417" spans="1:3" x14ac:dyDescent="0.2">
      <c r="A8417" s="34">
        <v>34924</v>
      </c>
      <c r="B8417">
        <v>1.215908</v>
      </c>
      <c r="C8417">
        <f t="shared" si="136"/>
        <v>0</v>
      </c>
    </row>
    <row r="8418" spans="1:3" x14ac:dyDescent="0.2">
      <c r="A8418" s="34">
        <v>34923</v>
      </c>
      <c r="B8418">
        <v>1.2152769999999999</v>
      </c>
      <c r="C8418">
        <f t="shared" si="136"/>
        <v>0</v>
      </c>
    </row>
    <row r="8419" spans="1:3" x14ac:dyDescent="0.2">
      <c r="A8419" s="34">
        <v>34922</v>
      </c>
      <c r="B8419">
        <v>1.214647</v>
      </c>
      <c r="C8419">
        <f t="shared" si="136"/>
        <v>0</v>
      </c>
    </row>
    <row r="8420" spans="1:3" x14ac:dyDescent="0.2">
      <c r="A8420" s="34">
        <v>34921</v>
      </c>
      <c r="B8420">
        <v>1.2140169999999999</v>
      </c>
      <c r="C8420">
        <f t="shared" si="136"/>
        <v>0</v>
      </c>
    </row>
    <row r="8421" spans="1:3" x14ac:dyDescent="0.2">
      <c r="A8421" s="34">
        <v>34920</v>
      </c>
      <c r="B8421">
        <v>1.2132540000000001</v>
      </c>
      <c r="C8421">
        <f t="shared" si="136"/>
        <v>0</v>
      </c>
    </row>
    <row r="8422" spans="1:3" x14ac:dyDescent="0.2">
      <c r="A8422" s="34">
        <v>34919</v>
      </c>
      <c r="B8422">
        <v>1.212491</v>
      </c>
      <c r="C8422">
        <f t="shared" si="136"/>
        <v>0</v>
      </c>
    </row>
    <row r="8423" spans="1:3" x14ac:dyDescent="0.2">
      <c r="A8423" s="34">
        <v>34918</v>
      </c>
      <c r="B8423">
        <v>1.2117290000000001</v>
      </c>
      <c r="C8423">
        <f t="shared" si="136"/>
        <v>0</v>
      </c>
    </row>
    <row r="8424" spans="1:3" x14ac:dyDescent="0.2">
      <c r="A8424" s="34">
        <v>34917</v>
      </c>
      <c r="B8424">
        <v>1.210968</v>
      </c>
      <c r="C8424">
        <f t="shared" si="136"/>
        <v>0</v>
      </c>
    </row>
    <row r="8425" spans="1:3" x14ac:dyDescent="0.2">
      <c r="A8425" s="34">
        <v>34916</v>
      </c>
      <c r="B8425">
        <v>1.210207</v>
      </c>
      <c r="C8425">
        <f t="shared" si="136"/>
        <v>0</v>
      </c>
    </row>
    <row r="8426" spans="1:3" x14ac:dyDescent="0.2">
      <c r="A8426" s="34">
        <v>34915</v>
      </c>
      <c r="B8426">
        <v>1.209446</v>
      </c>
      <c r="C8426">
        <f t="shared" si="136"/>
        <v>0</v>
      </c>
    </row>
    <row r="8427" spans="1:3" x14ac:dyDescent="0.2">
      <c r="A8427" s="34">
        <v>34914</v>
      </c>
      <c r="B8427">
        <v>1.2086859999999999</v>
      </c>
      <c r="C8427">
        <f t="shared" si="136"/>
        <v>0</v>
      </c>
    </row>
    <row r="8428" spans="1:3" x14ac:dyDescent="0.2">
      <c r="A8428" s="34">
        <v>34913</v>
      </c>
      <c r="B8428">
        <v>1.207927</v>
      </c>
      <c r="C8428">
        <f t="shared" si="136"/>
        <v>0</v>
      </c>
    </row>
    <row r="8429" spans="1:3" x14ac:dyDescent="0.2">
      <c r="A8429" s="34">
        <v>34912</v>
      </c>
      <c r="B8429">
        <v>1.207168</v>
      </c>
      <c r="C8429">
        <f t="shared" si="136"/>
        <v>0</v>
      </c>
    </row>
    <row r="8430" spans="1:3" x14ac:dyDescent="0.2">
      <c r="A8430" s="34">
        <v>34911</v>
      </c>
      <c r="B8430">
        <v>1.2064090000000001</v>
      </c>
      <c r="C8430">
        <f t="shared" si="136"/>
        <v>0</v>
      </c>
    </row>
    <row r="8431" spans="1:3" x14ac:dyDescent="0.2">
      <c r="A8431" s="34">
        <v>34910</v>
      </c>
      <c r="B8431">
        <v>1.205651</v>
      </c>
      <c r="C8431">
        <f t="shared" si="136"/>
        <v>0</v>
      </c>
    </row>
    <row r="8432" spans="1:3" x14ac:dyDescent="0.2">
      <c r="A8432" s="34">
        <v>34909</v>
      </c>
      <c r="B8432">
        <v>1.2048939999999999</v>
      </c>
      <c r="C8432">
        <f t="shared" si="136"/>
        <v>0</v>
      </c>
    </row>
    <row r="8433" spans="1:3" x14ac:dyDescent="0.2">
      <c r="A8433" s="34">
        <v>34908</v>
      </c>
      <c r="B8433">
        <v>1.204137</v>
      </c>
      <c r="C8433">
        <f t="shared" si="136"/>
        <v>0</v>
      </c>
    </row>
    <row r="8434" spans="1:3" x14ac:dyDescent="0.2">
      <c r="A8434" s="34">
        <v>34907</v>
      </c>
      <c r="B8434">
        <v>1.2033799999999999</v>
      </c>
      <c r="C8434">
        <f t="shared" si="136"/>
        <v>0</v>
      </c>
    </row>
    <row r="8435" spans="1:3" x14ac:dyDescent="0.2">
      <c r="A8435" s="34">
        <v>34906</v>
      </c>
      <c r="B8435">
        <v>1.2026239999999999</v>
      </c>
      <c r="C8435">
        <f t="shared" si="136"/>
        <v>0</v>
      </c>
    </row>
    <row r="8436" spans="1:3" x14ac:dyDescent="0.2">
      <c r="A8436" s="34">
        <v>34905</v>
      </c>
      <c r="B8436">
        <v>1.2018679999999999</v>
      </c>
      <c r="C8436">
        <f t="shared" si="136"/>
        <v>0</v>
      </c>
    </row>
    <row r="8437" spans="1:3" x14ac:dyDescent="0.2">
      <c r="A8437" s="34">
        <v>34904</v>
      </c>
      <c r="B8437">
        <v>1.200868</v>
      </c>
      <c r="C8437">
        <f t="shared" si="136"/>
        <v>0</v>
      </c>
    </row>
    <row r="8438" spans="1:3" x14ac:dyDescent="0.2">
      <c r="A8438" s="34">
        <v>34903</v>
      </c>
      <c r="B8438">
        <v>1.19987</v>
      </c>
      <c r="C8438">
        <f t="shared" si="136"/>
        <v>0</v>
      </c>
    </row>
    <row r="8439" spans="1:3" x14ac:dyDescent="0.2">
      <c r="A8439" s="34">
        <v>34902</v>
      </c>
      <c r="B8439">
        <v>1.1988719999999999</v>
      </c>
      <c r="C8439">
        <f t="shared" si="136"/>
        <v>0</v>
      </c>
    </row>
    <row r="8440" spans="1:3" x14ac:dyDescent="0.2">
      <c r="A8440" s="34">
        <v>34901</v>
      </c>
      <c r="B8440">
        <v>1.197875</v>
      </c>
      <c r="C8440">
        <f t="shared" si="136"/>
        <v>0</v>
      </c>
    </row>
    <row r="8441" spans="1:3" x14ac:dyDescent="0.2">
      <c r="A8441" s="34">
        <v>34900</v>
      </c>
      <c r="B8441">
        <v>1.1968780000000001</v>
      </c>
      <c r="C8441">
        <f t="shared" si="136"/>
        <v>0</v>
      </c>
    </row>
    <row r="8442" spans="1:3" x14ac:dyDescent="0.2">
      <c r="A8442" s="34">
        <v>34899</v>
      </c>
      <c r="B8442">
        <v>1.195883</v>
      </c>
      <c r="C8442">
        <f t="shared" si="136"/>
        <v>0</v>
      </c>
    </row>
    <row r="8443" spans="1:3" x14ac:dyDescent="0.2">
      <c r="A8443" s="34">
        <v>34898</v>
      </c>
      <c r="B8443">
        <v>1.194888</v>
      </c>
      <c r="C8443">
        <f t="shared" si="136"/>
        <v>0</v>
      </c>
    </row>
    <row r="8444" spans="1:3" x14ac:dyDescent="0.2">
      <c r="A8444" s="34">
        <v>34897</v>
      </c>
      <c r="B8444">
        <v>1.193894</v>
      </c>
      <c r="C8444">
        <f t="shared" si="136"/>
        <v>0</v>
      </c>
    </row>
    <row r="8445" spans="1:3" x14ac:dyDescent="0.2">
      <c r="A8445" s="34">
        <v>34896</v>
      </c>
      <c r="B8445">
        <v>1.192901</v>
      </c>
      <c r="C8445">
        <f t="shared" si="136"/>
        <v>0</v>
      </c>
    </row>
    <row r="8446" spans="1:3" x14ac:dyDescent="0.2">
      <c r="A8446" s="34">
        <v>34895</v>
      </c>
      <c r="B8446">
        <v>1.1919090000000001</v>
      </c>
      <c r="C8446">
        <f t="shared" si="136"/>
        <v>0</v>
      </c>
    </row>
    <row r="8447" spans="1:3" x14ac:dyDescent="0.2">
      <c r="A8447" s="34">
        <v>34894</v>
      </c>
      <c r="B8447">
        <v>1.1909179999999999</v>
      </c>
      <c r="C8447">
        <f t="shared" si="136"/>
        <v>0</v>
      </c>
    </row>
    <row r="8448" spans="1:3" x14ac:dyDescent="0.2">
      <c r="A8448" s="34">
        <v>34893</v>
      </c>
      <c r="B8448">
        <v>1.189927</v>
      </c>
      <c r="C8448">
        <f t="shared" si="136"/>
        <v>0</v>
      </c>
    </row>
    <row r="8449" spans="1:3" x14ac:dyDescent="0.2">
      <c r="A8449" s="34">
        <v>34892</v>
      </c>
      <c r="B8449">
        <v>1.1889380000000001</v>
      </c>
      <c r="C8449">
        <f t="shared" si="136"/>
        <v>0</v>
      </c>
    </row>
    <row r="8450" spans="1:3" x14ac:dyDescent="0.2">
      <c r="A8450" s="34">
        <v>34891</v>
      </c>
      <c r="B8450">
        <v>1.1879489999999999</v>
      </c>
      <c r="C8450">
        <f t="shared" ref="C8450:C8513" si="137">IFERROR(VLOOKUP(A8450,$M$2:$N$3695,2,0),C8451)</f>
        <v>0</v>
      </c>
    </row>
    <row r="8451" spans="1:3" x14ac:dyDescent="0.2">
      <c r="A8451" s="34">
        <v>34890</v>
      </c>
      <c r="B8451">
        <v>1.1869609999999999</v>
      </c>
      <c r="C8451">
        <f t="shared" si="137"/>
        <v>0</v>
      </c>
    </row>
    <row r="8452" spans="1:3" x14ac:dyDescent="0.2">
      <c r="A8452" s="34">
        <v>34889</v>
      </c>
      <c r="B8452">
        <v>1.185665</v>
      </c>
      <c r="C8452">
        <f t="shared" si="137"/>
        <v>0</v>
      </c>
    </row>
    <row r="8453" spans="1:3" x14ac:dyDescent="0.2">
      <c r="A8453" s="34">
        <v>34888</v>
      </c>
      <c r="B8453">
        <v>1.1843710000000001</v>
      </c>
      <c r="C8453">
        <f t="shared" si="137"/>
        <v>0</v>
      </c>
    </row>
    <row r="8454" spans="1:3" x14ac:dyDescent="0.2">
      <c r="A8454" s="34">
        <v>34887</v>
      </c>
      <c r="B8454">
        <v>1.183079</v>
      </c>
      <c r="C8454">
        <f t="shared" si="137"/>
        <v>0</v>
      </c>
    </row>
    <row r="8455" spans="1:3" x14ac:dyDescent="0.2">
      <c r="A8455" s="34">
        <v>34886</v>
      </c>
      <c r="B8455">
        <v>1.1817869999999999</v>
      </c>
      <c r="C8455">
        <f t="shared" si="137"/>
        <v>0</v>
      </c>
    </row>
    <row r="8456" spans="1:3" x14ac:dyDescent="0.2">
      <c r="A8456" s="34">
        <v>34885</v>
      </c>
      <c r="B8456">
        <v>1.180498</v>
      </c>
      <c r="C8456">
        <f t="shared" si="137"/>
        <v>0</v>
      </c>
    </row>
    <row r="8457" spans="1:3" x14ac:dyDescent="0.2">
      <c r="A8457" s="34">
        <v>34884</v>
      </c>
      <c r="B8457">
        <v>1.179209</v>
      </c>
      <c r="C8457">
        <f t="shared" si="137"/>
        <v>0</v>
      </c>
    </row>
    <row r="8458" spans="1:3" x14ac:dyDescent="0.2">
      <c r="A8458" s="34">
        <v>34883</v>
      </c>
      <c r="B8458">
        <v>1.1779219999999999</v>
      </c>
      <c r="C8458">
        <f t="shared" si="137"/>
        <v>0</v>
      </c>
    </row>
    <row r="8459" spans="1:3" x14ac:dyDescent="0.2">
      <c r="A8459" s="34">
        <v>34882</v>
      </c>
      <c r="B8459">
        <v>1.176636</v>
      </c>
      <c r="C8459">
        <f t="shared" si="137"/>
        <v>0</v>
      </c>
    </row>
    <row r="8460" spans="1:3" x14ac:dyDescent="0.2">
      <c r="A8460" s="34">
        <v>34881</v>
      </c>
      <c r="B8460">
        <v>1.175352</v>
      </c>
      <c r="C8460">
        <f t="shared" si="137"/>
        <v>0</v>
      </c>
    </row>
    <row r="8461" spans="1:3" x14ac:dyDescent="0.2">
      <c r="A8461" s="34">
        <v>34880</v>
      </c>
      <c r="B8461">
        <v>1.174069</v>
      </c>
      <c r="C8461">
        <f t="shared" si="137"/>
        <v>0</v>
      </c>
    </row>
    <row r="8462" spans="1:3" x14ac:dyDescent="0.2">
      <c r="A8462" s="34">
        <v>34879</v>
      </c>
      <c r="B8462">
        <v>1.1727879999999999</v>
      </c>
      <c r="C8462">
        <f t="shared" si="137"/>
        <v>0</v>
      </c>
    </row>
    <row r="8463" spans="1:3" x14ac:dyDescent="0.2">
      <c r="A8463" s="34">
        <v>34878</v>
      </c>
      <c r="B8463">
        <v>1.171508</v>
      </c>
      <c r="C8463">
        <f t="shared" si="137"/>
        <v>0</v>
      </c>
    </row>
    <row r="8464" spans="1:3" x14ac:dyDescent="0.2">
      <c r="A8464" s="34">
        <v>34877</v>
      </c>
      <c r="B8464">
        <v>1.170229</v>
      </c>
      <c r="C8464">
        <f t="shared" si="137"/>
        <v>0</v>
      </c>
    </row>
    <row r="8465" spans="1:3" x14ac:dyDescent="0.2">
      <c r="A8465" s="34">
        <v>34876</v>
      </c>
      <c r="B8465">
        <v>1.168952</v>
      </c>
      <c r="C8465">
        <f t="shared" si="137"/>
        <v>0</v>
      </c>
    </row>
    <row r="8466" spans="1:3" x14ac:dyDescent="0.2">
      <c r="A8466" s="34">
        <v>34875</v>
      </c>
      <c r="B8466">
        <v>1.1676759999999999</v>
      </c>
      <c r="C8466">
        <f t="shared" si="137"/>
        <v>0</v>
      </c>
    </row>
    <row r="8467" spans="1:3" x14ac:dyDescent="0.2">
      <c r="A8467" s="34">
        <v>34874</v>
      </c>
      <c r="B8467">
        <v>1.1663319999999999</v>
      </c>
      <c r="C8467">
        <f t="shared" si="137"/>
        <v>0</v>
      </c>
    </row>
    <row r="8468" spans="1:3" x14ac:dyDescent="0.2">
      <c r="A8468" s="34">
        <v>34873</v>
      </c>
      <c r="B8468">
        <v>1.1649890000000001</v>
      </c>
      <c r="C8468">
        <f t="shared" si="137"/>
        <v>0</v>
      </c>
    </row>
    <row r="8469" spans="1:3" x14ac:dyDescent="0.2">
      <c r="A8469" s="34">
        <v>34872</v>
      </c>
      <c r="B8469">
        <v>1.1636470000000001</v>
      </c>
      <c r="C8469">
        <f t="shared" si="137"/>
        <v>0</v>
      </c>
    </row>
    <row r="8470" spans="1:3" x14ac:dyDescent="0.2">
      <c r="A8470" s="34">
        <v>34871</v>
      </c>
      <c r="B8470">
        <v>1.162307</v>
      </c>
      <c r="C8470">
        <f t="shared" si="137"/>
        <v>0</v>
      </c>
    </row>
    <row r="8471" spans="1:3" x14ac:dyDescent="0.2">
      <c r="A8471" s="34">
        <v>34870</v>
      </c>
      <c r="B8471">
        <v>1.1609689999999999</v>
      </c>
      <c r="C8471">
        <f t="shared" si="137"/>
        <v>0</v>
      </c>
    </row>
    <row r="8472" spans="1:3" x14ac:dyDescent="0.2">
      <c r="A8472" s="34">
        <v>34869</v>
      </c>
      <c r="B8472">
        <v>1.159632</v>
      </c>
      <c r="C8472">
        <f t="shared" si="137"/>
        <v>0</v>
      </c>
    </row>
    <row r="8473" spans="1:3" x14ac:dyDescent="0.2">
      <c r="A8473" s="34">
        <v>34868</v>
      </c>
      <c r="B8473">
        <v>1.1582969999999999</v>
      </c>
      <c r="C8473">
        <f t="shared" si="137"/>
        <v>0</v>
      </c>
    </row>
    <row r="8474" spans="1:3" x14ac:dyDescent="0.2">
      <c r="A8474" s="34">
        <v>34867</v>
      </c>
      <c r="B8474">
        <v>1.156963</v>
      </c>
      <c r="C8474">
        <f t="shared" si="137"/>
        <v>0</v>
      </c>
    </row>
    <row r="8475" spans="1:3" x14ac:dyDescent="0.2">
      <c r="A8475" s="34">
        <v>34866</v>
      </c>
      <c r="B8475">
        <v>1.1556310000000001</v>
      </c>
      <c r="C8475">
        <f t="shared" si="137"/>
        <v>0</v>
      </c>
    </row>
    <row r="8476" spans="1:3" x14ac:dyDescent="0.2">
      <c r="A8476" s="34">
        <v>34865</v>
      </c>
      <c r="B8476">
        <v>1.1543000000000001</v>
      </c>
      <c r="C8476">
        <f t="shared" si="137"/>
        <v>0</v>
      </c>
    </row>
    <row r="8477" spans="1:3" x14ac:dyDescent="0.2">
      <c r="A8477" s="34">
        <v>34864</v>
      </c>
      <c r="B8477">
        <v>1.152971</v>
      </c>
      <c r="C8477">
        <f t="shared" si="137"/>
        <v>0</v>
      </c>
    </row>
    <row r="8478" spans="1:3" x14ac:dyDescent="0.2">
      <c r="A8478" s="34">
        <v>34863</v>
      </c>
      <c r="B8478">
        <v>1.151643</v>
      </c>
      <c r="C8478">
        <f t="shared" si="137"/>
        <v>0</v>
      </c>
    </row>
    <row r="8479" spans="1:3" x14ac:dyDescent="0.2">
      <c r="A8479" s="34">
        <v>34862</v>
      </c>
      <c r="B8479">
        <v>1.150317</v>
      </c>
      <c r="C8479">
        <f t="shared" si="137"/>
        <v>0</v>
      </c>
    </row>
    <row r="8480" spans="1:3" x14ac:dyDescent="0.2">
      <c r="A8480" s="34">
        <v>34861</v>
      </c>
      <c r="B8480">
        <v>1.1489929999999999</v>
      </c>
      <c r="C8480">
        <f t="shared" si="137"/>
        <v>0</v>
      </c>
    </row>
    <row r="8481" spans="1:3" x14ac:dyDescent="0.2">
      <c r="A8481" s="34">
        <v>34860</v>
      </c>
      <c r="B8481">
        <v>1.14767</v>
      </c>
      <c r="C8481">
        <f t="shared" si="137"/>
        <v>0</v>
      </c>
    </row>
    <row r="8482" spans="1:3" x14ac:dyDescent="0.2">
      <c r="A8482" s="34">
        <v>34859</v>
      </c>
      <c r="B8482">
        <v>1.14612</v>
      </c>
      <c r="C8482">
        <f t="shared" si="137"/>
        <v>0</v>
      </c>
    </row>
    <row r="8483" spans="1:3" x14ac:dyDescent="0.2">
      <c r="A8483" s="34">
        <v>34858</v>
      </c>
      <c r="B8483">
        <v>1.1445730000000001</v>
      </c>
      <c r="C8483">
        <f t="shared" si="137"/>
        <v>0</v>
      </c>
    </row>
    <row r="8484" spans="1:3" x14ac:dyDescent="0.2">
      <c r="A8484" s="34">
        <v>34857</v>
      </c>
      <c r="B8484">
        <v>1.1430279999999999</v>
      </c>
      <c r="C8484">
        <f t="shared" si="137"/>
        <v>0</v>
      </c>
    </row>
    <row r="8485" spans="1:3" x14ac:dyDescent="0.2">
      <c r="A8485" s="34">
        <v>34856</v>
      </c>
      <c r="B8485">
        <v>1.1414850000000001</v>
      </c>
      <c r="C8485">
        <f t="shared" si="137"/>
        <v>0</v>
      </c>
    </row>
    <row r="8486" spans="1:3" x14ac:dyDescent="0.2">
      <c r="A8486" s="34">
        <v>34855</v>
      </c>
      <c r="B8486">
        <v>1.1399440000000001</v>
      </c>
      <c r="C8486">
        <f t="shared" si="137"/>
        <v>0</v>
      </c>
    </row>
    <row r="8487" spans="1:3" x14ac:dyDescent="0.2">
      <c r="A8487" s="34">
        <v>34854</v>
      </c>
      <c r="B8487">
        <v>1.1384049999999999</v>
      </c>
      <c r="C8487">
        <f t="shared" si="137"/>
        <v>0</v>
      </c>
    </row>
    <row r="8488" spans="1:3" x14ac:dyDescent="0.2">
      <c r="A8488" s="34">
        <v>34853</v>
      </c>
      <c r="B8488">
        <v>1.136868</v>
      </c>
      <c r="C8488">
        <f t="shared" si="137"/>
        <v>0</v>
      </c>
    </row>
    <row r="8489" spans="1:3" x14ac:dyDescent="0.2">
      <c r="A8489" s="34">
        <v>34852</v>
      </c>
      <c r="B8489">
        <v>1.1353329999999999</v>
      </c>
      <c r="C8489">
        <f t="shared" si="137"/>
        <v>0</v>
      </c>
    </row>
    <row r="8490" spans="1:3" x14ac:dyDescent="0.2">
      <c r="A8490" s="34">
        <v>34851</v>
      </c>
      <c r="B8490">
        <v>1.1337999999999999</v>
      </c>
      <c r="C8490">
        <f t="shared" si="137"/>
        <v>0</v>
      </c>
    </row>
    <row r="8491" spans="1:3" x14ac:dyDescent="0.2">
      <c r="A8491" s="34">
        <v>34850</v>
      </c>
      <c r="B8491">
        <v>1.1322700000000001</v>
      </c>
      <c r="C8491">
        <f t="shared" si="137"/>
        <v>0</v>
      </c>
    </row>
    <row r="8492" spans="1:3" x14ac:dyDescent="0.2">
      <c r="A8492" s="34">
        <v>34849</v>
      </c>
      <c r="B8492">
        <v>1.130741</v>
      </c>
      <c r="C8492">
        <f t="shared" si="137"/>
        <v>0</v>
      </c>
    </row>
    <row r="8493" spans="1:3" x14ac:dyDescent="0.2">
      <c r="A8493" s="34">
        <v>34848</v>
      </c>
      <c r="B8493">
        <v>1.1292139999999999</v>
      </c>
      <c r="C8493">
        <f t="shared" si="137"/>
        <v>0</v>
      </c>
    </row>
    <row r="8494" spans="1:3" x14ac:dyDescent="0.2">
      <c r="A8494" s="34">
        <v>34847</v>
      </c>
      <c r="B8494">
        <v>1.1276900000000001</v>
      </c>
      <c r="C8494">
        <f t="shared" si="137"/>
        <v>0</v>
      </c>
    </row>
    <row r="8495" spans="1:3" x14ac:dyDescent="0.2">
      <c r="A8495" s="34">
        <v>34846</v>
      </c>
      <c r="B8495">
        <v>1.1261680000000001</v>
      </c>
      <c r="C8495">
        <f t="shared" si="137"/>
        <v>0</v>
      </c>
    </row>
    <row r="8496" spans="1:3" x14ac:dyDescent="0.2">
      <c r="A8496" s="34">
        <v>34845</v>
      </c>
      <c r="B8496">
        <v>1.124647</v>
      </c>
      <c r="C8496">
        <f t="shared" si="137"/>
        <v>0</v>
      </c>
    </row>
    <row r="8497" spans="1:3" x14ac:dyDescent="0.2">
      <c r="A8497" s="34">
        <v>34844</v>
      </c>
      <c r="B8497">
        <v>1.123129</v>
      </c>
      <c r="C8497">
        <f t="shared" si="137"/>
        <v>0</v>
      </c>
    </row>
    <row r="8498" spans="1:3" x14ac:dyDescent="0.2">
      <c r="A8498" s="34">
        <v>34843</v>
      </c>
      <c r="B8498">
        <v>1.121523</v>
      </c>
      <c r="C8498">
        <f t="shared" si="137"/>
        <v>0</v>
      </c>
    </row>
    <row r="8499" spans="1:3" x14ac:dyDescent="0.2">
      <c r="A8499" s="34">
        <v>34842</v>
      </c>
      <c r="B8499">
        <v>1.11992</v>
      </c>
      <c r="C8499">
        <f t="shared" si="137"/>
        <v>0</v>
      </c>
    </row>
    <row r="8500" spans="1:3" x14ac:dyDescent="0.2">
      <c r="A8500" s="34">
        <v>34841</v>
      </c>
      <c r="B8500">
        <v>1.1183190000000001</v>
      </c>
      <c r="C8500">
        <f t="shared" si="137"/>
        <v>0</v>
      </c>
    </row>
    <row r="8501" spans="1:3" x14ac:dyDescent="0.2">
      <c r="A8501" s="34">
        <v>34840</v>
      </c>
      <c r="B8501">
        <v>1.1167199999999999</v>
      </c>
      <c r="C8501">
        <f t="shared" si="137"/>
        <v>0</v>
      </c>
    </row>
    <row r="8502" spans="1:3" x14ac:dyDescent="0.2">
      <c r="A8502" s="34">
        <v>34839</v>
      </c>
      <c r="B8502">
        <v>1.115124</v>
      </c>
      <c r="C8502">
        <f t="shared" si="137"/>
        <v>0</v>
      </c>
    </row>
    <row r="8503" spans="1:3" x14ac:dyDescent="0.2">
      <c r="A8503" s="34">
        <v>34838</v>
      </c>
      <c r="B8503">
        <v>1.1135299999999999</v>
      </c>
      <c r="C8503">
        <f t="shared" si="137"/>
        <v>0</v>
      </c>
    </row>
    <row r="8504" spans="1:3" x14ac:dyDescent="0.2">
      <c r="A8504" s="34">
        <v>34837</v>
      </c>
      <c r="B8504">
        <v>1.1119380000000001</v>
      </c>
      <c r="C8504">
        <f t="shared" si="137"/>
        <v>0</v>
      </c>
    </row>
    <row r="8505" spans="1:3" x14ac:dyDescent="0.2">
      <c r="A8505" s="34">
        <v>34836</v>
      </c>
      <c r="B8505">
        <v>1.1103479999999999</v>
      </c>
      <c r="C8505">
        <f t="shared" si="137"/>
        <v>0</v>
      </c>
    </row>
    <row r="8506" spans="1:3" x14ac:dyDescent="0.2">
      <c r="A8506" s="34">
        <v>34835</v>
      </c>
      <c r="B8506">
        <v>1.1087610000000001</v>
      </c>
      <c r="C8506">
        <f t="shared" si="137"/>
        <v>0</v>
      </c>
    </row>
    <row r="8507" spans="1:3" x14ac:dyDescent="0.2">
      <c r="A8507" s="34">
        <v>34834</v>
      </c>
      <c r="B8507">
        <v>1.1071759999999999</v>
      </c>
      <c r="C8507">
        <f t="shared" si="137"/>
        <v>0</v>
      </c>
    </row>
    <row r="8508" spans="1:3" x14ac:dyDescent="0.2">
      <c r="A8508" s="34">
        <v>34833</v>
      </c>
      <c r="B8508">
        <v>1.105593</v>
      </c>
      <c r="C8508">
        <f t="shared" si="137"/>
        <v>0</v>
      </c>
    </row>
    <row r="8509" spans="1:3" x14ac:dyDescent="0.2">
      <c r="A8509" s="34">
        <v>34832</v>
      </c>
      <c r="B8509">
        <v>1.104012</v>
      </c>
      <c r="C8509">
        <f t="shared" si="137"/>
        <v>0</v>
      </c>
    </row>
    <row r="8510" spans="1:3" x14ac:dyDescent="0.2">
      <c r="A8510" s="34">
        <v>34831</v>
      </c>
      <c r="B8510">
        <v>1.1024339999999999</v>
      </c>
      <c r="C8510">
        <f t="shared" si="137"/>
        <v>0</v>
      </c>
    </row>
    <row r="8511" spans="1:3" x14ac:dyDescent="0.2">
      <c r="A8511" s="34">
        <v>34830</v>
      </c>
      <c r="B8511">
        <v>1.1008579999999999</v>
      </c>
      <c r="C8511">
        <f t="shared" si="137"/>
        <v>0</v>
      </c>
    </row>
    <row r="8512" spans="1:3" x14ac:dyDescent="0.2">
      <c r="A8512" s="34">
        <v>34829</v>
      </c>
      <c r="B8512">
        <v>1.0992839999999999</v>
      </c>
      <c r="C8512">
        <f t="shared" si="137"/>
        <v>0</v>
      </c>
    </row>
    <row r="8513" spans="1:3" x14ac:dyDescent="0.2">
      <c r="A8513" s="34">
        <v>34828</v>
      </c>
      <c r="B8513">
        <v>1.095712</v>
      </c>
      <c r="C8513">
        <f t="shared" si="137"/>
        <v>0</v>
      </c>
    </row>
    <row r="8514" spans="1:3" x14ac:dyDescent="0.2">
      <c r="A8514" s="34">
        <v>34827</v>
      </c>
      <c r="B8514">
        <v>1.0921510000000001</v>
      </c>
      <c r="C8514">
        <f t="shared" ref="C8514:C8546" si="138">IFERROR(VLOOKUP(A8514,$M$2:$N$3695,2,0),C8515)</f>
        <v>0</v>
      </c>
    </row>
    <row r="8515" spans="1:3" x14ac:dyDescent="0.2">
      <c r="A8515" s="34">
        <v>34826</v>
      </c>
      <c r="B8515">
        <v>1.0886009999999999</v>
      </c>
      <c r="C8515">
        <f t="shared" si="138"/>
        <v>0</v>
      </c>
    </row>
    <row r="8516" spans="1:3" x14ac:dyDescent="0.2">
      <c r="A8516" s="34">
        <v>34825</v>
      </c>
      <c r="B8516">
        <v>1.0850630000000001</v>
      </c>
      <c r="C8516">
        <f t="shared" si="138"/>
        <v>0</v>
      </c>
    </row>
    <row r="8517" spans="1:3" x14ac:dyDescent="0.2">
      <c r="A8517" s="34">
        <v>34824</v>
      </c>
      <c r="B8517">
        <v>1.081537</v>
      </c>
      <c r="C8517">
        <f t="shared" si="138"/>
        <v>0</v>
      </c>
    </row>
    <row r="8518" spans="1:3" x14ac:dyDescent="0.2">
      <c r="A8518" s="34">
        <v>34823</v>
      </c>
      <c r="B8518">
        <v>1.078022</v>
      </c>
      <c r="C8518">
        <f t="shared" si="138"/>
        <v>0</v>
      </c>
    </row>
    <row r="8519" spans="1:3" x14ac:dyDescent="0.2">
      <c r="A8519" s="34">
        <v>34822</v>
      </c>
      <c r="B8519">
        <v>1.0745180000000001</v>
      </c>
      <c r="C8519">
        <f t="shared" si="138"/>
        <v>0</v>
      </c>
    </row>
    <row r="8520" spans="1:3" x14ac:dyDescent="0.2">
      <c r="A8520" s="34">
        <v>34821</v>
      </c>
      <c r="B8520">
        <v>1.071026</v>
      </c>
      <c r="C8520">
        <f t="shared" si="138"/>
        <v>0</v>
      </c>
    </row>
    <row r="8521" spans="1:3" x14ac:dyDescent="0.2">
      <c r="A8521" s="34">
        <v>34820</v>
      </c>
      <c r="B8521">
        <v>1.067545</v>
      </c>
      <c r="C8521">
        <f t="shared" si="138"/>
        <v>0</v>
      </c>
    </row>
    <row r="8522" spans="1:3" x14ac:dyDescent="0.2">
      <c r="A8522" s="34">
        <v>34819</v>
      </c>
      <c r="B8522">
        <v>1.0640750000000001</v>
      </c>
      <c r="C8522">
        <f t="shared" si="138"/>
        <v>0</v>
      </c>
    </row>
    <row r="8523" spans="1:3" x14ac:dyDescent="0.2">
      <c r="A8523" s="34">
        <v>34818</v>
      </c>
      <c r="B8523">
        <v>1.0606169999999999</v>
      </c>
      <c r="C8523">
        <f t="shared" si="138"/>
        <v>0</v>
      </c>
    </row>
    <row r="8524" spans="1:3" x14ac:dyDescent="0.2">
      <c r="A8524" s="34">
        <v>34817</v>
      </c>
      <c r="B8524">
        <v>1.0571699999999999</v>
      </c>
      <c r="C8524">
        <f t="shared" si="138"/>
        <v>0</v>
      </c>
    </row>
    <row r="8525" spans="1:3" x14ac:dyDescent="0.2">
      <c r="A8525" s="34">
        <v>34816</v>
      </c>
      <c r="B8525">
        <v>1.0537339999999999</v>
      </c>
      <c r="C8525">
        <f t="shared" si="138"/>
        <v>0</v>
      </c>
    </row>
    <row r="8526" spans="1:3" x14ac:dyDescent="0.2">
      <c r="A8526" s="34">
        <v>34815</v>
      </c>
      <c r="B8526">
        <v>1.0503100000000001</v>
      </c>
      <c r="C8526">
        <f t="shared" si="138"/>
        <v>0</v>
      </c>
    </row>
    <row r="8527" spans="1:3" x14ac:dyDescent="0.2">
      <c r="A8527" s="34">
        <v>34814</v>
      </c>
      <c r="B8527">
        <v>1.046896</v>
      </c>
      <c r="C8527">
        <f t="shared" si="138"/>
        <v>0</v>
      </c>
    </row>
    <row r="8528" spans="1:3" x14ac:dyDescent="0.2">
      <c r="A8528" s="34">
        <v>34813</v>
      </c>
      <c r="B8528">
        <v>1.044503</v>
      </c>
      <c r="C8528">
        <f t="shared" si="138"/>
        <v>0</v>
      </c>
    </row>
    <row r="8529" spans="1:3" x14ac:dyDescent="0.2">
      <c r="A8529" s="34">
        <v>34812</v>
      </c>
      <c r="B8529">
        <v>1.0421149999999999</v>
      </c>
      <c r="C8529">
        <f t="shared" si="138"/>
        <v>0</v>
      </c>
    </row>
    <row r="8530" spans="1:3" x14ac:dyDescent="0.2">
      <c r="A8530" s="34">
        <v>34811</v>
      </c>
      <c r="B8530">
        <v>1.0397320000000001</v>
      </c>
      <c r="C8530">
        <f t="shared" si="138"/>
        <v>0</v>
      </c>
    </row>
    <row r="8531" spans="1:3" x14ac:dyDescent="0.2">
      <c r="A8531" s="34">
        <v>34810</v>
      </c>
      <c r="B8531">
        <v>1.037355</v>
      </c>
      <c r="C8531">
        <f t="shared" si="138"/>
        <v>0</v>
      </c>
    </row>
    <row r="8532" spans="1:3" x14ac:dyDescent="0.2">
      <c r="A8532" s="34">
        <v>34809</v>
      </c>
      <c r="B8532">
        <v>1.0349839999999999</v>
      </c>
      <c r="C8532">
        <f t="shared" si="138"/>
        <v>0</v>
      </c>
    </row>
    <row r="8533" spans="1:3" x14ac:dyDescent="0.2">
      <c r="A8533" s="34">
        <v>34808</v>
      </c>
      <c r="B8533">
        <v>1.032618</v>
      </c>
      <c r="C8533">
        <f t="shared" si="138"/>
        <v>0</v>
      </c>
    </row>
    <row r="8534" spans="1:3" x14ac:dyDescent="0.2">
      <c r="A8534" s="34">
        <v>34807</v>
      </c>
      <c r="B8534">
        <v>1.030257</v>
      </c>
      <c r="C8534">
        <f t="shared" si="138"/>
        <v>0</v>
      </c>
    </row>
    <row r="8535" spans="1:3" x14ac:dyDescent="0.2">
      <c r="A8535" s="34">
        <v>34806</v>
      </c>
      <c r="B8535">
        <v>1.0279020000000001</v>
      </c>
      <c r="C8535">
        <f t="shared" si="138"/>
        <v>0</v>
      </c>
    </row>
    <row r="8536" spans="1:3" x14ac:dyDescent="0.2">
      <c r="A8536" s="34">
        <v>34805</v>
      </c>
      <c r="B8536">
        <v>1.025552</v>
      </c>
      <c r="C8536">
        <f t="shared" si="138"/>
        <v>0</v>
      </c>
    </row>
    <row r="8537" spans="1:3" x14ac:dyDescent="0.2">
      <c r="A8537" s="34">
        <v>34804</v>
      </c>
      <c r="B8537">
        <v>1.023207</v>
      </c>
      <c r="C8537">
        <f t="shared" si="138"/>
        <v>0</v>
      </c>
    </row>
    <row r="8538" spans="1:3" x14ac:dyDescent="0.2">
      <c r="A8538" s="34">
        <v>34803</v>
      </c>
      <c r="B8538">
        <v>1.0208680000000001</v>
      </c>
      <c r="C8538">
        <f t="shared" si="138"/>
        <v>0</v>
      </c>
    </row>
    <row r="8539" spans="1:3" x14ac:dyDescent="0.2">
      <c r="A8539" s="34">
        <v>34802</v>
      </c>
      <c r="B8539">
        <v>1.0185340000000001</v>
      </c>
      <c r="C8539">
        <f t="shared" si="138"/>
        <v>0</v>
      </c>
    </row>
    <row r="8540" spans="1:3" x14ac:dyDescent="0.2">
      <c r="A8540" s="34">
        <v>34801</v>
      </c>
      <c r="B8540">
        <v>1.016205</v>
      </c>
      <c r="C8540">
        <f t="shared" si="138"/>
        <v>0</v>
      </c>
    </row>
    <row r="8541" spans="1:3" x14ac:dyDescent="0.2">
      <c r="A8541" s="34">
        <v>34800</v>
      </c>
      <c r="B8541">
        <v>1.0138819999999999</v>
      </c>
      <c r="C8541">
        <f t="shared" si="138"/>
        <v>0</v>
      </c>
    </row>
    <row r="8542" spans="1:3" x14ac:dyDescent="0.2">
      <c r="A8542" s="34">
        <v>34799</v>
      </c>
      <c r="B8542">
        <v>1.0115639999999999</v>
      </c>
      <c r="C8542">
        <f t="shared" si="138"/>
        <v>0</v>
      </c>
    </row>
    <row r="8543" spans="1:3" x14ac:dyDescent="0.2">
      <c r="A8543" s="34">
        <v>34798</v>
      </c>
      <c r="B8543">
        <v>1.009628</v>
      </c>
      <c r="C8543">
        <f t="shared" si="138"/>
        <v>0</v>
      </c>
    </row>
    <row r="8544" spans="1:3" x14ac:dyDescent="0.2">
      <c r="A8544" s="34">
        <v>34797</v>
      </c>
      <c r="B8544">
        <v>1.007695</v>
      </c>
      <c r="C8544">
        <f t="shared" si="138"/>
        <v>0</v>
      </c>
    </row>
    <row r="8545" spans="1:3" x14ac:dyDescent="0.2">
      <c r="A8545" s="34">
        <v>34796</v>
      </c>
      <c r="B8545">
        <v>1.0057659999999999</v>
      </c>
      <c r="C8545">
        <f t="shared" si="138"/>
        <v>0</v>
      </c>
    </row>
    <row r="8546" spans="1:3" x14ac:dyDescent="0.2">
      <c r="A8546" s="34">
        <v>34795</v>
      </c>
      <c r="B8546">
        <v>1.0038400000000001</v>
      </c>
      <c r="C8546">
        <f t="shared" si="138"/>
        <v>0</v>
      </c>
    </row>
    <row r="8547" spans="1:3" x14ac:dyDescent="0.2">
      <c r="A8547" s="34">
        <v>34794</v>
      </c>
      <c r="B8547">
        <v>1.0019180000000001</v>
      </c>
      <c r="C8547">
        <f>IFERROR(VLOOKUP(A8547,$M$2:$N$3695,2,0),C8548)</f>
        <v>0</v>
      </c>
    </row>
    <row r="8548" spans="1:3" x14ac:dyDescent="0.2">
      <c r="A8548" s="34">
        <v>34793</v>
      </c>
      <c r="B8548">
        <v>1</v>
      </c>
      <c r="C8548">
        <v>0</v>
      </c>
    </row>
  </sheetData>
  <sortState ref="M2:N3694">
    <sortCondition descending="1" ref="M2:M3694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K62"/>
  <sheetViews>
    <sheetView zoomScale="160" zoomScaleNormal="160" workbookViewId="0">
      <selection activeCell="B12" sqref="B12"/>
    </sheetView>
  </sheetViews>
  <sheetFormatPr baseColWidth="10" defaultColWidth="9.140625" defaultRowHeight="12.75" x14ac:dyDescent="0.2"/>
  <cols>
    <col min="1" max="1" width="25" bestFit="1" customWidth="1"/>
    <col min="2" max="2" width="12.5703125" bestFit="1" customWidth="1"/>
    <col min="3" max="3" width="9.5703125" bestFit="1" customWidth="1"/>
    <col min="5" max="5" width="11.7109375" bestFit="1" customWidth="1"/>
    <col min="6" max="6" width="17" customWidth="1"/>
  </cols>
  <sheetData>
    <row r="1" spans="1:219" x14ac:dyDescent="0.2">
      <c r="A1" s="3" t="s">
        <v>91</v>
      </c>
      <c r="B1" s="6">
        <v>10000</v>
      </c>
      <c r="HK1" t="s">
        <v>97</v>
      </c>
    </row>
    <row r="2" spans="1:219" x14ac:dyDescent="0.2">
      <c r="A2" s="3" t="s">
        <v>87</v>
      </c>
      <c r="B2" s="11">
        <v>10</v>
      </c>
      <c r="F2" s="2"/>
      <c r="G2" t="s">
        <v>94</v>
      </c>
      <c r="HK2" t="s">
        <v>98</v>
      </c>
    </row>
    <row r="3" spans="1:219" x14ac:dyDescent="0.2">
      <c r="A3" s="3" t="s">
        <v>88</v>
      </c>
      <c r="B3" s="12">
        <v>43280</v>
      </c>
      <c r="F3" s="4"/>
      <c r="G3" t="s">
        <v>95</v>
      </c>
    </row>
    <row r="4" spans="1:219" x14ac:dyDescent="0.2">
      <c r="A4" s="3" t="s">
        <v>89</v>
      </c>
      <c r="B4" s="12">
        <f>B3+182</f>
        <v>43462</v>
      </c>
    </row>
    <row r="5" spans="1:219" x14ac:dyDescent="0.2">
      <c r="A5" s="3" t="s">
        <v>96</v>
      </c>
      <c r="B5" s="7" t="s">
        <v>2</v>
      </c>
    </row>
    <row r="6" spans="1:219" x14ac:dyDescent="0.2">
      <c r="A6" s="3" t="s">
        <v>99</v>
      </c>
      <c r="B6" s="7" t="s">
        <v>98</v>
      </c>
    </row>
    <row r="7" spans="1:219" x14ac:dyDescent="0.2">
      <c r="A7" s="4" t="s">
        <v>90</v>
      </c>
      <c r="B7" s="8">
        <f>B4-B3</f>
        <v>182</v>
      </c>
      <c r="D7" t="s">
        <v>119</v>
      </c>
      <c r="E7" s="20">
        <f ca="1">B8/(1+B8*B7/360)</f>
        <v>7.6801155202718616E-2</v>
      </c>
    </row>
    <row r="8" spans="1:219" x14ac:dyDescent="0.2">
      <c r="A8" s="13" t="s">
        <v>92</v>
      </c>
      <c r="B8" s="9">
        <f t="array" aca="1" ref="B8" ca="1">IF(B6="Sí",interpolar_alamb($B$7,OFFSET(Curvas_cupon_cero!$A$1,1,0,COUNT(Curvas_cupon_cero!$A:$A)-2,1),OFFSET(Curvas_cupon_cero!$A$1,1,MATCH(Bono_S_Cupon!$B$5,Curvas_cupon_cero!$1:$1,0)-1,COUNT(Curvas_cupon_cero!$A:$A)-2,1)),interpolar($B$7,OFFSET(Curvas_cupon_cero!$A$1,1,0,COUNT(Curvas_cupon_cero!$A:$A)-2,1),OFFSET(Curvas_cupon_cero!$A$1,1,MATCH(Bono_S_Cupon!$B$5,Curvas_cupon_cero!$1:$1,0)-1,COUNT(Curvas_cupon_cero!$A:$A)-2,1)))</f>
        <v>7.9903592000000009E-2</v>
      </c>
      <c r="C8" s="5"/>
      <c r="E8" s="10">
        <f t="array" aca="1" ref="E8" ca="1">B1*B2*(1-E7*B7/360)</f>
        <v>96117.274931418113</v>
      </c>
    </row>
    <row r="9" spans="1:219" x14ac:dyDescent="0.2">
      <c r="A9" s="13" t="s">
        <v>93</v>
      </c>
      <c r="B9" s="10">
        <f ca="1">(B1*B2)/(1+B8*B7/360)</f>
        <v>96117.274931418098</v>
      </c>
    </row>
    <row r="12" spans="1:219" x14ac:dyDescent="0.2">
      <c r="I12" s="38"/>
      <c r="P12" s="38"/>
    </row>
    <row r="14" spans="1:219" x14ac:dyDescent="0.2">
      <c r="E14" s="16" t="s">
        <v>149</v>
      </c>
      <c r="K14">
        <v>1</v>
      </c>
      <c r="L14">
        <v>2</v>
      </c>
      <c r="M14">
        <v>3</v>
      </c>
    </row>
    <row r="15" spans="1:219" x14ac:dyDescent="0.2">
      <c r="E15">
        <f t="array" aca="1" ref="E15:E62" ca="1">OFFSET(Curvas_cupon_cero!$A$1,1,0,COUNT(Curvas_cupon_cero!$A:$A)-2,1)</f>
        <v>1</v>
      </c>
      <c r="F15">
        <f t="array" aca="1" ref="F15:F62" ca="1">OFFSET(Curvas_cupon_cero!$A$1,1,MATCH(Bono_S_Cupon!$B$5,Curvas_cupon_cero!$1:$1,0)-1,COUNT(Curvas_cupon_cero!$A:$A)-2,1)</f>
        <v>7.9060000000000005E-2</v>
      </c>
      <c r="H15" s="16">
        <f t="array" ref="H15">MATCH(Bono_S_Cupon!$B$5,Curvas_cupon_cero!$1:$1,0)-1</f>
        <v>2</v>
      </c>
      <c r="K15">
        <v>4</v>
      </c>
      <c r="L15">
        <v>5</v>
      </c>
      <c r="M15">
        <v>6</v>
      </c>
    </row>
    <row r="16" spans="1:219" x14ac:dyDescent="0.2">
      <c r="E16">
        <f ca="1"/>
        <v>7</v>
      </c>
      <c r="F16" s="40">
        <f ca="1"/>
        <v>7.8088870000000005E-2</v>
      </c>
      <c r="K16">
        <v>7</v>
      </c>
      <c r="L16">
        <v>8</v>
      </c>
      <c r="M16">
        <v>9</v>
      </c>
    </row>
    <row r="17" spans="5:10" x14ac:dyDescent="0.2">
      <c r="E17">
        <f ca="1"/>
        <v>30</v>
      </c>
      <c r="F17">
        <f ca="1"/>
        <v>7.7092640000000004E-2</v>
      </c>
    </row>
    <row r="18" spans="5:10" x14ac:dyDescent="0.2">
      <c r="E18">
        <f ca="1"/>
        <v>60</v>
      </c>
      <c r="F18">
        <f ca="1"/>
        <v>7.7944289999999999E-2</v>
      </c>
    </row>
    <row r="19" spans="5:10" x14ac:dyDescent="0.2">
      <c r="E19">
        <f ca="1"/>
        <v>90</v>
      </c>
      <c r="F19">
        <f ca="1"/>
        <v>7.8969999999999999E-2</v>
      </c>
    </row>
    <row r="20" spans="5:10" x14ac:dyDescent="0.2">
      <c r="E20">
        <f ca="1"/>
        <v>120</v>
      </c>
      <c r="F20">
        <f ca="1"/>
        <v>7.9198530000000003E-2</v>
      </c>
    </row>
    <row r="21" spans="5:10" x14ac:dyDescent="0.2">
      <c r="E21">
        <f ca="1"/>
        <v>150</v>
      </c>
      <c r="F21">
        <f ca="1"/>
        <v>7.9568470000000002E-2</v>
      </c>
      <c r="H21">
        <f t="array" aca="1" ref="H21:J23" ca="1">OFFSET(P12,2,-5,3,3)</f>
        <v>1</v>
      </c>
      <c r="I21">
        <f ca="1"/>
        <v>2</v>
      </c>
      <c r="J21">
        <f ca="1"/>
        <v>3</v>
      </c>
    </row>
    <row r="22" spans="5:10" x14ac:dyDescent="0.2">
      <c r="E22">
        <f ca="1"/>
        <v>180</v>
      </c>
      <c r="F22">
        <f ca="1"/>
        <v>7.9882640000000005E-2</v>
      </c>
      <c r="H22">
        <f ca="1"/>
        <v>4</v>
      </c>
      <c r="I22">
        <f ca="1"/>
        <v>5</v>
      </c>
      <c r="J22">
        <f ca="1"/>
        <v>6</v>
      </c>
    </row>
    <row r="23" spans="5:10" x14ac:dyDescent="0.2">
      <c r="E23">
        <f ca="1"/>
        <v>210</v>
      </c>
      <c r="F23">
        <f ca="1"/>
        <v>8.0196920000000005E-2</v>
      </c>
      <c r="H23">
        <f ca="1"/>
        <v>7</v>
      </c>
      <c r="I23">
        <f ca="1"/>
        <v>8</v>
      </c>
      <c r="J23">
        <f ca="1"/>
        <v>9</v>
      </c>
    </row>
    <row r="24" spans="5:10" x14ac:dyDescent="0.2">
      <c r="E24">
        <f ca="1"/>
        <v>240</v>
      </c>
      <c r="F24">
        <f ca="1"/>
        <v>8.0333329999999994E-2</v>
      </c>
    </row>
    <row r="25" spans="5:10" x14ac:dyDescent="0.2">
      <c r="E25">
        <f ca="1"/>
        <v>270</v>
      </c>
      <c r="F25">
        <f ca="1"/>
        <v>8.0423999999999995E-2</v>
      </c>
    </row>
    <row r="26" spans="5:10" x14ac:dyDescent="0.2">
      <c r="E26">
        <f ca="1"/>
        <v>300</v>
      </c>
      <c r="F26">
        <f ca="1"/>
        <v>8.0520449999999993E-2</v>
      </c>
    </row>
    <row r="27" spans="5:10" x14ac:dyDescent="0.2">
      <c r="E27">
        <f ca="1"/>
        <v>330</v>
      </c>
      <c r="F27">
        <f ca="1"/>
        <v>8.0611710000000003E-2</v>
      </c>
    </row>
    <row r="28" spans="5:10" x14ac:dyDescent="0.2">
      <c r="E28">
        <f ca="1"/>
        <v>360</v>
      </c>
      <c r="F28">
        <f ca="1"/>
        <v>8.0636340000000001E-2</v>
      </c>
    </row>
    <row r="29" spans="5:10" x14ac:dyDescent="0.2">
      <c r="E29">
        <f ca="1"/>
        <v>720</v>
      </c>
      <c r="F29">
        <f ca="1"/>
        <v>8.1110169999999995E-2</v>
      </c>
    </row>
    <row r="30" spans="5:10" x14ac:dyDescent="0.2">
      <c r="E30">
        <f ca="1"/>
        <v>1080</v>
      </c>
      <c r="F30">
        <f ca="1"/>
        <v>8.4750539999999999E-2</v>
      </c>
    </row>
    <row r="31" spans="5:10" x14ac:dyDescent="0.2">
      <c r="E31">
        <f ca="1"/>
        <v>1440</v>
      </c>
      <c r="F31">
        <f ca="1"/>
        <v>8.7997839999999994E-2</v>
      </c>
    </row>
    <row r="32" spans="5:10" x14ac:dyDescent="0.2">
      <c r="E32">
        <f ca="1"/>
        <v>1800</v>
      </c>
      <c r="F32">
        <f ca="1"/>
        <v>9.1313430000000001E-2</v>
      </c>
    </row>
    <row r="33" spans="5:6" x14ac:dyDescent="0.2">
      <c r="E33">
        <f ca="1"/>
        <v>2160</v>
      </c>
      <c r="F33">
        <f ca="1"/>
        <v>9.4131129999999993E-2</v>
      </c>
    </row>
    <row r="34" spans="5:6" x14ac:dyDescent="0.2">
      <c r="E34">
        <f ca="1"/>
        <v>2520</v>
      </c>
      <c r="F34">
        <f ca="1"/>
        <v>9.7182130000000005E-2</v>
      </c>
    </row>
    <row r="35" spans="5:6" x14ac:dyDescent="0.2">
      <c r="E35">
        <f ca="1"/>
        <v>2880</v>
      </c>
      <c r="F35">
        <f ca="1"/>
        <v>0.10142255999999999</v>
      </c>
    </row>
    <row r="36" spans="5:6" x14ac:dyDescent="0.2">
      <c r="E36">
        <f ca="1"/>
        <v>3240</v>
      </c>
      <c r="F36">
        <f ca="1"/>
        <v>0.10582242</v>
      </c>
    </row>
    <row r="37" spans="5:6" x14ac:dyDescent="0.2">
      <c r="E37">
        <f ca="1"/>
        <v>3600</v>
      </c>
      <c r="F37">
        <f ca="1"/>
        <v>0.11045650999999999</v>
      </c>
    </row>
    <row r="38" spans="5:6" x14ac:dyDescent="0.2">
      <c r="E38">
        <f ca="1"/>
        <v>3960</v>
      </c>
      <c r="F38">
        <f ca="1"/>
        <v>0.11535421</v>
      </c>
    </row>
    <row r="39" spans="5:6" x14ac:dyDescent="0.2">
      <c r="E39">
        <f ca="1"/>
        <v>4320</v>
      </c>
      <c r="F39">
        <f ca="1"/>
        <v>0.12074153999999999</v>
      </c>
    </row>
    <row r="40" spans="5:6" x14ac:dyDescent="0.2">
      <c r="E40">
        <f ca="1"/>
        <v>4680</v>
      </c>
      <c r="F40">
        <f ca="1"/>
        <v>0.12648131000000001</v>
      </c>
    </row>
    <row r="41" spans="5:6" x14ac:dyDescent="0.2">
      <c r="E41">
        <f ca="1"/>
        <v>5040</v>
      </c>
      <c r="F41">
        <f ca="1"/>
        <v>0.13246562000000001</v>
      </c>
    </row>
    <row r="42" spans="5:6" x14ac:dyDescent="0.2">
      <c r="E42">
        <f ca="1"/>
        <v>5400</v>
      </c>
      <c r="F42">
        <f ca="1"/>
        <v>0.13880269000000001</v>
      </c>
    </row>
    <row r="43" spans="5:6" x14ac:dyDescent="0.2">
      <c r="E43">
        <f ca="1"/>
        <v>5760</v>
      </c>
      <c r="F43">
        <f ca="1"/>
        <v>0.14552999999999999</v>
      </c>
    </row>
    <row r="44" spans="5:6" x14ac:dyDescent="0.2">
      <c r="E44">
        <f ca="1"/>
        <v>6120</v>
      </c>
      <c r="F44">
        <f ca="1"/>
        <v>0.15282435999999999</v>
      </c>
    </row>
    <row r="45" spans="5:6" x14ac:dyDescent="0.2">
      <c r="E45">
        <f ca="1"/>
        <v>6480</v>
      </c>
      <c r="F45">
        <f ca="1"/>
        <v>0.16087947</v>
      </c>
    </row>
    <row r="46" spans="5:6" x14ac:dyDescent="0.2">
      <c r="E46">
        <f ca="1"/>
        <v>6840</v>
      </c>
      <c r="F46">
        <f ca="1"/>
        <v>0.16921214000000001</v>
      </c>
    </row>
    <row r="47" spans="5:6" x14ac:dyDescent="0.2">
      <c r="E47">
        <f ca="1"/>
        <v>7200</v>
      </c>
      <c r="F47">
        <f ca="1"/>
        <v>0.17750794</v>
      </c>
    </row>
    <row r="48" spans="5:6" x14ac:dyDescent="0.2">
      <c r="E48">
        <f ca="1"/>
        <v>7560</v>
      </c>
      <c r="F48">
        <f ca="1"/>
        <v>0.18639116999999999</v>
      </c>
    </row>
    <row r="49" spans="5:6" x14ac:dyDescent="0.2">
      <c r="E49">
        <f ca="1"/>
        <v>7920</v>
      </c>
      <c r="F49">
        <f ca="1"/>
        <v>0.19603197999999999</v>
      </c>
    </row>
    <row r="50" spans="5:6" x14ac:dyDescent="0.2">
      <c r="E50">
        <f ca="1"/>
        <v>8280</v>
      </c>
      <c r="F50">
        <f ca="1"/>
        <v>0.2062882</v>
      </c>
    </row>
    <row r="51" spans="5:6" x14ac:dyDescent="0.2">
      <c r="E51">
        <f ca="1"/>
        <v>8640</v>
      </c>
      <c r="F51">
        <f ca="1"/>
        <v>0.21720348</v>
      </c>
    </row>
    <row r="52" spans="5:6" x14ac:dyDescent="0.2">
      <c r="E52">
        <f ca="1"/>
        <v>9000</v>
      </c>
      <c r="F52">
        <f ca="1"/>
        <v>0.22875706000000001</v>
      </c>
    </row>
    <row r="53" spans="5:6" x14ac:dyDescent="0.2">
      <c r="E53">
        <f ca="1"/>
        <v>9360</v>
      </c>
      <c r="F53">
        <f ca="1"/>
        <v>0.24085760000000001</v>
      </c>
    </row>
    <row r="54" spans="5:6" x14ac:dyDescent="0.2">
      <c r="E54">
        <f ca="1"/>
        <v>9720</v>
      </c>
      <c r="F54">
        <f ca="1"/>
        <v>0.25372443</v>
      </c>
    </row>
    <row r="55" spans="5:6" x14ac:dyDescent="0.2">
      <c r="E55">
        <f ca="1"/>
        <v>10080</v>
      </c>
      <c r="F55">
        <f ca="1"/>
        <v>0.26741059</v>
      </c>
    </row>
    <row r="56" spans="5:6" x14ac:dyDescent="0.2">
      <c r="E56">
        <f ca="1"/>
        <v>10440</v>
      </c>
      <c r="F56">
        <f ca="1"/>
        <v>0.28197302000000002</v>
      </c>
    </row>
    <row r="57" spans="5:6" x14ac:dyDescent="0.2">
      <c r="E57">
        <f ca="1"/>
        <v>10800</v>
      </c>
      <c r="F57">
        <f ca="1"/>
        <v>0.29734466999999998</v>
      </c>
    </row>
    <row r="58" spans="5:6" x14ac:dyDescent="0.2">
      <c r="E58">
        <f ca="1"/>
        <v>11160</v>
      </c>
      <c r="F58">
        <f ca="1"/>
        <v>0.31318972</v>
      </c>
    </row>
    <row r="59" spans="5:6" x14ac:dyDescent="0.2">
      <c r="E59" t="e">
        <f ca="1"/>
        <v>#N/A</v>
      </c>
      <c r="F59" t="e">
        <f ca="1"/>
        <v>#N/A</v>
      </c>
    </row>
    <row r="60" spans="5:6" x14ac:dyDescent="0.2">
      <c r="E60" t="e">
        <f ca="1"/>
        <v>#N/A</v>
      </c>
      <c r="F60" t="e">
        <f ca="1"/>
        <v>#N/A</v>
      </c>
    </row>
    <row r="61" spans="5:6" x14ac:dyDescent="0.2">
      <c r="E61" t="e">
        <f ca="1"/>
        <v>#N/A</v>
      </c>
      <c r="F61" t="e">
        <f ca="1"/>
        <v>#N/A</v>
      </c>
    </row>
    <row r="62" spans="5:6" x14ac:dyDescent="0.2">
      <c r="E62" t="e">
        <f ca="1"/>
        <v>#N/A</v>
      </c>
      <c r="F62" t="e">
        <f ca="1"/>
        <v>#N/A</v>
      </c>
    </row>
  </sheetData>
  <phoneticPr fontId="0" type="noConversion"/>
  <dataValidations disablePrompts="1" count="1">
    <dataValidation type="list" allowBlank="1" showInputMessage="1" showErrorMessage="1" sqref="B6">
      <formula1>Bin</formula1>
    </dataValidation>
  </dataValidations>
  <pageMargins left="0.75" right="0.75" top="1" bottom="1" header="0.5" footer="0.5"/>
  <pageSetup orientation="portrait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Curvas_cupon_cero!$C$1:$CK$1</xm:f>
          </x14:formula1>
          <xm:sqref>B5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K689"/>
  <sheetViews>
    <sheetView zoomScale="150" zoomScaleNormal="150" workbookViewId="0">
      <selection activeCell="F16" sqref="F16"/>
    </sheetView>
  </sheetViews>
  <sheetFormatPr baseColWidth="10" defaultColWidth="9.140625" defaultRowHeight="12.75" x14ac:dyDescent="0.2"/>
  <cols>
    <col min="1" max="1" width="25" bestFit="1" customWidth="1"/>
    <col min="2" max="2" width="13.140625" bestFit="1" customWidth="1"/>
    <col min="3" max="3" width="11" customWidth="1"/>
    <col min="4" max="4" width="14.7109375" customWidth="1"/>
    <col min="5" max="5" width="13" customWidth="1"/>
    <col min="6" max="6" width="14.85546875" customWidth="1"/>
    <col min="7" max="7" width="16.140625" customWidth="1"/>
    <col min="8" max="8" width="11.42578125" bestFit="1" customWidth="1"/>
    <col min="10" max="10" width="13.42578125" customWidth="1"/>
    <col min="11" max="11" width="12.28515625" bestFit="1" customWidth="1"/>
  </cols>
  <sheetData>
    <row r="1" spans="1:219" x14ac:dyDescent="0.2">
      <c r="A1" s="3" t="s">
        <v>91</v>
      </c>
      <c r="B1" s="6">
        <v>10000</v>
      </c>
      <c r="HK1" t="s">
        <v>97</v>
      </c>
    </row>
    <row r="2" spans="1:219" x14ac:dyDescent="0.2">
      <c r="A2" s="3" t="s">
        <v>87</v>
      </c>
      <c r="B2" s="11">
        <v>100</v>
      </c>
      <c r="F2" s="2"/>
      <c r="G2" t="s">
        <v>94</v>
      </c>
      <c r="HK2" t="s">
        <v>98</v>
      </c>
    </row>
    <row r="3" spans="1:219" x14ac:dyDescent="0.2">
      <c r="A3" s="3" t="s">
        <v>88</v>
      </c>
      <c r="B3" s="12">
        <v>43280</v>
      </c>
      <c r="F3" s="4"/>
      <c r="G3" t="s">
        <v>95</v>
      </c>
    </row>
    <row r="4" spans="1:219" x14ac:dyDescent="0.2">
      <c r="A4" s="3" t="s">
        <v>89</v>
      </c>
      <c r="B4" s="12">
        <f>B3+360*5</f>
        <v>45080</v>
      </c>
    </row>
    <row r="5" spans="1:219" x14ac:dyDescent="0.2">
      <c r="A5" s="14" t="s">
        <v>100</v>
      </c>
      <c r="B5" s="15">
        <v>7.8E-2</v>
      </c>
    </row>
    <row r="6" spans="1:219" x14ac:dyDescent="0.2">
      <c r="A6" s="14" t="s">
        <v>105</v>
      </c>
      <c r="B6" s="6">
        <v>182</v>
      </c>
      <c r="D6" s="33" t="s">
        <v>109</v>
      </c>
      <c r="E6" s="24"/>
      <c r="K6">
        <f>5600</f>
        <v>5600</v>
      </c>
    </row>
    <row r="7" spans="1:219" x14ac:dyDescent="0.2">
      <c r="A7" s="3" t="s">
        <v>96</v>
      </c>
      <c r="B7" s="39" t="s">
        <v>3</v>
      </c>
      <c r="D7" s="8" t="s">
        <v>110</v>
      </c>
      <c r="E7" s="41">
        <f ca="1">(C16*((1-(1+B6*F16/360)^-B10)/(F16*B6/360))+(B1*B2)/(1+F16*B6/360)^B10)*(1+F16*B6/360)^(B9/182)</f>
        <v>1009443.7655892419</v>
      </c>
      <c r="K7">
        <f>K6*0.96</f>
        <v>5376</v>
      </c>
    </row>
    <row r="8" spans="1:219" x14ac:dyDescent="0.2">
      <c r="A8" s="3" t="s">
        <v>99</v>
      </c>
      <c r="B8" s="7" t="s">
        <v>97</v>
      </c>
      <c r="D8" s="8" t="s">
        <v>111</v>
      </c>
      <c r="E8" s="32">
        <f ca="1">E7-B12</f>
        <v>1005110.4322559085</v>
      </c>
      <c r="J8">
        <f>11*210</f>
        <v>2310</v>
      </c>
    </row>
    <row r="9" spans="1:219" x14ac:dyDescent="0.2">
      <c r="A9" s="26" t="s">
        <v>113</v>
      </c>
      <c r="B9" s="27">
        <f>$B$6-($B$11-(INT($B$11/B6))*$B$6)</f>
        <v>20</v>
      </c>
      <c r="F9" s="6"/>
      <c r="G9" s="6"/>
    </row>
    <row r="10" spans="1:219" x14ac:dyDescent="0.2">
      <c r="A10" s="26" t="s">
        <v>112</v>
      </c>
      <c r="B10" s="27">
        <f>INT(B11/B6)+1</f>
        <v>10</v>
      </c>
      <c r="D10" s="16"/>
      <c r="E10" s="16"/>
      <c r="F10" s="6"/>
      <c r="J10">
        <f>J8*0.96</f>
        <v>2217.6</v>
      </c>
    </row>
    <row r="11" spans="1:219" x14ac:dyDescent="0.2">
      <c r="A11" s="4" t="s">
        <v>90</v>
      </c>
      <c r="B11" s="28">
        <f>B4-B3</f>
        <v>1800</v>
      </c>
      <c r="D11" s="33" t="s">
        <v>118</v>
      </c>
      <c r="E11" s="16"/>
    </row>
    <row r="12" spans="1:219" x14ac:dyDescent="0.2">
      <c r="A12" s="26" t="s">
        <v>114</v>
      </c>
      <c r="B12" s="11">
        <f>B9*B5*B1*B2/360</f>
        <v>4333.333333333333</v>
      </c>
      <c r="D12" s="8" t="s">
        <v>110</v>
      </c>
      <c r="E12" s="41">
        <f ca="1">pbono(B1*B2,B5,B6,B11,F16)</f>
        <v>1009443.765589242</v>
      </c>
      <c r="G12" s="30"/>
      <c r="H12" s="1"/>
      <c r="J12">
        <f>7*210</f>
        <v>1470</v>
      </c>
    </row>
    <row r="13" spans="1:219" x14ac:dyDescent="0.2">
      <c r="A13" s="13" t="s">
        <v>116</v>
      </c>
      <c r="B13" s="41">
        <f ca="1">SUM(G16:G689)</f>
        <v>1009443.7655892413</v>
      </c>
      <c r="D13" s="8" t="s">
        <v>111</v>
      </c>
      <c r="E13" s="31">
        <f ca="1">E12-B12</f>
        <v>1005110.4322559086</v>
      </c>
      <c r="J13" s="42">
        <f>J12*0.96</f>
        <v>1411.2</v>
      </c>
    </row>
    <row r="14" spans="1:219" x14ac:dyDescent="0.2">
      <c r="A14" s="13" t="s">
        <v>117</v>
      </c>
      <c r="B14" s="29">
        <f ca="1">B13-B12</f>
        <v>1005110.4322559079</v>
      </c>
      <c r="J14" s="19"/>
    </row>
    <row r="15" spans="1:219" ht="27" customHeight="1" x14ac:dyDescent="0.2">
      <c r="A15" s="22" t="s">
        <v>101</v>
      </c>
      <c r="B15" s="22" t="s">
        <v>108</v>
      </c>
      <c r="C15" s="22" t="s">
        <v>115</v>
      </c>
      <c r="D15" s="22" t="s">
        <v>106</v>
      </c>
      <c r="E15" s="22" t="s">
        <v>107</v>
      </c>
      <c r="F15" s="22" t="s">
        <v>104</v>
      </c>
      <c r="G15" s="22" t="s">
        <v>103</v>
      </c>
    </row>
    <row r="16" spans="1:219" x14ac:dyDescent="0.2">
      <c r="A16" s="12">
        <f>$B$3+$B$11-(INT($B$11/B6))*$B$6</f>
        <v>43442</v>
      </c>
      <c r="B16" s="21">
        <f>IF(A16="","",$B$5)</f>
        <v>7.8E-2</v>
      </c>
      <c r="C16" s="17">
        <f>IF(A16="","",IF(A16=$B$4,$B$1*$B$2, $B$5*$B$6/360*$B$1*$B$2))</f>
        <v>39433.333333333328</v>
      </c>
      <c r="D16" s="18">
        <f>$B$11-(INT($B$11/B6))*$B$6</f>
        <v>162</v>
      </c>
      <c r="E16" s="17">
        <f>D16</f>
        <v>162</v>
      </c>
      <c r="F16" s="23">
        <f ca="1">IF(A16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>7.673201077419653E-2</v>
      </c>
      <c r="G16" s="19">
        <f ca="1">IF(A16="","",C16/(1+F16*$B$6/360)^(COUNT(A$16:A16)-($B$6-$D$16)/$B$6))</f>
        <v>38119.843877609936</v>
      </c>
      <c r="H16" s="6">
        <f ca="1">IF(A16="","",C16/(1+F16*$B$6/360)^(E16/$B$6))</f>
        <v>38119.843877609936</v>
      </c>
      <c r="I16" s="25"/>
    </row>
    <row r="17" spans="1:9" x14ac:dyDescent="0.2">
      <c r="A17" s="12">
        <f t="shared" ref="A17:A25" si="0">IF(A16="","",IF((A16+$B$6)&gt;$B$4,"",(A16+$B$6)))</f>
        <v>43624</v>
      </c>
      <c r="B17" s="21">
        <f t="shared" ref="B17:B80" si="1">IF(A17="","",$B$5)</f>
        <v>7.8E-2</v>
      </c>
      <c r="C17" s="17">
        <f t="shared" ref="C17:C24" si="2">IF(A17="","",IF(A17=$B$4,$B$1*$B$2, $B$5*$B$6/360*$B$1*$B$2))</f>
        <v>39433.333333333328</v>
      </c>
      <c r="D17" s="18">
        <f t="shared" ref="D17:D80" si="3">IF(A17="","",$B$6)</f>
        <v>182</v>
      </c>
      <c r="E17">
        <f t="shared" ref="E17:E80" si="4">IF(A17="","",E16+D17)</f>
        <v>344</v>
      </c>
      <c r="F17" s="23">
        <f ca="1">IF(A17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>7.673201077419653E-2</v>
      </c>
      <c r="G17" s="19">
        <f ca="1">IF(A17="","",C17/(1+F17*$B$6/360)^(COUNT(A$16:A17)-($B$6-$D$16)/$B$6))</f>
        <v>36696.309825807875</v>
      </c>
      <c r="H17" s="6">
        <f t="shared" ref="H17:H80" ca="1" si="5">IF(A17="","",C17/(1+F17*$B$6/360)^(E17/$B$6))</f>
        <v>36696.309825807875</v>
      </c>
      <c r="I17" s="25"/>
    </row>
    <row r="18" spans="1:9" x14ac:dyDescent="0.2">
      <c r="A18" s="12">
        <f t="shared" si="0"/>
        <v>43806</v>
      </c>
      <c r="B18" s="21">
        <f t="shared" si="1"/>
        <v>7.8E-2</v>
      </c>
      <c r="C18" s="17">
        <f t="shared" si="2"/>
        <v>39433.333333333328</v>
      </c>
      <c r="D18" s="18">
        <f t="shared" si="3"/>
        <v>182</v>
      </c>
      <c r="E18">
        <f t="shared" si="4"/>
        <v>526</v>
      </c>
      <c r="F18" s="23">
        <f ca="1">IF(A18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>7.673201077419653E-2</v>
      </c>
      <c r="G18" s="19">
        <f ca="1">IF(A18="","",C18/(1+F18*$B$6/360)^(COUNT(A$16:A18)-($B$6-$D$16)/$B$6))</f>
        <v>35325.935729307479</v>
      </c>
      <c r="H18" s="6">
        <f t="shared" ca="1" si="5"/>
        <v>35325.935729307479</v>
      </c>
      <c r="I18" s="25"/>
    </row>
    <row r="19" spans="1:9" x14ac:dyDescent="0.2">
      <c r="A19" s="12">
        <f t="shared" si="0"/>
        <v>43988</v>
      </c>
      <c r="B19" s="21">
        <f t="shared" si="1"/>
        <v>7.8E-2</v>
      </c>
      <c r="C19" s="17">
        <f t="shared" si="2"/>
        <v>39433.333333333328</v>
      </c>
      <c r="D19" s="18">
        <f t="shared" si="3"/>
        <v>182</v>
      </c>
      <c r="E19">
        <f t="shared" si="4"/>
        <v>708</v>
      </c>
      <c r="F19" s="23">
        <f ca="1">IF(A19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>7.673201077419653E-2</v>
      </c>
      <c r="G19" s="19">
        <f ca="1">IF(A19="","",C19/(1+F19*$B$6/360)^(COUNT(A$16:A19)-($B$6-$D$16)/$B$6))</f>
        <v>34006.736401422058</v>
      </c>
      <c r="H19" s="6">
        <f t="shared" ca="1" si="5"/>
        <v>34006.736401422058</v>
      </c>
      <c r="I19" s="25"/>
    </row>
    <row r="20" spans="1:9" x14ac:dyDescent="0.2">
      <c r="A20" s="12">
        <f t="shared" si="0"/>
        <v>44170</v>
      </c>
      <c r="B20" s="21">
        <f t="shared" si="1"/>
        <v>7.8E-2</v>
      </c>
      <c r="C20" s="17">
        <f t="shared" si="2"/>
        <v>39433.333333333328</v>
      </c>
      <c r="D20" s="18">
        <f t="shared" si="3"/>
        <v>182</v>
      </c>
      <c r="E20">
        <f t="shared" si="4"/>
        <v>890</v>
      </c>
      <c r="F20" s="23">
        <f ca="1">IF(A20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>7.673201077419653E-2</v>
      </c>
      <c r="G20" s="19">
        <f ca="1">IF(A20="","",C20/(1+F20*$B$6/360)^(COUNT(A$16:A20)-($B$6-$D$16)/$B$6))</f>
        <v>32736.800789578836</v>
      </c>
      <c r="H20" s="6">
        <f t="shared" ca="1" si="5"/>
        <v>32736.800789578836</v>
      </c>
      <c r="I20" s="25"/>
    </row>
    <row r="21" spans="1:9" x14ac:dyDescent="0.2">
      <c r="A21" s="12">
        <f t="shared" si="0"/>
        <v>44352</v>
      </c>
      <c r="B21" s="21">
        <f t="shared" si="1"/>
        <v>7.8E-2</v>
      </c>
      <c r="C21" s="17">
        <f t="shared" si="2"/>
        <v>39433.333333333328</v>
      </c>
      <c r="D21" s="18">
        <f t="shared" si="3"/>
        <v>182</v>
      </c>
      <c r="E21">
        <f t="shared" si="4"/>
        <v>1072</v>
      </c>
      <c r="F21" s="23">
        <f ca="1">IF(A21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>7.673201077419653E-2</v>
      </c>
      <c r="G21" s="19">
        <f ca="1">IF(A21="","",C21/(1+F21*$B$6/360)^(COUNT(A$16:A21)-($B$6-$D$16)/$B$6))</f>
        <v>31514.289206880614</v>
      </c>
      <c r="H21" s="6">
        <f t="shared" ca="1" si="5"/>
        <v>31514.289206880614</v>
      </c>
      <c r="I21" s="25"/>
    </row>
    <row r="22" spans="1:9" x14ac:dyDescent="0.2">
      <c r="A22" s="12">
        <f t="shared" si="0"/>
        <v>44534</v>
      </c>
      <c r="B22" s="21">
        <f t="shared" si="1"/>
        <v>7.8E-2</v>
      </c>
      <c r="C22" s="17">
        <f t="shared" si="2"/>
        <v>39433.333333333328</v>
      </c>
      <c r="D22" s="18">
        <f t="shared" si="3"/>
        <v>182</v>
      </c>
      <c r="E22">
        <f t="shared" si="4"/>
        <v>1254</v>
      </c>
      <c r="F22" s="23">
        <f ca="1">IF(A22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>7.673201077419653E-2</v>
      </c>
      <c r="G22" s="19">
        <f ca="1">IF(A22="","",C22/(1+F22*$B$6/360)^(COUNT(A$16:A22)-($B$6-$D$16)/$B$6))</f>
        <v>30337.430667051114</v>
      </c>
      <c r="H22" s="6">
        <f t="shared" ca="1" si="5"/>
        <v>30337.430667051114</v>
      </c>
      <c r="I22" s="25"/>
    </row>
    <row r="23" spans="1:9" x14ac:dyDescent="0.2">
      <c r="A23" s="12">
        <f t="shared" si="0"/>
        <v>44716</v>
      </c>
      <c r="B23" s="21">
        <f t="shared" si="1"/>
        <v>7.8E-2</v>
      </c>
      <c r="C23" s="17">
        <f t="shared" si="2"/>
        <v>39433.333333333328</v>
      </c>
      <c r="D23" s="18">
        <f t="shared" si="3"/>
        <v>182</v>
      </c>
      <c r="E23">
        <f t="shared" si="4"/>
        <v>1436</v>
      </c>
      <c r="F23" s="23">
        <f ca="1">IF(A23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>7.673201077419653E-2</v>
      </c>
      <c r="G23" s="19">
        <f ca="1">IF(A23="","",C23/(1+F23*$B$6/360)^(COUNT(A$16:A23)-($B$6-$D$16)/$B$6))</f>
        <v>29204.520318903091</v>
      </c>
      <c r="H23" s="6">
        <f t="shared" ca="1" si="5"/>
        <v>29204.520318903091</v>
      </c>
      <c r="I23" s="25"/>
    </row>
    <row r="24" spans="1:9" x14ac:dyDescent="0.2">
      <c r="A24" s="12">
        <f t="shared" si="0"/>
        <v>44898</v>
      </c>
      <c r="B24" s="21">
        <f t="shared" si="1"/>
        <v>7.8E-2</v>
      </c>
      <c r="C24" s="17">
        <f t="shared" si="2"/>
        <v>39433.333333333328</v>
      </c>
      <c r="D24" s="18">
        <f t="shared" si="3"/>
        <v>182</v>
      </c>
      <c r="E24">
        <f t="shared" si="4"/>
        <v>1618</v>
      </c>
      <c r="F24" s="23">
        <f ca="1">IF(A24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>7.673201077419653E-2</v>
      </c>
      <c r="G24" s="19">
        <f ca="1">IF(A24="","",C24/(1+F24*$B$6/360)^(COUNT(A$16:A24)-($B$6-$D$16)/$B$6))</f>
        <v>28113.916976612847</v>
      </c>
      <c r="H24" s="6">
        <f t="shared" ca="1" si="5"/>
        <v>28113.916976612847</v>
      </c>
      <c r="I24" s="25"/>
    </row>
    <row r="25" spans="1:9" x14ac:dyDescent="0.2">
      <c r="A25" s="12">
        <f t="shared" si="0"/>
        <v>45080</v>
      </c>
      <c r="B25" s="21">
        <f t="shared" si="1"/>
        <v>7.8E-2</v>
      </c>
      <c r="C25" s="17">
        <f>IF(A25="","",IF(A25=$B$4,$B$1*$B$2+ $B$5*$B$6/360*$B$1*$B$2, $B$5*$B$6/360*$B$1*$B$2))</f>
        <v>1039433.3333333334</v>
      </c>
      <c r="D25" s="18">
        <f t="shared" si="3"/>
        <v>182</v>
      </c>
      <c r="E25">
        <f t="shared" si="4"/>
        <v>1800</v>
      </c>
      <c r="F25" s="23">
        <f ca="1">IF(A25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>7.673201077419653E-2</v>
      </c>
      <c r="G25" s="19">
        <f ca="1">IF(A25="","",C25/(1+F25*$B$6/360)^(COUNT(A$16:A25)-($B$6-$D$16)/$B$6))</f>
        <v>713387.98179606744</v>
      </c>
      <c r="H25" s="6">
        <f t="shared" ca="1" si="5"/>
        <v>713387.98179606744</v>
      </c>
      <c r="I25" s="25"/>
    </row>
    <row r="26" spans="1:9" x14ac:dyDescent="0.2">
      <c r="A26" s="12" t="str">
        <f>IF(A25="","",IF((A25+$B$6)&gt;$B$4,"",(A25+$B$6)))</f>
        <v/>
      </c>
      <c r="B26" t="str">
        <f t="shared" si="1"/>
        <v/>
      </c>
      <c r="C26" s="17" t="str">
        <f t="shared" ref="C26:C89" si="6">IF(A26="","",IF(A26=$B$4,$B$1*$B$2, $B$5*$B$6/360*$B$1*$B$2))</f>
        <v/>
      </c>
      <c r="D26" s="18" t="str">
        <f t="shared" si="3"/>
        <v/>
      </c>
      <c r="E26" t="str">
        <f t="shared" si="4"/>
        <v/>
      </c>
      <c r="F26" s="23" t="str">
        <f ca="1">IF(A26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26" s="19" t="str">
        <f>IF(A26="","",C26/(1+F26*$B$6/360)^(COUNT(A$16:A26)-($B$6-$D$16)/$B$6))</f>
        <v/>
      </c>
      <c r="H26" t="str">
        <f t="shared" si="5"/>
        <v/>
      </c>
    </row>
    <row r="27" spans="1:9" x14ac:dyDescent="0.2">
      <c r="A27" s="12" t="str">
        <f t="shared" ref="A27:A90" si="7">IF(A26="","",IF((A26+$B$6)&gt;$B$4,"",(A26+$B$6)))</f>
        <v/>
      </c>
      <c r="B27" t="str">
        <f t="shared" si="1"/>
        <v/>
      </c>
      <c r="C27" s="17" t="str">
        <f t="shared" si="6"/>
        <v/>
      </c>
      <c r="D27" s="18" t="str">
        <f t="shared" si="3"/>
        <v/>
      </c>
      <c r="E27" t="str">
        <f t="shared" si="4"/>
        <v/>
      </c>
      <c r="F27" s="23" t="str">
        <f ca="1">IF(A27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27" s="19" t="str">
        <f>IF(A27="","",C27/(1+F27*$B$6/360)^(COUNT(A$16:A27)-($B$6-$D$16)/$B$6))</f>
        <v/>
      </c>
      <c r="H27" t="str">
        <f t="shared" si="5"/>
        <v/>
      </c>
    </row>
    <row r="28" spans="1:9" x14ac:dyDescent="0.2">
      <c r="A28" s="12" t="str">
        <f t="shared" si="7"/>
        <v/>
      </c>
      <c r="B28" t="str">
        <f t="shared" si="1"/>
        <v/>
      </c>
      <c r="C28" s="17" t="str">
        <f t="shared" si="6"/>
        <v/>
      </c>
      <c r="D28" s="18" t="str">
        <f t="shared" si="3"/>
        <v/>
      </c>
      <c r="E28" t="str">
        <f t="shared" si="4"/>
        <v/>
      </c>
      <c r="F28" s="23" t="str">
        <f ca="1">IF(A28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28" s="19" t="str">
        <f>IF(A28="","",C28/(1+F28*$B$6/360)^(COUNT(A$16:A28)-($B$6-$D$16)/$B$6))</f>
        <v/>
      </c>
      <c r="H28" t="str">
        <f t="shared" si="5"/>
        <v/>
      </c>
    </row>
    <row r="29" spans="1:9" x14ac:dyDescent="0.2">
      <c r="A29" s="12" t="str">
        <f t="shared" si="7"/>
        <v/>
      </c>
      <c r="B29" t="str">
        <f t="shared" si="1"/>
        <v/>
      </c>
      <c r="C29" s="17" t="str">
        <f t="shared" si="6"/>
        <v/>
      </c>
      <c r="D29" s="18" t="str">
        <f t="shared" si="3"/>
        <v/>
      </c>
      <c r="E29" t="str">
        <f t="shared" si="4"/>
        <v/>
      </c>
      <c r="F29" s="23" t="str">
        <f ca="1">IF(A29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29" s="19" t="str">
        <f>IF(A29="","",C29/(1+F29*$B$6/360)^(COUNT(A$16:A29)-($B$6-$D$16)/$B$6))</f>
        <v/>
      </c>
      <c r="H29" t="str">
        <f t="shared" si="5"/>
        <v/>
      </c>
    </row>
    <row r="30" spans="1:9" x14ac:dyDescent="0.2">
      <c r="A30" s="12" t="str">
        <f t="shared" si="7"/>
        <v/>
      </c>
      <c r="B30" t="str">
        <f t="shared" si="1"/>
        <v/>
      </c>
      <c r="C30" s="17" t="str">
        <f t="shared" si="6"/>
        <v/>
      </c>
      <c r="D30" s="18" t="str">
        <f t="shared" si="3"/>
        <v/>
      </c>
      <c r="E30" t="str">
        <f t="shared" si="4"/>
        <v/>
      </c>
      <c r="F30" s="23" t="str">
        <f ca="1">IF(A30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30" s="19" t="str">
        <f>IF(A30="","",C30/(1+F30*$B$6/360)^(COUNT(A$16:A30)-($B$6-$D$16)/$B$6))</f>
        <v/>
      </c>
      <c r="H30" t="str">
        <f t="shared" si="5"/>
        <v/>
      </c>
    </row>
    <row r="31" spans="1:9" x14ac:dyDescent="0.2">
      <c r="A31" s="12" t="str">
        <f t="shared" si="7"/>
        <v/>
      </c>
      <c r="B31" t="str">
        <f t="shared" si="1"/>
        <v/>
      </c>
      <c r="C31" s="17" t="str">
        <f t="shared" si="6"/>
        <v/>
      </c>
      <c r="D31" s="18" t="str">
        <f t="shared" si="3"/>
        <v/>
      </c>
      <c r="E31" t="str">
        <f t="shared" si="4"/>
        <v/>
      </c>
      <c r="F31" s="23" t="str">
        <f ca="1">IF(A31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31" s="19" t="str">
        <f>IF(A31="","",C31/(1+F31*$B$6/360)^(COUNT(A$16:A31)-($B$6-$D$16)/$B$6))</f>
        <v/>
      </c>
      <c r="H31" t="str">
        <f t="shared" si="5"/>
        <v/>
      </c>
    </row>
    <row r="32" spans="1:9" x14ac:dyDescent="0.2">
      <c r="A32" s="12" t="str">
        <f t="shared" si="7"/>
        <v/>
      </c>
      <c r="B32" t="str">
        <f t="shared" si="1"/>
        <v/>
      </c>
      <c r="C32" s="17" t="str">
        <f t="shared" si="6"/>
        <v/>
      </c>
      <c r="D32" s="18" t="str">
        <f t="shared" si="3"/>
        <v/>
      </c>
      <c r="E32" t="str">
        <f t="shared" si="4"/>
        <v/>
      </c>
      <c r="F32" s="23" t="str">
        <f ca="1">IF(A32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32" s="19" t="str">
        <f>IF(A32="","",C32/(1+F32*$B$6/360)^(COUNT(A$16:A32)-($B$6-$D$16)/$B$6))</f>
        <v/>
      </c>
      <c r="H32" t="str">
        <f t="shared" si="5"/>
        <v/>
      </c>
    </row>
    <row r="33" spans="1:10" x14ac:dyDescent="0.2">
      <c r="A33" s="12" t="str">
        <f t="shared" si="7"/>
        <v/>
      </c>
      <c r="B33" t="str">
        <f t="shared" si="1"/>
        <v/>
      </c>
      <c r="C33" s="17" t="str">
        <f t="shared" si="6"/>
        <v/>
      </c>
      <c r="D33" s="18" t="str">
        <f t="shared" si="3"/>
        <v/>
      </c>
      <c r="E33" t="str">
        <f t="shared" si="4"/>
        <v/>
      </c>
      <c r="F33" s="23" t="str">
        <f ca="1">IF(A33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33" s="19" t="str">
        <f>IF(A33="","",C33/(1+F33*$B$6/360)^(COUNT(A$16:A33)-($B$6-$D$16)/$B$6))</f>
        <v/>
      </c>
      <c r="H33" t="str">
        <f t="shared" si="5"/>
        <v/>
      </c>
    </row>
    <row r="34" spans="1:10" x14ac:dyDescent="0.2">
      <c r="A34" s="12" t="str">
        <f t="shared" si="7"/>
        <v/>
      </c>
      <c r="B34" t="str">
        <f t="shared" si="1"/>
        <v/>
      </c>
      <c r="C34" s="17" t="str">
        <f t="shared" si="6"/>
        <v/>
      </c>
      <c r="D34" s="18" t="str">
        <f t="shared" si="3"/>
        <v/>
      </c>
      <c r="E34" t="str">
        <f t="shared" si="4"/>
        <v/>
      </c>
      <c r="F34" s="23" t="str">
        <f ca="1">IF(A34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34" s="19" t="str">
        <f>IF(A34="","",C34/(1+F34*$B$6/360)^(COUNT(A$16:A34)-($B$6-$D$16)/$B$6))</f>
        <v/>
      </c>
      <c r="H34" t="str">
        <f t="shared" si="5"/>
        <v/>
      </c>
    </row>
    <row r="35" spans="1:10" x14ac:dyDescent="0.2">
      <c r="A35" s="12" t="str">
        <f t="shared" si="7"/>
        <v/>
      </c>
      <c r="B35" t="str">
        <f t="shared" si="1"/>
        <v/>
      </c>
      <c r="C35" s="17" t="str">
        <f t="shared" si="6"/>
        <v/>
      </c>
      <c r="D35" s="18" t="str">
        <f t="shared" si="3"/>
        <v/>
      </c>
      <c r="E35" t="str">
        <f t="shared" si="4"/>
        <v/>
      </c>
      <c r="F35" s="23" t="str">
        <f ca="1">IF(A35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35" s="19" t="str">
        <f>IF(A35="","",C35/(1+F35*$B$6/360)^(COUNT(A$16:A35)-($B$6-$D$16)/$B$6))</f>
        <v/>
      </c>
      <c r="H35" t="str">
        <f t="shared" si="5"/>
        <v/>
      </c>
    </row>
    <row r="36" spans="1:10" x14ac:dyDescent="0.2">
      <c r="A36" s="12" t="str">
        <f t="shared" si="7"/>
        <v/>
      </c>
      <c r="B36" t="str">
        <f t="shared" si="1"/>
        <v/>
      </c>
      <c r="C36" s="17" t="str">
        <f t="shared" si="6"/>
        <v/>
      </c>
      <c r="D36" s="18" t="str">
        <f t="shared" si="3"/>
        <v/>
      </c>
      <c r="E36" t="str">
        <f t="shared" si="4"/>
        <v/>
      </c>
      <c r="F36" s="23" t="str">
        <f ca="1">IF(A36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36" s="19" t="str">
        <f>IF(A36="","",C36/(1+F36*$B$6/360)^(COUNT(A$16:A36)-($B$6-$D$16)/$B$6))</f>
        <v/>
      </c>
      <c r="H36" t="str">
        <f t="shared" si="5"/>
        <v/>
      </c>
    </row>
    <row r="37" spans="1:10" x14ac:dyDescent="0.2">
      <c r="A37" s="12" t="str">
        <f t="shared" si="7"/>
        <v/>
      </c>
      <c r="B37" t="str">
        <f t="shared" si="1"/>
        <v/>
      </c>
      <c r="C37" s="17" t="str">
        <f t="shared" si="6"/>
        <v/>
      </c>
      <c r="D37" s="18" t="str">
        <f t="shared" si="3"/>
        <v/>
      </c>
      <c r="E37" t="str">
        <f t="shared" si="4"/>
        <v/>
      </c>
      <c r="F37" s="23" t="str">
        <f ca="1">IF(A37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37" s="19" t="str">
        <f>IF(A37="","",C37/(1+F37*$B$6/360)^(COUNT(A$16:A37)-($B$6-$D$16)/$B$6))</f>
        <v/>
      </c>
      <c r="H37" t="str">
        <f t="shared" si="5"/>
        <v/>
      </c>
    </row>
    <row r="38" spans="1:10" x14ac:dyDescent="0.2">
      <c r="A38" s="12" t="str">
        <f t="shared" si="7"/>
        <v/>
      </c>
      <c r="B38" t="str">
        <f t="shared" si="1"/>
        <v/>
      </c>
      <c r="C38" s="17" t="str">
        <f t="shared" si="6"/>
        <v/>
      </c>
      <c r="D38" s="18" t="str">
        <f t="shared" si="3"/>
        <v/>
      </c>
      <c r="E38" t="str">
        <f t="shared" si="4"/>
        <v/>
      </c>
      <c r="F38" s="23" t="str">
        <f ca="1">IF(A38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38" s="19" t="str">
        <f>IF(A38="","",C38/(1+F38*$B$6/360)^(COUNT(A$16:A38)-($B$6-$D$16)/$B$6))</f>
        <v/>
      </c>
      <c r="H38" t="str">
        <f t="shared" si="5"/>
        <v/>
      </c>
    </row>
    <row r="39" spans="1:10" x14ac:dyDescent="0.2">
      <c r="A39" s="12" t="str">
        <f t="shared" si="7"/>
        <v/>
      </c>
      <c r="B39" t="str">
        <f t="shared" si="1"/>
        <v/>
      </c>
      <c r="C39" s="17" t="str">
        <f t="shared" si="6"/>
        <v/>
      </c>
      <c r="D39" s="18" t="str">
        <f t="shared" si="3"/>
        <v/>
      </c>
      <c r="E39" t="str">
        <f t="shared" si="4"/>
        <v/>
      </c>
      <c r="F39" s="23" t="str">
        <f ca="1">IF(A39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39" s="19" t="str">
        <f>IF(A39="","",C39/(1+F39*$B$6/360)^(COUNT(A$16:A39)-($B$6-$D$16)/$B$6))</f>
        <v/>
      </c>
      <c r="H39" t="str">
        <f t="shared" si="5"/>
        <v/>
      </c>
      <c r="J39">
        <f>12+(17-9)</f>
        <v>20</v>
      </c>
    </row>
    <row r="40" spans="1:10" x14ac:dyDescent="0.2">
      <c r="A40" s="12" t="str">
        <f t="shared" si="7"/>
        <v/>
      </c>
      <c r="B40" t="str">
        <f t="shared" si="1"/>
        <v/>
      </c>
      <c r="C40" s="17" t="str">
        <f t="shared" si="6"/>
        <v/>
      </c>
      <c r="D40" s="18" t="str">
        <f t="shared" si="3"/>
        <v/>
      </c>
      <c r="E40" t="str">
        <f t="shared" si="4"/>
        <v/>
      </c>
      <c r="F40" s="23" t="str">
        <f ca="1">IF(A40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40" s="19" t="str">
        <f>IF(A40="","",C40/(1+F40*$B$6/360)^(COUNT(A$16:A40)-($B$6-$D$16)/$B$6))</f>
        <v/>
      </c>
      <c r="H40" t="str">
        <f t="shared" si="5"/>
        <v/>
      </c>
    </row>
    <row r="41" spans="1:10" x14ac:dyDescent="0.2">
      <c r="A41" s="12" t="str">
        <f t="shared" si="7"/>
        <v/>
      </c>
      <c r="B41" t="str">
        <f t="shared" si="1"/>
        <v/>
      </c>
      <c r="C41" s="17" t="str">
        <f t="shared" si="6"/>
        <v/>
      </c>
      <c r="D41" s="18" t="str">
        <f t="shared" si="3"/>
        <v/>
      </c>
      <c r="E41" t="str">
        <f t="shared" si="4"/>
        <v/>
      </c>
      <c r="F41" s="23" t="str">
        <f ca="1">IF(A41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41" s="19" t="str">
        <f>IF(A41="","",C41/(1+F41*$B$6/360)^(COUNT(A$16:A41)-($B$6-$D$16)/$B$6))</f>
        <v/>
      </c>
      <c r="H41" t="str">
        <f t="shared" si="5"/>
        <v/>
      </c>
    </row>
    <row r="42" spans="1:10" x14ac:dyDescent="0.2">
      <c r="A42" s="12" t="str">
        <f t="shared" si="7"/>
        <v/>
      </c>
      <c r="B42" t="str">
        <f t="shared" si="1"/>
        <v/>
      </c>
      <c r="C42" s="17" t="str">
        <f t="shared" si="6"/>
        <v/>
      </c>
      <c r="D42" s="18" t="str">
        <f t="shared" si="3"/>
        <v/>
      </c>
      <c r="E42" t="str">
        <f t="shared" si="4"/>
        <v/>
      </c>
      <c r="F42" s="23" t="str">
        <f ca="1">IF(A42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42" s="19" t="str">
        <f>IF(A42="","",C42/(1+F42*$B$6/360)^(COUNT(A$16:A42)-($B$6-$D$16)/$B$6))</f>
        <v/>
      </c>
      <c r="H42" t="str">
        <f t="shared" si="5"/>
        <v/>
      </c>
    </row>
    <row r="43" spans="1:10" x14ac:dyDescent="0.2">
      <c r="A43" s="12" t="str">
        <f t="shared" si="7"/>
        <v/>
      </c>
      <c r="B43" t="str">
        <f t="shared" si="1"/>
        <v/>
      </c>
      <c r="C43" s="17" t="str">
        <f t="shared" si="6"/>
        <v/>
      </c>
      <c r="D43" s="18" t="str">
        <f t="shared" si="3"/>
        <v/>
      </c>
      <c r="E43" t="str">
        <f t="shared" si="4"/>
        <v/>
      </c>
      <c r="F43" s="23" t="str">
        <f ca="1">IF(A43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43" s="19" t="str">
        <f>IF(A43="","",C43/(1+F43*$B$6/360)^(COUNT(A$16:A43)-($B$6-$D$16)/$B$6))</f>
        <v/>
      </c>
      <c r="H43" t="str">
        <f t="shared" si="5"/>
        <v/>
      </c>
    </row>
    <row r="44" spans="1:10" x14ac:dyDescent="0.2">
      <c r="A44" s="12" t="str">
        <f t="shared" si="7"/>
        <v/>
      </c>
      <c r="B44" t="str">
        <f t="shared" si="1"/>
        <v/>
      </c>
      <c r="C44" s="17" t="str">
        <f t="shared" si="6"/>
        <v/>
      </c>
      <c r="D44" s="18" t="str">
        <f t="shared" si="3"/>
        <v/>
      </c>
      <c r="E44" t="str">
        <f t="shared" si="4"/>
        <v/>
      </c>
      <c r="F44" s="23" t="str">
        <f ca="1">IF(A44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44" s="19" t="str">
        <f>IF(A44="","",C44/(1+F44*$B$6/360)^(COUNT(A$16:A44)-($B$6-$D$16)/$B$6))</f>
        <v/>
      </c>
      <c r="H44" t="str">
        <f t="shared" si="5"/>
        <v/>
      </c>
    </row>
    <row r="45" spans="1:10" x14ac:dyDescent="0.2">
      <c r="A45" s="12" t="str">
        <f t="shared" si="7"/>
        <v/>
      </c>
      <c r="B45" t="str">
        <f t="shared" si="1"/>
        <v/>
      </c>
      <c r="C45" s="17" t="str">
        <f t="shared" si="6"/>
        <v/>
      </c>
      <c r="D45" s="18" t="str">
        <f t="shared" si="3"/>
        <v/>
      </c>
      <c r="E45" t="str">
        <f t="shared" si="4"/>
        <v/>
      </c>
      <c r="F45" s="23" t="str">
        <f ca="1">IF(A45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45" s="19" t="str">
        <f>IF(A45="","",C45/(1+F45*$B$6/360)^(COUNT(A$16:A45)-($B$6-$D$16)/$B$6))</f>
        <v/>
      </c>
      <c r="H45" t="str">
        <f t="shared" si="5"/>
        <v/>
      </c>
    </row>
    <row r="46" spans="1:10" x14ac:dyDescent="0.2">
      <c r="A46" s="12" t="str">
        <f t="shared" si="7"/>
        <v/>
      </c>
      <c r="B46" t="str">
        <f t="shared" si="1"/>
        <v/>
      </c>
      <c r="C46" s="17" t="str">
        <f t="shared" si="6"/>
        <v/>
      </c>
      <c r="D46" s="18" t="str">
        <f t="shared" si="3"/>
        <v/>
      </c>
      <c r="E46" t="str">
        <f t="shared" si="4"/>
        <v/>
      </c>
      <c r="F46" s="23" t="str">
        <f ca="1">IF(A46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46" s="19" t="str">
        <f>IF(A46="","",C46/(1+F46*$B$6/360)^(COUNT(A$16:A46)-($B$6-$D$16)/$B$6))</f>
        <v/>
      </c>
      <c r="H46" t="str">
        <f t="shared" si="5"/>
        <v/>
      </c>
    </row>
    <row r="47" spans="1:10" x14ac:dyDescent="0.2">
      <c r="A47" s="12" t="str">
        <f t="shared" si="7"/>
        <v/>
      </c>
      <c r="B47" t="str">
        <f t="shared" si="1"/>
        <v/>
      </c>
      <c r="C47" s="17" t="str">
        <f t="shared" si="6"/>
        <v/>
      </c>
      <c r="D47" s="18" t="str">
        <f t="shared" si="3"/>
        <v/>
      </c>
      <c r="E47" t="str">
        <f t="shared" si="4"/>
        <v/>
      </c>
      <c r="F47" s="23" t="str">
        <f ca="1">IF(A47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47" s="19" t="str">
        <f>IF(A47="","",C47/(1+F47*$B$6/360)^(COUNT(A$16:A47)-($B$6-$D$16)/$B$6))</f>
        <v/>
      </c>
      <c r="H47" t="str">
        <f t="shared" si="5"/>
        <v/>
      </c>
    </row>
    <row r="48" spans="1:10" x14ac:dyDescent="0.2">
      <c r="A48" s="12" t="str">
        <f t="shared" si="7"/>
        <v/>
      </c>
      <c r="B48" t="str">
        <f t="shared" si="1"/>
        <v/>
      </c>
      <c r="C48" s="17" t="str">
        <f t="shared" si="6"/>
        <v/>
      </c>
      <c r="D48" s="18" t="str">
        <f t="shared" si="3"/>
        <v/>
      </c>
      <c r="E48" t="str">
        <f t="shared" si="4"/>
        <v/>
      </c>
      <c r="F48" s="23" t="str">
        <f ca="1">IF(A48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48" s="19" t="str">
        <f>IF(A48="","",C48/(1+F48*$B$6/360)^(COUNT(A$16:A48)-($B$6-$D$16)/$B$6))</f>
        <v/>
      </c>
      <c r="H48" t="str">
        <f t="shared" si="5"/>
        <v/>
      </c>
    </row>
    <row r="49" spans="1:8" x14ac:dyDescent="0.2">
      <c r="A49" s="12" t="str">
        <f t="shared" si="7"/>
        <v/>
      </c>
      <c r="B49" t="str">
        <f t="shared" si="1"/>
        <v/>
      </c>
      <c r="C49" s="17" t="str">
        <f t="shared" si="6"/>
        <v/>
      </c>
      <c r="D49" s="18" t="str">
        <f t="shared" si="3"/>
        <v/>
      </c>
      <c r="E49" t="str">
        <f t="shared" si="4"/>
        <v/>
      </c>
      <c r="F49" s="23" t="str">
        <f ca="1">IF(A49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49" s="19" t="str">
        <f>IF(A49="","",C49/(1+F49*$B$6/360)^(COUNT(A$16:A49)-($B$6-$D$16)/$B$6))</f>
        <v/>
      </c>
      <c r="H49" t="str">
        <f t="shared" si="5"/>
        <v/>
      </c>
    </row>
    <row r="50" spans="1:8" x14ac:dyDescent="0.2">
      <c r="A50" s="12" t="str">
        <f t="shared" si="7"/>
        <v/>
      </c>
      <c r="B50" t="str">
        <f t="shared" si="1"/>
        <v/>
      </c>
      <c r="C50" s="17" t="str">
        <f t="shared" si="6"/>
        <v/>
      </c>
      <c r="D50" s="18" t="str">
        <f t="shared" si="3"/>
        <v/>
      </c>
      <c r="E50" t="str">
        <f t="shared" si="4"/>
        <v/>
      </c>
      <c r="F50" s="23" t="str">
        <f ca="1">IF(A50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50" s="19" t="str">
        <f>IF(A50="","",C50/(1+F50*$B$6/360)^(COUNT(A$16:A50)-($B$6-$D$16)/$B$6))</f>
        <v/>
      </c>
      <c r="H50" t="str">
        <f t="shared" si="5"/>
        <v/>
      </c>
    </row>
    <row r="51" spans="1:8" x14ac:dyDescent="0.2">
      <c r="A51" s="12" t="str">
        <f t="shared" si="7"/>
        <v/>
      </c>
      <c r="B51" t="str">
        <f t="shared" si="1"/>
        <v/>
      </c>
      <c r="C51" s="17" t="str">
        <f t="shared" si="6"/>
        <v/>
      </c>
      <c r="D51" s="18" t="str">
        <f t="shared" si="3"/>
        <v/>
      </c>
      <c r="E51" t="str">
        <f t="shared" si="4"/>
        <v/>
      </c>
      <c r="F51" s="23" t="str">
        <f ca="1">IF(A51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51" s="19" t="str">
        <f>IF(A51="","",C51/(1+F51*$B$6/360)^(COUNT(A$16:A51)-($B$6-$D$16)/$B$6))</f>
        <v/>
      </c>
      <c r="H51" t="str">
        <f t="shared" si="5"/>
        <v/>
      </c>
    </row>
    <row r="52" spans="1:8" x14ac:dyDescent="0.2">
      <c r="A52" s="12" t="str">
        <f t="shared" si="7"/>
        <v/>
      </c>
      <c r="B52" t="str">
        <f t="shared" si="1"/>
        <v/>
      </c>
      <c r="C52" s="17" t="str">
        <f t="shared" si="6"/>
        <v/>
      </c>
      <c r="D52" s="18" t="str">
        <f t="shared" si="3"/>
        <v/>
      </c>
      <c r="E52" t="str">
        <f t="shared" si="4"/>
        <v/>
      </c>
      <c r="F52" s="23" t="str">
        <f ca="1">IF(A52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52" s="19" t="str">
        <f>IF(A52="","",C52/(1+F52*$B$6/360)^(COUNT(A$16:A52)-($B$6-$D$16)/$B$6))</f>
        <v/>
      </c>
      <c r="H52" t="str">
        <f t="shared" si="5"/>
        <v/>
      </c>
    </row>
    <row r="53" spans="1:8" x14ac:dyDescent="0.2">
      <c r="A53" s="12" t="str">
        <f t="shared" si="7"/>
        <v/>
      </c>
      <c r="B53" t="str">
        <f t="shared" si="1"/>
        <v/>
      </c>
      <c r="C53" s="17" t="str">
        <f t="shared" si="6"/>
        <v/>
      </c>
      <c r="D53" s="18" t="str">
        <f t="shared" si="3"/>
        <v/>
      </c>
      <c r="E53" t="str">
        <f t="shared" si="4"/>
        <v/>
      </c>
      <c r="F53" s="23" t="str">
        <f ca="1">IF(A53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53" s="19" t="str">
        <f>IF(A53="","",C53/(1+F53*$B$6/360)^(COUNT(A$16:A53)-($B$6-$D$16)/$B$6))</f>
        <v/>
      </c>
      <c r="H53" t="str">
        <f t="shared" si="5"/>
        <v/>
      </c>
    </row>
    <row r="54" spans="1:8" x14ac:dyDescent="0.2">
      <c r="A54" s="12" t="str">
        <f t="shared" si="7"/>
        <v/>
      </c>
      <c r="B54" t="str">
        <f t="shared" si="1"/>
        <v/>
      </c>
      <c r="C54" s="17" t="str">
        <f t="shared" si="6"/>
        <v/>
      </c>
      <c r="D54" s="18" t="str">
        <f t="shared" si="3"/>
        <v/>
      </c>
      <c r="E54" t="str">
        <f t="shared" si="4"/>
        <v/>
      </c>
      <c r="F54" s="23" t="str">
        <f ca="1">IF(A54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54" s="19" t="str">
        <f>IF(A54="","",C54/(1+F54*$B$6/360)^(COUNT(A$16:A54)-($B$6-$D$16)/$B$6))</f>
        <v/>
      </c>
      <c r="H54" t="str">
        <f t="shared" si="5"/>
        <v/>
      </c>
    </row>
    <row r="55" spans="1:8" x14ac:dyDescent="0.2">
      <c r="A55" s="12" t="str">
        <f t="shared" si="7"/>
        <v/>
      </c>
      <c r="B55" t="str">
        <f t="shared" si="1"/>
        <v/>
      </c>
      <c r="C55" s="17" t="str">
        <f t="shared" si="6"/>
        <v/>
      </c>
      <c r="D55" s="18" t="str">
        <f t="shared" si="3"/>
        <v/>
      </c>
      <c r="E55" t="str">
        <f t="shared" si="4"/>
        <v/>
      </c>
      <c r="F55" s="23" t="str">
        <f ca="1">IF(A55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55" s="19" t="str">
        <f>IF(A55="","",C55/(1+F55*$B$6/360)^(COUNT(A$16:A55)-($B$6-$D$16)/$B$6))</f>
        <v/>
      </c>
      <c r="H55" t="str">
        <f t="shared" si="5"/>
        <v/>
      </c>
    </row>
    <row r="56" spans="1:8" x14ac:dyDescent="0.2">
      <c r="A56" s="12" t="str">
        <f t="shared" si="7"/>
        <v/>
      </c>
      <c r="B56" t="str">
        <f t="shared" si="1"/>
        <v/>
      </c>
      <c r="C56" s="17" t="str">
        <f t="shared" si="6"/>
        <v/>
      </c>
      <c r="D56" s="18" t="str">
        <f t="shared" si="3"/>
        <v/>
      </c>
      <c r="E56" t="str">
        <f t="shared" si="4"/>
        <v/>
      </c>
      <c r="F56" s="23" t="str">
        <f ca="1">IF(A56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56" s="19" t="str">
        <f>IF(A56="","",C56/(1+F56*$B$6/360)^(COUNT(A$16:A56)-($B$6-$D$16)/$B$6))</f>
        <v/>
      </c>
      <c r="H56" t="str">
        <f t="shared" si="5"/>
        <v/>
      </c>
    </row>
    <row r="57" spans="1:8" x14ac:dyDescent="0.2">
      <c r="A57" s="12" t="str">
        <f t="shared" si="7"/>
        <v/>
      </c>
      <c r="B57" t="str">
        <f t="shared" si="1"/>
        <v/>
      </c>
      <c r="C57" s="17" t="str">
        <f t="shared" si="6"/>
        <v/>
      </c>
      <c r="D57" s="18" t="str">
        <f t="shared" si="3"/>
        <v/>
      </c>
      <c r="E57" t="str">
        <f t="shared" si="4"/>
        <v/>
      </c>
      <c r="F57" s="23" t="str">
        <f ca="1">IF(A57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57" s="19" t="str">
        <f>IF(A57="","",C57/(1+F57*$B$6/360)^(COUNT(A$16:A57)-($B$6-$D$16)/$B$6))</f>
        <v/>
      </c>
      <c r="H57" t="str">
        <f t="shared" si="5"/>
        <v/>
      </c>
    </row>
    <row r="58" spans="1:8" x14ac:dyDescent="0.2">
      <c r="A58" s="12" t="str">
        <f t="shared" si="7"/>
        <v/>
      </c>
      <c r="B58" t="str">
        <f t="shared" si="1"/>
        <v/>
      </c>
      <c r="C58" s="17" t="str">
        <f t="shared" si="6"/>
        <v/>
      </c>
      <c r="D58" s="18" t="str">
        <f t="shared" si="3"/>
        <v/>
      </c>
      <c r="E58" t="str">
        <f t="shared" si="4"/>
        <v/>
      </c>
      <c r="F58" s="23" t="str">
        <f ca="1">IF(A58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58" s="19" t="str">
        <f>IF(A58="","",C58/(1+F58*$B$6/360)^(COUNT(A$16:A58)-($B$6-$D$16)/$B$6))</f>
        <v/>
      </c>
      <c r="H58" t="str">
        <f t="shared" si="5"/>
        <v/>
      </c>
    </row>
    <row r="59" spans="1:8" x14ac:dyDescent="0.2">
      <c r="A59" s="12" t="str">
        <f t="shared" si="7"/>
        <v/>
      </c>
      <c r="B59" t="str">
        <f t="shared" si="1"/>
        <v/>
      </c>
      <c r="C59" s="17" t="str">
        <f t="shared" si="6"/>
        <v/>
      </c>
      <c r="D59" s="18" t="str">
        <f t="shared" si="3"/>
        <v/>
      </c>
      <c r="E59" t="str">
        <f t="shared" si="4"/>
        <v/>
      </c>
      <c r="F59" s="23" t="str">
        <f ca="1">IF(A59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59" s="19" t="str">
        <f>IF(A59="","",C59/(1+F59*$B$6/360)^(COUNT(A$16:A59)-($B$6-$D$16)/$B$6))</f>
        <v/>
      </c>
      <c r="H59" t="str">
        <f t="shared" si="5"/>
        <v/>
      </c>
    </row>
    <row r="60" spans="1:8" x14ac:dyDescent="0.2">
      <c r="A60" s="12" t="str">
        <f t="shared" si="7"/>
        <v/>
      </c>
      <c r="B60" t="str">
        <f t="shared" si="1"/>
        <v/>
      </c>
      <c r="C60" s="17" t="str">
        <f t="shared" si="6"/>
        <v/>
      </c>
      <c r="D60" s="18" t="str">
        <f t="shared" si="3"/>
        <v/>
      </c>
      <c r="E60" t="str">
        <f t="shared" si="4"/>
        <v/>
      </c>
      <c r="F60" s="23" t="str">
        <f ca="1">IF(A60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60" s="19" t="str">
        <f>IF(A60="","",C60/(1+F60*$B$6/360)^(COUNT(A$16:A60)-($B$6-$D$16)/$B$6))</f>
        <v/>
      </c>
      <c r="H60" t="str">
        <f t="shared" si="5"/>
        <v/>
      </c>
    </row>
    <row r="61" spans="1:8" x14ac:dyDescent="0.2">
      <c r="A61" s="12" t="str">
        <f t="shared" si="7"/>
        <v/>
      </c>
      <c r="B61" t="str">
        <f t="shared" si="1"/>
        <v/>
      </c>
      <c r="C61" s="17" t="str">
        <f t="shared" si="6"/>
        <v/>
      </c>
      <c r="D61" s="18" t="str">
        <f t="shared" si="3"/>
        <v/>
      </c>
      <c r="E61" t="str">
        <f t="shared" si="4"/>
        <v/>
      </c>
      <c r="F61" s="23" t="str">
        <f ca="1">IF(A61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61" s="19" t="str">
        <f>IF(A61="","",C61/(1+F61*$B$6/360)^(COUNT(A$16:A61)-($B$6-$D$16)/$B$6))</f>
        <v/>
      </c>
      <c r="H61" t="str">
        <f t="shared" si="5"/>
        <v/>
      </c>
    </row>
    <row r="62" spans="1:8" x14ac:dyDescent="0.2">
      <c r="A62" s="12" t="str">
        <f t="shared" si="7"/>
        <v/>
      </c>
      <c r="B62" t="str">
        <f t="shared" si="1"/>
        <v/>
      </c>
      <c r="C62" s="17" t="str">
        <f t="shared" si="6"/>
        <v/>
      </c>
      <c r="D62" s="18" t="str">
        <f t="shared" si="3"/>
        <v/>
      </c>
      <c r="E62" t="str">
        <f t="shared" si="4"/>
        <v/>
      </c>
      <c r="F62" s="23" t="str">
        <f ca="1">IF(A62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62" s="19" t="str">
        <f>IF(A62="","",C62/(1+F62*$B$6/360)^(COUNT(A$16:A62)-($B$6-$D$16)/$B$6))</f>
        <v/>
      </c>
      <c r="H62" t="str">
        <f t="shared" si="5"/>
        <v/>
      </c>
    </row>
    <row r="63" spans="1:8" x14ac:dyDescent="0.2">
      <c r="A63" s="12" t="str">
        <f t="shared" si="7"/>
        <v/>
      </c>
      <c r="B63" t="str">
        <f t="shared" si="1"/>
        <v/>
      </c>
      <c r="C63" s="17" t="str">
        <f t="shared" si="6"/>
        <v/>
      </c>
      <c r="D63" s="18" t="str">
        <f t="shared" si="3"/>
        <v/>
      </c>
      <c r="E63" t="str">
        <f t="shared" si="4"/>
        <v/>
      </c>
      <c r="F63" s="23" t="str">
        <f ca="1">IF(A63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63" s="19" t="str">
        <f>IF(A63="","",C63/(1+F63*$B$6/360)^(COUNT(A$16:A63)-($B$6-$D$16)/$B$6))</f>
        <v/>
      </c>
      <c r="H63" t="str">
        <f t="shared" si="5"/>
        <v/>
      </c>
    </row>
    <row r="64" spans="1:8" x14ac:dyDescent="0.2">
      <c r="A64" s="12" t="str">
        <f t="shared" si="7"/>
        <v/>
      </c>
      <c r="B64" t="str">
        <f t="shared" si="1"/>
        <v/>
      </c>
      <c r="C64" s="17" t="str">
        <f t="shared" si="6"/>
        <v/>
      </c>
      <c r="D64" s="18" t="str">
        <f t="shared" si="3"/>
        <v/>
      </c>
      <c r="E64" t="str">
        <f t="shared" si="4"/>
        <v/>
      </c>
      <c r="F64" s="23" t="str">
        <f ca="1">IF(A64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64" s="19" t="str">
        <f>IF(A64="","",C64/(1+F64*$B$6/360)^(COUNT(A$16:A64)-($B$6-$D$16)/$B$6))</f>
        <v/>
      </c>
      <c r="H64" t="str">
        <f t="shared" si="5"/>
        <v/>
      </c>
    </row>
    <row r="65" spans="1:8" x14ac:dyDescent="0.2">
      <c r="A65" s="12" t="str">
        <f t="shared" si="7"/>
        <v/>
      </c>
      <c r="B65" t="str">
        <f t="shared" si="1"/>
        <v/>
      </c>
      <c r="C65" s="17" t="str">
        <f t="shared" si="6"/>
        <v/>
      </c>
      <c r="D65" s="18" t="str">
        <f t="shared" si="3"/>
        <v/>
      </c>
      <c r="E65" t="str">
        <f t="shared" si="4"/>
        <v/>
      </c>
      <c r="F65" s="23" t="str">
        <f ca="1">IF(A65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65" s="19" t="str">
        <f>IF(A65="","",C65/(1+F65*$B$6/360)^(COUNT(A$16:A65)-($B$6-$D$16)/$B$6))</f>
        <v/>
      </c>
      <c r="H65" t="str">
        <f t="shared" si="5"/>
        <v/>
      </c>
    </row>
    <row r="66" spans="1:8" x14ac:dyDescent="0.2">
      <c r="A66" s="12" t="str">
        <f t="shared" si="7"/>
        <v/>
      </c>
      <c r="B66" t="str">
        <f t="shared" si="1"/>
        <v/>
      </c>
      <c r="C66" s="17" t="str">
        <f t="shared" si="6"/>
        <v/>
      </c>
      <c r="D66" s="18" t="str">
        <f t="shared" si="3"/>
        <v/>
      </c>
      <c r="E66" t="str">
        <f t="shared" si="4"/>
        <v/>
      </c>
      <c r="F66" s="23" t="str">
        <f ca="1">IF(A66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66" s="19" t="str">
        <f>IF(A66="","",C66/(1+F66*$B$6/360)^(COUNT(A$16:A66)-($B$6-$D$16)/$B$6))</f>
        <v/>
      </c>
      <c r="H66" t="str">
        <f t="shared" si="5"/>
        <v/>
      </c>
    </row>
    <row r="67" spans="1:8" x14ac:dyDescent="0.2">
      <c r="A67" s="12" t="str">
        <f t="shared" si="7"/>
        <v/>
      </c>
      <c r="B67" t="str">
        <f t="shared" si="1"/>
        <v/>
      </c>
      <c r="C67" s="17" t="str">
        <f t="shared" si="6"/>
        <v/>
      </c>
      <c r="D67" s="18" t="str">
        <f t="shared" si="3"/>
        <v/>
      </c>
      <c r="E67" t="str">
        <f t="shared" si="4"/>
        <v/>
      </c>
      <c r="F67" s="23" t="str">
        <f ca="1">IF(A67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67" s="19" t="str">
        <f>IF(A67="","",C67/(1+F67*$B$6/360)^(COUNT(A$16:A67)-($B$6-$D$16)/$B$6))</f>
        <v/>
      </c>
      <c r="H67" t="str">
        <f t="shared" si="5"/>
        <v/>
      </c>
    </row>
    <row r="68" spans="1:8" x14ac:dyDescent="0.2">
      <c r="A68" s="12" t="str">
        <f t="shared" si="7"/>
        <v/>
      </c>
      <c r="B68" t="str">
        <f t="shared" si="1"/>
        <v/>
      </c>
      <c r="C68" s="17" t="str">
        <f t="shared" si="6"/>
        <v/>
      </c>
      <c r="D68" s="18" t="str">
        <f t="shared" si="3"/>
        <v/>
      </c>
      <c r="E68" t="str">
        <f t="shared" si="4"/>
        <v/>
      </c>
      <c r="F68" s="23" t="str">
        <f ca="1">IF(A68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68" s="19" t="str">
        <f>IF(A68="","",C68/(1+F68*$B$6/360)^(COUNT(A$16:A68)-($B$6-$D$16)/$B$6))</f>
        <v/>
      </c>
      <c r="H68" t="str">
        <f t="shared" si="5"/>
        <v/>
      </c>
    </row>
    <row r="69" spans="1:8" x14ac:dyDescent="0.2">
      <c r="A69" s="12" t="str">
        <f t="shared" si="7"/>
        <v/>
      </c>
      <c r="B69" t="str">
        <f t="shared" si="1"/>
        <v/>
      </c>
      <c r="C69" s="17" t="str">
        <f t="shared" si="6"/>
        <v/>
      </c>
      <c r="D69" s="18" t="str">
        <f t="shared" si="3"/>
        <v/>
      </c>
      <c r="E69" t="str">
        <f t="shared" si="4"/>
        <v/>
      </c>
      <c r="F69" s="23" t="str">
        <f ca="1">IF(A69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69" s="19" t="str">
        <f>IF(A69="","",C69/(1+F69*$B$6/360)^(COUNT(A$16:A69)-($B$6-$D$16)/$B$6))</f>
        <v/>
      </c>
      <c r="H69" t="str">
        <f t="shared" si="5"/>
        <v/>
      </c>
    </row>
    <row r="70" spans="1:8" x14ac:dyDescent="0.2">
      <c r="A70" s="12" t="str">
        <f t="shared" si="7"/>
        <v/>
      </c>
      <c r="B70" t="str">
        <f t="shared" si="1"/>
        <v/>
      </c>
      <c r="C70" s="17" t="str">
        <f t="shared" si="6"/>
        <v/>
      </c>
      <c r="D70" s="18" t="str">
        <f t="shared" si="3"/>
        <v/>
      </c>
      <c r="E70" t="str">
        <f t="shared" si="4"/>
        <v/>
      </c>
      <c r="F70" s="23" t="str">
        <f ca="1">IF(A70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70" s="19" t="str">
        <f>IF(A70="","",C70/(1+F70*$B$6/360)^(COUNT(A$16:A70)-($B$6-$D$16)/$B$6))</f>
        <v/>
      </c>
      <c r="H70" t="str">
        <f t="shared" si="5"/>
        <v/>
      </c>
    </row>
    <row r="71" spans="1:8" x14ac:dyDescent="0.2">
      <c r="A71" s="12" t="str">
        <f t="shared" si="7"/>
        <v/>
      </c>
      <c r="B71" t="str">
        <f t="shared" si="1"/>
        <v/>
      </c>
      <c r="C71" s="17" t="str">
        <f t="shared" si="6"/>
        <v/>
      </c>
      <c r="D71" s="18" t="str">
        <f t="shared" si="3"/>
        <v/>
      </c>
      <c r="E71" t="str">
        <f t="shared" si="4"/>
        <v/>
      </c>
      <c r="F71" s="23" t="str">
        <f ca="1">IF(A71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71" s="19" t="str">
        <f>IF(A71="","",C71/(1+F71*$B$6/360)^(COUNT(A$16:A71)-($B$6-$D$16)/$B$6))</f>
        <v/>
      </c>
      <c r="H71" t="str">
        <f t="shared" si="5"/>
        <v/>
      </c>
    </row>
    <row r="72" spans="1:8" x14ac:dyDescent="0.2">
      <c r="A72" s="12" t="str">
        <f t="shared" si="7"/>
        <v/>
      </c>
      <c r="B72" t="str">
        <f t="shared" si="1"/>
        <v/>
      </c>
      <c r="C72" s="17" t="str">
        <f t="shared" si="6"/>
        <v/>
      </c>
      <c r="D72" s="18" t="str">
        <f t="shared" si="3"/>
        <v/>
      </c>
      <c r="E72" t="str">
        <f t="shared" si="4"/>
        <v/>
      </c>
      <c r="F72" s="23" t="str">
        <f ca="1">IF(A72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72" s="19" t="str">
        <f>IF(A72="","",C72/(1+F72*$B$6/360)^(COUNT(A$16:A72)-($B$6-$D$16)/$B$6))</f>
        <v/>
      </c>
      <c r="H72" t="str">
        <f t="shared" si="5"/>
        <v/>
      </c>
    </row>
    <row r="73" spans="1:8" x14ac:dyDescent="0.2">
      <c r="A73" s="12" t="str">
        <f t="shared" si="7"/>
        <v/>
      </c>
      <c r="B73" t="str">
        <f t="shared" si="1"/>
        <v/>
      </c>
      <c r="C73" s="17" t="str">
        <f t="shared" si="6"/>
        <v/>
      </c>
      <c r="D73" s="18" t="str">
        <f t="shared" si="3"/>
        <v/>
      </c>
      <c r="E73" t="str">
        <f t="shared" si="4"/>
        <v/>
      </c>
      <c r="F73" s="23" t="str">
        <f ca="1">IF(A73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73" s="19" t="str">
        <f>IF(A73="","",C73/(1+F73*$B$6/360)^(COUNT(A$16:A73)-($B$6-$D$16)/$B$6))</f>
        <v/>
      </c>
      <c r="H73" t="str">
        <f t="shared" si="5"/>
        <v/>
      </c>
    </row>
    <row r="74" spans="1:8" x14ac:dyDescent="0.2">
      <c r="A74" s="12" t="str">
        <f t="shared" si="7"/>
        <v/>
      </c>
      <c r="B74" t="str">
        <f t="shared" si="1"/>
        <v/>
      </c>
      <c r="C74" s="17" t="str">
        <f t="shared" si="6"/>
        <v/>
      </c>
      <c r="D74" s="18" t="str">
        <f t="shared" si="3"/>
        <v/>
      </c>
      <c r="E74" t="str">
        <f t="shared" si="4"/>
        <v/>
      </c>
      <c r="F74" s="23" t="str">
        <f ca="1">IF(A74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74" s="19" t="str">
        <f>IF(A74="","",C74/(1+F74*$B$6/360)^(COUNT(A$16:A74)-($B$6-$D$16)/$B$6))</f>
        <v/>
      </c>
      <c r="H74" t="str">
        <f t="shared" si="5"/>
        <v/>
      </c>
    </row>
    <row r="75" spans="1:8" x14ac:dyDescent="0.2">
      <c r="A75" s="12" t="str">
        <f t="shared" si="7"/>
        <v/>
      </c>
      <c r="B75" t="str">
        <f t="shared" si="1"/>
        <v/>
      </c>
      <c r="C75" s="17" t="str">
        <f t="shared" si="6"/>
        <v/>
      </c>
      <c r="D75" s="18" t="str">
        <f t="shared" si="3"/>
        <v/>
      </c>
      <c r="E75" t="str">
        <f t="shared" si="4"/>
        <v/>
      </c>
      <c r="F75" s="23" t="str">
        <f ca="1">IF(A75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75" s="19" t="str">
        <f>IF(A75="","",C75/(1+F75*$B$6/360)^(COUNT(A$16:A75)-($B$6-$D$16)/$B$6))</f>
        <v/>
      </c>
      <c r="H75" t="str">
        <f t="shared" si="5"/>
        <v/>
      </c>
    </row>
    <row r="76" spans="1:8" x14ac:dyDescent="0.2">
      <c r="A76" s="12" t="str">
        <f t="shared" si="7"/>
        <v/>
      </c>
      <c r="B76" t="str">
        <f t="shared" si="1"/>
        <v/>
      </c>
      <c r="C76" s="17" t="str">
        <f t="shared" si="6"/>
        <v/>
      </c>
      <c r="D76" s="18" t="str">
        <f t="shared" si="3"/>
        <v/>
      </c>
      <c r="E76" t="str">
        <f t="shared" si="4"/>
        <v/>
      </c>
      <c r="F76" s="23" t="str">
        <f ca="1">IF(A76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76" s="19" t="str">
        <f>IF(A76="","",C76/(1+F76*$B$6/360)^(COUNT(A$16:A76)-($B$6-$D$16)/$B$6))</f>
        <v/>
      </c>
      <c r="H76" t="str">
        <f t="shared" si="5"/>
        <v/>
      </c>
    </row>
    <row r="77" spans="1:8" x14ac:dyDescent="0.2">
      <c r="A77" s="12" t="str">
        <f t="shared" si="7"/>
        <v/>
      </c>
      <c r="B77" t="str">
        <f t="shared" si="1"/>
        <v/>
      </c>
      <c r="C77" s="17" t="str">
        <f t="shared" si="6"/>
        <v/>
      </c>
      <c r="D77" s="18" t="str">
        <f t="shared" si="3"/>
        <v/>
      </c>
      <c r="E77" t="str">
        <f t="shared" si="4"/>
        <v/>
      </c>
      <c r="F77" s="23" t="str">
        <f ca="1">IF(A77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77" s="19" t="str">
        <f>IF(A77="","",C77/(1+F77*$B$6/360)^(COUNT(A$16:A77)-($B$6-$D$16)/$B$6))</f>
        <v/>
      </c>
      <c r="H77" t="str">
        <f t="shared" si="5"/>
        <v/>
      </c>
    </row>
    <row r="78" spans="1:8" x14ac:dyDescent="0.2">
      <c r="A78" s="12" t="str">
        <f t="shared" si="7"/>
        <v/>
      </c>
      <c r="B78" t="str">
        <f t="shared" si="1"/>
        <v/>
      </c>
      <c r="C78" s="17" t="str">
        <f t="shared" si="6"/>
        <v/>
      </c>
      <c r="D78" s="18" t="str">
        <f t="shared" si="3"/>
        <v/>
      </c>
      <c r="E78" t="str">
        <f t="shared" si="4"/>
        <v/>
      </c>
      <c r="F78" s="23" t="str">
        <f ca="1">IF(A78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78" s="19" t="str">
        <f>IF(A78="","",C78/(1+F78*$B$6/360)^(COUNT(A$16:A78)-($B$6-$D$16)/$B$6))</f>
        <v/>
      </c>
      <c r="H78" t="str">
        <f t="shared" si="5"/>
        <v/>
      </c>
    </row>
    <row r="79" spans="1:8" x14ac:dyDescent="0.2">
      <c r="A79" s="12" t="str">
        <f t="shared" si="7"/>
        <v/>
      </c>
      <c r="B79" t="str">
        <f t="shared" si="1"/>
        <v/>
      </c>
      <c r="C79" s="17" t="str">
        <f t="shared" si="6"/>
        <v/>
      </c>
      <c r="D79" s="18" t="str">
        <f t="shared" si="3"/>
        <v/>
      </c>
      <c r="E79" t="str">
        <f t="shared" si="4"/>
        <v/>
      </c>
      <c r="F79" s="23" t="str">
        <f ca="1">IF(A79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79" s="19" t="str">
        <f>IF(A79="","",C79/(1+F79*$B$6/360)^(COUNT(A$16:A79)-($B$6-$D$16)/$B$6))</f>
        <v/>
      </c>
      <c r="H79" t="str">
        <f t="shared" si="5"/>
        <v/>
      </c>
    </row>
    <row r="80" spans="1:8" x14ac:dyDescent="0.2">
      <c r="A80" s="12" t="str">
        <f t="shared" si="7"/>
        <v/>
      </c>
      <c r="B80" t="str">
        <f t="shared" si="1"/>
        <v/>
      </c>
      <c r="C80" s="17" t="str">
        <f t="shared" si="6"/>
        <v/>
      </c>
      <c r="D80" s="18" t="str">
        <f t="shared" si="3"/>
        <v/>
      </c>
      <c r="E80" t="str">
        <f t="shared" si="4"/>
        <v/>
      </c>
      <c r="F80" s="23" t="str">
        <f ca="1">IF(A80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80" s="19" t="str">
        <f>IF(A80="","",C80/(1+F80*$B$6/360)^(COUNT(A$16:A80)-($B$6-$D$16)/$B$6))</f>
        <v/>
      </c>
      <c r="H80" t="str">
        <f t="shared" si="5"/>
        <v/>
      </c>
    </row>
    <row r="81" spans="1:8" x14ac:dyDescent="0.2">
      <c r="A81" s="12" t="str">
        <f t="shared" si="7"/>
        <v/>
      </c>
      <c r="B81" t="str">
        <f t="shared" ref="B81:B144" si="8">IF(A81="","",$B$5)</f>
        <v/>
      </c>
      <c r="C81" s="17" t="str">
        <f t="shared" si="6"/>
        <v/>
      </c>
      <c r="D81" s="18" t="str">
        <f t="shared" ref="D81:D144" si="9">IF(A81="","",$B$6)</f>
        <v/>
      </c>
      <c r="E81" t="str">
        <f t="shared" ref="E81:E144" si="10">IF(A81="","",E80+D81)</f>
        <v/>
      </c>
      <c r="F81" s="23" t="str">
        <f ca="1">IF(A81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81" s="19" t="str">
        <f>IF(A81="","",C81/(1+F81*$B$6/360)^(COUNT(A$16:A81)-($B$6-$D$16)/$B$6))</f>
        <v/>
      </c>
      <c r="H81" t="str">
        <f t="shared" ref="H81:H144" si="11">IF(A81="","",C81/(1+F81*$B$6/360)^(E81/$B$6))</f>
        <v/>
      </c>
    </row>
    <row r="82" spans="1:8" x14ac:dyDescent="0.2">
      <c r="A82" s="12" t="str">
        <f t="shared" si="7"/>
        <v/>
      </c>
      <c r="B82" t="str">
        <f t="shared" si="8"/>
        <v/>
      </c>
      <c r="C82" s="17" t="str">
        <f t="shared" si="6"/>
        <v/>
      </c>
      <c r="D82" s="18" t="str">
        <f t="shared" si="9"/>
        <v/>
      </c>
      <c r="E82" t="str">
        <f t="shared" si="10"/>
        <v/>
      </c>
      <c r="F82" s="23" t="str">
        <f ca="1">IF(A82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82" s="19" t="str">
        <f>IF(A82="","",C82/(1+F82*$B$6/360)^(COUNT(A$16:A82)-($B$6-$D$16)/$B$6))</f>
        <v/>
      </c>
      <c r="H82" t="str">
        <f t="shared" si="11"/>
        <v/>
      </c>
    </row>
    <row r="83" spans="1:8" x14ac:dyDescent="0.2">
      <c r="A83" s="12" t="str">
        <f t="shared" si="7"/>
        <v/>
      </c>
      <c r="B83" t="str">
        <f t="shared" si="8"/>
        <v/>
      </c>
      <c r="C83" s="17" t="str">
        <f t="shared" si="6"/>
        <v/>
      </c>
      <c r="D83" s="18" t="str">
        <f t="shared" si="9"/>
        <v/>
      </c>
      <c r="E83" t="str">
        <f t="shared" si="10"/>
        <v/>
      </c>
      <c r="F83" s="23" t="str">
        <f ca="1">IF(A83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83" s="19" t="str">
        <f>IF(A83="","",C83/(1+F83*$B$6/360)^(COUNT(A$16:A83)-($B$6-$D$16)/$B$6))</f>
        <v/>
      </c>
      <c r="H83" t="str">
        <f t="shared" si="11"/>
        <v/>
      </c>
    </row>
    <row r="84" spans="1:8" x14ac:dyDescent="0.2">
      <c r="A84" s="12" t="str">
        <f t="shared" si="7"/>
        <v/>
      </c>
      <c r="B84" t="str">
        <f t="shared" si="8"/>
        <v/>
      </c>
      <c r="C84" s="17" t="str">
        <f t="shared" si="6"/>
        <v/>
      </c>
      <c r="D84" s="18" t="str">
        <f t="shared" si="9"/>
        <v/>
      </c>
      <c r="E84" t="str">
        <f t="shared" si="10"/>
        <v/>
      </c>
      <c r="F84" s="23" t="str">
        <f ca="1">IF(A84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84" s="19" t="str">
        <f>IF(A84="","",C84/(1+F84*$B$6/360)^(COUNT(A$16:A84)-($B$6-$D$16)/$B$6))</f>
        <v/>
      </c>
      <c r="H84" t="str">
        <f t="shared" si="11"/>
        <v/>
      </c>
    </row>
    <row r="85" spans="1:8" x14ac:dyDescent="0.2">
      <c r="A85" s="12" t="str">
        <f t="shared" si="7"/>
        <v/>
      </c>
      <c r="B85" t="str">
        <f t="shared" si="8"/>
        <v/>
      </c>
      <c r="C85" s="17" t="str">
        <f t="shared" si="6"/>
        <v/>
      </c>
      <c r="D85" s="18" t="str">
        <f t="shared" si="9"/>
        <v/>
      </c>
      <c r="E85" t="str">
        <f t="shared" si="10"/>
        <v/>
      </c>
      <c r="F85" s="23" t="str">
        <f ca="1">IF(A85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85" s="19" t="str">
        <f>IF(A85="","",C85/(1+F85*$B$6/360)^(COUNT(A$16:A85)-($B$6-$D$16)/$B$6))</f>
        <v/>
      </c>
      <c r="H85" t="str">
        <f t="shared" si="11"/>
        <v/>
      </c>
    </row>
    <row r="86" spans="1:8" x14ac:dyDescent="0.2">
      <c r="A86" s="12" t="str">
        <f t="shared" si="7"/>
        <v/>
      </c>
      <c r="B86" t="str">
        <f t="shared" si="8"/>
        <v/>
      </c>
      <c r="C86" s="17" t="str">
        <f t="shared" si="6"/>
        <v/>
      </c>
      <c r="D86" s="18" t="str">
        <f t="shared" si="9"/>
        <v/>
      </c>
      <c r="E86" t="str">
        <f t="shared" si="10"/>
        <v/>
      </c>
      <c r="F86" s="23" t="str">
        <f ca="1">IF(A86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86" s="19" t="str">
        <f>IF(A86="","",C86/(1+F86*$B$6/360)^(COUNT(A$16:A86)-($B$6-$D$16)/$B$6))</f>
        <v/>
      </c>
      <c r="H86" t="str">
        <f t="shared" si="11"/>
        <v/>
      </c>
    </row>
    <row r="87" spans="1:8" x14ac:dyDescent="0.2">
      <c r="A87" s="12" t="str">
        <f t="shared" si="7"/>
        <v/>
      </c>
      <c r="B87" t="str">
        <f t="shared" si="8"/>
        <v/>
      </c>
      <c r="C87" s="17" t="str">
        <f t="shared" si="6"/>
        <v/>
      </c>
      <c r="D87" s="18" t="str">
        <f t="shared" si="9"/>
        <v/>
      </c>
      <c r="E87" t="str">
        <f t="shared" si="10"/>
        <v/>
      </c>
      <c r="F87" s="23" t="str">
        <f ca="1">IF(A87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87" s="19" t="str">
        <f>IF(A87="","",C87/(1+F87*$B$6/360)^(COUNT(A$16:A87)-($B$6-$D$16)/$B$6))</f>
        <v/>
      </c>
      <c r="H87" t="str">
        <f t="shared" si="11"/>
        <v/>
      </c>
    </row>
    <row r="88" spans="1:8" x14ac:dyDescent="0.2">
      <c r="A88" s="12" t="str">
        <f t="shared" si="7"/>
        <v/>
      </c>
      <c r="B88" t="str">
        <f t="shared" si="8"/>
        <v/>
      </c>
      <c r="C88" s="17" t="str">
        <f t="shared" si="6"/>
        <v/>
      </c>
      <c r="D88" s="18" t="str">
        <f t="shared" si="9"/>
        <v/>
      </c>
      <c r="E88" t="str">
        <f t="shared" si="10"/>
        <v/>
      </c>
      <c r="F88" s="23" t="str">
        <f ca="1">IF(A88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88" s="19" t="str">
        <f>IF(A88="","",C88/(1+F88*$B$6/360)^(COUNT(A$16:A88)-($B$6-$D$16)/$B$6))</f>
        <v/>
      </c>
      <c r="H88" t="str">
        <f t="shared" si="11"/>
        <v/>
      </c>
    </row>
    <row r="89" spans="1:8" x14ac:dyDescent="0.2">
      <c r="A89" s="12" t="str">
        <f t="shared" si="7"/>
        <v/>
      </c>
      <c r="B89" t="str">
        <f t="shared" si="8"/>
        <v/>
      </c>
      <c r="C89" s="17" t="str">
        <f t="shared" si="6"/>
        <v/>
      </c>
      <c r="D89" s="18" t="str">
        <f t="shared" si="9"/>
        <v/>
      </c>
      <c r="E89" t="str">
        <f t="shared" si="10"/>
        <v/>
      </c>
      <c r="F89" s="23" t="str">
        <f ca="1">IF(A89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89" s="19" t="str">
        <f>IF(A89="","",C89/(1+F89*$B$6/360)^(COUNT(A$16:A89)-($B$6-$D$16)/$B$6))</f>
        <v/>
      </c>
      <c r="H89" t="str">
        <f t="shared" si="11"/>
        <v/>
      </c>
    </row>
    <row r="90" spans="1:8" x14ac:dyDescent="0.2">
      <c r="A90" s="12" t="str">
        <f t="shared" si="7"/>
        <v/>
      </c>
      <c r="B90" t="str">
        <f t="shared" si="8"/>
        <v/>
      </c>
      <c r="C90" s="17" t="str">
        <f t="shared" ref="C90:C153" si="12">IF(A90="","",IF(A90=$B$4,$B$1*$B$2, $B$5*$B$6/360*$B$1*$B$2))</f>
        <v/>
      </c>
      <c r="D90" s="18" t="str">
        <f t="shared" si="9"/>
        <v/>
      </c>
      <c r="E90" t="str">
        <f t="shared" si="10"/>
        <v/>
      </c>
      <c r="F90" s="23" t="str">
        <f ca="1">IF(A90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90" s="19" t="str">
        <f>IF(A90="","",C90/(1+F90*$B$6/360)^(COUNT(A$16:A90)-($B$6-$D$16)/$B$6))</f>
        <v/>
      </c>
      <c r="H90" t="str">
        <f t="shared" si="11"/>
        <v/>
      </c>
    </row>
    <row r="91" spans="1:8" x14ac:dyDescent="0.2">
      <c r="A91" s="12" t="str">
        <f t="shared" ref="A91:A154" si="13">IF(A90="","",IF((A90+$B$6)&gt;$B$4,"",(A90+$B$6)))</f>
        <v/>
      </c>
      <c r="B91" t="str">
        <f t="shared" si="8"/>
        <v/>
      </c>
      <c r="C91" s="17" t="str">
        <f t="shared" si="12"/>
        <v/>
      </c>
      <c r="D91" s="18" t="str">
        <f t="shared" si="9"/>
        <v/>
      </c>
      <c r="E91" t="str">
        <f t="shared" si="10"/>
        <v/>
      </c>
      <c r="F91" s="23" t="str">
        <f ca="1">IF(A91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91" s="19" t="str">
        <f>IF(A91="","",C91/(1+F91*$B$6/360)^(COUNT(A$16:A91)-($B$6-$D$16)/$B$6))</f>
        <v/>
      </c>
      <c r="H91" t="str">
        <f t="shared" si="11"/>
        <v/>
      </c>
    </row>
    <row r="92" spans="1:8" x14ac:dyDescent="0.2">
      <c r="A92" s="12" t="str">
        <f t="shared" si="13"/>
        <v/>
      </c>
      <c r="B92" t="str">
        <f t="shared" si="8"/>
        <v/>
      </c>
      <c r="C92" s="17" t="str">
        <f t="shared" si="12"/>
        <v/>
      </c>
      <c r="D92" s="18" t="str">
        <f t="shared" si="9"/>
        <v/>
      </c>
      <c r="E92" t="str">
        <f t="shared" si="10"/>
        <v/>
      </c>
      <c r="F92" s="23" t="str">
        <f ca="1">IF(A92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92" s="19" t="str">
        <f>IF(A92="","",C92/(1+F92*$B$6/360)^(COUNT(A$16:A92)-($B$6-$D$16)/$B$6))</f>
        <v/>
      </c>
      <c r="H92" t="str">
        <f t="shared" si="11"/>
        <v/>
      </c>
    </row>
    <row r="93" spans="1:8" x14ac:dyDescent="0.2">
      <c r="A93" s="12" t="str">
        <f t="shared" si="13"/>
        <v/>
      </c>
      <c r="B93" t="str">
        <f t="shared" si="8"/>
        <v/>
      </c>
      <c r="C93" s="17" t="str">
        <f t="shared" si="12"/>
        <v/>
      </c>
      <c r="D93" s="18" t="str">
        <f t="shared" si="9"/>
        <v/>
      </c>
      <c r="E93" t="str">
        <f t="shared" si="10"/>
        <v/>
      </c>
      <c r="F93" s="23" t="str">
        <f ca="1">IF(A93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93" s="19" t="str">
        <f>IF(A93="","",C93/(1+F93*$B$6/360)^(COUNT(A$16:A93)-($B$6-$D$16)/$B$6))</f>
        <v/>
      </c>
      <c r="H93" t="str">
        <f t="shared" si="11"/>
        <v/>
      </c>
    </row>
    <row r="94" spans="1:8" x14ac:dyDescent="0.2">
      <c r="A94" s="12" t="str">
        <f t="shared" si="13"/>
        <v/>
      </c>
      <c r="B94" t="str">
        <f t="shared" si="8"/>
        <v/>
      </c>
      <c r="C94" s="17" t="str">
        <f t="shared" si="12"/>
        <v/>
      </c>
      <c r="D94" s="18" t="str">
        <f t="shared" si="9"/>
        <v/>
      </c>
      <c r="E94" t="str">
        <f t="shared" si="10"/>
        <v/>
      </c>
      <c r="F94" s="23" t="str">
        <f ca="1">IF(A94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94" s="19" t="str">
        <f>IF(A94="","",C94/(1+F94*$B$6/360)^(COUNT(A$16:A94)-($B$6-$D$16)/$B$6))</f>
        <v/>
      </c>
      <c r="H94" t="str">
        <f t="shared" si="11"/>
        <v/>
      </c>
    </row>
    <row r="95" spans="1:8" x14ac:dyDescent="0.2">
      <c r="A95" s="12" t="str">
        <f t="shared" si="13"/>
        <v/>
      </c>
      <c r="B95" t="str">
        <f t="shared" si="8"/>
        <v/>
      </c>
      <c r="C95" s="17" t="str">
        <f t="shared" si="12"/>
        <v/>
      </c>
      <c r="D95" s="18" t="str">
        <f t="shared" si="9"/>
        <v/>
      </c>
      <c r="E95" t="str">
        <f t="shared" si="10"/>
        <v/>
      </c>
      <c r="F95" s="23" t="str">
        <f ca="1">IF(A95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95" s="19" t="str">
        <f>IF(A95="","",C95/(1+F95*$B$6/360)^(COUNT(A$16:A95)-($B$6-$D$16)/$B$6))</f>
        <v/>
      </c>
      <c r="H95" t="str">
        <f t="shared" si="11"/>
        <v/>
      </c>
    </row>
    <row r="96" spans="1:8" x14ac:dyDescent="0.2">
      <c r="A96" s="12" t="str">
        <f t="shared" si="13"/>
        <v/>
      </c>
      <c r="B96" t="str">
        <f t="shared" si="8"/>
        <v/>
      </c>
      <c r="C96" s="17" t="str">
        <f t="shared" si="12"/>
        <v/>
      </c>
      <c r="D96" s="18" t="str">
        <f t="shared" si="9"/>
        <v/>
      </c>
      <c r="E96" t="str">
        <f t="shared" si="10"/>
        <v/>
      </c>
      <c r="F96" s="23" t="str">
        <f ca="1">IF(A96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96" s="19" t="str">
        <f>IF(A96="","",C96/(1+F96*$B$6/360)^(COUNT(A$16:A96)-($B$6-$D$16)/$B$6))</f>
        <v/>
      </c>
      <c r="H96" t="str">
        <f t="shared" si="11"/>
        <v/>
      </c>
    </row>
    <row r="97" spans="1:8" x14ac:dyDescent="0.2">
      <c r="A97" s="12" t="str">
        <f t="shared" si="13"/>
        <v/>
      </c>
      <c r="B97" t="str">
        <f t="shared" si="8"/>
        <v/>
      </c>
      <c r="C97" s="17" t="str">
        <f t="shared" si="12"/>
        <v/>
      </c>
      <c r="D97" s="18" t="str">
        <f t="shared" si="9"/>
        <v/>
      </c>
      <c r="E97" t="str">
        <f t="shared" si="10"/>
        <v/>
      </c>
      <c r="F97" s="23" t="str">
        <f ca="1">IF(A97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97" s="19" t="str">
        <f>IF(A97="","",C97/(1+F97*$B$6/360)^(COUNT(A$16:A97)-($B$6-$D$16)/$B$6))</f>
        <v/>
      </c>
      <c r="H97" t="str">
        <f t="shared" si="11"/>
        <v/>
      </c>
    </row>
    <row r="98" spans="1:8" x14ac:dyDescent="0.2">
      <c r="A98" s="12" t="str">
        <f t="shared" si="13"/>
        <v/>
      </c>
      <c r="B98" t="str">
        <f t="shared" si="8"/>
        <v/>
      </c>
      <c r="C98" s="17" t="str">
        <f t="shared" si="12"/>
        <v/>
      </c>
      <c r="D98" s="18" t="str">
        <f t="shared" si="9"/>
        <v/>
      </c>
      <c r="E98" t="str">
        <f t="shared" si="10"/>
        <v/>
      </c>
      <c r="F98" s="23" t="str">
        <f ca="1">IF(A98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98" s="19" t="str">
        <f>IF(A98="","",C98/(1+F98*$B$6/360)^(COUNT(A$16:A98)-($B$6-$D$16)/$B$6))</f>
        <v/>
      </c>
      <c r="H98" t="str">
        <f t="shared" si="11"/>
        <v/>
      </c>
    </row>
    <row r="99" spans="1:8" x14ac:dyDescent="0.2">
      <c r="A99" s="12" t="str">
        <f t="shared" si="13"/>
        <v/>
      </c>
      <c r="B99" t="str">
        <f t="shared" si="8"/>
        <v/>
      </c>
      <c r="C99" s="17" t="str">
        <f t="shared" si="12"/>
        <v/>
      </c>
      <c r="D99" s="18" t="str">
        <f t="shared" si="9"/>
        <v/>
      </c>
      <c r="E99" t="str">
        <f t="shared" si="10"/>
        <v/>
      </c>
      <c r="F99" s="23" t="str">
        <f ca="1">IF(A99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99" s="19" t="str">
        <f>IF(A99="","",C99/(1+F99*$B$6/360)^(COUNT(A$16:A99)-($B$6-$D$16)/$B$6))</f>
        <v/>
      </c>
      <c r="H99" t="str">
        <f t="shared" si="11"/>
        <v/>
      </c>
    </row>
    <row r="100" spans="1:8" x14ac:dyDescent="0.2">
      <c r="A100" s="12" t="str">
        <f t="shared" si="13"/>
        <v/>
      </c>
      <c r="B100" t="str">
        <f t="shared" si="8"/>
        <v/>
      </c>
      <c r="C100" s="17" t="str">
        <f t="shared" si="12"/>
        <v/>
      </c>
      <c r="D100" s="18" t="str">
        <f t="shared" si="9"/>
        <v/>
      </c>
      <c r="E100" t="str">
        <f t="shared" si="10"/>
        <v/>
      </c>
      <c r="F100" s="23" t="str">
        <f ca="1">IF(A100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100" s="19" t="str">
        <f>IF(A100="","",C100/(1+F100*$B$6/360)^(COUNT(A$16:A100)-($B$6-$D$16)/$B$6))</f>
        <v/>
      </c>
      <c r="H100" t="str">
        <f t="shared" si="11"/>
        <v/>
      </c>
    </row>
    <row r="101" spans="1:8" x14ac:dyDescent="0.2">
      <c r="A101" s="12" t="str">
        <f t="shared" si="13"/>
        <v/>
      </c>
      <c r="B101" t="str">
        <f t="shared" si="8"/>
        <v/>
      </c>
      <c r="C101" s="17" t="str">
        <f t="shared" si="12"/>
        <v/>
      </c>
      <c r="D101" s="18" t="str">
        <f t="shared" si="9"/>
        <v/>
      </c>
      <c r="E101" t="str">
        <f t="shared" si="10"/>
        <v/>
      </c>
      <c r="F101" s="23" t="str">
        <f ca="1">IF(A101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101" s="19" t="str">
        <f>IF(A101="","",C101/(1+F101*$B$6/360)^(COUNT(A$16:A101)-($B$6-$D$16)/$B$6))</f>
        <v/>
      </c>
      <c r="H101" t="str">
        <f t="shared" si="11"/>
        <v/>
      </c>
    </row>
    <row r="102" spans="1:8" x14ac:dyDescent="0.2">
      <c r="A102" s="12" t="str">
        <f t="shared" si="13"/>
        <v/>
      </c>
      <c r="B102" t="str">
        <f t="shared" si="8"/>
        <v/>
      </c>
      <c r="C102" s="17" t="str">
        <f t="shared" si="12"/>
        <v/>
      </c>
      <c r="D102" s="18" t="str">
        <f t="shared" si="9"/>
        <v/>
      </c>
      <c r="E102" t="str">
        <f t="shared" si="10"/>
        <v/>
      </c>
      <c r="F102" s="23" t="str">
        <f ca="1">IF(A102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102" s="19" t="str">
        <f>IF(A102="","",C102/(1+F102*$B$6/360)^(COUNT(A$16:A102)-($B$6-$D$16)/$B$6))</f>
        <v/>
      </c>
      <c r="H102" t="str">
        <f t="shared" si="11"/>
        <v/>
      </c>
    </row>
    <row r="103" spans="1:8" x14ac:dyDescent="0.2">
      <c r="A103" s="12" t="str">
        <f t="shared" si="13"/>
        <v/>
      </c>
      <c r="B103" t="str">
        <f t="shared" si="8"/>
        <v/>
      </c>
      <c r="C103" s="17" t="str">
        <f t="shared" si="12"/>
        <v/>
      </c>
      <c r="D103" s="18" t="str">
        <f t="shared" si="9"/>
        <v/>
      </c>
      <c r="E103" t="str">
        <f t="shared" si="10"/>
        <v/>
      </c>
      <c r="F103" s="23" t="str">
        <f ca="1">IF(A103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103" s="19" t="str">
        <f>IF(A103="","",C103/(1+F103*$B$6/360)^(COUNT(A$16:A103)-($B$6-$D$16)/$B$6))</f>
        <v/>
      </c>
      <c r="H103" t="str">
        <f t="shared" si="11"/>
        <v/>
      </c>
    </row>
    <row r="104" spans="1:8" x14ac:dyDescent="0.2">
      <c r="A104" s="12" t="str">
        <f t="shared" si="13"/>
        <v/>
      </c>
      <c r="B104" t="str">
        <f t="shared" si="8"/>
        <v/>
      </c>
      <c r="C104" s="17" t="str">
        <f t="shared" si="12"/>
        <v/>
      </c>
      <c r="D104" s="18" t="str">
        <f t="shared" si="9"/>
        <v/>
      </c>
      <c r="E104" t="str">
        <f t="shared" si="10"/>
        <v/>
      </c>
      <c r="F104" s="23" t="str">
        <f ca="1">IF(A104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104" s="19" t="str">
        <f>IF(A104="","",C104/(1+F104*$B$6/360)^(COUNT(A$16:A104)-($B$6-$D$16)/$B$6))</f>
        <v/>
      </c>
      <c r="H104" t="str">
        <f t="shared" si="11"/>
        <v/>
      </c>
    </row>
    <row r="105" spans="1:8" x14ac:dyDescent="0.2">
      <c r="A105" s="12" t="str">
        <f t="shared" si="13"/>
        <v/>
      </c>
      <c r="B105" t="str">
        <f t="shared" si="8"/>
        <v/>
      </c>
      <c r="C105" s="17" t="str">
        <f t="shared" si="12"/>
        <v/>
      </c>
      <c r="D105" s="18" t="str">
        <f t="shared" si="9"/>
        <v/>
      </c>
      <c r="E105" t="str">
        <f t="shared" si="10"/>
        <v/>
      </c>
      <c r="F105" s="23" t="str">
        <f ca="1">IF(A105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105" s="19" t="str">
        <f>IF(A105="","",C105/(1+F105*$B$6/360)^(COUNT(A$16:A105)-($B$6-$D$16)/$B$6))</f>
        <v/>
      </c>
      <c r="H105" t="str">
        <f t="shared" si="11"/>
        <v/>
      </c>
    </row>
    <row r="106" spans="1:8" x14ac:dyDescent="0.2">
      <c r="A106" s="12" t="str">
        <f t="shared" si="13"/>
        <v/>
      </c>
      <c r="B106" t="str">
        <f t="shared" si="8"/>
        <v/>
      </c>
      <c r="C106" s="17" t="str">
        <f t="shared" si="12"/>
        <v/>
      </c>
      <c r="D106" s="18" t="str">
        <f t="shared" si="9"/>
        <v/>
      </c>
      <c r="E106" t="str">
        <f t="shared" si="10"/>
        <v/>
      </c>
      <c r="F106" s="23" t="str">
        <f ca="1">IF(A106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106" s="19" t="str">
        <f>IF(A106="","",C106/(1+F106*$B$6/360)^(COUNT(A$16:A106)-($B$6-$D$16)/$B$6))</f>
        <v/>
      </c>
      <c r="H106" t="str">
        <f t="shared" si="11"/>
        <v/>
      </c>
    </row>
    <row r="107" spans="1:8" x14ac:dyDescent="0.2">
      <c r="A107" s="12" t="str">
        <f t="shared" si="13"/>
        <v/>
      </c>
      <c r="B107" t="str">
        <f t="shared" si="8"/>
        <v/>
      </c>
      <c r="C107" s="17" t="str">
        <f t="shared" si="12"/>
        <v/>
      </c>
      <c r="D107" s="18" t="str">
        <f t="shared" si="9"/>
        <v/>
      </c>
      <c r="E107" t="str">
        <f t="shared" si="10"/>
        <v/>
      </c>
      <c r="F107" s="23" t="str">
        <f ca="1">IF(A107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107" s="19" t="str">
        <f>IF(A107="","",C107/(1+F107*$B$6/360)^(COUNT(A$16:A107)-($B$6-$D$16)/$B$6))</f>
        <v/>
      </c>
      <c r="H107" t="str">
        <f t="shared" si="11"/>
        <v/>
      </c>
    </row>
    <row r="108" spans="1:8" x14ac:dyDescent="0.2">
      <c r="A108" s="12" t="str">
        <f t="shared" si="13"/>
        <v/>
      </c>
      <c r="B108" t="str">
        <f t="shared" si="8"/>
        <v/>
      </c>
      <c r="C108" s="17" t="str">
        <f t="shared" si="12"/>
        <v/>
      </c>
      <c r="D108" s="18" t="str">
        <f t="shared" si="9"/>
        <v/>
      </c>
      <c r="E108" t="str">
        <f t="shared" si="10"/>
        <v/>
      </c>
      <c r="F108" s="23" t="str">
        <f ca="1">IF(A108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108" s="19" t="str">
        <f>IF(A108="","",C108/(1+F108*$B$6/360)^(COUNT(A$16:A108)-($B$6-$D$16)/$B$6))</f>
        <v/>
      </c>
      <c r="H108" t="str">
        <f t="shared" si="11"/>
        <v/>
      </c>
    </row>
    <row r="109" spans="1:8" x14ac:dyDescent="0.2">
      <c r="A109" s="12" t="str">
        <f t="shared" si="13"/>
        <v/>
      </c>
      <c r="B109" t="str">
        <f t="shared" si="8"/>
        <v/>
      </c>
      <c r="C109" s="17" t="str">
        <f t="shared" si="12"/>
        <v/>
      </c>
      <c r="D109" s="18" t="str">
        <f t="shared" si="9"/>
        <v/>
      </c>
      <c r="E109" t="str">
        <f t="shared" si="10"/>
        <v/>
      </c>
      <c r="F109" s="23" t="str">
        <f ca="1">IF(A109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109" s="19" t="str">
        <f>IF(A109="","",C109/(1+F109*$B$6/360)^(COUNT(A$16:A109)-($B$6-$D$16)/$B$6))</f>
        <v/>
      </c>
      <c r="H109" t="str">
        <f t="shared" si="11"/>
        <v/>
      </c>
    </row>
    <row r="110" spans="1:8" x14ac:dyDescent="0.2">
      <c r="A110" s="12" t="str">
        <f t="shared" si="13"/>
        <v/>
      </c>
      <c r="B110" t="str">
        <f t="shared" si="8"/>
        <v/>
      </c>
      <c r="C110" s="17" t="str">
        <f t="shared" si="12"/>
        <v/>
      </c>
      <c r="D110" s="18" t="str">
        <f t="shared" si="9"/>
        <v/>
      </c>
      <c r="E110" t="str">
        <f t="shared" si="10"/>
        <v/>
      </c>
      <c r="F110" s="23" t="str">
        <f ca="1">IF(A110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110" s="19" t="str">
        <f>IF(A110="","",C110/(1+F110*$B$6/360)^(COUNT(A$16:A110)-($B$6-$D$16)/$B$6))</f>
        <v/>
      </c>
      <c r="H110" t="str">
        <f t="shared" si="11"/>
        <v/>
      </c>
    </row>
    <row r="111" spans="1:8" x14ac:dyDescent="0.2">
      <c r="A111" s="12" t="str">
        <f t="shared" si="13"/>
        <v/>
      </c>
      <c r="B111" t="str">
        <f t="shared" si="8"/>
        <v/>
      </c>
      <c r="C111" s="17" t="str">
        <f t="shared" si="12"/>
        <v/>
      </c>
      <c r="D111" s="18" t="str">
        <f t="shared" si="9"/>
        <v/>
      </c>
      <c r="E111" t="str">
        <f t="shared" si="10"/>
        <v/>
      </c>
      <c r="F111" s="23" t="str">
        <f ca="1">IF(A111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111" s="19" t="str">
        <f>IF(A111="","",C111/(1+F111*$B$6/360)^(COUNT(A$16:A111)-($B$6-$D$16)/$B$6))</f>
        <v/>
      </c>
      <c r="H111" t="str">
        <f t="shared" si="11"/>
        <v/>
      </c>
    </row>
    <row r="112" spans="1:8" x14ac:dyDescent="0.2">
      <c r="A112" s="12" t="str">
        <f t="shared" si="13"/>
        <v/>
      </c>
      <c r="B112" t="str">
        <f t="shared" si="8"/>
        <v/>
      </c>
      <c r="C112" s="17" t="str">
        <f t="shared" si="12"/>
        <v/>
      </c>
      <c r="D112" s="18" t="str">
        <f t="shared" si="9"/>
        <v/>
      </c>
      <c r="E112" t="str">
        <f t="shared" si="10"/>
        <v/>
      </c>
      <c r="F112" s="23" t="str">
        <f ca="1">IF(A112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112" s="19" t="str">
        <f>IF(A112="","",C112/(1+F112*$B$6/360)^(COUNT(A$16:A112)-($B$6-$D$16)/$B$6))</f>
        <v/>
      </c>
      <c r="H112" t="str">
        <f t="shared" si="11"/>
        <v/>
      </c>
    </row>
    <row r="113" spans="1:8" x14ac:dyDescent="0.2">
      <c r="A113" s="12" t="str">
        <f t="shared" si="13"/>
        <v/>
      </c>
      <c r="B113" t="str">
        <f t="shared" si="8"/>
        <v/>
      </c>
      <c r="C113" s="17" t="str">
        <f t="shared" si="12"/>
        <v/>
      </c>
      <c r="D113" s="18" t="str">
        <f t="shared" si="9"/>
        <v/>
      </c>
      <c r="E113" t="str">
        <f t="shared" si="10"/>
        <v/>
      </c>
      <c r="F113" s="23" t="str">
        <f ca="1">IF(A113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113" s="19" t="str">
        <f>IF(A113="","",C113/(1+F113*$B$6/360)^(COUNT(A$16:A113)-($B$6-$D$16)/$B$6))</f>
        <v/>
      </c>
      <c r="H113" t="str">
        <f t="shared" si="11"/>
        <v/>
      </c>
    </row>
    <row r="114" spans="1:8" x14ac:dyDescent="0.2">
      <c r="A114" s="12" t="str">
        <f t="shared" si="13"/>
        <v/>
      </c>
      <c r="B114" t="str">
        <f t="shared" si="8"/>
        <v/>
      </c>
      <c r="C114" s="17" t="str">
        <f t="shared" si="12"/>
        <v/>
      </c>
      <c r="D114" s="18" t="str">
        <f t="shared" si="9"/>
        <v/>
      </c>
      <c r="E114" t="str">
        <f t="shared" si="10"/>
        <v/>
      </c>
      <c r="F114" s="23" t="str">
        <f ca="1">IF(A114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114" s="19" t="str">
        <f>IF(A114="","",C114/(1+F114*$B$6/360)^(COUNT(A$16:A114)-($B$6-$D$16)/$B$6))</f>
        <v/>
      </c>
      <c r="H114" t="str">
        <f t="shared" si="11"/>
        <v/>
      </c>
    </row>
    <row r="115" spans="1:8" x14ac:dyDescent="0.2">
      <c r="A115" s="12" t="str">
        <f t="shared" si="13"/>
        <v/>
      </c>
      <c r="B115" t="str">
        <f t="shared" si="8"/>
        <v/>
      </c>
      <c r="C115" s="17" t="str">
        <f t="shared" si="12"/>
        <v/>
      </c>
      <c r="D115" s="18" t="str">
        <f t="shared" si="9"/>
        <v/>
      </c>
      <c r="E115" t="str">
        <f t="shared" si="10"/>
        <v/>
      </c>
      <c r="F115" s="23" t="str">
        <f ca="1">IF(A115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115" s="19" t="str">
        <f>IF(A115="","",C115/(1+F115*$B$6/360)^(COUNT(A$16:A115)-($B$6-$D$16)/$B$6))</f>
        <v/>
      </c>
      <c r="H115" t="str">
        <f t="shared" si="11"/>
        <v/>
      </c>
    </row>
    <row r="116" spans="1:8" x14ac:dyDescent="0.2">
      <c r="A116" s="12" t="str">
        <f t="shared" si="13"/>
        <v/>
      </c>
      <c r="B116" t="str">
        <f t="shared" si="8"/>
        <v/>
      </c>
      <c r="C116" s="17" t="str">
        <f t="shared" si="12"/>
        <v/>
      </c>
      <c r="D116" s="18" t="str">
        <f t="shared" si="9"/>
        <v/>
      </c>
      <c r="E116" t="str">
        <f t="shared" si="10"/>
        <v/>
      </c>
      <c r="F116" s="23" t="str">
        <f ca="1">IF(A116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116" s="19" t="str">
        <f>IF(A116="","",C116/(1+F116*$B$6/360)^(COUNT(A$16:A116)-($B$6-$D$16)/$B$6))</f>
        <v/>
      </c>
      <c r="H116" t="str">
        <f t="shared" si="11"/>
        <v/>
      </c>
    </row>
    <row r="117" spans="1:8" x14ac:dyDescent="0.2">
      <c r="A117" s="12" t="str">
        <f t="shared" si="13"/>
        <v/>
      </c>
      <c r="B117" t="str">
        <f t="shared" si="8"/>
        <v/>
      </c>
      <c r="C117" s="17" t="str">
        <f t="shared" si="12"/>
        <v/>
      </c>
      <c r="D117" s="18" t="str">
        <f t="shared" si="9"/>
        <v/>
      </c>
      <c r="E117" t="str">
        <f t="shared" si="10"/>
        <v/>
      </c>
      <c r="F117" s="23" t="str">
        <f ca="1">IF(A117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117" s="19" t="str">
        <f>IF(A117="","",C117/(1+F117*$B$6/360)^(COUNT(A$16:A117)-($B$6-$D$16)/$B$6))</f>
        <v/>
      </c>
      <c r="H117" t="str">
        <f t="shared" si="11"/>
        <v/>
      </c>
    </row>
    <row r="118" spans="1:8" x14ac:dyDescent="0.2">
      <c r="A118" s="12" t="str">
        <f t="shared" si="13"/>
        <v/>
      </c>
      <c r="B118" t="str">
        <f t="shared" si="8"/>
        <v/>
      </c>
      <c r="C118" s="17" t="str">
        <f t="shared" si="12"/>
        <v/>
      </c>
      <c r="D118" s="18" t="str">
        <f t="shared" si="9"/>
        <v/>
      </c>
      <c r="E118" t="str">
        <f t="shared" si="10"/>
        <v/>
      </c>
      <c r="F118" s="23" t="str">
        <f ca="1">IF(A118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118" s="19" t="str">
        <f>IF(A118="","",C118/(1+F118*$B$6/360)^(COUNT(A$16:A118)-($B$6-$D$16)/$B$6))</f>
        <v/>
      </c>
      <c r="H118" t="str">
        <f t="shared" si="11"/>
        <v/>
      </c>
    </row>
    <row r="119" spans="1:8" x14ac:dyDescent="0.2">
      <c r="A119" s="12" t="str">
        <f t="shared" si="13"/>
        <v/>
      </c>
      <c r="B119" t="str">
        <f t="shared" si="8"/>
        <v/>
      </c>
      <c r="C119" s="17" t="str">
        <f t="shared" si="12"/>
        <v/>
      </c>
      <c r="D119" s="18" t="str">
        <f t="shared" si="9"/>
        <v/>
      </c>
      <c r="E119" t="str">
        <f t="shared" si="10"/>
        <v/>
      </c>
      <c r="F119" s="23" t="str">
        <f ca="1">IF(A119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119" s="19" t="str">
        <f>IF(A119="","",C119/(1+F119*$B$6/360)^(COUNT(A$16:A119)-($B$6-$D$16)/$B$6))</f>
        <v/>
      </c>
      <c r="H119" t="str">
        <f t="shared" si="11"/>
        <v/>
      </c>
    </row>
    <row r="120" spans="1:8" x14ac:dyDescent="0.2">
      <c r="A120" s="12" t="str">
        <f t="shared" si="13"/>
        <v/>
      </c>
      <c r="B120" t="str">
        <f t="shared" si="8"/>
        <v/>
      </c>
      <c r="C120" s="17" t="str">
        <f t="shared" si="12"/>
        <v/>
      </c>
      <c r="D120" s="18" t="str">
        <f t="shared" si="9"/>
        <v/>
      </c>
      <c r="E120" t="str">
        <f t="shared" si="10"/>
        <v/>
      </c>
      <c r="F120" s="23" t="str">
        <f ca="1">IF(A120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120" s="19" t="str">
        <f>IF(A120="","",C120/(1+F120*$B$6/360)^(COUNT(A$16:A120)-($B$6-$D$16)/$B$6))</f>
        <v/>
      </c>
      <c r="H120" t="str">
        <f t="shared" si="11"/>
        <v/>
      </c>
    </row>
    <row r="121" spans="1:8" x14ac:dyDescent="0.2">
      <c r="A121" s="12" t="str">
        <f t="shared" si="13"/>
        <v/>
      </c>
      <c r="B121" t="str">
        <f t="shared" si="8"/>
        <v/>
      </c>
      <c r="C121" s="17" t="str">
        <f t="shared" si="12"/>
        <v/>
      </c>
      <c r="D121" s="18" t="str">
        <f t="shared" si="9"/>
        <v/>
      </c>
      <c r="E121" t="str">
        <f t="shared" si="10"/>
        <v/>
      </c>
      <c r="F121" s="23" t="str">
        <f ca="1">IF(A121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121" s="19" t="str">
        <f>IF(A121="","",C121/(1+F121*$B$6/360)^(COUNT(A$16:A121)-($B$6-$D$16)/$B$6))</f>
        <v/>
      </c>
      <c r="H121" t="str">
        <f t="shared" si="11"/>
        <v/>
      </c>
    </row>
    <row r="122" spans="1:8" x14ac:dyDescent="0.2">
      <c r="A122" s="12" t="str">
        <f t="shared" si="13"/>
        <v/>
      </c>
      <c r="B122" t="str">
        <f t="shared" si="8"/>
        <v/>
      </c>
      <c r="C122" s="17" t="str">
        <f t="shared" si="12"/>
        <v/>
      </c>
      <c r="D122" s="18" t="str">
        <f t="shared" si="9"/>
        <v/>
      </c>
      <c r="E122" t="str">
        <f t="shared" si="10"/>
        <v/>
      </c>
      <c r="F122" s="23" t="str">
        <f ca="1">IF(A122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122" s="19" t="str">
        <f>IF(A122="","",C122/(1+F122*$B$6/360)^(COUNT(A$16:A122)-($B$6-$D$16)/$B$6))</f>
        <v/>
      </c>
      <c r="H122" t="str">
        <f t="shared" si="11"/>
        <v/>
      </c>
    </row>
    <row r="123" spans="1:8" x14ac:dyDescent="0.2">
      <c r="A123" s="12" t="str">
        <f t="shared" si="13"/>
        <v/>
      </c>
      <c r="B123" t="str">
        <f t="shared" si="8"/>
        <v/>
      </c>
      <c r="C123" s="17" t="str">
        <f t="shared" si="12"/>
        <v/>
      </c>
      <c r="D123" s="18" t="str">
        <f t="shared" si="9"/>
        <v/>
      </c>
      <c r="E123" t="str">
        <f t="shared" si="10"/>
        <v/>
      </c>
      <c r="F123" s="23" t="str">
        <f ca="1">IF(A123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123" s="19" t="str">
        <f>IF(A123="","",C123/(1+F123*$B$6/360)^(COUNT(A$16:A123)-($B$6-$D$16)/$B$6))</f>
        <v/>
      </c>
      <c r="H123" t="str">
        <f t="shared" si="11"/>
        <v/>
      </c>
    </row>
    <row r="124" spans="1:8" x14ac:dyDescent="0.2">
      <c r="A124" s="12" t="str">
        <f t="shared" si="13"/>
        <v/>
      </c>
      <c r="B124" t="str">
        <f t="shared" si="8"/>
        <v/>
      </c>
      <c r="C124" s="17" t="str">
        <f t="shared" si="12"/>
        <v/>
      </c>
      <c r="D124" s="18" t="str">
        <f t="shared" si="9"/>
        <v/>
      </c>
      <c r="E124" t="str">
        <f t="shared" si="10"/>
        <v/>
      </c>
      <c r="F124" s="23" t="str">
        <f ca="1">IF(A124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124" s="19" t="str">
        <f>IF(A124="","",C124/(1+F124*$B$6/360)^(COUNT(A$16:A124)-($B$6-$D$16)/$B$6))</f>
        <v/>
      </c>
      <c r="H124" t="str">
        <f t="shared" si="11"/>
        <v/>
      </c>
    </row>
    <row r="125" spans="1:8" x14ac:dyDescent="0.2">
      <c r="A125" s="12" t="str">
        <f t="shared" si="13"/>
        <v/>
      </c>
      <c r="B125" t="str">
        <f t="shared" si="8"/>
        <v/>
      </c>
      <c r="C125" s="17" t="str">
        <f t="shared" si="12"/>
        <v/>
      </c>
      <c r="D125" s="18" t="str">
        <f t="shared" si="9"/>
        <v/>
      </c>
      <c r="E125" t="str">
        <f t="shared" si="10"/>
        <v/>
      </c>
      <c r="F125" s="23" t="str">
        <f ca="1">IF(A125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125" s="19" t="str">
        <f>IF(A125="","",C125/(1+F125*$B$6/360)^(COUNT(A$16:A125)-($B$6-$D$16)/$B$6))</f>
        <v/>
      </c>
      <c r="H125" t="str">
        <f t="shared" si="11"/>
        <v/>
      </c>
    </row>
    <row r="126" spans="1:8" x14ac:dyDescent="0.2">
      <c r="A126" s="12" t="str">
        <f t="shared" si="13"/>
        <v/>
      </c>
      <c r="B126" t="str">
        <f t="shared" si="8"/>
        <v/>
      </c>
      <c r="C126" s="17" t="str">
        <f t="shared" si="12"/>
        <v/>
      </c>
      <c r="D126" s="18" t="str">
        <f t="shared" si="9"/>
        <v/>
      </c>
      <c r="E126" t="str">
        <f t="shared" si="10"/>
        <v/>
      </c>
      <c r="F126" s="23" t="str">
        <f ca="1">IF(A126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126" s="19" t="str">
        <f>IF(A126="","",C126/(1+F126*$B$6/360)^(COUNT(A$16:A126)-($B$6-$D$16)/$B$6))</f>
        <v/>
      </c>
      <c r="H126" t="str">
        <f t="shared" si="11"/>
        <v/>
      </c>
    </row>
    <row r="127" spans="1:8" x14ac:dyDescent="0.2">
      <c r="A127" s="12" t="str">
        <f t="shared" si="13"/>
        <v/>
      </c>
      <c r="B127" t="str">
        <f t="shared" si="8"/>
        <v/>
      </c>
      <c r="C127" s="17" t="str">
        <f t="shared" si="12"/>
        <v/>
      </c>
      <c r="D127" s="18" t="str">
        <f t="shared" si="9"/>
        <v/>
      </c>
      <c r="E127" t="str">
        <f t="shared" si="10"/>
        <v/>
      </c>
      <c r="F127" s="23" t="str">
        <f ca="1">IF(A127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127" s="19" t="str">
        <f>IF(A127="","",C127/(1+F127*$B$6/360)^(COUNT(A$16:A127)-($B$6-$D$16)/$B$6))</f>
        <v/>
      </c>
      <c r="H127" t="str">
        <f t="shared" si="11"/>
        <v/>
      </c>
    </row>
    <row r="128" spans="1:8" x14ac:dyDescent="0.2">
      <c r="A128" s="12" t="str">
        <f t="shared" si="13"/>
        <v/>
      </c>
      <c r="B128" t="str">
        <f t="shared" si="8"/>
        <v/>
      </c>
      <c r="C128" s="17" t="str">
        <f t="shared" si="12"/>
        <v/>
      </c>
      <c r="D128" s="18" t="str">
        <f t="shared" si="9"/>
        <v/>
      </c>
      <c r="E128" t="str">
        <f t="shared" si="10"/>
        <v/>
      </c>
      <c r="F128" s="23" t="str">
        <f ca="1">IF(A128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128" s="19" t="str">
        <f>IF(A128="","",C128/(1+F128*$B$6/360)^(COUNT(A$16:A128)-($B$6-$D$16)/$B$6))</f>
        <v/>
      </c>
      <c r="H128" t="str">
        <f t="shared" si="11"/>
        <v/>
      </c>
    </row>
    <row r="129" spans="1:8" x14ac:dyDescent="0.2">
      <c r="A129" s="12" t="str">
        <f t="shared" si="13"/>
        <v/>
      </c>
      <c r="B129" t="str">
        <f t="shared" si="8"/>
        <v/>
      </c>
      <c r="C129" s="17" t="str">
        <f t="shared" si="12"/>
        <v/>
      </c>
      <c r="D129" s="18" t="str">
        <f t="shared" si="9"/>
        <v/>
      </c>
      <c r="E129" t="str">
        <f t="shared" si="10"/>
        <v/>
      </c>
      <c r="F129" s="23" t="str">
        <f ca="1">IF(A129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129" s="19" t="str">
        <f>IF(A129="","",C129/(1+F129*$B$6/360)^(COUNT(A$16:A129)-($B$6-$D$16)/$B$6))</f>
        <v/>
      </c>
      <c r="H129" t="str">
        <f t="shared" si="11"/>
        <v/>
      </c>
    </row>
    <row r="130" spans="1:8" x14ac:dyDescent="0.2">
      <c r="A130" s="12" t="str">
        <f t="shared" si="13"/>
        <v/>
      </c>
      <c r="B130" t="str">
        <f t="shared" si="8"/>
        <v/>
      </c>
      <c r="C130" s="17" t="str">
        <f t="shared" si="12"/>
        <v/>
      </c>
      <c r="D130" s="18" t="str">
        <f t="shared" si="9"/>
        <v/>
      </c>
      <c r="E130" t="str">
        <f t="shared" si="10"/>
        <v/>
      </c>
      <c r="F130" s="23" t="str">
        <f ca="1">IF(A130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130" s="19" t="str">
        <f>IF(A130="","",C130/(1+F130*$B$6/360)^(COUNT(A$16:A130)-($B$6-$D$16)/$B$6))</f>
        <v/>
      </c>
      <c r="H130" t="str">
        <f t="shared" si="11"/>
        <v/>
      </c>
    </row>
    <row r="131" spans="1:8" x14ac:dyDescent="0.2">
      <c r="A131" s="12" t="str">
        <f t="shared" si="13"/>
        <v/>
      </c>
      <c r="B131" t="str">
        <f t="shared" si="8"/>
        <v/>
      </c>
      <c r="C131" s="17" t="str">
        <f t="shared" si="12"/>
        <v/>
      </c>
      <c r="D131" s="18" t="str">
        <f t="shared" si="9"/>
        <v/>
      </c>
      <c r="E131" t="str">
        <f t="shared" si="10"/>
        <v/>
      </c>
      <c r="F131" s="23" t="str">
        <f ca="1">IF(A131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131" s="19" t="str">
        <f>IF(A131="","",C131/(1+F131*$B$6/360)^(COUNT(A$16:A131)-($B$6-$D$16)/$B$6))</f>
        <v/>
      </c>
      <c r="H131" t="str">
        <f t="shared" si="11"/>
        <v/>
      </c>
    </row>
    <row r="132" spans="1:8" x14ac:dyDescent="0.2">
      <c r="A132" s="12" t="str">
        <f t="shared" si="13"/>
        <v/>
      </c>
      <c r="B132" t="str">
        <f t="shared" si="8"/>
        <v/>
      </c>
      <c r="C132" s="17" t="str">
        <f t="shared" si="12"/>
        <v/>
      </c>
      <c r="D132" s="18" t="str">
        <f t="shared" si="9"/>
        <v/>
      </c>
      <c r="E132" t="str">
        <f t="shared" si="10"/>
        <v/>
      </c>
      <c r="F132" s="23" t="str">
        <f ca="1">IF(A132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132" s="19" t="str">
        <f>IF(A132="","",C132/(1+F132*$B$6/360)^(COUNT(A$16:A132)-($B$6-$D$16)/$B$6))</f>
        <v/>
      </c>
      <c r="H132" t="str">
        <f t="shared" si="11"/>
        <v/>
      </c>
    </row>
    <row r="133" spans="1:8" x14ac:dyDescent="0.2">
      <c r="A133" s="12" t="str">
        <f t="shared" si="13"/>
        <v/>
      </c>
      <c r="B133" t="str">
        <f t="shared" si="8"/>
        <v/>
      </c>
      <c r="C133" s="17" t="str">
        <f t="shared" si="12"/>
        <v/>
      </c>
      <c r="D133" s="18" t="str">
        <f t="shared" si="9"/>
        <v/>
      </c>
      <c r="E133" t="str">
        <f t="shared" si="10"/>
        <v/>
      </c>
      <c r="F133" s="23" t="str">
        <f ca="1">IF(A133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133" s="19" t="str">
        <f>IF(A133="","",C133/(1+F133*$B$6/360)^(COUNT(A$16:A133)-($B$6-$D$16)/$B$6))</f>
        <v/>
      </c>
      <c r="H133" t="str">
        <f t="shared" si="11"/>
        <v/>
      </c>
    </row>
    <row r="134" spans="1:8" x14ac:dyDescent="0.2">
      <c r="A134" s="12" t="str">
        <f t="shared" si="13"/>
        <v/>
      </c>
      <c r="B134" t="str">
        <f t="shared" si="8"/>
        <v/>
      </c>
      <c r="C134" s="17" t="str">
        <f t="shared" si="12"/>
        <v/>
      </c>
      <c r="D134" s="18" t="str">
        <f t="shared" si="9"/>
        <v/>
      </c>
      <c r="E134" t="str">
        <f t="shared" si="10"/>
        <v/>
      </c>
      <c r="F134" s="23" t="str">
        <f ca="1">IF(A134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134" s="19" t="str">
        <f>IF(A134="","",C134/(1+F134*$B$6/360)^(COUNT(A$16:A134)-($B$6-$D$16)/$B$6))</f>
        <v/>
      </c>
      <c r="H134" t="str">
        <f t="shared" si="11"/>
        <v/>
      </c>
    </row>
    <row r="135" spans="1:8" x14ac:dyDescent="0.2">
      <c r="A135" s="12" t="str">
        <f t="shared" si="13"/>
        <v/>
      </c>
      <c r="B135" t="str">
        <f t="shared" si="8"/>
        <v/>
      </c>
      <c r="C135" s="17" t="str">
        <f t="shared" si="12"/>
        <v/>
      </c>
      <c r="D135" s="18" t="str">
        <f t="shared" si="9"/>
        <v/>
      </c>
      <c r="E135" t="str">
        <f t="shared" si="10"/>
        <v/>
      </c>
      <c r="F135" s="23" t="str">
        <f ca="1">IF(A135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135" s="19" t="str">
        <f>IF(A135="","",C135/(1+F135*$B$6/360)^(COUNT(A$16:A135)-($B$6-$D$16)/$B$6))</f>
        <v/>
      </c>
      <c r="H135" t="str">
        <f t="shared" si="11"/>
        <v/>
      </c>
    </row>
    <row r="136" spans="1:8" x14ac:dyDescent="0.2">
      <c r="A136" s="12" t="str">
        <f t="shared" si="13"/>
        <v/>
      </c>
      <c r="B136" t="str">
        <f t="shared" si="8"/>
        <v/>
      </c>
      <c r="C136" s="17" t="str">
        <f t="shared" si="12"/>
        <v/>
      </c>
      <c r="D136" s="18" t="str">
        <f t="shared" si="9"/>
        <v/>
      </c>
      <c r="E136" t="str">
        <f t="shared" si="10"/>
        <v/>
      </c>
      <c r="F136" s="23" t="str">
        <f ca="1">IF(A136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136" s="19" t="str">
        <f>IF(A136="","",C136/(1+F136*$B$6/360)^(COUNT(A$16:A136)-($B$6-$D$16)/$B$6))</f>
        <v/>
      </c>
      <c r="H136" t="str">
        <f t="shared" si="11"/>
        <v/>
      </c>
    </row>
    <row r="137" spans="1:8" x14ac:dyDescent="0.2">
      <c r="A137" s="12" t="str">
        <f t="shared" si="13"/>
        <v/>
      </c>
      <c r="B137" t="str">
        <f t="shared" si="8"/>
        <v/>
      </c>
      <c r="C137" s="17" t="str">
        <f t="shared" si="12"/>
        <v/>
      </c>
      <c r="D137" s="18" t="str">
        <f t="shared" si="9"/>
        <v/>
      </c>
      <c r="E137" t="str">
        <f t="shared" si="10"/>
        <v/>
      </c>
      <c r="F137" s="23" t="str">
        <f ca="1">IF(A137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137" s="19" t="str">
        <f>IF(A137="","",C137/(1+F137*$B$6/360)^(COUNT(A$16:A137)-($B$6-$D$16)/$B$6))</f>
        <v/>
      </c>
      <c r="H137" t="str">
        <f t="shared" si="11"/>
        <v/>
      </c>
    </row>
    <row r="138" spans="1:8" x14ac:dyDescent="0.2">
      <c r="A138" s="12" t="str">
        <f t="shared" si="13"/>
        <v/>
      </c>
      <c r="B138" t="str">
        <f t="shared" si="8"/>
        <v/>
      </c>
      <c r="C138" s="17" t="str">
        <f t="shared" si="12"/>
        <v/>
      </c>
      <c r="D138" s="18" t="str">
        <f t="shared" si="9"/>
        <v/>
      </c>
      <c r="E138" t="str">
        <f t="shared" si="10"/>
        <v/>
      </c>
      <c r="F138" s="23" t="str">
        <f ca="1">IF(A138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138" s="19" t="str">
        <f>IF(A138="","",C138/(1+F138*$B$6/360)^(COUNT(A$16:A138)-($B$6-$D$16)/$B$6))</f>
        <v/>
      </c>
      <c r="H138" t="str">
        <f t="shared" si="11"/>
        <v/>
      </c>
    </row>
    <row r="139" spans="1:8" x14ac:dyDescent="0.2">
      <c r="A139" s="12" t="str">
        <f t="shared" si="13"/>
        <v/>
      </c>
      <c r="B139" t="str">
        <f t="shared" si="8"/>
        <v/>
      </c>
      <c r="C139" s="17" t="str">
        <f t="shared" si="12"/>
        <v/>
      </c>
      <c r="D139" s="18" t="str">
        <f t="shared" si="9"/>
        <v/>
      </c>
      <c r="E139" t="str">
        <f t="shared" si="10"/>
        <v/>
      </c>
      <c r="F139" s="23" t="str">
        <f ca="1">IF(A139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139" s="19" t="str">
        <f>IF(A139="","",C139/(1+F139*$B$6/360)^(COUNT(A$16:A139)-($B$6-$D$16)/$B$6))</f>
        <v/>
      </c>
      <c r="H139" t="str">
        <f t="shared" si="11"/>
        <v/>
      </c>
    </row>
    <row r="140" spans="1:8" x14ac:dyDescent="0.2">
      <c r="A140" s="12" t="str">
        <f t="shared" si="13"/>
        <v/>
      </c>
      <c r="B140" t="str">
        <f t="shared" si="8"/>
        <v/>
      </c>
      <c r="C140" s="17" t="str">
        <f t="shared" si="12"/>
        <v/>
      </c>
      <c r="D140" s="18" t="str">
        <f t="shared" si="9"/>
        <v/>
      </c>
      <c r="E140" t="str">
        <f t="shared" si="10"/>
        <v/>
      </c>
      <c r="F140" s="23" t="str">
        <f ca="1">IF(A140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140" s="19" t="str">
        <f>IF(A140="","",C140/(1+F140*$B$6/360)^(COUNT(A$16:A140)-($B$6-$D$16)/$B$6))</f>
        <v/>
      </c>
      <c r="H140" t="str">
        <f t="shared" si="11"/>
        <v/>
      </c>
    </row>
    <row r="141" spans="1:8" x14ac:dyDescent="0.2">
      <c r="A141" s="12" t="str">
        <f t="shared" si="13"/>
        <v/>
      </c>
      <c r="B141" t="str">
        <f t="shared" si="8"/>
        <v/>
      </c>
      <c r="C141" s="17" t="str">
        <f t="shared" si="12"/>
        <v/>
      </c>
      <c r="D141" s="18" t="str">
        <f t="shared" si="9"/>
        <v/>
      </c>
      <c r="E141" t="str">
        <f t="shared" si="10"/>
        <v/>
      </c>
      <c r="F141" s="23" t="str">
        <f ca="1">IF(A141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141" s="19" t="str">
        <f>IF(A141="","",C141/(1+F141*$B$6/360)^(COUNT(A$16:A141)-($B$6-$D$16)/$B$6))</f>
        <v/>
      </c>
      <c r="H141" t="str">
        <f t="shared" si="11"/>
        <v/>
      </c>
    </row>
    <row r="142" spans="1:8" x14ac:dyDescent="0.2">
      <c r="A142" s="12" t="str">
        <f t="shared" si="13"/>
        <v/>
      </c>
      <c r="B142" t="str">
        <f t="shared" si="8"/>
        <v/>
      </c>
      <c r="C142" s="17" t="str">
        <f t="shared" si="12"/>
        <v/>
      </c>
      <c r="D142" s="18" t="str">
        <f t="shared" si="9"/>
        <v/>
      </c>
      <c r="E142" t="str">
        <f t="shared" si="10"/>
        <v/>
      </c>
      <c r="F142" s="23" t="str">
        <f ca="1">IF(A142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142" s="19" t="str">
        <f>IF(A142="","",C142/(1+F142*$B$6/360)^(COUNT(A$16:A142)-($B$6-$D$16)/$B$6))</f>
        <v/>
      </c>
      <c r="H142" t="str">
        <f t="shared" si="11"/>
        <v/>
      </c>
    </row>
    <row r="143" spans="1:8" x14ac:dyDescent="0.2">
      <c r="A143" s="12" t="str">
        <f t="shared" si="13"/>
        <v/>
      </c>
      <c r="B143" t="str">
        <f t="shared" si="8"/>
        <v/>
      </c>
      <c r="C143" s="17" t="str">
        <f t="shared" si="12"/>
        <v/>
      </c>
      <c r="D143" s="18" t="str">
        <f t="shared" si="9"/>
        <v/>
      </c>
      <c r="E143" t="str">
        <f t="shared" si="10"/>
        <v/>
      </c>
      <c r="F143" s="23" t="str">
        <f ca="1">IF(A143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143" s="19" t="str">
        <f>IF(A143="","",C143/(1+F143*$B$6/360)^(COUNT(A$16:A143)-($B$6-$D$16)/$B$6))</f>
        <v/>
      </c>
      <c r="H143" t="str">
        <f t="shared" si="11"/>
        <v/>
      </c>
    </row>
    <row r="144" spans="1:8" x14ac:dyDescent="0.2">
      <c r="A144" s="12" t="str">
        <f t="shared" si="13"/>
        <v/>
      </c>
      <c r="B144" t="str">
        <f t="shared" si="8"/>
        <v/>
      </c>
      <c r="C144" s="17" t="str">
        <f t="shared" si="12"/>
        <v/>
      </c>
      <c r="D144" s="18" t="str">
        <f t="shared" si="9"/>
        <v/>
      </c>
      <c r="E144" t="str">
        <f t="shared" si="10"/>
        <v/>
      </c>
      <c r="F144" s="23" t="str">
        <f ca="1">IF(A144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144" s="19" t="str">
        <f>IF(A144="","",C144/(1+F144*$B$6/360)^(COUNT(A$16:A144)-($B$6-$D$16)/$B$6))</f>
        <v/>
      </c>
      <c r="H144" t="str">
        <f t="shared" si="11"/>
        <v/>
      </c>
    </row>
    <row r="145" spans="1:8" x14ac:dyDescent="0.2">
      <c r="A145" s="12" t="str">
        <f t="shared" si="13"/>
        <v/>
      </c>
      <c r="B145" t="str">
        <f t="shared" ref="B145:B208" si="14">IF(A145="","",$B$5)</f>
        <v/>
      </c>
      <c r="C145" s="17" t="str">
        <f t="shared" si="12"/>
        <v/>
      </c>
      <c r="D145" s="18" t="str">
        <f t="shared" ref="D145:D208" si="15">IF(A145="","",$B$6)</f>
        <v/>
      </c>
      <c r="E145" t="str">
        <f t="shared" ref="E145:E208" si="16">IF(A145="","",E144+D145)</f>
        <v/>
      </c>
      <c r="F145" s="23" t="str">
        <f ca="1">IF(A145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145" s="19" t="str">
        <f>IF(A145="","",C145/(1+F145*$B$6/360)^(COUNT(A$16:A145)-($B$6-$D$16)/$B$6))</f>
        <v/>
      </c>
      <c r="H145" t="str">
        <f t="shared" ref="H145:H208" si="17">IF(A145="","",C145/(1+F145*$B$6/360)^(E145/$B$6))</f>
        <v/>
      </c>
    </row>
    <row r="146" spans="1:8" x14ac:dyDescent="0.2">
      <c r="A146" s="12" t="str">
        <f t="shared" si="13"/>
        <v/>
      </c>
      <c r="B146" t="str">
        <f t="shared" si="14"/>
        <v/>
      </c>
      <c r="C146" s="17" t="str">
        <f t="shared" si="12"/>
        <v/>
      </c>
      <c r="D146" s="18" t="str">
        <f t="shared" si="15"/>
        <v/>
      </c>
      <c r="E146" t="str">
        <f t="shared" si="16"/>
        <v/>
      </c>
      <c r="F146" s="23" t="str">
        <f ca="1">IF(A146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146" s="19" t="str">
        <f>IF(A146="","",C146/(1+F146*$B$6/360)^(COUNT(A$16:A146)-($B$6-$D$16)/$B$6))</f>
        <v/>
      </c>
      <c r="H146" t="str">
        <f t="shared" si="17"/>
        <v/>
      </c>
    </row>
    <row r="147" spans="1:8" x14ac:dyDescent="0.2">
      <c r="A147" s="12" t="str">
        <f t="shared" si="13"/>
        <v/>
      </c>
      <c r="B147" t="str">
        <f t="shared" si="14"/>
        <v/>
      </c>
      <c r="C147" s="17" t="str">
        <f t="shared" si="12"/>
        <v/>
      </c>
      <c r="D147" s="18" t="str">
        <f t="shared" si="15"/>
        <v/>
      </c>
      <c r="E147" t="str">
        <f t="shared" si="16"/>
        <v/>
      </c>
      <c r="F147" s="23" t="str">
        <f ca="1">IF(A147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147" s="19" t="str">
        <f>IF(A147="","",C147/(1+F147*$B$6/360)^(COUNT(A$16:A147)-($B$6-$D$16)/$B$6))</f>
        <v/>
      </c>
      <c r="H147" t="str">
        <f t="shared" si="17"/>
        <v/>
      </c>
    </row>
    <row r="148" spans="1:8" x14ac:dyDescent="0.2">
      <c r="A148" s="12" t="str">
        <f t="shared" si="13"/>
        <v/>
      </c>
      <c r="B148" t="str">
        <f t="shared" si="14"/>
        <v/>
      </c>
      <c r="C148" s="17" t="str">
        <f t="shared" si="12"/>
        <v/>
      </c>
      <c r="D148" s="18" t="str">
        <f t="shared" si="15"/>
        <v/>
      </c>
      <c r="E148" t="str">
        <f t="shared" si="16"/>
        <v/>
      </c>
      <c r="F148" s="23" t="str">
        <f ca="1">IF(A148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148" s="19" t="str">
        <f>IF(A148="","",C148/(1+F148*$B$6/360)^(COUNT(A$16:A148)-($B$6-$D$16)/$B$6))</f>
        <v/>
      </c>
      <c r="H148" t="str">
        <f t="shared" si="17"/>
        <v/>
      </c>
    </row>
    <row r="149" spans="1:8" x14ac:dyDescent="0.2">
      <c r="A149" s="12" t="str">
        <f t="shared" si="13"/>
        <v/>
      </c>
      <c r="B149" t="str">
        <f t="shared" si="14"/>
        <v/>
      </c>
      <c r="C149" s="17" t="str">
        <f t="shared" si="12"/>
        <v/>
      </c>
      <c r="D149" s="18" t="str">
        <f t="shared" si="15"/>
        <v/>
      </c>
      <c r="E149" t="str">
        <f t="shared" si="16"/>
        <v/>
      </c>
      <c r="F149" s="23" t="str">
        <f ca="1">IF(A149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149" s="19" t="str">
        <f>IF(A149="","",C149/(1+F149*$B$6/360)^(COUNT(A$16:A149)-($B$6-$D$16)/$B$6))</f>
        <v/>
      </c>
      <c r="H149" t="str">
        <f t="shared" si="17"/>
        <v/>
      </c>
    </row>
    <row r="150" spans="1:8" x14ac:dyDescent="0.2">
      <c r="A150" s="12" t="str">
        <f t="shared" si="13"/>
        <v/>
      </c>
      <c r="B150" t="str">
        <f t="shared" si="14"/>
        <v/>
      </c>
      <c r="C150" s="17" t="str">
        <f t="shared" si="12"/>
        <v/>
      </c>
      <c r="D150" s="18" t="str">
        <f t="shared" si="15"/>
        <v/>
      </c>
      <c r="E150" t="str">
        <f t="shared" si="16"/>
        <v/>
      </c>
      <c r="F150" s="23" t="str">
        <f ca="1">IF(A150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150" s="19" t="str">
        <f>IF(A150="","",C150/(1+F150*$B$6/360)^(COUNT(A$16:A150)-($B$6-$D$16)/$B$6))</f>
        <v/>
      </c>
      <c r="H150" t="str">
        <f t="shared" si="17"/>
        <v/>
      </c>
    </row>
    <row r="151" spans="1:8" x14ac:dyDescent="0.2">
      <c r="A151" s="12" t="str">
        <f t="shared" si="13"/>
        <v/>
      </c>
      <c r="B151" t="str">
        <f t="shared" si="14"/>
        <v/>
      </c>
      <c r="C151" s="17" t="str">
        <f t="shared" si="12"/>
        <v/>
      </c>
      <c r="D151" s="18" t="str">
        <f t="shared" si="15"/>
        <v/>
      </c>
      <c r="E151" t="str">
        <f t="shared" si="16"/>
        <v/>
      </c>
      <c r="F151" s="23" t="str">
        <f ca="1">IF(A151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151" s="19" t="str">
        <f>IF(A151="","",C151/(1+F151*$B$6/360)^(COUNT(A$16:A151)-($B$6-$D$16)/$B$6))</f>
        <v/>
      </c>
      <c r="H151" t="str">
        <f t="shared" si="17"/>
        <v/>
      </c>
    </row>
    <row r="152" spans="1:8" x14ac:dyDescent="0.2">
      <c r="A152" s="12" t="str">
        <f t="shared" si="13"/>
        <v/>
      </c>
      <c r="B152" t="str">
        <f t="shared" si="14"/>
        <v/>
      </c>
      <c r="C152" s="17" t="str">
        <f t="shared" si="12"/>
        <v/>
      </c>
      <c r="D152" s="18" t="str">
        <f t="shared" si="15"/>
        <v/>
      </c>
      <c r="E152" t="str">
        <f t="shared" si="16"/>
        <v/>
      </c>
      <c r="F152" s="23" t="str">
        <f ca="1">IF(A152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152" s="19" t="str">
        <f>IF(A152="","",C152/(1+F152*$B$6/360)^(COUNT(A$16:A152)-($B$6-$D$16)/$B$6))</f>
        <v/>
      </c>
      <c r="H152" t="str">
        <f t="shared" si="17"/>
        <v/>
      </c>
    </row>
    <row r="153" spans="1:8" x14ac:dyDescent="0.2">
      <c r="A153" s="12" t="str">
        <f t="shared" si="13"/>
        <v/>
      </c>
      <c r="B153" t="str">
        <f t="shared" si="14"/>
        <v/>
      </c>
      <c r="C153" s="17" t="str">
        <f t="shared" si="12"/>
        <v/>
      </c>
      <c r="D153" s="18" t="str">
        <f t="shared" si="15"/>
        <v/>
      </c>
      <c r="E153" t="str">
        <f t="shared" si="16"/>
        <v/>
      </c>
      <c r="F153" s="23" t="str">
        <f ca="1">IF(A153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153" s="19" t="str">
        <f>IF(A153="","",C153/(1+F153*$B$6/360)^(COUNT(A$16:A153)-($B$6-$D$16)/$B$6))</f>
        <v/>
      </c>
      <c r="H153" t="str">
        <f t="shared" si="17"/>
        <v/>
      </c>
    </row>
    <row r="154" spans="1:8" x14ac:dyDescent="0.2">
      <c r="A154" s="12" t="str">
        <f t="shared" si="13"/>
        <v/>
      </c>
      <c r="B154" t="str">
        <f t="shared" si="14"/>
        <v/>
      </c>
      <c r="C154" s="17" t="str">
        <f t="shared" ref="C154:C217" si="18">IF(A154="","",IF(A154=$B$4,$B$1*$B$2, $B$5*$B$6/360*$B$1*$B$2))</f>
        <v/>
      </c>
      <c r="D154" s="18" t="str">
        <f t="shared" si="15"/>
        <v/>
      </c>
      <c r="E154" t="str">
        <f t="shared" si="16"/>
        <v/>
      </c>
      <c r="F154" s="23" t="str">
        <f ca="1">IF(A154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154" s="19" t="str">
        <f>IF(A154="","",C154/(1+F154*$B$6/360)^(COUNT(A$16:A154)-($B$6-$D$16)/$B$6))</f>
        <v/>
      </c>
      <c r="H154" t="str">
        <f t="shared" si="17"/>
        <v/>
      </c>
    </row>
    <row r="155" spans="1:8" x14ac:dyDescent="0.2">
      <c r="A155" s="12" t="str">
        <f t="shared" ref="A155:A218" si="19">IF(A154="","",IF((A154+$B$6)&gt;$B$4,"",(A154+$B$6)))</f>
        <v/>
      </c>
      <c r="B155" t="str">
        <f t="shared" si="14"/>
        <v/>
      </c>
      <c r="C155" s="17" t="str">
        <f t="shared" si="18"/>
        <v/>
      </c>
      <c r="D155" s="18" t="str">
        <f t="shared" si="15"/>
        <v/>
      </c>
      <c r="E155" t="str">
        <f t="shared" si="16"/>
        <v/>
      </c>
      <c r="F155" s="23" t="str">
        <f ca="1">IF(A155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155" s="19" t="str">
        <f>IF(A155="","",C155/(1+F155*$B$6/360)^(COUNT(A$16:A155)-($B$6-$D$16)/$B$6))</f>
        <v/>
      </c>
      <c r="H155" t="str">
        <f t="shared" si="17"/>
        <v/>
      </c>
    </row>
    <row r="156" spans="1:8" x14ac:dyDescent="0.2">
      <c r="A156" s="12" t="str">
        <f t="shared" si="19"/>
        <v/>
      </c>
      <c r="B156" t="str">
        <f t="shared" si="14"/>
        <v/>
      </c>
      <c r="C156" s="17" t="str">
        <f t="shared" si="18"/>
        <v/>
      </c>
      <c r="D156" s="18" t="str">
        <f t="shared" si="15"/>
        <v/>
      </c>
      <c r="E156" t="str">
        <f t="shared" si="16"/>
        <v/>
      </c>
      <c r="F156" s="23" t="str">
        <f ca="1">IF(A156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156" s="19" t="str">
        <f>IF(A156="","",C156/(1+F156*$B$6/360)^(COUNT(A$16:A156)-($B$6-$D$16)/$B$6))</f>
        <v/>
      </c>
      <c r="H156" t="str">
        <f t="shared" si="17"/>
        <v/>
      </c>
    </row>
    <row r="157" spans="1:8" x14ac:dyDescent="0.2">
      <c r="A157" s="12" t="str">
        <f t="shared" si="19"/>
        <v/>
      </c>
      <c r="B157" t="str">
        <f t="shared" si="14"/>
        <v/>
      </c>
      <c r="C157" s="17" t="str">
        <f t="shared" si="18"/>
        <v/>
      </c>
      <c r="D157" s="18" t="str">
        <f t="shared" si="15"/>
        <v/>
      </c>
      <c r="E157" t="str">
        <f t="shared" si="16"/>
        <v/>
      </c>
      <c r="F157" s="23" t="str">
        <f ca="1">IF(A157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157" s="19" t="str">
        <f>IF(A157="","",C157/(1+F157*$B$6/360)^(COUNT(A$16:A157)-($B$6-$D$16)/$B$6))</f>
        <v/>
      </c>
      <c r="H157" t="str">
        <f t="shared" si="17"/>
        <v/>
      </c>
    </row>
    <row r="158" spans="1:8" x14ac:dyDescent="0.2">
      <c r="A158" s="12" t="str">
        <f t="shared" si="19"/>
        <v/>
      </c>
      <c r="B158" t="str">
        <f t="shared" si="14"/>
        <v/>
      </c>
      <c r="C158" s="17" t="str">
        <f t="shared" si="18"/>
        <v/>
      </c>
      <c r="D158" s="18" t="str">
        <f t="shared" si="15"/>
        <v/>
      </c>
      <c r="E158" t="str">
        <f t="shared" si="16"/>
        <v/>
      </c>
      <c r="F158" s="23" t="str">
        <f ca="1">IF(A158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158" s="19" t="str">
        <f>IF(A158="","",C158/(1+F158*$B$6/360)^(COUNT(A$16:A158)-($B$6-$D$16)/$B$6))</f>
        <v/>
      </c>
      <c r="H158" t="str">
        <f t="shared" si="17"/>
        <v/>
      </c>
    </row>
    <row r="159" spans="1:8" x14ac:dyDescent="0.2">
      <c r="A159" s="12" t="str">
        <f t="shared" si="19"/>
        <v/>
      </c>
      <c r="B159" t="str">
        <f t="shared" si="14"/>
        <v/>
      </c>
      <c r="C159" s="17" t="str">
        <f t="shared" si="18"/>
        <v/>
      </c>
      <c r="D159" s="18" t="str">
        <f t="shared" si="15"/>
        <v/>
      </c>
      <c r="E159" t="str">
        <f t="shared" si="16"/>
        <v/>
      </c>
      <c r="F159" s="23" t="str">
        <f ca="1">IF(A159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159" s="19" t="str">
        <f>IF(A159="","",C159/(1+F159*$B$6/360)^(COUNT(A$16:A159)-($B$6-$D$16)/$B$6))</f>
        <v/>
      </c>
      <c r="H159" t="str">
        <f t="shared" si="17"/>
        <v/>
      </c>
    </row>
    <row r="160" spans="1:8" x14ac:dyDescent="0.2">
      <c r="A160" s="12" t="str">
        <f t="shared" si="19"/>
        <v/>
      </c>
      <c r="B160" t="str">
        <f t="shared" si="14"/>
        <v/>
      </c>
      <c r="C160" s="17" t="str">
        <f t="shared" si="18"/>
        <v/>
      </c>
      <c r="D160" s="18" t="str">
        <f t="shared" si="15"/>
        <v/>
      </c>
      <c r="E160" t="str">
        <f t="shared" si="16"/>
        <v/>
      </c>
      <c r="F160" s="23" t="str">
        <f ca="1">IF(A160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160" s="19" t="str">
        <f>IF(A160="","",C160/(1+F160*$B$6/360)^(COUNT(A$16:A160)-($B$6-$D$16)/$B$6))</f>
        <v/>
      </c>
      <c r="H160" t="str">
        <f t="shared" si="17"/>
        <v/>
      </c>
    </row>
    <row r="161" spans="1:8" x14ac:dyDescent="0.2">
      <c r="A161" s="12" t="str">
        <f t="shared" si="19"/>
        <v/>
      </c>
      <c r="B161" t="str">
        <f t="shared" si="14"/>
        <v/>
      </c>
      <c r="C161" s="17" t="str">
        <f t="shared" si="18"/>
        <v/>
      </c>
      <c r="D161" s="18" t="str">
        <f t="shared" si="15"/>
        <v/>
      </c>
      <c r="E161" t="str">
        <f t="shared" si="16"/>
        <v/>
      </c>
      <c r="F161" s="23" t="str">
        <f ca="1">IF(A161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161" s="19" t="str">
        <f>IF(A161="","",C161/(1+F161*$B$6/360)^(COUNT(A$16:A161)-($B$6-$D$16)/$B$6))</f>
        <v/>
      </c>
      <c r="H161" t="str">
        <f t="shared" si="17"/>
        <v/>
      </c>
    </row>
    <row r="162" spans="1:8" x14ac:dyDescent="0.2">
      <c r="A162" s="12" t="str">
        <f t="shared" si="19"/>
        <v/>
      </c>
      <c r="B162" t="str">
        <f t="shared" si="14"/>
        <v/>
      </c>
      <c r="C162" s="17" t="str">
        <f t="shared" si="18"/>
        <v/>
      </c>
      <c r="D162" s="18" t="str">
        <f t="shared" si="15"/>
        <v/>
      </c>
      <c r="E162" t="str">
        <f t="shared" si="16"/>
        <v/>
      </c>
      <c r="F162" s="23" t="str">
        <f ca="1">IF(A162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162" s="19" t="str">
        <f>IF(A162="","",C162/(1+F162*$B$6/360)^(COUNT(A$16:A162)-($B$6-$D$16)/$B$6))</f>
        <v/>
      </c>
      <c r="H162" t="str">
        <f t="shared" si="17"/>
        <v/>
      </c>
    </row>
    <row r="163" spans="1:8" x14ac:dyDescent="0.2">
      <c r="A163" s="12" t="str">
        <f t="shared" si="19"/>
        <v/>
      </c>
      <c r="B163" t="str">
        <f t="shared" si="14"/>
        <v/>
      </c>
      <c r="C163" s="17" t="str">
        <f t="shared" si="18"/>
        <v/>
      </c>
      <c r="D163" s="18" t="str">
        <f t="shared" si="15"/>
        <v/>
      </c>
      <c r="E163" t="str">
        <f t="shared" si="16"/>
        <v/>
      </c>
      <c r="F163" s="23" t="str">
        <f ca="1">IF(A163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163" s="19" t="str">
        <f>IF(A163="","",C163/(1+F163*$B$6/360)^(COUNT(A$16:A163)-($B$6-$D$16)/$B$6))</f>
        <v/>
      </c>
      <c r="H163" t="str">
        <f t="shared" si="17"/>
        <v/>
      </c>
    </row>
    <row r="164" spans="1:8" x14ac:dyDescent="0.2">
      <c r="A164" s="12" t="str">
        <f t="shared" si="19"/>
        <v/>
      </c>
      <c r="B164" t="str">
        <f t="shared" si="14"/>
        <v/>
      </c>
      <c r="C164" s="17" t="str">
        <f t="shared" si="18"/>
        <v/>
      </c>
      <c r="D164" s="18" t="str">
        <f t="shared" si="15"/>
        <v/>
      </c>
      <c r="E164" t="str">
        <f t="shared" si="16"/>
        <v/>
      </c>
      <c r="F164" s="23" t="str">
        <f ca="1">IF(A164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164" s="19" t="str">
        <f>IF(A164="","",C164/(1+F164*$B$6/360)^(COUNT(A$16:A164)-($B$6-$D$16)/$B$6))</f>
        <v/>
      </c>
      <c r="H164" t="str">
        <f t="shared" si="17"/>
        <v/>
      </c>
    </row>
    <row r="165" spans="1:8" x14ac:dyDescent="0.2">
      <c r="A165" s="12" t="str">
        <f t="shared" si="19"/>
        <v/>
      </c>
      <c r="B165" t="str">
        <f t="shared" si="14"/>
        <v/>
      </c>
      <c r="C165" s="17" t="str">
        <f t="shared" si="18"/>
        <v/>
      </c>
      <c r="D165" s="18" t="str">
        <f t="shared" si="15"/>
        <v/>
      </c>
      <c r="E165" t="str">
        <f t="shared" si="16"/>
        <v/>
      </c>
      <c r="F165" s="23" t="str">
        <f ca="1">IF(A165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165" s="19" t="str">
        <f>IF(A165="","",C165/(1+F165*$B$6/360)^(COUNT(A$16:A165)-($B$6-$D$16)/$B$6))</f>
        <v/>
      </c>
      <c r="H165" t="str">
        <f t="shared" si="17"/>
        <v/>
      </c>
    </row>
    <row r="166" spans="1:8" x14ac:dyDescent="0.2">
      <c r="A166" s="12" t="str">
        <f t="shared" si="19"/>
        <v/>
      </c>
      <c r="B166" t="str">
        <f t="shared" si="14"/>
        <v/>
      </c>
      <c r="C166" s="17" t="str">
        <f t="shared" si="18"/>
        <v/>
      </c>
      <c r="D166" s="18" t="str">
        <f t="shared" si="15"/>
        <v/>
      </c>
      <c r="E166" t="str">
        <f t="shared" si="16"/>
        <v/>
      </c>
      <c r="F166" s="23" t="str">
        <f ca="1">IF(A166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166" s="19" t="str">
        <f>IF(A166="","",C166/(1+F166*$B$6/360)^(COUNT(A$16:A166)-($B$6-$D$16)/$B$6))</f>
        <v/>
      </c>
      <c r="H166" t="str">
        <f t="shared" si="17"/>
        <v/>
      </c>
    </row>
    <row r="167" spans="1:8" x14ac:dyDescent="0.2">
      <c r="A167" s="12" t="str">
        <f t="shared" si="19"/>
        <v/>
      </c>
      <c r="B167" t="str">
        <f t="shared" si="14"/>
        <v/>
      </c>
      <c r="C167" s="17" t="str">
        <f t="shared" si="18"/>
        <v/>
      </c>
      <c r="D167" s="18" t="str">
        <f t="shared" si="15"/>
        <v/>
      </c>
      <c r="E167" t="str">
        <f t="shared" si="16"/>
        <v/>
      </c>
      <c r="F167" s="23" t="str">
        <f ca="1">IF(A167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167" s="19" t="str">
        <f>IF(A167="","",C167/(1+F167*$B$6/360)^(COUNT(A$16:A167)-($B$6-$D$16)/$B$6))</f>
        <v/>
      </c>
      <c r="H167" t="str">
        <f t="shared" si="17"/>
        <v/>
      </c>
    </row>
    <row r="168" spans="1:8" x14ac:dyDescent="0.2">
      <c r="A168" s="12" t="str">
        <f t="shared" si="19"/>
        <v/>
      </c>
      <c r="B168" t="str">
        <f t="shared" si="14"/>
        <v/>
      </c>
      <c r="C168" s="17" t="str">
        <f t="shared" si="18"/>
        <v/>
      </c>
      <c r="D168" s="18" t="str">
        <f t="shared" si="15"/>
        <v/>
      </c>
      <c r="E168" t="str">
        <f t="shared" si="16"/>
        <v/>
      </c>
      <c r="F168" s="23" t="str">
        <f ca="1">IF(A168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168" s="19" t="str">
        <f>IF(A168="","",C168/(1+F168*$B$6/360)^(COUNT(A$16:A168)-($B$6-$D$16)/$B$6))</f>
        <v/>
      </c>
      <c r="H168" t="str">
        <f t="shared" si="17"/>
        <v/>
      </c>
    </row>
    <row r="169" spans="1:8" x14ac:dyDescent="0.2">
      <c r="A169" s="12" t="str">
        <f t="shared" si="19"/>
        <v/>
      </c>
      <c r="B169" t="str">
        <f t="shared" si="14"/>
        <v/>
      </c>
      <c r="C169" s="17" t="str">
        <f t="shared" si="18"/>
        <v/>
      </c>
      <c r="D169" s="18" t="str">
        <f t="shared" si="15"/>
        <v/>
      </c>
      <c r="E169" t="str">
        <f t="shared" si="16"/>
        <v/>
      </c>
      <c r="F169" s="23" t="str">
        <f ca="1">IF(A169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169" s="19" t="str">
        <f>IF(A169="","",C169/(1+F169*$B$6/360)^(COUNT(A$16:A169)-($B$6-$D$16)/$B$6))</f>
        <v/>
      </c>
      <c r="H169" t="str">
        <f t="shared" si="17"/>
        <v/>
      </c>
    </row>
    <row r="170" spans="1:8" x14ac:dyDescent="0.2">
      <c r="A170" s="12" t="str">
        <f t="shared" si="19"/>
        <v/>
      </c>
      <c r="B170" t="str">
        <f t="shared" si="14"/>
        <v/>
      </c>
      <c r="C170" s="17" t="str">
        <f t="shared" si="18"/>
        <v/>
      </c>
      <c r="D170" s="18" t="str">
        <f t="shared" si="15"/>
        <v/>
      </c>
      <c r="E170" t="str">
        <f t="shared" si="16"/>
        <v/>
      </c>
      <c r="F170" s="23" t="str">
        <f ca="1">IF(A170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170" s="19" t="str">
        <f>IF(A170="","",C170/(1+F170*$B$6/360)^(COUNT(A$16:A170)-($B$6-$D$16)/$B$6))</f>
        <v/>
      </c>
      <c r="H170" t="str">
        <f t="shared" si="17"/>
        <v/>
      </c>
    </row>
    <row r="171" spans="1:8" x14ac:dyDescent="0.2">
      <c r="A171" s="12" t="str">
        <f t="shared" si="19"/>
        <v/>
      </c>
      <c r="B171" t="str">
        <f t="shared" si="14"/>
        <v/>
      </c>
      <c r="C171" s="17" t="str">
        <f t="shared" si="18"/>
        <v/>
      </c>
      <c r="D171" s="18" t="str">
        <f t="shared" si="15"/>
        <v/>
      </c>
      <c r="E171" t="str">
        <f t="shared" si="16"/>
        <v/>
      </c>
      <c r="F171" s="23" t="str">
        <f ca="1">IF(A171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171" s="19" t="str">
        <f>IF(A171="","",C171/(1+F171*$B$6/360)^(COUNT(A$16:A171)-($B$6-$D$16)/$B$6))</f>
        <v/>
      </c>
      <c r="H171" t="str">
        <f t="shared" si="17"/>
        <v/>
      </c>
    </row>
    <row r="172" spans="1:8" x14ac:dyDescent="0.2">
      <c r="A172" s="12" t="str">
        <f t="shared" si="19"/>
        <v/>
      </c>
      <c r="B172" t="str">
        <f t="shared" si="14"/>
        <v/>
      </c>
      <c r="C172" s="17" t="str">
        <f t="shared" si="18"/>
        <v/>
      </c>
      <c r="D172" s="18" t="str">
        <f t="shared" si="15"/>
        <v/>
      </c>
      <c r="E172" t="str">
        <f t="shared" si="16"/>
        <v/>
      </c>
      <c r="F172" s="23" t="str">
        <f ca="1">IF(A172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172" s="19" t="str">
        <f>IF(A172="","",C172/(1+F172*$B$6/360)^(COUNT(A$16:A172)-($B$6-$D$16)/$B$6))</f>
        <v/>
      </c>
      <c r="H172" t="str">
        <f t="shared" si="17"/>
        <v/>
      </c>
    </row>
    <row r="173" spans="1:8" x14ac:dyDescent="0.2">
      <c r="A173" s="12" t="str">
        <f t="shared" si="19"/>
        <v/>
      </c>
      <c r="B173" t="str">
        <f t="shared" si="14"/>
        <v/>
      </c>
      <c r="C173" s="17" t="str">
        <f t="shared" si="18"/>
        <v/>
      </c>
      <c r="D173" s="18" t="str">
        <f t="shared" si="15"/>
        <v/>
      </c>
      <c r="E173" t="str">
        <f t="shared" si="16"/>
        <v/>
      </c>
      <c r="F173" s="23" t="str">
        <f ca="1">IF(A173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173" s="19" t="str">
        <f>IF(A173="","",C173/(1+F173*$B$6/360)^(COUNT(A$16:A173)-($B$6-$D$16)/$B$6))</f>
        <v/>
      </c>
      <c r="H173" t="str">
        <f t="shared" si="17"/>
        <v/>
      </c>
    </row>
    <row r="174" spans="1:8" x14ac:dyDescent="0.2">
      <c r="A174" s="12" t="str">
        <f t="shared" si="19"/>
        <v/>
      </c>
      <c r="B174" t="str">
        <f t="shared" si="14"/>
        <v/>
      </c>
      <c r="C174" s="17" t="str">
        <f t="shared" si="18"/>
        <v/>
      </c>
      <c r="D174" s="18" t="str">
        <f t="shared" si="15"/>
        <v/>
      </c>
      <c r="E174" t="str">
        <f t="shared" si="16"/>
        <v/>
      </c>
      <c r="F174" s="23" t="str">
        <f ca="1">IF(A174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174" s="19" t="str">
        <f>IF(A174="","",C174/(1+F174*$B$6/360)^(COUNT(A$16:A174)-($B$6-$D$16)/$B$6))</f>
        <v/>
      </c>
      <c r="H174" t="str">
        <f t="shared" si="17"/>
        <v/>
      </c>
    </row>
    <row r="175" spans="1:8" x14ac:dyDescent="0.2">
      <c r="A175" s="12" t="str">
        <f t="shared" si="19"/>
        <v/>
      </c>
      <c r="B175" t="str">
        <f t="shared" si="14"/>
        <v/>
      </c>
      <c r="C175" s="17" t="str">
        <f t="shared" si="18"/>
        <v/>
      </c>
      <c r="D175" s="18" t="str">
        <f t="shared" si="15"/>
        <v/>
      </c>
      <c r="E175" t="str">
        <f t="shared" si="16"/>
        <v/>
      </c>
      <c r="F175" s="23" t="str">
        <f ca="1">IF(A175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175" s="19" t="str">
        <f>IF(A175="","",C175/(1+F175*$B$6/360)^(COUNT(A$16:A175)-($B$6-$D$16)/$B$6))</f>
        <v/>
      </c>
      <c r="H175" t="str">
        <f t="shared" si="17"/>
        <v/>
      </c>
    </row>
    <row r="176" spans="1:8" x14ac:dyDescent="0.2">
      <c r="A176" s="12" t="str">
        <f t="shared" si="19"/>
        <v/>
      </c>
      <c r="B176" t="str">
        <f t="shared" si="14"/>
        <v/>
      </c>
      <c r="C176" s="17" t="str">
        <f t="shared" si="18"/>
        <v/>
      </c>
      <c r="D176" s="18" t="str">
        <f t="shared" si="15"/>
        <v/>
      </c>
      <c r="E176" t="str">
        <f t="shared" si="16"/>
        <v/>
      </c>
      <c r="F176" s="23" t="str">
        <f ca="1">IF(A176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176" s="19" t="str">
        <f>IF(A176="","",C176/(1+F176*$B$6/360)^(COUNT(A$16:A176)-($B$6-$D$16)/$B$6))</f>
        <v/>
      </c>
      <c r="H176" t="str">
        <f t="shared" si="17"/>
        <v/>
      </c>
    </row>
    <row r="177" spans="1:8" x14ac:dyDescent="0.2">
      <c r="A177" s="12" t="str">
        <f t="shared" si="19"/>
        <v/>
      </c>
      <c r="B177" t="str">
        <f t="shared" si="14"/>
        <v/>
      </c>
      <c r="C177" s="17" t="str">
        <f t="shared" si="18"/>
        <v/>
      </c>
      <c r="D177" s="18" t="str">
        <f t="shared" si="15"/>
        <v/>
      </c>
      <c r="E177" t="str">
        <f t="shared" si="16"/>
        <v/>
      </c>
      <c r="F177" s="23" t="str">
        <f ca="1">IF(A177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177" s="19" t="str">
        <f>IF(A177="","",C177/(1+F177*$B$6/360)^(COUNT(A$16:A177)-($B$6-$D$16)/$B$6))</f>
        <v/>
      </c>
      <c r="H177" t="str">
        <f t="shared" si="17"/>
        <v/>
      </c>
    </row>
    <row r="178" spans="1:8" x14ac:dyDescent="0.2">
      <c r="A178" s="12" t="str">
        <f t="shared" si="19"/>
        <v/>
      </c>
      <c r="B178" t="str">
        <f t="shared" si="14"/>
        <v/>
      </c>
      <c r="C178" s="17" t="str">
        <f t="shared" si="18"/>
        <v/>
      </c>
      <c r="D178" s="18" t="str">
        <f t="shared" si="15"/>
        <v/>
      </c>
      <c r="E178" t="str">
        <f t="shared" si="16"/>
        <v/>
      </c>
      <c r="F178" s="23" t="str">
        <f ca="1">IF(A178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178" s="19" t="str">
        <f>IF(A178="","",C178/(1+F178*$B$6/360)^(COUNT(A$16:A178)-($B$6-$D$16)/$B$6))</f>
        <v/>
      </c>
      <c r="H178" t="str">
        <f t="shared" si="17"/>
        <v/>
      </c>
    </row>
    <row r="179" spans="1:8" x14ac:dyDescent="0.2">
      <c r="A179" s="12" t="str">
        <f t="shared" si="19"/>
        <v/>
      </c>
      <c r="B179" t="str">
        <f t="shared" si="14"/>
        <v/>
      </c>
      <c r="C179" s="17" t="str">
        <f t="shared" si="18"/>
        <v/>
      </c>
      <c r="D179" s="18" t="str">
        <f t="shared" si="15"/>
        <v/>
      </c>
      <c r="E179" t="str">
        <f t="shared" si="16"/>
        <v/>
      </c>
      <c r="F179" s="23" t="str">
        <f ca="1">IF(A179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179" s="19" t="str">
        <f>IF(A179="","",C179/(1+F179*$B$6/360)^(COUNT(A$16:A179)-($B$6-$D$16)/$B$6))</f>
        <v/>
      </c>
      <c r="H179" t="str">
        <f t="shared" si="17"/>
        <v/>
      </c>
    </row>
    <row r="180" spans="1:8" x14ac:dyDescent="0.2">
      <c r="A180" s="12" t="str">
        <f t="shared" si="19"/>
        <v/>
      </c>
      <c r="B180" t="str">
        <f t="shared" si="14"/>
        <v/>
      </c>
      <c r="C180" s="17" t="str">
        <f t="shared" si="18"/>
        <v/>
      </c>
      <c r="D180" s="18" t="str">
        <f t="shared" si="15"/>
        <v/>
      </c>
      <c r="E180" t="str">
        <f t="shared" si="16"/>
        <v/>
      </c>
      <c r="F180" s="23" t="str">
        <f ca="1">IF(A180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180" s="19" t="str">
        <f>IF(A180="","",C180/(1+F180*$B$6/360)^(COUNT(A$16:A180)-($B$6-$D$16)/$B$6))</f>
        <v/>
      </c>
      <c r="H180" t="str">
        <f t="shared" si="17"/>
        <v/>
      </c>
    </row>
    <row r="181" spans="1:8" x14ac:dyDescent="0.2">
      <c r="A181" s="12" t="str">
        <f t="shared" si="19"/>
        <v/>
      </c>
      <c r="B181" t="str">
        <f t="shared" si="14"/>
        <v/>
      </c>
      <c r="C181" s="17" t="str">
        <f t="shared" si="18"/>
        <v/>
      </c>
      <c r="D181" s="18" t="str">
        <f t="shared" si="15"/>
        <v/>
      </c>
      <c r="E181" t="str">
        <f t="shared" si="16"/>
        <v/>
      </c>
      <c r="F181" s="23" t="str">
        <f ca="1">IF(A181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181" s="19" t="str">
        <f>IF(A181="","",C181/(1+F181*$B$6/360)^(COUNT(A$16:A181)-($B$6-$D$16)/$B$6))</f>
        <v/>
      </c>
      <c r="H181" t="str">
        <f t="shared" si="17"/>
        <v/>
      </c>
    </row>
    <row r="182" spans="1:8" x14ac:dyDescent="0.2">
      <c r="A182" s="12" t="str">
        <f t="shared" si="19"/>
        <v/>
      </c>
      <c r="B182" t="str">
        <f t="shared" si="14"/>
        <v/>
      </c>
      <c r="C182" s="17" t="str">
        <f t="shared" si="18"/>
        <v/>
      </c>
      <c r="D182" s="18" t="str">
        <f t="shared" si="15"/>
        <v/>
      </c>
      <c r="E182" t="str">
        <f t="shared" si="16"/>
        <v/>
      </c>
      <c r="F182" s="23" t="str">
        <f ca="1">IF(A182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182" s="19" t="str">
        <f>IF(A182="","",C182/(1+F182*$B$6/360)^(COUNT(A$16:A182)-($B$6-$D$16)/$B$6))</f>
        <v/>
      </c>
      <c r="H182" t="str">
        <f t="shared" si="17"/>
        <v/>
      </c>
    </row>
    <row r="183" spans="1:8" x14ac:dyDescent="0.2">
      <c r="A183" s="12" t="str">
        <f t="shared" si="19"/>
        <v/>
      </c>
      <c r="B183" t="str">
        <f t="shared" si="14"/>
        <v/>
      </c>
      <c r="C183" s="17" t="str">
        <f t="shared" si="18"/>
        <v/>
      </c>
      <c r="D183" s="18" t="str">
        <f t="shared" si="15"/>
        <v/>
      </c>
      <c r="E183" t="str">
        <f t="shared" si="16"/>
        <v/>
      </c>
      <c r="F183" s="23" t="str">
        <f ca="1">IF(A183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183" s="19" t="str">
        <f>IF(A183="","",C183/(1+F183*$B$6/360)^(COUNT(A$16:A183)-($B$6-$D$16)/$B$6))</f>
        <v/>
      </c>
      <c r="H183" t="str">
        <f t="shared" si="17"/>
        <v/>
      </c>
    </row>
    <row r="184" spans="1:8" x14ac:dyDescent="0.2">
      <c r="A184" s="12" t="str">
        <f t="shared" si="19"/>
        <v/>
      </c>
      <c r="B184" t="str">
        <f t="shared" si="14"/>
        <v/>
      </c>
      <c r="C184" s="17" t="str">
        <f t="shared" si="18"/>
        <v/>
      </c>
      <c r="D184" s="18" t="str">
        <f t="shared" si="15"/>
        <v/>
      </c>
      <c r="E184" t="str">
        <f t="shared" si="16"/>
        <v/>
      </c>
      <c r="F184" s="23" t="str">
        <f ca="1">IF(A184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184" s="19" t="str">
        <f>IF(A184="","",C184/(1+F184*$B$6/360)^(COUNT(A$16:A184)-($B$6-$D$16)/$B$6))</f>
        <v/>
      </c>
      <c r="H184" t="str">
        <f t="shared" si="17"/>
        <v/>
      </c>
    </row>
    <row r="185" spans="1:8" x14ac:dyDescent="0.2">
      <c r="A185" s="12" t="str">
        <f t="shared" si="19"/>
        <v/>
      </c>
      <c r="B185" t="str">
        <f t="shared" si="14"/>
        <v/>
      </c>
      <c r="C185" s="17" t="str">
        <f t="shared" si="18"/>
        <v/>
      </c>
      <c r="D185" s="18" t="str">
        <f t="shared" si="15"/>
        <v/>
      </c>
      <c r="E185" t="str">
        <f t="shared" si="16"/>
        <v/>
      </c>
      <c r="F185" s="23" t="str">
        <f ca="1">IF(A185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185" s="19" t="str">
        <f>IF(A185="","",C185/(1+F185*$B$6/360)^(COUNT(A$16:A185)-($B$6-$D$16)/$B$6))</f>
        <v/>
      </c>
      <c r="H185" t="str">
        <f t="shared" si="17"/>
        <v/>
      </c>
    </row>
    <row r="186" spans="1:8" x14ac:dyDescent="0.2">
      <c r="A186" s="12" t="str">
        <f t="shared" si="19"/>
        <v/>
      </c>
      <c r="B186" t="str">
        <f t="shared" si="14"/>
        <v/>
      </c>
      <c r="C186" s="17" t="str">
        <f t="shared" si="18"/>
        <v/>
      </c>
      <c r="D186" s="18" t="str">
        <f t="shared" si="15"/>
        <v/>
      </c>
      <c r="E186" t="str">
        <f t="shared" si="16"/>
        <v/>
      </c>
      <c r="F186" s="23" t="str">
        <f ca="1">IF(A186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186" s="19" t="str">
        <f>IF(A186="","",C186/(1+F186*$B$6/360)^(COUNT(A$16:A186)-($B$6-$D$16)/$B$6))</f>
        <v/>
      </c>
      <c r="H186" t="str">
        <f t="shared" si="17"/>
        <v/>
      </c>
    </row>
    <row r="187" spans="1:8" x14ac:dyDescent="0.2">
      <c r="A187" s="12" t="str">
        <f t="shared" si="19"/>
        <v/>
      </c>
      <c r="B187" t="str">
        <f t="shared" si="14"/>
        <v/>
      </c>
      <c r="C187" s="17" t="str">
        <f t="shared" si="18"/>
        <v/>
      </c>
      <c r="D187" s="18" t="str">
        <f t="shared" si="15"/>
        <v/>
      </c>
      <c r="E187" t="str">
        <f t="shared" si="16"/>
        <v/>
      </c>
      <c r="F187" s="23" t="str">
        <f ca="1">IF(A187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187" s="19" t="str">
        <f>IF(A187="","",C187/(1+F187*$B$6/360)^(COUNT(A$16:A187)-($B$6-$D$16)/$B$6))</f>
        <v/>
      </c>
      <c r="H187" t="str">
        <f t="shared" si="17"/>
        <v/>
      </c>
    </row>
    <row r="188" spans="1:8" x14ac:dyDescent="0.2">
      <c r="A188" s="12" t="str">
        <f t="shared" si="19"/>
        <v/>
      </c>
      <c r="B188" t="str">
        <f t="shared" si="14"/>
        <v/>
      </c>
      <c r="C188" s="17" t="str">
        <f t="shared" si="18"/>
        <v/>
      </c>
      <c r="D188" s="18" t="str">
        <f t="shared" si="15"/>
        <v/>
      </c>
      <c r="E188" t="str">
        <f t="shared" si="16"/>
        <v/>
      </c>
      <c r="F188" s="23" t="str">
        <f ca="1">IF(A188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188" s="19" t="str">
        <f>IF(A188="","",C188/(1+F188*$B$6/360)^(COUNT(A$16:A188)-($B$6-$D$16)/$B$6))</f>
        <v/>
      </c>
      <c r="H188" t="str">
        <f t="shared" si="17"/>
        <v/>
      </c>
    </row>
    <row r="189" spans="1:8" x14ac:dyDescent="0.2">
      <c r="A189" s="12" t="str">
        <f t="shared" si="19"/>
        <v/>
      </c>
      <c r="B189" t="str">
        <f t="shared" si="14"/>
        <v/>
      </c>
      <c r="C189" s="17" t="str">
        <f t="shared" si="18"/>
        <v/>
      </c>
      <c r="D189" s="18" t="str">
        <f t="shared" si="15"/>
        <v/>
      </c>
      <c r="E189" t="str">
        <f t="shared" si="16"/>
        <v/>
      </c>
      <c r="F189" s="23" t="str">
        <f ca="1">IF(A189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189" s="19" t="str">
        <f>IF(A189="","",C189/(1+F189*$B$6/360)^(COUNT(A$16:A189)-($B$6-$D$16)/$B$6))</f>
        <v/>
      </c>
      <c r="H189" t="str">
        <f t="shared" si="17"/>
        <v/>
      </c>
    </row>
    <row r="190" spans="1:8" x14ac:dyDescent="0.2">
      <c r="A190" s="12" t="str">
        <f t="shared" si="19"/>
        <v/>
      </c>
      <c r="B190" t="str">
        <f t="shared" si="14"/>
        <v/>
      </c>
      <c r="C190" s="17" t="str">
        <f t="shared" si="18"/>
        <v/>
      </c>
      <c r="D190" s="18" t="str">
        <f t="shared" si="15"/>
        <v/>
      </c>
      <c r="E190" t="str">
        <f t="shared" si="16"/>
        <v/>
      </c>
      <c r="F190" s="23" t="str">
        <f ca="1">IF(A190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190" s="19" t="str">
        <f>IF(A190="","",C190/(1+F190*$B$6/360)^(COUNT(A$16:A190)-($B$6-$D$16)/$B$6))</f>
        <v/>
      </c>
      <c r="H190" t="str">
        <f t="shared" si="17"/>
        <v/>
      </c>
    </row>
    <row r="191" spans="1:8" x14ac:dyDescent="0.2">
      <c r="A191" s="12" t="str">
        <f t="shared" si="19"/>
        <v/>
      </c>
      <c r="B191" t="str">
        <f t="shared" si="14"/>
        <v/>
      </c>
      <c r="C191" s="17" t="str">
        <f t="shared" si="18"/>
        <v/>
      </c>
      <c r="D191" s="18" t="str">
        <f t="shared" si="15"/>
        <v/>
      </c>
      <c r="E191" t="str">
        <f t="shared" si="16"/>
        <v/>
      </c>
      <c r="F191" s="23" t="str">
        <f ca="1">IF(A191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191" s="19" t="str">
        <f>IF(A191="","",C191/(1+F191*$B$6/360)^(COUNT(A$16:A191)-($B$6-$D$16)/$B$6))</f>
        <v/>
      </c>
      <c r="H191" t="str">
        <f t="shared" si="17"/>
        <v/>
      </c>
    </row>
    <row r="192" spans="1:8" x14ac:dyDescent="0.2">
      <c r="A192" s="12" t="str">
        <f t="shared" si="19"/>
        <v/>
      </c>
      <c r="B192" t="str">
        <f t="shared" si="14"/>
        <v/>
      </c>
      <c r="C192" s="17" t="str">
        <f t="shared" si="18"/>
        <v/>
      </c>
      <c r="D192" s="18" t="str">
        <f t="shared" si="15"/>
        <v/>
      </c>
      <c r="E192" t="str">
        <f t="shared" si="16"/>
        <v/>
      </c>
      <c r="F192" s="23" t="str">
        <f ca="1">IF(A192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192" s="19" t="str">
        <f>IF(A192="","",C192/(1+F192*$B$6/360)^(COUNT(A$16:A192)-($B$6-$D$16)/$B$6))</f>
        <v/>
      </c>
      <c r="H192" t="str">
        <f t="shared" si="17"/>
        <v/>
      </c>
    </row>
    <row r="193" spans="1:8" x14ac:dyDescent="0.2">
      <c r="A193" s="12" t="str">
        <f t="shared" si="19"/>
        <v/>
      </c>
      <c r="B193" t="str">
        <f t="shared" si="14"/>
        <v/>
      </c>
      <c r="C193" s="17" t="str">
        <f t="shared" si="18"/>
        <v/>
      </c>
      <c r="D193" s="18" t="str">
        <f t="shared" si="15"/>
        <v/>
      </c>
      <c r="E193" t="str">
        <f t="shared" si="16"/>
        <v/>
      </c>
      <c r="F193" s="23" t="str">
        <f ca="1">IF(A193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193" s="19" t="str">
        <f>IF(A193="","",C193/(1+F193*$B$6/360)^(COUNT(A$16:A193)-($B$6-$D$16)/$B$6))</f>
        <v/>
      </c>
      <c r="H193" t="str">
        <f t="shared" si="17"/>
        <v/>
      </c>
    </row>
    <row r="194" spans="1:8" x14ac:dyDescent="0.2">
      <c r="A194" s="12" t="str">
        <f t="shared" si="19"/>
        <v/>
      </c>
      <c r="B194" t="str">
        <f t="shared" si="14"/>
        <v/>
      </c>
      <c r="C194" s="17" t="str">
        <f t="shared" si="18"/>
        <v/>
      </c>
      <c r="D194" s="18" t="str">
        <f t="shared" si="15"/>
        <v/>
      </c>
      <c r="E194" t="str">
        <f t="shared" si="16"/>
        <v/>
      </c>
      <c r="F194" s="23" t="str">
        <f ca="1">IF(A194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194" s="19" t="str">
        <f>IF(A194="","",C194/(1+F194*$B$6/360)^(COUNT(A$16:A194)-($B$6-$D$16)/$B$6))</f>
        <v/>
      </c>
      <c r="H194" t="str">
        <f t="shared" si="17"/>
        <v/>
      </c>
    </row>
    <row r="195" spans="1:8" x14ac:dyDescent="0.2">
      <c r="A195" s="12" t="str">
        <f t="shared" si="19"/>
        <v/>
      </c>
      <c r="B195" t="str">
        <f t="shared" si="14"/>
        <v/>
      </c>
      <c r="C195" s="17" t="str">
        <f t="shared" si="18"/>
        <v/>
      </c>
      <c r="D195" s="18" t="str">
        <f t="shared" si="15"/>
        <v/>
      </c>
      <c r="E195" t="str">
        <f t="shared" si="16"/>
        <v/>
      </c>
      <c r="F195" s="23" t="str">
        <f ca="1">IF(A195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195" s="19" t="str">
        <f>IF(A195="","",C195/(1+F195*$B$6/360)^(COUNT(A$16:A195)-($B$6-$D$16)/$B$6))</f>
        <v/>
      </c>
      <c r="H195" t="str">
        <f t="shared" si="17"/>
        <v/>
      </c>
    </row>
    <row r="196" spans="1:8" x14ac:dyDescent="0.2">
      <c r="A196" s="12" t="str">
        <f t="shared" si="19"/>
        <v/>
      </c>
      <c r="B196" t="str">
        <f t="shared" si="14"/>
        <v/>
      </c>
      <c r="C196" s="17" t="str">
        <f t="shared" si="18"/>
        <v/>
      </c>
      <c r="D196" s="18" t="str">
        <f t="shared" si="15"/>
        <v/>
      </c>
      <c r="E196" t="str">
        <f t="shared" si="16"/>
        <v/>
      </c>
      <c r="F196" s="23" t="str">
        <f ca="1">IF(A196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196" s="19" t="str">
        <f>IF(A196="","",C196/(1+F196*$B$6/360)^(COUNT(A$16:A196)-($B$6-$D$16)/$B$6))</f>
        <v/>
      </c>
      <c r="H196" t="str">
        <f t="shared" si="17"/>
        <v/>
      </c>
    </row>
    <row r="197" spans="1:8" x14ac:dyDescent="0.2">
      <c r="A197" s="12" t="str">
        <f t="shared" si="19"/>
        <v/>
      </c>
      <c r="B197" t="str">
        <f t="shared" si="14"/>
        <v/>
      </c>
      <c r="C197" s="17" t="str">
        <f t="shared" si="18"/>
        <v/>
      </c>
      <c r="D197" s="18" t="str">
        <f t="shared" si="15"/>
        <v/>
      </c>
      <c r="E197" t="str">
        <f t="shared" si="16"/>
        <v/>
      </c>
      <c r="F197" s="23" t="str">
        <f ca="1">IF(A197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197" s="19" t="str">
        <f>IF(A197="","",C197/(1+F197*$B$6/360)^(COUNT(A$16:A197)-($B$6-$D$16)/$B$6))</f>
        <v/>
      </c>
      <c r="H197" t="str">
        <f t="shared" si="17"/>
        <v/>
      </c>
    </row>
    <row r="198" spans="1:8" x14ac:dyDescent="0.2">
      <c r="A198" s="12" t="str">
        <f t="shared" si="19"/>
        <v/>
      </c>
      <c r="B198" t="str">
        <f t="shared" si="14"/>
        <v/>
      </c>
      <c r="C198" s="17" t="str">
        <f t="shared" si="18"/>
        <v/>
      </c>
      <c r="D198" s="18" t="str">
        <f t="shared" si="15"/>
        <v/>
      </c>
      <c r="E198" t="str">
        <f t="shared" si="16"/>
        <v/>
      </c>
      <c r="F198" s="23" t="str">
        <f ca="1">IF(A198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198" s="19" t="str">
        <f>IF(A198="","",C198/(1+F198*$B$6/360)^(COUNT(A$16:A198)-($B$6-$D$16)/$B$6))</f>
        <v/>
      </c>
      <c r="H198" t="str">
        <f t="shared" si="17"/>
        <v/>
      </c>
    </row>
    <row r="199" spans="1:8" x14ac:dyDescent="0.2">
      <c r="A199" s="12" t="str">
        <f t="shared" si="19"/>
        <v/>
      </c>
      <c r="B199" t="str">
        <f t="shared" si="14"/>
        <v/>
      </c>
      <c r="C199" s="17" t="str">
        <f t="shared" si="18"/>
        <v/>
      </c>
      <c r="D199" s="18" t="str">
        <f t="shared" si="15"/>
        <v/>
      </c>
      <c r="E199" t="str">
        <f t="shared" si="16"/>
        <v/>
      </c>
      <c r="F199" s="23" t="str">
        <f ca="1">IF(A199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199" s="19" t="str">
        <f>IF(A199="","",C199/(1+F199*$B$6/360)^(COUNT(A$16:A199)-($B$6-$D$16)/$B$6))</f>
        <v/>
      </c>
      <c r="H199" t="str">
        <f t="shared" si="17"/>
        <v/>
      </c>
    </row>
    <row r="200" spans="1:8" x14ac:dyDescent="0.2">
      <c r="A200" s="12" t="str">
        <f t="shared" si="19"/>
        <v/>
      </c>
      <c r="B200" t="str">
        <f t="shared" si="14"/>
        <v/>
      </c>
      <c r="C200" s="17" t="str">
        <f t="shared" si="18"/>
        <v/>
      </c>
      <c r="D200" s="18" t="str">
        <f t="shared" si="15"/>
        <v/>
      </c>
      <c r="E200" t="str">
        <f t="shared" si="16"/>
        <v/>
      </c>
      <c r="F200" s="23" t="str">
        <f ca="1">IF(A200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200" s="19" t="str">
        <f>IF(A200="","",C200/(1+F200*$B$6/360)^(COUNT(A$16:A200)-($B$6-$D$16)/$B$6))</f>
        <v/>
      </c>
      <c r="H200" t="str">
        <f t="shared" si="17"/>
        <v/>
      </c>
    </row>
    <row r="201" spans="1:8" x14ac:dyDescent="0.2">
      <c r="A201" s="12" t="str">
        <f t="shared" si="19"/>
        <v/>
      </c>
      <c r="B201" t="str">
        <f t="shared" si="14"/>
        <v/>
      </c>
      <c r="C201" s="17" t="str">
        <f t="shared" si="18"/>
        <v/>
      </c>
      <c r="D201" s="18" t="str">
        <f t="shared" si="15"/>
        <v/>
      </c>
      <c r="E201" t="str">
        <f t="shared" si="16"/>
        <v/>
      </c>
      <c r="F201" s="23" t="str">
        <f ca="1">IF(A201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201" s="19" t="str">
        <f>IF(A201="","",C201/(1+F201*$B$6/360)^(COUNT(A$16:A201)-($B$6-$D$16)/$B$6))</f>
        <v/>
      </c>
      <c r="H201" t="str">
        <f t="shared" si="17"/>
        <v/>
      </c>
    </row>
    <row r="202" spans="1:8" x14ac:dyDescent="0.2">
      <c r="A202" s="12" t="str">
        <f t="shared" si="19"/>
        <v/>
      </c>
      <c r="B202" t="str">
        <f t="shared" si="14"/>
        <v/>
      </c>
      <c r="C202" s="17" t="str">
        <f t="shared" si="18"/>
        <v/>
      </c>
      <c r="D202" s="18" t="str">
        <f t="shared" si="15"/>
        <v/>
      </c>
      <c r="E202" t="str">
        <f t="shared" si="16"/>
        <v/>
      </c>
      <c r="F202" s="23" t="str">
        <f ca="1">IF(A202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202" s="19" t="str">
        <f>IF(A202="","",C202/(1+F202*$B$6/360)^(COUNT(A$16:A202)-($B$6-$D$16)/$B$6))</f>
        <v/>
      </c>
      <c r="H202" t="str">
        <f t="shared" si="17"/>
        <v/>
      </c>
    </row>
    <row r="203" spans="1:8" x14ac:dyDescent="0.2">
      <c r="A203" s="12" t="str">
        <f t="shared" si="19"/>
        <v/>
      </c>
      <c r="B203" t="str">
        <f t="shared" si="14"/>
        <v/>
      </c>
      <c r="C203" s="17" t="str">
        <f t="shared" si="18"/>
        <v/>
      </c>
      <c r="D203" s="18" t="str">
        <f t="shared" si="15"/>
        <v/>
      </c>
      <c r="E203" t="str">
        <f t="shared" si="16"/>
        <v/>
      </c>
      <c r="F203" s="23" t="str">
        <f ca="1">IF(A203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203" s="19" t="str">
        <f>IF(A203="","",C203/(1+F203*$B$6/360)^(COUNT(A$16:A203)-($B$6-$D$16)/$B$6))</f>
        <v/>
      </c>
      <c r="H203" t="str">
        <f t="shared" si="17"/>
        <v/>
      </c>
    </row>
    <row r="204" spans="1:8" x14ac:dyDescent="0.2">
      <c r="A204" s="12" t="str">
        <f t="shared" si="19"/>
        <v/>
      </c>
      <c r="B204" t="str">
        <f t="shared" si="14"/>
        <v/>
      </c>
      <c r="C204" s="17" t="str">
        <f t="shared" si="18"/>
        <v/>
      </c>
      <c r="D204" s="18" t="str">
        <f t="shared" si="15"/>
        <v/>
      </c>
      <c r="E204" t="str">
        <f t="shared" si="16"/>
        <v/>
      </c>
      <c r="F204" s="23" t="str">
        <f ca="1">IF(A204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204" s="19" t="str">
        <f>IF(A204="","",C204/(1+F204*$B$6/360)^(COUNT(A$16:A204)-($B$6-$D$16)/$B$6))</f>
        <v/>
      </c>
      <c r="H204" t="str">
        <f t="shared" si="17"/>
        <v/>
      </c>
    </row>
    <row r="205" spans="1:8" x14ac:dyDescent="0.2">
      <c r="A205" s="12" t="str">
        <f t="shared" si="19"/>
        <v/>
      </c>
      <c r="B205" t="str">
        <f t="shared" si="14"/>
        <v/>
      </c>
      <c r="C205" s="17" t="str">
        <f t="shared" si="18"/>
        <v/>
      </c>
      <c r="D205" s="18" t="str">
        <f t="shared" si="15"/>
        <v/>
      </c>
      <c r="E205" t="str">
        <f t="shared" si="16"/>
        <v/>
      </c>
      <c r="F205" s="23" t="str">
        <f ca="1">IF(A205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205" s="19" t="str">
        <f>IF(A205="","",C205/(1+F205*$B$6/360)^(COUNT(A$16:A205)-($B$6-$D$16)/$B$6))</f>
        <v/>
      </c>
      <c r="H205" t="str">
        <f t="shared" si="17"/>
        <v/>
      </c>
    </row>
    <row r="206" spans="1:8" x14ac:dyDescent="0.2">
      <c r="A206" s="12" t="str">
        <f t="shared" si="19"/>
        <v/>
      </c>
      <c r="B206" t="str">
        <f t="shared" si="14"/>
        <v/>
      </c>
      <c r="C206" s="17" t="str">
        <f t="shared" si="18"/>
        <v/>
      </c>
      <c r="D206" s="18" t="str">
        <f t="shared" si="15"/>
        <v/>
      </c>
      <c r="E206" t="str">
        <f t="shared" si="16"/>
        <v/>
      </c>
      <c r="F206" s="23" t="str">
        <f ca="1">IF(A206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206" s="19" t="str">
        <f>IF(A206="","",C206/(1+F206*$B$6/360)^(COUNT(A$16:A206)-($B$6-$D$16)/$B$6))</f>
        <v/>
      </c>
      <c r="H206" t="str">
        <f t="shared" si="17"/>
        <v/>
      </c>
    </row>
    <row r="207" spans="1:8" x14ac:dyDescent="0.2">
      <c r="A207" s="12" t="str">
        <f t="shared" si="19"/>
        <v/>
      </c>
      <c r="B207" t="str">
        <f t="shared" si="14"/>
        <v/>
      </c>
      <c r="C207" s="17" t="str">
        <f t="shared" si="18"/>
        <v/>
      </c>
      <c r="D207" s="18" t="str">
        <f t="shared" si="15"/>
        <v/>
      </c>
      <c r="E207" t="str">
        <f t="shared" si="16"/>
        <v/>
      </c>
      <c r="F207" s="23" t="str">
        <f ca="1">IF(A207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207" s="19" t="str">
        <f>IF(A207="","",C207/(1+F207*$B$6/360)^(COUNT(A$16:A207)-($B$6-$D$16)/$B$6))</f>
        <v/>
      </c>
      <c r="H207" t="str">
        <f t="shared" si="17"/>
        <v/>
      </c>
    </row>
    <row r="208" spans="1:8" x14ac:dyDescent="0.2">
      <c r="A208" s="12" t="str">
        <f t="shared" si="19"/>
        <v/>
      </c>
      <c r="B208" t="str">
        <f t="shared" si="14"/>
        <v/>
      </c>
      <c r="C208" s="17" t="str">
        <f t="shared" si="18"/>
        <v/>
      </c>
      <c r="D208" s="18" t="str">
        <f t="shared" si="15"/>
        <v/>
      </c>
      <c r="E208" t="str">
        <f t="shared" si="16"/>
        <v/>
      </c>
      <c r="F208" s="23" t="str">
        <f ca="1">IF(A208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208" s="19" t="str">
        <f>IF(A208="","",C208/(1+F208*$B$6/360)^(COUNT(A$16:A208)-($B$6-$D$16)/$B$6))</f>
        <v/>
      </c>
      <c r="H208" t="str">
        <f t="shared" si="17"/>
        <v/>
      </c>
    </row>
    <row r="209" spans="1:8" x14ac:dyDescent="0.2">
      <c r="A209" s="12" t="str">
        <f t="shared" si="19"/>
        <v/>
      </c>
      <c r="B209" t="str">
        <f t="shared" ref="B209:B272" si="20">IF(A209="","",$B$5)</f>
        <v/>
      </c>
      <c r="C209" s="17" t="str">
        <f t="shared" si="18"/>
        <v/>
      </c>
      <c r="D209" s="18" t="str">
        <f t="shared" ref="D209:D272" si="21">IF(A209="","",$B$6)</f>
        <v/>
      </c>
      <c r="E209" t="str">
        <f t="shared" ref="E209:E272" si="22">IF(A209="","",E208+D209)</f>
        <v/>
      </c>
      <c r="F209" s="23" t="str">
        <f ca="1">IF(A209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209" s="19" t="str">
        <f>IF(A209="","",C209/(1+F209*$B$6/360)^(COUNT(A$16:A209)-($B$6-$D$16)/$B$6))</f>
        <v/>
      </c>
      <c r="H209" t="str">
        <f t="shared" ref="H209:H272" si="23">IF(A209="","",C209/(1+F209*$B$6/360)^(E209/$B$6))</f>
        <v/>
      </c>
    </row>
    <row r="210" spans="1:8" x14ac:dyDescent="0.2">
      <c r="A210" s="12" t="str">
        <f t="shared" si="19"/>
        <v/>
      </c>
      <c r="B210" t="str">
        <f t="shared" si="20"/>
        <v/>
      </c>
      <c r="C210" s="17" t="str">
        <f t="shared" si="18"/>
        <v/>
      </c>
      <c r="D210" s="18" t="str">
        <f t="shared" si="21"/>
        <v/>
      </c>
      <c r="E210" t="str">
        <f t="shared" si="22"/>
        <v/>
      </c>
      <c r="F210" s="23" t="str">
        <f ca="1">IF(A210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210" s="19" t="str">
        <f>IF(A210="","",C210/(1+F210*$B$6/360)^(COUNT(A$16:A210)-($B$6-$D$16)/$B$6))</f>
        <v/>
      </c>
      <c r="H210" t="str">
        <f t="shared" si="23"/>
        <v/>
      </c>
    </row>
    <row r="211" spans="1:8" x14ac:dyDescent="0.2">
      <c r="A211" s="12" t="str">
        <f t="shared" si="19"/>
        <v/>
      </c>
      <c r="B211" t="str">
        <f t="shared" si="20"/>
        <v/>
      </c>
      <c r="C211" s="17" t="str">
        <f t="shared" si="18"/>
        <v/>
      </c>
      <c r="D211" s="18" t="str">
        <f t="shared" si="21"/>
        <v/>
      </c>
      <c r="E211" t="str">
        <f t="shared" si="22"/>
        <v/>
      </c>
      <c r="F211" s="23" t="str">
        <f ca="1">IF(A211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211" s="19" t="str">
        <f>IF(A211="","",C211/(1+F211*$B$6/360)^(COUNT(A$16:A211)-($B$6-$D$16)/$B$6))</f>
        <v/>
      </c>
      <c r="H211" t="str">
        <f t="shared" si="23"/>
        <v/>
      </c>
    </row>
    <row r="212" spans="1:8" x14ac:dyDescent="0.2">
      <c r="A212" s="12" t="str">
        <f t="shared" si="19"/>
        <v/>
      </c>
      <c r="B212" t="str">
        <f t="shared" si="20"/>
        <v/>
      </c>
      <c r="C212" s="17" t="str">
        <f t="shared" si="18"/>
        <v/>
      </c>
      <c r="D212" s="18" t="str">
        <f t="shared" si="21"/>
        <v/>
      </c>
      <c r="E212" t="str">
        <f t="shared" si="22"/>
        <v/>
      </c>
      <c r="F212" s="23" t="str">
        <f ca="1">IF(A212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212" s="19" t="str">
        <f>IF(A212="","",C212/(1+F212*$B$6/360)^(COUNT(A$16:A212)-($B$6-$D$16)/$B$6))</f>
        <v/>
      </c>
      <c r="H212" t="str">
        <f t="shared" si="23"/>
        <v/>
      </c>
    </row>
    <row r="213" spans="1:8" x14ac:dyDescent="0.2">
      <c r="A213" s="12" t="str">
        <f t="shared" si="19"/>
        <v/>
      </c>
      <c r="B213" t="str">
        <f t="shared" si="20"/>
        <v/>
      </c>
      <c r="C213" s="17" t="str">
        <f t="shared" si="18"/>
        <v/>
      </c>
      <c r="D213" s="18" t="str">
        <f t="shared" si="21"/>
        <v/>
      </c>
      <c r="E213" t="str">
        <f t="shared" si="22"/>
        <v/>
      </c>
      <c r="F213" s="23" t="str">
        <f ca="1">IF(A213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213" s="19" t="str">
        <f>IF(A213="","",C213/(1+F213*$B$6/360)^(COUNT(A$16:A213)-($B$6-$D$16)/$B$6))</f>
        <v/>
      </c>
      <c r="H213" t="str">
        <f t="shared" si="23"/>
        <v/>
      </c>
    </row>
    <row r="214" spans="1:8" x14ac:dyDescent="0.2">
      <c r="A214" s="12" t="str">
        <f t="shared" si="19"/>
        <v/>
      </c>
      <c r="B214" t="str">
        <f t="shared" si="20"/>
        <v/>
      </c>
      <c r="C214" s="17" t="str">
        <f t="shared" si="18"/>
        <v/>
      </c>
      <c r="D214" s="18" t="str">
        <f t="shared" si="21"/>
        <v/>
      </c>
      <c r="E214" t="str">
        <f t="shared" si="22"/>
        <v/>
      </c>
      <c r="F214" s="23" t="str">
        <f ca="1">IF(A214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214" s="19" t="str">
        <f>IF(A214="","",C214/(1+F214*$B$6/360)^(COUNT(A$16:A214)-($B$6-$D$16)/$B$6))</f>
        <v/>
      </c>
      <c r="H214" t="str">
        <f t="shared" si="23"/>
        <v/>
      </c>
    </row>
    <row r="215" spans="1:8" x14ac:dyDescent="0.2">
      <c r="A215" s="12" t="str">
        <f t="shared" si="19"/>
        <v/>
      </c>
      <c r="B215" t="str">
        <f t="shared" si="20"/>
        <v/>
      </c>
      <c r="C215" s="17" t="str">
        <f t="shared" si="18"/>
        <v/>
      </c>
      <c r="D215" s="18" t="str">
        <f t="shared" si="21"/>
        <v/>
      </c>
      <c r="E215" t="str">
        <f t="shared" si="22"/>
        <v/>
      </c>
      <c r="F215" s="23" t="str">
        <f ca="1">IF(A215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215" s="19" t="str">
        <f>IF(A215="","",C215/(1+F215*$B$6/360)^(COUNT(A$16:A215)-($B$6-$D$16)/$B$6))</f>
        <v/>
      </c>
      <c r="H215" t="str">
        <f t="shared" si="23"/>
        <v/>
      </c>
    </row>
    <row r="216" spans="1:8" x14ac:dyDescent="0.2">
      <c r="A216" s="12" t="str">
        <f t="shared" si="19"/>
        <v/>
      </c>
      <c r="B216" t="str">
        <f t="shared" si="20"/>
        <v/>
      </c>
      <c r="C216" s="17" t="str">
        <f t="shared" si="18"/>
        <v/>
      </c>
      <c r="D216" s="18" t="str">
        <f t="shared" si="21"/>
        <v/>
      </c>
      <c r="E216" t="str">
        <f t="shared" si="22"/>
        <v/>
      </c>
      <c r="F216" s="23" t="str">
        <f ca="1">IF(A216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216" s="19" t="str">
        <f>IF(A216="","",C216/(1+F216*$B$6/360)^(COUNT(A$16:A216)-($B$6-$D$16)/$B$6))</f>
        <v/>
      </c>
      <c r="H216" t="str">
        <f t="shared" si="23"/>
        <v/>
      </c>
    </row>
    <row r="217" spans="1:8" x14ac:dyDescent="0.2">
      <c r="A217" s="12" t="str">
        <f t="shared" si="19"/>
        <v/>
      </c>
      <c r="B217" t="str">
        <f t="shared" si="20"/>
        <v/>
      </c>
      <c r="C217" s="17" t="str">
        <f t="shared" si="18"/>
        <v/>
      </c>
      <c r="D217" s="18" t="str">
        <f t="shared" si="21"/>
        <v/>
      </c>
      <c r="E217" t="str">
        <f t="shared" si="22"/>
        <v/>
      </c>
      <c r="F217" s="23" t="str">
        <f ca="1">IF(A217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217" s="19" t="str">
        <f>IF(A217="","",C217/(1+F217*$B$6/360)^(COUNT(A$16:A217)-($B$6-$D$16)/$B$6))</f>
        <v/>
      </c>
      <c r="H217" t="str">
        <f t="shared" si="23"/>
        <v/>
      </c>
    </row>
    <row r="218" spans="1:8" x14ac:dyDescent="0.2">
      <c r="A218" s="12" t="str">
        <f t="shared" si="19"/>
        <v/>
      </c>
      <c r="B218" t="str">
        <f t="shared" si="20"/>
        <v/>
      </c>
      <c r="C218" s="17" t="str">
        <f t="shared" ref="C218:C281" si="24">IF(A218="","",IF(A218=$B$4,$B$1*$B$2, $B$5*$B$6/360*$B$1*$B$2))</f>
        <v/>
      </c>
      <c r="D218" s="18" t="str">
        <f t="shared" si="21"/>
        <v/>
      </c>
      <c r="E218" t="str">
        <f t="shared" si="22"/>
        <v/>
      </c>
      <c r="F218" s="23" t="str">
        <f ca="1">IF(A218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218" s="19" t="str">
        <f>IF(A218="","",C218/(1+F218*$B$6/360)^(COUNT(A$16:A218)-($B$6-$D$16)/$B$6))</f>
        <v/>
      </c>
      <c r="H218" t="str">
        <f t="shared" si="23"/>
        <v/>
      </c>
    </row>
    <row r="219" spans="1:8" x14ac:dyDescent="0.2">
      <c r="A219" s="12" t="str">
        <f t="shared" ref="A219:A282" si="25">IF(A218="","",IF((A218+$B$6)&gt;$B$4,"",(A218+$B$6)))</f>
        <v/>
      </c>
      <c r="B219" t="str">
        <f t="shared" si="20"/>
        <v/>
      </c>
      <c r="C219" s="17" t="str">
        <f t="shared" si="24"/>
        <v/>
      </c>
      <c r="D219" s="18" t="str">
        <f t="shared" si="21"/>
        <v/>
      </c>
      <c r="E219" t="str">
        <f t="shared" si="22"/>
        <v/>
      </c>
      <c r="F219" s="23" t="str">
        <f ca="1">IF(A219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219" s="19" t="str">
        <f>IF(A219="","",C219/(1+F219*$B$6/360)^(COUNT(A$16:A219)-($B$6-$D$16)/$B$6))</f>
        <v/>
      </c>
      <c r="H219" t="str">
        <f t="shared" si="23"/>
        <v/>
      </c>
    </row>
    <row r="220" spans="1:8" x14ac:dyDescent="0.2">
      <c r="A220" s="12" t="str">
        <f t="shared" si="25"/>
        <v/>
      </c>
      <c r="B220" t="str">
        <f t="shared" si="20"/>
        <v/>
      </c>
      <c r="C220" s="17" t="str">
        <f t="shared" si="24"/>
        <v/>
      </c>
      <c r="D220" s="18" t="str">
        <f t="shared" si="21"/>
        <v/>
      </c>
      <c r="E220" t="str">
        <f t="shared" si="22"/>
        <v/>
      </c>
      <c r="F220" s="23" t="str">
        <f ca="1">IF(A220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220" s="19" t="str">
        <f>IF(A220="","",C220/(1+F220*$B$6/360)^(COUNT(A$16:A220)-($B$6-$D$16)/$B$6))</f>
        <v/>
      </c>
      <c r="H220" t="str">
        <f t="shared" si="23"/>
        <v/>
      </c>
    </row>
    <row r="221" spans="1:8" x14ac:dyDescent="0.2">
      <c r="A221" s="12" t="str">
        <f t="shared" si="25"/>
        <v/>
      </c>
      <c r="B221" t="str">
        <f t="shared" si="20"/>
        <v/>
      </c>
      <c r="C221" s="17" t="str">
        <f t="shared" si="24"/>
        <v/>
      </c>
      <c r="D221" s="18" t="str">
        <f t="shared" si="21"/>
        <v/>
      </c>
      <c r="E221" t="str">
        <f t="shared" si="22"/>
        <v/>
      </c>
      <c r="F221" s="23" t="str">
        <f ca="1">IF(A221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221" s="19" t="str">
        <f>IF(A221="","",C221/(1+F221*$B$6/360)^(COUNT(A$16:A221)-($B$6-$D$16)/$B$6))</f>
        <v/>
      </c>
      <c r="H221" t="str">
        <f t="shared" si="23"/>
        <v/>
      </c>
    </row>
    <row r="222" spans="1:8" x14ac:dyDescent="0.2">
      <c r="A222" s="12" t="str">
        <f t="shared" si="25"/>
        <v/>
      </c>
      <c r="B222" t="str">
        <f t="shared" si="20"/>
        <v/>
      </c>
      <c r="C222" s="17" t="str">
        <f t="shared" si="24"/>
        <v/>
      </c>
      <c r="D222" s="18" t="str">
        <f t="shared" si="21"/>
        <v/>
      </c>
      <c r="E222" t="str">
        <f t="shared" si="22"/>
        <v/>
      </c>
      <c r="F222" s="23" t="str">
        <f ca="1">IF(A222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222" s="19" t="str">
        <f>IF(A222="","",C222/(1+F222*$B$6/360)^(COUNT(A$16:A222)-($B$6-$D$16)/$B$6))</f>
        <v/>
      </c>
      <c r="H222" t="str">
        <f t="shared" si="23"/>
        <v/>
      </c>
    </row>
    <row r="223" spans="1:8" x14ac:dyDescent="0.2">
      <c r="A223" s="12" t="str">
        <f t="shared" si="25"/>
        <v/>
      </c>
      <c r="B223" t="str">
        <f t="shared" si="20"/>
        <v/>
      </c>
      <c r="C223" s="17" t="str">
        <f t="shared" si="24"/>
        <v/>
      </c>
      <c r="D223" s="18" t="str">
        <f t="shared" si="21"/>
        <v/>
      </c>
      <c r="E223" t="str">
        <f t="shared" si="22"/>
        <v/>
      </c>
      <c r="F223" s="23" t="str">
        <f ca="1">IF(A223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223" s="19" t="str">
        <f>IF(A223="","",C223/(1+F223*$B$6/360)^(COUNT(A$16:A223)-($B$6-$D$16)/$B$6))</f>
        <v/>
      </c>
      <c r="H223" t="str">
        <f t="shared" si="23"/>
        <v/>
      </c>
    </row>
    <row r="224" spans="1:8" x14ac:dyDescent="0.2">
      <c r="A224" s="12" t="str">
        <f t="shared" si="25"/>
        <v/>
      </c>
      <c r="B224" t="str">
        <f t="shared" si="20"/>
        <v/>
      </c>
      <c r="C224" s="17" t="str">
        <f t="shared" si="24"/>
        <v/>
      </c>
      <c r="D224" s="18" t="str">
        <f t="shared" si="21"/>
        <v/>
      </c>
      <c r="E224" t="str">
        <f t="shared" si="22"/>
        <v/>
      </c>
      <c r="F224" s="23" t="str">
        <f ca="1">IF(A224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224" s="19" t="str">
        <f>IF(A224="","",C224/(1+F224*$B$6/360)^(COUNT(A$16:A224)-($B$6-$D$16)/$B$6))</f>
        <v/>
      </c>
      <c r="H224" t="str">
        <f t="shared" si="23"/>
        <v/>
      </c>
    </row>
    <row r="225" spans="1:8" x14ac:dyDescent="0.2">
      <c r="A225" s="12" t="str">
        <f t="shared" si="25"/>
        <v/>
      </c>
      <c r="B225" t="str">
        <f t="shared" si="20"/>
        <v/>
      </c>
      <c r="C225" s="17" t="str">
        <f t="shared" si="24"/>
        <v/>
      </c>
      <c r="D225" s="18" t="str">
        <f t="shared" si="21"/>
        <v/>
      </c>
      <c r="E225" t="str">
        <f t="shared" si="22"/>
        <v/>
      </c>
      <c r="F225" s="23" t="str">
        <f ca="1">IF(A225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225" s="19" t="str">
        <f>IF(A225="","",C225/(1+F225*$B$6/360)^(COUNT(A$16:A225)-($B$6-$D$16)/$B$6))</f>
        <v/>
      </c>
      <c r="H225" t="str">
        <f t="shared" si="23"/>
        <v/>
      </c>
    </row>
    <row r="226" spans="1:8" x14ac:dyDescent="0.2">
      <c r="A226" s="12" t="str">
        <f t="shared" si="25"/>
        <v/>
      </c>
      <c r="B226" t="str">
        <f t="shared" si="20"/>
        <v/>
      </c>
      <c r="C226" s="17" t="str">
        <f t="shared" si="24"/>
        <v/>
      </c>
      <c r="D226" s="18" t="str">
        <f t="shared" si="21"/>
        <v/>
      </c>
      <c r="E226" t="str">
        <f t="shared" si="22"/>
        <v/>
      </c>
      <c r="F226" s="23" t="str">
        <f ca="1">IF(A226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226" s="19" t="str">
        <f>IF(A226="","",C226/(1+F226*$B$6/360)^(COUNT(A$16:A226)-($B$6-$D$16)/$B$6))</f>
        <v/>
      </c>
      <c r="H226" t="str">
        <f t="shared" si="23"/>
        <v/>
      </c>
    </row>
    <row r="227" spans="1:8" x14ac:dyDescent="0.2">
      <c r="A227" s="12" t="str">
        <f t="shared" si="25"/>
        <v/>
      </c>
      <c r="B227" t="str">
        <f t="shared" si="20"/>
        <v/>
      </c>
      <c r="C227" s="17" t="str">
        <f t="shared" si="24"/>
        <v/>
      </c>
      <c r="D227" s="18" t="str">
        <f t="shared" si="21"/>
        <v/>
      </c>
      <c r="E227" t="str">
        <f t="shared" si="22"/>
        <v/>
      </c>
      <c r="F227" s="23" t="str">
        <f ca="1">IF(A227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227" s="19" t="str">
        <f>IF(A227="","",C227/(1+F227*$B$6/360)^(COUNT(A$16:A227)-($B$6-$D$16)/$B$6))</f>
        <v/>
      </c>
      <c r="H227" t="str">
        <f t="shared" si="23"/>
        <v/>
      </c>
    </row>
    <row r="228" spans="1:8" x14ac:dyDescent="0.2">
      <c r="A228" s="12" t="str">
        <f t="shared" si="25"/>
        <v/>
      </c>
      <c r="B228" t="str">
        <f t="shared" si="20"/>
        <v/>
      </c>
      <c r="C228" s="17" t="str">
        <f t="shared" si="24"/>
        <v/>
      </c>
      <c r="D228" s="18" t="str">
        <f t="shared" si="21"/>
        <v/>
      </c>
      <c r="E228" t="str">
        <f t="shared" si="22"/>
        <v/>
      </c>
      <c r="F228" s="23" t="str">
        <f ca="1">IF(A228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228" s="19" t="str">
        <f>IF(A228="","",C228/(1+F228*$B$6/360)^(COUNT(A$16:A228)-($B$6-$D$16)/$B$6))</f>
        <v/>
      </c>
      <c r="H228" t="str">
        <f t="shared" si="23"/>
        <v/>
      </c>
    </row>
    <row r="229" spans="1:8" x14ac:dyDescent="0.2">
      <c r="A229" s="12" t="str">
        <f t="shared" si="25"/>
        <v/>
      </c>
      <c r="B229" t="str">
        <f t="shared" si="20"/>
        <v/>
      </c>
      <c r="C229" s="17" t="str">
        <f t="shared" si="24"/>
        <v/>
      </c>
      <c r="D229" s="18" t="str">
        <f t="shared" si="21"/>
        <v/>
      </c>
      <c r="E229" t="str">
        <f t="shared" si="22"/>
        <v/>
      </c>
      <c r="F229" s="23" t="str">
        <f ca="1">IF(A229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229" s="19" t="str">
        <f>IF(A229="","",C229/(1+F229*$B$6/360)^(COUNT(A$16:A229)-($B$6-$D$16)/$B$6))</f>
        <v/>
      </c>
      <c r="H229" t="str">
        <f t="shared" si="23"/>
        <v/>
      </c>
    </row>
    <row r="230" spans="1:8" x14ac:dyDescent="0.2">
      <c r="A230" s="12" t="str">
        <f t="shared" si="25"/>
        <v/>
      </c>
      <c r="B230" t="str">
        <f t="shared" si="20"/>
        <v/>
      </c>
      <c r="C230" s="17" t="str">
        <f t="shared" si="24"/>
        <v/>
      </c>
      <c r="D230" s="18" t="str">
        <f t="shared" si="21"/>
        <v/>
      </c>
      <c r="E230" t="str">
        <f t="shared" si="22"/>
        <v/>
      </c>
      <c r="F230" s="23" t="str">
        <f ca="1">IF(A230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230" s="19" t="str">
        <f>IF(A230="","",C230/(1+F230*$B$6/360)^(COUNT(A$16:A230)-($B$6-$D$16)/$B$6))</f>
        <v/>
      </c>
      <c r="H230" t="str">
        <f t="shared" si="23"/>
        <v/>
      </c>
    </row>
    <row r="231" spans="1:8" x14ac:dyDescent="0.2">
      <c r="A231" s="12" t="str">
        <f t="shared" si="25"/>
        <v/>
      </c>
      <c r="B231" t="str">
        <f t="shared" si="20"/>
        <v/>
      </c>
      <c r="C231" s="17" t="str">
        <f t="shared" si="24"/>
        <v/>
      </c>
      <c r="D231" s="18" t="str">
        <f t="shared" si="21"/>
        <v/>
      </c>
      <c r="E231" t="str">
        <f t="shared" si="22"/>
        <v/>
      </c>
      <c r="F231" s="23" t="str">
        <f ca="1">IF(A231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231" s="19" t="str">
        <f>IF(A231="","",C231/(1+F231*$B$6/360)^(COUNT(A$16:A231)-($B$6-$D$16)/$B$6))</f>
        <v/>
      </c>
      <c r="H231" t="str">
        <f t="shared" si="23"/>
        <v/>
      </c>
    </row>
    <row r="232" spans="1:8" x14ac:dyDescent="0.2">
      <c r="A232" s="12" t="str">
        <f t="shared" si="25"/>
        <v/>
      </c>
      <c r="B232" t="str">
        <f t="shared" si="20"/>
        <v/>
      </c>
      <c r="C232" s="17" t="str">
        <f t="shared" si="24"/>
        <v/>
      </c>
      <c r="D232" s="18" t="str">
        <f t="shared" si="21"/>
        <v/>
      </c>
      <c r="E232" t="str">
        <f t="shared" si="22"/>
        <v/>
      </c>
      <c r="F232" s="23" t="str">
        <f ca="1">IF(A232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232" s="19" t="str">
        <f>IF(A232="","",C232/(1+F232*$B$6/360)^(COUNT(A$16:A232)-($B$6-$D$16)/$B$6))</f>
        <v/>
      </c>
      <c r="H232" t="str">
        <f t="shared" si="23"/>
        <v/>
      </c>
    </row>
    <row r="233" spans="1:8" x14ac:dyDescent="0.2">
      <c r="A233" s="12" t="str">
        <f t="shared" si="25"/>
        <v/>
      </c>
      <c r="B233" t="str">
        <f t="shared" si="20"/>
        <v/>
      </c>
      <c r="C233" s="17" t="str">
        <f t="shared" si="24"/>
        <v/>
      </c>
      <c r="D233" s="18" t="str">
        <f t="shared" si="21"/>
        <v/>
      </c>
      <c r="E233" t="str">
        <f t="shared" si="22"/>
        <v/>
      </c>
      <c r="F233" s="23" t="str">
        <f ca="1">IF(A233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233" s="19" t="str">
        <f>IF(A233="","",C233/(1+F233*$B$6/360)^(COUNT(A$16:A233)-($B$6-$D$16)/$B$6))</f>
        <v/>
      </c>
      <c r="H233" t="str">
        <f t="shared" si="23"/>
        <v/>
      </c>
    </row>
    <row r="234" spans="1:8" x14ac:dyDescent="0.2">
      <c r="A234" s="12" t="str">
        <f t="shared" si="25"/>
        <v/>
      </c>
      <c r="B234" t="str">
        <f t="shared" si="20"/>
        <v/>
      </c>
      <c r="C234" s="17" t="str">
        <f t="shared" si="24"/>
        <v/>
      </c>
      <c r="D234" s="18" t="str">
        <f t="shared" si="21"/>
        <v/>
      </c>
      <c r="E234" t="str">
        <f t="shared" si="22"/>
        <v/>
      </c>
      <c r="F234" s="23" t="str">
        <f ca="1">IF(A234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234" s="19" t="str">
        <f>IF(A234="","",C234/(1+F234*$B$6/360)^(COUNT(A$16:A234)-($B$6-$D$16)/$B$6))</f>
        <v/>
      </c>
      <c r="H234" t="str">
        <f t="shared" si="23"/>
        <v/>
      </c>
    </row>
    <row r="235" spans="1:8" x14ac:dyDescent="0.2">
      <c r="A235" s="12" t="str">
        <f t="shared" si="25"/>
        <v/>
      </c>
      <c r="B235" t="str">
        <f t="shared" si="20"/>
        <v/>
      </c>
      <c r="C235" s="17" t="str">
        <f t="shared" si="24"/>
        <v/>
      </c>
      <c r="D235" s="18" t="str">
        <f t="shared" si="21"/>
        <v/>
      </c>
      <c r="E235" t="str">
        <f t="shared" si="22"/>
        <v/>
      </c>
      <c r="F235" s="23" t="str">
        <f ca="1">IF(A235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235" s="19" t="str">
        <f>IF(A235="","",C235/(1+F235*$B$6/360)^(COUNT(A$16:A235)-($B$6-$D$16)/$B$6))</f>
        <v/>
      </c>
      <c r="H235" t="str">
        <f t="shared" si="23"/>
        <v/>
      </c>
    </row>
    <row r="236" spans="1:8" x14ac:dyDescent="0.2">
      <c r="A236" s="12" t="str">
        <f t="shared" si="25"/>
        <v/>
      </c>
      <c r="B236" t="str">
        <f t="shared" si="20"/>
        <v/>
      </c>
      <c r="C236" s="17" t="str">
        <f t="shared" si="24"/>
        <v/>
      </c>
      <c r="D236" s="18" t="str">
        <f t="shared" si="21"/>
        <v/>
      </c>
      <c r="E236" t="str">
        <f t="shared" si="22"/>
        <v/>
      </c>
      <c r="F236" s="23" t="str">
        <f ca="1">IF(A236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236" s="19" t="str">
        <f>IF(A236="","",C236/(1+F236*$B$6/360)^(COUNT(A$16:A236)-($B$6-$D$16)/$B$6))</f>
        <v/>
      </c>
      <c r="H236" t="str">
        <f t="shared" si="23"/>
        <v/>
      </c>
    </row>
    <row r="237" spans="1:8" x14ac:dyDescent="0.2">
      <c r="A237" s="12" t="str">
        <f t="shared" si="25"/>
        <v/>
      </c>
      <c r="B237" t="str">
        <f t="shared" si="20"/>
        <v/>
      </c>
      <c r="C237" s="17" t="str">
        <f t="shared" si="24"/>
        <v/>
      </c>
      <c r="D237" s="18" t="str">
        <f t="shared" si="21"/>
        <v/>
      </c>
      <c r="E237" t="str">
        <f t="shared" si="22"/>
        <v/>
      </c>
      <c r="F237" s="23" t="str">
        <f ca="1">IF(A237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237" s="19" t="str">
        <f>IF(A237="","",C237/(1+F237*$B$6/360)^(COUNT(A$16:A237)-($B$6-$D$16)/$B$6))</f>
        <v/>
      </c>
      <c r="H237" t="str">
        <f t="shared" si="23"/>
        <v/>
      </c>
    </row>
    <row r="238" spans="1:8" x14ac:dyDescent="0.2">
      <c r="A238" s="12" t="str">
        <f t="shared" si="25"/>
        <v/>
      </c>
      <c r="B238" t="str">
        <f t="shared" si="20"/>
        <v/>
      </c>
      <c r="C238" s="17" t="str">
        <f t="shared" si="24"/>
        <v/>
      </c>
      <c r="D238" s="18" t="str">
        <f t="shared" si="21"/>
        <v/>
      </c>
      <c r="E238" t="str">
        <f t="shared" si="22"/>
        <v/>
      </c>
      <c r="F238" s="23" t="str">
        <f ca="1">IF(A238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238" s="19" t="str">
        <f>IF(A238="","",C238/(1+F238*$B$6/360)^(COUNT(A$16:A238)-($B$6-$D$16)/$B$6))</f>
        <v/>
      </c>
      <c r="H238" t="str">
        <f t="shared" si="23"/>
        <v/>
      </c>
    </row>
    <row r="239" spans="1:8" x14ac:dyDescent="0.2">
      <c r="A239" s="12" t="str">
        <f t="shared" si="25"/>
        <v/>
      </c>
      <c r="B239" t="str">
        <f t="shared" si="20"/>
        <v/>
      </c>
      <c r="C239" s="17" t="str">
        <f t="shared" si="24"/>
        <v/>
      </c>
      <c r="D239" s="18" t="str">
        <f t="shared" si="21"/>
        <v/>
      </c>
      <c r="E239" t="str">
        <f t="shared" si="22"/>
        <v/>
      </c>
      <c r="F239" s="23" t="str">
        <f ca="1">IF(A239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239" s="19" t="str">
        <f>IF(A239="","",C239/(1+F239*$B$6/360)^(COUNT(A$16:A239)-($B$6-$D$16)/$B$6))</f>
        <v/>
      </c>
      <c r="H239" t="str">
        <f t="shared" si="23"/>
        <v/>
      </c>
    </row>
    <row r="240" spans="1:8" x14ac:dyDescent="0.2">
      <c r="A240" s="12" t="str">
        <f t="shared" si="25"/>
        <v/>
      </c>
      <c r="B240" t="str">
        <f t="shared" si="20"/>
        <v/>
      </c>
      <c r="C240" s="17" t="str">
        <f t="shared" si="24"/>
        <v/>
      </c>
      <c r="D240" s="18" t="str">
        <f t="shared" si="21"/>
        <v/>
      </c>
      <c r="E240" t="str">
        <f t="shared" si="22"/>
        <v/>
      </c>
      <c r="F240" s="23" t="str">
        <f ca="1">IF(A240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240" s="19" t="str">
        <f>IF(A240="","",C240/(1+F240*$B$6/360)^(COUNT(A$16:A240)-($B$6-$D$16)/$B$6))</f>
        <v/>
      </c>
      <c r="H240" t="str">
        <f t="shared" si="23"/>
        <v/>
      </c>
    </row>
    <row r="241" spans="1:8" x14ac:dyDescent="0.2">
      <c r="A241" s="12" t="str">
        <f t="shared" si="25"/>
        <v/>
      </c>
      <c r="B241" t="str">
        <f t="shared" si="20"/>
        <v/>
      </c>
      <c r="C241" s="17" t="str">
        <f t="shared" si="24"/>
        <v/>
      </c>
      <c r="D241" s="18" t="str">
        <f t="shared" si="21"/>
        <v/>
      </c>
      <c r="E241" t="str">
        <f t="shared" si="22"/>
        <v/>
      </c>
      <c r="F241" s="23" t="str">
        <f ca="1">IF(A241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241" s="19" t="str">
        <f>IF(A241="","",C241/(1+F241*$B$6/360)^(COUNT(A$16:A241)-($B$6-$D$16)/$B$6))</f>
        <v/>
      </c>
      <c r="H241" t="str">
        <f t="shared" si="23"/>
        <v/>
      </c>
    </row>
    <row r="242" spans="1:8" x14ac:dyDescent="0.2">
      <c r="A242" s="12" t="str">
        <f t="shared" si="25"/>
        <v/>
      </c>
      <c r="B242" t="str">
        <f t="shared" si="20"/>
        <v/>
      </c>
      <c r="C242" s="17" t="str">
        <f t="shared" si="24"/>
        <v/>
      </c>
      <c r="D242" s="18" t="str">
        <f t="shared" si="21"/>
        <v/>
      </c>
      <c r="E242" t="str">
        <f t="shared" si="22"/>
        <v/>
      </c>
      <c r="F242" s="23" t="str">
        <f ca="1">IF(A242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242" s="19" t="str">
        <f>IF(A242="","",C242/(1+F242*$B$6/360)^(COUNT(A$16:A242)-($B$6-$D$16)/$B$6))</f>
        <v/>
      </c>
      <c r="H242" t="str">
        <f t="shared" si="23"/>
        <v/>
      </c>
    </row>
    <row r="243" spans="1:8" x14ac:dyDescent="0.2">
      <c r="A243" s="12" t="str">
        <f t="shared" si="25"/>
        <v/>
      </c>
      <c r="B243" t="str">
        <f t="shared" si="20"/>
        <v/>
      </c>
      <c r="C243" s="17" t="str">
        <f t="shared" si="24"/>
        <v/>
      </c>
      <c r="D243" s="18" t="str">
        <f t="shared" si="21"/>
        <v/>
      </c>
      <c r="E243" t="str">
        <f t="shared" si="22"/>
        <v/>
      </c>
      <c r="F243" s="23" t="str">
        <f ca="1">IF(A243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243" s="19" t="str">
        <f>IF(A243="","",C243/(1+F243*$B$6/360)^(COUNT(A$16:A243)-($B$6-$D$16)/$B$6))</f>
        <v/>
      </c>
      <c r="H243" t="str">
        <f t="shared" si="23"/>
        <v/>
      </c>
    </row>
    <row r="244" spans="1:8" x14ac:dyDescent="0.2">
      <c r="A244" s="12" t="str">
        <f t="shared" si="25"/>
        <v/>
      </c>
      <c r="B244" t="str">
        <f t="shared" si="20"/>
        <v/>
      </c>
      <c r="C244" s="17" t="str">
        <f t="shared" si="24"/>
        <v/>
      </c>
      <c r="D244" s="18" t="str">
        <f t="shared" si="21"/>
        <v/>
      </c>
      <c r="E244" t="str">
        <f t="shared" si="22"/>
        <v/>
      </c>
      <c r="F244" s="23" t="str">
        <f ca="1">IF(A244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244" s="19" t="str">
        <f>IF(A244="","",C244/(1+F244*$B$6/360)^(COUNT(A$16:A244)-($B$6-$D$16)/$B$6))</f>
        <v/>
      </c>
      <c r="H244" t="str">
        <f t="shared" si="23"/>
        <v/>
      </c>
    </row>
    <row r="245" spans="1:8" x14ac:dyDescent="0.2">
      <c r="A245" s="12" t="str">
        <f t="shared" si="25"/>
        <v/>
      </c>
      <c r="B245" t="str">
        <f t="shared" si="20"/>
        <v/>
      </c>
      <c r="C245" s="17" t="str">
        <f t="shared" si="24"/>
        <v/>
      </c>
      <c r="D245" s="18" t="str">
        <f t="shared" si="21"/>
        <v/>
      </c>
      <c r="E245" t="str">
        <f t="shared" si="22"/>
        <v/>
      </c>
      <c r="F245" s="23" t="str">
        <f ca="1">IF(A245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245" s="19" t="str">
        <f>IF(A245="","",C245/(1+F245*$B$6/360)^(COUNT(A$16:A245)-($B$6-$D$16)/$B$6))</f>
        <v/>
      </c>
      <c r="H245" t="str">
        <f t="shared" si="23"/>
        <v/>
      </c>
    </row>
    <row r="246" spans="1:8" x14ac:dyDescent="0.2">
      <c r="A246" s="12" t="str">
        <f t="shared" si="25"/>
        <v/>
      </c>
      <c r="B246" t="str">
        <f t="shared" si="20"/>
        <v/>
      </c>
      <c r="C246" s="17" t="str">
        <f t="shared" si="24"/>
        <v/>
      </c>
      <c r="D246" s="18" t="str">
        <f t="shared" si="21"/>
        <v/>
      </c>
      <c r="E246" t="str">
        <f t="shared" si="22"/>
        <v/>
      </c>
      <c r="F246" s="23" t="str">
        <f ca="1">IF(A246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246" s="19" t="str">
        <f>IF(A246="","",C246/(1+F246*$B$6/360)^(COUNT(A$16:A246)-($B$6-$D$16)/$B$6))</f>
        <v/>
      </c>
      <c r="H246" t="str">
        <f t="shared" si="23"/>
        <v/>
      </c>
    </row>
    <row r="247" spans="1:8" x14ac:dyDescent="0.2">
      <c r="A247" s="12" t="str">
        <f t="shared" si="25"/>
        <v/>
      </c>
      <c r="B247" t="str">
        <f t="shared" si="20"/>
        <v/>
      </c>
      <c r="C247" s="17" t="str">
        <f t="shared" si="24"/>
        <v/>
      </c>
      <c r="D247" s="18" t="str">
        <f t="shared" si="21"/>
        <v/>
      </c>
      <c r="E247" t="str">
        <f t="shared" si="22"/>
        <v/>
      </c>
      <c r="F247" s="23" t="str">
        <f ca="1">IF(A247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247" s="19" t="str">
        <f>IF(A247="","",C247/(1+F247*$B$6/360)^(COUNT(A$16:A247)-($B$6-$D$16)/$B$6))</f>
        <v/>
      </c>
      <c r="H247" t="str">
        <f t="shared" si="23"/>
        <v/>
      </c>
    </row>
    <row r="248" spans="1:8" x14ac:dyDescent="0.2">
      <c r="A248" s="12" t="str">
        <f t="shared" si="25"/>
        <v/>
      </c>
      <c r="B248" t="str">
        <f t="shared" si="20"/>
        <v/>
      </c>
      <c r="C248" s="17" t="str">
        <f t="shared" si="24"/>
        <v/>
      </c>
      <c r="D248" s="18" t="str">
        <f t="shared" si="21"/>
        <v/>
      </c>
      <c r="E248" t="str">
        <f t="shared" si="22"/>
        <v/>
      </c>
      <c r="F248" s="23" t="str">
        <f ca="1">IF(A248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248" s="19" t="str">
        <f>IF(A248="","",C248/(1+F248*$B$6/360)^(COUNT(A$16:A248)-($B$6-$D$16)/$B$6))</f>
        <v/>
      </c>
      <c r="H248" t="str">
        <f t="shared" si="23"/>
        <v/>
      </c>
    </row>
    <row r="249" spans="1:8" x14ac:dyDescent="0.2">
      <c r="A249" s="12" t="str">
        <f t="shared" si="25"/>
        <v/>
      </c>
      <c r="B249" t="str">
        <f t="shared" si="20"/>
        <v/>
      </c>
      <c r="C249" s="17" t="str">
        <f t="shared" si="24"/>
        <v/>
      </c>
      <c r="D249" s="18" t="str">
        <f t="shared" si="21"/>
        <v/>
      </c>
      <c r="E249" t="str">
        <f t="shared" si="22"/>
        <v/>
      </c>
      <c r="F249" s="23" t="str">
        <f ca="1">IF(A249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249" s="19" t="str">
        <f>IF(A249="","",C249/(1+F249*$B$6/360)^(COUNT(A$16:A249)-($B$6-$D$16)/$B$6))</f>
        <v/>
      </c>
      <c r="H249" t="str">
        <f t="shared" si="23"/>
        <v/>
      </c>
    </row>
    <row r="250" spans="1:8" x14ac:dyDescent="0.2">
      <c r="A250" s="12" t="str">
        <f t="shared" si="25"/>
        <v/>
      </c>
      <c r="B250" t="str">
        <f t="shared" si="20"/>
        <v/>
      </c>
      <c r="C250" s="17" t="str">
        <f t="shared" si="24"/>
        <v/>
      </c>
      <c r="D250" s="18" t="str">
        <f t="shared" si="21"/>
        <v/>
      </c>
      <c r="E250" t="str">
        <f t="shared" si="22"/>
        <v/>
      </c>
      <c r="F250" s="23" t="str">
        <f ca="1">IF(A250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250" s="19" t="str">
        <f>IF(A250="","",C250/(1+F250*$B$6/360)^(COUNT(A$16:A250)-($B$6-$D$16)/$B$6))</f>
        <v/>
      </c>
      <c r="H250" t="str">
        <f t="shared" si="23"/>
        <v/>
      </c>
    </row>
    <row r="251" spans="1:8" x14ac:dyDescent="0.2">
      <c r="A251" s="12" t="str">
        <f t="shared" si="25"/>
        <v/>
      </c>
      <c r="B251" t="str">
        <f t="shared" si="20"/>
        <v/>
      </c>
      <c r="C251" s="17" t="str">
        <f t="shared" si="24"/>
        <v/>
      </c>
      <c r="D251" s="18" t="str">
        <f t="shared" si="21"/>
        <v/>
      </c>
      <c r="E251" t="str">
        <f t="shared" si="22"/>
        <v/>
      </c>
      <c r="F251" s="23" t="str">
        <f ca="1">IF(A251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251" s="19" t="str">
        <f>IF(A251="","",C251/(1+F251*$B$6/360)^(COUNT(A$16:A251)-($B$6-$D$16)/$B$6))</f>
        <v/>
      </c>
      <c r="H251" t="str">
        <f t="shared" si="23"/>
        <v/>
      </c>
    </row>
    <row r="252" spans="1:8" x14ac:dyDescent="0.2">
      <c r="A252" s="12" t="str">
        <f t="shared" si="25"/>
        <v/>
      </c>
      <c r="B252" t="str">
        <f t="shared" si="20"/>
        <v/>
      </c>
      <c r="C252" s="17" t="str">
        <f t="shared" si="24"/>
        <v/>
      </c>
      <c r="D252" s="18" t="str">
        <f t="shared" si="21"/>
        <v/>
      </c>
      <c r="E252" t="str">
        <f t="shared" si="22"/>
        <v/>
      </c>
      <c r="F252" s="23" t="str">
        <f ca="1">IF(A252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252" s="19" t="str">
        <f>IF(A252="","",C252/(1+F252*$B$6/360)^(COUNT(A$16:A252)-($B$6-$D$16)/$B$6))</f>
        <v/>
      </c>
      <c r="H252" t="str">
        <f t="shared" si="23"/>
        <v/>
      </c>
    </row>
    <row r="253" spans="1:8" x14ac:dyDescent="0.2">
      <c r="A253" s="12" t="str">
        <f t="shared" si="25"/>
        <v/>
      </c>
      <c r="B253" t="str">
        <f t="shared" si="20"/>
        <v/>
      </c>
      <c r="C253" s="17" t="str">
        <f t="shared" si="24"/>
        <v/>
      </c>
      <c r="D253" s="18" t="str">
        <f t="shared" si="21"/>
        <v/>
      </c>
      <c r="E253" t="str">
        <f t="shared" si="22"/>
        <v/>
      </c>
      <c r="F253" s="23" t="str">
        <f ca="1">IF(A253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253" s="19" t="str">
        <f>IF(A253="","",C253/(1+F253*$B$6/360)^(COUNT(A$16:A253)-($B$6-$D$16)/$B$6))</f>
        <v/>
      </c>
      <c r="H253" t="str">
        <f t="shared" si="23"/>
        <v/>
      </c>
    </row>
    <row r="254" spans="1:8" x14ac:dyDescent="0.2">
      <c r="A254" s="12" t="str">
        <f t="shared" si="25"/>
        <v/>
      </c>
      <c r="B254" t="str">
        <f t="shared" si="20"/>
        <v/>
      </c>
      <c r="C254" s="17" t="str">
        <f t="shared" si="24"/>
        <v/>
      </c>
      <c r="D254" s="18" t="str">
        <f t="shared" si="21"/>
        <v/>
      </c>
      <c r="E254" t="str">
        <f t="shared" si="22"/>
        <v/>
      </c>
      <c r="F254" s="23" t="str">
        <f ca="1">IF(A254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254" s="19" t="str">
        <f>IF(A254="","",C254/(1+F254*$B$6/360)^(COUNT(A$16:A254)-($B$6-$D$16)/$B$6))</f>
        <v/>
      </c>
      <c r="H254" t="str">
        <f t="shared" si="23"/>
        <v/>
      </c>
    </row>
    <row r="255" spans="1:8" x14ac:dyDescent="0.2">
      <c r="A255" s="12" t="str">
        <f t="shared" si="25"/>
        <v/>
      </c>
      <c r="B255" t="str">
        <f t="shared" si="20"/>
        <v/>
      </c>
      <c r="C255" s="17" t="str">
        <f t="shared" si="24"/>
        <v/>
      </c>
      <c r="D255" s="18" t="str">
        <f t="shared" si="21"/>
        <v/>
      </c>
      <c r="E255" t="str">
        <f t="shared" si="22"/>
        <v/>
      </c>
      <c r="F255" s="23" t="str">
        <f ca="1">IF(A255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255" s="19" t="str">
        <f>IF(A255="","",C255/(1+F255*$B$6/360)^(COUNT(A$16:A255)-($B$6-$D$16)/$B$6))</f>
        <v/>
      </c>
      <c r="H255" t="str">
        <f t="shared" si="23"/>
        <v/>
      </c>
    </row>
    <row r="256" spans="1:8" x14ac:dyDescent="0.2">
      <c r="A256" s="12" t="str">
        <f t="shared" si="25"/>
        <v/>
      </c>
      <c r="B256" t="str">
        <f t="shared" si="20"/>
        <v/>
      </c>
      <c r="C256" s="17" t="str">
        <f t="shared" si="24"/>
        <v/>
      </c>
      <c r="D256" s="18" t="str">
        <f t="shared" si="21"/>
        <v/>
      </c>
      <c r="E256" t="str">
        <f t="shared" si="22"/>
        <v/>
      </c>
      <c r="F256" s="23" t="str">
        <f ca="1">IF(A256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256" s="19" t="str">
        <f>IF(A256="","",C256/(1+F256*$B$6/360)^(COUNT(A$16:A256)-($B$6-$D$16)/$B$6))</f>
        <v/>
      </c>
      <c r="H256" t="str">
        <f t="shared" si="23"/>
        <v/>
      </c>
    </row>
    <row r="257" spans="1:8" x14ac:dyDescent="0.2">
      <c r="A257" s="12" t="str">
        <f t="shared" si="25"/>
        <v/>
      </c>
      <c r="B257" t="str">
        <f t="shared" si="20"/>
        <v/>
      </c>
      <c r="C257" s="17" t="str">
        <f t="shared" si="24"/>
        <v/>
      </c>
      <c r="D257" s="18" t="str">
        <f t="shared" si="21"/>
        <v/>
      </c>
      <c r="E257" t="str">
        <f t="shared" si="22"/>
        <v/>
      </c>
      <c r="F257" s="23" t="str">
        <f ca="1">IF(A257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257" s="19" t="str">
        <f>IF(A257="","",C257/(1+F257*$B$6/360)^(COUNT(A$16:A257)-($B$6-$D$16)/$B$6))</f>
        <v/>
      </c>
      <c r="H257" t="str">
        <f t="shared" si="23"/>
        <v/>
      </c>
    </row>
    <row r="258" spans="1:8" x14ac:dyDescent="0.2">
      <c r="A258" s="12" t="str">
        <f t="shared" si="25"/>
        <v/>
      </c>
      <c r="B258" t="str">
        <f t="shared" si="20"/>
        <v/>
      </c>
      <c r="C258" s="17" t="str">
        <f t="shared" si="24"/>
        <v/>
      </c>
      <c r="D258" s="18" t="str">
        <f t="shared" si="21"/>
        <v/>
      </c>
      <c r="E258" t="str">
        <f t="shared" si="22"/>
        <v/>
      </c>
      <c r="F258" s="23" t="str">
        <f ca="1">IF(A258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258" s="19" t="str">
        <f>IF(A258="","",C258/(1+F258*$B$6/360)^(COUNT(A$16:A258)-($B$6-$D$16)/$B$6))</f>
        <v/>
      </c>
      <c r="H258" t="str">
        <f t="shared" si="23"/>
        <v/>
      </c>
    </row>
    <row r="259" spans="1:8" x14ac:dyDescent="0.2">
      <c r="A259" s="12" t="str">
        <f t="shared" si="25"/>
        <v/>
      </c>
      <c r="B259" t="str">
        <f t="shared" si="20"/>
        <v/>
      </c>
      <c r="C259" s="17" t="str">
        <f t="shared" si="24"/>
        <v/>
      </c>
      <c r="D259" s="18" t="str">
        <f t="shared" si="21"/>
        <v/>
      </c>
      <c r="E259" t="str">
        <f t="shared" si="22"/>
        <v/>
      </c>
      <c r="F259" s="23" t="str">
        <f ca="1">IF(A259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259" s="19" t="str">
        <f>IF(A259="","",C259/(1+F259*$B$6/360)^(COUNT(A$16:A259)-($B$6-$D$16)/$B$6))</f>
        <v/>
      </c>
      <c r="H259" t="str">
        <f t="shared" si="23"/>
        <v/>
      </c>
    </row>
    <row r="260" spans="1:8" x14ac:dyDescent="0.2">
      <c r="A260" s="12" t="str">
        <f t="shared" si="25"/>
        <v/>
      </c>
      <c r="B260" t="str">
        <f t="shared" si="20"/>
        <v/>
      </c>
      <c r="C260" s="17" t="str">
        <f t="shared" si="24"/>
        <v/>
      </c>
      <c r="D260" s="18" t="str">
        <f t="shared" si="21"/>
        <v/>
      </c>
      <c r="E260" t="str">
        <f t="shared" si="22"/>
        <v/>
      </c>
      <c r="F260" s="23" t="str">
        <f ca="1">IF(A260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260" s="19" t="str">
        <f>IF(A260="","",C260/(1+F260*$B$6/360)^(COUNT(A$16:A260)-($B$6-$D$16)/$B$6))</f>
        <v/>
      </c>
      <c r="H260" t="str">
        <f t="shared" si="23"/>
        <v/>
      </c>
    </row>
    <row r="261" spans="1:8" x14ac:dyDescent="0.2">
      <c r="A261" s="12" t="str">
        <f t="shared" si="25"/>
        <v/>
      </c>
      <c r="B261" t="str">
        <f t="shared" si="20"/>
        <v/>
      </c>
      <c r="C261" s="17" t="str">
        <f t="shared" si="24"/>
        <v/>
      </c>
      <c r="D261" s="18" t="str">
        <f t="shared" si="21"/>
        <v/>
      </c>
      <c r="E261" t="str">
        <f t="shared" si="22"/>
        <v/>
      </c>
      <c r="F261" s="23" t="str">
        <f ca="1">IF(A261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261" s="19" t="str">
        <f>IF(A261="","",C261/(1+F261*$B$6/360)^(COUNT(A$16:A261)-($B$6-$D$16)/$B$6))</f>
        <v/>
      </c>
      <c r="H261" t="str">
        <f t="shared" si="23"/>
        <v/>
      </c>
    </row>
    <row r="262" spans="1:8" x14ac:dyDescent="0.2">
      <c r="A262" s="12" t="str">
        <f t="shared" si="25"/>
        <v/>
      </c>
      <c r="B262" t="str">
        <f t="shared" si="20"/>
        <v/>
      </c>
      <c r="C262" s="17" t="str">
        <f t="shared" si="24"/>
        <v/>
      </c>
      <c r="D262" s="18" t="str">
        <f t="shared" si="21"/>
        <v/>
      </c>
      <c r="E262" t="str">
        <f t="shared" si="22"/>
        <v/>
      </c>
      <c r="F262" s="23" t="str">
        <f ca="1">IF(A262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262" s="19" t="str">
        <f>IF(A262="","",C262/(1+F262*$B$6/360)^(COUNT(A$16:A262)-($B$6-$D$16)/$B$6))</f>
        <v/>
      </c>
      <c r="H262" t="str">
        <f t="shared" si="23"/>
        <v/>
      </c>
    </row>
    <row r="263" spans="1:8" x14ac:dyDescent="0.2">
      <c r="A263" s="12" t="str">
        <f t="shared" si="25"/>
        <v/>
      </c>
      <c r="B263" t="str">
        <f t="shared" si="20"/>
        <v/>
      </c>
      <c r="C263" s="17" t="str">
        <f t="shared" si="24"/>
        <v/>
      </c>
      <c r="D263" s="18" t="str">
        <f t="shared" si="21"/>
        <v/>
      </c>
      <c r="E263" t="str">
        <f t="shared" si="22"/>
        <v/>
      </c>
      <c r="F263" s="23" t="str">
        <f ca="1">IF(A263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263" s="19" t="str">
        <f>IF(A263="","",C263/(1+F263*$B$6/360)^(COUNT(A$16:A263)-($B$6-$D$16)/$B$6))</f>
        <v/>
      </c>
      <c r="H263" t="str">
        <f t="shared" si="23"/>
        <v/>
      </c>
    </row>
    <row r="264" spans="1:8" x14ac:dyDescent="0.2">
      <c r="A264" s="12" t="str">
        <f t="shared" si="25"/>
        <v/>
      </c>
      <c r="B264" t="str">
        <f t="shared" si="20"/>
        <v/>
      </c>
      <c r="C264" s="17" t="str">
        <f t="shared" si="24"/>
        <v/>
      </c>
      <c r="D264" s="18" t="str">
        <f t="shared" si="21"/>
        <v/>
      </c>
      <c r="E264" t="str">
        <f t="shared" si="22"/>
        <v/>
      </c>
      <c r="F264" s="23" t="str">
        <f ca="1">IF(A264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264" s="19" t="str">
        <f>IF(A264="","",C264/(1+F264*$B$6/360)^(COUNT(A$16:A264)-($B$6-$D$16)/$B$6))</f>
        <v/>
      </c>
      <c r="H264" t="str">
        <f t="shared" si="23"/>
        <v/>
      </c>
    </row>
    <row r="265" spans="1:8" x14ac:dyDescent="0.2">
      <c r="A265" s="12" t="str">
        <f t="shared" si="25"/>
        <v/>
      </c>
      <c r="B265" t="str">
        <f t="shared" si="20"/>
        <v/>
      </c>
      <c r="C265" s="17" t="str">
        <f t="shared" si="24"/>
        <v/>
      </c>
      <c r="D265" s="18" t="str">
        <f t="shared" si="21"/>
        <v/>
      </c>
      <c r="E265" t="str">
        <f t="shared" si="22"/>
        <v/>
      </c>
      <c r="F265" s="23" t="str">
        <f ca="1">IF(A265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265" s="19" t="str">
        <f>IF(A265="","",C265/(1+F265*$B$6/360)^(COUNT(A$16:A265)-($B$6-$D$16)/$B$6))</f>
        <v/>
      </c>
      <c r="H265" t="str">
        <f t="shared" si="23"/>
        <v/>
      </c>
    </row>
    <row r="266" spans="1:8" x14ac:dyDescent="0.2">
      <c r="A266" s="12" t="str">
        <f t="shared" si="25"/>
        <v/>
      </c>
      <c r="B266" t="str">
        <f t="shared" si="20"/>
        <v/>
      </c>
      <c r="C266" s="17" t="str">
        <f t="shared" si="24"/>
        <v/>
      </c>
      <c r="D266" s="18" t="str">
        <f t="shared" si="21"/>
        <v/>
      </c>
      <c r="E266" t="str">
        <f t="shared" si="22"/>
        <v/>
      </c>
      <c r="F266" s="23" t="str">
        <f ca="1">IF(A266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266" s="19" t="str">
        <f>IF(A266="","",C266/(1+F266*$B$6/360)^(COUNT(A$16:A266)-($B$6-$D$16)/$B$6))</f>
        <v/>
      </c>
      <c r="H266" t="str">
        <f t="shared" si="23"/>
        <v/>
      </c>
    </row>
    <row r="267" spans="1:8" x14ac:dyDescent="0.2">
      <c r="A267" s="12" t="str">
        <f t="shared" si="25"/>
        <v/>
      </c>
      <c r="B267" t="str">
        <f t="shared" si="20"/>
        <v/>
      </c>
      <c r="C267" s="17" t="str">
        <f t="shared" si="24"/>
        <v/>
      </c>
      <c r="D267" s="18" t="str">
        <f t="shared" si="21"/>
        <v/>
      </c>
      <c r="E267" t="str">
        <f t="shared" si="22"/>
        <v/>
      </c>
      <c r="F267" s="23" t="str">
        <f ca="1">IF(A267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267" s="19" t="str">
        <f>IF(A267="","",C267/(1+F267*$B$6/360)^(COUNT(A$16:A267)-($B$6-$D$16)/$B$6))</f>
        <v/>
      </c>
      <c r="H267" t="str">
        <f t="shared" si="23"/>
        <v/>
      </c>
    </row>
    <row r="268" spans="1:8" x14ac:dyDescent="0.2">
      <c r="A268" s="12" t="str">
        <f t="shared" si="25"/>
        <v/>
      </c>
      <c r="B268" t="str">
        <f t="shared" si="20"/>
        <v/>
      </c>
      <c r="C268" s="17" t="str">
        <f t="shared" si="24"/>
        <v/>
      </c>
      <c r="D268" s="18" t="str">
        <f t="shared" si="21"/>
        <v/>
      </c>
      <c r="E268" t="str">
        <f t="shared" si="22"/>
        <v/>
      </c>
      <c r="F268" s="23" t="str">
        <f ca="1">IF(A268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268" s="19" t="str">
        <f>IF(A268="","",C268/(1+F268*$B$6/360)^(COUNT(A$16:A268)-($B$6-$D$16)/$B$6))</f>
        <v/>
      </c>
      <c r="H268" t="str">
        <f t="shared" si="23"/>
        <v/>
      </c>
    </row>
    <row r="269" spans="1:8" x14ac:dyDescent="0.2">
      <c r="A269" s="12" t="str">
        <f t="shared" si="25"/>
        <v/>
      </c>
      <c r="B269" t="str">
        <f t="shared" si="20"/>
        <v/>
      </c>
      <c r="C269" s="17" t="str">
        <f t="shared" si="24"/>
        <v/>
      </c>
      <c r="D269" s="18" t="str">
        <f t="shared" si="21"/>
        <v/>
      </c>
      <c r="E269" t="str">
        <f t="shared" si="22"/>
        <v/>
      </c>
      <c r="F269" s="23" t="str">
        <f ca="1">IF(A269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269" s="19" t="str">
        <f>IF(A269="","",C269/(1+F269*$B$6/360)^(COUNT(A$16:A269)-($B$6-$D$16)/$B$6))</f>
        <v/>
      </c>
      <c r="H269" t="str">
        <f t="shared" si="23"/>
        <v/>
      </c>
    </row>
    <row r="270" spans="1:8" x14ac:dyDescent="0.2">
      <c r="A270" s="12" t="str">
        <f t="shared" si="25"/>
        <v/>
      </c>
      <c r="B270" t="str">
        <f t="shared" si="20"/>
        <v/>
      </c>
      <c r="C270" s="17" t="str">
        <f t="shared" si="24"/>
        <v/>
      </c>
      <c r="D270" s="18" t="str">
        <f t="shared" si="21"/>
        <v/>
      </c>
      <c r="E270" t="str">
        <f t="shared" si="22"/>
        <v/>
      </c>
      <c r="F270" s="23" t="str">
        <f ca="1">IF(A270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270" s="19" t="str">
        <f>IF(A270="","",C270/(1+F270*$B$6/360)^(COUNT(A$16:A270)-($B$6-$D$16)/$B$6))</f>
        <v/>
      </c>
      <c r="H270" t="str">
        <f t="shared" si="23"/>
        <v/>
      </c>
    </row>
    <row r="271" spans="1:8" x14ac:dyDescent="0.2">
      <c r="A271" s="12" t="str">
        <f t="shared" si="25"/>
        <v/>
      </c>
      <c r="B271" t="str">
        <f t="shared" si="20"/>
        <v/>
      </c>
      <c r="C271" s="17" t="str">
        <f t="shared" si="24"/>
        <v/>
      </c>
      <c r="D271" s="18" t="str">
        <f t="shared" si="21"/>
        <v/>
      </c>
      <c r="E271" t="str">
        <f t="shared" si="22"/>
        <v/>
      </c>
      <c r="F271" s="23" t="str">
        <f ca="1">IF(A271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271" s="19" t="str">
        <f>IF(A271="","",C271/(1+F271*$B$6/360)^(COUNT(A$16:A271)-($B$6-$D$16)/$B$6))</f>
        <v/>
      </c>
      <c r="H271" t="str">
        <f t="shared" si="23"/>
        <v/>
      </c>
    </row>
    <row r="272" spans="1:8" x14ac:dyDescent="0.2">
      <c r="A272" s="12" t="str">
        <f t="shared" si="25"/>
        <v/>
      </c>
      <c r="B272" t="str">
        <f t="shared" si="20"/>
        <v/>
      </c>
      <c r="C272" s="17" t="str">
        <f t="shared" si="24"/>
        <v/>
      </c>
      <c r="D272" s="18" t="str">
        <f t="shared" si="21"/>
        <v/>
      </c>
      <c r="E272" t="str">
        <f t="shared" si="22"/>
        <v/>
      </c>
      <c r="F272" s="23" t="str">
        <f ca="1">IF(A272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272" s="19" t="str">
        <f>IF(A272="","",C272/(1+F272*$B$6/360)^(COUNT(A$16:A272)-($B$6-$D$16)/$B$6))</f>
        <v/>
      </c>
      <c r="H272" t="str">
        <f t="shared" si="23"/>
        <v/>
      </c>
    </row>
    <row r="273" spans="1:8" x14ac:dyDescent="0.2">
      <c r="A273" s="12" t="str">
        <f t="shared" si="25"/>
        <v/>
      </c>
      <c r="B273" t="str">
        <f t="shared" ref="B273:B336" si="26">IF(A273="","",$B$5)</f>
        <v/>
      </c>
      <c r="C273" s="17" t="str">
        <f t="shared" si="24"/>
        <v/>
      </c>
      <c r="D273" s="18" t="str">
        <f t="shared" ref="D273:D336" si="27">IF(A273="","",$B$6)</f>
        <v/>
      </c>
      <c r="E273" t="str">
        <f t="shared" ref="E273:E336" si="28">IF(A273="","",E272+D273)</f>
        <v/>
      </c>
      <c r="F273" s="23" t="str">
        <f ca="1">IF(A273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273" s="19" t="str">
        <f>IF(A273="","",C273/(1+F273*$B$6/360)^(COUNT(A$16:A273)-($B$6-$D$16)/$B$6))</f>
        <v/>
      </c>
      <c r="H273" t="str">
        <f t="shared" ref="H273:H336" si="29">IF(A273="","",C273/(1+F273*$B$6/360)^(E273/$B$6))</f>
        <v/>
      </c>
    </row>
    <row r="274" spans="1:8" x14ac:dyDescent="0.2">
      <c r="A274" s="12" t="str">
        <f t="shared" si="25"/>
        <v/>
      </c>
      <c r="B274" t="str">
        <f t="shared" si="26"/>
        <v/>
      </c>
      <c r="C274" s="17" t="str">
        <f t="shared" si="24"/>
        <v/>
      </c>
      <c r="D274" s="18" t="str">
        <f t="shared" si="27"/>
        <v/>
      </c>
      <c r="E274" t="str">
        <f t="shared" si="28"/>
        <v/>
      </c>
      <c r="F274" s="23" t="str">
        <f ca="1">IF(A274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274" s="19" t="str">
        <f>IF(A274="","",C274/(1+F274*$B$6/360)^(COUNT(A$16:A274)-($B$6-$D$16)/$B$6))</f>
        <v/>
      </c>
      <c r="H274" t="str">
        <f t="shared" si="29"/>
        <v/>
      </c>
    </row>
    <row r="275" spans="1:8" x14ac:dyDescent="0.2">
      <c r="A275" s="12" t="str">
        <f t="shared" si="25"/>
        <v/>
      </c>
      <c r="B275" t="str">
        <f t="shared" si="26"/>
        <v/>
      </c>
      <c r="C275" s="17" t="str">
        <f t="shared" si="24"/>
        <v/>
      </c>
      <c r="D275" s="18" t="str">
        <f t="shared" si="27"/>
        <v/>
      </c>
      <c r="E275" t="str">
        <f t="shared" si="28"/>
        <v/>
      </c>
      <c r="F275" s="23" t="str">
        <f ca="1">IF(A275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275" s="19" t="str">
        <f>IF(A275="","",C275/(1+F275*$B$6/360)^(COUNT(A$16:A275)-($B$6-$D$16)/$B$6))</f>
        <v/>
      </c>
      <c r="H275" t="str">
        <f t="shared" si="29"/>
        <v/>
      </c>
    </row>
    <row r="276" spans="1:8" x14ac:dyDescent="0.2">
      <c r="A276" s="12" t="str">
        <f t="shared" si="25"/>
        <v/>
      </c>
      <c r="B276" t="str">
        <f t="shared" si="26"/>
        <v/>
      </c>
      <c r="C276" s="17" t="str">
        <f t="shared" si="24"/>
        <v/>
      </c>
      <c r="D276" s="18" t="str">
        <f t="shared" si="27"/>
        <v/>
      </c>
      <c r="E276" t="str">
        <f t="shared" si="28"/>
        <v/>
      </c>
      <c r="F276" s="23" t="str">
        <f ca="1">IF(A276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276" s="19" t="str">
        <f>IF(A276="","",C276/(1+F276*$B$6/360)^(COUNT(A$16:A276)-($B$6-$D$16)/$B$6))</f>
        <v/>
      </c>
      <c r="H276" t="str">
        <f t="shared" si="29"/>
        <v/>
      </c>
    </row>
    <row r="277" spans="1:8" x14ac:dyDescent="0.2">
      <c r="A277" s="12" t="str">
        <f t="shared" si="25"/>
        <v/>
      </c>
      <c r="B277" t="str">
        <f t="shared" si="26"/>
        <v/>
      </c>
      <c r="C277" s="17" t="str">
        <f t="shared" si="24"/>
        <v/>
      </c>
      <c r="D277" s="18" t="str">
        <f t="shared" si="27"/>
        <v/>
      </c>
      <c r="E277" t="str">
        <f t="shared" si="28"/>
        <v/>
      </c>
      <c r="F277" s="23" t="str">
        <f ca="1">IF(A277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277" s="19" t="str">
        <f>IF(A277="","",C277/(1+F277*$B$6/360)^(COUNT(A$16:A277)-($B$6-$D$16)/$B$6))</f>
        <v/>
      </c>
      <c r="H277" t="str">
        <f t="shared" si="29"/>
        <v/>
      </c>
    </row>
    <row r="278" spans="1:8" x14ac:dyDescent="0.2">
      <c r="A278" s="12" t="str">
        <f t="shared" si="25"/>
        <v/>
      </c>
      <c r="B278" t="str">
        <f t="shared" si="26"/>
        <v/>
      </c>
      <c r="C278" s="17" t="str">
        <f t="shared" si="24"/>
        <v/>
      </c>
      <c r="D278" s="18" t="str">
        <f t="shared" si="27"/>
        <v/>
      </c>
      <c r="E278" t="str">
        <f t="shared" si="28"/>
        <v/>
      </c>
      <c r="F278" s="23" t="str">
        <f ca="1">IF(A278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278" s="19" t="str">
        <f>IF(A278="","",C278/(1+F278*$B$6/360)^(COUNT(A$16:A278)-($B$6-$D$16)/$B$6))</f>
        <v/>
      </c>
      <c r="H278" t="str">
        <f t="shared" si="29"/>
        <v/>
      </c>
    </row>
    <row r="279" spans="1:8" x14ac:dyDescent="0.2">
      <c r="A279" s="12" t="str">
        <f t="shared" si="25"/>
        <v/>
      </c>
      <c r="B279" t="str">
        <f t="shared" si="26"/>
        <v/>
      </c>
      <c r="C279" s="17" t="str">
        <f t="shared" si="24"/>
        <v/>
      </c>
      <c r="D279" s="18" t="str">
        <f t="shared" si="27"/>
        <v/>
      </c>
      <c r="E279" t="str">
        <f t="shared" si="28"/>
        <v/>
      </c>
      <c r="F279" s="23" t="str">
        <f ca="1">IF(A279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279" s="19" t="str">
        <f>IF(A279="","",C279/(1+F279*$B$6/360)^(COUNT(A$16:A279)-($B$6-$D$16)/$B$6))</f>
        <v/>
      </c>
      <c r="H279" t="str">
        <f t="shared" si="29"/>
        <v/>
      </c>
    </row>
    <row r="280" spans="1:8" x14ac:dyDescent="0.2">
      <c r="A280" s="12" t="str">
        <f t="shared" si="25"/>
        <v/>
      </c>
      <c r="B280" t="str">
        <f t="shared" si="26"/>
        <v/>
      </c>
      <c r="C280" s="17" t="str">
        <f t="shared" si="24"/>
        <v/>
      </c>
      <c r="D280" s="18" t="str">
        <f t="shared" si="27"/>
        <v/>
      </c>
      <c r="E280" t="str">
        <f t="shared" si="28"/>
        <v/>
      </c>
      <c r="F280" s="23" t="str">
        <f ca="1">IF(A280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280" s="19" t="str">
        <f>IF(A280="","",C280/(1+F280*$B$6/360)^(COUNT(A$16:A280)-($B$6-$D$16)/$B$6))</f>
        <v/>
      </c>
      <c r="H280" t="str">
        <f t="shared" si="29"/>
        <v/>
      </c>
    </row>
    <row r="281" spans="1:8" x14ac:dyDescent="0.2">
      <c r="A281" s="12" t="str">
        <f t="shared" si="25"/>
        <v/>
      </c>
      <c r="B281" t="str">
        <f t="shared" si="26"/>
        <v/>
      </c>
      <c r="C281" s="17" t="str">
        <f t="shared" si="24"/>
        <v/>
      </c>
      <c r="D281" s="18" t="str">
        <f t="shared" si="27"/>
        <v/>
      </c>
      <c r="E281" t="str">
        <f t="shared" si="28"/>
        <v/>
      </c>
      <c r="F281" s="23" t="str">
        <f ca="1">IF(A281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281" s="19" t="str">
        <f>IF(A281="","",C281/(1+F281*$B$6/360)^(COUNT(A$16:A281)-($B$6-$D$16)/$B$6))</f>
        <v/>
      </c>
      <c r="H281" t="str">
        <f t="shared" si="29"/>
        <v/>
      </c>
    </row>
    <row r="282" spans="1:8" x14ac:dyDescent="0.2">
      <c r="A282" s="12" t="str">
        <f t="shared" si="25"/>
        <v/>
      </c>
      <c r="B282" t="str">
        <f t="shared" si="26"/>
        <v/>
      </c>
      <c r="C282" s="17" t="str">
        <f t="shared" ref="C282:C345" si="30">IF(A282="","",IF(A282=$B$4,$B$1*$B$2, $B$5*$B$6/360*$B$1*$B$2))</f>
        <v/>
      </c>
      <c r="D282" s="18" t="str">
        <f t="shared" si="27"/>
        <v/>
      </c>
      <c r="E282" t="str">
        <f t="shared" si="28"/>
        <v/>
      </c>
      <c r="F282" s="23" t="str">
        <f ca="1">IF(A282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282" s="19" t="str">
        <f>IF(A282="","",C282/(1+F282*$B$6/360)^(COUNT(A$16:A282)-($B$6-$D$16)/$B$6))</f>
        <v/>
      </c>
      <c r="H282" t="str">
        <f t="shared" si="29"/>
        <v/>
      </c>
    </row>
    <row r="283" spans="1:8" x14ac:dyDescent="0.2">
      <c r="A283" s="12" t="str">
        <f t="shared" ref="A283:A346" si="31">IF(A282="","",IF((A282+$B$6)&gt;$B$4,"",(A282+$B$6)))</f>
        <v/>
      </c>
      <c r="B283" t="str">
        <f t="shared" si="26"/>
        <v/>
      </c>
      <c r="C283" s="17" t="str">
        <f t="shared" si="30"/>
        <v/>
      </c>
      <c r="D283" s="18" t="str">
        <f t="shared" si="27"/>
        <v/>
      </c>
      <c r="E283" t="str">
        <f t="shared" si="28"/>
        <v/>
      </c>
      <c r="F283" s="23" t="str">
        <f ca="1">IF(A283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283" s="19" t="str">
        <f>IF(A283="","",C283/(1+F283*$B$6/360)^(COUNT(A$16:A283)-($B$6-$D$16)/$B$6))</f>
        <v/>
      </c>
      <c r="H283" t="str">
        <f t="shared" si="29"/>
        <v/>
      </c>
    </row>
    <row r="284" spans="1:8" x14ac:dyDescent="0.2">
      <c r="A284" s="12" t="str">
        <f t="shared" si="31"/>
        <v/>
      </c>
      <c r="B284" t="str">
        <f t="shared" si="26"/>
        <v/>
      </c>
      <c r="C284" s="17" t="str">
        <f t="shared" si="30"/>
        <v/>
      </c>
      <c r="D284" s="18" t="str">
        <f t="shared" si="27"/>
        <v/>
      </c>
      <c r="E284" t="str">
        <f t="shared" si="28"/>
        <v/>
      </c>
      <c r="F284" s="23" t="str">
        <f ca="1">IF(A284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284" s="19" t="str">
        <f>IF(A284="","",C284/(1+F284*$B$6/360)^(COUNT(A$16:A284)-($B$6-$D$16)/$B$6))</f>
        <v/>
      </c>
      <c r="H284" t="str">
        <f t="shared" si="29"/>
        <v/>
      </c>
    </row>
    <row r="285" spans="1:8" x14ac:dyDescent="0.2">
      <c r="A285" s="12" t="str">
        <f t="shared" si="31"/>
        <v/>
      </c>
      <c r="B285" t="str">
        <f t="shared" si="26"/>
        <v/>
      </c>
      <c r="C285" s="17" t="str">
        <f t="shared" si="30"/>
        <v/>
      </c>
      <c r="D285" s="18" t="str">
        <f t="shared" si="27"/>
        <v/>
      </c>
      <c r="E285" t="str">
        <f t="shared" si="28"/>
        <v/>
      </c>
      <c r="F285" s="23" t="str">
        <f ca="1">IF(A285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285" s="19" t="str">
        <f>IF(A285="","",C285/(1+F285*$B$6/360)^(COUNT(A$16:A285)-($B$6-$D$16)/$B$6))</f>
        <v/>
      </c>
      <c r="H285" t="str">
        <f t="shared" si="29"/>
        <v/>
      </c>
    </row>
    <row r="286" spans="1:8" x14ac:dyDescent="0.2">
      <c r="A286" s="12" t="str">
        <f t="shared" si="31"/>
        <v/>
      </c>
      <c r="B286" t="str">
        <f t="shared" si="26"/>
        <v/>
      </c>
      <c r="C286" s="17" t="str">
        <f t="shared" si="30"/>
        <v/>
      </c>
      <c r="D286" s="18" t="str">
        <f t="shared" si="27"/>
        <v/>
      </c>
      <c r="E286" t="str">
        <f t="shared" si="28"/>
        <v/>
      </c>
      <c r="F286" s="23" t="str">
        <f ca="1">IF(A286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286" s="19" t="str">
        <f>IF(A286="","",C286/(1+F286*$B$6/360)^(COUNT(A$16:A286)-($B$6-$D$16)/$B$6))</f>
        <v/>
      </c>
      <c r="H286" t="str">
        <f t="shared" si="29"/>
        <v/>
      </c>
    </row>
    <row r="287" spans="1:8" x14ac:dyDescent="0.2">
      <c r="A287" s="12" t="str">
        <f t="shared" si="31"/>
        <v/>
      </c>
      <c r="B287" t="str">
        <f t="shared" si="26"/>
        <v/>
      </c>
      <c r="C287" s="17" t="str">
        <f t="shared" si="30"/>
        <v/>
      </c>
      <c r="D287" s="18" t="str">
        <f t="shared" si="27"/>
        <v/>
      </c>
      <c r="E287" t="str">
        <f t="shared" si="28"/>
        <v/>
      </c>
      <c r="F287" s="23" t="str">
        <f ca="1">IF(A287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287" s="19" t="str">
        <f>IF(A287="","",C287/(1+F287*$B$6/360)^(COUNT(A$16:A287)-($B$6-$D$16)/$B$6))</f>
        <v/>
      </c>
      <c r="H287" t="str">
        <f t="shared" si="29"/>
        <v/>
      </c>
    </row>
    <row r="288" spans="1:8" x14ac:dyDescent="0.2">
      <c r="A288" s="12" t="str">
        <f t="shared" si="31"/>
        <v/>
      </c>
      <c r="B288" t="str">
        <f t="shared" si="26"/>
        <v/>
      </c>
      <c r="C288" s="17" t="str">
        <f t="shared" si="30"/>
        <v/>
      </c>
      <c r="D288" s="18" t="str">
        <f t="shared" si="27"/>
        <v/>
      </c>
      <c r="E288" t="str">
        <f t="shared" si="28"/>
        <v/>
      </c>
      <c r="F288" s="23" t="str">
        <f ca="1">IF(A288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288" s="19" t="str">
        <f>IF(A288="","",C288/(1+F288*$B$6/360)^(COUNT(A$16:A288)-($B$6-$D$16)/$B$6))</f>
        <v/>
      </c>
      <c r="H288" t="str">
        <f t="shared" si="29"/>
        <v/>
      </c>
    </row>
    <row r="289" spans="1:8" x14ac:dyDescent="0.2">
      <c r="A289" s="12" t="str">
        <f t="shared" si="31"/>
        <v/>
      </c>
      <c r="B289" t="str">
        <f t="shared" si="26"/>
        <v/>
      </c>
      <c r="C289" s="17" t="str">
        <f t="shared" si="30"/>
        <v/>
      </c>
      <c r="D289" s="18" t="str">
        <f t="shared" si="27"/>
        <v/>
      </c>
      <c r="E289" t="str">
        <f t="shared" si="28"/>
        <v/>
      </c>
      <c r="F289" s="23" t="str">
        <f ca="1">IF(A289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289" s="19" t="str">
        <f>IF(A289="","",C289/(1+F289*$B$6/360)^(COUNT(A$16:A289)-($B$6-$D$16)/$B$6))</f>
        <v/>
      </c>
      <c r="H289" t="str">
        <f t="shared" si="29"/>
        <v/>
      </c>
    </row>
    <row r="290" spans="1:8" x14ac:dyDescent="0.2">
      <c r="A290" s="12" t="str">
        <f t="shared" si="31"/>
        <v/>
      </c>
      <c r="B290" t="str">
        <f t="shared" si="26"/>
        <v/>
      </c>
      <c r="C290" s="17" t="str">
        <f t="shared" si="30"/>
        <v/>
      </c>
      <c r="D290" s="18" t="str">
        <f t="shared" si="27"/>
        <v/>
      </c>
      <c r="E290" t="str">
        <f t="shared" si="28"/>
        <v/>
      </c>
      <c r="F290" s="23" t="str">
        <f ca="1">IF(A290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290" s="19" t="str">
        <f>IF(A290="","",C290/(1+F290*$B$6/360)^(COUNT(A$16:A290)-($B$6-$D$16)/$B$6))</f>
        <v/>
      </c>
      <c r="H290" t="str">
        <f t="shared" si="29"/>
        <v/>
      </c>
    </row>
    <row r="291" spans="1:8" x14ac:dyDescent="0.2">
      <c r="A291" s="12" t="str">
        <f t="shared" si="31"/>
        <v/>
      </c>
      <c r="B291" t="str">
        <f t="shared" si="26"/>
        <v/>
      </c>
      <c r="C291" s="17" t="str">
        <f t="shared" si="30"/>
        <v/>
      </c>
      <c r="D291" s="18" t="str">
        <f t="shared" si="27"/>
        <v/>
      </c>
      <c r="E291" t="str">
        <f t="shared" si="28"/>
        <v/>
      </c>
      <c r="F291" s="23" t="str">
        <f ca="1">IF(A291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291" s="19" t="str">
        <f>IF(A291="","",C291/(1+F291*$B$6/360)^(COUNT(A$16:A291)-($B$6-$D$16)/$B$6))</f>
        <v/>
      </c>
      <c r="H291" t="str">
        <f t="shared" si="29"/>
        <v/>
      </c>
    </row>
    <row r="292" spans="1:8" x14ac:dyDescent="0.2">
      <c r="A292" s="12" t="str">
        <f t="shared" si="31"/>
        <v/>
      </c>
      <c r="B292" t="str">
        <f t="shared" si="26"/>
        <v/>
      </c>
      <c r="C292" s="17" t="str">
        <f t="shared" si="30"/>
        <v/>
      </c>
      <c r="D292" s="18" t="str">
        <f t="shared" si="27"/>
        <v/>
      </c>
      <c r="E292" t="str">
        <f t="shared" si="28"/>
        <v/>
      </c>
      <c r="F292" s="23" t="str">
        <f ca="1">IF(A292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292" s="19" t="str">
        <f>IF(A292="","",C292/(1+F292*$B$6/360)^(COUNT(A$16:A292)-($B$6-$D$16)/$B$6))</f>
        <v/>
      </c>
      <c r="H292" t="str">
        <f t="shared" si="29"/>
        <v/>
      </c>
    </row>
    <row r="293" spans="1:8" x14ac:dyDescent="0.2">
      <c r="A293" s="12" t="str">
        <f t="shared" si="31"/>
        <v/>
      </c>
      <c r="B293" t="str">
        <f t="shared" si="26"/>
        <v/>
      </c>
      <c r="C293" s="17" t="str">
        <f t="shared" si="30"/>
        <v/>
      </c>
      <c r="D293" s="18" t="str">
        <f t="shared" si="27"/>
        <v/>
      </c>
      <c r="E293" t="str">
        <f t="shared" si="28"/>
        <v/>
      </c>
      <c r="F293" s="23" t="str">
        <f ca="1">IF(A293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293" s="19" t="str">
        <f>IF(A293="","",C293/(1+F293*$B$6/360)^(COUNT(A$16:A293)-($B$6-$D$16)/$B$6))</f>
        <v/>
      </c>
      <c r="H293" t="str">
        <f t="shared" si="29"/>
        <v/>
      </c>
    </row>
    <row r="294" spans="1:8" x14ac:dyDescent="0.2">
      <c r="A294" s="12" t="str">
        <f t="shared" si="31"/>
        <v/>
      </c>
      <c r="B294" t="str">
        <f t="shared" si="26"/>
        <v/>
      </c>
      <c r="C294" s="17" t="str">
        <f t="shared" si="30"/>
        <v/>
      </c>
      <c r="D294" s="18" t="str">
        <f t="shared" si="27"/>
        <v/>
      </c>
      <c r="E294" t="str">
        <f t="shared" si="28"/>
        <v/>
      </c>
      <c r="F294" s="23" t="str">
        <f ca="1">IF(A294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294" s="19" t="str">
        <f>IF(A294="","",C294/(1+F294*$B$6/360)^(COUNT(A$16:A294)-($B$6-$D$16)/$B$6))</f>
        <v/>
      </c>
      <c r="H294" t="str">
        <f t="shared" si="29"/>
        <v/>
      </c>
    </row>
    <row r="295" spans="1:8" x14ac:dyDescent="0.2">
      <c r="A295" s="12" t="str">
        <f t="shared" si="31"/>
        <v/>
      </c>
      <c r="B295" t="str">
        <f t="shared" si="26"/>
        <v/>
      </c>
      <c r="C295" s="17" t="str">
        <f t="shared" si="30"/>
        <v/>
      </c>
      <c r="D295" s="18" t="str">
        <f t="shared" si="27"/>
        <v/>
      </c>
      <c r="E295" t="str">
        <f t="shared" si="28"/>
        <v/>
      </c>
      <c r="F295" s="23" t="str">
        <f ca="1">IF(A295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295" s="19" t="str">
        <f>IF(A295="","",C295/(1+F295*$B$6/360)^(COUNT(A$16:A295)-($B$6-$D$16)/$B$6))</f>
        <v/>
      </c>
      <c r="H295" t="str">
        <f t="shared" si="29"/>
        <v/>
      </c>
    </row>
    <row r="296" spans="1:8" x14ac:dyDescent="0.2">
      <c r="A296" s="12" t="str">
        <f t="shared" si="31"/>
        <v/>
      </c>
      <c r="B296" t="str">
        <f t="shared" si="26"/>
        <v/>
      </c>
      <c r="C296" s="17" t="str">
        <f t="shared" si="30"/>
        <v/>
      </c>
      <c r="D296" s="18" t="str">
        <f t="shared" si="27"/>
        <v/>
      </c>
      <c r="E296" t="str">
        <f t="shared" si="28"/>
        <v/>
      </c>
      <c r="F296" s="23" t="str">
        <f ca="1">IF(A296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296" s="19" t="str">
        <f>IF(A296="","",C296/(1+F296*$B$6/360)^(COUNT(A$16:A296)-($B$6-$D$16)/$B$6))</f>
        <v/>
      </c>
      <c r="H296" t="str">
        <f t="shared" si="29"/>
        <v/>
      </c>
    </row>
    <row r="297" spans="1:8" x14ac:dyDescent="0.2">
      <c r="A297" s="12" t="str">
        <f t="shared" si="31"/>
        <v/>
      </c>
      <c r="B297" t="str">
        <f t="shared" si="26"/>
        <v/>
      </c>
      <c r="C297" s="17" t="str">
        <f t="shared" si="30"/>
        <v/>
      </c>
      <c r="D297" s="18" t="str">
        <f t="shared" si="27"/>
        <v/>
      </c>
      <c r="E297" t="str">
        <f t="shared" si="28"/>
        <v/>
      </c>
      <c r="F297" s="23" t="str">
        <f ca="1">IF(A297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297" s="19" t="str">
        <f>IF(A297="","",C297/(1+F297*$B$6/360)^(COUNT(A$16:A297)-($B$6-$D$16)/$B$6))</f>
        <v/>
      </c>
      <c r="H297" t="str">
        <f t="shared" si="29"/>
        <v/>
      </c>
    </row>
    <row r="298" spans="1:8" x14ac:dyDescent="0.2">
      <c r="A298" s="12" t="str">
        <f t="shared" si="31"/>
        <v/>
      </c>
      <c r="B298" t="str">
        <f t="shared" si="26"/>
        <v/>
      </c>
      <c r="C298" s="17" t="str">
        <f t="shared" si="30"/>
        <v/>
      </c>
      <c r="D298" s="18" t="str">
        <f t="shared" si="27"/>
        <v/>
      </c>
      <c r="E298" t="str">
        <f t="shared" si="28"/>
        <v/>
      </c>
      <c r="F298" s="23" t="str">
        <f ca="1">IF(A298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298" s="19" t="str">
        <f>IF(A298="","",C298/(1+F298*$B$6/360)^(COUNT(A$16:A298)-($B$6-$D$16)/$B$6))</f>
        <v/>
      </c>
      <c r="H298" t="str">
        <f t="shared" si="29"/>
        <v/>
      </c>
    </row>
    <row r="299" spans="1:8" x14ac:dyDescent="0.2">
      <c r="A299" s="12" t="str">
        <f t="shared" si="31"/>
        <v/>
      </c>
      <c r="B299" t="str">
        <f t="shared" si="26"/>
        <v/>
      </c>
      <c r="C299" s="17" t="str">
        <f t="shared" si="30"/>
        <v/>
      </c>
      <c r="D299" s="18" t="str">
        <f t="shared" si="27"/>
        <v/>
      </c>
      <c r="E299" t="str">
        <f t="shared" si="28"/>
        <v/>
      </c>
      <c r="F299" s="23" t="str">
        <f ca="1">IF(A299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299" s="19" t="str">
        <f>IF(A299="","",C299/(1+F299*$B$6/360)^(COUNT(A$16:A299)-($B$6-$D$16)/$B$6))</f>
        <v/>
      </c>
      <c r="H299" t="str">
        <f t="shared" si="29"/>
        <v/>
      </c>
    </row>
    <row r="300" spans="1:8" x14ac:dyDescent="0.2">
      <c r="A300" s="12" t="str">
        <f t="shared" si="31"/>
        <v/>
      </c>
      <c r="B300" t="str">
        <f t="shared" si="26"/>
        <v/>
      </c>
      <c r="C300" s="17" t="str">
        <f t="shared" si="30"/>
        <v/>
      </c>
      <c r="D300" s="18" t="str">
        <f t="shared" si="27"/>
        <v/>
      </c>
      <c r="E300" t="str">
        <f t="shared" si="28"/>
        <v/>
      </c>
      <c r="F300" s="23" t="str">
        <f ca="1">IF(A300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300" s="19" t="str">
        <f>IF(A300="","",C300/(1+F300*$B$6/360)^(COUNT(A$16:A300)-($B$6-$D$16)/$B$6))</f>
        <v/>
      </c>
      <c r="H300" t="str">
        <f t="shared" si="29"/>
        <v/>
      </c>
    </row>
    <row r="301" spans="1:8" x14ac:dyDescent="0.2">
      <c r="A301" s="12" t="str">
        <f t="shared" si="31"/>
        <v/>
      </c>
      <c r="B301" t="str">
        <f t="shared" si="26"/>
        <v/>
      </c>
      <c r="C301" s="17" t="str">
        <f t="shared" si="30"/>
        <v/>
      </c>
      <c r="D301" s="18" t="str">
        <f t="shared" si="27"/>
        <v/>
      </c>
      <c r="E301" t="str">
        <f t="shared" si="28"/>
        <v/>
      </c>
      <c r="F301" s="23" t="str">
        <f ca="1">IF(A301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301" s="19" t="str">
        <f>IF(A301="","",C301/(1+F301*$B$6/360)^(COUNT(A$16:A301)-($B$6-$D$16)/$B$6))</f>
        <v/>
      </c>
      <c r="H301" t="str">
        <f t="shared" si="29"/>
        <v/>
      </c>
    </row>
    <row r="302" spans="1:8" x14ac:dyDescent="0.2">
      <c r="A302" s="12" t="str">
        <f t="shared" si="31"/>
        <v/>
      </c>
      <c r="B302" t="str">
        <f t="shared" si="26"/>
        <v/>
      </c>
      <c r="C302" s="17" t="str">
        <f t="shared" si="30"/>
        <v/>
      </c>
      <c r="D302" s="18" t="str">
        <f t="shared" si="27"/>
        <v/>
      </c>
      <c r="E302" t="str">
        <f t="shared" si="28"/>
        <v/>
      </c>
      <c r="F302" s="23" t="str">
        <f ca="1">IF(A302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302" s="19" t="str">
        <f>IF(A302="","",C302/(1+F302*$B$6/360)^(COUNT(A$16:A302)-($B$6-$D$16)/$B$6))</f>
        <v/>
      </c>
      <c r="H302" t="str">
        <f t="shared" si="29"/>
        <v/>
      </c>
    </row>
    <row r="303" spans="1:8" x14ac:dyDescent="0.2">
      <c r="A303" s="12" t="str">
        <f t="shared" si="31"/>
        <v/>
      </c>
      <c r="B303" t="str">
        <f t="shared" si="26"/>
        <v/>
      </c>
      <c r="C303" s="17" t="str">
        <f t="shared" si="30"/>
        <v/>
      </c>
      <c r="D303" s="18" t="str">
        <f t="shared" si="27"/>
        <v/>
      </c>
      <c r="E303" t="str">
        <f t="shared" si="28"/>
        <v/>
      </c>
      <c r="F303" s="23" t="str">
        <f ca="1">IF(A303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303" s="19" t="str">
        <f>IF(A303="","",C303/(1+F303*$B$6/360)^(COUNT(A$16:A303)-($B$6-$D$16)/$B$6))</f>
        <v/>
      </c>
      <c r="H303" t="str">
        <f t="shared" si="29"/>
        <v/>
      </c>
    </row>
    <row r="304" spans="1:8" x14ac:dyDescent="0.2">
      <c r="A304" s="12" t="str">
        <f t="shared" si="31"/>
        <v/>
      </c>
      <c r="B304" t="str">
        <f t="shared" si="26"/>
        <v/>
      </c>
      <c r="C304" s="17" t="str">
        <f t="shared" si="30"/>
        <v/>
      </c>
      <c r="D304" s="18" t="str">
        <f t="shared" si="27"/>
        <v/>
      </c>
      <c r="E304" t="str">
        <f t="shared" si="28"/>
        <v/>
      </c>
      <c r="F304" s="23" t="str">
        <f ca="1">IF(A304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304" s="19" t="str">
        <f>IF(A304="","",C304/(1+F304*$B$6/360)^(COUNT(A$16:A304)-($B$6-$D$16)/$B$6))</f>
        <v/>
      </c>
      <c r="H304" t="str">
        <f t="shared" si="29"/>
        <v/>
      </c>
    </row>
    <row r="305" spans="1:8" x14ac:dyDescent="0.2">
      <c r="A305" s="12" t="str">
        <f t="shared" si="31"/>
        <v/>
      </c>
      <c r="B305" t="str">
        <f t="shared" si="26"/>
        <v/>
      </c>
      <c r="C305" s="17" t="str">
        <f t="shared" si="30"/>
        <v/>
      </c>
      <c r="D305" s="18" t="str">
        <f t="shared" si="27"/>
        <v/>
      </c>
      <c r="E305" t="str">
        <f t="shared" si="28"/>
        <v/>
      </c>
      <c r="F305" s="23" t="str">
        <f ca="1">IF(A305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305" s="19" t="str">
        <f>IF(A305="","",C305/(1+F305*$B$6/360)^(COUNT(A$16:A305)-($B$6-$D$16)/$B$6))</f>
        <v/>
      </c>
      <c r="H305" t="str">
        <f t="shared" si="29"/>
        <v/>
      </c>
    </row>
    <row r="306" spans="1:8" x14ac:dyDescent="0.2">
      <c r="A306" s="12" t="str">
        <f t="shared" si="31"/>
        <v/>
      </c>
      <c r="B306" t="str">
        <f t="shared" si="26"/>
        <v/>
      </c>
      <c r="C306" s="17" t="str">
        <f t="shared" si="30"/>
        <v/>
      </c>
      <c r="D306" s="18" t="str">
        <f t="shared" si="27"/>
        <v/>
      </c>
      <c r="E306" t="str">
        <f t="shared" si="28"/>
        <v/>
      </c>
      <c r="F306" s="23" t="str">
        <f ca="1">IF(A306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306" s="19" t="str">
        <f>IF(A306="","",C306/(1+F306*$B$6/360)^(COUNT(A$16:A306)-($B$6-$D$16)/$B$6))</f>
        <v/>
      </c>
      <c r="H306" t="str">
        <f t="shared" si="29"/>
        <v/>
      </c>
    </row>
    <row r="307" spans="1:8" x14ac:dyDescent="0.2">
      <c r="A307" s="12" t="str">
        <f t="shared" si="31"/>
        <v/>
      </c>
      <c r="B307" t="str">
        <f t="shared" si="26"/>
        <v/>
      </c>
      <c r="C307" s="17" t="str">
        <f t="shared" si="30"/>
        <v/>
      </c>
      <c r="D307" s="18" t="str">
        <f t="shared" si="27"/>
        <v/>
      </c>
      <c r="E307" t="str">
        <f t="shared" si="28"/>
        <v/>
      </c>
      <c r="F307" s="23" t="str">
        <f ca="1">IF(A307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307" s="19" t="str">
        <f>IF(A307="","",C307/(1+F307*$B$6/360)^(COUNT(A$16:A307)-($B$6-$D$16)/$B$6))</f>
        <v/>
      </c>
      <c r="H307" t="str">
        <f t="shared" si="29"/>
        <v/>
      </c>
    </row>
    <row r="308" spans="1:8" x14ac:dyDescent="0.2">
      <c r="A308" s="12" t="str">
        <f t="shared" si="31"/>
        <v/>
      </c>
      <c r="B308" t="str">
        <f t="shared" si="26"/>
        <v/>
      </c>
      <c r="C308" s="17" t="str">
        <f t="shared" si="30"/>
        <v/>
      </c>
      <c r="D308" s="18" t="str">
        <f t="shared" si="27"/>
        <v/>
      </c>
      <c r="E308" t="str">
        <f t="shared" si="28"/>
        <v/>
      </c>
      <c r="F308" s="23" t="str">
        <f ca="1">IF(A308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308" s="19" t="str">
        <f>IF(A308="","",C308/(1+F308*$B$6/360)^(COUNT(A$16:A308)-($B$6-$D$16)/$B$6))</f>
        <v/>
      </c>
      <c r="H308" t="str">
        <f t="shared" si="29"/>
        <v/>
      </c>
    </row>
    <row r="309" spans="1:8" x14ac:dyDescent="0.2">
      <c r="A309" s="12" t="str">
        <f t="shared" si="31"/>
        <v/>
      </c>
      <c r="B309" t="str">
        <f t="shared" si="26"/>
        <v/>
      </c>
      <c r="C309" s="17" t="str">
        <f t="shared" si="30"/>
        <v/>
      </c>
      <c r="D309" s="18" t="str">
        <f t="shared" si="27"/>
        <v/>
      </c>
      <c r="E309" t="str">
        <f t="shared" si="28"/>
        <v/>
      </c>
      <c r="F309" s="23" t="str">
        <f ca="1">IF(A309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309" s="19" t="str">
        <f>IF(A309="","",C309/(1+F309*$B$6/360)^(COUNT(A$16:A309)-($B$6-$D$16)/$B$6))</f>
        <v/>
      </c>
      <c r="H309" t="str">
        <f t="shared" si="29"/>
        <v/>
      </c>
    </row>
    <row r="310" spans="1:8" x14ac:dyDescent="0.2">
      <c r="A310" s="12" t="str">
        <f t="shared" si="31"/>
        <v/>
      </c>
      <c r="B310" t="str">
        <f t="shared" si="26"/>
        <v/>
      </c>
      <c r="C310" s="17" t="str">
        <f t="shared" si="30"/>
        <v/>
      </c>
      <c r="D310" s="18" t="str">
        <f t="shared" si="27"/>
        <v/>
      </c>
      <c r="E310" t="str">
        <f t="shared" si="28"/>
        <v/>
      </c>
      <c r="F310" s="23" t="str">
        <f ca="1">IF(A310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310" s="19" t="str">
        <f>IF(A310="","",C310/(1+F310*$B$6/360)^(COUNT(A$16:A310)-($B$6-$D$16)/$B$6))</f>
        <v/>
      </c>
      <c r="H310" t="str">
        <f t="shared" si="29"/>
        <v/>
      </c>
    </row>
    <row r="311" spans="1:8" x14ac:dyDescent="0.2">
      <c r="A311" s="12" t="str">
        <f t="shared" si="31"/>
        <v/>
      </c>
      <c r="B311" t="str">
        <f t="shared" si="26"/>
        <v/>
      </c>
      <c r="C311" s="17" t="str">
        <f t="shared" si="30"/>
        <v/>
      </c>
      <c r="D311" s="18" t="str">
        <f t="shared" si="27"/>
        <v/>
      </c>
      <c r="E311" t="str">
        <f t="shared" si="28"/>
        <v/>
      </c>
      <c r="F311" s="23" t="str">
        <f ca="1">IF(A311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311" s="19" t="str">
        <f>IF(A311="","",C311/(1+F311*$B$6/360)^(COUNT(A$16:A311)-($B$6-$D$16)/$B$6))</f>
        <v/>
      </c>
      <c r="H311" t="str">
        <f t="shared" si="29"/>
        <v/>
      </c>
    </row>
    <row r="312" spans="1:8" x14ac:dyDescent="0.2">
      <c r="A312" s="12" t="str">
        <f t="shared" si="31"/>
        <v/>
      </c>
      <c r="B312" t="str">
        <f t="shared" si="26"/>
        <v/>
      </c>
      <c r="C312" s="17" t="str">
        <f t="shared" si="30"/>
        <v/>
      </c>
      <c r="D312" s="18" t="str">
        <f t="shared" si="27"/>
        <v/>
      </c>
      <c r="E312" t="str">
        <f t="shared" si="28"/>
        <v/>
      </c>
      <c r="F312" s="23" t="str">
        <f ca="1">IF(A312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312" s="19" t="str">
        <f>IF(A312="","",C312/(1+F312*$B$6/360)^(COUNT(A$16:A312)-($B$6-$D$16)/$B$6))</f>
        <v/>
      </c>
      <c r="H312" t="str">
        <f t="shared" si="29"/>
        <v/>
      </c>
    </row>
    <row r="313" spans="1:8" x14ac:dyDescent="0.2">
      <c r="A313" s="12" t="str">
        <f t="shared" si="31"/>
        <v/>
      </c>
      <c r="B313" t="str">
        <f t="shared" si="26"/>
        <v/>
      </c>
      <c r="C313" s="17" t="str">
        <f t="shared" si="30"/>
        <v/>
      </c>
      <c r="D313" s="18" t="str">
        <f t="shared" si="27"/>
        <v/>
      </c>
      <c r="E313" t="str">
        <f t="shared" si="28"/>
        <v/>
      </c>
      <c r="F313" s="23" t="str">
        <f ca="1">IF(A313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313" s="19" t="str">
        <f>IF(A313="","",C313/(1+F313*$B$6/360)^(COUNT(A$16:A313)-($B$6-$D$16)/$B$6))</f>
        <v/>
      </c>
      <c r="H313" t="str">
        <f t="shared" si="29"/>
        <v/>
      </c>
    </row>
    <row r="314" spans="1:8" x14ac:dyDescent="0.2">
      <c r="A314" s="12" t="str">
        <f t="shared" si="31"/>
        <v/>
      </c>
      <c r="B314" t="str">
        <f t="shared" si="26"/>
        <v/>
      </c>
      <c r="C314" s="17" t="str">
        <f t="shared" si="30"/>
        <v/>
      </c>
      <c r="D314" s="18" t="str">
        <f t="shared" si="27"/>
        <v/>
      </c>
      <c r="E314" t="str">
        <f t="shared" si="28"/>
        <v/>
      </c>
      <c r="F314" s="23" t="str">
        <f ca="1">IF(A314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314" s="19" t="str">
        <f>IF(A314="","",C314/(1+F314*$B$6/360)^(COUNT(A$16:A314)-($B$6-$D$16)/$B$6))</f>
        <v/>
      </c>
      <c r="H314" t="str">
        <f t="shared" si="29"/>
        <v/>
      </c>
    </row>
    <row r="315" spans="1:8" x14ac:dyDescent="0.2">
      <c r="A315" s="12" t="str">
        <f t="shared" si="31"/>
        <v/>
      </c>
      <c r="B315" t="str">
        <f t="shared" si="26"/>
        <v/>
      </c>
      <c r="C315" s="17" t="str">
        <f t="shared" si="30"/>
        <v/>
      </c>
      <c r="D315" s="18" t="str">
        <f t="shared" si="27"/>
        <v/>
      </c>
      <c r="E315" t="str">
        <f t="shared" si="28"/>
        <v/>
      </c>
      <c r="F315" s="23" t="str">
        <f ca="1">IF(A315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315" s="19" t="str">
        <f>IF(A315="","",C315/(1+F315*$B$6/360)^(COUNT(A$16:A315)-($B$6-$D$16)/$B$6))</f>
        <v/>
      </c>
      <c r="H315" t="str">
        <f t="shared" si="29"/>
        <v/>
      </c>
    </row>
    <row r="316" spans="1:8" x14ac:dyDescent="0.2">
      <c r="A316" s="12" t="str">
        <f t="shared" si="31"/>
        <v/>
      </c>
      <c r="B316" t="str">
        <f t="shared" si="26"/>
        <v/>
      </c>
      <c r="C316" s="17" t="str">
        <f t="shared" si="30"/>
        <v/>
      </c>
      <c r="D316" s="18" t="str">
        <f t="shared" si="27"/>
        <v/>
      </c>
      <c r="E316" t="str">
        <f t="shared" si="28"/>
        <v/>
      </c>
      <c r="F316" s="23" t="str">
        <f ca="1">IF(A316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316" s="19" t="str">
        <f>IF(A316="","",C316/(1+F316*$B$6/360)^(COUNT(A$16:A316)-($B$6-$D$16)/$B$6))</f>
        <v/>
      </c>
      <c r="H316" t="str">
        <f t="shared" si="29"/>
        <v/>
      </c>
    </row>
    <row r="317" spans="1:8" x14ac:dyDescent="0.2">
      <c r="A317" s="12" t="str">
        <f t="shared" si="31"/>
        <v/>
      </c>
      <c r="B317" t="str">
        <f t="shared" si="26"/>
        <v/>
      </c>
      <c r="C317" s="17" t="str">
        <f t="shared" si="30"/>
        <v/>
      </c>
      <c r="D317" s="18" t="str">
        <f t="shared" si="27"/>
        <v/>
      </c>
      <c r="E317" t="str">
        <f t="shared" si="28"/>
        <v/>
      </c>
      <c r="F317" s="23" t="str">
        <f ca="1">IF(A317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317" s="19" t="str">
        <f>IF(A317="","",C317/(1+F317*$B$6/360)^(COUNT(A$16:A317)-($B$6-$D$16)/$B$6))</f>
        <v/>
      </c>
      <c r="H317" t="str">
        <f t="shared" si="29"/>
        <v/>
      </c>
    </row>
    <row r="318" spans="1:8" x14ac:dyDescent="0.2">
      <c r="A318" s="12" t="str">
        <f t="shared" si="31"/>
        <v/>
      </c>
      <c r="B318" t="str">
        <f t="shared" si="26"/>
        <v/>
      </c>
      <c r="C318" s="17" t="str">
        <f t="shared" si="30"/>
        <v/>
      </c>
      <c r="D318" s="18" t="str">
        <f t="shared" si="27"/>
        <v/>
      </c>
      <c r="E318" t="str">
        <f t="shared" si="28"/>
        <v/>
      </c>
      <c r="F318" s="23" t="str">
        <f ca="1">IF(A318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318" s="19" t="str">
        <f>IF(A318="","",C318/(1+F318*$B$6/360)^(COUNT(A$16:A318)-($B$6-$D$16)/$B$6))</f>
        <v/>
      </c>
      <c r="H318" t="str">
        <f t="shared" si="29"/>
        <v/>
      </c>
    </row>
    <row r="319" spans="1:8" x14ac:dyDescent="0.2">
      <c r="A319" s="12" t="str">
        <f t="shared" si="31"/>
        <v/>
      </c>
      <c r="B319" t="str">
        <f t="shared" si="26"/>
        <v/>
      </c>
      <c r="C319" s="17" t="str">
        <f t="shared" si="30"/>
        <v/>
      </c>
      <c r="D319" s="18" t="str">
        <f t="shared" si="27"/>
        <v/>
      </c>
      <c r="E319" t="str">
        <f t="shared" si="28"/>
        <v/>
      </c>
      <c r="F319" s="23" t="str">
        <f ca="1">IF(A319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319" s="19" t="str">
        <f>IF(A319="","",C319/(1+F319*$B$6/360)^(COUNT(A$16:A319)-($B$6-$D$16)/$B$6))</f>
        <v/>
      </c>
      <c r="H319" t="str">
        <f t="shared" si="29"/>
        <v/>
      </c>
    </row>
    <row r="320" spans="1:8" x14ac:dyDescent="0.2">
      <c r="A320" s="12" t="str">
        <f t="shared" si="31"/>
        <v/>
      </c>
      <c r="B320" t="str">
        <f t="shared" si="26"/>
        <v/>
      </c>
      <c r="C320" s="17" t="str">
        <f t="shared" si="30"/>
        <v/>
      </c>
      <c r="D320" s="18" t="str">
        <f t="shared" si="27"/>
        <v/>
      </c>
      <c r="E320" t="str">
        <f t="shared" si="28"/>
        <v/>
      </c>
      <c r="F320" s="23" t="str">
        <f ca="1">IF(A320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320" s="19" t="str">
        <f>IF(A320="","",C320/(1+F320*$B$6/360)^(COUNT(A$16:A320)-($B$6-$D$16)/$B$6))</f>
        <v/>
      </c>
      <c r="H320" t="str">
        <f t="shared" si="29"/>
        <v/>
      </c>
    </row>
    <row r="321" spans="1:8" x14ac:dyDescent="0.2">
      <c r="A321" s="12" t="str">
        <f t="shared" si="31"/>
        <v/>
      </c>
      <c r="B321" t="str">
        <f t="shared" si="26"/>
        <v/>
      </c>
      <c r="C321" s="17" t="str">
        <f t="shared" si="30"/>
        <v/>
      </c>
      <c r="D321" s="18" t="str">
        <f t="shared" si="27"/>
        <v/>
      </c>
      <c r="E321" t="str">
        <f t="shared" si="28"/>
        <v/>
      </c>
      <c r="F321" s="23" t="str">
        <f ca="1">IF(A321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321" s="19" t="str">
        <f>IF(A321="","",C321/(1+F321*$B$6/360)^(COUNT(A$16:A321)-($B$6-$D$16)/$B$6))</f>
        <v/>
      </c>
      <c r="H321" t="str">
        <f t="shared" si="29"/>
        <v/>
      </c>
    </row>
    <row r="322" spans="1:8" x14ac:dyDescent="0.2">
      <c r="A322" s="12" t="str">
        <f t="shared" si="31"/>
        <v/>
      </c>
      <c r="B322" t="str">
        <f t="shared" si="26"/>
        <v/>
      </c>
      <c r="C322" s="17" t="str">
        <f t="shared" si="30"/>
        <v/>
      </c>
      <c r="D322" s="18" t="str">
        <f t="shared" si="27"/>
        <v/>
      </c>
      <c r="E322" t="str">
        <f t="shared" si="28"/>
        <v/>
      </c>
      <c r="F322" s="23" t="str">
        <f ca="1">IF(A322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322" s="19" t="str">
        <f>IF(A322="","",C322/(1+F322*$B$6/360)^(COUNT(A$16:A322)-($B$6-$D$16)/$B$6))</f>
        <v/>
      </c>
      <c r="H322" t="str">
        <f t="shared" si="29"/>
        <v/>
      </c>
    </row>
    <row r="323" spans="1:8" x14ac:dyDescent="0.2">
      <c r="A323" s="12" t="str">
        <f t="shared" si="31"/>
        <v/>
      </c>
      <c r="B323" t="str">
        <f t="shared" si="26"/>
        <v/>
      </c>
      <c r="C323" s="17" t="str">
        <f t="shared" si="30"/>
        <v/>
      </c>
      <c r="D323" s="18" t="str">
        <f t="shared" si="27"/>
        <v/>
      </c>
      <c r="E323" t="str">
        <f t="shared" si="28"/>
        <v/>
      </c>
      <c r="F323" s="23" t="str">
        <f ca="1">IF(A323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323" s="19" t="str">
        <f>IF(A323="","",C323/(1+F323*$B$6/360)^(COUNT(A$16:A323)-($B$6-$D$16)/$B$6))</f>
        <v/>
      </c>
      <c r="H323" t="str">
        <f t="shared" si="29"/>
        <v/>
      </c>
    </row>
    <row r="324" spans="1:8" x14ac:dyDescent="0.2">
      <c r="A324" s="12" t="str">
        <f t="shared" si="31"/>
        <v/>
      </c>
      <c r="B324" t="str">
        <f t="shared" si="26"/>
        <v/>
      </c>
      <c r="C324" s="17" t="str">
        <f t="shared" si="30"/>
        <v/>
      </c>
      <c r="D324" s="18" t="str">
        <f t="shared" si="27"/>
        <v/>
      </c>
      <c r="E324" t="str">
        <f t="shared" si="28"/>
        <v/>
      </c>
      <c r="F324" s="23" t="str">
        <f ca="1">IF(A324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324" s="19" t="str">
        <f>IF(A324="","",C324/(1+F324*$B$6/360)^(COUNT(A$16:A324)-($B$6-$D$16)/$B$6))</f>
        <v/>
      </c>
      <c r="H324" t="str">
        <f t="shared" si="29"/>
        <v/>
      </c>
    </row>
    <row r="325" spans="1:8" x14ac:dyDescent="0.2">
      <c r="A325" s="12" t="str">
        <f t="shared" si="31"/>
        <v/>
      </c>
      <c r="B325" t="str">
        <f t="shared" si="26"/>
        <v/>
      </c>
      <c r="C325" s="17" t="str">
        <f t="shared" si="30"/>
        <v/>
      </c>
      <c r="D325" s="18" t="str">
        <f t="shared" si="27"/>
        <v/>
      </c>
      <c r="E325" t="str">
        <f t="shared" si="28"/>
        <v/>
      </c>
      <c r="F325" s="23" t="str">
        <f ca="1">IF(A325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325" s="19" t="str">
        <f>IF(A325="","",C325/(1+F325*$B$6/360)^(COUNT(A$16:A325)-($B$6-$D$16)/$B$6))</f>
        <v/>
      </c>
      <c r="H325" t="str">
        <f t="shared" si="29"/>
        <v/>
      </c>
    </row>
    <row r="326" spans="1:8" x14ac:dyDescent="0.2">
      <c r="A326" s="12" t="str">
        <f t="shared" si="31"/>
        <v/>
      </c>
      <c r="B326" t="str">
        <f t="shared" si="26"/>
        <v/>
      </c>
      <c r="C326" s="17" t="str">
        <f t="shared" si="30"/>
        <v/>
      </c>
      <c r="D326" s="18" t="str">
        <f t="shared" si="27"/>
        <v/>
      </c>
      <c r="E326" t="str">
        <f t="shared" si="28"/>
        <v/>
      </c>
      <c r="F326" s="23" t="str">
        <f ca="1">IF(A326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326" s="19" t="str">
        <f>IF(A326="","",C326/(1+F326*$B$6/360)^(COUNT(A$16:A326)-($B$6-$D$16)/$B$6))</f>
        <v/>
      </c>
      <c r="H326" t="str">
        <f t="shared" si="29"/>
        <v/>
      </c>
    </row>
    <row r="327" spans="1:8" x14ac:dyDescent="0.2">
      <c r="A327" s="12" t="str">
        <f t="shared" si="31"/>
        <v/>
      </c>
      <c r="B327" t="str">
        <f t="shared" si="26"/>
        <v/>
      </c>
      <c r="C327" s="17" t="str">
        <f t="shared" si="30"/>
        <v/>
      </c>
      <c r="D327" s="18" t="str">
        <f t="shared" si="27"/>
        <v/>
      </c>
      <c r="E327" t="str">
        <f t="shared" si="28"/>
        <v/>
      </c>
      <c r="F327" s="23" t="str">
        <f ca="1">IF(A327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327" s="19" t="str">
        <f>IF(A327="","",C327/(1+F327*$B$6/360)^(COUNT(A$16:A327)-($B$6-$D$16)/$B$6))</f>
        <v/>
      </c>
      <c r="H327" t="str">
        <f t="shared" si="29"/>
        <v/>
      </c>
    </row>
    <row r="328" spans="1:8" x14ac:dyDescent="0.2">
      <c r="A328" s="12" t="str">
        <f t="shared" si="31"/>
        <v/>
      </c>
      <c r="B328" t="str">
        <f t="shared" si="26"/>
        <v/>
      </c>
      <c r="C328" s="17" t="str">
        <f t="shared" si="30"/>
        <v/>
      </c>
      <c r="D328" s="18" t="str">
        <f t="shared" si="27"/>
        <v/>
      </c>
      <c r="E328" t="str">
        <f t="shared" si="28"/>
        <v/>
      </c>
      <c r="F328" s="23" t="str">
        <f ca="1">IF(A328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328" s="19" t="str">
        <f>IF(A328="","",C328/(1+F328*$B$6/360)^(COUNT(A$16:A328)-($B$6-$D$16)/$B$6))</f>
        <v/>
      </c>
      <c r="H328" t="str">
        <f t="shared" si="29"/>
        <v/>
      </c>
    </row>
    <row r="329" spans="1:8" x14ac:dyDescent="0.2">
      <c r="A329" s="12" t="str">
        <f t="shared" si="31"/>
        <v/>
      </c>
      <c r="B329" t="str">
        <f t="shared" si="26"/>
        <v/>
      </c>
      <c r="C329" s="17" t="str">
        <f t="shared" si="30"/>
        <v/>
      </c>
      <c r="D329" s="18" t="str">
        <f t="shared" si="27"/>
        <v/>
      </c>
      <c r="E329" t="str">
        <f t="shared" si="28"/>
        <v/>
      </c>
      <c r="F329" s="23" t="str">
        <f ca="1">IF(A329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329" s="19" t="str">
        <f>IF(A329="","",C329/(1+F329*$B$6/360)^(COUNT(A$16:A329)-($B$6-$D$16)/$B$6))</f>
        <v/>
      </c>
      <c r="H329" t="str">
        <f t="shared" si="29"/>
        <v/>
      </c>
    </row>
    <row r="330" spans="1:8" x14ac:dyDescent="0.2">
      <c r="A330" s="12" t="str">
        <f t="shared" si="31"/>
        <v/>
      </c>
      <c r="B330" t="str">
        <f t="shared" si="26"/>
        <v/>
      </c>
      <c r="C330" s="17" t="str">
        <f t="shared" si="30"/>
        <v/>
      </c>
      <c r="D330" s="18" t="str">
        <f t="shared" si="27"/>
        <v/>
      </c>
      <c r="E330" t="str">
        <f t="shared" si="28"/>
        <v/>
      </c>
      <c r="F330" s="23" t="str">
        <f ca="1">IF(A330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330" s="19" t="str">
        <f>IF(A330="","",C330/(1+F330*$B$6/360)^(COUNT(A$16:A330)-($B$6-$D$16)/$B$6))</f>
        <v/>
      </c>
      <c r="H330" t="str">
        <f t="shared" si="29"/>
        <v/>
      </c>
    </row>
    <row r="331" spans="1:8" x14ac:dyDescent="0.2">
      <c r="A331" s="12" t="str">
        <f t="shared" si="31"/>
        <v/>
      </c>
      <c r="B331" t="str">
        <f t="shared" si="26"/>
        <v/>
      </c>
      <c r="C331" s="17" t="str">
        <f t="shared" si="30"/>
        <v/>
      </c>
      <c r="D331" s="18" t="str">
        <f t="shared" si="27"/>
        <v/>
      </c>
      <c r="E331" t="str">
        <f t="shared" si="28"/>
        <v/>
      </c>
      <c r="F331" s="23" t="str">
        <f ca="1">IF(A331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331" s="19" t="str">
        <f>IF(A331="","",C331/(1+F331*$B$6/360)^(COUNT(A$16:A331)-($B$6-$D$16)/$B$6))</f>
        <v/>
      </c>
      <c r="H331" t="str">
        <f t="shared" si="29"/>
        <v/>
      </c>
    </row>
    <row r="332" spans="1:8" x14ac:dyDescent="0.2">
      <c r="A332" s="12" t="str">
        <f t="shared" si="31"/>
        <v/>
      </c>
      <c r="B332" t="str">
        <f t="shared" si="26"/>
        <v/>
      </c>
      <c r="C332" s="17" t="str">
        <f t="shared" si="30"/>
        <v/>
      </c>
      <c r="D332" s="18" t="str">
        <f t="shared" si="27"/>
        <v/>
      </c>
      <c r="E332" t="str">
        <f t="shared" si="28"/>
        <v/>
      </c>
      <c r="F332" s="23" t="str">
        <f ca="1">IF(A332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332" s="19" t="str">
        <f>IF(A332="","",C332/(1+F332*$B$6/360)^(COUNT(A$16:A332)-($B$6-$D$16)/$B$6))</f>
        <v/>
      </c>
      <c r="H332" t="str">
        <f t="shared" si="29"/>
        <v/>
      </c>
    </row>
    <row r="333" spans="1:8" x14ac:dyDescent="0.2">
      <c r="A333" s="12" t="str">
        <f t="shared" si="31"/>
        <v/>
      </c>
      <c r="B333" t="str">
        <f t="shared" si="26"/>
        <v/>
      </c>
      <c r="C333" s="17" t="str">
        <f t="shared" si="30"/>
        <v/>
      </c>
      <c r="D333" s="18" t="str">
        <f t="shared" si="27"/>
        <v/>
      </c>
      <c r="E333" t="str">
        <f t="shared" si="28"/>
        <v/>
      </c>
      <c r="F333" s="23" t="str">
        <f ca="1">IF(A333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333" s="19" t="str">
        <f>IF(A333="","",C333/(1+F333*$B$6/360)^(COUNT(A$16:A333)-($B$6-$D$16)/$B$6))</f>
        <v/>
      </c>
      <c r="H333" t="str">
        <f t="shared" si="29"/>
        <v/>
      </c>
    </row>
    <row r="334" spans="1:8" x14ac:dyDescent="0.2">
      <c r="A334" s="12" t="str">
        <f t="shared" si="31"/>
        <v/>
      </c>
      <c r="B334" t="str">
        <f t="shared" si="26"/>
        <v/>
      </c>
      <c r="C334" s="17" t="str">
        <f t="shared" si="30"/>
        <v/>
      </c>
      <c r="D334" s="18" t="str">
        <f t="shared" si="27"/>
        <v/>
      </c>
      <c r="E334" t="str">
        <f t="shared" si="28"/>
        <v/>
      </c>
      <c r="F334" s="23" t="str">
        <f ca="1">IF(A334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334" s="19" t="str">
        <f>IF(A334="","",C334/(1+F334*$B$6/360)^(COUNT(A$16:A334)-($B$6-$D$16)/$B$6))</f>
        <v/>
      </c>
      <c r="H334" t="str">
        <f t="shared" si="29"/>
        <v/>
      </c>
    </row>
    <row r="335" spans="1:8" x14ac:dyDescent="0.2">
      <c r="A335" s="12" t="str">
        <f t="shared" si="31"/>
        <v/>
      </c>
      <c r="B335" t="str">
        <f t="shared" si="26"/>
        <v/>
      </c>
      <c r="C335" s="17" t="str">
        <f t="shared" si="30"/>
        <v/>
      </c>
      <c r="D335" s="18" t="str">
        <f t="shared" si="27"/>
        <v/>
      </c>
      <c r="E335" t="str">
        <f t="shared" si="28"/>
        <v/>
      </c>
      <c r="F335" s="23" t="str">
        <f ca="1">IF(A335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335" s="19" t="str">
        <f>IF(A335="","",C335/(1+F335*$B$6/360)^(COUNT(A$16:A335)-($B$6-$D$16)/$B$6))</f>
        <v/>
      </c>
      <c r="H335" t="str">
        <f t="shared" si="29"/>
        <v/>
      </c>
    </row>
    <row r="336" spans="1:8" x14ac:dyDescent="0.2">
      <c r="A336" s="12" t="str">
        <f t="shared" si="31"/>
        <v/>
      </c>
      <c r="B336" t="str">
        <f t="shared" si="26"/>
        <v/>
      </c>
      <c r="C336" s="17" t="str">
        <f t="shared" si="30"/>
        <v/>
      </c>
      <c r="D336" s="18" t="str">
        <f t="shared" si="27"/>
        <v/>
      </c>
      <c r="E336" t="str">
        <f t="shared" si="28"/>
        <v/>
      </c>
      <c r="F336" s="23" t="str">
        <f ca="1">IF(A336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336" s="19" t="str">
        <f>IF(A336="","",C336/(1+F336*$B$6/360)^(COUNT(A$16:A336)-($B$6-$D$16)/$B$6))</f>
        <v/>
      </c>
      <c r="H336" t="str">
        <f t="shared" si="29"/>
        <v/>
      </c>
    </row>
    <row r="337" spans="1:8" x14ac:dyDescent="0.2">
      <c r="A337" s="12" t="str">
        <f t="shared" si="31"/>
        <v/>
      </c>
      <c r="B337" t="str">
        <f t="shared" ref="B337:B400" si="32">IF(A337="","",$B$5)</f>
        <v/>
      </c>
      <c r="C337" s="17" t="str">
        <f t="shared" si="30"/>
        <v/>
      </c>
      <c r="D337" s="18" t="str">
        <f t="shared" ref="D337:D400" si="33">IF(A337="","",$B$6)</f>
        <v/>
      </c>
      <c r="E337" t="str">
        <f t="shared" ref="E337:E400" si="34">IF(A337="","",E336+D337)</f>
        <v/>
      </c>
      <c r="F337" s="23" t="str">
        <f ca="1">IF(A337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337" s="19" t="str">
        <f>IF(A337="","",C337/(1+F337*$B$6/360)^(COUNT(A$16:A337)-($B$6-$D$16)/$B$6))</f>
        <v/>
      </c>
      <c r="H337" t="str">
        <f t="shared" ref="H337:H400" si="35">IF(A337="","",C337/(1+F337*$B$6/360)^(E337/$B$6))</f>
        <v/>
      </c>
    </row>
    <row r="338" spans="1:8" x14ac:dyDescent="0.2">
      <c r="A338" s="12" t="str">
        <f t="shared" si="31"/>
        <v/>
      </c>
      <c r="B338" t="str">
        <f t="shared" si="32"/>
        <v/>
      </c>
      <c r="C338" s="17" t="str">
        <f t="shared" si="30"/>
        <v/>
      </c>
      <c r="D338" s="18" t="str">
        <f t="shared" si="33"/>
        <v/>
      </c>
      <c r="E338" t="str">
        <f t="shared" si="34"/>
        <v/>
      </c>
      <c r="F338" s="23" t="str">
        <f ca="1">IF(A338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338" s="19" t="str">
        <f>IF(A338="","",C338/(1+F338*$B$6/360)^(COUNT(A$16:A338)-($B$6-$D$16)/$B$6))</f>
        <v/>
      </c>
      <c r="H338" t="str">
        <f t="shared" si="35"/>
        <v/>
      </c>
    </row>
    <row r="339" spans="1:8" x14ac:dyDescent="0.2">
      <c r="A339" s="12" t="str">
        <f t="shared" si="31"/>
        <v/>
      </c>
      <c r="B339" t="str">
        <f t="shared" si="32"/>
        <v/>
      </c>
      <c r="C339" s="17" t="str">
        <f t="shared" si="30"/>
        <v/>
      </c>
      <c r="D339" s="18" t="str">
        <f t="shared" si="33"/>
        <v/>
      </c>
      <c r="E339" t="str">
        <f t="shared" si="34"/>
        <v/>
      </c>
      <c r="F339" s="23" t="str">
        <f ca="1">IF(A339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339" s="19" t="str">
        <f>IF(A339="","",C339/(1+F339*$B$6/360)^(COUNT(A$16:A339)-($B$6-$D$16)/$B$6))</f>
        <v/>
      </c>
      <c r="H339" t="str">
        <f t="shared" si="35"/>
        <v/>
      </c>
    </row>
    <row r="340" spans="1:8" x14ac:dyDescent="0.2">
      <c r="A340" s="12" t="str">
        <f t="shared" si="31"/>
        <v/>
      </c>
      <c r="B340" t="str">
        <f t="shared" si="32"/>
        <v/>
      </c>
      <c r="C340" s="17" t="str">
        <f t="shared" si="30"/>
        <v/>
      </c>
      <c r="D340" s="18" t="str">
        <f t="shared" si="33"/>
        <v/>
      </c>
      <c r="E340" t="str">
        <f t="shared" si="34"/>
        <v/>
      </c>
      <c r="F340" s="23" t="str">
        <f ca="1">IF(A340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340" s="19" t="str">
        <f>IF(A340="","",C340/(1+F340*$B$6/360)^(COUNT(A$16:A340)-($B$6-$D$16)/$B$6))</f>
        <v/>
      </c>
      <c r="H340" t="str">
        <f t="shared" si="35"/>
        <v/>
      </c>
    </row>
    <row r="341" spans="1:8" x14ac:dyDescent="0.2">
      <c r="A341" s="12" t="str">
        <f t="shared" si="31"/>
        <v/>
      </c>
      <c r="B341" t="str">
        <f t="shared" si="32"/>
        <v/>
      </c>
      <c r="C341" s="17" t="str">
        <f t="shared" si="30"/>
        <v/>
      </c>
      <c r="D341" s="18" t="str">
        <f t="shared" si="33"/>
        <v/>
      </c>
      <c r="E341" t="str">
        <f t="shared" si="34"/>
        <v/>
      </c>
      <c r="F341" s="23" t="str">
        <f ca="1">IF(A341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341" s="19" t="str">
        <f>IF(A341="","",C341/(1+F341*$B$6/360)^(COUNT(A$16:A341)-($B$6-$D$16)/$B$6))</f>
        <v/>
      </c>
      <c r="H341" t="str">
        <f t="shared" si="35"/>
        <v/>
      </c>
    </row>
    <row r="342" spans="1:8" x14ac:dyDescent="0.2">
      <c r="A342" s="12" t="str">
        <f t="shared" si="31"/>
        <v/>
      </c>
      <c r="B342" t="str">
        <f t="shared" si="32"/>
        <v/>
      </c>
      <c r="C342" s="17" t="str">
        <f t="shared" si="30"/>
        <v/>
      </c>
      <c r="D342" s="18" t="str">
        <f t="shared" si="33"/>
        <v/>
      </c>
      <c r="E342" t="str">
        <f t="shared" si="34"/>
        <v/>
      </c>
      <c r="F342" s="23" t="str">
        <f ca="1">IF(A342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342" s="19" t="str">
        <f>IF(A342="","",C342/(1+F342*$B$6/360)^(COUNT(A$16:A342)-($B$6-$D$16)/$B$6))</f>
        <v/>
      </c>
      <c r="H342" t="str">
        <f t="shared" si="35"/>
        <v/>
      </c>
    </row>
    <row r="343" spans="1:8" x14ac:dyDescent="0.2">
      <c r="A343" s="12" t="str">
        <f t="shared" si="31"/>
        <v/>
      </c>
      <c r="B343" t="str">
        <f t="shared" si="32"/>
        <v/>
      </c>
      <c r="C343" s="17" t="str">
        <f t="shared" si="30"/>
        <v/>
      </c>
      <c r="D343" s="18" t="str">
        <f t="shared" si="33"/>
        <v/>
      </c>
      <c r="E343" t="str">
        <f t="shared" si="34"/>
        <v/>
      </c>
      <c r="F343" s="23" t="str">
        <f ca="1">IF(A343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343" s="19" t="str">
        <f>IF(A343="","",C343/(1+F343*$B$6/360)^(COUNT(A$16:A343)-($B$6-$D$16)/$B$6))</f>
        <v/>
      </c>
      <c r="H343" t="str">
        <f t="shared" si="35"/>
        <v/>
      </c>
    </row>
    <row r="344" spans="1:8" x14ac:dyDescent="0.2">
      <c r="A344" s="12" t="str">
        <f t="shared" si="31"/>
        <v/>
      </c>
      <c r="B344" t="str">
        <f t="shared" si="32"/>
        <v/>
      </c>
      <c r="C344" s="17" t="str">
        <f t="shared" si="30"/>
        <v/>
      </c>
      <c r="D344" s="18" t="str">
        <f t="shared" si="33"/>
        <v/>
      </c>
      <c r="E344" t="str">
        <f t="shared" si="34"/>
        <v/>
      </c>
      <c r="F344" s="23" t="str">
        <f ca="1">IF(A344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344" s="19" t="str">
        <f>IF(A344="","",C344/(1+F344*$B$6/360)^(COUNT(A$16:A344)-($B$6-$D$16)/$B$6))</f>
        <v/>
      </c>
      <c r="H344" t="str">
        <f t="shared" si="35"/>
        <v/>
      </c>
    </row>
    <row r="345" spans="1:8" x14ac:dyDescent="0.2">
      <c r="A345" s="12" t="str">
        <f t="shared" si="31"/>
        <v/>
      </c>
      <c r="B345" t="str">
        <f t="shared" si="32"/>
        <v/>
      </c>
      <c r="C345" s="17" t="str">
        <f t="shared" si="30"/>
        <v/>
      </c>
      <c r="D345" s="18" t="str">
        <f t="shared" si="33"/>
        <v/>
      </c>
      <c r="E345" t="str">
        <f t="shared" si="34"/>
        <v/>
      </c>
      <c r="F345" s="23" t="str">
        <f ca="1">IF(A345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345" s="19" t="str">
        <f>IF(A345="","",C345/(1+F345*$B$6/360)^(COUNT(A$16:A345)-($B$6-$D$16)/$B$6))</f>
        <v/>
      </c>
      <c r="H345" t="str">
        <f t="shared" si="35"/>
        <v/>
      </c>
    </row>
    <row r="346" spans="1:8" x14ac:dyDescent="0.2">
      <c r="A346" s="12" t="str">
        <f t="shared" si="31"/>
        <v/>
      </c>
      <c r="B346" t="str">
        <f t="shared" si="32"/>
        <v/>
      </c>
      <c r="C346" s="17" t="str">
        <f t="shared" ref="C346:C409" si="36">IF(A346="","",IF(A346=$B$4,$B$1*$B$2, $B$5*$B$6/360*$B$1*$B$2))</f>
        <v/>
      </c>
      <c r="D346" s="18" t="str">
        <f t="shared" si="33"/>
        <v/>
      </c>
      <c r="E346" t="str">
        <f t="shared" si="34"/>
        <v/>
      </c>
      <c r="F346" s="23" t="str">
        <f ca="1">IF(A346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346" s="19" t="str">
        <f>IF(A346="","",C346/(1+F346*$B$6/360)^(COUNT(A$16:A346)-($B$6-$D$16)/$B$6))</f>
        <v/>
      </c>
      <c r="H346" t="str">
        <f t="shared" si="35"/>
        <v/>
      </c>
    </row>
    <row r="347" spans="1:8" x14ac:dyDescent="0.2">
      <c r="A347" s="12" t="str">
        <f t="shared" ref="A347:A410" si="37">IF(A346="","",IF((A346+$B$6)&gt;$B$4,"",(A346+$B$6)))</f>
        <v/>
      </c>
      <c r="B347" t="str">
        <f t="shared" si="32"/>
        <v/>
      </c>
      <c r="C347" s="17" t="str">
        <f t="shared" si="36"/>
        <v/>
      </c>
      <c r="D347" s="18" t="str">
        <f t="shared" si="33"/>
        <v/>
      </c>
      <c r="E347" t="str">
        <f t="shared" si="34"/>
        <v/>
      </c>
      <c r="F347" s="23" t="str">
        <f ca="1">IF(A347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347" s="19" t="str">
        <f>IF(A347="","",C347/(1+F347*$B$6/360)^(COUNT(A$16:A347)-($B$6-$D$16)/$B$6))</f>
        <v/>
      </c>
      <c r="H347" t="str">
        <f t="shared" si="35"/>
        <v/>
      </c>
    </row>
    <row r="348" spans="1:8" x14ac:dyDescent="0.2">
      <c r="A348" s="12" t="str">
        <f t="shared" si="37"/>
        <v/>
      </c>
      <c r="B348" t="str">
        <f t="shared" si="32"/>
        <v/>
      </c>
      <c r="C348" s="17" t="str">
        <f t="shared" si="36"/>
        <v/>
      </c>
      <c r="D348" s="18" t="str">
        <f t="shared" si="33"/>
        <v/>
      </c>
      <c r="E348" t="str">
        <f t="shared" si="34"/>
        <v/>
      </c>
      <c r="F348" s="23" t="str">
        <f ca="1">IF(A348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348" s="19" t="str">
        <f>IF(A348="","",C348/(1+F348*$B$6/360)^(COUNT(A$16:A348)-($B$6-$D$16)/$B$6))</f>
        <v/>
      </c>
      <c r="H348" t="str">
        <f t="shared" si="35"/>
        <v/>
      </c>
    </row>
    <row r="349" spans="1:8" x14ac:dyDescent="0.2">
      <c r="A349" s="12" t="str">
        <f t="shared" si="37"/>
        <v/>
      </c>
      <c r="B349" t="str">
        <f t="shared" si="32"/>
        <v/>
      </c>
      <c r="C349" s="17" t="str">
        <f t="shared" si="36"/>
        <v/>
      </c>
      <c r="D349" s="18" t="str">
        <f t="shared" si="33"/>
        <v/>
      </c>
      <c r="E349" t="str">
        <f t="shared" si="34"/>
        <v/>
      </c>
      <c r="F349" s="23" t="str">
        <f ca="1">IF(A349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349" s="19" t="str">
        <f>IF(A349="","",C349/(1+F349*$B$6/360)^(COUNT(A$16:A349)-($B$6-$D$16)/$B$6))</f>
        <v/>
      </c>
      <c r="H349" t="str">
        <f t="shared" si="35"/>
        <v/>
      </c>
    </row>
    <row r="350" spans="1:8" x14ac:dyDescent="0.2">
      <c r="A350" s="12" t="str">
        <f t="shared" si="37"/>
        <v/>
      </c>
      <c r="B350" t="str">
        <f t="shared" si="32"/>
        <v/>
      </c>
      <c r="C350" s="17" t="str">
        <f t="shared" si="36"/>
        <v/>
      </c>
      <c r="D350" s="18" t="str">
        <f t="shared" si="33"/>
        <v/>
      </c>
      <c r="E350" t="str">
        <f t="shared" si="34"/>
        <v/>
      </c>
      <c r="F350" s="23" t="str">
        <f ca="1">IF(A350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350" s="19" t="str">
        <f>IF(A350="","",C350/(1+F350*$B$6/360)^(COUNT(A$16:A350)-($B$6-$D$16)/$B$6))</f>
        <v/>
      </c>
      <c r="H350" t="str">
        <f t="shared" si="35"/>
        <v/>
      </c>
    </row>
    <row r="351" spans="1:8" x14ac:dyDescent="0.2">
      <c r="A351" s="12" t="str">
        <f t="shared" si="37"/>
        <v/>
      </c>
      <c r="B351" t="str">
        <f t="shared" si="32"/>
        <v/>
      </c>
      <c r="C351" s="17" t="str">
        <f t="shared" si="36"/>
        <v/>
      </c>
      <c r="D351" s="18" t="str">
        <f t="shared" si="33"/>
        <v/>
      </c>
      <c r="E351" t="str">
        <f t="shared" si="34"/>
        <v/>
      </c>
      <c r="F351" s="23" t="str">
        <f ca="1">IF(A351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351" s="19" t="str">
        <f>IF(A351="","",C351/(1+F351*$B$6/360)^(COUNT(A$16:A351)-($B$6-$D$16)/$B$6))</f>
        <v/>
      </c>
      <c r="H351" t="str">
        <f t="shared" si="35"/>
        <v/>
      </c>
    </row>
    <row r="352" spans="1:8" x14ac:dyDescent="0.2">
      <c r="A352" s="12" t="str">
        <f t="shared" si="37"/>
        <v/>
      </c>
      <c r="B352" t="str">
        <f t="shared" si="32"/>
        <v/>
      </c>
      <c r="C352" s="17" t="str">
        <f t="shared" si="36"/>
        <v/>
      </c>
      <c r="D352" s="18" t="str">
        <f t="shared" si="33"/>
        <v/>
      </c>
      <c r="E352" t="str">
        <f t="shared" si="34"/>
        <v/>
      </c>
      <c r="F352" s="23" t="str">
        <f ca="1">IF(A352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352" s="19" t="str">
        <f>IF(A352="","",C352/(1+F352*$B$6/360)^(COUNT(A$16:A352)-($B$6-$D$16)/$B$6))</f>
        <v/>
      </c>
      <c r="H352" t="str">
        <f t="shared" si="35"/>
        <v/>
      </c>
    </row>
    <row r="353" spans="1:8" x14ac:dyDescent="0.2">
      <c r="A353" s="12" t="str">
        <f t="shared" si="37"/>
        <v/>
      </c>
      <c r="B353" t="str">
        <f t="shared" si="32"/>
        <v/>
      </c>
      <c r="C353" s="17" t="str">
        <f t="shared" si="36"/>
        <v/>
      </c>
      <c r="D353" s="18" t="str">
        <f t="shared" si="33"/>
        <v/>
      </c>
      <c r="E353" t="str">
        <f t="shared" si="34"/>
        <v/>
      </c>
      <c r="F353" s="23" t="str">
        <f ca="1">IF(A353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353" s="19" t="str">
        <f>IF(A353="","",C353/(1+F353*$B$6/360)^(COUNT(A$16:A353)-($B$6-$D$16)/$B$6))</f>
        <v/>
      </c>
      <c r="H353" t="str">
        <f t="shared" si="35"/>
        <v/>
      </c>
    </row>
    <row r="354" spans="1:8" x14ac:dyDescent="0.2">
      <c r="A354" s="12" t="str">
        <f t="shared" si="37"/>
        <v/>
      </c>
      <c r="B354" t="str">
        <f t="shared" si="32"/>
        <v/>
      </c>
      <c r="C354" s="17" t="str">
        <f t="shared" si="36"/>
        <v/>
      </c>
      <c r="D354" s="18" t="str">
        <f t="shared" si="33"/>
        <v/>
      </c>
      <c r="E354" t="str">
        <f t="shared" si="34"/>
        <v/>
      </c>
      <c r="F354" s="23" t="str">
        <f ca="1">IF(A354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354" s="19" t="str">
        <f>IF(A354="","",C354/(1+F354*$B$6/360)^(COUNT(A$16:A354)-($B$6-$D$16)/$B$6))</f>
        <v/>
      </c>
      <c r="H354" t="str">
        <f t="shared" si="35"/>
        <v/>
      </c>
    </row>
    <row r="355" spans="1:8" x14ac:dyDescent="0.2">
      <c r="A355" s="12" t="str">
        <f t="shared" si="37"/>
        <v/>
      </c>
      <c r="B355" t="str">
        <f t="shared" si="32"/>
        <v/>
      </c>
      <c r="C355" s="17" t="str">
        <f t="shared" si="36"/>
        <v/>
      </c>
      <c r="D355" s="18" t="str">
        <f t="shared" si="33"/>
        <v/>
      </c>
      <c r="E355" t="str">
        <f t="shared" si="34"/>
        <v/>
      </c>
      <c r="F355" s="23" t="str">
        <f ca="1">IF(A355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355" s="19" t="str">
        <f>IF(A355="","",C355/(1+F355*$B$6/360)^(COUNT(A$16:A355)-($B$6-$D$16)/$B$6))</f>
        <v/>
      </c>
      <c r="H355" t="str">
        <f t="shared" si="35"/>
        <v/>
      </c>
    </row>
    <row r="356" spans="1:8" x14ac:dyDescent="0.2">
      <c r="A356" s="12" t="str">
        <f t="shared" si="37"/>
        <v/>
      </c>
      <c r="B356" t="str">
        <f t="shared" si="32"/>
        <v/>
      </c>
      <c r="C356" s="17" t="str">
        <f t="shared" si="36"/>
        <v/>
      </c>
      <c r="D356" s="18" t="str">
        <f t="shared" si="33"/>
        <v/>
      </c>
      <c r="E356" t="str">
        <f t="shared" si="34"/>
        <v/>
      </c>
      <c r="F356" s="23" t="str">
        <f ca="1">IF(A356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356" s="19" t="str">
        <f>IF(A356="","",C356/(1+F356*$B$6/360)^(COUNT(A$16:A356)-($B$6-$D$16)/$B$6))</f>
        <v/>
      </c>
      <c r="H356" t="str">
        <f t="shared" si="35"/>
        <v/>
      </c>
    </row>
    <row r="357" spans="1:8" x14ac:dyDescent="0.2">
      <c r="A357" s="12" t="str">
        <f t="shared" si="37"/>
        <v/>
      </c>
      <c r="B357" t="str">
        <f t="shared" si="32"/>
        <v/>
      </c>
      <c r="C357" s="17" t="str">
        <f t="shared" si="36"/>
        <v/>
      </c>
      <c r="D357" s="18" t="str">
        <f t="shared" si="33"/>
        <v/>
      </c>
      <c r="E357" t="str">
        <f t="shared" si="34"/>
        <v/>
      </c>
      <c r="F357" s="23" t="str">
        <f ca="1">IF(A357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357" s="19" t="str">
        <f>IF(A357="","",C357/(1+F357*$B$6/360)^(COUNT(A$16:A357)-($B$6-$D$16)/$B$6))</f>
        <v/>
      </c>
      <c r="H357" t="str">
        <f t="shared" si="35"/>
        <v/>
      </c>
    </row>
    <row r="358" spans="1:8" x14ac:dyDescent="0.2">
      <c r="A358" s="12" t="str">
        <f t="shared" si="37"/>
        <v/>
      </c>
      <c r="B358" t="str">
        <f t="shared" si="32"/>
        <v/>
      </c>
      <c r="C358" s="17" t="str">
        <f t="shared" si="36"/>
        <v/>
      </c>
      <c r="D358" s="18" t="str">
        <f t="shared" si="33"/>
        <v/>
      </c>
      <c r="E358" t="str">
        <f t="shared" si="34"/>
        <v/>
      </c>
      <c r="F358" s="23" t="str">
        <f ca="1">IF(A358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358" s="19" t="str">
        <f>IF(A358="","",C358/(1+F358*$B$6/360)^(COUNT(A$16:A358)-($B$6-$D$16)/$B$6))</f>
        <v/>
      </c>
      <c r="H358" t="str">
        <f t="shared" si="35"/>
        <v/>
      </c>
    </row>
    <row r="359" spans="1:8" x14ac:dyDescent="0.2">
      <c r="A359" s="12" t="str">
        <f t="shared" si="37"/>
        <v/>
      </c>
      <c r="B359" t="str">
        <f t="shared" si="32"/>
        <v/>
      </c>
      <c r="C359" s="17" t="str">
        <f t="shared" si="36"/>
        <v/>
      </c>
      <c r="D359" s="18" t="str">
        <f t="shared" si="33"/>
        <v/>
      </c>
      <c r="E359" t="str">
        <f t="shared" si="34"/>
        <v/>
      </c>
      <c r="F359" s="23" t="str">
        <f ca="1">IF(A359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359" s="19" t="str">
        <f>IF(A359="","",C359/(1+F359*$B$6/360)^(COUNT(A$16:A359)-($B$6-$D$16)/$B$6))</f>
        <v/>
      </c>
      <c r="H359" t="str">
        <f t="shared" si="35"/>
        <v/>
      </c>
    </row>
    <row r="360" spans="1:8" x14ac:dyDescent="0.2">
      <c r="A360" s="12" t="str">
        <f t="shared" si="37"/>
        <v/>
      </c>
      <c r="B360" t="str">
        <f t="shared" si="32"/>
        <v/>
      </c>
      <c r="C360" s="17" t="str">
        <f t="shared" si="36"/>
        <v/>
      </c>
      <c r="D360" s="18" t="str">
        <f t="shared" si="33"/>
        <v/>
      </c>
      <c r="E360" t="str">
        <f t="shared" si="34"/>
        <v/>
      </c>
      <c r="F360" s="23" t="str">
        <f ca="1">IF(A360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360" s="19" t="str">
        <f>IF(A360="","",C360/(1+F360*$B$6/360)^(COUNT(A$16:A360)-($B$6-$D$16)/$B$6))</f>
        <v/>
      </c>
      <c r="H360" t="str">
        <f t="shared" si="35"/>
        <v/>
      </c>
    </row>
    <row r="361" spans="1:8" x14ac:dyDescent="0.2">
      <c r="A361" s="12" t="str">
        <f t="shared" si="37"/>
        <v/>
      </c>
      <c r="B361" t="str">
        <f t="shared" si="32"/>
        <v/>
      </c>
      <c r="C361" s="17" t="str">
        <f t="shared" si="36"/>
        <v/>
      </c>
      <c r="D361" s="18" t="str">
        <f t="shared" si="33"/>
        <v/>
      </c>
      <c r="E361" t="str">
        <f t="shared" si="34"/>
        <v/>
      </c>
      <c r="F361" s="23" t="str">
        <f ca="1">IF(A361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361" s="19" t="str">
        <f>IF(A361="","",C361/(1+F361*$B$6/360)^(COUNT(A$16:A361)-($B$6-$D$16)/$B$6))</f>
        <v/>
      </c>
      <c r="H361" t="str">
        <f t="shared" si="35"/>
        <v/>
      </c>
    </row>
    <row r="362" spans="1:8" x14ac:dyDescent="0.2">
      <c r="A362" s="12" t="str">
        <f t="shared" si="37"/>
        <v/>
      </c>
      <c r="B362" t="str">
        <f t="shared" si="32"/>
        <v/>
      </c>
      <c r="C362" s="17" t="str">
        <f t="shared" si="36"/>
        <v/>
      </c>
      <c r="D362" s="18" t="str">
        <f t="shared" si="33"/>
        <v/>
      </c>
      <c r="E362" t="str">
        <f t="shared" si="34"/>
        <v/>
      </c>
      <c r="F362" s="23" t="str">
        <f ca="1">IF(A362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362" s="19" t="str">
        <f>IF(A362="","",C362/(1+F362*$B$6/360)^(COUNT(A$16:A362)-($B$6-$D$16)/$B$6))</f>
        <v/>
      </c>
      <c r="H362" t="str">
        <f t="shared" si="35"/>
        <v/>
      </c>
    </row>
    <row r="363" spans="1:8" x14ac:dyDescent="0.2">
      <c r="A363" s="12" t="str">
        <f t="shared" si="37"/>
        <v/>
      </c>
      <c r="B363" t="str">
        <f t="shared" si="32"/>
        <v/>
      </c>
      <c r="C363" s="17" t="str">
        <f t="shared" si="36"/>
        <v/>
      </c>
      <c r="D363" s="18" t="str">
        <f t="shared" si="33"/>
        <v/>
      </c>
      <c r="E363" t="str">
        <f t="shared" si="34"/>
        <v/>
      </c>
      <c r="F363" s="23" t="str">
        <f ca="1">IF(A363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363" s="19" t="str">
        <f>IF(A363="","",C363/(1+F363*$B$6/360)^(COUNT(A$16:A363)-($B$6-$D$16)/$B$6))</f>
        <v/>
      </c>
      <c r="H363" t="str">
        <f t="shared" si="35"/>
        <v/>
      </c>
    </row>
    <row r="364" spans="1:8" x14ac:dyDescent="0.2">
      <c r="A364" s="12" t="str">
        <f t="shared" si="37"/>
        <v/>
      </c>
      <c r="B364" t="str">
        <f t="shared" si="32"/>
        <v/>
      </c>
      <c r="C364" s="17" t="str">
        <f t="shared" si="36"/>
        <v/>
      </c>
      <c r="D364" s="18" t="str">
        <f t="shared" si="33"/>
        <v/>
      </c>
      <c r="E364" t="str">
        <f t="shared" si="34"/>
        <v/>
      </c>
      <c r="F364" s="23" t="str">
        <f ca="1">IF(A364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364" s="19" t="str">
        <f>IF(A364="","",C364/(1+F364*$B$6/360)^(COUNT(A$16:A364)-($B$6-$D$16)/$B$6))</f>
        <v/>
      </c>
      <c r="H364" t="str">
        <f t="shared" si="35"/>
        <v/>
      </c>
    </row>
    <row r="365" spans="1:8" x14ac:dyDescent="0.2">
      <c r="A365" s="12" t="str">
        <f t="shared" si="37"/>
        <v/>
      </c>
      <c r="B365" t="str">
        <f t="shared" si="32"/>
        <v/>
      </c>
      <c r="C365" s="17" t="str">
        <f t="shared" si="36"/>
        <v/>
      </c>
      <c r="D365" s="18" t="str">
        <f t="shared" si="33"/>
        <v/>
      </c>
      <c r="E365" t="str">
        <f t="shared" si="34"/>
        <v/>
      </c>
      <c r="F365" s="23" t="str">
        <f ca="1">IF(A365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365" s="19" t="str">
        <f>IF(A365="","",C365/(1+F365*$B$6/360)^(COUNT(A$16:A365)-($B$6-$D$16)/$B$6))</f>
        <v/>
      </c>
      <c r="H365" t="str">
        <f t="shared" si="35"/>
        <v/>
      </c>
    </row>
    <row r="366" spans="1:8" x14ac:dyDescent="0.2">
      <c r="A366" s="12" t="str">
        <f t="shared" si="37"/>
        <v/>
      </c>
      <c r="B366" t="str">
        <f t="shared" si="32"/>
        <v/>
      </c>
      <c r="C366" s="17" t="str">
        <f t="shared" si="36"/>
        <v/>
      </c>
      <c r="D366" s="18" t="str">
        <f t="shared" si="33"/>
        <v/>
      </c>
      <c r="E366" t="str">
        <f t="shared" si="34"/>
        <v/>
      </c>
      <c r="F366" s="23" t="str">
        <f ca="1">IF(A366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366" s="19" t="str">
        <f>IF(A366="","",C366/(1+F366*$B$6/360)^(COUNT(A$16:A366)-($B$6-$D$16)/$B$6))</f>
        <v/>
      </c>
      <c r="H366" t="str">
        <f t="shared" si="35"/>
        <v/>
      </c>
    </row>
    <row r="367" spans="1:8" x14ac:dyDescent="0.2">
      <c r="A367" s="12" t="str">
        <f t="shared" si="37"/>
        <v/>
      </c>
      <c r="B367" t="str">
        <f t="shared" si="32"/>
        <v/>
      </c>
      <c r="C367" s="17" t="str">
        <f t="shared" si="36"/>
        <v/>
      </c>
      <c r="D367" s="18" t="str">
        <f t="shared" si="33"/>
        <v/>
      </c>
      <c r="E367" t="str">
        <f t="shared" si="34"/>
        <v/>
      </c>
      <c r="F367" s="23" t="str">
        <f ca="1">IF(A367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367" s="19" t="str">
        <f>IF(A367="","",C367/(1+F367*$B$6/360)^(COUNT(A$16:A367)-($B$6-$D$16)/$B$6))</f>
        <v/>
      </c>
      <c r="H367" t="str">
        <f t="shared" si="35"/>
        <v/>
      </c>
    </row>
    <row r="368" spans="1:8" x14ac:dyDescent="0.2">
      <c r="A368" s="12" t="str">
        <f t="shared" si="37"/>
        <v/>
      </c>
      <c r="B368" t="str">
        <f t="shared" si="32"/>
        <v/>
      </c>
      <c r="C368" s="17" t="str">
        <f t="shared" si="36"/>
        <v/>
      </c>
      <c r="D368" s="18" t="str">
        <f t="shared" si="33"/>
        <v/>
      </c>
      <c r="E368" t="str">
        <f t="shared" si="34"/>
        <v/>
      </c>
      <c r="F368" s="23" t="str">
        <f ca="1">IF(A368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368" s="19" t="str">
        <f>IF(A368="","",C368/(1+F368*$B$6/360)^(COUNT(A$16:A368)-($B$6-$D$16)/$B$6))</f>
        <v/>
      </c>
      <c r="H368" t="str">
        <f t="shared" si="35"/>
        <v/>
      </c>
    </row>
    <row r="369" spans="1:8" x14ac:dyDescent="0.2">
      <c r="A369" s="12" t="str">
        <f t="shared" si="37"/>
        <v/>
      </c>
      <c r="B369" t="str">
        <f t="shared" si="32"/>
        <v/>
      </c>
      <c r="C369" s="17" t="str">
        <f t="shared" si="36"/>
        <v/>
      </c>
      <c r="D369" s="18" t="str">
        <f t="shared" si="33"/>
        <v/>
      </c>
      <c r="E369" t="str">
        <f t="shared" si="34"/>
        <v/>
      </c>
      <c r="F369" s="23" t="str">
        <f ca="1">IF(A369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369" s="19" t="str">
        <f>IF(A369="","",C369/(1+F369*$B$6/360)^(COUNT(A$16:A369)-($B$6-$D$16)/$B$6))</f>
        <v/>
      </c>
      <c r="H369" t="str">
        <f t="shared" si="35"/>
        <v/>
      </c>
    </row>
    <row r="370" spans="1:8" x14ac:dyDescent="0.2">
      <c r="A370" s="12" t="str">
        <f t="shared" si="37"/>
        <v/>
      </c>
      <c r="B370" t="str">
        <f t="shared" si="32"/>
        <v/>
      </c>
      <c r="C370" s="17" t="str">
        <f t="shared" si="36"/>
        <v/>
      </c>
      <c r="D370" s="18" t="str">
        <f t="shared" si="33"/>
        <v/>
      </c>
      <c r="E370" t="str">
        <f t="shared" si="34"/>
        <v/>
      </c>
      <c r="F370" s="23" t="str">
        <f ca="1">IF(A370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370" s="19" t="str">
        <f>IF(A370="","",C370/(1+F370*$B$6/360)^(COUNT(A$16:A370)-($B$6-$D$16)/$B$6))</f>
        <v/>
      </c>
      <c r="H370" t="str">
        <f t="shared" si="35"/>
        <v/>
      </c>
    </row>
    <row r="371" spans="1:8" x14ac:dyDescent="0.2">
      <c r="A371" s="12" t="str">
        <f t="shared" si="37"/>
        <v/>
      </c>
      <c r="B371" t="str">
        <f t="shared" si="32"/>
        <v/>
      </c>
      <c r="C371" s="17" t="str">
        <f t="shared" si="36"/>
        <v/>
      </c>
      <c r="D371" s="18" t="str">
        <f t="shared" si="33"/>
        <v/>
      </c>
      <c r="E371" t="str">
        <f t="shared" si="34"/>
        <v/>
      </c>
      <c r="F371" s="23" t="str">
        <f ca="1">IF(A371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371" s="19" t="str">
        <f>IF(A371="","",C371/(1+F371*$B$6/360)^(COUNT(A$16:A371)-($B$6-$D$16)/$B$6))</f>
        <v/>
      </c>
      <c r="H371" t="str">
        <f t="shared" si="35"/>
        <v/>
      </c>
    </row>
    <row r="372" spans="1:8" x14ac:dyDescent="0.2">
      <c r="A372" s="12" t="str">
        <f t="shared" si="37"/>
        <v/>
      </c>
      <c r="B372" t="str">
        <f t="shared" si="32"/>
        <v/>
      </c>
      <c r="C372" s="17" t="str">
        <f t="shared" si="36"/>
        <v/>
      </c>
      <c r="D372" s="18" t="str">
        <f t="shared" si="33"/>
        <v/>
      </c>
      <c r="E372" t="str">
        <f t="shared" si="34"/>
        <v/>
      </c>
      <c r="F372" s="23" t="str">
        <f ca="1">IF(A372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372" s="19" t="str">
        <f>IF(A372="","",C372/(1+F372*$B$6/360)^(COUNT(A$16:A372)-($B$6-$D$16)/$B$6))</f>
        <v/>
      </c>
      <c r="H372" t="str">
        <f t="shared" si="35"/>
        <v/>
      </c>
    </row>
    <row r="373" spans="1:8" x14ac:dyDescent="0.2">
      <c r="A373" s="12" t="str">
        <f t="shared" si="37"/>
        <v/>
      </c>
      <c r="B373" t="str">
        <f t="shared" si="32"/>
        <v/>
      </c>
      <c r="C373" s="17" t="str">
        <f t="shared" si="36"/>
        <v/>
      </c>
      <c r="D373" s="18" t="str">
        <f t="shared" si="33"/>
        <v/>
      </c>
      <c r="E373" t="str">
        <f t="shared" si="34"/>
        <v/>
      </c>
      <c r="F373" s="23" t="str">
        <f ca="1">IF(A373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373" s="19" t="str">
        <f>IF(A373="","",C373/(1+F373*$B$6/360)^(COUNT(A$16:A373)-($B$6-$D$16)/$B$6))</f>
        <v/>
      </c>
      <c r="H373" t="str">
        <f t="shared" si="35"/>
        <v/>
      </c>
    </row>
    <row r="374" spans="1:8" x14ac:dyDescent="0.2">
      <c r="A374" s="12" t="str">
        <f t="shared" si="37"/>
        <v/>
      </c>
      <c r="B374" t="str">
        <f t="shared" si="32"/>
        <v/>
      </c>
      <c r="C374" s="17" t="str">
        <f t="shared" si="36"/>
        <v/>
      </c>
      <c r="D374" s="18" t="str">
        <f t="shared" si="33"/>
        <v/>
      </c>
      <c r="E374" t="str">
        <f t="shared" si="34"/>
        <v/>
      </c>
      <c r="F374" s="23" t="str">
        <f ca="1">IF(A374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374" s="19" t="str">
        <f>IF(A374="","",C374/(1+F374*$B$6/360)^(COUNT(A$16:A374)-($B$6-$D$16)/$B$6))</f>
        <v/>
      </c>
      <c r="H374" t="str">
        <f t="shared" si="35"/>
        <v/>
      </c>
    </row>
    <row r="375" spans="1:8" x14ac:dyDescent="0.2">
      <c r="A375" s="12" t="str">
        <f t="shared" si="37"/>
        <v/>
      </c>
      <c r="B375" t="str">
        <f t="shared" si="32"/>
        <v/>
      </c>
      <c r="C375" s="17" t="str">
        <f t="shared" si="36"/>
        <v/>
      </c>
      <c r="D375" s="18" t="str">
        <f t="shared" si="33"/>
        <v/>
      </c>
      <c r="E375" t="str">
        <f t="shared" si="34"/>
        <v/>
      </c>
      <c r="F375" s="23" t="str">
        <f ca="1">IF(A375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375" s="19" t="str">
        <f>IF(A375="","",C375/(1+F375*$B$6/360)^(COUNT(A$16:A375)-($B$6-$D$16)/$B$6))</f>
        <v/>
      </c>
      <c r="H375" t="str">
        <f t="shared" si="35"/>
        <v/>
      </c>
    </row>
    <row r="376" spans="1:8" x14ac:dyDescent="0.2">
      <c r="A376" s="12" t="str">
        <f t="shared" si="37"/>
        <v/>
      </c>
      <c r="B376" t="str">
        <f t="shared" si="32"/>
        <v/>
      </c>
      <c r="C376" s="17" t="str">
        <f t="shared" si="36"/>
        <v/>
      </c>
      <c r="D376" s="18" t="str">
        <f t="shared" si="33"/>
        <v/>
      </c>
      <c r="E376" t="str">
        <f t="shared" si="34"/>
        <v/>
      </c>
      <c r="F376" s="23" t="str">
        <f ca="1">IF(A376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376" s="19" t="str">
        <f>IF(A376="","",C376/(1+F376*$B$6/360)^(COUNT(A$16:A376)-($B$6-$D$16)/$B$6))</f>
        <v/>
      </c>
      <c r="H376" t="str">
        <f t="shared" si="35"/>
        <v/>
      </c>
    </row>
    <row r="377" spans="1:8" x14ac:dyDescent="0.2">
      <c r="A377" s="12" t="str">
        <f t="shared" si="37"/>
        <v/>
      </c>
      <c r="B377" t="str">
        <f t="shared" si="32"/>
        <v/>
      </c>
      <c r="C377" s="17" t="str">
        <f t="shared" si="36"/>
        <v/>
      </c>
      <c r="D377" s="18" t="str">
        <f t="shared" si="33"/>
        <v/>
      </c>
      <c r="E377" t="str">
        <f t="shared" si="34"/>
        <v/>
      </c>
      <c r="F377" s="23" t="str">
        <f ca="1">IF(A377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377" s="19" t="str">
        <f>IF(A377="","",C377/(1+F377*$B$6/360)^(COUNT(A$16:A377)-($B$6-$D$16)/$B$6))</f>
        <v/>
      </c>
      <c r="H377" t="str">
        <f t="shared" si="35"/>
        <v/>
      </c>
    </row>
    <row r="378" spans="1:8" x14ac:dyDescent="0.2">
      <c r="A378" s="12" t="str">
        <f t="shared" si="37"/>
        <v/>
      </c>
      <c r="B378" t="str">
        <f t="shared" si="32"/>
        <v/>
      </c>
      <c r="C378" s="17" t="str">
        <f t="shared" si="36"/>
        <v/>
      </c>
      <c r="D378" s="18" t="str">
        <f t="shared" si="33"/>
        <v/>
      </c>
      <c r="E378" t="str">
        <f t="shared" si="34"/>
        <v/>
      </c>
      <c r="F378" s="23" t="str">
        <f ca="1">IF(A378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378" s="19" t="str">
        <f>IF(A378="","",C378/(1+F378*$B$6/360)^(COUNT(A$16:A378)-($B$6-$D$16)/$B$6))</f>
        <v/>
      </c>
      <c r="H378" t="str">
        <f t="shared" si="35"/>
        <v/>
      </c>
    </row>
    <row r="379" spans="1:8" x14ac:dyDescent="0.2">
      <c r="A379" s="12" t="str">
        <f t="shared" si="37"/>
        <v/>
      </c>
      <c r="B379" t="str">
        <f t="shared" si="32"/>
        <v/>
      </c>
      <c r="C379" s="17" t="str">
        <f t="shared" si="36"/>
        <v/>
      </c>
      <c r="D379" s="18" t="str">
        <f t="shared" si="33"/>
        <v/>
      </c>
      <c r="E379" t="str">
        <f t="shared" si="34"/>
        <v/>
      </c>
      <c r="F379" s="23" t="str">
        <f ca="1">IF(A379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379" s="19" t="str">
        <f>IF(A379="","",C379/(1+F379*$B$6/360)^(COUNT(A$16:A379)-($B$6-$D$16)/$B$6))</f>
        <v/>
      </c>
      <c r="H379" t="str">
        <f t="shared" si="35"/>
        <v/>
      </c>
    </row>
    <row r="380" spans="1:8" x14ac:dyDescent="0.2">
      <c r="A380" s="12" t="str">
        <f t="shared" si="37"/>
        <v/>
      </c>
      <c r="B380" t="str">
        <f t="shared" si="32"/>
        <v/>
      </c>
      <c r="C380" s="17" t="str">
        <f t="shared" si="36"/>
        <v/>
      </c>
      <c r="D380" s="18" t="str">
        <f t="shared" si="33"/>
        <v/>
      </c>
      <c r="E380" t="str">
        <f t="shared" si="34"/>
        <v/>
      </c>
      <c r="F380" s="23" t="str">
        <f ca="1">IF(A380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380" s="19" t="str">
        <f>IF(A380="","",C380/(1+F380*$B$6/360)^(COUNT(A$16:A380)-($B$6-$D$16)/$B$6))</f>
        <v/>
      </c>
      <c r="H380" t="str">
        <f t="shared" si="35"/>
        <v/>
      </c>
    </row>
    <row r="381" spans="1:8" x14ac:dyDescent="0.2">
      <c r="A381" s="12" t="str">
        <f t="shared" si="37"/>
        <v/>
      </c>
      <c r="B381" t="str">
        <f t="shared" si="32"/>
        <v/>
      </c>
      <c r="C381" s="17" t="str">
        <f t="shared" si="36"/>
        <v/>
      </c>
      <c r="D381" s="18" t="str">
        <f t="shared" si="33"/>
        <v/>
      </c>
      <c r="E381" t="str">
        <f t="shared" si="34"/>
        <v/>
      </c>
      <c r="F381" s="23" t="str">
        <f ca="1">IF(A381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381" s="19" t="str">
        <f>IF(A381="","",C381/(1+F381*$B$6/360)^(COUNT(A$16:A381)-($B$6-$D$16)/$B$6))</f>
        <v/>
      </c>
      <c r="H381" t="str">
        <f t="shared" si="35"/>
        <v/>
      </c>
    </row>
    <row r="382" spans="1:8" x14ac:dyDescent="0.2">
      <c r="A382" s="12" t="str">
        <f t="shared" si="37"/>
        <v/>
      </c>
      <c r="B382" t="str">
        <f t="shared" si="32"/>
        <v/>
      </c>
      <c r="C382" s="17" t="str">
        <f t="shared" si="36"/>
        <v/>
      </c>
      <c r="D382" s="18" t="str">
        <f t="shared" si="33"/>
        <v/>
      </c>
      <c r="E382" t="str">
        <f t="shared" si="34"/>
        <v/>
      </c>
      <c r="F382" s="23" t="str">
        <f ca="1">IF(A382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382" s="19" t="str">
        <f>IF(A382="","",C382/(1+F382*$B$6/360)^(COUNT(A$16:A382)-($B$6-$D$16)/$B$6))</f>
        <v/>
      </c>
      <c r="H382" t="str">
        <f t="shared" si="35"/>
        <v/>
      </c>
    </row>
    <row r="383" spans="1:8" x14ac:dyDescent="0.2">
      <c r="A383" s="12" t="str">
        <f t="shared" si="37"/>
        <v/>
      </c>
      <c r="B383" t="str">
        <f t="shared" si="32"/>
        <v/>
      </c>
      <c r="C383" s="17" t="str">
        <f t="shared" si="36"/>
        <v/>
      </c>
      <c r="D383" s="18" t="str">
        <f t="shared" si="33"/>
        <v/>
      </c>
      <c r="E383" t="str">
        <f t="shared" si="34"/>
        <v/>
      </c>
      <c r="F383" s="23" t="str">
        <f ca="1">IF(A383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383" s="19" t="str">
        <f>IF(A383="","",C383/(1+F383*$B$6/360)^(COUNT(A$16:A383)-($B$6-$D$16)/$B$6))</f>
        <v/>
      </c>
      <c r="H383" t="str">
        <f t="shared" si="35"/>
        <v/>
      </c>
    </row>
    <row r="384" spans="1:8" x14ac:dyDescent="0.2">
      <c r="A384" s="12" t="str">
        <f t="shared" si="37"/>
        <v/>
      </c>
      <c r="B384" t="str">
        <f t="shared" si="32"/>
        <v/>
      </c>
      <c r="C384" s="17" t="str">
        <f t="shared" si="36"/>
        <v/>
      </c>
      <c r="D384" s="18" t="str">
        <f t="shared" si="33"/>
        <v/>
      </c>
      <c r="E384" t="str">
        <f t="shared" si="34"/>
        <v/>
      </c>
      <c r="F384" s="23" t="str">
        <f ca="1">IF(A384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384" s="19" t="str">
        <f>IF(A384="","",C384/(1+F384*$B$6/360)^(COUNT(A$16:A384)-($B$6-$D$16)/$B$6))</f>
        <v/>
      </c>
      <c r="H384" t="str">
        <f t="shared" si="35"/>
        <v/>
      </c>
    </row>
    <row r="385" spans="1:8" x14ac:dyDescent="0.2">
      <c r="A385" s="12" t="str">
        <f t="shared" si="37"/>
        <v/>
      </c>
      <c r="B385" t="str">
        <f t="shared" si="32"/>
        <v/>
      </c>
      <c r="C385" s="17" t="str">
        <f t="shared" si="36"/>
        <v/>
      </c>
      <c r="D385" s="18" t="str">
        <f t="shared" si="33"/>
        <v/>
      </c>
      <c r="E385" t="str">
        <f t="shared" si="34"/>
        <v/>
      </c>
      <c r="F385" s="23" t="str">
        <f ca="1">IF(A385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385" s="19" t="str">
        <f>IF(A385="","",C385/(1+F385*$B$6/360)^(COUNT(A$16:A385)-($B$6-$D$16)/$B$6))</f>
        <v/>
      </c>
      <c r="H385" t="str">
        <f t="shared" si="35"/>
        <v/>
      </c>
    </row>
    <row r="386" spans="1:8" x14ac:dyDescent="0.2">
      <c r="A386" s="12" t="str">
        <f t="shared" si="37"/>
        <v/>
      </c>
      <c r="B386" t="str">
        <f t="shared" si="32"/>
        <v/>
      </c>
      <c r="C386" s="17" t="str">
        <f t="shared" si="36"/>
        <v/>
      </c>
      <c r="D386" s="18" t="str">
        <f t="shared" si="33"/>
        <v/>
      </c>
      <c r="E386" t="str">
        <f t="shared" si="34"/>
        <v/>
      </c>
      <c r="F386" s="23" t="str">
        <f ca="1">IF(A386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386" s="19" t="str">
        <f>IF(A386="","",C386/(1+F386*$B$6/360)^(COUNT(A$16:A386)-($B$6-$D$16)/$B$6))</f>
        <v/>
      </c>
      <c r="H386" t="str">
        <f t="shared" si="35"/>
        <v/>
      </c>
    </row>
    <row r="387" spans="1:8" x14ac:dyDescent="0.2">
      <c r="A387" s="12" t="str">
        <f t="shared" si="37"/>
        <v/>
      </c>
      <c r="B387" t="str">
        <f t="shared" si="32"/>
        <v/>
      </c>
      <c r="C387" s="17" t="str">
        <f t="shared" si="36"/>
        <v/>
      </c>
      <c r="D387" s="18" t="str">
        <f t="shared" si="33"/>
        <v/>
      </c>
      <c r="E387" t="str">
        <f t="shared" si="34"/>
        <v/>
      </c>
      <c r="F387" s="23" t="str">
        <f ca="1">IF(A387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387" s="19" t="str">
        <f>IF(A387="","",C387/(1+F387*$B$6/360)^(COUNT(A$16:A387)-($B$6-$D$16)/$B$6))</f>
        <v/>
      </c>
      <c r="H387" t="str">
        <f t="shared" si="35"/>
        <v/>
      </c>
    </row>
    <row r="388" spans="1:8" x14ac:dyDescent="0.2">
      <c r="A388" s="12" t="str">
        <f t="shared" si="37"/>
        <v/>
      </c>
      <c r="B388" t="str">
        <f t="shared" si="32"/>
        <v/>
      </c>
      <c r="C388" s="17" t="str">
        <f t="shared" si="36"/>
        <v/>
      </c>
      <c r="D388" s="18" t="str">
        <f t="shared" si="33"/>
        <v/>
      </c>
      <c r="E388" t="str">
        <f t="shared" si="34"/>
        <v/>
      </c>
      <c r="F388" s="23" t="str">
        <f ca="1">IF(A388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388" s="19" t="str">
        <f>IF(A388="","",C388/(1+F388*$B$6/360)^(COUNT(A$16:A388)-($B$6-$D$16)/$B$6))</f>
        <v/>
      </c>
      <c r="H388" t="str">
        <f t="shared" si="35"/>
        <v/>
      </c>
    </row>
    <row r="389" spans="1:8" x14ac:dyDescent="0.2">
      <c r="A389" s="12" t="str">
        <f t="shared" si="37"/>
        <v/>
      </c>
      <c r="B389" t="str">
        <f t="shared" si="32"/>
        <v/>
      </c>
      <c r="C389" s="17" t="str">
        <f t="shared" si="36"/>
        <v/>
      </c>
      <c r="D389" s="18" t="str">
        <f t="shared" si="33"/>
        <v/>
      </c>
      <c r="E389" t="str">
        <f t="shared" si="34"/>
        <v/>
      </c>
      <c r="F389" s="23" t="str">
        <f ca="1">IF(A389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389" s="19" t="str">
        <f>IF(A389="","",C389/(1+F389*$B$6/360)^(COUNT(A$16:A389)-($B$6-$D$16)/$B$6))</f>
        <v/>
      </c>
      <c r="H389" t="str">
        <f t="shared" si="35"/>
        <v/>
      </c>
    </row>
    <row r="390" spans="1:8" x14ac:dyDescent="0.2">
      <c r="A390" s="12" t="str">
        <f t="shared" si="37"/>
        <v/>
      </c>
      <c r="B390" t="str">
        <f t="shared" si="32"/>
        <v/>
      </c>
      <c r="C390" s="17" t="str">
        <f t="shared" si="36"/>
        <v/>
      </c>
      <c r="D390" s="18" t="str">
        <f t="shared" si="33"/>
        <v/>
      </c>
      <c r="E390" t="str">
        <f t="shared" si="34"/>
        <v/>
      </c>
      <c r="F390" s="23" t="str">
        <f ca="1">IF(A390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390" s="19" t="str">
        <f>IF(A390="","",C390/(1+F390*$B$6/360)^(COUNT(A$16:A390)-($B$6-$D$16)/$B$6))</f>
        <v/>
      </c>
      <c r="H390" t="str">
        <f t="shared" si="35"/>
        <v/>
      </c>
    </row>
    <row r="391" spans="1:8" x14ac:dyDescent="0.2">
      <c r="A391" s="12" t="str">
        <f t="shared" si="37"/>
        <v/>
      </c>
      <c r="B391" t="str">
        <f t="shared" si="32"/>
        <v/>
      </c>
      <c r="C391" s="17" t="str">
        <f t="shared" si="36"/>
        <v/>
      </c>
      <c r="D391" s="18" t="str">
        <f t="shared" si="33"/>
        <v/>
      </c>
      <c r="E391" t="str">
        <f t="shared" si="34"/>
        <v/>
      </c>
      <c r="F391" s="23" t="str">
        <f ca="1">IF(A391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391" s="19" t="str">
        <f>IF(A391="","",C391/(1+F391*$B$6/360)^(COUNT(A$16:A391)-($B$6-$D$16)/$B$6))</f>
        <v/>
      </c>
      <c r="H391" t="str">
        <f t="shared" si="35"/>
        <v/>
      </c>
    </row>
    <row r="392" spans="1:8" x14ac:dyDescent="0.2">
      <c r="A392" s="12" t="str">
        <f t="shared" si="37"/>
        <v/>
      </c>
      <c r="B392" t="str">
        <f t="shared" si="32"/>
        <v/>
      </c>
      <c r="C392" s="17" t="str">
        <f t="shared" si="36"/>
        <v/>
      </c>
      <c r="D392" s="18" t="str">
        <f t="shared" si="33"/>
        <v/>
      </c>
      <c r="E392" t="str">
        <f t="shared" si="34"/>
        <v/>
      </c>
      <c r="F392" s="23" t="str">
        <f ca="1">IF(A392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392" s="19" t="str">
        <f>IF(A392="","",C392/(1+F392*$B$6/360)^(COUNT(A$16:A392)-($B$6-$D$16)/$B$6))</f>
        <v/>
      </c>
      <c r="H392" t="str">
        <f t="shared" si="35"/>
        <v/>
      </c>
    </row>
    <row r="393" spans="1:8" x14ac:dyDescent="0.2">
      <c r="A393" s="12" t="str">
        <f t="shared" si="37"/>
        <v/>
      </c>
      <c r="B393" t="str">
        <f t="shared" si="32"/>
        <v/>
      </c>
      <c r="C393" s="17" t="str">
        <f t="shared" si="36"/>
        <v/>
      </c>
      <c r="D393" s="18" t="str">
        <f t="shared" si="33"/>
        <v/>
      </c>
      <c r="E393" t="str">
        <f t="shared" si="34"/>
        <v/>
      </c>
      <c r="F393" s="23" t="str">
        <f ca="1">IF(A393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393" s="19" t="str">
        <f>IF(A393="","",C393/(1+F393*$B$6/360)^(COUNT(A$16:A393)-($B$6-$D$16)/$B$6))</f>
        <v/>
      </c>
      <c r="H393" t="str">
        <f t="shared" si="35"/>
        <v/>
      </c>
    </row>
    <row r="394" spans="1:8" x14ac:dyDescent="0.2">
      <c r="A394" s="12" t="str">
        <f t="shared" si="37"/>
        <v/>
      </c>
      <c r="B394" t="str">
        <f t="shared" si="32"/>
        <v/>
      </c>
      <c r="C394" s="17" t="str">
        <f t="shared" si="36"/>
        <v/>
      </c>
      <c r="D394" s="18" t="str">
        <f t="shared" si="33"/>
        <v/>
      </c>
      <c r="E394" t="str">
        <f t="shared" si="34"/>
        <v/>
      </c>
      <c r="F394" s="23" t="str">
        <f ca="1">IF(A394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394" s="19" t="str">
        <f>IF(A394="","",C394/(1+F394*$B$6/360)^(COUNT(A$16:A394)-($B$6-$D$16)/$B$6))</f>
        <v/>
      </c>
      <c r="H394" t="str">
        <f t="shared" si="35"/>
        <v/>
      </c>
    </row>
    <row r="395" spans="1:8" x14ac:dyDescent="0.2">
      <c r="A395" s="12" t="str">
        <f t="shared" si="37"/>
        <v/>
      </c>
      <c r="B395" t="str">
        <f t="shared" si="32"/>
        <v/>
      </c>
      <c r="C395" s="17" t="str">
        <f t="shared" si="36"/>
        <v/>
      </c>
      <c r="D395" s="18" t="str">
        <f t="shared" si="33"/>
        <v/>
      </c>
      <c r="E395" t="str">
        <f t="shared" si="34"/>
        <v/>
      </c>
      <c r="F395" s="23" t="str">
        <f ca="1">IF(A395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395" s="19" t="str">
        <f>IF(A395="","",C395/(1+F395*$B$6/360)^(COUNT(A$16:A395)-($B$6-$D$16)/$B$6))</f>
        <v/>
      </c>
      <c r="H395" t="str">
        <f t="shared" si="35"/>
        <v/>
      </c>
    </row>
    <row r="396" spans="1:8" x14ac:dyDescent="0.2">
      <c r="A396" s="12" t="str">
        <f t="shared" si="37"/>
        <v/>
      </c>
      <c r="B396" t="str">
        <f t="shared" si="32"/>
        <v/>
      </c>
      <c r="C396" s="17" t="str">
        <f t="shared" si="36"/>
        <v/>
      </c>
      <c r="D396" s="18" t="str">
        <f t="shared" si="33"/>
        <v/>
      </c>
      <c r="E396" t="str">
        <f t="shared" si="34"/>
        <v/>
      </c>
      <c r="F396" s="23" t="str">
        <f ca="1">IF(A396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396" s="19" t="str">
        <f>IF(A396="","",C396/(1+F396*$B$6/360)^(COUNT(A$16:A396)-($B$6-$D$16)/$B$6))</f>
        <v/>
      </c>
      <c r="H396" t="str">
        <f t="shared" si="35"/>
        <v/>
      </c>
    </row>
    <row r="397" spans="1:8" x14ac:dyDescent="0.2">
      <c r="A397" s="12" t="str">
        <f t="shared" si="37"/>
        <v/>
      </c>
      <c r="B397" t="str">
        <f t="shared" si="32"/>
        <v/>
      </c>
      <c r="C397" s="17" t="str">
        <f t="shared" si="36"/>
        <v/>
      </c>
      <c r="D397" s="18" t="str">
        <f t="shared" si="33"/>
        <v/>
      </c>
      <c r="E397" t="str">
        <f t="shared" si="34"/>
        <v/>
      </c>
      <c r="F397" s="23" t="str">
        <f ca="1">IF(A397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397" s="19" t="str">
        <f>IF(A397="","",C397/(1+F397*$B$6/360)^(COUNT(A$16:A397)-($B$6-$D$16)/$B$6))</f>
        <v/>
      </c>
      <c r="H397" t="str">
        <f t="shared" si="35"/>
        <v/>
      </c>
    </row>
    <row r="398" spans="1:8" x14ac:dyDescent="0.2">
      <c r="A398" s="12" t="str">
        <f t="shared" si="37"/>
        <v/>
      </c>
      <c r="B398" t="str">
        <f t="shared" si="32"/>
        <v/>
      </c>
      <c r="C398" s="17" t="str">
        <f t="shared" si="36"/>
        <v/>
      </c>
      <c r="D398" s="18" t="str">
        <f t="shared" si="33"/>
        <v/>
      </c>
      <c r="E398" t="str">
        <f t="shared" si="34"/>
        <v/>
      </c>
      <c r="F398" s="23" t="str">
        <f ca="1">IF(A398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398" s="19" t="str">
        <f>IF(A398="","",C398/(1+F398*$B$6/360)^(COUNT(A$16:A398)-($B$6-$D$16)/$B$6))</f>
        <v/>
      </c>
      <c r="H398" t="str">
        <f t="shared" si="35"/>
        <v/>
      </c>
    </row>
    <row r="399" spans="1:8" x14ac:dyDescent="0.2">
      <c r="A399" s="12" t="str">
        <f t="shared" si="37"/>
        <v/>
      </c>
      <c r="B399" t="str">
        <f t="shared" si="32"/>
        <v/>
      </c>
      <c r="C399" s="17" t="str">
        <f t="shared" si="36"/>
        <v/>
      </c>
      <c r="D399" s="18" t="str">
        <f t="shared" si="33"/>
        <v/>
      </c>
      <c r="E399" t="str">
        <f t="shared" si="34"/>
        <v/>
      </c>
      <c r="F399" s="23" t="str">
        <f ca="1">IF(A399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399" s="19" t="str">
        <f>IF(A399="","",C399/(1+F399*$B$6/360)^(COUNT(A$16:A399)-($B$6-$D$16)/$B$6))</f>
        <v/>
      </c>
      <c r="H399" t="str">
        <f t="shared" si="35"/>
        <v/>
      </c>
    </row>
    <row r="400" spans="1:8" x14ac:dyDescent="0.2">
      <c r="A400" s="12" t="str">
        <f t="shared" si="37"/>
        <v/>
      </c>
      <c r="B400" t="str">
        <f t="shared" si="32"/>
        <v/>
      </c>
      <c r="C400" s="17" t="str">
        <f t="shared" si="36"/>
        <v/>
      </c>
      <c r="D400" s="18" t="str">
        <f t="shared" si="33"/>
        <v/>
      </c>
      <c r="E400" t="str">
        <f t="shared" si="34"/>
        <v/>
      </c>
      <c r="F400" s="23" t="str">
        <f ca="1">IF(A400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400" s="19" t="str">
        <f>IF(A400="","",C400/(1+F400*$B$6/360)^(COUNT(A$16:A400)-($B$6-$D$16)/$B$6))</f>
        <v/>
      </c>
      <c r="H400" t="str">
        <f t="shared" si="35"/>
        <v/>
      </c>
    </row>
    <row r="401" spans="1:8" x14ac:dyDescent="0.2">
      <c r="A401" s="12" t="str">
        <f t="shared" si="37"/>
        <v/>
      </c>
      <c r="B401" t="str">
        <f t="shared" ref="B401:B464" si="38">IF(A401="","",$B$5)</f>
        <v/>
      </c>
      <c r="C401" s="17" t="str">
        <f t="shared" si="36"/>
        <v/>
      </c>
      <c r="D401" s="18" t="str">
        <f t="shared" ref="D401:D464" si="39">IF(A401="","",$B$6)</f>
        <v/>
      </c>
      <c r="E401" t="str">
        <f t="shared" ref="E401:E464" si="40">IF(A401="","",E400+D401)</f>
        <v/>
      </c>
      <c r="F401" s="23" t="str">
        <f ca="1">IF(A401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401" s="19" t="str">
        <f>IF(A401="","",C401/(1+F401*$B$6/360)^(COUNT(A$16:A401)-($B$6-$D$16)/$B$6))</f>
        <v/>
      </c>
      <c r="H401" t="str">
        <f t="shared" ref="H401:H464" si="41">IF(A401="","",C401/(1+F401*$B$6/360)^(E401/$B$6))</f>
        <v/>
      </c>
    </row>
    <row r="402" spans="1:8" x14ac:dyDescent="0.2">
      <c r="A402" s="12" t="str">
        <f t="shared" si="37"/>
        <v/>
      </c>
      <c r="B402" t="str">
        <f t="shared" si="38"/>
        <v/>
      </c>
      <c r="C402" s="17" t="str">
        <f t="shared" si="36"/>
        <v/>
      </c>
      <c r="D402" s="18" t="str">
        <f t="shared" si="39"/>
        <v/>
      </c>
      <c r="E402" t="str">
        <f t="shared" si="40"/>
        <v/>
      </c>
      <c r="F402" s="23" t="str">
        <f ca="1">IF(A402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402" s="19" t="str">
        <f>IF(A402="","",C402/(1+F402*$B$6/360)^(COUNT(A$16:A402)-($B$6-$D$16)/$B$6))</f>
        <v/>
      </c>
      <c r="H402" t="str">
        <f t="shared" si="41"/>
        <v/>
      </c>
    </row>
    <row r="403" spans="1:8" x14ac:dyDescent="0.2">
      <c r="A403" s="12" t="str">
        <f t="shared" si="37"/>
        <v/>
      </c>
      <c r="B403" t="str">
        <f t="shared" si="38"/>
        <v/>
      </c>
      <c r="C403" s="17" t="str">
        <f t="shared" si="36"/>
        <v/>
      </c>
      <c r="D403" s="18" t="str">
        <f t="shared" si="39"/>
        <v/>
      </c>
      <c r="E403" t="str">
        <f t="shared" si="40"/>
        <v/>
      </c>
      <c r="F403" s="23" t="str">
        <f ca="1">IF(A403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403" s="19" t="str">
        <f>IF(A403="","",C403/(1+F403*$B$6/360)^(COUNT(A$16:A403)-($B$6-$D$16)/$B$6))</f>
        <v/>
      </c>
      <c r="H403" t="str">
        <f t="shared" si="41"/>
        <v/>
      </c>
    </row>
    <row r="404" spans="1:8" x14ac:dyDescent="0.2">
      <c r="A404" s="12" t="str">
        <f t="shared" si="37"/>
        <v/>
      </c>
      <c r="B404" t="str">
        <f t="shared" si="38"/>
        <v/>
      </c>
      <c r="C404" s="17" t="str">
        <f t="shared" si="36"/>
        <v/>
      </c>
      <c r="D404" s="18" t="str">
        <f t="shared" si="39"/>
        <v/>
      </c>
      <c r="E404" t="str">
        <f t="shared" si="40"/>
        <v/>
      </c>
      <c r="F404" s="23" t="str">
        <f ca="1">IF(A404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404" s="19" t="str">
        <f>IF(A404="","",C404/(1+F404*$B$6/360)^(COUNT(A$16:A404)-($B$6-$D$16)/$B$6))</f>
        <v/>
      </c>
      <c r="H404" t="str">
        <f t="shared" si="41"/>
        <v/>
      </c>
    </row>
    <row r="405" spans="1:8" x14ac:dyDescent="0.2">
      <c r="A405" s="12" t="str">
        <f t="shared" si="37"/>
        <v/>
      </c>
      <c r="B405" t="str">
        <f t="shared" si="38"/>
        <v/>
      </c>
      <c r="C405" s="17" t="str">
        <f t="shared" si="36"/>
        <v/>
      </c>
      <c r="D405" s="18" t="str">
        <f t="shared" si="39"/>
        <v/>
      </c>
      <c r="E405" t="str">
        <f t="shared" si="40"/>
        <v/>
      </c>
      <c r="F405" s="23" t="str">
        <f ca="1">IF(A405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405" s="19" t="str">
        <f>IF(A405="","",C405/(1+F405*$B$6/360)^(COUNT(A$16:A405)-($B$6-$D$16)/$B$6))</f>
        <v/>
      </c>
      <c r="H405" t="str">
        <f t="shared" si="41"/>
        <v/>
      </c>
    </row>
    <row r="406" spans="1:8" x14ac:dyDescent="0.2">
      <c r="A406" s="12" t="str">
        <f t="shared" si="37"/>
        <v/>
      </c>
      <c r="B406" t="str">
        <f t="shared" si="38"/>
        <v/>
      </c>
      <c r="C406" s="17" t="str">
        <f t="shared" si="36"/>
        <v/>
      </c>
      <c r="D406" s="18" t="str">
        <f t="shared" si="39"/>
        <v/>
      </c>
      <c r="E406" t="str">
        <f t="shared" si="40"/>
        <v/>
      </c>
      <c r="F406" s="23" t="str">
        <f ca="1">IF(A406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406" s="19" t="str">
        <f>IF(A406="","",C406/(1+F406*$B$6/360)^(COUNT(A$16:A406)-($B$6-$D$16)/$B$6))</f>
        <v/>
      </c>
      <c r="H406" t="str">
        <f t="shared" si="41"/>
        <v/>
      </c>
    </row>
    <row r="407" spans="1:8" x14ac:dyDescent="0.2">
      <c r="A407" s="12" t="str">
        <f t="shared" si="37"/>
        <v/>
      </c>
      <c r="B407" t="str">
        <f t="shared" si="38"/>
        <v/>
      </c>
      <c r="C407" s="17" t="str">
        <f t="shared" si="36"/>
        <v/>
      </c>
      <c r="D407" s="18" t="str">
        <f t="shared" si="39"/>
        <v/>
      </c>
      <c r="E407" t="str">
        <f t="shared" si="40"/>
        <v/>
      </c>
      <c r="F407" s="23" t="str">
        <f ca="1">IF(A407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407" s="19" t="str">
        <f>IF(A407="","",C407/(1+F407*$B$6/360)^(COUNT(A$16:A407)-($B$6-$D$16)/$B$6))</f>
        <v/>
      </c>
      <c r="H407" t="str">
        <f t="shared" si="41"/>
        <v/>
      </c>
    </row>
    <row r="408" spans="1:8" x14ac:dyDescent="0.2">
      <c r="A408" s="12" t="str">
        <f t="shared" si="37"/>
        <v/>
      </c>
      <c r="B408" t="str">
        <f t="shared" si="38"/>
        <v/>
      </c>
      <c r="C408" s="17" t="str">
        <f t="shared" si="36"/>
        <v/>
      </c>
      <c r="D408" s="18" t="str">
        <f t="shared" si="39"/>
        <v/>
      </c>
      <c r="E408" t="str">
        <f t="shared" si="40"/>
        <v/>
      </c>
      <c r="F408" s="23" t="str">
        <f ca="1">IF(A408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408" s="19" t="str">
        <f>IF(A408="","",C408/(1+F408*$B$6/360)^(COUNT(A$16:A408)-($B$6-$D$16)/$B$6))</f>
        <v/>
      </c>
      <c r="H408" t="str">
        <f t="shared" si="41"/>
        <v/>
      </c>
    </row>
    <row r="409" spans="1:8" x14ac:dyDescent="0.2">
      <c r="A409" s="12" t="str">
        <f t="shared" si="37"/>
        <v/>
      </c>
      <c r="B409" t="str">
        <f t="shared" si="38"/>
        <v/>
      </c>
      <c r="C409" s="17" t="str">
        <f t="shared" si="36"/>
        <v/>
      </c>
      <c r="D409" s="18" t="str">
        <f t="shared" si="39"/>
        <v/>
      </c>
      <c r="E409" t="str">
        <f t="shared" si="40"/>
        <v/>
      </c>
      <c r="F409" s="23" t="str">
        <f ca="1">IF(A409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409" s="19" t="str">
        <f>IF(A409="","",C409/(1+F409*$B$6/360)^(COUNT(A$16:A409)-($B$6-$D$16)/$B$6))</f>
        <v/>
      </c>
      <c r="H409" t="str">
        <f t="shared" si="41"/>
        <v/>
      </c>
    </row>
    <row r="410" spans="1:8" x14ac:dyDescent="0.2">
      <c r="A410" s="12" t="str">
        <f t="shared" si="37"/>
        <v/>
      </c>
      <c r="B410" t="str">
        <f t="shared" si="38"/>
        <v/>
      </c>
      <c r="C410" s="17" t="str">
        <f t="shared" ref="C410:C473" si="42">IF(A410="","",IF(A410=$B$4,$B$1*$B$2, $B$5*$B$6/360*$B$1*$B$2))</f>
        <v/>
      </c>
      <c r="D410" s="18" t="str">
        <f t="shared" si="39"/>
        <v/>
      </c>
      <c r="E410" t="str">
        <f t="shared" si="40"/>
        <v/>
      </c>
      <c r="F410" s="23" t="str">
        <f ca="1">IF(A410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410" s="19" t="str">
        <f>IF(A410="","",C410/(1+F410*$B$6/360)^(COUNT(A$16:A410)-($B$6-$D$16)/$B$6))</f>
        <v/>
      </c>
      <c r="H410" t="str">
        <f t="shared" si="41"/>
        <v/>
      </c>
    </row>
    <row r="411" spans="1:8" x14ac:dyDescent="0.2">
      <c r="A411" s="12" t="str">
        <f t="shared" ref="A411:A474" si="43">IF(A410="","",IF((A410+$B$6)&gt;$B$4,"",(A410+$B$6)))</f>
        <v/>
      </c>
      <c r="B411" t="str">
        <f t="shared" si="38"/>
        <v/>
      </c>
      <c r="C411" s="17" t="str">
        <f t="shared" si="42"/>
        <v/>
      </c>
      <c r="D411" s="18" t="str">
        <f t="shared" si="39"/>
        <v/>
      </c>
      <c r="E411" t="str">
        <f t="shared" si="40"/>
        <v/>
      </c>
      <c r="F411" s="23" t="str">
        <f ca="1">IF(A411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411" s="19" t="str">
        <f>IF(A411="","",C411/(1+F411*$B$6/360)^(COUNT(A$16:A411)-($B$6-$D$16)/$B$6))</f>
        <v/>
      </c>
      <c r="H411" t="str">
        <f t="shared" si="41"/>
        <v/>
      </c>
    </row>
    <row r="412" spans="1:8" x14ac:dyDescent="0.2">
      <c r="A412" s="12" t="str">
        <f t="shared" si="43"/>
        <v/>
      </c>
      <c r="B412" t="str">
        <f t="shared" si="38"/>
        <v/>
      </c>
      <c r="C412" s="17" t="str">
        <f t="shared" si="42"/>
        <v/>
      </c>
      <c r="D412" s="18" t="str">
        <f t="shared" si="39"/>
        <v/>
      </c>
      <c r="E412" t="str">
        <f t="shared" si="40"/>
        <v/>
      </c>
      <c r="F412" s="23" t="str">
        <f ca="1">IF(A412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412" s="19" t="str">
        <f>IF(A412="","",C412/(1+F412*$B$6/360)^(COUNT(A$16:A412)-($B$6-$D$16)/$B$6))</f>
        <v/>
      </c>
      <c r="H412" t="str">
        <f t="shared" si="41"/>
        <v/>
      </c>
    </row>
    <row r="413" spans="1:8" x14ac:dyDescent="0.2">
      <c r="A413" s="12" t="str">
        <f t="shared" si="43"/>
        <v/>
      </c>
      <c r="B413" t="str">
        <f t="shared" si="38"/>
        <v/>
      </c>
      <c r="C413" s="17" t="str">
        <f t="shared" si="42"/>
        <v/>
      </c>
      <c r="D413" s="18" t="str">
        <f t="shared" si="39"/>
        <v/>
      </c>
      <c r="E413" t="str">
        <f t="shared" si="40"/>
        <v/>
      </c>
      <c r="F413" s="23" t="str">
        <f ca="1">IF(A413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413" s="19" t="str">
        <f>IF(A413="","",C413/(1+F413*$B$6/360)^(COUNT(A$16:A413)-($B$6-$D$16)/$B$6))</f>
        <v/>
      </c>
      <c r="H413" t="str">
        <f t="shared" si="41"/>
        <v/>
      </c>
    </row>
    <row r="414" spans="1:8" x14ac:dyDescent="0.2">
      <c r="A414" s="12" t="str">
        <f t="shared" si="43"/>
        <v/>
      </c>
      <c r="B414" t="str">
        <f t="shared" si="38"/>
        <v/>
      </c>
      <c r="C414" s="17" t="str">
        <f t="shared" si="42"/>
        <v/>
      </c>
      <c r="D414" s="18" t="str">
        <f t="shared" si="39"/>
        <v/>
      </c>
      <c r="E414" t="str">
        <f t="shared" si="40"/>
        <v/>
      </c>
      <c r="F414" s="23" t="str">
        <f ca="1">IF(A414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414" s="19" t="str">
        <f>IF(A414="","",C414/(1+F414*$B$6/360)^(COUNT(A$16:A414)-($B$6-$D$16)/$B$6))</f>
        <v/>
      </c>
      <c r="H414" t="str">
        <f t="shared" si="41"/>
        <v/>
      </c>
    </row>
    <row r="415" spans="1:8" x14ac:dyDescent="0.2">
      <c r="A415" s="12" t="str">
        <f t="shared" si="43"/>
        <v/>
      </c>
      <c r="B415" t="str">
        <f t="shared" si="38"/>
        <v/>
      </c>
      <c r="C415" s="17" t="str">
        <f t="shared" si="42"/>
        <v/>
      </c>
      <c r="D415" s="18" t="str">
        <f t="shared" si="39"/>
        <v/>
      </c>
      <c r="E415" t="str">
        <f t="shared" si="40"/>
        <v/>
      </c>
      <c r="F415" s="23" t="str">
        <f ca="1">IF(A415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415" s="19" t="str">
        <f>IF(A415="","",C415/(1+F415*$B$6/360)^(COUNT(A$16:A415)-($B$6-$D$16)/$B$6))</f>
        <v/>
      </c>
      <c r="H415" t="str">
        <f t="shared" si="41"/>
        <v/>
      </c>
    </row>
    <row r="416" spans="1:8" x14ac:dyDescent="0.2">
      <c r="A416" s="12" t="str">
        <f t="shared" si="43"/>
        <v/>
      </c>
      <c r="B416" t="str">
        <f t="shared" si="38"/>
        <v/>
      </c>
      <c r="C416" s="17" t="str">
        <f t="shared" si="42"/>
        <v/>
      </c>
      <c r="D416" s="18" t="str">
        <f t="shared" si="39"/>
        <v/>
      </c>
      <c r="E416" t="str">
        <f t="shared" si="40"/>
        <v/>
      </c>
      <c r="F416" s="23" t="str">
        <f ca="1">IF(A416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416" s="19" t="str">
        <f>IF(A416="","",C416/(1+F416*$B$6/360)^(COUNT(A$16:A416)-($B$6-$D$16)/$B$6))</f>
        <v/>
      </c>
      <c r="H416" t="str">
        <f t="shared" si="41"/>
        <v/>
      </c>
    </row>
    <row r="417" spans="1:8" x14ac:dyDescent="0.2">
      <c r="A417" s="12" t="str">
        <f t="shared" si="43"/>
        <v/>
      </c>
      <c r="B417" t="str">
        <f t="shared" si="38"/>
        <v/>
      </c>
      <c r="C417" s="17" t="str">
        <f t="shared" si="42"/>
        <v/>
      </c>
      <c r="D417" s="18" t="str">
        <f t="shared" si="39"/>
        <v/>
      </c>
      <c r="E417" t="str">
        <f t="shared" si="40"/>
        <v/>
      </c>
      <c r="F417" s="23" t="str">
        <f ca="1">IF(A417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417" s="19" t="str">
        <f>IF(A417="","",C417/(1+F417*$B$6/360)^(COUNT(A$16:A417)-($B$6-$D$16)/$B$6))</f>
        <v/>
      </c>
      <c r="H417" t="str">
        <f t="shared" si="41"/>
        <v/>
      </c>
    </row>
    <row r="418" spans="1:8" x14ac:dyDescent="0.2">
      <c r="A418" s="12" t="str">
        <f t="shared" si="43"/>
        <v/>
      </c>
      <c r="B418" t="str">
        <f t="shared" si="38"/>
        <v/>
      </c>
      <c r="C418" s="17" t="str">
        <f t="shared" si="42"/>
        <v/>
      </c>
      <c r="D418" s="18" t="str">
        <f t="shared" si="39"/>
        <v/>
      </c>
      <c r="E418" t="str">
        <f t="shared" si="40"/>
        <v/>
      </c>
      <c r="F418" s="23" t="str">
        <f ca="1">IF(A418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418" s="19" t="str">
        <f>IF(A418="","",C418/(1+F418*$B$6/360)^(COUNT(A$16:A418)-($B$6-$D$16)/$B$6))</f>
        <v/>
      </c>
      <c r="H418" t="str">
        <f t="shared" si="41"/>
        <v/>
      </c>
    </row>
    <row r="419" spans="1:8" x14ac:dyDescent="0.2">
      <c r="A419" s="12" t="str">
        <f t="shared" si="43"/>
        <v/>
      </c>
      <c r="B419" t="str">
        <f t="shared" si="38"/>
        <v/>
      </c>
      <c r="C419" s="17" t="str">
        <f t="shared" si="42"/>
        <v/>
      </c>
      <c r="D419" s="18" t="str">
        <f t="shared" si="39"/>
        <v/>
      </c>
      <c r="E419" t="str">
        <f t="shared" si="40"/>
        <v/>
      </c>
      <c r="F419" s="23" t="str">
        <f ca="1">IF(A419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419" s="19" t="str">
        <f>IF(A419="","",C419/(1+F419*$B$6/360)^(COUNT(A$16:A419)-($B$6-$D$16)/$B$6))</f>
        <v/>
      </c>
      <c r="H419" t="str">
        <f t="shared" si="41"/>
        <v/>
      </c>
    </row>
    <row r="420" spans="1:8" x14ac:dyDescent="0.2">
      <c r="A420" s="12" t="str">
        <f t="shared" si="43"/>
        <v/>
      </c>
      <c r="B420" t="str">
        <f t="shared" si="38"/>
        <v/>
      </c>
      <c r="C420" s="17" t="str">
        <f t="shared" si="42"/>
        <v/>
      </c>
      <c r="D420" s="18" t="str">
        <f t="shared" si="39"/>
        <v/>
      </c>
      <c r="E420" t="str">
        <f t="shared" si="40"/>
        <v/>
      </c>
      <c r="F420" s="23" t="str">
        <f ca="1">IF(A420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420" s="19" t="str">
        <f>IF(A420="","",C420/(1+F420*$B$6/360)^(COUNT(A$16:A420)-($B$6-$D$16)/$B$6))</f>
        <v/>
      </c>
      <c r="H420" t="str">
        <f t="shared" si="41"/>
        <v/>
      </c>
    </row>
    <row r="421" spans="1:8" x14ac:dyDescent="0.2">
      <c r="A421" s="12" t="str">
        <f t="shared" si="43"/>
        <v/>
      </c>
      <c r="B421" t="str">
        <f t="shared" si="38"/>
        <v/>
      </c>
      <c r="C421" s="17" t="str">
        <f t="shared" si="42"/>
        <v/>
      </c>
      <c r="D421" s="18" t="str">
        <f t="shared" si="39"/>
        <v/>
      </c>
      <c r="E421" t="str">
        <f t="shared" si="40"/>
        <v/>
      </c>
      <c r="F421" s="23" t="str">
        <f ca="1">IF(A421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421" s="19" t="str">
        <f>IF(A421="","",C421/(1+F421*$B$6/360)^(COUNT(A$16:A421)-($B$6-$D$16)/$B$6))</f>
        <v/>
      </c>
      <c r="H421" t="str">
        <f t="shared" si="41"/>
        <v/>
      </c>
    </row>
    <row r="422" spans="1:8" x14ac:dyDescent="0.2">
      <c r="A422" s="12" t="str">
        <f t="shared" si="43"/>
        <v/>
      </c>
      <c r="B422" t="str">
        <f t="shared" si="38"/>
        <v/>
      </c>
      <c r="C422" s="17" t="str">
        <f t="shared" si="42"/>
        <v/>
      </c>
      <c r="D422" s="18" t="str">
        <f t="shared" si="39"/>
        <v/>
      </c>
      <c r="E422" t="str">
        <f t="shared" si="40"/>
        <v/>
      </c>
      <c r="F422" s="23" t="str">
        <f ca="1">IF(A422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422" s="19" t="str">
        <f>IF(A422="","",C422/(1+F422*$B$6/360)^(COUNT(A$16:A422)-($B$6-$D$16)/$B$6))</f>
        <v/>
      </c>
      <c r="H422" t="str">
        <f t="shared" si="41"/>
        <v/>
      </c>
    </row>
    <row r="423" spans="1:8" x14ac:dyDescent="0.2">
      <c r="A423" s="12" t="str">
        <f t="shared" si="43"/>
        <v/>
      </c>
      <c r="B423" t="str">
        <f t="shared" si="38"/>
        <v/>
      </c>
      <c r="C423" s="17" t="str">
        <f t="shared" si="42"/>
        <v/>
      </c>
      <c r="D423" s="18" t="str">
        <f t="shared" si="39"/>
        <v/>
      </c>
      <c r="E423" t="str">
        <f t="shared" si="40"/>
        <v/>
      </c>
      <c r="F423" s="23" t="str">
        <f ca="1">IF(A423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423" s="19" t="str">
        <f>IF(A423="","",C423/(1+F423*$B$6/360)^(COUNT(A$16:A423)-($B$6-$D$16)/$B$6))</f>
        <v/>
      </c>
      <c r="H423" t="str">
        <f t="shared" si="41"/>
        <v/>
      </c>
    </row>
    <row r="424" spans="1:8" x14ac:dyDescent="0.2">
      <c r="A424" s="12" t="str">
        <f t="shared" si="43"/>
        <v/>
      </c>
      <c r="B424" t="str">
        <f t="shared" si="38"/>
        <v/>
      </c>
      <c r="C424" s="17" t="str">
        <f t="shared" si="42"/>
        <v/>
      </c>
      <c r="D424" s="18" t="str">
        <f t="shared" si="39"/>
        <v/>
      </c>
      <c r="E424" t="str">
        <f t="shared" si="40"/>
        <v/>
      </c>
      <c r="F424" s="23" t="str">
        <f ca="1">IF(A424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424" s="19" t="str">
        <f>IF(A424="","",C424/(1+F424*$B$6/360)^(COUNT(A$16:A424)-($B$6-$D$16)/$B$6))</f>
        <v/>
      </c>
      <c r="H424" t="str">
        <f t="shared" si="41"/>
        <v/>
      </c>
    </row>
    <row r="425" spans="1:8" x14ac:dyDescent="0.2">
      <c r="A425" s="12" t="str">
        <f t="shared" si="43"/>
        <v/>
      </c>
      <c r="B425" t="str">
        <f t="shared" si="38"/>
        <v/>
      </c>
      <c r="C425" s="17" t="str">
        <f t="shared" si="42"/>
        <v/>
      </c>
      <c r="D425" s="18" t="str">
        <f t="shared" si="39"/>
        <v/>
      </c>
      <c r="E425" t="str">
        <f t="shared" si="40"/>
        <v/>
      </c>
      <c r="F425" s="23" t="str">
        <f ca="1">IF(A425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425" s="19" t="str">
        <f>IF(A425="","",C425/(1+F425*$B$6/360)^(COUNT(A$16:A425)-($B$6-$D$16)/$B$6))</f>
        <v/>
      </c>
      <c r="H425" t="str">
        <f t="shared" si="41"/>
        <v/>
      </c>
    </row>
    <row r="426" spans="1:8" x14ac:dyDescent="0.2">
      <c r="A426" s="12" t="str">
        <f t="shared" si="43"/>
        <v/>
      </c>
      <c r="B426" t="str">
        <f t="shared" si="38"/>
        <v/>
      </c>
      <c r="C426" s="17" t="str">
        <f t="shared" si="42"/>
        <v/>
      </c>
      <c r="D426" s="18" t="str">
        <f t="shared" si="39"/>
        <v/>
      </c>
      <c r="E426" t="str">
        <f t="shared" si="40"/>
        <v/>
      </c>
      <c r="F426" s="23" t="str">
        <f ca="1">IF(A426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426" s="19" t="str">
        <f>IF(A426="","",C426/(1+F426*$B$6/360)^(COUNT(A$16:A426)-($B$6-$D$16)/$B$6))</f>
        <v/>
      </c>
      <c r="H426" t="str">
        <f t="shared" si="41"/>
        <v/>
      </c>
    </row>
    <row r="427" spans="1:8" x14ac:dyDescent="0.2">
      <c r="A427" s="12" t="str">
        <f t="shared" si="43"/>
        <v/>
      </c>
      <c r="B427" t="str">
        <f t="shared" si="38"/>
        <v/>
      </c>
      <c r="C427" s="17" t="str">
        <f t="shared" si="42"/>
        <v/>
      </c>
      <c r="D427" s="18" t="str">
        <f t="shared" si="39"/>
        <v/>
      </c>
      <c r="E427" t="str">
        <f t="shared" si="40"/>
        <v/>
      </c>
      <c r="F427" s="23" t="str">
        <f ca="1">IF(A427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427" s="19" t="str">
        <f>IF(A427="","",C427/(1+F427*$B$6/360)^(COUNT(A$16:A427)-($B$6-$D$16)/$B$6))</f>
        <v/>
      </c>
      <c r="H427" t="str">
        <f t="shared" si="41"/>
        <v/>
      </c>
    </row>
    <row r="428" spans="1:8" x14ac:dyDescent="0.2">
      <c r="A428" s="12" t="str">
        <f t="shared" si="43"/>
        <v/>
      </c>
      <c r="B428" t="str">
        <f t="shared" si="38"/>
        <v/>
      </c>
      <c r="C428" s="17" t="str">
        <f t="shared" si="42"/>
        <v/>
      </c>
      <c r="D428" s="18" t="str">
        <f t="shared" si="39"/>
        <v/>
      </c>
      <c r="E428" t="str">
        <f t="shared" si="40"/>
        <v/>
      </c>
      <c r="F428" s="23" t="str">
        <f ca="1">IF(A428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428" s="19" t="str">
        <f>IF(A428="","",C428/(1+F428*$B$6/360)^(COUNT(A$16:A428)-($B$6-$D$16)/$B$6))</f>
        <v/>
      </c>
      <c r="H428" t="str">
        <f t="shared" si="41"/>
        <v/>
      </c>
    </row>
    <row r="429" spans="1:8" x14ac:dyDescent="0.2">
      <c r="A429" s="12" t="str">
        <f t="shared" si="43"/>
        <v/>
      </c>
      <c r="B429" t="str">
        <f t="shared" si="38"/>
        <v/>
      </c>
      <c r="C429" s="17" t="str">
        <f t="shared" si="42"/>
        <v/>
      </c>
      <c r="D429" s="18" t="str">
        <f t="shared" si="39"/>
        <v/>
      </c>
      <c r="E429" t="str">
        <f t="shared" si="40"/>
        <v/>
      </c>
      <c r="F429" s="23" t="str">
        <f ca="1">IF(A429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429" s="19" t="str">
        <f>IF(A429="","",C429/(1+F429*$B$6/360)^(COUNT(A$16:A429)-($B$6-$D$16)/$B$6))</f>
        <v/>
      </c>
      <c r="H429" t="str">
        <f t="shared" si="41"/>
        <v/>
      </c>
    </row>
    <row r="430" spans="1:8" x14ac:dyDescent="0.2">
      <c r="A430" s="12" t="str">
        <f t="shared" si="43"/>
        <v/>
      </c>
      <c r="B430" t="str">
        <f t="shared" si="38"/>
        <v/>
      </c>
      <c r="C430" s="17" t="str">
        <f t="shared" si="42"/>
        <v/>
      </c>
      <c r="D430" s="18" t="str">
        <f t="shared" si="39"/>
        <v/>
      </c>
      <c r="E430" t="str">
        <f t="shared" si="40"/>
        <v/>
      </c>
      <c r="F430" s="23" t="str">
        <f ca="1">IF(A430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430" s="19" t="str">
        <f>IF(A430="","",C430/(1+F430*$B$6/360)^(COUNT(A$16:A430)-($B$6-$D$16)/$B$6))</f>
        <v/>
      </c>
      <c r="H430" t="str">
        <f t="shared" si="41"/>
        <v/>
      </c>
    </row>
    <row r="431" spans="1:8" x14ac:dyDescent="0.2">
      <c r="A431" s="12" t="str">
        <f t="shared" si="43"/>
        <v/>
      </c>
      <c r="B431" t="str">
        <f t="shared" si="38"/>
        <v/>
      </c>
      <c r="C431" s="17" t="str">
        <f t="shared" si="42"/>
        <v/>
      </c>
      <c r="D431" s="18" t="str">
        <f t="shared" si="39"/>
        <v/>
      </c>
      <c r="E431" t="str">
        <f t="shared" si="40"/>
        <v/>
      </c>
      <c r="F431" s="23" t="str">
        <f ca="1">IF(A431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431" s="19" t="str">
        <f>IF(A431="","",C431/(1+F431*$B$6/360)^(COUNT(A$16:A431)-($B$6-$D$16)/$B$6))</f>
        <v/>
      </c>
      <c r="H431" t="str">
        <f t="shared" si="41"/>
        <v/>
      </c>
    </row>
    <row r="432" spans="1:8" x14ac:dyDescent="0.2">
      <c r="A432" s="12" t="str">
        <f t="shared" si="43"/>
        <v/>
      </c>
      <c r="B432" t="str">
        <f t="shared" si="38"/>
        <v/>
      </c>
      <c r="C432" s="17" t="str">
        <f t="shared" si="42"/>
        <v/>
      </c>
      <c r="D432" s="18" t="str">
        <f t="shared" si="39"/>
        <v/>
      </c>
      <c r="E432" t="str">
        <f t="shared" si="40"/>
        <v/>
      </c>
      <c r="F432" s="23" t="str">
        <f ca="1">IF(A432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432" s="19" t="str">
        <f>IF(A432="","",C432/(1+F432*$B$6/360)^(COUNT(A$16:A432)-($B$6-$D$16)/$B$6))</f>
        <v/>
      </c>
      <c r="H432" t="str">
        <f t="shared" si="41"/>
        <v/>
      </c>
    </row>
    <row r="433" spans="1:8" x14ac:dyDescent="0.2">
      <c r="A433" s="12" t="str">
        <f t="shared" si="43"/>
        <v/>
      </c>
      <c r="B433" t="str">
        <f t="shared" si="38"/>
        <v/>
      </c>
      <c r="C433" s="17" t="str">
        <f t="shared" si="42"/>
        <v/>
      </c>
      <c r="D433" s="18" t="str">
        <f t="shared" si="39"/>
        <v/>
      </c>
      <c r="E433" t="str">
        <f t="shared" si="40"/>
        <v/>
      </c>
      <c r="F433" s="23" t="str">
        <f ca="1">IF(A433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433" s="19" t="str">
        <f>IF(A433="","",C433/(1+F433*$B$6/360)^(COUNT(A$16:A433)-($B$6-$D$16)/$B$6))</f>
        <v/>
      </c>
      <c r="H433" t="str">
        <f t="shared" si="41"/>
        <v/>
      </c>
    </row>
    <row r="434" spans="1:8" x14ac:dyDescent="0.2">
      <c r="A434" s="12" t="str">
        <f t="shared" si="43"/>
        <v/>
      </c>
      <c r="B434" t="str">
        <f t="shared" si="38"/>
        <v/>
      </c>
      <c r="C434" s="17" t="str">
        <f t="shared" si="42"/>
        <v/>
      </c>
      <c r="D434" s="18" t="str">
        <f t="shared" si="39"/>
        <v/>
      </c>
      <c r="E434" t="str">
        <f t="shared" si="40"/>
        <v/>
      </c>
      <c r="F434" s="23" t="str">
        <f ca="1">IF(A434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434" s="19" t="str">
        <f>IF(A434="","",C434/(1+F434*$B$6/360)^(COUNT(A$16:A434)-($B$6-$D$16)/$B$6))</f>
        <v/>
      </c>
      <c r="H434" t="str">
        <f t="shared" si="41"/>
        <v/>
      </c>
    </row>
    <row r="435" spans="1:8" x14ac:dyDescent="0.2">
      <c r="A435" s="12" t="str">
        <f t="shared" si="43"/>
        <v/>
      </c>
      <c r="B435" t="str">
        <f t="shared" si="38"/>
        <v/>
      </c>
      <c r="C435" s="17" t="str">
        <f t="shared" si="42"/>
        <v/>
      </c>
      <c r="D435" s="18" t="str">
        <f t="shared" si="39"/>
        <v/>
      </c>
      <c r="E435" t="str">
        <f t="shared" si="40"/>
        <v/>
      </c>
      <c r="F435" s="23" t="str">
        <f ca="1">IF(A435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435" s="19" t="str">
        <f>IF(A435="","",C435/(1+F435*$B$6/360)^(COUNT(A$16:A435)-($B$6-$D$16)/$B$6))</f>
        <v/>
      </c>
      <c r="H435" t="str">
        <f t="shared" si="41"/>
        <v/>
      </c>
    </row>
    <row r="436" spans="1:8" x14ac:dyDescent="0.2">
      <c r="A436" s="12" t="str">
        <f t="shared" si="43"/>
        <v/>
      </c>
      <c r="B436" t="str">
        <f t="shared" si="38"/>
        <v/>
      </c>
      <c r="C436" s="17" t="str">
        <f t="shared" si="42"/>
        <v/>
      </c>
      <c r="D436" s="18" t="str">
        <f t="shared" si="39"/>
        <v/>
      </c>
      <c r="E436" t="str">
        <f t="shared" si="40"/>
        <v/>
      </c>
      <c r="F436" s="23" t="str">
        <f ca="1">IF(A436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436" s="19" t="str">
        <f>IF(A436="","",C436/(1+F436*$B$6/360)^(COUNT(A$16:A436)-($B$6-$D$16)/$B$6))</f>
        <v/>
      </c>
      <c r="H436" t="str">
        <f t="shared" si="41"/>
        <v/>
      </c>
    </row>
    <row r="437" spans="1:8" x14ac:dyDescent="0.2">
      <c r="A437" s="12" t="str">
        <f t="shared" si="43"/>
        <v/>
      </c>
      <c r="B437" t="str">
        <f t="shared" si="38"/>
        <v/>
      </c>
      <c r="C437" s="17" t="str">
        <f t="shared" si="42"/>
        <v/>
      </c>
      <c r="D437" s="18" t="str">
        <f t="shared" si="39"/>
        <v/>
      </c>
      <c r="E437" t="str">
        <f t="shared" si="40"/>
        <v/>
      </c>
      <c r="F437" s="23" t="str">
        <f ca="1">IF(A437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437" s="19" t="str">
        <f>IF(A437="","",C437/(1+F437*$B$6/360)^(COUNT(A$16:A437)-($B$6-$D$16)/$B$6))</f>
        <v/>
      </c>
      <c r="H437" t="str">
        <f t="shared" si="41"/>
        <v/>
      </c>
    </row>
    <row r="438" spans="1:8" x14ac:dyDescent="0.2">
      <c r="A438" s="12" t="str">
        <f t="shared" si="43"/>
        <v/>
      </c>
      <c r="B438" t="str">
        <f t="shared" si="38"/>
        <v/>
      </c>
      <c r="C438" s="17" t="str">
        <f t="shared" si="42"/>
        <v/>
      </c>
      <c r="D438" s="18" t="str">
        <f t="shared" si="39"/>
        <v/>
      </c>
      <c r="E438" t="str">
        <f t="shared" si="40"/>
        <v/>
      </c>
      <c r="F438" s="23" t="str">
        <f ca="1">IF(A438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438" s="19" t="str">
        <f>IF(A438="","",C438/(1+F438*$B$6/360)^(COUNT(A$16:A438)-($B$6-$D$16)/$B$6))</f>
        <v/>
      </c>
      <c r="H438" t="str">
        <f t="shared" si="41"/>
        <v/>
      </c>
    </row>
    <row r="439" spans="1:8" x14ac:dyDescent="0.2">
      <c r="A439" s="12" t="str">
        <f t="shared" si="43"/>
        <v/>
      </c>
      <c r="B439" t="str">
        <f t="shared" si="38"/>
        <v/>
      </c>
      <c r="C439" s="17" t="str">
        <f t="shared" si="42"/>
        <v/>
      </c>
      <c r="D439" s="18" t="str">
        <f t="shared" si="39"/>
        <v/>
      </c>
      <c r="E439" t="str">
        <f t="shared" si="40"/>
        <v/>
      </c>
      <c r="F439" s="23" t="str">
        <f ca="1">IF(A439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439" s="19" t="str">
        <f>IF(A439="","",C439/(1+F439*$B$6/360)^(COUNT(A$16:A439)-($B$6-$D$16)/$B$6))</f>
        <v/>
      </c>
      <c r="H439" t="str">
        <f t="shared" si="41"/>
        <v/>
      </c>
    </row>
    <row r="440" spans="1:8" x14ac:dyDescent="0.2">
      <c r="A440" s="12" t="str">
        <f t="shared" si="43"/>
        <v/>
      </c>
      <c r="B440" t="str">
        <f t="shared" si="38"/>
        <v/>
      </c>
      <c r="C440" s="17" t="str">
        <f t="shared" si="42"/>
        <v/>
      </c>
      <c r="D440" s="18" t="str">
        <f t="shared" si="39"/>
        <v/>
      </c>
      <c r="E440" t="str">
        <f t="shared" si="40"/>
        <v/>
      </c>
      <c r="F440" s="23" t="str">
        <f ca="1">IF(A440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440" s="19" t="str">
        <f>IF(A440="","",C440/(1+F440*$B$6/360)^(COUNT(A$16:A440)-($B$6-$D$16)/$B$6))</f>
        <v/>
      </c>
      <c r="H440" t="str">
        <f t="shared" si="41"/>
        <v/>
      </c>
    </row>
    <row r="441" spans="1:8" x14ac:dyDescent="0.2">
      <c r="A441" s="12" t="str">
        <f t="shared" si="43"/>
        <v/>
      </c>
      <c r="B441" t="str">
        <f t="shared" si="38"/>
        <v/>
      </c>
      <c r="C441" s="17" t="str">
        <f t="shared" si="42"/>
        <v/>
      </c>
      <c r="D441" s="18" t="str">
        <f t="shared" si="39"/>
        <v/>
      </c>
      <c r="E441" t="str">
        <f t="shared" si="40"/>
        <v/>
      </c>
      <c r="F441" s="23" t="str">
        <f ca="1">IF(A441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441" s="19" t="str">
        <f>IF(A441="","",C441/(1+F441*$B$6/360)^(COUNT(A$16:A441)-($B$6-$D$16)/$B$6))</f>
        <v/>
      </c>
      <c r="H441" t="str">
        <f t="shared" si="41"/>
        <v/>
      </c>
    </row>
    <row r="442" spans="1:8" x14ac:dyDescent="0.2">
      <c r="A442" s="12" t="str">
        <f t="shared" si="43"/>
        <v/>
      </c>
      <c r="B442" t="str">
        <f t="shared" si="38"/>
        <v/>
      </c>
      <c r="C442" s="17" t="str">
        <f t="shared" si="42"/>
        <v/>
      </c>
      <c r="D442" s="18" t="str">
        <f t="shared" si="39"/>
        <v/>
      </c>
      <c r="E442" t="str">
        <f t="shared" si="40"/>
        <v/>
      </c>
      <c r="F442" s="23" t="str">
        <f ca="1">IF(A442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442" s="19" t="str">
        <f>IF(A442="","",C442/(1+F442*$B$6/360)^(COUNT(A$16:A442)-($B$6-$D$16)/$B$6))</f>
        <v/>
      </c>
      <c r="H442" t="str">
        <f t="shared" si="41"/>
        <v/>
      </c>
    </row>
    <row r="443" spans="1:8" x14ac:dyDescent="0.2">
      <c r="A443" s="12" t="str">
        <f t="shared" si="43"/>
        <v/>
      </c>
      <c r="B443" t="str">
        <f t="shared" si="38"/>
        <v/>
      </c>
      <c r="C443" s="17" t="str">
        <f t="shared" si="42"/>
        <v/>
      </c>
      <c r="D443" s="18" t="str">
        <f t="shared" si="39"/>
        <v/>
      </c>
      <c r="E443" t="str">
        <f t="shared" si="40"/>
        <v/>
      </c>
      <c r="F443" s="23" t="str">
        <f ca="1">IF(A443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443" s="19" t="str">
        <f>IF(A443="","",C443/(1+F443*$B$6/360)^(COUNT(A$16:A443)-($B$6-$D$16)/$B$6))</f>
        <v/>
      </c>
      <c r="H443" t="str">
        <f t="shared" si="41"/>
        <v/>
      </c>
    </row>
    <row r="444" spans="1:8" x14ac:dyDescent="0.2">
      <c r="A444" s="12" t="str">
        <f t="shared" si="43"/>
        <v/>
      </c>
      <c r="B444" t="str">
        <f t="shared" si="38"/>
        <v/>
      </c>
      <c r="C444" s="17" t="str">
        <f t="shared" si="42"/>
        <v/>
      </c>
      <c r="D444" s="18" t="str">
        <f t="shared" si="39"/>
        <v/>
      </c>
      <c r="E444" t="str">
        <f t="shared" si="40"/>
        <v/>
      </c>
      <c r="F444" s="23" t="str">
        <f ca="1">IF(A444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444" s="19" t="str">
        <f>IF(A444="","",C444/(1+F444*$B$6/360)^(COUNT(A$16:A444)-($B$6-$D$16)/$B$6))</f>
        <v/>
      </c>
      <c r="H444" t="str">
        <f t="shared" si="41"/>
        <v/>
      </c>
    </row>
    <row r="445" spans="1:8" x14ac:dyDescent="0.2">
      <c r="A445" s="12" t="str">
        <f t="shared" si="43"/>
        <v/>
      </c>
      <c r="B445" t="str">
        <f t="shared" si="38"/>
        <v/>
      </c>
      <c r="C445" s="17" t="str">
        <f t="shared" si="42"/>
        <v/>
      </c>
      <c r="D445" s="18" t="str">
        <f t="shared" si="39"/>
        <v/>
      </c>
      <c r="E445" t="str">
        <f t="shared" si="40"/>
        <v/>
      </c>
      <c r="F445" s="23" t="str">
        <f ca="1">IF(A445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445" s="19" t="str">
        <f>IF(A445="","",C445/(1+F445*$B$6/360)^(COUNT(A$16:A445)-($B$6-$D$16)/$B$6))</f>
        <v/>
      </c>
      <c r="H445" t="str">
        <f t="shared" si="41"/>
        <v/>
      </c>
    </row>
    <row r="446" spans="1:8" x14ac:dyDescent="0.2">
      <c r="A446" s="12" t="str">
        <f t="shared" si="43"/>
        <v/>
      </c>
      <c r="B446" t="str">
        <f t="shared" si="38"/>
        <v/>
      </c>
      <c r="C446" s="17" t="str">
        <f t="shared" si="42"/>
        <v/>
      </c>
      <c r="D446" s="18" t="str">
        <f t="shared" si="39"/>
        <v/>
      </c>
      <c r="E446" t="str">
        <f t="shared" si="40"/>
        <v/>
      </c>
      <c r="F446" s="23" t="str">
        <f ca="1">IF(A446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446" s="19" t="str">
        <f>IF(A446="","",C446/(1+F446*$B$6/360)^(COUNT(A$16:A446)-($B$6-$D$16)/$B$6))</f>
        <v/>
      </c>
      <c r="H446" t="str">
        <f t="shared" si="41"/>
        <v/>
      </c>
    </row>
    <row r="447" spans="1:8" x14ac:dyDescent="0.2">
      <c r="A447" s="12" t="str">
        <f t="shared" si="43"/>
        <v/>
      </c>
      <c r="B447" t="str">
        <f t="shared" si="38"/>
        <v/>
      </c>
      <c r="C447" s="17" t="str">
        <f t="shared" si="42"/>
        <v/>
      </c>
      <c r="D447" s="18" t="str">
        <f t="shared" si="39"/>
        <v/>
      </c>
      <c r="E447" t="str">
        <f t="shared" si="40"/>
        <v/>
      </c>
      <c r="F447" s="23" t="str">
        <f ca="1">IF(A447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447" s="19" t="str">
        <f>IF(A447="","",C447/(1+F447*$B$6/360)^(COUNT(A$16:A447)-($B$6-$D$16)/$B$6))</f>
        <v/>
      </c>
      <c r="H447" t="str">
        <f t="shared" si="41"/>
        <v/>
      </c>
    </row>
    <row r="448" spans="1:8" x14ac:dyDescent="0.2">
      <c r="A448" s="12" t="str">
        <f t="shared" si="43"/>
        <v/>
      </c>
      <c r="B448" t="str">
        <f t="shared" si="38"/>
        <v/>
      </c>
      <c r="C448" s="17" t="str">
        <f t="shared" si="42"/>
        <v/>
      </c>
      <c r="D448" s="18" t="str">
        <f t="shared" si="39"/>
        <v/>
      </c>
      <c r="E448" t="str">
        <f t="shared" si="40"/>
        <v/>
      </c>
      <c r="F448" s="23" t="str">
        <f ca="1">IF(A448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448" s="19" t="str">
        <f>IF(A448="","",C448/(1+F448*$B$6/360)^(COUNT(A$16:A448)-($B$6-$D$16)/$B$6))</f>
        <v/>
      </c>
      <c r="H448" t="str">
        <f t="shared" si="41"/>
        <v/>
      </c>
    </row>
    <row r="449" spans="1:8" x14ac:dyDescent="0.2">
      <c r="A449" s="12" t="str">
        <f t="shared" si="43"/>
        <v/>
      </c>
      <c r="B449" t="str">
        <f t="shared" si="38"/>
        <v/>
      </c>
      <c r="C449" s="17" t="str">
        <f t="shared" si="42"/>
        <v/>
      </c>
      <c r="D449" s="18" t="str">
        <f t="shared" si="39"/>
        <v/>
      </c>
      <c r="E449" t="str">
        <f t="shared" si="40"/>
        <v/>
      </c>
      <c r="F449" s="23" t="str">
        <f ca="1">IF(A449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449" s="19" t="str">
        <f>IF(A449="","",C449/(1+F449*$B$6/360)^(COUNT(A$16:A449)-($B$6-$D$16)/$B$6))</f>
        <v/>
      </c>
      <c r="H449" t="str">
        <f t="shared" si="41"/>
        <v/>
      </c>
    </row>
    <row r="450" spans="1:8" x14ac:dyDescent="0.2">
      <c r="A450" s="12" t="str">
        <f t="shared" si="43"/>
        <v/>
      </c>
      <c r="B450" t="str">
        <f t="shared" si="38"/>
        <v/>
      </c>
      <c r="C450" s="17" t="str">
        <f t="shared" si="42"/>
        <v/>
      </c>
      <c r="D450" s="18" t="str">
        <f t="shared" si="39"/>
        <v/>
      </c>
      <c r="E450" t="str">
        <f t="shared" si="40"/>
        <v/>
      </c>
      <c r="F450" s="23" t="str">
        <f ca="1">IF(A450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450" s="19" t="str">
        <f>IF(A450="","",C450/(1+F450*$B$6/360)^(COUNT(A$16:A450)-($B$6-$D$16)/$B$6))</f>
        <v/>
      </c>
      <c r="H450" t="str">
        <f t="shared" si="41"/>
        <v/>
      </c>
    </row>
    <row r="451" spans="1:8" x14ac:dyDescent="0.2">
      <c r="A451" s="12" t="str">
        <f t="shared" si="43"/>
        <v/>
      </c>
      <c r="B451" t="str">
        <f t="shared" si="38"/>
        <v/>
      </c>
      <c r="C451" s="17" t="str">
        <f t="shared" si="42"/>
        <v/>
      </c>
      <c r="D451" s="18" t="str">
        <f t="shared" si="39"/>
        <v/>
      </c>
      <c r="E451" t="str">
        <f t="shared" si="40"/>
        <v/>
      </c>
      <c r="F451" s="23" t="str">
        <f ca="1">IF(A451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451" s="19" t="str">
        <f>IF(A451="","",C451/(1+F451*$B$6/360)^(COUNT(A$16:A451)-($B$6-$D$16)/$B$6))</f>
        <v/>
      </c>
      <c r="H451" t="str">
        <f t="shared" si="41"/>
        <v/>
      </c>
    </row>
    <row r="452" spans="1:8" x14ac:dyDescent="0.2">
      <c r="A452" s="12" t="str">
        <f t="shared" si="43"/>
        <v/>
      </c>
      <c r="B452" t="str">
        <f t="shared" si="38"/>
        <v/>
      </c>
      <c r="C452" s="17" t="str">
        <f t="shared" si="42"/>
        <v/>
      </c>
      <c r="D452" s="18" t="str">
        <f t="shared" si="39"/>
        <v/>
      </c>
      <c r="E452" t="str">
        <f t="shared" si="40"/>
        <v/>
      </c>
      <c r="F452" s="23" t="str">
        <f ca="1">IF(A452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452" s="19" t="str">
        <f>IF(A452="","",C452/(1+F452*$B$6/360)^(COUNT(A$16:A452)-($B$6-$D$16)/$B$6))</f>
        <v/>
      </c>
      <c r="H452" t="str">
        <f t="shared" si="41"/>
        <v/>
      </c>
    </row>
    <row r="453" spans="1:8" x14ac:dyDescent="0.2">
      <c r="A453" s="12" t="str">
        <f t="shared" si="43"/>
        <v/>
      </c>
      <c r="B453" t="str">
        <f t="shared" si="38"/>
        <v/>
      </c>
      <c r="C453" s="17" t="str">
        <f t="shared" si="42"/>
        <v/>
      </c>
      <c r="D453" s="18" t="str">
        <f t="shared" si="39"/>
        <v/>
      </c>
      <c r="E453" t="str">
        <f t="shared" si="40"/>
        <v/>
      </c>
      <c r="F453" s="23" t="str">
        <f ca="1">IF(A453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453" s="19" t="str">
        <f>IF(A453="","",C453/(1+F453*$B$6/360)^(COUNT(A$16:A453)-($B$6-$D$16)/$B$6))</f>
        <v/>
      </c>
      <c r="H453" t="str">
        <f t="shared" si="41"/>
        <v/>
      </c>
    </row>
    <row r="454" spans="1:8" x14ac:dyDescent="0.2">
      <c r="A454" s="12" t="str">
        <f t="shared" si="43"/>
        <v/>
      </c>
      <c r="B454" t="str">
        <f t="shared" si="38"/>
        <v/>
      </c>
      <c r="C454" s="17" t="str">
        <f t="shared" si="42"/>
        <v/>
      </c>
      <c r="D454" s="18" t="str">
        <f t="shared" si="39"/>
        <v/>
      </c>
      <c r="E454" t="str">
        <f t="shared" si="40"/>
        <v/>
      </c>
      <c r="F454" s="23" t="str">
        <f ca="1">IF(A454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454" s="19" t="str">
        <f>IF(A454="","",C454/(1+F454*$B$6/360)^(COUNT(A$16:A454)-($B$6-$D$16)/$B$6))</f>
        <v/>
      </c>
      <c r="H454" t="str">
        <f t="shared" si="41"/>
        <v/>
      </c>
    </row>
    <row r="455" spans="1:8" x14ac:dyDescent="0.2">
      <c r="A455" s="12" t="str">
        <f t="shared" si="43"/>
        <v/>
      </c>
      <c r="B455" t="str">
        <f t="shared" si="38"/>
        <v/>
      </c>
      <c r="C455" s="17" t="str">
        <f t="shared" si="42"/>
        <v/>
      </c>
      <c r="D455" s="18" t="str">
        <f t="shared" si="39"/>
        <v/>
      </c>
      <c r="E455" t="str">
        <f t="shared" si="40"/>
        <v/>
      </c>
      <c r="F455" s="23" t="str">
        <f ca="1">IF(A455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455" s="19" t="str">
        <f>IF(A455="","",C455/(1+F455*$B$6/360)^(COUNT(A$16:A455)-($B$6-$D$16)/$B$6))</f>
        <v/>
      </c>
      <c r="H455" t="str">
        <f t="shared" si="41"/>
        <v/>
      </c>
    </row>
    <row r="456" spans="1:8" x14ac:dyDescent="0.2">
      <c r="A456" s="12" t="str">
        <f t="shared" si="43"/>
        <v/>
      </c>
      <c r="B456" t="str">
        <f t="shared" si="38"/>
        <v/>
      </c>
      <c r="C456" s="17" t="str">
        <f t="shared" si="42"/>
        <v/>
      </c>
      <c r="D456" s="18" t="str">
        <f t="shared" si="39"/>
        <v/>
      </c>
      <c r="E456" t="str">
        <f t="shared" si="40"/>
        <v/>
      </c>
      <c r="F456" s="23" t="str">
        <f ca="1">IF(A456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456" s="19" t="str">
        <f>IF(A456="","",C456/(1+F456*$B$6/360)^(COUNT(A$16:A456)-($B$6-$D$16)/$B$6))</f>
        <v/>
      </c>
      <c r="H456" t="str">
        <f t="shared" si="41"/>
        <v/>
      </c>
    </row>
    <row r="457" spans="1:8" x14ac:dyDescent="0.2">
      <c r="A457" s="12" t="str">
        <f t="shared" si="43"/>
        <v/>
      </c>
      <c r="B457" t="str">
        <f t="shared" si="38"/>
        <v/>
      </c>
      <c r="C457" s="17" t="str">
        <f t="shared" si="42"/>
        <v/>
      </c>
      <c r="D457" s="18" t="str">
        <f t="shared" si="39"/>
        <v/>
      </c>
      <c r="E457" t="str">
        <f t="shared" si="40"/>
        <v/>
      </c>
      <c r="F457" s="23" t="str">
        <f ca="1">IF(A457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457" s="19" t="str">
        <f>IF(A457="","",C457/(1+F457*$B$6/360)^(COUNT(A$16:A457)-($B$6-$D$16)/$B$6))</f>
        <v/>
      </c>
      <c r="H457" t="str">
        <f t="shared" si="41"/>
        <v/>
      </c>
    </row>
    <row r="458" spans="1:8" x14ac:dyDescent="0.2">
      <c r="A458" s="12" t="str">
        <f t="shared" si="43"/>
        <v/>
      </c>
      <c r="B458" t="str">
        <f t="shared" si="38"/>
        <v/>
      </c>
      <c r="C458" s="17" t="str">
        <f t="shared" si="42"/>
        <v/>
      </c>
      <c r="D458" s="18" t="str">
        <f t="shared" si="39"/>
        <v/>
      </c>
      <c r="E458" t="str">
        <f t="shared" si="40"/>
        <v/>
      </c>
      <c r="F458" s="23" t="str">
        <f ca="1">IF(A458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458" s="19" t="str">
        <f>IF(A458="","",C458/(1+F458*$B$6/360)^(COUNT(A$16:A458)-($B$6-$D$16)/$B$6))</f>
        <v/>
      </c>
      <c r="H458" t="str">
        <f t="shared" si="41"/>
        <v/>
      </c>
    </row>
    <row r="459" spans="1:8" x14ac:dyDescent="0.2">
      <c r="A459" s="12" t="str">
        <f t="shared" si="43"/>
        <v/>
      </c>
      <c r="B459" t="str">
        <f t="shared" si="38"/>
        <v/>
      </c>
      <c r="C459" s="17" t="str">
        <f t="shared" si="42"/>
        <v/>
      </c>
      <c r="D459" s="18" t="str">
        <f t="shared" si="39"/>
        <v/>
      </c>
      <c r="E459" t="str">
        <f t="shared" si="40"/>
        <v/>
      </c>
      <c r="F459" s="23" t="str">
        <f ca="1">IF(A459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459" s="19" t="str">
        <f>IF(A459="","",C459/(1+F459*$B$6/360)^(COUNT(A$16:A459)-($B$6-$D$16)/$B$6))</f>
        <v/>
      </c>
      <c r="H459" t="str">
        <f t="shared" si="41"/>
        <v/>
      </c>
    </row>
    <row r="460" spans="1:8" x14ac:dyDescent="0.2">
      <c r="A460" s="12" t="str">
        <f t="shared" si="43"/>
        <v/>
      </c>
      <c r="B460" t="str">
        <f t="shared" si="38"/>
        <v/>
      </c>
      <c r="C460" s="17" t="str">
        <f t="shared" si="42"/>
        <v/>
      </c>
      <c r="D460" s="18" t="str">
        <f t="shared" si="39"/>
        <v/>
      </c>
      <c r="E460" t="str">
        <f t="shared" si="40"/>
        <v/>
      </c>
      <c r="F460" s="23" t="str">
        <f ca="1">IF(A460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460" s="19" t="str">
        <f>IF(A460="","",C460/(1+F460*$B$6/360)^(COUNT(A$16:A460)-($B$6-$D$16)/$B$6))</f>
        <v/>
      </c>
      <c r="H460" t="str">
        <f t="shared" si="41"/>
        <v/>
      </c>
    </row>
    <row r="461" spans="1:8" x14ac:dyDescent="0.2">
      <c r="A461" s="12" t="str">
        <f t="shared" si="43"/>
        <v/>
      </c>
      <c r="B461" t="str">
        <f t="shared" si="38"/>
        <v/>
      </c>
      <c r="C461" s="17" t="str">
        <f t="shared" si="42"/>
        <v/>
      </c>
      <c r="D461" s="18" t="str">
        <f t="shared" si="39"/>
        <v/>
      </c>
      <c r="E461" t="str">
        <f t="shared" si="40"/>
        <v/>
      </c>
      <c r="F461" s="23" t="str">
        <f ca="1">IF(A461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461" s="19" t="str">
        <f>IF(A461="","",C461/(1+F461*$B$6/360)^(COUNT(A$16:A461)-($B$6-$D$16)/$B$6))</f>
        <v/>
      </c>
      <c r="H461" t="str">
        <f t="shared" si="41"/>
        <v/>
      </c>
    </row>
    <row r="462" spans="1:8" x14ac:dyDescent="0.2">
      <c r="A462" s="12" t="str">
        <f t="shared" si="43"/>
        <v/>
      </c>
      <c r="B462" t="str">
        <f t="shared" si="38"/>
        <v/>
      </c>
      <c r="C462" s="17" t="str">
        <f t="shared" si="42"/>
        <v/>
      </c>
      <c r="D462" s="18" t="str">
        <f t="shared" si="39"/>
        <v/>
      </c>
      <c r="E462" t="str">
        <f t="shared" si="40"/>
        <v/>
      </c>
      <c r="F462" s="23" t="str">
        <f ca="1">IF(A462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462" s="19" t="str">
        <f>IF(A462="","",C462/(1+F462*$B$6/360)^(COUNT(A$16:A462)-($B$6-$D$16)/$B$6))</f>
        <v/>
      </c>
      <c r="H462" t="str">
        <f t="shared" si="41"/>
        <v/>
      </c>
    </row>
    <row r="463" spans="1:8" x14ac:dyDescent="0.2">
      <c r="A463" s="12" t="str">
        <f t="shared" si="43"/>
        <v/>
      </c>
      <c r="B463" t="str">
        <f t="shared" si="38"/>
        <v/>
      </c>
      <c r="C463" s="17" t="str">
        <f t="shared" si="42"/>
        <v/>
      </c>
      <c r="D463" s="18" t="str">
        <f t="shared" si="39"/>
        <v/>
      </c>
      <c r="E463" t="str">
        <f t="shared" si="40"/>
        <v/>
      </c>
      <c r="F463" s="23" t="str">
        <f ca="1">IF(A463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463" s="19" t="str">
        <f>IF(A463="","",C463/(1+F463*$B$6/360)^(COUNT(A$16:A463)-($B$6-$D$16)/$B$6))</f>
        <v/>
      </c>
      <c r="H463" t="str">
        <f t="shared" si="41"/>
        <v/>
      </c>
    </row>
    <row r="464" spans="1:8" x14ac:dyDescent="0.2">
      <c r="A464" s="12" t="str">
        <f t="shared" si="43"/>
        <v/>
      </c>
      <c r="B464" t="str">
        <f t="shared" si="38"/>
        <v/>
      </c>
      <c r="C464" s="17" t="str">
        <f t="shared" si="42"/>
        <v/>
      </c>
      <c r="D464" s="18" t="str">
        <f t="shared" si="39"/>
        <v/>
      </c>
      <c r="E464" t="str">
        <f t="shared" si="40"/>
        <v/>
      </c>
      <c r="F464" s="23" t="str">
        <f ca="1">IF(A464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464" s="19" t="str">
        <f>IF(A464="","",C464/(1+F464*$B$6/360)^(COUNT(A$16:A464)-($B$6-$D$16)/$B$6))</f>
        <v/>
      </c>
      <c r="H464" t="str">
        <f t="shared" si="41"/>
        <v/>
      </c>
    </row>
    <row r="465" spans="1:8" x14ac:dyDescent="0.2">
      <c r="A465" s="12" t="str">
        <f t="shared" si="43"/>
        <v/>
      </c>
      <c r="B465" t="str">
        <f t="shared" ref="B465:B528" si="44">IF(A465="","",$B$5)</f>
        <v/>
      </c>
      <c r="C465" s="17" t="str">
        <f t="shared" si="42"/>
        <v/>
      </c>
      <c r="D465" s="18" t="str">
        <f t="shared" ref="D465:D528" si="45">IF(A465="","",$B$6)</f>
        <v/>
      </c>
      <c r="E465" t="str">
        <f t="shared" ref="E465:E528" si="46">IF(A465="","",E464+D465)</f>
        <v/>
      </c>
      <c r="F465" s="23" t="str">
        <f ca="1">IF(A465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465" s="19" t="str">
        <f>IF(A465="","",C465/(1+F465*$B$6/360)^(COUNT(A$16:A465)-($B$6-$D$16)/$B$6))</f>
        <v/>
      </c>
      <c r="H465" t="str">
        <f t="shared" ref="H465:H528" si="47">IF(A465="","",C465/(1+F465*$B$6/360)^(E465/$B$6))</f>
        <v/>
      </c>
    </row>
    <row r="466" spans="1:8" x14ac:dyDescent="0.2">
      <c r="A466" s="12" t="str">
        <f t="shared" si="43"/>
        <v/>
      </c>
      <c r="B466" t="str">
        <f t="shared" si="44"/>
        <v/>
      </c>
      <c r="C466" s="17" t="str">
        <f t="shared" si="42"/>
        <v/>
      </c>
      <c r="D466" s="18" t="str">
        <f t="shared" si="45"/>
        <v/>
      </c>
      <c r="E466" t="str">
        <f t="shared" si="46"/>
        <v/>
      </c>
      <c r="F466" s="23" t="str">
        <f ca="1">IF(A466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466" s="19" t="str">
        <f>IF(A466="","",C466/(1+F466*$B$6/360)^(COUNT(A$16:A466)-($B$6-$D$16)/$B$6))</f>
        <v/>
      </c>
      <c r="H466" t="str">
        <f t="shared" si="47"/>
        <v/>
      </c>
    </row>
    <row r="467" spans="1:8" x14ac:dyDescent="0.2">
      <c r="A467" s="12" t="str">
        <f t="shared" si="43"/>
        <v/>
      </c>
      <c r="B467" t="str">
        <f t="shared" si="44"/>
        <v/>
      </c>
      <c r="C467" s="17" t="str">
        <f t="shared" si="42"/>
        <v/>
      </c>
      <c r="D467" s="18" t="str">
        <f t="shared" si="45"/>
        <v/>
      </c>
      <c r="E467" t="str">
        <f t="shared" si="46"/>
        <v/>
      </c>
      <c r="F467" s="23" t="str">
        <f ca="1">IF(A467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467" s="19" t="str">
        <f>IF(A467="","",C467/(1+F467*$B$6/360)^(COUNT(A$16:A467)-($B$6-$D$16)/$B$6))</f>
        <v/>
      </c>
      <c r="H467" t="str">
        <f t="shared" si="47"/>
        <v/>
      </c>
    </row>
    <row r="468" spans="1:8" x14ac:dyDescent="0.2">
      <c r="A468" s="12" t="str">
        <f t="shared" si="43"/>
        <v/>
      </c>
      <c r="B468" t="str">
        <f t="shared" si="44"/>
        <v/>
      </c>
      <c r="C468" s="17" t="str">
        <f t="shared" si="42"/>
        <v/>
      </c>
      <c r="D468" s="18" t="str">
        <f t="shared" si="45"/>
        <v/>
      </c>
      <c r="E468" t="str">
        <f t="shared" si="46"/>
        <v/>
      </c>
      <c r="F468" s="23" t="str">
        <f ca="1">IF(A468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468" s="19" t="str">
        <f>IF(A468="","",C468/(1+F468*$B$6/360)^(COUNT(A$16:A468)-($B$6-$D$16)/$B$6))</f>
        <v/>
      </c>
      <c r="H468" t="str">
        <f t="shared" si="47"/>
        <v/>
      </c>
    </row>
    <row r="469" spans="1:8" x14ac:dyDescent="0.2">
      <c r="A469" s="12" t="str">
        <f t="shared" si="43"/>
        <v/>
      </c>
      <c r="B469" t="str">
        <f t="shared" si="44"/>
        <v/>
      </c>
      <c r="C469" s="17" t="str">
        <f t="shared" si="42"/>
        <v/>
      </c>
      <c r="D469" s="18" t="str">
        <f t="shared" si="45"/>
        <v/>
      </c>
      <c r="E469" t="str">
        <f t="shared" si="46"/>
        <v/>
      </c>
      <c r="F469" s="23" t="str">
        <f ca="1">IF(A469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469" s="19" t="str">
        <f>IF(A469="","",C469/(1+F469*$B$6/360)^(COUNT(A$16:A469)-($B$6-$D$16)/$B$6))</f>
        <v/>
      </c>
      <c r="H469" t="str">
        <f t="shared" si="47"/>
        <v/>
      </c>
    </row>
    <row r="470" spans="1:8" x14ac:dyDescent="0.2">
      <c r="A470" s="12" t="str">
        <f t="shared" si="43"/>
        <v/>
      </c>
      <c r="B470" t="str">
        <f t="shared" si="44"/>
        <v/>
      </c>
      <c r="C470" s="17" t="str">
        <f t="shared" si="42"/>
        <v/>
      </c>
      <c r="D470" s="18" t="str">
        <f t="shared" si="45"/>
        <v/>
      </c>
      <c r="E470" t="str">
        <f t="shared" si="46"/>
        <v/>
      </c>
      <c r="F470" s="23" t="str">
        <f ca="1">IF(A470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470" s="19" t="str">
        <f>IF(A470="","",C470/(1+F470*$B$6/360)^(COUNT(A$16:A470)-($B$6-$D$16)/$B$6))</f>
        <v/>
      </c>
      <c r="H470" t="str">
        <f t="shared" si="47"/>
        <v/>
      </c>
    </row>
    <row r="471" spans="1:8" x14ac:dyDescent="0.2">
      <c r="A471" s="12" t="str">
        <f t="shared" si="43"/>
        <v/>
      </c>
      <c r="B471" t="str">
        <f t="shared" si="44"/>
        <v/>
      </c>
      <c r="C471" s="17" t="str">
        <f t="shared" si="42"/>
        <v/>
      </c>
      <c r="D471" s="18" t="str">
        <f t="shared" si="45"/>
        <v/>
      </c>
      <c r="E471" t="str">
        <f t="shared" si="46"/>
        <v/>
      </c>
      <c r="F471" s="23" t="str">
        <f ca="1">IF(A471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471" s="19" t="str">
        <f>IF(A471="","",C471/(1+F471*$B$6/360)^(COUNT(A$16:A471)-($B$6-$D$16)/$B$6))</f>
        <v/>
      </c>
      <c r="H471" t="str">
        <f t="shared" si="47"/>
        <v/>
      </c>
    </row>
    <row r="472" spans="1:8" x14ac:dyDescent="0.2">
      <c r="A472" s="12" t="str">
        <f t="shared" si="43"/>
        <v/>
      </c>
      <c r="B472" t="str">
        <f t="shared" si="44"/>
        <v/>
      </c>
      <c r="C472" s="17" t="str">
        <f t="shared" si="42"/>
        <v/>
      </c>
      <c r="D472" s="18" t="str">
        <f t="shared" si="45"/>
        <v/>
      </c>
      <c r="E472" t="str">
        <f t="shared" si="46"/>
        <v/>
      </c>
      <c r="F472" s="23" t="str">
        <f ca="1">IF(A472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472" s="19" t="str">
        <f>IF(A472="","",C472/(1+F472*$B$6/360)^(COUNT(A$16:A472)-($B$6-$D$16)/$B$6))</f>
        <v/>
      </c>
      <c r="H472" t="str">
        <f t="shared" si="47"/>
        <v/>
      </c>
    </row>
    <row r="473" spans="1:8" x14ac:dyDescent="0.2">
      <c r="A473" s="12" t="str">
        <f t="shared" si="43"/>
        <v/>
      </c>
      <c r="B473" t="str">
        <f t="shared" si="44"/>
        <v/>
      </c>
      <c r="C473" s="17" t="str">
        <f t="shared" si="42"/>
        <v/>
      </c>
      <c r="D473" s="18" t="str">
        <f t="shared" si="45"/>
        <v/>
      </c>
      <c r="E473" t="str">
        <f t="shared" si="46"/>
        <v/>
      </c>
      <c r="F473" s="23" t="str">
        <f ca="1">IF(A473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473" s="19" t="str">
        <f>IF(A473="","",C473/(1+F473*$B$6/360)^(COUNT(A$16:A473)-($B$6-$D$16)/$B$6))</f>
        <v/>
      </c>
      <c r="H473" t="str">
        <f t="shared" si="47"/>
        <v/>
      </c>
    </row>
    <row r="474" spans="1:8" x14ac:dyDescent="0.2">
      <c r="A474" s="12" t="str">
        <f t="shared" si="43"/>
        <v/>
      </c>
      <c r="B474" t="str">
        <f t="shared" si="44"/>
        <v/>
      </c>
      <c r="C474" s="17" t="str">
        <f t="shared" ref="C474:C537" si="48">IF(A474="","",IF(A474=$B$4,$B$1*$B$2, $B$5*$B$6/360*$B$1*$B$2))</f>
        <v/>
      </c>
      <c r="D474" s="18" t="str">
        <f t="shared" si="45"/>
        <v/>
      </c>
      <c r="E474" t="str">
        <f t="shared" si="46"/>
        <v/>
      </c>
      <c r="F474" s="23" t="str">
        <f ca="1">IF(A474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474" s="19" t="str">
        <f>IF(A474="","",C474/(1+F474*$B$6/360)^(COUNT(A$16:A474)-($B$6-$D$16)/$B$6))</f>
        <v/>
      </c>
      <c r="H474" t="str">
        <f t="shared" si="47"/>
        <v/>
      </c>
    </row>
    <row r="475" spans="1:8" x14ac:dyDescent="0.2">
      <c r="A475" s="12" t="str">
        <f t="shared" ref="A475:A538" si="49">IF(A474="","",IF((A474+$B$6)&gt;$B$4,"",(A474+$B$6)))</f>
        <v/>
      </c>
      <c r="B475" t="str">
        <f t="shared" si="44"/>
        <v/>
      </c>
      <c r="C475" s="17" t="str">
        <f t="shared" si="48"/>
        <v/>
      </c>
      <c r="D475" s="18" t="str">
        <f t="shared" si="45"/>
        <v/>
      </c>
      <c r="E475" t="str">
        <f t="shared" si="46"/>
        <v/>
      </c>
      <c r="F475" s="23" t="str">
        <f ca="1">IF(A475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475" s="19" t="str">
        <f>IF(A475="","",C475/(1+F475*$B$6/360)^(COUNT(A$16:A475)-($B$6-$D$16)/$B$6))</f>
        <v/>
      </c>
      <c r="H475" t="str">
        <f t="shared" si="47"/>
        <v/>
      </c>
    </row>
    <row r="476" spans="1:8" x14ac:dyDescent="0.2">
      <c r="A476" s="12" t="str">
        <f t="shared" si="49"/>
        <v/>
      </c>
      <c r="B476" t="str">
        <f t="shared" si="44"/>
        <v/>
      </c>
      <c r="C476" s="17" t="str">
        <f t="shared" si="48"/>
        <v/>
      </c>
      <c r="D476" s="18" t="str">
        <f t="shared" si="45"/>
        <v/>
      </c>
      <c r="E476" t="str">
        <f t="shared" si="46"/>
        <v/>
      </c>
      <c r="F476" s="23" t="str">
        <f ca="1">IF(A476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476" s="19" t="str">
        <f>IF(A476="","",C476/(1+F476*$B$6/360)^(COUNT(A$16:A476)-($B$6-$D$16)/$B$6))</f>
        <v/>
      </c>
      <c r="H476" t="str">
        <f t="shared" si="47"/>
        <v/>
      </c>
    </row>
    <row r="477" spans="1:8" x14ac:dyDescent="0.2">
      <c r="A477" s="12" t="str">
        <f t="shared" si="49"/>
        <v/>
      </c>
      <c r="B477" t="str">
        <f t="shared" si="44"/>
        <v/>
      </c>
      <c r="C477" s="17" t="str">
        <f t="shared" si="48"/>
        <v/>
      </c>
      <c r="D477" s="18" t="str">
        <f t="shared" si="45"/>
        <v/>
      </c>
      <c r="E477" t="str">
        <f t="shared" si="46"/>
        <v/>
      </c>
      <c r="F477" s="23" t="str">
        <f ca="1">IF(A477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477" s="19" t="str">
        <f>IF(A477="","",C477/(1+F477*$B$6/360)^(COUNT(A$16:A477)-($B$6-$D$16)/$B$6))</f>
        <v/>
      </c>
      <c r="H477" t="str">
        <f t="shared" si="47"/>
        <v/>
      </c>
    </row>
    <row r="478" spans="1:8" x14ac:dyDescent="0.2">
      <c r="A478" s="12" t="str">
        <f t="shared" si="49"/>
        <v/>
      </c>
      <c r="B478" t="str">
        <f t="shared" si="44"/>
        <v/>
      </c>
      <c r="C478" s="17" t="str">
        <f t="shared" si="48"/>
        <v/>
      </c>
      <c r="D478" s="18" t="str">
        <f t="shared" si="45"/>
        <v/>
      </c>
      <c r="E478" t="str">
        <f t="shared" si="46"/>
        <v/>
      </c>
      <c r="F478" s="23" t="str">
        <f ca="1">IF(A478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478" s="19" t="str">
        <f>IF(A478="","",C478/(1+F478*$B$6/360)^(COUNT(A$16:A478)-($B$6-$D$16)/$B$6))</f>
        <v/>
      </c>
      <c r="H478" t="str">
        <f t="shared" si="47"/>
        <v/>
      </c>
    </row>
    <row r="479" spans="1:8" x14ac:dyDescent="0.2">
      <c r="A479" s="12" t="str">
        <f t="shared" si="49"/>
        <v/>
      </c>
      <c r="B479" t="str">
        <f t="shared" si="44"/>
        <v/>
      </c>
      <c r="C479" s="17" t="str">
        <f t="shared" si="48"/>
        <v/>
      </c>
      <c r="D479" s="18" t="str">
        <f t="shared" si="45"/>
        <v/>
      </c>
      <c r="E479" t="str">
        <f t="shared" si="46"/>
        <v/>
      </c>
      <c r="F479" s="23" t="str">
        <f ca="1">IF(A479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479" s="19" t="str">
        <f>IF(A479="","",C479/(1+F479*$B$6/360)^(COUNT(A$16:A479)-($B$6-$D$16)/$B$6))</f>
        <v/>
      </c>
      <c r="H479" t="str">
        <f t="shared" si="47"/>
        <v/>
      </c>
    </row>
    <row r="480" spans="1:8" x14ac:dyDescent="0.2">
      <c r="A480" s="12" t="str">
        <f t="shared" si="49"/>
        <v/>
      </c>
      <c r="B480" t="str">
        <f t="shared" si="44"/>
        <v/>
      </c>
      <c r="C480" s="17" t="str">
        <f t="shared" si="48"/>
        <v/>
      </c>
      <c r="D480" s="18" t="str">
        <f t="shared" si="45"/>
        <v/>
      </c>
      <c r="E480" t="str">
        <f t="shared" si="46"/>
        <v/>
      </c>
      <c r="F480" s="23" t="str">
        <f ca="1">IF(A480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480" s="19" t="str">
        <f>IF(A480="","",C480/(1+F480*$B$6/360)^(COUNT(A$16:A480)-($B$6-$D$16)/$B$6))</f>
        <v/>
      </c>
      <c r="H480" t="str">
        <f t="shared" si="47"/>
        <v/>
      </c>
    </row>
    <row r="481" spans="1:8" x14ac:dyDescent="0.2">
      <c r="A481" s="12" t="str">
        <f t="shared" si="49"/>
        <v/>
      </c>
      <c r="B481" t="str">
        <f t="shared" si="44"/>
        <v/>
      </c>
      <c r="C481" s="17" t="str">
        <f t="shared" si="48"/>
        <v/>
      </c>
      <c r="D481" s="18" t="str">
        <f t="shared" si="45"/>
        <v/>
      </c>
      <c r="E481" t="str">
        <f t="shared" si="46"/>
        <v/>
      </c>
      <c r="F481" s="23" t="str">
        <f ca="1">IF(A481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481" s="19" t="str">
        <f>IF(A481="","",C481/(1+F481*$B$6/360)^(COUNT(A$16:A481)-($B$6-$D$16)/$B$6))</f>
        <v/>
      </c>
      <c r="H481" t="str">
        <f t="shared" si="47"/>
        <v/>
      </c>
    </row>
    <row r="482" spans="1:8" x14ac:dyDescent="0.2">
      <c r="A482" s="12" t="str">
        <f t="shared" si="49"/>
        <v/>
      </c>
      <c r="B482" t="str">
        <f t="shared" si="44"/>
        <v/>
      </c>
      <c r="C482" s="17" t="str">
        <f t="shared" si="48"/>
        <v/>
      </c>
      <c r="D482" s="18" t="str">
        <f t="shared" si="45"/>
        <v/>
      </c>
      <c r="E482" t="str">
        <f t="shared" si="46"/>
        <v/>
      </c>
      <c r="F482" s="23" t="str">
        <f ca="1">IF(A482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482" s="19" t="str">
        <f>IF(A482="","",C482/(1+F482*$B$6/360)^(COUNT(A$16:A482)-($B$6-$D$16)/$B$6))</f>
        <v/>
      </c>
      <c r="H482" t="str">
        <f t="shared" si="47"/>
        <v/>
      </c>
    </row>
    <row r="483" spans="1:8" x14ac:dyDescent="0.2">
      <c r="A483" s="12" t="str">
        <f t="shared" si="49"/>
        <v/>
      </c>
      <c r="B483" t="str">
        <f t="shared" si="44"/>
        <v/>
      </c>
      <c r="C483" s="17" t="str">
        <f t="shared" si="48"/>
        <v/>
      </c>
      <c r="D483" s="18" t="str">
        <f t="shared" si="45"/>
        <v/>
      </c>
      <c r="E483" t="str">
        <f t="shared" si="46"/>
        <v/>
      </c>
      <c r="F483" s="23" t="str">
        <f ca="1">IF(A483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483" s="19" t="str">
        <f>IF(A483="","",C483/(1+F483*$B$6/360)^(COUNT(A$16:A483)-($B$6-$D$16)/$B$6))</f>
        <v/>
      </c>
      <c r="H483" t="str">
        <f t="shared" si="47"/>
        <v/>
      </c>
    </row>
    <row r="484" spans="1:8" x14ac:dyDescent="0.2">
      <c r="A484" s="12" t="str">
        <f t="shared" si="49"/>
        <v/>
      </c>
      <c r="B484" t="str">
        <f t="shared" si="44"/>
        <v/>
      </c>
      <c r="C484" s="17" t="str">
        <f t="shared" si="48"/>
        <v/>
      </c>
      <c r="D484" s="18" t="str">
        <f t="shared" si="45"/>
        <v/>
      </c>
      <c r="E484" t="str">
        <f t="shared" si="46"/>
        <v/>
      </c>
      <c r="F484" s="23" t="str">
        <f ca="1">IF(A484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484" s="19" t="str">
        <f>IF(A484="","",C484/(1+F484*$B$6/360)^(COUNT(A$16:A484)-($B$6-$D$16)/$B$6))</f>
        <v/>
      </c>
      <c r="H484" t="str">
        <f t="shared" si="47"/>
        <v/>
      </c>
    </row>
    <row r="485" spans="1:8" x14ac:dyDescent="0.2">
      <c r="A485" s="12" t="str">
        <f t="shared" si="49"/>
        <v/>
      </c>
      <c r="B485" t="str">
        <f t="shared" si="44"/>
        <v/>
      </c>
      <c r="C485" s="17" t="str">
        <f t="shared" si="48"/>
        <v/>
      </c>
      <c r="D485" s="18" t="str">
        <f t="shared" si="45"/>
        <v/>
      </c>
      <c r="E485" t="str">
        <f t="shared" si="46"/>
        <v/>
      </c>
      <c r="F485" s="23" t="str">
        <f ca="1">IF(A485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485" s="19" t="str">
        <f>IF(A485="","",C485/(1+F485*$B$6/360)^(COUNT(A$16:A485)-($B$6-$D$16)/$B$6))</f>
        <v/>
      </c>
      <c r="H485" t="str">
        <f t="shared" si="47"/>
        <v/>
      </c>
    </row>
    <row r="486" spans="1:8" x14ac:dyDescent="0.2">
      <c r="A486" s="12" t="str">
        <f t="shared" si="49"/>
        <v/>
      </c>
      <c r="B486" t="str">
        <f t="shared" si="44"/>
        <v/>
      </c>
      <c r="C486" s="17" t="str">
        <f t="shared" si="48"/>
        <v/>
      </c>
      <c r="D486" s="18" t="str">
        <f t="shared" si="45"/>
        <v/>
      </c>
      <c r="E486" t="str">
        <f t="shared" si="46"/>
        <v/>
      </c>
      <c r="F486" s="23" t="str">
        <f ca="1">IF(A486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486" s="19" t="str">
        <f>IF(A486="","",C486/(1+F486*$B$6/360)^(COUNT(A$16:A486)-($B$6-$D$16)/$B$6))</f>
        <v/>
      </c>
      <c r="H486" t="str">
        <f t="shared" si="47"/>
        <v/>
      </c>
    </row>
    <row r="487" spans="1:8" x14ac:dyDescent="0.2">
      <c r="A487" s="12" t="str">
        <f t="shared" si="49"/>
        <v/>
      </c>
      <c r="B487" t="str">
        <f t="shared" si="44"/>
        <v/>
      </c>
      <c r="C487" s="17" t="str">
        <f t="shared" si="48"/>
        <v/>
      </c>
      <c r="D487" s="18" t="str">
        <f t="shared" si="45"/>
        <v/>
      </c>
      <c r="E487" t="str">
        <f t="shared" si="46"/>
        <v/>
      </c>
      <c r="F487" s="23" t="str">
        <f ca="1">IF(A487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487" s="19" t="str">
        <f>IF(A487="","",C487/(1+F487*$B$6/360)^(COUNT(A$16:A487)-($B$6-$D$16)/$B$6))</f>
        <v/>
      </c>
      <c r="H487" t="str">
        <f t="shared" si="47"/>
        <v/>
      </c>
    </row>
    <row r="488" spans="1:8" x14ac:dyDescent="0.2">
      <c r="A488" s="12" t="str">
        <f t="shared" si="49"/>
        <v/>
      </c>
      <c r="B488" t="str">
        <f t="shared" si="44"/>
        <v/>
      </c>
      <c r="C488" s="17" t="str">
        <f t="shared" si="48"/>
        <v/>
      </c>
      <c r="D488" s="18" t="str">
        <f t="shared" si="45"/>
        <v/>
      </c>
      <c r="E488" t="str">
        <f t="shared" si="46"/>
        <v/>
      </c>
      <c r="F488" s="23" t="str">
        <f ca="1">IF(A488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488" s="19" t="str">
        <f>IF(A488="","",C488/(1+F488*$B$6/360)^(COUNT(A$16:A488)-($B$6-$D$16)/$B$6))</f>
        <v/>
      </c>
      <c r="H488" t="str">
        <f t="shared" si="47"/>
        <v/>
      </c>
    </row>
    <row r="489" spans="1:8" x14ac:dyDescent="0.2">
      <c r="A489" s="12" t="str">
        <f t="shared" si="49"/>
        <v/>
      </c>
      <c r="B489" t="str">
        <f t="shared" si="44"/>
        <v/>
      </c>
      <c r="C489" s="17" t="str">
        <f t="shared" si="48"/>
        <v/>
      </c>
      <c r="D489" s="18" t="str">
        <f t="shared" si="45"/>
        <v/>
      </c>
      <c r="E489" t="str">
        <f t="shared" si="46"/>
        <v/>
      </c>
      <c r="F489" s="23" t="str">
        <f ca="1">IF(A489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489" s="19" t="str">
        <f>IF(A489="","",C489/(1+F489*$B$6/360)^(COUNT(A$16:A489)-($B$6-$D$16)/$B$6))</f>
        <v/>
      </c>
      <c r="H489" t="str">
        <f t="shared" si="47"/>
        <v/>
      </c>
    </row>
    <row r="490" spans="1:8" x14ac:dyDescent="0.2">
      <c r="A490" s="12" t="str">
        <f t="shared" si="49"/>
        <v/>
      </c>
      <c r="B490" t="str">
        <f t="shared" si="44"/>
        <v/>
      </c>
      <c r="C490" s="17" t="str">
        <f t="shared" si="48"/>
        <v/>
      </c>
      <c r="D490" s="18" t="str">
        <f t="shared" si="45"/>
        <v/>
      </c>
      <c r="E490" t="str">
        <f t="shared" si="46"/>
        <v/>
      </c>
      <c r="F490" s="23" t="str">
        <f ca="1">IF(A490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490" s="19" t="str">
        <f>IF(A490="","",C490/(1+F490*$B$6/360)^(COUNT(A$16:A490)-($B$6-$D$16)/$B$6))</f>
        <v/>
      </c>
      <c r="H490" t="str">
        <f t="shared" si="47"/>
        <v/>
      </c>
    </row>
    <row r="491" spans="1:8" x14ac:dyDescent="0.2">
      <c r="A491" s="12" t="str">
        <f t="shared" si="49"/>
        <v/>
      </c>
      <c r="B491" t="str">
        <f t="shared" si="44"/>
        <v/>
      </c>
      <c r="C491" s="17" t="str">
        <f t="shared" si="48"/>
        <v/>
      </c>
      <c r="D491" s="18" t="str">
        <f t="shared" si="45"/>
        <v/>
      </c>
      <c r="E491" t="str">
        <f t="shared" si="46"/>
        <v/>
      </c>
      <c r="F491" s="23" t="str">
        <f ca="1">IF(A491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491" s="19" t="str">
        <f>IF(A491="","",C491/(1+F491*$B$6/360)^(COUNT(A$16:A491)-($B$6-$D$16)/$B$6))</f>
        <v/>
      </c>
      <c r="H491" t="str">
        <f t="shared" si="47"/>
        <v/>
      </c>
    </row>
    <row r="492" spans="1:8" x14ac:dyDescent="0.2">
      <c r="A492" s="12" t="str">
        <f t="shared" si="49"/>
        <v/>
      </c>
      <c r="B492" t="str">
        <f t="shared" si="44"/>
        <v/>
      </c>
      <c r="C492" s="17" t="str">
        <f t="shared" si="48"/>
        <v/>
      </c>
      <c r="D492" s="18" t="str">
        <f t="shared" si="45"/>
        <v/>
      </c>
      <c r="E492" t="str">
        <f t="shared" si="46"/>
        <v/>
      </c>
      <c r="F492" s="23" t="str">
        <f ca="1">IF(A492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492" s="19" t="str">
        <f>IF(A492="","",C492/(1+F492*$B$6/360)^(COUNT(A$16:A492)-($B$6-$D$16)/$B$6))</f>
        <v/>
      </c>
      <c r="H492" t="str">
        <f t="shared" si="47"/>
        <v/>
      </c>
    </row>
    <row r="493" spans="1:8" x14ac:dyDescent="0.2">
      <c r="A493" s="12" t="str">
        <f t="shared" si="49"/>
        <v/>
      </c>
      <c r="B493" t="str">
        <f t="shared" si="44"/>
        <v/>
      </c>
      <c r="C493" s="17" t="str">
        <f t="shared" si="48"/>
        <v/>
      </c>
      <c r="D493" s="18" t="str">
        <f t="shared" si="45"/>
        <v/>
      </c>
      <c r="E493" t="str">
        <f t="shared" si="46"/>
        <v/>
      </c>
      <c r="F493" s="23" t="str">
        <f ca="1">IF(A493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493" s="19" t="str">
        <f>IF(A493="","",C493/(1+F493*$B$6/360)^(COUNT(A$16:A493)-($B$6-$D$16)/$B$6))</f>
        <v/>
      </c>
      <c r="H493" t="str">
        <f t="shared" si="47"/>
        <v/>
      </c>
    </row>
    <row r="494" spans="1:8" x14ac:dyDescent="0.2">
      <c r="A494" s="12" t="str">
        <f t="shared" si="49"/>
        <v/>
      </c>
      <c r="B494" t="str">
        <f t="shared" si="44"/>
        <v/>
      </c>
      <c r="C494" s="17" t="str">
        <f t="shared" si="48"/>
        <v/>
      </c>
      <c r="D494" s="18" t="str">
        <f t="shared" si="45"/>
        <v/>
      </c>
      <c r="E494" t="str">
        <f t="shared" si="46"/>
        <v/>
      </c>
      <c r="F494" s="23" t="str">
        <f ca="1">IF(A494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494" s="19" t="str">
        <f>IF(A494="","",C494/(1+F494*$B$6/360)^(COUNT(A$16:A494)-($B$6-$D$16)/$B$6))</f>
        <v/>
      </c>
      <c r="H494" t="str">
        <f t="shared" si="47"/>
        <v/>
      </c>
    </row>
    <row r="495" spans="1:8" x14ac:dyDescent="0.2">
      <c r="A495" s="12" t="str">
        <f t="shared" si="49"/>
        <v/>
      </c>
      <c r="B495" t="str">
        <f t="shared" si="44"/>
        <v/>
      </c>
      <c r="C495" s="17" t="str">
        <f t="shared" si="48"/>
        <v/>
      </c>
      <c r="D495" s="18" t="str">
        <f t="shared" si="45"/>
        <v/>
      </c>
      <c r="E495" t="str">
        <f t="shared" si="46"/>
        <v/>
      </c>
      <c r="F495" s="23" t="str">
        <f ca="1">IF(A495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495" s="19" t="str">
        <f>IF(A495="","",C495/(1+F495*$B$6/360)^(COUNT(A$16:A495)-($B$6-$D$16)/$B$6))</f>
        <v/>
      </c>
      <c r="H495" t="str">
        <f t="shared" si="47"/>
        <v/>
      </c>
    </row>
    <row r="496" spans="1:8" x14ac:dyDescent="0.2">
      <c r="A496" s="12" t="str">
        <f t="shared" si="49"/>
        <v/>
      </c>
      <c r="B496" t="str">
        <f t="shared" si="44"/>
        <v/>
      </c>
      <c r="C496" s="17" t="str">
        <f t="shared" si="48"/>
        <v/>
      </c>
      <c r="D496" s="18" t="str">
        <f t="shared" si="45"/>
        <v/>
      </c>
      <c r="E496" t="str">
        <f t="shared" si="46"/>
        <v/>
      </c>
      <c r="F496" s="23" t="str">
        <f ca="1">IF(A496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496" s="19" t="str">
        <f>IF(A496="","",C496/(1+F496*$B$6/360)^(COUNT(A$16:A496)-($B$6-$D$16)/$B$6))</f>
        <v/>
      </c>
      <c r="H496" t="str">
        <f t="shared" si="47"/>
        <v/>
      </c>
    </row>
    <row r="497" spans="1:8" x14ac:dyDescent="0.2">
      <c r="A497" s="12" t="str">
        <f t="shared" si="49"/>
        <v/>
      </c>
      <c r="B497" t="str">
        <f t="shared" si="44"/>
        <v/>
      </c>
      <c r="C497" s="17" t="str">
        <f t="shared" si="48"/>
        <v/>
      </c>
      <c r="D497" s="18" t="str">
        <f t="shared" si="45"/>
        <v/>
      </c>
      <c r="E497" t="str">
        <f t="shared" si="46"/>
        <v/>
      </c>
      <c r="F497" s="23" t="str">
        <f ca="1">IF(A497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497" s="19" t="str">
        <f>IF(A497="","",C497/(1+F497*$B$6/360)^(COUNT(A$16:A497)-($B$6-$D$16)/$B$6))</f>
        <v/>
      </c>
      <c r="H497" t="str">
        <f t="shared" si="47"/>
        <v/>
      </c>
    </row>
    <row r="498" spans="1:8" x14ac:dyDescent="0.2">
      <c r="A498" s="12" t="str">
        <f t="shared" si="49"/>
        <v/>
      </c>
      <c r="B498" t="str">
        <f t="shared" si="44"/>
        <v/>
      </c>
      <c r="C498" s="17" t="str">
        <f t="shared" si="48"/>
        <v/>
      </c>
      <c r="D498" s="18" t="str">
        <f t="shared" si="45"/>
        <v/>
      </c>
      <c r="E498" t="str">
        <f t="shared" si="46"/>
        <v/>
      </c>
      <c r="F498" s="23" t="str">
        <f ca="1">IF(A498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498" s="19" t="str">
        <f>IF(A498="","",C498/(1+F498*$B$6/360)^(COUNT(A$16:A498)-($B$6-$D$16)/$B$6))</f>
        <v/>
      </c>
      <c r="H498" t="str">
        <f t="shared" si="47"/>
        <v/>
      </c>
    </row>
    <row r="499" spans="1:8" x14ac:dyDescent="0.2">
      <c r="A499" s="12" t="str">
        <f t="shared" si="49"/>
        <v/>
      </c>
      <c r="B499" t="str">
        <f t="shared" si="44"/>
        <v/>
      </c>
      <c r="C499" s="17" t="str">
        <f t="shared" si="48"/>
        <v/>
      </c>
      <c r="D499" s="18" t="str">
        <f t="shared" si="45"/>
        <v/>
      </c>
      <c r="E499" t="str">
        <f t="shared" si="46"/>
        <v/>
      </c>
      <c r="F499" s="23" t="str">
        <f ca="1">IF(A499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499" s="19" t="str">
        <f>IF(A499="","",C499/(1+F499*$B$6/360)^(COUNT(A$16:A499)-($B$6-$D$16)/$B$6))</f>
        <v/>
      </c>
      <c r="H499" t="str">
        <f t="shared" si="47"/>
        <v/>
      </c>
    </row>
    <row r="500" spans="1:8" x14ac:dyDescent="0.2">
      <c r="A500" s="12" t="str">
        <f t="shared" si="49"/>
        <v/>
      </c>
      <c r="B500" t="str">
        <f t="shared" si="44"/>
        <v/>
      </c>
      <c r="C500" s="17" t="str">
        <f t="shared" si="48"/>
        <v/>
      </c>
      <c r="D500" s="18" t="str">
        <f t="shared" si="45"/>
        <v/>
      </c>
      <c r="E500" t="str">
        <f t="shared" si="46"/>
        <v/>
      </c>
      <c r="F500" s="23" t="str">
        <f ca="1">IF(A500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500" s="19" t="str">
        <f>IF(A500="","",C500/(1+F500*$B$6/360)^(COUNT(A$16:A500)-($B$6-$D$16)/$B$6))</f>
        <v/>
      </c>
      <c r="H500" t="str">
        <f t="shared" si="47"/>
        <v/>
      </c>
    </row>
    <row r="501" spans="1:8" x14ac:dyDescent="0.2">
      <c r="A501" s="12" t="str">
        <f t="shared" si="49"/>
        <v/>
      </c>
      <c r="B501" t="str">
        <f t="shared" si="44"/>
        <v/>
      </c>
      <c r="C501" s="17" t="str">
        <f t="shared" si="48"/>
        <v/>
      </c>
      <c r="D501" s="18" t="str">
        <f t="shared" si="45"/>
        <v/>
      </c>
      <c r="E501" t="str">
        <f t="shared" si="46"/>
        <v/>
      </c>
      <c r="F501" s="23" t="str">
        <f ca="1">IF(A501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501" s="19" t="str">
        <f>IF(A501="","",C501/(1+F501*$B$6/360)^(COUNT(A$16:A501)-($B$6-$D$16)/$B$6))</f>
        <v/>
      </c>
      <c r="H501" t="str">
        <f t="shared" si="47"/>
        <v/>
      </c>
    </row>
    <row r="502" spans="1:8" x14ac:dyDescent="0.2">
      <c r="A502" s="12" t="str">
        <f t="shared" si="49"/>
        <v/>
      </c>
      <c r="B502" t="str">
        <f t="shared" si="44"/>
        <v/>
      </c>
      <c r="C502" s="17" t="str">
        <f t="shared" si="48"/>
        <v/>
      </c>
      <c r="D502" s="18" t="str">
        <f t="shared" si="45"/>
        <v/>
      </c>
      <c r="E502" t="str">
        <f t="shared" si="46"/>
        <v/>
      </c>
      <c r="F502" s="23" t="str">
        <f ca="1">IF(A502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502" s="19" t="str">
        <f>IF(A502="","",C502/(1+F502*$B$6/360)^(COUNT(A$16:A502)-($B$6-$D$16)/$B$6))</f>
        <v/>
      </c>
      <c r="H502" t="str">
        <f t="shared" si="47"/>
        <v/>
      </c>
    </row>
    <row r="503" spans="1:8" x14ac:dyDescent="0.2">
      <c r="A503" s="12" t="str">
        <f t="shared" si="49"/>
        <v/>
      </c>
      <c r="B503" t="str">
        <f t="shared" si="44"/>
        <v/>
      </c>
      <c r="C503" s="17" t="str">
        <f t="shared" si="48"/>
        <v/>
      </c>
      <c r="D503" s="18" t="str">
        <f t="shared" si="45"/>
        <v/>
      </c>
      <c r="E503" t="str">
        <f t="shared" si="46"/>
        <v/>
      </c>
      <c r="F503" s="23" t="str">
        <f ca="1">IF(A503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503" s="19" t="str">
        <f>IF(A503="","",C503/(1+F503*$B$6/360)^(COUNT(A$16:A503)-($B$6-$D$16)/$B$6))</f>
        <v/>
      </c>
      <c r="H503" t="str">
        <f t="shared" si="47"/>
        <v/>
      </c>
    </row>
    <row r="504" spans="1:8" x14ac:dyDescent="0.2">
      <c r="A504" s="12" t="str">
        <f t="shared" si="49"/>
        <v/>
      </c>
      <c r="B504" t="str">
        <f t="shared" si="44"/>
        <v/>
      </c>
      <c r="C504" s="17" t="str">
        <f t="shared" si="48"/>
        <v/>
      </c>
      <c r="D504" s="18" t="str">
        <f t="shared" si="45"/>
        <v/>
      </c>
      <c r="E504" t="str">
        <f t="shared" si="46"/>
        <v/>
      </c>
      <c r="F504" s="23" t="str">
        <f ca="1">IF(A504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504" s="19" t="str">
        <f>IF(A504="","",C504/(1+F504*$B$6/360)^(COUNT(A$16:A504)-($B$6-$D$16)/$B$6))</f>
        <v/>
      </c>
      <c r="H504" t="str">
        <f t="shared" si="47"/>
        <v/>
      </c>
    </row>
    <row r="505" spans="1:8" x14ac:dyDescent="0.2">
      <c r="A505" s="12" t="str">
        <f t="shared" si="49"/>
        <v/>
      </c>
      <c r="B505" t="str">
        <f t="shared" si="44"/>
        <v/>
      </c>
      <c r="C505" s="17" t="str">
        <f t="shared" si="48"/>
        <v/>
      </c>
      <c r="D505" s="18" t="str">
        <f t="shared" si="45"/>
        <v/>
      </c>
      <c r="E505" t="str">
        <f t="shared" si="46"/>
        <v/>
      </c>
      <c r="F505" s="23" t="str">
        <f ca="1">IF(A505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505" s="19" t="str">
        <f>IF(A505="","",C505/(1+F505*$B$6/360)^(COUNT(A$16:A505)-($B$6-$D$16)/$B$6))</f>
        <v/>
      </c>
      <c r="H505" t="str">
        <f t="shared" si="47"/>
        <v/>
      </c>
    </row>
    <row r="506" spans="1:8" x14ac:dyDescent="0.2">
      <c r="A506" s="12" t="str">
        <f t="shared" si="49"/>
        <v/>
      </c>
      <c r="B506" t="str">
        <f t="shared" si="44"/>
        <v/>
      </c>
      <c r="C506" s="17" t="str">
        <f t="shared" si="48"/>
        <v/>
      </c>
      <c r="D506" s="18" t="str">
        <f t="shared" si="45"/>
        <v/>
      </c>
      <c r="E506" t="str">
        <f t="shared" si="46"/>
        <v/>
      </c>
      <c r="F506" s="23" t="str">
        <f ca="1">IF(A506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506" s="19" t="str">
        <f>IF(A506="","",C506/(1+F506*$B$6/360)^(COUNT(A$16:A506)-($B$6-$D$16)/$B$6))</f>
        <v/>
      </c>
      <c r="H506" t="str">
        <f t="shared" si="47"/>
        <v/>
      </c>
    </row>
    <row r="507" spans="1:8" x14ac:dyDescent="0.2">
      <c r="A507" s="12" t="str">
        <f t="shared" si="49"/>
        <v/>
      </c>
      <c r="B507" t="str">
        <f t="shared" si="44"/>
        <v/>
      </c>
      <c r="C507" s="17" t="str">
        <f t="shared" si="48"/>
        <v/>
      </c>
      <c r="D507" s="18" t="str">
        <f t="shared" si="45"/>
        <v/>
      </c>
      <c r="E507" t="str">
        <f t="shared" si="46"/>
        <v/>
      </c>
      <c r="F507" s="23" t="str">
        <f ca="1">IF(A507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507" s="19" t="str">
        <f>IF(A507="","",C507/(1+F507*$B$6/360)^(COUNT(A$16:A507)-($B$6-$D$16)/$B$6))</f>
        <v/>
      </c>
      <c r="H507" t="str">
        <f t="shared" si="47"/>
        <v/>
      </c>
    </row>
    <row r="508" spans="1:8" x14ac:dyDescent="0.2">
      <c r="A508" s="12" t="str">
        <f t="shared" si="49"/>
        <v/>
      </c>
      <c r="B508" t="str">
        <f t="shared" si="44"/>
        <v/>
      </c>
      <c r="C508" s="17" t="str">
        <f t="shared" si="48"/>
        <v/>
      </c>
      <c r="D508" s="18" t="str">
        <f t="shared" si="45"/>
        <v/>
      </c>
      <c r="E508" t="str">
        <f t="shared" si="46"/>
        <v/>
      </c>
      <c r="F508" s="23" t="str">
        <f ca="1">IF(A508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508" s="19" t="str">
        <f>IF(A508="","",C508/(1+F508*$B$6/360)^(COUNT(A$16:A508)-($B$6-$D$16)/$B$6))</f>
        <v/>
      </c>
      <c r="H508" t="str">
        <f t="shared" si="47"/>
        <v/>
      </c>
    </row>
    <row r="509" spans="1:8" x14ac:dyDescent="0.2">
      <c r="A509" s="12" t="str">
        <f t="shared" si="49"/>
        <v/>
      </c>
      <c r="B509" t="str">
        <f t="shared" si="44"/>
        <v/>
      </c>
      <c r="C509" s="17" t="str">
        <f t="shared" si="48"/>
        <v/>
      </c>
      <c r="D509" s="18" t="str">
        <f t="shared" si="45"/>
        <v/>
      </c>
      <c r="E509" t="str">
        <f t="shared" si="46"/>
        <v/>
      </c>
      <c r="F509" s="23" t="str">
        <f ca="1">IF(A509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509" s="19" t="str">
        <f>IF(A509="","",C509/(1+F509*$B$6/360)^(COUNT(A$16:A509)-($B$6-$D$16)/$B$6))</f>
        <v/>
      </c>
      <c r="H509" t="str">
        <f t="shared" si="47"/>
        <v/>
      </c>
    </row>
    <row r="510" spans="1:8" x14ac:dyDescent="0.2">
      <c r="A510" s="12" t="str">
        <f t="shared" si="49"/>
        <v/>
      </c>
      <c r="B510" t="str">
        <f t="shared" si="44"/>
        <v/>
      </c>
      <c r="C510" s="17" t="str">
        <f t="shared" si="48"/>
        <v/>
      </c>
      <c r="D510" s="18" t="str">
        <f t="shared" si="45"/>
        <v/>
      </c>
      <c r="E510" t="str">
        <f t="shared" si="46"/>
        <v/>
      </c>
      <c r="F510" s="23" t="str">
        <f ca="1">IF(A510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510" s="19" t="str">
        <f>IF(A510="","",C510/(1+F510*$B$6/360)^(COUNT(A$16:A510)-($B$6-$D$16)/$B$6))</f>
        <v/>
      </c>
      <c r="H510" t="str">
        <f t="shared" si="47"/>
        <v/>
      </c>
    </row>
    <row r="511" spans="1:8" x14ac:dyDescent="0.2">
      <c r="A511" s="12" t="str">
        <f t="shared" si="49"/>
        <v/>
      </c>
      <c r="B511" t="str">
        <f t="shared" si="44"/>
        <v/>
      </c>
      <c r="C511" s="17" t="str">
        <f t="shared" si="48"/>
        <v/>
      </c>
      <c r="D511" s="18" t="str">
        <f t="shared" si="45"/>
        <v/>
      </c>
      <c r="E511" t="str">
        <f t="shared" si="46"/>
        <v/>
      </c>
      <c r="F511" s="23" t="str">
        <f ca="1">IF(A511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511" s="19" t="str">
        <f>IF(A511="","",C511/(1+F511*$B$6/360)^(COUNT(A$16:A511)-($B$6-$D$16)/$B$6))</f>
        <v/>
      </c>
      <c r="H511" t="str">
        <f t="shared" si="47"/>
        <v/>
      </c>
    </row>
    <row r="512" spans="1:8" x14ac:dyDescent="0.2">
      <c r="A512" s="12" t="str">
        <f t="shared" si="49"/>
        <v/>
      </c>
      <c r="B512" t="str">
        <f t="shared" si="44"/>
        <v/>
      </c>
      <c r="C512" s="17" t="str">
        <f t="shared" si="48"/>
        <v/>
      </c>
      <c r="D512" s="18" t="str">
        <f t="shared" si="45"/>
        <v/>
      </c>
      <c r="E512" t="str">
        <f t="shared" si="46"/>
        <v/>
      </c>
      <c r="F512" s="23" t="str">
        <f ca="1">IF(A512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512" s="19" t="str">
        <f>IF(A512="","",C512/(1+F512*$B$6/360)^(COUNT(A$16:A512)-($B$6-$D$16)/$B$6))</f>
        <v/>
      </c>
      <c r="H512" t="str">
        <f t="shared" si="47"/>
        <v/>
      </c>
    </row>
    <row r="513" spans="1:8" x14ac:dyDescent="0.2">
      <c r="A513" s="12" t="str">
        <f t="shared" si="49"/>
        <v/>
      </c>
      <c r="B513" t="str">
        <f t="shared" si="44"/>
        <v/>
      </c>
      <c r="C513" s="17" t="str">
        <f t="shared" si="48"/>
        <v/>
      </c>
      <c r="D513" s="18" t="str">
        <f t="shared" si="45"/>
        <v/>
      </c>
      <c r="E513" t="str">
        <f t="shared" si="46"/>
        <v/>
      </c>
      <c r="F513" s="23" t="str">
        <f ca="1">IF(A513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513" s="19" t="str">
        <f>IF(A513="","",C513/(1+F513*$B$6/360)^(COUNT(A$16:A513)-($B$6-$D$16)/$B$6))</f>
        <v/>
      </c>
      <c r="H513" t="str">
        <f t="shared" si="47"/>
        <v/>
      </c>
    </row>
    <row r="514" spans="1:8" x14ac:dyDescent="0.2">
      <c r="A514" s="12" t="str">
        <f t="shared" si="49"/>
        <v/>
      </c>
      <c r="B514" t="str">
        <f t="shared" si="44"/>
        <v/>
      </c>
      <c r="C514" s="17" t="str">
        <f t="shared" si="48"/>
        <v/>
      </c>
      <c r="D514" s="18" t="str">
        <f t="shared" si="45"/>
        <v/>
      </c>
      <c r="E514" t="str">
        <f t="shared" si="46"/>
        <v/>
      </c>
      <c r="F514" s="23" t="str">
        <f ca="1">IF(A514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514" s="19" t="str">
        <f>IF(A514="","",C514/(1+F514*$B$6/360)^(COUNT(A$16:A514)-($B$6-$D$16)/$B$6))</f>
        <v/>
      </c>
      <c r="H514" t="str">
        <f t="shared" si="47"/>
        <v/>
      </c>
    </row>
    <row r="515" spans="1:8" x14ac:dyDescent="0.2">
      <c r="A515" s="12" t="str">
        <f t="shared" si="49"/>
        <v/>
      </c>
      <c r="B515" t="str">
        <f t="shared" si="44"/>
        <v/>
      </c>
      <c r="C515" s="17" t="str">
        <f t="shared" si="48"/>
        <v/>
      </c>
      <c r="D515" s="18" t="str">
        <f t="shared" si="45"/>
        <v/>
      </c>
      <c r="E515" t="str">
        <f t="shared" si="46"/>
        <v/>
      </c>
      <c r="F515" s="23" t="str">
        <f ca="1">IF(A515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515" s="19" t="str">
        <f>IF(A515="","",C515/(1+F515*$B$6/360)^(COUNT(A$16:A515)-($B$6-$D$16)/$B$6))</f>
        <v/>
      </c>
      <c r="H515" t="str">
        <f t="shared" si="47"/>
        <v/>
      </c>
    </row>
    <row r="516" spans="1:8" x14ac:dyDescent="0.2">
      <c r="A516" s="12" t="str">
        <f t="shared" si="49"/>
        <v/>
      </c>
      <c r="B516" t="str">
        <f t="shared" si="44"/>
        <v/>
      </c>
      <c r="C516" s="17" t="str">
        <f t="shared" si="48"/>
        <v/>
      </c>
      <c r="D516" s="18" t="str">
        <f t="shared" si="45"/>
        <v/>
      </c>
      <c r="E516" t="str">
        <f t="shared" si="46"/>
        <v/>
      </c>
      <c r="F516" s="23" t="str">
        <f ca="1">IF(A516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516" s="19" t="str">
        <f>IF(A516="","",C516/(1+F516*$B$6/360)^(COUNT(A$16:A516)-($B$6-$D$16)/$B$6))</f>
        <v/>
      </c>
      <c r="H516" t="str">
        <f t="shared" si="47"/>
        <v/>
      </c>
    </row>
    <row r="517" spans="1:8" x14ac:dyDescent="0.2">
      <c r="A517" s="12" t="str">
        <f t="shared" si="49"/>
        <v/>
      </c>
      <c r="B517" t="str">
        <f t="shared" si="44"/>
        <v/>
      </c>
      <c r="C517" s="17" t="str">
        <f t="shared" si="48"/>
        <v/>
      </c>
      <c r="D517" s="18" t="str">
        <f t="shared" si="45"/>
        <v/>
      </c>
      <c r="E517" t="str">
        <f t="shared" si="46"/>
        <v/>
      </c>
      <c r="F517" s="23" t="str">
        <f ca="1">IF(A517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517" s="19" t="str">
        <f>IF(A517="","",C517/(1+F517*$B$6/360)^(COUNT(A$16:A517)-($B$6-$D$16)/$B$6))</f>
        <v/>
      </c>
      <c r="H517" t="str">
        <f t="shared" si="47"/>
        <v/>
      </c>
    </row>
    <row r="518" spans="1:8" x14ac:dyDescent="0.2">
      <c r="A518" s="12" t="str">
        <f t="shared" si="49"/>
        <v/>
      </c>
      <c r="B518" t="str">
        <f t="shared" si="44"/>
        <v/>
      </c>
      <c r="C518" s="17" t="str">
        <f t="shared" si="48"/>
        <v/>
      </c>
      <c r="D518" s="18" t="str">
        <f t="shared" si="45"/>
        <v/>
      </c>
      <c r="E518" t="str">
        <f t="shared" si="46"/>
        <v/>
      </c>
      <c r="F518" s="23" t="str">
        <f ca="1">IF(A518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518" s="19" t="str">
        <f>IF(A518="","",C518/(1+F518*$B$6/360)^(COUNT(A$16:A518)-($B$6-$D$16)/$B$6))</f>
        <v/>
      </c>
      <c r="H518" t="str">
        <f t="shared" si="47"/>
        <v/>
      </c>
    </row>
    <row r="519" spans="1:8" x14ac:dyDescent="0.2">
      <c r="A519" s="12" t="str">
        <f t="shared" si="49"/>
        <v/>
      </c>
      <c r="B519" t="str">
        <f t="shared" si="44"/>
        <v/>
      </c>
      <c r="C519" s="17" t="str">
        <f t="shared" si="48"/>
        <v/>
      </c>
      <c r="D519" s="18" t="str">
        <f t="shared" si="45"/>
        <v/>
      </c>
      <c r="E519" t="str">
        <f t="shared" si="46"/>
        <v/>
      </c>
      <c r="F519" s="23" t="str">
        <f ca="1">IF(A519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519" s="19" t="str">
        <f>IF(A519="","",C519/(1+F519*$B$6/360)^(COUNT(A$16:A519)-($B$6-$D$16)/$B$6))</f>
        <v/>
      </c>
      <c r="H519" t="str">
        <f t="shared" si="47"/>
        <v/>
      </c>
    </row>
    <row r="520" spans="1:8" x14ac:dyDescent="0.2">
      <c r="A520" s="12" t="str">
        <f t="shared" si="49"/>
        <v/>
      </c>
      <c r="B520" t="str">
        <f t="shared" si="44"/>
        <v/>
      </c>
      <c r="C520" s="17" t="str">
        <f t="shared" si="48"/>
        <v/>
      </c>
      <c r="D520" s="18" t="str">
        <f t="shared" si="45"/>
        <v/>
      </c>
      <c r="E520" t="str">
        <f t="shared" si="46"/>
        <v/>
      </c>
      <c r="F520" s="23" t="str">
        <f ca="1">IF(A520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520" s="19" t="str">
        <f>IF(A520="","",C520/(1+F520*$B$6/360)^(COUNT(A$16:A520)-($B$6-$D$16)/$B$6))</f>
        <v/>
      </c>
      <c r="H520" t="str">
        <f t="shared" si="47"/>
        <v/>
      </c>
    </row>
    <row r="521" spans="1:8" x14ac:dyDescent="0.2">
      <c r="A521" s="12" t="str">
        <f t="shared" si="49"/>
        <v/>
      </c>
      <c r="B521" t="str">
        <f t="shared" si="44"/>
        <v/>
      </c>
      <c r="C521" s="17" t="str">
        <f t="shared" si="48"/>
        <v/>
      </c>
      <c r="D521" s="18" t="str">
        <f t="shared" si="45"/>
        <v/>
      </c>
      <c r="E521" t="str">
        <f t="shared" si="46"/>
        <v/>
      </c>
      <c r="F521" s="23" t="str">
        <f ca="1">IF(A521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521" s="19" t="str">
        <f>IF(A521="","",C521/(1+F521*$B$6/360)^(COUNT(A$16:A521)-($B$6-$D$16)/$B$6))</f>
        <v/>
      </c>
      <c r="H521" t="str">
        <f t="shared" si="47"/>
        <v/>
      </c>
    </row>
    <row r="522" spans="1:8" x14ac:dyDescent="0.2">
      <c r="A522" s="12" t="str">
        <f t="shared" si="49"/>
        <v/>
      </c>
      <c r="B522" t="str">
        <f t="shared" si="44"/>
        <v/>
      </c>
      <c r="C522" s="17" t="str">
        <f t="shared" si="48"/>
        <v/>
      </c>
      <c r="D522" s="18" t="str">
        <f t="shared" si="45"/>
        <v/>
      </c>
      <c r="E522" t="str">
        <f t="shared" si="46"/>
        <v/>
      </c>
      <c r="F522" s="23" t="str">
        <f ca="1">IF(A522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522" s="19" t="str">
        <f>IF(A522="","",C522/(1+F522*$B$6/360)^(COUNT(A$16:A522)-($B$6-$D$16)/$B$6))</f>
        <v/>
      </c>
      <c r="H522" t="str">
        <f t="shared" si="47"/>
        <v/>
      </c>
    </row>
    <row r="523" spans="1:8" x14ac:dyDescent="0.2">
      <c r="A523" s="12" t="str">
        <f t="shared" si="49"/>
        <v/>
      </c>
      <c r="B523" t="str">
        <f t="shared" si="44"/>
        <v/>
      </c>
      <c r="C523" s="17" t="str">
        <f t="shared" si="48"/>
        <v/>
      </c>
      <c r="D523" s="18" t="str">
        <f t="shared" si="45"/>
        <v/>
      </c>
      <c r="E523" t="str">
        <f t="shared" si="46"/>
        <v/>
      </c>
      <c r="F523" s="23" t="str">
        <f ca="1">IF(A523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523" s="19" t="str">
        <f>IF(A523="","",C523/(1+F523*$B$6/360)^(COUNT(A$16:A523)-($B$6-$D$16)/$B$6))</f>
        <v/>
      </c>
      <c r="H523" t="str">
        <f t="shared" si="47"/>
        <v/>
      </c>
    </row>
    <row r="524" spans="1:8" x14ac:dyDescent="0.2">
      <c r="A524" s="12" t="str">
        <f t="shared" si="49"/>
        <v/>
      </c>
      <c r="B524" t="str">
        <f t="shared" si="44"/>
        <v/>
      </c>
      <c r="C524" s="17" t="str">
        <f t="shared" si="48"/>
        <v/>
      </c>
      <c r="D524" s="18" t="str">
        <f t="shared" si="45"/>
        <v/>
      </c>
      <c r="E524" t="str">
        <f t="shared" si="46"/>
        <v/>
      </c>
      <c r="F524" s="23" t="str">
        <f ca="1">IF(A524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524" s="19" t="str">
        <f>IF(A524="","",C524/(1+F524*$B$6/360)^(COUNT(A$16:A524)-($B$6-$D$16)/$B$6))</f>
        <v/>
      </c>
      <c r="H524" t="str">
        <f t="shared" si="47"/>
        <v/>
      </c>
    </row>
    <row r="525" spans="1:8" x14ac:dyDescent="0.2">
      <c r="A525" s="12" t="str">
        <f t="shared" si="49"/>
        <v/>
      </c>
      <c r="B525" t="str">
        <f t="shared" si="44"/>
        <v/>
      </c>
      <c r="C525" s="17" t="str">
        <f t="shared" si="48"/>
        <v/>
      </c>
      <c r="D525" s="18" t="str">
        <f t="shared" si="45"/>
        <v/>
      </c>
      <c r="E525" t="str">
        <f t="shared" si="46"/>
        <v/>
      </c>
      <c r="F525" s="23" t="str">
        <f ca="1">IF(A525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525" s="19" t="str">
        <f>IF(A525="","",C525/(1+F525*$B$6/360)^(COUNT(A$16:A525)-($B$6-$D$16)/$B$6))</f>
        <v/>
      </c>
      <c r="H525" t="str">
        <f t="shared" si="47"/>
        <v/>
      </c>
    </row>
    <row r="526" spans="1:8" x14ac:dyDescent="0.2">
      <c r="A526" s="12" t="str">
        <f t="shared" si="49"/>
        <v/>
      </c>
      <c r="B526" t="str">
        <f t="shared" si="44"/>
        <v/>
      </c>
      <c r="C526" s="17" t="str">
        <f t="shared" si="48"/>
        <v/>
      </c>
      <c r="D526" s="18" t="str">
        <f t="shared" si="45"/>
        <v/>
      </c>
      <c r="E526" t="str">
        <f t="shared" si="46"/>
        <v/>
      </c>
      <c r="F526" s="23" t="str">
        <f ca="1">IF(A526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526" s="19" t="str">
        <f>IF(A526="","",C526/(1+F526*$B$6/360)^(COUNT(A$16:A526)-($B$6-$D$16)/$B$6))</f>
        <v/>
      </c>
      <c r="H526" t="str">
        <f t="shared" si="47"/>
        <v/>
      </c>
    </row>
    <row r="527" spans="1:8" x14ac:dyDescent="0.2">
      <c r="A527" s="12" t="str">
        <f t="shared" si="49"/>
        <v/>
      </c>
      <c r="B527" t="str">
        <f t="shared" si="44"/>
        <v/>
      </c>
      <c r="C527" s="17" t="str">
        <f t="shared" si="48"/>
        <v/>
      </c>
      <c r="D527" s="18" t="str">
        <f t="shared" si="45"/>
        <v/>
      </c>
      <c r="E527" t="str">
        <f t="shared" si="46"/>
        <v/>
      </c>
      <c r="F527" s="23" t="str">
        <f ca="1">IF(A527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527" s="19" t="str">
        <f>IF(A527="","",C527/(1+F527*$B$6/360)^(COUNT(A$16:A527)-($B$6-$D$16)/$B$6))</f>
        <v/>
      </c>
      <c r="H527" t="str">
        <f t="shared" si="47"/>
        <v/>
      </c>
    </row>
    <row r="528" spans="1:8" x14ac:dyDescent="0.2">
      <c r="A528" s="12" t="str">
        <f t="shared" si="49"/>
        <v/>
      </c>
      <c r="B528" t="str">
        <f t="shared" si="44"/>
        <v/>
      </c>
      <c r="C528" s="17" t="str">
        <f t="shared" si="48"/>
        <v/>
      </c>
      <c r="D528" s="18" t="str">
        <f t="shared" si="45"/>
        <v/>
      </c>
      <c r="E528" t="str">
        <f t="shared" si="46"/>
        <v/>
      </c>
      <c r="F528" s="23" t="str">
        <f ca="1">IF(A528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528" s="19" t="str">
        <f>IF(A528="","",C528/(1+F528*$B$6/360)^(COUNT(A$16:A528)-($B$6-$D$16)/$B$6))</f>
        <v/>
      </c>
      <c r="H528" t="str">
        <f t="shared" si="47"/>
        <v/>
      </c>
    </row>
    <row r="529" spans="1:8" x14ac:dyDescent="0.2">
      <c r="A529" s="12" t="str">
        <f t="shared" si="49"/>
        <v/>
      </c>
      <c r="B529" t="str">
        <f t="shared" ref="B529:B592" si="50">IF(A529="","",$B$5)</f>
        <v/>
      </c>
      <c r="C529" s="17" t="str">
        <f t="shared" si="48"/>
        <v/>
      </c>
      <c r="D529" s="18" t="str">
        <f t="shared" ref="D529:D592" si="51">IF(A529="","",$B$6)</f>
        <v/>
      </c>
      <c r="E529" t="str">
        <f t="shared" ref="E529:E592" si="52">IF(A529="","",E528+D529)</f>
        <v/>
      </c>
      <c r="F529" s="23" t="str">
        <f ca="1">IF(A529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529" s="19" t="str">
        <f>IF(A529="","",C529/(1+F529*$B$6/360)^(COUNT(A$16:A529)-($B$6-$D$16)/$B$6))</f>
        <v/>
      </c>
      <c r="H529" t="str">
        <f t="shared" ref="H529:H592" si="53">IF(A529="","",C529/(1+F529*$B$6/360)^(E529/$B$6))</f>
        <v/>
      </c>
    </row>
    <row r="530" spans="1:8" x14ac:dyDescent="0.2">
      <c r="A530" s="12" t="str">
        <f t="shared" si="49"/>
        <v/>
      </c>
      <c r="B530" t="str">
        <f t="shared" si="50"/>
        <v/>
      </c>
      <c r="C530" s="17" t="str">
        <f t="shared" si="48"/>
        <v/>
      </c>
      <c r="D530" s="18" t="str">
        <f t="shared" si="51"/>
        <v/>
      </c>
      <c r="E530" t="str">
        <f t="shared" si="52"/>
        <v/>
      </c>
      <c r="F530" s="23" t="str">
        <f ca="1">IF(A530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530" s="19" t="str">
        <f>IF(A530="","",C530/(1+F530*$B$6/360)^(COUNT(A$16:A530)-($B$6-$D$16)/$B$6))</f>
        <v/>
      </c>
      <c r="H530" t="str">
        <f t="shared" si="53"/>
        <v/>
      </c>
    </row>
    <row r="531" spans="1:8" x14ac:dyDescent="0.2">
      <c r="A531" s="12" t="str">
        <f t="shared" si="49"/>
        <v/>
      </c>
      <c r="B531" t="str">
        <f t="shared" si="50"/>
        <v/>
      </c>
      <c r="C531" s="17" t="str">
        <f t="shared" si="48"/>
        <v/>
      </c>
      <c r="D531" s="18" t="str">
        <f t="shared" si="51"/>
        <v/>
      </c>
      <c r="E531" t="str">
        <f t="shared" si="52"/>
        <v/>
      </c>
      <c r="F531" s="23" t="str">
        <f ca="1">IF(A531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531" s="19" t="str">
        <f>IF(A531="","",C531/(1+F531*$B$6/360)^(COUNT(A$16:A531)-($B$6-$D$16)/$B$6))</f>
        <v/>
      </c>
      <c r="H531" t="str">
        <f t="shared" si="53"/>
        <v/>
      </c>
    </row>
    <row r="532" spans="1:8" x14ac:dyDescent="0.2">
      <c r="A532" s="12" t="str">
        <f t="shared" si="49"/>
        <v/>
      </c>
      <c r="B532" t="str">
        <f t="shared" si="50"/>
        <v/>
      </c>
      <c r="C532" s="17" t="str">
        <f t="shared" si="48"/>
        <v/>
      </c>
      <c r="D532" s="18" t="str">
        <f t="shared" si="51"/>
        <v/>
      </c>
      <c r="E532" t="str">
        <f t="shared" si="52"/>
        <v/>
      </c>
      <c r="F532" s="23" t="str">
        <f ca="1">IF(A532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532" s="19" t="str">
        <f>IF(A532="","",C532/(1+F532*$B$6/360)^(COUNT(A$16:A532)-($B$6-$D$16)/$B$6))</f>
        <v/>
      </c>
      <c r="H532" t="str">
        <f t="shared" si="53"/>
        <v/>
      </c>
    </row>
    <row r="533" spans="1:8" x14ac:dyDescent="0.2">
      <c r="A533" s="12" t="str">
        <f t="shared" si="49"/>
        <v/>
      </c>
      <c r="B533" t="str">
        <f t="shared" si="50"/>
        <v/>
      </c>
      <c r="C533" s="17" t="str">
        <f t="shared" si="48"/>
        <v/>
      </c>
      <c r="D533" s="18" t="str">
        <f t="shared" si="51"/>
        <v/>
      </c>
      <c r="E533" t="str">
        <f t="shared" si="52"/>
        <v/>
      </c>
      <c r="F533" s="23" t="str">
        <f ca="1">IF(A533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533" s="19" t="str">
        <f>IF(A533="","",C533/(1+F533*$B$6/360)^(COUNT(A$16:A533)-($B$6-$D$16)/$B$6))</f>
        <v/>
      </c>
      <c r="H533" t="str">
        <f t="shared" si="53"/>
        <v/>
      </c>
    </row>
    <row r="534" spans="1:8" x14ac:dyDescent="0.2">
      <c r="A534" s="12" t="str">
        <f t="shared" si="49"/>
        <v/>
      </c>
      <c r="B534" t="str">
        <f t="shared" si="50"/>
        <v/>
      </c>
      <c r="C534" s="17" t="str">
        <f t="shared" si="48"/>
        <v/>
      </c>
      <c r="D534" s="18" t="str">
        <f t="shared" si="51"/>
        <v/>
      </c>
      <c r="E534" t="str">
        <f t="shared" si="52"/>
        <v/>
      </c>
      <c r="F534" s="23" t="str">
        <f ca="1">IF(A534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534" s="19" t="str">
        <f>IF(A534="","",C534/(1+F534*$B$6/360)^(COUNT(A$16:A534)-($B$6-$D$16)/$B$6))</f>
        <v/>
      </c>
      <c r="H534" t="str">
        <f t="shared" si="53"/>
        <v/>
      </c>
    </row>
    <row r="535" spans="1:8" x14ac:dyDescent="0.2">
      <c r="A535" s="12" t="str">
        <f t="shared" si="49"/>
        <v/>
      </c>
      <c r="B535" t="str">
        <f t="shared" si="50"/>
        <v/>
      </c>
      <c r="C535" s="17" t="str">
        <f t="shared" si="48"/>
        <v/>
      </c>
      <c r="D535" s="18" t="str">
        <f t="shared" si="51"/>
        <v/>
      </c>
      <c r="E535" t="str">
        <f t="shared" si="52"/>
        <v/>
      </c>
      <c r="F535" s="23" t="str">
        <f ca="1">IF(A535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535" s="19" t="str">
        <f>IF(A535="","",C535/(1+F535*$B$6/360)^(COUNT(A$16:A535)-($B$6-$D$16)/$B$6))</f>
        <v/>
      </c>
      <c r="H535" t="str">
        <f t="shared" si="53"/>
        <v/>
      </c>
    </row>
    <row r="536" spans="1:8" x14ac:dyDescent="0.2">
      <c r="A536" s="12" t="str">
        <f t="shared" si="49"/>
        <v/>
      </c>
      <c r="B536" t="str">
        <f t="shared" si="50"/>
        <v/>
      </c>
      <c r="C536" s="17" t="str">
        <f t="shared" si="48"/>
        <v/>
      </c>
      <c r="D536" s="18" t="str">
        <f t="shared" si="51"/>
        <v/>
      </c>
      <c r="E536" t="str">
        <f t="shared" si="52"/>
        <v/>
      </c>
      <c r="F536" s="23" t="str">
        <f ca="1">IF(A536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536" s="19" t="str">
        <f>IF(A536="","",C536/(1+F536*$B$6/360)^(COUNT(A$16:A536)-($B$6-$D$16)/$B$6))</f>
        <v/>
      </c>
      <c r="H536" t="str">
        <f t="shared" si="53"/>
        <v/>
      </c>
    </row>
    <row r="537" spans="1:8" x14ac:dyDescent="0.2">
      <c r="A537" s="12" t="str">
        <f t="shared" si="49"/>
        <v/>
      </c>
      <c r="B537" t="str">
        <f t="shared" si="50"/>
        <v/>
      </c>
      <c r="C537" s="17" t="str">
        <f t="shared" si="48"/>
        <v/>
      </c>
      <c r="D537" s="18" t="str">
        <f t="shared" si="51"/>
        <v/>
      </c>
      <c r="E537" t="str">
        <f t="shared" si="52"/>
        <v/>
      </c>
      <c r="F537" s="23" t="str">
        <f ca="1">IF(A537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537" s="19" t="str">
        <f>IF(A537="","",C537/(1+F537*$B$6/360)^(COUNT(A$16:A537)-($B$6-$D$16)/$B$6))</f>
        <v/>
      </c>
      <c r="H537" t="str">
        <f t="shared" si="53"/>
        <v/>
      </c>
    </row>
    <row r="538" spans="1:8" x14ac:dyDescent="0.2">
      <c r="A538" s="12" t="str">
        <f t="shared" si="49"/>
        <v/>
      </c>
      <c r="B538" t="str">
        <f t="shared" si="50"/>
        <v/>
      </c>
      <c r="C538" s="17" t="str">
        <f t="shared" ref="C538:C601" si="54">IF(A538="","",IF(A538=$B$4,$B$1*$B$2, $B$5*$B$6/360*$B$1*$B$2))</f>
        <v/>
      </c>
      <c r="D538" s="18" t="str">
        <f t="shared" si="51"/>
        <v/>
      </c>
      <c r="E538" t="str">
        <f t="shared" si="52"/>
        <v/>
      </c>
      <c r="F538" s="23" t="str">
        <f ca="1">IF(A538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538" s="19" t="str">
        <f>IF(A538="","",C538/(1+F538*$B$6/360)^(COUNT(A$16:A538)-($B$6-$D$16)/$B$6))</f>
        <v/>
      </c>
      <c r="H538" t="str">
        <f t="shared" si="53"/>
        <v/>
      </c>
    </row>
    <row r="539" spans="1:8" x14ac:dyDescent="0.2">
      <c r="A539" s="12" t="str">
        <f t="shared" ref="A539:A602" si="55">IF(A538="","",IF((A538+$B$6)&gt;$B$4,"",(A538+$B$6)))</f>
        <v/>
      </c>
      <c r="B539" t="str">
        <f t="shared" si="50"/>
        <v/>
      </c>
      <c r="C539" s="17" t="str">
        <f t="shared" si="54"/>
        <v/>
      </c>
      <c r="D539" s="18" t="str">
        <f t="shared" si="51"/>
        <v/>
      </c>
      <c r="E539" t="str">
        <f t="shared" si="52"/>
        <v/>
      </c>
      <c r="F539" s="23" t="str">
        <f ca="1">IF(A539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539" s="19" t="str">
        <f>IF(A539="","",C539/(1+F539*$B$6/360)^(COUNT(A$16:A539)-($B$6-$D$16)/$B$6))</f>
        <v/>
      </c>
      <c r="H539" t="str">
        <f t="shared" si="53"/>
        <v/>
      </c>
    </row>
    <row r="540" spans="1:8" x14ac:dyDescent="0.2">
      <c r="A540" s="12" t="str">
        <f t="shared" si="55"/>
        <v/>
      </c>
      <c r="B540" t="str">
        <f t="shared" si="50"/>
        <v/>
      </c>
      <c r="C540" s="17" t="str">
        <f t="shared" si="54"/>
        <v/>
      </c>
      <c r="D540" s="18" t="str">
        <f t="shared" si="51"/>
        <v/>
      </c>
      <c r="E540" t="str">
        <f t="shared" si="52"/>
        <v/>
      </c>
      <c r="F540" s="23" t="str">
        <f ca="1">IF(A540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540" s="19" t="str">
        <f>IF(A540="","",C540/(1+F540*$B$6/360)^(COUNT(A$16:A540)-($B$6-$D$16)/$B$6))</f>
        <v/>
      </c>
      <c r="H540" t="str">
        <f t="shared" si="53"/>
        <v/>
      </c>
    </row>
    <row r="541" spans="1:8" x14ac:dyDescent="0.2">
      <c r="A541" s="12" t="str">
        <f t="shared" si="55"/>
        <v/>
      </c>
      <c r="B541" t="str">
        <f t="shared" si="50"/>
        <v/>
      </c>
      <c r="C541" s="17" t="str">
        <f t="shared" si="54"/>
        <v/>
      </c>
      <c r="D541" s="18" t="str">
        <f t="shared" si="51"/>
        <v/>
      </c>
      <c r="E541" t="str">
        <f t="shared" si="52"/>
        <v/>
      </c>
      <c r="F541" s="23" t="str">
        <f ca="1">IF(A541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541" s="19" t="str">
        <f>IF(A541="","",C541/(1+F541*$B$6/360)^(COUNT(A$16:A541)-($B$6-$D$16)/$B$6))</f>
        <v/>
      </c>
      <c r="H541" t="str">
        <f t="shared" si="53"/>
        <v/>
      </c>
    </row>
    <row r="542" spans="1:8" x14ac:dyDescent="0.2">
      <c r="A542" s="12" t="str">
        <f t="shared" si="55"/>
        <v/>
      </c>
      <c r="B542" t="str">
        <f t="shared" si="50"/>
        <v/>
      </c>
      <c r="C542" s="17" t="str">
        <f t="shared" si="54"/>
        <v/>
      </c>
      <c r="D542" s="18" t="str">
        <f t="shared" si="51"/>
        <v/>
      </c>
      <c r="E542" t="str">
        <f t="shared" si="52"/>
        <v/>
      </c>
      <c r="F542" s="23" t="str">
        <f ca="1">IF(A542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542" s="19" t="str">
        <f>IF(A542="","",C542/(1+F542*$B$6/360)^(COUNT(A$16:A542)-($B$6-$D$16)/$B$6))</f>
        <v/>
      </c>
      <c r="H542" t="str">
        <f t="shared" si="53"/>
        <v/>
      </c>
    </row>
    <row r="543" spans="1:8" x14ac:dyDescent="0.2">
      <c r="A543" s="12" t="str">
        <f t="shared" si="55"/>
        <v/>
      </c>
      <c r="B543" t="str">
        <f t="shared" si="50"/>
        <v/>
      </c>
      <c r="C543" s="17" t="str">
        <f t="shared" si="54"/>
        <v/>
      </c>
      <c r="D543" s="18" t="str">
        <f t="shared" si="51"/>
        <v/>
      </c>
      <c r="E543" t="str">
        <f t="shared" si="52"/>
        <v/>
      </c>
      <c r="F543" s="23" t="str">
        <f ca="1">IF(A543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543" s="19" t="str">
        <f>IF(A543="","",C543/(1+F543*$B$6/360)^(COUNT(A$16:A543)-($B$6-$D$16)/$B$6))</f>
        <v/>
      </c>
      <c r="H543" t="str">
        <f t="shared" si="53"/>
        <v/>
      </c>
    </row>
    <row r="544" spans="1:8" x14ac:dyDescent="0.2">
      <c r="A544" s="12" t="str">
        <f t="shared" si="55"/>
        <v/>
      </c>
      <c r="B544" t="str">
        <f t="shared" si="50"/>
        <v/>
      </c>
      <c r="C544" s="17" t="str">
        <f t="shared" si="54"/>
        <v/>
      </c>
      <c r="D544" s="18" t="str">
        <f t="shared" si="51"/>
        <v/>
      </c>
      <c r="E544" t="str">
        <f t="shared" si="52"/>
        <v/>
      </c>
      <c r="F544" s="23" t="str">
        <f ca="1">IF(A544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544" s="19" t="str">
        <f>IF(A544="","",C544/(1+F544*$B$6/360)^(COUNT(A$16:A544)-($B$6-$D$16)/$B$6))</f>
        <v/>
      </c>
      <c r="H544" t="str">
        <f t="shared" si="53"/>
        <v/>
      </c>
    </row>
    <row r="545" spans="1:8" x14ac:dyDescent="0.2">
      <c r="A545" s="12" t="str">
        <f t="shared" si="55"/>
        <v/>
      </c>
      <c r="B545" t="str">
        <f t="shared" si="50"/>
        <v/>
      </c>
      <c r="C545" s="17" t="str">
        <f t="shared" si="54"/>
        <v/>
      </c>
      <c r="D545" s="18" t="str">
        <f t="shared" si="51"/>
        <v/>
      </c>
      <c r="E545" t="str">
        <f t="shared" si="52"/>
        <v/>
      </c>
      <c r="F545" s="23" t="str">
        <f ca="1">IF(A545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545" s="19" t="str">
        <f>IF(A545="","",C545/(1+F545*$B$6/360)^(COUNT(A$16:A545)-($B$6-$D$16)/$B$6))</f>
        <v/>
      </c>
      <c r="H545" t="str">
        <f t="shared" si="53"/>
        <v/>
      </c>
    </row>
    <row r="546" spans="1:8" x14ac:dyDescent="0.2">
      <c r="A546" s="12" t="str">
        <f t="shared" si="55"/>
        <v/>
      </c>
      <c r="B546" t="str">
        <f t="shared" si="50"/>
        <v/>
      </c>
      <c r="C546" s="17" t="str">
        <f t="shared" si="54"/>
        <v/>
      </c>
      <c r="D546" s="18" t="str">
        <f t="shared" si="51"/>
        <v/>
      </c>
      <c r="E546" t="str">
        <f t="shared" si="52"/>
        <v/>
      </c>
      <c r="F546" s="23" t="str">
        <f ca="1">IF(A546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546" s="19" t="str">
        <f>IF(A546="","",C546/(1+F546*$B$6/360)^(COUNT(A$16:A546)-($B$6-$D$16)/$B$6))</f>
        <v/>
      </c>
      <c r="H546" t="str">
        <f t="shared" si="53"/>
        <v/>
      </c>
    </row>
    <row r="547" spans="1:8" x14ac:dyDescent="0.2">
      <c r="A547" s="12" t="str">
        <f t="shared" si="55"/>
        <v/>
      </c>
      <c r="B547" t="str">
        <f t="shared" si="50"/>
        <v/>
      </c>
      <c r="C547" s="17" t="str">
        <f t="shared" si="54"/>
        <v/>
      </c>
      <c r="D547" s="18" t="str">
        <f t="shared" si="51"/>
        <v/>
      </c>
      <c r="E547" t="str">
        <f t="shared" si="52"/>
        <v/>
      </c>
      <c r="F547" s="23" t="str">
        <f ca="1">IF(A547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547" s="19" t="str">
        <f>IF(A547="","",C547/(1+F547*$B$6/360)^(COUNT(A$16:A547)-($B$6-$D$16)/$B$6))</f>
        <v/>
      </c>
      <c r="H547" t="str">
        <f t="shared" si="53"/>
        <v/>
      </c>
    </row>
    <row r="548" spans="1:8" x14ac:dyDescent="0.2">
      <c r="A548" s="12" t="str">
        <f t="shared" si="55"/>
        <v/>
      </c>
      <c r="B548" t="str">
        <f t="shared" si="50"/>
        <v/>
      </c>
      <c r="C548" s="17" t="str">
        <f t="shared" si="54"/>
        <v/>
      </c>
      <c r="D548" s="18" t="str">
        <f t="shared" si="51"/>
        <v/>
      </c>
      <c r="E548" t="str">
        <f t="shared" si="52"/>
        <v/>
      </c>
      <c r="F548" s="23" t="str">
        <f ca="1">IF(A548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548" s="19" t="str">
        <f>IF(A548="","",C548/(1+F548*$B$6/360)^(COUNT(A$16:A548)-($B$6-$D$16)/$B$6))</f>
        <v/>
      </c>
      <c r="H548" t="str">
        <f t="shared" si="53"/>
        <v/>
      </c>
    </row>
    <row r="549" spans="1:8" x14ac:dyDescent="0.2">
      <c r="A549" s="12" t="str">
        <f t="shared" si="55"/>
        <v/>
      </c>
      <c r="B549" t="str">
        <f t="shared" si="50"/>
        <v/>
      </c>
      <c r="C549" s="17" t="str">
        <f t="shared" si="54"/>
        <v/>
      </c>
      <c r="D549" s="18" t="str">
        <f t="shared" si="51"/>
        <v/>
      </c>
      <c r="E549" t="str">
        <f t="shared" si="52"/>
        <v/>
      </c>
      <c r="F549" s="23" t="str">
        <f ca="1">IF(A549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549" s="19" t="str">
        <f>IF(A549="","",C549/(1+F549*$B$6/360)^(COUNT(A$16:A549)-($B$6-$D$16)/$B$6))</f>
        <v/>
      </c>
      <c r="H549" t="str">
        <f t="shared" si="53"/>
        <v/>
      </c>
    </row>
    <row r="550" spans="1:8" x14ac:dyDescent="0.2">
      <c r="A550" s="12" t="str">
        <f t="shared" si="55"/>
        <v/>
      </c>
      <c r="B550" t="str">
        <f t="shared" si="50"/>
        <v/>
      </c>
      <c r="C550" s="17" t="str">
        <f t="shared" si="54"/>
        <v/>
      </c>
      <c r="D550" s="18" t="str">
        <f t="shared" si="51"/>
        <v/>
      </c>
      <c r="E550" t="str">
        <f t="shared" si="52"/>
        <v/>
      </c>
      <c r="F550" s="23" t="str">
        <f ca="1">IF(A550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550" s="19" t="str">
        <f>IF(A550="","",C550/(1+F550*$B$6/360)^(COUNT(A$16:A550)-($B$6-$D$16)/$B$6))</f>
        <v/>
      </c>
      <c r="H550" t="str">
        <f t="shared" si="53"/>
        <v/>
      </c>
    </row>
    <row r="551" spans="1:8" x14ac:dyDescent="0.2">
      <c r="A551" s="12" t="str">
        <f t="shared" si="55"/>
        <v/>
      </c>
      <c r="B551" t="str">
        <f t="shared" si="50"/>
        <v/>
      </c>
      <c r="C551" s="17" t="str">
        <f t="shared" si="54"/>
        <v/>
      </c>
      <c r="D551" s="18" t="str">
        <f t="shared" si="51"/>
        <v/>
      </c>
      <c r="E551" t="str">
        <f t="shared" si="52"/>
        <v/>
      </c>
      <c r="F551" s="23" t="str">
        <f ca="1">IF(A551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551" s="19" t="str">
        <f>IF(A551="","",C551/(1+F551*$B$6/360)^(COUNT(A$16:A551)-($B$6-$D$16)/$B$6))</f>
        <v/>
      </c>
      <c r="H551" t="str">
        <f t="shared" si="53"/>
        <v/>
      </c>
    </row>
    <row r="552" spans="1:8" x14ac:dyDescent="0.2">
      <c r="A552" s="12" t="str">
        <f t="shared" si="55"/>
        <v/>
      </c>
      <c r="B552" t="str">
        <f t="shared" si="50"/>
        <v/>
      </c>
      <c r="C552" s="17" t="str">
        <f t="shared" si="54"/>
        <v/>
      </c>
      <c r="D552" s="18" t="str">
        <f t="shared" si="51"/>
        <v/>
      </c>
      <c r="E552" t="str">
        <f t="shared" si="52"/>
        <v/>
      </c>
      <c r="F552" s="23" t="str">
        <f ca="1">IF(A552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552" s="19" t="str">
        <f>IF(A552="","",C552/(1+F552*$B$6/360)^(COUNT(A$16:A552)-($B$6-$D$16)/$B$6))</f>
        <v/>
      </c>
      <c r="H552" t="str">
        <f t="shared" si="53"/>
        <v/>
      </c>
    </row>
    <row r="553" spans="1:8" x14ac:dyDescent="0.2">
      <c r="A553" s="12" t="str">
        <f t="shared" si="55"/>
        <v/>
      </c>
      <c r="B553" t="str">
        <f t="shared" si="50"/>
        <v/>
      </c>
      <c r="C553" s="17" t="str">
        <f t="shared" si="54"/>
        <v/>
      </c>
      <c r="D553" s="18" t="str">
        <f t="shared" si="51"/>
        <v/>
      </c>
      <c r="E553" t="str">
        <f t="shared" si="52"/>
        <v/>
      </c>
      <c r="F553" s="23" t="str">
        <f ca="1">IF(A553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553" s="19" t="str">
        <f>IF(A553="","",C553/(1+F553*$B$6/360)^(COUNT(A$16:A553)-($B$6-$D$16)/$B$6))</f>
        <v/>
      </c>
      <c r="H553" t="str">
        <f t="shared" si="53"/>
        <v/>
      </c>
    </row>
    <row r="554" spans="1:8" x14ac:dyDescent="0.2">
      <c r="A554" s="12" t="str">
        <f t="shared" si="55"/>
        <v/>
      </c>
      <c r="B554" t="str">
        <f t="shared" si="50"/>
        <v/>
      </c>
      <c r="C554" s="17" t="str">
        <f t="shared" si="54"/>
        <v/>
      </c>
      <c r="D554" s="18" t="str">
        <f t="shared" si="51"/>
        <v/>
      </c>
      <c r="E554" t="str">
        <f t="shared" si="52"/>
        <v/>
      </c>
      <c r="F554" s="23" t="str">
        <f ca="1">IF(A554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554" s="19" t="str">
        <f>IF(A554="","",C554/(1+F554*$B$6/360)^(COUNT(A$16:A554)-($B$6-$D$16)/$B$6))</f>
        <v/>
      </c>
      <c r="H554" t="str">
        <f t="shared" si="53"/>
        <v/>
      </c>
    </row>
    <row r="555" spans="1:8" x14ac:dyDescent="0.2">
      <c r="A555" s="12" t="str">
        <f t="shared" si="55"/>
        <v/>
      </c>
      <c r="B555" t="str">
        <f t="shared" si="50"/>
        <v/>
      </c>
      <c r="C555" s="17" t="str">
        <f t="shared" si="54"/>
        <v/>
      </c>
      <c r="D555" s="18" t="str">
        <f t="shared" si="51"/>
        <v/>
      </c>
      <c r="E555" t="str">
        <f t="shared" si="52"/>
        <v/>
      </c>
      <c r="F555" s="23" t="str">
        <f ca="1">IF(A555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555" s="19" t="str">
        <f>IF(A555="","",C555/(1+F555*$B$6/360)^(COUNT(A$16:A555)-($B$6-$D$16)/$B$6))</f>
        <v/>
      </c>
      <c r="H555" t="str">
        <f t="shared" si="53"/>
        <v/>
      </c>
    </row>
    <row r="556" spans="1:8" x14ac:dyDescent="0.2">
      <c r="A556" s="12" t="str">
        <f t="shared" si="55"/>
        <v/>
      </c>
      <c r="B556" t="str">
        <f t="shared" si="50"/>
        <v/>
      </c>
      <c r="C556" s="17" t="str">
        <f t="shared" si="54"/>
        <v/>
      </c>
      <c r="D556" s="18" t="str">
        <f t="shared" si="51"/>
        <v/>
      </c>
      <c r="E556" t="str">
        <f t="shared" si="52"/>
        <v/>
      </c>
      <c r="F556" s="23" t="str">
        <f ca="1">IF(A556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556" s="19" t="str">
        <f>IF(A556="","",C556/(1+F556*$B$6/360)^(COUNT(A$16:A556)-($B$6-$D$16)/$B$6))</f>
        <v/>
      </c>
      <c r="H556" t="str">
        <f t="shared" si="53"/>
        <v/>
      </c>
    </row>
    <row r="557" spans="1:8" x14ac:dyDescent="0.2">
      <c r="A557" s="12" t="str">
        <f t="shared" si="55"/>
        <v/>
      </c>
      <c r="B557" t="str">
        <f t="shared" si="50"/>
        <v/>
      </c>
      <c r="C557" s="17" t="str">
        <f t="shared" si="54"/>
        <v/>
      </c>
      <c r="D557" s="18" t="str">
        <f t="shared" si="51"/>
        <v/>
      </c>
      <c r="E557" t="str">
        <f t="shared" si="52"/>
        <v/>
      </c>
      <c r="F557" s="23" t="str">
        <f ca="1">IF(A557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557" s="19" t="str">
        <f>IF(A557="","",C557/(1+F557*$B$6/360)^(COUNT(A$16:A557)-($B$6-$D$16)/$B$6))</f>
        <v/>
      </c>
      <c r="H557" t="str">
        <f t="shared" si="53"/>
        <v/>
      </c>
    </row>
    <row r="558" spans="1:8" x14ac:dyDescent="0.2">
      <c r="A558" s="12" t="str">
        <f t="shared" si="55"/>
        <v/>
      </c>
      <c r="B558" t="str">
        <f t="shared" si="50"/>
        <v/>
      </c>
      <c r="C558" s="17" t="str">
        <f t="shared" si="54"/>
        <v/>
      </c>
      <c r="D558" s="18" t="str">
        <f t="shared" si="51"/>
        <v/>
      </c>
      <c r="E558" t="str">
        <f t="shared" si="52"/>
        <v/>
      </c>
      <c r="F558" s="23" t="str">
        <f ca="1">IF(A558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558" s="19" t="str">
        <f>IF(A558="","",C558/(1+F558*$B$6/360)^(COUNT(A$16:A558)-($B$6-$D$16)/$B$6))</f>
        <v/>
      </c>
      <c r="H558" t="str">
        <f t="shared" si="53"/>
        <v/>
      </c>
    </row>
    <row r="559" spans="1:8" x14ac:dyDescent="0.2">
      <c r="A559" s="12" t="str">
        <f t="shared" si="55"/>
        <v/>
      </c>
      <c r="B559" t="str">
        <f t="shared" si="50"/>
        <v/>
      </c>
      <c r="C559" s="17" t="str">
        <f t="shared" si="54"/>
        <v/>
      </c>
      <c r="D559" s="18" t="str">
        <f t="shared" si="51"/>
        <v/>
      </c>
      <c r="E559" t="str">
        <f t="shared" si="52"/>
        <v/>
      </c>
      <c r="F559" s="23" t="str">
        <f ca="1">IF(A559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559" s="19" t="str">
        <f>IF(A559="","",C559/(1+F559*$B$6/360)^(COUNT(A$16:A559)-($B$6-$D$16)/$B$6))</f>
        <v/>
      </c>
      <c r="H559" t="str">
        <f t="shared" si="53"/>
        <v/>
      </c>
    </row>
    <row r="560" spans="1:8" x14ac:dyDescent="0.2">
      <c r="A560" s="12" t="str">
        <f t="shared" si="55"/>
        <v/>
      </c>
      <c r="B560" t="str">
        <f t="shared" si="50"/>
        <v/>
      </c>
      <c r="C560" s="17" t="str">
        <f t="shared" si="54"/>
        <v/>
      </c>
      <c r="D560" s="18" t="str">
        <f t="shared" si="51"/>
        <v/>
      </c>
      <c r="E560" t="str">
        <f t="shared" si="52"/>
        <v/>
      </c>
      <c r="F560" s="23" t="str">
        <f ca="1">IF(A560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560" s="19" t="str">
        <f>IF(A560="","",C560/(1+F560*$B$6/360)^(COUNT(A$16:A560)-($B$6-$D$16)/$B$6))</f>
        <v/>
      </c>
      <c r="H560" t="str">
        <f t="shared" si="53"/>
        <v/>
      </c>
    </row>
    <row r="561" spans="1:8" x14ac:dyDescent="0.2">
      <c r="A561" s="12" t="str">
        <f t="shared" si="55"/>
        <v/>
      </c>
      <c r="B561" t="str">
        <f t="shared" si="50"/>
        <v/>
      </c>
      <c r="C561" s="17" t="str">
        <f t="shared" si="54"/>
        <v/>
      </c>
      <c r="D561" s="18" t="str">
        <f t="shared" si="51"/>
        <v/>
      </c>
      <c r="E561" t="str">
        <f t="shared" si="52"/>
        <v/>
      </c>
      <c r="F561" s="23" t="str">
        <f ca="1">IF(A561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561" s="19" t="str">
        <f>IF(A561="","",C561/(1+F561*$B$6/360)^(COUNT(A$16:A561)-($B$6-$D$16)/$B$6))</f>
        <v/>
      </c>
      <c r="H561" t="str">
        <f t="shared" si="53"/>
        <v/>
      </c>
    </row>
    <row r="562" spans="1:8" x14ac:dyDescent="0.2">
      <c r="A562" s="12" t="str">
        <f t="shared" si="55"/>
        <v/>
      </c>
      <c r="B562" t="str">
        <f t="shared" si="50"/>
        <v/>
      </c>
      <c r="C562" s="17" t="str">
        <f t="shared" si="54"/>
        <v/>
      </c>
      <c r="D562" s="18" t="str">
        <f t="shared" si="51"/>
        <v/>
      </c>
      <c r="E562" t="str">
        <f t="shared" si="52"/>
        <v/>
      </c>
      <c r="F562" s="23" t="str">
        <f ca="1">IF(A562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562" s="19" t="str">
        <f>IF(A562="","",C562/(1+F562*$B$6/360)^(COUNT(A$16:A562)-($B$6-$D$16)/$B$6))</f>
        <v/>
      </c>
      <c r="H562" t="str">
        <f t="shared" si="53"/>
        <v/>
      </c>
    </row>
    <row r="563" spans="1:8" x14ac:dyDescent="0.2">
      <c r="A563" s="12" t="str">
        <f t="shared" si="55"/>
        <v/>
      </c>
      <c r="B563" t="str">
        <f t="shared" si="50"/>
        <v/>
      </c>
      <c r="C563" s="17" t="str">
        <f t="shared" si="54"/>
        <v/>
      </c>
      <c r="D563" s="18" t="str">
        <f t="shared" si="51"/>
        <v/>
      </c>
      <c r="E563" t="str">
        <f t="shared" si="52"/>
        <v/>
      </c>
      <c r="F563" s="23" t="str">
        <f ca="1">IF(A563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563" s="19" t="str">
        <f>IF(A563="","",C563/(1+F563*$B$6/360)^(COUNT(A$16:A563)-($B$6-$D$16)/$B$6))</f>
        <v/>
      </c>
      <c r="H563" t="str">
        <f t="shared" si="53"/>
        <v/>
      </c>
    </row>
    <row r="564" spans="1:8" x14ac:dyDescent="0.2">
      <c r="A564" s="12" t="str">
        <f t="shared" si="55"/>
        <v/>
      </c>
      <c r="B564" t="str">
        <f t="shared" si="50"/>
        <v/>
      </c>
      <c r="C564" s="17" t="str">
        <f t="shared" si="54"/>
        <v/>
      </c>
      <c r="D564" s="18" t="str">
        <f t="shared" si="51"/>
        <v/>
      </c>
      <c r="E564" t="str">
        <f t="shared" si="52"/>
        <v/>
      </c>
      <c r="F564" s="23" t="str">
        <f ca="1">IF(A564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564" s="19" t="str">
        <f>IF(A564="","",C564/(1+F564*$B$6/360)^(COUNT(A$16:A564)-($B$6-$D$16)/$B$6))</f>
        <v/>
      </c>
      <c r="H564" t="str">
        <f t="shared" si="53"/>
        <v/>
      </c>
    </row>
    <row r="565" spans="1:8" x14ac:dyDescent="0.2">
      <c r="A565" s="12" t="str">
        <f t="shared" si="55"/>
        <v/>
      </c>
      <c r="B565" t="str">
        <f t="shared" si="50"/>
        <v/>
      </c>
      <c r="C565" s="17" t="str">
        <f t="shared" si="54"/>
        <v/>
      </c>
      <c r="D565" s="18" t="str">
        <f t="shared" si="51"/>
        <v/>
      </c>
      <c r="E565" t="str">
        <f t="shared" si="52"/>
        <v/>
      </c>
      <c r="F565" s="23" t="str">
        <f ca="1">IF(A565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565" s="19" t="str">
        <f>IF(A565="","",C565/(1+F565*$B$6/360)^(COUNT(A$16:A565)-($B$6-$D$16)/$B$6))</f>
        <v/>
      </c>
      <c r="H565" t="str">
        <f t="shared" si="53"/>
        <v/>
      </c>
    </row>
    <row r="566" spans="1:8" x14ac:dyDescent="0.2">
      <c r="A566" s="12" t="str">
        <f t="shared" si="55"/>
        <v/>
      </c>
      <c r="B566" t="str">
        <f t="shared" si="50"/>
        <v/>
      </c>
      <c r="C566" s="17" t="str">
        <f t="shared" si="54"/>
        <v/>
      </c>
      <c r="D566" s="18" t="str">
        <f t="shared" si="51"/>
        <v/>
      </c>
      <c r="E566" t="str">
        <f t="shared" si="52"/>
        <v/>
      </c>
      <c r="F566" s="23" t="str">
        <f ca="1">IF(A566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566" s="19" t="str">
        <f>IF(A566="","",C566/(1+F566*$B$6/360)^(COUNT(A$16:A566)-($B$6-$D$16)/$B$6))</f>
        <v/>
      </c>
      <c r="H566" t="str">
        <f t="shared" si="53"/>
        <v/>
      </c>
    </row>
    <row r="567" spans="1:8" x14ac:dyDescent="0.2">
      <c r="A567" s="12" t="str">
        <f t="shared" si="55"/>
        <v/>
      </c>
      <c r="B567" t="str">
        <f t="shared" si="50"/>
        <v/>
      </c>
      <c r="C567" s="17" t="str">
        <f t="shared" si="54"/>
        <v/>
      </c>
      <c r="D567" s="18" t="str">
        <f t="shared" si="51"/>
        <v/>
      </c>
      <c r="E567" t="str">
        <f t="shared" si="52"/>
        <v/>
      </c>
      <c r="F567" s="23" t="str">
        <f ca="1">IF(A567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567" s="19" t="str">
        <f>IF(A567="","",C567/(1+F567*$B$6/360)^(COUNT(A$16:A567)-($B$6-$D$16)/$B$6))</f>
        <v/>
      </c>
      <c r="H567" t="str">
        <f t="shared" si="53"/>
        <v/>
      </c>
    </row>
    <row r="568" spans="1:8" x14ac:dyDescent="0.2">
      <c r="A568" s="12" t="str">
        <f t="shared" si="55"/>
        <v/>
      </c>
      <c r="B568" t="str">
        <f t="shared" si="50"/>
        <v/>
      </c>
      <c r="C568" s="17" t="str">
        <f t="shared" si="54"/>
        <v/>
      </c>
      <c r="D568" s="18" t="str">
        <f t="shared" si="51"/>
        <v/>
      </c>
      <c r="E568" t="str">
        <f t="shared" si="52"/>
        <v/>
      </c>
      <c r="F568" s="23" t="str">
        <f ca="1">IF(A568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568" s="19" t="str">
        <f>IF(A568="","",C568/(1+F568*$B$6/360)^(COUNT(A$16:A568)-($B$6-$D$16)/$B$6))</f>
        <v/>
      </c>
      <c r="H568" t="str">
        <f t="shared" si="53"/>
        <v/>
      </c>
    </row>
    <row r="569" spans="1:8" x14ac:dyDescent="0.2">
      <c r="A569" s="12" t="str">
        <f t="shared" si="55"/>
        <v/>
      </c>
      <c r="B569" t="str">
        <f t="shared" si="50"/>
        <v/>
      </c>
      <c r="C569" s="17" t="str">
        <f t="shared" si="54"/>
        <v/>
      </c>
      <c r="D569" s="18" t="str">
        <f t="shared" si="51"/>
        <v/>
      </c>
      <c r="E569" t="str">
        <f t="shared" si="52"/>
        <v/>
      </c>
      <c r="F569" s="23" t="str">
        <f ca="1">IF(A569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569" s="19" t="str">
        <f>IF(A569="","",C569/(1+F569*$B$6/360)^(COUNT(A$16:A569)-($B$6-$D$16)/$B$6))</f>
        <v/>
      </c>
      <c r="H569" t="str">
        <f t="shared" si="53"/>
        <v/>
      </c>
    </row>
    <row r="570" spans="1:8" x14ac:dyDescent="0.2">
      <c r="A570" s="12" t="str">
        <f t="shared" si="55"/>
        <v/>
      </c>
      <c r="B570" t="str">
        <f t="shared" si="50"/>
        <v/>
      </c>
      <c r="C570" s="17" t="str">
        <f t="shared" si="54"/>
        <v/>
      </c>
      <c r="D570" s="18" t="str">
        <f t="shared" si="51"/>
        <v/>
      </c>
      <c r="E570" t="str">
        <f t="shared" si="52"/>
        <v/>
      </c>
      <c r="F570" s="23" t="str">
        <f ca="1">IF(A570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570" s="19" t="str">
        <f>IF(A570="","",C570/(1+F570*$B$6/360)^(COUNT(A$16:A570)-($B$6-$D$16)/$B$6))</f>
        <v/>
      </c>
      <c r="H570" t="str">
        <f t="shared" si="53"/>
        <v/>
      </c>
    </row>
    <row r="571" spans="1:8" x14ac:dyDescent="0.2">
      <c r="A571" s="12" t="str">
        <f t="shared" si="55"/>
        <v/>
      </c>
      <c r="B571" t="str">
        <f t="shared" si="50"/>
        <v/>
      </c>
      <c r="C571" s="17" t="str">
        <f t="shared" si="54"/>
        <v/>
      </c>
      <c r="D571" s="18" t="str">
        <f t="shared" si="51"/>
        <v/>
      </c>
      <c r="E571" t="str">
        <f t="shared" si="52"/>
        <v/>
      </c>
      <c r="F571" s="23" t="str">
        <f ca="1">IF(A571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571" s="19" t="str">
        <f>IF(A571="","",C571/(1+F571*$B$6/360)^(COUNT(A$16:A571)-($B$6-$D$16)/$B$6))</f>
        <v/>
      </c>
      <c r="H571" t="str">
        <f t="shared" si="53"/>
        <v/>
      </c>
    </row>
    <row r="572" spans="1:8" x14ac:dyDescent="0.2">
      <c r="A572" s="12" t="str">
        <f t="shared" si="55"/>
        <v/>
      </c>
      <c r="B572" t="str">
        <f t="shared" si="50"/>
        <v/>
      </c>
      <c r="C572" s="17" t="str">
        <f t="shared" si="54"/>
        <v/>
      </c>
      <c r="D572" s="18" t="str">
        <f t="shared" si="51"/>
        <v/>
      </c>
      <c r="E572" t="str">
        <f t="shared" si="52"/>
        <v/>
      </c>
      <c r="F572" s="23" t="str">
        <f ca="1">IF(A572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572" s="19" t="str">
        <f>IF(A572="","",C572/(1+F572*$B$6/360)^(COUNT(A$16:A572)-($B$6-$D$16)/$B$6))</f>
        <v/>
      </c>
      <c r="H572" t="str">
        <f t="shared" si="53"/>
        <v/>
      </c>
    </row>
    <row r="573" spans="1:8" x14ac:dyDescent="0.2">
      <c r="A573" s="12" t="str">
        <f t="shared" si="55"/>
        <v/>
      </c>
      <c r="B573" t="str">
        <f t="shared" si="50"/>
        <v/>
      </c>
      <c r="C573" s="17" t="str">
        <f t="shared" si="54"/>
        <v/>
      </c>
      <c r="D573" s="18" t="str">
        <f t="shared" si="51"/>
        <v/>
      </c>
      <c r="E573" t="str">
        <f t="shared" si="52"/>
        <v/>
      </c>
      <c r="F573" s="23" t="str">
        <f ca="1">IF(A573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573" s="19" t="str">
        <f>IF(A573="","",C573/(1+F573*$B$6/360)^(COUNT(A$16:A573)-($B$6-$D$16)/$B$6))</f>
        <v/>
      </c>
      <c r="H573" t="str">
        <f t="shared" si="53"/>
        <v/>
      </c>
    </row>
    <row r="574" spans="1:8" x14ac:dyDescent="0.2">
      <c r="A574" s="12" t="str">
        <f t="shared" si="55"/>
        <v/>
      </c>
      <c r="B574" t="str">
        <f t="shared" si="50"/>
        <v/>
      </c>
      <c r="C574" s="17" t="str">
        <f t="shared" si="54"/>
        <v/>
      </c>
      <c r="D574" s="18" t="str">
        <f t="shared" si="51"/>
        <v/>
      </c>
      <c r="E574" t="str">
        <f t="shared" si="52"/>
        <v/>
      </c>
      <c r="F574" s="23" t="str">
        <f ca="1">IF(A574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574" s="19" t="str">
        <f>IF(A574="","",C574/(1+F574*$B$6/360)^(COUNT(A$16:A574)-($B$6-$D$16)/$B$6))</f>
        <v/>
      </c>
      <c r="H574" t="str">
        <f t="shared" si="53"/>
        <v/>
      </c>
    </row>
    <row r="575" spans="1:8" x14ac:dyDescent="0.2">
      <c r="A575" s="12" t="str">
        <f t="shared" si="55"/>
        <v/>
      </c>
      <c r="B575" t="str">
        <f t="shared" si="50"/>
        <v/>
      </c>
      <c r="C575" s="17" t="str">
        <f t="shared" si="54"/>
        <v/>
      </c>
      <c r="D575" s="18" t="str">
        <f t="shared" si="51"/>
        <v/>
      </c>
      <c r="E575" t="str">
        <f t="shared" si="52"/>
        <v/>
      </c>
      <c r="F575" s="23" t="str">
        <f ca="1">IF(A575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575" s="19" t="str">
        <f>IF(A575="","",C575/(1+F575*$B$6/360)^(COUNT(A$16:A575)-($B$6-$D$16)/$B$6))</f>
        <v/>
      </c>
      <c r="H575" t="str">
        <f t="shared" si="53"/>
        <v/>
      </c>
    </row>
    <row r="576" spans="1:8" x14ac:dyDescent="0.2">
      <c r="A576" s="12" t="str">
        <f t="shared" si="55"/>
        <v/>
      </c>
      <c r="B576" t="str">
        <f t="shared" si="50"/>
        <v/>
      </c>
      <c r="C576" s="17" t="str">
        <f t="shared" si="54"/>
        <v/>
      </c>
      <c r="D576" s="18" t="str">
        <f t="shared" si="51"/>
        <v/>
      </c>
      <c r="E576" t="str">
        <f t="shared" si="52"/>
        <v/>
      </c>
      <c r="F576" s="23" t="str">
        <f ca="1">IF(A576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576" s="19" t="str">
        <f>IF(A576="","",C576/(1+F576*$B$6/360)^(COUNT(A$16:A576)-($B$6-$D$16)/$B$6))</f>
        <v/>
      </c>
      <c r="H576" t="str">
        <f t="shared" si="53"/>
        <v/>
      </c>
    </row>
    <row r="577" spans="1:8" x14ac:dyDescent="0.2">
      <c r="A577" s="12" t="str">
        <f t="shared" si="55"/>
        <v/>
      </c>
      <c r="B577" t="str">
        <f t="shared" si="50"/>
        <v/>
      </c>
      <c r="C577" s="17" t="str">
        <f t="shared" si="54"/>
        <v/>
      </c>
      <c r="D577" s="18" t="str">
        <f t="shared" si="51"/>
        <v/>
      </c>
      <c r="E577" t="str">
        <f t="shared" si="52"/>
        <v/>
      </c>
      <c r="F577" s="23" t="str">
        <f ca="1">IF(A577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577" s="19" t="str">
        <f>IF(A577="","",C577/(1+F577*$B$6/360)^(COUNT(A$16:A577)-($B$6-$D$16)/$B$6))</f>
        <v/>
      </c>
      <c r="H577" t="str">
        <f t="shared" si="53"/>
        <v/>
      </c>
    </row>
    <row r="578" spans="1:8" x14ac:dyDescent="0.2">
      <c r="A578" s="12" t="str">
        <f t="shared" si="55"/>
        <v/>
      </c>
      <c r="B578" t="str">
        <f t="shared" si="50"/>
        <v/>
      </c>
      <c r="C578" s="17" t="str">
        <f t="shared" si="54"/>
        <v/>
      </c>
      <c r="D578" s="18" t="str">
        <f t="shared" si="51"/>
        <v/>
      </c>
      <c r="E578" t="str">
        <f t="shared" si="52"/>
        <v/>
      </c>
      <c r="F578" s="23" t="str">
        <f ca="1">IF(A578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578" s="19" t="str">
        <f>IF(A578="","",C578/(1+F578*$B$6/360)^(COUNT(A$16:A578)-($B$6-$D$16)/$B$6))</f>
        <v/>
      </c>
      <c r="H578" t="str">
        <f t="shared" si="53"/>
        <v/>
      </c>
    </row>
    <row r="579" spans="1:8" x14ac:dyDescent="0.2">
      <c r="A579" s="12" t="str">
        <f t="shared" si="55"/>
        <v/>
      </c>
      <c r="B579" t="str">
        <f t="shared" si="50"/>
        <v/>
      </c>
      <c r="C579" s="17" t="str">
        <f t="shared" si="54"/>
        <v/>
      </c>
      <c r="D579" s="18" t="str">
        <f t="shared" si="51"/>
        <v/>
      </c>
      <c r="E579" t="str">
        <f t="shared" si="52"/>
        <v/>
      </c>
      <c r="F579" s="23" t="str">
        <f ca="1">IF(A579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579" s="19" t="str">
        <f>IF(A579="","",C579/(1+F579*$B$6/360)^(COUNT(A$16:A579)-($B$6-$D$16)/$B$6))</f>
        <v/>
      </c>
      <c r="H579" t="str">
        <f t="shared" si="53"/>
        <v/>
      </c>
    </row>
    <row r="580" spans="1:8" x14ac:dyDescent="0.2">
      <c r="A580" s="12" t="str">
        <f t="shared" si="55"/>
        <v/>
      </c>
      <c r="B580" t="str">
        <f t="shared" si="50"/>
        <v/>
      </c>
      <c r="C580" s="17" t="str">
        <f t="shared" si="54"/>
        <v/>
      </c>
      <c r="D580" s="18" t="str">
        <f t="shared" si="51"/>
        <v/>
      </c>
      <c r="E580" t="str">
        <f t="shared" si="52"/>
        <v/>
      </c>
      <c r="F580" s="23" t="str">
        <f ca="1">IF(A580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580" s="19" t="str">
        <f>IF(A580="","",C580/(1+F580*$B$6/360)^(COUNT(A$16:A580)-($B$6-$D$16)/$B$6))</f>
        <v/>
      </c>
      <c r="H580" t="str">
        <f t="shared" si="53"/>
        <v/>
      </c>
    </row>
    <row r="581" spans="1:8" x14ac:dyDescent="0.2">
      <c r="A581" s="12" t="str">
        <f t="shared" si="55"/>
        <v/>
      </c>
      <c r="B581" t="str">
        <f t="shared" si="50"/>
        <v/>
      </c>
      <c r="C581" s="17" t="str">
        <f t="shared" si="54"/>
        <v/>
      </c>
      <c r="D581" s="18" t="str">
        <f t="shared" si="51"/>
        <v/>
      </c>
      <c r="E581" t="str">
        <f t="shared" si="52"/>
        <v/>
      </c>
      <c r="F581" s="23" t="str">
        <f ca="1">IF(A581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581" s="19" t="str">
        <f>IF(A581="","",C581/(1+F581*$B$6/360)^(COUNT(A$16:A581)-($B$6-$D$16)/$B$6))</f>
        <v/>
      </c>
      <c r="H581" t="str">
        <f t="shared" si="53"/>
        <v/>
      </c>
    </row>
    <row r="582" spans="1:8" x14ac:dyDescent="0.2">
      <c r="A582" s="12" t="str">
        <f t="shared" si="55"/>
        <v/>
      </c>
      <c r="B582" t="str">
        <f t="shared" si="50"/>
        <v/>
      </c>
      <c r="C582" s="17" t="str">
        <f t="shared" si="54"/>
        <v/>
      </c>
      <c r="D582" s="18" t="str">
        <f t="shared" si="51"/>
        <v/>
      </c>
      <c r="E582" t="str">
        <f t="shared" si="52"/>
        <v/>
      </c>
      <c r="F582" s="23" t="str">
        <f ca="1">IF(A582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582" s="19" t="str">
        <f>IF(A582="","",C582/(1+F582*$B$6/360)^(COUNT(A$16:A582)-($B$6-$D$16)/$B$6))</f>
        <v/>
      </c>
      <c r="H582" t="str">
        <f t="shared" si="53"/>
        <v/>
      </c>
    </row>
    <row r="583" spans="1:8" x14ac:dyDescent="0.2">
      <c r="A583" s="12" t="str">
        <f t="shared" si="55"/>
        <v/>
      </c>
      <c r="B583" t="str">
        <f t="shared" si="50"/>
        <v/>
      </c>
      <c r="C583" s="17" t="str">
        <f t="shared" si="54"/>
        <v/>
      </c>
      <c r="D583" s="18" t="str">
        <f t="shared" si="51"/>
        <v/>
      </c>
      <c r="E583" t="str">
        <f t="shared" si="52"/>
        <v/>
      </c>
      <c r="F583" s="23" t="str">
        <f ca="1">IF(A583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583" s="19" t="str">
        <f>IF(A583="","",C583/(1+F583*$B$6/360)^(COUNT(A$16:A583)-($B$6-$D$16)/$B$6))</f>
        <v/>
      </c>
      <c r="H583" t="str">
        <f t="shared" si="53"/>
        <v/>
      </c>
    </row>
    <row r="584" spans="1:8" x14ac:dyDescent="0.2">
      <c r="A584" s="12" t="str">
        <f t="shared" si="55"/>
        <v/>
      </c>
      <c r="B584" t="str">
        <f t="shared" si="50"/>
        <v/>
      </c>
      <c r="C584" s="17" t="str">
        <f t="shared" si="54"/>
        <v/>
      </c>
      <c r="D584" s="18" t="str">
        <f t="shared" si="51"/>
        <v/>
      </c>
      <c r="E584" t="str">
        <f t="shared" si="52"/>
        <v/>
      </c>
      <c r="F584" s="23" t="str">
        <f ca="1">IF(A584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584" s="19" t="str">
        <f>IF(A584="","",C584/(1+F584*$B$6/360)^(COUNT(A$16:A584)-($B$6-$D$16)/$B$6))</f>
        <v/>
      </c>
      <c r="H584" t="str">
        <f t="shared" si="53"/>
        <v/>
      </c>
    </row>
    <row r="585" spans="1:8" x14ac:dyDescent="0.2">
      <c r="A585" s="12" t="str">
        <f t="shared" si="55"/>
        <v/>
      </c>
      <c r="B585" t="str">
        <f t="shared" si="50"/>
        <v/>
      </c>
      <c r="C585" s="17" t="str">
        <f t="shared" si="54"/>
        <v/>
      </c>
      <c r="D585" s="18" t="str">
        <f t="shared" si="51"/>
        <v/>
      </c>
      <c r="E585" t="str">
        <f t="shared" si="52"/>
        <v/>
      </c>
      <c r="F585" s="23" t="str">
        <f ca="1">IF(A585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585" s="19" t="str">
        <f>IF(A585="","",C585/(1+F585*$B$6/360)^(COUNT(A$16:A585)-($B$6-$D$16)/$B$6))</f>
        <v/>
      </c>
      <c r="H585" t="str">
        <f t="shared" si="53"/>
        <v/>
      </c>
    </row>
    <row r="586" spans="1:8" x14ac:dyDescent="0.2">
      <c r="A586" s="12" t="str">
        <f t="shared" si="55"/>
        <v/>
      </c>
      <c r="B586" t="str">
        <f t="shared" si="50"/>
        <v/>
      </c>
      <c r="C586" s="17" t="str">
        <f t="shared" si="54"/>
        <v/>
      </c>
      <c r="D586" s="18" t="str">
        <f t="shared" si="51"/>
        <v/>
      </c>
      <c r="E586" t="str">
        <f t="shared" si="52"/>
        <v/>
      </c>
      <c r="F586" s="23" t="str">
        <f ca="1">IF(A586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586" s="19" t="str">
        <f>IF(A586="","",C586/(1+F586*$B$6/360)^(COUNT(A$16:A586)-($B$6-$D$16)/$B$6))</f>
        <v/>
      </c>
      <c r="H586" t="str">
        <f t="shared" si="53"/>
        <v/>
      </c>
    </row>
    <row r="587" spans="1:8" x14ac:dyDescent="0.2">
      <c r="A587" s="12" t="str">
        <f t="shared" si="55"/>
        <v/>
      </c>
      <c r="B587" t="str">
        <f t="shared" si="50"/>
        <v/>
      </c>
      <c r="C587" s="17" t="str">
        <f t="shared" si="54"/>
        <v/>
      </c>
      <c r="D587" s="18" t="str">
        <f t="shared" si="51"/>
        <v/>
      </c>
      <c r="E587" t="str">
        <f t="shared" si="52"/>
        <v/>
      </c>
      <c r="F587" s="23" t="str">
        <f ca="1">IF(A587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587" s="19" t="str">
        <f>IF(A587="","",C587/(1+F587*$B$6/360)^(COUNT(A$16:A587)-($B$6-$D$16)/$B$6))</f>
        <v/>
      </c>
      <c r="H587" t="str">
        <f t="shared" si="53"/>
        <v/>
      </c>
    </row>
    <row r="588" spans="1:8" x14ac:dyDescent="0.2">
      <c r="A588" s="12" t="str">
        <f t="shared" si="55"/>
        <v/>
      </c>
      <c r="B588" t="str">
        <f t="shared" si="50"/>
        <v/>
      </c>
      <c r="C588" s="17" t="str">
        <f t="shared" si="54"/>
        <v/>
      </c>
      <c r="D588" s="18" t="str">
        <f t="shared" si="51"/>
        <v/>
      </c>
      <c r="E588" t="str">
        <f t="shared" si="52"/>
        <v/>
      </c>
      <c r="F588" s="23" t="str">
        <f ca="1">IF(A588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588" s="19" t="str">
        <f>IF(A588="","",C588/(1+F588*$B$6/360)^(COUNT(A$16:A588)-($B$6-$D$16)/$B$6))</f>
        <v/>
      </c>
      <c r="H588" t="str">
        <f t="shared" si="53"/>
        <v/>
      </c>
    </row>
    <row r="589" spans="1:8" x14ac:dyDescent="0.2">
      <c r="A589" s="12" t="str">
        <f t="shared" si="55"/>
        <v/>
      </c>
      <c r="B589" t="str">
        <f t="shared" si="50"/>
        <v/>
      </c>
      <c r="C589" s="17" t="str">
        <f t="shared" si="54"/>
        <v/>
      </c>
      <c r="D589" s="18" t="str">
        <f t="shared" si="51"/>
        <v/>
      </c>
      <c r="E589" t="str">
        <f t="shared" si="52"/>
        <v/>
      </c>
      <c r="F589" s="23" t="str">
        <f ca="1">IF(A589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589" s="19" t="str">
        <f>IF(A589="","",C589/(1+F589*$B$6/360)^(COUNT(A$16:A589)-($B$6-$D$16)/$B$6))</f>
        <v/>
      </c>
      <c r="H589" t="str">
        <f t="shared" si="53"/>
        <v/>
      </c>
    </row>
    <row r="590" spans="1:8" x14ac:dyDescent="0.2">
      <c r="A590" s="12" t="str">
        <f t="shared" si="55"/>
        <v/>
      </c>
      <c r="B590" t="str">
        <f t="shared" si="50"/>
        <v/>
      </c>
      <c r="C590" s="17" t="str">
        <f t="shared" si="54"/>
        <v/>
      </c>
      <c r="D590" s="18" t="str">
        <f t="shared" si="51"/>
        <v/>
      </c>
      <c r="E590" t="str">
        <f t="shared" si="52"/>
        <v/>
      </c>
      <c r="F590" s="23" t="str">
        <f ca="1">IF(A590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590" s="19" t="str">
        <f>IF(A590="","",C590/(1+F590*$B$6/360)^(COUNT(A$16:A590)-($B$6-$D$16)/$B$6))</f>
        <v/>
      </c>
      <c r="H590" t="str">
        <f t="shared" si="53"/>
        <v/>
      </c>
    </row>
    <row r="591" spans="1:8" x14ac:dyDescent="0.2">
      <c r="A591" s="12" t="str">
        <f t="shared" si="55"/>
        <v/>
      </c>
      <c r="B591" t="str">
        <f t="shared" si="50"/>
        <v/>
      </c>
      <c r="C591" s="17" t="str">
        <f t="shared" si="54"/>
        <v/>
      </c>
      <c r="D591" s="18" t="str">
        <f t="shared" si="51"/>
        <v/>
      </c>
      <c r="E591" t="str">
        <f t="shared" si="52"/>
        <v/>
      </c>
      <c r="F591" s="23" t="str">
        <f ca="1">IF(A591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591" s="19" t="str">
        <f>IF(A591="","",C591/(1+F591*$B$6/360)^(COUNT(A$16:A591)-($B$6-$D$16)/$B$6))</f>
        <v/>
      </c>
      <c r="H591" t="str">
        <f t="shared" si="53"/>
        <v/>
      </c>
    </row>
    <row r="592" spans="1:8" x14ac:dyDescent="0.2">
      <c r="A592" s="12" t="str">
        <f t="shared" si="55"/>
        <v/>
      </c>
      <c r="B592" t="str">
        <f t="shared" si="50"/>
        <v/>
      </c>
      <c r="C592" s="17" t="str">
        <f t="shared" si="54"/>
        <v/>
      </c>
      <c r="D592" s="18" t="str">
        <f t="shared" si="51"/>
        <v/>
      </c>
      <c r="E592" t="str">
        <f t="shared" si="52"/>
        <v/>
      </c>
      <c r="F592" s="23" t="str">
        <f ca="1">IF(A592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592" s="19" t="str">
        <f>IF(A592="","",C592/(1+F592*$B$6/360)^(COUNT(A$16:A592)-($B$6-$D$16)/$B$6))</f>
        <v/>
      </c>
      <c r="H592" t="str">
        <f t="shared" si="53"/>
        <v/>
      </c>
    </row>
    <row r="593" spans="1:8" x14ac:dyDescent="0.2">
      <c r="A593" s="12" t="str">
        <f t="shared" si="55"/>
        <v/>
      </c>
      <c r="B593" t="str">
        <f t="shared" ref="B593:B656" si="56">IF(A593="","",$B$5)</f>
        <v/>
      </c>
      <c r="C593" s="17" t="str">
        <f t="shared" si="54"/>
        <v/>
      </c>
      <c r="D593" s="18" t="str">
        <f t="shared" ref="D593:D656" si="57">IF(A593="","",$B$6)</f>
        <v/>
      </c>
      <c r="E593" t="str">
        <f t="shared" ref="E593:E656" si="58">IF(A593="","",E592+D593)</f>
        <v/>
      </c>
      <c r="F593" s="23" t="str">
        <f ca="1">IF(A593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593" s="19" t="str">
        <f>IF(A593="","",C593/(1+F593*$B$6/360)^(COUNT(A$16:A593)-($B$6-$D$16)/$B$6))</f>
        <v/>
      </c>
      <c r="H593" t="str">
        <f t="shared" ref="H593:H656" si="59">IF(A593="","",C593/(1+F593*$B$6/360)^(E593/$B$6))</f>
        <v/>
      </c>
    </row>
    <row r="594" spans="1:8" x14ac:dyDescent="0.2">
      <c r="A594" s="12" t="str">
        <f t="shared" si="55"/>
        <v/>
      </c>
      <c r="B594" t="str">
        <f t="shared" si="56"/>
        <v/>
      </c>
      <c r="C594" s="17" t="str">
        <f t="shared" si="54"/>
        <v/>
      </c>
      <c r="D594" s="18" t="str">
        <f t="shared" si="57"/>
        <v/>
      </c>
      <c r="E594" t="str">
        <f t="shared" si="58"/>
        <v/>
      </c>
      <c r="F594" s="23" t="str">
        <f ca="1">IF(A594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594" s="19" t="str">
        <f>IF(A594="","",C594/(1+F594*$B$6/360)^(COUNT(A$16:A594)-($B$6-$D$16)/$B$6))</f>
        <v/>
      </c>
      <c r="H594" t="str">
        <f t="shared" si="59"/>
        <v/>
      </c>
    </row>
    <row r="595" spans="1:8" x14ac:dyDescent="0.2">
      <c r="A595" s="12" t="str">
        <f t="shared" si="55"/>
        <v/>
      </c>
      <c r="B595" t="str">
        <f t="shared" si="56"/>
        <v/>
      </c>
      <c r="C595" s="17" t="str">
        <f t="shared" si="54"/>
        <v/>
      </c>
      <c r="D595" s="18" t="str">
        <f t="shared" si="57"/>
        <v/>
      </c>
      <c r="E595" t="str">
        <f t="shared" si="58"/>
        <v/>
      </c>
      <c r="F595" s="23" t="str">
        <f ca="1">IF(A595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595" s="19" t="str">
        <f>IF(A595="","",C595/(1+F595*$B$6/360)^(COUNT(A$16:A595)-($B$6-$D$16)/$B$6))</f>
        <v/>
      </c>
      <c r="H595" t="str">
        <f t="shared" si="59"/>
        <v/>
      </c>
    </row>
    <row r="596" spans="1:8" x14ac:dyDescent="0.2">
      <c r="A596" s="12" t="str">
        <f t="shared" si="55"/>
        <v/>
      </c>
      <c r="B596" t="str">
        <f t="shared" si="56"/>
        <v/>
      </c>
      <c r="C596" s="17" t="str">
        <f t="shared" si="54"/>
        <v/>
      </c>
      <c r="D596" s="18" t="str">
        <f t="shared" si="57"/>
        <v/>
      </c>
      <c r="E596" t="str">
        <f t="shared" si="58"/>
        <v/>
      </c>
      <c r="F596" s="23" t="str">
        <f ca="1">IF(A596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596" s="19" t="str">
        <f>IF(A596="","",C596/(1+F596*$B$6/360)^(COUNT(A$16:A596)-($B$6-$D$16)/$B$6))</f>
        <v/>
      </c>
      <c r="H596" t="str">
        <f t="shared" si="59"/>
        <v/>
      </c>
    </row>
    <row r="597" spans="1:8" x14ac:dyDescent="0.2">
      <c r="A597" s="12" t="str">
        <f t="shared" si="55"/>
        <v/>
      </c>
      <c r="B597" t="str">
        <f t="shared" si="56"/>
        <v/>
      </c>
      <c r="C597" s="17" t="str">
        <f t="shared" si="54"/>
        <v/>
      </c>
      <c r="D597" s="18" t="str">
        <f t="shared" si="57"/>
        <v/>
      </c>
      <c r="E597" t="str">
        <f t="shared" si="58"/>
        <v/>
      </c>
      <c r="F597" s="23" t="str">
        <f ca="1">IF(A597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597" s="19" t="str">
        <f>IF(A597="","",C597/(1+F597*$B$6/360)^(COUNT(A$16:A597)-($B$6-$D$16)/$B$6))</f>
        <v/>
      </c>
      <c r="H597" t="str">
        <f t="shared" si="59"/>
        <v/>
      </c>
    </row>
    <row r="598" spans="1:8" x14ac:dyDescent="0.2">
      <c r="A598" s="12" t="str">
        <f t="shared" si="55"/>
        <v/>
      </c>
      <c r="B598" t="str">
        <f t="shared" si="56"/>
        <v/>
      </c>
      <c r="C598" s="17" t="str">
        <f t="shared" si="54"/>
        <v/>
      </c>
      <c r="D598" s="18" t="str">
        <f t="shared" si="57"/>
        <v/>
      </c>
      <c r="E598" t="str">
        <f t="shared" si="58"/>
        <v/>
      </c>
      <c r="F598" s="23" t="str">
        <f ca="1">IF(A598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598" s="19" t="str">
        <f>IF(A598="","",C598/(1+F598*$B$6/360)^(COUNT(A$16:A598)-($B$6-$D$16)/$B$6))</f>
        <v/>
      </c>
      <c r="H598" t="str">
        <f t="shared" si="59"/>
        <v/>
      </c>
    </row>
    <row r="599" spans="1:8" x14ac:dyDescent="0.2">
      <c r="A599" s="12" t="str">
        <f t="shared" si="55"/>
        <v/>
      </c>
      <c r="B599" t="str">
        <f t="shared" si="56"/>
        <v/>
      </c>
      <c r="C599" s="17" t="str">
        <f t="shared" si="54"/>
        <v/>
      </c>
      <c r="D599" s="18" t="str">
        <f t="shared" si="57"/>
        <v/>
      </c>
      <c r="E599" t="str">
        <f t="shared" si="58"/>
        <v/>
      </c>
      <c r="F599" s="23" t="str">
        <f ca="1">IF(A599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599" s="19" t="str">
        <f>IF(A599="","",C599/(1+F599*$B$6/360)^(COUNT(A$16:A599)-($B$6-$D$16)/$B$6))</f>
        <v/>
      </c>
      <c r="H599" t="str">
        <f t="shared" si="59"/>
        <v/>
      </c>
    </row>
    <row r="600" spans="1:8" x14ac:dyDescent="0.2">
      <c r="A600" s="12" t="str">
        <f t="shared" si="55"/>
        <v/>
      </c>
      <c r="B600" t="str">
        <f t="shared" si="56"/>
        <v/>
      </c>
      <c r="C600" s="17" t="str">
        <f t="shared" si="54"/>
        <v/>
      </c>
      <c r="D600" s="18" t="str">
        <f t="shared" si="57"/>
        <v/>
      </c>
      <c r="E600" t="str">
        <f t="shared" si="58"/>
        <v/>
      </c>
      <c r="F600" s="23" t="str">
        <f ca="1">IF(A600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600" s="19" t="str">
        <f>IF(A600="","",C600/(1+F600*$B$6/360)^(COUNT(A$16:A600)-($B$6-$D$16)/$B$6))</f>
        <v/>
      </c>
      <c r="H600" t="str">
        <f t="shared" si="59"/>
        <v/>
      </c>
    </row>
    <row r="601" spans="1:8" x14ac:dyDescent="0.2">
      <c r="A601" s="12" t="str">
        <f t="shared" si="55"/>
        <v/>
      </c>
      <c r="B601" t="str">
        <f t="shared" si="56"/>
        <v/>
      </c>
      <c r="C601" s="17" t="str">
        <f t="shared" si="54"/>
        <v/>
      </c>
      <c r="D601" s="18" t="str">
        <f t="shared" si="57"/>
        <v/>
      </c>
      <c r="E601" t="str">
        <f t="shared" si="58"/>
        <v/>
      </c>
      <c r="F601" s="23" t="str">
        <f ca="1">IF(A601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601" s="19" t="str">
        <f>IF(A601="","",C601/(1+F601*$B$6/360)^(COUNT(A$16:A601)-($B$6-$D$16)/$B$6))</f>
        <v/>
      </c>
      <c r="H601" t="str">
        <f t="shared" si="59"/>
        <v/>
      </c>
    </row>
    <row r="602" spans="1:8" x14ac:dyDescent="0.2">
      <c r="A602" s="12" t="str">
        <f t="shared" si="55"/>
        <v/>
      </c>
      <c r="B602" t="str">
        <f t="shared" si="56"/>
        <v/>
      </c>
      <c r="C602" s="17" t="str">
        <f t="shared" ref="C602:C665" si="60">IF(A602="","",IF(A602=$B$4,$B$1*$B$2, $B$5*$B$6/360*$B$1*$B$2))</f>
        <v/>
      </c>
      <c r="D602" s="18" t="str">
        <f t="shared" si="57"/>
        <v/>
      </c>
      <c r="E602" t="str">
        <f t="shared" si="58"/>
        <v/>
      </c>
      <c r="F602" s="23" t="str">
        <f ca="1">IF(A602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602" s="19" t="str">
        <f>IF(A602="","",C602/(1+F602*$B$6/360)^(COUNT(A$16:A602)-($B$6-$D$16)/$B$6))</f>
        <v/>
      </c>
      <c r="H602" t="str">
        <f t="shared" si="59"/>
        <v/>
      </c>
    </row>
    <row r="603" spans="1:8" x14ac:dyDescent="0.2">
      <c r="A603" s="12" t="str">
        <f t="shared" ref="A603:A666" si="61">IF(A602="","",IF((A602+$B$6)&gt;$B$4,"",(A602+$B$6)))</f>
        <v/>
      </c>
      <c r="B603" t="str">
        <f t="shared" si="56"/>
        <v/>
      </c>
      <c r="C603" s="17" t="str">
        <f t="shared" si="60"/>
        <v/>
      </c>
      <c r="D603" s="18" t="str">
        <f t="shared" si="57"/>
        <v/>
      </c>
      <c r="E603" t="str">
        <f t="shared" si="58"/>
        <v/>
      </c>
      <c r="F603" s="23" t="str">
        <f ca="1">IF(A603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603" s="19" t="str">
        <f>IF(A603="","",C603/(1+F603*$B$6/360)^(COUNT(A$16:A603)-($B$6-$D$16)/$B$6))</f>
        <v/>
      </c>
      <c r="H603" t="str">
        <f t="shared" si="59"/>
        <v/>
      </c>
    </row>
    <row r="604" spans="1:8" x14ac:dyDescent="0.2">
      <c r="A604" s="12" t="str">
        <f t="shared" si="61"/>
        <v/>
      </c>
      <c r="B604" t="str">
        <f t="shared" si="56"/>
        <v/>
      </c>
      <c r="C604" s="17" t="str">
        <f t="shared" si="60"/>
        <v/>
      </c>
      <c r="D604" s="18" t="str">
        <f t="shared" si="57"/>
        <v/>
      </c>
      <c r="E604" t="str">
        <f t="shared" si="58"/>
        <v/>
      </c>
      <c r="F604" s="23" t="str">
        <f ca="1">IF(A604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604" s="19" t="str">
        <f>IF(A604="","",C604/(1+F604*$B$6/360)^(COUNT(A$16:A604)-($B$6-$D$16)/$B$6))</f>
        <v/>
      </c>
      <c r="H604" t="str">
        <f t="shared" si="59"/>
        <v/>
      </c>
    </row>
    <row r="605" spans="1:8" x14ac:dyDescent="0.2">
      <c r="A605" s="12" t="str">
        <f t="shared" si="61"/>
        <v/>
      </c>
      <c r="B605" t="str">
        <f t="shared" si="56"/>
        <v/>
      </c>
      <c r="C605" s="17" t="str">
        <f t="shared" si="60"/>
        <v/>
      </c>
      <c r="D605" s="18" t="str">
        <f t="shared" si="57"/>
        <v/>
      </c>
      <c r="E605" t="str">
        <f t="shared" si="58"/>
        <v/>
      </c>
      <c r="F605" s="23" t="str">
        <f ca="1">IF(A605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605" s="19" t="str">
        <f>IF(A605="","",C605/(1+F605*$B$6/360)^(COUNT(A$16:A605)-($B$6-$D$16)/$B$6))</f>
        <v/>
      </c>
      <c r="H605" t="str">
        <f t="shared" si="59"/>
        <v/>
      </c>
    </row>
    <row r="606" spans="1:8" x14ac:dyDescent="0.2">
      <c r="A606" s="12" t="str">
        <f t="shared" si="61"/>
        <v/>
      </c>
      <c r="B606" t="str">
        <f t="shared" si="56"/>
        <v/>
      </c>
      <c r="C606" s="17" t="str">
        <f t="shared" si="60"/>
        <v/>
      </c>
      <c r="D606" s="18" t="str">
        <f t="shared" si="57"/>
        <v/>
      </c>
      <c r="E606" t="str">
        <f t="shared" si="58"/>
        <v/>
      </c>
      <c r="F606" s="23" t="str">
        <f ca="1">IF(A606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606" s="19" t="str">
        <f>IF(A606="","",C606/(1+F606*$B$6/360)^(COUNT(A$16:A606)-($B$6-$D$16)/$B$6))</f>
        <v/>
      </c>
      <c r="H606" t="str">
        <f t="shared" si="59"/>
        <v/>
      </c>
    </row>
    <row r="607" spans="1:8" x14ac:dyDescent="0.2">
      <c r="A607" s="12" t="str">
        <f t="shared" si="61"/>
        <v/>
      </c>
      <c r="B607" t="str">
        <f t="shared" si="56"/>
        <v/>
      </c>
      <c r="C607" s="17" t="str">
        <f t="shared" si="60"/>
        <v/>
      </c>
      <c r="D607" s="18" t="str">
        <f t="shared" si="57"/>
        <v/>
      </c>
      <c r="E607" t="str">
        <f t="shared" si="58"/>
        <v/>
      </c>
      <c r="F607" s="23" t="str">
        <f ca="1">IF(A607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607" s="19" t="str">
        <f>IF(A607="","",C607/(1+F607*$B$6/360)^(COUNT(A$16:A607)-($B$6-$D$16)/$B$6))</f>
        <v/>
      </c>
      <c r="H607" t="str">
        <f t="shared" si="59"/>
        <v/>
      </c>
    </row>
    <row r="608" spans="1:8" x14ac:dyDescent="0.2">
      <c r="A608" s="12" t="str">
        <f t="shared" si="61"/>
        <v/>
      </c>
      <c r="B608" t="str">
        <f t="shared" si="56"/>
        <v/>
      </c>
      <c r="C608" s="17" t="str">
        <f t="shared" si="60"/>
        <v/>
      </c>
      <c r="D608" s="18" t="str">
        <f t="shared" si="57"/>
        <v/>
      </c>
      <c r="E608" t="str">
        <f t="shared" si="58"/>
        <v/>
      </c>
      <c r="F608" s="23" t="str">
        <f ca="1">IF(A608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608" s="19" t="str">
        <f>IF(A608="","",C608/(1+F608*$B$6/360)^(COUNT(A$16:A608)-($B$6-$D$16)/$B$6))</f>
        <v/>
      </c>
      <c r="H608" t="str">
        <f t="shared" si="59"/>
        <v/>
      </c>
    </row>
    <row r="609" spans="1:8" x14ac:dyDescent="0.2">
      <c r="A609" s="12" t="str">
        <f t="shared" si="61"/>
        <v/>
      </c>
      <c r="B609" t="str">
        <f t="shared" si="56"/>
        <v/>
      </c>
      <c r="C609" s="17" t="str">
        <f t="shared" si="60"/>
        <v/>
      </c>
      <c r="D609" s="18" t="str">
        <f t="shared" si="57"/>
        <v/>
      </c>
      <c r="E609" t="str">
        <f t="shared" si="58"/>
        <v/>
      </c>
      <c r="F609" s="23" t="str">
        <f ca="1">IF(A609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609" s="19" t="str">
        <f>IF(A609="","",C609/(1+F609*$B$6/360)^(COUNT(A$16:A609)-($B$6-$D$16)/$B$6))</f>
        <v/>
      </c>
      <c r="H609" t="str">
        <f t="shared" si="59"/>
        <v/>
      </c>
    </row>
    <row r="610" spans="1:8" x14ac:dyDescent="0.2">
      <c r="A610" s="12" t="str">
        <f t="shared" si="61"/>
        <v/>
      </c>
      <c r="B610" t="str">
        <f t="shared" si="56"/>
        <v/>
      </c>
      <c r="C610" s="17" t="str">
        <f t="shared" si="60"/>
        <v/>
      </c>
      <c r="D610" s="18" t="str">
        <f t="shared" si="57"/>
        <v/>
      </c>
      <c r="E610" t="str">
        <f t="shared" si="58"/>
        <v/>
      </c>
      <c r="F610" s="23" t="str">
        <f ca="1">IF(A610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610" s="19" t="str">
        <f>IF(A610="","",C610/(1+F610*$B$6/360)^(COUNT(A$16:A610)-($B$6-$D$16)/$B$6))</f>
        <v/>
      </c>
      <c r="H610" t="str">
        <f t="shared" si="59"/>
        <v/>
      </c>
    </row>
    <row r="611" spans="1:8" x14ac:dyDescent="0.2">
      <c r="A611" s="12" t="str">
        <f t="shared" si="61"/>
        <v/>
      </c>
      <c r="B611" t="str">
        <f t="shared" si="56"/>
        <v/>
      </c>
      <c r="C611" s="17" t="str">
        <f t="shared" si="60"/>
        <v/>
      </c>
      <c r="D611" s="18" t="str">
        <f t="shared" si="57"/>
        <v/>
      </c>
      <c r="E611" t="str">
        <f t="shared" si="58"/>
        <v/>
      </c>
      <c r="F611" s="23" t="str">
        <f ca="1">IF(A611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611" s="19" t="str">
        <f>IF(A611="","",C611/(1+F611*$B$6/360)^(COUNT(A$16:A611)-($B$6-$D$16)/$B$6))</f>
        <v/>
      </c>
      <c r="H611" t="str">
        <f t="shared" si="59"/>
        <v/>
      </c>
    </row>
    <row r="612" spans="1:8" x14ac:dyDescent="0.2">
      <c r="A612" s="12" t="str">
        <f t="shared" si="61"/>
        <v/>
      </c>
      <c r="B612" t="str">
        <f t="shared" si="56"/>
        <v/>
      </c>
      <c r="C612" s="17" t="str">
        <f t="shared" si="60"/>
        <v/>
      </c>
      <c r="D612" s="18" t="str">
        <f t="shared" si="57"/>
        <v/>
      </c>
      <c r="E612" t="str">
        <f t="shared" si="58"/>
        <v/>
      </c>
      <c r="F612" s="23" t="str">
        <f ca="1">IF(A612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612" s="19" t="str">
        <f>IF(A612="","",C612/(1+F612*$B$6/360)^(COUNT(A$16:A612)-($B$6-$D$16)/$B$6))</f>
        <v/>
      </c>
      <c r="H612" t="str">
        <f t="shared" si="59"/>
        <v/>
      </c>
    </row>
    <row r="613" spans="1:8" x14ac:dyDescent="0.2">
      <c r="A613" s="12" t="str">
        <f t="shared" si="61"/>
        <v/>
      </c>
      <c r="B613" t="str">
        <f t="shared" si="56"/>
        <v/>
      </c>
      <c r="C613" s="17" t="str">
        <f t="shared" si="60"/>
        <v/>
      </c>
      <c r="D613" s="18" t="str">
        <f t="shared" si="57"/>
        <v/>
      </c>
      <c r="E613" t="str">
        <f t="shared" si="58"/>
        <v/>
      </c>
      <c r="F613" s="23" t="str">
        <f ca="1">IF(A613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613" s="19" t="str">
        <f>IF(A613="","",C613/(1+F613*$B$6/360)^(COUNT(A$16:A613)-($B$6-$D$16)/$B$6))</f>
        <v/>
      </c>
      <c r="H613" t="str">
        <f t="shared" si="59"/>
        <v/>
      </c>
    </row>
    <row r="614" spans="1:8" x14ac:dyDescent="0.2">
      <c r="A614" s="12" t="str">
        <f t="shared" si="61"/>
        <v/>
      </c>
      <c r="B614" t="str">
        <f t="shared" si="56"/>
        <v/>
      </c>
      <c r="C614" s="17" t="str">
        <f t="shared" si="60"/>
        <v/>
      </c>
      <c r="D614" s="18" t="str">
        <f t="shared" si="57"/>
        <v/>
      </c>
      <c r="E614" t="str">
        <f t="shared" si="58"/>
        <v/>
      </c>
      <c r="F614" s="23" t="str">
        <f ca="1">IF(A614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614" s="19" t="str">
        <f>IF(A614="","",C614/(1+F614*$B$6/360)^(COUNT(A$16:A614)-($B$6-$D$16)/$B$6))</f>
        <v/>
      </c>
      <c r="H614" t="str">
        <f t="shared" si="59"/>
        <v/>
      </c>
    </row>
    <row r="615" spans="1:8" x14ac:dyDescent="0.2">
      <c r="A615" s="12" t="str">
        <f t="shared" si="61"/>
        <v/>
      </c>
      <c r="B615" t="str">
        <f t="shared" si="56"/>
        <v/>
      </c>
      <c r="C615" s="17" t="str">
        <f t="shared" si="60"/>
        <v/>
      </c>
      <c r="D615" s="18" t="str">
        <f t="shared" si="57"/>
        <v/>
      </c>
      <c r="E615" t="str">
        <f t="shared" si="58"/>
        <v/>
      </c>
      <c r="F615" s="23" t="str">
        <f ca="1">IF(A615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615" s="19" t="str">
        <f>IF(A615="","",C615/(1+F615*$B$6/360)^(COUNT(A$16:A615)-($B$6-$D$16)/$B$6))</f>
        <v/>
      </c>
      <c r="H615" t="str">
        <f t="shared" si="59"/>
        <v/>
      </c>
    </row>
    <row r="616" spans="1:8" x14ac:dyDescent="0.2">
      <c r="A616" s="12" t="str">
        <f t="shared" si="61"/>
        <v/>
      </c>
      <c r="B616" t="str">
        <f t="shared" si="56"/>
        <v/>
      </c>
      <c r="C616" s="17" t="str">
        <f t="shared" si="60"/>
        <v/>
      </c>
      <c r="D616" s="18" t="str">
        <f t="shared" si="57"/>
        <v/>
      </c>
      <c r="E616" t="str">
        <f t="shared" si="58"/>
        <v/>
      </c>
      <c r="F616" s="23" t="str">
        <f ca="1">IF(A616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616" s="19" t="str">
        <f>IF(A616="","",C616/(1+F616*$B$6/360)^(COUNT(A$16:A616)-($B$6-$D$16)/$B$6))</f>
        <v/>
      </c>
      <c r="H616" t="str">
        <f t="shared" si="59"/>
        <v/>
      </c>
    </row>
    <row r="617" spans="1:8" x14ac:dyDescent="0.2">
      <c r="A617" s="12" t="str">
        <f t="shared" si="61"/>
        <v/>
      </c>
      <c r="B617" t="str">
        <f t="shared" si="56"/>
        <v/>
      </c>
      <c r="C617" s="17" t="str">
        <f t="shared" si="60"/>
        <v/>
      </c>
      <c r="D617" s="18" t="str">
        <f t="shared" si="57"/>
        <v/>
      </c>
      <c r="E617" t="str">
        <f t="shared" si="58"/>
        <v/>
      </c>
      <c r="F617" s="23" t="str">
        <f ca="1">IF(A617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617" s="19" t="str">
        <f>IF(A617="","",C617/(1+F617*$B$6/360)^(COUNT(A$16:A617)-($B$6-$D$16)/$B$6))</f>
        <v/>
      </c>
      <c r="H617" t="str">
        <f t="shared" si="59"/>
        <v/>
      </c>
    </row>
    <row r="618" spans="1:8" x14ac:dyDescent="0.2">
      <c r="A618" s="12" t="str">
        <f t="shared" si="61"/>
        <v/>
      </c>
      <c r="B618" t="str">
        <f t="shared" si="56"/>
        <v/>
      </c>
      <c r="C618" s="17" t="str">
        <f t="shared" si="60"/>
        <v/>
      </c>
      <c r="D618" s="18" t="str">
        <f t="shared" si="57"/>
        <v/>
      </c>
      <c r="E618" t="str">
        <f t="shared" si="58"/>
        <v/>
      </c>
      <c r="F618" s="23" t="str">
        <f ca="1">IF(A618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618" s="19" t="str">
        <f>IF(A618="","",C618/(1+F618*$B$6/360)^(COUNT(A$16:A618)-($B$6-$D$16)/$B$6))</f>
        <v/>
      </c>
      <c r="H618" t="str">
        <f t="shared" si="59"/>
        <v/>
      </c>
    </row>
    <row r="619" spans="1:8" x14ac:dyDescent="0.2">
      <c r="A619" s="12" t="str">
        <f t="shared" si="61"/>
        <v/>
      </c>
      <c r="B619" t="str">
        <f t="shared" si="56"/>
        <v/>
      </c>
      <c r="C619" s="17" t="str">
        <f t="shared" si="60"/>
        <v/>
      </c>
      <c r="D619" s="18" t="str">
        <f t="shared" si="57"/>
        <v/>
      </c>
      <c r="E619" t="str">
        <f t="shared" si="58"/>
        <v/>
      </c>
      <c r="F619" s="23" t="str">
        <f ca="1">IF(A619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619" s="19" t="str">
        <f>IF(A619="","",C619/(1+F619*$B$6/360)^(COUNT(A$16:A619)-($B$6-$D$16)/$B$6))</f>
        <v/>
      </c>
      <c r="H619" t="str">
        <f t="shared" si="59"/>
        <v/>
      </c>
    </row>
    <row r="620" spans="1:8" x14ac:dyDescent="0.2">
      <c r="A620" s="12" t="str">
        <f t="shared" si="61"/>
        <v/>
      </c>
      <c r="B620" t="str">
        <f t="shared" si="56"/>
        <v/>
      </c>
      <c r="C620" s="17" t="str">
        <f t="shared" si="60"/>
        <v/>
      </c>
      <c r="D620" s="18" t="str">
        <f t="shared" si="57"/>
        <v/>
      </c>
      <c r="E620" t="str">
        <f t="shared" si="58"/>
        <v/>
      </c>
      <c r="F620" s="23" t="str">
        <f ca="1">IF(A620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620" s="19" t="str">
        <f>IF(A620="","",C620/(1+F620*$B$6/360)^(COUNT(A$16:A620)-($B$6-$D$16)/$B$6))</f>
        <v/>
      </c>
      <c r="H620" t="str">
        <f t="shared" si="59"/>
        <v/>
      </c>
    </row>
    <row r="621" spans="1:8" x14ac:dyDescent="0.2">
      <c r="A621" s="12" t="str">
        <f t="shared" si="61"/>
        <v/>
      </c>
      <c r="B621" t="str">
        <f t="shared" si="56"/>
        <v/>
      </c>
      <c r="C621" s="17" t="str">
        <f t="shared" si="60"/>
        <v/>
      </c>
      <c r="D621" s="18" t="str">
        <f t="shared" si="57"/>
        <v/>
      </c>
      <c r="E621" t="str">
        <f t="shared" si="58"/>
        <v/>
      </c>
      <c r="F621" s="23" t="str">
        <f ca="1">IF(A621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621" s="19" t="str">
        <f>IF(A621="","",C621/(1+F621*$B$6/360)^(COUNT(A$16:A621)-($B$6-$D$16)/$B$6))</f>
        <v/>
      </c>
      <c r="H621" t="str">
        <f t="shared" si="59"/>
        <v/>
      </c>
    </row>
    <row r="622" spans="1:8" x14ac:dyDescent="0.2">
      <c r="A622" s="12" t="str">
        <f t="shared" si="61"/>
        <v/>
      </c>
      <c r="B622" t="str">
        <f t="shared" si="56"/>
        <v/>
      </c>
      <c r="C622" s="17" t="str">
        <f t="shared" si="60"/>
        <v/>
      </c>
      <c r="D622" s="18" t="str">
        <f t="shared" si="57"/>
        <v/>
      </c>
      <c r="E622" t="str">
        <f t="shared" si="58"/>
        <v/>
      </c>
      <c r="F622" s="23" t="str">
        <f ca="1">IF(A622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622" s="19" t="str">
        <f>IF(A622="","",C622/(1+F622*$B$6/360)^(COUNT(A$16:A622)-($B$6-$D$16)/$B$6))</f>
        <v/>
      </c>
      <c r="H622" t="str">
        <f t="shared" si="59"/>
        <v/>
      </c>
    </row>
    <row r="623" spans="1:8" x14ac:dyDescent="0.2">
      <c r="A623" s="12" t="str">
        <f t="shared" si="61"/>
        <v/>
      </c>
      <c r="B623" t="str">
        <f t="shared" si="56"/>
        <v/>
      </c>
      <c r="C623" s="17" t="str">
        <f t="shared" si="60"/>
        <v/>
      </c>
      <c r="D623" s="18" t="str">
        <f t="shared" si="57"/>
        <v/>
      </c>
      <c r="E623" t="str">
        <f t="shared" si="58"/>
        <v/>
      </c>
      <c r="F623" s="23" t="str">
        <f ca="1">IF(A623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623" s="19" t="str">
        <f>IF(A623="","",C623/(1+F623*$B$6/360)^(COUNT(A$16:A623)-($B$6-$D$16)/$B$6))</f>
        <v/>
      </c>
      <c r="H623" t="str">
        <f t="shared" si="59"/>
        <v/>
      </c>
    </row>
    <row r="624" spans="1:8" x14ac:dyDescent="0.2">
      <c r="A624" s="12" t="str">
        <f t="shared" si="61"/>
        <v/>
      </c>
      <c r="B624" t="str">
        <f t="shared" si="56"/>
        <v/>
      </c>
      <c r="C624" s="17" t="str">
        <f t="shared" si="60"/>
        <v/>
      </c>
      <c r="D624" s="18" t="str">
        <f t="shared" si="57"/>
        <v/>
      </c>
      <c r="E624" t="str">
        <f t="shared" si="58"/>
        <v/>
      </c>
      <c r="F624" s="23" t="str">
        <f ca="1">IF(A624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624" s="19" t="str">
        <f>IF(A624="","",C624/(1+F624*$B$6/360)^(COUNT(A$16:A624)-($B$6-$D$16)/$B$6))</f>
        <v/>
      </c>
      <c r="H624" t="str">
        <f t="shared" si="59"/>
        <v/>
      </c>
    </row>
    <row r="625" spans="1:8" x14ac:dyDescent="0.2">
      <c r="A625" s="12" t="str">
        <f t="shared" si="61"/>
        <v/>
      </c>
      <c r="B625" t="str">
        <f t="shared" si="56"/>
        <v/>
      </c>
      <c r="C625" s="17" t="str">
        <f t="shared" si="60"/>
        <v/>
      </c>
      <c r="D625" s="18" t="str">
        <f t="shared" si="57"/>
        <v/>
      </c>
      <c r="E625" t="str">
        <f t="shared" si="58"/>
        <v/>
      </c>
      <c r="F625" s="23" t="str">
        <f ca="1">IF(A625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625" s="19" t="str">
        <f>IF(A625="","",C625/(1+F625*$B$6/360)^(COUNT(A$16:A625)-($B$6-$D$16)/$B$6))</f>
        <v/>
      </c>
      <c r="H625" t="str">
        <f t="shared" si="59"/>
        <v/>
      </c>
    </row>
    <row r="626" spans="1:8" x14ac:dyDescent="0.2">
      <c r="A626" s="12" t="str">
        <f t="shared" si="61"/>
        <v/>
      </c>
      <c r="B626" t="str">
        <f t="shared" si="56"/>
        <v/>
      </c>
      <c r="C626" s="17" t="str">
        <f t="shared" si="60"/>
        <v/>
      </c>
      <c r="D626" s="18" t="str">
        <f t="shared" si="57"/>
        <v/>
      </c>
      <c r="E626" t="str">
        <f t="shared" si="58"/>
        <v/>
      </c>
      <c r="F626" s="23" t="str">
        <f ca="1">IF(A626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626" s="19" t="str">
        <f>IF(A626="","",C626/(1+F626*$B$6/360)^(COUNT(A$16:A626)-($B$6-$D$16)/$B$6))</f>
        <v/>
      </c>
      <c r="H626" t="str">
        <f t="shared" si="59"/>
        <v/>
      </c>
    </row>
    <row r="627" spans="1:8" x14ac:dyDescent="0.2">
      <c r="A627" s="12" t="str">
        <f t="shared" si="61"/>
        <v/>
      </c>
      <c r="B627" t="str">
        <f t="shared" si="56"/>
        <v/>
      </c>
      <c r="C627" s="17" t="str">
        <f t="shared" si="60"/>
        <v/>
      </c>
      <c r="D627" s="18" t="str">
        <f t="shared" si="57"/>
        <v/>
      </c>
      <c r="E627" t="str">
        <f t="shared" si="58"/>
        <v/>
      </c>
      <c r="F627" s="23" t="str">
        <f ca="1">IF(A627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627" s="19" t="str">
        <f>IF(A627="","",C627/(1+F627*$B$6/360)^(COUNT(A$16:A627)-($B$6-$D$16)/$B$6))</f>
        <v/>
      </c>
      <c r="H627" t="str">
        <f t="shared" si="59"/>
        <v/>
      </c>
    </row>
    <row r="628" spans="1:8" x14ac:dyDescent="0.2">
      <c r="A628" s="12" t="str">
        <f t="shared" si="61"/>
        <v/>
      </c>
      <c r="B628" t="str">
        <f t="shared" si="56"/>
        <v/>
      </c>
      <c r="C628" s="17" t="str">
        <f t="shared" si="60"/>
        <v/>
      </c>
      <c r="D628" s="18" t="str">
        <f t="shared" si="57"/>
        <v/>
      </c>
      <c r="E628" t="str">
        <f t="shared" si="58"/>
        <v/>
      </c>
      <c r="F628" s="23" t="str">
        <f ca="1">IF(A628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628" s="19" t="str">
        <f>IF(A628="","",C628/(1+F628*$B$6/360)^(COUNT(A$16:A628)-($B$6-$D$16)/$B$6))</f>
        <v/>
      </c>
      <c r="H628" t="str">
        <f t="shared" si="59"/>
        <v/>
      </c>
    </row>
    <row r="629" spans="1:8" x14ac:dyDescent="0.2">
      <c r="A629" s="12" t="str">
        <f t="shared" si="61"/>
        <v/>
      </c>
      <c r="B629" t="str">
        <f t="shared" si="56"/>
        <v/>
      </c>
      <c r="C629" s="17" t="str">
        <f t="shared" si="60"/>
        <v/>
      </c>
      <c r="D629" s="18" t="str">
        <f t="shared" si="57"/>
        <v/>
      </c>
      <c r="E629" t="str">
        <f t="shared" si="58"/>
        <v/>
      </c>
      <c r="F629" s="23" t="str">
        <f ca="1">IF(A629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629" s="19" t="str">
        <f>IF(A629="","",C629/(1+F629*$B$6/360)^(COUNT(A$16:A629)-($B$6-$D$16)/$B$6))</f>
        <v/>
      </c>
      <c r="H629" t="str">
        <f t="shared" si="59"/>
        <v/>
      </c>
    </row>
    <row r="630" spans="1:8" x14ac:dyDescent="0.2">
      <c r="A630" s="12" t="str">
        <f t="shared" si="61"/>
        <v/>
      </c>
      <c r="B630" t="str">
        <f t="shared" si="56"/>
        <v/>
      </c>
      <c r="C630" s="17" t="str">
        <f t="shared" si="60"/>
        <v/>
      </c>
      <c r="D630" s="18" t="str">
        <f t="shared" si="57"/>
        <v/>
      </c>
      <c r="E630" t="str">
        <f t="shared" si="58"/>
        <v/>
      </c>
      <c r="F630" s="23" t="str">
        <f ca="1">IF(A630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630" s="19" t="str">
        <f>IF(A630="","",C630/(1+F630*$B$6/360)^(COUNT(A$16:A630)-($B$6-$D$16)/$B$6))</f>
        <v/>
      </c>
      <c r="H630" t="str">
        <f t="shared" si="59"/>
        <v/>
      </c>
    </row>
    <row r="631" spans="1:8" x14ac:dyDescent="0.2">
      <c r="A631" s="12" t="str">
        <f t="shared" si="61"/>
        <v/>
      </c>
      <c r="B631" t="str">
        <f t="shared" si="56"/>
        <v/>
      </c>
      <c r="C631" s="17" t="str">
        <f t="shared" si="60"/>
        <v/>
      </c>
      <c r="D631" s="18" t="str">
        <f t="shared" si="57"/>
        <v/>
      </c>
      <c r="E631" t="str">
        <f t="shared" si="58"/>
        <v/>
      </c>
      <c r="F631" s="23" t="str">
        <f ca="1">IF(A631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631" s="19" t="str">
        <f>IF(A631="","",C631/(1+F631*$B$6/360)^(COUNT(A$16:A631)-($B$6-$D$16)/$B$6))</f>
        <v/>
      </c>
      <c r="H631" t="str">
        <f t="shared" si="59"/>
        <v/>
      </c>
    </row>
    <row r="632" spans="1:8" x14ac:dyDescent="0.2">
      <c r="A632" s="12" t="str">
        <f t="shared" si="61"/>
        <v/>
      </c>
      <c r="B632" t="str">
        <f t="shared" si="56"/>
        <v/>
      </c>
      <c r="C632" s="17" t="str">
        <f t="shared" si="60"/>
        <v/>
      </c>
      <c r="D632" s="18" t="str">
        <f t="shared" si="57"/>
        <v/>
      </c>
      <c r="E632" t="str">
        <f t="shared" si="58"/>
        <v/>
      </c>
      <c r="F632" s="23" t="str">
        <f ca="1">IF(A632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632" s="19" t="str">
        <f>IF(A632="","",C632/(1+F632*$B$6/360)^(COUNT(A$16:A632)-($B$6-$D$16)/$B$6))</f>
        <v/>
      </c>
      <c r="H632" t="str">
        <f t="shared" si="59"/>
        <v/>
      </c>
    </row>
    <row r="633" spans="1:8" x14ac:dyDescent="0.2">
      <c r="A633" s="12" t="str">
        <f t="shared" si="61"/>
        <v/>
      </c>
      <c r="B633" t="str">
        <f t="shared" si="56"/>
        <v/>
      </c>
      <c r="C633" s="17" t="str">
        <f t="shared" si="60"/>
        <v/>
      </c>
      <c r="D633" s="18" t="str">
        <f t="shared" si="57"/>
        <v/>
      </c>
      <c r="E633" t="str">
        <f t="shared" si="58"/>
        <v/>
      </c>
      <c r="F633" s="23" t="str">
        <f ca="1">IF(A633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633" s="19" t="str">
        <f>IF(A633="","",C633/(1+F633*$B$6/360)^(COUNT(A$16:A633)-($B$6-$D$16)/$B$6))</f>
        <v/>
      </c>
      <c r="H633" t="str">
        <f t="shared" si="59"/>
        <v/>
      </c>
    </row>
    <row r="634" spans="1:8" x14ac:dyDescent="0.2">
      <c r="A634" s="12" t="str">
        <f t="shared" si="61"/>
        <v/>
      </c>
      <c r="B634" t="str">
        <f t="shared" si="56"/>
        <v/>
      </c>
      <c r="C634" s="17" t="str">
        <f t="shared" si="60"/>
        <v/>
      </c>
      <c r="D634" s="18" t="str">
        <f t="shared" si="57"/>
        <v/>
      </c>
      <c r="E634" t="str">
        <f t="shared" si="58"/>
        <v/>
      </c>
      <c r="F634" s="23" t="str">
        <f ca="1">IF(A634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634" s="19" t="str">
        <f>IF(A634="","",C634/(1+F634*$B$6/360)^(COUNT(A$16:A634)-($B$6-$D$16)/$B$6))</f>
        <v/>
      </c>
      <c r="H634" t="str">
        <f t="shared" si="59"/>
        <v/>
      </c>
    </row>
    <row r="635" spans="1:8" x14ac:dyDescent="0.2">
      <c r="A635" s="12" t="str">
        <f t="shared" si="61"/>
        <v/>
      </c>
      <c r="B635" t="str">
        <f t="shared" si="56"/>
        <v/>
      </c>
      <c r="C635" s="17" t="str">
        <f t="shared" si="60"/>
        <v/>
      </c>
      <c r="D635" s="18" t="str">
        <f t="shared" si="57"/>
        <v/>
      </c>
      <c r="E635" t="str">
        <f t="shared" si="58"/>
        <v/>
      </c>
      <c r="F635" s="23" t="str">
        <f ca="1">IF(A635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635" s="19" t="str">
        <f>IF(A635="","",C635/(1+F635*$B$6/360)^(COUNT(A$16:A635)-($B$6-$D$16)/$B$6))</f>
        <v/>
      </c>
      <c r="H635" t="str">
        <f t="shared" si="59"/>
        <v/>
      </c>
    </row>
    <row r="636" spans="1:8" x14ac:dyDescent="0.2">
      <c r="A636" s="12" t="str">
        <f t="shared" si="61"/>
        <v/>
      </c>
      <c r="B636" t="str">
        <f t="shared" si="56"/>
        <v/>
      </c>
      <c r="C636" s="17" t="str">
        <f t="shared" si="60"/>
        <v/>
      </c>
      <c r="D636" s="18" t="str">
        <f t="shared" si="57"/>
        <v/>
      </c>
      <c r="E636" t="str">
        <f t="shared" si="58"/>
        <v/>
      </c>
      <c r="F636" s="23" t="str">
        <f ca="1">IF(A636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636" s="19" t="str">
        <f>IF(A636="","",C636/(1+F636*$B$6/360)^(COUNT(A$16:A636)-($B$6-$D$16)/$B$6))</f>
        <v/>
      </c>
      <c r="H636" t="str">
        <f t="shared" si="59"/>
        <v/>
      </c>
    </row>
    <row r="637" spans="1:8" x14ac:dyDescent="0.2">
      <c r="A637" s="12" t="str">
        <f t="shared" si="61"/>
        <v/>
      </c>
      <c r="B637" t="str">
        <f t="shared" si="56"/>
        <v/>
      </c>
      <c r="C637" s="17" t="str">
        <f t="shared" si="60"/>
        <v/>
      </c>
      <c r="D637" s="18" t="str">
        <f t="shared" si="57"/>
        <v/>
      </c>
      <c r="E637" t="str">
        <f t="shared" si="58"/>
        <v/>
      </c>
      <c r="F637" s="23" t="str">
        <f ca="1">IF(A637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637" s="19" t="str">
        <f>IF(A637="","",C637/(1+F637*$B$6/360)^(COUNT(A$16:A637)-($B$6-$D$16)/$B$6))</f>
        <v/>
      </c>
      <c r="H637" t="str">
        <f t="shared" si="59"/>
        <v/>
      </c>
    </row>
    <row r="638" spans="1:8" x14ac:dyDescent="0.2">
      <c r="A638" s="12" t="str">
        <f t="shared" si="61"/>
        <v/>
      </c>
      <c r="B638" t="str">
        <f t="shared" si="56"/>
        <v/>
      </c>
      <c r="C638" s="17" t="str">
        <f t="shared" si="60"/>
        <v/>
      </c>
      <c r="D638" s="18" t="str">
        <f t="shared" si="57"/>
        <v/>
      </c>
      <c r="E638" t="str">
        <f t="shared" si="58"/>
        <v/>
      </c>
      <c r="F638" s="23" t="str">
        <f ca="1">IF(A638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638" s="19" t="str">
        <f>IF(A638="","",C638/(1+F638*$B$6/360)^(COUNT(A$16:A638)-($B$6-$D$16)/$B$6))</f>
        <v/>
      </c>
      <c r="H638" t="str">
        <f t="shared" si="59"/>
        <v/>
      </c>
    </row>
    <row r="639" spans="1:8" x14ac:dyDescent="0.2">
      <c r="A639" s="12" t="str">
        <f t="shared" si="61"/>
        <v/>
      </c>
      <c r="B639" t="str">
        <f t="shared" si="56"/>
        <v/>
      </c>
      <c r="C639" s="17" t="str">
        <f t="shared" si="60"/>
        <v/>
      </c>
      <c r="D639" s="18" t="str">
        <f t="shared" si="57"/>
        <v/>
      </c>
      <c r="E639" t="str">
        <f t="shared" si="58"/>
        <v/>
      </c>
      <c r="F639" s="23" t="str">
        <f ca="1">IF(A639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639" s="19" t="str">
        <f>IF(A639="","",C639/(1+F639*$B$6/360)^(COUNT(A$16:A639)-($B$6-$D$16)/$B$6))</f>
        <v/>
      </c>
      <c r="H639" t="str">
        <f t="shared" si="59"/>
        <v/>
      </c>
    </row>
    <row r="640" spans="1:8" x14ac:dyDescent="0.2">
      <c r="A640" s="12" t="str">
        <f t="shared" si="61"/>
        <v/>
      </c>
      <c r="B640" t="str">
        <f t="shared" si="56"/>
        <v/>
      </c>
      <c r="C640" s="17" t="str">
        <f t="shared" si="60"/>
        <v/>
      </c>
      <c r="D640" s="18" t="str">
        <f t="shared" si="57"/>
        <v/>
      </c>
      <c r="E640" t="str">
        <f t="shared" si="58"/>
        <v/>
      </c>
      <c r="F640" s="23" t="str">
        <f ca="1">IF(A640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640" s="19" t="str">
        <f>IF(A640="","",C640/(1+F640*$B$6/360)^(COUNT(A$16:A640)-($B$6-$D$16)/$B$6))</f>
        <v/>
      </c>
      <c r="H640" t="str">
        <f t="shared" si="59"/>
        <v/>
      </c>
    </row>
    <row r="641" spans="1:8" x14ac:dyDescent="0.2">
      <c r="A641" s="12" t="str">
        <f t="shared" si="61"/>
        <v/>
      </c>
      <c r="B641" t="str">
        <f t="shared" si="56"/>
        <v/>
      </c>
      <c r="C641" s="17" t="str">
        <f t="shared" si="60"/>
        <v/>
      </c>
      <c r="D641" s="18" t="str">
        <f t="shared" si="57"/>
        <v/>
      </c>
      <c r="E641" t="str">
        <f t="shared" si="58"/>
        <v/>
      </c>
      <c r="F641" s="23" t="str">
        <f ca="1">IF(A641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641" s="19" t="str">
        <f>IF(A641="","",C641/(1+F641*$B$6/360)^(COUNT(A$16:A641)-($B$6-$D$16)/$B$6))</f>
        <v/>
      </c>
      <c r="H641" t="str">
        <f t="shared" si="59"/>
        <v/>
      </c>
    </row>
    <row r="642" spans="1:8" x14ac:dyDescent="0.2">
      <c r="A642" s="12" t="str">
        <f t="shared" si="61"/>
        <v/>
      </c>
      <c r="B642" t="str">
        <f t="shared" si="56"/>
        <v/>
      </c>
      <c r="C642" s="17" t="str">
        <f t="shared" si="60"/>
        <v/>
      </c>
      <c r="D642" s="18" t="str">
        <f t="shared" si="57"/>
        <v/>
      </c>
      <c r="E642" t="str">
        <f t="shared" si="58"/>
        <v/>
      </c>
      <c r="F642" s="23" t="str">
        <f ca="1">IF(A642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642" s="19" t="str">
        <f>IF(A642="","",C642/(1+F642*$B$6/360)^(COUNT(A$16:A642)-($B$6-$D$16)/$B$6))</f>
        <v/>
      </c>
      <c r="H642" t="str">
        <f t="shared" si="59"/>
        <v/>
      </c>
    </row>
    <row r="643" spans="1:8" x14ac:dyDescent="0.2">
      <c r="A643" s="12" t="str">
        <f t="shared" si="61"/>
        <v/>
      </c>
      <c r="B643" t="str">
        <f t="shared" si="56"/>
        <v/>
      </c>
      <c r="C643" s="17" t="str">
        <f t="shared" si="60"/>
        <v/>
      </c>
      <c r="D643" s="18" t="str">
        <f t="shared" si="57"/>
        <v/>
      </c>
      <c r="E643" t="str">
        <f t="shared" si="58"/>
        <v/>
      </c>
      <c r="F643" s="23" t="str">
        <f ca="1">IF(A643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643" s="19" t="str">
        <f>IF(A643="","",C643/(1+F643*$B$6/360)^(COUNT(A$16:A643)-($B$6-$D$16)/$B$6))</f>
        <v/>
      </c>
      <c r="H643" t="str">
        <f t="shared" si="59"/>
        <v/>
      </c>
    </row>
    <row r="644" spans="1:8" x14ac:dyDescent="0.2">
      <c r="A644" s="12" t="str">
        <f t="shared" si="61"/>
        <v/>
      </c>
      <c r="B644" t="str">
        <f t="shared" si="56"/>
        <v/>
      </c>
      <c r="C644" s="17" t="str">
        <f t="shared" si="60"/>
        <v/>
      </c>
      <c r="D644" s="18" t="str">
        <f t="shared" si="57"/>
        <v/>
      </c>
      <c r="E644" t="str">
        <f t="shared" si="58"/>
        <v/>
      </c>
      <c r="F644" s="23" t="str">
        <f ca="1">IF(A644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644" s="19" t="str">
        <f>IF(A644="","",C644/(1+F644*$B$6/360)^(COUNT(A$16:A644)-($B$6-$D$16)/$B$6))</f>
        <v/>
      </c>
      <c r="H644" t="str">
        <f t="shared" si="59"/>
        <v/>
      </c>
    </row>
    <row r="645" spans="1:8" x14ac:dyDescent="0.2">
      <c r="A645" s="12" t="str">
        <f t="shared" si="61"/>
        <v/>
      </c>
      <c r="B645" t="str">
        <f t="shared" si="56"/>
        <v/>
      </c>
      <c r="C645" s="17" t="str">
        <f t="shared" si="60"/>
        <v/>
      </c>
      <c r="D645" s="18" t="str">
        <f t="shared" si="57"/>
        <v/>
      </c>
      <c r="E645" t="str">
        <f t="shared" si="58"/>
        <v/>
      </c>
      <c r="F645" s="23" t="str">
        <f ca="1">IF(A645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645" s="19" t="str">
        <f>IF(A645="","",C645/(1+F645*$B$6/360)^(COUNT(A$16:A645)-($B$6-$D$16)/$B$6))</f>
        <v/>
      </c>
      <c r="H645" t="str">
        <f t="shared" si="59"/>
        <v/>
      </c>
    </row>
    <row r="646" spans="1:8" x14ac:dyDescent="0.2">
      <c r="A646" s="12" t="str">
        <f t="shared" si="61"/>
        <v/>
      </c>
      <c r="B646" t="str">
        <f t="shared" si="56"/>
        <v/>
      </c>
      <c r="C646" s="17" t="str">
        <f t="shared" si="60"/>
        <v/>
      </c>
      <c r="D646" s="18" t="str">
        <f t="shared" si="57"/>
        <v/>
      </c>
      <c r="E646" t="str">
        <f t="shared" si="58"/>
        <v/>
      </c>
      <c r="F646" s="23" t="str">
        <f ca="1">IF(A646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646" s="19" t="str">
        <f>IF(A646="","",C646/(1+F646*$B$6/360)^(COUNT(A$16:A646)-($B$6-$D$16)/$B$6))</f>
        <v/>
      </c>
      <c r="H646" t="str">
        <f t="shared" si="59"/>
        <v/>
      </c>
    </row>
    <row r="647" spans="1:8" x14ac:dyDescent="0.2">
      <c r="A647" s="12" t="str">
        <f t="shared" si="61"/>
        <v/>
      </c>
      <c r="B647" t="str">
        <f t="shared" si="56"/>
        <v/>
      </c>
      <c r="C647" s="17" t="str">
        <f t="shared" si="60"/>
        <v/>
      </c>
      <c r="D647" s="18" t="str">
        <f t="shared" si="57"/>
        <v/>
      </c>
      <c r="E647" t="str">
        <f t="shared" si="58"/>
        <v/>
      </c>
      <c r="F647" s="23" t="str">
        <f ca="1">IF(A647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647" s="19" t="str">
        <f>IF(A647="","",C647/(1+F647*$B$6/360)^(COUNT(A$16:A647)-($B$6-$D$16)/$B$6))</f>
        <v/>
      </c>
      <c r="H647" t="str">
        <f t="shared" si="59"/>
        <v/>
      </c>
    </row>
    <row r="648" spans="1:8" x14ac:dyDescent="0.2">
      <c r="A648" s="12" t="str">
        <f t="shared" si="61"/>
        <v/>
      </c>
      <c r="B648" t="str">
        <f t="shared" si="56"/>
        <v/>
      </c>
      <c r="C648" s="17" t="str">
        <f t="shared" si="60"/>
        <v/>
      </c>
      <c r="D648" s="18" t="str">
        <f t="shared" si="57"/>
        <v/>
      </c>
      <c r="E648" t="str">
        <f t="shared" si="58"/>
        <v/>
      </c>
      <c r="F648" s="23" t="str">
        <f ca="1">IF(A648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648" s="19" t="str">
        <f>IF(A648="","",C648/(1+F648*$B$6/360)^(COUNT(A$16:A648)-($B$6-$D$16)/$B$6))</f>
        <v/>
      </c>
      <c r="H648" t="str">
        <f t="shared" si="59"/>
        <v/>
      </c>
    </row>
    <row r="649" spans="1:8" x14ac:dyDescent="0.2">
      <c r="A649" s="12" t="str">
        <f t="shared" si="61"/>
        <v/>
      </c>
      <c r="B649" t="str">
        <f t="shared" si="56"/>
        <v/>
      </c>
      <c r="C649" s="17" t="str">
        <f t="shared" si="60"/>
        <v/>
      </c>
      <c r="D649" s="18" t="str">
        <f t="shared" si="57"/>
        <v/>
      </c>
      <c r="E649" t="str">
        <f t="shared" si="58"/>
        <v/>
      </c>
      <c r="F649" s="23" t="str">
        <f ca="1">IF(A649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649" s="19" t="str">
        <f>IF(A649="","",C649/(1+F649*$B$6/360)^(COUNT(A$16:A649)-($B$6-$D$16)/$B$6))</f>
        <v/>
      </c>
      <c r="H649" t="str">
        <f t="shared" si="59"/>
        <v/>
      </c>
    </row>
    <row r="650" spans="1:8" x14ac:dyDescent="0.2">
      <c r="A650" s="12" t="str">
        <f t="shared" si="61"/>
        <v/>
      </c>
      <c r="B650" t="str">
        <f t="shared" si="56"/>
        <v/>
      </c>
      <c r="C650" s="17" t="str">
        <f t="shared" si="60"/>
        <v/>
      </c>
      <c r="D650" s="18" t="str">
        <f t="shared" si="57"/>
        <v/>
      </c>
      <c r="E650" t="str">
        <f t="shared" si="58"/>
        <v/>
      </c>
      <c r="F650" s="23" t="str">
        <f ca="1">IF(A650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650" s="19" t="str">
        <f>IF(A650="","",C650/(1+F650*$B$6/360)^(COUNT(A$16:A650)-($B$6-$D$16)/$B$6))</f>
        <v/>
      </c>
      <c r="H650" t="str">
        <f t="shared" si="59"/>
        <v/>
      </c>
    </row>
    <row r="651" spans="1:8" x14ac:dyDescent="0.2">
      <c r="A651" s="12" t="str">
        <f t="shared" si="61"/>
        <v/>
      </c>
      <c r="B651" t="str">
        <f t="shared" si="56"/>
        <v/>
      </c>
      <c r="C651" s="17" t="str">
        <f t="shared" si="60"/>
        <v/>
      </c>
      <c r="D651" s="18" t="str">
        <f t="shared" si="57"/>
        <v/>
      </c>
      <c r="E651" t="str">
        <f t="shared" si="58"/>
        <v/>
      </c>
      <c r="F651" s="23" t="str">
        <f ca="1">IF(A651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651" s="19" t="str">
        <f>IF(A651="","",C651/(1+F651*$B$6/360)^(COUNT(A$16:A651)-($B$6-$D$16)/$B$6))</f>
        <v/>
      </c>
      <c r="H651" t="str">
        <f t="shared" si="59"/>
        <v/>
      </c>
    </row>
    <row r="652" spans="1:8" x14ac:dyDescent="0.2">
      <c r="A652" s="12" t="str">
        <f t="shared" si="61"/>
        <v/>
      </c>
      <c r="B652" t="str">
        <f t="shared" si="56"/>
        <v/>
      </c>
      <c r="C652" s="17" t="str">
        <f t="shared" si="60"/>
        <v/>
      </c>
      <c r="D652" s="18" t="str">
        <f t="shared" si="57"/>
        <v/>
      </c>
      <c r="E652" t="str">
        <f t="shared" si="58"/>
        <v/>
      </c>
      <c r="F652" s="23" t="str">
        <f ca="1">IF(A652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652" s="19" t="str">
        <f>IF(A652="","",C652/(1+F652*$B$6/360)^(COUNT(A$16:A652)-($B$6-$D$16)/$B$6))</f>
        <v/>
      </c>
      <c r="H652" t="str">
        <f t="shared" si="59"/>
        <v/>
      </c>
    </row>
    <row r="653" spans="1:8" x14ac:dyDescent="0.2">
      <c r="A653" s="12" t="str">
        <f t="shared" si="61"/>
        <v/>
      </c>
      <c r="B653" t="str">
        <f t="shared" si="56"/>
        <v/>
      </c>
      <c r="C653" s="17" t="str">
        <f t="shared" si="60"/>
        <v/>
      </c>
      <c r="D653" s="18" t="str">
        <f t="shared" si="57"/>
        <v/>
      </c>
      <c r="E653" t="str">
        <f t="shared" si="58"/>
        <v/>
      </c>
      <c r="F653" s="23" t="str">
        <f ca="1">IF(A653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653" s="19" t="str">
        <f>IF(A653="","",C653/(1+F653*$B$6/360)^(COUNT(A$16:A653)-($B$6-$D$16)/$B$6))</f>
        <v/>
      </c>
      <c r="H653" t="str">
        <f t="shared" si="59"/>
        <v/>
      </c>
    </row>
    <row r="654" spans="1:8" x14ac:dyDescent="0.2">
      <c r="A654" s="12" t="str">
        <f t="shared" si="61"/>
        <v/>
      </c>
      <c r="B654" t="str">
        <f t="shared" si="56"/>
        <v/>
      </c>
      <c r="C654" s="17" t="str">
        <f t="shared" si="60"/>
        <v/>
      </c>
      <c r="D654" s="18" t="str">
        <f t="shared" si="57"/>
        <v/>
      </c>
      <c r="E654" t="str">
        <f t="shared" si="58"/>
        <v/>
      </c>
      <c r="F654" s="23" t="str">
        <f ca="1">IF(A654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654" s="19" t="str">
        <f>IF(A654="","",C654/(1+F654*$B$6/360)^(COUNT(A$16:A654)-($B$6-$D$16)/$B$6))</f>
        <v/>
      </c>
      <c r="H654" t="str">
        <f t="shared" si="59"/>
        <v/>
      </c>
    </row>
    <row r="655" spans="1:8" x14ac:dyDescent="0.2">
      <c r="A655" s="12" t="str">
        <f t="shared" si="61"/>
        <v/>
      </c>
      <c r="B655" t="str">
        <f t="shared" si="56"/>
        <v/>
      </c>
      <c r="C655" s="17" t="str">
        <f t="shared" si="60"/>
        <v/>
      </c>
      <c r="D655" s="18" t="str">
        <f t="shared" si="57"/>
        <v/>
      </c>
      <c r="E655" t="str">
        <f t="shared" si="58"/>
        <v/>
      </c>
      <c r="F655" s="23" t="str">
        <f ca="1">IF(A655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655" s="19" t="str">
        <f>IF(A655="","",C655/(1+F655*$B$6/360)^(COUNT(A$16:A655)-($B$6-$D$16)/$B$6))</f>
        <v/>
      </c>
      <c r="H655" t="str">
        <f t="shared" si="59"/>
        <v/>
      </c>
    </row>
    <row r="656" spans="1:8" x14ac:dyDescent="0.2">
      <c r="A656" s="12" t="str">
        <f t="shared" si="61"/>
        <v/>
      </c>
      <c r="B656" t="str">
        <f t="shared" si="56"/>
        <v/>
      </c>
      <c r="C656" s="17" t="str">
        <f t="shared" si="60"/>
        <v/>
      </c>
      <c r="D656" s="18" t="str">
        <f t="shared" si="57"/>
        <v/>
      </c>
      <c r="E656" t="str">
        <f t="shared" si="58"/>
        <v/>
      </c>
      <c r="F656" s="23" t="str">
        <f ca="1">IF(A656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656" s="19" t="str">
        <f>IF(A656="","",C656/(1+F656*$B$6/360)^(COUNT(A$16:A656)-($B$6-$D$16)/$B$6))</f>
        <v/>
      </c>
      <c r="H656" t="str">
        <f t="shared" si="59"/>
        <v/>
      </c>
    </row>
    <row r="657" spans="1:8" x14ac:dyDescent="0.2">
      <c r="A657" s="12" t="str">
        <f t="shared" si="61"/>
        <v/>
      </c>
      <c r="B657" t="str">
        <f t="shared" ref="B657:B689" si="62">IF(A657="","",$B$5)</f>
        <v/>
      </c>
      <c r="C657" s="17" t="str">
        <f t="shared" si="60"/>
        <v/>
      </c>
      <c r="D657" s="18" t="str">
        <f t="shared" ref="D657:D689" si="63">IF(A657="","",$B$6)</f>
        <v/>
      </c>
      <c r="E657" t="str">
        <f t="shared" ref="E657:E689" si="64">IF(A657="","",E656+D657)</f>
        <v/>
      </c>
      <c r="F657" s="23" t="str">
        <f ca="1">IF(A657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657" s="19" t="str">
        <f>IF(A657="","",C657/(1+F657*$B$6/360)^(COUNT(A$16:A657)-($B$6-$D$16)/$B$6))</f>
        <v/>
      </c>
      <c r="H657" t="str">
        <f t="shared" ref="H657:H689" si="65">IF(A657="","",C657/(1+F657*$B$6/360)^(E657/$B$6))</f>
        <v/>
      </c>
    </row>
    <row r="658" spans="1:8" x14ac:dyDescent="0.2">
      <c r="A658" s="12" t="str">
        <f t="shared" si="61"/>
        <v/>
      </c>
      <c r="B658" t="str">
        <f t="shared" si="62"/>
        <v/>
      </c>
      <c r="C658" s="17" t="str">
        <f t="shared" si="60"/>
        <v/>
      </c>
      <c r="D658" s="18" t="str">
        <f t="shared" si="63"/>
        <v/>
      </c>
      <c r="E658" t="str">
        <f t="shared" si="64"/>
        <v/>
      </c>
      <c r="F658" s="23" t="str">
        <f ca="1">IF(A658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658" s="19" t="str">
        <f>IF(A658="","",C658/(1+F658*$B$6/360)^(COUNT(A$16:A658)-($B$6-$D$16)/$B$6))</f>
        <v/>
      </c>
      <c r="H658" t="str">
        <f t="shared" si="65"/>
        <v/>
      </c>
    </row>
    <row r="659" spans="1:8" x14ac:dyDescent="0.2">
      <c r="A659" s="12" t="str">
        <f t="shared" si="61"/>
        <v/>
      </c>
      <c r="B659" t="str">
        <f t="shared" si="62"/>
        <v/>
      </c>
      <c r="C659" s="17" t="str">
        <f t="shared" si="60"/>
        <v/>
      </c>
      <c r="D659" s="18" t="str">
        <f t="shared" si="63"/>
        <v/>
      </c>
      <c r="E659" t="str">
        <f t="shared" si="64"/>
        <v/>
      </c>
      <c r="F659" s="23" t="str">
        <f ca="1">IF(A659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659" s="19" t="str">
        <f>IF(A659="","",C659/(1+F659*$B$6/360)^(COUNT(A$16:A659)-($B$6-$D$16)/$B$6))</f>
        <v/>
      </c>
      <c r="H659" t="str">
        <f t="shared" si="65"/>
        <v/>
      </c>
    </row>
    <row r="660" spans="1:8" x14ac:dyDescent="0.2">
      <c r="A660" s="12" t="str">
        <f t="shared" si="61"/>
        <v/>
      </c>
      <c r="B660" t="str">
        <f t="shared" si="62"/>
        <v/>
      </c>
      <c r="C660" s="17" t="str">
        <f t="shared" si="60"/>
        <v/>
      </c>
      <c r="D660" s="18" t="str">
        <f t="shared" si="63"/>
        <v/>
      </c>
      <c r="E660" t="str">
        <f t="shared" si="64"/>
        <v/>
      </c>
      <c r="F660" s="23" t="str">
        <f ca="1">IF(A660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660" s="19" t="str">
        <f>IF(A660="","",C660/(1+F660*$B$6/360)^(COUNT(A$16:A660)-($B$6-$D$16)/$B$6))</f>
        <v/>
      </c>
      <c r="H660" t="str">
        <f t="shared" si="65"/>
        <v/>
      </c>
    </row>
    <row r="661" spans="1:8" x14ac:dyDescent="0.2">
      <c r="A661" s="12" t="str">
        <f t="shared" si="61"/>
        <v/>
      </c>
      <c r="B661" t="str">
        <f t="shared" si="62"/>
        <v/>
      </c>
      <c r="C661" s="17" t="str">
        <f t="shared" si="60"/>
        <v/>
      </c>
      <c r="D661" s="18" t="str">
        <f t="shared" si="63"/>
        <v/>
      </c>
      <c r="E661" t="str">
        <f t="shared" si="64"/>
        <v/>
      </c>
      <c r="F661" s="23" t="str">
        <f ca="1">IF(A661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661" s="19" t="str">
        <f>IF(A661="","",C661/(1+F661*$B$6/360)^(COUNT(A$16:A661)-($B$6-$D$16)/$B$6))</f>
        <v/>
      </c>
      <c r="H661" t="str">
        <f t="shared" si="65"/>
        <v/>
      </c>
    </row>
    <row r="662" spans="1:8" x14ac:dyDescent="0.2">
      <c r="A662" s="12" t="str">
        <f t="shared" si="61"/>
        <v/>
      </c>
      <c r="B662" t="str">
        <f t="shared" si="62"/>
        <v/>
      </c>
      <c r="C662" s="17" t="str">
        <f t="shared" si="60"/>
        <v/>
      </c>
      <c r="D662" s="18" t="str">
        <f t="shared" si="63"/>
        <v/>
      </c>
      <c r="E662" t="str">
        <f t="shared" si="64"/>
        <v/>
      </c>
      <c r="F662" s="23" t="str">
        <f ca="1">IF(A662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662" s="19" t="str">
        <f>IF(A662="","",C662/(1+F662*$B$6/360)^(COUNT(A$16:A662)-($B$6-$D$16)/$B$6))</f>
        <v/>
      </c>
      <c r="H662" t="str">
        <f t="shared" si="65"/>
        <v/>
      </c>
    </row>
    <row r="663" spans="1:8" x14ac:dyDescent="0.2">
      <c r="A663" s="12" t="str">
        <f t="shared" si="61"/>
        <v/>
      </c>
      <c r="B663" t="str">
        <f t="shared" si="62"/>
        <v/>
      </c>
      <c r="C663" s="17" t="str">
        <f t="shared" si="60"/>
        <v/>
      </c>
      <c r="D663" s="18" t="str">
        <f t="shared" si="63"/>
        <v/>
      </c>
      <c r="E663" t="str">
        <f t="shared" si="64"/>
        <v/>
      </c>
      <c r="F663" s="23" t="str">
        <f ca="1">IF(A663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663" s="19" t="str">
        <f>IF(A663="","",C663/(1+F663*$B$6/360)^(COUNT(A$16:A663)-($B$6-$D$16)/$B$6))</f>
        <v/>
      </c>
      <c r="H663" t="str">
        <f t="shared" si="65"/>
        <v/>
      </c>
    </row>
    <row r="664" spans="1:8" x14ac:dyDescent="0.2">
      <c r="A664" s="12" t="str">
        <f t="shared" si="61"/>
        <v/>
      </c>
      <c r="B664" t="str">
        <f t="shared" si="62"/>
        <v/>
      </c>
      <c r="C664" s="17" t="str">
        <f t="shared" si="60"/>
        <v/>
      </c>
      <c r="D664" s="18" t="str">
        <f t="shared" si="63"/>
        <v/>
      </c>
      <c r="E664" t="str">
        <f t="shared" si="64"/>
        <v/>
      </c>
      <c r="F664" s="23" t="str">
        <f ca="1">IF(A664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664" s="19" t="str">
        <f>IF(A664="","",C664/(1+F664*$B$6/360)^(COUNT(A$16:A664)-($B$6-$D$16)/$B$6))</f>
        <v/>
      </c>
      <c r="H664" t="str">
        <f t="shared" si="65"/>
        <v/>
      </c>
    </row>
    <row r="665" spans="1:8" x14ac:dyDescent="0.2">
      <c r="A665" s="12" t="str">
        <f t="shared" si="61"/>
        <v/>
      </c>
      <c r="B665" t="str">
        <f t="shared" si="62"/>
        <v/>
      </c>
      <c r="C665" s="17" t="str">
        <f t="shared" si="60"/>
        <v/>
      </c>
      <c r="D665" s="18" t="str">
        <f t="shared" si="63"/>
        <v/>
      </c>
      <c r="E665" t="str">
        <f t="shared" si="64"/>
        <v/>
      </c>
      <c r="F665" s="23" t="str">
        <f ca="1">IF(A665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665" s="19" t="str">
        <f>IF(A665="","",C665/(1+F665*$B$6/360)^(COUNT(A$16:A665)-($B$6-$D$16)/$B$6))</f>
        <v/>
      </c>
      <c r="H665" t="str">
        <f t="shared" si="65"/>
        <v/>
      </c>
    </row>
    <row r="666" spans="1:8" x14ac:dyDescent="0.2">
      <c r="A666" s="12" t="str">
        <f t="shared" si="61"/>
        <v/>
      </c>
      <c r="B666" t="str">
        <f t="shared" si="62"/>
        <v/>
      </c>
      <c r="C666" s="17" t="str">
        <f t="shared" ref="C666:C689" si="66">IF(A666="","",IF(A666=$B$4,$B$1*$B$2, $B$5*$B$6/360*$B$1*$B$2))</f>
        <v/>
      </c>
      <c r="D666" s="18" t="str">
        <f t="shared" si="63"/>
        <v/>
      </c>
      <c r="E666" t="str">
        <f t="shared" si="64"/>
        <v/>
      </c>
      <c r="F666" s="23" t="str">
        <f ca="1">IF(A666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666" s="19" t="str">
        <f>IF(A666="","",C666/(1+F666*$B$6/360)^(COUNT(A$16:A666)-($B$6-$D$16)/$B$6))</f>
        <v/>
      </c>
      <c r="H666" t="str">
        <f t="shared" si="65"/>
        <v/>
      </c>
    </row>
    <row r="667" spans="1:8" x14ac:dyDescent="0.2">
      <c r="A667" s="12" t="str">
        <f t="shared" ref="A667:A689" si="67">IF(A666="","",IF((A666+$B$6)&gt;$B$4,"",(A666+$B$6)))</f>
        <v/>
      </c>
      <c r="B667" t="str">
        <f t="shared" si="62"/>
        <v/>
      </c>
      <c r="C667" s="17" t="str">
        <f t="shared" si="66"/>
        <v/>
      </c>
      <c r="D667" s="18" t="str">
        <f t="shared" si="63"/>
        <v/>
      </c>
      <c r="E667" t="str">
        <f t="shared" si="64"/>
        <v/>
      </c>
      <c r="F667" s="23" t="str">
        <f ca="1">IF(A667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667" s="19" t="str">
        <f>IF(A667="","",C667/(1+F667*$B$6/360)^(COUNT(A$16:A667)-($B$6-$D$16)/$B$6))</f>
        <v/>
      </c>
      <c r="H667" t="str">
        <f t="shared" si="65"/>
        <v/>
      </c>
    </row>
    <row r="668" spans="1:8" x14ac:dyDescent="0.2">
      <c r="A668" s="12" t="str">
        <f t="shared" si="67"/>
        <v/>
      </c>
      <c r="B668" t="str">
        <f t="shared" si="62"/>
        <v/>
      </c>
      <c r="C668" s="17" t="str">
        <f t="shared" si="66"/>
        <v/>
      </c>
      <c r="D668" s="18" t="str">
        <f t="shared" si="63"/>
        <v/>
      </c>
      <c r="E668" t="str">
        <f t="shared" si="64"/>
        <v/>
      </c>
      <c r="F668" s="23" t="str">
        <f ca="1">IF(A668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668" s="19" t="str">
        <f>IF(A668="","",C668/(1+F668*$B$6/360)^(COUNT(A$16:A668)-($B$6-$D$16)/$B$6))</f>
        <v/>
      </c>
      <c r="H668" t="str">
        <f t="shared" si="65"/>
        <v/>
      </c>
    </row>
    <row r="669" spans="1:8" x14ac:dyDescent="0.2">
      <c r="A669" s="12" t="str">
        <f t="shared" si="67"/>
        <v/>
      </c>
      <c r="B669" t="str">
        <f t="shared" si="62"/>
        <v/>
      </c>
      <c r="C669" s="17" t="str">
        <f t="shared" si="66"/>
        <v/>
      </c>
      <c r="D669" s="18" t="str">
        <f t="shared" si="63"/>
        <v/>
      </c>
      <c r="E669" t="str">
        <f t="shared" si="64"/>
        <v/>
      </c>
      <c r="F669" s="23" t="str">
        <f ca="1">IF(A669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669" s="19" t="str">
        <f>IF(A669="","",C669/(1+F669*$B$6/360)^(COUNT(A$16:A669)-($B$6-$D$16)/$B$6))</f>
        <v/>
      </c>
      <c r="H669" t="str">
        <f t="shared" si="65"/>
        <v/>
      </c>
    </row>
    <row r="670" spans="1:8" x14ac:dyDescent="0.2">
      <c r="A670" s="12" t="str">
        <f t="shared" si="67"/>
        <v/>
      </c>
      <c r="B670" t="str">
        <f t="shared" si="62"/>
        <v/>
      </c>
      <c r="C670" s="17" t="str">
        <f t="shared" si="66"/>
        <v/>
      </c>
      <c r="D670" s="18" t="str">
        <f t="shared" si="63"/>
        <v/>
      </c>
      <c r="E670" t="str">
        <f t="shared" si="64"/>
        <v/>
      </c>
      <c r="F670" s="23" t="str">
        <f ca="1">IF(A670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670" s="19" t="str">
        <f>IF(A670="","",C670/(1+F670*$B$6/360)^(COUNT(A$16:A670)-($B$6-$D$16)/$B$6))</f>
        <v/>
      </c>
      <c r="H670" t="str">
        <f t="shared" si="65"/>
        <v/>
      </c>
    </row>
    <row r="671" spans="1:8" x14ac:dyDescent="0.2">
      <c r="A671" s="12" t="str">
        <f t="shared" si="67"/>
        <v/>
      </c>
      <c r="B671" t="str">
        <f t="shared" si="62"/>
        <v/>
      </c>
      <c r="C671" s="17" t="str">
        <f t="shared" si="66"/>
        <v/>
      </c>
      <c r="D671" s="18" t="str">
        <f t="shared" si="63"/>
        <v/>
      </c>
      <c r="E671" t="str">
        <f t="shared" si="64"/>
        <v/>
      </c>
      <c r="F671" s="23" t="str">
        <f ca="1">IF(A671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671" s="19" t="str">
        <f>IF(A671="","",C671/(1+F671*$B$6/360)^(COUNT(A$16:A671)-($B$6-$D$16)/$B$6))</f>
        <v/>
      </c>
      <c r="H671" t="str">
        <f t="shared" si="65"/>
        <v/>
      </c>
    </row>
    <row r="672" spans="1:8" x14ac:dyDescent="0.2">
      <c r="A672" s="12" t="str">
        <f t="shared" si="67"/>
        <v/>
      </c>
      <c r="B672" t="str">
        <f t="shared" si="62"/>
        <v/>
      </c>
      <c r="C672" s="17" t="str">
        <f t="shared" si="66"/>
        <v/>
      </c>
      <c r="D672" s="18" t="str">
        <f t="shared" si="63"/>
        <v/>
      </c>
      <c r="E672" t="str">
        <f t="shared" si="64"/>
        <v/>
      </c>
      <c r="F672" s="23" t="str">
        <f ca="1">IF(A672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672" s="19" t="str">
        <f>IF(A672="","",C672/(1+F672*$B$6/360)^(COUNT(A$16:A672)-($B$6-$D$16)/$B$6))</f>
        <v/>
      </c>
      <c r="H672" t="str">
        <f t="shared" si="65"/>
        <v/>
      </c>
    </row>
    <row r="673" spans="1:8" x14ac:dyDescent="0.2">
      <c r="A673" s="12" t="str">
        <f t="shared" si="67"/>
        <v/>
      </c>
      <c r="B673" t="str">
        <f t="shared" si="62"/>
        <v/>
      </c>
      <c r="C673" s="17" t="str">
        <f t="shared" si="66"/>
        <v/>
      </c>
      <c r="D673" s="18" t="str">
        <f t="shared" si="63"/>
        <v/>
      </c>
      <c r="E673" t="str">
        <f t="shared" si="64"/>
        <v/>
      </c>
      <c r="F673" s="23" t="str">
        <f ca="1">IF(A673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673" s="19" t="str">
        <f>IF(A673="","",C673/(1+F673*$B$6/360)^(COUNT(A$16:A673)-($B$6-$D$16)/$B$6))</f>
        <v/>
      </c>
      <c r="H673" t="str">
        <f t="shared" si="65"/>
        <v/>
      </c>
    </row>
    <row r="674" spans="1:8" x14ac:dyDescent="0.2">
      <c r="A674" s="12" t="str">
        <f t="shared" si="67"/>
        <v/>
      </c>
      <c r="B674" t="str">
        <f t="shared" si="62"/>
        <v/>
      </c>
      <c r="C674" s="17" t="str">
        <f t="shared" si="66"/>
        <v/>
      </c>
      <c r="D674" s="18" t="str">
        <f t="shared" si="63"/>
        <v/>
      </c>
      <c r="E674" t="str">
        <f t="shared" si="64"/>
        <v/>
      </c>
      <c r="F674" s="23" t="str">
        <f ca="1">IF(A674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674" s="19" t="str">
        <f>IF(A674="","",C674/(1+F674*$B$6/360)^(COUNT(A$16:A674)-($B$6-$D$16)/$B$6))</f>
        <v/>
      </c>
      <c r="H674" t="str">
        <f t="shared" si="65"/>
        <v/>
      </c>
    </row>
    <row r="675" spans="1:8" x14ac:dyDescent="0.2">
      <c r="A675" s="12" t="str">
        <f t="shared" si="67"/>
        <v/>
      </c>
      <c r="B675" t="str">
        <f t="shared" si="62"/>
        <v/>
      </c>
      <c r="C675" s="17" t="str">
        <f t="shared" si="66"/>
        <v/>
      </c>
      <c r="D675" s="18" t="str">
        <f t="shared" si="63"/>
        <v/>
      </c>
      <c r="E675" t="str">
        <f t="shared" si="64"/>
        <v/>
      </c>
      <c r="F675" s="23" t="str">
        <f ca="1">IF(A675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675" s="19" t="str">
        <f>IF(A675="","",C675/(1+F675*$B$6/360)^(COUNT(A$16:A675)-($B$6-$D$16)/$B$6))</f>
        <v/>
      </c>
      <c r="H675" t="str">
        <f t="shared" si="65"/>
        <v/>
      </c>
    </row>
    <row r="676" spans="1:8" x14ac:dyDescent="0.2">
      <c r="A676" s="12" t="str">
        <f t="shared" si="67"/>
        <v/>
      </c>
      <c r="B676" t="str">
        <f t="shared" si="62"/>
        <v/>
      </c>
      <c r="C676" s="17" t="str">
        <f t="shared" si="66"/>
        <v/>
      </c>
      <c r="D676" s="18" t="str">
        <f t="shared" si="63"/>
        <v/>
      </c>
      <c r="E676" t="str">
        <f t="shared" si="64"/>
        <v/>
      </c>
      <c r="F676" s="23" t="str">
        <f ca="1">IF(A676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676" s="19" t="str">
        <f>IF(A676="","",C676/(1+F676*$B$6/360)^(COUNT(A$16:A676)-($B$6-$D$16)/$B$6))</f>
        <v/>
      </c>
      <c r="H676" t="str">
        <f t="shared" si="65"/>
        <v/>
      </c>
    </row>
    <row r="677" spans="1:8" x14ac:dyDescent="0.2">
      <c r="A677" s="12" t="str">
        <f t="shared" si="67"/>
        <v/>
      </c>
      <c r="B677" t="str">
        <f t="shared" si="62"/>
        <v/>
      </c>
      <c r="C677" s="17" t="str">
        <f t="shared" si="66"/>
        <v/>
      </c>
      <c r="D677" s="18" t="str">
        <f t="shared" si="63"/>
        <v/>
      </c>
      <c r="E677" t="str">
        <f t="shared" si="64"/>
        <v/>
      </c>
      <c r="F677" s="23" t="str">
        <f ca="1">IF(A677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677" s="19" t="str">
        <f>IF(A677="","",C677/(1+F677*$B$6/360)^(COUNT(A$16:A677)-($B$6-$D$16)/$B$6))</f>
        <v/>
      </c>
      <c r="H677" t="str">
        <f t="shared" si="65"/>
        <v/>
      </c>
    </row>
    <row r="678" spans="1:8" x14ac:dyDescent="0.2">
      <c r="A678" s="12" t="str">
        <f t="shared" si="67"/>
        <v/>
      </c>
      <c r="B678" t="str">
        <f t="shared" si="62"/>
        <v/>
      </c>
      <c r="C678" s="17" t="str">
        <f t="shared" si="66"/>
        <v/>
      </c>
      <c r="D678" s="18" t="str">
        <f t="shared" si="63"/>
        <v/>
      </c>
      <c r="E678" t="str">
        <f t="shared" si="64"/>
        <v/>
      </c>
      <c r="F678" s="23" t="str">
        <f ca="1">IF(A678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678" s="19" t="str">
        <f>IF(A678="","",C678/(1+F678*$B$6/360)^(COUNT(A$16:A678)-($B$6-$D$16)/$B$6))</f>
        <v/>
      </c>
      <c r="H678" t="str">
        <f t="shared" si="65"/>
        <v/>
      </c>
    </row>
    <row r="679" spans="1:8" x14ac:dyDescent="0.2">
      <c r="A679" s="12" t="str">
        <f t="shared" si="67"/>
        <v/>
      </c>
      <c r="B679" t="str">
        <f t="shared" si="62"/>
        <v/>
      </c>
      <c r="C679" s="17" t="str">
        <f t="shared" si="66"/>
        <v/>
      </c>
      <c r="D679" s="18" t="str">
        <f t="shared" si="63"/>
        <v/>
      </c>
      <c r="E679" t="str">
        <f t="shared" si="64"/>
        <v/>
      </c>
      <c r="F679" s="23" t="str">
        <f ca="1">IF(A679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679" s="19" t="str">
        <f>IF(A679="","",C679/(1+F679*$B$6/360)^(COUNT(A$16:A679)-($B$6-$D$16)/$B$6))</f>
        <v/>
      </c>
      <c r="H679" t="str">
        <f t="shared" si="65"/>
        <v/>
      </c>
    </row>
    <row r="680" spans="1:8" x14ac:dyDescent="0.2">
      <c r="A680" s="12" t="str">
        <f t="shared" si="67"/>
        <v/>
      </c>
      <c r="B680" t="str">
        <f t="shared" si="62"/>
        <v/>
      </c>
      <c r="C680" s="17" t="str">
        <f t="shared" si="66"/>
        <v/>
      </c>
      <c r="D680" s="18" t="str">
        <f t="shared" si="63"/>
        <v/>
      </c>
      <c r="E680" t="str">
        <f t="shared" si="64"/>
        <v/>
      </c>
      <c r="F680" s="23" t="str">
        <f ca="1">IF(A680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680" s="19" t="str">
        <f>IF(A680="","",C680/(1+F680*$B$6/360)^(COUNT(A$16:A680)-($B$6-$D$16)/$B$6))</f>
        <v/>
      </c>
      <c r="H680" t="str">
        <f t="shared" si="65"/>
        <v/>
      </c>
    </row>
    <row r="681" spans="1:8" x14ac:dyDescent="0.2">
      <c r="A681" s="12" t="str">
        <f t="shared" si="67"/>
        <v/>
      </c>
      <c r="B681" t="str">
        <f t="shared" si="62"/>
        <v/>
      </c>
      <c r="C681" s="17" t="str">
        <f t="shared" si="66"/>
        <v/>
      </c>
      <c r="D681" s="18" t="str">
        <f t="shared" si="63"/>
        <v/>
      </c>
      <c r="E681" t="str">
        <f t="shared" si="64"/>
        <v/>
      </c>
      <c r="F681" s="23" t="str">
        <f ca="1">IF(A681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681" s="19" t="str">
        <f>IF(A681="","",C681/(1+F681*$B$6/360)^(COUNT(A$16:A681)-($B$6-$D$16)/$B$6))</f>
        <v/>
      </c>
      <c r="H681" t="str">
        <f t="shared" si="65"/>
        <v/>
      </c>
    </row>
    <row r="682" spans="1:8" x14ac:dyDescent="0.2">
      <c r="A682" s="12" t="str">
        <f t="shared" si="67"/>
        <v/>
      </c>
      <c r="B682" t="str">
        <f t="shared" si="62"/>
        <v/>
      </c>
      <c r="C682" s="17" t="str">
        <f t="shared" si="66"/>
        <v/>
      </c>
      <c r="D682" s="18" t="str">
        <f t="shared" si="63"/>
        <v/>
      </c>
      <c r="E682" t="str">
        <f t="shared" si="64"/>
        <v/>
      </c>
      <c r="F682" s="23" t="str">
        <f ca="1">IF(A682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682" s="19" t="str">
        <f>IF(A682="","",C682/(1+F682*$B$6/360)^(COUNT(A$16:A682)-($B$6-$D$16)/$B$6))</f>
        <v/>
      </c>
      <c r="H682" t="str">
        <f t="shared" si="65"/>
        <v/>
      </c>
    </row>
    <row r="683" spans="1:8" x14ac:dyDescent="0.2">
      <c r="A683" s="12" t="str">
        <f t="shared" si="67"/>
        <v/>
      </c>
      <c r="B683" t="str">
        <f t="shared" si="62"/>
        <v/>
      </c>
      <c r="C683" s="17" t="str">
        <f t="shared" si="66"/>
        <v/>
      </c>
      <c r="D683" s="18" t="str">
        <f t="shared" si="63"/>
        <v/>
      </c>
      <c r="E683" t="str">
        <f t="shared" si="64"/>
        <v/>
      </c>
      <c r="F683" s="23" t="str">
        <f ca="1">IF(A683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683" s="19" t="str">
        <f>IF(A683="","",C683/(1+F683*$B$6/360)^(COUNT(A$16:A683)-($B$6-$D$16)/$B$6))</f>
        <v/>
      </c>
      <c r="H683" t="str">
        <f t="shared" si="65"/>
        <v/>
      </c>
    </row>
    <row r="684" spans="1:8" x14ac:dyDescent="0.2">
      <c r="A684" s="12" t="str">
        <f t="shared" si="67"/>
        <v/>
      </c>
      <c r="B684" t="str">
        <f t="shared" si="62"/>
        <v/>
      </c>
      <c r="C684" s="17" t="str">
        <f t="shared" si="66"/>
        <v/>
      </c>
      <c r="D684" s="18" t="str">
        <f t="shared" si="63"/>
        <v/>
      </c>
      <c r="E684" t="str">
        <f t="shared" si="64"/>
        <v/>
      </c>
      <c r="F684" s="23" t="str">
        <f ca="1">IF(A684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684" s="19" t="str">
        <f>IF(A684="","",C684/(1+F684*$B$6/360)^(COUNT(A$16:A684)-($B$6-$D$16)/$B$6))</f>
        <v/>
      </c>
      <c r="H684" t="str">
        <f t="shared" si="65"/>
        <v/>
      </c>
    </row>
    <row r="685" spans="1:8" x14ac:dyDescent="0.2">
      <c r="A685" s="12" t="str">
        <f t="shared" si="67"/>
        <v/>
      </c>
      <c r="B685" t="str">
        <f t="shared" si="62"/>
        <v/>
      </c>
      <c r="C685" s="17" t="str">
        <f t="shared" si="66"/>
        <v/>
      </c>
      <c r="D685" s="18" t="str">
        <f t="shared" si="63"/>
        <v/>
      </c>
      <c r="E685" t="str">
        <f t="shared" si="64"/>
        <v/>
      </c>
      <c r="F685" s="23" t="str">
        <f ca="1">IF(A685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685" s="19" t="str">
        <f>IF(A685="","",C685/(1+F685*$B$6/360)^(COUNT(A$16:A685)-($B$6-$D$16)/$B$6))</f>
        <v/>
      </c>
      <c r="H685" t="str">
        <f t="shared" si="65"/>
        <v/>
      </c>
    </row>
    <row r="686" spans="1:8" x14ac:dyDescent="0.2">
      <c r="A686" s="12" t="str">
        <f t="shared" si="67"/>
        <v/>
      </c>
      <c r="B686" t="str">
        <f t="shared" si="62"/>
        <v/>
      </c>
      <c r="C686" s="17" t="str">
        <f t="shared" si="66"/>
        <v/>
      </c>
      <c r="D686" s="18" t="str">
        <f t="shared" si="63"/>
        <v/>
      </c>
      <c r="E686" t="str">
        <f t="shared" si="64"/>
        <v/>
      </c>
      <c r="F686" s="23" t="str">
        <f ca="1">IF(A686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686" s="19" t="str">
        <f>IF(A686="","",C686/(1+F686*$B$6/360)^(COUNT(A$16:A686)-($B$6-$D$16)/$B$6))</f>
        <v/>
      </c>
      <c r="H686" t="str">
        <f t="shared" si="65"/>
        <v/>
      </c>
    </row>
    <row r="687" spans="1:8" x14ac:dyDescent="0.2">
      <c r="A687" s="12" t="str">
        <f t="shared" si="67"/>
        <v/>
      </c>
      <c r="B687" t="str">
        <f t="shared" si="62"/>
        <v/>
      </c>
      <c r="C687" s="17" t="str">
        <f t="shared" si="66"/>
        <v/>
      </c>
      <c r="D687" s="18" t="str">
        <f t="shared" si="63"/>
        <v/>
      </c>
      <c r="E687" t="str">
        <f t="shared" si="64"/>
        <v/>
      </c>
      <c r="F687" s="23" t="str">
        <f ca="1">IF(A687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687" s="19" t="str">
        <f>IF(A687="","",C687/(1+F687*$B$6/360)^(COUNT(A$16:A687)-($B$6-$D$16)/$B$6))</f>
        <v/>
      </c>
      <c r="H687" t="str">
        <f t="shared" si="65"/>
        <v/>
      </c>
    </row>
    <row r="688" spans="1:8" x14ac:dyDescent="0.2">
      <c r="A688" s="12" t="str">
        <f t="shared" si="67"/>
        <v/>
      </c>
      <c r="B688" t="str">
        <f t="shared" si="62"/>
        <v/>
      </c>
      <c r="C688" s="17" t="str">
        <f t="shared" si="66"/>
        <v/>
      </c>
      <c r="D688" s="18" t="str">
        <f t="shared" si="63"/>
        <v/>
      </c>
      <c r="E688" t="str">
        <f t="shared" si="64"/>
        <v/>
      </c>
      <c r="F688" s="23" t="str">
        <f ca="1">IF(A688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688" s="19" t="str">
        <f>IF(A688="","",C688/(1+F688*$B$6/360)^(COUNT(A$16:A688)-($B$6-$D$16)/$B$6))</f>
        <v/>
      </c>
      <c r="H688" t="str">
        <f t="shared" si="65"/>
        <v/>
      </c>
    </row>
    <row r="689" spans="1:8" x14ac:dyDescent="0.2">
      <c r="A689" s="12" t="str">
        <f t="shared" si="67"/>
        <v/>
      </c>
      <c r="B689" t="str">
        <f t="shared" si="62"/>
        <v/>
      </c>
      <c r="C689" s="17" t="str">
        <f t="shared" si="66"/>
        <v/>
      </c>
      <c r="D689" s="18" t="str">
        <f t="shared" si="63"/>
        <v/>
      </c>
      <c r="E689" t="str">
        <f t="shared" si="64"/>
        <v/>
      </c>
      <c r="F689" s="23" t="str">
        <f ca="1">IF(A689="","",IF($B$8="Sí",interpolar_alamb($B$11,OFFSET(Curvas_cupon_cero!$A$1,1,0,COUNT(Curvas_cupon_cero!$A:$A)-2,1),OFFSET(Curvas_cupon_cero!$A$1,1,MATCH(Bono_M_Cupon_fijo_yield!$B$7,Curvas_cupon_cero!$1:$1,0)-1,COUNT(Curvas_cupon_cero!$A:$A)-2,1)),interpolar($B$11,OFFSET(Curvas_cupon_cero!$A$1,1,0,COUNT(Curvas_cupon_cero!$A:$A)-2,1),OFFSET(Curvas_cupon_cero!$A$1,1,MATCH(Bono_M_Cupon_fijo_yield!$B$7,Curvas_cupon_cero!$1:$1,0)-1,COUNT(Curvas_cupon_cero!$A:$A)-2,1))))</f>
        <v/>
      </c>
      <c r="G689" s="19" t="str">
        <f>IF(A689="","",C689/(1+F689*$B$6/360)^(COUNT(A$16:A689)-($B$6-$D$16)/$B$6))</f>
        <v/>
      </c>
      <c r="H689" t="str">
        <f t="shared" si="65"/>
        <v/>
      </c>
    </row>
  </sheetData>
  <dataValidations count="1">
    <dataValidation type="list" allowBlank="1" showInputMessage="1" showErrorMessage="1" sqref="B8">
      <formula1>Bin</formula1>
    </dataValidation>
  </dataValidations>
  <pageMargins left="0.75" right="0.75" top="1" bottom="1" header="0.5" footer="0.5"/>
  <pageSetup orientation="portrait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Curvas_cupon_cero!$C$1:$CK$1</xm:f>
          </x14:formula1>
          <xm:sqref>B7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K689"/>
  <sheetViews>
    <sheetView zoomScale="150" zoomScaleNormal="150" workbookViewId="0">
      <selection activeCell="B13" sqref="B13"/>
    </sheetView>
  </sheetViews>
  <sheetFormatPr baseColWidth="10" defaultColWidth="9.140625" defaultRowHeight="12.75" x14ac:dyDescent="0.2"/>
  <cols>
    <col min="1" max="1" width="25" bestFit="1" customWidth="1"/>
    <col min="2" max="2" width="13.140625" bestFit="1" customWidth="1"/>
    <col min="3" max="3" width="11" customWidth="1"/>
    <col min="4" max="4" width="14.7109375" customWidth="1"/>
    <col min="5" max="5" width="13" customWidth="1"/>
    <col min="6" max="6" width="11.85546875" customWidth="1"/>
    <col min="7" max="7" width="15" customWidth="1"/>
  </cols>
  <sheetData>
    <row r="1" spans="1:219" x14ac:dyDescent="0.2">
      <c r="A1" s="3" t="s">
        <v>91</v>
      </c>
      <c r="B1" s="6">
        <v>10000</v>
      </c>
      <c r="HK1" t="s">
        <v>97</v>
      </c>
    </row>
    <row r="2" spans="1:219" x14ac:dyDescent="0.2">
      <c r="A2" s="3" t="s">
        <v>87</v>
      </c>
      <c r="B2" s="11">
        <v>100</v>
      </c>
      <c r="F2" s="2"/>
      <c r="G2" t="s">
        <v>94</v>
      </c>
      <c r="HK2" t="s">
        <v>98</v>
      </c>
    </row>
    <row r="3" spans="1:219" x14ac:dyDescent="0.2">
      <c r="A3" s="3" t="s">
        <v>88</v>
      </c>
      <c r="B3" s="12">
        <v>43280</v>
      </c>
      <c r="F3" s="4"/>
      <c r="G3" t="s">
        <v>95</v>
      </c>
    </row>
    <row r="4" spans="1:219" x14ac:dyDescent="0.2">
      <c r="A4" s="3" t="s">
        <v>89</v>
      </c>
      <c r="B4" s="12">
        <f>B3+360*5</f>
        <v>45080</v>
      </c>
    </row>
    <row r="5" spans="1:219" x14ac:dyDescent="0.2">
      <c r="A5" s="14" t="s">
        <v>100</v>
      </c>
      <c r="B5" s="15">
        <v>7.8E-2</v>
      </c>
    </row>
    <row r="6" spans="1:219" x14ac:dyDescent="0.2">
      <c r="A6" s="14" t="s">
        <v>105</v>
      </c>
      <c r="B6" s="6">
        <v>182</v>
      </c>
      <c r="D6" s="33"/>
      <c r="E6" s="24"/>
    </row>
    <row r="7" spans="1:219" x14ac:dyDescent="0.2">
      <c r="A7" s="3" t="s">
        <v>96</v>
      </c>
      <c r="B7" s="39" t="s">
        <v>2</v>
      </c>
      <c r="D7" s="8"/>
      <c r="E7" s="32"/>
    </row>
    <row r="8" spans="1:219" x14ac:dyDescent="0.2">
      <c r="A8" s="3" t="s">
        <v>99</v>
      </c>
      <c r="B8" s="7" t="s">
        <v>97</v>
      </c>
      <c r="D8" s="8"/>
      <c r="E8" s="32"/>
    </row>
    <row r="9" spans="1:219" x14ac:dyDescent="0.2">
      <c r="A9" s="26" t="s">
        <v>113</v>
      </c>
      <c r="B9" s="27">
        <f>$B$6-($B$11-(INT($B$11/B6))*$B$6)</f>
        <v>20</v>
      </c>
      <c r="F9" s="6"/>
      <c r="G9" s="6"/>
      <c r="H9" s="1"/>
    </row>
    <row r="10" spans="1:219" x14ac:dyDescent="0.2">
      <c r="A10" s="26" t="s">
        <v>112</v>
      </c>
      <c r="B10" s="27">
        <f>INT(B11/B6)+1</f>
        <v>10</v>
      </c>
      <c r="D10" s="16"/>
      <c r="E10" s="16"/>
      <c r="F10" s="6"/>
      <c r="H10" s="1"/>
    </row>
    <row r="11" spans="1:219" x14ac:dyDescent="0.2">
      <c r="A11" s="4" t="s">
        <v>90</v>
      </c>
      <c r="B11" s="28">
        <f>B4-B3</f>
        <v>1800</v>
      </c>
      <c r="D11" s="33"/>
      <c r="E11" s="16"/>
    </row>
    <row r="12" spans="1:219" x14ac:dyDescent="0.2">
      <c r="A12" s="26" t="s">
        <v>114</v>
      </c>
      <c r="B12" s="43">
        <f>B9*B5*B1*B2/360</f>
        <v>4333.333333333333</v>
      </c>
      <c r="D12" s="8"/>
      <c r="E12" s="29"/>
    </row>
    <row r="13" spans="1:219" x14ac:dyDescent="0.2">
      <c r="A13" s="13" t="s">
        <v>116</v>
      </c>
      <c r="B13" s="29">
        <f ca="1">SUM(G16:G689)</f>
        <v>1009443.7657734449</v>
      </c>
      <c r="D13" s="8"/>
      <c r="E13" s="31"/>
      <c r="J13" s="19"/>
    </row>
    <row r="14" spans="1:219" x14ac:dyDescent="0.2">
      <c r="A14" s="13" t="s">
        <v>117</v>
      </c>
      <c r="B14" s="29">
        <f ca="1">B13-B12</f>
        <v>1005110.4324401115</v>
      </c>
      <c r="J14" s="19"/>
    </row>
    <row r="15" spans="1:219" ht="27" customHeight="1" x14ac:dyDescent="0.2">
      <c r="A15" s="22" t="s">
        <v>101</v>
      </c>
      <c r="B15" s="22" t="s">
        <v>108</v>
      </c>
      <c r="C15" s="22" t="s">
        <v>115</v>
      </c>
      <c r="D15" s="22" t="s">
        <v>106</v>
      </c>
      <c r="E15" s="22" t="s">
        <v>107</v>
      </c>
      <c r="F15" s="22" t="s">
        <v>104</v>
      </c>
      <c r="G15" s="22" t="s">
        <v>103</v>
      </c>
    </row>
    <row r="16" spans="1:219" x14ac:dyDescent="0.2">
      <c r="A16" s="12">
        <f>$B$3+$B$11-(INT($B$11/B6))*$B$6</f>
        <v>43442</v>
      </c>
      <c r="B16" s="21">
        <f>IF(A16="","",$B$5)</f>
        <v>7.8E-2</v>
      </c>
      <c r="C16" s="17">
        <f>IF(A16="","",IF(A16=$B$4,$B$1*$B$2+ $B$5*$B$6/360*$B$1*$B$2, $B$5*$B$6/360*$B$1*$B$2))</f>
        <v>39433.333333333328</v>
      </c>
      <c r="D16" s="18">
        <f>$B$11-(INT($B$11/B6))*$B$6</f>
        <v>162</v>
      </c>
      <c r="E16" s="17">
        <f>D16</f>
        <v>162</v>
      </c>
      <c r="F16" s="23">
        <f ca="1">IF(A16="","",IF($B$8="Sí",interpolar_alamb(E16,OFFSET(Curvas_cupon_cero!$A$1,1,0,COUNT(Curvas_cupon_cero!$A:$A)-2,1),OFFSET(Curvas_cupon_cero!$A$1,1,MATCH(Bono_M_Cupon_fijo_curva!$B$7,Curvas_cupon_cero!$1:$1,0)-1,COUNT(Curvas_cupon_cero!$A:$A)-2,1)),interpolar(E16,OFFSET(Curvas_cupon_cero!$A$1,1,0,COUNT(Curvas_cupon_cero!$A:$A)-2,1),OFFSET(Curvas_cupon_cero!$A$1,1,MATCH(Bono_M_Cupon_fijo_curva!$B$7,Curvas_cupon_cero!$1:$1,0)-1,COUNT(Curvas_cupon_cero!$A:$A)-2,1))))</f>
        <v>7.9696250443216932E-2</v>
      </c>
      <c r="G16" s="19">
        <f ca="1">IF(A16="","",C16/(1+F16*E16/360))</f>
        <v>38068.085672974099</v>
      </c>
      <c r="I16" s="25"/>
    </row>
    <row r="17" spans="1:9" x14ac:dyDescent="0.2">
      <c r="A17" s="12">
        <f>IF(A16="","",IF((A16+$B$6)&gt;$B$4,"",(A16+$B$6)))</f>
        <v>43624</v>
      </c>
      <c r="B17" s="21">
        <f t="shared" ref="B17:B80" si="0">IF(A17="","",$B$5)</f>
        <v>7.8E-2</v>
      </c>
      <c r="C17" s="17">
        <f t="shared" ref="C17:C80" si="1">IF(A17="","",IF(A17=$B$4,$B$1*$B$2+ $B$5*$B$6/360*$B$1*$B$2, $B$5*$B$6/360*$B$1*$B$2))</f>
        <v>39433.333333333328</v>
      </c>
      <c r="D17" s="18">
        <f t="shared" ref="D17:D80" si="2">IF(A17="","",$B$6)</f>
        <v>182</v>
      </c>
      <c r="E17">
        <f t="shared" ref="E17:E80" si="3">IF(A17="","",E16+D17)</f>
        <v>344</v>
      </c>
      <c r="F17" s="23">
        <f ca="1">IF(A17="","",IF($B$8="Sí",interpolar_alamb(E17,OFFSET(Curvas_cupon_cero!$A$1,1,0,COUNT(Curvas_cupon_cero!$A:$A)-2,1),OFFSET(Curvas_cupon_cero!$A$1,1,MATCH(Bono_M_Cupon_fijo_curva!$B$7,Curvas_cupon_cero!$1:$1,0)-1,COUNT(Curvas_cupon_cero!$A:$A)-2,1)),interpolar(E17,OFFSET(Curvas_cupon_cero!$A$1,1,0,COUNT(Curvas_cupon_cero!$A:$A)-2,1),OFFSET(Curvas_cupon_cero!$A$1,1,MATCH(Bono_M_Cupon_fijo_curva!$B$7,Curvas_cupon_cero!$1:$1,0)-1,COUNT(Curvas_cupon_cero!$A:$A)-2,1))))</f>
        <v>8.0618243443865076E-2</v>
      </c>
      <c r="G17" s="19">
        <f t="shared" ref="G17:G25" ca="1" si="4">IF(A17="","",C17/(1+F17*E17/360))</f>
        <v>36612.854391843008</v>
      </c>
      <c r="I17" s="25"/>
    </row>
    <row r="18" spans="1:9" x14ac:dyDescent="0.2">
      <c r="A18" s="12">
        <f t="shared" ref="A18:A25" si="5">IF(A17="","",IF((A17+$B$6)&gt;$B$4,"",(A17+$B$6)))</f>
        <v>43806</v>
      </c>
      <c r="B18" s="21">
        <f t="shared" si="0"/>
        <v>7.8E-2</v>
      </c>
      <c r="C18" s="17">
        <f t="shared" si="1"/>
        <v>39433.333333333328</v>
      </c>
      <c r="D18" s="18">
        <f t="shared" si="2"/>
        <v>182</v>
      </c>
      <c r="E18">
        <f t="shared" si="3"/>
        <v>526</v>
      </c>
      <c r="F18" s="23">
        <f ca="1">IF(A18="","",IF($B$8="Sí",interpolar_alamb(E18,OFFSET(Curvas_cupon_cero!$A$1,1,0,COUNT(Curvas_cupon_cero!$A:$A)-2,1),OFFSET(Curvas_cupon_cero!$A$1,1,MATCH(Bono_M_Cupon_fijo_curva!$B$7,Curvas_cupon_cero!$1:$1,0)-1,COUNT(Curvas_cupon_cero!$A:$A)-2,1)),interpolar(E18,OFFSET(Curvas_cupon_cero!$A$1,1,0,COUNT(Curvas_cupon_cero!$A:$A)-2,1),OFFSET(Curvas_cupon_cero!$A$1,1,MATCH(Bono_M_Cupon_fijo_curva!$B$7,Curvas_cupon_cero!$1:$1,0)-1,COUNT(Curvas_cupon_cero!$A:$A)-2,1))))</f>
        <v>8.0431024111375968E-2</v>
      </c>
      <c r="G18" s="19">
        <f t="shared" ca="1" si="4"/>
        <v>35286.509871092931</v>
      </c>
      <c r="I18" s="25"/>
    </row>
    <row r="19" spans="1:9" x14ac:dyDescent="0.2">
      <c r="A19" s="12">
        <f t="shared" si="5"/>
        <v>43988</v>
      </c>
      <c r="B19" s="21">
        <f t="shared" si="0"/>
        <v>7.8E-2</v>
      </c>
      <c r="C19" s="17">
        <f t="shared" si="1"/>
        <v>39433.333333333328</v>
      </c>
      <c r="D19" s="18">
        <f t="shared" si="2"/>
        <v>182</v>
      </c>
      <c r="E19">
        <f t="shared" si="3"/>
        <v>708</v>
      </c>
      <c r="F19" s="23">
        <f ca="1">IF(A19="","",IF($B$8="Sí",interpolar_alamb(E19,OFFSET(Curvas_cupon_cero!$A$1,1,0,COUNT(Curvas_cupon_cero!$A:$A)-2,1),OFFSET(Curvas_cupon_cero!$A$1,1,MATCH(Bono_M_Cupon_fijo_curva!$B$7,Curvas_cupon_cero!$1:$1,0)-1,COUNT(Curvas_cupon_cero!$A:$A)-2,1)),interpolar(E19,OFFSET(Curvas_cupon_cero!$A$1,1,0,COUNT(Curvas_cupon_cero!$A:$A)-2,1),OFFSET(Curvas_cupon_cero!$A$1,1,MATCH(Bono_M_Cupon_fijo_curva!$B$7,Curvas_cupon_cero!$1:$1,0)-1,COUNT(Curvas_cupon_cero!$A:$A)-2,1))))</f>
        <v>8.1052945498190213E-2</v>
      </c>
      <c r="G19" s="19">
        <f t="shared" ca="1" si="4"/>
        <v>34011.724164204526</v>
      </c>
      <c r="I19" s="25"/>
    </row>
    <row r="20" spans="1:9" x14ac:dyDescent="0.2">
      <c r="A20" s="12">
        <f t="shared" si="5"/>
        <v>44170</v>
      </c>
      <c r="B20" s="21">
        <f t="shared" si="0"/>
        <v>7.8E-2</v>
      </c>
      <c r="C20" s="17">
        <f t="shared" si="1"/>
        <v>39433.333333333328</v>
      </c>
      <c r="D20" s="18">
        <f t="shared" si="2"/>
        <v>182</v>
      </c>
      <c r="E20">
        <f t="shared" si="3"/>
        <v>890</v>
      </c>
      <c r="F20" s="23">
        <f ca="1">IF(A20="","",IF($B$8="Sí",interpolar_alamb(E20,OFFSET(Curvas_cupon_cero!$A$1,1,0,COUNT(Curvas_cupon_cero!$A:$A)-2,1),OFFSET(Curvas_cupon_cero!$A$1,1,MATCH(Bono_M_Cupon_fijo_curva!$B$7,Curvas_cupon_cero!$1:$1,0)-1,COUNT(Curvas_cupon_cero!$A:$A)-2,1)),interpolar(E20,OFFSET(Curvas_cupon_cero!$A$1,1,0,COUNT(Curvas_cupon_cero!$A:$A)-2,1),OFFSET(Curvas_cupon_cero!$A$1,1,MATCH(Bono_M_Cupon_fijo_curva!$B$7,Curvas_cupon_cero!$1:$1,0)-1,COUNT(Curvas_cupon_cero!$A:$A)-2,1))))</f>
        <v>8.2843000584162996E-2</v>
      </c>
      <c r="G20" s="19">
        <f t="shared" ca="1" si="4"/>
        <v>32730.019011547189</v>
      </c>
      <c r="I20" s="25"/>
    </row>
    <row r="21" spans="1:9" x14ac:dyDescent="0.2">
      <c r="A21" s="12">
        <f t="shared" si="5"/>
        <v>44352</v>
      </c>
      <c r="B21" s="21">
        <f t="shared" si="0"/>
        <v>7.8E-2</v>
      </c>
      <c r="C21" s="17">
        <f t="shared" si="1"/>
        <v>39433.333333333328</v>
      </c>
      <c r="D21" s="18">
        <f t="shared" si="2"/>
        <v>182</v>
      </c>
      <c r="E21">
        <f t="shared" si="3"/>
        <v>1072</v>
      </c>
      <c r="F21" s="23">
        <f ca="1">IF(A21="","",IF($B$8="Sí",interpolar_alamb(E21,OFFSET(Curvas_cupon_cero!$A$1,1,0,COUNT(Curvas_cupon_cero!$A:$A)-2,1),OFFSET(Curvas_cupon_cero!$A$1,1,MATCH(Bono_M_Cupon_fijo_curva!$B$7,Curvas_cupon_cero!$1:$1,0)-1,COUNT(Curvas_cupon_cero!$A:$A)-2,1)),interpolar(E21,OFFSET(Curvas_cupon_cero!$A$1,1,0,COUNT(Curvas_cupon_cero!$A:$A)-2,1),OFFSET(Curvas_cupon_cero!$A$1,1,MATCH(Bono_M_Cupon_fijo_curva!$B$7,Curvas_cupon_cero!$1:$1,0)-1,COUNT(Curvas_cupon_cero!$A:$A)-2,1))))</f>
        <v>8.4670307969745798E-2</v>
      </c>
      <c r="G21" s="19">
        <f t="shared" ca="1" si="4"/>
        <v>31493.018649272562</v>
      </c>
      <c r="I21" s="25"/>
    </row>
    <row r="22" spans="1:9" x14ac:dyDescent="0.2">
      <c r="A22" s="12">
        <f t="shared" si="5"/>
        <v>44534</v>
      </c>
      <c r="B22" s="21">
        <f t="shared" si="0"/>
        <v>7.8E-2</v>
      </c>
      <c r="C22" s="17">
        <f t="shared" si="1"/>
        <v>39433.333333333328</v>
      </c>
      <c r="D22" s="18">
        <f t="shared" si="2"/>
        <v>182</v>
      </c>
      <c r="E22">
        <f t="shared" si="3"/>
        <v>1254</v>
      </c>
      <c r="F22" s="23">
        <f ca="1">IF(A22="","",IF($B$8="Sí",interpolar_alamb(E22,OFFSET(Curvas_cupon_cero!$A$1,1,0,COUNT(Curvas_cupon_cero!$A:$A)-2,1),OFFSET(Curvas_cupon_cero!$A$1,1,MATCH(Bono_M_Cupon_fijo_curva!$B$7,Curvas_cupon_cero!$1:$1,0)-1,COUNT(Curvas_cupon_cero!$A:$A)-2,1)),interpolar(E22,OFFSET(Curvas_cupon_cero!$A$1,1,0,COUNT(Curvas_cupon_cero!$A:$A)-2,1),OFFSET(Curvas_cupon_cero!$A$1,1,MATCH(Bono_M_Cupon_fijo_curva!$B$7,Curvas_cupon_cero!$1:$1,0)-1,COUNT(Curvas_cupon_cero!$A:$A)-2,1))))</f>
        <v>8.6290107907465274E-2</v>
      </c>
      <c r="G22" s="19">
        <f t="shared" ca="1" si="4"/>
        <v>30319.871095738781</v>
      </c>
      <c r="I22" s="25"/>
    </row>
    <row r="23" spans="1:9" x14ac:dyDescent="0.2">
      <c r="A23" s="12">
        <f t="shared" si="5"/>
        <v>44716</v>
      </c>
      <c r="B23" s="21">
        <f t="shared" si="0"/>
        <v>7.8E-2</v>
      </c>
      <c r="C23" s="17">
        <f t="shared" si="1"/>
        <v>39433.333333333328</v>
      </c>
      <c r="D23" s="18">
        <f t="shared" si="2"/>
        <v>182</v>
      </c>
      <c r="E23">
        <f t="shared" si="3"/>
        <v>1436</v>
      </c>
      <c r="F23" s="23">
        <f ca="1">IF(A23="","",IF($B$8="Sí",interpolar_alamb(E23,OFFSET(Curvas_cupon_cero!$A$1,1,0,COUNT(Curvas_cupon_cero!$A:$A)-2,1),OFFSET(Curvas_cupon_cero!$A$1,1,MATCH(Bono_M_Cupon_fijo_curva!$B$7,Curvas_cupon_cero!$1:$1,0)-1,COUNT(Curvas_cupon_cero!$A:$A)-2,1)),interpolar(E23,OFFSET(Curvas_cupon_cero!$A$1,1,0,COUNT(Curvas_cupon_cero!$A:$A)-2,1),OFFSET(Curvas_cupon_cero!$A$1,1,MATCH(Bono_M_Cupon_fijo_curva!$B$7,Curvas_cupon_cero!$1:$1,0)-1,COUNT(Curvas_cupon_cero!$A:$A)-2,1))))</f>
        <v>8.7960478863145383E-2</v>
      </c>
      <c r="G23" s="19">
        <f t="shared" ca="1" si="4"/>
        <v>29191.181714741189</v>
      </c>
      <c r="I23" s="25"/>
    </row>
    <row r="24" spans="1:9" x14ac:dyDescent="0.2">
      <c r="A24" s="12">
        <f t="shared" si="5"/>
        <v>44898</v>
      </c>
      <c r="B24" s="21">
        <f t="shared" si="0"/>
        <v>7.8E-2</v>
      </c>
      <c r="C24" s="17">
        <f t="shared" si="1"/>
        <v>39433.333333333328</v>
      </c>
      <c r="D24" s="18">
        <f t="shared" si="2"/>
        <v>182</v>
      </c>
      <c r="E24">
        <f t="shared" si="3"/>
        <v>1618</v>
      </c>
      <c r="F24" s="23">
        <f ca="1">IF(A24="","",IF($B$8="Sí",interpolar_alamb(E24,OFFSET(Curvas_cupon_cero!$A$1,1,0,COUNT(Curvas_cupon_cero!$A:$A)-2,1),OFFSET(Curvas_cupon_cero!$A$1,1,MATCH(Bono_M_Cupon_fijo_curva!$B$7,Curvas_cupon_cero!$1:$1,0)-1,COUNT(Curvas_cupon_cero!$A:$A)-2,1)),interpolar(E24,OFFSET(Curvas_cupon_cero!$A$1,1,0,COUNT(Curvas_cupon_cero!$A:$A)-2,1),OFFSET(Curvas_cupon_cero!$A$1,1,MATCH(Bono_M_Cupon_fijo_curva!$B$7,Curvas_cupon_cero!$1:$1,0)-1,COUNT(Curvas_cupon_cero!$A:$A)-2,1))))</f>
        <v>8.9605008723488588E-2</v>
      </c>
      <c r="G24" s="19">
        <f t="shared" ca="1" si="4"/>
        <v>28111.954104264983</v>
      </c>
      <c r="I24" s="25"/>
    </row>
    <row r="25" spans="1:9" x14ac:dyDescent="0.2">
      <c r="A25" s="12">
        <f t="shared" si="5"/>
        <v>45080</v>
      </c>
      <c r="B25" s="21">
        <f t="shared" si="0"/>
        <v>7.8E-2</v>
      </c>
      <c r="C25" s="17">
        <f t="shared" si="1"/>
        <v>1039433.3333333334</v>
      </c>
      <c r="D25" s="18">
        <f t="shared" si="2"/>
        <v>182</v>
      </c>
      <c r="E25">
        <f t="shared" si="3"/>
        <v>1800</v>
      </c>
      <c r="F25" s="23">
        <f ca="1">IF(A25="","",IF($B$8="Sí",interpolar_alamb(E25,OFFSET(Curvas_cupon_cero!$A$1,1,0,COUNT(Curvas_cupon_cero!$A:$A)-2,1),OFFSET(Curvas_cupon_cero!$A$1,1,MATCH(Bono_M_Cupon_fijo_curva!$B$7,Curvas_cupon_cero!$1:$1,0)-1,COUNT(Curvas_cupon_cero!$A:$A)-2,1)),interpolar(E25,OFFSET(Curvas_cupon_cero!$A$1,1,0,COUNT(Curvas_cupon_cero!$A:$A)-2,1),OFFSET(Curvas_cupon_cero!$A$1,1,MATCH(Bono_M_Cupon_fijo_curva!$B$7,Curvas_cupon_cero!$1:$1,0)-1,COUNT(Curvas_cupon_cero!$A:$A)-2,1))))</f>
        <v>9.1313430000000001E-2</v>
      </c>
      <c r="G25" s="19">
        <f t="shared" ca="1" si="4"/>
        <v>713618.54709776572</v>
      </c>
      <c r="I25" s="25"/>
    </row>
    <row r="26" spans="1:9" x14ac:dyDescent="0.2">
      <c r="A26" s="12" t="str">
        <f>IF(A25="","",IF((A25+$B$6)&gt;$B$4,"",(A25+$B$6)))</f>
        <v/>
      </c>
      <c r="B26" t="str">
        <f t="shared" si="0"/>
        <v/>
      </c>
      <c r="C26" s="17" t="str">
        <f t="shared" si="1"/>
        <v/>
      </c>
      <c r="D26" s="18" t="str">
        <f t="shared" si="2"/>
        <v/>
      </c>
      <c r="E26" t="str">
        <f t="shared" si="3"/>
        <v/>
      </c>
      <c r="F26" s="23" t="str">
        <f ca="1">IF(A26="","",IF($B$8="Sí",interpolar_alamb(E26,OFFSET(Curvas_cupon_cero!$A$1,1,0,COUNT(Curvas_cupon_cero!$A:$A)-2,1),OFFSET(Curvas_cupon_cero!$A$1,1,MATCH(Bono_M_Cupon_fijo_curva!$B$7,Curvas_cupon_cero!$1:$1,0)-1,COUNT(Curvas_cupon_cero!$A:$A)-2,1)),interpolar(E26,OFFSET(Curvas_cupon_cero!$A$1,1,0,COUNT(Curvas_cupon_cero!$A:$A)-2,1),OFFSET(Curvas_cupon_cero!$A$1,1,MATCH(Bono_M_Cupon_fijo_curva!$B$7,Curvas_cupon_cero!$1:$1,0)-1,COUNT(Curvas_cupon_cero!$A:$A)-2,1))))</f>
        <v/>
      </c>
      <c r="G26" s="19" t="str">
        <f>IF(A26="","",C26/(1+F26*$B$6/360)^(COUNT(A$16:A26)-($B$6-$D$16)/$B$6))</f>
        <v/>
      </c>
    </row>
    <row r="27" spans="1:9" x14ac:dyDescent="0.2">
      <c r="A27" s="12" t="str">
        <f t="shared" ref="A27:A90" si="6">IF(A26="","",IF((A26+$B$6)&gt;$B$4,"",(A26+$B$6)))</f>
        <v/>
      </c>
      <c r="B27" t="str">
        <f t="shared" si="0"/>
        <v/>
      </c>
      <c r="C27" s="17" t="str">
        <f t="shared" si="1"/>
        <v/>
      </c>
      <c r="D27" s="18" t="str">
        <f t="shared" si="2"/>
        <v/>
      </c>
      <c r="E27" t="str">
        <f t="shared" si="3"/>
        <v/>
      </c>
      <c r="F27" s="23" t="str">
        <f ca="1">IF(A27="","",IF($B$8="Sí",interpolar_alamb(E27,OFFSET(Curvas_cupon_cero!$A$1,1,0,COUNT(Curvas_cupon_cero!$A:$A)-2,1),OFFSET(Curvas_cupon_cero!$A$1,1,MATCH(Bono_M_Cupon_fijo_curva!$B$7,Curvas_cupon_cero!$1:$1,0)-1,COUNT(Curvas_cupon_cero!$A:$A)-2,1)),interpolar(E27,OFFSET(Curvas_cupon_cero!$A$1,1,0,COUNT(Curvas_cupon_cero!$A:$A)-2,1),OFFSET(Curvas_cupon_cero!$A$1,1,MATCH(Bono_M_Cupon_fijo_curva!$B$7,Curvas_cupon_cero!$1:$1,0)-1,COUNT(Curvas_cupon_cero!$A:$A)-2,1))))</f>
        <v/>
      </c>
      <c r="G27" s="19" t="str">
        <f>IF(A27="","",C27/(1+F27*$B$6/360)^(COUNT(A$16:A27)-($B$6-$D$16)/$B$6))</f>
        <v/>
      </c>
    </row>
    <row r="28" spans="1:9" x14ac:dyDescent="0.2">
      <c r="A28" s="12" t="str">
        <f t="shared" si="6"/>
        <v/>
      </c>
      <c r="B28" t="str">
        <f t="shared" si="0"/>
        <v/>
      </c>
      <c r="C28" s="17" t="str">
        <f t="shared" si="1"/>
        <v/>
      </c>
      <c r="D28" s="18" t="str">
        <f t="shared" si="2"/>
        <v/>
      </c>
      <c r="E28" t="str">
        <f t="shared" si="3"/>
        <v/>
      </c>
      <c r="F28" s="23" t="str">
        <f ca="1">IF(A28="","",IF($B$8="Sí",interpolar_alamb(E28,OFFSET(Curvas_cupon_cero!$A$1,1,0,COUNT(Curvas_cupon_cero!$A:$A)-2,1),OFFSET(Curvas_cupon_cero!$A$1,1,MATCH(Bono_M_Cupon_fijo_curva!$B$7,Curvas_cupon_cero!$1:$1,0)-1,COUNT(Curvas_cupon_cero!$A:$A)-2,1)),interpolar(E28,OFFSET(Curvas_cupon_cero!$A$1,1,0,COUNT(Curvas_cupon_cero!$A:$A)-2,1),OFFSET(Curvas_cupon_cero!$A$1,1,MATCH(Bono_M_Cupon_fijo_curva!$B$7,Curvas_cupon_cero!$1:$1,0)-1,COUNT(Curvas_cupon_cero!$A:$A)-2,1))))</f>
        <v/>
      </c>
      <c r="G28" s="19" t="str">
        <f>IF(A28="","",C28/(1+F28*$B$6/360)^(COUNT(A$16:A28)-($B$6-$D$16)/$B$6))</f>
        <v/>
      </c>
    </row>
    <row r="29" spans="1:9" x14ac:dyDescent="0.2">
      <c r="A29" s="12" t="str">
        <f t="shared" si="6"/>
        <v/>
      </c>
      <c r="B29" t="str">
        <f t="shared" si="0"/>
        <v/>
      </c>
      <c r="C29" s="17" t="str">
        <f t="shared" si="1"/>
        <v/>
      </c>
      <c r="D29" s="18" t="str">
        <f t="shared" si="2"/>
        <v/>
      </c>
      <c r="E29" t="str">
        <f t="shared" si="3"/>
        <v/>
      </c>
      <c r="F29" s="23" t="str">
        <f ca="1">IF(A29="","",IF($B$8="Sí",interpolar_alamb(E29,OFFSET(Curvas_cupon_cero!$A$1,1,0,COUNT(Curvas_cupon_cero!$A:$A)-2,1),OFFSET(Curvas_cupon_cero!$A$1,1,MATCH(Bono_M_Cupon_fijo_curva!$B$7,Curvas_cupon_cero!$1:$1,0)-1,COUNT(Curvas_cupon_cero!$A:$A)-2,1)),interpolar(E29,OFFSET(Curvas_cupon_cero!$A$1,1,0,COUNT(Curvas_cupon_cero!$A:$A)-2,1),OFFSET(Curvas_cupon_cero!$A$1,1,MATCH(Bono_M_Cupon_fijo_curva!$B$7,Curvas_cupon_cero!$1:$1,0)-1,COUNT(Curvas_cupon_cero!$A:$A)-2,1))))</f>
        <v/>
      </c>
      <c r="G29" s="19" t="str">
        <f>IF(A29="","",C29/(1+F29*$B$6/360)^(COUNT(A$16:A29)-($B$6-$D$16)/$B$6))</f>
        <v/>
      </c>
    </row>
    <row r="30" spans="1:9" x14ac:dyDescent="0.2">
      <c r="A30" s="12" t="str">
        <f t="shared" si="6"/>
        <v/>
      </c>
      <c r="B30" t="str">
        <f t="shared" si="0"/>
        <v/>
      </c>
      <c r="C30" s="17" t="str">
        <f t="shared" si="1"/>
        <v/>
      </c>
      <c r="D30" s="18" t="str">
        <f t="shared" si="2"/>
        <v/>
      </c>
      <c r="E30" t="str">
        <f t="shared" si="3"/>
        <v/>
      </c>
      <c r="F30" s="23" t="str">
        <f ca="1">IF(A30="","",IF($B$8="Sí",interpolar_alamb(E30,OFFSET(Curvas_cupon_cero!$A$1,1,0,COUNT(Curvas_cupon_cero!$A:$A)-2,1),OFFSET(Curvas_cupon_cero!$A$1,1,MATCH(Bono_M_Cupon_fijo_curva!$B$7,Curvas_cupon_cero!$1:$1,0)-1,COUNT(Curvas_cupon_cero!$A:$A)-2,1)),interpolar(E30,OFFSET(Curvas_cupon_cero!$A$1,1,0,COUNT(Curvas_cupon_cero!$A:$A)-2,1),OFFSET(Curvas_cupon_cero!$A$1,1,MATCH(Bono_M_Cupon_fijo_curva!$B$7,Curvas_cupon_cero!$1:$1,0)-1,COUNT(Curvas_cupon_cero!$A:$A)-2,1))))</f>
        <v/>
      </c>
      <c r="G30" s="19" t="str">
        <f>IF(A30="","",C30/(1+F30*$B$6/360)^(COUNT(A$16:A30)-($B$6-$D$16)/$B$6))</f>
        <v/>
      </c>
    </row>
    <row r="31" spans="1:9" x14ac:dyDescent="0.2">
      <c r="A31" s="12" t="str">
        <f t="shared" si="6"/>
        <v/>
      </c>
      <c r="B31" t="str">
        <f t="shared" si="0"/>
        <v/>
      </c>
      <c r="C31" s="17" t="str">
        <f t="shared" si="1"/>
        <v/>
      </c>
      <c r="D31" s="18" t="str">
        <f t="shared" si="2"/>
        <v/>
      </c>
      <c r="E31" t="str">
        <f t="shared" si="3"/>
        <v/>
      </c>
      <c r="F31" s="23" t="str">
        <f ca="1">IF(A31="","",IF($B$8="Sí",interpolar_alamb(E31,OFFSET(Curvas_cupon_cero!$A$1,1,0,COUNT(Curvas_cupon_cero!$A:$A)-2,1),OFFSET(Curvas_cupon_cero!$A$1,1,MATCH(Bono_M_Cupon_fijo_curva!$B$7,Curvas_cupon_cero!$1:$1,0)-1,COUNT(Curvas_cupon_cero!$A:$A)-2,1)),interpolar(E31,OFFSET(Curvas_cupon_cero!$A$1,1,0,COUNT(Curvas_cupon_cero!$A:$A)-2,1),OFFSET(Curvas_cupon_cero!$A$1,1,MATCH(Bono_M_Cupon_fijo_curva!$B$7,Curvas_cupon_cero!$1:$1,0)-1,COUNT(Curvas_cupon_cero!$A:$A)-2,1))))</f>
        <v/>
      </c>
      <c r="G31" s="19" t="str">
        <f>IF(A31="","",C31/(1+F31*$B$6/360)^(COUNT(A$16:A31)-($B$6-$D$16)/$B$6))</f>
        <v/>
      </c>
    </row>
    <row r="32" spans="1:9" x14ac:dyDescent="0.2">
      <c r="A32" s="12" t="str">
        <f t="shared" si="6"/>
        <v/>
      </c>
      <c r="B32" t="str">
        <f t="shared" si="0"/>
        <v/>
      </c>
      <c r="C32" s="17" t="str">
        <f t="shared" si="1"/>
        <v/>
      </c>
      <c r="D32" s="18" t="str">
        <f t="shared" si="2"/>
        <v/>
      </c>
      <c r="E32" t="str">
        <f t="shared" si="3"/>
        <v/>
      </c>
      <c r="F32" s="23" t="str">
        <f ca="1">IF(A32="","",IF($B$8="Sí",interpolar_alamb(E32,OFFSET(Curvas_cupon_cero!$A$1,1,0,COUNT(Curvas_cupon_cero!$A:$A)-2,1),OFFSET(Curvas_cupon_cero!$A$1,1,MATCH(Bono_M_Cupon_fijo_curva!$B$7,Curvas_cupon_cero!$1:$1,0)-1,COUNT(Curvas_cupon_cero!$A:$A)-2,1)),interpolar(E32,OFFSET(Curvas_cupon_cero!$A$1,1,0,COUNT(Curvas_cupon_cero!$A:$A)-2,1),OFFSET(Curvas_cupon_cero!$A$1,1,MATCH(Bono_M_Cupon_fijo_curva!$B$7,Curvas_cupon_cero!$1:$1,0)-1,COUNT(Curvas_cupon_cero!$A:$A)-2,1))))</f>
        <v/>
      </c>
      <c r="G32" s="19" t="str">
        <f>IF(A32="","",C32/(1+F32*$B$6/360)^(COUNT(A$16:A32)-($B$6-$D$16)/$B$6))</f>
        <v/>
      </c>
    </row>
    <row r="33" spans="1:7" x14ac:dyDescent="0.2">
      <c r="A33" s="12" t="str">
        <f t="shared" si="6"/>
        <v/>
      </c>
      <c r="B33" t="str">
        <f t="shared" si="0"/>
        <v/>
      </c>
      <c r="C33" s="17" t="str">
        <f t="shared" si="1"/>
        <v/>
      </c>
      <c r="D33" s="18" t="str">
        <f t="shared" si="2"/>
        <v/>
      </c>
      <c r="E33" t="str">
        <f t="shared" si="3"/>
        <v/>
      </c>
      <c r="F33" s="23" t="str">
        <f ca="1">IF(A33="","",IF($B$8="Sí",interpolar_alamb(E33,OFFSET(Curvas_cupon_cero!$A$1,1,0,COUNT(Curvas_cupon_cero!$A:$A)-2,1),OFFSET(Curvas_cupon_cero!$A$1,1,MATCH(Bono_M_Cupon_fijo_curva!$B$7,Curvas_cupon_cero!$1:$1,0)-1,COUNT(Curvas_cupon_cero!$A:$A)-2,1)),interpolar(E33,OFFSET(Curvas_cupon_cero!$A$1,1,0,COUNT(Curvas_cupon_cero!$A:$A)-2,1),OFFSET(Curvas_cupon_cero!$A$1,1,MATCH(Bono_M_Cupon_fijo_curva!$B$7,Curvas_cupon_cero!$1:$1,0)-1,COUNT(Curvas_cupon_cero!$A:$A)-2,1))))</f>
        <v/>
      </c>
      <c r="G33" s="19" t="str">
        <f>IF(A33="","",C33/(1+F33*$B$6/360)^(COUNT(A$16:A33)-($B$6-$D$16)/$B$6))</f>
        <v/>
      </c>
    </row>
    <row r="34" spans="1:7" x14ac:dyDescent="0.2">
      <c r="A34" s="12" t="str">
        <f t="shared" si="6"/>
        <v/>
      </c>
      <c r="B34" t="str">
        <f t="shared" si="0"/>
        <v/>
      </c>
      <c r="C34" s="17" t="str">
        <f t="shared" si="1"/>
        <v/>
      </c>
      <c r="D34" s="18" t="str">
        <f t="shared" si="2"/>
        <v/>
      </c>
      <c r="E34" t="str">
        <f t="shared" si="3"/>
        <v/>
      </c>
      <c r="F34" s="23" t="str">
        <f ca="1">IF(A34="","",IF($B$8="Sí",interpolar_alamb(E34,OFFSET(Curvas_cupon_cero!$A$1,1,0,COUNT(Curvas_cupon_cero!$A:$A)-2,1),OFFSET(Curvas_cupon_cero!$A$1,1,MATCH(Bono_M_Cupon_fijo_curva!$B$7,Curvas_cupon_cero!$1:$1,0)-1,COUNT(Curvas_cupon_cero!$A:$A)-2,1)),interpolar(E34,OFFSET(Curvas_cupon_cero!$A$1,1,0,COUNT(Curvas_cupon_cero!$A:$A)-2,1),OFFSET(Curvas_cupon_cero!$A$1,1,MATCH(Bono_M_Cupon_fijo_curva!$B$7,Curvas_cupon_cero!$1:$1,0)-1,COUNT(Curvas_cupon_cero!$A:$A)-2,1))))</f>
        <v/>
      </c>
      <c r="G34" s="19" t="str">
        <f>IF(A34="","",C34/(1+F34*$B$6/360)^(COUNT(A$16:A34)-($B$6-$D$16)/$B$6))</f>
        <v/>
      </c>
    </row>
    <row r="35" spans="1:7" x14ac:dyDescent="0.2">
      <c r="A35" s="12" t="str">
        <f t="shared" si="6"/>
        <v/>
      </c>
      <c r="B35" t="str">
        <f t="shared" si="0"/>
        <v/>
      </c>
      <c r="C35" s="17" t="str">
        <f t="shared" si="1"/>
        <v/>
      </c>
      <c r="D35" s="18" t="str">
        <f t="shared" si="2"/>
        <v/>
      </c>
      <c r="E35" t="str">
        <f t="shared" si="3"/>
        <v/>
      </c>
      <c r="F35" s="23" t="str">
        <f ca="1">IF(A35="","",IF($B$8="Sí",interpolar_alamb(E35,OFFSET(Curvas_cupon_cero!$A$1,1,0,COUNT(Curvas_cupon_cero!$A:$A)-2,1),OFFSET(Curvas_cupon_cero!$A$1,1,MATCH(Bono_M_Cupon_fijo_curva!$B$7,Curvas_cupon_cero!$1:$1,0)-1,COUNT(Curvas_cupon_cero!$A:$A)-2,1)),interpolar(E35,OFFSET(Curvas_cupon_cero!$A$1,1,0,COUNT(Curvas_cupon_cero!$A:$A)-2,1),OFFSET(Curvas_cupon_cero!$A$1,1,MATCH(Bono_M_Cupon_fijo_curva!$B$7,Curvas_cupon_cero!$1:$1,0)-1,COUNT(Curvas_cupon_cero!$A:$A)-2,1))))</f>
        <v/>
      </c>
      <c r="G35" s="19" t="str">
        <f>IF(A35="","",C35/(1+F35*$B$6/360)^(COUNT(A$16:A35)-($B$6-$D$16)/$B$6))</f>
        <v/>
      </c>
    </row>
    <row r="36" spans="1:7" x14ac:dyDescent="0.2">
      <c r="A36" s="12" t="str">
        <f t="shared" si="6"/>
        <v/>
      </c>
      <c r="B36" t="str">
        <f t="shared" si="0"/>
        <v/>
      </c>
      <c r="C36" s="17" t="str">
        <f t="shared" si="1"/>
        <v/>
      </c>
      <c r="D36" s="18" t="str">
        <f t="shared" si="2"/>
        <v/>
      </c>
      <c r="E36" t="str">
        <f t="shared" si="3"/>
        <v/>
      </c>
      <c r="F36" s="23" t="str">
        <f ca="1">IF(A36="","",IF($B$8="Sí",interpolar_alamb(E36,OFFSET(Curvas_cupon_cero!$A$1,1,0,COUNT(Curvas_cupon_cero!$A:$A)-2,1),OFFSET(Curvas_cupon_cero!$A$1,1,MATCH(Bono_M_Cupon_fijo_curva!$B$7,Curvas_cupon_cero!$1:$1,0)-1,COUNT(Curvas_cupon_cero!$A:$A)-2,1)),interpolar(E36,OFFSET(Curvas_cupon_cero!$A$1,1,0,COUNT(Curvas_cupon_cero!$A:$A)-2,1),OFFSET(Curvas_cupon_cero!$A$1,1,MATCH(Bono_M_Cupon_fijo_curva!$B$7,Curvas_cupon_cero!$1:$1,0)-1,COUNT(Curvas_cupon_cero!$A:$A)-2,1))))</f>
        <v/>
      </c>
      <c r="G36" s="19" t="str">
        <f>IF(A36="","",C36/(1+F36*$B$6/360)^(COUNT(A$16:A36)-($B$6-$D$16)/$B$6))</f>
        <v/>
      </c>
    </row>
    <row r="37" spans="1:7" x14ac:dyDescent="0.2">
      <c r="A37" s="12" t="str">
        <f t="shared" si="6"/>
        <v/>
      </c>
      <c r="B37" t="str">
        <f t="shared" si="0"/>
        <v/>
      </c>
      <c r="C37" s="17" t="str">
        <f t="shared" si="1"/>
        <v/>
      </c>
      <c r="D37" s="18" t="str">
        <f t="shared" si="2"/>
        <v/>
      </c>
      <c r="E37" t="str">
        <f t="shared" si="3"/>
        <v/>
      </c>
      <c r="F37" s="23" t="str">
        <f ca="1">IF(A37="","",IF($B$8="Sí",interpolar_alamb(E37,OFFSET(Curvas_cupon_cero!$A$1,1,0,COUNT(Curvas_cupon_cero!$A:$A)-2,1),OFFSET(Curvas_cupon_cero!$A$1,1,MATCH(Bono_M_Cupon_fijo_curva!$B$7,Curvas_cupon_cero!$1:$1,0)-1,COUNT(Curvas_cupon_cero!$A:$A)-2,1)),interpolar(E37,OFFSET(Curvas_cupon_cero!$A$1,1,0,COUNT(Curvas_cupon_cero!$A:$A)-2,1),OFFSET(Curvas_cupon_cero!$A$1,1,MATCH(Bono_M_Cupon_fijo_curva!$B$7,Curvas_cupon_cero!$1:$1,0)-1,COUNT(Curvas_cupon_cero!$A:$A)-2,1))))</f>
        <v/>
      </c>
      <c r="G37" s="19" t="str">
        <f>IF(A37="","",C37/(1+F37*$B$6/360)^(COUNT(A$16:A37)-($B$6-$D$16)/$B$6))</f>
        <v/>
      </c>
    </row>
    <row r="38" spans="1:7" x14ac:dyDescent="0.2">
      <c r="A38" s="12" t="str">
        <f t="shared" si="6"/>
        <v/>
      </c>
      <c r="B38" t="str">
        <f t="shared" si="0"/>
        <v/>
      </c>
      <c r="C38" s="17" t="str">
        <f t="shared" si="1"/>
        <v/>
      </c>
      <c r="D38" s="18" t="str">
        <f t="shared" si="2"/>
        <v/>
      </c>
      <c r="E38" t="str">
        <f t="shared" si="3"/>
        <v/>
      </c>
      <c r="F38" s="23" t="str">
        <f ca="1">IF(A38="","",IF($B$8="Sí",interpolar_alamb(E38,OFFSET(Curvas_cupon_cero!$A$1,1,0,COUNT(Curvas_cupon_cero!$A:$A)-2,1),OFFSET(Curvas_cupon_cero!$A$1,1,MATCH(Bono_M_Cupon_fijo_curva!$B$7,Curvas_cupon_cero!$1:$1,0)-1,COUNT(Curvas_cupon_cero!$A:$A)-2,1)),interpolar(E38,OFFSET(Curvas_cupon_cero!$A$1,1,0,COUNT(Curvas_cupon_cero!$A:$A)-2,1),OFFSET(Curvas_cupon_cero!$A$1,1,MATCH(Bono_M_Cupon_fijo_curva!$B$7,Curvas_cupon_cero!$1:$1,0)-1,COUNT(Curvas_cupon_cero!$A:$A)-2,1))))</f>
        <v/>
      </c>
      <c r="G38" s="19" t="str">
        <f>IF(A38="","",C38/(1+F38*$B$6/360)^(COUNT(A$16:A38)-($B$6-$D$16)/$B$6))</f>
        <v/>
      </c>
    </row>
    <row r="39" spans="1:7" x14ac:dyDescent="0.2">
      <c r="A39" s="12" t="str">
        <f t="shared" si="6"/>
        <v/>
      </c>
      <c r="B39" t="str">
        <f t="shared" si="0"/>
        <v/>
      </c>
      <c r="C39" s="17" t="str">
        <f t="shared" si="1"/>
        <v/>
      </c>
      <c r="D39" s="18" t="str">
        <f t="shared" si="2"/>
        <v/>
      </c>
      <c r="E39" t="str">
        <f t="shared" si="3"/>
        <v/>
      </c>
      <c r="F39" s="23" t="str">
        <f ca="1">IF(A39="","",IF($B$8="Sí",interpolar_alamb(E39,OFFSET(Curvas_cupon_cero!$A$1,1,0,COUNT(Curvas_cupon_cero!$A:$A)-2,1),OFFSET(Curvas_cupon_cero!$A$1,1,MATCH(Bono_M_Cupon_fijo_curva!$B$7,Curvas_cupon_cero!$1:$1,0)-1,COUNT(Curvas_cupon_cero!$A:$A)-2,1)),interpolar(E39,OFFSET(Curvas_cupon_cero!$A$1,1,0,COUNT(Curvas_cupon_cero!$A:$A)-2,1),OFFSET(Curvas_cupon_cero!$A$1,1,MATCH(Bono_M_Cupon_fijo_curva!$B$7,Curvas_cupon_cero!$1:$1,0)-1,COUNT(Curvas_cupon_cero!$A:$A)-2,1))))</f>
        <v/>
      </c>
      <c r="G39" s="19" t="str">
        <f>IF(A39="","",C39/(1+F39*$B$6/360)^(COUNT(A$16:A39)-($B$6-$D$16)/$B$6))</f>
        <v/>
      </c>
    </row>
    <row r="40" spans="1:7" x14ac:dyDescent="0.2">
      <c r="A40" s="12" t="str">
        <f t="shared" si="6"/>
        <v/>
      </c>
      <c r="B40" t="str">
        <f t="shared" si="0"/>
        <v/>
      </c>
      <c r="C40" s="17" t="str">
        <f t="shared" si="1"/>
        <v/>
      </c>
      <c r="D40" s="18" t="str">
        <f t="shared" si="2"/>
        <v/>
      </c>
      <c r="E40" t="str">
        <f t="shared" si="3"/>
        <v/>
      </c>
      <c r="F40" s="23" t="str">
        <f ca="1">IF(A40="","",IF($B$8="Sí",interpolar_alamb(E40,OFFSET(Curvas_cupon_cero!$A$1,1,0,COUNT(Curvas_cupon_cero!$A:$A)-2,1),OFFSET(Curvas_cupon_cero!$A$1,1,MATCH(Bono_M_Cupon_fijo_curva!$B$7,Curvas_cupon_cero!$1:$1,0)-1,COUNT(Curvas_cupon_cero!$A:$A)-2,1)),interpolar(E40,OFFSET(Curvas_cupon_cero!$A$1,1,0,COUNT(Curvas_cupon_cero!$A:$A)-2,1),OFFSET(Curvas_cupon_cero!$A$1,1,MATCH(Bono_M_Cupon_fijo_curva!$B$7,Curvas_cupon_cero!$1:$1,0)-1,COUNT(Curvas_cupon_cero!$A:$A)-2,1))))</f>
        <v/>
      </c>
      <c r="G40" s="19" t="str">
        <f>IF(A40="","",C40/(1+F40*$B$6/360)^(COUNT(A$16:A40)-($B$6-$D$16)/$B$6))</f>
        <v/>
      </c>
    </row>
    <row r="41" spans="1:7" x14ac:dyDescent="0.2">
      <c r="A41" s="12" t="str">
        <f t="shared" si="6"/>
        <v/>
      </c>
      <c r="B41" t="str">
        <f t="shared" si="0"/>
        <v/>
      </c>
      <c r="C41" s="17" t="str">
        <f t="shared" si="1"/>
        <v/>
      </c>
      <c r="D41" s="18" t="str">
        <f t="shared" si="2"/>
        <v/>
      </c>
      <c r="E41" t="str">
        <f t="shared" si="3"/>
        <v/>
      </c>
      <c r="F41" s="23" t="str">
        <f ca="1">IF(A41="","",IF($B$8="Sí",interpolar_alamb(E41,OFFSET(Curvas_cupon_cero!$A$1,1,0,COUNT(Curvas_cupon_cero!$A:$A)-2,1),OFFSET(Curvas_cupon_cero!$A$1,1,MATCH(Bono_M_Cupon_fijo_curva!$B$7,Curvas_cupon_cero!$1:$1,0)-1,COUNT(Curvas_cupon_cero!$A:$A)-2,1)),interpolar(E41,OFFSET(Curvas_cupon_cero!$A$1,1,0,COUNT(Curvas_cupon_cero!$A:$A)-2,1),OFFSET(Curvas_cupon_cero!$A$1,1,MATCH(Bono_M_Cupon_fijo_curva!$B$7,Curvas_cupon_cero!$1:$1,0)-1,COUNT(Curvas_cupon_cero!$A:$A)-2,1))))</f>
        <v/>
      </c>
      <c r="G41" s="19" t="str">
        <f>IF(A41="","",C41/(1+F41*$B$6/360)^(COUNT(A$16:A41)-($B$6-$D$16)/$B$6))</f>
        <v/>
      </c>
    </row>
    <row r="42" spans="1:7" x14ac:dyDescent="0.2">
      <c r="A42" s="12" t="str">
        <f t="shared" si="6"/>
        <v/>
      </c>
      <c r="B42" t="str">
        <f t="shared" si="0"/>
        <v/>
      </c>
      <c r="C42" s="17" t="str">
        <f t="shared" si="1"/>
        <v/>
      </c>
      <c r="D42" s="18" t="str">
        <f t="shared" si="2"/>
        <v/>
      </c>
      <c r="E42" t="str">
        <f t="shared" si="3"/>
        <v/>
      </c>
      <c r="F42" s="23" t="str">
        <f ca="1">IF(A42="","",IF($B$8="Sí",interpolar_alamb(E42,OFFSET(Curvas_cupon_cero!$A$1,1,0,COUNT(Curvas_cupon_cero!$A:$A)-2,1),OFFSET(Curvas_cupon_cero!$A$1,1,MATCH(Bono_M_Cupon_fijo_curva!$B$7,Curvas_cupon_cero!$1:$1,0)-1,COUNT(Curvas_cupon_cero!$A:$A)-2,1)),interpolar(E42,OFFSET(Curvas_cupon_cero!$A$1,1,0,COUNT(Curvas_cupon_cero!$A:$A)-2,1),OFFSET(Curvas_cupon_cero!$A$1,1,MATCH(Bono_M_Cupon_fijo_curva!$B$7,Curvas_cupon_cero!$1:$1,0)-1,COUNT(Curvas_cupon_cero!$A:$A)-2,1))))</f>
        <v/>
      </c>
      <c r="G42" s="19" t="str">
        <f>IF(A42="","",C42/(1+F42*$B$6/360)^(COUNT(A$16:A42)-($B$6-$D$16)/$B$6))</f>
        <v/>
      </c>
    </row>
    <row r="43" spans="1:7" x14ac:dyDescent="0.2">
      <c r="A43" s="12" t="str">
        <f t="shared" si="6"/>
        <v/>
      </c>
      <c r="B43" t="str">
        <f t="shared" si="0"/>
        <v/>
      </c>
      <c r="C43" s="17" t="str">
        <f t="shared" si="1"/>
        <v/>
      </c>
      <c r="D43" s="18" t="str">
        <f t="shared" si="2"/>
        <v/>
      </c>
      <c r="E43" t="str">
        <f t="shared" si="3"/>
        <v/>
      </c>
      <c r="F43" s="23" t="str">
        <f ca="1">IF(A43="","",IF($B$8="Sí",interpolar_alamb(E43,OFFSET(Curvas_cupon_cero!$A$1,1,0,COUNT(Curvas_cupon_cero!$A:$A)-2,1),OFFSET(Curvas_cupon_cero!$A$1,1,MATCH(Bono_M_Cupon_fijo_curva!$B$7,Curvas_cupon_cero!$1:$1,0)-1,COUNT(Curvas_cupon_cero!$A:$A)-2,1)),interpolar(E43,OFFSET(Curvas_cupon_cero!$A$1,1,0,COUNT(Curvas_cupon_cero!$A:$A)-2,1),OFFSET(Curvas_cupon_cero!$A$1,1,MATCH(Bono_M_Cupon_fijo_curva!$B$7,Curvas_cupon_cero!$1:$1,0)-1,COUNT(Curvas_cupon_cero!$A:$A)-2,1))))</f>
        <v/>
      </c>
      <c r="G43" s="19" t="str">
        <f>IF(A43="","",C43/(1+F43*$B$6/360)^(COUNT(A$16:A43)-($B$6-$D$16)/$B$6))</f>
        <v/>
      </c>
    </row>
    <row r="44" spans="1:7" x14ac:dyDescent="0.2">
      <c r="A44" s="12" t="str">
        <f t="shared" si="6"/>
        <v/>
      </c>
      <c r="B44" t="str">
        <f t="shared" si="0"/>
        <v/>
      </c>
      <c r="C44" s="17" t="str">
        <f t="shared" si="1"/>
        <v/>
      </c>
      <c r="D44" s="18" t="str">
        <f t="shared" si="2"/>
        <v/>
      </c>
      <c r="E44" t="str">
        <f t="shared" si="3"/>
        <v/>
      </c>
      <c r="F44" s="23" t="str">
        <f ca="1">IF(A44="","",IF($B$8="Sí",interpolar_alamb(E44,OFFSET(Curvas_cupon_cero!$A$1,1,0,COUNT(Curvas_cupon_cero!$A:$A)-2,1),OFFSET(Curvas_cupon_cero!$A$1,1,MATCH(Bono_M_Cupon_fijo_curva!$B$7,Curvas_cupon_cero!$1:$1,0)-1,COUNT(Curvas_cupon_cero!$A:$A)-2,1)),interpolar(E44,OFFSET(Curvas_cupon_cero!$A$1,1,0,COUNT(Curvas_cupon_cero!$A:$A)-2,1),OFFSET(Curvas_cupon_cero!$A$1,1,MATCH(Bono_M_Cupon_fijo_curva!$B$7,Curvas_cupon_cero!$1:$1,0)-1,COUNT(Curvas_cupon_cero!$A:$A)-2,1))))</f>
        <v/>
      </c>
      <c r="G44" s="19" t="str">
        <f>IF(A44="","",C44/(1+F44*$B$6/360)^(COUNT(A$16:A44)-($B$6-$D$16)/$B$6))</f>
        <v/>
      </c>
    </row>
    <row r="45" spans="1:7" x14ac:dyDescent="0.2">
      <c r="A45" s="12" t="str">
        <f t="shared" si="6"/>
        <v/>
      </c>
      <c r="B45" t="str">
        <f t="shared" si="0"/>
        <v/>
      </c>
      <c r="C45" s="17" t="str">
        <f t="shared" si="1"/>
        <v/>
      </c>
      <c r="D45" s="18" t="str">
        <f t="shared" si="2"/>
        <v/>
      </c>
      <c r="E45" t="str">
        <f t="shared" si="3"/>
        <v/>
      </c>
      <c r="F45" s="23" t="str">
        <f ca="1">IF(A45="","",IF($B$8="Sí",interpolar_alamb(E45,OFFSET(Curvas_cupon_cero!$A$1,1,0,COUNT(Curvas_cupon_cero!$A:$A)-2,1),OFFSET(Curvas_cupon_cero!$A$1,1,MATCH(Bono_M_Cupon_fijo_curva!$B$7,Curvas_cupon_cero!$1:$1,0)-1,COUNT(Curvas_cupon_cero!$A:$A)-2,1)),interpolar(E45,OFFSET(Curvas_cupon_cero!$A$1,1,0,COUNT(Curvas_cupon_cero!$A:$A)-2,1),OFFSET(Curvas_cupon_cero!$A$1,1,MATCH(Bono_M_Cupon_fijo_curva!$B$7,Curvas_cupon_cero!$1:$1,0)-1,COUNT(Curvas_cupon_cero!$A:$A)-2,1))))</f>
        <v/>
      </c>
      <c r="G45" s="19" t="str">
        <f>IF(A45="","",C45/(1+F45*$B$6/360)^(COUNT(A$16:A45)-($B$6-$D$16)/$B$6))</f>
        <v/>
      </c>
    </row>
    <row r="46" spans="1:7" x14ac:dyDescent="0.2">
      <c r="A46" s="12" t="str">
        <f t="shared" si="6"/>
        <v/>
      </c>
      <c r="B46" t="str">
        <f t="shared" si="0"/>
        <v/>
      </c>
      <c r="C46" s="17" t="str">
        <f t="shared" si="1"/>
        <v/>
      </c>
      <c r="D46" s="18" t="str">
        <f t="shared" si="2"/>
        <v/>
      </c>
      <c r="E46" t="str">
        <f t="shared" si="3"/>
        <v/>
      </c>
      <c r="F46" s="23" t="str">
        <f ca="1">IF(A46="","",IF($B$8="Sí",interpolar_alamb(E46,OFFSET(Curvas_cupon_cero!$A$1,1,0,COUNT(Curvas_cupon_cero!$A:$A)-2,1),OFFSET(Curvas_cupon_cero!$A$1,1,MATCH(Bono_M_Cupon_fijo_curva!$B$7,Curvas_cupon_cero!$1:$1,0)-1,COUNT(Curvas_cupon_cero!$A:$A)-2,1)),interpolar(E46,OFFSET(Curvas_cupon_cero!$A$1,1,0,COUNT(Curvas_cupon_cero!$A:$A)-2,1),OFFSET(Curvas_cupon_cero!$A$1,1,MATCH(Bono_M_Cupon_fijo_curva!$B$7,Curvas_cupon_cero!$1:$1,0)-1,COUNT(Curvas_cupon_cero!$A:$A)-2,1))))</f>
        <v/>
      </c>
      <c r="G46" s="19" t="str">
        <f>IF(A46="","",C46/(1+F46*$B$6/360)^(COUNT(A$16:A46)-($B$6-$D$16)/$B$6))</f>
        <v/>
      </c>
    </row>
    <row r="47" spans="1:7" x14ac:dyDescent="0.2">
      <c r="A47" s="12" t="str">
        <f t="shared" si="6"/>
        <v/>
      </c>
      <c r="B47" t="str">
        <f t="shared" si="0"/>
        <v/>
      </c>
      <c r="C47" s="17" t="str">
        <f t="shared" si="1"/>
        <v/>
      </c>
      <c r="D47" s="18" t="str">
        <f t="shared" si="2"/>
        <v/>
      </c>
      <c r="E47" t="str">
        <f t="shared" si="3"/>
        <v/>
      </c>
      <c r="F47" s="23" t="str">
        <f ca="1">IF(A47="","",IF($B$8="Sí",interpolar_alamb(E47,OFFSET(Curvas_cupon_cero!$A$1,1,0,COUNT(Curvas_cupon_cero!$A:$A)-2,1),OFFSET(Curvas_cupon_cero!$A$1,1,MATCH(Bono_M_Cupon_fijo_curva!$B$7,Curvas_cupon_cero!$1:$1,0)-1,COUNT(Curvas_cupon_cero!$A:$A)-2,1)),interpolar(E47,OFFSET(Curvas_cupon_cero!$A$1,1,0,COUNT(Curvas_cupon_cero!$A:$A)-2,1),OFFSET(Curvas_cupon_cero!$A$1,1,MATCH(Bono_M_Cupon_fijo_curva!$B$7,Curvas_cupon_cero!$1:$1,0)-1,COUNT(Curvas_cupon_cero!$A:$A)-2,1))))</f>
        <v/>
      </c>
      <c r="G47" s="19" t="str">
        <f>IF(A47="","",C47/(1+F47*$B$6/360)^(COUNT(A$16:A47)-($B$6-$D$16)/$B$6))</f>
        <v/>
      </c>
    </row>
    <row r="48" spans="1:7" x14ac:dyDescent="0.2">
      <c r="A48" s="12" t="str">
        <f t="shared" si="6"/>
        <v/>
      </c>
      <c r="B48" t="str">
        <f t="shared" si="0"/>
        <v/>
      </c>
      <c r="C48" s="17" t="str">
        <f t="shared" si="1"/>
        <v/>
      </c>
      <c r="D48" s="18" t="str">
        <f t="shared" si="2"/>
        <v/>
      </c>
      <c r="E48" t="str">
        <f t="shared" si="3"/>
        <v/>
      </c>
      <c r="F48" s="23" t="str">
        <f ca="1">IF(A48="","",IF($B$8="Sí",interpolar_alamb(E48,OFFSET(Curvas_cupon_cero!$A$1,1,0,COUNT(Curvas_cupon_cero!$A:$A)-2,1),OFFSET(Curvas_cupon_cero!$A$1,1,MATCH(Bono_M_Cupon_fijo_curva!$B$7,Curvas_cupon_cero!$1:$1,0)-1,COUNT(Curvas_cupon_cero!$A:$A)-2,1)),interpolar(E48,OFFSET(Curvas_cupon_cero!$A$1,1,0,COUNT(Curvas_cupon_cero!$A:$A)-2,1),OFFSET(Curvas_cupon_cero!$A$1,1,MATCH(Bono_M_Cupon_fijo_curva!$B$7,Curvas_cupon_cero!$1:$1,0)-1,COUNT(Curvas_cupon_cero!$A:$A)-2,1))))</f>
        <v/>
      </c>
      <c r="G48" s="19" t="str">
        <f>IF(A48="","",C48/(1+F48*$B$6/360)^(COUNT(A$16:A48)-($B$6-$D$16)/$B$6))</f>
        <v/>
      </c>
    </row>
    <row r="49" spans="1:7" x14ac:dyDescent="0.2">
      <c r="A49" s="12" t="str">
        <f t="shared" si="6"/>
        <v/>
      </c>
      <c r="B49" t="str">
        <f t="shared" si="0"/>
        <v/>
      </c>
      <c r="C49" s="17" t="str">
        <f t="shared" si="1"/>
        <v/>
      </c>
      <c r="D49" s="18" t="str">
        <f t="shared" si="2"/>
        <v/>
      </c>
      <c r="E49" t="str">
        <f t="shared" si="3"/>
        <v/>
      </c>
      <c r="F49" s="23" t="str">
        <f ca="1">IF(A49="","",IF($B$8="Sí",interpolar_alamb(E49,OFFSET(Curvas_cupon_cero!$A$1,1,0,COUNT(Curvas_cupon_cero!$A:$A)-2,1),OFFSET(Curvas_cupon_cero!$A$1,1,MATCH(Bono_M_Cupon_fijo_curva!$B$7,Curvas_cupon_cero!$1:$1,0)-1,COUNT(Curvas_cupon_cero!$A:$A)-2,1)),interpolar(E49,OFFSET(Curvas_cupon_cero!$A$1,1,0,COUNT(Curvas_cupon_cero!$A:$A)-2,1),OFFSET(Curvas_cupon_cero!$A$1,1,MATCH(Bono_M_Cupon_fijo_curva!$B$7,Curvas_cupon_cero!$1:$1,0)-1,COUNT(Curvas_cupon_cero!$A:$A)-2,1))))</f>
        <v/>
      </c>
      <c r="G49" s="19" t="str">
        <f>IF(A49="","",C49/(1+F49*$B$6/360)^(COUNT(A$16:A49)-($B$6-$D$16)/$B$6))</f>
        <v/>
      </c>
    </row>
    <row r="50" spans="1:7" x14ac:dyDescent="0.2">
      <c r="A50" s="12" t="str">
        <f t="shared" si="6"/>
        <v/>
      </c>
      <c r="B50" t="str">
        <f t="shared" si="0"/>
        <v/>
      </c>
      <c r="C50" s="17" t="str">
        <f t="shared" si="1"/>
        <v/>
      </c>
      <c r="D50" s="18" t="str">
        <f t="shared" si="2"/>
        <v/>
      </c>
      <c r="E50" t="str">
        <f t="shared" si="3"/>
        <v/>
      </c>
      <c r="F50" s="23" t="str">
        <f ca="1">IF(A50="","",IF($B$8="Sí",interpolar_alamb(E50,OFFSET(Curvas_cupon_cero!$A$1,1,0,COUNT(Curvas_cupon_cero!$A:$A)-2,1),OFFSET(Curvas_cupon_cero!$A$1,1,MATCH(Bono_M_Cupon_fijo_curva!$B$7,Curvas_cupon_cero!$1:$1,0)-1,COUNT(Curvas_cupon_cero!$A:$A)-2,1)),interpolar(E50,OFFSET(Curvas_cupon_cero!$A$1,1,0,COUNT(Curvas_cupon_cero!$A:$A)-2,1),OFFSET(Curvas_cupon_cero!$A$1,1,MATCH(Bono_M_Cupon_fijo_curva!$B$7,Curvas_cupon_cero!$1:$1,0)-1,COUNT(Curvas_cupon_cero!$A:$A)-2,1))))</f>
        <v/>
      </c>
      <c r="G50" s="19" t="str">
        <f>IF(A50="","",C50/(1+F50*$B$6/360)^(COUNT(A$16:A50)-($B$6-$D$16)/$B$6))</f>
        <v/>
      </c>
    </row>
    <row r="51" spans="1:7" x14ac:dyDescent="0.2">
      <c r="A51" s="12" t="str">
        <f t="shared" si="6"/>
        <v/>
      </c>
      <c r="B51" t="str">
        <f t="shared" si="0"/>
        <v/>
      </c>
      <c r="C51" s="17" t="str">
        <f t="shared" si="1"/>
        <v/>
      </c>
      <c r="D51" s="18" t="str">
        <f t="shared" si="2"/>
        <v/>
      </c>
      <c r="E51" t="str">
        <f t="shared" si="3"/>
        <v/>
      </c>
      <c r="F51" s="23" t="str">
        <f ca="1">IF(A51="","",IF($B$8="Sí",interpolar_alamb(E51,OFFSET(Curvas_cupon_cero!$A$1,1,0,COUNT(Curvas_cupon_cero!$A:$A)-2,1),OFFSET(Curvas_cupon_cero!$A$1,1,MATCH(Bono_M_Cupon_fijo_curva!$B$7,Curvas_cupon_cero!$1:$1,0)-1,COUNT(Curvas_cupon_cero!$A:$A)-2,1)),interpolar(E51,OFFSET(Curvas_cupon_cero!$A$1,1,0,COUNT(Curvas_cupon_cero!$A:$A)-2,1),OFFSET(Curvas_cupon_cero!$A$1,1,MATCH(Bono_M_Cupon_fijo_curva!$B$7,Curvas_cupon_cero!$1:$1,0)-1,COUNT(Curvas_cupon_cero!$A:$A)-2,1))))</f>
        <v/>
      </c>
      <c r="G51" s="19" t="str">
        <f>IF(A51="","",C51/(1+F51*$B$6/360)^(COUNT(A$16:A51)-($B$6-$D$16)/$B$6))</f>
        <v/>
      </c>
    </row>
    <row r="52" spans="1:7" x14ac:dyDescent="0.2">
      <c r="A52" s="12" t="str">
        <f t="shared" si="6"/>
        <v/>
      </c>
      <c r="B52" t="str">
        <f t="shared" si="0"/>
        <v/>
      </c>
      <c r="C52" s="17" t="str">
        <f t="shared" si="1"/>
        <v/>
      </c>
      <c r="D52" s="18" t="str">
        <f t="shared" si="2"/>
        <v/>
      </c>
      <c r="E52" t="str">
        <f t="shared" si="3"/>
        <v/>
      </c>
      <c r="F52" s="23" t="str">
        <f ca="1">IF(A52="","",IF($B$8="Sí",interpolar_alamb(E52,OFFSET(Curvas_cupon_cero!$A$1,1,0,COUNT(Curvas_cupon_cero!$A:$A)-2,1),OFFSET(Curvas_cupon_cero!$A$1,1,MATCH(Bono_M_Cupon_fijo_curva!$B$7,Curvas_cupon_cero!$1:$1,0)-1,COUNT(Curvas_cupon_cero!$A:$A)-2,1)),interpolar(E52,OFFSET(Curvas_cupon_cero!$A$1,1,0,COUNT(Curvas_cupon_cero!$A:$A)-2,1),OFFSET(Curvas_cupon_cero!$A$1,1,MATCH(Bono_M_Cupon_fijo_curva!$B$7,Curvas_cupon_cero!$1:$1,0)-1,COUNT(Curvas_cupon_cero!$A:$A)-2,1))))</f>
        <v/>
      </c>
      <c r="G52" s="19" t="str">
        <f>IF(A52="","",C52/(1+F52*$B$6/360)^(COUNT(A$16:A52)-($B$6-$D$16)/$B$6))</f>
        <v/>
      </c>
    </row>
    <row r="53" spans="1:7" x14ac:dyDescent="0.2">
      <c r="A53" s="12" t="str">
        <f t="shared" si="6"/>
        <v/>
      </c>
      <c r="B53" t="str">
        <f t="shared" si="0"/>
        <v/>
      </c>
      <c r="C53" s="17" t="str">
        <f t="shared" si="1"/>
        <v/>
      </c>
      <c r="D53" s="18" t="str">
        <f t="shared" si="2"/>
        <v/>
      </c>
      <c r="E53" t="str">
        <f t="shared" si="3"/>
        <v/>
      </c>
      <c r="F53" s="23" t="str">
        <f ca="1">IF(A53="","",IF($B$8="Sí",interpolar_alamb(E53,OFFSET(Curvas_cupon_cero!$A$1,1,0,COUNT(Curvas_cupon_cero!$A:$A)-2,1),OFFSET(Curvas_cupon_cero!$A$1,1,MATCH(Bono_M_Cupon_fijo_curva!$B$7,Curvas_cupon_cero!$1:$1,0)-1,COUNT(Curvas_cupon_cero!$A:$A)-2,1)),interpolar(E53,OFFSET(Curvas_cupon_cero!$A$1,1,0,COUNT(Curvas_cupon_cero!$A:$A)-2,1),OFFSET(Curvas_cupon_cero!$A$1,1,MATCH(Bono_M_Cupon_fijo_curva!$B$7,Curvas_cupon_cero!$1:$1,0)-1,COUNT(Curvas_cupon_cero!$A:$A)-2,1))))</f>
        <v/>
      </c>
      <c r="G53" s="19" t="str">
        <f>IF(A53="","",C53/(1+F53*$B$6/360)^(COUNT(A$16:A53)-($B$6-$D$16)/$B$6))</f>
        <v/>
      </c>
    </row>
    <row r="54" spans="1:7" x14ac:dyDescent="0.2">
      <c r="A54" s="12" t="str">
        <f t="shared" si="6"/>
        <v/>
      </c>
      <c r="B54" t="str">
        <f t="shared" si="0"/>
        <v/>
      </c>
      <c r="C54" s="17" t="str">
        <f t="shared" si="1"/>
        <v/>
      </c>
      <c r="D54" s="18" t="str">
        <f t="shared" si="2"/>
        <v/>
      </c>
      <c r="E54" t="str">
        <f t="shared" si="3"/>
        <v/>
      </c>
      <c r="F54" s="23" t="str">
        <f ca="1">IF(A54="","",IF($B$8="Sí",interpolar_alamb(E54,OFFSET(Curvas_cupon_cero!$A$1,1,0,COUNT(Curvas_cupon_cero!$A:$A)-2,1),OFFSET(Curvas_cupon_cero!$A$1,1,MATCH(Bono_M_Cupon_fijo_curva!$B$7,Curvas_cupon_cero!$1:$1,0)-1,COUNT(Curvas_cupon_cero!$A:$A)-2,1)),interpolar(E54,OFFSET(Curvas_cupon_cero!$A$1,1,0,COUNT(Curvas_cupon_cero!$A:$A)-2,1),OFFSET(Curvas_cupon_cero!$A$1,1,MATCH(Bono_M_Cupon_fijo_curva!$B$7,Curvas_cupon_cero!$1:$1,0)-1,COUNT(Curvas_cupon_cero!$A:$A)-2,1))))</f>
        <v/>
      </c>
      <c r="G54" s="19" t="str">
        <f>IF(A54="","",C54/(1+F54*$B$6/360)^(COUNT(A$16:A54)-($B$6-$D$16)/$B$6))</f>
        <v/>
      </c>
    </row>
    <row r="55" spans="1:7" x14ac:dyDescent="0.2">
      <c r="A55" s="12" t="str">
        <f t="shared" si="6"/>
        <v/>
      </c>
      <c r="B55" t="str">
        <f t="shared" si="0"/>
        <v/>
      </c>
      <c r="C55" s="17" t="str">
        <f t="shared" si="1"/>
        <v/>
      </c>
      <c r="D55" s="18" t="str">
        <f t="shared" si="2"/>
        <v/>
      </c>
      <c r="E55" t="str">
        <f t="shared" si="3"/>
        <v/>
      </c>
      <c r="F55" s="23" t="str">
        <f ca="1">IF(A55="","",IF($B$8="Sí",interpolar_alamb(E55,OFFSET(Curvas_cupon_cero!$A$1,1,0,COUNT(Curvas_cupon_cero!$A:$A)-2,1),OFFSET(Curvas_cupon_cero!$A$1,1,MATCH(Bono_M_Cupon_fijo_curva!$B$7,Curvas_cupon_cero!$1:$1,0)-1,COUNT(Curvas_cupon_cero!$A:$A)-2,1)),interpolar(E55,OFFSET(Curvas_cupon_cero!$A$1,1,0,COUNT(Curvas_cupon_cero!$A:$A)-2,1),OFFSET(Curvas_cupon_cero!$A$1,1,MATCH(Bono_M_Cupon_fijo_curva!$B$7,Curvas_cupon_cero!$1:$1,0)-1,COUNT(Curvas_cupon_cero!$A:$A)-2,1))))</f>
        <v/>
      </c>
      <c r="G55" s="19" t="str">
        <f>IF(A55="","",C55/(1+F55*$B$6/360)^(COUNT(A$16:A55)-($B$6-$D$16)/$B$6))</f>
        <v/>
      </c>
    </row>
    <row r="56" spans="1:7" x14ac:dyDescent="0.2">
      <c r="A56" s="12" t="str">
        <f t="shared" si="6"/>
        <v/>
      </c>
      <c r="B56" t="str">
        <f t="shared" si="0"/>
        <v/>
      </c>
      <c r="C56" s="17" t="str">
        <f t="shared" si="1"/>
        <v/>
      </c>
      <c r="D56" s="18" t="str">
        <f t="shared" si="2"/>
        <v/>
      </c>
      <c r="E56" t="str">
        <f t="shared" si="3"/>
        <v/>
      </c>
      <c r="F56" s="23" t="str">
        <f ca="1">IF(A56="","",IF($B$8="Sí",interpolar_alamb(E56,OFFSET(Curvas_cupon_cero!$A$1,1,0,COUNT(Curvas_cupon_cero!$A:$A)-2,1),OFFSET(Curvas_cupon_cero!$A$1,1,MATCH(Bono_M_Cupon_fijo_curva!$B$7,Curvas_cupon_cero!$1:$1,0)-1,COUNT(Curvas_cupon_cero!$A:$A)-2,1)),interpolar(E56,OFFSET(Curvas_cupon_cero!$A$1,1,0,COUNT(Curvas_cupon_cero!$A:$A)-2,1),OFFSET(Curvas_cupon_cero!$A$1,1,MATCH(Bono_M_Cupon_fijo_curva!$B$7,Curvas_cupon_cero!$1:$1,0)-1,COUNT(Curvas_cupon_cero!$A:$A)-2,1))))</f>
        <v/>
      </c>
      <c r="G56" s="19" t="str">
        <f>IF(A56="","",C56/(1+F56*$B$6/360)^(COUNT(A$16:A56)-($B$6-$D$16)/$B$6))</f>
        <v/>
      </c>
    </row>
    <row r="57" spans="1:7" x14ac:dyDescent="0.2">
      <c r="A57" s="12" t="str">
        <f t="shared" si="6"/>
        <v/>
      </c>
      <c r="B57" t="str">
        <f t="shared" si="0"/>
        <v/>
      </c>
      <c r="C57" s="17" t="str">
        <f t="shared" si="1"/>
        <v/>
      </c>
      <c r="D57" s="18" t="str">
        <f t="shared" si="2"/>
        <v/>
      </c>
      <c r="E57" t="str">
        <f t="shared" si="3"/>
        <v/>
      </c>
      <c r="F57" s="23" t="str">
        <f ca="1">IF(A57="","",IF($B$8="Sí",interpolar_alamb(E57,OFFSET(Curvas_cupon_cero!$A$1,1,0,COUNT(Curvas_cupon_cero!$A:$A)-2,1),OFFSET(Curvas_cupon_cero!$A$1,1,MATCH(Bono_M_Cupon_fijo_curva!$B$7,Curvas_cupon_cero!$1:$1,0)-1,COUNT(Curvas_cupon_cero!$A:$A)-2,1)),interpolar(E57,OFFSET(Curvas_cupon_cero!$A$1,1,0,COUNT(Curvas_cupon_cero!$A:$A)-2,1),OFFSET(Curvas_cupon_cero!$A$1,1,MATCH(Bono_M_Cupon_fijo_curva!$B$7,Curvas_cupon_cero!$1:$1,0)-1,COUNT(Curvas_cupon_cero!$A:$A)-2,1))))</f>
        <v/>
      </c>
      <c r="G57" s="19" t="str">
        <f>IF(A57="","",C57/(1+F57*$B$6/360)^(COUNT(A$16:A57)-($B$6-$D$16)/$B$6))</f>
        <v/>
      </c>
    </row>
    <row r="58" spans="1:7" x14ac:dyDescent="0.2">
      <c r="A58" s="12" t="str">
        <f t="shared" si="6"/>
        <v/>
      </c>
      <c r="B58" t="str">
        <f t="shared" si="0"/>
        <v/>
      </c>
      <c r="C58" s="17" t="str">
        <f t="shared" si="1"/>
        <v/>
      </c>
      <c r="D58" s="18" t="str">
        <f t="shared" si="2"/>
        <v/>
      </c>
      <c r="E58" t="str">
        <f t="shared" si="3"/>
        <v/>
      </c>
      <c r="F58" s="23" t="str">
        <f ca="1">IF(A58="","",IF($B$8="Sí",interpolar_alamb(E58,OFFSET(Curvas_cupon_cero!$A$1,1,0,COUNT(Curvas_cupon_cero!$A:$A)-2,1),OFFSET(Curvas_cupon_cero!$A$1,1,MATCH(Bono_M_Cupon_fijo_curva!$B$7,Curvas_cupon_cero!$1:$1,0)-1,COUNT(Curvas_cupon_cero!$A:$A)-2,1)),interpolar(E58,OFFSET(Curvas_cupon_cero!$A$1,1,0,COUNT(Curvas_cupon_cero!$A:$A)-2,1),OFFSET(Curvas_cupon_cero!$A$1,1,MATCH(Bono_M_Cupon_fijo_curva!$B$7,Curvas_cupon_cero!$1:$1,0)-1,COUNT(Curvas_cupon_cero!$A:$A)-2,1))))</f>
        <v/>
      </c>
      <c r="G58" s="19" t="str">
        <f>IF(A58="","",C58/(1+F58*$B$6/360)^(COUNT(A$16:A58)-($B$6-$D$16)/$B$6))</f>
        <v/>
      </c>
    </row>
    <row r="59" spans="1:7" x14ac:dyDescent="0.2">
      <c r="A59" s="12" t="str">
        <f t="shared" si="6"/>
        <v/>
      </c>
      <c r="B59" t="str">
        <f t="shared" si="0"/>
        <v/>
      </c>
      <c r="C59" s="17" t="str">
        <f t="shared" si="1"/>
        <v/>
      </c>
      <c r="D59" s="18" t="str">
        <f t="shared" si="2"/>
        <v/>
      </c>
      <c r="E59" t="str">
        <f t="shared" si="3"/>
        <v/>
      </c>
      <c r="F59" s="23" t="str">
        <f ca="1">IF(A59="","",IF($B$8="Sí",interpolar_alamb(E59,OFFSET(Curvas_cupon_cero!$A$1,1,0,COUNT(Curvas_cupon_cero!$A:$A)-2,1),OFFSET(Curvas_cupon_cero!$A$1,1,MATCH(Bono_M_Cupon_fijo_curva!$B$7,Curvas_cupon_cero!$1:$1,0)-1,COUNT(Curvas_cupon_cero!$A:$A)-2,1)),interpolar(E59,OFFSET(Curvas_cupon_cero!$A$1,1,0,COUNT(Curvas_cupon_cero!$A:$A)-2,1),OFFSET(Curvas_cupon_cero!$A$1,1,MATCH(Bono_M_Cupon_fijo_curva!$B$7,Curvas_cupon_cero!$1:$1,0)-1,COUNT(Curvas_cupon_cero!$A:$A)-2,1))))</f>
        <v/>
      </c>
      <c r="G59" s="19" t="str">
        <f>IF(A59="","",C59/(1+F59*$B$6/360)^(COUNT(A$16:A59)-($B$6-$D$16)/$B$6))</f>
        <v/>
      </c>
    </row>
    <row r="60" spans="1:7" x14ac:dyDescent="0.2">
      <c r="A60" s="12" t="str">
        <f t="shared" si="6"/>
        <v/>
      </c>
      <c r="B60" t="str">
        <f t="shared" si="0"/>
        <v/>
      </c>
      <c r="C60" s="17" t="str">
        <f t="shared" si="1"/>
        <v/>
      </c>
      <c r="D60" s="18" t="str">
        <f t="shared" si="2"/>
        <v/>
      </c>
      <c r="E60" t="str">
        <f t="shared" si="3"/>
        <v/>
      </c>
      <c r="F60" s="23" t="str">
        <f ca="1">IF(A60="","",IF($B$8="Sí",interpolar_alamb(E60,OFFSET(Curvas_cupon_cero!$A$1,1,0,COUNT(Curvas_cupon_cero!$A:$A)-2,1),OFFSET(Curvas_cupon_cero!$A$1,1,MATCH(Bono_M_Cupon_fijo_curva!$B$7,Curvas_cupon_cero!$1:$1,0)-1,COUNT(Curvas_cupon_cero!$A:$A)-2,1)),interpolar(E60,OFFSET(Curvas_cupon_cero!$A$1,1,0,COUNT(Curvas_cupon_cero!$A:$A)-2,1),OFFSET(Curvas_cupon_cero!$A$1,1,MATCH(Bono_M_Cupon_fijo_curva!$B$7,Curvas_cupon_cero!$1:$1,0)-1,COUNT(Curvas_cupon_cero!$A:$A)-2,1))))</f>
        <v/>
      </c>
      <c r="G60" s="19" t="str">
        <f>IF(A60="","",C60/(1+F60*$B$6/360)^(COUNT(A$16:A60)-($B$6-$D$16)/$B$6))</f>
        <v/>
      </c>
    </row>
    <row r="61" spans="1:7" x14ac:dyDescent="0.2">
      <c r="A61" s="12" t="str">
        <f t="shared" si="6"/>
        <v/>
      </c>
      <c r="B61" t="str">
        <f t="shared" si="0"/>
        <v/>
      </c>
      <c r="C61" s="17" t="str">
        <f t="shared" si="1"/>
        <v/>
      </c>
      <c r="D61" s="18" t="str">
        <f t="shared" si="2"/>
        <v/>
      </c>
      <c r="E61" t="str">
        <f t="shared" si="3"/>
        <v/>
      </c>
      <c r="F61" s="23" t="str">
        <f ca="1">IF(A61="","",IF($B$8="Sí",interpolar_alamb(E61,OFFSET(Curvas_cupon_cero!$A$1,1,0,COUNT(Curvas_cupon_cero!$A:$A)-2,1),OFFSET(Curvas_cupon_cero!$A$1,1,MATCH(Bono_M_Cupon_fijo_curva!$B$7,Curvas_cupon_cero!$1:$1,0)-1,COUNT(Curvas_cupon_cero!$A:$A)-2,1)),interpolar(E61,OFFSET(Curvas_cupon_cero!$A$1,1,0,COUNT(Curvas_cupon_cero!$A:$A)-2,1),OFFSET(Curvas_cupon_cero!$A$1,1,MATCH(Bono_M_Cupon_fijo_curva!$B$7,Curvas_cupon_cero!$1:$1,0)-1,COUNT(Curvas_cupon_cero!$A:$A)-2,1))))</f>
        <v/>
      </c>
      <c r="G61" s="19" t="str">
        <f>IF(A61="","",C61/(1+F61*$B$6/360)^(COUNT(A$16:A61)-($B$6-$D$16)/$B$6))</f>
        <v/>
      </c>
    </row>
    <row r="62" spans="1:7" x14ac:dyDescent="0.2">
      <c r="A62" s="12" t="str">
        <f t="shared" si="6"/>
        <v/>
      </c>
      <c r="B62" t="str">
        <f t="shared" si="0"/>
        <v/>
      </c>
      <c r="C62" s="17" t="str">
        <f t="shared" si="1"/>
        <v/>
      </c>
      <c r="D62" s="18" t="str">
        <f t="shared" si="2"/>
        <v/>
      </c>
      <c r="E62" t="str">
        <f t="shared" si="3"/>
        <v/>
      </c>
      <c r="F62" s="23" t="str">
        <f ca="1">IF(A62="","",IF($B$8="Sí",interpolar_alamb(E62,OFFSET(Curvas_cupon_cero!$A$1,1,0,COUNT(Curvas_cupon_cero!$A:$A)-2,1),OFFSET(Curvas_cupon_cero!$A$1,1,MATCH(Bono_M_Cupon_fijo_curva!$B$7,Curvas_cupon_cero!$1:$1,0)-1,COUNT(Curvas_cupon_cero!$A:$A)-2,1)),interpolar(E62,OFFSET(Curvas_cupon_cero!$A$1,1,0,COUNT(Curvas_cupon_cero!$A:$A)-2,1),OFFSET(Curvas_cupon_cero!$A$1,1,MATCH(Bono_M_Cupon_fijo_curva!$B$7,Curvas_cupon_cero!$1:$1,0)-1,COUNT(Curvas_cupon_cero!$A:$A)-2,1))))</f>
        <v/>
      </c>
      <c r="G62" s="19" t="str">
        <f>IF(A62="","",C62/(1+F62*$B$6/360)^(COUNT(A$16:A62)-($B$6-$D$16)/$B$6))</f>
        <v/>
      </c>
    </row>
    <row r="63" spans="1:7" x14ac:dyDescent="0.2">
      <c r="A63" s="12" t="str">
        <f t="shared" si="6"/>
        <v/>
      </c>
      <c r="B63" t="str">
        <f t="shared" si="0"/>
        <v/>
      </c>
      <c r="C63" s="17" t="str">
        <f t="shared" si="1"/>
        <v/>
      </c>
      <c r="D63" s="18" t="str">
        <f t="shared" si="2"/>
        <v/>
      </c>
      <c r="E63" t="str">
        <f t="shared" si="3"/>
        <v/>
      </c>
      <c r="F63" s="23" t="str">
        <f ca="1">IF(A63="","",IF($B$8="Sí",interpolar_alamb(E63,OFFSET(Curvas_cupon_cero!$A$1,1,0,COUNT(Curvas_cupon_cero!$A:$A)-2,1),OFFSET(Curvas_cupon_cero!$A$1,1,MATCH(Bono_M_Cupon_fijo_curva!$B$7,Curvas_cupon_cero!$1:$1,0)-1,COUNT(Curvas_cupon_cero!$A:$A)-2,1)),interpolar(E63,OFFSET(Curvas_cupon_cero!$A$1,1,0,COUNT(Curvas_cupon_cero!$A:$A)-2,1),OFFSET(Curvas_cupon_cero!$A$1,1,MATCH(Bono_M_Cupon_fijo_curva!$B$7,Curvas_cupon_cero!$1:$1,0)-1,COUNT(Curvas_cupon_cero!$A:$A)-2,1))))</f>
        <v/>
      </c>
      <c r="G63" s="19" t="str">
        <f>IF(A63="","",C63/(1+F63*$B$6/360)^(COUNT(A$16:A63)-($B$6-$D$16)/$B$6))</f>
        <v/>
      </c>
    </row>
    <row r="64" spans="1:7" x14ac:dyDescent="0.2">
      <c r="A64" s="12" t="str">
        <f t="shared" si="6"/>
        <v/>
      </c>
      <c r="B64" t="str">
        <f t="shared" si="0"/>
        <v/>
      </c>
      <c r="C64" s="17" t="str">
        <f t="shared" si="1"/>
        <v/>
      </c>
      <c r="D64" s="18" t="str">
        <f t="shared" si="2"/>
        <v/>
      </c>
      <c r="E64" t="str">
        <f t="shared" si="3"/>
        <v/>
      </c>
      <c r="F64" s="23" t="str">
        <f ca="1">IF(A64="","",IF($B$8="Sí",interpolar_alamb(E64,OFFSET(Curvas_cupon_cero!$A$1,1,0,COUNT(Curvas_cupon_cero!$A:$A)-2,1),OFFSET(Curvas_cupon_cero!$A$1,1,MATCH(Bono_M_Cupon_fijo_curva!$B$7,Curvas_cupon_cero!$1:$1,0)-1,COUNT(Curvas_cupon_cero!$A:$A)-2,1)),interpolar(E64,OFFSET(Curvas_cupon_cero!$A$1,1,0,COUNT(Curvas_cupon_cero!$A:$A)-2,1),OFFSET(Curvas_cupon_cero!$A$1,1,MATCH(Bono_M_Cupon_fijo_curva!$B$7,Curvas_cupon_cero!$1:$1,0)-1,COUNT(Curvas_cupon_cero!$A:$A)-2,1))))</f>
        <v/>
      </c>
      <c r="G64" s="19" t="str">
        <f>IF(A64="","",C64/(1+F64*$B$6/360)^(COUNT(A$16:A64)-($B$6-$D$16)/$B$6))</f>
        <v/>
      </c>
    </row>
    <row r="65" spans="1:7" x14ac:dyDescent="0.2">
      <c r="A65" s="12" t="str">
        <f t="shared" si="6"/>
        <v/>
      </c>
      <c r="B65" t="str">
        <f t="shared" si="0"/>
        <v/>
      </c>
      <c r="C65" s="17" t="str">
        <f t="shared" si="1"/>
        <v/>
      </c>
      <c r="D65" s="18" t="str">
        <f t="shared" si="2"/>
        <v/>
      </c>
      <c r="E65" t="str">
        <f t="shared" si="3"/>
        <v/>
      </c>
      <c r="F65" s="23" t="str">
        <f ca="1">IF(A65="","",IF($B$8="Sí",interpolar_alamb(E65,OFFSET(Curvas_cupon_cero!$A$1,1,0,COUNT(Curvas_cupon_cero!$A:$A)-2,1),OFFSET(Curvas_cupon_cero!$A$1,1,MATCH(Bono_M_Cupon_fijo_curva!$B$7,Curvas_cupon_cero!$1:$1,0)-1,COUNT(Curvas_cupon_cero!$A:$A)-2,1)),interpolar(E65,OFFSET(Curvas_cupon_cero!$A$1,1,0,COUNT(Curvas_cupon_cero!$A:$A)-2,1),OFFSET(Curvas_cupon_cero!$A$1,1,MATCH(Bono_M_Cupon_fijo_curva!$B$7,Curvas_cupon_cero!$1:$1,0)-1,COUNT(Curvas_cupon_cero!$A:$A)-2,1))))</f>
        <v/>
      </c>
      <c r="G65" s="19" t="str">
        <f>IF(A65="","",C65/(1+F65*$B$6/360)^(COUNT(A$16:A65)-($B$6-$D$16)/$B$6))</f>
        <v/>
      </c>
    </row>
    <row r="66" spans="1:7" x14ac:dyDescent="0.2">
      <c r="A66" s="12" t="str">
        <f t="shared" si="6"/>
        <v/>
      </c>
      <c r="B66" t="str">
        <f t="shared" si="0"/>
        <v/>
      </c>
      <c r="C66" s="17" t="str">
        <f t="shared" si="1"/>
        <v/>
      </c>
      <c r="D66" s="18" t="str">
        <f t="shared" si="2"/>
        <v/>
      </c>
      <c r="E66" t="str">
        <f t="shared" si="3"/>
        <v/>
      </c>
      <c r="F66" s="23" t="str">
        <f ca="1">IF(A66="","",IF($B$8="Sí",interpolar_alamb(E66,OFFSET(Curvas_cupon_cero!$A$1,1,0,COUNT(Curvas_cupon_cero!$A:$A)-2,1),OFFSET(Curvas_cupon_cero!$A$1,1,MATCH(Bono_M_Cupon_fijo_curva!$B$7,Curvas_cupon_cero!$1:$1,0)-1,COUNT(Curvas_cupon_cero!$A:$A)-2,1)),interpolar(E66,OFFSET(Curvas_cupon_cero!$A$1,1,0,COUNT(Curvas_cupon_cero!$A:$A)-2,1),OFFSET(Curvas_cupon_cero!$A$1,1,MATCH(Bono_M_Cupon_fijo_curva!$B$7,Curvas_cupon_cero!$1:$1,0)-1,COUNT(Curvas_cupon_cero!$A:$A)-2,1))))</f>
        <v/>
      </c>
      <c r="G66" s="19" t="str">
        <f>IF(A66="","",C66/(1+F66*$B$6/360)^(COUNT(A$16:A66)-($B$6-$D$16)/$B$6))</f>
        <v/>
      </c>
    </row>
    <row r="67" spans="1:7" x14ac:dyDescent="0.2">
      <c r="A67" s="12" t="str">
        <f t="shared" si="6"/>
        <v/>
      </c>
      <c r="B67" t="str">
        <f t="shared" si="0"/>
        <v/>
      </c>
      <c r="C67" s="17" t="str">
        <f t="shared" si="1"/>
        <v/>
      </c>
      <c r="D67" s="18" t="str">
        <f t="shared" si="2"/>
        <v/>
      </c>
      <c r="E67" t="str">
        <f t="shared" si="3"/>
        <v/>
      </c>
      <c r="F67" s="23" t="str">
        <f ca="1">IF(A67="","",IF($B$8="Sí",interpolar_alamb(E67,OFFSET(Curvas_cupon_cero!$A$1,1,0,COUNT(Curvas_cupon_cero!$A:$A)-2,1),OFFSET(Curvas_cupon_cero!$A$1,1,MATCH(Bono_M_Cupon_fijo_curva!$B$7,Curvas_cupon_cero!$1:$1,0)-1,COUNT(Curvas_cupon_cero!$A:$A)-2,1)),interpolar(E67,OFFSET(Curvas_cupon_cero!$A$1,1,0,COUNT(Curvas_cupon_cero!$A:$A)-2,1),OFFSET(Curvas_cupon_cero!$A$1,1,MATCH(Bono_M_Cupon_fijo_curva!$B$7,Curvas_cupon_cero!$1:$1,0)-1,COUNT(Curvas_cupon_cero!$A:$A)-2,1))))</f>
        <v/>
      </c>
      <c r="G67" s="19" t="str">
        <f>IF(A67="","",C67/(1+F67*$B$6/360)^(COUNT(A$16:A67)-($B$6-$D$16)/$B$6))</f>
        <v/>
      </c>
    </row>
    <row r="68" spans="1:7" x14ac:dyDescent="0.2">
      <c r="A68" s="12" t="str">
        <f t="shared" si="6"/>
        <v/>
      </c>
      <c r="B68" t="str">
        <f t="shared" si="0"/>
        <v/>
      </c>
      <c r="C68" s="17" t="str">
        <f t="shared" si="1"/>
        <v/>
      </c>
      <c r="D68" s="18" t="str">
        <f t="shared" si="2"/>
        <v/>
      </c>
      <c r="E68" t="str">
        <f t="shared" si="3"/>
        <v/>
      </c>
      <c r="F68" s="23" t="str">
        <f ca="1">IF(A68="","",IF($B$8="Sí",interpolar_alamb(E68,OFFSET(Curvas_cupon_cero!$A$1,1,0,COUNT(Curvas_cupon_cero!$A:$A)-2,1),OFFSET(Curvas_cupon_cero!$A$1,1,MATCH(Bono_M_Cupon_fijo_curva!$B$7,Curvas_cupon_cero!$1:$1,0)-1,COUNT(Curvas_cupon_cero!$A:$A)-2,1)),interpolar(E68,OFFSET(Curvas_cupon_cero!$A$1,1,0,COUNT(Curvas_cupon_cero!$A:$A)-2,1),OFFSET(Curvas_cupon_cero!$A$1,1,MATCH(Bono_M_Cupon_fijo_curva!$B$7,Curvas_cupon_cero!$1:$1,0)-1,COUNT(Curvas_cupon_cero!$A:$A)-2,1))))</f>
        <v/>
      </c>
      <c r="G68" s="19" t="str">
        <f>IF(A68="","",C68/(1+F68*$B$6/360)^(COUNT(A$16:A68)-($B$6-$D$16)/$B$6))</f>
        <v/>
      </c>
    </row>
    <row r="69" spans="1:7" x14ac:dyDescent="0.2">
      <c r="A69" s="12" t="str">
        <f t="shared" si="6"/>
        <v/>
      </c>
      <c r="B69" t="str">
        <f t="shared" si="0"/>
        <v/>
      </c>
      <c r="C69" s="17" t="str">
        <f t="shared" si="1"/>
        <v/>
      </c>
      <c r="D69" s="18" t="str">
        <f t="shared" si="2"/>
        <v/>
      </c>
      <c r="E69" t="str">
        <f t="shared" si="3"/>
        <v/>
      </c>
      <c r="F69" s="23" t="str">
        <f ca="1">IF(A69="","",IF($B$8="Sí",interpolar_alamb(E69,OFFSET(Curvas_cupon_cero!$A$1,1,0,COUNT(Curvas_cupon_cero!$A:$A)-2,1),OFFSET(Curvas_cupon_cero!$A$1,1,MATCH(Bono_M_Cupon_fijo_curva!$B$7,Curvas_cupon_cero!$1:$1,0)-1,COUNT(Curvas_cupon_cero!$A:$A)-2,1)),interpolar(E69,OFFSET(Curvas_cupon_cero!$A$1,1,0,COUNT(Curvas_cupon_cero!$A:$A)-2,1),OFFSET(Curvas_cupon_cero!$A$1,1,MATCH(Bono_M_Cupon_fijo_curva!$B$7,Curvas_cupon_cero!$1:$1,0)-1,COUNT(Curvas_cupon_cero!$A:$A)-2,1))))</f>
        <v/>
      </c>
      <c r="G69" s="19" t="str">
        <f>IF(A69="","",C69/(1+F69*$B$6/360)^(COUNT(A$16:A69)-($B$6-$D$16)/$B$6))</f>
        <v/>
      </c>
    </row>
    <row r="70" spans="1:7" x14ac:dyDescent="0.2">
      <c r="A70" s="12" t="str">
        <f t="shared" si="6"/>
        <v/>
      </c>
      <c r="B70" t="str">
        <f t="shared" si="0"/>
        <v/>
      </c>
      <c r="C70" s="17" t="str">
        <f t="shared" si="1"/>
        <v/>
      </c>
      <c r="D70" s="18" t="str">
        <f t="shared" si="2"/>
        <v/>
      </c>
      <c r="E70" t="str">
        <f t="shared" si="3"/>
        <v/>
      </c>
      <c r="F70" s="23" t="str">
        <f ca="1">IF(A70="","",IF($B$8="Sí",interpolar_alamb(E70,OFFSET(Curvas_cupon_cero!$A$1,1,0,COUNT(Curvas_cupon_cero!$A:$A)-2,1),OFFSET(Curvas_cupon_cero!$A$1,1,MATCH(Bono_M_Cupon_fijo_curva!$B$7,Curvas_cupon_cero!$1:$1,0)-1,COUNT(Curvas_cupon_cero!$A:$A)-2,1)),interpolar(E70,OFFSET(Curvas_cupon_cero!$A$1,1,0,COUNT(Curvas_cupon_cero!$A:$A)-2,1),OFFSET(Curvas_cupon_cero!$A$1,1,MATCH(Bono_M_Cupon_fijo_curva!$B$7,Curvas_cupon_cero!$1:$1,0)-1,COUNT(Curvas_cupon_cero!$A:$A)-2,1))))</f>
        <v/>
      </c>
      <c r="G70" s="19" t="str">
        <f>IF(A70="","",C70/(1+F70*$B$6/360)^(COUNT(A$16:A70)-($B$6-$D$16)/$B$6))</f>
        <v/>
      </c>
    </row>
    <row r="71" spans="1:7" x14ac:dyDescent="0.2">
      <c r="A71" s="12" t="str">
        <f t="shared" si="6"/>
        <v/>
      </c>
      <c r="B71" t="str">
        <f t="shared" si="0"/>
        <v/>
      </c>
      <c r="C71" s="17" t="str">
        <f t="shared" si="1"/>
        <v/>
      </c>
      <c r="D71" s="18" t="str">
        <f t="shared" si="2"/>
        <v/>
      </c>
      <c r="E71" t="str">
        <f t="shared" si="3"/>
        <v/>
      </c>
      <c r="F71" s="23" t="str">
        <f ca="1">IF(A71="","",IF($B$8="Sí",interpolar_alamb(E71,OFFSET(Curvas_cupon_cero!$A$1,1,0,COUNT(Curvas_cupon_cero!$A:$A)-2,1),OFFSET(Curvas_cupon_cero!$A$1,1,MATCH(Bono_M_Cupon_fijo_curva!$B$7,Curvas_cupon_cero!$1:$1,0)-1,COUNT(Curvas_cupon_cero!$A:$A)-2,1)),interpolar(E71,OFFSET(Curvas_cupon_cero!$A$1,1,0,COUNT(Curvas_cupon_cero!$A:$A)-2,1),OFFSET(Curvas_cupon_cero!$A$1,1,MATCH(Bono_M_Cupon_fijo_curva!$B$7,Curvas_cupon_cero!$1:$1,0)-1,COUNT(Curvas_cupon_cero!$A:$A)-2,1))))</f>
        <v/>
      </c>
      <c r="G71" s="19" t="str">
        <f>IF(A71="","",C71/(1+F71*$B$6/360)^(COUNT(A$16:A71)-($B$6-$D$16)/$B$6))</f>
        <v/>
      </c>
    </row>
    <row r="72" spans="1:7" x14ac:dyDescent="0.2">
      <c r="A72" s="12" t="str">
        <f t="shared" si="6"/>
        <v/>
      </c>
      <c r="B72" t="str">
        <f t="shared" si="0"/>
        <v/>
      </c>
      <c r="C72" s="17" t="str">
        <f t="shared" si="1"/>
        <v/>
      </c>
      <c r="D72" s="18" t="str">
        <f t="shared" si="2"/>
        <v/>
      </c>
      <c r="E72" t="str">
        <f t="shared" si="3"/>
        <v/>
      </c>
      <c r="F72" s="23" t="str">
        <f ca="1">IF(A72="","",IF($B$8="Sí",interpolar_alamb(E72,OFFSET(Curvas_cupon_cero!$A$1,1,0,COUNT(Curvas_cupon_cero!$A:$A)-2,1),OFFSET(Curvas_cupon_cero!$A$1,1,MATCH(Bono_M_Cupon_fijo_curva!$B$7,Curvas_cupon_cero!$1:$1,0)-1,COUNT(Curvas_cupon_cero!$A:$A)-2,1)),interpolar(E72,OFFSET(Curvas_cupon_cero!$A$1,1,0,COUNT(Curvas_cupon_cero!$A:$A)-2,1),OFFSET(Curvas_cupon_cero!$A$1,1,MATCH(Bono_M_Cupon_fijo_curva!$B$7,Curvas_cupon_cero!$1:$1,0)-1,COUNT(Curvas_cupon_cero!$A:$A)-2,1))))</f>
        <v/>
      </c>
      <c r="G72" s="19" t="str">
        <f>IF(A72="","",C72/(1+F72*$B$6/360)^(COUNT(A$16:A72)-($B$6-$D$16)/$B$6))</f>
        <v/>
      </c>
    </row>
    <row r="73" spans="1:7" x14ac:dyDescent="0.2">
      <c r="A73" s="12" t="str">
        <f t="shared" si="6"/>
        <v/>
      </c>
      <c r="B73" t="str">
        <f t="shared" si="0"/>
        <v/>
      </c>
      <c r="C73" s="17" t="str">
        <f t="shared" si="1"/>
        <v/>
      </c>
      <c r="D73" s="18" t="str">
        <f t="shared" si="2"/>
        <v/>
      </c>
      <c r="E73" t="str">
        <f t="shared" si="3"/>
        <v/>
      </c>
      <c r="F73" s="23" t="str">
        <f ca="1">IF(A73="","",IF($B$8="Sí",interpolar_alamb(E73,OFFSET(Curvas_cupon_cero!$A$1,1,0,COUNT(Curvas_cupon_cero!$A:$A)-2,1),OFFSET(Curvas_cupon_cero!$A$1,1,MATCH(Bono_M_Cupon_fijo_curva!$B$7,Curvas_cupon_cero!$1:$1,0)-1,COUNT(Curvas_cupon_cero!$A:$A)-2,1)),interpolar(E73,OFFSET(Curvas_cupon_cero!$A$1,1,0,COUNT(Curvas_cupon_cero!$A:$A)-2,1),OFFSET(Curvas_cupon_cero!$A$1,1,MATCH(Bono_M_Cupon_fijo_curva!$B$7,Curvas_cupon_cero!$1:$1,0)-1,COUNT(Curvas_cupon_cero!$A:$A)-2,1))))</f>
        <v/>
      </c>
      <c r="G73" s="19" t="str">
        <f>IF(A73="","",C73/(1+F73*$B$6/360)^(COUNT(A$16:A73)-($B$6-$D$16)/$B$6))</f>
        <v/>
      </c>
    </row>
    <row r="74" spans="1:7" x14ac:dyDescent="0.2">
      <c r="A74" s="12" t="str">
        <f t="shared" si="6"/>
        <v/>
      </c>
      <c r="B74" t="str">
        <f t="shared" si="0"/>
        <v/>
      </c>
      <c r="C74" s="17" t="str">
        <f t="shared" si="1"/>
        <v/>
      </c>
      <c r="D74" s="18" t="str">
        <f t="shared" si="2"/>
        <v/>
      </c>
      <c r="E74" t="str">
        <f t="shared" si="3"/>
        <v/>
      </c>
      <c r="F74" s="23" t="str">
        <f ca="1">IF(A74="","",IF($B$8="Sí",interpolar_alamb(E74,OFFSET(Curvas_cupon_cero!$A$1,1,0,COUNT(Curvas_cupon_cero!$A:$A)-2,1),OFFSET(Curvas_cupon_cero!$A$1,1,MATCH(Bono_M_Cupon_fijo_curva!$B$7,Curvas_cupon_cero!$1:$1,0)-1,COUNT(Curvas_cupon_cero!$A:$A)-2,1)),interpolar(E74,OFFSET(Curvas_cupon_cero!$A$1,1,0,COUNT(Curvas_cupon_cero!$A:$A)-2,1),OFFSET(Curvas_cupon_cero!$A$1,1,MATCH(Bono_M_Cupon_fijo_curva!$B$7,Curvas_cupon_cero!$1:$1,0)-1,COUNT(Curvas_cupon_cero!$A:$A)-2,1))))</f>
        <v/>
      </c>
      <c r="G74" s="19" t="str">
        <f>IF(A74="","",C74/(1+F74*$B$6/360)^(COUNT(A$16:A74)-($B$6-$D$16)/$B$6))</f>
        <v/>
      </c>
    </row>
    <row r="75" spans="1:7" x14ac:dyDescent="0.2">
      <c r="A75" s="12" t="str">
        <f t="shared" si="6"/>
        <v/>
      </c>
      <c r="B75" t="str">
        <f t="shared" si="0"/>
        <v/>
      </c>
      <c r="C75" s="17" t="str">
        <f t="shared" si="1"/>
        <v/>
      </c>
      <c r="D75" s="18" t="str">
        <f t="shared" si="2"/>
        <v/>
      </c>
      <c r="E75" t="str">
        <f t="shared" si="3"/>
        <v/>
      </c>
      <c r="F75" s="23" t="str">
        <f ca="1">IF(A75="","",IF($B$8="Sí",interpolar_alamb(E75,OFFSET(Curvas_cupon_cero!$A$1,1,0,COUNT(Curvas_cupon_cero!$A:$A)-2,1),OFFSET(Curvas_cupon_cero!$A$1,1,MATCH(Bono_M_Cupon_fijo_curva!$B$7,Curvas_cupon_cero!$1:$1,0)-1,COUNT(Curvas_cupon_cero!$A:$A)-2,1)),interpolar(E75,OFFSET(Curvas_cupon_cero!$A$1,1,0,COUNT(Curvas_cupon_cero!$A:$A)-2,1),OFFSET(Curvas_cupon_cero!$A$1,1,MATCH(Bono_M_Cupon_fijo_curva!$B$7,Curvas_cupon_cero!$1:$1,0)-1,COUNT(Curvas_cupon_cero!$A:$A)-2,1))))</f>
        <v/>
      </c>
      <c r="G75" s="19" t="str">
        <f>IF(A75="","",C75/(1+F75*$B$6/360)^(COUNT(A$16:A75)-($B$6-$D$16)/$B$6))</f>
        <v/>
      </c>
    </row>
    <row r="76" spans="1:7" x14ac:dyDescent="0.2">
      <c r="A76" s="12" t="str">
        <f t="shared" si="6"/>
        <v/>
      </c>
      <c r="B76" t="str">
        <f t="shared" si="0"/>
        <v/>
      </c>
      <c r="C76" s="17" t="str">
        <f t="shared" si="1"/>
        <v/>
      </c>
      <c r="D76" s="18" t="str">
        <f t="shared" si="2"/>
        <v/>
      </c>
      <c r="E76" t="str">
        <f t="shared" si="3"/>
        <v/>
      </c>
      <c r="F76" s="23" t="str">
        <f ca="1">IF(A76="","",IF($B$8="Sí",interpolar_alamb(E76,OFFSET(Curvas_cupon_cero!$A$1,1,0,COUNT(Curvas_cupon_cero!$A:$A)-2,1),OFFSET(Curvas_cupon_cero!$A$1,1,MATCH(Bono_M_Cupon_fijo_curva!$B$7,Curvas_cupon_cero!$1:$1,0)-1,COUNT(Curvas_cupon_cero!$A:$A)-2,1)),interpolar(E76,OFFSET(Curvas_cupon_cero!$A$1,1,0,COUNT(Curvas_cupon_cero!$A:$A)-2,1),OFFSET(Curvas_cupon_cero!$A$1,1,MATCH(Bono_M_Cupon_fijo_curva!$B$7,Curvas_cupon_cero!$1:$1,0)-1,COUNT(Curvas_cupon_cero!$A:$A)-2,1))))</f>
        <v/>
      </c>
      <c r="G76" s="19" t="str">
        <f>IF(A76="","",C76/(1+F76*$B$6/360)^(COUNT(A$16:A76)-($B$6-$D$16)/$B$6))</f>
        <v/>
      </c>
    </row>
    <row r="77" spans="1:7" x14ac:dyDescent="0.2">
      <c r="A77" s="12" t="str">
        <f t="shared" si="6"/>
        <v/>
      </c>
      <c r="B77" t="str">
        <f t="shared" si="0"/>
        <v/>
      </c>
      <c r="C77" s="17" t="str">
        <f t="shared" si="1"/>
        <v/>
      </c>
      <c r="D77" s="18" t="str">
        <f t="shared" si="2"/>
        <v/>
      </c>
      <c r="E77" t="str">
        <f t="shared" si="3"/>
        <v/>
      </c>
      <c r="F77" s="23" t="str">
        <f ca="1">IF(A77="","",IF($B$8="Sí",interpolar_alamb(E77,OFFSET(Curvas_cupon_cero!$A$1,1,0,COUNT(Curvas_cupon_cero!$A:$A)-2,1),OFFSET(Curvas_cupon_cero!$A$1,1,MATCH(Bono_M_Cupon_fijo_curva!$B$7,Curvas_cupon_cero!$1:$1,0)-1,COUNT(Curvas_cupon_cero!$A:$A)-2,1)),interpolar(E77,OFFSET(Curvas_cupon_cero!$A$1,1,0,COUNT(Curvas_cupon_cero!$A:$A)-2,1),OFFSET(Curvas_cupon_cero!$A$1,1,MATCH(Bono_M_Cupon_fijo_curva!$B$7,Curvas_cupon_cero!$1:$1,0)-1,COUNT(Curvas_cupon_cero!$A:$A)-2,1))))</f>
        <v/>
      </c>
      <c r="G77" s="19" t="str">
        <f>IF(A77="","",C77/(1+F77*$B$6/360)^(COUNT(A$16:A77)-($B$6-$D$16)/$B$6))</f>
        <v/>
      </c>
    </row>
    <row r="78" spans="1:7" x14ac:dyDescent="0.2">
      <c r="A78" s="12" t="str">
        <f t="shared" si="6"/>
        <v/>
      </c>
      <c r="B78" t="str">
        <f t="shared" si="0"/>
        <v/>
      </c>
      <c r="C78" s="17" t="str">
        <f t="shared" si="1"/>
        <v/>
      </c>
      <c r="D78" s="18" t="str">
        <f t="shared" si="2"/>
        <v/>
      </c>
      <c r="E78" t="str">
        <f t="shared" si="3"/>
        <v/>
      </c>
      <c r="F78" s="23" t="str">
        <f ca="1">IF(A78="","",IF($B$8="Sí",interpolar_alamb(E78,OFFSET(Curvas_cupon_cero!$A$1,1,0,COUNT(Curvas_cupon_cero!$A:$A)-2,1),OFFSET(Curvas_cupon_cero!$A$1,1,MATCH(Bono_M_Cupon_fijo_curva!$B$7,Curvas_cupon_cero!$1:$1,0)-1,COUNT(Curvas_cupon_cero!$A:$A)-2,1)),interpolar(E78,OFFSET(Curvas_cupon_cero!$A$1,1,0,COUNT(Curvas_cupon_cero!$A:$A)-2,1),OFFSET(Curvas_cupon_cero!$A$1,1,MATCH(Bono_M_Cupon_fijo_curva!$B$7,Curvas_cupon_cero!$1:$1,0)-1,COUNT(Curvas_cupon_cero!$A:$A)-2,1))))</f>
        <v/>
      </c>
      <c r="G78" s="19" t="str">
        <f>IF(A78="","",C78/(1+F78*$B$6/360)^(COUNT(A$16:A78)-($B$6-$D$16)/$B$6))</f>
        <v/>
      </c>
    </row>
    <row r="79" spans="1:7" x14ac:dyDescent="0.2">
      <c r="A79" s="12" t="str">
        <f t="shared" si="6"/>
        <v/>
      </c>
      <c r="B79" t="str">
        <f t="shared" si="0"/>
        <v/>
      </c>
      <c r="C79" s="17" t="str">
        <f t="shared" si="1"/>
        <v/>
      </c>
      <c r="D79" s="18" t="str">
        <f t="shared" si="2"/>
        <v/>
      </c>
      <c r="E79" t="str">
        <f t="shared" si="3"/>
        <v/>
      </c>
      <c r="F79" s="23" t="str">
        <f ca="1">IF(A79="","",IF($B$8="Sí",interpolar_alamb(E79,OFFSET(Curvas_cupon_cero!$A$1,1,0,COUNT(Curvas_cupon_cero!$A:$A)-2,1),OFFSET(Curvas_cupon_cero!$A$1,1,MATCH(Bono_M_Cupon_fijo_curva!$B$7,Curvas_cupon_cero!$1:$1,0)-1,COUNT(Curvas_cupon_cero!$A:$A)-2,1)),interpolar(E79,OFFSET(Curvas_cupon_cero!$A$1,1,0,COUNT(Curvas_cupon_cero!$A:$A)-2,1),OFFSET(Curvas_cupon_cero!$A$1,1,MATCH(Bono_M_Cupon_fijo_curva!$B$7,Curvas_cupon_cero!$1:$1,0)-1,COUNT(Curvas_cupon_cero!$A:$A)-2,1))))</f>
        <v/>
      </c>
      <c r="G79" s="19" t="str">
        <f>IF(A79="","",C79/(1+F79*$B$6/360)^(COUNT(A$16:A79)-($B$6-$D$16)/$B$6))</f>
        <v/>
      </c>
    </row>
    <row r="80" spans="1:7" x14ac:dyDescent="0.2">
      <c r="A80" s="12" t="str">
        <f t="shared" si="6"/>
        <v/>
      </c>
      <c r="B80" t="str">
        <f t="shared" si="0"/>
        <v/>
      </c>
      <c r="C80" s="17" t="str">
        <f t="shared" si="1"/>
        <v/>
      </c>
      <c r="D80" s="18" t="str">
        <f t="shared" si="2"/>
        <v/>
      </c>
      <c r="E80" t="str">
        <f t="shared" si="3"/>
        <v/>
      </c>
      <c r="F80" s="23" t="str">
        <f ca="1">IF(A80="","",IF($B$8="Sí",interpolar_alamb(E80,OFFSET(Curvas_cupon_cero!$A$1,1,0,COUNT(Curvas_cupon_cero!$A:$A)-2,1),OFFSET(Curvas_cupon_cero!$A$1,1,MATCH(Bono_M_Cupon_fijo_curva!$B$7,Curvas_cupon_cero!$1:$1,0)-1,COUNT(Curvas_cupon_cero!$A:$A)-2,1)),interpolar(E80,OFFSET(Curvas_cupon_cero!$A$1,1,0,COUNT(Curvas_cupon_cero!$A:$A)-2,1),OFFSET(Curvas_cupon_cero!$A$1,1,MATCH(Bono_M_Cupon_fijo_curva!$B$7,Curvas_cupon_cero!$1:$1,0)-1,COUNT(Curvas_cupon_cero!$A:$A)-2,1))))</f>
        <v/>
      </c>
      <c r="G80" s="19" t="str">
        <f>IF(A80="","",C80/(1+F80*$B$6/360)^(COUNT(A$16:A80)-($B$6-$D$16)/$B$6))</f>
        <v/>
      </c>
    </row>
    <row r="81" spans="1:7" x14ac:dyDescent="0.2">
      <c r="A81" s="12" t="str">
        <f t="shared" si="6"/>
        <v/>
      </c>
      <c r="B81" t="str">
        <f t="shared" ref="B81:B144" si="7">IF(A81="","",$B$5)</f>
        <v/>
      </c>
      <c r="C81" s="17" t="str">
        <f t="shared" ref="C81:C144" si="8">IF(A81="","",IF(A81=$B$4,$B$1*$B$2+ $B$5*$B$6/360*$B$1*$B$2, $B$5*$B$6/360*$B$1*$B$2))</f>
        <v/>
      </c>
      <c r="D81" s="18" t="str">
        <f t="shared" ref="D81:D144" si="9">IF(A81="","",$B$6)</f>
        <v/>
      </c>
      <c r="E81" t="str">
        <f t="shared" ref="E81:E144" si="10">IF(A81="","",E80+D81)</f>
        <v/>
      </c>
      <c r="F81" s="23" t="str">
        <f ca="1">IF(A81="","",IF($B$8="Sí",interpolar_alamb(E81,OFFSET(Curvas_cupon_cero!$A$1,1,0,COUNT(Curvas_cupon_cero!$A:$A)-2,1),OFFSET(Curvas_cupon_cero!$A$1,1,MATCH(Bono_M_Cupon_fijo_curva!$B$7,Curvas_cupon_cero!$1:$1,0)-1,COUNT(Curvas_cupon_cero!$A:$A)-2,1)),interpolar(E81,OFFSET(Curvas_cupon_cero!$A$1,1,0,COUNT(Curvas_cupon_cero!$A:$A)-2,1),OFFSET(Curvas_cupon_cero!$A$1,1,MATCH(Bono_M_Cupon_fijo_curva!$B$7,Curvas_cupon_cero!$1:$1,0)-1,COUNT(Curvas_cupon_cero!$A:$A)-2,1))))</f>
        <v/>
      </c>
      <c r="G81" s="19" t="str">
        <f>IF(A81="","",C81/(1+F81*$B$6/360)^(COUNT(A$16:A81)-($B$6-$D$16)/$B$6))</f>
        <v/>
      </c>
    </row>
    <row r="82" spans="1:7" x14ac:dyDescent="0.2">
      <c r="A82" s="12" t="str">
        <f t="shared" si="6"/>
        <v/>
      </c>
      <c r="B82" t="str">
        <f t="shared" si="7"/>
        <v/>
      </c>
      <c r="C82" s="17" t="str">
        <f t="shared" si="8"/>
        <v/>
      </c>
      <c r="D82" s="18" t="str">
        <f t="shared" si="9"/>
        <v/>
      </c>
      <c r="E82" t="str">
        <f t="shared" si="10"/>
        <v/>
      </c>
      <c r="F82" s="23" t="str">
        <f ca="1">IF(A82="","",IF($B$8="Sí",interpolar_alamb(E82,OFFSET(Curvas_cupon_cero!$A$1,1,0,COUNT(Curvas_cupon_cero!$A:$A)-2,1),OFFSET(Curvas_cupon_cero!$A$1,1,MATCH(Bono_M_Cupon_fijo_curva!$B$7,Curvas_cupon_cero!$1:$1,0)-1,COUNT(Curvas_cupon_cero!$A:$A)-2,1)),interpolar(E82,OFFSET(Curvas_cupon_cero!$A$1,1,0,COUNT(Curvas_cupon_cero!$A:$A)-2,1),OFFSET(Curvas_cupon_cero!$A$1,1,MATCH(Bono_M_Cupon_fijo_curva!$B$7,Curvas_cupon_cero!$1:$1,0)-1,COUNT(Curvas_cupon_cero!$A:$A)-2,1))))</f>
        <v/>
      </c>
      <c r="G82" s="19" t="str">
        <f>IF(A82="","",C82/(1+F82*$B$6/360)^(COUNT(A$16:A82)-($B$6-$D$16)/$B$6))</f>
        <v/>
      </c>
    </row>
    <row r="83" spans="1:7" x14ac:dyDescent="0.2">
      <c r="A83" s="12" t="str">
        <f t="shared" si="6"/>
        <v/>
      </c>
      <c r="B83" t="str">
        <f t="shared" si="7"/>
        <v/>
      </c>
      <c r="C83" s="17" t="str">
        <f t="shared" si="8"/>
        <v/>
      </c>
      <c r="D83" s="18" t="str">
        <f t="shared" si="9"/>
        <v/>
      </c>
      <c r="E83" t="str">
        <f t="shared" si="10"/>
        <v/>
      </c>
      <c r="F83" s="23" t="str">
        <f ca="1">IF(A83="","",IF($B$8="Sí",interpolar_alamb(E83,OFFSET(Curvas_cupon_cero!$A$1,1,0,COUNT(Curvas_cupon_cero!$A:$A)-2,1),OFFSET(Curvas_cupon_cero!$A$1,1,MATCH(Bono_M_Cupon_fijo_curva!$B$7,Curvas_cupon_cero!$1:$1,0)-1,COUNT(Curvas_cupon_cero!$A:$A)-2,1)),interpolar(E83,OFFSET(Curvas_cupon_cero!$A$1,1,0,COUNT(Curvas_cupon_cero!$A:$A)-2,1),OFFSET(Curvas_cupon_cero!$A$1,1,MATCH(Bono_M_Cupon_fijo_curva!$B$7,Curvas_cupon_cero!$1:$1,0)-1,COUNT(Curvas_cupon_cero!$A:$A)-2,1))))</f>
        <v/>
      </c>
      <c r="G83" s="19" t="str">
        <f>IF(A83="","",C83/(1+F83*$B$6/360)^(COUNT(A$16:A83)-($B$6-$D$16)/$B$6))</f>
        <v/>
      </c>
    </row>
    <row r="84" spans="1:7" x14ac:dyDescent="0.2">
      <c r="A84" s="12" t="str">
        <f t="shared" si="6"/>
        <v/>
      </c>
      <c r="B84" t="str">
        <f t="shared" si="7"/>
        <v/>
      </c>
      <c r="C84" s="17" t="str">
        <f t="shared" si="8"/>
        <v/>
      </c>
      <c r="D84" s="18" t="str">
        <f t="shared" si="9"/>
        <v/>
      </c>
      <c r="E84" t="str">
        <f t="shared" si="10"/>
        <v/>
      </c>
      <c r="F84" s="23" t="str">
        <f ca="1">IF(A84="","",IF($B$8="Sí",interpolar_alamb(E84,OFFSET(Curvas_cupon_cero!$A$1,1,0,COUNT(Curvas_cupon_cero!$A:$A)-2,1),OFFSET(Curvas_cupon_cero!$A$1,1,MATCH(Bono_M_Cupon_fijo_curva!$B$7,Curvas_cupon_cero!$1:$1,0)-1,COUNT(Curvas_cupon_cero!$A:$A)-2,1)),interpolar(E84,OFFSET(Curvas_cupon_cero!$A$1,1,0,COUNT(Curvas_cupon_cero!$A:$A)-2,1),OFFSET(Curvas_cupon_cero!$A$1,1,MATCH(Bono_M_Cupon_fijo_curva!$B$7,Curvas_cupon_cero!$1:$1,0)-1,COUNT(Curvas_cupon_cero!$A:$A)-2,1))))</f>
        <v/>
      </c>
      <c r="G84" s="19" t="str">
        <f>IF(A84="","",C84/(1+F84*$B$6/360)^(COUNT(A$16:A84)-($B$6-$D$16)/$B$6))</f>
        <v/>
      </c>
    </row>
    <row r="85" spans="1:7" x14ac:dyDescent="0.2">
      <c r="A85" s="12" t="str">
        <f t="shared" si="6"/>
        <v/>
      </c>
      <c r="B85" t="str">
        <f t="shared" si="7"/>
        <v/>
      </c>
      <c r="C85" s="17" t="str">
        <f t="shared" si="8"/>
        <v/>
      </c>
      <c r="D85" s="18" t="str">
        <f t="shared" si="9"/>
        <v/>
      </c>
      <c r="E85" t="str">
        <f t="shared" si="10"/>
        <v/>
      </c>
      <c r="F85" s="23" t="str">
        <f ca="1">IF(A85="","",IF($B$8="Sí",interpolar_alamb(E85,OFFSET(Curvas_cupon_cero!$A$1,1,0,COUNT(Curvas_cupon_cero!$A:$A)-2,1),OFFSET(Curvas_cupon_cero!$A$1,1,MATCH(Bono_M_Cupon_fijo_curva!$B$7,Curvas_cupon_cero!$1:$1,0)-1,COUNT(Curvas_cupon_cero!$A:$A)-2,1)),interpolar(E85,OFFSET(Curvas_cupon_cero!$A$1,1,0,COUNT(Curvas_cupon_cero!$A:$A)-2,1),OFFSET(Curvas_cupon_cero!$A$1,1,MATCH(Bono_M_Cupon_fijo_curva!$B$7,Curvas_cupon_cero!$1:$1,0)-1,COUNT(Curvas_cupon_cero!$A:$A)-2,1))))</f>
        <v/>
      </c>
      <c r="G85" s="19" t="str">
        <f>IF(A85="","",C85/(1+F85*$B$6/360)^(COUNT(A$16:A85)-($B$6-$D$16)/$B$6))</f>
        <v/>
      </c>
    </row>
    <row r="86" spans="1:7" x14ac:dyDescent="0.2">
      <c r="A86" s="12" t="str">
        <f t="shared" si="6"/>
        <v/>
      </c>
      <c r="B86" t="str">
        <f t="shared" si="7"/>
        <v/>
      </c>
      <c r="C86" s="17" t="str">
        <f t="shared" si="8"/>
        <v/>
      </c>
      <c r="D86" s="18" t="str">
        <f t="shared" si="9"/>
        <v/>
      </c>
      <c r="E86" t="str">
        <f t="shared" si="10"/>
        <v/>
      </c>
      <c r="F86" s="23" t="str">
        <f ca="1">IF(A86="","",IF($B$8="Sí",interpolar_alamb(E86,OFFSET(Curvas_cupon_cero!$A$1,1,0,COUNT(Curvas_cupon_cero!$A:$A)-2,1),OFFSET(Curvas_cupon_cero!$A$1,1,MATCH(Bono_M_Cupon_fijo_curva!$B$7,Curvas_cupon_cero!$1:$1,0)-1,COUNT(Curvas_cupon_cero!$A:$A)-2,1)),interpolar(E86,OFFSET(Curvas_cupon_cero!$A$1,1,0,COUNT(Curvas_cupon_cero!$A:$A)-2,1),OFFSET(Curvas_cupon_cero!$A$1,1,MATCH(Bono_M_Cupon_fijo_curva!$B$7,Curvas_cupon_cero!$1:$1,0)-1,COUNT(Curvas_cupon_cero!$A:$A)-2,1))))</f>
        <v/>
      </c>
      <c r="G86" s="19" t="str">
        <f>IF(A86="","",C86/(1+F86*$B$6/360)^(COUNT(A$16:A86)-($B$6-$D$16)/$B$6))</f>
        <v/>
      </c>
    </row>
    <row r="87" spans="1:7" x14ac:dyDescent="0.2">
      <c r="A87" s="12" t="str">
        <f t="shared" si="6"/>
        <v/>
      </c>
      <c r="B87" t="str">
        <f t="shared" si="7"/>
        <v/>
      </c>
      <c r="C87" s="17" t="str">
        <f t="shared" si="8"/>
        <v/>
      </c>
      <c r="D87" s="18" t="str">
        <f t="shared" si="9"/>
        <v/>
      </c>
      <c r="E87" t="str">
        <f t="shared" si="10"/>
        <v/>
      </c>
      <c r="F87" s="23" t="str">
        <f ca="1">IF(A87="","",IF($B$8="Sí",interpolar_alamb(E87,OFFSET(Curvas_cupon_cero!$A$1,1,0,COUNT(Curvas_cupon_cero!$A:$A)-2,1),OFFSET(Curvas_cupon_cero!$A$1,1,MATCH(Bono_M_Cupon_fijo_curva!$B$7,Curvas_cupon_cero!$1:$1,0)-1,COUNT(Curvas_cupon_cero!$A:$A)-2,1)),interpolar(E87,OFFSET(Curvas_cupon_cero!$A$1,1,0,COUNT(Curvas_cupon_cero!$A:$A)-2,1),OFFSET(Curvas_cupon_cero!$A$1,1,MATCH(Bono_M_Cupon_fijo_curva!$B$7,Curvas_cupon_cero!$1:$1,0)-1,COUNT(Curvas_cupon_cero!$A:$A)-2,1))))</f>
        <v/>
      </c>
      <c r="G87" s="19" t="str">
        <f>IF(A87="","",C87/(1+F87*$B$6/360)^(COUNT(A$16:A87)-($B$6-$D$16)/$B$6))</f>
        <v/>
      </c>
    </row>
    <row r="88" spans="1:7" x14ac:dyDescent="0.2">
      <c r="A88" s="12" t="str">
        <f t="shared" si="6"/>
        <v/>
      </c>
      <c r="B88" t="str">
        <f t="shared" si="7"/>
        <v/>
      </c>
      <c r="C88" s="17" t="str">
        <f t="shared" si="8"/>
        <v/>
      </c>
      <c r="D88" s="18" t="str">
        <f t="shared" si="9"/>
        <v/>
      </c>
      <c r="E88" t="str">
        <f t="shared" si="10"/>
        <v/>
      </c>
      <c r="F88" s="23" t="str">
        <f ca="1">IF(A88="","",IF($B$8="Sí",interpolar_alamb(E88,OFFSET(Curvas_cupon_cero!$A$1,1,0,COUNT(Curvas_cupon_cero!$A:$A)-2,1),OFFSET(Curvas_cupon_cero!$A$1,1,MATCH(Bono_M_Cupon_fijo_curva!$B$7,Curvas_cupon_cero!$1:$1,0)-1,COUNT(Curvas_cupon_cero!$A:$A)-2,1)),interpolar(E88,OFFSET(Curvas_cupon_cero!$A$1,1,0,COUNT(Curvas_cupon_cero!$A:$A)-2,1),OFFSET(Curvas_cupon_cero!$A$1,1,MATCH(Bono_M_Cupon_fijo_curva!$B$7,Curvas_cupon_cero!$1:$1,0)-1,COUNT(Curvas_cupon_cero!$A:$A)-2,1))))</f>
        <v/>
      </c>
      <c r="G88" s="19" t="str">
        <f>IF(A88="","",C88/(1+F88*$B$6/360)^(COUNT(A$16:A88)-($B$6-$D$16)/$B$6))</f>
        <v/>
      </c>
    </row>
    <row r="89" spans="1:7" x14ac:dyDescent="0.2">
      <c r="A89" s="12" t="str">
        <f t="shared" si="6"/>
        <v/>
      </c>
      <c r="B89" t="str">
        <f t="shared" si="7"/>
        <v/>
      </c>
      <c r="C89" s="17" t="str">
        <f t="shared" si="8"/>
        <v/>
      </c>
      <c r="D89" s="18" t="str">
        <f t="shared" si="9"/>
        <v/>
      </c>
      <c r="E89" t="str">
        <f t="shared" si="10"/>
        <v/>
      </c>
      <c r="F89" s="23" t="str">
        <f ca="1">IF(A89="","",IF($B$8="Sí",interpolar_alamb(E89,OFFSET(Curvas_cupon_cero!$A$1,1,0,COUNT(Curvas_cupon_cero!$A:$A)-2,1),OFFSET(Curvas_cupon_cero!$A$1,1,MATCH(Bono_M_Cupon_fijo_curva!$B$7,Curvas_cupon_cero!$1:$1,0)-1,COUNT(Curvas_cupon_cero!$A:$A)-2,1)),interpolar(E89,OFFSET(Curvas_cupon_cero!$A$1,1,0,COUNT(Curvas_cupon_cero!$A:$A)-2,1),OFFSET(Curvas_cupon_cero!$A$1,1,MATCH(Bono_M_Cupon_fijo_curva!$B$7,Curvas_cupon_cero!$1:$1,0)-1,COUNT(Curvas_cupon_cero!$A:$A)-2,1))))</f>
        <v/>
      </c>
      <c r="G89" s="19" t="str">
        <f>IF(A89="","",C89/(1+F89*$B$6/360)^(COUNT(A$16:A89)-($B$6-$D$16)/$B$6))</f>
        <v/>
      </c>
    </row>
    <row r="90" spans="1:7" x14ac:dyDescent="0.2">
      <c r="A90" s="12" t="str">
        <f t="shared" si="6"/>
        <v/>
      </c>
      <c r="B90" t="str">
        <f t="shared" si="7"/>
        <v/>
      </c>
      <c r="C90" s="17" t="str">
        <f t="shared" si="8"/>
        <v/>
      </c>
      <c r="D90" s="18" t="str">
        <f t="shared" si="9"/>
        <v/>
      </c>
      <c r="E90" t="str">
        <f t="shared" si="10"/>
        <v/>
      </c>
      <c r="F90" s="23" t="str">
        <f ca="1">IF(A90="","",IF($B$8="Sí",interpolar_alamb(E90,OFFSET(Curvas_cupon_cero!$A$1,1,0,COUNT(Curvas_cupon_cero!$A:$A)-2,1),OFFSET(Curvas_cupon_cero!$A$1,1,MATCH(Bono_M_Cupon_fijo_curva!$B$7,Curvas_cupon_cero!$1:$1,0)-1,COUNT(Curvas_cupon_cero!$A:$A)-2,1)),interpolar(E90,OFFSET(Curvas_cupon_cero!$A$1,1,0,COUNT(Curvas_cupon_cero!$A:$A)-2,1),OFFSET(Curvas_cupon_cero!$A$1,1,MATCH(Bono_M_Cupon_fijo_curva!$B$7,Curvas_cupon_cero!$1:$1,0)-1,COUNT(Curvas_cupon_cero!$A:$A)-2,1))))</f>
        <v/>
      </c>
      <c r="G90" s="19" t="str">
        <f>IF(A90="","",C90/(1+F90*$B$6/360)^(COUNT(A$16:A90)-($B$6-$D$16)/$B$6))</f>
        <v/>
      </c>
    </row>
    <row r="91" spans="1:7" x14ac:dyDescent="0.2">
      <c r="A91" s="12" t="str">
        <f t="shared" ref="A91:A154" si="11">IF(A90="","",IF((A90+$B$6)&gt;$B$4,"",(A90+$B$6)))</f>
        <v/>
      </c>
      <c r="B91" t="str">
        <f t="shared" si="7"/>
        <v/>
      </c>
      <c r="C91" s="17" t="str">
        <f t="shared" si="8"/>
        <v/>
      </c>
      <c r="D91" s="18" t="str">
        <f t="shared" si="9"/>
        <v/>
      </c>
      <c r="E91" t="str">
        <f t="shared" si="10"/>
        <v/>
      </c>
      <c r="F91" s="23" t="str">
        <f ca="1">IF(A91="","",IF($B$8="Sí",interpolar_alamb(E91,OFFSET(Curvas_cupon_cero!$A$1,1,0,COUNT(Curvas_cupon_cero!$A:$A)-2,1),OFFSET(Curvas_cupon_cero!$A$1,1,MATCH(Bono_M_Cupon_fijo_curva!$B$7,Curvas_cupon_cero!$1:$1,0)-1,COUNT(Curvas_cupon_cero!$A:$A)-2,1)),interpolar(E91,OFFSET(Curvas_cupon_cero!$A$1,1,0,COUNT(Curvas_cupon_cero!$A:$A)-2,1),OFFSET(Curvas_cupon_cero!$A$1,1,MATCH(Bono_M_Cupon_fijo_curva!$B$7,Curvas_cupon_cero!$1:$1,0)-1,COUNT(Curvas_cupon_cero!$A:$A)-2,1))))</f>
        <v/>
      </c>
      <c r="G91" s="19" t="str">
        <f>IF(A91="","",C91/(1+F91*$B$6/360)^(COUNT(A$16:A91)-($B$6-$D$16)/$B$6))</f>
        <v/>
      </c>
    </row>
    <row r="92" spans="1:7" x14ac:dyDescent="0.2">
      <c r="A92" s="12" t="str">
        <f t="shared" si="11"/>
        <v/>
      </c>
      <c r="B92" t="str">
        <f t="shared" si="7"/>
        <v/>
      </c>
      <c r="C92" s="17" t="str">
        <f t="shared" si="8"/>
        <v/>
      </c>
      <c r="D92" s="18" t="str">
        <f t="shared" si="9"/>
        <v/>
      </c>
      <c r="E92" t="str">
        <f t="shared" si="10"/>
        <v/>
      </c>
      <c r="F92" s="23" t="str">
        <f ca="1">IF(A92="","",IF($B$8="Sí",interpolar_alamb(E92,OFFSET(Curvas_cupon_cero!$A$1,1,0,COUNT(Curvas_cupon_cero!$A:$A)-2,1),OFFSET(Curvas_cupon_cero!$A$1,1,MATCH(Bono_M_Cupon_fijo_curva!$B$7,Curvas_cupon_cero!$1:$1,0)-1,COUNT(Curvas_cupon_cero!$A:$A)-2,1)),interpolar(E92,OFFSET(Curvas_cupon_cero!$A$1,1,0,COUNT(Curvas_cupon_cero!$A:$A)-2,1),OFFSET(Curvas_cupon_cero!$A$1,1,MATCH(Bono_M_Cupon_fijo_curva!$B$7,Curvas_cupon_cero!$1:$1,0)-1,COUNT(Curvas_cupon_cero!$A:$A)-2,1))))</f>
        <v/>
      </c>
      <c r="G92" s="19" t="str">
        <f>IF(A92="","",C92/(1+F92*$B$6/360)^(COUNT(A$16:A92)-($B$6-$D$16)/$B$6))</f>
        <v/>
      </c>
    </row>
    <row r="93" spans="1:7" x14ac:dyDescent="0.2">
      <c r="A93" s="12" t="str">
        <f t="shared" si="11"/>
        <v/>
      </c>
      <c r="B93" t="str">
        <f t="shared" si="7"/>
        <v/>
      </c>
      <c r="C93" s="17" t="str">
        <f t="shared" si="8"/>
        <v/>
      </c>
      <c r="D93" s="18" t="str">
        <f t="shared" si="9"/>
        <v/>
      </c>
      <c r="E93" t="str">
        <f t="shared" si="10"/>
        <v/>
      </c>
      <c r="F93" s="23" t="str">
        <f ca="1">IF(A93="","",IF($B$8="Sí",interpolar_alamb(E93,OFFSET(Curvas_cupon_cero!$A$1,1,0,COUNT(Curvas_cupon_cero!$A:$A)-2,1),OFFSET(Curvas_cupon_cero!$A$1,1,MATCH(Bono_M_Cupon_fijo_curva!$B$7,Curvas_cupon_cero!$1:$1,0)-1,COUNT(Curvas_cupon_cero!$A:$A)-2,1)),interpolar(E93,OFFSET(Curvas_cupon_cero!$A$1,1,0,COUNT(Curvas_cupon_cero!$A:$A)-2,1),OFFSET(Curvas_cupon_cero!$A$1,1,MATCH(Bono_M_Cupon_fijo_curva!$B$7,Curvas_cupon_cero!$1:$1,0)-1,COUNT(Curvas_cupon_cero!$A:$A)-2,1))))</f>
        <v/>
      </c>
      <c r="G93" s="19" t="str">
        <f>IF(A93="","",C93/(1+F93*$B$6/360)^(COUNT(A$16:A93)-($B$6-$D$16)/$B$6))</f>
        <v/>
      </c>
    </row>
    <row r="94" spans="1:7" x14ac:dyDescent="0.2">
      <c r="A94" s="12" t="str">
        <f t="shared" si="11"/>
        <v/>
      </c>
      <c r="B94" t="str">
        <f t="shared" si="7"/>
        <v/>
      </c>
      <c r="C94" s="17" t="str">
        <f t="shared" si="8"/>
        <v/>
      </c>
      <c r="D94" s="18" t="str">
        <f t="shared" si="9"/>
        <v/>
      </c>
      <c r="E94" t="str">
        <f t="shared" si="10"/>
        <v/>
      </c>
      <c r="F94" s="23" t="str">
        <f ca="1">IF(A94="","",IF($B$8="Sí",interpolar_alamb(E94,OFFSET(Curvas_cupon_cero!$A$1,1,0,COUNT(Curvas_cupon_cero!$A:$A)-2,1),OFFSET(Curvas_cupon_cero!$A$1,1,MATCH(Bono_M_Cupon_fijo_curva!$B$7,Curvas_cupon_cero!$1:$1,0)-1,COUNT(Curvas_cupon_cero!$A:$A)-2,1)),interpolar(E94,OFFSET(Curvas_cupon_cero!$A$1,1,0,COUNT(Curvas_cupon_cero!$A:$A)-2,1),OFFSET(Curvas_cupon_cero!$A$1,1,MATCH(Bono_M_Cupon_fijo_curva!$B$7,Curvas_cupon_cero!$1:$1,0)-1,COUNT(Curvas_cupon_cero!$A:$A)-2,1))))</f>
        <v/>
      </c>
      <c r="G94" s="19" t="str">
        <f>IF(A94="","",C94/(1+F94*$B$6/360)^(COUNT(A$16:A94)-($B$6-$D$16)/$B$6))</f>
        <v/>
      </c>
    </row>
    <row r="95" spans="1:7" x14ac:dyDescent="0.2">
      <c r="A95" s="12" t="str">
        <f t="shared" si="11"/>
        <v/>
      </c>
      <c r="B95" t="str">
        <f t="shared" si="7"/>
        <v/>
      </c>
      <c r="C95" s="17" t="str">
        <f t="shared" si="8"/>
        <v/>
      </c>
      <c r="D95" s="18" t="str">
        <f t="shared" si="9"/>
        <v/>
      </c>
      <c r="E95" t="str">
        <f t="shared" si="10"/>
        <v/>
      </c>
      <c r="F95" s="23" t="str">
        <f ca="1">IF(A95="","",IF($B$8="Sí",interpolar_alamb(E95,OFFSET(Curvas_cupon_cero!$A$1,1,0,COUNT(Curvas_cupon_cero!$A:$A)-2,1),OFFSET(Curvas_cupon_cero!$A$1,1,MATCH(Bono_M_Cupon_fijo_curva!$B$7,Curvas_cupon_cero!$1:$1,0)-1,COUNT(Curvas_cupon_cero!$A:$A)-2,1)),interpolar(E95,OFFSET(Curvas_cupon_cero!$A$1,1,0,COUNT(Curvas_cupon_cero!$A:$A)-2,1),OFFSET(Curvas_cupon_cero!$A$1,1,MATCH(Bono_M_Cupon_fijo_curva!$B$7,Curvas_cupon_cero!$1:$1,0)-1,COUNT(Curvas_cupon_cero!$A:$A)-2,1))))</f>
        <v/>
      </c>
      <c r="G95" s="19" t="str">
        <f>IF(A95="","",C95/(1+F95*$B$6/360)^(COUNT(A$16:A95)-($B$6-$D$16)/$B$6))</f>
        <v/>
      </c>
    </row>
    <row r="96" spans="1:7" x14ac:dyDescent="0.2">
      <c r="A96" s="12" t="str">
        <f t="shared" si="11"/>
        <v/>
      </c>
      <c r="B96" t="str">
        <f t="shared" si="7"/>
        <v/>
      </c>
      <c r="C96" s="17" t="str">
        <f t="shared" si="8"/>
        <v/>
      </c>
      <c r="D96" s="18" t="str">
        <f t="shared" si="9"/>
        <v/>
      </c>
      <c r="E96" t="str">
        <f t="shared" si="10"/>
        <v/>
      </c>
      <c r="F96" s="23" t="str">
        <f ca="1">IF(A96="","",IF($B$8="Sí",interpolar_alamb(E96,OFFSET(Curvas_cupon_cero!$A$1,1,0,COUNT(Curvas_cupon_cero!$A:$A)-2,1),OFFSET(Curvas_cupon_cero!$A$1,1,MATCH(Bono_M_Cupon_fijo_curva!$B$7,Curvas_cupon_cero!$1:$1,0)-1,COUNT(Curvas_cupon_cero!$A:$A)-2,1)),interpolar(E96,OFFSET(Curvas_cupon_cero!$A$1,1,0,COUNT(Curvas_cupon_cero!$A:$A)-2,1),OFFSET(Curvas_cupon_cero!$A$1,1,MATCH(Bono_M_Cupon_fijo_curva!$B$7,Curvas_cupon_cero!$1:$1,0)-1,COUNT(Curvas_cupon_cero!$A:$A)-2,1))))</f>
        <v/>
      </c>
      <c r="G96" s="19" t="str">
        <f>IF(A96="","",C96/(1+F96*$B$6/360)^(COUNT(A$16:A96)-($B$6-$D$16)/$B$6))</f>
        <v/>
      </c>
    </row>
    <row r="97" spans="1:7" x14ac:dyDescent="0.2">
      <c r="A97" s="12" t="str">
        <f t="shared" si="11"/>
        <v/>
      </c>
      <c r="B97" t="str">
        <f t="shared" si="7"/>
        <v/>
      </c>
      <c r="C97" s="17" t="str">
        <f t="shared" si="8"/>
        <v/>
      </c>
      <c r="D97" s="18" t="str">
        <f t="shared" si="9"/>
        <v/>
      </c>
      <c r="E97" t="str">
        <f t="shared" si="10"/>
        <v/>
      </c>
      <c r="F97" s="23" t="str">
        <f ca="1">IF(A97="","",IF($B$8="Sí",interpolar_alamb(E97,OFFSET(Curvas_cupon_cero!$A$1,1,0,COUNT(Curvas_cupon_cero!$A:$A)-2,1),OFFSET(Curvas_cupon_cero!$A$1,1,MATCH(Bono_M_Cupon_fijo_curva!$B$7,Curvas_cupon_cero!$1:$1,0)-1,COUNT(Curvas_cupon_cero!$A:$A)-2,1)),interpolar(E97,OFFSET(Curvas_cupon_cero!$A$1,1,0,COUNT(Curvas_cupon_cero!$A:$A)-2,1),OFFSET(Curvas_cupon_cero!$A$1,1,MATCH(Bono_M_Cupon_fijo_curva!$B$7,Curvas_cupon_cero!$1:$1,0)-1,COUNT(Curvas_cupon_cero!$A:$A)-2,1))))</f>
        <v/>
      </c>
      <c r="G97" s="19" t="str">
        <f>IF(A97="","",C97/(1+F97*$B$6/360)^(COUNT(A$16:A97)-($B$6-$D$16)/$B$6))</f>
        <v/>
      </c>
    </row>
    <row r="98" spans="1:7" x14ac:dyDescent="0.2">
      <c r="A98" s="12" t="str">
        <f t="shared" si="11"/>
        <v/>
      </c>
      <c r="B98" t="str">
        <f t="shared" si="7"/>
        <v/>
      </c>
      <c r="C98" s="17" t="str">
        <f t="shared" si="8"/>
        <v/>
      </c>
      <c r="D98" s="18" t="str">
        <f t="shared" si="9"/>
        <v/>
      </c>
      <c r="E98" t="str">
        <f t="shared" si="10"/>
        <v/>
      </c>
      <c r="F98" s="23" t="str">
        <f ca="1">IF(A98="","",IF($B$8="Sí",interpolar_alamb(E98,OFFSET(Curvas_cupon_cero!$A$1,1,0,COUNT(Curvas_cupon_cero!$A:$A)-2,1),OFFSET(Curvas_cupon_cero!$A$1,1,MATCH(Bono_M_Cupon_fijo_curva!$B$7,Curvas_cupon_cero!$1:$1,0)-1,COUNT(Curvas_cupon_cero!$A:$A)-2,1)),interpolar(E98,OFFSET(Curvas_cupon_cero!$A$1,1,0,COUNT(Curvas_cupon_cero!$A:$A)-2,1),OFFSET(Curvas_cupon_cero!$A$1,1,MATCH(Bono_M_Cupon_fijo_curva!$B$7,Curvas_cupon_cero!$1:$1,0)-1,COUNT(Curvas_cupon_cero!$A:$A)-2,1))))</f>
        <v/>
      </c>
      <c r="G98" s="19" t="str">
        <f>IF(A98="","",C98/(1+F98*$B$6/360)^(COUNT(A$16:A98)-($B$6-$D$16)/$B$6))</f>
        <v/>
      </c>
    </row>
    <row r="99" spans="1:7" x14ac:dyDescent="0.2">
      <c r="A99" s="12" t="str">
        <f t="shared" si="11"/>
        <v/>
      </c>
      <c r="B99" t="str">
        <f t="shared" si="7"/>
        <v/>
      </c>
      <c r="C99" s="17" t="str">
        <f t="shared" si="8"/>
        <v/>
      </c>
      <c r="D99" s="18" t="str">
        <f t="shared" si="9"/>
        <v/>
      </c>
      <c r="E99" t="str">
        <f t="shared" si="10"/>
        <v/>
      </c>
      <c r="F99" s="23" t="str">
        <f ca="1">IF(A99="","",IF($B$8="Sí",interpolar_alamb(E99,OFFSET(Curvas_cupon_cero!$A$1,1,0,COUNT(Curvas_cupon_cero!$A:$A)-2,1),OFFSET(Curvas_cupon_cero!$A$1,1,MATCH(Bono_M_Cupon_fijo_curva!$B$7,Curvas_cupon_cero!$1:$1,0)-1,COUNT(Curvas_cupon_cero!$A:$A)-2,1)),interpolar(E99,OFFSET(Curvas_cupon_cero!$A$1,1,0,COUNT(Curvas_cupon_cero!$A:$A)-2,1),OFFSET(Curvas_cupon_cero!$A$1,1,MATCH(Bono_M_Cupon_fijo_curva!$B$7,Curvas_cupon_cero!$1:$1,0)-1,COUNT(Curvas_cupon_cero!$A:$A)-2,1))))</f>
        <v/>
      </c>
      <c r="G99" s="19" t="str">
        <f>IF(A99="","",C99/(1+F99*$B$6/360)^(COUNT(A$16:A99)-($B$6-$D$16)/$B$6))</f>
        <v/>
      </c>
    </row>
    <row r="100" spans="1:7" x14ac:dyDescent="0.2">
      <c r="A100" s="12" t="str">
        <f t="shared" si="11"/>
        <v/>
      </c>
      <c r="B100" t="str">
        <f t="shared" si="7"/>
        <v/>
      </c>
      <c r="C100" s="17" t="str">
        <f t="shared" si="8"/>
        <v/>
      </c>
      <c r="D100" s="18" t="str">
        <f t="shared" si="9"/>
        <v/>
      </c>
      <c r="E100" t="str">
        <f t="shared" si="10"/>
        <v/>
      </c>
      <c r="F100" s="23" t="str">
        <f ca="1">IF(A100="","",IF($B$8="Sí",interpolar_alamb(E100,OFFSET(Curvas_cupon_cero!$A$1,1,0,COUNT(Curvas_cupon_cero!$A:$A)-2,1),OFFSET(Curvas_cupon_cero!$A$1,1,MATCH(Bono_M_Cupon_fijo_curva!$B$7,Curvas_cupon_cero!$1:$1,0)-1,COUNT(Curvas_cupon_cero!$A:$A)-2,1)),interpolar(E100,OFFSET(Curvas_cupon_cero!$A$1,1,0,COUNT(Curvas_cupon_cero!$A:$A)-2,1),OFFSET(Curvas_cupon_cero!$A$1,1,MATCH(Bono_M_Cupon_fijo_curva!$B$7,Curvas_cupon_cero!$1:$1,0)-1,COUNT(Curvas_cupon_cero!$A:$A)-2,1))))</f>
        <v/>
      </c>
      <c r="G100" s="19" t="str">
        <f>IF(A100="","",C100/(1+F100*$B$6/360)^(COUNT(A$16:A100)-($B$6-$D$16)/$B$6))</f>
        <v/>
      </c>
    </row>
    <row r="101" spans="1:7" x14ac:dyDescent="0.2">
      <c r="A101" s="12" t="str">
        <f t="shared" si="11"/>
        <v/>
      </c>
      <c r="B101" t="str">
        <f t="shared" si="7"/>
        <v/>
      </c>
      <c r="C101" s="17" t="str">
        <f t="shared" si="8"/>
        <v/>
      </c>
      <c r="D101" s="18" t="str">
        <f t="shared" si="9"/>
        <v/>
      </c>
      <c r="E101" t="str">
        <f t="shared" si="10"/>
        <v/>
      </c>
      <c r="F101" s="23" t="str">
        <f ca="1">IF(A101="","",IF($B$8="Sí",interpolar_alamb(E101,OFFSET(Curvas_cupon_cero!$A$1,1,0,COUNT(Curvas_cupon_cero!$A:$A)-2,1),OFFSET(Curvas_cupon_cero!$A$1,1,MATCH(Bono_M_Cupon_fijo_curva!$B$7,Curvas_cupon_cero!$1:$1,0)-1,COUNT(Curvas_cupon_cero!$A:$A)-2,1)),interpolar(E101,OFFSET(Curvas_cupon_cero!$A$1,1,0,COUNT(Curvas_cupon_cero!$A:$A)-2,1),OFFSET(Curvas_cupon_cero!$A$1,1,MATCH(Bono_M_Cupon_fijo_curva!$B$7,Curvas_cupon_cero!$1:$1,0)-1,COUNT(Curvas_cupon_cero!$A:$A)-2,1))))</f>
        <v/>
      </c>
      <c r="G101" s="19" t="str">
        <f>IF(A101="","",C101/(1+F101*$B$6/360)^(COUNT(A$16:A101)-($B$6-$D$16)/$B$6))</f>
        <v/>
      </c>
    </row>
    <row r="102" spans="1:7" x14ac:dyDescent="0.2">
      <c r="A102" s="12" t="str">
        <f t="shared" si="11"/>
        <v/>
      </c>
      <c r="B102" t="str">
        <f t="shared" si="7"/>
        <v/>
      </c>
      <c r="C102" s="17" t="str">
        <f t="shared" si="8"/>
        <v/>
      </c>
      <c r="D102" s="18" t="str">
        <f t="shared" si="9"/>
        <v/>
      </c>
      <c r="E102" t="str">
        <f t="shared" si="10"/>
        <v/>
      </c>
      <c r="F102" s="23" t="str">
        <f ca="1">IF(A102="","",IF($B$8="Sí",interpolar_alamb(E102,OFFSET(Curvas_cupon_cero!$A$1,1,0,COUNT(Curvas_cupon_cero!$A:$A)-2,1),OFFSET(Curvas_cupon_cero!$A$1,1,MATCH(Bono_M_Cupon_fijo_curva!$B$7,Curvas_cupon_cero!$1:$1,0)-1,COUNT(Curvas_cupon_cero!$A:$A)-2,1)),interpolar(E102,OFFSET(Curvas_cupon_cero!$A$1,1,0,COUNT(Curvas_cupon_cero!$A:$A)-2,1),OFFSET(Curvas_cupon_cero!$A$1,1,MATCH(Bono_M_Cupon_fijo_curva!$B$7,Curvas_cupon_cero!$1:$1,0)-1,COUNT(Curvas_cupon_cero!$A:$A)-2,1))))</f>
        <v/>
      </c>
      <c r="G102" s="19" t="str">
        <f>IF(A102="","",C102/(1+F102*$B$6/360)^(COUNT(A$16:A102)-($B$6-$D$16)/$B$6))</f>
        <v/>
      </c>
    </row>
    <row r="103" spans="1:7" x14ac:dyDescent="0.2">
      <c r="A103" s="12" t="str">
        <f t="shared" si="11"/>
        <v/>
      </c>
      <c r="B103" t="str">
        <f t="shared" si="7"/>
        <v/>
      </c>
      <c r="C103" s="17" t="str">
        <f t="shared" si="8"/>
        <v/>
      </c>
      <c r="D103" s="18" t="str">
        <f t="shared" si="9"/>
        <v/>
      </c>
      <c r="E103" t="str">
        <f t="shared" si="10"/>
        <v/>
      </c>
      <c r="F103" s="23" t="str">
        <f ca="1">IF(A103="","",IF($B$8="Sí",interpolar_alamb(E103,OFFSET(Curvas_cupon_cero!$A$1,1,0,COUNT(Curvas_cupon_cero!$A:$A)-2,1),OFFSET(Curvas_cupon_cero!$A$1,1,MATCH(Bono_M_Cupon_fijo_curva!$B$7,Curvas_cupon_cero!$1:$1,0)-1,COUNT(Curvas_cupon_cero!$A:$A)-2,1)),interpolar(E103,OFFSET(Curvas_cupon_cero!$A$1,1,0,COUNT(Curvas_cupon_cero!$A:$A)-2,1),OFFSET(Curvas_cupon_cero!$A$1,1,MATCH(Bono_M_Cupon_fijo_curva!$B$7,Curvas_cupon_cero!$1:$1,0)-1,COUNT(Curvas_cupon_cero!$A:$A)-2,1))))</f>
        <v/>
      </c>
      <c r="G103" s="19" t="str">
        <f>IF(A103="","",C103/(1+F103*$B$6/360)^(COUNT(A$16:A103)-($B$6-$D$16)/$B$6))</f>
        <v/>
      </c>
    </row>
    <row r="104" spans="1:7" x14ac:dyDescent="0.2">
      <c r="A104" s="12" t="str">
        <f t="shared" si="11"/>
        <v/>
      </c>
      <c r="B104" t="str">
        <f t="shared" si="7"/>
        <v/>
      </c>
      <c r="C104" s="17" t="str">
        <f t="shared" si="8"/>
        <v/>
      </c>
      <c r="D104" s="18" t="str">
        <f t="shared" si="9"/>
        <v/>
      </c>
      <c r="E104" t="str">
        <f t="shared" si="10"/>
        <v/>
      </c>
      <c r="F104" s="23" t="str">
        <f ca="1">IF(A104="","",IF($B$8="Sí",interpolar_alamb(E104,OFFSET(Curvas_cupon_cero!$A$1,1,0,COUNT(Curvas_cupon_cero!$A:$A)-2,1),OFFSET(Curvas_cupon_cero!$A$1,1,MATCH(Bono_M_Cupon_fijo_curva!$B$7,Curvas_cupon_cero!$1:$1,0)-1,COUNT(Curvas_cupon_cero!$A:$A)-2,1)),interpolar(E104,OFFSET(Curvas_cupon_cero!$A$1,1,0,COUNT(Curvas_cupon_cero!$A:$A)-2,1),OFFSET(Curvas_cupon_cero!$A$1,1,MATCH(Bono_M_Cupon_fijo_curva!$B$7,Curvas_cupon_cero!$1:$1,0)-1,COUNT(Curvas_cupon_cero!$A:$A)-2,1))))</f>
        <v/>
      </c>
      <c r="G104" s="19" t="str">
        <f>IF(A104="","",C104/(1+F104*$B$6/360)^(COUNT(A$16:A104)-($B$6-$D$16)/$B$6))</f>
        <v/>
      </c>
    </row>
    <row r="105" spans="1:7" x14ac:dyDescent="0.2">
      <c r="A105" s="12" t="str">
        <f t="shared" si="11"/>
        <v/>
      </c>
      <c r="B105" t="str">
        <f t="shared" si="7"/>
        <v/>
      </c>
      <c r="C105" s="17" t="str">
        <f t="shared" si="8"/>
        <v/>
      </c>
      <c r="D105" s="18" t="str">
        <f t="shared" si="9"/>
        <v/>
      </c>
      <c r="E105" t="str">
        <f t="shared" si="10"/>
        <v/>
      </c>
      <c r="F105" s="23" t="str">
        <f ca="1">IF(A105="","",IF($B$8="Sí",interpolar_alamb(E105,OFFSET(Curvas_cupon_cero!$A$1,1,0,COUNT(Curvas_cupon_cero!$A:$A)-2,1),OFFSET(Curvas_cupon_cero!$A$1,1,MATCH(Bono_M_Cupon_fijo_curva!$B$7,Curvas_cupon_cero!$1:$1,0)-1,COUNT(Curvas_cupon_cero!$A:$A)-2,1)),interpolar(E105,OFFSET(Curvas_cupon_cero!$A$1,1,0,COUNT(Curvas_cupon_cero!$A:$A)-2,1),OFFSET(Curvas_cupon_cero!$A$1,1,MATCH(Bono_M_Cupon_fijo_curva!$B$7,Curvas_cupon_cero!$1:$1,0)-1,COUNT(Curvas_cupon_cero!$A:$A)-2,1))))</f>
        <v/>
      </c>
      <c r="G105" s="19" t="str">
        <f>IF(A105="","",C105/(1+F105*$B$6/360)^(COUNT(A$16:A105)-($B$6-$D$16)/$B$6))</f>
        <v/>
      </c>
    </row>
    <row r="106" spans="1:7" x14ac:dyDescent="0.2">
      <c r="A106" s="12" t="str">
        <f t="shared" si="11"/>
        <v/>
      </c>
      <c r="B106" t="str">
        <f t="shared" si="7"/>
        <v/>
      </c>
      <c r="C106" s="17" t="str">
        <f t="shared" si="8"/>
        <v/>
      </c>
      <c r="D106" s="18" t="str">
        <f t="shared" si="9"/>
        <v/>
      </c>
      <c r="E106" t="str">
        <f t="shared" si="10"/>
        <v/>
      </c>
      <c r="F106" s="23" t="str">
        <f ca="1">IF(A106="","",IF($B$8="Sí",interpolar_alamb(E106,OFFSET(Curvas_cupon_cero!$A$1,1,0,COUNT(Curvas_cupon_cero!$A:$A)-2,1),OFFSET(Curvas_cupon_cero!$A$1,1,MATCH(Bono_M_Cupon_fijo_curva!$B$7,Curvas_cupon_cero!$1:$1,0)-1,COUNT(Curvas_cupon_cero!$A:$A)-2,1)),interpolar(E106,OFFSET(Curvas_cupon_cero!$A$1,1,0,COUNT(Curvas_cupon_cero!$A:$A)-2,1),OFFSET(Curvas_cupon_cero!$A$1,1,MATCH(Bono_M_Cupon_fijo_curva!$B$7,Curvas_cupon_cero!$1:$1,0)-1,COUNT(Curvas_cupon_cero!$A:$A)-2,1))))</f>
        <v/>
      </c>
      <c r="G106" s="19" t="str">
        <f>IF(A106="","",C106/(1+F106*$B$6/360)^(COUNT(A$16:A106)-($B$6-$D$16)/$B$6))</f>
        <v/>
      </c>
    </row>
    <row r="107" spans="1:7" x14ac:dyDescent="0.2">
      <c r="A107" s="12" t="str">
        <f t="shared" si="11"/>
        <v/>
      </c>
      <c r="B107" t="str">
        <f t="shared" si="7"/>
        <v/>
      </c>
      <c r="C107" s="17" t="str">
        <f t="shared" si="8"/>
        <v/>
      </c>
      <c r="D107" s="18" t="str">
        <f t="shared" si="9"/>
        <v/>
      </c>
      <c r="E107" t="str">
        <f t="shared" si="10"/>
        <v/>
      </c>
      <c r="F107" s="23" t="str">
        <f ca="1">IF(A107="","",IF($B$8="Sí",interpolar_alamb(E107,OFFSET(Curvas_cupon_cero!$A$1,1,0,COUNT(Curvas_cupon_cero!$A:$A)-2,1),OFFSET(Curvas_cupon_cero!$A$1,1,MATCH(Bono_M_Cupon_fijo_curva!$B$7,Curvas_cupon_cero!$1:$1,0)-1,COUNT(Curvas_cupon_cero!$A:$A)-2,1)),interpolar(E107,OFFSET(Curvas_cupon_cero!$A$1,1,0,COUNT(Curvas_cupon_cero!$A:$A)-2,1),OFFSET(Curvas_cupon_cero!$A$1,1,MATCH(Bono_M_Cupon_fijo_curva!$B$7,Curvas_cupon_cero!$1:$1,0)-1,COUNT(Curvas_cupon_cero!$A:$A)-2,1))))</f>
        <v/>
      </c>
      <c r="G107" s="19" t="str">
        <f>IF(A107="","",C107/(1+F107*$B$6/360)^(COUNT(A$16:A107)-($B$6-$D$16)/$B$6))</f>
        <v/>
      </c>
    </row>
    <row r="108" spans="1:7" x14ac:dyDescent="0.2">
      <c r="A108" s="12" t="str">
        <f t="shared" si="11"/>
        <v/>
      </c>
      <c r="B108" t="str">
        <f t="shared" si="7"/>
        <v/>
      </c>
      <c r="C108" s="17" t="str">
        <f t="shared" si="8"/>
        <v/>
      </c>
      <c r="D108" s="18" t="str">
        <f t="shared" si="9"/>
        <v/>
      </c>
      <c r="E108" t="str">
        <f t="shared" si="10"/>
        <v/>
      </c>
      <c r="F108" s="23" t="str">
        <f ca="1">IF(A108="","",IF($B$8="Sí",interpolar_alamb(E108,OFFSET(Curvas_cupon_cero!$A$1,1,0,COUNT(Curvas_cupon_cero!$A:$A)-2,1),OFFSET(Curvas_cupon_cero!$A$1,1,MATCH(Bono_M_Cupon_fijo_curva!$B$7,Curvas_cupon_cero!$1:$1,0)-1,COUNT(Curvas_cupon_cero!$A:$A)-2,1)),interpolar(E108,OFFSET(Curvas_cupon_cero!$A$1,1,0,COUNT(Curvas_cupon_cero!$A:$A)-2,1),OFFSET(Curvas_cupon_cero!$A$1,1,MATCH(Bono_M_Cupon_fijo_curva!$B$7,Curvas_cupon_cero!$1:$1,0)-1,COUNT(Curvas_cupon_cero!$A:$A)-2,1))))</f>
        <v/>
      </c>
      <c r="G108" s="19" t="str">
        <f>IF(A108="","",C108/(1+F108*$B$6/360)^(COUNT(A$16:A108)-($B$6-$D$16)/$B$6))</f>
        <v/>
      </c>
    </row>
    <row r="109" spans="1:7" x14ac:dyDescent="0.2">
      <c r="A109" s="12" t="str">
        <f t="shared" si="11"/>
        <v/>
      </c>
      <c r="B109" t="str">
        <f t="shared" si="7"/>
        <v/>
      </c>
      <c r="C109" s="17" t="str">
        <f t="shared" si="8"/>
        <v/>
      </c>
      <c r="D109" s="18" t="str">
        <f t="shared" si="9"/>
        <v/>
      </c>
      <c r="E109" t="str">
        <f t="shared" si="10"/>
        <v/>
      </c>
      <c r="F109" s="23" t="str">
        <f ca="1">IF(A109="","",IF($B$8="Sí",interpolar_alamb(E109,OFFSET(Curvas_cupon_cero!$A$1,1,0,COUNT(Curvas_cupon_cero!$A:$A)-2,1),OFFSET(Curvas_cupon_cero!$A$1,1,MATCH(Bono_M_Cupon_fijo_curva!$B$7,Curvas_cupon_cero!$1:$1,0)-1,COUNT(Curvas_cupon_cero!$A:$A)-2,1)),interpolar(E109,OFFSET(Curvas_cupon_cero!$A$1,1,0,COUNT(Curvas_cupon_cero!$A:$A)-2,1),OFFSET(Curvas_cupon_cero!$A$1,1,MATCH(Bono_M_Cupon_fijo_curva!$B$7,Curvas_cupon_cero!$1:$1,0)-1,COUNT(Curvas_cupon_cero!$A:$A)-2,1))))</f>
        <v/>
      </c>
      <c r="G109" s="19" t="str">
        <f>IF(A109="","",C109/(1+F109*$B$6/360)^(COUNT(A$16:A109)-($B$6-$D$16)/$B$6))</f>
        <v/>
      </c>
    </row>
    <row r="110" spans="1:7" x14ac:dyDescent="0.2">
      <c r="A110" s="12" t="str">
        <f t="shared" si="11"/>
        <v/>
      </c>
      <c r="B110" t="str">
        <f t="shared" si="7"/>
        <v/>
      </c>
      <c r="C110" s="17" t="str">
        <f t="shared" si="8"/>
        <v/>
      </c>
      <c r="D110" s="18" t="str">
        <f t="shared" si="9"/>
        <v/>
      </c>
      <c r="E110" t="str">
        <f t="shared" si="10"/>
        <v/>
      </c>
      <c r="F110" s="23" t="str">
        <f ca="1">IF(A110="","",IF($B$8="Sí",interpolar_alamb(E110,OFFSET(Curvas_cupon_cero!$A$1,1,0,COUNT(Curvas_cupon_cero!$A:$A)-2,1),OFFSET(Curvas_cupon_cero!$A$1,1,MATCH(Bono_M_Cupon_fijo_curva!$B$7,Curvas_cupon_cero!$1:$1,0)-1,COUNT(Curvas_cupon_cero!$A:$A)-2,1)),interpolar(E110,OFFSET(Curvas_cupon_cero!$A$1,1,0,COUNT(Curvas_cupon_cero!$A:$A)-2,1),OFFSET(Curvas_cupon_cero!$A$1,1,MATCH(Bono_M_Cupon_fijo_curva!$B$7,Curvas_cupon_cero!$1:$1,0)-1,COUNT(Curvas_cupon_cero!$A:$A)-2,1))))</f>
        <v/>
      </c>
      <c r="G110" s="19" t="str">
        <f>IF(A110="","",C110/(1+F110*$B$6/360)^(COUNT(A$16:A110)-($B$6-$D$16)/$B$6))</f>
        <v/>
      </c>
    </row>
    <row r="111" spans="1:7" x14ac:dyDescent="0.2">
      <c r="A111" s="12" t="str">
        <f t="shared" si="11"/>
        <v/>
      </c>
      <c r="B111" t="str">
        <f t="shared" si="7"/>
        <v/>
      </c>
      <c r="C111" s="17" t="str">
        <f t="shared" si="8"/>
        <v/>
      </c>
      <c r="D111" s="18" t="str">
        <f t="shared" si="9"/>
        <v/>
      </c>
      <c r="E111" t="str">
        <f t="shared" si="10"/>
        <v/>
      </c>
      <c r="F111" s="23" t="str">
        <f ca="1">IF(A111="","",IF($B$8="Sí",interpolar_alamb(E111,OFFSET(Curvas_cupon_cero!$A$1,1,0,COUNT(Curvas_cupon_cero!$A:$A)-2,1),OFFSET(Curvas_cupon_cero!$A$1,1,MATCH(Bono_M_Cupon_fijo_curva!$B$7,Curvas_cupon_cero!$1:$1,0)-1,COUNT(Curvas_cupon_cero!$A:$A)-2,1)),interpolar(E111,OFFSET(Curvas_cupon_cero!$A$1,1,0,COUNT(Curvas_cupon_cero!$A:$A)-2,1),OFFSET(Curvas_cupon_cero!$A$1,1,MATCH(Bono_M_Cupon_fijo_curva!$B$7,Curvas_cupon_cero!$1:$1,0)-1,COUNT(Curvas_cupon_cero!$A:$A)-2,1))))</f>
        <v/>
      </c>
      <c r="G111" s="19" t="str">
        <f>IF(A111="","",C111/(1+F111*$B$6/360)^(COUNT(A$16:A111)-($B$6-$D$16)/$B$6))</f>
        <v/>
      </c>
    </row>
    <row r="112" spans="1:7" x14ac:dyDescent="0.2">
      <c r="A112" s="12" t="str">
        <f t="shared" si="11"/>
        <v/>
      </c>
      <c r="B112" t="str">
        <f t="shared" si="7"/>
        <v/>
      </c>
      <c r="C112" s="17" t="str">
        <f t="shared" si="8"/>
        <v/>
      </c>
      <c r="D112" s="18" t="str">
        <f t="shared" si="9"/>
        <v/>
      </c>
      <c r="E112" t="str">
        <f t="shared" si="10"/>
        <v/>
      </c>
      <c r="F112" s="23" t="str">
        <f ca="1">IF(A112="","",IF($B$8="Sí",interpolar_alamb(E112,OFFSET(Curvas_cupon_cero!$A$1,1,0,COUNT(Curvas_cupon_cero!$A:$A)-2,1),OFFSET(Curvas_cupon_cero!$A$1,1,MATCH(Bono_M_Cupon_fijo_curva!$B$7,Curvas_cupon_cero!$1:$1,0)-1,COUNT(Curvas_cupon_cero!$A:$A)-2,1)),interpolar(E112,OFFSET(Curvas_cupon_cero!$A$1,1,0,COUNT(Curvas_cupon_cero!$A:$A)-2,1),OFFSET(Curvas_cupon_cero!$A$1,1,MATCH(Bono_M_Cupon_fijo_curva!$B$7,Curvas_cupon_cero!$1:$1,0)-1,COUNT(Curvas_cupon_cero!$A:$A)-2,1))))</f>
        <v/>
      </c>
      <c r="G112" s="19" t="str">
        <f>IF(A112="","",C112/(1+F112*$B$6/360)^(COUNT(A$16:A112)-($B$6-$D$16)/$B$6))</f>
        <v/>
      </c>
    </row>
    <row r="113" spans="1:7" x14ac:dyDescent="0.2">
      <c r="A113" s="12" t="str">
        <f t="shared" si="11"/>
        <v/>
      </c>
      <c r="B113" t="str">
        <f t="shared" si="7"/>
        <v/>
      </c>
      <c r="C113" s="17" t="str">
        <f t="shared" si="8"/>
        <v/>
      </c>
      <c r="D113" s="18" t="str">
        <f t="shared" si="9"/>
        <v/>
      </c>
      <c r="E113" t="str">
        <f t="shared" si="10"/>
        <v/>
      </c>
      <c r="F113" s="23" t="str">
        <f ca="1">IF(A113="","",IF($B$8="Sí",interpolar_alamb(E113,OFFSET(Curvas_cupon_cero!$A$1,1,0,COUNT(Curvas_cupon_cero!$A:$A)-2,1),OFFSET(Curvas_cupon_cero!$A$1,1,MATCH(Bono_M_Cupon_fijo_curva!$B$7,Curvas_cupon_cero!$1:$1,0)-1,COUNT(Curvas_cupon_cero!$A:$A)-2,1)),interpolar(E113,OFFSET(Curvas_cupon_cero!$A$1,1,0,COUNT(Curvas_cupon_cero!$A:$A)-2,1),OFFSET(Curvas_cupon_cero!$A$1,1,MATCH(Bono_M_Cupon_fijo_curva!$B$7,Curvas_cupon_cero!$1:$1,0)-1,COUNT(Curvas_cupon_cero!$A:$A)-2,1))))</f>
        <v/>
      </c>
      <c r="G113" s="19" t="str">
        <f>IF(A113="","",C113/(1+F113*$B$6/360)^(COUNT(A$16:A113)-($B$6-$D$16)/$B$6))</f>
        <v/>
      </c>
    </row>
    <row r="114" spans="1:7" x14ac:dyDescent="0.2">
      <c r="A114" s="12" t="str">
        <f t="shared" si="11"/>
        <v/>
      </c>
      <c r="B114" t="str">
        <f t="shared" si="7"/>
        <v/>
      </c>
      <c r="C114" s="17" t="str">
        <f t="shared" si="8"/>
        <v/>
      </c>
      <c r="D114" s="18" t="str">
        <f t="shared" si="9"/>
        <v/>
      </c>
      <c r="E114" t="str">
        <f t="shared" si="10"/>
        <v/>
      </c>
      <c r="F114" s="23" t="str">
        <f ca="1">IF(A114="","",IF($B$8="Sí",interpolar_alamb(E114,OFFSET(Curvas_cupon_cero!$A$1,1,0,COUNT(Curvas_cupon_cero!$A:$A)-2,1),OFFSET(Curvas_cupon_cero!$A$1,1,MATCH(Bono_M_Cupon_fijo_curva!$B$7,Curvas_cupon_cero!$1:$1,0)-1,COUNT(Curvas_cupon_cero!$A:$A)-2,1)),interpolar(E114,OFFSET(Curvas_cupon_cero!$A$1,1,0,COUNT(Curvas_cupon_cero!$A:$A)-2,1),OFFSET(Curvas_cupon_cero!$A$1,1,MATCH(Bono_M_Cupon_fijo_curva!$B$7,Curvas_cupon_cero!$1:$1,0)-1,COUNT(Curvas_cupon_cero!$A:$A)-2,1))))</f>
        <v/>
      </c>
      <c r="G114" s="19" t="str">
        <f>IF(A114="","",C114/(1+F114*$B$6/360)^(COUNT(A$16:A114)-($B$6-$D$16)/$B$6))</f>
        <v/>
      </c>
    </row>
    <row r="115" spans="1:7" x14ac:dyDescent="0.2">
      <c r="A115" s="12" t="str">
        <f t="shared" si="11"/>
        <v/>
      </c>
      <c r="B115" t="str">
        <f t="shared" si="7"/>
        <v/>
      </c>
      <c r="C115" s="17" t="str">
        <f t="shared" si="8"/>
        <v/>
      </c>
      <c r="D115" s="18" t="str">
        <f t="shared" si="9"/>
        <v/>
      </c>
      <c r="E115" t="str">
        <f t="shared" si="10"/>
        <v/>
      </c>
      <c r="F115" s="23" t="str">
        <f ca="1">IF(A115="","",IF($B$8="Sí",interpolar_alamb(E115,OFFSET(Curvas_cupon_cero!$A$1,1,0,COUNT(Curvas_cupon_cero!$A:$A)-2,1),OFFSET(Curvas_cupon_cero!$A$1,1,MATCH(Bono_M_Cupon_fijo_curva!$B$7,Curvas_cupon_cero!$1:$1,0)-1,COUNT(Curvas_cupon_cero!$A:$A)-2,1)),interpolar(E115,OFFSET(Curvas_cupon_cero!$A$1,1,0,COUNT(Curvas_cupon_cero!$A:$A)-2,1),OFFSET(Curvas_cupon_cero!$A$1,1,MATCH(Bono_M_Cupon_fijo_curva!$B$7,Curvas_cupon_cero!$1:$1,0)-1,COUNT(Curvas_cupon_cero!$A:$A)-2,1))))</f>
        <v/>
      </c>
      <c r="G115" s="19" t="str">
        <f>IF(A115="","",C115/(1+F115*$B$6/360)^(COUNT(A$16:A115)-($B$6-$D$16)/$B$6))</f>
        <v/>
      </c>
    </row>
    <row r="116" spans="1:7" x14ac:dyDescent="0.2">
      <c r="A116" s="12" t="str">
        <f t="shared" si="11"/>
        <v/>
      </c>
      <c r="B116" t="str">
        <f t="shared" si="7"/>
        <v/>
      </c>
      <c r="C116" s="17" t="str">
        <f t="shared" si="8"/>
        <v/>
      </c>
      <c r="D116" s="18" t="str">
        <f t="shared" si="9"/>
        <v/>
      </c>
      <c r="E116" t="str">
        <f t="shared" si="10"/>
        <v/>
      </c>
      <c r="F116" s="23" t="str">
        <f ca="1">IF(A116="","",IF($B$8="Sí",interpolar_alamb(E116,OFFSET(Curvas_cupon_cero!$A$1,1,0,COUNT(Curvas_cupon_cero!$A:$A)-2,1),OFFSET(Curvas_cupon_cero!$A$1,1,MATCH(Bono_M_Cupon_fijo_curva!$B$7,Curvas_cupon_cero!$1:$1,0)-1,COUNT(Curvas_cupon_cero!$A:$A)-2,1)),interpolar(E116,OFFSET(Curvas_cupon_cero!$A$1,1,0,COUNT(Curvas_cupon_cero!$A:$A)-2,1),OFFSET(Curvas_cupon_cero!$A$1,1,MATCH(Bono_M_Cupon_fijo_curva!$B$7,Curvas_cupon_cero!$1:$1,0)-1,COUNT(Curvas_cupon_cero!$A:$A)-2,1))))</f>
        <v/>
      </c>
      <c r="G116" s="19" t="str">
        <f>IF(A116="","",C116/(1+F116*$B$6/360)^(COUNT(A$16:A116)-($B$6-$D$16)/$B$6))</f>
        <v/>
      </c>
    </row>
    <row r="117" spans="1:7" x14ac:dyDescent="0.2">
      <c r="A117" s="12" t="str">
        <f t="shared" si="11"/>
        <v/>
      </c>
      <c r="B117" t="str">
        <f t="shared" si="7"/>
        <v/>
      </c>
      <c r="C117" s="17" t="str">
        <f t="shared" si="8"/>
        <v/>
      </c>
      <c r="D117" s="18" t="str">
        <f t="shared" si="9"/>
        <v/>
      </c>
      <c r="E117" t="str">
        <f t="shared" si="10"/>
        <v/>
      </c>
      <c r="F117" s="23" t="str">
        <f ca="1">IF(A117="","",IF($B$8="Sí",interpolar_alamb(E117,OFFSET(Curvas_cupon_cero!$A$1,1,0,COUNT(Curvas_cupon_cero!$A:$A)-2,1),OFFSET(Curvas_cupon_cero!$A$1,1,MATCH(Bono_M_Cupon_fijo_curva!$B$7,Curvas_cupon_cero!$1:$1,0)-1,COUNT(Curvas_cupon_cero!$A:$A)-2,1)),interpolar(E117,OFFSET(Curvas_cupon_cero!$A$1,1,0,COUNT(Curvas_cupon_cero!$A:$A)-2,1),OFFSET(Curvas_cupon_cero!$A$1,1,MATCH(Bono_M_Cupon_fijo_curva!$B$7,Curvas_cupon_cero!$1:$1,0)-1,COUNT(Curvas_cupon_cero!$A:$A)-2,1))))</f>
        <v/>
      </c>
      <c r="G117" s="19" t="str">
        <f>IF(A117="","",C117/(1+F117*$B$6/360)^(COUNT(A$16:A117)-($B$6-$D$16)/$B$6))</f>
        <v/>
      </c>
    </row>
    <row r="118" spans="1:7" x14ac:dyDescent="0.2">
      <c r="A118" s="12" t="str">
        <f t="shared" si="11"/>
        <v/>
      </c>
      <c r="B118" t="str">
        <f t="shared" si="7"/>
        <v/>
      </c>
      <c r="C118" s="17" t="str">
        <f t="shared" si="8"/>
        <v/>
      </c>
      <c r="D118" s="18" t="str">
        <f t="shared" si="9"/>
        <v/>
      </c>
      <c r="E118" t="str">
        <f t="shared" si="10"/>
        <v/>
      </c>
      <c r="F118" s="23" t="str">
        <f ca="1">IF(A118="","",IF($B$8="Sí",interpolar_alamb(E118,OFFSET(Curvas_cupon_cero!$A$1,1,0,COUNT(Curvas_cupon_cero!$A:$A)-2,1),OFFSET(Curvas_cupon_cero!$A$1,1,MATCH(Bono_M_Cupon_fijo_curva!$B$7,Curvas_cupon_cero!$1:$1,0)-1,COUNT(Curvas_cupon_cero!$A:$A)-2,1)),interpolar(E118,OFFSET(Curvas_cupon_cero!$A$1,1,0,COUNT(Curvas_cupon_cero!$A:$A)-2,1),OFFSET(Curvas_cupon_cero!$A$1,1,MATCH(Bono_M_Cupon_fijo_curva!$B$7,Curvas_cupon_cero!$1:$1,0)-1,COUNT(Curvas_cupon_cero!$A:$A)-2,1))))</f>
        <v/>
      </c>
      <c r="G118" s="19" t="str">
        <f>IF(A118="","",C118/(1+F118*$B$6/360)^(COUNT(A$16:A118)-($B$6-$D$16)/$B$6))</f>
        <v/>
      </c>
    </row>
    <row r="119" spans="1:7" x14ac:dyDescent="0.2">
      <c r="A119" s="12" t="str">
        <f t="shared" si="11"/>
        <v/>
      </c>
      <c r="B119" t="str">
        <f t="shared" si="7"/>
        <v/>
      </c>
      <c r="C119" s="17" t="str">
        <f t="shared" si="8"/>
        <v/>
      </c>
      <c r="D119" s="18" t="str">
        <f t="shared" si="9"/>
        <v/>
      </c>
      <c r="E119" t="str">
        <f t="shared" si="10"/>
        <v/>
      </c>
      <c r="F119" s="23" t="str">
        <f ca="1">IF(A119="","",IF($B$8="Sí",interpolar_alamb(E119,OFFSET(Curvas_cupon_cero!$A$1,1,0,COUNT(Curvas_cupon_cero!$A:$A)-2,1),OFFSET(Curvas_cupon_cero!$A$1,1,MATCH(Bono_M_Cupon_fijo_curva!$B$7,Curvas_cupon_cero!$1:$1,0)-1,COUNT(Curvas_cupon_cero!$A:$A)-2,1)),interpolar(E119,OFFSET(Curvas_cupon_cero!$A$1,1,0,COUNT(Curvas_cupon_cero!$A:$A)-2,1),OFFSET(Curvas_cupon_cero!$A$1,1,MATCH(Bono_M_Cupon_fijo_curva!$B$7,Curvas_cupon_cero!$1:$1,0)-1,COUNT(Curvas_cupon_cero!$A:$A)-2,1))))</f>
        <v/>
      </c>
      <c r="G119" s="19" t="str">
        <f>IF(A119="","",C119/(1+F119*$B$6/360)^(COUNT(A$16:A119)-($B$6-$D$16)/$B$6))</f>
        <v/>
      </c>
    </row>
    <row r="120" spans="1:7" x14ac:dyDescent="0.2">
      <c r="A120" s="12" t="str">
        <f t="shared" si="11"/>
        <v/>
      </c>
      <c r="B120" t="str">
        <f t="shared" si="7"/>
        <v/>
      </c>
      <c r="C120" s="17" t="str">
        <f t="shared" si="8"/>
        <v/>
      </c>
      <c r="D120" s="18" t="str">
        <f t="shared" si="9"/>
        <v/>
      </c>
      <c r="E120" t="str">
        <f t="shared" si="10"/>
        <v/>
      </c>
      <c r="F120" s="23" t="str">
        <f ca="1">IF(A120="","",IF($B$8="Sí",interpolar_alamb(E120,OFFSET(Curvas_cupon_cero!$A$1,1,0,COUNT(Curvas_cupon_cero!$A:$A)-2,1),OFFSET(Curvas_cupon_cero!$A$1,1,MATCH(Bono_M_Cupon_fijo_curva!$B$7,Curvas_cupon_cero!$1:$1,0)-1,COUNT(Curvas_cupon_cero!$A:$A)-2,1)),interpolar(E120,OFFSET(Curvas_cupon_cero!$A$1,1,0,COUNT(Curvas_cupon_cero!$A:$A)-2,1),OFFSET(Curvas_cupon_cero!$A$1,1,MATCH(Bono_M_Cupon_fijo_curva!$B$7,Curvas_cupon_cero!$1:$1,0)-1,COUNT(Curvas_cupon_cero!$A:$A)-2,1))))</f>
        <v/>
      </c>
      <c r="G120" s="19" t="str">
        <f>IF(A120="","",C120/(1+F120*$B$6/360)^(COUNT(A$16:A120)-($B$6-$D$16)/$B$6))</f>
        <v/>
      </c>
    </row>
    <row r="121" spans="1:7" x14ac:dyDescent="0.2">
      <c r="A121" s="12" t="str">
        <f t="shared" si="11"/>
        <v/>
      </c>
      <c r="B121" t="str">
        <f t="shared" si="7"/>
        <v/>
      </c>
      <c r="C121" s="17" t="str">
        <f t="shared" si="8"/>
        <v/>
      </c>
      <c r="D121" s="18" t="str">
        <f t="shared" si="9"/>
        <v/>
      </c>
      <c r="E121" t="str">
        <f t="shared" si="10"/>
        <v/>
      </c>
      <c r="F121" s="23" t="str">
        <f ca="1">IF(A121="","",IF($B$8="Sí",interpolar_alamb(E121,OFFSET(Curvas_cupon_cero!$A$1,1,0,COUNT(Curvas_cupon_cero!$A:$A)-2,1),OFFSET(Curvas_cupon_cero!$A$1,1,MATCH(Bono_M_Cupon_fijo_curva!$B$7,Curvas_cupon_cero!$1:$1,0)-1,COUNT(Curvas_cupon_cero!$A:$A)-2,1)),interpolar(E121,OFFSET(Curvas_cupon_cero!$A$1,1,0,COUNT(Curvas_cupon_cero!$A:$A)-2,1),OFFSET(Curvas_cupon_cero!$A$1,1,MATCH(Bono_M_Cupon_fijo_curva!$B$7,Curvas_cupon_cero!$1:$1,0)-1,COUNT(Curvas_cupon_cero!$A:$A)-2,1))))</f>
        <v/>
      </c>
      <c r="G121" s="19" t="str">
        <f>IF(A121="","",C121/(1+F121*$B$6/360)^(COUNT(A$16:A121)-($B$6-$D$16)/$B$6))</f>
        <v/>
      </c>
    </row>
    <row r="122" spans="1:7" x14ac:dyDescent="0.2">
      <c r="A122" s="12" t="str">
        <f t="shared" si="11"/>
        <v/>
      </c>
      <c r="B122" t="str">
        <f t="shared" si="7"/>
        <v/>
      </c>
      <c r="C122" s="17" t="str">
        <f t="shared" si="8"/>
        <v/>
      </c>
      <c r="D122" s="18" t="str">
        <f t="shared" si="9"/>
        <v/>
      </c>
      <c r="E122" t="str">
        <f t="shared" si="10"/>
        <v/>
      </c>
      <c r="F122" s="23" t="str">
        <f ca="1">IF(A122="","",IF($B$8="Sí",interpolar_alamb(E122,OFFSET(Curvas_cupon_cero!$A$1,1,0,COUNT(Curvas_cupon_cero!$A:$A)-2,1),OFFSET(Curvas_cupon_cero!$A$1,1,MATCH(Bono_M_Cupon_fijo_curva!$B$7,Curvas_cupon_cero!$1:$1,0)-1,COUNT(Curvas_cupon_cero!$A:$A)-2,1)),interpolar(E122,OFFSET(Curvas_cupon_cero!$A$1,1,0,COUNT(Curvas_cupon_cero!$A:$A)-2,1),OFFSET(Curvas_cupon_cero!$A$1,1,MATCH(Bono_M_Cupon_fijo_curva!$B$7,Curvas_cupon_cero!$1:$1,0)-1,COUNT(Curvas_cupon_cero!$A:$A)-2,1))))</f>
        <v/>
      </c>
      <c r="G122" s="19" t="str">
        <f>IF(A122="","",C122/(1+F122*$B$6/360)^(COUNT(A$16:A122)-($B$6-$D$16)/$B$6))</f>
        <v/>
      </c>
    </row>
    <row r="123" spans="1:7" x14ac:dyDescent="0.2">
      <c r="A123" s="12" t="str">
        <f t="shared" si="11"/>
        <v/>
      </c>
      <c r="B123" t="str">
        <f t="shared" si="7"/>
        <v/>
      </c>
      <c r="C123" s="17" t="str">
        <f t="shared" si="8"/>
        <v/>
      </c>
      <c r="D123" s="18" t="str">
        <f t="shared" si="9"/>
        <v/>
      </c>
      <c r="E123" t="str">
        <f t="shared" si="10"/>
        <v/>
      </c>
      <c r="F123" s="23" t="str">
        <f ca="1">IF(A123="","",IF($B$8="Sí",interpolar_alamb(E123,OFFSET(Curvas_cupon_cero!$A$1,1,0,COUNT(Curvas_cupon_cero!$A:$A)-2,1),OFFSET(Curvas_cupon_cero!$A$1,1,MATCH(Bono_M_Cupon_fijo_curva!$B$7,Curvas_cupon_cero!$1:$1,0)-1,COUNT(Curvas_cupon_cero!$A:$A)-2,1)),interpolar(E123,OFFSET(Curvas_cupon_cero!$A$1,1,0,COUNT(Curvas_cupon_cero!$A:$A)-2,1),OFFSET(Curvas_cupon_cero!$A$1,1,MATCH(Bono_M_Cupon_fijo_curva!$B$7,Curvas_cupon_cero!$1:$1,0)-1,COUNT(Curvas_cupon_cero!$A:$A)-2,1))))</f>
        <v/>
      </c>
      <c r="G123" s="19" t="str">
        <f>IF(A123="","",C123/(1+F123*$B$6/360)^(COUNT(A$16:A123)-($B$6-$D$16)/$B$6))</f>
        <v/>
      </c>
    </row>
    <row r="124" spans="1:7" x14ac:dyDescent="0.2">
      <c r="A124" s="12" t="str">
        <f t="shared" si="11"/>
        <v/>
      </c>
      <c r="B124" t="str">
        <f t="shared" si="7"/>
        <v/>
      </c>
      <c r="C124" s="17" t="str">
        <f t="shared" si="8"/>
        <v/>
      </c>
      <c r="D124" s="18" t="str">
        <f t="shared" si="9"/>
        <v/>
      </c>
      <c r="E124" t="str">
        <f t="shared" si="10"/>
        <v/>
      </c>
      <c r="F124" s="23" t="str">
        <f ca="1">IF(A124="","",IF($B$8="Sí",interpolar_alamb(E124,OFFSET(Curvas_cupon_cero!$A$1,1,0,COUNT(Curvas_cupon_cero!$A:$A)-2,1),OFFSET(Curvas_cupon_cero!$A$1,1,MATCH(Bono_M_Cupon_fijo_curva!$B$7,Curvas_cupon_cero!$1:$1,0)-1,COUNT(Curvas_cupon_cero!$A:$A)-2,1)),interpolar(E124,OFFSET(Curvas_cupon_cero!$A$1,1,0,COUNT(Curvas_cupon_cero!$A:$A)-2,1),OFFSET(Curvas_cupon_cero!$A$1,1,MATCH(Bono_M_Cupon_fijo_curva!$B$7,Curvas_cupon_cero!$1:$1,0)-1,COUNT(Curvas_cupon_cero!$A:$A)-2,1))))</f>
        <v/>
      </c>
      <c r="G124" s="19" t="str">
        <f>IF(A124="","",C124/(1+F124*$B$6/360)^(COUNT(A$16:A124)-($B$6-$D$16)/$B$6))</f>
        <v/>
      </c>
    </row>
    <row r="125" spans="1:7" x14ac:dyDescent="0.2">
      <c r="A125" s="12" t="str">
        <f t="shared" si="11"/>
        <v/>
      </c>
      <c r="B125" t="str">
        <f t="shared" si="7"/>
        <v/>
      </c>
      <c r="C125" s="17" t="str">
        <f t="shared" si="8"/>
        <v/>
      </c>
      <c r="D125" s="18" t="str">
        <f t="shared" si="9"/>
        <v/>
      </c>
      <c r="E125" t="str">
        <f t="shared" si="10"/>
        <v/>
      </c>
      <c r="F125" s="23" t="str">
        <f ca="1">IF(A125="","",IF($B$8="Sí",interpolar_alamb(E125,OFFSET(Curvas_cupon_cero!$A$1,1,0,COUNT(Curvas_cupon_cero!$A:$A)-2,1),OFFSET(Curvas_cupon_cero!$A$1,1,MATCH(Bono_M_Cupon_fijo_curva!$B$7,Curvas_cupon_cero!$1:$1,0)-1,COUNT(Curvas_cupon_cero!$A:$A)-2,1)),interpolar(E125,OFFSET(Curvas_cupon_cero!$A$1,1,0,COUNT(Curvas_cupon_cero!$A:$A)-2,1),OFFSET(Curvas_cupon_cero!$A$1,1,MATCH(Bono_M_Cupon_fijo_curva!$B$7,Curvas_cupon_cero!$1:$1,0)-1,COUNT(Curvas_cupon_cero!$A:$A)-2,1))))</f>
        <v/>
      </c>
      <c r="G125" s="19" t="str">
        <f>IF(A125="","",C125/(1+F125*$B$6/360)^(COUNT(A$16:A125)-($B$6-$D$16)/$B$6))</f>
        <v/>
      </c>
    </row>
    <row r="126" spans="1:7" x14ac:dyDescent="0.2">
      <c r="A126" s="12" t="str">
        <f t="shared" si="11"/>
        <v/>
      </c>
      <c r="B126" t="str">
        <f t="shared" si="7"/>
        <v/>
      </c>
      <c r="C126" s="17" t="str">
        <f t="shared" si="8"/>
        <v/>
      </c>
      <c r="D126" s="18" t="str">
        <f t="shared" si="9"/>
        <v/>
      </c>
      <c r="E126" t="str">
        <f t="shared" si="10"/>
        <v/>
      </c>
      <c r="F126" s="23" t="str">
        <f ca="1">IF(A126="","",IF($B$8="Sí",interpolar_alamb(E126,OFFSET(Curvas_cupon_cero!$A$1,1,0,COUNT(Curvas_cupon_cero!$A:$A)-2,1),OFFSET(Curvas_cupon_cero!$A$1,1,MATCH(Bono_M_Cupon_fijo_curva!$B$7,Curvas_cupon_cero!$1:$1,0)-1,COUNT(Curvas_cupon_cero!$A:$A)-2,1)),interpolar(E126,OFFSET(Curvas_cupon_cero!$A$1,1,0,COUNT(Curvas_cupon_cero!$A:$A)-2,1),OFFSET(Curvas_cupon_cero!$A$1,1,MATCH(Bono_M_Cupon_fijo_curva!$B$7,Curvas_cupon_cero!$1:$1,0)-1,COUNT(Curvas_cupon_cero!$A:$A)-2,1))))</f>
        <v/>
      </c>
      <c r="G126" s="19" t="str">
        <f>IF(A126="","",C126/(1+F126*$B$6/360)^(COUNT(A$16:A126)-($B$6-$D$16)/$B$6))</f>
        <v/>
      </c>
    </row>
    <row r="127" spans="1:7" x14ac:dyDescent="0.2">
      <c r="A127" s="12" t="str">
        <f t="shared" si="11"/>
        <v/>
      </c>
      <c r="B127" t="str">
        <f t="shared" si="7"/>
        <v/>
      </c>
      <c r="C127" s="17" t="str">
        <f t="shared" si="8"/>
        <v/>
      </c>
      <c r="D127" s="18" t="str">
        <f t="shared" si="9"/>
        <v/>
      </c>
      <c r="E127" t="str">
        <f t="shared" si="10"/>
        <v/>
      </c>
      <c r="F127" s="23" t="str">
        <f ca="1">IF(A127="","",IF($B$8="Sí",interpolar_alamb(E127,OFFSET(Curvas_cupon_cero!$A$1,1,0,COUNT(Curvas_cupon_cero!$A:$A)-2,1),OFFSET(Curvas_cupon_cero!$A$1,1,MATCH(Bono_M_Cupon_fijo_curva!$B$7,Curvas_cupon_cero!$1:$1,0)-1,COUNT(Curvas_cupon_cero!$A:$A)-2,1)),interpolar(E127,OFFSET(Curvas_cupon_cero!$A$1,1,0,COUNT(Curvas_cupon_cero!$A:$A)-2,1),OFFSET(Curvas_cupon_cero!$A$1,1,MATCH(Bono_M_Cupon_fijo_curva!$B$7,Curvas_cupon_cero!$1:$1,0)-1,COUNT(Curvas_cupon_cero!$A:$A)-2,1))))</f>
        <v/>
      </c>
      <c r="G127" s="19" t="str">
        <f>IF(A127="","",C127/(1+F127*$B$6/360)^(COUNT(A$16:A127)-($B$6-$D$16)/$B$6))</f>
        <v/>
      </c>
    </row>
    <row r="128" spans="1:7" x14ac:dyDescent="0.2">
      <c r="A128" s="12" t="str">
        <f t="shared" si="11"/>
        <v/>
      </c>
      <c r="B128" t="str">
        <f t="shared" si="7"/>
        <v/>
      </c>
      <c r="C128" s="17" t="str">
        <f t="shared" si="8"/>
        <v/>
      </c>
      <c r="D128" s="18" t="str">
        <f t="shared" si="9"/>
        <v/>
      </c>
      <c r="E128" t="str">
        <f t="shared" si="10"/>
        <v/>
      </c>
      <c r="F128" s="23" t="str">
        <f ca="1">IF(A128="","",IF($B$8="Sí",interpolar_alamb(E128,OFFSET(Curvas_cupon_cero!$A$1,1,0,COUNT(Curvas_cupon_cero!$A:$A)-2,1),OFFSET(Curvas_cupon_cero!$A$1,1,MATCH(Bono_M_Cupon_fijo_curva!$B$7,Curvas_cupon_cero!$1:$1,0)-1,COUNT(Curvas_cupon_cero!$A:$A)-2,1)),interpolar(E128,OFFSET(Curvas_cupon_cero!$A$1,1,0,COUNT(Curvas_cupon_cero!$A:$A)-2,1),OFFSET(Curvas_cupon_cero!$A$1,1,MATCH(Bono_M_Cupon_fijo_curva!$B$7,Curvas_cupon_cero!$1:$1,0)-1,COUNT(Curvas_cupon_cero!$A:$A)-2,1))))</f>
        <v/>
      </c>
      <c r="G128" s="19" t="str">
        <f>IF(A128="","",C128/(1+F128*$B$6/360)^(COUNT(A$16:A128)-($B$6-$D$16)/$B$6))</f>
        <v/>
      </c>
    </row>
    <row r="129" spans="1:7" x14ac:dyDescent="0.2">
      <c r="A129" s="12" t="str">
        <f t="shared" si="11"/>
        <v/>
      </c>
      <c r="B129" t="str">
        <f t="shared" si="7"/>
        <v/>
      </c>
      <c r="C129" s="17" t="str">
        <f t="shared" si="8"/>
        <v/>
      </c>
      <c r="D129" s="18" t="str">
        <f t="shared" si="9"/>
        <v/>
      </c>
      <c r="E129" t="str">
        <f t="shared" si="10"/>
        <v/>
      </c>
      <c r="F129" s="23" t="str">
        <f ca="1">IF(A129="","",IF($B$8="Sí",interpolar_alamb(E129,OFFSET(Curvas_cupon_cero!$A$1,1,0,COUNT(Curvas_cupon_cero!$A:$A)-2,1),OFFSET(Curvas_cupon_cero!$A$1,1,MATCH(Bono_M_Cupon_fijo_curva!$B$7,Curvas_cupon_cero!$1:$1,0)-1,COUNT(Curvas_cupon_cero!$A:$A)-2,1)),interpolar(E129,OFFSET(Curvas_cupon_cero!$A$1,1,0,COUNT(Curvas_cupon_cero!$A:$A)-2,1),OFFSET(Curvas_cupon_cero!$A$1,1,MATCH(Bono_M_Cupon_fijo_curva!$B$7,Curvas_cupon_cero!$1:$1,0)-1,COUNT(Curvas_cupon_cero!$A:$A)-2,1))))</f>
        <v/>
      </c>
      <c r="G129" s="19" t="str">
        <f>IF(A129="","",C129/(1+F129*$B$6/360)^(COUNT(A$16:A129)-($B$6-$D$16)/$B$6))</f>
        <v/>
      </c>
    </row>
    <row r="130" spans="1:7" x14ac:dyDescent="0.2">
      <c r="A130" s="12" t="str">
        <f t="shared" si="11"/>
        <v/>
      </c>
      <c r="B130" t="str">
        <f t="shared" si="7"/>
        <v/>
      </c>
      <c r="C130" s="17" t="str">
        <f t="shared" si="8"/>
        <v/>
      </c>
      <c r="D130" s="18" t="str">
        <f t="shared" si="9"/>
        <v/>
      </c>
      <c r="E130" t="str">
        <f t="shared" si="10"/>
        <v/>
      </c>
      <c r="F130" s="23" t="str">
        <f ca="1">IF(A130="","",IF($B$8="Sí",interpolar_alamb(E130,OFFSET(Curvas_cupon_cero!$A$1,1,0,COUNT(Curvas_cupon_cero!$A:$A)-2,1),OFFSET(Curvas_cupon_cero!$A$1,1,MATCH(Bono_M_Cupon_fijo_curva!$B$7,Curvas_cupon_cero!$1:$1,0)-1,COUNT(Curvas_cupon_cero!$A:$A)-2,1)),interpolar(E130,OFFSET(Curvas_cupon_cero!$A$1,1,0,COUNT(Curvas_cupon_cero!$A:$A)-2,1),OFFSET(Curvas_cupon_cero!$A$1,1,MATCH(Bono_M_Cupon_fijo_curva!$B$7,Curvas_cupon_cero!$1:$1,0)-1,COUNT(Curvas_cupon_cero!$A:$A)-2,1))))</f>
        <v/>
      </c>
      <c r="G130" s="19" t="str">
        <f>IF(A130="","",C130/(1+F130*$B$6/360)^(COUNT(A$16:A130)-($B$6-$D$16)/$B$6))</f>
        <v/>
      </c>
    </row>
    <row r="131" spans="1:7" x14ac:dyDescent="0.2">
      <c r="A131" s="12" t="str">
        <f t="shared" si="11"/>
        <v/>
      </c>
      <c r="B131" t="str">
        <f t="shared" si="7"/>
        <v/>
      </c>
      <c r="C131" s="17" t="str">
        <f t="shared" si="8"/>
        <v/>
      </c>
      <c r="D131" s="18" t="str">
        <f t="shared" si="9"/>
        <v/>
      </c>
      <c r="E131" t="str">
        <f t="shared" si="10"/>
        <v/>
      </c>
      <c r="F131" s="23" t="str">
        <f ca="1">IF(A131="","",IF($B$8="Sí",interpolar_alamb(E131,OFFSET(Curvas_cupon_cero!$A$1,1,0,COUNT(Curvas_cupon_cero!$A:$A)-2,1),OFFSET(Curvas_cupon_cero!$A$1,1,MATCH(Bono_M_Cupon_fijo_curva!$B$7,Curvas_cupon_cero!$1:$1,0)-1,COUNT(Curvas_cupon_cero!$A:$A)-2,1)),interpolar(E131,OFFSET(Curvas_cupon_cero!$A$1,1,0,COUNT(Curvas_cupon_cero!$A:$A)-2,1),OFFSET(Curvas_cupon_cero!$A$1,1,MATCH(Bono_M_Cupon_fijo_curva!$B$7,Curvas_cupon_cero!$1:$1,0)-1,COUNT(Curvas_cupon_cero!$A:$A)-2,1))))</f>
        <v/>
      </c>
      <c r="G131" s="19" t="str">
        <f>IF(A131="","",C131/(1+F131*$B$6/360)^(COUNT(A$16:A131)-($B$6-$D$16)/$B$6))</f>
        <v/>
      </c>
    </row>
    <row r="132" spans="1:7" x14ac:dyDescent="0.2">
      <c r="A132" s="12" t="str">
        <f t="shared" si="11"/>
        <v/>
      </c>
      <c r="B132" t="str">
        <f t="shared" si="7"/>
        <v/>
      </c>
      <c r="C132" s="17" t="str">
        <f t="shared" si="8"/>
        <v/>
      </c>
      <c r="D132" s="18" t="str">
        <f t="shared" si="9"/>
        <v/>
      </c>
      <c r="E132" t="str">
        <f t="shared" si="10"/>
        <v/>
      </c>
      <c r="F132" s="23" t="str">
        <f ca="1">IF(A132="","",IF($B$8="Sí",interpolar_alamb(E132,OFFSET(Curvas_cupon_cero!$A$1,1,0,COUNT(Curvas_cupon_cero!$A:$A)-2,1),OFFSET(Curvas_cupon_cero!$A$1,1,MATCH(Bono_M_Cupon_fijo_curva!$B$7,Curvas_cupon_cero!$1:$1,0)-1,COUNT(Curvas_cupon_cero!$A:$A)-2,1)),interpolar(E132,OFFSET(Curvas_cupon_cero!$A$1,1,0,COUNT(Curvas_cupon_cero!$A:$A)-2,1),OFFSET(Curvas_cupon_cero!$A$1,1,MATCH(Bono_M_Cupon_fijo_curva!$B$7,Curvas_cupon_cero!$1:$1,0)-1,COUNT(Curvas_cupon_cero!$A:$A)-2,1))))</f>
        <v/>
      </c>
      <c r="G132" s="19" t="str">
        <f>IF(A132="","",C132/(1+F132*$B$6/360)^(COUNT(A$16:A132)-($B$6-$D$16)/$B$6))</f>
        <v/>
      </c>
    </row>
    <row r="133" spans="1:7" x14ac:dyDescent="0.2">
      <c r="A133" s="12" t="str">
        <f t="shared" si="11"/>
        <v/>
      </c>
      <c r="B133" t="str">
        <f t="shared" si="7"/>
        <v/>
      </c>
      <c r="C133" s="17" t="str">
        <f t="shared" si="8"/>
        <v/>
      </c>
      <c r="D133" s="18" t="str">
        <f t="shared" si="9"/>
        <v/>
      </c>
      <c r="E133" t="str">
        <f t="shared" si="10"/>
        <v/>
      </c>
      <c r="F133" s="23" t="str">
        <f ca="1">IF(A133="","",IF($B$8="Sí",interpolar_alamb(E133,OFFSET(Curvas_cupon_cero!$A$1,1,0,COUNT(Curvas_cupon_cero!$A:$A)-2,1),OFFSET(Curvas_cupon_cero!$A$1,1,MATCH(Bono_M_Cupon_fijo_curva!$B$7,Curvas_cupon_cero!$1:$1,0)-1,COUNT(Curvas_cupon_cero!$A:$A)-2,1)),interpolar(E133,OFFSET(Curvas_cupon_cero!$A$1,1,0,COUNT(Curvas_cupon_cero!$A:$A)-2,1),OFFSET(Curvas_cupon_cero!$A$1,1,MATCH(Bono_M_Cupon_fijo_curva!$B$7,Curvas_cupon_cero!$1:$1,0)-1,COUNT(Curvas_cupon_cero!$A:$A)-2,1))))</f>
        <v/>
      </c>
      <c r="G133" s="19" t="str">
        <f>IF(A133="","",C133/(1+F133*$B$6/360)^(COUNT(A$16:A133)-($B$6-$D$16)/$B$6))</f>
        <v/>
      </c>
    </row>
    <row r="134" spans="1:7" x14ac:dyDescent="0.2">
      <c r="A134" s="12" t="str">
        <f t="shared" si="11"/>
        <v/>
      </c>
      <c r="B134" t="str">
        <f t="shared" si="7"/>
        <v/>
      </c>
      <c r="C134" s="17" t="str">
        <f t="shared" si="8"/>
        <v/>
      </c>
      <c r="D134" s="18" t="str">
        <f t="shared" si="9"/>
        <v/>
      </c>
      <c r="E134" t="str">
        <f t="shared" si="10"/>
        <v/>
      </c>
      <c r="F134" s="23" t="str">
        <f ca="1">IF(A134="","",IF($B$8="Sí",interpolar_alamb(E134,OFFSET(Curvas_cupon_cero!$A$1,1,0,COUNT(Curvas_cupon_cero!$A:$A)-2,1),OFFSET(Curvas_cupon_cero!$A$1,1,MATCH(Bono_M_Cupon_fijo_curva!$B$7,Curvas_cupon_cero!$1:$1,0)-1,COUNT(Curvas_cupon_cero!$A:$A)-2,1)),interpolar(E134,OFFSET(Curvas_cupon_cero!$A$1,1,0,COUNT(Curvas_cupon_cero!$A:$A)-2,1),OFFSET(Curvas_cupon_cero!$A$1,1,MATCH(Bono_M_Cupon_fijo_curva!$B$7,Curvas_cupon_cero!$1:$1,0)-1,COUNT(Curvas_cupon_cero!$A:$A)-2,1))))</f>
        <v/>
      </c>
      <c r="G134" s="19" t="str">
        <f>IF(A134="","",C134/(1+F134*$B$6/360)^(COUNT(A$16:A134)-($B$6-$D$16)/$B$6))</f>
        <v/>
      </c>
    </row>
    <row r="135" spans="1:7" x14ac:dyDescent="0.2">
      <c r="A135" s="12" t="str">
        <f t="shared" si="11"/>
        <v/>
      </c>
      <c r="B135" t="str">
        <f t="shared" si="7"/>
        <v/>
      </c>
      <c r="C135" s="17" t="str">
        <f t="shared" si="8"/>
        <v/>
      </c>
      <c r="D135" s="18" t="str">
        <f t="shared" si="9"/>
        <v/>
      </c>
      <c r="E135" t="str">
        <f t="shared" si="10"/>
        <v/>
      </c>
      <c r="F135" s="23" t="str">
        <f ca="1">IF(A135="","",IF($B$8="Sí",interpolar_alamb(E135,OFFSET(Curvas_cupon_cero!$A$1,1,0,COUNT(Curvas_cupon_cero!$A:$A)-2,1),OFFSET(Curvas_cupon_cero!$A$1,1,MATCH(Bono_M_Cupon_fijo_curva!$B$7,Curvas_cupon_cero!$1:$1,0)-1,COUNT(Curvas_cupon_cero!$A:$A)-2,1)),interpolar(E135,OFFSET(Curvas_cupon_cero!$A$1,1,0,COUNT(Curvas_cupon_cero!$A:$A)-2,1),OFFSET(Curvas_cupon_cero!$A$1,1,MATCH(Bono_M_Cupon_fijo_curva!$B$7,Curvas_cupon_cero!$1:$1,0)-1,COUNT(Curvas_cupon_cero!$A:$A)-2,1))))</f>
        <v/>
      </c>
      <c r="G135" s="19" t="str">
        <f>IF(A135="","",C135/(1+F135*$B$6/360)^(COUNT(A$16:A135)-($B$6-$D$16)/$B$6))</f>
        <v/>
      </c>
    </row>
    <row r="136" spans="1:7" x14ac:dyDescent="0.2">
      <c r="A136" s="12" t="str">
        <f t="shared" si="11"/>
        <v/>
      </c>
      <c r="B136" t="str">
        <f t="shared" si="7"/>
        <v/>
      </c>
      <c r="C136" s="17" t="str">
        <f t="shared" si="8"/>
        <v/>
      </c>
      <c r="D136" s="18" t="str">
        <f t="shared" si="9"/>
        <v/>
      </c>
      <c r="E136" t="str">
        <f t="shared" si="10"/>
        <v/>
      </c>
      <c r="F136" s="23" t="str">
        <f ca="1">IF(A136="","",IF($B$8="Sí",interpolar_alamb(E136,OFFSET(Curvas_cupon_cero!$A$1,1,0,COUNT(Curvas_cupon_cero!$A:$A)-2,1),OFFSET(Curvas_cupon_cero!$A$1,1,MATCH(Bono_M_Cupon_fijo_curva!$B$7,Curvas_cupon_cero!$1:$1,0)-1,COUNT(Curvas_cupon_cero!$A:$A)-2,1)),interpolar(E136,OFFSET(Curvas_cupon_cero!$A$1,1,0,COUNT(Curvas_cupon_cero!$A:$A)-2,1),OFFSET(Curvas_cupon_cero!$A$1,1,MATCH(Bono_M_Cupon_fijo_curva!$B$7,Curvas_cupon_cero!$1:$1,0)-1,COUNT(Curvas_cupon_cero!$A:$A)-2,1))))</f>
        <v/>
      </c>
      <c r="G136" s="19" t="str">
        <f>IF(A136="","",C136/(1+F136*$B$6/360)^(COUNT(A$16:A136)-($B$6-$D$16)/$B$6))</f>
        <v/>
      </c>
    </row>
    <row r="137" spans="1:7" x14ac:dyDescent="0.2">
      <c r="A137" s="12" t="str">
        <f t="shared" si="11"/>
        <v/>
      </c>
      <c r="B137" t="str">
        <f t="shared" si="7"/>
        <v/>
      </c>
      <c r="C137" s="17" t="str">
        <f t="shared" si="8"/>
        <v/>
      </c>
      <c r="D137" s="18" t="str">
        <f t="shared" si="9"/>
        <v/>
      </c>
      <c r="E137" t="str">
        <f t="shared" si="10"/>
        <v/>
      </c>
      <c r="F137" s="23" t="str">
        <f ca="1">IF(A137="","",IF($B$8="Sí",interpolar_alamb(E137,OFFSET(Curvas_cupon_cero!$A$1,1,0,COUNT(Curvas_cupon_cero!$A:$A)-2,1),OFFSET(Curvas_cupon_cero!$A$1,1,MATCH(Bono_M_Cupon_fijo_curva!$B$7,Curvas_cupon_cero!$1:$1,0)-1,COUNT(Curvas_cupon_cero!$A:$A)-2,1)),interpolar(E137,OFFSET(Curvas_cupon_cero!$A$1,1,0,COUNT(Curvas_cupon_cero!$A:$A)-2,1),OFFSET(Curvas_cupon_cero!$A$1,1,MATCH(Bono_M_Cupon_fijo_curva!$B$7,Curvas_cupon_cero!$1:$1,0)-1,COUNT(Curvas_cupon_cero!$A:$A)-2,1))))</f>
        <v/>
      </c>
      <c r="G137" s="19" t="str">
        <f>IF(A137="","",C137/(1+F137*$B$6/360)^(COUNT(A$16:A137)-($B$6-$D$16)/$B$6))</f>
        <v/>
      </c>
    </row>
    <row r="138" spans="1:7" x14ac:dyDescent="0.2">
      <c r="A138" s="12" t="str">
        <f t="shared" si="11"/>
        <v/>
      </c>
      <c r="B138" t="str">
        <f t="shared" si="7"/>
        <v/>
      </c>
      <c r="C138" s="17" t="str">
        <f t="shared" si="8"/>
        <v/>
      </c>
      <c r="D138" s="18" t="str">
        <f t="shared" si="9"/>
        <v/>
      </c>
      <c r="E138" t="str">
        <f t="shared" si="10"/>
        <v/>
      </c>
      <c r="F138" s="23" t="str">
        <f ca="1">IF(A138="","",IF($B$8="Sí",interpolar_alamb(E138,OFFSET(Curvas_cupon_cero!$A$1,1,0,COUNT(Curvas_cupon_cero!$A:$A)-2,1),OFFSET(Curvas_cupon_cero!$A$1,1,MATCH(Bono_M_Cupon_fijo_curva!$B$7,Curvas_cupon_cero!$1:$1,0)-1,COUNT(Curvas_cupon_cero!$A:$A)-2,1)),interpolar(E138,OFFSET(Curvas_cupon_cero!$A$1,1,0,COUNT(Curvas_cupon_cero!$A:$A)-2,1),OFFSET(Curvas_cupon_cero!$A$1,1,MATCH(Bono_M_Cupon_fijo_curva!$B$7,Curvas_cupon_cero!$1:$1,0)-1,COUNT(Curvas_cupon_cero!$A:$A)-2,1))))</f>
        <v/>
      </c>
      <c r="G138" s="19" t="str">
        <f>IF(A138="","",C138/(1+F138*$B$6/360)^(COUNT(A$16:A138)-($B$6-$D$16)/$B$6))</f>
        <v/>
      </c>
    </row>
    <row r="139" spans="1:7" x14ac:dyDescent="0.2">
      <c r="A139" s="12" t="str">
        <f t="shared" si="11"/>
        <v/>
      </c>
      <c r="B139" t="str">
        <f t="shared" si="7"/>
        <v/>
      </c>
      <c r="C139" s="17" t="str">
        <f t="shared" si="8"/>
        <v/>
      </c>
      <c r="D139" s="18" t="str">
        <f t="shared" si="9"/>
        <v/>
      </c>
      <c r="E139" t="str">
        <f t="shared" si="10"/>
        <v/>
      </c>
      <c r="F139" s="23" t="str">
        <f ca="1">IF(A139="","",IF($B$8="Sí",interpolar_alamb(E139,OFFSET(Curvas_cupon_cero!$A$1,1,0,COUNT(Curvas_cupon_cero!$A:$A)-2,1),OFFSET(Curvas_cupon_cero!$A$1,1,MATCH(Bono_M_Cupon_fijo_curva!$B$7,Curvas_cupon_cero!$1:$1,0)-1,COUNT(Curvas_cupon_cero!$A:$A)-2,1)),interpolar(E139,OFFSET(Curvas_cupon_cero!$A$1,1,0,COUNT(Curvas_cupon_cero!$A:$A)-2,1),OFFSET(Curvas_cupon_cero!$A$1,1,MATCH(Bono_M_Cupon_fijo_curva!$B$7,Curvas_cupon_cero!$1:$1,0)-1,COUNT(Curvas_cupon_cero!$A:$A)-2,1))))</f>
        <v/>
      </c>
      <c r="G139" s="19" t="str">
        <f>IF(A139="","",C139/(1+F139*$B$6/360)^(COUNT(A$16:A139)-($B$6-$D$16)/$B$6))</f>
        <v/>
      </c>
    </row>
    <row r="140" spans="1:7" x14ac:dyDescent="0.2">
      <c r="A140" s="12" t="str">
        <f t="shared" si="11"/>
        <v/>
      </c>
      <c r="B140" t="str">
        <f t="shared" si="7"/>
        <v/>
      </c>
      <c r="C140" s="17" t="str">
        <f t="shared" si="8"/>
        <v/>
      </c>
      <c r="D140" s="18" t="str">
        <f t="shared" si="9"/>
        <v/>
      </c>
      <c r="E140" t="str">
        <f t="shared" si="10"/>
        <v/>
      </c>
      <c r="F140" s="23" t="str">
        <f ca="1">IF(A140="","",IF($B$8="Sí",interpolar_alamb(E140,OFFSET(Curvas_cupon_cero!$A$1,1,0,COUNT(Curvas_cupon_cero!$A:$A)-2,1),OFFSET(Curvas_cupon_cero!$A$1,1,MATCH(Bono_M_Cupon_fijo_curva!$B$7,Curvas_cupon_cero!$1:$1,0)-1,COUNT(Curvas_cupon_cero!$A:$A)-2,1)),interpolar(E140,OFFSET(Curvas_cupon_cero!$A$1,1,0,COUNT(Curvas_cupon_cero!$A:$A)-2,1),OFFSET(Curvas_cupon_cero!$A$1,1,MATCH(Bono_M_Cupon_fijo_curva!$B$7,Curvas_cupon_cero!$1:$1,0)-1,COUNT(Curvas_cupon_cero!$A:$A)-2,1))))</f>
        <v/>
      </c>
      <c r="G140" s="19" t="str">
        <f>IF(A140="","",C140/(1+F140*$B$6/360)^(COUNT(A$16:A140)-($B$6-$D$16)/$B$6))</f>
        <v/>
      </c>
    </row>
    <row r="141" spans="1:7" x14ac:dyDescent="0.2">
      <c r="A141" s="12" t="str">
        <f t="shared" si="11"/>
        <v/>
      </c>
      <c r="B141" t="str">
        <f t="shared" si="7"/>
        <v/>
      </c>
      <c r="C141" s="17" t="str">
        <f t="shared" si="8"/>
        <v/>
      </c>
      <c r="D141" s="18" t="str">
        <f t="shared" si="9"/>
        <v/>
      </c>
      <c r="E141" t="str">
        <f t="shared" si="10"/>
        <v/>
      </c>
      <c r="F141" s="23" t="str">
        <f ca="1">IF(A141="","",IF($B$8="Sí",interpolar_alamb(E141,OFFSET(Curvas_cupon_cero!$A$1,1,0,COUNT(Curvas_cupon_cero!$A:$A)-2,1),OFFSET(Curvas_cupon_cero!$A$1,1,MATCH(Bono_M_Cupon_fijo_curva!$B$7,Curvas_cupon_cero!$1:$1,0)-1,COUNT(Curvas_cupon_cero!$A:$A)-2,1)),interpolar(E141,OFFSET(Curvas_cupon_cero!$A$1,1,0,COUNT(Curvas_cupon_cero!$A:$A)-2,1),OFFSET(Curvas_cupon_cero!$A$1,1,MATCH(Bono_M_Cupon_fijo_curva!$B$7,Curvas_cupon_cero!$1:$1,0)-1,COUNT(Curvas_cupon_cero!$A:$A)-2,1))))</f>
        <v/>
      </c>
      <c r="G141" s="19" t="str">
        <f>IF(A141="","",C141/(1+F141*$B$6/360)^(COUNT(A$16:A141)-($B$6-$D$16)/$B$6))</f>
        <v/>
      </c>
    </row>
    <row r="142" spans="1:7" x14ac:dyDescent="0.2">
      <c r="A142" s="12" t="str">
        <f t="shared" si="11"/>
        <v/>
      </c>
      <c r="B142" t="str">
        <f t="shared" si="7"/>
        <v/>
      </c>
      <c r="C142" s="17" t="str">
        <f t="shared" si="8"/>
        <v/>
      </c>
      <c r="D142" s="18" t="str">
        <f t="shared" si="9"/>
        <v/>
      </c>
      <c r="E142" t="str">
        <f t="shared" si="10"/>
        <v/>
      </c>
      <c r="F142" s="23" t="str">
        <f ca="1">IF(A142="","",IF($B$8="Sí",interpolar_alamb(E142,OFFSET(Curvas_cupon_cero!$A$1,1,0,COUNT(Curvas_cupon_cero!$A:$A)-2,1),OFFSET(Curvas_cupon_cero!$A$1,1,MATCH(Bono_M_Cupon_fijo_curva!$B$7,Curvas_cupon_cero!$1:$1,0)-1,COUNT(Curvas_cupon_cero!$A:$A)-2,1)),interpolar(E142,OFFSET(Curvas_cupon_cero!$A$1,1,0,COUNT(Curvas_cupon_cero!$A:$A)-2,1),OFFSET(Curvas_cupon_cero!$A$1,1,MATCH(Bono_M_Cupon_fijo_curva!$B$7,Curvas_cupon_cero!$1:$1,0)-1,COUNT(Curvas_cupon_cero!$A:$A)-2,1))))</f>
        <v/>
      </c>
      <c r="G142" s="19" t="str">
        <f>IF(A142="","",C142/(1+F142*$B$6/360)^(COUNT(A$16:A142)-($B$6-$D$16)/$B$6))</f>
        <v/>
      </c>
    </row>
    <row r="143" spans="1:7" x14ac:dyDescent="0.2">
      <c r="A143" s="12" t="str">
        <f t="shared" si="11"/>
        <v/>
      </c>
      <c r="B143" t="str">
        <f t="shared" si="7"/>
        <v/>
      </c>
      <c r="C143" s="17" t="str">
        <f t="shared" si="8"/>
        <v/>
      </c>
      <c r="D143" s="18" t="str">
        <f t="shared" si="9"/>
        <v/>
      </c>
      <c r="E143" t="str">
        <f t="shared" si="10"/>
        <v/>
      </c>
      <c r="F143" s="23" t="str">
        <f ca="1">IF(A143="","",IF($B$8="Sí",interpolar_alamb(E143,OFFSET(Curvas_cupon_cero!$A$1,1,0,COUNT(Curvas_cupon_cero!$A:$A)-2,1),OFFSET(Curvas_cupon_cero!$A$1,1,MATCH(Bono_M_Cupon_fijo_curva!$B$7,Curvas_cupon_cero!$1:$1,0)-1,COUNT(Curvas_cupon_cero!$A:$A)-2,1)),interpolar(E143,OFFSET(Curvas_cupon_cero!$A$1,1,0,COUNT(Curvas_cupon_cero!$A:$A)-2,1),OFFSET(Curvas_cupon_cero!$A$1,1,MATCH(Bono_M_Cupon_fijo_curva!$B$7,Curvas_cupon_cero!$1:$1,0)-1,COUNT(Curvas_cupon_cero!$A:$A)-2,1))))</f>
        <v/>
      </c>
      <c r="G143" s="19" t="str">
        <f>IF(A143="","",C143/(1+F143*$B$6/360)^(COUNT(A$16:A143)-($B$6-$D$16)/$B$6))</f>
        <v/>
      </c>
    </row>
    <row r="144" spans="1:7" x14ac:dyDescent="0.2">
      <c r="A144" s="12" t="str">
        <f t="shared" si="11"/>
        <v/>
      </c>
      <c r="B144" t="str">
        <f t="shared" si="7"/>
        <v/>
      </c>
      <c r="C144" s="17" t="str">
        <f t="shared" si="8"/>
        <v/>
      </c>
      <c r="D144" s="18" t="str">
        <f t="shared" si="9"/>
        <v/>
      </c>
      <c r="E144" t="str">
        <f t="shared" si="10"/>
        <v/>
      </c>
      <c r="F144" s="23" t="str">
        <f ca="1">IF(A144="","",IF($B$8="Sí",interpolar_alamb(E144,OFFSET(Curvas_cupon_cero!$A$1,1,0,COUNT(Curvas_cupon_cero!$A:$A)-2,1),OFFSET(Curvas_cupon_cero!$A$1,1,MATCH(Bono_M_Cupon_fijo_curva!$B$7,Curvas_cupon_cero!$1:$1,0)-1,COUNT(Curvas_cupon_cero!$A:$A)-2,1)),interpolar(E144,OFFSET(Curvas_cupon_cero!$A$1,1,0,COUNT(Curvas_cupon_cero!$A:$A)-2,1),OFFSET(Curvas_cupon_cero!$A$1,1,MATCH(Bono_M_Cupon_fijo_curva!$B$7,Curvas_cupon_cero!$1:$1,0)-1,COUNT(Curvas_cupon_cero!$A:$A)-2,1))))</f>
        <v/>
      </c>
      <c r="G144" s="19" t="str">
        <f>IF(A144="","",C144/(1+F144*$B$6/360)^(COUNT(A$16:A144)-($B$6-$D$16)/$B$6))</f>
        <v/>
      </c>
    </row>
    <row r="145" spans="1:7" x14ac:dyDescent="0.2">
      <c r="A145" s="12" t="str">
        <f t="shared" si="11"/>
        <v/>
      </c>
      <c r="B145" t="str">
        <f t="shared" ref="B145:B208" si="12">IF(A145="","",$B$5)</f>
        <v/>
      </c>
      <c r="C145" s="17" t="str">
        <f t="shared" ref="C145:C208" si="13">IF(A145="","",IF(A145=$B$4,$B$1*$B$2+ $B$5*$B$6/360*$B$1*$B$2, $B$5*$B$6/360*$B$1*$B$2))</f>
        <v/>
      </c>
      <c r="D145" s="18" t="str">
        <f t="shared" ref="D145:D208" si="14">IF(A145="","",$B$6)</f>
        <v/>
      </c>
      <c r="E145" t="str">
        <f t="shared" ref="E145:E208" si="15">IF(A145="","",E144+D145)</f>
        <v/>
      </c>
      <c r="F145" s="23" t="str">
        <f ca="1">IF(A145="","",IF($B$8="Sí",interpolar_alamb(E145,OFFSET(Curvas_cupon_cero!$A$1,1,0,COUNT(Curvas_cupon_cero!$A:$A)-2,1),OFFSET(Curvas_cupon_cero!$A$1,1,MATCH(Bono_M_Cupon_fijo_curva!$B$7,Curvas_cupon_cero!$1:$1,0)-1,COUNT(Curvas_cupon_cero!$A:$A)-2,1)),interpolar(E145,OFFSET(Curvas_cupon_cero!$A$1,1,0,COUNT(Curvas_cupon_cero!$A:$A)-2,1),OFFSET(Curvas_cupon_cero!$A$1,1,MATCH(Bono_M_Cupon_fijo_curva!$B$7,Curvas_cupon_cero!$1:$1,0)-1,COUNT(Curvas_cupon_cero!$A:$A)-2,1))))</f>
        <v/>
      </c>
      <c r="G145" s="19" t="str">
        <f>IF(A145="","",C145/(1+F145*$B$6/360)^(COUNT(A$16:A145)-($B$6-$D$16)/$B$6))</f>
        <v/>
      </c>
    </row>
    <row r="146" spans="1:7" x14ac:dyDescent="0.2">
      <c r="A146" s="12" t="str">
        <f t="shared" si="11"/>
        <v/>
      </c>
      <c r="B146" t="str">
        <f t="shared" si="12"/>
        <v/>
      </c>
      <c r="C146" s="17" t="str">
        <f t="shared" si="13"/>
        <v/>
      </c>
      <c r="D146" s="18" t="str">
        <f t="shared" si="14"/>
        <v/>
      </c>
      <c r="E146" t="str">
        <f t="shared" si="15"/>
        <v/>
      </c>
      <c r="F146" s="23" t="str">
        <f ca="1">IF(A146="","",IF($B$8="Sí",interpolar_alamb(E146,OFFSET(Curvas_cupon_cero!$A$1,1,0,COUNT(Curvas_cupon_cero!$A:$A)-2,1),OFFSET(Curvas_cupon_cero!$A$1,1,MATCH(Bono_M_Cupon_fijo_curva!$B$7,Curvas_cupon_cero!$1:$1,0)-1,COUNT(Curvas_cupon_cero!$A:$A)-2,1)),interpolar(E146,OFFSET(Curvas_cupon_cero!$A$1,1,0,COUNT(Curvas_cupon_cero!$A:$A)-2,1),OFFSET(Curvas_cupon_cero!$A$1,1,MATCH(Bono_M_Cupon_fijo_curva!$B$7,Curvas_cupon_cero!$1:$1,0)-1,COUNT(Curvas_cupon_cero!$A:$A)-2,1))))</f>
        <v/>
      </c>
      <c r="G146" s="19" t="str">
        <f>IF(A146="","",C146/(1+F146*$B$6/360)^(COUNT(A$16:A146)-($B$6-$D$16)/$B$6))</f>
        <v/>
      </c>
    </row>
    <row r="147" spans="1:7" x14ac:dyDescent="0.2">
      <c r="A147" s="12" t="str">
        <f t="shared" si="11"/>
        <v/>
      </c>
      <c r="B147" t="str">
        <f t="shared" si="12"/>
        <v/>
      </c>
      <c r="C147" s="17" t="str">
        <f t="shared" si="13"/>
        <v/>
      </c>
      <c r="D147" s="18" t="str">
        <f t="shared" si="14"/>
        <v/>
      </c>
      <c r="E147" t="str">
        <f t="shared" si="15"/>
        <v/>
      </c>
      <c r="F147" s="23" t="str">
        <f ca="1">IF(A147="","",IF($B$8="Sí",interpolar_alamb(E147,OFFSET(Curvas_cupon_cero!$A$1,1,0,COUNT(Curvas_cupon_cero!$A:$A)-2,1),OFFSET(Curvas_cupon_cero!$A$1,1,MATCH(Bono_M_Cupon_fijo_curva!$B$7,Curvas_cupon_cero!$1:$1,0)-1,COUNT(Curvas_cupon_cero!$A:$A)-2,1)),interpolar(E147,OFFSET(Curvas_cupon_cero!$A$1,1,0,COUNT(Curvas_cupon_cero!$A:$A)-2,1),OFFSET(Curvas_cupon_cero!$A$1,1,MATCH(Bono_M_Cupon_fijo_curva!$B$7,Curvas_cupon_cero!$1:$1,0)-1,COUNT(Curvas_cupon_cero!$A:$A)-2,1))))</f>
        <v/>
      </c>
      <c r="G147" s="19" t="str">
        <f>IF(A147="","",C147/(1+F147*$B$6/360)^(COUNT(A$16:A147)-($B$6-$D$16)/$B$6))</f>
        <v/>
      </c>
    </row>
    <row r="148" spans="1:7" x14ac:dyDescent="0.2">
      <c r="A148" s="12" t="str">
        <f t="shared" si="11"/>
        <v/>
      </c>
      <c r="B148" t="str">
        <f t="shared" si="12"/>
        <v/>
      </c>
      <c r="C148" s="17" t="str">
        <f t="shared" si="13"/>
        <v/>
      </c>
      <c r="D148" s="18" t="str">
        <f t="shared" si="14"/>
        <v/>
      </c>
      <c r="E148" t="str">
        <f t="shared" si="15"/>
        <v/>
      </c>
      <c r="F148" s="23" t="str">
        <f ca="1">IF(A148="","",IF($B$8="Sí",interpolar_alamb(E148,OFFSET(Curvas_cupon_cero!$A$1,1,0,COUNT(Curvas_cupon_cero!$A:$A)-2,1),OFFSET(Curvas_cupon_cero!$A$1,1,MATCH(Bono_M_Cupon_fijo_curva!$B$7,Curvas_cupon_cero!$1:$1,0)-1,COUNT(Curvas_cupon_cero!$A:$A)-2,1)),interpolar(E148,OFFSET(Curvas_cupon_cero!$A$1,1,0,COUNT(Curvas_cupon_cero!$A:$A)-2,1),OFFSET(Curvas_cupon_cero!$A$1,1,MATCH(Bono_M_Cupon_fijo_curva!$B$7,Curvas_cupon_cero!$1:$1,0)-1,COUNT(Curvas_cupon_cero!$A:$A)-2,1))))</f>
        <v/>
      </c>
      <c r="G148" s="19" t="str">
        <f>IF(A148="","",C148/(1+F148*$B$6/360)^(COUNT(A$16:A148)-($B$6-$D$16)/$B$6))</f>
        <v/>
      </c>
    </row>
    <row r="149" spans="1:7" x14ac:dyDescent="0.2">
      <c r="A149" s="12" t="str">
        <f t="shared" si="11"/>
        <v/>
      </c>
      <c r="B149" t="str">
        <f t="shared" si="12"/>
        <v/>
      </c>
      <c r="C149" s="17" t="str">
        <f t="shared" si="13"/>
        <v/>
      </c>
      <c r="D149" s="18" t="str">
        <f t="shared" si="14"/>
        <v/>
      </c>
      <c r="E149" t="str">
        <f t="shared" si="15"/>
        <v/>
      </c>
      <c r="F149" s="23" t="str">
        <f ca="1">IF(A149="","",IF($B$8="Sí",interpolar_alamb(E149,OFFSET(Curvas_cupon_cero!$A$1,1,0,COUNT(Curvas_cupon_cero!$A:$A)-2,1),OFFSET(Curvas_cupon_cero!$A$1,1,MATCH(Bono_M_Cupon_fijo_curva!$B$7,Curvas_cupon_cero!$1:$1,0)-1,COUNT(Curvas_cupon_cero!$A:$A)-2,1)),interpolar(E149,OFFSET(Curvas_cupon_cero!$A$1,1,0,COUNT(Curvas_cupon_cero!$A:$A)-2,1),OFFSET(Curvas_cupon_cero!$A$1,1,MATCH(Bono_M_Cupon_fijo_curva!$B$7,Curvas_cupon_cero!$1:$1,0)-1,COUNT(Curvas_cupon_cero!$A:$A)-2,1))))</f>
        <v/>
      </c>
      <c r="G149" s="19" t="str">
        <f>IF(A149="","",C149/(1+F149*$B$6/360)^(COUNT(A$16:A149)-($B$6-$D$16)/$B$6))</f>
        <v/>
      </c>
    </row>
    <row r="150" spans="1:7" x14ac:dyDescent="0.2">
      <c r="A150" s="12" t="str">
        <f t="shared" si="11"/>
        <v/>
      </c>
      <c r="B150" t="str">
        <f t="shared" si="12"/>
        <v/>
      </c>
      <c r="C150" s="17" t="str">
        <f t="shared" si="13"/>
        <v/>
      </c>
      <c r="D150" s="18" t="str">
        <f t="shared" si="14"/>
        <v/>
      </c>
      <c r="E150" t="str">
        <f t="shared" si="15"/>
        <v/>
      </c>
      <c r="F150" s="23" t="str">
        <f ca="1">IF(A150="","",IF($B$8="Sí",interpolar_alamb(E150,OFFSET(Curvas_cupon_cero!$A$1,1,0,COUNT(Curvas_cupon_cero!$A:$A)-2,1),OFFSET(Curvas_cupon_cero!$A$1,1,MATCH(Bono_M_Cupon_fijo_curva!$B$7,Curvas_cupon_cero!$1:$1,0)-1,COUNT(Curvas_cupon_cero!$A:$A)-2,1)),interpolar(E150,OFFSET(Curvas_cupon_cero!$A$1,1,0,COUNT(Curvas_cupon_cero!$A:$A)-2,1),OFFSET(Curvas_cupon_cero!$A$1,1,MATCH(Bono_M_Cupon_fijo_curva!$B$7,Curvas_cupon_cero!$1:$1,0)-1,COUNT(Curvas_cupon_cero!$A:$A)-2,1))))</f>
        <v/>
      </c>
      <c r="G150" s="19" t="str">
        <f>IF(A150="","",C150/(1+F150*$B$6/360)^(COUNT(A$16:A150)-($B$6-$D$16)/$B$6))</f>
        <v/>
      </c>
    </row>
    <row r="151" spans="1:7" x14ac:dyDescent="0.2">
      <c r="A151" s="12" t="str">
        <f t="shared" si="11"/>
        <v/>
      </c>
      <c r="B151" t="str">
        <f t="shared" si="12"/>
        <v/>
      </c>
      <c r="C151" s="17" t="str">
        <f t="shared" si="13"/>
        <v/>
      </c>
      <c r="D151" s="18" t="str">
        <f t="shared" si="14"/>
        <v/>
      </c>
      <c r="E151" t="str">
        <f t="shared" si="15"/>
        <v/>
      </c>
      <c r="F151" s="23" t="str">
        <f ca="1">IF(A151="","",IF($B$8="Sí",interpolar_alamb(E151,OFFSET(Curvas_cupon_cero!$A$1,1,0,COUNT(Curvas_cupon_cero!$A:$A)-2,1),OFFSET(Curvas_cupon_cero!$A$1,1,MATCH(Bono_M_Cupon_fijo_curva!$B$7,Curvas_cupon_cero!$1:$1,0)-1,COUNT(Curvas_cupon_cero!$A:$A)-2,1)),interpolar(E151,OFFSET(Curvas_cupon_cero!$A$1,1,0,COUNT(Curvas_cupon_cero!$A:$A)-2,1),OFFSET(Curvas_cupon_cero!$A$1,1,MATCH(Bono_M_Cupon_fijo_curva!$B$7,Curvas_cupon_cero!$1:$1,0)-1,COUNT(Curvas_cupon_cero!$A:$A)-2,1))))</f>
        <v/>
      </c>
      <c r="G151" s="19" t="str">
        <f>IF(A151="","",C151/(1+F151*$B$6/360)^(COUNT(A$16:A151)-($B$6-$D$16)/$B$6))</f>
        <v/>
      </c>
    </row>
    <row r="152" spans="1:7" x14ac:dyDescent="0.2">
      <c r="A152" s="12" t="str">
        <f t="shared" si="11"/>
        <v/>
      </c>
      <c r="B152" t="str">
        <f t="shared" si="12"/>
        <v/>
      </c>
      <c r="C152" s="17" t="str">
        <f t="shared" si="13"/>
        <v/>
      </c>
      <c r="D152" s="18" t="str">
        <f t="shared" si="14"/>
        <v/>
      </c>
      <c r="E152" t="str">
        <f t="shared" si="15"/>
        <v/>
      </c>
      <c r="F152" s="23" t="str">
        <f ca="1">IF(A152="","",IF($B$8="Sí",interpolar_alamb(E152,OFFSET(Curvas_cupon_cero!$A$1,1,0,COUNT(Curvas_cupon_cero!$A:$A)-2,1),OFFSET(Curvas_cupon_cero!$A$1,1,MATCH(Bono_M_Cupon_fijo_curva!$B$7,Curvas_cupon_cero!$1:$1,0)-1,COUNT(Curvas_cupon_cero!$A:$A)-2,1)),interpolar(E152,OFFSET(Curvas_cupon_cero!$A$1,1,0,COUNT(Curvas_cupon_cero!$A:$A)-2,1),OFFSET(Curvas_cupon_cero!$A$1,1,MATCH(Bono_M_Cupon_fijo_curva!$B$7,Curvas_cupon_cero!$1:$1,0)-1,COUNT(Curvas_cupon_cero!$A:$A)-2,1))))</f>
        <v/>
      </c>
      <c r="G152" s="19" t="str">
        <f>IF(A152="","",C152/(1+F152*$B$6/360)^(COUNT(A$16:A152)-($B$6-$D$16)/$B$6))</f>
        <v/>
      </c>
    </row>
    <row r="153" spans="1:7" x14ac:dyDescent="0.2">
      <c r="A153" s="12" t="str">
        <f t="shared" si="11"/>
        <v/>
      </c>
      <c r="B153" t="str">
        <f t="shared" si="12"/>
        <v/>
      </c>
      <c r="C153" s="17" t="str">
        <f t="shared" si="13"/>
        <v/>
      </c>
      <c r="D153" s="18" t="str">
        <f t="shared" si="14"/>
        <v/>
      </c>
      <c r="E153" t="str">
        <f t="shared" si="15"/>
        <v/>
      </c>
      <c r="F153" s="23" t="str">
        <f ca="1">IF(A153="","",IF($B$8="Sí",interpolar_alamb(E153,OFFSET(Curvas_cupon_cero!$A$1,1,0,COUNT(Curvas_cupon_cero!$A:$A)-2,1),OFFSET(Curvas_cupon_cero!$A$1,1,MATCH(Bono_M_Cupon_fijo_curva!$B$7,Curvas_cupon_cero!$1:$1,0)-1,COUNT(Curvas_cupon_cero!$A:$A)-2,1)),interpolar(E153,OFFSET(Curvas_cupon_cero!$A$1,1,0,COUNT(Curvas_cupon_cero!$A:$A)-2,1),OFFSET(Curvas_cupon_cero!$A$1,1,MATCH(Bono_M_Cupon_fijo_curva!$B$7,Curvas_cupon_cero!$1:$1,0)-1,COUNT(Curvas_cupon_cero!$A:$A)-2,1))))</f>
        <v/>
      </c>
      <c r="G153" s="19" t="str">
        <f>IF(A153="","",C153/(1+F153*$B$6/360)^(COUNT(A$16:A153)-($B$6-$D$16)/$B$6))</f>
        <v/>
      </c>
    </row>
    <row r="154" spans="1:7" x14ac:dyDescent="0.2">
      <c r="A154" s="12" t="str">
        <f t="shared" si="11"/>
        <v/>
      </c>
      <c r="B154" t="str">
        <f t="shared" si="12"/>
        <v/>
      </c>
      <c r="C154" s="17" t="str">
        <f t="shared" si="13"/>
        <v/>
      </c>
      <c r="D154" s="18" t="str">
        <f t="shared" si="14"/>
        <v/>
      </c>
      <c r="E154" t="str">
        <f t="shared" si="15"/>
        <v/>
      </c>
      <c r="F154" s="23" t="str">
        <f ca="1">IF(A154="","",IF($B$8="Sí",interpolar_alamb(E154,OFFSET(Curvas_cupon_cero!$A$1,1,0,COUNT(Curvas_cupon_cero!$A:$A)-2,1),OFFSET(Curvas_cupon_cero!$A$1,1,MATCH(Bono_M_Cupon_fijo_curva!$B$7,Curvas_cupon_cero!$1:$1,0)-1,COUNT(Curvas_cupon_cero!$A:$A)-2,1)),interpolar(E154,OFFSET(Curvas_cupon_cero!$A$1,1,0,COUNT(Curvas_cupon_cero!$A:$A)-2,1),OFFSET(Curvas_cupon_cero!$A$1,1,MATCH(Bono_M_Cupon_fijo_curva!$B$7,Curvas_cupon_cero!$1:$1,0)-1,COUNT(Curvas_cupon_cero!$A:$A)-2,1))))</f>
        <v/>
      </c>
      <c r="G154" s="19" t="str">
        <f>IF(A154="","",C154/(1+F154*$B$6/360)^(COUNT(A$16:A154)-($B$6-$D$16)/$B$6))</f>
        <v/>
      </c>
    </row>
    <row r="155" spans="1:7" x14ac:dyDescent="0.2">
      <c r="A155" s="12" t="str">
        <f t="shared" ref="A155:A218" si="16">IF(A154="","",IF((A154+$B$6)&gt;$B$4,"",(A154+$B$6)))</f>
        <v/>
      </c>
      <c r="B155" t="str">
        <f t="shared" si="12"/>
        <v/>
      </c>
      <c r="C155" s="17" t="str">
        <f t="shared" si="13"/>
        <v/>
      </c>
      <c r="D155" s="18" t="str">
        <f t="shared" si="14"/>
        <v/>
      </c>
      <c r="E155" t="str">
        <f t="shared" si="15"/>
        <v/>
      </c>
      <c r="F155" s="23" t="str">
        <f ca="1">IF(A155="","",IF($B$8="Sí",interpolar_alamb(E155,OFFSET(Curvas_cupon_cero!$A$1,1,0,COUNT(Curvas_cupon_cero!$A:$A)-2,1),OFFSET(Curvas_cupon_cero!$A$1,1,MATCH(Bono_M_Cupon_fijo_curva!$B$7,Curvas_cupon_cero!$1:$1,0)-1,COUNT(Curvas_cupon_cero!$A:$A)-2,1)),interpolar(E155,OFFSET(Curvas_cupon_cero!$A$1,1,0,COUNT(Curvas_cupon_cero!$A:$A)-2,1),OFFSET(Curvas_cupon_cero!$A$1,1,MATCH(Bono_M_Cupon_fijo_curva!$B$7,Curvas_cupon_cero!$1:$1,0)-1,COUNT(Curvas_cupon_cero!$A:$A)-2,1))))</f>
        <v/>
      </c>
      <c r="G155" s="19" t="str">
        <f>IF(A155="","",C155/(1+F155*$B$6/360)^(COUNT(A$16:A155)-($B$6-$D$16)/$B$6))</f>
        <v/>
      </c>
    </row>
    <row r="156" spans="1:7" x14ac:dyDescent="0.2">
      <c r="A156" s="12" t="str">
        <f t="shared" si="16"/>
        <v/>
      </c>
      <c r="B156" t="str">
        <f t="shared" si="12"/>
        <v/>
      </c>
      <c r="C156" s="17" t="str">
        <f t="shared" si="13"/>
        <v/>
      </c>
      <c r="D156" s="18" t="str">
        <f t="shared" si="14"/>
        <v/>
      </c>
      <c r="E156" t="str">
        <f t="shared" si="15"/>
        <v/>
      </c>
      <c r="F156" s="23" t="str">
        <f ca="1">IF(A156="","",IF($B$8="Sí",interpolar_alamb(E156,OFFSET(Curvas_cupon_cero!$A$1,1,0,COUNT(Curvas_cupon_cero!$A:$A)-2,1),OFFSET(Curvas_cupon_cero!$A$1,1,MATCH(Bono_M_Cupon_fijo_curva!$B$7,Curvas_cupon_cero!$1:$1,0)-1,COUNT(Curvas_cupon_cero!$A:$A)-2,1)),interpolar(E156,OFFSET(Curvas_cupon_cero!$A$1,1,0,COUNT(Curvas_cupon_cero!$A:$A)-2,1),OFFSET(Curvas_cupon_cero!$A$1,1,MATCH(Bono_M_Cupon_fijo_curva!$B$7,Curvas_cupon_cero!$1:$1,0)-1,COUNT(Curvas_cupon_cero!$A:$A)-2,1))))</f>
        <v/>
      </c>
      <c r="G156" s="19" t="str">
        <f>IF(A156="","",C156/(1+F156*$B$6/360)^(COUNT(A$16:A156)-($B$6-$D$16)/$B$6))</f>
        <v/>
      </c>
    </row>
    <row r="157" spans="1:7" x14ac:dyDescent="0.2">
      <c r="A157" s="12" t="str">
        <f t="shared" si="16"/>
        <v/>
      </c>
      <c r="B157" t="str">
        <f t="shared" si="12"/>
        <v/>
      </c>
      <c r="C157" s="17" t="str">
        <f t="shared" si="13"/>
        <v/>
      </c>
      <c r="D157" s="18" t="str">
        <f t="shared" si="14"/>
        <v/>
      </c>
      <c r="E157" t="str">
        <f t="shared" si="15"/>
        <v/>
      </c>
      <c r="F157" s="23" t="str">
        <f ca="1">IF(A157="","",IF($B$8="Sí",interpolar_alamb(E157,OFFSET(Curvas_cupon_cero!$A$1,1,0,COUNT(Curvas_cupon_cero!$A:$A)-2,1),OFFSET(Curvas_cupon_cero!$A$1,1,MATCH(Bono_M_Cupon_fijo_curva!$B$7,Curvas_cupon_cero!$1:$1,0)-1,COUNT(Curvas_cupon_cero!$A:$A)-2,1)),interpolar(E157,OFFSET(Curvas_cupon_cero!$A$1,1,0,COUNT(Curvas_cupon_cero!$A:$A)-2,1),OFFSET(Curvas_cupon_cero!$A$1,1,MATCH(Bono_M_Cupon_fijo_curva!$B$7,Curvas_cupon_cero!$1:$1,0)-1,COUNT(Curvas_cupon_cero!$A:$A)-2,1))))</f>
        <v/>
      </c>
      <c r="G157" s="19" t="str">
        <f>IF(A157="","",C157/(1+F157*$B$6/360)^(COUNT(A$16:A157)-($B$6-$D$16)/$B$6))</f>
        <v/>
      </c>
    </row>
    <row r="158" spans="1:7" x14ac:dyDescent="0.2">
      <c r="A158" s="12" t="str">
        <f t="shared" si="16"/>
        <v/>
      </c>
      <c r="B158" t="str">
        <f t="shared" si="12"/>
        <v/>
      </c>
      <c r="C158" s="17" t="str">
        <f t="shared" si="13"/>
        <v/>
      </c>
      <c r="D158" s="18" t="str">
        <f t="shared" si="14"/>
        <v/>
      </c>
      <c r="E158" t="str">
        <f t="shared" si="15"/>
        <v/>
      </c>
      <c r="F158" s="23" t="str">
        <f ca="1">IF(A158="","",IF($B$8="Sí",interpolar_alamb(E158,OFFSET(Curvas_cupon_cero!$A$1,1,0,COUNT(Curvas_cupon_cero!$A:$A)-2,1),OFFSET(Curvas_cupon_cero!$A$1,1,MATCH(Bono_M_Cupon_fijo_curva!$B$7,Curvas_cupon_cero!$1:$1,0)-1,COUNT(Curvas_cupon_cero!$A:$A)-2,1)),interpolar(E158,OFFSET(Curvas_cupon_cero!$A$1,1,0,COUNT(Curvas_cupon_cero!$A:$A)-2,1),OFFSET(Curvas_cupon_cero!$A$1,1,MATCH(Bono_M_Cupon_fijo_curva!$B$7,Curvas_cupon_cero!$1:$1,0)-1,COUNT(Curvas_cupon_cero!$A:$A)-2,1))))</f>
        <v/>
      </c>
      <c r="G158" s="19" t="str">
        <f>IF(A158="","",C158/(1+F158*$B$6/360)^(COUNT(A$16:A158)-($B$6-$D$16)/$B$6))</f>
        <v/>
      </c>
    </row>
    <row r="159" spans="1:7" x14ac:dyDescent="0.2">
      <c r="A159" s="12" t="str">
        <f t="shared" si="16"/>
        <v/>
      </c>
      <c r="B159" t="str">
        <f t="shared" si="12"/>
        <v/>
      </c>
      <c r="C159" s="17" t="str">
        <f t="shared" si="13"/>
        <v/>
      </c>
      <c r="D159" s="18" t="str">
        <f t="shared" si="14"/>
        <v/>
      </c>
      <c r="E159" t="str">
        <f t="shared" si="15"/>
        <v/>
      </c>
      <c r="F159" s="23" t="str">
        <f ca="1">IF(A159="","",IF($B$8="Sí",interpolar_alamb(E159,OFFSET(Curvas_cupon_cero!$A$1,1,0,COUNT(Curvas_cupon_cero!$A:$A)-2,1),OFFSET(Curvas_cupon_cero!$A$1,1,MATCH(Bono_M_Cupon_fijo_curva!$B$7,Curvas_cupon_cero!$1:$1,0)-1,COUNT(Curvas_cupon_cero!$A:$A)-2,1)),interpolar(E159,OFFSET(Curvas_cupon_cero!$A$1,1,0,COUNT(Curvas_cupon_cero!$A:$A)-2,1),OFFSET(Curvas_cupon_cero!$A$1,1,MATCH(Bono_M_Cupon_fijo_curva!$B$7,Curvas_cupon_cero!$1:$1,0)-1,COUNT(Curvas_cupon_cero!$A:$A)-2,1))))</f>
        <v/>
      </c>
      <c r="G159" s="19" t="str">
        <f>IF(A159="","",C159/(1+F159*$B$6/360)^(COUNT(A$16:A159)-($B$6-$D$16)/$B$6))</f>
        <v/>
      </c>
    </row>
    <row r="160" spans="1:7" x14ac:dyDescent="0.2">
      <c r="A160" s="12" t="str">
        <f t="shared" si="16"/>
        <v/>
      </c>
      <c r="B160" t="str">
        <f t="shared" si="12"/>
        <v/>
      </c>
      <c r="C160" s="17" t="str">
        <f t="shared" si="13"/>
        <v/>
      </c>
      <c r="D160" s="18" t="str">
        <f t="shared" si="14"/>
        <v/>
      </c>
      <c r="E160" t="str">
        <f t="shared" si="15"/>
        <v/>
      </c>
      <c r="F160" s="23" t="str">
        <f ca="1">IF(A160="","",IF($B$8="Sí",interpolar_alamb(E160,OFFSET(Curvas_cupon_cero!$A$1,1,0,COUNT(Curvas_cupon_cero!$A:$A)-2,1),OFFSET(Curvas_cupon_cero!$A$1,1,MATCH(Bono_M_Cupon_fijo_curva!$B$7,Curvas_cupon_cero!$1:$1,0)-1,COUNT(Curvas_cupon_cero!$A:$A)-2,1)),interpolar(E160,OFFSET(Curvas_cupon_cero!$A$1,1,0,COUNT(Curvas_cupon_cero!$A:$A)-2,1),OFFSET(Curvas_cupon_cero!$A$1,1,MATCH(Bono_M_Cupon_fijo_curva!$B$7,Curvas_cupon_cero!$1:$1,0)-1,COUNT(Curvas_cupon_cero!$A:$A)-2,1))))</f>
        <v/>
      </c>
      <c r="G160" s="19" t="str">
        <f>IF(A160="","",C160/(1+F160*$B$6/360)^(COUNT(A$16:A160)-($B$6-$D$16)/$B$6))</f>
        <v/>
      </c>
    </row>
    <row r="161" spans="1:7" x14ac:dyDescent="0.2">
      <c r="A161" s="12" t="str">
        <f t="shared" si="16"/>
        <v/>
      </c>
      <c r="B161" t="str">
        <f t="shared" si="12"/>
        <v/>
      </c>
      <c r="C161" s="17" t="str">
        <f t="shared" si="13"/>
        <v/>
      </c>
      <c r="D161" s="18" t="str">
        <f t="shared" si="14"/>
        <v/>
      </c>
      <c r="E161" t="str">
        <f t="shared" si="15"/>
        <v/>
      </c>
      <c r="F161" s="23" t="str">
        <f ca="1">IF(A161="","",IF($B$8="Sí",interpolar_alamb(E161,OFFSET(Curvas_cupon_cero!$A$1,1,0,COUNT(Curvas_cupon_cero!$A:$A)-2,1),OFFSET(Curvas_cupon_cero!$A$1,1,MATCH(Bono_M_Cupon_fijo_curva!$B$7,Curvas_cupon_cero!$1:$1,0)-1,COUNT(Curvas_cupon_cero!$A:$A)-2,1)),interpolar(E161,OFFSET(Curvas_cupon_cero!$A$1,1,0,COUNT(Curvas_cupon_cero!$A:$A)-2,1),OFFSET(Curvas_cupon_cero!$A$1,1,MATCH(Bono_M_Cupon_fijo_curva!$B$7,Curvas_cupon_cero!$1:$1,0)-1,COUNT(Curvas_cupon_cero!$A:$A)-2,1))))</f>
        <v/>
      </c>
      <c r="G161" s="19" t="str">
        <f>IF(A161="","",C161/(1+F161*$B$6/360)^(COUNT(A$16:A161)-($B$6-$D$16)/$B$6))</f>
        <v/>
      </c>
    </row>
    <row r="162" spans="1:7" x14ac:dyDescent="0.2">
      <c r="A162" s="12" t="str">
        <f t="shared" si="16"/>
        <v/>
      </c>
      <c r="B162" t="str">
        <f t="shared" si="12"/>
        <v/>
      </c>
      <c r="C162" s="17" t="str">
        <f t="shared" si="13"/>
        <v/>
      </c>
      <c r="D162" s="18" t="str">
        <f t="shared" si="14"/>
        <v/>
      </c>
      <c r="E162" t="str">
        <f t="shared" si="15"/>
        <v/>
      </c>
      <c r="F162" s="23" t="str">
        <f ca="1">IF(A162="","",IF($B$8="Sí",interpolar_alamb(E162,OFFSET(Curvas_cupon_cero!$A$1,1,0,COUNT(Curvas_cupon_cero!$A:$A)-2,1),OFFSET(Curvas_cupon_cero!$A$1,1,MATCH(Bono_M_Cupon_fijo_curva!$B$7,Curvas_cupon_cero!$1:$1,0)-1,COUNT(Curvas_cupon_cero!$A:$A)-2,1)),interpolar(E162,OFFSET(Curvas_cupon_cero!$A$1,1,0,COUNT(Curvas_cupon_cero!$A:$A)-2,1),OFFSET(Curvas_cupon_cero!$A$1,1,MATCH(Bono_M_Cupon_fijo_curva!$B$7,Curvas_cupon_cero!$1:$1,0)-1,COUNT(Curvas_cupon_cero!$A:$A)-2,1))))</f>
        <v/>
      </c>
      <c r="G162" s="19" t="str">
        <f>IF(A162="","",C162/(1+F162*$B$6/360)^(COUNT(A$16:A162)-($B$6-$D$16)/$B$6))</f>
        <v/>
      </c>
    </row>
    <row r="163" spans="1:7" x14ac:dyDescent="0.2">
      <c r="A163" s="12" t="str">
        <f t="shared" si="16"/>
        <v/>
      </c>
      <c r="B163" t="str">
        <f t="shared" si="12"/>
        <v/>
      </c>
      <c r="C163" s="17" t="str">
        <f t="shared" si="13"/>
        <v/>
      </c>
      <c r="D163" s="18" t="str">
        <f t="shared" si="14"/>
        <v/>
      </c>
      <c r="E163" t="str">
        <f t="shared" si="15"/>
        <v/>
      </c>
      <c r="F163" s="23" t="str">
        <f ca="1">IF(A163="","",IF($B$8="Sí",interpolar_alamb(E163,OFFSET(Curvas_cupon_cero!$A$1,1,0,COUNT(Curvas_cupon_cero!$A:$A)-2,1),OFFSET(Curvas_cupon_cero!$A$1,1,MATCH(Bono_M_Cupon_fijo_curva!$B$7,Curvas_cupon_cero!$1:$1,0)-1,COUNT(Curvas_cupon_cero!$A:$A)-2,1)),interpolar(E163,OFFSET(Curvas_cupon_cero!$A$1,1,0,COUNT(Curvas_cupon_cero!$A:$A)-2,1),OFFSET(Curvas_cupon_cero!$A$1,1,MATCH(Bono_M_Cupon_fijo_curva!$B$7,Curvas_cupon_cero!$1:$1,0)-1,COUNT(Curvas_cupon_cero!$A:$A)-2,1))))</f>
        <v/>
      </c>
      <c r="G163" s="19" t="str">
        <f>IF(A163="","",C163/(1+F163*$B$6/360)^(COUNT(A$16:A163)-($B$6-$D$16)/$B$6))</f>
        <v/>
      </c>
    </row>
    <row r="164" spans="1:7" x14ac:dyDescent="0.2">
      <c r="A164" s="12" t="str">
        <f t="shared" si="16"/>
        <v/>
      </c>
      <c r="B164" t="str">
        <f t="shared" si="12"/>
        <v/>
      </c>
      <c r="C164" s="17" t="str">
        <f t="shared" si="13"/>
        <v/>
      </c>
      <c r="D164" s="18" t="str">
        <f t="shared" si="14"/>
        <v/>
      </c>
      <c r="E164" t="str">
        <f t="shared" si="15"/>
        <v/>
      </c>
      <c r="F164" s="23" t="str">
        <f ca="1">IF(A164="","",IF($B$8="Sí",interpolar_alamb(E164,OFFSET(Curvas_cupon_cero!$A$1,1,0,COUNT(Curvas_cupon_cero!$A:$A)-2,1),OFFSET(Curvas_cupon_cero!$A$1,1,MATCH(Bono_M_Cupon_fijo_curva!$B$7,Curvas_cupon_cero!$1:$1,0)-1,COUNT(Curvas_cupon_cero!$A:$A)-2,1)),interpolar(E164,OFFSET(Curvas_cupon_cero!$A$1,1,0,COUNT(Curvas_cupon_cero!$A:$A)-2,1),OFFSET(Curvas_cupon_cero!$A$1,1,MATCH(Bono_M_Cupon_fijo_curva!$B$7,Curvas_cupon_cero!$1:$1,0)-1,COUNT(Curvas_cupon_cero!$A:$A)-2,1))))</f>
        <v/>
      </c>
      <c r="G164" s="19" t="str">
        <f>IF(A164="","",C164/(1+F164*$B$6/360)^(COUNT(A$16:A164)-($B$6-$D$16)/$B$6))</f>
        <v/>
      </c>
    </row>
    <row r="165" spans="1:7" x14ac:dyDescent="0.2">
      <c r="A165" s="12" t="str">
        <f t="shared" si="16"/>
        <v/>
      </c>
      <c r="B165" t="str">
        <f t="shared" si="12"/>
        <v/>
      </c>
      <c r="C165" s="17" t="str">
        <f t="shared" si="13"/>
        <v/>
      </c>
      <c r="D165" s="18" t="str">
        <f t="shared" si="14"/>
        <v/>
      </c>
      <c r="E165" t="str">
        <f t="shared" si="15"/>
        <v/>
      </c>
      <c r="F165" s="23" t="str">
        <f ca="1">IF(A165="","",IF($B$8="Sí",interpolar_alamb(E165,OFFSET(Curvas_cupon_cero!$A$1,1,0,COUNT(Curvas_cupon_cero!$A:$A)-2,1),OFFSET(Curvas_cupon_cero!$A$1,1,MATCH(Bono_M_Cupon_fijo_curva!$B$7,Curvas_cupon_cero!$1:$1,0)-1,COUNT(Curvas_cupon_cero!$A:$A)-2,1)),interpolar(E165,OFFSET(Curvas_cupon_cero!$A$1,1,0,COUNT(Curvas_cupon_cero!$A:$A)-2,1),OFFSET(Curvas_cupon_cero!$A$1,1,MATCH(Bono_M_Cupon_fijo_curva!$B$7,Curvas_cupon_cero!$1:$1,0)-1,COUNT(Curvas_cupon_cero!$A:$A)-2,1))))</f>
        <v/>
      </c>
      <c r="G165" s="19" t="str">
        <f>IF(A165="","",C165/(1+F165*$B$6/360)^(COUNT(A$16:A165)-($B$6-$D$16)/$B$6))</f>
        <v/>
      </c>
    </row>
    <row r="166" spans="1:7" x14ac:dyDescent="0.2">
      <c r="A166" s="12" t="str">
        <f t="shared" si="16"/>
        <v/>
      </c>
      <c r="B166" t="str">
        <f t="shared" si="12"/>
        <v/>
      </c>
      <c r="C166" s="17" t="str">
        <f t="shared" si="13"/>
        <v/>
      </c>
      <c r="D166" s="18" t="str">
        <f t="shared" si="14"/>
        <v/>
      </c>
      <c r="E166" t="str">
        <f t="shared" si="15"/>
        <v/>
      </c>
      <c r="F166" s="23" t="str">
        <f ca="1">IF(A166="","",IF($B$8="Sí",interpolar_alamb(E166,OFFSET(Curvas_cupon_cero!$A$1,1,0,COUNT(Curvas_cupon_cero!$A:$A)-2,1),OFFSET(Curvas_cupon_cero!$A$1,1,MATCH(Bono_M_Cupon_fijo_curva!$B$7,Curvas_cupon_cero!$1:$1,0)-1,COUNT(Curvas_cupon_cero!$A:$A)-2,1)),interpolar(E166,OFFSET(Curvas_cupon_cero!$A$1,1,0,COUNT(Curvas_cupon_cero!$A:$A)-2,1),OFFSET(Curvas_cupon_cero!$A$1,1,MATCH(Bono_M_Cupon_fijo_curva!$B$7,Curvas_cupon_cero!$1:$1,0)-1,COUNT(Curvas_cupon_cero!$A:$A)-2,1))))</f>
        <v/>
      </c>
      <c r="G166" s="19" t="str">
        <f>IF(A166="","",C166/(1+F166*$B$6/360)^(COUNT(A$16:A166)-($B$6-$D$16)/$B$6))</f>
        <v/>
      </c>
    </row>
    <row r="167" spans="1:7" x14ac:dyDescent="0.2">
      <c r="A167" s="12" t="str">
        <f t="shared" si="16"/>
        <v/>
      </c>
      <c r="B167" t="str">
        <f t="shared" si="12"/>
        <v/>
      </c>
      <c r="C167" s="17" t="str">
        <f t="shared" si="13"/>
        <v/>
      </c>
      <c r="D167" s="18" t="str">
        <f t="shared" si="14"/>
        <v/>
      </c>
      <c r="E167" t="str">
        <f t="shared" si="15"/>
        <v/>
      </c>
      <c r="F167" s="23" t="str">
        <f ca="1">IF(A167="","",IF($B$8="Sí",interpolar_alamb(E167,OFFSET(Curvas_cupon_cero!$A$1,1,0,COUNT(Curvas_cupon_cero!$A:$A)-2,1),OFFSET(Curvas_cupon_cero!$A$1,1,MATCH(Bono_M_Cupon_fijo_curva!$B$7,Curvas_cupon_cero!$1:$1,0)-1,COUNT(Curvas_cupon_cero!$A:$A)-2,1)),interpolar(E167,OFFSET(Curvas_cupon_cero!$A$1,1,0,COUNT(Curvas_cupon_cero!$A:$A)-2,1),OFFSET(Curvas_cupon_cero!$A$1,1,MATCH(Bono_M_Cupon_fijo_curva!$B$7,Curvas_cupon_cero!$1:$1,0)-1,COUNT(Curvas_cupon_cero!$A:$A)-2,1))))</f>
        <v/>
      </c>
      <c r="G167" s="19" t="str">
        <f>IF(A167="","",C167/(1+F167*$B$6/360)^(COUNT(A$16:A167)-($B$6-$D$16)/$B$6))</f>
        <v/>
      </c>
    </row>
    <row r="168" spans="1:7" x14ac:dyDescent="0.2">
      <c r="A168" s="12" t="str">
        <f t="shared" si="16"/>
        <v/>
      </c>
      <c r="B168" t="str">
        <f t="shared" si="12"/>
        <v/>
      </c>
      <c r="C168" s="17" t="str">
        <f t="shared" si="13"/>
        <v/>
      </c>
      <c r="D168" s="18" t="str">
        <f t="shared" si="14"/>
        <v/>
      </c>
      <c r="E168" t="str">
        <f t="shared" si="15"/>
        <v/>
      </c>
      <c r="F168" s="23" t="str">
        <f ca="1">IF(A168="","",IF($B$8="Sí",interpolar_alamb(E168,OFFSET(Curvas_cupon_cero!$A$1,1,0,COUNT(Curvas_cupon_cero!$A:$A)-2,1),OFFSET(Curvas_cupon_cero!$A$1,1,MATCH(Bono_M_Cupon_fijo_curva!$B$7,Curvas_cupon_cero!$1:$1,0)-1,COUNT(Curvas_cupon_cero!$A:$A)-2,1)),interpolar(E168,OFFSET(Curvas_cupon_cero!$A$1,1,0,COUNT(Curvas_cupon_cero!$A:$A)-2,1),OFFSET(Curvas_cupon_cero!$A$1,1,MATCH(Bono_M_Cupon_fijo_curva!$B$7,Curvas_cupon_cero!$1:$1,0)-1,COUNT(Curvas_cupon_cero!$A:$A)-2,1))))</f>
        <v/>
      </c>
      <c r="G168" s="19" t="str">
        <f>IF(A168="","",C168/(1+F168*$B$6/360)^(COUNT(A$16:A168)-($B$6-$D$16)/$B$6))</f>
        <v/>
      </c>
    </row>
    <row r="169" spans="1:7" x14ac:dyDescent="0.2">
      <c r="A169" s="12" t="str">
        <f t="shared" si="16"/>
        <v/>
      </c>
      <c r="B169" t="str">
        <f t="shared" si="12"/>
        <v/>
      </c>
      <c r="C169" s="17" t="str">
        <f t="shared" si="13"/>
        <v/>
      </c>
      <c r="D169" s="18" t="str">
        <f t="shared" si="14"/>
        <v/>
      </c>
      <c r="E169" t="str">
        <f t="shared" si="15"/>
        <v/>
      </c>
      <c r="F169" s="23" t="str">
        <f ca="1">IF(A169="","",IF($B$8="Sí",interpolar_alamb(E169,OFFSET(Curvas_cupon_cero!$A$1,1,0,COUNT(Curvas_cupon_cero!$A:$A)-2,1),OFFSET(Curvas_cupon_cero!$A$1,1,MATCH(Bono_M_Cupon_fijo_curva!$B$7,Curvas_cupon_cero!$1:$1,0)-1,COUNT(Curvas_cupon_cero!$A:$A)-2,1)),interpolar(E169,OFFSET(Curvas_cupon_cero!$A$1,1,0,COUNT(Curvas_cupon_cero!$A:$A)-2,1),OFFSET(Curvas_cupon_cero!$A$1,1,MATCH(Bono_M_Cupon_fijo_curva!$B$7,Curvas_cupon_cero!$1:$1,0)-1,COUNT(Curvas_cupon_cero!$A:$A)-2,1))))</f>
        <v/>
      </c>
      <c r="G169" s="19" t="str">
        <f>IF(A169="","",C169/(1+F169*$B$6/360)^(COUNT(A$16:A169)-($B$6-$D$16)/$B$6))</f>
        <v/>
      </c>
    </row>
    <row r="170" spans="1:7" x14ac:dyDescent="0.2">
      <c r="A170" s="12" t="str">
        <f t="shared" si="16"/>
        <v/>
      </c>
      <c r="B170" t="str">
        <f t="shared" si="12"/>
        <v/>
      </c>
      <c r="C170" s="17" t="str">
        <f t="shared" si="13"/>
        <v/>
      </c>
      <c r="D170" s="18" t="str">
        <f t="shared" si="14"/>
        <v/>
      </c>
      <c r="E170" t="str">
        <f t="shared" si="15"/>
        <v/>
      </c>
      <c r="F170" s="23" t="str">
        <f ca="1">IF(A170="","",IF($B$8="Sí",interpolar_alamb(E170,OFFSET(Curvas_cupon_cero!$A$1,1,0,COUNT(Curvas_cupon_cero!$A:$A)-2,1),OFFSET(Curvas_cupon_cero!$A$1,1,MATCH(Bono_M_Cupon_fijo_curva!$B$7,Curvas_cupon_cero!$1:$1,0)-1,COUNT(Curvas_cupon_cero!$A:$A)-2,1)),interpolar(E170,OFFSET(Curvas_cupon_cero!$A$1,1,0,COUNT(Curvas_cupon_cero!$A:$A)-2,1),OFFSET(Curvas_cupon_cero!$A$1,1,MATCH(Bono_M_Cupon_fijo_curva!$B$7,Curvas_cupon_cero!$1:$1,0)-1,COUNT(Curvas_cupon_cero!$A:$A)-2,1))))</f>
        <v/>
      </c>
      <c r="G170" s="19" t="str">
        <f>IF(A170="","",C170/(1+F170*$B$6/360)^(COUNT(A$16:A170)-($B$6-$D$16)/$B$6))</f>
        <v/>
      </c>
    </row>
    <row r="171" spans="1:7" x14ac:dyDescent="0.2">
      <c r="A171" s="12" t="str">
        <f t="shared" si="16"/>
        <v/>
      </c>
      <c r="B171" t="str">
        <f t="shared" si="12"/>
        <v/>
      </c>
      <c r="C171" s="17" t="str">
        <f t="shared" si="13"/>
        <v/>
      </c>
      <c r="D171" s="18" t="str">
        <f t="shared" si="14"/>
        <v/>
      </c>
      <c r="E171" t="str">
        <f t="shared" si="15"/>
        <v/>
      </c>
      <c r="F171" s="23" t="str">
        <f ca="1">IF(A171="","",IF($B$8="Sí",interpolar_alamb(E171,OFFSET(Curvas_cupon_cero!$A$1,1,0,COUNT(Curvas_cupon_cero!$A:$A)-2,1),OFFSET(Curvas_cupon_cero!$A$1,1,MATCH(Bono_M_Cupon_fijo_curva!$B$7,Curvas_cupon_cero!$1:$1,0)-1,COUNT(Curvas_cupon_cero!$A:$A)-2,1)),interpolar(E171,OFFSET(Curvas_cupon_cero!$A$1,1,0,COUNT(Curvas_cupon_cero!$A:$A)-2,1),OFFSET(Curvas_cupon_cero!$A$1,1,MATCH(Bono_M_Cupon_fijo_curva!$B$7,Curvas_cupon_cero!$1:$1,0)-1,COUNT(Curvas_cupon_cero!$A:$A)-2,1))))</f>
        <v/>
      </c>
      <c r="G171" s="19" t="str">
        <f>IF(A171="","",C171/(1+F171*$B$6/360)^(COUNT(A$16:A171)-($B$6-$D$16)/$B$6))</f>
        <v/>
      </c>
    </row>
    <row r="172" spans="1:7" x14ac:dyDescent="0.2">
      <c r="A172" s="12" t="str">
        <f t="shared" si="16"/>
        <v/>
      </c>
      <c r="B172" t="str">
        <f t="shared" si="12"/>
        <v/>
      </c>
      <c r="C172" s="17" t="str">
        <f t="shared" si="13"/>
        <v/>
      </c>
      <c r="D172" s="18" t="str">
        <f t="shared" si="14"/>
        <v/>
      </c>
      <c r="E172" t="str">
        <f t="shared" si="15"/>
        <v/>
      </c>
      <c r="F172" s="23" t="str">
        <f ca="1">IF(A172="","",IF($B$8="Sí",interpolar_alamb(E172,OFFSET(Curvas_cupon_cero!$A$1,1,0,COUNT(Curvas_cupon_cero!$A:$A)-2,1),OFFSET(Curvas_cupon_cero!$A$1,1,MATCH(Bono_M_Cupon_fijo_curva!$B$7,Curvas_cupon_cero!$1:$1,0)-1,COUNT(Curvas_cupon_cero!$A:$A)-2,1)),interpolar(E172,OFFSET(Curvas_cupon_cero!$A$1,1,0,COUNT(Curvas_cupon_cero!$A:$A)-2,1),OFFSET(Curvas_cupon_cero!$A$1,1,MATCH(Bono_M_Cupon_fijo_curva!$B$7,Curvas_cupon_cero!$1:$1,0)-1,COUNT(Curvas_cupon_cero!$A:$A)-2,1))))</f>
        <v/>
      </c>
      <c r="G172" s="19" t="str">
        <f>IF(A172="","",C172/(1+F172*$B$6/360)^(COUNT(A$16:A172)-($B$6-$D$16)/$B$6))</f>
        <v/>
      </c>
    </row>
    <row r="173" spans="1:7" x14ac:dyDescent="0.2">
      <c r="A173" s="12" t="str">
        <f t="shared" si="16"/>
        <v/>
      </c>
      <c r="B173" t="str">
        <f t="shared" si="12"/>
        <v/>
      </c>
      <c r="C173" s="17" t="str">
        <f t="shared" si="13"/>
        <v/>
      </c>
      <c r="D173" s="18" t="str">
        <f t="shared" si="14"/>
        <v/>
      </c>
      <c r="E173" t="str">
        <f t="shared" si="15"/>
        <v/>
      </c>
      <c r="F173" s="23" t="str">
        <f ca="1">IF(A173="","",IF($B$8="Sí",interpolar_alamb(E173,OFFSET(Curvas_cupon_cero!$A$1,1,0,COUNT(Curvas_cupon_cero!$A:$A)-2,1),OFFSET(Curvas_cupon_cero!$A$1,1,MATCH(Bono_M_Cupon_fijo_curva!$B$7,Curvas_cupon_cero!$1:$1,0)-1,COUNT(Curvas_cupon_cero!$A:$A)-2,1)),interpolar(E173,OFFSET(Curvas_cupon_cero!$A$1,1,0,COUNT(Curvas_cupon_cero!$A:$A)-2,1),OFFSET(Curvas_cupon_cero!$A$1,1,MATCH(Bono_M_Cupon_fijo_curva!$B$7,Curvas_cupon_cero!$1:$1,0)-1,COUNT(Curvas_cupon_cero!$A:$A)-2,1))))</f>
        <v/>
      </c>
      <c r="G173" s="19" t="str">
        <f>IF(A173="","",C173/(1+F173*$B$6/360)^(COUNT(A$16:A173)-($B$6-$D$16)/$B$6))</f>
        <v/>
      </c>
    </row>
    <row r="174" spans="1:7" x14ac:dyDescent="0.2">
      <c r="A174" s="12" t="str">
        <f t="shared" si="16"/>
        <v/>
      </c>
      <c r="B174" t="str">
        <f t="shared" si="12"/>
        <v/>
      </c>
      <c r="C174" s="17" t="str">
        <f t="shared" si="13"/>
        <v/>
      </c>
      <c r="D174" s="18" t="str">
        <f t="shared" si="14"/>
        <v/>
      </c>
      <c r="E174" t="str">
        <f t="shared" si="15"/>
        <v/>
      </c>
      <c r="F174" s="23" t="str">
        <f ca="1">IF(A174="","",IF($B$8="Sí",interpolar_alamb(E174,OFFSET(Curvas_cupon_cero!$A$1,1,0,COUNT(Curvas_cupon_cero!$A:$A)-2,1),OFFSET(Curvas_cupon_cero!$A$1,1,MATCH(Bono_M_Cupon_fijo_curva!$B$7,Curvas_cupon_cero!$1:$1,0)-1,COUNT(Curvas_cupon_cero!$A:$A)-2,1)),interpolar(E174,OFFSET(Curvas_cupon_cero!$A$1,1,0,COUNT(Curvas_cupon_cero!$A:$A)-2,1),OFFSET(Curvas_cupon_cero!$A$1,1,MATCH(Bono_M_Cupon_fijo_curva!$B$7,Curvas_cupon_cero!$1:$1,0)-1,COUNT(Curvas_cupon_cero!$A:$A)-2,1))))</f>
        <v/>
      </c>
      <c r="G174" s="19" t="str">
        <f>IF(A174="","",C174/(1+F174*$B$6/360)^(COUNT(A$16:A174)-($B$6-$D$16)/$B$6))</f>
        <v/>
      </c>
    </row>
    <row r="175" spans="1:7" x14ac:dyDescent="0.2">
      <c r="A175" s="12" t="str">
        <f t="shared" si="16"/>
        <v/>
      </c>
      <c r="B175" t="str">
        <f t="shared" si="12"/>
        <v/>
      </c>
      <c r="C175" s="17" t="str">
        <f t="shared" si="13"/>
        <v/>
      </c>
      <c r="D175" s="18" t="str">
        <f t="shared" si="14"/>
        <v/>
      </c>
      <c r="E175" t="str">
        <f t="shared" si="15"/>
        <v/>
      </c>
      <c r="F175" s="23" t="str">
        <f ca="1">IF(A175="","",IF($B$8="Sí",interpolar_alamb(E175,OFFSET(Curvas_cupon_cero!$A$1,1,0,COUNT(Curvas_cupon_cero!$A:$A)-2,1),OFFSET(Curvas_cupon_cero!$A$1,1,MATCH(Bono_M_Cupon_fijo_curva!$B$7,Curvas_cupon_cero!$1:$1,0)-1,COUNT(Curvas_cupon_cero!$A:$A)-2,1)),interpolar(E175,OFFSET(Curvas_cupon_cero!$A$1,1,0,COUNT(Curvas_cupon_cero!$A:$A)-2,1),OFFSET(Curvas_cupon_cero!$A$1,1,MATCH(Bono_M_Cupon_fijo_curva!$B$7,Curvas_cupon_cero!$1:$1,0)-1,COUNT(Curvas_cupon_cero!$A:$A)-2,1))))</f>
        <v/>
      </c>
      <c r="G175" s="19" t="str">
        <f>IF(A175="","",C175/(1+F175*$B$6/360)^(COUNT(A$16:A175)-($B$6-$D$16)/$B$6))</f>
        <v/>
      </c>
    </row>
    <row r="176" spans="1:7" x14ac:dyDescent="0.2">
      <c r="A176" s="12" t="str">
        <f t="shared" si="16"/>
        <v/>
      </c>
      <c r="B176" t="str">
        <f t="shared" si="12"/>
        <v/>
      </c>
      <c r="C176" s="17" t="str">
        <f t="shared" si="13"/>
        <v/>
      </c>
      <c r="D176" s="18" t="str">
        <f t="shared" si="14"/>
        <v/>
      </c>
      <c r="E176" t="str">
        <f t="shared" si="15"/>
        <v/>
      </c>
      <c r="F176" s="23" t="str">
        <f ca="1">IF(A176="","",IF($B$8="Sí",interpolar_alamb(E176,OFFSET(Curvas_cupon_cero!$A$1,1,0,COUNT(Curvas_cupon_cero!$A:$A)-2,1),OFFSET(Curvas_cupon_cero!$A$1,1,MATCH(Bono_M_Cupon_fijo_curva!$B$7,Curvas_cupon_cero!$1:$1,0)-1,COUNT(Curvas_cupon_cero!$A:$A)-2,1)),interpolar(E176,OFFSET(Curvas_cupon_cero!$A$1,1,0,COUNT(Curvas_cupon_cero!$A:$A)-2,1),OFFSET(Curvas_cupon_cero!$A$1,1,MATCH(Bono_M_Cupon_fijo_curva!$B$7,Curvas_cupon_cero!$1:$1,0)-1,COUNT(Curvas_cupon_cero!$A:$A)-2,1))))</f>
        <v/>
      </c>
      <c r="G176" s="19" t="str">
        <f>IF(A176="","",C176/(1+F176*$B$6/360)^(COUNT(A$16:A176)-($B$6-$D$16)/$B$6))</f>
        <v/>
      </c>
    </row>
    <row r="177" spans="1:7" x14ac:dyDescent="0.2">
      <c r="A177" s="12" t="str">
        <f t="shared" si="16"/>
        <v/>
      </c>
      <c r="B177" t="str">
        <f t="shared" si="12"/>
        <v/>
      </c>
      <c r="C177" s="17" t="str">
        <f t="shared" si="13"/>
        <v/>
      </c>
      <c r="D177" s="18" t="str">
        <f t="shared" si="14"/>
        <v/>
      </c>
      <c r="E177" t="str">
        <f t="shared" si="15"/>
        <v/>
      </c>
      <c r="F177" s="23" t="str">
        <f ca="1">IF(A177="","",IF($B$8="Sí",interpolar_alamb(E177,OFFSET(Curvas_cupon_cero!$A$1,1,0,COUNT(Curvas_cupon_cero!$A:$A)-2,1),OFFSET(Curvas_cupon_cero!$A$1,1,MATCH(Bono_M_Cupon_fijo_curva!$B$7,Curvas_cupon_cero!$1:$1,0)-1,COUNT(Curvas_cupon_cero!$A:$A)-2,1)),interpolar(E177,OFFSET(Curvas_cupon_cero!$A$1,1,0,COUNT(Curvas_cupon_cero!$A:$A)-2,1),OFFSET(Curvas_cupon_cero!$A$1,1,MATCH(Bono_M_Cupon_fijo_curva!$B$7,Curvas_cupon_cero!$1:$1,0)-1,COUNT(Curvas_cupon_cero!$A:$A)-2,1))))</f>
        <v/>
      </c>
      <c r="G177" s="19" t="str">
        <f>IF(A177="","",C177/(1+F177*$B$6/360)^(COUNT(A$16:A177)-($B$6-$D$16)/$B$6))</f>
        <v/>
      </c>
    </row>
    <row r="178" spans="1:7" x14ac:dyDescent="0.2">
      <c r="A178" s="12" t="str">
        <f t="shared" si="16"/>
        <v/>
      </c>
      <c r="B178" t="str">
        <f t="shared" si="12"/>
        <v/>
      </c>
      <c r="C178" s="17" t="str">
        <f t="shared" si="13"/>
        <v/>
      </c>
      <c r="D178" s="18" t="str">
        <f t="shared" si="14"/>
        <v/>
      </c>
      <c r="E178" t="str">
        <f t="shared" si="15"/>
        <v/>
      </c>
      <c r="F178" s="23" t="str">
        <f ca="1">IF(A178="","",IF($B$8="Sí",interpolar_alamb(E178,OFFSET(Curvas_cupon_cero!$A$1,1,0,COUNT(Curvas_cupon_cero!$A:$A)-2,1),OFFSET(Curvas_cupon_cero!$A$1,1,MATCH(Bono_M_Cupon_fijo_curva!$B$7,Curvas_cupon_cero!$1:$1,0)-1,COUNT(Curvas_cupon_cero!$A:$A)-2,1)),interpolar(E178,OFFSET(Curvas_cupon_cero!$A$1,1,0,COUNT(Curvas_cupon_cero!$A:$A)-2,1),OFFSET(Curvas_cupon_cero!$A$1,1,MATCH(Bono_M_Cupon_fijo_curva!$B$7,Curvas_cupon_cero!$1:$1,0)-1,COUNT(Curvas_cupon_cero!$A:$A)-2,1))))</f>
        <v/>
      </c>
      <c r="G178" s="19" t="str">
        <f>IF(A178="","",C178/(1+F178*$B$6/360)^(COUNT(A$16:A178)-($B$6-$D$16)/$B$6))</f>
        <v/>
      </c>
    </row>
    <row r="179" spans="1:7" x14ac:dyDescent="0.2">
      <c r="A179" s="12" t="str">
        <f t="shared" si="16"/>
        <v/>
      </c>
      <c r="B179" t="str">
        <f t="shared" si="12"/>
        <v/>
      </c>
      <c r="C179" s="17" t="str">
        <f t="shared" si="13"/>
        <v/>
      </c>
      <c r="D179" s="18" t="str">
        <f t="shared" si="14"/>
        <v/>
      </c>
      <c r="E179" t="str">
        <f t="shared" si="15"/>
        <v/>
      </c>
      <c r="F179" s="23" t="str">
        <f ca="1">IF(A179="","",IF($B$8="Sí",interpolar_alamb(E179,OFFSET(Curvas_cupon_cero!$A$1,1,0,COUNT(Curvas_cupon_cero!$A:$A)-2,1),OFFSET(Curvas_cupon_cero!$A$1,1,MATCH(Bono_M_Cupon_fijo_curva!$B$7,Curvas_cupon_cero!$1:$1,0)-1,COUNT(Curvas_cupon_cero!$A:$A)-2,1)),interpolar(E179,OFFSET(Curvas_cupon_cero!$A$1,1,0,COUNT(Curvas_cupon_cero!$A:$A)-2,1),OFFSET(Curvas_cupon_cero!$A$1,1,MATCH(Bono_M_Cupon_fijo_curva!$B$7,Curvas_cupon_cero!$1:$1,0)-1,COUNT(Curvas_cupon_cero!$A:$A)-2,1))))</f>
        <v/>
      </c>
      <c r="G179" s="19" t="str">
        <f>IF(A179="","",C179/(1+F179*$B$6/360)^(COUNT(A$16:A179)-($B$6-$D$16)/$B$6))</f>
        <v/>
      </c>
    </row>
    <row r="180" spans="1:7" x14ac:dyDescent="0.2">
      <c r="A180" s="12" t="str">
        <f t="shared" si="16"/>
        <v/>
      </c>
      <c r="B180" t="str">
        <f t="shared" si="12"/>
        <v/>
      </c>
      <c r="C180" s="17" t="str">
        <f t="shared" si="13"/>
        <v/>
      </c>
      <c r="D180" s="18" t="str">
        <f t="shared" si="14"/>
        <v/>
      </c>
      <c r="E180" t="str">
        <f t="shared" si="15"/>
        <v/>
      </c>
      <c r="F180" s="23" t="str">
        <f ca="1">IF(A180="","",IF($B$8="Sí",interpolar_alamb(E180,OFFSET(Curvas_cupon_cero!$A$1,1,0,COUNT(Curvas_cupon_cero!$A:$A)-2,1),OFFSET(Curvas_cupon_cero!$A$1,1,MATCH(Bono_M_Cupon_fijo_curva!$B$7,Curvas_cupon_cero!$1:$1,0)-1,COUNT(Curvas_cupon_cero!$A:$A)-2,1)),interpolar(E180,OFFSET(Curvas_cupon_cero!$A$1,1,0,COUNT(Curvas_cupon_cero!$A:$A)-2,1),OFFSET(Curvas_cupon_cero!$A$1,1,MATCH(Bono_M_Cupon_fijo_curva!$B$7,Curvas_cupon_cero!$1:$1,0)-1,COUNT(Curvas_cupon_cero!$A:$A)-2,1))))</f>
        <v/>
      </c>
      <c r="G180" s="19" t="str">
        <f>IF(A180="","",C180/(1+F180*$B$6/360)^(COUNT(A$16:A180)-($B$6-$D$16)/$B$6))</f>
        <v/>
      </c>
    </row>
    <row r="181" spans="1:7" x14ac:dyDescent="0.2">
      <c r="A181" s="12" t="str">
        <f t="shared" si="16"/>
        <v/>
      </c>
      <c r="B181" t="str">
        <f t="shared" si="12"/>
        <v/>
      </c>
      <c r="C181" s="17" t="str">
        <f t="shared" si="13"/>
        <v/>
      </c>
      <c r="D181" s="18" t="str">
        <f t="shared" si="14"/>
        <v/>
      </c>
      <c r="E181" t="str">
        <f t="shared" si="15"/>
        <v/>
      </c>
      <c r="F181" s="23" t="str">
        <f ca="1">IF(A181="","",IF($B$8="Sí",interpolar_alamb(E181,OFFSET(Curvas_cupon_cero!$A$1,1,0,COUNT(Curvas_cupon_cero!$A:$A)-2,1),OFFSET(Curvas_cupon_cero!$A$1,1,MATCH(Bono_M_Cupon_fijo_curva!$B$7,Curvas_cupon_cero!$1:$1,0)-1,COUNT(Curvas_cupon_cero!$A:$A)-2,1)),interpolar(E181,OFFSET(Curvas_cupon_cero!$A$1,1,0,COUNT(Curvas_cupon_cero!$A:$A)-2,1),OFFSET(Curvas_cupon_cero!$A$1,1,MATCH(Bono_M_Cupon_fijo_curva!$B$7,Curvas_cupon_cero!$1:$1,0)-1,COUNT(Curvas_cupon_cero!$A:$A)-2,1))))</f>
        <v/>
      </c>
      <c r="G181" s="19" t="str">
        <f>IF(A181="","",C181/(1+F181*$B$6/360)^(COUNT(A$16:A181)-($B$6-$D$16)/$B$6))</f>
        <v/>
      </c>
    </row>
    <row r="182" spans="1:7" x14ac:dyDescent="0.2">
      <c r="A182" s="12" t="str">
        <f t="shared" si="16"/>
        <v/>
      </c>
      <c r="B182" t="str">
        <f t="shared" si="12"/>
        <v/>
      </c>
      <c r="C182" s="17" t="str">
        <f t="shared" si="13"/>
        <v/>
      </c>
      <c r="D182" s="18" t="str">
        <f t="shared" si="14"/>
        <v/>
      </c>
      <c r="E182" t="str">
        <f t="shared" si="15"/>
        <v/>
      </c>
      <c r="F182" s="23" t="str">
        <f ca="1">IF(A182="","",IF($B$8="Sí",interpolar_alamb(E182,OFFSET(Curvas_cupon_cero!$A$1,1,0,COUNT(Curvas_cupon_cero!$A:$A)-2,1),OFFSET(Curvas_cupon_cero!$A$1,1,MATCH(Bono_M_Cupon_fijo_curva!$B$7,Curvas_cupon_cero!$1:$1,0)-1,COUNT(Curvas_cupon_cero!$A:$A)-2,1)),interpolar(E182,OFFSET(Curvas_cupon_cero!$A$1,1,0,COUNT(Curvas_cupon_cero!$A:$A)-2,1),OFFSET(Curvas_cupon_cero!$A$1,1,MATCH(Bono_M_Cupon_fijo_curva!$B$7,Curvas_cupon_cero!$1:$1,0)-1,COUNT(Curvas_cupon_cero!$A:$A)-2,1))))</f>
        <v/>
      </c>
      <c r="G182" s="19" t="str">
        <f>IF(A182="","",C182/(1+F182*$B$6/360)^(COUNT(A$16:A182)-($B$6-$D$16)/$B$6))</f>
        <v/>
      </c>
    </row>
    <row r="183" spans="1:7" x14ac:dyDescent="0.2">
      <c r="A183" s="12" t="str">
        <f t="shared" si="16"/>
        <v/>
      </c>
      <c r="B183" t="str">
        <f t="shared" si="12"/>
        <v/>
      </c>
      <c r="C183" s="17" t="str">
        <f t="shared" si="13"/>
        <v/>
      </c>
      <c r="D183" s="18" t="str">
        <f t="shared" si="14"/>
        <v/>
      </c>
      <c r="E183" t="str">
        <f t="shared" si="15"/>
        <v/>
      </c>
      <c r="F183" s="23" t="str">
        <f ca="1">IF(A183="","",IF($B$8="Sí",interpolar_alamb(E183,OFFSET(Curvas_cupon_cero!$A$1,1,0,COUNT(Curvas_cupon_cero!$A:$A)-2,1),OFFSET(Curvas_cupon_cero!$A$1,1,MATCH(Bono_M_Cupon_fijo_curva!$B$7,Curvas_cupon_cero!$1:$1,0)-1,COUNT(Curvas_cupon_cero!$A:$A)-2,1)),interpolar(E183,OFFSET(Curvas_cupon_cero!$A$1,1,0,COUNT(Curvas_cupon_cero!$A:$A)-2,1),OFFSET(Curvas_cupon_cero!$A$1,1,MATCH(Bono_M_Cupon_fijo_curva!$B$7,Curvas_cupon_cero!$1:$1,0)-1,COUNT(Curvas_cupon_cero!$A:$A)-2,1))))</f>
        <v/>
      </c>
      <c r="G183" s="19" t="str">
        <f>IF(A183="","",C183/(1+F183*$B$6/360)^(COUNT(A$16:A183)-($B$6-$D$16)/$B$6))</f>
        <v/>
      </c>
    </row>
    <row r="184" spans="1:7" x14ac:dyDescent="0.2">
      <c r="A184" s="12" t="str">
        <f t="shared" si="16"/>
        <v/>
      </c>
      <c r="B184" t="str">
        <f t="shared" si="12"/>
        <v/>
      </c>
      <c r="C184" s="17" t="str">
        <f t="shared" si="13"/>
        <v/>
      </c>
      <c r="D184" s="18" t="str">
        <f t="shared" si="14"/>
        <v/>
      </c>
      <c r="E184" t="str">
        <f t="shared" si="15"/>
        <v/>
      </c>
      <c r="F184" s="23" t="str">
        <f ca="1">IF(A184="","",IF($B$8="Sí",interpolar_alamb(E184,OFFSET(Curvas_cupon_cero!$A$1,1,0,COUNT(Curvas_cupon_cero!$A:$A)-2,1),OFFSET(Curvas_cupon_cero!$A$1,1,MATCH(Bono_M_Cupon_fijo_curva!$B$7,Curvas_cupon_cero!$1:$1,0)-1,COUNT(Curvas_cupon_cero!$A:$A)-2,1)),interpolar(E184,OFFSET(Curvas_cupon_cero!$A$1,1,0,COUNT(Curvas_cupon_cero!$A:$A)-2,1),OFFSET(Curvas_cupon_cero!$A$1,1,MATCH(Bono_M_Cupon_fijo_curva!$B$7,Curvas_cupon_cero!$1:$1,0)-1,COUNT(Curvas_cupon_cero!$A:$A)-2,1))))</f>
        <v/>
      </c>
      <c r="G184" s="19" t="str">
        <f>IF(A184="","",C184/(1+F184*$B$6/360)^(COUNT(A$16:A184)-($B$6-$D$16)/$B$6))</f>
        <v/>
      </c>
    </row>
    <row r="185" spans="1:7" x14ac:dyDescent="0.2">
      <c r="A185" s="12" t="str">
        <f t="shared" si="16"/>
        <v/>
      </c>
      <c r="B185" t="str">
        <f t="shared" si="12"/>
        <v/>
      </c>
      <c r="C185" s="17" t="str">
        <f t="shared" si="13"/>
        <v/>
      </c>
      <c r="D185" s="18" t="str">
        <f t="shared" si="14"/>
        <v/>
      </c>
      <c r="E185" t="str">
        <f t="shared" si="15"/>
        <v/>
      </c>
      <c r="F185" s="23" t="str">
        <f ca="1">IF(A185="","",IF($B$8="Sí",interpolar_alamb(E185,OFFSET(Curvas_cupon_cero!$A$1,1,0,COUNT(Curvas_cupon_cero!$A:$A)-2,1),OFFSET(Curvas_cupon_cero!$A$1,1,MATCH(Bono_M_Cupon_fijo_curva!$B$7,Curvas_cupon_cero!$1:$1,0)-1,COUNT(Curvas_cupon_cero!$A:$A)-2,1)),interpolar(E185,OFFSET(Curvas_cupon_cero!$A$1,1,0,COUNT(Curvas_cupon_cero!$A:$A)-2,1),OFFSET(Curvas_cupon_cero!$A$1,1,MATCH(Bono_M_Cupon_fijo_curva!$B$7,Curvas_cupon_cero!$1:$1,0)-1,COUNT(Curvas_cupon_cero!$A:$A)-2,1))))</f>
        <v/>
      </c>
      <c r="G185" s="19" t="str">
        <f>IF(A185="","",C185/(1+F185*$B$6/360)^(COUNT(A$16:A185)-($B$6-$D$16)/$B$6))</f>
        <v/>
      </c>
    </row>
    <row r="186" spans="1:7" x14ac:dyDescent="0.2">
      <c r="A186" s="12" t="str">
        <f t="shared" si="16"/>
        <v/>
      </c>
      <c r="B186" t="str">
        <f t="shared" si="12"/>
        <v/>
      </c>
      <c r="C186" s="17" t="str">
        <f t="shared" si="13"/>
        <v/>
      </c>
      <c r="D186" s="18" t="str">
        <f t="shared" si="14"/>
        <v/>
      </c>
      <c r="E186" t="str">
        <f t="shared" si="15"/>
        <v/>
      </c>
      <c r="F186" s="23" t="str">
        <f ca="1">IF(A186="","",IF($B$8="Sí",interpolar_alamb(E186,OFFSET(Curvas_cupon_cero!$A$1,1,0,COUNT(Curvas_cupon_cero!$A:$A)-2,1),OFFSET(Curvas_cupon_cero!$A$1,1,MATCH(Bono_M_Cupon_fijo_curva!$B$7,Curvas_cupon_cero!$1:$1,0)-1,COUNT(Curvas_cupon_cero!$A:$A)-2,1)),interpolar(E186,OFFSET(Curvas_cupon_cero!$A$1,1,0,COUNT(Curvas_cupon_cero!$A:$A)-2,1),OFFSET(Curvas_cupon_cero!$A$1,1,MATCH(Bono_M_Cupon_fijo_curva!$B$7,Curvas_cupon_cero!$1:$1,0)-1,COUNT(Curvas_cupon_cero!$A:$A)-2,1))))</f>
        <v/>
      </c>
      <c r="G186" s="19" t="str">
        <f>IF(A186="","",C186/(1+F186*$B$6/360)^(COUNT(A$16:A186)-($B$6-$D$16)/$B$6))</f>
        <v/>
      </c>
    </row>
    <row r="187" spans="1:7" x14ac:dyDescent="0.2">
      <c r="A187" s="12" t="str">
        <f t="shared" si="16"/>
        <v/>
      </c>
      <c r="B187" t="str">
        <f t="shared" si="12"/>
        <v/>
      </c>
      <c r="C187" s="17" t="str">
        <f t="shared" si="13"/>
        <v/>
      </c>
      <c r="D187" s="18" t="str">
        <f t="shared" si="14"/>
        <v/>
      </c>
      <c r="E187" t="str">
        <f t="shared" si="15"/>
        <v/>
      </c>
      <c r="F187" s="23" t="str">
        <f ca="1">IF(A187="","",IF($B$8="Sí",interpolar_alamb(E187,OFFSET(Curvas_cupon_cero!$A$1,1,0,COUNT(Curvas_cupon_cero!$A:$A)-2,1),OFFSET(Curvas_cupon_cero!$A$1,1,MATCH(Bono_M_Cupon_fijo_curva!$B$7,Curvas_cupon_cero!$1:$1,0)-1,COUNT(Curvas_cupon_cero!$A:$A)-2,1)),interpolar(E187,OFFSET(Curvas_cupon_cero!$A$1,1,0,COUNT(Curvas_cupon_cero!$A:$A)-2,1),OFFSET(Curvas_cupon_cero!$A$1,1,MATCH(Bono_M_Cupon_fijo_curva!$B$7,Curvas_cupon_cero!$1:$1,0)-1,COUNT(Curvas_cupon_cero!$A:$A)-2,1))))</f>
        <v/>
      </c>
      <c r="G187" s="19" t="str">
        <f>IF(A187="","",C187/(1+F187*$B$6/360)^(COUNT(A$16:A187)-($B$6-$D$16)/$B$6))</f>
        <v/>
      </c>
    </row>
    <row r="188" spans="1:7" x14ac:dyDescent="0.2">
      <c r="A188" s="12" t="str">
        <f t="shared" si="16"/>
        <v/>
      </c>
      <c r="B188" t="str">
        <f t="shared" si="12"/>
        <v/>
      </c>
      <c r="C188" s="17" t="str">
        <f t="shared" si="13"/>
        <v/>
      </c>
      <c r="D188" s="18" t="str">
        <f t="shared" si="14"/>
        <v/>
      </c>
      <c r="E188" t="str">
        <f t="shared" si="15"/>
        <v/>
      </c>
      <c r="F188" s="23" t="str">
        <f ca="1">IF(A188="","",IF($B$8="Sí",interpolar_alamb(E188,OFFSET(Curvas_cupon_cero!$A$1,1,0,COUNT(Curvas_cupon_cero!$A:$A)-2,1),OFFSET(Curvas_cupon_cero!$A$1,1,MATCH(Bono_M_Cupon_fijo_curva!$B$7,Curvas_cupon_cero!$1:$1,0)-1,COUNT(Curvas_cupon_cero!$A:$A)-2,1)),interpolar(E188,OFFSET(Curvas_cupon_cero!$A$1,1,0,COUNT(Curvas_cupon_cero!$A:$A)-2,1),OFFSET(Curvas_cupon_cero!$A$1,1,MATCH(Bono_M_Cupon_fijo_curva!$B$7,Curvas_cupon_cero!$1:$1,0)-1,COUNT(Curvas_cupon_cero!$A:$A)-2,1))))</f>
        <v/>
      </c>
      <c r="G188" s="19" t="str">
        <f>IF(A188="","",C188/(1+F188*$B$6/360)^(COUNT(A$16:A188)-($B$6-$D$16)/$B$6))</f>
        <v/>
      </c>
    </row>
    <row r="189" spans="1:7" x14ac:dyDescent="0.2">
      <c r="A189" s="12" t="str">
        <f t="shared" si="16"/>
        <v/>
      </c>
      <c r="B189" t="str">
        <f t="shared" si="12"/>
        <v/>
      </c>
      <c r="C189" s="17" t="str">
        <f t="shared" si="13"/>
        <v/>
      </c>
      <c r="D189" s="18" t="str">
        <f t="shared" si="14"/>
        <v/>
      </c>
      <c r="E189" t="str">
        <f t="shared" si="15"/>
        <v/>
      </c>
      <c r="F189" s="23" t="str">
        <f ca="1">IF(A189="","",IF($B$8="Sí",interpolar_alamb(E189,OFFSET(Curvas_cupon_cero!$A$1,1,0,COUNT(Curvas_cupon_cero!$A:$A)-2,1),OFFSET(Curvas_cupon_cero!$A$1,1,MATCH(Bono_M_Cupon_fijo_curva!$B$7,Curvas_cupon_cero!$1:$1,0)-1,COUNT(Curvas_cupon_cero!$A:$A)-2,1)),interpolar(E189,OFFSET(Curvas_cupon_cero!$A$1,1,0,COUNT(Curvas_cupon_cero!$A:$A)-2,1),OFFSET(Curvas_cupon_cero!$A$1,1,MATCH(Bono_M_Cupon_fijo_curva!$B$7,Curvas_cupon_cero!$1:$1,0)-1,COUNT(Curvas_cupon_cero!$A:$A)-2,1))))</f>
        <v/>
      </c>
      <c r="G189" s="19" t="str">
        <f>IF(A189="","",C189/(1+F189*$B$6/360)^(COUNT(A$16:A189)-($B$6-$D$16)/$B$6))</f>
        <v/>
      </c>
    </row>
    <row r="190" spans="1:7" x14ac:dyDescent="0.2">
      <c r="A190" s="12" t="str">
        <f t="shared" si="16"/>
        <v/>
      </c>
      <c r="B190" t="str">
        <f t="shared" si="12"/>
        <v/>
      </c>
      <c r="C190" s="17" t="str">
        <f t="shared" si="13"/>
        <v/>
      </c>
      <c r="D190" s="18" t="str">
        <f t="shared" si="14"/>
        <v/>
      </c>
      <c r="E190" t="str">
        <f t="shared" si="15"/>
        <v/>
      </c>
      <c r="F190" s="23" t="str">
        <f ca="1">IF(A190="","",IF($B$8="Sí",interpolar_alamb(E190,OFFSET(Curvas_cupon_cero!$A$1,1,0,COUNT(Curvas_cupon_cero!$A:$A)-2,1),OFFSET(Curvas_cupon_cero!$A$1,1,MATCH(Bono_M_Cupon_fijo_curva!$B$7,Curvas_cupon_cero!$1:$1,0)-1,COUNT(Curvas_cupon_cero!$A:$A)-2,1)),interpolar(E190,OFFSET(Curvas_cupon_cero!$A$1,1,0,COUNT(Curvas_cupon_cero!$A:$A)-2,1),OFFSET(Curvas_cupon_cero!$A$1,1,MATCH(Bono_M_Cupon_fijo_curva!$B$7,Curvas_cupon_cero!$1:$1,0)-1,COUNT(Curvas_cupon_cero!$A:$A)-2,1))))</f>
        <v/>
      </c>
      <c r="G190" s="19" t="str">
        <f>IF(A190="","",C190/(1+F190*$B$6/360)^(COUNT(A$16:A190)-($B$6-$D$16)/$B$6))</f>
        <v/>
      </c>
    </row>
    <row r="191" spans="1:7" x14ac:dyDescent="0.2">
      <c r="A191" s="12" t="str">
        <f t="shared" si="16"/>
        <v/>
      </c>
      <c r="B191" t="str">
        <f t="shared" si="12"/>
        <v/>
      </c>
      <c r="C191" s="17" t="str">
        <f t="shared" si="13"/>
        <v/>
      </c>
      <c r="D191" s="18" t="str">
        <f t="shared" si="14"/>
        <v/>
      </c>
      <c r="E191" t="str">
        <f t="shared" si="15"/>
        <v/>
      </c>
      <c r="F191" s="23" t="str">
        <f ca="1">IF(A191="","",IF($B$8="Sí",interpolar_alamb(E191,OFFSET(Curvas_cupon_cero!$A$1,1,0,COUNT(Curvas_cupon_cero!$A:$A)-2,1),OFFSET(Curvas_cupon_cero!$A$1,1,MATCH(Bono_M_Cupon_fijo_curva!$B$7,Curvas_cupon_cero!$1:$1,0)-1,COUNT(Curvas_cupon_cero!$A:$A)-2,1)),interpolar(E191,OFFSET(Curvas_cupon_cero!$A$1,1,0,COUNT(Curvas_cupon_cero!$A:$A)-2,1),OFFSET(Curvas_cupon_cero!$A$1,1,MATCH(Bono_M_Cupon_fijo_curva!$B$7,Curvas_cupon_cero!$1:$1,0)-1,COUNT(Curvas_cupon_cero!$A:$A)-2,1))))</f>
        <v/>
      </c>
      <c r="G191" s="19" t="str">
        <f>IF(A191="","",C191/(1+F191*$B$6/360)^(COUNT(A$16:A191)-($B$6-$D$16)/$B$6))</f>
        <v/>
      </c>
    </row>
    <row r="192" spans="1:7" x14ac:dyDescent="0.2">
      <c r="A192" s="12" t="str">
        <f t="shared" si="16"/>
        <v/>
      </c>
      <c r="B192" t="str">
        <f t="shared" si="12"/>
        <v/>
      </c>
      <c r="C192" s="17" t="str">
        <f t="shared" si="13"/>
        <v/>
      </c>
      <c r="D192" s="18" t="str">
        <f t="shared" si="14"/>
        <v/>
      </c>
      <c r="E192" t="str">
        <f t="shared" si="15"/>
        <v/>
      </c>
      <c r="F192" s="23" t="str">
        <f ca="1">IF(A192="","",IF($B$8="Sí",interpolar_alamb(E192,OFFSET(Curvas_cupon_cero!$A$1,1,0,COUNT(Curvas_cupon_cero!$A:$A)-2,1),OFFSET(Curvas_cupon_cero!$A$1,1,MATCH(Bono_M_Cupon_fijo_curva!$B$7,Curvas_cupon_cero!$1:$1,0)-1,COUNT(Curvas_cupon_cero!$A:$A)-2,1)),interpolar(E192,OFFSET(Curvas_cupon_cero!$A$1,1,0,COUNT(Curvas_cupon_cero!$A:$A)-2,1),OFFSET(Curvas_cupon_cero!$A$1,1,MATCH(Bono_M_Cupon_fijo_curva!$B$7,Curvas_cupon_cero!$1:$1,0)-1,COUNT(Curvas_cupon_cero!$A:$A)-2,1))))</f>
        <v/>
      </c>
      <c r="G192" s="19" t="str">
        <f>IF(A192="","",C192/(1+F192*$B$6/360)^(COUNT(A$16:A192)-($B$6-$D$16)/$B$6))</f>
        <v/>
      </c>
    </row>
    <row r="193" spans="1:7" x14ac:dyDescent="0.2">
      <c r="A193" s="12" t="str">
        <f t="shared" si="16"/>
        <v/>
      </c>
      <c r="B193" t="str">
        <f t="shared" si="12"/>
        <v/>
      </c>
      <c r="C193" s="17" t="str">
        <f t="shared" si="13"/>
        <v/>
      </c>
      <c r="D193" s="18" t="str">
        <f t="shared" si="14"/>
        <v/>
      </c>
      <c r="E193" t="str">
        <f t="shared" si="15"/>
        <v/>
      </c>
      <c r="F193" s="23" t="str">
        <f ca="1">IF(A193="","",IF($B$8="Sí",interpolar_alamb(E193,OFFSET(Curvas_cupon_cero!$A$1,1,0,COUNT(Curvas_cupon_cero!$A:$A)-2,1),OFFSET(Curvas_cupon_cero!$A$1,1,MATCH(Bono_M_Cupon_fijo_curva!$B$7,Curvas_cupon_cero!$1:$1,0)-1,COUNT(Curvas_cupon_cero!$A:$A)-2,1)),interpolar(E193,OFFSET(Curvas_cupon_cero!$A$1,1,0,COUNT(Curvas_cupon_cero!$A:$A)-2,1),OFFSET(Curvas_cupon_cero!$A$1,1,MATCH(Bono_M_Cupon_fijo_curva!$B$7,Curvas_cupon_cero!$1:$1,0)-1,COUNT(Curvas_cupon_cero!$A:$A)-2,1))))</f>
        <v/>
      </c>
      <c r="G193" s="19" t="str">
        <f>IF(A193="","",C193/(1+F193*$B$6/360)^(COUNT(A$16:A193)-($B$6-$D$16)/$B$6))</f>
        <v/>
      </c>
    </row>
    <row r="194" spans="1:7" x14ac:dyDescent="0.2">
      <c r="A194" s="12" t="str">
        <f t="shared" si="16"/>
        <v/>
      </c>
      <c r="B194" t="str">
        <f t="shared" si="12"/>
        <v/>
      </c>
      <c r="C194" s="17" t="str">
        <f t="shared" si="13"/>
        <v/>
      </c>
      <c r="D194" s="18" t="str">
        <f t="shared" si="14"/>
        <v/>
      </c>
      <c r="E194" t="str">
        <f t="shared" si="15"/>
        <v/>
      </c>
      <c r="F194" s="23" t="str">
        <f ca="1">IF(A194="","",IF($B$8="Sí",interpolar_alamb(E194,OFFSET(Curvas_cupon_cero!$A$1,1,0,COUNT(Curvas_cupon_cero!$A:$A)-2,1),OFFSET(Curvas_cupon_cero!$A$1,1,MATCH(Bono_M_Cupon_fijo_curva!$B$7,Curvas_cupon_cero!$1:$1,0)-1,COUNT(Curvas_cupon_cero!$A:$A)-2,1)),interpolar(E194,OFFSET(Curvas_cupon_cero!$A$1,1,0,COUNT(Curvas_cupon_cero!$A:$A)-2,1),OFFSET(Curvas_cupon_cero!$A$1,1,MATCH(Bono_M_Cupon_fijo_curva!$B$7,Curvas_cupon_cero!$1:$1,0)-1,COUNT(Curvas_cupon_cero!$A:$A)-2,1))))</f>
        <v/>
      </c>
      <c r="G194" s="19" t="str">
        <f>IF(A194="","",C194/(1+F194*$B$6/360)^(COUNT(A$16:A194)-($B$6-$D$16)/$B$6))</f>
        <v/>
      </c>
    </row>
    <row r="195" spans="1:7" x14ac:dyDescent="0.2">
      <c r="A195" s="12" t="str">
        <f t="shared" si="16"/>
        <v/>
      </c>
      <c r="B195" t="str">
        <f t="shared" si="12"/>
        <v/>
      </c>
      <c r="C195" s="17" t="str">
        <f t="shared" si="13"/>
        <v/>
      </c>
      <c r="D195" s="18" t="str">
        <f t="shared" si="14"/>
        <v/>
      </c>
      <c r="E195" t="str">
        <f t="shared" si="15"/>
        <v/>
      </c>
      <c r="F195" s="23" t="str">
        <f ca="1">IF(A195="","",IF($B$8="Sí",interpolar_alamb(E195,OFFSET(Curvas_cupon_cero!$A$1,1,0,COUNT(Curvas_cupon_cero!$A:$A)-2,1),OFFSET(Curvas_cupon_cero!$A$1,1,MATCH(Bono_M_Cupon_fijo_curva!$B$7,Curvas_cupon_cero!$1:$1,0)-1,COUNT(Curvas_cupon_cero!$A:$A)-2,1)),interpolar(E195,OFFSET(Curvas_cupon_cero!$A$1,1,0,COUNT(Curvas_cupon_cero!$A:$A)-2,1),OFFSET(Curvas_cupon_cero!$A$1,1,MATCH(Bono_M_Cupon_fijo_curva!$B$7,Curvas_cupon_cero!$1:$1,0)-1,COUNT(Curvas_cupon_cero!$A:$A)-2,1))))</f>
        <v/>
      </c>
      <c r="G195" s="19" t="str">
        <f>IF(A195="","",C195/(1+F195*$B$6/360)^(COUNT(A$16:A195)-($B$6-$D$16)/$B$6))</f>
        <v/>
      </c>
    </row>
    <row r="196" spans="1:7" x14ac:dyDescent="0.2">
      <c r="A196" s="12" t="str">
        <f t="shared" si="16"/>
        <v/>
      </c>
      <c r="B196" t="str">
        <f t="shared" si="12"/>
        <v/>
      </c>
      <c r="C196" s="17" t="str">
        <f t="shared" si="13"/>
        <v/>
      </c>
      <c r="D196" s="18" t="str">
        <f t="shared" si="14"/>
        <v/>
      </c>
      <c r="E196" t="str">
        <f t="shared" si="15"/>
        <v/>
      </c>
      <c r="F196" s="23" t="str">
        <f ca="1">IF(A196="","",IF($B$8="Sí",interpolar_alamb(E196,OFFSET(Curvas_cupon_cero!$A$1,1,0,COUNT(Curvas_cupon_cero!$A:$A)-2,1),OFFSET(Curvas_cupon_cero!$A$1,1,MATCH(Bono_M_Cupon_fijo_curva!$B$7,Curvas_cupon_cero!$1:$1,0)-1,COUNT(Curvas_cupon_cero!$A:$A)-2,1)),interpolar(E196,OFFSET(Curvas_cupon_cero!$A$1,1,0,COUNT(Curvas_cupon_cero!$A:$A)-2,1),OFFSET(Curvas_cupon_cero!$A$1,1,MATCH(Bono_M_Cupon_fijo_curva!$B$7,Curvas_cupon_cero!$1:$1,0)-1,COUNT(Curvas_cupon_cero!$A:$A)-2,1))))</f>
        <v/>
      </c>
      <c r="G196" s="19" t="str">
        <f>IF(A196="","",C196/(1+F196*$B$6/360)^(COUNT(A$16:A196)-($B$6-$D$16)/$B$6))</f>
        <v/>
      </c>
    </row>
    <row r="197" spans="1:7" x14ac:dyDescent="0.2">
      <c r="A197" s="12" t="str">
        <f t="shared" si="16"/>
        <v/>
      </c>
      <c r="B197" t="str">
        <f t="shared" si="12"/>
        <v/>
      </c>
      <c r="C197" s="17" t="str">
        <f t="shared" si="13"/>
        <v/>
      </c>
      <c r="D197" s="18" t="str">
        <f t="shared" si="14"/>
        <v/>
      </c>
      <c r="E197" t="str">
        <f t="shared" si="15"/>
        <v/>
      </c>
      <c r="F197" s="23" t="str">
        <f ca="1">IF(A197="","",IF($B$8="Sí",interpolar_alamb(E197,OFFSET(Curvas_cupon_cero!$A$1,1,0,COUNT(Curvas_cupon_cero!$A:$A)-2,1),OFFSET(Curvas_cupon_cero!$A$1,1,MATCH(Bono_M_Cupon_fijo_curva!$B$7,Curvas_cupon_cero!$1:$1,0)-1,COUNT(Curvas_cupon_cero!$A:$A)-2,1)),interpolar(E197,OFFSET(Curvas_cupon_cero!$A$1,1,0,COUNT(Curvas_cupon_cero!$A:$A)-2,1),OFFSET(Curvas_cupon_cero!$A$1,1,MATCH(Bono_M_Cupon_fijo_curva!$B$7,Curvas_cupon_cero!$1:$1,0)-1,COUNT(Curvas_cupon_cero!$A:$A)-2,1))))</f>
        <v/>
      </c>
      <c r="G197" s="19" t="str">
        <f>IF(A197="","",C197/(1+F197*$B$6/360)^(COUNT(A$16:A197)-($B$6-$D$16)/$B$6))</f>
        <v/>
      </c>
    </row>
    <row r="198" spans="1:7" x14ac:dyDescent="0.2">
      <c r="A198" s="12" t="str">
        <f t="shared" si="16"/>
        <v/>
      </c>
      <c r="B198" t="str">
        <f t="shared" si="12"/>
        <v/>
      </c>
      <c r="C198" s="17" t="str">
        <f t="shared" si="13"/>
        <v/>
      </c>
      <c r="D198" s="18" t="str">
        <f t="shared" si="14"/>
        <v/>
      </c>
      <c r="E198" t="str">
        <f t="shared" si="15"/>
        <v/>
      </c>
      <c r="F198" s="23" t="str">
        <f ca="1">IF(A198="","",IF($B$8="Sí",interpolar_alamb(E198,OFFSET(Curvas_cupon_cero!$A$1,1,0,COUNT(Curvas_cupon_cero!$A:$A)-2,1),OFFSET(Curvas_cupon_cero!$A$1,1,MATCH(Bono_M_Cupon_fijo_curva!$B$7,Curvas_cupon_cero!$1:$1,0)-1,COUNT(Curvas_cupon_cero!$A:$A)-2,1)),interpolar(E198,OFFSET(Curvas_cupon_cero!$A$1,1,0,COUNT(Curvas_cupon_cero!$A:$A)-2,1),OFFSET(Curvas_cupon_cero!$A$1,1,MATCH(Bono_M_Cupon_fijo_curva!$B$7,Curvas_cupon_cero!$1:$1,0)-1,COUNT(Curvas_cupon_cero!$A:$A)-2,1))))</f>
        <v/>
      </c>
      <c r="G198" s="19" t="str">
        <f>IF(A198="","",C198/(1+F198*$B$6/360)^(COUNT(A$16:A198)-($B$6-$D$16)/$B$6))</f>
        <v/>
      </c>
    </row>
    <row r="199" spans="1:7" x14ac:dyDescent="0.2">
      <c r="A199" s="12" t="str">
        <f t="shared" si="16"/>
        <v/>
      </c>
      <c r="B199" t="str">
        <f t="shared" si="12"/>
        <v/>
      </c>
      <c r="C199" s="17" t="str">
        <f t="shared" si="13"/>
        <v/>
      </c>
      <c r="D199" s="18" t="str">
        <f t="shared" si="14"/>
        <v/>
      </c>
      <c r="E199" t="str">
        <f t="shared" si="15"/>
        <v/>
      </c>
      <c r="F199" s="23" t="str">
        <f ca="1">IF(A199="","",IF($B$8="Sí",interpolar_alamb(E199,OFFSET(Curvas_cupon_cero!$A$1,1,0,COUNT(Curvas_cupon_cero!$A:$A)-2,1),OFFSET(Curvas_cupon_cero!$A$1,1,MATCH(Bono_M_Cupon_fijo_curva!$B$7,Curvas_cupon_cero!$1:$1,0)-1,COUNT(Curvas_cupon_cero!$A:$A)-2,1)),interpolar(E199,OFFSET(Curvas_cupon_cero!$A$1,1,0,COUNT(Curvas_cupon_cero!$A:$A)-2,1),OFFSET(Curvas_cupon_cero!$A$1,1,MATCH(Bono_M_Cupon_fijo_curva!$B$7,Curvas_cupon_cero!$1:$1,0)-1,COUNT(Curvas_cupon_cero!$A:$A)-2,1))))</f>
        <v/>
      </c>
      <c r="G199" s="19" t="str">
        <f>IF(A199="","",C199/(1+F199*$B$6/360)^(COUNT(A$16:A199)-($B$6-$D$16)/$B$6))</f>
        <v/>
      </c>
    </row>
    <row r="200" spans="1:7" x14ac:dyDescent="0.2">
      <c r="A200" s="12" t="str">
        <f t="shared" si="16"/>
        <v/>
      </c>
      <c r="B200" t="str">
        <f t="shared" si="12"/>
        <v/>
      </c>
      <c r="C200" s="17" t="str">
        <f t="shared" si="13"/>
        <v/>
      </c>
      <c r="D200" s="18" t="str">
        <f t="shared" si="14"/>
        <v/>
      </c>
      <c r="E200" t="str">
        <f t="shared" si="15"/>
        <v/>
      </c>
      <c r="F200" s="23" t="str">
        <f ca="1">IF(A200="","",IF($B$8="Sí",interpolar_alamb(E200,OFFSET(Curvas_cupon_cero!$A$1,1,0,COUNT(Curvas_cupon_cero!$A:$A)-2,1),OFFSET(Curvas_cupon_cero!$A$1,1,MATCH(Bono_M_Cupon_fijo_curva!$B$7,Curvas_cupon_cero!$1:$1,0)-1,COUNT(Curvas_cupon_cero!$A:$A)-2,1)),interpolar(E200,OFFSET(Curvas_cupon_cero!$A$1,1,0,COUNT(Curvas_cupon_cero!$A:$A)-2,1),OFFSET(Curvas_cupon_cero!$A$1,1,MATCH(Bono_M_Cupon_fijo_curva!$B$7,Curvas_cupon_cero!$1:$1,0)-1,COUNT(Curvas_cupon_cero!$A:$A)-2,1))))</f>
        <v/>
      </c>
      <c r="G200" s="19" t="str">
        <f>IF(A200="","",C200/(1+F200*$B$6/360)^(COUNT(A$16:A200)-($B$6-$D$16)/$B$6))</f>
        <v/>
      </c>
    </row>
    <row r="201" spans="1:7" x14ac:dyDescent="0.2">
      <c r="A201" s="12" t="str">
        <f t="shared" si="16"/>
        <v/>
      </c>
      <c r="B201" t="str">
        <f t="shared" si="12"/>
        <v/>
      </c>
      <c r="C201" s="17" t="str">
        <f t="shared" si="13"/>
        <v/>
      </c>
      <c r="D201" s="18" t="str">
        <f t="shared" si="14"/>
        <v/>
      </c>
      <c r="E201" t="str">
        <f t="shared" si="15"/>
        <v/>
      </c>
      <c r="F201" s="23" t="str">
        <f ca="1">IF(A201="","",IF($B$8="Sí",interpolar_alamb(E201,OFFSET(Curvas_cupon_cero!$A$1,1,0,COUNT(Curvas_cupon_cero!$A:$A)-2,1),OFFSET(Curvas_cupon_cero!$A$1,1,MATCH(Bono_M_Cupon_fijo_curva!$B$7,Curvas_cupon_cero!$1:$1,0)-1,COUNT(Curvas_cupon_cero!$A:$A)-2,1)),interpolar(E201,OFFSET(Curvas_cupon_cero!$A$1,1,0,COUNT(Curvas_cupon_cero!$A:$A)-2,1),OFFSET(Curvas_cupon_cero!$A$1,1,MATCH(Bono_M_Cupon_fijo_curva!$B$7,Curvas_cupon_cero!$1:$1,0)-1,COUNT(Curvas_cupon_cero!$A:$A)-2,1))))</f>
        <v/>
      </c>
      <c r="G201" s="19" t="str">
        <f>IF(A201="","",C201/(1+F201*$B$6/360)^(COUNT(A$16:A201)-($B$6-$D$16)/$B$6))</f>
        <v/>
      </c>
    </row>
    <row r="202" spans="1:7" x14ac:dyDescent="0.2">
      <c r="A202" s="12" t="str">
        <f t="shared" si="16"/>
        <v/>
      </c>
      <c r="B202" t="str">
        <f t="shared" si="12"/>
        <v/>
      </c>
      <c r="C202" s="17" t="str">
        <f t="shared" si="13"/>
        <v/>
      </c>
      <c r="D202" s="18" t="str">
        <f t="shared" si="14"/>
        <v/>
      </c>
      <c r="E202" t="str">
        <f t="shared" si="15"/>
        <v/>
      </c>
      <c r="F202" s="23" t="str">
        <f ca="1">IF(A202="","",IF($B$8="Sí",interpolar_alamb(E202,OFFSET(Curvas_cupon_cero!$A$1,1,0,COUNT(Curvas_cupon_cero!$A:$A)-2,1),OFFSET(Curvas_cupon_cero!$A$1,1,MATCH(Bono_M_Cupon_fijo_curva!$B$7,Curvas_cupon_cero!$1:$1,0)-1,COUNT(Curvas_cupon_cero!$A:$A)-2,1)),interpolar(E202,OFFSET(Curvas_cupon_cero!$A$1,1,0,COUNT(Curvas_cupon_cero!$A:$A)-2,1),OFFSET(Curvas_cupon_cero!$A$1,1,MATCH(Bono_M_Cupon_fijo_curva!$B$7,Curvas_cupon_cero!$1:$1,0)-1,COUNT(Curvas_cupon_cero!$A:$A)-2,1))))</f>
        <v/>
      </c>
      <c r="G202" s="19" t="str">
        <f>IF(A202="","",C202/(1+F202*$B$6/360)^(COUNT(A$16:A202)-($B$6-$D$16)/$B$6))</f>
        <v/>
      </c>
    </row>
    <row r="203" spans="1:7" x14ac:dyDescent="0.2">
      <c r="A203" s="12" t="str">
        <f t="shared" si="16"/>
        <v/>
      </c>
      <c r="B203" t="str">
        <f t="shared" si="12"/>
        <v/>
      </c>
      <c r="C203" s="17" t="str">
        <f t="shared" si="13"/>
        <v/>
      </c>
      <c r="D203" s="18" t="str">
        <f t="shared" si="14"/>
        <v/>
      </c>
      <c r="E203" t="str">
        <f t="shared" si="15"/>
        <v/>
      </c>
      <c r="F203" s="23" t="str">
        <f ca="1">IF(A203="","",IF($B$8="Sí",interpolar_alamb(E203,OFFSET(Curvas_cupon_cero!$A$1,1,0,COUNT(Curvas_cupon_cero!$A:$A)-2,1),OFFSET(Curvas_cupon_cero!$A$1,1,MATCH(Bono_M_Cupon_fijo_curva!$B$7,Curvas_cupon_cero!$1:$1,0)-1,COUNT(Curvas_cupon_cero!$A:$A)-2,1)),interpolar(E203,OFFSET(Curvas_cupon_cero!$A$1,1,0,COUNT(Curvas_cupon_cero!$A:$A)-2,1),OFFSET(Curvas_cupon_cero!$A$1,1,MATCH(Bono_M_Cupon_fijo_curva!$B$7,Curvas_cupon_cero!$1:$1,0)-1,COUNT(Curvas_cupon_cero!$A:$A)-2,1))))</f>
        <v/>
      </c>
      <c r="G203" s="19" t="str">
        <f>IF(A203="","",C203/(1+F203*$B$6/360)^(COUNT(A$16:A203)-($B$6-$D$16)/$B$6))</f>
        <v/>
      </c>
    </row>
    <row r="204" spans="1:7" x14ac:dyDescent="0.2">
      <c r="A204" s="12" t="str">
        <f t="shared" si="16"/>
        <v/>
      </c>
      <c r="B204" t="str">
        <f t="shared" si="12"/>
        <v/>
      </c>
      <c r="C204" s="17" t="str">
        <f t="shared" si="13"/>
        <v/>
      </c>
      <c r="D204" s="18" t="str">
        <f t="shared" si="14"/>
        <v/>
      </c>
      <c r="E204" t="str">
        <f t="shared" si="15"/>
        <v/>
      </c>
      <c r="F204" s="23" t="str">
        <f ca="1">IF(A204="","",IF($B$8="Sí",interpolar_alamb(E204,OFFSET(Curvas_cupon_cero!$A$1,1,0,COUNT(Curvas_cupon_cero!$A:$A)-2,1),OFFSET(Curvas_cupon_cero!$A$1,1,MATCH(Bono_M_Cupon_fijo_curva!$B$7,Curvas_cupon_cero!$1:$1,0)-1,COUNT(Curvas_cupon_cero!$A:$A)-2,1)),interpolar(E204,OFFSET(Curvas_cupon_cero!$A$1,1,0,COUNT(Curvas_cupon_cero!$A:$A)-2,1),OFFSET(Curvas_cupon_cero!$A$1,1,MATCH(Bono_M_Cupon_fijo_curva!$B$7,Curvas_cupon_cero!$1:$1,0)-1,COUNT(Curvas_cupon_cero!$A:$A)-2,1))))</f>
        <v/>
      </c>
      <c r="G204" s="19" t="str">
        <f>IF(A204="","",C204/(1+F204*$B$6/360)^(COUNT(A$16:A204)-($B$6-$D$16)/$B$6))</f>
        <v/>
      </c>
    </row>
    <row r="205" spans="1:7" x14ac:dyDescent="0.2">
      <c r="A205" s="12" t="str">
        <f t="shared" si="16"/>
        <v/>
      </c>
      <c r="B205" t="str">
        <f t="shared" si="12"/>
        <v/>
      </c>
      <c r="C205" s="17" t="str">
        <f t="shared" si="13"/>
        <v/>
      </c>
      <c r="D205" s="18" t="str">
        <f t="shared" si="14"/>
        <v/>
      </c>
      <c r="E205" t="str">
        <f t="shared" si="15"/>
        <v/>
      </c>
      <c r="F205" s="23" t="str">
        <f ca="1">IF(A205="","",IF($B$8="Sí",interpolar_alamb(E205,OFFSET(Curvas_cupon_cero!$A$1,1,0,COUNT(Curvas_cupon_cero!$A:$A)-2,1),OFFSET(Curvas_cupon_cero!$A$1,1,MATCH(Bono_M_Cupon_fijo_curva!$B$7,Curvas_cupon_cero!$1:$1,0)-1,COUNT(Curvas_cupon_cero!$A:$A)-2,1)),interpolar(E205,OFFSET(Curvas_cupon_cero!$A$1,1,0,COUNT(Curvas_cupon_cero!$A:$A)-2,1),OFFSET(Curvas_cupon_cero!$A$1,1,MATCH(Bono_M_Cupon_fijo_curva!$B$7,Curvas_cupon_cero!$1:$1,0)-1,COUNT(Curvas_cupon_cero!$A:$A)-2,1))))</f>
        <v/>
      </c>
      <c r="G205" s="19" t="str">
        <f>IF(A205="","",C205/(1+F205*$B$6/360)^(COUNT(A$16:A205)-($B$6-$D$16)/$B$6))</f>
        <v/>
      </c>
    </row>
    <row r="206" spans="1:7" x14ac:dyDescent="0.2">
      <c r="A206" s="12" t="str">
        <f t="shared" si="16"/>
        <v/>
      </c>
      <c r="B206" t="str">
        <f t="shared" si="12"/>
        <v/>
      </c>
      <c r="C206" s="17" t="str">
        <f t="shared" si="13"/>
        <v/>
      </c>
      <c r="D206" s="18" t="str">
        <f t="shared" si="14"/>
        <v/>
      </c>
      <c r="E206" t="str">
        <f t="shared" si="15"/>
        <v/>
      </c>
      <c r="F206" s="23" t="str">
        <f ca="1">IF(A206="","",IF($B$8="Sí",interpolar_alamb(E206,OFFSET(Curvas_cupon_cero!$A$1,1,0,COUNT(Curvas_cupon_cero!$A:$A)-2,1),OFFSET(Curvas_cupon_cero!$A$1,1,MATCH(Bono_M_Cupon_fijo_curva!$B$7,Curvas_cupon_cero!$1:$1,0)-1,COUNT(Curvas_cupon_cero!$A:$A)-2,1)),interpolar(E206,OFFSET(Curvas_cupon_cero!$A$1,1,0,COUNT(Curvas_cupon_cero!$A:$A)-2,1),OFFSET(Curvas_cupon_cero!$A$1,1,MATCH(Bono_M_Cupon_fijo_curva!$B$7,Curvas_cupon_cero!$1:$1,0)-1,COUNT(Curvas_cupon_cero!$A:$A)-2,1))))</f>
        <v/>
      </c>
      <c r="G206" s="19" t="str">
        <f>IF(A206="","",C206/(1+F206*$B$6/360)^(COUNT(A$16:A206)-($B$6-$D$16)/$B$6))</f>
        <v/>
      </c>
    </row>
    <row r="207" spans="1:7" x14ac:dyDescent="0.2">
      <c r="A207" s="12" t="str">
        <f t="shared" si="16"/>
        <v/>
      </c>
      <c r="B207" t="str">
        <f t="shared" si="12"/>
        <v/>
      </c>
      <c r="C207" s="17" t="str">
        <f t="shared" si="13"/>
        <v/>
      </c>
      <c r="D207" s="18" t="str">
        <f t="shared" si="14"/>
        <v/>
      </c>
      <c r="E207" t="str">
        <f t="shared" si="15"/>
        <v/>
      </c>
      <c r="F207" s="23" t="str">
        <f ca="1">IF(A207="","",IF($B$8="Sí",interpolar_alamb(E207,OFFSET(Curvas_cupon_cero!$A$1,1,0,COUNT(Curvas_cupon_cero!$A:$A)-2,1),OFFSET(Curvas_cupon_cero!$A$1,1,MATCH(Bono_M_Cupon_fijo_curva!$B$7,Curvas_cupon_cero!$1:$1,0)-1,COUNT(Curvas_cupon_cero!$A:$A)-2,1)),interpolar(E207,OFFSET(Curvas_cupon_cero!$A$1,1,0,COUNT(Curvas_cupon_cero!$A:$A)-2,1),OFFSET(Curvas_cupon_cero!$A$1,1,MATCH(Bono_M_Cupon_fijo_curva!$B$7,Curvas_cupon_cero!$1:$1,0)-1,COUNT(Curvas_cupon_cero!$A:$A)-2,1))))</f>
        <v/>
      </c>
      <c r="G207" s="19" t="str">
        <f>IF(A207="","",C207/(1+F207*$B$6/360)^(COUNT(A$16:A207)-($B$6-$D$16)/$B$6))</f>
        <v/>
      </c>
    </row>
    <row r="208" spans="1:7" x14ac:dyDescent="0.2">
      <c r="A208" s="12" t="str">
        <f t="shared" si="16"/>
        <v/>
      </c>
      <c r="B208" t="str">
        <f t="shared" si="12"/>
        <v/>
      </c>
      <c r="C208" s="17" t="str">
        <f t="shared" si="13"/>
        <v/>
      </c>
      <c r="D208" s="18" t="str">
        <f t="shared" si="14"/>
        <v/>
      </c>
      <c r="E208" t="str">
        <f t="shared" si="15"/>
        <v/>
      </c>
      <c r="F208" s="23" t="str">
        <f ca="1">IF(A208="","",IF($B$8="Sí",interpolar_alamb(E208,OFFSET(Curvas_cupon_cero!$A$1,1,0,COUNT(Curvas_cupon_cero!$A:$A)-2,1),OFFSET(Curvas_cupon_cero!$A$1,1,MATCH(Bono_M_Cupon_fijo_curva!$B$7,Curvas_cupon_cero!$1:$1,0)-1,COUNT(Curvas_cupon_cero!$A:$A)-2,1)),interpolar(E208,OFFSET(Curvas_cupon_cero!$A$1,1,0,COUNT(Curvas_cupon_cero!$A:$A)-2,1),OFFSET(Curvas_cupon_cero!$A$1,1,MATCH(Bono_M_Cupon_fijo_curva!$B$7,Curvas_cupon_cero!$1:$1,0)-1,COUNT(Curvas_cupon_cero!$A:$A)-2,1))))</f>
        <v/>
      </c>
      <c r="G208" s="19" t="str">
        <f>IF(A208="","",C208/(1+F208*$B$6/360)^(COUNT(A$16:A208)-($B$6-$D$16)/$B$6))</f>
        <v/>
      </c>
    </row>
    <row r="209" spans="1:7" x14ac:dyDescent="0.2">
      <c r="A209" s="12" t="str">
        <f t="shared" si="16"/>
        <v/>
      </c>
      <c r="B209" t="str">
        <f t="shared" ref="B209:B272" si="17">IF(A209="","",$B$5)</f>
        <v/>
      </c>
      <c r="C209" s="17" t="str">
        <f t="shared" ref="C209:C272" si="18">IF(A209="","",IF(A209=$B$4,$B$1*$B$2+ $B$5*$B$6/360*$B$1*$B$2, $B$5*$B$6/360*$B$1*$B$2))</f>
        <v/>
      </c>
      <c r="D209" s="18" t="str">
        <f t="shared" ref="D209:D272" si="19">IF(A209="","",$B$6)</f>
        <v/>
      </c>
      <c r="E209" t="str">
        <f t="shared" ref="E209:E272" si="20">IF(A209="","",E208+D209)</f>
        <v/>
      </c>
      <c r="F209" s="23" t="str">
        <f ca="1">IF(A209="","",IF($B$8="Sí",interpolar_alamb(E209,OFFSET(Curvas_cupon_cero!$A$1,1,0,COUNT(Curvas_cupon_cero!$A:$A)-2,1),OFFSET(Curvas_cupon_cero!$A$1,1,MATCH(Bono_M_Cupon_fijo_curva!$B$7,Curvas_cupon_cero!$1:$1,0)-1,COUNT(Curvas_cupon_cero!$A:$A)-2,1)),interpolar(E209,OFFSET(Curvas_cupon_cero!$A$1,1,0,COUNT(Curvas_cupon_cero!$A:$A)-2,1),OFFSET(Curvas_cupon_cero!$A$1,1,MATCH(Bono_M_Cupon_fijo_curva!$B$7,Curvas_cupon_cero!$1:$1,0)-1,COUNT(Curvas_cupon_cero!$A:$A)-2,1))))</f>
        <v/>
      </c>
      <c r="G209" s="19" t="str">
        <f>IF(A209="","",C209/(1+F209*$B$6/360)^(COUNT(A$16:A209)-($B$6-$D$16)/$B$6))</f>
        <v/>
      </c>
    </row>
    <row r="210" spans="1:7" x14ac:dyDescent="0.2">
      <c r="A210" s="12" t="str">
        <f t="shared" si="16"/>
        <v/>
      </c>
      <c r="B210" t="str">
        <f t="shared" si="17"/>
        <v/>
      </c>
      <c r="C210" s="17" t="str">
        <f t="shared" si="18"/>
        <v/>
      </c>
      <c r="D210" s="18" t="str">
        <f t="shared" si="19"/>
        <v/>
      </c>
      <c r="E210" t="str">
        <f t="shared" si="20"/>
        <v/>
      </c>
      <c r="F210" s="23" t="str">
        <f ca="1">IF(A210="","",IF($B$8="Sí",interpolar_alamb(E210,OFFSET(Curvas_cupon_cero!$A$1,1,0,COUNT(Curvas_cupon_cero!$A:$A)-2,1),OFFSET(Curvas_cupon_cero!$A$1,1,MATCH(Bono_M_Cupon_fijo_curva!$B$7,Curvas_cupon_cero!$1:$1,0)-1,COUNT(Curvas_cupon_cero!$A:$A)-2,1)),interpolar(E210,OFFSET(Curvas_cupon_cero!$A$1,1,0,COUNT(Curvas_cupon_cero!$A:$A)-2,1),OFFSET(Curvas_cupon_cero!$A$1,1,MATCH(Bono_M_Cupon_fijo_curva!$B$7,Curvas_cupon_cero!$1:$1,0)-1,COUNT(Curvas_cupon_cero!$A:$A)-2,1))))</f>
        <v/>
      </c>
      <c r="G210" s="19" t="str">
        <f>IF(A210="","",C210/(1+F210*$B$6/360)^(COUNT(A$16:A210)-($B$6-$D$16)/$B$6))</f>
        <v/>
      </c>
    </row>
    <row r="211" spans="1:7" x14ac:dyDescent="0.2">
      <c r="A211" s="12" t="str">
        <f t="shared" si="16"/>
        <v/>
      </c>
      <c r="B211" t="str">
        <f t="shared" si="17"/>
        <v/>
      </c>
      <c r="C211" s="17" t="str">
        <f t="shared" si="18"/>
        <v/>
      </c>
      <c r="D211" s="18" t="str">
        <f t="shared" si="19"/>
        <v/>
      </c>
      <c r="E211" t="str">
        <f t="shared" si="20"/>
        <v/>
      </c>
      <c r="F211" s="23" t="str">
        <f ca="1">IF(A211="","",IF($B$8="Sí",interpolar_alamb(E211,OFFSET(Curvas_cupon_cero!$A$1,1,0,COUNT(Curvas_cupon_cero!$A:$A)-2,1),OFFSET(Curvas_cupon_cero!$A$1,1,MATCH(Bono_M_Cupon_fijo_curva!$B$7,Curvas_cupon_cero!$1:$1,0)-1,COUNT(Curvas_cupon_cero!$A:$A)-2,1)),interpolar(E211,OFFSET(Curvas_cupon_cero!$A$1,1,0,COUNT(Curvas_cupon_cero!$A:$A)-2,1),OFFSET(Curvas_cupon_cero!$A$1,1,MATCH(Bono_M_Cupon_fijo_curva!$B$7,Curvas_cupon_cero!$1:$1,0)-1,COUNT(Curvas_cupon_cero!$A:$A)-2,1))))</f>
        <v/>
      </c>
      <c r="G211" s="19" t="str">
        <f>IF(A211="","",C211/(1+F211*$B$6/360)^(COUNT(A$16:A211)-($B$6-$D$16)/$B$6))</f>
        <v/>
      </c>
    </row>
    <row r="212" spans="1:7" x14ac:dyDescent="0.2">
      <c r="A212" s="12" t="str">
        <f t="shared" si="16"/>
        <v/>
      </c>
      <c r="B212" t="str">
        <f t="shared" si="17"/>
        <v/>
      </c>
      <c r="C212" s="17" t="str">
        <f t="shared" si="18"/>
        <v/>
      </c>
      <c r="D212" s="18" t="str">
        <f t="shared" si="19"/>
        <v/>
      </c>
      <c r="E212" t="str">
        <f t="shared" si="20"/>
        <v/>
      </c>
      <c r="F212" s="23" t="str">
        <f ca="1">IF(A212="","",IF($B$8="Sí",interpolar_alamb(E212,OFFSET(Curvas_cupon_cero!$A$1,1,0,COUNT(Curvas_cupon_cero!$A:$A)-2,1),OFFSET(Curvas_cupon_cero!$A$1,1,MATCH(Bono_M_Cupon_fijo_curva!$B$7,Curvas_cupon_cero!$1:$1,0)-1,COUNT(Curvas_cupon_cero!$A:$A)-2,1)),interpolar(E212,OFFSET(Curvas_cupon_cero!$A$1,1,0,COUNT(Curvas_cupon_cero!$A:$A)-2,1),OFFSET(Curvas_cupon_cero!$A$1,1,MATCH(Bono_M_Cupon_fijo_curva!$B$7,Curvas_cupon_cero!$1:$1,0)-1,COUNT(Curvas_cupon_cero!$A:$A)-2,1))))</f>
        <v/>
      </c>
      <c r="G212" s="19" t="str">
        <f>IF(A212="","",C212/(1+F212*$B$6/360)^(COUNT(A$16:A212)-($B$6-$D$16)/$B$6))</f>
        <v/>
      </c>
    </row>
    <row r="213" spans="1:7" x14ac:dyDescent="0.2">
      <c r="A213" s="12" t="str">
        <f t="shared" si="16"/>
        <v/>
      </c>
      <c r="B213" t="str">
        <f t="shared" si="17"/>
        <v/>
      </c>
      <c r="C213" s="17" t="str">
        <f t="shared" si="18"/>
        <v/>
      </c>
      <c r="D213" s="18" t="str">
        <f t="shared" si="19"/>
        <v/>
      </c>
      <c r="E213" t="str">
        <f t="shared" si="20"/>
        <v/>
      </c>
      <c r="F213" s="23" t="str">
        <f ca="1">IF(A213="","",IF($B$8="Sí",interpolar_alamb(E213,OFFSET(Curvas_cupon_cero!$A$1,1,0,COUNT(Curvas_cupon_cero!$A:$A)-2,1),OFFSET(Curvas_cupon_cero!$A$1,1,MATCH(Bono_M_Cupon_fijo_curva!$B$7,Curvas_cupon_cero!$1:$1,0)-1,COUNT(Curvas_cupon_cero!$A:$A)-2,1)),interpolar(E213,OFFSET(Curvas_cupon_cero!$A$1,1,0,COUNT(Curvas_cupon_cero!$A:$A)-2,1),OFFSET(Curvas_cupon_cero!$A$1,1,MATCH(Bono_M_Cupon_fijo_curva!$B$7,Curvas_cupon_cero!$1:$1,0)-1,COUNT(Curvas_cupon_cero!$A:$A)-2,1))))</f>
        <v/>
      </c>
      <c r="G213" s="19" t="str">
        <f>IF(A213="","",C213/(1+F213*$B$6/360)^(COUNT(A$16:A213)-($B$6-$D$16)/$B$6))</f>
        <v/>
      </c>
    </row>
    <row r="214" spans="1:7" x14ac:dyDescent="0.2">
      <c r="A214" s="12" t="str">
        <f t="shared" si="16"/>
        <v/>
      </c>
      <c r="B214" t="str">
        <f t="shared" si="17"/>
        <v/>
      </c>
      <c r="C214" s="17" t="str">
        <f t="shared" si="18"/>
        <v/>
      </c>
      <c r="D214" s="18" t="str">
        <f t="shared" si="19"/>
        <v/>
      </c>
      <c r="E214" t="str">
        <f t="shared" si="20"/>
        <v/>
      </c>
      <c r="F214" s="23" t="str">
        <f ca="1">IF(A214="","",IF($B$8="Sí",interpolar_alamb(E214,OFFSET(Curvas_cupon_cero!$A$1,1,0,COUNT(Curvas_cupon_cero!$A:$A)-2,1),OFFSET(Curvas_cupon_cero!$A$1,1,MATCH(Bono_M_Cupon_fijo_curva!$B$7,Curvas_cupon_cero!$1:$1,0)-1,COUNT(Curvas_cupon_cero!$A:$A)-2,1)),interpolar(E214,OFFSET(Curvas_cupon_cero!$A$1,1,0,COUNT(Curvas_cupon_cero!$A:$A)-2,1),OFFSET(Curvas_cupon_cero!$A$1,1,MATCH(Bono_M_Cupon_fijo_curva!$B$7,Curvas_cupon_cero!$1:$1,0)-1,COUNT(Curvas_cupon_cero!$A:$A)-2,1))))</f>
        <v/>
      </c>
      <c r="G214" s="19" t="str">
        <f>IF(A214="","",C214/(1+F214*$B$6/360)^(COUNT(A$16:A214)-($B$6-$D$16)/$B$6))</f>
        <v/>
      </c>
    </row>
    <row r="215" spans="1:7" x14ac:dyDescent="0.2">
      <c r="A215" s="12" t="str">
        <f t="shared" si="16"/>
        <v/>
      </c>
      <c r="B215" t="str">
        <f t="shared" si="17"/>
        <v/>
      </c>
      <c r="C215" s="17" t="str">
        <f t="shared" si="18"/>
        <v/>
      </c>
      <c r="D215" s="18" t="str">
        <f t="shared" si="19"/>
        <v/>
      </c>
      <c r="E215" t="str">
        <f t="shared" si="20"/>
        <v/>
      </c>
      <c r="F215" s="23" t="str">
        <f ca="1">IF(A215="","",IF($B$8="Sí",interpolar_alamb(E215,OFFSET(Curvas_cupon_cero!$A$1,1,0,COUNT(Curvas_cupon_cero!$A:$A)-2,1),OFFSET(Curvas_cupon_cero!$A$1,1,MATCH(Bono_M_Cupon_fijo_curva!$B$7,Curvas_cupon_cero!$1:$1,0)-1,COUNT(Curvas_cupon_cero!$A:$A)-2,1)),interpolar(E215,OFFSET(Curvas_cupon_cero!$A$1,1,0,COUNT(Curvas_cupon_cero!$A:$A)-2,1),OFFSET(Curvas_cupon_cero!$A$1,1,MATCH(Bono_M_Cupon_fijo_curva!$B$7,Curvas_cupon_cero!$1:$1,0)-1,COUNT(Curvas_cupon_cero!$A:$A)-2,1))))</f>
        <v/>
      </c>
      <c r="G215" s="19" t="str">
        <f>IF(A215="","",C215/(1+F215*$B$6/360)^(COUNT(A$16:A215)-($B$6-$D$16)/$B$6))</f>
        <v/>
      </c>
    </row>
    <row r="216" spans="1:7" x14ac:dyDescent="0.2">
      <c r="A216" s="12" t="str">
        <f t="shared" si="16"/>
        <v/>
      </c>
      <c r="B216" t="str">
        <f t="shared" si="17"/>
        <v/>
      </c>
      <c r="C216" s="17" t="str">
        <f t="shared" si="18"/>
        <v/>
      </c>
      <c r="D216" s="18" t="str">
        <f t="shared" si="19"/>
        <v/>
      </c>
      <c r="E216" t="str">
        <f t="shared" si="20"/>
        <v/>
      </c>
      <c r="F216" s="23" t="str">
        <f ca="1">IF(A216="","",IF($B$8="Sí",interpolar_alamb(E216,OFFSET(Curvas_cupon_cero!$A$1,1,0,COUNT(Curvas_cupon_cero!$A:$A)-2,1),OFFSET(Curvas_cupon_cero!$A$1,1,MATCH(Bono_M_Cupon_fijo_curva!$B$7,Curvas_cupon_cero!$1:$1,0)-1,COUNT(Curvas_cupon_cero!$A:$A)-2,1)),interpolar(E216,OFFSET(Curvas_cupon_cero!$A$1,1,0,COUNT(Curvas_cupon_cero!$A:$A)-2,1),OFFSET(Curvas_cupon_cero!$A$1,1,MATCH(Bono_M_Cupon_fijo_curva!$B$7,Curvas_cupon_cero!$1:$1,0)-1,COUNT(Curvas_cupon_cero!$A:$A)-2,1))))</f>
        <v/>
      </c>
      <c r="G216" s="19" t="str">
        <f>IF(A216="","",C216/(1+F216*$B$6/360)^(COUNT(A$16:A216)-($B$6-$D$16)/$B$6))</f>
        <v/>
      </c>
    </row>
    <row r="217" spans="1:7" x14ac:dyDescent="0.2">
      <c r="A217" s="12" t="str">
        <f t="shared" si="16"/>
        <v/>
      </c>
      <c r="B217" t="str">
        <f t="shared" si="17"/>
        <v/>
      </c>
      <c r="C217" s="17" t="str">
        <f t="shared" si="18"/>
        <v/>
      </c>
      <c r="D217" s="18" t="str">
        <f t="shared" si="19"/>
        <v/>
      </c>
      <c r="E217" t="str">
        <f t="shared" si="20"/>
        <v/>
      </c>
      <c r="F217" s="23" t="str">
        <f ca="1">IF(A217="","",IF($B$8="Sí",interpolar_alamb(E217,OFFSET(Curvas_cupon_cero!$A$1,1,0,COUNT(Curvas_cupon_cero!$A:$A)-2,1),OFFSET(Curvas_cupon_cero!$A$1,1,MATCH(Bono_M_Cupon_fijo_curva!$B$7,Curvas_cupon_cero!$1:$1,0)-1,COUNT(Curvas_cupon_cero!$A:$A)-2,1)),interpolar(E217,OFFSET(Curvas_cupon_cero!$A$1,1,0,COUNT(Curvas_cupon_cero!$A:$A)-2,1),OFFSET(Curvas_cupon_cero!$A$1,1,MATCH(Bono_M_Cupon_fijo_curva!$B$7,Curvas_cupon_cero!$1:$1,0)-1,COUNT(Curvas_cupon_cero!$A:$A)-2,1))))</f>
        <v/>
      </c>
      <c r="G217" s="19" t="str">
        <f>IF(A217="","",C217/(1+F217*$B$6/360)^(COUNT(A$16:A217)-($B$6-$D$16)/$B$6))</f>
        <v/>
      </c>
    </row>
    <row r="218" spans="1:7" x14ac:dyDescent="0.2">
      <c r="A218" s="12" t="str">
        <f t="shared" si="16"/>
        <v/>
      </c>
      <c r="B218" t="str">
        <f t="shared" si="17"/>
        <v/>
      </c>
      <c r="C218" s="17" t="str">
        <f t="shared" si="18"/>
        <v/>
      </c>
      <c r="D218" s="18" t="str">
        <f t="shared" si="19"/>
        <v/>
      </c>
      <c r="E218" t="str">
        <f t="shared" si="20"/>
        <v/>
      </c>
      <c r="F218" s="23" t="str">
        <f ca="1">IF(A218="","",IF($B$8="Sí",interpolar_alamb(E218,OFFSET(Curvas_cupon_cero!$A$1,1,0,COUNT(Curvas_cupon_cero!$A:$A)-2,1),OFFSET(Curvas_cupon_cero!$A$1,1,MATCH(Bono_M_Cupon_fijo_curva!$B$7,Curvas_cupon_cero!$1:$1,0)-1,COUNT(Curvas_cupon_cero!$A:$A)-2,1)),interpolar(E218,OFFSET(Curvas_cupon_cero!$A$1,1,0,COUNT(Curvas_cupon_cero!$A:$A)-2,1),OFFSET(Curvas_cupon_cero!$A$1,1,MATCH(Bono_M_Cupon_fijo_curva!$B$7,Curvas_cupon_cero!$1:$1,0)-1,COUNT(Curvas_cupon_cero!$A:$A)-2,1))))</f>
        <v/>
      </c>
      <c r="G218" s="19" t="str">
        <f>IF(A218="","",C218/(1+F218*$B$6/360)^(COUNT(A$16:A218)-($B$6-$D$16)/$B$6))</f>
        <v/>
      </c>
    </row>
    <row r="219" spans="1:7" x14ac:dyDescent="0.2">
      <c r="A219" s="12" t="str">
        <f t="shared" ref="A219:A282" si="21">IF(A218="","",IF((A218+$B$6)&gt;$B$4,"",(A218+$B$6)))</f>
        <v/>
      </c>
      <c r="B219" t="str">
        <f t="shared" si="17"/>
        <v/>
      </c>
      <c r="C219" s="17" t="str">
        <f t="shared" si="18"/>
        <v/>
      </c>
      <c r="D219" s="18" t="str">
        <f t="shared" si="19"/>
        <v/>
      </c>
      <c r="E219" t="str">
        <f t="shared" si="20"/>
        <v/>
      </c>
      <c r="F219" s="23" t="str">
        <f ca="1">IF(A219="","",IF($B$8="Sí",interpolar_alamb(E219,OFFSET(Curvas_cupon_cero!$A$1,1,0,COUNT(Curvas_cupon_cero!$A:$A)-2,1),OFFSET(Curvas_cupon_cero!$A$1,1,MATCH(Bono_M_Cupon_fijo_curva!$B$7,Curvas_cupon_cero!$1:$1,0)-1,COUNT(Curvas_cupon_cero!$A:$A)-2,1)),interpolar(E219,OFFSET(Curvas_cupon_cero!$A$1,1,0,COUNT(Curvas_cupon_cero!$A:$A)-2,1),OFFSET(Curvas_cupon_cero!$A$1,1,MATCH(Bono_M_Cupon_fijo_curva!$B$7,Curvas_cupon_cero!$1:$1,0)-1,COUNT(Curvas_cupon_cero!$A:$A)-2,1))))</f>
        <v/>
      </c>
      <c r="G219" s="19" t="str">
        <f>IF(A219="","",C219/(1+F219*$B$6/360)^(COUNT(A$16:A219)-($B$6-$D$16)/$B$6))</f>
        <v/>
      </c>
    </row>
    <row r="220" spans="1:7" x14ac:dyDescent="0.2">
      <c r="A220" s="12" t="str">
        <f t="shared" si="21"/>
        <v/>
      </c>
      <c r="B220" t="str">
        <f t="shared" si="17"/>
        <v/>
      </c>
      <c r="C220" s="17" t="str">
        <f t="shared" si="18"/>
        <v/>
      </c>
      <c r="D220" s="18" t="str">
        <f t="shared" si="19"/>
        <v/>
      </c>
      <c r="E220" t="str">
        <f t="shared" si="20"/>
        <v/>
      </c>
      <c r="F220" s="23" t="str">
        <f ca="1">IF(A220="","",IF($B$8="Sí",interpolar_alamb(E220,OFFSET(Curvas_cupon_cero!$A$1,1,0,COUNT(Curvas_cupon_cero!$A:$A)-2,1),OFFSET(Curvas_cupon_cero!$A$1,1,MATCH(Bono_M_Cupon_fijo_curva!$B$7,Curvas_cupon_cero!$1:$1,0)-1,COUNT(Curvas_cupon_cero!$A:$A)-2,1)),interpolar(E220,OFFSET(Curvas_cupon_cero!$A$1,1,0,COUNT(Curvas_cupon_cero!$A:$A)-2,1),OFFSET(Curvas_cupon_cero!$A$1,1,MATCH(Bono_M_Cupon_fijo_curva!$B$7,Curvas_cupon_cero!$1:$1,0)-1,COUNT(Curvas_cupon_cero!$A:$A)-2,1))))</f>
        <v/>
      </c>
      <c r="G220" s="19" t="str">
        <f>IF(A220="","",C220/(1+F220*$B$6/360)^(COUNT(A$16:A220)-($B$6-$D$16)/$B$6))</f>
        <v/>
      </c>
    </row>
    <row r="221" spans="1:7" x14ac:dyDescent="0.2">
      <c r="A221" s="12" t="str">
        <f t="shared" si="21"/>
        <v/>
      </c>
      <c r="B221" t="str">
        <f t="shared" si="17"/>
        <v/>
      </c>
      <c r="C221" s="17" t="str">
        <f t="shared" si="18"/>
        <v/>
      </c>
      <c r="D221" s="18" t="str">
        <f t="shared" si="19"/>
        <v/>
      </c>
      <c r="E221" t="str">
        <f t="shared" si="20"/>
        <v/>
      </c>
      <c r="F221" s="23" t="str">
        <f ca="1">IF(A221="","",IF($B$8="Sí",interpolar_alamb(E221,OFFSET(Curvas_cupon_cero!$A$1,1,0,COUNT(Curvas_cupon_cero!$A:$A)-2,1),OFFSET(Curvas_cupon_cero!$A$1,1,MATCH(Bono_M_Cupon_fijo_curva!$B$7,Curvas_cupon_cero!$1:$1,0)-1,COUNT(Curvas_cupon_cero!$A:$A)-2,1)),interpolar(E221,OFFSET(Curvas_cupon_cero!$A$1,1,0,COUNT(Curvas_cupon_cero!$A:$A)-2,1),OFFSET(Curvas_cupon_cero!$A$1,1,MATCH(Bono_M_Cupon_fijo_curva!$B$7,Curvas_cupon_cero!$1:$1,0)-1,COUNT(Curvas_cupon_cero!$A:$A)-2,1))))</f>
        <v/>
      </c>
      <c r="G221" s="19" t="str">
        <f>IF(A221="","",C221/(1+F221*$B$6/360)^(COUNT(A$16:A221)-($B$6-$D$16)/$B$6))</f>
        <v/>
      </c>
    </row>
    <row r="222" spans="1:7" x14ac:dyDescent="0.2">
      <c r="A222" s="12" t="str">
        <f t="shared" si="21"/>
        <v/>
      </c>
      <c r="B222" t="str">
        <f t="shared" si="17"/>
        <v/>
      </c>
      <c r="C222" s="17" t="str">
        <f t="shared" si="18"/>
        <v/>
      </c>
      <c r="D222" s="18" t="str">
        <f t="shared" si="19"/>
        <v/>
      </c>
      <c r="E222" t="str">
        <f t="shared" si="20"/>
        <v/>
      </c>
      <c r="F222" s="23" t="str">
        <f ca="1">IF(A222="","",IF($B$8="Sí",interpolar_alamb(E222,OFFSET(Curvas_cupon_cero!$A$1,1,0,COUNT(Curvas_cupon_cero!$A:$A)-2,1),OFFSET(Curvas_cupon_cero!$A$1,1,MATCH(Bono_M_Cupon_fijo_curva!$B$7,Curvas_cupon_cero!$1:$1,0)-1,COUNT(Curvas_cupon_cero!$A:$A)-2,1)),interpolar(E222,OFFSET(Curvas_cupon_cero!$A$1,1,0,COUNT(Curvas_cupon_cero!$A:$A)-2,1),OFFSET(Curvas_cupon_cero!$A$1,1,MATCH(Bono_M_Cupon_fijo_curva!$B$7,Curvas_cupon_cero!$1:$1,0)-1,COUNT(Curvas_cupon_cero!$A:$A)-2,1))))</f>
        <v/>
      </c>
      <c r="G222" s="19" t="str">
        <f>IF(A222="","",C222/(1+F222*$B$6/360)^(COUNT(A$16:A222)-($B$6-$D$16)/$B$6))</f>
        <v/>
      </c>
    </row>
    <row r="223" spans="1:7" x14ac:dyDescent="0.2">
      <c r="A223" s="12" t="str">
        <f t="shared" si="21"/>
        <v/>
      </c>
      <c r="B223" t="str">
        <f t="shared" si="17"/>
        <v/>
      </c>
      <c r="C223" s="17" t="str">
        <f t="shared" si="18"/>
        <v/>
      </c>
      <c r="D223" s="18" t="str">
        <f t="shared" si="19"/>
        <v/>
      </c>
      <c r="E223" t="str">
        <f t="shared" si="20"/>
        <v/>
      </c>
      <c r="F223" s="23" t="str">
        <f ca="1">IF(A223="","",IF($B$8="Sí",interpolar_alamb(E223,OFFSET(Curvas_cupon_cero!$A$1,1,0,COUNT(Curvas_cupon_cero!$A:$A)-2,1),OFFSET(Curvas_cupon_cero!$A$1,1,MATCH(Bono_M_Cupon_fijo_curva!$B$7,Curvas_cupon_cero!$1:$1,0)-1,COUNT(Curvas_cupon_cero!$A:$A)-2,1)),interpolar(E223,OFFSET(Curvas_cupon_cero!$A$1,1,0,COUNT(Curvas_cupon_cero!$A:$A)-2,1),OFFSET(Curvas_cupon_cero!$A$1,1,MATCH(Bono_M_Cupon_fijo_curva!$B$7,Curvas_cupon_cero!$1:$1,0)-1,COUNT(Curvas_cupon_cero!$A:$A)-2,1))))</f>
        <v/>
      </c>
      <c r="G223" s="19" t="str">
        <f>IF(A223="","",C223/(1+F223*$B$6/360)^(COUNT(A$16:A223)-($B$6-$D$16)/$B$6))</f>
        <v/>
      </c>
    </row>
    <row r="224" spans="1:7" x14ac:dyDescent="0.2">
      <c r="A224" s="12" t="str">
        <f t="shared" si="21"/>
        <v/>
      </c>
      <c r="B224" t="str">
        <f t="shared" si="17"/>
        <v/>
      </c>
      <c r="C224" s="17" t="str">
        <f t="shared" si="18"/>
        <v/>
      </c>
      <c r="D224" s="18" t="str">
        <f t="shared" si="19"/>
        <v/>
      </c>
      <c r="E224" t="str">
        <f t="shared" si="20"/>
        <v/>
      </c>
      <c r="F224" s="23" t="str">
        <f ca="1">IF(A224="","",IF($B$8="Sí",interpolar_alamb(E224,OFFSET(Curvas_cupon_cero!$A$1,1,0,COUNT(Curvas_cupon_cero!$A:$A)-2,1),OFFSET(Curvas_cupon_cero!$A$1,1,MATCH(Bono_M_Cupon_fijo_curva!$B$7,Curvas_cupon_cero!$1:$1,0)-1,COUNT(Curvas_cupon_cero!$A:$A)-2,1)),interpolar(E224,OFFSET(Curvas_cupon_cero!$A$1,1,0,COUNT(Curvas_cupon_cero!$A:$A)-2,1),OFFSET(Curvas_cupon_cero!$A$1,1,MATCH(Bono_M_Cupon_fijo_curva!$B$7,Curvas_cupon_cero!$1:$1,0)-1,COUNT(Curvas_cupon_cero!$A:$A)-2,1))))</f>
        <v/>
      </c>
      <c r="G224" s="19" t="str">
        <f>IF(A224="","",C224/(1+F224*$B$6/360)^(COUNT(A$16:A224)-($B$6-$D$16)/$B$6))</f>
        <v/>
      </c>
    </row>
    <row r="225" spans="1:7" x14ac:dyDescent="0.2">
      <c r="A225" s="12" t="str">
        <f t="shared" si="21"/>
        <v/>
      </c>
      <c r="B225" t="str">
        <f t="shared" si="17"/>
        <v/>
      </c>
      <c r="C225" s="17" t="str">
        <f t="shared" si="18"/>
        <v/>
      </c>
      <c r="D225" s="18" t="str">
        <f t="shared" si="19"/>
        <v/>
      </c>
      <c r="E225" t="str">
        <f t="shared" si="20"/>
        <v/>
      </c>
      <c r="F225" s="23" t="str">
        <f ca="1">IF(A225="","",IF($B$8="Sí",interpolar_alamb(E225,OFFSET(Curvas_cupon_cero!$A$1,1,0,COUNT(Curvas_cupon_cero!$A:$A)-2,1),OFFSET(Curvas_cupon_cero!$A$1,1,MATCH(Bono_M_Cupon_fijo_curva!$B$7,Curvas_cupon_cero!$1:$1,0)-1,COUNT(Curvas_cupon_cero!$A:$A)-2,1)),interpolar(E225,OFFSET(Curvas_cupon_cero!$A$1,1,0,COUNT(Curvas_cupon_cero!$A:$A)-2,1),OFFSET(Curvas_cupon_cero!$A$1,1,MATCH(Bono_M_Cupon_fijo_curva!$B$7,Curvas_cupon_cero!$1:$1,0)-1,COUNT(Curvas_cupon_cero!$A:$A)-2,1))))</f>
        <v/>
      </c>
      <c r="G225" s="19" t="str">
        <f>IF(A225="","",C225/(1+F225*$B$6/360)^(COUNT(A$16:A225)-($B$6-$D$16)/$B$6))</f>
        <v/>
      </c>
    </row>
    <row r="226" spans="1:7" x14ac:dyDescent="0.2">
      <c r="A226" s="12" t="str">
        <f t="shared" si="21"/>
        <v/>
      </c>
      <c r="B226" t="str">
        <f t="shared" si="17"/>
        <v/>
      </c>
      <c r="C226" s="17" t="str">
        <f t="shared" si="18"/>
        <v/>
      </c>
      <c r="D226" s="18" t="str">
        <f t="shared" si="19"/>
        <v/>
      </c>
      <c r="E226" t="str">
        <f t="shared" si="20"/>
        <v/>
      </c>
      <c r="F226" s="23" t="str">
        <f ca="1">IF(A226="","",IF($B$8="Sí",interpolar_alamb(E226,OFFSET(Curvas_cupon_cero!$A$1,1,0,COUNT(Curvas_cupon_cero!$A:$A)-2,1),OFFSET(Curvas_cupon_cero!$A$1,1,MATCH(Bono_M_Cupon_fijo_curva!$B$7,Curvas_cupon_cero!$1:$1,0)-1,COUNT(Curvas_cupon_cero!$A:$A)-2,1)),interpolar(E226,OFFSET(Curvas_cupon_cero!$A$1,1,0,COUNT(Curvas_cupon_cero!$A:$A)-2,1),OFFSET(Curvas_cupon_cero!$A$1,1,MATCH(Bono_M_Cupon_fijo_curva!$B$7,Curvas_cupon_cero!$1:$1,0)-1,COUNT(Curvas_cupon_cero!$A:$A)-2,1))))</f>
        <v/>
      </c>
      <c r="G226" s="19" t="str">
        <f>IF(A226="","",C226/(1+F226*$B$6/360)^(COUNT(A$16:A226)-($B$6-$D$16)/$B$6))</f>
        <v/>
      </c>
    </row>
    <row r="227" spans="1:7" x14ac:dyDescent="0.2">
      <c r="A227" s="12" t="str">
        <f t="shared" si="21"/>
        <v/>
      </c>
      <c r="B227" t="str">
        <f t="shared" si="17"/>
        <v/>
      </c>
      <c r="C227" s="17" t="str">
        <f t="shared" si="18"/>
        <v/>
      </c>
      <c r="D227" s="18" t="str">
        <f t="shared" si="19"/>
        <v/>
      </c>
      <c r="E227" t="str">
        <f t="shared" si="20"/>
        <v/>
      </c>
      <c r="F227" s="23" t="str">
        <f ca="1">IF(A227="","",IF($B$8="Sí",interpolar_alamb(E227,OFFSET(Curvas_cupon_cero!$A$1,1,0,COUNT(Curvas_cupon_cero!$A:$A)-2,1),OFFSET(Curvas_cupon_cero!$A$1,1,MATCH(Bono_M_Cupon_fijo_curva!$B$7,Curvas_cupon_cero!$1:$1,0)-1,COUNT(Curvas_cupon_cero!$A:$A)-2,1)),interpolar(E227,OFFSET(Curvas_cupon_cero!$A$1,1,0,COUNT(Curvas_cupon_cero!$A:$A)-2,1),OFFSET(Curvas_cupon_cero!$A$1,1,MATCH(Bono_M_Cupon_fijo_curva!$B$7,Curvas_cupon_cero!$1:$1,0)-1,COUNT(Curvas_cupon_cero!$A:$A)-2,1))))</f>
        <v/>
      </c>
      <c r="G227" s="19" t="str">
        <f>IF(A227="","",C227/(1+F227*$B$6/360)^(COUNT(A$16:A227)-($B$6-$D$16)/$B$6))</f>
        <v/>
      </c>
    </row>
    <row r="228" spans="1:7" x14ac:dyDescent="0.2">
      <c r="A228" s="12" t="str">
        <f t="shared" si="21"/>
        <v/>
      </c>
      <c r="B228" t="str">
        <f t="shared" si="17"/>
        <v/>
      </c>
      <c r="C228" s="17" t="str">
        <f t="shared" si="18"/>
        <v/>
      </c>
      <c r="D228" s="18" t="str">
        <f t="shared" si="19"/>
        <v/>
      </c>
      <c r="E228" t="str">
        <f t="shared" si="20"/>
        <v/>
      </c>
      <c r="F228" s="23" t="str">
        <f ca="1">IF(A228="","",IF($B$8="Sí",interpolar_alamb(E228,OFFSET(Curvas_cupon_cero!$A$1,1,0,COUNT(Curvas_cupon_cero!$A:$A)-2,1),OFFSET(Curvas_cupon_cero!$A$1,1,MATCH(Bono_M_Cupon_fijo_curva!$B$7,Curvas_cupon_cero!$1:$1,0)-1,COUNT(Curvas_cupon_cero!$A:$A)-2,1)),interpolar(E228,OFFSET(Curvas_cupon_cero!$A$1,1,0,COUNT(Curvas_cupon_cero!$A:$A)-2,1),OFFSET(Curvas_cupon_cero!$A$1,1,MATCH(Bono_M_Cupon_fijo_curva!$B$7,Curvas_cupon_cero!$1:$1,0)-1,COUNT(Curvas_cupon_cero!$A:$A)-2,1))))</f>
        <v/>
      </c>
      <c r="G228" s="19" t="str">
        <f>IF(A228="","",C228/(1+F228*$B$6/360)^(COUNT(A$16:A228)-($B$6-$D$16)/$B$6))</f>
        <v/>
      </c>
    </row>
    <row r="229" spans="1:7" x14ac:dyDescent="0.2">
      <c r="A229" s="12" t="str">
        <f t="shared" si="21"/>
        <v/>
      </c>
      <c r="B229" t="str">
        <f t="shared" si="17"/>
        <v/>
      </c>
      <c r="C229" s="17" t="str">
        <f t="shared" si="18"/>
        <v/>
      </c>
      <c r="D229" s="18" t="str">
        <f t="shared" si="19"/>
        <v/>
      </c>
      <c r="E229" t="str">
        <f t="shared" si="20"/>
        <v/>
      </c>
      <c r="F229" s="23" t="str">
        <f ca="1">IF(A229="","",IF($B$8="Sí",interpolar_alamb(E229,OFFSET(Curvas_cupon_cero!$A$1,1,0,COUNT(Curvas_cupon_cero!$A:$A)-2,1),OFFSET(Curvas_cupon_cero!$A$1,1,MATCH(Bono_M_Cupon_fijo_curva!$B$7,Curvas_cupon_cero!$1:$1,0)-1,COUNT(Curvas_cupon_cero!$A:$A)-2,1)),interpolar(E229,OFFSET(Curvas_cupon_cero!$A$1,1,0,COUNT(Curvas_cupon_cero!$A:$A)-2,1),OFFSET(Curvas_cupon_cero!$A$1,1,MATCH(Bono_M_Cupon_fijo_curva!$B$7,Curvas_cupon_cero!$1:$1,0)-1,COUNT(Curvas_cupon_cero!$A:$A)-2,1))))</f>
        <v/>
      </c>
      <c r="G229" s="19" t="str">
        <f>IF(A229="","",C229/(1+F229*$B$6/360)^(COUNT(A$16:A229)-($B$6-$D$16)/$B$6))</f>
        <v/>
      </c>
    </row>
    <row r="230" spans="1:7" x14ac:dyDescent="0.2">
      <c r="A230" s="12" t="str">
        <f t="shared" si="21"/>
        <v/>
      </c>
      <c r="B230" t="str">
        <f t="shared" si="17"/>
        <v/>
      </c>
      <c r="C230" s="17" t="str">
        <f t="shared" si="18"/>
        <v/>
      </c>
      <c r="D230" s="18" t="str">
        <f t="shared" si="19"/>
        <v/>
      </c>
      <c r="E230" t="str">
        <f t="shared" si="20"/>
        <v/>
      </c>
      <c r="F230" s="23" t="str">
        <f ca="1">IF(A230="","",IF($B$8="Sí",interpolar_alamb(E230,OFFSET(Curvas_cupon_cero!$A$1,1,0,COUNT(Curvas_cupon_cero!$A:$A)-2,1),OFFSET(Curvas_cupon_cero!$A$1,1,MATCH(Bono_M_Cupon_fijo_curva!$B$7,Curvas_cupon_cero!$1:$1,0)-1,COUNT(Curvas_cupon_cero!$A:$A)-2,1)),interpolar(E230,OFFSET(Curvas_cupon_cero!$A$1,1,0,COUNT(Curvas_cupon_cero!$A:$A)-2,1),OFFSET(Curvas_cupon_cero!$A$1,1,MATCH(Bono_M_Cupon_fijo_curva!$B$7,Curvas_cupon_cero!$1:$1,0)-1,COUNT(Curvas_cupon_cero!$A:$A)-2,1))))</f>
        <v/>
      </c>
      <c r="G230" s="19" t="str">
        <f>IF(A230="","",C230/(1+F230*$B$6/360)^(COUNT(A$16:A230)-($B$6-$D$16)/$B$6))</f>
        <v/>
      </c>
    </row>
    <row r="231" spans="1:7" x14ac:dyDescent="0.2">
      <c r="A231" s="12" t="str">
        <f t="shared" si="21"/>
        <v/>
      </c>
      <c r="B231" t="str">
        <f t="shared" si="17"/>
        <v/>
      </c>
      <c r="C231" s="17" t="str">
        <f t="shared" si="18"/>
        <v/>
      </c>
      <c r="D231" s="18" t="str">
        <f t="shared" si="19"/>
        <v/>
      </c>
      <c r="E231" t="str">
        <f t="shared" si="20"/>
        <v/>
      </c>
      <c r="F231" s="23" t="str">
        <f ca="1">IF(A231="","",IF($B$8="Sí",interpolar_alamb(E231,OFFSET(Curvas_cupon_cero!$A$1,1,0,COUNT(Curvas_cupon_cero!$A:$A)-2,1),OFFSET(Curvas_cupon_cero!$A$1,1,MATCH(Bono_M_Cupon_fijo_curva!$B$7,Curvas_cupon_cero!$1:$1,0)-1,COUNT(Curvas_cupon_cero!$A:$A)-2,1)),interpolar(E231,OFFSET(Curvas_cupon_cero!$A$1,1,0,COUNT(Curvas_cupon_cero!$A:$A)-2,1),OFFSET(Curvas_cupon_cero!$A$1,1,MATCH(Bono_M_Cupon_fijo_curva!$B$7,Curvas_cupon_cero!$1:$1,0)-1,COUNT(Curvas_cupon_cero!$A:$A)-2,1))))</f>
        <v/>
      </c>
      <c r="G231" s="19" t="str">
        <f>IF(A231="","",C231/(1+F231*$B$6/360)^(COUNT(A$16:A231)-($B$6-$D$16)/$B$6))</f>
        <v/>
      </c>
    </row>
    <row r="232" spans="1:7" x14ac:dyDescent="0.2">
      <c r="A232" s="12" t="str">
        <f t="shared" si="21"/>
        <v/>
      </c>
      <c r="B232" t="str">
        <f t="shared" si="17"/>
        <v/>
      </c>
      <c r="C232" s="17" t="str">
        <f t="shared" si="18"/>
        <v/>
      </c>
      <c r="D232" s="18" t="str">
        <f t="shared" si="19"/>
        <v/>
      </c>
      <c r="E232" t="str">
        <f t="shared" si="20"/>
        <v/>
      </c>
      <c r="F232" s="23" t="str">
        <f ca="1">IF(A232="","",IF($B$8="Sí",interpolar_alamb(E232,OFFSET(Curvas_cupon_cero!$A$1,1,0,COUNT(Curvas_cupon_cero!$A:$A)-2,1),OFFSET(Curvas_cupon_cero!$A$1,1,MATCH(Bono_M_Cupon_fijo_curva!$B$7,Curvas_cupon_cero!$1:$1,0)-1,COUNT(Curvas_cupon_cero!$A:$A)-2,1)),interpolar(E232,OFFSET(Curvas_cupon_cero!$A$1,1,0,COUNT(Curvas_cupon_cero!$A:$A)-2,1),OFFSET(Curvas_cupon_cero!$A$1,1,MATCH(Bono_M_Cupon_fijo_curva!$B$7,Curvas_cupon_cero!$1:$1,0)-1,COUNT(Curvas_cupon_cero!$A:$A)-2,1))))</f>
        <v/>
      </c>
      <c r="G232" s="19" t="str">
        <f>IF(A232="","",C232/(1+F232*$B$6/360)^(COUNT(A$16:A232)-($B$6-$D$16)/$B$6))</f>
        <v/>
      </c>
    </row>
    <row r="233" spans="1:7" x14ac:dyDescent="0.2">
      <c r="A233" s="12" t="str">
        <f t="shared" si="21"/>
        <v/>
      </c>
      <c r="B233" t="str">
        <f t="shared" si="17"/>
        <v/>
      </c>
      <c r="C233" s="17" t="str">
        <f t="shared" si="18"/>
        <v/>
      </c>
      <c r="D233" s="18" t="str">
        <f t="shared" si="19"/>
        <v/>
      </c>
      <c r="E233" t="str">
        <f t="shared" si="20"/>
        <v/>
      </c>
      <c r="F233" s="23" t="str">
        <f ca="1">IF(A233="","",IF($B$8="Sí",interpolar_alamb(E233,OFFSET(Curvas_cupon_cero!$A$1,1,0,COUNT(Curvas_cupon_cero!$A:$A)-2,1),OFFSET(Curvas_cupon_cero!$A$1,1,MATCH(Bono_M_Cupon_fijo_curva!$B$7,Curvas_cupon_cero!$1:$1,0)-1,COUNT(Curvas_cupon_cero!$A:$A)-2,1)),interpolar(E233,OFFSET(Curvas_cupon_cero!$A$1,1,0,COUNT(Curvas_cupon_cero!$A:$A)-2,1),OFFSET(Curvas_cupon_cero!$A$1,1,MATCH(Bono_M_Cupon_fijo_curva!$B$7,Curvas_cupon_cero!$1:$1,0)-1,COUNT(Curvas_cupon_cero!$A:$A)-2,1))))</f>
        <v/>
      </c>
      <c r="G233" s="19" t="str">
        <f>IF(A233="","",C233/(1+F233*$B$6/360)^(COUNT(A$16:A233)-($B$6-$D$16)/$B$6))</f>
        <v/>
      </c>
    </row>
    <row r="234" spans="1:7" x14ac:dyDescent="0.2">
      <c r="A234" s="12" t="str">
        <f t="shared" si="21"/>
        <v/>
      </c>
      <c r="B234" t="str">
        <f t="shared" si="17"/>
        <v/>
      </c>
      <c r="C234" s="17" t="str">
        <f t="shared" si="18"/>
        <v/>
      </c>
      <c r="D234" s="18" t="str">
        <f t="shared" si="19"/>
        <v/>
      </c>
      <c r="E234" t="str">
        <f t="shared" si="20"/>
        <v/>
      </c>
      <c r="F234" s="23" t="str">
        <f ca="1">IF(A234="","",IF($B$8="Sí",interpolar_alamb(E234,OFFSET(Curvas_cupon_cero!$A$1,1,0,COUNT(Curvas_cupon_cero!$A:$A)-2,1),OFFSET(Curvas_cupon_cero!$A$1,1,MATCH(Bono_M_Cupon_fijo_curva!$B$7,Curvas_cupon_cero!$1:$1,0)-1,COUNT(Curvas_cupon_cero!$A:$A)-2,1)),interpolar(E234,OFFSET(Curvas_cupon_cero!$A$1,1,0,COUNT(Curvas_cupon_cero!$A:$A)-2,1),OFFSET(Curvas_cupon_cero!$A$1,1,MATCH(Bono_M_Cupon_fijo_curva!$B$7,Curvas_cupon_cero!$1:$1,0)-1,COUNT(Curvas_cupon_cero!$A:$A)-2,1))))</f>
        <v/>
      </c>
      <c r="G234" s="19" t="str">
        <f>IF(A234="","",C234/(1+F234*$B$6/360)^(COUNT(A$16:A234)-($B$6-$D$16)/$B$6))</f>
        <v/>
      </c>
    </row>
    <row r="235" spans="1:7" x14ac:dyDescent="0.2">
      <c r="A235" s="12" t="str">
        <f t="shared" si="21"/>
        <v/>
      </c>
      <c r="B235" t="str">
        <f t="shared" si="17"/>
        <v/>
      </c>
      <c r="C235" s="17" t="str">
        <f t="shared" si="18"/>
        <v/>
      </c>
      <c r="D235" s="18" t="str">
        <f t="shared" si="19"/>
        <v/>
      </c>
      <c r="E235" t="str">
        <f t="shared" si="20"/>
        <v/>
      </c>
      <c r="F235" s="23" t="str">
        <f ca="1">IF(A235="","",IF($B$8="Sí",interpolar_alamb(E235,OFFSET(Curvas_cupon_cero!$A$1,1,0,COUNT(Curvas_cupon_cero!$A:$A)-2,1),OFFSET(Curvas_cupon_cero!$A$1,1,MATCH(Bono_M_Cupon_fijo_curva!$B$7,Curvas_cupon_cero!$1:$1,0)-1,COUNT(Curvas_cupon_cero!$A:$A)-2,1)),interpolar(E235,OFFSET(Curvas_cupon_cero!$A$1,1,0,COUNT(Curvas_cupon_cero!$A:$A)-2,1),OFFSET(Curvas_cupon_cero!$A$1,1,MATCH(Bono_M_Cupon_fijo_curva!$B$7,Curvas_cupon_cero!$1:$1,0)-1,COUNT(Curvas_cupon_cero!$A:$A)-2,1))))</f>
        <v/>
      </c>
      <c r="G235" s="19" t="str">
        <f>IF(A235="","",C235/(1+F235*$B$6/360)^(COUNT(A$16:A235)-($B$6-$D$16)/$B$6))</f>
        <v/>
      </c>
    </row>
    <row r="236" spans="1:7" x14ac:dyDescent="0.2">
      <c r="A236" s="12" t="str">
        <f t="shared" si="21"/>
        <v/>
      </c>
      <c r="B236" t="str">
        <f t="shared" si="17"/>
        <v/>
      </c>
      <c r="C236" s="17" t="str">
        <f t="shared" si="18"/>
        <v/>
      </c>
      <c r="D236" s="18" t="str">
        <f t="shared" si="19"/>
        <v/>
      </c>
      <c r="E236" t="str">
        <f t="shared" si="20"/>
        <v/>
      </c>
      <c r="F236" s="23" t="str">
        <f ca="1">IF(A236="","",IF($B$8="Sí",interpolar_alamb(E236,OFFSET(Curvas_cupon_cero!$A$1,1,0,COUNT(Curvas_cupon_cero!$A:$A)-2,1),OFFSET(Curvas_cupon_cero!$A$1,1,MATCH(Bono_M_Cupon_fijo_curva!$B$7,Curvas_cupon_cero!$1:$1,0)-1,COUNT(Curvas_cupon_cero!$A:$A)-2,1)),interpolar(E236,OFFSET(Curvas_cupon_cero!$A$1,1,0,COUNT(Curvas_cupon_cero!$A:$A)-2,1),OFFSET(Curvas_cupon_cero!$A$1,1,MATCH(Bono_M_Cupon_fijo_curva!$B$7,Curvas_cupon_cero!$1:$1,0)-1,COUNT(Curvas_cupon_cero!$A:$A)-2,1))))</f>
        <v/>
      </c>
      <c r="G236" s="19" t="str">
        <f>IF(A236="","",C236/(1+F236*$B$6/360)^(COUNT(A$16:A236)-($B$6-$D$16)/$B$6))</f>
        <v/>
      </c>
    </row>
    <row r="237" spans="1:7" x14ac:dyDescent="0.2">
      <c r="A237" s="12" t="str">
        <f t="shared" si="21"/>
        <v/>
      </c>
      <c r="B237" t="str">
        <f t="shared" si="17"/>
        <v/>
      </c>
      <c r="C237" s="17" t="str">
        <f t="shared" si="18"/>
        <v/>
      </c>
      <c r="D237" s="18" t="str">
        <f t="shared" si="19"/>
        <v/>
      </c>
      <c r="E237" t="str">
        <f t="shared" si="20"/>
        <v/>
      </c>
      <c r="F237" s="23" t="str">
        <f ca="1">IF(A237="","",IF($B$8="Sí",interpolar_alamb(E237,OFFSET(Curvas_cupon_cero!$A$1,1,0,COUNT(Curvas_cupon_cero!$A:$A)-2,1),OFFSET(Curvas_cupon_cero!$A$1,1,MATCH(Bono_M_Cupon_fijo_curva!$B$7,Curvas_cupon_cero!$1:$1,0)-1,COUNT(Curvas_cupon_cero!$A:$A)-2,1)),interpolar(E237,OFFSET(Curvas_cupon_cero!$A$1,1,0,COUNT(Curvas_cupon_cero!$A:$A)-2,1),OFFSET(Curvas_cupon_cero!$A$1,1,MATCH(Bono_M_Cupon_fijo_curva!$B$7,Curvas_cupon_cero!$1:$1,0)-1,COUNT(Curvas_cupon_cero!$A:$A)-2,1))))</f>
        <v/>
      </c>
      <c r="G237" s="19" t="str">
        <f>IF(A237="","",C237/(1+F237*$B$6/360)^(COUNT(A$16:A237)-($B$6-$D$16)/$B$6))</f>
        <v/>
      </c>
    </row>
    <row r="238" spans="1:7" x14ac:dyDescent="0.2">
      <c r="A238" s="12" t="str">
        <f t="shared" si="21"/>
        <v/>
      </c>
      <c r="B238" t="str">
        <f t="shared" si="17"/>
        <v/>
      </c>
      <c r="C238" s="17" t="str">
        <f t="shared" si="18"/>
        <v/>
      </c>
      <c r="D238" s="18" t="str">
        <f t="shared" si="19"/>
        <v/>
      </c>
      <c r="E238" t="str">
        <f t="shared" si="20"/>
        <v/>
      </c>
      <c r="F238" s="23" t="str">
        <f ca="1">IF(A238="","",IF($B$8="Sí",interpolar_alamb(E238,OFFSET(Curvas_cupon_cero!$A$1,1,0,COUNT(Curvas_cupon_cero!$A:$A)-2,1),OFFSET(Curvas_cupon_cero!$A$1,1,MATCH(Bono_M_Cupon_fijo_curva!$B$7,Curvas_cupon_cero!$1:$1,0)-1,COUNT(Curvas_cupon_cero!$A:$A)-2,1)),interpolar(E238,OFFSET(Curvas_cupon_cero!$A$1,1,0,COUNT(Curvas_cupon_cero!$A:$A)-2,1),OFFSET(Curvas_cupon_cero!$A$1,1,MATCH(Bono_M_Cupon_fijo_curva!$B$7,Curvas_cupon_cero!$1:$1,0)-1,COUNT(Curvas_cupon_cero!$A:$A)-2,1))))</f>
        <v/>
      </c>
      <c r="G238" s="19" t="str">
        <f>IF(A238="","",C238/(1+F238*$B$6/360)^(COUNT(A$16:A238)-($B$6-$D$16)/$B$6))</f>
        <v/>
      </c>
    </row>
    <row r="239" spans="1:7" x14ac:dyDescent="0.2">
      <c r="A239" s="12" t="str">
        <f t="shared" si="21"/>
        <v/>
      </c>
      <c r="B239" t="str">
        <f t="shared" si="17"/>
        <v/>
      </c>
      <c r="C239" s="17" t="str">
        <f t="shared" si="18"/>
        <v/>
      </c>
      <c r="D239" s="18" t="str">
        <f t="shared" si="19"/>
        <v/>
      </c>
      <c r="E239" t="str">
        <f t="shared" si="20"/>
        <v/>
      </c>
      <c r="F239" s="23" t="str">
        <f ca="1">IF(A239="","",IF($B$8="Sí",interpolar_alamb(E239,OFFSET(Curvas_cupon_cero!$A$1,1,0,COUNT(Curvas_cupon_cero!$A:$A)-2,1),OFFSET(Curvas_cupon_cero!$A$1,1,MATCH(Bono_M_Cupon_fijo_curva!$B$7,Curvas_cupon_cero!$1:$1,0)-1,COUNT(Curvas_cupon_cero!$A:$A)-2,1)),interpolar(E239,OFFSET(Curvas_cupon_cero!$A$1,1,0,COUNT(Curvas_cupon_cero!$A:$A)-2,1),OFFSET(Curvas_cupon_cero!$A$1,1,MATCH(Bono_M_Cupon_fijo_curva!$B$7,Curvas_cupon_cero!$1:$1,0)-1,COUNT(Curvas_cupon_cero!$A:$A)-2,1))))</f>
        <v/>
      </c>
      <c r="G239" s="19" t="str">
        <f>IF(A239="","",C239/(1+F239*$B$6/360)^(COUNT(A$16:A239)-($B$6-$D$16)/$B$6))</f>
        <v/>
      </c>
    </row>
    <row r="240" spans="1:7" x14ac:dyDescent="0.2">
      <c r="A240" s="12" t="str">
        <f t="shared" si="21"/>
        <v/>
      </c>
      <c r="B240" t="str">
        <f t="shared" si="17"/>
        <v/>
      </c>
      <c r="C240" s="17" t="str">
        <f t="shared" si="18"/>
        <v/>
      </c>
      <c r="D240" s="18" t="str">
        <f t="shared" si="19"/>
        <v/>
      </c>
      <c r="E240" t="str">
        <f t="shared" si="20"/>
        <v/>
      </c>
      <c r="F240" s="23" t="str">
        <f ca="1">IF(A240="","",IF($B$8="Sí",interpolar_alamb(E240,OFFSET(Curvas_cupon_cero!$A$1,1,0,COUNT(Curvas_cupon_cero!$A:$A)-2,1),OFFSET(Curvas_cupon_cero!$A$1,1,MATCH(Bono_M_Cupon_fijo_curva!$B$7,Curvas_cupon_cero!$1:$1,0)-1,COUNT(Curvas_cupon_cero!$A:$A)-2,1)),interpolar(E240,OFFSET(Curvas_cupon_cero!$A$1,1,0,COUNT(Curvas_cupon_cero!$A:$A)-2,1),OFFSET(Curvas_cupon_cero!$A$1,1,MATCH(Bono_M_Cupon_fijo_curva!$B$7,Curvas_cupon_cero!$1:$1,0)-1,COUNT(Curvas_cupon_cero!$A:$A)-2,1))))</f>
        <v/>
      </c>
      <c r="G240" s="19" t="str">
        <f>IF(A240="","",C240/(1+F240*$B$6/360)^(COUNT(A$16:A240)-($B$6-$D$16)/$B$6))</f>
        <v/>
      </c>
    </row>
    <row r="241" spans="1:7" x14ac:dyDescent="0.2">
      <c r="A241" s="12" t="str">
        <f t="shared" si="21"/>
        <v/>
      </c>
      <c r="B241" t="str">
        <f t="shared" si="17"/>
        <v/>
      </c>
      <c r="C241" s="17" t="str">
        <f t="shared" si="18"/>
        <v/>
      </c>
      <c r="D241" s="18" t="str">
        <f t="shared" si="19"/>
        <v/>
      </c>
      <c r="E241" t="str">
        <f t="shared" si="20"/>
        <v/>
      </c>
      <c r="F241" s="23" t="str">
        <f ca="1">IF(A241="","",IF($B$8="Sí",interpolar_alamb(E241,OFFSET(Curvas_cupon_cero!$A$1,1,0,COUNT(Curvas_cupon_cero!$A:$A)-2,1),OFFSET(Curvas_cupon_cero!$A$1,1,MATCH(Bono_M_Cupon_fijo_curva!$B$7,Curvas_cupon_cero!$1:$1,0)-1,COUNT(Curvas_cupon_cero!$A:$A)-2,1)),interpolar(E241,OFFSET(Curvas_cupon_cero!$A$1,1,0,COUNT(Curvas_cupon_cero!$A:$A)-2,1),OFFSET(Curvas_cupon_cero!$A$1,1,MATCH(Bono_M_Cupon_fijo_curva!$B$7,Curvas_cupon_cero!$1:$1,0)-1,COUNT(Curvas_cupon_cero!$A:$A)-2,1))))</f>
        <v/>
      </c>
      <c r="G241" s="19" t="str">
        <f>IF(A241="","",C241/(1+F241*$B$6/360)^(COUNT(A$16:A241)-($B$6-$D$16)/$B$6))</f>
        <v/>
      </c>
    </row>
    <row r="242" spans="1:7" x14ac:dyDescent="0.2">
      <c r="A242" s="12" t="str">
        <f t="shared" si="21"/>
        <v/>
      </c>
      <c r="B242" t="str">
        <f t="shared" si="17"/>
        <v/>
      </c>
      <c r="C242" s="17" t="str">
        <f t="shared" si="18"/>
        <v/>
      </c>
      <c r="D242" s="18" t="str">
        <f t="shared" si="19"/>
        <v/>
      </c>
      <c r="E242" t="str">
        <f t="shared" si="20"/>
        <v/>
      </c>
      <c r="F242" s="23" t="str">
        <f ca="1">IF(A242="","",IF($B$8="Sí",interpolar_alamb(E242,OFFSET(Curvas_cupon_cero!$A$1,1,0,COUNT(Curvas_cupon_cero!$A:$A)-2,1),OFFSET(Curvas_cupon_cero!$A$1,1,MATCH(Bono_M_Cupon_fijo_curva!$B$7,Curvas_cupon_cero!$1:$1,0)-1,COUNT(Curvas_cupon_cero!$A:$A)-2,1)),interpolar(E242,OFFSET(Curvas_cupon_cero!$A$1,1,0,COUNT(Curvas_cupon_cero!$A:$A)-2,1),OFFSET(Curvas_cupon_cero!$A$1,1,MATCH(Bono_M_Cupon_fijo_curva!$B$7,Curvas_cupon_cero!$1:$1,0)-1,COUNT(Curvas_cupon_cero!$A:$A)-2,1))))</f>
        <v/>
      </c>
      <c r="G242" s="19" t="str">
        <f>IF(A242="","",C242/(1+F242*$B$6/360)^(COUNT(A$16:A242)-($B$6-$D$16)/$B$6))</f>
        <v/>
      </c>
    </row>
    <row r="243" spans="1:7" x14ac:dyDescent="0.2">
      <c r="A243" s="12" t="str">
        <f t="shared" si="21"/>
        <v/>
      </c>
      <c r="B243" t="str">
        <f t="shared" si="17"/>
        <v/>
      </c>
      <c r="C243" s="17" t="str">
        <f t="shared" si="18"/>
        <v/>
      </c>
      <c r="D243" s="18" t="str">
        <f t="shared" si="19"/>
        <v/>
      </c>
      <c r="E243" t="str">
        <f t="shared" si="20"/>
        <v/>
      </c>
      <c r="F243" s="23" t="str">
        <f ca="1">IF(A243="","",IF($B$8="Sí",interpolar_alamb(E243,OFFSET(Curvas_cupon_cero!$A$1,1,0,COUNT(Curvas_cupon_cero!$A:$A)-2,1),OFFSET(Curvas_cupon_cero!$A$1,1,MATCH(Bono_M_Cupon_fijo_curva!$B$7,Curvas_cupon_cero!$1:$1,0)-1,COUNT(Curvas_cupon_cero!$A:$A)-2,1)),interpolar(E243,OFFSET(Curvas_cupon_cero!$A$1,1,0,COUNT(Curvas_cupon_cero!$A:$A)-2,1),OFFSET(Curvas_cupon_cero!$A$1,1,MATCH(Bono_M_Cupon_fijo_curva!$B$7,Curvas_cupon_cero!$1:$1,0)-1,COUNT(Curvas_cupon_cero!$A:$A)-2,1))))</f>
        <v/>
      </c>
      <c r="G243" s="19" t="str">
        <f>IF(A243="","",C243/(1+F243*$B$6/360)^(COUNT(A$16:A243)-($B$6-$D$16)/$B$6))</f>
        <v/>
      </c>
    </row>
    <row r="244" spans="1:7" x14ac:dyDescent="0.2">
      <c r="A244" s="12" t="str">
        <f t="shared" si="21"/>
        <v/>
      </c>
      <c r="B244" t="str">
        <f t="shared" si="17"/>
        <v/>
      </c>
      <c r="C244" s="17" t="str">
        <f t="shared" si="18"/>
        <v/>
      </c>
      <c r="D244" s="18" t="str">
        <f t="shared" si="19"/>
        <v/>
      </c>
      <c r="E244" t="str">
        <f t="shared" si="20"/>
        <v/>
      </c>
      <c r="F244" s="23" t="str">
        <f ca="1">IF(A244="","",IF($B$8="Sí",interpolar_alamb(E244,OFFSET(Curvas_cupon_cero!$A$1,1,0,COUNT(Curvas_cupon_cero!$A:$A)-2,1),OFFSET(Curvas_cupon_cero!$A$1,1,MATCH(Bono_M_Cupon_fijo_curva!$B$7,Curvas_cupon_cero!$1:$1,0)-1,COUNT(Curvas_cupon_cero!$A:$A)-2,1)),interpolar(E244,OFFSET(Curvas_cupon_cero!$A$1,1,0,COUNT(Curvas_cupon_cero!$A:$A)-2,1),OFFSET(Curvas_cupon_cero!$A$1,1,MATCH(Bono_M_Cupon_fijo_curva!$B$7,Curvas_cupon_cero!$1:$1,0)-1,COUNT(Curvas_cupon_cero!$A:$A)-2,1))))</f>
        <v/>
      </c>
      <c r="G244" s="19" t="str">
        <f>IF(A244="","",C244/(1+F244*$B$6/360)^(COUNT(A$16:A244)-($B$6-$D$16)/$B$6))</f>
        <v/>
      </c>
    </row>
    <row r="245" spans="1:7" x14ac:dyDescent="0.2">
      <c r="A245" s="12" t="str">
        <f t="shared" si="21"/>
        <v/>
      </c>
      <c r="B245" t="str">
        <f t="shared" si="17"/>
        <v/>
      </c>
      <c r="C245" s="17" t="str">
        <f t="shared" si="18"/>
        <v/>
      </c>
      <c r="D245" s="18" t="str">
        <f t="shared" si="19"/>
        <v/>
      </c>
      <c r="E245" t="str">
        <f t="shared" si="20"/>
        <v/>
      </c>
      <c r="F245" s="23" t="str">
        <f ca="1">IF(A245="","",IF($B$8="Sí",interpolar_alamb(E245,OFFSET(Curvas_cupon_cero!$A$1,1,0,COUNT(Curvas_cupon_cero!$A:$A)-2,1),OFFSET(Curvas_cupon_cero!$A$1,1,MATCH(Bono_M_Cupon_fijo_curva!$B$7,Curvas_cupon_cero!$1:$1,0)-1,COUNT(Curvas_cupon_cero!$A:$A)-2,1)),interpolar(E245,OFFSET(Curvas_cupon_cero!$A$1,1,0,COUNT(Curvas_cupon_cero!$A:$A)-2,1),OFFSET(Curvas_cupon_cero!$A$1,1,MATCH(Bono_M_Cupon_fijo_curva!$B$7,Curvas_cupon_cero!$1:$1,0)-1,COUNT(Curvas_cupon_cero!$A:$A)-2,1))))</f>
        <v/>
      </c>
      <c r="G245" s="19" t="str">
        <f>IF(A245="","",C245/(1+F245*$B$6/360)^(COUNT(A$16:A245)-($B$6-$D$16)/$B$6))</f>
        <v/>
      </c>
    </row>
    <row r="246" spans="1:7" x14ac:dyDescent="0.2">
      <c r="A246" s="12" t="str">
        <f t="shared" si="21"/>
        <v/>
      </c>
      <c r="B246" t="str">
        <f t="shared" si="17"/>
        <v/>
      </c>
      <c r="C246" s="17" t="str">
        <f t="shared" si="18"/>
        <v/>
      </c>
      <c r="D246" s="18" t="str">
        <f t="shared" si="19"/>
        <v/>
      </c>
      <c r="E246" t="str">
        <f t="shared" si="20"/>
        <v/>
      </c>
      <c r="F246" s="23" t="str">
        <f ca="1">IF(A246="","",IF($B$8="Sí",interpolar_alamb(E246,OFFSET(Curvas_cupon_cero!$A$1,1,0,COUNT(Curvas_cupon_cero!$A:$A)-2,1),OFFSET(Curvas_cupon_cero!$A$1,1,MATCH(Bono_M_Cupon_fijo_curva!$B$7,Curvas_cupon_cero!$1:$1,0)-1,COUNT(Curvas_cupon_cero!$A:$A)-2,1)),interpolar(E246,OFFSET(Curvas_cupon_cero!$A$1,1,0,COUNT(Curvas_cupon_cero!$A:$A)-2,1),OFFSET(Curvas_cupon_cero!$A$1,1,MATCH(Bono_M_Cupon_fijo_curva!$B$7,Curvas_cupon_cero!$1:$1,0)-1,COUNT(Curvas_cupon_cero!$A:$A)-2,1))))</f>
        <v/>
      </c>
      <c r="G246" s="19" t="str">
        <f>IF(A246="","",C246/(1+F246*$B$6/360)^(COUNT(A$16:A246)-($B$6-$D$16)/$B$6))</f>
        <v/>
      </c>
    </row>
    <row r="247" spans="1:7" x14ac:dyDescent="0.2">
      <c r="A247" s="12" t="str">
        <f t="shared" si="21"/>
        <v/>
      </c>
      <c r="B247" t="str">
        <f t="shared" si="17"/>
        <v/>
      </c>
      <c r="C247" s="17" t="str">
        <f t="shared" si="18"/>
        <v/>
      </c>
      <c r="D247" s="18" t="str">
        <f t="shared" si="19"/>
        <v/>
      </c>
      <c r="E247" t="str">
        <f t="shared" si="20"/>
        <v/>
      </c>
      <c r="F247" s="23" t="str">
        <f ca="1">IF(A247="","",IF($B$8="Sí",interpolar_alamb(E247,OFFSET(Curvas_cupon_cero!$A$1,1,0,COUNT(Curvas_cupon_cero!$A:$A)-2,1),OFFSET(Curvas_cupon_cero!$A$1,1,MATCH(Bono_M_Cupon_fijo_curva!$B$7,Curvas_cupon_cero!$1:$1,0)-1,COUNT(Curvas_cupon_cero!$A:$A)-2,1)),interpolar(E247,OFFSET(Curvas_cupon_cero!$A$1,1,0,COUNT(Curvas_cupon_cero!$A:$A)-2,1),OFFSET(Curvas_cupon_cero!$A$1,1,MATCH(Bono_M_Cupon_fijo_curva!$B$7,Curvas_cupon_cero!$1:$1,0)-1,COUNT(Curvas_cupon_cero!$A:$A)-2,1))))</f>
        <v/>
      </c>
      <c r="G247" s="19" t="str">
        <f>IF(A247="","",C247/(1+F247*$B$6/360)^(COUNT(A$16:A247)-($B$6-$D$16)/$B$6))</f>
        <v/>
      </c>
    </row>
    <row r="248" spans="1:7" x14ac:dyDescent="0.2">
      <c r="A248" s="12" t="str">
        <f t="shared" si="21"/>
        <v/>
      </c>
      <c r="B248" t="str">
        <f t="shared" si="17"/>
        <v/>
      </c>
      <c r="C248" s="17" t="str">
        <f t="shared" si="18"/>
        <v/>
      </c>
      <c r="D248" s="18" t="str">
        <f t="shared" si="19"/>
        <v/>
      </c>
      <c r="E248" t="str">
        <f t="shared" si="20"/>
        <v/>
      </c>
      <c r="F248" s="23" t="str">
        <f ca="1">IF(A248="","",IF($B$8="Sí",interpolar_alamb(E248,OFFSET(Curvas_cupon_cero!$A$1,1,0,COUNT(Curvas_cupon_cero!$A:$A)-2,1),OFFSET(Curvas_cupon_cero!$A$1,1,MATCH(Bono_M_Cupon_fijo_curva!$B$7,Curvas_cupon_cero!$1:$1,0)-1,COUNT(Curvas_cupon_cero!$A:$A)-2,1)),interpolar(E248,OFFSET(Curvas_cupon_cero!$A$1,1,0,COUNT(Curvas_cupon_cero!$A:$A)-2,1),OFFSET(Curvas_cupon_cero!$A$1,1,MATCH(Bono_M_Cupon_fijo_curva!$B$7,Curvas_cupon_cero!$1:$1,0)-1,COUNT(Curvas_cupon_cero!$A:$A)-2,1))))</f>
        <v/>
      </c>
      <c r="G248" s="19" t="str">
        <f>IF(A248="","",C248/(1+F248*$B$6/360)^(COUNT(A$16:A248)-($B$6-$D$16)/$B$6))</f>
        <v/>
      </c>
    </row>
    <row r="249" spans="1:7" x14ac:dyDescent="0.2">
      <c r="A249" s="12" t="str">
        <f t="shared" si="21"/>
        <v/>
      </c>
      <c r="B249" t="str">
        <f t="shared" si="17"/>
        <v/>
      </c>
      <c r="C249" s="17" t="str">
        <f t="shared" si="18"/>
        <v/>
      </c>
      <c r="D249" s="18" t="str">
        <f t="shared" si="19"/>
        <v/>
      </c>
      <c r="E249" t="str">
        <f t="shared" si="20"/>
        <v/>
      </c>
      <c r="F249" s="23" t="str">
        <f ca="1">IF(A249="","",IF($B$8="Sí",interpolar_alamb(E249,OFFSET(Curvas_cupon_cero!$A$1,1,0,COUNT(Curvas_cupon_cero!$A:$A)-2,1),OFFSET(Curvas_cupon_cero!$A$1,1,MATCH(Bono_M_Cupon_fijo_curva!$B$7,Curvas_cupon_cero!$1:$1,0)-1,COUNT(Curvas_cupon_cero!$A:$A)-2,1)),interpolar(E249,OFFSET(Curvas_cupon_cero!$A$1,1,0,COUNT(Curvas_cupon_cero!$A:$A)-2,1),OFFSET(Curvas_cupon_cero!$A$1,1,MATCH(Bono_M_Cupon_fijo_curva!$B$7,Curvas_cupon_cero!$1:$1,0)-1,COUNT(Curvas_cupon_cero!$A:$A)-2,1))))</f>
        <v/>
      </c>
      <c r="G249" s="19" t="str">
        <f>IF(A249="","",C249/(1+F249*$B$6/360)^(COUNT(A$16:A249)-($B$6-$D$16)/$B$6))</f>
        <v/>
      </c>
    </row>
    <row r="250" spans="1:7" x14ac:dyDescent="0.2">
      <c r="A250" s="12" t="str">
        <f t="shared" si="21"/>
        <v/>
      </c>
      <c r="B250" t="str">
        <f t="shared" si="17"/>
        <v/>
      </c>
      <c r="C250" s="17" t="str">
        <f t="shared" si="18"/>
        <v/>
      </c>
      <c r="D250" s="18" t="str">
        <f t="shared" si="19"/>
        <v/>
      </c>
      <c r="E250" t="str">
        <f t="shared" si="20"/>
        <v/>
      </c>
      <c r="F250" s="23" t="str">
        <f ca="1">IF(A250="","",IF($B$8="Sí",interpolar_alamb(E250,OFFSET(Curvas_cupon_cero!$A$1,1,0,COUNT(Curvas_cupon_cero!$A:$A)-2,1),OFFSET(Curvas_cupon_cero!$A$1,1,MATCH(Bono_M_Cupon_fijo_curva!$B$7,Curvas_cupon_cero!$1:$1,0)-1,COUNT(Curvas_cupon_cero!$A:$A)-2,1)),interpolar(E250,OFFSET(Curvas_cupon_cero!$A$1,1,0,COUNT(Curvas_cupon_cero!$A:$A)-2,1),OFFSET(Curvas_cupon_cero!$A$1,1,MATCH(Bono_M_Cupon_fijo_curva!$B$7,Curvas_cupon_cero!$1:$1,0)-1,COUNT(Curvas_cupon_cero!$A:$A)-2,1))))</f>
        <v/>
      </c>
      <c r="G250" s="19" t="str">
        <f>IF(A250="","",C250/(1+F250*$B$6/360)^(COUNT(A$16:A250)-($B$6-$D$16)/$B$6))</f>
        <v/>
      </c>
    </row>
    <row r="251" spans="1:7" x14ac:dyDescent="0.2">
      <c r="A251" s="12" t="str">
        <f t="shared" si="21"/>
        <v/>
      </c>
      <c r="B251" t="str">
        <f t="shared" si="17"/>
        <v/>
      </c>
      <c r="C251" s="17" t="str">
        <f t="shared" si="18"/>
        <v/>
      </c>
      <c r="D251" s="18" t="str">
        <f t="shared" si="19"/>
        <v/>
      </c>
      <c r="E251" t="str">
        <f t="shared" si="20"/>
        <v/>
      </c>
      <c r="F251" s="23" t="str">
        <f ca="1">IF(A251="","",IF($B$8="Sí",interpolar_alamb(E251,OFFSET(Curvas_cupon_cero!$A$1,1,0,COUNT(Curvas_cupon_cero!$A:$A)-2,1),OFFSET(Curvas_cupon_cero!$A$1,1,MATCH(Bono_M_Cupon_fijo_curva!$B$7,Curvas_cupon_cero!$1:$1,0)-1,COUNT(Curvas_cupon_cero!$A:$A)-2,1)),interpolar(E251,OFFSET(Curvas_cupon_cero!$A$1,1,0,COUNT(Curvas_cupon_cero!$A:$A)-2,1),OFFSET(Curvas_cupon_cero!$A$1,1,MATCH(Bono_M_Cupon_fijo_curva!$B$7,Curvas_cupon_cero!$1:$1,0)-1,COUNT(Curvas_cupon_cero!$A:$A)-2,1))))</f>
        <v/>
      </c>
      <c r="G251" s="19" t="str">
        <f>IF(A251="","",C251/(1+F251*$B$6/360)^(COUNT(A$16:A251)-($B$6-$D$16)/$B$6))</f>
        <v/>
      </c>
    </row>
    <row r="252" spans="1:7" x14ac:dyDescent="0.2">
      <c r="A252" s="12" t="str">
        <f t="shared" si="21"/>
        <v/>
      </c>
      <c r="B252" t="str">
        <f t="shared" si="17"/>
        <v/>
      </c>
      <c r="C252" s="17" t="str">
        <f t="shared" si="18"/>
        <v/>
      </c>
      <c r="D252" s="18" t="str">
        <f t="shared" si="19"/>
        <v/>
      </c>
      <c r="E252" t="str">
        <f t="shared" si="20"/>
        <v/>
      </c>
      <c r="F252" s="23" t="str">
        <f ca="1">IF(A252="","",IF($B$8="Sí",interpolar_alamb(E252,OFFSET(Curvas_cupon_cero!$A$1,1,0,COUNT(Curvas_cupon_cero!$A:$A)-2,1),OFFSET(Curvas_cupon_cero!$A$1,1,MATCH(Bono_M_Cupon_fijo_curva!$B$7,Curvas_cupon_cero!$1:$1,0)-1,COUNT(Curvas_cupon_cero!$A:$A)-2,1)),interpolar(E252,OFFSET(Curvas_cupon_cero!$A$1,1,0,COUNT(Curvas_cupon_cero!$A:$A)-2,1),OFFSET(Curvas_cupon_cero!$A$1,1,MATCH(Bono_M_Cupon_fijo_curva!$B$7,Curvas_cupon_cero!$1:$1,0)-1,COUNT(Curvas_cupon_cero!$A:$A)-2,1))))</f>
        <v/>
      </c>
      <c r="G252" s="19" t="str">
        <f>IF(A252="","",C252/(1+F252*$B$6/360)^(COUNT(A$16:A252)-($B$6-$D$16)/$B$6))</f>
        <v/>
      </c>
    </row>
    <row r="253" spans="1:7" x14ac:dyDescent="0.2">
      <c r="A253" s="12" t="str">
        <f t="shared" si="21"/>
        <v/>
      </c>
      <c r="B253" t="str">
        <f t="shared" si="17"/>
        <v/>
      </c>
      <c r="C253" s="17" t="str">
        <f t="shared" si="18"/>
        <v/>
      </c>
      <c r="D253" s="18" t="str">
        <f t="shared" si="19"/>
        <v/>
      </c>
      <c r="E253" t="str">
        <f t="shared" si="20"/>
        <v/>
      </c>
      <c r="F253" s="23" t="str">
        <f ca="1">IF(A253="","",IF($B$8="Sí",interpolar_alamb(E253,OFFSET(Curvas_cupon_cero!$A$1,1,0,COUNT(Curvas_cupon_cero!$A:$A)-2,1),OFFSET(Curvas_cupon_cero!$A$1,1,MATCH(Bono_M_Cupon_fijo_curva!$B$7,Curvas_cupon_cero!$1:$1,0)-1,COUNT(Curvas_cupon_cero!$A:$A)-2,1)),interpolar(E253,OFFSET(Curvas_cupon_cero!$A$1,1,0,COUNT(Curvas_cupon_cero!$A:$A)-2,1),OFFSET(Curvas_cupon_cero!$A$1,1,MATCH(Bono_M_Cupon_fijo_curva!$B$7,Curvas_cupon_cero!$1:$1,0)-1,COUNT(Curvas_cupon_cero!$A:$A)-2,1))))</f>
        <v/>
      </c>
      <c r="G253" s="19" t="str">
        <f>IF(A253="","",C253/(1+F253*$B$6/360)^(COUNT(A$16:A253)-($B$6-$D$16)/$B$6))</f>
        <v/>
      </c>
    </row>
    <row r="254" spans="1:7" x14ac:dyDescent="0.2">
      <c r="A254" s="12" t="str">
        <f t="shared" si="21"/>
        <v/>
      </c>
      <c r="B254" t="str">
        <f t="shared" si="17"/>
        <v/>
      </c>
      <c r="C254" s="17" t="str">
        <f t="shared" si="18"/>
        <v/>
      </c>
      <c r="D254" s="18" t="str">
        <f t="shared" si="19"/>
        <v/>
      </c>
      <c r="E254" t="str">
        <f t="shared" si="20"/>
        <v/>
      </c>
      <c r="F254" s="23" t="str">
        <f ca="1">IF(A254="","",IF($B$8="Sí",interpolar_alamb(E254,OFFSET(Curvas_cupon_cero!$A$1,1,0,COUNT(Curvas_cupon_cero!$A:$A)-2,1),OFFSET(Curvas_cupon_cero!$A$1,1,MATCH(Bono_M_Cupon_fijo_curva!$B$7,Curvas_cupon_cero!$1:$1,0)-1,COUNT(Curvas_cupon_cero!$A:$A)-2,1)),interpolar(E254,OFFSET(Curvas_cupon_cero!$A$1,1,0,COUNT(Curvas_cupon_cero!$A:$A)-2,1),OFFSET(Curvas_cupon_cero!$A$1,1,MATCH(Bono_M_Cupon_fijo_curva!$B$7,Curvas_cupon_cero!$1:$1,0)-1,COUNT(Curvas_cupon_cero!$A:$A)-2,1))))</f>
        <v/>
      </c>
      <c r="G254" s="19" t="str">
        <f>IF(A254="","",C254/(1+F254*$B$6/360)^(COUNT(A$16:A254)-($B$6-$D$16)/$B$6))</f>
        <v/>
      </c>
    </row>
    <row r="255" spans="1:7" x14ac:dyDescent="0.2">
      <c r="A255" s="12" t="str">
        <f t="shared" si="21"/>
        <v/>
      </c>
      <c r="B255" t="str">
        <f t="shared" si="17"/>
        <v/>
      </c>
      <c r="C255" s="17" t="str">
        <f t="shared" si="18"/>
        <v/>
      </c>
      <c r="D255" s="18" t="str">
        <f t="shared" si="19"/>
        <v/>
      </c>
      <c r="E255" t="str">
        <f t="shared" si="20"/>
        <v/>
      </c>
      <c r="F255" s="23" t="str">
        <f ca="1">IF(A255="","",IF($B$8="Sí",interpolar_alamb(E255,OFFSET(Curvas_cupon_cero!$A$1,1,0,COUNT(Curvas_cupon_cero!$A:$A)-2,1),OFFSET(Curvas_cupon_cero!$A$1,1,MATCH(Bono_M_Cupon_fijo_curva!$B$7,Curvas_cupon_cero!$1:$1,0)-1,COUNT(Curvas_cupon_cero!$A:$A)-2,1)),interpolar(E255,OFFSET(Curvas_cupon_cero!$A$1,1,0,COUNT(Curvas_cupon_cero!$A:$A)-2,1),OFFSET(Curvas_cupon_cero!$A$1,1,MATCH(Bono_M_Cupon_fijo_curva!$B$7,Curvas_cupon_cero!$1:$1,0)-1,COUNT(Curvas_cupon_cero!$A:$A)-2,1))))</f>
        <v/>
      </c>
      <c r="G255" s="19" t="str">
        <f>IF(A255="","",C255/(1+F255*$B$6/360)^(COUNT(A$16:A255)-($B$6-$D$16)/$B$6))</f>
        <v/>
      </c>
    </row>
    <row r="256" spans="1:7" x14ac:dyDescent="0.2">
      <c r="A256" s="12" t="str">
        <f t="shared" si="21"/>
        <v/>
      </c>
      <c r="B256" t="str">
        <f t="shared" si="17"/>
        <v/>
      </c>
      <c r="C256" s="17" t="str">
        <f t="shared" si="18"/>
        <v/>
      </c>
      <c r="D256" s="18" t="str">
        <f t="shared" si="19"/>
        <v/>
      </c>
      <c r="E256" t="str">
        <f t="shared" si="20"/>
        <v/>
      </c>
      <c r="F256" s="23" t="str">
        <f ca="1">IF(A256="","",IF($B$8="Sí",interpolar_alamb(E256,OFFSET(Curvas_cupon_cero!$A$1,1,0,COUNT(Curvas_cupon_cero!$A:$A)-2,1),OFFSET(Curvas_cupon_cero!$A$1,1,MATCH(Bono_M_Cupon_fijo_curva!$B$7,Curvas_cupon_cero!$1:$1,0)-1,COUNT(Curvas_cupon_cero!$A:$A)-2,1)),interpolar(E256,OFFSET(Curvas_cupon_cero!$A$1,1,0,COUNT(Curvas_cupon_cero!$A:$A)-2,1),OFFSET(Curvas_cupon_cero!$A$1,1,MATCH(Bono_M_Cupon_fijo_curva!$B$7,Curvas_cupon_cero!$1:$1,0)-1,COUNT(Curvas_cupon_cero!$A:$A)-2,1))))</f>
        <v/>
      </c>
      <c r="G256" s="19" t="str">
        <f>IF(A256="","",C256/(1+F256*$B$6/360)^(COUNT(A$16:A256)-($B$6-$D$16)/$B$6))</f>
        <v/>
      </c>
    </row>
    <row r="257" spans="1:7" x14ac:dyDescent="0.2">
      <c r="A257" s="12" t="str">
        <f t="shared" si="21"/>
        <v/>
      </c>
      <c r="B257" t="str">
        <f t="shared" si="17"/>
        <v/>
      </c>
      <c r="C257" s="17" t="str">
        <f t="shared" si="18"/>
        <v/>
      </c>
      <c r="D257" s="18" t="str">
        <f t="shared" si="19"/>
        <v/>
      </c>
      <c r="E257" t="str">
        <f t="shared" si="20"/>
        <v/>
      </c>
      <c r="F257" s="23" t="str">
        <f ca="1">IF(A257="","",IF($B$8="Sí",interpolar_alamb(E257,OFFSET(Curvas_cupon_cero!$A$1,1,0,COUNT(Curvas_cupon_cero!$A:$A)-2,1),OFFSET(Curvas_cupon_cero!$A$1,1,MATCH(Bono_M_Cupon_fijo_curva!$B$7,Curvas_cupon_cero!$1:$1,0)-1,COUNT(Curvas_cupon_cero!$A:$A)-2,1)),interpolar(E257,OFFSET(Curvas_cupon_cero!$A$1,1,0,COUNT(Curvas_cupon_cero!$A:$A)-2,1),OFFSET(Curvas_cupon_cero!$A$1,1,MATCH(Bono_M_Cupon_fijo_curva!$B$7,Curvas_cupon_cero!$1:$1,0)-1,COUNT(Curvas_cupon_cero!$A:$A)-2,1))))</f>
        <v/>
      </c>
      <c r="G257" s="19" t="str">
        <f>IF(A257="","",C257/(1+F257*$B$6/360)^(COUNT(A$16:A257)-($B$6-$D$16)/$B$6))</f>
        <v/>
      </c>
    </row>
    <row r="258" spans="1:7" x14ac:dyDescent="0.2">
      <c r="A258" s="12" t="str">
        <f t="shared" si="21"/>
        <v/>
      </c>
      <c r="B258" t="str">
        <f t="shared" si="17"/>
        <v/>
      </c>
      <c r="C258" s="17" t="str">
        <f t="shared" si="18"/>
        <v/>
      </c>
      <c r="D258" s="18" t="str">
        <f t="shared" si="19"/>
        <v/>
      </c>
      <c r="E258" t="str">
        <f t="shared" si="20"/>
        <v/>
      </c>
      <c r="F258" s="23" t="str">
        <f ca="1">IF(A258="","",IF($B$8="Sí",interpolar_alamb(E258,OFFSET(Curvas_cupon_cero!$A$1,1,0,COUNT(Curvas_cupon_cero!$A:$A)-2,1),OFFSET(Curvas_cupon_cero!$A$1,1,MATCH(Bono_M_Cupon_fijo_curva!$B$7,Curvas_cupon_cero!$1:$1,0)-1,COUNT(Curvas_cupon_cero!$A:$A)-2,1)),interpolar(E258,OFFSET(Curvas_cupon_cero!$A$1,1,0,COUNT(Curvas_cupon_cero!$A:$A)-2,1),OFFSET(Curvas_cupon_cero!$A$1,1,MATCH(Bono_M_Cupon_fijo_curva!$B$7,Curvas_cupon_cero!$1:$1,0)-1,COUNT(Curvas_cupon_cero!$A:$A)-2,1))))</f>
        <v/>
      </c>
      <c r="G258" s="19" t="str">
        <f>IF(A258="","",C258/(1+F258*$B$6/360)^(COUNT(A$16:A258)-($B$6-$D$16)/$B$6))</f>
        <v/>
      </c>
    </row>
    <row r="259" spans="1:7" x14ac:dyDescent="0.2">
      <c r="A259" s="12" t="str">
        <f t="shared" si="21"/>
        <v/>
      </c>
      <c r="B259" t="str">
        <f t="shared" si="17"/>
        <v/>
      </c>
      <c r="C259" s="17" t="str">
        <f t="shared" si="18"/>
        <v/>
      </c>
      <c r="D259" s="18" t="str">
        <f t="shared" si="19"/>
        <v/>
      </c>
      <c r="E259" t="str">
        <f t="shared" si="20"/>
        <v/>
      </c>
      <c r="F259" s="23" t="str">
        <f ca="1">IF(A259="","",IF($B$8="Sí",interpolar_alamb(E259,OFFSET(Curvas_cupon_cero!$A$1,1,0,COUNT(Curvas_cupon_cero!$A:$A)-2,1),OFFSET(Curvas_cupon_cero!$A$1,1,MATCH(Bono_M_Cupon_fijo_curva!$B$7,Curvas_cupon_cero!$1:$1,0)-1,COUNT(Curvas_cupon_cero!$A:$A)-2,1)),interpolar(E259,OFFSET(Curvas_cupon_cero!$A$1,1,0,COUNT(Curvas_cupon_cero!$A:$A)-2,1),OFFSET(Curvas_cupon_cero!$A$1,1,MATCH(Bono_M_Cupon_fijo_curva!$B$7,Curvas_cupon_cero!$1:$1,0)-1,COUNT(Curvas_cupon_cero!$A:$A)-2,1))))</f>
        <v/>
      </c>
      <c r="G259" s="19" t="str">
        <f>IF(A259="","",C259/(1+F259*$B$6/360)^(COUNT(A$16:A259)-($B$6-$D$16)/$B$6))</f>
        <v/>
      </c>
    </row>
    <row r="260" spans="1:7" x14ac:dyDescent="0.2">
      <c r="A260" s="12" t="str">
        <f t="shared" si="21"/>
        <v/>
      </c>
      <c r="B260" t="str">
        <f t="shared" si="17"/>
        <v/>
      </c>
      <c r="C260" s="17" t="str">
        <f t="shared" si="18"/>
        <v/>
      </c>
      <c r="D260" s="18" t="str">
        <f t="shared" si="19"/>
        <v/>
      </c>
      <c r="E260" t="str">
        <f t="shared" si="20"/>
        <v/>
      </c>
      <c r="F260" s="23" t="str">
        <f ca="1">IF(A260="","",IF($B$8="Sí",interpolar_alamb(E260,OFFSET(Curvas_cupon_cero!$A$1,1,0,COUNT(Curvas_cupon_cero!$A:$A)-2,1),OFFSET(Curvas_cupon_cero!$A$1,1,MATCH(Bono_M_Cupon_fijo_curva!$B$7,Curvas_cupon_cero!$1:$1,0)-1,COUNT(Curvas_cupon_cero!$A:$A)-2,1)),interpolar(E260,OFFSET(Curvas_cupon_cero!$A$1,1,0,COUNT(Curvas_cupon_cero!$A:$A)-2,1),OFFSET(Curvas_cupon_cero!$A$1,1,MATCH(Bono_M_Cupon_fijo_curva!$B$7,Curvas_cupon_cero!$1:$1,0)-1,COUNT(Curvas_cupon_cero!$A:$A)-2,1))))</f>
        <v/>
      </c>
      <c r="G260" s="19" t="str">
        <f>IF(A260="","",C260/(1+F260*$B$6/360)^(COUNT(A$16:A260)-($B$6-$D$16)/$B$6))</f>
        <v/>
      </c>
    </row>
    <row r="261" spans="1:7" x14ac:dyDescent="0.2">
      <c r="A261" s="12" t="str">
        <f t="shared" si="21"/>
        <v/>
      </c>
      <c r="B261" t="str">
        <f t="shared" si="17"/>
        <v/>
      </c>
      <c r="C261" s="17" t="str">
        <f t="shared" si="18"/>
        <v/>
      </c>
      <c r="D261" s="18" t="str">
        <f t="shared" si="19"/>
        <v/>
      </c>
      <c r="E261" t="str">
        <f t="shared" si="20"/>
        <v/>
      </c>
      <c r="F261" s="23" t="str">
        <f ca="1">IF(A261="","",IF($B$8="Sí",interpolar_alamb(E261,OFFSET(Curvas_cupon_cero!$A$1,1,0,COUNT(Curvas_cupon_cero!$A:$A)-2,1),OFFSET(Curvas_cupon_cero!$A$1,1,MATCH(Bono_M_Cupon_fijo_curva!$B$7,Curvas_cupon_cero!$1:$1,0)-1,COUNT(Curvas_cupon_cero!$A:$A)-2,1)),interpolar(E261,OFFSET(Curvas_cupon_cero!$A$1,1,0,COUNT(Curvas_cupon_cero!$A:$A)-2,1),OFFSET(Curvas_cupon_cero!$A$1,1,MATCH(Bono_M_Cupon_fijo_curva!$B$7,Curvas_cupon_cero!$1:$1,0)-1,COUNT(Curvas_cupon_cero!$A:$A)-2,1))))</f>
        <v/>
      </c>
      <c r="G261" s="19" t="str">
        <f>IF(A261="","",C261/(1+F261*$B$6/360)^(COUNT(A$16:A261)-($B$6-$D$16)/$B$6))</f>
        <v/>
      </c>
    </row>
    <row r="262" spans="1:7" x14ac:dyDescent="0.2">
      <c r="A262" s="12" t="str">
        <f t="shared" si="21"/>
        <v/>
      </c>
      <c r="B262" t="str">
        <f t="shared" si="17"/>
        <v/>
      </c>
      <c r="C262" s="17" t="str">
        <f t="shared" si="18"/>
        <v/>
      </c>
      <c r="D262" s="18" t="str">
        <f t="shared" si="19"/>
        <v/>
      </c>
      <c r="E262" t="str">
        <f t="shared" si="20"/>
        <v/>
      </c>
      <c r="F262" s="23" t="str">
        <f ca="1">IF(A262="","",IF($B$8="Sí",interpolar_alamb(E262,OFFSET(Curvas_cupon_cero!$A$1,1,0,COUNT(Curvas_cupon_cero!$A:$A)-2,1),OFFSET(Curvas_cupon_cero!$A$1,1,MATCH(Bono_M_Cupon_fijo_curva!$B$7,Curvas_cupon_cero!$1:$1,0)-1,COUNT(Curvas_cupon_cero!$A:$A)-2,1)),interpolar(E262,OFFSET(Curvas_cupon_cero!$A$1,1,0,COUNT(Curvas_cupon_cero!$A:$A)-2,1),OFFSET(Curvas_cupon_cero!$A$1,1,MATCH(Bono_M_Cupon_fijo_curva!$B$7,Curvas_cupon_cero!$1:$1,0)-1,COUNT(Curvas_cupon_cero!$A:$A)-2,1))))</f>
        <v/>
      </c>
      <c r="G262" s="19" t="str">
        <f>IF(A262="","",C262/(1+F262*$B$6/360)^(COUNT(A$16:A262)-($B$6-$D$16)/$B$6))</f>
        <v/>
      </c>
    </row>
    <row r="263" spans="1:7" x14ac:dyDescent="0.2">
      <c r="A263" s="12" t="str">
        <f t="shared" si="21"/>
        <v/>
      </c>
      <c r="B263" t="str">
        <f t="shared" si="17"/>
        <v/>
      </c>
      <c r="C263" s="17" t="str">
        <f t="shared" si="18"/>
        <v/>
      </c>
      <c r="D263" s="18" t="str">
        <f t="shared" si="19"/>
        <v/>
      </c>
      <c r="E263" t="str">
        <f t="shared" si="20"/>
        <v/>
      </c>
      <c r="F263" s="23" t="str">
        <f ca="1">IF(A263="","",IF($B$8="Sí",interpolar_alamb(E263,OFFSET(Curvas_cupon_cero!$A$1,1,0,COUNT(Curvas_cupon_cero!$A:$A)-2,1),OFFSET(Curvas_cupon_cero!$A$1,1,MATCH(Bono_M_Cupon_fijo_curva!$B$7,Curvas_cupon_cero!$1:$1,0)-1,COUNT(Curvas_cupon_cero!$A:$A)-2,1)),interpolar(E263,OFFSET(Curvas_cupon_cero!$A$1,1,0,COUNT(Curvas_cupon_cero!$A:$A)-2,1),OFFSET(Curvas_cupon_cero!$A$1,1,MATCH(Bono_M_Cupon_fijo_curva!$B$7,Curvas_cupon_cero!$1:$1,0)-1,COUNT(Curvas_cupon_cero!$A:$A)-2,1))))</f>
        <v/>
      </c>
      <c r="G263" s="19" t="str">
        <f>IF(A263="","",C263/(1+F263*$B$6/360)^(COUNT(A$16:A263)-($B$6-$D$16)/$B$6))</f>
        <v/>
      </c>
    </row>
    <row r="264" spans="1:7" x14ac:dyDescent="0.2">
      <c r="A264" s="12" t="str">
        <f t="shared" si="21"/>
        <v/>
      </c>
      <c r="B264" t="str">
        <f t="shared" si="17"/>
        <v/>
      </c>
      <c r="C264" s="17" t="str">
        <f t="shared" si="18"/>
        <v/>
      </c>
      <c r="D264" s="18" t="str">
        <f t="shared" si="19"/>
        <v/>
      </c>
      <c r="E264" t="str">
        <f t="shared" si="20"/>
        <v/>
      </c>
      <c r="F264" s="23" t="str">
        <f ca="1">IF(A264="","",IF($B$8="Sí",interpolar_alamb(E264,OFFSET(Curvas_cupon_cero!$A$1,1,0,COUNT(Curvas_cupon_cero!$A:$A)-2,1),OFFSET(Curvas_cupon_cero!$A$1,1,MATCH(Bono_M_Cupon_fijo_curva!$B$7,Curvas_cupon_cero!$1:$1,0)-1,COUNT(Curvas_cupon_cero!$A:$A)-2,1)),interpolar(E264,OFFSET(Curvas_cupon_cero!$A$1,1,0,COUNT(Curvas_cupon_cero!$A:$A)-2,1),OFFSET(Curvas_cupon_cero!$A$1,1,MATCH(Bono_M_Cupon_fijo_curva!$B$7,Curvas_cupon_cero!$1:$1,0)-1,COUNT(Curvas_cupon_cero!$A:$A)-2,1))))</f>
        <v/>
      </c>
      <c r="G264" s="19" t="str">
        <f>IF(A264="","",C264/(1+F264*$B$6/360)^(COUNT(A$16:A264)-($B$6-$D$16)/$B$6))</f>
        <v/>
      </c>
    </row>
    <row r="265" spans="1:7" x14ac:dyDescent="0.2">
      <c r="A265" s="12" t="str">
        <f t="shared" si="21"/>
        <v/>
      </c>
      <c r="B265" t="str">
        <f t="shared" si="17"/>
        <v/>
      </c>
      <c r="C265" s="17" t="str">
        <f t="shared" si="18"/>
        <v/>
      </c>
      <c r="D265" s="18" t="str">
        <f t="shared" si="19"/>
        <v/>
      </c>
      <c r="E265" t="str">
        <f t="shared" si="20"/>
        <v/>
      </c>
      <c r="F265" s="23" t="str">
        <f ca="1">IF(A265="","",IF($B$8="Sí",interpolar_alamb(E265,OFFSET(Curvas_cupon_cero!$A$1,1,0,COUNT(Curvas_cupon_cero!$A:$A)-2,1),OFFSET(Curvas_cupon_cero!$A$1,1,MATCH(Bono_M_Cupon_fijo_curva!$B$7,Curvas_cupon_cero!$1:$1,0)-1,COUNT(Curvas_cupon_cero!$A:$A)-2,1)),interpolar(E265,OFFSET(Curvas_cupon_cero!$A$1,1,0,COUNT(Curvas_cupon_cero!$A:$A)-2,1),OFFSET(Curvas_cupon_cero!$A$1,1,MATCH(Bono_M_Cupon_fijo_curva!$B$7,Curvas_cupon_cero!$1:$1,0)-1,COUNT(Curvas_cupon_cero!$A:$A)-2,1))))</f>
        <v/>
      </c>
      <c r="G265" s="19" t="str">
        <f>IF(A265="","",C265/(1+F265*$B$6/360)^(COUNT(A$16:A265)-($B$6-$D$16)/$B$6))</f>
        <v/>
      </c>
    </row>
    <row r="266" spans="1:7" x14ac:dyDescent="0.2">
      <c r="A266" s="12" t="str">
        <f t="shared" si="21"/>
        <v/>
      </c>
      <c r="B266" t="str">
        <f t="shared" si="17"/>
        <v/>
      </c>
      <c r="C266" s="17" t="str">
        <f t="shared" si="18"/>
        <v/>
      </c>
      <c r="D266" s="18" t="str">
        <f t="shared" si="19"/>
        <v/>
      </c>
      <c r="E266" t="str">
        <f t="shared" si="20"/>
        <v/>
      </c>
      <c r="F266" s="23" t="str">
        <f ca="1">IF(A266="","",IF($B$8="Sí",interpolar_alamb(E266,OFFSET(Curvas_cupon_cero!$A$1,1,0,COUNT(Curvas_cupon_cero!$A:$A)-2,1),OFFSET(Curvas_cupon_cero!$A$1,1,MATCH(Bono_M_Cupon_fijo_curva!$B$7,Curvas_cupon_cero!$1:$1,0)-1,COUNT(Curvas_cupon_cero!$A:$A)-2,1)),interpolar(E266,OFFSET(Curvas_cupon_cero!$A$1,1,0,COUNT(Curvas_cupon_cero!$A:$A)-2,1),OFFSET(Curvas_cupon_cero!$A$1,1,MATCH(Bono_M_Cupon_fijo_curva!$B$7,Curvas_cupon_cero!$1:$1,0)-1,COUNT(Curvas_cupon_cero!$A:$A)-2,1))))</f>
        <v/>
      </c>
      <c r="G266" s="19" t="str">
        <f>IF(A266="","",C266/(1+F266*$B$6/360)^(COUNT(A$16:A266)-($B$6-$D$16)/$B$6))</f>
        <v/>
      </c>
    </row>
    <row r="267" spans="1:7" x14ac:dyDescent="0.2">
      <c r="A267" s="12" t="str">
        <f t="shared" si="21"/>
        <v/>
      </c>
      <c r="B267" t="str">
        <f t="shared" si="17"/>
        <v/>
      </c>
      <c r="C267" s="17" t="str">
        <f t="shared" si="18"/>
        <v/>
      </c>
      <c r="D267" s="18" t="str">
        <f t="shared" si="19"/>
        <v/>
      </c>
      <c r="E267" t="str">
        <f t="shared" si="20"/>
        <v/>
      </c>
      <c r="F267" s="23" t="str">
        <f ca="1">IF(A267="","",IF($B$8="Sí",interpolar_alamb(E267,OFFSET(Curvas_cupon_cero!$A$1,1,0,COUNT(Curvas_cupon_cero!$A:$A)-2,1),OFFSET(Curvas_cupon_cero!$A$1,1,MATCH(Bono_M_Cupon_fijo_curva!$B$7,Curvas_cupon_cero!$1:$1,0)-1,COUNT(Curvas_cupon_cero!$A:$A)-2,1)),interpolar(E267,OFFSET(Curvas_cupon_cero!$A$1,1,0,COUNT(Curvas_cupon_cero!$A:$A)-2,1),OFFSET(Curvas_cupon_cero!$A$1,1,MATCH(Bono_M_Cupon_fijo_curva!$B$7,Curvas_cupon_cero!$1:$1,0)-1,COUNT(Curvas_cupon_cero!$A:$A)-2,1))))</f>
        <v/>
      </c>
      <c r="G267" s="19" t="str">
        <f>IF(A267="","",C267/(1+F267*$B$6/360)^(COUNT(A$16:A267)-($B$6-$D$16)/$B$6))</f>
        <v/>
      </c>
    </row>
    <row r="268" spans="1:7" x14ac:dyDescent="0.2">
      <c r="A268" s="12" t="str">
        <f t="shared" si="21"/>
        <v/>
      </c>
      <c r="B268" t="str">
        <f t="shared" si="17"/>
        <v/>
      </c>
      <c r="C268" s="17" t="str">
        <f t="shared" si="18"/>
        <v/>
      </c>
      <c r="D268" s="18" t="str">
        <f t="shared" si="19"/>
        <v/>
      </c>
      <c r="E268" t="str">
        <f t="shared" si="20"/>
        <v/>
      </c>
      <c r="F268" s="23" t="str">
        <f ca="1">IF(A268="","",IF($B$8="Sí",interpolar_alamb(E268,OFFSET(Curvas_cupon_cero!$A$1,1,0,COUNT(Curvas_cupon_cero!$A:$A)-2,1),OFFSET(Curvas_cupon_cero!$A$1,1,MATCH(Bono_M_Cupon_fijo_curva!$B$7,Curvas_cupon_cero!$1:$1,0)-1,COUNT(Curvas_cupon_cero!$A:$A)-2,1)),interpolar(E268,OFFSET(Curvas_cupon_cero!$A$1,1,0,COUNT(Curvas_cupon_cero!$A:$A)-2,1),OFFSET(Curvas_cupon_cero!$A$1,1,MATCH(Bono_M_Cupon_fijo_curva!$B$7,Curvas_cupon_cero!$1:$1,0)-1,COUNT(Curvas_cupon_cero!$A:$A)-2,1))))</f>
        <v/>
      </c>
      <c r="G268" s="19" t="str">
        <f>IF(A268="","",C268/(1+F268*$B$6/360)^(COUNT(A$16:A268)-($B$6-$D$16)/$B$6))</f>
        <v/>
      </c>
    </row>
    <row r="269" spans="1:7" x14ac:dyDescent="0.2">
      <c r="A269" s="12" t="str">
        <f t="shared" si="21"/>
        <v/>
      </c>
      <c r="B269" t="str">
        <f t="shared" si="17"/>
        <v/>
      </c>
      <c r="C269" s="17" t="str">
        <f t="shared" si="18"/>
        <v/>
      </c>
      <c r="D269" s="18" t="str">
        <f t="shared" si="19"/>
        <v/>
      </c>
      <c r="E269" t="str">
        <f t="shared" si="20"/>
        <v/>
      </c>
      <c r="F269" s="23" t="str">
        <f ca="1">IF(A269="","",IF($B$8="Sí",interpolar_alamb(E269,OFFSET(Curvas_cupon_cero!$A$1,1,0,COUNT(Curvas_cupon_cero!$A:$A)-2,1),OFFSET(Curvas_cupon_cero!$A$1,1,MATCH(Bono_M_Cupon_fijo_curva!$B$7,Curvas_cupon_cero!$1:$1,0)-1,COUNT(Curvas_cupon_cero!$A:$A)-2,1)),interpolar(E269,OFFSET(Curvas_cupon_cero!$A$1,1,0,COUNT(Curvas_cupon_cero!$A:$A)-2,1),OFFSET(Curvas_cupon_cero!$A$1,1,MATCH(Bono_M_Cupon_fijo_curva!$B$7,Curvas_cupon_cero!$1:$1,0)-1,COUNT(Curvas_cupon_cero!$A:$A)-2,1))))</f>
        <v/>
      </c>
      <c r="G269" s="19" t="str">
        <f>IF(A269="","",C269/(1+F269*$B$6/360)^(COUNT(A$16:A269)-($B$6-$D$16)/$B$6))</f>
        <v/>
      </c>
    </row>
    <row r="270" spans="1:7" x14ac:dyDescent="0.2">
      <c r="A270" s="12" t="str">
        <f t="shared" si="21"/>
        <v/>
      </c>
      <c r="B270" t="str">
        <f t="shared" si="17"/>
        <v/>
      </c>
      <c r="C270" s="17" t="str">
        <f t="shared" si="18"/>
        <v/>
      </c>
      <c r="D270" s="18" t="str">
        <f t="shared" si="19"/>
        <v/>
      </c>
      <c r="E270" t="str">
        <f t="shared" si="20"/>
        <v/>
      </c>
      <c r="F270" s="23" t="str">
        <f ca="1">IF(A270="","",IF($B$8="Sí",interpolar_alamb(E270,OFFSET(Curvas_cupon_cero!$A$1,1,0,COUNT(Curvas_cupon_cero!$A:$A)-2,1),OFFSET(Curvas_cupon_cero!$A$1,1,MATCH(Bono_M_Cupon_fijo_curva!$B$7,Curvas_cupon_cero!$1:$1,0)-1,COUNT(Curvas_cupon_cero!$A:$A)-2,1)),interpolar(E270,OFFSET(Curvas_cupon_cero!$A$1,1,0,COUNT(Curvas_cupon_cero!$A:$A)-2,1),OFFSET(Curvas_cupon_cero!$A$1,1,MATCH(Bono_M_Cupon_fijo_curva!$B$7,Curvas_cupon_cero!$1:$1,0)-1,COUNT(Curvas_cupon_cero!$A:$A)-2,1))))</f>
        <v/>
      </c>
      <c r="G270" s="19" t="str">
        <f>IF(A270="","",C270/(1+F270*$B$6/360)^(COUNT(A$16:A270)-($B$6-$D$16)/$B$6))</f>
        <v/>
      </c>
    </row>
    <row r="271" spans="1:7" x14ac:dyDescent="0.2">
      <c r="A271" s="12" t="str">
        <f t="shared" si="21"/>
        <v/>
      </c>
      <c r="B271" t="str">
        <f t="shared" si="17"/>
        <v/>
      </c>
      <c r="C271" s="17" t="str">
        <f t="shared" si="18"/>
        <v/>
      </c>
      <c r="D271" s="18" t="str">
        <f t="shared" si="19"/>
        <v/>
      </c>
      <c r="E271" t="str">
        <f t="shared" si="20"/>
        <v/>
      </c>
      <c r="F271" s="23" t="str">
        <f ca="1">IF(A271="","",IF($B$8="Sí",interpolar_alamb(E271,OFFSET(Curvas_cupon_cero!$A$1,1,0,COUNT(Curvas_cupon_cero!$A:$A)-2,1),OFFSET(Curvas_cupon_cero!$A$1,1,MATCH(Bono_M_Cupon_fijo_curva!$B$7,Curvas_cupon_cero!$1:$1,0)-1,COUNT(Curvas_cupon_cero!$A:$A)-2,1)),interpolar(E271,OFFSET(Curvas_cupon_cero!$A$1,1,0,COUNT(Curvas_cupon_cero!$A:$A)-2,1),OFFSET(Curvas_cupon_cero!$A$1,1,MATCH(Bono_M_Cupon_fijo_curva!$B$7,Curvas_cupon_cero!$1:$1,0)-1,COUNT(Curvas_cupon_cero!$A:$A)-2,1))))</f>
        <v/>
      </c>
      <c r="G271" s="19" t="str">
        <f>IF(A271="","",C271/(1+F271*$B$6/360)^(COUNT(A$16:A271)-($B$6-$D$16)/$B$6))</f>
        <v/>
      </c>
    </row>
    <row r="272" spans="1:7" x14ac:dyDescent="0.2">
      <c r="A272" s="12" t="str">
        <f t="shared" si="21"/>
        <v/>
      </c>
      <c r="B272" t="str">
        <f t="shared" si="17"/>
        <v/>
      </c>
      <c r="C272" s="17" t="str">
        <f t="shared" si="18"/>
        <v/>
      </c>
      <c r="D272" s="18" t="str">
        <f t="shared" si="19"/>
        <v/>
      </c>
      <c r="E272" t="str">
        <f t="shared" si="20"/>
        <v/>
      </c>
      <c r="F272" s="23" t="str">
        <f ca="1">IF(A272="","",IF($B$8="Sí",interpolar_alamb(E272,OFFSET(Curvas_cupon_cero!$A$1,1,0,COUNT(Curvas_cupon_cero!$A:$A)-2,1),OFFSET(Curvas_cupon_cero!$A$1,1,MATCH(Bono_M_Cupon_fijo_curva!$B$7,Curvas_cupon_cero!$1:$1,0)-1,COUNT(Curvas_cupon_cero!$A:$A)-2,1)),interpolar(E272,OFFSET(Curvas_cupon_cero!$A$1,1,0,COUNT(Curvas_cupon_cero!$A:$A)-2,1),OFFSET(Curvas_cupon_cero!$A$1,1,MATCH(Bono_M_Cupon_fijo_curva!$B$7,Curvas_cupon_cero!$1:$1,0)-1,COUNT(Curvas_cupon_cero!$A:$A)-2,1))))</f>
        <v/>
      </c>
      <c r="G272" s="19" t="str">
        <f>IF(A272="","",C272/(1+F272*$B$6/360)^(COUNT(A$16:A272)-($B$6-$D$16)/$B$6))</f>
        <v/>
      </c>
    </row>
    <row r="273" spans="1:7" x14ac:dyDescent="0.2">
      <c r="A273" s="12" t="str">
        <f t="shared" si="21"/>
        <v/>
      </c>
      <c r="B273" t="str">
        <f t="shared" ref="B273:B336" si="22">IF(A273="","",$B$5)</f>
        <v/>
      </c>
      <c r="C273" s="17" t="str">
        <f t="shared" ref="C273:C336" si="23">IF(A273="","",IF(A273=$B$4,$B$1*$B$2+ $B$5*$B$6/360*$B$1*$B$2, $B$5*$B$6/360*$B$1*$B$2))</f>
        <v/>
      </c>
      <c r="D273" s="18" t="str">
        <f t="shared" ref="D273:D336" si="24">IF(A273="","",$B$6)</f>
        <v/>
      </c>
      <c r="E273" t="str">
        <f t="shared" ref="E273:E336" si="25">IF(A273="","",E272+D273)</f>
        <v/>
      </c>
      <c r="F273" s="23" t="str">
        <f ca="1">IF(A273="","",IF($B$8="Sí",interpolar_alamb(E273,OFFSET(Curvas_cupon_cero!$A$1,1,0,COUNT(Curvas_cupon_cero!$A:$A)-2,1),OFFSET(Curvas_cupon_cero!$A$1,1,MATCH(Bono_M_Cupon_fijo_curva!$B$7,Curvas_cupon_cero!$1:$1,0)-1,COUNT(Curvas_cupon_cero!$A:$A)-2,1)),interpolar(E273,OFFSET(Curvas_cupon_cero!$A$1,1,0,COUNT(Curvas_cupon_cero!$A:$A)-2,1),OFFSET(Curvas_cupon_cero!$A$1,1,MATCH(Bono_M_Cupon_fijo_curva!$B$7,Curvas_cupon_cero!$1:$1,0)-1,COUNT(Curvas_cupon_cero!$A:$A)-2,1))))</f>
        <v/>
      </c>
      <c r="G273" s="19" t="str">
        <f>IF(A273="","",C273/(1+F273*$B$6/360)^(COUNT(A$16:A273)-($B$6-$D$16)/$B$6))</f>
        <v/>
      </c>
    </row>
    <row r="274" spans="1:7" x14ac:dyDescent="0.2">
      <c r="A274" s="12" t="str">
        <f t="shared" si="21"/>
        <v/>
      </c>
      <c r="B274" t="str">
        <f t="shared" si="22"/>
        <v/>
      </c>
      <c r="C274" s="17" t="str">
        <f t="shared" si="23"/>
        <v/>
      </c>
      <c r="D274" s="18" t="str">
        <f t="shared" si="24"/>
        <v/>
      </c>
      <c r="E274" t="str">
        <f t="shared" si="25"/>
        <v/>
      </c>
      <c r="F274" s="23" t="str">
        <f ca="1">IF(A274="","",IF($B$8="Sí",interpolar_alamb(E274,OFFSET(Curvas_cupon_cero!$A$1,1,0,COUNT(Curvas_cupon_cero!$A:$A)-2,1),OFFSET(Curvas_cupon_cero!$A$1,1,MATCH(Bono_M_Cupon_fijo_curva!$B$7,Curvas_cupon_cero!$1:$1,0)-1,COUNT(Curvas_cupon_cero!$A:$A)-2,1)),interpolar(E274,OFFSET(Curvas_cupon_cero!$A$1,1,0,COUNT(Curvas_cupon_cero!$A:$A)-2,1),OFFSET(Curvas_cupon_cero!$A$1,1,MATCH(Bono_M_Cupon_fijo_curva!$B$7,Curvas_cupon_cero!$1:$1,0)-1,COUNT(Curvas_cupon_cero!$A:$A)-2,1))))</f>
        <v/>
      </c>
      <c r="G274" s="19" t="str">
        <f>IF(A274="","",C274/(1+F274*$B$6/360)^(COUNT(A$16:A274)-($B$6-$D$16)/$B$6))</f>
        <v/>
      </c>
    </row>
    <row r="275" spans="1:7" x14ac:dyDescent="0.2">
      <c r="A275" s="12" t="str">
        <f t="shared" si="21"/>
        <v/>
      </c>
      <c r="B275" t="str">
        <f t="shared" si="22"/>
        <v/>
      </c>
      <c r="C275" s="17" t="str">
        <f t="shared" si="23"/>
        <v/>
      </c>
      <c r="D275" s="18" t="str">
        <f t="shared" si="24"/>
        <v/>
      </c>
      <c r="E275" t="str">
        <f t="shared" si="25"/>
        <v/>
      </c>
      <c r="F275" s="23" t="str">
        <f ca="1">IF(A275="","",IF($B$8="Sí",interpolar_alamb(E275,OFFSET(Curvas_cupon_cero!$A$1,1,0,COUNT(Curvas_cupon_cero!$A:$A)-2,1),OFFSET(Curvas_cupon_cero!$A$1,1,MATCH(Bono_M_Cupon_fijo_curva!$B$7,Curvas_cupon_cero!$1:$1,0)-1,COUNT(Curvas_cupon_cero!$A:$A)-2,1)),interpolar(E275,OFFSET(Curvas_cupon_cero!$A$1,1,0,COUNT(Curvas_cupon_cero!$A:$A)-2,1),OFFSET(Curvas_cupon_cero!$A$1,1,MATCH(Bono_M_Cupon_fijo_curva!$B$7,Curvas_cupon_cero!$1:$1,0)-1,COUNT(Curvas_cupon_cero!$A:$A)-2,1))))</f>
        <v/>
      </c>
      <c r="G275" s="19" t="str">
        <f>IF(A275="","",C275/(1+F275*$B$6/360)^(COUNT(A$16:A275)-($B$6-$D$16)/$B$6))</f>
        <v/>
      </c>
    </row>
    <row r="276" spans="1:7" x14ac:dyDescent="0.2">
      <c r="A276" s="12" t="str">
        <f t="shared" si="21"/>
        <v/>
      </c>
      <c r="B276" t="str">
        <f t="shared" si="22"/>
        <v/>
      </c>
      <c r="C276" s="17" t="str">
        <f t="shared" si="23"/>
        <v/>
      </c>
      <c r="D276" s="18" t="str">
        <f t="shared" si="24"/>
        <v/>
      </c>
      <c r="E276" t="str">
        <f t="shared" si="25"/>
        <v/>
      </c>
      <c r="F276" s="23" t="str">
        <f ca="1">IF(A276="","",IF($B$8="Sí",interpolar_alamb(E276,OFFSET(Curvas_cupon_cero!$A$1,1,0,COUNT(Curvas_cupon_cero!$A:$A)-2,1),OFFSET(Curvas_cupon_cero!$A$1,1,MATCH(Bono_M_Cupon_fijo_curva!$B$7,Curvas_cupon_cero!$1:$1,0)-1,COUNT(Curvas_cupon_cero!$A:$A)-2,1)),interpolar(E276,OFFSET(Curvas_cupon_cero!$A$1,1,0,COUNT(Curvas_cupon_cero!$A:$A)-2,1),OFFSET(Curvas_cupon_cero!$A$1,1,MATCH(Bono_M_Cupon_fijo_curva!$B$7,Curvas_cupon_cero!$1:$1,0)-1,COUNT(Curvas_cupon_cero!$A:$A)-2,1))))</f>
        <v/>
      </c>
      <c r="G276" s="19" t="str">
        <f>IF(A276="","",C276/(1+F276*$B$6/360)^(COUNT(A$16:A276)-($B$6-$D$16)/$B$6))</f>
        <v/>
      </c>
    </row>
    <row r="277" spans="1:7" x14ac:dyDescent="0.2">
      <c r="A277" s="12" t="str">
        <f t="shared" si="21"/>
        <v/>
      </c>
      <c r="B277" t="str">
        <f t="shared" si="22"/>
        <v/>
      </c>
      <c r="C277" s="17" t="str">
        <f t="shared" si="23"/>
        <v/>
      </c>
      <c r="D277" s="18" t="str">
        <f t="shared" si="24"/>
        <v/>
      </c>
      <c r="E277" t="str">
        <f t="shared" si="25"/>
        <v/>
      </c>
      <c r="F277" s="23" t="str">
        <f ca="1">IF(A277="","",IF($B$8="Sí",interpolar_alamb(E277,OFFSET(Curvas_cupon_cero!$A$1,1,0,COUNT(Curvas_cupon_cero!$A:$A)-2,1),OFFSET(Curvas_cupon_cero!$A$1,1,MATCH(Bono_M_Cupon_fijo_curva!$B$7,Curvas_cupon_cero!$1:$1,0)-1,COUNT(Curvas_cupon_cero!$A:$A)-2,1)),interpolar(E277,OFFSET(Curvas_cupon_cero!$A$1,1,0,COUNT(Curvas_cupon_cero!$A:$A)-2,1),OFFSET(Curvas_cupon_cero!$A$1,1,MATCH(Bono_M_Cupon_fijo_curva!$B$7,Curvas_cupon_cero!$1:$1,0)-1,COUNT(Curvas_cupon_cero!$A:$A)-2,1))))</f>
        <v/>
      </c>
      <c r="G277" s="19" t="str">
        <f>IF(A277="","",C277/(1+F277*$B$6/360)^(COUNT(A$16:A277)-($B$6-$D$16)/$B$6))</f>
        <v/>
      </c>
    </row>
    <row r="278" spans="1:7" x14ac:dyDescent="0.2">
      <c r="A278" s="12" t="str">
        <f t="shared" si="21"/>
        <v/>
      </c>
      <c r="B278" t="str">
        <f t="shared" si="22"/>
        <v/>
      </c>
      <c r="C278" s="17" t="str">
        <f t="shared" si="23"/>
        <v/>
      </c>
      <c r="D278" s="18" t="str">
        <f t="shared" si="24"/>
        <v/>
      </c>
      <c r="E278" t="str">
        <f t="shared" si="25"/>
        <v/>
      </c>
      <c r="F278" s="23" t="str">
        <f ca="1">IF(A278="","",IF($B$8="Sí",interpolar_alamb(E278,OFFSET(Curvas_cupon_cero!$A$1,1,0,COUNT(Curvas_cupon_cero!$A:$A)-2,1),OFFSET(Curvas_cupon_cero!$A$1,1,MATCH(Bono_M_Cupon_fijo_curva!$B$7,Curvas_cupon_cero!$1:$1,0)-1,COUNT(Curvas_cupon_cero!$A:$A)-2,1)),interpolar(E278,OFFSET(Curvas_cupon_cero!$A$1,1,0,COUNT(Curvas_cupon_cero!$A:$A)-2,1),OFFSET(Curvas_cupon_cero!$A$1,1,MATCH(Bono_M_Cupon_fijo_curva!$B$7,Curvas_cupon_cero!$1:$1,0)-1,COUNT(Curvas_cupon_cero!$A:$A)-2,1))))</f>
        <v/>
      </c>
      <c r="G278" s="19" t="str">
        <f>IF(A278="","",C278/(1+F278*$B$6/360)^(COUNT(A$16:A278)-($B$6-$D$16)/$B$6))</f>
        <v/>
      </c>
    </row>
    <row r="279" spans="1:7" x14ac:dyDescent="0.2">
      <c r="A279" s="12" t="str">
        <f t="shared" si="21"/>
        <v/>
      </c>
      <c r="B279" t="str">
        <f t="shared" si="22"/>
        <v/>
      </c>
      <c r="C279" s="17" t="str">
        <f t="shared" si="23"/>
        <v/>
      </c>
      <c r="D279" s="18" t="str">
        <f t="shared" si="24"/>
        <v/>
      </c>
      <c r="E279" t="str">
        <f t="shared" si="25"/>
        <v/>
      </c>
      <c r="F279" s="23" t="str">
        <f ca="1">IF(A279="","",IF($B$8="Sí",interpolar_alamb(E279,OFFSET(Curvas_cupon_cero!$A$1,1,0,COUNT(Curvas_cupon_cero!$A:$A)-2,1),OFFSET(Curvas_cupon_cero!$A$1,1,MATCH(Bono_M_Cupon_fijo_curva!$B$7,Curvas_cupon_cero!$1:$1,0)-1,COUNT(Curvas_cupon_cero!$A:$A)-2,1)),interpolar(E279,OFFSET(Curvas_cupon_cero!$A$1,1,0,COUNT(Curvas_cupon_cero!$A:$A)-2,1),OFFSET(Curvas_cupon_cero!$A$1,1,MATCH(Bono_M_Cupon_fijo_curva!$B$7,Curvas_cupon_cero!$1:$1,0)-1,COUNT(Curvas_cupon_cero!$A:$A)-2,1))))</f>
        <v/>
      </c>
      <c r="G279" s="19" t="str">
        <f>IF(A279="","",C279/(1+F279*$B$6/360)^(COUNT(A$16:A279)-($B$6-$D$16)/$B$6))</f>
        <v/>
      </c>
    </row>
    <row r="280" spans="1:7" x14ac:dyDescent="0.2">
      <c r="A280" s="12" t="str">
        <f t="shared" si="21"/>
        <v/>
      </c>
      <c r="B280" t="str">
        <f t="shared" si="22"/>
        <v/>
      </c>
      <c r="C280" s="17" t="str">
        <f t="shared" si="23"/>
        <v/>
      </c>
      <c r="D280" s="18" t="str">
        <f t="shared" si="24"/>
        <v/>
      </c>
      <c r="E280" t="str">
        <f t="shared" si="25"/>
        <v/>
      </c>
      <c r="F280" s="23" t="str">
        <f ca="1">IF(A280="","",IF($B$8="Sí",interpolar_alamb(E280,OFFSET(Curvas_cupon_cero!$A$1,1,0,COUNT(Curvas_cupon_cero!$A:$A)-2,1),OFFSET(Curvas_cupon_cero!$A$1,1,MATCH(Bono_M_Cupon_fijo_curva!$B$7,Curvas_cupon_cero!$1:$1,0)-1,COUNT(Curvas_cupon_cero!$A:$A)-2,1)),interpolar(E280,OFFSET(Curvas_cupon_cero!$A$1,1,0,COUNT(Curvas_cupon_cero!$A:$A)-2,1),OFFSET(Curvas_cupon_cero!$A$1,1,MATCH(Bono_M_Cupon_fijo_curva!$B$7,Curvas_cupon_cero!$1:$1,0)-1,COUNT(Curvas_cupon_cero!$A:$A)-2,1))))</f>
        <v/>
      </c>
      <c r="G280" s="19" t="str">
        <f>IF(A280="","",C280/(1+F280*$B$6/360)^(COUNT(A$16:A280)-($B$6-$D$16)/$B$6))</f>
        <v/>
      </c>
    </row>
    <row r="281" spans="1:7" x14ac:dyDescent="0.2">
      <c r="A281" s="12" t="str">
        <f t="shared" si="21"/>
        <v/>
      </c>
      <c r="B281" t="str">
        <f t="shared" si="22"/>
        <v/>
      </c>
      <c r="C281" s="17" t="str">
        <f t="shared" si="23"/>
        <v/>
      </c>
      <c r="D281" s="18" t="str">
        <f t="shared" si="24"/>
        <v/>
      </c>
      <c r="E281" t="str">
        <f t="shared" si="25"/>
        <v/>
      </c>
      <c r="F281" s="23" t="str">
        <f ca="1">IF(A281="","",IF($B$8="Sí",interpolar_alamb(E281,OFFSET(Curvas_cupon_cero!$A$1,1,0,COUNT(Curvas_cupon_cero!$A:$A)-2,1),OFFSET(Curvas_cupon_cero!$A$1,1,MATCH(Bono_M_Cupon_fijo_curva!$B$7,Curvas_cupon_cero!$1:$1,0)-1,COUNT(Curvas_cupon_cero!$A:$A)-2,1)),interpolar(E281,OFFSET(Curvas_cupon_cero!$A$1,1,0,COUNT(Curvas_cupon_cero!$A:$A)-2,1),OFFSET(Curvas_cupon_cero!$A$1,1,MATCH(Bono_M_Cupon_fijo_curva!$B$7,Curvas_cupon_cero!$1:$1,0)-1,COUNT(Curvas_cupon_cero!$A:$A)-2,1))))</f>
        <v/>
      </c>
      <c r="G281" s="19" t="str">
        <f>IF(A281="","",C281/(1+F281*$B$6/360)^(COUNT(A$16:A281)-($B$6-$D$16)/$B$6))</f>
        <v/>
      </c>
    </row>
    <row r="282" spans="1:7" x14ac:dyDescent="0.2">
      <c r="A282" s="12" t="str">
        <f t="shared" si="21"/>
        <v/>
      </c>
      <c r="B282" t="str">
        <f t="shared" si="22"/>
        <v/>
      </c>
      <c r="C282" s="17" t="str">
        <f t="shared" si="23"/>
        <v/>
      </c>
      <c r="D282" s="18" t="str">
        <f t="shared" si="24"/>
        <v/>
      </c>
      <c r="E282" t="str">
        <f t="shared" si="25"/>
        <v/>
      </c>
      <c r="F282" s="23" t="str">
        <f ca="1">IF(A282="","",IF($B$8="Sí",interpolar_alamb(E282,OFFSET(Curvas_cupon_cero!$A$1,1,0,COUNT(Curvas_cupon_cero!$A:$A)-2,1),OFFSET(Curvas_cupon_cero!$A$1,1,MATCH(Bono_M_Cupon_fijo_curva!$B$7,Curvas_cupon_cero!$1:$1,0)-1,COUNT(Curvas_cupon_cero!$A:$A)-2,1)),interpolar(E282,OFFSET(Curvas_cupon_cero!$A$1,1,0,COUNT(Curvas_cupon_cero!$A:$A)-2,1),OFFSET(Curvas_cupon_cero!$A$1,1,MATCH(Bono_M_Cupon_fijo_curva!$B$7,Curvas_cupon_cero!$1:$1,0)-1,COUNT(Curvas_cupon_cero!$A:$A)-2,1))))</f>
        <v/>
      </c>
      <c r="G282" s="19" t="str">
        <f>IF(A282="","",C282/(1+F282*$B$6/360)^(COUNT(A$16:A282)-($B$6-$D$16)/$B$6))</f>
        <v/>
      </c>
    </row>
    <row r="283" spans="1:7" x14ac:dyDescent="0.2">
      <c r="A283" s="12" t="str">
        <f t="shared" ref="A283:A346" si="26">IF(A282="","",IF((A282+$B$6)&gt;$B$4,"",(A282+$B$6)))</f>
        <v/>
      </c>
      <c r="B283" t="str">
        <f t="shared" si="22"/>
        <v/>
      </c>
      <c r="C283" s="17" t="str">
        <f t="shared" si="23"/>
        <v/>
      </c>
      <c r="D283" s="18" t="str">
        <f t="shared" si="24"/>
        <v/>
      </c>
      <c r="E283" t="str">
        <f t="shared" si="25"/>
        <v/>
      </c>
      <c r="F283" s="23" t="str">
        <f ca="1">IF(A283="","",IF($B$8="Sí",interpolar_alamb(E283,OFFSET(Curvas_cupon_cero!$A$1,1,0,COUNT(Curvas_cupon_cero!$A:$A)-2,1),OFFSET(Curvas_cupon_cero!$A$1,1,MATCH(Bono_M_Cupon_fijo_curva!$B$7,Curvas_cupon_cero!$1:$1,0)-1,COUNT(Curvas_cupon_cero!$A:$A)-2,1)),interpolar(E283,OFFSET(Curvas_cupon_cero!$A$1,1,0,COUNT(Curvas_cupon_cero!$A:$A)-2,1),OFFSET(Curvas_cupon_cero!$A$1,1,MATCH(Bono_M_Cupon_fijo_curva!$B$7,Curvas_cupon_cero!$1:$1,0)-1,COUNT(Curvas_cupon_cero!$A:$A)-2,1))))</f>
        <v/>
      </c>
      <c r="G283" s="19" t="str">
        <f>IF(A283="","",C283/(1+F283*$B$6/360)^(COUNT(A$16:A283)-($B$6-$D$16)/$B$6))</f>
        <v/>
      </c>
    </row>
    <row r="284" spans="1:7" x14ac:dyDescent="0.2">
      <c r="A284" s="12" t="str">
        <f t="shared" si="26"/>
        <v/>
      </c>
      <c r="B284" t="str">
        <f t="shared" si="22"/>
        <v/>
      </c>
      <c r="C284" s="17" t="str">
        <f t="shared" si="23"/>
        <v/>
      </c>
      <c r="D284" s="18" t="str">
        <f t="shared" si="24"/>
        <v/>
      </c>
      <c r="E284" t="str">
        <f t="shared" si="25"/>
        <v/>
      </c>
      <c r="F284" s="23" t="str">
        <f ca="1">IF(A284="","",IF($B$8="Sí",interpolar_alamb(E284,OFFSET(Curvas_cupon_cero!$A$1,1,0,COUNT(Curvas_cupon_cero!$A:$A)-2,1),OFFSET(Curvas_cupon_cero!$A$1,1,MATCH(Bono_M_Cupon_fijo_curva!$B$7,Curvas_cupon_cero!$1:$1,0)-1,COUNT(Curvas_cupon_cero!$A:$A)-2,1)),interpolar(E284,OFFSET(Curvas_cupon_cero!$A$1,1,0,COUNT(Curvas_cupon_cero!$A:$A)-2,1),OFFSET(Curvas_cupon_cero!$A$1,1,MATCH(Bono_M_Cupon_fijo_curva!$B$7,Curvas_cupon_cero!$1:$1,0)-1,COUNT(Curvas_cupon_cero!$A:$A)-2,1))))</f>
        <v/>
      </c>
      <c r="G284" s="19" t="str">
        <f>IF(A284="","",C284/(1+F284*$B$6/360)^(COUNT(A$16:A284)-($B$6-$D$16)/$B$6))</f>
        <v/>
      </c>
    </row>
    <row r="285" spans="1:7" x14ac:dyDescent="0.2">
      <c r="A285" s="12" t="str">
        <f t="shared" si="26"/>
        <v/>
      </c>
      <c r="B285" t="str">
        <f t="shared" si="22"/>
        <v/>
      </c>
      <c r="C285" s="17" t="str">
        <f t="shared" si="23"/>
        <v/>
      </c>
      <c r="D285" s="18" t="str">
        <f t="shared" si="24"/>
        <v/>
      </c>
      <c r="E285" t="str">
        <f t="shared" si="25"/>
        <v/>
      </c>
      <c r="F285" s="23" t="str">
        <f ca="1">IF(A285="","",IF($B$8="Sí",interpolar_alamb(E285,OFFSET(Curvas_cupon_cero!$A$1,1,0,COUNT(Curvas_cupon_cero!$A:$A)-2,1),OFFSET(Curvas_cupon_cero!$A$1,1,MATCH(Bono_M_Cupon_fijo_curva!$B$7,Curvas_cupon_cero!$1:$1,0)-1,COUNT(Curvas_cupon_cero!$A:$A)-2,1)),interpolar(E285,OFFSET(Curvas_cupon_cero!$A$1,1,0,COUNT(Curvas_cupon_cero!$A:$A)-2,1),OFFSET(Curvas_cupon_cero!$A$1,1,MATCH(Bono_M_Cupon_fijo_curva!$B$7,Curvas_cupon_cero!$1:$1,0)-1,COUNT(Curvas_cupon_cero!$A:$A)-2,1))))</f>
        <v/>
      </c>
      <c r="G285" s="19" t="str">
        <f>IF(A285="","",C285/(1+F285*$B$6/360)^(COUNT(A$16:A285)-($B$6-$D$16)/$B$6))</f>
        <v/>
      </c>
    </row>
    <row r="286" spans="1:7" x14ac:dyDescent="0.2">
      <c r="A286" s="12" t="str">
        <f t="shared" si="26"/>
        <v/>
      </c>
      <c r="B286" t="str">
        <f t="shared" si="22"/>
        <v/>
      </c>
      <c r="C286" s="17" t="str">
        <f t="shared" si="23"/>
        <v/>
      </c>
      <c r="D286" s="18" t="str">
        <f t="shared" si="24"/>
        <v/>
      </c>
      <c r="E286" t="str">
        <f t="shared" si="25"/>
        <v/>
      </c>
      <c r="F286" s="23" t="str">
        <f ca="1">IF(A286="","",IF($B$8="Sí",interpolar_alamb(E286,OFFSET(Curvas_cupon_cero!$A$1,1,0,COUNT(Curvas_cupon_cero!$A:$A)-2,1),OFFSET(Curvas_cupon_cero!$A$1,1,MATCH(Bono_M_Cupon_fijo_curva!$B$7,Curvas_cupon_cero!$1:$1,0)-1,COUNT(Curvas_cupon_cero!$A:$A)-2,1)),interpolar(E286,OFFSET(Curvas_cupon_cero!$A$1,1,0,COUNT(Curvas_cupon_cero!$A:$A)-2,1),OFFSET(Curvas_cupon_cero!$A$1,1,MATCH(Bono_M_Cupon_fijo_curva!$B$7,Curvas_cupon_cero!$1:$1,0)-1,COUNT(Curvas_cupon_cero!$A:$A)-2,1))))</f>
        <v/>
      </c>
      <c r="G286" s="19" t="str">
        <f>IF(A286="","",C286/(1+F286*$B$6/360)^(COUNT(A$16:A286)-($B$6-$D$16)/$B$6))</f>
        <v/>
      </c>
    </row>
    <row r="287" spans="1:7" x14ac:dyDescent="0.2">
      <c r="A287" s="12" t="str">
        <f t="shared" si="26"/>
        <v/>
      </c>
      <c r="B287" t="str">
        <f t="shared" si="22"/>
        <v/>
      </c>
      <c r="C287" s="17" t="str">
        <f t="shared" si="23"/>
        <v/>
      </c>
      <c r="D287" s="18" t="str">
        <f t="shared" si="24"/>
        <v/>
      </c>
      <c r="E287" t="str">
        <f t="shared" si="25"/>
        <v/>
      </c>
      <c r="F287" s="23" t="str">
        <f ca="1">IF(A287="","",IF($B$8="Sí",interpolar_alamb(E287,OFFSET(Curvas_cupon_cero!$A$1,1,0,COUNT(Curvas_cupon_cero!$A:$A)-2,1),OFFSET(Curvas_cupon_cero!$A$1,1,MATCH(Bono_M_Cupon_fijo_curva!$B$7,Curvas_cupon_cero!$1:$1,0)-1,COUNT(Curvas_cupon_cero!$A:$A)-2,1)),interpolar(E287,OFFSET(Curvas_cupon_cero!$A$1,1,0,COUNT(Curvas_cupon_cero!$A:$A)-2,1),OFFSET(Curvas_cupon_cero!$A$1,1,MATCH(Bono_M_Cupon_fijo_curva!$B$7,Curvas_cupon_cero!$1:$1,0)-1,COUNT(Curvas_cupon_cero!$A:$A)-2,1))))</f>
        <v/>
      </c>
      <c r="G287" s="19" t="str">
        <f>IF(A287="","",C287/(1+F287*$B$6/360)^(COUNT(A$16:A287)-($B$6-$D$16)/$B$6))</f>
        <v/>
      </c>
    </row>
    <row r="288" spans="1:7" x14ac:dyDescent="0.2">
      <c r="A288" s="12" t="str">
        <f t="shared" si="26"/>
        <v/>
      </c>
      <c r="B288" t="str">
        <f t="shared" si="22"/>
        <v/>
      </c>
      <c r="C288" s="17" t="str">
        <f t="shared" si="23"/>
        <v/>
      </c>
      <c r="D288" s="18" t="str">
        <f t="shared" si="24"/>
        <v/>
      </c>
      <c r="E288" t="str">
        <f t="shared" si="25"/>
        <v/>
      </c>
      <c r="F288" s="23" t="str">
        <f ca="1">IF(A288="","",IF($B$8="Sí",interpolar_alamb(E288,OFFSET(Curvas_cupon_cero!$A$1,1,0,COUNT(Curvas_cupon_cero!$A:$A)-2,1),OFFSET(Curvas_cupon_cero!$A$1,1,MATCH(Bono_M_Cupon_fijo_curva!$B$7,Curvas_cupon_cero!$1:$1,0)-1,COUNT(Curvas_cupon_cero!$A:$A)-2,1)),interpolar(E288,OFFSET(Curvas_cupon_cero!$A$1,1,0,COUNT(Curvas_cupon_cero!$A:$A)-2,1),OFFSET(Curvas_cupon_cero!$A$1,1,MATCH(Bono_M_Cupon_fijo_curva!$B$7,Curvas_cupon_cero!$1:$1,0)-1,COUNT(Curvas_cupon_cero!$A:$A)-2,1))))</f>
        <v/>
      </c>
      <c r="G288" s="19" t="str">
        <f>IF(A288="","",C288/(1+F288*$B$6/360)^(COUNT(A$16:A288)-($B$6-$D$16)/$B$6))</f>
        <v/>
      </c>
    </row>
    <row r="289" spans="1:7" x14ac:dyDescent="0.2">
      <c r="A289" s="12" t="str">
        <f t="shared" si="26"/>
        <v/>
      </c>
      <c r="B289" t="str">
        <f t="shared" si="22"/>
        <v/>
      </c>
      <c r="C289" s="17" t="str">
        <f t="shared" si="23"/>
        <v/>
      </c>
      <c r="D289" s="18" t="str">
        <f t="shared" si="24"/>
        <v/>
      </c>
      <c r="E289" t="str">
        <f t="shared" si="25"/>
        <v/>
      </c>
      <c r="F289" s="23" t="str">
        <f ca="1">IF(A289="","",IF($B$8="Sí",interpolar_alamb(E289,OFFSET(Curvas_cupon_cero!$A$1,1,0,COUNT(Curvas_cupon_cero!$A:$A)-2,1),OFFSET(Curvas_cupon_cero!$A$1,1,MATCH(Bono_M_Cupon_fijo_curva!$B$7,Curvas_cupon_cero!$1:$1,0)-1,COUNT(Curvas_cupon_cero!$A:$A)-2,1)),interpolar(E289,OFFSET(Curvas_cupon_cero!$A$1,1,0,COUNT(Curvas_cupon_cero!$A:$A)-2,1),OFFSET(Curvas_cupon_cero!$A$1,1,MATCH(Bono_M_Cupon_fijo_curva!$B$7,Curvas_cupon_cero!$1:$1,0)-1,COUNT(Curvas_cupon_cero!$A:$A)-2,1))))</f>
        <v/>
      </c>
      <c r="G289" s="19" t="str">
        <f>IF(A289="","",C289/(1+F289*$B$6/360)^(COUNT(A$16:A289)-($B$6-$D$16)/$B$6))</f>
        <v/>
      </c>
    </row>
    <row r="290" spans="1:7" x14ac:dyDescent="0.2">
      <c r="A290" s="12" t="str">
        <f t="shared" si="26"/>
        <v/>
      </c>
      <c r="B290" t="str">
        <f t="shared" si="22"/>
        <v/>
      </c>
      <c r="C290" s="17" t="str">
        <f t="shared" si="23"/>
        <v/>
      </c>
      <c r="D290" s="18" t="str">
        <f t="shared" si="24"/>
        <v/>
      </c>
      <c r="E290" t="str">
        <f t="shared" si="25"/>
        <v/>
      </c>
      <c r="F290" s="23" t="str">
        <f ca="1">IF(A290="","",IF($B$8="Sí",interpolar_alamb(E290,OFFSET(Curvas_cupon_cero!$A$1,1,0,COUNT(Curvas_cupon_cero!$A:$A)-2,1),OFFSET(Curvas_cupon_cero!$A$1,1,MATCH(Bono_M_Cupon_fijo_curva!$B$7,Curvas_cupon_cero!$1:$1,0)-1,COUNT(Curvas_cupon_cero!$A:$A)-2,1)),interpolar(E290,OFFSET(Curvas_cupon_cero!$A$1,1,0,COUNT(Curvas_cupon_cero!$A:$A)-2,1),OFFSET(Curvas_cupon_cero!$A$1,1,MATCH(Bono_M_Cupon_fijo_curva!$B$7,Curvas_cupon_cero!$1:$1,0)-1,COUNT(Curvas_cupon_cero!$A:$A)-2,1))))</f>
        <v/>
      </c>
      <c r="G290" s="19" t="str">
        <f>IF(A290="","",C290/(1+F290*$B$6/360)^(COUNT(A$16:A290)-($B$6-$D$16)/$B$6))</f>
        <v/>
      </c>
    </row>
    <row r="291" spans="1:7" x14ac:dyDescent="0.2">
      <c r="A291" s="12" t="str">
        <f t="shared" si="26"/>
        <v/>
      </c>
      <c r="B291" t="str">
        <f t="shared" si="22"/>
        <v/>
      </c>
      <c r="C291" s="17" t="str">
        <f t="shared" si="23"/>
        <v/>
      </c>
      <c r="D291" s="18" t="str">
        <f t="shared" si="24"/>
        <v/>
      </c>
      <c r="E291" t="str">
        <f t="shared" si="25"/>
        <v/>
      </c>
      <c r="F291" s="23" t="str">
        <f ca="1">IF(A291="","",IF($B$8="Sí",interpolar_alamb(E291,OFFSET(Curvas_cupon_cero!$A$1,1,0,COUNT(Curvas_cupon_cero!$A:$A)-2,1),OFFSET(Curvas_cupon_cero!$A$1,1,MATCH(Bono_M_Cupon_fijo_curva!$B$7,Curvas_cupon_cero!$1:$1,0)-1,COUNT(Curvas_cupon_cero!$A:$A)-2,1)),interpolar(E291,OFFSET(Curvas_cupon_cero!$A$1,1,0,COUNT(Curvas_cupon_cero!$A:$A)-2,1),OFFSET(Curvas_cupon_cero!$A$1,1,MATCH(Bono_M_Cupon_fijo_curva!$B$7,Curvas_cupon_cero!$1:$1,0)-1,COUNT(Curvas_cupon_cero!$A:$A)-2,1))))</f>
        <v/>
      </c>
      <c r="G291" s="19" t="str">
        <f>IF(A291="","",C291/(1+F291*$B$6/360)^(COUNT(A$16:A291)-($B$6-$D$16)/$B$6))</f>
        <v/>
      </c>
    </row>
    <row r="292" spans="1:7" x14ac:dyDescent="0.2">
      <c r="A292" s="12" t="str">
        <f t="shared" si="26"/>
        <v/>
      </c>
      <c r="B292" t="str">
        <f t="shared" si="22"/>
        <v/>
      </c>
      <c r="C292" s="17" t="str">
        <f t="shared" si="23"/>
        <v/>
      </c>
      <c r="D292" s="18" t="str">
        <f t="shared" si="24"/>
        <v/>
      </c>
      <c r="E292" t="str">
        <f t="shared" si="25"/>
        <v/>
      </c>
      <c r="F292" s="23" t="str">
        <f ca="1">IF(A292="","",IF($B$8="Sí",interpolar_alamb(E292,OFFSET(Curvas_cupon_cero!$A$1,1,0,COUNT(Curvas_cupon_cero!$A:$A)-2,1),OFFSET(Curvas_cupon_cero!$A$1,1,MATCH(Bono_M_Cupon_fijo_curva!$B$7,Curvas_cupon_cero!$1:$1,0)-1,COUNT(Curvas_cupon_cero!$A:$A)-2,1)),interpolar(E292,OFFSET(Curvas_cupon_cero!$A$1,1,0,COUNT(Curvas_cupon_cero!$A:$A)-2,1),OFFSET(Curvas_cupon_cero!$A$1,1,MATCH(Bono_M_Cupon_fijo_curva!$B$7,Curvas_cupon_cero!$1:$1,0)-1,COUNT(Curvas_cupon_cero!$A:$A)-2,1))))</f>
        <v/>
      </c>
      <c r="G292" s="19" t="str">
        <f>IF(A292="","",C292/(1+F292*$B$6/360)^(COUNT(A$16:A292)-($B$6-$D$16)/$B$6))</f>
        <v/>
      </c>
    </row>
    <row r="293" spans="1:7" x14ac:dyDescent="0.2">
      <c r="A293" s="12" t="str">
        <f t="shared" si="26"/>
        <v/>
      </c>
      <c r="B293" t="str">
        <f t="shared" si="22"/>
        <v/>
      </c>
      <c r="C293" s="17" t="str">
        <f t="shared" si="23"/>
        <v/>
      </c>
      <c r="D293" s="18" t="str">
        <f t="shared" si="24"/>
        <v/>
      </c>
      <c r="E293" t="str">
        <f t="shared" si="25"/>
        <v/>
      </c>
      <c r="F293" s="23" t="str">
        <f ca="1">IF(A293="","",IF($B$8="Sí",interpolar_alamb(E293,OFFSET(Curvas_cupon_cero!$A$1,1,0,COUNT(Curvas_cupon_cero!$A:$A)-2,1),OFFSET(Curvas_cupon_cero!$A$1,1,MATCH(Bono_M_Cupon_fijo_curva!$B$7,Curvas_cupon_cero!$1:$1,0)-1,COUNT(Curvas_cupon_cero!$A:$A)-2,1)),interpolar(E293,OFFSET(Curvas_cupon_cero!$A$1,1,0,COUNT(Curvas_cupon_cero!$A:$A)-2,1),OFFSET(Curvas_cupon_cero!$A$1,1,MATCH(Bono_M_Cupon_fijo_curva!$B$7,Curvas_cupon_cero!$1:$1,0)-1,COUNT(Curvas_cupon_cero!$A:$A)-2,1))))</f>
        <v/>
      </c>
      <c r="G293" s="19" t="str">
        <f>IF(A293="","",C293/(1+F293*$B$6/360)^(COUNT(A$16:A293)-($B$6-$D$16)/$B$6))</f>
        <v/>
      </c>
    </row>
    <row r="294" spans="1:7" x14ac:dyDescent="0.2">
      <c r="A294" s="12" t="str">
        <f t="shared" si="26"/>
        <v/>
      </c>
      <c r="B294" t="str">
        <f t="shared" si="22"/>
        <v/>
      </c>
      <c r="C294" s="17" t="str">
        <f t="shared" si="23"/>
        <v/>
      </c>
      <c r="D294" s="18" t="str">
        <f t="shared" si="24"/>
        <v/>
      </c>
      <c r="E294" t="str">
        <f t="shared" si="25"/>
        <v/>
      </c>
      <c r="F294" s="23" t="str">
        <f ca="1">IF(A294="","",IF($B$8="Sí",interpolar_alamb(E294,OFFSET(Curvas_cupon_cero!$A$1,1,0,COUNT(Curvas_cupon_cero!$A:$A)-2,1),OFFSET(Curvas_cupon_cero!$A$1,1,MATCH(Bono_M_Cupon_fijo_curva!$B$7,Curvas_cupon_cero!$1:$1,0)-1,COUNT(Curvas_cupon_cero!$A:$A)-2,1)),interpolar(E294,OFFSET(Curvas_cupon_cero!$A$1,1,0,COUNT(Curvas_cupon_cero!$A:$A)-2,1),OFFSET(Curvas_cupon_cero!$A$1,1,MATCH(Bono_M_Cupon_fijo_curva!$B$7,Curvas_cupon_cero!$1:$1,0)-1,COUNT(Curvas_cupon_cero!$A:$A)-2,1))))</f>
        <v/>
      </c>
      <c r="G294" s="19" t="str">
        <f>IF(A294="","",C294/(1+F294*$B$6/360)^(COUNT(A$16:A294)-($B$6-$D$16)/$B$6))</f>
        <v/>
      </c>
    </row>
    <row r="295" spans="1:7" x14ac:dyDescent="0.2">
      <c r="A295" s="12" t="str">
        <f t="shared" si="26"/>
        <v/>
      </c>
      <c r="B295" t="str">
        <f t="shared" si="22"/>
        <v/>
      </c>
      <c r="C295" s="17" t="str">
        <f t="shared" si="23"/>
        <v/>
      </c>
      <c r="D295" s="18" t="str">
        <f t="shared" si="24"/>
        <v/>
      </c>
      <c r="E295" t="str">
        <f t="shared" si="25"/>
        <v/>
      </c>
      <c r="F295" s="23" t="str">
        <f ca="1">IF(A295="","",IF($B$8="Sí",interpolar_alamb(E295,OFFSET(Curvas_cupon_cero!$A$1,1,0,COUNT(Curvas_cupon_cero!$A:$A)-2,1),OFFSET(Curvas_cupon_cero!$A$1,1,MATCH(Bono_M_Cupon_fijo_curva!$B$7,Curvas_cupon_cero!$1:$1,0)-1,COUNT(Curvas_cupon_cero!$A:$A)-2,1)),interpolar(E295,OFFSET(Curvas_cupon_cero!$A$1,1,0,COUNT(Curvas_cupon_cero!$A:$A)-2,1),OFFSET(Curvas_cupon_cero!$A$1,1,MATCH(Bono_M_Cupon_fijo_curva!$B$7,Curvas_cupon_cero!$1:$1,0)-1,COUNT(Curvas_cupon_cero!$A:$A)-2,1))))</f>
        <v/>
      </c>
      <c r="G295" s="19" t="str">
        <f>IF(A295="","",C295/(1+F295*$B$6/360)^(COUNT(A$16:A295)-($B$6-$D$16)/$B$6))</f>
        <v/>
      </c>
    </row>
    <row r="296" spans="1:7" x14ac:dyDescent="0.2">
      <c r="A296" s="12" t="str">
        <f t="shared" si="26"/>
        <v/>
      </c>
      <c r="B296" t="str">
        <f t="shared" si="22"/>
        <v/>
      </c>
      <c r="C296" s="17" t="str">
        <f t="shared" si="23"/>
        <v/>
      </c>
      <c r="D296" s="18" t="str">
        <f t="shared" si="24"/>
        <v/>
      </c>
      <c r="E296" t="str">
        <f t="shared" si="25"/>
        <v/>
      </c>
      <c r="F296" s="23" t="str">
        <f ca="1">IF(A296="","",IF($B$8="Sí",interpolar_alamb(E296,OFFSET(Curvas_cupon_cero!$A$1,1,0,COUNT(Curvas_cupon_cero!$A:$A)-2,1),OFFSET(Curvas_cupon_cero!$A$1,1,MATCH(Bono_M_Cupon_fijo_curva!$B$7,Curvas_cupon_cero!$1:$1,0)-1,COUNT(Curvas_cupon_cero!$A:$A)-2,1)),interpolar(E296,OFFSET(Curvas_cupon_cero!$A$1,1,0,COUNT(Curvas_cupon_cero!$A:$A)-2,1),OFFSET(Curvas_cupon_cero!$A$1,1,MATCH(Bono_M_Cupon_fijo_curva!$B$7,Curvas_cupon_cero!$1:$1,0)-1,COUNT(Curvas_cupon_cero!$A:$A)-2,1))))</f>
        <v/>
      </c>
      <c r="G296" s="19" t="str">
        <f>IF(A296="","",C296/(1+F296*$B$6/360)^(COUNT(A$16:A296)-($B$6-$D$16)/$B$6))</f>
        <v/>
      </c>
    </row>
    <row r="297" spans="1:7" x14ac:dyDescent="0.2">
      <c r="A297" s="12" t="str">
        <f t="shared" si="26"/>
        <v/>
      </c>
      <c r="B297" t="str">
        <f t="shared" si="22"/>
        <v/>
      </c>
      <c r="C297" s="17" t="str">
        <f t="shared" si="23"/>
        <v/>
      </c>
      <c r="D297" s="18" t="str">
        <f t="shared" si="24"/>
        <v/>
      </c>
      <c r="E297" t="str">
        <f t="shared" si="25"/>
        <v/>
      </c>
      <c r="F297" s="23" t="str">
        <f ca="1">IF(A297="","",IF($B$8="Sí",interpolar_alamb(E297,OFFSET(Curvas_cupon_cero!$A$1,1,0,COUNT(Curvas_cupon_cero!$A:$A)-2,1),OFFSET(Curvas_cupon_cero!$A$1,1,MATCH(Bono_M_Cupon_fijo_curva!$B$7,Curvas_cupon_cero!$1:$1,0)-1,COUNT(Curvas_cupon_cero!$A:$A)-2,1)),interpolar(E297,OFFSET(Curvas_cupon_cero!$A$1,1,0,COUNT(Curvas_cupon_cero!$A:$A)-2,1),OFFSET(Curvas_cupon_cero!$A$1,1,MATCH(Bono_M_Cupon_fijo_curva!$B$7,Curvas_cupon_cero!$1:$1,0)-1,COUNT(Curvas_cupon_cero!$A:$A)-2,1))))</f>
        <v/>
      </c>
      <c r="G297" s="19" t="str">
        <f>IF(A297="","",C297/(1+F297*$B$6/360)^(COUNT(A$16:A297)-($B$6-$D$16)/$B$6))</f>
        <v/>
      </c>
    </row>
    <row r="298" spans="1:7" x14ac:dyDescent="0.2">
      <c r="A298" s="12" t="str">
        <f t="shared" si="26"/>
        <v/>
      </c>
      <c r="B298" t="str">
        <f t="shared" si="22"/>
        <v/>
      </c>
      <c r="C298" s="17" t="str">
        <f t="shared" si="23"/>
        <v/>
      </c>
      <c r="D298" s="18" t="str">
        <f t="shared" si="24"/>
        <v/>
      </c>
      <c r="E298" t="str">
        <f t="shared" si="25"/>
        <v/>
      </c>
      <c r="F298" s="23" t="str">
        <f ca="1">IF(A298="","",IF($B$8="Sí",interpolar_alamb(E298,OFFSET(Curvas_cupon_cero!$A$1,1,0,COUNT(Curvas_cupon_cero!$A:$A)-2,1),OFFSET(Curvas_cupon_cero!$A$1,1,MATCH(Bono_M_Cupon_fijo_curva!$B$7,Curvas_cupon_cero!$1:$1,0)-1,COUNT(Curvas_cupon_cero!$A:$A)-2,1)),interpolar(E298,OFFSET(Curvas_cupon_cero!$A$1,1,0,COUNT(Curvas_cupon_cero!$A:$A)-2,1),OFFSET(Curvas_cupon_cero!$A$1,1,MATCH(Bono_M_Cupon_fijo_curva!$B$7,Curvas_cupon_cero!$1:$1,0)-1,COUNT(Curvas_cupon_cero!$A:$A)-2,1))))</f>
        <v/>
      </c>
      <c r="G298" s="19" t="str">
        <f>IF(A298="","",C298/(1+F298*$B$6/360)^(COUNT(A$16:A298)-($B$6-$D$16)/$B$6))</f>
        <v/>
      </c>
    </row>
    <row r="299" spans="1:7" x14ac:dyDescent="0.2">
      <c r="A299" s="12" t="str">
        <f t="shared" si="26"/>
        <v/>
      </c>
      <c r="B299" t="str">
        <f t="shared" si="22"/>
        <v/>
      </c>
      <c r="C299" s="17" t="str">
        <f t="shared" si="23"/>
        <v/>
      </c>
      <c r="D299" s="18" t="str">
        <f t="shared" si="24"/>
        <v/>
      </c>
      <c r="E299" t="str">
        <f t="shared" si="25"/>
        <v/>
      </c>
      <c r="F299" s="23" t="str">
        <f ca="1">IF(A299="","",IF($B$8="Sí",interpolar_alamb(E299,OFFSET(Curvas_cupon_cero!$A$1,1,0,COUNT(Curvas_cupon_cero!$A:$A)-2,1),OFFSET(Curvas_cupon_cero!$A$1,1,MATCH(Bono_M_Cupon_fijo_curva!$B$7,Curvas_cupon_cero!$1:$1,0)-1,COUNT(Curvas_cupon_cero!$A:$A)-2,1)),interpolar(E299,OFFSET(Curvas_cupon_cero!$A$1,1,0,COUNT(Curvas_cupon_cero!$A:$A)-2,1),OFFSET(Curvas_cupon_cero!$A$1,1,MATCH(Bono_M_Cupon_fijo_curva!$B$7,Curvas_cupon_cero!$1:$1,0)-1,COUNT(Curvas_cupon_cero!$A:$A)-2,1))))</f>
        <v/>
      </c>
      <c r="G299" s="19" t="str">
        <f>IF(A299="","",C299/(1+F299*$B$6/360)^(COUNT(A$16:A299)-($B$6-$D$16)/$B$6))</f>
        <v/>
      </c>
    </row>
    <row r="300" spans="1:7" x14ac:dyDescent="0.2">
      <c r="A300" s="12" t="str">
        <f t="shared" si="26"/>
        <v/>
      </c>
      <c r="B300" t="str">
        <f t="shared" si="22"/>
        <v/>
      </c>
      <c r="C300" s="17" t="str">
        <f t="shared" si="23"/>
        <v/>
      </c>
      <c r="D300" s="18" t="str">
        <f t="shared" si="24"/>
        <v/>
      </c>
      <c r="E300" t="str">
        <f t="shared" si="25"/>
        <v/>
      </c>
      <c r="F300" s="23" t="str">
        <f ca="1">IF(A300="","",IF($B$8="Sí",interpolar_alamb(E300,OFFSET(Curvas_cupon_cero!$A$1,1,0,COUNT(Curvas_cupon_cero!$A:$A)-2,1),OFFSET(Curvas_cupon_cero!$A$1,1,MATCH(Bono_M_Cupon_fijo_curva!$B$7,Curvas_cupon_cero!$1:$1,0)-1,COUNT(Curvas_cupon_cero!$A:$A)-2,1)),interpolar(E300,OFFSET(Curvas_cupon_cero!$A$1,1,0,COUNT(Curvas_cupon_cero!$A:$A)-2,1),OFFSET(Curvas_cupon_cero!$A$1,1,MATCH(Bono_M_Cupon_fijo_curva!$B$7,Curvas_cupon_cero!$1:$1,0)-1,COUNT(Curvas_cupon_cero!$A:$A)-2,1))))</f>
        <v/>
      </c>
      <c r="G300" s="19" t="str">
        <f>IF(A300="","",C300/(1+F300*$B$6/360)^(COUNT(A$16:A300)-($B$6-$D$16)/$B$6))</f>
        <v/>
      </c>
    </row>
    <row r="301" spans="1:7" x14ac:dyDescent="0.2">
      <c r="A301" s="12" t="str">
        <f t="shared" si="26"/>
        <v/>
      </c>
      <c r="B301" t="str">
        <f t="shared" si="22"/>
        <v/>
      </c>
      <c r="C301" s="17" t="str">
        <f t="shared" si="23"/>
        <v/>
      </c>
      <c r="D301" s="18" t="str">
        <f t="shared" si="24"/>
        <v/>
      </c>
      <c r="E301" t="str">
        <f t="shared" si="25"/>
        <v/>
      </c>
      <c r="F301" s="23" t="str">
        <f ca="1">IF(A301="","",IF($B$8="Sí",interpolar_alamb(E301,OFFSET(Curvas_cupon_cero!$A$1,1,0,COUNT(Curvas_cupon_cero!$A:$A)-2,1),OFFSET(Curvas_cupon_cero!$A$1,1,MATCH(Bono_M_Cupon_fijo_curva!$B$7,Curvas_cupon_cero!$1:$1,0)-1,COUNT(Curvas_cupon_cero!$A:$A)-2,1)),interpolar(E301,OFFSET(Curvas_cupon_cero!$A$1,1,0,COUNT(Curvas_cupon_cero!$A:$A)-2,1),OFFSET(Curvas_cupon_cero!$A$1,1,MATCH(Bono_M_Cupon_fijo_curva!$B$7,Curvas_cupon_cero!$1:$1,0)-1,COUNT(Curvas_cupon_cero!$A:$A)-2,1))))</f>
        <v/>
      </c>
      <c r="G301" s="19" t="str">
        <f>IF(A301="","",C301/(1+F301*$B$6/360)^(COUNT(A$16:A301)-($B$6-$D$16)/$B$6))</f>
        <v/>
      </c>
    </row>
    <row r="302" spans="1:7" x14ac:dyDescent="0.2">
      <c r="A302" s="12" t="str">
        <f t="shared" si="26"/>
        <v/>
      </c>
      <c r="B302" t="str">
        <f t="shared" si="22"/>
        <v/>
      </c>
      <c r="C302" s="17" t="str">
        <f t="shared" si="23"/>
        <v/>
      </c>
      <c r="D302" s="18" t="str">
        <f t="shared" si="24"/>
        <v/>
      </c>
      <c r="E302" t="str">
        <f t="shared" si="25"/>
        <v/>
      </c>
      <c r="F302" s="23" t="str">
        <f ca="1">IF(A302="","",IF($B$8="Sí",interpolar_alamb(E302,OFFSET(Curvas_cupon_cero!$A$1,1,0,COUNT(Curvas_cupon_cero!$A:$A)-2,1),OFFSET(Curvas_cupon_cero!$A$1,1,MATCH(Bono_M_Cupon_fijo_curva!$B$7,Curvas_cupon_cero!$1:$1,0)-1,COUNT(Curvas_cupon_cero!$A:$A)-2,1)),interpolar(E302,OFFSET(Curvas_cupon_cero!$A$1,1,0,COUNT(Curvas_cupon_cero!$A:$A)-2,1),OFFSET(Curvas_cupon_cero!$A$1,1,MATCH(Bono_M_Cupon_fijo_curva!$B$7,Curvas_cupon_cero!$1:$1,0)-1,COUNT(Curvas_cupon_cero!$A:$A)-2,1))))</f>
        <v/>
      </c>
      <c r="G302" s="19" t="str">
        <f>IF(A302="","",C302/(1+F302*$B$6/360)^(COUNT(A$16:A302)-($B$6-$D$16)/$B$6))</f>
        <v/>
      </c>
    </row>
    <row r="303" spans="1:7" x14ac:dyDescent="0.2">
      <c r="A303" s="12" t="str">
        <f t="shared" si="26"/>
        <v/>
      </c>
      <c r="B303" t="str">
        <f t="shared" si="22"/>
        <v/>
      </c>
      <c r="C303" s="17" t="str">
        <f t="shared" si="23"/>
        <v/>
      </c>
      <c r="D303" s="18" t="str">
        <f t="shared" si="24"/>
        <v/>
      </c>
      <c r="E303" t="str">
        <f t="shared" si="25"/>
        <v/>
      </c>
      <c r="F303" s="23" t="str">
        <f ca="1">IF(A303="","",IF($B$8="Sí",interpolar_alamb(E303,OFFSET(Curvas_cupon_cero!$A$1,1,0,COUNT(Curvas_cupon_cero!$A:$A)-2,1),OFFSET(Curvas_cupon_cero!$A$1,1,MATCH(Bono_M_Cupon_fijo_curva!$B$7,Curvas_cupon_cero!$1:$1,0)-1,COUNT(Curvas_cupon_cero!$A:$A)-2,1)),interpolar(E303,OFFSET(Curvas_cupon_cero!$A$1,1,0,COUNT(Curvas_cupon_cero!$A:$A)-2,1),OFFSET(Curvas_cupon_cero!$A$1,1,MATCH(Bono_M_Cupon_fijo_curva!$B$7,Curvas_cupon_cero!$1:$1,0)-1,COUNT(Curvas_cupon_cero!$A:$A)-2,1))))</f>
        <v/>
      </c>
      <c r="G303" s="19" t="str">
        <f>IF(A303="","",C303/(1+F303*$B$6/360)^(COUNT(A$16:A303)-($B$6-$D$16)/$B$6))</f>
        <v/>
      </c>
    </row>
    <row r="304" spans="1:7" x14ac:dyDescent="0.2">
      <c r="A304" s="12" t="str">
        <f t="shared" si="26"/>
        <v/>
      </c>
      <c r="B304" t="str">
        <f t="shared" si="22"/>
        <v/>
      </c>
      <c r="C304" s="17" t="str">
        <f t="shared" si="23"/>
        <v/>
      </c>
      <c r="D304" s="18" t="str">
        <f t="shared" si="24"/>
        <v/>
      </c>
      <c r="E304" t="str">
        <f t="shared" si="25"/>
        <v/>
      </c>
      <c r="F304" s="23" t="str">
        <f ca="1">IF(A304="","",IF($B$8="Sí",interpolar_alamb(E304,OFFSET(Curvas_cupon_cero!$A$1,1,0,COUNT(Curvas_cupon_cero!$A:$A)-2,1),OFFSET(Curvas_cupon_cero!$A$1,1,MATCH(Bono_M_Cupon_fijo_curva!$B$7,Curvas_cupon_cero!$1:$1,0)-1,COUNT(Curvas_cupon_cero!$A:$A)-2,1)),interpolar(E304,OFFSET(Curvas_cupon_cero!$A$1,1,0,COUNT(Curvas_cupon_cero!$A:$A)-2,1),OFFSET(Curvas_cupon_cero!$A$1,1,MATCH(Bono_M_Cupon_fijo_curva!$B$7,Curvas_cupon_cero!$1:$1,0)-1,COUNT(Curvas_cupon_cero!$A:$A)-2,1))))</f>
        <v/>
      </c>
      <c r="G304" s="19" t="str">
        <f>IF(A304="","",C304/(1+F304*$B$6/360)^(COUNT(A$16:A304)-($B$6-$D$16)/$B$6))</f>
        <v/>
      </c>
    </row>
    <row r="305" spans="1:7" x14ac:dyDescent="0.2">
      <c r="A305" s="12" t="str">
        <f t="shared" si="26"/>
        <v/>
      </c>
      <c r="B305" t="str">
        <f t="shared" si="22"/>
        <v/>
      </c>
      <c r="C305" s="17" t="str">
        <f t="shared" si="23"/>
        <v/>
      </c>
      <c r="D305" s="18" t="str">
        <f t="shared" si="24"/>
        <v/>
      </c>
      <c r="E305" t="str">
        <f t="shared" si="25"/>
        <v/>
      </c>
      <c r="F305" s="23" t="str">
        <f ca="1">IF(A305="","",IF($B$8="Sí",interpolar_alamb(E305,OFFSET(Curvas_cupon_cero!$A$1,1,0,COUNT(Curvas_cupon_cero!$A:$A)-2,1),OFFSET(Curvas_cupon_cero!$A$1,1,MATCH(Bono_M_Cupon_fijo_curva!$B$7,Curvas_cupon_cero!$1:$1,0)-1,COUNT(Curvas_cupon_cero!$A:$A)-2,1)),interpolar(E305,OFFSET(Curvas_cupon_cero!$A$1,1,0,COUNT(Curvas_cupon_cero!$A:$A)-2,1),OFFSET(Curvas_cupon_cero!$A$1,1,MATCH(Bono_M_Cupon_fijo_curva!$B$7,Curvas_cupon_cero!$1:$1,0)-1,COUNT(Curvas_cupon_cero!$A:$A)-2,1))))</f>
        <v/>
      </c>
      <c r="G305" s="19" t="str">
        <f>IF(A305="","",C305/(1+F305*$B$6/360)^(COUNT(A$16:A305)-($B$6-$D$16)/$B$6))</f>
        <v/>
      </c>
    </row>
    <row r="306" spans="1:7" x14ac:dyDescent="0.2">
      <c r="A306" s="12" t="str">
        <f t="shared" si="26"/>
        <v/>
      </c>
      <c r="B306" t="str">
        <f t="shared" si="22"/>
        <v/>
      </c>
      <c r="C306" s="17" t="str">
        <f t="shared" si="23"/>
        <v/>
      </c>
      <c r="D306" s="18" t="str">
        <f t="shared" si="24"/>
        <v/>
      </c>
      <c r="E306" t="str">
        <f t="shared" si="25"/>
        <v/>
      </c>
      <c r="F306" s="23" t="str">
        <f ca="1">IF(A306="","",IF($B$8="Sí",interpolar_alamb(E306,OFFSET(Curvas_cupon_cero!$A$1,1,0,COUNT(Curvas_cupon_cero!$A:$A)-2,1),OFFSET(Curvas_cupon_cero!$A$1,1,MATCH(Bono_M_Cupon_fijo_curva!$B$7,Curvas_cupon_cero!$1:$1,0)-1,COUNT(Curvas_cupon_cero!$A:$A)-2,1)),interpolar(E306,OFFSET(Curvas_cupon_cero!$A$1,1,0,COUNT(Curvas_cupon_cero!$A:$A)-2,1),OFFSET(Curvas_cupon_cero!$A$1,1,MATCH(Bono_M_Cupon_fijo_curva!$B$7,Curvas_cupon_cero!$1:$1,0)-1,COUNT(Curvas_cupon_cero!$A:$A)-2,1))))</f>
        <v/>
      </c>
      <c r="G306" s="19" t="str">
        <f>IF(A306="","",C306/(1+F306*$B$6/360)^(COUNT(A$16:A306)-($B$6-$D$16)/$B$6))</f>
        <v/>
      </c>
    </row>
    <row r="307" spans="1:7" x14ac:dyDescent="0.2">
      <c r="A307" s="12" t="str">
        <f t="shared" si="26"/>
        <v/>
      </c>
      <c r="B307" t="str">
        <f t="shared" si="22"/>
        <v/>
      </c>
      <c r="C307" s="17" t="str">
        <f t="shared" si="23"/>
        <v/>
      </c>
      <c r="D307" s="18" t="str">
        <f t="shared" si="24"/>
        <v/>
      </c>
      <c r="E307" t="str">
        <f t="shared" si="25"/>
        <v/>
      </c>
      <c r="F307" s="23" t="str">
        <f ca="1">IF(A307="","",IF($B$8="Sí",interpolar_alamb(E307,OFFSET(Curvas_cupon_cero!$A$1,1,0,COUNT(Curvas_cupon_cero!$A:$A)-2,1),OFFSET(Curvas_cupon_cero!$A$1,1,MATCH(Bono_M_Cupon_fijo_curva!$B$7,Curvas_cupon_cero!$1:$1,0)-1,COUNT(Curvas_cupon_cero!$A:$A)-2,1)),interpolar(E307,OFFSET(Curvas_cupon_cero!$A$1,1,0,COUNT(Curvas_cupon_cero!$A:$A)-2,1),OFFSET(Curvas_cupon_cero!$A$1,1,MATCH(Bono_M_Cupon_fijo_curva!$B$7,Curvas_cupon_cero!$1:$1,0)-1,COUNT(Curvas_cupon_cero!$A:$A)-2,1))))</f>
        <v/>
      </c>
      <c r="G307" s="19" t="str">
        <f>IF(A307="","",C307/(1+F307*$B$6/360)^(COUNT(A$16:A307)-($B$6-$D$16)/$B$6))</f>
        <v/>
      </c>
    </row>
    <row r="308" spans="1:7" x14ac:dyDescent="0.2">
      <c r="A308" s="12" t="str">
        <f t="shared" si="26"/>
        <v/>
      </c>
      <c r="B308" t="str">
        <f t="shared" si="22"/>
        <v/>
      </c>
      <c r="C308" s="17" t="str">
        <f t="shared" si="23"/>
        <v/>
      </c>
      <c r="D308" s="18" t="str">
        <f t="shared" si="24"/>
        <v/>
      </c>
      <c r="E308" t="str">
        <f t="shared" si="25"/>
        <v/>
      </c>
      <c r="F308" s="23" t="str">
        <f ca="1">IF(A308="","",IF($B$8="Sí",interpolar_alamb(E308,OFFSET(Curvas_cupon_cero!$A$1,1,0,COUNT(Curvas_cupon_cero!$A:$A)-2,1),OFFSET(Curvas_cupon_cero!$A$1,1,MATCH(Bono_M_Cupon_fijo_curva!$B$7,Curvas_cupon_cero!$1:$1,0)-1,COUNT(Curvas_cupon_cero!$A:$A)-2,1)),interpolar(E308,OFFSET(Curvas_cupon_cero!$A$1,1,0,COUNT(Curvas_cupon_cero!$A:$A)-2,1),OFFSET(Curvas_cupon_cero!$A$1,1,MATCH(Bono_M_Cupon_fijo_curva!$B$7,Curvas_cupon_cero!$1:$1,0)-1,COUNT(Curvas_cupon_cero!$A:$A)-2,1))))</f>
        <v/>
      </c>
      <c r="G308" s="19" t="str">
        <f>IF(A308="","",C308/(1+F308*$B$6/360)^(COUNT(A$16:A308)-($B$6-$D$16)/$B$6))</f>
        <v/>
      </c>
    </row>
    <row r="309" spans="1:7" x14ac:dyDescent="0.2">
      <c r="A309" s="12" t="str">
        <f t="shared" si="26"/>
        <v/>
      </c>
      <c r="B309" t="str">
        <f t="shared" si="22"/>
        <v/>
      </c>
      <c r="C309" s="17" t="str">
        <f t="shared" si="23"/>
        <v/>
      </c>
      <c r="D309" s="18" t="str">
        <f t="shared" si="24"/>
        <v/>
      </c>
      <c r="E309" t="str">
        <f t="shared" si="25"/>
        <v/>
      </c>
      <c r="F309" s="23" t="str">
        <f ca="1">IF(A309="","",IF($B$8="Sí",interpolar_alamb(E309,OFFSET(Curvas_cupon_cero!$A$1,1,0,COUNT(Curvas_cupon_cero!$A:$A)-2,1),OFFSET(Curvas_cupon_cero!$A$1,1,MATCH(Bono_M_Cupon_fijo_curva!$B$7,Curvas_cupon_cero!$1:$1,0)-1,COUNT(Curvas_cupon_cero!$A:$A)-2,1)),interpolar(E309,OFFSET(Curvas_cupon_cero!$A$1,1,0,COUNT(Curvas_cupon_cero!$A:$A)-2,1),OFFSET(Curvas_cupon_cero!$A$1,1,MATCH(Bono_M_Cupon_fijo_curva!$B$7,Curvas_cupon_cero!$1:$1,0)-1,COUNT(Curvas_cupon_cero!$A:$A)-2,1))))</f>
        <v/>
      </c>
      <c r="G309" s="19" t="str">
        <f>IF(A309="","",C309/(1+F309*$B$6/360)^(COUNT(A$16:A309)-($B$6-$D$16)/$B$6))</f>
        <v/>
      </c>
    </row>
    <row r="310" spans="1:7" x14ac:dyDescent="0.2">
      <c r="A310" s="12" t="str">
        <f t="shared" si="26"/>
        <v/>
      </c>
      <c r="B310" t="str">
        <f t="shared" si="22"/>
        <v/>
      </c>
      <c r="C310" s="17" t="str">
        <f t="shared" si="23"/>
        <v/>
      </c>
      <c r="D310" s="18" t="str">
        <f t="shared" si="24"/>
        <v/>
      </c>
      <c r="E310" t="str">
        <f t="shared" si="25"/>
        <v/>
      </c>
      <c r="F310" s="23" t="str">
        <f ca="1">IF(A310="","",IF($B$8="Sí",interpolar_alamb(E310,OFFSET(Curvas_cupon_cero!$A$1,1,0,COUNT(Curvas_cupon_cero!$A:$A)-2,1),OFFSET(Curvas_cupon_cero!$A$1,1,MATCH(Bono_M_Cupon_fijo_curva!$B$7,Curvas_cupon_cero!$1:$1,0)-1,COUNT(Curvas_cupon_cero!$A:$A)-2,1)),interpolar(E310,OFFSET(Curvas_cupon_cero!$A$1,1,0,COUNT(Curvas_cupon_cero!$A:$A)-2,1),OFFSET(Curvas_cupon_cero!$A$1,1,MATCH(Bono_M_Cupon_fijo_curva!$B$7,Curvas_cupon_cero!$1:$1,0)-1,COUNT(Curvas_cupon_cero!$A:$A)-2,1))))</f>
        <v/>
      </c>
      <c r="G310" s="19" t="str">
        <f>IF(A310="","",C310/(1+F310*$B$6/360)^(COUNT(A$16:A310)-($B$6-$D$16)/$B$6))</f>
        <v/>
      </c>
    </row>
    <row r="311" spans="1:7" x14ac:dyDescent="0.2">
      <c r="A311" s="12" t="str">
        <f t="shared" si="26"/>
        <v/>
      </c>
      <c r="B311" t="str">
        <f t="shared" si="22"/>
        <v/>
      </c>
      <c r="C311" s="17" t="str">
        <f t="shared" si="23"/>
        <v/>
      </c>
      <c r="D311" s="18" t="str">
        <f t="shared" si="24"/>
        <v/>
      </c>
      <c r="E311" t="str">
        <f t="shared" si="25"/>
        <v/>
      </c>
      <c r="F311" s="23" t="str">
        <f ca="1">IF(A311="","",IF($B$8="Sí",interpolar_alamb(E311,OFFSET(Curvas_cupon_cero!$A$1,1,0,COUNT(Curvas_cupon_cero!$A:$A)-2,1),OFFSET(Curvas_cupon_cero!$A$1,1,MATCH(Bono_M_Cupon_fijo_curva!$B$7,Curvas_cupon_cero!$1:$1,0)-1,COUNT(Curvas_cupon_cero!$A:$A)-2,1)),interpolar(E311,OFFSET(Curvas_cupon_cero!$A$1,1,0,COUNT(Curvas_cupon_cero!$A:$A)-2,1),OFFSET(Curvas_cupon_cero!$A$1,1,MATCH(Bono_M_Cupon_fijo_curva!$B$7,Curvas_cupon_cero!$1:$1,0)-1,COUNT(Curvas_cupon_cero!$A:$A)-2,1))))</f>
        <v/>
      </c>
      <c r="G311" s="19" t="str">
        <f>IF(A311="","",C311/(1+F311*$B$6/360)^(COUNT(A$16:A311)-($B$6-$D$16)/$B$6))</f>
        <v/>
      </c>
    </row>
    <row r="312" spans="1:7" x14ac:dyDescent="0.2">
      <c r="A312" s="12" t="str">
        <f t="shared" si="26"/>
        <v/>
      </c>
      <c r="B312" t="str">
        <f t="shared" si="22"/>
        <v/>
      </c>
      <c r="C312" s="17" t="str">
        <f t="shared" si="23"/>
        <v/>
      </c>
      <c r="D312" s="18" t="str">
        <f t="shared" si="24"/>
        <v/>
      </c>
      <c r="E312" t="str">
        <f t="shared" si="25"/>
        <v/>
      </c>
      <c r="F312" s="23" t="str">
        <f ca="1">IF(A312="","",IF($B$8="Sí",interpolar_alamb(E312,OFFSET(Curvas_cupon_cero!$A$1,1,0,COUNT(Curvas_cupon_cero!$A:$A)-2,1),OFFSET(Curvas_cupon_cero!$A$1,1,MATCH(Bono_M_Cupon_fijo_curva!$B$7,Curvas_cupon_cero!$1:$1,0)-1,COUNT(Curvas_cupon_cero!$A:$A)-2,1)),interpolar(E312,OFFSET(Curvas_cupon_cero!$A$1,1,0,COUNT(Curvas_cupon_cero!$A:$A)-2,1),OFFSET(Curvas_cupon_cero!$A$1,1,MATCH(Bono_M_Cupon_fijo_curva!$B$7,Curvas_cupon_cero!$1:$1,0)-1,COUNT(Curvas_cupon_cero!$A:$A)-2,1))))</f>
        <v/>
      </c>
      <c r="G312" s="19" t="str">
        <f>IF(A312="","",C312/(1+F312*$B$6/360)^(COUNT(A$16:A312)-($B$6-$D$16)/$B$6))</f>
        <v/>
      </c>
    </row>
    <row r="313" spans="1:7" x14ac:dyDescent="0.2">
      <c r="A313" s="12" t="str">
        <f t="shared" si="26"/>
        <v/>
      </c>
      <c r="B313" t="str">
        <f t="shared" si="22"/>
        <v/>
      </c>
      <c r="C313" s="17" t="str">
        <f t="shared" si="23"/>
        <v/>
      </c>
      <c r="D313" s="18" t="str">
        <f t="shared" si="24"/>
        <v/>
      </c>
      <c r="E313" t="str">
        <f t="shared" si="25"/>
        <v/>
      </c>
      <c r="F313" s="23" t="str">
        <f ca="1">IF(A313="","",IF($B$8="Sí",interpolar_alamb(E313,OFFSET(Curvas_cupon_cero!$A$1,1,0,COUNT(Curvas_cupon_cero!$A:$A)-2,1),OFFSET(Curvas_cupon_cero!$A$1,1,MATCH(Bono_M_Cupon_fijo_curva!$B$7,Curvas_cupon_cero!$1:$1,0)-1,COUNT(Curvas_cupon_cero!$A:$A)-2,1)),interpolar(E313,OFFSET(Curvas_cupon_cero!$A$1,1,0,COUNT(Curvas_cupon_cero!$A:$A)-2,1),OFFSET(Curvas_cupon_cero!$A$1,1,MATCH(Bono_M_Cupon_fijo_curva!$B$7,Curvas_cupon_cero!$1:$1,0)-1,COUNT(Curvas_cupon_cero!$A:$A)-2,1))))</f>
        <v/>
      </c>
      <c r="G313" s="19" t="str">
        <f>IF(A313="","",C313/(1+F313*$B$6/360)^(COUNT(A$16:A313)-($B$6-$D$16)/$B$6))</f>
        <v/>
      </c>
    </row>
    <row r="314" spans="1:7" x14ac:dyDescent="0.2">
      <c r="A314" s="12" t="str">
        <f t="shared" si="26"/>
        <v/>
      </c>
      <c r="B314" t="str">
        <f t="shared" si="22"/>
        <v/>
      </c>
      <c r="C314" s="17" t="str">
        <f t="shared" si="23"/>
        <v/>
      </c>
      <c r="D314" s="18" t="str">
        <f t="shared" si="24"/>
        <v/>
      </c>
      <c r="E314" t="str">
        <f t="shared" si="25"/>
        <v/>
      </c>
      <c r="F314" s="23" t="str">
        <f ca="1">IF(A314="","",IF($B$8="Sí",interpolar_alamb(E314,OFFSET(Curvas_cupon_cero!$A$1,1,0,COUNT(Curvas_cupon_cero!$A:$A)-2,1),OFFSET(Curvas_cupon_cero!$A$1,1,MATCH(Bono_M_Cupon_fijo_curva!$B$7,Curvas_cupon_cero!$1:$1,0)-1,COUNT(Curvas_cupon_cero!$A:$A)-2,1)),interpolar(E314,OFFSET(Curvas_cupon_cero!$A$1,1,0,COUNT(Curvas_cupon_cero!$A:$A)-2,1),OFFSET(Curvas_cupon_cero!$A$1,1,MATCH(Bono_M_Cupon_fijo_curva!$B$7,Curvas_cupon_cero!$1:$1,0)-1,COUNT(Curvas_cupon_cero!$A:$A)-2,1))))</f>
        <v/>
      </c>
      <c r="G314" s="19" t="str">
        <f>IF(A314="","",C314/(1+F314*$B$6/360)^(COUNT(A$16:A314)-($B$6-$D$16)/$B$6))</f>
        <v/>
      </c>
    </row>
    <row r="315" spans="1:7" x14ac:dyDescent="0.2">
      <c r="A315" s="12" t="str">
        <f t="shared" si="26"/>
        <v/>
      </c>
      <c r="B315" t="str">
        <f t="shared" si="22"/>
        <v/>
      </c>
      <c r="C315" s="17" t="str">
        <f t="shared" si="23"/>
        <v/>
      </c>
      <c r="D315" s="18" t="str">
        <f t="shared" si="24"/>
        <v/>
      </c>
      <c r="E315" t="str">
        <f t="shared" si="25"/>
        <v/>
      </c>
      <c r="F315" s="23" t="str">
        <f ca="1">IF(A315="","",IF($B$8="Sí",interpolar_alamb(E315,OFFSET(Curvas_cupon_cero!$A$1,1,0,COUNT(Curvas_cupon_cero!$A:$A)-2,1),OFFSET(Curvas_cupon_cero!$A$1,1,MATCH(Bono_M_Cupon_fijo_curva!$B$7,Curvas_cupon_cero!$1:$1,0)-1,COUNT(Curvas_cupon_cero!$A:$A)-2,1)),interpolar(E315,OFFSET(Curvas_cupon_cero!$A$1,1,0,COUNT(Curvas_cupon_cero!$A:$A)-2,1),OFFSET(Curvas_cupon_cero!$A$1,1,MATCH(Bono_M_Cupon_fijo_curva!$B$7,Curvas_cupon_cero!$1:$1,0)-1,COUNT(Curvas_cupon_cero!$A:$A)-2,1))))</f>
        <v/>
      </c>
      <c r="G315" s="19" t="str">
        <f>IF(A315="","",C315/(1+F315*$B$6/360)^(COUNT(A$16:A315)-($B$6-$D$16)/$B$6))</f>
        <v/>
      </c>
    </row>
    <row r="316" spans="1:7" x14ac:dyDescent="0.2">
      <c r="A316" s="12" t="str">
        <f t="shared" si="26"/>
        <v/>
      </c>
      <c r="B316" t="str">
        <f t="shared" si="22"/>
        <v/>
      </c>
      <c r="C316" s="17" t="str">
        <f t="shared" si="23"/>
        <v/>
      </c>
      <c r="D316" s="18" t="str">
        <f t="shared" si="24"/>
        <v/>
      </c>
      <c r="E316" t="str">
        <f t="shared" si="25"/>
        <v/>
      </c>
      <c r="F316" s="23" t="str">
        <f ca="1">IF(A316="","",IF($B$8="Sí",interpolar_alamb(E316,OFFSET(Curvas_cupon_cero!$A$1,1,0,COUNT(Curvas_cupon_cero!$A:$A)-2,1),OFFSET(Curvas_cupon_cero!$A$1,1,MATCH(Bono_M_Cupon_fijo_curva!$B$7,Curvas_cupon_cero!$1:$1,0)-1,COUNT(Curvas_cupon_cero!$A:$A)-2,1)),interpolar(E316,OFFSET(Curvas_cupon_cero!$A$1,1,0,COUNT(Curvas_cupon_cero!$A:$A)-2,1),OFFSET(Curvas_cupon_cero!$A$1,1,MATCH(Bono_M_Cupon_fijo_curva!$B$7,Curvas_cupon_cero!$1:$1,0)-1,COUNT(Curvas_cupon_cero!$A:$A)-2,1))))</f>
        <v/>
      </c>
      <c r="G316" s="19" t="str">
        <f>IF(A316="","",C316/(1+F316*$B$6/360)^(COUNT(A$16:A316)-($B$6-$D$16)/$B$6))</f>
        <v/>
      </c>
    </row>
    <row r="317" spans="1:7" x14ac:dyDescent="0.2">
      <c r="A317" s="12" t="str">
        <f t="shared" si="26"/>
        <v/>
      </c>
      <c r="B317" t="str">
        <f t="shared" si="22"/>
        <v/>
      </c>
      <c r="C317" s="17" t="str">
        <f t="shared" si="23"/>
        <v/>
      </c>
      <c r="D317" s="18" t="str">
        <f t="shared" si="24"/>
        <v/>
      </c>
      <c r="E317" t="str">
        <f t="shared" si="25"/>
        <v/>
      </c>
      <c r="F317" s="23" t="str">
        <f ca="1">IF(A317="","",IF($B$8="Sí",interpolar_alamb(E317,OFFSET(Curvas_cupon_cero!$A$1,1,0,COUNT(Curvas_cupon_cero!$A:$A)-2,1),OFFSET(Curvas_cupon_cero!$A$1,1,MATCH(Bono_M_Cupon_fijo_curva!$B$7,Curvas_cupon_cero!$1:$1,0)-1,COUNT(Curvas_cupon_cero!$A:$A)-2,1)),interpolar(E317,OFFSET(Curvas_cupon_cero!$A$1,1,0,COUNT(Curvas_cupon_cero!$A:$A)-2,1),OFFSET(Curvas_cupon_cero!$A$1,1,MATCH(Bono_M_Cupon_fijo_curva!$B$7,Curvas_cupon_cero!$1:$1,0)-1,COUNT(Curvas_cupon_cero!$A:$A)-2,1))))</f>
        <v/>
      </c>
      <c r="G317" s="19" t="str">
        <f>IF(A317="","",C317/(1+F317*$B$6/360)^(COUNT(A$16:A317)-($B$6-$D$16)/$B$6))</f>
        <v/>
      </c>
    </row>
    <row r="318" spans="1:7" x14ac:dyDescent="0.2">
      <c r="A318" s="12" t="str">
        <f t="shared" si="26"/>
        <v/>
      </c>
      <c r="B318" t="str">
        <f t="shared" si="22"/>
        <v/>
      </c>
      <c r="C318" s="17" t="str">
        <f t="shared" si="23"/>
        <v/>
      </c>
      <c r="D318" s="18" t="str">
        <f t="shared" si="24"/>
        <v/>
      </c>
      <c r="E318" t="str">
        <f t="shared" si="25"/>
        <v/>
      </c>
      <c r="F318" s="23" t="str">
        <f ca="1">IF(A318="","",IF($B$8="Sí",interpolar_alamb(E318,OFFSET(Curvas_cupon_cero!$A$1,1,0,COUNT(Curvas_cupon_cero!$A:$A)-2,1),OFFSET(Curvas_cupon_cero!$A$1,1,MATCH(Bono_M_Cupon_fijo_curva!$B$7,Curvas_cupon_cero!$1:$1,0)-1,COUNT(Curvas_cupon_cero!$A:$A)-2,1)),interpolar(E318,OFFSET(Curvas_cupon_cero!$A$1,1,0,COUNT(Curvas_cupon_cero!$A:$A)-2,1),OFFSET(Curvas_cupon_cero!$A$1,1,MATCH(Bono_M_Cupon_fijo_curva!$B$7,Curvas_cupon_cero!$1:$1,0)-1,COUNT(Curvas_cupon_cero!$A:$A)-2,1))))</f>
        <v/>
      </c>
      <c r="G318" s="19" t="str">
        <f>IF(A318="","",C318/(1+F318*$B$6/360)^(COUNT(A$16:A318)-($B$6-$D$16)/$B$6))</f>
        <v/>
      </c>
    </row>
    <row r="319" spans="1:7" x14ac:dyDescent="0.2">
      <c r="A319" s="12" t="str">
        <f t="shared" si="26"/>
        <v/>
      </c>
      <c r="B319" t="str">
        <f t="shared" si="22"/>
        <v/>
      </c>
      <c r="C319" s="17" t="str">
        <f t="shared" si="23"/>
        <v/>
      </c>
      <c r="D319" s="18" t="str">
        <f t="shared" si="24"/>
        <v/>
      </c>
      <c r="E319" t="str">
        <f t="shared" si="25"/>
        <v/>
      </c>
      <c r="F319" s="23" t="str">
        <f ca="1">IF(A319="","",IF($B$8="Sí",interpolar_alamb(E319,OFFSET(Curvas_cupon_cero!$A$1,1,0,COUNT(Curvas_cupon_cero!$A:$A)-2,1),OFFSET(Curvas_cupon_cero!$A$1,1,MATCH(Bono_M_Cupon_fijo_curva!$B$7,Curvas_cupon_cero!$1:$1,0)-1,COUNT(Curvas_cupon_cero!$A:$A)-2,1)),interpolar(E319,OFFSET(Curvas_cupon_cero!$A$1,1,0,COUNT(Curvas_cupon_cero!$A:$A)-2,1),OFFSET(Curvas_cupon_cero!$A$1,1,MATCH(Bono_M_Cupon_fijo_curva!$B$7,Curvas_cupon_cero!$1:$1,0)-1,COUNT(Curvas_cupon_cero!$A:$A)-2,1))))</f>
        <v/>
      </c>
      <c r="G319" s="19" t="str">
        <f>IF(A319="","",C319/(1+F319*$B$6/360)^(COUNT(A$16:A319)-($B$6-$D$16)/$B$6))</f>
        <v/>
      </c>
    </row>
    <row r="320" spans="1:7" x14ac:dyDescent="0.2">
      <c r="A320" s="12" t="str">
        <f t="shared" si="26"/>
        <v/>
      </c>
      <c r="B320" t="str">
        <f t="shared" si="22"/>
        <v/>
      </c>
      <c r="C320" s="17" t="str">
        <f t="shared" si="23"/>
        <v/>
      </c>
      <c r="D320" s="18" t="str">
        <f t="shared" si="24"/>
        <v/>
      </c>
      <c r="E320" t="str">
        <f t="shared" si="25"/>
        <v/>
      </c>
      <c r="F320" s="23" t="str">
        <f ca="1">IF(A320="","",IF($B$8="Sí",interpolar_alamb(E320,OFFSET(Curvas_cupon_cero!$A$1,1,0,COUNT(Curvas_cupon_cero!$A:$A)-2,1),OFFSET(Curvas_cupon_cero!$A$1,1,MATCH(Bono_M_Cupon_fijo_curva!$B$7,Curvas_cupon_cero!$1:$1,0)-1,COUNT(Curvas_cupon_cero!$A:$A)-2,1)),interpolar(E320,OFFSET(Curvas_cupon_cero!$A$1,1,0,COUNT(Curvas_cupon_cero!$A:$A)-2,1),OFFSET(Curvas_cupon_cero!$A$1,1,MATCH(Bono_M_Cupon_fijo_curva!$B$7,Curvas_cupon_cero!$1:$1,0)-1,COUNT(Curvas_cupon_cero!$A:$A)-2,1))))</f>
        <v/>
      </c>
      <c r="G320" s="19" t="str">
        <f>IF(A320="","",C320/(1+F320*$B$6/360)^(COUNT(A$16:A320)-($B$6-$D$16)/$B$6))</f>
        <v/>
      </c>
    </row>
    <row r="321" spans="1:7" x14ac:dyDescent="0.2">
      <c r="A321" s="12" t="str">
        <f t="shared" si="26"/>
        <v/>
      </c>
      <c r="B321" t="str">
        <f t="shared" si="22"/>
        <v/>
      </c>
      <c r="C321" s="17" t="str">
        <f t="shared" si="23"/>
        <v/>
      </c>
      <c r="D321" s="18" t="str">
        <f t="shared" si="24"/>
        <v/>
      </c>
      <c r="E321" t="str">
        <f t="shared" si="25"/>
        <v/>
      </c>
      <c r="F321" s="23" t="str">
        <f ca="1">IF(A321="","",IF($B$8="Sí",interpolar_alamb(E321,OFFSET(Curvas_cupon_cero!$A$1,1,0,COUNT(Curvas_cupon_cero!$A:$A)-2,1),OFFSET(Curvas_cupon_cero!$A$1,1,MATCH(Bono_M_Cupon_fijo_curva!$B$7,Curvas_cupon_cero!$1:$1,0)-1,COUNT(Curvas_cupon_cero!$A:$A)-2,1)),interpolar(E321,OFFSET(Curvas_cupon_cero!$A$1,1,0,COUNT(Curvas_cupon_cero!$A:$A)-2,1),OFFSET(Curvas_cupon_cero!$A$1,1,MATCH(Bono_M_Cupon_fijo_curva!$B$7,Curvas_cupon_cero!$1:$1,0)-1,COUNT(Curvas_cupon_cero!$A:$A)-2,1))))</f>
        <v/>
      </c>
      <c r="G321" s="19" t="str">
        <f>IF(A321="","",C321/(1+F321*$B$6/360)^(COUNT(A$16:A321)-($B$6-$D$16)/$B$6))</f>
        <v/>
      </c>
    </row>
    <row r="322" spans="1:7" x14ac:dyDescent="0.2">
      <c r="A322" s="12" t="str">
        <f t="shared" si="26"/>
        <v/>
      </c>
      <c r="B322" t="str">
        <f t="shared" si="22"/>
        <v/>
      </c>
      <c r="C322" s="17" t="str">
        <f t="shared" si="23"/>
        <v/>
      </c>
      <c r="D322" s="18" t="str">
        <f t="shared" si="24"/>
        <v/>
      </c>
      <c r="E322" t="str">
        <f t="shared" si="25"/>
        <v/>
      </c>
      <c r="F322" s="23" t="str">
        <f ca="1">IF(A322="","",IF($B$8="Sí",interpolar_alamb(E322,OFFSET(Curvas_cupon_cero!$A$1,1,0,COUNT(Curvas_cupon_cero!$A:$A)-2,1),OFFSET(Curvas_cupon_cero!$A$1,1,MATCH(Bono_M_Cupon_fijo_curva!$B$7,Curvas_cupon_cero!$1:$1,0)-1,COUNT(Curvas_cupon_cero!$A:$A)-2,1)),interpolar(E322,OFFSET(Curvas_cupon_cero!$A$1,1,0,COUNT(Curvas_cupon_cero!$A:$A)-2,1),OFFSET(Curvas_cupon_cero!$A$1,1,MATCH(Bono_M_Cupon_fijo_curva!$B$7,Curvas_cupon_cero!$1:$1,0)-1,COUNT(Curvas_cupon_cero!$A:$A)-2,1))))</f>
        <v/>
      </c>
      <c r="G322" s="19" t="str">
        <f>IF(A322="","",C322/(1+F322*$B$6/360)^(COUNT(A$16:A322)-($B$6-$D$16)/$B$6))</f>
        <v/>
      </c>
    </row>
    <row r="323" spans="1:7" x14ac:dyDescent="0.2">
      <c r="A323" s="12" t="str">
        <f t="shared" si="26"/>
        <v/>
      </c>
      <c r="B323" t="str">
        <f t="shared" si="22"/>
        <v/>
      </c>
      <c r="C323" s="17" t="str">
        <f t="shared" si="23"/>
        <v/>
      </c>
      <c r="D323" s="18" t="str">
        <f t="shared" si="24"/>
        <v/>
      </c>
      <c r="E323" t="str">
        <f t="shared" si="25"/>
        <v/>
      </c>
      <c r="F323" s="23" t="str">
        <f ca="1">IF(A323="","",IF($B$8="Sí",interpolar_alamb(E323,OFFSET(Curvas_cupon_cero!$A$1,1,0,COUNT(Curvas_cupon_cero!$A:$A)-2,1),OFFSET(Curvas_cupon_cero!$A$1,1,MATCH(Bono_M_Cupon_fijo_curva!$B$7,Curvas_cupon_cero!$1:$1,0)-1,COUNT(Curvas_cupon_cero!$A:$A)-2,1)),interpolar(E323,OFFSET(Curvas_cupon_cero!$A$1,1,0,COUNT(Curvas_cupon_cero!$A:$A)-2,1),OFFSET(Curvas_cupon_cero!$A$1,1,MATCH(Bono_M_Cupon_fijo_curva!$B$7,Curvas_cupon_cero!$1:$1,0)-1,COUNT(Curvas_cupon_cero!$A:$A)-2,1))))</f>
        <v/>
      </c>
      <c r="G323" s="19" t="str">
        <f>IF(A323="","",C323/(1+F323*$B$6/360)^(COUNT(A$16:A323)-($B$6-$D$16)/$B$6))</f>
        <v/>
      </c>
    </row>
    <row r="324" spans="1:7" x14ac:dyDescent="0.2">
      <c r="A324" s="12" t="str">
        <f t="shared" si="26"/>
        <v/>
      </c>
      <c r="B324" t="str">
        <f t="shared" si="22"/>
        <v/>
      </c>
      <c r="C324" s="17" t="str">
        <f t="shared" si="23"/>
        <v/>
      </c>
      <c r="D324" s="18" t="str">
        <f t="shared" si="24"/>
        <v/>
      </c>
      <c r="E324" t="str">
        <f t="shared" si="25"/>
        <v/>
      </c>
      <c r="F324" s="23" t="str">
        <f ca="1">IF(A324="","",IF($B$8="Sí",interpolar_alamb(E324,OFFSET(Curvas_cupon_cero!$A$1,1,0,COUNT(Curvas_cupon_cero!$A:$A)-2,1),OFFSET(Curvas_cupon_cero!$A$1,1,MATCH(Bono_M_Cupon_fijo_curva!$B$7,Curvas_cupon_cero!$1:$1,0)-1,COUNT(Curvas_cupon_cero!$A:$A)-2,1)),interpolar(E324,OFFSET(Curvas_cupon_cero!$A$1,1,0,COUNT(Curvas_cupon_cero!$A:$A)-2,1),OFFSET(Curvas_cupon_cero!$A$1,1,MATCH(Bono_M_Cupon_fijo_curva!$B$7,Curvas_cupon_cero!$1:$1,0)-1,COUNT(Curvas_cupon_cero!$A:$A)-2,1))))</f>
        <v/>
      </c>
      <c r="G324" s="19" t="str">
        <f>IF(A324="","",C324/(1+F324*$B$6/360)^(COUNT(A$16:A324)-($B$6-$D$16)/$B$6))</f>
        <v/>
      </c>
    </row>
    <row r="325" spans="1:7" x14ac:dyDescent="0.2">
      <c r="A325" s="12" t="str">
        <f t="shared" si="26"/>
        <v/>
      </c>
      <c r="B325" t="str">
        <f t="shared" si="22"/>
        <v/>
      </c>
      <c r="C325" s="17" t="str">
        <f t="shared" si="23"/>
        <v/>
      </c>
      <c r="D325" s="18" t="str">
        <f t="shared" si="24"/>
        <v/>
      </c>
      <c r="E325" t="str">
        <f t="shared" si="25"/>
        <v/>
      </c>
      <c r="F325" s="23" t="str">
        <f ca="1">IF(A325="","",IF($B$8="Sí",interpolar_alamb(E325,OFFSET(Curvas_cupon_cero!$A$1,1,0,COUNT(Curvas_cupon_cero!$A:$A)-2,1),OFFSET(Curvas_cupon_cero!$A$1,1,MATCH(Bono_M_Cupon_fijo_curva!$B$7,Curvas_cupon_cero!$1:$1,0)-1,COUNT(Curvas_cupon_cero!$A:$A)-2,1)),interpolar(E325,OFFSET(Curvas_cupon_cero!$A$1,1,0,COUNT(Curvas_cupon_cero!$A:$A)-2,1),OFFSET(Curvas_cupon_cero!$A$1,1,MATCH(Bono_M_Cupon_fijo_curva!$B$7,Curvas_cupon_cero!$1:$1,0)-1,COUNT(Curvas_cupon_cero!$A:$A)-2,1))))</f>
        <v/>
      </c>
      <c r="G325" s="19" t="str">
        <f>IF(A325="","",C325/(1+F325*$B$6/360)^(COUNT(A$16:A325)-($B$6-$D$16)/$B$6))</f>
        <v/>
      </c>
    </row>
    <row r="326" spans="1:7" x14ac:dyDescent="0.2">
      <c r="A326" s="12" t="str">
        <f t="shared" si="26"/>
        <v/>
      </c>
      <c r="B326" t="str">
        <f t="shared" si="22"/>
        <v/>
      </c>
      <c r="C326" s="17" t="str">
        <f t="shared" si="23"/>
        <v/>
      </c>
      <c r="D326" s="18" t="str">
        <f t="shared" si="24"/>
        <v/>
      </c>
      <c r="E326" t="str">
        <f t="shared" si="25"/>
        <v/>
      </c>
      <c r="F326" s="23" t="str">
        <f ca="1">IF(A326="","",IF($B$8="Sí",interpolar_alamb(E326,OFFSET(Curvas_cupon_cero!$A$1,1,0,COUNT(Curvas_cupon_cero!$A:$A)-2,1),OFFSET(Curvas_cupon_cero!$A$1,1,MATCH(Bono_M_Cupon_fijo_curva!$B$7,Curvas_cupon_cero!$1:$1,0)-1,COUNT(Curvas_cupon_cero!$A:$A)-2,1)),interpolar(E326,OFFSET(Curvas_cupon_cero!$A$1,1,0,COUNT(Curvas_cupon_cero!$A:$A)-2,1),OFFSET(Curvas_cupon_cero!$A$1,1,MATCH(Bono_M_Cupon_fijo_curva!$B$7,Curvas_cupon_cero!$1:$1,0)-1,COUNT(Curvas_cupon_cero!$A:$A)-2,1))))</f>
        <v/>
      </c>
      <c r="G326" s="19" t="str">
        <f>IF(A326="","",C326/(1+F326*$B$6/360)^(COUNT(A$16:A326)-($B$6-$D$16)/$B$6))</f>
        <v/>
      </c>
    </row>
    <row r="327" spans="1:7" x14ac:dyDescent="0.2">
      <c r="A327" s="12" t="str">
        <f t="shared" si="26"/>
        <v/>
      </c>
      <c r="B327" t="str">
        <f t="shared" si="22"/>
        <v/>
      </c>
      <c r="C327" s="17" t="str">
        <f t="shared" si="23"/>
        <v/>
      </c>
      <c r="D327" s="18" t="str">
        <f t="shared" si="24"/>
        <v/>
      </c>
      <c r="E327" t="str">
        <f t="shared" si="25"/>
        <v/>
      </c>
      <c r="F327" s="23" t="str">
        <f ca="1">IF(A327="","",IF($B$8="Sí",interpolar_alamb(E327,OFFSET(Curvas_cupon_cero!$A$1,1,0,COUNT(Curvas_cupon_cero!$A:$A)-2,1),OFFSET(Curvas_cupon_cero!$A$1,1,MATCH(Bono_M_Cupon_fijo_curva!$B$7,Curvas_cupon_cero!$1:$1,0)-1,COUNT(Curvas_cupon_cero!$A:$A)-2,1)),interpolar(E327,OFFSET(Curvas_cupon_cero!$A$1,1,0,COUNT(Curvas_cupon_cero!$A:$A)-2,1),OFFSET(Curvas_cupon_cero!$A$1,1,MATCH(Bono_M_Cupon_fijo_curva!$B$7,Curvas_cupon_cero!$1:$1,0)-1,COUNT(Curvas_cupon_cero!$A:$A)-2,1))))</f>
        <v/>
      </c>
      <c r="G327" s="19" t="str">
        <f>IF(A327="","",C327/(1+F327*$B$6/360)^(COUNT(A$16:A327)-($B$6-$D$16)/$B$6))</f>
        <v/>
      </c>
    </row>
    <row r="328" spans="1:7" x14ac:dyDescent="0.2">
      <c r="A328" s="12" t="str">
        <f t="shared" si="26"/>
        <v/>
      </c>
      <c r="B328" t="str">
        <f t="shared" si="22"/>
        <v/>
      </c>
      <c r="C328" s="17" t="str">
        <f t="shared" si="23"/>
        <v/>
      </c>
      <c r="D328" s="18" t="str">
        <f t="shared" si="24"/>
        <v/>
      </c>
      <c r="E328" t="str">
        <f t="shared" si="25"/>
        <v/>
      </c>
      <c r="F328" s="23" t="str">
        <f ca="1">IF(A328="","",IF($B$8="Sí",interpolar_alamb(E328,OFFSET(Curvas_cupon_cero!$A$1,1,0,COUNT(Curvas_cupon_cero!$A:$A)-2,1),OFFSET(Curvas_cupon_cero!$A$1,1,MATCH(Bono_M_Cupon_fijo_curva!$B$7,Curvas_cupon_cero!$1:$1,0)-1,COUNT(Curvas_cupon_cero!$A:$A)-2,1)),interpolar(E328,OFFSET(Curvas_cupon_cero!$A$1,1,0,COUNT(Curvas_cupon_cero!$A:$A)-2,1),OFFSET(Curvas_cupon_cero!$A$1,1,MATCH(Bono_M_Cupon_fijo_curva!$B$7,Curvas_cupon_cero!$1:$1,0)-1,COUNT(Curvas_cupon_cero!$A:$A)-2,1))))</f>
        <v/>
      </c>
      <c r="G328" s="19" t="str">
        <f>IF(A328="","",C328/(1+F328*$B$6/360)^(COUNT(A$16:A328)-($B$6-$D$16)/$B$6))</f>
        <v/>
      </c>
    </row>
    <row r="329" spans="1:7" x14ac:dyDescent="0.2">
      <c r="A329" s="12" t="str">
        <f t="shared" si="26"/>
        <v/>
      </c>
      <c r="B329" t="str">
        <f t="shared" si="22"/>
        <v/>
      </c>
      <c r="C329" s="17" t="str">
        <f t="shared" si="23"/>
        <v/>
      </c>
      <c r="D329" s="18" t="str">
        <f t="shared" si="24"/>
        <v/>
      </c>
      <c r="E329" t="str">
        <f t="shared" si="25"/>
        <v/>
      </c>
      <c r="F329" s="23" t="str">
        <f ca="1">IF(A329="","",IF($B$8="Sí",interpolar_alamb(E329,OFFSET(Curvas_cupon_cero!$A$1,1,0,COUNT(Curvas_cupon_cero!$A:$A)-2,1),OFFSET(Curvas_cupon_cero!$A$1,1,MATCH(Bono_M_Cupon_fijo_curva!$B$7,Curvas_cupon_cero!$1:$1,0)-1,COUNT(Curvas_cupon_cero!$A:$A)-2,1)),interpolar(E329,OFFSET(Curvas_cupon_cero!$A$1,1,0,COUNT(Curvas_cupon_cero!$A:$A)-2,1),OFFSET(Curvas_cupon_cero!$A$1,1,MATCH(Bono_M_Cupon_fijo_curva!$B$7,Curvas_cupon_cero!$1:$1,0)-1,COUNT(Curvas_cupon_cero!$A:$A)-2,1))))</f>
        <v/>
      </c>
      <c r="G329" s="19" t="str">
        <f>IF(A329="","",C329/(1+F329*$B$6/360)^(COUNT(A$16:A329)-($B$6-$D$16)/$B$6))</f>
        <v/>
      </c>
    </row>
    <row r="330" spans="1:7" x14ac:dyDescent="0.2">
      <c r="A330" s="12" t="str">
        <f t="shared" si="26"/>
        <v/>
      </c>
      <c r="B330" t="str">
        <f t="shared" si="22"/>
        <v/>
      </c>
      <c r="C330" s="17" t="str">
        <f t="shared" si="23"/>
        <v/>
      </c>
      <c r="D330" s="18" t="str">
        <f t="shared" si="24"/>
        <v/>
      </c>
      <c r="E330" t="str">
        <f t="shared" si="25"/>
        <v/>
      </c>
      <c r="F330" s="23" t="str">
        <f ca="1">IF(A330="","",IF($B$8="Sí",interpolar_alamb(E330,OFFSET(Curvas_cupon_cero!$A$1,1,0,COUNT(Curvas_cupon_cero!$A:$A)-2,1),OFFSET(Curvas_cupon_cero!$A$1,1,MATCH(Bono_M_Cupon_fijo_curva!$B$7,Curvas_cupon_cero!$1:$1,0)-1,COUNT(Curvas_cupon_cero!$A:$A)-2,1)),interpolar(E330,OFFSET(Curvas_cupon_cero!$A$1,1,0,COUNT(Curvas_cupon_cero!$A:$A)-2,1),OFFSET(Curvas_cupon_cero!$A$1,1,MATCH(Bono_M_Cupon_fijo_curva!$B$7,Curvas_cupon_cero!$1:$1,0)-1,COUNT(Curvas_cupon_cero!$A:$A)-2,1))))</f>
        <v/>
      </c>
      <c r="G330" s="19" t="str">
        <f>IF(A330="","",C330/(1+F330*$B$6/360)^(COUNT(A$16:A330)-($B$6-$D$16)/$B$6))</f>
        <v/>
      </c>
    </row>
    <row r="331" spans="1:7" x14ac:dyDescent="0.2">
      <c r="A331" s="12" t="str">
        <f t="shared" si="26"/>
        <v/>
      </c>
      <c r="B331" t="str">
        <f t="shared" si="22"/>
        <v/>
      </c>
      <c r="C331" s="17" t="str">
        <f t="shared" si="23"/>
        <v/>
      </c>
      <c r="D331" s="18" t="str">
        <f t="shared" si="24"/>
        <v/>
      </c>
      <c r="E331" t="str">
        <f t="shared" si="25"/>
        <v/>
      </c>
      <c r="F331" s="23" t="str">
        <f ca="1">IF(A331="","",IF($B$8="Sí",interpolar_alamb(E331,OFFSET(Curvas_cupon_cero!$A$1,1,0,COUNT(Curvas_cupon_cero!$A:$A)-2,1),OFFSET(Curvas_cupon_cero!$A$1,1,MATCH(Bono_M_Cupon_fijo_curva!$B$7,Curvas_cupon_cero!$1:$1,0)-1,COUNT(Curvas_cupon_cero!$A:$A)-2,1)),interpolar(E331,OFFSET(Curvas_cupon_cero!$A$1,1,0,COUNT(Curvas_cupon_cero!$A:$A)-2,1),OFFSET(Curvas_cupon_cero!$A$1,1,MATCH(Bono_M_Cupon_fijo_curva!$B$7,Curvas_cupon_cero!$1:$1,0)-1,COUNT(Curvas_cupon_cero!$A:$A)-2,1))))</f>
        <v/>
      </c>
      <c r="G331" s="19" t="str">
        <f>IF(A331="","",C331/(1+F331*$B$6/360)^(COUNT(A$16:A331)-($B$6-$D$16)/$B$6))</f>
        <v/>
      </c>
    </row>
    <row r="332" spans="1:7" x14ac:dyDescent="0.2">
      <c r="A332" s="12" t="str">
        <f t="shared" si="26"/>
        <v/>
      </c>
      <c r="B332" t="str">
        <f t="shared" si="22"/>
        <v/>
      </c>
      <c r="C332" s="17" t="str">
        <f t="shared" si="23"/>
        <v/>
      </c>
      <c r="D332" s="18" t="str">
        <f t="shared" si="24"/>
        <v/>
      </c>
      <c r="E332" t="str">
        <f t="shared" si="25"/>
        <v/>
      </c>
      <c r="F332" s="23" t="str">
        <f ca="1">IF(A332="","",IF($B$8="Sí",interpolar_alamb(E332,OFFSET(Curvas_cupon_cero!$A$1,1,0,COUNT(Curvas_cupon_cero!$A:$A)-2,1),OFFSET(Curvas_cupon_cero!$A$1,1,MATCH(Bono_M_Cupon_fijo_curva!$B$7,Curvas_cupon_cero!$1:$1,0)-1,COUNT(Curvas_cupon_cero!$A:$A)-2,1)),interpolar(E332,OFFSET(Curvas_cupon_cero!$A$1,1,0,COUNT(Curvas_cupon_cero!$A:$A)-2,1),OFFSET(Curvas_cupon_cero!$A$1,1,MATCH(Bono_M_Cupon_fijo_curva!$B$7,Curvas_cupon_cero!$1:$1,0)-1,COUNT(Curvas_cupon_cero!$A:$A)-2,1))))</f>
        <v/>
      </c>
      <c r="G332" s="19" t="str">
        <f>IF(A332="","",C332/(1+F332*$B$6/360)^(COUNT(A$16:A332)-($B$6-$D$16)/$B$6))</f>
        <v/>
      </c>
    </row>
    <row r="333" spans="1:7" x14ac:dyDescent="0.2">
      <c r="A333" s="12" t="str">
        <f t="shared" si="26"/>
        <v/>
      </c>
      <c r="B333" t="str">
        <f t="shared" si="22"/>
        <v/>
      </c>
      <c r="C333" s="17" t="str">
        <f t="shared" si="23"/>
        <v/>
      </c>
      <c r="D333" s="18" t="str">
        <f t="shared" si="24"/>
        <v/>
      </c>
      <c r="E333" t="str">
        <f t="shared" si="25"/>
        <v/>
      </c>
      <c r="F333" s="23" t="str">
        <f ca="1">IF(A333="","",IF($B$8="Sí",interpolar_alamb(E333,OFFSET(Curvas_cupon_cero!$A$1,1,0,COUNT(Curvas_cupon_cero!$A:$A)-2,1),OFFSET(Curvas_cupon_cero!$A$1,1,MATCH(Bono_M_Cupon_fijo_curva!$B$7,Curvas_cupon_cero!$1:$1,0)-1,COUNT(Curvas_cupon_cero!$A:$A)-2,1)),interpolar(E333,OFFSET(Curvas_cupon_cero!$A$1,1,0,COUNT(Curvas_cupon_cero!$A:$A)-2,1),OFFSET(Curvas_cupon_cero!$A$1,1,MATCH(Bono_M_Cupon_fijo_curva!$B$7,Curvas_cupon_cero!$1:$1,0)-1,COUNT(Curvas_cupon_cero!$A:$A)-2,1))))</f>
        <v/>
      </c>
      <c r="G333" s="19" t="str">
        <f>IF(A333="","",C333/(1+F333*$B$6/360)^(COUNT(A$16:A333)-($B$6-$D$16)/$B$6))</f>
        <v/>
      </c>
    </row>
    <row r="334" spans="1:7" x14ac:dyDescent="0.2">
      <c r="A334" s="12" t="str">
        <f t="shared" si="26"/>
        <v/>
      </c>
      <c r="B334" t="str">
        <f t="shared" si="22"/>
        <v/>
      </c>
      <c r="C334" s="17" t="str">
        <f t="shared" si="23"/>
        <v/>
      </c>
      <c r="D334" s="18" t="str">
        <f t="shared" si="24"/>
        <v/>
      </c>
      <c r="E334" t="str">
        <f t="shared" si="25"/>
        <v/>
      </c>
      <c r="F334" s="23" t="str">
        <f ca="1">IF(A334="","",IF($B$8="Sí",interpolar_alamb(E334,OFFSET(Curvas_cupon_cero!$A$1,1,0,COUNT(Curvas_cupon_cero!$A:$A)-2,1),OFFSET(Curvas_cupon_cero!$A$1,1,MATCH(Bono_M_Cupon_fijo_curva!$B$7,Curvas_cupon_cero!$1:$1,0)-1,COUNT(Curvas_cupon_cero!$A:$A)-2,1)),interpolar(E334,OFFSET(Curvas_cupon_cero!$A$1,1,0,COUNT(Curvas_cupon_cero!$A:$A)-2,1),OFFSET(Curvas_cupon_cero!$A$1,1,MATCH(Bono_M_Cupon_fijo_curva!$B$7,Curvas_cupon_cero!$1:$1,0)-1,COUNT(Curvas_cupon_cero!$A:$A)-2,1))))</f>
        <v/>
      </c>
      <c r="G334" s="19" t="str">
        <f>IF(A334="","",C334/(1+F334*$B$6/360)^(COUNT(A$16:A334)-($B$6-$D$16)/$B$6))</f>
        <v/>
      </c>
    </row>
    <row r="335" spans="1:7" x14ac:dyDescent="0.2">
      <c r="A335" s="12" t="str">
        <f t="shared" si="26"/>
        <v/>
      </c>
      <c r="B335" t="str">
        <f t="shared" si="22"/>
        <v/>
      </c>
      <c r="C335" s="17" t="str">
        <f t="shared" si="23"/>
        <v/>
      </c>
      <c r="D335" s="18" t="str">
        <f t="shared" si="24"/>
        <v/>
      </c>
      <c r="E335" t="str">
        <f t="shared" si="25"/>
        <v/>
      </c>
      <c r="F335" s="23" t="str">
        <f ca="1">IF(A335="","",IF($B$8="Sí",interpolar_alamb(E335,OFFSET(Curvas_cupon_cero!$A$1,1,0,COUNT(Curvas_cupon_cero!$A:$A)-2,1),OFFSET(Curvas_cupon_cero!$A$1,1,MATCH(Bono_M_Cupon_fijo_curva!$B$7,Curvas_cupon_cero!$1:$1,0)-1,COUNT(Curvas_cupon_cero!$A:$A)-2,1)),interpolar(E335,OFFSET(Curvas_cupon_cero!$A$1,1,0,COUNT(Curvas_cupon_cero!$A:$A)-2,1),OFFSET(Curvas_cupon_cero!$A$1,1,MATCH(Bono_M_Cupon_fijo_curva!$B$7,Curvas_cupon_cero!$1:$1,0)-1,COUNT(Curvas_cupon_cero!$A:$A)-2,1))))</f>
        <v/>
      </c>
      <c r="G335" s="19" t="str">
        <f>IF(A335="","",C335/(1+F335*$B$6/360)^(COUNT(A$16:A335)-($B$6-$D$16)/$B$6))</f>
        <v/>
      </c>
    </row>
    <row r="336" spans="1:7" x14ac:dyDescent="0.2">
      <c r="A336" s="12" t="str">
        <f t="shared" si="26"/>
        <v/>
      </c>
      <c r="B336" t="str">
        <f t="shared" si="22"/>
        <v/>
      </c>
      <c r="C336" s="17" t="str">
        <f t="shared" si="23"/>
        <v/>
      </c>
      <c r="D336" s="18" t="str">
        <f t="shared" si="24"/>
        <v/>
      </c>
      <c r="E336" t="str">
        <f t="shared" si="25"/>
        <v/>
      </c>
      <c r="F336" s="23" t="str">
        <f ca="1">IF(A336="","",IF($B$8="Sí",interpolar_alamb(E336,OFFSET(Curvas_cupon_cero!$A$1,1,0,COUNT(Curvas_cupon_cero!$A:$A)-2,1),OFFSET(Curvas_cupon_cero!$A$1,1,MATCH(Bono_M_Cupon_fijo_curva!$B$7,Curvas_cupon_cero!$1:$1,0)-1,COUNT(Curvas_cupon_cero!$A:$A)-2,1)),interpolar(E336,OFFSET(Curvas_cupon_cero!$A$1,1,0,COUNT(Curvas_cupon_cero!$A:$A)-2,1),OFFSET(Curvas_cupon_cero!$A$1,1,MATCH(Bono_M_Cupon_fijo_curva!$B$7,Curvas_cupon_cero!$1:$1,0)-1,COUNT(Curvas_cupon_cero!$A:$A)-2,1))))</f>
        <v/>
      </c>
      <c r="G336" s="19" t="str">
        <f>IF(A336="","",C336/(1+F336*$B$6/360)^(COUNT(A$16:A336)-($B$6-$D$16)/$B$6))</f>
        <v/>
      </c>
    </row>
    <row r="337" spans="1:7" x14ac:dyDescent="0.2">
      <c r="A337" s="12" t="str">
        <f t="shared" si="26"/>
        <v/>
      </c>
      <c r="B337" t="str">
        <f t="shared" ref="B337:B400" si="27">IF(A337="","",$B$5)</f>
        <v/>
      </c>
      <c r="C337" s="17" t="str">
        <f t="shared" ref="C337:C400" si="28">IF(A337="","",IF(A337=$B$4,$B$1*$B$2+ $B$5*$B$6/360*$B$1*$B$2, $B$5*$B$6/360*$B$1*$B$2))</f>
        <v/>
      </c>
      <c r="D337" s="18" t="str">
        <f t="shared" ref="D337:D400" si="29">IF(A337="","",$B$6)</f>
        <v/>
      </c>
      <c r="E337" t="str">
        <f t="shared" ref="E337:E400" si="30">IF(A337="","",E336+D337)</f>
        <v/>
      </c>
      <c r="F337" s="23" t="str">
        <f ca="1">IF(A337="","",IF($B$8="Sí",interpolar_alamb(E337,OFFSET(Curvas_cupon_cero!$A$1,1,0,COUNT(Curvas_cupon_cero!$A:$A)-2,1),OFFSET(Curvas_cupon_cero!$A$1,1,MATCH(Bono_M_Cupon_fijo_curva!$B$7,Curvas_cupon_cero!$1:$1,0)-1,COUNT(Curvas_cupon_cero!$A:$A)-2,1)),interpolar(E337,OFFSET(Curvas_cupon_cero!$A$1,1,0,COUNT(Curvas_cupon_cero!$A:$A)-2,1),OFFSET(Curvas_cupon_cero!$A$1,1,MATCH(Bono_M_Cupon_fijo_curva!$B$7,Curvas_cupon_cero!$1:$1,0)-1,COUNT(Curvas_cupon_cero!$A:$A)-2,1))))</f>
        <v/>
      </c>
      <c r="G337" s="19" t="str">
        <f>IF(A337="","",C337/(1+F337*$B$6/360)^(COUNT(A$16:A337)-($B$6-$D$16)/$B$6))</f>
        <v/>
      </c>
    </row>
    <row r="338" spans="1:7" x14ac:dyDescent="0.2">
      <c r="A338" s="12" t="str">
        <f t="shared" si="26"/>
        <v/>
      </c>
      <c r="B338" t="str">
        <f t="shared" si="27"/>
        <v/>
      </c>
      <c r="C338" s="17" t="str">
        <f t="shared" si="28"/>
        <v/>
      </c>
      <c r="D338" s="18" t="str">
        <f t="shared" si="29"/>
        <v/>
      </c>
      <c r="E338" t="str">
        <f t="shared" si="30"/>
        <v/>
      </c>
      <c r="F338" s="23" t="str">
        <f ca="1">IF(A338="","",IF($B$8="Sí",interpolar_alamb(E338,OFFSET(Curvas_cupon_cero!$A$1,1,0,COUNT(Curvas_cupon_cero!$A:$A)-2,1),OFFSET(Curvas_cupon_cero!$A$1,1,MATCH(Bono_M_Cupon_fijo_curva!$B$7,Curvas_cupon_cero!$1:$1,0)-1,COUNT(Curvas_cupon_cero!$A:$A)-2,1)),interpolar(E338,OFFSET(Curvas_cupon_cero!$A$1,1,0,COUNT(Curvas_cupon_cero!$A:$A)-2,1),OFFSET(Curvas_cupon_cero!$A$1,1,MATCH(Bono_M_Cupon_fijo_curva!$B$7,Curvas_cupon_cero!$1:$1,0)-1,COUNT(Curvas_cupon_cero!$A:$A)-2,1))))</f>
        <v/>
      </c>
      <c r="G338" s="19" t="str">
        <f>IF(A338="","",C338/(1+F338*$B$6/360)^(COUNT(A$16:A338)-($B$6-$D$16)/$B$6))</f>
        <v/>
      </c>
    </row>
    <row r="339" spans="1:7" x14ac:dyDescent="0.2">
      <c r="A339" s="12" t="str">
        <f t="shared" si="26"/>
        <v/>
      </c>
      <c r="B339" t="str">
        <f t="shared" si="27"/>
        <v/>
      </c>
      <c r="C339" s="17" t="str">
        <f t="shared" si="28"/>
        <v/>
      </c>
      <c r="D339" s="18" t="str">
        <f t="shared" si="29"/>
        <v/>
      </c>
      <c r="E339" t="str">
        <f t="shared" si="30"/>
        <v/>
      </c>
      <c r="F339" s="23" t="str">
        <f ca="1">IF(A339="","",IF($B$8="Sí",interpolar_alamb(E339,OFFSET(Curvas_cupon_cero!$A$1,1,0,COUNT(Curvas_cupon_cero!$A:$A)-2,1),OFFSET(Curvas_cupon_cero!$A$1,1,MATCH(Bono_M_Cupon_fijo_curva!$B$7,Curvas_cupon_cero!$1:$1,0)-1,COUNT(Curvas_cupon_cero!$A:$A)-2,1)),interpolar(E339,OFFSET(Curvas_cupon_cero!$A$1,1,0,COUNT(Curvas_cupon_cero!$A:$A)-2,1),OFFSET(Curvas_cupon_cero!$A$1,1,MATCH(Bono_M_Cupon_fijo_curva!$B$7,Curvas_cupon_cero!$1:$1,0)-1,COUNT(Curvas_cupon_cero!$A:$A)-2,1))))</f>
        <v/>
      </c>
      <c r="G339" s="19" t="str">
        <f>IF(A339="","",C339/(1+F339*$B$6/360)^(COUNT(A$16:A339)-($B$6-$D$16)/$B$6))</f>
        <v/>
      </c>
    </row>
    <row r="340" spans="1:7" x14ac:dyDescent="0.2">
      <c r="A340" s="12" t="str">
        <f t="shared" si="26"/>
        <v/>
      </c>
      <c r="B340" t="str">
        <f t="shared" si="27"/>
        <v/>
      </c>
      <c r="C340" s="17" t="str">
        <f t="shared" si="28"/>
        <v/>
      </c>
      <c r="D340" s="18" t="str">
        <f t="shared" si="29"/>
        <v/>
      </c>
      <c r="E340" t="str">
        <f t="shared" si="30"/>
        <v/>
      </c>
      <c r="F340" s="23" t="str">
        <f ca="1">IF(A340="","",IF($B$8="Sí",interpolar_alamb(E340,OFFSET(Curvas_cupon_cero!$A$1,1,0,COUNT(Curvas_cupon_cero!$A:$A)-2,1),OFFSET(Curvas_cupon_cero!$A$1,1,MATCH(Bono_M_Cupon_fijo_curva!$B$7,Curvas_cupon_cero!$1:$1,0)-1,COUNT(Curvas_cupon_cero!$A:$A)-2,1)),interpolar(E340,OFFSET(Curvas_cupon_cero!$A$1,1,0,COUNT(Curvas_cupon_cero!$A:$A)-2,1),OFFSET(Curvas_cupon_cero!$A$1,1,MATCH(Bono_M_Cupon_fijo_curva!$B$7,Curvas_cupon_cero!$1:$1,0)-1,COUNT(Curvas_cupon_cero!$A:$A)-2,1))))</f>
        <v/>
      </c>
      <c r="G340" s="19" t="str">
        <f>IF(A340="","",C340/(1+F340*$B$6/360)^(COUNT(A$16:A340)-($B$6-$D$16)/$B$6))</f>
        <v/>
      </c>
    </row>
    <row r="341" spans="1:7" x14ac:dyDescent="0.2">
      <c r="A341" s="12" t="str">
        <f t="shared" si="26"/>
        <v/>
      </c>
      <c r="B341" t="str">
        <f t="shared" si="27"/>
        <v/>
      </c>
      <c r="C341" s="17" t="str">
        <f t="shared" si="28"/>
        <v/>
      </c>
      <c r="D341" s="18" t="str">
        <f t="shared" si="29"/>
        <v/>
      </c>
      <c r="E341" t="str">
        <f t="shared" si="30"/>
        <v/>
      </c>
      <c r="F341" s="23" t="str">
        <f ca="1">IF(A341="","",IF($B$8="Sí",interpolar_alamb(E341,OFFSET(Curvas_cupon_cero!$A$1,1,0,COUNT(Curvas_cupon_cero!$A:$A)-2,1),OFFSET(Curvas_cupon_cero!$A$1,1,MATCH(Bono_M_Cupon_fijo_curva!$B$7,Curvas_cupon_cero!$1:$1,0)-1,COUNT(Curvas_cupon_cero!$A:$A)-2,1)),interpolar(E341,OFFSET(Curvas_cupon_cero!$A$1,1,0,COUNT(Curvas_cupon_cero!$A:$A)-2,1),OFFSET(Curvas_cupon_cero!$A$1,1,MATCH(Bono_M_Cupon_fijo_curva!$B$7,Curvas_cupon_cero!$1:$1,0)-1,COUNT(Curvas_cupon_cero!$A:$A)-2,1))))</f>
        <v/>
      </c>
      <c r="G341" s="19" t="str">
        <f>IF(A341="","",C341/(1+F341*$B$6/360)^(COUNT(A$16:A341)-($B$6-$D$16)/$B$6))</f>
        <v/>
      </c>
    </row>
    <row r="342" spans="1:7" x14ac:dyDescent="0.2">
      <c r="A342" s="12" t="str">
        <f t="shared" si="26"/>
        <v/>
      </c>
      <c r="B342" t="str">
        <f t="shared" si="27"/>
        <v/>
      </c>
      <c r="C342" s="17" t="str">
        <f t="shared" si="28"/>
        <v/>
      </c>
      <c r="D342" s="18" t="str">
        <f t="shared" si="29"/>
        <v/>
      </c>
      <c r="E342" t="str">
        <f t="shared" si="30"/>
        <v/>
      </c>
      <c r="F342" s="23" t="str">
        <f ca="1">IF(A342="","",IF($B$8="Sí",interpolar_alamb(E342,OFFSET(Curvas_cupon_cero!$A$1,1,0,COUNT(Curvas_cupon_cero!$A:$A)-2,1),OFFSET(Curvas_cupon_cero!$A$1,1,MATCH(Bono_M_Cupon_fijo_curva!$B$7,Curvas_cupon_cero!$1:$1,0)-1,COUNT(Curvas_cupon_cero!$A:$A)-2,1)),interpolar(E342,OFFSET(Curvas_cupon_cero!$A$1,1,0,COUNT(Curvas_cupon_cero!$A:$A)-2,1),OFFSET(Curvas_cupon_cero!$A$1,1,MATCH(Bono_M_Cupon_fijo_curva!$B$7,Curvas_cupon_cero!$1:$1,0)-1,COUNT(Curvas_cupon_cero!$A:$A)-2,1))))</f>
        <v/>
      </c>
      <c r="G342" s="19" t="str">
        <f>IF(A342="","",C342/(1+F342*$B$6/360)^(COUNT(A$16:A342)-($B$6-$D$16)/$B$6))</f>
        <v/>
      </c>
    </row>
    <row r="343" spans="1:7" x14ac:dyDescent="0.2">
      <c r="A343" s="12" t="str">
        <f t="shared" si="26"/>
        <v/>
      </c>
      <c r="B343" t="str">
        <f t="shared" si="27"/>
        <v/>
      </c>
      <c r="C343" s="17" t="str">
        <f t="shared" si="28"/>
        <v/>
      </c>
      <c r="D343" s="18" t="str">
        <f t="shared" si="29"/>
        <v/>
      </c>
      <c r="E343" t="str">
        <f t="shared" si="30"/>
        <v/>
      </c>
      <c r="F343" s="23" t="str">
        <f ca="1">IF(A343="","",IF($B$8="Sí",interpolar_alamb(E343,OFFSET(Curvas_cupon_cero!$A$1,1,0,COUNT(Curvas_cupon_cero!$A:$A)-2,1),OFFSET(Curvas_cupon_cero!$A$1,1,MATCH(Bono_M_Cupon_fijo_curva!$B$7,Curvas_cupon_cero!$1:$1,0)-1,COUNT(Curvas_cupon_cero!$A:$A)-2,1)),interpolar(E343,OFFSET(Curvas_cupon_cero!$A$1,1,0,COUNT(Curvas_cupon_cero!$A:$A)-2,1),OFFSET(Curvas_cupon_cero!$A$1,1,MATCH(Bono_M_Cupon_fijo_curva!$B$7,Curvas_cupon_cero!$1:$1,0)-1,COUNT(Curvas_cupon_cero!$A:$A)-2,1))))</f>
        <v/>
      </c>
      <c r="G343" s="19" t="str">
        <f>IF(A343="","",C343/(1+F343*$B$6/360)^(COUNT(A$16:A343)-($B$6-$D$16)/$B$6))</f>
        <v/>
      </c>
    </row>
    <row r="344" spans="1:7" x14ac:dyDescent="0.2">
      <c r="A344" s="12" t="str">
        <f t="shared" si="26"/>
        <v/>
      </c>
      <c r="B344" t="str">
        <f t="shared" si="27"/>
        <v/>
      </c>
      <c r="C344" s="17" t="str">
        <f t="shared" si="28"/>
        <v/>
      </c>
      <c r="D344" s="18" t="str">
        <f t="shared" si="29"/>
        <v/>
      </c>
      <c r="E344" t="str">
        <f t="shared" si="30"/>
        <v/>
      </c>
      <c r="F344" s="23" t="str">
        <f ca="1">IF(A344="","",IF($B$8="Sí",interpolar_alamb(E344,OFFSET(Curvas_cupon_cero!$A$1,1,0,COUNT(Curvas_cupon_cero!$A:$A)-2,1),OFFSET(Curvas_cupon_cero!$A$1,1,MATCH(Bono_M_Cupon_fijo_curva!$B$7,Curvas_cupon_cero!$1:$1,0)-1,COUNT(Curvas_cupon_cero!$A:$A)-2,1)),interpolar(E344,OFFSET(Curvas_cupon_cero!$A$1,1,0,COUNT(Curvas_cupon_cero!$A:$A)-2,1),OFFSET(Curvas_cupon_cero!$A$1,1,MATCH(Bono_M_Cupon_fijo_curva!$B$7,Curvas_cupon_cero!$1:$1,0)-1,COUNT(Curvas_cupon_cero!$A:$A)-2,1))))</f>
        <v/>
      </c>
      <c r="G344" s="19" t="str">
        <f>IF(A344="","",C344/(1+F344*$B$6/360)^(COUNT(A$16:A344)-($B$6-$D$16)/$B$6))</f>
        <v/>
      </c>
    </row>
    <row r="345" spans="1:7" x14ac:dyDescent="0.2">
      <c r="A345" s="12" t="str">
        <f t="shared" si="26"/>
        <v/>
      </c>
      <c r="B345" t="str">
        <f t="shared" si="27"/>
        <v/>
      </c>
      <c r="C345" s="17" t="str">
        <f t="shared" si="28"/>
        <v/>
      </c>
      <c r="D345" s="18" t="str">
        <f t="shared" si="29"/>
        <v/>
      </c>
      <c r="E345" t="str">
        <f t="shared" si="30"/>
        <v/>
      </c>
      <c r="F345" s="23" t="str">
        <f ca="1">IF(A345="","",IF($B$8="Sí",interpolar_alamb(E345,OFFSET(Curvas_cupon_cero!$A$1,1,0,COUNT(Curvas_cupon_cero!$A:$A)-2,1),OFFSET(Curvas_cupon_cero!$A$1,1,MATCH(Bono_M_Cupon_fijo_curva!$B$7,Curvas_cupon_cero!$1:$1,0)-1,COUNT(Curvas_cupon_cero!$A:$A)-2,1)),interpolar(E345,OFFSET(Curvas_cupon_cero!$A$1,1,0,COUNT(Curvas_cupon_cero!$A:$A)-2,1),OFFSET(Curvas_cupon_cero!$A$1,1,MATCH(Bono_M_Cupon_fijo_curva!$B$7,Curvas_cupon_cero!$1:$1,0)-1,COUNT(Curvas_cupon_cero!$A:$A)-2,1))))</f>
        <v/>
      </c>
      <c r="G345" s="19" t="str">
        <f>IF(A345="","",C345/(1+F345*$B$6/360)^(COUNT(A$16:A345)-($B$6-$D$16)/$B$6))</f>
        <v/>
      </c>
    </row>
    <row r="346" spans="1:7" x14ac:dyDescent="0.2">
      <c r="A346" s="12" t="str">
        <f t="shared" si="26"/>
        <v/>
      </c>
      <c r="B346" t="str">
        <f t="shared" si="27"/>
        <v/>
      </c>
      <c r="C346" s="17" t="str">
        <f t="shared" si="28"/>
        <v/>
      </c>
      <c r="D346" s="18" t="str">
        <f t="shared" si="29"/>
        <v/>
      </c>
      <c r="E346" t="str">
        <f t="shared" si="30"/>
        <v/>
      </c>
      <c r="F346" s="23" t="str">
        <f ca="1">IF(A346="","",IF($B$8="Sí",interpolar_alamb(E346,OFFSET(Curvas_cupon_cero!$A$1,1,0,COUNT(Curvas_cupon_cero!$A:$A)-2,1),OFFSET(Curvas_cupon_cero!$A$1,1,MATCH(Bono_M_Cupon_fijo_curva!$B$7,Curvas_cupon_cero!$1:$1,0)-1,COUNT(Curvas_cupon_cero!$A:$A)-2,1)),interpolar(E346,OFFSET(Curvas_cupon_cero!$A$1,1,0,COUNT(Curvas_cupon_cero!$A:$A)-2,1),OFFSET(Curvas_cupon_cero!$A$1,1,MATCH(Bono_M_Cupon_fijo_curva!$B$7,Curvas_cupon_cero!$1:$1,0)-1,COUNT(Curvas_cupon_cero!$A:$A)-2,1))))</f>
        <v/>
      </c>
      <c r="G346" s="19" t="str">
        <f>IF(A346="","",C346/(1+F346*$B$6/360)^(COUNT(A$16:A346)-($B$6-$D$16)/$B$6))</f>
        <v/>
      </c>
    </row>
    <row r="347" spans="1:7" x14ac:dyDescent="0.2">
      <c r="A347" s="12" t="str">
        <f t="shared" ref="A347:A410" si="31">IF(A346="","",IF((A346+$B$6)&gt;$B$4,"",(A346+$B$6)))</f>
        <v/>
      </c>
      <c r="B347" t="str">
        <f t="shared" si="27"/>
        <v/>
      </c>
      <c r="C347" s="17" t="str">
        <f t="shared" si="28"/>
        <v/>
      </c>
      <c r="D347" s="18" t="str">
        <f t="shared" si="29"/>
        <v/>
      </c>
      <c r="E347" t="str">
        <f t="shared" si="30"/>
        <v/>
      </c>
      <c r="F347" s="23" t="str">
        <f ca="1">IF(A347="","",IF($B$8="Sí",interpolar_alamb(E347,OFFSET(Curvas_cupon_cero!$A$1,1,0,COUNT(Curvas_cupon_cero!$A:$A)-2,1),OFFSET(Curvas_cupon_cero!$A$1,1,MATCH(Bono_M_Cupon_fijo_curva!$B$7,Curvas_cupon_cero!$1:$1,0)-1,COUNT(Curvas_cupon_cero!$A:$A)-2,1)),interpolar(E347,OFFSET(Curvas_cupon_cero!$A$1,1,0,COUNT(Curvas_cupon_cero!$A:$A)-2,1),OFFSET(Curvas_cupon_cero!$A$1,1,MATCH(Bono_M_Cupon_fijo_curva!$B$7,Curvas_cupon_cero!$1:$1,0)-1,COUNT(Curvas_cupon_cero!$A:$A)-2,1))))</f>
        <v/>
      </c>
      <c r="G347" s="19" t="str">
        <f>IF(A347="","",C347/(1+F347*$B$6/360)^(COUNT(A$16:A347)-($B$6-$D$16)/$B$6))</f>
        <v/>
      </c>
    </row>
    <row r="348" spans="1:7" x14ac:dyDescent="0.2">
      <c r="A348" s="12" t="str">
        <f t="shared" si="31"/>
        <v/>
      </c>
      <c r="B348" t="str">
        <f t="shared" si="27"/>
        <v/>
      </c>
      <c r="C348" s="17" t="str">
        <f t="shared" si="28"/>
        <v/>
      </c>
      <c r="D348" s="18" t="str">
        <f t="shared" si="29"/>
        <v/>
      </c>
      <c r="E348" t="str">
        <f t="shared" si="30"/>
        <v/>
      </c>
      <c r="F348" s="23" t="str">
        <f ca="1">IF(A348="","",IF($B$8="Sí",interpolar_alamb(E348,OFFSET(Curvas_cupon_cero!$A$1,1,0,COUNT(Curvas_cupon_cero!$A:$A)-2,1),OFFSET(Curvas_cupon_cero!$A$1,1,MATCH(Bono_M_Cupon_fijo_curva!$B$7,Curvas_cupon_cero!$1:$1,0)-1,COUNT(Curvas_cupon_cero!$A:$A)-2,1)),interpolar(E348,OFFSET(Curvas_cupon_cero!$A$1,1,0,COUNT(Curvas_cupon_cero!$A:$A)-2,1),OFFSET(Curvas_cupon_cero!$A$1,1,MATCH(Bono_M_Cupon_fijo_curva!$B$7,Curvas_cupon_cero!$1:$1,0)-1,COUNT(Curvas_cupon_cero!$A:$A)-2,1))))</f>
        <v/>
      </c>
      <c r="G348" s="19" t="str">
        <f>IF(A348="","",C348/(1+F348*$B$6/360)^(COUNT(A$16:A348)-($B$6-$D$16)/$B$6))</f>
        <v/>
      </c>
    </row>
    <row r="349" spans="1:7" x14ac:dyDescent="0.2">
      <c r="A349" s="12" t="str">
        <f t="shared" si="31"/>
        <v/>
      </c>
      <c r="B349" t="str">
        <f t="shared" si="27"/>
        <v/>
      </c>
      <c r="C349" s="17" t="str">
        <f t="shared" si="28"/>
        <v/>
      </c>
      <c r="D349" s="18" t="str">
        <f t="shared" si="29"/>
        <v/>
      </c>
      <c r="E349" t="str">
        <f t="shared" si="30"/>
        <v/>
      </c>
      <c r="F349" s="23" t="str">
        <f ca="1">IF(A349="","",IF($B$8="Sí",interpolar_alamb(E349,OFFSET(Curvas_cupon_cero!$A$1,1,0,COUNT(Curvas_cupon_cero!$A:$A)-2,1),OFFSET(Curvas_cupon_cero!$A$1,1,MATCH(Bono_M_Cupon_fijo_curva!$B$7,Curvas_cupon_cero!$1:$1,0)-1,COUNT(Curvas_cupon_cero!$A:$A)-2,1)),interpolar(E349,OFFSET(Curvas_cupon_cero!$A$1,1,0,COUNT(Curvas_cupon_cero!$A:$A)-2,1),OFFSET(Curvas_cupon_cero!$A$1,1,MATCH(Bono_M_Cupon_fijo_curva!$B$7,Curvas_cupon_cero!$1:$1,0)-1,COUNT(Curvas_cupon_cero!$A:$A)-2,1))))</f>
        <v/>
      </c>
      <c r="G349" s="19" t="str">
        <f>IF(A349="","",C349/(1+F349*$B$6/360)^(COUNT(A$16:A349)-($B$6-$D$16)/$B$6))</f>
        <v/>
      </c>
    </row>
    <row r="350" spans="1:7" x14ac:dyDescent="0.2">
      <c r="A350" s="12" t="str">
        <f t="shared" si="31"/>
        <v/>
      </c>
      <c r="B350" t="str">
        <f t="shared" si="27"/>
        <v/>
      </c>
      <c r="C350" s="17" t="str">
        <f t="shared" si="28"/>
        <v/>
      </c>
      <c r="D350" s="18" t="str">
        <f t="shared" si="29"/>
        <v/>
      </c>
      <c r="E350" t="str">
        <f t="shared" si="30"/>
        <v/>
      </c>
      <c r="F350" s="23" t="str">
        <f ca="1">IF(A350="","",IF($B$8="Sí",interpolar_alamb(E350,OFFSET(Curvas_cupon_cero!$A$1,1,0,COUNT(Curvas_cupon_cero!$A:$A)-2,1),OFFSET(Curvas_cupon_cero!$A$1,1,MATCH(Bono_M_Cupon_fijo_curva!$B$7,Curvas_cupon_cero!$1:$1,0)-1,COUNT(Curvas_cupon_cero!$A:$A)-2,1)),interpolar(E350,OFFSET(Curvas_cupon_cero!$A$1,1,0,COUNT(Curvas_cupon_cero!$A:$A)-2,1),OFFSET(Curvas_cupon_cero!$A$1,1,MATCH(Bono_M_Cupon_fijo_curva!$B$7,Curvas_cupon_cero!$1:$1,0)-1,COUNT(Curvas_cupon_cero!$A:$A)-2,1))))</f>
        <v/>
      </c>
      <c r="G350" s="19" t="str">
        <f>IF(A350="","",C350/(1+F350*$B$6/360)^(COUNT(A$16:A350)-($B$6-$D$16)/$B$6))</f>
        <v/>
      </c>
    </row>
    <row r="351" spans="1:7" x14ac:dyDescent="0.2">
      <c r="A351" s="12" t="str">
        <f t="shared" si="31"/>
        <v/>
      </c>
      <c r="B351" t="str">
        <f t="shared" si="27"/>
        <v/>
      </c>
      <c r="C351" s="17" t="str">
        <f t="shared" si="28"/>
        <v/>
      </c>
      <c r="D351" s="18" t="str">
        <f t="shared" si="29"/>
        <v/>
      </c>
      <c r="E351" t="str">
        <f t="shared" si="30"/>
        <v/>
      </c>
      <c r="F351" s="23" t="str">
        <f ca="1">IF(A351="","",IF($B$8="Sí",interpolar_alamb(E351,OFFSET(Curvas_cupon_cero!$A$1,1,0,COUNT(Curvas_cupon_cero!$A:$A)-2,1),OFFSET(Curvas_cupon_cero!$A$1,1,MATCH(Bono_M_Cupon_fijo_curva!$B$7,Curvas_cupon_cero!$1:$1,0)-1,COUNT(Curvas_cupon_cero!$A:$A)-2,1)),interpolar(E351,OFFSET(Curvas_cupon_cero!$A$1,1,0,COUNT(Curvas_cupon_cero!$A:$A)-2,1),OFFSET(Curvas_cupon_cero!$A$1,1,MATCH(Bono_M_Cupon_fijo_curva!$B$7,Curvas_cupon_cero!$1:$1,0)-1,COUNT(Curvas_cupon_cero!$A:$A)-2,1))))</f>
        <v/>
      </c>
      <c r="G351" s="19" t="str">
        <f>IF(A351="","",C351/(1+F351*$B$6/360)^(COUNT(A$16:A351)-($B$6-$D$16)/$B$6))</f>
        <v/>
      </c>
    </row>
    <row r="352" spans="1:7" x14ac:dyDescent="0.2">
      <c r="A352" s="12" t="str">
        <f t="shared" si="31"/>
        <v/>
      </c>
      <c r="B352" t="str">
        <f t="shared" si="27"/>
        <v/>
      </c>
      <c r="C352" s="17" t="str">
        <f t="shared" si="28"/>
        <v/>
      </c>
      <c r="D352" s="18" t="str">
        <f t="shared" si="29"/>
        <v/>
      </c>
      <c r="E352" t="str">
        <f t="shared" si="30"/>
        <v/>
      </c>
      <c r="F352" s="23" t="str">
        <f ca="1">IF(A352="","",IF($B$8="Sí",interpolar_alamb(E352,OFFSET(Curvas_cupon_cero!$A$1,1,0,COUNT(Curvas_cupon_cero!$A:$A)-2,1),OFFSET(Curvas_cupon_cero!$A$1,1,MATCH(Bono_M_Cupon_fijo_curva!$B$7,Curvas_cupon_cero!$1:$1,0)-1,COUNT(Curvas_cupon_cero!$A:$A)-2,1)),interpolar(E352,OFFSET(Curvas_cupon_cero!$A$1,1,0,COUNT(Curvas_cupon_cero!$A:$A)-2,1),OFFSET(Curvas_cupon_cero!$A$1,1,MATCH(Bono_M_Cupon_fijo_curva!$B$7,Curvas_cupon_cero!$1:$1,0)-1,COUNT(Curvas_cupon_cero!$A:$A)-2,1))))</f>
        <v/>
      </c>
      <c r="G352" s="19" t="str">
        <f>IF(A352="","",C352/(1+F352*$B$6/360)^(COUNT(A$16:A352)-($B$6-$D$16)/$B$6))</f>
        <v/>
      </c>
    </row>
    <row r="353" spans="1:7" x14ac:dyDescent="0.2">
      <c r="A353" s="12" t="str">
        <f t="shared" si="31"/>
        <v/>
      </c>
      <c r="B353" t="str">
        <f t="shared" si="27"/>
        <v/>
      </c>
      <c r="C353" s="17" t="str">
        <f t="shared" si="28"/>
        <v/>
      </c>
      <c r="D353" s="18" t="str">
        <f t="shared" si="29"/>
        <v/>
      </c>
      <c r="E353" t="str">
        <f t="shared" si="30"/>
        <v/>
      </c>
      <c r="F353" s="23" t="str">
        <f ca="1">IF(A353="","",IF($B$8="Sí",interpolar_alamb(E353,OFFSET(Curvas_cupon_cero!$A$1,1,0,COUNT(Curvas_cupon_cero!$A:$A)-2,1),OFFSET(Curvas_cupon_cero!$A$1,1,MATCH(Bono_M_Cupon_fijo_curva!$B$7,Curvas_cupon_cero!$1:$1,0)-1,COUNT(Curvas_cupon_cero!$A:$A)-2,1)),interpolar(E353,OFFSET(Curvas_cupon_cero!$A$1,1,0,COUNT(Curvas_cupon_cero!$A:$A)-2,1),OFFSET(Curvas_cupon_cero!$A$1,1,MATCH(Bono_M_Cupon_fijo_curva!$B$7,Curvas_cupon_cero!$1:$1,0)-1,COUNT(Curvas_cupon_cero!$A:$A)-2,1))))</f>
        <v/>
      </c>
      <c r="G353" s="19" t="str">
        <f>IF(A353="","",C353/(1+F353*$B$6/360)^(COUNT(A$16:A353)-($B$6-$D$16)/$B$6))</f>
        <v/>
      </c>
    </row>
    <row r="354" spans="1:7" x14ac:dyDescent="0.2">
      <c r="A354" s="12" t="str">
        <f t="shared" si="31"/>
        <v/>
      </c>
      <c r="B354" t="str">
        <f t="shared" si="27"/>
        <v/>
      </c>
      <c r="C354" s="17" t="str">
        <f t="shared" si="28"/>
        <v/>
      </c>
      <c r="D354" s="18" t="str">
        <f t="shared" si="29"/>
        <v/>
      </c>
      <c r="E354" t="str">
        <f t="shared" si="30"/>
        <v/>
      </c>
      <c r="F354" s="23" t="str">
        <f ca="1">IF(A354="","",IF($B$8="Sí",interpolar_alamb(E354,OFFSET(Curvas_cupon_cero!$A$1,1,0,COUNT(Curvas_cupon_cero!$A:$A)-2,1),OFFSET(Curvas_cupon_cero!$A$1,1,MATCH(Bono_M_Cupon_fijo_curva!$B$7,Curvas_cupon_cero!$1:$1,0)-1,COUNT(Curvas_cupon_cero!$A:$A)-2,1)),interpolar(E354,OFFSET(Curvas_cupon_cero!$A$1,1,0,COUNT(Curvas_cupon_cero!$A:$A)-2,1),OFFSET(Curvas_cupon_cero!$A$1,1,MATCH(Bono_M_Cupon_fijo_curva!$B$7,Curvas_cupon_cero!$1:$1,0)-1,COUNT(Curvas_cupon_cero!$A:$A)-2,1))))</f>
        <v/>
      </c>
      <c r="G354" s="19" t="str">
        <f>IF(A354="","",C354/(1+F354*$B$6/360)^(COUNT(A$16:A354)-($B$6-$D$16)/$B$6))</f>
        <v/>
      </c>
    </row>
    <row r="355" spans="1:7" x14ac:dyDescent="0.2">
      <c r="A355" s="12" t="str">
        <f t="shared" si="31"/>
        <v/>
      </c>
      <c r="B355" t="str">
        <f t="shared" si="27"/>
        <v/>
      </c>
      <c r="C355" s="17" t="str">
        <f t="shared" si="28"/>
        <v/>
      </c>
      <c r="D355" s="18" t="str">
        <f t="shared" si="29"/>
        <v/>
      </c>
      <c r="E355" t="str">
        <f t="shared" si="30"/>
        <v/>
      </c>
      <c r="F355" s="23" t="str">
        <f ca="1">IF(A355="","",IF($B$8="Sí",interpolar_alamb(E355,OFFSET(Curvas_cupon_cero!$A$1,1,0,COUNT(Curvas_cupon_cero!$A:$A)-2,1),OFFSET(Curvas_cupon_cero!$A$1,1,MATCH(Bono_M_Cupon_fijo_curva!$B$7,Curvas_cupon_cero!$1:$1,0)-1,COUNT(Curvas_cupon_cero!$A:$A)-2,1)),interpolar(E355,OFFSET(Curvas_cupon_cero!$A$1,1,0,COUNT(Curvas_cupon_cero!$A:$A)-2,1),OFFSET(Curvas_cupon_cero!$A$1,1,MATCH(Bono_M_Cupon_fijo_curva!$B$7,Curvas_cupon_cero!$1:$1,0)-1,COUNT(Curvas_cupon_cero!$A:$A)-2,1))))</f>
        <v/>
      </c>
      <c r="G355" s="19" t="str">
        <f>IF(A355="","",C355/(1+F355*$B$6/360)^(COUNT(A$16:A355)-($B$6-$D$16)/$B$6))</f>
        <v/>
      </c>
    </row>
    <row r="356" spans="1:7" x14ac:dyDescent="0.2">
      <c r="A356" s="12" t="str">
        <f t="shared" si="31"/>
        <v/>
      </c>
      <c r="B356" t="str">
        <f t="shared" si="27"/>
        <v/>
      </c>
      <c r="C356" s="17" t="str">
        <f t="shared" si="28"/>
        <v/>
      </c>
      <c r="D356" s="18" t="str">
        <f t="shared" si="29"/>
        <v/>
      </c>
      <c r="E356" t="str">
        <f t="shared" si="30"/>
        <v/>
      </c>
      <c r="F356" s="23" t="str">
        <f ca="1">IF(A356="","",IF($B$8="Sí",interpolar_alamb(E356,OFFSET(Curvas_cupon_cero!$A$1,1,0,COUNT(Curvas_cupon_cero!$A:$A)-2,1),OFFSET(Curvas_cupon_cero!$A$1,1,MATCH(Bono_M_Cupon_fijo_curva!$B$7,Curvas_cupon_cero!$1:$1,0)-1,COUNT(Curvas_cupon_cero!$A:$A)-2,1)),interpolar(E356,OFFSET(Curvas_cupon_cero!$A$1,1,0,COUNT(Curvas_cupon_cero!$A:$A)-2,1),OFFSET(Curvas_cupon_cero!$A$1,1,MATCH(Bono_M_Cupon_fijo_curva!$B$7,Curvas_cupon_cero!$1:$1,0)-1,COUNT(Curvas_cupon_cero!$A:$A)-2,1))))</f>
        <v/>
      </c>
      <c r="G356" s="19" t="str">
        <f>IF(A356="","",C356/(1+F356*$B$6/360)^(COUNT(A$16:A356)-($B$6-$D$16)/$B$6))</f>
        <v/>
      </c>
    </row>
    <row r="357" spans="1:7" x14ac:dyDescent="0.2">
      <c r="A357" s="12" t="str">
        <f t="shared" si="31"/>
        <v/>
      </c>
      <c r="B357" t="str">
        <f t="shared" si="27"/>
        <v/>
      </c>
      <c r="C357" s="17" t="str">
        <f t="shared" si="28"/>
        <v/>
      </c>
      <c r="D357" s="18" t="str">
        <f t="shared" si="29"/>
        <v/>
      </c>
      <c r="E357" t="str">
        <f t="shared" si="30"/>
        <v/>
      </c>
      <c r="F357" s="23" t="str">
        <f ca="1">IF(A357="","",IF($B$8="Sí",interpolar_alamb(E357,OFFSET(Curvas_cupon_cero!$A$1,1,0,COUNT(Curvas_cupon_cero!$A:$A)-2,1),OFFSET(Curvas_cupon_cero!$A$1,1,MATCH(Bono_M_Cupon_fijo_curva!$B$7,Curvas_cupon_cero!$1:$1,0)-1,COUNT(Curvas_cupon_cero!$A:$A)-2,1)),interpolar(E357,OFFSET(Curvas_cupon_cero!$A$1,1,0,COUNT(Curvas_cupon_cero!$A:$A)-2,1),OFFSET(Curvas_cupon_cero!$A$1,1,MATCH(Bono_M_Cupon_fijo_curva!$B$7,Curvas_cupon_cero!$1:$1,0)-1,COUNT(Curvas_cupon_cero!$A:$A)-2,1))))</f>
        <v/>
      </c>
      <c r="G357" s="19" t="str">
        <f>IF(A357="","",C357/(1+F357*$B$6/360)^(COUNT(A$16:A357)-($B$6-$D$16)/$B$6))</f>
        <v/>
      </c>
    </row>
    <row r="358" spans="1:7" x14ac:dyDescent="0.2">
      <c r="A358" s="12" t="str">
        <f t="shared" si="31"/>
        <v/>
      </c>
      <c r="B358" t="str">
        <f t="shared" si="27"/>
        <v/>
      </c>
      <c r="C358" s="17" t="str">
        <f t="shared" si="28"/>
        <v/>
      </c>
      <c r="D358" s="18" t="str">
        <f t="shared" si="29"/>
        <v/>
      </c>
      <c r="E358" t="str">
        <f t="shared" si="30"/>
        <v/>
      </c>
      <c r="F358" s="23" t="str">
        <f ca="1">IF(A358="","",IF($B$8="Sí",interpolar_alamb(E358,OFFSET(Curvas_cupon_cero!$A$1,1,0,COUNT(Curvas_cupon_cero!$A:$A)-2,1),OFFSET(Curvas_cupon_cero!$A$1,1,MATCH(Bono_M_Cupon_fijo_curva!$B$7,Curvas_cupon_cero!$1:$1,0)-1,COUNT(Curvas_cupon_cero!$A:$A)-2,1)),interpolar(E358,OFFSET(Curvas_cupon_cero!$A$1,1,0,COUNT(Curvas_cupon_cero!$A:$A)-2,1),OFFSET(Curvas_cupon_cero!$A$1,1,MATCH(Bono_M_Cupon_fijo_curva!$B$7,Curvas_cupon_cero!$1:$1,0)-1,COUNT(Curvas_cupon_cero!$A:$A)-2,1))))</f>
        <v/>
      </c>
      <c r="G358" s="19" t="str">
        <f>IF(A358="","",C358/(1+F358*$B$6/360)^(COUNT(A$16:A358)-($B$6-$D$16)/$B$6))</f>
        <v/>
      </c>
    </row>
    <row r="359" spans="1:7" x14ac:dyDescent="0.2">
      <c r="A359" s="12" t="str">
        <f t="shared" si="31"/>
        <v/>
      </c>
      <c r="B359" t="str">
        <f t="shared" si="27"/>
        <v/>
      </c>
      <c r="C359" s="17" t="str">
        <f t="shared" si="28"/>
        <v/>
      </c>
      <c r="D359" s="18" t="str">
        <f t="shared" si="29"/>
        <v/>
      </c>
      <c r="E359" t="str">
        <f t="shared" si="30"/>
        <v/>
      </c>
      <c r="F359" s="23" t="str">
        <f ca="1">IF(A359="","",IF($B$8="Sí",interpolar_alamb(E359,OFFSET(Curvas_cupon_cero!$A$1,1,0,COUNT(Curvas_cupon_cero!$A:$A)-2,1),OFFSET(Curvas_cupon_cero!$A$1,1,MATCH(Bono_M_Cupon_fijo_curva!$B$7,Curvas_cupon_cero!$1:$1,0)-1,COUNT(Curvas_cupon_cero!$A:$A)-2,1)),interpolar(E359,OFFSET(Curvas_cupon_cero!$A$1,1,0,COUNT(Curvas_cupon_cero!$A:$A)-2,1),OFFSET(Curvas_cupon_cero!$A$1,1,MATCH(Bono_M_Cupon_fijo_curva!$B$7,Curvas_cupon_cero!$1:$1,0)-1,COUNT(Curvas_cupon_cero!$A:$A)-2,1))))</f>
        <v/>
      </c>
      <c r="G359" s="19" t="str">
        <f>IF(A359="","",C359/(1+F359*$B$6/360)^(COUNT(A$16:A359)-($B$6-$D$16)/$B$6))</f>
        <v/>
      </c>
    </row>
    <row r="360" spans="1:7" x14ac:dyDescent="0.2">
      <c r="A360" s="12" t="str">
        <f t="shared" si="31"/>
        <v/>
      </c>
      <c r="B360" t="str">
        <f t="shared" si="27"/>
        <v/>
      </c>
      <c r="C360" s="17" t="str">
        <f t="shared" si="28"/>
        <v/>
      </c>
      <c r="D360" s="18" t="str">
        <f t="shared" si="29"/>
        <v/>
      </c>
      <c r="E360" t="str">
        <f t="shared" si="30"/>
        <v/>
      </c>
      <c r="F360" s="23" t="str">
        <f ca="1">IF(A360="","",IF($B$8="Sí",interpolar_alamb(E360,OFFSET(Curvas_cupon_cero!$A$1,1,0,COUNT(Curvas_cupon_cero!$A:$A)-2,1),OFFSET(Curvas_cupon_cero!$A$1,1,MATCH(Bono_M_Cupon_fijo_curva!$B$7,Curvas_cupon_cero!$1:$1,0)-1,COUNT(Curvas_cupon_cero!$A:$A)-2,1)),interpolar(E360,OFFSET(Curvas_cupon_cero!$A$1,1,0,COUNT(Curvas_cupon_cero!$A:$A)-2,1),OFFSET(Curvas_cupon_cero!$A$1,1,MATCH(Bono_M_Cupon_fijo_curva!$B$7,Curvas_cupon_cero!$1:$1,0)-1,COUNT(Curvas_cupon_cero!$A:$A)-2,1))))</f>
        <v/>
      </c>
      <c r="G360" s="19" t="str">
        <f>IF(A360="","",C360/(1+F360*$B$6/360)^(COUNT(A$16:A360)-($B$6-$D$16)/$B$6))</f>
        <v/>
      </c>
    </row>
    <row r="361" spans="1:7" x14ac:dyDescent="0.2">
      <c r="A361" s="12" t="str">
        <f t="shared" si="31"/>
        <v/>
      </c>
      <c r="B361" t="str">
        <f t="shared" si="27"/>
        <v/>
      </c>
      <c r="C361" s="17" t="str">
        <f t="shared" si="28"/>
        <v/>
      </c>
      <c r="D361" s="18" t="str">
        <f t="shared" si="29"/>
        <v/>
      </c>
      <c r="E361" t="str">
        <f t="shared" si="30"/>
        <v/>
      </c>
      <c r="F361" s="23" t="str">
        <f ca="1">IF(A361="","",IF($B$8="Sí",interpolar_alamb(E361,OFFSET(Curvas_cupon_cero!$A$1,1,0,COUNT(Curvas_cupon_cero!$A:$A)-2,1),OFFSET(Curvas_cupon_cero!$A$1,1,MATCH(Bono_M_Cupon_fijo_curva!$B$7,Curvas_cupon_cero!$1:$1,0)-1,COUNT(Curvas_cupon_cero!$A:$A)-2,1)),interpolar(E361,OFFSET(Curvas_cupon_cero!$A$1,1,0,COUNT(Curvas_cupon_cero!$A:$A)-2,1),OFFSET(Curvas_cupon_cero!$A$1,1,MATCH(Bono_M_Cupon_fijo_curva!$B$7,Curvas_cupon_cero!$1:$1,0)-1,COUNT(Curvas_cupon_cero!$A:$A)-2,1))))</f>
        <v/>
      </c>
      <c r="G361" s="19" t="str">
        <f>IF(A361="","",C361/(1+F361*$B$6/360)^(COUNT(A$16:A361)-($B$6-$D$16)/$B$6))</f>
        <v/>
      </c>
    </row>
    <row r="362" spans="1:7" x14ac:dyDescent="0.2">
      <c r="A362" s="12" t="str">
        <f t="shared" si="31"/>
        <v/>
      </c>
      <c r="B362" t="str">
        <f t="shared" si="27"/>
        <v/>
      </c>
      <c r="C362" s="17" t="str">
        <f t="shared" si="28"/>
        <v/>
      </c>
      <c r="D362" s="18" t="str">
        <f t="shared" si="29"/>
        <v/>
      </c>
      <c r="E362" t="str">
        <f t="shared" si="30"/>
        <v/>
      </c>
      <c r="F362" s="23" t="str">
        <f ca="1">IF(A362="","",IF($B$8="Sí",interpolar_alamb(E362,OFFSET(Curvas_cupon_cero!$A$1,1,0,COUNT(Curvas_cupon_cero!$A:$A)-2,1),OFFSET(Curvas_cupon_cero!$A$1,1,MATCH(Bono_M_Cupon_fijo_curva!$B$7,Curvas_cupon_cero!$1:$1,0)-1,COUNT(Curvas_cupon_cero!$A:$A)-2,1)),interpolar(E362,OFFSET(Curvas_cupon_cero!$A$1,1,0,COUNT(Curvas_cupon_cero!$A:$A)-2,1),OFFSET(Curvas_cupon_cero!$A$1,1,MATCH(Bono_M_Cupon_fijo_curva!$B$7,Curvas_cupon_cero!$1:$1,0)-1,COUNT(Curvas_cupon_cero!$A:$A)-2,1))))</f>
        <v/>
      </c>
      <c r="G362" s="19" t="str">
        <f>IF(A362="","",C362/(1+F362*$B$6/360)^(COUNT(A$16:A362)-($B$6-$D$16)/$B$6))</f>
        <v/>
      </c>
    </row>
    <row r="363" spans="1:7" x14ac:dyDescent="0.2">
      <c r="A363" s="12" t="str">
        <f t="shared" si="31"/>
        <v/>
      </c>
      <c r="B363" t="str">
        <f t="shared" si="27"/>
        <v/>
      </c>
      <c r="C363" s="17" t="str">
        <f t="shared" si="28"/>
        <v/>
      </c>
      <c r="D363" s="18" t="str">
        <f t="shared" si="29"/>
        <v/>
      </c>
      <c r="E363" t="str">
        <f t="shared" si="30"/>
        <v/>
      </c>
      <c r="F363" s="23" t="str">
        <f ca="1">IF(A363="","",IF($B$8="Sí",interpolar_alamb(E363,OFFSET(Curvas_cupon_cero!$A$1,1,0,COUNT(Curvas_cupon_cero!$A:$A)-2,1),OFFSET(Curvas_cupon_cero!$A$1,1,MATCH(Bono_M_Cupon_fijo_curva!$B$7,Curvas_cupon_cero!$1:$1,0)-1,COUNT(Curvas_cupon_cero!$A:$A)-2,1)),interpolar(E363,OFFSET(Curvas_cupon_cero!$A$1,1,0,COUNT(Curvas_cupon_cero!$A:$A)-2,1),OFFSET(Curvas_cupon_cero!$A$1,1,MATCH(Bono_M_Cupon_fijo_curva!$B$7,Curvas_cupon_cero!$1:$1,0)-1,COUNT(Curvas_cupon_cero!$A:$A)-2,1))))</f>
        <v/>
      </c>
      <c r="G363" s="19" t="str">
        <f>IF(A363="","",C363/(1+F363*$B$6/360)^(COUNT(A$16:A363)-($B$6-$D$16)/$B$6))</f>
        <v/>
      </c>
    </row>
    <row r="364" spans="1:7" x14ac:dyDescent="0.2">
      <c r="A364" s="12" t="str">
        <f t="shared" si="31"/>
        <v/>
      </c>
      <c r="B364" t="str">
        <f t="shared" si="27"/>
        <v/>
      </c>
      <c r="C364" s="17" t="str">
        <f t="shared" si="28"/>
        <v/>
      </c>
      <c r="D364" s="18" t="str">
        <f t="shared" si="29"/>
        <v/>
      </c>
      <c r="E364" t="str">
        <f t="shared" si="30"/>
        <v/>
      </c>
      <c r="F364" s="23" t="str">
        <f ca="1">IF(A364="","",IF($B$8="Sí",interpolar_alamb(E364,OFFSET(Curvas_cupon_cero!$A$1,1,0,COUNT(Curvas_cupon_cero!$A:$A)-2,1),OFFSET(Curvas_cupon_cero!$A$1,1,MATCH(Bono_M_Cupon_fijo_curva!$B$7,Curvas_cupon_cero!$1:$1,0)-1,COUNT(Curvas_cupon_cero!$A:$A)-2,1)),interpolar(E364,OFFSET(Curvas_cupon_cero!$A$1,1,0,COUNT(Curvas_cupon_cero!$A:$A)-2,1),OFFSET(Curvas_cupon_cero!$A$1,1,MATCH(Bono_M_Cupon_fijo_curva!$B$7,Curvas_cupon_cero!$1:$1,0)-1,COUNT(Curvas_cupon_cero!$A:$A)-2,1))))</f>
        <v/>
      </c>
      <c r="G364" s="19" t="str">
        <f>IF(A364="","",C364/(1+F364*$B$6/360)^(COUNT(A$16:A364)-($B$6-$D$16)/$B$6))</f>
        <v/>
      </c>
    </row>
    <row r="365" spans="1:7" x14ac:dyDescent="0.2">
      <c r="A365" s="12" t="str">
        <f t="shared" si="31"/>
        <v/>
      </c>
      <c r="B365" t="str">
        <f t="shared" si="27"/>
        <v/>
      </c>
      <c r="C365" s="17" t="str">
        <f t="shared" si="28"/>
        <v/>
      </c>
      <c r="D365" s="18" t="str">
        <f t="shared" si="29"/>
        <v/>
      </c>
      <c r="E365" t="str">
        <f t="shared" si="30"/>
        <v/>
      </c>
      <c r="F365" s="23" t="str">
        <f ca="1">IF(A365="","",IF($B$8="Sí",interpolar_alamb(E365,OFFSET(Curvas_cupon_cero!$A$1,1,0,COUNT(Curvas_cupon_cero!$A:$A)-2,1),OFFSET(Curvas_cupon_cero!$A$1,1,MATCH(Bono_M_Cupon_fijo_curva!$B$7,Curvas_cupon_cero!$1:$1,0)-1,COUNT(Curvas_cupon_cero!$A:$A)-2,1)),interpolar(E365,OFFSET(Curvas_cupon_cero!$A$1,1,0,COUNT(Curvas_cupon_cero!$A:$A)-2,1),OFFSET(Curvas_cupon_cero!$A$1,1,MATCH(Bono_M_Cupon_fijo_curva!$B$7,Curvas_cupon_cero!$1:$1,0)-1,COUNT(Curvas_cupon_cero!$A:$A)-2,1))))</f>
        <v/>
      </c>
      <c r="G365" s="19" t="str">
        <f>IF(A365="","",C365/(1+F365*$B$6/360)^(COUNT(A$16:A365)-($B$6-$D$16)/$B$6))</f>
        <v/>
      </c>
    </row>
    <row r="366" spans="1:7" x14ac:dyDescent="0.2">
      <c r="A366" s="12" t="str">
        <f t="shared" si="31"/>
        <v/>
      </c>
      <c r="B366" t="str">
        <f t="shared" si="27"/>
        <v/>
      </c>
      <c r="C366" s="17" t="str">
        <f t="shared" si="28"/>
        <v/>
      </c>
      <c r="D366" s="18" t="str">
        <f t="shared" si="29"/>
        <v/>
      </c>
      <c r="E366" t="str">
        <f t="shared" si="30"/>
        <v/>
      </c>
      <c r="F366" s="23" t="str">
        <f ca="1">IF(A366="","",IF($B$8="Sí",interpolar_alamb(E366,OFFSET(Curvas_cupon_cero!$A$1,1,0,COUNT(Curvas_cupon_cero!$A:$A)-2,1),OFFSET(Curvas_cupon_cero!$A$1,1,MATCH(Bono_M_Cupon_fijo_curva!$B$7,Curvas_cupon_cero!$1:$1,0)-1,COUNT(Curvas_cupon_cero!$A:$A)-2,1)),interpolar(E366,OFFSET(Curvas_cupon_cero!$A$1,1,0,COUNT(Curvas_cupon_cero!$A:$A)-2,1),OFFSET(Curvas_cupon_cero!$A$1,1,MATCH(Bono_M_Cupon_fijo_curva!$B$7,Curvas_cupon_cero!$1:$1,0)-1,COUNT(Curvas_cupon_cero!$A:$A)-2,1))))</f>
        <v/>
      </c>
      <c r="G366" s="19" t="str">
        <f>IF(A366="","",C366/(1+F366*$B$6/360)^(COUNT(A$16:A366)-($B$6-$D$16)/$B$6))</f>
        <v/>
      </c>
    </row>
    <row r="367" spans="1:7" x14ac:dyDescent="0.2">
      <c r="A367" s="12" t="str">
        <f t="shared" si="31"/>
        <v/>
      </c>
      <c r="B367" t="str">
        <f t="shared" si="27"/>
        <v/>
      </c>
      <c r="C367" s="17" t="str">
        <f t="shared" si="28"/>
        <v/>
      </c>
      <c r="D367" s="18" t="str">
        <f t="shared" si="29"/>
        <v/>
      </c>
      <c r="E367" t="str">
        <f t="shared" si="30"/>
        <v/>
      </c>
      <c r="F367" s="23" t="str">
        <f ca="1">IF(A367="","",IF($B$8="Sí",interpolar_alamb(E367,OFFSET(Curvas_cupon_cero!$A$1,1,0,COUNT(Curvas_cupon_cero!$A:$A)-2,1),OFFSET(Curvas_cupon_cero!$A$1,1,MATCH(Bono_M_Cupon_fijo_curva!$B$7,Curvas_cupon_cero!$1:$1,0)-1,COUNT(Curvas_cupon_cero!$A:$A)-2,1)),interpolar(E367,OFFSET(Curvas_cupon_cero!$A$1,1,0,COUNT(Curvas_cupon_cero!$A:$A)-2,1),OFFSET(Curvas_cupon_cero!$A$1,1,MATCH(Bono_M_Cupon_fijo_curva!$B$7,Curvas_cupon_cero!$1:$1,0)-1,COUNT(Curvas_cupon_cero!$A:$A)-2,1))))</f>
        <v/>
      </c>
      <c r="G367" s="19" t="str">
        <f>IF(A367="","",C367/(1+F367*$B$6/360)^(COUNT(A$16:A367)-($B$6-$D$16)/$B$6))</f>
        <v/>
      </c>
    </row>
    <row r="368" spans="1:7" x14ac:dyDescent="0.2">
      <c r="A368" s="12" t="str">
        <f t="shared" si="31"/>
        <v/>
      </c>
      <c r="B368" t="str">
        <f t="shared" si="27"/>
        <v/>
      </c>
      <c r="C368" s="17" t="str">
        <f t="shared" si="28"/>
        <v/>
      </c>
      <c r="D368" s="18" t="str">
        <f t="shared" si="29"/>
        <v/>
      </c>
      <c r="E368" t="str">
        <f t="shared" si="30"/>
        <v/>
      </c>
      <c r="F368" s="23" t="str">
        <f ca="1">IF(A368="","",IF($B$8="Sí",interpolar_alamb(E368,OFFSET(Curvas_cupon_cero!$A$1,1,0,COUNT(Curvas_cupon_cero!$A:$A)-2,1),OFFSET(Curvas_cupon_cero!$A$1,1,MATCH(Bono_M_Cupon_fijo_curva!$B$7,Curvas_cupon_cero!$1:$1,0)-1,COUNT(Curvas_cupon_cero!$A:$A)-2,1)),interpolar(E368,OFFSET(Curvas_cupon_cero!$A$1,1,0,COUNT(Curvas_cupon_cero!$A:$A)-2,1),OFFSET(Curvas_cupon_cero!$A$1,1,MATCH(Bono_M_Cupon_fijo_curva!$B$7,Curvas_cupon_cero!$1:$1,0)-1,COUNT(Curvas_cupon_cero!$A:$A)-2,1))))</f>
        <v/>
      </c>
      <c r="G368" s="19" t="str">
        <f>IF(A368="","",C368/(1+F368*$B$6/360)^(COUNT(A$16:A368)-($B$6-$D$16)/$B$6))</f>
        <v/>
      </c>
    </row>
    <row r="369" spans="1:7" x14ac:dyDescent="0.2">
      <c r="A369" s="12" t="str">
        <f t="shared" si="31"/>
        <v/>
      </c>
      <c r="B369" t="str">
        <f t="shared" si="27"/>
        <v/>
      </c>
      <c r="C369" s="17" t="str">
        <f t="shared" si="28"/>
        <v/>
      </c>
      <c r="D369" s="18" t="str">
        <f t="shared" si="29"/>
        <v/>
      </c>
      <c r="E369" t="str">
        <f t="shared" si="30"/>
        <v/>
      </c>
      <c r="F369" s="23" t="str">
        <f ca="1">IF(A369="","",IF($B$8="Sí",interpolar_alamb(E369,OFFSET(Curvas_cupon_cero!$A$1,1,0,COUNT(Curvas_cupon_cero!$A:$A)-2,1),OFFSET(Curvas_cupon_cero!$A$1,1,MATCH(Bono_M_Cupon_fijo_curva!$B$7,Curvas_cupon_cero!$1:$1,0)-1,COUNT(Curvas_cupon_cero!$A:$A)-2,1)),interpolar(E369,OFFSET(Curvas_cupon_cero!$A$1,1,0,COUNT(Curvas_cupon_cero!$A:$A)-2,1),OFFSET(Curvas_cupon_cero!$A$1,1,MATCH(Bono_M_Cupon_fijo_curva!$B$7,Curvas_cupon_cero!$1:$1,0)-1,COUNT(Curvas_cupon_cero!$A:$A)-2,1))))</f>
        <v/>
      </c>
      <c r="G369" s="19" t="str">
        <f>IF(A369="","",C369/(1+F369*$B$6/360)^(COUNT(A$16:A369)-($B$6-$D$16)/$B$6))</f>
        <v/>
      </c>
    </row>
    <row r="370" spans="1:7" x14ac:dyDescent="0.2">
      <c r="A370" s="12" t="str">
        <f t="shared" si="31"/>
        <v/>
      </c>
      <c r="B370" t="str">
        <f t="shared" si="27"/>
        <v/>
      </c>
      <c r="C370" s="17" t="str">
        <f t="shared" si="28"/>
        <v/>
      </c>
      <c r="D370" s="18" t="str">
        <f t="shared" si="29"/>
        <v/>
      </c>
      <c r="E370" t="str">
        <f t="shared" si="30"/>
        <v/>
      </c>
      <c r="F370" s="23" t="str">
        <f ca="1">IF(A370="","",IF($B$8="Sí",interpolar_alamb(E370,OFFSET(Curvas_cupon_cero!$A$1,1,0,COUNT(Curvas_cupon_cero!$A:$A)-2,1),OFFSET(Curvas_cupon_cero!$A$1,1,MATCH(Bono_M_Cupon_fijo_curva!$B$7,Curvas_cupon_cero!$1:$1,0)-1,COUNT(Curvas_cupon_cero!$A:$A)-2,1)),interpolar(E370,OFFSET(Curvas_cupon_cero!$A$1,1,0,COUNT(Curvas_cupon_cero!$A:$A)-2,1),OFFSET(Curvas_cupon_cero!$A$1,1,MATCH(Bono_M_Cupon_fijo_curva!$B$7,Curvas_cupon_cero!$1:$1,0)-1,COUNT(Curvas_cupon_cero!$A:$A)-2,1))))</f>
        <v/>
      </c>
      <c r="G370" s="19" t="str">
        <f>IF(A370="","",C370/(1+F370*$B$6/360)^(COUNT(A$16:A370)-($B$6-$D$16)/$B$6))</f>
        <v/>
      </c>
    </row>
    <row r="371" spans="1:7" x14ac:dyDescent="0.2">
      <c r="A371" s="12" t="str">
        <f t="shared" si="31"/>
        <v/>
      </c>
      <c r="B371" t="str">
        <f t="shared" si="27"/>
        <v/>
      </c>
      <c r="C371" s="17" t="str">
        <f t="shared" si="28"/>
        <v/>
      </c>
      <c r="D371" s="18" t="str">
        <f t="shared" si="29"/>
        <v/>
      </c>
      <c r="E371" t="str">
        <f t="shared" si="30"/>
        <v/>
      </c>
      <c r="F371" s="23" t="str">
        <f ca="1">IF(A371="","",IF($B$8="Sí",interpolar_alamb(E371,OFFSET(Curvas_cupon_cero!$A$1,1,0,COUNT(Curvas_cupon_cero!$A:$A)-2,1),OFFSET(Curvas_cupon_cero!$A$1,1,MATCH(Bono_M_Cupon_fijo_curva!$B$7,Curvas_cupon_cero!$1:$1,0)-1,COUNT(Curvas_cupon_cero!$A:$A)-2,1)),interpolar(E371,OFFSET(Curvas_cupon_cero!$A$1,1,0,COUNT(Curvas_cupon_cero!$A:$A)-2,1),OFFSET(Curvas_cupon_cero!$A$1,1,MATCH(Bono_M_Cupon_fijo_curva!$B$7,Curvas_cupon_cero!$1:$1,0)-1,COUNT(Curvas_cupon_cero!$A:$A)-2,1))))</f>
        <v/>
      </c>
      <c r="G371" s="19" t="str">
        <f>IF(A371="","",C371/(1+F371*$B$6/360)^(COUNT(A$16:A371)-($B$6-$D$16)/$B$6))</f>
        <v/>
      </c>
    </row>
    <row r="372" spans="1:7" x14ac:dyDescent="0.2">
      <c r="A372" s="12" t="str">
        <f t="shared" si="31"/>
        <v/>
      </c>
      <c r="B372" t="str">
        <f t="shared" si="27"/>
        <v/>
      </c>
      <c r="C372" s="17" t="str">
        <f t="shared" si="28"/>
        <v/>
      </c>
      <c r="D372" s="18" t="str">
        <f t="shared" si="29"/>
        <v/>
      </c>
      <c r="E372" t="str">
        <f t="shared" si="30"/>
        <v/>
      </c>
      <c r="F372" s="23" t="str">
        <f ca="1">IF(A372="","",IF($B$8="Sí",interpolar_alamb(E372,OFFSET(Curvas_cupon_cero!$A$1,1,0,COUNT(Curvas_cupon_cero!$A:$A)-2,1),OFFSET(Curvas_cupon_cero!$A$1,1,MATCH(Bono_M_Cupon_fijo_curva!$B$7,Curvas_cupon_cero!$1:$1,0)-1,COUNT(Curvas_cupon_cero!$A:$A)-2,1)),interpolar(E372,OFFSET(Curvas_cupon_cero!$A$1,1,0,COUNT(Curvas_cupon_cero!$A:$A)-2,1),OFFSET(Curvas_cupon_cero!$A$1,1,MATCH(Bono_M_Cupon_fijo_curva!$B$7,Curvas_cupon_cero!$1:$1,0)-1,COUNT(Curvas_cupon_cero!$A:$A)-2,1))))</f>
        <v/>
      </c>
      <c r="G372" s="19" t="str">
        <f>IF(A372="","",C372/(1+F372*$B$6/360)^(COUNT(A$16:A372)-($B$6-$D$16)/$B$6))</f>
        <v/>
      </c>
    </row>
    <row r="373" spans="1:7" x14ac:dyDescent="0.2">
      <c r="A373" s="12" t="str">
        <f t="shared" si="31"/>
        <v/>
      </c>
      <c r="B373" t="str">
        <f t="shared" si="27"/>
        <v/>
      </c>
      <c r="C373" s="17" t="str">
        <f t="shared" si="28"/>
        <v/>
      </c>
      <c r="D373" s="18" t="str">
        <f t="shared" si="29"/>
        <v/>
      </c>
      <c r="E373" t="str">
        <f t="shared" si="30"/>
        <v/>
      </c>
      <c r="F373" s="23" t="str">
        <f ca="1">IF(A373="","",IF($B$8="Sí",interpolar_alamb(E373,OFFSET(Curvas_cupon_cero!$A$1,1,0,COUNT(Curvas_cupon_cero!$A:$A)-2,1),OFFSET(Curvas_cupon_cero!$A$1,1,MATCH(Bono_M_Cupon_fijo_curva!$B$7,Curvas_cupon_cero!$1:$1,0)-1,COUNT(Curvas_cupon_cero!$A:$A)-2,1)),interpolar(E373,OFFSET(Curvas_cupon_cero!$A$1,1,0,COUNT(Curvas_cupon_cero!$A:$A)-2,1),OFFSET(Curvas_cupon_cero!$A$1,1,MATCH(Bono_M_Cupon_fijo_curva!$B$7,Curvas_cupon_cero!$1:$1,0)-1,COUNT(Curvas_cupon_cero!$A:$A)-2,1))))</f>
        <v/>
      </c>
      <c r="G373" s="19" t="str">
        <f>IF(A373="","",C373/(1+F373*$B$6/360)^(COUNT(A$16:A373)-($B$6-$D$16)/$B$6))</f>
        <v/>
      </c>
    </row>
    <row r="374" spans="1:7" x14ac:dyDescent="0.2">
      <c r="A374" s="12" t="str">
        <f t="shared" si="31"/>
        <v/>
      </c>
      <c r="B374" t="str">
        <f t="shared" si="27"/>
        <v/>
      </c>
      <c r="C374" s="17" t="str">
        <f t="shared" si="28"/>
        <v/>
      </c>
      <c r="D374" s="18" t="str">
        <f t="shared" si="29"/>
        <v/>
      </c>
      <c r="E374" t="str">
        <f t="shared" si="30"/>
        <v/>
      </c>
      <c r="F374" s="23" t="str">
        <f ca="1">IF(A374="","",IF($B$8="Sí",interpolar_alamb(E374,OFFSET(Curvas_cupon_cero!$A$1,1,0,COUNT(Curvas_cupon_cero!$A:$A)-2,1),OFFSET(Curvas_cupon_cero!$A$1,1,MATCH(Bono_M_Cupon_fijo_curva!$B$7,Curvas_cupon_cero!$1:$1,0)-1,COUNT(Curvas_cupon_cero!$A:$A)-2,1)),interpolar(E374,OFFSET(Curvas_cupon_cero!$A$1,1,0,COUNT(Curvas_cupon_cero!$A:$A)-2,1),OFFSET(Curvas_cupon_cero!$A$1,1,MATCH(Bono_M_Cupon_fijo_curva!$B$7,Curvas_cupon_cero!$1:$1,0)-1,COUNT(Curvas_cupon_cero!$A:$A)-2,1))))</f>
        <v/>
      </c>
      <c r="G374" s="19" t="str">
        <f>IF(A374="","",C374/(1+F374*$B$6/360)^(COUNT(A$16:A374)-($B$6-$D$16)/$B$6))</f>
        <v/>
      </c>
    </row>
    <row r="375" spans="1:7" x14ac:dyDescent="0.2">
      <c r="A375" s="12" t="str">
        <f t="shared" si="31"/>
        <v/>
      </c>
      <c r="B375" t="str">
        <f t="shared" si="27"/>
        <v/>
      </c>
      <c r="C375" s="17" t="str">
        <f t="shared" si="28"/>
        <v/>
      </c>
      <c r="D375" s="18" t="str">
        <f t="shared" si="29"/>
        <v/>
      </c>
      <c r="E375" t="str">
        <f t="shared" si="30"/>
        <v/>
      </c>
      <c r="F375" s="23" t="str">
        <f ca="1">IF(A375="","",IF($B$8="Sí",interpolar_alamb(E375,OFFSET(Curvas_cupon_cero!$A$1,1,0,COUNT(Curvas_cupon_cero!$A:$A)-2,1),OFFSET(Curvas_cupon_cero!$A$1,1,MATCH(Bono_M_Cupon_fijo_curva!$B$7,Curvas_cupon_cero!$1:$1,0)-1,COUNT(Curvas_cupon_cero!$A:$A)-2,1)),interpolar(E375,OFFSET(Curvas_cupon_cero!$A$1,1,0,COUNT(Curvas_cupon_cero!$A:$A)-2,1),OFFSET(Curvas_cupon_cero!$A$1,1,MATCH(Bono_M_Cupon_fijo_curva!$B$7,Curvas_cupon_cero!$1:$1,0)-1,COUNT(Curvas_cupon_cero!$A:$A)-2,1))))</f>
        <v/>
      </c>
      <c r="G375" s="19" t="str">
        <f>IF(A375="","",C375/(1+F375*$B$6/360)^(COUNT(A$16:A375)-($B$6-$D$16)/$B$6))</f>
        <v/>
      </c>
    </row>
    <row r="376" spans="1:7" x14ac:dyDescent="0.2">
      <c r="A376" s="12" t="str">
        <f t="shared" si="31"/>
        <v/>
      </c>
      <c r="B376" t="str">
        <f t="shared" si="27"/>
        <v/>
      </c>
      <c r="C376" s="17" t="str">
        <f t="shared" si="28"/>
        <v/>
      </c>
      <c r="D376" s="18" t="str">
        <f t="shared" si="29"/>
        <v/>
      </c>
      <c r="E376" t="str">
        <f t="shared" si="30"/>
        <v/>
      </c>
      <c r="F376" s="23" t="str">
        <f ca="1">IF(A376="","",IF($B$8="Sí",interpolar_alamb(E376,OFFSET(Curvas_cupon_cero!$A$1,1,0,COUNT(Curvas_cupon_cero!$A:$A)-2,1),OFFSET(Curvas_cupon_cero!$A$1,1,MATCH(Bono_M_Cupon_fijo_curva!$B$7,Curvas_cupon_cero!$1:$1,0)-1,COUNT(Curvas_cupon_cero!$A:$A)-2,1)),interpolar(E376,OFFSET(Curvas_cupon_cero!$A$1,1,0,COUNT(Curvas_cupon_cero!$A:$A)-2,1),OFFSET(Curvas_cupon_cero!$A$1,1,MATCH(Bono_M_Cupon_fijo_curva!$B$7,Curvas_cupon_cero!$1:$1,0)-1,COUNT(Curvas_cupon_cero!$A:$A)-2,1))))</f>
        <v/>
      </c>
      <c r="G376" s="19" t="str">
        <f>IF(A376="","",C376/(1+F376*$B$6/360)^(COUNT(A$16:A376)-($B$6-$D$16)/$B$6))</f>
        <v/>
      </c>
    </row>
    <row r="377" spans="1:7" x14ac:dyDescent="0.2">
      <c r="A377" s="12" t="str">
        <f t="shared" si="31"/>
        <v/>
      </c>
      <c r="B377" t="str">
        <f t="shared" si="27"/>
        <v/>
      </c>
      <c r="C377" s="17" t="str">
        <f t="shared" si="28"/>
        <v/>
      </c>
      <c r="D377" s="18" t="str">
        <f t="shared" si="29"/>
        <v/>
      </c>
      <c r="E377" t="str">
        <f t="shared" si="30"/>
        <v/>
      </c>
      <c r="F377" s="23" t="str">
        <f ca="1">IF(A377="","",IF($B$8="Sí",interpolar_alamb(E377,OFFSET(Curvas_cupon_cero!$A$1,1,0,COUNT(Curvas_cupon_cero!$A:$A)-2,1),OFFSET(Curvas_cupon_cero!$A$1,1,MATCH(Bono_M_Cupon_fijo_curva!$B$7,Curvas_cupon_cero!$1:$1,0)-1,COUNT(Curvas_cupon_cero!$A:$A)-2,1)),interpolar(E377,OFFSET(Curvas_cupon_cero!$A$1,1,0,COUNT(Curvas_cupon_cero!$A:$A)-2,1),OFFSET(Curvas_cupon_cero!$A$1,1,MATCH(Bono_M_Cupon_fijo_curva!$B$7,Curvas_cupon_cero!$1:$1,0)-1,COUNT(Curvas_cupon_cero!$A:$A)-2,1))))</f>
        <v/>
      </c>
      <c r="G377" s="19" t="str">
        <f>IF(A377="","",C377/(1+F377*$B$6/360)^(COUNT(A$16:A377)-($B$6-$D$16)/$B$6))</f>
        <v/>
      </c>
    </row>
    <row r="378" spans="1:7" x14ac:dyDescent="0.2">
      <c r="A378" s="12" t="str">
        <f t="shared" si="31"/>
        <v/>
      </c>
      <c r="B378" t="str">
        <f t="shared" si="27"/>
        <v/>
      </c>
      <c r="C378" s="17" t="str">
        <f t="shared" si="28"/>
        <v/>
      </c>
      <c r="D378" s="18" t="str">
        <f t="shared" si="29"/>
        <v/>
      </c>
      <c r="E378" t="str">
        <f t="shared" si="30"/>
        <v/>
      </c>
      <c r="F378" s="23" t="str">
        <f ca="1">IF(A378="","",IF($B$8="Sí",interpolar_alamb(E378,OFFSET(Curvas_cupon_cero!$A$1,1,0,COUNT(Curvas_cupon_cero!$A:$A)-2,1),OFFSET(Curvas_cupon_cero!$A$1,1,MATCH(Bono_M_Cupon_fijo_curva!$B$7,Curvas_cupon_cero!$1:$1,0)-1,COUNT(Curvas_cupon_cero!$A:$A)-2,1)),interpolar(E378,OFFSET(Curvas_cupon_cero!$A$1,1,0,COUNT(Curvas_cupon_cero!$A:$A)-2,1),OFFSET(Curvas_cupon_cero!$A$1,1,MATCH(Bono_M_Cupon_fijo_curva!$B$7,Curvas_cupon_cero!$1:$1,0)-1,COUNT(Curvas_cupon_cero!$A:$A)-2,1))))</f>
        <v/>
      </c>
      <c r="G378" s="19" t="str">
        <f>IF(A378="","",C378/(1+F378*$B$6/360)^(COUNT(A$16:A378)-($B$6-$D$16)/$B$6))</f>
        <v/>
      </c>
    </row>
    <row r="379" spans="1:7" x14ac:dyDescent="0.2">
      <c r="A379" s="12" t="str">
        <f t="shared" si="31"/>
        <v/>
      </c>
      <c r="B379" t="str">
        <f t="shared" si="27"/>
        <v/>
      </c>
      <c r="C379" s="17" t="str">
        <f t="shared" si="28"/>
        <v/>
      </c>
      <c r="D379" s="18" t="str">
        <f t="shared" si="29"/>
        <v/>
      </c>
      <c r="E379" t="str">
        <f t="shared" si="30"/>
        <v/>
      </c>
      <c r="F379" s="23" t="str">
        <f ca="1">IF(A379="","",IF($B$8="Sí",interpolar_alamb(E379,OFFSET(Curvas_cupon_cero!$A$1,1,0,COUNT(Curvas_cupon_cero!$A:$A)-2,1),OFFSET(Curvas_cupon_cero!$A$1,1,MATCH(Bono_M_Cupon_fijo_curva!$B$7,Curvas_cupon_cero!$1:$1,0)-1,COUNT(Curvas_cupon_cero!$A:$A)-2,1)),interpolar(E379,OFFSET(Curvas_cupon_cero!$A$1,1,0,COUNT(Curvas_cupon_cero!$A:$A)-2,1),OFFSET(Curvas_cupon_cero!$A$1,1,MATCH(Bono_M_Cupon_fijo_curva!$B$7,Curvas_cupon_cero!$1:$1,0)-1,COUNT(Curvas_cupon_cero!$A:$A)-2,1))))</f>
        <v/>
      </c>
      <c r="G379" s="19" t="str">
        <f>IF(A379="","",C379/(1+F379*$B$6/360)^(COUNT(A$16:A379)-($B$6-$D$16)/$B$6))</f>
        <v/>
      </c>
    </row>
    <row r="380" spans="1:7" x14ac:dyDescent="0.2">
      <c r="A380" s="12" t="str">
        <f t="shared" si="31"/>
        <v/>
      </c>
      <c r="B380" t="str">
        <f t="shared" si="27"/>
        <v/>
      </c>
      <c r="C380" s="17" t="str">
        <f t="shared" si="28"/>
        <v/>
      </c>
      <c r="D380" s="18" t="str">
        <f t="shared" si="29"/>
        <v/>
      </c>
      <c r="E380" t="str">
        <f t="shared" si="30"/>
        <v/>
      </c>
      <c r="F380" s="23" t="str">
        <f ca="1">IF(A380="","",IF($B$8="Sí",interpolar_alamb(E380,OFFSET(Curvas_cupon_cero!$A$1,1,0,COUNT(Curvas_cupon_cero!$A:$A)-2,1),OFFSET(Curvas_cupon_cero!$A$1,1,MATCH(Bono_M_Cupon_fijo_curva!$B$7,Curvas_cupon_cero!$1:$1,0)-1,COUNT(Curvas_cupon_cero!$A:$A)-2,1)),interpolar(E380,OFFSET(Curvas_cupon_cero!$A$1,1,0,COUNT(Curvas_cupon_cero!$A:$A)-2,1),OFFSET(Curvas_cupon_cero!$A$1,1,MATCH(Bono_M_Cupon_fijo_curva!$B$7,Curvas_cupon_cero!$1:$1,0)-1,COUNT(Curvas_cupon_cero!$A:$A)-2,1))))</f>
        <v/>
      </c>
      <c r="G380" s="19" t="str">
        <f>IF(A380="","",C380/(1+F380*$B$6/360)^(COUNT(A$16:A380)-($B$6-$D$16)/$B$6))</f>
        <v/>
      </c>
    </row>
    <row r="381" spans="1:7" x14ac:dyDescent="0.2">
      <c r="A381" s="12" t="str">
        <f t="shared" si="31"/>
        <v/>
      </c>
      <c r="B381" t="str">
        <f t="shared" si="27"/>
        <v/>
      </c>
      <c r="C381" s="17" t="str">
        <f t="shared" si="28"/>
        <v/>
      </c>
      <c r="D381" s="18" t="str">
        <f t="shared" si="29"/>
        <v/>
      </c>
      <c r="E381" t="str">
        <f t="shared" si="30"/>
        <v/>
      </c>
      <c r="F381" s="23" t="str">
        <f ca="1">IF(A381="","",IF($B$8="Sí",interpolar_alamb(E381,OFFSET(Curvas_cupon_cero!$A$1,1,0,COUNT(Curvas_cupon_cero!$A:$A)-2,1),OFFSET(Curvas_cupon_cero!$A$1,1,MATCH(Bono_M_Cupon_fijo_curva!$B$7,Curvas_cupon_cero!$1:$1,0)-1,COUNT(Curvas_cupon_cero!$A:$A)-2,1)),interpolar(E381,OFFSET(Curvas_cupon_cero!$A$1,1,0,COUNT(Curvas_cupon_cero!$A:$A)-2,1),OFFSET(Curvas_cupon_cero!$A$1,1,MATCH(Bono_M_Cupon_fijo_curva!$B$7,Curvas_cupon_cero!$1:$1,0)-1,COUNT(Curvas_cupon_cero!$A:$A)-2,1))))</f>
        <v/>
      </c>
      <c r="G381" s="19" t="str">
        <f>IF(A381="","",C381/(1+F381*$B$6/360)^(COUNT(A$16:A381)-($B$6-$D$16)/$B$6))</f>
        <v/>
      </c>
    </row>
    <row r="382" spans="1:7" x14ac:dyDescent="0.2">
      <c r="A382" s="12" t="str">
        <f t="shared" si="31"/>
        <v/>
      </c>
      <c r="B382" t="str">
        <f t="shared" si="27"/>
        <v/>
      </c>
      <c r="C382" s="17" t="str">
        <f t="shared" si="28"/>
        <v/>
      </c>
      <c r="D382" s="18" t="str">
        <f t="shared" si="29"/>
        <v/>
      </c>
      <c r="E382" t="str">
        <f t="shared" si="30"/>
        <v/>
      </c>
      <c r="F382" s="23" t="str">
        <f ca="1">IF(A382="","",IF($B$8="Sí",interpolar_alamb(E382,OFFSET(Curvas_cupon_cero!$A$1,1,0,COUNT(Curvas_cupon_cero!$A:$A)-2,1),OFFSET(Curvas_cupon_cero!$A$1,1,MATCH(Bono_M_Cupon_fijo_curva!$B$7,Curvas_cupon_cero!$1:$1,0)-1,COUNT(Curvas_cupon_cero!$A:$A)-2,1)),interpolar(E382,OFFSET(Curvas_cupon_cero!$A$1,1,0,COUNT(Curvas_cupon_cero!$A:$A)-2,1),OFFSET(Curvas_cupon_cero!$A$1,1,MATCH(Bono_M_Cupon_fijo_curva!$B$7,Curvas_cupon_cero!$1:$1,0)-1,COUNT(Curvas_cupon_cero!$A:$A)-2,1))))</f>
        <v/>
      </c>
      <c r="G382" s="19" t="str">
        <f>IF(A382="","",C382/(1+F382*$B$6/360)^(COUNT(A$16:A382)-($B$6-$D$16)/$B$6))</f>
        <v/>
      </c>
    </row>
    <row r="383" spans="1:7" x14ac:dyDescent="0.2">
      <c r="A383" s="12" t="str">
        <f t="shared" si="31"/>
        <v/>
      </c>
      <c r="B383" t="str">
        <f t="shared" si="27"/>
        <v/>
      </c>
      <c r="C383" s="17" t="str">
        <f t="shared" si="28"/>
        <v/>
      </c>
      <c r="D383" s="18" t="str">
        <f t="shared" si="29"/>
        <v/>
      </c>
      <c r="E383" t="str">
        <f t="shared" si="30"/>
        <v/>
      </c>
      <c r="F383" s="23" t="str">
        <f ca="1">IF(A383="","",IF($B$8="Sí",interpolar_alamb(E383,OFFSET(Curvas_cupon_cero!$A$1,1,0,COUNT(Curvas_cupon_cero!$A:$A)-2,1),OFFSET(Curvas_cupon_cero!$A$1,1,MATCH(Bono_M_Cupon_fijo_curva!$B$7,Curvas_cupon_cero!$1:$1,0)-1,COUNT(Curvas_cupon_cero!$A:$A)-2,1)),interpolar(E383,OFFSET(Curvas_cupon_cero!$A$1,1,0,COUNT(Curvas_cupon_cero!$A:$A)-2,1),OFFSET(Curvas_cupon_cero!$A$1,1,MATCH(Bono_M_Cupon_fijo_curva!$B$7,Curvas_cupon_cero!$1:$1,0)-1,COUNT(Curvas_cupon_cero!$A:$A)-2,1))))</f>
        <v/>
      </c>
      <c r="G383" s="19" t="str">
        <f>IF(A383="","",C383/(1+F383*$B$6/360)^(COUNT(A$16:A383)-($B$6-$D$16)/$B$6))</f>
        <v/>
      </c>
    </row>
    <row r="384" spans="1:7" x14ac:dyDescent="0.2">
      <c r="A384" s="12" t="str">
        <f t="shared" si="31"/>
        <v/>
      </c>
      <c r="B384" t="str">
        <f t="shared" si="27"/>
        <v/>
      </c>
      <c r="C384" s="17" t="str">
        <f t="shared" si="28"/>
        <v/>
      </c>
      <c r="D384" s="18" t="str">
        <f t="shared" si="29"/>
        <v/>
      </c>
      <c r="E384" t="str">
        <f t="shared" si="30"/>
        <v/>
      </c>
      <c r="F384" s="23" t="str">
        <f ca="1">IF(A384="","",IF($B$8="Sí",interpolar_alamb(E384,OFFSET(Curvas_cupon_cero!$A$1,1,0,COUNT(Curvas_cupon_cero!$A:$A)-2,1),OFFSET(Curvas_cupon_cero!$A$1,1,MATCH(Bono_M_Cupon_fijo_curva!$B$7,Curvas_cupon_cero!$1:$1,0)-1,COUNT(Curvas_cupon_cero!$A:$A)-2,1)),interpolar(E384,OFFSET(Curvas_cupon_cero!$A$1,1,0,COUNT(Curvas_cupon_cero!$A:$A)-2,1),OFFSET(Curvas_cupon_cero!$A$1,1,MATCH(Bono_M_Cupon_fijo_curva!$B$7,Curvas_cupon_cero!$1:$1,0)-1,COUNT(Curvas_cupon_cero!$A:$A)-2,1))))</f>
        <v/>
      </c>
      <c r="G384" s="19" t="str">
        <f>IF(A384="","",C384/(1+F384*$B$6/360)^(COUNT(A$16:A384)-($B$6-$D$16)/$B$6))</f>
        <v/>
      </c>
    </row>
    <row r="385" spans="1:7" x14ac:dyDescent="0.2">
      <c r="A385" s="12" t="str">
        <f t="shared" si="31"/>
        <v/>
      </c>
      <c r="B385" t="str">
        <f t="shared" si="27"/>
        <v/>
      </c>
      <c r="C385" s="17" t="str">
        <f t="shared" si="28"/>
        <v/>
      </c>
      <c r="D385" s="18" t="str">
        <f t="shared" si="29"/>
        <v/>
      </c>
      <c r="E385" t="str">
        <f t="shared" si="30"/>
        <v/>
      </c>
      <c r="F385" s="23" t="str">
        <f ca="1">IF(A385="","",IF($B$8="Sí",interpolar_alamb(E385,OFFSET(Curvas_cupon_cero!$A$1,1,0,COUNT(Curvas_cupon_cero!$A:$A)-2,1),OFFSET(Curvas_cupon_cero!$A$1,1,MATCH(Bono_M_Cupon_fijo_curva!$B$7,Curvas_cupon_cero!$1:$1,0)-1,COUNT(Curvas_cupon_cero!$A:$A)-2,1)),interpolar(E385,OFFSET(Curvas_cupon_cero!$A$1,1,0,COUNT(Curvas_cupon_cero!$A:$A)-2,1),OFFSET(Curvas_cupon_cero!$A$1,1,MATCH(Bono_M_Cupon_fijo_curva!$B$7,Curvas_cupon_cero!$1:$1,0)-1,COUNT(Curvas_cupon_cero!$A:$A)-2,1))))</f>
        <v/>
      </c>
      <c r="G385" s="19" t="str">
        <f>IF(A385="","",C385/(1+F385*$B$6/360)^(COUNT(A$16:A385)-($B$6-$D$16)/$B$6))</f>
        <v/>
      </c>
    </row>
    <row r="386" spans="1:7" x14ac:dyDescent="0.2">
      <c r="A386" s="12" t="str">
        <f t="shared" si="31"/>
        <v/>
      </c>
      <c r="B386" t="str">
        <f t="shared" si="27"/>
        <v/>
      </c>
      <c r="C386" s="17" t="str">
        <f t="shared" si="28"/>
        <v/>
      </c>
      <c r="D386" s="18" t="str">
        <f t="shared" si="29"/>
        <v/>
      </c>
      <c r="E386" t="str">
        <f t="shared" si="30"/>
        <v/>
      </c>
      <c r="F386" s="23" t="str">
        <f ca="1">IF(A386="","",IF($B$8="Sí",interpolar_alamb(E386,OFFSET(Curvas_cupon_cero!$A$1,1,0,COUNT(Curvas_cupon_cero!$A:$A)-2,1),OFFSET(Curvas_cupon_cero!$A$1,1,MATCH(Bono_M_Cupon_fijo_curva!$B$7,Curvas_cupon_cero!$1:$1,0)-1,COUNT(Curvas_cupon_cero!$A:$A)-2,1)),interpolar(E386,OFFSET(Curvas_cupon_cero!$A$1,1,0,COUNT(Curvas_cupon_cero!$A:$A)-2,1),OFFSET(Curvas_cupon_cero!$A$1,1,MATCH(Bono_M_Cupon_fijo_curva!$B$7,Curvas_cupon_cero!$1:$1,0)-1,COUNT(Curvas_cupon_cero!$A:$A)-2,1))))</f>
        <v/>
      </c>
      <c r="G386" s="19" t="str">
        <f>IF(A386="","",C386/(1+F386*$B$6/360)^(COUNT(A$16:A386)-($B$6-$D$16)/$B$6))</f>
        <v/>
      </c>
    </row>
    <row r="387" spans="1:7" x14ac:dyDescent="0.2">
      <c r="A387" s="12" t="str">
        <f t="shared" si="31"/>
        <v/>
      </c>
      <c r="B387" t="str">
        <f t="shared" si="27"/>
        <v/>
      </c>
      <c r="C387" s="17" t="str">
        <f t="shared" si="28"/>
        <v/>
      </c>
      <c r="D387" s="18" t="str">
        <f t="shared" si="29"/>
        <v/>
      </c>
      <c r="E387" t="str">
        <f t="shared" si="30"/>
        <v/>
      </c>
      <c r="F387" s="23" t="str">
        <f ca="1">IF(A387="","",IF($B$8="Sí",interpolar_alamb(E387,OFFSET(Curvas_cupon_cero!$A$1,1,0,COUNT(Curvas_cupon_cero!$A:$A)-2,1),OFFSET(Curvas_cupon_cero!$A$1,1,MATCH(Bono_M_Cupon_fijo_curva!$B$7,Curvas_cupon_cero!$1:$1,0)-1,COUNT(Curvas_cupon_cero!$A:$A)-2,1)),interpolar(E387,OFFSET(Curvas_cupon_cero!$A$1,1,0,COUNT(Curvas_cupon_cero!$A:$A)-2,1),OFFSET(Curvas_cupon_cero!$A$1,1,MATCH(Bono_M_Cupon_fijo_curva!$B$7,Curvas_cupon_cero!$1:$1,0)-1,COUNT(Curvas_cupon_cero!$A:$A)-2,1))))</f>
        <v/>
      </c>
      <c r="G387" s="19" t="str">
        <f>IF(A387="","",C387/(1+F387*$B$6/360)^(COUNT(A$16:A387)-($B$6-$D$16)/$B$6))</f>
        <v/>
      </c>
    </row>
    <row r="388" spans="1:7" x14ac:dyDescent="0.2">
      <c r="A388" s="12" t="str">
        <f t="shared" si="31"/>
        <v/>
      </c>
      <c r="B388" t="str">
        <f t="shared" si="27"/>
        <v/>
      </c>
      <c r="C388" s="17" t="str">
        <f t="shared" si="28"/>
        <v/>
      </c>
      <c r="D388" s="18" t="str">
        <f t="shared" si="29"/>
        <v/>
      </c>
      <c r="E388" t="str">
        <f t="shared" si="30"/>
        <v/>
      </c>
      <c r="F388" s="23" t="str">
        <f ca="1">IF(A388="","",IF($B$8="Sí",interpolar_alamb(E388,OFFSET(Curvas_cupon_cero!$A$1,1,0,COUNT(Curvas_cupon_cero!$A:$A)-2,1),OFFSET(Curvas_cupon_cero!$A$1,1,MATCH(Bono_M_Cupon_fijo_curva!$B$7,Curvas_cupon_cero!$1:$1,0)-1,COUNT(Curvas_cupon_cero!$A:$A)-2,1)),interpolar(E388,OFFSET(Curvas_cupon_cero!$A$1,1,0,COUNT(Curvas_cupon_cero!$A:$A)-2,1),OFFSET(Curvas_cupon_cero!$A$1,1,MATCH(Bono_M_Cupon_fijo_curva!$B$7,Curvas_cupon_cero!$1:$1,0)-1,COUNT(Curvas_cupon_cero!$A:$A)-2,1))))</f>
        <v/>
      </c>
      <c r="G388" s="19" t="str">
        <f>IF(A388="","",C388/(1+F388*$B$6/360)^(COUNT(A$16:A388)-($B$6-$D$16)/$B$6))</f>
        <v/>
      </c>
    </row>
    <row r="389" spans="1:7" x14ac:dyDescent="0.2">
      <c r="A389" s="12" t="str">
        <f t="shared" si="31"/>
        <v/>
      </c>
      <c r="B389" t="str">
        <f t="shared" si="27"/>
        <v/>
      </c>
      <c r="C389" s="17" t="str">
        <f t="shared" si="28"/>
        <v/>
      </c>
      <c r="D389" s="18" t="str">
        <f t="shared" si="29"/>
        <v/>
      </c>
      <c r="E389" t="str">
        <f t="shared" si="30"/>
        <v/>
      </c>
      <c r="F389" s="23" t="str">
        <f ca="1">IF(A389="","",IF($B$8="Sí",interpolar_alamb(E389,OFFSET(Curvas_cupon_cero!$A$1,1,0,COUNT(Curvas_cupon_cero!$A:$A)-2,1),OFFSET(Curvas_cupon_cero!$A$1,1,MATCH(Bono_M_Cupon_fijo_curva!$B$7,Curvas_cupon_cero!$1:$1,0)-1,COUNT(Curvas_cupon_cero!$A:$A)-2,1)),interpolar(E389,OFFSET(Curvas_cupon_cero!$A$1,1,0,COUNT(Curvas_cupon_cero!$A:$A)-2,1),OFFSET(Curvas_cupon_cero!$A$1,1,MATCH(Bono_M_Cupon_fijo_curva!$B$7,Curvas_cupon_cero!$1:$1,0)-1,COUNT(Curvas_cupon_cero!$A:$A)-2,1))))</f>
        <v/>
      </c>
      <c r="G389" s="19" t="str">
        <f>IF(A389="","",C389/(1+F389*$B$6/360)^(COUNT(A$16:A389)-($B$6-$D$16)/$B$6))</f>
        <v/>
      </c>
    </row>
    <row r="390" spans="1:7" x14ac:dyDescent="0.2">
      <c r="A390" s="12" t="str">
        <f t="shared" si="31"/>
        <v/>
      </c>
      <c r="B390" t="str">
        <f t="shared" si="27"/>
        <v/>
      </c>
      <c r="C390" s="17" t="str">
        <f t="shared" si="28"/>
        <v/>
      </c>
      <c r="D390" s="18" t="str">
        <f t="shared" si="29"/>
        <v/>
      </c>
      <c r="E390" t="str">
        <f t="shared" si="30"/>
        <v/>
      </c>
      <c r="F390" s="23" t="str">
        <f ca="1">IF(A390="","",IF($B$8="Sí",interpolar_alamb(E390,OFFSET(Curvas_cupon_cero!$A$1,1,0,COUNT(Curvas_cupon_cero!$A:$A)-2,1),OFFSET(Curvas_cupon_cero!$A$1,1,MATCH(Bono_M_Cupon_fijo_curva!$B$7,Curvas_cupon_cero!$1:$1,0)-1,COUNT(Curvas_cupon_cero!$A:$A)-2,1)),interpolar(E390,OFFSET(Curvas_cupon_cero!$A$1,1,0,COUNT(Curvas_cupon_cero!$A:$A)-2,1),OFFSET(Curvas_cupon_cero!$A$1,1,MATCH(Bono_M_Cupon_fijo_curva!$B$7,Curvas_cupon_cero!$1:$1,0)-1,COUNT(Curvas_cupon_cero!$A:$A)-2,1))))</f>
        <v/>
      </c>
      <c r="G390" s="19" t="str">
        <f>IF(A390="","",C390/(1+F390*$B$6/360)^(COUNT(A$16:A390)-($B$6-$D$16)/$B$6))</f>
        <v/>
      </c>
    </row>
    <row r="391" spans="1:7" x14ac:dyDescent="0.2">
      <c r="A391" s="12" t="str">
        <f t="shared" si="31"/>
        <v/>
      </c>
      <c r="B391" t="str">
        <f t="shared" si="27"/>
        <v/>
      </c>
      <c r="C391" s="17" t="str">
        <f t="shared" si="28"/>
        <v/>
      </c>
      <c r="D391" s="18" t="str">
        <f t="shared" si="29"/>
        <v/>
      </c>
      <c r="E391" t="str">
        <f t="shared" si="30"/>
        <v/>
      </c>
      <c r="F391" s="23" t="str">
        <f ca="1">IF(A391="","",IF($B$8="Sí",interpolar_alamb(E391,OFFSET(Curvas_cupon_cero!$A$1,1,0,COUNT(Curvas_cupon_cero!$A:$A)-2,1),OFFSET(Curvas_cupon_cero!$A$1,1,MATCH(Bono_M_Cupon_fijo_curva!$B$7,Curvas_cupon_cero!$1:$1,0)-1,COUNT(Curvas_cupon_cero!$A:$A)-2,1)),interpolar(E391,OFFSET(Curvas_cupon_cero!$A$1,1,0,COUNT(Curvas_cupon_cero!$A:$A)-2,1),OFFSET(Curvas_cupon_cero!$A$1,1,MATCH(Bono_M_Cupon_fijo_curva!$B$7,Curvas_cupon_cero!$1:$1,0)-1,COUNT(Curvas_cupon_cero!$A:$A)-2,1))))</f>
        <v/>
      </c>
      <c r="G391" s="19" t="str">
        <f>IF(A391="","",C391/(1+F391*$B$6/360)^(COUNT(A$16:A391)-($B$6-$D$16)/$B$6))</f>
        <v/>
      </c>
    </row>
    <row r="392" spans="1:7" x14ac:dyDescent="0.2">
      <c r="A392" s="12" t="str">
        <f t="shared" si="31"/>
        <v/>
      </c>
      <c r="B392" t="str">
        <f t="shared" si="27"/>
        <v/>
      </c>
      <c r="C392" s="17" t="str">
        <f t="shared" si="28"/>
        <v/>
      </c>
      <c r="D392" s="18" t="str">
        <f t="shared" si="29"/>
        <v/>
      </c>
      <c r="E392" t="str">
        <f t="shared" si="30"/>
        <v/>
      </c>
      <c r="F392" s="23" t="str">
        <f ca="1">IF(A392="","",IF($B$8="Sí",interpolar_alamb(E392,OFFSET(Curvas_cupon_cero!$A$1,1,0,COUNT(Curvas_cupon_cero!$A:$A)-2,1),OFFSET(Curvas_cupon_cero!$A$1,1,MATCH(Bono_M_Cupon_fijo_curva!$B$7,Curvas_cupon_cero!$1:$1,0)-1,COUNT(Curvas_cupon_cero!$A:$A)-2,1)),interpolar(E392,OFFSET(Curvas_cupon_cero!$A$1,1,0,COUNT(Curvas_cupon_cero!$A:$A)-2,1),OFFSET(Curvas_cupon_cero!$A$1,1,MATCH(Bono_M_Cupon_fijo_curva!$B$7,Curvas_cupon_cero!$1:$1,0)-1,COUNT(Curvas_cupon_cero!$A:$A)-2,1))))</f>
        <v/>
      </c>
      <c r="G392" s="19" t="str">
        <f>IF(A392="","",C392/(1+F392*$B$6/360)^(COUNT(A$16:A392)-($B$6-$D$16)/$B$6))</f>
        <v/>
      </c>
    </row>
    <row r="393" spans="1:7" x14ac:dyDescent="0.2">
      <c r="A393" s="12" t="str">
        <f t="shared" si="31"/>
        <v/>
      </c>
      <c r="B393" t="str">
        <f t="shared" si="27"/>
        <v/>
      </c>
      <c r="C393" s="17" t="str">
        <f t="shared" si="28"/>
        <v/>
      </c>
      <c r="D393" s="18" t="str">
        <f t="shared" si="29"/>
        <v/>
      </c>
      <c r="E393" t="str">
        <f t="shared" si="30"/>
        <v/>
      </c>
      <c r="F393" s="23" t="str">
        <f ca="1">IF(A393="","",IF($B$8="Sí",interpolar_alamb(E393,OFFSET(Curvas_cupon_cero!$A$1,1,0,COUNT(Curvas_cupon_cero!$A:$A)-2,1),OFFSET(Curvas_cupon_cero!$A$1,1,MATCH(Bono_M_Cupon_fijo_curva!$B$7,Curvas_cupon_cero!$1:$1,0)-1,COUNT(Curvas_cupon_cero!$A:$A)-2,1)),interpolar(E393,OFFSET(Curvas_cupon_cero!$A$1,1,0,COUNT(Curvas_cupon_cero!$A:$A)-2,1),OFFSET(Curvas_cupon_cero!$A$1,1,MATCH(Bono_M_Cupon_fijo_curva!$B$7,Curvas_cupon_cero!$1:$1,0)-1,COUNT(Curvas_cupon_cero!$A:$A)-2,1))))</f>
        <v/>
      </c>
      <c r="G393" s="19" t="str">
        <f>IF(A393="","",C393/(1+F393*$B$6/360)^(COUNT(A$16:A393)-($B$6-$D$16)/$B$6))</f>
        <v/>
      </c>
    </row>
    <row r="394" spans="1:7" x14ac:dyDescent="0.2">
      <c r="A394" s="12" t="str">
        <f t="shared" si="31"/>
        <v/>
      </c>
      <c r="B394" t="str">
        <f t="shared" si="27"/>
        <v/>
      </c>
      <c r="C394" s="17" t="str">
        <f t="shared" si="28"/>
        <v/>
      </c>
      <c r="D394" s="18" t="str">
        <f t="shared" si="29"/>
        <v/>
      </c>
      <c r="E394" t="str">
        <f t="shared" si="30"/>
        <v/>
      </c>
      <c r="F394" s="23" t="str">
        <f ca="1">IF(A394="","",IF($B$8="Sí",interpolar_alamb(E394,OFFSET(Curvas_cupon_cero!$A$1,1,0,COUNT(Curvas_cupon_cero!$A:$A)-2,1),OFFSET(Curvas_cupon_cero!$A$1,1,MATCH(Bono_M_Cupon_fijo_curva!$B$7,Curvas_cupon_cero!$1:$1,0)-1,COUNT(Curvas_cupon_cero!$A:$A)-2,1)),interpolar(E394,OFFSET(Curvas_cupon_cero!$A$1,1,0,COUNT(Curvas_cupon_cero!$A:$A)-2,1),OFFSET(Curvas_cupon_cero!$A$1,1,MATCH(Bono_M_Cupon_fijo_curva!$B$7,Curvas_cupon_cero!$1:$1,0)-1,COUNT(Curvas_cupon_cero!$A:$A)-2,1))))</f>
        <v/>
      </c>
      <c r="G394" s="19" t="str">
        <f>IF(A394="","",C394/(1+F394*$B$6/360)^(COUNT(A$16:A394)-($B$6-$D$16)/$B$6))</f>
        <v/>
      </c>
    </row>
    <row r="395" spans="1:7" x14ac:dyDescent="0.2">
      <c r="A395" s="12" t="str">
        <f t="shared" si="31"/>
        <v/>
      </c>
      <c r="B395" t="str">
        <f t="shared" si="27"/>
        <v/>
      </c>
      <c r="C395" s="17" t="str">
        <f t="shared" si="28"/>
        <v/>
      </c>
      <c r="D395" s="18" t="str">
        <f t="shared" si="29"/>
        <v/>
      </c>
      <c r="E395" t="str">
        <f t="shared" si="30"/>
        <v/>
      </c>
      <c r="F395" s="23" t="str">
        <f ca="1">IF(A395="","",IF($B$8="Sí",interpolar_alamb(E395,OFFSET(Curvas_cupon_cero!$A$1,1,0,COUNT(Curvas_cupon_cero!$A:$A)-2,1),OFFSET(Curvas_cupon_cero!$A$1,1,MATCH(Bono_M_Cupon_fijo_curva!$B$7,Curvas_cupon_cero!$1:$1,0)-1,COUNT(Curvas_cupon_cero!$A:$A)-2,1)),interpolar(E395,OFFSET(Curvas_cupon_cero!$A$1,1,0,COUNT(Curvas_cupon_cero!$A:$A)-2,1),OFFSET(Curvas_cupon_cero!$A$1,1,MATCH(Bono_M_Cupon_fijo_curva!$B$7,Curvas_cupon_cero!$1:$1,0)-1,COUNT(Curvas_cupon_cero!$A:$A)-2,1))))</f>
        <v/>
      </c>
      <c r="G395" s="19" t="str">
        <f>IF(A395="","",C395/(1+F395*$B$6/360)^(COUNT(A$16:A395)-($B$6-$D$16)/$B$6))</f>
        <v/>
      </c>
    </row>
    <row r="396" spans="1:7" x14ac:dyDescent="0.2">
      <c r="A396" s="12" t="str">
        <f t="shared" si="31"/>
        <v/>
      </c>
      <c r="B396" t="str">
        <f t="shared" si="27"/>
        <v/>
      </c>
      <c r="C396" s="17" t="str">
        <f t="shared" si="28"/>
        <v/>
      </c>
      <c r="D396" s="18" t="str">
        <f t="shared" si="29"/>
        <v/>
      </c>
      <c r="E396" t="str">
        <f t="shared" si="30"/>
        <v/>
      </c>
      <c r="F396" s="23" t="str">
        <f ca="1">IF(A396="","",IF($B$8="Sí",interpolar_alamb(E396,OFFSET(Curvas_cupon_cero!$A$1,1,0,COUNT(Curvas_cupon_cero!$A:$A)-2,1),OFFSET(Curvas_cupon_cero!$A$1,1,MATCH(Bono_M_Cupon_fijo_curva!$B$7,Curvas_cupon_cero!$1:$1,0)-1,COUNT(Curvas_cupon_cero!$A:$A)-2,1)),interpolar(E396,OFFSET(Curvas_cupon_cero!$A$1,1,0,COUNT(Curvas_cupon_cero!$A:$A)-2,1),OFFSET(Curvas_cupon_cero!$A$1,1,MATCH(Bono_M_Cupon_fijo_curva!$B$7,Curvas_cupon_cero!$1:$1,0)-1,COUNT(Curvas_cupon_cero!$A:$A)-2,1))))</f>
        <v/>
      </c>
      <c r="G396" s="19" t="str">
        <f>IF(A396="","",C396/(1+F396*$B$6/360)^(COUNT(A$16:A396)-($B$6-$D$16)/$B$6))</f>
        <v/>
      </c>
    </row>
    <row r="397" spans="1:7" x14ac:dyDescent="0.2">
      <c r="A397" s="12" t="str">
        <f t="shared" si="31"/>
        <v/>
      </c>
      <c r="B397" t="str">
        <f t="shared" si="27"/>
        <v/>
      </c>
      <c r="C397" s="17" t="str">
        <f t="shared" si="28"/>
        <v/>
      </c>
      <c r="D397" s="18" t="str">
        <f t="shared" si="29"/>
        <v/>
      </c>
      <c r="E397" t="str">
        <f t="shared" si="30"/>
        <v/>
      </c>
      <c r="F397" s="23" t="str">
        <f ca="1">IF(A397="","",IF($B$8="Sí",interpolar_alamb(E397,OFFSET(Curvas_cupon_cero!$A$1,1,0,COUNT(Curvas_cupon_cero!$A:$A)-2,1),OFFSET(Curvas_cupon_cero!$A$1,1,MATCH(Bono_M_Cupon_fijo_curva!$B$7,Curvas_cupon_cero!$1:$1,0)-1,COUNT(Curvas_cupon_cero!$A:$A)-2,1)),interpolar(E397,OFFSET(Curvas_cupon_cero!$A$1,1,0,COUNT(Curvas_cupon_cero!$A:$A)-2,1),OFFSET(Curvas_cupon_cero!$A$1,1,MATCH(Bono_M_Cupon_fijo_curva!$B$7,Curvas_cupon_cero!$1:$1,0)-1,COUNT(Curvas_cupon_cero!$A:$A)-2,1))))</f>
        <v/>
      </c>
      <c r="G397" s="19" t="str">
        <f>IF(A397="","",C397/(1+F397*$B$6/360)^(COUNT(A$16:A397)-($B$6-$D$16)/$B$6))</f>
        <v/>
      </c>
    </row>
    <row r="398" spans="1:7" x14ac:dyDescent="0.2">
      <c r="A398" s="12" t="str">
        <f t="shared" si="31"/>
        <v/>
      </c>
      <c r="B398" t="str">
        <f t="shared" si="27"/>
        <v/>
      </c>
      <c r="C398" s="17" t="str">
        <f t="shared" si="28"/>
        <v/>
      </c>
      <c r="D398" s="18" t="str">
        <f t="shared" si="29"/>
        <v/>
      </c>
      <c r="E398" t="str">
        <f t="shared" si="30"/>
        <v/>
      </c>
      <c r="F398" s="23" t="str">
        <f ca="1">IF(A398="","",IF($B$8="Sí",interpolar_alamb(E398,OFFSET(Curvas_cupon_cero!$A$1,1,0,COUNT(Curvas_cupon_cero!$A:$A)-2,1),OFFSET(Curvas_cupon_cero!$A$1,1,MATCH(Bono_M_Cupon_fijo_curva!$B$7,Curvas_cupon_cero!$1:$1,0)-1,COUNT(Curvas_cupon_cero!$A:$A)-2,1)),interpolar(E398,OFFSET(Curvas_cupon_cero!$A$1,1,0,COUNT(Curvas_cupon_cero!$A:$A)-2,1),OFFSET(Curvas_cupon_cero!$A$1,1,MATCH(Bono_M_Cupon_fijo_curva!$B$7,Curvas_cupon_cero!$1:$1,0)-1,COUNT(Curvas_cupon_cero!$A:$A)-2,1))))</f>
        <v/>
      </c>
      <c r="G398" s="19" t="str">
        <f>IF(A398="","",C398/(1+F398*$B$6/360)^(COUNT(A$16:A398)-($B$6-$D$16)/$B$6))</f>
        <v/>
      </c>
    </row>
    <row r="399" spans="1:7" x14ac:dyDescent="0.2">
      <c r="A399" s="12" t="str">
        <f t="shared" si="31"/>
        <v/>
      </c>
      <c r="B399" t="str">
        <f t="shared" si="27"/>
        <v/>
      </c>
      <c r="C399" s="17" t="str">
        <f t="shared" si="28"/>
        <v/>
      </c>
      <c r="D399" s="18" t="str">
        <f t="shared" si="29"/>
        <v/>
      </c>
      <c r="E399" t="str">
        <f t="shared" si="30"/>
        <v/>
      </c>
      <c r="F399" s="23" t="str">
        <f ca="1">IF(A399="","",IF($B$8="Sí",interpolar_alamb(E399,OFFSET(Curvas_cupon_cero!$A$1,1,0,COUNT(Curvas_cupon_cero!$A:$A)-2,1),OFFSET(Curvas_cupon_cero!$A$1,1,MATCH(Bono_M_Cupon_fijo_curva!$B$7,Curvas_cupon_cero!$1:$1,0)-1,COUNT(Curvas_cupon_cero!$A:$A)-2,1)),interpolar(E399,OFFSET(Curvas_cupon_cero!$A$1,1,0,COUNT(Curvas_cupon_cero!$A:$A)-2,1),OFFSET(Curvas_cupon_cero!$A$1,1,MATCH(Bono_M_Cupon_fijo_curva!$B$7,Curvas_cupon_cero!$1:$1,0)-1,COUNT(Curvas_cupon_cero!$A:$A)-2,1))))</f>
        <v/>
      </c>
      <c r="G399" s="19" t="str">
        <f>IF(A399="","",C399/(1+F399*$B$6/360)^(COUNT(A$16:A399)-($B$6-$D$16)/$B$6))</f>
        <v/>
      </c>
    </row>
    <row r="400" spans="1:7" x14ac:dyDescent="0.2">
      <c r="A400" s="12" t="str">
        <f t="shared" si="31"/>
        <v/>
      </c>
      <c r="B400" t="str">
        <f t="shared" si="27"/>
        <v/>
      </c>
      <c r="C400" s="17" t="str">
        <f t="shared" si="28"/>
        <v/>
      </c>
      <c r="D400" s="18" t="str">
        <f t="shared" si="29"/>
        <v/>
      </c>
      <c r="E400" t="str">
        <f t="shared" si="30"/>
        <v/>
      </c>
      <c r="F400" s="23" t="str">
        <f ca="1">IF(A400="","",IF($B$8="Sí",interpolar_alamb(E400,OFFSET(Curvas_cupon_cero!$A$1,1,0,COUNT(Curvas_cupon_cero!$A:$A)-2,1),OFFSET(Curvas_cupon_cero!$A$1,1,MATCH(Bono_M_Cupon_fijo_curva!$B$7,Curvas_cupon_cero!$1:$1,0)-1,COUNT(Curvas_cupon_cero!$A:$A)-2,1)),interpolar(E400,OFFSET(Curvas_cupon_cero!$A$1,1,0,COUNT(Curvas_cupon_cero!$A:$A)-2,1),OFFSET(Curvas_cupon_cero!$A$1,1,MATCH(Bono_M_Cupon_fijo_curva!$B$7,Curvas_cupon_cero!$1:$1,0)-1,COUNT(Curvas_cupon_cero!$A:$A)-2,1))))</f>
        <v/>
      </c>
      <c r="G400" s="19" t="str">
        <f>IF(A400="","",C400/(1+F400*$B$6/360)^(COUNT(A$16:A400)-($B$6-$D$16)/$B$6))</f>
        <v/>
      </c>
    </row>
    <row r="401" spans="1:7" x14ac:dyDescent="0.2">
      <c r="A401" s="12" t="str">
        <f t="shared" si="31"/>
        <v/>
      </c>
      <c r="B401" t="str">
        <f t="shared" ref="B401:B464" si="32">IF(A401="","",$B$5)</f>
        <v/>
      </c>
      <c r="C401" s="17" t="str">
        <f t="shared" ref="C401:C464" si="33">IF(A401="","",IF(A401=$B$4,$B$1*$B$2+ $B$5*$B$6/360*$B$1*$B$2, $B$5*$B$6/360*$B$1*$B$2))</f>
        <v/>
      </c>
      <c r="D401" s="18" t="str">
        <f t="shared" ref="D401:D464" si="34">IF(A401="","",$B$6)</f>
        <v/>
      </c>
      <c r="E401" t="str">
        <f t="shared" ref="E401:E464" si="35">IF(A401="","",E400+D401)</f>
        <v/>
      </c>
      <c r="F401" s="23" t="str">
        <f ca="1">IF(A401="","",IF($B$8="Sí",interpolar_alamb(E401,OFFSET(Curvas_cupon_cero!$A$1,1,0,COUNT(Curvas_cupon_cero!$A:$A)-2,1),OFFSET(Curvas_cupon_cero!$A$1,1,MATCH(Bono_M_Cupon_fijo_curva!$B$7,Curvas_cupon_cero!$1:$1,0)-1,COUNT(Curvas_cupon_cero!$A:$A)-2,1)),interpolar(E401,OFFSET(Curvas_cupon_cero!$A$1,1,0,COUNT(Curvas_cupon_cero!$A:$A)-2,1),OFFSET(Curvas_cupon_cero!$A$1,1,MATCH(Bono_M_Cupon_fijo_curva!$B$7,Curvas_cupon_cero!$1:$1,0)-1,COUNT(Curvas_cupon_cero!$A:$A)-2,1))))</f>
        <v/>
      </c>
      <c r="G401" s="19" t="str">
        <f>IF(A401="","",C401/(1+F401*$B$6/360)^(COUNT(A$16:A401)-($B$6-$D$16)/$B$6))</f>
        <v/>
      </c>
    </row>
    <row r="402" spans="1:7" x14ac:dyDescent="0.2">
      <c r="A402" s="12" t="str">
        <f t="shared" si="31"/>
        <v/>
      </c>
      <c r="B402" t="str">
        <f t="shared" si="32"/>
        <v/>
      </c>
      <c r="C402" s="17" t="str">
        <f t="shared" si="33"/>
        <v/>
      </c>
      <c r="D402" s="18" t="str">
        <f t="shared" si="34"/>
        <v/>
      </c>
      <c r="E402" t="str">
        <f t="shared" si="35"/>
        <v/>
      </c>
      <c r="F402" s="23" t="str">
        <f ca="1">IF(A402="","",IF($B$8="Sí",interpolar_alamb(E402,OFFSET(Curvas_cupon_cero!$A$1,1,0,COUNT(Curvas_cupon_cero!$A:$A)-2,1),OFFSET(Curvas_cupon_cero!$A$1,1,MATCH(Bono_M_Cupon_fijo_curva!$B$7,Curvas_cupon_cero!$1:$1,0)-1,COUNT(Curvas_cupon_cero!$A:$A)-2,1)),interpolar(E402,OFFSET(Curvas_cupon_cero!$A$1,1,0,COUNT(Curvas_cupon_cero!$A:$A)-2,1),OFFSET(Curvas_cupon_cero!$A$1,1,MATCH(Bono_M_Cupon_fijo_curva!$B$7,Curvas_cupon_cero!$1:$1,0)-1,COUNT(Curvas_cupon_cero!$A:$A)-2,1))))</f>
        <v/>
      </c>
      <c r="G402" s="19" t="str">
        <f>IF(A402="","",C402/(1+F402*$B$6/360)^(COUNT(A$16:A402)-($B$6-$D$16)/$B$6))</f>
        <v/>
      </c>
    </row>
    <row r="403" spans="1:7" x14ac:dyDescent="0.2">
      <c r="A403" s="12" t="str">
        <f t="shared" si="31"/>
        <v/>
      </c>
      <c r="B403" t="str">
        <f t="shared" si="32"/>
        <v/>
      </c>
      <c r="C403" s="17" t="str">
        <f t="shared" si="33"/>
        <v/>
      </c>
      <c r="D403" s="18" t="str">
        <f t="shared" si="34"/>
        <v/>
      </c>
      <c r="E403" t="str">
        <f t="shared" si="35"/>
        <v/>
      </c>
      <c r="F403" s="23" t="str">
        <f ca="1">IF(A403="","",IF($B$8="Sí",interpolar_alamb(E403,OFFSET(Curvas_cupon_cero!$A$1,1,0,COUNT(Curvas_cupon_cero!$A:$A)-2,1),OFFSET(Curvas_cupon_cero!$A$1,1,MATCH(Bono_M_Cupon_fijo_curva!$B$7,Curvas_cupon_cero!$1:$1,0)-1,COUNT(Curvas_cupon_cero!$A:$A)-2,1)),interpolar(E403,OFFSET(Curvas_cupon_cero!$A$1,1,0,COUNT(Curvas_cupon_cero!$A:$A)-2,1),OFFSET(Curvas_cupon_cero!$A$1,1,MATCH(Bono_M_Cupon_fijo_curva!$B$7,Curvas_cupon_cero!$1:$1,0)-1,COUNT(Curvas_cupon_cero!$A:$A)-2,1))))</f>
        <v/>
      </c>
      <c r="G403" s="19" t="str">
        <f>IF(A403="","",C403/(1+F403*$B$6/360)^(COUNT(A$16:A403)-($B$6-$D$16)/$B$6))</f>
        <v/>
      </c>
    </row>
    <row r="404" spans="1:7" x14ac:dyDescent="0.2">
      <c r="A404" s="12" t="str">
        <f t="shared" si="31"/>
        <v/>
      </c>
      <c r="B404" t="str">
        <f t="shared" si="32"/>
        <v/>
      </c>
      <c r="C404" s="17" t="str">
        <f t="shared" si="33"/>
        <v/>
      </c>
      <c r="D404" s="18" t="str">
        <f t="shared" si="34"/>
        <v/>
      </c>
      <c r="E404" t="str">
        <f t="shared" si="35"/>
        <v/>
      </c>
      <c r="F404" s="23" t="str">
        <f ca="1">IF(A404="","",IF($B$8="Sí",interpolar_alamb(E404,OFFSET(Curvas_cupon_cero!$A$1,1,0,COUNT(Curvas_cupon_cero!$A:$A)-2,1),OFFSET(Curvas_cupon_cero!$A$1,1,MATCH(Bono_M_Cupon_fijo_curva!$B$7,Curvas_cupon_cero!$1:$1,0)-1,COUNT(Curvas_cupon_cero!$A:$A)-2,1)),interpolar(E404,OFFSET(Curvas_cupon_cero!$A$1,1,0,COUNT(Curvas_cupon_cero!$A:$A)-2,1),OFFSET(Curvas_cupon_cero!$A$1,1,MATCH(Bono_M_Cupon_fijo_curva!$B$7,Curvas_cupon_cero!$1:$1,0)-1,COUNT(Curvas_cupon_cero!$A:$A)-2,1))))</f>
        <v/>
      </c>
      <c r="G404" s="19" t="str">
        <f>IF(A404="","",C404/(1+F404*$B$6/360)^(COUNT(A$16:A404)-($B$6-$D$16)/$B$6))</f>
        <v/>
      </c>
    </row>
    <row r="405" spans="1:7" x14ac:dyDescent="0.2">
      <c r="A405" s="12" t="str">
        <f t="shared" si="31"/>
        <v/>
      </c>
      <c r="B405" t="str">
        <f t="shared" si="32"/>
        <v/>
      </c>
      <c r="C405" s="17" t="str">
        <f t="shared" si="33"/>
        <v/>
      </c>
      <c r="D405" s="18" t="str">
        <f t="shared" si="34"/>
        <v/>
      </c>
      <c r="E405" t="str">
        <f t="shared" si="35"/>
        <v/>
      </c>
      <c r="F405" s="23" t="str">
        <f ca="1">IF(A405="","",IF($B$8="Sí",interpolar_alamb(E405,OFFSET(Curvas_cupon_cero!$A$1,1,0,COUNT(Curvas_cupon_cero!$A:$A)-2,1),OFFSET(Curvas_cupon_cero!$A$1,1,MATCH(Bono_M_Cupon_fijo_curva!$B$7,Curvas_cupon_cero!$1:$1,0)-1,COUNT(Curvas_cupon_cero!$A:$A)-2,1)),interpolar(E405,OFFSET(Curvas_cupon_cero!$A$1,1,0,COUNT(Curvas_cupon_cero!$A:$A)-2,1),OFFSET(Curvas_cupon_cero!$A$1,1,MATCH(Bono_M_Cupon_fijo_curva!$B$7,Curvas_cupon_cero!$1:$1,0)-1,COUNT(Curvas_cupon_cero!$A:$A)-2,1))))</f>
        <v/>
      </c>
      <c r="G405" s="19" t="str">
        <f>IF(A405="","",C405/(1+F405*$B$6/360)^(COUNT(A$16:A405)-($B$6-$D$16)/$B$6))</f>
        <v/>
      </c>
    </row>
    <row r="406" spans="1:7" x14ac:dyDescent="0.2">
      <c r="A406" s="12" t="str">
        <f t="shared" si="31"/>
        <v/>
      </c>
      <c r="B406" t="str">
        <f t="shared" si="32"/>
        <v/>
      </c>
      <c r="C406" s="17" t="str">
        <f t="shared" si="33"/>
        <v/>
      </c>
      <c r="D406" s="18" t="str">
        <f t="shared" si="34"/>
        <v/>
      </c>
      <c r="E406" t="str">
        <f t="shared" si="35"/>
        <v/>
      </c>
      <c r="F406" s="23" t="str">
        <f ca="1">IF(A406="","",IF($B$8="Sí",interpolar_alamb(E406,OFFSET(Curvas_cupon_cero!$A$1,1,0,COUNT(Curvas_cupon_cero!$A:$A)-2,1),OFFSET(Curvas_cupon_cero!$A$1,1,MATCH(Bono_M_Cupon_fijo_curva!$B$7,Curvas_cupon_cero!$1:$1,0)-1,COUNT(Curvas_cupon_cero!$A:$A)-2,1)),interpolar(E406,OFFSET(Curvas_cupon_cero!$A$1,1,0,COUNT(Curvas_cupon_cero!$A:$A)-2,1),OFFSET(Curvas_cupon_cero!$A$1,1,MATCH(Bono_M_Cupon_fijo_curva!$B$7,Curvas_cupon_cero!$1:$1,0)-1,COUNT(Curvas_cupon_cero!$A:$A)-2,1))))</f>
        <v/>
      </c>
      <c r="G406" s="19" t="str">
        <f>IF(A406="","",C406/(1+F406*$B$6/360)^(COUNT(A$16:A406)-($B$6-$D$16)/$B$6))</f>
        <v/>
      </c>
    </row>
    <row r="407" spans="1:7" x14ac:dyDescent="0.2">
      <c r="A407" s="12" t="str">
        <f t="shared" si="31"/>
        <v/>
      </c>
      <c r="B407" t="str">
        <f t="shared" si="32"/>
        <v/>
      </c>
      <c r="C407" s="17" t="str">
        <f t="shared" si="33"/>
        <v/>
      </c>
      <c r="D407" s="18" t="str">
        <f t="shared" si="34"/>
        <v/>
      </c>
      <c r="E407" t="str">
        <f t="shared" si="35"/>
        <v/>
      </c>
      <c r="F407" s="23" t="str">
        <f ca="1">IF(A407="","",IF($B$8="Sí",interpolar_alamb(E407,OFFSET(Curvas_cupon_cero!$A$1,1,0,COUNT(Curvas_cupon_cero!$A:$A)-2,1),OFFSET(Curvas_cupon_cero!$A$1,1,MATCH(Bono_M_Cupon_fijo_curva!$B$7,Curvas_cupon_cero!$1:$1,0)-1,COUNT(Curvas_cupon_cero!$A:$A)-2,1)),interpolar(E407,OFFSET(Curvas_cupon_cero!$A$1,1,0,COUNT(Curvas_cupon_cero!$A:$A)-2,1),OFFSET(Curvas_cupon_cero!$A$1,1,MATCH(Bono_M_Cupon_fijo_curva!$B$7,Curvas_cupon_cero!$1:$1,0)-1,COUNT(Curvas_cupon_cero!$A:$A)-2,1))))</f>
        <v/>
      </c>
      <c r="G407" s="19" t="str">
        <f>IF(A407="","",C407/(1+F407*$B$6/360)^(COUNT(A$16:A407)-($B$6-$D$16)/$B$6))</f>
        <v/>
      </c>
    </row>
    <row r="408" spans="1:7" x14ac:dyDescent="0.2">
      <c r="A408" s="12" t="str">
        <f t="shared" si="31"/>
        <v/>
      </c>
      <c r="B408" t="str">
        <f t="shared" si="32"/>
        <v/>
      </c>
      <c r="C408" s="17" t="str">
        <f t="shared" si="33"/>
        <v/>
      </c>
      <c r="D408" s="18" t="str">
        <f t="shared" si="34"/>
        <v/>
      </c>
      <c r="E408" t="str">
        <f t="shared" si="35"/>
        <v/>
      </c>
      <c r="F408" s="23" t="str">
        <f ca="1">IF(A408="","",IF($B$8="Sí",interpolar_alamb(E408,OFFSET(Curvas_cupon_cero!$A$1,1,0,COUNT(Curvas_cupon_cero!$A:$A)-2,1),OFFSET(Curvas_cupon_cero!$A$1,1,MATCH(Bono_M_Cupon_fijo_curva!$B$7,Curvas_cupon_cero!$1:$1,0)-1,COUNT(Curvas_cupon_cero!$A:$A)-2,1)),interpolar(E408,OFFSET(Curvas_cupon_cero!$A$1,1,0,COUNT(Curvas_cupon_cero!$A:$A)-2,1),OFFSET(Curvas_cupon_cero!$A$1,1,MATCH(Bono_M_Cupon_fijo_curva!$B$7,Curvas_cupon_cero!$1:$1,0)-1,COUNT(Curvas_cupon_cero!$A:$A)-2,1))))</f>
        <v/>
      </c>
      <c r="G408" s="19" t="str">
        <f>IF(A408="","",C408/(1+F408*$B$6/360)^(COUNT(A$16:A408)-($B$6-$D$16)/$B$6))</f>
        <v/>
      </c>
    </row>
    <row r="409" spans="1:7" x14ac:dyDescent="0.2">
      <c r="A409" s="12" t="str">
        <f t="shared" si="31"/>
        <v/>
      </c>
      <c r="B409" t="str">
        <f t="shared" si="32"/>
        <v/>
      </c>
      <c r="C409" s="17" t="str">
        <f t="shared" si="33"/>
        <v/>
      </c>
      <c r="D409" s="18" t="str">
        <f t="shared" si="34"/>
        <v/>
      </c>
      <c r="E409" t="str">
        <f t="shared" si="35"/>
        <v/>
      </c>
      <c r="F409" s="23" t="str">
        <f ca="1">IF(A409="","",IF($B$8="Sí",interpolar_alamb(E409,OFFSET(Curvas_cupon_cero!$A$1,1,0,COUNT(Curvas_cupon_cero!$A:$A)-2,1),OFFSET(Curvas_cupon_cero!$A$1,1,MATCH(Bono_M_Cupon_fijo_curva!$B$7,Curvas_cupon_cero!$1:$1,0)-1,COUNT(Curvas_cupon_cero!$A:$A)-2,1)),interpolar(E409,OFFSET(Curvas_cupon_cero!$A$1,1,0,COUNT(Curvas_cupon_cero!$A:$A)-2,1),OFFSET(Curvas_cupon_cero!$A$1,1,MATCH(Bono_M_Cupon_fijo_curva!$B$7,Curvas_cupon_cero!$1:$1,0)-1,COUNT(Curvas_cupon_cero!$A:$A)-2,1))))</f>
        <v/>
      </c>
      <c r="G409" s="19" t="str">
        <f>IF(A409="","",C409/(1+F409*$B$6/360)^(COUNT(A$16:A409)-($B$6-$D$16)/$B$6))</f>
        <v/>
      </c>
    </row>
    <row r="410" spans="1:7" x14ac:dyDescent="0.2">
      <c r="A410" s="12" t="str">
        <f t="shared" si="31"/>
        <v/>
      </c>
      <c r="B410" t="str">
        <f t="shared" si="32"/>
        <v/>
      </c>
      <c r="C410" s="17" t="str">
        <f t="shared" si="33"/>
        <v/>
      </c>
      <c r="D410" s="18" t="str">
        <f t="shared" si="34"/>
        <v/>
      </c>
      <c r="E410" t="str">
        <f t="shared" si="35"/>
        <v/>
      </c>
      <c r="F410" s="23" t="str">
        <f ca="1">IF(A410="","",IF($B$8="Sí",interpolar_alamb(E410,OFFSET(Curvas_cupon_cero!$A$1,1,0,COUNT(Curvas_cupon_cero!$A:$A)-2,1),OFFSET(Curvas_cupon_cero!$A$1,1,MATCH(Bono_M_Cupon_fijo_curva!$B$7,Curvas_cupon_cero!$1:$1,0)-1,COUNT(Curvas_cupon_cero!$A:$A)-2,1)),interpolar(E410,OFFSET(Curvas_cupon_cero!$A$1,1,0,COUNT(Curvas_cupon_cero!$A:$A)-2,1),OFFSET(Curvas_cupon_cero!$A$1,1,MATCH(Bono_M_Cupon_fijo_curva!$B$7,Curvas_cupon_cero!$1:$1,0)-1,COUNT(Curvas_cupon_cero!$A:$A)-2,1))))</f>
        <v/>
      </c>
      <c r="G410" s="19" t="str">
        <f>IF(A410="","",C410/(1+F410*$B$6/360)^(COUNT(A$16:A410)-($B$6-$D$16)/$B$6))</f>
        <v/>
      </c>
    </row>
    <row r="411" spans="1:7" x14ac:dyDescent="0.2">
      <c r="A411" s="12" t="str">
        <f t="shared" ref="A411:A474" si="36">IF(A410="","",IF((A410+$B$6)&gt;$B$4,"",(A410+$B$6)))</f>
        <v/>
      </c>
      <c r="B411" t="str">
        <f t="shared" si="32"/>
        <v/>
      </c>
      <c r="C411" s="17" t="str">
        <f t="shared" si="33"/>
        <v/>
      </c>
      <c r="D411" s="18" t="str">
        <f t="shared" si="34"/>
        <v/>
      </c>
      <c r="E411" t="str">
        <f t="shared" si="35"/>
        <v/>
      </c>
      <c r="F411" s="23" t="str">
        <f ca="1">IF(A411="","",IF($B$8="Sí",interpolar_alamb(E411,OFFSET(Curvas_cupon_cero!$A$1,1,0,COUNT(Curvas_cupon_cero!$A:$A)-2,1),OFFSET(Curvas_cupon_cero!$A$1,1,MATCH(Bono_M_Cupon_fijo_curva!$B$7,Curvas_cupon_cero!$1:$1,0)-1,COUNT(Curvas_cupon_cero!$A:$A)-2,1)),interpolar(E411,OFFSET(Curvas_cupon_cero!$A$1,1,0,COUNT(Curvas_cupon_cero!$A:$A)-2,1),OFFSET(Curvas_cupon_cero!$A$1,1,MATCH(Bono_M_Cupon_fijo_curva!$B$7,Curvas_cupon_cero!$1:$1,0)-1,COUNT(Curvas_cupon_cero!$A:$A)-2,1))))</f>
        <v/>
      </c>
      <c r="G411" s="19" t="str">
        <f>IF(A411="","",C411/(1+F411*$B$6/360)^(COUNT(A$16:A411)-($B$6-$D$16)/$B$6))</f>
        <v/>
      </c>
    </row>
    <row r="412" spans="1:7" x14ac:dyDescent="0.2">
      <c r="A412" s="12" t="str">
        <f t="shared" si="36"/>
        <v/>
      </c>
      <c r="B412" t="str">
        <f t="shared" si="32"/>
        <v/>
      </c>
      <c r="C412" s="17" t="str">
        <f t="shared" si="33"/>
        <v/>
      </c>
      <c r="D412" s="18" t="str">
        <f t="shared" si="34"/>
        <v/>
      </c>
      <c r="E412" t="str">
        <f t="shared" si="35"/>
        <v/>
      </c>
      <c r="F412" s="23" t="str">
        <f ca="1">IF(A412="","",IF($B$8="Sí",interpolar_alamb(E412,OFFSET(Curvas_cupon_cero!$A$1,1,0,COUNT(Curvas_cupon_cero!$A:$A)-2,1),OFFSET(Curvas_cupon_cero!$A$1,1,MATCH(Bono_M_Cupon_fijo_curva!$B$7,Curvas_cupon_cero!$1:$1,0)-1,COUNT(Curvas_cupon_cero!$A:$A)-2,1)),interpolar(E412,OFFSET(Curvas_cupon_cero!$A$1,1,0,COUNT(Curvas_cupon_cero!$A:$A)-2,1),OFFSET(Curvas_cupon_cero!$A$1,1,MATCH(Bono_M_Cupon_fijo_curva!$B$7,Curvas_cupon_cero!$1:$1,0)-1,COUNT(Curvas_cupon_cero!$A:$A)-2,1))))</f>
        <v/>
      </c>
      <c r="G412" s="19" t="str">
        <f>IF(A412="","",C412/(1+F412*$B$6/360)^(COUNT(A$16:A412)-($B$6-$D$16)/$B$6))</f>
        <v/>
      </c>
    </row>
    <row r="413" spans="1:7" x14ac:dyDescent="0.2">
      <c r="A413" s="12" t="str">
        <f t="shared" si="36"/>
        <v/>
      </c>
      <c r="B413" t="str">
        <f t="shared" si="32"/>
        <v/>
      </c>
      <c r="C413" s="17" t="str">
        <f t="shared" si="33"/>
        <v/>
      </c>
      <c r="D413" s="18" t="str">
        <f t="shared" si="34"/>
        <v/>
      </c>
      <c r="E413" t="str">
        <f t="shared" si="35"/>
        <v/>
      </c>
      <c r="F413" s="23" t="str">
        <f ca="1">IF(A413="","",IF($B$8="Sí",interpolar_alamb(E413,OFFSET(Curvas_cupon_cero!$A$1,1,0,COUNT(Curvas_cupon_cero!$A:$A)-2,1),OFFSET(Curvas_cupon_cero!$A$1,1,MATCH(Bono_M_Cupon_fijo_curva!$B$7,Curvas_cupon_cero!$1:$1,0)-1,COUNT(Curvas_cupon_cero!$A:$A)-2,1)),interpolar(E413,OFFSET(Curvas_cupon_cero!$A$1,1,0,COUNT(Curvas_cupon_cero!$A:$A)-2,1),OFFSET(Curvas_cupon_cero!$A$1,1,MATCH(Bono_M_Cupon_fijo_curva!$B$7,Curvas_cupon_cero!$1:$1,0)-1,COUNT(Curvas_cupon_cero!$A:$A)-2,1))))</f>
        <v/>
      </c>
      <c r="G413" s="19" t="str">
        <f>IF(A413="","",C413/(1+F413*$B$6/360)^(COUNT(A$16:A413)-($B$6-$D$16)/$B$6))</f>
        <v/>
      </c>
    </row>
    <row r="414" spans="1:7" x14ac:dyDescent="0.2">
      <c r="A414" s="12" t="str">
        <f t="shared" si="36"/>
        <v/>
      </c>
      <c r="B414" t="str">
        <f t="shared" si="32"/>
        <v/>
      </c>
      <c r="C414" s="17" t="str">
        <f t="shared" si="33"/>
        <v/>
      </c>
      <c r="D414" s="18" t="str">
        <f t="shared" si="34"/>
        <v/>
      </c>
      <c r="E414" t="str">
        <f t="shared" si="35"/>
        <v/>
      </c>
      <c r="F414" s="23" t="str">
        <f ca="1">IF(A414="","",IF($B$8="Sí",interpolar_alamb(E414,OFFSET(Curvas_cupon_cero!$A$1,1,0,COUNT(Curvas_cupon_cero!$A:$A)-2,1),OFFSET(Curvas_cupon_cero!$A$1,1,MATCH(Bono_M_Cupon_fijo_curva!$B$7,Curvas_cupon_cero!$1:$1,0)-1,COUNT(Curvas_cupon_cero!$A:$A)-2,1)),interpolar(E414,OFFSET(Curvas_cupon_cero!$A$1,1,0,COUNT(Curvas_cupon_cero!$A:$A)-2,1),OFFSET(Curvas_cupon_cero!$A$1,1,MATCH(Bono_M_Cupon_fijo_curva!$B$7,Curvas_cupon_cero!$1:$1,0)-1,COUNT(Curvas_cupon_cero!$A:$A)-2,1))))</f>
        <v/>
      </c>
      <c r="G414" s="19" t="str">
        <f>IF(A414="","",C414/(1+F414*$B$6/360)^(COUNT(A$16:A414)-($B$6-$D$16)/$B$6))</f>
        <v/>
      </c>
    </row>
    <row r="415" spans="1:7" x14ac:dyDescent="0.2">
      <c r="A415" s="12" t="str">
        <f t="shared" si="36"/>
        <v/>
      </c>
      <c r="B415" t="str">
        <f t="shared" si="32"/>
        <v/>
      </c>
      <c r="C415" s="17" t="str">
        <f t="shared" si="33"/>
        <v/>
      </c>
      <c r="D415" s="18" t="str">
        <f t="shared" si="34"/>
        <v/>
      </c>
      <c r="E415" t="str">
        <f t="shared" si="35"/>
        <v/>
      </c>
      <c r="F415" s="23" t="str">
        <f ca="1">IF(A415="","",IF($B$8="Sí",interpolar_alamb(E415,OFFSET(Curvas_cupon_cero!$A$1,1,0,COUNT(Curvas_cupon_cero!$A:$A)-2,1),OFFSET(Curvas_cupon_cero!$A$1,1,MATCH(Bono_M_Cupon_fijo_curva!$B$7,Curvas_cupon_cero!$1:$1,0)-1,COUNT(Curvas_cupon_cero!$A:$A)-2,1)),interpolar(E415,OFFSET(Curvas_cupon_cero!$A$1,1,0,COUNT(Curvas_cupon_cero!$A:$A)-2,1),OFFSET(Curvas_cupon_cero!$A$1,1,MATCH(Bono_M_Cupon_fijo_curva!$B$7,Curvas_cupon_cero!$1:$1,0)-1,COUNT(Curvas_cupon_cero!$A:$A)-2,1))))</f>
        <v/>
      </c>
      <c r="G415" s="19" t="str">
        <f>IF(A415="","",C415/(1+F415*$B$6/360)^(COUNT(A$16:A415)-($B$6-$D$16)/$B$6))</f>
        <v/>
      </c>
    </row>
    <row r="416" spans="1:7" x14ac:dyDescent="0.2">
      <c r="A416" s="12" t="str">
        <f t="shared" si="36"/>
        <v/>
      </c>
      <c r="B416" t="str">
        <f t="shared" si="32"/>
        <v/>
      </c>
      <c r="C416" s="17" t="str">
        <f t="shared" si="33"/>
        <v/>
      </c>
      <c r="D416" s="18" t="str">
        <f t="shared" si="34"/>
        <v/>
      </c>
      <c r="E416" t="str">
        <f t="shared" si="35"/>
        <v/>
      </c>
      <c r="F416" s="23" t="str">
        <f ca="1">IF(A416="","",IF($B$8="Sí",interpolar_alamb(E416,OFFSET(Curvas_cupon_cero!$A$1,1,0,COUNT(Curvas_cupon_cero!$A:$A)-2,1),OFFSET(Curvas_cupon_cero!$A$1,1,MATCH(Bono_M_Cupon_fijo_curva!$B$7,Curvas_cupon_cero!$1:$1,0)-1,COUNT(Curvas_cupon_cero!$A:$A)-2,1)),interpolar(E416,OFFSET(Curvas_cupon_cero!$A$1,1,0,COUNT(Curvas_cupon_cero!$A:$A)-2,1),OFFSET(Curvas_cupon_cero!$A$1,1,MATCH(Bono_M_Cupon_fijo_curva!$B$7,Curvas_cupon_cero!$1:$1,0)-1,COUNT(Curvas_cupon_cero!$A:$A)-2,1))))</f>
        <v/>
      </c>
      <c r="G416" s="19" t="str">
        <f>IF(A416="","",C416/(1+F416*$B$6/360)^(COUNT(A$16:A416)-($B$6-$D$16)/$B$6))</f>
        <v/>
      </c>
    </row>
    <row r="417" spans="1:7" x14ac:dyDescent="0.2">
      <c r="A417" s="12" t="str">
        <f t="shared" si="36"/>
        <v/>
      </c>
      <c r="B417" t="str">
        <f t="shared" si="32"/>
        <v/>
      </c>
      <c r="C417" s="17" t="str">
        <f t="shared" si="33"/>
        <v/>
      </c>
      <c r="D417" s="18" t="str">
        <f t="shared" si="34"/>
        <v/>
      </c>
      <c r="E417" t="str">
        <f t="shared" si="35"/>
        <v/>
      </c>
      <c r="F417" s="23" t="str">
        <f ca="1">IF(A417="","",IF($B$8="Sí",interpolar_alamb(E417,OFFSET(Curvas_cupon_cero!$A$1,1,0,COUNT(Curvas_cupon_cero!$A:$A)-2,1),OFFSET(Curvas_cupon_cero!$A$1,1,MATCH(Bono_M_Cupon_fijo_curva!$B$7,Curvas_cupon_cero!$1:$1,0)-1,COUNT(Curvas_cupon_cero!$A:$A)-2,1)),interpolar(E417,OFFSET(Curvas_cupon_cero!$A$1,1,0,COUNT(Curvas_cupon_cero!$A:$A)-2,1),OFFSET(Curvas_cupon_cero!$A$1,1,MATCH(Bono_M_Cupon_fijo_curva!$B$7,Curvas_cupon_cero!$1:$1,0)-1,COUNT(Curvas_cupon_cero!$A:$A)-2,1))))</f>
        <v/>
      </c>
      <c r="G417" s="19" t="str">
        <f>IF(A417="","",C417/(1+F417*$B$6/360)^(COUNT(A$16:A417)-($B$6-$D$16)/$B$6))</f>
        <v/>
      </c>
    </row>
    <row r="418" spans="1:7" x14ac:dyDescent="0.2">
      <c r="A418" s="12" t="str">
        <f t="shared" si="36"/>
        <v/>
      </c>
      <c r="B418" t="str">
        <f t="shared" si="32"/>
        <v/>
      </c>
      <c r="C418" s="17" t="str">
        <f t="shared" si="33"/>
        <v/>
      </c>
      <c r="D418" s="18" t="str">
        <f t="shared" si="34"/>
        <v/>
      </c>
      <c r="E418" t="str">
        <f t="shared" si="35"/>
        <v/>
      </c>
      <c r="F418" s="23" t="str">
        <f ca="1">IF(A418="","",IF($B$8="Sí",interpolar_alamb(E418,OFFSET(Curvas_cupon_cero!$A$1,1,0,COUNT(Curvas_cupon_cero!$A:$A)-2,1),OFFSET(Curvas_cupon_cero!$A$1,1,MATCH(Bono_M_Cupon_fijo_curva!$B$7,Curvas_cupon_cero!$1:$1,0)-1,COUNT(Curvas_cupon_cero!$A:$A)-2,1)),interpolar(E418,OFFSET(Curvas_cupon_cero!$A$1,1,0,COUNT(Curvas_cupon_cero!$A:$A)-2,1),OFFSET(Curvas_cupon_cero!$A$1,1,MATCH(Bono_M_Cupon_fijo_curva!$B$7,Curvas_cupon_cero!$1:$1,0)-1,COUNT(Curvas_cupon_cero!$A:$A)-2,1))))</f>
        <v/>
      </c>
      <c r="G418" s="19" t="str">
        <f>IF(A418="","",C418/(1+F418*$B$6/360)^(COUNT(A$16:A418)-($B$6-$D$16)/$B$6))</f>
        <v/>
      </c>
    </row>
    <row r="419" spans="1:7" x14ac:dyDescent="0.2">
      <c r="A419" s="12" t="str">
        <f t="shared" si="36"/>
        <v/>
      </c>
      <c r="B419" t="str">
        <f t="shared" si="32"/>
        <v/>
      </c>
      <c r="C419" s="17" t="str">
        <f t="shared" si="33"/>
        <v/>
      </c>
      <c r="D419" s="18" t="str">
        <f t="shared" si="34"/>
        <v/>
      </c>
      <c r="E419" t="str">
        <f t="shared" si="35"/>
        <v/>
      </c>
      <c r="F419" s="23" t="str">
        <f ca="1">IF(A419="","",IF($B$8="Sí",interpolar_alamb(E419,OFFSET(Curvas_cupon_cero!$A$1,1,0,COUNT(Curvas_cupon_cero!$A:$A)-2,1),OFFSET(Curvas_cupon_cero!$A$1,1,MATCH(Bono_M_Cupon_fijo_curva!$B$7,Curvas_cupon_cero!$1:$1,0)-1,COUNT(Curvas_cupon_cero!$A:$A)-2,1)),interpolar(E419,OFFSET(Curvas_cupon_cero!$A$1,1,0,COUNT(Curvas_cupon_cero!$A:$A)-2,1),OFFSET(Curvas_cupon_cero!$A$1,1,MATCH(Bono_M_Cupon_fijo_curva!$B$7,Curvas_cupon_cero!$1:$1,0)-1,COUNT(Curvas_cupon_cero!$A:$A)-2,1))))</f>
        <v/>
      </c>
      <c r="G419" s="19" t="str">
        <f>IF(A419="","",C419/(1+F419*$B$6/360)^(COUNT(A$16:A419)-($B$6-$D$16)/$B$6))</f>
        <v/>
      </c>
    </row>
    <row r="420" spans="1:7" x14ac:dyDescent="0.2">
      <c r="A420" s="12" t="str">
        <f t="shared" si="36"/>
        <v/>
      </c>
      <c r="B420" t="str">
        <f t="shared" si="32"/>
        <v/>
      </c>
      <c r="C420" s="17" t="str">
        <f t="shared" si="33"/>
        <v/>
      </c>
      <c r="D420" s="18" t="str">
        <f t="shared" si="34"/>
        <v/>
      </c>
      <c r="E420" t="str">
        <f t="shared" si="35"/>
        <v/>
      </c>
      <c r="F420" s="23" t="str">
        <f ca="1">IF(A420="","",IF($B$8="Sí",interpolar_alamb(E420,OFFSET(Curvas_cupon_cero!$A$1,1,0,COUNT(Curvas_cupon_cero!$A:$A)-2,1),OFFSET(Curvas_cupon_cero!$A$1,1,MATCH(Bono_M_Cupon_fijo_curva!$B$7,Curvas_cupon_cero!$1:$1,0)-1,COUNT(Curvas_cupon_cero!$A:$A)-2,1)),interpolar(E420,OFFSET(Curvas_cupon_cero!$A$1,1,0,COUNT(Curvas_cupon_cero!$A:$A)-2,1),OFFSET(Curvas_cupon_cero!$A$1,1,MATCH(Bono_M_Cupon_fijo_curva!$B$7,Curvas_cupon_cero!$1:$1,0)-1,COUNT(Curvas_cupon_cero!$A:$A)-2,1))))</f>
        <v/>
      </c>
      <c r="G420" s="19" t="str">
        <f>IF(A420="","",C420/(1+F420*$B$6/360)^(COUNT(A$16:A420)-($B$6-$D$16)/$B$6))</f>
        <v/>
      </c>
    </row>
    <row r="421" spans="1:7" x14ac:dyDescent="0.2">
      <c r="A421" s="12" t="str">
        <f t="shared" si="36"/>
        <v/>
      </c>
      <c r="B421" t="str">
        <f t="shared" si="32"/>
        <v/>
      </c>
      <c r="C421" s="17" t="str">
        <f t="shared" si="33"/>
        <v/>
      </c>
      <c r="D421" s="18" t="str">
        <f t="shared" si="34"/>
        <v/>
      </c>
      <c r="E421" t="str">
        <f t="shared" si="35"/>
        <v/>
      </c>
      <c r="F421" s="23" t="str">
        <f ca="1">IF(A421="","",IF($B$8="Sí",interpolar_alamb(E421,OFFSET(Curvas_cupon_cero!$A$1,1,0,COUNT(Curvas_cupon_cero!$A:$A)-2,1),OFFSET(Curvas_cupon_cero!$A$1,1,MATCH(Bono_M_Cupon_fijo_curva!$B$7,Curvas_cupon_cero!$1:$1,0)-1,COUNT(Curvas_cupon_cero!$A:$A)-2,1)),interpolar(E421,OFFSET(Curvas_cupon_cero!$A$1,1,0,COUNT(Curvas_cupon_cero!$A:$A)-2,1),OFFSET(Curvas_cupon_cero!$A$1,1,MATCH(Bono_M_Cupon_fijo_curva!$B$7,Curvas_cupon_cero!$1:$1,0)-1,COUNT(Curvas_cupon_cero!$A:$A)-2,1))))</f>
        <v/>
      </c>
      <c r="G421" s="19" t="str">
        <f>IF(A421="","",C421/(1+F421*$B$6/360)^(COUNT(A$16:A421)-($B$6-$D$16)/$B$6))</f>
        <v/>
      </c>
    </row>
    <row r="422" spans="1:7" x14ac:dyDescent="0.2">
      <c r="A422" s="12" t="str">
        <f t="shared" si="36"/>
        <v/>
      </c>
      <c r="B422" t="str">
        <f t="shared" si="32"/>
        <v/>
      </c>
      <c r="C422" s="17" t="str">
        <f t="shared" si="33"/>
        <v/>
      </c>
      <c r="D422" s="18" t="str">
        <f t="shared" si="34"/>
        <v/>
      </c>
      <c r="E422" t="str">
        <f t="shared" si="35"/>
        <v/>
      </c>
      <c r="F422" s="23" t="str">
        <f ca="1">IF(A422="","",IF($B$8="Sí",interpolar_alamb(E422,OFFSET(Curvas_cupon_cero!$A$1,1,0,COUNT(Curvas_cupon_cero!$A:$A)-2,1),OFFSET(Curvas_cupon_cero!$A$1,1,MATCH(Bono_M_Cupon_fijo_curva!$B$7,Curvas_cupon_cero!$1:$1,0)-1,COUNT(Curvas_cupon_cero!$A:$A)-2,1)),interpolar(E422,OFFSET(Curvas_cupon_cero!$A$1,1,0,COUNT(Curvas_cupon_cero!$A:$A)-2,1),OFFSET(Curvas_cupon_cero!$A$1,1,MATCH(Bono_M_Cupon_fijo_curva!$B$7,Curvas_cupon_cero!$1:$1,0)-1,COUNT(Curvas_cupon_cero!$A:$A)-2,1))))</f>
        <v/>
      </c>
      <c r="G422" s="19" t="str">
        <f>IF(A422="","",C422/(1+F422*$B$6/360)^(COUNT(A$16:A422)-($B$6-$D$16)/$B$6))</f>
        <v/>
      </c>
    </row>
    <row r="423" spans="1:7" x14ac:dyDescent="0.2">
      <c r="A423" s="12" t="str">
        <f t="shared" si="36"/>
        <v/>
      </c>
      <c r="B423" t="str">
        <f t="shared" si="32"/>
        <v/>
      </c>
      <c r="C423" s="17" t="str">
        <f t="shared" si="33"/>
        <v/>
      </c>
      <c r="D423" s="18" t="str">
        <f t="shared" si="34"/>
        <v/>
      </c>
      <c r="E423" t="str">
        <f t="shared" si="35"/>
        <v/>
      </c>
      <c r="F423" s="23" t="str">
        <f ca="1">IF(A423="","",IF($B$8="Sí",interpolar_alamb(E423,OFFSET(Curvas_cupon_cero!$A$1,1,0,COUNT(Curvas_cupon_cero!$A:$A)-2,1),OFFSET(Curvas_cupon_cero!$A$1,1,MATCH(Bono_M_Cupon_fijo_curva!$B$7,Curvas_cupon_cero!$1:$1,0)-1,COUNT(Curvas_cupon_cero!$A:$A)-2,1)),interpolar(E423,OFFSET(Curvas_cupon_cero!$A$1,1,0,COUNT(Curvas_cupon_cero!$A:$A)-2,1),OFFSET(Curvas_cupon_cero!$A$1,1,MATCH(Bono_M_Cupon_fijo_curva!$B$7,Curvas_cupon_cero!$1:$1,0)-1,COUNT(Curvas_cupon_cero!$A:$A)-2,1))))</f>
        <v/>
      </c>
      <c r="G423" s="19" t="str">
        <f>IF(A423="","",C423/(1+F423*$B$6/360)^(COUNT(A$16:A423)-($B$6-$D$16)/$B$6))</f>
        <v/>
      </c>
    </row>
    <row r="424" spans="1:7" x14ac:dyDescent="0.2">
      <c r="A424" s="12" t="str">
        <f t="shared" si="36"/>
        <v/>
      </c>
      <c r="B424" t="str">
        <f t="shared" si="32"/>
        <v/>
      </c>
      <c r="C424" s="17" t="str">
        <f t="shared" si="33"/>
        <v/>
      </c>
      <c r="D424" s="18" t="str">
        <f t="shared" si="34"/>
        <v/>
      </c>
      <c r="E424" t="str">
        <f t="shared" si="35"/>
        <v/>
      </c>
      <c r="F424" s="23" t="str">
        <f ca="1">IF(A424="","",IF($B$8="Sí",interpolar_alamb(E424,OFFSET(Curvas_cupon_cero!$A$1,1,0,COUNT(Curvas_cupon_cero!$A:$A)-2,1),OFFSET(Curvas_cupon_cero!$A$1,1,MATCH(Bono_M_Cupon_fijo_curva!$B$7,Curvas_cupon_cero!$1:$1,0)-1,COUNT(Curvas_cupon_cero!$A:$A)-2,1)),interpolar(E424,OFFSET(Curvas_cupon_cero!$A$1,1,0,COUNT(Curvas_cupon_cero!$A:$A)-2,1),OFFSET(Curvas_cupon_cero!$A$1,1,MATCH(Bono_M_Cupon_fijo_curva!$B$7,Curvas_cupon_cero!$1:$1,0)-1,COUNT(Curvas_cupon_cero!$A:$A)-2,1))))</f>
        <v/>
      </c>
      <c r="G424" s="19" t="str">
        <f>IF(A424="","",C424/(1+F424*$B$6/360)^(COUNT(A$16:A424)-($B$6-$D$16)/$B$6))</f>
        <v/>
      </c>
    </row>
    <row r="425" spans="1:7" x14ac:dyDescent="0.2">
      <c r="A425" s="12" t="str">
        <f t="shared" si="36"/>
        <v/>
      </c>
      <c r="B425" t="str">
        <f t="shared" si="32"/>
        <v/>
      </c>
      <c r="C425" s="17" t="str">
        <f t="shared" si="33"/>
        <v/>
      </c>
      <c r="D425" s="18" t="str">
        <f t="shared" si="34"/>
        <v/>
      </c>
      <c r="E425" t="str">
        <f t="shared" si="35"/>
        <v/>
      </c>
      <c r="F425" s="23" t="str">
        <f ca="1">IF(A425="","",IF($B$8="Sí",interpolar_alamb(E425,OFFSET(Curvas_cupon_cero!$A$1,1,0,COUNT(Curvas_cupon_cero!$A:$A)-2,1),OFFSET(Curvas_cupon_cero!$A$1,1,MATCH(Bono_M_Cupon_fijo_curva!$B$7,Curvas_cupon_cero!$1:$1,0)-1,COUNT(Curvas_cupon_cero!$A:$A)-2,1)),interpolar(E425,OFFSET(Curvas_cupon_cero!$A$1,1,0,COUNT(Curvas_cupon_cero!$A:$A)-2,1),OFFSET(Curvas_cupon_cero!$A$1,1,MATCH(Bono_M_Cupon_fijo_curva!$B$7,Curvas_cupon_cero!$1:$1,0)-1,COUNT(Curvas_cupon_cero!$A:$A)-2,1))))</f>
        <v/>
      </c>
      <c r="G425" s="19" t="str">
        <f>IF(A425="","",C425/(1+F425*$B$6/360)^(COUNT(A$16:A425)-($B$6-$D$16)/$B$6))</f>
        <v/>
      </c>
    </row>
    <row r="426" spans="1:7" x14ac:dyDescent="0.2">
      <c r="A426" s="12" t="str">
        <f t="shared" si="36"/>
        <v/>
      </c>
      <c r="B426" t="str">
        <f t="shared" si="32"/>
        <v/>
      </c>
      <c r="C426" s="17" t="str">
        <f t="shared" si="33"/>
        <v/>
      </c>
      <c r="D426" s="18" t="str">
        <f t="shared" si="34"/>
        <v/>
      </c>
      <c r="E426" t="str">
        <f t="shared" si="35"/>
        <v/>
      </c>
      <c r="F426" s="23" t="str">
        <f ca="1">IF(A426="","",IF($B$8="Sí",interpolar_alamb(E426,OFFSET(Curvas_cupon_cero!$A$1,1,0,COUNT(Curvas_cupon_cero!$A:$A)-2,1),OFFSET(Curvas_cupon_cero!$A$1,1,MATCH(Bono_M_Cupon_fijo_curva!$B$7,Curvas_cupon_cero!$1:$1,0)-1,COUNT(Curvas_cupon_cero!$A:$A)-2,1)),interpolar(E426,OFFSET(Curvas_cupon_cero!$A$1,1,0,COUNT(Curvas_cupon_cero!$A:$A)-2,1),OFFSET(Curvas_cupon_cero!$A$1,1,MATCH(Bono_M_Cupon_fijo_curva!$B$7,Curvas_cupon_cero!$1:$1,0)-1,COUNT(Curvas_cupon_cero!$A:$A)-2,1))))</f>
        <v/>
      </c>
      <c r="G426" s="19" t="str">
        <f>IF(A426="","",C426/(1+F426*$B$6/360)^(COUNT(A$16:A426)-($B$6-$D$16)/$B$6))</f>
        <v/>
      </c>
    </row>
    <row r="427" spans="1:7" x14ac:dyDescent="0.2">
      <c r="A427" s="12" t="str">
        <f t="shared" si="36"/>
        <v/>
      </c>
      <c r="B427" t="str">
        <f t="shared" si="32"/>
        <v/>
      </c>
      <c r="C427" s="17" t="str">
        <f t="shared" si="33"/>
        <v/>
      </c>
      <c r="D427" s="18" t="str">
        <f t="shared" si="34"/>
        <v/>
      </c>
      <c r="E427" t="str">
        <f t="shared" si="35"/>
        <v/>
      </c>
      <c r="F427" s="23" t="str">
        <f ca="1">IF(A427="","",IF($B$8="Sí",interpolar_alamb(E427,OFFSET(Curvas_cupon_cero!$A$1,1,0,COUNT(Curvas_cupon_cero!$A:$A)-2,1),OFFSET(Curvas_cupon_cero!$A$1,1,MATCH(Bono_M_Cupon_fijo_curva!$B$7,Curvas_cupon_cero!$1:$1,0)-1,COUNT(Curvas_cupon_cero!$A:$A)-2,1)),interpolar(E427,OFFSET(Curvas_cupon_cero!$A$1,1,0,COUNT(Curvas_cupon_cero!$A:$A)-2,1),OFFSET(Curvas_cupon_cero!$A$1,1,MATCH(Bono_M_Cupon_fijo_curva!$B$7,Curvas_cupon_cero!$1:$1,0)-1,COUNT(Curvas_cupon_cero!$A:$A)-2,1))))</f>
        <v/>
      </c>
      <c r="G427" s="19" t="str">
        <f>IF(A427="","",C427/(1+F427*$B$6/360)^(COUNT(A$16:A427)-($B$6-$D$16)/$B$6))</f>
        <v/>
      </c>
    </row>
    <row r="428" spans="1:7" x14ac:dyDescent="0.2">
      <c r="A428" s="12" t="str">
        <f t="shared" si="36"/>
        <v/>
      </c>
      <c r="B428" t="str">
        <f t="shared" si="32"/>
        <v/>
      </c>
      <c r="C428" s="17" t="str">
        <f t="shared" si="33"/>
        <v/>
      </c>
      <c r="D428" s="18" t="str">
        <f t="shared" si="34"/>
        <v/>
      </c>
      <c r="E428" t="str">
        <f t="shared" si="35"/>
        <v/>
      </c>
      <c r="F428" s="23" t="str">
        <f ca="1">IF(A428="","",IF($B$8="Sí",interpolar_alamb(E428,OFFSET(Curvas_cupon_cero!$A$1,1,0,COUNT(Curvas_cupon_cero!$A:$A)-2,1),OFFSET(Curvas_cupon_cero!$A$1,1,MATCH(Bono_M_Cupon_fijo_curva!$B$7,Curvas_cupon_cero!$1:$1,0)-1,COUNT(Curvas_cupon_cero!$A:$A)-2,1)),interpolar(E428,OFFSET(Curvas_cupon_cero!$A$1,1,0,COUNT(Curvas_cupon_cero!$A:$A)-2,1),OFFSET(Curvas_cupon_cero!$A$1,1,MATCH(Bono_M_Cupon_fijo_curva!$B$7,Curvas_cupon_cero!$1:$1,0)-1,COUNT(Curvas_cupon_cero!$A:$A)-2,1))))</f>
        <v/>
      </c>
      <c r="G428" s="19" t="str">
        <f>IF(A428="","",C428/(1+F428*$B$6/360)^(COUNT(A$16:A428)-($B$6-$D$16)/$B$6))</f>
        <v/>
      </c>
    </row>
    <row r="429" spans="1:7" x14ac:dyDescent="0.2">
      <c r="A429" s="12" t="str">
        <f t="shared" si="36"/>
        <v/>
      </c>
      <c r="B429" t="str">
        <f t="shared" si="32"/>
        <v/>
      </c>
      <c r="C429" s="17" t="str">
        <f t="shared" si="33"/>
        <v/>
      </c>
      <c r="D429" s="18" t="str">
        <f t="shared" si="34"/>
        <v/>
      </c>
      <c r="E429" t="str">
        <f t="shared" si="35"/>
        <v/>
      </c>
      <c r="F429" s="23" t="str">
        <f ca="1">IF(A429="","",IF($B$8="Sí",interpolar_alamb(E429,OFFSET(Curvas_cupon_cero!$A$1,1,0,COUNT(Curvas_cupon_cero!$A:$A)-2,1),OFFSET(Curvas_cupon_cero!$A$1,1,MATCH(Bono_M_Cupon_fijo_curva!$B$7,Curvas_cupon_cero!$1:$1,0)-1,COUNT(Curvas_cupon_cero!$A:$A)-2,1)),interpolar(E429,OFFSET(Curvas_cupon_cero!$A$1,1,0,COUNT(Curvas_cupon_cero!$A:$A)-2,1),OFFSET(Curvas_cupon_cero!$A$1,1,MATCH(Bono_M_Cupon_fijo_curva!$B$7,Curvas_cupon_cero!$1:$1,0)-1,COUNT(Curvas_cupon_cero!$A:$A)-2,1))))</f>
        <v/>
      </c>
      <c r="G429" s="19" t="str">
        <f>IF(A429="","",C429/(1+F429*$B$6/360)^(COUNT(A$16:A429)-($B$6-$D$16)/$B$6))</f>
        <v/>
      </c>
    </row>
    <row r="430" spans="1:7" x14ac:dyDescent="0.2">
      <c r="A430" s="12" t="str">
        <f t="shared" si="36"/>
        <v/>
      </c>
      <c r="B430" t="str">
        <f t="shared" si="32"/>
        <v/>
      </c>
      <c r="C430" s="17" t="str">
        <f t="shared" si="33"/>
        <v/>
      </c>
      <c r="D430" s="18" t="str">
        <f t="shared" si="34"/>
        <v/>
      </c>
      <c r="E430" t="str">
        <f t="shared" si="35"/>
        <v/>
      </c>
      <c r="F430" s="23" t="str">
        <f ca="1">IF(A430="","",IF($B$8="Sí",interpolar_alamb(E430,OFFSET(Curvas_cupon_cero!$A$1,1,0,COUNT(Curvas_cupon_cero!$A:$A)-2,1),OFFSET(Curvas_cupon_cero!$A$1,1,MATCH(Bono_M_Cupon_fijo_curva!$B$7,Curvas_cupon_cero!$1:$1,0)-1,COUNT(Curvas_cupon_cero!$A:$A)-2,1)),interpolar(E430,OFFSET(Curvas_cupon_cero!$A$1,1,0,COUNT(Curvas_cupon_cero!$A:$A)-2,1),OFFSET(Curvas_cupon_cero!$A$1,1,MATCH(Bono_M_Cupon_fijo_curva!$B$7,Curvas_cupon_cero!$1:$1,0)-1,COUNT(Curvas_cupon_cero!$A:$A)-2,1))))</f>
        <v/>
      </c>
      <c r="G430" s="19" t="str">
        <f>IF(A430="","",C430/(1+F430*$B$6/360)^(COUNT(A$16:A430)-($B$6-$D$16)/$B$6))</f>
        <v/>
      </c>
    </row>
    <row r="431" spans="1:7" x14ac:dyDescent="0.2">
      <c r="A431" s="12" t="str">
        <f t="shared" si="36"/>
        <v/>
      </c>
      <c r="B431" t="str">
        <f t="shared" si="32"/>
        <v/>
      </c>
      <c r="C431" s="17" t="str">
        <f t="shared" si="33"/>
        <v/>
      </c>
      <c r="D431" s="18" t="str">
        <f t="shared" si="34"/>
        <v/>
      </c>
      <c r="E431" t="str">
        <f t="shared" si="35"/>
        <v/>
      </c>
      <c r="F431" s="23" t="str">
        <f ca="1">IF(A431="","",IF($B$8="Sí",interpolar_alamb(E431,OFFSET(Curvas_cupon_cero!$A$1,1,0,COUNT(Curvas_cupon_cero!$A:$A)-2,1),OFFSET(Curvas_cupon_cero!$A$1,1,MATCH(Bono_M_Cupon_fijo_curva!$B$7,Curvas_cupon_cero!$1:$1,0)-1,COUNT(Curvas_cupon_cero!$A:$A)-2,1)),interpolar(E431,OFFSET(Curvas_cupon_cero!$A$1,1,0,COUNT(Curvas_cupon_cero!$A:$A)-2,1),OFFSET(Curvas_cupon_cero!$A$1,1,MATCH(Bono_M_Cupon_fijo_curva!$B$7,Curvas_cupon_cero!$1:$1,0)-1,COUNT(Curvas_cupon_cero!$A:$A)-2,1))))</f>
        <v/>
      </c>
      <c r="G431" s="19" t="str">
        <f>IF(A431="","",C431/(1+F431*$B$6/360)^(COUNT(A$16:A431)-($B$6-$D$16)/$B$6))</f>
        <v/>
      </c>
    </row>
    <row r="432" spans="1:7" x14ac:dyDescent="0.2">
      <c r="A432" s="12" t="str">
        <f t="shared" si="36"/>
        <v/>
      </c>
      <c r="B432" t="str">
        <f t="shared" si="32"/>
        <v/>
      </c>
      <c r="C432" s="17" t="str">
        <f t="shared" si="33"/>
        <v/>
      </c>
      <c r="D432" s="18" t="str">
        <f t="shared" si="34"/>
        <v/>
      </c>
      <c r="E432" t="str">
        <f t="shared" si="35"/>
        <v/>
      </c>
      <c r="F432" s="23" t="str">
        <f ca="1">IF(A432="","",IF($B$8="Sí",interpolar_alamb(E432,OFFSET(Curvas_cupon_cero!$A$1,1,0,COUNT(Curvas_cupon_cero!$A:$A)-2,1),OFFSET(Curvas_cupon_cero!$A$1,1,MATCH(Bono_M_Cupon_fijo_curva!$B$7,Curvas_cupon_cero!$1:$1,0)-1,COUNT(Curvas_cupon_cero!$A:$A)-2,1)),interpolar(E432,OFFSET(Curvas_cupon_cero!$A$1,1,0,COUNT(Curvas_cupon_cero!$A:$A)-2,1),OFFSET(Curvas_cupon_cero!$A$1,1,MATCH(Bono_M_Cupon_fijo_curva!$B$7,Curvas_cupon_cero!$1:$1,0)-1,COUNT(Curvas_cupon_cero!$A:$A)-2,1))))</f>
        <v/>
      </c>
      <c r="G432" s="19" t="str">
        <f>IF(A432="","",C432/(1+F432*$B$6/360)^(COUNT(A$16:A432)-($B$6-$D$16)/$B$6))</f>
        <v/>
      </c>
    </row>
    <row r="433" spans="1:7" x14ac:dyDescent="0.2">
      <c r="A433" s="12" t="str">
        <f t="shared" si="36"/>
        <v/>
      </c>
      <c r="B433" t="str">
        <f t="shared" si="32"/>
        <v/>
      </c>
      <c r="C433" s="17" t="str">
        <f t="shared" si="33"/>
        <v/>
      </c>
      <c r="D433" s="18" t="str">
        <f t="shared" si="34"/>
        <v/>
      </c>
      <c r="E433" t="str">
        <f t="shared" si="35"/>
        <v/>
      </c>
      <c r="F433" s="23" t="str">
        <f ca="1">IF(A433="","",IF($B$8="Sí",interpolar_alamb(E433,OFFSET(Curvas_cupon_cero!$A$1,1,0,COUNT(Curvas_cupon_cero!$A:$A)-2,1),OFFSET(Curvas_cupon_cero!$A$1,1,MATCH(Bono_M_Cupon_fijo_curva!$B$7,Curvas_cupon_cero!$1:$1,0)-1,COUNT(Curvas_cupon_cero!$A:$A)-2,1)),interpolar(E433,OFFSET(Curvas_cupon_cero!$A$1,1,0,COUNT(Curvas_cupon_cero!$A:$A)-2,1),OFFSET(Curvas_cupon_cero!$A$1,1,MATCH(Bono_M_Cupon_fijo_curva!$B$7,Curvas_cupon_cero!$1:$1,0)-1,COUNT(Curvas_cupon_cero!$A:$A)-2,1))))</f>
        <v/>
      </c>
      <c r="G433" s="19" t="str">
        <f>IF(A433="","",C433/(1+F433*$B$6/360)^(COUNT(A$16:A433)-($B$6-$D$16)/$B$6))</f>
        <v/>
      </c>
    </row>
    <row r="434" spans="1:7" x14ac:dyDescent="0.2">
      <c r="A434" s="12" t="str">
        <f t="shared" si="36"/>
        <v/>
      </c>
      <c r="B434" t="str">
        <f t="shared" si="32"/>
        <v/>
      </c>
      <c r="C434" s="17" t="str">
        <f t="shared" si="33"/>
        <v/>
      </c>
      <c r="D434" s="18" t="str">
        <f t="shared" si="34"/>
        <v/>
      </c>
      <c r="E434" t="str">
        <f t="shared" si="35"/>
        <v/>
      </c>
      <c r="F434" s="23" t="str">
        <f ca="1">IF(A434="","",IF($B$8="Sí",interpolar_alamb(E434,OFFSET(Curvas_cupon_cero!$A$1,1,0,COUNT(Curvas_cupon_cero!$A:$A)-2,1),OFFSET(Curvas_cupon_cero!$A$1,1,MATCH(Bono_M_Cupon_fijo_curva!$B$7,Curvas_cupon_cero!$1:$1,0)-1,COUNT(Curvas_cupon_cero!$A:$A)-2,1)),interpolar(E434,OFFSET(Curvas_cupon_cero!$A$1,1,0,COUNT(Curvas_cupon_cero!$A:$A)-2,1),OFFSET(Curvas_cupon_cero!$A$1,1,MATCH(Bono_M_Cupon_fijo_curva!$B$7,Curvas_cupon_cero!$1:$1,0)-1,COUNT(Curvas_cupon_cero!$A:$A)-2,1))))</f>
        <v/>
      </c>
      <c r="G434" s="19" t="str">
        <f>IF(A434="","",C434/(1+F434*$B$6/360)^(COUNT(A$16:A434)-($B$6-$D$16)/$B$6))</f>
        <v/>
      </c>
    </row>
    <row r="435" spans="1:7" x14ac:dyDescent="0.2">
      <c r="A435" s="12" t="str">
        <f t="shared" si="36"/>
        <v/>
      </c>
      <c r="B435" t="str">
        <f t="shared" si="32"/>
        <v/>
      </c>
      <c r="C435" s="17" t="str">
        <f t="shared" si="33"/>
        <v/>
      </c>
      <c r="D435" s="18" t="str">
        <f t="shared" si="34"/>
        <v/>
      </c>
      <c r="E435" t="str">
        <f t="shared" si="35"/>
        <v/>
      </c>
      <c r="F435" s="23" t="str">
        <f ca="1">IF(A435="","",IF($B$8="Sí",interpolar_alamb(E435,OFFSET(Curvas_cupon_cero!$A$1,1,0,COUNT(Curvas_cupon_cero!$A:$A)-2,1),OFFSET(Curvas_cupon_cero!$A$1,1,MATCH(Bono_M_Cupon_fijo_curva!$B$7,Curvas_cupon_cero!$1:$1,0)-1,COUNT(Curvas_cupon_cero!$A:$A)-2,1)),interpolar(E435,OFFSET(Curvas_cupon_cero!$A$1,1,0,COUNT(Curvas_cupon_cero!$A:$A)-2,1),OFFSET(Curvas_cupon_cero!$A$1,1,MATCH(Bono_M_Cupon_fijo_curva!$B$7,Curvas_cupon_cero!$1:$1,0)-1,COUNT(Curvas_cupon_cero!$A:$A)-2,1))))</f>
        <v/>
      </c>
      <c r="G435" s="19" t="str">
        <f>IF(A435="","",C435/(1+F435*$B$6/360)^(COUNT(A$16:A435)-($B$6-$D$16)/$B$6))</f>
        <v/>
      </c>
    </row>
    <row r="436" spans="1:7" x14ac:dyDescent="0.2">
      <c r="A436" s="12" t="str">
        <f t="shared" si="36"/>
        <v/>
      </c>
      <c r="B436" t="str">
        <f t="shared" si="32"/>
        <v/>
      </c>
      <c r="C436" s="17" t="str">
        <f t="shared" si="33"/>
        <v/>
      </c>
      <c r="D436" s="18" t="str">
        <f t="shared" si="34"/>
        <v/>
      </c>
      <c r="E436" t="str">
        <f t="shared" si="35"/>
        <v/>
      </c>
      <c r="F436" s="23" t="str">
        <f ca="1">IF(A436="","",IF($B$8="Sí",interpolar_alamb(E436,OFFSET(Curvas_cupon_cero!$A$1,1,0,COUNT(Curvas_cupon_cero!$A:$A)-2,1),OFFSET(Curvas_cupon_cero!$A$1,1,MATCH(Bono_M_Cupon_fijo_curva!$B$7,Curvas_cupon_cero!$1:$1,0)-1,COUNT(Curvas_cupon_cero!$A:$A)-2,1)),interpolar(E436,OFFSET(Curvas_cupon_cero!$A$1,1,0,COUNT(Curvas_cupon_cero!$A:$A)-2,1),OFFSET(Curvas_cupon_cero!$A$1,1,MATCH(Bono_M_Cupon_fijo_curva!$B$7,Curvas_cupon_cero!$1:$1,0)-1,COUNT(Curvas_cupon_cero!$A:$A)-2,1))))</f>
        <v/>
      </c>
      <c r="G436" s="19" t="str">
        <f>IF(A436="","",C436/(1+F436*$B$6/360)^(COUNT(A$16:A436)-($B$6-$D$16)/$B$6))</f>
        <v/>
      </c>
    </row>
    <row r="437" spans="1:7" x14ac:dyDescent="0.2">
      <c r="A437" s="12" t="str">
        <f t="shared" si="36"/>
        <v/>
      </c>
      <c r="B437" t="str">
        <f t="shared" si="32"/>
        <v/>
      </c>
      <c r="C437" s="17" t="str">
        <f t="shared" si="33"/>
        <v/>
      </c>
      <c r="D437" s="18" t="str">
        <f t="shared" si="34"/>
        <v/>
      </c>
      <c r="E437" t="str">
        <f t="shared" si="35"/>
        <v/>
      </c>
      <c r="F437" s="23" t="str">
        <f ca="1">IF(A437="","",IF($B$8="Sí",interpolar_alamb(E437,OFFSET(Curvas_cupon_cero!$A$1,1,0,COUNT(Curvas_cupon_cero!$A:$A)-2,1),OFFSET(Curvas_cupon_cero!$A$1,1,MATCH(Bono_M_Cupon_fijo_curva!$B$7,Curvas_cupon_cero!$1:$1,0)-1,COUNT(Curvas_cupon_cero!$A:$A)-2,1)),interpolar(E437,OFFSET(Curvas_cupon_cero!$A$1,1,0,COUNT(Curvas_cupon_cero!$A:$A)-2,1),OFFSET(Curvas_cupon_cero!$A$1,1,MATCH(Bono_M_Cupon_fijo_curva!$B$7,Curvas_cupon_cero!$1:$1,0)-1,COUNT(Curvas_cupon_cero!$A:$A)-2,1))))</f>
        <v/>
      </c>
      <c r="G437" s="19" t="str">
        <f>IF(A437="","",C437/(1+F437*$B$6/360)^(COUNT(A$16:A437)-($B$6-$D$16)/$B$6))</f>
        <v/>
      </c>
    </row>
    <row r="438" spans="1:7" x14ac:dyDescent="0.2">
      <c r="A438" s="12" t="str">
        <f t="shared" si="36"/>
        <v/>
      </c>
      <c r="B438" t="str">
        <f t="shared" si="32"/>
        <v/>
      </c>
      <c r="C438" s="17" t="str">
        <f t="shared" si="33"/>
        <v/>
      </c>
      <c r="D438" s="18" t="str">
        <f t="shared" si="34"/>
        <v/>
      </c>
      <c r="E438" t="str">
        <f t="shared" si="35"/>
        <v/>
      </c>
      <c r="F438" s="23" t="str">
        <f ca="1">IF(A438="","",IF($B$8="Sí",interpolar_alamb(E438,OFFSET(Curvas_cupon_cero!$A$1,1,0,COUNT(Curvas_cupon_cero!$A:$A)-2,1),OFFSET(Curvas_cupon_cero!$A$1,1,MATCH(Bono_M_Cupon_fijo_curva!$B$7,Curvas_cupon_cero!$1:$1,0)-1,COUNT(Curvas_cupon_cero!$A:$A)-2,1)),interpolar(E438,OFFSET(Curvas_cupon_cero!$A$1,1,0,COUNT(Curvas_cupon_cero!$A:$A)-2,1),OFFSET(Curvas_cupon_cero!$A$1,1,MATCH(Bono_M_Cupon_fijo_curva!$B$7,Curvas_cupon_cero!$1:$1,0)-1,COUNT(Curvas_cupon_cero!$A:$A)-2,1))))</f>
        <v/>
      </c>
      <c r="G438" s="19" t="str">
        <f>IF(A438="","",C438/(1+F438*$B$6/360)^(COUNT(A$16:A438)-($B$6-$D$16)/$B$6))</f>
        <v/>
      </c>
    </row>
    <row r="439" spans="1:7" x14ac:dyDescent="0.2">
      <c r="A439" s="12" t="str">
        <f t="shared" si="36"/>
        <v/>
      </c>
      <c r="B439" t="str">
        <f t="shared" si="32"/>
        <v/>
      </c>
      <c r="C439" s="17" t="str">
        <f t="shared" si="33"/>
        <v/>
      </c>
      <c r="D439" s="18" t="str">
        <f t="shared" si="34"/>
        <v/>
      </c>
      <c r="E439" t="str">
        <f t="shared" si="35"/>
        <v/>
      </c>
      <c r="F439" s="23" t="str">
        <f ca="1">IF(A439="","",IF($B$8="Sí",interpolar_alamb(E439,OFFSET(Curvas_cupon_cero!$A$1,1,0,COUNT(Curvas_cupon_cero!$A:$A)-2,1),OFFSET(Curvas_cupon_cero!$A$1,1,MATCH(Bono_M_Cupon_fijo_curva!$B$7,Curvas_cupon_cero!$1:$1,0)-1,COUNT(Curvas_cupon_cero!$A:$A)-2,1)),interpolar(E439,OFFSET(Curvas_cupon_cero!$A$1,1,0,COUNT(Curvas_cupon_cero!$A:$A)-2,1),OFFSET(Curvas_cupon_cero!$A$1,1,MATCH(Bono_M_Cupon_fijo_curva!$B$7,Curvas_cupon_cero!$1:$1,0)-1,COUNT(Curvas_cupon_cero!$A:$A)-2,1))))</f>
        <v/>
      </c>
      <c r="G439" s="19" t="str">
        <f>IF(A439="","",C439/(1+F439*$B$6/360)^(COUNT(A$16:A439)-($B$6-$D$16)/$B$6))</f>
        <v/>
      </c>
    </row>
    <row r="440" spans="1:7" x14ac:dyDescent="0.2">
      <c r="A440" s="12" t="str">
        <f t="shared" si="36"/>
        <v/>
      </c>
      <c r="B440" t="str">
        <f t="shared" si="32"/>
        <v/>
      </c>
      <c r="C440" s="17" t="str">
        <f t="shared" si="33"/>
        <v/>
      </c>
      <c r="D440" s="18" t="str">
        <f t="shared" si="34"/>
        <v/>
      </c>
      <c r="E440" t="str">
        <f t="shared" si="35"/>
        <v/>
      </c>
      <c r="F440" s="23" t="str">
        <f ca="1">IF(A440="","",IF($B$8="Sí",interpolar_alamb(E440,OFFSET(Curvas_cupon_cero!$A$1,1,0,COUNT(Curvas_cupon_cero!$A:$A)-2,1),OFFSET(Curvas_cupon_cero!$A$1,1,MATCH(Bono_M_Cupon_fijo_curva!$B$7,Curvas_cupon_cero!$1:$1,0)-1,COUNT(Curvas_cupon_cero!$A:$A)-2,1)),interpolar(E440,OFFSET(Curvas_cupon_cero!$A$1,1,0,COUNT(Curvas_cupon_cero!$A:$A)-2,1),OFFSET(Curvas_cupon_cero!$A$1,1,MATCH(Bono_M_Cupon_fijo_curva!$B$7,Curvas_cupon_cero!$1:$1,0)-1,COUNT(Curvas_cupon_cero!$A:$A)-2,1))))</f>
        <v/>
      </c>
      <c r="G440" s="19" t="str">
        <f>IF(A440="","",C440/(1+F440*$B$6/360)^(COUNT(A$16:A440)-($B$6-$D$16)/$B$6))</f>
        <v/>
      </c>
    </row>
    <row r="441" spans="1:7" x14ac:dyDescent="0.2">
      <c r="A441" s="12" t="str">
        <f t="shared" si="36"/>
        <v/>
      </c>
      <c r="B441" t="str">
        <f t="shared" si="32"/>
        <v/>
      </c>
      <c r="C441" s="17" t="str">
        <f t="shared" si="33"/>
        <v/>
      </c>
      <c r="D441" s="18" t="str">
        <f t="shared" si="34"/>
        <v/>
      </c>
      <c r="E441" t="str">
        <f t="shared" si="35"/>
        <v/>
      </c>
      <c r="F441" s="23" t="str">
        <f ca="1">IF(A441="","",IF($B$8="Sí",interpolar_alamb(E441,OFFSET(Curvas_cupon_cero!$A$1,1,0,COUNT(Curvas_cupon_cero!$A:$A)-2,1),OFFSET(Curvas_cupon_cero!$A$1,1,MATCH(Bono_M_Cupon_fijo_curva!$B$7,Curvas_cupon_cero!$1:$1,0)-1,COUNT(Curvas_cupon_cero!$A:$A)-2,1)),interpolar(E441,OFFSET(Curvas_cupon_cero!$A$1,1,0,COUNT(Curvas_cupon_cero!$A:$A)-2,1),OFFSET(Curvas_cupon_cero!$A$1,1,MATCH(Bono_M_Cupon_fijo_curva!$B$7,Curvas_cupon_cero!$1:$1,0)-1,COUNT(Curvas_cupon_cero!$A:$A)-2,1))))</f>
        <v/>
      </c>
      <c r="G441" s="19" t="str">
        <f>IF(A441="","",C441/(1+F441*$B$6/360)^(COUNT(A$16:A441)-($B$6-$D$16)/$B$6))</f>
        <v/>
      </c>
    </row>
    <row r="442" spans="1:7" x14ac:dyDescent="0.2">
      <c r="A442" s="12" t="str">
        <f t="shared" si="36"/>
        <v/>
      </c>
      <c r="B442" t="str">
        <f t="shared" si="32"/>
        <v/>
      </c>
      <c r="C442" s="17" t="str">
        <f t="shared" si="33"/>
        <v/>
      </c>
      <c r="D442" s="18" t="str">
        <f t="shared" si="34"/>
        <v/>
      </c>
      <c r="E442" t="str">
        <f t="shared" si="35"/>
        <v/>
      </c>
      <c r="F442" s="23" t="str">
        <f ca="1">IF(A442="","",IF($B$8="Sí",interpolar_alamb(E442,OFFSET(Curvas_cupon_cero!$A$1,1,0,COUNT(Curvas_cupon_cero!$A:$A)-2,1),OFFSET(Curvas_cupon_cero!$A$1,1,MATCH(Bono_M_Cupon_fijo_curva!$B$7,Curvas_cupon_cero!$1:$1,0)-1,COUNT(Curvas_cupon_cero!$A:$A)-2,1)),interpolar(E442,OFFSET(Curvas_cupon_cero!$A$1,1,0,COUNT(Curvas_cupon_cero!$A:$A)-2,1),OFFSET(Curvas_cupon_cero!$A$1,1,MATCH(Bono_M_Cupon_fijo_curva!$B$7,Curvas_cupon_cero!$1:$1,0)-1,COUNT(Curvas_cupon_cero!$A:$A)-2,1))))</f>
        <v/>
      </c>
      <c r="G442" s="19" t="str">
        <f>IF(A442="","",C442/(1+F442*$B$6/360)^(COUNT(A$16:A442)-($B$6-$D$16)/$B$6))</f>
        <v/>
      </c>
    </row>
    <row r="443" spans="1:7" x14ac:dyDescent="0.2">
      <c r="A443" s="12" t="str">
        <f t="shared" si="36"/>
        <v/>
      </c>
      <c r="B443" t="str">
        <f t="shared" si="32"/>
        <v/>
      </c>
      <c r="C443" s="17" t="str">
        <f t="shared" si="33"/>
        <v/>
      </c>
      <c r="D443" s="18" t="str">
        <f t="shared" si="34"/>
        <v/>
      </c>
      <c r="E443" t="str">
        <f t="shared" si="35"/>
        <v/>
      </c>
      <c r="F443" s="23" t="str">
        <f ca="1">IF(A443="","",IF($B$8="Sí",interpolar_alamb(E443,OFFSET(Curvas_cupon_cero!$A$1,1,0,COUNT(Curvas_cupon_cero!$A:$A)-2,1),OFFSET(Curvas_cupon_cero!$A$1,1,MATCH(Bono_M_Cupon_fijo_curva!$B$7,Curvas_cupon_cero!$1:$1,0)-1,COUNT(Curvas_cupon_cero!$A:$A)-2,1)),interpolar(E443,OFFSET(Curvas_cupon_cero!$A$1,1,0,COUNT(Curvas_cupon_cero!$A:$A)-2,1),OFFSET(Curvas_cupon_cero!$A$1,1,MATCH(Bono_M_Cupon_fijo_curva!$B$7,Curvas_cupon_cero!$1:$1,0)-1,COUNT(Curvas_cupon_cero!$A:$A)-2,1))))</f>
        <v/>
      </c>
      <c r="G443" s="19" t="str">
        <f>IF(A443="","",C443/(1+F443*$B$6/360)^(COUNT(A$16:A443)-($B$6-$D$16)/$B$6))</f>
        <v/>
      </c>
    </row>
    <row r="444" spans="1:7" x14ac:dyDescent="0.2">
      <c r="A444" s="12" t="str">
        <f t="shared" si="36"/>
        <v/>
      </c>
      <c r="B444" t="str">
        <f t="shared" si="32"/>
        <v/>
      </c>
      <c r="C444" s="17" t="str">
        <f t="shared" si="33"/>
        <v/>
      </c>
      <c r="D444" s="18" t="str">
        <f t="shared" si="34"/>
        <v/>
      </c>
      <c r="E444" t="str">
        <f t="shared" si="35"/>
        <v/>
      </c>
      <c r="F444" s="23" t="str">
        <f ca="1">IF(A444="","",IF($B$8="Sí",interpolar_alamb(E444,OFFSET(Curvas_cupon_cero!$A$1,1,0,COUNT(Curvas_cupon_cero!$A:$A)-2,1),OFFSET(Curvas_cupon_cero!$A$1,1,MATCH(Bono_M_Cupon_fijo_curva!$B$7,Curvas_cupon_cero!$1:$1,0)-1,COUNT(Curvas_cupon_cero!$A:$A)-2,1)),interpolar(E444,OFFSET(Curvas_cupon_cero!$A$1,1,0,COUNT(Curvas_cupon_cero!$A:$A)-2,1),OFFSET(Curvas_cupon_cero!$A$1,1,MATCH(Bono_M_Cupon_fijo_curva!$B$7,Curvas_cupon_cero!$1:$1,0)-1,COUNT(Curvas_cupon_cero!$A:$A)-2,1))))</f>
        <v/>
      </c>
      <c r="G444" s="19" t="str">
        <f>IF(A444="","",C444/(1+F444*$B$6/360)^(COUNT(A$16:A444)-($B$6-$D$16)/$B$6))</f>
        <v/>
      </c>
    </row>
    <row r="445" spans="1:7" x14ac:dyDescent="0.2">
      <c r="A445" s="12" t="str">
        <f t="shared" si="36"/>
        <v/>
      </c>
      <c r="B445" t="str">
        <f t="shared" si="32"/>
        <v/>
      </c>
      <c r="C445" s="17" t="str">
        <f t="shared" si="33"/>
        <v/>
      </c>
      <c r="D445" s="18" t="str">
        <f t="shared" si="34"/>
        <v/>
      </c>
      <c r="E445" t="str">
        <f t="shared" si="35"/>
        <v/>
      </c>
      <c r="F445" s="23" t="str">
        <f ca="1">IF(A445="","",IF($B$8="Sí",interpolar_alamb(E445,OFFSET(Curvas_cupon_cero!$A$1,1,0,COUNT(Curvas_cupon_cero!$A:$A)-2,1),OFFSET(Curvas_cupon_cero!$A$1,1,MATCH(Bono_M_Cupon_fijo_curva!$B$7,Curvas_cupon_cero!$1:$1,0)-1,COUNT(Curvas_cupon_cero!$A:$A)-2,1)),interpolar(E445,OFFSET(Curvas_cupon_cero!$A$1,1,0,COUNT(Curvas_cupon_cero!$A:$A)-2,1),OFFSET(Curvas_cupon_cero!$A$1,1,MATCH(Bono_M_Cupon_fijo_curva!$B$7,Curvas_cupon_cero!$1:$1,0)-1,COUNT(Curvas_cupon_cero!$A:$A)-2,1))))</f>
        <v/>
      </c>
      <c r="G445" s="19" t="str">
        <f>IF(A445="","",C445/(1+F445*$B$6/360)^(COUNT(A$16:A445)-($B$6-$D$16)/$B$6))</f>
        <v/>
      </c>
    </row>
    <row r="446" spans="1:7" x14ac:dyDescent="0.2">
      <c r="A446" s="12" t="str">
        <f t="shared" si="36"/>
        <v/>
      </c>
      <c r="B446" t="str">
        <f t="shared" si="32"/>
        <v/>
      </c>
      <c r="C446" s="17" t="str">
        <f t="shared" si="33"/>
        <v/>
      </c>
      <c r="D446" s="18" t="str">
        <f t="shared" si="34"/>
        <v/>
      </c>
      <c r="E446" t="str">
        <f t="shared" si="35"/>
        <v/>
      </c>
      <c r="F446" s="23" t="str">
        <f ca="1">IF(A446="","",IF($B$8="Sí",interpolar_alamb(E446,OFFSET(Curvas_cupon_cero!$A$1,1,0,COUNT(Curvas_cupon_cero!$A:$A)-2,1),OFFSET(Curvas_cupon_cero!$A$1,1,MATCH(Bono_M_Cupon_fijo_curva!$B$7,Curvas_cupon_cero!$1:$1,0)-1,COUNT(Curvas_cupon_cero!$A:$A)-2,1)),interpolar(E446,OFFSET(Curvas_cupon_cero!$A$1,1,0,COUNT(Curvas_cupon_cero!$A:$A)-2,1),OFFSET(Curvas_cupon_cero!$A$1,1,MATCH(Bono_M_Cupon_fijo_curva!$B$7,Curvas_cupon_cero!$1:$1,0)-1,COUNT(Curvas_cupon_cero!$A:$A)-2,1))))</f>
        <v/>
      </c>
      <c r="G446" s="19" t="str">
        <f>IF(A446="","",C446/(1+F446*$B$6/360)^(COUNT(A$16:A446)-($B$6-$D$16)/$B$6))</f>
        <v/>
      </c>
    </row>
    <row r="447" spans="1:7" x14ac:dyDescent="0.2">
      <c r="A447" s="12" t="str">
        <f t="shared" si="36"/>
        <v/>
      </c>
      <c r="B447" t="str">
        <f t="shared" si="32"/>
        <v/>
      </c>
      <c r="C447" s="17" t="str">
        <f t="shared" si="33"/>
        <v/>
      </c>
      <c r="D447" s="18" t="str">
        <f t="shared" si="34"/>
        <v/>
      </c>
      <c r="E447" t="str">
        <f t="shared" si="35"/>
        <v/>
      </c>
      <c r="F447" s="23" t="str">
        <f ca="1">IF(A447="","",IF($B$8="Sí",interpolar_alamb(E447,OFFSET(Curvas_cupon_cero!$A$1,1,0,COUNT(Curvas_cupon_cero!$A:$A)-2,1),OFFSET(Curvas_cupon_cero!$A$1,1,MATCH(Bono_M_Cupon_fijo_curva!$B$7,Curvas_cupon_cero!$1:$1,0)-1,COUNT(Curvas_cupon_cero!$A:$A)-2,1)),interpolar(E447,OFFSET(Curvas_cupon_cero!$A$1,1,0,COUNT(Curvas_cupon_cero!$A:$A)-2,1),OFFSET(Curvas_cupon_cero!$A$1,1,MATCH(Bono_M_Cupon_fijo_curva!$B$7,Curvas_cupon_cero!$1:$1,0)-1,COUNT(Curvas_cupon_cero!$A:$A)-2,1))))</f>
        <v/>
      </c>
      <c r="G447" s="19" t="str">
        <f>IF(A447="","",C447/(1+F447*$B$6/360)^(COUNT(A$16:A447)-($B$6-$D$16)/$B$6))</f>
        <v/>
      </c>
    </row>
    <row r="448" spans="1:7" x14ac:dyDescent="0.2">
      <c r="A448" s="12" t="str">
        <f t="shared" si="36"/>
        <v/>
      </c>
      <c r="B448" t="str">
        <f t="shared" si="32"/>
        <v/>
      </c>
      <c r="C448" s="17" t="str">
        <f t="shared" si="33"/>
        <v/>
      </c>
      <c r="D448" s="18" t="str">
        <f t="shared" si="34"/>
        <v/>
      </c>
      <c r="E448" t="str">
        <f t="shared" si="35"/>
        <v/>
      </c>
      <c r="F448" s="23" t="str">
        <f ca="1">IF(A448="","",IF($B$8="Sí",interpolar_alamb(E448,OFFSET(Curvas_cupon_cero!$A$1,1,0,COUNT(Curvas_cupon_cero!$A:$A)-2,1),OFFSET(Curvas_cupon_cero!$A$1,1,MATCH(Bono_M_Cupon_fijo_curva!$B$7,Curvas_cupon_cero!$1:$1,0)-1,COUNT(Curvas_cupon_cero!$A:$A)-2,1)),interpolar(E448,OFFSET(Curvas_cupon_cero!$A$1,1,0,COUNT(Curvas_cupon_cero!$A:$A)-2,1),OFFSET(Curvas_cupon_cero!$A$1,1,MATCH(Bono_M_Cupon_fijo_curva!$B$7,Curvas_cupon_cero!$1:$1,0)-1,COUNT(Curvas_cupon_cero!$A:$A)-2,1))))</f>
        <v/>
      </c>
      <c r="G448" s="19" t="str">
        <f>IF(A448="","",C448/(1+F448*$B$6/360)^(COUNT(A$16:A448)-($B$6-$D$16)/$B$6))</f>
        <v/>
      </c>
    </row>
    <row r="449" spans="1:7" x14ac:dyDescent="0.2">
      <c r="A449" s="12" t="str">
        <f t="shared" si="36"/>
        <v/>
      </c>
      <c r="B449" t="str">
        <f t="shared" si="32"/>
        <v/>
      </c>
      <c r="C449" s="17" t="str">
        <f t="shared" si="33"/>
        <v/>
      </c>
      <c r="D449" s="18" t="str">
        <f t="shared" si="34"/>
        <v/>
      </c>
      <c r="E449" t="str">
        <f t="shared" si="35"/>
        <v/>
      </c>
      <c r="F449" s="23" t="str">
        <f ca="1">IF(A449="","",IF($B$8="Sí",interpolar_alamb(E449,OFFSET(Curvas_cupon_cero!$A$1,1,0,COUNT(Curvas_cupon_cero!$A:$A)-2,1),OFFSET(Curvas_cupon_cero!$A$1,1,MATCH(Bono_M_Cupon_fijo_curva!$B$7,Curvas_cupon_cero!$1:$1,0)-1,COUNT(Curvas_cupon_cero!$A:$A)-2,1)),interpolar(E449,OFFSET(Curvas_cupon_cero!$A$1,1,0,COUNT(Curvas_cupon_cero!$A:$A)-2,1),OFFSET(Curvas_cupon_cero!$A$1,1,MATCH(Bono_M_Cupon_fijo_curva!$B$7,Curvas_cupon_cero!$1:$1,0)-1,COUNT(Curvas_cupon_cero!$A:$A)-2,1))))</f>
        <v/>
      </c>
      <c r="G449" s="19" t="str">
        <f>IF(A449="","",C449/(1+F449*$B$6/360)^(COUNT(A$16:A449)-($B$6-$D$16)/$B$6))</f>
        <v/>
      </c>
    </row>
    <row r="450" spans="1:7" x14ac:dyDescent="0.2">
      <c r="A450" s="12" t="str">
        <f t="shared" si="36"/>
        <v/>
      </c>
      <c r="B450" t="str">
        <f t="shared" si="32"/>
        <v/>
      </c>
      <c r="C450" s="17" t="str">
        <f t="shared" si="33"/>
        <v/>
      </c>
      <c r="D450" s="18" t="str">
        <f t="shared" si="34"/>
        <v/>
      </c>
      <c r="E450" t="str">
        <f t="shared" si="35"/>
        <v/>
      </c>
      <c r="F450" s="23" t="str">
        <f ca="1">IF(A450="","",IF($B$8="Sí",interpolar_alamb(E450,OFFSET(Curvas_cupon_cero!$A$1,1,0,COUNT(Curvas_cupon_cero!$A:$A)-2,1),OFFSET(Curvas_cupon_cero!$A$1,1,MATCH(Bono_M_Cupon_fijo_curva!$B$7,Curvas_cupon_cero!$1:$1,0)-1,COUNT(Curvas_cupon_cero!$A:$A)-2,1)),interpolar(E450,OFFSET(Curvas_cupon_cero!$A$1,1,0,COUNT(Curvas_cupon_cero!$A:$A)-2,1),OFFSET(Curvas_cupon_cero!$A$1,1,MATCH(Bono_M_Cupon_fijo_curva!$B$7,Curvas_cupon_cero!$1:$1,0)-1,COUNT(Curvas_cupon_cero!$A:$A)-2,1))))</f>
        <v/>
      </c>
      <c r="G450" s="19" t="str">
        <f>IF(A450="","",C450/(1+F450*$B$6/360)^(COUNT(A$16:A450)-($B$6-$D$16)/$B$6))</f>
        <v/>
      </c>
    </row>
    <row r="451" spans="1:7" x14ac:dyDescent="0.2">
      <c r="A451" s="12" t="str">
        <f t="shared" si="36"/>
        <v/>
      </c>
      <c r="B451" t="str">
        <f t="shared" si="32"/>
        <v/>
      </c>
      <c r="C451" s="17" t="str">
        <f t="shared" si="33"/>
        <v/>
      </c>
      <c r="D451" s="18" t="str">
        <f t="shared" si="34"/>
        <v/>
      </c>
      <c r="E451" t="str">
        <f t="shared" si="35"/>
        <v/>
      </c>
      <c r="F451" s="23" t="str">
        <f ca="1">IF(A451="","",IF($B$8="Sí",interpolar_alamb(E451,OFFSET(Curvas_cupon_cero!$A$1,1,0,COUNT(Curvas_cupon_cero!$A:$A)-2,1),OFFSET(Curvas_cupon_cero!$A$1,1,MATCH(Bono_M_Cupon_fijo_curva!$B$7,Curvas_cupon_cero!$1:$1,0)-1,COUNT(Curvas_cupon_cero!$A:$A)-2,1)),interpolar(E451,OFFSET(Curvas_cupon_cero!$A$1,1,0,COUNT(Curvas_cupon_cero!$A:$A)-2,1),OFFSET(Curvas_cupon_cero!$A$1,1,MATCH(Bono_M_Cupon_fijo_curva!$B$7,Curvas_cupon_cero!$1:$1,0)-1,COUNT(Curvas_cupon_cero!$A:$A)-2,1))))</f>
        <v/>
      </c>
      <c r="G451" s="19" t="str">
        <f>IF(A451="","",C451/(1+F451*$B$6/360)^(COUNT(A$16:A451)-($B$6-$D$16)/$B$6))</f>
        <v/>
      </c>
    </row>
    <row r="452" spans="1:7" x14ac:dyDescent="0.2">
      <c r="A452" s="12" t="str">
        <f t="shared" si="36"/>
        <v/>
      </c>
      <c r="B452" t="str">
        <f t="shared" si="32"/>
        <v/>
      </c>
      <c r="C452" s="17" t="str">
        <f t="shared" si="33"/>
        <v/>
      </c>
      <c r="D452" s="18" t="str">
        <f t="shared" si="34"/>
        <v/>
      </c>
      <c r="E452" t="str">
        <f t="shared" si="35"/>
        <v/>
      </c>
      <c r="F452" s="23" t="str">
        <f ca="1">IF(A452="","",IF($B$8="Sí",interpolar_alamb(E452,OFFSET(Curvas_cupon_cero!$A$1,1,0,COUNT(Curvas_cupon_cero!$A:$A)-2,1),OFFSET(Curvas_cupon_cero!$A$1,1,MATCH(Bono_M_Cupon_fijo_curva!$B$7,Curvas_cupon_cero!$1:$1,0)-1,COUNT(Curvas_cupon_cero!$A:$A)-2,1)),interpolar(E452,OFFSET(Curvas_cupon_cero!$A$1,1,0,COUNT(Curvas_cupon_cero!$A:$A)-2,1),OFFSET(Curvas_cupon_cero!$A$1,1,MATCH(Bono_M_Cupon_fijo_curva!$B$7,Curvas_cupon_cero!$1:$1,0)-1,COUNT(Curvas_cupon_cero!$A:$A)-2,1))))</f>
        <v/>
      </c>
      <c r="G452" s="19" t="str">
        <f>IF(A452="","",C452/(1+F452*$B$6/360)^(COUNT(A$16:A452)-($B$6-$D$16)/$B$6))</f>
        <v/>
      </c>
    </row>
    <row r="453" spans="1:7" x14ac:dyDescent="0.2">
      <c r="A453" s="12" t="str">
        <f t="shared" si="36"/>
        <v/>
      </c>
      <c r="B453" t="str">
        <f t="shared" si="32"/>
        <v/>
      </c>
      <c r="C453" s="17" t="str">
        <f t="shared" si="33"/>
        <v/>
      </c>
      <c r="D453" s="18" t="str">
        <f t="shared" si="34"/>
        <v/>
      </c>
      <c r="E453" t="str">
        <f t="shared" si="35"/>
        <v/>
      </c>
      <c r="F453" s="23" t="str">
        <f ca="1">IF(A453="","",IF($B$8="Sí",interpolar_alamb(E453,OFFSET(Curvas_cupon_cero!$A$1,1,0,COUNT(Curvas_cupon_cero!$A:$A)-2,1),OFFSET(Curvas_cupon_cero!$A$1,1,MATCH(Bono_M_Cupon_fijo_curva!$B$7,Curvas_cupon_cero!$1:$1,0)-1,COUNT(Curvas_cupon_cero!$A:$A)-2,1)),interpolar(E453,OFFSET(Curvas_cupon_cero!$A$1,1,0,COUNT(Curvas_cupon_cero!$A:$A)-2,1),OFFSET(Curvas_cupon_cero!$A$1,1,MATCH(Bono_M_Cupon_fijo_curva!$B$7,Curvas_cupon_cero!$1:$1,0)-1,COUNT(Curvas_cupon_cero!$A:$A)-2,1))))</f>
        <v/>
      </c>
      <c r="G453" s="19" t="str">
        <f>IF(A453="","",C453/(1+F453*$B$6/360)^(COUNT(A$16:A453)-($B$6-$D$16)/$B$6))</f>
        <v/>
      </c>
    </row>
    <row r="454" spans="1:7" x14ac:dyDescent="0.2">
      <c r="A454" s="12" t="str">
        <f t="shared" si="36"/>
        <v/>
      </c>
      <c r="B454" t="str">
        <f t="shared" si="32"/>
        <v/>
      </c>
      <c r="C454" s="17" t="str">
        <f t="shared" si="33"/>
        <v/>
      </c>
      <c r="D454" s="18" t="str">
        <f t="shared" si="34"/>
        <v/>
      </c>
      <c r="E454" t="str">
        <f t="shared" si="35"/>
        <v/>
      </c>
      <c r="F454" s="23" t="str">
        <f ca="1">IF(A454="","",IF($B$8="Sí",interpolar_alamb(E454,OFFSET(Curvas_cupon_cero!$A$1,1,0,COUNT(Curvas_cupon_cero!$A:$A)-2,1),OFFSET(Curvas_cupon_cero!$A$1,1,MATCH(Bono_M_Cupon_fijo_curva!$B$7,Curvas_cupon_cero!$1:$1,0)-1,COUNT(Curvas_cupon_cero!$A:$A)-2,1)),interpolar(E454,OFFSET(Curvas_cupon_cero!$A$1,1,0,COUNT(Curvas_cupon_cero!$A:$A)-2,1),OFFSET(Curvas_cupon_cero!$A$1,1,MATCH(Bono_M_Cupon_fijo_curva!$B$7,Curvas_cupon_cero!$1:$1,0)-1,COUNT(Curvas_cupon_cero!$A:$A)-2,1))))</f>
        <v/>
      </c>
      <c r="G454" s="19" t="str">
        <f>IF(A454="","",C454/(1+F454*$B$6/360)^(COUNT(A$16:A454)-($B$6-$D$16)/$B$6))</f>
        <v/>
      </c>
    </row>
    <row r="455" spans="1:7" x14ac:dyDescent="0.2">
      <c r="A455" s="12" t="str">
        <f t="shared" si="36"/>
        <v/>
      </c>
      <c r="B455" t="str">
        <f t="shared" si="32"/>
        <v/>
      </c>
      <c r="C455" s="17" t="str">
        <f t="shared" si="33"/>
        <v/>
      </c>
      <c r="D455" s="18" t="str">
        <f t="shared" si="34"/>
        <v/>
      </c>
      <c r="E455" t="str">
        <f t="shared" si="35"/>
        <v/>
      </c>
      <c r="F455" s="23" t="str">
        <f ca="1">IF(A455="","",IF($B$8="Sí",interpolar_alamb(E455,OFFSET(Curvas_cupon_cero!$A$1,1,0,COUNT(Curvas_cupon_cero!$A:$A)-2,1),OFFSET(Curvas_cupon_cero!$A$1,1,MATCH(Bono_M_Cupon_fijo_curva!$B$7,Curvas_cupon_cero!$1:$1,0)-1,COUNT(Curvas_cupon_cero!$A:$A)-2,1)),interpolar(E455,OFFSET(Curvas_cupon_cero!$A$1,1,0,COUNT(Curvas_cupon_cero!$A:$A)-2,1),OFFSET(Curvas_cupon_cero!$A$1,1,MATCH(Bono_M_Cupon_fijo_curva!$B$7,Curvas_cupon_cero!$1:$1,0)-1,COUNT(Curvas_cupon_cero!$A:$A)-2,1))))</f>
        <v/>
      </c>
      <c r="G455" s="19" t="str">
        <f>IF(A455="","",C455/(1+F455*$B$6/360)^(COUNT(A$16:A455)-($B$6-$D$16)/$B$6))</f>
        <v/>
      </c>
    </row>
    <row r="456" spans="1:7" x14ac:dyDescent="0.2">
      <c r="A456" s="12" t="str">
        <f t="shared" si="36"/>
        <v/>
      </c>
      <c r="B456" t="str">
        <f t="shared" si="32"/>
        <v/>
      </c>
      <c r="C456" s="17" t="str">
        <f t="shared" si="33"/>
        <v/>
      </c>
      <c r="D456" s="18" t="str">
        <f t="shared" si="34"/>
        <v/>
      </c>
      <c r="E456" t="str">
        <f t="shared" si="35"/>
        <v/>
      </c>
      <c r="F456" s="23" t="str">
        <f ca="1">IF(A456="","",IF($B$8="Sí",interpolar_alamb(E456,OFFSET(Curvas_cupon_cero!$A$1,1,0,COUNT(Curvas_cupon_cero!$A:$A)-2,1),OFFSET(Curvas_cupon_cero!$A$1,1,MATCH(Bono_M_Cupon_fijo_curva!$B$7,Curvas_cupon_cero!$1:$1,0)-1,COUNT(Curvas_cupon_cero!$A:$A)-2,1)),interpolar(E456,OFFSET(Curvas_cupon_cero!$A$1,1,0,COUNT(Curvas_cupon_cero!$A:$A)-2,1),OFFSET(Curvas_cupon_cero!$A$1,1,MATCH(Bono_M_Cupon_fijo_curva!$B$7,Curvas_cupon_cero!$1:$1,0)-1,COUNT(Curvas_cupon_cero!$A:$A)-2,1))))</f>
        <v/>
      </c>
      <c r="G456" s="19" t="str">
        <f>IF(A456="","",C456/(1+F456*$B$6/360)^(COUNT(A$16:A456)-($B$6-$D$16)/$B$6))</f>
        <v/>
      </c>
    </row>
    <row r="457" spans="1:7" x14ac:dyDescent="0.2">
      <c r="A457" s="12" t="str">
        <f t="shared" si="36"/>
        <v/>
      </c>
      <c r="B457" t="str">
        <f t="shared" si="32"/>
        <v/>
      </c>
      <c r="C457" s="17" t="str">
        <f t="shared" si="33"/>
        <v/>
      </c>
      <c r="D457" s="18" t="str">
        <f t="shared" si="34"/>
        <v/>
      </c>
      <c r="E457" t="str">
        <f t="shared" si="35"/>
        <v/>
      </c>
      <c r="F457" s="23" t="str">
        <f ca="1">IF(A457="","",IF($B$8="Sí",interpolar_alamb(E457,OFFSET(Curvas_cupon_cero!$A$1,1,0,COUNT(Curvas_cupon_cero!$A:$A)-2,1),OFFSET(Curvas_cupon_cero!$A$1,1,MATCH(Bono_M_Cupon_fijo_curva!$B$7,Curvas_cupon_cero!$1:$1,0)-1,COUNT(Curvas_cupon_cero!$A:$A)-2,1)),interpolar(E457,OFFSET(Curvas_cupon_cero!$A$1,1,0,COUNT(Curvas_cupon_cero!$A:$A)-2,1),OFFSET(Curvas_cupon_cero!$A$1,1,MATCH(Bono_M_Cupon_fijo_curva!$B$7,Curvas_cupon_cero!$1:$1,0)-1,COUNT(Curvas_cupon_cero!$A:$A)-2,1))))</f>
        <v/>
      </c>
      <c r="G457" s="19" t="str">
        <f>IF(A457="","",C457/(1+F457*$B$6/360)^(COUNT(A$16:A457)-($B$6-$D$16)/$B$6))</f>
        <v/>
      </c>
    </row>
    <row r="458" spans="1:7" x14ac:dyDescent="0.2">
      <c r="A458" s="12" t="str">
        <f t="shared" si="36"/>
        <v/>
      </c>
      <c r="B458" t="str">
        <f t="shared" si="32"/>
        <v/>
      </c>
      <c r="C458" s="17" t="str">
        <f t="shared" si="33"/>
        <v/>
      </c>
      <c r="D458" s="18" t="str">
        <f t="shared" si="34"/>
        <v/>
      </c>
      <c r="E458" t="str">
        <f t="shared" si="35"/>
        <v/>
      </c>
      <c r="F458" s="23" t="str">
        <f ca="1">IF(A458="","",IF($B$8="Sí",interpolar_alamb(E458,OFFSET(Curvas_cupon_cero!$A$1,1,0,COUNT(Curvas_cupon_cero!$A:$A)-2,1),OFFSET(Curvas_cupon_cero!$A$1,1,MATCH(Bono_M_Cupon_fijo_curva!$B$7,Curvas_cupon_cero!$1:$1,0)-1,COUNT(Curvas_cupon_cero!$A:$A)-2,1)),interpolar(E458,OFFSET(Curvas_cupon_cero!$A$1,1,0,COUNT(Curvas_cupon_cero!$A:$A)-2,1),OFFSET(Curvas_cupon_cero!$A$1,1,MATCH(Bono_M_Cupon_fijo_curva!$B$7,Curvas_cupon_cero!$1:$1,0)-1,COUNT(Curvas_cupon_cero!$A:$A)-2,1))))</f>
        <v/>
      </c>
      <c r="G458" s="19" t="str">
        <f>IF(A458="","",C458/(1+F458*$B$6/360)^(COUNT(A$16:A458)-($B$6-$D$16)/$B$6))</f>
        <v/>
      </c>
    </row>
    <row r="459" spans="1:7" x14ac:dyDescent="0.2">
      <c r="A459" s="12" t="str">
        <f t="shared" si="36"/>
        <v/>
      </c>
      <c r="B459" t="str">
        <f t="shared" si="32"/>
        <v/>
      </c>
      <c r="C459" s="17" t="str">
        <f t="shared" si="33"/>
        <v/>
      </c>
      <c r="D459" s="18" t="str">
        <f t="shared" si="34"/>
        <v/>
      </c>
      <c r="E459" t="str">
        <f t="shared" si="35"/>
        <v/>
      </c>
      <c r="F459" s="23" t="str">
        <f ca="1">IF(A459="","",IF($B$8="Sí",interpolar_alamb(E459,OFFSET(Curvas_cupon_cero!$A$1,1,0,COUNT(Curvas_cupon_cero!$A:$A)-2,1),OFFSET(Curvas_cupon_cero!$A$1,1,MATCH(Bono_M_Cupon_fijo_curva!$B$7,Curvas_cupon_cero!$1:$1,0)-1,COUNT(Curvas_cupon_cero!$A:$A)-2,1)),interpolar(E459,OFFSET(Curvas_cupon_cero!$A$1,1,0,COUNT(Curvas_cupon_cero!$A:$A)-2,1),OFFSET(Curvas_cupon_cero!$A$1,1,MATCH(Bono_M_Cupon_fijo_curva!$B$7,Curvas_cupon_cero!$1:$1,0)-1,COUNT(Curvas_cupon_cero!$A:$A)-2,1))))</f>
        <v/>
      </c>
      <c r="G459" s="19" t="str">
        <f>IF(A459="","",C459/(1+F459*$B$6/360)^(COUNT(A$16:A459)-($B$6-$D$16)/$B$6))</f>
        <v/>
      </c>
    </row>
    <row r="460" spans="1:7" x14ac:dyDescent="0.2">
      <c r="A460" s="12" t="str">
        <f t="shared" si="36"/>
        <v/>
      </c>
      <c r="B460" t="str">
        <f t="shared" si="32"/>
        <v/>
      </c>
      <c r="C460" s="17" t="str">
        <f t="shared" si="33"/>
        <v/>
      </c>
      <c r="D460" s="18" t="str">
        <f t="shared" si="34"/>
        <v/>
      </c>
      <c r="E460" t="str">
        <f t="shared" si="35"/>
        <v/>
      </c>
      <c r="F460" s="23" t="str">
        <f ca="1">IF(A460="","",IF($B$8="Sí",interpolar_alamb(E460,OFFSET(Curvas_cupon_cero!$A$1,1,0,COUNT(Curvas_cupon_cero!$A:$A)-2,1),OFFSET(Curvas_cupon_cero!$A$1,1,MATCH(Bono_M_Cupon_fijo_curva!$B$7,Curvas_cupon_cero!$1:$1,0)-1,COUNT(Curvas_cupon_cero!$A:$A)-2,1)),interpolar(E460,OFFSET(Curvas_cupon_cero!$A$1,1,0,COUNT(Curvas_cupon_cero!$A:$A)-2,1),OFFSET(Curvas_cupon_cero!$A$1,1,MATCH(Bono_M_Cupon_fijo_curva!$B$7,Curvas_cupon_cero!$1:$1,0)-1,COUNT(Curvas_cupon_cero!$A:$A)-2,1))))</f>
        <v/>
      </c>
      <c r="G460" s="19" t="str">
        <f>IF(A460="","",C460/(1+F460*$B$6/360)^(COUNT(A$16:A460)-($B$6-$D$16)/$B$6))</f>
        <v/>
      </c>
    </row>
    <row r="461" spans="1:7" x14ac:dyDescent="0.2">
      <c r="A461" s="12" t="str">
        <f t="shared" si="36"/>
        <v/>
      </c>
      <c r="B461" t="str">
        <f t="shared" si="32"/>
        <v/>
      </c>
      <c r="C461" s="17" t="str">
        <f t="shared" si="33"/>
        <v/>
      </c>
      <c r="D461" s="18" t="str">
        <f t="shared" si="34"/>
        <v/>
      </c>
      <c r="E461" t="str">
        <f t="shared" si="35"/>
        <v/>
      </c>
      <c r="F461" s="23" t="str">
        <f ca="1">IF(A461="","",IF($B$8="Sí",interpolar_alamb(E461,OFFSET(Curvas_cupon_cero!$A$1,1,0,COUNT(Curvas_cupon_cero!$A:$A)-2,1),OFFSET(Curvas_cupon_cero!$A$1,1,MATCH(Bono_M_Cupon_fijo_curva!$B$7,Curvas_cupon_cero!$1:$1,0)-1,COUNT(Curvas_cupon_cero!$A:$A)-2,1)),interpolar(E461,OFFSET(Curvas_cupon_cero!$A$1,1,0,COUNT(Curvas_cupon_cero!$A:$A)-2,1),OFFSET(Curvas_cupon_cero!$A$1,1,MATCH(Bono_M_Cupon_fijo_curva!$B$7,Curvas_cupon_cero!$1:$1,0)-1,COUNT(Curvas_cupon_cero!$A:$A)-2,1))))</f>
        <v/>
      </c>
      <c r="G461" s="19" t="str">
        <f>IF(A461="","",C461/(1+F461*$B$6/360)^(COUNT(A$16:A461)-($B$6-$D$16)/$B$6))</f>
        <v/>
      </c>
    </row>
    <row r="462" spans="1:7" x14ac:dyDescent="0.2">
      <c r="A462" s="12" t="str">
        <f t="shared" si="36"/>
        <v/>
      </c>
      <c r="B462" t="str">
        <f t="shared" si="32"/>
        <v/>
      </c>
      <c r="C462" s="17" t="str">
        <f t="shared" si="33"/>
        <v/>
      </c>
      <c r="D462" s="18" t="str">
        <f t="shared" si="34"/>
        <v/>
      </c>
      <c r="E462" t="str">
        <f t="shared" si="35"/>
        <v/>
      </c>
      <c r="F462" s="23" t="str">
        <f ca="1">IF(A462="","",IF($B$8="Sí",interpolar_alamb(E462,OFFSET(Curvas_cupon_cero!$A$1,1,0,COUNT(Curvas_cupon_cero!$A:$A)-2,1),OFFSET(Curvas_cupon_cero!$A$1,1,MATCH(Bono_M_Cupon_fijo_curva!$B$7,Curvas_cupon_cero!$1:$1,0)-1,COUNT(Curvas_cupon_cero!$A:$A)-2,1)),interpolar(E462,OFFSET(Curvas_cupon_cero!$A$1,1,0,COUNT(Curvas_cupon_cero!$A:$A)-2,1),OFFSET(Curvas_cupon_cero!$A$1,1,MATCH(Bono_M_Cupon_fijo_curva!$B$7,Curvas_cupon_cero!$1:$1,0)-1,COUNT(Curvas_cupon_cero!$A:$A)-2,1))))</f>
        <v/>
      </c>
      <c r="G462" s="19" t="str">
        <f>IF(A462="","",C462/(1+F462*$B$6/360)^(COUNT(A$16:A462)-($B$6-$D$16)/$B$6))</f>
        <v/>
      </c>
    </row>
    <row r="463" spans="1:7" x14ac:dyDescent="0.2">
      <c r="A463" s="12" t="str">
        <f t="shared" si="36"/>
        <v/>
      </c>
      <c r="B463" t="str">
        <f t="shared" si="32"/>
        <v/>
      </c>
      <c r="C463" s="17" t="str">
        <f t="shared" si="33"/>
        <v/>
      </c>
      <c r="D463" s="18" t="str">
        <f t="shared" si="34"/>
        <v/>
      </c>
      <c r="E463" t="str">
        <f t="shared" si="35"/>
        <v/>
      </c>
      <c r="F463" s="23" t="str">
        <f ca="1">IF(A463="","",IF($B$8="Sí",interpolar_alamb(E463,OFFSET(Curvas_cupon_cero!$A$1,1,0,COUNT(Curvas_cupon_cero!$A:$A)-2,1),OFFSET(Curvas_cupon_cero!$A$1,1,MATCH(Bono_M_Cupon_fijo_curva!$B$7,Curvas_cupon_cero!$1:$1,0)-1,COUNT(Curvas_cupon_cero!$A:$A)-2,1)),interpolar(E463,OFFSET(Curvas_cupon_cero!$A$1,1,0,COUNT(Curvas_cupon_cero!$A:$A)-2,1),OFFSET(Curvas_cupon_cero!$A$1,1,MATCH(Bono_M_Cupon_fijo_curva!$B$7,Curvas_cupon_cero!$1:$1,0)-1,COUNT(Curvas_cupon_cero!$A:$A)-2,1))))</f>
        <v/>
      </c>
      <c r="G463" s="19" t="str">
        <f>IF(A463="","",C463/(1+F463*$B$6/360)^(COUNT(A$16:A463)-($B$6-$D$16)/$B$6))</f>
        <v/>
      </c>
    </row>
    <row r="464" spans="1:7" x14ac:dyDescent="0.2">
      <c r="A464" s="12" t="str">
        <f t="shared" si="36"/>
        <v/>
      </c>
      <c r="B464" t="str">
        <f t="shared" si="32"/>
        <v/>
      </c>
      <c r="C464" s="17" t="str">
        <f t="shared" si="33"/>
        <v/>
      </c>
      <c r="D464" s="18" t="str">
        <f t="shared" si="34"/>
        <v/>
      </c>
      <c r="E464" t="str">
        <f t="shared" si="35"/>
        <v/>
      </c>
      <c r="F464" s="23" t="str">
        <f ca="1">IF(A464="","",IF($B$8="Sí",interpolar_alamb(E464,OFFSET(Curvas_cupon_cero!$A$1,1,0,COUNT(Curvas_cupon_cero!$A:$A)-2,1),OFFSET(Curvas_cupon_cero!$A$1,1,MATCH(Bono_M_Cupon_fijo_curva!$B$7,Curvas_cupon_cero!$1:$1,0)-1,COUNT(Curvas_cupon_cero!$A:$A)-2,1)),interpolar(E464,OFFSET(Curvas_cupon_cero!$A$1,1,0,COUNT(Curvas_cupon_cero!$A:$A)-2,1),OFFSET(Curvas_cupon_cero!$A$1,1,MATCH(Bono_M_Cupon_fijo_curva!$B$7,Curvas_cupon_cero!$1:$1,0)-1,COUNT(Curvas_cupon_cero!$A:$A)-2,1))))</f>
        <v/>
      </c>
      <c r="G464" s="19" t="str">
        <f>IF(A464="","",C464/(1+F464*$B$6/360)^(COUNT(A$16:A464)-($B$6-$D$16)/$B$6))</f>
        <v/>
      </c>
    </row>
    <row r="465" spans="1:7" x14ac:dyDescent="0.2">
      <c r="A465" s="12" t="str">
        <f t="shared" si="36"/>
        <v/>
      </c>
      <c r="B465" t="str">
        <f t="shared" ref="B465:B528" si="37">IF(A465="","",$B$5)</f>
        <v/>
      </c>
      <c r="C465" s="17" t="str">
        <f t="shared" ref="C465:C528" si="38">IF(A465="","",IF(A465=$B$4,$B$1*$B$2+ $B$5*$B$6/360*$B$1*$B$2, $B$5*$B$6/360*$B$1*$B$2))</f>
        <v/>
      </c>
      <c r="D465" s="18" t="str">
        <f t="shared" ref="D465:D528" si="39">IF(A465="","",$B$6)</f>
        <v/>
      </c>
      <c r="E465" t="str">
        <f t="shared" ref="E465:E528" si="40">IF(A465="","",E464+D465)</f>
        <v/>
      </c>
      <c r="F465" s="23" t="str">
        <f ca="1">IF(A465="","",IF($B$8="Sí",interpolar_alamb(E465,OFFSET(Curvas_cupon_cero!$A$1,1,0,COUNT(Curvas_cupon_cero!$A:$A)-2,1),OFFSET(Curvas_cupon_cero!$A$1,1,MATCH(Bono_M_Cupon_fijo_curva!$B$7,Curvas_cupon_cero!$1:$1,0)-1,COUNT(Curvas_cupon_cero!$A:$A)-2,1)),interpolar(E465,OFFSET(Curvas_cupon_cero!$A$1,1,0,COUNT(Curvas_cupon_cero!$A:$A)-2,1),OFFSET(Curvas_cupon_cero!$A$1,1,MATCH(Bono_M_Cupon_fijo_curva!$B$7,Curvas_cupon_cero!$1:$1,0)-1,COUNT(Curvas_cupon_cero!$A:$A)-2,1))))</f>
        <v/>
      </c>
      <c r="G465" s="19" t="str">
        <f>IF(A465="","",C465/(1+F465*$B$6/360)^(COUNT(A$16:A465)-($B$6-$D$16)/$B$6))</f>
        <v/>
      </c>
    </row>
    <row r="466" spans="1:7" x14ac:dyDescent="0.2">
      <c r="A466" s="12" t="str">
        <f t="shared" si="36"/>
        <v/>
      </c>
      <c r="B466" t="str">
        <f t="shared" si="37"/>
        <v/>
      </c>
      <c r="C466" s="17" t="str">
        <f t="shared" si="38"/>
        <v/>
      </c>
      <c r="D466" s="18" t="str">
        <f t="shared" si="39"/>
        <v/>
      </c>
      <c r="E466" t="str">
        <f t="shared" si="40"/>
        <v/>
      </c>
      <c r="F466" s="23" t="str">
        <f ca="1">IF(A466="","",IF($B$8="Sí",interpolar_alamb(E466,OFFSET(Curvas_cupon_cero!$A$1,1,0,COUNT(Curvas_cupon_cero!$A:$A)-2,1),OFFSET(Curvas_cupon_cero!$A$1,1,MATCH(Bono_M_Cupon_fijo_curva!$B$7,Curvas_cupon_cero!$1:$1,0)-1,COUNT(Curvas_cupon_cero!$A:$A)-2,1)),interpolar(E466,OFFSET(Curvas_cupon_cero!$A$1,1,0,COUNT(Curvas_cupon_cero!$A:$A)-2,1),OFFSET(Curvas_cupon_cero!$A$1,1,MATCH(Bono_M_Cupon_fijo_curva!$B$7,Curvas_cupon_cero!$1:$1,0)-1,COUNT(Curvas_cupon_cero!$A:$A)-2,1))))</f>
        <v/>
      </c>
      <c r="G466" s="19" t="str">
        <f>IF(A466="","",C466/(1+F466*$B$6/360)^(COUNT(A$16:A466)-($B$6-$D$16)/$B$6))</f>
        <v/>
      </c>
    </row>
    <row r="467" spans="1:7" x14ac:dyDescent="0.2">
      <c r="A467" s="12" t="str">
        <f t="shared" si="36"/>
        <v/>
      </c>
      <c r="B467" t="str">
        <f t="shared" si="37"/>
        <v/>
      </c>
      <c r="C467" s="17" t="str">
        <f t="shared" si="38"/>
        <v/>
      </c>
      <c r="D467" s="18" t="str">
        <f t="shared" si="39"/>
        <v/>
      </c>
      <c r="E467" t="str">
        <f t="shared" si="40"/>
        <v/>
      </c>
      <c r="F467" s="23" t="str">
        <f ca="1">IF(A467="","",IF($B$8="Sí",interpolar_alamb(E467,OFFSET(Curvas_cupon_cero!$A$1,1,0,COUNT(Curvas_cupon_cero!$A:$A)-2,1),OFFSET(Curvas_cupon_cero!$A$1,1,MATCH(Bono_M_Cupon_fijo_curva!$B$7,Curvas_cupon_cero!$1:$1,0)-1,COUNT(Curvas_cupon_cero!$A:$A)-2,1)),interpolar(E467,OFFSET(Curvas_cupon_cero!$A$1,1,0,COUNT(Curvas_cupon_cero!$A:$A)-2,1),OFFSET(Curvas_cupon_cero!$A$1,1,MATCH(Bono_M_Cupon_fijo_curva!$B$7,Curvas_cupon_cero!$1:$1,0)-1,COUNT(Curvas_cupon_cero!$A:$A)-2,1))))</f>
        <v/>
      </c>
      <c r="G467" s="19" t="str">
        <f>IF(A467="","",C467/(1+F467*$B$6/360)^(COUNT(A$16:A467)-($B$6-$D$16)/$B$6))</f>
        <v/>
      </c>
    </row>
    <row r="468" spans="1:7" x14ac:dyDescent="0.2">
      <c r="A468" s="12" t="str">
        <f t="shared" si="36"/>
        <v/>
      </c>
      <c r="B468" t="str">
        <f t="shared" si="37"/>
        <v/>
      </c>
      <c r="C468" s="17" t="str">
        <f t="shared" si="38"/>
        <v/>
      </c>
      <c r="D468" s="18" t="str">
        <f t="shared" si="39"/>
        <v/>
      </c>
      <c r="E468" t="str">
        <f t="shared" si="40"/>
        <v/>
      </c>
      <c r="F468" s="23" t="str">
        <f ca="1">IF(A468="","",IF($B$8="Sí",interpolar_alamb(E468,OFFSET(Curvas_cupon_cero!$A$1,1,0,COUNT(Curvas_cupon_cero!$A:$A)-2,1),OFFSET(Curvas_cupon_cero!$A$1,1,MATCH(Bono_M_Cupon_fijo_curva!$B$7,Curvas_cupon_cero!$1:$1,0)-1,COUNT(Curvas_cupon_cero!$A:$A)-2,1)),interpolar(E468,OFFSET(Curvas_cupon_cero!$A$1,1,0,COUNT(Curvas_cupon_cero!$A:$A)-2,1),OFFSET(Curvas_cupon_cero!$A$1,1,MATCH(Bono_M_Cupon_fijo_curva!$B$7,Curvas_cupon_cero!$1:$1,0)-1,COUNT(Curvas_cupon_cero!$A:$A)-2,1))))</f>
        <v/>
      </c>
      <c r="G468" s="19" t="str">
        <f>IF(A468="","",C468/(1+F468*$B$6/360)^(COUNT(A$16:A468)-($B$6-$D$16)/$B$6))</f>
        <v/>
      </c>
    </row>
    <row r="469" spans="1:7" x14ac:dyDescent="0.2">
      <c r="A469" s="12" t="str">
        <f t="shared" si="36"/>
        <v/>
      </c>
      <c r="B469" t="str">
        <f t="shared" si="37"/>
        <v/>
      </c>
      <c r="C469" s="17" t="str">
        <f t="shared" si="38"/>
        <v/>
      </c>
      <c r="D469" s="18" t="str">
        <f t="shared" si="39"/>
        <v/>
      </c>
      <c r="E469" t="str">
        <f t="shared" si="40"/>
        <v/>
      </c>
      <c r="F469" s="23" t="str">
        <f ca="1">IF(A469="","",IF($B$8="Sí",interpolar_alamb(E469,OFFSET(Curvas_cupon_cero!$A$1,1,0,COUNT(Curvas_cupon_cero!$A:$A)-2,1),OFFSET(Curvas_cupon_cero!$A$1,1,MATCH(Bono_M_Cupon_fijo_curva!$B$7,Curvas_cupon_cero!$1:$1,0)-1,COUNT(Curvas_cupon_cero!$A:$A)-2,1)),interpolar(E469,OFFSET(Curvas_cupon_cero!$A$1,1,0,COUNT(Curvas_cupon_cero!$A:$A)-2,1),OFFSET(Curvas_cupon_cero!$A$1,1,MATCH(Bono_M_Cupon_fijo_curva!$B$7,Curvas_cupon_cero!$1:$1,0)-1,COUNT(Curvas_cupon_cero!$A:$A)-2,1))))</f>
        <v/>
      </c>
      <c r="G469" s="19" t="str">
        <f>IF(A469="","",C469/(1+F469*$B$6/360)^(COUNT(A$16:A469)-($B$6-$D$16)/$B$6))</f>
        <v/>
      </c>
    </row>
    <row r="470" spans="1:7" x14ac:dyDescent="0.2">
      <c r="A470" s="12" t="str">
        <f t="shared" si="36"/>
        <v/>
      </c>
      <c r="B470" t="str">
        <f t="shared" si="37"/>
        <v/>
      </c>
      <c r="C470" s="17" t="str">
        <f t="shared" si="38"/>
        <v/>
      </c>
      <c r="D470" s="18" t="str">
        <f t="shared" si="39"/>
        <v/>
      </c>
      <c r="E470" t="str">
        <f t="shared" si="40"/>
        <v/>
      </c>
      <c r="F470" s="23" t="str">
        <f ca="1">IF(A470="","",IF($B$8="Sí",interpolar_alamb(E470,OFFSET(Curvas_cupon_cero!$A$1,1,0,COUNT(Curvas_cupon_cero!$A:$A)-2,1),OFFSET(Curvas_cupon_cero!$A$1,1,MATCH(Bono_M_Cupon_fijo_curva!$B$7,Curvas_cupon_cero!$1:$1,0)-1,COUNT(Curvas_cupon_cero!$A:$A)-2,1)),interpolar(E470,OFFSET(Curvas_cupon_cero!$A$1,1,0,COUNT(Curvas_cupon_cero!$A:$A)-2,1),OFFSET(Curvas_cupon_cero!$A$1,1,MATCH(Bono_M_Cupon_fijo_curva!$B$7,Curvas_cupon_cero!$1:$1,0)-1,COUNT(Curvas_cupon_cero!$A:$A)-2,1))))</f>
        <v/>
      </c>
      <c r="G470" s="19" t="str">
        <f>IF(A470="","",C470/(1+F470*$B$6/360)^(COUNT(A$16:A470)-($B$6-$D$16)/$B$6))</f>
        <v/>
      </c>
    </row>
    <row r="471" spans="1:7" x14ac:dyDescent="0.2">
      <c r="A471" s="12" t="str">
        <f t="shared" si="36"/>
        <v/>
      </c>
      <c r="B471" t="str">
        <f t="shared" si="37"/>
        <v/>
      </c>
      <c r="C471" s="17" t="str">
        <f t="shared" si="38"/>
        <v/>
      </c>
      <c r="D471" s="18" t="str">
        <f t="shared" si="39"/>
        <v/>
      </c>
      <c r="E471" t="str">
        <f t="shared" si="40"/>
        <v/>
      </c>
      <c r="F471" s="23" t="str">
        <f ca="1">IF(A471="","",IF($B$8="Sí",interpolar_alamb(E471,OFFSET(Curvas_cupon_cero!$A$1,1,0,COUNT(Curvas_cupon_cero!$A:$A)-2,1),OFFSET(Curvas_cupon_cero!$A$1,1,MATCH(Bono_M_Cupon_fijo_curva!$B$7,Curvas_cupon_cero!$1:$1,0)-1,COUNT(Curvas_cupon_cero!$A:$A)-2,1)),interpolar(E471,OFFSET(Curvas_cupon_cero!$A$1,1,0,COUNT(Curvas_cupon_cero!$A:$A)-2,1),OFFSET(Curvas_cupon_cero!$A$1,1,MATCH(Bono_M_Cupon_fijo_curva!$B$7,Curvas_cupon_cero!$1:$1,0)-1,COUNT(Curvas_cupon_cero!$A:$A)-2,1))))</f>
        <v/>
      </c>
      <c r="G471" s="19" t="str">
        <f>IF(A471="","",C471/(1+F471*$B$6/360)^(COUNT(A$16:A471)-($B$6-$D$16)/$B$6))</f>
        <v/>
      </c>
    </row>
    <row r="472" spans="1:7" x14ac:dyDescent="0.2">
      <c r="A472" s="12" t="str">
        <f t="shared" si="36"/>
        <v/>
      </c>
      <c r="B472" t="str">
        <f t="shared" si="37"/>
        <v/>
      </c>
      <c r="C472" s="17" t="str">
        <f t="shared" si="38"/>
        <v/>
      </c>
      <c r="D472" s="18" t="str">
        <f t="shared" si="39"/>
        <v/>
      </c>
      <c r="E472" t="str">
        <f t="shared" si="40"/>
        <v/>
      </c>
      <c r="F472" s="23" t="str">
        <f ca="1">IF(A472="","",IF($B$8="Sí",interpolar_alamb(E472,OFFSET(Curvas_cupon_cero!$A$1,1,0,COUNT(Curvas_cupon_cero!$A:$A)-2,1),OFFSET(Curvas_cupon_cero!$A$1,1,MATCH(Bono_M_Cupon_fijo_curva!$B$7,Curvas_cupon_cero!$1:$1,0)-1,COUNT(Curvas_cupon_cero!$A:$A)-2,1)),interpolar(E472,OFFSET(Curvas_cupon_cero!$A$1,1,0,COUNT(Curvas_cupon_cero!$A:$A)-2,1),OFFSET(Curvas_cupon_cero!$A$1,1,MATCH(Bono_M_Cupon_fijo_curva!$B$7,Curvas_cupon_cero!$1:$1,0)-1,COUNT(Curvas_cupon_cero!$A:$A)-2,1))))</f>
        <v/>
      </c>
      <c r="G472" s="19" t="str">
        <f>IF(A472="","",C472/(1+F472*$B$6/360)^(COUNT(A$16:A472)-($B$6-$D$16)/$B$6))</f>
        <v/>
      </c>
    </row>
    <row r="473" spans="1:7" x14ac:dyDescent="0.2">
      <c r="A473" s="12" t="str">
        <f t="shared" si="36"/>
        <v/>
      </c>
      <c r="B473" t="str">
        <f t="shared" si="37"/>
        <v/>
      </c>
      <c r="C473" s="17" t="str">
        <f t="shared" si="38"/>
        <v/>
      </c>
      <c r="D473" s="18" t="str">
        <f t="shared" si="39"/>
        <v/>
      </c>
      <c r="E473" t="str">
        <f t="shared" si="40"/>
        <v/>
      </c>
      <c r="F473" s="23" t="str">
        <f ca="1">IF(A473="","",IF($B$8="Sí",interpolar_alamb(E473,OFFSET(Curvas_cupon_cero!$A$1,1,0,COUNT(Curvas_cupon_cero!$A:$A)-2,1),OFFSET(Curvas_cupon_cero!$A$1,1,MATCH(Bono_M_Cupon_fijo_curva!$B$7,Curvas_cupon_cero!$1:$1,0)-1,COUNT(Curvas_cupon_cero!$A:$A)-2,1)),interpolar(E473,OFFSET(Curvas_cupon_cero!$A$1,1,0,COUNT(Curvas_cupon_cero!$A:$A)-2,1),OFFSET(Curvas_cupon_cero!$A$1,1,MATCH(Bono_M_Cupon_fijo_curva!$B$7,Curvas_cupon_cero!$1:$1,0)-1,COUNT(Curvas_cupon_cero!$A:$A)-2,1))))</f>
        <v/>
      </c>
      <c r="G473" s="19" t="str">
        <f>IF(A473="","",C473/(1+F473*$B$6/360)^(COUNT(A$16:A473)-($B$6-$D$16)/$B$6))</f>
        <v/>
      </c>
    </row>
    <row r="474" spans="1:7" x14ac:dyDescent="0.2">
      <c r="A474" s="12" t="str">
        <f t="shared" si="36"/>
        <v/>
      </c>
      <c r="B474" t="str">
        <f t="shared" si="37"/>
        <v/>
      </c>
      <c r="C474" s="17" t="str">
        <f t="shared" si="38"/>
        <v/>
      </c>
      <c r="D474" s="18" t="str">
        <f t="shared" si="39"/>
        <v/>
      </c>
      <c r="E474" t="str">
        <f t="shared" si="40"/>
        <v/>
      </c>
      <c r="F474" s="23" t="str">
        <f ca="1">IF(A474="","",IF($B$8="Sí",interpolar_alamb(E474,OFFSET(Curvas_cupon_cero!$A$1,1,0,COUNT(Curvas_cupon_cero!$A:$A)-2,1),OFFSET(Curvas_cupon_cero!$A$1,1,MATCH(Bono_M_Cupon_fijo_curva!$B$7,Curvas_cupon_cero!$1:$1,0)-1,COUNT(Curvas_cupon_cero!$A:$A)-2,1)),interpolar(E474,OFFSET(Curvas_cupon_cero!$A$1,1,0,COUNT(Curvas_cupon_cero!$A:$A)-2,1),OFFSET(Curvas_cupon_cero!$A$1,1,MATCH(Bono_M_Cupon_fijo_curva!$B$7,Curvas_cupon_cero!$1:$1,0)-1,COUNT(Curvas_cupon_cero!$A:$A)-2,1))))</f>
        <v/>
      </c>
      <c r="G474" s="19" t="str">
        <f>IF(A474="","",C474/(1+F474*$B$6/360)^(COUNT(A$16:A474)-($B$6-$D$16)/$B$6))</f>
        <v/>
      </c>
    </row>
    <row r="475" spans="1:7" x14ac:dyDescent="0.2">
      <c r="A475" s="12" t="str">
        <f t="shared" ref="A475:A538" si="41">IF(A474="","",IF((A474+$B$6)&gt;$B$4,"",(A474+$B$6)))</f>
        <v/>
      </c>
      <c r="B475" t="str">
        <f t="shared" si="37"/>
        <v/>
      </c>
      <c r="C475" s="17" t="str">
        <f t="shared" si="38"/>
        <v/>
      </c>
      <c r="D475" s="18" t="str">
        <f t="shared" si="39"/>
        <v/>
      </c>
      <c r="E475" t="str">
        <f t="shared" si="40"/>
        <v/>
      </c>
      <c r="F475" s="23" t="str">
        <f ca="1">IF(A475="","",IF($B$8="Sí",interpolar_alamb(E475,OFFSET(Curvas_cupon_cero!$A$1,1,0,COUNT(Curvas_cupon_cero!$A:$A)-2,1),OFFSET(Curvas_cupon_cero!$A$1,1,MATCH(Bono_M_Cupon_fijo_curva!$B$7,Curvas_cupon_cero!$1:$1,0)-1,COUNT(Curvas_cupon_cero!$A:$A)-2,1)),interpolar(E475,OFFSET(Curvas_cupon_cero!$A$1,1,0,COUNT(Curvas_cupon_cero!$A:$A)-2,1),OFFSET(Curvas_cupon_cero!$A$1,1,MATCH(Bono_M_Cupon_fijo_curva!$B$7,Curvas_cupon_cero!$1:$1,0)-1,COUNT(Curvas_cupon_cero!$A:$A)-2,1))))</f>
        <v/>
      </c>
      <c r="G475" s="19" t="str">
        <f>IF(A475="","",C475/(1+F475*$B$6/360)^(COUNT(A$16:A475)-($B$6-$D$16)/$B$6))</f>
        <v/>
      </c>
    </row>
    <row r="476" spans="1:7" x14ac:dyDescent="0.2">
      <c r="A476" s="12" t="str">
        <f t="shared" si="41"/>
        <v/>
      </c>
      <c r="B476" t="str">
        <f t="shared" si="37"/>
        <v/>
      </c>
      <c r="C476" s="17" t="str">
        <f t="shared" si="38"/>
        <v/>
      </c>
      <c r="D476" s="18" t="str">
        <f t="shared" si="39"/>
        <v/>
      </c>
      <c r="E476" t="str">
        <f t="shared" si="40"/>
        <v/>
      </c>
      <c r="F476" s="23" t="str">
        <f ca="1">IF(A476="","",IF($B$8="Sí",interpolar_alamb(E476,OFFSET(Curvas_cupon_cero!$A$1,1,0,COUNT(Curvas_cupon_cero!$A:$A)-2,1),OFFSET(Curvas_cupon_cero!$A$1,1,MATCH(Bono_M_Cupon_fijo_curva!$B$7,Curvas_cupon_cero!$1:$1,0)-1,COUNT(Curvas_cupon_cero!$A:$A)-2,1)),interpolar(E476,OFFSET(Curvas_cupon_cero!$A$1,1,0,COUNT(Curvas_cupon_cero!$A:$A)-2,1),OFFSET(Curvas_cupon_cero!$A$1,1,MATCH(Bono_M_Cupon_fijo_curva!$B$7,Curvas_cupon_cero!$1:$1,0)-1,COUNT(Curvas_cupon_cero!$A:$A)-2,1))))</f>
        <v/>
      </c>
      <c r="G476" s="19" t="str">
        <f>IF(A476="","",C476/(1+F476*$B$6/360)^(COUNT(A$16:A476)-($B$6-$D$16)/$B$6))</f>
        <v/>
      </c>
    </row>
    <row r="477" spans="1:7" x14ac:dyDescent="0.2">
      <c r="A477" s="12" t="str">
        <f t="shared" si="41"/>
        <v/>
      </c>
      <c r="B477" t="str">
        <f t="shared" si="37"/>
        <v/>
      </c>
      <c r="C477" s="17" t="str">
        <f t="shared" si="38"/>
        <v/>
      </c>
      <c r="D477" s="18" t="str">
        <f t="shared" si="39"/>
        <v/>
      </c>
      <c r="E477" t="str">
        <f t="shared" si="40"/>
        <v/>
      </c>
      <c r="F477" s="23" t="str">
        <f ca="1">IF(A477="","",IF($B$8="Sí",interpolar_alamb(E477,OFFSET(Curvas_cupon_cero!$A$1,1,0,COUNT(Curvas_cupon_cero!$A:$A)-2,1),OFFSET(Curvas_cupon_cero!$A$1,1,MATCH(Bono_M_Cupon_fijo_curva!$B$7,Curvas_cupon_cero!$1:$1,0)-1,COUNT(Curvas_cupon_cero!$A:$A)-2,1)),interpolar(E477,OFFSET(Curvas_cupon_cero!$A$1,1,0,COUNT(Curvas_cupon_cero!$A:$A)-2,1),OFFSET(Curvas_cupon_cero!$A$1,1,MATCH(Bono_M_Cupon_fijo_curva!$B$7,Curvas_cupon_cero!$1:$1,0)-1,COUNT(Curvas_cupon_cero!$A:$A)-2,1))))</f>
        <v/>
      </c>
      <c r="G477" s="19" t="str">
        <f>IF(A477="","",C477/(1+F477*$B$6/360)^(COUNT(A$16:A477)-($B$6-$D$16)/$B$6))</f>
        <v/>
      </c>
    </row>
    <row r="478" spans="1:7" x14ac:dyDescent="0.2">
      <c r="A478" s="12" t="str">
        <f t="shared" si="41"/>
        <v/>
      </c>
      <c r="B478" t="str">
        <f t="shared" si="37"/>
        <v/>
      </c>
      <c r="C478" s="17" t="str">
        <f t="shared" si="38"/>
        <v/>
      </c>
      <c r="D478" s="18" t="str">
        <f t="shared" si="39"/>
        <v/>
      </c>
      <c r="E478" t="str">
        <f t="shared" si="40"/>
        <v/>
      </c>
      <c r="F478" s="23" t="str">
        <f ca="1">IF(A478="","",IF($B$8="Sí",interpolar_alamb(E478,OFFSET(Curvas_cupon_cero!$A$1,1,0,COUNT(Curvas_cupon_cero!$A:$A)-2,1),OFFSET(Curvas_cupon_cero!$A$1,1,MATCH(Bono_M_Cupon_fijo_curva!$B$7,Curvas_cupon_cero!$1:$1,0)-1,COUNT(Curvas_cupon_cero!$A:$A)-2,1)),interpolar(E478,OFFSET(Curvas_cupon_cero!$A$1,1,0,COUNT(Curvas_cupon_cero!$A:$A)-2,1),OFFSET(Curvas_cupon_cero!$A$1,1,MATCH(Bono_M_Cupon_fijo_curva!$B$7,Curvas_cupon_cero!$1:$1,0)-1,COUNT(Curvas_cupon_cero!$A:$A)-2,1))))</f>
        <v/>
      </c>
      <c r="G478" s="19" t="str">
        <f>IF(A478="","",C478/(1+F478*$B$6/360)^(COUNT(A$16:A478)-($B$6-$D$16)/$B$6))</f>
        <v/>
      </c>
    </row>
    <row r="479" spans="1:7" x14ac:dyDescent="0.2">
      <c r="A479" s="12" t="str">
        <f t="shared" si="41"/>
        <v/>
      </c>
      <c r="B479" t="str">
        <f t="shared" si="37"/>
        <v/>
      </c>
      <c r="C479" s="17" t="str">
        <f t="shared" si="38"/>
        <v/>
      </c>
      <c r="D479" s="18" t="str">
        <f t="shared" si="39"/>
        <v/>
      </c>
      <c r="E479" t="str">
        <f t="shared" si="40"/>
        <v/>
      </c>
      <c r="F479" s="23" t="str">
        <f ca="1">IF(A479="","",IF($B$8="Sí",interpolar_alamb(E479,OFFSET(Curvas_cupon_cero!$A$1,1,0,COUNT(Curvas_cupon_cero!$A:$A)-2,1),OFFSET(Curvas_cupon_cero!$A$1,1,MATCH(Bono_M_Cupon_fijo_curva!$B$7,Curvas_cupon_cero!$1:$1,0)-1,COUNT(Curvas_cupon_cero!$A:$A)-2,1)),interpolar(E479,OFFSET(Curvas_cupon_cero!$A$1,1,0,COUNT(Curvas_cupon_cero!$A:$A)-2,1),OFFSET(Curvas_cupon_cero!$A$1,1,MATCH(Bono_M_Cupon_fijo_curva!$B$7,Curvas_cupon_cero!$1:$1,0)-1,COUNT(Curvas_cupon_cero!$A:$A)-2,1))))</f>
        <v/>
      </c>
      <c r="G479" s="19" t="str">
        <f>IF(A479="","",C479/(1+F479*$B$6/360)^(COUNT(A$16:A479)-($B$6-$D$16)/$B$6))</f>
        <v/>
      </c>
    </row>
    <row r="480" spans="1:7" x14ac:dyDescent="0.2">
      <c r="A480" s="12" t="str">
        <f t="shared" si="41"/>
        <v/>
      </c>
      <c r="B480" t="str">
        <f t="shared" si="37"/>
        <v/>
      </c>
      <c r="C480" s="17" t="str">
        <f t="shared" si="38"/>
        <v/>
      </c>
      <c r="D480" s="18" t="str">
        <f t="shared" si="39"/>
        <v/>
      </c>
      <c r="E480" t="str">
        <f t="shared" si="40"/>
        <v/>
      </c>
      <c r="F480" s="23" t="str">
        <f ca="1">IF(A480="","",IF($B$8="Sí",interpolar_alamb(E480,OFFSET(Curvas_cupon_cero!$A$1,1,0,COUNT(Curvas_cupon_cero!$A:$A)-2,1),OFFSET(Curvas_cupon_cero!$A$1,1,MATCH(Bono_M_Cupon_fijo_curva!$B$7,Curvas_cupon_cero!$1:$1,0)-1,COUNT(Curvas_cupon_cero!$A:$A)-2,1)),interpolar(E480,OFFSET(Curvas_cupon_cero!$A$1,1,0,COUNT(Curvas_cupon_cero!$A:$A)-2,1),OFFSET(Curvas_cupon_cero!$A$1,1,MATCH(Bono_M_Cupon_fijo_curva!$B$7,Curvas_cupon_cero!$1:$1,0)-1,COUNT(Curvas_cupon_cero!$A:$A)-2,1))))</f>
        <v/>
      </c>
      <c r="G480" s="19" t="str">
        <f>IF(A480="","",C480/(1+F480*$B$6/360)^(COUNT(A$16:A480)-($B$6-$D$16)/$B$6))</f>
        <v/>
      </c>
    </row>
    <row r="481" spans="1:7" x14ac:dyDescent="0.2">
      <c r="A481" s="12" t="str">
        <f t="shared" si="41"/>
        <v/>
      </c>
      <c r="B481" t="str">
        <f t="shared" si="37"/>
        <v/>
      </c>
      <c r="C481" s="17" t="str">
        <f t="shared" si="38"/>
        <v/>
      </c>
      <c r="D481" s="18" t="str">
        <f t="shared" si="39"/>
        <v/>
      </c>
      <c r="E481" t="str">
        <f t="shared" si="40"/>
        <v/>
      </c>
      <c r="F481" s="23" t="str">
        <f ca="1">IF(A481="","",IF($B$8="Sí",interpolar_alamb(E481,OFFSET(Curvas_cupon_cero!$A$1,1,0,COUNT(Curvas_cupon_cero!$A:$A)-2,1),OFFSET(Curvas_cupon_cero!$A$1,1,MATCH(Bono_M_Cupon_fijo_curva!$B$7,Curvas_cupon_cero!$1:$1,0)-1,COUNT(Curvas_cupon_cero!$A:$A)-2,1)),interpolar(E481,OFFSET(Curvas_cupon_cero!$A$1,1,0,COUNT(Curvas_cupon_cero!$A:$A)-2,1),OFFSET(Curvas_cupon_cero!$A$1,1,MATCH(Bono_M_Cupon_fijo_curva!$B$7,Curvas_cupon_cero!$1:$1,0)-1,COUNT(Curvas_cupon_cero!$A:$A)-2,1))))</f>
        <v/>
      </c>
      <c r="G481" s="19" t="str">
        <f>IF(A481="","",C481/(1+F481*$B$6/360)^(COUNT(A$16:A481)-($B$6-$D$16)/$B$6))</f>
        <v/>
      </c>
    </row>
    <row r="482" spans="1:7" x14ac:dyDescent="0.2">
      <c r="A482" s="12" t="str">
        <f t="shared" si="41"/>
        <v/>
      </c>
      <c r="B482" t="str">
        <f t="shared" si="37"/>
        <v/>
      </c>
      <c r="C482" s="17" t="str">
        <f t="shared" si="38"/>
        <v/>
      </c>
      <c r="D482" s="18" t="str">
        <f t="shared" si="39"/>
        <v/>
      </c>
      <c r="E482" t="str">
        <f t="shared" si="40"/>
        <v/>
      </c>
      <c r="F482" s="23" t="str">
        <f ca="1">IF(A482="","",IF($B$8="Sí",interpolar_alamb(E482,OFFSET(Curvas_cupon_cero!$A$1,1,0,COUNT(Curvas_cupon_cero!$A:$A)-2,1),OFFSET(Curvas_cupon_cero!$A$1,1,MATCH(Bono_M_Cupon_fijo_curva!$B$7,Curvas_cupon_cero!$1:$1,0)-1,COUNT(Curvas_cupon_cero!$A:$A)-2,1)),interpolar(E482,OFFSET(Curvas_cupon_cero!$A$1,1,0,COUNT(Curvas_cupon_cero!$A:$A)-2,1),OFFSET(Curvas_cupon_cero!$A$1,1,MATCH(Bono_M_Cupon_fijo_curva!$B$7,Curvas_cupon_cero!$1:$1,0)-1,COUNT(Curvas_cupon_cero!$A:$A)-2,1))))</f>
        <v/>
      </c>
      <c r="G482" s="19" t="str">
        <f>IF(A482="","",C482/(1+F482*$B$6/360)^(COUNT(A$16:A482)-($B$6-$D$16)/$B$6))</f>
        <v/>
      </c>
    </row>
    <row r="483" spans="1:7" x14ac:dyDescent="0.2">
      <c r="A483" s="12" t="str">
        <f t="shared" si="41"/>
        <v/>
      </c>
      <c r="B483" t="str">
        <f t="shared" si="37"/>
        <v/>
      </c>
      <c r="C483" s="17" t="str">
        <f t="shared" si="38"/>
        <v/>
      </c>
      <c r="D483" s="18" t="str">
        <f t="shared" si="39"/>
        <v/>
      </c>
      <c r="E483" t="str">
        <f t="shared" si="40"/>
        <v/>
      </c>
      <c r="F483" s="23" t="str">
        <f ca="1">IF(A483="","",IF($B$8="Sí",interpolar_alamb(E483,OFFSET(Curvas_cupon_cero!$A$1,1,0,COUNT(Curvas_cupon_cero!$A:$A)-2,1),OFFSET(Curvas_cupon_cero!$A$1,1,MATCH(Bono_M_Cupon_fijo_curva!$B$7,Curvas_cupon_cero!$1:$1,0)-1,COUNT(Curvas_cupon_cero!$A:$A)-2,1)),interpolar(E483,OFFSET(Curvas_cupon_cero!$A$1,1,0,COUNT(Curvas_cupon_cero!$A:$A)-2,1),OFFSET(Curvas_cupon_cero!$A$1,1,MATCH(Bono_M_Cupon_fijo_curva!$B$7,Curvas_cupon_cero!$1:$1,0)-1,COUNT(Curvas_cupon_cero!$A:$A)-2,1))))</f>
        <v/>
      </c>
      <c r="G483" s="19" t="str">
        <f>IF(A483="","",C483/(1+F483*$B$6/360)^(COUNT(A$16:A483)-($B$6-$D$16)/$B$6))</f>
        <v/>
      </c>
    </row>
    <row r="484" spans="1:7" x14ac:dyDescent="0.2">
      <c r="A484" s="12" t="str">
        <f t="shared" si="41"/>
        <v/>
      </c>
      <c r="B484" t="str">
        <f t="shared" si="37"/>
        <v/>
      </c>
      <c r="C484" s="17" t="str">
        <f t="shared" si="38"/>
        <v/>
      </c>
      <c r="D484" s="18" t="str">
        <f t="shared" si="39"/>
        <v/>
      </c>
      <c r="E484" t="str">
        <f t="shared" si="40"/>
        <v/>
      </c>
      <c r="F484" s="23" t="str">
        <f ca="1">IF(A484="","",IF($B$8="Sí",interpolar_alamb(E484,OFFSET(Curvas_cupon_cero!$A$1,1,0,COUNT(Curvas_cupon_cero!$A:$A)-2,1),OFFSET(Curvas_cupon_cero!$A$1,1,MATCH(Bono_M_Cupon_fijo_curva!$B$7,Curvas_cupon_cero!$1:$1,0)-1,COUNT(Curvas_cupon_cero!$A:$A)-2,1)),interpolar(E484,OFFSET(Curvas_cupon_cero!$A$1,1,0,COUNT(Curvas_cupon_cero!$A:$A)-2,1),OFFSET(Curvas_cupon_cero!$A$1,1,MATCH(Bono_M_Cupon_fijo_curva!$B$7,Curvas_cupon_cero!$1:$1,0)-1,COUNT(Curvas_cupon_cero!$A:$A)-2,1))))</f>
        <v/>
      </c>
      <c r="G484" s="19" t="str">
        <f>IF(A484="","",C484/(1+F484*$B$6/360)^(COUNT(A$16:A484)-($B$6-$D$16)/$B$6))</f>
        <v/>
      </c>
    </row>
    <row r="485" spans="1:7" x14ac:dyDescent="0.2">
      <c r="A485" s="12" t="str">
        <f t="shared" si="41"/>
        <v/>
      </c>
      <c r="B485" t="str">
        <f t="shared" si="37"/>
        <v/>
      </c>
      <c r="C485" s="17" t="str">
        <f t="shared" si="38"/>
        <v/>
      </c>
      <c r="D485" s="18" t="str">
        <f t="shared" si="39"/>
        <v/>
      </c>
      <c r="E485" t="str">
        <f t="shared" si="40"/>
        <v/>
      </c>
      <c r="F485" s="23" t="str">
        <f ca="1">IF(A485="","",IF($B$8="Sí",interpolar_alamb(E485,OFFSET(Curvas_cupon_cero!$A$1,1,0,COUNT(Curvas_cupon_cero!$A:$A)-2,1),OFFSET(Curvas_cupon_cero!$A$1,1,MATCH(Bono_M_Cupon_fijo_curva!$B$7,Curvas_cupon_cero!$1:$1,0)-1,COUNT(Curvas_cupon_cero!$A:$A)-2,1)),interpolar(E485,OFFSET(Curvas_cupon_cero!$A$1,1,0,COUNT(Curvas_cupon_cero!$A:$A)-2,1),OFFSET(Curvas_cupon_cero!$A$1,1,MATCH(Bono_M_Cupon_fijo_curva!$B$7,Curvas_cupon_cero!$1:$1,0)-1,COUNT(Curvas_cupon_cero!$A:$A)-2,1))))</f>
        <v/>
      </c>
      <c r="G485" s="19" t="str">
        <f>IF(A485="","",C485/(1+F485*$B$6/360)^(COUNT(A$16:A485)-($B$6-$D$16)/$B$6))</f>
        <v/>
      </c>
    </row>
    <row r="486" spans="1:7" x14ac:dyDescent="0.2">
      <c r="A486" s="12" t="str">
        <f t="shared" si="41"/>
        <v/>
      </c>
      <c r="B486" t="str">
        <f t="shared" si="37"/>
        <v/>
      </c>
      <c r="C486" s="17" t="str">
        <f t="shared" si="38"/>
        <v/>
      </c>
      <c r="D486" s="18" t="str">
        <f t="shared" si="39"/>
        <v/>
      </c>
      <c r="E486" t="str">
        <f t="shared" si="40"/>
        <v/>
      </c>
      <c r="F486" s="23" t="str">
        <f ca="1">IF(A486="","",IF($B$8="Sí",interpolar_alamb(E486,OFFSET(Curvas_cupon_cero!$A$1,1,0,COUNT(Curvas_cupon_cero!$A:$A)-2,1),OFFSET(Curvas_cupon_cero!$A$1,1,MATCH(Bono_M_Cupon_fijo_curva!$B$7,Curvas_cupon_cero!$1:$1,0)-1,COUNT(Curvas_cupon_cero!$A:$A)-2,1)),interpolar(E486,OFFSET(Curvas_cupon_cero!$A$1,1,0,COUNT(Curvas_cupon_cero!$A:$A)-2,1),OFFSET(Curvas_cupon_cero!$A$1,1,MATCH(Bono_M_Cupon_fijo_curva!$B$7,Curvas_cupon_cero!$1:$1,0)-1,COUNT(Curvas_cupon_cero!$A:$A)-2,1))))</f>
        <v/>
      </c>
      <c r="G486" s="19" t="str">
        <f>IF(A486="","",C486/(1+F486*$B$6/360)^(COUNT(A$16:A486)-($B$6-$D$16)/$B$6))</f>
        <v/>
      </c>
    </row>
    <row r="487" spans="1:7" x14ac:dyDescent="0.2">
      <c r="A487" s="12" t="str">
        <f t="shared" si="41"/>
        <v/>
      </c>
      <c r="B487" t="str">
        <f t="shared" si="37"/>
        <v/>
      </c>
      <c r="C487" s="17" t="str">
        <f t="shared" si="38"/>
        <v/>
      </c>
      <c r="D487" s="18" t="str">
        <f t="shared" si="39"/>
        <v/>
      </c>
      <c r="E487" t="str">
        <f t="shared" si="40"/>
        <v/>
      </c>
      <c r="F487" s="23" t="str">
        <f ca="1">IF(A487="","",IF($B$8="Sí",interpolar_alamb(E487,OFFSET(Curvas_cupon_cero!$A$1,1,0,COUNT(Curvas_cupon_cero!$A:$A)-2,1),OFFSET(Curvas_cupon_cero!$A$1,1,MATCH(Bono_M_Cupon_fijo_curva!$B$7,Curvas_cupon_cero!$1:$1,0)-1,COUNT(Curvas_cupon_cero!$A:$A)-2,1)),interpolar(E487,OFFSET(Curvas_cupon_cero!$A$1,1,0,COUNT(Curvas_cupon_cero!$A:$A)-2,1),OFFSET(Curvas_cupon_cero!$A$1,1,MATCH(Bono_M_Cupon_fijo_curva!$B$7,Curvas_cupon_cero!$1:$1,0)-1,COUNT(Curvas_cupon_cero!$A:$A)-2,1))))</f>
        <v/>
      </c>
      <c r="G487" s="19" t="str">
        <f>IF(A487="","",C487/(1+F487*$B$6/360)^(COUNT(A$16:A487)-($B$6-$D$16)/$B$6))</f>
        <v/>
      </c>
    </row>
    <row r="488" spans="1:7" x14ac:dyDescent="0.2">
      <c r="A488" s="12" t="str">
        <f t="shared" si="41"/>
        <v/>
      </c>
      <c r="B488" t="str">
        <f t="shared" si="37"/>
        <v/>
      </c>
      <c r="C488" s="17" t="str">
        <f t="shared" si="38"/>
        <v/>
      </c>
      <c r="D488" s="18" t="str">
        <f t="shared" si="39"/>
        <v/>
      </c>
      <c r="E488" t="str">
        <f t="shared" si="40"/>
        <v/>
      </c>
      <c r="F488" s="23" t="str">
        <f ca="1">IF(A488="","",IF($B$8="Sí",interpolar_alamb(E488,OFFSET(Curvas_cupon_cero!$A$1,1,0,COUNT(Curvas_cupon_cero!$A:$A)-2,1),OFFSET(Curvas_cupon_cero!$A$1,1,MATCH(Bono_M_Cupon_fijo_curva!$B$7,Curvas_cupon_cero!$1:$1,0)-1,COUNT(Curvas_cupon_cero!$A:$A)-2,1)),interpolar(E488,OFFSET(Curvas_cupon_cero!$A$1,1,0,COUNT(Curvas_cupon_cero!$A:$A)-2,1),OFFSET(Curvas_cupon_cero!$A$1,1,MATCH(Bono_M_Cupon_fijo_curva!$B$7,Curvas_cupon_cero!$1:$1,0)-1,COUNT(Curvas_cupon_cero!$A:$A)-2,1))))</f>
        <v/>
      </c>
      <c r="G488" s="19" t="str">
        <f>IF(A488="","",C488/(1+F488*$B$6/360)^(COUNT(A$16:A488)-($B$6-$D$16)/$B$6))</f>
        <v/>
      </c>
    </row>
    <row r="489" spans="1:7" x14ac:dyDescent="0.2">
      <c r="A489" s="12" t="str">
        <f t="shared" si="41"/>
        <v/>
      </c>
      <c r="B489" t="str">
        <f t="shared" si="37"/>
        <v/>
      </c>
      <c r="C489" s="17" t="str">
        <f t="shared" si="38"/>
        <v/>
      </c>
      <c r="D489" s="18" t="str">
        <f t="shared" si="39"/>
        <v/>
      </c>
      <c r="E489" t="str">
        <f t="shared" si="40"/>
        <v/>
      </c>
      <c r="F489" s="23" t="str">
        <f ca="1">IF(A489="","",IF($B$8="Sí",interpolar_alamb(E489,OFFSET(Curvas_cupon_cero!$A$1,1,0,COUNT(Curvas_cupon_cero!$A:$A)-2,1),OFFSET(Curvas_cupon_cero!$A$1,1,MATCH(Bono_M_Cupon_fijo_curva!$B$7,Curvas_cupon_cero!$1:$1,0)-1,COUNT(Curvas_cupon_cero!$A:$A)-2,1)),interpolar(E489,OFFSET(Curvas_cupon_cero!$A$1,1,0,COUNT(Curvas_cupon_cero!$A:$A)-2,1),OFFSET(Curvas_cupon_cero!$A$1,1,MATCH(Bono_M_Cupon_fijo_curva!$B$7,Curvas_cupon_cero!$1:$1,0)-1,COUNT(Curvas_cupon_cero!$A:$A)-2,1))))</f>
        <v/>
      </c>
      <c r="G489" s="19" t="str">
        <f>IF(A489="","",C489/(1+F489*$B$6/360)^(COUNT(A$16:A489)-($B$6-$D$16)/$B$6))</f>
        <v/>
      </c>
    </row>
    <row r="490" spans="1:7" x14ac:dyDescent="0.2">
      <c r="A490" s="12" t="str">
        <f t="shared" si="41"/>
        <v/>
      </c>
      <c r="B490" t="str">
        <f t="shared" si="37"/>
        <v/>
      </c>
      <c r="C490" s="17" t="str">
        <f t="shared" si="38"/>
        <v/>
      </c>
      <c r="D490" s="18" t="str">
        <f t="shared" si="39"/>
        <v/>
      </c>
      <c r="E490" t="str">
        <f t="shared" si="40"/>
        <v/>
      </c>
      <c r="F490" s="23" t="str">
        <f ca="1">IF(A490="","",IF($B$8="Sí",interpolar_alamb(E490,OFFSET(Curvas_cupon_cero!$A$1,1,0,COUNT(Curvas_cupon_cero!$A:$A)-2,1),OFFSET(Curvas_cupon_cero!$A$1,1,MATCH(Bono_M_Cupon_fijo_curva!$B$7,Curvas_cupon_cero!$1:$1,0)-1,COUNT(Curvas_cupon_cero!$A:$A)-2,1)),interpolar(E490,OFFSET(Curvas_cupon_cero!$A$1,1,0,COUNT(Curvas_cupon_cero!$A:$A)-2,1),OFFSET(Curvas_cupon_cero!$A$1,1,MATCH(Bono_M_Cupon_fijo_curva!$B$7,Curvas_cupon_cero!$1:$1,0)-1,COUNT(Curvas_cupon_cero!$A:$A)-2,1))))</f>
        <v/>
      </c>
      <c r="G490" s="19" t="str">
        <f>IF(A490="","",C490/(1+F490*$B$6/360)^(COUNT(A$16:A490)-($B$6-$D$16)/$B$6))</f>
        <v/>
      </c>
    </row>
    <row r="491" spans="1:7" x14ac:dyDescent="0.2">
      <c r="A491" s="12" t="str">
        <f t="shared" si="41"/>
        <v/>
      </c>
      <c r="B491" t="str">
        <f t="shared" si="37"/>
        <v/>
      </c>
      <c r="C491" s="17" t="str">
        <f t="shared" si="38"/>
        <v/>
      </c>
      <c r="D491" s="18" t="str">
        <f t="shared" si="39"/>
        <v/>
      </c>
      <c r="E491" t="str">
        <f t="shared" si="40"/>
        <v/>
      </c>
      <c r="F491" s="23" t="str">
        <f ca="1">IF(A491="","",IF($B$8="Sí",interpolar_alamb(E491,OFFSET(Curvas_cupon_cero!$A$1,1,0,COUNT(Curvas_cupon_cero!$A:$A)-2,1),OFFSET(Curvas_cupon_cero!$A$1,1,MATCH(Bono_M_Cupon_fijo_curva!$B$7,Curvas_cupon_cero!$1:$1,0)-1,COUNT(Curvas_cupon_cero!$A:$A)-2,1)),interpolar(E491,OFFSET(Curvas_cupon_cero!$A$1,1,0,COUNT(Curvas_cupon_cero!$A:$A)-2,1),OFFSET(Curvas_cupon_cero!$A$1,1,MATCH(Bono_M_Cupon_fijo_curva!$B$7,Curvas_cupon_cero!$1:$1,0)-1,COUNT(Curvas_cupon_cero!$A:$A)-2,1))))</f>
        <v/>
      </c>
      <c r="G491" s="19" t="str">
        <f>IF(A491="","",C491/(1+F491*$B$6/360)^(COUNT(A$16:A491)-($B$6-$D$16)/$B$6))</f>
        <v/>
      </c>
    </row>
    <row r="492" spans="1:7" x14ac:dyDescent="0.2">
      <c r="A492" s="12" t="str">
        <f t="shared" si="41"/>
        <v/>
      </c>
      <c r="B492" t="str">
        <f t="shared" si="37"/>
        <v/>
      </c>
      <c r="C492" s="17" t="str">
        <f t="shared" si="38"/>
        <v/>
      </c>
      <c r="D492" s="18" t="str">
        <f t="shared" si="39"/>
        <v/>
      </c>
      <c r="E492" t="str">
        <f t="shared" si="40"/>
        <v/>
      </c>
      <c r="F492" s="23" t="str">
        <f ca="1">IF(A492="","",IF($B$8="Sí",interpolar_alamb(E492,OFFSET(Curvas_cupon_cero!$A$1,1,0,COUNT(Curvas_cupon_cero!$A:$A)-2,1),OFFSET(Curvas_cupon_cero!$A$1,1,MATCH(Bono_M_Cupon_fijo_curva!$B$7,Curvas_cupon_cero!$1:$1,0)-1,COUNT(Curvas_cupon_cero!$A:$A)-2,1)),interpolar(E492,OFFSET(Curvas_cupon_cero!$A$1,1,0,COUNT(Curvas_cupon_cero!$A:$A)-2,1),OFFSET(Curvas_cupon_cero!$A$1,1,MATCH(Bono_M_Cupon_fijo_curva!$B$7,Curvas_cupon_cero!$1:$1,0)-1,COUNT(Curvas_cupon_cero!$A:$A)-2,1))))</f>
        <v/>
      </c>
      <c r="G492" s="19" t="str">
        <f>IF(A492="","",C492/(1+F492*$B$6/360)^(COUNT(A$16:A492)-($B$6-$D$16)/$B$6))</f>
        <v/>
      </c>
    </row>
    <row r="493" spans="1:7" x14ac:dyDescent="0.2">
      <c r="A493" s="12" t="str">
        <f t="shared" si="41"/>
        <v/>
      </c>
      <c r="B493" t="str">
        <f t="shared" si="37"/>
        <v/>
      </c>
      <c r="C493" s="17" t="str">
        <f t="shared" si="38"/>
        <v/>
      </c>
      <c r="D493" s="18" t="str">
        <f t="shared" si="39"/>
        <v/>
      </c>
      <c r="E493" t="str">
        <f t="shared" si="40"/>
        <v/>
      </c>
      <c r="F493" s="23" t="str">
        <f ca="1">IF(A493="","",IF($B$8="Sí",interpolar_alamb(E493,OFFSET(Curvas_cupon_cero!$A$1,1,0,COUNT(Curvas_cupon_cero!$A:$A)-2,1),OFFSET(Curvas_cupon_cero!$A$1,1,MATCH(Bono_M_Cupon_fijo_curva!$B$7,Curvas_cupon_cero!$1:$1,0)-1,COUNT(Curvas_cupon_cero!$A:$A)-2,1)),interpolar(E493,OFFSET(Curvas_cupon_cero!$A$1,1,0,COUNT(Curvas_cupon_cero!$A:$A)-2,1),OFFSET(Curvas_cupon_cero!$A$1,1,MATCH(Bono_M_Cupon_fijo_curva!$B$7,Curvas_cupon_cero!$1:$1,0)-1,COUNT(Curvas_cupon_cero!$A:$A)-2,1))))</f>
        <v/>
      </c>
      <c r="G493" s="19" t="str">
        <f>IF(A493="","",C493/(1+F493*$B$6/360)^(COUNT(A$16:A493)-($B$6-$D$16)/$B$6))</f>
        <v/>
      </c>
    </row>
    <row r="494" spans="1:7" x14ac:dyDescent="0.2">
      <c r="A494" s="12" t="str">
        <f t="shared" si="41"/>
        <v/>
      </c>
      <c r="B494" t="str">
        <f t="shared" si="37"/>
        <v/>
      </c>
      <c r="C494" s="17" t="str">
        <f t="shared" si="38"/>
        <v/>
      </c>
      <c r="D494" s="18" t="str">
        <f t="shared" si="39"/>
        <v/>
      </c>
      <c r="E494" t="str">
        <f t="shared" si="40"/>
        <v/>
      </c>
      <c r="F494" s="23" t="str">
        <f ca="1">IF(A494="","",IF($B$8="Sí",interpolar_alamb(E494,OFFSET(Curvas_cupon_cero!$A$1,1,0,COUNT(Curvas_cupon_cero!$A:$A)-2,1),OFFSET(Curvas_cupon_cero!$A$1,1,MATCH(Bono_M_Cupon_fijo_curva!$B$7,Curvas_cupon_cero!$1:$1,0)-1,COUNT(Curvas_cupon_cero!$A:$A)-2,1)),interpolar(E494,OFFSET(Curvas_cupon_cero!$A$1,1,0,COUNT(Curvas_cupon_cero!$A:$A)-2,1),OFFSET(Curvas_cupon_cero!$A$1,1,MATCH(Bono_M_Cupon_fijo_curva!$B$7,Curvas_cupon_cero!$1:$1,0)-1,COUNT(Curvas_cupon_cero!$A:$A)-2,1))))</f>
        <v/>
      </c>
      <c r="G494" s="19" t="str">
        <f>IF(A494="","",C494/(1+F494*$B$6/360)^(COUNT(A$16:A494)-($B$6-$D$16)/$B$6))</f>
        <v/>
      </c>
    </row>
    <row r="495" spans="1:7" x14ac:dyDescent="0.2">
      <c r="A495" s="12" t="str">
        <f t="shared" si="41"/>
        <v/>
      </c>
      <c r="B495" t="str">
        <f t="shared" si="37"/>
        <v/>
      </c>
      <c r="C495" s="17" t="str">
        <f t="shared" si="38"/>
        <v/>
      </c>
      <c r="D495" s="18" t="str">
        <f t="shared" si="39"/>
        <v/>
      </c>
      <c r="E495" t="str">
        <f t="shared" si="40"/>
        <v/>
      </c>
      <c r="F495" s="23" t="str">
        <f ca="1">IF(A495="","",IF($B$8="Sí",interpolar_alamb(E495,OFFSET(Curvas_cupon_cero!$A$1,1,0,COUNT(Curvas_cupon_cero!$A:$A)-2,1),OFFSET(Curvas_cupon_cero!$A$1,1,MATCH(Bono_M_Cupon_fijo_curva!$B$7,Curvas_cupon_cero!$1:$1,0)-1,COUNT(Curvas_cupon_cero!$A:$A)-2,1)),interpolar(E495,OFFSET(Curvas_cupon_cero!$A$1,1,0,COUNT(Curvas_cupon_cero!$A:$A)-2,1),OFFSET(Curvas_cupon_cero!$A$1,1,MATCH(Bono_M_Cupon_fijo_curva!$B$7,Curvas_cupon_cero!$1:$1,0)-1,COUNT(Curvas_cupon_cero!$A:$A)-2,1))))</f>
        <v/>
      </c>
      <c r="G495" s="19" t="str">
        <f>IF(A495="","",C495/(1+F495*$B$6/360)^(COUNT(A$16:A495)-($B$6-$D$16)/$B$6))</f>
        <v/>
      </c>
    </row>
    <row r="496" spans="1:7" x14ac:dyDescent="0.2">
      <c r="A496" s="12" t="str">
        <f t="shared" si="41"/>
        <v/>
      </c>
      <c r="B496" t="str">
        <f t="shared" si="37"/>
        <v/>
      </c>
      <c r="C496" s="17" t="str">
        <f t="shared" si="38"/>
        <v/>
      </c>
      <c r="D496" s="18" t="str">
        <f t="shared" si="39"/>
        <v/>
      </c>
      <c r="E496" t="str">
        <f t="shared" si="40"/>
        <v/>
      </c>
      <c r="F496" s="23" t="str">
        <f ca="1">IF(A496="","",IF($B$8="Sí",interpolar_alamb(E496,OFFSET(Curvas_cupon_cero!$A$1,1,0,COUNT(Curvas_cupon_cero!$A:$A)-2,1),OFFSET(Curvas_cupon_cero!$A$1,1,MATCH(Bono_M_Cupon_fijo_curva!$B$7,Curvas_cupon_cero!$1:$1,0)-1,COUNT(Curvas_cupon_cero!$A:$A)-2,1)),interpolar(E496,OFFSET(Curvas_cupon_cero!$A$1,1,0,COUNT(Curvas_cupon_cero!$A:$A)-2,1),OFFSET(Curvas_cupon_cero!$A$1,1,MATCH(Bono_M_Cupon_fijo_curva!$B$7,Curvas_cupon_cero!$1:$1,0)-1,COUNT(Curvas_cupon_cero!$A:$A)-2,1))))</f>
        <v/>
      </c>
      <c r="G496" s="19" t="str">
        <f>IF(A496="","",C496/(1+F496*$B$6/360)^(COUNT(A$16:A496)-($B$6-$D$16)/$B$6))</f>
        <v/>
      </c>
    </row>
    <row r="497" spans="1:7" x14ac:dyDescent="0.2">
      <c r="A497" s="12" t="str">
        <f t="shared" si="41"/>
        <v/>
      </c>
      <c r="B497" t="str">
        <f t="shared" si="37"/>
        <v/>
      </c>
      <c r="C497" s="17" t="str">
        <f t="shared" si="38"/>
        <v/>
      </c>
      <c r="D497" s="18" t="str">
        <f t="shared" si="39"/>
        <v/>
      </c>
      <c r="E497" t="str">
        <f t="shared" si="40"/>
        <v/>
      </c>
      <c r="F497" s="23" t="str">
        <f ca="1">IF(A497="","",IF($B$8="Sí",interpolar_alamb(E497,OFFSET(Curvas_cupon_cero!$A$1,1,0,COUNT(Curvas_cupon_cero!$A:$A)-2,1),OFFSET(Curvas_cupon_cero!$A$1,1,MATCH(Bono_M_Cupon_fijo_curva!$B$7,Curvas_cupon_cero!$1:$1,0)-1,COUNT(Curvas_cupon_cero!$A:$A)-2,1)),interpolar(E497,OFFSET(Curvas_cupon_cero!$A$1,1,0,COUNT(Curvas_cupon_cero!$A:$A)-2,1),OFFSET(Curvas_cupon_cero!$A$1,1,MATCH(Bono_M_Cupon_fijo_curva!$B$7,Curvas_cupon_cero!$1:$1,0)-1,COUNT(Curvas_cupon_cero!$A:$A)-2,1))))</f>
        <v/>
      </c>
      <c r="G497" s="19" t="str">
        <f>IF(A497="","",C497/(1+F497*$B$6/360)^(COUNT(A$16:A497)-($B$6-$D$16)/$B$6))</f>
        <v/>
      </c>
    </row>
    <row r="498" spans="1:7" x14ac:dyDescent="0.2">
      <c r="A498" s="12" t="str">
        <f t="shared" si="41"/>
        <v/>
      </c>
      <c r="B498" t="str">
        <f t="shared" si="37"/>
        <v/>
      </c>
      <c r="C498" s="17" t="str">
        <f t="shared" si="38"/>
        <v/>
      </c>
      <c r="D498" s="18" t="str">
        <f t="shared" si="39"/>
        <v/>
      </c>
      <c r="E498" t="str">
        <f t="shared" si="40"/>
        <v/>
      </c>
      <c r="F498" s="23" t="str">
        <f ca="1">IF(A498="","",IF($B$8="Sí",interpolar_alamb(E498,OFFSET(Curvas_cupon_cero!$A$1,1,0,COUNT(Curvas_cupon_cero!$A:$A)-2,1),OFFSET(Curvas_cupon_cero!$A$1,1,MATCH(Bono_M_Cupon_fijo_curva!$B$7,Curvas_cupon_cero!$1:$1,0)-1,COUNT(Curvas_cupon_cero!$A:$A)-2,1)),interpolar(E498,OFFSET(Curvas_cupon_cero!$A$1,1,0,COUNT(Curvas_cupon_cero!$A:$A)-2,1),OFFSET(Curvas_cupon_cero!$A$1,1,MATCH(Bono_M_Cupon_fijo_curva!$B$7,Curvas_cupon_cero!$1:$1,0)-1,COUNT(Curvas_cupon_cero!$A:$A)-2,1))))</f>
        <v/>
      </c>
      <c r="G498" s="19" t="str">
        <f>IF(A498="","",C498/(1+F498*$B$6/360)^(COUNT(A$16:A498)-($B$6-$D$16)/$B$6))</f>
        <v/>
      </c>
    </row>
    <row r="499" spans="1:7" x14ac:dyDescent="0.2">
      <c r="A499" s="12" t="str">
        <f t="shared" si="41"/>
        <v/>
      </c>
      <c r="B499" t="str">
        <f t="shared" si="37"/>
        <v/>
      </c>
      <c r="C499" s="17" t="str">
        <f t="shared" si="38"/>
        <v/>
      </c>
      <c r="D499" s="18" t="str">
        <f t="shared" si="39"/>
        <v/>
      </c>
      <c r="E499" t="str">
        <f t="shared" si="40"/>
        <v/>
      </c>
      <c r="F499" s="23" t="str">
        <f ca="1">IF(A499="","",IF($B$8="Sí",interpolar_alamb(E499,OFFSET(Curvas_cupon_cero!$A$1,1,0,COUNT(Curvas_cupon_cero!$A:$A)-2,1),OFFSET(Curvas_cupon_cero!$A$1,1,MATCH(Bono_M_Cupon_fijo_curva!$B$7,Curvas_cupon_cero!$1:$1,0)-1,COUNT(Curvas_cupon_cero!$A:$A)-2,1)),interpolar(E499,OFFSET(Curvas_cupon_cero!$A$1,1,0,COUNT(Curvas_cupon_cero!$A:$A)-2,1),OFFSET(Curvas_cupon_cero!$A$1,1,MATCH(Bono_M_Cupon_fijo_curva!$B$7,Curvas_cupon_cero!$1:$1,0)-1,COUNT(Curvas_cupon_cero!$A:$A)-2,1))))</f>
        <v/>
      </c>
      <c r="G499" s="19" t="str">
        <f>IF(A499="","",C499/(1+F499*$B$6/360)^(COUNT(A$16:A499)-($B$6-$D$16)/$B$6))</f>
        <v/>
      </c>
    </row>
    <row r="500" spans="1:7" x14ac:dyDescent="0.2">
      <c r="A500" s="12" t="str">
        <f t="shared" si="41"/>
        <v/>
      </c>
      <c r="B500" t="str">
        <f t="shared" si="37"/>
        <v/>
      </c>
      <c r="C500" s="17" t="str">
        <f t="shared" si="38"/>
        <v/>
      </c>
      <c r="D500" s="18" t="str">
        <f t="shared" si="39"/>
        <v/>
      </c>
      <c r="E500" t="str">
        <f t="shared" si="40"/>
        <v/>
      </c>
      <c r="F500" s="23" t="str">
        <f ca="1">IF(A500="","",IF($B$8="Sí",interpolar_alamb(E500,OFFSET(Curvas_cupon_cero!$A$1,1,0,COUNT(Curvas_cupon_cero!$A:$A)-2,1),OFFSET(Curvas_cupon_cero!$A$1,1,MATCH(Bono_M_Cupon_fijo_curva!$B$7,Curvas_cupon_cero!$1:$1,0)-1,COUNT(Curvas_cupon_cero!$A:$A)-2,1)),interpolar(E500,OFFSET(Curvas_cupon_cero!$A$1,1,0,COUNT(Curvas_cupon_cero!$A:$A)-2,1),OFFSET(Curvas_cupon_cero!$A$1,1,MATCH(Bono_M_Cupon_fijo_curva!$B$7,Curvas_cupon_cero!$1:$1,0)-1,COUNT(Curvas_cupon_cero!$A:$A)-2,1))))</f>
        <v/>
      </c>
      <c r="G500" s="19" t="str">
        <f>IF(A500="","",C500/(1+F500*$B$6/360)^(COUNT(A$16:A500)-($B$6-$D$16)/$B$6))</f>
        <v/>
      </c>
    </row>
    <row r="501" spans="1:7" x14ac:dyDescent="0.2">
      <c r="A501" s="12" t="str">
        <f t="shared" si="41"/>
        <v/>
      </c>
      <c r="B501" t="str">
        <f t="shared" si="37"/>
        <v/>
      </c>
      <c r="C501" s="17" t="str">
        <f t="shared" si="38"/>
        <v/>
      </c>
      <c r="D501" s="18" t="str">
        <f t="shared" si="39"/>
        <v/>
      </c>
      <c r="E501" t="str">
        <f t="shared" si="40"/>
        <v/>
      </c>
      <c r="F501" s="23" t="str">
        <f ca="1">IF(A501="","",IF($B$8="Sí",interpolar_alamb(E501,OFFSET(Curvas_cupon_cero!$A$1,1,0,COUNT(Curvas_cupon_cero!$A:$A)-2,1),OFFSET(Curvas_cupon_cero!$A$1,1,MATCH(Bono_M_Cupon_fijo_curva!$B$7,Curvas_cupon_cero!$1:$1,0)-1,COUNT(Curvas_cupon_cero!$A:$A)-2,1)),interpolar(E501,OFFSET(Curvas_cupon_cero!$A$1,1,0,COUNT(Curvas_cupon_cero!$A:$A)-2,1),OFFSET(Curvas_cupon_cero!$A$1,1,MATCH(Bono_M_Cupon_fijo_curva!$B$7,Curvas_cupon_cero!$1:$1,0)-1,COUNT(Curvas_cupon_cero!$A:$A)-2,1))))</f>
        <v/>
      </c>
      <c r="G501" s="19" t="str">
        <f>IF(A501="","",C501/(1+F501*$B$6/360)^(COUNT(A$16:A501)-($B$6-$D$16)/$B$6))</f>
        <v/>
      </c>
    </row>
    <row r="502" spans="1:7" x14ac:dyDescent="0.2">
      <c r="A502" s="12" t="str">
        <f t="shared" si="41"/>
        <v/>
      </c>
      <c r="B502" t="str">
        <f t="shared" si="37"/>
        <v/>
      </c>
      <c r="C502" s="17" t="str">
        <f t="shared" si="38"/>
        <v/>
      </c>
      <c r="D502" s="18" t="str">
        <f t="shared" si="39"/>
        <v/>
      </c>
      <c r="E502" t="str">
        <f t="shared" si="40"/>
        <v/>
      </c>
      <c r="F502" s="23" t="str">
        <f ca="1">IF(A502="","",IF($B$8="Sí",interpolar_alamb(E502,OFFSET(Curvas_cupon_cero!$A$1,1,0,COUNT(Curvas_cupon_cero!$A:$A)-2,1),OFFSET(Curvas_cupon_cero!$A$1,1,MATCH(Bono_M_Cupon_fijo_curva!$B$7,Curvas_cupon_cero!$1:$1,0)-1,COUNT(Curvas_cupon_cero!$A:$A)-2,1)),interpolar(E502,OFFSET(Curvas_cupon_cero!$A$1,1,0,COUNT(Curvas_cupon_cero!$A:$A)-2,1),OFFSET(Curvas_cupon_cero!$A$1,1,MATCH(Bono_M_Cupon_fijo_curva!$B$7,Curvas_cupon_cero!$1:$1,0)-1,COUNT(Curvas_cupon_cero!$A:$A)-2,1))))</f>
        <v/>
      </c>
      <c r="G502" s="19" t="str">
        <f>IF(A502="","",C502/(1+F502*$B$6/360)^(COUNT(A$16:A502)-($B$6-$D$16)/$B$6))</f>
        <v/>
      </c>
    </row>
    <row r="503" spans="1:7" x14ac:dyDescent="0.2">
      <c r="A503" s="12" t="str">
        <f t="shared" si="41"/>
        <v/>
      </c>
      <c r="B503" t="str">
        <f t="shared" si="37"/>
        <v/>
      </c>
      <c r="C503" s="17" t="str">
        <f t="shared" si="38"/>
        <v/>
      </c>
      <c r="D503" s="18" t="str">
        <f t="shared" si="39"/>
        <v/>
      </c>
      <c r="E503" t="str">
        <f t="shared" si="40"/>
        <v/>
      </c>
      <c r="F503" s="23" t="str">
        <f ca="1">IF(A503="","",IF($B$8="Sí",interpolar_alamb(E503,OFFSET(Curvas_cupon_cero!$A$1,1,0,COUNT(Curvas_cupon_cero!$A:$A)-2,1),OFFSET(Curvas_cupon_cero!$A$1,1,MATCH(Bono_M_Cupon_fijo_curva!$B$7,Curvas_cupon_cero!$1:$1,0)-1,COUNT(Curvas_cupon_cero!$A:$A)-2,1)),interpolar(E503,OFFSET(Curvas_cupon_cero!$A$1,1,0,COUNT(Curvas_cupon_cero!$A:$A)-2,1),OFFSET(Curvas_cupon_cero!$A$1,1,MATCH(Bono_M_Cupon_fijo_curva!$B$7,Curvas_cupon_cero!$1:$1,0)-1,COUNT(Curvas_cupon_cero!$A:$A)-2,1))))</f>
        <v/>
      </c>
      <c r="G503" s="19" t="str">
        <f>IF(A503="","",C503/(1+F503*$B$6/360)^(COUNT(A$16:A503)-($B$6-$D$16)/$B$6))</f>
        <v/>
      </c>
    </row>
    <row r="504" spans="1:7" x14ac:dyDescent="0.2">
      <c r="A504" s="12" t="str">
        <f t="shared" si="41"/>
        <v/>
      </c>
      <c r="B504" t="str">
        <f t="shared" si="37"/>
        <v/>
      </c>
      <c r="C504" s="17" t="str">
        <f t="shared" si="38"/>
        <v/>
      </c>
      <c r="D504" s="18" t="str">
        <f t="shared" si="39"/>
        <v/>
      </c>
      <c r="E504" t="str">
        <f t="shared" si="40"/>
        <v/>
      </c>
      <c r="F504" s="23" t="str">
        <f ca="1">IF(A504="","",IF($B$8="Sí",interpolar_alamb(E504,OFFSET(Curvas_cupon_cero!$A$1,1,0,COUNT(Curvas_cupon_cero!$A:$A)-2,1),OFFSET(Curvas_cupon_cero!$A$1,1,MATCH(Bono_M_Cupon_fijo_curva!$B$7,Curvas_cupon_cero!$1:$1,0)-1,COUNT(Curvas_cupon_cero!$A:$A)-2,1)),interpolar(E504,OFFSET(Curvas_cupon_cero!$A$1,1,0,COUNT(Curvas_cupon_cero!$A:$A)-2,1),OFFSET(Curvas_cupon_cero!$A$1,1,MATCH(Bono_M_Cupon_fijo_curva!$B$7,Curvas_cupon_cero!$1:$1,0)-1,COUNT(Curvas_cupon_cero!$A:$A)-2,1))))</f>
        <v/>
      </c>
      <c r="G504" s="19" t="str">
        <f>IF(A504="","",C504/(1+F504*$B$6/360)^(COUNT(A$16:A504)-($B$6-$D$16)/$B$6))</f>
        <v/>
      </c>
    </row>
    <row r="505" spans="1:7" x14ac:dyDescent="0.2">
      <c r="A505" s="12" t="str">
        <f t="shared" si="41"/>
        <v/>
      </c>
      <c r="B505" t="str">
        <f t="shared" si="37"/>
        <v/>
      </c>
      <c r="C505" s="17" t="str">
        <f t="shared" si="38"/>
        <v/>
      </c>
      <c r="D505" s="18" t="str">
        <f t="shared" si="39"/>
        <v/>
      </c>
      <c r="E505" t="str">
        <f t="shared" si="40"/>
        <v/>
      </c>
      <c r="F505" s="23" t="str">
        <f ca="1">IF(A505="","",IF($B$8="Sí",interpolar_alamb(E505,OFFSET(Curvas_cupon_cero!$A$1,1,0,COUNT(Curvas_cupon_cero!$A:$A)-2,1),OFFSET(Curvas_cupon_cero!$A$1,1,MATCH(Bono_M_Cupon_fijo_curva!$B$7,Curvas_cupon_cero!$1:$1,0)-1,COUNT(Curvas_cupon_cero!$A:$A)-2,1)),interpolar(E505,OFFSET(Curvas_cupon_cero!$A$1,1,0,COUNT(Curvas_cupon_cero!$A:$A)-2,1),OFFSET(Curvas_cupon_cero!$A$1,1,MATCH(Bono_M_Cupon_fijo_curva!$B$7,Curvas_cupon_cero!$1:$1,0)-1,COUNT(Curvas_cupon_cero!$A:$A)-2,1))))</f>
        <v/>
      </c>
      <c r="G505" s="19" t="str">
        <f>IF(A505="","",C505/(1+F505*$B$6/360)^(COUNT(A$16:A505)-($B$6-$D$16)/$B$6))</f>
        <v/>
      </c>
    </row>
    <row r="506" spans="1:7" x14ac:dyDescent="0.2">
      <c r="A506" s="12" t="str">
        <f t="shared" si="41"/>
        <v/>
      </c>
      <c r="B506" t="str">
        <f t="shared" si="37"/>
        <v/>
      </c>
      <c r="C506" s="17" t="str">
        <f t="shared" si="38"/>
        <v/>
      </c>
      <c r="D506" s="18" t="str">
        <f t="shared" si="39"/>
        <v/>
      </c>
      <c r="E506" t="str">
        <f t="shared" si="40"/>
        <v/>
      </c>
      <c r="F506" s="23" t="str">
        <f ca="1">IF(A506="","",IF($B$8="Sí",interpolar_alamb(E506,OFFSET(Curvas_cupon_cero!$A$1,1,0,COUNT(Curvas_cupon_cero!$A:$A)-2,1),OFFSET(Curvas_cupon_cero!$A$1,1,MATCH(Bono_M_Cupon_fijo_curva!$B$7,Curvas_cupon_cero!$1:$1,0)-1,COUNT(Curvas_cupon_cero!$A:$A)-2,1)),interpolar(E506,OFFSET(Curvas_cupon_cero!$A$1,1,0,COUNT(Curvas_cupon_cero!$A:$A)-2,1),OFFSET(Curvas_cupon_cero!$A$1,1,MATCH(Bono_M_Cupon_fijo_curva!$B$7,Curvas_cupon_cero!$1:$1,0)-1,COUNT(Curvas_cupon_cero!$A:$A)-2,1))))</f>
        <v/>
      </c>
      <c r="G506" s="19" t="str">
        <f>IF(A506="","",C506/(1+F506*$B$6/360)^(COUNT(A$16:A506)-($B$6-$D$16)/$B$6))</f>
        <v/>
      </c>
    </row>
    <row r="507" spans="1:7" x14ac:dyDescent="0.2">
      <c r="A507" s="12" t="str">
        <f t="shared" si="41"/>
        <v/>
      </c>
      <c r="B507" t="str">
        <f t="shared" si="37"/>
        <v/>
      </c>
      <c r="C507" s="17" t="str">
        <f t="shared" si="38"/>
        <v/>
      </c>
      <c r="D507" s="18" t="str">
        <f t="shared" si="39"/>
        <v/>
      </c>
      <c r="E507" t="str">
        <f t="shared" si="40"/>
        <v/>
      </c>
      <c r="F507" s="23" t="str">
        <f ca="1">IF(A507="","",IF($B$8="Sí",interpolar_alamb(E507,OFFSET(Curvas_cupon_cero!$A$1,1,0,COUNT(Curvas_cupon_cero!$A:$A)-2,1),OFFSET(Curvas_cupon_cero!$A$1,1,MATCH(Bono_M_Cupon_fijo_curva!$B$7,Curvas_cupon_cero!$1:$1,0)-1,COUNT(Curvas_cupon_cero!$A:$A)-2,1)),interpolar(E507,OFFSET(Curvas_cupon_cero!$A$1,1,0,COUNT(Curvas_cupon_cero!$A:$A)-2,1),OFFSET(Curvas_cupon_cero!$A$1,1,MATCH(Bono_M_Cupon_fijo_curva!$B$7,Curvas_cupon_cero!$1:$1,0)-1,COUNT(Curvas_cupon_cero!$A:$A)-2,1))))</f>
        <v/>
      </c>
      <c r="G507" s="19" t="str">
        <f>IF(A507="","",C507/(1+F507*$B$6/360)^(COUNT(A$16:A507)-($B$6-$D$16)/$B$6))</f>
        <v/>
      </c>
    </row>
    <row r="508" spans="1:7" x14ac:dyDescent="0.2">
      <c r="A508" s="12" t="str">
        <f t="shared" si="41"/>
        <v/>
      </c>
      <c r="B508" t="str">
        <f t="shared" si="37"/>
        <v/>
      </c>
      <c r="C508" s="17" t="str">
        <f t="shared" si="38"/>
        <v/>
      </c>
      <c r="D508" s="18" t="str">
        <f t="shared" si="39"/>
        <v/>
      </c>
      <c r="E508" t="str">
        <f t="shared" si="40"/>
        <v/>
      </c>
      <c r="F508" s="23" t="str">
        <f ca="1">IF(A508="","",IF($B$8="Sí",interpolar_alamb(E508,OFFSET(Curvas_cupon_cero!$A$1,1,0,COUNT(Curvas_cupon_cero!$A:$A)-2,1),OFFSET(Curvas_cupon_cero!$A$1,1,MATCH(Bono_M_Cupon_fijo_curva!$B$7,Curvas_cupon_cero!$1:$1,0)-1,COUNT(Curvas_cupon_cero!$A:$A)-2,1)),interpolar(E508,OFFSET(Curvas_cupon_cero!$A$1,1,0,COUNT(Curvas_cupon_cero!$A:$A)-2,1),OFFSET(Curvas_cupon_cero!$A$1,1,MATCH(Bono_M_Cupon_fijo_curva!$B$7,Curvas_cupon_cero!$1:$1,0)-1,COUNT(Curvas_cupon_cero!$A:$A)-2,1))))</f>
        <v/>
      </c>
      <c r="G508" s="19" t="str">
        <f>IF(A508="","",C508/(1+F508*$B$6/360)^(COUNT(A$16:A508)-($B$6-$D$16)/$B$6))</f>
        <v/>
      </c>
    </row>
    <row r="509" spans="1:7" x14ac:dyDescent="0.2">
      <c r="A509" s="12" t="str">
        <f t="shared" si="41"/>
        <v/>
      </c>
      <c r="B509" t="str">
        <f t="shared" si="37"/>
        <v/>
      </c>
      <c r="C509" s="17" t="str">
        <f t="shared" si="38"/>
        <v/>
      </c>
      <c r="D509" s="18" t="str">
        <f t="shared" si="39"/>
        <v/>
      </c>
      <c r="E509" t="str">
        <f t="shared" si="40"/>
        <v/>
      </c>
      <c r="F509" s="23" t="str">
        <f ca="1">IF(A509="","",IF($B$8="Sí",interpolar_alamb(E509,OFFSET(Curvas_cupon_cero!$A$1,1,0,COUNT(Curvas_cupon_cero!$A:$A)-2,1),OFFSET(Curvas_cupon_cero!$A$1,1,MATCH(Bono_M_Cupon_fijo_curva!$B$7,Curvas_cupon_cero!$1:$1,0)-1,COUNT(Curvas_cupon_cero!$A:$A)-2,1)),interpolar(E509,OFFSET(Curvas_cupon_cero!$A$1,1,0,COUNT(Curvas_cupon_cero!$A:$A)-2,1),OFFSET(Curvas_cupon_cero!$A$1,1,MATCH(Bono_M_Cupon_fijo_curva!$B$7,Curvas_cupon_cero!$1:$1,0)-1,COUNT(Curvas_cupon_cero!$A:$A)-2,1))))</f>
        <v/>
      </c>
      <c r="G509" s="19" t="str">
        <f>IF(A509="","",C509/(1+F509*$B$6/360)^(COUNT(A$16:A509)-($B$6-$D$16)/$B$6))</f>
        <v/>
      </c>
    </row>
    <row r="510" spans="1:7" x14ac:dyDescent="0.2">
      <c r="A510" s="12" t="str">
        <f t="shared" si="41"/>
        <v/>
      </c>
      <c r="B510" t="str">
        <f t="shared" si="37"/>
        <v/>
      </c>
      <c r="C510" s="17" t="str">
        <f t="shared" si="38"/>
        <v/>
      </c>
      <c r="D510" s="18" t="str">
        <f t="shared" si="39"/>
        <v/>
      </c>
      <c r="E510" t="str">
        <f t="shared" si="40"/>
        <v/>
      </c>
      <c r="F510" s="23" t="str">
        <f ca="1">IF(A510="","",IF($B$8="Sí",interpolar_alamb(E510,OFFSET(Curvas_cupon_cero!$A$1,1,0,COUNT(Curvas_cupon_cero!$A:$A)-2,1),OFFSET(Curvas_cupon_cero!$A$1,1,MATCH(Bono_M_Cupon_fijo_curva!$B$7,Curvas_cupon_cero!$1:$1,0)-1,COUNT(Curvas_cupon_cero!$A:$A)-2,1)),interpolar(E510,OFFSET(Curvas_cupon_cero!$A$1,1,0,COUNT(Curvas_cupon_cero!$A:$A)-2,1),OFFSET(Curvas_cupon_cero!$A$1,1,MATCH(Bono_M_Cupon_fijo_curva!$B$7,Curvas_cupon_cero!$1:$1,0)-1,COUNT(Curvas_cupon_cero!$A:$A)-2,1))))</f>
        <v/>
      </c>
      <c r="G510" s="19" t="str">
        <f>IF(A510="","",C510/(1+F510*$B$6/360)^(COUNT(A$16:A510)-($B$6-$D$16)/$B$6))</f>
        <v/>
      </c>
    </row>
    <row r="511" spans="1:7" x14ac:dyDescent="0.2">
      <c r="A511" s="12" t="str">
        <f t="shared" si="41"/>
        <v/>
      </c>
      <c r="B511" t="str">
        <f t="shared" si="37"/>
        <v/>
      </c>
      <c r="C511" s="17" t="str">
        <f t="shared" si="38"/>
        <v/>
      </c>
      <c r="D511" s="18" t="str">
        <f t="shared" si="39"/>
        <v/>
      </c>
      <c r="E511" t="str">
        <f t="shared" si="40"/>
        <v/>
      </c>
      <c r="F511" s="23" t="str">
        <f ca="1">IF(A511="","",IF($B$8="Sí",interpolar_alamb(E511,OFFSET(Curvas_cupon_cero!$A$1,1,0,COUNT(Curvas_cupon_cero!$A:$A)-2,1),OFFSET(Curvas_cupon_cero!$A$1,1,MATCH(Bono_M_Cupon_fijo_curva!$B$7,Curvas_cupon_cero!$1:$1,0)-1,COUNT(Curvas_cupon_cero!$A:$A)-2,1)),interpolar(E511,OFFSET(Curvas_cupon_cero!$A$1,1,0,COUNT(Curvas_cupon_cero!$A:$A)-2,1),OFFSET(Curvas_cupon_cero!$A$1,1,MATCH(Bono_M_Cupon_fijo_curva!$B$7,Curvas_cupon_cero!$1:$1,0)-1,COUNT(Curvas_cupon_cero!$A:$A)-2,1))))</f>
        <v/>
      </c>
      <c r="G511" s="19" t="str">
        <f>IF(A511="","",C511/(1+F511*$B$6/360)^(COUNT(A$16:A511)-($B$6-$D$16)/$B$6))</f>
        <v/>
      </c>
    </row>
    <row r="512" spans="1:7" x14ac:dyDescent="0.2">
      <c r="A512" s="12" t="str">
        <f t="shared" si="41"/>
        <v/>
      </c>
      <c r="B512" t="str">
        <f t="shared" si="37"/>
        <v/>
      </c>
      <c r="C512" s="17" t="str">
        <f t="shared" si="38"/>
        <v/>
      </c>
      <c r="D512" s="18" t="str">
        <f t="shared" si="39"/>
        <v/>
      </c>
      <c r="E512" t="str">
        <f t="shared" si="40"/>
        <v/>
      </c>
      <c r="F512" s="23" t="str">
        <f ca="1">IF(A512="","",IF($B$8="Sí",interpolar_alamb(E512,OFFSET(Curvas_cupon_cero!$A$1,1,0,COUNT(Curvas_cupon_cero!$A:$A)-2,1),OFFSET(Curvas_cupon_cero!$A$1,1,MATCH(Bono_M_Cupon_fijo_curva!$B$7,Curvas_cupon_cero!$1:$1,0)-1,COUNT(Curvas_cupon_cero!$A:$A)-2,1)),interpolar(E512,OFFSET(Curvas_cupon_cero!$A$1,1,0,COUNT(Curvas_cupon_cero!$A:$A)-2,1),OFFSET(Curvas_cupon_cero!$A$1,1,MATCH(Bono_M_Cupon_fijo_curva!$B$7,Curvas_cupon_cero!$1:$1,0)-1,COUNT(Curvas_cupon_cero!$A:$A)-2,1))))</f>
        <v/>
      </c>
      <c r="G512" s="19" t="str">
        <f>IF(A512="","",C512/(1+F512*$B$6/360)^(COUNT(A$16:A512)-($B$6-$D$16)/$B$6))</f>
        <v/>
      </c>
    </row>
    <row r="513" spans="1:7" x14ac:dyDescent="0.2">
      <c r="A513" s="12" t="str">
        <f t="shared" si="41"/>
        <v/>
      </c>
      <c r="B513" t="str">
        <f t="shared" si="37"/>
        <v/>
      </c>
      <c r="C513" s="17" t="str">
        <f t="shared" si="38"/>
        <v/>
      </c>
      <c r="D513" s="18" t="str">
        <f t="shared" si="39"/>
        <v/>
      </c>
      <c r="E513" t="str">
        <f t="shared" si="40"/>
        <v/>
      </c>
      <c r="F513" s="23" t="str">
        <f ca="1">IF(A513="","",IF($B$8="Sí",interpolar_alamb(E513,OFFSET(Curvas_cupon_cero!$A$1,1,0,COUNT(Curvas_cupon_cero!$A:$A)-2,1),OFFSET(Curvas_cupon_cero!$A$1,1,MATCH(Bono_M_Cupon_fijo_curva!$B$7,Curvas_cupon_cero!$1:$1,0)-1,COUNT(Curvas_cupon_cero!$A:$A)-2,1)),interpolar(E513,OFFSET(Curvas_cupon_cero!$A$1,1,0,COUNT(Curvas_cupon_cero!$A:$A)-2,1),OFFSET(Curvas_cupon_cero!$A$1,1,MATCH(Bono_M_Cupon_fijo_curva!$B$7,Curvas_cupon_cero!$1:$1,0)-1,COUNT(Curvas_cupon_cero!$A:$A)-2,1))))</f>
        <v/>
      </c>
      <c r="G513" s="19" t="str">
        <f>IF(A513="","",C513/(1+F513*$B$6/360)^(COUNT(A$16:A513)-($B$6-$D$16)/$B$6))</f>
        <v/>
      </c>
    </row>
    <row r="514" spans="1:7" x14ac:dyDescent="0.2">
      <c r="A514" s="12" t="str">
        <f t="shared" si="41"/>
        <v/>
      </c>
      <c r="B514" t="str">
        <f t="shared" si="37"/>
        <v/>
      </c>
      <c r="C514" s="17" t="str">
        <f t="shared" si="38"/>
        <v/>
      </c>
      <c r="D514" s="18" t="str">
        <f t="shared" si="39"/>
        <v/>
      </c>
      <c r="E514" t="str">
        <f t="shared" si="40"/>
        <v/>
      </c>
      <c r="F514" s="23" t="str">
        <f ca="1">IF(A514="","",IF($B$8="Sí",interpolar_alamb(E514,OFFSET(Curvas_cupon_cero!$A$1,1,0,COUNT(Curvas_cupon_cero!$A:$A)-2,1),OFFSET(Curvas_cupon_cero!$A$1,1,MATCH(Bono_M_Cupon_fijo_curva!$B$7,Curvas_cupon_cero!$1:$1,0)-1,COUNT(Curvas_cupon_cero!$A:$A)-2,1)),interpolar(E514,OFFSET(Curvas_cupon_cero!$A$1,1,0,COUNT(Curvas_cupon_cero!$A:$A)-2,1),OFFSET(Curvas_cupon_cero!$A$1,1,MATCH(Bono_M_Cupon_fijo_curva!$B$7,Curvas_cupon_cero!$1:$1,0)-1,COUNT(Curvas_cupon_cero!$A:$A)-2,1))))</f>
        <v/>
      </c>
      <c r="G514" s="19" t="str">
        <f>IF(A514="","",C514/(1+F514*$B$6/360)^(COUNT(A$16:A514)-($B$6-$D$16)/$B$6))</f>
        <v/>
      </c>
    </row>
    <row r="515" spans="1:7" x14ac:dyDescent="0.2">
      <c r="A515" s="12" t="str">
        <f t="shared" si="41"/>
        <v/>
      </c>
      <c r="B515" t="str">
        <f t="shared" si="37"/>
        <v/>
      </c>
      <c r="C515" s="17" t="str">
        <f t="shared" si="38"/>
        <v/>
      </c>
      <c r="D515" s="18" t="str">
        <f t="shared" si="39"/>
        <v/>
      </c>
      <c r="E515" t="str">
        <f t="shared" si="40"/>
        <v/>
      </c>
      <c r="F515" s="23" t="str">
        <f ca="1">IF(A515="","",IF($B$8="Sí",interpolar_alamb(E515,OFFSET(Curvas_cupon_cero!$A$1,1,0,COUNT(Curvas_cupon_cero!$A:$A)-2,1),OFFSET(Curvas_cupon_cero!$A$1,1,MATCH(Bono_M_Cupon_fijo_curva!$B$7,Curvas_cupon_cero!$1:$1,0)-1,COUNT(Curvas_cupon_cero!$A:$A)-2,1)),interpolar(E515,OFFSET(Curvas_cupon_cero!$A$1,1,0,COUNT(Curvas_cupon_cero!$A:$A)-2,1),OFFSET(Curvas_cupon_cero!$A$1,1,MATCH(Bono_M_Cupon_fijo_curva!$B$7,Curvas_cupon_cero!$1:$1,0)-1,COUNT(Curvas_cupon_cero!$A:$A)-2,1))))</f>
        <v/>
      </c>
      <c r="G515" s="19" t="str">
        <f>IF(A515="","",C515/(1+F515*$B$6/360)^(COUNT(A$16:A515)-($B$6-$D$16)/$B$6))</f>
        <v/>
      </c>
    </row>
    <row r="516" spans="1:7" x14ac:dyDescent="0.2">
      <c r="A516" s="12" t="str">
        <f t="shared" si="41"/>
        <v/>
      </c>
      <c r="B516" t="str">
        <f t="shared" si="37"/>
        <v/>
      </c>
      <c r="C516" s="17" t="str">
        <f t="shared" si="38"/>
        <v/>
      </c>
      <c r="D516" s="18" t="str">
        <f t="shared" si="39"/>
        <v/>
      </c>
      <c r="E516" t="str">
        <f t="shared" si="40"/>
        <v/>
      </c>
      <c r="F516" s="23" t="str">
        <f ca="1">IF(A516="","",IF($B$8="Sí",interpolar_alamb(E516,OFFSET(Curvas_cupon_cero!$A$1,1,0,COUNT(Curvas_cupon_cero!$A:$A)-2,1),OFFSET(Curvas_cupon_cero!$A$1,1,MATCH(Bono_M_Cupon_fijo_curva!$B$7,Curvas_cupon_cero!$1:$1,0)-1,COUNT(Curvas_cupon_cero!$A:$A)-2,1)),interpolar(E516,OFFSET(Curvas_cupon_cero!$A$1,1,0,COUNT(Curvas_cupon_cero!$A:$A)-2,1),OFFSET(Curvas_cupon_cero!$A$1,1,MATCH(Bono_M_Cupon_fijo_curva!$B$7,Curvas_cupon_cero!$1:$1,0)-1,COUNT(Curvas_cupon_cero!$A:$A)-2,1))))</f>
        <v/>
      </c>
      <c r="G516" s="19" t="str">
        <f>IF(A516="","",C516/(1+F516*$B$6/360)^(COUNT(A$16:A516)-($B$6-$D$16)/$B$6))</f>
        <v/>
      </c>
    </row>
    <row r="517" spans="1:7" x14ac:dyDescent="0.2">
      <c r="A517" s="12" t="str">
        <f t="shared" si="41"/>
        <v/>
      </c>
      <c r="B517" t="str">
        <f t="shared" si="37"/>
        <v/>
      </c>
      <c r="C517" s="17" t="str">
        <f t="shared" si="38"/>
        <v/>
      </c>
      <c r="D517" s="18" t="str">
        <f t="shared" si="39"/>
        <v/>
      </c>
      <c r="E517" t="str">
        <f t="shared" si="40"/>
        <v/>
      </c>
      <c r="F517" s="23" t="str">
        <f ca="1">IF(A517="","",IF($B$8="Sí",interpolar_alamb(E517,OFFSET(Curvas_cupon_cero!$A$1,1,0,COUNT(Curvas_cupon_cero!$A:$A)-2,1),OFFSET(Curvas_cupon_cero!$A$1,1,MATCH(Bono_M_Cupon_fijo_curva!$B$7,Curvas_cupon_cero!$1:$1,0)-1,COUNT(Curvas_cupon_cero!$A:$A)-2,1)),interpolar(E517,OFFSET(Curvas_cupon_cero!$A$1,1,0,COUNT(Curvas_cupon_cero!$A:$A)-2,1),OFFSET(Curvas_cupon_cero!$A$1,1,MATCH(Bono_M_Cupon_fijo_curva!$B$7,Curvas_cupon_cero!$1:$1,0)-1,COUNT(Curvas_cupon_cero!$A:$A)-2,1))))</f>
        <v/>
      </c>
      <c r="G517" s="19" t="str">
        <f>IF(A517="","",C517/(1+F517*$B$6/360)^(COUNT(A$16:A517)-($B$6-$D$16)/$B$6))</f>
        <v/>
      </c>
    </row>
    <row r="518" spans="1:7" x14ac:dyDescent="0.2">
      <c r="A518" s="12" t="str">
        <f t="shared" si="41"/>
        <v/>
      </c>
      <c r="B518" t="str">
        <f t="shared" si="37"/>
        <v/>
      </c>
      <c r="C518" s="17" t="str">
        <f t="shared" si="38"/>
        <v/>
      </c>
      <c r="D518" s="18" t="str">
        <f t="shared" si="39"/>
        <v/>
      </c>
      <c r="E518" t="str">
        <f t="shared" si="40"/>
        <v/>
      </c>
      <c r="F518" s="23" t="str">
        <f ca="1">IF(A518="","",IF($B$8="Sí",interpolar_alamb(E518,OFFSET(Curvas_cupon_cero!$A$1,1,0,COUNT(Curvas_cupon_cero!$A:$A)-2,1),OFFSET(Curvas_cupon_cero!$A$1,1,MATCH(Bono_M_Cupon_fijo_curva!$B$7,Curvas_cupon_cero!$1:$1,0)-1,COUNT(Curvas_cupon_cero!$A:$A)-2,1)),interpolar(E518,OFFSET(Curvas_cupon_cero!$A$1,1,0,COUNT(Curvas_cupon_cero!$A:$A)-2,1),OFFSET(Curvas_cupon_cero!$A$1,1,MATCH(Bono_M_Cupon_fijo_curva!$B$7,Curvas_cupon_cero!$1:$1,0)-1,COUNT(Curvas_cupon_cero!$A:$A)-2,1))))</f>
        <v/>
      </c>
      <c r="G518" s="19" t="str">
        <f>IF(A518="","",C518/(1+F518*$B$6/360)^(COUNT(A$16:A518)-($B$6-$D$16)/$B$6))</f>
        <v/>
      </c>
    </row>
    <row r="519" spans="1:7" x14ac:dyDescent="0.2">
      <c r="A519" s="12" t="str">
        <f t="shared" si="41"/>
        <v/>
      </c>
      <c r="B519" t="str">
        <f t="shared" si="37"/>
        <v/>
      </c>
      <c r="C519" s="17" t="str">
        <f t="shared" si="38"/>
        <v/>
      </c>
      <c r="D519" s="18" t="str">
        <f t="shared" si="39"/>
        <v/>
      </c>
      <c r="E519" t="str">
        <f t="shared" si="40"/>
        <v/>
      </c>
      <c r="F519" s="23" t="str">
        <f ca="1">IF(A519="","",IF($B$8="Sí",interpolar_alamb(E519,OFFSET(Curvas_cupon_cero!$A$1,1,0,COUNT(Curvas_cupon_cero!$A:$A)-2,1),OFFSET(Curvas_cupon_cero!$A$1,1,MATCH(Bono_M_Cupon_fijo_curva!$B$7,Curvas_cupon_cero!$1:$1,0)-1,COUNT(Curvas_cupon_cero!$A:$A)-2,1)),interpolar(E519,OFFSET(Curvas_cupon_cero!$A$1,1,0,COUNT(Curvas_cupon_cero!$A:$A)-2,1),OFFSET(Curvas_cupon_cero!$A$1,1,MATCH(Bono_M_Cupon_fijo_curva!$B$7,Curvas_cupon_cero!$1:$1,0)-1,COUNT(Curvas_cupon_cero!$A:$A)-2,1))))</f>
        <v/>
      </c>
      <c r="G519" s="19" t="str">
        <f>IF(A519="","",C519/(1+F519*$B$6/360)^(COUNT(A$16:A519)-($B$6-$D$16)/$B$6))</f>
        <v/>
      </c>
    </row>
    <row r="520" spans="1:7" x14ac:dyDescent="0.2">
      <c r="A520" s="12" t="str">
        <f t="shared" si="41"/>
        <v/>
      </c>
      <c r="B520" t="str">
        <f t="shared" si="37"/>
        <v/>
      </c>
      <c r="C520" s="17" t="str">
        <f t="shared" si="38"/>
        <v/>
      </c>
      <c r="D520" s="18" t="str">
        <f t="shared" si="39"/>
        <v/>
      </c>
      <c r="E520" t="str">
        <f t="shared" si="40"/>
        <v/>
      </c>
      <c r="F520" s="23" t="str">
        <f ca="1">IF(A520="","",IF($B$8="Sí",interpolar_alamb(E520,OFFSET(Curvas_cupon_cero!$A$1,1,0,COUNT(Curvas_cupon_cero!$A:$A)-2,1),OFFSET(Curvas_cupon_cero!$A$1,1,MATCH(Bono_M_Cupon_fijo_curva!$B$7,Curvas_cupon_cero!$1:$1,0)-1,COUNT(Curvas_cupon_cero!$A:$A)-2,1)),interpolar(E520,OFFSET(Curvas_cupon_cero!$A$1,1,0,COUNT(Curvas_cupon_cero!$A:$A)-2,1),OFFSET(Curvas_cupon_cero!$A$1,1,MATCH(Bono_M_Cupon_fijo_curva!$B$7,Curvas_cupon_cero!$1:$1,0)-1,COUNT(Curvas_cupon_cero!$A:$A)-2,1))))</f>
        <v/>
      </c>
      <c r="G520" s="19" t="str">
        <f>IF(A520="","",C520/(1+F520*$B$6/360)^(COUNT(A$16:A520)-($B$6-$D$16)/$B$6))</f>
        <v/>
      </c>
    </row>
    <row r="521" spans="1:7" x14ac:dyDescent="0.2">
      <c r="A521" s="12" t="str">
        <f t="shared" si="41"/>
        <v/>
      </c>
      <c r="B521" t="str">
        <f t="shared" si="37"/>
        <v/>
      </c>
      <c r="C521" s="17" t="str">
        <f t="shared" si="38"/>
        <v/>
      </c>
      <c r="D521" s="18" t="str">
        <f t="shared" si="39"/>
        <v/>
      </c>
      <c r="E521" t="str">
        <f t="shared" si="40"/>
        <v/>
      </c>
      <c r="F521" s="23" t="str">
        <f ca="1">IF(A521="","",IF($B$8="Sí",interpolar_alamb(E521,OFFSET(Curvas_cupon_cero!$A$1,1,0,COUNT(Curvas_cupon_cero!$A:$A)-2,1),OFFSET(Curvas_cupon_cero!$A$1,1,MATCH(Bono_M_Cupon_fijo_curva!$B$7,Curvas_cupon_cero!$1:$1,0)-1,COUNT(Curvas_cupon_cero!$A:$A)-2,1)),interpolar(E521,OFFSET(Curvas_cupon_cero!$A$1,1,0,COUNT(Curvas_cupon_cero!$A:$A)-2,1),OFFSET(Curvas_cupon_cero!$A$1,1,MATCH(Bono_M_Cupon_fijo_curva!$B$7,Curvas_cupon_cero!$1:$1,0)-1,COUNT(Curvas_cupon_cero!$A:$A)-2,1))))</f>
        <v/>
      </c>
      <c r="G521" s="19" t="str">
        <f>IF(A521="","",C521/(1+F521*$B$6/360)^(COUNT(A$16:A521)-($B$6-$D$16)/$B$6))</f>
        <v/>
      </c>
    </row>
    <row r="522" spans="1:7" x14ac:dyDescent="0.2">
      <c r="A522" s="12" t="str">
        <f t="shared" si="41"/>
        <v/>
      </c>
      <c r="B522" t="str">
        <f t="shared" si="37"/>
        <v/>
      </c>
      <c r="C522" s="17" t="str">
        <f t="shared" si="38"/>
        <v/>
      </c>
      <c r="D522" s="18" t="str">
        <f t="shared" si="39"/>
        <v/>
      </c>
      <c r="E522" t="str">
        <f t="shared" si="40"/>
        <v/>
      </c>
      <c r="F522" s="23" t="str">
        <f ca="1">IF(A522="","",IF($B$8="Sí",interpolar_alamb(E522,OFFSET(Curvas_cupon_cero!$A$1,1,0,COUNT(Curvas_cupon_cero!$A:$A)-2,1),OFFSET(Curvas_cupon_cero!$A$1,1,MATCH(Bono_M_Cupon_fijo_curva!$B$7,Curvas_cupon_cero!$1:$1,0)-1,COUNT(Curvas_cupon_cero!$A:$A)-2,1)),interpolar(E522,OFFSET(Curvas_cupon_cero!$A$1,1,0,COUNT(Curvas_cupon_cero!$A:$A)-2,1),OFFSET(Curvas_cupon_cero!$A$1,1,MATCH(Bono_M_Cupon_fijo_curva!$B$7,Curvas_cupon_cero!$1:$1,0)-1,COUNT(Curvas_cupon_cero!$A:$A)-2,1))))</f>
        <v/>
      </c>
      <c r="G522" s="19" t="str">
        <f>IF(A522="","",C522/(1+F522*$B$6/360)^(COUNT(A$16:A522)-($B$6-$D$16)/$B$6))</f>
        <v/>
      </c>
    </row>
    <row r="523" spans="1:7" x14ac:dyDescent="0.2">
      <c r="A523" s="12" t="str">
        <f t="shared" si="41"/>
        <v/>
      </c>
      <c r="B523" t="str">
        <f t="shared" si="37"/>
        <v/>
      </c>
      <c r="C523" s="17" t="str">
        <f t="shared" si="38"/>
        <v/>
      </c>
      <c r="D523" s="18" t="str">
        <f t="shared" si="39"/>
        <v/>
      </c>
      <c r="E523" t="str">
        <f t="shared" si="40"/>
        <v/>
      </c>
      <c r="F523" s="23" t="str">
        <f ca="1">IF(A523="","",IF($B$8="Sí",interpolar_alamb(E523,OFFSET(Curvas_cupon_cero!$A$1,1,0,COUNT(Curvas_cupon_cero!$A:$A)-2,1),OFFSET(Curvas_cupon_cero!$A$1,1,MATCH(Bono_M_Cupon_fijo_curva!$B$7,Curvas_cupon_cero!$1:$1,0)-1,COUNT(Curvas_cupon_cero!$A:$A)-2,1)),interpolar(E523,OFFSET(Curvas_cupon_cero!$A$1,1,0,COUNT(Curvas_cupon_cero!$A:$A)-2,1),OFFSET(Curvas_cupon_cero!$A$1,1,MATCH(Bono_M_Cupon_fijo_curva!$B$7,Curvas_cupon_cero!$1:$1,0)-1,COUNT(Curvas_cupon_cero!$A:$A)-2,1))))</f>
        <v/>
      </c>
      <c r="G523" s="19" t="str">
        <f>IF(A523="","",C523/(1+F523*$B$6/360)^(COUNT(A$16:A523)-($B$6-$D$16)/$B$6))</f>
        <v/>
      </c>
    </row>
    <row r="524" spans="1:7" x14ac:dyDescent="0.2">
      <c r="A524" s="12" t="str">
        <f t="shared" si="41"/>
        <v/>
      </c>
      <c r="B524" t="str">
        <f t="shared" si="37"/>
        <v/>
      </c>
      <c r="C524" s="17" t="str">
        <f t="shared" si="38"/>
        <v/>
      </c>
      <c r="D524" s="18" t="str">
        <f t="shared" si="39"/>
        <v/>
      </c>
      <c r="E524" t="str">
        <f t="shared" si="40"/>
        <v/>
      </c>
      <c r="F524" s="23" t="str">
        <f ca="1">IF(A524="","",IF($B$8="Sí",interpolar_alamb(E524,OFFSET(Curvas_cupon_cero!$A$1,1,0,COUNT(Curvas_cupon_cero!$A:$A)-2,1),OFFSET(Curvas_cupon_cero!$A$1,1,MATCH(Bono_M_Cupon_fijo_curva!$B$7,Curvas_cupon_cero!$1:$1,0)-1,COUNT(Curvas_cupon_cero!$A:$A)-2,1)),interpolar(E524,OFFSET(Curvas_cupon_cero!$A$1,1,0,COUNT(Curvas_cupon_cero!$A:$A)-2,1),OFFSET(Curvas_cupon_cero!$A$1,1,MATCH(Bono_M_Cupon_fijo_curva!$B$7,Curvas_cupon_cero!$1:$1,0)-1,COUNT(Curvas_cupon_cero!$A:$A)-2,1))))</f>
        <v/>
      </c>
      <c r="G524" s="19" t="str">
        <f>IF(A524="","",C524/(1+F524*$B$6/360)^(COUNT(A$16:A524)-($B$6-$D$16)/$B$6))</f>
        <v/>
      </c>
    </row>
    <row r="525" spans="1:7" x14ac:dyDescent="0.2">
      <c r="A525" s="12" t="str">
        <f t="shared" si="41"/>
        <v/>
      </c>
      <c r="B525" t="str">
        <f t="shared" si="37"/>
        <v/>
      </c>
      <c r="C525" s="17" t="str">
        <f t="shared" si="38"/>
        <v/>
      </c>
      <c r="D525" s="18" t="str">
        <f t="shared" si="39"/>
        <v/>
      </c>
      <c r="E525" t="str">
        <f t="shared" si="40"/>
        <v/>
      </c>
      <c r="F525" s="23" t="str">
        <f ca="1">IF(A525="","",IF($B$8="Sí",interpolar_alamb(E525,OFFSET(Curvas_cupon_cero!$A$1,1,0,COUNT(Curvas_cupon_cero!$A:$A)-2,1),OFFSET(Curvas_cupon_cero!$A$1,1,MATCH(Bono_M_Cupon_fijo_curva!$B$7,Curvas_cupon_cero!$1:$1,0)-1,COUNT(Curvas_cupon_cero!$A:$A)-2,1)),interpolar(E525,OFFSET(Curvas_cupon_cero!$A$1,1,0,COUNT(Curvas_cupon_cero!$A:$A)-2,1),OFFSET(Curvas_cupon_cero!$A$1,1,MATCH(Bono_M_Cupon_fijo_curva!$B$7,Curvas_cupon_cero!$1:$1,0)-1,COUNT(Curvas_cupon_cero!$A:$A)-2,1))))</f>
        <v/>
      </c>
      <c r="G525" s="19" t="str">
        <f>IF(A525="","",C525/(1+F525*$B$6/360)^(COUNT(A$16:A525)-($B$6-$D$16)/$B$6))</f>
        <v/>
      </c>
    </row>
    <row r="526" spans="1:7" x14ac:dyDescent="0.2">
      <c r="A526" s="12" t="str">
        <f t="shared" si="41"/>
        <v/>
      </c>
      <c r="B526" t="str">
        <f t="shared" si="37"/>
        <v/>
      </c>
      <c r="C526" s="17" t="str">
        <f t="shared" si="38"/>
        <v/>
      </c>
      <c r="D526" s="18" t="str">
        <f t="shared" si="39"/>
        <v/>
      </c>
      <c r="E526" t="str">
        <f t="shared" si="40"/>
        <v/>
      </c>
      <c r="F526" s="23" t="str">
        <f ca="1">IF(A526="","",IF($B$8="Sí",interpolar_alamb(E526,OFFSET(Curvas_cupon_cero!$A$1,1,0,COUNT(Curvas_cupon_cero!$A:$A)-2,1),OFFSET(Curvas_cupon_cero!$A$1,1,MATCH(Bono_M_Cupon_fijo_curva!$B$7,Curvas_cupon_cero!$1:$1,0)-1,COUNT(Curvas_cupon_cero!$A:$A)-2,1)),interpolar(E526,OFFSET(Curvas_cupon_cero!$A$1,1,0,COUNT(Curvas_cupon_cero!$A:$A)-2,1),OFFSET(Curvas_cupon_cero!$A$1,1,MATCH(Bono_M_Cupon_fijo_curva!$B$7,Curvas_cupon_cero!$1:$1,0)-1,COUNT(Curvas_cupon_cero!$A:$A)-2,1))))</f>
        <v/>
      </c>
      <c r="G526" s="19" t="str">
        <f>IF(A526="","",C526/(1+F526*$B$6/360)^(COUNT(A$16:A526)-($B$6-$D$16)/$B$6))</f>
        <v/>
      </c>
    </row>
    <row r="527" spans="1:7" x14ac:dyDescent="0.2">
      <c r="A527" s="12" t="str">
        <f t="shared" si="41"/>
        <v/>
      </c>
      <c r="B527" t="str">
        <f t="shared" si="37"/>
        <v/>
      </c>
      <c r="C527" s="17" t="str">
        <f t="shared" si="38"/>
        <v/>
      </c>
      <c r="D527" s="18" t="str">
        <f t="shared" si="39"/>
        <v/>
      </c>
      <c r="E527" t="str">
        <f t="shared" si="40"/>
        <v/>
      </c>
      <c r="F527" s="23" t="str">
        <f ca="1">IF(A527="","",IF($B$8="Sí",interpolar_alamb(E527,OFFSET(Curvas_cupon_cero!$A$1,1,0,COUNT(Curvas_cupon_cero!$A:$A)-2,1),OFFSET(Curvas_cupon_cero!$A$1,1,MATCH(Bono_M_Cupon_fijo_curva!$B$7,Curvas_cupon_cero!$1:$1,0)-1,COUNT(Curvas_cupon_cero!$A:$A)-2,1)),interpolar(E527,OFFSET(Curvas_cupon_cero!$A$1,1,0,COUNT(Curvas_cupon_cero!$A:$A)-2,1),OFFSET(Curvas_cupon_cero!$A$1,1,MATCH(Bono_M_Cupon_fijo_curva!$B$7,Curvas_cupon_cero!$1:$1,0)-1,COUNT(Curvas_cupon_cero!$A:$A)-2,1))))</f>
        <v/>
      </c>
      <c r="G527" s="19" t="str">
        <f>IF(A527="","",C527/(1+F527*$B$6/360)^(COUNT(A$16:A527)-($B$6-$D$16)/$B$6))</f>
        <v/>
      </c>
    </row>
    <row r="528" spans="1:7" x14ac:dyDescent="0.2">
      <c r="A528" s="12" t="str">
        <f t="shared" si="41"/>
        <v/>
      </c>
      <c r="B528" t="str">
        <f t="shared" si="37"/>
        <v/>
      </c>
      <c r="C528" s="17" t="str">
        <f t="shared" si="38"/>
        <v/>
      </c>
      <c r="D528" s="18" t="str">
        <f t="shared" si="39"/>
        <v/>
      </c>
      <c r="E528" t="str">
        <f t="shared" si="40"/>
        <v/>
      </c>
      <c r="F528" s="23" t="str">
        <f ca="1">IF(A528="","",IF($B$8="Sí",interpolar_alamb(E528,OFFSET(Curvas_cupon_cero!$A$1,1,0,COUNT(Curvas_cupon_cero!$A:$A)-2,1),OFFSET(Curvas_cupon_cero!$A$1,1,MATCH(Bono_M_Cupon_fijo_curva!$B$7,Curvas_cupon_cero!$1:$1,0)-1,COUNT(Curvas_cupon_cero!$A:$A)-2,1)),interpolar(E528,OFFSET(Curvas_cupon_cero!$A$1,1,0,COUNT(Curvas_cupon_cero!$A:$A)-2,1),OFFSET(Curvas_cupon_cero!$A$1,1,MATCH(Bono_M_Cupon_fijo_curva!$B$7,Curvas_cupon_cero!$1:$1,0)-1,COUNT(Curvas_cupon_cero!$A:$A)-2,1))))</f>
        <v/>
      </c>
      <c r="G528" s="19" t="str">
        <f>IF(A528="","",C528/(1+F528*$B$6/360)^(COUNT(A$16:A528)-($B$6-$D$16)/$B$6))</f>
        <v/>
      </c>
    </row>
    <row r="529" spans="1:7" x14ac:dyDescent="0.2">
      <c r="A529" s="12" t="str">
        <f t="shared" si="41"/>
        <v/>
      </c>
      <c r="B529" t="str">
        <f t="shared" ref="B529:B592" si="42">IF(A529="","",$B$5)</f>
        <v/>
      </c>
      <c r="C529" s="17" t="str">
        <f t="shared" ref="C529:C592" si="43">IF(A529="","",IF(A529=$B$4,$B$1*$B$2+ $B$5*$B$6/360*$B$1*$B$2, $B$5*$B$6/360*$B$1*$B$2))</f>
        <v/>
      </c>
      <c r="D529" s="18" t="str">
        <f t="shared" ref="D529:D592" si="44">IF(A529="","",$B$6)</f>
        <v/>
      </c>
      <c r="E529" t="str">
        <f t="shared" ref="E529:E592" si="45">IF(A529="","",E528+D529)</f>
        <v/>
      </c>
      <c r="F529" s="23" t="str">
        <f ca="1">IF(A529="","",IF($B$8="Sí",interpolar_alamb(E529,OFFSET(Curvas_cupon_cero!$A$1,1,0,COUNT(Curvas_cupon_cero!$A:$A)-2,1),OFFSET(Curvas_cupon_cero!$A$1,1,MATCH(Bono_M_Cupon_fijo_curva!$B$7,Curvas_cupon_cero!$1:$1,0)-1,COUNT(Curvas_cupon_cero!$A:$A)-2,1)),interpolar(E529,OFFSET(Curvas_cupon_cero!$A$1,1,0,COUNT(Curvas_cupon_cero!$A:$A)-2,1),OFFSET(Curvas_cupon_cero!$A$1,1,MATCH(Bono_M_Cupon_fijo_curva!$B$7,Curvas_cupon_cero!$1:$1,0)-1,COUNT(Curvas_cupon_cero!$A:$A)-2,1))))</f>
        <v/>
      </c>
      <c r="G529" s="19" t="str">
        <f>IF(A529="","",C529/(1+F529*$B$6/360)^(COUNT(A$16:A529)-($B$6-$D$16)/$B$6))</f>
        <v/>
      </c>
    </row>
    <row r="530" spans="1:7" x14ac:dyDescent="0.2">
      <c r="A530" s="12" t="str">
        <f t="shared" si="41"/>
        <v/>
      </c>
      <c r="B530" t="str">
        <f t="shared" si="42"/>
        <v/>
      </c>
      <c r="C530" s="17" t="str">
        <f t="shared" si="43"/>
        <v/>
      </c>
      <c r="D530" s="18" t="str">
        <f t="shared" si="44"/>
        <v/>
      </c>
      <c r="E530" t="str">
        <f t="shared" si="45"/>
        <v/>
      </c>
      <c r="F530" s="23" t="str">
        <f ca="1">IF(A530="","",IF($B$8="Sí",interpolar_alamb(E530,OFFSET(Curvas_cupon_cero!$A$1,1,0,COUNT(Curvas_cupon_cero!$A:$A)-2,1),OFFSET(Curvas_cupon_cero!$A$1,1,MATCH(Bono_M_Cupon_fijo_curva!$B$7,Curvas_cupon_cero!$1:$1,0)-1,COUNT(Curvas_cupon_cero!$A:$A)-2,1)),interpolar(E530,OFFSET(Curvas_cupon_cero!$A$1,1,0,COUNT(Curvas_cupon_cero!$A:$A)-2,1),OFFSET(Curvas_cupon_cero!$A$1,1,MATCH(Bono_M_Cupon_fijo_curva!$B$7,Curvas_cupon_cero!$1:$1,0)-1,COUNT(Curvas_cupon_cero!$A:$A)-2,1))))</f>
        <v/>
      </c>
      <c r="G530" s="19" t="str">
        <f>IF(A530="","",C530/(1+F530*$B$6/360)^(COUNT(A$16:A530)-($B$6-$D$16)/$B$6))</f>
        <v/>
      </c>
    </row>
    <row r="531" spans="1:7" x14ac:dyDescent="0.2">
      <c r="A531" s="12" t="str">
        <f t="shared" si="41"/>
        <v/>
      </c>
      <c r="B531" t="str">
        <f t="shared" si="42"/>
        <v/>
      </c>
      <c r="C531" s="17" t="str">
        <f t="shared" si="43"/>
        <v/>
      </c>
      <c r="D531" s="18" t="str">
        <f t="shared" si="44"/>
        <v/>
      </c>
      <c r="E531" t="str">
        <f t="shared" si="45"/>
        <v/>
      </c>
      <c r="F531" s="23" t="str">
        <f ca="1">IF(A531="","",IF($B$8="Sí",interpolar_alamb(E531,OFFSET(Curvas_cupon_cero!$A$1,1,0,COUNT(Curvas_cupon_cero!$A:$A)-2,1),OFFSET(Curvas_cupon_cero!$A$1,1,MATCH(Bono_M_Cupon_fijo_curva!$B$7,Curvas_cupon_cero!$1:$1,0)-1,COUNT(Curvas_cupon_cero!$A:$A)-2,1)),interpolar(E531,OFFSET(Curvas_cupon_cero!$A$1,1,0,COUNT(Curvas_cupon_cero!$A:$A)-2,1),OFFSET(Curvas_cupon_cero!$A$1,1,MATCH(Bono_M_Cupon_fijo_curva!$B$7,Curvas_cupon_cero!$1:$1,0)-1,COUNT(Curvas_cupon_cero!$A:$A)-2,1))))</f>
        <v/>
      </c>
      <c r="G531" s="19" t="str">
        <f>IF(A531="","",C531/(1+F531*$B$6/360)^(COUNT(A$16:A531)-($B$6-$D$16)/$B$6))</f>
        <v/>
      </c>
    </row>
    <row r="532" spans="1:7" x14ac:dyDescent="0.2">
      <c r="A532" s="12" t="str">
        <f t="shared" si="41"/>
        <v/>
      </c>
      <c r="B532" t="str">
        <f t="shared" si="42"/>
        <v/>
      </c>
      <c r="C532" s="17" t="str">
        <f t="shared" si="43"/>
        <v/>
      </c>
      <c r="D532" s="18" t="str">
        <f t="shared" si="44"/>
        <v/>
      </c>
      <c r="E532" t="str">
        <f t="shared" si="45"/>
        <v/>
      </c>
      <c r="F532" s="23" t="str">
        <f ca="1">IF(A532="","",IF($B$8="Sí",interpolar_alamb(E532,OFFSET(Curvas_cupon_cero!$A$1,1,0,COUNT(Curvas_cupon_cero!$A:$A)-2,1),OFFSET(Curvas_cupon_cero!$A$1,1,MATCH(Bono_M_Cupon_fijo_curva!$B$7,Curvas_cupon_cero!$1:$1,0)-1,COUNT(Curvas_cupon_cero!$A:$A)-2,1)),interpolar(E532,OFFSET(Curvas_cupon_cero!$A$1,1,0,COUNT(Curvas_cupon_cero!$A:$A)-2,1),OFFSET(Curvas_cupon_cero!$A$1,1,MATCH(Bono_M_Cupon_fijo_curva!$B$7,Curvas_cupon_cero!$1:$1,0)-1,COUNT(Curvas_cupon_cero!$A:$A)-2,1))))</f>
        <v/>
      </c>
      <c r="G532" s="19" t="str">
        <f>IF(A532="","",C532/(1+F532*$B$6/360)^(COUNT(A$16:A532)-($B$6-$D$16)/$B$6))</f>
        <v/>
      </c>
    </row>
    <row r="533" spans="1:7" x14ac:dyDescent="0.2">
      <c r="A533" s="12" t="str">
        <f t="shared" si="41"/>
        <v/>
      </c>
      <c r="B533" t="str">
        <f t="shared" si="42"/>
        <v/>
      </c>
      <c r="C533" s="17" t="str">
        <f t="shared" si="43"/>
        <v/>
      </c>
      <c r="D533" s="18" t="str">
        <f t="shared" si="44"/>
        <v/>
      </c>
      <c r="E533" t="str">
        <f t="shared" si="45"/>
        <v/>
      </c>
      <c r="F533" s="23" t="str">
        <f ca="1">IF(A533="","",IF($B$8="Sí",interpolar_alamb(E533,OFFSET(Curvas_cupon_cero!$A$1,1,0,COUNT(Curvas_cupon_cero!$A:$A)-2,1),OFFSET(Curvas_cupon_cero!$A$1,1,MATCH(Bono_M_Cupon_fijo_curva!$B$7,Curvas_cupon_cero!$1:$1,0)-1,COUNT(Curvas_cupon_cero!$A:$A)-2,1)),interpolar(E533,OFFSET(Curvas_cupon_cero!$A$1,1,0,COUNT(Curvas_cupon_cero!$A:$A)-2,1),OFFSET(Curvas_cupon_cero!$A$1,1,MATCH(Bono_M_Cupon_fijo_curva!$B$7,Curvas_cupon_cero!$1:$1,0)-1,COUNT(Curvas_cupon_cero!$A:$A)-2,1))))</f>
        <v/>
      </c>
      <c r="G533" s="19" t="str">
        <f>IF(A533="","",C533/(1+F533*$B$6/360)^(COUNT(A$16:A533)-($B$6-$D$16)/$B$6))</f>
        <v/>
      </c>
    </row>
    <row r="534" spans="1:7" x14ac:dyDescent="0.2">
      <c r="A534" s="12" t="str">
        <f t="shared" si="41"/>
        <v/>
      </c>
      <c r="B534" t="str">
        <f t="shared" si="42"/>
        <v/>
      </c>
      <c r="C534" s="17" t="str">
        <f t="shared" si="43"/>
        <v/>
      </c>
      <c r="D534" s="18" t="str">
        <f t="shared" si="44"/>
        <v/>
      </c>
      <c r="E534" t="str">
        <f t="shared" si="45"/>
        <v/>
      </c>
      <c r="F534" s="23" t="str">
        <f ca="1">IF(A534="","",IF($B$8="Sí",interpolar_alamb(E534,OFFSET(Curvas_cupon_cero!$A$1,1,0,COUNT(Curvas_cupon_cero!$A:$A)-2,1),OFFSET(Curvas_cupon_cero!$A$1,1,MATCH(Bono_M_Cupon_fijo_curva!$B$7,Curvas_cupon_cero!$1:$1,0)-1,COUNT(Curvas_cupon_cero!$A:$A)-2,1)),interpolar(E534,OFFSET(Curvas_cupon_cero!$A$1,1,0,COUNT(Curvas_cupon_cero!$A:$A)-2,1),OFFSET(Curvas_cupon_cero!$A$1,1,MATCH(Bono_M_Cupon_fijo_curva!$B$7,Curvas_cupon_cero!$1:$1,0)-1,COUNT(Curvas_cupon_cero!$A:$A)-2,1))))</f>
        <v/>
      </c>
      <c r="G534" s="19" t="str">
        <f>IF(A534="","",C534/(1+F534*$B$6/360)^(COUNT(A$16:A534)-($B$6-$D$16)/$B$6))</f>
        <v/>
      </c>
    </row>
    <row r="535" spans="1:7" x14ac:dyDescent="0.2">
      <c r="A535" s="12" t="str">
        <f t="shared" si="41"/>
        <v/>
      </c>
      <c r="B535" t="str">
        <f t="shared" si="42"/>
        <v/>
      </c>
      <c r="C535" s="17" t="str">
        <f t="shared" si="43"/>
        <v/>
      </c>
      <c r="D535" s="18" t="str">
        <f t="shared" si="44"/>
        <v/>
      </c>
      <c r="E535" t="str">
        <f t="shared" si="45"/>
        <v/>
      </c>
      <c r="F535" s="23" t="str">
        <f ca="1">IF(A535="","",IF($B$8="Sí",interpolar_alamb(E535,OFFSET(Curvas_cupon_cero!$A$1,1,0,COUNT(Curvas_cupon_cero!$A:$A)-2,1),OFFSET(Curvas_cupon_cero!$A$1,1,MATCH(Bono_M_Cupon_fijo_curva!$B$7,Curvas_cupon_cero!$1:$1,0)-1,COUNT(Curvas_cupon_cero!$A:$A)-2,1)),interpolar(E535,OFFSET(Curvas_cupon_cero!$A$1,1,0,COUNT(Curvas_cupon_cero!$A:$A)-2,1),OFFSET(Curvas_cupon_cero!$A$1,1,MATCH(Bono_M_Cupon_fijo_curva!$B$7,Curvas_cupon_cero!$1:$1,0)-1,COUNT(Curvas_cupon_cero!$A:$A)-2,1))))</f>
        <v/>
      </c>
      <c r="G535" s="19" t="str">
        <f>IF(A535="","",C535/(1+F535*$B$6/360)^(COUNT(A$16:A535)-($B$6-$D$16)/$B$6))</f>
        <v/>
      </c>
    </row>
    <row r="536" spans="1:7" x14ac:dyDescent="0.2">
      <c r="A536" s="12" t="str">
        <f t="shared" si="41"/>
        <v/>
      </c>
      <c r="B536" t="str">
        <f t="shared" si="42"/>
        <v/>
      </c>
      <c r="C536" s="17" t="str">
        <f t="shared" si="43"/>
        <v/>
      </c>
      <c r="D536" s="18" t="str">
        <f t="shared" si="44"/>
        <v/>
      </c>
      <c r="E536" t="str">
        <f t="shared" si="45"/>
        <v/>
      </c>
      <c r="F536" s="23" t="str">
        <f ca="1">IF(A536="","",IF($B$8="Sí",interpolar_alamb(E536,OFFSET(Curvas_cupon_cero!$A$1,1,0,COUNT(Curvas_cupon_cero!$A:$A)-2,1),OFFSET(Curvas_cupon_cero!$A$1,1,MATCH(Bono_M_Cupon_fijo_curva!$B$7,Curvas_cupon_cero!$1:$1,0)-1,COUNT(Curvas_cupon_cero!$A:$A)-2,1)),interpolar(E536,OFFSET(Curvas_cupon_cero!$A$1,1,0,COUNT(Curvas_cupon_cero!$A:$A)-2,1),OFFSET(Curvas_cupon_cero!$A$1,1,MATCH(Bono_M_Cupon_fijo_curva!$B$7,Curvas_cupon_cero!$1:$1,0)-1,COUNT(Curvas_cupon_cero!$A:$A)-2,1))))</f>
        <v/>
      </c>
      <c r="G536" s="19" t="str">
        <f>IF(A536="","",C536/(1+F536*$B$6/360)^(COUNT(A$16:A536)-($B$6-$D$16)/$B$6))</f>
        <v/>
      </c>
    </row>
    <row r="537" spans="1:7" x14ac:dyDescent="0.2">
      <c r="A537" s="12" t="str">
        <f t="shared" si="41"/>
        <v/>
      </c>
      <c r="B537" t="str">
        <f t="shared" si="42"/>
        <v/>
      </c>
      <c r="C537" s="17" t="str">
        <f t="shared" si="43"/>
        <v/>
      </c>
      <c r="D537" s="18" t="str">
        <f t="shared" si="44"/>
        <v/>
      </c>
      <c r="E537" t="str">
        <f t="shared" si="45"/>
        <v/>
      </c>
      <c r="F537" s="23" t="str">
        <f ca="1">IF(A537="","",IF($B$8="Sí",interpolar_alamb(E537,OFFSET(Curvas_cupon_cero!$A$1,1,0,COUNT(Curvas_cupon_cero!$A:$A)-2,1),OFFSET(Curvas_cupon_cero!$A$1,1,MATCH(Bono_M_Cupon_fijo_curva!$B$7,Curvas_cupon_cero!$1:$1,0)-1,COUNT(Curvas_cupon_cero!$A:$A)-2,1)),interpolar(E537,OFFSET(Curvas_cupon_cero!$A$1,1,0,COUNT(Curvas_cupon_cero!$A:$A)-2,1),OFFSET(Curvas_cupon_cero!$A$1,1,MATCH(Bono_M_Cupon_fijo_curva!$B$7,Curvas_cupon_cero!$1:$1,0)-1,COUNT(Curvas_cupon_cero!$A:$A)-2,1))))</f>
        <v/>
      </c>
      <c r="G537" s="19" t="str">
        <f>IF(A537="","",C537/(1+F537*$B$6/360)^(COUNT(A$16:A537)-($B$6-$D$16)/$B$6))</f>
        <v/>
      </c>
    </row>
    <row r="538" spans="1:7" x14ac:dyDescent="0.2">
      <c r="A538" s="12" t="str">
        <f t="shared" si="41"/>
        <v/>
      </c>
      <c r="B538" t="str">
        <f t="shared" si="42"/>
        <v/>
      </c>
      <c r="C538" s="17" t="str">
        <f t="shared" si="43"/>
        <v/>
      </c>
      <c r="D538" s="18" t="str">
        <f t="shared" si="44"/>
        <v/>
      </c>
      <c r="E538" t="str">
        <f t="shared" si="45"/>
        <v/>
      </c>
      <c r="F538" s="23" t="str">
        <f ca="1">IF(A538="","",IF($B$8="Sí",interpolar_alamb(E538,OFFSET(Curvas_cupon_cero!$A$1,1,0,COUNT(Curvas_cupon_cero!$A:$A)-2,1),OFFSET(Curvas_cupon_cero!$A$1,1,MATCH(Bono_M_Cupon_fijo_curva!$B$7,Curvas_cupon_cero!$1:$1,0)-1,COUNT(Curvas_cupon_cero!$A:$A)-2,1)),interpolar(E538,OFFSET(Curvas_cupon_cero!$A$1,1,0,COUNT(Curvas_cupon_cero!$A:$A)-2,1),OFFSET(Curvas_cupon_cero!$A$1,1,MATCH(Bono_M_Cupon_fijo_curva!$B$7,Curvas_cupon_cero!$1:$1,0)-1,COUNT(Curvas_cupon_cero!$A:$A)-2,1))))</f>
        <v/>
      </c>
      <c r="G538" s="19" t="str">
        <f>IF(A538="","",C538/(1+F538*$B$6/360)^(COUNT(A$16:A538)-($B$6-$D$16)/$B$6))</f>
        <v/>
      </c>
    </row>
    <row r="539" spans="1:7" x14ac:dyDescent="0.2">
      <c r="A539" s="12" t="str">
        <f t="shared" ref="A539:A602" si="46">IF(A538="","",IF((A538+$B$6)&gt;$B$4,"",(A538+$B$6)))</f>
        <v/>
      </c>
      <c r="B539" t="str">
        <f t="shared" si="42"/>
        <v/>
      </c>
      <c r="C539" s="17" t="str">
        <f t="shared" si="43"/>
        <v/>
      </c>
      <c r="D539" s="18" t="str">
        <f t="shared" si="44"/>
        <v/>
      </c>
      <c r="E539" t="str">
        <f t="shared" si="45"/>
        <v/>
      </c>
      <c r="F539" s="23" t="str">
        <f ca="1">IF(A539="","",IF($B$8="Sí",interpolar_alamb(E539,OFFSET(Curvas_cupon_cero!$A$1,1,0,COUNT(Curvas_cupon_cero!$A:$A)-2,1),OFFSET(Curvas_cupon_cero!$A$1,1,MATCH(Bono_M_Cupon_fijo_curva!$B$7,Curvas_cupon_cero!$1:$1,0)-1,COUNT(Curvas_cupon_cero!$A:$A)-2,1)),interpolar(E539,OFFSET(Curvas_cupon_cero!$A$1,1,0,COUNT(Curvas_cupon_cero!$A:$A)-2,1),OFFSET(Curvas_cupon_cero!$A$1,1,MATCH(Bono_M_Cupon_fijo_curva!$B$7,Curvas_cupon_cero!$1:$1,0)-1,COUNT(Curvas_cupon_cero!$A:$A)-2,1))))</f>
        <v/>
      </c>
      <c r="G539" s="19" t="str">
        <f>IF(A539="","",C539/(1+F539*$B$6/360)^(COUNT(A$16:A539)-($B$6-$D$16)/$B$6))</f>
        <v/>
      </c>
    </row>
    <row r="540" spans="1:7" x14ac:dyDescent="0.2">
      <c r="A540" s="12" t="str">
        <f t="shared" si="46"/>
        <v/>
      </c>
      <c r="B540" t="str">
        <f t="shared" si="42"/>
        <v/>
      </c>
      <c r="C540" s="17" t="str">
        <f t="shared" si="43"/>
        <v/>
      </c>
      <c r="D540" s="18" t="str">
        <f t="shared" si="44"/>
        <v/>
      </c>
      <c r="E540" t="str">
        <f t="shared" si="45"/>
        <v/>
      </c>
      <c r="F540" s="23" t="str">
        <f ca="1">IF(A540="","",IF($B$8="Sí",interpolar_alamb(E540,OFFSET(Curvas_cupon_cero!$A$1,1,0,COUNT(Curvas_cupon_cero!$A:$A)-2,1),OFFSET(Curvas_cupon_cero!$A$1,1,MATCH(Bono_M_Cupon_fijo_curva!$B$7,Curvas_cupon_cero!$1:$1,0)-1,COUNT(Curvas_cupon_cero!$A:$A)-2,1)),interpolar(E540,OFFSET(Curvas_cupon_cero!$A$1,1,0,COUNT(Curvas_cupon_cero!$A:$A)-2,1),OFFSET(Curvas_cupon_cero!$A$1,1,MATCH(Bono_M_Cupon_fijo_curva!$B$7,Curvas_cupon_cero!$1:$1,0)-1,COUNT(Curvas_cupon_cero!$A:$A)-2,1))))</f>
        <v/>
      </c>
      <c r="G540" s="19" t="str">
        <f>IF(A540="","",C540/(1+F540*$B$6/360)^(COUNT(A$16:A540)-($B$6-$D$16)/$B$6))</f>
        <v/>
      </c>
    </row>
    <row r="541" spans="1:7" x14ac:dyDescent="0.2">
      <c r="A541" s="12" t="str">
        <f t="shared" si="46"/>
        <v/>
      </c>
      <c r="B541" t="str">
        <f t="shared" si="42"/>
        <v/>
      </c>
      <c r="C541" s="17" t="str">
        <f t="shared" si="43"/>
        <v/>
      </c>
      <c r="D541" s="18" t="str">
        <f t="shared" si="44"/>
        <v/>
      </c>
      <c r="E541" t="str">
        <f t="shared" si="45"/>
        <v/>
      </c>
      <c r="F541" s="23" t="str">
        <f ca="1">IF(A541="","",IF($B$8="Sí",interpolar_alamb(E541,OFFSET(Curvas_cupon_cero!$A$1,1,0,COUNT(Curvas_cupon_cero!$A:$A)-2,1),OFFSET(Curvas_cupon_cero!$A$1,1,MATCH(Bono_M_Cupon_fijo_curva!$B$7,Curvas_cupon_cero!$1:$1,0)-1,COUNT(Curvas_cupon_cero!$A:$A)-2,1)),interpolar(E541,OFFSET(Curvas_cupon_cero!$A$1,1,0,COUNT(Curvas_cupon_cero!$A:$A)-2,1),OFFSET(Curvas_cupon_cero!$A$1,1,MATCH(Bono_M_Cupon_fijo_curva!$B$7,Curvas_cupon_cero!$1:$1,0)-1,COUNT(Curvas_cupon_cero!$A:$A)-2,1))))</f>
        <v/>
      </c>
      <c r="G541" s="19" t="str">
        <f>IF(A541="","",C541/(1+F541*$B$6/360)^(COUNT(A$16:A541)-($B$6-$D$16)/$B$6))</f>
        <v/>
      </c>
    </row>
    <row r="542" spans="1:7" x14ac:dyDescent="0.2">
      <c r="A542" s="12" t="str">
        <f t="shared" si="46"/>
        <v/>
      </c>
      <c r="B542" t="str">
        <f t="shared" si="42"/>
        <v/>
      </c>
      <c r="C542" s="17" t="str">
        <f t="shared" si="43"/>
        <v/>
      </c>
      <c r="D542" s="18" t="str">
        <f t="shared" si="44"/>
        <v/>
      </c>
      <c r="E542" t="str">
        <f t="shared" si="45"/>
        <v/>
      </c>
      <c r="F542" s="23" t="str">
        <f ca="1">IF(A542="","",IF($B$8="Sí",interpolar_alamb(E542,OFFSET(Curvas_cupon_cero!$A$1,1,0,COUNT(Curvas_cupon_cero!$A:$A)-2,1),OFFSET(Curvas_cupon_cero!$A$1,1,MATCH(Bono_M_Cupon_fijo_curva!$B$7,Curvas_cupon_cero!$1:$1,0)-1,COUNT(Curvas_cupon_cero!$A:$A)-2,1)),interpolar(E542,OFFSET(Curvas_cupon_cero!$A$1,1,0,COUNT(Curvas_cupon_cero!$A:$A)-2,1),OFFSET(Curvas_cupon_cero!$A$1,1,MATCH(Bono_M_Cupon_fijo_curva!$B$7,Curvas_cupon_cero!$1:$1,0)-1,COUNT(Curvas_cupon_cero!$A:$A)-2,1))))</f>
        <v/>
      </c>
      <c r="G542" s="19" t="str">
        <f>IF(A542="","",C542/(1+F542*$B$6/360)^(COUNT(A$16:A542)-($B$6-$D$16)/$B$6))</f>
        <v/>
      </c>
    </row>
    <row r="543" spans="1:7" x14ac:dyDescent="0.2">
      <c r="A543" s="12" t="str">
        <f t="shared" si="46"/>
        <v/>
      </c>
      <c r="B543" t="str">
        <f t="shared" si="42"/>
        <v/>
      </c>
      <c r="C543" s="17" t="str">
        <f t="shared" si="43"/>
        <v/>
      </c>
      <c r="D543" s="18" t="str">
        <f t="shared" si="44"/>
        <v/>
      </c>
      <c r="E543" t="str">
        <f t="shared" si="45"/>
        <v/>
      </c>
      <c r="F543" s="23" t="str">
        <f ca="1">IF(A543="","",IF($B$8="Sí",interpolar_alamb(E543,OFFSET(Curvas_cupon_cero!$A$1,1,0,COUNT(Curvas_cupon_cero!$A:$A)-2,1),OFFSET(Curvas_cupon_cero!$A$1,1,MATCH(Bono_M_Cupon_fijo_curva!$B$7,Curvas_cupon_cero!$1:$1,0)-1,COUNT(Curvas_cupon_cero!$A:$A)-2,1)),interpolar(E543,OFFSET(Curvas_cupon_cero!$A$1,1,0,COUNT(Curvas_cupon_cero!$A:$A)-2,1),OFFSET(Curvas_cupon_cero!$A$1,1,MATCH(Bono_M_Cupon_fijo_curva!$B$7,Curvas_cupon_cero!$1:$1,0)-1,COUNT(Curvas_cupon_cero!$A:$A)-2,1))))</f>
        <v/>
      </c>
      <c r="G543" s="19" t="str">
        <f>IF(A543="","",C543/(1+F543*$B$6/360)^(COUNT(A$16:A543)-($B$6-$D$16)/$B$6))</f>
        <v/>
      </c>
    </row>
    <row r="544" spans="1:7" x14ac:dyDescent="0.2">
      <c r="A544" s="12" t="str">
        <f t="shared" si="46"/>
        <v/>
      </c>
      <c r="B544" t="str">
        <f t="shared" si="42"/>
        <v/>
      </c>
      <c r="C544" s="17" t="str">
        <f t="shared" si="43"/>
        <v/>
      </c>
      <c r="D544" s="18" t="str">
        <f t="shared" si="44"/>
        <v/>
      </c>
      <c r="E544" t="str">
        <f t="shared" si="45"/>
        <v/>
      </c>
      <c r="F544" s="23" t="str">
        <f ca="1">IF(A544="","",IF($B$8="Sí",interpolar_alamb(E544,OFFSET(Curvas_cupon_cero!$A$1,1,0,COUNT(Curvas_cupon_cero!$A:$A)-2,1),OFFSET(Curvas_cupon_cero!$A$1,1,MATCH(Bono_M_Cupon_fijo_curva!$B$7,Curvas_cupon_cero!$1:$1,0)-1,COUNT(Curvas_cupon_cero!$A:$A)-2,1)),interpolar(E544,OFFSET(Curvas_cupon_cero!$A$1,1,0,COUNT(Curvas_cupon_cero!$A:$A)-2,1),OFFSET(Curvas_cupon_cero!$A$1,1,MATCH(Bono_M_Cupon_fijo_curva!$B$7,Curvas_cupon_cero!$1:$1,0)-1,COUNT(Curvas_cupon_cero!$A:$A)-2,1))))</f>
        <v/>
      </c>
      <c r="G544" s="19" t="str">
        <f>IF(A544="","",C544/(1+F544*$B$6/360)^(COUNT(A$16:A544)-($B$6-$D$16)/$B$6))</f>
        <v/>
      </c>
    </row>
    <row r="545" spans="1:7" x14ac:dyDescent="0.2">
      <c r="A545" s="12" t="str">
        <f t="shared" si="46"/>
        <v/>
      </c>
      <c r="B545" t="str">
        <f t="shared" si="42"/>
        <v/>
      </c>
      <c r="C545" s="17" t="str">
        <f t="shared" si="43"/>
        <v/>
      </c>
      <c r="D545" s="18" t="str">
        <f t="shared" si="44"/>
        <v/>
      </c>
      <c r="E545" t="str">
        <f t="shared" si="45"/>
        <v/>
      </c>
      <c r="F545" s="23" t="str">
        <f ca="1">IF(A545="","",IF($B$8="Sí",interpolar_alamb(E545,OFFSET(Curvas_cupon_cero!$A$1,1,0,COUNT(Curvas_cupon_cero!$A:$A)-2,1),OFFSET(Curvas_cupon_cero!$A$1,1,MATCH(Bono_M_Cupon_fijo_curva!$B$7,Curvas_cupon_cero!$1:$1,0)-1,COUNT(Curvas_cupon_cero!$A:$A)-2,1)),interpolar(E545,OFFSET(Curvas_cupon_cero!$A$1,1,0,COUNT(Curvas_cupon_cero!$A:$A)-2,1),OFFSET(Curvas_cupon_cero!$A$1,1,MATCH(Bono_M_Cupon_fijo_curva!$B$7,Curvas_cupon_cero!$1:$1,0)-1,COUNT(Curvas_cupon_cero!$A:$A)-2,1))))</f>
        <v/>
      </c>
      <c r="G545" s="19" t="str">
        <f>IF(A545="","",C545/(1+F545*$B$6/360)^(COUNT(A$16:A545)-($B$6-$D$16)/$B$6))</f>
        <v/>
      </c>
    </row>
    <row r="546" spans="1:7" x14ac:dyDescent="0.2">
      <c r="A546" s="12" t="str">
        <f t="shared" si="46"/>
        <v/>
      </c>
      <c r="B546" t="str">
        <f t="shared" si="42"/>
        <v/>
      </c>
      <c r="C546" s="17" t="str">
        <f t="shared" si="43"/>
        <v/>
      </c>
      <c r="D546" s="18" t="str">
        <f t="shared" si="44"/>
        <v/>
      </c>
      <c r="E546" t="str">
        <f t="shared" si="45"/>
        <v/>
      </c>
      <c r="F546" s="23" t="str">
        <f ca="1">IF(A546="","",IF($B$8="Sí",interpolar_alamb(E546,OFFSET(Curvas_cupon_cero!$A$1,1,0,COUNT(Curvas_cupon_cero!$A:$A)-2,1),OFFSET(Curvas_cupon_cero!$A$1,1,MATCH(Bono_M_Cupon_fijo_curva!$B$7,Curvas_cupon_cero!$1:$1,0)-1,COUNT(Curvas_cupon_cero!$A:$A)-2,1)),interpolar(E546,OFFSET(Curvas_cupon_cero!$A$1,1,0,COUNT(Curvas_cupon_cero!$A:$A)-2,1),OFFSET(Curvas_cupon_cero!$A$1,1,MATCH(Bono_M_Cupon_fijo_curva!$B$7,Curvas_cupon_cero!$1:$1,0)-1,COUNT(Curvas_cupon_cero!$A:$A)-2,1))))</f>
        <v/>
      </c>
      <c r="G546" s="19" t="str">
        <f>IF(A546="","",C546/(1+F546*$B$6/360)^(COUNT(A$16:A546)-($B$6-$D$16)/$B$6))</f>
        <v/>
      </c>
    </row>
    <row r="547" spans="1:7" x14ac:dyDescent="0.2">
      <c r="A547" s="12" t="str">
        <f t="shared" si="46"/>
        <v/>
      </c>
      <c r="B547" t="str">
        <f t="shared" si="42"/>
        <v/>
      </c>
      <c r="C547" s="17" t="str">
        <f t="shared" si="43"/>
        <v/>
      </c>
      <c r="D547" s="18" t="str">
        <f t="shared" si="44"/>
        <v/>
      </c>
      <c r="E547" t="str">
        <f t="shared" si="45"/>
        <v/>
      </c>
      <c r="F547" s="23" t="str">
        <f ca="1">IF(A547="","",IF($B$8="Sí",interpolar_alamb(E547,OFFSET(Curvas_cupon_cero!$A$1,1,0,COUNT(Curvas_cupon_cero!$A:$A)-2,1),OFFSET(Curvas_cupon_cero!$A$1,1,MATCH(Bono_M_Cupon_fijo_curva!$B$7,Curvas_cupon_cero!$1:$1,0)-1,COUNT(Curvas_cupon_cero!$A:$A)-2,1)),interpolar(E547,OFFSET(Curvas_cupon_cero!$A$1,1,0,COUNT(Curvas_cupon_cero!$A:$A)-2,1),OFFSET(Curvas_cupon_cero!$A$1,1,MATCH(Bono_M_Cupon_fijo_curva!$B$7,Curvas_cupon_cero!$1:$1,0)-1,COUNT(Curvas_cupon_cero!$A:$A)-2,1))))</f>
        <v/>
      </c>
      <c r="G547" s="19" t="str">
        <f>IF(A547="","",C547/(1+F547*$B$6/360)^(COUNT(A$16:A547)-($B$6-$D$16)/$B$6))</f>
        <v/>
      </c>
    </row>
    <row r="548" spans="1:7" x14ac:dyDescent="0.2">
      <c r="A548" s="12" t="str">
        <f t="shared" si="46"/>
        <v/>
      </c>
      <c r="B548" t="str">
        <f t="shared" si="42"/>
        <v/>
      </c>
      <c r="C548" s="17" t="str">
        <f t="shared" si="43"/>
        <v/>
      </c>
      <c r="D548" s="18" t="str">
        <f t="shared" si="44"/>
        <v/>
      </c>
      <c r="E548" t="str">
        <f t="shared" si="45"/>
        <v/>
      </c>
      <c r="F548" s="23" t="str">
        <f ca="1">IF(A548="","",IF($B$8="Sí",interpolar_alamb(E548,OFFSET(Curvas_cupon_cero!$A$1,1,0,COUNT(Curvas_cupon_cero!$A:$A)-2,1),OFFSET(Curvas_cupon_cero!$A$1,1,MATCH(Bono_M_Cupon_fijo_curva!$B$7,Curvas_cupon_cero!$1:$1,0)-1,COUNT(Curvas_cupon_cero!$A:$A)-2,1)),interpolar(E548,OFFSET(Curvas_cupon_cero!$A$1,1,0,COUNT(Curvas_cupon_cero!$A:$A)-2,1),OFFSET(Curvas_cupon_cero!$A$1,1,MATCH(Bono_M_Cupon_fijo_curva!$B$7,Curvas_cupon_cero!$1:$1,0)-1,COUNT(Curvas_cupon_cero!$A:$A)-2,1))))</f>
        <v/>
      </c>
      <c r="G548" s="19" t="str">
        <f>IF(A548="","",C548/(1+F548*$B$6/360)^(COUNT(A$16:A548)-($B$6-$D$16)/$B$6))</f>
        <v/>
      </c>
    </row>
    <row r="549" spans="1:7" x14ac:dyDescent="0.2">
      <c r="A549" s="12" t="str">
        <f t="shared" si="46"/>
        <v/>
      </c>
      <c r="B549" t="str">
        <f t="shared" si="42"/>
        <v/>
      </c>
      <c r="C549" s="17" t="str">
        <f t="shared" si="43"/>
        <v/>
      </c>
      <c r="D549" s="18" t="str">
        <f t="shared" si="44"/>
        <v/>
      </c>
      <c r="E549" t="str">
        <f t="shared" si="45"/>
        <v/>
      </c>
      <c r="F549" s="23" t="str">
        <f ca="1">IF(A549="","",IF($B$8="Sí",interpolar_alamb(E549,OFFSET(Curvas_cupon_cero!$A$1,1,0,COUNT(Curvas_cupon_cero!$A:$A)-2,1),OFFSET(Curvas_cupon_cero!$A$1,1,MATCH(Bono_M_Cupon_fijo_curva!$B$7,Curvas_cupon_cero!$1:$1,0)-1,COUNT(Curvas_cupon_cero!$A:$A)-2,1)),interpolar(E549,OFFSET(Curvas_cupon_cero!$A$1,1,0,COUNT(Curvas_cupon_cero!$A:$A)-2,1),OFFSET(Curvas_cupon_cero!$A$1,1,MATCH(Bono_M_Cupon_fijo_curva!$B$7,Curvas_cupon_cero!$1:$1,0)-1,COUNT(Curvas_cupon_cero!$A:$A)-2,1))))</f>
        <v/>
      </c>
      <c r="G549" s="19" t="str">
        <f>IF(A549="","",C549/(1+F549*$B$6/360)^(COUNT(A$16:A549)-($B$6-$D$16)/$B$6))</f>
        <v/>
      </c>
    </row>
    <row r="550" spans="1:7" x14ac:dyDescent="0.2">
      <c r="A550" s="12" t="str">
        <f t="shared" si="46"/>
        <v/>
      </c>
      <c r="B550" t="str">
        <f t="shared" si="42"/>
        <v/>
      </c>
      <c r="C550" s="17" t="str">
        <f t="shared" si="43"/>
        <v/>
      </c>
      <c r="D550" s="18" t="str">
        <f t="shared" si="44"/>
        <v/>
      </c>
      <c r="E550" t="str">
        <f t="shared" si="45"/>
        <v/>
      </c>
      <c r="F550" s="23" t="str">
        <f ca="1">IF(A550="","",IF($B$8="Sí",interpolar_alamb(E550,OFFSET(Curvas_cupon_cero!$A$1,1,0,COUNT(Curvas_cupon_cero!$A:$A)-2,1),OFFSET(Curvas_cupon_cero!$A$1,1,MATCH(Bono_M_Cupon_fijo_curva!$B$7,Curvas_cupon_cero!$1:$1,0)-1,COUNT(Curvas_cupon_cero!$A:$A)-2,1)),interpolar(E550,OFFSET(Curvas_cupon_cero!$A$1,1,0,COUNT(Curvas_cupon_cero!$A:$A)-2,1),OFFSET(Curvas_cupon_cero!$A$1,1,MATCH(Bono_M_Cupon_fijo_curva!$B$7,Curvas_cupon_cero!$1:$1,0)-1,COUNT(Curvas_cupon_cero!$A:$A)-2,1))))</f>
        <v/>
      </c>
      <c r="G550" s="19" t="str">
        <f>IF(A550="","",C550/(1+F550*$B$6/360)^(COUNT(A$16:A550)-($B$6-$D$16)/$B$6))</f>
        <v/>
      </c>
    </row>
    <row r="551" spans="1:7" x14ac:dyDescent="0.2">
      <c r="A551" s="12" t="str">
        <f t="shared" si="46"/>
        <v/>
      </c>
      <c r="B551" t="str">
        <f t="shared" si="42"/>
        <v/>
      </c>
      <c r="C551" s="17" t="str">
        <f t="shared" si="43"/>
        <v/>
      </c>
      <c r="D551" s="18" t="str">
        <f t="shared" si="44"/>
        <v/>
      </c>
      <c r="E551" t="str">
        <f t="shared" si="45"/>
        <v/>
      </c>
      <c r="F551" s="23" t="str">
        <f ca="1">IF(A551="","",IF($B$8="Sí",interpolar_alamb(E551,OFFSET(Curvas_cupon_cero!$A$1,1,0,COUNT(Curvas_cupon_cero!$A:$A)-2,1),OFFSET(Curvas_cupon_cero!$A$1,1,MATCH(Bono_M_Cupon_fijo_curva!$B$7,Curvas_cupon_cero!$1:$1,0)-1,COUNT(Curvas_cupon_cero!$A:$A)-2,1)),interpolar(E551,OFFSET(Curvas_cupon_cero!$A$1,1,0,COUNT(Curvas_cupon_cero!$A:$A)-2,1),OFFSET(Curvas_cupon_cero!$A$1,1,MATCH(Bono_M_Cupon_fijo_curva!$B$7,Curvas_cupon_cero!$1:$1,0)-1,COUNT(Curvas_cupon_cero!$A:$A)-2,1))))</f>
        <v/>
      </c>
      <c r="G551" s="19" t="str">
        <f>IF(A551="","",C551/(1+F551*$B$6/360)^(COUNT(A$16:A551)-($B$6-$D$16)/$B$6))</f>
        <v/>
      </c>
    </row>
    <row r="552" spans="1:7" x14ac:dyDescent="0.2">
      <c r="A552" s="12" t="str">
        <f t="shared" si="46"/>
        <v/>
      </c>
      <c r="B552" t="str">
        <f t="shared" si="42"/>
        <v/>
      </c>
      <c r="C552" s="17" t="str">
        <f t="shared" si="43"/>
        <v/>
      </c>
      <c r="D552" s="18" t="str">
        <f t="shared" si="44"/>
        <v/>
      </c>
      <c r="E552" t="str">
        <f t="shared" si="45"/>
        <v/>
      </c>
      <c r="F552" s="23" t="str">
        <f ca="1">IF(A552="","",IF($B$8="Sí",interpolar_alamb(E552,OFFSET(Curvas_cupon_cero!$A$1,1,0,COUNT(Curvas_cupon_cero!$A:$A)-2,1),OFFSET(Curvas_cupon_cero!$A$1,1,MATCH(Bono_M_Cupon_fijo_curva!$B$7,Curvas_cupon_cero!$1:$1,0)-1,COUNT(Curvas_cupon_cero!$A:$A)-2,1)),interpolar(E552,OFFSET(Curvas_cupon_cero!$A$1,1,0,COUNT(Curvas_cupon_cero!$A:$A)-2,1),OFFSET(Curvas_cupon_cero!$A$1,1,MATCH(Bono_M_Cupon_fijo_curva!$B$7,Curvas_cupon_cero!$1:$1,0)-1,COUNT(Curvas_cupon_cero!$A:$A)-2,1))))</f>
        <v/>
      </c>
      <c r="G552" s="19" t="str">
        <f>IF(A552="","",C552/(1+F552*$B$6/360)^(COUNT(A$16:A552)-($B$6-$D$16)/$B$6))</f>
        <v/>
      </c>
    </row>
    <row r="553" spans="1:7" x14ac:dyDescent="0.2">
      <c r="A553" s="12" t="str">
        <f t="shared" si="46"/>
        <v/>
      </c>
      <c r="B553" t="str">
        <f t="shared" si="42"/>
        <v/>
      </c>
      <c r="C553" s="17" t="str">
        <f t="shared" si="43"/>
        <v/>
      </c>
      <c r="D553" s="18" t="str">
        <f t="shared" si="44"/>
        <v/>
      </c>
      <c r="E553" t="str">
        <f t="shared" si="45"/>
        <v/>
      </c>
      <c r="F553" s="23" t="str">
        <f ca="1">IF(A553="","",IF($B$8="Sí",interpolar_alamb(E553,OFFSET(Curvas_cupon_cero!$A$1,1,0,COUNT(Curvas_cupon_cero!$A:$A)-2,1),OFFSET(Curvas_cupon_cero!$A$1,1,MATCH(Bono_M_Cupon_fijo_curva!$B$7,Curvas_cupon_cero!$1:$1,0)-1,COUNT(Curvas_cupon_cero!$A:$A)-2,1)),interpolar(E553,OFFSET(Curvas_cupon_cero!$A$1,1,0,COUNT(Curvas_cupon_cero!$A:$A)-2,1),OFFSET(Curvas_cupon_cero!$A$1,1,MATCH(Bono_M_Cupon_fijo_curva!$B$7,Curvas_cupon_cero!$1:$1,0)-1,COUNT(Curvas_cupon_cero!$A:$A)-2,1))))</f>
        <v/>
      </c>
      <c r="G553" s="19" t="str">
        <f>IF(A553="","",C553/(1+F553*$B$6/360)^(COUNT(A$16:A553)-($B$6-$D$16)/$B$6))</f>
        <v/>
      </c>
    </row>
    <row r="554" spans="1:7" x14ac:dyDescent="0.2">
      <c r="A554" s="12" t="str">
        <f t="shared" si="46"/>
        <v/>
      </c>
      <c r="B554" t="str">
        <f t="shared" si="42"/>
        <v/>
      </c>
      <c r="C554" s="17" t="str">
        <f t="shared" si="43"/>
        <v/>
      </c>
      <c r="D554" s="18" t="str">
        <f t="shared" si="44"/>
        <v/>
      </c>
      <c r="E554" t="str">
        <f t="shared" si="45"/>
        <v/>
      </c>
      <c r="F554" s="23" t="str">
        <f ca="1">IF(A554="","",IF($B$8="Sí",interpolar_alamb(E554,OFFSET(Curvas_cupon_cero!$A$1,1,0,COUNT(Curvas_cupon_cero!$A:$A)-2,1),OFFSET(Curvas_cupon_cero!$A$1,1,MATCH(Bono_M_Cupon_fijo_curva!$B$7,Curvas_cupon_cero!$1:$1,0)-1,COUNT(Curvas_cupon_cero!$A:$A)-2,1)),interpolar(E554,OFFSET(Curvas_cupon_cero!$A$1,1,0,COUNT(Curvas_cupon_cero!$A:$A)-2,1),OFFSET(Curvas_cupon_cero!$A$1,1,MATCH(Bono_M_Cupon_fijo_curva!$B$7,Curvas_cupon_cero!$1:$1,0)-1,COUNT(Curvas_cupon_cero!$A:$A)-2,1))))</f>
        <v/>
      </c>
      <c r="G554" s="19" t="str">
        <f>IF(A554="","",C554/(1+F554*$B$6/360)^(COUNT(A$16:A554)-($B$6-$D$16)/$B$6))</f>
        <v/>
      </c>
    </row>
    <row r="555" spans="1:7" x14ac:dyDescent="0.2">
      <c r="A555" s="12" t="str">
        <f t="shared" si="46"/>
        <v/>
      </c>
      <c r="B555" t="str">
        <f t="shared" si="42"/>
        <v/>
      </c>
      <c r="C555" s="17" t="str">
        <f t="shared" si="43"/>
        <v/>
      </c>
      <c r="D555" s="18" t="str">
        <f t="shared" si="44"/>
        <v/>
      </c>
      <c r="E555" t="str">
        <f t="shared" si="45"/>
        <v/>
      </c>
      <c r="F555" s="23" t="str">
        <f ca="1">IF(A555="","",IF($B$8="Sí",interpolar_alamb(E555,OFFSET(Curvas_cupon_cero!$A$1,1,0,COUNT(Curvas_cupon_cero!$A:$A)-2,1),OFFSET(Curvas_cupon_cero!$A$1,1,MATCH(Bono_M_Cupon_fijo_curva!$B$7,Curvas_cupon_cero!$1:$1,0)-1,COUNT(Curvas_cupon_cero!$A:$A)-2,1)),interpolar(E555,OFFSET(Curvas_cupon_cero!$A$1,1,0,COUNT(Curvas_cupon_cero!$A:$A)-2,1),OFFSET(Curvas_cupon_cero!$A$1,1,MATCH(Bono_M_Cupon_fijo_curva!$B$7,Curvas_cupon_cero!$1:$1,0)-1,COUNT(Curvas_cupon_cero!$A:$A)-2,1))))</f>
        <v/>
      </c>
      <c r="G555" s="19" t="str">
        <f>IF(A555="","",C555/(1+F555*$B$6/360)^(COUNT(A$16:A555)-($B$6-$D$16)/$B$6))</f>
        <v/>
      </c>
    </row>
    <row r="556" spans="1:7" x14ac:dyDescent="0.2">
      <c r="A556" s="12" t="str">
        <f t="shared" si="46"/>
        <v/>
      </c>
      <c r="B556" t="str">
        <f t="shared" si="42"/>
        <v/>
      </c>
      <c r="C556" s="17" t="str">
        <f t="shared" si="43"/>
        <v/>
      </c>
      <c r="D556" s="18" t="str">
        <f t="shared" si="44"/>
        <v/>
      </c>
      <c r="E556" t="str">
        <f t="shared" si="45"/>
        <v/>
      </c>
      <c r="F556" s="23" t="str">
        <f ca="1">IF(A556="","",IF($B$8="Sí",interpolar_alamb(E556,OFFSET(Curvas_cupon_cero!$A$1,1,0,COUNT(Curvas_cupon_cero!$A:$A)-2,1),OFFSET(Curvas_cupon_cero!$A$1,1,MATCH(Bono_M_Cupon_fijo_curva!$B$7,Curvas_cupon_cero!$1:$1,0)-1,COUNT(Curvas_cupon_cero!$A:$A)-2,1)),interpolar(E556,OFFSET(Curvas_cupon_cero!$A$1,1,0,COUNT(Curvas_cupon_cero!$A:$A)-2,1),OFFSET(Curvas_cupon_cero!$A$1,1,MATCH(Bono_M_Cupon_fijo_curva!$B$7,Curvas_cupon_cero!$1:$1,0)-1,COUNT(Curvas_cupon_cero!$A:$A)-2,1))))</f>
        <v/>
      </c>
      <c r="G556" s="19" t="str">
        <f>IF(A556="","",C556/(1+F556*$B$6/360)^(COUNT(A$16:A556)-($B$6-$D$16)/$B$6))</f>
        <v/>
      </c>
    </row>
    <row r="557" spans="1:7" x14ac:dyDescent="0.2">
      <c r="A557" s="12" t="str">
        <f t="shared" si="46"/>
        <v/>
      </c>
      <c r="B557" t="str">
        <f t="shared" si="42"/>
        <v/>
      </c>
      <c r="C557" s="17" t="str">
        <f t="shared" si="43"/>
        <v/>
      </c>
      <c r="D557" s="18" t="str">
        <f t="shared" si="44"/>
        <v/>
      </c>
      <c r="E557" t="str">
        <f t="shared" si="45"/>
        <v/>
      </c>
      <c r="F557" s="23" t="str">
        <f ca="1">IF(A557="","",IF($B$8="Sí",interpolar_alamb(E557,OFFSET(Curvas_cupon_cero!$A$1,1,0,COUNT(Curvas_cupon_cero!$A:$A)-2,1),OFFSET(Curvas_cupon_cero!$A$1,1,MATCH(Bono_M_Cupon_fijo_curva!$B$7,Curvas_cupon_cero!$1:$1,0)-1,COUNT(Curvas_cupon_cero!$A:$A)-2,1)),interpolar(E557,OFFSET(Curvas_cupon_cero!$A$1,1,0,COUNT(Curvas_cupon_cero!$A:$A)-2,1),OFFSET(Curvas_cupon_cero!$A$1,1,MATCH(Bono_M_Cupon_fijo_curva!$B$7,Curvas_cupon_cero!$1:$1,0)-1,COUNT(Curvas_cupon_cero!$A:$A)-2,1))))</f>
        <v/>
      </c>
      <c r="G557" s="19" t="str">
        <f>IF(A557="","",C557/(1+F557*$B$6/360)^(COUNT(A$16:A557)-($B$6-$D$16)/$B$6))</f>
        <v/>
      </c>
    </row>
    <row r="558" spans="1:7" x14ac:dyDescent="0.2">
      <c r="A558" s="12" t="str">
        <f t="shared" si="46"/>
        <v/>
      </c>
      <c r="B558" t="str">
        <f t="shared" si="42"/>
        <v/>
      </c>
      <c r="C558" s="17" t="str">
        <f t="shared" si="43"/>
        <v/>
      </c>
      <c r="D558" s="18" t="str">
        <f t="shared" si="44"/>
        <v/>
      </c>
      <c r="E558" t="str">
        <f t="shared" si="45"/>
        <v/>
      </c>
      <c r="F558" s="23" t="str">
        <f ca="1">IF(A558="","",IF($B$8="Sí",interpolar_alamb(E558,OFFSET(Curvas_cupon_cero!$A$1,1,0,COUNT(Curvas_cupon_cero!$A:$A)-2,1),OFFSET(Curvas_cupon_cero!$A$1,1,MATCH(Bono_M_Cupon_fijo_curva!$B$7,Curvas_cupon_cero!$1:$1,0)-1,COUNT(Curvas_cupon_cero!$A:$A)-2,1)),interpolar(E558,OFFSET(Curvas_cupon_cero!$A$1,1,0,COUNT(Curvas_cupon_cero!$A:$A)-2,1),OFFSET(Curvas_cupon_cero!$A$1,1,MATCH(Bono_M_Cupon_fijo_curva!$B$7,Curvas_cupon_cero!$1:$1,0)-1,COUNT(Curvas_cupon_cero!$A:$A)-2,1))))</f>
        <v/>
      </c>
      <c r="G558" s="19" t="str">
        <f>IF(A558="","",C558/(1+F558*$B$6/360)^(COUNT(A$16:A558)-($B$6-$D$16)/$B$6))</f>
        <v/>
      </c>
    </row>
    <row r="559" spans="1:7" x14ac:dyDescent="0.2">
      <c r="A559" s="12" t="str">
        <f t="shared" si="46"/>
        <v/>
      </c>
      <c r="B559" t="str">
        <f t="shared" si="42"/>
        <v/>
      </c>
      <c r="C559" s="17" t="str">
        <f t="shared" si="43"/>
        <v/>
      </c>
      <c r="D559" s="18" t="str">
        <f t="shared" si="44"/>
        <v/>
      </c>
      <c r="E559" t="str">
        <f t="shared" si="45"/>
        <v/>
      </c>
      <c r="F559" s="23" t="str">
        <f ca="1">IF(A559="","",IF($B$8="Sí",interpolar_alamb(E559,OFFSET(Curvas_cupon_cero!$A$1,1,0,COUNT(Curvas_cupon_cero!$A:$A)-2,1),OFFSET(Curvas_cupon_cero!$A$1,1,MATCH(Bono_M_Cupon_fijo_curva!$B$7,Curvas_cupon_cero!$1:$1,0)-1,COUNT(Curvas_cupon_cero!$A:$A)-2,1)),interpolar(E559,OFFSET(Curvas_cupon_cero!$A$1,1,0,COUNT(Curvas_cupon_cero!$A:$A)-2,1),OFFSET(Curvas_cupon_cero!$A$1,1,MATCH(Bono_M_Cupon_fijo_curva!$B$7,Curvas_cupon_cero!$1:$1,0)-1,COUNT(Curvas_cupon_cero!$A:$A)-2,1))))</f>
        <v/>
      </c>
      <c r="G559" s="19" t="str">
        <f>IF(A559="","",C559/(1+F559*$B$6/360)^(COUNT(A$16:A559)-($B$6-$D$16)/$B$6))</f>
        <v/>
      </c>
    </row>
    <row r="560" spans="1:7" x14ac:dyDescent="0.2">
      <c r="A560" s="12" t="str">
        <f t="shared" si="46"/>
        <v/>
      </c>
      <c r="B560" t="str">
        <f t="shared" si="42"/>
        <v/>
      </c>
      <c r="C560" s="17" t="str">
        <f t="shared" si="43"/>
        <v/>
      </c>
      <c r="D560" s="18" t="str">
        <f t="shared" si="44"/>
        <v/>
      </c>
      <c r="E560" t="str">
        <f t="shared" si="45"/>
        <v/>
      </c>
      <c r="F560" s="23" t="str">
        <f ca="1">IF(A560="","",IF($B$8="Sí",interpolar_alamb(E560,OFFSET(Curvas_cupon_cero!$A$1,1,0,COUNT(Curvas_cupon_cero!$A:$A)-2,1),OFFSET(Curvas_cupon_cero!$A$1,1,MATCH(Bono_M_Cupon_fijo_curva!$B$7,Curvas_cupon_cero!$1:$1,0)-1,COUNT(Curvas_cupon_cero!$A:$A)-2,1)),interpolar(E560,OFFSET(Curvas_cupon_cero!$A$1,1,0,COUNT(Curvas_cupon_cero!$A:$A)-2,1),OFFSET(Curvas_cupon_cero!$A$1,1,MATCH(Bono_M_Cupon_fijo_curva!$B$7,Curvas_cupon_cero!$1:$1,0)-1,COUNT(Curvas_cupon_cero!$A:$A)-2,1))))</f>
        <v/>
      </c>
      <c r="G560" s="19" t="str">
        <f>IF(A560="","",C560/(1+F560*$B$6/360)^(COUNT(A$16:A560)-($B$6-$D$16)/$B$6))</f>
        <v/>
      </c>
    </row>
    <row r="561" spans="1:7" x14ac:dyDescent="0.2">
      <c r="A561" s="12" t="str">
        <f t="shared" si="46"/>
        <v/>
      </c>
      <c r="B561" t="str">
        <f t="shared" si="42"/>
        <v/>
      </c>
      <c r="C561" s="17" t="str">
        <f t="shared" si="43"/>
        <v/>
      </c>
      <c r="D561" s="18" t="str">
        <f t="shared" si="44"/>
        <v/>
      </c>
      <c r="E561" t="str">
        <f t="shared" si="45"/>
        <v/>
      </c>
      <c r="F561" s="23" t="str">
        <f ca="1">IF(A561="","",IF($B$8="Sí",interpolar_alamb(E561,OFFSET(Curvas_cupon_cero!$A$1,1,0,COUNT(Curvas_cupon_cero!$A:$A)-2,1),OFFSET(Curvas_cupon_cero!$A$1,1,MATCH(Bono_M_Cupon_fijo_curva!$B$7,Curvas_cupon_cero!$1:$1,0)-1,COUNT(Curvas_cupon_cero!$A:$A)-2,1)),interpolar(E561,OFFSET(Curvas_cupon_cero!$A$1,1,0,COUNT(Curvas_cupon_cero!$A:$A)-2,1),OFFSET(Curvas_cupon_cero!$A$1,1,MATCH(Bono_M_Cupon_fijo_curva!$B$7,Curvas_cupon_cero!$1:$1,0)-1,COUNT(Curvas_cupon_cero!$A:$A)-2,1))))</f>
        <v/>
      </c>
      <c r="G561" s="19" t="str">
        <f>IF(A561="","",C561/(1+F561*$B$6/360)^(COUNT(A$16:A561)-($B$6-$D$16)/$B$6))</f>
        <v/>
      </c>
    </row>
    <row r="562" spans="1:7" x14ac:dyDescent="0.2">
      <c r="A562" s="12" t="str">
        <f t="shared" si="46"/>
        <v/>
      </c>
      <c r="B562" t="str">
        <f t="shared" si="42"/>
        <v/>
      </c>
      <c r="C562" s="17" t="str">
        <f t="shared" si="43"/>
        <v/>
      </c>
      <c r="D562" s="18" t="str">
        <f t="shared" si="44"/>
        <v/>
      </c>
      <c r="E562" t="str">
        <f t="shared" si="45"/>
        <v/>
      </c>
      <c r="F562" s="23" t="str">
        <f ca="1">IF(A562="","",IF($B$8="Sí",interpolar_alamb(E562,OFFSET(Curvas_cupon_cero!$A$1,1,0,COUNT(Curvas_cupon_cero!$A:$A)-2,1),OFFSET(Curvas_cupon_cero!$A$1,1,MATCH(Bono_M_Cupon_fijo_curva!$B$7,Curvas_cupon_cero!$1:$1,0)-1,COUNT(Curvas_cupon_cero!$A:$A)-2,1)),interpolar(E562,OFFSET(Curvas_cupon_cero!$A$1,1,0,COUNT(Curvas_cupon_cero!$A:$A)-2,1),OFFSET(Curvas_cupon_cero!$A$1,1,MATCH(Bono_M_Cupon_fijo_curva!$B$7,Curvas_cupon_cero!$1:$1,0)-1,COUNT(Curvas_cupon_cero!$A:$A)-2,1))))</f>
        <v/>
      </c>
      <c r="G562" s="19" t="str">
        <f>IF(A562="","",C562/(1+F562*$B$6/360)^(COUNT(A$16:A562)-($B$6-$D$16)/$B$6))</f>
        <v/>
      </c>
    </row>
    <row r="563" spans="1:7" x14ac:dyDescent="0.2">
      <c r="A563" s="12" t="str">
        <f t="shared" si="46"/>
        <v/>
      </c>
      <c r="B563" t="str">
        <f t="shared" si="42"/>
        <v/>
      </c>
      <c r="C563" s="17" t="str">
        <f t="shared" si="43"/>
        <v/>
      </c>
      <c r="D563" s="18" t="str">
        <f t="shared" si="44"/>
        <v/>
      </c>
      <c r="E563" t="str">
        <f t="shared" si="45"/>
        <v/>
      </c>
      <c r="F563" s="23" t="str">
        <f ca="1">IF(A563="","",IF($B$8="Sí",interpolar_alamb(E563,OFFSET(Curvas_cupon_cero!$A$1,1,0,COUNT(Curvas_cupon_cero!$A:$A)-2,1),OFFSET(Curvas_cupon_cero!$A$1,1,MATCH(Bono_M_Cupon_fijo_curva!$B$7,Curvas_cupon_cero!$1:$1,0)-1,COUNT(Curvas_cupon_cero!$A:$A)-2,1)),interpolar(E563,OFFSET(Curvas_cupon_cero!$A$1,1,0,COUNT(Curvas_cupon_cero!$A:$A)-2,1),OFFSET(Curvas_cupon_cero!$A$1,1,MATCH(Bono_M_Cupon_fijo_curva!$B$7,Curvas_cupon_cero!$1:$1,0)-1,COUNT(Curvas_cupon_cero!$A:$A)-2,1))))</f>
        <v/>
      </c>
      <c r="G563" s="19" t="str">
        <f>IF(A563="","",C563/(1+F563*$B$6/360)^(COUNT(A$16:A563)-($B$6-$D$16)/$B$6))</f>
        <v/>
      </c>
    </row>
    <row r="564" spans="1:7" x14ac:dyDescent="0.2">
      <c r="A564" s="12" t="str">
        <f t="shared" si="46"/>
        <v/>
      </c>
      <c r="B564" t="str">
        <f t="shared" si="42"/>
        <v/>
      </c>
      <c r="C564" s="17" t="str">
        <f t="shared" si="43"/>
        <v/>
      </c>
      <c r="D564" s="18" t="str">
        <f t="shared" si="44"/>
        <v/>
      </c>
      <c r="E564" t="str">
        <f t="shared" si="45"/>
        <v/>
      </c>
      <c r="F564" s="23" t="str">
        <f ca="1">IF(A564="","",IF($B$8="Sí",interpolar_alamb(E564,OFFSET(Curvas_cupon_cero!$A$1,1,0,COUNT(Curvas_cupon_cero!$A:$A)-2,1),OFFSET(Curvas_cupon_cero!$A$1,1,MATCH(Bono_M_Cupon_fijo_curva!$B$7,Curvas_cupon_cero!$1:$1,0)-1,COUNT(Curvas_cupon_cero!$A:$A)-2,1)),interpolar(E564,OFFSET(Curvas_cupon_cero!$A$1,1,0,COUNT(Curvas_cupon_cero!$A:$A)-2,1),OFFSET(Curvas_cupon_cero!$A$1,1,MATCH(Bono_M_Cupon_fijo_curva!$B$7,Curvas_cupon_cero!$1:$1,0)-1,COUNT(Curvas_cupon_cero!$A:$A)-2,1))))</f>
        <v/>
      </c>
      <c r="G564" s="19" t="str">
        <f>IF(A564="","",C564/(1+F564*$B$6/360)^(COUNT(A$16:A564)-($B$6-$D$16)/$B$6))</f>
        <v/>
      </c>
    </row>
    <row r="565" spans="1:7" x14ac:dyDescent="0.2">
      <c r="A565" s="12" t="str">
        <f t="shared" si="46"/>
        <v/>
      </c>
      <c r="B565" t="str">
        <f t="shared" si="42"/>
        <v/>
      </c>
      <c r="C565" s="17" t="str">
        <f t="shared" si="43"/>
        <v/>
      </c>
      <c r="D565" s="18" t="str">
        <f t="shared" si="44"/>
        <v/>
      </c>
      <c r="E565" t="str">
        <f t="shared" si="45"/>
        <v/>
      </c>
      <c r="F565" s="23" t="str">
        <f ca="1">IF(A565="","",IF($B$8="Sí",interpolar_alamb(E565,OFFSET(Curvas_cupon_cero!$A$1,1,0,COUNT(Curvas_cupon_cero!$A:$A)-2,1),OFFSET(Curvas_cupon_cero!$A$1,1,MATCH(Bono_M_Cupon_fijo_curva!$B$7,Curvas_cupon_cero!$1:$1,0)-1,COUNT(Curvas_cupon_cero!$A:$A)-2,1)),interpolar(E565,OFFSET(Curvas_cupon_cero!$A$1,1,0,COUNT(Curvas_cupon_cero!$A:$A)-2,1),OFFSET(Curvas_cupon_cero!$A$1,1,MATCH(Bono_M_Cupon_fijo_curva!$B$7,Curvas_cupon_cero!$1:$1,0)-1,COUNT(Curvas_cupon_cero!$A:$A)-2,1))))</f>
        <v/>
      </c>
      <c r="G565" s="19" t="str">
        <f>IF(A565="","",C565/(1+F565*$B$6/360)^(COUNT(A$16:A565)-($B$6-$D$16)/$B$6))</f>
        <v/>
      </c>
    </row>
    <row r="566" spans="1:7" x14ac:dyDescent="0.2">
      <c r="A566" s="12" t="str">
        <f t="shared" si="46"/>
        <v/>
      </c>
      <c r="B566" t="str">
        <f t="shared" si="42"/>
        <v/>
      </c>
      <c r="C566" s="17" t="str">
        <f t="shared" si="43"/>
        <v/>
      </c>
      <c r="D566" s="18" t="str">
        <f t="shared" si="44"/>
        <v/>
      </c>
      <c r="E566" t="str">
        <f t="shared" si="45"/>
        <v/>
      </c>
      <c r="F566" s="23" t="str">
        <f ca="1">IF(A566="","",IF($B$8="Sí",interpolar_alamb(E566,OFFSET(Curvas_cupon_cero!$A$1,1,0,COUNT(Curvas_cupon_cero!$A:$A)-2,1),OFFSET(Curvas_cupon_cero!$A$1,1,MATCH(Bono_M_Cupon_fijo_curva!$B$7,Curvas_cupon_cero!$1:$1,0)-1,COUNT(Curvas_cupon_cero!$A:$A)-2,1)),interpolar(E566,OFFSET(Curvas_cupon_cero!$A$1,1,0,COUNT(Curvas_cupon_cero!$A:$A)-2,1),OFFSET(Curvas_cupon_cero!$A$1,1,MATCH(Bono_M_Cupon_fijo_curva!$B$7,Curvas_cupon_cero!$1:$1,0)-1,COUNT(Curvas_cupon_cero!$A:$A)-2,1))))</f>
        <v/>
      </c>
      <c r="G566" s="19" t="str">
        <f>IF(A566="","",C566/(1+F566*$B$6/360)^(COUNT(A$16:A566)-($B$6-$D$16)/$B$6))</f>
        <v/>
      </c>
    </row>
    <row r="567" spans="1:7" x14ac:dyDescent="0.2">
      <c r="A567" s="12" t="str">
        <f t="shared" si="46"/>
        <v/>
      </c>
      <c r="B567" t="str">
        <f t="shared" si="42"/>
        <v/>
      </c>
      <c r="C567" s="17" t="str">
        <f t="shared" si="43"/>
        <v/>
      </c>
      <c r="D567" s="18" t="str">
        <f t="shared" si="44"/>
        <v/>
      </c>
      <c r="E567" t="str">
        <f t="shared" si="45"/>
        <v/>
      </c>
      <c r="F567" s="23" t="str">
        <f ca="1">IF(A567="","",IF($B$8="Sí",interpolar_alamb(E567,OFFSET(Curvas_cupon_cero!$A$1,1,0,COUNT(Curvas_cupon_cero!$A:$A)-2,1),OFFSET(Curvas_cupon_cero!$A$1,1,MATCH(Bono_M_Cupon_fijo_curva!$B$7,Curvas_cupon_cero!$1:$1,0)-1,COUNT(Curvas_cupon_cero!$A:$A)-2,1)),interpolar(E567,OFFSET(Curvas_cupon_cero!$A$1,1,0,COUNT(Curvas_cupon_cero!$A:$A)-2,1),OFFSET(Curvas_cupon_cero!$A$1,1,MATCH(Bono_M_Cupon_fijo_curva!$B$7,Curvas_cupon_cero!$1:$1,0)-1,COUNT(Curvas_cupon_cero!$A:$A)-2,1))))</f>
        <v/>
      </c>
      <c r="G567" s="19" t="str">
        <f>IF(A567="","",C567/(1+F567*$B$6/360)^(COUNT(A$16:A567)-($B$6-$D$16)/$B$6))</f>
        <v/>
      </c>
    </row>
    <row r="568" spans="1:7" x14ac:dyDescent="0.2">
      <c r="A568" s="12" t="str">
        <f t="shared" si="46"/>
        <v/>
      </c>
      <c r="B568" t="str">
        <f t="shared" si="42"/>
        <v/>
      </c>
      <c r="C568" s="17" t="str">
        <f t="shared" si="43"/>
        <v/>
      </c>
      <c r="D568" s="18" t="str">
        <f t="shared" si="44"/>
        <v/>
      </c>
      <c r="E568" t="str">
        <f t="shared" si="45"/>
        <v/>
      </c>
      <c r="F568" s="23" t="str">
        <f ca="1">IF(A568="","",IF($B$8="Sí",interpolar_alamb(E568,OFFSET(Curvas_cupon_cero!$A$1,1,0,COUNT(Curvas_cupon_cero!$A:$A)-2,1),OFFSET(Curvas_cupon_cero!$A$1,1,MATCH(Bono_M_Cupon_fijo_curva!$B$7,Curvas_cupon_cero!$1:$1,0)-1,COUNT(Curvas_cupon_cero!$A:$A)-2,1)),interpolar(E568,OFFSET(Curvas_cupon_cero!$A$1,1,0,COUNT(Curvas_cupon_cero!$A:$A)-2,1),OFFSET(Curvas_cupon_cero!$A$1,1,MATCH(Bono_M_Cupon_fijo_curva!$B$7,Curvas_cupon_cero!$1:$1,0)-1,COUNT(Curvas_cupon_cero!$A:$A)-2,1))))</f>
        <v/>
      </c>
      <c r="G568" s="19" t="str">
        <f>IF(A568="","",C568/(1+F568*$B$6/360)^(COUNT(A$16:A568)-($B$6-$D$16)/$B$6))</f>
        <v/>
      </c>
    </row>
    <row r="569" spans="1:7" x14ac:dyDescent="0.2">
      <c r="A569" s="12" t="str">
        <f t="shared" si="46"/>
        <v/>
      </c>
      <c r="B569" t="str">
        <f t="shared" si="42"/>
        <v/>
      </c>
      <c r="C569" s="17" t="str">
        <f t="shared" si="43"/>
        <v/>
      </c>
      <c r="D569" s="18" t="str">
        <f t="shared" si="44"/>
        <v/>
      </c>
      <c r="E569" t="str">
        <f t="shared" si="45"/>
        <v/>
      </c>
      <c r="F569" s="23" t="str">
        <f ca="1">IF(A569="","",IF($B$8="Sí",interpolar_alamb(E569,OFFSET(Curvas_cupon_cero!$A$1,1,0,COUNT(Curvas_cupon_cero!$A:$A)-2,1),OFFSET(Curvas_cupon_cero!$A$1,1,MATCH(Bono_M_Cupon_fijo_curva!$B$7,Curvas_cupon_cero!$1:$1,0)-1,COUNT(Curvas_cupon_cero!$A:$A)-2,1)),interpolar(E569,OFFSET(Curvas_cupon_cero!$A$1,1,0,COUNT(Curvas_cupon_cero!$A:$A)-2,1),OFFSET(Curvas_cupon_cero!$A$1,1,MATCH(Bono_M_Cupon_fijo_curva!$B$7,Curvas_cupon_cero!$1:$1,0)-1,COUNT(Curvas_cupon_cero!$A:$A)-2,1))))</f>
        <v/>
      </c>
      <c r="G569" s="19" t="str">
        <f>IF(A569="","",C569/(1+F569*$B$6/360)^(COUNT(A$16:A569)-($B$6-$D$16)/$B$6))</f>
        <v/>
      </c>
    </row>
    <row r="570" spans="1:7" x14ac:dyDescent="0.2">
      <c r="A570" s="12" t="str">
        <f t="shared" si="46"/>
        <v/>
      </c>
      <c r="B570" t="str">
        <f t="shared" si="42"/>
        <v/>
      </c>
      <c r="C570" s="17" t="str">
        <f t="shared" si="43"/>
        <v/>
      </c>
      <c r="D570" s="18" t="str">
        <f t="shared" si="44"/>
        <v/>
      </c>
      <c r="E570" t="str">
        <f t="shared" si="45"/>
        <v/>
      </c>
      <c r="F570" s="23" t="str">
        <f ca="1">IF(A570="","",IF($B$8="Sí",interpolar_alamb(E570,OFFSET(Curvas_cupon_cero!$A$1,1,0,COUNT(Curvas_cupon_cero!$A:$A)-2,1),OFFSET(Curvas_cupon_cero!$A$1,1,MATCH(Bono_M_Cupon_fijo_curva!$B$7,Curvas_cupon_cero!$1:$1,0)-1,COUNT(Curvas_cupon_cero!$A:$A)-2,1)),interpolar(E570,OFFSET(Curvas_cupon_cero!$A$1,1,0,COUNT(Curvas_cupon_cero!$A:$A)-2,1),OFFSET(Curvas_cupon_cero!$A$1,1,MATCH(Bono_M_Cupon_fijo_curva!$B$7,Curvas_cupon_cero!$1:$1,0)-1,COUNT(Curvas_cupon_cero!$A:$A)-2,1))))</f>
        <v/>
      </c>
      <c r="G570" s="19" t="str">
        <f>IF(A570="","",C570/(1+F570*$B$6/360)^(COUNT(A$16:A570)-($B$6-$D$16)/$B$6))</f>
        <v/>
      </c>
    </row>
    <row r="571" spans="1:7" x14ac:dyDescent="0.2">
      <c r="A571" s="12" t="str">
        <f t="shared" si="46"/>
        <v/>
      </c>
      <c r="B571" t="str">
        <f t="shared" si="42"/>
        <v/>
      </c>
      <c r="C571" s="17" t="str">
        <f t="shared" si="43"/>
        <v/>
      </c>
      <c r="D571" s="18" t="str">
        <f t="shared" si="44"/>
        <v/>
      </c>
      <c r="E571" t="str">
        <f t="shared" si="45"/>
        <v/>
      </c>
      <c r="F571" s="23" t="str">
        <f ca="1">IF(A571="","",IF($B$8="Sí",interpolar_alamb(E571,OFFSET(Curvas_cupon_cero!$A$1,1,0,COUNT(Curvas_cupon_cero!$A:$A)-2,1),OFFSET(Curvas_cupon_cero!$A$1,1,MATCH(Bono_M_Cupon_fijo_curva!$B$7,Curvas_cupon_cero!$1:$1,0)-1,COUNT(Curvas_cupon_cero!$A:$A)-2,1)),interpolar(E571,OFFSET(Curvas_cupon_cero!$A$1,1,0,COUNT(Curvas_cupon_cero!$A:$A)-2,1),OFFSET(Curvas_cupon_cero!$A$1,1,MATCH(Bono_M_Cupon_fijo_curva!$B$7,Curvas_cupon_cero!$1:$1,0)-1,COUNT(Curvas_cupon_cero!$A:$A)-2,1))))</f>
        <v/>
      </c>
      <c r="G571" s="19" t="str">
        <f>IF(A571="","",C571/(1+F571*$B$6/360)^(COUNT(A$16:A571)-($B$6-$D$16)/$B$6))</f>
        <v/>
      </c>
    </row>
    <row r="572" spans="1:7" x14ac:dyDescent="0.2">
      <c r="A572" s="12" t="str">
        <f t="shared" si="46"/>
        <v/>
      </c>
      <c r="B572" t="str">
        <f t="shared" si="42"/>
        <v/>
      </c>
      <c r="C572" s="17" t="str">
        <f t="shared" si="43"/>
        <v/>
      </c>
      <c r="D572" s="18" t="str">
        <f t="shared" si="44"/>
        <v/>
      </c>
      <c r="E572" t="str">
        <f t="shared" si="45"/>
        <v/>
      </c>
      <c r="F572" s="23" t="str">
        <f ca="1">IF(A572="","",IF($B$8="Sí",interpolar_alamb(E572,OFFSET(Curvas_cupon_cero!$A$1,1,0,COUNT(Curvas_cupon_cero!$A:$A)-2,1),OFFSET(Curvas_cupon_cero!$A$1,1,MATCH(Bono_M_Cupon_fijo_curva!$B$7,Curvas_cupon_cero!$1:$1,0)-1,COUNT(Curvas_cupon_cero!$A:$A)-2,1)),interpolar(E572,OFFSET(Curvas_cupon_cero!$A$1,1,0,COUNT(Curvas_cupon_cero!$A:$A)-2,1),OFFSET(Curvas_cupon_cero!$A$1,1,MATCH(Bono_M_Cupon_fijo_curva!$B$7,Curvas_cupon_cero!$1:$1,0)-1,COUNT(Curvas_cupon_cero!$A:$A)-2,1))))</f>
        <v/>
      </c>
      <c r="G572" s="19" t="str">
        <f>IF(A572="","",C572/(1+F572*$B$6/360)^(COUNT(A$16:A572)-($B$6-$D$16)/$B$6))</f>
        <v/>
      </c>
    </row>
    <row r="573" spans="1:7" x14ac:dyDescent="0.2">
      <c r="A573" s="12" t="str">
        <f t="shared" si="46"/>
        <v/>
      </c>
      <c r="B573" t="str">
        <f t="shared" si="42"/>
        <v/>
      </c>
      <c r="C573" s="17" t="str">
        <f t="shared" si="43"/>
        <v/>
      </c>
      <c r="D573" s="18" t="str">
        <f t="shared" si="44"/>
        <v/>
      </c>
      <c r="E573" t="str">
        <f t="shared" si="45"/>
        <v/>
      </c>
      <c r="F573" s="23" t="str">
        <f ca="1">IF(A573="","",IF($B$8="Sí",interpolar_alamb(E573,OFFSET(Curvas_cupon_cero!$A$1,1,0,COUNT(Curvas_cupon_cero!$A:$A)-2,1),OFFSET(Curvas_cupon_cero!$A$1,1,MATCH(Bono_M_Cupon_fijo_curva!$B$7,Curvas_cupon_cero!$1:$1,0)-1,COUNT(Curvas_cupon_cero!$A:$A)-2,1)),interpolar(E573,OFFSET(Curvas_cupon_cero!$A$1,1,0,COUNT(Curvas_cupon_cero!$A:$A)-2,1),OFFSET(Curvas_cupon_cero!$A$1,1,MATCH(Bono_M_Cupon_fijo_curva!$B$7,Curvas_cupon_cero!$1:$1,0)-1,COUNT(Curvas_cupon_cero!$A:$A)-2,1))))</f>
        <v/>
      </c>
      <c r="G573" s="19" t="str">
        <f>IF(A573="","",C573/(1+F573*$B$6/360)^(COUNT(A$16:A573)-($B$6-$D$16)/$B$6))</f>
        <v/>
      </c>
    </row>
    <row r="574" spans="1:7" x14ac:dyDescent="0.2">
      <c r="A574" s="12" t="str">
        <f t="shared" si="46"/>
        <v/>
      </c>
      <c r="B574" t="str">
        <f t="shared" si="42"/>
        <v/>
      </c>
      <c r="C574" s="17" t="str">
        <f t="shared" si="43"/>
        <v/>
      </c>
      <c r="D574" s="18" t="str">
        <f t="shared" si="44"/>
        <v/>
      </c>
      <c r="E574" t="str">
        <f t="shared" si="45"/>
        <v/>
      </c>
      <c r="F574" s="23" t="str">
        <f ca="1">IF(A574="","",IF($B$8="Sí",interpolar_alamb(E574,OFFSET(Curvas_cupon_cero!$A$1,1,0,COUNT(Curvas_cupon_cero!$A:$A)-2,1),OFFSET(Curvas_cupon_cero!$A$1,1,MATCH(Bono_M_Cupon_fijo_curva!$B$7,Curvas_cupon_cero!$1:$1,0)-1,COUNT(Curvas_cupon_cero!$A:$A)-2,1)),interpolar(E574,OFFSET(Curvas_cupon_cero!$A$1,1,0,COUNT(Curvas_cupon_cero!$A:$A)-2,1),OFFSET(Curvas_cupon_cero!$A$1,1,MATCH(Bono_M_Cupon_fijo_curva!$B$7,Curvas_cupon_cero!$1:$1,0)-1,COUNT(Curvas_cupon_cero!$A:$A)-2,1))))</f>
        <v/>
      </c>
      <c r="G574" s="19" t="str">
        <f>IF(A574="","",C574/(1+F574*$B$6/360)^(COUNT(A$16:A574)-($B$6-$D$16)/$B$6))</f>
        <v/>
      </c>
    </row>
    <row r="575" spans="1:7" x14ac:dyDescent="0.2">
      <c r="A575" s="12" t="str">
        <f t="shared" si="46"/>
        <v/>
      </c>
      <c r="B575" t="str">
        <f t="shared" si="42"/>
        <v/>
      </c>
      <c r="C575" s="17" t="str">
        <f t="shared" si="43"/>
        <v/>
      </c>
      <c r="D575" s="18" t="str">
        <f t="shared" si="44"/>
        <v/>
      </c>
      <c r="E575" t="str">
        <f t="shared" si="45"/>
        <v/>
      </c>
      <c r="F575" s="23" t="str">
        <f ca="1">IF(A575="","",IF($B$8="Sí",interpolar_alamb(E575,OFFSET(Curvas_cupon_cero!$A$1,1,0,COUNT(Curvas_cupon_cero!$A:$A)-2,1),OFFSET(Curvas_cupon_cero!$A$1,1,MATCH(Bono_M_Cupon_fijo_curva!$B$7,Curvas_cupon_cero!$1:$1,0)-1,COUNT(Curvas_cupon_cero!$A:$A)-2,1)),interpolar(E575,OFFSET(Curvas_cupon_cero!$A$1,1,0,COUNT(Curvas_cupon_cero!$A:$A)-2,1),OFFSET(Curvas_cupon_cero!$A$1,1,MATCH(Bono_M_Cupon_fijo_curva!$B$7,Curvas_cupon_cero!$1:$1,0)-1,COUNT(Curvas_cupon_cero!$A:$A)-2,1))))</f>
        <v/>
      </c>
      <c r="G575" s="19" t="str">
        <f>IF(A575="","",C575/(1+F575*$B$6/360)^(COUNT(A$16:A575)-($B$6-$D$16)/$B$6))</f>
        <v/>
      </c>
    </row>
    <row r="576" spans="1:7" x14ac:dyDescent="0.2">
      <c r="A576" s="12" t="str">
        <f t="shared" si="46"/>
        <v/>
      </c>
      <c r="B576" t="str">
        <f t="shared" si="42"/>
        <v/>
      </c>
      <c r="C576" s="17" t="str">
        <f t="shared" si="43"/>
        <v/>
      </c>
      <c r="D576" s="18" t="str">
        <f t="shared" si="44"/>
        <v/>
      </c>
      <c r="E576" t="str">
        <f t="shared" si="45"/>
        <v/>
      </c>
      <c r="F576" s="23" t="str">
        <f ca="1">IF(A576="","",IF($B$8="Sí",interpolar_alamb(E576,OFFSET(Curvas_cupon_cero!$A$1,1,0,COUNT(Curvas_cupon_cero!$A:$A)-2,1),OFFSET(Curvas_cupon_cero!$A$1,1,MATCH(Bono_M_Cupon_fijo_curva!$B$7,Curvas_cupon_cero!$1:$1,0)-1,COUNT(Curvas_cupon_cero!$A:$A)-2,1)),interpolar(E576,OFFSET(Curvas_cupon_cero!$A$1,1,0,COUNT(Curvas_cupon_cero!$A:$A)-2,1),OFFSET(Curvas_cupon_cero!$A$1,1,MATCH(Bono_M_Cupon_fijo_curva!$B$7,Curvas_cupon_cero!$1:$1,0)-1,COUNT(Curvas_cupon_cero!$A:$A)-2,1))))</f>
        <v/>
      </c>
      <c r="G576" s="19" t="str">
        <f>IF(A576="","",C576/(1+F576*$B$6/360)^(COUNT(A$16:A576)-($B$6-$D$16)/$B$6))</f>
        <v/>
      </c>
    </row>
    <row r="577" spans="1:7" x14ac:dyDescent="0.2">
      <c r="A577" s="12" t="str">
        <f t="shared" si="46"/>
        <v/>
      </c>
      <c r="B577" t="str">
        <f t="shared" si="42"/>
        <v/>
      </c>
      <c r="C577" s="17" t="str">
        <f t="shared" si="43"/>
        <v/>
      </c>
      <c r="D577" s="18" t="str">
        <f t="shared" si="44"/>
        <v/>
      </c>
      <c r="E577" t="str">
        <f t="shared" si="45"/>
        <v/>
      </c>
      <c r="F577" s="23" t="str">
        <f ca="1">IF(A577="","",IF($B$8="Sí",interpolar_alamb(E577,OFFSET(Curvas_cupon_cero!$A$1,1,0,COUNT(Curvas_cupon_cero!$A:$A)-2,1),OFFSET(Curvas_cupon_cero!$A$1,1,MATCH(Bono_M_Cupon_fijo_curva!$B$7,Curvas_cupon_cero!$1:$1,0)-1,COUNT(Curvas_cupon_cero!$A:$A)-2,1)),interpolar(E577,OFFSET(Curvas_cupon_cero!$A$1,1,0,COUNT(Curvas_cupon_cero!$A:$A)-2,1),OFFSET(Curvas_cupon_cero!$A$1,1,MATCH(Bono_M_Cupon_fijo_curva!$B$7,Curvas_cupon_cero!$1:$1,0)-1,COUNT(Curvas_cupon_cero!$A:$A)-2,1))))</f>
        <v/>
      </c>
      <c r="G577" s="19" t="str">
        <f>IF(A577="","",C577/(1+F577*$B$6/360)^(COUNT(A$16:A577)-($B$6-$D$16)/$B$6))</f>
        <v/>
      </c>
    </row>
    <row r="578" spans="1:7" x14ac:dyDescent="0.2">
      <c r="A578" s="12" t="str">
        <f t="shared" si="46"/>
        <v/>
      </c>
      <c r="B578" t="str">
        <f t="shared" si="42"/>
        <v/>
      </c>
      <c r="C578" s="17" t="str">
        <f t="shared" si="43"/>
        <v/>
      </c>
      <c r="D578" s="18" t="str">
        <f t="shared" si="44"/>
        <v/>
      </c>
      <c r="E578" t="str">
        <f t="shared" si="45"/>
        <v/>
      </c>
      <c r="F578" s="23" t="str">
        <f ca="1">IF(A578="","",IF($B$8="Sí",interpolar_alamb(E578,OFFSET(Curvas_cupon_cero!$A$1,1,0,COUNT(Curvas_cupon_cero!$A:$A)-2,1),OFFSET(Curvas_cupon_cero!$A$1,1,MATCH(Bono_M_Cupon_fijo_curva!$B$7,Curvas_cupon_cero!$1:$1,0)-1,COUNT(Curvas_cupon_cero!$A:$A)-2,1)),interpolar(E578,OFFSET(Curvas_cupon_cero!$A$1,1,0,COUNT(Curvas_cupon_cero!$A:$A)-2,1),OFFSET(Curvas_cupon_cero!$A$1,1,MATCH(Bono_M_Cupon_fijo_curva!$B$7,Curvas_cupon_cero!$1:$1,0)-1,COUNT(Curvas_cupon_cero!$A:$A)-2,1))))</f>
        <v/>
      </c>
      <c r="G578" s="19" t="str">
        <f>IF(A578="","",C578/(1+F578*$B$6/360)^(COUNT(A$16:A578)-($B$6-$D$16)/$B$6))</f>
        <v/>
      </c>
    </row>
    <row r="579" spans="1:7" x14ac:dyDescent="0.2">
      <c r="A579" s="12" t="str">
        <f t="shared" si="46"/>
        <v/>
      </c>
      <c r="B579" t="str">
        <f t="shared" si="42"/>
        <v/>
      </c>
      <c r="C579" s="17" t="str">
        <f t="shared" si="43"/>
        <v/>
      </c>
      <c r="D579" s="18" t="str">
        <f t="shared" si="44"/>
        <v/>
      </c>
      <c r="E579" t="str">
        <f t="shared" si="45"/>
        <v/>
      </c>
      <c r="F579" s="23" t="str">
        <f ca="1">IF(A579="","",IF($B$8="Sí",interpolar_alamb(E579,OFFSET(Curvas_cupon_cero!$A$1,1,0,COUNT(Curvas_cupon_cero!$A:$A)-2,1),OFFSET(Curvas_cupon_cero!$A$1,1,MATCH(Bono_M_Cupon_fijo_curva!$B$7,Curvas_cupon_cero!$1:$1,0)-1,COUNT(Curvas_cupon_cero!$A:$A)-2,1)),interpolar(E579,OFFSET(Curvas_cupon_cero!$A$1,1,0,COUNT(Curvas_cupon_cero!$A:$A)-2,1),OFFSET(Curvas_cupon_cero!$A$1,1,MATCH(Bono_M_Cupon_fijo_curva!$B$7,Curvas_cupon_cero!$1:$1,0)-1,COUNT(Curvas_cupon_cero!$A:$A)-2,1))))</f>
        <v/>
      </c>
      <c r="G579" s="19" t="str">
        <f>IF(A579="","",C579/(1+F579*$B$6/360)^(COUNT(A$16:A579)-($B$6-$D$16)/$B$6))</f>
        <v/>
      </c>
    </row>
    <row r="580" spans="1:7" x14ac:dyDescent="0.2">
      <c r="A580" s="12" t="str">
        <f t="shared" si="46"/>
        <v/>
      </c>
      <c r="B580" t="str">
        <f t="shared" si="42"/>
        <v/>
      </c>
      <c r="C580" s="17" t="str">
        <f t="shared" si="43"/>
        <v/>
      </c>
      <c r="D580" s="18" t="str">
        <f t="shared" si="44"/>
        <v/>
      </c>
      <c r="E580" t="str">
        <f t="shared" si="45"/>
        <v/>
      </c>
      <c r="F580" s="23" t="str">
        <f ca="1">IF(A580="","",IF($B$8="Sí",interpolar_alamb(E580,OFFSET(Curvas_cupon_cero!$A$1,1,0,COUNT(Curvas_cupon_cero!$A:$A)-2,1),OFFSET(Curvas_cupon_cero!$A$1,1,MATCH(Bono_M_Cupon_fijo_curva!$B$7,Curvas_cupon_cero!$1:$1,0)-1,COUNT(Curvas_cupon_cero!$A:$A)-2,1)),interpolar(E580,OFFSET(Curvas_cupon_cero!$A$1,1,0,COUNT(Curvas_cupon_cero!$A:$A)-2,1),OFFSET(Curvas_cupon_cero!$A$1,1,MATCH(Bono_M_Cupon_fijo_curva!$B$7,Curvas_cupon_cero!$1:$1,0)-1,COUNT(Curvas_cupon_cero!$A:$A)-2,1))))</f>
        <v/>
      </c>
      <c r="G580" s="19" t="str">
        <f>IF(A580="","",C580/(1+F580*$B$6/360)^(COUNT(A$16:A580)-($B$6-$D$16)/$B$6))</f>
        <v/>
      </c>
    </row>
    <row r="581" spans="1:7" x14ac:dyDescent="0.2">
      <c r="A581" s="12" t="str">
        <f t="shared" si="46"/>
        <v/>
      </c>
      <c r="B581" t="str">
        <f t="shared" si="42"/>
        <v/>
      </c>
      <c r="C581" s="17" t="str">
        <f t="shared" si="43"/>
        <v/>
      </c>
      <c r="D581" s="18" t="str">
        <f t="shared" si="44"/>
        <v/>
      </c>
      <c r="E581" t="str">
        <f t="shared" si="45"/>
        <v/>
      </c>
      <c r="F581" s="23" t="str">
        <f ca="1">IF(A581="","",IF($B$8="Sí",interpolar_alamb(E581,OFFSET(Curvas_cupon_cero!$A$1,1,0,COUNT(Curvas_cupon_cero!$A:$A)-2,1),OFFSET(Curvas_cupon_cero!$A$1,1,MATCH(Bono_M_Cupon_fijo_curva!$B$7,Curvas_cupon_cero!$1:$1,0)-1,COUNT(Curvas_cupon_cero!$A:$A)-2,1)),interpolar(E581,OFFSET(Curvas_cupon_cero!$A$1,1,0,COUNT(Curvas_cupon_cero!$A:$A)-2,1),OFFSET(Curvas_cupon_cero!$A$1,1,MATCH(Bono_M_Cupon_fijo_curva!$B$7,Curvas_cupon_cero!$1:$1,0)-1,COUNT(Curvas_cupon_cero!$A:$A)-2,1))))</f>
        <v/>
      </c>
      <c r="G581" s="19" t="str">
        <f>IF(A581="","",C581/(1+F581*$B$6/360)^(COUNT(A$16:A581)-($B$6-$D$16)/$B$6))</f>
        <v/>
      </c>
    </row>
    <row r="582" spans="1:7" x14ac:dyDescent="0.2">
      <c r="A582" s="12" t="str">
        <f t="shared" si="46"/>
        <v/>
      </c>
      <c r="B582" t="str">
        <f t="shared" si="42"/>
        <v/>
      </c>
      <c r="C582" s="17" t="str">
        <f t="shared" si="43"/>
        <v/>
      </c>
      <c r="D582" s="18" t="str">
        <f t="shared" si="44"/>
        <v/>
      </c>
      <c r="E582" t="str">
        <f t="shared" si="45"/>
        <v/>
      </c>
      <c r="F582" s="23" t="str">
        <f ca="1">IF(A582="","",IF($B$8="Sí",interpolar_alamb(E582,OFFSET(Curvas_cupon_cero!$A$1,1,0,COUNT(Curvas_cupon_cero!$A:$A)-2,1),OFFSET(Curvas_cupon_cero!$A$1,1,MATCH(Bono_M_Cupon_fijo_curva!$B$7,Curvas_cupon_cero!$1:$1,0)-1,COUNT(Curvas_cupon_cero!$A:$A)-2,1)),interpolar(E582,OFFSET(Curvas_cupon_cero!$A$1,1,0,COUNT(Curvas_cupon_cero!$A:$A)-2,1),OFFSET(Curvas_cupon_cero!$A$1,1,MATCH(Bono_M_Cupon_fijo_curva!$B$7,Curvas_cupon_cero!$1:$1,0)-1,COUNT(Curvas_cupon_cero!$A:$A)-2,1))))</f>
        <v/>
      </c>
      <c r="G582" s="19" t="str">
        <f>IF(A582="","",C582/(1+F582*$B$6/360)^(COUNT(A$16:A582)-($B$6-$D$16)/$B$6))</f>
        <v/>
      </c>
    </row>
    <row r="583" spans="1:7" x14ac:dyDescent="0.2">
      <c r="A583" s="12" t="str">
        <f t="shared" si="46"/>
        <v/>
      </c>
      <c r="B583" t="str">
        <f t="shared" si="42"/>
        <v/>
      </c>
      <c r="C583" s="17" t="str">
        <f t="shared" si="43"/>
        <v/>
      </c>
      <c r="D583" s="18" t="str">
        <f t="shared" si="44"/>
        <v/>
      </c>
      <c r="E583" t="str">
        <f t="shared" si="45"/>
        <v/>
      </c>
      <c r="F583" s="23" t="str">
        <f ca="1">IF(A583="","",IF($B$8="Sí",interpolar_alamb(E583,OFFSET(Curvas_cupon_cero!$A$1,1,0,COUNT(Curvas_cupon_cero!$A:$A)-2,1),OFFSET(Curvas_cupon_cero!$A$1,1,MATCH(Bono_M_Cupon_fijo_curva!$B$7,Curvas_cupon_cero!$1:$1,0)-1,COUNT(Curvas_cupon_cero!$A:$A)-2,1)),interpolar(E583,OFFSET(Curvas_cupon_cero!$A$1,1,0,COUNT(Curvas_cupon_cero!$A:$A)-2,1),OFFSET(Curvas_cupon_cero!$A$1,1,MATCH(Bono_M_Cupon_fijo_curva!$B$7,Curvas_cupon_cero!$1:$1,0)-1,COUNT(Curvas_cupon_cero!$A:$A)-2,1))))</f>
        <v/>
      </c>
      <c r="G583" s="19" t="str">
        <f>IF(A583="","",C583/(1+F583*$B$6/360)^(COUNT(A$16:A583)-($B$6-$D$16)/$B$6))</f>
        <v/>
      </c>
    </row>
    <row r="584" spans="1:7" x14ac:dyDescent="0.2">
      <c r="A584" s="12" t="str">
        <f t="shared" si="46"/>
        <v/>
      </c>
      <c r="B584" t="str">
        <f t="shared" si="42"/>
        <v/>
      </c>
      <c r="C584" s="17" t="str">
        <f t="shared" si="43"/>
        <v/>
      </c>
      <c r="D584" s="18" t="str">
        <f t="shared" si="44"/>
        <v/>
      </c>
      <c r="E584" t="str">
        <f t="shared" si="45"/>
        <v/>
      </c>
      <c r="F584" s="23" t="str">
        <f ca="1">IF(A584="","",IF($B$8="Sí",interpolar_alamb(E584,OFFSET(Curvas_cupon_cero!$A$1,1,0,COUNT(Curvas_cupon_cero!$A:$A)-2,1),OFFSET(Curvas_cupon_cero!$A$1,1,MATCH(Bono_M_Cupon_fijo_curva!$B$7,Curvas_cupon_cero!$1:$1,0)-1,COUNT(Curvas_cupon_cero!$A:$A)-2,1)),interpolar(E584,OFFSET(Curvas_cupon_cero!$A$1,1,0,COUNT(Curvas_cupon_cero!$A:$A)-2,1),OFFSET(Curvas_cupon_cero!$A$1,1,MATCH(Bono_M_Cupon_fijo_curva!$B$7,Curvas_cupon_cero!$1:$1,0)-1,COUNT(Curvas_cupon_cero!$A:$A)-2,1))))</f>
        <v/>
      </c>
      <c r="G584" s="19" t="str">
        <f>IF(A584="","",C584/(1+F584*$B$6/360)^(COUNT(A$16:A584)-($B$6-$D$16)/$B$6))</f>
        <v/>
      </c>
    </row>
    <row r="585" spans="1:7" x14ac:dyDescent="0.2">
      <c r="A585" s="12" t="str">
        <f t="shared" si="46"/>
        <v/>
      </c>
      <c r="B585" t="str">
        <f t="shared" si="42"/>
        <v/>
      </c>
      <c r="C585" s="17" t="str">
        <f t="shared" si="43"/>
        <v/>
      </c>
      <c r="D585" s="18" t="str">
        <f t="shared" si="44"/>
        <v/>
      </c>
      <c r="E585" t="str">
        <f t="shared" si="45"/>
        <v/>
      </c>
      <c r="F585" s="23" t="str">
        <f ca="1">IF(A585="","",IF($B$8="Sí",interpolar_alamb(E585,OFFSET(Curvas_cupon_cero!$A$1,1,0,COUNT(Curvas_cupon_cero!$A:$A)-2,1),OFFSET(Curvas_cupon_cero!$A$1,1,MATCH(Bono_M_Cupon_fijo_curva!$B$7,Curvas_cupon_cero!$1:$1,0)-1,COUNT(Curvas_cupon_cero!$A:$A)-2,1)),interpolar(E585,OFFSET(Curvas_cupon_cero!$A$1,1,0,COUNT(Curvas_cupon_cero!$A:$A)-2,1),OFFSET(Curvas_cupon_cero!$A$1,1,MATCH(Bono_M_Cupon_fijo_curva!$B$7,Curvas_cupon_cero!$1:$1,0)-1,COUNT(Curvas_cupon_cero!$A:$A)-2,1))))</f>
        <v/>
      </c>
      <c r="G585" s="19" t="str">
        <f>IF(A585="","",C585/(1+F585*$B$6/360)^(COUNT(A$16:A585)-($B$6-$D$16)/$B$6))</f>
        <v/>
      </c>
    </row>
    <row r="586" spans="1:7" x14ac:dyDescent="0.2">
      <c r="A586" s="12" t="str">
        <f t="shared" si="46"/>
        <v/>
      </c>
      <c r="B586" t="str">
        <f t="shared" si="42"/>
        <v/>
      </c>
      <c r="C586" s="17" t="str">
        <f t="shared" si="43"/>
        <v/>
      </c>
      <c r="D586" s="18" t="str">
        <f t="shared" si="44"/>
        <v/>
      </c>
      <c r="E586" t="str">
        <f t="shared" si="45"/>
        <v/>
      </c>
      <c r="F586" s="23" t="str">
        <f ca="1">IF(A586="","",IF($B$8="Sí",interpolar_alamb(E586,OFFSET(Curvas_cupon_cero!$A$1,1,0,COUNT(Curvas_cupon_cero!$A:$A)-2,1),OFFSET(Curvas_cupon_cero!$A$1,1,MATCH(Bono_M_Cupon_fijo_curva!$B$7,Curvas_cupon_cero!$1:$1,0)-1,COUNT(Curvas_cupon_cero!$A:$A)-2,1)),interpolar(E586,OFFSET(Curvas_cupon_cero!$A$1,1,0,COUNT(Curvas_cupon_cero!$A:$A)-2,1),OFFSET(Curvas_cupon_cero!$A$1,1,MATCH(Bono_M_Cupon_fijo_curva!$B$7,Curvas_cupon_cero!$1:$1,0)-1,COUNT(Curvas_cupon_cero!$A:$A)-2,1))))</f>
        <v/>
      </c>
      <c r="G586" s="19" t="str">
        <f>IF(A586="","",C586/(1+F586*$B$6/360)^(COUNT(A$16:A586)-($B$6-$D$16)/$B$6))</f>
        <v/>
      </c>
    </row>
    <row r="587" spans="1:7" x14ac:dyDescent="0.2">
      <c r="A587" s="12" t="str">
        <f t="shared" si="46"/>
        <v/>
      </c>
      <c r="B587" t="str">
        <f t="shared" si="42"/>
        <v/>
      </c>
      <c r="C587" s="17" t="str">
        <f t="shared" si="43"/>
        <v/>
      </c>
      <c r="D587" s="18" t="str">
        <f t="shared" si="44"/>
        <v/>
      </c>
      <c r="E587" t="str">
        <f t="shared" si="45"/>
        <v/>
      </c>
      <c r="F587" s="23" t="str">
        <f ca="1">IF(A587="","",IF($B$8="Sí",interpolar_alamb(E587,OFFSET(Curvas_cupon_cero!$A$1,1,0,COUNT(Curvas_cupon_cero!$A:$A)-2,1),OFFSET(Curvas_cupon_cero!$A$1,1,MATCH(Bono_M_Cupon_fijo_curva!$B$7,Curvas_cupon_cero!$1:$1,0)-1,COUNT(Curvas_cupon_cero!$A:$A)-2,1)),interpolar(E587,OFFSET(Curvas_cupon_cero!$A$1,1,0,COUNT(Curvas_cupon_cero!$A:$A)-2,1),OFFSET(Curvas_cupon_cero!$A$1,1,MATCH(Bono_M_Cupon_fijo_curva!$B$7,Curvas_cupon_cero!$1:$1,0)-1,COUNT(Curvas_cupon_cero!$A:$A)-2,1))))</f>
        <v/>
      </c>
      <c r="G587" s="19" t="str">
        <f>IF(A587="","",C587/(1+F587*$B$6/360)^(COUNT(A$16:A587)-($B$6-$D$16)/$B$6))</f>
        <v/>
      </c>
    </row>
    <row r="588" spans="1:7" x14ac:dyDescent="0.2">
      <c r="A588" s="12" t="str">
        <f t="shared" si="46"/>
        <v/>
      </c>
      <c r="B588" t="str">
        <f t="shared" si="42"/>
        <v/>
      </c>
      <c r="C588" s="17" t="str">
        <f t="shared" si="43"/>
        <v/>
      </c>
      <c r="D588" s="18" t="str">
        <f t="shared" si="44"/>
        <v/>
      </c>
      <c r="E588" t="str">
        <f t="shared" si="45"/>
        <v/>
      </c>
      <c r="F588" s="23" t="str">
        <f ca="1">IF(A588="","",IF($B$8="Sí",interpolar_alamb(E588,OFFSET(Curvas_cupon_cero!$A$1,1,0,COUNT(Curvas_cupon_cero!$A:$A)-2,1),OFFSET(Curvas_cupon_cero!$A$1,1,MATCH(Bono_M_Cupon_fijo_curva!$B$7,Curvas_cupon_cero!$1:$1,0)-1,COUNT(Curvas_cupon_cero!$A:$A)-2,1)),interpolar(E588,OFFSET(Curvas_cupon_cero!$A$1,1,0,COUNT(Curvas_cupon_cero!$A:$A)-2,1),OFFSET(Curvas_cupon_cero!$A$1,1,MATCH(Bono_M_Cupon_fijo_curva!$B$7,Curvas_cupon_cero!$1:$1,0)-1,COUNT(Curvas_cupon_cero!$A:$A)-2,1))))</f>
        <v/>
      </c>
      <c r="G588" s="19" t="str">
        <f>IF(A588="","",C588/(1+F588*$B$6/360)^(COUNT(A$16:A588)-($B$6-$D$16)/$B$6))</f>
        <v/>
      </c>
    </row>
    <row r="589" spans="1:7" x14ac:dyDescent="0.2">
      <c r="A589" s="12" t="str">
        <f t="shared" si="46"/>
        <v/>
      </c>
      <c r="B589" t="str">
        <f t="shared" si="42"/>
        <v/>
      </c>
      <c r="C589" s="17" t="str">
        <f t="shared" si="43"/>
        <v/>
      </c>
      <c r="D589" s="18" t="str">
        <f t="shared" si="44"/>
        <v/>
      </c>
      <c r="E589" t="str">
        <f t="shared" si="45"/>
        <v/>
      </c>
      <c r="F589" s="23" t="str">
        <f ca="1">IF(A589="","",IF($B$8="Sí",interpolar_alamb(E589,OFFSET(Curvas_cupon_cero!$A$1,1,0,COUNT(Curvas_cupon_cero!$A:$A)-2,1),OFFSET(Curvas_cupon_cero!$A$1,1,MATCH(Bono_M_Cupon_fijo_curva!$B$7,Curvas_cupon_cero!$1:$1,0)-1,COUNT(Curvas_cupon_cero!$A:$A)-2,1)),interpolar(E589,OFFSET(Curvas_cupon_cero!$A$1,1,0,COUNT(Curvas_cupon_cero!$A:$A)-2,1),OFFSET(Curvas_cupon_cero!$A$1,1,MATCH(Bono_M_Cupon_fijo_curva!$B$7,Curvas_cupon_cero!$1:$1,0)-1,COUNT(Curvas_cupon_cero!$A:$A)-2,1))))</f>
        <v/>
      </c>
      <c r="G589" s="19" t="str">
        <f>IF(A589="","",C589/(1+F589*$B$6/360)^(COUNT(A$16:A589)-($B$6-$D$16)/$B$6))</f>
        <v/>
      </c>
    </row>
    <row r="590" spans="1:7" x14ac:dyDescent="0.2">
      <c r="A590" s="12" t="str">
        <f t="shared" si="46"/>
        <v/>
      </c>
      <c r="B590" t="str">
        <f t="shared" si="42"/>
        <v/>
      </c>
      <c r="C590" s="17" t="str">
        <f t="shared" si="43"/>
        <v/>
      </c>
      <c r="D590" s="18" t="str">
        <f t="shared" si="44"/>
        <v/>
      </c>
      <c r="E590" t="str">
        <f t="shared" si="45"/>
        <v/>
      </c>
      <c r="F590" s="23" t="str">
        <f ca="1">IF(A590="","",IF($B$8="Sí",interpolar_alamb(E590,OFFSET(Curvas_cupon_cero!$A$1,1,0,COUNT(Curvas_cupon_cero!$A:$A)-2,1),OFFSET(Curvas_cupon_cero!$A$1,1,MATCH(Bono_M_Cupon_fijo_curva!$B$7,Curvas_cupon_cero!$1:$1,0)-1,COUNT(Curvas_cupon_cero!$A:$A)-2,1)),interpolar(E590,OFFSET(Curvas_cupon_cero!$A$1,1,0,COUNT(Curvas_cupon_cero!$A:$A)-2,1),OFFSET(Curvas_cupon_cero!$A$1,1,MATCH(Bono_M_Cupon_fijo_curva!$B$7,Curvas_cupon_cero!$1:$1,0)-1,COUNT(Curvas_cupon_cero!$A:$A)-2,1))))</f>
        <v/>
      </c>
      <c r="G590" s="19" t="str">
        <f>IF(A590="","",C590/(1+F590*$B$6/360)^(COUNT(A$16:A590)-($B$6-$D$16)/$B$6))</f>
        <v/>
      </c>
    </row>
    <row r="591" spans="1:7" x14ac:dyDescent="0.2">
      <c r="A591" s="12" t="str">
        <f t="shared" si="46"/>
        <v/>
      </c>
      <c r="B591" t="str">
        <f t="shared" si="42"/>
        <v/>
      </c>
      <c r="C591" s="17" t="str">
        <f t="shared" si="43"/>
        <v/>
      </c>
      <c r="D591" s="18" t="str">
        <f t="shared" si="44"/>
        <v/>
      </c>
      <c r="E591" t="str">
        <f t="shared" si="45"/>
        <v/>
      </c>
      <c r="F591" s="23" t="str">
        <f ca="1">IF(A591="","",IF($B$8="Sí",interpolar_alamb(E591,OFFSET(Curvas_cupon_cero!$A$1,1,0,COUNT(Curvas_cupon_cero!$A:$A)-2,1),OFFSET(Curvas_cupon_cero!$A$1,1,MATCH(Bono_M_Cupon_fijo_curva!$B$7,Curvas_cupon_cero!$1:$1,0)-1,COUNT(Curvas_cupon_cero!$A:$A)-2,1)),interpolar(E591,OFFSET(Curvas_cupon_cero!$A$1,1,0,COUNT(Curvas_cupon_cero!$A:$A)-2,1),OFFSET(Curvas_cupon_cero!$A$1,1,MATCH(Bono_M_Cupon_fijo_curva!$B$7,Curvas_cupon_cero!$1:$1,0)-1,COUNT(Curvas_cupon_cero!$A:$A)-2,1))))</f>
        <v/>
      </c>
      <c r="G591" s="19" t="str">
        <f>IF(A591="","",C591/(1+F591*$B$6/360)^(COUNT(A$16:A591)-($B$6-$D$16)/$B$6))</f>
        <v/>
      </c>
    </row>
    <row r="592" spans="1:7" x14ac:dyDescent="0.2">
      <c r="A592" s="12" t="str">
        <f t="shared" si="46"/>
        <v/>
      </c>
      <c r="B592" t="str">
        <f t="shared" si="42"/>
        <v/>
      </c>
      <c r="C592" s="17" t="str">
        <f t="shared" si="43"/>
        <v/>
      </c>
      <c r="D592" s="18" t="str">
        <f t="shared" si="44"/>
        <v/>
      </c>
      <c r="E592" t="str">
        <f t="shared" si="45"/>
        <v/>
      </c>
      <c r="F592" s="23" t="str">
        <f ca="1">IF(A592="","",IF($B$8="Sí",interpolar_alamb(E592,OFFSET(Curvas_cupon_cero!$A$1,1,0,COUNT(Curvas_cupon_cero!$A:$A)-2,1),OFFSET(Curvas_cupon_cero!$A$1,1,MATCH(Bono_M_Cupon_fijo_curva!$B$7,Curvas_cupon_cero!$1:$1,0)-1,COUNT(Curvas_cupon_cero!$A:$A)-2,1)),interpolar(E592,OFFSET(Curvas_cupon_cero!$A$1,1,0,COUNT(Curvas_cupon_cero!$A:$A)-2,1),OFFSET(Curvas_cupon_cero!$A$1,1,MATCH(Bono_M_Cupon_fijo_curva!$B$7,Curvas_cupon_cero!$1:$1,0)-1,COUNT(Curvas_cupon_cero!$A:$A)-2,1))))</f>
        <v/>
      </c>
      <c r="G592" s="19" t="str">
        <f>IF(A592="","",C592/(1+F592*$B$6/360)^(COUNT(A$16:A592)-($B$6-$D$16)/$B$6))</f>
        <v/>
      </c>
    </row>
    <row r="593" spans="1:7" x14ac:dyDescent="0.2">
      <c r="A593" s="12" t="str">
        <f t="shared" si="46"/>
        <v/>
      </c>
      <c r="B593" t="str">
        <f t="shared" ref="B593:B656" si="47">IF(A593="","",$B$5)</f>
        <v/>
      </c>
      <c r="C593" s="17" t="str">
        <f t="shared" ref="C593:C656" si="48">IF(A593="","",IF(A593=$B$4,$B$1*$B$2+ $B$5*$B$6/360*$B$1*$B$2, $B$5*$B$6/360*$B$1*$B$2))</f>
        <v/>
      </c>
      <c r="D593" s="18" t="str">
        <f t="shared" ref="D593:D656" si="49">IF(A593="","",$B$6)</f>
        <v/>
      </c>
      <c r="E593" t="str">
        <f t="shared" ref="E593:E656" si="50">IF(A593="","",E592+D593)</f>
        <v/>
      </c>
      <c r="F593" s="23" t="str">
        <f ca="1">IF(A593="","",IF($B$8="Sí",interpolar_alamb(E593,OFFSET(Curvas_cupon_cero!$A$1,1,0,COUNT(Curvas_cupon_cero!$A:$A)-2,1),OFFSET(Curvas_cupon_cero!$A$1,1,MATCH(Bono_M_Cupon_fijo_curva!$B$7,Curvas_cupon_cero!$1:$1,0)-1,COUNT(Curvas_cupon_cero!$A:$A)-2,1)),interpolar(E593,OFFSET(Curvas_cupon_cero!$A$1,1,0,COUNT(Curvas_cupon_cero!$A:$A)-2,1),OFFSET(Curvas_cupon_cero!$A$1,1,MATCH(Bono_M_Cupon_fijo_curva!$B$7,Curvas_cupon_cero!$1:$1,0)-1,COUNT(Curvas_cupon_cero!$A:$A)-2,1))))</f>
        <v/>
      </c>
      <c r="G593" s="19" t="str">
        <f>IF(A593="","",C593/(1+F593*$B$6/360)^(COUNT(A$16:A593)-($B$6-$D$16)/$B$6))</f>
        <v/>
      </c>
    </row>
    <row r="594" spans="1:7" x14ac:dyDescent="0.2">
      <c r="A594" s="12" t="str">
        <f t="shared" si="46"/>
        <v/>
      </c>
      <c r="B594" t="str">
        <f t="shared" si="47"/>
        <v/>
      </c>
      <c r="C594" s="17" t="str">
        <f t="shared" si="48"/>
        <v/>
      </c>
      <c r="D594" s="18" t="str">
        <f t="shared" si="49"/>
        <v/>
      </c>
      <c r="E594" t="str">
        <f t="shared" si="50"/>
        <v/>
      </c>
      <c r="F594" s="23" t="str">
        <f ca="1">IF(A594="","",IF($B$8="Sí",interpolar_alamb(E594,OFFSET(Curvas_cupon_cero!$A$1,1,0,COUNT(Curvas_cupon_cero!$A:$A)-2,1),OFFSET(Curvas_cupon_cero!$A$1,1,MATCH(Bono_M_Cupon_fijo_curva!$B$7,Curvas_cupon_cero!$1:$1,0)-1,COUNT(Curvas_cupon_cero!$A:$A)-2,1)),interpolar(E594,OFFSET(Curvas_cupon_cero!$A$1,1,0,COUNT(Curvas_cupon_cero!$A:$A)-2,1),OFFSET(Curvas_cupon_cero!$A$1,1,MATCH(Bono_M_Cupon_fijo_curva!$B$7,Curvas_cupon_cero!$1:$1,0)-1,COUNT(Curvas_cupon_cero!$A:$A)-2,1))))</f>
        <v/>
      </c>
      <c r="G594" s="19" t="str">
        <f>IF(A594="","",C594/(1+F594*$B$6/360)^(COUNT(A$16:A594)-($B$6-$D$16)/$B$6))</f>
        <v/>
      </c>
    </row>
    <row r="595" spans="1:7" x14ac:dyDescent="0.2">
      <c r="A595" s="12" t="str">
        <f t="shared" si="46"/>
        <v/>
      </c>
      <c r="B595" t="str">
        <f t="shared" si="47"/>
        <v/>
      </c>
      <c r="C595" s="17" t="str">
        <f t="shared" si="48"/>
        <v/>
      </c>
      <c r="D595" s="18" t="str">
        <f t="shared" si="49"/>
        <v/>
      </c>
      <c r="E595" t="str">
        <f t="shared" si="50"/>
        <v/>
      </c>
      <c r="F595" s="23" t="str">
        <f ca="1">IF(A595="","",IF($B$8="Sí",interpolar_alamb(E595,OFFSET(Curvas_cupon_cero!$A$1,1,0,COUNT(Curvas_cupon_cero!$A:$A)-2,1),OFFSET(Curvas_cupon_cero!$A$1,1,MATCH(Bono_M_Cupon_fijo_curva!$B$7,Curvas_cupon_cero!$1:$1,0)-1,COUNT(Curvas_cupon_cero!$A:$A)-2,1)),interpolar(E595,OFFSET(Curvas_cupon_cero!$A$1,1,0,COUNT(Curvas_cupon_cero!$A:$A)-2,1),OFFSET(Curvas_cupon_cero!$A$1,1,MATCH(Bono_M_Cupon_fijo_curva!$B$7,Curvas_cupon_cero!$1:$1,0)-1,COUNT(Curvas_cupon_cero!$A:$A)-2,1))))</f>
        <v/>
      </c>
      <c r="G595" s="19" t="str">
        <f>IF(A595="","",C595/(1+F595*$B$6/360)^(COUNT(A$16:A595)-($B$6-$D$16)/$B$6))</f>
        <v/>
      </c>
    </row>
    <row r="596" spans="1:7" x14ac:dyDescent="0.2">
      <c r="A596" s="12" t="str">
        <f t="shared" si="46"/>
        <v/>
      </c>
      <c r="B596" t="str">
        <f t="shared" si="47"/>
        <v/>
      </c>
      <c r="C596" s="17" t="str">
        <f t="shared" si="48"/>
        <v/>
      </c>
      <c r="D596" s="18" t="str">
        <f t="shared" si="49"/>
        <v/>
      </c>
      <c r="E596" t="str">
        <f t="shared" si="50"/>
        <v/>
      </c>
      <c r="F596" s="23" t="str">
        <f ca="1">IF(A596="","",IF($B$8="Sí",interpolar_alamb(E596,OFFSET(Curvas_cupon_cero!$A$1,1,0,COUNT(Curvas_cupon_cero!$A:$A)-2,1),OFFSET(Curvas_cupon_cero!$A$1,1,MATCH(Bono_M_Cupon_fijo_curva!$B$7,Curvas_cupon_cero!$1:$1,0)-1,COUNT(Curvas_cupon_cero!$A:$A)-2,1)),interpolar(E596,OFFSET(Curvas_cupon_cero!$A$1,1,0,COUNT(Curvas_cupon_cero!$A:$A)-2,1),OFFSET(Curvas_cupon_cero!$A$1,1,MATCH(Bono_M_Cupon_fijo_curva!$B$7,Curvas_cupon_cero!$1:$1,0)-1,COUNT(Curvas_cupon_cero!$A:$A)-2,1))))</f>
        <v/>
      </c>
      <c r="G596" s="19" t="str">
        <f>IF(A596="","",C596/(1+F596*$B$6/360)^(COUNT(A$16:A596)-($B$6-$D$16)/$B$6))</f>
        <v/>
      </c>
    </row>
    <row r="597" spans="1:7" x14ac:dyDescent="0.2">
      <c r="A597" s="12" t="str">
        <f t="shared" si="46"/>
        <v/>
      </c>
      <c r="B597" t="str">
        <f t="shared" si="47"/>
        <v/>
      </c>
      <c r="C597" s="17" t="str">
        <f t="shared" si="48"/>
        <v/>
      </c>
      <c r="D597" s="18" t="str">
        <f t="shared" si="49"/>
        <v/>
      </c>
      <c r="E597" t="str">
        <f t="shared" si="50"/>
        <v/>
      </c>
      <c r="F597" s="23" t="str">
        <f ca="1">IF(A597="","",IF($B$8="Sí",interpolar_alamb(E597,OFFSET(Curvas_cupon_cero!$A$1,1,0,COUNT(Curvas_cupon_cero!$A:$A)-2,1),OFFSET(Curvas_cupon_cero!$A$1,1,MATCH(Bono_M_Cupon_fijo_curva!$B$7,Curvas_cupon_cero!$1:$1,0)-1,COUNT(Curvas_cupon_cero!$A:$A)-2,1)),interpolar(E597,OFFSET(Curvas_cupon_cero!$A$1,1,0,COUNT(Curvas_cupon_cero!$A:$A)-2,1),OFFSET(Curvas_cupon_cero!$A$1,1,MATCH(Bono_M_Cupon_fijo_curva!$B$7,Curvas_cupon_cero!$1:$1,0)-1,COUNT(Curvas_cupon_cero!$A:$A)-2,1))))</f>
        <v/>
      </c>
      <c r="G597" s="19" t="str">
        <f>IF(A597="","",C597/(1+F597*$B$6/360)^(COUNT(A$16:A597)-($B$6-$D$16)/$B$6))</f>
        <v/>
      </c>
    </row>
    <row r="598" spans="1:7" x14ac:dyDescent="0.2">
      <c r="A598" s="12" t="str">
        <f t="shared" si="46"/>
        <v/>
      </c>
      <c r="B598" t="str">
        <f t="shared" si="47"/>
        <v/>
      </c>
      <c r="C598" s="17" t="str">
        <f t="shared" si="48"/>
        <v/>
      </c>
      <c r="D598" s="18" t="str">
        <f t="shared" si="49"/>
        <v/>
      </c>
      <c r="E598" t="str">
        <f t="shared" si="50"/>
        <v/>
      </c>
      <c r="F598" s="23" t="str">
        <f ca="1">IF(A598="","",IF($B$8="Sí",interpolar_alamb(E598,OFFSET(Curvas_cupon_cero!$A$1,1,0,COUNT(Curvas_cupon_cero!$A:$A)-2,1),OFFSET(Curvas_cupon_cero!$A$1,1,MATCH(Bono_M_Cupon_fijo_curva!$B$7,Curvas_cupon_cero!$1:$1,0)-1,COUNT(Curvas_cupon_cero!$A:$A)-2,1)),interpolar(E598,OFFSET(Curvas_cupon_cero!$A$1,1,0,COUNT(Curvas_cupon_cero!$A:$A)-2,1),OFFSET(Curvas_cupon_cero!$A$1,1,MATCH(Bono_M_Cupon_fijo_curva!$B$7,Curvas_cupon_cero!$1:$1,0)-1,COUNT(Curvas_cupon_cero!$A:$A)-2,1))))</f>
        <v/>
      </c>
      <c r="G598" s="19" t="str">
        <f>IF(A598="","",C598/(1+F598*$B$6/360)^(COUNT(A$16:A598)-($B$6-$D$16)/$B$6))</f>
        <v/>
      </c>
    </row>
    <row r="599" spans="1:7" x14ac:dyDescent="0.2">
      <c r="A599" s="12" t="str">
        <f t="shared" si="46"/>
        <v/>
      </c>
      <c r="B599" t="str">
        <f t="shared" si="47"/>
        <v/>
      </c>
      <c r="C599" s="17" t="str">
        <f t="shared" si="48"/>
        <v/>
      </c>
      <c r="D599" s="18" t="str">
        <f t="shared" si="49"/>
        <v/>
      </c>
      <c r="E599" t="str">
        <f t="shared" si="50"/>
        <v/>
      </c>
      <c r="F599" s="23" t="str">
        <f ca="1">IF(A599="","",IF($B$8="Sí",interpolar_alamb(E599,OFFSET(Curvas_cupon_cero!$A$1,1,0,COUNT(Curvas_cupon_cero!$A:$A)-2,1),OFFSET(Curvas_cupon_cero!$A$1,1,MATCH(Bono_M_Cupon_fijo_curva!$B$7,Curvas_cupon_cero!$1:$1,0)-1,COUNT(Curvas_cupon_cero!$A:$A)-2,1)),interpolar(E599,OFFSET(Curvas_cupon_cero!$A$1,1,0,COUNT(Curvas_cupon_cero!$A:$A)-2,1),OFFSET(Curvas_cupon_cero!$A$1,1,MATCH(Bono_M_Cupon_fijo_curva!$B$7,Curvas_cupon_cero!$1:$1,0)-1,COUNT(Curvas_cupon_cero!$A:$A)-2,1))))</f>
        <v/>
      </c>
      <c r="G599" s="19" t="str">
        <f>IF(A599="","",C599/(1+F599*$B$6/360)^(COUNT(A$16:A599)-($B$6-$D$16)/$B$6))</f>
        <v/>
      </c>
    </row>
    <row r="600" spans="1:7" x14ac:dyDescent="0.2">
      <c r="A600" s="12" t="str">
        <f t="shared" si="46"/>
        <v/>
      </c>
      <c r="B600" t="str">
        <f t="shared" si="47"/>
        <v/>
      </c>
      <c r="C600" s="17" t="str">
        <f t="shared" si="48"/>
        <v/>
      </c>
      <c r="D600" s="18" t="str">
        <f t="shared" si="49"/>
        <v/>
      </c>
      <c r="E600" t="str">
        <f t="shared" si="50"/>
        <v/>
      </c>
      <c r="F600" s="23" t="str">
        <f ca="1">IF(A600="","",IF($B$8="Sí",interpolar_alamb(E600,OFFSET(Curvas_cupon_cero!$A$1,1,0,COUNT(Curvas_cupon_cero!$A:$A)-2,1),OFFSET(Curvas_cupon_cero!$A$1,1,MATCH(Bono_M_Cupon_fijo_curva!$B$7,Curvas_cupon_cero!$1:$1,0)-1,COUNT(Curvas_cupon_cero!$A:$A)-2,1)),interpolar(E600,OFFSET(Curvas_cupon_cero!$A$1,1,0,COUNT(Curvas_cupon_cero!$A:$A)-2,1),OFFSET(Curvas_cupon_cero!$A$1,1,MATCH(Bono_M_Cupon_fijo_curva!$B$7,Curvas_cupon_cero!$1:$1,0)-1,COUNT(Curvas_cupon_cero!$A:$A)-2,1))))</f>
        <v/>
      </c>
      <c r="G600" s="19" t="str">
        <f>IF(A600="","",C600/(1+F600*$B$6/360)^(COUNT(A$16:A600)-($B$6-$D$16)/$B$6))</f>
        <v/>
      </c>
    </row>
    <row r="601" spans="1:7" x14ac:dyDescent="0.2">
      <c r="A601" s="12" t="str">
        <f t="shared" si="46"/>
        <v/>
      </c>
      <c r="B601" t="str">
        <f t="shared" si="47"/>
        <v/>
      </c>
      <c r="C601" s="17" t="str">
        <f t="shared" si="48"/>
        <v/>
      </c>
      <c r="D601" s="18" t="str">
        <f t="shared" si="49"/>
        <v/>
      </c>
      <c r="E601" t="str">
        <f t="shared" si="50"/>
        <v/>
      </c>
      <c r="F601" s="23" t="str">
        <f ca="1">IF(A601="","",IF($B$8="Sí",interpolar_alamb(E601,OFFSET(Curvas_cupon_cero!$A$1,1,0,COUNT(Curvas_cupon_cero!$A:$A)-2,1),OFFSET(Curvas_cupon_cero!$A$1,1,MATCH(Bono_M_Cupon_fijo_curva!$B$7,Curvas_cupon_cero!$1:$1,0)-1,COUNT(Curvas_cupon_cero!$A:$A)-2,1)),interpolar(E601,OFFSET(Curvas_cupon_cero!$A$1,1,0,COUNT(Curvas_cupon_cero!$A:$A)-2,1),OFFSET(Curvas_cupon_cero!$A$1,1,MATCH(Bono_M_Cupon_fijo_curva!$B$7,Curvas_cupon_cero!$1:$1,0)-1,COUNT(Curvas_cupon_cero!$A:$A)-2,1))))</f>
        <v/>
      </c>
      <c r="G601" s="19" t="str">
        <f>IF(A601="","",C601/(1+F601*$B$6/360)^(COUNT(A$16:A601)-($B$6-$D$16)/$B$6))</f>
        <v/>
      </c>
    </row>
    <row r="602" spans="1:7" x14ac:dyDescent="0.2">
      <c r="A602" s="12" t="str">
        <f t="shared" si="46"/>
        <v/>
      </c>
      <c r="B602" t="str">
        <f t="shared" si="47"/>
        <v/>
      </c>
      <c r="C602" s="17" t="str">
        <f t="shared" si="48"/>
        <v/>
      </c>
      <c r="D602" s="18" t="str">
        <f t="shared" si="49"/>
        <v/>
      </c>
      <c r="E602" t="str">
        <f t="shared" si="50"/>
        <v/>
      </c>
      <c r="F602" s="23" t="str">
        <f ca="1">IF(A602="","",IF($B$8="Sí",interpolar_alamb(E602,OFFSET(Curvas_cupon_cero!$A$1,1,0,COUNT(Curvas_cupon_cero!$A:$A)-2,1),OFFSET(Curvas_cupon_cero!$A$1,1,MATCH(Bono_M_Cupon_fijo_curva!$B$7,Curvas_cupon_cero!$1:$1,0)-1,COUNT(Curvas_cupon_cero!$A:$A)-2,1)),interpolar(E602,OFFSET(Curvas_cupon_cero!$A$1,1,0,COUNT(Curvas_cupon_cero!$A:$A)-2,1),OFFSET(Curvas_cupon_cero!$A$1,1,MATCH(Bono_M_Cupon_fijo_curva!$B$7,Curvas_cupon_cero!$1:$1,0)-1,COUNT(Curvas_cupon_cero!$A:$A)-2,1))))</f>
        <v/>
      </c>
      <c r="G602" s="19" t="str">
        <f>IF(A602="","",C602/(1+F602*$B$6/360)^(COUNT(A$16:A602)-($B$6-$D$16)/$B$6))</f>
        <v/>
      </c>
    </row>
    <row r="603" spans="1:7" x14ac:dyDescent="0.2">
      <c r="A603" s="12" t="str">
        <f t="shared" ref="A603:A666" si="51">IF(A602="","",IF((A602+$B$6)&gt;$B$4,"",(A602+$B$6)))</f>
        <v/>
      </c>
      <c r="B603" t="str">
        <f t="shared" si="47"/>
        <v/>
      </c>
      <c r="C603" s="17" t="str">
        <f t="shared" si="48"/>
        <v/>
      </c>
      <c r="D603" s="18" t="str">
        <f t="shared" si="49"/>
        <v/>
      </c>
      <c r="E603" t="str">
        <f t="shared" si="50"/>
        <v/>
      </c>
      <c r="F603" s="23" t="str">
        <f ca="1">IF(A603="","",IF($B$8="Sí",interpolar_alamb(E603,OFFSET(Curvas_cupon_cero!$A$1,1,0,COUNT(Curvas_cupon_cero!$A:$A)-2,1),OFFSET(Curvas_cupon_cero!$A$1,1,MATCH(Bono_M_Cupon_fijo_curva!$B$7,Curvas_cupon_cero!$1:$1,0)-1,COUNT(Curvas_cupon_cero!$A:$A)-2,1)),interpolar(E603,OFFSET(Curvas_cupon_cero!$A$1,1,0,COUNT(Curvas_cupon_cero!$A:$A)-2,1),OFFSET(Curvas_cupon_cero!$A$1,1,MATCH(Bono_M_Cupon_fijo_curva!$B$7,Curvas_cupon_cero!$1:$1,0)-1,COUNT(Curvas_cupon_cero!$A:$A)-2,1))))</f>
        <v/>
      </c>
      <c r="G603" s="19" t="str">
        <f>IF(A603="","",C603/(1+F603*$B$6/360)^(COUNT(A$16:A603)-($B$6-$D$16)/$B$6))</f>
        <v/>
      </c>
    </row>
    <row r="604" spans="1:7" x14ac:dyDescent="0.2">
      <c r="A604" s="12" t="str">
        <f t="shared" si="51"/>
        <v/>
      </c>
      <c r="B604" t="str">
        <f t="shared" si="47"/>
        <v/>
      </c>
      <c r="C604" s="17" t="str">
        <f t="shared" si="48"/>
        <v/>
      </c>
      <c r="D604" s="18" t="str">
        <f t="shared" si="49"/>
        <v/>
      </c>
      <c r="E604" t="str">
        <f t="shared" si="50"/>
        <v/>
      </c>
      <c r="F604" s="23" t="str">
        <f ca="1">IF(A604="","",IF($B$8="Sí",interpolar_alamb(E604,OFFSET(Curvas_cupon_cero!$A$1,1,0,COUNT(Curvas_cupon_cero!$A:$A)-2,1),OFFSET(Curvas_cupon_cero!$A$1,1,MATCH(Bono_M_Cupon_fijo_curva!$B$7,Curvas_cupon_cero!$1:$1,0)-1,COUNT(Curvas_cupon_cero!$A:$A)-2,1)),interpolar(E604,OFFSET(Curvas_cupon_cero!$A$1,1,0,COUNT(Curvas_cupon_cero!$A:$A)-2,1),OFFSET(Curvas_cupon_cero!$A$1,1,MATCH(Bono_M_Cupon_fijo_curva!$B$7,Curvas_cupon_cero!$1:$1,0)-1,COUNT(Curvas_cupon_cero!$A:$A)-2,1))))</f>
        <v/>
      </c>
      <c r="G604" s="19" t="str">
        <f>IF(A604="","",C604/(1+F604*$B$6/360)^(COUNT(A$16:A604)-($B$6-$D$16)/$B$6))</f>
        <v/>
      </c>
    </row>
    <row r="605" spans="1:7" x14ac:dyDescent="0.2">
      <c r="A605" s="12" t="str">
        <f t="shared" si="51"/>
        <v/>
      </c>
      <c r="B605" t="str">
        <f t="shared" si="47"/>
        <v/>
      </c>
      <c r="C605" s="17" t="str">
        <f t="shared" si="48"/>
        <v/>
      </c>
      <c r="D605" s="18" t="str">
        <f t="shared" si="49"/>
        <v/>
      </c>
      <c r="E605" t="str">
        <f t="shared" si="50"/>
        <v/>
      </c>
      <c r="F605" s="23" t="str">
        <f ca="1">IF(A605="","",IF($B$8="Sí",interpolar_alamb(E605,OFFSET(Curvas_cupon_cero!$A$1,1,0,COUNT(Curvas_cupon_cero!$A:$A)-2,1),OFFSET(Curvas_cupon_cero!$A$1,1,MATCH(Bono_M_Cupon_fijo_curva!$B$7,Curvas_cupon_cero!$1:$1,0)-1,COUNT(Curvas_cupon_cero!$A:$A)-2,1)),interpolar(E605,OFFSET(Curvas_cupon_cero!$A$1,1,0,COUNT(Curvas_cupon_cero!$A:$A)-2,1),OFFSET(Curvas_cupon_cero!$A$1,1,MATCH(Bono_M_Cupon_fijo_curva!$B$7,Curvas_cupon_cero!$1:$1,0)-1,COUNT(Curvas_cupon_cero!$A:$A)-2,1))))</f>
        <v/>
      </c>
      <c r="G605" s="19" t="str">
        <f>IF(A605="","",C605/(1+F605*$B$6/360)^(COUNT(A$16:A605)-($B$6-$D$16)/$B$6))</f>
        <v/>
      </c>
    </row>
    <row r="606" spans="1:7" x14ac:dyDescent="0.2">
      <c r="A606" s="12" t="str">
        <f t="shared" si="51"/>
        <v/>
      </c>
      <c r="B606" t="str">
        <f t="shared" si="47"/>
        <v/>
      </c>
      <c r="C606" s="17" t="str">
        <f t="shared" si="48"/>
        <v/>
      </c>
      <c r="D606" s="18" t="str">
        <f t="shared" si="49"/>
        <v/>
      </c>
      <c r="E606" t="str">
        <f t="shared" si="50"/>
        <v/>
      </c>
      <c r="F606" s="23" t="str">
        <f ca="1">IF(A606="","",IF($B$8="Sí",interpolar_alamb(E606,OFFSET(Curvas_cupon_cero!$A$1,1,0,COUNT(Curvas_cupon_cero!$A:$A)-2,1),OFFSET(Curvas_cupon_cero!$A$1,1,MATCH(Bono_M_Cupon_fijo_curva!$B$7,Curvas_cupon_cero!$1:$1,0)-1,COUNT(Curvas_cupon_cero!$A:$A)-2,1)),interpolar(E606,OFFSET(Curvas_cupon_cero!$A$1,1,0,COUNT(Curvas_cupon_cero!$A:$A)-2,1),OFFSET(Curvas_cupon_cero!$A$1,1,MATCH(Bono_M_Cupon_fijo_curva!$B$7,Curvas_cupon_cero!$1:$1,0)-1,COUNT(Curvas_cupon_cero!$A:$A)-2,1))))</f>
        <v/>
      </c>
      <c r="G606" s="19" t="str">
        <f>IF(A606="","",C606/(1+F606*$B$6/360)^(COUNT(A$16:A606)-($B$6-$D$16)/$B$6))</f>
        <v/>
      </c>
    </row>
    <row r="607" spans="1:7" x14ac:dyDescent="0.2">
      <c r="A607" s="12" t="str">
        <f t="shared" si="51"/>
        <v/>
      </c>
      <c r="B607" t="str">
        <f t="shared" si="47"/>
        <v/>
      </c>
      <c r="C607" s="17" t="str">
        <f t="shared" si="48"/>
        <v/>
      </c>
      <c r="D607" s="18" t="str">
        <f t="shared" si="49"/>
        <v/>
      </c>
      <c r="E607" t="str">
        <f t="shared" si="50"/>
        <v/>
      </c>
      <c r="F607" s="23" t="str">
        <f ca="1">IF(A607="","",IF($B$8="Sí",interpolar_alamb(E607,OFFSET(Curvas_cupon_cero!$A$1,1,0,COUNT(Curvas_cupon_cero!$A:$A)-2,1),OFFSET(Curvas_cupon_cero!$A$1,1,MATCH(Bono_M_Cupon_fijo_curva!$B$7,Curvas_cupon_cero!$1:$1,0)-1,COUNT(Curvas_cupon_cero!$A:$A)-2,1)),interpolar(E607,OFFSET(Curvas_cupon_cero!$A$1,1,0,COUNT(Curvas_cupon_cero!$A:$A)-2,1),OFFSET(Curvas_cupon_cero!$A$1,1,MATCH(Bono_M_Cupon_fijo_curva!$B$7,Curvas_cupon_cero!$1:$1,0)-1,COUNT(Curvas_cupon_cero!$A:$A)-2,1))))</f>
        <v/>
      </c>
      <c r="G607" s="19" t="str">
        <f>IF(A607="","",C607/(1+F607*$B$6/360)^(COUNT(A$16:A607)-($B$6-$D$16)/$B$6))</f>
        <v/>
      </c>
    </row>
    <row r="608" spans="1:7" x14ac:dyDescent="0.2">
      <c r="A608" s="12" t="str">
        <f t="shared" si="51"/>
        <v/>
      </c>
      <c r="B608" t="str">
        <f t="shared" si="47"/>
        <v/>
      </c>
      <c r="C608" s="17" t="str">
        <f t="shared" si="48"/>
        <v/>
      </c>
      <c r="D608" s="18" t="str">
        <f t="shared" si="49"/>
        <v/>
      </c>
      <c r="E608" t="str">
        <f t="shared" si="50"/>
        <v/>
      </c>
      <c r="F608" s="23" t="str">
        <f ca="1">IF(A608="","",IF($B$8="Sí",interpolar_alamb(E608,OFFSET(Curvas_cupon_cero!$A$1,1,0,COUNT(Curvas_cupon_cero!$A:$A)-2,1),OFFSET(Curvas_cupon_cero!$A$1,1,MATCH(Bono_M_Cupon_fijo_curva!$B$7,Curvas_cupon_cero!$1:$1,0)-1,COUNT(Curvas_cupon_cero!$A:$A)-2,1)),interpolar(E608,OFFSET(Curvas_cupon_cero!$A$1,1,0,COUNT(Curvas_cupon_cero!$A:$A)-2,1),OFFSET(Curvas_cupon_cero!$A$1,1,MATCH(Bono_M_Cupon_fijo_curva!$B$7,Curvas_cupon_cero!$1:$1,0)-1,COUNT(Curvas_cupon_cero!$A:$A)-2,1))))</f>
        <v/>
      </c>
      <c r="G608" s="19" t="str">
        <f>IF(A608="","",C608/(1+F608*$B$6/360)^(COUNT(A$16:A608)-($B$6-$D$16)/$B$6))</f>
        <v/>
      </c>
    </row>
    <row r="609" spans="1:7" x14ac:dyDescent="0.2">
      <c r="A609" s="12" t="str">
        <f t="shared" si="51"/>
        <v/>
      </c>
      <c r="B609" t="str">
        <f t="shared" si="47"/>
        <v/>
      </c>
      <c r="C609" s="17" t="str">
        <f t="shared" si="48"/>
        <v/>
      </c>
      <c r="D609" s="18" t="str">
        <f t="shared" si="49"/>
        <v/>
      </c>
      <c r="E609" t="str">
        <f t="shared" si="50"/>
        <v/>
      </c>
      <c r="F609" s="23" t="str">
        <f ca="1">IF(A609="","",IF($B$8="Sí",interpolar_alamb(E609,OFFSET(Curvas_cupon_cero!$A$1,1,0,COUNT(Curvas_cupon_cero!$A:$A)-2,1),OFFSET(Curvas_cupon_cero!$A$1,1,MATCH(Bono_M_Cupon_fijo_curva!$B$7,Curvas_cupon_cero!$1:$1,0)-1,COUNT(Curvas_cupon_cero!$A:$A)-2,1)),interpolar(E609,OFFSET(Curvas_cupon_cero!$A$1,1,0,COUNT(Curvas_cupon_cero!$A:$A)-2,1),OFFSET(Curvas_cupon_cero!$A$1,1,MATCH(Bono_M_Cupon_fijo_curva!$B$7,Curvas_cupon_cero!$1:$1,0)-1,COUNT(Curvas_cupon_cero!$A:$A)-2,1))))</f>
        <v/>
      </c>
      <c r="G609" s="19" t="str">
        <f>IF(A609="","",C609/(1+F609*$B$6/360)^(COUNT(A$16:A609)-($B$6-$D$16)/$B$6))</f>
        <v/>
      </c>
    </row>
    <row r="610" spans="1:7" x14ac:dyDescent="0.2">
      <c r="A610" s="12" t="str">
        <f t="shared" si="51"/>
        <v/>
      </c>
      <c r="B610" t="str">
        <f t="shared" si="47"/>
        <v/>
      </c>
      <c r="C610" s="17" t="str">
        <f t="shared" si="48"/>
        <v/>
      </c>
      <c r="D610" s="18" t="str">
        <f t="shared" si="49"/>
        <v/>
      </c>
      <c r="E610" t="str">
        <f t="shared" si="50"/>
        <v/>
      </c>
      <c r="F610" s="23" t="str">
        <f ca="1">IF(A610="","",IF($B$8="Sí",interpolar_alamb(E610,OFFSET(Curvas_cupon_cero!$A$1,1,0,COUNT(Curvas_cupon_cero!$A:$A)-2,1),OFFSET(Curvas_cupon_cero!$A$1,1,MATCH(Bono_M_Cupon_fijo_curva!$B$7,Curvas_cupon_cero!$1:$1,0)-1,COUNT(Curvas_cupon_cero!$A:$A)-2,1)),interpolar(E610,OFFSET(Curvas_cupon_cero!$A$1,1,0,COUNT(Curvas_cupon_cero!$A:$A)-2,1),OFFSET(Curvas_cupon_cero!$A$1,1,MATCH(Bono_M_Cupon_fijo_curva!$B$7,Curvas_cupon_cero!$1:$1,0)-1,COUNT(Curvas_cupon_cero!$A:$A)-2,1))))</f>
        <v/>
      </c>
      <c r="G610" s="19" t="str">
        <f>IF(A610="","",C610/(1+F610*$B$6/360)^(COUNT(A$16:A610)-($B$6-$D$16)/$B$6))</f>
        <v/>
      </c>
    </row>
    <row r="611" spans="1:7" x14ac:dyDescent="0.2">
      <c r="A611" s="12" t="str">
        <f t="shared" si="51"/>
        <v/>
      </c>
      <c r="B611" t="str">
        <f t="shared" si="47"/>
        <v/>
      </c>
      <c r="C611" s="17" t="str">
        <f t="shared" si="48"/>
        <v/>
      </c>
      <c r="D611" s="18" t="str">
        <f t="shared" si="49"/>
        <v/>
      </c>
      <c r="E611" t="str">
        <f t="shared" si="50"/>
        <v/>
      </c>
      <c r="F611" s="23" t="str">
        <f ca="1">IF(A611="","",IF($B$8="Sí",interpolar_alamb(E611,OFFSET(Curvas_cupon_cero!$A$1,1,0,COUNT(Curvas_cupon_cero!$A:$A)-2,1),OFFSET(Curvas_cupon_cero!$A$1,1,MATCH(Bono_M_Cupon_fijo_curva!$B$7,Curvas_cupon_cero!$1:$1,0)-1,COUNT(Curvas_cupon_cero!$A:$A)-2,1)),interpolar(E611,OFFSET(Curvas_cupon_cero!$A$1,1,0,COUNT(Curvas_cupon_cero!$A:$A)-2,1),OFFSET(Curvas_cupon_cero!$A$1,1,MATCH(Bono_M_Cupon_fijo_curva!$B$7,Curvas_cupon_cero!$1:$1,0)-1,COUNT(Curvas_cupon_cero!$A:$A)-2,1))))</f>
        <v/>
      </c>
      <c r="G611" s="19" t="str">
        <f>IF(A611="","",C611/(1+F611*$B$6/360)^(COUNT(A$16:A611)-($B$6-$D$16)/$B$6))</f>
        <v/>
      </c>
    </row>
    <row r="612" spans="1:7" x14ac:dyDescent="0.2">
      <c r="A612" s="12" t="str">
        <f t="shared" si="51"/>
        <v/>
      </c>
      <c r="B612" t="str">
        <f t="shared" si="47"/>
        <v/>
      </c>
      <c r="C612" s="17" t="str">
        <f t="shared" si="48"/>
        <v/>
      </c>
      <c r="D612" s="18" t="str">
        <f t="shared" si="49"/>
        <v/>
      </c>
      <c r="E612" t="str">
        <f t="shared" si="50"/>
        <v/>
      </c>
      <c r="F612" s="23" t="str">
        <f ca="1">IF(A612="","",IF($B$8="Sí",interpolar_alamb(E612,OFFSET(Curvas_cupon_cero!$A$1,1,0,COUNT(Curvas_cupon_cero!$A:$A)-2,1),OFFSET(Curvas_cupon_cero!$A$1,1,MATCH(Bono_M_Cupon_fijo_curva!$B$7,Curvas_cupon_cero!$1:$1,0)-1,COUNT(Curvas_cupon_cero!$A:$A)-2,1)),interpolar(E612,OFFSET(Curvas_cupon_cero!$A$1,1,0,COUNT(Curvas_cupon_cero!$A:$A)-2,1),OFFSET(Curvas_cupon_cero!$A$1,1,MATCH(Bono_M_Cupon_fijo_curva!$B$7,Curvas_cupon_cero!$1:$1,0)-1,COUNT(Curvas_cupon_cero!$A:$A)-2,1))))</f>
        <v/>
      </c>
      <c r="G612" s="19" t="str">
        <f>IF(A612="","",C612/(1+F612*$B$6/360)^(COUNT(A$16:A612)-($B$6-$D$16)/$B$6))</f>
        <v/>
      </c>
    </row>
    <row r="613" spans="1:7" x14ac:dyDescent="0.2">
      <c r="A613" s="12" t="str">
        <f t="shared" si="51"/>
        <v/>
      </c>
      <c r="B613" t="str">
        <f t="shared" si="47"/>
        <v/>
      </c>
      <c r="C613" s="17" t="str">
        <f t="shared" si="48"/>
        <v/>
      </c>
      <c r="D613" s="18" t="str">
        <f t="shared" si="49"/>
        <v/>
      </c>
      <c r="E613" t="str">
        <f t="shared" si="50"/>
        <v/>
      </c>
      <c r="F613" s="23" t="str">
        <f ca="1">IF(A613="","",IF($B$8="Sí",interpolar_alamb(E613,OFFSET(Curvas_cupon_cero!$A$1,1,0,COUNT(Curvas_cupon_cero!$A:$A)-2,1),OFFSET(Curvas_cupon_cero!$A$1,1,MATCH(Bono_M_Cupon_fijo_curva!$B$7,Curvas_cupon_cero!$1:$1,0)-1,COUNT(Curvas_cupon_cero!$A:$A)-2,1)),interpolar(E613,OFFSET(Curvas_cupon_cero!$A$1,1,0,COUNT(Curvas_cupon_cero!$A:$A)-2,1),OFFSET(Curvas_cupon_cero!$A$1,1,MATCH(Bono_M_Cupon_fijo_curva!$B$7,Curvas_cupon_cero!$1:$1,0)-1,COUNT(Curvas_cupon_cero!$A:$A)-2,1))))</f>
        <v/>
      </c>
      <c r="G613" s="19" t="str">
        <f>IF(A613="","",C613/(1+F613*$B$6/360)^(COUNT(A$16:A613)-($B$6-$D$16)/$B$6))</f>
        <v/>
      </c>
    </row>
    <row r="614" spans="1:7" x14ac:dyDescent="0.2">
      <c r="A614" s="12" t="str">
        <f t="shared" si="51"/>
        <v/>
      </c>
      <c r="B614" t="str">
        <f t="shared" si="47"/>
        <v/>
      </c>
      <c r="C614" s="17" t="str">
        <f t="shared" si="48"/>
        <v/>
      </c>
      <c r="D614" s="18" t="str">
        <f t="shared" si="49"/>
        <v/>
      </c>
      <c r="E614" t="str">
        <f t="shared" si="50"/>
        <v/>
      </c>
      <c r="F614" s="23" t="str">
        <f ca="1">IF(A614="","",IF($B$8="Sí",interpolar_alamb(E614,OFFSET(Curvas_cupon_cero!$A$1,1,0,COUNT(Curvas_cupon_cero!$A:$A)-2,1),OFFSET(Curvas_cupon_cero!$A$1,1,MATCH(Bono_M_Cupon_fijo_curva!$B$7,Curvas_cupon_cero!$1:$1,0)-1,COUNT(Curvas_cupon_cero!$A:$A)-2,1)),interpolar(E614,OFFSET(Curvas_cupon_cero!$A$1,1,0,COUNT(Curvas_cupon_cero!$A:$A)-2,1),OFFSET(Curvas_cupon_cero!$A$1,1,MATCH(Bono_M_Cupon_fijo_curva!$B$7,Curvas_cupon_cero!$1:$1,0)-1,COUNT(Curvas_cupon_cero!$A:$A)-2,1))))</f>
        <v/>
      </c>
      <c r="G614" s="19" t="str">
        <f>IF(A614="","",C614/(1+F614*$B$6/360)^(COUNT(A$16:A614)-($B$6-$D$16)/$B$6))</f>
        <v/>
      </c>
    </row>
    <row r="615" spans="1:7" x14ac:dyDescent="0.2">
      <c r="A615" s="12" t="str">
        <f t="shared" si="51"/>
        <v/>
      </c>
      <c r="B615" t="str">
        <f t="shared" si="47"/>
        <v/>
      </c>
      <c r="C615" s="17" t="str">
        <f t="shared" si="48"/>
        <v/>
      </c>
      <c r="D615" s="18" t="str">
        <f t="shared" si="49"/>
        <v/>
      </c>
      <c r="E615" t="str">
        <f t="shared" si="50"/>
        <v/>
      </c>
      <c r="F615" s="23" t="str">
        <f ca="1">IF(A615="","",IF($B$8="Sí",interpolar_alamb(E615,OFFSET(Curvas_cupon_cero!$A$1,1,0,COUNT(Curvas_cupon_cero!$A:$A)-2,1),OFFSET(Curvas_cupon_cero!$A$1,1,MATCH(Bono_M_Cupon_fijo_curva!$B$7,Curvas_cupon_cero!$1:$1,0)-1,COUNT(Curvas_cupon_cero!$A:$A)-2,1)),interpolar(E615,OFFSET(Curvas_cupon_cero!$A$1,1,0,COUNT(Curvas_cupon_cero!$A:$A)-2,1),OFFSET(Curvas_cupon_cero!$A$1,1,MATCH(Bono_M_Cupon_fijo_curva!$B$7,Curvas_cupon_cero!$1:$1,0)-1,COUNT(Curvas_cupon_cero!$A:$A)-2,1))))</f>
        <v/>
      </c>
      <c r="G615" s="19" t="str">
        <f>IF(A615="","",C615/(1+F615*$B$6/360)^(COUNT(A$16:A615)-($B$6-$D$16)/$B$6))</f>
        <v/>
      </c>
    </row>
    <row r="616" spans="1:7" x14ac:dyDescent="0.2">
      <c r="A616" s="12" t="str">
        <f t="shared" si="51"/>
        <v/>
      </c>
      <c r="B616" t="str">
        <f t="shared" si="47"/>
        <v/>
      </c>
      <c r="C616" s="17" t="str">
        <f t="shared" si="48"/>
        <v/>
      </c>
      <c r="D616" s="18" t="str">
        <f t="shared" si="49"/>
        <v/>
      </c>
      <c r="E616" t="str">
        <f t="shared" si="50"/>
        <v/>
      </c>
      <c r="F616" s="23" t="str">
        <f ca="1">IF(A616="","",IF($B$8="Sí",interpolar_alamb(E616,OFFSET(Curvas_cupon_cero!$A$1,1,0,COUNT(Curvas_cupon_cero!$A:$A)-2,1),OFFSET(Curvas_cupon_cero!$A$1,1,MATCH(Bono_M_Cupon_fijo_curva!$B$7,Curvas_cupon_cero!$1:$1,0)-1,COUNT(Curvas_cupon_cero!$A:$A)-2,1)),interpolar(E616,OFFSET(Curvas_cupon_cero!$A$1,1,0,COUNT(Curvas_cupon_cero!$A:$A)-2,1),OFFSET(Curvas_cupon_cero!$A$1,1,MATCH(Bono_M_Cupon_fijo_curva!$B$7,Curvas_cupon_cero!$1:$1,0)-1,COUNT(Curvas_cupon_cero!$A:$A)-2,1))))</f>
        <v/>
      </c>
      <c r="G616" s="19" t="str">
        <f>IF(A616="","",C616/(1+F616*$B$6/360)^(COUNT(A$16:A616)-($B$6-$D$16)/$B$6))</f>
        <v/>
      </c>
    </row>
    <row r="617" spans="1:7" x14ac:dyDescent="0.2">
      <c r="A617" s="12" t="str">
        <f t="shared" si="51"/>
        <v/>
      </c>
      <c r="B617" t="str">
        <f t="shared" si="47"/>
        <v/>
      </c>
      <c r="C617" s="17" t="str">
        <f t="shared" si="48"/>
        <v/>
      </c>
      <c r="D617" s="18" t="str">
        <f t="shared" si="49"/>
        <v/>
      </c>
      <c r="E617" t="str">
        <f t="shared" si="50"/>
        <v/>
      </c>
      <c r="F617" s="23" t="str">
        <f ca="1">IF(A617="","",IF($B$8="Sí",interpolar_alamb(E617,OFFSET(Curvas_cupon_cero!$A$1,1,0,COUNT(Curvas_cupon_cero!$A:$A)-2,1),OFFSET(Curvas_cupon_cero!$A$1,1,MATCH(Bono_M_Cupon_fijo_curva!$B$7,Curvas_cupon_cero!$1:$1,0)-1,COUNT(Curvas_cupon_cero!$A:$A)-2,1)),interpolar(E617,OFFSET(Curvas_cupon_cero!$A$1,1,0,COUNT(Curvas_cupon_cero!$A:$A)-2,1),OFFSET(Curvas_cupon_cero!$A$1,1,MATCH(Bono_M_Cupon_fijo_curva!$B$7,Curvas_cupon_cero!$1:$1,0)-1,COUNT(Curvas_cupon_cero!$A:$A)-2,1))))</f>
        <v/>
      </c>
      <c r="G617" s="19" t="str">
        <f>IF(A617="","",C617/(1+F617*$B$6/360)^(COUNT(A$16:A617)-($B$6-$D$16)/$B$6))</f>
        <v/>
      </c>
    </row>
    <row r="618" spans="1:7" x14ac:dyDescent="0.2">
      <c r="A618" s="12" t="str">
        <f t="shared" si="51"/>
        <v/>
      </c>
      <c r="B618" t="str">
        <f t="shared" si="47"/>
        <v/>
      </c>
      <c r="C618" s="17" t="str">
        <f t="shared" si="48"/>
        <v/>
      </c>
      <c r="D618" s="18" t="str">
        <f t="shared" si="49"/>
        <v/>
      </c>
      <c r="E618" t="str">
        <f t="shared" si="50"/>
        <v/>
      </c>
      <c r="F618" s="23" t="str">
        <f ca="1">IF(A618="","",IF($B$8="Sí",interpolar_alamb(E618,OFFSET(Curvas_cupon_cero!$A$1,1,0,COUNT(Curvas_cupon_cero!$A:$A)-2,1),OFFSET(Curvas_cupon_cero!$A$1,1,MATCH(Bono_M_Cupon_fijo_curva!$B$7,Curvas_cupon_cero!$1:$1,0)-1,COUNT(Curvas_cupon_cero!$A:$A)-2,1)),interpolar(E618,OFFSET(Curvas_cupon_cero!$A$1,1,0,COUNT(Curvas_cupon_cero!$A:$A)-2,1),OFFSET(Curvas_cupon_cero!$A$1,1,MATCH(Bono_M_Cupon_fijo_curva!$B$7,Curvas_cupon_cero!$1:$1,0)-1,COUNT(Curvas_cupon_cero!$A:$A)-2,1))))</f>
        <v/>
      </c>
      <c r="G618" s="19" t="str">
        <f>IF(A618="","",C618/(1+F618*$B$6/360)^(COUNT(A$16:A618)-($B$6-$D$16)/$B$6))</f>
        <v/>
      </c>
    </row>
    <row r="619" spans="1:7" x14ac:dyDescent="0.2">
      <c r="A619" s="12" t="str">
        <f t="shared" si="51"/>
        <v/>
      </c>
      <c r="B619" t="str">
        <f t="shared" si="47"/>
        <v/>
      </c>
      <c r="C619" s="17" t="str">
        <f t="shared" si="48"/>
        <v/>
      </c>
      <c r="D619" s="18" t="str">
        <f t="shared" si="49"/>
        <v/>
      </c>
      <c r="E619" t="str">
        <f t="shared" si="50"/>
        <v/>
      </c>
      <c r="F619" s="23" t="str">
        <f ca="1">IF(A619="","",IF($B$8="Sí",interpolar_alamb(E619,OFFSET(Curvas_cupon_cero!$A$1,1,0,COUNT(Curvas_cupon_cero!$A:$A)-2,1),OFFSET(Curvas_cupon_cero!$A$1,1,MATCH(Bono_M_Cupon_fijo_curva!$B$7,Curvas_cupon_cero!$1:$1,0)-1,COUNT(Curvas_cupon_cero!$A:$A)-2,1)),interpolar(E619,OFFSET(Curvas_cupon_cero!$A$1,1,0,COUNT(Curvas_cupon_cero!$A:$A)-2,1),OFFSET(Curvas_cupon_cero!$A$1,1,MATCH(Bono_M_Cupon_fijo_curva!$B$7,Curvas_cupon_cero!$1:$1,0)-1,COUNT(Curvas_cupon_cero!$A:$A)-2,1))))</f>
        <v/>
      </c>
      <c r="G619" s="19" t="str">
        <f>IF(A619="","",C619/(1+F619*$B$6/360)^(COUNT(A$16:A619)-($B$6-$D$16)/$B$6))</f>
        <v/>
      </c>
    </row>
    <row r="620" spans="1:7" x14ac:dyDescent="0.2">
      <c r="A620" s="12" t="str">
        <f t="shared" si="51"/>
        <v/>
      </c>
      <c r="B620" t="str">
        <f t="shared" si="47"/>
        <v/>
      </c>
      <c r="C620" s="17" t="str">
        <f t="shared" si="48"/>
        <v/>
      </c>
      <c r="D620" s="18" t="str">
        <f t="shared" si="49"/>
        <v/>
      </c>
      <c r="E620" t="str">
        <f t="shared" si="50"/>
        <v/>
      </c>
      <c r="F620" s="23" t="str">
        <f ca="1">IF(A620="","",IF($B$8="Sí",interpolar_alamb(E620,OFFSET(Curvas_cupon_cero!$A$1,1,0,COUNT(Curvas_cupon_cero!$A:$A)-2,1),OFFSET(Curvas_cupon_cero!$A$1,1,MATCH(Bono_M_Cupon_fijo_curva!$B$7,Curvas_cupon_cero!$1:$1,0)-1,COUNT(Curvas_cupon_cero!$A:$A)-2,1)),interpolar(E620,OFFSET(Curvas_cupon_cero!$A$1,1,0,COUNT(Curvas_cupon_cero!$A:$A)-2,1),OFFSET(Curvas_cupon_cero!$A$1,1,MATCH(Bono_M_Cupon_fijo_curva!$B$7,Curvas_cupon_cero!$1:$1,0)-1,COUNT(Curvas_cupon_cero!$A:$A)-2,1))))</f>
        <v/>
      </c>
      <c r="G620" s="19" t="str">
        <f>IF(A620="","",C620/(1+F620*$B$6/360)^(COUNT(A$16:A620)-($B$6-$D$16)/$B$6))</f>
        <v/>
      </c>
    </row>
    <row r="621" spans="1:7" x14ac:dyDescent="0.2">
      <c r="A621" s="12" t="str">
        <f t="shared" si="51"/>
        <v/>
      </c>
      <c r="B621" t="str">
        <f t="shared" si="47"/>
        <v/>
      </c>
      <c r="C621" s="17" t="str">
        <f t="shared" si="48"/>
        <v/>
      </c>
      <c r="D621" s="18" t="str">
        <f t="shared" si="49"/>
        <v/>
      </c>
      <c r="E621" t="str">
        <f t="shared" si="50"/>
        <v/>
      </c>
      <c r="F621" s="23" t="str">
        <f ca="1">IF(A621="","",IF($B$8="Sí",interpolar_alamb(E621,OFFSET(Curvas_cupon_cero!$A$1,1,0,COUNT(Curvas_cupon_cero!$A:$A)-2,1),OFFSET(Curvas_cupon_cero!$A$1,1,MATCH(Bono_M_Cupon_fijo_curva!$B$7,Curvas_cupon_cero!$1:$1,0)-1,COUNT(Curvas_cupon_cero!$A:$A)-2,1)),interpolar(E621,OFFSET(Curvas_cupon_cero!$A$1,1,0,COUNT(Curvas_cupon_cero!$A:$A)-2,1),OFFSET(Curvas_cupon_cero!$A$1,1,MATCH(Bono_M_Cupon_fijo_curva!$B$7,Curvas_cupon_cero!$1:$1,0)-1,COUNT(Curvas_cupon_cero!$A:$A)-2,1))))</f>
        <v/>
      </c>
      <c r="G621" s="19" t="str">
        <f>IF(A621="","",C621/(1+F621*$B$6/360)^(COUNT(A$16:A621)-($B$6-$D$16)/$B$6))</f>
        <v/>
      </c>
    </row>
    <row r="622" spans="1:7" x14ac:dyDescent="0.2">
      <c r="A622" s="12" t="str">
        <f t="shared" si="51"/>
        <v/>
      </c>
      <c r="B622" t="str">
        <f t="shared" si="47"/>
        <v/>
      </c>
      <c r="C622" s="17" t="str">
        <f t="shared" si="48"/>
        <v/>
      </c>
      <c r="D622" s="18" t="str">
        <f t="shared" si="49"/>
        <v/>
      </c>
      <c r="E622" t="str">
        <f t="shared" si="50"/>
        <v/>
      </c>
      <c r="F622" s="23" t="str">
        <f ca="1">IF(A622="","",IF($B$8="Sí",interpolar_alamb(E622,OFFSET(Curvas_cupon_cero!$A$1,1,0,COUNT(Curvas_cupon_cero!$A:$A)-2,1),OFFSET(Curvas_cupon_cero!$A$1,1,MATCH(Bono_M_Cupon_fijo_curva!$B$7,Curvas_cupon_cero!$1:$1,0)-1,COUNT(Curvas_cupon_cero!$A:$A)-2,1)),interpolar(E622,OFFSET(Curvas_cupon_cero!$A$1,1,0,COUNT(Curvas_cupon_cero!$A:$A)-2,1),OFFSET(Curvas_cupon_cero!$A$1,1,MATCH(Bono_M_Cupon_fijo_curva!$B$7,Curvas_cupon_cero!$1:$1,0)-1,COUNT(Curvas_cupon_cero!$A:$A)-2,1))))</f>
        <v/>
      </c>
      <c r="G622" s="19" t="str">
        <f>IF(A622="","",C622/(1+F622*$B$6/360)^(COUNT(A$16:A622)-($B$6-$D$16)/$B$6))</f>
        <v/>
      </c>
    </row>
    <row r="623" spans="1:7" x14ac:dyDescent="0.2">
      <c r="A623" s="12" t="str">
        <f t="shared" si="51"/>
        <v/>
      </c>
      <c r="B623" t="str">
        <f t="shared" si="47"/>
        <v/>
      </c>
      <c r="C623" s="17" t="str">
        <f t="shared" si="48"/>
        <v/>
      </c>
      <c r="D623" s="18" t="str">
        <f t="shared" si="49"/>
        <v/>
      </c>
      <c r="E623" t="str">
        <f t="shared" si="50"/>
        <v/>
      </c>
      <c r="F623" s="23" t="str">
        <f ca="1">IF(A623="","",IF($B$8="Sí",interpolar_alamb(E623,OFFSET(Curvas_cupon_cero!$A$1,1,0,COUNT(Curvas_cupon_cero!$A:$A)-2,1),OFFSET(Curvas_cupon_cero!$A$1,1,MATCH(Bono_M_Cupon_fijo_curva!$B$7,Curvas_cupon_cero!$1:$1,0)-1,COUNT(Curvas_cupon_cero!$A:$A)-2,1)),interpolar(E623,OFFSET(Curvas_cupon_cero!$A$1,1,0,COUNT(Curvas_cupon_cero!$A:$A)-2,1),OFFSET(Curvas_cupon_cero!$A$1,1,MATCH(Bono_M_Cupon_fijo_curva!$B$7,Curvas_cupon_cero!$1:$1,0)-1,COUNT(Curvas_cupon_cero!$A:$A)-2,1))))</f>
        <v/>
      </c>
      <c r="G623" s="19" t="str">
        <f>IF(A623="","",C623/(1+F623*$B$6/360)^(COUNT(A$16:A623)-($B$6-$D$16)/$B$6))</f>
        <v/>
      </c>
    </row>
    <row r="624" spans="1:7" x14ac:dyDescent="0.2">
      <c r="A624" s="12" t="str">
        <f t="shared" si="51"/>
        <v/>
      </c>
      <c r="B624" t="str">
        <f t="shared" si="47"/>
        <v/>
      </c>
      <c r="C624" s="17" t="str">
        <f t="shared" si="48"/>
        <v/>
      </c>
      <c r="D624" s="18" t="str">
        <f t="shared" si="49"/>
        <v/>
      </c>
      <c r="E624" t="str">
        <f t="shared" si="50"/>
        <v/>
      </c>
      <c r="F624" s="23" t="str">
        <f ca="1">IF(A624="","",IF($B$8="Sí",interpolar_alamb(E624,OFFSET(Curvas_cupon_cero!$A$1,1,0,COUNT(Curvas_cupon_cero!$A:$A)-2,1),OFFSET(Curvas_cupon_cero!$A$1,1,MATCH(Bono_M_Cupon_fijo_curva!$B$7,Curvas_cupon_cero!$1:$1,0)-1,COUNT(Curvas_cupon_cero!$A:$A)-2,1)),interpolar(E624,OFFSET(Curvas_cupon_cero!$A$1,1,0,COUNT(Curvas_cupon_cero!$A:$A)-2,1),OFFSET(Curvas_cupon_cero!$A$1,1,MATCH(Bono_M_Cupon_fijo_curva!$B$7,Curvas_cupon_cero!$1:$1,0)-1,COUNT(Curvas_cupon_cero!$A:$A)-2,1))))</f>
        <v/>
      </c>
      <c r="G624" s="19" t="str">
        <f>IF(A624="","",C624/(1+F624*$B$6/360)^(COUNT(A$16:A624)-($B$6-$D$16)/$B$6))</f>
        <v/>
      </c>
    </row>
    <row r="625" spans="1:7" x14ac:dyDescent="0.2">
      <c r="A625" s="12" t="str">
        <f t="shared" si="51"/>
        <v/>
      </c>
      <c r="B625" t="str">
        <f t="shared" si="47"/>
        <v/>
      </c>
      <c r="C625" s="17" t="str">
        <f t="shared" si="48"/>
        <v/>
      </c>
      <c r="D625" s="18" t="str">
        <f t="shared" si="49"/>
        <v/>
      </c>
      <c r="E625" t="str">
        <f t="shared" si="50"/>
        <v/>
      </c>
      <c r="F625" s="23" t="str">
        <f ca="1">IF(A625="","",IF($B$8="Sí",interpolar_alamb(E625,OFFSET(Curvas_cupon_cero!$A$1,1,0,COUNT(Curvas_cupon_cero!$A:$A)-2,1),OFFSET(Curvas_cupon_cero!$A$1,1,MATCH(Bono_M_Cupon_fijo_curva!$B$7,Curvas_cupon_cero!$1:$1,0)-1,COUNT(Curvas_cupon_cero!$A:$A)-2,1)),interpolar(E625,OFFSET(Curvas_cupon_cero!$A$1,1,0,COUNT(Curvas_cupon_cero!$A:$A)-2,1),OFFSET(Curvas_cupon_cero!$A$1,1,MATCH(Bono_M_Cupon_fijo_curva!$B$7,Curvas_cupon_cero!$1:$1,0)-1,COUNT(Curvas_cupon_cero!$A:$A)-2,1))))</f>
        <v/>
      </c>
      <c r="G625" s="19" t="str">
        <f>IF(A625="","",C625/(1+F625*$B$6/360)^(COUNT(A$16:A625)-($B$6-$D$16)/$B$6))</f>
        <v/>
      </c>
    </row>
    <row r="626" spans="1:7" x14ac:dyDescent="0.2">
      <c r="A626" s="12" t="str">
        <f t="shared" si="51"/>
        <v/>
      </c>
      <c r="B626" t="str">
        <f t="shared" si="47"/>
        <v/>
      </c>
      <c r="C626" s="17" t="str">
        <f t="shared" si="48"/>
        <v/>
      </c>
      <c r="D626" s="18" t="str">
        <f t="shared" si="49"/>
        <v/>
      </c>
      <c r="E626" t="str">
        <f t="shared" si="50"/>
        <v/>
      </c>
      <c r="F626" s="23" t="str">
        <f ca="1">IF(A626="","",IF($B$8="Sí",interpolar_alamb(E626,OFFSET(Curvas_cupon_cero!$A$1,1,0,COUNT(Curvas_cupon_cero!$A:$A)-2,1),OFFSET(Curvas_cupon_cero!$A$1,1,MATCH(Bono_M_Cupon_fijo_curva!$B$7,Curvas_cupon_cero!$1:$1,0)-1,COUNT(Curvas_cupon_cero!$A:$A)-2,1)),interpolar(E626,OFFSET(Curvas_cupon_cero!$A$1,1,0,COUNT(Curvas_cupon_cero!$A:$A)-2,1),OFFSET(Curvas_cupon_cero!$A$1,1,MATCH(Bono_M_Cupon_fijo_curva!$B$7,Curvas_cupon_cero!$1:$1,0)-1,COUNT(Curvas_cupon_cero!$A:$A)-2,1))))</f>
        <v/>
      </c>
      <c r="G626" s="19" t="str">
        <f>IF(A626="","",C626/(1+F626*$B$6/360)^(COUNT(A$16:A626)-($B$6-$D$16)/$B$6))</f>
        <v/>
      </c>
    </row>
    <row r="627" spans="1:7" x14ac:dyDescent="0.2">
      <c r="A627" s="12" t="str">
        <f t="shared" si="51"/>
        <v/>
      </c>
      <c r="B627" t="str">
        <f t="shared" si="47"/>
        <v/>
      </c>
      <c r="C627" s="17" t="str">
        <f t="shared" si="48"/>
        <v/>
      </c>
      <c r="D627" s="18" t="str">
        <f t="shared" si="49"/>
        <v/>
      </c>
      <c r="E627" t="str">
        <f t="shared" si="50"/>
        <v/>
      </c>
      <c r="F627" s="23" t="str">
        <f ca="1">IF(A627="","",IF($B$8="Sí",interpolar_alamb(E627,OFFSET(Curvas_cupon_cero!$A$1,1,0,COUNT(Curvas_cupon_cero!$A:$A)-2,1),OFFSET(Curvas_cupon_cero!$A$1,1,MATCH(Bono_M_Cupon_fijo_curva!$B$7,Curvas_cupon_cero!$1:$1,0)-1,COUNT(Curvas_cupon_cero!$A:$A)-2,1)),interpolar(E627,OFFSET(Curvas_cupon_cero!$A$1,1,0,COUNT(Curvas_cupon_cero!$A:$A)-2,1),OFFSET(Curvas_cupon_cero!$A$1,1,MATCH(Bono_M_Cupon_fijo_curva!$B$7,Curvas_cupon_cero!$1:$1,0)-1,COUNT(Curvas_cupon_cero!$A:$A)-2,1))))</f>
        <v/>
      </c>
      <c r="G627" s="19" t="str">
        <f>IF(A627="","",C627/(1+F627*$B$6/360)^(COUNT(A$16:A627)-($B$6-$D$16)/$B$6))</f>
        <v/>
      </c>
    </row>
    <row r="628" spans="1:7" x14ac:dyDescent="0.2">
      <c r="A628" s="12" t="str">
        <f t="shared" si="51"/>
        <v/>
      </c>
      <c r="B628" t="str">
        <f t="shared" si="47"/>
        <v/>
      </c>
      <c r="C628" s="17" t="str">
        <f t="shared" si="48"/>
        <v/>
      </c>
      <c r="D628" s="18" t="str">
        <f t="shared" si="49"/>
        <v/>
      </c>
      <c r="E628" t="str">
        <f t="shared" si="50"/>
        <v/>
      </c>
      <c r="F628" s="23" t="str">
        <f ca="1">IF(A628="","",IF($B$8="Sí",interpolar_alamb(E628,OFFSET(Curvas_cupon_cero!$A$1,1,0,COUNT(Curvas_cupon_cero!$A:$A)-2,1),OFFSET(Curvas_cupon_cero!$A$1,1,MATCH(Bono_M_Cupon_fijo_curva!$B$7,Curvas_cupon_cero!$1:$1,0)-1,COUNT(Curvas_cupon_cero!$A:$A)-2,1)),interpolar(E628,OFFSET(Curvas_cupon_cero!$A$1,1,0,COUNT(Curvas_cupon_cero!$A:$A)-2,1),OFFSET(Curvas_cupon_cero!$A$1,1,MATCH(Bono_M_Cupon_fijo_curva!$B$7,Curvas_cupon_cero!$1:$1,0)-1,COUNT(Curvas_cupon_cero!$A:$A)-2,1))))</f>
        <v/>
      </c>
      <c r="G628" s="19" t="str">
        <f>IF(A628="","",C628/(1+F628*$B$6/360)^(COUNT(A$16:A628)-($B$6-$D$16)/$B$6))</f>
        <v/>
      </c>
    </row>
    <row r="629" spans="1:7" x14ac:dyDescent="0.2">
      <c r="A629" s="12" t="str">
        <f t="shared" si="51"/>
        <v/>
      </c>
      <c r="B629" t="str">
        <f t="shared" si="47"/>
        <v/>
      </c>
      <c r="C629" s="17" t="str">
        <f t="shared" si="48"/>
        <v/>
      </c>
      <c r="D629" s="18" t="str">
        <f t="shared" si="49"/>
        <v/>
      </c>
      <c r="E629" t="str">
        <f t="shared" si="50"/>
        <v/>
      </c>
      <c r="F629" s="23" t="str">
        <f ca="1">IF(A629="","",IF($B$8="Sí",interpolar_alamb(E629,OFFSET(Curvas_cupon_cero!$A$1,1,0,COUNT(Curvas_cupon_cero!$A:$A)-2,1),OFFSET(Curvas_cupon_cero!$A$1,1,MATCH(Bono_M_Cupon_fijo_curva!$B$7,Curvas_cupon_cero!$1:$1,0)-1,COUNT(Curvas_cupon_cero!$A:$A)-2,1)),interpolar(E629,OFFSET(Curvas_cupon_cero!$A$1,1,0,COUNT(Curvas_cupon_cero!$A:$A)-2,1),OFFSET(Curvas_cupon_cero!$A$1,1,MATCH(Bono_M_Cupon_fijo_curva!$B$7,Curvas_cupon_cero!$1:$1,0)-1,COUNT(Curvas_cupon_cero!$A:$A)-2,1))))</f>
        <v/>
      </c>
      <c r="G629" s="19" t="str">
        <f>IF(A629="","",C629/(1+F629*$B$6/360)^(COUNT(A$16:A629)-($B$6-$D$16)/$B$6))</f>
        <v/>
      </c>
    </row>
    <row r="630" spans="1:7" x14ac:dyDescent="0.2">
      <c r="A630" s="12" t="str">
        <f t="shared" si="51"/>
        <v/>
      </c>
      <c r="B630" t="str">
        <f t="shared" si="47"/>
        <v/>
      </c>
      <c r="C630" s="17" t="str">
        <f t="shared" si="48"/>
        <v/>
      </c>
      <c r="D630" s="18" t="str">
        <f t="shared" si="49"/>
        <v/>
      </c>
      <c r="E630" t="str">
        <f t="shared" si="50"/>
        <v/>
      </c>
      <c r="F630" s="23" t="str">
        <f ca="1">IF(A630="","",IF($B$8="Sí",interpolar_alamb(E630,OFFSET(Curvas_cupon_cero!$A$1,1,0,COUNT(Curvas_cupon_cero!$A:$A)-2,1),OFFSET(Curvas_cupon_cero!$A$1,1,MATCH(Bono_M_Cupon_fijo_curva!$B$7,Curvas_cupon_cero!$1:$1,0)-1,COUNT(Curvas_cupon_cero!$A:$A)-2,1)),interpolar(E630,OFFSET(Curvas_cupon_cero!$A$1,1,0,COUNT(Curvas_cupon_cero!$A:$A)-2,1),OFFSET(Curvas_cupon_cero!$A$1,1,MATCH(Bono_M_Cupon_fijo_curva!$B$7,Curvas_cupon_cero!$1:$1,0)-1,COUNT(Curvas_cupon_cero!$A:$A)-2,1))))</f>
        <v/>
      </c>
      <c r="G630" s="19" t="str">
        <f>IF(A630="","",C630/(1+F630*$B$6/360)^(COUNT(A$16:A630)-($B$6-$D$16)/$B$6))</f>
        <v/>
      </c>
    </row>
    <row r="631" spans="1:7" x14ac:dyDescent="0.2">
      <c r="A631" s="12" t="str">
        <f t="shared" si="51"/>
        <v/>
      </c>
      <c r="B631" t="str">
        <f t="shared" si="47"/>
        <v/>
      </c>
      <c r="C631" s="17" t="str">
        <f t="shared" si="48"/>
        <v/>
      </c>
      <c r="D631" s="18" t="str">
        <f t="shared" si="49"/>
        <v/>
      </c>
      <c r="E631" t="str">
        <f t="shared" si="50"/>
        <v/>
      </c>
      <c r="F631" s="23" t="str">
        <f ca="1">IF(A631="","",IF($B$8="Sí",interpolar_alamb(E631,OFFSET(Curvas_cupon_cero!$A$1,1,0,COUNT(Curvas_cupon_cero!$A:$A)-2,1),OFFSET(Curvas_cupon_cero!$A$1,1,MATCH(Bono_M_Cupon_fijo_curva!$B$7,Curvas_cupon_cero!$1:$1,0)-1,COUNT(Curvas_cupon_cero!$A:$A)-2,1)),interpolar(E631,OFFSET(Curvas_cupon_cero!$A$1,1,0,COUNT(Curvas_cupon_cero!$A:$A)-2,1),OFFSET(Curvas_cupon_cero!$A$1,1,MATCH(Bono_M_Cupon_fijo_curva!$B$7,Curvas_cupon_cero!$1:$1,0)-1,COUNT(Curvas_cupon_cero!$A:$A)-2,1))))</f>
        <v/>
      </c>
      <c r="G631" s="19" t="str">
        <f>IF(A631="","",C631/(1+F631*$B$6/360)^(COUNT(A$16:A631)-($B$6-$D$16)/$B$6))</f>
        <v/>
      </c>
    </row>
    <row r="632" spans="1:7" x14ac:dyDescent="0.2">
      <c r="A632" s="12" t="str">
        <f t="shared" si="51"/>
        <v/>
      </c>
      <c r="B632" t="str">
        <f t="shared" si="47"/>
        <v/>
      </c>
      <c r="C632" s="17" t="str">
        <f t="shared" si="48"/>
        <v/>
      </c>
      <c r="D632" s="18" t="str">
        <f t="shared" si="49"/>
        <v/>
      </c>
      <c r="E632" t="str">
        <f t="shared" si="50"/>
        <v/>
      </c>
      <c r="F632" s="23" t="str">
        <f ca="1">IF(A632="","",IF($B$8="Sí",interpolar_alamb(E632,OFFSET(Curvas_cupon_cero!$A$1,1,0,COUNT(Curvas_cupon_cero!$A:$A)-2,1),OFFSET(Curvas_cupon_cero!$A$1,1,MATCH(Bono_M_Cupon_fijo_curva!$B$7,Curvas_cupon_cero!$1:$1,0)-1,COUNT(Curvas_cupon_cero!$A:$A)-2,1)),interpolar(E632,OFFSET(Curvas_cupon_cero!$A$1,1,0,COUNT(Curvas_cupon_cero!$A:$A)-2,1),OFFSET(Curvas_cupon_cero!$A$1,1,MATCH(Bono_M_Cupon_fijo_curva!$B$7,Curvas_cupon_cero!$1:$1,0)-1,COUNT(Curvas_cupon_cero!$A:$A)-2,1))))</f>
        <v/>
      </c>
      <c r="G632" s="19" t="str">
        <f>IF(A632="","",C632/(1+F632*$B$6/360)^(COUNT(A$16:A632)-($B$6-$D$16)/$B$6))</f>
        <v/>
      </c>
    </row>
    <row r="633" spans="1:7" x14ac:dyDescent="0.2">
      <c r="A633" s="12" t="str">
        <f t="shared" si="51"/>
        <v/>
      </c>
      <c r="B633" t="str">
        <f t="shared" si="47"/>
        <v/>
      </c>
      <c r="C633" s="17" t="str">
        <f t="shared" si="48"/>
        <v/>
      </c>
      <c r="D633" s="18" t="str">
        <f t="shared" si="49"/>
        <v/>
      </c>
      <c r="E633" t="str">
        <f t="shared" si="50"/>
        <v/>
      </c>
      <c r="F633" s="23" t="str">
        <f ca="1">IF(A633="","",IF($B$8="Sí",interpolar_alamb(E633,OFFSET(Curvas_cupon_cero!$A$1,1,0,COUNT(Curvas_cupon_cero!$A:$A)-2,1),OFFSET(Curvas_cupon_cero!$A$1,1,MATCH(Bono_M_Cupon_fijo_curva!$B$7,Curvas_cupon_cero!$1:$1,0)-1,COUNT(Curvas_cupon_cero!$A:$A)-2,1)),interpolar(E633,OFFSET(Curvas_cupon_cero!$A$1,1,0,COUNT(Curvas_cupon_cero!$A:$A)-2,1),OFFSET(Curvas_cupon_cero!$A$1,1,MATCH(Bono_M_Cupon_fijo_curva!$B$7,Curvas_cupon_cero!$1:$1,0)-1,COUNT(Curvas_cupon_cero!$A:$A)-2,1))))</f>
        <v/>
      </c>
      <c r="G633" s="19" t="str">
        <f>IF(A633="","",C633/(1+F633*$B$6/360)^(COUNT(A$16:A633)-($B$6-$D$16)/$B$6))</f>
        <v/>
      </c>
    </row>
    <row r="634" spans="1:7" x14ac:dyDescent="0.2">
      <c r="A634" s="12" t="str">
        <f t="shared" si="51"/>
        <v/>
      </c>
      <c r="B634" t="str">
        <f t="shared" si="47"/>
        <v/>
      </c>
      <c r="C634" s="17" t="str">
        <f t="shared" si="48"/>
        <v/>
      </c>
      <c r="D634" s="18" t="str">
        <f t="shared" si="49"/>
        <v/>
      </c>
      <c r="E634" t="str">
        <f t="shared" si="50"/>
        <v/>
      </c>
      <c r="F634" s="23" t="str">
        <f ca="1">IF(A634="","",IF($B$8="Sí",interpolar_alamb(E634,OFFSET(Curvas_cupon_cero!$A$1,1,0,COUNT(Curvas_cupon_cero!$A:$A)-2,1),OFFSET(Curvas_cupon_cero!$A$1,1,MATCH(Bono_M_Cupon_fijo_curva!$B$7,Curvas_cupon_cero!$1:$1,0)-1,COUNT(Curvas_cupon_cero!$A:$A)-2,1)),interpolar(E634,OFFSET(Curvas_cupon_cero!$A$1,1,0,COUNT(Curvas_cupon_cero!$A:$A)-2,1),OFFSET(Curvas_cupon_cero!$A$1,1,MATCH(Bono_M_Cupon_fijo_curva!$B$7,Curvas_cupon_cero!$1:$1,0)-1,COUNT(Curvas_cupon_cero!$A:$A)-2,1))))</f>
        <v/>
      </c>
      <c r="G634" s="19" t="str">
        <f>IF(A634="","",C634/(1+F634*$B$6/360)^(COUNT(A$16:A634)-($B$6-$D$16)/$B$6))</f>
        <v/>
      </c>
    </row>
    <row r="635" spans="1:7" x14ac:dyDescent="0.2">
      <c r="A635" s="12" t="str">
        <f t="shared" si="51"/>
        <v/>
      </c>
      <c r="B635" t="str">
        <f t="shared" si="47"/>
        <v/>
      </c>
      <c r="C635" s="17" t="str">
        <f t="shared" si="48"/>
        <v/>
      </c>
      <c r="D635" s="18" t="str">
        <f t="shared" si="49"/>
        <v/>
      </c>
      <c r="E635" t="str">
        <f t="shared" si="50"/>
        <v/>
      </c>
      <c r="F635" s="23" t="str">
        <f ca="1">IF(A635="","",IF($B$8="Sí",interpolar_alamb(E635,OFFSET(Curvas_cupon_cero!$A$1,1,0,COUNT(Curvas_cupon_cero!$A:$A)-2,1),OFFSET(Curvas_cupon_cero!$A$1,1,MATCH(Bono_M_Cupon_fijo_curva!$B$7,Curvas_cupon_cero!$1:$1,0)-1,COUNT(Curvas_cupon_cero!$A:$A)-2,1)),interpolar(E635,OFFSET(Curvas_cupon_cero!$A$1,1,0,COUNT(Curvas_cupon_cero!$A:$A)-2,1),OFFSET(Curvas_cupon_cero!$A$1,1,MATCH(Bono_M_Cupon_fijo_curva!$B$7,Curvas_cupon_cero!$1:$1,0)-1,COUNT(Curvas_cupon_cero!$A:$A)-2,1))))</f>
        <v/>
      </c>
      <c r="G635" s="19" t="str">
        <f>IF(A635="","",C635/(1+F635*$B$6/360)^(COUNT(A$16:A635)-($B$6-$D$16)/$B$6))</f>
        <v/>
      </c>
    </row>
    <row r="636" spans="1:7" x14ac:dyDescent="0.2">
      <c r="A636" s="12" t="str">
        <f t="shared" si="51"/>
        <v/>
      </c>
      <c r="B636" t="str">
        <f t="shared" si="47"/>
        <v/>
      </c>
      <c r="C636" s="17" t="str">
        <f t="shared" si="48"/>
        <v/>
      </c>
      <c r="D636" s="18" t="str">
        <f t="shared" si="49"/>
        <v/>
      </c>
      <c r="E636" t="str">
        <f t="shared" si="50"/>
        <v/>
      </c>
      <c r="F636" s="23" t="str">
        <f ca="1">IF(A636="","",IF($B$8="Sí",interpolar_alamb(E636,OFFSET(Curvas_cupon_cero!$A$1,1,0,COUNT(Curvas_cupon_cero!$A:$A)-2,1),OFFSET(Curvas_cupon_cero!$A$1,1,MATCH(Bono_M_Cupon_fijo_curva!$B$7,Curvas_cupon_cero!$1:$1,0)-1,COUNT(Curvas_cupon_cero!$A:$A)-2,1)),interpolar(E636,OFFSET(Curvas_cupon_cero!$A$1,1,0,COUNT(Curvas_cupon_cero!$A:$A)-2,1),OFFSET(Curvas_cupon_cero!$A$1,1,MATCH(Bono_M_Cupon_fijo_curva!$B$7,Curvas_cupon_cero!$1:$1,0)-1,COUNT(Curvas_cupon_cero!$A:$A)-2,1))))</f>
        <v/>
      </c>
      <c r="G636" s="19" t="str">
        <f>IF(A636="","",C636/(1+F636*$B$6/360)^(COUNT(A$16:A636)-($B$6-$D$16)/$B$6))</f>
        <v/>
      </c>
    </row>
    <row r="637" spans="1:7" x14ac:dyDescent="0.2">
      <c r="A637" s="12" t="str">
        <f t="shared" si="51"/>
        <v/>
      </c>
      <c r="B637" t="str">
        <f t="shared" si="47"/>
        <v/>
      </c>
      <c r="C637" s="17" t="str">
        <f t="shared" si="48"/>
        <v/>
      </c>
      <c r="D637" s="18" t="str">
        <f t="shared" si="49"/>
        <v/>
      </c>
      <c r="E637" t="str">
        <f t="shared" si="50"/>
        <v/>
      </c>
      <c r="F637" s="23" t="str">
        <f ca="1">IF(A637="","",IF($B$8="Sí",interpolar_alamb(E637,OFFSET(Curvas_cupon_cero!$A$1,1,0,COUNT(Curvas_cupon_cero!$A:$A)-2,1),OFFSET(Curvas_cupon_cero!$A$1,1,MATCH(Bono_M_Cupon_fijo_curva!$B$7,Curvas_cupon_cero!$1:$1,0)-1,COUNT(Curvas_cupon_cero!$A:$A)-2,1)),interpolar(E637,OFFSET(Curvas_cupon_cero!$A$1,1,0,COUNT(Curvas_cupon_cero!$A:$A)-2,1),OFFSET(Curvas_cupon_cero!$A$1,1,MATCH(Bono_M_Cupon_fijo_curva!$B$7,Curvas_cupon_cero!$1:$1,0)-1,COUNT(Curvas_cupon_cero!$A:$A)-2,1))))</f>
        <v/>
      </c>
      <c r="G637" s="19" t="str">
        <f>IF(A637="","",C637/(1+F637*$B$6/360)^(COUNT(A$16:A637)-($B$6-$D$16)/$B$6))</f>
        <v/>
      </c>
    </row>
    <row r="638" spans="1:7" x14ac:dyDescent="0.2">
      <c r="A638" s="12" t="str">
        <f t="shared" si="51"/>
        <v/>
      </c>
      <c r="B638" t="str">
        <f t="shared" si="47"/>
        <v/>
      </c>
      <c r="C638" s="17" t="str">
        <f t="shared" si="48"/>
        <v/>
      </c>
      <c r="D638" s="18" t="str">
        <f t="shared" si="49"/>
        <v/>
      </c>
      <c r="E638" t="str">
        <f t="shared" si="50"/>
        <v/>
      </c>
      <c r="F638" s="23" t="str">
        <f ca="1">IF(A638="","",IF($B$8="Sí",interpolar_alamb(E638,OFFSET(Curvas_cupon_cero!$A$1,1,0,COUNT(Curvas_cupon_cero!$A:$A)-2,1),OFFSET(Curvas_cupon_cero!$A$1,1,MATCH(Bono_M_Cupon_fijo_curva!$B$7,Curvas_cupon_cero!$1:$1,0)-1,COUNT(Curvas_cupon_cero!$A:$A)-2,1)),interpolar(E638,OFFSET(Curvas_cupon_cero!$A$1,1,0,COUNT(Curvas_cupon_cero!$A:$A)-2,1),OFFSET(Curvas_cupon_cero!$A$1,1,MATCH(Bono_M_Cupon_fijo_curva!$B$7,Curvas_cupon_cero!$1:$1,0)-1,COUNT(Curvas_cupon_cero!$A:$A)-2,1))))</f>
        <v/>
      </c>
      <c r="G638" s="19" t="str">
        <f>IF(A638="","",C638/(1+F638*$B$6/360)^(COUNT(A$16:A638)-($B$6-$D$16)/$B$6))</f>
        <v/>
      </c>
    </row>
    <row r="639" spans="1:7" x14ac:dyDescent="0.2">
      <c r="A639" s="12" t="str">
        <f t="shared" si="51"/>
        <v/>
      </c>
      <c r="B639" t="str">
        <f t="shared" si="47"/>
        <v/>
      </c>
      <c r="C639" s="17" t="str">
        <f t="shared" si="48"/>
        <v/>
      </c>
      <c r="D639" s="18" t="str">
        <f t="shared" si="49"/>
        <v/>
      </c>
      <c r="E639" t="str">
        <f t="shared" si="50"/>
        <v/>
      </c>
      <c r="F639" s="23" t="str">
        <f ca="1">IF(A639="","",IF($B$8="Sí",interpolar_alamb(E639,OFFSET(Curvas_cupon_cero!$A$1,1,0,COUNT(Curvas_cupon_cero!$A:$A)-2,1),OFFSET(Curvas_cupon_cero!$A$1,1,MATCH(Bono_M_Cupon_fijo_curva!$B$7,Curvas_cupon_cero!$1:$1,0)-1,COUNT(Curvas_cupon_cero!$A:$A)-2,1)),interpolar(E639,OFFSET(Curvas_cupon_cero!$A$1,1,0,COUNT(Curvas_cupon_cero!$A:$A)-2,1),OFFSET(Curvas_cupon_cero!$A$1,1,MATCH(Bono_M_Cupon_fijo_curva!$B$7,Curvas_cupon_cero!$1:$1,0)-1,COUNT(Curvas_cupon_cero!$A:$A)-2,1))))</f>
        <v/>
      </c>
      <c r="G639" s="19" t="str">
        <f>IF(A639="","",C639/(1+F639*$B$6/360)^(COUNT(A$16:A639)-($B$6-$D$16)/$B$6))</f>
        <v/>
      </c>
    </row>
    <row r="640" spans="1:7" x14ac:dyDescent="0.2">
      <c r="A640" s="12" t="str">
        <f t="shared" si="51"/>
        <v/>
      </c>
      <c r="B640" t="str">
        <f t="shared" si="47"/>
        <v/>
      </c>
      <c r="C640" s="17" t="str">
        <f t="shared" si="48"/>
        <v/>
      </c>
      <c r="D640" s="18" t="str">
        <f t="shared" si="49"/>
        <v/>
      </c>
      <c r="E640" t="str">
        <f t="shared" si="50"/>
        <v/>
      </c>
      <c r="F640" s="23" t="str">
        <f ca="1">IF(A640="","",IF($B$8="Sí",interpolar_alamb(E640,OFFSET(Curvas_cupon_cero!$A$1,1,0,COUNT(Curvas_cupon_cero!$A:$A)-2,1),OFFSET(Curvas_cupon_cero!$A$1,1,MATCH(Bono_M_Cupon_fijo_curva!$B$7,Curvas_cupon_cero!$1:$1,0)-1,COUNT(Curvas_cupon_cero!$A:$A)-2,1)),interpolar(E640,OFFSET(Curvas_cupon_cero!$A$1,1,0,COUNT(Curvas_cupon_cero!$A:$A)-2,1),OFFSET(Curvas_cupon_cero!$A$1,1,MATCH(Bono_M_Cupon_fijo_curva!$B$7,Curvas_cupon_cero!$1:$1,0)-1,COUNT(Curvas_cupon_cero!$A:$A)-2,1))))</f>
        <v/>
      </c>
      <c r="G640" s="19" t="str">
        <f>IF(A640="","",C640/(1+F640*$B$6/360)^(COUNT(A$16:A640)-($B$6-$D$16)/$B$6))</f>
        <v/>
      </c>
    </row>
    <row r="641" spans="1:7" x14ac:dyDescent="0.2">
      <c r="A641" s="12" t="str">
        <f t="shared" si="51"/>
        <v/>
      </c>
      <c r="B641" t="str">
        <f t="shared" si="47"/>
        <v/>
      </c>
      <c r="C641" s="17" t="str">
        <f t="shared" si="48"/>
        <v/>
      </c>
      <c r="D641" s="18" t="str">
        <f t="shared" si="49"/>
        <v/>
      </c>
      <c r="E641" t="str">
        <f t="shared" si="50"/>
        <v/>
      </c>
      <c r="F641" s="23" t="str">
        <f ca="1">IF(A641="","",IF($B$8="Sí",interpolar_alamb(E641,OFFSET(Curvas_cupon_cero!$A$1,1,0,COUNT(Curvas_cupon_cero!$A:$A)-2,1),OFFSET(Curvas_cupon_cero!$A$1,1,MATCH(Bono_M_Cupon_fijo_curva!$B$7,Curvas_cupon_cero!$1:$1,0)-1,COUNT(Curvas_cupon_cero!$A:$A)-2,1)),interpolar(E641,OFFSET(Curvas_cupon_cero!$A$1,1,0,COUNT(Curvas_cupon_cero!$A:$A)-2,1),OFFSET(Curvas_cupon_cero!$A$1,1,MATCH(Bono_M_Cupon_fijo_curva!$B$7,Curvas_cupon_cero!$1:$1,0)-1,COUNT(Curvas_cupon_cero!$A:$A)-2,1))))</f>
        <v/>
      </c>
      <c r="G641" s="19" t="str">
        <f>IF(A641="","",C641/(1+F641*$B$6/360)^(COUNT(A$16:A641)-($B$6-$D$16)/$B$6))</f>
        <v/>
      </c>
    </row>
    <row r="642" spans="1:7" x14ac:dyDescent="0.2">
      <c r="A642" s="12" t="str">
        <f t="shared" si="51"/>
        <v/>
      </c>
      <c r="B642" t="str">
        <f t="shared" si="47"/>
        <v/>
      </c>
      <c r="C642" s="17" t="str">
        <f t="shared" si="48"/>
        <v/>
      </c>
      <c r="D642" s="18" t="str">
        <f t="shared" si="49"/>
        <v/>
      </c>
      <c r="E642" t="str">
        <f t="shared" si="50"/>
        <v/>
      </c>
      <c r="F642" s="23" t="str">
        <f ca="1">IF(A642="","",IF($B$8="Sí",interpolar_alamb(E642,OFFSET(Curvas_cupon_cero!$A$1,1,0,COUNT(Curvas_cupon_cero!$A:$A)-2,1),OFFSET(Curvas_cupon_cero!$A$1,1,MATCH(Bono_M_Cupon_fijo_curva!$B$7,Curvas_cupon_cero!$1:$1,0)-1,COUNT(Curvas_cupon_cero!$A:$A)-2,1)),interpolar(E642,OFFSET(Curvas_cupon_cero!$A$1,1,0,COUNT(Curvas_cupon_cero!$A:$A)-2,1),OFFSET(Curvas_cupon_cero!$A$1,1,MATCH(Bono_M_Cupon_fijo_curva!$B$7,Curvas_cupon_cero!$1:$1,0)-1,COUNT(Curvas_cupon_cero!$A:$A)-2,1))))</f>
        <v/>
      </c>
      <c r="G642" s="19" t="str">
        <f>IF(A642="","",C642/(1+F642*$B$6/360)^(COUNT(A$16:A642)-($B$6-$D$16)/$B$6))</f>
        <v/>
      </c>
    </row>
    <row r="643" spans="1:7" x14ac:dyDescent="0.2">
      <c r="A643" s="12" t="str">
        <f t="shared" si="51"/>
        <v/>
      </c>
      <c r="B643" t="str">
        <f t="shared" si="47"/>
        <v/>
      </c>
      <c r="C643" s="17" t="str">
        <f t="shared" si="48"/>
        <v/>
      </c>
      <c r="D643" s="18" t="str">
        <f t="shared" si="49"/>
        <v/>
      </c>
      <c r="E643" t="str">
        <f t="shared" si="50"/>
        <v/>
      </c>
      <c r="F643" s="23" t="str">
        <f ca="1">IF(A643="","",IF($B$8="Sí",interpolar_alamb(E643,OFFSET(Curvas_cupon_cero!$A$1,1,0,COUNT(Curvas_cupon_cero!$A:$A)-2,1),OFFSET(Curvas_cupon_cero!$A$1,1,MATCH(Bono_M_Cupon_fijo_curva!$B$7,Curvas_cupon_cero!$1:$1,0)-1,COUNT(Curvas_cupon_cero!$A:$A)-2,1)),interpolar(E643,OFFSET(Curvas_cupon_cero!$A$1,1,0,COUNT(Curvas_cupon_cero!$A:$A)-2,1),OFFSET(Curvas_cupon_cero!$A$1,1,MATCH(Bono_M_Cupon_fijo_curva!$B$7,Curvas_cupon_cero!$1:$1,0)-1,COUNT(Curvas_cupon_cero!$A:$A)-2,1))))</f>
        <v/>
      </c>
      <c r="G643" s="19" t="str">
        <f>IF(A643="","",C643/(1+F643*$B$6/360)^(COUNT(A$16:A643)-($B$6-$D$16)/$B$6))</f>
        <v/>
      </c>
    </row>
    <row r="644" spans="1:7" x14ac:dyDescent="0.2">
      <c r="A644" s="12" t="str">
        <f t="shared" si="51"/>
        <v/>
      </c>
      <c r="B644" t="str">
        <f t="shared" si="47"/>
        <v/>
      </c>
      <c r="C644" s="17" t="str">
        <f t="shared" si="48"/>
        <v/>
      </c>
      <c r="D644" s="18" t="str">
        <f t="shared" si="49"/>
        <v/>
      </c>
      <c r="E644" t="str">
        <f t="shared" si="50"/>
        <v/>
      </c>
      <c r="F644" s="23" t="str">
        <f ca="1">IF(A644="","",IF($B$8="Sí",interpolar_alamb(E644,OFFSET(Curvas_cupon_cero!$A$1,1,0,COUNT(Curvas_cupon_cero!$A:$A)-2,1),OFFSET(Curvas_cupon_cero!$A$1,1,MATCH(Bono_M_Cupon_fijo_curva!$B$7,Curvas_cupon_cero!$1:$1,0)-1,COUNT(Curvas_cupon_cero!$A:$A)-2,1)),interpolar(E644,OFFSET(Curvas_cupon_cero!$A$1,1,0,COUNT(Curvas_cupon_cero!$A:$A)-2,1),OFFSET(Curvas_cupon_cero!$A$1,1,MATCH(Bono_M_Cupon_fijo_curva!$B$7,Curvas_cupon_cero!$1:$1,0)-1,COUNT(Curvas_cupon_cero!$A:$A)-2,1))))</f>
        <v/>
      </c>
      <c r="G644" s="19" t="str">
        <f>IF(A644="","",C644/(1+F644*$B$6/360)^(COUNT(A$16:A644)-($B$6-$D$16)/$B$6))</f>
        <v/>
      </c>
    </row>
    <row r="645" spans="1:7" x14ac:dyDescent="0.2">
      <c r="A645" s="12" t="str">
        <f t="shared" si="51"/>
        <v/>
      </c>
      <c r="B645" t="str">
        <f t="shared" si="47"/>
        <v/>
      </c>
      <c r="C645" s="17" t="str">
        <f t="shared" si="48"/>
        <v/>
      </c>
      <c r="D645" s="18" t="str">
        <f t="shared" si="49"/>
        <v/>
      </c>
      <c r="E645" t="str">
        <f t="shared" si="50"/>
        <v/>
      </c>
      <c r="F645" s="23" t="str">
        <f ca="1">IF(A645="","",IF($B$8="Sí",interpolar_alamb(E645,OFFSET(Curvas_cupon_cero!$A$1,1,0,COUNT(Curvas_cupon_cero!$A:$A)-2,1),OFFSET(Curvas_cupon_cero!$A$1,1,MATCH(Bono_M_Cupon_fijo_curva!$B$7,Curvas_cupon_cero!$1:$1,0)-1,COUNT(Curvas_cupon_cero!$A:$A)-2,1)),interpolar(E645,OFFSET(Curvas_cupon_cero!$A$1,1,0,COUNT(Curvas_cupon_cero!$A:$A)-2,1),OFFSET(Curvas_cupon_cero!$A$1,1,MATCH(Bono_M_Cupon_fijo_curva!$B$7,Curvas_cupon_cero!$1:$1,0)-1,COUNT(Curvas_cupon_cero!$A:$A)-2,1))))</f>
        <v/>
      </c>
      <c r="G645" s="19" t="str">
        <f>IF(A645="","",C645/(1+F645*$B$6/360)^(COUNT(A$16:A645)-($B$6-$D$16)/$B$6))</f>
        <v/>
      </c>
    </row>
    <row r="646" spans="1:7" x14ac:dyDescent="0.2">
      <c r="A646" s="12" t="str">
        <f t="shared" si="51"/>
        <v/>
      </c>
      <c r="B646" t="str">
        <f t="shared" si="47"/>
        <v/>
      </c>
      <c r="C646" s="17" t="str">
        <f t="shared" si="48"/>
        <v/>
      </c>
      <c r="D646" s="18" t="str">
        <f t="shared" si="49"/>
        <v/>
      </c>
      <c r="E646" t="str">
        <f t="shared" si="50"/>
        <v/>
      </c>
      <c r="F646" s="23" t="str">
        <f ca="1">IF(A646="","",IF($B$8="Sí",interpolar_alamb(E646,OFFSET(Curvas_cupon_cero!$A$1,1,0,COUNT(Curvas_cupon_cero!$A:$A)-2,1),OFFSET(Curvas_cupon_cero!$A$1,1,MATCH(Bono_M_Cupon_fijo_curva!$B$7,Curvas_cupon_cero!$1:$1,0)-1,COUNT(Curvas_cupon_cero!$A:$A)-2,1)),interpolar(E646,OFFSET(Curvas_cupon_cero!$A$1,1,0,COUNT(Curvas_cupon_cero!$A:$A)-2,1),OFFSET(Curvas_cupon_cero!$A$1,1,MATCH(Bono_M_Cupon_fijo_curva!$B$7,Curvas_cupon_cero!$1:$1,0)-1,COUNT(Curvas_cupon_cero!$A:$A)-2,1))))</f>
        <v/>
      </c>
      <c r="G646" s="19" t="str">
        <f>IF(A646="","",C646/(1+F646*$B$6/360)^(COUNT(A$16:A646)-($B$6-$D$16)/$B$6))</f>
        <v/>
      </c>
    </row>
    <row r="647" spans="1:7" x14ac:dyDescent="0.2">
      <c r="A647" s="12" t="str">
        <f t="shared" si="51"/>
        <v/>
      </c>
      <c r="B647" t="str">
        <f t="shared" si="47"/>
        <v/>
      </c>
      <c r="C647" s="17" t="str">
        <f t="shared" si="48"/>
        <v/>
      </c>
      <c r="D647" s="18" t="str">
        <f t="shared" si="49"/>
        <v/>
      </c>
      <c r="E647" t="str">
        <f t="shared" si="50"/>
        <v/>
      </c>
      <c r="F647" s="23" t="str">
        <f ca="1">IF(A647="","",IF($B$8="Sí",interpolar_alamb(E647,OFFSET(Curvas_cupon_cero!$A$1,1,0,COUNT(Curvas_cupon_cero!$A:$A)-2,1),OFFSET(Curvas_cupon_cero!$A$1,1,MATCH(Bono_M_Cupon_fijo_curva!$B$7,Curvas_cupon_cero!$1:$1,0)-1,COUNT(Curvas_cupon_cero!$A:$A)-2,1)),interpolar(E647,OFFSET(Curvas_cupon_cero!$A$1,1,0,COUNT(Curvas_cupon_cero!$A:$A)-2,1),OFFSET(Curvas_cupon_cero!$A$1,1,MATCH(Bono_M_Cupon_fijo_curva!$B$7,Curvas_cupon_cero!$1:$1,0)-1,COUNT(Curvas_cupon_cero!$A:$A)-2,1))))</f>
        <v/>
      </c>
      <c r="G647" s="19" t="str">
        <f>IF(A647="","",C647/(1+F647*$B$6/360)^(COUNT(A$16:A647)-($B$6-$D$16)/$B$6))</f>
        <v/>
      </c>
    </row>
    <row r="648" spans="1:7" x14ac:dyDescent="0.2">
      <c r="A648" s="12" t="str">
        <f t="shared" si="51"/>
        <v/>
      </c>
      <c r="B648" t="str">
        <f t="shared" si="47"/>
        <v/>
      </c>
      <c r="C648" s="17" t="str">
        <f t="shared" si="48"/>
        <v/>
      </c>
      <c r="D648" s="18" t="str">
        <f t="shared" si="49"/>
        <v/>
      </c>
      <c r="E648" t="str">
        <f t="shared" si="50"/>
        <v/>
      </c>
      <c r="F648" s="23" t="str">
        <f ca="1">IF(A648="","",IF($B$8="Sí",interpolar_alamb(E648,OFFSET(Curvas_cupon_cero!$A$1,1,0,COUNT(Curvas_cupon_cero!$A:$A)-2,1),OFFSET(Curvas_cupon_cero!$A$1,1,MATCH(Bono_M_Cupon_fijo_curva!$B$7,Curvas_cupon_cero!$1:$1,0)-1,COUNT(Curvas_cupon_cero!$A:$A)-2,1)),interpolar(E648,OFFSET(Curvas_cupon_cero!$A$1,1,0,COUNT(Curvas_cupon_cero!$A:$A)-2,1),OFFSET(Curvas_cupon_cero!$A$1,1,MATCH(Bono_M_Cupon_fijo_curva!$B$7,Curvas_cupon_cero!$1:$1,0)-1,COUNT(Curvas_cupon_cero!$A:$A)-2,1))))</f>
        <v/>
      </c>
      <c r="G648" s="19" t="str">
        <f>IF(A648="","",C648/(1+F648*$B$6/360)^(COUNT(A$16:A648)-($B$6-$D$16)/$B$6))</f>
        <v/>
      </c>
    </row>
    <row r="649" spans="1:7" x14ac:dyDescent="0.2">
      <c r="A649" s="12" t="str">
        <f t="shared" si="51"/>
        <v/>
      </c>
      <c r="B649" t="str">
        <f t="shared" si="47"/>
        <v/>
      </c>
      <c r="C649" s="17" t="str">
        <f t="shared" si="48"/>
        <v/>
      </c>
      <c r="D649" s="18" t="str">
        <f t="shared" si="49"/>
        <v/>
      </c>
      <c r="E649" t="str">
        <f t="shared" si="50"/>
        <v/>
      </c>
      <c r="F649" s="23" t="str">
        <f ca="1">IF(A649="","",IF($B$8="Sí",interpolar_alamb(E649,OFFSET(Curvas_cupon_cero!$A$1,1,0,COUNT(Curvas_cupon_cero!$A:$A)-2,1),OFFSET(Curvas_cupon_cero!$A$1,1,MATCH(Bono_M_Cupon_fijo_curva!$B$7,Curvas_cupon_cero!$1:$1,0)-1,COUNT(Curvas_cupon_cero!$A:$A)-2,1)),interpolar(E649,OFFSET(Curvas_cupon_cero!$A$1,1,0,COUNT(Curvas_cupon_cero!$A:$A)-2,1),OFFSET(Curvas_cupon_cero!$A$1,1,MATCH(Bono_M_Cupon_fijo_curva!$B$7,Curvas_cupon_cero!$1:$1,0)-1,COUNT(Curvas_cupon_cero!$A:$A)-2,1))))</f>
        <v/>
      </c>
      <c r="G649" s="19" t="str">
        <f>IF(A649="","",C649/(1+F649*$B$6/360)^(COUNT(A$16:A649)-($B$6-$D$16)/$B$6))</f>
        <v/>
      </c>
    </row>
    <row r="650" spans="1:7" x14ac:dyDescent="0.2">
      <c r="A650" s="12" t="str">
        <f t="shared" si="51"/>
        <v/>
      </c>
      <c r="B650" t="str">
        <f t="shared" si="47"/>
        <v/>
      </c>
      <c r="C650" s="17" t="str">
        <f t="shared" si="48"/>
        <v/>
      </c>
      <c r="D650" s="18" t="str">
        <f t="shared" si="49"/>
        <v/>
      </c>
      <c r="E650" t="str">
        <f t="shared" si="50"/>
        <v/>
      </c>
      <c r="F650" s="23" t="str">
        <f ca="1">IF(A650="","",IF($B$8="Sí",interpolar_alamb(E650,OFFSET(Curvas_cupon_cero!$A$1,1,0,COUNT(Curvas_cupon_cero!$A:$A)-2,1),OFFSET(Curvas_cupon_cero!$A$1,1,MATCH(Bono_M_Cupon_fijo_curva!$B$7,Curvas_cupon_cero!$1:$1,0)-1,COUNT(Curvas_cupon_cero!$A:$A)-2,1)),interpolar(E650,OFFSET(Curvas_cupon_cero!$A$1,1,0,COUNT(Curvas_cupon_cero!$A:$A)-2,1),OFFSET(Curvas_cupon_cero!$A$1,1,MATCH(Bono_M_Cupon_fijo_curva!$B$7,Curvas_cupon_cero!$1:$1,0)-1,COUNT(Curvas_cupon_cero!$A:$A)-2,1))))</f>
        <v/>
      </c>
      <c r="G650" s="19" t="str">
        <f>IF(A650="","",C650/(1+F650*$B$6/360)^(COUNT(A$16:A650)-($B$6-$D$16)/$B$6))</f>
        <v/>
      </c>
    </row>
    <row r="651" spans="1:7" x14ac:dyDescent="0.2">
      <c r="A651" s="12" t="str">
        <f t="shared" si="51"/>
        <v/>
      </c>
      <c r="B651" t="str">
        <f t="shared" si="47"/>
        <v/>
      </c>
      <c r="C651" s="17" t="str">
        <f t="shared" si="48"/>
        <v/>
      </c>
      <c r="D651" s="18" t="str">
        <f t="shared" si="49"/>
        <v/>
      </c>
      <c r="E651" t="str">
        <f t="shared" si="50"/>
        <v/>
      </c>
      <c r="F651" s="23" t="str">
        <f ca="1">IF(A651="","",IF($B$8="Sí",interpolar_alamb(E651,OFFSET(Curvas_cupon_cero!$A$1,1,0,COUNT(Curvas_cupon_cero!$A:$A)-2,1),OFFSET(Curvas_cupon_cero!$A$1,1,MATCH(Bono_M_Cupon_fijo_curva!$B$7,Curvas_cupon_cero!$1:$1,0)-1,COUNT(Curvas_cupon_cero!$A:$A)-2,1)),interpolar(E651,OFFSET(Curvas_cupon_cero!$A$1,1,0,COUNT(Curvas_cupon_cero!$A:$A)-2,1),OFFSET(Curvas_cupon_cero!$A$1,1,MATCH(Bono_M_Cupon_fijo_curva!$B$7,Curvas_cupon_cero!$1:$1,0)-1,COUNT(Curvas_cupon_cero!$A:$A)-2,1))))</f>
        <v/>
      </c>
      <c r="G651" s="19" t="str">
        <f>IF(A651="","",C651/(1+F651*$B$6/360)^(COUNT(A$16:A651)-($B$6-$D$16)/$B$6))</f>
        <v/>
      </c>
    </row>
    <row r="652" spans="1:7" x14ac:dyDescent="0.2">
      <c r="A652" s="12" t="str">
        <f t="shared" si="51"/>
        <v/>
      </c>
      <c r="B652" t="str">
        <f t="shared" si="47"/>
        <v/>
      </c>
      <c r="C652" s="17" t="str">
        <f t="shared" si="48"/>
        <v/>
      </c>
      <c r="D652" s="18" t="str">
        <f t="shared" si="49"/>
        <v/>
      </c>
      <c r="E652" t="str">
        <f t="shared" si="50"/>
        <v/>
      </c>
      <c r="F652" s="23" t="str">
        <f ca="1">IF(A652="","",IF($B$8="Sí",interpolar_alamb(E652,OFFSET(Curvas_cupon_cero!$A$1,1,0,COUNT(Curvas_cupon_cero!$A:$A)-2,1),OFFSET(Curvas_cupon_cero!$A$1,1,MATCH(Bono_M_Cupon_fijo_curva!$B$7,Curvas_cupon_cero!$1:$1,0)-1,COUNT(Curvas_cupon_cero!$A:$A)-2,1)),interpolar(E652,OFFSET(Curvas_cupon_cero!$A$1,1,0,COUNT(Curvas_cupon_cero!$A:$A)-2,1),OFFSET(Curvas_cupon_cero!$A$1,1,MATCH(Bono_M_Cupon_fijo_curva!$B$7,Curvas_cupon_cero!$1:$1,0)-1,COUNT(Curvas_cupon_cero!$A:$A)-2,1))))</f>
        <v/>
      </c>
      <c r="G652" s="19" t="str">
        <f>IF(A652="","",C652/(1+F652*$B$6/360)^(COUNT(A$16:A652)-($B$6-$D$16)/$B$6))</f>
        <v/>
      </c>
    </row>
    <row r="653" spans="1:7" x14ac:dyDescent="0.2">
      <c r="A653" s="12" t="str">
        <f t="shared" si="51"/>
        <v/>
      </c>
      <c r="B653" t="str">
        <f t="shared" si="47"/>
        <v/>
      </c>
      <c r="C653" s="17" t="str">
        <f t="shared" si="48"/>
        <v/>
      </c>
      <c r="D653" s="18" t="str">
        <f t="shared" si="49"/>
        <v/>
      </c>
      <c r="E653" t="str">
        <f t="shared" si="50"/>
        <v/>
      </c>
      <c r="F653" s="23" t="str">
        <f ca="1">IF(A653="","",IF($B$8="Sí",interpolar_alamb(E653,OFFSET(Curvas_cupon_cero!$A$1,1,0,COUNT(Curvas_cupon_cero!$A:$A)-2,1),OFFSET(Curvas_cupon_cero!$A$1,1,MATCH(Bono_M_Cupon_fijo_curva!$B$7,Curvas_cupon_cero!$1:$1,0)-1,COUNT(Curvas_cupon_cero!$A:$A)-2,1)),interpolar(E653,OFFSET(Curvas_cupon_cero!$A$1,1,0,COUNT(Curvas_cupon_cero!$A:$A)-2,1),OFFSET(Curvas_cupon_cero!$A$1,1,MATCH(Bono_M_Cupon_fijo_curva!$B$7,Curvas_cupon_cero!$1:$1,0)-1,COUNT(Curvas_cupon_cero!$A:$A)-2,1))))</f>
        <v/>
      </c>
      <c r="G653" s="19" t="str">
        <f>IF(A653="","",C653/(1+F653*$B$6/360)^(COUNT(A$16:A653)-($B$6-$D$16)/$B$6))</f>
        <v/>
      </c>
    </row>
    <row r="654" spans="1:7" x14ac:dyDescent="0.2">
      <c r="A654" s="12" t="str">
        <f t="shared" si="51"/>
        <v/>
      </c>
      <c r="B654" t="str">
        <f t="shared" si="47"/>
        <v/>
      </c>
      <c r="C654" s="17" t="str">
        <f t="shared" si="48"/>
        <v/>
      </c>
      <c r="D654" s="18" t="str">
        <f t="shared" si="49"/>
        <v/>
      </c>
      <c r="E654" t="str">
        <f t="shared" si="50"/>
        <v/>
      </c>
      <c r="F654" s="23" t="str">
        <f ca="1">IF(A654="","",IF($B$8="Sí",interpolar_alamb(E654,OFFSET(Curvas_cupon_cero!$A$1,1,0,COUNT(Curvas_cupon_cero!$A:$A)-2,1),OFFSET(Curvas_cupon_cero!$A$1,1,MATCH(Bono_M_Cupon_fijo_curva!$B$7,Curvas_cupon_cero!$1:$1,0)-1,COUNT(Curvas_cupon_cero!$A:$A)-2,1)),interpolar(E654,OFFSET(Curvas_cupon_cero!$A$1,1,0,COUNT(Curvas_cupon_cero!$A:$A)-2,1),OFFSET(Curvas_cupon_cero!$A$1,1,MATCH(Bono_M_Cupon_fijo_curva!$B$7,Curvas_cupon_cero!$1:$1,0)-1,COUNT(Curvas_cupon_cero!$A:$A)-2,1))))</f>
        <v/>
      </c>
      <c r="G654" s="19" t="str">
        <f>IF(A654="","",C654/(1+F654*$B$6/360)^(COUNT(A$16:A654)-($B$6-$D$16)/$B$6))</f>
        <v/>
      </c>
    </row>
    <row r="655" spans="1:7" x14ac:dyDescent="0.2">
      <c r="A655" s="12" t="str">
        <f t="shared" si="51"/>
        <v/>
      </c>
      <c r="B655" t="str">
        <f t="shared" si="47"/>
        <v/>
      </c>
      <c r="C655" s="17" t="str">
        <f t="shared" si="48"/>
        <v/>
      </c>
      <c r="D655" s="18" t="str">
        <f t="shared" si="49"/>
        <v/>
      </c>
      <c r="E655" t="str">
        <f t="shared" si="50"/>
        <v/>
      </c>
      <c r="F655" s="23" t="str">
        <f ca="1">IF(A655="","",IF($B$8="Sí",interpolar_alamb(E655,OFFSET(Curvas_cupon_cero!$A$1,1,0,COUNT(Curvas_cupon_cero!$A:$A)-2,1),OFFSET(Curvas_cupon_cero!$A$1,1,MATCH(Bono_M_Cupon_fijo_curva!$B$7,Curvas_cupon_cero!$1:$1,0)-1,COUNT(Curvas_cupon_cero!$A:$A)-2,1)),interpolar(E655,OFFSET(Curvas_cupon_cero!$A$1,1,0,COUNT(Curvas_cupon_cero!$A:$A)-2,1),OFFSET(Curvas_cupon_cero!$A$1,1,MATCH(Bono_M_Cupon_fijo_curva!$B$7,Curvas_cupon_cero!$1:$1,0)-1,COUNT(Curvas_cupon_cero!$A:$A)-2,1))))</f>
        <v/>
      </c>
      <c r="G655" s="19" t="str">
        <f>IF(A655="","",C655/(1+F655*$B$6/360)^(COUNT(A$16:A655)-($B$6-$D$16)/$B$6))</f>
        <v/>
      </c>
    </row>
    <row r="656" spans="1:7" x14ac:dyDescent="0.2">
      <c r="A656" s="12" t="str">
        <f t="shared" si="51"/>
        <v/>
      </c>
      <c r="B656" t="str">
        <f t="shared" si="47"/>
        <v/>
      </c>
      <c r="C656" s="17" t="str">
        <f t="shared" si="48"/>
        <v/>
      </c>
      <c r="D656" s="18" t="str">
        <f t="shared" si="49"/>
        <v/>
      </c>
      <c r="E656" t="str">
        <f t="shared" si="50"/>
        <v/>
      </c>
      <c r="F656" s="23" t="str">
        <f ca="1">IF(A656="","",IF($B$8="Sí",interpolar_alamb(E656,OFFSET(Curvas_cupon_cero!$A$1,1,0,COUNT(Curvas_cupon_cero!$A:$A)-2,1),OFFSET(Curvas_cupon_cero!$A$1,1,MATCH(Bono_M_Cupon_fijo_curva!$B$7,Curvas_cupon_cero!$1:$1,0)-1,COUNT(Curvas_cupon_cero!$A:$A)-2,1)),interpolar(E656,OFFSET(Curvas_cupon_cero!$A$1,1,0,COUNT(Curvas_cupon_cero!$A:$A)-2,1),OFFSET(Curvas_cupon_cero!$A$1,1,MATCH(Bono_M_Cupon_fijo_curva!$B$7,Curvas_cupon_cero!$1:$1,0)-1,COUNT(Curvas_cupon_cero!$A:$A)-2,1))))</f>
        <v/>
      </c>
      <c r="G656" s="19" t="str">
        <f>IF(A656="","",C656/(1+F656*$B$6/360)^(COUNT(A$16:A656)-($B$6-$D$16)/$B$6))</f>
        <v/>
      </c>
    </row>
    <row r="657" spans="1:7" x14ac:dyDescent="0.2">
      <c r="A657" s="12" t="str">
        <f t="shared" si="51"/>
        <v/>
      </c>
      <c r="B657" t="str">
        <f t="shared" ref="B657:B689" si="52">IF(A657="","",$B$5)</f>
        <v/>
      </c>
      <c r="C657" s="17" t="str">
        <f t="shared" ref="C657:C689" si="53">IF(A657="","",IF(A657=$B$4,$B$1*$B$2+ $B$5*$B$6/360*$B$1*$B$2, $B$5*$B$6/360*$B$1*$B$2))</f>
        <v/>
      </c>
      <c r="D657" s="18" t="str">
        <f t="shared" ref="D657:D689" si="54">IF(A657="","",$B$6)</f>
        <v/>
      </c>
      <c r="E657" t="str">
        <f t="shared" ref="E657:E689" si="55">IF(A657="","",E656+D657)</f>
        <v/>
      </c>
      <c r="F657" s="23" t="str">
        <f ca="1">IF(A657="","",IF($B$8="Sí",interpolar_alamb(E657,OFFSET(Curvas_cupon_cero!$A$1,1,0,COUNT(Curvas_cupon_cero!$A:$A)-2,1),OFFSET(Curvas_cupon_cero!$A$1,1,MATCH(Bono_M_Cupon_fijo_curva!$B$7,Curvas_cupon_cero!$1:$1,0)-1,COUNT(Curvas_cupon_cero!$A:$A)-2,1)),interpolar(E657,OFFSET(Curvas_cupon_cero!$A$1,1,0,COUNT(Curvas_cupon_cero!$A:$A)-2,1),OFFSET(Curvas_cupon_cero!$A$1,1,MATCH(Bono_M_Cupon_fijo_curva!$B$7,Curvas_cupon_cero!$1:$1,0)-1,COUNT(Curvas_cupon_cero!$A:$A)-2,1))))</f>
        <v/>
      </c>
      <c r="G657" s="19" t="str">
        <f>IF(A657="","",C657/(1+F657*$B$6/360)^(COUNT(A$16:A657)-($B$6-$D$16)/$B$6))</f>
        <v/>
      </c>
    </row>
    <row r="658" spans="1:7" x14ac:dyDescent="0.2">
      <c r="A658" s="12" t="str">
        <f t="shared" si="51"/>
        <v/>
      </c>
      <c r="B658" t="str">
        <f t="shared" si="52"/>
        <v/>
      </c>
      <c r="C658" s="17" t="str">
        <f t="shared" si="53"/>
        <v/>
      </c>
      <c r="D658" s="18" t="str">
        <f t="shared" si="54"/>
        <v/>
      </c>
      <c r="E658" t="str">
        <f t="shared" si="55"/>
        <v/>
      </c>
      <c r="F658" s="23" t="str">
        <f ca="1">IF(A658="","",IF($B$8="Sí",interpolar_alamb(E658,OFFSET(Curvas_cupon_cero!$A$1,1,0,COUNT(Curvas_cupon_cero!$A:$A)-2,1),OFFSET(Curvas_cupon_cero!$A$1,1,MATCH(Bono_M_Cupon_fijo_curva!$B$7,Curvas_cupon_cero!$1:$1,0)-1,COUNT(Curvas_cupon_cero!$A:$A)-2,1)),interpolar(E658,OFFSET(Curvas_cupon_cero!$A$1,1,0,COUNT(Curvas_cupon_cero!$A:$A)-2,1),OFFSET(Curvas_cupon_cero!$A$1,1,MATCH(Bono_M_Cupon_fijo_curva!$B$7,Curvas_cupon_cero!$1:$1,0)-1,COUNT(Curvas_cupon_cero!$A:$A)-2,1))))</f>
        <v/>
      </c>
      <c r="G658" s="19" t="str">
        <f>IF(A658="","",C658/(1+F658*$B$6/360)^(COUNT(A$16:A658)-($B$6-$D$16)/$B$6))</f>
        <v/>
      </c>
    </row>
    <row r="659" spans="1:7" x14ac:dyDescent="0.2">
      <c r="A659" s="12" t="str">
        <f t="shared" si="51"/>
        <v/>
      </c>
      <c r="B659" t="str">
        <f t="shared" si="52"/>
        <v/>
      </c>
      <c r="C659" s="17" t="str">
        <f t="shared" si="53"/>
        <v/>
      </c>
      <c r="D659" s="18" t="str">
        <f t="shared" si="54"/>
        <v/>
      </c>
      <c r="E659" t="str">
        <f t="shared" si="55"/>
        <v/>
      </c>
      <c r="F659" s="23" t="str">
        <f ca="1">IF(A659="","",IF($B$8="Sí",interpolar_alamb(E659,OFFSET(Curvas_cupon_cero!$A$1,1,0,COUNT(Curvas_cupon_cero!$A:$A)-2,1),OFFSET(Curvas_cupon_cero!$A$1,1,MATCH(Bono_M_Cupon_fijo_curva!$B$7,Curvas_cupon_cero!$1:$1,0)-1,COUNT(Curvas_cupon_cero!$A:$A)-2,1)),interpolar(E659,OFFSET(Curvas_cupon_cero!$A$1,1,0,COUNT(Curvas_cupon_cero!$A:$A)-2,1),OFFSET(Curvas_cupon_cero!$A$1,1,MATCH(Bono_M_Cupon_fijo_curva!$B$7,Curvas_cupon_cero!$1:$1,0)-1,COUNT(Curvas_cupon_cero!$A:$A)-2,1))))</f>
        <v/>
      </c>
      <c r="G659" s="19" t="str">
        <f>IF(A659="","",C659/(1+F659*$B$6/360)^(COUNT(A$16:A659)-($B$6-$D$16)/$B$6))</f>
        <v/>
      </c>
    </row>
    <row r="660" spans="1:7" x14ac:dyDescent="0.2">
      <c r="A660" s="12" t="str">
        <f t="shared" si="51"/>
        <v/>
      </c>
      <c r="B660" t="str">
        <f t="shared" si="52"/>
        <v/>
      </c>
      <c r="C660" s="17" t="str">
        <f t="shared" si="53"/>
        <v/>
      </c>
      <c r="D660" s="18" t="str">
        <f t="shared" si="54"/>
        <v/>
      </c>
      <c r="E660" t="str">
        <f t="shared" si="55"/>
        <v/>
      </c>
      <c r="F660" s="23" t="str">
        <f ca="1">IF(A660="","",IF($B$8="Sí",interpolar_alamb(E660,OFFSET(Curvas_cupon_cero!$A$1,1,0,COUNT(Curvas_cupon_cero!$A:$A)-2,1),OFFSET(Curvas_cupon_cero!$A$1,1,MATCH(Bono_M_Cupon_fijo_curva!$B$7,Curvas_cupon_cero!$1:$1,0)-1,COUNT(Curvas_cupon_cero!$A:$A)-2,1)),interpolar(E660,OFFSET(Curvas_cupon_cero!$A$1,1,0,COUNT(Curvas_cupon_cero!$A:$A)-2,1),OFFSET(Curvas_cupon_cero!$A$1,1,MATCH(Bono_M_Cupon_fijo_curva!$B$7,Curvas_cupon_cero!$1:$1,0)-1,COUNT(Curvas_cupon_cero!$A:$A)-2,1))))</f>
        <v/>
      </c>
      <c r="G660" s="19" t="str">
        <f>IF(A660="","",C660/(1+F660*$B$6/360)^(COUNT(A$16:A660)-($B$6-$D$16)/$B$6))</f>
        <v/>
      </c>
    </row>
    <row r="661" spans="1:7" x14ac:dyDescent="0.2">
      <c r="A661" s="12" t="str">
        <f t="shared" si="51"/>
        <v/>
      </c>
      <c r="B661" t="str">
        <f t="shared" si="52"/>
        <v/>
      </c>
      <c r="C661" s="17" t="str">
        <f t="shared" si="53"/>
        <v/>
      </c>
      <c r="D661" s="18" t="str">
        <f t="shared" si="54"/>
        <v/>
      </c>
      <c r="E661" t="str">
        <f t="shared" si="55"/>
        <v/>
      </c>
      <c r="F661" s="23" t="str">
        <f ca="1">IF(A661="","",IF($B$8="Sí",interpolar_alamb(E661,OFFSET(Curvas_cupon_cero!$A$1,1,0,COUNT(Curvas_cupon_cero!$A:$A)-2,1),OFFSET(Curvas_cupon_cero!$A$1,1,MATCH(Bono_M_Cupon_fijo_curva!$B$7,Curvas_cupon_cero!$1:$1,0)-1,COUNT(Curvas_cupon_cero!$A:$A)-2,1)),interpolar(E661,OFFSET(Curvas_cupon_cero!$A$1,1,0,COUNT(Curvas_cupon_cero!$A:$A)-2,1),OFFSET(Curvas_cupon_cero!$A$1,1,MATCH(Bono_M_Cupon_fijo_curva!$B$7,Curvas_cupon_cero!$1:$1,0)-1,COUNT(Curvas_cupon_cero!$A:$A)-2,1))))</f>
        <v/>
      </c>
      <c r="G661" s="19" t="str">
        <f>IF(A661="","",C661/(1+F661*$B$6/360)^(COUNT(A$16:A661)-($B$6-$D$16)/$B$6))</f>
        <v/>
      </c>
    </row>
    <row r="662" spans="1:7" x14ac:dyDescent="0.2">
      <c r="A662" s="12" t="str">
        <f t="shared" si="51"/>
        <v/>
      </c>
      <c r="B662" t="str">
        <f t="shared" si="52"/>
        <v/>
      </c>
      <c r="C662" s="17" t="str">
        <f t="shared" si="53"/>
        <v/>
      </c>
      <c r="D662" s="18" t="str">
        <f t="shared" si="54"/>
        <v/>
      </c>
      <c r="E662" t="str">
        <f t="shared" si="55"/>
        <v/>
      </c>
      <c r="F662" s="23" t="str">
        <f ca="1">IF(A662="","",IF($B$8="Sí",interpolar_alamb(E662,OFFSET(Curvas_cupon_cero!$A$1,1,0,COUNT(Curvas_cupon_cero!$A:$A)-2,1),OFFSET(Curvas_cupon_cero!$A$1,1,MATCH(Bono_M_Cupon_fijo_curva!$B$7,Curvas_cupon_cero!$1:$1,0)-1,COUNT(Curvas_cupon_cero!$A:$A)-2,1)),interpolar(E662,OFFSET(Curvas_cupon_cero!$A$1,1,0,COUNT(Curvas_cupon_cero!$A:$A)-2,1),OFFSET(Curvas_cupon_cero!$A$1,1,MATCH(Bono_M_Cupon_fijo_curva!$B$7,Curvas_cupon_cero!$1:$1,0)-1,COUNT(Curvas_cupon_cero!$A:$A)-2,1))))</f>
        <v/>
      </c>
      <c r="G662" s="19" t="str">
        <f>IF(A662="","",C662/(1+F662*$B$6/360)^(COUNT(A$16:A662)-($B$6-$D$16)/$B$6))</f>
        <v/>
      </c>
    </row>
    <row r="663" spans="1:7" x14ac:dyDescent="0.2">
      <c r="A663" s="12" t="str">
        <f t="shared" si="51"/>
        <v/>
      </c>
      <c r="B663" t="str">
        <f t="shared" si="52"/>
        <v/>
      </c>
      <c r="C663" s="17" t="str">
        <f t="shared" si="53"/>
        <v/>
      </c>
      <c r="D663" s="18" t="str">
        <f t="shared" si="54"/>
        <v/>
      </c>
      <c r="E663" t="str">
        <f t="shared" si="55"/>
        <v/>
      </c>
      <c r="F663" s="23" t="str">
        <f ca="1">IF(A663="","",IF($B$8="Sí",interpolar_alamb(E663,OFFSET(Curvas_cupon_cero!$A$1,1,0,COUNT(Curvas_cupon_cero!$A:$A)-2,1),OFFSET(Curvas_cupon_cero!$A$1,1,MATCH(Bono_M_Cupon_fijo_curva!$B$7,Curvas_cupon_cero!$1:$1,0)-1,COUNT(Curvas_cupon_cero!$A:$A)-2,1)),interpolar(E663,OFFSET(Curvas_cupon_cero!$A$1,1,0,COUNT(Curvas_cupon_cero!$A:$A)-2,1),OFFSET(Curvas_cupon_cero!$A$1,1,MATCH(Bono_M_Cupon_fijo_curva!$B$7,Curvas_cupon_cero!$1:$1,0)-1,COUNT(Curvas_cupon_cero!$A:$A)-2,1))))</f>
        <v/>
      </c>
      <c r="G663" s="19" t="str">
        <f>IF(A663="","",C663/(1+F663*$B$6/360)^(COUNT(A$16:A663)-($B$6-$D$16)/$B$6))</f>
        <v/>
      </c>
    </row>
    <row r="664" spans="1:7" x14ac:dyDescent="0.2">
      <c r="A664" s="12" t="str">
        <f t="shared" si="51"/>
        <v/>
      </c>
      <c r="B664" t="str">
        <f t="shared" si="52"/>
        <v/>
      </c>
      <c r="C664" s="17" t="str">
        <f t="shared" si="53"/>
        <v/>
      </c>
      <c r="D664" s="18" t="str">
        <f t="shared" si="54"/>
        <v/>
      </c>
      <c r="E664" t="str">
        <f t="shared" si="55"/>
        <v/>
      </c>
      <c r="F664" s="23" t="str">
        <f ca="1">IF(A664="","",IF($B$8="Sí",interpolar_alamb(E664,OFFSET(Curvas_cupon_cero!$A$1,1,0,COUNT(Curvas_cupon_cero!$A:$A)-2,1),OFFSET(Curvas_cupon_cero!$A$1,1,MATCH(Bono_M_Cupon_fijo_curva!$B$7,Curvas_cupon_cero!$1:$1,0)-1,COUNT(Curvas_cupon_cero!$A:$A)-2,1)),interpolar(E664,OFFSET(Curvas_cupon_cero!$A$1,1,0,COUNT(Curvas_cupon_cero!$A:$A)-2,1),OFFSET(Curvas_cupon_cero!$A$1,1,MATCH(Bono_M_Cupon_fijo_curva!$B$7,Curvas_cupon_cero!$1:$1,0)-1,COUNT(Curvas_cupon_cero!$A:$A)-2,1))))</f>
        <v/>
      </c>
      <c r="G664" s="19" t="str">
        <f>IF(A664="","",C664/(1+F664*$B$6/360)^(COUNT(A$16:A664)-($B$6-$D$16)/$B$6))</f>
        <v/>
      </c>
    </row>
    <row r="665" spans="1:7" x14ac:dyDescent="0.2">
      <c r="A665" s="12" t="str">
        <f t="shared" si="51"/>
        <v/>
      </c>
      <c r="B665" t="str">
        <f t="shared" si="52"/>
        <v/>
      </c>
      <c r="C665" s="17" t="str">
        <f t="shared" si="53"/>
        <v/>
      </c>
      <c r="D665" s="18" t="str">
        <f t="shared" si="54"/>
        <v/>
      </c>
      <c r="E665" t="str">
        <f t="shared" si="55"/>
        <v/>
      </c>
      <c r="F665" s="23" t="str">
        <f ca="1">IF(A665="","",IF($B$8="Sí",interpolar_alamb(E665,OFFSET(Curvas_cupon_cero!$A$1,1,0,COUNT(Curvas_cupon_cero!$A:$A)-2,1),OFFSET(Curvas_cupon_cero!$A$1,1,MATCH(Bono_M_Cupon_fijo_curva!$B$7,Curvas_cupon_cero!$1:$1,0)-1,COUNT(Curvas_cupon_cero!$A:$A)-2,1)),interpolar(E665,OFFSET(Curvas_cupon_cero!$A$1,1,0,COUNT(Curvas_cupon_cero!$A:$A)-2,1),OFFSET(Curvas_cupon_cero!$A$1,1,MATCH(Bono_M_Cupon_fijo_curva!$B$7,Curvas_cupon_cero!$1:$1,0)-1,COUNT(Curvas_cupon_cero!$A:$A)-2,1))))</f>
        <v/>
      </c>
      <c r="G665" s="19" t="str">
        <f>IF(A665="","",C665/(1+F665*$B$6/360)^(COUNT(A$16:A665)-($B$6-$D$16)/$B$6))</f>
        <v/>
      </c>
    </row>
    <row r="666" spans="1:7" x14ac:dyDescent="0.2">
      <c r="A666" s="12" t="str">
        <f t="shared" si="51"/>
        <v/>
      </c>
      <c r="B666" t="str">
        <f t="shared" si="52"/>
        <v/>
      </c>
      <c r="C666" s="17" t="str">
        <f t="shared" si="53"/>
        <v/>
      </c>
      <c r="D666" s="18" t="str">
        <f t="shared" si="54"/>
        <v/>
      </c>
      <c r="E666" t="str">
        <f t="shared" si="55"/>
        <v/>
      </c>
      <c r="F666" s="23" t="str">
        <f ca="1">IF(A666="","",IF($B$8="Sí",interpolar_alamb(E666,OFFSET(Curvas_cupon_cero!$A$1,1,0,COUNT(Curvas_cupon_cero!$A:$A)-2,1),OFFSET(Curvas_cupon_cero!$A$1,1,MATCH(Bono_M_Cupon_fijo_curva!$B$7,Curvas_cupon_cero!$1:$1,0)-1,COUNT(Curvas_cupon_cero!$A:$A)-2,1)),interpolar(E666,OFFSET(Curvas_cupon_cero!$A$1,1,0,COUNT(Curvas_cupon_cero!$A:$A)-2,1),OFFSET(Curvas_cupon_cero!$A$1,1,MATCH(Bono_M_Cupon_fijo_curva!$B$7,Curvas_cupon_cero!$1:$1,0)-1,COUNT(Curvas_cupon_cero!$A:$A)-2,1))))</f>
        <v/>
      </c>
      <c r="G666" s="19" t="str">
        <f>IF(A666="","",C666/(1+F666*$B$6/360)^(COUNT(A$16:A666)-($B$6-$D$16)/$B$6))</f>
        <v/>
      </c>
    </row>
    <row r="667" spans="1:7" x14ac:dyDescent="0.2">
      <c r="A667" s="12" t="str">
        <f t="shared" ref="A667:A689" si="56">IF(A666="","",IF((A666+$B$6)&gt;$B$4,"",(A666+$B$6)))</f>
        <v/>
      </c>
      <c r="B667" t="str">
        <f t="shared" si="52"/>
        <v/>
      </c>
      <c r="C667" s="17" t="str">
        <f t="shared" si="53"/>
        <v/>
      </c>
      <c r="D667" s="18" t="str">
        <f t="shared" si="54"/>
        <v/>
      </c>
      <c r="E667" t="str">
        <f t="shared" si="55"/>
        <v/>
      </c>
      <c r="F667" s="23" t="str">
        <f ca="1">IF(A667="","",IF($B$8="Sí",interpolar_alamb(E667,OFFSET(Curvas_cupon_cero!$A$1,1,0,COUNT(Curvas_cupon_cero!$A:$A)-2,1),OFFSET(Curvas_cupon_cero!$A$1,1,MATCH(Bono_M_Cupon_fijo_curva!$B$7,Curvas_cupon_cero!$1:$1,0)-1,COUNT(Curvas_cupon_cero!$A:$A)-2,1)),interpolar(E667,OFFSET(Curvas_cupon_cero!$A$1,1,0,COUNT(Curvas_cupon_cero!$A:$A)-2,1),OFFSET(Curvas_cupon_cero!$A$1,1,MATCH(Bono_M_Cupon_fijo_curva!$B$7,Curvas_cupon_cero!$1:$1,0)-1,COUNT(Curvas_cupon_cero!$A:$A)-2,1))))</f>
        <v/>
      </c>
      <c r="G667" s="19" t="str">
        <f>IF(A667="","",C667/(1+F667*$B$6/360)^(COUNT(A$16:A667)-($B$6-$D$16)/$B$6))</f>
        <v/>
      </c>
    </row>
    <row r="668" spans="1:7" x14ac:dyDescent="0.2">
      <c r="A668" s="12" t="str">
        <f t="shared" si="56"/>
        <v/>
      </c>
      <c r="B668" t="str">
        <f t="shared" si="52"/>
        <v/>
      </c>
      <c r="C668" s="17" t="str">
        <f t="shared" si="53"/>
        <v/>
      </c>
      <c r="D668" s="18" t="str">
        <f t="shared" si="54"/>
        <v/>
      </c>
      <c r="E668" t="str">
        <f t="shared" si="55"/>
        <v/>
      </c>
      <c r="F668" s="23" t="str">
        <f ca="1">IF(A668="","",IF($B$8="Sí",interpolar_alamb(E668,OFFSET(Curvas_cupon_cero!$A$1,1,0,COUNT(Curvas_cupon_cero!$A:$A)-2,1),OFFSET(Curvas_cupon_cero!$A$1,1,MATCH(Bono_M_Cupon_fijo_curva!$B$7,Curvas_cupon_cero!$1:$1,0)-1,COUNT(Curvas_cupon_cero!$A:$A)-2,1)),interpolar(E668,OFFSET(Curvas_cupon_cero!$A$1,1,0,COUNT(Curvas_cupon_cero!$A:$A)-2,1),OFFSET(Curvas_cupon_cero!$A$1,1,MATCH(Bono_M_Cupon_fijo_curva!$B$7,Curvas_cupon_cero!$1:$1,0)-1,COUNT(Curvas_cupon_cero!$A:$A)-2,1))))</f>
        <v/>
      </c>
      <c r="G668" s="19" t="str">
        <f>IF(A668="","",C668/(1+F668*$B$6/360)^(COUNT(A$16:A668)-($B$6-$D$16)/$B$6))</f>
        <v/>
      </c>
    </row>
    <row r="669" spans="1:7" x14ac:dyDescent="0.2">
      <c r="A669" s="12" t="str">
        <f t="shared" si="56"/>
        <v/>
      </c>
      <c r="B669" t="str">
        <f t="shared" si="52"/>
        <v/>
      </c>
      <c r="C669" s="17" t="str">
        <f t="shared" si="53"/>
        <v/>
      </c>
      <c r="D669" s="18" t="str">
        <f t="shared" si="54"/>
        <v/>
      </c>
      <c r="E669" t="str">
        <f t="shared" si="55"/>
        <v/>
      </c>
      <c r="F669" s="23" t="str">
        <f ca="1">IF(A669="","",IF($B$8="Sí",interpolar_alamb(E669,OFFSET(Curvas_cupon_cero!$A$1,1,0,COUNT(Curvas_cupon_cero!$A:$A)-2,1),OFFSET(Curvas_cupon_cero!$A$1,1,MATCH(Bono_M_Cupon_fijo_curva!$B$7,Curvas_cupon_cero!$1:$1,0)-1,COUNT(Curvas_cupon_cero!$A:$A)-2,1)),interpolar(E669,OFFSET(Curvas_cupon_cero!$A$1,1,0,COUNT(Curvas_cupon_cero!$A:$A)-2,1),OFFSET(Curvas_cupon_cero!$A$1,1,MATCH(Bono_M_Cupon_fijo_curva!$B$7,Curvas_cupon_cero!$1:$1,0)-1,COUNT(Curvas_cupon_cero!$A:$A)-2,1))))</f>
        <v/>
      </c>
      <c r="G669" s="19" t="str">
        <f>IF(A669="","",C669/(1+F669*$B$6/360)^(COUNT(A$16:A669)-($B$6-$D$16)/$B$6))</f>
        <v/>
      </c>
    </row>
    <row r="670" spans="1:7" x14ac:dyDescent="0.2">
      <c r="A670" s="12" t="str">
        <f t="shared" si="56"/>
        <v/>
      </c>
      <c r="B670" t="str">
        <f t="shared" si="52"/>
        <v/>
      </c>
      <c r="C670" s="17" t="str">
        <f t="shared" si="53"/>
        <v/>
      </c>
      <c r="D670" s="18" t="str">
        <f t="shared" si="54"/>
        <v/>
      </c>
      <c r="E670" t="str">
        <f t="shared" si="55"/>
        <v/>
      </c>
      <c r="F670" s="23" t="str">
        <f ca="1">IF(A670="","",IF($B$8="Sí",interpolar_alamb(E670,OFFSET(Curvas_cupon_cero!$A$1,1,0,COUNT(Curvas_cupon_cero!$A:$A)-2,1),OFFSET(Curvas_cupon_cero!$A$1,1,MATCH(Bono_M_Cupon_fijo_curva!$B$7,Curvas_cupon_cero!$1:$1,0)-1,COUNT(Curvas_cupon_cero!$A:$A)-2,1)),interpolar(E670,OFFSET(Curvas_cupon_cero!$A$1,1,0,COUNT(Curvas_cupon_cero!$A:$A)-2,1),OFFSET(Curvas_cupon_cero!$A$1,1,MATCH(Bono_M_Cupon_fijo_curva!$B$7,Curvas_cupon_cero!$1:$1,0)-1,COUNT(Curvas_cupon_cero!$A:$A)-2,1))))</f>
        <v/>
      </c>
      <c r="G670" s="19" t="str">
        <f>IF(A670="","",C670/(1+F670*$B$6/360)^(COUNT(A$16:A670)-($B$6-$D$16)/$B$6))</f>
        <v/>
      </c>
    </row>
    <row r="671" spans="1:7" x14ac:dyDescent="0.2">
      <c r="A671" s="12" t="str">
        <f t="shared" si="56"/>
        <v/>
      </c>
      <c r="B671" t="str">
        <f t="shared" si="52"/>
        <v/>
      </c>
      <c r="C671" s="17" t="str">
        <f t="shared" si="53"/>
        <v/>
      </c>
      <c r="D671" s="18" t="str">
        <f t="shared" si="54"/>
        <v/>
      </c>
      <c r="E671" t="str">
        <f t="shared" si="55"/>
        <v/>
      </c>
      <c r="F671" s="23" t="str">
        <f ca="1">IF(A671="","",IF($B$8="Sí",interpolar_alamb(E671,OFFSET(Curvas_cupon_cero!$A$1,1,0,COUNT(Curvas_cupon_cero!$A:$A)-2,1),OFFSET(Curvas_cupon_cero!$A$1,1,MATCH(Bono_M_Cupon_fijo_curva!$B$7,Curvas_cupon_cero!$1:$1,0)-1,COUNT(Curvas_cupon_cero!$A:$A)-2,1)),interpolar(E671,OFFSET(Curvas_cupon_cero!$A$1,1,0,COUNT(Curvas_cupon_cero!$A:$A)-2,1),OFFSET(Curvas_cupon_cero!$A$1,1,MATCH(Bono_M_Cupon_fijo_curva!$B$7,Curvas_cupon_cero!$1:$1,0)-1,COUNT(Curvas_cupon_cero!$A:$A)-2,1))))</f>
        <v/>
      </c>
      <c r="G671" s="19" t="str">
        <f>IF(A671="","",C671/(1+F671*$B$6/360)^(COUNT(A$16:A671)-($B$6-$D$16)/$B$6))</f>
        <v/>
      </c>
    </row>
    <row r="672" spans="1:7" x14ac:dyDescent="0.2">
      <c r="A672" s="12" t="str">
        <f t="shared" si="56"/>
        <v/>
      </c>
      <c r="B672" t="str">
        <f t="shared" si="52"/>
        <v/>
      </c>
      <c r="C672" s="17" t="str">
        <f t="shared" si="53"/>
        <v/>
      </c>
      <c r="D672" s="18" t="str">
        <f t="shared" si="54"/>
        <v/>
      </c>
      <c r="E672" t="str">
        <f t="shared" si="55"/>
        <v/>
      </c>
      <c r="F672" s="23" t="str">
        <f ca="1">IF(A672="","",IF($B$8="Sí",interpolar_alamb(E672,OFFSET(Curvas_cupon_cero!$A$1,1,0,COUNT(Curvas_cupon_cero!$A:$A)-2,1),OFFSET(Curvas_cupon_cero!$A$1,1,MATCH(Bono_M_Cupon_fijo_curva!$B$7,Curvas_cupon_cero!$1:$1,0)-1,COUNT(Curvas_cupon_cero!$A:$A)-2,1)),interpolar(E672,OFFSET(Curvas_cupon_cero!$A$1,1,0,COUNT(Curvas_cupon_cero!$A:$A)-2,1),OFFSET(Curvas_cupon_cero!$A$1,1,MATCH(Bono_M_Cupon_fijo_curva!$B$7,Curvas_cupon_cero!$1:$1,0)-1,COUNT(Curvas_cupon_cero!$A:$A)-2,1))))</f>
        <v/>
      </c>
      <c r="G672" s="19" t="str">
        <f>IF(A672="","",C672/(1+F672*$B$6/360)^(COUNT(A$16:A672)-($B$6-$D$16)/$B$6))</f>
        <v/>
      </c>
    </row>
    <row r="673" spans="1:7" x14ac:dyDescent="0.2">
      <c r="A673" s="12" t="str">
        <f t="shared" si="56"/>
        <v/>
      </c>
      <c r="B673" t="str">
        <f t="shared" si="52"/>
        <v/>
      </c>
      <c r="C673" s="17" t="str">
        <f t="shared" si="53"/>
        <v/>
      </c>
      <c r="D673" s="18" t="str">
        <f t="shared" si="54"/>
        <v/>
      </c>
      <c r="E673" t="str">
        <f t="shared" si="55"/>
        <v/>
      </c>
      <c r="F673" s="23" t="str">
        <f ca="1">IF(A673="","",IF($B$8="Sí",interpolar_alamb(E673,OFFSET(Curvas_cupon_cero!$A$1,1,0,COUNT(Curvas_cupon_cero!$A:$A)-2,1),OFFSET(Curvas_cupon_cero!$A$1,1,MATCH(Bono_M_Cupon_fijo_curva!$B$7,Curvas_cupon_cero!$1:$1,0)-1,COUNT(Curvas_cupon_cero!$A:$A)-2,1)),interpolar(E673,OFFSET(Curvas_cupon_cero!$A$1,1,0,COUNT(Curvas_cupon_cero!$A:$A)-2,1),OFFSET(Curvas_cupon_cero!$A$1,1,MATCH(Bono_M_Cupon_fijo_curva!$B$7,Curvas_cupon_cero!$1:$1,0)-1,COUNT(Curvas_cupon_cero!$A:$A)-2,1))))</f>
        <v/>
      </c>
      <c r="G673" s="19" t="str">
        <f>IF(A673="","",C673/(1+F673*$B$6/360)^(COUNT(A$16:A673)-($B$6-$D$16)/$B$6))</f>
        <v/>
      </c>
    </row>
    <row r="674" spans="1:7" x14ac:dyDescent="0.2">
      <c r="A674" s="12" t="str">
        <f t="shared" si="56"/>
        <v/>
      </c>
      <c r="B674" t="str">
        <f t="shared" si="52"/>
        <v/>
      </c>
      <c r="C674" s="17" t="str">
        <f t="shared" si="53"/>
        <v/>
      </c>
      <c r="D674" s="18" t="str">
        <f t="shared" si="54"/>
        <v/>
      </c>
      <c r="E674" t="str">
        <f t="shared" si="55"/>
        <v/>
      </c>
      <c r="F674" s="23" t="str">
        <f ca="1">IF(A674="","",IF($B$8="Sí",interpolar_alamb(E674,OFFSET(Curvas_cupon_cero!$A$1,1,0,COUNT(Curvas_cupon_cero!$A:$A)-2,1),OFFSET(Curvas_cupon_cero!$A$1,1,MATCH(Bono_M_Cupon_fijo_curva!$B$7,Curvas_cupon_cero!$1:$1,0)-1,COUNT(Curvas_cupon_cero!$A:$A)-2,1)),interpolar(E674,OFFSET(Curvas_cupon_cero!$A$1,1,0,COUNT(Curvas_cupon_cero!$A:$A)-2,1),OFFSET(Curvas_cupon_cero!$A$1,1,MATCH(Bono_M_Cupon_fijo_curva!$B$7,Curvas_cupon_cero!$1:$1,0)-1,COUNT(Curvas_cupon_cero!$A:$A)-2,1))))</f>
        <v/>
      </c>
      <c r="G674" s="19" t="str">
        <f>IF(A674="","",C674/(1+F674*$B$6/360)^(COUNT(A$16:A674)-($B$6-$D$16)/$B$6))</f>
        <v/>
      </c>
    </row>
    <row r="675" spans="1:7" x14ac:dyDescent="0.2">
      <c r="A675" s="12" t="str">
        <f t="shared" si="56"/>
        <v/>
      </c>
      <c r="B675" t="str">
        <f t="shared" si="52"/>
        <v/>
      </c>
      <c r="C675" s="17" t="str">
        <f t="shared" si="53"/>
        <v/>
      </c>
      <c r="D675" s="18" t="str">
        <f t="shared" si="54"/>
        <v/>
      </c>
      <c r="E675" t="str">
        <f t="shared" si="55"/>
        <v/>
      </c>
      <c r="F675" s="23" t="str">
        <f ca="1">IF(A675="","",IF($B$8="Sí",interpolar_alamb(E675,OFFSET(Curvas_cupon_cero!$A$1,1,0,COUNT(Curvas_cupon_cero!$A:$A)-2,1),OFFSET(Curvas_cupon_cero!$A$1,1,MATCH(Bono_M_Cupon_fijo_curva!$B$7,Curvas_cupon_cero!$1:$1,0)-1,COUNT(Curvas_cupon_cero!$A:$A)-2,1)),interpolar(E675,OFFSET(Curvas_cupon_cero!$A$1,1,0,COUNT(Curvas_cupon_cero!$A:$A)-2,1),OFFSET(Curvas_cupon_cero!$A$1,1,MATCH(Bono_M_Cupon_fijo_curva!$B$7,Curvas_cupon_cero!$1:$1,0)-1,COUNT(Curvas_cupon_cero!$A:$A)-2,1))))</f>
        <v/>
      </c>
      <c r="G675" s="19" t="str">
        <f>IF(A675="","",C675/(1+F675*$B$6/360)^(COUNT(A$16:A675)-($B$6-$D$16)/$B$6))</f>
        <v/>
      </c>
    </row>
    <row r="676" spans="1:7" x14ac:dyDescent="0.2">
      <c r="A676" s="12" t="str">
        <f t="shared" si="56"/>
        <v/>
      </c>
      <c r="B676" t="str">
        <f t="shared" si="52"/>
        <v/>
      </c>
      <c r="C676" s="17" t="str">
        <f t="shared" si="53"/>
        <v/>
      </c>
      <c r="D676" s="18" t="str">
        <f t="shared" si="54"/>
        <v/>
      </c>
      <c r="E676" t="str">
        <f t="shared" si="55"/>
        <v/>
      </c>
      <c r="F676" s="23" t="str">
        <f ca="1">IF(A676="","",IF($B$8="Sí",interpolar_alamb(E676,OFFSET(Curvas_cupon_cero!$A$1,1,0,COUNT(Curvas_cupon_cero!$A:$A)-2,1),OFFSET(Curvas_cupon_cero!$A$1,1,MATCH(Bono_M_Cupon_fijo_curva!$B$7,Curvas_cupon_cero!$1:$1,0)-1,COUNT(Curvas_cupon_cero!$A:$A)-2,1)),interpolar(E676,OFFSET(Curvas_cupon_cero!$A$1,1,0,COUNT(Curvas_cupon_cero!$A:$A)-2,1),OFFSET(Curvas_cupon_cero!$A$1,1,MATCH(Bono_M_Cupon_fijo_curva!$B$7,Curvas_cupon_cero!$1:$1,0)-1,COUNT(Curvas_cupon_cero!$A:$A)-2,1))))</f>
        <v/>
      </c>
      <c r="G676" s="19" t="str">
        <f>IF(A676="","",C676/(1+F676*$B$6/360)^(COUNT(A$16:A676)-($B$6-$D$16)/$B$6))</f>
        <v/>
      </c>
    </row>
    <row r="677" spans="1:7" x14ac:dyDescent="0.2">
      <c r="A677" s="12" t="str">
        <f t="shared" si="56"/>
        <v/>
      </c>
      <c r="B677" t="str">
        <f t="shared" si="52"/>
        <v/>
      </c>
      <c r="C677" s="17" t="str">
        <f t="shared" si="53"/>
        <v/>
      </c>
      <c r="D677" s="18" t="str">
        <f t="shared" si="54"/>
        <v/>
      </c>
      <c r="E677" t="str">
        <f t="shared" si="55"/>
        <v/>
      </c>
      <c r="F677" s="23" t="str">
        <f ca="1">IF(A677="","",IF($B$8="Sí",interpolar_alamb(E677,OFFSET(Curvas_cupon_cero!$A$1,1,0,COUNT(Curvas_cupon_cero!$A:$A)-2,1),OFFSET(Curvas_cupon_cero!$A$1,1,MATCH(Bono_M_Cupon_fijo_curva!$B$7,Curvas_cupon_cero!$1:$1,0)-1,COUNT(Curvas_cupon_cero!$A:$A)-2,1)),interpolar(E677,OFFSET(Curvas_cupon_cero!$A$1,1,0,COUNT(Curvas_cupon_cero!$A:$A)-2,1),OFFSET(Curvas_cupon_cero!$A$1,1,MATCH(Bono_M_Cupon_fijo_curva!$B$7,Curvas_cupon_cero!$1:$1,0)-1,COUNT(Curvas_cupon_cero!$A:$A)-2,1))))</f>
        <v/>
      </c>
      <c r="G677" s="19" t="str">
        <f>IF(A677="","",C677/(1+F677*$B$6/360)^(COUNT(A$16:A677)-($B$6-$D$16)/$B$6))</f>
        <v/>
      </c>
    </row>
    <row r="678" spans="1:7" x14ac:dyDescent="0.2">
      <c r="A678" s="12" t="str">
        <f t="shared" si="56"/>
        <v/>
      </c>
      <c r="B678" t="str">
        <f t="shared" si="52"/>
        <v/>
      </c>
      <c r="C678" s="17" t="str">
        <f t="shared" si="53"/>
        <v/>
      </c>
      <c r="D678" s="18" t="str">
        <f t="shared" si="54"/>
        <v/>
      </c>
      <c r="E678" t="str">
        <f t="shared" si="55"/>
        <v/>
      </c>
      <c r="F678" s="23" t="str">
        <f ca="1">IF(A678="","",IF($B$8="Sí",interpolar_alamb(E678,OFFSET(Curvas_cupon_cero!$A$1,1,0,COUNT(Curvas_cupon_cero!$A:$A)-2,1),OFFSET(Curvas_cupon_cero!$A$1,1,MATCH(Bono_M_Cupon_fijo_curva!$B$7,Curvas_cupon_cero!$1:$1,0)-1,COUNT(Curvas_cupon_cero!$A:$A)-2,1)),interpolar(E678,OFFSET(Curvas_cupon_cero!$A$1,1,0,COUNT(Curvas_cupon_cero!$A:$A)-2,1),OFFSET(Curvas_cupon_cero!$A$1,1,MATCH(Bono_M_Cupon_fijo_curva!$B$7,Curvas_cupon_cero!$1:$1,0)-1,COUNT(Curvas_cupon_cero!$A:$A)-2,1))))</f>
        <v/>
      </c>
      <c r="G678" s="19" t="str">
        <f>IF(A678="","",C678/(1+F678*$B$6/360)^(COUNT(A$16:A678)-($B$6-$D$16)/$B$6))</f>
        <v/>
      </c>
    </row>
    <row r="679" spans="1:7" x14ac:dyDescent="0.2">
      <c r="A679" s="12" t="str">
        <f t="shared" si="56"/>
        <v/>
      </c>
      <c r="B679" t="str">
        <f t="shared" si="52"/>
        <v/>
      </c>
      <c r="C679" s="17" t="str">
        <f t="shared" si="53"/>
        <v/>
      </c>
      <c r="D679" s="18" t="str">
        <f t="shared" si="54"/>
        <v/>
      </c>
      <c r="E679" t="str">
        <f t="shared" si="55"/>
        <v/>
      </c>
      <c r="F679" s="23" t="str">
        <f ca="1">IF(A679="","",IF($B$8="Sí",interpolar_alamb(E679,OFFSET(Curvas_cupon_cero!$A$1,1,0,COUNT(Curvas_cupon_cero!$A:$A)-2,1),OFFSET(Curvas_cupon_cero!$A$1,1,MATCH(Bono_M_Cupon_fijo_curva!$B$7,Curvas_cupon_cero!$1:$1,0)-1,COUNT(Curvas_cupon_cero!$A:$A)-2,1)),interpolar(E679,OFFSET(Curvas_cupon_cero!$A$1,1,0,COUNT(Curvas_cupon_cero!$A:$A)-2,1),OFFSET(Curvas_cupon_cero!$A$1,1,MATCH(Bono_M_Cupon_fijo_curva!$B$7,Curvas_cupon_cero!$1:$1,0)-1,COUNT(Curvas_cupon_cero!$A:$A)-2,1))))</f>
        <v/>
      </c>
      <c r="G679" s="19" t="str">
        <f>IF(A679="","",C679/(1+F679*$B$6/360)^(COUNT(A$16:A679)-($B$6-$D$16)/$B$6))</f>
        <v/>
      </c>
    </row>
    <row r="680" spans="1:7" x14ac:dyDescent="0.2">
      <c r="A680" s="12" t="str">
        <f t="shared" si="56"/>
        <v/>
      </c>
      <c r="B680" t="str">
        <f t="shared" si="52"/>
        <v/>
      </c>
      <c r="C680" s="17" t="str">
        <f t="shared" si="53"/>
        <v/>
      </c>
      <c r="D680" s="18" t="str">
        <f t="shared" si="54"/>
        <v/>
      </c>
      <c r="E680" t="str">
        <f t="shared" si="55"/>
        <v/>
      </c>
      <c r="F680" s="23" t="str">
        <f ca="1">IF(A680="","",IF($B$8="Sí",interpolar_alamb(E680,OFFSET(Curvas_cupon_cero!$A$1,1,0,COUNT(Curvas_cupon_cero!$A:$A)-2,1),OFFSET(Curvas_cupon_cero!$A$1,1,MATCH(Bono_M_Cupon_fijo_curva!$B$7,Curvas_cupon_cero!$1:$1,0)-1,COUNT(Curvas_cupon_cero!$A:$A)-2,1)),interpolar(E680,OFFSET(Curvas_cupon_cero!$A$1,1,0,COUNT(Curvas_cupon_cero!$A:$A)-2,1),OFFSET(Curvas_cupon_cero!$A$1,1,MATCH(Bono_M_Cupon_fijo_curva!$B$7,Curvas_cupon_cero!$1:$1,0)-1,COUNT(Curvas_cupon_cero!$A:$A)-2,1))))</f>
        <v/>
      </c>
      <c r="G680" s="19" t="str">
        <f>IF(A680="","",C680/(1+F680*$B$6/360)^(COUNT(A$16:A680)-($B$6-$D$16)/$B$6))</f>
        <v/>
      </c>
    </row>
    <row r="681" spans="1:7" x14ac:dyDescent="0.2">
      <c r="A681" s="12" t="str">
        <f t="shared" si="56"/>
        <v/>
      </c>
      <c r="B681" t="str">
        <f t="shared" si="52"/>
        <v/>
      </c>
      <c r="C681" s="17" t="str">
        <f t="shared" si="53"/>
        <v/>
      </c>
      <c r="D681" s="18" t="str">
        <f t="shared" si="54"/>
        <v/>
      </c>
      <c r="E681" t="str">
        <f t="shared" si="55"/>
        <v/>
      </c>
      <c r="F681" s="23" t="str">
        <f ca="1">IF(A681="","",IF($B$8="Sí",interpolar_alamb(E681,OFFSET(Curvas_cupon_cero!$A$1,1,0,COUNT(Curvas_cupon_cero!$A:$A)-2,1),OFFSET(Curvas_cupon_cero!$A$1,1,MATCH(Bono_M_Cupon_fijo_curva!$B$7,Curvas_cupon_cero!$1:$1,0)-1,COUNT(Curvas_cupon_cero!$A:$A)-2,1)),interpolar(E681,OFFSET(Curvas_cupon_cero!$A$1,1,0,COUNT(Curvas_cupon_cero!$A:$A)-2,1),OFFSET(Curvas_cupon_cero!$A$1,1,MATCH(Bono_M_Cupon_fijo_curva!$B$7,Curvas_cupon_cero!$1:$1,0)-1,COUNT(Curvas_cupon_cero!$A:$A)-2,1))))</f>
        <v/>
      </c>
      <c r="G681" s="19" t="str">
        <f>IF(A681="","",C681/(1+F681*$B$6/360)^(COUNT(A$16:A681)-($B$6-$D$16)/$B$6))</f>
        <v/>
      </c>
    </row>
    <row r="682" spans="1:7" x14ac:dyDescent="0.2">
      <c r="A682" s="12" t="str">
        <f t="shared" si="56"/>
        <v/>
      </c>
      <c r="B682" t="str">
        <f t="shared" si="52"/>
        <v/>
      </c>
      <c r="C682" s="17" t="str">
        <f t="shared" si="53"/>
        <v/>
      </c>
      <c r="D682" s="18" t="str">
        <f t="shared" si="54"/>
        <v/>
      </c>
      <c r="E682" t="str">
        <f t="shared" si="55"/>
        <v/>
      </c>
      <c r="F682" s="23" t="str">
        <f ca="1">IF(A682="","",IF($B$8="Sí",interpolar_alamb(E682,OFFSET(Curvas_cupon_cero!$A$1,1,0,COUNT(Curvas_cupon_cero!$A:$A)-2,1),OFFSET(Curvas_cupon_cero!$A$1,1,MATCH(Bono_M_Cupon_fijo_curva!$B$7,Curvas_cupon_cero!$1:$1,0)-1,COUNT(Curvas_cupon_cero!$A:$A)-2,1)),interpolar(E682,OFFSET(Curvas_cupon_cero!$A$1,1,0,COUNT(Curvas_cupon_cero!$A:$A)-2,1),OFFSET(Curvas_cupon_cero!$A$1,1,MATCH(Bono_M_Cupon_fijo_curva!$B$7,Curvas_cupon_cero!$1:$1,0)-1,COUNT(Curvas_cupon_cero!$A:$A)-2,1))))</f>
        <v/>
      </c>
      <c r="G682" s="19" t="str">
        <f>IF(A682="","",C682/(1+F682*$B$6/360)^(COUNT(A$16:A682)-($B$6-$D$16)/$B$6))</f>
        <v/>
      </c>
    </row>
    <row r="683" spans="1:7" x14ac:dyDescent="0.2">
      <c r="A683" s="12" t="str">
        <f t="shared" si="56"/>
        <v/>
      </c>
      <c r="B683" t="str">
        <f t="shared" si="52"/>
        <v/>
      </c>
      <c r="C683" s="17" t="str">
        <f t="shared" si="53"/>
        <v/>
      </c>
      <c r="D683" s="18" t="str">
        <f t="shared" si="54"/>
        <v/>
      </c>
      <c r="E683" t="str">
        <f t="shared" si="55"/>
        <v/>
      </c>
      <c r="F683" s="23" t="str">
        <f ca="1">IF(A683="","",IF($B$8="Sí",interpolar_alamb(E683,OFFSET(Curvas_cupon_cero!$A$1,1,0,COUNT(Curvas_cupon_cero!$A:$A)-2,1),OFFSET(Curvas_cupon_cero!$A$1,1,MATCH(Bono_M_Cupon_fijo_curva!$B$7,Curvas_cupon_cero!$1:$1,0)-1,COUNT(Curvas_cupon_cero!$A:$A)-2,1)),interpolar(E683,OFFSET(Curvas_cupon_cero!$A$1,1,0,COUNT(Curvas_cupon_cero!$A:$A)-2,1),OFFSET(Curvas_cupon_cero!$A$1,1,MATCH(Bono_M_Cupon_fijo_curva!$B$7,Curvas_cupon_cero!$1:$1,0)-1,COUNT(Curvas_cupon_cero!$A:$A)-2,1))))</f>
        <v/>
      </c>
      <c r="G683" s="19" t="str">
        <f>IF(A683="","",C683/(1+F683*$B$6/360)^(COUNT(A$16:A683)-($B$6-$D$16)/$B$6))</f>
        <v/>
      </c>
    </row>
    <row r="684" spans="1:7" x14ac:dyDescent="0.2">
      <c r="A684" s="12" t="str">
        <f t="shared" si="56"/>
        <v/>
      </c>
      <c r="B684" t="str">
        <f t="shared" si="52"/>
        <v/>
      </c>
      <c r="C684" s="17" t="str">
        <f t="shared" si="53"/>
        <v/>
      </c>
      <c r="D684" s="18" t="str">
        <f t="shared" si="54"/>
        <v/>
      </c>
      <c r="E684" t="str">
        <f t="shared" si="55"/>
        <v/>
      </c>
      <c r="F684" s="23" t="str">
        <f ca="1">IF(A684="","",IF($B$8="Sí",interpolar_alamb(E684,OFFSET(Curvas_cupon_cero!$A$1,1,0,COUNT(Curvas_cupon_cero!$A:$A)-2,1),OFFSET(Curvas_cupon_cero!$A$1,1,MATCH(Bono_M_Cupon_fijo_curva!$B$7,Curvas_cupon_cero!$1:$1,0)-1,COUNT(Curvas_cupon_cero!$A:$A)-2,1)),interpolar(E684,OFFSET(Curvas_cupon_cero!$A$1,1,0,COUNT(Curvas_cupon_cero!$A:$A)-2,1),OFFSET(Curvas_cupon_cero!$A$1,1,MATCH(Bono_M_Cupon_fijo_curva!$B$7,Curvas_cupon_cero!$1:$1,0)-1,COUNT(Curvas_cupon_cero!$A:$A)-2,1))))</f>
        <v/>
      </c>
      <c r="G684" s="19" t="str">
        <f>IF(A684="","",C684/(1+F684*$B$6/360)^(COUNT(A$16:A684)-($B$6-$D$16)/$B$6))</f>
        <v/>
      </c>
    </row>
    <row r="685" spans="1:7" x14ac:dyDescent="0.2">
      <c r="A685" s="12" t="str">
        <f t="shared" si="56"/>
        <v/>
      </c>
      <c r="B685" t="str">
        <f t="shared" si="52"/>
        <v/>
      </c>
      <c r="C685" s="17" t="str">
        <f t="shared" si="53"/>
        <v/>
      </c>
      <c r="D685" s="18" t="str">
        <f t="shared" si="54"/>
        <v/>
      </c>
      <c r="E685" t="str">
        <f t="shared" si="55"/>
        <v/>
      </c>
      <c r="F685" s="23" t="str">
        <f ca="1">IF(A685="","",IF($B$8="Sí",interpolar_alamb(E685,OFFSET(Curvas_cupon_cero!$A$1,1,0,COUNT(Curvas_cupon_cero!$A:$A)-2,1),OFFSET(Curvas_cupon_cero!$A$1,1,MATCH(Bono_M_Cupon_fijo_curva!$B$7,Curvas_cupon_cero!$1:$1,0)-1,COUNT(Curvas_cupon_cero!$A:$A)-2,1)),interpolar(E685,OFFSET(Curvas_cupon_cero!$A$1,1,0,COUNT(Curvas_cupon_cero!$A:$A)-2,1),OFFSET(Curvas_cupon_cero!$A$1,1,MATCH(Bono_M_Cupon_fijo_curva!$B$7,Curvas_cupon_cero!$1:$1,0)-1,COUNT(Curvas_cupon_cero!$A:$A)-2,1))))</f>
        <v/>
      </c>
      <c r="G685" s="19" t="str">
        <f>IF(A685="","",C685/(1+F685*$B$6/360)^(COUNT(A$16:A685)-($B$6-$D$16)/$B$6))</f>
        <v/>
      </c>
    </row>
    <row r="686" spans="1:7" x14ac:dyDescent="0.2">
      <c r="A686" s="12" t="str">
        <f t="shared" si="56"/>
        <v/>
      </c>
      <c r="B686" t="str">
        <f t="shared" si="52"/>
        <v/>
      </c>
      <c r="C686" s="17" t="str">
        <f t="shared" si="53"/>
        <v/>
      </c>
      <c r="D686" s="18" t="str">
        <f t="shared" si="54"/>
        <v/>
      </c>
      <c r="E686" t="str">
        <f t="shared" si="55"/>
        <v/>
      </c>
      <c r="F686" s="23" t="str">
        <f ca="1">IF(A686="","",IF($B$8="Sí",interpolar_alamb(E686,OFFSET(Curvas_cupon_cero!$A$1,1,0,COUNT(Curvas_cupon_cero!$A:$A)-2,1),OFFSET(Curvas_cupon_cero!$A$1,1,MATCH(Bono_M_Cupon_fijo_curva!$B$7,Curvas_cupon_cero!$1:$1,0)-1,COUNT(Curvas_cupon_cero!$A:$A)-2,1)),interpolar(E686,OFFSET(Curvas_cupon_cero!$A$1,1,0,COUNT(Curvas_cupon_cero!$A:$A)-2,1),OFFSET(Curvas_cupon_cero!$A$1,1,MATCH(Bono_M_Cupon_fijo_curva!$B$7,Curvas_cupon_cero!$1:$1,0)-1,COUNT(Curvas_cupon_cero!$A:$A)-2,1))))</f>
        <v/>
      </c>
      <c r="G686" s="19" t="str">
        <f>IF(A686="","",C686/(1+F686*$B$6/360)^(COUNT(A$16:A686)-($B$6-$D$16)/$B$6))</f>
        <v/>
      </c>
    </row>
    <row r="687" spans="1:7" x14ac:dyDescent="0.2">
      <c r="A687" s="12" t="str">
        <f t="shared" si="56"/>
        <v/>
      </c>
      <c r="B687" t="str">
        <f t="shared" si="52"/>
        <v/>
      </c>
      <c r="C687" s="17" t="str">
        <f t="shared" si="53"/>
        <v/>
      </c>
      <c r="D687" s="18" t="str">
        <f t="shared" si="54"/>
        <v/>
      </c>
      <c r="E687" t="str">
        <f t="shared" si="55"/>
        <v/>
      </c>
      <c r="F687" s="23" t="str">
        <f ca="1">IF(A687="","",IF($B$8="Sí",interpolar_alamb(E687,OFFSET(Curvas_cupon_cero!$A$1,1,0,COUNT(Curvas_cupon_cero!$A:$A)-2,1),OFFSET(Curvas_cupon_cero!$A$1,1,MATCH(Bono_M_Cupon_fijo_curva!$B$7,Curvas_cupon_cero!$1:$1,0)-1,COUNT(Curvas_cupon_cero!$A:$A)-2,1)),interpolar(E687,OFFSET(Curvas_cupon_cero!$A$1,1,0,COUNT(Curvas_cupon_cero!$A:$A)-2,1),OFFSET(Curvas_cupon_cero!$A$1,1,MATCH(Bono_M_Cupon_fijo_curva!$B$7,Curvas_cupon_cero!$1:$1,0)-1,COUNT(Curvas_cupon_cero!$A:$A)-2,1))))</f>
        <v/>
      </c>
      <c r="G687" s="19" t="str">
        <f>IF(A687="","",C687/(1+F687*$B$6/360)^(COUNT(A$16:A687)-($B$6-$D$16)/$B$6))</f>
        <v/>
      </c>
    </row>
    <row r="688" spans="1:7" x14ac:dyDescent="0.2">
      <c r="A688" s="12" t="str">
        <f t="shared" si="56"/>
        <v/>
      </c>
      <c r="B688" t="str">
        <f t="shared" si="52"/>
        <v/>
      </c>
      <c r="C688" s="17" t="str">
        <f t="shared" si="53"/>
        <v/>
      </c>
      <c r="D688" s="18" t="str">
        <f t="shared" si="54"/>
        <v/>
      </c>
      <c r="E688" t="str">
        <f t="shared" si="55"/>
        <v/>
      </c>
      <c r="F688" s="23" t="str">
        <f ca="1">IF(A688="","",IF($B$8="Sí",interpolar_alamb(E688,OFFSET(Curvas_cupon_cero!$A$1,1,0,COUNT(Curvas_cupon_cero!$A:$A)-2,1),OFFSET(Curvas_cupon_cero!$A$1,1,MATCH(Bono_M_Cupon_fijo_curva!$B$7,Curvas_cupon_cero!$1:$1,0)-1,COUNT(Curvas_cupon_cero!$A:$A)-2,1)),interpolar(E688,OFFSET(Curvas_cupon_cero!$A$1,1,0,COUNT(Curvas_cupon_cero!$A:$A)-2,1),OFFSET(Curvas_cupon_cero!$A$1,1,MATCH(Bono_M_Cupon_fijo_curva!$B$7,Curvas_cupon_cero!$1:$1,0)-1,COUNT(Curvas_cupon_cero!$A:$A)-2,1))))</f>
        <v/>
      </c>
      <c r="G688" s="19" t="str">
        <f>IF(A688="","",C688/(1+F688*$B$6/360)^(COUNT(A$16:A688)-($B$6-$D$16)/$B$6))</f>
        <v/>
      </c>
    </row>
    <row r="689" spans="1:7" x14ac:dyDescent="0.2">
      <c r="A689" s="12" t="str">
        <f t="shared" si="56"/>
        <v/>
      </c>
      <c r="B689" t="str">
        <f t="shared" si="52"/>
        <v/>
      </c>
      <c r="C689" s="17" t="str">
        <f t="shared" si="53"/>
        <v/>
      </c>
      <c r="D689" s="18" t="str">
        <f t="shared" si="54"/>
        <v/>
      </c>
      <c r="E689" t="str">
        <f t="shared" si="55"/>
        <v/>
      </c>
      <c r="F689" s="23" t="str">
        <f ca="1">IF(A689="","",IF($B$8="Sí",interpolar_alamb(E689,OFFSET(Curvas_cupon_cero!$A$1,1,0,COUNT(Curvas_cupon_cero!$A:$A)-2,1),OFFSET(Curvas_cupon_cero!$A$1,1,MATCH(Bono_M_Cupon_fijo_curva!$B$7,Curvas_cupon_cero!$1:$1,0)-1,COUNT(Curvas_cupon_cero!$A:$A)-2,1)),interpolar(E689,OFFSET(Curvas_cupon_cero!$A$1,1,0,COUNT(Curvas_cupon_cero!$A:$A)-2,1),OFFSET(Curvas_cupon_cero!$A$1,1,MATCH(Bono_M_Cupon_fijo_curva!$B$7,Curvas_cupon_cero!$1:$1,0)-1,COUNT(Curvas_cupon_cero!$A:$A)-2,1))))</f>
        <v/>
      </c>
      <c r="G689" s="19" t="str">
        <f>IF(A689="","",C689/(1+F689*$B$6/360)^(COUNT(A$16:A689)-($B$6-$D$16)/$B$6))</f>
        <v/>
      </c>
    </row>
  </sheetData>
  <dataValidations disablePrompts="1" count="1">
    <dataValidation type="list" allowBlank="1" showInputMessage="1" showErrorMessage="1" sqref="B8">
      <formula1>Bin</formula1>
    </dataValidation>
  </dataValidations>
  <pageMargins left="0.75" right="0.75" top="1" bottom="1" header="0.5" footer="0.5"/>
  <pageSetup orientation="portrait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Curvas_cupon_cero!$C$1:$CK$1</xm:f>
          </x14:formula1>
          <xm:sqref>B7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K687"/>
  <sheetViews>
    <sheetView zoomScale="150" zoomScaleNormal="150" workbookViewId="0">
      <selection activeCell="D14" sqref="D14:D17"/>
    </sheetView>
  </sheetViews>
  <sheetFormatPr baseColWidth="10" defaultColWidth="9.140625" defaultRowHeight="12.75" x14ac:dyDescent="0.2"/>
  <cols>
    <col min="1" max="1" width="25" bestFit="1" customWidth="1"/>
    <col min="2" max="2" width="14.140625" bestFit="1" customWidth="1"/>
    <col min="3" max="3" width="11" customWidth="1"/>
    <col min="4" max="4" width="12.28515625" customWidth="1"/>
    <col min="5" max="5" width="10.42578125" bestFit="1" customWidth="1"/>
    <col min="6" max="6" width="11" customWidth="1"/>
    <col min="7" max="7" width="7.5703125" customWidth="1"/>
    <col min="9" max="9" width="8.42578125" customWidth="1"/>
    <col min="10" max="10" width="11.7109375" customWidth="1"/>
  </cols>
  <sheetData>
    <row r="1" spans="1:219" x14ac:dyDescent="0.2">
      <c r="A1" s="3" t="s">
        <v>91</v>
      </c>
      <c r="B1" s="6">
        <v>10000</v>
      </c>
      <c r="HK1" t="s">
        <v>97</v>
      </c>
    </row>
    <row r="2" spans="1:219" x14ac:dyDescent="0.2">
      <c r="A2" s="3" t="s">
        <v>87</v>
      </c>
      <c r="B2" s="11">
        <v>100</v>
      </c>
      <c r="F2" s="2"/>
      <c r="G2" t="s">
        <v>94</v>
      </c>
      <c r="HK2" t="s">
        <v>98</v>
      </c>
    </row>
    <row r="3" spans="1:219" x14ac:dyDescent="0.2">
      <c r="A3" s="3" t="s">
        <v>88</v>
      </c>
      <c r="B3" s="12">
        <v>43280</v>
      </c>
      <c r="F3" s="4"/>
      <c r="G3" t="s">
        <v>95</v>
      </c>
    </row>
    <row r="4" spans="1:219" x14ac:dyDescent="0.2">
      <c r="A4" s="3" t="s">
        <v>89</v>
      </c>
      <c r="B4" s="12">
        <f>B3+360*5</f>
        <v>45080</v>
      </c>
    </row>
    <row r="5" spans="1:219" x14ac:dyDescent="0.2">
      <c r="A5" s="14" t="s">
        <v>105</v>
      </c>
      <c r="B5" s="6">
        <v>28</v>
      </c>
    </row>
    <row r="6" spans="1:219" x14ac:dyDescent="0.2">
      <c r="A6" s="3" t="s">
        <v>96</v>
      </c>
      <c r="B6" s="7" t="s">
        <v>23</v>
      </c>
    </row>
    <row r="7" spans="1:219" x14ac:dyDescent="0.2">
      <c r="A7" s="14" t="s">
        <v>123</v>
      </c>
      <c r="B7" s="7" t="s">
        <v>86</v>
      </c>
    </row>
    <row r="8" spans="1:219" x14ac:dyDescent="0.2">
      <c r="A8" s="3" t="s">
        <v>99</v>
      </c>
      <c r="B8" s="7" t="s">
        <v>97</v>
      </c>
    </row>
    <row r="9" spans="1:219" x14ac:dyDescent="0.2">
      <c r="A9" s="4" t="s">
        <v>90</v>
      </c>
      <c r="B9" s="8">
        <f>B4-B3</f>
        <v>1800</v>
      </c>
    </row>
    <row r="10" spans="1:219" x14ac:dyDescent="0.2">
      <c r="A10" s="13" t="s">
        <v>141</v>
      </c>
      <c r="B10" s="10">
        <f ca="1">SUM(J14:J687)</f>
        <v>915985.39250545599</v>
      </c>
    </row>
    <row r="11" spans="1:219" x14ac:dyDescent="0.2">
      <c r="A11" s="13" t="s">
        <v>142</v>
      </c>
      <c r="B11" s="10">
        <f ca="1">B10-(B5-H14)*E14*B1*B2/360</f>
        <v>914311.93718650087</v>
      </c>
    </row>
    <row r="13" spans="1:219" ht="43.15" customHeight="1" x14ac:dyDescent="0.2">
      <c r="A13" s="22" t="s">
        <v>101</v>
      </c>
      <c r="B13" s="8" t="s">
        <v>120</v>
      </c>
      <c r="C13" s="22" t="s">
        <v>121</v>
      </c>
      <c r="D13" s="22" t="s">
        <v>122</v>
      </c>
      <c r="E13" s="22" t="s">
        <v>124</v>
      </c>
      <c r="F13" s="22" t="s">
        <v>102</v>
      </c>
      <c r="G13" s="22" t="s">
        <v>106</v>
      </c>
      <c r="H13" s="22" t="s">
        <v>107</v>
      </c>
      <c r="I13" s="22" t="s">
        <v>104</v>
      </c>
      <c r="J13" s="22" t="s">
        <v>103</v>
      </c>
    </row>
    <row r="14" spans="1:219" x14ac:dyDescent="0.2">
      <c r="A14" s="12">
        <f>$B$3+$B$9-(INT($B$9/B5))*$B$5</f>
        <v>43288</v>
      </c>
      <c r="B14">
        <f t="shared" ref="B14:B77" si="0">IF(A14="","",MAX(H14-$B$5,0))</f>
        <v>0</v>
      </c>
      <c r="C14" s="21">
        <f ca="1">IF(A14="","",IF($B$8="Sí",interpolar_alamb(B14,OFFSET(Curvas_cupon_cero!$A$1,1,0,COUNT(Curvas_cupon_cero!$A:$A)-2,1),OFFSET(Curvas_cupon_cero!$A$1,1,MATCH($B$7,Curvas_cupon_cero!$1:$1,0)-1,COUNT(Curvas_cupon_cero!$A:$A)-2,1)),[1]!interpolar(B14,OFFSET(Curvas_cupon_cero!$A$1,1,0,COUNT(Curvas_cupon_cero!$A:$A)-2,1),OFFSET(Curvas_cupon_cero!$A$1,1,MATCH($B$7,Curvas_cupon_cero!$1:$1,0)-1,COUNT(Curvas_cupon_cero!$A:$A)-2,1))))</f>
        <v>0</v>
      </c>
      <c r="D14" s="23">
        <f ca="1">IF(A14="","",IF($B$8="Sí",interpolar_alamb(H14,OFFSET(Curvas_cupon_cero!$A$1,1,0,COUNT(Curvas_cupon_cero!$A:$A)-2,1),OFFSET(Curvas_cupon_cero!$A$1,1,MATCH($B$7,Curvas_cupon_cero!$1:$1,0)-1,COUNT(Curvas_cupon_cero!$A:$A)-2,1)),[1]!interpolar(H14,OFFSET(Curvas_cupon_cero!$A$1,1,0,COUNT(Curvas_cupon_cero!$A:$A)-2,1),OFFSET(Curvas_cupon_cero!$A$1,1,MATCH($B$7,Curvas_cupon_cero!$1:$1,0)-1,COUNT(Curvas_cupon_cero!$A:$A)-2,1))))</f>
        <v>3.0122195741196362E-2</v>
      </c>
      <c r="E14" s="23">
        <f ca="1">IF(A14="","",((1+D14*H14/360)/(1+C14*B14/360)-1)*(360/(H14-B14)))</f>
        <v>3.0122195741192348E-2</v>
      </c>
      <c r="F14" s="17">
        <f t="shared" ref="F14:F77" ca="1" si="1">IF(A14="","",IF(A14=$B$4,$B$1*$B$2+E14*$B$5/360*$B$1*$B$2, E14*$B$5/360*$B$1*$B$2))</f>
        <v>2342.8374465371826</v>
      </c>
      <c r="G14" s="18">
        <f>$B$9-(INT($B$9/B5))*$B$5</f>
        <v>8</v>
      </c>
      <c r="H14" s="17">
        <f>G14</f>
        <v>8</v>
      </c>
      <c r="I14" s="23">
        <f ca="1">IF(A14="","",IF($B$8="Sí",interpolar_alamb(H14,OFFSET(Curvas_cupon_cero!$A$1,1,0,COUNT(Curvas_cupon_cero!$A:$A)-2,1),OFFSET(Curvas_cupon_cero!$A$1,1,MATCH($B$6,Curvas_cupon_cero!$1:$1,0)-1,COUNT(Curvas_cupon_cero!$A:$A)-2,1)),[1]!interpolar(H14,OFFSET(Curvas_cupon_cero!$A$1,1,0,COUNT(Curvas_cupon_cero!$A:$A)-2,1),OFFSET(Curvas_cupon_cero!$A$1,1,MATCH($B$6,Curvas_cupon_cero!$1:$1,0)-1,COUNT(Curvas_cupon_cero!$A:$A)-2,1))))</f>
        <v>7.7781054988417905E-2</v>
      </c>
      <c r="J14" s="19">
        <f ca="1">IF(A14="","",F14/(1+I14*H14/360))</f>
        <v>2338.7949146291512</v>
      </c>
    </row>
    <row r="15" spans="1:219" x14ac:dyDescent="0.2">
      <c r="A15" s="12">
        <f t="shared" ref="A15:A78" si="2">IF(A14="","",IF((A14+$B$5)&gt;$B$4,"",(A14+$B$5)))</f>
        <v>43316</v>
      </c>
      <c r="B15">
        <f t="shared" si="0"/>
        <v>8</v>
      </c>
      <c r="C15" s="21">
        <f ca="1">IF(A15="","",IF($B$8="Sí",interpolar_alamb(B15,OFFSET(Curvas_cupon_cero!$A$1,1,0,COUNT(Curvas_cupon_cero!$A:$A)-2,1),OFFSET(Curvas_cupon_cero!$A$1,1,MATCH($B$7,Curvas_cupon_cero!$1:$1,0)-1,COUNT(Curvas_cupon_cero!$A:$A)-2,1)),[1]!interpolar(B15,OFFSET(Curvas_cupon_cero!$A$1,1,0,COUNT(Curvas_cupon_cero!$A:$A)-2,1),OFFSET(Curvas_cupon_cero!$A$1,1,MATCH($B$7,Curvas_cupon_cero!$1:$1,0)-1,COUNT(Curvas_cupon_cero!$A:$A)-2,1))))</f>
        <v>3.0122195741196362E-2</v>
      </c>
      <c r="D15" s="23">
        <f ca="1">IF(A15="","",IF($B$8="Sí",interpolar_alamb(H15,OFFSET(Curvas_cupon_cero!$A$1,1,0,COUNT(Curvas_cupon_cero!$A:$A)-2,1),OFFSET(Curvas_cupon_cero!$A$1,1,MATCH($B$7,Curvas_cupon_cero!$1:$1,0)-1,COUNT(Curvas_cupon_cero!$A:$A)-2,1)),[1]!interpolar(H15,OFFSET(Curvas_cupon_cero!$A$1,1,0,COUNT(Curvas_cupon_cero!$A:$A)-2,1),OFFSET(Curvas_cupon_cero!$A$1,1,MATCH($B$7,Curvas_cupon_cero!$1:$1,0)-1,COUNT(Curvas_cupon_cero!$A:$A)-2,1))))</f>
        <v>8.1095179926593847E-2</v>
      </c>
      <c r="E15" s="23">
        <f t="shared" ref="E15:E78" ca="1" si="3">IF(A15="","",((1+D15*H15/360)/(1+C15*B15/360)-1)*(360/(H15-B15)))</f>
        <v>9.5594900176186409E-2</v>
      </c>
      <c r="F15" s="17">
        <f ca="1">IF(A15="","",IF(A15=$B$4,$B$1*$B$2+E15*$B$5/360*$B$1*$B$2, E15*$B$5/360*$B$1*$B$2))</f>
        <v>7435.1589025922767</v>
      </c>
      <c r="G15" s="18">
        <f t="shared" ref="G15:G78" si="4">IF(A15="","",$B$5)</f>
        <v>28</v>
      </c>
      <c r="H15">
        <f t="shared" ref="H15:H78" si="5">IF(A15="","",H14+G15)</f>
        <v>36</v>
      </c>
      <c r="I15" s="23">
        <f ca="1">IF(A15="","",IF($B$8="Sí",interpolar_alamb(H15,OFFSET(Curvas_cupon_cero!$A$1,1,0,COUNT(Curvas_cupon_cero!$A:$A)-2,1),OFFSET(Curvas_cupon_cero!$A$1,1,MATCH($B$6,Curvas_cupon_cero!$1:$1,0)-1,COUNT(Curvas_cupon_cero!$A:$A)-2,1)),[1]!interpolar(H15,OFFSET(Curvas_cupon_cero!$A$1,1,0,COUNT(Curvas_cupon_cero!$A:$A)-2,1),OFFSET(Curvas_cupon_cero!$A$1,1,MATCH($B$6,Curvas_cupon_cero!$1:$1,0)-1,COUNT(Curvas_cupon_cero!$A:$A)-2,1))))</f>
        <v>7.799740196890996E-2</v>
      </c>
      <c r="J15" s="19">
        <f t="shared" ref="J15:J23" ca="1" si="6">IF(A15="","",F15/(1+I15*H15/360))</f>
        <v>7377.6154190511006</v>
      </c>
    </row>
    <row r="16" spans="1:219" x14ac:dyDescent="0.2">
      <c r="A16" s="12">
        <f t="shared" si="2"/>
        <v>43344</v>
      </c>
      <c r="B16">
        <f t="shared" si="0"/>
        <v>36</v>
      </c>
      <c r="C16" s="21">
        <f ca="1">IF(A16="","",IF($B$8="Sí",interpolar_alamb(B16,OFFSET(Curvas_cupon_cero!$A$1,1,0,COUNT(Curvas_cupon_cero!$A:$A)-2,1),OFFSET(Curvas_cupon_cero!$A$1,1,MATCH($B$7,Curvas_cupon_cero!$1:$1,0)-1,COUNT(Curvas_cupon_cero!$A:$A)-2,1)),[1]!interpolar(B16,OFFSET(Curvas_cupon_cero!$A$1,1,0,COUNT(Curvas_cupon_cero!$A:$A)-2,1),OFFSET(Curvas_cupon_cero!$A$1,1,MATCH($B$7,Curvas_cupon_cero!$1:$1,0)-1,COUNT(Curvas_cupon_cero!$A:$A)-2,1))))</f>
        <v>8.1095179926593847E-2</v>
      </c>
      <c r="D16" s="23">
        <f ca="1">IF(A16="","",IF($B$8="Sí",interpolar_alamb(H16,OFFSET(Curvas_cupon_cero!$A$1,1,0,COUNT(Curvas_cupon_cero!$A:$A)-2,1),OFFSET(Curvas_cupon_cero!$A$1,1,MATCH($B$7,Curvas_cupon_cero!$1:$1,0)-1,COUNT(Curvas_cupon_cero!$A:$A)-2,1)),[1]!interpolar(H16,OFFSET(Curvas_cupon_cero!$A$1,1,0,COUNT(Curvas_cupon_cero!$A:$A)-2,1),OFFSET(Curvas_cupon_cero!$A$1,1,MATCH($B$7,Curvas_cupon_cero!$1:$1,0)-1,COUNT(Curvas_cupon_cero!$A:$A)-2,1))))</f>
        <v>8.1389081640528077E-2</v>
      </c>
      <c r="E16" s="23">
        <f t="shared" ca="1" si="3"/>
        <v>8.1109198765966395E-2</v>
      </c>
      <c r="F16" s="17">
        <f t="shared" ca="1" si="1"/>
        <v>6308.4932373529409</v>
      </c>
      <c r="G16" s="18">
        <f t="shared" si="4"/>
        <v>28</v>
      </c>
      <c r="H16">
        <f t="shared" si="5"/>
        <v>64</v>
      </c>
      <c r="I16" s="23">
        <f ca="1">IF(A16="","",IF($B$8="Sí",interpolar_alamb(H16,OFFSET(Curvas_cupon_cero!$A$1,1,0,COUNT(Curvas_cupon_cero!$A:$A)-2,1),OFFSET(Curvas_cupon_cero!$A$1,1,MATCH($B$6,Curvas_cupon_cero!$1:$1,0)-1,COUNT(Curvas_cupon_cero!$A:$A)-2,1)),[1]!interpolar(H16,OFFSET(Curvas_cupon_cero!$A$1,1,0,COUNT(Curvas_cupon_cero!$A:$A)-2,1),OFFSET(Curvas_cupon_cero!$A$1,1,MATCH($B$6,Curvas_cupon_cero!$1:$1,0)-1,COUNT(Curvas_cupon_cero!$A:$A)-2,1))))</f>
        <v>7.8774075866777454E-2</v>
      </c>
      <c r="J16" s="19">
        <f t="shared" ca="1" si="6"/>
        <v>6221.3674644393677</v>
      </c>
    </row>
    <row r="17" spans="1:10" x14ac:dyDescent="0.2">
      <c r="A17" s="12">
        <f t="shared" si="2"/>
        <v>43372</v>
      </c>
      <c r="B17">
        <f t="shared" si="0"/>
        <v>64</v>
      </c>
      <c r="C17" s="21">
        <f ca="1">IF(A17="","",IF($B$8="Sí",interpolar_alamb(B17,OFFSET(Curvas_cupon_cero!$A$1,1,0,COUNT(Curvas_cupon_cero!$A:$A)-2,1),OFFSET(Curvas_cupon_cero!$A$1,1,MATCH($B$7,Curvas_cupon_cero!$1:$1,0)-1,COUNT(Curvas_cupon_cero!$A:$A)-2,1)),[1]!interpolar(B17,OFFSET(Curvas_cupon_cero!$A$1,1,0,COUNT(Curvas_cupon_cero!$A:$A)-2,1),OFFSET(Curvas_cupon_cero!$A$1,1,MATCH($B$7,Curvas_cupon_cero!$1:$1,0)-1,COUNT(Curvas_cupon_cero!$A:$A)-2,1))))</f>
        <v>8.1389081640528077E-2</v>
      </c>
      <c r="D17" s="23">
        <f ca="1">IF(A17="","",IF($B$8="Sí",interpolar_alamb(H17,OFFSET(Curvas_cupon_cero!$A$1,1,0,COUNT(Curvas_cupon_cero!$A:$A)-2,1),OFFSET(Curvas_cupon_cero!$A$1,1,MATCH($B$7,Curvas_cupon_cero!$1:$1,0)-1,COUNT(Curvas_cupon_cero!$A:$A)-2,1)),[1]!interpolar(H17,OFFSET(Curvas_cupon_cero!$A$1,1,0,COUNT(Curvas_cupon_cero!$A:$A)-2,1),OFFSET(Curvas_cupon_cero!$A$1,1,MATCH($B$7,Curvas_cupon_cero!$1:$1,0)-1,COUNT(Curvas_cupon_cero!$A:$A)-2,1))))</f>
        <v>8.1681442617954514E-2</v>
      </c>
      <c r="E17" s="23">
        <f ca="1">IF(A17="","",((1+D17*H17/360)/(1+C17*B17/360)-1)*(360/(H17-B17)))</f>
        <v>8.1175159098236804E-2</v>
      </c>
      <c r="F17" s="17">
        <f t="shared" ca="1" si="1"/>
        <v>6313.6234854184186</v>
      </c>
      <c r="G17" s="18">
        <f t="shared" si="4"/>
        <v>28</v>
      </c>
      <c r="H17">
        <f t="shared" si="5"/>
        <v>92</v>
      </c>
      <c r="I17" s="23">
        <f ca="1">IF(A17="","",IF($B$8="Sí",interpolar_alamb(H17,OFFSET(Curvas_cupon_cero!$A$1,1,0,COUNT(Curvas_cupon_cero!$A:$A)-2,1),OFFSET(Curvas_cupon_cero!$A$1,1,MATCH($B$6,Curvas_cupon_cero!$1:$1,0)-1,COUNT(Curvas_cupon_cero!$A:$A)-2,1)),[1]!interpolar(H17,OFFSET(Curvas_cupon_cero!$A$1,1,0,COUNT(Curvas_cupon_cero!$A:$A)-2,1),OFFSET(Curvas_cupon_cero!$A$1,1,MATCH($B$6,Curvas_cupon_cero!$1:$1,0)-1,COUNT(Curvas_cupon_cero!$A:$A)-2,1))))</f>
        <v>7.9633295880441365E-2</v>
      </c>
      <c r="J17" s="19">
        <f t="shared" ca="1" si="6"/>
        <v>6187.6992807975321</v>
      </c>
    </row>
    <row r="18" spans="1:10" x14ac:dyDescent="0.2">
      <c r="A18" s="12">
        <f t="shared" si="2"/>
        <v>43400</v>
      </c>
      <c r="B18">
        <f t="shared" si="0"/>
        <v>92</v>
      </c>
      <c r="C18" s="21">
        <f ca="1">IF(A18="","",IF($B$8="Sí",interpolar_alamb(B18,OFFSET(Curvas_cupon_cero!$A$1,1,0,COUNT(Curvas_cupon_cero!$A:$A)-2,1),OFFSET(Curvas_cupon_cero!$A$1,1,MATCH($B$7,Curvas_cupon_cero!$1:$1,0)-1,COUNT(Curvas_cupon_cero!$A:$A)-2,1)),[1]!interpolar(B18,OFFSET(Curvas_cupon_cero!$A$1,1,0,COUNT(Curvas_cupon_cero!$A:$A)-2,1),OFFSET(Curvas_cupon_cero!$A$1,1,MATCH($B$7,Curvas_cupon_cero!$1:$1,0)-1,COUNT(Curvas_cupon_cero!$A:$A)-2,1))))</f>
        <v>8.1681442617954514E-2</v>
      </c>
      <c r="D18" s="23">
        <f ca="1">IF(A18="","",IF($B$8="Sí",interpolar_alamb(H18,OFFSET(Curvas_cupon_cero!$A$1,1,0,COUNT(Curvas_cupon_cero!$A:$A)-2,1),OFFSET(Curvas_cupon_cero!$A$1,1,MATCH($B$7,Curvas_cupon_cero!$1:$1,0)-1,COUNT(Curvas_cupon_cero!$A:$A)-2,1)),[1]!interpolar(H18,OFFSET(Curvas_cupon_cero!$A$1,1,0,COUNT(Curvas_cupon_cero!$A:$A)-2,1),OFFSET(Curvas_cupon_cero!$A$1,1,MATCH($B$7,Curvas_cupon_cero!$1:$1,0)-1,COUNT(Curvas_cupon_cero!$A:$A)-2,1))))</f>
        <v>8.1964289999999995E-2</v>
      </c>
      <c r="E18" s="23">
        <f ca="1">IF(A18="","",((1+D18*H18/360)/(1+C18*B18/360)-1)*(360/(H18-B18)))</f>
        <v>8.1198692289718044E-2</v>
      </c>
      <c r="F18" s="17">
        <f t="shared" ca="1" si="1"/>
        <v>6315.4538447558471</v>
      </c>
      <c r="G18" s="18">
        <f t="shared" si="4"/>
        <v>28</v>
      </c>
      <c r="H18">
        <f t="shared" si="5"/>
        <v>120</v>
      </c>
      <c r="I18" s="23">
        <f ca="1">IF(A18="","",IF($B$8="Sí",interpolar_alamb(H18,OFFSET(Curvas_cupon_cero!$A$1,1,0,COUNT(Curvas_cupon_cero!$A:$A)-2,1),OFFSET(Curvas_cupon_cero!$A$1,1,MATCH($B$6,Curvas_cupon_cero!$1:$1,0)-1,COUNT(Curvas_cupon_cero!$A:$A)-2,1)),[1]!interpolar(H18,OFFSET(Curvas_cupon_cero!$A$1,1,0,COUNT(Curvas_cupon_cero!$A:$A)-2,1),OFFSET(Curvas_cupon_cero!$A$1,1,MATCH($B$6,Curvas_cupon_cero!$1:$1,0)-1,COUNT(Curvas_cupon_cero!$A:$A)-2,1))))</f>
        <v>7.984347E-2</v>
      </c>
      <c r="J18" s="19">
        <f t="shared" ca="1" si="6"/>
        <v>6151.7287221962424</v>
      </c>
    </row>
    <row r="19" spans="1:10" x14ac:dyDescent="0.2">
      <c r="A19" s="12">
        <f t="shared" si="2"/>
        <v>43428</v>
      </c>
      <c r="B19">
        <f t="shared" si="0"/>
        <v>120</v>
      </c>
      <c r="C19" s="21">
        <f ca="1">IF(A19="","",IF($B$8="Sí",interpolar_alamb(B19,OFFSET(Curvas_cupon_cero!$A$1,1,0,COUNT(Curvas_cupon_cero!$A:$A)-2,1),OFFSET(Curvas_cupon_cero!$A$1,1,MATCH($B$7,Curvas_cupon_cero!$1:$1,0)-1,COUNT(Curvas_cupon_cero!$A:$A)-2,1)),[1]!interpolar(B19,OFFSET(Curvas_cupon_cero!$A$1,1,0,COUNT(Curvas_cupon_cero!$A:$A)-2,1),OFFSET(Curvas_cupon_cero!$A$1,1,MATCH($B$7,Curvas_cupon_cero!$1:$1,0)-1,COUNT(Curvas_cupon_cero!$A:$A)-2,1))))</f>
        <v>8.1964289999999995E-2</v>
      </c>
      <c r="D19" s="23">
        <f ca="1">IF(A19="","",IF($B$8="Sí",interpolar_alamb(H19,OFFSET(Curvas_cupon_cero!$A$1,1,0,COUNT(Curvas_cupon_cero!$A:$A)-2,1),OFFSET(Curvas_cupon_cero!$A$1,1,MATCH($B$7,Curvas_cupon_cero!$1:$1,0)-1,COUNT(Curvas_cupon_cero!$A:$A)-2,1)),[1]!interpolar(H19,OFFSET(Curvas_cupon_cero!$A$1,1,0,COUNT(Curvas_cupon_cero!$A:$A)-2,1),OFFSET(Curvas_cupon_cero!$A$1,1,MATCH($B$7,Curvas_cupon_cero!$1:$1,0)-1,COUNT(Curvas_cupon_cero!$A:$A)-2,1))))</f>
        <v>8.2247894241079242E-2</v>
      </c>
      <c r="E19" s="23">
        <f t="shared" ca="1" si="3"/>
        <v>8.1243648337562424E-2</v>
      </c>
      <c r="F19" s="17">
        <f t="shared" ca="1" si="1"/>
        <v>6318.9504262548544</v>
      </c>
      <c r="G19" s="18">
        <f t="shared" si="4"/>
        <v>28</v>
      </c>
      <c r="H19">
        <f t="shared" si="5"/>
        <v>148</v>
      </c>
      <c r="I19" s="23">
        <f ca="1">IF(A19="","",IF($B$8="Sí",interpolar_alamb(H19,OFFSET(Curvas_cupon_cero!$A$1,1,0,COUNT(Curvas_cupon_cero!$A:$A)-2,1),OFFSET(Curvas_cupon_cero!$A$1,1,MATCH($B$6,Curvas_cupon_cero!$1:$1,0)-1,COUNT(Curvas_cupon_cero!$A:$A)-2,1)),[1]!interpolar(H19,OFFSET(Curvas_cupon_cero!$A$1,1,0,COUNT(Curvas_cupon_cero!$A:$A)-2,1),OFFSET(Curvas_cupon_cero!$A$1,1,MATCH($B$6,Curvas_cupon_cero!$1:$1,0)-1,COUNT(Curvas_cupon_cero!$A:$A)-2,1))))</f>
        <v>8.0186043187888661E-2</v>
      </c>
      <c r="J19" s="19">
        <f t="shared" ca="1" si="6"/>
        <v>6117.2916242130104</v>
      </c>
    </row>
    <row r="20" spans="1:10" x14ac:dyDescent="0.2">
      <c r="A20" s="12">
        <f t="shared" si="2"/>
        <v>43456</v>
      </c>
      <c r="B20">
        <f t="shared" si="0"/>
        <v>148</v>
      </c>
      <c r="C20" s="21">
        <f ca="1">IF(A20="","",IF($B$8="Sí",interpolar_alamb(B20,OFFSET(Curvas_cupon_cero!$A$1,1,0,COUNT(Curvas_cupon_cero!$A:$A)-2,1),OFFSET(Curvas_cupon_cero!$A$1,1,MATCH($B$7,Curvas_cupon_cero!$1:$1,0)-1,COUNT(Curvas_cupon_cero!$A:$A)-2,1)),[1]!interpolar(B20,OFFSET(Curvas_cupon_cero!$A$1,1,0,COUNT(Curvas_cupon_cero!$A:$A)-2,1),OFFSET(Curvas_cupon_cero!$A$1,1,MATCH($B$7,Curvas_cupon_cero!$1:$1,0)-1,COUNT(Curvas_cupon_cero!$A:$A)-2,1))))</f>
        <v>8.2247894241079242E-2</v>
      </c>
      <c r="D20" s="23">
        <f ca="1">IF(A20="","",IF($B$8="Sí",interpolar_alamb(H20,OFFSET(Curvas_cupon_cero!$A$1,1,0,COUNT(Curvas_cupon_cero!$A:$A)-2,1),OFFSET(Curvas_cupon_cero!$A$1,1,MATCH($B$7,Curvas_cupon_cero!$1:$1,0)-1,COUNT(Curvas_cupon_cero!$A:$A)-2,1)),[1]!interpolar(H20,OFFSET(Curvas_cupon_cero!$A$1,1,0,COUNT(Curvas_cupon_cero!$A:$A)-2,1),OFFSET(Curvas_cupon_cero!$A$1,1,MATCH($B$7,Curvas_cupon_cero!$1:$1,0)-1,COUNT(Curvas_cupon_cero!$A:$A)-2,1))))</f>
        <v>8.2442779942367594E-2</v>
      </c>
      <c r="E20" s="23">
        <f t="shared" ca="1" si="3"/>
        <v>8.0742734136141719E-2</v>
      </c>
      <c r="F20" s="17">
        <f t="shared" ca="1" si="1"/>
        <v>6279.9904328110224</v>
      </c>
      <c r="G20" s="18">
        <f t="shared" si="4"/>
        <v>28</v>
      </c>
      <c r="H20">
        <f t="shared" si="5"/>
        <v>176</v>
      </c>
      <c r="I20" s="23">
        <f ca="1">IF(A20="","",IF($B$8="Sí",interpolar_alamb(H20,OFFSET(Curvas_cupon_cero!$A$1,1,0,COUNT(Curvas_cupon_cero!$A:$A)-2,1),OFFSET(Curvas_cupon_cero!$A$1,1,MATCH($B$6,Curvas_cupon_cero!$1:$1,0)-1,COUNT(Curvas_cupon_cero!$A:$A)-2,1)),[1]!interpolar(H20,OFFSET(Curvas_cupon_cero!$A$1,1,0,COUNT(Curvas_cupon_cero!$A:$A)-2,1),OFFSET(Curvas_cupon_cero!$A$1,1,MATCH($B$6,Curvas_cupon_cero!$1:$1,0)-1,COUNT(Curvas_cupon_cero!$A:$A)-2,1))))</f>
        <v>8.0478444523964632E-2</v>
      </c>
      <c r="J20" s="19">
        <f t="shared" ca="1" si="6"/>
        <v>6042.2576989758327</v>
      </c>
    </row>
    <row r="21" spans="1:10" x14ac:dyDescent="0.2">
      <c r="A21" s="12">
        <f t="shared" si="2"/>
        <v>43484</v>
      </c>
      <c r="B21">
        <f t="shared" si="0"/>
        <v>176</v>
      </c>
      <c r="C21" s="21">
        <f ca="1">IF(A21="","",IF($B$8="Sí",interpolar_alamb(B21,OFFSET(Curvas_cupon_cero!$A$1,1,0,COUNT(Curvas_cupon_cero!$A:$A)-2,1),OFFSET(Curvas_cupon_cero!$A$1,1,MATCH($B$7,Curvas_cupon_cero!$1:$1,0)-1,COUNT(Curvas_cupon_cero!$A:$A)-2,1)),[1]!interpolar(B21,OFFSET(Curvas_cupon_cero!$A$1,1,0,COUNT(Curvas_cupon_cero!$A:$A)-2,1),OFFSET(Curvas_cupon_cero!$A$1,1,MATCH($B$7,Curvas_cupon_cero!$1:$1,0)-1,COUNT(Curvas_cupon_cero!$A:$A)-2,1))))</f>
        <v>8.2442779942367594E-2</v>
      </c>
      <c r="D21" s="23">
        <f ca="1">IF(A21="","",IF($B$8="Sí",interpolar_alamb(H21,OFFSET(Curvas_cupon_cero!$A$1,1,0,COUNT(Curvas_cupon_cero!$A:$A)-2,1),OFFSET(Curvas_cupon_cero!$A$1,1,MATCH($B$7,Curvas_cupon_cero!$1:$1,0)-1,COUNT(Curvas_cupon_cero!$A:$A)-2,1)),[1]!interpolar(H21,OFFSET(Curvas_cupon_cero!$A$1,1,0,COUNT(Curvas_cupon_cero!$A:$A)-2,1),OFFSET(Curvas_cupon_cero!$A$1,1,MATCH($B$7,Curvas_cupon_cero!$1:$1,0)-1,COUNT(Curvas_cupon_cero!$A:$A)-2,1))))</f>
        <v>8.250910108208942E-2</v>
      </c>
      <c r="E21" s="23">
        <f t="shared" ca="1" si="3"/>
        <v>7.9713111245129295E-2</v>
      </c>
      <c r="F21" s="17">
        <f t="shared" ca="1" si="1"/>
        <v>6199.9086523989454</v>
      </c>
      <c r="G21" s="18">
        <f t="shared" si="4"/>
        <v>28</v>
      </c>
      <c r="H21">
        <f t="shared" si="5"/>
        <v>204</v>
      </c>
      <c r="I21" s="23">
        <f ca="1">IF(A21="","",IF($B$8="Sí",interpolar_alamb(H21,OFFSET(Curvas_cupon_cero!$A$1,1,0,COUNT(Curvas_cupon_cero!$A:$A)-2,1),OFFSET(Curvas_cupon_cero!$A$1,1,MATCH($B$6,Curvas_cupon_cero!$1:$1,0)-1,COUNT(Curvas_cupon_cero!$A:$A)-2,1)),[1]!interpolar(H21,OFFSET(Curvas_cupon_cero!$A$1,1,0,COUNT(Curvas_cupon_cero!$A:$A)-2,1),OFFSET(Curvas_cupon_cero!$A$1,1,MATCH($B$6,Curvas_cupon_cero!$1:$1,0)-1,COUNT(Curvas_cupon_cero!$A:$A)-2,1))))</f>
        <v>8.0767074065095104E-2</v>
      </c>
      <c r="J21" s="19">
        <f t="shared" ca="1" si="6"/>
        <v>5928.5698177746463</v>
      </c>
    </row>
    <row r="22" spans="1:10" x14ac:dyDescent="0.2">
      <c r="A22" s="12">
        <f t="shared" si="2"/>
        <v>43512</v>
      </c>
      <c r="B22">
        <f t="shared" si="0"/>
        <v>204</v>
      </c>
      <c r="C22" s="21">
        <f ca="1">IF(A22="","",IF($B$8="Sí",interpolar_alamb(B22,OFFSET(Curvas_cupon_cero!$A$1,1,0,COUNT(Curvas_cupon_cero!$A:$A)-2,1),OFFSET(Curvas_cupon_cero!$A$1,1,MATCH($B$7,Curvas_cupon_cero!$1:$1,0)-1,COUNT(Curvas_cupon_cero!$A:$A)-2,1)),[1]!interpolar(B22,OFFSET(Curvas_cupon_cero!$A$1,1,0,COUNT(Curvas_cupon_cero!$A:$A)-2,1),OFFSET(Curvas_cupon_cero!$A$1,1,MATCH($B$7,Curvas_cupon_cero!$1:$1,0)-1,COUNT(Curvas_cupon_cero!$A:$A)-2,1))))</f>
        <v>8.250910108208942E-2</v>
      </c>
      <c r="D22" s="23">
        <f ca="1">IF(A22="","",IF($B$8="Sí",interpolar_alamb(H22,OFFSET(Curvas_cupon_cero!$A$1,1,0,COUNT(Curvas_cupon_cero!$A:$A)-2,1),OFFSET(Curvas_cupon_cero!$A$1,1,MATCH($B$7,Curvas_cupon_cero!$1:$1,0)-1,COUNT(Curvas_cupon_cero!$A:$A)-2,1)),[1]!interpolar(H22,OFFSET(Curvas_cupon_cero!$A$1,1,0,COUNT(Curvas_cupon_cero!$A:$A)-2,1),OFFSET(Curvas_cupon_cero!$A$1,1,MATCH($B$7,Curvas_cupon_cero!$1:$1,0)-1,COUNT(Curvas_cupon_cero!$A:$A)-2,1))))</f>
        <v>8.2558741097744803E-2</v>
      </c>
      <c r="E22" s="23">
        <f t="shared" ca="1" si="3"/>
        <v>7.9216618606809952E-2</v>
      </c>
      <c r="F22" s="17">
        <f t="shared" ca="1" si="1"/>
        <v>6161.2925583074411</v>
      </c>
      <c r="G22" s="18">
        <f t="shared" si="4"/>
        <v>28</v>
      </c>
      <c r="H22">
        <f t="shared" si="5"/>
        <v>232</v>
      </c>
      <c r="I22" s="23">
        <f ca="1">IF(A22="","",IF($B$8="Sí",interpolar_alamb(H22,OFFSET(Curvas_cupon_cero!$A$1,1,0,COUNT(Curvas_cupon_cero!$A:$A)-2,1),OFFSET(Curvas_cupon_cero!$A$1,1,MATCH($B$6,Curvas_cupon_cero!$1:$1,0)-1,COUNT(Curvas_cupon_cero!$A:$A)-2,1)),[1]!interpolar(H22,OFFSET(Curvas_cupon_cero!$A$1,1,0,COUNT(Curvas_cupon_cero!$A:$A)-2,1),OFFSET(Curvas_cupon_cero!$A$1,1,MATCH($B$6,Curvas_cupon_cero!$1:$1,0)-1,COUNT(Curvas_cupon_cero!$A:$A)-2,1))))</f>
        <v>8.0920828879552667E-2</v>
      </c>
      <c r="J22" s="19">
        <f t="shared" ca="1" si="6"/>
        <v>5855.9126925539949</v>
      </c>
    </row>
    <row r="23" spans="1:10" x14ac:dyDescent="0.2">
      <c r="A23" s="12">
        <f t="shared" si="2"/>
        <v>43540</v>
      </c>
      <c r="B23">
        <f t="shared" si="0"/>
        <v>232</v>
      </c>
      <c r="C23" s="21">
        <f ca="1">IF(A23="","",IF($B$8="Sí",interpolar_alamb(B23,OFFSET(Curvas_cupon_cero!$A$1,1,0,COUNT(Curvas_cupon_cero!$A:$A)-2,1),OFFSET(Curvas_cupon_cero!$A$1,1,MATCH($B$7,Curvas_cupon_cero!$1:$1,0)-1,COUNT(Curvas_cupon_cero!$A:$A)-2,1)),[1]!interpolar(B23,OFFSET(Curvas_cupon_cero!$A$1,1,0,COUNT(Curvas_cupon_cero!$A:$A)-2,1),OFFSET(Curvas_cupon_cero!$A$1,1,MATCH($B$7,Curvas_cupon_cero!$1:$1,0)-1,COUNT(Curvas_cupon_cero!$A:$A)-2,1))))</f>
        <v>8.2558741097744803E-2</v>
      </c>
      <c r="D23" s="23">
        <f ca="1">IF(A23="","",IF($B$8="Sí",interpolar_alamb(H23,OFFSET(Curvas_cupon_cero!$A$1,1,0,COUNT(Curvas_cupon_cero!$A:$A)-2,1),OFFSET(Curvas_cupon_cero!$A$1,1,MATCH($B$7,Curvas_cupon_cero!$1:$1,0)-1,COUNT(Curvas_cupon_cero!$A:$A)-2,1)),[1]!interpolar(H23,OFFSET(Curvas_cupon_cero!$A$1,1,0,COUNT(Curvas_cupon_cero!$A:$A)-2,1),OFFSET(Curvas_cupon_cero!$A$1,1,MATCH($B$7,Curvas_cupon_cero!$1:$1,0)-1,COUNT(Curvas_cupon_cero!$A:$A)-2,1))))</f>
        <v>8.2575387339399564E-2</v>
      </c>
      <c r="E23" s="23">
        <f t="shared" ca="1" si="3"/>
        <v>7.8534901446693117E-2</v>
      </c>
      <c r="F23" s="17">
        <f t="shared" ca="1" si="1"/>
        <v>6108.2701125205749</v>
      </c>
      <c r="G23" s="18">
        <f t="shared" si="4"/>
        <v>28</v>
      </c>
      <c r="H23">
        <f t="shared" si="5"/>
        <v>260</v>
      </c>
      <c r="I23" s="23">
        <f ca="1">IF(A23="","",IF($B$8="Sí",interpolar_alamb(H23,OFFSET(Curvas_cupon_cero!$A$1,1,0,COUNT(Curvas_cupon_cero!$A:$A)-2,1),OFFSET(Curvas_cupon_cero!$A$1,1,MATCH($B$6,Curvas_cupon_cero!$1:$1,0)-1,COUNT(Curvas_cupon_cero!$A:$A)-2,1)),[1]!interpolar(H23,OFFSET(Curvas_cupon_cero!$A$1,1,0,COUNT(Curvas_cupon_cero!$A:$A)-2,1),OFFSET(Curvas_cupon_cero!$A$1,1,MATCH($B$6,Curvas_cupon_cero!$1:$1,0)-1,COUNT(Curvas_cupon_cero!$A:$A)-2,1))))</f>
        <v>8.1011612458173801E-2</v>
      </c>
      <c r="J23" s="19">
        <f t="shared" ca="1" si="6"/>
        <v>5770.6393155078158</v>
      </c>
    </row>
    <row r="24" spans="1:10" x14ac:dyDescent="0.2">
      <c r="A24" s="12">
        <f t="shared" si="2"/>
        <v>43568</v>
      </c>
      <c r="B24">
        <f t="shared" si="0"/>
        <v>260</v>
      </c>
      <c r="C24" s="21">
        <f ca="1">IF(A24="","",IF($B$8="Sí",interpolar_alamb(B24,OFFSET(Curvas_cupon_cero!$A$1,1,0,COUNT(Curvas_cupon_cero!$A:$A)-2,1),OFFSET(Curvas_cupon_cero!$A$1,1,MATCH($B$7,Curvas_cupon_cero!$1:$1,0)-1,COUNT(Curvas_cupon_cero!$A:$A)-2,1)),[1]!interpolar(B24,OFFSET(Curvas_cupon_cero!$A$1,1,0,COUNT(Curvas_cupon_cero!$A:$A)-2,1),OFFSET(Curvas_cupon_cero!$A$1,1,MATCH($B$7,Curvas_cupon_cero!$1:$1,0)-1,COUNT(Curvas_cupon_cero!$A:$A)-2,1))))</f>
        <v>8.2575387339399564E-2</v>
      </c>
      <c r="D24" s="23">
        <f ca="1">IF(A24="","",IF($B$8="Sí",interpolar_alamb(H24,OFFSET(Curvas_cupon_cero!$A$1,1,0,COUNT(Curvas_cupon_cero!$A:$A)-2,1),OFFSET(Curvas_cupon_cero!$A$1,1,MATCH($B$7,Curvas_cupon_cero!$1:$1,0)-1,COUNT(Curvas_cupon_cero!$A:$A)-2,1)),[1]!interpolar(H24,OFFSET(Curvas_cupon_cero!$A$1,1,0,COUNT(Curvas_cupon_cero!$A:$A)-2,1),OFFSET(Curvas_cupon_cero!$A$1,1,MATCH($B$7,Curvas_cupon_cero!$1:$1,0)-1,COUNT(Curvas_cupon_cero!$A:$A)-2,1))))</f>
        <v>8.2560559625178651E-2</v>
      </c>
      <c r="E24" s="23">
        <f t="shared" ca="1" si="3"/>
        <v>7.7784008161011345E-2</v>
      </c>
      <c r="F24" s="17">
        <f t="shared" ca="1" si="1"/>
        <v>6049.8673014119931</v>
      </c>
      <c r="G24" s="18">
        <f t="shared" si="4"/>
        <v>28</v>
      </c>
      <c r="H24">
        <f t="shared" si="5"/>
        <v>288</v>
      </c>
      <c r="I24" s="23">
        <f ca="1">IF(A24="","",IF($B$8="Sí",interpolar_alamb(H24,OFFSET(Curvas_cupon_cero!$A$1,1,0,COUNT(Curvas_cupon_cero!$A:$A)-2,1),OFFSET(Curvas_cupon_cero!$A$1,1,MATCH($B$6,Curvas_cupon_cero!$1:$1,0)-1,COUNT(Curvas_cupon_cero!$A:$A)-2,1)),[1]!interpolar(H24,OFFSET(Curvas_cupon_cero!$A$1,1,0,COUNT(Curvas_cupon_cero!$A:$A)-2,1),OFFSET(Curvas_cupon_cero!$A$1,1,MATCH($B$6,Curvas_cupon_cero!$1:$1,0)-1,COUNT(Curvas_cupon_cero!$A:$A)-2,1))))</f>
        <v>8.1096470307108912E-2</v>
      </c>
      <c r="J24" s="19">
        <f ca="1">IF(A24="","",F24/(1+I24*$B$5/360)^(COUNT(A$16:A24)-($B$5-$G$16)/$B$5))</f>
        <v>5717.0165682382276</v>
      </c>
    </row>
    <row r="25" spans="1:10" x14ac:dyDescent="0.2">
      <c r="A25" s="12">
        <f t="shared" si="2"/>
        <v>43596</v>
      </c>
      <c r="B25">
        <f t="shared" si="0"/>
        <v>288</v>
      </c>
      <c r="C25" s="21">
        <f ca="1">IF(A25="","",IF($B$8="Sí",interpolar_alamb(B25,OFFSET(Curvas_cupon_cero!$A$1,1,0,COUNT(Curvas_cupon_cero!$A:$A)-2,1),OFFSET(Curvas_cupon_cero!$A$1,1,MATCH($B$7,Curvas_cupon_cero!$1:$1,0)-1,COUNT(Curvas_cupon_cero!$A:$A)-2,1)),[1]!interpolar(B25,OFFSET(Curvas_cupon_cero!$A$1,1,0,COUNT(Curvas_cupon_cero!$A:$A)-2,1),OFFSET(Curvas_cupon_cero!$A$1,1,MATCH($B$7,Curvas_cupon_cero!$1:$1,0)-1,COUNT(Curvas_cupon_cero!$A:$A)-2,1))))</f>
        <v>8.2560559625178651E-2</v>
      </c>
      <c r="D25" s="23">
        <f ca="1">IF(A25="","",IF($B$8="Sí",interpolar_alamb(H25,OFFSET(Curvas_cupon_cero!$A$1,1,0,COUNT(Curvas_cupon_cero!$A:$A)-2,1),OFFSET(Curvas_cupon_cero!$A$1,1,MATCH($B$7,Curvas_cupon_cero!$1:$1,0)-1,COUNT(Curvas_cupon_cero!$A:$A)-2,1)),[1]!interpolar(H25,OFFSET(Curvas_cupon_cero!$A$1,1,0,COUNT(Curvas_cupon_cero!$A:$A)-2,1),OFFSET(Curvas_cupon_cero!$A$1,1,MATCH($B$7,Curvas_cupon_cero!$1:$1,0)-1,COUNT(Curvas_cupon_cero!$A:$A)-2,1))))</f>
        <v>8.2536010448594127E-2</v>
      </c>
      <c r="E25" s="23">
        <f t="shared" ca="1" si="3"/>
        <v>7.7185520798619719E-2</v>
      </c>
      <c r="F25" s="17">
        <f t="shared" ca="1" si="1"/>
        <v>6003.3182843370896</v>
      </c>
      <c r="G25" s="18">
        <f t="shared" si="4"/>
        <v>28</v>
      </c>
      <c r="H25">
        <f t="shared" si="5"/>
        <v>316</v>
      </c>
      <c r="I25" s="23">
        <f ca="1">IF(A25="","",IF($B$8="Sí",interpolar_alamb(H25,OFFSET(Curvas_cupon_cero!$A$1,1,0,COUNT(Curvas_cupon_cero!$A:$A)-2,1),OFFSET(Curvas_cupon_cero!$A$1,1,MATCH($B$6,Curvas_cupon_cero!$1:$1,0)-1,COUNT(Curvas_cupon_cero!$A:$A)-2,1)),[1]!interpolar(H25,OFFSET(Curvas_cupon_cero!$A$1,1,0,COUNT(Curvas_cupon_cero!$A:$A)-2,1),OFFSET(Curvas_cupon_cero!$A$1,1,MATCH($B$6,Curvas_cupon_cero!$1:$1,0)-1,COUNT(Curvas_cupon_cero!$A:$A)-2,1))))</f>
        <v>8.1181044120560944E-2</v>
      </c>
      <c r="J25" s="19">
        <f ca="1">IF(A25="","",F25/(1+I25*$B$5/360)^(COUNT(A$16:A25)-($B$5-$G$16)/$B$5))</f>
        <v>5637.1017235133813</v>
      </c>
    </row>
    <row r="26" spans="1:10" x14ac:dyDescent="0.2">
      <c r="A26" s="12">
        <f t="shared" si="2"/>
        <v>43624</v>
      </c>
      <c r="B26">
        <f t="shared" si="0"/>
        <v>316</v>
      </c>
      <c r="C26" s="21">
        <f ca="1">IF(A26="","",IF($B$8="Sí",interpolar_alamb(B26,OFFSET(Curvas_cupon_cero!$A$1,1,0,COUNT(Curvas_cupon_cero!$A:$A)-2,1),OFFSET(Curvas_cupon_cero!$A$1,1,MATCH($B$7,Curvas_cupon_cero!$1:$1,0)-1,COUNT(Curvas_cupon_cero!$A:$A)-2,1)),[1]!interpolar(B26,OFFSET(Curvas_cupon_cero!$A$1,1,0,COUNT(Curvas_cupon_cero!$A:$A)-2,1),OFFSET(Curvas_cupon_cero!$A$1,1,MATCH($B$7,Curvas_cupon_cero!$1:$1,0)-1,COUNT(Curvas_cupon_cero!$A:$A)-2,1))))</f>
        <v>8.2536010448594127E-2</v>
      </c>
      <c r="D26" s="23">
        <f ca="1">IF(A26="","",IF($B$8="Sí",interpolar_alamb(H26,OFFSET(Curvas_cupon_cero!$A$1,1,0,COUNT(Curvas_cupon_cero!$A:$A)-2,1),OFFSET(Curvas_cupon_cero!$A$1,1,MATCH($B$7,Curvas_cupon_cero!$1:$1,0)-1,COUNT(Curvas_cupon_cero!$A:$A)-2,1)),[1]!interpolar(H26,OFFSET(Curvas_cupon_cero!$A$1,1,0,COUNT(Curvas_cupon_cero!$A:$A)-2,1),OFFSET(Curvas_cupon_cero!$A$1,1,MATCH($B$7,Curvas_cupon_cero!$1:$1,0)-1,COUNT(Curvas_cupon_cero!$A:$A)-2,1))))</f>
        <v>8.2511612657202915E-2</v>
      </c>
      <c r="E26" s="23">
        <f t="shared" ca="1" si="3"/>
        <v>7.6680869378139088E-2</v>
      </c>
      <c r="F26" s="17">
        <f t="shared" ca="1" si="1"/>
        <v>5964.0676182997067</v>
      </c>
      <c r="G26" s="18">
        <f t="shared" si="4"/>
        <v>28</v>
      </c>
      <c r="H26">
        <f t="shared" si="5"/>
        <v>344</v>
      </c>
      <c r="I26" s="23">
        <f ca="1">IF(A26="","",IF($B$8="Sí",interpolar_alamb(H26,OFFSET(Curvas_cupon_cero!$A$1,1,0,COUNT(Curvas_cupon_cero!$A:$A)-2,1),OFFSET(Curvas_cupon_cero!$A$1,1,MATCH($B$6,Curvas_cupon_cero!$1:$1,0)-1,COUNT(Curvas_cupon_cero!$A:$A)-2,1)),[1]!interpolar(H26,OFFSET(Curvas_cupon_cero!$A$1,1,0,COUNT(Curvas_cupon_cero!$A:$A)-2,1),OFFSET(Curvas_cupon_cero!$A$1,1,MATCH($B$6,Curvas_cupon_cero!$1:$1,0)-1,COUNT(Curvas_cupon_cero!$A:$A)-2,1))))</f>
        <v>8.1231327619653848E-2</v>
      </c>
      <c r="J26" s="19">
        <f ca="1">IF(A26="","",F26/(1+I26*$B$5/360)^(COUNT(A$16:A26)-($B$5-$G$16)/$B$5))</f>
        <v>5564.868998676352</v>
      </c>
    </row>
    <row r="27" spans="1:10" x14ac:dyDescent="0.2">
      <c r="A27" s="12">
        <f t="shared" si="2"/>
        <v>43652</v>
      </c>
      <c r="B27">
        <f t="shared" si="0"/>
        <v>344</v>
      </c>
      <c r="C27" s="21">
        <f ca="1">IF(A27="","",IF($B$8="Sí",interpolar_alamb(B27,OFFSET(Curvas_cupon_cero!$A$1,1,0,COUNT(Curvas_cupon_cero!$A:$A)-2,1),OFFSET(Curvas_cupon_cero!$A$1,1,MATCH($B$7,Curvas_cupon_cero!$1:$1,0)-1,COUNT(Curvas_cupon_cero!$A:$A)-2,1)),[1]!interpolar(B27,OFFSET(Curvas_cupon_cero!$A$1,1,0,COUNT(Curvas_cupon_cero!$A:$A)-2,1),OFFSET(Curvas_cupon_cero!$A$1,1,MATCH($B$7,Curvas_cupon_cero!$1:$1,0)-1,COUNT(Curvas_cupon_cero!$A:$A)-2,1))))</f>
        <v>8.2511612657202915E-2</v>
      </c>
      <c r="D27" s="23">
        <f ca="1">IF(A27="","",IF($B$8="Sí",interpolar_alamb(H27,OFFSET(Curvas_cupon_cero!$A$1,1,0,COUNT(Curvas_cupon_cero!$A:$A)-2,1),OFFSET(Curvas_cupon_cero!$A$1,1,MATCH($B$7,Curvas_cupon_cero!$1:$1,0)-1,COUNT(Curvas_cupon_cero!$A:$A)-2,1)),[1]!interpolar(H27,OFFSET(Curvas_cupon_cero!$A$1,1,0,COUNT(Curvas_cupon_cero!$A:$A)-2,1),OFFSET(Curvas_cupon_cero!$A$1,1,MATCH($B$7,Curvas_cupon_cero!$1:$1,0)-1,COUNT(Curvas_cupon_cero!$A:$A)-2,1))))</f>
        <v>8.2327576337060046E-2</v>
      </c>
      <c r="E27" s="23">
        <f t="shared" ca="1" si="3"/>
        <v>7.421511060594442E-2</v>
      </c>
      <c r="F27" s="17">
        <f t="shared" ca="1" si="1"/>
        <v>5772.2863804623439</v>
      </c>
      <c r="G27" s="18">
        <f t="shared" si="4"/>
        <v>28</v>
      </c>
      <c r="H27">
        <f t="shared" si="5"/>
        <v>372</v>
      </c>
      <c r="I27" s="23">
        <f ca="1">IF(A27="","",IF($B$8="Sí",interpolar_alamb(H27,OFFSET(Curvas_cupon_cero!$A$1,1,0,COUNT(Curvas_cupon_cero!$A:$A)-2,1),OFFSET(Curvas_cupon_cero!$A$1,1,MATCH($B$6,Curvas_cupon_cero!$1:$1,0)-1,COUNT(Curvas_cupon_cero!$A:$A)-2,1)),[1]!interpolar(H27,OFFSET(Curvas_cupon_cero!$A$1,1,0,COUNT(Curvas_cupon_cero!$A:$A)-2,1),OFFSET(Curvas_cupon_cero!$A$1,1,MATCH($B$6,Curvas_cupon_cero!$1:$1,0)-1,COUNT(Curvas_cupon_cero!$A:$A)-2,1))))</f>
        <v>8.1185674422012355E-2</v>
      </c>
      <c r="J27" s="19">
        <f ca="1">IF(A27="","",F27/(1+I27*$B$5/360)^(COUNT(A$16:A27)-($B$5-$G$16)/$B$5))</f>
        <v>5352.3364740797224</v>
      </c>
    </row>
    <row r="28" spans="1:10" x14ac:dyDescent="0.2">
      <c r="A28" s="12">
        <f t="shared" si="2"/>
        <v>43680</v>
      </c>
      <c r="B28">
        <f t="shared" si="0"/>
        <v>372</v>
      </c>
      <c r="C28" s="21">
        <f ca="1">IF(A28="","",IF($B$8="Sí",interpolar_alamb(B28,OFFSET(Curvas_cupon_cero!$A$1,1,0,COUNT(Curvas_cupon_cero!$A:$A)-2,1),OFFSET(Curvas_cupon_cero!$A$1,1,MATCH($B$7,Curvas_cupon_cero!$1:$1,0)-1,COUNT(Curvas_cupon_cero!$A:$A)-2,1)),[1]!interpolar(B28,OFFSET(Curvas_cupon_cero!$A$1,1,0,COUNT(Curvas_cupon_cero!$A:$A)-2,1),OFFSET(Curvas_cupon_cero!$A$1,1,MATCH($B$7,Curvas_cupon_cero!$1:$1,0)-1,COUNT(Curvas_cupon_cero!$A:$A)-2,1))))</f>
        <v>8.2327576337060046E-2</v>
      </c>
      <c r="D28" s="23">
        <f ca="1">IF(A28="","",IF($B$8="Sí",interpolar_alamb(H28,OFFSET(Curvas_cupon_cero!$A$1,1,0,COUNT(Curvas_cupon_cero!$A:$A)-2,1),OFFSET(Curvas_cupon_cero!$A$1,1,MATCH($B$7,Curvas_cupon_cero!$1:$1,0)-1,COUNT(Curvas_cupon_cero!$A:$A)-2,1)),[1]!interpolar(H28,OFFSET(Curvas_cupon_cero!$A$1,1,0,COUNT(Curvas_cupon_cero!$A:$A)-2,1),OFFSET(Curvas_cupon_cero!$A$1,1,MATCH($B$7,Curvas_cupon_cero!$1:$1,0)-1,COUNT(Curvas_cupon_cero!$A:$A)-2,1))))</f>
        <v>8.1979338475742278E-2</v>
      </c>
      <c r="E28" s="23">
        <f t="shared" ca="1" si="3"/>
        <v>7.128813751116482E-2</v>
      </c>
      <c r="F28" s="17">
        <f t="shared" ca="1" si="1"/>
        <v>5544.6329175350411</v>
      </c>
      <c r="G28" s="18">
        <f t="shared" si="4"/>
        <v>28</v>
      </c>
      <c r="H28">
        <f t="shared" si="5"/>
        <v>400</v>
      </c>
      <c r="I28" s="23">
        <f ca="1">IF(A28="","",IF($B$8="Sí",interpolar_alamb(H28,OFFSET(Curvas_cupon_cero!$A$1,1,0,COUNT(Curvas_cupon_cero!$A:$A)-2,1),OFFSET(Curvas_cupon_cero!$A$1,1,MATCH($B$6,Curvas_cupon_cero!$1:$1,0)-1,COUNT(Curvas_cupon_cero!$A:$A)-2,1)),[1]!interpolar(H28,OFFSET(Curvas_cupon_cero!$A$1,1,0,COUNT(Curvas_cupon_cero!$A:$A)-2,1),OFFSET(Curvas_cupon_cero!$A$1,1,MATCH($B$6,Curvas_cupon_cero!$1:$1,0)-1,COUNT(Curvas_cupon_cero!$A:$A)-2,1))))</f>
        <v>8.1077526668117059E-2</v>
      </c>
      <c r="J28" s="19">
        <f ca="1">IF(A28="","",F28/(1+I28*$B$5/360)^(COUNT(A$16:A28)-($B$5-$G$16)/$B$5))</f>
        <v>5109.5402394329221</v>
      </c>
    </row>
    <row r="29" spans="1:10" x14ac:dyDescent="0.2">
      <c r="A29" s="12">
        <f t="shared" si="2"/>
        <v>43708</v>
      </c>
      <c r="B29">
        <f t="shared" si="0"/>
        <v>400</v>
      </c>
      <c r="C29" s="21">
        <f ca="1">IF(A29="","",IF($B$8="Sí",interpolar_alamb(B29,OFFSET(Curvas_cupon_cero!$A$1,1,0,COUNT(Curvas_cupon_cero!$A:$A)-2,1),OFFSET(Curvas_cupon_cero!$A$1,1,MATCH($B$7,Curvas_cupon_cero!$1:$1,0)-1,COUNT(Curvas_cupon_cero!$A:$A)-2,1)),[1]!interpolar(B29,OFFSET(Curvas_cupon_cero!$A$1,1,0,COUNT(Curvas_cupon_cero!$A:$A)-2,1),OFFSET(Curvas_cupon_cero!$A$1,1,MATCH($B$7,Curvas_cupon_cero!$1:$1,0)-1,COUNT(Curvas_cupon_cero!$A:$A)-2,1))))</f>
        <v>8.1979338475742278E-2</v>
      </c>
      <c r="D29" s="23">
        <f ca="1">IF(A29="","",IF($B$8="Sí",interpolar_alamb(H29,OFFSET(Curvas_cupon_cero!$A$1,1,0,COUNT(Curvas_cupon_cero!$A:$A)-2,1),OFFSET(Curvas_cupon_cero!$A$1,1,MATCH($B$7,Curvas_cupon_cero!$1:$1,0)-1,COUNT(Curvas_cupon_cero!$A:$A)-2,1)),[1]!interpolar(H29,OFFSET(Curvas_cupon_cero!$A$1,1,0,COUNT(Curvas_cupon_cero!$A:$A)-2,1),OFFSET(Curvas_cupon_cero!$A$1,1,MATCH($B$7,Curvas_cupon_cero!$1:$1,0)-1,COUNT(Curvas_cupon_cero!$A:$A)-2,1))))</f>
        <v>8.1704722841303243E-2</v>
      </c>
      <c r="E29" s="23">
        <f t="shared" ca="1" si="3"/>
        <v>7.1288137511167679E-2</v>
      </c>
      <c r="F29" s="17">
        <f t="shared" ca="1" si="1"/>
        <v>5544.6329175352639</v>
      </c>
      <c r="G29" s="18">
        <f t="shared" si="4"/>
        <v>28</v>
      </c>
      <c r="H29">
        <f t="shared" si="5"/>
        <v>428</v>
      </c>
      <c r="I29" s="23">
        <f ca="1">IF(A29="","",IF($B$8="Sí",interpolar_alamb(H29,OFFSET(Curvas_cupon_cero!$A$1,1,0,COUNT(Curvas_cupon_cero!$A:$A)-2,1),OFFSET(Curvas_cupon_cero!$A$1,1,MATCH($B$6,Curvas_cupon_cero!$1:$1,0)-1,COUNT(Curvas_cupon_cero!$A:$A)-2,1)),[1]!interpolar(H29,OFFSET(Curvas_cupon_cero!$A$1,1,0,COUNT(Curvas_cupon_cero!$A:$A)-2,1),OFFSET(Curvas_cupon_cero!$A$1,1,MATCH($B$6,Curvas_cupon_cero!$1:$1,0)-1,COUNT(Curvas_cupon_cero!$A:$A)-2,1))))</f>
        <v>8.1013304243583745E-2</v>
      </c>
      <c r="J29" s="19">
        <f ca="1">IF(A29="","",F29/(1+I29*$B$5/360)^(COUNT(A$16:A29)-($B$5-$G$16)/$B$5))</f>
        <v>5077.8741035377161</v>
      </c>
    </row>
    <row r="30" spans="1:10" x14ac:dyDescent="0.2">
      <c r="A30" s="12">
        <f t="shared" si="2"/>
        <v>43736</v>
      </c>
      <c r="B30">
        <f t="shared" si="0"/>
        <v>428</v>
      </c>
      <c r="C30" s="21">
        <f ca="1">IF(A30="","",IF($B$8="Sí",interpolar_alamb(B30,OFFSET(Curvas_cupon_cero!$A$1,1,0,COUNT(Curvas_cupon_cero!$A:$A)-2,1),OFFSET(Curvas_cupon_cero!$A$1,1,MATCH($B$7,Curvas_cupon_cero!$1:$1,0)-1,COUNT(Curvas_cupon_cero!$A:$A)-2,1)),[1]!interpolar(B30,OFFSET(Curvas_cupon_cero!$A$1,1,0,COUNT(Curvas_cupon_cero!$A:$A)-2,1),OFFSET(Curvas_cupon_cero!$A$1,1,MATCH($B$7,Curvas_cupon_cero!$1:$1,0)-1,COUNT(Curvas_cupon_cero!$A:$A)-2,1))))</f>
        <v>8.1704722841303243E-2</v>
      </c>
      <c r="D30" s="23">
        <f ca="1">IF(A30="","",IF($B$8="Sí",interpolar_alamb(H30,OFFSET(Curvas_cupon_cero!$A$1,1,0,COUNT(Curvas_cupon_cero!$A:$A)-2,1),OFFSET(Curvas_cupon_cero!$A$1,1,MATCH($B$7,Curvas_cupon_cero!$1:$1,0)-1,COUNT(Curvas_cupon_cero!$A:$A)-2,1)),[1]!interpolar(H30,OFFSET(Curvas_cupon_cero!$A$1,1,0,COUNT(Curvas_cupon_cero!$A:$A)-2,1),OFFSET(Curvas_cupon_cero!$A$1,1,MATCH($B$7,Curvas_cupon_cero!$1:$1,0)-1,COUNT(Curvas_cupon_cero!$A:$A)-2,1))))</f>
        <v>8.1490313465320166E-2</v>
      </c>
      <c r="E30" s="23">
        <f t="shared" ca="1" si="3"/>
        <v>7.1288137511167679E-2</v>
      </c>
      <c r="F30" s="17">
        <f t="shared" ca="1" si="1"/>
        <v>5544.6329175352639</v>
      </c>
      <c r="G30" s="18">
        <f t="shared" si="4"/>
        <v>28</v>
      </c>
      <c r="H30">
        <f t="shared" si="5"/>
        <v>456</v>
      </c>
      <c r="I30" s="23">
        <f ca="1">IF(A30="","",IF($B$8="Sí",interpolar_alamb(H30,OFFSET(Curvas_cupon_cero!$A$1,1,0,COUNT(Curvas_cupon_cero!$A:$A)-2,1),OFFSET(Curvas_cupon_cero!$A$1,1,MATCH($B$6,Curvas_cupon_cero!$1:$1,0)-1,COUNT(Curvas_cupon_cero!$A:$A)-2,1)),[1]!interpolar(H30,OFFSET(Curvas_cupon_cero!$A$1,1,0,COUNT(Curvas_cupon_cero!$A:$A)-2,1),OFFSET(Curvas_cupon_cero!$A$1,1,MATCH($B$6,Curvas_cupon_cero!$1:$1,0)-1,COUNT(Curvas_cupon_cero!$A:$A)-2,1))))</f>
        <v>8.098507535240948E-2</v>
      </c>
      <c r="J30" s="19">
        <f ca="1">IF(A30="","",F30/(1+I30*$B$5/360)^(COUNT(A$16:A30)-($B$5-$G$16)/$B$5))</f>
        <v>5046.2437352525358</v>
      </c>
    </row>
    <row r="31" spans="1:10" x14ac:dyDescent="0.2">
      <c r="A31" s="12">
        <f t="shared" si="2"/>
        <v>43764</v>
      </c>
      <c r="B31">
        <f t="shared" si="0"/>
        <v>456</v>
      </c>
      <c r="C31" s="21">
        <f ca="1">IF(A31="","",IF($B$8="Sí",interpolar_alamb(B31,OFFSET(Curvas_cupon_cero!$A$1,1,0,COUNT(Curvas_cupon_cero!$A:$A)-2,1),OFFSET(Curvas_cupon_cero!$A$1,1,MATCH($B$7,Curvas_cupon_cero!$1:$1,0)-1,COUNT(Curvas_cupon_cero!$A:$A)-2,1)),[1]!interpolar(B31,OFFSET(Curvas_cupon_cero!$A$1,1,0,COUNT(Curvas_cupon_cero!$A:$A)-2,1),OFFSET(Curvas_cupon_cero!$A$1,1,MATCH($B$7,Curvas_cupon_cero!$1:$1,0)-1,COUNT(Curvas_cupon_cero!$A:$A)-2,1))))</f>
        <v>8.1490313465320166E-2</v>
      </c>
      <c r="D31" s="23">
        <f ca="1">IF(A31="","",IF($B$8="Sí",interpolar_alamb(H31,OFFSET(Curvas_cupon_cero!$A$1,1,0,COUNT(Curvas_cupon_cero!$A:$A)-2,1),OFFSET(Curvas_cupon_cero!$A$1,1,MATCH($B$7,Curvas_cupon_cero!$1:$1,0)-1,COUNT(Curvas_cupon_cero!$A:$A)-2,1)),[1]!interpolar(H31,OFFSET(Curvas_cupon_cero!$A$1,1,0,COUNT(Curvas_cupon_cero!$A:$A)-2,1),OFFSET(Curvas_cupon_cero!$A$1,1,MATCH($B$7,Curvas_cupon_cero!$1:$1,0)-1,COUNT(Curvas_cupon_cero!$A:$A)-2,1))))</f>
        <v>8.1325799663782519E-2</v>
      </c>
      <c r="E31" s="23">
        <f t="shared" ca="1" si="3"/>
        <v>7.1288137511167679E-2</v>
      </c>
      <c r="F31" s="17">
        <f t="shared" ca="1" si="1"/>
        <v>5544.6329175352639</v>
      </c>
      <c r="G31" s="18">
        <f t="shared" si="4"/>
        <v>28</v>
      </c>
      <c r="H31">
        <f t="shared" si="5"/>
        <v>484</v>
      </c>
      <c r="I31" s="23">
        <f ca="1">IF(A31="","",IF($B$8="Sí",interpolar_alamb(H31,OFFSET(Curvas_cupon_cero!$A$1,1,0,COUNT(Curvas_cupon_cero!$A:$A)-2,1),OFFSET(Curvas_cupon_cero!$A$1,1,MATCH($B$6,Curvas_cupon_cero!$1:$1,0)-1,COUNT(Curvas_cupon_cero!$A:$A)-2,1)),[1]!interpolar(H31,OFFSET(Curvas_cupon_cero!$A$1,1,0,COUNT(Curvas_cupon_cero!$A:$A)-2,1),OFFSET(Curvas_cupon_cero!$A$1,1,MATCH($B$6,Curvas_cupon_cero!$1:$1,0)-1,COUNT(Curvas_cupon_cero!$A:$A)-2,1))))</f>
        <v>8.0986744515444922E-2</v>
      </c>
      <c r="J31" s="19">
        <f ca="1">IF(A31="","",F31/(1+I31*$B$5/360)^(COUNT(A$16:A31)-($B$5-$G$16)/$B$5))</f>
        <v>5014.6468646991316</v>
      </c>
    </row>
    <row r="32" spans="1:10" x14ac:dyDescent="0.2">
      <c r="A32" s="12">
        <f t="shared" si="2"/>
        <v>43792</v>
      </c>
      <c r="B32">
        <f t="shared" si="0"/>
        <v>484</v>
      </c>
      <c r="C32" s="21">
        <f ca="1">IF(A32="","",IF($B$8="Sí",interpolar_alamb(B32,OFFSET(Curvas_cupon_cero!$A$1,1,0,COUNT(Curvas_cupon_cero!$A:$A)-2,1),OFFSET(Curvas_cupon_cero!$A$1,1,MATCH($B$7,Curvas_cupon_cero!$1:$1,0)-1,COUNT(Curvas_cupon_cero!$A:$A)-2,1)),[1]!interpolar(B32,OFFSET(Curvas_cupon_cero!$A$1,1,0,COUNT(Curvas_cupon_cero!$A:$A)-2,1),OFFSET(Curvas_cupon_cero!$A$1,1,MATCH($B$7,Curvas_cupon_cero!$1:$1,0)-1,COUNT(Curvas_cupon_cero!$A:$A)-2,1))))</f>
        <v>8.1325799663782519E-2</v>
      </c>
      <c r="D32" s="23">
        <f ca="1">IF(A32="","",IF($B$8="Sí",interpolar_alamb(H32,OFFSET(Curvas_cupon_cero!$A$1,1,0,COUNT(Curvas_cupon_cero!$A:$A)-2,1),OFFSET(Curvas_cupon_cero!$A$1,1,MATCH($B$7,Curvas_cupon_cero!$1:$1,0)-1,COUNT(Curvas_cupon_cero!$A:$A)-2,1)),[1]!interpolar(H32,OFFSET(Curvas_cupon_cero!$A$1,1,0,COUNT(Curvas_cupon_cero!$A:$A)-2,1),OFFSET(Curvas_cupon_cero!$A$1,1,MATCH($B$7,Curvas_cupon_cero!$1:$1,0)-1,COUNT(Curvas_cupon_cero!$A:$A)-2,1))))</f>
        <v>8.1203126939882658E-2</v>
      </c>
      <c r="E32" s="23">
        <f t="shared" ca="1" si="3"/>
        <v>7.128813751116482E-2</v>
      </c>
      <c r="F32" s="17">
        <f t="shared" ca="1" si="1"/>
        <v>5544.6329175350411</v>
      </c>
      <c r="G32" s="18">
        <f t="shared" si="4"/>
        <v>28</v>
      </c>
      <c r="H32">
        <f t="shared" si="5"/>
        <v>512</v>
      </c>
      <c r="I32" s="23">
        <f ca="1">IF(A32="","",IF($B$8="Sí",interpolar_alamb(H32,OFFSET(Curvas_cupon_cero!$A$1,1,0,COUNT(Curvas_cupon_cero!$A:$A)-2,1),OFFSET(Curvas_cupon_cero!$A$1,1,MATCH($B$6,Curvas_cupon_cero!$1:$1,0)-1,COUNT(Curvas_cupon_cero!$A:$A)-2,1)),[1]!interpolar(H32,OFFSET(Curvas_cupon_cero!$A$1,1,0,COUNT(Curvas_cupon_cero!$A:$A)-2,1),OFFSET(Curvas_cupon_cero!$A$1,1,MATCH($B$6,Curvas_cupon_cero!$1:$1,0)-1,COUNT(Curvas_cupon_cero!$A:$A)-2,1))))</f>
        <v>8.1013550457150585E-2</v>
      </c>
      <c r="J32" s="19">
        <f ca="1">IF(A32="","",F32/(1+I32*$B$5/360)^(COUNT(A$16:A32)-($B$5-$G$16)/$B$5))</f>
        <v>4983.0819654315492</v>
      </c>
    </row>
    <row r="33" spans="1:10" x14ac:dyDescent="0.2">
      <c r="A33" s="12">
        <f t="shared" si="2"/>
        <v>43820</v>
      </c>
      <c r="B33">
        <f t="shared" si="0"/>
        <v>512</v>
      </c>
      <c r="C33" s="21">
        <f ca="1">IF(A33="","",IF($B$8="Sí",interpolar_alamb(B33,OFFSET(Curvas_cupon_cero!$A$1,1,0,COUNT(Curvas_cupon_cero!$A:$A)-2,1),OFFSET(Curvas_cupon_cero!$A$1,1,MATCH($B$7,Curvas_cupon_cero!$1:$1,0)-1,COUNT(Curvas_cupon_cero!$A:$A)-2,1)),[1]!interpolar(B33,OFFSET(Curvas_cupon_cero!$A$1,1,0,COUNT(Curvas_cupon_cero!$A:$A)-2,1),OFFSET(Curvas_cupon_cero!$A$1,1,MATCH($B$7,Curvas_cupon_cero!$1:$1,0)-1,COUNT(Curvas_cupon_cero!$A:$A)-2,1))))</f>
        <v>8.1203126939882658E-2</v>
      </c>
      <c r="D33" s="23">
        <f ca="1">IF(A33="","",IF($B$8="Sí",interpolar_alamb(H33,OFFSET(Curvas_cupon_cero!$A$1,1,0,COUNT(Curvas_cupon_cero!$A:$A)-2,1),OFFSET(Curvas_cupon_cero!$A$1,1,MATCH($B$7,Curvas_cupon_cero!$1:$1,0)-1,COUNT(Curvas_cupon_cero!$A:$A)-2,1)),[1]!interpolar(H33,OFFSET(Curvas_cupon_cero!$A$1,1,0,COUNT(Curvas_cupon_cero!$A:$A)-2,1),OFFSET(Curvas_cupon_cero!$A$1,1,MATCH($B$7,Curvas_cupon_cero!$1:$1,0)-1,COUNT(Curvas_cupon_cero!$A:$A)-2,1))))</f>
        <v>8.1115912050405678E-2</v>
      </c>
      <c r="E33" s="23">
        <f t="shared" ca="1" si="3"/>
        <v>7.128813751116482E-2</v>
      </c>
      <c r="F33" s="17">
        <f t="shared" ca="1" si="1"/>
        <v>5544.6329175350411</v>
      </c>
      <c r="G33" s="18">
        <f t="shared" si="4"/>
        <v>28</v>
      </c>
      <c r="H33">
        <f t="shared" si="5"/>
        <v>540</v>
      </c>
      <c r="I33" s="23">
        <f ca="1">IF(A33="","",IF($B$8="Sí",interpolar_alamb(H33,OFFSET(Curvas_cupon_cero!$A$1,1,0,COUNT(Curvas_cupon_cero!$A:$A)-2,1),OFFSET(Curvas_cupon_cero!$A$1,1,MATCH($B$6,Curvas_cupon_cero!$1:$1,0)-1,COUNT(Curvas_cupon_cero!$A:$A)-2,1)),[1]!interpolar(H33,OFFSET(Curvas_cupon_cero!$A$1,1,0,COUNT(Curvas_cupon_cero!$A:$A)-2,1),OFFSET(Curvas_cupon_cero!$A$1,1,MATCH($B$6,Curvas_cupon_cero!$1:$1,0)-1,COUNT(Curvas_cupon_cero!$A:$A)-2,1))))</f>
        <v>8.1061720205386684E-2</v>
      </c>
      <c r="J33" s="19">
        <f ca="1">IF(A33="","",F33/(1+I33*$B$5/360)^(COUNT(A$16:A33)-($B$5-$G$16)/$B$5))</f>
        <v>4951.548062758131</v>
      </c>
    </row>
    <row r="34" spans="1:10" x14ac:dyDescent="0.2">
      <c r="A34" s="12">
        <f t="shared" si="2"/>
        <v>43848</v>
      </c>
      <c r="B34">
        <f t="shared" si="0"/>
        <v>540</v>
      </c>
      <c r="C34" s="21">
        <f ca="1">IF(A34="","",IF($B$8="Sí",interpolar_alamb(B34,OFFSET(Curvas_cupon_cero!$A$1,1,0,COUNT(Curvas_cupon_cero!$A:$A)-2,1),OFFSET(Curvas_cupon_cero!$A$1,1,MATCH($B$7,Curvas_cupon_cero!$1:$1,0)-1,COUNT(Curvas_cupon_cero!$A:$A)-2,1)),[1]!interpolar(B34,OFFSET(Curvas_cupon_cero!$A$1,1,0,COUNT(Curvas_cupon_cero!$A:$A)-2,1),OFFSET(Curvas_cupon_cero!$A$1,1,MATCH($B$7,Curvas_cupon_cero!$1:$1,0)-1,COUNT(Curvas_cupon_cero!$A:$A)-2,1))))</f>
        <v>8.1115912050405678E-2</v>
      </c>
      <c r="D34" s="23">
        <f ca="1">IF(A34="","",IF($B$8="Sí",interpolar_alamb(H34,OFFSET(Curvas_cupon_cero!$A$1,1,0,COUNT(Curvas_cupon_cero!$A:$A)-2,1),OFFSET(Curvas_cupon_cero!$A$1,1,MATCH($B$7,Curvas_cupon_cero!$1:$1,0)-1,COUNT(Curvas_cupon_cero!$A:$A)-2,1)),[1]!interpolar(H34,OFFSET(Curvas_cupon_cero!$A$1,1,0,COUNT(Curvas_cupon_cero!$A:$A)-2,1),OFFSET(Curvas_cupon_cero!$A$1,1,MATCH($B$7,Curvas_cupon_cero!$1:$1,0)-1,COUNT(Curvas_cupon_cero!$A:$A)-2,1))))</f>
        <v>8.105903108067028E-2</v>
      </c>
      <c r="E34" s="23">
        <f t="shared" ca="1" si="3"/>
        <v>7.1288137511170538E-2</v>
      </c>
      <c r="F34" s="17">
        <f t="shared" ca="1" si="1"/>
        <v>5544.6329175354867</v>
      </c>
      <c r="G34" s="18">
        <f t="shared" si="4"/>
        <v>28</v>
      </c>
      <c r="H34">
        <f t="shared" si="5"/>
        <v>568</v>
      </c>
      <c r="I34" s="23">
        <f ca="1">IF(A34="","",IF($B$8="Sí",interpolar_alamb(H34,OFFSET(Curvas_cupon_cero!$A$1,1,0,COUNT(Curvas_cupon_cero!$A:$A)-2,1),OFFSET(Curvas_cupon_cero!$A$1,1,MATCH($B$6,Curvas_cupon_cero!$1:$1,0)-1,COUNT(Curvas_cupon_cero!$A:$A)-2,1)),[1]!interpolar(H34,OFFSET(Curvas_cupon_cero!$A$1,1,0,COUNT(Curvas_cupon_cero!$A:$A)-2,1),OFFSET(Curvas_cupon_cero!$A$1,1,MATCH($B$6,Curvas_cupon_cero!$1:$1,0)-1,COUNT(Curvas_cupon_cero!$A:$A)-2,1))))</f>
        <v>8.1128225499740927E-2</v>
      </c>
      <c r="J34" s="19">
        <f ca="1">IF(A34="","",F34/(1+I34*$B$5/360)^(COUNT(A$16:A34)-($B$5-$G$16)/$B$5))</f>
        <v>4920.0445987269031</v>
      </c>
    </row>
    <row r="35" spans="1:10" x14ac:dyDescent="0.2">
      <c r="A35" s="12">
        <f t="shared" si="2"/>
        <v>43876</v>
      </c>
      <c r="B35">
        <f t="shared" si="0"/>
        <v>568</v>
      </c>
      <c r="C35" s="21">
        <f ca="1">IF(A35="","",IF($B$8="Sí",interpolar_alamb(B35,OFFSET(Curvas_cupon_cero!$A$1,1,0,COUNT(Curvas_cupon_cero!$A:$A)-2,1),OFFSET(Curvas_cupon_cero!$A$1,1,MATCH($B$7,Curvas_cupon_cero!$1:$1,0)-1,COUNT(Curvas_cupon_cero!$A:$A)-2,1)),[1]!interpolar(B35,OFFSET(Curvas_cupon_cero!$A$1,1,0,COUNT(Curvas_cupon_cero!$A:$A)-2,1),OFFSET(Curvas_cupon_cero!$A$1,1,MATCH($B$7,Curvas_cupon_cero!$1:$1,0)-1,COUNT(Curvas_cupon_cero!$A:$A)-2,1))))</f>
        <v>8.105903108067028E-2</v>
      </c>
      <c r="D35" s="23">
        <f ca="1">IF(A35="","",IF($B$8="Sí",interpolar_alamb(H35,OFFSET(Curvas_cupon_cero!$A$1,1,0,COUNT(Curvas_cupon_cero!$A:$A)-2,1),OFFSET(Curvas_cupon_cero!$A$1,1,MATCH($B$7,Curvas_cupon_cero!$1:$1,0)-1,COUNT(Curvas_cupon_cero!$A:$A)-2,1)),[1]!interpolar(H35,OFFSET(Curvas_cupon_cero!$A$1,1,0,COUNT(Curvas_cupon_cero!$A:$A)-2,1),OFFSET(Curvas_cupon_cero!$A$1,1,MATCH($B$7,Curvas_cupon_cero!$1:$1,0)-1,COUNT(Curvas_cupon_cero!$A:$A)-2,1))))</f>
        <v>8.1028323632593269E-2</v>
      </c>
      <c r="E35" s="23">
        <f t="shared" ca="1" si="3"/>
        <v>7.1288137511161975E-2</v>
      </c>
      <c r="F35" s="17">
        <f t="shared" ca="1" si="1"/>
        <v>5544.6329175348201</v>
      </c>
      <c r="G35" s="18">
        <f t="shared" si="4"/>
        <v>28</v>
      </c>
      <c r="H35">
        <f t="shared" si="5"/>
        <v>596</v>
      </c>
      <c r="I35" s="23">
        <f ca="1">IF(A35="","",IF($B$8="Sí",interpolar_alamb(H35,OFFSET(Curvas_cupon_cero!$A$1,1,0,COUNT(Curvas_cupon_cero!$A:$A)-2,1),OFFSET(Curvas_cupon_cero!$A$1,1,MATCH($B$6,Curvas_cupon_cero!$1:$1,0)-1,COUNT(Curvas_cupon_cero!$A:$A)-2,1)),[1]!interpolar(H35,OFFSET(Curvas_cupon_cero!$A$1,1,0,COUNT(Curvas_cupon_cero!$A:$A)-2,1),OFFSET(Curvas_cupon_cero!$A$1,1,MATCH($B$6,Curvas_cupon_cero!$1:$1,0)-1,COUNT(Curvas_cupon_cero!$A:$A)-2,1))))</f>
        <v>8.1210607863302559E-2</v>
      </c>
      <c r="J35" s="19">
        <f ca="1">IF(A35="","",F35/(1+I35*$B$5/360)^(COUNT(A$16:A35)-($B$5-$G$16)/$B$5))</f>
        <v>4888.5713351398972</v>
      </c>
    </row>
    <row r="36" spans="1:10" x14ac:dyDescent="0.2">
      <c r="A36" s="12">
        <f t="shared" si="2"/>
        <v>43904</v>
      </c>
      <c r="B36">
        <f t="shared" si="0"/>
        <v>596</v>
      </c>
      <c r="C36" s="21">
        <f ca="1">IF(A36="","",IF($B$8="Sí",interpolar_alamb(B36,OFFSET(Curvas_cupon_cero!$A$1,1,0,COUNT(Curvas_cupon_cero!$A:$A)-2,1),OFFSET(Curvas_cupon_cero!$A$1,1,MATCH($B$7,Curvas_cupon_cero!$1:$1,0)-1,COUNT(Curvas_cupon_cero!$A:$A)-2,1)),[1]!interpolar(B36,OFFSET(Curvas_cupon_cero!$A$1,1,0,COUNT(Curvas_cupon_cero!$A:$A)-2,1),OFFSET(Curvas_cupon_cero!$A$1,1,MATCH($B$7,Curvas_cupon_cero!$1:$1,0)-1,COUNT(Curvas_cupon_cero!$A:$A)-2,1))))</f>
        <v>8.1028323632593269E-2</v>
      </c>
      <c r="D36" s="23">
        <f ca="1">IF(A36="","",IF($B$8="Sí",interpolar_alamb(H36,OFFSET(Curvas_cupon_cero!$A$1,1,0,COUNT(Curvas_cupon_cero!$A:$A)-2,1),OFFSET(Curvas_cupon_cero!$A$1,1,MATCH($B$7,Curvas_cupon_cero!$1:$1,0)-1,COUNT(Curvas_cupon_cero!$A:$A)-2,1)),[1]!interpolar(H36,OFFSET(Curvas_cupon_cero!$A$1,1,0,COUNT(Curvas_cupon_cero!$A:$A)-2,1),OFFSET(Curvas_cupon_cero!$A$1,1,MATCH($B$7,Curvas_cupon_cero!$1:$1,0)-1,COUNT(Curvas_cupon_cero!$A:$A)-2,1))))</f>
        <v>8.1020376654448722E-2</v>
      </c>
      <c r="E36" s="23">
        <f t="shared" ca="1" si="3"/>
        <v>7.1288137511167679E-2</v>
      </c>
      <c r="F36" s="17">
        <f t="shared" ca="1" si="1"/>
        <v>5544.6329175352639</v>
      </c>
      <c r="G36" s="18">
        <f t="shared" si="4"/>
        <v>28</v>
      </c>
      <c r="H36">
        <f t="shared" si="5"/>
        <v>624</v>
      </c>
      <c r="I36" s="23">
        <f ca="1">IF(A36="","",IF($B$8="Sí",interpolar_alamb(H36,OFFSET(Curvas_cupon_cero!$A$1,1,0,COUNT(Curvas_cupon_cero!$A:$A)-2,1),OFFSET(Curvas_cupon_cero!$A$1,1,MATCH($B$6,Curvas_cupon_cero!$1:$1,0)-1,COUNT(Curvas_cupon_cero!$A:$A)-2,1)),[1]!interpolar(H36,OFFSET(Curvas_cupon_cero!$A$1,1,0,COUNT(Curvas_cupon_cero!$A:$A)-2,1),OFFSET(Curvas_cupon_cero!$A$1,1,MATCH($B$6,Curvas_cupon_cero!$1:$1,0)-1,COUNT(Curvas_cupon_cero!$A:$A)-2,1))))</f>
        <v>8.1306850770520883E-2</v>
      </c>
      <c r="J36" s="19">
        <f ca="1">IF(A36="","",F36/(1+I36*$B$5/360)^(COUNT(A$16:A36)-($B$5-$G$16)/$B$5))</f>
        <v>4857.1282826568058</v>
      </c>
    </row>
    <row r="37" spans="1:10" x14ac:dyDescent="0.2">
      <c r="A37" s="12">
        <f t="shared" si="2"/>
        <v>43932</v>
      </c>
      <c r="B37">
        <f t="shared" si="0"/>
        <v>624</v>
      </c>
      <c r="C37" s="21">
        <f ca="1">IF(A37="","",IF($B$8="Sí",interpolar_alamb(B37,OFFSET(Curvas_cupon_cero!$A$1,1,0,COUNT(Curvas_cupon_cero!$A:$A)-2,1),OFFSET(Curvas_cupon_cero!$A$1,1,MATCH($B$7,Curvas_cupon_cero!$1:$1,0)-1,COUNT(Curvas_cupon_cero!$A:$A)-2,1)),[1]!interpolar(B37,OFFSET(Curvas_cupon_cero!$A$1,1,0,COUNT(Curvas_cupon_cero!$A:$A)-2,1),OFFSET(Curvas_cupon_cero!$A$1,1,MATCH($B$7,Curvas_cupon_cero!$1:$1,0)-1,COUNT(Curvas_cupon_cero!$A:$A)-2,1))))</f>
        <v>8.1020376654448722E-2</v>
      </c>
      <c r="D37" s="23">
        <f ca="1">IF(A37="","",IF($B$8="Sí",interpolar_alamb(H37,OFFSET(Curvas_cupon_cero!$A$1,1,0,COUNT(Curvas_cupon_cero!$A:$A)-2,1),OFFSET(Curvas_cupon_cero!$A$1,1,MATCH($B$7,Curvas_cupon_cero!$1:$1,0)-1,COUNT(Curvas_cupon_cero!$A:$A)-2,1)),[1]!interpolar(H37,OFFSET(Curvas_cupon_cero!$A$1,1,0,COUNT(Curvas_cupon_cero!$A:$A)-2,1),OFFSET(Curvas_cupon_cero!$A$1,1,MATCH($B$7,Curvas_cupon_cero!$1:$1,0)-1,COUNT(Curvas_cupon_cero!$A:$A)-2,1))))</f>
        <v>8.1032363970950386E-2</v>
      </c>
      <c r="E37" s="23">
        <f t="shared" ca="1" si="3"/>
        <v>7.1288137511167679E-2</v>
      </c>
      <c r="F37" s="17">
        <f t="shared" ca="1" si="1"/>
        <v>5544.6329175352639</v>
      </c>
      <c r="G37" s="18">
        <f t="shared" si="4"/>
        <v>28</v>
      </c>
      <c r="H37">
        <f t="shared" si="5"/>
        <v>652</v>
      </c>
      <c r="I37" s="23">
        <f ca="1">IF(A37="","",IF($B$8="Sí",interpolar_alamb(H37,OFFSET(Curvas_cupon_cero!$A$1,1,0,COUNT(Curvas_cupon_cero!$A:$A)-2,1),OFFSET(Curvas_cupon_cero!$A$1,1,MATCH($B$6,Curvas_cupon_cero!$1:$1,0)-1,COUNT(Curvas_cupon_cero!$A:$A)-2,1)),[1]!interpolar(H37,OFFSET(Curvas_cupon_cero!$A$1,1,0,COUNT(Curvas_cupon_cero!$A:$A)-2,1),OFFSET(Curvas_cupon_cero!$A$1,1,MATCH($B$6,Curvas_cupon_cero!$1:$1,0)-1,COUNT(Curvas_cupon_cero!$A:$A)-2,1))))</f>
        <v>8.1415284753426201E-2</v>
      </c>
      <c r="J37" s="19">
        <f ca="1">IF(A37="","",F37/(1+I37*$B$5/360)^(COUNT(A$16:A37)-($B$5-$G$16)/$B$5))</f>
        <v>4825.7156481286338</v>
      </c>
    </row>
    <row r="38" spans="1:10" x14ac:dyDescent="0.2">
      <c r="A38" s="12">
        <f t="shared" si="2"/>
        <v>43960</v>
      </c>
      <c r="B38">
        <f t="shared" si="0"/>
        <v>652</v>
      </c>
      <c r="C38" s="21">
        <f ca="1">IF(A38="","",IF($B$8="Sí",interpolar_alamb(B38,OFFSET(Curvas_cupon_cero!$A$1,1,0,COUNT(Curvas_cupon_cero!$A:$A)-2,1),OFFSET(Curvas_cupon_cero!$A$1,1,MATCH($B$7,Curvas_cupon_cero!$1:$1,0)-1,COUNT(Curvas_cupon_cero!$A:$A)-2,1)),[1]!interpolar(B38,OFFSET(Curvas_cupon_cero!$A$1,1,0,COUNT(Curvas_cupon_cero!$A:$A)-2,1),OFFSET(Curvas_cupon_cero!$A$1,1,MATCH($B$7,Curvas_cupon_cero!$1:$1,0)-1,COUNT(Curvas_cupon_cero!$A:$A)-2,1))))</f>
        <v>8.1032363970950386E-2</v>
      </c>
      <c r="D38" s="23">
        <f ca="1">IF(A38="","",IF($B$8="Sí",interpolar_alamb(H38,OFFSET(Curvas_cupon_cero!$A$1,1,0,COUNT(Curvas_cupon_cero!$A:$A)-2,1),OFFSET(Curvas_cupon_cero!$A$1,1,MATCH($B$7,Curvas_cupon_cero!$1:$1,0)-1,COUNT(Curvas_cupon_cero!$A:$A)-2,1)),[1]!interpolar(H38,OFFSET(Curvas_cupon_cero!$A$1,1,0,COUNT(Curvas_cupon_cero!$A:$A)-2,1),OFFSET(Curvas_cupon_cero!$A$1,1,MATCH($B$7,Curvas_cupon_cero!$1:$1,0)-1,COUNT(Curvas_cupon_cero!$A:$A)-2,1))))</f>
        <v>8.1061925458861844E-2</v>
      </c>
      <c r="E38" s="23">
        <f t="shared" ca="1" si="3"/>
        <v>7.1288137511167679E-2</v>
      </c>
      <c r="F38" s="17">
        <f t="shared" ca="1" si="1"/>
        <v>5544.6329175352639</v>
      </c>
      <c r="G38" s="18">
        <f t="shared" si="4"/>
        <v>28</v>
      </c>
      <c r="H38">
        <f t="shared" si="5"/>
        <v>680</v>
      </c>
      <c r="I38" s="23">
        <f ca="1">IF(A38="","",IF($B$8="Sí",interpolar_alamb(H38,OFFSET(Curvas_cupon_cero!$A$1,1,0,COUNT(Curvas_cupon_cero!$A:$A)-2,1),OFFSET(Curvas_cupon_cero!$A$1,1,MATCH($B$6,Curvas_cupon_cero!$1:$1,0)-1,COUNT(Curvas_cupon_cero!$A:$A)-2,1)),[1]!interpolar(H38,OFFSET(Curvas_cupon_cero!$A$1,1,0,COUNT(Curvas_cupon_cero!$A:$A)-2,1),OFFSET(Curvas_cupon_cero!$A$1,1,MATCH($B$6,Curvas_cupon_cero!$1:$1,0)-1,COUNT(Curvas_cupon_cero!$A:$A)-2,1))))</f>
        <v>8.1534515952219389E-2</v>
      </c>
      <c r="J38" s="19">
        <f ca="1">IF(A38="","",F38/(1+I38*$B$5/360)^(COUNT(A$16:A38)-($B$5-$G$16)/$B$5))</f>
        <v>4794.3337949260394</v>
      </c>
    </row>
    <row r="39" spans="1:10" x14ac:dyDescent="0.2">
      <c r="A39" s="12">
        <f t="shared" si="2"/>
        <v>43988</v>
      </c>
      <c r="B39">
        <f t="shared" si="0"/>
        <v>680</v>
      </c>
      <c r="C39" s="21">
        <f ca="1">IF(A39="","",IF($B$8="Sí",interpolar_alamb(B39,OFFSET(Curvas_cupon_cero!$A$1,1,0,COUNT(Curvas_cupon_cero!$A:$A)-2,1),OFFSET(Curvas_cupon_cero!$A$1,1,MATCH($B$7,Curvas_cupon_cero!$1:$1,0)-1,COUNT(Curvas_cupon_cero!$A:$A)-2,1)),[1]!interpolar(B39,OFFSET(Curvas_cupon_cero!$A$1,1,0,COUNT(Curvas_cupon_cero!$A:$A)-2,1),OFFSET(Curvas_cupon_cero!$A$1,1,MATCH($B$7,Curvas_cupon_cero!$1:$1,0)-1,COUNT(Curvas_cupon_cero!$A:$A)-2,1))))</f>
        <v>8.1061925458861844E-2</v>
      </c>
      <c r="D39" s="23">
        <f ca="1">IF(A39="","",IF($B$8="Sí",interpolar_alamb(H39,OFFSET(Curvas_cupon_cero!$A$1,1,0,COUNT(Curvas_cupon_cero!$A:$A)-2,1),OFFSET(Curvas_cupon_cero!$A$1,1,MATCH($B$7,Curvas_cupon_cero!$1:$1,0)-1,COUNT(Curvas_cupon_cero!$A:$A)-2,1)),[1]!interpolar(H39,OFFSET(Curvas_cupon_cero!$A$1,1,0,COUNT(Curvas_cupon_cero!$A:$A)-2,1),OFFSET(Curvas_cupon_cero!$A$1,1,MATCH($B$7,Curvas_cupon_cero!$1:$1,0)-1,COUNT(Curvas_cupon_cero!$A:$A)-2,1))))</f>
        <v>8.1107074892816627E-2</v>
      </c>
      <c r="E39" s="23">
        <f t="shared" ca="1" si="3"/>
        <v>7.1288137511167679E-2</v>
      </c>
      <c r="F39" s="17">
        <f t="shared" ca="1" si="1"/>
        <v>5544.6329175352639</v>
      </c>
      <c r="G39" s="18">
        <f t="shared" si="4"/>
        <v>28</v>
      </c>
      <c r="H39">
        <f t="shared" si="5"/>
        <v>708</v>
      </c>
      <c r="I39" s="23">
        <f ca="1">IF(A39="","",IF($B$8="Sí",interpolar_alamb(H39,OFFSET(Curvas_cupon_cero!$A$1,1,0,COUNT(Curvas_cupon_cero!$A:$A)-2,1),OFFSET(Curvas_cupon_cero!$A$1,1,MATCH($B$6,Curvas_cupon_cero!$1:$1,0)-1,COUNT(Curvas_cupon_cero!$A:$A)-2,1)),[1]!interpolar(H39,OFFSET(Curvas_cupon_cero!$A$1,1,0,COUNT(Curvas_cupon_cero!$A:$A)-2,1),OFFSET(Curvas_cupon_cero!$A$1,1,MATCH($B$6,Curvas_cupon_cero!$1:$1,0)-1,COUNT(Curvas_cupon_cero!$A:$A)-2,1))))</f>
        <v>8.1663371619976305E-2</v>
      </c>
      <c r="J39" s="19">
        <f ca="1">IF(A39="","",F39/(1+I39*$B$5/360)^(COUNT(A$16:A39)-($B$5-$G$16)/$B$5))</f>
        <v>4762.9832126487208</v>
      </c>
    </row>
    <row r="40" spans="1:10" x14ac:dyDescent="0.2">
      <c r="A40" s="12">
        <f t="shared" si="2"/>
        <v>44016</v>
      </c>
      <c r="B40">
        <f t="shared" si="0"/>
        <v>708</v>
      </c>
      <c r="C40" s="21">
        <f ca="1">IF(A40="","",IF($B$8="Sí",interpolar_alamb(B40,OFFSET(Curvas_cupon_cero!$A$1,1,0,COUNT(Curvas_cupon_cero!$A:$A)-2,1),OFFSET(Curvas_cupon_cero!$A$1,1,MATCH($B$7,Curvas_cupon_cero!$1:$1,0)-1,COUNT(Curvas_cupon_cero!$A:$A)-2,1)),[1]!interpolar(B40,OFFSET(Curvas_cupon_cero!$A$1,1,0,COUNT(Curvas_cupon_cero!$A:$A)-2,1),OFFSET(Curvas_cupon_cero!$A$1,1,MATCH($B$7,Curvas_cupon_cero!$1:$1,0)-1,COUNT(Curvas_cupon_cero!$A:$A)-2,1))))</f>
        <v>8.1107074892816627E-2</v>
      </c>
      <c r="D40" s="23">
        <f ca="1">IF(A40="","",IF($B$8="Sí",interpolar_alamb(H40,OFFSET(Curvas_cupon_cero!$A$1,1,0,COUNT(Curvas_cupon_cero!$A:$A)-2,1),OFFSET(Curvas_cupon_cero!$A$1,1,MATCH($B$7,Curvas_cupon_cero!$1:$1,0)-1,COUNT(Curvas_cupon_cero!$A:$A)-2,1)),[1]!interpolar(H40,OFFSET(Curvas_cupon_cero!$A$1,1,0,COUNT(Curvas_cupon_cero!$A:$A)-2,1),OFFSET(Curvas_cupon_cero!$A$1,1,MATCH($B$7,Curvas_cupon_cero!$1:$1,0)-1,COUNT(Curvas_cupon_cero!$A:$A)-2,1))))</f>
        <v>8.0977830124975628E-2</v>
      </c>
      <c r="E40" s="23">
        <f t="shared" ca="1" si="3"/>
        <v>6.7019469378797006E-2</v>
      </c>
      <c r="F40" s="17">
        <f t="shared" ca="1" si="1"/>
        <v>5212.6253961286566</v>
      </c>
      <c r="G40" s="18">
        <f t="shared" si="4"/>
        <v>28</v>
      </c>
      <c r="H40">
        <f t="shared" si="5"/>
        <v>736</v>
      </c>
      <c r="I40" s="23">
        <f ca="1">IF(A40="","",IF($B$8="Sí",interpolar_alamb(H40,OFFSET(Curvas_cupon_cero!$A$1,1,0,COUNT(Curvas_cupon_cero!$A:$A)-2,1),OFFSET(Curvas_cupon_cero!$A$1,1,MATCH($B$6,Curvas_cupon_cero!$1:$1,0)-1,COUNT(Curvas_cupon_cero!$A:$A)-2,1)),[1]!interpolar(H40,OFFSET(Curvas_cupon_cero!$A$1,1,0,COUNT(Curvas_cupon_cero!$A:$A)-2,1),OFFSET(Curvas_cupon_cero!$A$1,1,MATCH($B$6,Curvas_cupon_cero!$1:$1,0)-1,COUNT(Curvas_cupon_cero!$A:$A)-2,1))))</f>
        <v>8.1885842176442389E-2</v>
      </c>
      <c r="J40" s="19">
        <f ca="1">IF(A40="","",F40/(1+I40*$B$5/360)^(COUNT(A$16:A40)-($B$5-$G$16)/$B$5))</f>
        <v>4447.6064098725656</v>
      </c>
    </row>
    <row r="41" spans="1:10" x14ac:dyDescent="0.2">
      <c r="A41" s="12">
        <f t="shared" si="2"/>
        <v>44044</v>
      </c>
      <c r="B41">
        <f t="shared" si="0"/>
        <v>736</v>
      </c>
      <c r="C41" s="21">
        <f ca="1">IF(A41="","",IF($B$8="Sí",interpolar_alamb(B41,OFFSET(Curvas_cupon_cero!$A$1,1,0,COUNT(Curvas_cupon_cero!$A:$A)-2,1),OFFSET(Curvas_cupon_cero!$A$1,1,MATCH($B$7,Curvas_cupon_cero!$1:$1,0)-1,COUNT(Curvas_cupon_cero!$A:$A)-2,1)),[1]!interpolar(B41,OFFSET(Curvas_cupon_cero!$A$1,1,0,COUNT(Curvas_cupon_cero!$A:$A)-2,1),OFFSET(Curvas_cupon_cero!$A$1,1,MATCH($B$7,Curvas_cupon_cero!$1:$1,0)-1,COUNT(Curvas_cupon_cero!$A:$A)-2,1))))</f>
        <v>8.0977830124975628E-2</v>
      </c>
      <c r="D41" s="23">
        <f ca="1">IF(A41="","",IF($B$8="Sí",interpolar_alamb(H41,OFFSET(Curvas_cupon_cero!$A$1,1,0,COUNT(Curvas_cupon_cero!$A:$A)-2,1),OFFSET(Curvas_cupon_cero!$A$1,1,MATCH($B$7,Curvas_cupon_cero!$1:$1,0)-1,COUNT(Curvas_cupon_cero!$A:$A)-2,1)),[1]!interpolar(H41,OFFSET(Curvas_cupon_cero!$A$1,1,0,COUNT(Curvas_cupon_cero!$A:$A)-2,1),OFFSET(Curvas_cupon_cero!$A$1,1,MATCH($B$7,Curvas_cupon_cero!$1:$1,0)-1,COUNT(Curvas_cupon_cero!$A:$A)-2,1))))</f>
        <v>8.0736186431906012E-2</v>
      </c>
      <c r="E41" s="23">
        <f t="shared" ca="1" si="3"/>
        <v>6.3818893233730092E-2</v>
      </c>
      <c r="F41" s="17">
        <f t="shared" ca="1" si="1"/>
        <v>4963.6916959567852</v>
      </c>
      <c r="G41" s="18">
        <f t="shared" si="4"/>
        <v>28</v>
      </c>
      <c r="H41">
        <f t="shared" si="5"/>
        <v>764</v>
      </c>
      <c r="I41" s="23">
        <f ca="1">IF(A41="","",IF($B$8="Sí",interpolar_alamb(H41,OFFSET(Curvas_cupon_cero!$A$1,1,0,COUNT(Curvas_cupon_cero!$A:$A)-2,1),OFFSET(Curvas_cupon_cero!$A$1,1,MATCH($B$6,Curvas_cupon_cero!$1:$1,0)-1,COUNT(Curvas_cupon_cero!$A:$A)-2,1)),[1]!interpolar(H41,OFFSET(Curvas_cupon_cero!$A$1,1,0,COUNT(Curvas_cupon_cero!$A:$A)-2,1),OFFSET(Curvas_cupon_cero!$A$1,1,MATCH($B$6,Curvas_cupon_cero!$1:$1,0)-1,COUNT(Curvas_cupon_cero!$A:$A)-2,1))))</f>
        <v>8.217258513977066E-2</v>
      </c>
      <c r="J41" s="19">
        <f ca="1">IF(A41="","",F41/(1+I41*$B$5/360)^(COUNT(A$16:A41)-($B$5-$G$16)/$B$5))</f>
        <v>4205.9798849242561</v>
      </c>
    </row>
    <row r="42" spans="1:10" x14ac:dyDescent="0.2">
      <c r="A42" s="12">
        <f t="shared" si="2"/>
        <v>44072</v>
      </c>
      <c r="B42">
        <f t="shared" si="0"/>
        <v>764</v>
      </c>
      <c r="C42" s="21">
        <f ca="1">IF(A42="","",IF($B$8="Sí",interpolar_alamb(B42,OFFSET(Curvas_cupon_cero!$A$1,1,0,COUNT(Curvas_cupon_cero!$A:$A)-2,1),OFFSET(Curvas_cupon_cero!$A$1,1,MATCH($B$7,Curvas_cupon_cero!$1:$1,0)-1,COUNT(Curvas_cupon_cero!$A:$A)-2,1)),[1]!interpolar(B42,OFFSET(Curvas_cupon_cero!$A$1,1,0,COUNT(Curvas_cupon_cero!$A:$A)-2,1),OFFSET(Curvas_cupon_cero!$A$1,1,MATCH($B$7,Curvas_cupon_cero!$1:$1,0)-1,COUNT(Curvas_cupon_cero!$A:$A)-2,1))))</f>
        <v>8.0736186431906012E-2</v>
      </c>
      <c r="D42" s="23">
        <f ca="1">IF(A42="","",IF($B$8="Sí",interpolar_alamb(H42,OFFSET(Curvas_cupon_cero!$A$1,1,0,COUNT(Curvas_cupon_cero!$A:$A)-2,1),OFFSET(Curvas_cupon_cero!$A$1,1,MATCH($B$7,Curvas_cupon_cero!$1:$1,0)-1,COUNT(Curvas_cupon_cero!$A:$A)-2,1)),[1]!interpolar(H42,OFFSET(Curvas_cupon_cero!$A$1,1,0,COUNT(Curvas_cupon_cero!$A:$A)-2,1),OFFSET(Curvas_cupon_cero!$A$1,1,MATCH($B$7,Curvas_cupon_cero!$1:$1,0)-1,COUNT(Curvas_cupon_cero!$A:$A)-2,1))))</f>
        <v>8.0524681933928213E-2</v>
      </c>
      <c r="E42" s="23">
        <f t="shared" ca="1" si="3"/>
        <v>6.3818893233727234E-2</v>
      </c>
      <c r="F42" s="17">
        <f t="shared" ca="1" si="1"/>
        <v>4963.6916959565624</v>
      </c>
      <c r="G42" s="18">
        <f t="shared" si="4"/>
        <v>28</v>
      </c>
      <c r="H42">
        <f t="shared" si="5"/>
        <v>792</v>
      </c>
      <c r="I42" s="23">
        <f ca="1">IF(A42="","",IF($B$8="Sí",interpolar_alamb(H42,OFFSET(Curvas_cupon_cero!$A$1,1,0,COUNT(Curvas_cupon_cero!$A:$A)-2,1),OFFSET(Curvas_cupon_cero!$A$1,1,MATCH($B$6,Curvas_cupon_cero!$1:$1,0)-1,COUNT(Curvas_cupon_cero!$A:$A)-2,1)),[1]!interpolar(H42,OFFSET(Curvas_cupon_cero!$A$1,1,0,COUNT(Curvas_cupon_cero!$A:$A)-2,1),OFFSET(Curvas_cupon_cero!$A$1,1,MATCH($B$6,Curvas_cupon_cero!$1:$1,0)-1,COUNT(Curvas_cupon_cero!$A:$A)-2,1))))</f>
        <v>8.2458009257935019E-2</v>
      </c>
      <c r="J42" s="19">
        <f ca="1">IF(A42="","",F42/(1+I42*$B$5/360)^(COUNT(A$16:A42)-($B$5-$G$16)/$B$5))</f>
        <v>4176.7809962488891</v>
      </c>
    </row>
    <row r="43" spans="1:10" x14ac:dyDescent="0.2">
      <c r="A43" s="12">
        <f t="shared" si="2"/>
        <v>44100</v>
      </c>
      <c r="B43">
        <f t="shared" si="0"/>
        <v>792</v>
      </c>
      <c r="C43" s="21">
        <f ca="1">IF(A43="","",IF($B$8="Sí",interpolar_alamb(B43,OFFSET(Curvas_cupon_cero!$A$1,1,0,COUNT(Curvas_cupon_cero!$A:$A)-2,1),OFFSET(Curvas_cupon_cero!$A$1,1,MATCH($B$7,Curvas_cupon_cero!$1:$1,0)-1,COUNT(Curvas_cupon_cero!$A:$A)-2,1)),[1]!interpolar(B43,OFFSET(Curvas_cupon_cero!$A$1,1,0,COUNT(Curvas_cupon_cero!$A:$A)-2,1),OFFSET(Curvas_cupon_cero!$A$1,1,MATCH($B$7,Curvas_cupon_cero!$1:$1,0)-1,COUNT(Curvas_cupon_cero!$A:$A)-2,1))))</f>
        <v>8.0524681933928213E-2</v>
      </c>
      <c r="D43" s="23">
        <f ca="1">IF(A43="","",IF($B$8="Sí",interpolar_alamb(H43,OFFSET(Curvas_cupon_cero!$A$1,1,0,COUNT(Curvas_cupon_cero!$A:$A)-2,1),OFFSET(Curvas_cupon_cero!$A$1,1,MATCH($B$7,Curvas_cupon_cero!$1:$1,0)-1,COUNT(Curvas_cupon_cero!$A:$A)-2,1)),[1]!interpolar(H43,OFFSET(Curvas_cupon_cero!$A$1,1,0,COUNT(Curvas_cupon_cero!$A:$A)-2,1),OFFSET(Curvas_cupon_cero!$A$1,1,MATCH($B$7,Curvas_cupon_cero!$1:$1,0)-1,COUNT(Curvas_cupon_cero!$A:$A)-2,1))))</f>
        <v>8.0340291781320974E-2</v>
      </c>
      <c r="E43" s="23">
        <f t="shared" ca="1" si="3"/>
        <v>6.3818893233727234E-2</v>
      </c>
      <c r="F43" s="17">
        <f t="shared" ca="1" si="1"/>
        <v>4963.6916959565624</v>
      </c>
      <c r="G43" s="18">
        <f t="shared" si="4"/>
        <v>28</v>
      </c>
      <c r="H43">
        <f t="shared" si="5"/>
        <v>820</v>
      </c>
      <c r="I43" s="23">
        <f ca="1">IF(A43="","",IF($B$8="Sí",interpolar_alamb(H43,OFFSET(Curvas_cupon_cero!$A$1,1,0,COUNT(Curvas_cupon_cero!$A:$A)-2,1),OFFSET(Curvas_cupon_cero!$A$1,1,MATCH($B$6,Curvas_cupon_cero!$1:$1,0)-1,COUNT(Curvas_cupon_cero!$A:$A)-2,1)),[1]!interpolar(H43,OFFSET(Curvas_cupon_cero!$A$1,1,0,COUNT(Curvas_cupon_cero!$A:$A)-2,1),OFFSET(Curvas_cupon_cero!$A$1,1,MATCH($B$6,Curvas_cupon_cero!$1:$1,0)-1,COUNT(Curvas_cupon_cero!$A:$A)-2,1))))</f>
        <v>8.2742359059960385E-2</v>
      </c>
      <c r="J43" s="19">
        <f ca="1">IF(A43="","",F43/(1+I43*$B$5/360)^(COUNT(A$16:A43)-($B$5-$G$16)/$B$5))</f>
        <v>4147.6115281268421</v>
      </c>
    </row>
    <row r="44" spans="1:10" x14ac:dyDescent="0.2">
      <c r="A44" s="12">
        <f t="shared" si="2"/>
        <v>44128</v>
      </c>
      <c r="B44">
        <f t="shared" si="0"/>
        <v>820</v>
      </c>
      <c r="C44" s="21">
        <f ca="1">IF(A44="","",IF($B$8="Sí",interpolar_alamb(B44,OFFSET(Curvas_cupon_cero!$A$1,1,0,COUNT(Curvas_cupon_cero!$A:$A)-2,1),OFFSET(Curvas_cupon_cero!$A$1,1,MATCH($B$7,Curvas_cupon_cero!$1:$1,0)-1,COUNT(Curvas_cupon_cero!$A:$A)-2,1)),[1]!interpolar(B44,OFFSET(Curvas_cupon_cero!$A$1,1,0,COUNT(Curvas_cupon_cero!$A:$A)-2,1),OFFSET(Curvas_cupon_cero!$A$1,1,MATCH($B$7,Curvas_cupon_cero!$1:$1,0)-1,COUNT(Curvas_cupon_cero!$A:$A)-2,1))))</f>
        <v>8.0340291781320974E-2</v>
      </c>
      <c r="D44" s="23">
        <f ca="1">IF(A44="","",IF($B$8="Sí",interpolar_alamb(H44,OFFSET(Curvas_cupon_cero!$A$1,1,0,COUNT(Curvas_cupon_cero!$A:$A)-2,1),OFFSET(Curvas_cupon_cero!$A$1,1,MATCH($B$7,Curvas_cupon_cero!$1:$1,0)-1,COUNT(Curvas_cupon_cero!$A:$A)-2,1)),[1]!interpolar(H44,OFFSET(Curvas_cupon_cero!$A$1,1,0,COUNT(Curvas_cupon_cero!$A:$A)-2,1),OFFSET(Curvas_cupon_cero!$A$1,1,MATCH($B$7,Curvas_cupon_cero!$1:$1,0)-1,COUNT(Curvas_cupon_cero!$A:$A)-2,1))))</f>
        <v>8.0180390933188003E-2</v>
      </c>
      <c r="E44" s="23">
        <f t="shared" ca="1" si="3"/>
        <v>6.3818893233727234E-2</v>
      </c>
      <c r="F44" s="17">
        <f t="shared" ca="1" si="1"/>
        <v>4963.6916959565624</v>
      </c>
      <c r="G44" s="18">
        <f t="shared" si="4"/>
        <v>28</v>
      </c>
      <c r="H44">
        <f t="shared" si="5"/>
        <v>848</v>
      </c>
      <c r="I44" s="23">
        <f ca="1">IF(A44="","",IF($B$8="Sí",interpolar_alamb(H44,OFFSET(Curvas_cupon_cero!$A$1,1,0,COUNT(Curvas_cupon_cero!$A:$A)-2,1),OFFSET(Curvas_cupon_cero!$A$1,1,MATCH($B$6,Curvas_cupon_cero!$1:$1,0)-1,COUNT(Curvas_cupon_cero!$A:$A)-2,1)),[1]!interpolar(H44,OFFSET(Curvas_cupon_cero!$A$1,1,0,COUNT(Curvas_cupon_cero!$A:$A)-2,1),OFFSET(Curvas_cupon_cero!$A$1,1,MATCH($B$6,Curvas_cupon_cero!$1:$1,0)-1,COUNT(Curvas_cupon_cero!$A:$A)-2,1))))</f>
        <v>8.3025847411022632E-2</v>
      </c>
      <c r="J44" s="19">
        <f ca="1">IF(A44="","",F44/(1+I44*$B$5/360)^(COUNT(A$16:A44)-($B$5-$G$16)/$B$5))</f>
        <v>4118.4727702839918</v>
      </c>
    </row>
    <row r="45" spans="1:10" x14ac:dyDescent="0.2">
      <c r="A45" s="12">
        <f t="shared" si="2"/>
        <v>44156</v>
      </c>
      <c r="B45">
        <f t="shared" si="0"/>
        <v>848</v>
      </c>
      <c r="C45" s="21">
        <f ca="1">IF(A45="","",IF($B$8="Sí",interpolar_alamb(B45,OFFSET(Curvas_cupon_cero!$A$1,1,0,COUNT(Curvas_cupon_cero!$A:$A)-2,1),OFFSET(Curvas_cupon_cero!$A$1,1,MATCH($B$7,Curvas_cupon_cero!$1:$1,0)-1,COUNT(Curvas_cupon_cero!$A:$A)-2,1)),[1]!interpolar(B45,OFFSET(Curvas_cupon_cero!$A$1,1,0,COUNT(Curvas_cupon_cero!$A:$A)-2,1),OFFSET(Curvas_cupon_cero!$A$1,1,MATCH($B$7,Curvas_cupon_cero!$1:$1,0)-1,COUNT(Curvas_cupon_cero!$A:$A)-2,1))))</f>
        <v>8.0180390933188003E-2</v>
      </c>
      <c r="D45" s="23">
        <f ca="1">IF(A45="","",IF($B$8="Sí",interpolar_alamb(H45,OFFSET(Curvas_cupon_cero!$A$1,1,0,COUNT(Curvas_cupon_cero!$A:$A)-2,1),OFFSET(Curvas_cupon_cero!$A$1,1,MATCH($B$7,Curvas_cupon_cero!$1:$1,0)-1,COUNT(Curvas_cupon_cero!$A:$A)-2,1)),[1]!interpolar(H45,OFFSET(Curvas_cupon_cero!$A$1,1,0,COUNT(Curvas_cupon_cero!$A:$A)-2,1),OFFSET(Curvas_cupon_cero!$A$1,1,MATCH($B$7,Curvas_cupon_cero!$1:$1,0)-1,COUNT(Curvas_cupon_cero!$A:$A)-2,1))))</f>
        <v>8.0042690262513871E-2</v>
      </c>
      <c r="E45" s="23">
        <f t="shared" ca="1" si="3"/>
        <v>6.3818893233730092E-2</v>
      </c>
      <c r="F45" s="17">
        <f t="shared" ca="1" si="1"/>
        <v>4963.6916959567852</v>
      </c>
      <c r="G45" s="18">
        <f t="shared" si="4"/>
        <v>28</v>
      </c>
      <c r="H45">
        <f t="shared" si="5"/>
        <v>876</v>
      </c>
      <c r="I45" s="23">
        <f ca="1">IF(A45="","",IF($B$8="Sí",interpolar_alamb(H45,OFFSET(Curvas_cupon_cero!$A$1,1,0,COUNT(Curvas_cupon_cero!$A:$A)-2,1),OFFSET(Curvas_cupon_cero!$A$1,1,MATCH($B$6,Curvas_cupon_cero!$1:$1,0)-1,COUNT(Curvas_cupon_cero!$A:$A)-2,1)),[1]!interpolar(H45,OFFSET(Curvas_cupon_cero!$A$1,1,0,COUNT(Curvas_cupon_cero!$A:$A)-2,1),OFFSET(Curvas_cupon_cero!$A$1,1,MATCH($B$6,Curvas_cupon_cero!$1:$1,0)-1,COUNT(Curvas_cupon_cero!$A:$A)-2,1))))</f>
        <v>8.3308660576540294E-2</v>
      </c>
      <c r="J45" s="19">
        <f ca="1">IF(A45="","",F45/(1+I45*$B$5/360)^(COUNT(A$16:A45)-($B$5-$G$16)/$B$5))</f>
        <v>4089.3660024981864</v>
      </c>
    </row>
    <row r="46" spans="1:10" x14ac:dyDescent="0.2">
      <c r="A46" s="12">
        <f t="shared" si="2"/>
        <v>44184</v>
      </c>
      <c r="B46">
        <f t="shared" si="0"/>
        <v>876</v>
      </c>
      <c r="C46" s="21">
        <f ca="1">IF(A46="","",IF($B$8="Sí",interpolar_alamb(B46,OFFSET(Curvas_cupon_cero!$A$1,1,0,COUNT(Curvas_cupon_cero!$A:$A)-2,1),OFFSET(Curvas_cupon_cero!$A$1,1,MATCH($B$7,Curvas_cupon_cero!$1:$1,0)-1,COUNT(Curvas_cupon_cero!$A:$A)-2,1)),[1]!interpolar(B46,OFFSET(Curvas_cupon_cero!$A$1,1,0,COUNT(Curvas_cupon_cero!$A:$A)-2,1),OFFSET(Curvas_cupon_cero!$A$1,1,MATCH($B$7,Curvas_cupon_cero!$1:$1,0)-1,COUNT(Curvas_cupon_cero!$A:$A)-2,1))))</f>
        <v>8.0042690262513871E-2</v>
      </c>
      <c r="D46" s="23">
        <f ca="1">IF(A46="","",IF($B$8="Sí",interpolar_alamb(H46,OFFSET(Curvas_cupon_cero!$A$1,1,0,COUNT(Curvas_cupon_cero!$A:$A)-2,1),OFFSET(Curvas_cupon_cero!$A$1,1,MATCH($B$7,Curvas_cupon_cero!$1:$1,0)-1,COUNT(Curvas_cupon_cero!$A:$A)-2,1)),[1]!interpolar(H46,OFFSET(Curvas_cupon_cero!$A$1,1,0,COUNT(Curvas_cupon_cero!$A:$A)-2,1),OFFSET(Curvas_cupon_cero!$A$1,1,MATCH($B$7,Curvas_cupon_cero!$1:$1,0)-1,COUNT(Curvas_cupon_cero!$A:$A)-2,1))))</f>
        <v>7.9925184535508023E-2</v>
      </c>
      <c r="E46" s="23">
        <f t="shared" ca="1" si="3"/>
        <v>6.3818893233724375E-2</v>
      </c>
      <c r="F46" s="17">
        <f t="shared" ca="1" si="1"/>
        <v>4963.6916959563405</v>
      </c>
      <c r="G46" s="18">
        <f t="shared" si="4"/>
        <v>28</v>
      </c>
      <c r="H46">
        <f t="shared" si="5"/>
        <v>904</v>
      </c>
      <c r="I46" s="23">
        <f ca="1">IF(A46="","",IF($B$8="Sí",interpolar_alamb(H46,OFFSET(Curvas_cupon_cero!$A$1,1,0,COUNT(Curvas_cupon_cero!$A:$A)-2,1),OFFSET(Curvas_cupon_cero!$A$1,1,MATCH($B$6,Curvas_cupon_cero!$1:$1,0)-1,COUNT(Curvas_cupon_cero!$A:$A)-2,1)),[1]!interpolar(H46,OFFSET(Curvas_cupon_cero!$A$1,1,0,COUNT(Curvas_cupon_cero!$A:$A)-2,1),OFFSET(Curvas_cupon_cero!$A$1,1,MATCH($B$6,Curvas_cupon_cero!$1:$1,0)-1,COUNT(Curvas_cupon_cero!$A:$A)-2,1))))</f>
        <v>8.35909623451732E-2</v>
      </c>
      <c r="J46" s="19">
        <f ca="1">IF(A46="","",F46/(1+I46*$B$5/360)^(COUNT(A$16:A46)-($B$5-$G$16)/$B$5))</f>
        <v>4060.2924965155253</v>
      </c>
    </row>
    <row r="47" spans="1:10" x14ac:dyDescent="0.2">
      <c r="A47" s="12">
        <f t="shared" si="2"/>
        <v>44212</v>
      </c>
      <c r="B47">
        <f t="shared" si="0"/>
        <v>904</v>
      </c>
      <c r="C47" s="21">
        <f ca="1">IF(A47="","",IF($B$8="Sí",interpolar_alamb(B47,OFFSET(Curvas_cupon_cero!$A$1,1,0,COUNT(Curvas_cupon_cero!$A:$A)-2,1),OFFSET(Curvas_cupon_cero!$A$1,1,MATCH($B$7,Curvas_cupon_cero!$1:$1,0)-1,COUNT(Curvas_cupon_cero!$A:$A)-2,1)),[1]!interpolar(B47,OFFSET(Curvas_cupon_cero!$A$1,1,0,COUNT(Curvas_cupon_cero!$A:$A)-2,1),OFFSET(Curvas_cupon_cero!$A$1,1,MATCH($B$7,Curvas_cupon_cero!$1:$1,0)-1,COUNT(Curvas_cupon_cero!$A:$A)-2,1))))</f>
        <v>7.9925184535508023E-2</v>
      </c>
      <c r="D47" s="23">
        <f ca="1">IF(A47="","",IF($B$8="Sí",interpolar_alamb(H47,OFFSET(Curvas_cupon_cero!$A$1,1,0,COUNT(Curvas_cupon_cero!$A:$A)-2,1),OFFSET(Curvas_cupon_cero!$A$1,1,MATCH($B$7,Curvas_cupon_cero!$1:$1,0)-1,COUNT(Curvas_cupon_cero!$A:$A)-2,1)),[1]!interpolar(H47,OFFSET(Curvas_cupon_cero!$A$1,1,0,COUNT(Curvas_cupon_cero!$A:$A)-2,1),OFFSET(Curvas_cupon_cero!$A$1,1,MATCH($B$7,Curvas_cupon_cero!$1:$1,0)-1,COUNT(Curvas_cupon_cero!$A:$A)-2,1))))</f>
        <v>7.9826109768070544E-2</v>
      </c>
      <c r="E47" s="23">
        <f t="shared" ca="1" si="3"/>
        <v>6.3818893233727234E-2</v>
      </c>
      <c r="F47" s="17">
        <f t="shared" ca="1" si="1"/>
        <v>4963.6916959565624</v>
      </c>
      <c r="G47" s="18">
        <f t="shared" si="4"/>
        <v>28</v>
      </c>
      <c r="H47">
        <f t="shared" si="5"/>
        <v>932</v>
      </c>
      <c r="I47" s="23">
        <f ca="1">IF(A47="","",IF($B$8="Sí",interpolar_alamb(H47,OFFSET(Curvas_cupon_cero!$A$1,1,0,COUNT(Curvas_cupon_cero!$A:$A)-2,1),OFFSET(Curvas_cupon_cero!$A$1,1,MATCH($B$6,Curvas_cupon_cero!$1:$1,0)-1,COUNT(Curvas_cupon_cero!$A:$A)-2,1)),[1]!interpolar(H47,OFFSET(Curvas_cupon_cero!$A$1,1,0,COUNT(Curvas_cupon_cero!$A:$A)-2,1),OFFSET(Curvas_cupon_cero!$A$1,1,MATCH($B$6,Curvas_cupon_cero!$1:$1,0)-1,COUNT(Curvas_cupon_cero!$A:$A)-2,1))))</f>
        <v>8.387289740863961E-2</v>
      </c>
      <c r="J47" s="19">
        <f ca="1">IF(A47="","",F47/(1+I47*$B$5/360)^(COUNT(A$16:A47)-($B$5-$G$16)/$B$5))</f>
        <v>4031.2535175984144</v>
      </c>
    </row>
    <row r="48" spans="1:10" x14ac:dyDescent="0.2">
      <c r="A48" s="12">
        <f t="shared" si="2"/>
        <v>44240</v>
      </c>
      <c r="B48">
        <f t="shared" si="0"/>
        <v>932</v>
      </c>
      <c r="C48" s="21">
        <f ca="1">IF(A48="","",IF($B$8="Sí",interpolar_alamb(B48,OFFSET(Curvas_cupon_cero!$A$1,1,0,COUNT(Curvas_cupon_cero!$A:$A)-2,1),OFFSET(Curvas_cupon_cero!$A$1,1,MATCH($B$7,Curvas_cupon_cero!$1:$1,0)-1,COUNT(Curvas_cupon_cero!$A:$A)-2,1)),[1]!interpolar(B48,OFFSET(Curvas_cupon_cero!$A$1,1,0,COUNT(Curvas_cupon_cero!$A:$A)-2,1),OFFSET(Curvas_cupon_cero!$A$1,1,MATCH($B$7,Curvas_cupon_cero!$1:$1,0)-1,COUNT(Curvas_cupon_cero!$A:$A)-2,1))))</f>
        <v>7.9826109768070544E-2</v>
      </c>
      <c r="D48" s="23">
        <f ca="1">IF(A48="","",IF($B$8="Sí",interpolar_alamb(H48,OFFSET(Curvas_cupon_cero!$A$1,1,0,COUNT(Curvas_cupon_cero!$A:$A)-2,1),OFFSET(Curvas_cupon_cero!$A$1,1,MATCH($B$7,Curvas_cupon_cero!$1:$1,0)-1,COUNT(Curvas_cupon_cero!$A:$A)-2,1)),[1]!interpolar(H48,OFFSET(Curvas_cupon_cero!$A$1,1,0,COUNT(Curvas_cupon_cero!$A:$A)-2,1),OFFSET(Curvas_cupon_cero!$A$1,1,MATCH($B$7,Curvas_cupon_cero!$1:$1,0)-1,COUNT(Curvas_cupon_cero!$A:$A)-2,1))))</f>
        <v>7.9743908044881712E-2</v>
      </c>
      <c r="E48" s="23">
        <f t="shared" ca="1" si="3"/>
        <v>6.3818893233727234E-2</v>
      </c>
      <c r="F48" s="17">
        <f t="shared" ca="1" si="1"/>
        <v>4963.6916959565624</v>
      </c>
      <c r="G48" s="18">
        <f t="shared" si="4"/>
        <v>28</v>
      </c>
      <c r="H48">
        <f t="shared" si="5"/>
        <v>960</v>
      </c>
      <c r="I48" s="23">
        <f ca="1">IF(A48="","",IF($B$8="Sí",interpolar_alamb(H48,OFFSET(Curvas_cupon_cero!$A$1,1,0,COUNT(Curvas_cupon_cero!$A:$A)-2,1),OFFSET(Curvas_cupon_cero!$A$1,1,MATCH($B$6,Curvas_cupon_cero!$1:$1,0)-1,COUNT(Curvas_cupon_cero!$A:$A)-2,1)),[1]!interpolar(H48,OFFSET(Curvas_cupon_cero!$A$1,1,0,COUNT(Curvas_cupon_cero!$A:$A)-2,1),OFFSET(Curvas_cupon_cero!$A$1,1,MATCH($B$6,Curvas_cupon_cero!$1:$1,0)-1,COUNT(Curvas_cupon_cero!$A:$A)-2,1))))</f>
        <v>8.4154594150086623E-2</v>
      </c>
      <c r="J48" s="19">
        <f ca="1">IF(A48="","",F48/(1+I48*$B$5/360)^(COUNT(A$16:A48)-($B$5-$G$16)/$B$5))</f>
        <v>4002.2503257708763</v>
      </c>
    </row>
    <row r="49" spans="1:10" x14ac:dyDescent="0.2">
      <c r="A49" s="12">
        <f t="shared" si="2"/>
        <v>44268</v>
      </c>
      <c r="B49">
        <f t="shared" si="0"/>
        <v>960</v>
      </c>
      <c r="C49" s="21">
        <f ca="1">IF(A49="","",IF($B$8="Sí",interpolar_alamb(B49,OFFSET(Curvas_cupon_cero!$A$1,1,0,COUNT(Curvas_cupon_cero!$A:$A)-2,1),OFFSET(Curvas_cupon_cero!$A$1,1,MATCH($B$7,Curvas_cupon_cero!$1:$1,0)-1,COUNT(Curvas_cupon_cero!$A:$A)-2,1)),[1]!interpolar(B49,OFFSET(Curvas_cupon_cero!$A$1,1,0,COUNT(Curvas_cupon_cero!$A:$A)-2,1),OFFSET(Curvas_cupon_cero!$A$1,1,MATCH($B$7,Curvas_cupon_cero!$1:$1,0)-1,COUNT(Curvas_cupon_cero!$A:$A)-2,1))))</f>
        <v>7.9743908044881712E-2</v>
      </c>
      <c r="D49" s="23">
        <f ca="1">IF(A49="","",IF($B$8="Sí",interpolar_alamb(H49,OFFSET(Curvas_cupon_cero!$A$1,1,0,COUNT(Curvas_cupon_cero!$A:$A)-2,1),OFFSET(Curvas_cupon_cero!$A$1,1,MATCH($B$7,Curvas_cupon_cero!$1:$1,0)-1,COUNT(Curvas_cupon_cero!$A:$A)-2,1)),[1]!interpolar(H49,OFFSET(Curvas_cupon_cero!$A$1,1,0,COUNT(Curvas_cupon_cero!$A:$A)-2,1),OFFSET(Curvas_cupon_cero!$A$1,1,MATCH($B$7,Curvas_cupon_cero!$1:$1,0)-1,COUNT(Curvas_cupon_cero!$A:$A)-2,1))))</f>
        <v>7.9677198320677892E-2</v>
      </c>
      <c r="E49" s="23">
        <f t="shared" ca="1" si="3"/>
        <v>6.3818893233730092E-2</v>
      </c>
      <c r="F49" s="17">
        <f t="shared" ca="1" si="1"/>
        <v>4963.6916959567852</v>
      </c>
      <c r="G49" s="18">
        <f t="shared" si="4"/>
        <v>28</v>
      </c>
      <c r="H49">
        <f t="shared" si="5"/>
        <v>988</v>
      </c>
      <c r="I49" s="23">
        <f ca="1">IF(A49="","",IF($B$8="Sí",interpolar_alamb(H49,OFFSET(Curvas_cupon_cero!$A$1,1,0,COUNT(Curvas_cupon_cero!$A:$A)-2,1),OFFSET(Curvas_cupon_cero!$A$1,1,MATCH($B$6,Curvas_cupon_cero!$1:$1,0)-1,COUNT(Curvas_cupon_cero!$A:$A)-2,1)),[1]!interpolar(H49,OFFSET(Curvas_cupon_cero!$A$1,1,0,COUNT(Curvas_cupon_cero!$A:$A)-2,1),OFFSET(Curvas_cupon_cero!$A$1,1,MATCH($B$6,Curvas_cupon_cero!$1:$1,0)-1,COUNT(Curvas_cupon_cero!$A:$A)-2,1))))</f>
        <v>8.4436166958343745E-2</v>
      </c>
      <c r="J49" s="19">
        <f ca="1">IF(A49="","",F49/(1+I49*$B$5/360)^(COUNT(A$16:A49)-($B$5-$G$16)/$B$5))</f>
        <v>3973.2841768323715</v>
      </c>
    </row>
    <row r="50" spans="1:10" x14ac:dyDescent="0.2">
      <c r="A50" s="12">
        <f t="shared" si="2"/>
        <v>44296</v>
      </c>
      <c r="B50">
        <f t="shared" si="0"/>
        <v>988</v>
      </c>
      <c r="C50" s="21">
        <f ca="1">IF(A50="","",IF($B$8="Sí",interpolar_alamb(B50,OFFSET(Curvas_cupon_cero!$A$1,1,0,COUNT(Curvas_cupon_cero!$A:$A)-2,1),OFFSET(Curvas_cupon_cero!$A$1,1,MATCH($B$7,Curvas_cupon_cero!$1:$1,0)-1,COUNT(Curvas_cupon_cero!$A:$A)-2,1)),[1]!interpolar(B50,OFFSET(Curvas_cupon_cero!$A$1,1,0,COUNT(Curvas_cupon_cero!$A:$A)-2,1),OFFSET(Curvas_cupon_cero!$A$1,1,MATCH($B$7,Curvas_cupon_cero!$1:$1,0)-1,COUNT(Curvas_cupon_cero!$A:$A)-2,1))))</f>
        <v>7.9677198320677892E-2</v>
      </c>
      <c r="D50" s="23">
        <f ca="1">IF(A50="","",IF($B$8="Sí",interpolar_alamb(H50,OFFSET(Curvas_cupon_cero!$A$1,1,0,COUNT(Curvas_cupon_cero!$A:$A)-2,1),OFFSET(Curvas_cupon_cero!$A$1,1,MATCH($B$7,Curvas_cupon_cero!$1:$1,0)-1,COUNT(Curvas_cupon_cero!$A:$A)-2,1)),[1]!interpolar(H50,OFFSET(Curvas_cupon_cero!$A$1,1,0,COUNT(Curvas_cupon_cero!$A:$A)-2,1),OFFSET(Curvas_cupon_cero!$A$1,1,MATCH($B$7,Curvas_cupon_cero!$1:$1,0)-1,COUNT(Curvas_cupon_cero!$A:$A)-2,1))))</f>
        <v>7.9624752049668887E-2</v>
      </c>
      <c r="E50" s="23">
        <f t="shared" ca="1" si="3"/>
        <v>6.3818893233727234E-2</v>
      </c>
      <c r="F50" s="17">
        <f t="shared" ca="1" si="1"/>
        <v>4963.6916959565624</v>
      </c>
      <c r="G50" s="18">
        <f t="shared" si="4"/>
        <v>28</v>
      </c>
      <c r="H50">
        <f t="shared" si="5"/>
        <v>1016</v>
      </c>
      <c r="I50" s="23">
        <f ca="1">IF(A50="","",IF($B$8="Sí",interpolar_alamb(H50,OFFSET(Curvas_cupon_cero!$A$1,1,0,COUNT(Curvas_cupon_cero!$A:$A)-2,1),OFFSET(Curvas_cupon_cero!$A$1,1,MATCH($B$6,Curvas_cupon_cero!$1:$1,0)-1,COUNT(Curvas_cupon_cero!$A:$A)-2,1)),[1]!interpolar(H50,OFFSET(Curvas_cupon_cero!$A$1,1,0,COUNT(Curvas_cupon_cero!$A:$A)-2,1),OFFSET(Curvas_cupon_cero!$A$1,1,MATCH($B$6,Curvas_cupon_cero!$1:$1,0)-1,COUNT(Curvas_cupon_cero!$A:$A)-2,1))))</f>
        <v>8.4717718159524003E-2</v>
      </c>
      <c r="J50" s="19">
        <f ca="1">IF(A50="","",F50/(1+I50*$B$5/360)^(COUNT(A$16:A50)-($B$5-$G$16)/$B$5))</f>
        <v>3944.3563231740522</v>
      </c>
    </row>
    <row r="51" spans="1:10" x14ac:dyDescent="0.2">
      <c r="A51" s="12">
        <f t="shared" si="2"/>
        <v>44324</v>
      </c>
      <c r="B51">
        <f t="shared" si="0"/>
        <v>1016</v>
      </c>
      <c r="C51" s="21">
        <f ca="1">IF(A51="","",IF($B$8="Sí",interpolar_alamb(B51,OFFSET(Curvas_cupon_cero!$A$1,1,0,COUNT(Curvas_cupon_cero!$A:$A)-2,1),OFFSET(Curvas_cupon_cero!$A$1,1,MATCH($B$7,Curvas_cupon_cero!$1:$1,0)-1,COUNT(Curvas_cupon_cero!$A:$A)-2,1)),[1]!interpolar(B51,OFFSET(Curvas_cupon_cero!$A$1,1,0,COUNT(Curvas_cupon_cero!$A:$A)-2,1),OFFSET(Curvas_cupon_cero!$A$1,1,MATCH($B$7,Curvas_cupon_cero!$1:$1,0)-1,COUNT(Curvas_cupon_cero!$A:$A)-2,1))))</f>
        <v>7.9624752049668887E-2</v>
      </c>
      <c r="D51" s="23">
        <f ca="1">IF(A51="","",IF($B$8="Sí",interpolar_alamb(H51,OFFSET(Curvas_cupon_cero!$A$1,1,0,COUNT(Curvas_cupon_cero!$A:$A)-2,1),OFFSET(Curvas_cupon_cero!$A$1,1,MATCH($B$7,Curvas_cupon_cero!$1:$1,0)-1,COUNT(Curvas_cupon_cero!$A:$A)-2,1)),[1]!interpolar(H51,OFFSET(Curvas_cupon_cero!$A$1,1,0,COUNT(Curvas_cupon_cero!$A:$A)-2,1),OFFSET(Curvas_cupon_cero!$A$1,1,MATCH($B$7,Curvas_cupon_cero!$1:$1,0)-1,COUNT(Curvas_cupon_cero!$A:$A)-2,1))))</f>
        <v>7.9585472736664956E-2</v>
      </c>
      <c r="E51" s="23">
        <f t="shared" ca="1" si="3"/>
        <v>6.3818893233727234E-2</v>
      </c>
      <c r="F51" s="17">
        <f t="shared" ca="1" si="1"/>
        <v>4963.6916959565624</v>
      </c>
      <c r="G51" s="18">
        <f t="shared" si="4"/>
        <v>28</v>
      </c>
      <c r="H51">
        <f t="shared" si="5"/>
        <v>1044</v>
      </c>
      <c r="I51" s="23">
        <f ca="1">IF(A51="","",IF($B$8="Sí",interpolar_alamb(H51,OFFSET(Curvas_cupon_cero!$A$1,1,0,COUNT(Curvas_cupon_cero!$A:$A)-2,1),OFFSET(Curvas_cupon_cero!$A$1,1,MATCH($B$6,Curvas_cupon_cero!$1:$1,0)-1,COUNT(Curvas_cupon_cero!$A:$A)-2,1)),[1]!interpolar(H51,OFFSET(Curvas_cupon_cero!$A$1,1,0,COUNT(Curvas_cupon_cero!$A:$A)-2,1),OFFSET(Curvas_cupon_cero!$A$1,1,MATCH($B$6,Curvas_cupon_cero!$1:$1,0)-1,COUNT(Curvas_cupon_cero!$A:$A)-2,1))))</f>
        <v>8.4999339637811713E-2</v>
      </c>
      <c r="J51" s="19">
        <f ca="1">IF(A51="","",F51/(1+I51*$B$5/360)^(COUNT(A$16:A51)-($B$5-$G$16)/$B$5))</f>
        <v>3915.4680144422696</v>
      </c>
    </row>
    <row r="52" spans="1:10" x14ac:dyDescent="0.2">
      <c r="A52" s="12">
        <f t="shared" si="2"/>
        <v>44352</v>
      </c>
      <c r="B52">
        <f t="shared" si="0"/>
        <v>1044</v>
      </c>
      <c r="C52" s="21">
        <f ca="1">IF(A52="","",IF($B$8="Sí",interpolar_alamb(B52,OFFSET(Curvas_cupon_cero!$A$1,1,0,COUNT(Curvas_cupon_cero!$A:$A)-2,1),OFFSET(Curvas_cupon_cero!$A$1,1,MATCH($B$7,Curvas_cupon_cero!$1:$1,0)-1,COUNT(Curvas_cupon_cero!$A:$A)-2,1)),[1]!interpolar(B52,OFFSET(Curvas_cupon_cero!$A$1,1,0,COUNT(Curvas_cupon_cero!$A:$A)-2,1),OFFSET(Curvas_cupon_cero!$A$1,1,MATCH($B$7,Curvas_cupon_cero!$1:$1,0)-1,COUNT(Curvas_cupon_cero!$A:$A)-2,1))))</f>
        <v>7.9585472736664956E-2</v>
      </c>
      <c r="D52" s="23">
        <f ca="1">IF(A52="","",IF($B$8="Sí",interpolar_alamb(H52,OFFSET(Curvas_cupon_cero!$A$1,1,0,COUNT(Curvas_cupon_cero!$A:$A)-2,1),OFFSET(Curvas_cupon_cero!$A$1,1,MATCH($B$7,Curvas_cupon_cero!$1:$1,0)-1,COUNT(Curvas_cupon_cero!$A:$A)-2,1)),[1]!interpolar(H52,OFFSET(Curvas_cupon_cero!$A$1,1,0,COUNT(Curvas_cupon_cero!$A:$A)-2,1),OFFSET(Curvas_cupon_cero!$A$1,1,MATCH($B$7,Curvas_cupon_cero!$1:$1,0)-1,COUNT(Curvas_cupon_cero!$A:$A)-2,1))))</f>
        <v>7.9558378692882972E-2</v>
      </c>
      <c r="E52" s="23">
        <f t="shared" ca="1" si="3"/>
        <v>6.3818893233727234E-2</v>
      </c>
      <c r="F52" s="17">
        <f t="shared" ca="1" si="1"/>
        <v>4963.6916959565624</v>
      </c>
      <c r="G52" s="18">
        <f t="shared" si="4"/>
        <v>28</v>
      </c>
      <c r="H52">
        <f t="shared" si="5"/>
        <v>1072</v>
      </c>
      <c r="I52" s="23">
        <f ca="1">IF(A52="","",IF($B$8="Sí",interpolar_alamb(H52,OFFSET(Curvas_cupon_cero!$A$1,1,0,COUNT(Curvas_cupon_cero!$A:$A)-2,1),OFFSET(Curvas_cupon_cero!$A$1,1,MATCH($B$6,Curvas_cupon_cero!$1:$1,0)-1,COUNT(Curvas_cupon_cero!$A:$A)-2,1)),[1]!interpolar(H52,OFFSET(Curvas_cupon_cero!$A$1,1,0,COUNT(Curvas_cupon_cero!$A:$A)-2,1),OFFSET(Curvas_cupon_cero!$A$1,1,MATCH($B$6,Curvas_cupon_cero!$1:$1,0)-1,COUNT(Curvas_cupon_cero!$A:$A)-2,1))))</f>
        <v>8.5281114202264766E-2</v>
      </c>
      <c r="J52" s="19">
        <f ca="1">IF(A52="","",F52/(1+I52*$B$5/360)^(COUNT(A$16:A52)-($B$5-$G$16)/$B$5))</f>
        <v>3886.6204980698003</v>
      </c>
    </row>
    <row r="53" spans="1:10" x14ac:dyDescent="0.2">
      <c r="A53" s="12">
        <f t="shared" si="2"/>
        <v>44380</v>
      </c>
      <c r="B53">
        <f t="shared" si="0"/>
        <v>1072</v>
      </c>
      <c r="C53" s="21">
        <f ca="1">IF(A53="","",IF($B$8="Sí",interpolar_alamb(B53,OFFSET(Curvas_cupon_cero!$A$1,1,0,COUNT(Curvas_cupon_cero!$A:$A)-2,1),OFFSET(Curvas_cupon_cero!$A$1,1,MATCH($B$7,Curvas_cupon_cero!$1:$1,0)-1,COUNT(Curvas_cupon_cero!$A:$A)-2,1)),[1]!interpolar(B53,OFFSET(Curvas_cupon_cero!$A$1,1,0,COUNT(Curvas_cupon_cero!$A:$A)-2,1),OFFSET(Curvas_cupon_cero!$A$1,1,MATCH($B$7,Curvas_cupon_cero!$1:$1,0)-1,COUNT(Curvas_cupon_cero!$A:$A)-2,1))))</f>
        <v>7.9558378692882972E-2</v>
      </c>
      <c r="D53" s="23">
        <f ca="1">IF(A53="","",IF($B$8="Sí",interpolar_alamb(H53,OFFSET(Curvas_cupon_cero!$A$1,1,0,COUNT(Curvas_cupon_cero!$A:$A)-2,1),OFFSET(Curvas_cupon_cero!$A$1,1,MATCH($B$7,Curvas_cupon_cero!$1:$1,0)-1,COUNT(Curvas_cupon_cero!$A:$A)-2,1)),[1]!interpolar(H53,OFFSET(Curvas_cupon_cero!$A$1,1,0,COUNT(Curvas_cupon_cero!$A:$A)-2,1),OFFSET(Curvas_cupon_cero!$A$1,1,MATCH($B$7,Curvas_cupon_cero!$1:$1,0)-1,COUNT(Curvas_cupon_cero!$A:$A)-2,1))))</f>
        <v>7.9474201176542275E-2</v>
      </c>
      <c r="E53" s="23">
        <f t="shared" ca="1" si="3"/>
        <v>6.1646828926306289E-2</v>
      </c>
      <c r="F53" s="17">
        <f t="shared" ca="1" si="1"/>
        <v>4794.7533609349339</v>
      </c>
      <c r="G53" s="18">
        <f t="shared" si="4"/>
        <v>28</v>
      </c>
      <c r="H53">
        <f t="shared" si="5"/>
        <v>1100</v>
      </c>
      <c r="I53" s="23">
        <f ca="1">IF(A53="","",IF($B$8="Sí",interpolar_alamb(H53,OFFSET(Curvas_cupon_cero!$A$1,1,0,COUNT(Curvas_cupon_cero!$A:$A)-2,1),OFFSET(Curvas_cupon_cero!$A$1,1,MATCH($B$6,Curvas_cupon_cero!$1:$1,0)-1,COUNT(Curvas_cupon_cero!$A:$A)-2,1)),[1]!interpolar(H53,OFFSET(Curvas_cupon_cero!$A$1,1,0,COUNT(Curvas_cupon_cero!$A:$A)-2,1),OFFSET(Curvas_cupon_cero!$A$1,1,MATCH($B$6,Curvas_cupon_cero!$1:$1,0)-1,COUNT(Curvas_cupon_cero!$A:$A)-2,1))))</f>
        <v>8.5534881695508228E-2</v>
      </c>
      <c r="J53" s="19">
        <f ca="1">IF(A53="","",F53/(1+I53*$B$5/360)^(COUNT(A$16:A53)-($B$5-$G$16)/$B$5))</f>
        <v>3726.8239301276112</v>
      </c>
    </row>
    <row r="54" spans="1:10" x14ac:dyDescent="0.2">
      <c r="A54" s="12">
        <f t="shared" si="2"/>
        <v>44408</v>
      </c>
      <c r="B54">
        <f t="shared" si="0"/>
        <v>1100</v>
      </c>
      <c r="C54" s="21">
        <f ca="1">IF(A54="","",IF($B$8="Sí",interpolar_alamb(B54,OFFSET(Curvas_cupon_cero!$A$1,1,0,COUNT(Curvas_cupon_cero!$A:$A)-2,1),OFFSET(Curvas_cupon_cero!$A$1,1,MATCH($B$7,Curvas_cupon_cero!$1:$1,0)-1,COUNT(Curvas_cupon_cero!$A:$A)-2,1)),[1]!interpolar(B54,OFFSET(Curvas_cupon_cero!$A$1,1,0,COUNT(Curvas_cupon_cero!$A:$A)-2,1),OFFSET(Curvas_cupon_cero!$A$1,1,MATCH($B$7,Curvas_cupon_cero!$1:$1,0)-1,COUNT(Curvas_cupon_cero!$A:$A)-2,1))))</f>
        <v>7.9474201176542275E-2</v>
      </c>
      <c r="D54" s="23">
        <f ca="1">IF(A54="","",IF($B$8="Sí",interpolar_alamb(H54,OFFSET(Curvas_cupon_cero!$A$1,1,0,COUNT(Curvas_cupon_cero!$A:$A)-2,1),OFFSET(Curvas_cupon_cero!$A$1,1,MATCH($B$7,Curvas_cupon_cero!$1:$1,0)-1,COUNT(Curvas_cupon_cero!$A:$A)-2,1)),[1]!interpolar(H54,OFFSET(Curvas_cupon_cero!$A$1,1,0,COUNT(Curvas_cupon_cero!$A:$A)-2,1),OFFSET(Curvas_cupon_cero!$A$1,1,MATCH($B$7,Curvas_cupon_cero!$1:$1,0)-1,COUNT(Curvas_cupon_cero!$A:$A)-2,1))))</f>
        <v>7.9376477401653892E-2</v>
      </c>
      <c r="E54" s="23">
        <f t="shared" ca="1" si="3"/>
        <v>6.0778105443876233E-2</v>
      </c>
      <c r="F54" s="17">
        <f t="shared" ca="1" si="1"/>
        <v>4727.1859789681512</v>
      </c>
      <c r="G54" s="18">
        <f t="shared" si="4"/>
        <v>28</v>
      </c>
      <c r="H54">
        <f t="shared" si="5"/>
        <v>1128</v>
      </c>
      <c r="I54" s="23">
        <f ca="1">IF(A54="","",IF($B$8="Sí",interpolar_alamb(H54,OFFSET(Curvas_cupon_cero!$A$1,1,0,COUNT(Curvas_cupon_cero!$A:$A)-2,1),OFFSET(Curvas_cupon_cero!$A$1,1,MATCH($B$6,Curvas_cupon_cero!$1:$1,0)-1,COUNT(Curvas_cupon_cero!$A:$A)-2,1)),[1]!interpolar(H54,OFFSET(Curvas_cupon_cero!$A$1,1,0,COUNT(Curvas_cupon_cero!$A:$A)-2,1),OFFSET(Curvas_cupon_cero!$A$1,1,MATCH($B$6,Curvas_cupon_cero!$1:$1,0)-1,COUNT(Curvas_cupon_cero!$A:$A)-2,1))))</f>
        <v>8.577894141650047E-2</v>
      </c>
      <c r="J54" s="19">
        <f ca="1">IF(A54="","",F54/(1+I54*$B$5/360)^(COUNT(A$16:A54)-($B$5-$G$16)/$B$5))</f>
        <v>3647.3398949767015</v>
      </c>
    </row>
    <row r="55" spans="1:10" x14ac:dyDescent="0.2">
      <c r="A55" s="12">
        <f t="shared" si="2"/>
        <v>44436</v>
      </c>
      <c r="B55">
        <f t="shared" si="0"/>
        <v>1128</v>
      </c>
      <c r="C55" s="21">
        <f ca="1">IF(A55="","",IF($B$8="Sí",interpolar_alamb(B55,OFFSET(Curvas_cupon_cero!$A$1,1,0,COUNT(Curvas_cupon_cero!$A:$A)-2,1),OFFSET(Curvas_cupon_cero!$A$1,1,MATCH($B$7,Curvas_cupon_cero!$1:$1,0)-1,COUNT(Curvas_cupon_cero!$A:$A)-2,1)),[1]!interpolar(B55,OFFSET(Curvas_cupon_cero!$A$1,1,0,COUNT(Curvas_cupon_cero!$A:$A)-2,1),OFFSET(Curvas_cupon_cero!$A$1,1,MATCH($B$7,Curvas_cupon_cero!$1:$1,0)-1,COUNT(Curvas_cupon_cero!$A:$A)-2,1))))</f>
        <v>7.9376477401653892E-2</v>
      </c>
      <c r="D55" s="23">
        <f ca="1">IF(A55="","",IF($B$8="Sí",interpolar_alamb(H55,OFFSET(Curvas_cupon_cero!$A$1,1,0,COUNT(Curvas_cupon_cero!$A:$A)-2,1),OFFSET(Curvas_cupon_cero!$A$1,1,MATCH($B$7,Curvas_cupon_cero!$1:$1,0)-1,COUNT(Curvas_cupon_cero!$A:$A)-2,1)),[1]!interpolar(H55,OFFSET(Curvas_cupon_cero!$A$1,1,0,COUNT(Curvas_cupon_cero!$A:$A)-2,1),OFFSET(Curvas_cupon_cero!$A$1,1,MATCH($B$7,Curvas_cupon_cero!$1:$1,0)-1,COUNT(Curvas_cupon_cero!$A:$A)-2,1))))</f>
        <v>7.9292136622854142E-2</v>
      </c>
      <c r="E55" s="23">
        <f t="shared" ca="1" si="3"/>
        <v>6.0778105443876233E-2</v>
      </c>
      <c r="F55" s="17">
        <f t="shared" ca="1" si="1"/>
        <v>4727.1859789681512</v>
      </c>
      <c r="G55" s="18">
        <f t="shared" si="4"/>
        <v>28</v>
      </c>
      <c r="H55">
        <f t="shared" si="5"/>
        <v>1156</v>
      </c>
      <c r="I55" s="23">
        <f ca="1">IF(A55="","",IF($B$8="Sí",interpolar_alamb(H55,OFFSET(Curvas_cupon_cero!$A$1,1,0,COUNT(Curvas_cupon_cero!$A:$A)-2,1),OFFSET(Curvas_cupon_cero!$A$1,1,MATCH($B$6,Curvas_cupon_cero!$1:$1,0)-1,COUNT(Curvas_cupon_cero!$A:$A)-2,1)),[1]!interpolar(H55,OFFSET(Curvas_cupon_cero!$A$1,1,0,COUNT(Curvas_cupon_cero!$A:$A)-2,1),OFFSET(Curvas_cupon_cero!$A$1,1,MATCH($B$6,Curvas_cupon_cero!$1:$1,0)-1,COUNT(Curvas_cupon_cero!$A:$A)-2,1))))</f>
        <v>8.6024761750981268E-2</v>
      </c>
      <c r="J55" s="19">
        <f ca="1">IF(A55="","",F55/(1+I55*$B$5/360)^(COUNT(A$16:A55)-($B$5-$G$16)/$B$5))</f>
        <v>3620.4157567842144</v>
      </c>
    </row>
    <row r="56" spans="1:10" x14ac:dyDescent="0.2">
      <c r="A56" s="12">
        <f t="shared" si="2"/>
        <v>44464</v>
      </c>
      <c r="B56">
        <f t="shared" si="0"/>
        <v>1156</v>
      </c>
      <c r="C56" s="21">
        <f ca="1">IF(A56="","",IF($B$8="Sí",interpolar_alamb(B56,OFFSET(Curvas_cupon_cero!$A$1,1,0,COUNT(Curvas_cupon_cero!$A:$A)-2,1),OFFSET(Curvas_cupon_cero!$A$1,1,MATCH($B$7,Curvas_cupon_cero!$1:$1,0)-1,COUNT(Curvas_cupon_cero!$A:$A)-2,1)),[1]!interpolar(B56,OFFSET(Curvas_cupon_cero!$A$1,1,0,COUNT(Curvas_cupon_cero!$A:$A)-2,1),OFFSET(Curvas_cupon_cero!$A$1,1,MATCH($B$7,Curvas_cupon_cero!$1:$1,0)-1,COUNT(Curvas_cupon_cero!$A:$A)-2,1))))</f>
        <v>7.9292136622854142E-2</v>
      </c>
      <c r="D56" s="23">
        <f ca="1">IF(A56="","",IF($B$8="Sí",interpolar_alamb(H56,OFFSET(Curvas_cupon_cero!$A$1,1,0,COUNT(Curvas_cupon_cero!$A:$A)-2,1),OFFSET(Curvas_cupon_cero!$A$1,1,MATCH($B$7,Curvas_cupon_cero!$1:$1,0)-1,COUNT(Curvas_cupon_cero!$A:$A)-2,1)),[1]!interpolar(H56,OFFSET(Curvas_cupon_cero!$A$1,1,0,COUNT(Curvas_cupon_cero!$A:$A)-2,1),OFFSET(Curvas_cupon_cero!$A$1,1,MATCH($B$7,Curvas_cupon_cero!$1:$1,0)-1,COUNT(Curvas_cupon_cero!$A:$A)-2,1))))</f>
        <v>7.922026928924461E-2</v>
      </c>
      <c r="E56" s="23">
        <f t="shared" ca="1" si="3"/>
        <v>6.0778105443876233E-2</v>
      </c>
      <c r="F56" s="17">
        <f t="shared" ca="1" si="1"/>
        <v>4727.1859789681512</v>
      </c>
      <c r="G56" s="18">
        <f t="shared" si="4"/>
        <v>28</v>
      </c>
      <c r="H56">
        <f t="shared" si="5"/>
        <v>1184</v>
      </c>
      <c r="I56" s="23">
        <f ca="1">IF(A56="","",IF($B$8="Sí",interpolar_alamb(H56,OFFSET(Curvas_cupon_cero!$A$1,1,0,COUNT(Curvas_cupon_cero!$A:$A)-2,1),OFFSET(Curvas_cupon_cero!$A$1,1,MATCH($B$6,Curvas_cupon_cero!$1:$1,0)-1,COUNT(Curvas_cupon_cero!$A:$A)-2,1)),[1]!interpolar(H56,OFFSET(Curvas_cupon_cero!$A$1,1,0,COUNT(Curvas_cupon_cero!$A:$A)-2,1),OFFSET(Curvas_cupon_cero!$A$1,1,MATCH($B$6,Curvas_cupon_cero!$1:$1,0)-1,COUNT(Curvas_cupon_cero!$A:$A)-2,1))))</f>
        <v>8.6272295780041031E-2</v>
      </c>
      <c r="J56" s="19">
        <f ca="1">IF(A56="","",F56/(1+I56*$B$5/360)^(COUNT(A$16:A56)-($B$5-$G$16)/$B$5))</f>
        <v>3593.5344113177243</v>
      </c>
    </row>
    <row r="57" spans="1:10" x14ac:dyDescent="0.2">
      <c r="A57" s="12">
        <f t="shared" si="2"/>
        <v>44492</v>
      </c>
      <c r="B57">
        <f t="shared" si="0"/>
        <v>1184</v>
      </c>
      <c r="C57" s="21">
        <f ca="1">IF(A57="","",IF($B$8="Sí",interpolar_alamb(B57,OFFSET(Curvas_cupon_cero!$A$1,1,0,COUNT(Curvas_cupon_cero!$A:$A)-2,1),OFFSET(Curvas_cupon_cero!$A$1,1,MATCH($B$7,Curvas_cupon_cero!$1:$1,0)-1,COUNT(Curvas_cupon_cero!$A:$A)-2,1)),[1]!interpolar(B57,OFFSET(Curvas_cupon_cero!$A$1,1,0,COUNT(Curvas_cupon_cero!$A:$A)-2,1),OFFSET(Curvas_cupon_cero!$A$1,1,MATCH($B$7,Curvas_cupon_cero!$1:$1,0)-1,COUNT(Curvas_cupon_cero!$A:$A)-2,1))))</f>
        <v>7.922026928924461E-2</v>
      </c>
      <c r="D57" s="23">
        <f ca="1">IF(A57="","",IF($B$8="Sí",interpolar_alamb(H57,OFFSET(Curvas_cupon_cero!$A$1,1,0,COUNT(Curvas_cupon_cero!$A:$A)-2,1),OFFSET(Curvas_cupon_cero!$A$1,1,MATCH($B$7,Curvas_cupon_cero!$1:$1,0)-1,COUNT(Curvas_cupon_cero!$A:$A)-2,1)),[1]!interpolar(H57,OFFSET(Curvas_cupon_cero!$A$1,1,0,COUNT(Curvas_cupon_cero!$A:$A)-2,1),OFFSET(Curvas_cupon_cero!$A$1,1,MATCH($B$7,Curvas_cupon_cero!$1:$1,0)-1,COUNT(Curvas_cupon_cero!$A:$A)-2,1))))</f>
        <v>7.9160050085177819E-2</v>
      </c>
      <c r="E57" s="23">
        <f t="shared" ca="1" si="3"/>
        <v>6.0778105443876233E-2</v>
      </c>
      <c r="F57" s="17">
        <f t="shared" ca="1" si="1"/>
        <v>4727.1859789681512</v>
      </c>
      <c r="G57" s="18">
        <f t="shared" si="4"/>
        <v>28</v>
      </c>
      <c r="H57">
        <f t="shared" si="5"/>
        <v>1212</v>
      </c>
      <c r="I57" s="23">
        <f ca="1">IF(A57="","",IF($B$8="Sí",interpolar_alamb(H57,OFFSET(Curvas_cupon_cero!$A$1,1,0,COUNT(Curvas_cupon_cero!$A:$A)-2,1),OFFSET(Curvas_cupon_cero!$A$1,1,MATCH($B$6,Curvas_cupon_cero!$1:$1,0)-1,COUNT(Curvas_cupon_cero!$A:$A)-2,1)),[1]!interpolar(H57,OFFSET(Curvas_cupon_cero!$A$1,1,0,COUNT(Curvas_cupon_cero!$A:$A)-2,1),OFFSET(Curvas_cupon_cero!$A$1,1,MATCH($B$6,Curvas_cupon_cero!$1:$1,0)-1,COUNT(Curvas_cupon_cero!$A:$A)-2,1))))</f>
        <v>8.6521501368534467E-2</v>
      </c>
      <c r="J57" s="19">
        <f ca="1">IF(A57="","",F57/(1+I57*$B$5/360)^(COUNT(A$16:A57)-($B$5-$G$16)/$B$5))</f>
        <v>3566.6969413100232</v>
      </c>
    </row>
    <row r="58" spans="1:10" x14ac:dyDescent="0.2">
      <c r="A58" s="12">
        <f t="shared" si="2"/>
        <v>44520</v>
      </c>
      <c r="B58">
        <f t="shared" si="0"/>
        <v>1212</v>
      </c>
      <c r="C58" s="21">
        <f ca="1">IF(A58="","",IF($B$8="Sí",interpolar_alamb(B58,OFFSET(Curvas_cupon_cero!$A$1,1,0,COUNT(Curvas_cupon_cero!$A:$A)-2,1),OFFSET(Curvas_cupon_cero!$A$1,1,MATCH($B$7,Curvas_cupon_cero!$1:$1,0)-1,COUNT(Curvas_cupon_cero!$A:$A)-2,1)),[1]!interpolar(B58,OFFSET(Curvas_cupon_cero!$A$1,1,0,COUNT(Curvas_cupon_cero!$A:$A)-2,1),OFFSET(Curvas_cupon_cero!$A$1,1,MATCH($B$7,Curvas_cupon_cero!$1:$1,0)-1,COUNT(Curvas_cupon_cero!$A:$A)-2,1))))</f>
        <v>7.9160050085177819E-2</v>
      </c>
      <c r="D58" s="23">
        <f ca="1">IF(A58="","",IF($B$8="Sí",interpolar_alamb(H58,OFFSET(Curvas_cupon_cero!$A$1,1,0,COUNT(Curvas_cupon_cero!$A:$A)-2,1),OFFSET(Curvas_cupon_cero!$A$1,1,MATCH($B$7,Curvas_cupon_cero!$1:$1,0)-1,COUNT(Curvas_cupon_cero!$A:$A)-2,1)),[1]!interpolar(H58,OFFSET(Curvas_cupon_cero!$A$1,1,0,COUNT(Curvas_cupon_cero!$A:$A)-2,1),OFFSET(Curvas_cupon_cero!$A$1,1,MATCH($B$7,Curvas_cupon_cero!$1:$1,0)-1,COUNT(Curvas_cupon_cero!$A:$A)-2,1))))</f>
        <v>7.9110728420676402E-2</v>
      </c>
      <c r="E58" s="23">
        <f t="shared" ca="1" si="3"/>
        <v>6.0778105443873381E-2</v>
      </c>
      <c r="F58" s="17">
        <f t="shared" ca="1" si="1"/>
        <v>4727.1859789679293</v>
      </c>
      <c r="G58" s="18">
        <f t="shared" si="4"/>
        <v>28</v>
      </c>
      <c r="H58">
        <f t="shared" si="5"/>
        <v>1240</v>
      </c>
      <c r="I58" s="23">
        <f ca="1">IF(A58="","",IF($B$8="Sí",interpolar_alamb(H58,OFFSET(Curvas_cupon_cero!$A$1,1,0,COUNT(Curvas_cupon_cero!$A:$A)-2,1),OFFSET(Curvas_cupon_cero!$A$1,1,MATCH($B$6,Curvas_cupon_cero!$1:$1,0)-1,COUNT(Curvas_cupon_cero!$A:$A)-2,1)),[1]!interpolar(H58,OFFSET(Curvas_cupon_cero!$A$1,1,0,COUNT(Curvas_cupon_cero!$A:$A)-2,1),OFFSET(Curvas_cupon_cero!$A$1,1,MATCH($B$6,Curvas_cupon_cero!$1:$1,0)-1,COUNT(Curvas_cupon_cero!$A:$A)-2,1))))</f>
        <v>8.6772340627553207E-2</v>
      </c>
      <c r="J58" s="19">
        <f ca="1">IF(A58="","",F58/(1+I58*$B$5/360)^(COUNT(A$16:A58)-($B$5-$G$16)/$B$5))</f>
        <v>3539.9044327394572</v>
      </c>
    </row>
    <row r="59" spans="1:10" x14ac:dyDescent="0.2">
      <c r="A59" s="12">
        <f t="shared" si="2"/>
        <v>44548</v>
      </c>
      <c r="B59">
        <f t="shared" si="0"/>
        <v>1240</v>
      </c>
      <c r="C59" s="21">
        <f ca="1">IF(A59="","",IF($B$8="Sí",interpolar_alamb(B59,OFFSET(Curvas_cupon_cero!$A$1,1,0,COUNT(Curvas_cupon_cero!$A:$A)-2,1),OFFSET(Curvas_cupon_cero!$A$1,1,MATCH($B$7,Curvas_cupon_cero!$1:$1,0)-1,COUNT(Curvas_cupon_cero!$A:$A)-2,1)),[1]!interpolar(B59,OFFSET(Curvas_cupon_cero!$A$1,1,0,COUNT(Curvas_cupon_cero!$A:$A)-2,1),OFFSET(Curvas_cupon_cero!$A$1,1,MATCH($B$7,Curvas_cupon_cero!$1:$1,0)-1,COUNT(Curvas_cupon_cero!$A:$A)-2,1))))</f>
        <v>7.9110728420676402E-2</v>
      </c>
      <c r="D59" s="23">
        <f ca="1">IF(A59="","",IF($B$8="Sí",interpolar_alamb(H59,OFFSET(Curvas_cupon_cero!$A$1,1,0,COUNT(Curvas_cupon_cero!$A:$A)-2,1),OFFSET(Curvas_cupon_cero!$A$1,1,MATCH($B$7,Curvas_cupon_cero!$1:$1,0)-1,COUNT(Curvas_cupon_cero!$A:$A)-2,1)),[1]!interpolar(H59,OFFSET(Curvas_cupon_cero!$A$1,1,0,COUNT(Curvas_cupon_cero!$A:$A)-2,1),OFFSET(Curvas_cupon_cero!$A$1,1,MATCH($B$7,Curvas_cupon_cero!$1:$1,0)-1,COUNT(Curvas_cupon_cero!$A:$A)-2,1))))</f>
        <v>7.9071620181802638E-2</v>
      </c>
      <c r="E59" s="23">
        <f t="shared" ca="1" si="3"/>
        <v>6.0778105443876233E-2</v>
      </c>
      <c r="F59" s="17">
        <f t="shared" ca="1" si="1"/>
        <v>4727.1859789681512</v>
      </c>
      <c r="G59" s="18">
        <f t="shared" si="4"/>
        <v>28</v>
      </c>
      <c r="H59">
        <f t="shared" si="5"/>
        <v>1268</v>
      </c>
      <c r="I59" s="23">
        <f ca="1">IF(A59="","",IF($B$8="Sí",interpolar_alamb(H59,OFFSET(Curvas_cupon_cero!$A$1,1,0,COUNT(Curvas_cupon_cero!$A:$A)-2,1),OFFSET(Curvas_cupon_cero!$A$1,1,MATCH($B$6,Curvas_cupon_cero!$1:$1,0)-1,COUNT(Curvas_cupon_cero!$A:$A)-2,1)),[1]!interpolar(H59,OFFSET(Curvas_cupon_cero!$A$1,1,0,COUNT(Curvas_cupon_cero!$A:$A)-2,1),OFFSET(Curvas_cupon_cero!$A$1,1,MATCH($B$6,Curvas_cupon_cero!$1:$1,0)-1,COUNT(Curvas_cupon_cero!$A:$A)-2,1))))</f>
        <v>8.7024779448132042E-2</v>
      </c>
      <c r="J59" s="19">
        <f ca="1">IF(A59="","",F59/(1+I59*$B$5/360)^(COUNT(A$16:A59)-($B$5-$G$16)/$B$5))</f>
        <v>3513.1579744682999</v>
      </c>
    </row>
    <row r="60" spans="1:10" x14ac:dyDescent="0.2">
      <c r="A60" s="12">
        <f t="shared" si="2"/>
        <v>44576</v>
      </c>
      <c r="B60">
        <f t="shared" si="0"/>
        <v>1268</v>
      </c>
      <c r="C60" s="21">
        <f ca="1">IF(A60="","",IF($B$8="Sí",interpolar_alamb(B60,OFFSET(Curvas_cupon_cero!$A$1,1,0,COUNT(Curvas_cupon_cero!$A:$A)-2,1),OFFSET(Curvas_cupon_cero!$A$1,1,MATCH($B$7,Curvas_cupon_cero!$1:$1,0)-1,COUNT(Curvas_cupon_cero!$A:$A)-2,1)),[1]!interpolar(B60,OFFSET(Curvas_cupon_cero!$A$1,1,0,COUNT(Curvas_cupon_cero!$A:$A)-2,1),OFFSET(Curvas_cupon_cero!$A$1,1,MATCH($B$7,Curvas_cupon_cero!$1:$1,0)-1,COUNT(Curvas_cupon_cero!$A:$A)-2,1))))</f>
        <v>7.9071620181802638E-2</v>
      </c>
      <c r="D60" s="23">
        <f ca="1">IF(A60="","",IF($B$8="Sí",interpolar_alamb(H60,OFFSET(Curvas_cupon_cero!$A$1,1,0,COUNT(Curvas_cupon_cero!$A:$A)-2,1),OFFSET(Curvas_cupon_cero!$A$1,1,MATCH($B$7,Curvas_cupon_cero!$1:$1,0)-1,COUNT(Curvas_cupon_cero!$A:$A)-2,1)),[1]!interpolar(H60,OFFSET(Curvas_cupon_cero!$A$1,1,0,COUNT(Curvas_cupon_cero!$A:$A)-2,1),OFFSET(Curvas_cupon_cero!$A$1,1,MATCH($B$7,Curvas_cupon_cero!$1:$1,0)-1,COUNT(Curvas_cupon_cero!$A:$A)-2,1))))</f>
        <v>7.9042100550426722E-2</v>
      </c>
      <c r="E60" s="23">
        <f t="shared" ca="1" si="3"/>
        <v>6.0778105443876233E-2</v>
      </c>
      <c r="F60" s="17">
        <f t="shared" ca="1" si="1"/>
        <v>4727.1859789681512</v>
      </c>
      <c r="G60" s="18">
        <f t="shared" si="4"/>
        <v>28</v>
      </c>
      <c r="H60">
        <f t="shared" si="5"/>
        <v>1296</v>
      </c>
      <c r="I60" s="23">
        <f ca="1">IF(A60="","",IF($B$8="Sí",interpolar_alamb(H60,OFFSET(Curvas_cupon_cero!$A$1,1,0,COUNT(Curvas_cupon_cero!$A:$A)-2,1),OFFSET(Curvas_cupon_cero!$A$1,1,MATCH($B$6,Curvas_cupon_cero!$1:$1,0)-1,COUNT(Curvas_cupon_cero!$A:$A)-2,1)),[1]!interpolar(H60,OFFSET(Curvas_cupon_cero!$A$1,1,0,COUNT(Curvas_cupon_cero!$A:$A)-2,1),OFFSET(Curvas_cupon_cero!$A$1,1,MATCH($B$6,Curvas_cupon_cero!$1:$1,0)-1,COUNT(Curvas_cupon_cero!$A:$A)-2,1))))</f>
        <v>8.7278787095413896E-2</v>
      </c>
      <c r="J60" s="19">
        <f ca="1">IF(A60="","",F60/(1+I60*$B$5/360)^(COUNT(A$16:A60)-($B$5-$G$16)/$B$5))</f>
        <v>3486.45865790582</v>
      </c>
    </row>
    <row r="61" spans="1:10" x14ac:dyDescent="0.2">
      <c r="A61" s="12">
        <f t="shared" si="2"/>
        <v>44604</v>
      </c>
      <c r="B61">
        <f t="shared" si="0"/>
        <v>1296</v>
      </c>
      <c r="C61" s="21">
        <f ca="1">IF(A61="","",IF($B$8="Sí",interpolar_alamb(B61,OFFSET(Curvas_cupon_cero!$A$1,1,0,COUNT(Curvas_cupon_cero!$A:$A)-2,1),OFFSET(Curvas_cupon_cero!$A$1,1,MATCH($B$7,Curvas_cupon_cero!$1:$1,0)-1,COUNT(Curvas_cupon_cero!$A:$A)-2,1)),[1]!interpolar(B61,OFFSET(Curvas_cupon_cero!$A$1,1,0,COUNT(Curvas_cupon_cero!$A:$A)-2,1),OFFSET(Curvas_cupon_cero!$A$1,1,MATCH($B$7,Curvas_cupon_cero!$1:$1,0)-1,COUNT(Curvas_cupon_cero!$A:$A)-2,1))))</f>
        <v>7.9042100550426722E-2</v>
      </c>
      <c r="D61" s="23">
        <f ca="1">IF(A61="","",IF($B$8="Sí",interpolar_alamb(H61,OFFSET(Curvas_cupon_cero!$A$1,1,0,COUNT(Curvas_cupon_cero!$A:$A)-2,1),OFFSET(Curvas_cupon_cero!$A$1,1,MATCH($B$7,Curvas_cupon_cero!$1:$1,0)-1,COUNT(Curvas_cupon_cero!$A:$A)-2,1)),[1]!interpolar(H61,OFFSET(Curvas_cupon_cero!$A$1,1,0,COUNT(Curvas_cupon_cero!$A:$A)-2,1),OFFSET(Curvas_cupon_cero!$A$1,1,MATCH($B$7,Curvas_cupon_cero!$1:$1,0)-1,COUNT(Curvas_cupon_cero!$A:$A)-2,1))))</f>
        <v>7.9021597735086782E-2</v>
      </c>
      <c r="E61" s="23">
        <f t="shared" ca="1" si="3"/>
        <v>6.0778105443876233E-2</v>
      </c>
      <c r="F61" s="17">
        <f t="shared" ca="1" si="1"/>
        <v>4727.1859789681512</v>
      </c>
      <c r="G61" s="18">
        <f t="shared" si="4"/>
        <v>28</v>
      </c>
      <c r="H61">
        <f t="shared" si="5"/>
        <v>1324</v>
      </c>
      <c r="I61" s="23">
        <f ca="1">IF(A61="","",IF($B$8="Sí",interpolar_alamb(H61,OFFSET(Curvas_cupon_cero!$A$1,1,0,COUNT(Curvas_cupon_cero!$A:$A)-2,1),OFFSET(Curvas_cupon_cero!$A$1,1,MATCH($B$6,Curvas_cupon_cero!$1:$1,0)-1,COUNT(Curvas_cupon_cero!$A:$A)-2,1)),[1]!interpolar(H61,OFFSET(Curvas_cupon_cero!$A$1,1,0,COUNT(Curvas_cupon_cero!$A:$A)-2,1),OFFSET(Curvas_cupon_cero!$A$1,1,MATCH($B$6,Curvas_cupon_cero!$1:$1,0)-1,COUNT(Curvas_cupon_cero!$A:$A)-2,1))))</f>
        <v>8.7534335854326031E-2</v>
      </c>
      <c r="J61" s="19">
        <f ca="1">IF(A61="","",F61/(1+I61*$B$5/360)^(COUNT(A$16:A61)-($B$5-$G$16)/$B$5))</f>
        <v>3459.8075766973066</v>
      </c>
    </row>
    <row r="62" spans="1:10" x14ac:dyDescent="0.2">
      <c r="A62" s="12">
        <f t="shared" si="2"/>
        <v>44632</v>
      </c>
      <c r="B62">
        <f t="shared" si="0"/>
        <v>1324</v>
      </c>
      <c r="C62" s="21">
        <f ca="1">IF(A62="","",IF($B$8="Sí",interpolar_alamb(B62,OFFSET(Curvas_cupon_cero!$A$1,1,0,COUNT(Curvas_cupon_cero!$A:$A)-2,1),OFFSET(Curvas_cupon_cero!$A$1,1,MATCH($B$7,Curvas_cupon_cero!$1:$1,0)-1,COUNT(Curvas_cupon_cero!$A:$A)-2,1)),[1]!interpolar(B62,OFFSET(Curvas_cupon_cero!$A$1,1,0,COUNT(Curvas_cupon_cero!$A:$A)-2,1),OFFSET(Curvas_cupon_cero!$A$1,1,MATCH($B$7,Curvas_cupon_cero!$1:$1,0)-1,COUNT(Curvas_cupon_cero!$A:$A)-2,1))))</f>
        <v>7.9021597735086782E-2</v>
      </c>
      <c r="D62" s="23">
        <f ca="1">IF(A62="","",IF($B$8="Sí",interpolar_alamb(H62,OFFSET(Curvas_cupon_cero!$A$1,1,0,COUNT(Curvas_cupon_cero!$A:$A)-2,1),OFFSET(Curvas_cupon_cero!$A$1,1,MATCH($B$7,Curvas_cupon_cero!$1:$1,0)-1,COUNT(Curvas_cupon_cero!$A:$A)-2,1)),[1]!interpolar(H62,OFFSET(Curvas_cupon_cero!$A$1,1,0,COUNT(Curvas_cupon_cero!$A:$A)-2,1),OFFSET(Curvas_cupon_cero!$A$1,1,MATCH($B$7,Curvas_cupon_cero!$1:$1,0)-1,COUNT(Curvas_cupon_cero!$A:$A)-2,1))))</f>
        <v>7.900958748085761E-2</v>
      </c>
      <c r="E62" s="23">
        <f t="shared" ca="1" si="3"/>
        <v>6.0778105443876233E-2</v>
      </c>
      <c r="F62" s="17">
        <f t="shared" ca="1" si="1"/>
        <v>4727.1859789681512</v>
      </c>
      <c r="G62" s="18">
        <f t="shared" si="4"/>
        <v>28</v>
      </c>
      <c r="H62">
        <f t="shared" si="5"/>
        <v>1352</v>
      </c>
      <c r="I62" s="23">
        <f ca="1">IF(A62="","",IF($B$8="Sí",interpolar_alamb(H62,OFFSET(Curvas_cupon_cero!$A$1,1,0,COUNT(Curvas_cupon_cero!$A:$A)-2,1),OFFSET(Curvas_cupon_cero!$A$1,1,MATCH($B$6,Curvas_cupon_cero!$1:$1,0)-1,COUNT(Curvas_cupon_cero!$A:$A)-2,1)),[1]!interpolar(H62,OFFSET(Curvas_cupon_cero!$A$1,1,0,COUNT(Curvas_cupon_cero!$A:$A)-2,1),OFFSET(Curvas_cupon_cero!$A$1,1,MATCH($B$6,Curvas_cupon_cero!$1:$1,0)-1,COUNT(Curvas_cupon_cero!$A:$A)-2,1))))</f>
        <v>8.779140071929821E-2</v>
      </c>
      <c r="J62" s="19">
        <f ca="1">IF(A62="","",F62/(1+I62*$B$5/360)^(COUNT(A$16:A62)-($B$5-$G$16)/$B$5))</f>
        <v>3433.2058264295133</v>
      </c>
    </row>
    <row r="63" spans="1:10" x14ac:dyDescent="0.2">
      <c r="A63" s="12">
        <f t="shared" si="2"/>
        <v>44660</v>
      </c>
      <c r="B63">
        <f t="shared" si="0"/>
        <v>1352</v>
      </c>
      <c r="C63" s="21">
        <f ca="1">IF(A63="","",IF($B$8="Sí",interpolar_alamb(B63,OFFSET(Curvas_cupon_cero!$A$1,1,0,COUNT(Curvas_cupon_cero!$A:$A)-2,1),OFFSET(Curvas_cupon_cero!$A$1,1,MATCH($B$7,Curvas_cupon_cero!$1:$1,0)-1,COUNT(Curvas_cupon_cero!$A:$A)-2,1)),[1]!interpolar(B63,OFFSET(Curvas_cupon_cero!$A$1,1,0,COUNT(Curvas_cupon_cero!$A:$A)-2,1),OFFSET(Curvas_cupon_cero!$A$1,1,MATCH($B$7,Curvas_cupon_cero!$1:$1,0)-1,COUNT(Curvas_cupon_cero!$A:$A)-2,1))))</f>
        <v>7.900958748085761E-2</v>
      </c>
      <c r="D63" s="23">
        <f ca="1">IF(A63="","",IF($B$8="Sí",interpolar_alamb(H63,OFFSET(Curvas_cupon_cero!$A$1,1,0,COUNT(Curvas_cupon_cero!$A:$A)-2,1),OFFSET(Curvas_cupon_cero!$A$1,1,MATCH($B$7,Curvas_cupon_cero!$1:$1,0)-1,COUNT(Curvas_cupon_cero!$A:$A)-2,1)),[1]!interpolar(H63,OFFSET(Curvas_cupon_cero!$A$1,1,0,COUNT(Curvas_cupon_cero!$A:$A)-2,1),OFFSET(Curvas_cupon_cero!$A$1,1,MATCH($B$7,Curvas_cupon_cero!$1:$1,0)-1,COUNT(Curvas_cupon_cero!$A:$A)-2,1))))</f>
        <v>7.9005588247587064E-2</v>
      </c>
      <c r="E63" s="23">
        <f t="shared" ca="1" si="3"/>
        <v>6.0778105443876233E-2</v>
      </c>
      <c r="F63" s="17">
        <f t="shared" ca="1" si="1"/>
        <v>4727.1859789681512</v>
      </c>
      <c r="G63" s="18">
        <f t="shared" si="4"/>
        <v>28</v>
      </c>
      <c r="H63">
        <f t="shared" si="5"/>
        <v>1380</v>
      </c>
      <c r="I63" s="23">
        <f ca="1">IF(A63="","",IF($B$8="Sí",interpolar_alamb(H63,OFFSET(Curvas_cupon_cero!$A$1,1,0,COUNT(Curvas_cupon_cero!$A:$A)-2,1),OFFSET(Curvas_cupon_cero!$A$1,1,MATCH($B$6,Curvas_cupon_cero!$1:$1,0)-1,COUNT(Curvas_cupon_cero!$A:$A)-2,1)),[1]!interpolar(H63,OFFSET(Curvas_cupon_cero!$A$1,1,0,COUNT(Curvas_cupon_cero!$A:$A)-2,1),OFFSET(Curvas_cupon_cero!$A$1,1,MATCH($B$6,Curvas_cupon_cero!$1:$1,0)-1,COUNT(Curvas_cupon_cero!$A:$A)-2,1))))</f>
        <v>8.8049959121768342E-2</v>
      </c>
      <c r="J63" s="19">
        <f ca="1">IF(A63="","",F63/(1+I63*$B$5/360)^(COUNT(A$16:A63)-($B$5-$G$16)/$B$5))</f>
        <v>3406.6545043538426</v>
      </c>
    </row>
    <row r="64" spans="1:10" x14ac:dyDescent="0.2">
      <c r="A64" s="12">
        <f t="shared" si="2"/>
        <v>44688</v>
      </c>
      <c r="B64">
        <f t="shared" si="0"/>
        <v>1380</v>
      </c>
      <c r="C64" s="21">
        <f ca="1">IF(A64="","",IF($B$8="Sí",interpolar_alamb(B64,OFFSET(Curvas_cupon_cero!$A$1,1,0,COUNT(Curvas_cupon_cero!$A:$A)-2,1),OFFSET(Curvas_cupon_cero!$A$1,1,MATCH($B$7,Curvas_cupon_cero!$1:$1,0)-1,COUNT(Curvas_cupon_cero!$A:$A)-2,1)),[1]!interpolar(B64,OFFSET(Curvas_cupon_cero!$A$1,1,0,COUNT(Curvas_cupon_cero!$A:$A)-2,1),OFFSET(Curvas_cupon_cero!$A$1,1,MATCH($B$7,Curvas_cupon_cero!$1:$1,0)-1,COUNT(Curvas_cupon_cero!$A:$A)-2,1))))</f>
        <v>7.9005588247587064E-2</v>
      </c>
      <c r="D64" s="23">
        <f ca="1">IF(A64="","",IF($B$8="Sí",interpolar_alamb(H64,OFFSET(Curvas_cupon_cero!$A$1,1,0,COUNT(Curvas_cupon_cero!$A:$A)-2,1),OFFSET(Curvas_cupon_cero!$A$1,1,MATCH($B$7,Curvas_cupon_cero!$1:$1,0)-1,COUNT(Curvas_cupon_cero!$A:$A)-2,1)),[1]!interpolar(H64,OFFSET(Curvas_cupon_cero!$A$1,1,0,COUNT(Curvas_cupon_cero!$A:$A)-2,1),OFFSET(Curvas_cupon_cero!$A$1,1,MATCH($B$7,Curvas_cupon_cero!$1:$1,0)-1,COUNT(Curvas_cupon_cero!$A:$A)-2,1))))</f>
        <v>7.9009156963460198E-2</v>
      </c>
      <c r="E64" s="23">
        <f t="shared" ca="1" si="3"/>
        <v>6.0778105443876233E-2</v>
      </c>
      <c r="F64" s="17">
        <f t="shared" ca="1" si="1"/>
        <v>4727.1859789681512</v>
      </c>
      <c r="G64" s="18">
        <f t="shared" si="4"/>
        <v>28</v>
      </c>
      <c r="H64">
        <f t="shared" si="5"/>
        <v>1408</v>
      </c>
      <c r="I64" s="23">
        <f ca="1">IF(A64="","",IF($B$8="Sí",interpolar_alamb(H64,OFFSET(Curvas_cupon_cero!$A$1,1,0,COUNT(Curvas_cupon_cero!$A:$A)-2,1),OFFSET(Curvas_cupon_cero!$A$1,1,MATCH($B$6,Curvas_cupon_cero!$1:$1,0)-1,COUNT(Curvas_cupon_cero!$A:$A)-2,1)),[1]!interpolar(H64,OFFSET(Curvas_cupon_cero!$A$1,1,0,COUNT(Curvas_cupon_cero!$A:$A)-2,1),OFFSET(Curvas_cupon_cero!$A$1,1,MATCH($B$6,Curvas_cupon_cero!$1:$1,0)-1,COUNT(Curvas_cupon_cero!$A:$A)-2,1))))</f>
        <v>8.8309990690215473E-2</v>
      </c>
      <c r="J64" s="19">
        <f ca="1">IF(A64="","",F64/(1+I64*$B$5/360)^(COUNT(A$16:A64)-($B$5-$G$16)/$B$5))</f>
        <v>3380.1547091224143</v>
      </c>
    </row>
    <row r="65" spans="1:10" x14ac:dyDescent="0.2">
      <c r="A65" s="12">
        <f t="shared" si="2"/>
        <v>44716</v>
      </c>
      <c r="B65">
        <f t="shared" si="0"/>
        <v>1408</v>
      </c>
      <c r="C65" s="21">
        <f ca="1">IF(A65="","",IF($B$8="Sí",interpolar_alamb(B65,OFFSET(Curvas_cupon_cero!$A$1,1,0,COUNT(Curvas_cupon_cero!$A:$A)-2,1),OFFSET(Curvas_cupon_cero!$A$1,1,MATCH($B$7,Curvas_cupon_cero!$1:$1,0)-1,COUNT(Curvas_cupon_cero!$A:$A)-2,1)),[1]!interpolar(B65,OFFSET(Curvas_cupon_cero!$A$1,1,0,COUNT(Curvas_cupon_cero!$A:$A)-2,1),OFFSET(Curvas_cupon_cero!$A$1,1,MATCH($B$7,Curvas_cupon_cero!$1:$1,0)-1,COUNT(Curvas_cupon_cero!$A:$A)-2,1))))</f>
        <v>7.9009156963460198E-2</v>
      </c>
      <c r="D65" s="23">
        <f ca="1">IF(A65="","",IF($B$8="Sí",interpolar_alamb(H65,OFFSET(Curvas_cupon_cero!$A$1,1,0,COUNT(Curvas_cupon_cero!$A:$A)-2,1),OFFSET(Curvas_cupon_cero!$A$1,1,MATCH($B$7,Curvas_cupon_cero!$1:$1,0)-1,COUNT(Curvas_cupon_cero!$A:$A)-2,1)),[1]!interpolar(H65,OFFSET(Curvas_cupon_cero!$A$1,1,0,COUNT(Curvas_cupon_cero!$A:$A)-2,1),OFFSET(Curvas_cupon_cero!$A$1,1,MATCH($B$7,Curvas_cupon_cero!$1:$1,0)-1,COUNT(Curvas_cupon_cero!$A:$A)-2,1))))</f>
        <v>7.9019885275364479E-2</v>
      </c>
      <c r="E65" s="23">
        <f t="shared" ca="1" si="3"/>
        <v>6.0778105443873381E-2</v>
      </c>
      <c r="F65" s="17">
        <f t="shared" ca="1" si="1"/>
        <v>4727.1859789679293</v>
      </c>
      <c r="G65" s="18">
        <f t="shared" si="4"/>
        <v>28</v>
      </c>
      <c r="H65">
        <f t="shared" si="5"/>
        <v>1436</v>
      </c>
      <c r="I65" s="23">
        <f ca="1">IF(A65="","",IF($B$8="Sí",interpolar_alamb(H65,OFFSET(Curvas_cupon_cero!$A$1,1,0,COUNT(Curvas_cupon_cero!$A:$A)-2,1),OFFSET(Curvas_cupon_cero!$A$1,1,MATCH($B$6,Curvas_cupon_cero!$1:$1,0)-1,COUNT(Curvas_cupon_cero!$A:$A)-2,1)),[1]!interpolar(H65,OFFSET(Curvas_cupon_cero!$A$1,1,0,COUNT(Curvas_cupon_cero!$A:$A)-2,1),OFFSET(Curvas_cupon_cero!$A$1,1,MATCH($B$6,Curvas_cupon_cero!$1:$1,0)-1,COUNT(Curvas_cupon_cero!$A:$A)-2,1))))</f>
        <v>8.8571477038280083E-2</v>
      </c>
      <c r="J65" s="19">
        <f ca="1">IF(A65="","",F65/(1+I65*$B$5/360)^(COUNT(A$16:A65)-($B$5-$G$16)/$B$5))</f>
        <v>3353.7075405362702</v>
      </c>
    </row>
    <row r="66" spans="1:10" x14ac:dyDescent="0.2">
      <c r="A66" s="12">
        <f t="shared" si="2"/>
        <v>44744</v>
      </c>
      <c r="B66">
        <f t="shared" si="0"/>
        <v>1436</v>
      </c>
      <c r="C66" s="21">
        <f ca="1">IF(A66="","",IF($B$8="Sí",interpolar_alamb(B66,OFFSET(Curvas_cupon_cero!$A$1,1,0,COUNT(Curvas_cupon_cero!$A:$A)-2,1),OFFSET(Curvas_cupon_cero!$A$1,1,MATCH($B$7,Curvas_cupon_cero!$1:$1,0)-1,COUNT(Curvas_cupon_cero!$A:$A)-2,1)),[1]!interpolar(B66,OFFSET(Curvas_cupon_cero!$A$1,1,0,COUNT(Curvas_cupon_cero!$A:$A)-2,1),OFFSET(Curvas_cupon_cero!$A$1,1,MATCH($B$7,Curvas_cupon_cero!$1:$1,0)-1,COUNT(Curvas_cupon_cero!$A:$A)-2,1))))</f>
        <v>7.9019885275364479E-2</v>
      </c>
      <c r="D66" s="23">
        <f ca="1">IF(A66="","",IF($B$8="Sí",interpolar_alamb(H66,OFFSET(Curvas_cupon_cero!$A$1,1,0,COUNT(Curvas_cupon_cero!$A:$A)-2,1),OFFSET(Curvas_cupon_cero!$A$1,1,MATCH($B$7,Curvas_cupon_cero!$1:$1,0)-1,COUNT(Curvas_cupon_cero!$A:$A)-2,1)),[1]!interpolar(H66,OFFSET(Curvas_cupon_cero!$A$1,1,0,COUNT(Curvas_cupon_cero!$A:$A)-2,1),OFFSET(Curvas_cupon_cero!$A$1,1,MATCH($B$7,Curvas_cupon_cero!$1:$1,0)-1,COUNT(Curvas_cupon_cero!$A:$A)-2,1))))</f>
        <v>7.8977982688653942E-2</v>
      </c>
      <c r="E66" s="23">
        <f t="shared" ca="1" si="3"/>
        <v>5.8416125683654146E-2</v>
      </c>
      <c r="F66" s="17">
        <f t="shared" ca="1" si="1"/>
        <v>4543.4764420619886</v>
      </c>
      <c r="G66" s="18">
        <f t="shared" si="4"/>
        <v>28</v>
      </c>
      <c r="H66">
        <f t="shared" si="5"/>
        <v>1464</v>
      </c>
      <c r="I66" s="23">
        <f ca="1">IF(A66="","",IF($B$8="Sí",interpolar_alamb(H66,OFFSET(Curvas_cupon_cero!$A$1,1,0,COUNT(Curvas_cupon_cero!$A:$A)-2,1),OFFSET(Curvas_cupon_cero!$A$1,1,MATCH($B$6,Curvas_cupon_cero!$1:$1,0)-1,COUNT(Curvas_cupon_cero!$A:$A)-2,1)),[1]!interpolar(H66,OFFSET(Curvas_cupon_cero!$A$1,1,0,COUNT(Curvas_cupon_cero!$A:$A)-2,1),OFFSET(Curvas_cupon_cero!$A$1,1,MATCH($B$6,Curvas_cupon_cero!$1:$1,0)-1,COUNT(Curvas_cupon_cero!$A:$A)-2,1))))</f>
        <v>8.882118577192219E-2</v>
      </c>
      <c r="J66" s="19">
        <f ca="1">IF(A66="","",F66/(1+I66*$B$5/360)^(COUNT(A$16:A66)-($B$5-$G$16)/$B$5))</f>
        <v>3198.1733698432727</v>
      </c>
    </row>
    <row r="67" spans="1:10" x14ac:dyDescent="0.2">
      <c r="A67" s="12">
        <f t="shared" si="2"/>
        <v>44772</v>
      </c>
      <c r="B67">
        <f t="shared" si="0"/>
        <v>1464</v>
      </c>
      <c r="C67" s="21">
        <f ca="1">IF(A67="","",IF($B$8="Sí",interpolar_alamb(B67,OFFSET(Curvas_cupon_cero!$A$1,1,0,COUNT(Curvas_cupon_cero!$A:$A)-2,1),OFFSET(Curvas_cupon_cero!$A$1,1,MATCH($B$7,Curvas_cupon_cero!$1:$1,0)-1,COUNT(Curvas_cupon_cero!$A:$A)-2,1)),[1]!interpolar(B67,OFFSET(Curvas_cupon_cero!$A$1,1,0,COUNT(Curvas_cupon_cero!$A:$A)-2,1),OFFSET(Curvas_cupon_cero!$A$1,1,MATCH($B$7,Curvas_cupon_cero!$1:$1,0)-1,COUNT(Curvas_cupon_cero!$A:$A)-2,1))))</f>
        <v>7.8977982688653942E-2</v>
      </c>
      <c r="D67" s="23">
        <f ca="1">IF(A67="","",IF($B$8="Sí",interpolar_alamb(H67,OFFSET(Curvas_cupon_cero!$A$1,1,0,COUNT(Curvas_cupon_cero!$A:$A)-2,1),OFFSET(Curvas_cupon_cero!$A$1,1,MATCH($B$7,Curvas_cupon_cero!$1:$1,0)-1,COUNT(Curvas_cupon_cero!$A:$A)-2,1)),[1]!interpolar(H67,OFFSET(Curvas_cupon_cero!$A$1,1,0,COUNT(Curvas_cupon_cero!$A:$A)-2,1),OFFSET(Curvas_cupon_cero!$A$1,1,MATCH($B$7,Curvas_cupon_cero!$1:$1,0)-1,COUNT(Curvas_cupon_cero!$A:$A)-2,1))))</f>
        <v>7.893444424818849E-2</v>
      </c>
      <c r="E67" s="23">
        <f t="shared" ca="1" si="3"/>
        <v>5.8022504380428018E-2</v>
      </c>
      <c r="F67" s="17">
        <f t="shared" ca="1" si="1"/>
        <v>4512.8614518110689</v>
      </c>
      <c r="G67" s="18">
        <f t="shared" si="4"/>
        <v>28</v>
      </c>
      <c r="H67">
        <f t="shared" si="5"/>
        <v>1492</v>
      </c>
      <c r="I67" s="23">
        <f ca="1">IF(A67="","",IF($B$8="Sí",interpolar_alamb(H67,OFFSET(Curvas_cupon_cero!$A$1,1,0,COUNT(Curvas_cupon_cero!$A:$A)-2,1),OFFSET(Curvas_cupon_cero!$A$1,1,MATCH($B$6,Curvas_cupon_cero!$1:$1,0)-1,COUNT(Curvas_cupon_cero!$A:$A)-2,1)),[1]!interpolar(H67,OFFSET(Curvas_cupon_cero!$A$1,1,0,COUNT(Curvas_cupon_cero!$A:$A)-2,1),OFFSET(Curvas_cupon_cero!$A$1,1,MATCH($B$6,Curvas_cupon_cero!$1:$1,0)-1,COUNT(Curvas_cupon_cero!$A:$A)-2,1))))</f>
        <v>8.9070487903196258E-2</v>
      </c>
      <c r="J67" s="19">
        <f ca="1">IF(A67="","",F67/(1+I67*$B$5/360)^(COUNT(A$16:A67)-($B$5-$G$16)/$B$5))</f>
        <v>3151.6712501351558</v>
      </c>
    </row>
    <row r="68" spans="1:10" x14ac:dyDescent="0.2">
      <c r="A68" s="12">
        <f t="shared" si="2"/>
        <v>44800</v>
      </c>
      <c r="B68">
        <f t="shared" si="0"/>
        <v>1492</v>
      </c>
      <c r="C68" s="21">
        <f ca="1">IF(A68="","",IF($B$8="Sí",interpolar_alamb(B68,OFFSET(Curvas_cupon_cero!$A$1,1,0,COUNT(Curvas_cupon_cero!$A:$A)-2,1),OFFSET(Curvas_cupon_cero!$A$1,1,MATCH($B$7,Curvas_cupon_cero!$1:$1,0)-1,COUNT(Curvas_cupon_cero!$A:$A)-2,1)),[1]!interpolar(B68,OFFSET(Curvas_cupon_cero!$A$1,1,0,COUNT(Curvas_cupon_cero!$A:$A)-2,1),OFFSET(Curvas_cupon_cero!$A$1,1,MATCH($B$7,Curvas_cupon_cero!$1:$1,0)-1,COUNT(Curvas_cupon_cero!$A:$A)-2,1))))</f>
        <v>7.893444424818849E-2</v>
      </c>
      <c r="D68" s="23">
        <f ca="1">IF(A68="","",IF($B$8="Sí",interpolar_alamb(H68,OFFSET(Curvas_cupon_cero!$A$1,1,0,COUNT(Curvas_cupon_cero!$A:$A)-2,1),OFFSET(Curvas_cupon_cero!$A$1,1,MATCH($B$7,Curvas_cupon_cero!$1:$1,0)-1,COUNT(Curvas_cupon_cero!$A:$A)-2,1)),[1]!interpolar(H68,OFFSET(Curvas_cupon_cero!$A$1,1,0,COUNT(Curvas_cupon_cero!$A:$A)-2,1),OFFSET(Curvas_cupon_cero!$A$1,1,MATCH($B$7,Curvas_cupon_cero!$1:$1,0)-1,COUNT(Curvas_cupon_cero!$A:$A)-2,1))))</f>
        <v>7.8898882562674674E-2</v>
      </c>
      <c r="E68" s="23">
        <f t="shared" ca="1" si="3"/>
        <v>5.8022504380428018E-2</v>
      </c>
      <c r="F68" s="17">
        <f t="shared" ca="1" si="1"/>
        <v>4512.8614518110689</v>
      </c>
      <c r="G68" s="18">
        <f t="shared" si="4"/>
        <v>28</v>
      </c>
      <c r="H68">
        <f t="shared" si="5"/>
        <v>1520</v>
      </c>
      <c r="I68" s="23">
        <f ca="1">IF(A68="","",IF($B$8="Sí",interpolar_alamb(H68,OFFSET(Curvas_cupon_cero!$A$1,1,0,COUNT(Curvas_cupon_cero!$A:$A)-2,1),OFFSET(Curvas_cupon_cero!$A$1,1,MATCH($B$6,Curvas_cupon_cero!$1:$1,0)-1,COUNT(Curvas_cupon_cero!$A:$A)-2,1)),[1]!interpolar(H68,OFFSET(Curvas_cupon_cero!$A$1,1,0,COUNT(Curvas_cupon_cero!$A:$A)-2,1),OFFSET(Curvas_cupon_cero!$A$1,1,MATCH($B$6,Curvas_cupon_cero!$1:$1,0)-1,COUNT(Curvas_cupon_cero!$A:$A)-2,1))))</f>
        <v>8.9321578682750827E-2</v>
      </c>
      <c r="J68" s="19">
        <f ca="1">IF(A68="","",F68/(1+I68*$B$5/360)^(COUNT(A$16:A68)-($B$5-$G$16)/$B$5))</f>
        <v>3126.7718940438895</v>
      </c>
    </row>
    <row r="69" spans="1:10" x14ac:dyDescent="0.2">
      <c r="A69" s="12">
        <f t="shared" si="2"/>
        <v>44828</v>
      </c>
      <c r="B69">
        <f t="shared" si="0"/>
        <v>1520</v>
      </c>
      <c r="C69" s="21">
        <f ca="1">IF(A69="","",IF($B$8="Sí",interpolar_alamb(B69,OFFSET(Curvas_cupon_cero!$A$1,1,0,COUNT(Curvas_cupon_cero!$A:$A)-2,1),OFFSET(Curvas_cupon_cero!$A$1,1,MATCH($B$7,Curvas_cupon_cero!$1:$1,0)-1,COUNT(Curvas_cupon_cero!$A:$A)-2,1)),[1]!interpolar(B69,OFFSET(Curvas_cupon_cero!$A$1,1,0,COUNT(Curvas_cupon_cero!$A:$A)-2,1),OFFSET(Curvas_cupon_cero!$A$1,1,MATCH($B$7,Curvas_cupon_cero!$1:$1,0)-1,COUNT(Curvas_cupon_cero!$A:$A)-2,1))))</f>
        <v>7.8898882562674674E-2</v>
      </c>
      <c r="D69" s="23">
        <f ca="1">IF(A69="","",IF($B$8="Sí",interpolar_alamb(H69,OFFSET(Curvas_cupon_cero!$A$1,1,0,COUNT(Curvas_cupon_cero!$A:$A)-2,1),OFFSET(Curvas_cupon_cero!$A$1,1,MATCH($B$7,Curvas_cupon_cero!$1:$1,0)-1,COUNT(Curvas_cupon_cero!$A:$A)-2,1)),[1]!interpolar(H69,OFFSET(Curvas_cupon_cero!$A$1,1,0,COUNT(Curvas_cupon_cero!$A:$A)-2,1),OFFSET(Curvas_cupon_cero!$A$1,1,MATCH($B$7,Curvas_cupon_cero!$1:$1,0)-1,COUNT(Curvas_cupon_cero!$A:$A)-2,1))))</f>
        <v>7.887089302389777E-2</v>
      </c>
      <c r="E69" s="23">
        <f t="shared" ca="1" si="3"/>
        <v>5.8022504380428018E-2</v>
      </c>
      <c r="F69" s="17">
        <f t="shared" ca="1" si="1"/>
        <v>4512.8614518110689</v>
      </c>
      <c r="G69" s="18">
        <f t="shared" si="4"/>
        <v>28</v>
      </c>
      <c r="H69">
        <f t="shared" si="5"/>
        <v>1548</v>
      </c>
      <c r="I69" s="23">
        <f ca="1">IF(A69="","",IF($B$8="Sí",interpolar_alamb(H69,OFFSET(Curvas_cupon_cero!$A$1,1,0,COUNT(Curvas_cupon_cero!$A:$A)-2,1),OFFSET(Curvas_cupon_cero!$A$1,1,MATCH($B$6,Curvas_cupon_cero!$1:$1,0)-1,COUNT(Curvas_cupon_cero!$A:$A)-2,1)),[1]!interpolar(H69,OFFSET(Curvas_cupon_cero!$A$1,1,0,COUNT(Curvas_cupon_cero!$A:$A)-2,1),OFFSET(Curvas_cupon_cero!$A$1,1,MATCH($B$6,Curvas_cupon_cero!$1:$1,0)-1,COUNT(Curvas_cupon_cero!$A:$A)-2,1))))</f>
        <v>8.9574423915400131E-2</v>
      </c>
      <c r="J69" s="19">
        <f ca="1">IF(A69="","",F69/(1+I69*$B$5/360)^(COUNT(A$16:A69)-($B$5-$G$16)/$B$5))</f>
        <v>3101.9262905942146</v>
      </c>
    </row>
    <row r="70" spans="1:10" x14ac:dyDescent="0.2">
      <c r="A70" s="12">
        <f t="shared" si="2"/>
        <v>44856</v>
      </c>
      <c r="B70">
        <f t="shared" si="0"/>
        <v>1548</v>
      </c>
      <c r="C70" s="21">
        <f ca="1">IF(A70="","",IF($B$8="Sí",interpolar_alamb(B70,OFFSET(Curvas_cupon_cero!$A$1,1,0,COUNT(Curvas_cupon_cero!$A:$A)-2,1),OFFSET(Curvas_cupon_cero!$A$1,1,MATCH($B$7,Curvas_cupon_cero!$1:$1,0)-1,COUNT(Curvas_cupon_cero!$A:$A)-2,1)),[1]!interpolar(B70,OFFSET(Curvas_cupon_cero!$A$1,1,0,COUNT(Curvas_cupon_cero!$A:$A)-2,1),OFFSET(Curvas_cupon_cero!$A$1,1,MATCH($B$7,Curvas_cupon_cero!$1:$1,0)-1,COUNT(Curvas_cupon_cero!$A:$A)-2,1))))</f>
        <v>7.887089302389777E-2</v>
      </c>
      <c r="D70" s="23">
        <f ca="1">IF(A70="","",IF($B$8="Sí",interpolar_alamb(H70,OFFSET(Curvas_cupon_cero!$A$1,1,0,COUNT(Curvas_cupon_cero!$A:$A)-2,1),OFFSET(Curvas_cupon_cero!$A$1,1,MATCH($B$7,Curvas_cupon_cero!$1:$1,0)-1,COUNT(Curvas_cupon_cero!$A:$A)-2,1)),[1]!interpolar(H70,OFFSET(Curvas_cupon_cero!$A$1,1,0,COUNT(Curvas_cupon_cero!$A:$A)-2,1),OFFSET(Curvas_cupon_cero!$A$1,1,MATCH($B$7,Curvas_cupon_cero!$1:$1,0)-1,COUNT(Curvas_cupon_cero!$A:$A)-2,1))))</f>
        <v>7.8850099902700602E-2</v>
      </c>
      <c r="E70" s="23">
        <f t="shared" ca="1" si="3"/>
        <v>5.8022504380428018E-2</v>
      </c>
      <c r="F70" s="17">
        <f t="shared" ca="1" si="1"/>
        <v>4512.8614518110689</v>
      </c>
      <c r="G70" s="18">
        <f t="shared" si="4"/>
        <v>28</v>
      </c>
      <c r="H70">
        <f t="shared" si="5"/>
        <v>1576</v>
      </c>
      <c r="I70" s="23">
        <f ca="1">IF(A70="","",IF($B$8="Sí",interpolar_alamb(H70,OFFSET(Curvas_cupon_cero!$A$1,1,0,COUNT(Curvas_cupon_cero!$A:$A)-2,1),OFFSET(Curvas_cupon_cero!$A$1,1,MATCH($B$6,Curvas_cupon_cero!$1:$1,0)-1,COUNT(Curvas_cupon_cero!$A:$A)-2,1)),[1]!interpolar(H70,OFFSET(Curvas_cupon_cero!$A$1,1,0,COUNT(Curvas_cupon_cero!$A:$A)-2,1),OFFSET(Curvas_cupon_cero!$A$1,1,MATCH($B$6,Curvas_cupon_cero!$1:$1,0)-1,COUNT(Curvas_cupon_cero!$A:$A)-2,1))))</f>
        <v>8.9828992196313157E-2</v>
      </c>
      <c r="J70" s="19">
        <f ca="1">IF(A70="","",F70/(1+I70*$B$5/360)^(COUNT(A$16:A70)-($B$5-$G$16)/$B$5))</f>
        <v>3077.1354579816325</v>
      </c>
    </row>
    <row r="71" spans="1:10" x14ac:dyDescent="0.2">
      <c r="A71" s="12">
        <f t="shared" si="2"/>
        <v>44884</v>
      </c>
      <c r="B71">
        <f t="shared" si="0"/>
        <v>1576</v>
      </c>
      <c r="C71" s="21">
        <f ca="1">IF(A71="","",IF($B$8="Sí",interpolar_alamb(B71,OFFSET(Curvas_cupon_cero!$A$1,1,0,COUNT(Curvas_cupon_cero!$A:$A)-2,1),OFFSET(Curvas_cupon_cero!$A$1,1,MATCH($B$7,Curvas_cupon_cero!$1:$1,0)-1,COUNT(Curvas_cupon_cero!$A:$A)-2,1)),[1]!interpolar(B71,OFFSET(Curvas_cupon_cero!$A$1,1,0,COUNT(Curvas_cupon_cero!$A:$A)-2,1),OFFSET(Curvas_cupon_cero!$A$1,1,MATCH($B$7,Curvas_cupon_cero!$1:$1,0)-1,COUNT(Curvas_cupon_cero!$A:$A)-2,1))))</f>
        <v>7.8850099902700602E-2</v>
      </c>
      <c r="D71" s="23">
        <f ca="1">IF(A71="","",IF($B$8="Sí",interpolar_alamb(H71,OFFSET(Curvas_cupon_cero!$A$1,1,0,COUNT(Curvas_cupon_cero!$A:$A)-2,1),OFFSET(Curvas_cupon_cero!$A$1,1,MATCH($B$7,Curvas_cupon_cero!$1:$1,0)-1,COUNT(Curvas_cupon_cero!$A:$A)-2,1)),[1]!interpolar(H71,OFFSET(Curvas_cupon_cero!$A$1,1,0,COUNT(Curvas_cupon_cero!$A:$A)-2,1),OFFSET(Curvas_cupon_cero!$A$1,1,MATCH($B$7,Curvas_cupon_cero!$1:$1,0)-1,COUNT(Curvas_cupon_cero!$A:$A)-2,1))))</f>
        <v>7.8836153828922756E-2</v>
      </c>
      <c r="E71" s="23">
        <f t="shared" ca="1" si="3"/>
        <v>5.8022504380425159E-2</v>
      </c>
      <c r="F71" s="17">
        <f t="shared" ca="1" si="1"/>
        <v>4512.8614518108452</v>
      </c>
      <c r="G71" s="18">
        <f t="shared" si="4"/>
        <v>28</v>
      </c>
      <c r="H71">
        <f t="shared" si="5"/>
        <v>1604</v>
      </c>
      <c r="I71" s="23">
        <f ca="1">IF(A71="","",IF($B$8="Sí",interpolar_alamb(H71,OFFSET(Curvas_cupon_cero!$A$1,1,0,COUNT(Curvas_cupon_cero!$A:$A)-2,1),OFFSET(Curvas_cupon_cero!$A$1,1,MATCH($B$6,Curvas_cupon_cero!$1:$1,0)-1,COUNT(Curvas_cupon_cero!$A:$A)-2,1)),[1]!interpolar(H71,OFFSET(Curvas_cupon_cero!$A$1,1,0,COUNT(Curvas_cupon_cero!$A:$A)-2,1),OFFSET(Curvas_cupon_cero!$A$1,1,MATCH($B$6,Curvas_cupon_cero!$1:$1,0)-1,COUNT(Curvas_cupon_cero!$A:$A)-2,1))))</f>
        <v>9.0085254669531531E-2</v>
      </c>
      <c r="J71" s="19">
        <f ca="1">IF(A71="","",F71/(1+I71*$B$5/360)^(COUNT(A$16:A71)-($B$5-$G$16)/$B$5))</f>
        <v>3052.4004148768399</v>
      </c>
    </row>
    <row r="72" spans="1:10" x14ac:dyDescent="0.2">
      <c r="A72" s="12">
        <f t="shared" si="2"/>
        <v>44912</v>
      </c>
      <c r="B72">
        <f t="shared" si="0"/>
        <v>1604</v>
      </c>
      <c r="C72" s="21">
        <f ca="1">IF(A72="","",IF($B$8="Sí",interpolar_alamb(B72,OFFSET(Curvas_cupon_cero!$A$1,1,0,COUNT(Curvas_cupon_cero!$A:$A)-2,1),OFFSET(Curvas_cupon_cero!$A$1,1,MATCH($B$7,Curvas_cupon_cero!$1:$1,0)-1,COUNT(Curvas_cupon_cero!$A:$A)-2,1)),[1]!interpolar(B72,OFFSET(Curvas_cupon_cero!$A$1,1,0,COUNT(Curvas_cupon_cero!$A:$A)-2,1),OFFSET(Curvas_cupon_cero!$A$1,1,MATCH($B$7,Curvas_cupon_cero!$1:$1,0)-1,COUNT(Curvas_cupon_cero!$A:$A)-2,1))))</f>
        <v>7.8836153828922756E-2</v>
      </c>
      <c r="D72" s="23">
        <f ca="1">IF(A72="","",IF($B$8="Sí",interpolar_alamb(H72,OFFSET(Curvas_cupon_cero!$A$1,1,0,COUNT(Curvas_cupon_cero!$A:$A)-2,1),OFFSET(Curvas_cupon_cero!$A$1,1,MATCH($B$7,Curvas_cupon_cero!$1:$1,0)-1,COUNT(Curvas_cupon_cero!$A:$A)-2,1)),[1]!interpolar(H72,OFFSET(Curvas_cupon_cero!$A$1,1,0,COUNT(Curvas_cupon_cero!$A:$A)-2,1),OFFSET(Curvas_cupon_cero!$A$1,1,MATCH($B$7,Curvas_cupon_cero!$1:$1,0)-1,COUNT(Curvas_cupon_cero!$A:$A)-2,1))))</f>
        <v>7.8828729530759978E-2</v>
      </c>
      <c r="E72" s="23">
        <f t="shared" ca="1" si="3"/>
        <v>5.8022504380425159E-2</v>
      </c>
      <c r="F72" s="17">
        <f t="shared" ca="1" si="1"/>
        <v>4512.8614518108452</v>
      </c>
      <c r="G72" s="18">
        <f t="shared" si="4"/>
        <v>28</v>
      </c>
      <c r="H72">
        <f t="shared" si="5"/>
        <v>1632</v>
      </c>
      <c r="I72" s="23">
        <f ca="1">IF(A72="","",IF($B$8="Sí",interpolar_alamb(H72,OFFSET(Curvas_cupon_cero!$A$1,1,0,COUNT(Curvas_cupon_cero!$A:$A)-2,1),OFFSET(Curvas_cupon_cero!$A$1,1,MATCH($B$6,Curvas_cupon_cero!$1:$1,0)-1,COUNT(Curvas_cupon_cero!$A:$A)-2,1)),[1]!interpolar(H72,OFFSET(Curvas_cupon_cero!$A$1,1,0,COUNT(Curvas_cupon_cero!$A:$A)-2,1),OFFSET(Curvas_cupon_cero!$A$1,1,MATCH($B$6,Curvas_cupon_cero!$1:$1,0)-1,COUNT(Curvas_cupon_cero!$A:$A)-2,1))))</f>
        <v>9.0343184811357849E-2</v>
      </c>
      <c r="J72" s="19">
        <f ca="1">IF(A72="","",F72/(1+I72*$B$5/360)^(COUNT(A$16:A72)-($B$5-$G$16)/$B$5))</f>
        <v>3027.7221801796277</v>
      </c>
    </row>
    <row r="73" spans="1:10" x14ac:dyDescent="0.2">
      <c r="A73" s="12">
        <f t="shared" si="2"/>
        <v>44940</v>
      </c>
      <c r="B73">
        <f t="shared" si="0"/>
        <v>1632</v>
      </c>
      <c r="C73" s="21">
        <f ca="1">IF(A73="","",IF($B$8="Sí",interpolar_alamb(B73,OFFSET(Curvas_cupon_cero!$A$1,1,0,COUNT(Curvas_cupon_cero!$A:$A)-2,1),OFFSET(Curvas_cupon_cero!$A$1,1,MATCH($B$7,Curvas_cupon_cero!$1:$1,0)-1,COUNT(Curvas_cupon_cero!$A:$A)-2,1)),[1]!interpolar(B73,OFFSET(Curvas_cupon_cero!$A$1,1,0,COUNT(Curvas_cupon_cero!$A:$A)-2,1),OFFSET(Curvas_cupon_cero!$A$1,1,MATCH($B$7,Curvas_cupon_cero!$1:$1,0)-1,COUNT(Curvas_cupon_cero!$A:$A)-2,1))))</f>
        <v>7.8828729530759978E-2</v>
      </c>
      <c r="D73" s="23">
        <f ca="1">IF(A73="","",IF($B$8="Sí",interpolar_alamb(H73,OFFSET(Curvas_cupon_cero!$A$1,1,0,COUNT(Curvas_cupon_cero!$A:$A)-2,1),OFFSET(Curvas_cupon_cero!$A$1,1,MATCH($B$7,Curvas_cupon_cero!$1:$1,0)-1,COUNT(Curvas_cupon_cero!$A:$A)-2,1)),[1]!interpolar(H73,OFFSET(Curvas_cupon_cero!$A$1,1,0,COUNT(Curvas_cupon_cero!$A:$A)-2,1),OFFSET(Curvas_cupon_cero!$A$1,1,MATCH($B$7,Curvas_cupon_cero!$1:$1,0)-1,COUNT(Curvas_cupon_cero!$A:$A)-2,1))))</f>
        <v>7.8827523802913857E-2</v>
      </c>
      <c r="E73" s="23">
        <f t="shared" ca="1" si="3"/>
        <v>5.8022504380428018E-2</v>
      </c>
      <c r="F73" s="17">
        <f t="shared" ca="1" si="1"/>
        <v>4512.8614518110689</v>
      </c>
      <c r="G73" s="18">
        <f t="shared" si="4"/>
        <v>28</v>
      </c>
      <c r="H73">
        <f t="shared" si="5"/>
        <v>1660</v>
      </c>
      <c r="I73" s="23">
        <f ca="1">IF(A73="","",IF($B$8="Sí",interpolar_alamb(H73,OFFSET(Curvas_cupon_cero!$A$1,1,0,COUNT(Curvas_cupon_cero!$A:$A)-2,1),OFFSET(Curvas_cupon_cero!$A$1,1,MATCH($B$6,Curvas_cupon_cero!$1:$1,0)-1,COUNT(Curvas_cupon_cero!$A:$A)-2,1)),[1]!interpolar(H73,OFFSET(Curvas_cupon_cero!$A$1,1,0,COUNT(Curvas_cupon_cero!$A:$A)-2,1),OFFSET(Curvas_cupon_cero!$A$1,1,MATCH($B$6,Curvas_cupon_cero!$1:$1,0)-1,COUNT(Curvas_cupon_cero!$A:$A)-2,1))))</f>
        <v>9.0602758235677205E-2</v>
      </c>
      <c r="J73" s="19">
        <f ca="1">IF(A73="","",F73/(1+I73*$B$5/360)^(COUNT(A$16:A73)-($B$5-$G$16)/$B$5))</f>
        <v>3003.1017727799444</v>
      </c>
    </row>
    <row r="74" spans="1:10" x14ac:dyDescent="0.2">
      <c r="A74" s="12">
        <f t="shared" si="2"/>
        <v>44968</v>
      </c>
      <c r="B74">
        <f t="shared" si="0"/>
        <v>1660</v>
      </c>
      <c r="C74" s="21">
        <f ca="1">IF(A74="","",IF($B$8="Sí",interpolar_alamb(B74,OFFSET(Curvas_cupon_cero!$A$1,1,0,COUNT(Curvas_cupon_cero!$A:$A)-2,1),OFFSET(Curvas_cupon_cero!$A$1,1,MATCH($B$7,Curvas_cupon_cero!$1:$1,0)-1,COUNT(Curvas_cupon_cero!$A:$A)-2,1)),[1]!interpolar(B74,OFFSET(Curvas_cupon_cero!$A$1,1,0,COUNT(Curvas_cupon_cero!$A:$A)-2,1),OFFSET(Curvas_cupon_cero!$A$1,1,MATCH($B$7,Curvas_cupon_cero!$1:$1,0)-1,COUNT(Curvas_cupon_cero!$A:$A)-2,1))))</f>
        <v>7.8827523802913857E-2</v>
      </c>
      <c r="D74" s="23">
        <f ca="1">IF(A74="","",IF($B$8="Sí",interpolar_alamb(H74,OFFSET(Curvas_cupon_cero!$A$1,1,0,COUNT(Curvas_cupon_cero!$A:$A)-2,1),OFFSET(Curvas_cupon_cero!$A$1,1,MATCH($B$7,Curvas_cupon_cero!$1:$1,0)-1,COUNT(Curvas_cupon_cero!$A:$A)-2,1)),[1]!interpolar(H74,OFFSET(Curvas_cupon_cero!$A$1,1,0,COUNT(Curvas_cupon_cero!$A:$A)-2,1),OFFSET(Curvas_cupon_cero!$A$1,1,MATCH($B$7,Curvas_cupon_cero!$1:$1,0)-1,COUNT(Curvas_cupon_cero!$A:$A)-2,1))))</f>
        <v>7.8832253676966058E-2</v>
      </c>
      <c r="E74" s="23">
        <f t="shared" ca="1" si="3"/>
        <v>5.8022504380428018E-2</v>
      </c>
      <c r="F74" s="17">
        <f t="shared" ca="1" si="1"/>
        <v>4512.8614518110689</v>
      </c>
      <c r="G74" s="18">
        <f t="shared" si="4"/>
        <v>28</v>
      </c>
      <c r="H74">
        <f t="shared" si="5"/>
        <v>1688</v>
      </c>
      <c r="I74" s="23">
        <f ca="1">IF(A74="","",IF($B$8="Sí",interpolar_alamb(H74,OFFSET(Curvas_cupon_cero!$A$1,1,0,COUNT(Curvas_cupon_cero!$A:$A)-2,1),OFFSET(Curvas_cupon_cero!$A$1,1,MATCH($B$6,Curvas_cupon_cero!$1:$1,0)-1,COUNT(Curvas_cupon_cero!$A:$A)-2,1)),[1]!interpolar(H74,OFFSET(Curvas_cupon_cero!$A$1,1,0,COUNT(Curvas_cupon_cero!$A:$A)-2,1),OFFSET(Curvas_cupon_cero!$A$1,1,MATCH($B$6,Curvas_cupon_cero!$1:$1,0)-1,COUNT(Curvas_cupon_cero!$A:$A)-2,1))))</f>
        <v>9.0863952518666802E-2</v>
      </c>
      <c r="J74" s="19">
        <f ca="1">IF(A74="","",F74/(1+I74*$B$5/360)^(COUNT(A$16:A74)-($B$5-$G$16)/$B$5))</f>
        <v>2978.5402113271662</v>
      </c>
    </row>
    <row r="75" spans="1:10" x14ac:dyDescent="0.2">
      <c r="A75" s="12">
        <f t="shared" si="2"/>
        <v>44996</v>
      </c>
      <c r="B75">
        <f t="shared" si="0"/>
        <v>1688</v>
      </c>
      <c r="C75" s="21">
        <f ca="1">IF(A75="","",IF($B$8="Sí",interpolar_alamb(B75,OFFSET(Curvas_cupon_cero!$A$1,1,0,COUNT(Curvas_cupon_cero!$A:$A)-2,1),OFFSET(Curvas_cupon_cero!$A$1,1,MATCH($B$7,Curvas_cupon_cero!$1:$1,0)-1,COUNT(Curvas_cupon_cero!$A:$A)-2,1)),[1]!interpolar(B75,OFFSET(Curvas_cupon_cero!$A$1,1,0,COUNT(Curvas_cupon_cero!$A:$A)-2,1),OFFSET(Curvas_cupon_cero!$A$1,1,MATCH($B$7,Curvas_cupon_cero!$1:$1,0)-1,COUNT(Curvas_cupon_cero!$A:$A)-2,1))))</f>
        <v>7.8832253676966058E-2</v>
      </c>
      <c r="D75" s="23">
        <f ca="1">IF(A75="","",IF($B$8="Sí",interpolar_alamb(H75,OFFSET(Curvas_cupon_cero!$A$1,1,0,COUNT(Curvas_cupon_cero!$A:$A)-2,1),OFFSET(Curvas_cupon_cero!$A$1,1,MATCH($B$7,Curvas_cupon_cero!$1:$1,0)-1,COUNT(Curvas_cupon_cero!$A:$A)-2,1)),[1]!interpolar(H75,OFFSET(Curvas_cupon_cero!$A$1,1,0,COUNT(Curvas_cupon_cero!$A:$A)-2,1),OFFSET(Curvas_cupon_cero!$A$1,1,MATCH($B$7,Curvas_cupon_cero!$1:$1,0)-1,COUNT(Curvas_cupon_cero!$A:$A)-2,1))))</f>
        <v>7.8842654770878873E-2</v>
      </c>
      <c r="E75" s="23">
        <f t="shared" ca="1" si="3"/>
        <v>5.8022504380422307E-2</v>
      </c>
      <c r="F75" s="17">
        <f t="shared" ca="1" si="1"/>
        <v>4512.8614518106233</v>
      </c>
      <c r="G75" s="18">
        <f t="shared" si="4"/>
        <v>28</v>
      </c>
      <c r="H75">
        <f t="shared" si="5"/>
        <v>1716</v>
      </c>
      <c r="I75" s="23">
        <f ca="1">IF(A75="","",IF($B$8="Sí",interpolar_alamb(H75,OFFSET(Curvas_cupon_cero!$A$1,1,0,COUNT(Curvas_cupon_cero!$A:$A)-2,1),OFFSET(Curvas_cupon_cero!$A$1,1,MATCH($B$6,Curvas_cupon_cero!$1:$1,0)-1,COUNT(Curvas_cupon_cero!$A:$A)-2,1)),[1]!interpolar(H75,OFFSET(Curvas_cupon_cero!$A$1,1,0,COUNT(Curvas_cupon_cero!$A:$A)-2,1),OFFSET(Curvas_cupon_cero!$A$1,1,MATCH($B$6,Curvas_cupon_cero!$1:$1,0)-1,COUNT(Curvas_cupon_cero!$A:$A)-2,1))))</f>
        <v>9.1126747040677691E-2</v>
      </c>
      <c r="J75" s="19">
        <f ca="1">IF(A75="","",F75/(1+I75*$B$5/360)^(COUNT(A$16:A75)-($B$5-$G$16)/$B$5))</f>
        <v>2954.0385140064946</v>
      </c>
    </row>
    <row r="76" spans="1:10" x14ac:dyDescent="0.2">
      <c r="A76" s="12">
        <f t="shared" si="2"/>
        <v>45024</v>
      </c>
      <c r="B76">
        <f t="shared" si="0"/>
        <v>1716</v>
      </c>
      <c r="C76" s="21">
        <f ca="1">IF(A76="","",IF($B$8="Sí",interpolar_alamb(B76,OFFSET(Curvas_cupon_cero!$A$1,1,0,COUNT(Curvas_cupon_cero!$A:$A)-2,1),OFFSET(Curvas_cupon_cero!$A$1,1,MATCH($B$7,Curvas_cupon_cero!$1:$1,0)-1,COUNT(Curvas_cupon_cero!$A:$A)-2,1)),[1]!interpolar(B76,OFFSET(Curvas_cupon_cero!$A$1,1,0,COUNT(Curvas_cupon_cero!$A:$A)-2,1),OFFSET(Curvas_cupon_cero!$A$1,1,MATCH($B$7,Curvas_cupon_cero!$1:$1,0)-1,COUNT(Curvas_cupon_cero!$A:$A)-2,1))))</f>
        <v>7.8842654770878873E-2</v>
      </c>
      <c r="D76" s="23">
        <f ca="1">IF(A76="","",IF($B$8="Sí",interpolar_alamb(H76,OFFSET(Curvas_cupon_cero!$A$1,1,0,COUNT(Curvas_cupon_cero!$A:$A)-2,1),OFFSET(Curvas_cupon_cero!$A$1,1,MATCH($B$7,Curvas_cupon_cero!$1:$1,0)-1,COUNT(Curvas_cupon_cero!$A:$A)-2,1)),[1]!interpolar(H76,OFFSET(Curvas_cupon_cero!$A$1,1,0,COUNT(Curvas_cupon_cero!$A:$A)-2,1),OFFSET(Curvas_cupon_cero!$A$1,1,MATCH($B$7,Curvas_cupon_cero!$1:$1,0)-1,COUNT(Curvas_cupon_cero!$A:$A)-2,1))))</f>
        <v>7.8858479797491596E-2</v>
      </c>
      <c r="E76" s="23">
        <f t="shared" ca="1" si="3"/>
        <v>5.8022504380428018E-2</v>
      </c>
      <c r="F76" s="17">
        <f t="shared" ca="1" si="1"/>
        <v>4512.8614518110689</v>
      </c>
      <c r="G76" s="18">
        <f t="shared" si="4"/>
        <v>28</v>
      </c>
      <c r="H76">
        <f t="shared" si="5"/>
        <v>1744</v>
      </c>
      <c r="I76" s="23">
        <f ca="1">IF(A76="","",IF($B$8="Sí",interpolar_alamb(H76,OFFSET(Curvas_cupon_cero!$A$1,1,0,COUNT(Curvas_cupon_cero!$A:$A)-2,1),OFFSET(Curvas_cupon_cero!$A$1,1,MATCH($B$6,Curvas_cupon_cero!$1:$1,0)-1,COUNT(Curvas_cupon_cero!$A:$A)-2,1)),[1]!interpolar(H76,OFFSET(Curvas_cupon_cero!$A$1,1,0,COUNT(Curvas_cupon_cero!$A:$A)-2,1),OFFSET(Curvas_cupon_cero!$A$1,1,MATCH($B$6,Curvas_cupon_cero!$1:$1,0)-1,COUNT(Curvas_cupon_cero!$A:$A)-2,1))))</f>
        <v>9.1391122843359526E-2</v>
      </c>
      <c r="J76" s="19">
        <f ca="1">IF(A76="","",F76/(1+I76*$B$5/360)^(COUNT(A$16:A76)-($B$5-$G$16)/$B$5))</f>
        <v>2929.5976983210417</v>
      </c>
    </row>
    <row r="77" spans="1:10" x14ac:dyDescent="0.2">
      <c r="A77" s="12">
        <f t="shared" si="2"/>
        <v>45052</v>
      </c>
      <c r="B77">
        <f t="shared" si="0"/>
        <v>1744</v>
      </c>
      <c r="C77" s="21">
        <f ca="1">IF(A77="","",IF($B$8="Sí",interpolar_alamb(B77,OFFSET(Curvas_cupon_cero!$A$1,1,0,COUNT(Curvas_cupon_cero!$A:$A)-2,1),OFFSET(Curvas_cupon_cero!$A$1,1,MATCH($B$7,Curvas_cupon_cero!$1:$1,0)-1,COUNT(Curvas_cupon_cero!$A:$A)-2,1)),[1]!interpolar(B77,OFFSET(Curvas_cupon_cero!$A$1,1,0,COUNT(Curvas_cupon_cero!$A:$A)-2,1),OFFSET(Curvas_cupon_cero!$A$1,1,MATCH($B$7,Curvas_cupon_cero!$1:$1,0)-1,COUNT(Curvas_cupon_cero!$A:$A)-2,1))))</f>
        <v>7.8858479797491596E-2</v>
      </c>
      <c r="D77" s="23">
        <f ca="1">IF(A77="","",IF($B$8="Sí",interpolar_alamb(H77,OFFSET(Curvas_cupon_cero!$A$1,1,0,COUNT(Curvas_cupon_cero!$A:$A)-2,1),OFFSET(Curvas_cupon_cero!$A$1,1,MATCH($B$7,Curvas_cupon_cero!$1:$1,0)-1,COUNT(Curvas_cupon_cero!$A:$A)-2,1)),[1]!interpolar(H77,OFFSET(Curvas_cupon_cero!$A$1,1,0,COUNT(Curvas_cupon_cero!$A:$A)-2,1),OFFSET(Curvas_cupon_cero!$A$1,1,MATCH($B$7,Curvas_cupon_cero!$1:$1,0)-1,COUNT(Curvas_cupon_cero!$A:$A)-2,1))))</f>
        <v>7.887949721442547E-2</v>
      </c>
      <c r="E77" s="23">
        <f t="shared" ca="1" si="3"/>
        <v>5.8022504380425159E-2</v>
      </c>
      <c r="F77" s="17">
        <f t="shared" ca="1" si="1"/>
        <v>4512.8614518108452</v>
      </c>
      <c r="G77" s="18">
        <f t="shared" si="4"/>
        <v>28</v>
      </c>
      <c r="H77">
        <f t="shared" si="5"/>
        <v>1772</v>
      </c>
      <c r="I77" s="23">
        <f ca="1">IF(A77="","",IF($B$8="Sí",interpolar_alamb(H77,OFFSET(Curvas_cupon_cero!$A$1,1,0,COUNT(Curvas_cupon_cero!$A:$A)-2,1),OFFSET(Curvas_cupon_cero!$A$1,1,MATCH($B$6,Curvas_cupon_cero!$1:$1,0)-1,COUNT(Curvas_cupon_cero!$A:$A)-2,1)),[1]!interpolar(H77,OFFSET(Curvas_cupon_cero!$A$1,1,0,COUNT(Curvas_cupon_cero!$A:$A)-2,1),OFFSET(Curvas_cupon_cero!$A$1,1,MATCH($B$6,Curvas_cupon_cero!$1:$1,0)-1,COUNT(Curvas_cupon_cero!$A:$A)-2,1))))</f>
        <v>9.165706250034257E-2</v>
      </c>
      <c r="J77" s="19">
        <f ca="1">IF(A77="","",F77/(1+I77*$B$5/360)^(COUNT(A$16:A77)-($B$5-$G$16)/$B$5))</f>
        <v>2905.2187808754916</v>
      </c>
    </row>
    <row r="78" spans="1:10" x14ac:dyDescent="0.2">
      <c r="A78" s="12">
        <f t="shared" si="2"/>
        <v>45080</v>
      </c>
      <c r="B78">
        <f t="shared" ref="B78:B141" si="7">IF(A78="","",MAX(H78-$B$5,0))</f>
        <v>1772</v>
      </c>
      <c r="C78" s="21">
        <f ca="1">IF(A78="","",IF($B$8="Sí",interpolar_alamb(B78,OFFSET(Curvas_cupon_cero!$A$1,1,0,COUNT(Curvas_cupon_cero!$A:$A)-2,1),OFFSET(Curvas_cupon_cero!$A$1,1,MATCH($B$7,Curvas_cupon_cero!$1:$1,0)-1,COUNT(Curvas_cupon_cero!$A:$A)-2,1)),[1]!interpolar(B78,OFFSET(Curvas_cupon_cero!$A$1,1,0,COUNT(Curvas_cupon_cero!$A:$A)-2,1),OFFSET(Curvas_cupon_cero!$A$1,1,MATCH($B$7,Curvas_cupon_cero!$1:$1,0)-1,COUNT(Curvas_cupon_cero!$A:$A)-2,1))))</f>
        <v>7.887949721442547E-2</v>
      </c>
      <c r="D78" s="23">
        <f ca="1">IF(A78="","",IF($B$8="Sí",interpolar_alamb(H78,OFFSET(Curvas_cupon_cero!$A$1,1,0,COUNT(Curvas_cupon_cero!$A:$A)-2,1),OFFSET(Curvas_cupon_cero!$A$1,1,MATCH($B$7,Curvas_cupon_cero!$1:$1,0)-1,COUNT(Curvas_cupon_cero!$A:$A)-2,1)),[1]!interpolar(H78,OFFSET(Curvas_cupon_cero!$A$1,1,0,COUNT(Curvas_cupon_cero!$A:$A)-2,1),OFFSET(Curvas_cupon_cero!$A$1,1,MATCH($B$7,Curvas_cupon_cero!$1:$1,0)-1,COUNT(Curvas_cupon_cero!$A:$A)-2,1))))</f>
        <v>7.8905489999999995E-2</v>
      </c>
      <c r="E78" s="23">
        <f t="shared" ca="1" si="3"/>
        <v>5.8022504380428018E-2</v>
      </c>
      <c r="F78" s="17">
        <f t="shared" ref="F78:F141" ca="1" si="8">IF(A78="","",IF(A78=$B$4,$B$1*$B$2+E78*$B$5/360*$B$1*$B$2, E78*$B$5/360*$B$1*$B$2))</f>
        <v>1004512.861451811</v>
      </c>
      <c r="G78" s="18">
        <f t="shared" si="4"/>
        <v>28</v>
      </c>
      <c r="H78">
        <f t="shared" si="5"/>
        <v>1800</v>
      </c>
      <c r="I78" s="23">
        <f ca="1">IF(A78="","",IF($B$8="Sí",interpolar_alamb(H78,OFFSET(Curvas_cupon_cero!$A$1,1,0,COUNT(Curvas_cupon_cero!$A:$A)-2,1),OFFSET(Curvas_cupon_cero!$A$1,1,MATCH($B$6,Curvas_cupon_cero!$1:$1,0)-1,COUNT(Curvas_cupon_cero!$A:$A)-2,1)),[1]!interpolar(H78,OFFSET(Curvas_cupon_cero!$A$1,1,0,COUNT(Curvas_cupon_cero!$A:$A)-2,1),OFFSET(Curvas_cupon_cero!$A$1,1,MATCH($B$6,Curvas_cupon_cero!$1:$1,0)-1,COUNT(Curvas_cupon_cero!$A:$A)-2,1))))</f>
        <v>9.1924549999999994E-2</v>
      </c>
      <c r="J78" s="19">
        <f ca="1">IF(A78="","",F78/(1+I78*$B$5/360)^(COUNT(A$16:A78)-($B$5-$G$16)/$B$5))</f>
        <v>641256.97701137874</v>
      </c>
    </row>
    <row r="79" spans="1:10" x14ac:dyDescent="0.2">
      <c r="A79" s="12" t="str">
        <f t="shared" ref="A79:A142" si="9">IF(A78="","",IF((A78+$B$5)&gt;$B$4,"",(A78+$B$5)))</f>
        <v/>
      </c>
      <c r="B79" t="str">
        <f t="shared" si="7"/>
        <v/>
      </c>
      <c r="C79" s="21" t="str">
        <f ca="1">IF(A79="","",IF($B$8="Sí",interpolar_alamb(B79,OFFSET(Curvas_cupon_cero!$A$1,1,0,COUNT(Curvas_cupon_cero!$A:$A)-2,1),OFFSET(Curvas_cupon_cero!$A$1,1,MATCH($B$7,Curvas_cupon_cero!$1:$1,0)-1,COUNT(Curvas_cupon_cero!$A:$A)-2,1)),[1]!interpolar(B79,OFFSET(Curvas_cupon_cero!$A$1,1,0,COUNT(Curvas_cupon_cero!$A:$A)-2,1),OFFSET(Curvas_cupon_cero!$A$1,1,MATCH($B$7,Curvas_cupon_cero!$1:$1,0)-1,COUNT(Curvas_cupon_cero!$A:$A)-2,1))))</f>
        <v/>
      </c>
      <c r="D79" s="23" t="str">
        <f ca="1">IF(A79="","",IF($B$8="Sí",interpolar_alamb(H79,OFFSET(Curvas_cupon_cero!$A$1,1,0,COUNT(Curvas_cupon_cero!$A:$A)-2,1),OFFSET(Curvas_cupon_cero!$A$1,1,MATCH($B$7,Curvas_cupon_cero!$1:$1,0)-1,COUNT(Curvas_cupon_cero!$A:$A)-2,1)),[1]!interpolar(H79,OFFSET(Curvas_cupon_cero!$A$1,1,0,COUNT(Curvas_cupon_cero!$A:$A)-2,1),OFFSET(Curvas_cupon_cero!$A$1,1,MATCH($B$7,Curvas_cupon_cero!$1:$1,0)-1,COUNT(Curvas_cupon_cero!$A:$A)-2,1))))</f>
        <v/>
      </c>
      <c r="E79" s="23" t="str">
        <f t="shared" ref="E79:E142" si="10">IF(A79="","",((1+D79*H79/360)/(1+C79*B79/360)-1)*(360/(H79-B79)))</f>
        <v/>
      </c>
      <c r="F79" s="17" t="str">
        <f t="shared" si="8"/>
        <v/>
      </c>
      <c r="G79" s="18" t="str">
        <f t="shared" ref="G79:G142" si="11">IF(A79="","",$B$5)</f>
        <v/>
      </c>
      <c r="H79" t="str">
        <f t="shared" ref="H79:H142" si="12">IF(A79="","",H78+G79)</f>
        <v/>
      </c>
      <c r="I79" s="23" t="str">
        <f ca="1">IF(A79="","",IF($B$8="Sí",interpolar_alamb(H79,OFFSET(Curvas_cupon_cero!$A$1,1,0,COUNT(Curvas_cupon_cero!$A:$A)-2,1),OFFSET(Curvas_cupon_cero!$A$1,1,MATCH($B$6,Curvas_cupon_cero!$1:$1,0)-1,COUNT(Curvas_cupon_cero!$A:$A)-2,1)),[1]!interpolar(H79,OFFSET(Curvas_cupon_cero!$A$1,1,0,COUNT(Curvas_cupon_cero!$A:$A)-2,1),OFFSET(Curvas_cupon_cero!$A$1,1,MATCH($B$6,Curvas_cupon_cero!$1:$1,0)-1,COUNT(Curvas_cupon_cero!$A:$A)-2,1))))</f>
        <v/>
      </c>
      <c r="J79" s="19" t="str">
        <f>IF(A79="","",F79/(1+I79*$B$5/360)^(COUNT(A$16:A79)-($B$5-$G$16)/$B$5))</f>
        <v/>
      </c>
    </row>
    <row r="80" spans="1:10" x14ac:dyDescent="0.2">
      <c r="A80" s="12" t="str">
        <f t="shared" si="9"/>
        <v/>
      </c>
      <c r="B80" t="str">
        <f t="shared" si="7"/>
        <v/>
      </c>
      <c r="C80" s="21" t="str">
        <f ca="1">IF(A80="","",IF($B$8="Sí",interpolar_alamb(B80,OFFSET(Curvas_cupon_cero!$A$1,1,0,COUNT(Curvas_cupon_cero!$A:$A)-2,1),OFFSET(Curvas_cupon_cero!$A$1,1,MATCH($B$7,Curvas_cupon_cero!$1:$1,0)-1,COUNT(Curvas_cupon_cero!$A:$A)-2,1)),[1]!interpolar(B80,OFFSET(Curvas_cupon_cero!$A$1,1,0,COUNT(Curvas_cupon_cero!$A:$A)-2,1),OFFSET(Curvas_cupon_cero!$A$1,1,MATCH($B$7,Curvas_cupon_cero!$1:$1,0)-1,COUNT(Curvas_cupon_cero!$A:$A)-2,1))))</f>
        <v/>
      </c>
      <c r="D80" s="23" t="str">
        <f ca="1">IF(A80="","",IF($B$8="Sí",interpolar_alamb(H80,OFFSET(Curvas_cupon_cero!$A$1,1,0,COUNT(Curvas_cupon_cero!$A:$A)-2,1),OFFSET(Curvas_cupon_cero!$A$1,1,MATCH($B$7,Curvas_cupon_cero!$1:$1,0)-1,COUNT(Curvas_cupon_cero!$A:$A)-2,1)),[1]!interpolar(H80,OFFSET(Curvas_cupon_cero!$A$1,1,0,COUNT(Curvas_cupon_cero!$A:$A)-2,1),OFFSET(Curvas_cupon_cero!$A$1,1,MATCH($B$7,Curvas_cupon_cero!$1:$1,0)-1,COUNT(Curvas_cupon_cero!$A:$A)-2,1))))</f>
        <v/>
      </c>
      <c r="E80" s="23" t="str">
        <f t="shared" si="10"/>
        <v/>
      </c>
      <c r="F80" s="17" t="str">
        <f t="shared" si="8"/>
        <v/>
      </c>
      <c r="G80" s="18" t="str">
        <f t="shared" si="11"/>
        <v/>
      </c>
      <c r="H80" t="str">
        <f t="shared" si="12"/>
        <v/>
      </c>
      <c r="I80" s="23" t="str">
        <f ca="1">IF(A80="","",IF($B$8="Sí",interpolar_alamb(H80,OFFSET(Curvas_cupon_cero!$A$1,1,0,COUNT(Curvas_cupon_cero!$A:$A)-2,1),OFFSET(Curvas_cupon_cero!$A$1,1,MATCH($B$6,Curvas_cupon_cero!$1:$1,0)-1,COUNT(Curvas_cupon_cero!$A:$A)-2,1)),[1]!interpolar(H80,OFFSET(Curvas_cupon_cero!$A$1,1,0,COUNT(Curvas_cupon_cero!$A:$A)-2,1),OFFSET(Curvas_cupon_cero!$A$1,1,MATCH($B$6,Curvas_cupon_cero!$1:$1,0)-1,COUNT(Curvas_cupon_cero!$A:$A)-2,1))))</f>
        <v/>
      </c>
      <c r="J80" s="19" t="str">
        <f>IF(A80="","",F80/(1+I80*$B$5/360)^(COUNT(A$16:A80)-($B$5-$G$16)/$B$5))</f>
        <v/>
      </c>
    </row>
    <row r="81" spans="1:10" x14ac:dyDescent="0.2">
      <c r="A81" s="12" t="str">
        <f t="shared" si="9"/>
        <v/>
      </c>
      <c r="B81" t="str">
        <f t="shared" si="7"/>
        <v/>
      </c>
      <c r="C81" s="21" t="str">
        <f ca="1">IF(A81="","",IF($B$8="Sí",interpolar_alamb(B81,OFFSET(Curvas_cupon_cero!$A$1,1,0,COUNT(Curvas_cupon_cero!$A:$A)-2,1),OFFSET(Curvas_cupon_cero!$A$1,1,MATCH($B$7,Curvas_cupon_cero!$1:$1,0)-1,COUNT(Curvas_cupon_cero!$A:$A)-2,1)),[1]!interpolar(B81,OFFSET(Curvas_cupon_cero!$A$1,1,0,COUNT(Curvas_cupon_cero!$A:$A)-2,1),OFFSET(Curvas_cupon_cero!$A$1,1,MATCH($B$7,Curvas_cupon_cero!$1:$1,0)-1,COUNT(Curvas_cupon_cero!$A:$A)-2,1))))</f>
        <v/>
      </c>
      <c r="D81" s="23" t="str">
        <f ca="1">IF(A81="","",IF($B$8="Sí",interpolar_alamb(H81,OFFSET(Curvas_cupon_cero!$A$1,1,0,COUNT(Curvas_cupon_cero!$A:$A)-2,1),OFFSET(Curvas_cupon_cero!$A$1,1,MATCH($B$7,Curvas_cupon_cero!$1:$1,0)-1,COUNT(Curvas_cupon_cero!$A:$A)-2,1)),[1]!interpolar(H81,OFFSET(Curvas_cupon_cero!$A$1,1,0,COUNT(Curvas_cupon_cero!$A:$A)-2,1),OFFSET(Curvas_cupon_cero!$A$1,1,MATCH($B$7,Curvas_cupon_cero!$1:$1,0)-1,COUNT(Curvas_cupon_cero!$A:$A)-2,1))))</f>
        <v/>
      </c>
      <c r="E81" s="23" t="str">
        <f t="shared" si="10"/>
        <v/>
      </c>
      <c r="F81" s="17" t="str">
        <f t="shared" si="8"/>
        <v/>
      </c>
      <c r="G81" s="18" t="str">
        <f t="shared" si="11"/>
        <v/>
      </c>
      <c r="H81" t="str">
        <f t="shared" si="12"/>
        <v/>
      </c>
      <c r="I81" s="23" t="str">
        <f ca="1">IF(A81="","",IF($B$8="Sí",interpolar_alamb(H81,OFFSET(Curvas_cupon_cero!$A$1,1,0,COUNT(Curvas_cupon_cero!$A:$A)-2,1),OFFSET(Curvas_cupon_cero!$A$1,1,MATCH($B$6,Curvas_cupon_cero!$1:$1,0)-1,COUNT(Curvas_cupon_cero!$A:$A)-2,1)),[1]!interpolar(H81,OFFSET(Curvas_cupon_cero!$A$1,1,0,COUNT(Curvas_cupon_cero!$A:$A)-2,1),OFFSET(Curvas_cupon_cero!$A$1,1,MATCH($B$6,Curvas_cupon_cero!$1:$1,0)-1,COUNT(Curvas_cupon_cero!$A:$A)-2,1))))</f>
        <v/>
      </c>
      <c r="J81" s="19" t="str">
        <f>IF(A81="","",F81/(1+I81*$B$5/360)^(COUNT(A$16:A81)-($B$5-$G$16)/$B$5))</f>
        <v/>
      </c>
    </row>
    <row r="82" spans="1:10" x14ac:dyDescent="0.2">
      <c r="A82" s="12" t="str">
        <f t="shared" si="9"/>
        <v/>
      </c>
      <c r="B82" t="str">
        <f t="shared" si="7"/>
        <v/>
      </c>
      <c r="C82" s="21" t="str">
        <f ca="1">IF(A82="","",IF($B$8="Sí",interpolar_alamb(B82,OFFSET(Curvas_cupon_cero!$A$1,1,0,COUNT(Curvas_cupon_cero!$A:$A)-2,1),OFFSET(Curvas_cupon_cero!$A$1,1,MATCH($B$7,Curvas_cupon_cero!$1:$1,0)-1,COUNT(Curvas_cupon_cero!$A:$A)-2,1)),[1]!interpolar(B82,OFFSET(Curvas_cupon_cero!$A$1,1,0,COUNT(Curvas_cupon_cero!$A:$A)-2,1),OFFSET(Curvas_cupon_cero!$A$1,1,MATCH($B$7,Curvas_cupon_cero!$1:$1,0)-1,COUNT(Curvas_cupon_cero!$A:$A)-2,1))))</f>
        <v/>
      </c>
      <c r="D82" s="23" t="str">
        <f ca="1">IF(A82="","",IF($B$8="Sí",interpolar_alamb(H82,OFFSET(Curvas_cupon_cero!$A$1,1,0,COUNT(Curvas_cupon_cero!$A:$A)-2,1),OFFSET(Curvas_cupon_cero!$A$1,1,MATCH($B$7,Curvas_cupon_cero!$1:$1,0)-1,COUNT(Curvas_cupon_cero!$A:$A)-2,1)),[1]!interpolar(H82,OFFSET(Curvas_cupon_cero!$A$1,1,0,COUNT(Curvas_cupon_cero!$A:$A)-2,1),OFFSET(Curvas_cupon_cero!$A$1,1,MATCH($B$7,Curvas_cupon_cero!$1:$1,0)-1,COUNT(Curvas_cupon_cero!$A:$A)-2,1))))</f>
        <v/>
      </c>
      <c r="E82" s="23" t="str">
        <f t="shared" si="10"/>
        <v/>
      </c>
      <c r="F82" s="17" t="str">
        <f t="shared" si="8"/>
        <v/>
      </c>
      <c r="G82" s="18" t="str">
        <f t="shared" si="11"/>
        <v/>
      </c>
      <c r="H82" t="str">
        <f t="shared" si="12"/>
        <v/>
      </c>
      <c r="I82" s="23" t="str">
        <f ca="1">IF(A82="","",IF($B$8="Sí",interpolar_alamb(H82,OFFSET(Curvas_cupon_cero!$A$1,1,0,COUNT(Curvas_cupon_cero!$A:$A)-2,1),OFFSET(Curvas_cupon_cero!$A$1,1,MATCH($B$6,Curvas_cupon_cero!$1:$1,0)-1,COUNT(Curvas_cupon_cero!$A:$A)-2,1)),[1]!interpolar(H82,OFFSET(Curvas_cupon_cero!$A$1,1,0,COUNT(Curvas_cupon_cero!$A:$A)-2,1),OFFSET(Curvas_cupon_cero!$A$1,1,MATCH($B$6,Curvas_cupon_cero!$1:$1,0)-1,COUNT(Curvas_cupon_cero!$A:$A)-2,1))))</f>
        <v/>
      </c>
      <c r="J82" s="19" t="str">
        <f>IF(A82="","",F82/(1+I82*$B$5/360)^(COUNT(A$16:A82)-($B$5-$G$16)/$B$5))</f>
        <v/>
      </c>
    </row>
    <row r="83" spans="1:10" x14ac:dyDescent="0.2">
      <c r="A83" s="12" t="str">
        <f t="shared" si="9"/>
        <v/>
      </c>
      <c r="B83" t="str">
        <f t="shared" si="7"/>
        <v/>
      </c>
      <c r="C83" s="21" t="str">
        <f ca="1">IF(A83="","",IF($B$8="Sí",interpolar_alamb(B83,OFFSET(Curvas_cupon_cero!$A$1,1,0,COUNT(Curvas_cupon_cero!$A:$A)-2,1),OFFSET(Curvas_cupon_cero!$A$1,1,MATCH($B$7,Curvas_cupon_cero!$1:$1,0)-1,COUNT(Curvas_cupon_cero!$A:$A)-2,1)),[1]!interpolar(B83,OFFSET(Curvas_cupon_cero!$A$1,1,0,COUNT(Curvas_cupon_cero!$A:$A)-2,1),OFFSET(Curvas_cupon_cero!$A$1,1,MATCH($B$7,Curvas_cupon_cero!$1:$1,0)-1,COUNT(Curvas_cupon_cero!$A:$A)-2,1))))</f>
        <v/>
      </c>
      <c r="D83" s="23" t="str">
        <f ca="1">IF(A83="","",IF($B$8="Sí",interpolar_alamb(H83,OFFSET(Curvas_cupon_cero!$A$1,1,0,COUNT(Curvas_cupon_cero!$A:$A)-2,1),OFFSET(Curvas_cupon_cero!$A$1,1,MATCH($B$7,Curvas_cupon_cero!$1:$1,0)-1,COUNT(Curvas_cupon_cero!$A:$A)-2,1)),[1]!interpolar(H83,OFFSET(Curvas_cupon_cero!$A$1,1,0,COUNT(Curvas_cupon_cero!$A:$A)-2,1),OFFSET(Curvas_cupon_cero!$A$1,1,MATCH($B$7,Curvas_cupon_cero!$1:$1,0)-1,COUNT(Curvas_cupon_cero!$A:$A)-2,1))))</f>
        <v/>
      </c>
      <c r="E83" s="23" t="str">
        <f t="shared" si="10"/>
        <v/>
      </c>
      <c r="F83" s="17" t="str">
        <f t="shared" si="8"/>
        <v/>
      </c>
      <c r="G83" s="18" t="str">
        <f t="shared" si="11"/>
        <v/>
      </c>
      <c r="H83" t="str">
        <f t="shared" si="12"/>
        <v/>
      </c>
      <c r="I83" s="23" t="str">
        <f ca="1">IF(A83="","",IF($B$8="Sí",interpolar_alamb(H83,OFFSET(Curvas_cupon_cero!$A$1,1,0,COUNT(Curvas_cupon_cero!$A:$A)-2,1),OFFSET(Curvas_cupon_cero!$A$1,1,MATCH($B$6,Curvas_cupon_cero!$1:$1,0)-1,COUNT(Curvas_cupon_cero!$A:$A)-2,1)),[1]!interpolar(H83,OFFSET(Curvas_cupon_cero!$A$1,1,0,COUNT(Curvas_cupon_cero!$A:$A)-2,1),OFFSET(Curvas_cupon_cero!$A$1,1,MATCH($B$6,Curvas_cupon_cero!$1:$1,0)-1,COUNT(Curvas_cupon_cero!$A:$A)-2,1))))</f>
        <v/>
      </c>
      <c r="J83" s="19" t="str">
        <f>IF(A83="","",F83/(1+I83*$B$5/360)^(COUNT(A$16:A83)-($B$5-$G$16)/$B$5))</f>
        <v/>
      </c>
    </row>
    <row r="84" spans="1:10" x14ac:dyDescent="0.2">
      <c r="A84" s="12" t="str">
        <f t="shared" si="9"/>
        <v/>
      </c>
      <c r="B84" t="str">
        <f t="shared" si="7"/>
        <v/>
      </c>
      <c r="C84" s="21" t="str">
        <f ca="1">IF(A84="","",IF($B$8="Sí",interpolar_alamb(B84,OFFSET(Curvas_cupon_cero!$A$1,1,0,COUNT(Curvas_cupon_cero!$A:$A)-2,1),OFFSET(Curvas_cupon_cero!$A$1,1,MATCH($B$7,Curvas_cupon_cero!$1:$1,0)-1,COUNT(Curvas_cupon_cero!$A:$A)-2,1)),[1]!interpolar(B84,OFFSET(Curvas_cupon_cero!$A$1,1,0,COUNT(Curvas_cupon_cero!$A:$A)-2,1),OFFSET(Curvas_cupon_cero!$A$1,1,MATCH($B$7,Curvas_cupon_cero!$1:$1,0)-1,COUNT(Curvas_cupon_cero!$A:$A)-2,1))))</f>
        <v/>
      </c>
      <c r="D84" s="23" t="str">
        <f ca="1">IF(A84="","",IF($B$8="Sí",interpolar_alamb(H84,OFFSET(Curvas_cupon_cero!$A$1,1,0,COUNT(Curvas_cupon_cero!$A:$A)-2,1),OFFSET(Curvas_cupon_cero!$A$1,1,MATCH($B$7,Curvas_cupon_cero!$1:$1,0)-1,COUNT(Curvas_cupon_cero!$A:$A)-2,1)),[1]!interpolar(H84,OFFSET(Curvas_cupon_cero!$A$1,1,0,COUNT(Curvas_cupon_cero!$A:$A)-2,1),OFFSET(Curvas_cupon_cero!$A$1,1,MATCH($B$7,Curvas_cupon_cero!$1:$1,0)-1,COUNT(Curvas_cupon_cero!$A:$A)-2,1))))</f>
        <v/>
      </c>
      <c r="E84" s="23" t="str">
        <f t="shared" si="10"/>
        <v/>
      </c>
      <c r="F84" s="17" t="str">
        <f t="shared" si="8"/>
        <v/>
      </c>
      <c r="G84" s="18" t="str">
        <f t="shared" si="11"/>
        <v/>
      </c>
      <c r="H84" t="str">
        <f t="shared" si="12"/>
        <v/>
      </c>
      <c r="I84" s="23" t="str">
        <f ca="1">IF(A84="","",IF($B$8="Sí",interpolar_alamb(H84,OFFSET(Curvas_cupon_cero!$A$1,1,0,COUNT(Curvas_cupon_cero!$A:$A)-2,1),OFFSET(Curvas_cupon_cero!$A$1,1,MATCH($B$6,Curvas_cupon_cero!$1:$1,0)-1,COUNT(Curvas_cupon_cero!$A:$A)-2,1)),[1]!interpolar(H84,OFFSET(Curvas_cupon_cero!$A$1,1,0,COUNT(Curvas_cupon_cero!$A:$A)-2,1),OFFSET(Curvas_cupon_cero!$A$1,1,MATCH($B$6,Curvas_cupon_cero!$1:$1,0)-1,COUNT(Curvas_cupon_cero!$A:$A)-2,1))))</f>
        <v/>
      </c>
      <c r="J84" s="19" t="str">
        <f>IF(A84="","",F84/(1+I84*$B$5/360)^(COUNT(A$16:A84)-($B$5-$G$16)/$B$5))</f>
        <v/>
      </c>
    </row>
    <row r="85" spans="1:10" x14ac:dyDescent="0.2">
      <c r="A85" s="12" t="str">
        <f t="shared" si="9"/>
        <v/>
      </c>
      <c r="B85" t="str">
        <f t="shared" si="7"/>
        <v/>
      </c>
      <c r="C85" s="21" t="str">
        <f ca="1">IF(A85="","",IF($B$8="Sí",interpolar_alamb(B85,OFFSET(Curvas_cupon_cero!$A$1,1,0,COUNT(Curvas_cupon_cero!$A:$A)-2,1),OFFSET(Curvas_cupon_cero!$A$1,1,MATCH($B$7,Curvas_cupon_cero!$1:$1,0)-1,COUNT(Curvas_cupon_cero!$A:$A)-2,1)),[1]!interpolar(B85,OFFSET(Curvas_cupon_cero!$A$1,1,0,COUNT(Curvas_cupon_cero!$A:$A)-2,1),OFFSET(Curvas_cupon_cero!$A$1,1,MATCH($B$7,Curvas_cupon_cero!$1:$1,0)-1,COUNT(Curvas_cupon_cero!$A:$A)-2,1))))</f>
        <v/>
      </c>
      <c r="D85" s="23" t="str">
        <f ca="1">IF(A85="","",IF($B$8="Sí",interpolar_alamb(H85,OFFSET(Curvas_cupon_cero!$A$1,1,0,COUNT(Curvas_cupon_cero!$A:$A)-2,1),OFFSET(Curvas_cupon_cero!$A$1,1,MATCH($B$7,Curvas_cupon_cero!$1:$1,0)-1,COUNT(Curvas_cupon_cero!$A:$A)-2,1)),[1]!interpolar(H85,OFFSET(Curvas_cupon_cero!$A$1,1,0,COUNT(Curvas_cupon_cero!$A:$A)-2,1),OFFSET(Curvas_cupon_cero!$A$1,1,MATCH($B$7,Curvas_cupon_cero!$1:$1,0)-1,COUNT(Curvas_cupon_cero!$A:$A)-2,1))))</f>
        <v/>
      </c>
      <c r="E85" s="23" t="str">
        <f t="shared" si="10"/>
        <v/>
      </c>
      <c r="F85" s="17" t="str">
        <f t="shared" si="8"/>
        <v/>
      </c>
      <c r="G85" s="18" t="str">
        <f t="shared" si="11"/>
        <v/>
      </c>
      <c r="H85" t="str">
        <f t="shared" si="12"/>
        <v/>
      </c>
      <c r="I85" s="23" t="str">
        <f ca="1">IF(A85="","",IF($B$8="Sí",interpolar_alamb(H85,OFFSET(Curvas_cupon_cero!$A$1,1,0,COUNT(Curvas_cupon_cero!$A:$A)-2,1),OFFSET(Curvas_cupon_cero!$A$1,1,MATCH($B$6,Curvas_cupon_cero!$1:$1,0)-1,COUNT(Curvas_cupon_cero!$A:$A)-2,1)),[1]!interpolar(H85,OFFSET(Curvas_cupon_cero!$A$1,1,0,COUNT(Curvas_cupon_cero!$A:$A)-2,1),OFFSET(Curvas_cupon_cero!$A$1,1,MATCH($B$6,Curvas_cupon_cero!$1:$1,0)-1,COUNT(Curvas_cupon_cero!$A:$A)-2,1))))</f>
        <v/>
      </c>
      <c r="J85" s="19" t="str">
        <f>IF(A85="","",F85/(1+I85*$B$5/360)^(COUNT(A$16:A85)-($B$5-$G$16)/$B$5))</f>
        <v/>
      </c>
    </row>
    <row r="86" spans="1:10" x14ac:dyDescent="0.2">
      <c r="A86" s="12" t="str">
        <f t="shared" si="9"/>
        <v/>
      </c>
      <c r="B86" t="str">
        <f t="shared" si="7"/>
        <v/>
      </c>
      <c r="C86" s="21" t="str">
        <f ca="1">IF(A86="","",IF($B$8="Sí",interpolar_alamb(B86,OFFSET(Curvas_cupon_cero!$A$1,1,0,COUNT(Curvas_cupon_cero!$A:$A)-2,1),OFFSET(Curvas_cupon_cero!$A$1,1,MATCH($B$7,Curvas_cupon_cero!$1:$1,0)-1,COUNT(Curvas_cupon_cero!$A:$A)-2,1)),[1]!interpolar(B86,OFFSET(Curvas_cupon_cero!$A$1,1,0,COUNT(Curvas_cupon_cero!$A:$A)-2,1),OFFSET(Curvas_cupon_cero!$A$1,1,MATCH($B$7,Curvas_cupon_cero!$1:$1,0)-1,COUNT(Curvas_cupon_cero!$A:$A)-2,1))))</f>
        <v/>
      </c>
      <c r="D86" s="23" t="str">
        <f ca="1">IF(A86="","",IF($B$8="Sí",interpolar_alamb(H86,OFFSET(Curvas_cupon_cero!$A$1,1,0,COUNT(Curvas_cupon_cero!$A:$A)-2,1),OFFSET(Curvas_cupon_cero!$A$1,1,MATCH($B$7,Curvas_cupon_cero!$1:$1,0)-1,COUNT(Curvas_cupon_cero!$A:$A)-2,1)),[1]!interpolar(H86,OFFSET(Curvas_cupon_cero!$A$1,1,0,COUNT(Curvas_cupon_cero!$A:$A)-2,1),OFFSET(Curvas_cupon_cero!$A$1,1,MATCH($B$7,Curvas_cupon_cero!$1:$1,0)-1,COUNT(Curvas_cupon_cero!$A:$A)-2,1))))</f>
        <v/>
      </c>
      <c r="E86" s="23" t="str">
        <f t="shared" si="10"/>
        <v/>
      </c>
      <c r="F86" s="17" t="str">
        <f t="shared" si="8"/>
        <v/>
      </c>
      <c r="G86" s="18" t="str">
        <f t="shared" si="11"/>
        <v/>
      </c>
      <c r="H86" t="str">
        <f t="shared" si="12"/>
        <v/>
      </c>
      <c r="I86" s="23" t="str">
        <f ca="1">IF(A86="","",IF($B$8="Sí",interpolar_alamb(H86,OFFSET(Curvas_cupon_cero!$A$1,1,0,COUNT(Curvas_cupon_cero!$A:$A)-2,1),OFFSET(Curvas_cupon_cero!$A$1,1,MATCH($B$6,Curvas_cupon_cero!$1:$1,0)-1,COUNT(Curvas_cupon_cero!$A:$A)-2,1)),[1]!interpolar(H86,OFFSET(Curvas_cupon_cero!$A$1,1,0,COUNT(Curvas_cupon_cero!$A:$A)-2,1),OFFSET(Curvas_cupon_cero!$A$1,1,MATCH($B$6,Curvas_cupon_cero!$1:$1,0)-1,COUNT(Curvas_cupon_cero!$A:$A)-2,1))))</f>
        <v/>
      </c>
      <c r="J86" s="19" t="str">
        <f>IF(A86="","",F86/(1+I86*$B$5/360)^(COUNT(A$16:A86)-($B$5-$G$16)/$B$5))</f>
        <v/>
      </c>
    </row>
    <row r="87" spans="1:10" x14ac:dyDescent="0.2">
      <c r="A87" s="12" t="str">
        <f t="shared" si="9"/>
        <v/>
      </c>
      <c r="B87" t="str">
        <f t="shared" si="7"/>
        <v/>
      </c>
      <c r="C87" s="21" t="str">
        <f ca="1">IF(A87="","",IF($B$8="Sí",interpolar_alamb(B87,OFFSET(Curvas_cupon_cero!$A$1,1,0,COUNT(Curvas_cupon_cero!$A:$A)-2,1),OFFSET(Curvas_cupon_cero!$A$1,1,MATCH($B$7,Curvas_cupon_cero!$1:$1,0)-1,COUNT(Curvas_cupon_cero!$A:$A)-2,1)),[1]!interpolar(B87,OFFSET(Curvas_cupon_cero!$A$1,1,0,COUNT(Curvas_cupon_cero!$A:$A)-2,1),OFFSET(Curvas_cupon_cero!$A$1,1,MATCH($B$7,Curvas_cupon_cero!$1:$1,0)-1,COUNT(Curvas_cupon_cero!$A:$A)-2,1))))</f>
        <v/>
      </c>
      <c r="D87" s="23" t="str">
        <f ca="1">IF(A87="","",IF($B$8="Sí",interpolar_alamb(H87,OFFSET(Curvas_cupon_cero!$A$1,1,0,COUNT(Curvas_cupon_cero!$A:$A)-2,1),OFFSET(Curvas_cupon_cero!$A$1,1,MATCH($B$7,Curvas_cupon_cero!$1:$1,0)-1,COUNT(Curvas_cupon_cero!$A:$A)-2,1)),[1]!interpolar(H87,OFFSET(Curvas_cupon_cero!$A$1,1,0,COUNT(Curvas_cupon_cero!$A:$A)-2,1),OFFSET(Curvas_cupon_cero!$A$1,1,MATCH($B$7,Curvas_cupon_cero!$1:$1,0)-1,COUNT(Curvas_cupon_cero!$A:$A)-2,1))))</f>
        <v/>
      </c>
      <c r="E87" s="23" t="str">
        <f t="shared" si="10"/>
        <v/>
      </c>
      <c r="F87" s="17" t="str">
        <f t="shared" si="8"/>
        <v/>
      </c>
      <c r="G87" s="18" t="str">
        <f t="shared" si="11"/>
        <v/>
      </c>
      <c r="H87" t="str">
        <f t="shared" si="12"/>
        <v/>
      </c>
      <c r="I87" s="23" t="str">
        <f ca="1">IF(A87="","",IF($B$8="Sí",interpolar_alamb(H87,OFFSET(Curvas_cupon_cero!$A$1,1,0,COUNT(Curvas_cupon_cero!$A:$A)-2,1),OFFSET(Curvas_cupon_cero!$A$1,1,MATCH($B$6,Curvas_cupon_cero!$1:$1,0)-1,COUNT(Curvas_cupon_cero!$A:$A)-2,1)),[1]!interpolar(H87,OFFSET(Curvas_cupon_cero!$A$1,1,0,COUNT(Curvas_cupon_cero!$A:$A)-2,1),OFFSET(Curvas_cupon_cero!$A$1,1,MATCH($B$6,Curvas_cupon_cero!$1:$1,0)-1,COUNT(Curvas_cupon_cero!$A:$A)-2,1))))</f>
        <v/>
      </c>
      <c r="J87" s="19" t="str">
        <f>IF(A87="","",F87/(1+I87*$B$5/360)^(COUNT(A$16:A87)-($B$5-$G$16)/$B$5))</f>
        <v/>
      </c>
    </row>
    <row r="88" spans="1:10" x14ac:dyDescent="0.2">
      <c r="A88" s="12" t="str">
        <f t="shared" si="9"/>
        <v/>
      </c>
      <c r="B88" t="str">
        <f t="shared" si="7"/>
        <v/>
      </c>
      <c r="C88" s="21" t="str">
        <f ca="1">IF(A88="","",IF($B$8="Sí",interpolar_alamb(B88,OFFSET(Curvas_cupon_cero!$A$1,1,0,COUNT(Curvas_cupon_cero!$A:$A)-2,1),OFFSET(Curvas_cupon_cero!$A$1,1,MATCH($B$7,Curvas_cupon_cero!$1:$1,0)-1,COUNT(Curvas_cupon_cero!$A:$A)-2,1)),[1]!interpolar(B88,OFFSET(Curvas_cupon_cero!$A$1,1,0,COUNT(Curvas_cupon_cero!$A:$A)-2,1),OFFSET(Curvas_cupon_cero!$A$1,1,MATCH($B$7,Curvas_cupon_cero!$1:$1,0)-1,COUNT(Curvas_cupon_cero!$A:$A)-2,1))))</f>
        <v/>
      </c>
      <c r="D88" s="23" t="str">
        <f ca="1">IF(A88="","",IF($B$8="Sí",interpolar_alamb(H88,OFFSET(Curvas_cupon_cero!$A$1,1,0,COUNT(Curvas_cupon_cero!$A:$A)-2,1),OFFSET(Curvas_cupon_cero!$A$1,1,MATCH($B$7,Curvas_cupon_cero!$1:$1,0)-1,COUNT(Curvas_cupon_cero!$A:$A)-2,1)),[1]!interpolar(H88,OFFSET(Curvas_cupon_cero!$A$1,1,0,COUNT(Curvas_cupon_cero!$A:$A)-2,1),OFFSET(Curvas_cupon_cero!$A$1,1,MATCH($B$7,Curvas_cupon_cero!$1:$1,0)-1,COUNT(Curvas_cupon_cero!$A:$A)-2,1))))</f>
        <v/>
      </c>
      <c r="E88" s="23" t="str">
        <f t="shared" si="10"/>
        <v/>
      </c>
      <c r="F88" s="17" t="str">
        <f t="shared" si="8"/>
        <v/>
      </c>
      <c r="G88" s="18" t="str">
        <f t="shared" si="11"/>
        <v/>
      </c>
      <c r="H88" t="str">
        <f t="shared" si="12"/>
        <v/>
      </c>
      <c r="I88" s="23" t="str">
        <f ca="1">IF(A88="","",IF($B$8="Sí",interpolar_alamb(H88,OFFSET(Curvas_cupon_cero!$A$1,1,0,COUNT(Curvas_cupon_cero!$A:$A)-2,1),OFFSET(Curvas_cupon_cero!$A$1,1,MATCH($B$6,Curvas_cupon_cero!$1:$1,0)-1,COUNT(Curvas_cupon_cero!$A:$A)-2,1)),[1]!interpolar(H88,OFFSET(Curvas_cupon_cero!$A$1,1,0,COUNT(Curvas_cupon_cero!$A:$A)-2,1),OFFSET(Curvas_cupon_cero!$A$1,1,MATCH($B$6,Curvas_cupon_cero!$1:$1,0)-1,COUNT(Curvas_cupon_cero!$A:$A)-2,1))))</f>
        <v/>
      </c>
      <c r="J88" s="19" t="str">
        <f>IF(A88="","",F88/(1+I88*$B$5/360)^(COUNT(A$16:A88)-($B$5-$G$16)/$B$5))</f>
        <v/>
      </c>
    </row>
    <row r="89" spans="1:10" x14ac:dyDescent="0.2">
      <c r="A89" s="12" t="str">
        <f t="shared" si="9"/>
        <v/>
      </c>
      <c r="B89" t="str">
        <f t="shared" si="7"/>
        <v/>
      </c>
      <c r="C89" s="21" t="str">
        <f ca="1">IF(A89="","",IF($B$8="Sí",interpolar_alamb(B89,OFFSET(Curvas_cupon_cero!$A$1,1,0,COUNT(Curvas_cupon_cero!$A:$A)-2,1),OFFSET(Curvas_cupon_cero!$A$1,1,MATCH($B$7,Curvas_cupon_cero!$1:$1,0)-1,COUNT(Curvas_cupon_cero!$A:$A)-2,1)),[1]!interpolar(B89,OFFSET(Curvas_cupon_cero!$A$1,1,0,COUNT(Curvas_cupon_cero!$A:$A)-2,1),OFFSET(Curvas_cupon_cero!$A$1,1,MATCH($B$7,Curvas_cupon_cero!$1:$1,0)-1,COUNT(Curvas_cupon_cero!$A:$A)-2,1))))</f>
        <v/>
      </c>
      <c r="D89" s="23" t="str">
        <f ca="1">IF(A89="","",IF($B$8="Sí",interpolar_alamb(H89,OFFSET(Curvas_cupon_cero!$A$1,1,0,COUNT(Curvas_cupon_cero!$A:$A)-2,1),OFFSET(Curvas_cupon_cero!$A$1,1,MATCH($B$7,Curvas_cupon_cero!$1:$1,0)-1,COUNT(Curvas_cupon_cero!$A:$A)-2,1)),[1]!interpolar(H89,OFFSET(Curvas_cupon_cero!$A$1,1,0,COUNT(Curvas_cupon_cero!$A:$A)-2,1),OFFSET(Curvas_cupon_cero!$A$1,1,MATCH($B$7,Curvas_cupon_cero!$1:$1,0)-1,COUNT(Curvas_cupon_cero!$A:$A)-2,1))))</f>
        <v/>
      </c>
      <c r="E89" s="23" t="str">
        <f t="shared" si="10"/>
        <v/>
      </c>
      <c r="F89" s="17" t="str">
        <f t="shared" si="8"/>
        <v/>
      </c>
      <c r="G89" s="18" t="str">
        <f t="shared" si="11"/>
        <v/>
      </c>
      <c r="H89" t="str">
        <f t="shared" si="12"/>
        <v/>
      </c>
      <c r="I89" s="23" t="str">
        <f ca="1">IF(A89="","",IF($B$8="Sí",interpolar_alamb(H89,OFFSET(Curvas_cupon_cero!$A$1,1,0,COUNT(Curvas_cupon_cero!$A:$A)-2,1),OFFSET(Curvas_cupon_cero!$A$1,1,MATCH($B$6,Curvas_cupon_cero!$1:$1,0)-1,COUNT(Curvas_cupon_cero!$A:$A)-2,1)),[1]!interpolar(H89,OFFSET(Curvas_cupon_cero!$A$1,1,0,COUNT(Curvas_cupon_cero!$A:$A)-2,1),OFFSET(Curvas_cupon_cero!$A$1,1,MATCH($B$6,Curvas_cupon_cero!$1:$1,0)-1,COUNT(Curvas_cupon_cero!$A:$A)-2,1))))</f>
        <v/>
      </c>
      <c r="J89" s="19" t="str">
        <f>IF(A89="","",F89/(1+I89*$B$5/360)^(COUNT(A$16:A89)-($B$5-$G$16)/$B$5))</f>
        <v/>
      </c>
    </row>
    <row r="90" spans="1:10" x14ac:dyDescent="0.2">
      <c r="A90" s="12" t="str">
        <f t="shared" si="9"/>
        <v/>
      </c>
      <c r="B90" t="str">
        <f t="shared" si="7"/>
        <v/>
      </c>
      <c r="C90" s="21" t="str">
        <f ca="1">IF(A90="","",IF($B$8="Sí",interpolar_alamb(B90,OFFSET(Curvas_cupon_cero!$A$1,1,0,COUNT(Curvas_cupon_cero!$A:$A)-2,1),OFFSET(Curvas_cupon_cero!$A$1,1,MATCH($B$7,Curvas_cupon_cero!$1:$1,0)-1,COUNT(Curvas_cupon_cero!$A:$A)-2,1)),[1]!interpolar(B90,OFFSET(Curvas_cupon_cero!$A$1,1,0,COUNT(Curvas_cupon_cero!$A:$A)-2,1),OFFSET(Curvas_cupon_cero!$A$1,1,MATCH($B$7,Curvas_cupon_cero!$1:$1,0)-1,COUNT(Curvas_cupon_cero!$A:$A)-2,1))))</f>
        <v/>
      </c>
      <c r="D90" s="23" t="str">
        <f ca="1">IF(A90="","",IF($B$8="Sí",interpolar_alamb(H90,OFFSET(Curvas_cupon_cero!$A$1,1,0,COUNT(Curvas_cupon_cero!$A:$A)-2,1),OFFSET(Curvas_cupon_cero!$A$1,1,MATCH($B$7,Curvas_cupon_cero!$1:$1,0)-1,COUNT(Curvas_cupon_cero!$A:$A)-2,1)),[1]!interpolar(H90,OFFSET(Curvas_cupon_cero!$A$1,1,0,COUNT(Curvas_cupon_cero!$A:$A)-2,1),OFFSET(Curvas_cupon_cero!$A$1,1,MATCH($B$7,Curvas_cupon_cero!$1:$1,0)-1,COUNT(Curvas_cupon_cero!$A:$A)-2,1))))</f>
        <v/>
      </c>
      <c r="E90" s="23" t="str">
        <f t="shared" si="10"/>
        <v/>
      </c>
      <c r="F90" s="17" t="str">
        <f t="shared" si="8"/>
        <v/>
      </c>
      <c r="G90" s="18" t="str">
        <f t="shared" si="11"/>
        <v/>
      </c>
      <c r="H90" t="str">
        <f t="shared" si="12"/>
        <v/>
      </c>
      <c r="I90" s="23" t="str">
        <f ca="1">IF(A90="","",IF($B$8="Sí",interpolar_alamb(H90,OFFSET(Curvas_cupon_cero!$A$1,1,0,COUNT(Curvas_cupon_cero!$A:$A)-2,1),OFFSET(Curvas_cupon_cero!$A$1,1,MATCH($B$6,Curvas_cupon_cero!$1:$1,0)-1,COUNT(Curvas_cupon_cero!$A:$A)-2,1)),[1]!interpolar(H90,OFFSET(Curvas_cupon_cero!$A$1,1,0,COUNT(Curvas_cupon_cero!$A:$A)-2,1),OFFSET(Curvas_cupon_cero!$A$1,1,MATCH($B$6,Curvas_cupon_cero!$1:$1,0)-1,COUNT(Curvas_cupon_cero!$A:$A)-2,1))))</f>
        <v/>
      </c>
      <c r="J90" s="19" t="str">
        <f>IF(A90="","",F90/(1+I90*$B$5/360)^(COUNT(A$16:A90)-($B$5-$G$16)/$B$5))</f>
        <v/>
      </c>
    </row>
    <row r="91" spans="1:10" x14ac:dyDescent="0.2">
      <c r="A91" s="12" t="str">
        <f t="shared" si="9"/>
        <v/>
      </c>
      <c r="B91" t="str">
        <f t="shared" si="7"/>
        <v/>
      </c>
      <c r="C91" s="21" t="str">
        <f ca="1">IF(A91="","",IF($B$8="Sí",interpolar_alamb(B91,OFFSET(Curvas_cupon_cero!$A$1,1,0,COUNT(Curvas_cupon_cero!$A:$A)-2,1),OFFSET(Curvas_cupon_cero!$A$1,1,MATCH($B$7,Curvas_cupon_cero!$1:$1,0)-1,COUNT(Curvas_cupon_cero!$A:$A)-2,1)),[1]!interpolar(B91,OFFSET(Curvas_cupon_cero!$A$1,1,0,COUNT(Curvas_cupon_cero!$A:$A)-2,1),OFFSET(Curvas_cupon_cero!$A$1,1,MATCH($B$7,Curvas_cupon_cero!$1:$1,0)-1,COUNT(Curvas_cupon_cero!$A:$A)-2,1))))</f>
        <v/>
      </c>
      <c r="D91" s="23" t="str">
        <f ca="1">IF(A91="","",IF($B$8="Sí",interpolar_alamb(H91,OFFSET(Curvas_cupon_cero!$A$1,1,0,COUNT(Curvas_cupon_cero!$A:$A)-2,1),OFFSET(Curvas_cupon_cero!$A$1,1,MATCH($B$7,Curvas_cupon_cero!$1:$1,0)-1,COUNT(Curvas_cupon_cero!$A:$A)-2,1)),[1]!interpolar(H91,OFFSET(Curvas_cupon_cero!$A$1,1,0,COUNT(Curvas_cupon_cero!$A:$A)-2,1),OFFSET(Curvas_cupon_cero!$A$1,1,MATCH($B$7,Curvas_cupon_cero!$1:$1,0)-1,COUNT(Curvas_cupon_cero!$A:$A)-2,1))))</f>
        <v/>
      </c>
      <c r="E91" s="23" t="str">
        <f t="shared" si="10"/>
        <v/>
      </c>
      <c r="F91" s="17" t="str">
        <f t="shared" si="8"/>
        <v/>
      </c>
      <c r="G91" s="18" t="str">
        <f t="shared" si="11"/>
        <v/>
      </c>
      <c r="H91" t="str">
        <f t="shared" si="12"/>
        <v/>
      </c>
      <c r="I91" s="23" t="str">
        <f ca="1">IF(A91="","",IF($B$8="Sí",interpolar_alamb(H91,OFFSET(Curvas_cupon_cero!$A$1,1,0,COUNT(Curvas_cupon_cero!$A:$A)-2,1),OFFSET(Curvas_cupon_cero!$A$1,1,MATCH($B$6,Curvas_cupon_cero!$1:$1,0)-1,COUNT(Curvas_cupon_cero!$A:$A)-2,1)),[1]!interpolar(H91,OFFSET(Curvas_cupon_cero!$A$1,1,0,COUNT(Curvas_cupon_cero!$A:$A)-2,1),OFFSET(Curvas_cupon_cero!$A$1,1,MATCH($B$6,Curvas_cupon_cero!$1:$1,0)-1,COUNT(Curvas_cupon_cero!$A:$A)-2,1))))</f>
        <v/>
      </c>
      <c r="J91" s="19" t="str">
        <f>IF(A91="","",F91/(1+I91*$B$5/360)^(COUNT(A$16:A91)-($B$5-$G$16)/$B$5))</f>
        <v/>
      </c>
    </row>
    <row r="92" spans="1:10" x14ac:dyDescent="0.2">
      <c r="A92" s="12" t="str">
        <f t="shared" si="9"/>
        <v/>
      </c>
      <c r="B92" t="str">
        <f t="shared" si="7"/>
        <v/>
      </c>
      <c r="C92" s="21" t="str">
        <f ca="1">IF(A92="","",IF($B$8="Sí",interpolar_alamb(B92,OFFSET(Curvas_cupon_cero!$A$1,1,0,COUNT(Curvas_cupon_cero!$A:$A)-2,1),OFFSET(Curvas_cupon_cero!$A$1,1,MATCH($B$7,Curvas_cupon_cero!$1:$1,0)-1,COUNT(Curvas_cupon_cero!$A:$A)-2,1)),[1]!interpolar(B92,OFFSET(Curvas_cupon_cero!$A$1,1,0,COUNT(Curvas_cupon_cero!$A:$A)-2,1),OFFSET(Curvas_cupon_cero!$A$1,1,MATCH($B$7,Curvas_cupon_cero!$1:$1,0)-1,COUNT(Curvas_cupon_cero!$A:$A)-2,1))))</f>
        <v/>
      </c>
      <c r="D92" s="23" t="str">
        <f ca="1">IF(A92="","",IF($B$8="Sí",interpolar_alamb(H92,OFFSET(Curvas_cupon_cero!$A$1,1,0,COUNT(Curvas_cupon_cero!$A:$A)-2,1),OFFSET(Curvas_cupon_cero!$A$1,1,MATCH($B$7,Curvas_cupon_cero!$1:$1,0)-1,COUNT(Curvas_cupon_cero!$A:$A)-2,1)),[1]!interpolar(H92,OFFSET(Curvas_cupon_cero!$A$1,1,0,COUNT(Curvas_cupon_cero!$A:$A)-2,1),OFFSET(Curvas_cupon_cero!$A$1,1,MATCH($B$7,Curvas_cupon_cero!$1:$1,0)-1,COUNT(Curvas_cupon_cero!$A:$A)-2,1))))</f>
        <v/>
      </c>
      <c r="E92" s="23" t="str">
        <f t="shared" si="10"/>
        <v/>
      </c>
      <c r="F92" s="17" t="str">
        <f t="shared" si="8"/>
        <v/>
      </c>
      <c r="G92" s="18" t="str">
        <f t="shared" si="11"/>
        <v/>
      </c>
      <c r="H92" t="str">
        <f t="shared" si="12"/>
        <v/>
      </c>
      <c r="I92" s="23" t="str">
        <f ca="1">IF(A92="","",IF($B$8="Sí",interpolar_alamb(H92,OFFSET(Curvas_cupon_cero!$A$1,1,0,COUNT(Curvas_cupon_cero!$A:$A)-2,1),OFFSET(Curvas_cupon_cero!$A$1,1,MATCH($B$6,Curvas_cupon_cero!$1:$1,0)-1,COUNT(Curvas_cupon_cero!$A:$A)-2,1)),[1]!interpolar(H92,OFFSET(Curvas_cupon_cero!$A$1,1,0,COUNT(Curvas_cupon_cero!$A:$A)-2,1),OFFSET(Curvas_cupon_cero!$A$1,1,MATCH($B$6,Curvas_cupon_cero!$1:$1,0)-1,COUNT(Curvas_cupon_cero!$A:$A)-2,1))))</f>
        <v/>
      </c>
      <c r="J92" s="19" t="str">
        <f>IF(A92="","",F92/(1+I92*$B$5/360)^(COUNT(A$16:A92)-($B$5-$G$16)/$B$5))</f>
        <v/>
      </c>
    </row>
    <row r="93" spans="1:10" x14ac:dyDescent="0.2">
      <c r="A93" s="12" t="str">
        <f t="shared" si="9"/>
        <v/>
      </c>
      <c r="B93" t="str">
        <f t="shared" si="7"/>
        <v/>
      </c>
      <c r="C93" s="21" t="str">
        <f ca="1">IF(A93="","",IF($B$8="Sí",interpolar_alamb(B93,OFFSET(Curvas_cupon_cero!$A$1,1,0,COUNT(Curvas_cupon_cero!$A:$A)-2,1),OFFSET(Curvas_cupon_cero!$A$1,1,MATCH($B$7,Curvas_cupon_cero!$1:$1,0)-1,COUNT(Curvas_cupon_cero!$A:$A)-2,1)),[1]!interpolar(B93,OFFSET(Curvas_cupon_cero!$A$1,1,0,COUNT(Curvas_cupon_cero!$A:$A)-2,1),OFFSET(Curvas_cupon_cero!$A$1,1,MATCH($B$7,Curvas_cupon_cero!$1:$1,0)-1,COUNT(Curvas_cupon_cero!$A:$A)-2,1))))</f>
        <v/>
      </c>
      <c r="D93" s="23" t="str">
        <f ca="1">IF(A93="","",IF($B$8="Sí",interpolar_alamb(H93,OFFSET(Curvas_cupon_cero!$A$1,1,0,COUNT(Curvas_cupon_cero!$A:$A)-2,1),OFFSET(Curvas_cupon_cero!$A$1,1,MATCH($B$7,Curvas_cupon_cero!$1:$1,0)-1,COUNT(Curvas_cupon_cero!$A:$A)-2,1)),[1]!interpolar(H93,OFFSET(Curvas_cupon_cero!$A$1,1,0,COUNT(Curvas_cupon_cero!$A:$A)-2,1),OFFSET(Curvas_cupon_cero!$A$1,1,MATCH($B$7,Curvas_cupon_cero!$1:$1,0)-1,COUNT(Curvas_cupon_cero!$A:$A)-2,1))))</f>
        <v/>
      </c>
      <c r="E93" s="23" t="str">
        <f t="shared" si="10"/>
        <v/>
      </c>
      <c r="F93" s="17" t="str">
        <f t="shared" si="8"/>
        <v/>
      </c>
      <c r="G93" s="18" t="str">
        <f t="shared" si="11"/>
        <v/>
      </c>
      <c r="H93" t="str">
        <f t="shared" si="12"/>
        <v/>
      </c>
      <c r="I93" s="23" t="str">
        <f ca="1">IF(A93="","",IF($B$8="Sí",interpolar_alamb(H93,OFFSET(Curvas_cupon_cero!$A$1,1,0,COUNT(Curvas_cupon_cero!$A:$A)-2,1),OFFSET(Curvas_cupon_cero!$A$1,1,MATCH($B$6,Curvas_cupon_cero!$1:$1,0)-1,COUNT(Curvas_cupon_cero!$A:$A)-2,1)),[1]!interpolar(H93,OFFSET(Curvas_cupon_cero!$A$1,1,0,COUNT(Curvas_cupon_cero!$A:$A)-2,1),OFFSET(Curvas_cupon_cero!$A$1,1,MATCH($B$6,Curvas_cupon_cero!$1:$1,0)-1,COUNT(Curvas_cupon_cero!$A:$A)-2,1))))</f>
        <v/>
      </c>
      <c r="J93" s="19" t="str">
        <f>IF(A93="","",F93/(1+I93*$B$5/360)^(COUNT(A$16:A93)-($B$5-$G$16)/$B$5))</f>
        <v/>
      </c>
    </row>
    <row r="94" spans="1:10" x14ac:dyDescent="0.2">
      <c r="A94" s="12" t="str">
        <f t="shared" si="9"/>
        <v/>
      </c>
      <c r="B94" t="str">
        <f t="shared" si="7"/>
        <v/>
      </c>
      <c r="C94" s="21" t="str">
        <f ca="1">IF(A94="","",IF($B$8="Sí",interpolar_alamb(B94,OFFSET(Curvas_cupon_cero!$A$1,1,0,COUNT(Curvas_cupon_cero!$A:$A)-2,1),OFFSET(Curvas_cupon_cero!$A$1,1,MATCH($B$7,Curvas_cupon_cero!$1:$1,0)-1,COUNT(Curvas_cupon_cero!$A:$A)-2,1)),[1]!interpolar(B94,OFFSET(Curvas_cupon_cero!$A$1,1,0,COUNT(Curvas_cupon_cero!$A:$A)-2,1),OFFSET(Curvas_cupon_cero!$A$1,1,MATCH($B$7,Curvas_cupon_cero!$1:$1,0)-1,COUNT(Curvas_cupon_cero!$A:$A)-2,1))))</f>
        <v/>
      </c>
      <c r="D94" s="23" t="str">
        <f ca="1">IF(A94="","",IF($B$8="Sí",interpolar_alamb(H94,OFFSET(Curvas_cupon_cero!$A$1,1,0,COUNT(Curvas_cupon_cero!$A:$A)-2,1),OFFSET(Curvas_cupon_cero!$A$1,1,MATCH($B$7,Curvas_cupon_cero!$1:$1,0)-1,COUNT(Curvas_cupon_cero!$A:$A)-2,1)),[1]!interpolar(H94,OFFSET(Curvas_cupon_cero!$A$1,1,0,COUNT(Curvas_cupon_cero!$A:$A)-2,1),OFFSET(Curvas_cupon_cero!$A$1,1,MATCH($B$7,Curvas_cupon_cero!$1:$1,0)-1,COUNT(Curvas_cupon_cero!$A:$A)-2,1))))</f>
        <v/>
      </c>
      <c r="E94" s="23" t="str">
        <f t="shared" si="10"/>
        <v/>
      </c>
      <c r="F94" s="17" t="str">
        <f t="shared" si="8"/>
        <v/>
      </c>
      <c r="G94" s="18" t="str">
        <f t="shared" si="11"/>
        <v/>
      </c>
      <c r="H94" t="str">
        <f t="shared" si="12"/>
        <v/>
      </c>
      <c r="I94" s="23" t="str">
        <f ca="1">IF(A94="","",IF($B$8="Sí",interpolar_alamb(H94,OFFSET(Curvas_cupon_cero!$A$1,1,0,COUNT(Curvas_cupon_cero!$A:$A)-2,1),OFFSET(Curvas_cupon_cero!$A$1,1,MATCH($B$6,Curvas_cupon_cero!$1:$1,0)-1,COUNT(Curvas_cupon_cero!$A:$A)-2,1)),[1]!interpolar(H94,OFFSET(Curvas_cupon_cero!$A$1,1,0,COUNT(Curvas_cupon_cero!$A:$A)-2,1),OFFSET(Curvas_cupon_cero!$A$1,1,MATCH($B$6,Curvas_cupon_cero!$1:$1,0)-1,COUNT(Curvas_cupon_cero!$A:$A)-2,1))))</f>
        <v/>
      </c>
      <c r="J94" s="19" t="str">
        <f>IF(A94="","",F94/(1+I94*$B$5/360)^(COUNT(A$16:A94)-($B$5-$G$16)/$B$5))</f>
        <v/>
      </c>
    </row>
    <row r="95" spans="1:10" x14ac:dyDescent="0.2">
      <c r="A95" s="12" t="str">
        <f t="shared" si="9"/>
        <v/>
      </c>
      <c r="B95" t="str">
        <f t="shared" si="7"/>
        <v/>
      </c>
      <c r="C95" s="21" t="str">
        <f ca="1">IF(A95="","",IF($B$8="Sí",interpolar_alamb(B95,OFFSET(Curvas_cupon_cero!$A$1,1,0,COUNT(Curvas_cupon_cero!$A:$A)-2,1),OFFSET(Curvas_cupon_cero!$A$1,1,MATCH($B$7,Curvas_cupon_cero!$1:$1,0)-1,COUNT(Curvas_cupon_cero!$A:$A)-2,1)),[1]!interpolar(B95,OFFSET(Curvas_cupon_cero!$A$1,1,0,COUNT(Curvas_cupon_cero!$A:$A)-2,1),OFFSET(Curvas_cupon_cero!$A$1,1,MATCH($B$7,Curvas_cupon_cero!$1:$1,0)-1,COUNT(Curvas_cupon_cero!$A:$A)-2,1))))</f>
        <v/>
      </c>
      <c r="D95" s="23" t="str">
        <f ca="1">IF(A95="","",IF($B$8="Sí",interpolar_alamb(H95,OFFSET(Curvas_cupon_cero!$A$1,1,0,COUNT(Curvas_cupon_cero!$A:$A)-2,1),OFFSET(Curvas_cupon_cero!$A$1,1,MATCH($B$7,Curvas_cupon_cero!$1:$1,0)-1,COUNT(Curvas_cupon_cero!$A:$A)-2,1)),[1]!interpolar(H95,OFFSET(Curvas_cupon_cero!$A$1,1,0,COUNT(Curvas_cupon_cero!$A:$A)-2,1),OFFSET(Curvas_cupon_cero!$A$1,1,MATCH($B$7,Curvas_cupon_cero!$1:$1,0)-1,COUNT(Curvas_cupon_cero!$A:$A)-2,1))))</f>
        <v/>
      </c>
      <c r="E95" s="23" t="str">
        <f t="shared" si="10"/>
        <v/>
      </c>
      <c r="F95" s="17" t="str">
        <f t="shared" si="8"/>
        <v/>
      </c>
      <c r="G95" s="18" t="str">
        <f t="shared" si="11"/>
        <v/>
      </c>
      <c r="H95" t="str">
        <f t="shared" si="12"/>
        <v/>
      </c>
      <c r="I95" s="23" t="str">
        <f ca="1">IF(A95="","",IF($B$8="Sí",interpolar_alamb(H95,OFFSET(Curvas_cupon_cero!$A$1,1,0,COUNT(Curvas_cupon_cero!$A:$A)-2,1),OFFSET(Curvas_cupon_cero!$A$1,1,MATCH($B$6,Curvas_cupon_cero!$1:$1,0)-1,COUNT(Curvas_cupon_cero!$A:$A)-2,1)),[1]!interpolar(H95,OFFSET(Curvas_cupon_cero!$A$1,1,0,COUNT(Curvas_cupon_cero!$A:$A)-2,1),OFFSET(Curvas_cupon_cero!$A$1,1,MATCH($B$6,Curvas_cupon_cero!$1:$1,0)-1,COUNT(Curvas_cupon_cero!$A:$A)-2,1))))</f>
        <v/>
      </c>
      <c r="J95" s="19" t="str">
        <f>IF(A95="","",F95/(1+I95*$B$5/360)^(COUNT(A$16:A95)-($B$5-$G$16)/$B$5))</f>
        <v/>
      </c>
    </row>
    <row r="96" spans="1:10" x14ac:dyDescent="0.2">
      <c r="A96" s="12" t="str">
        <f t="shared" si="9"/>
        <v/>
      </c>
      <c r="B96" t="str">
        <f t="shared" si="7"/>
        <v/>
      </c>
      <c r="C96" s="21" t="str">
        <f ca="1">IF(A96="","",IF($B$8="Sí",interpolar_alamb(B96,OFFSET(Curvas_cupon_cero!$A$1,1,0,COUNT(Curvas_cupon_cero!$A:$A)-2,1),OFFSET(Curvas_cupon_cero!$A$1,1,MATCH($B$7,Curvas_cupon_cero!$1:$1,0)-1,COUNT(Curvas_cupon_cero!$A:$A)-2,1)),[1]!interpolar(B96,OFFSET(Curvas_cupon_cero!$A$1,1,0,COUNT(Curvas_cupon_cero!$A:$A)-2,1),OFFSET(Curvas_cupon_cero!$A$1,1,MATCH($B$7,Curvas_cupon_cero!$1:$1,0)-1,COUNT(Curvas_cupon_cero!$A:$A)-2,1))))</f>
        <v/>
      </c>
      <c r="D96" s="23" t="str">
        <f ca="1">IF(A96="","",IF($B$8="Sí",interpolar_alamb(H96,OFFSET(Curvas_cupon_cero!$A$1,1,0,COUNT(Curvas_cupon_cero!$A:$A)-2,1),OFFSET(Curvas_cupon_cero!$A$1,1,MATCH($B$7,Curvas_cupon_cero!$1:$1,0)-1,COUNT(Curvas_cupon_cero!$A:$A)-2,1)),[1]!interpolar(H96,OFFSET(Curvas_cupon_cero!$A$1,1,0,COUNT(Curvas_cupon_cero!$A:$A)-2,1),OFFSET(Curvas_cupon_cero!$A$1,1,MATCH($B$7,Curvas_cupon_cero!$1:$1,0)-1,COUNT(Curvas_cupon_cero!$A:$A)-2,1))))</f>
        <v/>
      </c>
      <c r="E96" s="23" t="str">
        <f t="shared" si="10"/>
        <v/>
      </c>
      <c r="F96" s="17" t="str">
        <f t="shared" si="8"/>
        <v/>
      </c>
      <c r="G96" s="18" t="str">
        <f t="shared" si="11"/>
        <v/>
      </c>
      <c r="H96" t="str">
        <f t="shared" si="12"/>
        <v/>
      </c>
      <c r="I96" s="23" t="str">
        <f ca="1">IF(A96="","",IF($B$8="Sí",interpolar_alamb(H96,OFFSET(Curvas_cupon_cero!$A$1,1,0,COUNT(Curvas_cupon_cero!$A:$A)-2,1),OFFSET(Curvas_cupon_cero!$A$1,1,MATCH($B$6,Curvas_cupon_cero!$1:$1,0)-1,COUNT(Curvas_cupon_cero!$A:$A)-2,1)),[1]!interpolar(H96,OFFSET(Curvas_cupon_cero!$A$1,1,0,COUNT(Curvas_cupon_cero!$A:$A)-2,1),OFFSET(Curvas_cupon_cero!$A$1,1,MATCH($B$6,Curvas_cupon_cero!$1:$1,0)-1,COUNT(Curvas_cupon_cero!$A:$A)-2,1))))</f>
        <v/>
      </c>
      <c r="J96" s="19" t="str">
        <f>IF(A96="","",F96/(1+I96*$B$5/360)^(COUNT(A$16:A96)-($B$5-$G$16)/$B$5))</f>
        <v/>
      </c>
    </row>
    <row r="97" spans="1:10" x14ac:dyDescent="0.2">
      <c r="A97" s="12" t="str">
        <f t="shared" si="9"/>
        <v/>
      </c>
      <c r="B97" t="str">
        <f t="shared" si="7"/>
        <v/>
      </c>
      <c r="C97" s="21" t="str">
        <f ca="1">IF(A97="","",IF($B$8="Sí",interpolar_alamb(B97,OFFSET(Curvas_cupon_cero!$A$1,1,0,COUNT(Curvas_cupon_cero!$A:$A)-2,1),OFFSET(Curvas_cupon_cero!$A$1,1,MATCH($B$7,Curvas_cupon_cero!$1:$1,0)-1,COUNT(Curvas_cupon_cero!$A:$A)-2,1)),[1]!interpolar(B97,OFFSET(Curvas_cupon_cero!$A$1,1,0,COUNT(Curvas_cupon_cero!$A:$A)-2,1),OFFSET(Curvas_cupon_cero!$A$1,1,MATCH($B$7,Curvas_cupon_cero!$1:$1,0)-1,COUNT(Curvas_cupon_cero!$A:$A)-2,1))))</f>
        <v/>
      </c>
      <c r="D97" s="23" t="str">
        <f ca="1">IF(A97="","",IF($B$8="Sí",interpolar_alamb(H97,OFFSET(Curvas_cupon_cero!$A$1,1,0,COUNT(Curvas_cupon_cero!$A:$A)-2,1),OFFSET(Curvas_cupon_cero!$A$1,1,MATCH($B$7,Curvas_cupon_cero!$1:$1,0)-1,COUNT(Curvas_cupon_cero!$A:$A)-2,1)),[1]!interpolar(H97,OFFSET(Curvas_cupon_cero!$A$1,1,0,COUNT(Curvas_cupon_cero!$A:$A)-2,1),OFFSET(Curvas_cupon_cero!$A$1,1,MATCH($B$7,Curvas_cupon_cero!$1:$1,0)-1,COUNT(Curvas_cupon_cero!$A:$A)-2,1))))</f>
        <v/>
      </c>
      <c r="E97" s="23" t="str">
        <f t="shared" si="10"/>
        <v/>
      </c>
      <c r="F97" s="17" t="str">
        <f t="shared" si="8"/>
        <v/>
      </c>
      <c r="G97" s="18" t="str">
        <f t="shared" si="11"/>
        <v/>
      </c>
      <c r="H97" t="str">
        <f t="shared" si="12"/>
        <v/>
      </c>
      <c r="I97" s="23" t="str">
        <f ca="1">IF(A97="","",IF($B$8="Sí",interpolar_alamb(H97,OFFSET(Curvas_cupon_cero!$A$1,1,0,COUNT(Curvas_cupon_cero!$A:$A)-2,1),OFFSET(Curvas_cupon_cero!$A$1,1,MATCH($B$6,Curvas_cupon_cero!$1:$1,0)-1,COUNT(Curvas_cupon_cero!$A:$A)-2,1)),[1]!interpolar(H97,OFFSET(Curvas_cupon_cero!$A$1,1,0,COUNT(Curvas_cupon_cero!$A:$A)-2,1),OFFSET(Curvas_cupon_cero!$A$1,1,MATCH($B$6,Curvas_cupon_cero!$1:$1,0)-1,COUNT(Curvas_cupon_cero!$A:$A)-2,1))))</f>
        <v/>
      </c>
      <c r="J97" s="19" t="str">
        <f>IF(A97="","",F97/(1+I97*$B$5/360)^(COUNT(A$16:A97)-($B$5-$G$16)/$B$5))</f>
        <v/>
      </c>
    </row>
    <row r="98" spans="1:10" x14ac:dyDescent="0.2">
      <c r="A98" s="12" t="str">
        <f t="shared" si="9"/>
        <v/>
      </c>
      <c r="B98" t="str">
        <f t="shared" si="7"/>
        <v/>
      </c>
      <c r="C98" s="21" t="str">
        <f ca="1">IF(A98="","",IF($B$8="Sí",interpolar_alamb(B98,OFFSET(Curvas_cupon_cero!$A$1,1,0,COUNT(Curvas_cupon_cero!$A:$A)-2,1),OFFSET(Curvas_cupon_cero!$A$1,1,MATCH($B$7,Curvas_cupon_cero!$1:$1,0)-1,COUNT(Curvas_cupon_cero!$A:$A)-2,1)),[1]!interpolar(B98,OFFSET(Curvas_cupon_cero!$A$1,1,0,COUNT(Curvas_cupon_cero!$A:$A)-2,1),OFFSET(Curvas_cupon_cero!$A$1,1,MATCH($B$7,Curvas_cupon_cero!$1:$1,0)-1,COUNT(Curvas_cupon_cero!$A:$A)-2,1))))</f>
        <v/>
      </c>
      <c r="D98" s="23" t="str">
        <f ca="1">IF(A98="","",IF($B$8="Sí",interpolar_alamb(H98,OFFSET(Curvas_cupon_cero!$A$1,1,0,COUNT(Curvas_cupon_cero!$A:$A)-2,1),OFFSET(Curvas_cupon_cero!$A$1,1,MATCH($B$7,Curvas_cupon_cero!$1:$1,0)-1,COUNT(Curvas_cupon_cero!$A:$A)-2,1)),[1]!interpolar(H98,OFFSET(Curvas_cupon_cero!$A$1,1,0,COUNT(Curvas_cupon_cero!$A:$A)-2,1),OFFSET(Curvas_cupon_cero!$A$1,1,MATCH($B$7,Curvas_cupon_cero!$1:$1,0)-1,COUNT(Curvas_cupon_cero!$A:$A)-2,1))))</f>
        <v/>
      </c>
      <c r="E98" s="23" t="str">
        <f t="shared" si="10"/>
        <v/>
      </c>
      <c r="F98" s="17" t="str">
        <f t="shared" si="8"/>
        <v/>
      </c>
      <c r="G98" s="18" t="str">
        <f t="shared" si="11"/>
        <v/>
      </c>
      <c r="H98" t="str">
        <f t="shared" si="12"/>
        <v/>
      </c>
      <c r="I98" s="23" t="str">
        <f ca="1">IF(A98="","",IF($B$8="Sí",interpolar_alamb(H98,OFFSET(Curvas_cupon_cero!$A$1,1,0,COUNT(Curvas_cupon_cero!$A:$A)-2,1),OFFSET(Curvas_cupon_cero!$A$1,1,MATCH($B$6,Curvas_cupon_cero!$1:$1,0)-1,COUNT(Curvas_cupon_cero!$A:$A)-2,1)),[1]!interpolar(H98,OFFSET(Curvas_cupon_cero!$A$1,1,0,COUNT(Curvas_cupon_cero!$A:$A)-2,1),OFFSET(Curvas_cupon_cero!$A$1,1,MATCH($B$6,Curvas_cupon_cero!$1:$1,0)-1,COUNT(Curvas_cupon_cero!$A:$A)-2,1))))</f>
        <v/>
      </c>
      <c r="J98" s="19" t="str">
        <f>IF(A98="","",F98/(1+I98*$B$5/360)^(COUNT(A$16:A98)-($B$5-$G$16)/$B$5))</f>
        <v/>
      </c>
    </row>
    <row r="99" spans="1:10" x14ac:dyDescent="0.2">
      <c r="A99" s="12" t="str">
        <f t="shared" si="9"/>
        <v/>
      </c>
      <c r="B99" t="str">
        <f t="shared" si="7"/>
        <v/>
      </c>
      <c r="C99" s="21" t="str">
        <f ca="1">IF(A99="","",IF($B$8="Sí",interpolar_alamb(B99,OFFSET(Curvas_cupon_cero!$A$1,1,0,COUNT(Curvas_cupon_cero!$A:$A)-2,1),OFFSET(Curvas_cupon_cero!$A$1,1,MATCH($B$7,Curvas_cupon_cero!$1:$1,0)-1,COUNT(Curvas_cupon_cero!$A:$A)-2,1)),[1]!interpolar(B99,OFFSET(Curvas_cupon_cero!$A$1,1,0,COUNT(Curvas_cupon_cero!$A:$A)-2,1),OFFSET(Curvas_cupon_cero!$A$1,1,MATCH($B$7,Curvas_cupon_cero!$1:$1,0)-1,COUNT(Curvas_cupon_cero!$A:$A)-2,1))))</f>
        <v/>
      </c>
      <c r="D99" s="23" t="str">
        <f ca="1">IF(A99="","",IF($B$8="Sí",interpolar_alamb(H99,OFFSET(Curvas_cupon_cero!$A$1,1,0,COUNT(Curvas_cupon_cero!$A:$A)-2,1),OFFSET(Curvas_cupon_cero!$A$1,1,MATCH($B$7,Curvas_cupon_cero!$1:$1,0)-1,COUNT(Curvas_cupon_cero!$A:$A)-2,1)),[1]!interpolar(H99,OFFSET(Curvas_cupon_cero!$A$1,1,0,COUNT(Curvas_cupon_cero!$A:$A)-2,1),OFFSET(Curvas_cupon_cero!$A$1,1,MATCH($B$7,Curvas_cupon_cero!$1:$1,0)-1,COUNT(Curvas_cupon_cero!$A:$A)-2,1))))</f>
        <v/>
      </c>
      <c r="E99" s="23" t="str">
        <f t="shared" si="10"/>
        <v/>
      </c>
      <c r="F99" s="17" t="str">
        <f t="shared" si="8"/>
        <v/>
      </c>
      <c r="G99" s="18" t="str">
        <f t="shared" si="11"/>
        <v/>
      </c>
      <c r="H99" t="str">
        <f t="shared" si="12"/>
        <v/>
      </c>
      <c r="I99" s="23" t="str">
        <f ca="1">IF(A99="","",IF($B$8="Sí",interpolar_alamb(H99,OFFSET(Curvas_cupon_cero!$A$1,1,0,COUNT(Curvas_cupon_cero!$A:$A)-2,1),OFFSET(Curvas_cupon_cero!$A$1,1,MATCH($B$6,Curvas_cupon_cero!$1:$1,0)-1,COUNT(Curvas_cupon_cero!$A:$A)-2,1)),[1]!interpolar(H99,OFFSET(Curvas_cupon_cero!$A$1,1,0,COUNT(Curvas_cupon_cero!$A:$A)-2,1),OFFSET(Curvas_cupon_cero!$A$1,1,MATCH($B$6,Curvas_cupon_cero!$1:$1,0)-1,COUNT(Curvas_cupon_cero!$A:$A)-2,1))))</f>
        <v/>
      </c>
      <c r="J99" s="19" t="str">
        <f>IF(A99="","",F99/(1+I99*$B$5/360)^(COUNT(A$16:A99)-($B$5-$G$16)/$B$5))</f>
        <v/>
      </c>
    </row>
    <row r="100" spans="1:10" x14ac:dyDescent="0.2">
      <c r="A100" s="12" t="str">
        <f t="shared" si="9"/>
        <v/>
      </c>
      <c r="B100" t="str">
        <f t="shared" si="7"/>
        <v/>
      </c>
      <c r="C100" s="21" t="str">
        <f ca="1">IF(A100="","",IF($B$8="Sí",interpolar_alamb(B100,OFFSET(Curvas_cupon_cero!$A$1,1,0,COUNT(Curvas_cupon_cero!$A:$A)-2,1),OFFSET(Curvas_cupon_cero!$A$1,1,MATCH($B$7,Curvas_cupon_cero!$1:$1,0)-1,COUNT(Curvas_cupon_cero!$A:$A)-2,1)),[1]!interpolar(B100,OFFSET(Curvas_cupon_cero!$A$1,1,0,COUNT(Curvas_cupon_cero!$A:$A)-2,1),OFFSET(Curvas_cupon_cero!$A$1,1,MATCH($B$7,Curvas_cupon_cero!$1:$1,0)-1,COUNT(Curvas_cupon_cero!$A:$A)-2,1))))</f>
        <v/>
      </c>
      <c r="D100" s="23" t="str">
        <f ca="1">IF(A100="","",IF($B$8="Sí",interpolar_alamb(H100,OFFSET(Curvas_cupon_cero!$A$1,1,0,COUNT(Curvas_cupon_cero!$A:$A)-2,1),OFFSET(Curvas_cupon_cero!$A$1,1,MATCH($B$7,Curvas_cupon_cero!$1:$1,0)-1,COUNT(Curvas_cupon_cero!$A:$A)-2,1)),[1]!interpolar(H100,OFFSET(Curvas_cupon_cero!$A$1,1,0,COUNT(Curvas_cupon_cero!$A:$A)-2,1),OFFSET(Curvas_cupon_cero!$A$1,1,MATCH($B$7,Curvas_cupon_cero!$1:$1,0)-1,COUNT(Curvas_cupon_cero!$A:$A)-2,1))))</f>
        <v/>
      </c>
      <c r="E100" s="23" t="str">
        <f t="shared" si="10"/>
        <v/>
      </c>
      <c r="F100" s="17" t="str">
        <f t="shared" si="8"/>
        <v/>
      </c>
      <c r="G100" s="18" t="str">
        <f t="shared" si="11"/>
        <v/>
      </c>
      <c r="H100" t="str">
        <f t="shared" si="12"/>
        <v/>
      </c>
      <c r="I100" s="23" t="str">
        <f ca="1">IF(A100="","",IF($B$8="Sí",interpolar_alamb(H100,OFFSET(Curvas_cupon_cero!$A$1,1,0,COUNT(Curvas_cupon_cero!$A:$A)-2,1),OFFSET(Curvas_cupon_cero!$A$1,1,MATCH($B$6,Curvas_cupon_cero!$1:$1,0)-1,COUNT(Curvas_cupon_cero!$A:$A)-2,1)),[1]!interpolar(H100,OFFSET(Curvas_cupon_cero!$A$1,1,0,COUNT(Curvas_cupon_cero!$A:$A)-2,1),OFFSET(Curvas_cupon_cero!$A$1,1,MATCH($B$6,Curvas_cupon_cero!$1:$1,0)-1,COUNT(Curvas_cupon_cero!$A:$A)-2,1))))</f>
        <v/>
      </c>
      <c r="J100" s="19" t="str">
        <f>IF(A100="","",F100/(1+I100*$B$5/360)^(COUNT(A$16:A100)-($B$5-$G$16)/$B$5))</f>
        <v/>
      </c>
    </row>
    <row r="101" spans="1:10" x14ac:dyDescent="0.2">
      <c r="A101" s="12" t="str">
        <f t="shared" si="9"/>
        <v/>
      </c>
      <c r="B101" t="str">
        <f t="shared" si="7"/>
        <v/>
      </c>
      <c r="C101" s="21" t="str">
        <f ca="1">IF(A101="","",IF($B$8="Sí",interpolar_alamb(B101,OFFSET(Curvas_cupon_cero!$A$1,1,0,COUNT(Curvas_cupon_cero!$A:$A)-2,1),OFFSET(Curvas_cupon_cero!$A$1,1,MATCH($B$7,Curvas_cupon_cero!$1:$1,0)-1,COUNT(Curvas_cupon_cero!$A:$A)-2,1)),[1]!interpolar(B101,OFFSET(Curvas_cupon_cero!$A$1,1,0,COUNT(Curvas_cupon_cero!$A:$A)-2,1),OFFSET(Curvas_cupon_cero!$A$1,1,MATCH($B$7,Curvas_cupon_cero!$1:$1,0)-1,COUNT(Curvas_cupon_cero!$A:$A)-2,1))))</f>
        <v/>
      </c>
      <c r="D101" s="23" t="str">
        <f ca="1">IF(A101="","",IF($B$8="Sí",interpolar_alamb(H101,OFFSET(Curvas_cupon_cero!$A$1,1,0,COUNT(Curvas_cupon_cero!$A:$A)-2,1),OFFSET(Curvas_cupon_cero!$A$1,1,MATCH($B$7,Curvas_cupon_cero!$1:$1,0)-1,COUNT(Curvas_cupon_cero!$A:$A)-2,1)),[1]!interpolar(H101,OFFSET(Curvas_cupon_cero!$A$1,1,0,COUNT(Curvas_cupon_cero!$A:$A)-2,1),OFFSET(Curvas_cupon_cero!$A$1,1,MATCH($B$7,Curvas_cupon_cero!$1:$1,0)-1,COUNT(Curvas_cupon_cero!$A:$A)-2,1))))</f>
        <v/>
      </c>
      <c r="E101" s="23" t="str">
        <f t="shared" si="10"/>
        <v/>
      </c>
      <c r="F101" s="17" t="str">
        <f t="shared" si="8"/>
        <v/>
      </c>
      <c r="G101" s="18" t="str">
        <f t="shared" si="11"/>
        <v/>
      </c>
      <c r="H101" t="str">
        <f t="shared" si="12"/>
        <v/>
      </c>
      <c r="I101" s="23" t="str">
        <f ca="1">IF(A101="","",IF($B$8="Sí",interpolar_alamb(H101,OFFSET(Curvas_cupon_cero!$A$1,1,0,COUNT(Curvas_cupon_cero!$A:$A)-2,1),OFFSET(Curvas_cupon_cero!$A$1,1,MATCH($B$6,Curvas_cupon_cero!$1:$1,0)-1,COUNT(Curvas_cupon_cero!$A:$A)-2,1)),[1]!interpolar(H101,OFFSET(Curvas_cupon_cero!$A$1,1,0,COUNT(Curvas_cupon_cero!$A:$A)-2,1),OFFSET(Curvas_cupon_cero!$A$1,1,MATCH($B$6,Curvas_cupon_cero!$1:$1,0)-1,COUNT(Curvas_cupon_cero!$A:$A)-2,1))))</f>
        <v/>
      </c>
      <c r="J101" s="19" t="str">
        <f>IF(A101="","",F101/(1+I101*$B$5/360)^(COUNT(A$16:A101)-($B$5-$G$16)/$B$5))</f>
        <v/>
      </c>
    </row>
    <row r="102" spans="1:10" x14ac:dyDescent="0.2">
      <c r="A102" s="12" t="str">
        <f t="shared" si="9"/>
        <v/>
      </c>
      <c r="B102" t="str">
        <f t="shared" si="7"/>
        <v/>
      </c>
      <c r="C102" s="21" t="str">
        <f ca="1">IF(A102="","",IF($B$8="Sí",interpolar_alamb(B102,OFFSET(Curvas_cupon_cero!$A$1,1,0,COUNT(Curvas_cupon_cero!$A:$A)-2,1),OFFSET(Curvas_cupon_cero!$A$1,1,MATCH($B$7,Curvas_cupon_cero!$1:$1,0)-1,COUNT(Curvas_cupon_cero!$A:$A)-2,1)),[1]!interpolar(B102,OFFSET(Curvas_cupon_cero!$A$1,1,0,COUNT(Curvas_cupon_cero!$A:$A)-2,1),OFFSET(Curvas_cupon_cero!$A$1,1,MATCH($B$7,Curvas_cupon_cero!$1:$1,0)-1,COUNT(Curvas_cupon_cero!$A:$A)-2,1))))</f>
        <v/>
      </c>
      <c r="D102" s="23" t="str">
        <f ca="1">IF(A102="","",IF($B$8="Sí",interpolar_alamb(H102,OFFSET(Curvas_cupon_cero!$A$1,1,0,COUNT(Curvas_cupon_cero!$A:$A)-2,1),OFFSET(Curvas_cupon_cero!$A$1,1,MATCH($B$7,Curvas_cupon_cero!$1:$1,0)-1,COUNT(Curvas_cupon_cero!$A:$A)-2,1)),[1]!interpolar(H102,OFFSET(Curvas_cupon_cero!$A$1,1,0,COUNT(Curvas_cupon_cero!$A:$A)-2,1),OFFSET(Curvas_cupon_cero!$A$1,1,MATCH($B$7,Curvas_cupon_cero!$1:$1,0)-1,COUNT(Curvas_cupon_cero!$A:$A)-2,1))))</f>
        <v/>
      </c>
      <c r="E102" s="23" t="str">
        <f t="shared" si="10"/>
        <v/>
      </c>
      <c r="F102" s="17" t="str">
        <f t="shared" si="8"/>
        <v/>
      </c>
      <c r="G102" s="18" t="str">
        <f t="shared" si="11"/>
        <v/>
      </c>
      <c r="H102" t="str">
        <f t="shared" si="12"/>
        <v/>
      </c>
      <c r="I102" s="23" t="str">
        <f ca="1">IF(A102="","",IF($B$8="Sí",interpolar_alamb(H102,OFFSET(Curvas_cupon_cero!$A$1,1,0,COUNT(Curvas_cupon_cero!$A:$A)-2,1),OFFSET(Curvas_cupon_cero!$A$1,1,MATCH($B$6,Curvas_cupon_cero!$1:$1,0)-1,COUNT(Curvas_cupon_cero!$A:$A)-2,1)),[1]!interpolar(H102,OFFSET(Curvas_cupon_cero!$A$1,1,0,COUNT(Curvas_cupon_cero!$A:$A)-2,1),OFFSET(Curvas_cupon_cero!$A$1,1,MATCH($B$6,Curvas_cupon_cero!$1:$1,0)-1,COUNT(Curvas_cupon_cero!$A:$A)-2,1))))</f>
        <v/>
      </c>
      <c r="J102" s="19" t="str">
        <f>IF(A102="","",F102/(1+I102*$B$5/360)^(COUNT(A$16:A102)-($B$5-$G$16)/$B$5))</f>
        <v/>
      </c>
    </row>
    <row r="103" spans="1:10" x14ac:dyDescent="0.2">
      <c r="A103" s="12" t="str">
        <f t="shared" si="9"/>
        <v/>
      </c>
      <c r="B103" t="str">
        <f t="shared" si="7"/>
        <v/>
      </c>
      <c r="C103" s="21" t="str">
        <f ca="1">IF(A103="","",IF($B$8="Sí",interpolar_alamb(B103,OFFSET(Curvas_cupon_cero!$A$1,1,0,COUNT(Curvas_cupon_cero!$A:$A)-2,1),OFFSET(Curvas_cupon_cero!$A$1,1,MATCH($B$7,Curvas_cupon_cero!$1:$1,0)-1,COUNT(Curvas_cupon_cero!$A:$A)-2,1)),[1]!interpolar(B103,OFFSET(Curvas_cupon_cero!$A$1,1,0,COUNT(Curvas_cupon_cero!$A:$A)-2,1),OFFSET(Curvas_cupon_cero!$A$1,1,MATCH($B$7,Curvas_cupon_cero!$1:$1,0)-1,COUNT(Curvas_cupon_cero!$A:$A)-2,1))))</f>
        <v/>
      </c>
      <c r="D103" s="23" t="str">
        <f ca="1">IF(A103="","",IF($B$8="Sí",interpolar_alamb(H103,OFFSET(Curvas_cupon_cero!$A$1,1,0,COUNT(Curvas_cupon_cero!$A:$A)-2,1),OFFSET(Curvas_cupon_cero!$A$1,1,MATCH($B$7,Curvas_cupon_cero!$1:$1,0)-1,COUNT(Curvas_cupon_cero!$A:$A)-2,1)),[1]!interpolar(H103,OFFSET(Curvas_cupon_cero!$A$1,1,0,COUNT(Curvas_cupon_cero!$A:$A)-2,1),OFFSET(Curvas_cupon_cero!$A$1,1,MATCH($B$7,Curvas_cupon_cero!$1:$1,0)-1,COUNT(Curvas_cupon_cero!$A:$A)-2,1))))</f>
        <v/>
      </c>
      <c r="E103" s="23" t="str">
        <f t="shared" si="10"/>
        <v/>
      </c>
      <c r="F103" s="17" t="str">
        <f t="shared" si="8"/>
        <v/>
      </c>
      <c r="G103" s="18" t="str">
        <f t="shared" si="11"/>
        <v/>
      </c>
      <c r="H103" t="str">
        <f t="shared" si="12"/>
        <v/>
      </c>
      <c r="I103" s="23" t="str">
        <f ca="1">IF(A103="","",IF($B$8="Sí",interpolar_alamb(H103,OFFSET(Curvas_cupon_cero!$A$1,1,0,COUNT(Curvas_cupon_cero!$A:$A)-2,1),OFFSET(Curvas_cupon_cero!$A$1,1,MATCH($B$6,Curvas_cupon_cero!$1:$1,0)-1,COUNT(Curvas_cupon_cero!$A:$A)-2,1)),[1]!interpolar(H103,OFFSET(Curvas_cupon_cero!$A$1,1,0,COUNT(Curvas_cupon_cero!$A:$A)-2,1),OFFSET(Curvas_cupon_cero!$A$1,1,MATCH($B$6,Curvas_cupon_cero!$1:$1,0)-1,COUNT(Curvas_cupon_cero!$A:$A)-2,1))))</f>
        <v/>
      </c>
      <c r="J103" s="19" t="str">
        <f>IF(A103="","",F103/(1+I103*$B$5/360)^(COUNT(A$16:A103)-($B$5-$G$16)/$B$5))</f>
        <v/>
      </c>
    </row>
    <row r="104" spans="1:10" x14ac:dyDescent="0.2">
      <c r="A104" s="12" t="str">
        <f t="shared" si="9"/>
        <v/>
      </c>
      <c r="B104" t="str">
        <f t="shared" si="7"/>
        <v/>
      </c>
      <c r="C104" s="21" t="str">
        <f ca="1">IF(A104="","",IF($B$8="Sí",interpolar_alamb(B104,OFFSET(Curvas_cupon_cero!$A$1,1,0,COUNT(Curvas_cupon_cero!$A:$A)-2,1),OFFSET(Curvas_cupon_cero!$A$1,1,MATCH($B$7,Curvas_cupon_cero!$1:$1,0)-1,COUNT(Curvas_cupon_cero!$A:$A)-2,1)),[1]!interpolar(B104,OFFSET(Curvas_cupon_cero!$A$1,1,0,COUNT(Curvas_cupon_cero!$A:$A)-2,1),OFFSET(Curvas_cupon_cero!$A$1,1,MATCH($B$7,Curvas_cupon_cero!$1:$1,0)-1,COUNT(Curvas_cupon_cero!$A:$A)-2,1))))</f>
        <v/>
      </c>
      <c r="D104" s="23" t="str">
        <f ca="1">IF(A104="","",IF($B$8="Sí",interpolar_alamb(H104,OFFSET(Curvas_cupon_cero!$A$1,1,0,COUNT(Curvas_cupon_cero!$A:$A)-2,1),OFFSET(Curvas_cupon_cero!$A$1,1,MATCH($B$7,Curvas_cupon_cero!$1:$1,0)-1,COUNT(Curvas_cupon_cero!$A:$A)-2,1)),[1]!interpolar(H104,OFFSET(Curvas_cupon_cero!$A$1,1,0,COUNT(Curvas_cupon_cero!$A:$A)-2,1),OFFSET(Curvas_cupon_cero!$A$1,1,MATCH($B$7,Curvas_cupon_cero!$1:$1,0)-1,COUNT(Curvas_cupon_cero!$A:$A)-2,1))))</f>
        <v/>
      </c>
      <c r="E104" s="23" t="str">
        <f t="shared" si="10"/>
        <v/>
      </c>
      <c r="F104" s="17" t="str">
        <f t="shared" si="8"/>
        <v/>
      </c>
      <c r="G104" s="18" t="str">
        <f t="shared" si="11"/>
        <v/>
      </c>
      <c r="H104" t="str">
        <f t="shared" si="12"/>
        <v/>
      </c>
      <c r="I104" s="23" t="str">
        <f ca="1">IF(A104="","",IF($B$8="Sí",interpolar_alamb(H104,OFFSET(Curvas_cupon_cero!$A$1,1,0,COUNT(Curvas_cupon_cero!$A:$A)-2,1),OFFSET(Curvas_cupon_cero!$A$1,1,MATCH($B$6,Curvas_cupon_cero!$1:$1,0)-1,COUNT(Curvas_cupon_cero!$A:$A)-2,1)),[1]!interpolar(H104,OFFSET(Curvas_cupon_cero!$A$1,1,0,COUNT(Curvas_cupon_cero!$A:$A)-2,1),OFFSET(Curvas_cupon_cero!$A$1,1,MATCH($B$6,Curvas_cupon_cero!$1:$1,0)-1,COUNT(Curvas_cupon_cero!$A:$A)-2,1))))</f>
        <v/>
      </c>
      <c r="J104" s="19" t="str">
        <f>IF(A104="","",F104/(1+I104*$B$5/360)^(COUNT(A$16:A104)-($B$5-$G$16)/$B$5))</f>
        <v/>
      </c>
    </row>
    <row r="105" spans="1:10" x14ac:dyDescent="0.2">
      <c r="A105" s="12" t="str">
        <f t="shared" si="9"/>
        <v/>
      </c>
      <c r="B105" t="str">
        <f t="shared" si="7"/>
        <v/>
      </c>
      <c r="C105" s="21" t="str">
        <f ca="1">IF(A105="","",IF($B$8="Sí",interpolar_alamb(B105,OFFSET(Curvas_cupon_cero!$A$1,1,0,COUNT(Curvas_cupon_cero!$A:$A)-2,1),OFFSET(Curvas_cupon_cero!$A$1,1,MATCH($B$7,Curvas_cupon_cero!$1:$1,0)-1,COUNT(Curvas_cupon_cero!$A:$A)-2,1)),[1]!interpolar(B105,OFFSET(Curvas_cupon_cero!$A$1,1,0,COUNT(Curvas_cupon_cero!$A:$A)-2,1),OFFSET(Curvas_cupon_cero!$A$1,1,MATCH($B$7,Curvas_cupon_cero!$1:$1,0)-1,COUNT(Curvas_cupon_cero!$A:$A)-2,1))))</f>
        <v/>
      </c>
      <c r="D105" s="23" t="str">
        <f ca="1">IF(A105="","",IF($B$8="Sí",interpolar_alamb(H105,OFFSET(Curvas_cupon_cero!$A$1,1,0,COUNT(Curvas_cupon_cero!$A:$A)-2,1),OFFSET(Curvas_cupon_cero!$A$1,1,MATCH($B$7,Curvas_cupon_cero!$1:$1,0)-1,COUNT(Curvas_cupon_cero!$A:$A)-2,1)),[1]!interpolar(H105,OFFSET(Curvas_cupon_cero!$A$1,1,0,COUNT(Curvas_cupon_cero!$A:$A)-2,1),OFFSET(Curvas_cupon_cero!$A$1,1,MATCH($B$7,Curvas_cupon_cero!$1:$1,0)-1,COUNT(Curvas_cupon_cero!$A:$A)-2,1))))</f>
        <v/>
      </c>
      <c r="E105" s="23" t="str">
        <f t="shared" si="10"/>
        <v/>
      </c>
      <c r="F105" s="17" t="str">
        <f t="shared" si="8"/>
        <v/>
      </c>
      <c r="G105" s="18" t="str">
        <f t="shared" si="11"/>
        <v/>
      </c>
      <c r="H105" t="str">
        <f t="shared" si="12"/>
        <v/>
      </c>
      <c r="I105" s="23" t="str">
        <f ca="1">IF(A105="","",IF($B$8="Sí",interpolar_alamb(H105,OFFSET(Curvas_cupon_cero!$A$1,1,0,COUNT(Curvas_cupon_cero!$A:$A)-2,1),OFFSET(Curvas_cupon_cero!$A$1,1,MATCH($B$6,Curvas_cupon_cero!$1:$1,0)-1,COUNT(Curvas_cupon_cero!$A:$A)-2,1)),[1]!interpolar(H105,OFFSET(Curvas_cupon_cero!$A$1,1,0,COUNT(Curvas_cupon_cero!$A:$A)-2,1),OFFSET(Curvas_cupon_cero!$A$1,1,MATCH($B$6,Curvas_cupon_cero!$1:$1,0)-1,COUNT(Curvas_cupon_cero!$A:$A)-2,1))))</f>
        <v/>
      </c>
      <c r="J105" s="19" t="str">
        <f>IF(A105="","",F105/(1+I105*$B$5/360)^(COUNT(A$16:A105)-($B$5-$G$16)/$B$5))</f>
        <v/>
      </c>
    </row>
    <row r="106" spans="1:10" x14ac:dyDescent="0.2">
      <c r="A106" s="12" t="str">
        <f t="shared" si="9"/>
        <v/>
      </c>
      <c r="B106" t="str">
        <f t="shared" si="7"/>
        <v/>
      </c>
      <c r="C106" s="21" t="str">
        <f ca="1">IF(A106="","",IF($B$8="Sí",interpolar_alamb(B106,OFFSET(Curvas_cupon_cero!$A$1,1,0,COUNT(Curvas_cupon_cero!$A:$A)-2,1),OFFSET(Curvas_cupon_cero!$A$1,1,MATCH($B$7,Curvas_cupon_cero!$1:$1,0)-1,COUNT(Curvas_cupon_cero!$A:$A)-2,1)),[1]!interpolar(B106,OFFSET(Curvas_cupon_cero!$A$1,1,0,COUNT(Curvas_cupon_cero!$A:$A)-2,1),OFFSET(Curvas_cupon_cero!$A$1,1,MATCH($B$7,Curvas_cupon_cero!$1:$1,0)-1,COUNT(Curvas_cupon_cero!$A:$A)-2,1))))</f>
        <v/>
      </c>
      <c r="D106" s="23" t="str">
        <f ca="1">IF(A106="","",IF($B$8="Sí",interpolar_alamb(H106,OFFSET(Curvas_cupon_cero!$A$1,1,0,COUNT(Curvas_cupon_cero!$A:$A)-2,1),OFFSET(Curvas_cupon_cero!$A$1,1,MATCH($B$7,Curvas_cupon_cero!$1:$1,0)-1,COUNT(Curvas_cupon_cero!$A:$A)-2,1)),[1]!interpolar(H106,OFFSET(Curvas_cupon_cero!$A$1,1,0,COUNT(Curvas_cupon_cero!$A:$A)-2,1),OFFSET(Curvas_cupon_cero!$A$1,1,MATCH($B$7,Curvas_cupon_cero!$1:$1,0)-1,COUNT(Curvas_cupon_cero!$A:$A)-2,1))))</f>
        <v/>
      </c>
      <c r="E106" s="23" t="str">
        <f t="shared" si="10"/>
        <v/>
      </c>
      <c r="F106" s="17" t="str">
        <f t="shared" si="8"/>
        <v/>
      </c>
      <c r="G106" s="18" t="str">
        <f t="shared" si="11"/>
        <v/>
      </c>
      <c r="H106" t="str">
        <f t="shared" si="12"/>
        <v/>
      </c>
      <c r="I106" s="23" t="str">
        <f ca="1">IF(A106="","",IF($B$8="Sí",interpolar_alamb(H106,OFFSET(Curvas_cupon_cero!$A$1,1,0,COUNT(Curvas_cupon_cero!$A:$A)-2,1),OFFSET(Curvas_cupon_cero!$A$1,1,MATCH($B$6,Curvas_cupon_cero!$1:$1,0)-1,COUNT(Curvas_cupon_cero!$A:$A)-2,1)),[1]!interpolar(H106,OFFSET(Curvas_cupon_cero!$A$1,1,0,COUNT(Curvas_cupon_cero!$A:$A)-2,1),OFFSET(Curvas_cupon_cero!$A$1,1,MATCH($B$6,Curvas_cupon_cero!$1:$1,0)-1,COUNT(Curvas_cupon_cero!$A:$A)-2,1))))</f>
        <v/>
      </c>
      <c r="J106" s="19" t="str">
        <f>IF(A106="","",F106/(1+I106*$B$5/360)^(COUNT(A$16:A106)-($B$5-$G$16)/$B$5))</f>
        <v/>
      </c>
    </row>
    <row r="107" spans="1:10" x14ac:dyDescent="0.2">
      <c r="A107" s="12" t="str">
        <f t="shared" si="9"/>
        <v/>
      </c>
      <c r="B107" t="str">
        <f t="shared" si="7"/>
        <v/>
      </c>
      <c r="C107" s="21" t="str">
        <f ca="1">IF(A107="","",IF($B$8="Sí",interpolar_alamb(B107,OFFSET(Curvas_cupon_cero!$A$1,1,0,COUNT(Curvas_cupon_cero!$A:$A)-2,1),OFFSET(Curvas_cupon_cero!$A$1,1,MATCH($B$7,Curvas_cupon_cero!$1:$1,0)-1,COUNT(Curvas_cupon_cero!$A:$A)-2,1)),[1]!interpolar(B107,OFFSET(Curvas_cupon_cero!$A$1,1,0,COUNT(Curvas_cupon_cero!$A:$A)-2,1),OFFSET(Curvas_cupon_cero!$A$1,1,MATCH($B$7,Curvas_cupon_cero!$1:$1,0)-1,COUNT(Curvas_cupon_cero!$A:$A)-2,1))))</f>
        <v/>
      </c>
      <c r="D107" s="23" t="str">
        <f ca="1">IF(A107="","",IF($B$8="Sí",interpolar_alamb(H107,OFFSET(Curvas_cupon_cero!$A$1,1,0,COUNT(Curvas_cupon_cero!$A:$A)-2,1),OFFSET(Curvas_cupon_cero!$A$1,1,MATCH($B$7,Curvas_cupon_cero!$1:$1,0)-1,COUNT(Curvas_cupon_cero!$A:$A)-2,1)),[1]!interpolar(H107,OFFSET(Curvas_cupon_cero!$A$1,1,0,COUNT(Curvas_cupon_cero!$A:$A)-2,1),OFFSET(Curvas_cupon_cero!$A$1,1,MATCH($B$7,Curvas_cupon_cero!$1:$1,0)-1,COUNT(Curvas_cupon_cero!$A:$A)-2,1))))</f>
        <v/>
      </c>
      <c r="E107" s="23" t="str">
        <f t="shared" si="10"/>
        <v/>
      </c>
      <c r="F107" s="17" t="str">
        <f t="shared" si="8"/>
        <v/>
      </c>
      <c r="G107" s="18" t="str">
        <f t="shared" si="11"/>
        <v/>
      </c>
      <c r="H107" t="str">
        <f t="shared" si="12"/>
        <v/>
      </c>
      <c r="I107" s="23" t="str">
        <f ca="1">IF(A107="","",IF($B$8="Sí",interpolar_alamb(H107,OFFSET(Curvas_cupon_cero!$A$1,1,0,COUNT(Curvas_cupon_cero!$A:$A)-2,1),OFFSET(Curvas_cupon_cero!$A$1,1,MATCH($B$6,Curvas_cupon_cero!$1:$1,0)-1,COUNT(Curvas_cupon_cero!$A:$A)-2,1)),[1]!interpolar(H107,OFFSET(Curvas_cupon_cero!$A$1,1,0,COUNT(Curvas_cupon_cero!$A:$A)-2,1),OFFSET(Curvas_cupon_cero!$A$1,1,MATCH($B$6,Curvas_cupon_cero!$1:$1,0)-1,COUNT(Curvas_cupon_cero!$A:$A)-2,1))))</f>
        <v/>
      </c>
      <c r="J107" s="19" t="str">
        <f>IF(A107="","",F107/(1+I107*$B$5/360)^(COUNT(A$16:A107)-($B$5-$G$16)/$B$5))</f>
        <v/>
      </c>
    </row>
    <row r="108" spans="1:10" x14ac:dyDescent="0.2">
      <c r="A108" s="12" t="str">
        <f t="shared" si="9"/>
        <v/>
      </c>
      <c r="B108" t="str">
        <f t="shared" si="7"/>
        <v/>
      </c>
      <c r="C108" s="21" t="str">
        <f ca="1">IF(A108="","",IF($B$8="Sí",interpolar_alamb(B108,OFFSET(Curvas_cupon_cero!$A$1,1,0,COUNT(Curvas_cupon_cero!$A:$A)-2,1),OFFSET(Curvas_cupon_cero!$A$1,1,MATCH($B$7,Curvas_cupon_cero!$1:$1,0)-1,COUNT(Curvas_cupon_cero!$A:$A)-2,1)),[1]!interpolar(B108,OFFSET(Curvas_cupon_cero!$A$1,1,0,COUNT(Curvas_cupon_cero!$A:$A)-2,1),OFFSET(Curvas_cupon_cero!$A$1,1,MATCH($B$7,Curvas_cupon_cero!$1:$1,0)-1,COUNT(Curvas_cupon_cero!$A:$A)-2,1))))</f>
        <v/>
      </c>
      <c r="D108" s="23" t="str">
        <f ca="1">IF(A108="","",IF($B$8="Sí",interpolar_alamb(H108,OFFSET(Curvas_cupon_cero!$A$1,1,0,COUNT(Curvas_cupon_cero!$A:$A)-2,1),OFFSET(Curvas_cupon_cero!$A$1,1,MATCH($B$7,Curvas_cupon_cero!$1:$1,0)-1,COUNT(Curvas_cupon_cero!$A:$A)-2,1)),[1]!interpolar(H108,OFFSET(Curvas_cupon_cero!$A$1,1,0,COUNT(Curvas_cupon_cero!$A:$A)-2,1),OFFSET(Curvas_cupon_cero!$A$1,1,MATCH($B$7,Curvas_cupon_cero!$1:$1,0)-1,COUNT(Curvas_cupon_cero!$A:$A)-2,1))))</f>
        <v/>
      </c>
      <c r="E108" s="23" t="str">
        <f t="shared" si="10"/>
        <v/>
      </c>
      <c r="F108" s="17" t="str">
        <f t="shared" si="8"/>
        <v/>
      </c>
      <c r="G108" s="18" t="str">
        <f t="shared" si="11"/>
        <v/>
      </c>
      <c r="H108" t="str">
        <f t="shared" si="12"/>
        <v/>
      </c>
      <c r="I108" s="23" t="str">
        <f ca="1">IF(A108="","",IF($B$8="Sí",interpolar_alamb(H108,OFFSET(Curvas_cupon_cero!$A$1,1,0,COUNT(Curvas_cupon_cero!$A:$A)-2,1),OFFSET(Curvas_cupon_cero!$A$1,1,MATCH($B$6,Curvas_cupon_cero!$1:$1,0)-1,COUNT(Curvas_cupon_cero!$A:$A)-2,1)),[1]!interpolar(H108,OFFSET(Curvas_cupon_cero!$A$1,1,0,COUNT(Curvas_cupon_cero!$A:$A)-2,1),OFFSET(Curvas_cupon_cero!$A$1,1,MATCH($B$6,Curvas_cupon_cero!$1:$1,0)-1,COUNT(Curvas_cupon_cero!$A:$A)-2,1))))</f>
        <v/>
      </c>
      <c r="J108" s="19" t="str">
        <f>IF(A108="","",F108/(1+I108*$B$5/360)^(COUNT(A$16:A108)-($B$5-$G$16)/$B$5))</f>
        <v/>
      </c>
    </row>
    <row r="109" spans="1:10" x14ac:dyDescent="0.2">
      <c r="A109" s="12" t="str">
        <f t="shared" si="9"/>
        <v/>
      </c>
      <c r="B109" t="str">
        <f t="shared" si="7"/>
        <v/>
      </c>
      <c r="C109" s="21" t="str">
        <f ca="1">IF(A109="","",IF($B$8="Sí",interpolar_alamb(B109,OFFSET(Curvas_cupon_cero!$A$1,1,0,COUNT(Curvas_cupon_cero!$A:$A)-2,1),OFFSET(Curvas_cupon_cero!$A$1,1,MATCH($B$7,Curvas_cupon_cero!$1:$1,0)-1,COUNT(Curvas_cupon_cero!$A:$A)-2,1)),[1]!interpolar(B109,OFFSET(Curvas_cupon_cero!$A$1,1,0,COUNT(Curvas_cupon_cero!$A:$A)-2,1),OFFSET(Curvas_cupon_cero!$A$1,1,MATCH($B$7,Curvas_cupon_cero!$1:$1,0)-1,COUNT(Curvas_cupon_cero!$A:$A)-2,1))))</f>
        <v/>
      </c>
      <c r="D109" s="23" t="str">
        <f ca="1">IF(A109="","",IF($B$8="Sí",interpolar_alamb(H109,OFFSET(Curvas_cupon_cero!$A$1,1,0,COUNT(Curvas_cupon_cero!$A:$A)-2,1),OFFSET(Curvas_cupon_cero!$A$1,1,MATCH($B$7,Curvas_cupon_cero!$1:$1,0)-1,COUNT(Curvas_cupon_cero!$A:$A)-2,1)),[1]!interpolar(H109,OFFSET(Curvas_cupon_cero!$A$1,1,0,COUNT(Curvas_cupon_cero!$A:$A)-2,1),OFFSET(Curvas_cupon_cero!$A$1,1,MATCH($B$7,Curvas_cupon_cero!$1:$1,0)-1,COUNT(Curvas_cupon_cero!$A:$A)-2,1))))</f>
        <v/>
      </c>
      <c r="E109" s="23" t="str">
        <f t="shared" si="10"/>
        <v/>
      </c>
      <c r="F109" s="17" t="str">
        <f t="shared" si="8"/>
        <v/>
      </c>
      <c r="G109" s="18" t="str">
        <f t="shared" si="11"/>
        <v/>
      </c>
      <c r="H109" t="str">
        <f t="shared" si="12"/>
        <v/>
      </c>
      <c r="I109" s="23" t="str">
        <f ca="1">IF(A109="","",IF($B$8="Sí",interpolar_alamb(H109,OFFSET(Curvas_cupon_cero!$A$1,1,0,COUNT(Curvas_cupon_cero!$A:$A)-2,1),OFFSET(Curvas_cupon_cero!$A$1,1,MATCH($B$6,Curvas_cupon_cero!$1:$1,0)-1,COUNT(Curvas_cupon_cero!$A:$A)-2,1)),[1]!interpolar(H109,OFFSET(Curvas_cupon_cero!$A$1,1,0,COUNT(Curvas_cupon_cero!$A:$A)-2,1),OFFSET(Curvas_cupon_cero!$A$1,1,MATCH($B$6,Curvas_cupon_cero!$1:$1,0)-1,COUNT(Curvas_cupon_cero!$A:$A)-2,1))))</f>
        <v/>
      </c>
      <c r="J109" s="19" t="str">
        <f>IF(A109="","",F109/(1+I109*$B$5/360)^(COUNT(A$16:A109)-($B$5-$G$16)/$B$5))</f>
        <v/>
      </c>
    </row>
    <row r="110" spans="1:10" x14ac:dyDescent="0.2">
      <c r="A110" s="12" t="str">
        <f t="shared" si="9"/>
        <v/>
      </c>
      <c r="B110" t="str">
        <f t="shared" si="7"/>
        <v/>
      </c>
      <c r="C110" s="21" t="str">
        <f ca="1">IF(A110="","",IF($B$8="Sí",interpolar_alamb(B110,OFFSET(Curvas_cupon_cero!$A$1,1,0,COUNT(Curvas_cupon_cero!$A:$A)-2,1),OFFSET(Curvas_cupon_cero!$A$1,1,MATCH($B$7,Curvas_cupon_cero!$1:$1,0)-1,COUNT(Curvas_cupon_cero!$A:$A)-2,1)),[1]!interpolar(B110,OFFSET(Curvas_cupon_cero!$A$1,1,0,COUNT(Curvas_cupon_cero!$A:$A)-2,1),OFFSET(Curvas_cupon_cero!$A$1,1,MATCH($B$7,Curvas_cupon_cero!$1:$1,0)-1,COUNT(Curvas_cupon_cero!$A:$A)-2,1))))</f>
        <v/>
      </c>
      <c r="D110" s="23" t="str">
        <f ca="1">IF(A110="","",IF($B$8="Sí",interpolar_alamb(H110,OFFSET(Curvas_cupon_cero!$A$1,1,0,COUNT(Curvas_cupon_cero!$A:$A)-2,1),OFFSET(Curvas_cupon_cero!$A$1,1,MATCH($B$7,Curvas_cupon_cero!$1:$1,0)-1,COUNT(Curvas_cupon_cero!$A:$A)-2,1)),[1]!interpolar(H110,OFFSET(Curvas_cupon_cero!$A$1,1,0,COUNT(Curvas_cupon_cero!$A:$A)-2,1),OFFSET(Curvas_cupon_cero!$A$1,1,MATCH($B$7,Curvas_cupon_cero!$1:$1,0)-1,COUNT(Curvas_cupon_cero!$A:$A)-2,1))))</f>
        <v/>
      </c>
      <c r="E110" s="23" t="str">
        <f t="shared" si="10"/>
        <v/>
      </c>
      <c r="F110" s="17" t="str">
        <f t="shared" si="8"/>
        <v/>
      </c>
      <c r="G110" s="18" t="str">
        <f t="shared" si="11"/>
        <v/>
      </c>
      <c r="H110" t="str">
        <f t="shared" si="12"/>
        <v/>
      </c>
      <c r="I110" s="23" t="str">
        <f ca="1">IF(A110="","",IF($B$8="Sí",interpolar_alamb(H110,OFFSET(Curvas_cupon_cero!$A$1,1,0,COUNT(Curvas_cupon_cero!$A:$A)-2,1),OFFSET(Curvas_cupon_cero!$A$1,1,MATCH($B$6,Curvas_cupon_cero!$1:$1,0)-1,COUNT(Curvas_cupon_cero!$A:$A)-2,1)),[1]!interpolar(H110,OFFSET(Curvas_cupon_cero!$A$1,1,0,COUNT(Curvas_cupon_cero!$A:$A)-2,1),OFFSET(Curvas_cupon_cero!$A$1,1,MATCH($B$6,Curvas_cupon_cero!$1:$1,0)-1,COUNT(Curvas_cupon_cero!$A:$A)-2,1))))</f>
        <v/>
      </c>
      <c r="J110" s="19" t="str">
        <f>IF(A110="","",F110/(1+I110*$B$5/360)^(COUNT(A$16:A110)-($B$5-$G$16)/$B$5))</f>
        <v/>
      </c>
    </row>
    <row r="111" spans="1:10" x14ac:dyDescent="0.2">
      <c r="A111" s="12" t="str">
        <f t="shared" si="9"/>
        <v/>
      </c>
      <c r="B111" t="str">
        <f t="shared" si="7"/>
        <v/>
      </c>
      <c r="C111" s="21" t="str">
        <f ca="1">IF(A111="","",IF($B$8="Sí",interpolar_alamb(B111,OFFSET(Curvas_cupon_cero!$A$1,1,0,COUNT(Curvas_cupon_cero!$A:$A)-2,1),OFFSET(Curvas_cupon_cero!$A$1,1,MATCH($B$7,Curvas_cupon_cero!$1:$1,0)-1,COUNT(Curvas_cupon_cero!$A:$A)-2,1)),[1]!interpolar(B111,OFFSET(Curvas_cupon_cero!$A$1,1,0,COUNT(Curvas_cupon_cero!$A:$A)-2,1),OFFSET(Curvas_cupon_cero!$A$1,1,MATCH($B$7,Curvas_cupon_cero!$1:$1,0)-1,COUNT(Curvas_cupon_cero!$A:$A)-2,1))))</f>
        <v/>
      </c>
      <c r="D111" s="23" t="str">
        <f ca="1">IF(A111="","",IF($B$8="Sí",interpolar_alamb(H111,OFFSET(Curvas_cupon_cero!$A$1,1,0,COUNT(Curvas_cupon_cero!$A:$A)-2,1),OFFSET(Curvas_cupon_cero!$A$1,1,MATCH($B$7,Curvas_cupon_cero!$1:$1,0)-1,COUNT(Curvas_cupon_cero!$A:$A)-2,1)),[1]!interpolar(H111,OFFSET(Curvas_cupon_cero!$A$1,1,0,COUNT(Curvas_cupon_cero!$A:$A)-2,1),OFFSET(Curvas_cupon_cero!$A$1,1,MATCH($B$7,Curvas_cupon_cero!$1:$1,0)-1,COUNT(Curvas_cupon_cero!$A:$A)-2,1))))</f>
        <v/>
      </c>
      <c r="E111" s="23" t="str">
        <f t="shared" si="10"/>
        <v/>
      </c>
      <c r="F111" s="17" t="str">
        <f t="shared" si="8"/>
        <v/>
      </c>
      <c r="G111" s="18" t="str">
        <f t="shared" si="11"/>
        <v/>
      </c>
      <c r="H111" t="str">
        <f t="shared" si="12"/>
        <v/>
      </c>
      <c r="I111" s="23" t="str">
        <f ca="1">IF(A111="","",IF($B$8="Sí",interpolar_alamb(H111,OFFSET(Curvas_cupon_cero!$A$1,1,0,COUNT(Curvas_cupon_cero!$A:$A)-2,1),OFFSET(Curvas_cupon_cero!$A$1,1,MATCH($B$6,Curvas_cupon_cero!$1:$1,0)-1,COUNT(Curvas_cupon_cero!$A:$A)-2,1)),[1]!interpolar(H111,OFFSET(Curvas_cupon_cero!$A$1,1,0,COUNT(Curvas_cupon_cero!$A:$A)-2,1),OFFSET(Curvas_cupon_cero!$A$1,1,MATCH($B$6,Curvas_cupon_cero!$1:$1,0)-1,COUNT(Curvas_cupon_cero!$A:$A)-2,1))))</f>
        <v/>
      </c>
      <c r="J111" s="19" t="str">
        <f>IF(A111="","",F111/(1+I111*$B$5/360)^(COUNT(A$16:A111)-($B$5-$G$16)/$B$5))</f>
        <v/>
      </c>
    </row>
    <row r="112" spans="1:10" x14ac:dyDescent="0.2">
      <c r="A112" s="12" t="str">
        <f t="shared" si="9"/>
        <v/>
      </c>
      <c r="B112" t="str">
        <f t="shared" si="7"/>
        <v/>
      </c>
      <c r="C112" s="21" t="str">
        <f ca="1">IF(A112="","",IF($B$8="Sí",interpolar_alamb(B112,OFFSET(Curvas_cupon_cero!$A$1,1,0,COUNT(Curvas_cupon_cero!$A:$A)-2,1),OFFSET(Curvas_cupon_cero!$A$1,1,MATCH($B$7,Curvas_cupon_cero!$1:$1,0)-1,COUNT(Curvas_cupon_cero!$A:$A)-2,1)),[1]!interpolar(B112,OFFSET(Curvas_cupon_cero!$A$1,1,0,COUNT(Curvas_cupon_cero!$A:$A)-2,1),OFFSET(Curvas_cupon_cero!$A$1,1,MATCH($B$7,Curvas_cupon_cero!$1:$1,0)-1,COUNT(Curvas_cupon_cero!$A:$A)-2,1))))</f>
        <v/>
      </c>
      <c r="D112" s="23" t="str">
        <f ca="1">IF(A112="","",IF($B$8="Sí",interpolar_alamb(H112,OFFSET(Curvas_cupon_cero!$A$1,1,0,COUNT(Curvas_cupon_cero!$A:$A)-2,1),OFFSET(Curvas_cupon_cero!$A$1,1,MATCH($B$7,Curvas_cupon_cero!$1:$1,0)-1,COUNT(Curvas_cupon_cero!$A:$A)-2,1)),[1]!interpolar(H112,OFFSET(Curvas_cupon_cero!$A$1,1,0,COUNT(Curvas_cupon_cero!$A:$A)-2,1),OFFSET(Curvas_cupon_cero!$A$1,1,MATCH($B$7,Curvas_cupon_cero!$1:$1,0)-1,COUNT(Curvas_cupon_cero!$A:$A)-2,1))))</f>
        <v/>
      </c>
      <c r="E112" s="23" t="str">
        <f t="shared" si="10"/>
        <v/>
      </c>
      <c r="F112" s="17" t="str">
        <f t="shared" si="8"/>
        <v/>
      </c>
      <c r="G112" s="18" t="str">
        <f t="shared" si="11"/>
        <v/>
      </c>
      <c r="H112" t="str">
        <f t="shared" si="12"/>
        <v/>
      </c>
      <c r="I112" s="23" t="str">
        <f ca="1">IF(A112="","",IF($B$8="Sí",interpolar_alamb(H112,OFFSET(Curvas_cupon_cero!$A$1,1,0,COUNT(Curvas_cupon_cero!$A:$A)-2,1),OFFSET(Curvas_cupon_cero!$A$1,1,MATCH($B$6,Curvas_cupon_cero!$1:$1,0)-1,COUNT(Curvas_cupon_cero!$A:$A)-2,1)),[1]!interpolar(H112,OFFSET(Curvas_cupon_cero!$A$1,1,0,COUNT(Curvas_cupon_cero!$A:$A)-2,1),OFFSET(Curvas_cupon_cero!$A$1,1,MATCH($B$6,Curvas_cupon_cero!$1:$1,0)-1,COUNT(Curvas_cupon_cero!$A:$A)-2,1))))</f>
        <v/>
      </c>
      <c r="J112" s="19" t="str">
        <f>IF(A112="","",F112/(1+I112*$B$5/360)^(COUNT(A$16:A112)-($B$5-$G$16)/$B$5))</f>
        <v/>
      </c>
    </row>
    <row r="113" spans="1:10" x14ac:dyDescent="0.2">
      <c r="A113" s="12" t="str">
        <f t="shared" si="9"/>
        <v/>
      </c>
      <c r="B113" t="str">
        <f t="shared" si="7"/>
        <v/>
      </c>
      <c r="C113" s="21" t="str">
        <f ca="1">IF(A113="","",IF($B$8="Sí",interpolar_alamb(B113,OFFSET(Curvas_cupon_cero!$A$1,1,0,COUNT(Curvas_cupon_cero!$A:$A)-2,1),OFFSET(Curvas_cupon_cero!$A$1,1,MATCH($B$7,Curvas_cupon_cero!$1:$1,0)-1,COUNT(Curvas_cupon_cero!$A:$A)-2,1)),[1]!interpolar(B113,OFFSET(Curvas_cupon_cero!$A$1,1,0,COUNT(Curvas_cupon_cero!$A:$A)-2,1),OFFSET(Curvas_cupon_cero!$A$1,1,MATCH($B$7,Curvas_cupon_cero!$1:$1,0)-1,COUNT(Curvas_cupon_cero!$A:$A)-2,1))))</f>
        <v/>
      </c>
      <c r="D113" s="23" t="str">
        <f ca="1">IF(A113="","",IF($B$8="Sí",interpolar_alamb(H113,OFFSET(Curvas_cupon_cero!$A$1,1,0,COUNT(Curvas_cupon_cero!$A:$A)-2,1),OFFSET(Curvas_cupon_cero!$A$1,1,MATCH($B$7,Curvas_cupon_cero!$1:$1,0)-1,COUNT(Curvas_cupon_cero!$A:$A)-2,1)),[1]!interpolar(H113,OFFSET(Curvas_cupon_cero!$A$1,1,0,COUNT(Curvas_cupon_cero!$A:$A)-2,1),OFFSET(Curvas_cupon_cero!$A$1,1,MATCH($B$7,Curvas_cupon_cero!$1:$1,0)-1,COUNT(Curvas_cupon_cero!$A:$A)-2,1))))</f>
        <v/>
      </c>
      <c r="E113" s="23" t="str">
        <f t="shared" si="10"/>
        <v/>
      </c>
      <c r="F113" s="17" t="str">
        <f t="shared" si="8"/>
        <v/>
      </c>
      <c r="G113" s="18" t="str">
        <f t="shared" si="11"/>
        <v/>
      </c>
      <c r="H113" t="str">
        <f t="shared" si="12"/>
        <v/>
      </c>
      <c r="I113" s="23" t="str">
        <f ca="1">IF(A113="","",IF($B$8="Sí",interpolar_alamb(H113,OFFSET(Curvas_cupon_cero!$A$1,1,0,COUNT(Curvas_cupon_cero!$A:$A)-2,1),OFFSET(Curvas_cupon_cero!$A$1,1,MATCH($B$6,Curvas_cupon_cero!$1:$1,0)-1,COUNT(Curvas_cupon_cero!$A:$A)-2,1)),[1]!interpolar(H113,OFFSET(Curvas_cupon_cero!$A$1,1,0,COUNT(Curvas_cupon_cero!$A:$A)-2,1),OFFSET(Curvas_cupon_cero!$A$1,1,MATCH($B$6,Curvas_cupon_cero!$1:$1,0)-1,COUNT(Curvas_cupon_cero!$A:$A)-2,1))))</f>
        <v/>
      </c>
      <c r="J113" s="19" t="str">
        <f>IF(A113="","",F113/(1+I113*$B$5/360)^(COUNT(A$16:A113)-($B$5-$G$16)/$B$5))</f>
        <v/>
      </c>
    </row>
    <row r="114" spans="1:10" x14ac:dyDescent="0.2">
      <c r="A114" s="12" t="str">
        <f t="shared" si="9"/>
        <v/>
      </c>
      <c r="B114" t="str">
        <f t="shared" si="7"/>
        <v/>
      </c>
      <c r="C114" s="21" t="str">
        <f ca="1">IF(A114="","",IF($B$8="Sí",interpolar_alamb(B114,OFFSET(Curvas_cupon_cero!$A$1,1,0,COUNT(Curvas_cupon_cero!$A:$A)-2,1),OFFSET(Curvas_cupon_cero!$A$1,1,MATCH($B$7,Curvas_cupon_cero!$1:$1,0)-1,COUNT(Curvas_cupon_cero!$A:$A)-2,1)),[1]!interpolar(B114,OFFSET(Curvas_cupon_cero!$A$1,1,0,COUNT(Curvas_cupon_cero!$A:$A)-2,1),OFFSET(Curvas_cupon_cero!$A$1,1,MATCH($B$7,Curvas_cupon_cero!$1:$1,0)-1,COUNT(Curvas_cupon_cero!$A:$A)-2,1))))</f>
        <v/>
      </c>
      <c r="D114" s="23" t="str">
        <f ca="1">IF(A114="","",IF($B$8="Sí",interpolar_alamb(H114,OFFSET(Curvas_cupon_cero!$A$1,1,0,COUNT(Curvas_cupon_cero!$A:$A)-2,1),OFFSET(Curvas_cupon_cero!$A$1,1,MATCH($B$7,Curvas_cupon_cero!$1:$1,0)-1,COUNT(Curvas_cupon_cero!$A:$A)-2,1)),[1]!interpolar(H114,OFFSET(Curvas_cupon_cero!$A$1,1,0,COUNT(Curvas_cupon_cero!$A:$A)-2,1),OFFSET(Curvas_cupon_cero!$A$1,1,MATCH($B$7,Curvas_cupon_cero!$1:$1,0)-1,COUNT(Curvas_cupon_cero!$A:$A)-2,1))))</f>
        <v/>
      </c>
      <c r="E114" s="23" t="str">
        <f t="shared" si="10"/>
        <v/>
      </c>
      <c r="F114" s="17" t="str">
        <f t="shared" si="8"/>
        <v/>
      </c>
      <c r="G114" s="18" t="str">
        <f t="shared" si="11"/>
        <v/>
      </c>
      <c r="H114" t="str">
        <f t="shared" si="12"/>
        <v/>
      </c>
      <c r="I114" s="23" t="str">
        <f ca="1">IF(A114="","",IF($B$8="Sí",interpolar_alamb(H114,OFFSET(Curvas_cupon_cero!$A$1,1,0,COUNT(Curvas_cupon_cero!$A:$A)-2,1),OFFSET(Curvas_cupon_cero!$A$1,1,MATCH($B$6,Curvas_cupon_cero!$1:$1,0)-1,COUNT(Curvas_cupon_cero!$A:$A)-2,1)),[1]!interpolar(H114,OFFSET(Curvas_cupon_cero!$A$1,1,0,COUNT(Curvas_cupon_cero!$A:$A)-2,1),OFFSET(Curvas_cupon_cero!$A$1,1,MATCH($B$6,Curvas_cupon_cero!$1:$1,0)-1,COUNT(Curvas_cupon_cero!$A:$A)-2,1))))</f>
        <v/>
      </c>
      <c r="J114" s="19" t="str">
        <f>IF(A114="","",F114/(1+I114*$B$5/360)^(COUNT(A$16:A114)-($B$5-$G$16)/$B$5))</f>
        <v/>
      </c>
    </row>
    <row r="115" spans="1:10" x14ac:dyDescent="0.2">
      <c r="A115" s="12" t="str">
        <f t="shared" si="9"/>
        <v/>
      </c>
      <c r="B115" t="str">
        <f t="shared" si="7"/>
        <v/>
      </c>
      <c r="C115" s="21" t="str">
        <f ca="1">IF(A115="","",IF($B$8="Sí",interpolar_alamb(B115,OFFSET(Curvas_cupon_cero!$A$1,1,0,COUNT(Curvas_cupon_cero!$A:$A)-2,1),OFFSET(Curvas_cupon_cero!$A$1,1,MATCH($B$7,Curvas_cupon_cero!$1:$1,0)-1,COUNT(Curvas_cupon_cero!$A:$A)-2,1)),[1]!interpolar(B115,OFFSET(Curvas_cupon_cero!$A$1,1,0,COUNT(Curvas_cupon_cero!$A:$A)-2,1),OFFSET(Curvas_cupon_cero!$A$1,1,MATCH($B$7,Curvas_cupon_cero!$1:$1,0)-1,COUNT(Curvas_cupon_cero!$A:$A)-2,1))))</f>
        <v/>
      </c>
      <c r="D115" s="23" t="str">
        <f ca="1">IF(A115="","",IF($B$8="Sí",interpolar_alamb(H115,OFFSET(Curvas_cupon_cero!$A$1,1,0,COUNT(Curvas_cupon_cero!$A:$A)-2,1),OFFSET(Curvas_cupon_cero!$A$1,1,MATCH($B$7,Curvas_cupon_cero!$1:$1,0)-1,COUNT(Curvas_cupon_cero!$A:$A)-2,1)),[1]!interpolar(H115,OFFSET(Curvas_cupon_cero!$A$1,1,0,COUNT(Curvas_cupon_cero!$A:$A)-2,1),OFFSET(Curvas_cupon_cero!$A$1,1,MATCH($B$7,Curvas_cupon_cero!$1:$1,0)-1,COUNT(Curvas_cupon_cero!$A:$A)-2,1))))</f>
        <v/>
      </c>
      <c r="E115" s="23" t="str">
        <f t="shared" si="10"/>
        <v/>
      </c>
      <c r="F115" s="17" t="str">
        <f t="shared" si="8"/>
        <v/>
      </c>
      <c r="G115" s="18" t="str">
        <f t="shared" si="11"/>
        <v/>
      </c>
      <c r="H115" t="str">
        <f t="shared" si="12"/>
        <v/>
      </c>
      <c r="I115" s="23" t="str">
        <f ca="1">IF(A115="","",IF($B$8="Sí",interpolar_alamb(H115,OFFSET(Curvas_cupon_cero!$A$1,1,0,COUNT(Curvas_cupon_cero!$A:$A)-2,1),OFFSET(Curvas_cupon_cero!$A$1,1,MATCH($B$6,Curvas_cupon_cero!$1:$1,0)-1,COUNT(Curvas_cupon_cero!$A:$A)-2,1)),[1]!interpolar(H115,OFFSET(Curvas_cupon_cero!$A$1,1,0,COUNT(Curvas_cupon_cero!$A:$A)-2,1),OFFSET(Curvas_cupon_cero!$A$1,1,MATCH($B$6,Curvas_cupon_cero!$1:$1,0)-1,COUNT(Curvas_cupon_cero!$A:$A)-2,1))))</f>
        <v/>
      </c>
      <c r="J115" s="19" t="str">
        <f>IF(A115="","",F115/(1+I115*$B$5/360)^(COUNT(A$16:A115)-($B$5-$G$16)/$B$5))</f>
        <v/>
      </c>
    </row>
    <row r="116" spans="1:10" x14ac:dyDescent="0.2">
      <c r="A116" s="12" t="str">
        <f t="shared" si="9"/>
        <v/>
      </c>
      <c r="B116" t="str">
        <f t="shared" si="7"/>
        <v/>
      </c>
      <c r="C116" s="21" t="str">
        <f ca="1">IF(A116="","",IF($B$8="Sí",interpolar_alamb(B116,OFFSET(Curvas_cupon_cero!$A$1,1,0,COUNT(Curvas_cupon_cero!$A:$A)-2,1),OFFSET(Curvas_cupon_cero!$A$1,1,MATCH($B$7,Curvas_cupon_cero!$1:$1,0)-1,COUNT(Curvas_cupon_cero!$A:$A)-2,1)),[1]!interpolar(B116,OFFSET(Curvas_cupon_cero!$A$1,1,0,COUNT(Curvas_cupon_cero!$A:$A)-2,1),OFFSET(Curvas_cupon_cero!$A$1,1,MATCH($B$7,Curvas_cupon_cero!$1:$1,0)-1,COUNT(Curvas_cupon_cero!$A:$A)-2,1))))</f>
        <v/>
      </c>
      <c r="D116" s="23" t="str">
        <f ca="1">IF(A116="","",IF($B$8="Sí",interpolar_alamb(H116,OFFSET(Curvas_cupon_cero!$A$1,1,0,COUNT(Curvas_cupon_cero!$A:$A)-2,1),OFFSET(Curvas_cupon_cero!$A$1,1,MATCH($B$7,Curvas_cupon_cero!$1:$1,0)-1,COUNT(Curvas_cupon_cero!$A:$A)-2,1)),[1]!interpolar(H116,OFFSET(Curvas_cupon_cero!$A$1,1,0,COUNT(Curvas_cupon_cero!$A:$A)-2,1),OFFSET(Curvas_cupon_cero!$A$1,1,MATCH($B$7,Curvas_cupon_cero!$1:$1,0)-1,COUNT(Curvas_cupon_cero!$A:$A)-2,1))))</f>
        <v/>
      </c>
      <c r="E116" s="23" t="str">
        <f t="shared" si="10"/>
        <v/>
      </c>
      <c r="F116" s="17" t="str">
        <f t="shared" si="8"/>
        <v/>
      </c>
      <c r="G116" s="18" t="str">
        <f t="shared" si="11"/>
        <v/>
      </c>
      <c r="H116" t="str">
        <f t="shared" si="12"/>
        <v/>
      </c>
      <c r="I116" s="23" t="str">
        <f ca="1">IF(A116="","",IF($B$8="Sí",interpolar_alamb(H116,OFFSET(Curvas_cupon_cero!$A$1,1,0,COUNT(Curvas_cupon_cero!$A:$A)-2,1),OFFSET(Curvas_cupon_cero!$A$1,1,MATCH($B$6,Curvas_cupon_cero!$1:$1,0)-1,COUNT(Curvas_cupon_cero!$A:$A)-2,1)),[1]!interpolar(H116,OFFSET(Curvas_cupon_cero!$A$1,1,0,COUNT(Curvas_cupon_cero!$A:$A)-2,1),OFFSET(Curvas_cupon_cero!$A$1,1,MATCH($B$6,Curvas_cupon_cero!$1:$1,0)-1,COUNT(Curvas_cupon_cero!$A:$A)-2,1))))</f>
        <v/>
      </c>
      <c r="J116" s="19" t="str">
        <f>IF(A116="","",F116/(1+I116*$B$5/360)^(COUNT(A$16:A116)-($B$5-$G$16)/$B$5))</f>
        <v/>
      </c>
    </row>
    <row r="117" spans="1:10" x14ac:dyDescent="0.2">
      <c r="A117" s="12" t="str">
        <f t="shared" si="9"/>
        <v/>
      </c>
      <c r="B117" t="str">
        <f t="shared" si="7"/>
        <v/>
      </c>
      <c r="C117" s="21" t="str">
        <f ca="1">IF(A117="","",IF($B$8="Sí",interpolar_alamb(B117,OFFSET(Curvas_cupon_cero!$A$1,1,0,COUNT(Curvas_cupon_cero!$A:$A)-2,1),OFFSET(Curvas_cupon_cero!$A$1,1,MATCH($B$7,Curvas_cupon_cero!$1:$1,0)-1,COUNT(Curvas_cupon_cero!$A:$A)-2,1)),[1]!interpolar(B117,OFFSET(Curvas_cupon_cero!$A$1,1,0,COUNT(Curvas_cupon_cero!$A:$A)-2,1),OFFSET(Curvas_cupon_cero!$A$1,1,MATCH($B$7,Curvas_cupon_cero!$1:$1,0)-1,COUNT(Curvas_cupon_cero!$A:$A)-2,1))))</f>
        <v/>
      </c>
      <c r="D117" s="23" t="str">
        <f ca="1">IF(A117="","",IF($B$8="Sí",interpolar_alamb(H117,OFFSET(Curvas_cupon_cero!$A$1,1,0,COUNT(Curvas_cupon_cero!$A:$A)-2,1),OFFSET(Curvas_cupon_cero!$A$1,1,MATCH($B$7,Curvas_cupon_cero!$1:$1,0)-1,COUNT(Curvas_cupon_cero!$A:$A)-2,1)),[1]!interpolar(H117,OFFSET(Curvas_cupon_cero!$A$1,1,0,COUNT(Curvas_cupon_cero!$A:$A)-2,1),OFFSET(Curvas_cupon_cero!$A$1,1,MATCH($B$7,Curvas_cupon_cero!$1:$1,0)-1,COUNT(Curvas_cupon_cero!$A:$A)-2,1))))</f>
        <v/>
      </c>
      <c r="E117" s="23" t="str">
        <f t="shared" si="10"/>
        <v/>
      </c>
      <c r="F117" s="17" t="str">
        <f t="shared" si="8"/>
        <v/>
      </c>
      <c r="G117" s="18" t="str">
        <f t="shared" si="11"/>
        <v/>
      </c>
      <c r="H117" t="str">
        <f t="shared" si="12"/>
        <v/>
      </c>
      <c r="I117" s="23" t="str">
        <f ca="1">IF(A117="","",IF($B$8="Sí",interpolar_alamb(H117,OFFSET(Curvas_cupon_cero!$A$1,1,0,COUNT(Curvas_cupon_cero!$A:$A)-2,1),OFFSET(Curvas_cupon_cero!$A$1,1,MATCH($B$6,Curvas_cupon_cero!$1:$1,0)-1,COUNT(Curvas_cupon_cero!$A:$A)-2,1)),[1]!interpolar(H117,OFFSET(Curvas_cupon_cero!$A$1,1,0,COUNT(Curvas_cupon_cero!$A:$A)-2,1),OFFSET(Curvas_cupon_cero!$A$1,1,MATCH($B$6,Curvas_cupon_cero!$1:$1,0)-1,COUNT(Curvas_cupon_cero!$A:$A)-2,1))))</f>
        <v/>
      </c>
      <c r="J117" s="19" t="str">
        <f>IF(A117="","",F117/(1+I117*$B$5/360)^(COUNT(A$16:A117)-($B$5-$G$16)/$B$5))</f>
        <v/>
      </c>
    </row>
    <row r="118" spans="1:10" x14ac:dyDescent="0.2">
      <c r="A118" s="12" t="str">
        <f t="shared" si="9"/>
        <v/>
      </c>
      <c r="B118" t="str">
        <f t="shared" si="7"/>
        <v/>
      </c>
      <c r="C118" s="21" t="str">
        <f ca="1">IF(A118="","",IF($B$8="Sí",interpolar_alamb(B118,OFFSET(Curvas_cupon_cero!$A$1,1,0,COUNT(Curvas_cupon_cero!$A:$A)-2,1),OFFSET(Curvas_cupon_cero!$A$1,1,MATCH($B$7,Curvas_cupon_cero!$1:$1,0)-1,COUNT(Curvas_cupon_cero!$A:$A)-2,1)),[1]!interpolar(B118,OFFSET(Curvas_cupon_cero!$A$1,1,0,COUNT(Curvas_cupon_cero!$A:$A)-2,1),OFFSET(Curvas_cupon_cero!$A$1,1,MATCH($B$7,Curvas_cupon_cero!$1:$1,0)-1,COUNT(Curvas_cupon_cero!$A:$A)-2,1))))</f>
        <v/>
      </c>
      <c r="D118" s="23" t="str">
        <f ca="1">IF(A118="","",IF($B$8="Sí",interpolar_alamb(H118,OFFSET(Curvas_cupon_cero!$A$1,1,0,COUNT(Curvas_cupon_cero!$A:$A)-2,1),OFFSET(Curvas_cupon_cero!$A$1,1,MATCH($B$7,Curvas_cupon_cero!$1:$1,0)-1,COUNT(Curvas_cupon_cero!$A:$A)-2,1)),[1]!interpolar(H118,OFFSET(Curvas_cupon_cero!$A$1,1,0,COUNT(Curvas_cupon_cero!$A:$A)-2,1),OFFSET(Curvas_cupon_cero!$A$1,1,MATCH($B$7,Curvas_cupon_cero!$1:$1,0)-1,COUNT(Curvas_cupon_cero!$A:$A)-2,1))))</f>
        <v/>
      </c>
      <c r="E118" s="23" t="str">
        <f t="shared" si="10"/>
        <v/>
      </c>
      <c r="F118" s="17" t="str">
        <f t="shared" si="8"/>
        <v/>
      </c>
      <c r="G118" s="18" t="str">
        <f t="shared" si="11"/>
        <v/>
      </c>
      <c r="H118" t="str">
        <f t="shared" si="12"/>
        <v/>
      </c>
      <c r="I118" s="23" t="str">
        <f ca="1">IF(A118="","",IF($B$8="Sí",interpolar_alamb(H118,OFFSET(Curvas_cupon_cero!$A$1,1,0,COUNT(Curvas_cupon_cero!$A:$A)-2,1),OFFSET(Curvas_cupon_cero!$A$1,1,MATCH($B$6,Curvas_cupon_cero!$1:$1,0)-1,COUNT(Curvas_cupon_cero!$A:$A)-2,1)),[1]!interpolar(H118,OFFSET(Curvas_cupon_cero!$A$1,1,0,COUNT(Curvas_cupon_cero!$A:$A)-2,1),OFFSET(Curvas_cupon_cero!$A$1,1,MATCH($B$6,Curvas_cupon_cero!$1:$1,0)-1,COUNT(Curvas_cupon_cero!$A:$A)-2,1))))</f>
        <v/>
      </c>
      <c r="J118" s="19" t="str">
        <f>IF(A118="","",F118/(1+I118*$B$5/360)^(COUNT(A$16:A118)-($B$5-$G$16)/$B$5))</f>
        <v/>
      </c>
    </row>
    <row r="119" spans="1:10" x14ac:dyDescent="0.2">
      <c r="A119" s="12" t="str">
        <f t="shared" si="9"/>
        <v/>
      </c>
      <c r="B119" t="str">
        <f t="shared" si="7"/>
        <v/>
      </c>
      <c r="C119" s="21" t="str">
        <f ca="1">IF(A119="","",IF($B$8="Sí",interpolar_alamb(B119,OFFSET(Curvas_cupon_cero!$A$1,1,0,COUNT(Curvas_cupon_cero!$A:$A)-2,1),OFFSET(Curvas_cupon_cero!$A$1,1,MATCH($B$7,Curvas_cupon_cero!$1:$1,0)-1,COUNT(Curvas_cupon_cero!$A:$A)-2,1)),[1]!interpolar(B119,OFFSET(Curvas_cupon_cero!$A$1,1,0,COUNT(Curvas_cupon_cero!$A:$A)-2,1),OFFSET(Curvas_cupon_cero!$A$1,1,MATCH($B$7,Curvas_cupon_cero!$1:$1,0)-1,COUNT(Curvas_cupon_cero!$A:$A)-2,1))))</f>
        <v/>
      </c>
      <c r="D119" s="23" t="str">
        <f ca="1">IF(A119="","",IF($B$8="Sí",interpolar_alamb(H119,OFFSET(Curvas_cupon_cero!$A$1,1,0,COUNT(Curvas_cupon_cero!$A:$A)-2,1),OFFSET(Curvas_cupon_cero!$A$1,1,MATCH($B$7,Curvas_cupon_cero!$1:$1,0)-1,COUNT(Curvas_cupon_cero!$A:$A)-2,1)),[1]!interpolar(H119,OFFSET(Curvas_cupon_cero!$A$1,1,0,COUNT(Curvas_cupon_cero!$A:$A)-2,1),OFFSET(Curvas_cupon_cero!$A$1,1,MATCH($B$7,Curvas_cupon_cero!$1:$1,0)-1,COUNT(Curvas_cupon_cero!$A:$A)-2,1))))</f>
        <v/>
      </c>
      <c r="E119" s="23" t="str">
        <f t="shared" si="10"/>
        <v/>
      </c>
      <c r="F119" s="17" t="str">
        <f t="shared" si="8"/>
        <v/>
      </c>
      <c r="G119" s="18" t="str">
        <f t="shared" si="11"/>
        <v/>
      </c>
      <c r="H119" t="str">
        <f t="shared" si="12"/>
        <v/>
      </c>
      <c r="I119" s="23" t="str">
        <f ca="1">IF(A119="","",IF($B$8="Sí",interpolar_alamb(H119,OFFSET(Curvas_cupon_cero!$A$1,1,0,COUNT(Curvas_cupon_cero!$A:$A)-2,1),OFFSET(Curvas_cupon_cero!$A$1,1,MATCH($B$6,Curvas_cupon_cero!$1:$1,0)-1,COUNT(Curvas_cupon_cero!$A:$A)-2,1)),[1]!interpolar(H119,OFFSET(Curvas_cupon_cero!$A$1,1,0,COUNT(Curvas_cupon_cero!$A:$A)-2,1),OFFSET(Curvas_cupon_cero!$A$1,1,MATCH($B$6,Curvas_cupon_cero!$1:$1,0)-1,COUNT(Curvas_cupon_cero!$A:$A)-2,1))))</f>
        <v/>
      </c>
      <c r="J119" s="19" t="str">
        <f>IF(A119="","",F119/(1+I119*$B$5/360)^(COUNT(A$16:A119)-($B$5-$G$16)/$B$5))</f>
        <v/>
      </c>
    </row>
    <row r="120" spans="1:10" x14ac:dyDescent="0.2">
      <c r="A120" s="12" t="str">
        <f t="shared" si="9"/>
        <v/>
      </c>
      <c r="B120" t="str">
        <f t="shared" si="7"/>
        <v/>
      </c>
      <c r="C120" s="21" t="str">
        <f ca="1">IF(A120="","",IF($B$8="Sí",interpolar_alamb(B120,OFFSET(Curvas_cupon_cero!$A$1,1,0,COUNT(Curvas_cupon_cero!$A:$A)-2,1),OFFSET(Curvas_cupon_cero!$A$1,1,MATCH($B$7,Curvas_cupon_cero!$1:$1,0)-1,COUNT(Curvas_cupon_cero!$A:$A)-2,1)),[1]!interpolar(B120,OFFSET(Curvas_cupon_cero!$A$1,1,0,COUNT(Curvas_cupon_cero!$A:$A)-2,1),OFFSET(Curvas_cupon_cero!$A$1,1,MATCH($B$7,Curvas_cupon_cero!$1:$1,0)-1,COUNT(Curvas_cupon_cero!$A:$A)-2,1))))</f>
        <v/>
      </c>
      <c r="D120" s="23" t="str">
        <f ca="1">IF(A120="","",IF($B$8="Sí",interpolar_alamb(H120,OFFSET(Curvas_cupon_cero!$A$1,1,0,COUNT(Curvas_cupon_cero!$A:$A)-2,1),OFFSET(Curvas_cupon_cero!$A$1,1,MATCH($B$7,Curvas_cupon_cero!$1:$1,0)-1,COUNT(Curvas_cupon_cero!$A:$A)-2,1)),[1]!interpolar(H120,OFFSET(Curvas_cupon_cero!$A$1,1,0,COUNT(Curvas_cupon_cero!$A:$A)-2,1),OFFSET(Curvas_cupon_cero!$A$1,1,MATCH($B$7,Curvas_cupon_cero!$1:$1,0)-1,COUNT(Curvas_cupon_cero!$A:$A)-2,1))))</f>
        <v/>
      </c>
      <c r="E120" s="23" t="str">
        <f t="shared" si="10"/>
        <v/>
      </c>
      <c r="F120" s="17" t="str">
        <f t="shared" si="8"/>
        <v/>
      </c>
      <c r="G120" s="18" t="str">
        <f t="shared" si="11"/>
        <v/>
      </c>
      <c r="H120" t="str">
        <f t="shared" si="12"/>
        <v/>
      </c>
      <c r="I120" s="23" t="str">
        <f ca="1">IF(A120="","",IF($B$8="Sí",interpolar_alamb(H120,OFFSET(Curvas_cupon_cero!$A$1,1,0,COUNT(Curvas_cupon_cero!$A:$A)-2,1),OFFSET(Curvas_cupon_cero!$A$1,1,MATCH($B$6,Curvas_cupon_cero!$1:$1,0)-1,COUNT(Curvas_cupon_cero!$A:$A)-2,1)),[1]!interpolar(H120,OFFSET(Curvas_cupon_cero!$A$1,1,0,COUNT(Curvas_cupon_cero!$A:$A)-2,1),OFFSET(Curvas_cupon_cero!$A$1,1,MATCH($B$6,Curvas_cupon_cero!$1:$1,0)-1,COUNT(Curvas_cupon_cero!$A:$A)-2,1))))</f>
        <v/>
      </c>
      <c r="J120" s="19" t="str">
        <f>IF(A120="","",F120/(1+I120*$B$5/360)^(COUNT(A$16:A120)-($B$5-$G$16)/$B$5))</f>
        <v/>
      </c>
    </row>
    <row r="121" spans="1:10" x14ac:dyDescent="0.2">
      <c r="A121" s="12" t="str">
        <f t="shared" si="9"/>
        <v/>
      </c>
      <c r="B121" t="str">
        <f t="shared" si="7"/>
        <v/>
      </c>
      <c r="C121" s="21" t="str">
        <f ca="1">IF(A121="","",IF($B$8="Sí",interpolar_alamb(B121,OFFSET(Curvas_cupon_cero!$A$1,1,0,COUNT(Curvas_cupon_cero!$A:$A)-2,1),OFFSET(Curvas_cupon_cero!$A$1,1,MATCH($B$7,Curvas_cupon_cero!$1:$1,0)-1,COUNT(Curvas_cupon_cero!$A:$A)-2,1)),[1]!interpolar(B121,OFFSET(Curvas_cupon_cero!$A$1,1,0,COUNT(Curvas_cupon_cero!$A:$A)-2,1),OFFSET(Curvas_cupon_cero!$A$1,1,MATCH($B$7,Curvas_cupon_cero!$1:$1,0)-1,COUNT(Curvas_cupon_cero!$A:$A)-2,1))))</f>
        <v/>
      </c>
      <c r="D121" s="23" t="str">
        <f ca="1">IF(A121="","",IF($B$8="Sí",interpolar_alamb(H121,OFFSET(Curvas_cupon_cero!$A$1,1,0,COUNT(Curvas_cupon_cero!$A:$A)-2,1),OFFSET(Curvas_cupon_cero!$A$1,1,MATCH($B$7,Curvas_cupon_cero!$1:$1,0)-1,COUNT(Curvas_cupon_cero!$A:$A)-2,1)),[1]!interpolar(H121,OFFSET(Curvas_cupon_cero!$A$1,1,0,COUNT(Curvas_cupon_cero!$A:$A)-2,1),OFFSET(Curvas_cupon_cero!$A$1,1,MATCH($B$7,Curvas_cupon_cero!$1:$1,0)-1,COUNT(Curvas_cupon_cero!$A:$A)-2,1))))</f>
        <v/>
      </c>
      <c r="E121" s="23" t="str">
        <f t="shared" si="10"/>
        <v/>
      </c>
      <c r="F121" s="17" t="str">
        <f t="shared" si="8"/>
        <v/>
      </c>
      <c r="G121" s="18" t="str">
        <f t="shared" si="11"/>
        <v/>
      </c>
      <c r="H121" t="str">
        <f t="shared" si="12"/>
        <v/>
      </c>
      <c r="I121" s="23" t="str">
        <f ca="1">IF(A121="","",IF($B$8="Sí",interpolar_alamb(H121,OFFSET(Curvas_cupon_cero!$A$1,1,0,COUNT(Curvas_cupon_cero!$A:$A)-2,1),OFFSET(Curvas_cupon_cero!$A$1,1,MATCH($B$6,Curvas_cupon_cero!$1:$1,0)-1,COUNT(Curvas_cupon_cero!$A:$A)-2,1)),[1]!interpolar(H121,OFFSET(Curvas_cupon_cero!$A$1,1,0,COUNT(Curvas_cupon_cero!$A:$A)-2,1),OFFSET(Curvas_cupon_cero!$A$1,1,MATCH($B$6,Curvas_cupon_cero!$1:$1,0)-1,COUNT(Curvas_cupon_cero!$A:$A)-2,1))))</f>
        <v/>
      </c>
      <c r="J121" s="19" t="str">
        <f>IF(A121="","",F121/(1+I121*$B$5/360)^(COUNT(A$16:A121)-($B$5-$G$16)/$B$5))</f>
        <v/>
      </c>
    </row>
    <row r="122" spans="1:10" x14ac:dyDescent="0.2">
      <c r="A122" s="12" t="str">
        <f t="shared" si="9"/>
        <v/>
      </c>
      <c r="B122" t="str">
        <f t="shared" si="7"/>
        <v/>
      </c>
      <c r="C122" s="21" t="str">
        <f ca="1">IF(A122="","",IF($B$8="Sí",interpolar_alamb(B122,OFFSET(Curvas_cupon_cero!$A$1,1,0,COUNT(Curvas_cupon_cero!$A:$A)-2,1),OFFSET(Curvas_cupon_cero!$A$1,1,MATCH($B$7,Curvas_cupon_cero!$1:$1,0)-1,COUNT(Curvas_cupon_cero!$A:$A)-2,1)),[1]!interpolar(B122,OFFSET(Curvas_cupon_cero!$A$1,1,0,COUNT(Curvas_cupon_cero!$A:$A)-2,1),OFFSET(Curvas_cupon_cero!$A$1,1,MATCH($B$7,Curvas_cupon_cero!$1:$1,0)-1,COUNT(Curvas_cupon_cero!$A:$A)-2,1))))</f>
        <v/>
      </c>
      <c r="D122" s="23" t="str">
        <f ca="1">IF(A122="","",IF($B$8="Sí",interpolar_alamb(H122,OFFSET(Curvas_cupon_cero!$A$1,1,0,COUNT(Curvas_cupon_cero!$A:$A)-2,1),OFFSET(Curvas_cupon_cero!$A$1,1,MATCH($B$7,Curvas_cupon_cero!$1:$1,0)-1,COUNT(Curvas_cupon_cero!$A:$A)-2,1)),[1]!interpolar(H122,OFFSET(Curvas_cupon_cero!$A$1,1,0,COUNT(Curvas_cupon_cero!$A:$A)-2,1),OFFSET(Curvas_cupon_cero!$A$1,1,MATCH($B$7,Curvas_cupon_cero!$1:$1,0)-1,COUNT(Curvas_cupon_cero!$A:$A)-2,1))))</f>
        <v/>
      </c>
      <c r="E122" s="23" t="str">
        <f t="shared" si="10"/>
        <v/>
      </c>
      <c r="F122" s="17" t="str">
        <f t="shared" si="8"/>
        <v/>
      </c>
      <c r="G122" s="18" t="str">
        <f t="shared" si="11"/>
        <v/>
      </c>
      <c r="H122" t="str">
        <f t="shared" si="12"/>
        <v/>
      </c>
      <c r="I122" s="23" t="str">
        <f ca="1">IF(A122="","",IF($B$8="Sí",interpolar_alamb(H122,OFFSET(Curvas_cupon_cero!$A$1,1,0,COUNT(Curvas_cupon_cero!$A:$A)-2,1),OFFSET(Curvas_cupon_cero!$A$1,1,MATCH($B$6,Curvas_cupon_cero!$1:$1,0)-1,COUNT(Curvas_cupon_cero!$A:$A)-2,1)),[1]!interpolar(H122,OFFSET(Curvas_cupon_cero!$A$1,1,0,COUNT(Curvas_cupon_cero!$A:$A)-2,1),OFFSET(Curvas_cupon_cero!$A$1,1,MATCH($B$6,Curvas_cupon_cero!$1:$1,0)-1,COUNT(Curvas_cupon_cero!$A:$A)-2,1))))</f>
        <v/>
      </c>
      <c r="J122" s="19" t="str">
        <f>IF(A122="","",F122/(1+I122*$B$5/360)^(COUNT(A$16:A122)-($B$5-$G$16)/$B$5))</f>
        <v/>
      </c>
    </row>
    <row r="123" spans="1:10" x14ac:dyDescent="0.2">
      <c r="A123" s="12" t="str">
        <f t="shared" si="9"/>
        <v/>
      </c>
      <c r="B123" t="str">
        <f t="shared" si="7"/>
        <v/>
      </c>
      <c r="C123" s="21" t="str">
        <f ca="1">IF(A123="","",IF($B$8="Sí",interpolar_alamb(B123,OFFSET(Curvas_cupon_cero!$A$1,1,0,COUNT(Curvas_cupon_cero!$A:$A)-2,1),OFFSET(Curvas_cupon_cero!$A$1,1,MATCH($B$7,Curvas_cupon_cero!$1:$1,0)-1,COUNT(Curvas_cupon_cero!$A:$A)-2,1)),[1]!interpolar(B123,OFFSET(Curvas_cupon_cero!$A$1,1,0,COUNT(Curvas_cupon_cero!$A:$A)-2,1),OFFSET(Curvas_cupon_cero!$A$1,1,MATCH($B$7,Curvas_cupon_cero!$1:$1,0)-1,COUNT(Curvas_cupon_cero!$A:$A)-2,1))))</f>
        <v/>
      </c>
      <c r="D123" s="23" t="str">
        <f ca="1">IF(A123="","",IF($B$8="Sí",interpolar_alamb(H123,OFFSET(Curvas_cupon_cero!$A$1,1,0,COUNT(Curvas_cupon_cero!$A:$A)-2,1),OFFSET(Curvas_cupon_cero!$A$1,1,MATCH($B$7,Curvas_cupon_cero!$1:$1,0)-1,COUNT(Curvas_cupon_cero!$A:$A)-2,1)),[1]!interpolar(H123,OFFSET(Curvas_cupon_cero!$A$1,1,0,COUNT(Curvas_cupon_cero!$A:$A)-2,1),OFFSET(Curvas_cupon_cero!$A$1,1,MATCH($B$7,Curvas_cupon_cero!$1:$1,0)-1,COUNT(Curvas_cupon_cero!$A:$A)-2,1))))</f>
        <v/>
      </c>
      <c r="E123" s="23" t="str">
        <f t="shared" si="10"/>
        <v/>
      </c>
      <c r="F123" s="17" t="str">
        <f t="shared" si="8"/>
        <v/>
      </c>
      <c r="G123" s="18" t="str">
        <f t="shared" si="11"/>
        <v/>
      </c>
      <c r="H123" t="str">
        <f t="shared" si="12"/>
        <v/>
      </c>
      <c r="I123" s="23" t="str">
        <f ca="1">IF(A123="","",IF($B$8="Sí",interpolar_alamb(H123,OFFSET(Curvas_cupon_cero!$A$1,1,0,COUNT(Curvas_cupon_cero!$A:$A)-2,1),OFFSET(Curvas_cupon_cero!$A$1,1,MATCH($B$6,Curvas_cupon_cero!$1:$1,0)-1,COUNT(Curvas_cupon_cero!$A:$A)-2,1)),[1]!interpolar(H123,OFFSET(Curvas_cupon_cero!$A$1,1,0,COUNT(Curvas_cupon_cero!$A:$A)-2,1),OFFSET(Curvas_cupon_cero!$A$1,1,MATCH($B$6,Curvas_cupon_cero!$1:$1,0)-1,COUNT(Curvas_cupon_cero!$A:$A)-2,1))))</f>
        <v/>
      </c>
      <c r="J123" s="19" t="str">
        <f>IF(A123="","",F123/(1+I123*$B$5/360)^(COUNT(A$16:A123)-($B$5-$G$16)/$B$5))</f>
        <v/>
      </c>
    </row>
    <row r="124" spans="1:10" x14ac:dyDescent="0.2">
      <c r="A124" s="12" t="str">
        <f t="shared" si="9"/>
        <v/>
      </c>
      <c r="B124" t="str">
        <f t="shared" si="7"/>
        <v/>
      </c>
      <c r="C124" s="21" t="str">
        <f ca="1">IF(A124="","",IF($B$8="Sí",interpolar_alamb(B124,OFFSET(Curvas_cupon_cero!$A$1,1,0,COUNT(Curvas_cupon_cero!$A:$A)-2,1),OFFSET(Curvas_cupon_cero!$A$1,1,MATCH($B$7,Curvas_cupon_cero!$1:$1,0)-1,COUNT(Curvas_cupon_cero!$A:$A)-2,1)),[1]!interpolar(B124,OFFSET(Curvas_cupon_cero!$A$1,1,0,COUNT(Curvas_cupon_cero!$A:$A)-2,1),OFFSET(Curvas_cupon_cero!$A$1,1,MATCH($B$7,Curvas_cupon_cero!$1:$1,0)-1,COUNT(Curvas_cupon_cero!$A:$A)-2,1))))</f>
        <v/>
      </c>
      <c r="D124" s="23" t="str">
        <f ca="1">IF(A124="","",IF($B$8="Sí",interpolar_alamb(H124,OFFSET(Curvas_cupon_cero!$A$1,1,0,COUNT(Curvas_cupon_cero!$A:$A)-2,1),OFFSET(Curvas_cupon_cero!$A$1,1,MATCH($B$7,Curvas_cupon_cero!$1:$1,0)-1,COUNT(Curvas_cupon_cero!$A:$A)-2,1)),[1]!interpolar(H124,OFFSET(Curvas_cupon_cero!$A$1,1,0,COUNT(Curvas_cupon_cero!$A:$A)-2,1),OFFSET(Curvas_cupon_cero!$A$1,1,MATCH($B$7,Curvas_cupon_cero!$1:$1,0)-1,COUNT(Curvas_cupon_cero!$A:$A)-2,1))))</f>
        <v/>
      </c>
      <c r="E124" s="23" t="str">
        <f t="shared" si="10"/>
        <v/>
      </c>
      <c r="F124" s="17" t="str">
        <f t="shared" si="8"/>
        <v/>
      </c>
      <c r="G124" s="18" t="str">
        <f t="shared" si="11"/>
        <v/>
      </c>
      <c r="H124" t="str">
        <f t="shared" si="12"/>
        <v/>
      </c>
      <c r="I124" s="23" t="str">
        <f ca="1">IF(A124="","",IF($B$8="Sí",interpolar_alamb(H124,OFFSET(Curvas_cupon_cero!$A$1,1,0,COUNT(Curvas_cupon_cero!$A:$A)-2,1),OFFSET(Curvas_cupon_cero!$A$1,1,MATCH($B$6,Curvas_cupon_cero!$1:$1,0)-1,COUNT(Curvas_cupon_cero!$A:$A)-2,1)),[1]!interpolar(H124,OFFSET(Curvas_cupon_cero!$A$1,1,0,COUNT(Curvas_cupon_cero!$A:$A)-2,1),OFFSET(Curvas_cupon_cero!$A$1,1,MATCH($B$6,Curvas_cupon_cero!$1:$1,0)-1,COUNT(Curvas_cupon_cero!$A:$A)-2,1))))</f>
        <v/>
      </c>
      <c r="J124" s="19" t="str">
        <f>IF(A124="","",F124/(1+I124*$B$5/360)^(COUNT(A$16:A124)-($B$5-$G$16)/$B$5))</f>
        <v/>
      </c>
    </row>
    <row r="125" spans="1:10" x14ac:dyDescent="0.2">
      <c r="A125" s="12" t="str">
        <f t="shared" si="9"/>
        <v/>
      </c>
      <c r="B125" t="str">
        <f t="shared" si="7"/>
        <v/>
      </c>
      <c r="C125" s="21" t="str">
        <f ca="1">IF(A125="","",IF($B$8="Sí",interpolar_alamb(B125,OFFSET(Curvas_cupon_cero!$A$1,1,0,COUNT(Curvas_cupon_cero!$A:$A)-2,1),OFFSET(Curvas_cupon_cero!$A$1,1,MATCH($B$7,Curvas_cupon_cero!$1:$1,0)-1,COUNT(Curvas_cupon_cero!$A:$A)-2,1)),[1]!interpolar(B125,OFFSET(Curvas_cupon_cero!$A$1,1,0,COUNT(Curvas_cupon_cero!$A:$A)-2,1),OFFSET(Curvas_cupon_cero!$A$1,1,MATCH($B$7,Curvas_cupon_cero!$1:$1,0)-1,COUNT(Curvas_cupon_cero!$A:$A)-2,1))))</f>
        <v/>
      </c>
      <c r="D125" s="23" t="str">
        <f ca="1">IF(A125="","",IF($B$8="Sí",interpolar_alamb(H125,OFFSET(Curvas_cupon_cero!$A$1,1,0,COUNT(Curvas_cupon_cero!$A:$A)-2,1),OFFSET(Curvas_cupon_cero!$A$1,1,MATCH($B$7,Curvas_cupon_cero!$1:$1,0)-1,COUNT(Curvas_cupon_cero!$A:$A)-2,1)),[1]!interpolar(H125,OFFSET(Curvas_cupon_cero!$A$1,1,0,COUNT(Curvas_cupon_cero!$A:$A)-2,1),OFFSET(Curvas_cupon_cero!$A$1,1,MATCH($B$7,Curvas_cupon_cero!$1:$1,0)-1,COUNT(Curvas_cupon_cero!$A:$A)-2,1))))</f>
        <v/>
      </c>
      <c r="E125" s="23" t="str">
        <f t="shared" si="10"/>
        <v/>
      </c>
      <c r="F125" s="17" t="str">
        <f t="shared" si="8"/>
        <v/>
      </c>
      <c r="G125" s="18" t="str">
        <f t="shared" si="11"/>
        <v/>
      </c>
      <c r="H125" t="str">
        <f t="shared" si="12"/>
        <v/>
      </c>
      <c r="I125" s="23" t="str">
        <f ca="1">IF(A125="","",IF($B$8="Sí",interpolar_alamb(H125,OFFSET(Curvas_cupon_cero!$A$1,1,0,COUNT(Curvas_cupon_cero!$A:$A)-2,1),OFFSET(Curvas_cupon_cero!$A$1,1,MATCH($B$6,Curvas_cupon_cero!$1:$1,0)-1,COUNT(Curvas_cupon_cero!$A:$A)-2,1)),[1]!interpolar(H125,OFFSET(Curvas_cupon_cero!$A$1,1,0,COUNT(Curvas_cupon_cero!$A:$A)-2,1),OFFSET(Curvas_cupon_cero!$A$1,1,MATCH($B$6,Curvas_cupon_cero!$1:$1,0)-1,COUNT(Curvas_cupon_cero!$A:$A)-2,1))))</f>
        <v/>
      </c>
      <c r="J125" s="19" t="str">
        <f>IF(A125="","",F125/(1+I125*$B$5/360)^(COUNT(A$16:A125)-($B$5-$G$16)/$B$5))</f>
        <v/>
      </c>
    </row>
    <row r="126" spans="1:10" x14ac:dyDescent="0.2">
      <c r="A126" s="12" t="str">
        <f t="shared" si="9"/>
        <v/>
      </c>
      <c r="B126" t="str">
        <f t="shared" si="7"/>
        <v/>
      </c>
      <c r="C126" s="21" t="str">
        <f ca="1">IF(A126="","",IF($B$8="Sí",interpolar_alamb(B126,OFFSET(Curvas_cupon_cero!$A$1,1,0,COUNT(Curvas_cupon_cero!$A:$A)-2,1),OFFSET(Curvas_cupon_cero!$A$1,1,MATCH($B$7,Curvas_cupon_cero!$1:$1,0)-1,COUNT(Curvas_cupon_cero!$A:$A)-2,1)),[1]!interpolar(B126,OFFSET(Curvas_cupon_cero!$A$1,1,0,COUNT(Curvas_cupon_cero!$A:$A)-2,1),OFFSET(Curvas_cupon_cero!$A$1,1,MATCH($B$7,Curvas_cupon_cero!$1:$1,0)-1,COUNT(Curvas_cupon_cero!$A:$A)-2,1))))</f>
        <v/>
      </c>
      <c r="D126" s="23" t="str">
        <f ca="1">IF(A126="","",IF($B$8="Sí",interpolar_alamb(H126,OFFSET(Curvas_cupon_cero!$A$1,1,0,COUNT(Curvas_cupon_cero!$A:$A)-2,1),OFFSET(Curvas_cupon_cero!$A$1,1,MATCH($B$7,Curvas_cupon_cero!$1:$1,0)-1,COUNT(Curvas_cupon_cero!$A:$A)-2,1)),[1]!interpolar(H126,OFFSET(Curvas_cupon_cero!$A$1,1,0,COUNT(Curvas_cupon_cero!$A:$A)-2,1),OFFSET(Curvas_cupon_cero!$A$1,1,MATCH($B$7,Curvas_cupon_cero!$1:$1,0)-1,COUNT(Curvas_cupon_cero!$A:$A)-2,1))))</f>
        <v/>
      </c>
      <c r="E126" s="23" t="str">
        <f t="shared" si="10"/>
        <v/>
      </c>
      <c r="F126" s="17" t="str">
        <f t="shared" si="8"/>
        <v/>
      </c>
      <c r="G126" s="18" t="str">
        <f t="shared" si="11"/>
        <v/>
      </c>
      <c r="H126" t="str">
        <f t="shared" si="12"/>
        <v/>
      </c>
      <c r="I126" s="23" t="str">
        <f ca="1">IF(A126="","",IF($B$8="Sí",interpolar_alamb(H126,OFFSET(Curvas_cupon_cero!$A$1,1,0,COUNT(Curvas_cupon_cero!$A:$A)-2,1),OFFSET(Curvas_cupon_cero!$A$1,1,MATCH($B$6,Curvas_cupon_cero!$1:$1,0)-1,COUNT(Curvas_cupon_cero!$A:$A)-2,1)),[1]!interpolar(H126,OFFSET(Curvas_cupon_cero!$A$1,1,0,COUNT(Curvas_cupon_cero!$A:$A)-2,1),OFFSET(Curvas_cupon_cero!$A$1,1,MATCH($B$6,Curvas_cupon_cero!$1:$1,0)-1,COUNT(Curvas_cupon_cero!$A:$A)-2,1))))</f>
        <v/>
      </c>
      <c r="J126" s="19" t="str">
        <f>IF(A126="","",F126/(1+I126*$B$5/360)^(COUNT(A$16:A126)-($B$5-$G$16)/$B$5))</f>
        <v/>
      </c>
    </row>
    <row r="127" spans="1:10" x14ac:dyDescent="0.2">
      <c r="A127" s="12" t="str">
        <f t="shared" si="9"/>
        <v/>
      </c>
      <c r="B127" t="str">
        <f t="shared" si="7"/>
        <v/>
      </c>
      <c r="C127" s="21" t="str">
        <f ca="1">IF(A127="","",IF($B$8="Sí",interpolar_alamb(B127,OFFSET(Curvas_cupon_cero!$A$1,1,0,COUNT(Curvas_cupon_cero!$A:$A)-2,1),OFFSET(Curvas_cupon_cero!$A$1,1,MATCH($B$7,Curvas_cupon_cero!$1:$1,0)-1,COUNT(Curvas_cupon_cero!$A:$A)-2,1)),[1]!interpolar(B127,OFFSET(Curvas_cupon_cero!$A$1,1,0,COUNT(Curvas_cupon_cero!$A:$A)-2,1),OFFSET(Curvas_cupon_cero!$A$1,1,MATCH($B$7,Curvas_cupon_cero!$1:$1,0)-1,COUNT(Curvas_cupon_cero!$A:$A)-2,1))))</f>
        <v/>
      </c>
      <c r="D127" s="23" t="str">
        <f ca="1">IF(A127="","",IF($B$8="Sí",interpolar_alamb(H127,OFFSET(Curvas_cupon_cero!$A$1,1,0,COUNT(Curvas_cupon_cero!$A:$A)-2,1),OFFSET(Curvas_cupon_cero!$A$1,1,MATCH($B$7,Curvas_cupon_cero!$1:$1,0)-1,COUNT(Curvas_cupon_cero!$A:$A)-2,1)),[1]!interpolar(H127,OFFSET(Curvas_cupon_cero!$A$1,1,0,COUNT(Curvas_cupon_cero!$A:$A)-2,1),OFFSET(Curvas_cupon_cero!$A$1,1,MATCH($B$7,Curvas_cupon_cero!$1:$1,0)-1,COUNT(Curvas_cupon_cero!$A:$A)-2,1))))</f>
        <v/>
      </c>
      <c r="E127" s="23" t="str">
        <f t="shared" si="10"/>
        <v/>
      </c>
      <c r="F127" s="17" t="str">
        <f t="shared" si="8"/>
        <v/>
      </c>
      <c r="G127" s="18" t="str">
        <f t="shared" si="11"/>
        <v/>
      </c>
      <c r="H127" t="str">
        <f t="shared" si="12"/>
        <v/>
      </c>
      <c r="I127" s="23" t="str">
        <f ca="1">IF(A127="","",IF($B$8="Sí",interpolar_alamb(H127,OFFSET(Curvas_cupon_cero!$A$1,1,0,COUNT(Curvas_cupon_cero!$A:$A)-2,1),OFFSET(Curvas_cupon_cero!$A$1,1,MATCH($B$6,Curvas_cupon_cero!$1:$1,0)-1,COUNT(Curvas_cupon_cero!$A:$A)-2,1)),[1]!interpolar(H127,OFFSET(Curvas_cupon_cero!$A$1,1,0,COUNT(Curvas_cupon_cero!$A:$A)-2,1),OFFSET(Curvas_cupon_cero!$A$1,1,MATCH($B$6,Curvas_cupon_cero!$1:$1,0)-1,COUNT(Curvas_cupon_cero!$A:$A)-2,1))))</f>
        <v/>
      </c>
      <c r="J127" s="19" t="str">
        <f>IF(A127="","",F127/(1+I127*$B$5/360)^(COUNT(A$16:A127)-($B$5-$G$16)/$B$5))</f>
        <v/>
      </c>
    </row>
    <row r="128" spans="1:10" x14ac:dyDescent="0.2">
      <c r="A128" s="12" t="str">
        <f t="shared" si="9"/>
        <v/>
      </c>
      <c r="B128" t="str">
        <f t="shared" si="7"/>
        <v/>
      </c>
      <c r="C128" s="21" t="str">
        <f ca="1">IF(A128="","",IF($B$8="Sí",interpolar_alamb(B128,OFFSET(Curvas_cupon_cero!$A$1,1,0,COUNT(Curvas_cupon_cero!$A:$A)-2,1),OFFSET(Curvas_cupon_cero!$A$1,1,MATCH($B$7,Curvas_cupon_cero!$1:$1,0)-1,COUNT(Curvas_cupon_cero!$A:$A)-2,1)),[1]!interpolar(B128,OFFSET(Curvas_cupon_cero!$A$1,1,0,COUNT(Curvas_cupon_cero!$A:$A)-2,1),OFFSET(Curvas_cupon_cero!$A$1,1,MATCH($B$7,Curvas_cupon_cero!$1:$1,0)-1,COUNT(Curvas_cupon_cero!$A:$A)-2,1))))</f>
        <v/>
      </c>
      <c r="D128" s="23" t="str">
        <f ca="1">IF(A128="","",IF($B$8="Sí",interpolar_alamb(H128,OFFSET(Curvas_cupon_cero!$A$1,1,0,COUNT(Curvas_cupon_cero!$A:$A)-2,1),OFFSET(Curvas_cupon_cero!$A$1,1,MATCH($B$7,Curvas_cupon_cero!$1:$1,0)-1,COUNT(Curvas_cupon_cero!$A:$A)-2,1)),[1]!interpolar(H128,OFFSET(Curvas_cupon_cero!$A$1,1,0,COUNT(Curvas_cupon_cero!$A:$A)-2,1),OFFSET(Curvas_cupon_cero!$A$1,1,MATCH($B$7,Curvas_cupon_cero!$1:$1,0)-1,COUNT(Curvas_cupon_cero!$A:$A)-2,1))))</f>
        <v/>
      </c>
      <c r="E128" s="23" t="str">
        <f t="shared" si="10"/>
        <v/>
      </c>
      <c r="F128" s="17" t="str">
        <f t="shared" si="8"/>
        <v/>
      </c>
      <c r="G128" s="18" t="str">
        <f t="shared" si="11"/>
        <v/>
      </c>
      <c r="H128" t="str">
        <f t="shared" si="12"/>
        <v/>
      </c>
      <c r="I128" s="23" t="str">
        <f ca="1">IF(A128="","",IF($B$8="Sí",interpolar_alamb(H128,OFFSET(Curvas_cupon_cero!$A$1,1,0,COUNT(Curvas_cupon_cero!$A:$A)-2,1),OFFSET(Curvas_cupon_cero!$A$1,1,MATCH($B$6,Curvas_cupon_cero!$1:$1,0)-1,COUNT(Curvas_cupon_cero!$A:$A)-2,1)),[1]!interpolar(H128,OFFSET(Curvas_cupon_cero!$A$1,1,0,COUNT(Curvas_cupon_cero!$A:$A)-2,1),OFFSET(Curvas_cupon_cero!$A$1,1,MATCH($B$6,Curvas_cupon_cero!$1:$1,0)-1,COUNT(Curvas_cupon_cero!$A:$A)-2,1))))</f>
        <v/>
      </c>
      <c r="J128" s="19" t="str">
        <f>IF(A128="","",F128/(1+I128*$B$5/360)^(COUNT(A$16:A128)-($B$5-$G$16)/$B$5))</f>
        <v/>
      </c>
    </row>
    <row r="129" spans="1:10" x14ac:dyDescent="0.2">
      <c r="A129" s="12" t="str">
        <f t="shared" si="9"/>
        <v/>
      </c>
      <c r="B129" t="str">
        <f t="shared" si="7"/>
        <v/>
      </c>
      <c r="C129" s="21" t="str">
        <f ca="1">IF(A129="","",IF($B$8="Sí",interpolar_alamb(B129,OFFSET(Curvas_cupon_cero!$A$1,1,0,COUNT(Curvas_cupon_cero!$A:$A)-2,1),OFFSET(Curvas_cupon_cero!$A$1,1,MATCH($B$7,Curvas_cupon_cero!$1:$1,0)-1,COUNT(Curvas_cupon_cero!$A:$A)-2,1)),[1]!interpolar(B129,OFFSET(Curvas_cupon_cero!$A$1,1,0,COUNT(Curvas_cupon_cero!$A:$A)-2,1),OFFSET(Curvas_cupon_cero!$A$1,1,MATCH($B$7,Curvas_cupon_cero!$1:$1,0)-1,COUNT(Curvas_cupon_cero!$A:$A)-2,1))))</f>
        <v/>
      </c>
      <c r="D129" s="23" t="str">
        <f ca="1">IF(A129="","",IF($B$8="Sí",interpolar_alamb(H129,OFFSET(Curvas_cupon_cero!$A$1,1,0,COUNT(Curvas_cupon_cero!$A:$A)-2,1),OFFSET(Curvas_cupon_cero!$A$1,1,MATCH($B$7,Curvas_cupon_cero!$1:$1,0)-1,COUNT(Curvas_cupon_cero!$A:$A)-2,1)),[1]!interpolar(H129,OFFSET(Curvas_cupon_cero!$A$1,1,0,COUNT(Curvas_cupon_cero!$A:$A)-2,1),OFFSET(Curvas_cupon_cero!$A$1,1,MATCH($B$7,Curvas_cupon_cero!$1:$1,0)-1,COUNT(Curvas_cupon_cero!$A:$A)-2,1))))</f>
        <v/>
      </c>
      <c r="E129" s="23" t="str">
        <f t="shared" si="10"/>
        <v/>
      </c>
      <c r="F129" s="17" t="str">
        <f t="shared" si="8"/>
        <v/>
      </c>
      <c r="G129" s="18" t="str">
        <f t="shared" si="11"/>
        <v/>
      </c>
      <c r="H129" t="str">
        <f t="shared" si="12"/>
        <v/>
      </c>
      <c r="I129" s="23" t="str">
        <f ca="1">IF(A129="","",IF($B$8="Sí",interpolar_alamb(H129,OFFSET(Curvas_cupon_cero!$A$1,1,0,COUNT(Curvas_cupon_cero!$A:$A)-2,1),OFFSET(Curvas_cupon_cero!$A$1,1,MATCH($B$6,Curvas_cupon_cero!$1:$1,0)-1,COUNT(Curvas_cupon_cero!$A:$A)-2,1)),[1]!interpolar(H129,OFFSET(Curvas_cupon_cero!$A$1,1,0,COUNT(Curvas_cupon_cero!$A:$A)-2,1),OFFSET(Curvas_cupon_cero!$A$1,1,MATCH($B$6,Curvas_cupon_cero!$1:$1,0)-1,COUNT(Curvas_cupon_cero!$A:$A)-2,1))))</f>
        <v/>
      </c>
      <c r="J129" s="19" t="str">
        <f>IF(A129="","",F129/(1+I129*$B$5/360)^(COUNT(A$16:A129)-($B$5-$G$16)/$B$5))</f>
        <v/>
      </c>
    </row>
    <row r="130" spans="1:10" x14ac:dyDescent="0.2">
      <c r="A130" s="12" t="str">
        <f t="shared" si="9"/>
        <v/>
      </c>
      <c r="B130" t="str">
        <f t="shared" si="7"/>
        <v/>
      </c>
      <c r="C130" s="21" t="str">
        <f ca="1">IF(A130="","",IF($B$8="Sí",interpolar_alamb(B130,OFFSET(Curvas_cupon_cero!$A$1,1,0,COUNT(Curvas_cupon_cero!$A:$A)-2,1),OFFSET(Curvas_cupon_cero!$A$1,1,MATCH($B$7,Curvas_cupon_cero!$1:$1,0)-1,COUNT(Curvas_cupon_cero!$A:$A)-2,1)),[1]!interpolar(B130,OFFSET(Curvas_cupon_cero!$A$1,1,0,COUNT(Curvas_cupon_cero!$A:$A)-2,1),OFFSET(Curvas_cupon_cero!$A$1,1,MATCH($B$7,Curvas_cupon_cero!$1:$1,0)-1,COUNT(Curvas_cupon_cero!$A:$A)-2,1))))</f>
        <v/>
      </c>
      <c r="D130" s="23" t="str">
        <f ca="1">IF(A130="","",IF($B$8="Sí",interpolar_alamb(H130,OFFSET(Curvas_cupon_cero!$A$1,1,0,COUNT(Curvas_cupon_cero!$A:$A)-2,1),OFFSET(Curvas_cupon_cero!$A$1,1,MATCH($B$7,Curvas_cupon_cero!$1:$1,0)-1,COUNT(Curvas_cupon_cero!$A:$A)-2,1)),[1]!interpolar(H130,OFFSET(Curvas_cupon_cero!$A$1,1,0,COUNT(Curvas_cupon_cero!$A:$A)-2,1),OFFSET(Curvas_cupon_cero!$A$1,1,MATCH($B$7,Curvas_cupon_cero!$1:$1,0)-1,COUNT(Curvas_cupon_cero!$A:$A)-2,1))))</f>
        <v/>
      </c>
      <c r="E130" s="23" t="str">
        <f t="shared" si="10"/>
        <v/>
      </c>
      <c r="F130" s="17" t="str">
        <f t="shared" si="8"/>
        <v/>
      </c>
      <c r="G130" s="18" t="str">
        <f t="shared" si="11"/>
        <v/>
      </c>
      <c r="H130" t="str">
        <f t="shared" si="12"/>
        <v/>
      </c>
      <c r="I130" s="23" t="str">
        <f ca="1">IF(A130="","",IF($B$8="Sí",interpolar_alamb(H130,OFFSET(Curvas_cupon_cero!$A$1,1,0,COUNT(Curvas_cupon_cero!$A:$A)-2,1),OFFSET(Curvas_cupon_cero!$A$1,1,MATCH($B$6,Curvas_cupon_cero!$1:$1,0)-1,COUNT(Curvas_cupon_cero!$A:$A)-2,1)),[1]!interpolar(H130,OFFSET(Curvas_cupon_cero!$A$1,1,0,COUNT(Curvas_cupon_cero!$A:$A)-2,1),OFFSET(Curvas_cupon_cero!$A$1,1,MATCH($B$6,Curvas_cupon_cero!$1:$1,0)-1,COUNT(Curvas_cupon_cero!$A:$A)-2,1))))</f>
        <v/>
      </c>
      <c r="J130" s="19" t="str">
        <f>IF(A130="","",F130/(1+I130*$B$5/360)^(COUNT(A$16:A130)-($B$5-$G$16)/$B$5))</f>
        <v/>
      </c>
    </row>
    <row r="131" spans="1:10" x14ac:dyDescent="0.2">
      <c r="A131" s="12" t="str">
        <f t="shared" si="9"/>
        <v/>
      </c>
      <c r="B131" t="str">
        <f t="shared" si="7"/>
        <v/>
      </c>
      <c r="C131" s="21" t="str">
        <f ca="1">IF(A131="","",IF($B$8="Sí",interpolar_alamb(B131,OFFSET(Curvas_cupon_cero!$A$1,1,0,COUNT(Curvas_cupon_cero!$A:$A)-2,1),OFFSET(Curvas_cupon_cero!$A$1,1,MATCH($B$7,Curvas_cupon_cero!$1:$1,0)-1,COUNT(Curvas_cupon_cero!$A:$A)-2,1)),[1]!interpolar(B131,OFFSET(Curvas_cupon_cero!$A$1,1,0,COUNT(Curvas_cupon_cero!$A:$A)-2,1),OFFSET(Curvas_cupon_cero!$A$1,1,MATCH($B$7,Curvas_cupon_cero!$1:$1,0)-1,COUNT(Curvas_cupon_cero!$A:$A)-2,1))))</f>
        <v/>
      </c>
      <c r="D131" s="23" t="str">
        <f ca="1">IF(A131="","",IF($B$8="Sí",interpolar_alamb(H131,OFFSET(Curvas_cupon_cero!$A$1,1,0,COUNT(Curvas_cupon_cero!$A:$A)-2,1),OFFSET(Curvas_cupon_cero!$A$1,1,MATCH($B$7,Curvas_cupon_cero!$1:$1,0)-1,COUNT(Curvas_cupon_cero!$A:$A)-2,1)),[1]!interpolar(H131,OFFSET(Curvas_cupon_cero!$A$1,1,0,COUNT(Curvas_cupon_cero!$A:$A)-2,1),OFFSET(Curvas_cupon_cero!$A$1,1,MATCH($B$7,Curvas_cupon_cero!$1:$1,0)-1,COUNT(Curvas_cupon_cero!$A:$A)-2,1))))</f>
        <v/>
      </c>
      <c r="E131" s="23" t="str">
        <f t="shared" si="10"/>
        <v/>
      </c>
      <c r="F131" s="17" t="str">
        <f t="shared" si="8"/>
        <v/>
      </c>
      <c r="G131" s="18" t="str">
        <f t="shared" si="11"/>
        <v/>
      </c>
      <c r="H131" t="str">
        <f t="shared" si="12"/>
        <v/>
      </c>
      <c r="I131" s="23" t="str">
        <f ca="1">IF(A131="","",IF($B$8="Sí",interpolar_alamb(H131,OFFSET(Curvas_cupon_cero!$A$1,1,0,COUNT(Curvas_cupon_cero!$A:$A)-2,1),OFFSET(Curvas_cupon_cero!$A$1,1,MATCH($B$6,Curvas_cupon_cero!$1:$1,0)-1,COUNT(Curvas_cupon_cero!$A:$A)-2,1)),[1]!interpolar(H131,OFFSET(Curvas_cupon_cero!$A$1,1,0,COUNT(Curvas_cupon_cero!$A:$A)-2,1),OFFSET(Curvas_cupon_cero!$A$1,1,MATCH($B$6,Curvas_cupon_cero!$1:$1,0)-1,COUNT(Curvas_cupon_cero!$A:$A)-2,1))))</f>
        <v/>
      </c>
      <c r="J131" s="19" t="str">
        <f>IF(A131="","",F131/(1+I131*$B$5/360)^(COUNT(A$16:A131)-($B$5-$G$16)/$B$5))</f>
        <v/>
      </c>
    </row>
    <row r="132" spans="1:10" x14ac:dyDescent="0.2">
      <c r="A132" s="12" t="str">
        <f t="shared" si="9"/>
        <v/>
      </c>
      <c r="B132" t="str">
        <f t="shared" si="7"/>
        <v/>
      </c>
      <c r="C132" s="21" t="str">
        <f ca="1">IF(A132="","",IF($B$8="Sí",interpolar_alamb(B132,OFFSET(Curvas_cupon_cero!$A$1,1,0,COUNT(Curvas_cupon_cero!$A:$A)-2,1),OFFSET(Curvas_cupon_cero!$A$1,1,MATCH($B$7,Curvas_cupon_cero!$1:$1,0)-1,COUNT(Curvas_cupon_cero!$A:$A)-2,1)),[1]!interpolar(B132,OFFSET(Curvas_cupon_cero!$A$1,1,0,COUNT(Curvas_cupon_cero!$A:$A)-2,1),OFFSET(Curvas_cupon_cero!$A$1,1,MATCH($B$7,Curvas_cupon_cero!$1:$1,0)-1,COUNT(Curvas_cupon_cero!$A:$A)-2,1))))</f>
        <v/>
      </c>
      <c r="D132" s="23" t="str">
        <f ca="1">IF(A132="","",IF($B$8="Sí",interpolar_alamb(H132,OFFSET(Curvas_cupon_cero!$A$1,1,0,COUNT(Curvas_cupon_cero!$A:$A)-2,1),OFFSET(Curvas_cupon_cero!$A$1,1,MATCH($B$7,Curvas_cupon_cero!$1:$1,0)-1,COUNT(Curvas_cupon_cero!$A:$A)-2,1)),[1]!interpolar(H132,OFFSET(Curvas_cupon_cero!$A$1,1,0,COUNT(Curvas_cupon_cero!$A:$A)-2,1),OFFSET(Curvas_cupon_cero!$A$1,1,MATCH($B$7,Curvas_cupon_cero!$1:$1,0)-1,COUNT(Curvas_cupon_cero!$A:$A)-2,1))))</f>
        <v/>
      </c>
      <c r="E132" s="23" t="str">
        <f t="shared" si="10"/>
        <v/>
      </c>
      <c r="F132" s="17" t="str">
        <f t="shared" si="8"/>
        <v/>
      </c>
      <c r="G132" s="18" t="str">
        <f t="shared" si="11"/>
        <v/>
      </c>
      <c r="H132" t="str">
        <f t="shared" si="12"/>
        <v/>
      </c>
      <c r="I132" s="23" t="str">
        <f ca="1">IF(A132="","",IF($B$8="Sí",interpolar_alamb(H132,OFFSET(Curvas_cupon_cero!$A$1,1,0,COUNT(Curvas_cupon_cero!$A:$A)-2,1),OFFSET(Curvas_cupon_cero!$A$1,1,MATCH($B$6,Curvas_cupon_cero!$1:$1,0)-1,COUNT(Curvas_cupon_cero!$A:$A)-2,1)),[1]!interpolar(H132,OFFSET(Curvas_cupon_cero!$A$1,1,0,COUNT(Curvas_cupon_cero!$A:$A)-2,1),OFFSET(Curvas_cupon_cero!$A$1,1,MATCH($B$6,Curvas_cupon_cero!$1:$1,0)-1,COUNT(Curvas_cupon_cero!$A:$A)-2,1))))</f>
        <v/>
      </c>
      <c r="J132" s="19" t="str">
        <f>IF(A132="","",F132/(1+I132*$B$5/360)^(COUNT(A$16:A132)-($B$5-$G$16)/$B$5))</f>
        <v/>
      </c>
    </row>
    <row r="133" spans="1:10" x14ac:dyDescent="0.2">
      <c r="A133" s="12" t="str">
        <f t="shared" si="9"/>
        <v/>
      </c>
      <c r="B133" t="str">
        <f t="shared" si="7"/>
        <v/>
      </c>
      <c r="C133" s="21" t="str">
        <f ca="1">IF(A133="","",IF($B$8="Sí",interpolar_alamb(B133,OFFSET(Curvas_cupon_cero!$A$1,1,0,COUNT(Curvas_cupon_cero!$A:$A)-2,1),OFFSET(Curvas_cupon_cero!$A$1,1,MATCH($B$7,Curvas_cupon_cero!$1:$1,0)-1,COUNT(Curvas_cupon_cero!$A:$A)-2,1)),[1]!interpolar(B133,OFFSET(Curvas_cupon_cero!$A$1,1,0,COUNT(Curvas_cupon_cero!$A:$A)-2,1),OFFSET(Curvas_cupon_cero!$A$1,1,MATCH($B$7,Curvas_cupon_cero!$1:$1,0)-1,COUNT(Curvas_cupon_cero!$A:$A)-2,1))))</f>
        <v/>
      </c>
      <c r="D133" s="23" t="str">
        <f ca="1">IF(A133="","",IF($B$8="Sí",interpolar_alamb(H133,OFFSET(Curvas_cupon_cero!$A$1,1,0,COUNT(Curvas_cupon_cero!$A:$A)-2,1),OFFSET(Curvas_cupon_cero!$A$1,1,MATCH($B$7,Curvas_cupon_cero!$1:$1,0)-1,COUNT(Curvas_cupon_cero!$A:$A)-2,1)),[1]!interpolar(H133,OFFSET(Curvas_cupon_cero!$A$1,1,0,COUNT(Curvas_cupon_cero!$A:$A)-2,1),OFFSET(Curvas_cupon_cero!$A$1,1,MATCH($B$7,Curvas_cupon_cero!$1:$1,0)-1,COUNT(Curvas_cupon_cero!$A:$A)-2,1))))</f>
        <v/>
      </c>
      <c r="E133" s="23" t="str">
        <f t="shared" si="10"/>
        <v/>
      </c>
      <c r="F133" s="17" t="str">
        <f t="shared" si="8"/>
        <v/>
      </c>
      <c r="G133" s="18" t="str">
        <f t="shared" si="11"/>
        <v/>
      </c>
      <c r="H133" t="str">
        <f t="shared" si="12"/>
        <v/>
      </c>
      <c r="I133" s="23" t="str">
        <f ca="1">IF(A133="","",IF($B$8="Sí",interpolar_alamb(H133,OFFSET(Curvas_cupon_cero!$A$1,1,0,COUNT(Curvas_cupon_cero!$A:$A)-2,1),OFFSET(Curvas_cupon_cero!$A$1,1,MATCH($B$6,Curvas_cupon_cero!$1:$1,0)-1,COUNT(Curvas_cupon_cero!$A:$A)-2,1)),[1]!interpolar(H133,OFFSET(Curvas_cupon_cero!$A$1,1,0,COUNT(Curvas_cupon_cero!$A:$A)-2,1),OFFSET(Curvas_cupon_cero!$A$1,1,MATCH($B$6,Curvas_cupon_cero!$1:$1,0)-1,COUNT(Curvas_cupon_cero!$A:$A)-2,1))))</f>
        <v/>
      </c>
      <c r="J133" s="19" t="str">
        <f>IF(A133="","",F133/(1+I133*$B$5/360)^(COUNT(A$16:A133)-($B$5-$G$16)/$B$5))</f>
        <v/>
      </c>
    </row>
    <row r="134" spans="1:10" x14ac:dyDescent="0.2">
      <c r="A134" s="12" t="str">
        <f t="shared" si="9"/>
        <v/>
      </c>
      <c r="B134" t="str">
        <f t="shared" si="7"/>
        <v/>
      </c>
      <c r="C134" s="21" t="str">
        <f ca="1">IF(A134="","",IF($B$8="Sí",interpolar_alamb(B134,OFFSET(Curvas_cupon_cero!$A$1,1,0,COUNT(Curvas_cupon_cero!$A:$A)-2,1),OFFSET(Curvas_cupon_cero!$A$1,1,MATCH($B$7,Curvas_cupon_cero!$1:$1,0)-1,COUNT(Curvas_cupon_cero!$A:$A)-2,1)),[1]!interpolar(B134,OFFSET(Curvas_cupon_cero!$A$1,1,0,COUNT(Curvas_cupon_cero!$A:$A)-2,1),OFFSET(Curvas_cupon_cero!$A$1,1,MATCH($B$7,Curvas_cupon_cero!$1:$1,0)-1,COUNT(Curvas_cupon_cero!$A:$A)-2,1))))</f>
        <v/>
      </c>
      <c r="D134" s="23" t="str">
        <f ca="1">IF(A134="","",IF($B$8="Sí",interpolar_alamb(H134,OFFSET(Curvas_cupon_cero!$A$1,1,0,COUNT(Curvas_cupon_cero!$A:$A)-2,1),OFFSET(Curvas_cupon_cero!$A$1,1,MATCH($B$7,Curvas_cupon_cero!$1:$1,0)-1,COUNT(Curvas_cupon_cero!$A:$A)-2,1)),[1]!interpolar(H134,OFFSET(Curvas_cupon_cero!$A$1,1,0,COUNT(Curvas_cupon_cero!$A:$A)-2,1),OFFSET(Curvas_cupon_cero!$A$1,1,MATCH($B$7,Curvas_cupon_cero!$1:$1,0)-1,COUNT(Curvas_cupon_cero!$A:$A)-2,1))))</f>
        <v/>
      </c>
      <c r="E134" s="23" t="str">
        <f t="shared" si="10"/>
        <v/>
      </c>
      <c r="F134" s="17" t="str">
        <f t="shared" si="8"/>
        <v/>
      </c>
      <c r="G134" s="18" t="str">
        <f t="shared" si="11"/>
        <v/>
      </c>
      <c r="H134" t="str">
        <f t="shared" si="12"/>
        <v/>
      </c>
      <c r="I134" s="23" t="str">
        <f ca="1">IF(A134="","",IF($B$8="Sí",interpolar_alamb(H134,OFFSET(Curvas_cupon_cero!$A$1,1,0,COUNT(Curvas_cupon_cero!$A:$A)-2,1),OFFSET(Curvas_cupon_cero!$A$1,1,MATCH($B$6,Curvas_cupon_cero!$1:$1,0)-1,COUNT(Curvas_cupon_cero!$A:$A)-2,1)),[1]!interpolar(H134,OFFSET(Curvas_cupon_cero!$A$1,1,0,COUNT(Curvas_cupon_cero!$A:$A)-2,1),OFFSET(Curvas_cupon_cero!$A$1,1,MATCH($B$6,Curvas_cupon_cero!$1:$1,0)-1,COUNT(Curvas_cupon_cero!$A:$A)-2,1))))</f>
        <v/>
      </c>
      <c r="J134" s="19" t="str">
        <f>IF(A134="","",F134/(1+I134*$B$5/360)^(COUNT(A$16:A134)-($B$5-$G$16)/$B$5))</f>
        <v/>
      </c>
    </row>
    <row r="135" spans="1:10" x14ac:dyDescent="0.2">
      <c r="A135" s="12" t="str">
        <f t="shared" si="9"/>
        <v/>
      </c>
      <c r="B135" t="str">
        <f t="shared" si="7"/>
        <v/>
      </c>
      <c r="C135" s="21" t="str">
        <f ca="1">IF(A135="","",IF($B$8="Sí",interpolar_alamb(B135,OFFSET(Curvas_cupon_cero!$A$1,1,0,COUNT(Curvas_cupon_cero!$A:$A)-2,1),OFFSET(Curvas_cupon_cero!$A$1,1,MATCH($B$7,Curvas_cupon_cero!$1:$1,0)-1,COUNT(Curvas_cupon_cero!$A:$A)-2,1)),[1]!interpolar(B135,OFFSET(Curvas_cupon_cero!$A$1,1,0,COUNT(Curvas_cupon_cero!$A:$A)-2,1),OFFSET(Curvas_cupon_cero!$A$1,1,MATCH($B$7,Curvas_cupon_cero!$1:$1,0)-1,COUNT(Curvas_cupon_cero!$A:$A)-2,1))))</f>
        <v/>
      </c>
      <c r="D135" s="23" t="str">
        <f ca="1">IF(A135="","",IF($B$8="Sí",interpolar_alamb(H135,OFFSET(Curvas_cupon_cero!$A$1,1,0,COUNT(Curvas_cupon_cero!$A:$A)-2,1),OFFSET(Curvas_cupon_cero!$A$1,1,MATCH($B$7,Curvas_cupon_cero!$1:$1,0)-1,COUNT(Curvas_cupon_cero!$A:$A)-2,1)),[1]!interpolar(H135,OFFSET(Curvas_cupon_cero!$A$1,1,0,COUNT(Curvas_cupon_cero!$A:$A)-2,1),OFFSET(Curvas_cupon_cero!$A$1,1,MATCH($B$7,Curvas_cupon_cero!$1:$1,0)-1,COUNT(Curvas_cupon_cero!$A:$A)-2,1))))</f>
        <v/>
      </c>
      <c r="E135" s="23" t="str">
        <f t="shared" si="10"/>
        <v/>
      </c>
      <c r="F135" s="17" t="str">
        <f t="shared" si="8"/>
        <v/>
      </c>
      <c r="G135" s="18" t="str">
        <f t="shared" si="11"/>
        <v/>
      </c>
      <c r="H135" t="str">
        <f t="shared" si="12"/>
        <v/>
      </c>
      <c r="I135" s="23" t="str">
        <f ca="1">IF(A135="","",IF($B$8="Sí",interpolar_alamb(H135,OFFSET(Curvas_cupon_cero!$A$1,1,0,COUNT(Curvas_cupon_cero!$A:$A)-2,1),OFFSET(Curvas_cupon_cero!$A$1,1,MATCH($B$6,Curvas_cupon_cero!$1:$1,0)-1,COUNT(Curvas_cupon_cero!$A:$A)-2,1)),[1]!interpolar(H135,OFFSET(Curvas_cupon_cero!$A$1,1,0,COUNT(Curvas_cupon_cero!$A:$A)-2,1),OFFSET(Curvas_cupon_cero!$A$1,1,MATCH($B$6,Curvas_cupon_cero!$1:$1,0)-1,COUNT(Curvas_cupon_cero!$A:$A)-2,1))))</f>
        <v/>
      </c>
      <c r="J135" s="19" t="str">
        <f>IF(A135="","",F135/(1+I135*$B$5/360)^(COUNT(A$16:A135)-($B$5-$G$16)/$B$5))</f>
        <v/>
      </c>
    </row>
    <row r="136" spans="1:10" x14ac:dyDescent="0.2">
      <c r="A136" s="12" t="str">
        <f t="shared" si="9"/>
        <v/>
      </c>
      <c r="B136" t="str">
        <f t="shared" si="7"/>
        <v/>
      </c>
      <c r="C136" s="21" t="str">
        <f ca="1">IF(A136="","",IF($B$8="Sí",interpolar_alamb(B136,OFFSET(Curvas_cupon_cero!$A$1,1,0,COUNT(Curvas_cupon_cero!$A:$A)-2,1),OFFSET(Curvas_cupon_cero!$A$1,1,MATCH($B$7,Curvas_cupon_cero!$1:$1,0)-1,COUNT(Curvas_cupon_cero!$A:$A)-2,1)),[1]!interpolar(B136,OFFSET(Curvas_cupon_cero!$A$1,1,0,COUNT(Curvas_cupon_cero!$A:$A)-2,1),OFFSET(Curvas_cupon_cero!$A$1,1,MATCH($B$7,Curvas_cupon_cero!$1:$1,0)-1,COUNT(Curvas_cupon_cero!$A:$A)-2,1))))</f>
        <v/>
      </c>
      <c r="D136" s="23" t="str">
        <f ca="1">IF(A136="","",IF($B$8="Sí",interpolar_alamb(H136,OFFSET(Curvas_cupon_cero!$A$1,1,0,COUNT(Curvas_cupon_cero!$A:$A)-2,1),OFFSET(Curvas_cupon_cero!$A$1,1,MATCH($B$7,Curvas_cupon_cero!$1:$1,0)-1,COUNT(Curvas_cupon_cero!$A:$A)-2,1)),[1]!interpolar(H136,OFFSET(Curvas_cupon_cero!$A$1,1,0,COUNT(Curvas_cupon_cero!$A:$A)-2,1),OFFSET(Curvas_cupon_cero!$A$1,1,MATCH($B$7,Curvas_cupon_cero!$1:$1,0)-1,COUNT(Curvas_cupon_cero!$A:$A)-2,1))))</f>
        <v/>
      </c>
      <c r="E136" s="23" t="str">
        <f t="shared" si="10"/>
        <v/>
      </c>
      <c r="F136" s="17" t="str">
        <f t="shared" si="8"/>
        <v/>
      </c>
      <c r="G136" s="18" t="str">
        <f t="shared" si="11"/>
        <v/>
      </c>
      <c r="H136" t="str">
        <f t="shared" si="12"/>
        <v/>
      </c>
      <c r="I136" s="23" t="str">
        <f ca="1">IF(A136="","",IF($B$8="Sí",interpolar_alamb(H136,OFFSET(Curvas_cupon_cero!$A$1,1,0,COUNT(Curvas_cupon_cero!$A:$A)-2,1),OFFSET(Curvas_cupon_cero!$A$1,1,MATCH($B$6,Curvas_cupon_cero!$1:$1,0)-1,COUNT(Curvas_cupon_cero!$A:$A)-2,1)),[1]!interpolar(H136,OFFSET(Curvas_cupon_cero!$A$1,1,0,COUNT(Curvas_cupon_cero!$A:$A)-2,1),OFFSET(Curvas_cupon_cero!$A$1,1,MATCH($B$6,Curvas_cupon_cero!$1:$1,0)-1,COUNT(Curvas_cupon_cero!$A:$A)-2,1))))</f>
        <v/>
      </c>
      <c r="J136" s="19" t="str">
        <f>IF(A136="","",F136/(1+I136*$B$5/360)^(COUNT(A$16:A136)-($B$5-$G$16)/$B$5))</f>
        <v/>
      </c>
    </row>
    <row r="137" spans="1:10" x14ac:dyDescent="0.2">
      <c r="A137" s="12" t="str">
        <f t="shared" si="9"/>
        <v/>
      </c>
      <c r="B137" t="str">
        <f t="shared" si="7"/>
        <v/>
      </c>
      <c r="C137" s="21" t="str">
        <f ca="1">IF(A137="","",IF($B$8="Sí",interpolar_alamb(B137,OFFSET(Curvas_cupon_cero!$A$1,1,0,COUNT(Curvas_cupon_cero!$A:$A)-2,1),OFFSET(Curvas_cupon_cero!$A$1,1,MATCH($B$7,Curvas_cupon_cero!$1:$1,0)-1,COUNT(Curvas_cupon_cero!$A:$A)-2,1)),[1]!interpolar(B137,OFFSET(Curvas_cupon_cero!$A$1,1,0,COUNT(Curvas_cupon_cero!$A:$A)-2,1),OFFSET(Curvas_cupon_cero!$A$1,1,MATCH($B$7,Curvas_cupon_cero!$1:$1,0)-1,COUNT(Curvas_cupon_cero!$A:$A)-2,1))))</f>
        <v/>
      </c>
      <c r="D137" s="23" t="str">
        <f ca="1">IF(A137="","",IF($B$8="Sí",interpolar_alamb(H137,OFFSET(Curvas_cupon_cero!$A$1,1,0,COUNT(Curvas_cupon_cero!$A:$A)-2,1),OFFSET(Curvas_cupon_cero!$A$1,1,MATCH($B$7,Curvas_cupon_cero!$1:$1,0)-1,COUNT(Curvas_cupon_cero!$A:$A)-2,1)),[1]!interpolar(H137,OFFSET(Curvas_cupon_cero!$A$1,1,0,COUNT(Curvas_cupon_cero!$A:$A)-2,1),OFFSET(Curvas_cupon_cero!$A$1,1,MATCH($B$7,Curvas_cupon_cero!$1:$1,0)-1,COUNT(Curvas_cupon_cero!$A:$A)-2,1))))</f>
        <v/>
      </c>
      <c r="E137" s="23" t="str">
        <f t="shared" si="10"/>
        <v/>
      </c>
      <c r="F137" s="17" t="str">
        <f t="shared" si="8"/>
        <v/>
      </c>
      <c r="G137" s="18" t="str">
        <f t="shared" si="11"/>
        <v/>
      </c>
      <c r="H137" t="str">
        <f t="shared" si="12"/>
        <v/>
      </c>
      <c r="I137" s="23" t="str">
        <f ca="1">IF(A137="","",IF($B$8="Sí",interpolar_alamb(H137,OFFSET(Curvas_cupon_cero!$A$1,1,0,COUNT(Curvas_cupon_cero!$A:$A)-2,1),OFFSET(Curvas_cupon_cero!$A$1,1,MATCH($B$6,Curvas_cupon_cero!$1:$1,0)-1,COUNT(Curvas_cupon_cero!$A:$A)-2,1)),[1]!interpolar(H137,OFFSET(Curvas_cupon_cero!$A$1,1,0,COUNT(Curvas_cupon_cero!$A:$A)-2,1),OFFSET(Curvas_cupon_cero!$A$1,1,MATCH($B$6,Curvas_cupon_cero!$1:$1,0)-1,COUNT(Curvas_cupon_cero!$A:$A)-2,1))))</f>
        <v/>
      </c>
      <c r="J137" s="19" t="str">
        <f>IF(A137="","",F137/(1+I137*$B$5/360)^(COUNT(A$16:A137)-($B$5-$G$16)/$B$5))</f>
        <v/>
      </c>
    </row>
    <row r="138" spans="1:10" x14ac:dyDescent="0.2">
      <c r="A138" s="12" t="str">
        <f t="shared" si="9"/>
        <v/>
      </c>
      <c r="B138" t="str">
        <f t="shared" si="7"/>
        <v/>
      </c>
      <c r="C138" s="21" t="str">
        <f ca="1">IF(A138="","",IF($B$8="Sí",interpolar_alamb(B138,OFFSET(Curvas_cupon_cero!$A$1,1,0,COUNT(Curvas_cupon_cero!$A:$A)-2,1),OFFSET(Curvas_cupon_cero!$A$1,1,MATCH($B$7,Curvas_cupon_cero!$1:$1,0)-1,COUNT(Curvas_cupon_cero!$A:$A)-2,1)),[1]!interpolar(B138,OFFSET(Curvas_cupon_cero!$A$1,1,0,COUNT(Curvas_cupon_cero!$A:$A)-2,1),OFFSET(Curvas_cupon_cero!$A$1,1,MATCH($B$7,Curvas_cupon_cero!$1:$1,0)-1,COUNT(Curvas_cupon_cero!$A:$A)-2,1))))</f>
        <v/>
      </c>
      <c r="D138" s="23" t="str">
        <f ca="1">IF(A138="","",IF($B$8="Sí",interpolar_alamb(H138,OFFSET(Curvas_cupon_cero!$A$1,1,0,COUNT(Curvas_cupon_cero!$A:$A)-2,1),OFFSET(Curvas_cupon_cero!$A$1,1,MATCH($B$7,Curvas_cupon_cero!$1:$1,0)-1,COUNT(Curvas_cupon_cero!$A:$A)-2,1)),[1]!interpolar(H138,OFFSET(Curvas_cupon_cero!$A$1,1,0,COUNT(Curvas_cupon_cero!$A:$A)-2,1),OFFSET(Curvas_cupon_cero!$A$1,1,MATCH($B$7,Curvas_cupon_cero!$1:$1,0)-1,COUNT(Curvas_cupon_cero!$A:$A)-2,1))))</f>
        <v/>
      </c>
      <c r="E138" s="23" t="str">
        <f t="shared" si="10"/>
        <v/>
      </c>
      <c r="F138" s="17" t="str">
        <f t="shared" si="8"/>
        <v/>
      </c>
      <c r="G138" s="18" t="str">
        <f t="shared" si="11"/>
        <v/>
      </c>
      <c r="H138" t="str">
        <f t="shared" si="12"/>
        <v/>
      </c>
      <c r="I138" s="23" t="str">
        <f ca="1">IF(A138="","",IF($B$8="Sí",interpolar_alamb(H138,OFFSET(Curvas_cupon_cero!$A$1,1,0,COUNT(Curvas_cupon_cero!$A:$A)-2,1),OFFSET(Curvas_cupon_cero!$A$1,1,MATCH($B$6,Curvas_cupon_cero!$1:$1,0)-1,COUNT(Curvas_cupon_cero!$A:$A)-2,1)),[1]!interpolar(H138,OFFSET(Curvas_cupon_cero!$A$1,1,0,COUNT(Curvas_cupon_cero!$A:$A)-2,1),OFFSET(Curvas_cupon_cero!$A$1,1,MATCH($B$6,Curvas_cupon_cero!$1:$1,0)-1,COUNT(Curvas_cupon_cero!$A:$A)-2,1))))</f>
        <v/>
      </c>
      <c r="J138" s="19" t="str">
        <f>IF(A138="","",F138/(1+I138*$B$5/360)^(COUNT(A$16:A138)-($B$5-$G$16)/$B$5))</f>
        <v/>
      </c>
    </row>
    <row r="139" spans="1:10" x14ac:dyDescent="0.2">
      <c r="A139" s="12" t="str">
        <f t="shared" si="9"/>
        <v/>
      </c>
      <c r="B139" t="str">
        <f t="shared" si="7"/>
        <v/>
      </c>
      <c r="C139" s="21" t="str">
        <f ca="1">IF(A139="","",IF($B$8="Sí",interpolar_alamb(B139,OFFSET(Curvas_cupon_cero!$A$1,1,0,COUNT(Curvas_cupon_cero!$A:$A)-2,1),OFFSET(Curvas_cupon_cero!$A$1,1,MATCH($B$7,Curvas_cupon_cero!$1:$1,0)-1,COUNT(Curvas_cupon_cero!$A:$A)-2,1)),[1]!interpolar(B139,OFFSET(Curvas_cupon_cero!$A$1,1,0,COUNT(Curvas_cupon_cero!$A:$A)-2,1),OFFSET(Curvas_cupon_cero!$A$1,1,MATCH($B$7,Curvas_cupon_cero!$1:$1,0)-1,COUNT(Curvas_cupon_cero!$A:$A)-2,1))))</f>
        <v/>
      </c>
      <c r="D139" s="23" t="str">
        <f ca="1">IF(A139="","",IF($B$8="Sí",interpolar_alamb(H139,OFFSET(Curvas_cupon_cero!$A$1,1,0,COUNT(Curvas_cupon_cero!$A:$A)-2,1),OFFSET(Curvas_cupon_cero!$A$1,1,MATCH($B$7,Curvas_cupon_cero!$1:$1,0)-1,COUNT(Curvas_cupon_cero!$A:$A)-2,1)),[1]!interpolar(H139,OFFSET(Curvas_cupon_cero!$A$1,1,0,COUNT(Curvas_cupon_cero!$A:$A)-2,1),OFFSET(Curvas_cupon_cero!$A$1,1,MATCH($B$7,Curvas_cupon_cero!$1:$1,0)-1,COUNT(Curvas_cupon_cero!$A:$A)-2,1))))</f>
        <v/>
      </c>
      <c r="E139" s="23" t="str">
        <f t="shared" si="10"/>
        <v/>
      </c>
      <c r="F139" s="17" t="str">
        <f t="shared" si="8"/>
        <v/>
      </c>
      <c r="G139" s="18" t="str">
        <f t="shared" si="11"/>
        <v/>
      </c>
      <c r="H139" t="str">
        <f t="shared" si="12"/>
        <v/>
      </c>
      <c r="I139" s="23" t="str">
        <f ca="1">IF(A139="","",IF($B$8="Sí",interpolar_alamb(H139,OFFSET(Curvas_cupon_cero!$A$1,1,0,COUNT(Curvas_cupon_cero!$A:$A)-2,1),OFFSET(Curvas_cupon_cero!$A$1,1,MATCH($B$6,Curvas_cupon_cero!$1:$1,0)-1,COUNT(Curvas_cupon_cero!$A:$A)-2,1)),[1]!interpolar(H139,OFFSET(Curvas_cupon_cero!$A$1,1,0,COUNT(Curvas_cupon_cero!$A:$A)-2,1),OFFSET(Curvas_cupon_cero!$A$1,1,MATCH($B$6,Curvas_cupon_cero!$1:$1,0)-1,COUNT(Curvas_cupon_cero!$A:$A)-2,1))))</f>
        <v/>
      </c>
      <c r="J139" s="19" t="str">
        <f>IF(A139="","",F139/(1+I139*$B$5/360)^(COUNT(A$16:A139)-($B$5-$G$16)/$B$5))</f>
        <v/>
      </c>
    </row>
    <row r="140" spans="1:10" x14ac:dyDescent="0.2">
      <c r="A140" s="12" t="str">
        <f t="shared" si="9"/>
        <v/>
      </c>
      <c r="B140" t="str">
        <f t="shared" si="7"/>
        <v/>
      </c>
      <c r="C140" s="21" t="str">
        <f ca="1">IF(A140="","",IF($B$8="Sí",interpolar_alamb(B140,OFFSET(Curvas_cupon_cero!$A$1,1,0,COUNT(Curvas_cupon_cero!$A:$A)-2,1),OFFSET(Curvas_cupon_cero!$A$1,1,MATCH($B$7,Curvas_cupon_cero!$1:$1,0)-1,COUNT(Curvas_cupon_cero!$A:$A)-2,1)),[1]!interpolar(B140,OFFSET(Curvas_cupon_cero!$A$1,1,0,COUNT(Curvas_cupon_cero!$A:$A)-2,1),OFFSET(Curvas_cupon_cero!$A$1,1,MATCH($B$7,Curvas_cupon_cero!$1:$1,0)-1,COUNT(Curvas_cupon_cero!$A:$A)-2,1))))</f>
        <v/>
      </c>
      <c r="D140" s="23" t="str">
        <f ca="1">IF(A140="","",IF($B$8="Sí",interpolar_alamb(H140,OFFSET(Curvas_cupon_cero!$A$1,1,0,COUNT(Curvas_cupon_cero!$A:$A)-2,1),OFFSET(Curvas_cupon_cero!$A$1,1,MATCH($B$7,Curvas_cupon_cero!$1:$1,0)-1,COUNT(Curvas_cupon_cero!$A:$A)-2,1)),[1]!interpolar(H140,OFFSET(Curvas_cupon_cero!$A$1,1,0,COUNT(Curvas_cupon_cero!$A:$A)-2,1),OFFSET(Curvas_cupon_cero!$A$1,1,MATCH($B$7,Curvas_cupon_cero!$1:$1,0)-1,COUNT(Curvas_cupon_cero!$A:$A)-2,1))))</f>
        <v/>
      </c>
      <c r="E140" s="23" t="str">
        <f t="shared" si="10"/>
        <v/>
      </c>
      <c r="F140" s="17" t="str">
        <f t="shared" si="8"/>
        <v/>
      </c>
      <c r="G140" s="18" t="str">
        <f t="shared" si="11"/>
        <v/>
      </c>
      <c r="H140" t="str">
        <f t="shared" si="12"/>
        <v/>
      </c>
      <c r="I140" s="23" t="str">
        <f ca="1">IF(A140="","",IF($B$8="Sí",interpolar_alamb(H140,OFFSET(Curvas_cupon_cero!$A$1,1,0,COUNT(Curvas_cupon_cero!$A:$A)-2,1),OFFSET(Curvas_cupon_cero!$A$1,1,MATCH($B$6,Curvas_cupon_cero!$1:$1,0)-1,COUNT(Curvas_cupon_cero!$A:$A)-2,1)),[1]!interpolar(H140,OFFSET(Curvas_cupon_cero!$A$1,1,0,COUNT(Curvas_cupon_cero!$A:$A)-2,1),OFFSET(Curvas_cupon_cero!$A$1,1,MATCH($B$6,Curvas_cupon_cero!$1:$1,0)-1,COUNT(Curvas_cupon_cero!$A:$A)-2,1))))</f>
        <v/>
      </c>
      <c r="J140" s="19" t="str">
        <f>IF(A140="","",F140/(1+I140*$B$5/360)^(COUNT(A$16:A140)-($B$5-$G$16)/$B$5))</f>
        <v/>
      </c>
    </row>
    <row r="141" spans="1:10" x14ac:dyDescent="0.2">
      <c r="A141" s="12" t="str">
        <f t="shared" si="9"/>
        <v/>
      </c>
      <c r="B141" t="str">
        <f t="shared" si="7"/>
        <v/>
      </c>
      <c r="C141" s="21" t="str">
        <f ca="1">IF(A141="","",IF($B$8="Sí",interpolar_alamb(B141,OFFSET(Curvas_cupon_cero!$A$1,1,0,COUNT(Curvas_cupon_cero!$A:$A)-2,1),OFFSET(Curvas_cupon_cero!$A$1,1,MATCH($B$7,Curvas_cupon_cero!$1:$1,0)-1,COUNT(Curvas_cupon_cero!$A:$A)-2,1)),[1]!interpolar(B141,OFFSET(Curvas_cupon_cero!$A$1,1,0,COUNT(Curvas_cupon_cero!$A:$A)-2,1),OFFSET(Curvas_cupon_cero!$A$1,1,MATCH($B$7,Curvas_cupon_cero!$1:$1,0)-1,COUNT(Curvas_cupon_cero!$A:$A)-2,1))))</f>
        <v/>
      </c>
      <c r="D141" s="23" t="str">
        <f ca="1">IF(A141="","",IF($B$8="Sí",interpolar_alamb(H141,OFFSET(Curvas_cupon_cero!$A$1,1,0,COUNT(Curvas_cupon_cero!$A:$A)-2,1),OFFSET(Curvas_cupon_cero!$A$1,1,MATCH($B$7,Curvas_cupon_cero!$1:$1,0)-1,COUNT(Curvas_cupon_cero!$A:$A)-2,1)),[1]!interpolar(H141,OFFSET(Curvas_cupon_cero!$A$1,1,0,COUNT(Curvas_cupon_cero!$A:$A)-2,1),OFFSET(Curvas_cupon_cero!$A$1,1,MATCH($B$7,Curvas_cupon_cero!$1:$1,0)-1,COUNT(Curvas_cupon_cero!$A:$A)-2,1))))</f>
        <v/>
      </c>
      <c r="E141" s="23" t="str">
        <f t="shared" si="10"/>
        <v/>
      </c>
      <c r="F141" s="17" t="str">
        <f t="shared" si="8"/>
        <v/>
      </c>
      <c r="G141" s="18" t="str">
        <f t="shared" si="11"/>
        <v/>
      </c>
      <c r="H141" t="str">
        <f t="shared" si="12"/>
        <v/>
      </c>
      <c r="I141" s="23" t="str">
        <f ca="1">IF(A141="","",IF($B$8="Sí",interpolar_alamb(H141,OFFSET(Curvas_cupon_cero!$A$1,1,0,COUNT(Curvas_cupon_cero!$A:$A)-2,1),OFFSET(Curvas_cupon_cero!$A$1,1,MATCH($B$6,Curvas_cupon_cero!$1:$1,0)-1,COUNT(Curvas_cupon_cero!$A:$A)-2,1)),[1]!interpolar(H141,OFFSET(Curvas_cupon_cero!$A$1,1,0,COUNT(Curvas_cupon_cero!$A:$A)-2,1),OFFSET(Curvas_cupon_cero!$A$1,1,MATCH($B$6,Curvas_cupon_cero!$1:$1,0)-1,COUNT(Curvas_cupon_cero!$A:$A)-2,1))))</f>
        <v/>
      </c>
      <c r="J141" s="19" t="str">
        <f>IF(A141="","",F141/(1+I141*$B$5/360)^(COUNT(A$16:A141)-($B$5-$G$16)/$B$5))</f>
        <v/>
      </c>
    </row>
    <row r="142" spans="1:10" x14ac:dyDescent="0.2">
      <c r="A142" s="12" t="str">
        <f t="shared" si="9"/>
        <v/>
      </c>
      <c r="B142" t="str">
        <f t="shared" ref="B142:B205" si="13">IF(A142="","",MAX(H142-$B$5,0))</f>
        <v/>
      </c>
      <c r="C142" s="21" t="str">
        <f ca="1">IF(A142="","",IF($B$8="Sí",interpolar_alamb(B142,OFFSET(Curvas_cupon_cero!$A$1,1,0,COUNT(Curvas_cupon_cero!$A:$A)-2,1),OFFSET(Curvas_cupon_cero!$A$1,1,MATCH($B$7,Curvas_cupon_cero!$1:$1,0)-1,COUNT(Curvas_cupon_cero!$A:$A)-2,1)),[1]!interpolar(B142,OFFSET(Curvas_cupon_cero!$A$1,1,0,COUNT(Curvas_cupon_cero!$A:$A)-2,1),OFFSET(Curvas_cupon_cero!$A$1,1,MATCH($B$7,Curvas_cupon_cero!$1:$1,0)-1,COUNT(Curvas_cupon_cero!$A:$A)-2,1))))</f>
        <v/>
      </c>
      <c r="D142" s="23" t="str">
        <f ca="1">IF(A142="","",IF($B$8="Sí",interpolar_alamb(H142,OFFSET(Curvas_cupon_cero!$A$1,1,0,COUNT(Curvas_cupon_cero!$A:$A)-2,1),OFFSET(Curvas_cupon_cero!$A$1,1,MATCH($B$7,Curvas_cupon_cero!$1:$1,0)-1,COUNT(Curvas_cupon_cero!$A:$A)-2,1)),[1]!interpolar(H142,OFFSET(Curvas_cupon_cero!$A$1,1,0,COUNT(Curvas_cupon_cero!$A:$A)-2,1),OFFSET(Curvas_cupon_cero!$A$1,1,MATCH($B$7,Curvas_cupon_cero!$1:$1,0)-1,COUNT(Curvas_cupon_cero!$A:$A)-2,1))))</f>
        <v/>
      </c>
      <c r="E142" s="23" t="str">
        <f t="shared" si="10"/>
        <v/>
      </c>
      <c r="F142" s="17" t="str">
        <f t="shared" ref="F142:F205" si="14">IF(A142="","",IF(A142=$B$4,$B$1*$B$2+E142*$B$5/360*$B$1*$B$2, E142*$B$5/360*$B$1*$B$2))</f>
        <v/>
      </c>
      <c r="G142" s="18" t="str">
        <f t="shared" si="11"/>
        <v/>
      </c>
      <c r="H142" t="str">
        <f t="shared" si="12"/>
        <v/>
      </c>
      <c r="I142" s="23" t="str">
        <f ca="1">IF(A142="","",IF($B$8="Sí",interpolar_alamb(H142,OFFSET(Curvas_cupon_cero!$A$1,1,0,COUNT(Curvas_cupon_cero!$A:$A)-2,1),OFFSET(Curvas_cupon_cero!$A$1,1,MATCH($B$6,Curvas_cupon_cero!$1:$1,0)-1,COUNT(Curvas_cupon_cero!$A:$A)-2,1)),[1]!interpolar(H142,OFFSET(Curvas_cupon_cero!$A$1,1,0,COUNT(Curvas_cupon_cero!$A:$A)-2,1),OFFSET(Curvas_cupon_cero!$A$1,1,MATCH($B$6,Curvas_cupon_cero!$1:$1,0)-1,COUNT(Curvas_cupon_cero!$A:$A)-2,1))))</f>
        <v/>
      </c>
      <c r="J142" s="19" t="str">
        <f>IF(A142="","",F142/(1+I142*$B$5/360)^(COUNT(A$16:A142)-($B$5-$G$16)/$B$5))</f>
        <v/>
      </c>
    </row>
    <row r="143" spans="1:10" x14ac:dyDescent="0.2">
      <c r="A143" s="12" t="str">
        <f t="shared" ref="A143:A206" si="15">IF(A142="","",IF((A142+$B$5)&gt;$B$4,"",(A142+$B$5)))</f>
        <v/>
      </c>
      <c r="B143" t="str">
        <f t="shared" si="13"/>
        <v/>
      </c>
      <c r="C143" s="21" t="str">
        <f ca="1">IF(A143="","",IF($B$8="Sí",interpolar_alamb(B143,OFFSET(Curvas_cupon_cero!$A$1,1,0,COUNT(Curvas_cupon_cero!$A:$A)-2,1),OFFSET(Curvas_cupon_cero!$A$1,1,MATCH($B$7,Curvas_cupon_cero!$1:$1,0)-1,COUNT(Curvas_cupon_cero!$A:$A)-2,1)),[1]!interpolar(B143,OFFSET(Curvas_cupon_cero!$A$1,1,0,COUNT(Curvas_cupon_cero!$A:$A)-2,1),OFFSET(Curvas_cupon_cero!$A$1,1,MATCH($B$7,Curvas_cupon_cero!$1:$1,0)-1,COUNT(Curvas_cupon_cero!$A:$A)-2,1))))</f>
        <v/>
      </c>
      <c r="D143" s="23" t="str">
        <f ca="1">IF(A143="","",IF($B$8="Sí",interpolar_alamb(H143,OFFSET(Curvas_cupon_cero!$A$1,1,0,COUNT(Curvas_cupon_cero!$A:$A)-2,1),OFFSET(Curvas_cupon_cero!$A$1,1,MATCH($B$7,Curvas_cupon_cero!$1:$1,0)-1,COUNT(Curvas_cupon_cero!$A:$A)-2,1)),[1]!interpolar(H143,OFFSET(Curvas_cupon_cero!$A$1,1,0,COUNT(Curvas_cupon_cero!$A:$A)-2,1),OFFSET(Curvas_cupon_cero!$A$1,1,MATCH($B$7,Curvas_cupon_cero!$1:$1,0)-1,COUNT(Curvas_cupon_cero!$A:$A)-2,1))))</f>
        <v/>
      </c>
      <c r="E143" s="23" t="str">
        <f t="shared" ref="E143:E206" si="16">IF(A143="","",((1+D143*H143/360)/(1+C143*B143/360)-1)*(360/(H143-B143)))</f>
        <v/>
      </c>
      <c r="F143" s="17" t="str">
        <f t="shared" si="14"/>
        <v/>
      </c>
      <c r="G143" s="18" t="str">
        <f t="shared" ref="G143:G206" si="17">IF(A143="","",$B$5)</f>
        <v/>
      </c>
      <c r="H143" t="str">
        <f t="shared" ref="H143:H206" si="18">IF(A143="","",H142+G143)</f>
        <v/>
      </c>
      <c r="I143" s="23" t="str">
        <f ca="1">IF(A143="","",IF($B$8="Sí",interpolar_alamb(H143,OFFSET(Curvas_cupon_cero!$A$1,1,0,COUNT(Curvas_cupon_cero!$A:$A)-2,1),OFFSET(Curvas_cupon_cero!$A$1,1,MATCH($B$6,Curvas_cupon_cero!$1:$1,0)-1,COUNT(Curvas_cupon_cero!$A:$A)-2,1)),[1]!interpolar(H143,OFFSET(Curvas_cupon_cero!$A$1,1,0,COUNT(Curvas_cupon_cero!$A:$A)-2,1),OFFSET(Curvas_cupon_cero!$A$1,1,MATCH($B$6,Curvas_cupon_cero!$1:$1,0)-1,COUNT(Curvas_cupon_cero!$A:$A)-2,1))))</f>
        <v/>
      </c>
      <c r="J143" s="19" t="str">
        <f>IF(A143="","",F143/(1+I143*$B$5/360)^(COUNT(A$16:A143)-($B$5-$G$16)/$B$5))</f>
        <v/>
      </c>
    </row>
    <row r="144" spans="1:10" x14ac:dyDescent="0.2">
      <c r="A144" s="12" t="str">
        <f t="shared" si="15"/>
        <v/>
      </c>
      <c r="B144" t="str">
        <f t="shared" si="13"/>
        <v/>
      </c>
      <c r="C144" s="21" t="str">
        <f ca="1">IF(A144="","",IF($B$8="Sí",interpolar_alamb(B144,OFFSET(Curvas_cupon_cero!$A$1,1,0,COUNT(Curvas_cupon_cero!$A:$A)-2,1),OFFSET(Curvas_cupon_cero!$A$1,1,MATCH($B$7,Curvas_cupon_cero!$1:$1,0)-1,COUNT(Curvas_cupon_cero!$A:$A)-2,1)),[1]!interpolar(B144,OFFSET(Curvas_cupon_cero!$A$1,1,0,COUNT(Curvas_cupon_cero!$A:$A)-2,1),OFFSET(Curvas_cupon_cero!$A$1,1,MATCH($B$7,Curvas_cupon_cero!$1:$1,0)-1,COUNT(Curvas_cupon_cero!$A:$A)-2,1))))</f>
        <v/>
      </c>
      <c r="D144" s="23" t="str">
        <f ca="1">IF(A144="","",IF($B$8="Sí",interpolar_alamb(H144,OFFSET(Curvas_cupon_cero!$A$1,1,0,COUNT(Curvas_cupon_cero!$A:$A)-2,1),OFFSET(Curvas_cupon_cero!$A$1,1,MATCH($B$7,Curvas_cupon_cero!$1:$1,0)-1,COUNT(Curvas_cupon_cero!$A:$A)-2,1)),[1]!interpolar(H144,OFFSET(Curvas_cupon_cero!$A$1,1,0,COUNT(Curvas_cupon_cero!$A:$A)-2,1),OFFSET(Curvas_cupon_cero!$A$1,1,MATCH($B$7,Curvas_cupon_cero!$1:$1,0)-1,COUNT(Curvas_cupon_cero!$A:$A)-2,1))))</f>
        <v/>
      </c>
      <c r="E144" s="23" t="str">
        <f t="shared" si="16"/>
        <v/>
      </c>
      <c r="F144" s="17" t="str">
        <f t="shared" si="14"/>
        <v/>
      </c>
      <c r="G144" s="18" t="str">
        <f t="shared" si="17"/>
        <v/>
      </c>
      <c r="H144" t="str">
        <f t="shared" si="18"/>
        <v/>
      </c>
      <c r="I144" s="23" t="str">
        <f ca="1">IF(A144="","",IF($B$8="Sí",interpolar_alamb(H144,OFFSET(Curvas_cupon_cero!$A$1,1,0,COUNT(Curvas_cupon_cero!$A:$A)-2,1),OFFSET(Curvas_cupon_cero!$A$1,1,MATCH($B$6,Curvas_cupon_cero!$1:$1,0)-1,COUNT(Curvas_cupon_cero!$A:$A)-2,1)),[1]!interpolar(H144,OFFSET(Curvas_cupon_cero!$A$1,1,0,COUNT(Curvas_cupon_cero!$A:$A)-2,1),OFFSET(Curvas_cupon_cero!$A$1,1,MATCH($B$6,Curvas_cupon_cero!$1:$1,0)-1,COUNT(Curvas_cupon_cero!$A:$A)-2,1))))</f>
        <v/>
      </c>
      <c r="J144" s="19" t="str">
        <f>IF(A144="","",F144/(1+I144*$B$5/360)^(COUNT(A$16:A144)-($B$5-$G$16)/$B$5))</f>
        <v/>
      </c>
    </row>
    <row r="145" spans="1:10" x14ac:dyDescent="0.2">
      <c r="A145" s="12" t="str">
        <f t="shared" si="15"/>
        <v/>
      </c>
      <c r="B145" t="str">
        <f t="shared" si="13"/>
        <v/>
      </c>
      <c r="C145" s="21" t="str">
        <f ca="1">IF(A145="","",IF($B$8="Sí",interpolar_alamb(B145,OFFSET(Curvas_cupon_cero!$A$1,1,0,COUNT(Curvas_cupon_cero!$A:$A)-2,1),OFFSET(Curvas_cupon_cero!$A$1,1,MATCH($B$7,Curvas_cupon_cero!$1:$1,0)-1,COUNT(Curvas_cupon_cero!$A:$A)-2,1)),[1]!interpolar(B145,OFFSET(Curvas_cupon_cero!$A$1,1,0,COUNT(Curvas_cupon_cero!$A:$A)-2,1),OFFSET(Curvas_cupon_cero!$A$1,1,MATCH($B$7,Curvas_cupon_cero!$1:$1,0)-1,COUNT(Curvas_cupon_cero!$A:$A)-2,1))))</f>
        <v/>
      </c>
      <c r="D145" s="23" t="str">
        <f ca="1">IF(A145="","",IF($B$8="Sí",interpolar_alamb(H145,OFFSET(Curvas_cupon_cero!$A$1,1,0,COUNT(Curvas_cupon_cero!$A:$A)-2,1),OFFSET(Curvas_cupon_cero!$A$1,1,MATCH($B$7,Curvas_cupon_cero!$1:$1,0)-1,COUNT(Curvas_cupon_cero!$A:$A)-2,1)),[1]!interpolar(H145,OFFSET(Curvas_cupon_cero!$A$1,1,0,COUNT(Curvas_cupon_cero!$A:$A)-2,1),OFFSET(Curvas_cupon_cero!$A$1,1,MATCH($B$7,Curvas_cupon_cero!$1:$1,0)-1,COUNT(Curvas_cupon_cero!$A:$A)-2,1))))</f>
        <v/>
      </c>
      <c r="E145" s="23" t="str">
        <f t="shared" si="16"/>
        <v/>
      </c>
      <c r="F145" s="17" t="str">
        <f t="shared" si="14"/>
        <v/>
      </c>
      <c r="G145" s="18" t="str">
        <f t="shared" si="17"/>
        <v/>
      </c>
      <c r="H145" t="str">
        <f t="shared" si="18"/>
        <v/>
      </c>
      <c r="I145" s="23" t="str">
        <f ca="1">IF(A145="","",IF($B$8="Sí",interpolar_alamb(H145,OFFSET(Curvas_cupon_cero!$A$1,1,0,COUNT(Curvas_cupon_cero!$A:$A)-2,1),OFFSET(Curvas_cupon_cero!$A$1,1,MATCH($B$6,Curvas_cupon_cero!$1:$1,0)-1,COUNT(Curvas_cupon_cero!$A:$A)-2,1)),[1]!interpolar(H145,OFFSET(Curvas_cupon_cero!$A$1,1,0,COUNT(Curvas_cupon_cero!$A:$A)-2,1),OFFSET(Curvas_cupon_cero!$A$1,1,MATCH($B$6,Curvas_cupon_cero!$1:$1,0)-1,COUNT(Curvas_cupon_cero!$A:$A)-2,1))))</f>
        <v/>
      </c>
      <c r="J145" s="19" t="str">
        <f>IF(A145="","",F145/(1+I145*$B$5/360)^(COUNT(A$16:A145)-($B$5-$G$16)/$B$5))</f>
        <v/>
      </c>
    </row>
    <row r="146" spans="1:10" x14ac:dyDescent="0.2">
      <c r="A146" s="12" t="str">
        <f t="shared" si="15"/>
        <v/>
      </c>
      <c r="B146" t="str">
        <f t="shared" si="13"/>
        <v/>
      </c>
      <c r="C146" s="21" t="str">
        <f ca="1">IF(A146="","",IF($B$8="Sí",interpolar_alamb(B146,OFFSET(Curvas_cupon_cero!$A$1,1,0,COUNT(Curvas_cupon_cero!$A:$A)-2,1),OFFSET(Curvas_cupon_cero!$A$1,1,MATCH($B$7,Curvas_cupon_cero!$1:$1,0)-1,COUNT(Curvas_cupon_cero!$A:$A)-2,1)),[1]!interpolar(B146,OFFSET(Curvas_cupon_cero!$A$1,1,0,COUNT(Curvas_cupon_cero!$A:$A)-2,1),OFFSET(Curvas_cupon_cero!$A$1,1,MATCH($B$7,Curvas_cupon_cero!$1:$1,0)-1,COUNT(Curvas_cupon_cero!$A:$A)-2,1))))</f>
        <v/>
      </c>
      <c r="D146" s="23" t="str">
        <f ca="1">IF(A146="","",IF($B$8="Sí",interpolar_alamb(H146,OFFSET(Curvas_cupon_cero!$A$1,1,0,COUNT(Curvas_cupon_cero!$A:$A)-2,1),OFFSET(Curvas_cupon_cero!$A$1,1,MATCH($B$7,Curvas_cupon_cero!$1:$1,0)-1,COUNT(Curvas_cupon_cero!$A:$A)-2,1)),[1]!interpolar(H146,OFFSET(Curvas_cupon_cero!$A$1,1,0,COUNT(Curvas_cupon_cero!$A:$A)-2,1),OFFSET(Curvas_cupon_cero!$A$1,1,MATCH($B$7,Curvas_cupon_cero!$1:$1,0)-1,COUNT(Curvas_cupon_cero!$A:$A)-2,1))))</f>
        <v/>
      </c>
      <c r="E146" s="23" t="str">
        <f t="shared" si="16"/>
        <v/>
      </c>
      <c r="F146" s="17" t="str">
        <f t="shared" si="14"/>
        <v/>
      </c>
      <c r="G146" s="18" t="str">
        <f t="shared" si="17"/>
        <v/>
      </c>
      <c r="H146" t="str">
        <f t="shared" si="18"/>
        <v/>
      </c>
      <c r="I146" s="23" t="str">
        <f ca="1">IF(A146="","",IF($B$8="Sí",interpolar_alamb(H146,OFFSET(Curvas_cupon_cero!$A$1,1,0,COUNT(Curvas_cupon_cero!$A:$A)-2,1),OFFSET(Curvas_cupon_cero!$A$1,1,MATCH($B$6,Curvas_cupon_cero!$1:$1,0)-1,COUNT(Curvas_cupon_cero!$A:$A)-2,1)),[1]!interpolar(H146,OFFSET(Curvas_cupon_cero!$A$1,1,0,COUNT(Curvas_cupon_cero!$A:$A)-2,1),OFFSET(Curvas_cupon_cero!$A$1,1,MATCH($B$6,Curvas_cupon_cero!$1:$1,0)-1,COUNT(Curvas_cupon_cero!$A:$A)-2,1))))</f>
        <v/>
      </c>
      <c r="J146" s="19" t="str">
        <f>IF(A146="","",F146/(1+I146*$B$5/360)^(COUNT(A$16:A146)-($B$5-$G$16)/$B$5))</f>
        <v/>
      </c>
    </row>
    <row r="147" spans="1:10" x14ac:dyDescent="0.2">
      <c r="A147" s="12" t="str">
        <f t="shared" si="15"/>
        <v/>
      </c>
      <c r="B147" t="str">
        <f t="shared" si="13"/>
        <v/>
      </c>
      <c r="C147" s="21" t="str">
        <f ca="1">IF(A147="","",IF($B$8="Sí",interpolar_alamb(B147,OFFSET(Curvas_cupon_cero!$A$1,1,0,COUNT(Curvas_cupon_cero!$A:$A)-2,1),OFFSET(Curvas_cupon_cero!$A$1,1,MATCH($B$7,Curvas_cupon_cero!$1:$1,0)-1,COUNT(Curvas_cupon_cero!$A:$A)-2,1)),[1]!interpolar(B147,OFFSET(Curvas_cupon_cero!$A$1,1,0,COUNT(Curvas_cupon_cero!$A:$A)-2,1),OFFSET(Curvas_cupon_cero!$A$1,1,MATCH($B$7,Curvas_cupon_cero!$1:$1,0)-1,COUNT(Curvas_cupon_cero!$A:$A)-2,1))))</f>
        <v/>
      </c>
      <c r="D147" s="23" t="str">
        <f ca="1">IF(A147="","",IF($B$8="Sí",interpolar_alamb(H147,OFFSET(Curvas_cupon_cero!$A$1,1,0,COUNT(Curvas_cupon_cero!$A:$A)-2,1),OFFSET(Curvas_cupon_cero!$A$1,1,MATCH($B$7,Curvas_cupon_cero!$1:$1,0)-1,COUNT(Curvas_cupon_cero!$A:$A)-2,1)),[1]!interpolar(H147,OFFSET(Curvas_cupon_cero!$A$1,1,0,COUNT(Curvas_cupon_cero!$A:$A)-2,1),OFFSET(Curvas_cupon_cero!$A$1,1,MATCH($B$7,Curvas_cupon_cero!$1:$1,0)-1,COUNT(Curvas_cupon_cero!$A:$A)-2,1))))</f>
        <v/>
      </c>
      <c r="E147" s="23" t="str">
        <f t="shared" si="16"/>
        <v/>
      </c>
      <c r="F147" s="17" t="str">
        <f t="shared" si="14"/>
        <v/>
      </c>
      <c r="G147" s="18" t="str">
        <f t="shared" si="17"/>
        <v/>
      </c>
      <c r="H147" t="str">
        <f t="shared" si="18"/>
        <v/>
      </c>
      <c r="I147" s="23" t="str">
        <f ca="1">IF(A147="","",IF($B$8="Sí",interpolar_alamb(H147,OFFSET(Curvas_cupon_cero!$A$1,1,0,COUNT(Curvas_cupon_cero!$A:$A)-2,1),OFFSET(Curvas_cupon_cero!$A$1,1,MATCH($B$6,Curvas_cupon_cero!$1:$1,0)-1,COUNT(Curvas_cupon_cero!$A:$A)-2,1)),[1]!interpolar(H147,OFFSET(Curvas_cupon_cero!$A$1,1,0,COUNT(Curvas_cupon_cero!$A:$A)-2,1),OFFSET(Curvas_cupon_cero!$A$1,1,MATCH($B$6,Curvas_cupon_cero!$1:$1,0)-1,COUNT(Curvas_cupon_cero!$A:$A)-2,1))))</f>
        <v/>
      </c>
      <c r="J147" s="19" t="str">
        <f>IF(A147="","",F147/(1+I147*$B$5/360)^(COUNT(A$16:A147)-($B$5-$G$16)/$B$5))</f>
        <v/>
      </c>
    </row>
    <row r="148" spans="1:10" x14ac:dyDescent="0.2">
      <c r="A148" s="12" t="str">
        <f t="shared" si="15"/>
        <v/>
      </c>
      <c r="B148" t="str">
        <f t="shared" si="13"/>
        <v/>
      </c>
      <c r="C148" s="21" t="str">
        <f ca="1">IF(A148="","",IF($B$8="Sí",interpolar_alamb(B148,OFFSET(Curvas_cupon_cero!$A$1,1,0,COUNT(Curvas_cupon_cero!$A:$A)-2,1),OFFSET(Curvas_cupon_cero!$A$1,1,MATCH($B$7,Curvas_cupon_cero!$1:$1,0)-1,COUNT(Curvas_cupon_cero!$A:$A)-2,1)),[1]!interpolar(B148,OFFSET(Curvas_cupon_cero!$A$1,1,0,COUNT(Curvas_cupon_cero!$A:$A)-2,1),OFFSET(Curvas_cupon_cero!$A$1,1,MATCH($B$7,Curvas_cupon_cero!$1:$1,0)-1,COUNT(Curvas_cupon_cero!$A:$A)-2,1))))</f>
        <v/>
      </c>
      <c r="D148" s="23" t="str">
        <f ca="1">IF(A148="","",IF($B$8="Sí",interpolar_alamb(H148,OFFSET(Curvas_cupon_cero!$A$1,1,0,COUNT(Curvas_cupon_cero!$A:$A)-2,1),OFFSET(Curvas_cupon_cero!$A$1,1,MATCH($B$7,Curvas_cupon_cero!$1:$1,0)-1,COUNT(Curvas_cupon_cero!$A:$A)-2,1)),[1]!interpolar(H148,OFFSET(Curvas_cupon_cero!$A$1,1,0,COUNT(Curvas_cupon_cero!$A:$A)-2,1),OFFSET(Curvas_cupon_cero!$A$1,1,MATCH($B$7,Curvas_cupon_cero!$1:$1,0)-1,COUNT(Curvas_cupon_cero!$A:$A)-2,1))))</f>
        <v/>
      </c>
      <c r="E148" s="23" t="str">
        <f t="shared" si="16"/>
        <v/>
      </c>
      <c r="F148" s="17" t="str">
        <f t="shared" si="14"/>
        <v/>
      </c>
      <c r="G148" s="18" t="str">
        <f t="shared" si="17"/>
        <v/>
      </c>
      <c r="H148" t="str">
        <f t="shared" si="18"/>
        <v/>
      </c>
      <c r="I148" s="23" t="str">
        <f ca="1">IF(A148="","",IF($B$8="Sí",interpolar_alamb(H148,OFFSET(Curvas_cupon_cero!$A$1,1,0,COUNT(Curvas_cupon_cero!$A:$A)-2,1),OFFSET(Curvas_cupon_cero!$A$1,1,MATCH($B$6,Curvas_cupon_cero!$1:$1,0)-1,COUNT(Curvas_cupon_cero!$A:$A)-2,1)),[1]!interpolar(H148,OFFSET(Curvas_cupon_cero!$A$1,1,0,COUNT(Curvas_cupon_cero!$A:$A)-2,1),OFFSET(Curvas_cupon_cero!$A$1,1,MATCH($B$6,Curvas_cupon_cero!$1:$1,0)-1,COUNT(Curvas_cupon_cero!$A:$A)-2,1))))</f>
        <v/>
      </c>
      <c r="J148" s="19" t="str">
        <f>IF(A148="","",F148/(1+I148*$B$5/360)^(COUNT(A$16:A148)-($B$5-$G$16)/$B$5))</f>
        <v/>
      </c>
    </row>
    <row r="149" spans="1:10" x14ac:dyDescent="0.2">
      <c r="A149" s="12" t="str">
        <f t="shared" si="15"/>
        <v/>
      </c>
      <c r="B149" t="str">
        <f t="shared" si="13"/>
        <v/>
      </c>
      <c r="C149" s="21" t="str">
        <f ca="1">IF(A149="","",IF($B$8="Sí",interpolar_alamb(B149,OFFSET(Curvas_cupon_cero!$A$1,1,0,COUNT(Curvas_cupon_cero!$A:$A)-2,1),OFFSET(Curvas_cupon_cero!$A$1,1,MATCH($B$7,Curvas_cupon_cero!$1:$1,0)-1,COUNT(Curvas_cupon_cero!$A:$A)-2,1)),[1]!interpolar(B149,OFFSET(Curvas_cupon_cero!$A$1,1,0,COUNT(Curvas_cupon_cero!$A:$A)-2,1),OFFSET(Curvas_cupon_cero!$A$1,1,MATCH($B$7,Curvas_cupon_cero!$1:$1,0)-1,COUNT(Curvas_cupon_cero!$A:$A)-2,1))))</f>
        <v/>
      </c>
      <c r="D149" s="23" t="str">
        <f ca="1">IF(A149="","",IF($B$8="Sí",interpolar_alamb(H149,OFFSET(Curvas_cupon_cero!$A$1,1,0,COUNT(Curvas_cupon_cero!$A:$A)-2,1),OFFSET(Curvas_cupon_cero!$A$1,1,MATCH($B$7,Curvas_cupon_cero!$1:$1,0)-1,COUNT(Curvas_cupon_cero!$A:$A)-2,1)),[1]!interpolar(H149,OFFSET(Curvas_cupon_cero!$A$1,1,0,COUNT(Curvas_cupon_cero!$A:$A)-2,1),OFFSET(Curvas_cupon_cero!$A$1,1,MATCH($B$7,Curvas_cupon_cero!$1:$1,0)-1,COUNT(Curvas_cupon_cero!$A:$A)-2,1))))</f>
        <v/>
      </c>
      <c r="E149" s="23" t="str">
        <f t="shared" si="16"/>
        <v/>
      </c>
      <c r="F149" s="17" t="str">
        <f t="shared" si="14"/>
        <v/>
      </c>
      <c r="G149" s="18" t="str">
        <f t="shared" si="17"/>
        <v/>
      </c>
      <c r="H149" t="str">
        <f t="shared" si="18"/>
        <v/>
      </c>
      <c r="I149" s="23" t="str">
        <f ca="1">IF(A149="","",IF($B$8="Sí",interpolar_alamb(H149,OFFSET(Curvas_cupon_cero!$A$1,1,0,COUNT(Curvas_cupon_cero!$A:$A)-2,1),OFFSET(Curvas_cupon_cero!$A$1,1,MATCH($B$6,Curvas_cupon_cero!$1:$1,0)-1,COUNT(Curvas_cupon_cero!$A:$A)-2,1)),[1]!interpolar(H149,OFFSET(Curvas_cupon_cero!$A$1,1,0,COUNT(Curvas_cupon_cero!$A:$A)-2,1),OFFSET(Curvas_cupon_cero!$A$1,1,MATCH($B$6,Curvas_cupon_cero!$1:$1,0)-1,COUNT(Curvas_cupon_cero!$A:$A)-2,1))))</f>
        <v/>
      </c>
      <c r="J149" s="19" t="str">
        <f>IF(A149="","",F149/(1+I149*$B$5/360)^(COUNT(A$16:A149)-($B$5-$G$16)/$B$5))</f>
        <v/>
      </c>
    </row>
    <row r="150" spans="1:10" x14ac:dyDescent="0.2">
      <c r="A150" s="12" t="str">
        <f t="shared" si="15"/>
        <v/>
      </c>
      <c r="B150" t="str">
        <f t="shared" si="13"/>
        <v/>
      </c>
      <c r="C150" s="21" t="str">
        <f ca="1">IF(A150="","",IF($B$8="Sí",interpolar_alamb(B150,OFFSET(Curvas_cupon_cero!$A$1,1,0,COUNT(Curvas_cupon_cero!$A:$A)-2,1),OFFSET(Curvas_cupon_cero!$A$1,1,MATCH($B$7,Curvas_cupon_cero!$1:$1,0)-1,COUNT(Curvas_cupon_cero!$A:$A)-2,1)),[1]!interpolar(B150,OFFSET(Curvas_cupon_cero!$A$1,1,0,COUNT(Curvas_cupon_cero!$A:$A)-2,1),OFFSET(Curvas_cupon_cero!$A$1,1,MATCH($B$7,Curvas_cupon_cero!$1:$1,0)-1,COUNT(Curvas_cupon_cero!$A:$A)-2,1))))</f>
        <v/>
      </c>
      <c r="D150" s="23" t="str">
        <f ca="1">IF(A150="","",IF($B$8="Sí",interpolar_alamb(H150,OFFSET(Curvas_cupon_cero!$A$1,1,0,COUNT(Curvas_cupon_cero!$A:$A)-2,1),OFFSET(Curvas_cupon_cero!$A$1,1,MATCH($B$7,Curvas_cupon_cero!$1:$1,0)-1,COUNT(Curvas_cupon_cero!$A:$A)-2,1)),[1]!interpolar(H150,OFFSET(Curvas_cupon_cero!$A$1,1,0,COUNT(Curvas_cupon_cero!$A:$A)-2,1),OFFSET(Curvas_cupon_cero!$A$1,1,MATCH($B$7,Curvas_cupon_cero!$1:$1,0)-1,COUNT(Curvas_cupon_cero!$A:$A)-2,1))))</f>
        <v/>
      </c>
      <c r="E150" s="23" t="str">
        <f t="shared" si="16"/>
        <v/>
      </c>
      <c r="F150" s="17" t="str">
        <f t="shared" si="14"/>
        <v/>
      </c>
      <c r="G150" s="18" t="str">
        <f t="shared" si="17"/>
        <v/>
      </c>
      <c r="H150" t="str">
        <f t="shared" si="18"/>
        <v/>
      </c>
      <c r="I150" s="23" t="str">
        <f ca="1">IF(A150="","",IF($B$8="Sí",interpolar_alamb(H150,OFFSET(Curvas_cupon_cero!$A$1,1,0,COUNT(Curvas_cupon_cero!$A:$A)-2,1),OFFSET(Curvas_cupon_cero!$A$1,1,MATCH($B$6,Curvas_cupon_cero!$1:$1,0)-1,COUNT(Curvas_cupon_cero!$A:$A)-2,1)),[1]!interpolar(H150,OFFSET(Curvas_cupon_cero!$A$1,1,0,COUNT(Curvas_cupon_cero!$A:$A)-2,1),OFFSET(Curvas_cupon_cero!$A$1,1,MATCH($B$6,Curvas_cupon_cero!$1:$1,0)-1,COUNT(Curvas_cupon_cero!$A:$A)-2,1))))</f>
        <v/>
      </c>
      <c r="J150" s="19" t="str">
        <f>IF(A150="","",F150/(1+I150*$B$5/360)^(COUNT(A$16:A150)-($B$5-$G$16)/$B$5))</f>
        <v/>
      </c>
    </row>
    <row r="151" spans="1:10" x14ac:dyDescent="0.2">
      <c r="A151" s="12" t="str">
        <f t="shared" si="15"/>
        <v/>
      </c>
      <c r="B151" t="str">
        <f t="shared" si="13"/>
        <v/>
      </c>
      <c r="C151" s="21" t="str">
        <f ca="1">IF(A151="","",IF($B$8="Sí",interpolar_alamb(B151,OFFSET(Curvas_cupon_cero!$A$1,1,0,COUNT(Curvas_cupon_cero!$A:$A)-2,1),OFFSET(Curvas_cupon_cero!$A$1,1,MATCH($B$7,Curvas_cupon_cero!$1:$1,0)-1,COUNT(Curvas_cupon_cero!$A:$A)-2,1)),[1]!interpolar(B151,OFFSET(Curvas_cupon_cero!$A$1,1,0,COUNT(Curvas_cupon_cero!$A:$A)-2,1),OFFSET(Curvas_cupon_cero!$A$1,1,MATCH($B$7,Curvas_cupon_cero!$1:$1,0)-1,COUNT(Curvas_cupon_cero!$A:$A)-2,1))))</f>
        <v/>
      </c>
      <c r="D151" s="23" t="str">
        <f ca="1">IF(A151="","",IF($B$8="Sí",interpolar_alamb(H151,OFFSET(Curvas_cupon_cero!$A$1,1,0,COUNT(Curvas_cupon_cero!$A:$A)-2,1),OFFSET(Curvas_cupon_cero!$A$1,1,MATCH($B$7,Curvas_cupon_cero!$1:$1,0)-1,COUNT(Curvas_cupon_cero!$A:$A)-2,1)),[1]!interpolar(H151,OFFSET(Curvas_cupon_cero!$A$1,1,0,COUNT(Curvas_cupon_cero!$A:$A)-2,1),OFFSET(Curvas_cupon_cero!$A$1,1,MATCH($B$7,Curvas_cupon_cero!$1:$1,0)-1,COUNT(Curvas_cupon_cero!$A:$A)-2,1))))</f>
        <v/>
      </c>
      <c r="E151" s="23" t="str">
        <f t="shared" si="16"/>
        <v/>
      </c>
      <c r="F151" s="17" t="str">
        <f t="shared" si="14"/>
        <v/>
      </c>
      <c r="G151" s="18" t="str">
        <f t="shared" si="17"/>
        <v/>
      </c>
      <c r="H151" t="str">
        <f t="shared" si="18"/>
        <v/>
      </c>
      <c r="I151" s="23" t="str">
        <f ca="1">IF(A151="","",IF($B$8="Sí",interpolar_alamb(H151,OFFSET(Curvas_cupon_cero!$A$1,1,0,COUNT(Curvas_cupon_cero!$A:$A)-2,1),OFFSET(Curvas_cupon_cero!$A$1,1,MATCH($B$6,Curvas_cupon_cero!$1:$1,0)-1,COUNT(Curvas_cupon_cero!$A:$A)-2,1)),[1]!interpolar(H151,OFFSET(Curvas_cupon_cero!$A$1,1,0,COUNT(Curvas_cupon_cero!$A:$A)-2,1),OFFSET(Curvas_cupon_cero!$A$1,1,MATCH($B$6,Curvas_cupon_cero!$1:$1,0)-1,COUNT(Curvas_cupon_cero!$A:$A)-2,1))))</f>
        <v/>
      </c>
      <c r="J151" s="19" t="str">
        <f>IF(A151="","",F151/(1+I151*$B$5/360)^(COUNT(A$16:A151)-($B$5-$G$16)/$B$5))</f>
        <v/>
      </c>
    </row>
    <row r="152" spans="1:10" x14ac:dyDescent="0.2">
      <c r="A152" s="12" t="str">
        <f t="shared" si="15"/>
        <v/>
      </c>
      <c r="B152" t="str">
        <f t="shared" si="13"/>
        <v/>
      </c>
      <c r="C152" s="21" t="str">
        <f ca="1">IF(A152="","",IF($B$8="Sí",interpolar_alamb(B152,OFFSET(Curvas_cupon_cero!$A$1,1,0,COUNT(Curvas_cupon_cero!$A:$A)-2,1),OFFSET(Curvas_cupon_cero!$A$1,1,MATCH($B$7,Curvas_cupon_cero!$1:$1,0)-1,COUNT(Curvas_cupon_cero!$A:$A)-2,1)),[1]!interpolar(B152,OFFSET(Curvas_cupon_cero!$A$1,1,0,COUNT(Curvas_cupon_cero!$A:$A)-2,1),OFFSET(Curvas_cupon_cero!$A$1,1,MATCH($B$7,Curvas_cupon_cero!$1:$1,0)-1,COUNT(Curvas_cupon_cero!$A:$A)-2,1))))</f>
        <v/>
      </c>
      <c r="D152" s="23" t="str">
        <f ca="1">IF(A152="","",IF($B$8="Sí",interpolar_alamb(H152,OFFSET(Curvas_cupon_cero!$A$1,1,0,COUNT(Curvas_cupon_cero!$A:$A)-2,1),OFFSET(Curvas_cupon_cero!$A$1,1,MATCH($B$7,Curvas_cupon_cero!$1:$1,0)-1,COUNT(Curvas_cupon_cero!$A:$A)-2,1)),[1]!interpolar(H152,OFFSET(Curvas_cupon_cero!$A$1,1,0,COUNT(Curvas_cupon_cero!$A:$A)-2,1),OFFSET(Curvas_cupon_cero!$A$1,1,MATCH($B$7,Curvas_cupon_cero!$1:$1,0)-1,COUNT(Curvas_cupon_cero!$A:$A)-2,1))))</f>
        <v/>
      </c>
      <c r="E152" s="23" t="str">
        <f t="shared" si="16"/>
        <v/>
      </c>
      <c r="F152" s="17" t="str">
        <f t="shared" si="14"/>
        <v/>
      </c>
      <c r="G152" s="18" t="str">
        <f t="shared" si="17"/>
        <v/>
      </c>
      <c r="H152" t="str">
        <f t="shared" si="18"/>
        <v/>
      </c>
      <c r="I152" s="23" t="str">
        <f ca="1">IF(A152="","",IF($B$8="Sí",interpolar_alamb(H152,OFFSET(Curvas_cupon_cero!$A$1,1,0,COUNT(Curvas_cupon_cero!$A:$A)-2,1),OFFSET(Curvas_cupon_cero!$A$1,1,MATCH($B$6,Curvas_cupon_cero!$1:$1,0)-1,COUNT(Curvas_cupon_cero!$A:$A)-2,1)),[1]!interpolar(H152,OFFSET(Curvas_cupon_cero!$A$1,1,0,COUNT(Curvas_cupon_cero!$A:$A)-2,1),OFFSET(Curvas_cupon_cero!$A$1,1,MATCH($B$6,Curvas_cupon_cero!$1:$1,0)-1,COUNT(Curvas_cupon_cero!$A:$A)-2,1))))</f>
        <v/>
      </c>
      <c r="J152" s="19" t="str">
        <f>IF(A152="","",F152/(1+I152*$B$5/360)^(COUNT(A$16:A152)-($B$5-$G$16)/$B$5))</f>
        <v/>
      </c>
    </row>
    <row r="153" spans="1:10" x14ac:dyDescent="0.2">
      <c r="A153" s="12" t="str">
        <f t="shared" si="15"/>
        <v/>
      </c>
      <c r="B153" t="str">
        <f t="shared" si="13"/>
        <v/>
      </c>
      <c r="C153" s="21" t="str">
        <f ca="1">IF(A153="","",IF($B$8="Sí",interpolar_alamb(B153,OFFSET(Curvas_cupon_cero!$A$1,1,0,COUNT(Curvas_cupon_cero!$A:$A)-2,1),OFFSET(Curvas_cupon_cero!$A$1,1,MATCH($B$7,Curvas_cupon_cero!$1:$1,0)-1,COUNT(Curvas_cupon_cero!$A:$A)-2,1)),[1]!interpolar(B153,OFFSET(Curvas_cupon_cero!$A$1,1,0,COUNT(Curvas_cupon_cero!$A:$A)-2,1),OFFSET(Curvas_cupon_cero!$A$1,1,MATCH($B$7,Curvas_cupon_cero!$1:$1,0)-1,COUNT(Curvas_cupon_cero!$A:$A)-2,1))))</f>
        <v/>
      </c>
      <c r="D153" s="23" t="str">
        <f ca="1">IF(A153="","",IF($B$8="Sí",interpolar_alamb(H153,OFFSET(Curvas_cupon_cero!$A$1,1,0,COUNT(Curvas_cupon_cero!$A:$A)-2,1),OFFSET(Curvas_cupon_cero!$A$1,1,MATCH($B$7,Curvas_cupon_cero!$1:$1,0)-1,COUNT(Curvas_cupon_cero!$A:$A)-2,1)),[1]!interpolar(H153,OFFSET(Curvas_cupon_cero!$A$1,1,0,COUNT(Curvas_cupon_cero!$A:$A)-2,1),OFFSET(Curvas_cupon_cero!$A$1,1,MATCH($B$7,Curvas_cupon_cero!$1:$1,0)-1,COUNT(Curvas_cupon_cero!$A:$A)-2,1))))</f>
        <v/>
      </c>
      <c r="E153" s="23" t="str">
        <f t="shared" si="16"/>
        <v/>
      </c>
      <c r="F153" s="17" t="str">
        <f t="shared" si="14"/>
        <v/>
      </c>
      <c r="G153" s="18" t="str">
        <f t="shared" si="17"/>
        <v/>
      </c>
      <c r="H153" t="str">
        <f t="shared" si="18"/>
        <v/>
      </c>
      <c r="I153" s="23" t="str">
        <f ca="1">IF(A153="","",IF($B$8="Sí",interpolar_alamb(H153,OFFSET(Curvas_cupon_cero!$A$1,1,0,COUNT(Curvas_cupon_cero!$A:$A)-2,1),OFFSET(Curvas_cupon_cero!$A$1,1,MATCH($B$6,Curvas_cupon_cero!$1:$1,0)-1,COUNT(Curvas_cupon_cero!$A:$A)-2,1)),[1]!interpolar(H153,OFFSET(Curvas_cupon_cero!$A$1,1,0,COUNT(Curvas_cupon_cero!$A:$A)-2,1),OFFSET(Curvas_cupon_cero!$A$1,1,MATCH($B$6,Curvas_cupon_cero!$1:$1,0)-1,COUNT(Curvas_cupon_cero!$A:$A)-2,1))))</f>
        <v/>
      </c>
      <c r="J153" s="19" t="str">
        <f>IF(A153="","",F153/(1+I153*$B$5/360)^(COUNT(A$16:A153)-($B$5-$G$16)/$B$5))</f>
        <v/>
      </c>
    </row>
    <row r="154" spans="1:10" x14ac:dyDescent="0.2">
      <c r="A154" s="12" t="str">
        <f t="shared" si="15"/>
        <v/>
      </c>
      <c r="B154" t="str">
        <f t="shared" si="13"/>
        <v/>
      </c>
      <c r="C154" s="21" t="str">
        <f ca="1">IF(A154="","",IF($B$8="Sí",interpolar_alamb(B154,OFFSET(Curvas_cupon_cero!$A$1,1,0,COUNT(Curvas_cupon_cero!$A:$A)-2,1),OFFSET(Curvas_cupon_cero!$A$1,1,MATCH($B$7,Curvas_cupon_cero!$1:$1,0)-1,COUNT(Curvas_cupon_cero!$A:$A)-2,1)),[1]!interpolar(B154,OFFSET(Curvas_cupon_cero!$A$1,1,0,COUNT(Curvas_cupon_cero!$A:$A)-2,1),OFFSET(Curvas_cupon_cero!$A$1,1,MATCH($B$7,Curvas_cupon_cero!$1:$1,0)-1,COUNT(Curvas_cupon_cero!$A:$A)-2,1))))</f>
        <v/>
      </c>
      <c r="D154" s="23" t="str">
        <f ca="1">IF(A154="","",IF($B$8="Sí",interpolar_alamb(H154,OFFSET(Curvas_cupon_cero!$A$1,1,0,COUNT(Curvas_cupon_cero!$A:$A)-2,1),OFFSET(Curvas_cupon_cero!$A$1,1,MATCH($B$7,Curvas_cupon_cero!$1:$1,0)-1,COUNT(Curvas_cupon_cero!$A:$A)-2,1)),[1]!interpolar(H154,OFFSET(Curvas_cupon_cero!$A$1,1,0,COUNT(Curvas_cupon_cero!$A:$A)-2,1),OFFSET(Curvas_cupon_cero!$A$1,1,MATCH($B$7,Curvas_cupon_cero!$1:$1,0)-1,COUNT(Curvas_cupon_cero!$A:$A)-2,1))))</f>
        <v/>
      </c>
      <c r="E154" s="23" t="str">
        <f t="shared" si="16"/>
        <v/>
      </c>
      <c r="F154" s="17" t="str">
        <f t="shared" si="14"/>
        <v/>
      </c>
      <c r="G154" s="18" t="str">
        <f t="shared" si="17"/>
        <v/>
      </c>
      <c r="H154" t="str">
        <f t="shared" si="18"/>
        <v/>
      </c>
      <c r="I154" s="23" t="str">
        <f ca="1">IF(A154="","",IF($B$8="Sí",interpolar_alamb(H154,OFFSET(Curvas_cupon_cero!$A$1,1,0,COUNT(Curvas_cupon_cero!$A:$A)-2,1),OFFSET(Curvas_cupon_cero!$A$1,1,MATCH($B$6,Curvas_cupon_cero!$1:$1,0)-1,COUNT(Curvas_cupon_cero!$A:$A)-2,1)),[1]!interpolar(H154,OFFSET(Curvas_cupon_cero!$A$1,1,0,COUNT(Curvas_cupon_cero!$A:$A)-2,1),OFFSET(Curvas_cupon_cero!$A$1,1,MATCH($B$6,Curvas_cupon_cero!$1:$1,0)-1,COUNT(Curvas_cupon_cero!$A:$A)-2,1))))</f>
        <v/>
      </c>
      <c r="J154" s="19" t="str">
        <f>IF(A154="","",F154/(1+I154*$B$5/360)^(COUNT(A$16:A154)-($B$5-$G$16)/$B$5))</f>
        <v/>
      </c>
    </row>
    <row r="155" spans="1:10" x14ac:dyDescent="0.2">
      <c r="A155" s="12" t="str">
        <f t="shared" si="15"/>
        <v/>
      </c>
      <c r="B155" t="str">
        <f t="shared" si="13"/>
        <v/>
      </c>
      <c r="C155" s="21" t="str">
        <f ca="1">IF(A155="","",IF($B$8="Sí",interpolar_alamb(B155,OFFSET(Curvas_cupon_cero!$A$1,1,0,COUNT(Curvas_cupon_cero!$A:$A)-2,1),OFFSET(Curvas_cupon_cero!$A$1,1,MATCH($B$7,Curvas_cupon_cero!$1:$1,0)-1,COUNT(Curvas_cupon_cero!$A:$A)-2,1)),[1]!interpolar(B155,OFFSET(Curvas_cupon_cero!$A$1,1,0,COUNT(Curvas_cupon_cero!$A:$A)-2,1),OFFSET(Curvas_cupon_cero!$A$1,1,MATCH($B$7,Curvas_cupon_cero!$1:$1,0)-1,COUNT(Curvas_cupon_cero!$A:$A)-2,1))))</f>
        <v/>
      </c>
      <c r="D155" s="23" t="str">
        <f ca="1">IF(A155="","",IF($B$8="Sí",interpolar_alamb(H155,OFFSET(Curvas_cupon_cero!$A$1,1,0,COUNT(Curvas_cupon_cero!$A:$A)-2,1),OFFSET(Curvas_cupon_cero!$A$1,1,MATCH($B$7,Curvas_cupon_cero!$1:$1,0)-1,COUNT(Curvas_cupon_cero!$A:$A)-2,1)),[1]!interpolar(H155,OFFSET(Curvas_cupon_cero!$A$1,1,0,COUNT(Curvas_cupon_cero!$A:$A)-2,1),OFFSET(Curvas_cupon_cero!$A$1,1,MATCH($B$7,Curvas_cupon_cero!$1:$1,0)-1,COUNT(Curvas_cupon_cero!$A:$A)-2,1))))</f>
        <v/>
      </c>
      <c r="E155" s="23" t="str">
        <f t="shared" si="16"/>
        <v/>
      </c>
      <c r="F155" s="17" t="str">
        <f t="shared" si="14"/>
        <v/>
      </c>
      <c r="G155" s="18" t="str">
        <f t="shared" si="17"/>
        <v/>
      </c>
      <c r="H155" t="str">
        <f t="shared" si="18"/>
        <v/>
      </c>
      <c r="I155" s="23" t="str">
        <f ca="1">IF(A155="","",IF($B$8="Sí",interpolar_alamb(H155,OFFSET(Curvas_cupon_cero!$A$1,1,0,COUNT(Curvas_cupon_cero!$A:$A)-2,1),OFFSET(Curvas_cupon_cero!$A$1,1,MATCH($B$6,Curvas_cupon_cero!$1:$1,0)-1,COUNT(Curvas_cupon_cero!$A:$A)-2,1)),[1]!interpolar(H155,OFFSET(Curvas_cupon_cero!$A$1,1,0,COUNT(Curvas_cupon_cero!$A:$A)-2,1),OFFSET(Curvas_cupon_cero!$A$1,1,MATCH($B$6,Curvas_cupon_cero!$1:$1,0)-1,COUNT(Curvas_cupon_cero!$A:$A)-2,1))))</f>
        <v/>
      </c>
      <c r="J155" s="19" t="str">
        <f>IF(A155="","",F155/(1+I155*$B$5/360)^(COUNT(A$16:A155)-($B$5-$G$16)/$B$5))</f>
        <v/>
      </c>
    </row>
    <row r="156" spans="1:10" x14ac:dyDescent="0.2">
      <c r="A156" s="12" t="str">
        <f t="shared" si="15"/>
        <v/>
      </c>
      <c r="B156" t="str">
        <f t="shared" si="13"/>
        <v/>
      </c>
      <c r="C156" s="21" t="str">
        <f ca="1">IF(A156="","",IF($B$8="Sí",interpolar_alamb(B156,OFFSET(Curvas_cupon_cero!$A$1,1,0,COUNT(Curvas_cupon_cero!$A:$A)-2,1),OFFSET(Curvas_cupon_cero!$A$1,1,MATCH($B$7,Curvas_cupon_cero!$1:$1,0)-1,COUNT(Curvas_cupon_cero!$A:$A)-2,1)),[1]!interpolar(B156,OFFSET(Curvas_cupon_cero!$A$1,1,0,COUNT(Curvas_cupon_cero!$A:$A)-2,1),OFFSET(Curvas_cupon_cero!$A$1,1,MATCH($B$7,Curvas_cupon_cero!$1:$1,0)-1,COUNT(Curvas_cupon_cero!$A:$A)-2,1))))</f>
        <v/>
      </c>
      <c r="D156" s="23" t="str">
        <f ca="1">IF(A156="","",IF($B$8="Sí",interpolar_alamb(H156,OFFSET(Curvas_cupon_cero!$A$1,1,0,COUNT(Curvas_cupon_cero!$A:$A)-2,1),OFFSET(Curvas_cupon_cero!$A$1,1,MATCH($B$7,Curvas_cupon_cero!$1:$1,0)-1,COUNT(Curvas_cupon_cero!$A:$A)-2,1)),[1]!interpolar(H156,OFFSET(Curvas_cupon_cero!$A$1,1,0,COUNT(Curvas_cupon_cero!$A:$A)-2,1),OFFSET(Curvas_cupon_cero!$A$1,1,MATCH($B$7,Curvas_cupon_cero!$1:$1,0)-1,COUNT(Curvas_cupon_cero!$A:$A)-2,1))))</f>
        <v/>
      </c>
      <c r="E156" s="23" t="str">
        <f t="shared" si="16"/>
        <v/>
      </c>
      <c r="F156" s="17" t="str">
        <f t="shared" si="14"/>
        <v/>
      </c>
      <c r="G156" s="18" t="str">
        <f t="shared" si="17"/>
        <v/>
      </c>
      <c r="H156" t="str">
        <f t="shared" si="18"/>
        <v/>
      </c>
      <c r="I156" s="23" t="str">
        <f ca="1">IF(A156="","",IF($B$8="Sí",interpolar_alamb(H156,OFFSET(Curvas_cupon_cero!$A$1,1,0,COUNT(Curvas_cupon_cero!$A:$A)-2,1),OFFSET(Curvas_cupon_cero!$A$1,1,MATCH($B$6,Curvas_cupon_cero!$1:$1,0)-1,COUNT(Curvas_cupon_cero!$A:$A)-2,1)),[1]!interpolar(H156,OFFSET(Curvas_cupon_cero!$A$1,1,0,COUNT(Curvas_cupon_cero!$A:$A)-2,1),OFFSET(Curvas_cupon_cero!$A$1,1,MATCH($B$6,Curvas_cupon_cero!$1:$1,0)-1,COUNT(Curvas_cupon_cero!$A:$A)-2,1))))</f>
        <v/>
      </c>
      <c r="J156" s="19" t="str">
        <f>IF(A156="","",F156/(1+I156*$B$5/360)^(COUNT(A$16:A156)-($B$5-$G$16)/$B$5))</f>
        <v/>
      </c>
    </row>
    <row r="157" spans="1:10" x14ac:dyDescent="0.2">
      <c r="A157" s="12" t="str">
        <f t="shared" si="15"/>
        <v/>
      </c>
      <c r="B157" t="str">
        <f t="shared" si="13"/>
        <v/>
      </c>
      <c r="C157" s="21" t="str">
        <f ca="1">IF(A157="","",IF($B$8="Sí",interpolar_alamb(B157,OFFSET(Curvas_cupon_cero!$A$1,1,0,COUNT(Curvas_cupon_cero!$A:$A)-2,1),OFFSET(Curvas_cupon_cero!$A$1,1,MATCH($B$7,Curvas_cupon_cero!$1:$1,0)-1,COUNT(Curvas_cupon_cero!$A:$A)-2,1)),[1]!interpolar(B157,OFFSET(Curvas_cupon_cero!$A$1,1,0,COUNT(Curvas_cupon_cero!$A:$A)-2,1),OFFSET(Curvas_cupon_cero!$A$1,1,MATCH($B$7,Curvas_cupon_cero!$1:$1,0)-1,COUNT(Curvas_cupon_cero!$A:$A)-2,1))))</f>
        <v/>
      </c>
      <c r="D157" s="23" t="str">
        <f ca="1">IF(A157="","",IF($B$8="Sí",interpolar_alamb(H157,OFFSET(Curvas_cupon_cero!$A$1,1,0,COUNT(Curvas_cupon_cero!$A:$A)-2,1),OFFSET(Curvas_cupon_cero!$A$1,1,MATCH($B$7,Curvas_cupon_cero!$1:$1,0)-1,COUNT(Curvas_cupon_cero!$A:$A)-2,1)),[1]!interpolar(H157,OFFSET(Curvas_cupon_cero!$A$1,1,0,COUNT(Curvas_cupon_cero!$A:$A)-2,1),OFFSET(Curvas_cupon_cero!$A$1,1,MATCH($B$7,Curvas_cupon_cero!$1:$1,0)-1,COUNT(Curvas_cupon_cero!$A:$A)-2,1))))</f>
        <v/>
      </c>
      <c r="E157" s="23" t="str">
        <f t="shared" si="16"/>
        <v/>
      </c>
      <c r="F157" s="17" t="str">
        <f t="shared" si="14"/>
        <v/>
      </c>
      <c r="G157" s="18" t="str">
        <f t="shared" si="17"/>
        <v/>
      </c>
      <c r="H157" t="str">
        <f t="shared" si="18"/>
        <v/>
      </c>
      <c r="I157" s="23" t="str">
        <f ca="1">IF(A157="","",IF($B$8="Sí",interpolar_alamb(H157,OFFSET(Curvas_cupon_cero!$A$1,1,0,COUNT(Curvas_cupon_cero!$A:$A)-2,1),OFFSET(Curvas_cupon_cero!$A$1,1,MATCH($B$6,Curvas_cupon_cero!$1:$1,0)-1,COUNT(Curvas_cupon_cero!$A:$A)-2,1)),[1]!interpolar(H157,OFFSET(Curvas_cupon_cero!$A$1,1,0,COUNT(Curvas_cupon_cero!$A:$A)-2,1),OFFSET(Curvas_cupon_cero!$A$1,1,MATCH($B$6,Curvas_cupon_cero!$1:$1,0)-1,COUNT(Curvas_cupon_cero!$A:$A)-2,1))))</f>
        <v/>
      </c>
      <c r="J157" s="19" t="str">
        <f>IF(A157="","",F157/(1+I157*$B$5/360)^(COUNT(A$16:A157)-($B$5-$G$16)/$B$5))</f>
        <v/>
      </c>
    </row>
    <row r="158" spans="1:10" x14ac:dyDescent="0.2">
      <c r="A158" s="12" t="str">
        <f t="shared" si="15"/>
        <v/>
      </c>
      <c r="B158" t="str">
        <f t="shared" si="13"/>
        <v/>
      </c>
      <c r="C158" s="21" t="str">
        <f ca="1">IF(A158="","",IF($B$8="Sí",interpolar_alamb(B158,OFFSET(Curvas_cupon_cero!$A$1,1,0,COUNT(Curvas_cupon_cero!$A:$A)-2,1),OFFSET(Curvas_cupon_cero!$A$1,1,MATCH($B$7,Curvas_cupon_cero!$1:$1,0)-1,COUNT(Curvas_cupon_cero!$A:$A)-2,1)),[1]!interpolar(B158,OFFSET(Curvas_cupon_cero!$A$1,1,0,COUNT(Curvas_cupon_cero!$A:$A)-2,1),OFFSET(Curvas_cupon_cero!$A$1,1,MATCH($B$7,Curvas_cupon_cero!$1:$1,0)-1,COUNT(Curvas_cupon_cero!$A:$A)-2,1))))</f>
        <v/>
      </c>
      <c r="D158" s="23" t="str">
        <f ca="1">IF(A158="","",IF($B$8="Sí",interpolar_alamb(H158,OFFSET(Curvas_cupon_cero!$A$1,1,0,COUNT(Curvas_cupon_cero!$A:$A)-2,1),OFFSET(Curvas_cupon_cero!$A$1,1,MATCH($B$7,Curvas_cupon_cero!$1:$1,0)-1,COUNT(Curvas_cupon_cero!$A:$A)-2,1)),[1]!interpolar(H158,OFFSET(Curvas_cupon_cero!$A$1,1,0,COUNT(Curvas_cupon_cero!$A:$A)-2,1),OFFSET(Curvas_cupon_cero!$A$1,1,MATCH($B$7,Curvas_cupon_cero!$1:$1,0)-1,COUNT(Curvas_cupon_cero!$A:$A)-2,1))))</f>
        <v/>
      </c>
      <c r="E158" s="23" t="str">
        <f t="shared" si="16"/>
        <v/>
      </c>
      <c r="F158" s="17" t="str">
        <f t="shared" si="14"/>
        <v/>
      </c>
      <c r="G158" s="18" t="str">
        <f t="shared" si="17"/>
        <v/>
      </c>
      <c r="H158" t="str">
        <f t="shared" si="18"/>
        <v/>
      </c>
      <c r="I158" s="23" t="str">
        <f ca="1">IF(A158="","",IF($B$8="Sí",interpolar_alamb(H158,OFFSET(Curvas_cupon_cero!$A$1,1,0,COUNT(Curvas_cupon_cero!$A:$A)-2,1),OFFSET(Curvas_cupon_cero!$A$1,1,MATCH($B$6,Curvas_cupon_cero!$1:$1,0)-1,COUNT(Curvas_cupon_cero!$A:$A)-2,1)),[1]!interpolar(H158,OFFSET(Curvas_cupon_cero!$A$1,1,0,COUNT(Curvas_cupon_cero!$A:$A)-2,1),OFFSET(Curvas_cupon_cero!$A$1,1,MATCH($B$6,Curvas_cupon_cero!$1:$1,0)-1,COUNT(Curvas_cupon_cero!$A:$A)-2,1))))</f>
        <v/>
      </c>
      <c r="J158" s="19" t="str">
        <f>IF(A158="","",F158/(1+I158*$B$5/360)^(COUNT(A$16:A158)-($B$5-$G$16)/$B$5))</f>
        <v/>
      </c>
    </row>
    <row r="159" spans="1:10" x14ac:dyDescent="0.2">
      <c r="A159" s="12" t="str">
        <f t="shared" si="15"/>
        <v/>
      </c>
      <c r="B159" t="str">
        <f t="shared" si="13"/>
        <v/>
      </c>
      <c r="C159" s="21" t="str">
        <f ca="1">IF(A159="","",IF($B$8="Sí",interpolar_alamb(B159,OFFSET(Curvas_cupon_cero!$A$1,1,0,COUNT(Curvas_cupon_cero!$A:$A)-2,1),OFFSET(Curvas_cupon_cero!$A$1,1,MATCH($B$7,Curvas_cupon_cero!$1:$1,0)-1,COUNT(Curvas_cupon_cero!$A:$A)-2,1)),[1]!interpolar(B159,OFFSET(Curvas_cupon_cero!$A$1,1,0,COUNT(Curvas_cupon_cero!$A:$A)-2,1),OFFSET(Curvas_cupon_cero!$A$1,1,MATCH($B$7,Curvas_cupon_cero!$1:$1,0)-1,COUNT(Curvas_cupon_cero!$A:$A)-2,1))))</f>
        <v/>
      </c>
      <c r="D159" s="23" t="str">
        <f ca="1">IF(A159="","",IF($B$8="Sí",interpolar_alamb(H159,OFFSET(Curvas_cupon_cero!$A$1,1,0,COUNT(Curvas_cupon_cero!$A:$A)-2,1),OFFSET(Curvas_cupon_cero!$A$1,1,MATCH($B$7,Curvas_cupon_cero!$1:$1,0)-1,COUNT(Curvas_cupon_cero!$A:$A)-2,1)),[1]!interpolar(H159,OFFSET(Curvas_cupon_cero!$A$1,1,0,COUNT(Curvas_cupon_cero!$A:$A)-2,1),OFFSET(Curvas_cupon_cero!$A$1,1,MATCH($B$7,Curvas_cupon_cero!$1:$1,0)-1,COUNT(Curvas_cupon_cero!$A:$A)-2,1))))</f>
        <v/>
      </c>
      <c r="E159" s="23" t="str">
        <f t="shared" si="16"/>
        <v/>
      </c>
      <c r="F159" s="17" t="str">
        <f t="shared" si="14"/>
        <v/>
      </c>
      <c r="G159" s="18" t="str">
        <f t="shared" si="17"/>
        <v/>
      </c>
      <c r="H159" t="str">
        <f t="shared" si="18"/>
        <v/>
      </c>
      <c r="I159" s="23" t="str">
        <f ca="1">IF(A159="","",IF($B$8="Sí",interpolar_alamb(H159,OFFSET(Curvas_cupon_cero!$A$1,1,0,COUNT(Curvas_cupon_cero!$A:$A)-2,1),OFFSET(Curvas_cupon_cero!$A$1,1,MATCH($B$6,Curvas_cupon_cero!$1:$1,0)-1,COUNT(Curvas_cupon_cero!$A:$A)-2,1)),[1]!interpolar(H159,OFFSET(Curvas_cupon_cero!$A$1,1,0,COUNT(Curvas_cupon_cero!$A:$A)-2,1),OFFSET(Curvas_cupon_cero!$A$1,1,MATCH($B$6,Curvas_cupon_cero!$1:$1,0)-1,COUNT(Curvas_cupon_cero!$A:$A)-2,1))))</f>
        <v/>
      </c>
      <c r="J159" s="19" t="str">
        <f>IF(A159="","",F159/(1+I159*$B$5/360)^(COUNT(A$16:A159)-($B$5-$G$16)/$B$5))</f>
        <v/>
      </c>
    </row>
    <row r="160" spans="1:10" x14ac:dyDescent="0.2">
      <c r="A160" s="12" t="str">
        <f t="shared" si="15"/>
        <v/>
      </c>
      <c r="B160" t="str">
        <f t="shared" si="13"/>
        <v/>
      </c>
      <c r="C160" s="21" t="str">
        <f ca="1">IF(A160="","",IF($B$8="Sí",interpolar_alamb(B160,OFFSET(Curvas_cupon_cero!$A$1,1,0,COUNT(Curvas_cupon_cero!$A:$A)-2,1),OFFSET(Curvas_cupon_cero!$A$1,1,MATCH($B$7,Curvas_cupon_cero!$1:$1,0)-1,COUNT(Curvas_cupon_cero!$A:$A)-2,1)),[1]!interpolar(B160,OFFSET(Curvas_cupon_cero!$A$1,1,0,COUNT(Curvas_cupon_cero!$A:$A)-2,1),OFFSET(Curvas_cupon_cero!$A$1,1,MATCH($B$7,Curvas_cupon_cero!$1:$1,0)-1,COUNT(Curvas_cupon_cero!$A:$A)-2,1))))</f>
        <v/>
      </c>
      <c r="D160" s="23" t="str">
        <f ca="1">IF(A160="","",IF($B$8="Sí",interpolar_alamb(H160,OFFSET(Curvas_cupon_cero!$A$1,1,0,COUNT(Curvas_cupon_cero!$A:$A)-2,1),OFFSET(Curvas_cupon_cero!$A$1,1,MATCH($B$7,Curvas_cupon_cero!$1:$1,0)-1,COUNT(Curvas_cupon_cero!$A:$A)-2,1)),[1]!interpolar(H160,OFFSET(Curvas_cupon_cero!$A$1,1,0,COUNT(Curvas_cupon_cero!$A:$A)-2,1),OFFSET(Curvas_cupon_cero!$A$1,1,MATCH($B$7,Curvas_cupon_cero!$1:$1,0)-1,COUNT(Curvas_cupon_cero!$A:$A)-2,1))))</f>
        <v/>
      </c>
      <c r="E160" s="23" t="str">
        <f t="shared" si="16"/>
        <v/>
      </c>
      <c r="F160" s="17" t="str">
        <f t="shared" si="14"/>
        <v/>
      </c>
      <c r="G160" s="18" t="str">
        <f t="shared" si="17"/>
        <v/>
      </c>
      <c r="H160" t="str">
        <f t="shared" si="18"/>
        <v/>
      </c>
      <c r="I160" s="23" t="str">
        <f ca="1">IF(A160="","",IF($B$8="Sí",interpolar_alamb(H160,OFFSET(Curvas_cupon_cero!$A$1,1,0,COUNT(Curvas_cupon_cero!$A:$A)-2,1),OFFSET(Curvas_cupon_cero!$A$1,1,MATCH($B$6,Curvas_cupon_cero!$1:$1,0)-1,COUNT(Curvas_cupon_cero!$A:$A)-2,1)),[1]!interpolar(H160,OFFSET(Curvas_cupon_cero!$A$1,1,0,COUNT(Curvas_cupon_cero!$A:$A)-2,1),OFFSET(Curvas_cupon_cero!$A$1,1,MATCH($B$6,Curvas_cupon_cero!$1:$1,0)-1,COUNT(Curvas_cupon_cero!$A:$A)-2,1))))</f>
        <v/>
      </c>
      <c r="J160" s="19" t="str">
        <f>IF(A160="","",F160/(1+I160*$B$5/360)^(COUNT(A$16:A160)-($B$5-$G$16)/$B$5))</f>
        <v/>
      </c>
    </row>
    <row r="161" spans="1:10" x14ac:dyDescent="0.2">
      <c r="A161" s="12" t="str">
        <f t="shared" si="15"/>
        <v/>
      </c>
      <c r="B161" t="str">
        <f t="shared" si="13"/>
        <v/>
      </c>
      <c r="C161" s="21" t="str">
        <f ca="1">IF(A161="","",IF($B$8="Sí",interpolar_alamb(B161,OFFSET(Curvas_cupon_cero!$A$1,1,0,COUNT(Curvas_cupon_cero!$A:$A)-2,1),OFFSET(Curvas_cupon_cero!$A$1,1,MATCH($B$7,Curvas_cupon_cero!$1:$1,0)-1,COUNT(Curvas_cupon_cero!$A:$A)-2,1)),[1]!interpolar(B161,OFFSET(Curvas_cupon_cero!$A$1,1,0,COUNT(Curvas_cupon_cero!$A:$A)-2,1),OFFSET(Curvas_cupon_cero!$A$1,1,MATCH($B$7,Curvas_cupon_cero!$1:$1,0)-1,COUNT(Curvas_cupon_cero!$A:$A)-2,1))))</f>
        <v/>
      </c>
      <c r="D161" s="23" t="str">
        <f ca="1">IF(A161="","",IF($B$8="Sí",interpolar_alamb(H161,OFFSET(Curvas_cupon_cero!$A$1,1,0,COUNT(Curvas_cupon_cero!$A:$A)-2,1),OFFSET(Curvas_cupon_cero!$A$1,1,MATCH($B$7,Curvas_cupon_cero!$1:$1,0)-1,COUNT(Curvas_cupon_cero!$A:$A)-2,1)),[1]!interpolar(H161,OFFSET(Curvas_cupon_cero!$A$1,1,0,COUNT(Curvas_cupon_cero!$A:$A)-2,1),OFFSET(Curvas_cupon_cero!$A$1,1,MATCH($B$7,Curvas_cupon_cero!$1:$1,0)-1,COUNT(Curvas_cupon_cero!$A:$A)-2,1))))</f>
        <v/>
      </c>
      <c r="E161" s="23" t="str">
        <f t="shared" si="16"/>
        <v/>
      </c>
      <c r="F161" s="17" t="str">
        <f t="shared" si="14"/>
        <v/>
      </c>
      <c r="G161" s="18" t="str">
        <f t="shared" si="17"/>
        <v/>
      </c>
      <c r="H161" t="str">
        <f t="shared" si="18"/>
        <v/>
      </c>
      <c r="I161" s="23" t="str">
        <f ca="1">IF(A161="","",IF($B$8="Sí",interpolar_alamb(H161,OFFSET(Curvas_cupon_cero!$A$1,1,0,COUNT(Curvas_cupon_cero!$A:$A)-2,1),OFFSET(Curvas_cupon_cero!$A$1,1,MATCH($B$6,Curvas_cupon_cero!$1:$1,0)-1,COUNT(Curvas_cupon_cero!$A:$A)-2,1)),[1]!interpolar(H161,OFFSET(Curvas_cupon_cero!$A$1,1,0,COUNT(Curvas_cupon_cero!$A:$A)-2,1),OFFSET(Curvas_cupon_cero!$A$1,1,MATCH($B$6,Curvas_cupon_cero!$1:$1,0)-1,COUNT(Curvas_cupon_cero!$A:$A)-2,1))))</f>
        <v/>
      </c>
      <c r="J161" s="19" t="str">
        <f>IF(A161="","",F161/(1+I161*$B$5/360)^(COUNT(A$16:A161)-($B$5-$G$16)/$B$5))</f>
        <v/>
      </c>
    </row>
    <row r="162" spans="1:10" x14ac:dyDescent="0.2">
      <c r="A162" s="12" t="str">
        <f t="shared" si="15"/>
        <v/>
      </c>
      <c r="B162" t="str">
        <f t="shared" si="13"/>
        <v/>
      </c>
      <c r="C162" s="21" t="str">
        <f ca="1">IF(A162="","",IF($B$8="Sí",interpolar_alamb(B162,OFFSET(Curvas_cupon_cero!$A$1,1,0,COUNT(Curvas_cupon_cero!$A:$A)-2,1),OFFSET(Curvas_cupon_cero!$A$1,1,MATCH($B$7,Curvas_cupon_cero!$1:$1,0)-1,COUNT(Curvas_cupon_cero!$A:$A)-2,1)),[1]!interpolar(B162,OFFSET(Curvas_cupon_cero!$A$1,1,0,COUNT(Curvas_cupon_cero!$A:$A)-2,1),OFFSET(Curvas_cupon_cero!$A$1,1,MATCH($B$7,Curvas_cupon_cero!$1:$1,0)-1,COUNT(Curvas_cupon_cero!$A:$A)-2,1))))</f>
        <v/>
      </c>
      <c r="D162" s="23" t="str">
        <f ca="1">IF(A162="","",IF($B$8="Sí",interpolar_alamb(H162,OFFSET(Curvas_cupon_cero!$A$1,1,0,COUNT(Curvas_cupon_cero!$A:$A)-2,1),OFFSET(Curvas_cupon_cero!$A$1,1,MATCH($B$7,Curvas_cupon_cero!$1:$1,0)-1,COUNT(Curvas_cupon_cero!$A:$A)-2,1)),[1]!interpolar(H162,OFFSET(Curvas_cupon_cero!$A$1,1,0,COUNT(Curvas_cupon_cero!$A:$A)-2,1),OFFSET(Curvas_cupon_cero!$A$1,1,MATCH($B$7,Curvas_cupon_cero!$1:$1,0)-1,COUNT(Curvas_cupon_cero!$A:$A)-2,1))))</f>
        <v/>
      </c>
      <c r="E162" s="23" t="str">
        <f t="shared" si="16"/>
        <v/>
      </c>
      <c r="F162" s="17" t="str">
        <f t="shared" si="14"/>
        <v/>
      </c>
      <c r="G162" s="18" t="str">
        <f t="shared" si="17"/>
        <v/>
      </c>
      <c r="H162" t="str">
        <f t="shared" si="18"/>
        <v/>
      </c>
      <c r="I162" s="23" t="str">
        <f ca="1">IF(A162="","",IF($B$8="Sí",interpolar_alamb(H162,OFFSET(Curvas_cupon_cero!$A$1,1,0,COUNT(Curvas_cupon_cero!$A:$A)-2,1),OFFSET(Curvas_cupon_cero!$A$1,1,MATCH($B$6,Curvas_cupon_cero!$1:$1,0)-1,COUNT(Curvas_cupon_cero!$A:$A)-2,1)),[1]!interpolar(H162,OFFSET(Curvas_cupon_cero!$A$1,1,0,COUNT(Curvas_cupon_cero!$A:$A)-2,1),OFFSET(Curvas_cupon_cero!$A$1,1,MATCH($B$6,Curvas_cupon_cero!$1:$1,0)-1,COUNT(Curvas_cupon_cero!$A:$A)-2,1))))</f>
        <v/>
      </c>
      <c r="J162" s="19" t="str">
        <f>IF(A162="","",F162/(1+I162*$B$5/360)^(COUNT(A$16:A162)-($B$5-$G$16)/$B$5))</f>
        <v/>
      </c>
    </row>
    <row r="163" spans="1:10" x14ac:dyDescent="0.2">
      <c r="A163" s="12" t="str">
        <f t="shared" si="15"/>
        <v/>
      </c>
      <c r="B163" t="str">
        <f t="shared" si="13"/>
        <v/>
      </c>
      <c r="C163" s="21" t="str">
        <f ca="1">IF(A163="","",IF($B$8="Sí",interpolar_alamb(B163,OFFSET(Curvas_cupon_cero!$A$1,1,0,COUNT(Curvas_cupon_cero!$A:$A)-2,1),OFFSET(Curvas_cupon_cero!$A$1,1,MATCH($B$7,Curvas_cupon_cero!$1:$1,0)-1,COUNT(Curvas_cupon_cero!$A:$A)-2,1)),[1]!interpolar(B163,OFFSET(Curvas_cupon_cero!$A$1,1,0,COUNT(Curvas_cupon_cero!$A:$A)-2,1),OFFSET(Curvas_cupon_cero!$A$1,1,MATCH($B$7,Curvas_cupon_cero!$1:$1,0)-1,COUNT(Curvas_cupon_cero!$A:$A)-2,1))))</f>
        <v/>
      </c>
      <c r="D163" s="23" t="str">
        <f ca="1">IF(A163="","",IF($B$8="Sí",interpolar_alamb(H163,OFFSET(Curvas_cupon_cero!$A$1,1,0,COUNT(Curvas_cupon_cero!$A:$A)-2,1),OFFSET(Curvas_cupon_cero!$A$1,1,MATCH($B$7,Curvas_cupon_cero!$1:$1,0)-1,COUNT(Curvas_cupon_cero!$A:$A)-2,1)),[1]!interpolar(H163,OFFSET(Curvas_cupon_cero!$A$1,1,0,COUNT(Curvas_cupon_cero!$A:$A)-2,1),OFFSET(Curvas_cupon_cero!$A$1,1,MATCH($B$7,Curvas_cupon_cero!$1:$1,0)-1,COUNT(Curvas_cupon_cero!$A:$A)-2,1))))</f>
        <v/>
      </c>
      <c r="E163" s="23" t="str">
        <f t="shared" si="16"/>
        <v/>
      </c>
      <c r="F163" s="17" t="str">
        <f t="shared" si="14"/>
        <v/>
      </c>
      <c r="G163" s="18" t="str">
        <f t="shared" si="17"/>
        <v/>
      </c>
      <c r="H163" t="str">
        <f t="shared" si="18"/>
        <v/>
      </c>
      <c r="I163" s="23" t="str">
        <f ca="1">IF(A163="","",IF($B$8="Sí",interpolar_alamb(H163,OFFSET(Curvas_cupon_cero!$A$1,1,0,COUNT(Curvas_cupon_cero!$A:$A)-2,1),OFFSET(Curvas_cupon_cero!$A$1,1,MATCH($B$6,Curvas_cupon_cero!$1:$1,0)-1,COUNT(Curvas_cupon_cero!$A:$A)-2,1)),[1]!interpolar(H163,OFFSET(Curvas_cupon_cero!$A$1,1,0,COUNT(Curvas_cupon_cero!$A:$A)-2,1),OFFSET(Curvas_cupon_cero!$A$1,1,MATCH($B$6,Curvas_cupon_cero!$1:$1,0)-1,COUNT(Curvas_cupon_cero!$A:$A)-2,1))))</f>
        <v/>
      </c>
      <c r="J163" s="19" t="str">
        <f>IF(A163="","",F163/(1+I163*$B$5/360)^(COUNT(A$16:A163)-($B$5-$G$16)/$B$5))</f>
        <v/>
      </c>
    </row>
    <row r="164" spans="1:10" x14ac:dyDescent="0.2">
      <c r="A164" s="12" t="str">
        <f t="shared" si="15"/>
        <v/>
      </c>
      <c r="B164" t="str">
        <f t="shared" si="13"/>
        <v/>
      </c>
      <c r="C164" s="21" t="str">
        <f ca="1">IF(A164="","",IF($B$8="Sí",interpolar_alamb(B164,OFFSET(Curvas_cupon_cero!$A$1,1,0,COUNT(Curvas_cupon_cero!$A:$A)-2,1),OFFSET(Curvas_cupon_cero!$A$1,1,MATCH($B$7,Curvas_cupon_cero!$1:$1,0)-1,COUNT(Curvas_cupon_cero!$A:$A)-2,1)),[1]!interpolar(B164,OFFSET(Curvas_cupon_cero!$A$1,1,0,COUNT(Curvas_cupon_cero!$A:$A)-2,1),OFFSET(Curvas_cupon_cero!$A$1,1,MATCH($B$7,Curvas_cupon_cero!$1:$1,0)-1,COUNT(Curvas_cupon_cero!$A:$A)-2,1))))</f>
        <v/>
      </c>
      <c r="D164" s="23" t="str">
        <f ca="1">IF(A164="","",IF($B$8="Sí",interpolar_alamb(H164,OFFSET(Curvas_cupon_cero!$A$1,1,0,COUNT(Curvas_cupon_cero!$A:$A)-2,1),OFFSET(Curvas_cupon_cero!$A$1,1,MATCH($B$7,Curvas_cupon_cero!$1:$1,0)-1,COUNT(Curvas_cupon_cero!$A:$A)-2,1)),[1]!interpolar(H164,OFFSET(Curvas_cupon_cero!$A$1,1,0,COUNT(Curvas_cupon_cero!$A:$A)-2,1),OFFSET(Curvas_cupon_cero!$A$1,1,MATCH($B$7,Curvas_cupon_cero!$1:$1,0)-1,COUNT(Curvas_cupon_cero!$A:$A)-2,1))))</f>
        <v/>
      </c>
      <c r="E164" s="23" t="str">
        <f t="shared" si="16"/>
        <v/>
      </c>
      <c r="F164" s="17" t="str">
        <f t="shared" si="14"/>
        <v/>
      </c>
      <c r="G164" s="18" t="str">
        <f t="shared" si="17"/>
        <v/>
      </c>
      <c r="H164" t="str">
        <f t="shared" si="18"/>
        <v/>
      </c>
      <c r="I164" s="23" t="str">
        <f ca="1">IF(A164="","",IF($B$8="Sí",interpolar_alamb(H164,OFFSET(Curvas_cupon_cero!$A$1,1,0,COUNT(Curvas_cupon_cero!$A:$A)-2,1),OFFSET(Curvas_cupon_cero!$A$1,1,MATCH($B$6,Curvas_cupon_cero!$1:$1,0)-1,COUNT(Curvas_cupon_cero!$A:$A)-2,1)),[1]!interpolar(H164,OFFSET(Curvas_cupon_cero!$A$1,1,0,COUNT(Curvas_cupon_cero!$A:$A)-2,1),OFFSET(Curvas_cupon_cero!$A$1,1,MATCH($B$6,Curvas_cupon_cero!$1:$1,0)-1,COUNT(Curvas_cupon_cero!$A:$A)-2,1))))</f>
        <v/>
      </c>
      <c r="J164" s="19" t="str">
        <f>IF(A164="","",F164/(1+I164*$B$5/360)^(COUNT(A$16:A164)-($B$5-$G$16)/$B$5))</f>
        <v/>
      </c>
    </row>
    <row r="165" spans="1:10" x14ac:dyDescent="0.2">
      <c r="A165" s="12" t="str">
        <f t="shared" si="15"/>
        <v/>
      </c>
      <c r="B165" t="str">
        <f t="shared" si="13"/>
        <v/>
      </c>
      <c r="C165" s="21" t="str">
        <f ca="1">IF(A165="","",IF($B$8="Sí",interpolar_alamb(B165,OFFSET(Curvas_cupon_cero!$A$1,1,0,COUNT(Curvas_cupon_cero!$A:$A)-2,1),OFFSET(Curvas_cupon_cero!$A$1,1,MATCH($B$7,Curvas_cupon_cero!$1:$1,0)-1,COUNT(Curvas_cupon_cero!$A:$A)-2,1)),[1]!interpolar(B165,OFFSET(Curvas_cupon_cero!$A$1,1,0,COUNT(Curvas_cupon_cero!$A:$A)-2,1),OFFSET(Curvas_cupon_cero!$A$1,1,MATCH($B$7,Curvas_cupon_cero!$1:$1,0)-1,COUNT(Curvas_cupon_cero!$A:$A)-2,1))))</f>
        <v/>
      </c>
      <c r="D165" s="23" t="str">
        <f ca="1">IF(A165="","",IF($B$8="Sí",interpolar_alamb(H165,OFFSET(Curvas_cupon_cero!$A$1,1,0,COUNT(Curvas_cupon_cero!$A:$A)-2,1),OFFSET(Curvas_cupon_cero!$A$1,1,MATCH($B$7,Curvas_cupon_cero!$1:$1,0)-1,COUNT(Curvas_cupon_cero!$A:$A)-2,1)),[1]!interpolar(H165,OFFSET(Curvas_cupon_cero!$A$1,1,0,COUNT(Curvas_cupon_cero!$A:$A)-2,1),OFFSET(Curvas_cupon_cero!$A$1,1,MATCH($B$7,Curvas_cupon_cero!$1:$1,0)-1,COUNT(Curvas_cupon_cero!$A:$A)-2,1))))</f>
        <v/>
      </c>
      <c r="E165" s="23" t="str">
        <f t="shared" si="16"/>
        <v/>
      </c>
      <c r="F165" s="17" t="str">
        <f t="shared" si="14"/>
        <v/>
      </c>
      <c r="G165" s="18" t="str">
        <f t="shared" si="17"/>
        <v/>
      </c>
      <c r="H165" t="str">
        <f t="shared" si="18"/>
        <v/>
      </c>
      <c r="I165" s="23" t="str">
        <f ca="1">IF(A165="","",IF($B$8="Sí",interpolar_alamb(H165,OFFSET(Curvas_cupon_cero!$A$1,1,0,COUNT(Curvas_cupon_cero!$A:$A)-2,1),OFFSET(Curvas_cupon_cero!$A$1,1,MATCH($B$6,Curvas_cupon_cero!$1:$1,0)-1,COUNT(Curvas_cupon_cero!$A:$A)-2,1)),[1]!interpolar(H165,OFFSET(Curvas_cupon_cero!$A$1,1,0,COUNT(Curvas_cupon_cero!$A:$A)-2,1),OFFSET(Curvas_cupon_cero!$A$1,1,MATCH($B$6,Curvas_cupon_cero!$1:$1,0)-1,COUNT(Curvas_cupon_cero!$A:$A)-2,1))))</f>
        <v/>
      </c>
      <c r="J165" s="19" t="str">
        <f>IF(A165="","",F165/(1+I165*$B$5/360)^(COUNT(A$16:A165)-($B$5-$G$16)/$B$5))</f>
        <v/>
      </c>
    </row>
    <row r="166" spans="1:10" x14ac:dyDescent="0.2">
      <c r="A166" s="12" t="str">
        <f t="shared" si="15"/>
        <v/>
      </c>
      <c r="B166" t="str">
        <f t="shared" si="13"/>
        <v/>
      </c>
      <c r="C166" s="21" t="str">
        <f ca="1">IF(A166="","",IF($B$8="Sí",interpolar_alamb(B166,OFFSET(Curvas_cupon_cero!$A$1,1,0,COUNT(Curvas_cupon_cero!$A:$A)-2,1),OFFSET(Curvas_cupon_cero!$A$1,1,MATCH($B$7,Curvas_cupon_cero!$1:$1,0)-1,COUNT(Curvas_cupon_cero!$A:$A)-2,1)),[1]!interpolar(B166,OFFSET(Curvas_cupon_cero!$A$1,1,0,COUNT(Curvas_cupon_cero!$A:$A)-2,1),OFFSET(Curvas_cupon_cero!$A$1,1,MATCH($B$7,Curvas_cupon_cero!$1:$1,0)-1,COUNT(Curvas_cupon_cero!$A:$A)-2,1))))</f>
        <v/>
      </c>
      <c r="D166" s="23" t="str">
        <f ca="1">IF(A166="","",IF($B$8="Sí",interpolar_alamb(H166,OFFSET(Curvas_cupon_cero!$A$1,1,0,COUNT(Curvas_cupon_cero!$A:$A)-2,1),OFFSET(Curvas_cupon_cero!$A$1,1,MATCH($B$7,Curvas_cupon_cero!$1:$1,0)-1,COUNT(Curvas_cupon_cero!$A:$A)-2,1)),[1]!interpolar(H166,OFFSET(Curvas_cupon_cero!$A$1,1,0,COUNT(Curvas_cupon_cero!$A:$A)-2,1),OFFSET(Curvas_cupon_cero!$A$1,1,MATCH($B$7,Curvas_cupon_cero!$1:$1,0)-1,COUNT(Curvas_cupon_cero!$A:$A)-2,1))))</f>
        <v/>
      </c>
      <c r="E166" s="23" t="str">
        <f t="shared" si="16"/>
        <v/>
      </c>
      <c r="F166" s="17" t="str">
        <f t="shared" si="14"/>
        <v/>
      </c>
      <c r="G166" s="18" t="str">
        <f t="shared" si="17"/>
        <v/>
      </c>
      <c r="H166" t="str">
        <f t="shared" si="18"/>
        <v/>
      </c>
      <c r="I166" s="23" t="str">
        <f ca="1">IF(A166="","",IF($B$8="Sí",interpolar_alamb(H166,OFFSET(Curvas_cupon_cero!$A$1,1,0,COUNT(Curvas_cupon_cero!$A:$A)-2,1),OFFSET(Curvas_cupon_cero!$A$1,1,MATCH($B$6,Curvas_cupon_cero!$1:$1,0)-1,COUNT(Curvas_cupon_cero!$A:$A)-2,1)),[1]!interpolar(H166,OFFSET(Curvas_cupon_cero!$A$1,1,0,COUNT(Curvas_cupon_cero!$A:$A)-2,1),OFFSET(Curvas_cupon_cero!$A$1,1,MATCH($B$6,Curvas_cupon_cero!$1:$1,0)-1,COUNT(Curvas_cupon_cero!$A:$A)-2,1))))</f>
        <v/>
      </c>
      <c r="J166" s="19" t="str">
        <f>IF(A166="","",F166/(1+I166*$B$5/360)^(COUNT(A$16:A166)-($B$5-$G$16)/$B$5))</f>
        <v/>
      </c>
    </row>
    <row r="167" spans="1:10" x14ac:dyDescent="0.2">
      <c r="A167" s="12" t="str">
        <f t="shared" si="15"/>
        <v/>
      </c>
      <c r="B167" t="str">
        <f t="shared" si="13"/>
        <v/>
      </c>
      <c r="C167" s="21" t="str">
        <f ca="1">IF(A167="","",IF($B$8="Sí",interpolar_alamb(B167,OFFSET(Curvas_cupon_cero!$A$1,1,0,COUNT(Curvas_cupon_cero!$A:$A)-2,1),OFFSET(Curvas_cupon_cero!$A$1,1,MATCH($B$7,Curvas_cupon_cero!$1:$1,0)-1,COUNT(Curvas_cupon_cero!$A:$A)-2,1)),[1]!interpolar(B167,OFFSET(Curvas_cupon_cero!$A$1,1,0,COUNT(Curvas_cupon_cero!$A:$A)-2,1),OFFSET(Curvas_cupon_cero!$A$1,1,MATCH($B$7,Curvas_cupon_cero!$1:$1,0)-1,COUNT(Curvas_cupon_cero!$A:$A)-2,1))))</f>
        <v/>
      </c>
      <c r="D167" s="23" t="str">
        <f ca="1">IF(A167="","",IF($B$8="Sí",interpolar_alamb(H167,OFFSET(Curvas_cupon_cero!$A$1,1,0,COUNT(Curvas_cupon_cero!$A:$A)-2,1),OFFSET(Curvas_cupon_cero!$A$1,1,MATCH($B$7,Curvas_cupon_cero!$1:$1,0)-1,COUNT(Curvas_cupon_cero!$A:$A)-2,1)),[1]!interpolar(H167,OFFSET(Curvas_cupon_cero!$A$1,1,0,COUNT(Curvas_cupon_cero!$A:$A)-2,1),OFFSET(Curvas_cupon_cero!$A$1,1,MATCH($B$7,Curvas_cupon_cero!$1:$1,0)-1,COUNT(Curvas_cupon_cero!$A:$A)-2,1))))</f>
        <v/>
      </c>
      <c r="E167" s="23" t="str">
        <f t="shared" si="16"/>
        <v/>
      </c>
      <c r="F167" s="17" t="str">
        <f t="shared" si="14"/>
        <v/>
      </c>
      <c r="G167" s="18" t="str">
        <f t="shared" si="17"/>
        <v/>
      </c>
      <c r="H167" t="str">
        <f t="shared" si="18"/>
        <v/>
      </c>
      <c r="I167" s="23" t="str">
        <f ca="1">IF(A167="","",IF($B$8="Sí",interpolar_alamb(H167,OFFSET(Curvas_cupon_cero!$A$1,1,0,COUNT(Curvas_cupon_cero!$A:$A)-2,1),OFFSET(Curvas_cupon_cero!$A$1,1,MATCH($B$6,Curvas_cupon_cero!$1:$1,0)-1,COUNT(Curvas_cupon_cero!$A:$A)-2,1)),[1]!interpolar(H167,OFFSET(Curvas_cupon_cero!$A$1,1,0,COUNT(Curvas_cupon_cero!$A:$A)-2,1),OFFSET(Curvas_cupon_cero!$A$1,1,MATCH($B$6,Curvas_cupon_cero!$1:$1,0)-1,COUNT(Curvas_cupon_cero!$A:$A)-2,1))))</f>
        <v/>
      </c>
      <c r="J167" s="19" t="str">
        <f>IF(A167="","",F167/(1+I167*$B$5/360)^(COUNT(A$16:A167)-($B$5-$G$16)/$B$5))</f>
        <v/>
      </c>
    </row>
    <row r="168" spans="1:10" x14ac:dyDescent="0.2">
      <c r="A168" s="12" t="str">
        <f t="shared" si="15"/>
        <v/>
      </c>
      <c r="B168" t="str">
        <f t="shared" si="13"/>
        <v/>
      </c>
      <c r="C168" s="21" t="str">
        <f ca="1">IF(A168="","",IF($B$8="Sí",interpolar_alamb(B168,OFFSET(Curvas_cupon_cero!$A$1,1,0,COUNT(Curvas_cupon_cero!$A:$A)-2,1),OFFSET(Curvas_cupon_cero!$A$1,1,MATCH($B$7,Curvas_cupon_cero!$1:$1,0)-1,COUNT(Curvas_cupon_cero!$A:$A)-2,1)),[1]!interpolar(B168,OFFSET(Curvas_cupon_cero!$A$1,1,0,COUNT(Curvas_cupon_cero!$A:$A)-2,1),OFFSET(Curvas_cupon_cero!$A$1,1,MATCH($B$7,Curvas_cupon_cero!$1:$1,0)-1,COUNT(Curvas_cupon_cero!$A:$A)-2,1))))</f>
        <v/>
      </c>
      <c r="D168" s="23" t="str">
        <f ca="1">IF(A168="","",IF($B$8="Sí",interpolar_alamb(H168,OFFSET(Curvas_cupon_cero!$A$1,1,0,COUNT(Curvas_cupon_cero!$A:$A)-2,1),OFFSET(Curvas_cupon_cero!$A$1,1,MATCH($B$7,Curvas_cupon_cero!$1:$1,0)-1,COUNT(Curvas_cupon_cero!$A:$A)-2,1)),[1]!interpolar(H168,OFFSET(Curvas_cupon_cero!$A$1,1,0,COUNT(Curvas_cupon_cero!$A:$A)-2,1),OFFSET(Curvas_cupon_cero!$A$1,1,MATCH($B$7,Curvas_cupon_cero!$1:$1,0)-1,COUNT(Curvas_cupon_cero!$A:$A)-2,1))))</f>
        <v/>
      </c>
      <c r="E168" s="23" t="str">
        <f t="shared" si="16"/>
        <v/>
      </c>
      <c r="F168" s="17" t="str">
        <f t="shared" si="14"/>
        <v/>
      </c>
      <c r="G168" s="18" t="str">
        <f t="shared" si="17"/>
        <v/>
      </c>
      <c r="H168" t="str">
        <f t="shared" si="18"/>
        <v/>
      </c>
      <c r="I168" s="23" t="str">
        <f ca="1">IF(A168="","",IF($B$8="Sí",interpolar_alamb(H168,OFFSET(Curvas_cupon_cero!$A$1,1,0,COUNT(Curvas_cupon_cero!$A:$A)-2,1),OFFSET(Curvas_cupon_cero!$A$1,1,MATCH($B$6,Curvas_cupon_cero!$1:$1,0)-1,COUNT(Curvas_cupon_cero!$A:$A)-2,1)),[1]!interpolar(H168,OFFSET(Curvas_cupon_cero!$A$1,1,0,COUNT(Curvas_cupon_cero!$A:$A)-2,1),OFFSET(Curvas_cupon_cero!$A$1,1,MATCH($B$6,Curvas_cupon_cero!$1:$1,0)-1,COUNT(Curvas_cupon_cero!$A:$A)-2,1))))</f>
        <v/>
      </c>
      <c r="J168" s="19" t="str">
        <f>IF(A168="","",F168/(1+I168*$B$5/360)^(COUNT(A$16:A168)-($B$5-$G$16)/$B$5))</f>
        <v/>
      </c>
    </row>
    <row r="169" spans="1:10" x14ac:dyDescent="0.2">
      <c r="A169" s="12" t="str">
        <f t="shared" si="15"/>
        <v/>
      </c>
      <c r="B169" t="str">
        <f t="shared" si="13"/>
        <v/>
      </c>
      <c r="C169" s="21" t="str">
        <f ca="1">IF(A169="","",IF($B$8="Sí",interpolar_alamb(B169,OFFSET(Curvas_cupon_cero!$A$1,1,0,COUNT(Curvas_cupon_cero!$A:$A)-2,1),OFFSET(Curvas_cupon_cero!$A$1,1,MATCH($B$7,Curvas_cupon_cero!$1:$1,0)-1,COUNT(Curvas_cupon_cero!$A:$A)-2,1)),[1]!interpolar(B169,OFFSET(Curvas_cupon_cero!$A$1,1,0,COUNT(Curvas_cupon_cero!$A:$A)-2,1),OFFSET(Curvas_cupon_cero!$A$1,1,MATCH($B$7,Curvas_cupon_cero!$1:$1,0)-1,COUNT(Curvas_cupon_cero!$A:$A)-2,1))))</f>
        <v/>
      </c>
      <c r="D169" s="23" t="str">
        <f ca="1">IF(A169="","",IF($B$8="Sí",interpolar_alamb(H169,OFFSET(Curvas_cupon_cero!$A$1,1,0,COUNT(Curvas_cupon_cero!$A:$A)-2,1),OFFSET(Curvas_cupon_cero!$A$1,1,MATCH($B$7,Curvas_cupon_cero!$1:$1,0)-1,COUNT(Curvas_cupon_cero!$A:$A)-2,1)),[1]!interpolar(H169,OFFSET(Curvas_cupon_cero!$A$1,1,0,COUNT(Curvas_cupon_cero!$A:$A)-2,1),OFFSET(Curvas_cupon_cero!$A$1,1,MATCH($B$7,Curvas_cupon_cero!$1:$1,0)-1,COUNT(Curvas_cupon_cero!$A:$A)-2,1))))</f>
        <v/>
      </c>
      <c r="E169" s="23" t="str">
        <f t="shared" si="16"/>
        <v/>
      </c>
      <c r="F169" s="17" t="str">
        <f t="shared" si="14"/>
        <v/>
      </c>
      <c r="G169" s="18" t="str">
        <f t="shared" si="17"/>
        <v/>
      </c>
      <c r="H169" t="str">
        <f t="shared" si="18"/>
        <v/>
      </c>
      <c r="I169" s="23" t="str">
        <f ca="1">IF(A169="","",IF($B$8="Sí",interpolar_alamb(H169,OFFSET(Curvas_cupon_cero!$A$1,1,0,COUNT(Curvas_cupon_cero!$A:$A)-2,1),OFFSET(Curvas_cupon_cero!$A$1,1,MATCH($B$6,Curvas_cupon_cero!$1:$1,0)-1,COUNT(Curvas_cupon_cero!$A:$A)-2,1)),[1]!interpolar(H169,OFFSET(Curvas_cupon_cero!$A$1,1,0,COUNT(Curvas_cupon_cero!$A:$A)-2,1),OFFSET(Curvas_cupon_cero!$A$1,1,MATCH($B$6,Curvas_cupon_cero!$1:$1,0)-1,COUNT(Curvas_cupon_cero!$A:$A)-2,1))))</f>
        <v/>
      </c>
      <c r="J169" s="19" t="str">
        <f>IF(A169="","",F169/(1+I169*$B$5/360)^(COUNT(A$16:A169)-($B$5-$G$16)/$B$5))</f>
        <v/>
      </c>
    </row>
    <row r="170" spans="1:10" x14ac:dyDescent="0.2">
      <c r="A170" s="12" t="str">
        <f t="shared" si="15"/>
        <v/>
      </c>
      <c r="B170" t="str">
        <f t="shared" si="13"/>
        <v/>
      </c>
      <c r="C170" s="21" t="str">
        <f ca="1">IF(A170="","",IF($B$8="Sí",interpolar_alamb(B170,OFFSET(Curvas_cupon_cero!$A$1,1,0,COUNT(Curvas_cupon_cero!$A:$A)-2,1),OFFSET(Curvas_cupon_cero!$A$1,1,MATCH($B$7,Curvas_cupon_cero!$1:$1,0)-1,COUNT(Curvas_cupon_cero!$A:$A)-2,1)),[1]!interpolar(B170,OFFSET(Curvas_cupon_cero!$A$1,1,0,COUNT(Curvas_cupon_cero!$A:$A)-2,1),OFFSET(Curvas_cupon_cero!$A$1,1,MATCH($B$7,Curvas_cupon_cero!$1:$1,0)-1,COUNT(Curvas_cupon_cero!$A:$A)-2,1))))</f>
        <v/>
      </c>
      <c r="D170" s="23" t="str">
        <f ca="1">IF(A170="","",IF($B$8="Sí",interpolar_alamb(H170,OFFSET(Curvas_cupon_cero!$A$1,1,0,COUNT(Curvas_cupon_cero!$A:$A)-2,1),OFFSET(Curvas_cupon_cero!$A$1,1,MATCH($B$7,Curvas_cupon_cero!$1:$1,0)-1,COUNT(Curvas_cupon_cero!$A:$A)-2,1)),[1]!interpolar(H170,OFFSET(Curvas_cupon_cero!$A$1,1,0,COUNT(Curvas_cupon_cero!$A:$A)-2,1),OFFSET(Curvas_cupon_cero!$A$1,1,MATCH($B$7,Curvas_cupon_cero!$1:$1,0)-1,COUNT(Curvas_cupon_cero!$A:$A)-2,1))))</f>
        <v/>
      </c>
      <c r="E170" s="23" t="str">
        <f t="shared" si="16"/>
        <v/>
      </c>
      <c r="F170" s="17" t="str">
        <f t="shared" si="14"/>
        <v/>
      </c>
      <c r="G170" s="18" t="str">
        <f t="shared" si="17"/>
        <v/>
      </c>
      <c r="H170" t="str">
        <f t="shared" si="18"/>
        <v/>
      </c>
      <c r="I170" s="23" t="str">
        <f ca="1">IF(A170="","",IF($B$8="Sí",interpolar_alamb(H170,OFFSET(Curvas_cupon_cero!$A$1,1,0,COUNT(Curvas_cupon_cero!$A:$A)-2,1),OFFSET(Curvas_cupon_cero!$A$1,1,MATCH($B$6,Curvas_cupon_cero!$1:$1,0)-1,COUNT(Curvas_cupon_cero!$A:$A)-2,1)),[1]!interpolar(H170,OFFSET(Curvas_cupon_cero!$A$1,1,0,COUNT(Curvas_cupon_cero!$A:$A)-2,1),OFFSET(Curvas_cupon_cero!$A$1,1,MATCH($B$6,Curvas_cupon_cero!$1:$1,0)-1,COUNT(Curvas_cupon_cero!$A:$A)-2,1))))</f>
        <v/>
      </c>
      <c r="J170" s="19" t="str">
        <f>IF(A170="","",F170/(1+I170*$B$5/360)^(COUNT(A$16:A170)-($B$5-$G$16)/$B$5))</f>
        <v/>
      </c>
    </row>
    <row r="171" spans="1:10" x14ac:dyDescent="0.2">
      <c r="A171" s="12" t="str">
        <f t="shared" si="15"/>
        <v/>
      </c>
      <c r="B171" t="str">
        <f t="shared" si="13"/>
        <v/>
      </c>
      <c r="C171" s="21" t="str">
        <f ca="1">IF(A171="","",IF($B$8="Sí",interpolar_alamb(B171,OFFSET(Curvas_cupon_cero!$A$1,1,0,COUNT(Curvas_cupon_cero!$A:$A)-2,1),OFFSET(Curvas_cupon_cero!$A$1,1,MATCH($B$7,Curvas_cupon_cero!$1:$1,0)-1,COUNT(Curvas_cupon_cero!$A:$A)-2,1)),[1]!interpolar(B171,OFFSET(Curvas_cupon_cero!$A$1,1,0,COUNT(Curvas_cupon_cero!$A:$A)-2,1),OFFSET(Curvas_cupon_cero!$A$1,1,MATCH($B$7,Curvas_cupon_cero!$1:$1,0)-1,COUNT(Curvas_cupon_cero!$A:$A)-2,1))))</f>
        <v/>
      </c>
      <c r="D171" s="23" t="str">
        <f ca="1">IF(A171="","",IF($B$8="Sí",interpolar_alamb(H171,OFFSET(Curvas_cupon_cero!$A$1,1,0,COUNT(Curvas_cupon_cero!$A:$A)-2,1),OFFSET(Curvas_cupon_cero!$A$1,1,MATCH($B$7,Curvas_cupon_cero!$1:$1,0)-1,COUNT(Curvas_cupon_cero!$A:$A)-2,1)),[1]!interpolar(H171,OFFSET(Curvas_cupon_cero!$A$1,1,0,COUNT(Curvas_cupon_cero!$A:$A)-2,1),OFFSET(Curvas_cupon_cero!$A$1,1,MATCH($B$7,Curvas_cupon_cero!$1:$1,0)-1,COUNT(Curvas_cupon_cero!$A:$A)-2,1))))</f>
        <v/>
      </c>
      <c r="E171" s="23" t="str">
        <f t="shared" si="16"/>
        <v/>
      </c>
      <c r="F171" s="17" t="str">
        <f t="shared" si="14"/>
        <v/>
      </c>
      <c r="G171" s="18" t="str">
        <f t="shared" si="17"/>
        <v/>
      </c>
      <c r="H171" t="str">
        <f t="shared" si="18"/>
        <v/>
      </c>
      <c r="I171" s="23" t="str">
        <f ca="1">IF(A171="","",IF($B$8="Sí",interpolar_alamb(H171,OFFSET(Curvas_cupon_cero!$A$1,1,0,COUNT(Curvas_cupon_cero!$A:$A)-2,1),OFFSET(Curvas_cupon_cero!$A$1,1,MATCH($B$6,Curvas_cupon_cero!$1:$1,0)-1,COUNT(Curvas_cupon_cero!$A:$A)-2,1)),[1]!interpolar(H171,OFFSET(Curvas_cupon_cero!$A$1,1,0,COUNT(Curvas_cupon_cero!$A:$A)-2,1),OFFSET(Curvas_cupon_cero!$A$1,1,MATCH($B$6,Curvas_cupon_cero!$1:$1,0)-1,COUNT(Curvas_cupon_cero!$A:$A)-2,1))))</f>
        <v/>
      </c>
      <c r="J171" s="19" t="str">
        <f>IF(A171="","",F171/(1+I171*$B$5/360)^(COUNT(A$16:A171)-($B$5-$G$16)/$B$5))</f>
        <v/>
      </c>
    </row>
    <row r="172" spans="1:10" x14ac:dyDescent="0.2">
      <c r="A172" s="12" t="str">
        <f t="shared" si="15"/>
        <v/>
      </c>
      <c r="B172" t="str">
        <f t="shared" si="13"/>
        <v/>
      </c>
      <c r="C172" s="21" t="str">
        <f ca="1">IF(A172="","",IF($B$8="Sí",interpolar_alamb(B172,OFFSET(Curvas_cupon_cero!$A$1,1,0,COUNT(Curvas_cupon_cero!$A:$A)-2,1),OFFSET(Curvas_cupon_cero!$A$1,1,MATCH($B$7,Curvas_cupon_cero!$1:$1,0)-1,COUNT(Curvas_cupon_cero!$A:$A)-2,1)),[1]!interpolar(B172,OFFSET(Curvas_cupon_cero!$A$1,1,0,COUNT(Curvas_cupon_cero!$A:$A)-2,1),OFFSET(Curvas_cupon_cero!$A$1,1,MATCH($B$7,Curvas_cupon_cero!$1:$1,0)-1,COUNT(Curvas_cupon_cero!$A:$A)-2,1))))</f>
        <v/>
      </c>
      <c r="D172" s="23" t="str">
        <f ca="1">IF(A172="","",IF($B$8="Sí",interpolar_alamb(H172,OFFSET(Curvas_cupon_cero!$A$1,1,0,COUNT(Curvas_cupon_cero!$A:$A)-2,1),OFFSET(Curvas_cupon_cero!$A$1,1,MATCH($B$7,Curvas_cupon_cero!$1:$1,0)-1,COUNT(Curvas_cupon_cero!$A:$A)-2,1)),[1]!interpolar(H172,OFFSET(Curvas_cupon_cero!$A$1,1,0,COUNT(Curvas_cupon_cero!$A:$A)-2,1),OFFSET(Curvas_cupon_cero!$A$1,1,MATCH($B$7,Curvas_cupon_cero!$1:$1,0)-1,COUNT(Curvas_cupon_cero!$A:$A)-2,1))))</f>
        <v/>
      </c>
      <c r="E172" s="23" t="str">
        <f t="shared" si="16"/>
        <v/>
      </c>
      <c r="F172" s="17" t="str">
        <f t="shared" si="14"/>
        <v/>
      </c>
      <c r="G172" s="18" t="str">
        <f t="shared" si="17"/>
        <v/>
      </c>
      <c r="H172" t="str">
        <f t="shared" si="18"/>
        <v/>
      </c>
      <c r="I172" s="23" t="str">
        <f ca="1">IF(A172="","",IF($B$8="Sí",interpolar_alamb(H172,OFFSET(Curvas_cupon_cero!$A$1,1,0,COUNT(Curvas_cupon_cero!$A:$A)-2,1),OFFSET(Curvas_cupon_cero!$A$1,1,MATCH($B$6,Curvas_cupon_cero!$1:$1,0)-1,COUNT(Curvas_cupon_cero!$A:$A)-2,1)),[1]!interpolar(H172,OFFSET(Curvas_cupon_cero!$A$1,1,0,COUNT(Curvas_cupon_cero!$A:$A)-2,1),OFFSET(Curvas_cupon_cero!$A$1,1,MATCH($B$6,Curvas_cupon_cero!$1:$1,0)-1,COUNT(Curvas_cupon_cero!$A:$A)-2,1))))</f>
        <v/>
      </c>
      <c r="J172" s="19" t="str">
        <f>IF(A172="","",F172/(1+I172*$B$5/360)^(COUNT(A$16:A172)-($B$5-$G$16)/$B$5))</f>
        <v/>
      </c>
    </row>
    <row r="173" spans="1:10" x14ac:dyDescent="0.2">
      <c r="A173" s="12" t="str">
        <f t="shared" si="15"/>
        <v/>
      </c>
      <c r="B173" t="str">
        <f t="shared" si="13"/>
        <v/>
      </c>
      <c r="C173" s="21" t="str">
        <f ca="1">IF(A173="","",IF($B$8="Sí",interpolar_alamb(B173,OFFSET(Curvas_cupon_cero!$A$1,1,0,COUNT(Curvas_cupon_cero!$A:$A)-2,1),OFFSET(Curvas_cupon_cero!$A$1,1,MATCH($B$7,Curvas_cupon_cero!$1:$1,0)-1,COUNT(Curvas_cupon_cero!$A:$A)-2,1)),[1]!interpolar(B173,OFFSET(Curvas_cupon_cero!$A$1,1,0,COUNT(Curvas_cupon_cero!$A:$A)-2,1),OFFSET(Curvas_cupon_cero!$A$1,1,MATCH($B$7,Curvas_cupon_cero!$1:$1,0)-1,COUNT(Curvas_cupon_cero!$A:$A)-2,1))))</f>
        <v/>
      </c>
      <c r="D173" s="23" t="str">
        <f ca="1">IF(A173="","",IF($B$8="Sí",interpolar_alamb(H173,OFFSET(Curvas_cupon_cero!$A$1,1,0,COUNT(Curvas_cupon_cero!$A:$A)-2,1),OFFSET(Curvas_cupon_cero!$A$1,1,MATCH($B$7,Curvas_cupon_cero!$1:$1,0)-1,COUNT(Curvas_cupon_cero!$A:$A)-2,1)),[1]!interpolar(H173,OFFSET(Curvas_cupon_cero!$A$1,1,0,COUNT(Curvas_cupon_cero!$A:$A)-2,1),OFFSET(Curvas_cupon_cero!$A$1,1,MATCH($B$7,Curvas_cupon_cero!$1:$1,0)-1,COUNT(Curvas_cupon_cero!$A:$A)-2,1))))</f>
        <v/>
      </c>
      <c r="E173" s="23" t="str">
        <f t="shared" si="16"/>
        <v/>
      </c>
      <c r="F173" s="17" t="str">
        <f t="shared" si="14"/>
        <v/>
      </c>
      <c r="G173" s="18" t="str">
        <f t="shared" si="17"/>
        <v/>
      </c>
      <c r="H173" t="str">
        <f t="shared" si="18"/>
        <v/>
      </c>
      <c r="I173" s="23" t="str">
        <f ca="1">IF(A173="","",IF($B$8="Sí",interpolar_alamb(H173,OFFSET(Curvas_cupon_cero!$A$1,1,0,COUNT(Curvas_cupon_cero!$A:$A)-2,1),OFFSET(Curvas_cupon_cero!$A$1,1,MATCH($B$6,Curvas_cupon_cero!$1:$1,0)-1,COUNT(Curvas_cupon_cero!$A:$A)-2,1)),[1]!interpolar(H173,OFFSET(Curvas_cupon_cero!$A$1,1,0,COUNT(Curvas_cupon_cero!$A:$A)-2,1),OFFSET(Curvas_cupon_cero!$A$1,1,MATCH($B$6,Curvas_cupon_cero!$1:$1,0)-1,COUNT(Curvas_cupon_cero!$A:$A)-2,1))))</f>
        <v/>
      </c>
      <c r="J173" s="19" t="str">
        <f>IF(A173="","",F173/(1+I173*$B$5/360)^(COUNT(A$16:A173)-($B$5-$G$16)/$B$5))</f>
        <v/>
      </c>
    </row>
    <row r="174" spans="1:10" x14ac:dyDescent="0.2">
      <c r="A174" s="12" t="str">
        <f t="shared" si="15"/>
        <v/>
      </c>
      <c r="B174" t="str">
        <f t="shared" si="13"/>
        <v/>
      </c>
      <c r="C174" s="21" t="str">
        <f ca="1">IF(A174="","",IF($B$8="Sí",interpolar_alamb(B174,OFFSET(Curvas_cupon_cero!$A$1,1,0,COUNT(Curvas_cupon_cero!$A:$A)-2,1),OFFSET(Curvas_cupon_cero!$A$1,1,MATCH($B$7,Curvas_cupon_cero!$1:$1,0)-1,COUNT(Curvas_cupon_cero!$A:$A)-2,1)),[1]!interpolar(B174,OFFSET(Curvas_cupon_cero!$A$1,1,0,COUNT(Curvas_cupon_cero!$A:$A)-2,1),OFFSET(Curvas_cupon_cero!$A$1,1,MATCH($B$7,Curvas_cupon_cero!$1:$1,0)-1,COUNT(Curvas_cupon_cero!$A:$A)-2,1))))</f>
        <v/>
      </c>
      <c r="D174" s="23" t="str">
        <f ca="1">IF(A174="","",IF($B$8="Sí",interpolar_alamb(H174,OFFSET(Curvas_cupon_cero!$A$1,1,0,COUNT(Curvas_cupon_cero!$A:$A)-2,1),OFFSET(Curvas_cupon_cero!$A$1,1,MATCH($B$7,Curvas_cupon_cero!$1:$1,0)-1,COUNT(Curvas_cupon_cero!$A:$A)-2,1)),[1]!interpolar(H174,OFFSET(Curvas_cupon_cero!$A$1,1,0,COUNT(Curvas_cupon_cero!$A:$A)-2,1),OFFSET(Curvas_cupon_cero!$A$1,1,MATCH($B$7,Curvas_cupon_cero!$1:$1,0)-1,COUNT(Curvas_cupon_cero!$A:$A)-2,1))))</f>
        <v/>
      </c>
      <c r="E174" s="23" t="str">
        <f t="shared" si="16"/>
        <v/>
      </c>
      <c r="F174" s="17" t="str">
        <f t="shared" si="14"/>
        <v/>
      </c>
      <c r="G174" s="18" t="str">
        <f t="shared" si="17"/>
        <v/>
      </c>
      <c r="H174" t="str">
        <f t="shared" si="18"/>
        <v/>
      </c>
      <c r="I174" s="23" t="str">
        <f ca="1">IF(A174="","",IF($B$8="Sí",interpolar_alamb(H174,OFFSET(Curvas_cupon_cero!$A$1,1,0,COUNT(Curvas_cupon_cero!$A:$A)-2,1),OFFSET(Curvas_cupon_cero!$A$1,1,MATCH($B$6,Curvas_cupon_cero!$1:$1,0)-1,COUNT(Curvas_cupon_cero!$A:$A)-2,1)),[1]!interpolar(H174,OFFSET(Curvas_cupon_cero!$A$1,1,0,COUNT(Curvas_cupon_cero!$A:$A)-2,1),OFFSET(Curvas_cupon_cero!$A$1,1,MATCH($B$6,Curvas_cupon_cero!$1:$1,0)-1,COUNT(Curvas_cupon_cero!$A:$A)-2,1))))</f>
        <v/>
      </c>
      <c r="J174" s="19" t="str">
        <f>IF(A174="","",F174/(1+I174*$B$5/360)^(COUNT(A$16:A174)-($B$5-$G$16)/$B$5))</f>
        <v/>
      </c>
    </row>
    <row r="175" spans="1:10" x14ac:dyDescent="0.2">
      <c r="A175" s="12" t="str">
        <f t="shared" si="15"/>
        <v/>
      </c>
      <c r="B175" t="str">
        <f t="shared" si="13"/>
        <v/>
      </c>
      <c r="C175" s="21" t="str">
        <f ca="1">IF(A175="","",IF($B$8="Sí",interpolar_alamb(B175,OFFSET(Curvas_cupon_cero!$A$1,1,0,COUNT(Curvas_cupon_cero!$A:$A)-2,1),OFFSET(Curvas_cupon_cero!$A$1,1,MATCH($B$7,Curvas_cupon_cero!$1:$1,0)-1,COUNT(Curvas_cupon_cero!$A:$A)-2,1)),[1]!interpolar(B175,OFFSET(Curvas_cupon_cero!$A$1,1,0,COUNT(Curvas_cupon_cero!$A:$A)-2,1),OFFSET(Curvas_cupon_cero!$A$1,1,MATCH($B$7,Curvas_cupon_cero!$1:$1,0)-1,COUNT(Curvas_cupon_cero!$A:$A)-2,1))))</f>
        <v/>
      </c>
      <c r="D175" s="23" t="str">
        <f ca="1">IF(A175="","",IF($B$8="Sí",interpolar_alamb(H175,OFFSET(Curvas_cupon_cero!$A$1,1,0,COUNT(Curvas_cupon_cero!$A:$A)-2,1),OFFSET(Curvas_cupon_cero!$A$1,1,MATCH($B$7,Curvas_cupon_cero!$1:$1,0)-1,COUNT(Curvas_cupon_cero!$A:$A)-2,1)),[1]!interpolar(H175,OFFSET(Curvas_cupon_cero!$A$1,1,0,COUNT(Curvas_cupon_cero!$A:$A)-2,1),OFFSET(Curvas_cupon_cero!$A$1,1,MATCH($B$7,Curvas_cupon_cero!$1:$1,0)-1,COUNT(Curvas_cupon_cero!$A:$A)-2,1))))</f>
        <v/>
      </c>
      <c r="E175" s="23" t="str">
        <f t="shared" si="16"/>
        <v/>
      </c>
      <c r="F175" s="17" t="str">
        <f t="shared" si="14"/>
        <v/>
      </c>
      <c r="G175" s="18" t="str">
        <f t="shared" si="17"/>
        <v/>
      </c>
      <c r="H175" t="str">
        <f t="shared" si="18"/>
        <v/>
      </c>
      <c r="I175" s="23" t="str">
        <f ca="1">IF(A175="","",IF($B$8="Sí",interpolar_alamb(H175,OFFSET(Curvas_cupon_cero!$A$1,1,0,COUNT(Curvas_cupon_cero!$A:$A)-2,1),OFFSET(Curvas_cupon_cero!$A$1,1,MATCH($B$6,Curvas_cupon_cero!$1:$1,0)-1,COUNT(Curvas_cupon_cero!$A:$A)-2,1)),[1]!interpolar(H175,OFFSET(Curvas_cupon_cero!$A$1,1,0,COUNT(Curvas_cupon_cero!$A:$A)-2,1),OFFSET(Curvas_cupon_cero!$A$1,1,MATCH($B$6,Curvas_cupon_cero!$1:$1,0)-1,COUNT(Curvas_cupon_cero!$A:$A)-2,1))))</f>
        <v/>
      </c>
      <c r="J175" s="19" t="str">
        <f>IF(A175="","",F175/(1+I175*$B$5/360)^(COUNT(A$16:A175)-($B$5-$G$16)/$B$5))</f>
        <v/>
      </c>
    </row>
    <row r="176" spans="1:10" x14ac:dyDescent="0.2">
      <c r="A176" s="12" t="str">
        <f t="shared" si="15"/>
        <v/>
      </c>
      <c r="B176" t="str">
        <f t="shared" si="13"/>
        <v/>
      </c>
      <c r="C176" s="21" t="str">
        <f ca="1">IF(A176="","",IF($B$8="Sí",interpolar_alamb(B176,OFFSET(Curvas_cupon_cero!$A$1,1,0,COUNT(Curvas_cupon_cero!$A:$A)-2,1),OFFSET(Curvas_cupon_cero!$A$1,1,MATCH($B$7,Curvas_cupon_cero!$1:$1,0)-1,COUNT(Curvas_cupon_cero!$A:$A)-2,1)),[1]!interpolar(B176,OFFSET(Curvas_cupon_cero!$A$1,1,0,COUNT(Curvas_cupon_cero!$A:$A)-2,1),OFFSET(Curvas_cupon_cero!$A$1,1,MATCH($B$7,Curvas_cupon_cero!$1:$1,0)-1,COUNT(Curvas_cupon_cero!$A:$A)-2,1))))</f>
        <v/>
      </c>
      <c r="D176" s="23" t="str">
        <f ca="1">IF(A176="","",IF($B$8="Sí",interpolar_alamb(H176,OFFSET(Curvas_cupon_cero!$A$1,1,0,COUNT(Curvas_cupon_cero!$A:$A)-2,1),OFFSET(Curvas_cupon_cero!$A$1,1,MATCH($B$7,Curvas_cupon_cero!$1:$1,0)-1,COUNT(Curvas_cupon_cero!$A:$A)-2,1)),[1]!interpolar(H176,OFFSET(Curvas_cupon_cero!$A$1,1,0,COUNT(Curvas_cupon_cero!$A:$A)-2,1),OFFSET(Curvas_cupon_cero!$A$1,1,MATCH($B$7,Curvas_cupon_cero!$1:$1,0)-1,COUNT(Curvas_cupon_cero!$A:$A)-2,1))))</f>
        <v/>
      </c>
      <c r="E176" s="23" t="str">
        <f t="shared" si="16"/>
        <v/>
      </c>
      <c r="F176" s="17" t="str">
        <f t="shared" si="14"/>
        <v/>
      </c>
      <c r="G176" s="18" t="str">
        <f t="shared" si="17"/>
        <v/>
      </c>
      <c r="H176" t="str">
        <f t="shared" si="18"/>
        <v/>
      </c>
      <c r="I176" s="23" t="str">
        <f ca="1">IF(A176="","",IF($B$8="Sí",interpolar_alamb(H176,OFFSET(Curvas_cupon_cero!$A$1,1,0,COUNT(Curvas_cupon_cero!$A:$A)-2,1),OFFSET(Curvas_cupon_cero!$A$1,1,MATCH($B$6,Curvas_cupon_cero!$1:$1,0)-1,COUNT(Curvas_cupon_cero!$A:$A)-2,1)),[1]!interpolar(H176,OFFSET(Curvas_cupon_cero!$A$1,1,0,COUNT(Curvas_cupon_cero!$A:$A)-2,1),OFFSET(Curvas_cupon_cero!$A$1,1,MATCH($B$6,Curvas_cupon_cero!$1:$1,0)-1,COUNT(Curvas_cupon_cero!$A:$A)-2,1))))</f>
        <v/>
      </c>
      <c r="J176" s="19" t="str">
        <f>IF(A176="","",F176/(1+I176*$B$5/360)^(COUNT(A$16:A176)-($B$5-$G$16)/$B$5))</f>
        <v/>
      </c>
    </row>
    <row r="177" spans="1:10" x14ac:dyDescent="0.2">
      <c r="A177" s="12" t="str">
        <f t="shared" si="15"/>
        <v/>
      </c>
      <c r="B177" t="str">
        <f t="shared" si="13"/>
        <v/>
      </c>
      <c r="C177" s="21" t="str">
        <f ca="1">IF(A177="","",IF($B$8="Sí",interpolar_alamb(B177,OFFSET(Curvas_cupon_cero!$A$1,1,0,COUNT(Curvas_cupon_cero!$A:$A)-2,1),OFFSET(Curvas_cupon_cero!$A$1,1,MATCH($B$7,Curvas_cupon_cero!$1:$1,0)-1,COUNT(Curvas_cupon_cero!$A:$A)-2,1)),[1]!interpolar(B177,OFFSET(Curvas_cupon_cero!$A$1,1,0,COUNT(Curvas_cupon_cero!$A:$A)-2,1),OFFSET(Curvas_cupon_cero!$A$1,1,MATCH($B$7,Curvas_cupon_cero!$1:$1,0)-1,COUNT(Curvas_cupon_cero!$A:$A)-2,1))))</f>
        <v/>
      </c>
      <c r="D177" s="23" t="str">
        <f ca="1">IF(A177="","",IF($B$8="Sí",interpolar_alamb(H177,OFFSET(Curvas_cupon_cero!$A$1,1,0,COUNT(Curvas_cupon_cero!$A:$A)-2,1),OFFSET(Curvas_cupon_cero!$A$1,1,MATCH($B$7,Curvas_cupon_cero!$1:$1,0)-1,COUNT(Curvas_cupon_cero!$A:$A)-2,1)),[1]!interpolar(H177,OFFSET(Curvas_cupon_cero!$A$1,1,0,COUNT(Curvas_cupon_cero!$A:$A)-2,1),OFFSET(Curvas_cupon_cero!$A$1,1,MATCH($B$7,Curvas_cupon_cero!$1:$1,0)-1,COUNT(Curvas_cupon_cero!$A:$A)-2,1))))</f>
        <v/>
      </c>
      <c r="E177" s="23" t="str">
        <f t="shared" si="16"/>
        <v/>
      </c>
      <c r="F177" s="17" t="str">
        <f t="shared" si="14"/>
        <v/>
      </c>
      <c r="G177" s="18" t="str">
        <f t="shared" si="17"/>
        <v/>
      </c>
      <c r="H177" t="str">
        <f t="shared" si="18"/>
        <v/>
      </c>
      <c r="I177" s="23" t="str">
        <f ca="1">IF(A177="","",IF($B$8="Sí",interpolar_alamb(H177,OFFSET(Curvas_cupon_cero!$A$1,1,0,COUNT(Curvas_cupon_cero!$A:$A)-2,1),OFFSET(Curvas_cupon_cero!$A$1,1,MATCH($B$6,Curvas_cupon_cero!$1:$1,0)-1,COUNT(Curvas_cupon_cero!$A:$A)-2,1)),[1]!interpolar(H177,OFFSET(Curvas_cupon_cero!$A$1,1,0,COUNT(Curvas_cupon_cero!$A:$A)-2,1),OFFSET(Curvas_cupon_cero!$A$1,1,MATCH($B$6,Curvas_cupon_cero!$1:$1,0)-1,COUNT(Curvas_cupon_cero!$A:$A)-2,1))))</f>
        <v/>
      </c>
      <c r="J177" s="19" t="str">
        <f>IF(A177="","",F177/(1+I177*$B$5/360)^(COUNT(A$16:A177)-($B$5-$G$16)/$B$5))</f>
        <v/>
      </c>
    </row>
    <row r="178" spans="1:10" x14ac:dyDescent="0.2">
      <c r="A178" s="12" t="str">
        <f t="shared" si="15"/>
        <v/>
      </c>
      <c r="B178" t="str">
        <f t="shared" si="13"/>
        <v/>
      </c>
      <c r="C178" s="21" t="str">
        <f ca="1">IF(A178="","",IF($B$8="Sí",interpolar_alamb(B178,OFFSET(Curvas_cupon_cero!$A$1,1,0,COUNT(Curvas_cupon_cero!$A:$A)-2,1),OFFSET(Curvas_cupon_cero!$A$1,1,MATCH($B$7,Curvas_cupon_cero!$1:$1,0)-1,COUNT(Curvas_cupon_cero!$A:$A)-2,1)),[1]!interpolar(B178,OFFSET(Curvas_cupon_cero!$A$1,1,0,COUNT(Curvas_cupon_cero!$A:$A)-2,1),OFFSET(Curvas_cupon_cero!$A$1,1,MATCH($B$7,Curvas_cupon_cero!$1:$1,0)-1,COUNT(Curvas_cupon_cero!$A:$A)-2,1))))</f>
        <v/>
      </c>
      <c r="D178" s="23" t="str">
        <f ca="1">IF(A178="","",IF($B$8="Sí",interpolar_alamb(H178,OFFSET(Curvas_cupon_cero!$A$1,1,0,COUNT(Curvas_cupon_cero!$A:$A)-2,1),OFFSET(Curvas_cupon_cero!$A$1,1,MATCH($B$7,Curvas_cupon_cero!$1:$1,0)-1,COUNT(Curvas_cupon_cero!$A:$A)-2,1)),[1]!interpolar(H178,OFFSET(Curvas_cupon_cero!$A$1,1,0,COUNT(Curvas_cupon_cero!$A:$A)-2,1),OFFSET(Curvas_cupon_cero!$A$1,1,MATCH($B$7,Curvas_cupon_cero!$1:$1,0)-1,COUNT(Curvas_cupon_cero!$A:$A)-2,1))))</f>
        <v/>
      </c>
      <c r="E178" s="23" t="str">
        <f t="shared" si="16"/>
        <v/>
      </c>
      <c r="F178" s="17" t="str">
        <f t="shared" si="14"/>
        <v/>
      </c>
      <c r="G178" s="18" t="str">
        <f t="shared" si="17"/>
        <v/>
      </c>
      <c r="H178" t="str">
        <f t="shared" si="18"/>
        <v/>
      </c>
      <c r="I178" s="23" t="str">
        <f ca="1">IF(A178="","",IF($B$8="Sí",interpolar_alamb(H178,OFFSET(Curvas_cupon_cero!$A$1,1,0,COUNT(Curvas_cupon_cero!$A:$A)-2,1),OFFSET(Curvas_cupon_cero!$A$1,1,MATCH($B$6,Curvas_cupon_cero!$1:$1,0)-1,COUNT(Curvas_cupon_cero!$A:$A)-2,1)),[1]!interpolar(H178,OFFSET(Curvas_cupon_cero!$A$1,1,0,COUNT(Curvas_cupon_cero!$A:$A)-2,1),OFFSET(Curvas_cupon_cero!$A$1,1,MATCH($B$6,Curvas_cupon_cero!$1:$1,0)-1,COUNT(Curvas_cupon_cero!$A:$A)-2,1))))</f>
        <v/>
      </c>
      <c r="J178" s="19" t="str">
        <f>IF(A178="","",F178/(1+I178*$B$5/360)^(COUNT(A$16:A178)-($B$5-$G$16)/$B$5))</f>
        <v/>
      </c>
    </row>
    <row r="179" spans="1:10" x14ac:dyDescent="0.2">
      <c r="A179" s="12" t="str">
        <f t="shared" si="15"/>
        <v/>
      </c>
      <c r="B179" t="str">
        <f t="shared" si="13"/>
        <v/>
      </c>
      <c r="C179" s="21" t="str">
        <f ca="1">IF(A179="","",IF($B$8="Sí",interpolar_alamb(B179,OFFSET(Curvas_cupon_cero!$A$1,1,0,COUNT(Curvas_cupon_cero!$A:$A)-2,1),OFFSET(Curvas_cupon_cero!$A$1,1,MATCH($B$7,Curvas_cupon_cero!$1:$1,0)-1,COUNT(Curvas_cupon_cero!$A:$A)-2,1)),[1]!interpolar(B179,OFFSET(Curvas_cupon_cero!$A$1,1,0,COUNT(Curvas_cupon_cero!$A:$A)-2,1),OFFSET(Curvas_cupon_cero!$A$1,1,MATCH($B$7,Curvas_cupon_cero!$1:$1,0)-1,COUNT(Curvas_cupon_cero!$A:$A)-2,1))))</f>
        <v/>
      </c>
      <c r="D179" s="23" t="str">
        <f ca="1">IF(A179="","",IF($B$8="Sí",interpolar_alamb(H179,OFFSET(Curvas_cupon_cero!$A$1,1,0,COUNT(Curvas_cupon_cero!$A:$A)-2,1),OFFSET(Curvas_cupon_cero!$A$1,1,MATCH($B$7,Curvas_cupon_cero!$1:$1,0)-1,COUNT(Curvas_cupon_cero!$A:$A)-2,1)),[1]!interpolar(H179,OFFSET(Curvas_cupon_cero!$A$1,1,0,COUNT(Curvas_cupon_cero!$A:$A)-2,1),OFFSET(Curvas_cupon_cero!$A$1,1,MATCH($B$7,Curvas_cupon_cero!$1:$1,0)-1,COUNT(Curvas_cupon_cero!$A:$A)-2,1))))</f>
        <v/>
      </c>
      <c r="E179" s="23" t="str">
        <f t="shared" si="16"/>
        <v/>
      </c>
      <c r="F179" s="17" t="str">
        <f t="shared" si="14"/>
        <v/>
      </c>
      <c r="G179" s="18" t="str">
        <f t="shared" si="17"/>
        <v/>
      </c>
      <c r="H179" t="str">
        <f t="shared" si="18"/>
        <v/>
      </c>
      <c r="I179" s="23" t="str">
        <f ca="1">IF(A179="","",IF($B$8="Sí",interpolar_alamb(H179,OFFSET(Curvas_cupon_cero!$A$1,1,0,COUNT(Curvas_cupon_cero!$A:$A)-2,1),OFFSET(Curvas_cupon_cero!$A$1,1,MATCH($B$6,Curvas_cupon_cero!$1:$1,0)-1,COUNT(Curvas_cupon_cero!$A:$A)-2,1)),[1]!interpolar(H179,OFFSET(Curvas_cupon_cero!$A$1,1,0,COUNT(Curvas_cupon_cero!$A:$A)-2,1),OFFSET(Curvas_cupon_cero!$A$1,1,MATCH($B$6,Curvas_cupon_cero!$1:$1,0)-1,COUNT(Curvas_cupon_cero!$A:$A)-2,1))))</f>
        <v/>
      </c>
      <c r="J179" s="19" t="str">
        <f>IF(A179="","",F179/(1+I179*$B$5/360)^(COUNT(A$16:A179)-($B$5-$G$16)/$B$5))</f>
        <v/>
      </c>
    </row>
    <row r="180" spans="1:10" x14ac:dyDescent="0.2">
      <c r="A180" s="12" t="str">
        <f t="shared" si="15"/>
        <v/>
      </c>
      <c r="B180" t="str">
        <f t="shared" si="13"/>
        <v/>
      </c>
      <c r="C180" s="21" t="str">
        <f ca="1">IF(A180="","",IF($B$8="Sí",interpolar_alamb(B180,OFFSET(Curvas_cupon_cero!$A$1,1,0,COUNT(Curvas_cupon_cero!$A:$A)-2,1),OFFSET(Curvas_cupon_cero!$A$1,1,MATCH($B$7,Curvas_cupon_cero!$1:$1,0)-1,COUNT(Curvas_cupon_cero!$A:$A)-2,1)),[1]!interpolar(B180,OFFSET(Curvas_cupon_cero!$A$1,1,0,COUNT(Curvas_cupon_cero!$A:$A)-2,1),OFFSET(Curvas_cupon_cero!$A$1,1,MATCH($B$7,Curvas_cupon_cero!$1:$1,0)-1,COUNT(Curvas_cupon_cero!$A:$A)-2,1))))</f>
        <v/>
      </c>
      <c r="D180" s="23" t="str">
        <f ca="1">IF(A180="","",IF($B$8="Sí",interpolar_alamb(H180,OFFSET(Curvas_cupon_cero!$A$1,1,0,COUNT(Curvas_cupon_cero!$A:$A)-2,1),OFFSET(Curvas_cupon_cero!$A$1,1,MATCH($B$7,Curvas_cupon_cero!$1:$1,0)-1,COUNT(Curvas_cupon_cero!$A:$A)-2,1)),[1]!interpolar(H180,OFFSET(Curvas_cupon_cero!$A$1,1,0,COUNT(Curvas_cupon_cero!$A:$A)-2,1),OFFSET(Curvas_cupon_cero!$A$1,1,MATCH($B$7,Curvas_cupon_cero!$1:$1,0)-1,COUNT(Curvas_cupon_cero!$A:$A)-2,1))))</f>
        <v/>
      </c>
      <c r="E180" s="23" t="str">
        <f t="shared" si="16"/>
        <v/>
      </c>
      <c r="F180" s="17" t="str">
        <f t="shared" si="14"/>
        <v/>
      </c>
      <c r="G180" s="18" t="str">
        <f t="shared" si="17"/>
        <v/>
      </c>
      <c r="H180" t="str">
        <f t="shared" si="18"/>
        <v/>
      </c>
      <c r="I180" s="23" t="str">
        <f ca="1">IF(A180="","",IF($B$8="Sí",interpolar_alamb(H180,OFFSET(Curvas_cupon_cero!$A$1,1,0,COUNT(Curvas_cupon_cero!$A:$A)-2,1),OFFSET(Curvas_cupon_cero!$A$1,1,MATCH($B$6,Curvas_cupon_cero!$1:$1,0)-1,COUNT(Curvas_cupon_cero!$A:$A)-2,1)),[1]!interpolar(H180,OFFSET(Curvas_cupon_cero!$A$1,1,0,COUNT(Curvas_cupon_cero!$A:$A)-2,1),OFFSET(Curvas_cupon_cero!$A$1,1,MATCH($B$6,Curvas_cupon_cero!$1:$1,0)-1,COUNT(Curvas_cupon_cero!$A:$A)-2,1))))</f>
        <v/>
      </c>
      <c r="J180" s="19" t="str">
        <f>IF(A180="","",F180/(1+I180*$B$5/360)^(COUNT(A$16:A180)-($B$5-$G$16)/$B$5))</f>
        <v/>
      </c>
    </row>
    <row r="181" spans="1:10" x14ac:dyDescent="0.2">
      <c r="A181" s="12" t="str">
        <f t="shared" si="15"/>
        <v/>
      </c>
      <c r="B181" t="str">
        <f t="shared" si="13"/>
        <v/>
      </c>
      <c r="C181" s="21" t="str">
        <f ca="1">IF(A181="","",IF($B$8="Sí",interpolar_alamb(B181,OFFSET(Curvas_cupon_cero!$A$1,1,0,COUNT(Curvas_cupon_cero!$A:$A)-2,1),OFFSET(Curvas_cupon_cero!$A$1,1,MATCH($B$7,Curvas_cupon_cero!$1:$1,0)-1,COUNT(Curvas_cupon_cero!$A:$A)-2,1)),[1]!interpolar(B181,OFFSET(Curvas_cupon_cero!$A$1,1,0,COUNT(Curvas_cupon_cero!$A:$A)-2,1),OFFSET(Curvas_cupon_cero!$A$1,1,MATCH($B$7,Curvas_cupon_cero!$1:$1,0)-1,COUNT(Curvas_cupon_cero!$A:$A)-2,1))))</f>
        <v/>
      </c>
      <c r="D181" s="23" t="str">
        <f ca="1">IF(A181="","",IF($B$8="Sí",interpolar_alamb(H181,OFFSET(Curvas_cupon_cero!$A$1,1,0,COUNT(Curvas_cupon_cero!$A:$A)-2,1),OFFSET(Curvas_cupon_cero!$A$1,1,MATCH($B$7,Curvas_cupon_cero!$1:$1,0)-1,COUNT(Curvas_cupon_cero!$A:$A)-2,1)),[1]!interpolar(H181,OFFSET(Curvas_cupon_cero!$A$1,1,0,COUNT(Curvas_cupon_cero!$A:$A)-2,1),OFFSET(Curvas_cupon_cero!$A$1,1,MATCH($B$7,Curvas_cupon_cero!$1:$1,0)-1,COUNT(Curvas_cupon_cero!$A:$A)-2,1))))</f>
        <v/>
      </c>
      <c r="E181" s="23" t="str">
        <f t="shared" si="16"/>
        <v/>
      </c>
      <c r="F181" s="17" t="str">
        <f t="shared" si="14"/>
        <v/>
      </c>
      <c r="G181" s="18" t="str">
        <f t="shared" si="17"/>
        <v/>
      </c>
      <c r="H181" t="str">
        <f t="shared" si="18"/>
        <v/>
      </c>
      <c r="I181" s="23" t="str">
        <f ca="1">IF(A181="","",IF($B$8="Sí",interpolar_alamb(H181,OFFSET(Curvas_cupon_cero!$A$1,1,0,COUNT(Curvas_cupon_cero!$A:$A)-2,1),OFFSET(Curvas_cupon_cero!$A$1,1,MATCH($B$6,Curvas_cupon_cero!$1:$1,0)-1,COUNT(Curvas_cupon_cero!$A:$A)-2,1)),[1]!interpolar(H181,OFFSET(Curvas_cupon_cero!$A$1,1,0,COUNT(Curvas_cupon_cero!$A:$A)-2,1),OFFSET(Curvas_cupon_cero!$A$1,1,MATCH($B$6,Curvas_cupon_cero!$1:$1,0)-1,COUNT(Curvas_cupon_cero!$A:$A)-2,1))))</f>
        <v/>
      </c>
      <c r="J181" s="19" t="str">
        <f>IF(A181="","",F181/(1+I181*$B$5/360)^(COUNT(A$16:A181)-($B$5-$G$16)/$B$5))</f>
        <v/>
      </c>
    </row>
    <row r="182" spans="1:10" x14ac:dyDescent="0.2">
      <c r="A182" s="12" t="str">
        <f t="shared" si="15"/>
        <v/>
      </c>
      <c r="B182" t="str">
        <f t="shared" si="13"/>
        <v/>
      </c>
      <c r="C182" s="21" t="str">
        <f ca="1">IF(A182="","",IF($B$8="Sí",interpolar_alamb(B182,OFFSET(Curvas_cupon_cero!$A$1,1,0,COUNT(Curvas_cupon_cero!$A:$A)-2,1),OFFSET(Curvas_cupon_cero!$A$1,1,MATCH($B$7,Curvas_cupon_cero!$1:$1,0)-1,COUNT(Curvas_cupon_cero!$A:$A)-2,1)),[1]!interpolar(B182,OFFSET(Curvas_cupon_cero!$A$1,1,0,COUNT(Curvas_cupon_cero!$A:$A)-2,1),OFFSET(Curvas_cupon_cero!$A$1,1,MATCH($B$7,Curvas_cupon_cero!$1:$1,0)-1,COUNT(Curvas_cupon_cero!$A:$A)-2,1))))</f>
        <v/>
      </c>
      <c r="D182" s="23" t="str">
        <f ca="1">IF(A182="","",IF($B$8="Sí",interpolar_alamb(H182,OFFSET(Curvas_cupon_cero!$A$1,1,0,COUNT(Curvas_cupon_cero!$A:$A)-2,1),OFFSET(Curvas_cupon_cero!$A$1,1,MATCH($B$7,Curvas_cupon_cero!$1:$1,0)-1,COUNT(Curvas_cupon_cero!$A:$A)-2,1)),[1]!interpolar(H182,OFFSET(Curvas_cupon_cero!$A$1,1,0,COUNT(Curvas_cupon_cero!$A:$A)-2,1),OFFSET(Curvas_cupon_cero!$A$1,1,MATCH($B$7,Curvas_cupon_cero!$1:$1,0)-1,COUNT(Curvas_cupon_cero!$A:$A)-2,1))))</f>
        <v/>
      </c>
      <c r="E182" s="23" t="str">
        <f t="shared" si="16"/>
        <v/>
      </c>
      <c r="F182" s="17" t="str">
        <f t="shared" si="14"/>
        <v/>
      </c>
      <c r="G182" s="18" t="str">
        <f t="shared" si="17"/>
        <v/>
      </c>
      <c r="H182" t="str">
        <f t="shared" si="18"/>
        <v/>
      </c>
      <c r="I182" s="23" t="str">
        <f ca="1">IF(A182="","",IF($B$8="Sí",interpolar_alamb(H182,OFFSET(Curvas_cupon_cero!$A$1,1,0,COUNT(Curvas_cupon_cero!$A:$A)-2,1),OFFSET(Curvas_cupon_cero!$A$1,1,MATCH($B$6,Curvas_cupon_cero!$1:$1,0)-1,COUNT(Curvas_cupon_cero!$A:$A)-2,1)),[1]!interpolar(H182,OFFSET(Curvas_cupon_cero!$A$1,1,0,COUNT(Curvas_cupon_cero!$A:$A)-2,1),OFFSET(Curvas_cupon_cero!$A$1,1,MATCH($B$6,Curvas_cupon_cero!$1:$1,0)-1,COUNT(Curvas_cupon_cero!$A:$A)-2,1))))</f>
        <v/>
      </c>
      <c r="J182" s="19" t="str">
        <f>IF(A182="","",F182/(1+I182*$B$5/360)^(COUNT(A$16:A182)-($B$5-$G$16)/$B$5))</f>
        <v/>
      </c>
    </row>
    <row r="183" spans="1:10" x14ac:dyDescent="0.2">
      <c r="A183" s="12" t="str">
        <f t="shared" si="15"/>
        <v/>
      </c>
      <c r="B183" t="str">
        <f t="shared" si="13"/>
        <v/>
      </c>
      <c r="C183" s="21" t="str">
        <f ca="1">IF(A183="","",IF($B$8="Sí",interpolar_alamb(B183,OFFSET(Curvas_cupon_cero!$A$1,1,0,COUNT(Curvas_cupon_cero!$A:$A)-2,1),OFFSET(Curvas_cupon_cero!$A$1,1,MATCH($B$7,Curvas_cupon_cero!$1:$1,0)-1,COUNT(Curvas_cupon_cero!$A:$A)-2,1)),[1]!interpolar(B183,OFFSET(Curvas_cupon_cero!$A$1,1,0,COUNT(Curvas_cupon_cero!$A:$A)-2,1),OFFSET(Curvas_cupon_cero!$A$1,1,MATCH($B$7,Curvas_cupon_cero!$1:$1,0)-1,COUNT(Curvas_cupon_cero!$A:$A)-2,1))))</f>
        <v/>
      </c>
      <c r="D183" s="23" t="str">
        <f ca="1">IF(A183="","",IF($B$8="Sí",interpolar_alamb(H183,OFFSET(Curvas_cupon_cero!$A$1,1,0,COUNT(Curvas_cupon_cero!$A:$A)-2,1),OFFSET(Curvas_cupon_cero!$A$1,1,MATCH($B$7,Curvas_cupon_cero!$1:$1,0)-1,COUNT(Curvas_cupon_cero!$A:$A)-2,1)),[1]!interpolar(H183,OFFSET(Curvas_cupon_cero!$A$1,1,0,COUNT(Curvas_cupon_cero!$A:$A)-2,1),OFFSET(Curvas_cupon_cero!$A$1,1,MATCH($B$7,Curvas_cupon_cero!$1:$1,0)-1,COUNT(Curvas_cupon_cero!$A:$A)-2,1))))</f>
        <v/>
      </c>
      <c r="E183" s="23" t="str">
        <f t="shared" si="16"/>
        <v/>
      </c>
      <c r="F183" s="17" t="str">
        <f t="shared" si="14"/>
        <v/>
      </c>
      <c r="G183" s="18" t="str">
        <f t="shared" si="17"/>
        <v/>
      </c>
      <c r="H183" t="str">
        <f t="shared" si="18"/>
        <v/>
      </c>
      <c r="I183" s="23" t="str">
        <f ca="1">IF(A183="","",IF($B$8="Sí",interpolar_alamb(H183,OFFSET(Curvas_cupon_cero!$A$1,1,0,COUNT(Curvas_cupon_cero!$A:$A)-2,1),OFFSET(Curvas_cupon_cero!$A$1,1,MATCH($B$6,Curvas_cupon_cero!$1:$1,0)-1,COUNT(Curvas_cupon_cero!$A:$A)-2,1)),[1]!interpolar(H183,OFFSET(Curvas_cupon_cero!$A$1,1,0,COUNT(Curvas_cupon_cero!$A:$A)-2,1),OFFSET(Curvas_cupon_cero!$A$1,1,MATCH($B$6,Curvas_cupon_cero!$1:$1,0)-1,COUNT(Curvas_cupon_cero!$A:$A)-2,1))))</f>
        <v/>
      </c>
      <c r="J183" s="19" t="str">
        <f>IF(A183="","",F183/(1+I183*$B$5/360)^(COUNT(A$16:A183)-($B$5-$G$16)/$B$5))</f>
        <v/>
      </c>
    </row>
    <row r="184" spans="1:10" x14ac:dyDescent="0.2">
      <c r="A184" s="12" t="str">
        <f t="shared" si="15"/>
        <v/>
      </c>
      <c r="B184" t="str">
        <f t="shared" si="13"/>
        <v/>
      </c>
      <c r="C184" s="21" t="str">
        <f ca="1">IF(A184="","",IF($B$8="Sí",interpolar_alamb(B184,OFFSET(Curvas_cupon_cero!$A$1,1,0,COUNT(Curvas_cupon_cero!$A:$A)-2,1),OFFSET(Curvas_cupon_cero!$A$1,1,MATCH($B$7,Curvas_cupon_cero!$1:$1,0)-1,COUNT(Curvas_cupon_cero!$A:$A)-2,1)),[1]!interpolar(B184,OFFSET(Curvas_cupon_cero!$A$1,1,0,COUNT(Curvas_cupon_cero!$A:$A)-2,1),OFFSET(Curvas_cupon_cero!$A$1,1,MATCH($B$7,Curvas_cupon_cero!$1:$1,0)-1,COUNT(Curvas_cupon_cero!$A:$A)-2,1))))</f>
        <v/>
      </c>
      <c r="D184" s="23" t="str">
        <f ca="1">IF(A184="","",IF($B$8="Sí",interpolar_alamb(H184,OFFSET(Curvas_cupon_cero!$A$1,1,0,COUNT(Curvas_cupon_cero!$A:$A)-2,1),OFFSET(Curvas_cupon_cero!$A$1,1,MATCH($B$7,Curvas_cupon_cero!$1:$1,0)-1,COUNT(Curvas_cupon_cero!$A:$A)-2,1)),[1]!interpolar(H184,OFFSET(Curvas_cupon_cero!$A$1,1,0,COUNT(Curvas_cupon_cero!$A:$A)-2,1),OFFSET(Curvas_cupon_cero!$A$1,1,MATCH($B$7,Curvas_cupon_cero!$1:$1,0)-1,COUNT(Curvas_cupon_cero!$A:$A)-2,1))))</f>
        <v/>
      </c>
      <c r="E184" s="23" t="str">
        <f t="shared" si="16"/>
        <v/>
      </c>
      <c r="F184" s="17" t="str">
        <f t="shared" si="14"/>
        <v/>
      </c>
      <c r="G184" s="18" t="str">
        <f t="shared" si="17"/>
        <v/>
      </c>
      <c r="H184" t="str">
        <f t="shared" si="18"/>
        <v/>
      </c>
      <c r="I184" s="23" t="str">
        <f ca="1">IF(A184="","",IF($B$8="Sí",interpolar_alamb(H184,OFFSET(Curvas_cupon_cero!$A$1,1,0,COUNT(Curvas_cupon_cero!$A:$A)-2,1),OFFSET(Curvas_cupon_cero!$A$1,1,MATCH($B$6,Curvas_cupon_cero!$1:$1,0)-1,COUNT(Curvas_cupon_cero!$A:$A)-2,1)),[1]!interpolar(H184,OFFSET(Curvas_cupon_cero!$A$1,1,0,COUNT(Curvas_cupon_cero!$A:$A)-2,1),OFFSET(Curvas_cupon_cero!$A$1,1,MATCH($B$6,Curvas_cupon_cero!$1:$1,0)-1,COUNT(Curvas_cupon_cero!$A:$A)-2,1))))</f>
        <v/>
      </c>
      <c r="J184" s="19" t="str">
        <f>IF(A184="","",F184/(1+I184*$B$5/360)^(COUNT(A$16:A184)-($B$5-$G$16)/$B$5))</f>
        <v/>
      </c>
    </row>
    <row r="185" spans="1:10" x14ac:dyDescent="0.2">
      <c r="A185" s="12" t="str">
        <f t="shared" si="15"/>
        <v/>
      </c>
      <c r="B185" t="str">
        <f t="shared" si="13"/>
        <v/>
      </c>
      <c r="C185" s="21" t="str">
        <f ca="1">IF(A185="","",IF($B$8="Sí",interpolar_alamb(B185,OFFSET(Curvas_cupon_cero!$A$1,1,0,COUNT(Curvas_cupon_cero!$A:$A)-2,1),OFFSET(Curvas_cupon_cero!$A$1,1,MATCH($B$7,Curvas_cupon_cero!$1:$1,0)-1,COUNT(Curvas_cupon_cero!$A:$A)-2,1)),[1]!interpolar(B185,OFFSET(Curvas_cupon_cero!$A$1,1,0,COUNT(Curvas_cupon_cero!$A:$A)-2,1),OFFSET(Curvas_cupon_cero!$A$1,1,MATCH($B$7,Curvas_cupon_cero!$1:$1,0)-1,COUNT(Curvas_cupon_cero!$A:$A)-2,1))))</f>
        <v/>
      </c>
      <c r="D185" s="23" t="str">
        <f ca="1">IF(A185="","",IF($B$8="Sí",interpolar_alamb(H185,OFFSET(Curvas_cupon_cero!$A$1,1,0,COUNT(Curvas_cupon_cero!$A:$A)-2,1),OFFSET(Curvas_cupon_cero!$A$1,1,MATCH($B$7,Curvas_cupon_cero!$1:$1,0)-1,COUNT(Curvas_cupon_cero!$A:$A)-2,1)),[1]!interpolar(H185,OFFSET(Curvas_cupon_cero!$A$1,1,0,COUNT(Curvas_cupon_cero!$A:$A)-2,1),OFFSET(Curvas_cupon_cero!$A$1,1,MATCH($B$7,Curvas_cupon_cero!$1:$1,0)-1,COUNT(Curvas_cupon_cero!$A:$A)-2,1))))</f>
        <v/>
      </c>
      <c r="E185" s="23" t="str">
        <f t="shared" si="16"/>
        <v/>
      </c>
      <c r="F185" s="17" t="str">
        <f t="shared" si="14"/>
        <v/>
      </c>
      <c r="G185" s="18" t="str">
        <f t="shared" si="17"/>
        <v/>
      </c>
      <c r="H185" t="str">
        <f t="shared" si="18"/>
        <v/>
      </c>
      <c r="I185" s="23" t="str">
        <f ca="1">IF(A185="","",IF($B$8="Sí",interpolar_alamb(H185,OFFSET(Curvas_cupon_cero!$A$1,1,0,COUNT(Curvas_cupon_cero!$A:$A)-2,1),OFFSET(Curvas_cupon_cero!$A$1,1,MATCH($B$6,Curvas_cupon_cero!$1:$1,0)-1,COUNT(Curvas_cupon_cero!$A:$A)-2,1)),[1]!interpolar(H185,OFFSET(Curvas_cupon_cero!$A$1,1,0,COUNT(Curvas_cupon_cero!$A:$A)-2,1),OFFSET(Curvas_cupon_cero!$A$1,1,MATCH($B$6,Curvas_cupon_cero!$1:$1,0)-1,COUNT(Curvas_cupon_cero!$A:$A)-2,1))))</f>
        <v/>
      </c>
      <c r="J185" s="19" t="str">
        <f>IF(A185="","",F185/(1+I185*$B$5/360)^(COUNT(A$16:A185)-($B$5-$G$16)/$B$5))</f>
        <v/>
      </c>
    </row>
    <row r="186" spans="1:10" x14ac:dyDescent="0.2">
      <c r="A186" s="12" t="str">
        <f t="shared" si="15"/>
        <v/>
      </c>
      <c r="B186" t="str">
        <f t="shared" si="13"/>
        <v/>
      </c>
      <c r="C186" s="21" t="str">
        <f ca="1">IF(A186="","",IF($B$8="Sí",interpolar_alamb(B186,OFFSET(Curvas_cupon_cero!$A$1,1,0,COUNT(Curvas_cupon_cero!$A:$A)-2,1),OFFSET(Curvas_cupon_cero!$A$1,1,MATCH($B$7,Curvas_cupon_cero!$1:$1,0)-1,COUNT(Curvas_cupon_cero!$A:$A)-2,1)),[1]!interpolar(B186,OFFSET(Curvas_cupon_cero!$A$1,1,0,COUNT(Curvas_cupon_cero!$A:$A)-2,1),OFFSET(Curvas_cupon_cero!$A$1,1,MATCH($B$7,Curvas_cupon_cero!$1:$1,0)-1,COUNT(Curvas_cupon_cero!$A:$A)-2,1))))</f>
        <v/>
      </c>
      <c r="D186" s="23" t="str">
        <f ca="1">IF(A186="","",IF($B$8="Sí",interpolar_alamb(H186,OFFSET(Curvas_cupon_cero!$A$1,1,0,COUNT(Curvas_cupon_cero!$A:$A)-2,1),OFFSET(Curvas_cupon_cero!$A$1,1,MATCH($B$7,Curvas_cupon_cero!$1:$1,0)-1,COUNT(Curvas_cupon_cero!$A:$A)-2,1)),[1]!interpolar(H186,OFFSET(Curvas_cupon_cero!$A$1,1,0,COUNT(Curvas_cupon_cero!$A:$A)-2,1),OFFSET(Curvas_cupon_cero!$A$1,1,MATCH($B$7,Curvas_cupon_cero!$1:$1,0)-1,COUNT(Curvas_cupon_cero!$A:$A)-2,1))))</f>
        <v/>
      </c>
      <c r="E186" s="23" t="str">
        <f t="shared" si="16"/>
        <v/>
      </c>
      <c r="F186" s="17" t="str">
        <f t="shared" si="14"/>
        <v/>
      </c>
      <c r="G186" s="18" t="str">
        <f t="shared" si="17"/>
        <v/>
      </c>
      <c r="H186" t="str">
        <f t="shared" si="18"/>
        <v/>
      </c>
      <c r="I186" s="23" t="str">
        <f ca="1">IF(A186="","",IF($B$8="Sí",interpolar_alamb(H186,OFFSET(Curvas_cupon_cero!$A$1,1,0,COUNT(Curvas_cupon_cero!$A:$A)-2,1),OFFSET(Curvas_cupon_cero!$A$1,1,MATCH($B$6,Curvas_cupon_cero!$1:$1,0)-1,COUNT(Curvas_cupon_cero!$A:$A)-2,1)),[1]!interpolar(H186,OFFSET(Curvas_cupon_cero!$A$1,1,0,COUNT(Curvas_cupon_cero!$A:$A)-2,1),OFFSET(Curvas_cupon_cero!$A$1,1,MATCH($B$6,Curvas_cupon_cero!$1:$1,0)-1,COUNT(Curvas_cupon_cero!$A:$A)-2,1))))</f>
        <v/>
      </c>
      <c r="J186" s="19" t="str">
        <f>IF(A186="","",F186/(1+I186*$B$5/360)^(COUNT(A$16:A186)-($B$5-$G$16)/$B$5))</f>
        <v/>
      </c>
    </row>
    <row r="187" spans="1:10" x14ac:dyDescent="0.2">
      <c r="A187" s="12" t="str">
        <f t="shared" si="15"/>
        <v/>
      </c>
      <c r="B187" t="str">
        <f t="shared" si="13"/>
        <v/>
      </c>
      <c r="C187" s="21" t="str">
        <f ca="1">IF(A187="","",IF($B$8="Sí",interpolar_alamb(B187,OFFSET(Curvas_cupon_cero!$A$1,1,0,COUNT(Curvas_cupon_cero!$A:$A)-2,1),OFFSET(Curvas_cupon_cero!$A$1,1,MATCH($B$7,Curvas_cupon_cero!$1:$1,0)-1,COUNT(Curvas_cupon_cero!$A:$A)-2,1)),[1]!interpolar(B187,OFFSET(Curvas_cupon_cero!$A$1,1,0,COUNT(Curvas_cupon_cero!$A:$A)-2,1),OFFSET(Curvas_cupon_cero!$A$1,1,MATCH($B$7,Curvas_cupon_cero!$1:$1,0)-1,COUNT(Curvas_cupon_cero!$A:$A)-2,1))))</f>
        <v/>
      </c>
      <c r="D187" s="23" t="str">
        <f ca="1">IF(A187="","",IF($B$8="Sí",interpolar_alamb(H187,OFFSET(Curvas_cupon_cero!$A$1,1,0,COUNT(Curvas_cupon_cero!$A:$A)-2,1),OFFSET(Curvas_cupon_cero!$A$1,1,MATCH($B$7,Curvas_cupon_cero!$1:$1,0)-1,COUNT(Curvas_cupon_cero!$A:$A)-2,1)),[1]!interpolar(H187,OFFSET(Curvas_cupon_cero!$A$1,1,0,COUNT(Curvas_cupon_cero!$A:$A)-2,1),OFFSET(Curvas_cupon_cero!$A$1,1,MATCH($B$7,Curvas_cupon_cero!$1:$1,0)-1,COUNT(Curvas_cupon_cero!$A:$A)-2,1))))</f>
        <v/>
      </c>
      <c r="E187" s="23" t="str">
        <f t="shared" si="16"/>
        <v/>
      </c>
      <c r="F187" s="17" t="str">
        <f t="shared" si="14"/>
        <v/>
      </c>
      <c r="G187" s="18" t="str">
        <f t="shared" si="17"/>
        <v/>
      </c>
      <c r="H187" t="str">
        <f t="shared" si="18"/>
        <v/>
      </c>
      <c r="I187" s="23" t="str">
        <f ca="1">IF(A187="","",IF($B$8="Sí",interpolar_alamb(H187,OFFSET(Curvas_cupon_cero!$A$1,1,0,COUNT(Curvas_cupon_cero!$A:$A)-2,1),OFFSET(Curvas_cupon_cero!$A$1,1,MATCH($B$6,Curvas_cupon_cero!$1:$1,0)-1,COUNT(Curvas_cupon_cero!$A:$A)-2,1)),[1]!interpolar(H187,OFFSET(Curvas_cupon_cero!$A$1,1,0,COUNT(Curvas_cupon_cero!$A:$A)-2,1),OFFSET(Curvas_cupon_cero!$A$1,1,MATCH($B$6,Curvas_cupon_cero!$1:$1,0)-1,COUNT(Curvas_cupon_cero!$A:$A)-2,1))))</f>
        <v/>
      </c>
      <c r="J187" s="19" t="str">
        <f>IF(A187="","",F187/(1+I187*$B$5/360)^(COUNT(A$16:A187)-($B$5-$G$16)/$B$5))</f>
        <v/>
      </c>
    </row>
    <row r="188" spans="1:10" x14ac:dyDescent="0.2">
      <c r="A188" s="12" t="str">
        <f t="shared" si="15"/>
        <v/>
      </c>
      <c r="B188" t="str">
        <f t="shared" si="13"/>
        <v/>
      </c>
      <c r="C188" s="21" t="str">
        <f ca="1">IF(A188="","",IF($B$8="Sí",interpolar_alamb(B188,OFFSET(Curvas_cupon_cero!$A$1,1,0,COUNT(Curvas_cupon_cero!$A:$A)-2,1),OFFSET(Curvas_cupon_cero!$A$1,1,MATCH($B$7,Curvas_cupon_cero!$1:$1,0)-1,COUNT(Curvas_cupon_cero!$A:$A)-2,1)),[1]!interpolar(B188,OFFSET(Curvas_cupon_cero!$A$1,1,0,COUNT(Curvas_cupon_cero!$A:$A)-2,1),OFFSET(Curvas_cupon_cero!$A$1,1,MATCH($B$7,Curvas_cupon_cero!$1:$1,0)-1,COUNT(Curvas_cupon_cero!$A:$A)-2,1))))</f>
        <v/>
      </c>
      <c r="D188" s="23" t="str">
        <f ca="1">IF(A188="","",IF($B$8="Sí",interpolar_alamb(H188,OFFSET(Curvas_cupon_cero!$A$1,1,0,COUNT(Curvas_cupon_cero!$A:$A)-2,1),OFFSET(Curvas_cupon_cero!$A$1,1,MATCH($B$7,Curvas_cupon_cero!$1:$1,0)-1,COUNT(Curvas_cupon_cero!$A:$A)-2,1)),[1]!interpolar(H188,OFFSET(Curvas_cupon_cero!$A$1,1,0,COUNT(Curvas_cupon_cero!$A:$A)-2,1),OFFSET(Curvas_cupon_cero!$A$1,1,MATCH($B$7,Curvas_cupon_cero!$1:$1,0)-1,COUNT(Curvas_cupon_cero!$A:$A)-2,1))))</f>
        <v/>
      </c>
      <c r="E188" s="23" t="str">
        <f t="shared" si="16"/>
        <v/>
      </c>
      <c r="F188" s="17" t="str">
        <f t="shared" si="14"/>
        <v/>
      </c>
      <c r="G188" s="18" t="str">
        <f t="shared" si="17"/>
        <v/>
      </c>
      <c r="H188" t="str">
        <f t="shared" si="18"/>
        <v/>
      </c>
      <c r="I188" s="23" t="str">
        <f ca="1">IF(A188="","",IF($B$8="Sí",interpolar_alamb(H188,OFFSET(Curvas_cupon_cero!$A$1,1,0,COUNT(Curvas_cupon_cero!$A:$A)-2,1),OFFSET(Curvas_cupon_cero!$A$1,1,MATCH($B$6,Curvas_cupon_cero!$1:$1,0)-1,COUNT(Curvas_cupon_cero!$A:$A)-2,1)),[1]!interpolar(H188,OFFSET(Curvas_cupon_cero!$A$1,1,0,COUNT(Curvas_cupon_cero!$A:$A)-2,1),OFFSET(Curvas_cupon_cero!$A$1,1,MATCH($B$6,Curvas_cupon_cero!$1:$1,0)-1,COUNT(Curvas_cupon_cero!$A:$A)-2,1))))</f>
        <v/>
      </c>
      <c r="J188" s="19" t="str">
        <f>IF(A188="","",F188/(1+I188*$B$5/360)^(COUNT(A$16:A188)-($B$5-$G$16)/$B$5))</f>
        <v/>
      </c>
    </row>
    <row r="189" spans="1:10" x14ac:dyDescent="0.2">
      <c r="A189" s="12" t="str">
        <f t="shared" si="15"/>
        <v/>
      </c>
      <c r="B189" t="str">
        <f t="shared" si="13"/>
        <v/>
      </c>
      <c r="C189" s="21" t="str">
        <f ca="1">IF(A189="","",IF($B$8="Sí",interpolar_alamb(B189,OFFSET(Curvas_cupon_cero!$A$1,1,0,COUNT(Curvas_cupon_cero!$A:$A)-2,1),OFFSET(Curvas_cupon_cero!$A$1,1,MATCH($B$7,Curvas_cupon_cero!$1:$1,0)-1,COUNT(Curvas_cupon_cero!$A:$A)-2,1)),[1]!interpolar(B189,OFFSET(Curvas_cupon_cero!$A$1,1,0,COUNT(Curvas_cupon_cero!$A:$A)-2,1),OFFSET(Curvas_cupon_cero!$A$1,1,MATCH($B$7,Curvas_cupon_cero!$1:$1,0)-1,COUNT(Curvas_cupon_cero!$A:$A)-2,1))))</f>
        <v/>
      </c>
      <c r="D189" s="23" t="str">
        <f ca="1">IF(A189="","",IF($B$8="Sí",interpolar_alamb(H189,OFFSET(Curvas_cupon_cero!$A$1,1,0,COUNT(Curvas_cupon_cero!$A:$A)-2,1),OFFSET(Curvas_cupon_cero!$A$1,1,MATCH($B$7,Curvas_cupon_cero!$1:$1,0)-1,COUNT(Curvas_cupon_cero!$A:$A)-2,1)),[1]!interpolar(H189,OFFSET(Curvas_cupon_cero!$A$1,1,0,COUNT(Curvas_cupon_cero!$A:$A)-2,1),OFFSET(Curvas_cupon_cero!$A$1,1,MATCH($B$7,Curvas_cupon_cero!$1:$1,0)-1,COUNT(Curvas_cupon_cero!$A:$A)-2,1))))</f>
        <v/>
      </c>
      <c r="E189" s="23" t="str">
        <f t="shared" si="16"/>
        <v/>
      </c>
      <c r="F189" s="17" t="str">
        <f t="shared" si="14"/>
        <v/>
      </c>
      <c r="G189" s="18" t="str">
        <f t="shared" si="17"/>
        <v/>
      </c>
      <c r="H189" t="str">
        <f t="shared" si="18"/>
        <v/>
      </c>
      <c r="I189" s="23" t="str">
        <f ca="1">IF(A189="","",IF($B$8="Sí",interpolar_alamb(H189,OFFSET(Curvas_cupon_cero!$A$1,1,0,COUNT(Curvas_cupon_cero!$A:$A)-2,1),OFFSET(Curvas_cupon_cero!$A$1,1,MATCH($B$6,Curvas_cupon_cero!$1:$1,0)-1,COUNT(Curvas_cupon_cero!$A:$A)-2,1)),[1]!interpolar(H189,OFFSET(Curvas_cupon_cero!$A$1,1,0,COUNT(Curvas_cupon_cero!$A:$A)-2,1),OFFSET(Curvas_cupon_cero!$A$1,1,MATCH($B$6,Curvas_cupon_cero!$1:$1,0)-1,COUNT(Curvas_cupon_cero!$A:$A)-2,1))))</f>
        <v/>
      </c>
      <c r="J189" s="19" t="str">
        <f>IF(A189="","",F189/(1+I189*$B$5/360)^(COUNT(A$16:A189)-($B$5-$G$16)/$B$5))</f>
        <v/>
      </c>
    </row>
    <row r="190" spans="1:10" x14ac:dyDescent="0.2">
      <c r="A190" s="12" t="str">
        <f t="shared" si="15"/>
        <v/>
      </c>
      <c r="B190" t="str">
        <f t="shared" si="13"/>
        <v/>
      </c>
      <c r="C190" s="21" t="str">
        <f ca="1">IF(A190="","",IF($B$8="Sí",interpolar_alamb(B190,OFFSET(Curvas_cupon_cero!$A$1,1,0,COUNT(Curvas_cupon_cero!$A:$A)-2,1),OFFSET(Curvas_cupon_cero!$A$1,1,MATCH($B$7,Curvas_cupon_cero!$1:$1,0)-1,COUNT(Curvas_cupon_cero!$A:$A)-2,1)),[1]!interpolar(B190,OFFSET(Curvas_cupon_cero!$A$1,1,0,COUNT(Curvas_cupon_cero!$A:$A)-2,1),OFFSET(Curvas_cupon_cero!$A$1,1,MATCH($B$7,Curvas_cupon_cero!$1:$1,0)-1,COUNT(Curvas_cupon_cero!$A:$A)-2,1))))</f>
        <v/>
      </c>
      <c r="D190" s="23" t="str">
        <f ca="1">IF(A190="","",IF($B$8="Sí",interpolar_alamb(H190,OFFSET(Curvas_cupon_cero!$A$1,1,0,COUNT(Curvas_cupon_cero!$A:$A)-2,1),OFFSET(Curvas_cupon_cero!$A$1,1,MATCH($B$7,Curvas_cupon_cero!$1:$1,0)-1,COUNT(Curvas_cupon_cero!$A:$A)-2,1)),[1]!interpolar(H190,OFFSET(Curvas_cupon_cero!$A$1,1,0,COUNT(Curvas_cupon_cero!$A:$A)-2,1),OFFSET(Curvas_cupon_cero!$A$1,1,MATCH($B$7,Curvas_cupon_cero!$1:$1,0)-1,COUNT(Curvas_cupon_cero!$A:$A)-2,1))))</f>
        <v/>
      </c>
      <c r="E190" s="23" t="str">
        <f t="shared" si="16"/>
        <v/>
      </c>
      <c r="F190" s="17" t="str">
        <f t="shared" si="14"/>
        <v/>
      </c>
      <c r="G190" s="18" t="str">
        <f t="shared" si="17"/>
        <v/>
      </c>
      <c r="H190" t="str">
        <f t="shared" si="18"/>
        <v/>
      </c>
      <c r="I190" s="23" t="str">
        <f ca="1">IF(A190="","",IF($B$8="Sí",interpolar_alamb(H190,OFFSET(Curvas_cupon_cero!$A$1,1,0,COUNT(Curvas_cupon_cero!$A:$A)-2,1),OFFSET(Curvas_cupon_cero!$A$1,1,MATCH($B$6,Curvas_cupon_cero!$1:$1,0)-1,COUNT(Curvas_cupon_cero!$A:$A)-2,1)),[1]!interpolar(H190,OFFSET(Curvas_cupon_cero!$A$1,1,0,COUNT(Curvas_cupon_cero!$A:$A)-2,1),OFFSET(Curvas_cupon_cero!$A$1,1,MATCH($B$6,Curvas_cupon_cero!$1:$1,0)-1,COUNT(Curvas_cupon_cero!$A:$A)-2,1))))</f>
        <v/>
      </c>
      <c r="J190" s="19" t="str">
        <f>IF(A190="","",F190/(1+I190*$B$5/360)^(COUNT(A$16:A190)-($B$5-$G$16)/$B$5))</f>
        <v/>
      </c>
    </row>
    <row r="191" spans="1:10" x14ac:dyDescent="0.2">
      <c r="A191" s="12" t="str">
        <f t="shared" si="15"/>
        <v/>
      </c>
      <c r="B191" t="str">
        <f t="shared" si="13"/>
        <v/>
      </c>
      <c r="C191" s="21" t="str">
        <f ca="1">IF(A191="","",IF($B$8="Sí",interpolar_alamb(B191,OFFSET(Curvas_cupon_cero!$A$1,1,0,COUNT(Curvas_cupon_cero!$A:$A)-2,1),OFFSET(Curvas_cupon_cero!$A$1,1,MATCH($B$7,Curvas_cupon_cero!$1:$1,0)-1,COUNT(Curvas_cupon_cero!$A:$A)-2,1)),[1]!interpolar(B191,OFFSET(Curvas_cupon_cero!$A$1,1,0,COUNT(Curvas_cupon_cero!$A:$A)-2,1),OFFSET(Curvas_cupon_cero!$A$1,1,MATCH($B$7,Curvas_cupon_cero!$1:$1,0)-1,COUNT(Curvas_cupon_cero!$A:$A)-2,1))))</f>
        <v/>
      </c>
      <c r="D191" s="23" t="str">
        <f ca="1">IF(A191="","",IF($B$8="Sí",interpolar_alamb(H191,OFFSET(Curvas_cupon_cero!$A$1,1,0,COUNT(Curvas_cupon_cero!$A:$A)-2,1),OFFSET(Curvas_cupon_cero!$A$1,1,MATCH($B$7,Curvas_cupon_cero!$1:$1,0)-1,COUNT(Curvas_cupon_cero!$A:$A)-2,1)),[1]!interpolar(H191,OFFSET(Curvas_cupon_cero!$A$1,1,0,COUNT(Curvas_cupon_cero!$A:$A)-2,1),OFFSET(Curvas_cupon_cero!$A$1,1,MATCH($B$7,Curvas_cupon_cero!$1:$1,0)-1,COUNT(Curvas_cupon_cero!$A:$A)-2,1))))</f>
        <v/>
      </c>
      <c r="E191" s="23" t="str">
        <f t="shared" si="16"/>
        <v/>
      </c>
      <c r="F191" s="17" t="str">
        <f t="shared" si="14"/>
        <v/>
      </c>
      <c r="G191" s="18" t="str">
        <f t="shared" si="17"/>
        <v/>
      </c>
      <c r="H191" t="str">
        <f t="shared" si="18"/>
        <v/>
      </c>
      <c r="I191" s="23" t="str">
        <f ca="1">IF(A191="","",IF($B$8="Sí",interpolar_alamb(H191,OFFSET(Curvas_cupon_cero!$A$1,1,0,COUNT(Curvas_cupon_cero!$A:$A)-2,1),OFFSET(Curvas_cupon_cero!$A$1,1,MATCH($B$6,Curvas_cupon_cero!$1:$1,0)-1,COUNT(Curvas_cupon_cero!$A:$A)-2,1)),[1]!interpolar(H191,OFFSET(Curvas_cupon_cero!$A$1,1,0,COUNT(Curvas_cupon_cero!$A:$A)-2,1),OFFSET(Curvas_cupon_cero!$A$1,1,MATCH($B$6,Curvas_cupon_cero!$1:$1,0)-1,COUNT(Curvas_cupon_cero!$A:$A)-2,1))))</f>
        <v/>
      </c>
      <c r="J191" s="19" t="str">
        <f>IF(A191="","",F191/(1+I191*$B$5/360)^(COUNT(A$16:A191)-($B$5-$G$16)/$B$5))</f>
        <v/>
      </c>
    </row>
    <row r="192" spans="1:10" x14ac:dyDescent="0.2">
      <c r="A192" s="12" t="str">
        <f t="shared" si="15"/>
        <v/>
      </c>
      <c r="B192" t="str">
        <f t="shared" si="13"/>
        <v/>
      </c>
      <c r="C192" s="21" t="str">
        <f ca="1">IF(A192="","",IF($B$8="Sí",interpolar_alamb(B192,OFFSET(Curvas_cupon_cero!$A$1,1,0,COUNT(Curvas_cupon_cero!$A:$A)-2,1),OFFSET(Curvas_cupon_cero!$A$1,1,MATCH($B$7,Curvas_cupon_cero!$1:$1,0)-1,COUNT(Curvas_cupon_cero!$A:$A)-2,1)),[1]!interpolar(B192,OFFSET(Curvas_cupon_cero!$A$1,1,0,COUNT(Curvas_cupon_cero!$A:$A)-2,1),OFFSET(Curvas_cupon_cero!$A$1,1,MATCH($B$7,Curvas_cupon_cero!$1:$1,0)-1,COUNT(Curvas_cupon_cero!$A:$A)-2,1))))</f>
        <v/>
      </c>
      <c r="D192" s="23" t="str">
        <f ca="1">IF(A192="","",IF($B$8="Sí",interpolar_alamb(H192,OFFSET(Curvas_cupon_cero!$A$1,1,0,COUNT(Curvas_cupon_cero!$A:$A)-2,1),OFFSET(Curvas_cupon_cero!$A$1,1,MATCH($B$7,Curvas_cupon_cero!$1:$1,0)-1,COUNT(Curvas_cupon_cero!$A:$A)-2,1)),[1]!interpolar(H192,OFFSET(Curvas_cupon_cero!$A$1,1,0,COUNT(Curvas_cupon_cero!$A:$A)-2,1),OFFSET(Curvas_cupon_cero!$A$1,1,MATCH($B$7,Curvas_cupon_cero!$1:$1,0)-1,COUNT(Curvas_cupon_cero!$A:$A)-2,1))))</f>
        <v/>
      </c>
      <c r="E192" s="23" t="str">
        <f t="shared" si="16"/>
        <v/>
      </c>
      <c r="F192" s="17" t="str">
        <f t="shared" si="14"/>
        <v/>
      </c>
      <c r="G192" s="18" t="str">
        <f t="shared" si="17"/>
        <v/>
      </c>
      <c r="H192" t="str">
        <f t="shared" si="18"/>
        <v/>
      </c>
      <c r="I192" s="23" t="str">
        <f ca="1">IF(A192="","",IF($B$8="Sí",interpolar_alamb(H192,OFFSET(Curvas_cupon_cero!$A$1,1,0,COUNT(Curvas_cupon_cero!$A:$A)-2,1),OFFSET(Curvas_cupon_cero!$A$1,1,MATCH($B$6,Curvas_cupon_cero!$1:$1,0)-1,COUNT(Curvas_cupon_cero!$A:$A)-2,1)),[1]!interpolar(H192,OFFSET(Curvas_cupon_cero!$A$1,1,0,COUNT(Curvas_cupon_cero!$A:$A)-2,1),OFFSET(Curvas_cupon_cero!$A$1,1,MATCH($B$6,Curvas_cupon_cero!$1:$1,0)-1,COUNT(Curvas_cupon_cero!$A:$A)-2,1))))</f>
        <v/>
      </c>
      <c r="J192" s="19" t="str">
        <f>IF(A192="","",F192/(1+I192*$B$5/360)^(COUNT(A$16:A192)-($B$5-$G$16)/$B$5))</f>
        <v/>
      </c>
    </row>
    <row r="193" spans="1:10" x14ac:dyDescent="0.2">
      <c r="A193" s="12" t="str">
        <f t="shared" si="15"/>
        <v/>
      </c>
      <c r="B193" t="str">
        <f t="shared" si="13"/>
        <v/>
      </c>
      <c r="C193" s="21" t="str">
        <f ca="1">IF(A193="","",IF($B$8="Sí",interpolar_alamb(B193,OFFSET(Curvas_cupon_cero!$A$1,1,0,COUNT(Curvas_cupon_cero!$A:$A)-2,1),OFFSET(Curvas_cupon_cero!$A$1,1,MATCH($B$7,Curvas_cupon_cero!$1:$1,0)-1,COUNT(Curvas_cupon_cero!$A:$A)-2,1)),[1]!interpolar(B193,OFFSET(Curvas_cupon_cero!$A$1,1,0,COUNT(Curvas_cupon_cero!$A:$A)-2,1),OFFSET(Curvas_cupon_cero!$A$1,1,MATCH($B$7,Curvas_cupon_cero!$1:$1,0)-1,COUNT(Curvas_cupon_cero!$A:$A)-2,1))))</f>
        <v/>
      </c>
      <c r="D193" s="23" t="str">
        <f ca="1">IF(A193="","",IF($B$8="Sí",interpolar_alamb(H193,OFFSET(Curvas_cupon_cero!$A$1,1,0,COUNT(Curvas_cupon_cero!$A:$A)-2,1),OFFSET(Curvas_cupon_cero!$A$1,1,MATCH($B$7,Curvas_cupon_cero!$1:$1,0)-1,COUNT(Curvas_cupon_cero!$A:$A)-2,1)),[1]!interpolar(H193,OFFSET(Curvas_cupon_cero!$A$1,1,0,COUNT(Curvas_cupon_cero!$A:$A)-2,1),OFFSET(Curvas_cupon_cero!$A$1,1,MATCH($B$7,Curvas_cupon_cero!$1:$1,0)-1,COUNT(Curvas_cupon_cero!$A:$A)-2,1))))</f>
        <v/>
      </c>
      <c r="E193" s="23" t="str">
        <f t="shared" si="16"/>
        <v/>
      </c>
      <c r="F193" s="17" t="str">
        <f t="shared" si="14"/>
        <v/>
      </c>
      <c r="G193" s="18" t="str">
        <f t="shared" si="17"/>
        <v/>
      </c>
      <c r="H193" t="str">
        <f t="shared" si="18"/>
        <v/>
      </c>
      <c r="I193" s="23" t="str">
        <f ca="1">IF(A193="","",IF($B$8="Sí",interpolar_alamb(H193,OFFSET(Curvas_cupon_cero!$A$1,1,0,COUNT(Curvas_cupon_cero!$A:$A)-2,1),OFFSET(Curvas_cupon_cero!$A$1,1,MATCH($B$6,Curvas_cupon_cero!$1:$1,0)-1,COUNT(Curvas_cupon_cero!$A:$A)-2,1)),[1]!interpolar(H193,OFFSET(Curvas_cupon_cero!$A$1,1,0,COUNT(Curvas_cupon_cero!$A:$A)-2,1),OFFSET(Curvas_cupon_cero!$A$1,1,MATCH($B$6,Curvas_cupon_cero!$1:$1,0)-1,COUNT(Curvas_cupon_cero!$A:$A)-2,1))))</f>
        <v/>
      </c>
      <c r="J193" s="19" t="str">
        <f>IF(A193="","",F193/(1+I193*$B$5/360)^(COUNT(A$16:A193)-($B$5-$G$16)/$B$5))</f>
        <v/>
      </c>
    </row>
    <row r="194" spans="1:10" x14ac:dyDescent="0.2">
      <c r="A194" s="12" t="str">
        <f t="shared" si="15"/>
        <v/>
      </c>
      <c r="B194" t="str">
        <f t="shared" si="13"/>
        <v/>
      </c>
      <c r="C194" s="21" t="str">
        <f ca="1">IF(A194="","",IF($B$8="Sí",interpolar_alamb(B194,OFFSET(Curvas_cupon_cero!$A$1,1,0,COUNT(Curvas_cupon_cero!$A:$A)-2,1),OFFSET(Curvas_cupon_cero!$A$1,1,MATCH($B$7,Curvas_cupon_cero!$1:$1,0)-1,COUNT(Curvas_cupon_cero!$A:$A)-2,1)),[1]!interpolar(B194,OFFSET(Curvas_cupon_cero!$A$1,1,0,COUNT(Curvas_cupon_cero!$A:$A)-2,1),OFFSET(Curvas_cupon_cero!$A$1,1,MATCH($B$7,Curvas_cupon_cero!$1:$1,0)-1,COUNT(Curvas_cupon_cero!$A:$A)-2,1))))</f>
        <v/>
      </c>
      <c r="D194" s="23" t="str">
        <f ca="1">IF(A194="","",IF($B$8="Sí",interpolar_alamb(H194,OFFSET(Curvas_cupon_cero!$A$1,1,0,COUNT(Curvas_cupon_cero!$A:$A)-2,1),OFFSET(Curvas_cupon_cero!$A$1,1,MATCH($B$7,Curvas_cupon_cero!$1:$1,0)-1,COUNT(Curvas_cupon_cero!$A:$A)-2,1)),[1]!interpolar(H194,OFFSET(Curvas_cupon_cero!$A$1,1,0,COUNT(Curvas_cupon_cero!$A:$A)-2,1),OFFSET(Curvas_cupon_cero!$A$1,1,MATCH($B$7,Curvas_cupon_cero!$1:$1,0)-1,COUNT(Curvas_cupon_cero!$A:$A)-2,1))))</f>
        <v/>
      </c>
      <c r="E194" s="23" t="str">
        <f t="shared" si="16"/>
        <v/>
      </c>
      <c r="F194" s="17" t="str">
        <f t="shared" si="14"/>
        <v/>
      </c>
      <c r="G194" s="18" t="str">
        <f t="shared" si="17"/>
        <v/>
      </c>
      <c r="H194" t="str">
        <f t="shared" si="18"/>
        <v/>
      </c>
      <c r="I194" s="23" t="str">
        <f ca="1">IF(A194="","",IF($B$8="Sí",interpolar_alamb(H194,OFFSET(Curvas_cupon_cero!$A$1,1,0,COUNT(Curvas_cupon_cero!$A:$A)-2,1),OFFSET(Curvas_cupon_cero!$A$1,1,MATCH($B$6,Curvas_cupon_cero!$1:$1,0)-1,COUNT(Curvas_cupon_cero!$A:$A)-2,1)),[1]!interpolar(H194,OFFSET(Curvas_cupon_cero!$A$1,1,0,COUNT(Curvas_cupon_cero!$A:$A)-2,1),OFFSET(Curvas_cupon_cero!$A$1,1,MATCH($B$6,Curvas_cupon_cero!$1:$1,0)-1,COUNT(Curvas_cupon_cero!$A:$A)-2,1))))</f>
        <v/>
      </c>
      <c r="J194" s="19" t="str">
        <f>IF(A194="","",F194/(1+I194*$B$5/360)^(COUNT(A$16:A194)-($B$5-$G$16)/$B$5))</f>
        <v/>
      </c>
    </row>
    <row r="195" spans="1:10" x14ac:dyDescent="0.2">
      <c r="A195" s="12" t="str">
        <f t="shared" si="15"/>
        <v/>
      </c>
      <c r="B195" t="str">
        <f t="shared" si="13"/>
        <v/>
      </c>
      <c r="C195" s="21" t="str">
        <f ca="1">IF(A195="","",IF($B$8="Sí",interpolar_alamb(B195,OFFSET(Curvas_cupon_cero!$A$1,1,0,COUNT(Curvas_cupon_cero!$A:$A)-2,1),OFFSET(Curvas_cupon_cero!$A$1,1,MATCH($B$7,Curvas_cupon_cero!$1:$1,0)-1,COUNT(Curvas_cupon_cero!$A:$A)-2,1)),[1]!interpolar(B195,OFFSET(Curvas_cupon_cero!$A$1,1,0,COUNT(Curvas_cupon_cero!$A:$A)-2,1),OFFSET(Curvas_cupon_cero!$A$1,1,MATCH($B$7,Curvas_cupon_cero!$1:$1,0)-1,COUNT(Curvas_cupon_cero!$A:$A)-2,1))))</f>
        <v/>
      </c>
      <c r="D195" s="23" t="str">
        <f ca="1">IF(A195="","",IF($B$8="Sí",interpolar_alamb(H195,OFFSET(Curvas_cupon_cero!$A$1,1,0,COUNT(Curvas_cupon_cero!$A:$A)-2,1),OFFSET(Curvas_cupon_cero!$A$1,1,MATCH($B$7,Curvas_cupon_cero!$1:$1,0)-1,COUNT(Curvas_cupon_cero!$A:$A)-2,1)),[1]!interpolar(H195,OFFSET(Curvas_cupon_cero!$A$1,1,0,COUNT(Curvas_cupon_cero!$A:$A)-2,1),OFFSET(Curvas_cupon_cero!$A$1,1,MATCH($B$7,Curvas_cupon_cero!$1:$1,0)-1,COUNT(Curvas_cupon_cero!$A:$A)-2,1))))</f>
        <v/>
      </c>
      <c r="E195" s="23" t="str">
        <f t="shared" si="16"/>
        <v/>
      </c>
      <c r="F195" s="17" t="str">
        <f t="shared" si="14"/>
        <v/>
      </c>
      <c r="G195" s="18" t="str">
        <f t="shared" si="17"/>
        <v/>
      </c>
      <c r="H195" t="str">
        <f t="shared" si="18"/>
        <v/>
      </c>
      <c r="I195" s="23" t="str">
        <f ca="1">IF(A195="","",IF($B$8="Sí",interpolar_alamb(H195,OFFSET(Curvas_cupon_cero!$A$1,1,0,COUNT(Curvas_cupon_cero!$A:$A)-2,1),OFFSET(Curvas_cupon_cero!$A$1,1,MATCH($B$6,Curvas_cupon_cero!$1:$1,0)-1,COUNT(Curvas_cupon_cero!$A:$A)-2,1)),[1]!interpolar(H195,OFFSET(Curvas_cupon_cero!$A$1,1,0,COUNT(Curvas_cupon_cero!$A:$A)-2,1),OFFSET(Curvas_cupon_cero!$A$1,1,MATCH($B$6,Curvas_cupon_cero!$1:$1,0)-1,COUNT(Curvas_cupon_cero!$A:$A)-2,1))))</f>
        <v/>
      </c>
      <c r="J195" s="19" t="str">
        <f>IF(A195="","",F195/(1+I195*$B$5/360)^(COUNT(A$16:A195)-($B$5-$G$16)/$B$5))</f>
        <v/>
      </c>
    </row>
    <row r="196" spans="1:10" x14ac:dyDescent="0.2">
      <c r="A196" s="12" t="str">
        <f t="shared" si="15"/>
        <v/>
      </c>
      <c r="B196" t="str">
        <f t="shared" si="13"/>
        <v/>
      </c>
      <c r="C196" s="21" t="str">
        <f ca="1">IF(A196="","",IF($B$8="Sí",interpolar_alamb(B196,OFFSET(Curvas_cupon_cero!$A$1,1,0,COUNT(Curvas_cupon_cero!$A:$A)-2,1),OFFSET(Curvas_cupon_cero!$A$1,1,MATCH($B$7,Curvas_cupon_cero!$1:$1,0)-1,COUNT(Curvas_cupon_cero!$A:$A)-2,1)),[1]!interpolar(B196,OFFSET(Curvas_cupon_cero!$A$1,1,0,COUNT(Curvas_cupon_cero!$A:$A)-2,1),OFFSET(Curvas_cupon_cero!$A$1,1,MATCH($B$7,Curvas_cupon_cero!$1:$1,0)-1,COUNT(Curvas_cupon_cero!$A:$A)-2,1))))</f>
        <v/>
      </c>
      <c r="D196" s="23" t="str">
        <f ca="1">IF(A196="","",IF($B$8="Sí",interpolar_alamb(H196,OFFSET(Curvas_cupon_cero!$A$1,1,0,COUNT(Curvas_cupon_cero!$A:$A)-2,1),OFFSET(Curvas_cupon_cero!$A$1,1,MATCH($B$7,Curvas_cupon_cero!$1:$1,0)-1,COUNT(Curvas_cupon_cero!$A:$A)-2,1)),[1]!interpolar(H196,OFFSET(Curvas_cupon_cero!$A$1,1,0,COUNT(Curvas_cupon_cero!$A:$A)-2,1),OFFSET(Curvas_cupon_cero!$A$1,1,MATCH($B$7,Curvas_cupon_cero!$1:$1,0)-1,COUNT(Curvas_cupon_cero!$A:$A)-2,1))))</f>
        <v/>
      </c>
      <c r="E196" s="23" t="str">
        <f t="shared" si="16"/>
        <v/>
      </c>
      <c r="F196" s="17" t="str">
        <f t="shared" si="14"/>
        <v/>
      </c>
      <c r="G196" s="18" t="str">
        <f t="shared" si="17"/>
        <v/>
      </c>
      <c r="H196" t="str">
        <f t="shared" si="18"/>
        <v/>
      </c>
      <c r="I196" s="23" t="str">
        <f ca="1">IF(A196="","",IF($B$8="Sí",interpolar_alamb(H196,OFFSET(Curvas_cupon_cero!$A$1,1,0,COUNT(Curvas_cupon_cero!$A:$A)-2,1),OFFSET(Curvas_cupon_cero!$A$1,1,MATCH($B$6,Curvas_cupon_cero!$1:$1,0)-1,COUNT(Curvas_cupon_cero!$A:$A)-2,1)),[1]!interpolar(H196,OFFSET(Curvas_cupon_cero!$A$1,1,0,COUNT(Curvas_cupon_cero!$A:$A)-2,1),OFFSET(Curvas_cupon_cero!$A$1,1,MATCH($B$6,Curvas_cupon_cero!$1:$1,0)-1,COUNT(Curvas_cupon_cero!$A:$A)-2,1))))</f>
        <v/>
      </c>
      <c r="J196" s="19" t="str">
        <f>IF(A196="","",F196/(1+I196*$B$5/360)^(COUNT(A$16:A196)-($B$5-$G$16)/$B$5))</f>
        <v/>
      </c>
    </row>
    <row r="197" spans="1:10" x14ac:dyDescent="0.2">
      <c r="A197" s="12" t="str">
        <f t="shared" si="15"/>
        <v/>
      </c>
      <c r="B197" t="str">
        <f t="shared" si="13"/>
        <v/>
      </c>
      <c r="C197" s="21" t="str">
        <f ca="1">IF(A197="","",IF($B$8="Sí",interpolar_alamb(B197,OFFSET(Curvas_cupon_cero!$A$1,1,0,COUNT(Curvas_cupon_cero!$A:$A)-2,1),OFFSET(Curvas_cupon_cero!$A$1,1,MATCH($B$7,Curvas_cupon_cero!$1:$1,0)-1,COUNT(Curvas_cupon_cero!$A:$A)-2,1)),[1]!interpolar(B197,OFFSET(Curvas_cupon_cero!$A$1,1,0,COUNT(Curvas_cupon_cero!$A:$A)-2,1),OFFSET(Curvas_cupon_cero!$A$1,1,MATCH($B$7,Curvas_cupon_cero!$1:$1,0)-1,COUNT(Curvas_cupon_cero!$A:$A)-2,1))))</f>
        <v/>
      </c>
      <c r="D197" s="23" t="str">
        <f ca="1">IF(A197="","",IF($B$8="Sí",interpolar_alamb(H197,OFFSET(Curvas_cupon_cero!$A$1,1,0,COUNT(Curvas_cupon_cero!$A:$A)-2,1),OFFSET(Curvas_cupon_cero!$A$1,1,MATCH($B$7,Curvas_cupon_cero!$1:$1,0)-1,COUNT(Curvas_cupon_cero!$A:$A)-2,1)),[1]!interpolar(H197,OFFSET(Curvas_cupon_cero!$A$1,1,0,COUNT(Curvas_cupon_cero!$A:$A)-2,1),OFFSET(Curvas_cupon_cero!$A$1,1,MATCH($B$7,Curvas_cupon_cero!$1:$1,0)-1,COUNT(Curvas_cupon_cero!$A:$A)-2,1))))</f>
        <v/>
      </c>
      <c r="E197" s="23" t="str">
        <f t="shared" si="16"/>
        <v/>
      </c>
      <c r="F197" s="17" t="str">
        <f t="shared" si="14"/>
        <v/>
      </c>
      <c r="G197" s="18" t="str">
        <f t="shared" si="17"/>
        <v/>
      </c>
      <c r="H197" t="str">
        <f t="shared" si="18"/>
        <v/>
      </c>
      <c r="I197" s="23" t="str">
        <f ca="1">IF(A197="","",IF($B$8="Sí",interpolar_alamb(H197,OFFSET(Curvas_cupon_cero!$A$1,1,0,COUNT(Curvas_cupon_cero!$A:$A)-2,1),OFFSET(Curvas_cupon_cero!$A$1,1,MATCH($B$6,Curvas_cupon_cero!$1:$1,0)-1,COUNT(Curvas_cupon_cero!$A:$A)-2,1)),[1]!interpolar(H197,OFFSET(Curvas_cupon_cero!$A$1,1,0,COUNT(Curvas_cupon_cero!$A:$A)-2,1),OFFSET(Curvas_cupon_cero!$A$1,1,MATCH($B$6,Curvas_cupon_cero!$1:$1,0)-1,COUNT(Curvas_cupon_cero!$A:$A)-2,1))))</f>
        <v/>
      </c>
      <c r="J197" s="19" t="str">
        <f>IF(A197="","",F197/(1+I197*$B$5/360)^(COUNT(A$16:A197)-($B$5-$G$16)/$B$5))</f>
        <v/>
      </c>
    </row>
    <row r="198" spans="1:10" x14ac:dyDescent="0.2">
      <c r="A198" s="12" t="str">
        <f t="shared" si="15"/>
        <v/>
      </c>
      <c r="B198" t="str">
        <f t="shared" si="13"/>
        <v/>
      </c>
      <c r="C198" s="21" t="str">
        <f ca="1">IF(A198="","",IF($B$8="Sí",interpolar_alamb(B198,OFFSET(Curvas_cupon_cero!$A$1,1,0,COUNT(Curvas_cupon_cero!$A:$A)-2,1),OFFSET(Curvas_cupon_cero!$A$1,1,MATCH($B$7,Curvas_cupon_cero!$1:$1,0)-1,COUNT(Curvas_cupon_cero!$A:$A)-2,1)),[1]!interpolar(B198,OFFSET(Curvas_cupon_cero!$A$1,1,0,COUNT(Curvas_cupon_cero!$A:$A)-2,1),OFFSET(Curvas_cupon_cero!$A$1,1,MATCH($B$7,Curvas_cupon_cero!$1:$1,0)-1,COUNT(Curvas_cupon_cero!$A:$A)-2,1))))</f>
        <v/>
      </c>
      <c r="D198" s="23" t="str">
        <f ca="1">IF(A198="","",IF($B$8="Sí",interpolar_alamb(H198,OFFSET(Curvas_cupon_cero!$A$1,1,0,COUNT(Curvas_cupon_cero!$A:$A)-2,1),OFFSET(Curvas_cupon_cero!$A$1,1,MATCH($B$7,Curvas_cupon_cero!$1:$1,0)-1,COUNT(Curvas_cupon_cero!$A:$A)-2,1)),[1]!interpolar(H198,OFFSET(Curvas_cupon_cero!$A$1,1,0,COUNT(Curvas_cupon_cero!$A:$A)-2,1),OFFSET(Curvas_cupon_cero!$A$1,1,MATCH($B$7,Curvas_cupon_cero!$1:$1,0)-1,COUNT(Curvas_cupon_cero!$A:$A)-2,1))))</f>
        <v/>
      </c>
      <c r="E198" s="23" t="str">
        <f t="shared" si="16"/>
        <v/>
      </c>
      <c r="F198" s="17" t="str">
        <f t="shared" si="14"/>
        <v/>
      </c>
      <c r="G198" s="18" t="str">
        <f t="shared" si="17"/>
        <v/>
      </c>
      <c r="H198" t="str">
        <f t="shared" si="18"/>
        <v/>
      </c>
      <c r="I198" s="23" t="str">
        <f ca="1">IF(A198="","",IF($B$8="Sí",interpolar_alamb(H198,OFFSET(Curvas_cupon_cero!$A$1,1,0,COUNT(Curvas_cupon_cero!$A:$A)-2,1),OFFSET(Curvas_cupon_cero!$A$1,1,MATCH($B$6,Curvas_cupon_cero!$1:$1,0)-1,COUNT(Curvas_cupon_cero!$A:$A)-2,1)),[1]!interpolar(H198,OFFSET(Curvas_cupon_cero!$A$1,1,0,COUNT(Curvas_cupon_cero!$A:$A)-2,1),OFFSET(Curvas_cupon_cero!$A$1,1,MATCH($B$6,Curvas_cupon_cero!$1:$1,0)-1,COUNT(Curvas_cupon_cero!$A:$A)-2,1))))</f>
        <v/>
      </c>
      <c r="J198" s="19" t="str">
        <f>IF(A198="","",F198/(1+I198*$B$5/360)^(COUNT(A$16:A198)-($B$5-$G$16)/$B$5))</f>
        <v/>
      </c>
    </row>
    <row r="199" spans="1:10" x14ac:dyDescent="0.2">
      <c r="A199" s="12" t="str">
        <f t="shared" si="15"/>
        <v/>
      </c>
      <c r="B199" t="str">
        <f t="shared" si="13"/>
        <v/>
      </c>
      <c r="C199" s="21" t="str">
        <f ca="1">IF(A199="","",IF($B$8="Sí",interpolar_alamb(B199,OFFSET(Curvas_cupon_cero!$A$1,1,0,COUNT(Curvas_cupon_cero!$A:$A)-2,1),OFFSET(Curvas_cupon_cero!$A$1,1,MATCH($B$7,Curvas_cupon_cero!$1:$1,0)-1,COUNT(Curvas_cupon_cero!$A:$A)-2,1)),[1]!interpolar(B199,OFFSET(Curvas_cupon_cero!$A$1,1,0,COUNT(Curvas_cupon_cero!$A:$A)-2,1),OFFSET(Curvas_cupon_cero!$A$1,1,MATCH($B$7,Curvas_cupon_cero!$1:$1,0)-1,COUNT(Curvas_cupon_cero!$A:$A)-2,1))))</f>
        <v/>
      </c>
      <c r="D199" s="23" t="str">
        <f ca="1">IF(A199="","",IF($B$8="Sí",interpolar_alamb(H199,OFFSET(Curvas_cupon_cero!$A$1,1,0,COUNT(Curvas_cupon_cero!$A:$A)-2,1),OFFSET(Curvas_cupon_cero!$A$1,1,MATCH($B$7,Curvas_cupon_cero!$1:$1,0)-1,COUNT(Curvas_cupon_cero!$A:$A)-2,1)),[1]!interpolar(H199,OFFSET(Curvas_cupon_cero!$A$1,1,0,COUNT(Curvas_cupon_cero!$A:$A)-2,1),OFFSET(Curvas_cupon_cero!$A$1,1,MATCH($B$7,Curvas_cupon_cero!$1:$1,0)-1,COUNT(Curvas_cupon_cero!$A:$A)-2,1))))</f>
        <v/>
      </c>
      <c r="E199" s="23" t="str">
        <f t="shared" si="16"/>
        <v/>
      </c>
      <c r="F199" s="17" t="str">
        <f t="shared" si="14"/>
        <v/>
      </c>
      <c r="G199" s="18" t="str">
        <f t="shared" si="17"/>
        <v/>
      </c>
      <c r="H199" t="str">
        <f t="shared" si="18"/>
        <v/>
      </c>
      <c r="I199" s="23" t="str">
        <f ca="1">IF(A199="","",IF($B$8="Sí",interpolar_alamb(H199,OFFSET(Curvas_cupon_cero!$A$1,1,0,COUNT(Curvas_cupon_cero!$A:$A)-2,1),OFFSET(Curvas_cupon_cero!$A$1,1,MATCH($B$6,Curvas_cupon_cero!$1:$1,0)-1,COUNT(Curvas_cupon_cero!$A:$A)-2,1)),[1]!interpolar(H199,OFFSET(Curvas_cupon_cero!$A$1,1,0,COUNT(Curvas_cupon_cero!$A:$A)-2,1),OFFSET(Curvas_cupon_cero!$A$1,1,MATCH($B$6,Curvas_cupon_cero!$1:$1,0)-1,COUNT(Curvas_cupon_cero!$A:$A)-2,1))))</f>
        <v/>
      </c>
      <c r="J199" s="19" t="str">
        <f>IF(A199="","",F199/(1+I199*$B$5/360)^(COUNT(A$16:A199)-($B$5-$G$16)/$B$5))</f>
        <v/>
      </c>
    </row>
    <row r="200" spans="1:10" x14ac:dyDescent="0.2">
      <c r="A200" s="12" t="str">
        <f t="shared" si="15"/>
        <v/>
      </c>
      <c r="B200" t="str">
        <f t="shared" si="13"/>
        <v/>
      </c>
      <c r="C200" s="21" t="str">
        <f ca="1">IF(A200="","",IF($B$8="Sí",interpolar_alamb(B200,OFFSET(Curvas_cupon_cero!$A$1,1,0,COUNT(Curvas_cupon_cero!$A:$A)-2,1),OFFSET(Curvas_cupon_cero!$A$1,1,MATCH($B$7,Curvas_cupon_cero!$1:$1,0)-1,COUNT(Curvas_cupon_cero!$A:$A)-2,1)),[1]!interpolar(B200,OFFSET(Curvas_cupon_cero!$A$1,1,0,COUNT(Curvas_cupon_cero!$A:$A)-2,1),OFFSET(Curvas_cupon_cero!$A$1,1,MATCH($B$7,Curvas_cupon_cero!$1:$1,0)-1,COUNT(Curvas_cupon_cero!$A:$A)-2,1))))</f>
        <v/>
      </c>
      <c r="D200" s="23" t="str">
        <f ca="1">IF(A200="","",IF($B$8="Sí",interpolar_alamb(H200,OFFSET(Curvas_cupon_cero!$A$1,1,0,COUNT(Curvas_cupon_cero!$A:$A)-2,1),OFFSET(Curvas_cupon_cero!$A$1,1,MATCH($B$7,Curvas_cupon_cero!$1:$1,0)-1,COUNT(Curvas_cupon_cero!$A:$A)-2,1)),[1]!interpolar(H200,OFFSET(Curvas_cupon_cero!$A$1,1,0,COUNT(Curvas_cupon_cero!$A:$A)-2,1),OFFSET(Curvas_cupon_cero!$A$1,1,MATCH($B$7,Curvas_cupon_cero!$1:$1,0)-1,COUNT(Curvas_cupon_cero!$A:$A)-2,1))))</f>
        <v/>
      </c>
      <c r="E200" s="23" t="str">
        <f t="shared" si="16"/>
        <v/>
      </c>
      <c r="F200" s="17" t="str">
        <f t="shared" si="14"/>
        <v/>
      </c>
      <c r="G200" s="18" t="str">
        <f t="shared" si="17"/>
        <v/>
      </c>
      <c r="H200" t="str">
        <f t="shared" si="18"/>
        <v/>
      </c>
      <c r="I200" s="23" t="str">
        <f ca="1">IF(A200="","",IF($B$8="Sí",interpolar_alamb(H200,OFFSET(Curvas_cupon_cero!$A$1,1,0,COUNT(Curvas_cupon_cero!$A:$A)-2,1),OFFSET(Curvas_cupon_cero!$A$1,1,MATCH($B$6,Curvas_cupon_cero!$1:$1,0)-1,COUNT(Curvas_cupon_cero!$A:$A)-2,1)),[1]!interpolar(H200,OFFSET(Curvas_cupon_cero!$A$1,1,0,COUNT(Curvas_cupon_cero!$A:$A)-2,1),OFFSET(Curvas_cupon_cero!$A$1,1,MATCH($B$6,Curvas_cupon_cero!$1:$1,0)-1,COUNT(Curvas_cupon_cero!$A:$A)-2,1))))</f>
        <v/>
      </c>
      <c r="J200" s="19" t="str">
        <f>IF(A200="","",F200/(1+I200*$B$5/360)^(COUNT(A$16:A200)-($B$5-$G$16)/$B$5))</f>
        <v/>
      </c>
    </row>
    <row r="201" spans="1:10" x14ac:dyDescent="0.2">
      <c r="A201" s="12" t="str">
        <f t="shared" si="15"/>
        <v/>
      </c>
      <c r="B201" t="str">
        <f t="shared" si="13"/>
        <v/>
      </c>
      <c r="C201" s="21" t="str">
        <f ca="1">IF(A201="","",IF($B$8="Sí",interpolar_alamb(B201,OFFSET(Curvas_cupon_cero!$A$1,1,0,COUNT(Curvas_cupon_cero!$A:$A)-2,1),OFFSET(Curvas_cupon_cero!$A$1,1,MATCH($B$7,Curvas_cupon_cero!$1:$1,0)-1,COUNT(Curvas_cupon_cero!$A:$A)-2,1)),[1]!interpolar(B201,OFFSET(Curvas_cupon_cero!$A$1,1,0,COUNT(Curvas_cupon_cero!$A:$A)-2,1),OFFSET(Curvas_cupon_cero!$A$1,1,MATCH($B$7,Curvas_cupon_cero!$1:$1,0)-1,COUNT(Curvas_cupon_cero!$A:$A)-2,1))))</f>
        <v/>
      </c>
      <c r="D201" s="23" t="str">
        <f ca="1">IF(A201="","",IF($B$8="Sí",interpolar_alamb(H201,OFFSET(Curvas_cupon_cero!$A$1,1,0,COUNT(Curvas_cupon_cero!$A:$A)-2,1),OFFSET(Curvas_cupon_cero!$A$1,1,MATCH($B$7,Curvas_cupon_cero!$1:$1,0)-1,COUNT(Curvas_cupon_cero!$A:$A)-2,1)),[1]!interpolar(H201,OFFSET(Curvas_cupon_cero!$A$1,1,0,COUNT(Curvas_cupon_cero!$A:$A)-2,1),OFFSET(Curvas_cupon_cero!$A$1,1,MATCH($B$7,Curvas_cupon_cero!$1:$1,0)-1,COUNT(Curvas_cupon_cero!$A:$A)-2,1))))</f>
        <v/>
      </c>
      <c r="E201" s="23" t="str">
        <f t="shared" si="16"/>
        <v/>
      </c>
      <c r="F201" s="17" t="str">
        <f t="shared" si="14"/>
        <v/>
      </c>
      <c r="G201" s="18" t="str">
        <f t="shared" si="17"/>
        <v/>
      </c>
      <c r="H201" t="str">
        <f t="shared" si="18"/>
        <v/>
      </c>
      <c r="I201" s="23" t="str">
        <f ca="1">IF(A201="","",IF($B$8="Sí",interpolar_alamb(H201,OFFSET(Curvas_cupon_cero!$A$1,1,0,COUNT(Curvas_cupon_cero!$A:$A)-2,1),OFFSET(Curvas_cupon_cero!$A$1,1,MATCH($B$6,Curvas_cupon_cero!$1:$1,0)-1,COUNT(Curvas_cupon_cero!$A:$A)-2,1)),[1]!interpolar(H201,OFFSET(Curvas_cupon_cero!$A$1,1,0,COUNT(Curvas_cupon_cero!$A:$A)-2,1),OFFSET(Curvas_cupon_cero!$A$1,1,MATCH($B$6,Curvas_cupon_cero!$1:$1,0)-1,COUNT(Curvas_cupon_cero!$A:$A)-2,1))))</f>
        <v/>
      </c>
      <c r="J201" s="19" t="str">
        <f>IF(A201="","",F201/(1+I201*$B$5/360)^(COUNT(A$16:A201)-($B$5-$G$16)/$B$5))</f>
        <v/>
      </c>
    </row>
    <row r="202" spans="1:10" x14ac:dyDescent="0.2">
      <c r="A202" s="12" t="str">
        <f t="shared" si="15"/>
        <v/>
      </c>
      <c r="B202" t="str">
        <f t="shared" si="13"/>
        <v/>
      </c>
      <c r="C202" s="21" t="str">
        <f ca="1">IF(A202="","",IF($B$8="Sí",interpolar_alamb(B202,OFFSET(Curvas_cupon_cero!$A$1,1,0,COUNT(Curvas_cupon_cero!$A:$A)-2,1),OFFSET(Curvas_cupon_cero!$A$1,1,MATCH($B$7,Curvas_cupon_cero!$1:$1,0)-1,COUNT(Curvas_cupon_cero!$A:$A)-2,1)),[1]!interpolar(B202,OFFSET(Curvas_cupon_cero!$A$1,1,0,COUNT(Curvas_cupon_cero!$A:$A)-2,1),OFFSET(Curvas_cupon_cero!$A$1,1,MATCH($B$7,Curvas_cupon_cero!$1:$1,0)-1,COUNT(Curvas_cupon_cero!$A:$A)-2,1))))</f>
        <v/>
      </c>
      <c r="D202" s="23" t="str">
        <f ca="1">IF(A202="","",IF($B$8="Sí",interpolar_alamb(H202,OFFSET(Curvas_cupon_cero!$A$1,1,0,COUNT(Curvas_cupon_cero!$A:$A)-2,1),OFFSET(Curvas_cupon_cero!$A$1,1,MATCH($B$7,Curvas_cupon_cero!$1:$1,0)-1,COUNT(Curvas_cupon_cero!$A:$A)-2,1)),[1]!interpolar(H202,OFFSET(Curvas_cupon_cero!$A$1,1,0,COUNT(Curvas_cupon_cero!$A:$A)-2,1),OFFSET(Curvas_cupon_cero!$A$1,1,MATCH($B$7,Curvas_cupon_cero!$1:$1,0)-1,COUNT(Curvas_cupon_cero!$A:$A)-2,1))))</f>
        <v/>
      </c>
      <c r="E202" s="23" t="str">
        <f t="shared" si="16"/>
        <v/>
      </c>
      <c r="F202" s="17" t="str">
        <f t="shared" si="14"/>
        <v/>
      </c>
      <c r="G202" s="18" t="str">
        <f t="shared" si="17"/>
        <v/>
      </c>
      <c r="H202" t="str">
        <f t="shared" si="18"/>
        <v/>
      </c>
      <c r="I202" s="23" t="str">
        <f ca="1">IF(A202="","",IF($B$8="Sí",interpolar_alamb(H202,OFFSET(Curvas_cupon_cero!$A$1,1,0,COUNT(Curvas_cupon_cero!$A:$A)-2,1),OFFSET(Curvas_cupon_cero!$A$1,1,MATCH($B$6,Curvas_cupon_cero!$1:$1,0)-1,COUNT(Curvas_cupon_cero!$A:$A)-2,1)),[1]!interpolar(H202,OFFSET(Curvas_cupon_cero!$A$1,1,0,COUNT(Curvas_cupon_cero!$A:$A)-2,1),OFFSET(Curvas_cupon_cero!$A$1,1,MATCH($B$6,Curvas_cupon_cero!$1:$1,0)-1,COUNT(Curvas_cupon_cero!$A:$A)-2,1))))</f>
        <v/>
      </c>
      <c r="J202" s="19" t="str">
        <f>IF(A202="","",F202/(1+I202*$B$5/360)^(COUNT(A$16:A202)-($B$5-$G$16)/$B$5))</f>
        <v/>
      </c>
    </row>
    <row r="203" spans="1:10" x14ac:dyDescent="0.2">
      <c r="A203" s="12" t="str">
        <f t="shared" si="15"/>
        <v/>
      </c>
      <c r="B203" t="str">
        <f t="shared" si="13"/>
        <v/>
      </c>
      <c r="C203" s="21" t="str">
        <f ca="1">IF(A203="","",IF($B$8="Sí",interpolar_alamb(B203,OFFSET(Curvas_cupon_cero!$A$1,1,0,COUNT(Curvas_cupon_cero!$A:$A)-2,1),OFFSET(Curvas_cupon_cero!$A$1,1,MATCH($B$7,Curvas_cupon_cero!$1:$1,0)-1,COUNT(Curvas_cupon_cero!$A:$A)-2,1)),[1]!interpolar(B203,OFFSET(Curvas_cupon_cero!$A$1,1,0,COUNT(Curvas_cupon_cero!$A:$A)-2,1),OFFSET(Curvas_cupon_cero!$A$1,1,MATCH($B$7,Curvas_cupon_cero!$1:$1,0)-1,COUNT(Curvas_cupon_cero!$A:$A)-2,1))))</f>
        <v/>
      </c>
      <c r="D203" s="23" t="str">
        <f ca="1">IF(A203="","",IF($B$8="Sí",interpolar_alamb(H203,OFFSET(Curvas_cupon_cero!$A$1,1,0,COUNT(Curvas_cupon_cero!$A:$A)-2,1),OFFSET(Curvas_cupon_cero!$A$1,1,MATCH($B$7,Curvas_cupon_cero!$1:$1,0)-1,COUNT(Curvas_cupon_cero!$A:$A)-2,1)),[1]!interpolar(H203,OFFSET(Curvas_cupon_cero!$A$1,1,0,COUNT(Curvas_cupon_cero!$A:$A)-2,1),OFFSET(Curvas_cupon_cero!$A$1,1,MATCH($B$7,Curvas_cupon_cero!$1:$1,0)-1,COUNT(Curvas_cupon_cero!$A:$A)-2,1))))</f>
        <v/>
      </c>
      <c r="E203" s="23" t="str">
        <f t="shared" si="16"/>
        <v/>
      </c>
      <c r="F203" s="17" t="str">
        <f t="shared" si="14"/>
        <v/>
      </c>
      <c r="G203" s="18" t="str">
        <f t="shared" si="17"/>
        <v/>
      </c>
      <c r="H203" t="str">
        <f t="shared" si="18"/>
        <v/>
      </c>
      <c r="I203" s="23" t="str">
        <f ca="1">IF(A203="","",IF($B$8="Sí",interpolar_alamb(H203,OFFSET(Curvas_cupon_cero!$A$1,1,0,COUNT(Curvas_cupon_cero!$A:$A)-2,1),OFFSET(Curvas_cupon_cero!$A$1,1,MATCH($B$6,Curvas_cupon_cero!$1:$1,0)-1,COUNT(Curvas_cupon_cero!$A:$A)-2,1)),[1]!interpolar(H203,OFFSET(Curvas_cupon_cero!$A$1,1,0,COUNT(Curvas_cupon_cero!$A:$A)-2,1),OFFSET(Curvas_cupon_cero!$A$1,1,MATCH($B$6,Curvas_cupon_cero!$1:$1,0)-1,COUNT(Curvas_cupon_cero!$A:$A)-2,1))))</f>
        <v/>
      </c>
      <c r="J203" s="19" t="str">
        <f>IF(A203="","",F203/(1+I203*$B$5/360)^(COUNT(A$16:A203)-($B$5-$G$16)/$B$5))</f>
        <v/>
      </c>
    </row>
    <row r="204" spans="1:10" x14ac:dyDescent="0.2">
      <c r="A204" s="12" t="str">
        <f t="shared" si="15"/>
        <v/>
      </c>
      <c r="B204" t="str">
        <f t="shared" si="13"/>
        <v/>
      </c>
      <c r="C204" s="21" t="str">
        <f ca="1">IF(A204="","",IF($B$8="Sí",interpolar_alamb(B204,OFFSET(Curvas_cupon_cero!$A$1,1,0,COUNT(Curvas_cupon_cero!$A:$A)-2,1),OFFSET(Curvas_cupon_cero!$A$1,1,MATCH($B$7,Curvas_cupon_cero!$1:$1,0)-1,COUNT(Curvas_cupon_cero!$A:$A)-2,1)),[1]!interpolar(B204,OFFSET(Curvas_cupon_cero!$A$1,1,0,COUNT(Curvas_cupon_cero!$A:$A)-2,1),OFFSET(Curvas_cupon_cero!$A$1,1,MATCH($B$7,Curvas_cupon_cero!$1:$1,0)-1,COUNT(Curvas_cupon_cero!$A:$A)-2,1))))</f>
        <v/>
      </c>
      <c r="D204" s="23" t="str">
        <f ca="1">IF(A204="","",IF($B$8="Sí",interpolar_alamb(H204,OFFSET(Curvas_cupon_cero!$A$1,1,0,COUNT(Curvas_cupon_cero!$A:$A)-2,1),OFFSET(Curvas_cupon_cero!$A$1,1,MATCH($B$7,Curvas_cupon_cero!$1:$1,0)-1,COUNT(Curvas_cupon_cero!$A:$A)-2,1)),[1]!interpolar(H204,OFFSET(Curvas_cupon_cero!$A$1,1,0,COUNT(Curvas_cupon_cero!$A:$A)-2,1),OFFSET(Curvas_cupon_cero!$A$1,1,MATCH($B$7,Curvas_cupon_cero!$1:$1,0)-1,COUNT(Curvas_cupon_cero!$A:$A)-2,1))))</f>
        <v/>
      </c>
      <c r="E204" s="23" t="str">
        <f t="shared" si="16"/>
        <v/>
      </c>
      <c r="F204" s="17" t="str">
        <f t="shared" si="14"/>
        <v/>
      </c>
      <c r="G204" s="18" t="str">
        <f t="shared" si="17"/>
        <v/>
      </c>
      <c r="H204" t="str">
        <f t="shared" si="18"/>
        <v/>
      </c>
      <c r="I204" s="23" t="str">
        <f ca="1">IF(A204="","",IF($B$8="Sí",interpolar_alamb(H204,OFFSET(Curvas_cupon_cero!$A$1,1,0,COUNT(Curvas_cupon_cero!$A:$A)-2,1),OFFSET(Curvas_cupon_cero!$A$1,1,MATCH($B$6,Curvas_cupon_cero!$1:$1,0)-1,COUNT(Curvas_cupon_cero!$A:$A)-2,1)),[1]!interpolar(H204,OFFSET(Curvas_cupon_cero!$A$1,1,0,COUNT(Curvas_cupon_cero!$A:$A)-2,1),OFFSET(Curvas_cupon_cero!$A$1,1,MATCH($B$6,Curvas_cupon_cero!$1:$1,0)-1,COUNT(Curvas_cupon_cero!$A:$A)-2,1))))</f>
        <v/>
      </c>
      <c r="J204" s="19" t="str">
        <f>IF(A204="","",F204/(1+I204*$B$5/360)^(COUNT(A$16:A204)-($B$5-$G$16)/$B$5))</f>
        <v/>
      </c>
    </row>
    <row r="205" spans="1:10" x14ac:dyDescent="0.2">
      <c r="A205" s="12" t="str">
        <f t="shared" si="15"/>
        <v/>
      </c>
      <c r="B205" t="str">
        <f t="shared" si="13"/>
        <v/>
      </c>
      <c r="C205" s="21" t="str">
        <f ca="1">IF(A205="","",IF($B$8="Sí",interpolar_alamb(B205,OFFSET(Curvas_cupon_cero!$A$1,1,0,COUNT(Curvas_cupon_cero!$A:$A)-2,1),OFFSET(Curvas_cupon_cero!$A$1,1,MATCH($B$7,Curvas_cupon_cero!$1:$1,0)-1,COUNT(Curvas_cupon_cero!$A:$A)-2,1)),[1]!interpolar(B205,OFFSET(Curvas_cupon_cero!$A$1,1,0,COUNT(Curvas_cupon_cero!$A:$A)-2,1),OFFSET(Curvas_cupon_cero!$A$1,1,MATCH($B$7,Curvas_cupon_cero!$1:$1,0)-1,COUNT(Curvas_cupon_cero!$A:$A)-2,1))))</f>
        <v/>
      </c>
      <c r="D205" s="23" t="str">
        <f ca="1">IF(A205="","",IF($B$8="Sí",interpolar_alamb(H205,OFFSET(Curvas_cupon_cero!$A$1,1,0,COUNT(Curvas_cupon_cero!$A:$A)-2,1),OFFSET(Curvas_cupon_cero!$A$1,1,MATCH($B$7,Curvas_cupon_cero!$1:$1,0)-1,COUNT(Curvas_cupon_cero!$A:$A)-2,1)),[1]!interpolar(H205,OFFSET(Curvas_cupon_cero!$A$1,1,0,COUNT(Curvas_cupon_cero!$A:$A)-2,1),OFFSET(Curvas_cupon_cero!$A$1,1,MATCH($B$7,Curvas_cupon_cero!$1:$1,0)-1,COUNT(Curvas_cupon_cero!$A:$A)-2,1))))</f>
        <v/>
      </c>
      <c r="E205" s="23" t="str">
        <f t="shared" si="16"/>
        <v/>
      </c>
      <c r="F205" s="17" t="str">
        <f t="shared" si="14"/>
        <v/>
      </c>
      <c r="G205" s="18" t="str">
        <f t="shared" si="17"/>
        <v/>
      </c>
      <c r="H205" t="str">
        <f t="shared" si="18"/>
        <v/>
      </c>
      <c r="I205" s="23" t="str">
        <f ca="1">IF(A205="","",IF($B$8="Sí",interpolar_alamb(H205,OFFSET(Curvas_cupon_cero!$A$1,1,0,COUNT(Curvas_cupon_cero!$A:$A)-2,1),OFFSET(Curvas_cupon_cero!$A$1,1,MATCH($B$6,Curvas_cupon_cero!$1:$1,0)-1,COUNT(Curvas_cupon_cero!$A:$A)-2,1)),[1]!interpolar(H205,OFFSET(Curvas_cupon_cero!$A$1,1,0,COUNT(Curvas_cupon_cero!$A:$A)-2,1),OFFSET(Curvas_cupon_cero!$A$1,1,MATCH($B$6,Curvas_cupon_cero!$1:$1,0)-1,COUNT(Curvas_cupon_cero!$A:$A)-2,1))))</f>
        <v/>
      </c>
      <c r="J205" s="19" t="str">
        <f>IF(A205="","",F205/(1+I205*$B$5/360)^(COUNT(A$16:A205)-($B$5-$G$16)/$B$5))</f>
        <v/>
      </c>
    </row>
    <row r="206" spans="1:10" x14ac:dyDescent="0.2">
      <c r="A206" s="12" t="str">
        <f t="shared" si="15"/>
        <v/>
      </c>
      <c r="B206" t="str">
        <f t="shared" ref="B206:B269" si="19">IF(A206="","",MAX(H206-$B$5,0))</f>
        <v/>
      </c>
      <c r="C206" s="21" t="str">
        <f ca="1">IF(A206="","",IF($B$8="Sí",interpolar_alamb(B206,OFFSET(Curvas_cupon_cero!$A$1,1,0,COUNT(Curvas_cupon_cero!$A:$A)-2,1),OFFSET(Curvas_cupon_cero!$A$1,1,MATCH($B$7,Curvas_cupon_cero!$1:$1,0)-1,COUNT(Curvas_cupon_cero!$A:$A)-2,1)),[1]!interpolar(B206,OFFSET(Curvas_cupon_cero!$A$1,1,0,COUNT(Curvas_cupon_cero!$A:$A)-2,1),OFFSET(Curvas_cupon_cero!$A$1,1,MATCH($B$7,Curvas_cupon_cero!$1:$1,0)-1,COUNT(Curvas_cupon_cero!$A:$A)-2,1))))</f>
        <v/>
      </c>
      <c r="D206" s="23" t="str">
        <f ca="1">IF(A206="","",IF($B$8="Sí",interpolar_alamb(H206,OFFSET(Curvas_cupon_cero!$A$1,1,0,COUNT(Curvas_cupon_cero!$A:$A)-2,1),OFFSET(Curvas_cupon_cero!$A$1,1,MATCH($B$7,Curvas_cupon_cero!$1:$1,0)-1,COUNT(Curvas_cupon_cero!$A:$A)-2,1)),[1]!interpolar(H206,OFFSET(Curvas_cupon_cero!$A$1,1,0,COUNT(Curvas_cupon_cero!$A:$A)-2,1),OFFSET(Curvas_cupon_cero!$A$1,1,MATCH($B$7,Curvas_cupon_cero!$1:$1,0)-1,COUNT(Curvas_cupon_cero!$A:$A)-2,1))))</f>
        <v/>
      </c>
      <c r="E206" s="23" t="str">
        <f t="shared" si="16"/>
        <v/>
      </c>
      <c r="F206" s="17" t="str">
        <f t="shared" ref="F206:F269" si="20">IF(A206="","",IF(A206=$B$4,$B$1*$B$2+E206*$B$5/360*$B$1*$B$2, E206*$B$5/360*$B$1*$B$2))</f>
        <v/>
      </c>
      <c r="G206" s="18" t="str">
        <f t="shared" si="17"/>
        <v/>
      </c>
      <c r="H206" t="str">
        <f t="shared" si="18"/>
        <v/>
      </c>
      <c r="I206" s="23" t="str">
        <f ca="1">IF(A206="","",IF($B$8="Sí",interpolar_alamb(H206,OFFSET(Curvas_cupon_cero!$A$1,1,0,COUNT(Curvas_cupon_cero!$A:$A)-2,1),OFFSET(Curvas_cupon_cero!$A$1,1,MATCH($B$6,Curvas_cupon_cero!$1:$1,0)-1,COUNT(Curvas_cupon_cero!$A:$A)-2,1)),[1]!interpolar(H206,OFFSET(Curvas_cupon_cero!$A$1,1,0,COUNT(Curvas_cupon_cero!$A:$A)-2,1),OFFSET(Curvas_cupon_cero!$A$1,1,MATCH($B$6,Curvas_cupon_cero!$1:$1,0)-1,COUNT(Curvas_cupon_cero!$A:$A)-2,1))))</f>
        <v/>
      </c>
      <c r="J206" s="19" t="str">
        <f>IF(A206="","",F206/(1+I206*$B$5/360)^(COUNT(A$16:A206)-($B$5-$G$16)/$B$5))</f>
        <v/>
      </c>
    </row>
    <row r="207" spans="1:10" x14ac:dyDescent="0.2">
      <c r="A207" s="12" t="str">
        <f t="shared" ref="A207:A270" si="21">IF(A206="","",IF((A206+$B$5)&gt;$B$4,"",(A206+$B$5)))</f>
        <v/>
      </c>
      <c r="B207" t="str">
        <f t="shared" si="19"/>
        <v/>
      </c>
      <c r="C207" s="21" t="str">
        <f ca="1">IF(A207="","",IF($B$8="Sí",interpolar_alamb(B207,OFFSET(Curvas_cupon_cero!$A$1,1,0,COUNT(Curvas_cupon_cero!$A:$A)-2,1),OFFSET(Curvas_cupon_cero!$A$1,1,MATCH($B$7,Curvas_cupon_cero!$1:$1,0)-1,COUNT(Curvas_cupon_cero!$A:$A)-2,1)),[1]!interpolar(B207,OFFSET(Curvas_cupon_cero!$A$1,1,0,COUNT(Curvas_cupon_cero!$A:$A)-2,1),OFFSET(Curvas_cupon_cero!$A$1,1,MATCH($B$7,Curvas_cupon_cero!$1:$1,0)-1,COUNT(Curvas_cupon_cero!$A:$A)-2,1))))</f>
        <v/>
      </c>
      <c r="D207" s="23" t="str">
        <f ca="1">IF(A207="","",IF($B$8="Sí",interpolar_alamb(H207,OFFSET(Curvas_cupon_cero!$A$1,1,0,COUNT(Curvas_cupon_cero!$A:$A)-2,1),OFFSET(Curvas_cupon_cero!$A$1,1,MATCH($B$7,Curvas_cupon_cero!$1:$1,0)-1,COUNT(Curvas_cupon_cero!$A:$A)-2,1)),[1]!interpolar(H207,OFFSET(Curvas_cupon_cero!$A$1,1,0,COUNT(Curvas_cupon_cero!$A:$A)-2,1),OFFSET(Curvas_cupon_cero!$A$1,1,MATCH($B$7,Curvas_cupon_cero!$1:$1,0)-1,COUNT(Curvas_cupon_cero!$A:$A)-2,1))))</f>
        <v/>
      </c>
      <c r="E207" s="23" t="str">
        <f t="shared" ref="E207:E270" si="22">IF(A207="","",((1+D207*H207/360)/(1+C207*B207/360)-1)*(360/(H207-B207)))</f>
        <v/>
      </c>
      <c r="F207" s="17" t="str">
        <f t="shared" si="20"/>
        <v/>
      </c>
      <c r="G207" s="18" t="str">
        <f t="shared" ref="G207:G270" si="23">IF(A207="","",$B$5)</f>
        <v/>
      </c>
      <c r="H207" t="str">
        <f t="shared" ref="H207:H270" si="24">IF(A207="","",H206+G207)</f>
        <v/>
      </c>
      <c r="I207" s="23" t="str">
        <f ca="1">IF(A207="","",IF($B$8="Sí",interpolar_alamb(H207,OFFSET(Curvas_cupon_cero!$A$1,1,0,COUNT(Curvas_cupon_cero!$A:$A)-2,1),OFFSET(Curvas_cupon_cero!$A$1,1,MATCH($B$6,Curvas_cupon_cero!$1:$1,0)-1,COUNT(Curvas_cupon_cero!$A:$A)-2,1)),[1]!interpolar(H207,OFFSET(Curvas_cupon_cero!$A$1,1,0,COUNT(Curvas_cupon_cero!$A:$A)-2,1),OFFSET(Curvas_cupon_cero!$A$1,1,MATCH($B$6,Curvas_cupon_cero!$1:$1,0)-1,COUNT(Curvas_cupon_cero!$A:$A)-2,1))))</f>
        <v/>
      </c>
      <c r="J207" s="19" t="str">
        <f>IF(A207="","",F207/(1+I207*$B$5/360)^(COUNT(A$16:A207)-($B$5-$G$16)/$B$5))</f>
        <v/>
      </c>
    </row>
    <row r="208" spans="1:10" x14ac:dyDescent="0.2">
      <c r="A208" s="12" t="str">
        <f t="shared" si="21"/>
        <v/>
      </c>
      <c r="B208" t="str">
        <f t="shared" si="19"/>
        <v/>
      </c>
      <c r="C208" s="21" t="str">
        <f ca="1">IF(A208="","",IF($B$8="Sí",interpolar_alamb(B208,OFFSET(Curvas_cupon_cero!$A$1,1,0,COUNT(Curvas_cupon_cero!$A:$A)-2,1),OFFSET(Curvas_cupon_cero!$A$1,1,MATCH($B$7,Curvas_cupon_cero!$1:$1,0)-1,COUNT(Curvas_cupon_cero!$A:$A)-2,1)),[1]!interpolar(B208,OFFSET(Curvas_cupon_cero!$A$1,1,0,COUNT(Curvas_cupon_cero!$A:$A)-2,1),OFFSET(Curvas_cupon_cero!$A$1,1,MATCH($B$7,Curvas_cupon_cero!$1:$1,0)-1,COUNT(Curvas_cupon_cero!$A:$A)-2,1))))</f>
        <v/>
      </c>
      <c r="D208" s="23" t="str">
        <f ca="1">IF(A208="","",IF($B$8="Sí",interpolar_alamb(H208,OFFSET(Curvas_cupon_cero!$A$1,1,0,COUNT(Curvas_cupon_cero!$A:$A)-2,1),OFFSET(Curvas_cupon_cero!$A$1,1,MATCH($B$7,Curvas_cupon_cero!$1:$1,0)-1,COUNT(Curvas_cupon_cero!$A:$A)-2,1)),[1]!interpolar(H208,OFFSET(Curvas_cupon_cero!$A$1,1,0,COUNT(Curvas_cupon_cero!$A:$A)-2,1),OFFSET(Curvas_cupon_cero!$A$1,1,MATCH($B$7,Curvas_cupon_cero!$1:$1,0)-1,COUNT(Curvas_cupon_cero!$A:$A)-2,1))))</f>
        <v/>
      </c>
      <c r="E208" s="23" t="str">
        <f t="shared" si="22"/>
        <v/>
      </c>
      <c r="F208" s="17" t="str">
        <f t="shared" si="20"/>
        <v/>
      </c>
      <c r="G208" s="18" t="str">
        <f t="shared" si="23"/>
        <v/>
      </c>
      <c r="H208" t="str">
        <f t="shared" si="24"/>
        <v/>
      </c>
      <c r="I208" s="23" t="str">
        <f ca="1">IF(A208="","",IF($B$8="Sí",interpolar_alamb(H208,OFFSET(Curvas_cupon_cero!$A$1,1,0,COUNT(Curvas_cupon_cero!$A:$A)-2,1),OFFSET(Curvas_cupon_cero!$A$1,1,MATCH($B$6,Curvas_cupon_cero!$1:$1,0)-1,COUNT(Curvas_cupon_cero!$A:$A)-2,1)),[1]!interpolar(H208,OFFSET(Curvas_cupon_cero!$A$1,1,0,COUNT(Curvas_cupon_cero!$A:$A)-2,1),OFFSET(Curvas_cupon_cero!$A$1,1,MATCH($B$6,Curvas_cupon_cero!$1:$1,0)-1,COUNT(Curvas_cupon_cero!$A:$A)-2,1))))</f>
        <v/>
      </c>
      <c r="J208" s="19" t="str">
        <f>IF(A208="","",F208/(1+I208*$B$5/360)^(COUNT(A$16:A208)-($B$5-$G$16)/$B$5))</f>
        <v/>
      </c>
    </row>
    <row r="209" spans="1:10" x14ac:dyDescent="0.2">
      <c r="A209" s="12" t="str">
        <f t="shared" si="21"/>
        <v/>
      </c>
      <c r="B209" t="str">
        <f t="shared" si="19"/>
        <v/>
      </c>
      <c r="C209" s="21" t="str">
        <f ca="1">IF(A209="","",IF($B$8="Sí",interpolar_alamb(B209,OFFSET(Curvas_cupon_cero!$A$1,1,0,COUNT(Curvas_cupon_cero!$A:$A)-2,1),OFFSET(Curvas_cupon_cero!$A$1,1,MATCH($B$7,Curvas_cupon_cero!$1:$1,0)-1,COUNT(Curvas_cupon_cero!$A:$A)-2,1)),[1]!interpolar(B209,OFFSET(Curvas_cupon_cero!$A$1,1,0,COUNT(Curvas_cupon_cero!$A:$A)-2,1),OFFSET(Curvas_cupon_cero!$A$1,1,MATCH($B$7,Curvas_cupon_cero!$1:$1,0)-1,COUNT(Curvas_cupon_cero!$A:$A)-2,1))))</f>
        <v/>
      </c>
      <c r="D209" s="23" t="str">
        <f ca="1">IF(A209="","",IF($B$8="Sí",interpolar_alamb(H209,OFFSET(Curvas_cupon_cero!$A$1,1,0,COUNT(Curvas_cupon_cero!$A:$A)-2,1),OFFSET(Curvas_cupon_cero!$A$1,1,MATCH($B$7,Curvas_cupon_cero!$1:$1,0)-1,COUNT(Curvas_cupon_cero!$A:$A)-2,1)),[1]!interpolar(H209,OFFSET(Curvas_cupon_cero!$A$1,1,0,COUNT(Curvas_cupon_cero!$A:$A)-2,1),OFFSET(Curvas_cupon_cero!$A$1,1,MATCH($B$7,Curvas_cupon_cero!$1:$1,0)-1,COUNT(Curvas_cupon_cero!$A:$A)-2,1))))</f>
        <v/>
      </c>
      <c r="E209" s="23" t="str">
        <f t="shared" si="22"/>
        <v/>
      </c>
      <c r="F209" s="17" t="str">
        <f t="shared" si="20"/>
        <v/>
      </c>
      <c r="G209" s="18" t="str">
        <f t="shared" si="23"/>
        <v/>
      </c>
      <c r="H209" t="str">
        <f t="shared" si="24"/>
        <v/>
      </c>
      <c r="I209" s="23" t="str">
        <f ca="1">IF(A209="","",IF($B$8="Sí",interpolar_alamb(H209,OFFSET(Curvas_cupon_cero!$A$1,1,0,COUNT(Curvas_cupon_cero!$A:$A)-2,1),OFFSET(Curvas_cupon_cero!$A$1,1,MATCH($B$6,Curvas_cupon_cero!$1:$1,0)-1,COUNT(Curvas_cupon_cero!$A:$A)-2,1)),[1]!interpolar(H209,OFFSET(Curvas_cupon_cero!$A$1,1,0,COUNT(Curvas_cupon_cero!$A:$A)-2,1),OFFSET(Curvas_cupon_cero!$A$1,1,MATCH($B$6,Curvas_cupon_cero!$1:$1,0)-1,COUNT(Curvas_cupon_cero!$A:$A)-2,1))))</f>
        <v/>
      </c>
      <c r="J209" s="19" t="str">
        <f>IF(A209="","",F209/(1+I209*$B$5/360)^(COUNT(A$16:A209)-($B$5-$G$16)/$B$5))</f>
        <v/>
      </c>
    </row>
    <row r="210" spans="1:10" x14ac:dyDescent="0.2">
      <c r="A210" s="12" t="str">
        <f t="shared" si="21"/>
        <v/>
      </c>
      <c r="B210" t="str">
        <f t="shared" si="19"/>
        <v/>
      </c>
      <c r="C210" s="21" t="str">
        <f ca="1">IF(A210="","",IF($B$8="Sí",interpolar_alamb(B210,OFFSET(Curvas_cupon_cero!$A$1,1,0,COUNT(Curvas_cupon_cero!$A:$A)-2,1),OFFSET(Curvas_cupon_cero!$A$1,1,MATCH($B$7,Curvas_cupon_cero!$1:$1,0)-1,COUNT(Curvas_cupon_cero!$A:$A)-2,1)),[1]!interpolar(B210,OFFSET(Curvas_cupon_cero!$A$1,1,0,COUNT(Curvas_cupon_cero!$A:$A)-2,1),OFFSET(Curvas_cupon_cero!$A$1,1,MATCH($B$7,Curvas_cupon_cero!$1:$1,0)-1,COUNT(Curvas_cupon_cero!$A:$A)-2,1))))</f>
        <v/>
      </c>
      <c r="D210" s="23" t="str">
        <f ca="1">IF(A210="","",IF($B$8="Sí",interpolar_alamb(H210,OFFSET(Curvas_cupon_cero!$A$1,1,0,COUNT(Curvas_cupon_cero!$A:$A)-2,1),OFFSET(Curvas_cupon_cero!$A$1,1,MATCH($B$7,Curvas_cupon_cero!$1:$1,0)-1,COUNT(Curvas_cupon_cero!$A:$A)-2,1)),[1]!interpolar(H210,OFFSET(Curvas_cupon_cero!$A$1,1,0,COUNT(Curvas_cupon_cero!$A:$A)-2,1),OFFSET(Curvas_cupon_cero!$A$1,1,MATCH($B$7,Curvas_cupon_cero!$1:$1,0)-1,COUNT(Curvas_cupon_cero!$A:$A)-2,1))))</f>
        <v/>
      </c>
      <c r="E210" s="23" t="str">
        <f t="shared" si="22"/>
        <v/>
      </c>
      <c r="F210" s="17" t="str">
        <f t="shared" si="20"/>
        <v/>
      </c>
      <c r="G210" s="18" t="str">
        <f t="shared" si="23"/>
        <v/>
      </c>
      <c r="H210" t="str">
        <f t="shared" si="24"/>
        <v/>
      </c>
      <c r="I210" s="23" t="str">
        <f ca="1">IF(A210="","",IF($B$8="Sí",interpolar_alamb(H210,OFFSET(Curvas_cupon_cero!$A$1,1,0,COUNT(Curvas_cupon_cero!$A:$A)-2,1),OFFSET(Curvas_cupon_cero!$A$1,1,MATCH($B$6,Curvas_cupon_cero!$1:$1,0)-1,COUNT(Curvas_cupon_cero!$A:$A)-2,1)),[1]!interpolar(H210,OFFSET(Curvas_cupon_cero!$A$1,1,0,COUNT(Curvas_cupon_cero!$A:$A)-2,1),OFFSET(Curvas_cupon_cero!$A$1,1,MATCH($B$6,Curvas_cupon_cero!$1:$1,0)-1,COUNT(Curvas_cupon_cero!$A:$A)-2,1))))</f>
        <v/>
      </c>
      <c r="J210" s="19" t="str">
        <f>IF(A210="","",F210/(1+I210*$B$5/360)^(COUNT(A$16:A210)-($B$5-$G$16)/$B$5))</f>
        <v/>
      </c>
    </row>
    <row r="211" spans="1:10" x14ac:dyDescent="0.2">
      <c r="A211" s="12" t="str">
        <f t="shared" si="21"/>
        <v/>
      </c>
      <c r="B211" t="str">
        <f t="shared" si="19"/>
        <v/>
      </c>
      <c r="C211" s="21" t="str">
        <f ca="1">IF(A211="","",IF($B$8="Sí",interpolar_alamb(B211,OFFSET(Curvas_cupon_cero!$A$1,1,0,COUNT(Curvas_cupon_cero!$A:$A)-2,1),OFFSET(Curvas_cupon_cero!$A$1,1,MATCH($B$7,Curvas_cupon_cero!$1:$1,0)-1,COUNT(Curvas_cupon_cero!$A:$A)-2,1)),[1]!interpolar(B211,OFFSET(Curvas_cupon_cero!$A$1,1,0,COUNT(Curvas_cupon_cero!$A:$A)-2,1),OFFSET(Curvas_cupon_cero!$A$1,1,MATCH($B$7,Curvas_cupon_cero!$1:$1,0)-1,COUNT(Curvas_cupon_cero!$A:$A)-2,1))))</f>
        <v/>
      </c>
      <c r="D211" s="23" t="str">
        <f ca="1">IF(A211="","",IF($B$8="Sí",interpolar_alamb(H211,OFFSET(Curvas_cupon_cero!$A$1,1,0,COUNT(Curvas_cupon_cero!$A:$A)-2,1),OFFSET(Curvas_cupon_cero!$A$1,1,MATCH($B$7,Curvas_cupon_cero!$1:$1,0)-1,COUNT(Curvas_cupon_cero!$A:$A)-2,1)),[1]!interpolar(H211,OFFSET(Curvas_cupon_cero!$A$1,1,0,COUNT(Curvas_cupon_cero!$A:$A)-2,1),OFFSET(Curvas_cupon_cero!$A$1,1,MATCH($B$7,Curvas_cupon_cero!$1:$1,0)-1,COUNT(Curvas_cupon_cero!$A:$A)-2,1))))</f>
        <v/>
      </c>
      <c r="E211" s="23" t="str">
        <f t="shared" si="22"/>
        <v/>
      </c>
      <c r="F211" s="17" t="str">
        <f t="shared" si="20"/>
        <v/>
      </c>
      <c r="G211" s="18" t="str">
        <f t="shared" si="23"/>
        <v/>
      </c>
      <c r="H211" t="str">
        <f t="shared" si="24"/>
        <v/>
      </c>
      <c r="I211" s="23" t="str">
        <f ca="1">IF(A211="","",IF($B$8="Sí",interpolar_alamb(H211,OFFSET(Curvas_cupon_cero!$A$1,1,0,COUNT(Curvas_cupon_cero!$A:$A)-2,1),OFFSET(Curvas_cupon_cero!$A$1,1,MATCH($B$6,Curvas_cupon_cero!$1:$1,0)-1,COUNT(Curvas_cupon_cero!$A:$A)-2,1)),[1]!interpolar(H211,OFFSET(Curvas_cupon_cero!$A$1,1,0,COUNT(Curvas_cupon_cero!$A:$A)-2,1),OFFSET(Curvas_cupon_cero!$A$1,1,MATCH($B$6,Curvas_cupon_cero!$1:$1,0)-1,COUNT(Curvas_cupon_cero!$A:$A)-2,1))))</f>
        <v/>
      </c>
      <c r="J211" s="19" t="str">
        <f>IF(A211="","",F211/(1+I211*$B$5/360)^(COUNT(A$16:A211)-($B$5-$G$16)/$B$5))</f>
        <v/>
      </c>
    </row>
    <row r="212" spans="1:10" x14ac:dyDescent="0.2">
      <c r="A212" s="12" t="str">
        <f t="shared" si="21"/>
        <v/>
      </c>
      <c r="B212" t="str">
        <f t="shared" si="19"/>
        <v/>
      </c>
      <c r="C212" s="21" t="str">
        <f ca="1">IF(A212="","",IF($B$8="Sí",interpolar_alamb(B212,OFFSET(Curvas_cupon_cero!$A$1,1,0,COUNT(Curvas_cupon_cero!$A:$A)-2,1),OFFSET(Curvas_cupon_cero!$A$1,1,MATCH($B$7,Curvas_cupon_cero!$1:$1,0)-1,COUNT(Curvas_cupon_cero!$A:$A)-2,1)),[1]!interpolar(B212,OFFSET(Curvas_cupon_cero!$A$1,1,0,COUNT(Curvas_cupon_cero!$A:$A)-2,1),OFFSET(Curvas_cupon_cero!$A$1,1,MATCH($B$7,Curvas_cupon_cero!$1:$1,0)-1,COUNT(Curvas_cupon_cero!$A:$A)-2,1))))</f>
        <v/>
      </c>
      <c r="D212" s="23" t="str">
        <f ca="1">IF(A212="","",IF($B$8="Sí",interpolar_alamb(H212,OFFSET(Curvas_cupon_cero!$A$1,1,0,COUNT(Curvas_cupon_cero!$A:$A)-2,1),OFFSET(Curvas_cupon_cero!$A$1,1,MATCH($B$7,Curvas_cupon_cero!$1:$1,0)-1,COUNT(Curvas_cupon_cero!$A:$A)-2,1)),[1]!interpolar(H212,OFFSET(Curvas_cupon_cero!$A$1,1,0,COUNT(Curvas_cupon_cero!$A:$A)-2,1),OFFSET(Curvas_cupon_cero!$A$1,1,MATCH($B$7,Curvas_cupon_cero!$1:$1,0)-1,COUNT(Curvas_cupon_cero!$A:$A)-2,1))))</f>
        <v/>
      </c>
      <c r="E212" s="23" t="str">
        <f t="shared" si="22"/>
        <v/>
      </c>
      <c r="F212" s="17" t="str">
        <f t="shared" si="20"/>
        <v/>
      </c>
      <c r="G212" s="18" t="str">
        <f t="shared" si="23"/>
        <v/>
      </c>
      <c r="H212" t="str">
        <f t="shared" si="24"/>
        <v/>
      </c>
      <c r="I212" s="23" t="str">
        <f ca="1">IF(A212="","",IF($B$8="Sí",interpolar_alamb(H212,OFFSET(Curvas_cupon_cero!$A$1,1,0,COUNT(Curvas_cupon_cero!$A:$A)-2,1),OFFSET(Curvas_cupon_cero!$A$1,1,MATCH($B$6,Curvas_cupon_cero!$1:$1,0)-1,COUNT(Curvas_cupon_cero!$A:$A)-2,1)),[1]!interpolar(H212,OFFSET(Curvas_cupon_cero!$A$1,1,0,COUNT(Curvas_cupon_cero!$A:$A)-2,1),OFFSET(Curvas_cupon_cero!$A$1,1,MATCH($B$6,Curvas_cupon_cero!$1:$1,0)-1,COUNT(Curvas_cupon_cero!$A:$A)-2,1))))</f>
        <v/>
      </c>
      <c r="J212" s="19" t="str">
        <f>IF(A212="","",F212/(1+I212*$B$5/360)^(COUNT(A$16:A212)-($B$5-$G$16)/$B$5))</f>
        <v/>
      </c>
    </row>
    <row r="213" spans="1:10" x14ac:dyDescent="0.2">
      <c r="A213" s="12" t="str">
        <f t="shared" si="21"/>
        <v/>
      </c>
      <c r="B213" t="str">
        <f t="shared" si="19"/>
        <v/>
      </c>
      <c r="C213" s="21" t="str">
        <f ca="1">IF(A213="","",IF($B$8="Sí",interpolar_alamb(B213,OFFSET(Curvas_cupon_cero!$A$1,1,0,COUNT(Curvas_cupon_cero!$A:$A)-2,1),OFFSET(Curvas_cupon_cero!$A$1,1,MATCH($B$7,Curvas_cupon_cero!$1:$1,0)-1,COUNT(Curvas_cupon_cero!$A:$A)-2,1)),[1]!interpolar(B213,OFFSET(Curvas_cupon_cero!$A$1,1,0,COUNT(Curvas_cupon_cero!$A:$A)-2,1),OFFSET(Curvas_cupon_cero!$A$1,1,MATCH($B$7,Curvas_cupon_cero!$1:$1,0)-1,COUNT(Curvas_cupon_cero!$A:$A)-2,1))))</f>
        <v/>
      </c>
      <c r="D213" s="23" t="str">
        <f ca="1">IF(A213="","",IF($B$8="Sí",interpolar_alamb(H213,OFFSET(Curvas_cupon_cero!$A$1,1,0,COUNT(Curvas_cupon_cero!$A:$A)-2,1),OFFSET(Curvas_cupon_cero!$A$1,1,MATCH($B$7,Curvas_cupon_cero!$1:$1,0)-1,COUNT(Curvas_cupon_cero!$A:$A)-2,1)),[1]!interpolar(H213,OFFSET(Curvas_cupon_cero!$A$1,1,0,COUNT(Curvas_cupon_cero!$A:$A)-2,1),OFFSET(Curvas_cupon_cero!$A$1,1,MATCH($B$7,Curvas_cupon_cero!$1:$1,0)-1,COUNT(Curvas_cupon_cero!$A:$A)-2,1))))</f>
        <v/>
      </c>
      <c r="E213" s="23" t="str">
        <f t="shared" si="22"/>
        <v/>
      </c>
      <c r="F213" s="17" t="str">
        <f t="shared" si="20"/>
        <v/>
      </c>
      <c r="G213" s="18" t="str">
        <f t="shared" si="23"/>
        <v/>
      </c>
      <c r="H213" t="str">
        <f t="shared" si="24"/>
        <v/>
      </c>
      <c r="I213" s="23" t="str">
        <f ca="1">IF(A213="","",IF($B$8="Sí",interpolar_alamb(H213,OFFSET(Curvas_cupon_cero!$A$1,1,0,COUNT(Curvas_cupon_cero!$A:$A)-2,1),OFFSET(Curvas_cupon_cero!$A$1,1,MATCH($B$6,Curvas_cupon_cero!$1:$1,0)-1,COUNT(Curvas_cupon_cero!$A:$A)-2,1)),[1]!interpolar(H213,OFFSET(Curvas_cupon_cero!$A$1,1,0,COUNT(Curvas_cupon_cero!$A:$A)-2,1),OFFSET(Curvas_cupon_cero!$A$1,1,MATCH($B$6,Curvas_cupon_cero!$1:$1,0)-1,COUNT(Curvas_cupon_cero!$A:$A)-2,1))))</f>
        <v/>
      </c>
      <c r="J213" s="19" t="str">
        <f>IF(A213="","",F213/(1+I213*$B$5/360)^(COUNT(A$16:A213)-($B$5-$G$16)/$B$5))</f>
        <v/>
      </c>
    </row>
    <row r="214" spans="1:10" x14ac:dyDescent="0.2">
      <c r="A214" s="12" t="str">
        <f t="shared" si="21"/>
        <v/>
      </c>
      <c r="B214" t="str">
        <f t="shared" si="19"/>
        <v/>
      </c>
      <c r="C214" s="21" t="str">
        <f ca="1">IF(A214="","",IF($B$8="Sí",interpolar_alamb(B214,OFFSET(Curvas_cupon_cero!$A$1,1,0,COUNT(Curvas_cupon_cero!$A:$A)-2,1),OFFSET(Curvas_cupon_cero!$A$1,1,MATCH($B$7,Curvas_cupon_cero!$1:$1,0)-1,COUNT(Curvas_cupon_cero!$A:$A)-2,1)),[1]!interpolar(B214,OFFSET(Curvas_cupon_cero!$A$1,1,0,COUNT(Curvas_cupon_cero!$A:$A)-2,1),OFFSET(Curvas_cupon_cero!$A$1,1,MATCH($B$7,Curvas_cupon_cero!$1:$1,0)-1,COUNT(Curvas_cupon_cero!$A:$A)-2,1))))</f>
        <v/>
      </c>
      <c r="D214" s="23" t="str">
        <f ca="1">IF(A214="","",IF($B$8="Sí",interpolar_alamb(H214,OFFSET(Curvas_cupon_cero!$A$1,1,0,COUNT(Curvas_cupon_cero!$A:$A)-2,1),OFFSET(Curvas_cupon_cero!$A$1,1,MATCH($B$7,Curvas_cupon_cero!$1:$1,0)-1,COUNT(Curvas_cupon_cero!$A:$A)-2,1)),[1]!interpolar(H214,OFFSET(Curvas_cupon_cero!$A$1,1,0,COUNT(Curvas_cupon_cero!$A:$A)-2,1),OFFSET(Curvas_cupon_cero!$A$1,1,MATCH($B$7,Curvas_cupon_cero!$1:$1,0)-1,COUNT(Curvas_cupon_cero!$A:$A)-2,1))))</f>
        <v/>
      </c>
      <c r="E214" s="23" t="str">
        <f t="shared" si="22"/>
        <v/>
      </c>
      <c r="F214" s="17" t="str">
        <f t="shared" si="20"/>
        <v/>
      </c>
      <c r="G214" s="18" t="str">
        <f t="shared" si="23"/>
        <v/>
      </c>
      <c r="H214" t="str">
        <f t="shared" si="24"/>
        <v/>
      </c>
      <c r="I214" s="23" t="str">
        <f ca="1">IF(A214="","",IF($B$8="Sí",interpolar_alamb(H214,OFFSET(Curvas_cupon_cero!$A$1,1,0,COUNT(Curvas_cupon_cero!$A:$A)-2,1),OFFSET(Curvas_cupon_cero!$A$1,1,MATCH($B$6,Curvas_cupon_cero!$1:$1,0)-1,COUNT(Curvas_cupon_cero!$A:$A)-2,1)),[1]!interpolar(H214,OFFSET(Curvas_cupon_cero!$A$1,1,0,COUNT(Curvas_cupon_cero!$A:$A)-2,1),OFFSET(Curvas_cupon_cero!$A$1,1,MATCH($B$6,Curvas_cupon_cero!$1:$1,0)-1,COUNT(Curvas_cupon_cero!$A:$A)-2,1))))</f>
        <v/>
      </c>
      <c r="J214" s="19" t="str">
        <f>IF(A214="","",F214/(1+I214*$B$5/360)^(COUNT(A$16:A214)-($B$5-$G$16)/$B$5))</f>
        <v/>
      </c>
    </row>
    <row r="215" spans="1:10" x14ac:dyDescent="0.2">
      <c r="A215" s="12" t="str">
        <f t="shared" si="21"/>
        <v/>
      </c>
      <c r="B215" t="str">
        <f t="shared" si="19"/>
        <v/>
      </c>
      <c r="C215" s="21" t="str">
        <f ca="1">IF(A215="","",IF($B$8="Sí",interpolar_alamb(B215,OFFSET(Curvas_cupon_cero!$A$1,1,0,COUNT(Curvas_cupon_cero!$A:$A)-2,1),OFFSET(Curvas_cupon_cero!$A$1,1,MATCH($B$7,Curvas_cupon_cero!$1:$1,0)-1,COUNT(Curvas_cupon_cero!$A:$A)-2,1)),[1]!interpolar(B215,OFFSET(Curvas_cupon_cero!$A$1,1,0,COUNT(Curvas_cupon_cero!$A:$A)-2,1),OFFSET(Curvas_cupon_cero!$A$1,1,MATCH($B$7,Curvas_cupon_cero!$1:$1,0)-1,COUNT(Curvas_cupon_cero!$A:$A)-2,1))))</f>
        <v/>
      </c>
      <c r="D215" s="23" t="str">
        <f ca="1">IF(A215="","",IF($B$8="Sí",interpolar_alamb(H215,OFFSET(Curvas_cupon_cero!$A$1,1,0,COUNT(Curvas_cupon_cero!$A:$A)-2,1),OFFSET(Curvas_cupon_cero!$A$1,1,MATCH($B$7,Curvas_cupon_cero!$1:$1,0)-1,COUNT(Curvas_cupon_cero!$A:$A)-2,1)),[1]!interpolar(H215,OFFSET(Curvas_cupon_cero!$A$1,1,0,COUNT(Curvas_cupon_cero!$A:$A)-2,1),OFFSET(Curvas_cupon_cero!$A$1,1,MATCH($B$7,Curvas_cupon_cero!$1:$1,0)-1,COUNT(Curvas_cupon_cero!$A:$A)-2,1))))</f>
        <v/>
      </c>
      <c r="E215" s="23" t="str">
        <f t="shared" si="22"/>
        <v/>
      </c>
      <c r="F215" s="17" t="str">
        <f t="shared" si="20"/>
        <v/>
      </c>
      <c r="G215" s="18" t="str">
        <f t="shared" si="23"/>
        <v/>
      </c>
      <c r="H215" t="str">
        <f t="shared" si="24"/>
        <v/>
      </c>
      <c r="I215" s="23" t="str">
        <f ca="1">IF(A215="","",IF($B$8="Sí",interpolar_alamb(H215,OFFSET(Curvas_cupon_cero!$A$1,1,0,COUNT(Curvas_cupon_cero!$A:$A)-2,1),OFFSET(Curvas_cupon_cero!$A$1,1,MATCH($B$6,Curvas_cupon_cero!$1:$1,0)-1,COUNT(Curvas_cupon_cero!$A:$A)-2,1)),[1]!interpolar(H215,OFFSET(Curvas_cupon_cero!$A$1,1,0,COUNT(Curvas_cupon_cero!$A:$A)-2,1),OFFSET(Curvas_cupon_cero!$A$1,1,MATCH($B$6,Curvas_cupon_cero!$1:$1,0)-1,COUNT(Curvas_cupon_cero!$A:$A)-2,1))))</f>
        <v/>
      </c>
      <c r="J215" s="19" t="str">
        <f>IF(A215="","",F215/(1+I215*$B$5/360)^(COUNT(A$16:A215)-($B$5-$G$16)/$B$5))</f>
        <v/>
      </c>
    </row>
    <row r="216" spans="1:10" x14ac:dyDescent="0.2">
      <c r="A216" s="12" t="str">
        <f t="shared" si="21"/>
        <v/>
      </c>
      <c r="B216" t="str">
        <f t="shared" si="19"/>
        <v/>
      </c>
      <c r="C216" s="21" t="str">
        <f ca="1">IF(A216="","",IF($B$8="Sí",interpolar_alamb(B216,OFFSET(Curvas_cupon_cero!$A$1,1,0,COUNT(Curvas_cupon_cero!$A:$A)-2,1),OFFSET(Curvas_cupon_cero!$A$1,1,MATCH($B$7,Curvas_cupon_cero!$1:$1,0)-1,COUNT(Curvas_cupon_cero!$A:$A)-2,1)),[1]!interpolar(B216,OFFSET(Curvas_cupon_cero!$A$1,1,0,COUNT(Curvas_cupon_cero!$A:$A)-2,1),OFFSET(Curvas_cupon_cero!$A$1,1,MATCH($B$7,Curvas_cupon_cero!$1:$1,0)-1,COUNT(Curvas_cupon_cero!$A:$A)-2,1))))</f>
        <v/>
      </c>
      <c r="D216" s="23" t="str">
        <f ca="1">IF(A216="","",IF($B$8="Sí",interpolar_alamb(H216,OFFSET(Curvas_cupon_cero!$A$1,1,0,COUNT(Curvas_cupon_cero!$A:$A)-2,1),OFFSET(Curvas_cupon_cero!$A$1,1,MATCH($B$7,Curvas_cupon_cero!$1:$1,0)-1,COUNT(Curvas_cupon_cero!$A:$A)-2,1)),[1]!interpolar(H216,OFFSET(Curvas_cupon_cero!$A$1,1,0,COUNT(Curvas_cupon_cero!$A:$A)-2,1),OFFSET(Curvas_cupon_cero!$A$1,1,MATCH($B$7,Curvas_cupon_cero!$1:$1,0)-1,COUNT(Curvas_cupon_cero!$A:$A)-2,1))))</f>
        <v/>
      </c>
      <c r="E216" s="23" t="str">
        <f t="shared" si="22"/>
        <v/>
      </c>
      <c r="F216" s="17" t="str">
        <f t="shared" si="20"/>
        <v/>
      </c>
      <c r="G216" s="18" t="str">
        <f t="shared" si="23"/>
        <v/>
      </c>
      <c r="H216" t="str">
        <f t="shared" si="24"/>
        <v/>
      </c>
      <c r="I216" s="23" t="str">
        <f ca="1">IF(A216="","",IF($B$8="Sí",interpolar_alamb(H216,OFFSET(Curvas_cupon_cero!$A$1,1,0,COUNT(Curvas_cupon_cero!$A:$A)-2,1),OFFSET(Curvas_cupon_cero!$A$1,1,MATCH($B$6,Curvas_cupon_cero!$1:$1,0)-1,COUNT(Curvas_cupon_cero!$A:$A)-2,1)),[1]!interpolar(H216,OFFSET(Curvas_cupon_cero!$A$1,1,0,COUNT(Curvas_cupon_cero!$A:$A)-2,1),OFFSET(Curvas_cupon_cero!$A$1,1,MATCH($B$6,Curvas_cupon_cero!$1:$1,0)-1,COUNT(Curvas_cupon_cero!$A:$A)-2,1))))</f>
        <v/>
      </c>
      <c r="J216" s="19" t="str">
        <f>IF(A216="","",F216/(1+I216*$B$5/360)^(COUNT(A$16:A216)-($B$5-$G$16)/$B$5))</f>
        <v/>
      </c>
    </row>
    <row r="217" spans="1:10" x14ac:dyDescent="0.2">
      <c r="A217" s="12" t="str">
        <f t="shared" si="21"/>
        <v/>
      </c>
      <c r="B217" t="str">
        <f t="shared" si="19"/>
        <v/>
      </c>
      <c r="C217" s="21" t="str">
        <f ca="1">IF(A217="","",IF($B$8="Sí",interpolar_alamb(B217,OFFSET(Curvas_cupon_cero!$A$1,1,0,COUNT(Curvas_cupon_cero!$A:$A)-2,1),OFFSET(Curvas_cupon_cero!$A$1,1,MATCH($B$7,Curvas_cupon_cero!$1:$1,0)-1,COUNT(Curvas_cupon_cero!$A:$A)-2,1)),[1]!interpolar(B217,OFFSET(Curvas_cupon_cero!$A$1,1,0,COUNT(Curvas_cupon_cero!$A:$A)-2,1),OFFSET(Curvas_cupon_cero!$A$1,1,MATCH($B$7,Curvas_cupon_cero!$1:$1,0)-1,COUNT(Curvas_cupon_cero!$A:$A)-2,1))))</f>
        <v/>
      </c>
      <c r="D217" s="23" t="str">
        <f ca="1">IF(A217="","",IF($B$8="Sí",interpolar_alamb(H217,OFFSET(Curvas_cupon_cero!$A$1,1,0,COUNT(Curvas_cupon_cero!$A:$A)-2,1),OFFSET(Curvas_cupon_cero!$A$1,1,MATCH($B$7,Curvas_cupon_cero!$1:$1,0)-1,COUNT(Curvas_cupon_cero!$A:$A)-2,1)),[1]!interpolar(H217,OFFSET(Curvas_cupon_cero!$A$1,1,0,COUNT(Curvas_cupon_cero!$A:$A)-2,1),OFFSET(Curvas_cupon_cero!$A$1,1,MATCH($B$7,Curvas_cupon_cero!$1:$1,0)-1,COUNT(Curvas_cupon_cero!$A:$A)-2,1))))</f>
        <v/>
      </c>
      <c r="E217" s="23" t="str">
        <f t="shared" si="22"/>
        <v/>
      </c>
      <c r="F217" s="17" t="str">
        <f t="shared" si="20"/>
        <v/>
      </c>
      <c r="G217" s="18" t="str">
        <f t="shared" si="23"/>
        <v/>
      </c>
      <c r="H217" t="str">
        <f t="shared" si="24"/>
        <v/>
      </c>
      <c r="I217" s="23" t="str">
        <f ca="1">IF(A217="","",IF($B$8="Sí",interpolar_alamb(H217,OFFSET(Curvas_cupon_cero!$A$1,1,0,COUNT(Curvas_cupon_cero!$A:$A)-2,1),OFFSET(Curvas_cupon_cero!$A$1,1,MATCH($B$6,Curvas_cupon_cero!$1:$1,0)-1,COUNT(Curvas_cupon_cero!$A:$A)-2,1)),[1]!interpolar(H217,OFFSET(Curvas_cupon_cero!$A$1,1,0,COUNT(Curvas_cupon_cero!$A:$A)-2,1),OFFSET(Curvas_cupon_cero!$A$1,1,MATCH($B$6,Curvas_cupon_cero!$1:$1,0)-1,COUNT(Curvas_cupon_cero!$A:$A)-2,1))))</f>
        <v/>
      </c>
      <c r="J217" s="19" t="str">
        <f>IF(A217="","",F217/(1+I217*$B$5/360)^(COUNT(A$16:A217)-($B$5-$G$16)/$B$5))</f>
        <v/>
      </c>
    </row>
    <row r="218" spans="1:10" x14ac:dyDescent="0.2">
      <c r="A218" s="12" t="str">
        <f t="shared" si="21"/>
        <v/>
      </c>
      <c r="B218" t="str">
        <f t="shared" si="19"/>
        <v/>
      </c>
      <c r="C218" s="21" t="str">
        <f ca="1">IF(A218="","",IF($B$8="Sí",interpolar_alamb(B218,OFFSET(Curvas_cupon_cero!$A$1,1,0,COUNT(Curvas_cupon_cero!$A:$A)-2,1),OFFSET(Curvas_cupon_cero!$A$1,1,MATCH($B$7,Curvas_cupon_cero!$1:$1,0)-1,COUNT(Curvas_cupon_cero!$A:$A)-2,1)),[1]!interpolar(B218,OFFSET(Curvas_cupon_cero!$A$1,1,0,COUNT(Curvas_cupon_cero!$A:$A)-2,1),OFFSET(Curvas_cupon_cero!$A$1,1,MATCH($B$7,Curvas_cupon_cero!$1:$1,0)-1,COUNT(Curvas_cupon_cero!$A:$A)-2,1))))</f>
        <v/>
      </c>
      <c r="D218" s="23" t="str">
        <f ca="1">IF(A218="","",IF($B$8="Sí",interpolar_alamb(H218,OFFSET(Curvas_cupon_cero!$A$1,1,0,COUNT(Curvas_cupon_cero!$A:$A)-2,1),OFFSET(Curvas_cupon_cero!$A$1,1,MATCH($B$7,Curvas_cupon_cero!$1:$1,0)-1,COUNT(Curvas_cupon_cero!$A:$A)-2,1)),[1]!interpolar(H218,OFFSET(Curvas_cupon_cero!$A$1,1,0,COUNT(Curvas_cupon_cero!$A:$A)-2,1),OFFSET(Curvas_cupon_cero!$A$1,1,MATCH($B$7,Curvas_cupon_cero!$1:$1,0)-1,COUNT(Curvas_cupon_cero!$A:$A)-2,1))))</f>
        <v/>
      </c>
      <c r="E218" s="23" t="str">
        <f t="shared" si="22"/>
        <v/>
      </c>
      <c r="F218" s="17" t="str">
        <f t="shared" si="20"/>
        <v/>
      </c>
      <c r="G218" s="18" t="str">
        <f t="shared" si="23"/>
        <v/>
      </c>
      <c r="H218" t="str">
        <f t="shared" si="24"/>
        <v/>
      </c>
      <c r="I218" s="23" t="str">
        <f ca="1">IF(A218="","",IF($B$8="Sí",interpolar_alamb(H218,OFFSET(Curvas_cupon_cero!$A$1,1,0,COUNT(Curvas_cupon_cero!$A:$A)-2,1),OFFSET(Curvas_cupon_cero!$A$1,1,MATCH($B$6,Curvas_cupon_cero!$1:$1,0)-1,COUNT(Curvas_cupon_cero!$A:$A)-2,1)),[1]!interpolar(H218,OFFSET(Curvas_cupon_cero!$A$1,1,0,COUNT(Curvas_cupon_cero!$A:$A)-2,1),OFFSET(Curvas_cupon_cero!$A$1,1,MATCH($B$6,Curvas_cupon_cero!$1:$1,0)-1,COUNT(Curvas_cupon_cero!$A:$A)-2,1))))</f>
        <v/>
      </c>
      <c r="J218" s="19" t="str">
        <f>IF(A218="","",F218/(1+I218*$B$5/360)^(COUNT(A$16:A218)-($B$5-$G$16)/$B$5))</f>
        <v/>
      </c>
    </row>
    <row r="219" spans="1:10" x14ac:dyDescent="0.2">
      <c r="A219" s="12" t="str">
        <f t="shared" si="21"/>
        <v/>
      </c>
      <c r="B219" t="str">
        <f t="shared" si="19"/>
        <v/>
      </c>
      <c r="C219" s="21" t="str">
        <f ca="1">IF(A219="","",IF($B$8="Sí",interpolar_alamb(B219,OFFSET(Curvas_cupon_cero!$A$1,1,0,COUNT(Curvas_cupon_cero!$A:$A)-2,1),OFFSET(Curvas_cupon_cero!$A$1,1,MATCH($B$7,Curvas_cupon_cero!$1:$1,0)-1,COUNT(Curvas_cupon_cero!$A:$A)-2,1)),[1]!interpolar(B219,OFFSET(Curvas_cupon_cero!$A$1,1,0,COUNT(Curvas_cupon_cero!$A:$A)-2,1),OFFSET(Curvas_cupon_cero!$A$1,1,MATCH($B$7,Curvas_cupon_cero!$1:$1,0)-1,COUNT(Curvas_cupon_cero!$A:$A)-2,1))))</f>
        <v/>
      </c>
      <c r="D219" s="23" t="str">
        <f ca="1">IF(A219="","",IF($B$8="Sí",interpolar_alamb(H219,OFFSET(Curvas_cupon_cero!$A$1,1,0,COUNT(Curvas_cupon_cero!$A:$A)-2,1),OFFSET(Curvas_cupon_cero!$A$1,1,MATCH($B$7,Curvas_cupon_cero!$1:$1,0)-1,COUNT(Curvas_cupon_cero!$A:$A)-2,1)),[1]!interpolar(H219,OFFSET(Curvas_cupon_cero!$A$1,1,0,COUNT(Curvas_cupon_cero!$A:$A)-2,1),OFFSET(Curvas_cupon_cero!$A$1,1,MATCH($B$7,Curvas_cupon_cero!$1:$1,0)-1,COUNT(Curvas_cupon_cero!$A:$A)-2,1))))</f>
        <v/>
      </c>
      <c r="E219" s="23" t="str">
        <f t="shared" si="22"/>
        <v/>
      </c>
      <c r="F219" s="17" t="str">
        <f t="shared" si="20"/>
        <v/>
      </c>
      <c r="G219" s="18" t="str">
        <f t="shared" si="23"/>
        <v/>
      </c>
      <c r="H219" t="str">
        <f t="shared" si="24"/>
        <v/>
      </c>
      <c r="I219" s="23" t="str">
        <f ca="1">IF(A219="","",IF($B$8="Sí",interpolar_alamb(H219,OFFSET(Curvas_cupon_cero!$A$1,1,0,COUNT(Curvas_cupon_cero!$A:$A)-2,1),OFFSET(Curvas_cupon_cero!$A$1,1,MATCH($B$6,Curvas_cupon_cero!$1:$1,0)-1,COUNT(Curvas_cupon_cero!$A:$A)-2,1)),[1]!interpolar(H219,OFFSET(Curvas_cupon_cero!$A$1,1,0,COUNT(Curvas_cupon_cero!$A:$A)-2,1),OFFSET(Curvas_cupon_cero!$A$1,1,MATCH($B$6,Curvas_cupon_cero!$1:$1,0)-1,COUNT(Curvas_cupon_cero!$A:$A)-2,1))))</f>
        <v/>
      </c>
      <c r="J219" s="19" t="str">
        <f>IF(A219="","",F219/(1+I219*$B$5/360)^(COUNT(A$16:A219)-($B$5-$G$16)/$B$5))</f>
        <v/>
      </c>
    </row>
    <row r="220" spans="1:10" x14ac:dyDescent="0.2">
      <c r="A220" s="12" t="str">
        <f t="shared" si="21"/>
        <v/>
      </c>
      <c r="B220" t="str">
        <f t="shared" si="19"/>
        <v/>
      </c>
      <c r="C220" s="21" t="str">
        <f ca="1">IF(A220="","",IF($B$8="Sí",interpolar_alamb(B220,OFFSET(Curvas_cupon_cero!$A$1,1,0,COUNT(Curvas_cupon_cero!$A:$A)-2,1),OFFSET(Curvas_cupon_cero!$A$1,1,MATCH($B$7,Curvas_cupon_cero!$1:$1,0)-1,COUNT(Curvas_cupon_cero!$A:$A)-2,1)),[1]!interpolar(B220,OFFSET(Curvas_cupon_cero!$A$1,1,0,COUNT(Curvas_cupon_cero!$A:$A)-2,1),OFFSET(Curvas_cupon_cero!$A$1,1,MATCH($B$7,Curvas_cupon_cero!$1:$1,0)-1,COUNT(Curvas_cupon_cero!$A:$A)-2,1))))</f>
        <v/>
      </c>
      <c r="D220" s="23" t="str">
        <f ca="1">IF(A220="","",IF($B$8="Sí",interpolar_alamb(H220,OFFSET(Curvas_cupon_cero!$A$1,1,0,COUNT(Curvas_cupon_cero!$A:$A)-2,1),OFFSET(Curvas_cupon_cero!$A$1,1,MATCH($B$7,Curvas_cupon_cero!$1:$1,0)-1,COUNT(Curvas_cupon_cero!$A:$A)-2,1)),[1]!interpolar(H220,OFFSET(Curvas_cupon_cero!$A$1,1,0,COUNT(Curvas_cupon_cero!$A:$A)-2,1),OFFSET(Curvas_cupon_cero!$A$1,1,MATCH($B$7,Curvas_cupon_cero!$1:$1,0)-1,COUNT(Curvas_cupon_cero!$A:$A)-2,1))))</f>
        <v/>
      </c>
      <c r="E220" s="23" t="str">
        <f t="shared" si="22"/>
        <v/>
      </c>
      <c r="F220" s="17" t="str">
        <f t="shared" si="20"/>
        <v/>
      </c>
      <c r="G220" s="18" t="str">
        <f t="shared" si="23"/>
        <v/>
      </c>
      <c r="H220" t="str">
        <f t="shared" si="24"/>
        <v/>
      </c>
      <c r="I220" s="23" t="str">
        <f ca="1">IF(A220="","",IF($B$8="Sí",interpolar_alamb(H220,OFFSET(Curvas_cupon_cero!$A$1,1,0,COUNT(Curvas_cupon_cero!$A:$A)-2,1),OFFSET(Curvas_cupon_cero!$A$1,1,MATCH($B$6,Curvas_cupon_cero!$1:$1,0)-1,COUNT(Curvas_cupon_cero!$A:$A)-2,1)),[1]!interpolar(H220,OFFSET(Curvas_cupon_cero!$A$1,1,0,COUNT(Curvas_cupon_cero!$A:$A)-2,1),OFFSET(Curvas_cupon_cero!$A$1,1,MATCH($B$6,Curvas_cupon_cero!$1:$1,0)-1,COUNT(Curvas_cupon_cero!$A:$A)-2,1))))</f>
        <v/>
      </c>
      <c r="J220" s="19" t="str">
        <f>IF(A220="","",F220/(1+I220*$B$5/360)^(COUNT(A$16:A220)-($B$5-$G$16)/$B$5))</f>
        <v/>
      </c>
    </row>
    <row r="221" spans="1:10" x14ac:dyDescent="0.2">
      <c r="A221" s="12" t="str">
        <f t="shared" si="21"/>
        <v/>
      </c>
      <c r="B221" t="str">
        <f t="shared" si="19"/>
        <v/>
      </c>
      <c r="C221" s="21" t="str">
        <f ca="1">IF(A221="","",IF($B$8="Sí",interpolar_alamb(B221,OFFSET(Curvas_cupon_cero!$A$1,1,0,COUNT(Curvas_cupon_cero!$A:$A)-2,1),OFFSET(Curvas_cupon_cero!$A$1,1,MATCH($B$7,Curvas_cupon_cero!$1:$1,0)-1,COUNT(Curvas_cupon_cero!$A:$A)-2,1)),[1]!interpolar(B221,OFFSET(Curvas_cupon_cero!$A$1,1,0,COUNT(Curvas_cupon_cero!$A:$A)-2,1),OFFSET(Curvas_cupon_cero!$A$1,1,MATCH($B$7,Curvas_cupon_cero!$1:$1,0)-1,COUNT(Curvas_cupon_cero!$A:$A)-2,1))))</f>
        <v/>
      </c>
      <c r="D221" s="23" t="str">
        <f ca="1">IF(A221="","",IF($B$8="Sí",interpolar_alamb(H221,OFFSET(Curvas_cupon_cero!$A$1,1,0,COUNT(Curvas_cupon_cero!$A:$A)-2,1),OFFSET(Curvas_cupon_cero!$A$1,1,MATCH($B$7,Curvas_cupon_cero!$1:$1,0)-1,COUNT(Curvas_cupon_cero!$A:$A)-2,1)),[1]!interpolar(H221,OFFSET(Curvas_cupon_cero!$A$1,1,0,COUNT(Curvas_cupon_cero!$A:$A)-2,1),OFFSET(Curvas_cupon_cero!$A$1,1,MATCH($B$7,Curvas_cupon_cero!$1:$1,0)-1,COUNT(Curvas_cupon_cero!$A:$A)-2,1))))</f>
        <v/>
      </c>
      <c r="E221" s="23" t="str">
        <f t="shared" si="22"/>
        <v/>
      </c>
      <c r="F221" s="17" t="str">
        <f t="shared" si="20"/>
        <v/>
      </c>
      <c r="G221" s="18" t="str">
        <f t="shared" si="23"/>
        <v/>
      </c>
      <c r="H221" t="str">
        <f t="shared" si="24"/>
        <v/>
      </c>
      <c r="I221" s="23" t="str">
        <f ca="1">IF(A221="","",IF($B$8="Sí",interpolar_alamb(H221,OFFSET(Curvas_cupon_cero!$A$1,1,0,COUNT(Curvas_cupon_cero!$A:$A)-2,1),OFFSET(Curvas_cupon_cero!$A$1,1,MATCH($B$6,Curvas_cupon_cero!$1:$1,0)-1,COUNT(Curvas_cupon_cero!$A:$A)-2,1)),[1]!interpolar(H221,OFFSET(Curvas_cupon_cero!$A$1,1,0,COUNT(Curvas_cupon_cero!$A:$A)-2,1),OFFSET(Curvas_cupon_cero!$A$1,1,MATCH($B$6,Curvas_cupon_cero!$1:$1,0)-1,COUNT(Curvas_cupon_cero!$A:$A)-2,1))))</f>
        <v/>
      </c>
      <c r="J221" s="19" t="str">
        <f>IF(A221="","",F221/(1+I221*$B$5/360)^(COUNT(A$16:A221)-($B$5-$G$16)/$B$5))</f>
        <v/>
      </c>
    </row>
    <row r="222" spans="1:10" x14ac:dyDescent="0.2">
      <c r="A222" s="12" t="str">
        <f t="shared" si="21"/>
        <v/>
      </c>
      <c r="B222" t="str">
        <f t="shared" si="19"/>
        <v/>
      </c>
      <c r="C222" s="21" t="str">
        <f ca="1">IF(A222="","",IF($B$8="Sí",interpolar_alamb(B222,OFFSET(Curvas_cupon_cero!$A$1,1,0,COUNT(Curvas_cupon_cero!$A:$A)-2,1),OFFSET(Curvas_cupon_cero!$A$1,1,MATCH($B$7,Curvas_cupon_cero!$1:$1,0)-1,COUNT(Curvas_cupon_cero!$A:$A)-2,1)),[1]!interpolar(B222,OFFSET(Curvas_cupon_cero!$A$1,1,0,COUNT(Curvas_cupon_cero!$A:$A)-2,1),OFFSET(Curvas_cupon_cero!$A$1,1,MATCH($B$7,Curvas_cupon_cero!$1:$1,0)-1,COUNT(Curvas_cupon_cero!$A:$A)-2,1))))</f>
        <v/>
      </c>
      <c r="D222" s="23" t="str">
        <f ca="1">IF(A222="","",IF($B$8="Sí",interpolar_alamb(H222,OFFSET(Curvas_cupon_cero!$A$1,1,0,COUNT(Curvas_cupon_cero!$A:$A)-2,1),OFFSET(Curvas_cupon_cero!$A$1,1,MATCH($B$7,Curvas_cupon_cero!$1:$1,0)-1,COUNT(Curvas_cupon_cero!$A:$A)-2,1)),[1]!interpolar(H222,OFFSET(Curvas_cupon_cero!$A$1,1,0,COUNT(Curvas_cupon_cero!$A:$A)-2,1),OFFSET(Curvas_cupon_cero!$A$1,1,MATCH($B$7,Curvas_cupon_cero!$1:$1,0)-1,COUNT(Curvas_cupon_cero!$A:$A)-2,1))))</f>
        <v/>
      </c>
      <c r="E222" s="23" t="str">
        <f t="shared" si="22"/>
        <v/>
      </c>
      <c r="F222" s="17" t="str">
        <f t="shared" si="20"/>
        <v/>
      </c>
      <c r="G222" s="18" t="str">
        <f t="shared" si="23"/>
        <v/>
      </c>
      <c r="H222" t="str">
        <f t="shared" si="24"/>
        <v/>
      </c>
      <c r="I222" s="23" t="str">
        <f ca="1">IF(A222="","",IF($B$8="Sí",interpolar_alamb(H222,OFFSET(Curvas_cupon_cero!$A$1,1,0,COUNT(Curvas_cupon_cero!$A:$A)-2,1),OFFSET(Curvas_cupon_cero!$A$1,1,MATCH($B$6,Curvas_cupon_cero!$1:$1,0)-1,COUNT(Curvas_cupon_cero!$A:$A)-2,1)),[1]!interpolar(H222,OFFSET(Curvas_cupon_cero!$A$1,1,0,COUNT(Curvas_cupon_cero!$A:$A)-2,1),OFFSET(Curvas_cupon_cero!$A$1,1,MATCH($B$6,Curvas_cupon_cero!$1:$1,0)-1,COUNT(Curvas_cupon_cero!$A:$A)-2,1))))</f>
        <v/>
      </c>
      <c r="J222" s="19" t="str">
        <f>IF(A222="","",F222/(1+I222*$B$5/360)^(COUNT(A$16:A222)-($B$5-$G$16)/$B$5))</f>
        <v/>
      </c>
    </row>
    <row r="223" spans="1:10" x14ac:dyDescent="0.2">
      <c r="A223" s="12" t="str">
        <f t="shared" si="21"/>
        <v/>
      </c>
      <c r="B223" t="str">
        <f t="shared" si="19"/>
        <v/>
      </c>
      <c r="C223" s="21" t="str">
        <f ca="1">IF(A223="","",IF($B$8="Sí",interpolar_alamb(B223,OFFSET(Curvas_cupon_cero!$A$1,1,0,COUNT(Curvas_cupon_cero!$A:$A)-2,1),OFFSET(Curvas_cupon_cero!$A$1,1,MATCH($B$7,Curvas_cupon_cero!$1:$1,0)-1,COUNT(Curvas_cupon_cero!$A:$A)-2,1)),[1]!interpolar(B223,OFFSET(Curvas_cupon_cero!$A$1,1,0,COUNT(Curvas_cupon_cero!$A:$A)-2,1),OFFSET(Curvas_cupon_cero!$A$1,1,MATCH($B$7,Curvas_cupon_cero!$1:$1,0)-1,COUNT(Curvas_cupon_cero!$A:$A)-2,1))))</f>
        <v/>
      </c>
      <c r="D223" s="23" t="str">
        <f ca="1">IF(A223="","",IF($B$8="Sí",interpolar_alamb(H223,OFFSET(Curvas_cupon_cero!$A$1,1,0,COUNT(Curvas_cupon_cero!$A:$A)-2,1),OFFSET(Curvas_cupon_cero!$A$1,1,MATCH($B$7,Curvas_cupon_cero!$1:$1,0)-1,COUNT(Curvas_cupon_cero!$A:$A)-2,1)),[1]!interpolar(H223,OFFSET(Curvas_cupon_cero!$A$1,1,0,COUNT(Curvas_cupon_cero!$A:$A)-2,1),OFFSET(Curvas_cupon_cero!$A$1,1,MATCH($B$7,Curvas_cupon_cero!$1:$1,0)-1,COUNT(Curvas_cupon_cero!$A:$A)-2,1))))</f>
        <v/>
      </c>
      <c r="E223" s="23" t="str">
        <f t="shared" si="22"/>
        <v/>
      </c>
      <c r="F223" s="17" t="str">
        <f t="shared" si="20"/>
        <v/>
      </c>
      <c r="G223" s="18" t="str">
        <f t="shared" si="23"/>
        <v/>
      </c>
      <c r="H223" t="str">
        <f t="shared" si="24"/>
        <v/>
      </c>
      <c r="I223" s="23" t="str">
        <f ca="1">IF(A223="","",IF($B$8="Sí",interpolar_alamb(H223,OFFSET(Curvas_cupon_cero!$A$1,1,0,COUNT(Curvas_cupon_cero!$A:$A)-2,1),OFFSET(Curvas_cupon_cero!$A$1,1,MATCH($B$6,Curvas_cupon_cero!$1:$1,0)-1,COUNT(Curvas_cupon_cero!$A:$A)-2,1)),[1]!interpolar(H223,OFFSET(Curvas_cupon_cero!$A$1,1,0,COUNT(Curvas_cupon_cero!$A:$A)-2,1),OFFSET(Curvas_cupon_cero!$A$1,1,MATCH($B$6,Curvas_cupon_cero!$1:$1,0)-1,COUNT(Curvas_cupon_cero!$A:$A)-2,1))))</f>
        <v/>
      </c>
      <c r="J223" s="19" t="str">
        <f>IF(A223="","",F223/(1+I223*$B$5/360)^(COUNT(A$16:A223)-($B$5-$G$16)/$B$5))</f>
        <v/>
      </c>
    </row>
    <row r="224" spans="1:10" x14ac:dyDescent="0.2">
      <c r="A224" s="12" t="str">
        <f t="shared" si="21"/>
        <v/>
      </c>
      <c r="B224" t="str">
        <f t="shared" si="19"/>
        <v/>
      </c>
      <c r="C224" s="21" t="str">
        <f ca="1">IF(A224="","",IF($B$8="Sí",interpolar_alamb(B224,OFFSET(Curvas_cupon_cero!$A$1,1,0,COUNT(Curvas_cupon_cero!$A:$A)-2,1),OFFSET(Curvas_cupon_cero!$A$1,1,MATCH($B$7,Curvas_cupon_cero!$1:$1,0)-1,COUNT(Curvas_cupon_cero!$A:$A)-2,1)),[1]!interpolar(B224,OFFSET(Curvas_cupon_cero!$A$1,1,0,COUNT(Curvas_cupon_cero!$A:$A)-2,1),OFFSET(Curvas_cupon_cero!$A$1,1,MATCH($B$7,Curvas_cupon_cero!$1:$1,0)-1,COUNT(Curvas_cupon_cero!$A:$A)-2,1))))</f>
        <v/>
      </c>
      <c r="D224" s="23" t="str">
        <f ca="1">IF(A224="","",IF($B$8="Sí",interpolar_alamb(H224,OFFSET(Curvas_cupon_cero!$A$1,1,0,COUNT(Curvas_cupon_cero!$A:$A)-2,1),OFFSET(Curvas_cupon_cero!$A$1,1,MATCH($B$7,Curvas_cupon_cero!$1:$1,0)-1,COUNT(Curvas_cupon_cero!$A:$A)-2,1)),[1]!interpolar(H224,OFFSET(Curvas_cupon_cero!$A$1,1,0,COUNT(Curvas_cupon_cero!$A:$A)-2,1),OFFSET(Curvas_cupon_cero!$A$1,1,MATCH($B$7,Curvas_cupon_cero!$1:$1,0)-1,COUNT(Curvas_cupon_cero!$A:$A)-2,1))))</f>
        <v/>
      </c>
      <c r="E224" s="23" t="str">
        <f t="shared" si="22"/>
        <v/>
      </c>
      <c r="F224" s="17" t="str">
        <f t="shared" si="20"/>
        <v/>
      </c>
      <c r="G224" s="18" t="str">
        <f t="shared" si="23"/>
        <v/>
      </c>
      <c r="H224" t="str">
        <f t="shared" si="24"/>
        <v/>
      </c>
      <c r="I224" s="23" t="str">
        <f ca="1">IF(A224="","",IF($B$8="Sí",interpolar_alamb(H224,OFFSET(Curvas_cupon_cero!$A$1,1,0,COUNT(Curvas_cupon_cero!$A:$A)-2,1),OFFSET(Curvas_cupon_cero!$A$1,1,MATCH($B$6,Curvas_cupon_cero!$1:$1,0)-1,COUNT(Curvas_cupon_cero!$A:$A)-2,1)),[1]!interpolar(H224,OFFSET(Curvas_cupon_cero!$A$1,1,0,COUNT(Curvas_cupon_cero!$A:$A)-2,1),OFFSET(Curvas_cupon_cero!$A$1,1,MATCH($B$6,Curvas_cupon_cero!$1:$1,0)-1,COUNT(Curvas_cupon_cero!$A:$A)-2,1))))</f>
        <v/>
      </c>
      <c r="J224" s="19" t="str">
        <f>IF(A224="","",F224/(1+I224*$B$5/360)^(COUNT(A$16:A224)-($B$5-$G$16)/$B$5))</f>
        <v/>
      </c>
    </row>
    <row r="225" spans="1:10" x14ac:dyDescent="0.2">
      <c r="A225" s="12" t="str">
        <f t="shared" si="21"/>
        <v/>
      </c>
      <c r="B225" t="str">
        <f t="shared" si="19"/>
        <v/>
      </c>
      <c r="C225" s="21" t="str">
        <f ca="1">IF(A225="","",IF($B$8="Sí",interpolar_alamb(B225,OFFSET(Curvas_cupon_cero!$A$1,1,0,COUNT(Curvas_cupon_cero!$A:$A)-2,1),OFFSET(Curvas_cupon_cero!$A$1,1,MATCH($B$7,Curvas_cupon_cero!$1:$1,0)-1,COUNT(Curvas_cupon_cero!$A:$A)-2,1)),[1]!interpolar(B225,OFFSET(Curvas_cupon_cero!$A$1,1,0,COUNT(Curvas_cupon_cero!$A:$A)-2,1),OFFSET(Curvas_cupon_cero!$A$1,1,MATCH($B$7,Curvas_cupon_cero!$1:$1,0)-1,COUNT(Curvas_cupon_cero!$A:$A)-2,1))))</f>
        <v/>
      </c>
      <c r="D225" s="23" t="str">
        <f ca="1">IF(A225="","",IF($B$8="Sí",interpolar_alamb(H225,OFFSET(Curvas_cupon_cero!$A$1,1,0,COUNT(Curvas_cupon_cero!$A:$A)-2,1),OFFSET(Curvas_cupon_cero!$A$1,1,MATCH($B$7,Curvas_cupon_cero!$1:$1,0)-1,COUNT(Curvas_cupon_cero!$A:$A)-2,1)),[1]!interpolar(H225,OFFSET(Curvas_cupon_cero!$A$1,1,0,COUNT(Curvas_cupon_cero!$A:$A)-2,1),OFFSET(Curvas_cupon_cero!$A$1,1,MATCH($B$7,Curvas_cupon_cero!$1:$1,0)-1,COUNT(Curvas_cupon_cero!$A:$A)-2,1))))</f>
        <v/>
      </c>
      <c r="E225" s="23" t="str">
        <f t="shared" si="22"/>
        <v/>
      </c>
      <c r="F225" s="17" t="str">
        <f t="shared" si="20"/>
        <v/>
      </c>
      <c r="G225" s="18" t="str">
        <f t="shared" si="23"/>
        <v/>
      </c>
      <c r="H225" t="str">
        <f t="shared" si="24"/>
        <v/>
      </c>
      <c r="I225" s="23" t="str">
        <f ca="1">IF(A225="","",IF($B$8="Sí",interpolar_alamb(H225,OFFSET(Curvas_cupon_cero!$A$1,1,0,COUNT(Curvas_cupon_cero!$A:$A)-2,1),OFFSET(Curvas_cupon_cero!$A$1,1,MATCH($B$6,Curvas_cupon_cero!$1:$1,0)-1,COUNT(Curvas_cupon_cero!$A:$A)-2,1)),[1]!interpolar(H225,OFFSET(Curvas_cupon_cero!$A$1,1,0,COUNT(Curvas_cupon_cero!$A:$A)-2,1),OFFSET(Curvas_cupon_cero!$A$1,1,MATCH($B$6,Curvas_cupon_cero!$1:$1,0)-1,COUNT(Curvas_cupon_cero!$A:$A)-2,1))))</f>
        <v/>
      </c>
      <c r="J225" s="19" t="str">
        <f>IF(A225="","",F225/(1+I225*$B$5/360)^(COUNT(A$16:A225)-($B$5-$G$16)/$B$5))</f>
        <v/>
      </c>
    </row>
    <row r="226" spans="1:10" x14ac:dyDescent="0.2">
      <c r="A226" s="12" t="str">
        <f t="shared" si="21"/>
        <v/>
      </c>
      <c r="B226" t="str">
        <f t="shared" si="19"/>
        <v/>
      </c>
      <c r="C226" s="21" t="str">
        <f ca="1">IF(A226="","",IF($B$8="Sí",interpolar_alamb(B226,OFFSET(Curvas_cupon_cero!$A$1,1,0,COUNT(Curvas_cupon_cero!$A:$A)-2,1),OFFSET(Curvas_cupon_cero!$A$1,1,MATCH($B$7,Curvas_cupon_cero!$1:$1,0)-1,COUNT(Curvas_cupon_cero!$A:$A)-2,1)),[1]!interpolar(B226,OFFSET(Curvas_cupon_cero!$A$1,1,0,COUNT(Curvas_cupon_cero!$A:$A)-2,1),OFFSET(Curvas_cupon_cero!$A$1,1,MATCH($B$7,Curvas_cupon_cero!$1:$1,0)-1,COUNT(Curvas_cupon_cero!$A:$A)-2,1))))</f>
        <v/>
      </c>
      <c r="D226" s="23" t="str">
        <f ca="1">IF(A226="","",IF($B$8="Sí",interpolar_alamb(H226,OFFSET(Curvas_cupon_cero!$A$1,1,0,COUNT(Curvas_cupon_cero!$A:$A)-2,1),OFFSET(Curvas_cupon_cero!$A$1,1,MATCH($B$7,Curvas_cupon_cero!$1:$1,0)-1,COUNT(Curvas_cupon_cero!$A:$A)-2,1)),[1]!interpolar(H226,OFFSET(Curvas_cupon_cero!$A$1,1,0,COUNT(Curvas_cupon_cero!$A:$A)-2,1),OFFSET(Curvas_cupon_cero!$A$1,1,MATCH($B$7,Curvas_cupon_cero!$1:$1,0)-1,COUNT(Curvas_cupon_cero!$A:$A)-2,1))))</f>
        <v/>
      </c>
      <c r="E226" s="23" t="str">
        <f t="shared" si="22"/>
        <v/>
      </c>
      <c r="F226" s="17" t="str">
        <f t="shared" si="20"/>
        <v/>
      </c>
      <c r="G226" s="18" t="str">
        <f t="shared" si="23"/>
        <v/>
      </c>
      <c r="H226" t="str">
        <f t="shared" si="24"/>
        <v/>
      </c>
      <c r="I226" s="23" t="str">
        <f ca="1">IF(A226="","",IF($B$8="Sí",interpolar_alamb(H226,OFFSET(Curvas_cupon_cero!$A$1,1,0,COUNT(Curvas_cupon_cero!$A:$A)-2,1),OFFSET(Curvas_cupon_cero!$A$1,1,MATCH($B$6,Curvas_cupon_cero!$1:$1,0)-1,COUNT(Curvas_cupon_cero!$A:$A)-2,1)),[1]!interpolar(H226,OFFSET(Curvas_cupon_cero!$A$1,1,0,COUNT(Curvas_cupon_cero!$A:$A)-2,1),OFFSET(Curvas_cupon_cero!$A$1,1,MATCH($B$6,Curvas_cupon_cero!$1:$1,0)-1,COUNT(Curvas_cupon_cero!$A:$A)-2,1))))</f>
        <v/>
      </c>
      <c r="J226" s="19" t="str">
        <f>IF(A226="","",F226/(1+I226*$B$5/360)^(COUNT(A$16:A226)-($B$5-$G$16)/$B$5))</f>
        <v/>
      </c>
    </row>
    <row r="227" spans="1:10" x14ac:dyDescent="0.2">
      <c r="A227" s="12" t="str">
        <f t="shared" si="21"/>
        <v/>
      </c>
      <c r="B227" t="str">
        <f t="shared" si="19"/>
        <v/>
      </c>
      <c r="C227" s="21" t="str">
        <f ca="1">IF(A227="","",IF($B$8="Sí",interpolar_alamb(B227,OFFSET(Curvas_cupon_cero!$A$1,1,0,COUNT(Curvas_cupon_cero!$A:$A)-2,1),OFFSET(Curvas_cupon_cero!$A$1,1,MATCH($B$7,Curvas_cupon_cero!$1:$1,0)-1,COUNT(Curvas_cupon_cero!$A:$A)-2,1)),[1]!interpolar(B227,OFFSET(Curvas_cupon_cero!$A$1,1,0,COUNT(Curvas_cupon_cero!$A:$A)-2,1),OFFSET(Curvas_cupon_cero!$A$1,1,MATCH($B$7,Curvas_cupon_cero!$1:$1,0)-1,COUNT(Curvas_cupon_cero!$A:$A)-2,1))))</f>
        <v/>
      </c>
      <c r="D227" s="23" t="str">
        <f ca="1">IF(A227="","",IF($B$8="Sí",interpolar_alamb(H227,OFFSET(Curvas_cupon_cero!$A$1,1,0,COUNT(Curvas_cupon_cero!$A:$A)-2,1),OFFSET(Curvas_cupon_cero!$A$1,1,MATCH($B$7,Curvas_cupon_cero!$1:$1,0)-1,COUNT(Curvas_cupon_cero!$A:$A)-2,1)),[1]!interpolar(H227,OFFSET(Curvas_cupon_cero!$A$1,1,0,COUNT(Curvas_cupon_cero!$A:$A)-2,1),OFFSET(Curvas_cupon_cero!$A$1,1,MATCH($B$7,Curvas_cupon_cero!$1:$1,0)-1,COUNT(Curvas_cupon_cero!$A:$A)-2,1))))</f>
        <v/>
      </c>
      <c r="E227" s="23" t="str">
        <f t="shared" si="22"/>
        <v/>
      </c>
      <c r="F227" s="17" t="str">
        <f t="shared" si="20"/>
        <v/>
      </c>
      <c r="G227" s="18" t="str">
        <f t="shared" si="23"/>
        <v/>
      </c>
      <c r="H227" t="str">
        <f t="shared" si="24"/>
        <v/>
      </c>
      <c r="I227" s="23" t="str">
        <f ca="1">IF(A227="","",IF($B$8="Sí",interpolar_alamb(H227,OFFSET(Curvas_cupon_cero!$A$1,1,0,COUNT(Curvas_cupon_cero!$A:$A)-2,1),OFFSET(Curvas_cupon_cero!$A$1,1,MATCH($B$6,Curvas_cupon_cero!$1:$1,0)-1,COUNT(Curvas_cupon_cero!$A:$A)-2,1)),[1]!interpolar(H227,OFFSET(Curvas_cupon_cero!$A$1,1,0,COUNT(Curvas_cupon_cero!$A:$A)-2,1),OFFSET(Curvas_cupon_cero!$A$1,1,MATCH($B$6,Curvas_cupon_cero!$1:$1,0)-1,COUNT(Curvas_cupon_cero!$A:$A)-2,1))))</f>
        <v/>
      </c>
      <c r="J227" s="19" t="str">
        <f>IF(A227="","",F227/(1+I227*$B$5/360)^(COUNT(A$16:A227)-($B$5-$G$16)/$B$5))</f>
        <v/>
      </c>
    </row>
    <row r="228" spans="1:10" x14ac:dyDescent="0.2">
      <c r="A228" s="12" t="str">
        <f t="shared" si="21"/>
        <v/>
      </c>
      <c r="B228" t="str">
        <f t="shared" si="19"/>
        <v/>
      </c>
      <c r="C228" s="21" t="str">
        <f ca="1">IF(A228="","",IF($B$8="Sí",interpolar_alamb(B228,OFFSET(Curvas_cupon_cero!$A$1,1,0,COUNT(Curvas_cupon_cero!$A:$A)-2,1),OFFSET(Curvas_cupon_cero!$A$1,1,MATCH($B$7,Curvas_cupon_cero!$1:$1,0)-1,COUNT(Curvas_cupon_cero!$A:$A)-2,1)),[1]!interpolar(B228,OFFSET(Curvas_cupon_cero!$A$1,1,0,COUNT(Curvas_cupon_cero!$A:$A)-2,1),OFFSET(Curvas_cupon_cero!$A$1,1,MATCH($B$7,Curvas_cupon_cero!$1:$1,0)-1,COUNT(Curvas_cupon_cero!$A:$A)-2,1))))</f>
        <v/>
      </c>
      <c r="D228" s="23" t="str">
        <f ca="1">IF(A228="","",IF($B$8="Sí",interpolar_alamb(H228,OFFSET(Curvas_cupon_cero!$A$1,1,0,COUNT(Curvas_cupon_cero!$A:$A)-2,1),OFFSET(Curvas_cupon_cero!$A$1,1,MATCH($B$7,Curvas_cupon_cero!$1:$1,0)-1,COUNT(Curvas_cupon_cero!$A:$A)-2,1)),[1]!interpolar(H228,OFFSET(Curvas_cupon_cero!$A$1,1,0,COUNT(Curvas_cupon_cero!$A:$A)-2,1),OFFSET(Curvas_cupon_cero!$A$1,1,MATCH($B$7,Curvas_cupon_cero!$1:$1,0)-1,COUNT(Curvas_cupon_cero!$A:$A)-2,1))))</f>
        <v/>
      </c>
      <c r="E228" s="23" t="str">
        <f t="shared" si="22"/>
        <v/>
      </c>
      <c r="F228" s="17" t="str">
        <f t="shared" si="20"/>
        <v/>
      </c>
      <c r="G228" s="18" t="str">
        <f t="shared" si="23"/>
        <v/>
      </c>
      <c r="H228" t="str">
        <f t="shared" si="24"/>
        <v/>
      </c>
      <c r="I228" s="23" t="str">
        <f ca="1">IF(A228="","",IF($B$8="Sí",interpolar_alamb(H228,OFFSET(Curvas_cupon_cero!$A$1,1,0,COUNT(Curvas_cupon_cero!$A:$A)-2,1),OFFSET(Curvas_cupon_cero!$A$1,1,MATCH($B$6,Curvas_cupon_cero!$1:$1,0)-1,COUNT(Curvas_cupon_cero!$A:$A)-2,1)),[1]!interpolar(H228,OFFSET(Curvas_cupon_cero!$A$1,1,0,COUNT(Curvas_cupon_cero!$A:$A)-2,1),OFFSET(Curvas_cupon_cero!$A$1,1,MATCH($B$6,Curvas_cupon_cero!$1:$1,0)-1,COUNT(Curvas_cupon_cero!$A:$A)-2,1))))</f>
        <v/>
      </c>
      <c r="J228" s="19" t="str">
        <f>IF(A228="","",F228/(1+I228*$B$5/360)^(COUNT(A$16:A228)-($B$5-$G$16)/$B$5))</f>
        <v/>
      </c>
    </row>
    <row r="229" spans="1:10" x14ac:dyDescent="0.2">
      <c r="A229" s="12" t="str">
        <f t="shared" si="21"/>
        <v/>
      </c>
      <c r="B229" t="str">
        <f t="shared" si="19"/>
        <v/>
      </c>
      <c r="C229" s="21" t="str">
        <f ca="1">IF(A229="","",IF($B$8="Sí",interpolar_alamb(B229,OFFSET(Curvas_cupon_cero!$A$1,1,0,COUNT(Curvas_cupon_cero!$A:$A)-2,1),OFFSET(Curvas_cupon_cero!$A$1,1,MATCH($B$7,Curvas_cupon_cero!$1:$1,0)-1,COUNT(Curvas_cupon_cero!$A:$A)-2,1)),[1]!interpolar(B229,OFFSET(Curvas_cupon_cero!$A$1,1,0,COUNT(Curvas_cupon_cero!$A:$A)-2,1),OFFSET(Curvas_cupon_cero!$A$1,1,MATCH($B$7,Curvas_cupon_cero!$1:$1,0)-1,COUNT(Curvas_cupon_cero!$A:$A)-2,1))))</f>
        <v/>
      </c>
      <c r="D229" s="23" t="str">
        <f ca="1">IF(A229="","",IF($B$8="Sí",interpolar_alamb(H229,OFFSET(Curvas_cupon_cero!$A$1,1,0,COUNT(Curvas_cupon_cero!$A:$A)-2,1),OFFSET(Curvas_cupon_cero!$A$1,1,MATCH($B$7,Curvas_cupon_cero!$1:$1,0)-1,COUNT(Curvas_cupon_cero!$A:$A)-2,1)),[1]!interpolar(H229,OFFSET(Curvas_cupon_cero!$A$1,1,0,COUNT(Curvas_cupon_cero!$A:$A)-2,1),OFFSET(Curvas_cupon_cero!$A$1,1,MATCH($B$7,Curvas_cupon_cero!$1:$1,0)-1,COUNT(Curvas_cupon_cero!$A:$A)-2,1))))</f>
        <v/>
      </c>
      <c r="E229" s="23" t="str">
        <f t="shared" si="22"/>
        <v/>
      </c>
      <c r="F229" s="17" t="str">
        <f t="shared" si="20"/>
        <v/>
      </c>
      <c r="G229" s="18" t="str">
        <f t="shared" si="23"/>
        <v/>
      </c>
      <c r="H229" t="str">
        <f t="shared" si="24"/>
        <v/>
      </c>
      <c r="I229" s="23" t="str">
        <f ca="1">IF(A229="","",IF($B$8="Sí",interpolar_alamb(H229,OFFSET(Curvas_cupon_cero!$A$1,1,0,COUNT(Curvas_cupon_cero!$A:$A)-2,1),OFFSET(Curvas_cupon_cero!$A$1,1,MATCH($B$6,Curvas_cupon_cero!$1:$1,0)-1,COUNT(Curvas_cupon_cero!$A:$A)-2,1)),[1]!interpolar(H229,OFFSET(Curvas_cupon_cero!$A$1,1,0,COUNT(Curvas_cupon_cero!$A:$A)-2,1),OFFSET(Curvas_cupon_cero!$A$1,1,MATCH($B$6,Curvas_cupon_cero!$1:$1,0)-1,COUNT(Curvas_cupon_cero!$A:$A)-2,1))))</f>
        <v/>
      </c>
      <c r="J229" s="19" t="str">
        <f>IF(A229="","",F229/(1+I229*$B$5/360)^(COUNT(A$16:A229)-($B$5-$G$16)/$B$5))</f>
        <v/>
      </c>
    </row>
    <row r="230" spans="1:10" x14ac:dyDescent="0.2">
      <c r="A230" s="12" t="str">
        <f t="shared" si="21"/>
        <v/>
      </c>
      <c r="B230" t="str">
        <f t="shared" si="19"/>
        <v/>
      </c>
      <c r="C230" s="21" t="str">
        <f ca="1">IF(A230="","",IF($B$8="Sí",interpolar_alamb(B230,OFFSET(Curvas_cupon_cero!$A$1,1,0,COUNT(Curvas_cupon_cero!$A:$A)-2,1),OFFSET(Curvas_cupon_cero!$A$1,1,MATCH($B$7,Curvas_cupon_cero!$1:$1,0)-1,COUNT(Curvas_cupon_cero!$A:$A)-2,1)),[1]!interpolar(B230,OFFSET(Curvas_cupon_cero!$A$1,1,0,COUNT(Curvas_cupon_cero!$A:$A)-2,1),OFFSET(Curvas_cupon_cero!$A$1,1,MATCH($B$7,Curvas_cupon_cero!$1:$1,0)-1,COUNT(Curvas_cupon_cero!$A:$A)-2,1))))</f>
        <v/>
      </c>
      <c r="D230" s="23" t="str">
        <f ca="1">IF(A230="","",IF($B$8="Sí",interpolar_alamb(H230,OFFSET(Curvas_cupon_cero!$A$1,1,0,COUNT(Curvas_cupon_cero!$A:$A)-2,1),OFFSET(Curvas_cupon_cero!$A$1,1,MATCH($B$7,Curvas_cupon_cero!$1:$1,0)-1,COUNT(Curvas_cupon_cero!$A:$A)-2,1)),[1]!interpolar(H230,OFFSET(Curvas_cupon_cero!$A$1,1,0,COUNT(Curvas_cupon_cero!$A:$A)-2,1),OFFSET(Curvas_cupon_cero!$A$1,1,MATCH($B$7,Curvas_cupon_cero!$1:$1,0)-1,COUNT(Curvas_cupon_cero!$A:$A)-2,1))))</f>
        <v/>
      </c>
      <c r="E230" s="23" t="str">
        <f t="shared" si="22"/>
        <v/>
      </c>
      <c r="F230" s="17" t="str">
        <f t="shared" si="20"/>
        <v/>
      </c>
      <c r="G230" s="18" t="str">
        <f t="shared" si="23"/>
        <v/>
      </c>
      <c r="H230" t="str">
        <f t="shared" si="24"/>
        <v/>
      </c>
      <c r="I230" s="23" t="str">
        <f ca="1">IF(A230="","",IF($B$8="Sí",interpolar_alamb(H230,OFFSET(Curvas_cupon_cero!$A$1,1,0,COUNT(Curvas_cupon_cero!$A:$A)-2,1),OFFSET(Curvas_cupon_cero!$A$1,1,MATCH($B$6,Curvas_cupon_cero!$1:$1,0)-1,COUNT(Curvas_cupon_cero!$A:$A)-2,1)),[1]!interpolar(H230,OFFSET(Curvas_cupon_cero!$A$1,1,0,COUNT(Curvas_cupon_cero!$A:$A)-2,1),OFFSET(Curvas_cupon_cero!$A$1,1,MATCH($B$6,Curvas_cupon_cero!$1:$1,0)-1,COUNT(Curvas_cupon_cero!$A:$A)-2,1))))</f>
        <v/>
      </c>
      <c r="J230" s="19" t="str">
        <f>IF(A230="","",F230/(1+I230*$B$5/360)^(COUNT(A$16:A230)-($B$5-$G$16)/$B$5))</f>
        <v/>
      </c>
    </row>
    <row r="231" spans="1:10" x14ac:dyDescent="0.2">
      <c r="A231" s="12" t="str">
        <f t="shared" si="21"/>
        <v/>
      </c>
      <c r="B231" t="str">
        <f t="shared" si="19"/>
        <v/>
      </c>
      <c r="C231" s="21" t="str">
        <f ca="1">IF(A231="","",IF($B$8="Sí",interpolar_alamb(B231,OFFSET(Curvas_cupon_cero!$A$1,1,0,COUNT(Curvas_cupon_cero!$A:$A)-2,1),OFFSET(Curvas_cupon_cero!$A$1,1,MATCH($B$7,Curvas_cupon_cero!$1:$1,0)-1,COUNT(Curvas_cupon_cero!$A:$A)-2,1)),[1]!interpolar(B231,OFFSET(Curvas_cupon_cero!$A$1,1,0,COUNT(Curvas_cupon_cero!$A:$A)-2,1),OFFSET(Curvas_cupon_cero!$A$1,1,MATCH($B$7,Curvas_cupon_cero!$1:$1,0)-1,COUNT(Curvas_cupon_cero!$A:$A)-2,1))))</f>
        <v/>
      </c>
      <c r="D231" s="23" t="str">
        <f ca="1">IF(A231="","",IF($B$8="Sí",interpolar_alamb(H231,OFFSET(Curvas_cupon_cero!$A$1,1,0,COUNT(Curvas_cupon_cero!$A:$A)-2,1),OFFSET(Curvas_cupon_cero!$A$1,1,MATCH($B$7,Curvas_cupon_cero!$1:$1,0)-1,COUNT(Curvas_cupon_cero!$A:$A)-2,1)),[1]!interpolar(H231,OFFSET(Curvas_cupon_cero!$A$1,1,0,COUNT(Curvas_cupon_cero!$A:$A)-2,1),OFFSET(Curvas_cupon_cero!$A$1,1,MATCH($B$7,Curvas_cupon_cero!$1:$1,0)-1,COUNT(Curvas_cupon_cero!$A:$A)-2,1))))</f>
        <v/>
      </c>
      <c r="E231" s="23" t="str">
        <f t="shared" si="22"/>
        <v/>
      </c>
      <c r="F231" s="17" t="str">
        <f t="shared" si="20"/>
        <v/>
      </c>
      <c r="G231" s="18" t="str">
        <f t="shared" si="23"/>
        <v/>
      </c>
      <c r="H231" t="str">
        <f t="shared" si="24"/>
        <v/>
      </c>
      <c r="I231" s="23" t="str">
        <f ca="1">IF(A231="","",IF($B$8="Sí",interpolar_alamb(H231,OFFSET(Curvas_cupon_cero!$A$1,1,0,COUNT(Curvas_cupon_cero!$A:$A)-2,1),OFFSET(Curvas_cupon_cero!$A$1,1,MATCH($B$6,Curvas_cupon_cero!$1:$1,0)-1,COUNT(Curvas_cupon_cero!$A:$A)-2,1)),[1]!interpolar(H231,OFFSET(Curvas_cupon_cero!$A$1,1,0,COUNT(Curvas_cupon_cero!$A:$A)-2,1),OFFSET(Curvas_cupon_cero!$A$1,1,MATCH($B$6,Curvas_cupon_cero!$1:$1,0)-1,COUNT(Curvas_cupon_cero!$A:$A)-2,1))))</f>
        <v/>
      </c>
      <c r="J231" s="19" t="str">
        <f>IF(A231="","",F231/(1+I231*$B$5/360)^(COUNT(A$16:A231)-($B$5-$G$16)/$B$5))</f>
        <v/>
      </c>
    </row>
    <row r="232" spans="1:10" x14ac:dyDescent="0.2">
      <c r="A232" s="12" t="str">
        <f t="shared" si="21"/>
        <v/>
      </c>
      <c r="B232" t="str">
        <f t="shared" si="19"/>
        <v/>
      </c>
      <c r="C232" s="21" t="str">
        <f ca="1">IF(A232="","",IF($B$8="Sí",interpolar_alamb(B232,OFFSET(Curvas_cupon_cero!$A$1,1,0,COUNT(Curvas_cupon_cero!$A:$A)-2,1),OFFSET(Curvas_cupon_cero!$A$1,1,MATCH($B$7,Curvas_cupon_cero!$1:$1,0)-1,COUNT(Curvas_cupon_cero!$A:$A)-2,1)),[1]!interpolar(B232,OFFSET(Curvas_cupon_cero!$A$1,1,0,COUNT(Curvas_cupon_cero!$A:$A)-2,1),OFFSET(Curvas_cupon_cero!$A$1,1,MATCH($B$7,Curvas_cupon_cero!$1:$1,0)-1,COUNT(Curvas_cupon_cero!$A:$A)-2,1))))</f>
        <v/>
      </c>
      <c r="D232" s="23" t="str">
        <f ca="1">IF(A232="","",IF($B$8="Sí",interpolar_alamb(H232,OFFSET(Curvas_cupon_cero!$A$1,1,0,COUNT(Curvas_cupon_cero!$A:$A)-2,1),OFFSET(Curvas_cupon_cero!$A$1,1,MATCH($B$7,Curvas_cupon_cero!$1:$1,0)-1,COUNT(Curvas_cupon_cero!$A:$A)-2,1)),[1]!interpolar(H232,OFFSET(Curvas_cupon_cero!$A$1,1,0,COUNT(Curvas_cupon_cero!$A:$A)-2,1),OFFSET(Curvas_cupon_cero!$A$1,1,MATCH($B$7,Curvas_cupon_cero!$1:$1,0)-1,COUNT(Curvas_cupon_cero!$A:$A)-2,1))))</f>
        <v/>
      </c>
      <c r="E232" s="23" t="str">
        <f t="shared" si="22"/>
        <v/>
      </c>
      <c r="F232" s="17" t="str">
        <f t="shared" si="20"/>
        <v/>
      </c>
      <c r="G232" s="18" t="str">
        <f t="shared" si="23"/>
        <v/>
      </c>
      <c r="H232" t="str">
        <f t="shared" si="24"/>
        <v/>
      </c>
      <c r="I232" s="23" t="str">
        <f ca="1">IF(A232="","",IF($B$8="Sí",interpolar_alamb(H232,OFFSET(Curvas_cupon_cero!$A$1,1,0,COUNT(Curvas_cupon_cero!$A:$A)-2,1),OFFSET(Curvas_cupon_cero!$A$1,1,MATCH($B$6,Curvas_cupon_cero!$1:$1,0)-1,COUNT(Curvas_cupon_cero!$A:$A)-2,1)),[1]!interpolar(H232,OFFSET(Curvas_cupon_cero!$A$1,1,0,COUNT(Curvas_cupon_cero!$A:$A)-2,1),OFFSET(Curvas_cupon_cero!$A$1,1,MATCH($B$6,Curvas_cupon_cero!$1:$1,0)-1,COUNT(Curvas_cupon_cero!$A:$A)-2,1))))</f>
        <v/>
      </c>
      <c r="J232" s="19" t="str">
        <f>IF(A232="","",F232/(1+I232*$B$5/360)^(COUNT(A$16:A232)-($B$5-$G$16)/$B$5))</f>
        <v/>
      </c>
    </row>
    <row r="233" spans="1:10" x14ac:dyDescent="0.2">
      <c r="A233" s="12" t="str">
        <f t="shared" si="21"/>
        <v/>
      </c>
      <c r="B233" t="str">
        <f t="shared" si="19"/>
        <v/>
      </c>
      <c r="C233" s="21" t="str">
        <f ca="1">IF(A233="","",IF($B$8="Sí",interpolar_alamb(B233,OFFSET(Curvas_cupon_cero!$A$1,1,0,COUNT(Curvas_cupon_cero!$A:$A)-2,1),OFFSET(Curvas_cupon_cero!$A$1,1,MATCH($B$7,Curvas_cupon_cero!$1:$1,0)-1,COUNT(Curvas_cupon_cero!$A:$A)-2,1)),[1]!interpolar(B233,OFFSET(Curvas_cupon_cero!$A$1,1,0,COUNT(Curvas_cupon_cero!$A:$A)-2,1),OFFSET(Curvas_cupon_cero!$A$1,1,MATCH($B$7,Curvas_cupon_cero!$1:$1,0)-1,COUNT(Curvas_cupon_cero!$A:$A)-2,1))))</f>
        <v/>
      </c>
      <c r="D233" s="23" t="str">
        <f ca="1">IF(A233="","",IF($B$8="Sí",interpolar_alamb(H233,OFFSET(Curvas_cupon_cero!$A$1,1,0,COUNT(Curvas_cupon_cero!$A:$A)-2,1),OFFSET(Curvas_cupon_cero!$A$1,1,MATCH($B$7,Curvas_cupon_cero!$1:$1,0)-1,COUNT(Curvas_cupon_cero!$A:$A)-2,1)),[1]!interpolar(H233,OFFSET(Curvas_cupon_cero!$A$1,1,0,COUNT(Curvas_cupon_cero!$A:$A)-2,1),OFFSET(Curvas_cupon_cero!$A$1,1,MATCH($B$7,Curvas_cupon_cero!$1:$1,0)-1,COUNT(Curvas_cupon_cero!$A:$A)-2,1))))</f>
        <v/>
      </c>
      <c r="E233" s="23" t="str">
        <f t="shared" si="22"/>
        <v/>
      </c>
      <c r="F233" s="17" t="str">
        <f t="shared" si="20"/>
        <v/>
      </c>
      <c r="G233" s="18" t="str">
        <f t="shared" si="23"/>
        <v/>
      </c>
      <c r="H233" t="str">
        <f t="shared" si="24"/>
        <v/>
      </c>
      <c r="I233" s="23" t="str">
        <f ca="1">IF(A233="","",IF($B$8="Sí",interpolar_alamb(H233,OFFSET(Curvas_cupon_cero!$A$1,1,0,COUNT(Curvas_cupon_cero!$A:$A)-2,1),OFFSET(Curvas_cupon_cero!$A$1,1,MATCH($B$6,Curvas_cupon_cero!$1:$1,0)-1,COUNT(Curvas_cupon_cero!$A:$A)-2,1)),[1]!interpolar(H233,OFFSET(Curvas_cupon_cero!$A$1,1,0,COUNT(Curvas_cupon_cero!$A:$A)-2,1),OFFSET(Curvas_cupon_cero!$A$1,1,MATCH($B$6,Curvas_cupon_cero!$1:$1,0)-1,COUNT(Curvas_cupon_cero!$A:$A)-2,1))))</f>
        <v/>
      </c>
      <c r="J233" s="19" t="str">
        <f>IF(A233="","",F233/(1+I233*$B$5/360)^(COUNT(A$16:A233)-($B$5-$G$16)/$B$5))</f>
        <v/>
      </c>
    </row>
    <row r="234" spans="1:10" x14ac:dyDescent="0.2">
      <c r="A234" s="12" t="str">
        <f t="shared" si="21"/>
        <v/>
      </c>
      <c r="B234" t="str">
        <f t="shared" si="19"/>
        <v/>
      </c>
      <c r="C234" s="21" t="str">
        <f ca="1">IF(A234="","",IF($B$8="Sí",interpolar_alamb(B234,OFFSET(Curvas_cupon_cero!$A$1,1,0,COUNT(Curvas_cupon_cero!$A:$A)-2,1),OFFSET(Curvas_cupon_cero!$A$1,1,MATCH($B$7,Curvas_cupon_cero!$1:$1,0)-1,COUNT(Curvas_cupon_cero!$A:$A)-2,1)),[1]!interpolar(B234,OFFSET(Curvas_cupon_cero!$A$1,1,0,COUNT(Curvas_cupon_cero!$A:$A)-2,1),OFFSET(Curvas_cupon_cero!$A$1,1,MATCH($B$7,Curvas_cupon_cero!$1:$1,0)-1,COUNT(Curvas_cupon_cero!$A:$A)-2,1))))</f>
        <v/>
      </c>
      <c r="D234" s="23" t="str">
        <f ca="1">IF(A234="","",IF($B$8="Sí",interpolar_alamb(H234,OFFSET(Curvas_cupon_cero!$A$1,1,0,COUNT(Curvas_cupon_cero!$A:$A)-2,1),OFFSET(Curvas_cupon_cero!$A$1,1,MATCH($B$7,Curvas_cupon_cero!$1:$1,0)-1,COUNT(Curvas_cupon_cero!$A:$A)-2,1)),[1]!interpolar(H234,OFFSET(Curvas_cupon_cero!$A$1,1,0,COUNT(Curvas_cupon_cero!$A:$A)-2,1),OFFSET(Curvas_cupon_cero!$A$1,1,MATCH($B$7,Curvas_cupon_cero!$1:$1,0)-1,COUNT(Curvas_cupon_cero!$A:$A)-2,1))))</f>
        <v/>
      </c>
      <c r="E234" s="23" t="str">
        <f t="shared" si="22"/>
        <v/>
      </c>
      <c r="F234" s="17" t="str">
        <f t="shared" si="20"/>
        <v/>
      </c>
      <c r="G234" s="18" t="str">
        <f t="shared" si="23"/>
        <v/>
      </c>
      <c r="H234" t="str">
        <f t="shared" si="24"/>
        <v/>
      </c>
      <c r="I234" s="23" t="str">
        <f ca="1">IF(A234="","",IF($B$8="Sí",interpolar_alamb(H234,OFFSET(Curvas_cupon_cero!$A$1,1,0,COUNT(Curvas_cupon_cero!$A:$A)-2,1),OFFSET(Curvas_cupon_cero!$A$1,1,MATCH($B$6,Curvas_cupon_cero!$1:$1,0)-1,COUNT(Curvas_cupon_cero!$A:$A)-2,1)),[1]!interpolar(H234,OFFSET(Curvas_cupon_cero!$A$1,1,0,COUNT(Curvas_cupon_cero!$A:$A)-2,1),OFFSET(Curvas_cupon_cero!$A$1,1,MATCH($B$6,Curvas_cupon_cero!$1:$1,0)-1,COUNT(Curvas_cupon_cero!$A:$A)-2,1))))</f>
        <v/>
      </c>
      <c r="J234" s="19" t="str">
        <f>IF(A234="","",F234/(1+I234*$B$5/360)^(COUNT(A$16:A234)-($B$5-$G$16)/$B$5))</f>
        <v/>
      </c>
    </row>
    <row r="235" spans="1:10" x14ac:dyDescent="0.2">
      <c r="A235" s="12" t="str">
        <f t="shared" si="21"/>
        <v/>
      </c>
      <c r="B235" t="str">
        <f t="shared" si="19"/>
        <v/>
      </c>
      <c r="C235" s="21" t="str">
        <f ca="1">IF(A235="","",IF($B$8="Sí",interpolar_alamb(B235,OFFSET(Curvas_cupon_cero!$A$1,1,0,COUNT(Curvas_cupon_cero!$A:$A)-2,1),OFFSET(Curvas_cupon_cero!$A$1,1,MATCH($B$7,Curvas_cupon_cero!$1:$1,0)-1,COUNT(Curvas_cupon_cero!$A:$A)-2,1)),[1]!interpolar(B235,OFFSET(Curvas_cupon_cero!$A$1,1,0,COUNT(Curvas_cupon_cero!$A:$A)-2,1),OFFSET(Curvas_cupon_cero!$A$1,1,MATCH($B$7,Curvas_cupon_cero!$1:$1,0)-1,COUNT(Curvas_cupon_cero!$A:$A)-2,1))))</f>
        <v/>
      </c>
      <c r="D235" s="23" t="str">
        <f ca="1">IF(A235="","",IF($B$8="Sí",interpolar_alamb(H235,OFFSET(Curvas_cupon_cero!$A$1,1,0,COUNT(Curvas_cupon_cero!$A:$A)-2,1),OFFSET(Curvas_cupon_cero!$A$1,1,MATCH($B$7,Curvas_cupon_cero!$1:$1,0)-1,COUNT(Curvas_cupon_cero!$A:$A)-2,1)),[1]!interpolar(H235,OFFSET(Curvas_cupon_cero!$A$1,1,0,COUNT(Curvas_cupon_cero!$A:$A)-2,1),OFFSET(Curvas_cupon_cero!$A$1,1,MATCH($B$7,Curvas_cupon_cero!$1:$1,0)-1,COUNT(Curvas_cupon_cero!$A:$A)-2,1))))</f>
        <v/>
      </c>
      <c r="E235" s="23" t="str">
        <f t="shared" si="22"/>
        <v/>
      </c>
      <c r="F235" s="17" t="str">
        <f t="shared" si="20"/>
        <v/>
      </c>
      <c r="G235" s="18" t="str">
        <f t="shared" si="23"/>
        <v/>
      </c>
      <c r="H235" t="str">
        <f t="shared" si="24"/>
        <v/>
      </c>
      <c r="I235" s="23" t="str">
        <f ca="1">IF(A235="","",IF($B$8="Sí",interpolar_alamb(H235,OFFSET(Curvas_cupon_cero!$A$1,1,0,COUNT(Curvas_cupon_cero!$A:$A)-2,1),OFFSET(Curvas_cupon_cero!$A$1,1,MATCH($B$6,Curvas_cupon_cero!$1:$1,0)-1,COUNT(Curvas_cupon_cero!$A:$A)-2,1)),[1]!interpolar(H235,OFFSET(Curvas_cupon_cero!$A$1,1,0,COUNT(Curvas_cupon_cero!$A:$A)-2,1),OFFSET(Curvas_cupon_cero!$A$1,1,MATCH($B$6,Curvas_cupon_cero!$1:$1,0)-1,COUNT(Curvas_cupon_cero!$A:$A)-2,1))))</f>
        <v/>
      </c>
      <c r="J235" s="19" t="str">
        <f>IF(A235="","",F235/(1+I235*$B$5/360)^(COUNT(A$16:A235)-($B$5-$G$16)/$B$5))</f>
        <v/>
      </c>
    </row>
    <row r="236" spans="1:10" x14ac:dyDescent="0.2">
      <c r="A236" s="12" t="str">
        <f t="shared" si="21"/>
        <v/>
      </c>
      <c r="B236" t="str">
        <f t="shared" si="19"/>
        <v/>
      </c>
      <c r="C236" s="21" t="str">
        <f ca="1">IF(A236="","",IF($B$8="Sí",interpolar_alamb(B236,OFFSET(Curvas_cupon_cero!$A$1,1,0,COUNT(Curvas_cupon_cero!$A:$A)-2,1),OFFSET(Curvas_cupon_cero!$A$1,1,MATCH($B$7,Curvas_cupon_cero!$1:$1,0)-1,COUNT(Curvas_cupon_cero!$A:$A)-2,1)),[1]!interpolar(B236,OFFSET(Curvas_cupon_cero!$A$1,1,0,COUNT(Curvas_cupon_cero!$A:$A)-2,1),OFFSET(Curvas_cupon_cero!$A$1,1,MATCH($B$7,Curvas_cupon_cero!$1:$1,0)-1,COUNT(Curvas_cupon_cero!$A:$A)-2,1))))</f>
        <v/>
      </c>
      <c r="D236" s="23" t="str">
        <f ca="1">IF(A236="","",IF($B$8="Sí",interpolar_alamb(H236,OFFSET(Curvas_cupon_cero!$A$1,1,0,COUNT(Curvas_cupon_cero!$A:$A)-2,1),OFFSET(Curvas_cupon_cero!$A$1,1,MATCH($B$7,Curvas_cupon_cero!$1:$1,0)-1,COUNT(Curvas_cupon_cero!$A:$A)-2,1)),[1]!interpolar(H236,OFFSET(Curvas_cupon_cero!$A$1,1,0,COUNT(Curvas_cupon_cero!$A:$A)-2,1),OFFSET(Curvas_cupon_cero!$A$1,1,MATCH($B$7,Curvas_cupon_cero!$1:$1,0)-1,COUNT(Curvas_cupon_cero!$A:$A)-2,1))))</f>
        <v/>
      </c>
      <c r="E236" s="23" t="str">
        <f t="shared" si="22"/>
        <v/>
      </c>
      <c r="F236" s="17" t="str">
        <f t="shared" si="20"/>
        <v/>
      </c>
      <c r="G236" s="18" t="str">
        <f t="shared" si="23"/>
        <v/>
      </c>
      <c r="H236" t="str">
        <f t="shared" si="24"/>
        <v/>
      </c>
      <c r="I236" s="23" t="str">
        <f ca="1">IF(A236="","",IF($B$8="Sí",interpolar_alamb(H236,OFFSET(Curvas_cupon_cero!$A$1,1,0,COUNT(Curvas_cupon_cero!$A:$A)-2,1),OFFSET(Curvas_cupon_cero!$A$1,1,MATCH($B$6,Curvas_cupon_cero!$1:$1,0)-1,COUNT(Curvas_cupon_cero!$A:$A)-2,1)),[1]!interpolar(H236,OFFSET(Curvas_cupon_cero!$A$1,1,0,COUNT(Curvas_cupon_cero!$A:$A)-2,1),OFFSET(Curvas_cupon_cero!$A$1,1,MATCH($B$6,Curvas_cupon_cero!$1:$1,0)-1,COUNT(Curvas_cupon_cero!$A:$A)-2,1))))</f>
        <v/>
      </c>
      <c r="J236" s="19" t="str">
        <f>IF(A236="","",F236/(1+I236*$B$5/360)^(COUNT(A$16:A236)-($B$5-$G$16)/$B$5))</f>
        <v/>
      </c>
    </row>
    <row r="237" spans="1:10" x14ac:dyDescent="0.2">
      <c r="A237" s="12" t="str">
        <f t="shared" si="21"/>
        <v/>
      </c>
      <c r="B237" t="str">
        <f t="shared" si="19"/>
        <v/>
      </c>
      <c r="C237" s="21" t="str">
        <f ca="1">IF(A237="","",IF($B$8="Sí",interpolar_alamb(B237,OFFSET(Curvas_cupon_cero!$A$1,1,0,COUNT(Curvas_cupon_cero!$A:$A)-2,1),OFFSET(Curvas_cupon_cero!$A$1,1,MATCH($B$7,Curvas_cupon_cero!$1:$1,0)-1,COUNT(Curvas_cupon_cero!$A:$A)-2,1)),[1]!interpolar(B237,OFFSET(Curvas_cupon_cero!$A$1,1,0,COUNT(Curvas_cupon_cero!$A:$A)-2,1),OFFSET(Curvas_cupon_cero!$A$1,1,MATCH($B$7,Curvas_cupon_cero!$1:$1,0)-1,COUNT(Curvas_cupon_cero!$A:$A)-2,1))))</f>
        <v/>
      </c>
      <c r="D237" s="23" t="str">
        <f ca="1">IF(A237="","",IF($B$8="Sí",interpolar_alamb(H237,OFFSET(Curvas_cupon_cero!$A$1,1,0,COUNT(Curvas_cupon_cero!$A:$A)-2,1),OFFSET(Curvas_cupon_cero!$A$1,1,MATCH($B$7,Curvas_cupon_cero!$1:$1,0)-1,COUNT(Curvas_cupon_cero!$A:$A)-2,1)),[1]!interpolar(H237,OFFSET(Curvas_cupon_cero!$A$1,1,0,COUNT(Curvas_cupon_cero!$A:$A)-2,1),OFFSET(Curvas_cupon_cero!$A$1,1,MATCH($B$7,Curvas_cupon_cero!$1:$1,0)-1,COUNT(Curvas_cupon_cero!$A:$A)-2,1))))</f>
        <v/>
      </c>
      <c r="E237" s="23" t="str">
        <f t="shared" si="22"/>
        <v/>
      </c>
      <c r="F237" s="17" t="str">
        <f t="shared" si="20"/>
        <v/>
      </c>
      <c r="G237" s="18" t="str">
        <f t="shared" si="23"/>
        <v/>
      </c>
      <c r="H237" t="str">
        <f t="shared" si="24"/>
        <v/>
      </c>
      <c r="I237" s="23" t="str">
        <f ca="1">IF(A237="","",IF($B$8="Sí",interpolar_alamb(H237,OFFSET(Curvas_cupon_cero!$A$1,1,0,COUNT(Curvas_cupon_cero!$A:$A)-2,1),OFFSET(Curvas_cupon_cero!$A$1,1,MATCH($B$6,Curvas_cupon_cero!$1:$1,0)-1,COUNT(Curvas_cupon_cero!$A:$A)-2,1)),[1]!interpolar(H237,OFFSET(Curvas_cupon_cero!$A$1,1,0,COUNT(Curvas_cupon_cero!$A:$A)-2,1),OFFSET(Curvas_cupon_cero!$A$1,1,MATCH($B$6,Curvas_cupon_cero!$1:$1,0)-1,COUNT(Curvas_cupon_cero!$A:$A)-2,1))))</f>
        <v/>
      </c>
      <c r="J237" s="19" t="str">
        <f>IF(A237="","",F237/(1+I237*$B$5/360)^(COUNT(A$16:A237)-($B$5-$G$16)/$B$5))</f>
        <v/>
      </c>
    </row>
    <row r="238" spans="1:10" x14ac:dyDescent="0.2">
      <c r="A238" s="12" t="str">
        <f t="shared" si="21"/>
        <v/>
      </c>
      <c r="B238" t="str">
        <f t="shared" si="19"/>
        <v/>
      </c>
      <c r="C238" s="21" t="str">
        <f ca="1">IF(A238="","",IF($B$8="Sí",interpolar_alamb(B238,OFFSET(Curvas_cupon_cero!$A$1,1,0,COUNT(Curvas_cupon_cero!$A:$A)-2,1),OFFSET(Curvas_cupon_cero!$A$1,1,MATCH($B$7,Curvas_cupon_cero!$1:$1,0)-1,COUNT(Curvas_cupon_cero!$A:$A)-2,1)),[1]!interpolar(B238,OFFSET(Curvas_cupon_cero!$A$1,1,0,COUNT(Curvas_cupon_cero!$A:$A)-2,1),OFFSET(Curvas_cupon_cero!$A$1,1,MATCH($B$7,Curvas_cupon_cero!$1:$1,0)-1,COUNT(Curvas_cupon_cero!$A:$A)-2,1))))</f>
        <v/>
      </c>
      <c r="D238" s="23" t="str">
        <f ca="1">IF(A238="","",IF($B$8="Sí",interpolar_alamb(H238,OFFSET(Curvas_cupon_cero!$A$1,1,0,COUNT(Curvas_cupon_cero!$A:$A)-2,1),OFFSET(Curvas_cupon_cero!$A$1,1,MATCH($B$7,Curvas_cupon_cero!$1:$1,0)-1,COUNT(Curvas_cupon_cero!$A:$A)-2,1)),[1]!interpolar(H238,OFFSET(Curvas_cupon_cero!$A$1,1,0,COUNT(Curvas_cupon_cero!$A:$A)-2,1),OFFSET(Curvas_cupon_cero!$A$1,1,MATCH($B$7,Curvas_cupon_cero!$1:$1,0)-1,COUNT(Curvas_cupon_cero!$A:$A)-2,1))))</f>
        <v/>
      </c>
      <c r="E238" s="23" t="str">
        <f t="shared" si="22"/>
        <v/>
      </c>
      <c r="F238" s="17" t="str">
        <f t="shared" si="20"/>
        <v/>
      </c>
      <c r="G238" s="18" t="str">
        <f t="shared" si="23"/>
        <v/>
      </c>
      <c r="H238" t="str">
        <f t="shared" si="24"/>
        <v/>
      </c>
      <c r="I238" s="23" t="str">
        <f ca="1">IF(A238="","",IF($B$8="Sí",interpolar_alamb(H238,OFFSET(Curvas_cupon_cero!$A$1,1,0,COUNT(Curvas_cupon_cero!$A:$A)-2,1),OFFSET(Curvas_cupon_cero!$A$1,1,MATCH($B$6,Curvas_cupon_cero!$1:$1,0)-1,COUNT(Curvas_cupon_cero!$A:$A)-2,1)),[1]!interpolar(H238,OFFSET(Curvas_cupon_cero!$A$1,1,0,COUNT(Curvas_cupon_cero!$A:$A)-2,1),OFFSET(Curvas_cupon_cero!$A$1,1,MATCH($B$6,Curvas_cupon_cero!$1:$1,0)-1,COUNT(Curvas_cupon_cero!$A:$A)-2,1))))</f>
        <v/>
      </c>
      <c r="J238" s="19" t="str">
        <f>IF(A238="","",F238/(1+I238*$B$5/360)^(COUNT(A$16:A238)-($B$5-$G$16)/$B$5))</f>
        <v/>
      </c>
    </row>
    <row r="239" spans="1:10" x14ac:dyDescent="0.2">
      <c r="A239" s="12" t="str">
        <f t="shared" si="21"/>
        <v/>
      </c>
      <c r="B239" t="str">
        <f t="shared" si="19"/>
        <v/>
      </c>
      <c r="C239" s="21" t="str">
        <f ca="1">IF(A239="","",IF($B$8="Sí",interpolar_alamb(B239,OFFSET(Curvas_cupon_cero!$A$1,1,0,COUNT(Curvas_cupon_cero!$A:$A)-2,1),OFFSET(Curvas_cupon_cero!$A$1,1,MATCH($B$7,Curvas_cupon_cero!$1:$1,0)-1,COUNT(Curvas_cupon_cero!$A:$A)-2,1)),[1]!interpolar(B239,OFFSET(Curvas_cupon_cero!$A$1,1,0,COUNT(Curvas_cupon_cero!$A:$A)-2,1),OFFSET(Curvas_cupon_cero!$A$1,1,MATCH($B$7,Curvas_cupon_cero!$1:$1,0)-1,COUNT(Curvas_cupon_cero!$A:$A)-2,1))))</f>
        <v/>
      </c>
      <c r="D239" s="23" t="str">
        <f ca="1">IF(A239="","",IF($B$8="Sí",interpolar_alamb(H239,OFFSET(Curvas_cupon_cero!$A$1,1,0,COUNT(Curvas_cupon_cero!$A:$A)-2,1),OFFSET(Curvas_cupon_cero!$A$1,1,MATCH($B$7,Curvas_cupon_cero!$1:$1,0)-1,COUNT(Curvas_cupon_cero!$A:$A)-2,1)),[1]!interpolar(H239,OFFSET(Curvas_cupon_cero!$A$1,1,0,COUNT(Curvas_cupon_cero!$A:$A)-2,1),OFFSET(Curvas_cupon_cero!$A$1,1,MATCH($B$7,Curvas_cupon_cero!$1:$1,0)-1,COUNT(Curvas_cupon_cero!$A:$A)-2,1))))</f>
        <v/>
      </c>
      <c r="E239" s="23" t="str">
        <f t="shared" si="22"/>
        <v/>
      </c>
      <c r="F239" s="17" t="str">
        <f t="shared" si="20"/>
        <v/>
      </c>
      <c r="G239" s="18" t="str">
        <f t="shared" si="23"/>
        <v/>
      </c>
      <c r="H239" t="str">
        <f t="shared" si="24"/>
        <v/>
      </c>
      <c r="I239" s="23" t="str">
        <f ca="1">IF(A239="","",IF($B$8="Sí",interpolar_alamb(H239,OFFSET(Curvas_cupon_cero!$A$1,1,0,COUNT(Curvas_cupon_cero!$A:$A)-2,1),OFFSET(Curvas_cupon_cero!$A$1,1,MATCH($B$6,Curvas_cupon_cero!$1:$1,0)-1,COUNT(Curvas_cupon_cero!$A:$A)-2,1)),[1]!interpolar(H239,OFFSET(Curvas_cupon_cero!$A$1,1,0,COUNT(Curvas_cupon_cero!$A:$A)-2,1),OFFSET(Curvas_cupon_cero!$A$1,1,MATCH($B$6,Curvas_cupon_cero!$1:$1,0)-1,COUNT(Curvas_cupon_cero!$A:$A)-2,1))))</f>
        <v/>
      </c>
      <c r="J239" s="19" t="str">
        <f>IF(A239="","",F239/(1+I239*$B$5/360)^(COUNT(A$16:A239)-($B$5-$G$16)/$B$5))</f>
        <v/>
      </c>
    </row>
    <row r="240" spans="1:10" x14ac:dyDescent="0.2">
      <c r="A240" s="12" t="str">
        <f t="shared" si="21"/>
        <v/>
      </c>
      <c r="B240" t="str">
        <f t="shared" si="19"/>
        <v/>
      </c>
      <c r="C240" s="21" t="str">
        <f ca="1">IF(A240="","",IF($B$8="Sí",interpolar_alamb(B240,OFFSET(Curvas_cupon_cero!$A$1,1,0,COUNT(Curvas_cupon_cero!$A:$A)-2,1),OFFSET(Curvas_cupon_cero!$A$1,1,MATCH($B$7,Curvas_cupon_cero!$1:$1,0)-1,COUNT(Curvas_cupon_cero!$A:$A)-2,1)),[1]!interpolar(B240,OFFSET(Curvas_cupon_cero!$A$1,1,0,COUNT(Curvas_cupon_cero!$A:$A)-2,1),OFFSET(Curvas_cupon_cero!$A$1,1,MATCH($B$7,Curvas_cupon_cero!$1:$1,0)-1,COUNT(Curvas_cupon_cero!$A:$A)-2,1))))</f>
        <v/>
      </c>
      <c r="D240" s="23" t="str">
        <f ca="1">IF(A240="","",IF($B$8="Sí",interpolar_alamb(H240,OFFSET(Curvas_cupon_cero!$A$1,1,0,COUNT(Curvas_cupon_cero!$A:$A)-2,1),OFFSET(Curvas_cupon_cero!$A$1,1,MATCH($B$7,Curvas_cupon_cero!$1:$1,0)-1,COUNT(Curvas_cupon_cero!$A:$A)-2,1)),[1]!interpolar(H240,OFFSET(Curvas_cupon_cero!$A$1,1,0,COUNT(Curvas_cupon_cero!$A:$A)-2,1),OFFSET(Curvas_cupon_cero!$A$1,1,MATCH($B$7,Curvas_cupon_cero!$1:$1,0)-1,COUNT(Curvas_cupon_cero!$A:$A)-2,1))))</f>
        <v/>
      </c>
      <c r="E240" s="23" t="str">
        <f t="shared" si="22"/>
        <v/>
      </c>
      <c r="F240" s="17" t="str">
        <f t="shared" si="20"/>
        <v/>
      </c>
      <c r="G240" s="18" t="str">
        <f t="shared" si="23"/>
        <v/>
      </c>
      <c r="H240" t="str">
        <f t="shared" si="24"/>
        <v/>
      </c>
      <c r="I240" s="23" t="str">
        <f ca="1">IF(A240="","",IF($B$8="Sí",interpolar_alamb(H240,OFFSET(Curvas_cupon_cero!$A$1,1,0,COUNT(Curvas_cupon_cero!$A:$A)-2,1),OFFSET(Curvas_cupon_cero!$A$1,1,MATCH($B$6,Curvas_cupon_cero!$1:$1,0)-1,COUNT(Curvas_cupon_cero!$A:$A)-2,1)),[1]!interpolar(H240,OFFSET(Curvas_cupon_cero!$A$1,1,0,COUNT(Curvas_cupon_cero!$A:$A)-2,1),OFFSET(Curvas_cupon_cero!$A$1,1,MATCH($B$6,Curvas_cupon_cero!$1:$1,0)-1,COUNT(Curvas_cupon_cero!$A:$A)-2,1))))</f>
        <v/>
      </c>
      <c r="J240" s="19" t="str">
        <f>IF(A240="","",F240/(1+I240*$B$5/360)^(COUNT(A$16:A240)-($B$5-$G$16)/$B$5))</f>
        <v/>
      </c>
    </row>
    <row r="241" spans="1:10" x14ac:dyDescent="0.2">
      <c r="A241" s="12" t="str">
        <f t="shared" si="21"/>
        <v/>
      </c>
      <c r="B241" t="str">
        <f t="shared" si="19"/>
        <v/>
      </c>
      <c r="C241" s="21" t="str">
        <f ca="1">IF(A241="","",IF($B$8="Sí",interpolar_alamb(B241,OFFSET(Curvas_cupon_cero!$A$1,1,0,COUNT(Curvas_cupon_cero!$A:$A)-2,1),OFFSET(Curvas_cupon_cero!$A$1,1,MATCH($B$7,Curvas_cupon_cero!$1:$1,0)-1,COUNT(Curvas_cupon_cero!$A:$A)-2,1)),[1]!interpolar(B241,OFFSET(Curvas_cupon_cero!$A$1,1,0,COUNT(Curvas_cupon_cero!$A:$A)-2,1),OFFSET(Curvas_cupon_cero!$A$1,1,MATCH($B$7,Curvas_cupon_cero!$1:$1,0)-1,COUNT(Curvas_cupon_cero!$A:$A)-2,1))))</f>
        <v/>
      </c>
      <c r="D241" s="23" t="str">
        <f ca="1">IF(A241="","",IF($B$8="Sí",interpolar_alamb(H241,OFFSET(Curvas_cupon_cero!$A$1,1,0,COUNT(Curvas_cupon_cero!$A:$A)-2,1),OFFSET(Curvas_cupon_cero!$A$1,1,MATCH($B$7,Curvas_cupon_cero!$1:$1,0)-1,COUNT(Curvas_cupon_cero!$A:$A)-2,1)),[1]!interpolar(H241,OFFSET(Curvas_cupon_cero!$A$1,1,0,COUNT(Curvas_cupon_cero!$A:$A)-2,1),OFFSET(Curvas_cupon_cero!$A$1,1,MATCH($B$7,Curvas_cupon_cero!$1:$1,0)-1,COUNT(Curvas_cupon_cero!$A:$A)-2,1))))</f>
        <v/>
      </c>
      <c r="E241" s="23" t="str">
        <f t="shared" si="22"/>
        <v/>
      </c>
      <c r="F241" s="17" t="str">
        <f t="shared" si="20"/>
        <v/>
      </c>
      <c r="G241" s="18" t="str">
        <f t="shared" si="23"/>
        <v/>
      </c>
      <c r="H241" t="str">
        <f t="shared" si="24"/>
        <v/>
      </c>
      <c r="I241" s="23" t="str">
        <f ca="1">IF(A241="","",IF($B$8="Sí",interpolar_alamb(H241,OFFSET(Curvas_cupon_cero!$A$1,1,0,COUNT(Curvas_cupon_cero!$A:$A)-2,1),OFFSET(Curvas_cupon_cero!$A$1,1,MATCH($B$6,Curvas_cupon_cero!$1:$1,0)-1,COUNT(Curvas_cupon_cero!$A:$A)-2,1)),[1]!interpolar(H241,OFFSET(Curvas_cupon_cero!$A$1,1,0,COUNT(Curvas_cupon_cero!$A:$A)-2,1),OFFSET(Curvas_cupon_cero!$A$1,1,MATCH($B$6,Curvas_cupon_cero!$1:$1,0)-1,COUNT(Curvas_cupon_cero!$A:$A)-2,1))))</f>
        <v/>
      </c>
      <c r="J241" s="19" t="str">
        <f>IF(A241="","",F241/(1+I241*$B$5/360)^(COUNT(A$16:A241)-($B$5-$G$16)/$B$5))</f>
        <v/>
      </c>
    </row>
    <row r="242" spans="1:10" x14ac:dyDescent="0.2">
      <c r="A242" s="12" t="str">
        <f t="shared" si="21"/>
        <v/>
      </c>
      <c r="B242" t="str">
        <f t="shared" si="19"/>
        <v/>
      </c>
      <c r="C242" s="21" t="str">
        <f ca="1">IF(A242="","",IF($B$8="Sí",interpolar_alamb(B242,OFFSET(Curvas_cupon_cero!$A$1,1,0,COUNT(Curvas_cupon_cero!$A:$A)-2,1),OFFSET(Curvas_cupon_cero!$A$1,1,MATCH($B$7,Curvas_cupon_cero!$1:$1,0)-1,COUNT(Curvas_cupon_cero!$A:$A)-2,1)),[1]!interpolar(B242,OFFSET(Curvas_cupon_cero!$A$1,1,0,COUNT(Curvas_cupon_cero!$A:$A)-2,1),OFFSET(Curvas_cupon_cero!$A$1,1,MATCH($B$7,Curvas_cupon_cero!$1:$1,0)-1,COUNT(Curvas_cupon_cero!$A:$A)-2,1))))</f>
        <v/>
      </c>
      <c r="D242" s="23" t="str">
        <f ca="1">IF(A242="","",IF($B$8="Sí",interpolar_alamb(H242,OFFSET(Curvas_cupon_cero!$A$1,1,0,COUNT(Curvas_cupon_cero!$A:$A)-2,1),OFFSET(Curvas_cupon_cero!$A$1,1,MATCH($B$7,Curvas_cupon_cero!$1:$1,0)-1,COUNT(Curvas_cupon_cero!$A:$A)-2,1)),[1]!interpolar(H242,OFFSET(Curvas_cupon_cero!$A$1,1,0,COUNT(Curvas_cupon_cero!$A:$A)-2,1),OFFSET(Curvas_cupon_cero!$A$1,1,MATCH($B$7,Curvas_cupon_cero!$1:$1,0)-1,COUNT(Curvas_cupon_cero!$A:$A)-2,1))))</f>
        <v/>
      </c>
      <c r="E242" s="23" t="str">
        <f t="shared" si="22"/>
        <v/>
      </c>
      <c r="F242" s="17" t="str">
        <f t="shared" si="20"/>
        <v/>
      </c>
      <c r="G242" s="18" t="str">
        <f t="shared" si="23"/>
        <v/>
      </c>
      <c r="H242" t="str">
        <f t="shared" si="24"/>
        <v/>
      </c>
      <c r="I242" s="23" t="str">
        <f ca="1">IF(A242="","",IF($B$8="Sí",interpolar_alamb(H242,OFFSET(Curvas_cupon_cero!$A$1,1,0,COUNT(Curvas_cupon_cero!$A:$A)-2,1),OFFSET(Curvas_cupon_cero!$A$1,1,MATCH($B$6,Curvas_cupon_cero!$1:$1,0)-1,COUNT(Curvas_cupon_cero!$A:$A)-2,1)),[1]!interpolar(H242,OFFSET(Curvas_cupon_cero!$A$1,1,0,COUNT(Curvas_cupon_cero!$A:$A)-2,1),OFFSET(Curvas_cupon_cero!$A$1,1,MATCH($B$6,Curvas_cupon_cero!$1:$1,0)-1,COUNT(Curvas_cupon_cero!$A:$A)-2,1))))</f>
        <v/>
      </c>
      <c r="J242" s="19" t="str">
        <f>IF(A242="","",F242/(1+I242*$B$5/360)^(COUNT(A$16:A242)-($B$5-$G$16)/$B$5))</f>
        <v/>
      </c>
    </row>
    <row r="243" spans="1:10" x14ac:dyDescent="0.2">
      <c r="A243" s="12" t="str">
        <f t="shared" si="21"/>
        <v/>
      </c>
      <c r="B243" t="str">
        <f t="shared" si="19"/>
        <v/>
      </c>
      <c r="C243" s="21" t="str">
        <f ca="1">IF(A243="","",IF($B$8="Sí",interpolar_alamb(B243,OFFSET(Curvas_cupon_cero!$A$1,1,0,COUNT(Curvas_cupon_cero!$A:$A)-2,1),OFFSET(Curvas_cupon_cero!$A$1,1,MATCH($B$7,Curvas_cupon_cero!$1:$1,0)-1,COUNT(Curvas_cupon_cero!$A:$A)-2,1)),[1]!interpolar(B243,OFFSET(Curvas_cupon_cero!$A$1,1,0,COUNT(Curvas_cupon_cero!$A:$A)-2,1),OFFSET(Curvas_cupon_cero!$A$1,1,MATCH($B$7,Curvas_cupon_cero!$1:$1,0)-1,COUNT(Curvas_cupon_cero!$A:$A)-2,1))))</f>
        <v/>
      </c>
      <c r="D243" s="23" t="str">
        <f ca="1">IF(A243="","",IF($B$8="Sí",interpolar_alamb(H243,OFFSET(Curvas_cupon_cero!$A$1,1,0,COUNT(Curvas_cupon_cero!$A:$A)-2,1),OFFSET(Curvas_cupon_cero!$A$1,1,MATCH($B$7,Curvas_cupon_cero!$1:$1,0)-1,COUNT(Curvas_cupon_cero!$A:$A)-2,1)),[1]!interpolar(H243,OFFSET(Curvas_cupon_cero!$A$1,1,0,COUNT(Curvas_cupon_cero!$A:$A)-2,1),OFFSET(Curvas_cupon_cero!$A$1,1,MATCH($B$7,Curvas_cupon_cero!$1:$1,0)-1,COUNT(Curvas_cupon_cero!$A:$A)-2,1))))</f>
        <v/>
      </c>
      <c r="E243" s="23" t="str">
        <f t="shared" si="22"/>
        <v/>
      </c>
      <c r="F243" s="17" t="str">
        <f t="shared" si="20"/>
        <v/>
      </c>
      <c r="G243" s="18" t="str">
        <f t="shared" si="23"/>
        <v/>
      </c>
      <c r="H243" t="str">
        <f t="shared" si="24"/>
        <v/>
      </c>
      <c r="I243" s="23" t="str">
        <f ca="1">IF(A243="","",IF($B$8="Sí",interpolar_alamb(H243,OFFSET(Curvas_cupon_cero!$A$1,1,0,COUNT(Curvas_cupon_cero!$A:$A)-2,1),OFFSET(Curvas_cupon_cero!$A$1,1,MATCH($B$6,Curvas_cupon_cero!$1:$1,0)-1,COUNT(Curvas_cupon_cero!$A:$A)-2,1)),[1]!interpolar(H243,OFFSET(Curvas_cupon_cero!$A$1,1,0,COUNT(Curvas_cupon_cero!$A:$A)-2,1),OFFSET(Curvas_cupon_cero!$A$1,1,MATCH($B$6,Curvas_cupon_cero!$1:$1,0)-1,COUNT(Curvas_cupon_cero!$A:$A)-2,1))))</f>
        <v/>
      </c>
      <c r="J243" s="19" t="str">
        <f>IF(A243="","",F243/(1+I243*$B$5/360)^(COUNT(A$16:A243)-($B$5-$G$16)/$B$5))</f>
        <v/>
      </c>
    </row>
    <row r="244" spans="1:10" x14ac:dyDescent="0.2">
      <c r="A244" s="12" t="str">
        <f t="shared" si="21"/>
        <v/>
      </c>
      <c r="B244" t="str">
        <f t="shared" si="19"/>
        <v/>
      </c>
      <c r="C244" s="21" t="str">
        <f ca="1">IF(A244="","",IF($B$8="Sí",interpolar_alamb(B244,OFFSET(Curvas_cupon_cero!$A$1,1,0,COUNT(Curvas_cupon_cero!$A:$A)-2,1),OFFSET(Curvas_cupon_cero!$A$1,1,MATCH($B$7,Curvas_cupon_cero!$1:$1,0)-1,COUNT(Curvas_cupon_cero!$A:$A)-2,1)),[1]!interpolar(B244,OFFSET(Curvas_cupon_cero!$A$1,1,0,COUNT(Curvas_cupon_cero!$A:$A)-2,1),OFFSET(Curvas_cupon_cero!$A$1,1,MATCH($B$7,Curvas_cupon_cero!$1:$1,0)-1,COUNT(Curvas_cupon_cero!$A:$A)-2,1))))</f>
        <v/>
      </c>
      <c r="D244" s="23" t="str">
        <f ca="1">IF(A244="","",IF($B$8="Sí",interpolar_alamb(H244,OFFSET(Curvas_cupon_cero!$A$1,1,0,COUNT(Curvas_cupon_cero!$A:$A)-2,1),OFFSET(Curvas_cupon_cero!$A$1,1,MATCH($B$7,Curvas_cupon_cero!$1:$1,0)-1,COUNT(Curvas_cupon_cero!$A:$A)-2,1)),[1]!interpolar(H244,OFFSET(Curvas_cupon_cero!$A$1,1,0,COUNT(Curvas_cupon_cero!$A:$A)-2,1),OFFSET(Curvas_cupon_cero!$A$1,1,MATCH($B$7,Curvas_cupon_cero!$1:$1,0)-1,COUNT(Curvas_cupon_cero!$A:$A)-2,1))))</f>
        <v/>
      </c>
      <c r="E244" s="23" t="str">
        <f t="shared" si="22"/>
        <v/>
      </c>
      <c r="F244" s="17" t="str">
        <f t="shared" si="20"/>
        <v/>
      </c>
      <c r="G244" s="18" t="str">
        <f t="shared" si="23"/>
        <v/>
      </c>
      <c r="H244" t="str">
        <f t="shared" si="24"/>
        <v/>
      </c>
      <c r="I244" s="23" t="str">
        <f ca="1">IF(A244="","",IF($B$8="Sí",interpolar_alamb(H244,OFFSET(Curvas_cupon_cero!$A$1,1,0,COUNT(Curvas_cupon_cero!$A:$A)-2,1),OFFSET(Curvas_cupon_cero!$A$1,1,MATCH($B$6,Curvas_cupon_cero!$1:$1,0)-1,COUNT(Curvas_cupon_cero!$A:$A)-2,1)),[1]!interpolar(H244,OFFSET(Curvas_cupon_cero!$A$1,1,0,COUNT(Curvas_cupon_cero!$A:$A)-2,1),OFFSET(Curvas_cupon_cero!$A$1,1,MATCH($B$6,Curvas_cupon_cero!$1:$1,0)-1,COUNT(Curvas_cupon_cero!$A:$A)-2,1))))</f>
        <v/>
      </c>
      <c r="J244" s="19" t="str">
        <f>IF(A244="","",F244/(1+I244*$B$5/360)^(COUNT(A$16:A244)-($B$5-$G$16)/$B$5))</f>
        <v/>
      </c>
    </row>
    <row r="245" spans="1:10" x14ac:dyDescent="0.2">
      <c r="A245" s="12" t="str">
        <f t="shared" si="21"/>
        <v/>
      </c>
      <c r="B245" t="str">
        <f t="shared" si="19"/>
        <v/>
      </c>
      <c r="C245" s="21" t="str">
        <f ca="1">IF(A245="","",IF($B$8="Sí",interpolar_alamb(B245,OFFSET(Curvas_cupon_cero!$A$1,1,0,COUNT(Curvas_cupon_cero!$A:$A)-2,1),OFFSET(Curvas_cupon_cero!$A$1,1,MATCH($B$7,Curvas_cupon_cero!$1:$1,0)-1,COUNT(Curvas_cupon_cero!$A:$A)-2,1)),[1]!interpolar(B245,OFFSET(Curvas_cupon_cero!$A$1,1,0,COUNT(Curvas_cupon_cero!$A:$A)-2,1),OFFSET(Curvas_cupon_cero!$A$1,1,MATCH($B$7,Curvas_cupon_cero!$1:$1,0)-1,COUNT(Curvas_cupon_cero!$A:$A)-2,1))))</f>
        <v/>
      </c>
      <c r="D245" s="23" t="str">
        <f ca="1">IF(A245="","",IF($B$8="Sí",interpolar_alamb(H245,OFFSET(Curvas_cupon_cero!$A$1,1,0,COUNT(Curvas_cupon_cero!$A:$A)-2,1),OFFSET(Curvas_cupon_cero!$A$1,1,MATCH($B$7,Curvas_cupon_cero!$1:$1,0)-1,COUNT(Curvas_cupon_cero!$A:$A)-2,1)),[1]!interpolar(H245,OFFSET(Curvas_cupon_cero!$A$1,1,0,COUNT(Curvas_cupon_cero!$A:$A)-2,1),OFFSET(Curvas_cupon_cero!$A$1,1,MATCH($B$7,Curvas_cupon_cero!$1:$1,0)-1,COUNT(Curvas_cupon_cero!$A:$A)-2,1))))</f>
        <v/>
      </c>
      <c r="E245" s="23" t="str">
        <f t="shared" si="22"/>
        <v/>
      </c>
      <c r="F245" s="17" t="str">
        <f t="shared" si="20"/>
        <v/>
      </c>
      <c r="G245" s="18" t="str">
        <f t="shared" si="23"/>
        <v/>
      </c>
      <c r="H245" t="str">
        <f t="shared" si="24"/>
        <v/>
      </c>
      <c r="I245" s="23" t="str">
        <f ca="1">IF(A245="","",IF($B$8="Sí",interpolar_alamb(H245,OFFSET(Curvas_cupon_cero!$A$1,1,0,COUNT(Curvas_cupon_cero!$A:$A)-2,1),OFFSET(Curvas_cupon_cero!$A$1,1,MATCH($B$6,Curvas_cupon_cero!$1:$1,0)-1,COUNT(Curvas_cupon_cero!$A:$A)-2,1)),[1]!interpolar(H245,OFFSET(Curvas_cupon_cero!$A$1,1,0,COUNT(Curvas_cupon_cero!$A:$A)-2,1),OFFSET(Curvas_cupon_cero!$A$1,1,MATCH($B$6,Curvas_cupon_cero!$1:$1,0)-1,COUNT(Curvas_cupon_cero!$A:$A)-2,1))))</f>
        <v/>
      </c>
      <c r="J245" s="19" t="str">
        <f>IF(A245="","",F245/(1+I245*$B$5/360)^(COUNT(A$16:A245)-($B$5-$G$16)/$B$5))</f>
        <v/>
      </c>
    </row>
    <row r="246" spans="1:10" x14ac:dyDescent="0.2">
      <c r="A246" s="12" t="str">
        <f t="shared" si="21"/>
        <v/>
      </c>
      <c r="B246" t="str">
        <f t="shared" si="19"/>
        <v/>
      </c>
      <c r="C246" s="21" t="str">
        <f ca="1">IF(A246="","",IF($B$8="Sí",interpolar_alamb(B246,OFFSET(Curvas_cupon_cero!$A$1,1,0,COUNT(Curvas_cupon_cero!$A:$A)-2,1),OFFSET(Curvas_cupon_cero!$A$1,1,MATCH($B$7,Curvas_cupon_cero!$1:$1,0)-1,COUNT(Curvas_cupon_cero!$A:$A)-2,1)),[1]!interpolar(B246,OFFSET(Curvas_cupon_cero!$A$1,1,0,COUNT(Curvas_cupon_cero!$A:$A)-2,1),OFFSET(Curvas_cupon_cero!$A$1,1,MATCH($B$7,Curvas_cupon_cero!$1:$1,0)-1,COUNT(Curvas_cupon_cero!$A:$A)-2,1))))</f>
        <v/>
      </c>
      <c r="D246" s="23" t="str">
        <f ca="1">IF(A246="","",IF($B$8="Sí",interpolar_alamb(H246,OFFSET(Curvas_cupon_cero!$A$1,1,0,COUNT(Curvas_cupon_cero!$A:$A)-2,1),OFFSET(Curvas_cupon_cero!$A$1,1,MATCH($B$7,Curvas_cupon_cero!$1:$1,0)-1,COUNT(Curvas_cupon_cero!$A:$A)-2,1)),[1]!interpolar(H246,OFFSET(Curvas_cupon_cero!$A$1,1,0,COUNT(Curvas_cupon_cero!$A:$A)-2,1),OFFSET(Curvas_cupon_cero!$A$1,1,MATCH($B$7,Curvas_cupon_cero!$1:$1,0)-1,COUNT(Curvas_cupon_cero!$A:$A)-2,1))))</f>
        <v/>
      </c>
      <c r="E246" s="23" t="str">
        <f t="shared" si="22"/>
        <v/>
      </c>
      <c r="F246" s="17" t="str">
        <f t="shared" si="20"/>
        <v/>
      </c>
      <c r="G246" s="18" t="str">
        <f t="shared" si="23"/>
        <v/>
      </c>
      <c r="H246" t="str">
        <f t="shared" si="24"/>
        <v/>
      </c>
      <c r="I246" s="23" t="str">
        <f ca="1">IF(A246="","",IF($B$8="Sí",interpolar_alamb(H246,OFFSET(Curvas_cupon_cero!$A$1,1,0,COUNT(Curvas_cupon_cero!$A:$A)-2,1),OFFSET(Curvas_cupon_cero!$A$1,1,MATCH($B$6,Curvas_cupon_cero!$1:$1,0)-1,COUNT(Curvas_cupon_cero!$A:$A)-2,1)),[1]!interpolar(H246,OFFSET(Curvas_cupon_cero!$A$1,1,0,COUNT(Curvas_cupon_cero!$A:$A)-2,1),OFFSET(Curvas_cupon_cero!$A$1,1,MATCH($B$6,Curvas_cupon_cero!$1:$1,0)-1,COUNT(Curvas_cupon_cero!$A:$A)-2,1))))</f>
        <v/>
      </c>
      <c r="J246" s="19" t="str">
        <f>IF(A246="","",F246/(1+I246*$B$5/360)^(COUNT(A$16:A246)-($B$5-$G$16)/$B$5))</f>
        <v/>
      </c>
    </row>
    <row r="247" spans="1:10" x14ac:dyDescent="0.2">
      <c r="A247" s="12" t="str">
        <f t="shared" si="21"/>
        <v/>
      </c>
      <c r="B247" t="str">
        <f t="shared" si="19"/>
        <v/>
      </c>
      <c r="C247" s="21" t="str">
        <f ca="1">IF(A247="","",IF($B$8="Sí",interpolar_alamb(B247,OFFSET(Curvas_cupon_cero!$A$1,1,0,COUNT(Curvas_cupon_cero!$A:$A)-2,1),OFFSET(Curvas_cupon_cero!$A$1,1,MATCH($B$7,Curvas_cupon_cero!$1:$1,0)-1,COUNT(Curvas_cupon_cero!$A:$A)-2,1)),[1]!interpolar(B247,OFFSET(Curvas_cupon_cero!$A$1,1,0,COUNT(Curvas_cupon_cero!$A:$A)-2,1),OFFSET(Curvas_cupon_cero!$A$1,1,MATCH($B$7,Curvas_cupon_cero!$1:$1,0)-1,COUNT(Curvas_cupon_cero!$A:$A)-2,1))))</f>
        <v/>
      </c>
      <c r="D247" s="23" t="str">
        <f ca="1">IF(A247="","",IF($B$8="Sí",interpolar_alamb(H247,OFFSET(Curvas_cupon_cero!$A$1,1,0,COUNT(Curvas_cupon_cero!$A:$A)-2,1),OFFSET(Curvas_cupon_cero!$A$1,1,MATCH($B$7,Curvas_cupon_cero!$1:$1,0)-1,COUNT(Curvas_cupon_cero!$A:$A)-2,1)),[1]!interpolar(H247,OFFSET(Curvas_cupon_cero!$A$1,1,0,COUNT(Curvas_cupon_cero!$A:$A)-2,1),OFFSET(Curvas_cupon_cero!$A$1,1,MATCH($B$7,Curvas_cupon_cero!$1:$1,0)-1,COUNT(Curvas_cupon_cero!$A:$A)-2,1))))</f>
        <v/>
      </c>
      <c r="E247" s="23" t="str">
        <f t="shared" si="22"/>
        <v/>
      </c>
      <c r="F247" s="17" t="str">
        <f t="shared" si="20"/>
        <v/>
      </c>
      <c r="G247" s="18" t="str">
        <f t="shared" si="23"/>
        <v/>
      </c>
      <c r="H247" t="str">
        <f t="shared" si="24"/>
        <v/>
      </c>
      <c r="I247" s="23" t="str">
        <f ca="1">IF(A247="","",IF($B$8="Sí",interpolar_alamb(H247,OFFSET(Curvas_cupon_cero!$A$1,1,0,COUNT(Curvas_cupon_cero!$A:$A)-2,1),OFFSET(Curvas_cupon_cero!$A$1,1,MATCH($B$6,Curvas_cupon_cero!$1:$1,0)-1,COUNT(Curvas_cupon_cero!$A:$A)-2,1)),[1]!interpolar(H247,OFFSET(Curvas_cupon_cero!$A$1,1,0,COUNT(Curvas_cupon_cero!$A:$A)-2,1),OFFSET(Curvas_cupon_cero!$A$1,1,MATCH($B$6,Curvas_cupon_cero!$1:$1,0)-1,COUNT(Curvas_cupon_cero!$A:$A)-2,1))))</f>
        <v/>
      </c>
      <c r="J247" s="19" t="str">
        <f>IF(A247="","",F247/(1+I247*$B$5/360)^(COUNT(A$16:A247)-($B$5-$G$16)/$B$5))</f>
        <v/>
      </c>
    </row>
    <row r="248" spans="1:10" x14ac:dyDescent="0.2">
      <c r="A248" s="12" t="str">
        <f t="shared" si="21"/>
        <v/>
      </c>
      <c r="B248" t="str">
        <f t="shared" si="19"/>
        <v/>
      </c>
      <c r="C248" s="21" t="str">
        <f ca="1">IF(A248="","",IF($B$8="Sí",interpolar_alamb(B248,OFFSET(Curvas_cupon_cero!$A$1,1,0,COUNT(Curvas_cupon_cero!$A:$A)-2,1),OFFSET(Curvas_cupon_cero!$A$1,1,MATCH($B$7,Curvas_cupon_cero!$1:$1,0)-1,COUNT(Curvas_cupon_cero!$A:$A)-2,1)),[1]!interpolar(B248,OFFSET(Curvas_cupon_cero!$A$1,1,0,COUNT(Curvas_cupon_cero!$A:$A)-2,1),OFFSET(Curvas_cupon_cero!$A$1,1,MATCH($B$7,Curvas_cupon_cero!$1:$1,0)-1,COUNT(Curvas_cupon_cero!$A:$A)-2,1))))</f>
        <v/>
      </c>
      <c r="D248" s="23" t="str">
        <f ca="1">IF(A248="","",IF($B$8="Sí",interpolar_alamb(H248,OFFSET(Curvas_cupon_cero!$A$1,1,0,COUNT(Curvas_cupon_cero!$A:$A)-2,1),OFFSET(Curvas_cupon_cero!$A$1,1,MATCH($B$7,Curvas_cupon_cero!$1:$1,0)-1,COUNT(Curvas_cupon_cero!$A:$A)-2,1)),[1]!interpolar(H248,OFFSET(Curvas_cupon_cero!$A$1,1,0,COUNT(Curvas_cupon_cero!$A:$A)-2,1),OFFSET(Curvas_cupon_cero!$A$1,1,MATCH($B$7,Curvas_cupon_cero!$1:$1,0)-1,COUNT(Curvas_cupon_cero!$A:$A)-2,1))))</f>
        <v/>
      </c>
      <c r="E248" s="23" t="str">
        <f t="shared" si="22"/>
        <v/>
      </c>
      <c r="F248" s="17" t="str">
        <f t="shared" si="20"/>
        <v/>
      </c>
      <c r="G248" s="18" t="str">
        <f t="shared" si="23"/>
        <v/>
      </c>
      <c r="H248" t="str">
        <f t="shared" si="24"/>
        <v/>
      </c>
      <c r="I248" s="23" t="str">
        <f ca="1">IF(A248="","",IF($B$8="Sí",interpolar_alamb(H248,OFFSET(Curvas_cupon_cero!$A$1,1,0,COUNT(Curvas_cupon_cero!$A:$A)-2,1),OFFSET(Curvas_cupon_cero!$A$1,1,MATCH($B$6,Curvas_cupon_cero!$1:$1,0)-1,COUNT(Curvas_cupon_cero!$A:$A)-2,1)),[1]!interpolar(H248,OFFSET(Curvas_cupon_cero!$A$1,1,0,COUNT(Curvas_cupon_cero!$A:$A)-2,1),OFFSET(Curvas_cupon_cero!$A$1,1,MATCH($B$6,Curvas_cupon_cero!$1:$1,0)-1,COUNT(Curvas_cupon_cero!$A:$A)-2,1))))</f>
        <v/>
      </c>
      <c r="J248" s="19" t="str">
        <f>IF(A248="","",F248/(1+I248*$B$5/360)^(COUNT(A$16:A248)-($B$5-$G$16)/$B$5))</f>
        <v/>
      </c>
    </row>
    <row r="249" spans="1:10" x14ac:dyDescent="0.2">
      <c r="A249" s="12" t="str">
        <f t="shared" si="21"/>
        <v/>
      </c>
      <c r="B249" t="str">
        <f t="shared" si="19"/>
        <v/>
      </c>
      <c r="C249" s="21" t="str">
        <f ca="1">IF(A249="","",IF($B$8="Sí",interpolar_alamb(B249,OFFSET(Curvas_cupon_cero!$A$1,1,0,COUNT(Curvas_cupon_cero!$A:$A)-2,1),OFFSET(Curvas_cupon_cero!$A$1,1,MATCH($B$7,Curvas_cupon_cero!$1:$1,0)-1,COUNT(Curvas_cupon_cero!$A:$A)-2,1)),[1]!interpolar(B249,OFFSET(Curvas_cupon_cero!$A$1,1,0,COUNT(Curvas_cupon_cero!$A:$A)-2,1),OFFSET(Curvas_cupon_cero!$A$1,1,MATCH($B$7,Curvas_cupon_cero!$1:$1,0)-1,COUNT(Curvas_cupon_cero!$A:$A)-2,1))))</f>
        <v/>
      </c>
      <c r="D249" s="23" t="str">
        <f ca="1">IF(A249="","",IF($B$8="Sí",interpolar_alamb(H249,OFFSET(Curvas_cupon_cero!$A$1,1,0,COUNT(Curvas_cupon_cero!$A:$A)-2,1),OFFSET(Curvas_cupon_cero!$A$1,1,MATCH($B$7,Curvas_cupon_cero!$1:$1,0)-1,COUNT(Curvas_cupon_cero!$A:$A)-2,1)),[1]!interpolar(H249,OFFSET(Curvas_cupon_cero!$A$1,1,0,COUNT(Curvas_cupon_cero!$A:$A)-2,1),OFFSET(Curvas_cupon_cero!$A$1,1,MATCH($B$7,Curvas_cupon_cero!$1:$1,0)-1,COUNT(Curvas_cupon_cero!$A:$A)-2,1))))</f>
        <v/>
      </c>
      <c r="E249" s="23" t="str">
        <f t="shared" si="22"/>
        <v/>
      </c>
      <c r="F249" s="17" t="str">
        <f t="shared" si="20"/>
        <v/>
      </c>
      <c r="G249" s="18" t="str">
        <f t="shared" si="23"/>
        <v/>
      </c>
      <c r="H249" t="str">
        <f t="shared" si="24"/>
        <v/>
      </c>
      <c r="I249" s="23" t="str">
        <f ca="1">IF(A249="","",IF($B$8="Sí",interpolar_alamb(H249,OFFSET(Curvas_cupon_cero!$A$1,1,0,COUNT(Curvas_cupon_cero!$A:$A)-2,1),OFFSET(Curvas_cupon_cero!$A$1,1,MATCH($B$6,Curvas_cupon_cero!$1:$1,0)-1,COUNT(Curvas_cupon_cero!$A:$A)-2,1)),[1]!interpolar(H249,OFFSET(Curvas_cupon_cero!$A$1,1,0,COUNT(Curvas_cupon_cero!$A:$A)-2,1),OFFSET(Curvas_cupon_cero!$A$1,1,MATCH($B$6,Curvas_cupon_cero!$1:$1,0)-1,COUNT(Curvas_cupon_cero!$A:$A)-2,1))))</f>
        <v/>
      </c>
      <c r="J249" s="19" t="str">
        <f>IF(A249="","",F249/(1+I249*$B$5/360)^(COUNT(A$16:A249)-($B$5-$G$16)/$B$5))</f>
        <v/>
      </c>
    </row>
    <row r="250" spans="1:10" x14ac:dyDescent="0.2">
      <c r="A250" s="12" t="str">
        <f t="shared" si="21"/>
        <v/>
      </c>
      <c r="B250" t="str">
        <f t="shared" si="19"/>
        <v/>
      </c>
      <c r="C250" s="21" t="str">
        <f ca="1">IF(A250="","",IF($B$8="Sí",interpolar_alamb(B250,OFFSET(Curvas_cupon_cero!$A$1,1,0,COUNT(Curvas_cupon_cero!$A:$A)-2,1),OFFSET(Curvas_cupon_cero!$A$1,1,MATCH($B$7,Curvas_cupon_cero!$1:$1,0)-1,COUNT(Curvas_cupon_cero!$A:$A)-2,1)),[1]!interpolar(B250,OFFSET(Curvas_cupon_cero!$A$1,1,0,COUNT(Curvas_cupon_cero!$A:$A)-2,1),OFFSET(Curvas_cupon_cero!$A$1,1,MATCH($B$7,Curvas_cupon_cero!$1:$1,0)-1,COUNT(Curvas_cupon_cero!$A:$A)-2,1))))</f>
        <v/>
      </c>
      <c r="D250" s="23" t="str">
        <f ca="1">IF(A250="","",IF($B$8="Sí",interpolar_alamb(H250,OFFSET(Curvas_cupon_cero!$A$1,1,0,COUNT(Curvas_cupon_cero!$A:$A)-2,1),OFFSET(Curvas_cupon_cero!$A$1,1,MATCH($B$7,Curvas_cupon_cero!$1:$1,0)-1,COUNT(Curvas_cupon_cero!$A:$A)-2,1)),[1]!interpolar(H250,OFFSET(Curvas_cupon_cero!$A$1,1,0,COUNT(Curvas_cupon_cero!$A:$A)-2,1),OFFSET(Curvas_cupon_cero!$A$1,1,MATCH($B$7,Curvas_cupon_cero!$1:$1,0)-1,COUNT(Curvas_cupon_cero!$A:$A)-2,1))))</f>
        <v/>
      </c>
      <c r="E250" s="23" t="str">
        <f t="shared" si="22"/>
        <v/>
      </c>
      <c r="F250" s="17" t="str">
        <f t="shared" si="20"/>
        <v/>
      </c>
      <c r="G250" s="18" t="str">
        <f t="shared" si="23"/>
        <v/>
      </c>
      <c r="H250" t="str">
        <f t="shared" si="24"/>
        <v/>
      </c>
      <c r="I250" s="23" t="str">
        <f ca="1">IF(A250="","",IF($B$8="Sí",interpolar_alamb(H250,OFFSET(Curvas_cupon_cero!$A$1,1,0,COUNT(Curvas_cupon_cero!$A:$A)-2,1),OFFSET(Curvas_cupon_cero!$A$1,1,MATCH($B$6,Curvas_cupon_cero!$1:$1,0)-1,COUNT(Curvas_cupon_cero!$A:$A)-2,1)),[1]!interpolar(H250,OFFSET(Curvas_cupon_cero!$A$1,1,0,COUNT(Curvas_cupon_cero!$A:$A)-2,1),OFFSET(Curvas_cupon_cero!$A$1,1,MATCH($B$6,Curvas_cupon_cero!$1:$1,0)-1,COUNT(Curvas_cupon_cero!$A:$A)-2,1))))</f>
        <v/>
      </c>
      <c r="J250" s="19" t="str">
        <f>IF(A250="","",F250/(1+I250*$B$5/360)^(COUNT(A$16:A250)-($B$5-$G$16)/$B$5))</f>
        <v/>
      </c>
    </row>
    <row r="251" spans="1:10" x14ac:dyDescent="0.2">
      <c r="A251" s="12" t="str">
        <f t="shared" si="21"/>
        <v/>
      </c>
      <c r="B251" t="str">
        <f t="shared" si="19"/>
        <v/>
      </c>
      <c r="C251" s="21" t="str">
        <f ca="1">IF(A251="","",IF($B$8="Sí",interpolar_alamb(B251,OFFSET(Curvas_cupon_cero!$A$1,1,0,COUNT(Curvas_cupon_cero!$A:$A)-2,1),OFFSET(Curvas_cupon_cero!$A$1,1,MATCH($B$7,Curvas_cupon_cero!$1:$1,0)-1,COUNT(Curvas_cupon_cero!$A:$A)-2,1)),[1]!interpolar(B251,OFFSET(Curvas_cupon_cero!$A$1,1,0,COUNT(Curvas_cupon_cero!$A:$A)-2,1),OFFSET(Curvas_cupon_cero!$A$1,1,MATCH($B$7,Curvas_cupon_cero!$1:$1,0)-1,COUNT(Curvas_cupon_cero!$A:$A)-2,1))))</f>
        <v/>
      </c>
      <c r="D251" s="23" t="str">
        <f ca="1">IF(A251="","",IF($B$8="Sí",interpolar_alamb(H251,OFFSET(Curvas_cupon_cero!$A$1,1,0,COUNT(Curvas_cupon_cero!$A:$A)-2,1),OFFSET(Curvas_cupon_cero!$A$1,1,MATCH($B$7,Curvas_cupon_cero!$1:$1,0)-1,COUNT(Curvas_cupon_cero!$A:$A)-2,1)),[1]!interpolar(H251,OFFSET(Curvas_cupon_cero!$A$1,1,0,COUNT(Curvas_cupon_cero!$A:$A)-2,1),OFFSET(Curvas_cupon_cero!$A$1,1,MATCH($B$7,Curvas_cupon_cero!$1:$1,0)-1,COUNT(Curvas_cupon_cero!$A:$A)-2,1))))</f>
        <v/>
      </c>
      <c r="E251" s="23" t="str">
        <f t="shared" si="22"/>
        <v/>
      </c>
      <c r="F251" s="17" t="str">
        <f t="shared" si="20"/>
        <v/>
      </c>
      <c r="G251" s="18" t="str">
        <f t="shared" si="23"/>
        <v/>
      </c>
      <c r="H251" t="str">
        <f t="shared" si="24"/>
        <v/>
      </c>
      <c r="I251" s="23" t="str">
        <f ca="1">IF(A251="","",IF($B$8="Sí",interpolar_alamb(H251,OFFSET(Curvas_cupon_cero!$A$1,1,0,COUNT(Curvas_cupon_cero!$A:$A)-2,1),OFFSET(Curvas_cupon_cero!$A$1,1,MATCH($B$6,Curvas_cupon_cero!$1:$1,0)-1,COUNT(Curvas_cupon_cero!$A:$A)-2,1)),[1]!interpolar(H251,OFFSET(Curvas_cupon_cero!$A$1,1,0,COUNT(Curvas_cupon_cero!$A:$A)-2,1),OFFSET(Curvas_cupon_cero!$A$1,1,MATCH($B$6,Curvas_cupon_cero!$1:$1,0)-1,COUNT(Curvas_cupon_cero!$A:$A)-2,1))))</f>
        <v/>
      </c>
      <c r="J251" s="19" t="str">
        <f>IF(A251="","",F251/(1+I251*$B$5/360)^(COUNT(A$16:A251)-($B$5-$G$16)/$B$5))</f>
        <v/>
      </c>
    </row>
    <row r="252" spans="1:10" x14ac:dyDescent="0.2">
      <c r="A252" s="12" t="str">
        <f t="shared" si="21"/>
        <v/>
      </c>
      <c r="B252" t="str">
        <f t="shared" si="19"/>
        <v/>
      </c>
      <c r="C252" s="21" t="str">
        <f ca="1">IF(A252="","",IF($B$8="Sí",interpolar_alamb(B252,OFFSET(Curvas_cupon_cero!$A$1,1,0,COUNT(Curvas_cupon_cero!$A:$A)-2,1),OFFSET(Curvas_cupon_cero!$A$1,1,MATCH($B$7,Curvas_cupon_cero!$1:$1,0)-1,COUNT(Curvas_cupon_cero!$A:$A)-2,1)),[1]!interpolar(B252,OFFSET(Curvas_cupon_cero!$A$1,1,0,COUNT(Curvas_cupon_cero!$A:$A)-2,1),OFFSET(Curvas_cupon_cero!$A$1,1,MATCH($B$7,Curvas_cupon_cero!$1:$1,0)-1,COUNT(Curvas_cupon_cero!$A:$A)-2,1))))</f>
        <v/>
      </c>
      <c r="D252" s="23" t="str">
        <f ca="1">IF(A252="","",IF($B$8="Sí",interpolar_alamb(H252,OFFSET(Curvas_cupon_cero!$A$1,1,0,COUNT(Curvas_cupon_cero!$A:$A)-2,1),OFFSET(Curvas_cupon_cero!$A$1,1,MATCH($B$7,Curvas_cupon_cero!$1:$1,0)-1,COUNT(Curvas_cupon_cero!$A:$A)-2,1)),[1]!interpolar(H252,OFFSET(Curvas_cupon_cero!$A$1,1,0,COUNT(Curvas_cupon_cero!$A:$A)-2,1),OFFSET(Curvas_cupon_cero!$A$1,1,MATCH($B$7,Curvas_cupon_cero!$1:$1,0)-1,COUNT(Curvas_cupon_cero!$A:$A)-2,1))))</f>
        <v/>
      </c>
      <c r="E252" s="23" t="str">
        <f t="shared" si="22"/>
        <v/>
      </c>
      <c r="F252" s="17" t="str">
        <f t="shared" si="20"/>
        <v/>
      </c>
      <c r="G252" s="18" t="str">
        <f t="shared" si="23"/>
        <v/>
      </c>
      <c r="H252" t="str">
        <f t="shared" si="24"/>
        <v/>
      </c>
      <c r="I252" s="23" t="str">
        <f ca="1">IF(A252="","",IF($B$8="Sí",interpolar_alamb(H252,OFFSET(Curvas_cupon_cero!$A$1,1,0,COUNT(Curvas_cupon_cero!$A:$A)-2,1),OFFSET(Curvas_cupon_cero!$A$1,1,MATCH($B$6,Curvas_cupon_cero!$1:$1,0)-1,COUNT(Curvas_cupon_cero!$A:$A)-2,1)),[1]!interpolar(H252,OFFSET(Curvas_cupon_cero!$A$1,1,0,COUNT(Curvas_cupon_cero!$A:$A)-2,1),OFFSET(Curvas_cupon_cero!$A$1,1,MATCH($B$6,Curvas_cupon_cero!$1:$1,0)-1,COUNT(Curvas_cupon_cero!$A:$A)-2,1))))</f>
        <v/>
      </c>
      <c r="J252" s="19" t="str">
        <f>IF(A252="","",F252/(1+I252*$B$5/360)^(COUNT(A$16:A252)-($B$5-$G$16)/$B$5))</f>
        <v/>
      </c>
    </row>
    <row r="253" spans="1:10" x14ac:dyDescent="0.2">
      <c r="A253" s="12" t="str">
        <f t="shared" si="21"/>
        <v/>
      </c>
      <c r="B253" t="str">
        <f t="shared" si="19"/>
        <v/>
      </c>
      <c r="C253" s="21" t="str">
        <f ca="1">IF(A253="","",IF($B$8="Sí",interpolar_alamb(B253,OFFSET(Curvas_cupon_cero!$A$1,1,0,COUNT(Curvas_cupon_cero!$A:$A)-2,1),OFFSET(Curvas_cupon_cero!$A$1,1,MATCH($B$7,Curvas_cupon_cero!$1:$1,0)-1,COUNT(Curvas_cupon_cero!$A:$A)-2,1)),[1]!interpolar(B253,OFFSET(Curvas_cupon_cero!$A$1,1,0,COUNT(Curvas_cupon_cero!$A:$A)-2,1),OFFSET(Curvas_cupon_cero!$A$1,1,MATCH($B$7,Curvas_cupon_cero!$1:$1,0)-1,COUNT(Curvas_cupon_cero!$A:$A)-2,1))))</f>
        <v/>
      </c>
      <c r="D253" s="23" t="str">
        <f ca="1">IF(A253="","",IF($B$8="Sí",interpolar_alamb(H253,OFFSET(Curvas_cupon_cero!$A$1,1,0,COUNT(Curvas_cupon_cero!$A:$A)-2,1),OFFSET(Curvas_cupon_cero!$A$1,1,MATCH($B$7,Curvas_cupon_cero!$1:$1,0)-1,COUNT(Curvas_cupon_cero!$A:$A)-2,1)),[1]!interpolar(H253,OFFSET(Curvas_cupon_cero!$A$1,1,0,COUNT(Curvas_cupon_cero!$A:$A)-2,1),OFFSET(Curvas_cupon_cero!$A$1,1,MATCH($B$7,Curvas_cupon_cero!$1:$1,0)-1,COUNT(Curvas_cupon_cero!$A:$A)-2,1))))</f>
        <v/>
      </c>
      <c r="E253" s="23" t="str">
        <f t="shared" si="22"/>
        <v/>
      </c>
      <c r="F253" s="17" t="str">
        <f t="shared" si="20"/>
        <v/>
      </c>
      <c r="G253" s="18" t="str">
        <f t="shared" si="23"/>
        <v/>
      </c>
      <c r="H253" t="str">
        <f t="shared" si="24"/>
        <v/>
      </c>
      <c r="I253" s="23" t="str">
        <f ca="1">IF(A253="","",IF($B$8="Sí",interpolar_alamb(H253,OFFSET(Curvas_cupon_cero!$A$1,1,0,COUNT(Curvas_cupon_cero!$A:$A)-2,1),OFFSET(Curvas_cupon_cero!$A$1,1,MATCH($B$6,Curvas_cupon_cero!$1:$1,0)-1,COUNT(Curvas_cupon_cero!$A:$A)-2,1)),[1]!interpolar(H253,OFFSET(Curvas_cupon_cero!$A$1,1,0,COUNT(Curvas_cupon_cero!$A:$A)-2,1),OFFSET(Curvas_cupon_cero!$A$1,1,MATCH($B$6,Curvas_cupon_cero!$1:$1,0)-1,COUNT(Curvas_cupon_cero!$A:$A)-2,1))))</f>
        <v/>
      </c>
      <c r="J253" s="19" t="str">
        <f>IF(A253="","",F253/(1+I253*$B$5/360)^(COUNT(A$16:A253)-($B$5-$G$16)/$B$5))</f>
        <v/>
      </c>
    </row>
    <row r="254" spans="1:10" x14ac:dyDescent="0.2">
      <c r="A254" s="12" t="str">
        <f t="shared" si="21"/>
        <v/>
      </c>
      <c r="B254" t="str">
        <f t="shared" si="19"/>
        <v/>
      </c>
      <c r="C254" s="21" t="str">
        <f ca="1">IF(A254="","",IF($B$8="Sí",interpolar_alamb(B254,OFFSET(Curvas_cupon_cero!$A$1,1,0,COUNT(Curvas_cupon_cero!$A:$A)-2,1),OFFSET(Curvas_cupon_cero!$A$1,1,MATCH($B$7,Curvas_cupon_cero!$1:$1,0)-1,COUNT(Curvas_cupon_cero!$A:$A)-2,1)),[1]!interpolar(B254,OFFSET(Curvas_cupon_cero!$A$1,1,0,COUNT(Curvas_cupon_cero!$A:$A)-2,1),OFFSET(Curvas_cupon_cero!$A$1,1,MATCH($B$7,Curvas_cupon_cero!$1:$1,0)-1,COUNT(Curvas_cupon_cero!$A:$A)-2,1))))</f>
        <v/>
      </c>
      <c r="D254" s="23" t="str">
        <f ca="1">IF(A254="","",IF($B$8="Sí",interpolar_alamb(H254,OFFSET(Curvas_cupon_cero!$A$1,1,0,COUNT(Curvas_cupon_cero!$A:$A)-2,1),OFFSET(Curvas_cupon_cero!$A$1,1,MATCH($B$7,Curvas_cupon_cero!$1:$1,0)-1,COUNT(Curvas_cupon_cero!$A:$A)-2,1)),[1]!interpolar(H254,OFFSET(Curvas_cupon_cero!$A$1,1,0,COUNT(Curvas_cupon_cero!$A:$A)-2,1),OFFSET(Curvas_cupon_cero!$A$1,1,MATCH($B$7,Curvas_cupon_cero!$1:$1,0)-1,COUNT(Curvas_cupon_cero!$A:$A)-2,1))))</f>
        <v/>
      </c>
      <c r="E254" s="23" t="str">
        <f t="shared" si="22"/>
        <v/>
      </c>
      <c r="F254" s="17" t="str">
        <f t="shared" si="20"/>
        <v/>
      </c>
      <c r="G254" s="18" t="str">
        <f t="shared" si="23"/>
        <v/>
      </c>
      <c r="H254" t="str">
        <f t="shared" si="24"/>
        <v/>
      </c>
      <c r="I254" s="23" t="str">
        <f ca="1">IF(A254="","",IF($B$8="Sí",interpolar_alamb(H254,OFFSET(Curvas_cupon_cero!$A$1,1,0,COUNT(Curvas_cupon_cero!$A:$A)-2,1),OFFSET(Curvas_cupon_cero!$A$1,1,MATCH($B$6,Curvas_cupon_cero!$1:$1,0)-1,COUNT(Curvas_cupon_cero!$A:$A)-2,1)),[1]!interpolar(H254,OFFSET(Curvas_cupon_cero!$A$1,1,0,COUNT(Curvas_cupon_cero!$A:$A)-2,1),OFFSET(Curvas_cupon_cero!$A$1,1,MATCH($B$6,Curvas_cupon_cero!$1:$1,0)-1,COUNT(Curvas_cupon_cero!$A:$A)-2,1))))</f>
        <v/>
      </c>
      <c r="J254" s="19" t="str">
        <f>IF(A254="","",F254/(1+I254*$B$5/360)^(COUNT(A$16:A254)-($B$5-$G$16)/$B$5))</f>
        <v/>
      </c>
    </row>
    <row r="255" spans="1:10" x14ac:dyDescent="0.2">
      <c r="A255" s="12" t="str">
        <f t="shared" si="21"/>
        <v/>
      </c>
      <c r="B255" t="str">
        <f t="shared" si="19"/>
        <v/>
      </c>
      <c r="C255" s="21" t="str">
        <f ca="1">IF(A255="","",IF($B$8="Sí",interpolar_alamb(B255,OFFSET(Curvas_cupon_cero!$A$1,1,0,COUNT(Curvas_cupon_cero!$A:$A)-2,1),OFFSET(Curvas_cupon_cero!$A$1,1,MATCH($B$7,Curvas_cupon_cero!$1:$1,0)-1,COUNT(Curvas_cupon_cero!$A:$A)-2,1)),[1]!interpolar(B255,OFFSET(Curvas_cupon_cero!$A$1,1,0,COUNT(Curvas_cupon_cero!$A:$A)-2,1),OFFSET(Curvas_cupon_cero!$A$1,1,MATCH($B$7,Curvas_cupon_cero!$1:$1,0)-1,COUNT(Curvas_cupon_cero!$A:$A)-2,1))))</f>
        <v/>
      </c>
      <c r="D255" s="23" t="str">
        <f ca="1">IF(A255="","",IF($B$8="Sí",interpolar_alamb(H255,OFFSET(Curvas_cupon_cero!$A$1,1,0,COUNT(Curvas_cupon_cero!$A:$A)-2,1),OFFSET(Curvas_cupon_cero!$A$1,1,MATCH($B$7,Curvas_cupon_cero!$1:$1,0)-1,COUNT(Curvas_cupon_cero!$A:$A)-2,1)),[1]!interpolar(H255,OFFSET(Curvas_cupon_cero!$A$1,1,0,COUNT(Curvas_cupon_cero!$A:$A)-2,1),OFFSET(Curvas_cupon_cero!$A$1,1,MATCH($B$7,Curvas_cupon_cero!$1:$1,0)-1,COUNT(Curvas_cupon_cero!$A:$A)-2,1))))</f>
        <v/>
      </c>
      <c r="E255" s="23" t="str">
        <f t="shared" si="22"/>
        <v/>
      </c>
      <c r="F255" s="17" t="str">
        <f t="shared" si="20"/>
        <v/>
      </c>
      <c r="G255" s="18" t="str">
        <f t="shared" si="23"/>
        <v/>
      </c>
      <c r="H255" t="str">
        <f t="shared" si="24"/>
        <v/>
      </c>
      <c r="I255" s="23" t="str">
        <f ca="1">IF(A255="","",IF($B$8="Sí",interpolar_alamb(H255,OFFSET(Curvas_cupon_cero!$A$1,1,0,COUNT(Curvas_cupon_cero!$A:$A)-2,1),OFFSET(Curvas_cupon_cero!$A$1,1,MATCH($B$6,Curvas_cupon_cero!$1:$1,0)-1,COUNT(Curvas_cupon_cero!$A:$A)-2,1)),[1]!interpolar(H255,OFFSET(Curvas_cupon_cero!$A$1,1,0,COUNT(Curvas_cupon_cero!$A:$A)-2,1),OFFSET(Curvas_cupon_cero!$A$1,1,MATCH($B$6,Curvas_cupon_cero!$1:$1,0)-1,COUNT(Curvas_cupon_cero!$A:$A)-2,1))))</f>
        <v/>
      </c>
      <c r="J255" s="19" t="str">
        <f>IF(A255="","",F255/(1+I255*$B$5/360)^(COUNT(A$16:A255)-($B$5-$G$16)/$B$5))</f>
        <v/>
      </c>
    </row>
    <row r="256" spans="1:10" x14ac:dyDescent="0.2">
      <c r="A256" s="12" t="str">
        <f t="shared" si="21"/>
        <v/>
      </c>
      <c r="B256" t="str">
        <f t="shared" si="19"/>
        <v/>
      </c>
      <c r="C256" s="21" t="str">
        <f ca="1">IF(A256="","",IF($B$8="Sí",interpolar_alamb(B256,OFFSET(Curvas_cupon_cero!$A$1,1,0,COUNT(Curvas_cupon_cero!$A:$A)-2,1),OFFSET(Curvas_cupon_cero!$A$1,1,MATCH($B$7,Curvas_cupon_cero!$1:$1,0)-1,COUNT(Curvas_cupon_cero!$A:$A)-2,1)),[1]!interpolar(B256,OFFSET(Curvas_cupon_cero!$A$1,1,0,COUNT(Curvas_cupon_cero!$A:$A)-2,1),OFFSET(Curvas_cupon_cero!$A$1,1,MATCH($B$7,Curvas_cupon_cero!$1:$1,0)-1,COUNT(Curvas_cupon_cero!$A:$A)-2,1))))</f>
        <v/>
      </c>
      <c r="D256" s="23" t="str">
        <f ca="1">IF(A256="","",IF($B$8="Sí",interpolar_alamb(H256,OFFSET(Curvas_cupon_cero!$A$1,1,0,COUNT(Curvas_cupon_cero!$A:$A)-2,1),OFFSET(Curvas_cupon_cero!$A$1,1,MATCH($B$7,Curvas_cupon_cero!$1:$1,0)-1,COUNT(Curvas_cupon_cero!$A:$A)-2,1)),[1]!interpolar(H256,OFFSET(Curvas_cupon_cero!$A$1,1,0,COUNT(Curvas_cupon_cero!$A:$A)-2,1),OFFSET(Curvas_cupon_cero!$A$1,1,MATCH($B$7,Curvas_cupon_cero!$1:$1,0)-1,COUNT(Curvas_cupon_cero!$A:$A)-2,1))))</f>
        <v/>
      </c>
      <c r="E256" s="23" t="str">
        <f t="shared" si="22"/>
        <v/>
      </c>
      <c r="F256" s="17" t="str">
        <f t="shared" si="20"/>
        <v/>
      </c>
      <c r="G256" s="18" t="str">
        <f t="shared" si="23"/>
        <v/>
      </c>
      <c r="H256" t="str">
        <f t="shared" si="24"/>
        <v/>
      </c>
      <c r="I256" s="23" t="str">
        <f ca="1">IF(A256="","",IF($B$8="Sí",interpolar_alamb(H256,OFFSET(Curvas_cupon_cero!$A$1,1,0,COUNT(Curvas_cupon_cero!$A:$A)-2,1),OFFSET(Curvas_cupon_cero!$A$1,1,MATCH($B$6,Curvas_cupon_cero!$1:$1,0)-1,COUNT(Curvas_cupon_cero!$A:$A)-2,1)),[1]!interpolar(H256,OFFSET(Curvas_cupon_cero!$A$1,1,0,COUNT(Curvas_cupon_cero!$A:$A)-2,1),OFFSET(Curvas_cupon_cero!$A$1,1,MATCH($B$6,Curvas_cupon_cero!$1:$1,0)-1,COUNT(Curvas_cupon_cero!$A:$A)-2,1))))</f>
        <v/>
      </c>
      <c r="J256" s="19" t="str">
        <f>IF(A256="","",F256/(1+I256*$B$5/360)^(COUNT(A$16:A256)-($B$5-$G$16)/$B$5))</f>
        <v/>
      </c>
    </row>
    <row r="257" spans="1:10" x14ac:dyDescent="0.2">
      <c r="A257" s="12" t="str">
        <f t="shared" si="21"/>
        <v/>
      </c>
      <c r="B257" t="str">
        <f t="shared" si="19"/>
        <v/>
      </c>
      <c r="C257" s="21" t="str">
        <f ca="1">IF(A257="","",IF($B$8="Sí",interpolar_alamb(B257,OFFSET(Curvas_cupon_cero!$A$1,1,0,COUNT(Curvas_cupon_cero!$A:$A)-2,1),OFFSET(Curvas_cupon_cero!$A$1,1,MATCH($B$7,Curvas_cupon_cero!$1:$1,0)-1,COUNT(Curvas_cupon_cero!$A:$A)-2,1)),[1]!interpolar(B257,OFFSET(Curvas_cupon_cero!$A$1,1,0,COUNT(Curvas_cupon_cero!$A:$A)-2,1),OFFSET(Curvas_cupon_cero!$A$1,1,MATCH($B$7,Curvas_cupon_cero!$1:$1,0)-1,COUNT(Curvas_cupon_cero!$A:$A)-2,1))))</f>
        <v/>
      </c>
      <c r="D257" s="23" t="str">
        <f ca="1">IF(A257="","",IF($B$8="Sí",interpolar_alamb(H257,OFFSET(Curvas_cupon_cero!$A$1,1,0,COUNT(Curvas_cupon_cero!$A:$A)-2,1),OFFSET(Curvas_cupon_cero!$A$1,1,MATCH($B$7,Curvas_cupon_cero!$1:$1,0)-1,COUNT(Curvas_cupon_cero!$A:$A)-2,1)),[1]!interpolar(H257,OFFSET(Curvas_cupon_cero!$A$1,1,0,COUNT(Curvas_cupon_cero!$A:$A)-2,1),OFFSET(Curvas_cupon_cero!$A$1,1,MATCH($B$7,Curvas_cupon_cero!$1:$1,0)-1,COUNT(Curvas_cupon_cero!$A:$A)-2,1))))</f>
        <v/>
      </c>
      <c r="E257" s="23" t="str">
        <f t="shared" si="22"/>
        <v/>
      </c>
      <c r="F257" s="17" t="str">
        <f t="shared" si="20"/>
        <v/>
      </c>
      <c r="G257" s="18" t="str">
        <f t="shared" si="23"/>
        <v/>
      </c>
      <c r="H257" t="str">
        <f t="shared" si="24"/>
        <v/>
      </c>
      <c r="I257" s="23" t="str">
        <f ca="1">IF(A257="","",IF($B$8="Sí",interpolar_alamb(H257,OFFSET(Curvas_cupon_cero!$A$1,1,0,COUNT(Curvas_cupon_cero!$A:$A)-2,1),OFFSET(Curvas_cupon_cero!$A$1,1,MATCH($B$6,Curvas_cupon_cero!$1:$1,0)-1,COUNT(Curvas_cupon_cero!$A:$A)-2,1)),[1]!interpolar(H257,OFFSET(Curvas_cupon_cero!$A$1,1,0,COUNT(Curvas_cupon_cero!$A:$A)-2,1),OFFSET(Curvas_cupon_cero!$A$1,1,MATCH($B$6,Curvas_cupon_cero!$1:$1,0)-1,COUNT(Curvas_cupon_cero!$A:$A)-2,1))))</f>
        <v/>
      </c>
      <c r="J257" s="19" t="str">
        <f>IF(A257="","",F257/(1+I257*$B$5/360)^(COUNT(A$16:A257)-($B$5-$G$16)/$B$5))</f>
        <v/>
      </c>
    </row>
    <row r="258" spans="1:10" x14ac:dyDescent="0.2">
      <c r="A258" s="12" t="str">
        <f t="shared" si="21"/>
        <v/>
      </c>
      <c r="B258" t="str">
        <f t="shared" si="19"/>
        <v/>
      </c>
      <c r="C258" s="21" t="str">
        <f ca="1">IF(A258="","",IF($B$8="Sí",interpolar_alamb(B258,OFFSET(Curvas_cupon_cero!$A$1,1,0,COUNT(Curvas_cupon_cero!$A:$A)-2,1),OFFSET(Curvas_cupon_cero!$A$1,1,MATCH($B$7,Curvas_cupon_cero!$1:$1,0)-1,COUNT(Curvas_cupon_cero!$A:$A)-2,1)),[1]!interpolar(B258,OFFSET(Curvas_cupon_cero!$A$1,1,0,COUNT(Curvas_cupon_cero!$A:$A)-2,1),OFFSET(Curvas_cupon_cero!$A$1,1,MATCH($B$7,Curvas_cupon_cero!$1:$1,0)-1,COUNT(Curvas_cupon_cero!$A:$A)-2,1))))</f>
        <v/>
      </c>
      <c r="D258" s="23" t="str">
        <f ca="1">IF(A258="","",IF($B$8="Sí",interpolar_alamb(H258,OFFSET(Curvas_cupon_cero!$A$1,1,0,COUNT(Curvas_cupon_cero!$A:$A)-2,1),OFFSET(Curvas_cupon_cero!$A$1,1,MATCH($B$7,Curvas_cupon_cero!$1:$1,0)-1,COUNT(Curvas_cupon_cero!$A:$A)-2,1)),[1]!interpolar(H258,OFFSET(Curvas_cupon_cero!$A$1,1,0,COUNT(Curvas_cupon_cero!$A:$A)-2,1),OFFSET(Curvas_cupon_cero!$A$1,1,MATCH($B$7,Curvas_cupon_cero!$1:$1,0)-1,COUNT(Curvas_cupon_cero!$A:$A)-2,1))))</f>
        <v/>
      </c>
      <c r="E258" s="23" t="str">
        <f t="shared" si="22"/>
        <v/>
      </c>
      <c r="F258" s="17" t="str">
        <f t="shared" si="20"/>
        <v/>
      </c>
      <c r="G258" s="18" t="str">
        <f t="shared" si="23"/>
        <v/>
      </c>
      <c r="H258" t="str">
        <f t="shared" si="24"/>
        <v/>
      </c>
      <c r="I258" s="23" t="str">
        <f ca="1">IF(A258="","",IF($B$8="Sí",interpolar_alamb(H258,OFFSET(Curvas_cupon_cero!$A$1,1,0,COUNT(Curvas_cupon_cero!$A:$A)-2,1),OFFSET(Curvas_cupon_cero!$A$1,1,MATCH($B$6,Curvas_cupon_cero!$1:$1,0)-1,COUNT(Curvas_cupon_cero!$A:$A)-2,1)),[1]!interpolar(H258,OFFSET(Curvas_cupon_cero!$A$1,1,0,COUNT(Curvas_cupon_cero!$A:$A)-2,1),OFFSET(Curvas_cupon_cero!$A$1,1,MATCH($B$6,Curvas_cupon_cero!$1:$1,0)-1,COUNT(Curvas_cupon_cero!$A:$A)-2,1))))</f>
        <v/>
      </c>
      <c r="J258" s="19" t="str">
        <f>IF(A258="","",F258/(1+I258*$B$5/360)^(COUNT(A$16:A258)-($B$5-$G$16)/$B$5))</f>
        <v/>
      </c>
    </row>
    <row r="259" spans="1:10" x14ac:dyDescent="0.2">
      <c r="A259" s="12" t="str">
        <f t="shared" si="21"/>
        <v/>
      </c>
      <c r="B259" t="str">
        <f t="shared" si="19"/>
        <v/>
      </c>
      <c r="C259" s="21" t="str">
        <f ca="1">IF(A259="","",IF($B$8="Sí",interpolar_alamb(B259,OFFSET(Curvas_cupon_cero!$A$1,1,0,COUNT(Curvas_cupon_cero!$A:$A)-2,1),OFFSET(Curvas_cupon_cero!$A$1,1,MATCH($B$7,Curvas_cupon_cero!$1:$1,0)-1,COUNT(Curvas_cupon_cero!$A:$A)-2,1)),[1]!interpolar(B259,OFFSET(Curvas_cupon_cero!$A$1,1,0,COUNT(Curvas_cupon_cero!$A:$A)-2,1),OFFSET(Curvas_cupon_cero!$A$1,1,MATCH($B$7,Curvas_cupon_cero!$1:$1,0)-1,COUNT(Curvas_cupon_cero!$A:$A)-2,1))))</f>
        <v/>
      </c>
      <c r="D259" s="23" t="str">
        <f ca="1">IF(A259="","",IF($B$8="Sí",interpolar_alamb(H259,OFFSET(Curvas_cupon_cero!$A$1,1,0,COUNT(Curvas_cupon_cero!$A:$A)-2,1),OFFSET(Curvas_cupon_cero!$A$1,1,MATCH($B$7,Curvas_cupon_cero!$1:$1,0)-1,COUNT(Curvas_cupon_cero!$A:$A)-2,1)),[1]!interpolar(H259,OFFSET(Curvas_cupon_cero!$A$1,1,0,COUNT(Curvas_cupon_cero!$A:$A)-2,1),OFFSET(Curvas_cupon_cero!$A$1,1,MATCH($B$7,Curvas_cupon_cero!$1:$1,0)-1,COUNT(Curvas_cupon_cero!$A:$A)-2,1))))</f>
        <v/>
      </c>
      <c r="E259" s="23" t="str">
        <f t="shared" si="22"/>
        <v/>
      </c>
      <c r="F259" s="17" t="str">
        <f t="shared" si="20"/>
        <v/>
      </c>
      <c r="G259" s="18" t="str">
        <f t="shared" si="23"/>
        <v/>
      </c>
      <c r="H259" t="str">
        <f t="shared" si="24"/>
        <v/>
      </c>
      <c r="I259" s="23" t="str">
        <f ca="1">IF(A259="","",IF($B$8="Sí",interpolar_alamb(H259,OFFSET(Curvas_cupon_cero!$A$1,1,0,COUNT(Curvas_cupon_cero!$A:$A)-2,1),OFFSET(Curvas_cupon_cero!$A$1,1,MATCH($B$6,Curvas_cupon_cero!$1:$1,0)-1,COUNT(Curvas_cupon_cero!$A:$A)-2,1)),[1]!interpolar(H259,OFFSET(Curvas_cupon_cero!$A$1,1,0,COUNT(Curvas_cupon_cero!$A:$A)-2,1),OFFSET(Curvas_cupon_cero!$A$1,1,MATCH($B$6,Curvas_cupon_cero!$1:$1,0)-1,COUNT(Curvas_cupon_cero!$A:$A)-2,1))))</f>
        <v/>
      </c>
      <c r="J259" s="19" t="str">
        <f>IF(A259="","",F259/(1+I259*$B$5/360)^(COUNT(A$16:A259)-($B$5-$G$16)/$B$5))</f>
        <v/>
      </c>
    </row>
    <row r="260" spans="1:10" x14ac:dyDescent="0.2">
      <c r="A260" s="12" t="str">
        <f t="shared" si="21"/>
        <v/>
      </c>
      <c r="B260" t="str">
        <f t="shared" si="19"/>
        <v/>
      </c>
      <c r="C260" s="21" t="str">
        <f ca="1">IF(A260="","",IF($B$8="Sí",interpolar_alamb(B260,OFFSET(Curvas_cupon_cero!$A$1,1,0,COUNT(Curvas_cupon_cero!$A:$A)-2,1),OFFSET(Curvas_cupon_cero!$A$1,1,MATCH($B$7,Curvas_cupon_cero!$1:$1,0)-1,COUNT(Curvas_cupon_cero!$A:$A)-2,1)),[1]!interpolar(B260,OFFSET(Curvas_cupon_cero!$A$1,1,0,COUNT(Curvas_cupon_cero!$A:$A)-2,1),OFFSET(Curvas_cupon_cero!$A$1,1,MATCH($B$7,Curvas_cupon_cero!$1:$1,0)-1,COUNT(Curvas_cupon_cero!$A:$A)-2,1))))</f>
        <v/>
      </c>
      <c r="D260" s="23" t="str">
        <f ca="1">IF(A260="","",IF($B$8="Sí",interpolar_alamb(H260,OFFSET(Curvas_cupon_cero!$A$1,1,0,COUNT(Curvas_cupon_cero!$A:$A)-2,1),OFFSET(Curvas_cupon_cero!$A$1,1,MATCH($B$7,Curvas_cupon_cero!$1:$1,0)-1,COUNT(Curvas_cupon_cero!$A:$A)-2,1)),[1]!interpolar(H260,OFFSET(Curvas_cupon_cero!$A$1,1,0,COUNT(Curvas_cupon_cero!$A:$A)-2,1),OFFSET(Curvas_cupon_cero!$A$1,1,MATCH($B$7,Curvas_cupon_cero!$1:$1,0)-1,COUNT(Curvas_cupon_cero!$A:$A)-2,1))))</f>
        <v/>
      </c>
      <c r="E260" s="23" t="str">
        <f t="shared" si="22"/>
        <v/>
      </c>
      <c r="F260" s="17" t="str">
        <f t="shared" si="20"/>
        <v/>
      </c>
      <c r="G260" s="18" t="str">
        <f t="shared" si="23"/>
        <v/>
      </c>
      <c r="H260" t="str">
        <f t="shared" si="24"/>
        <v/>
      </c>
      <c r="I260" s="23" t="str">
        <f ca="1">IF(A260="","",IF($B$8="Sí",interpolar_alamb(H260,OFFSET(Curvas_cupon_cero!$A$1,1,0,COUNT(Curvas_cupon_cero!$A:$A)-2,1),OFFSET(Curvas_cupon_cero!$A$1,1,MATCH($B$6,Curvas_cupon_cero!$1:$1,0)-1,COUNT(Curvas_cupon_cero!$A:$A)-2,1)),[1]!interpolar(H260,OFFSET(Curvas_cupon_cero!$A$1,1,0,COUNT(Curvas_cupon_cero!$A:$A)-2,1),OFFSET(Curvas_cupon_cero!$A$1,1,MATCH($B$6,Curvas_cupon_cero!$1:$1,0)-1,COUNT(Curvas_cupon_cero!$A:$A)-2,1))))</f>
        <v/>
      </c>
      <c r="J260" s="19" t="str">
        <f>IF(A260="","",F260/(1+I260*$B$5/360)^(COUNT(A$16:A260)-($B$5-$G$16)/$B$5))</f>
        <v/>
      </c>
    </row>
    <row r="261" spans="1:10" x14ac:dyDescent="0.2">
      <c r="A261" s="12" t="str">
        <f t="shared" si="21"/>
        <v/>
      </c>
      <c r="B261" t="str">
        <f t="shared" si="19"/>
        <v/>
      </c>
      <c r="C261" s="21" t="str">
        <f ca="1">IF(A261="","",IF($B$8="Sí",interpolar_alamb(B261,OFFSET(Curvas_cupon_cero!$A$1,1,0,COUNT(Curvas_cupon_cero!$A:$A)-2,1),OFFSET(Curvas_cupon_cero!$A$1,1,MATCH($B$7,Curvas_cupon_cero!$1:$1,0)-1,COUNT(Curvas_cupon_cero!$A:$A)-2,1)),[1]!interpolar(B261,OFFSET(Curvas_cupon_cero!$A$1,1,0,COUNT(Curvas_cupon_cero!$A:$A)-2,1),OFFSET(Curvas_cupon_cero!$A$1,1,MATCH($B$7,Curvas_cupon_cero!$1:$1,0)-1,COUNT(Curvas_cupon_cero!$A:$A)-2,1))))</f>
        <v/>
      </c>
      <c r="D261" s="23" t="str">
        <f ca="1">IF(A261="","",IF($B$8="Sí",interpolar_alamb(H261,OFFSET(Curvas_cupon_cero!$A$1,1,0,COUNT(Curvas_cupon_cero!$A:$A)-2,1),OFFSET(Curvas_cupon_cero!$A$1,1,MATCH($B$7,Curvas_cupon_cero!$1:$1,0)-1,COUNT(Curvas_cupon_cero!$A:$A)-2,1)),[1]!interpolar(H261,OFFSET(Curvas_cupon_cero!$A$1,1,0,COUNT(Curvas_cupon_cero!$A:$A)-2,1),OFFSET(Curvas_cupon_cero!$A$1,1,MATCH($B$7,Curvas_cupon_cero!$1:$1,0)-1,COUNT(Curvas_cupon_cero!$A:$A)-2,1))))</f>
        <v/>
      </c>
      <c r="E261" s="23" t="str">
        <f t="shared" si="22"/>
        <v/>
      </c>
      <c r="F261" s="17" t="str">
        <f t="shared" si="20"/>
        <v/>
      </c>
      <c r="G261" s="18" t="str">
        <f t="shared" si="23"/>
        <v/>
      </c>
      <c r="H261" t="str">
        <f t="shared" si="24"/>
        <v/>
      </c>
      <c r="I261" s="23" t="str">
        <f ca="1">IF(A261="","",IF($B$8="Sí",interpolar_alamb(H261,OFFSET(Curvas_cupon_cero!$A$1,1,0,COUNT(Curvas_cupon_cero!$A:$A)-2,1),OFFSET(Curvas_cupon_cero!$A$1,1,MATCH($B$6,Curvas_cupon_cero!$1:$1,0)-1,COUNT(Curvas_cupon_cero!$A:$A)-2,1)),[1]!interpolar(H261,OFFSET(Curvas_cupon_cero!$A$1,1,0,COUNT(Curvas_cupon_cero!$A:$A)-2,1),OFFSET(Curvas_cupon_cero!$A$1,1,MATCH($B$6,Curvas_cupon_cero!$1:$1,0)-1,COUNT(Curvas_cupon_cero!$A:$A)-2,1))))</f>
        <v/>
      </c>
      <c r="J261" s="19" t="str">
        <f>IF(A261="","",F261/(1+I261*$B$5/360)^(COUNT(A$16:A261)-($B$5-$G$16)/$B$5))</f>
        <v/>
      </c>
    </row>
    <row r="262" spans="1:10" x14ac:dyDescent="0.2">
      <c r="A262" s="12" t="str">
        <f t="shared" si="21"/>
        <v/>
      </c>
      <c r="B262" t="str">
        <f t="shared" si="19"/>
        <v/>
      </c>
      <c r="C262" s="21" t="str">
        <f ca="1">IF(A262="","",IF($B$8="Sí",interpolar_alamb(B262,OFFSET(Curvas_cupon_cero!$A$1,1,0,COUNT(Curvas_cupon_cero!$A:$A)-2,1),OFFSET(Curvas_cupon_cero!$A$1,1,MATCH($B$7,Curvas_cupon_cero!$1:$1,0)-1,COUNT(Curvas_cupon_cero!$A:$A)-2,1)),[1]!interpolar(B262,OFFSET(Curvas_cupon_cero!$A$1,1,0,COUNT(Curvas_cupon_cero!$A:$A)-2,1),OFFSET(Curvas_cupon_cero!$A$1,1,MATCH($B$7,Curvas_cupon_cero!$1:$1,0)-1,COUNT(Curvas_cupon_cero!$A:$A)-2,1))))</f>
        <v/>
      </c>
      <c r="D262" s="23" t="str">
        <f ca="1">IF(A262="","",IF($B$8="Sí",interpolar_alamb(H262,OFFSET(Curvas_cupon_cero!$A$1,1,0,COUNT(Curvas_cupon_cero!$A:$A)-2,1),OFFSET(Curvas_cupon_cero!$A$1,1,MATCH($B$7,Curvas_cupon_cero!$1:$1,0)-1,COUNT(Curvas_cupon_cero!$A:$A)-2,1)),[1]!interpolar(H262,OFFSET(Curvas_cupon_cero!$A$1,1,0,COUNT(Curvas_cupon_cero!$A:$A)-2,1),OFFSET(Curvas_cupon_cero!$A$1,1,MATCH($B$7,Curvas_cupon_cero!$1:$1,0)-1,COUNT(Curvas_cupon_cero!$A:$A)-2,1))))</f>
        <v/>
      </c>
      <c r="E262" s="23" t="str">
        <f t="shared" si="22"/>
        <v/>
      </c>
      <c r="F262" s="17" t="str">
        <f t="shared" si="20"/>
        <v/>
      </c>
      <c r="G262" s="18" t="str">
        <f t="shared" si="23"/>
        <v/>
      </c>
      <c r="H262" t="str">
        <f t="shared" si="24"/>
        <v/>
      </c>
      <c r="I262" s="23" t="str">
        <f ca="1">IF(A262="","",IF($B$8="Sí",interpolar_alamb(H262,OFFSET(Curvas_cupon_cero!$A$1,1,0,COUNT(Curvas_cupon_cero!$A:$A)-2,1),OFFSET(Curvas_cupon_cero!$A$1,1,MATCH($B$6,Curvas_cupon_cero!$1:$1,0)-1,COUNT(Curvas_cupon_cero!$A:$A)-2,1)),[1]!interpolar(H262,OFFSET(Curvas_cupon_cero!$A$1,1,0,COUNT(Curvas_cupon_cero!$A:$A)-2,1),OFFSET(Curvas_cupon_cero!$A$1,1,MATCH($B$6,Curvas_cupon_cero!$1:$1,0)-1,COUNT(Curvas_cupon_cero!$A:$A)-2,1))))</f>
        <v/>
      </c>
      <c r="J262" s="19" t="str">
        <f>IF(A262="","",F262/(1+I262*$B$5/360)^(COUNT(A$16:A262)-($B$5-$G$16)/$B$5))</f>
        <v/>
      </c>
    </row>
    <row r="263" spans="1:10" x14ac:dyDescent="0.2">
      <c r="A263" s="12" t="str">
        <f t="shared" si="21"/>
        <v/>
      </c>
      <c r="B263" t="str">
        <f t="shared" si="19"/>
        <v/>
      </c>
      <c r="C263" s="21" t="str">
        <f ca="1">IF(A263="","",IF($B$8="Sí",interpolar_alamb(B263,OFFSET(Curvas_cupon_cero!$A$1,1,0,COUNT(Curvas_cupon_cero!$A:$A)-2,1),OFFSET(Curvas_cupon_cero!$A$1,1,MATCH($B$7,Curvas_cupon_cero!$1:$1,0)-1,COUNT(Curvas_cupon_cero!$A:$A)-2,1)),[1]!interpolar(B263,OFFSET(Curvas_cupon_cero!$A$1,1,0,COUNT(Curvas_cupon_cero!$A:$A)-2,1),OFFSET(Curvas_cupon_cero!$A$1,1,MATCH($B$7,Curvas_cupon_cero!$1:$1,0)-1,COUNT(Curvas_cupon_cero!$A:$A)-2,1))))</f>
        <v/>
      </c>
      <c r="D263" s="23" t="str">
        <f ca="1">IF(A263="","",IF($B$8="Sí",interpolar_alamb(H263,OFFSET(Curvas_cupon_cero!$A$1,1,0,COUNT(Curvas_cupon_cero!$A:$A)-2,1),OFFSET(Curvas_cupon_cero!$A$1,1,MATCH($B$7,Curvas_cupon_cero!$1:$1,0)-1,COUNT(Curvas_cupon_cero!$A:$A)-2,1)),[1]!interpolar(H263,OFFSET(Curvas_cupon_cero!$A$1,1,0,COUNT(Curvas_cupon_cero!$A:$A)-2,1),OFFSET(Curvas_cupon_cero!$A$1,1,MATCH($B$7,Curvas_cupon_cero!$1:$1,0)-1,COUNT(Curvas_cupon_cero!$A:$A)-2,1))))</f>
        <v/>
      </c>
      <c r="E263" s="23" t="str">
        <f t="shared" si="22"/>
        <v/>
      </c>
      <c r="F263" s="17" t="str">
        <f t="shared" si="20"/>
        <v/>
      </c>
      <c r="G263" s="18" t="str">
        <f t="shared" si="23"/>
        <v/>
      </c>
      <c r="H263" t="str">
        <f t="shared" si="24"/>
        <v/>
      </c>
      <c r="I263" s="23" t="str">
        <f ca="1">IF(A263="","",IF($B$8="Sí",interpolar_alamb(H263,OFFSET(Curvas_cupon_cero!$A$1,1,0,COUNT(Curvas_cupon_cero!$A:$A)-2,1),OFFSET(Curvas_cupon_cero!$A$1,1,MATCH($B$6,Curvas_cupon_cero!$1:$1,0)-1,COUNT(Curvas_cupon_cero!$A:$A)-2,1)),[1]!interpolar(H263,OFFSET(Curvas_cupon_cero!$A$1,1,0,COUNT(Curvas_cupon_cero!$A:$A)-2,1),OFFSET(Curvas_cupon_cero!$A$1,1,MATCH($B$6,Curvas_cupon_cero!$1:$1,0)-1,COUNT(Curvas_cupon_cero!$A:$A)-2,1))))</f>
        <v/>
      </c>
      <c r="J263" s="19" t="str">
        <f>IF(A263="","",F263/(1+I263*$B$5/360)^(COUNT(A$16:A263)-($B$5-$G$16)/$B$5))</f>
        <v/>
      </c>
    </row>
    <row r="264" spans="1:10" x14ac:dyDescent="0.2">
      <c r="A264" s="12" t="str">
        <f t="shared" si="21"/>
        <v/>
      </c>
      <c r="B264" t="str">
        <f t="shared" si="19"/>
        <v/>
      </c>
      <c r="C264" s="21" t="str">
        <f ca="1">IF(A264="","",IF($B$8="Sí",interpolar_alamb(B264,OFFSET(Curvas_cupon_cero!$A$1,1,0,COUNT(Curvas_cupon_cero!$A:$A)-2,1),OFFSET(Curvas_cupon_cero!$A$1,1,MATCH($B$7,Curvas_cupon_cero!$1:$1,0)-1,COUNT(Curvas_cupon_cero!$A:$A)-2,1)),[1]!interpolar(B264,OFFSET(Curvas_cupon_cero!$A$1,1,0,COUNT(Curvas_cupon_cero!$A:$A)-2,1),OFFSET(Curvas_cupon_cero!$A$1,1,MATCH($B$7,Curvas_cupon_cero!$1:$1,0)-1,COUNT(Curvas_cupon_cero!$A:$A)-2,1))))</f>
        <v/>
      </c>
      <c r="D264" s="23" t="str">
        <f ca="1">IF(A264="","",IF($B$8="Sí",interpolar_alamb(H264,OFFSET(Curvas_cupon_cero!$A$1,1,0,COUNT(Curvas_cupon_cero!$A:$A)-2,1),OFFSET(Curvas_cupon_cero!$A$1,1,MATCH($B$7,Curvas_cupon_cero!$1:$1,0)-1,COUNT(Curvas_cupon_cero!$A:$A)-2,1)),[1]!interpolar(H264,OFFSET(Curvas_cupon_cero!$A$1,1,0,COUNT(Curvas_cupon_cero!$A:$A)-2,1),OFFSET(Curvas_cupon_cero!$A$1,1,MATCH($B$7,Curvas_cupon_cero!$1:$1,0)-1,COUNT(Curvas_cupon_cero!$A:$A)-2,1))))</f>
        <v/>
      </c>
      <c r="E264" s="23" t="str">
        <f t="shared" si="22"/>
        <v/>
      </c>
      <c r="F264" s="17" t="str">
        <f t="shared" si="20"/>
        <v/>
      </c>
      <c r="G264" s="18" t="str">
        <f t="shared" si="23"/>
        <v/>
      </c>
      <c r="H264" t="str">
        <f t="shared" si="24"/>
        <v/>
      </c>
      <c r="I264" s="23" t="str">
        <f ca="1">IF(A264="","",IF($B$8="Sí",interpolar_alamb(H264,OFFSET(Curvas_cupon_cero!$A$1,1,0,COUNT(Curvas_cupon_cero!$A:$A)-2,1),OFFSET(Curvas_cupon_cero!$A$1,1,MATCH($B$6,Curvas_cupon_cero!$1:$1,0)-1,COUNT(Curvas_cupon_cero!$A:$A)-2,1)),[1]!interpolar(H264,OFFSET(Curvas_cupon_cero!$A$1,1,0,COUNT(Curvas_cupon_cero!$A:$A)-2,1),OFFSET(Curvas_cupon_cero!$A$1,1,MATCH($B$6,Curvas_cupon_cero!$1:$1,0)-1,COUNT(Curvas_cupon_cero!$A:$A)-2,1))))</f>
        <v/>
      </c>
      <c r="J264" s="19" t="str">
        <f>IF(A264="","",F264/(1+I264*$B$5/360)^(COUNT(A$16:A264)-($B$5-$G$16)/$B$5))</f>
        <v/>
      </c>
    </row>
    <row r="265" spans="1:10" x14ac:dyDescent="0.2">
      <c r="A265" s="12" t="str">
        <f t="shared" si="21"/>
        <v/>
      </c>
      <c r="B265" t="str">
        <f t="shared" si="19"/>
        <v/>
      </c>
      <c r="C265" s="21" t="str">
        <f ca="1">IF(A265="","",IF($B$8="Sí",interpolar_alamb(B265,OFFSET(Curvas_cupon_cero!$A$1,1,0,COUNT(Curvas_cupon_cero!$A:$A)-2,1),OFFSET(Curvas_cupon_cero!$A$1,1,MATCH($B$7,Curvas_cupon_cero!$1:$1,0)-1,COUNT(Curvas_cupon_cero!$A:$A)-2,1)),[1]!interpolar(B265,OFFSET(Curvas_cupon_cero!$A$1,1,0,COUNT(Curvas_cupon_cero!$A:$A)-2,1),OFFSET(Curvas_cupon_cero!$A$1,1,MATCH($B$7,Curvas_cupon_cero!$1:$1,0)-1,COUNT(Curvas_cupon_cero!$A:$A)-2,1))))</f>
        <v/>
      </c>
      <c r="D265" s="23" t="str">
        <f ca="1">IF(A265="","",IF($B$8="Sí",interpolar_alamb(H265,OFFSET(Curvas_cupon_cero!$A$1,1,0,COUNT(Curvas_cupon_cero!$A:$A)-2,1),OFFSET(Curvas_cupon_cero!$A$1,1,MATCH($B$7,Curvas_cupon_cero!$1:$1,0)-1,COUNT(Curvas_cupon_cero!$A:$A)-2,1)),[1]!interpolar(H265,OFFSET(Curvas_cupon_cero!$A$1,1,0,COUNT(Curvas_cupon_cero!$A:$A)-2,1),OFFSET(Curvas_cupon_cero!$A$1,1,MATCH($B$7,Curvas_cupon_cero!$1:$1,0)-1,COUNT(Curvas_cupon_cero!$A:$A)-2,1))))</f>
        <v/>
      </c>
      <c r="E265" s="23" t="str">
        <f t="shared" si="22"/>
        <v/>
      </c>
      <c r="F265" s="17" t="str">
        <f t="shared" si="20"/>
        <v/>
      </c>
      <c r="G265" s="18" t="str">
        <f t="shared" si="23"/>
        <v/>
      </c>
      <c r="H265" t="str">
        <f t="shared" si="24"/>
        <v/>
      </c>
      <c r="I265" s="23" t="str">
        <f ca="1">IF(A265="","",IF($B$8="Sí",interpolar_alamb(H265,OFFSET(Curvas_cupon_cero!$A$1,1,0,COUNT(Curvas_cupon_cero!$A:$A)-2,1),OFFSET(Curvas_cupon_cero!$A$1,1,MATCH($B$6,Curvas_cupon_cero!$1:$1,0)-1,COUNT(Curvas_cupon_cero!$A:$A)-2,1)),[1]!interpolar(H265,OFFSET(Curvas_cupon_cero!$A$1,1,0,COUNT(Curvas_cupon_cero!$A:$A)-2,1),OFFSET(Curvas_cupon_cero!$A$1,1,MATCH($B$6,Curvas_cupon_cero!$1:$1,0)-1,COUNT(Curvas_cupon_cero!$A:$A)-2,1))))</f>
        <v/>
      </c>
      <c r="J265" s="19" t="str">
        <f>IF(A265="","",F265/(1+I265*$B$5/360)^(COUNT(A$16:A265)-($B$5-$G$16)/$B$5))</f>
        <v/>
      </c>
    </row>
    <row r="266" spans="1:10" x14ac:dyDescent="0.2">
      <c r="A266" s="12" t="str">
        <f t="shared" si="21"/>
        <v/>
      </c>
      <c r="B266" t="str">
        <f t="shared" si="19"/>
        <v/>
      </c>
      <c r="C266" s="21" t="str">
        <f ca="1">IF(A266="","",IF($B$8="Sí",interpolar_alamb(B266,OFFSET(Curvas_cupon_cero!$A$1,1,0,COUNT(Curvas_cupon_cero!$A:$A)-2,1),OFFSET(Curvas_cupon_cero!$A$1,1,MATCH($B$7,Curvas_cupon_cero!$1:$1,0)-1,COUNT(Curvas_cupon_cero!$A:$A)-2,1)),[1]!interpolar(B266,OFFSET(Curvas_cupon_cero!$A$1,1,0,COUNT(Curvas_cupon_cero!$A:$A)-2,1),OFFSET(Curvas_cupon_cero!$A$1,1,MATCH($B$7,Curvas_cupon_cero!$1:$1,0)-1,COUNT(Curvas_cupon_cero!$A:$A)-2,1))))</f>
        <v/>
      </c>
      <c r="D266" s="23" t="str">
        <f ca="1">IF(A266="","",IF($B$8="Sí",interpolar_alamb(H266,OFFSET(Curvas_cupon_cero!$A$1,1,0,COUNT(Curvas_cupon_cero!$A:$A)-2,1),OFFSET(Curvas_cupon_cero!$A$1,1,MATCH($B$7,Curvas_cupon_cero!$1:$1,0)-1,COUNT(Curvas_cupon_cero!$A:$A)-2,1)),[1]!interpolar(H266,OFFSET(Curvas_cupon_cero!$A$1,1,0,COUNT(Curvas_cupon_cero!$A:$A)-2,1),OFFSET(Curvas_cupon_cero!$A$1,1,MATCH($B$7,Curvas_cupon_cero!$1:$1,0)-1,COUNT(Curvas_cupon_cero!$A:$A)-2,1))))</f>
        <v/>
      </c>
      <c r="E266" s="23" t="str">
        <f t="shared" si="22"/>
        <v/>
      </c>
      <c r="F266" s="17" t="str">
        <f t="shared" si="20"/>
        <v/>
      </c>
      <c r="G266" s="18" t="str">
        <f t="shared" si="23"/>
        <v/>
      </c>
      <c r="H266" t="str">
        <f t="shared" si="24"/>
        <v/>
      </c>
      <c r="I266" s="23" t="str">
        <f ca="1">IF(A266="","",IF($B$8="Sí",interpolar_alamb(H266,OFFSET(Curvas_cupon_cero!$A$1,1,0,COUNT(Curvas_cupon_cero!$A:$A)-2,1),OFFSET(Curvas_cupon_cero!$A$1,1,MATCH($B$6,Curvas_cupon_cero!$1:$1,0)-1,COUNT(Curvas_cupon_cero!$A:$A)-2,1)),[1]!interpolar(H266,OFFSET(Curvas_cupon_cero!$A$1,1,0,COUNT(Curvas_cupon_cero!$A:$A)-2,1),OFFSET(Curvas_cupon_cero!$A$1,1,MATCH($B$6,Curvas_cupon_cero!$1:$1,0)-1,COUNT(Curvas_cupon_cero!$A:$A)-2,1))))</f>
        <v/>
      </c>
      <c r="J266" s="19" t="str">
        <f>IF(A266="","",F266/(1+I266*$B$5/360)^(COUNT(A$16:A266)-($B$5-$G$16)/$B$5))</f>
        <v/>
      </c>
    </row>
    <row r="267" spans="1:10" x14ac:dyDescent="0.2">
      <c r="A267" s="12" t="str">
        <f t="shared" si="21"/>
        <v/>
      </c>
      <c r="B267" t="str">
        <f t="shared" si="19"/>
        <v/>
      </c>
      <c r="C267" s="21" t="str">
        <f ca="1">IF(A267="","",IF($B$8="Sí",interpolar_alamb(B267,OFFSET(Curvas_cupon_cero!$A$1,1,0,COUNT(Curvas_cupon_cero!$A:$A)-2,1),OFFSET(Curvas_cupon_cero!$A$1,1,MATCH($B$7,Curvas_cupon_cero!$1:$1,0)-1,COUNT(Curvas_cupon_cero!$A:$A)-2,1)),[1]!interpolar(B267,OFFSET(Curvas_cupon_cero!$A$1,1,0,COUNT(Curvas_cupon_cero!$A:$A)-2,1),OFFSET(Curvas_cupon_cero!$A$1,1,MATCH($B$7,Curvas_cupon_cero!$1:$1,0)-1,COUNT(Curvas_cupon_cero!$A:$A)-2,1))))</f>
        <v/>
      </c>
      <c r="D267" s="23" t="str">
        <f ca="1">IF(A267="","",IF($B$8="Sí",interpolar_alamb(H267,OFFSET(Curvas_cupon_cero!$A$1,1,0,COUNT(Curvas_cupon_cero!$A:$A)-2,1),OFFSET(Curvas_cupon_cero!$A$1,1,MATCH($B$7,Curvas_cupon_cero!$1:$1,0)-1,COUNT(Curvas_cupon_cero!$A:$A)-2,1)),[1]!interpolar(H267,OFFSET(Curvas_cupon_cero!$A$1,1,0,COUNT(Curvas_cupon_cero!$A:$A)-2,1),OFFSET(Curvas_cupon_cero!$A$1,1,MATCH($B$7,Curvas_cupon_cero!$1:$1,0)-1,COUNT(Curvas_cupon_cero!$A:$A)-2,1))))</f>
        <v/>
      </c>
      <c r="E267" s="23" t="str">
        <f t="shared" si="22"/>
        <v/>
      </c>
      <c r="F267" s="17" t="str">
        <f t="shared" si="20"/>
        <v/>
      </c>
      <c r="G267" s="18" t="str">
        <f t="shared" si="23"/>
        <v/>
      </c>
      <c r="H267" t="str">
        <f t="shared" si="24"/>
        <v/>
      </c>
      <c r="I267" s="23" t="str">
        <f ca="1">IF(A267="","",IF($B$8="Sí",interpolar_alamb(H267,OFFSET(Curvas_cupon_cero!$A$1,1,0,COUNT(Curvas_cupon_cero!$A:$A)-2,1),OFFSET(Curvas_cupon_cero!$A$1,1,MATCH($B$6,Curvas_cupon_cero!$1:$1,0)-1,COUNT(Curvas_cupon_cero!$A:$A)-2,1)),[1]!interpolar(H267,OFFSET(Curvas_cupon_cero!$A$1,1,0,COUNT(Curvas_cupon_cero!$A:$A)-2,1),OFFSET(Curvas_cupon_cero!$A$1,1,MATCH($B$6,Curvas_cupon_cero!$1:$1,0)-1,COUNT(Curvas_cupon_cero!$A:$A)-2,1))))</f>
        <v/>
      </c>
      <c r="J267" s="19" t="str">
        <f>IF(A267="","",F267/(1+I267*$B$5/360)^(COUNT(A$16:A267)-($B$5-$G$16)/$B$5))</f>
        <v/>
      </c>
    </row>
    <row r="268" spans="1:10" x14ac:dyDescent="0.2">
      <c r="A268" s="12" t="str">
        <f t="shared" si="21"/>
        <v/>
      </c>
      <c r="B268" t="str">
        <f t="shared" si="19"/>
        <v/>
      </c>
      <c r="C268" s="21" t="str">
        <f ca="1">IF(A268="","",IF($B$8="Sí",interpolar_alamb(B268,OFFSET(Curvas_cupon_cero!$A$1,1,0,COUNT(Curvas_cupon_cero!$A:$A)-2,1),OFFSET(Curvas_cupon_cero!$A$1,1,MATCH($B$7,Curvas_cupon_cero!$1:$1,0)-1,COUNT(Curvas_cupon_cero!$A:$A)-2,1)),[1]!interpolar(B268,OFFSET(Curvas_cupon_cero!$A$1,1,0,COUNT(Curvas_cupon_cero!$A:$A)-2,1),OFFSET(Curvas_cupon_cero!$A$1,1,MATCH($B$7,Curvas_cupon_cero!$1:$1,0)-1,COUNT(Curvas_cupon_cero!$A:$A)-2,1))))</f>
        <v/>
      </c>
      <c r="D268" s="23" t="str">
        <f ca="1">IF(A268="","",IF($B$8="Sí",interpolar_alamb(H268,OFFSET(Curvas_cupon_cero!$A$1,1,0,COUNT(Curvas_cupon_cero!$A:$A)-2,1),OFFSET(Curvas_cupon_cero!$A$1,1,MATCH($B$7,Curvas_cupon_cero!$1:$1,0)-1,COUNT(Curvas_cupon_cero!$A:$A)-2,1)),[1]!interpolar(H268,OFFSET(Curvas_cupon_cero!$A$1,1,0,COUNT(Curvas_cupon_cero!$A:$A)-2,1),OFFSET(Curvas_cupon_cero!$A$1,1,MATCH($B$7,Curvas_cupon_cero!$1:$1,0)-1,COUNT(Curvas_cupon_cero!$A:$A)-2,1))))</f>
        <v/>
      </c>
      <c r="E268" s="23" t="str">
        <f t="shared" si="22"/>
        <v/>
      </c>
      <c r="F268" s="17" t="str">
        <f t="shared" si="20"/>
        <v/>
      </c>
      <c r="G268" s="18" t="str">
        <f t="shared" si="23"/>
        <v/>
      </c>
      <c r="H268" t="str">
        <f t="shared" si="24"/>
        <v/>
      </c>
      <c r="I268" s="23" t="str">
        <f ca="1">IF(A268="","",IF($B$8="Sí",interpolar_alamb(H268,OFFSET(Curvas_cupon_cero!$A$1,1,0,COUNT(Curvas_cupon_cero!$A:$A)-2,1),OFFSET(Curvas_cupon_cero!$A$1,1,MATCH($B$6,Curvas_cupon_cero!$1:$1,0)-1,COUNT(Curvas_cupon_cero!$A:$A)-2,1)),[1]!interpolar(H268,OFFSET(Curvas_cupon_cero!$A$1,1,0,COUNT(Curvas_cupon_cero!$A:$A)-2,1),OFFSET(Curvas_cupon_cero!$A$1,1,MATCH($B$6,Curvas_cupon_cero!$1:$1,0)-1,COUNT(Curvas_cupon_cero!$A:$A)-2,1))))</f>
        <v/>
      </c>
      <c r="J268" s="19" t="str">
        <f>IF(A268="","",F268/(1+I268*$B$5/360)^(COUNT(A$16:A268)-($B$5-$G$16)/$B$5))</f>
        <v/>
      </c>
    </row>
    <row r="269" spans="1:10" x14ac:dyDescent="0.2">
      <c r="A269" s="12" t="str">
        <f t="shared" si="21"/>
        <v/>
      </c>
      <c r="B269" t="str">
        <f t="shared" si="19"/>
        <v/>
      </c>
      <c r="C269" s="21" t="str">
        <f ca="1">IF(A269="","",IF($B$8="Sí",interpolar_alamb(B269,OFFSET(Curvas_cupon_cero!$A$1,1,0,COUNT(Curvas_cupon_cero!$A:$A)-2,1),OFFSET(Curvas_cupon_cero!$A$1,1,MATCH($B$7,Curvas_cupon_cero!$1:$1,0)-1,COUNT(Curvas_cupon_cero!$A:$A)-2,1)),[1]!interpolar(B269,OFFSET(Curvas_cupon_cero!$A$1,1,0,COUNT(Curvas_cupon_cero!$A:$A)-2,1),OFFSET(Curvas_cupon_cero!$A$1,1,MATCH($B$7,Curvas_cupon_cero!$1:$1,0)-1,COUNT(Curvas_cupon_cero!$A:$A)-2,1))))</f>
        <v/>
      </c>
      <c r="D269" s="23" t="str">
        <f ca="1">IF(A269="","",IF($B$8="Sí",interpolar_alamb(H269,OFFSET(Curvas_cupon_cero!$A$1,1,0,COUNT(Curvas_cupon_cero!$A:$A)-2,1),OFFSET(Curvas_cupon_cero!$A$1,1,MATCH($B$7,Curvas_cupon_cero!$1:$1,0)-1,COUNT(Curvas_cupon_cero!$A:$A)-2,1)),[1]!interpolar(H269,OFFSET(Curvas_cupon_cero!$A$1,1,0,COUNT(Curvas_cupon_cero!$A:$A)-2,1),OFFSET(Curvas_cupon_cero!$A$1,1,MATCH($B$7,Curvas_cupon_cero!$1:$1,0)-1,COUNT(Curvas_cupon_cero!$A:$A)-2,1))))</f>
        <v/>
      </c>
      <c r="E269" s="23" t="str">
        <f t="shared" si="22"/>
        <v/>
      </c>
      <c r="F269" s="17" t="str">
        <f t="shared" si="20"/>
        <v/>
      </c>
      <c r="G269" s="18" t="str">
        <f t="shared" si="23"/>
        <v/>
      </c>
      <c r="H269" t="str">
        <f t="shared" si="24"/>
        <v/>
      </c>
      <c r="I269" s="23" t="str">
        <f ca="1">IF(A269="","",IF($B$8="Sí",interpolar_alamb(H269,OFFSET(Curvas_cupon_cero!$A$1,1,0,COUNT(Curvas_cupon_cero!$A:$A)-2,1),OFFSET(Curvas_cupon_cero!$A$1,1,MATCH($B$6,Curvas_cupon_cero!$1:$1,0)-1,COUNT(Curvas_cupon_cero!$A:$A)-2,1)),[1]!interpolar(H269,OFFSET(Curvas_cupon_cero!$A$1,1,0,COUNT(Curvas_cupon_cero!$A:$A)-2,1),OFFSET(Curvas_cupon_cero!$A$1,1,MATCH($B$6,Curvas_cupon_cero!$1:$1,0)-1,COUNT(Curvas_cupon_cero!$A:$A)-2,1))))</f>
        <v/>
      </c>
      <c r="J269" s="19" t="str">
        <f>IF(A269="","",F269/(1+I269*$B$5/360)^(COUNT(A$16:A269)-($B$5-$G$16)/$B$5))</f>
        <v/>
      </c>
    </row>
    <row r="270" spans="1:10" x14ac:dyDescent="0.2">
      <c r="A270" s="12" t="str">
        <f t="shared" si="21"/>
        <v/>
      </c>
      <c r="B270" t="str">
        <f t="shared" ref="B270:B333" si="25">IF(A270="","",MAX(H270-$B$5,0))</f>
        <v/>
      </c>
      <c r="C270" s="21" t="str">
        <f ca="1">IF(A270="","",IF($B$8="Sí",interpolar_alamb(B270,OFFSET(Curvas_cupon_cero!$A$1,1,0,COUNT(Curvas_cupon_cero!$A:$A)-2,1),OFFSET(Curvas_cupon_cero!$A$1,1,MATCH($B$7,Curvas_cupon_cero!$1:$1,0)-1,COUNT(Curvas_cupon_cero!$A:$A)-2,1)),[1]!interpolar(B270,OFFSET(Curvas_cupon_cero!$A$1,1,0,COUNT(Curvas_cupon_cero!$A:$A)-2,1),OFFSET(Curvas_cupon_cero!$A$1,1,MATCH($B$7,Curvas_cupon_cero!$1:$1,0)-1,COUNT(Curvas_cupon_cero!$A:$A)-2,1))))</f>
        <v/>
      </c>
      <c r="D270" s="23" t="str">
        <f ca="1">IF(A270="","",IF($B$8="Sí",interpolar_alamb(H270,OFFSET(Curvas_cupon_cero!$A$1,1,0,COUNT(Curvas_cupon_cero!$A:$A)-2,1),OFFSET(Curvas_cupon_cero!$A$1,1,MATCH($B$7,Curvas_cupon_cero!$1:$1,0)-1,COUNT(Curvas_cupon_cero!$A:$A)-2,1)),[1]!interpolar(H270,OFFSET(Curvas_cupon_cero!$A$1,1,0,COUNT(Curvas_cupon_cero!$A:$A)-2,1),OFFSET(Curvas_cupon_cero!$A$1,1,MATCH($B$7,Curvas_cupon_cero!$1:$1,0)-1,COUNT(Curvas_cupon_cero!$A:$A)-2,1))))</f>
        <v/>
      </c>
      <c r="E270" s="23" t="str">
        <f t="shared" si="22"/>
        <v/>
      </c>
      <c r="F270" s="17" t="str">
        <f t="shared" ref="F270:F333" si="26">IF(A270="","",IF(A270=$B$4,$B$1*$B$2+E270*$B$5/360*$B$1*$B$2, E270*$B$5/360*$B$1*$B$2))</f>
        <v/>
      </c>
      <c r="G270" s="18" t="str">
        <f t="shared" si="23"/>
        <v/>
      </c>
      <c r="H270" t="str">
        <f t="shared" si="24"/>
        <v/>
      </c>
      <c r="I270" s="23" t="str">
        <f ca="1">IF(A270="","",IF($B$8="Sí",interpolar_alamb(H270,OFFSET(Curvas_cupon_cero!$A$1,1,0,COUNT(Curvas_cupon_cero!$A:$A)-2,1),OFFSET(Curvas_cupon_cero!$A$1,1,MATCH($B$6,Curvas_cupon_cero!$1:$1,0)-1,COUNT(Curvas_cupon_cero!$A:$A)-2,1)),[1]!interpolar(H270,OFFSET(Curvas_cupon_cero!$A$1,1,0,COUNT(Curvas_cupon_cero!$A:$A)-2,1),OFFSET(Curvas_cupon_cero!$A$1,1,MATCH($B$6,Curvas_cupon_cero!$1:$1,0)-1,COUNT(Curvas_cupon_cero!$A:$A)-2,1))))</f>
        <v/>
      </c>
      <c r="J270" s="19" t="str">
        <f>IF(A270="","",F270/(1+I270*$B$5/360)^(COUNT(A$16:A270)-($B$5-$G$16)/$B$5))</f>
        <v/>
      </c>
    </row>
    <row r="271" spans="1:10" x14ac:dyDescent="0.2">
      <c r="A271" s="12" t="str">
        <f t="shared" ref="A271:A334" si="27">IF(A270="","",IF((A270+$B$5)&gt;$B$4,"",(A270+$B$5)))</f>
        <v/>
      </c>
      <c r="B271" t="str">
        <f t="shared" si="25"/>
        <v/>
      </c>
      <c r="C271" s="21" t="str">
        <f ca="1">IF(A271="","",IF($B$8="Sí",interpolar_alamb(B271,OFFSET(Curvas_cupon_cero!$A$1,1,0,COUNT(Curvas_cupon_cero!$A:$A)-2,1),OFFSET(Curvas_cupon_cero!$A$1,1,MATCH($B$7,Curvas_cupon_cero!$1:$1,0)-1,COUNT(Curvas_cupon_cero!$A:$A)-2,1)),[1]!interpolar(B271,OFFSET(Curvas_cupon_cero!$A$1,1,0,COUNT(Curvas_cupon_cero!$A:$A)-2,1),OFFSET(Curvas_cupon_cero!$A$1,1,MATCH($B$7,Curvas_cupon_cero!$1:$1,0)-1,COUNT(Curvas_cupon_cero!$A:$A)-2,1))))</f>
        <v/>
      </c>
      <c r="D271" s="23" t="str">
        <f ca="1">IF(A271="","",IF($B$8="Sí",interpolar_alamb(H271,OFFSET(Curvas_cupon_cero!$A$1,1,0,COUNT(Curvas_cupon_cero!$A:$A)-2,1),OFFSET(Curvas_cupon_cero!$A$1,1,MATCH($B$7,Curvas_cupon_cero!$1:$1,0)-1,COUNT(Curvas_cupon_cero!$A:$A)-2,1)),[1]!interpolar(H271,OFFSET(Curvas_cupon_cero!$A$1,1,0,COUNT(Curvas_cupon_cero!$A:$A)-2,1),OFFSET(Curvas_cupon_cero!$A$1,1,MATCH($B$7,Curvas_cupon_cero!$1:$1,0)-1,COUNT(Curvas_cupon_cero!$A:$A)-2,1))))</f>
        <v/>
      </c>
      <c r="E271" s="23" t="str">
        <f t="shared" ref="E271:E334" si="28">IF(A271="","",((1+D271*H271/360)/(1+C271*B271/360)-1)*(360/(H271-B271)))</f>
        <v/>
      </c>
      <c r="F271" s="17" t="str">
        <f t="shared" si="26"/>
        <v/>
      </c>
      <c r="G271" s="18" t="str">
        <f t="shared" ref="G271:G334" si="29">IF(A271="","",$B$5)</f>
        <v/>
      </c>
      <c r="H271" t="str">
        <f t="shared" ref="H271:H334" si="30">IF(A271="","",H270+G271)</f>
        <v/>
      </c>
      <c r="I271" s="23" t="str">
        <f ca="1">IF(A271="","",IF($B$8="Sí",interpolar_alamb(H271,OFFSET(Curvas_cupon_cero!$A$1,1,0,COUNT(Curvas_cupon_cero!$A:$A)-2,1),OFFSET(Curvas_cupon_cero!$A$1,1,MATCH($B$6,Curvas_cupon_cero!$1:$1,0)-1,COUNT(Curvas_cupon_cero!$A:$A)-2,1)),[1]!interpolar(H271,OFFSET(Curvas_cupon_cero!$A$1,1,0,COUNT(Curvas_cupon_cero!$A:$A)-2,1),OFFSET(Curvas_cupon_cero!$A$1,1,MATCH($B$6,Curvas_cupon_cero!$1:$1,0)-1,COUNT(Curvas_cupon_cero!$A:$A)-2,1))))</f>
        <v/>
      </c>
      <c r="J271" s="19" t="str">
        <f>IF(A271="","",F271/(1+I271*$B$5/360)^(COUNT(A$16:A271)-($B$5-$G$16)/$B$5))</f>
        <v/>
      </c>
    </row>
    <row r="272" spans="1:10" x14ac:dyDescent="0.2">
      <c r="A272" s="12" t="str">
        <f t="shared" si="27"/>
        <v/>
      </c>
      <c r="B272" t="str">
        <f t="shared" si="25"/>
        <v/>
      </c>
      <c r="C272" s="21" t="str">
        <f ca="1">IF(A272="","",IF($B$8="Sí",interpolar_alamb(B272,OFFSET(Curvas_cupon_cero!$A$1,1,0,COUNT(Curvas_cupon_cero!$A:$A)-2,1),OFFSET(Curvas_cupon_cero!$A$1,1,MATCH($B$7,Curvas_cupon_cero!$1:$1,0)-1,COUNT(Curvas_cupon_cero!$A:$A)-2,1)),[1]!interpolar(B272,OFFSET(Curvas_cupon_cero!$A$1,1,0,COUNT(Curvas_cupon_cero!$A:$A)-2,1),OFFSET(Curvas_cupon_cero!$A$1,1,MATCH($B$7,Curvas_cupon_cero!$1:$1,0)-1,COUNT(Curvas_cupon_cero!$A:$A)-2,1))))</f>
        <v/>
      </c>
      <c r="D272" s="23" t="str">
        <f ca="1">IF(A272="","",IF($B$8="Sí",interpolar_alamb(H272,OFFSET(Curvas_cupon_cero!$A$1,1,0,COUNT(Curvas_cupon_cero!$A:$A)-2,1),OFFSET(Curvas_cupon_cero!$A$1,1,MATCH($B$7,Curvas_cupon_cero!$1:$1,0)-1,COUNT(Curvas_cupon_cero!$A:$A)-2,1)),[1]!interpolar(H272,OFFSET(Curvas_cupon_cero!$A$1,1,0,COUNT(Curvas_cupon_cero!$A:$A)-2,1),OFFSET(Curvas_cupon_cero!$A$1,1,MATCH($B$7,Curvas_cupon_cero!$1:$1,0)-1,COUNT(Curvas_cupon_cero!$A:$A)-2,1))))</f>
        <v/>
      </c>
      <c r="E272" s="23" t="str">
        <f t="shared" si="28"/>
        <v/>
      </c>
      <c r="F272" s="17" t="str">
        <f t="shared" si="26"/>
        <v/>
      </c>
      <c r="G272" s="18" t="str">
        <f t="shared" si="29"/>
        <v/>
      </c>
      <c r="H272" t="str">
        <f t="shared" si="30"/>
        <v/>
      </c>
      <c r="I272" s="23" t="str">
        <f ca="1">IF(A272="","",IF($B$8="Sí",interpolar_alamb(H272,OFFSET(Curvas_cupon_cero!$A$1,1,0,COUNT(Curvas_cupon_cero!$A:$A)-2,1),OFFSET(Curvas_cupon_cero!$A$1,1,MATCH($B$6,Curvas_cupon_cero!$1:$1,0)-1,COUNT(Curvas_cupon_cero!$A:$A)-2,1)),[1]!interpolar(H272,OFFSET(Curvas_cupon_cero!$A$1,1,0,COUNT(Curvas_cupon_cero!$A:$A)-2,1),OFFSET(Curvas_cupon_cero!$A$1,1,MATCH($B$6,Curvas_cupon_cero!$1:$1,0)-1,COUNT(Curvas_cupon_cero!$A:$A)-2,1))))</f>
        <v/>
      </c>
      <c r="J272" s="19" t="str">
        <f>IF(A272="","",F272/(1+I272*$B$5/360)^(COUNT(A$16:A272)-($B$5-$G$16)/$B$5))</f>
        <v/>
      </c>
    </row>
    <row r="273" spans="1:10" x14ac:dyDescent="0.2">
      <c r="A273" s="12" t="str">
        <f t="shared" si="27"/>
        <v/>
      </c>
      <c r="B273" t="str">
        <f t="shared" si="25"/>
        <v/>
      </c>
      <c r="C273" s="21" t="str">
        <f ca="1">IF(A273="","",IF($B$8="Sí",interpolar_alamb(B273,OFFSET(Curvas_cupon_cero!$A$1,1,0,COUNT(Curvas_cupon_cero!$A:$A)-2,1),OFFSET(Curvas_cupon_cero!$A$1,1,MATCH($B$7,Curvas_cupon_cero!$1:$1,0)-1,COUNT(Curvas_cupon_cero!$A:$A)-2,1)),[1]!interpolar(B273,OFFSET(Curvas_cupon_cero!$A$1,1,0,COUNT(Curvas_cupon_cero!$A:$A)-2,1),OFFSET(Curvas_cupon_cero!$A$1,1,MATCH($B$7,Curvas_cupon_cero!$1:$1,0)-1,COUNT(Curvas_cupon_cero!$A:$A)-2,1))))</f>
        <v/>
      </c>
      <c r="D273" s="23" t="str">
        <f ca="1">IF(A273="","",IF($B$8="Sí",interpolar_alamb(H273,OFFSET(Curvas_cupon_cero!$A$1,1,0,COUNT(Curvas_cupon_cero!$A:$A)-2,1),OFFSET(Curvas_cupon_cero!$A$1,1,MATCH($B$7,Curvas_cupon_cero!$1:$1,0)-1,COUNT(Curvas_cupon_cero!$A:$A)-2,1)),[1]!interpolar(H273,OFFSET(Curvas_cupon_cero!$A$1,1,0,COUNT(Curvas_cupon_cero!$A:$A)-2,1),OFFSET(Curvas_cupon_cero!$A$1,1,MATCH($B$7,Curvas_cupon_cero!$1:$1,0)-1,COUNT(Curvas_cupon_cero!$A:$A)-2,1))))</f>
        <v/>
      </c>
      <c r="E273" s="23" t="str">
        <f t="shared" si="28"/>
        <v/>
      </c>
      <c r="F273" s="17" t="str">
        <f t="shared" si="26"/>
        <v/>
      </c>
      <c r="G273" s="18" t="str">
        <f t="shared" si="29"/>
        <v/>
      </c>
      <c r="H273" t="str">
        <f t="shared" si="30"/>
        <v/>
      </c>
      <c r="I273" s="23" t="str">
        <f ca="1">IF(A273="","",IF($B$8="Sí",interpolar_alamb(H273,OFFSET(Curvas_cupon_cero!$A$1,1,0,COUNT(Curvas_cupon_cero!$A:$A)-2,1),OFFSET(Curvas_cupon_cero!$A$1,1,MATCH($B$6,Curvas_cupon_cero!$1:$1,0)-1,COUNT(Curvas_cupon_cero!$A:$A)-2,1)),[1]!interpolar(H273,OFFSET(Curvas_cupon_cero!$A$1,1,0,COUNT(Curvas_cupon_cero!$A:$A)-2,1),OFFSET(Curvas_cupon_cero!$A$1,1,MATCH($B$6,Curvas_cupon_cero!$1:$1,0)-1,COUNT(Curvas_cupon_cero!$A:$A)-2,1))))</f>
        <v/>
      </c>
      <c r="J273" s="19" t="str">
        <f>IF(A273="","",F273/(1+I273*$B$5/360)^(COUNT(A$16:A273)-($B$5-$G$16)/$B$5))</f>
        <v/>
      </c>
    </row>
    <row r="274" spans="1:10" x14ac:dyDescent="0.2">
      <c r="A274" s="12" t="str">
        <f t="shared" si="27"/>
        <v/>
      </c>
      <c r="B274" t="str">
        <f t="shared" si="25"/>
        <v/>
      </c>
      <c r="C274" s="21" t="str">
        <f ca="1">IF(A274="","",IF($B$8="Sí",interpolar_alamb(B274,OFFSET(Curvas_cupon_cero!$A$1,1,0,COUNT(Curvas_cupon_cero!$A:$A)-2,1),OFFSET(Curvas_cupon_cero!$A$1,1,MATCH($B$7,Curvas_cupon_cero!$1:$1,0)-1,COUNT(Curvas_cupon_cero!$A:$A)-2,1)),[1]!interpolar(B274,OFFSET(Curvas_cupon_cero!$A$1,1,0,COUNT(Curvas_cupon_cero!$A:$A)-2,1),OFFSET(Curvas_cupon_cero!$A$1,1,MATCH($B$7,Curvas_cupon_cero!$1:$1,0)-1,COUNT(Curvas_cupon_cero!$A:$A)-2,1))))</f>
        <v/>
      </c>
      <c r="D274" s="23" t="str">
        <f ca="1">IF(A274="","",IF($B$8="Sí",interpolar_alamb(H274,OFFSET(Curvas_cupon_cero!$A$1,1,0,COUNT(Curvas_cupon_cero!$A:$A)-2,1),OFFSET(Curvas_cupon_cero!$A$1,1,MATCH($B$7,Curvas_cupon_cero!$1:$1,0)-1,COUNT(Curvas_cupon_cero!$A:$A)-2,1)),[1]!interpolar(H274,OFFSET(Curvas_cupon_cero!$A$1,1,0,COUNT(Curvas_cupon_cero!$A:$A)-2,1),OFFSET(Curvas_cupon_cero!$A$1,1,MATCH($B$7,Curvas_cupon_cero!$1:$1,0)-1,COUNT(Curvas_cupon_cero!$A:$A)-2,1))))</f>
        <v/>
      </c>
      <c r="E274" s="23" t="str">
        <f t="shared" si="28"/>
        <v/>
      </c>
      <c r="F274" s="17" t="str">
        <f t="shared" si="26"/>
        <v/>
      </c>
      <c r="G274" s="18" t="str">
        <f t="shared" si="29"/>
        <v/>
      </c>
      <c r="H274" t="str">
        <f t="shared" si="30"/>
        <v/>
      </c>
      <c r="I274" s="23" t="str">
        <f ca="1">IF(A274="","",IF($B$8="Sí",interpolar_alamb(H274,OFFSET(Curvas_cupon_cero!$A$1,1,0,COUNT(Curvas_cupon_cero!$A:$A)-2,1),OFFSET(Curvas_cupon_cero!$A$1,1,MATCH($B$6,Curvas_cupon_cero!$1:$1,0)-1,COUNT(Curvas_cupon_cero!$A:$A)-2,1)),[1]!interpolar(H274,OFFSET(Curvas_cupon_cero!$A$1,1,0,COUNT(Curvas_cupon_cero!$A:$A)-2,1),OFFSET(Curvas_cupon_cero!$A$1,1,MATCH($B$6,Curvas_cupon_cero!$1:$1,0)-1,COUNT(Curvas_cupon_cero!$A:$A)-2,1))))</f>
        <v/>
      </c>
      <c r="J274" s="19" t="str">
        <f>IF(A274="","",F274/(1+I274*$B$5/360)^(COUNT(A$16:A274)-($B$5-$G$16)/$B$5))</f>
        <v/>
      </c>
    </row>
    <row r="275" spans="1:10" x14ac:dyDescent="0.2">
      <c r="A275" s="12" t="str">
        <f t="shared" si="27"/>
        <v/>
      </c>
      <c r="B275" t="str">
        <f t="shared" si="25"/>
        <v/>
      </c>
      <c r="C275" s="21" t="str">
        <f ca="1">IF(A275="","",IF($B$8="Sí",interpolar_alamb(B275,OFFSET(Curvas_cupon_cero!$A$1,1,0,COUNT(Curvas_cupon_cero!$A:$A)-2,1),OFFSET(Curvas_cupon_cero!$A$1,1,MATCH($B$7,Curvas_cupon_cero!$1:$1,0)-1,COUNT(Curvas_cupon_cero!$A:$A)-2,1)),[1]!interpolar(B275,OFFSET(Curvas_cupon_cero!$A$1,1,0,COUNT(Curvas_cupon_cero!$A:$A)-2,1),OFFSET(Curvas_cupon_cero!$A$1,1,MATCH($B$7,Curvas_cupon_cero!$1:$1,0)-1,COUNT(Curvas_cupon_cero!$A:$A)-2,1))))</f>
        <v/>
      </c>
      <c r="D275" s="23" t="str">
        <f ca="1">IF(A275="","",IF($B$8="Sí",interpolar_alamb(H275,OFFSET(Curvas_cupon_cero!$A$1,1,0,COUNT(Curvas_cupon_cero!$A:$A)-2,1),OFFSET(Curvas_cupon_cero!$A$1,1,MATCH($B$7,Curvas_cupon_cero!$1:$1,0)-1,COUNT(Curvas_cupon_cero!$A:$A)-2,1)),[1]!interpolar(H275,OFFSET(Curvas_cupon_cero!$A$1,1,0,COUNT(Curvas_cupon_cero!$A:$A)-2,1),OFFSET(Curvas_cupon_cero!$A$1,1,MATCH($B$7,Curvas_cupon_cero!$1:$1,0)-1,COUNT(Curvas_cupon_cero!$A:$A)-2,1))))</f>
        <v/>
      </c>
      <c r="E275" s="23" t="str">
        <f t="shared" si="28"/>
        <v/>
      </c>
      <c r="F275" s="17" t="str">
        <f t="shared" si="26"/>
        <v/>
      </c>
      <c r="G275" s="18" t="str">
        <f t="shared" si="29"/>
        <v/>
      </c>
      <c r="H275" t="str">
        <f t="shared" si="30"/>
        <v/>
      </c>
      <c r="I275" s="23" t="str">
        <f ca="1">IF(A275="","",IF($B$8="Sí",interpolar_alamb(H275,OFFSET(Curvas_cupon_cero!$A$1,1,0,COUNT(Curvas_cupon_cero!$A:$A)-2,1),OFFSET(Curvas_cupon_cero!$A$1,1,MATCH($B$6,Curvas_cupon_cero!$1:$1,0)-1,COUNT(Curvas_cupon_cero!$A:$A)-2,1)),[1]!interpolar(H275,OFFSET(Curvas_cupon_cero!$A$1,1,0,COUNT(Curvas_cupon_cero!$A:$A)-2,1),OFFSET(Curvas_cupon_cero!$A$1,1,MATCH($B$6,Curvas_cupon_cero!$1:$1,0)-1,COUNT(Curvas_cupon_cero!$A:$A)-2,1))))</f>
        <v/>
      </c>
      <c r="J275" s="19" t="str">
        <f>IF(A275="","",F275/(1+I275*$B$5/360)^(COUNT(A$16:A275)-($B$5-$G$16)/$B$5))</f>
        <v/>
      </c>
    </row>
    <row r="276" spans="1:10" x14ac:dyDescent="0.2">
      <c r="A276" s="12" t="str">
        <f t="shared" si="27"/>
        <v/>
      </c>
      <c r="B276" t="str">
        <f t="shared" si="25"/>
        <v/>
      </c>
      <c r="C276" s="21" t="str">
        <f ca="1">IF(A276="","",IF($B$8="Sí",interpolar_alamb(B276,OFFSET(Curvas_cupon_cero!$A$1,1,0,COUNT(Curvas_cupon_cero!$A:$A)-2,1),OFFSET(Curvas_cupon_cero!$A$1,1,MATCH($B$7,Curvas_cupon_cero!$1:$1,0)-1,COUNT(Curvas_cupon_cero!$A:$A)-2,1)),[1]!interpolar(B276,OFFSET(Curvas_cupon_cero!$A$1,1,0,COUNT(Curvas_cupon_cero!$A:$A)-2,1),OFFSET(Curvas_cupon_cero!$A$1,1,MATCH($B$7,Curvas_cupon_cero!$1:$1,0)-1,COUNT(Curvas_cupon_cero!$A:$A)-2,1))))</f>
        <v/>
      </c>
      <c r="D276" s="23" t="str">
        <f ca="1">IF(A276="","",IF($B$8="Sí",interpolar_alamb(H276,OFFSET(Curvas_cupon_cero!$A$1,1,0,COUNT(Curvas_cupon_cero!$A:$A)-2,1),OFFSET(Curvas_cupon_cero!$A$1,1,MATCH($B$7,Curvas_cupon_cero!$1:$1,0)-1,COUNT(Curvas_cupon_cero!$A:$A)-2,1)),[1]!interpolar(H276,OFFSET(Curvas_cupon_cero!$A$1,1,0,COUNT(Curvas_cupon_cero!$A:$A)-2,1),OFFSET(Curvas_cupon_cero!$A$1,1,MATCH($B$7,Curvas_cupon_cero!$1:$1,0)-1,COUNT(Curvas_cupon_cero!$A:$A)-2,1))))</f>
        <v/>
      </c>
      <c r="E276" s="23" t="str">
        <f t="shared" si="28"/>
        <v/>
      </c>
      <c r="F276" s="17" t="str">
        <f t="shared" si="26"/>
        <v/>
      </c>
      <c r="G276" s="18" t="str">
        <f t="shared" si="29"/>
        <v/>
      </c>
      <c r="H276" t="str">
        <f t="shared" si="30"/>
        <v/>
      </c>
      <c r="I276" s="23" t="str">
        <f ca="1">IF(A276="","",IF($B$8="Sí",interpolar_alamb(H276,OFFSET(Curvas_cupon_cero!$A$1,1,0,COUNT(Curvas_cupon_cero!$A:$A)-2,1),OFFSET(Curvas_cupon_cero!$A$1,1,MATCH($B$6,Curvas_cupon_cero!$1:$1,0)-1,COUNT(Curvas_cupon_cero!$A:$A)-2,1)),[1]!interpolar(H276,OFFSET(Curvas_cupon_cero!$A$1,1,0,COUNT(Curvas_cupon_cero!$A:$A)-2,1),OFFSET(Curvas_cupon_cero!$A$1,1,MATCH($B$6,Curvas_cupon_cero!$1:$1,0)-1,COUNT(Curvas_cupon_cero!$A:$A)-2,1))))</f>
        <v/>
      </c>
      <c r="J276" s="19" t="str">
        <f>IF(A276="","",F276/(1+I276*$B$5/360)^(COUNT(A$16:A276)-($B$5-$G$16)/$B$5))</f>
        <v/>
      </c>
    </row>
    <row r="277" spans="1:10" x14ac:dyDescent="0.2">
      <c r="A277" s="12" t="str">
        <f t="shared" si="27"/>
        <v/>
      </c>
      <c r="B277" t="str">
        <f t="shared" si="25"/>
        <v/>
      </c>
      <c r="C277" s="21" t="str">
        <f ca="1">IF(A277="","",IF($B$8="Sí",interpolar_alamb(B277,OFFSET(Curvas_cupon_cero!$A$1,1,0,COUNT(Curvas_cupon_cero!$A:$A)-2,1),OFFSET(Curvas_cupon_cero!$A$1,1,MATCH($B$7,Curvas_cupon_cero!$1:$1,0)-1,COUNT(Curvas_cupon_cero!$A:$A)-2,1)),[1]!interpolar(B277,OFFSET(Curvas_cupon_cero!$A$1,1,0,COUNT(Curvas_cupon_cero!$A:$A)-2,1),OFFSET(Curvas_cupon_cero!$A$1,1,MATCH($B$7,Curvas_cupon_cero!$1:$1,0)-1,COUNT(Curvas_cupon_cero!$A:$A)-2,1))))</f>
        <v/>
      </c>
      <c r="D277" s="23" t="str">
        <f ca="1">IF(A277="","",IF($B$8="Sí",interpolar_alamb(H277,OFFSET(Curvas_cupon_cero!$A$1,1,0,COUNT(Curvas_cupon_cero!$A:$A)-2,1),OFFSET(Curvas_cupon_cero!$A$1,1,MATCH($B$7,Curvas_cupon_cero!$1:$1,0)-1,COUNT(Curvas_cupon_cero!$A:$A)-2,1)),[1]!interpolar(H277,OFFSET(Curvas_cupon_cero!$A$1,1,0,COUNT(Curvas_cupon_cero!$A:$A)-2,1),OFFSET(Curvas_cupon_cero!$A$1,1,MATCH($B$7,Curvas_cupon_cero!$1:$1,0)-1,COUNT(Curvas_cupon_cero!$A:$A)-2,1))))</f>
        <v/>
      </c>
      <c r="E277" s="23" t="str">
        <f t="shared" si="28"/>
        <v/>
      </c>
      <c r="F277" s="17" t="str">
        <f t="shared" si="26"/>
        <v/>
      </c>
      <c r="G277" s="18" t="str">
        <f t="shared" si="29"/>
        <v/>
      </c>
      <c r="H277" t="str">
        <f t="shared" si="30"/>
        <v/>
      </c>
      <c r="I277" s="23" t="str">
        <f ca="1">IF(A277="","",IF($B$8="Sí",interpolar_alamb(H277,OFFSET(Curvas_cupon_cero!$A$1,1,0,COUNT(Curvas_cupon_cero!$A:$A)-2,1),OFFSET(Curvas_cupon_cero!$A$1,1,MATCH($B$6,Curvas_cupon_cero!$1:$1,0)-1,COUNT(Curvas_cupon_cero!$A:$A)-2,1)),[1]!interpolar(H277,OFFSET(Curvas_cupon_cero!$A$1,1,0,COUNT(Curvas_cupon_cero!$A:$A)-2,1),OFFSET(Curvas_cupon_cero!$A$1,1,MATCH($B$6,Curvas_cupon_cero!$1:$1,0)-1,COUNT(Curvas_cupon_cero!$A:$A)-2,1))))</f>
        <v/>
      </c>
      <c r="J277" s="19" t="str">
        <f>IF(A277="","",F277/(1+I277*$B$5/360)^(COUNT(A$16:A277)-($B$5-$G$16)/$B$5))</f>
        <v/>
      </c>
    </row>
    <row r="278" spans="1:10" x14ac:dyDescent="0.2">
      <c r="A278" s="12" t="str">
        <f t="shared" si="27"/>
        <v/>
      </c>
      <c r="B278" t="str">
        <f t="shared" si="25"/>
        <v/>
      </c>
      <c r="C278" s="21" t="str">
        <f ca="1">IF(A278="","",IF($B$8="Sí",interpolar_alamb(B278,OFFSET(Curvas_cupon_cero!$A$1,1,0,COUNT(Curvas_cupon_cero!$A:$A)-2,1),OFFSET(Curvas_cupon_cero!$A$1,1,MATCH($B$7,Curvas_cupon_cero!$1:$1,0)-1,COUNT(Curvas_cupon_cero!$A:$A)-2,1)),[1]!interpolar(B278,OFFSET(Curvas_cupon_cero!$A$1,1,0,COUNT(Curvas_cupon_cero!$A:$A)-2,1),OFFSET(Curvas_cupon_cero!$A$1,1,MATCH($B$7,Curvas_cupon_cero!$1:$1,0)-1,COUNT(Curvas_cupon_cero!$A:$A)-2,1))))</f>
        <v/>
      </c>
      <c r="D278" s="23" t="str">
        <f ca="1">IF(A278="","",IF($B$8="Sí",interpolar_alamb(H278,OFFSET(Curvas_cupon_cero!$A$1,1,0,COUNT(Curvas_cupon_cero!$A:$A)-2,1),OFFSET(Curvas_cupon_cero!$A$1,1,MATCH($B$7,Curvas_cupon_cero!$1:$1,0)-1,COUNT(Curvas_cupon_cero!$A:$A)-2,1)),[1]!interpolar(H278,OFFSET(Curvas_cupon_cero!$A$1,1,0,COUNT(Curvas_cupon_cero!$A:$A)-2,1),OFFSET(Curvas_cupon_cero!$A$1,1,MATCH($B$7,Curvas_cupon_cero!$1:$1,0)-1,COUNT(Curvas_cupon_cero!$A:$A)-2,1))))</f>
        <v/>
      </c>
      <c r="E278" s="23" t="str">
        <f t="shared" si="28"/>
        <v/>
      </c>
      <c r="F278" s="17" t="str">
        <f t="shared" si="26"/>
        <v/>
      </c>
      <c r="G278" s="18" t="str">
        <f t="shared" si="29"/>
        <v/>
      </c>
      <c r="H278" t="str">
        <f t="shared" si="30"/>
        <v/>
      </c>
      <c r="I278" s="23" t="str">
        <f ca="1">IF(A278="","",IF($B$8="Sí",interpolar_alamb(H278,OFFSET(Curvas_cupon_cero!$A$1,1,0,COUNT(Curvas_cupon_cero!$A:$A)-2,1),OFFSET(Curvas_cupon_cero!$A$1,1,MATCH($B$6,Curvas_cupon_cero!$1:$1,0)-1,COUNT(Curvas_cupon_cero!$A:$A)-2,1)),[1]!interpolar(H278,OFFSET(Curvas_cupon_cero!$A$1,1,0,COUNT(Curvas_cupon_cero!$A:$A)-2,1),OFFSET(Curvas_cupon_cero!$A$1,1,MATCH($B$6,Curvas_cupon_cero!$1:$1,0)-1,COUNT(Curvas_cupon_cero!$A:$A)-2,1))))</f>
        <v/>
      </c>
      <c r="J278" s="19" t="str">
        <f>IF(A278="","",F278/(1+I278*$B$5/360)^(COUNT(A$16:A278)-($B$5-$G$16)/$B$5))</f>
        <v/>
      </c>
    </row>
    <row r="279" spans="1:10" x14ac:dyDescent="0.2">
      <c r="A279" s="12" t="str">
        <f t="shared" si="27"/>
        <v/>
      </c>
      <c r="B279" t="str">
        <f t="shared" si="25"/>
        <v/>
      </c>
      <c r="C279" s="21" t="str">
        <f ca="1">IF(A279="","",IF($B$8="Sí",interpolar_alamb(B279,OFFSET(Curvas_cupon_cero!$A$1,1,0,COUNT(Curvas_cupon_cero!$A:$A)-2,1),OFFSET(Curvas_cupon_cero!$A$1,1,MATCH($B$7,Curvas_cupon_cero!$1:$1,0)-1,COUNT(Curvas_cupon_cero!$A:$A)-2,1)),[1]!interpolar(B279,OFFSET(Curvas_cupon_cero!$A$1,1,0,COUNT(Curvas_cupon_cero!$A:$A)-2,1),OFFSET(Curvas_cupon_cero!$A$1,1,MATCH($B$7,Curvas_cupon_cero!$1:$1,0)-1,COUNT(Curvas_cupon_cero!$A:$A)-2,1))))</f>
        <v/>
      </c>
      <c r="D279" s="23" t="str">
        <f ca="1">IF(A279="","",IF($B$8="Sí",interpolar_alamb(H279,OFFSET(Curvas_cupon_cero!$A$1,1,0,COUNT(Curvas_cupon_cero!$A:$A)-2,1),OFFSET(Curvas_cupon_cero!$A$1,1,MATCH($B$7,Curvas_cupon_cero!$1:$1,0)-1,COUNT(Curvas_cupon_cero!$A:$A)-2,1)),[1]!interpolar(H279,OFFSET(Curvas_cupon_cero!$A$1,1,0,COUNT(Curvas_cupon_cero!$A:$A)-2,1),OFFSET(Curvas_cupon_cero!$A$1,1,MATCH($B$7,Curvas_cupon_cero!$1:$1,0)-1,COUNT(Curvas_cupon_cero!$A:$A)-2,1))))</f>
        <v/>
      </c>
      <c r="E279" s="23" t="str">
        <f t="shared" si="28"/>
        <v/>
      </c>
      <c r="F279" s="17" t="str">
        <f t="shared" si="26"/>
        <v/>
      </c>
      <c r="G279" s="18" t="str">
        <f t="shared" si="29"/>
        <v/>
      </c>
      <c r="H279" t="str">
        <f t="shared" si="30"/>
        <v/>
      </c>
      <c r="I279" s="23" t="str">
        <f ca="1">IF(A279="","",IF($B$8="Sí",interpolar_alamb(H279,OFFSET(Curvas_cupon_cero!$A$1,1,0,COUNT(Curvas_cupon_cero!$A:$A)-2,1),OFFSET(Curvas_cupon_cero!$A$1,1,MATCH($B$6,Curvas_cupon_cero!$1:$1,0)-1,COUNT(Curvas_cupon_cero!$A:$A)-2,1)),[1]!interpolar(H279,OFFSET(Curvas_cupon_cero!$A$1,1,0,COUNT(Curvas_cupon_cero!$A:$A)-2,1),OFFSET(Curvas_cupon_cero!$A$1,1,MATCH($B$6,Curvas_cupon_cero!$1:$1,0)-1,COUNT(Curvas_cupon_cero!$A:$A)-2,1))))</f>
        <v/>
      </c>
      <c r="J279" s="19" t="str">
        <f>IF(A279="","",F279/(1+I279*$B$5/360)^(COUNT(A$16:A279)-($B$5-$G$16)/$B$5))</f>
        <v/>
      </c>
    </row>
    <row r="280" spans="1:10" x14ac:dyDescent="0.2">
      <c r="A280" s="12" t="str">
        <f t="shared" si="27"/>
        <v/>
      </c>
      <c r="B280" t="str">
        <f t="shared" si="25"/>
        <v/>
      </c>
      <c r="C280" s="21" t="str">
        <f ca="1">IF(A280="","",IF($B$8="Sí",interpolar_alamb(B280,OFFSET(Curvas_cupon_cero!$A$1,1,0,COUNT(Curvas_cupon_cero!$A:$A)-2,1),OFFSET(Curvas_cupon_cero!$A$1,1,MATCH($B$7,Curvas_cupon_cero!$1:$1,0)-1,COUNT(Curvas_cupon_cero!$A:$A)-2,1)),[1]!interpolar(B280,OFFSET(Curvas_cupon_cero!$A$1,1,0,COUNT(Curvas_cupon_cero!$A:$A)-2,1),OFFSET(Curvas_cupon_cero!$A$1,1,MATCH($B$7,Curvas_cupon_cero!$1:$1,0)-1,COUNT(Curvas_cupon_cero!$A:$A)-2,1))))</f>
        <v/>
      </c>
      <c r="D280" s="23" t="str">
        <f ca="1">IF(A280="","",IF($B$8="Sí",interpolar_alamb(H280,OFFSET(Curvas_cupon_cero!$A$1,1,0,COUNT(Curvas_cupon_cero!$A:$A)-2,1),OFFSET(Curvas_cupon_cero!$A$1,1,MATCH($B$7,Curvas_cupon_cero!$1:$1,0)-1,COUNT(Curvas_cupon_cero!$A:$A)-2,1)),[1]!interpolar(H280,OFFSET(Curvas_cupon_cero!$A$1,1,0,COUNT(Curvas_cupon_cero!$A:$A)-2,1),OFFSET(Curvas_cupon_cero!$A$1,1,MATCH($B$7,Curvas_cupon_cero!$1:$1,0)-1,COUNT(Curvas_cupon_cero!$A:$A)-2,1))))</f>
        <v/>
      </c>
      <c r="E280" s="23" t="str">
        <f t="shared" si="28"/>
        <v/>
      </c>
      <c r="F280" s="17" t="str">
        <f t="shared" si="26"/>
        <v/>
      </c>
      <c r="G280" s="18" t="str">
        <f t="shared" si="29"/>
        <v/>
      </c>
      <c r="H280" t="str">
        <f t="shared" si="30"/>
        <v/>
      </c>
      <c r="I280" s="23" t="str">
        <f ca="1">IF(A280="","",IF($B$8="Sí",interpolar_alamb(H280,OFFSET(Curvas_cupon_cero!$A$1,1,0,COUNT(Curvas_cupon_cero!$A:$A)-2,1),OFFSET(Curvas_cupon_cero!$A$1,1,MATCH($B$6,Curvas_cupon_cero!$1:$1,0)-1,COUNT(Curvas_cupon_cero!$A:$A)-2,1)),[1]!interpolar(H280,OFFSET(Curvas_cupon_cero!$A$1,1,0,COUNT(Curvas_cupon_cero!$A:$A)-2,1),OFFSET(Curvas_cupon_cero!$A$1,1,MATCH($B$6,Curvas_cupon_cero!$1:$1,0)-1,COUNT(Curvas_cupon_cero!$A:$A)-2,1))))</f>
        <v/>
      </c>
      <c r="J280" s="19" t="str">
        <f>IF(A280="","",F280/(1+I280*$B$5/360)^(COUNT(A$16:A280)-($B$5-$G$16)/$B$5))</f>
        <v/>
      </c>
    </row>
    <row r="281" spans="1:10" x14ac:dyDescent="0.2">
      <c r="A281" s="12" t="str">
        <f t="shared" si="27"/>
        <v/>
      </c>
      <c r="B281" t="str">
        <f t="shared" si="25"/>
        <v/>
      </c>
      <c r="C281" s="21" t="str">
        <f ca="1">IF(A281="","",IF($B$8="Sí",interpolar_alamb(B281,OFFSET(Curvas_cupon_cero!$A$1,1,0,COUNT(Curvas_cupon_cero!$A:$A)-2,1),OFFSET(Curvas_cupon_cero!$A$1,1,MATCH($B$7,Curvas_cupon_cero!$1:$1,0)-1,COUNT(Curvas_cupon_cero!$A:$A)-2,1)),[1]!interpolar(B281,OFFSET(Curvas_cupon_cero!$A$1,1,0,COUNT(Curvas_cupon_cero!$A:$A)-2,1),OFFSET(Curvas_cupon_cero!$A$1,1,MATCH($B$7,Curvas_cupon_cero!$1:$1,0)-1,COUNT(Curvas_cupon_cero!$A:$A)-2,1))))</f>
        <v/>
      </c>
      <c r="D281" s="23" t="str">
        <f ca="1">IF(A281="","",IF($B$8="Sí",interpolar_alamb(H281,OFFSET(Curvas_cupon_cero!$A$1,1,0,COUNT(Curvas_cupon_cero!$A:$A)-2,1),OFFSET(Curvas_cupon_cero!$A$1,1,MATCH($B$7,Curvas_cupon_cero!$1:$1,0)-1,COUNT(Curvas_cupon_cero!$A:$A)-2,1)),[1]!interpolar(H281,OFFSET(Curvas_cupon_cero!$A$1,1,0,COUNT(Curvas_cupon_cero!$A:$A)-2,1),OFFSET(Curvas_cupon_cero!$A$1,1,MATCH($B$7,Curvas_cupon_cero!$1:$1,0)-1,COUNT(Curvas_cupon_cero!$A:$A)-2,1))))</f>
        <v/>
      </c>
      <c r="E281" s="23" t="str">
        <f t="shared" si="28"/>
        <v/>
      </c>
      <c r="F281" s="17" t="str">
        <f t="shared" si="26"/>
        <v/>
      </c>
      <c r="G281" s="18" t="str">
        <f t="shared" si="29"/>
        <v/>
      </c>
      <c r="H281" t="str">
        <f t="shared" si="30"/>
        <v/>
      </c>
      <c r="I281" s="23" t="str">
        <f ca="1">IF(A281="","",IF($B$8="Sí",interpolar_alamb(H281,OFFSET(Curvas_cupon_cero!$A$1,1,0,COUNT(Curvas_cupon_cero!$A:$A)-2,1),OFFSET(Curvas_cupon_cero!$A$1,1,MATCH($B$6,Curvas_cupon_cero!$1:$1,0)-1,COUNT(Curvas_cupon_cero!$A:$A)-2,1)),[1]!interpolar(H281,OFFSET(Curvas_cupon_cero!$A$1,1,0,COUNT(Curvas_cupon_cero!$A:$A)-2,1),OFFSET(Curvas_cupon_cero!$A$1,1,MATCH($B$6,Curvas_cupon_cero!$1:$1,0)-1,COUNT(Curvas_cupon_cero!$A:$A)-2,1))))</f>
        <v/>
      </c>
      <c r="J281" s="19" t="str">
        <f>IF(A281="","",F281/(1+I281*$B$5/360)^(COUNT(A$16:A281)-($B$5-$G$16)/$B$5))</f>
        <v/>
      </c>
    </row>
    <row r="282" spans="1:10" x14ac:dyDescent="0.2">
      <c r="A282" s="12" t="str">
        <f t="shared" si="27"/>
        <v/>
      </c>
      <c r="B282" t="str">
        <f t="shared" si="25"/>
        <v/>
      </c>
      <c r="C282" s="21" t="str">
        <f ca="1">IF(A282="","",IF($B$8="Sí",interpolar_alamb(B282,OFFSET(Curvas_cupon_cero!$A$1,1,0,COUNT(Curvas_cupon_cero!$A:$A)-2,1),OFFSET(Curvas_cupon_cero!$A$1,1,MATCH($B$7,Curvas_cupon_cero!$1:$1,0)-1,COUNT(Curvas_cupon_cero!$A:$A)-2,1)),[1]!interpolar(B282,OFFSET(Curvas_cupon_cero!$A$1,1,0,COUNT(Curvas_cupon_cero!$A:$A)-2,1),OFFSET(Curvas_cupon_cero!$A$1,1,MATCH($B$7,Curvas_cupon_cero!$1:$1,0)-1,COUNT(Curvas_cupon_cero!$A:$A)-2,1))))</f>
        <v/>
      </c>
      <c r="D282" s="23" t="str">
        <f ca="1">IF(A282="","",IF($B$8="Sí",interpolar_alamb(H282,OFFSET(Curvas_cupon_cero!$A$1,1,0,COUNT(Curvas_cupon_cero!$A:$A)-2,1),OFFSET(Curvas_cupon_cero!$A$1,1,MATCH($B$7,Curvas_cupon_cero!$1:$1,0)-1,COUNT(Curvas_cupon_cero!$A:$A)-2,1)),[1]!interpolar(H282,OFFSET(Curvas_cupon_cero!$A$1,1,0,COUNT(Curvas_cupon_cero!$A:$A)-2,1),OFFSET(Curvas_cupon_cero!$A$1,1,MATCH($B$7,Curvas_cupon_cero!$1:$1,0)-1,COUNT(Curvas_cupon_cero!$A:$A)-2,1))))</f>
        <v/>
      </c>
      <c r="E282" s="23" t="str">
        <f t="shared" si="28"/>
        <v/>
      </c>
      <c r="F282" s="17" t="str">
        <f t="shared" si="26"/>
        <v/>
      </c>
      <c r="G282" s="18" t="str">
        <f t="shared" si="29"/>
        <v/>
      </c>
      <c r="H282" t="str">
        <f t="shared" si="30"/>
        <v/>
      </c>
      <c r="I282" s="23" t="str">
        <f ca="1">IF(A282="","",IF($B$8="Sí",interpolar_alamb(H282,OFFSET(Curvas_cupon_cero!$A$1,1,0,COUNT(Curvas_cupon_cero!$A:$A)-2,1),OFFSET(Curvas_cupon_cero!$A$1,1,MATCH($B$6,Curvas_cupon_cero!$1:$1,0)-1,COUNT(Curvas_cupon_cero!$A:$A)-2,1)),[1]!interpolar(H282,OFFSET(Curvas_cupon_cero!$A$1,1,0,COUNT(Curvas_cupon_cero!$A:$A)-2,1),OFFSET(Curvas_cupon_cero!$A$1,1,MATCH($B$6,Curvas_cupon_cero!$1:$1,0)-1,COUNT(Curvas_cupon_cero!$A:$A)-2,1))))</f>
        <v/>
      </c>
      <c r="J282" s="19" t="str">
        <f>IF(A282="","",F282/(1+I282*$B$5/360)^(COUNT(A$16:A282)-($B$5-$G$16)/$B$5))</f>
        <v/>
      </c>
    </row>
    <row r="283" spans="1:10" x14ac:dyDescent="0.2">
      <c r="A283" s="12" t="str">
        <f t="shared" si="27"/>
        <v/>
      </c>
      <c r="B283" t="str">
        <f t="shared" si="25"/>
        <v/>
      </c>
      <c r="C283" s="21" t="str">
        <f ca="1">IF(A283="","",IF($B$8="Sí",interpolar_alamb(B283,OFFSET(Curvas_cupon_cero!$A$1,1,0,COUNT(Curvas_cupon_cero!$A:$A)-2,1),OFFSET(Curvas_cupon_cero!$A$1,1,MATCH($B$7,Curvas_cupon_cero!$1:$1,0)-1,COUNT(Curvas_cupon_cero!$A:$A)-2,1)),[1]!interpolar(B283,OFFSET(Curvas_cupon_cero!$A$1,1,0,COUNT(Curvas_cupon_cero!$A:$A)-2,1),OFFSET(Curvas_cupon_cero!$A$1,1,MATCH($B$7,Curvas_cupon_cero!$1:$1,0)-1,COUNT(Curvas_cupon_cero!$A:$A)-2,1))))</f>
        <v/>
      </c>
      <c r="D283" s="23" t="str">
        <f ca="1">IF(A283="","",IF($B$8="Sí",interpolar_alamb(H283,OFFSET(Curvas_cupon_cero!$A$1,1,0,COUNT(Curvas_cupon_cero!$A:$A)-2,1),OFFSET(Curvas_cupon_cero!$A$1,1,MATCH($B$7,Curvas_cupon_cero!$1:$1,0)-1,COUNT(Curvas_cupon_cero!$A:$A)-2,1)),[1]!interpolar(H283,OFFSET(Curvas_cupon_cero!$A$1,1,0,COUNT(Curvas_cupon_cero!$A:$A)-2,1),OFFSET(Curvas_cupon_cero!$A$1,1,MATCH($B$7,Curvas_cupon_cero!$1:$1,0)-1,COUNT(Curvas_cupon_cero!$A:$A)-2,1))))</f>
        <v/>
      </c>
      <c r="E283" s="23" t="str">
        <f t="shared" si="28"/>
        <v/>
      </c>
      <c r="F283" s="17" t="str">
        <f t="shared" si="26"/>
        <v/>
      </c>
      <c r="G283" s="18" t="str">
        <f t="shared" si="29"/>
        <v/>
      </c>
      <c r="H283" t="str">
        <f t="shared" si="30"/>
        <v/>
      </c>
      <c r="I283" s="23" t="str">
        <f ca="1">IF(A283="","",IF($B$8="Sí",interpolar_alamb(H283,OFFSET(Curvas_cupon_cero!$A$1,1,0,COUNT(Curvas_cupon_cero!$A:$A)-2,1),OFFSET(Curvas_cupon_cero!$A$1,1,MATCH($B$6,Curvas_cupon_cero!$1:$1,0)-1,COUNT(Curvas_cupon_cero!$A:$A)-2,1)),[1]!interpolar(H283,OFFSET(Curvas_cupon_cero!$A$1,1,0,COUNT(Curvas_cupon_cero!$A:$A)-2,1),OFFSET(Curvas_cupon_cero!$A$1,1,MATCH($B$6,Curvas_cupon_cero!$1:$1,0)-1,COUNT(Curvas_cupon_cero!$A:$A)-2,1))))</f>
        <v/>
      </c>
      <c r="J283" s="19" t="str">
        <f>IF(A283="","",F283/(1+I283*$B$5/360)^(COUNT(A$16:A283)-($B$5-$G$16)/$B$5))</f>
        <v/>
      </c>
    </row>
    <row r="284" spans="1:10" x14ac:dyDescent="0.2">
      <c r="A284" s="12" t="str">
        <f t="shared" si="27"/>
        <v/>
      </c>
      <c r="B284" t="str">
        <f t="shared" si="25"/>
        <v/>
      </c>
      <c r="C284" s="21" t="str">
        <f ca="1">IF(A284="","",IF($B$8="Sí",interpolar_alamb(B284,OFFSET(Curvas_cupon_cero!$A$1,1,0,COUNT(Curvas_cupon_cero!$A:$A)-2,1),OFFSET(Curvas_cupon_cero!$A$1,1,MATCH($B$7,Curvas_cupon_cero!$1:$1,0)-1,COUNT(Curvas_cupon_cero!$A:$A)-2,1)),[1]!interpolar(B284,OFFSET(Curvas_cupon_cero!$A$1,1,0,COUNT(Curvas_cupon_cero!$A:$A)-2,1),OFFSET(Curvas_cupon_cero!$A$1,1,MATCH($B$7,Curvas_cupon_cero!$1:$1,0)-1,COUNT(Curvas_cupon_cero!$A:$A)-2,1))))</f>
        <v/>
      </c>
      <c r="D284" s="23" t="str">
        <f ca="1">IF(A284="","",IF($B$8="Sí",interpolar_alamb(H284,OFFSET(Curvas_cupon_cero!$A$1,1,0,COUNT(Curvas_cupon_cero!$A:$A)-2,1),OFFSET(Curvas_cupon_cero!$A$1,1,MATCH($B$7,Curvas_cupon_cero!$1:$1,0)-1,COUNT(Curvas_cupon_cero!$A:$A)-2,1)),[1]!interpolar(H284,OFFSET(Curvas_cupon_cero!$A$1,1,0,COUNT(Curvas_cupon_cero!$A:$A)-2,1),OFFSET(Curvas_cupon_cero!$A$1,1,MATCH($B$7,Curvas_cupon_cero!$1:$1,0)-1,COUNT(Curvas_cupon_cero!$A:$A)-2,1))))</f>
        <v/>
      </c>
      <c r="E284" s="23" t="str">
        <f t="shared" si="28"/>
        <v/>
      </c>
      <c r="F284" s="17" t="str">
        <f t="shared" si="26"/>
        <v/>
      </c>
      <c r="G284" s="18" t="str">
        <f t="shared" si="29"/>
        <v/>
      </c>
      <c r="H284" t="str">
        <f t="shared" si="30"/>
        <v/>
      </c>
      <c r="I284" s="23" t="str">
        <f ca="1">IF(A284="","",IF($B$8="Sí",interpolar_alamb(H284,OFFSET(Curvas_cupon_cero!$A$1,1,0,COUNT(Curvas_cupon_cero!$A:$A)-2,1),OFFSET(Curvas_cupon_cero!$A$1,1,MATCH($B$6,Curvas_cupon_cero!$1:$1,0)-1,COUNT(Curvas_cupon_cero!$A:$A)-2,1)),[1]!interpolar(H284,OFFSET(Curvas_cupon_cero!$A$1,1,0,COUNT(Curvas_cupon_cero!$A:$A)-2,1),OFFSET(Curvas_cupon_cero!$A$1,1,MATCH($B$6,Curvas_cupon_cero!$1:$1,0)-1,COUNT(Curvas_cupon_cero!$A:$A)-2,1))))</f>
        <v/>
      </c>
      <c r="J284" s="19" t="str">
        <f>IF(A284="","",F284/(1+I284*$B$5/360)^(COUNT(A$16:A284)-($B$5-$G$16)/$B$5))</f>
        <v/>
      </c>
    </row>
    <row r="285" spans="1:10" x14ac:dyDescent="0.2">
      <c r="A285" s="12" t="str">
        <f t="shared" si="27"/>
        <v/>
      </c>
      <c r="B285" t="str">
        <f t="shared" si="25"/>
        <v/>
      </c>
      <c r="C285" s="21" t="str">
        <f ca="1">IF(A285="","",IF($B$8="Sí",interpolar_alamb(B285,OFFSET(Curvas_cupon_cero!$A$1,1,0,COUNT(Curvas_cupon_cero!$A:$A)-2,1),OFFSET(Curvas_cupon_cero!$A$1,1,MATCH($B$7,Curvas_cupon_cero!$1:$1,0)-1,COUNT(Curvas_cupon_cero!$A:$A)-2,1)),[1]!interpolar(B285,OFFSET(Curvas_cupon_cero!$A$1,1,0,COUNT(Curvas_cupon_cero!$A:$A)-2,1),OFFSET(Curvas_cupon_cero!$A$1,1,MATCH($B$7,Curvas_cupon_cero!$1:$1,0)-1,COUNT(Curvas_cupon_cero!$A:$A)-2,1))))</f>
        <v/>
      </c>
      <c r="D285" s="23" t="str">
        <f ca="1">IF(A285="","",IF($B$8="Sí",interpolar_alamb(H285,OFFSET(Curvas_cupon_cero!$A$1,1,0,COUNT(Curvas_cupon_cero!$A:$A)-2,1),OFFSET(Curvas_cupon_cero!$A$1,1,MATCH($B$7,Curvas_cupon_cero!$1:$1,0)-1,COUNT(Curvas_cupon_cero!$A:$A)-2,1)),[1]!interpolar(H285,OFFSET(Curvas_cupon_cero!$A$1,1,0,COUNT(Curvas_cupon_cero!$A:$A)-2,1),OFFSET(Curvas_cupon_cero!$A$1,1,MATCH($B$7,Curvas_cupon_cero!$1:$1,0)-1,COUNT(Curvas_cupon_cero!$A:$A)-2,1))))</f>
        <v/>
      </c>
      <c r="E285" s="23" t="str">
        <f t="shared" si="28"/>
        <v/>
      </c>
      <c r="F285" s="17" t="str">
        <f t="shared" si="26"/>
        <v/>
      </c>
      <c r="G285" s="18" t="str">
        <f t="shared" si="29"/>
        <v/>
      </c>
      <c r="H285" t="str">
        <f t="shared" si="30"/>
        <v/>
      </c>
      <c r="I285" s="23" t="str">
        <f ca="1">IF(A285="","",IF($B$8="Sí",interpolar_alamb(H285,OFFSET(Curvas_cupon_cero!$A$1,1,0,COUNT(Curvas_cupon_cero!$A:$A)-2,1),OFFSET(Curvas_cupon_cero!$A$1,1,MATCH($B$6,Curvas_cupon_cero!$1:$1,0)-1,COUNT(Curvas_cupon_cero!$A:$A)-2,1)),[1]!interpolar(H285,OFFSET(Curvas_cupon_cero!$A$1,1,0,COUNT(Curvas_cupon_cero!$A:$A)-2,1),OFFSET(Curvas_cupon_cero!$A$1,1,MATCH($B$6,Curvas_cupon_cero!$1:$1,0)-1,COUNT(Curvas_cupon_cero!$A:$A)-2,1))))</f>
        <v/>
      </c>
      <c r="J285" s="19" t="str">
        <f>IF(A285="","",F285/(1+I285*$B$5/360)^(COUNT(A$16:A285)-($B$5-$G$16)/$B$5))</f>
        <v/>
      </c>
    </row>
    <row r="286" spans="1:10" x14ac:dyDescent="0.2">
      <c r="A286" s="12" t="str">
        <f t="shared" si="27"/>
        <v/>
      </c>
      <c r="B286" t="str">
        <f t="shared" si="25"/>
        <v/>
      </c>
      <c r="C286" s="21" t="str">
        <f ca="1">IF(A286="","",IF($B$8="Sí",interpolar_alamb(B286,OFFSET(Curvas_cupon_cero!$A$1,1,0,COUNT(Curvas_cupon_cero!$A:$A)-2,1),OFFSET(Curvas_cupon_cero!$A$1,1,MATCH($B$7,Curvas_cupon_cero!$1:$1,0)-1,COUNT(Curvas_cupon_cero!$A:$A)-2,1)),[1]!interpolar(B286,OFFSET(Curvas_cupon_cero!$A$1,1,0,COUNT(Curvas_cupon_cero!$A:$A)-2,1),OFFSET(Curvas_cupon_cero!$A$1,1,MATCH($B$7,Curvas_cupon_cero!$1:$1,0)-1,COUNT(Curvas_cupon_cero!$A:$A)-2,1))))</f>
        <v/>
      </c>
      <c r="D286" s="23" t="str">
        <f ca="1">IF(A286="","",IF($B$8="Sí",interpolar_alamb(H286,OFFSET(Curvas_cupon_cero!$A$1,1,0,COUNT(Curvas_cupon_cero!$A:$A)-2,1),OFFSET(Curvas_cupon_cero!$A$1,1,MATCH($B$7,Curvas_cupon_cero!$1:$1,0)-1,COUNT(Curvas_cupon_cero!$A:$A)-2,1)),[1]!interpolar(H286,OFFSET(Curvas_cupon_cero!$A$1,1,0,COUNT(Curvas_cupon_cero!$A:$A)-2,1),OFFSET(Curvas_cupon_cero!$A$1,1,MATCH($B$7,Curvas_cupon_cero!$1:$1,0)-1,COUNT(Curvas_cupon_cero!$A:$A)-2,1))))</f>
        <v/>
      </c>
      <c r="E286" s="23" t="str">
        <f t="shared" si="28"/>
        <v/>
      </c>
      <c r="F286" s="17" t="str">
        <f t="shared" si="26"/>
        <v/>
      </c>
      <c r="G286" s="18" t="str">
        <f t="shared" si="29"/>
        <v/>
      </c>
      <c r="H286" t="str">
        <f t="shared" si="30"/>
        <v/>
      </c>
      <c r="I286" s="23" t="str">
        <f ca="1">IF(A286="","",IF($B$8="Sí",interpolar_alamb(H286,OFFSET(Curvas_cupon_cero!$A$1,1,0,COUNT(Curvas_cupon_cero!$A:$A)-2,1),OFFSET(Curvas_cupon_cero!$A$1,1,MATCH($B$6,Curvas_cupon_cero!$1:$1,0)-1,COUNT(Curvas_cupon_cero!$A:$A)-2,1)),[1]!interpolar(H286,OFFSET(Curvas_cupon_cero!$A$1,1,0,COUNT(Curvas_cupon_cero!$A:$A)-2,1),OFFSET(Curvas_cupon_cero!$A$1,1,MATCH($B$6,Curvas_cupon_cero!$1:$1,0)-1,COUNT(Curvas_cupon_cero!$A:$A)-2,1))))</f>
        <v/>
      </c>
      <c r="J286" s="19" t="str">
        <f>IF(A286="","",F286/(1+I286*$B$5/360)^(COUNT(A$16:A286)-($B$5-$G$16)/$B$5))</f>
        <v/>
      </c>
    </row>
    <row r="287" spans="1:10" x14ac:dyDescent="0.2">
      <c r="A287" s="12" t="str">
        <f t="shared" si="27"/>
        <v/>
      </c>
      <c r="B287" t="str">
        <f t="shared" si="25"/>
        <v/>
      </c>
      <c r="C287" s="21" t="str">
        <f ca="1">IF(A287="","",IF($B$8="Sí",interpolar_alamb(B287,OFFSET(Curvas_cupon_cero!$A$1,1,0,COUNT(Curvas_cupon_cero!$A:$A)-2,1),OFFSET(Curvas_cupon_cero!$A$1,1,MATCH($B$7,Curvas_cupon_cero!$1:$1,0)-1,COUNT(Curvas_cupon_cero!$A:$A)-2,1)),[1]!interpolar(B287,OFFSET(Curvas_cupon_cero!$A$1,1,0,COUNT(Curvas_cupon_cero!$A:$A)-2,1),OFFSET(Curvas_cupon_cero!$A$1,1,MATCH($B$7,Curvas_cupon_cero!$1:$1,0)-1,COUNT(Curvas_cupon_cero!$A:$A)-2,1))))</f>
        <v/>
      </c>
      <c r="D287" s="23" t="str">
        <f ca="1">IF(A287="","",IF($B$8="Sí",interpolar_alamb(H287,OFFSET(Curvas_cupon_cero!$A$1,1,0,COUNT(Curvas_cupon_cero!$A:$A)-2,1),OFFSET(Curvas_cupon_cero!$A$1,1,MATCH($B$7,Curvas_cupon_cero!$1:$1,0)-1,COUNT(Curvas_cupon_cero!$A:$A)-2,1)),[1]!interpolar(H287,OFFSET(Curvas_cupon_cero!$A$1,1,0,COUNT(Curvas_cupon_cero!$A:$A)-2,1),OFFSET(Curvas_cupon_cero!$A$1,1,MATCH($B$7,Curvas_cupon_cero!$1:$1,0)-1,COUNT(Curvas_cupon_cero!$A:$A)-2,1))))</f>
        <v/>
      </c>
      <c r="E287" s="23" t="str">
        <f t="shared" si="28"/>
        <v/>
      </c>
      <c r="F287" s="17" t="str">
        <f t="shared" si="26"/>
        <v/>
      </c>
      <c r="G287" s="18" t="str">
        <f t="shared" si="29"/>
        <v/>
      </c>
      <c r="H287" t="str">
        <f t="shared" si="30"/>
        <v/>
      </c>
      <c r="I287" s="23" t="str">
        <f ca="1">IF(A287="","",IF($B$8="Sí",interpolar_alamb(H287,OFFSET(Curvas_cupon_cero!$A$1,1,0,COUNT(Curvas_cupon_cero!$A:$A)-2,1),OFFSET(Curvas_cupon_cero!$A$1,1,MATCH($B$6,Curvas_cupon_cero!$1:$1,0)-1,COUNT(Curvas_cupon_cero!$A:$A)-2,1)),[1]!interpolar(H287,OFFSET(Curvas_cupon_cero!$A$1,1,0,COUNT(Curvas_cupon_cero!$A:$A)-2,1),OFFSET(Curvas_cupon_cero!$A$1,1,MATCH($B$6,Curvas_cupon_cero!$1:$1,0)-1,COUNT(Curvas_cupon_cero!$A:$A)-2,1))))</f>
        <v/>
      </c>
      <c r="J287" s="19" t="str">
        <f>IF(A287="","",F287/(1+I287*$B$5/360)^(COUNT(A$16:A287)-($B$5-$G$16)/$B$5))</f>
        <v/>
      </c>
    </row>
    <row r="288" spans="1:10" x14ac:dyDescent="0.2">
      <c r="A288" s="12" t="str">
        <f t="shared" si="27"/>
        <v/>
      </c>
      <c r="B288" t="str">
        <f t="shared" si="25"/>
        <v/>
      </c>
      <c r="C288" s="21" t="str">
        <f ca="1">IF(A288="","",IF($B$8="Sí",interpolar_alamb(B288,OFFSET(Curvas_cupon_cero!$A$1,1,0,COUNT(Curvas_cupon_cero!$A:$A)-2,1),OFFSET(Curvas_cupon_cero!$A$1,1,MATCH($B$7,Curvas_cupon_cero!$1:$1,0)-1,COUNT(Curvas_cupon_cero!$A:$A)-2,1)),[1]!interpolar(B288,OFFSET(Curvas_cupon_cero!$A$1,1,0,COUNT(Curvas_cupon_cero!$A:$A)-2,1),OFFSET(Curvas_cupon_cero!$A$1,1,MATCH($B$7,Curvas_cupon_cero!$1:$1,0)-1,COUNT(Curvas_cupon_cero!$A:$A)-2,1))))</f>
        <v/>
      </c>
      <c r="D288" s="23" t="str">
        <f ca="1">IF(A288="","",IF($B$8="Sí",interpolar_alamb(H288,OFFSET(Curvas_cupon_cero!$A$1,1,0,COUNT(Curvas_cupon_cero!$A:$A)-2,1),OFFSET(Curvas_cupon_cero!$A$1,1,MATCH($B$7,Curvas_cupon_cero!$1:$1,0)-1,COUNT(Curvas_cupon_cero!$A:$A)-2,1)),[1]!interpolar(H288,OFFSET(Curvas_cupon_cero!$A$1,1,0,COUNT(Curvas_cupon_cero!$A:$A)-2,1),OFFSET(Curvas_cupon_cero!$A$1,1,MATCH($B$7,Curvas_cupon_cero!$1:$1,0)-1,COUNT(Curvas_cupon_cero!$A:$A)-2,1))))</f>
        <v/>
      </c>
      <c r="E288" s="23" t="str">
        <f t="shared" si="28"/>
        <v/>
      </c>
      <c r="F288" s="17" t="str">
        <f t="shared" si="26"/>
        <v/>
      </c>
      <c r="G288" s="18" t="str">
        <f t="shared" si="29"/>
        <v/>
      </c>
      <c r="H288" t="str">
        <f t="shared" si="30"/>
        <v/>
      </c>
      <c r="I288" s="23" t="str">
        <f ca="1">IF(A288="","",IF($B$8="Sí",interpolar_alamb(H288,OFFSET(Curvas_cupon_cero!$A$1,1,0,COUNT(Curvas_cupon_cero!$A:$A)-2,1),OFFSET(Curvas_cupon_cero!$A$1,1,MATCH($B$6,Curvas_cupon_cero!$1:$1,0)-1,COUNT(Curvas_cupon_cero!$A:$A)-2,1)),[1]!interpolar(H288,OFFSET(Curvas_cupon_cero!$A$1,1,0,COUNT(Curvas_cupon_cero!$A:$A)-2,1),OFFSET(Curvas_cupon_cero!$A$1,1,MATCH($B$6,Curvas_cupon_cero!$1:$1,0)-1,COUNT(Curvas_cupon_cero!$A:$A)-2,1))))</f>
        <v/>
      </c>
      <c r="J288" s="19" t="str">
        <f>IF(A288="","",F288/(1+I288*$B$5/360)^(COUNT(A$16:A288)-($B$5-$G$16)/$B$5))</f>
        <v/>
      </c>
    </row>
    <row r="289" spans="1:10" x14ac:dyDescent="0.2">
      <c r="A289" s="12" t="str">
        <f t="shared" si="27"/>
        <v/>
      </c>
      <c r="B289" t="str">
        <f t="shared" si="25"/>
        <v/>
      </c>
      <c r="C289" s="21" t="str">
        <f ca="1">IF(A289="","",IF($B$8="Sí",interpolar_alamb(B289,OFFSET(Curvas_cupon_cero!$A$1,1,0,COUNT(Curvas_cupon_cero!$A:$A)-2,1),OFFSET(Curvas_cupon_cero!$A$1,1,MATCH($B$7,Curvas_cupon_cero!$1:$1,0)-1,COUNT(Curvas_cupon_cero!$A:$A)-2,1)),[1]!interpolar(B289,OFFSET(Curvas_cupon_cero!$A$1,1,0,COUNT(Curvas_cupon_cero!$A:$A)-2,1),OFFSET(Curvas_cupon_cero!$A$1,1,MATCH($B$7,Curvas_cupon_cero!$1:$1,0)-1,COUNT(Curvas_cupon_cero!$A:$A)-2,1))))</f>
        <v/>
      </c>
      <c r="D289" s="23" t="str">
        <f ca="1">IF(A289="","",IF($B$8="Sí",interpolar_alamb(H289,OFFSET(Curvas_cupon_cero!$A$1,1,0,COUNT(Curvas_cupon_cero!$A:$A)-2,1),OFFSET(Curvas_cupon_cero!$A$1,1,MATCH($B$7,Curvas_cupon_cero!$1:$1,0)-1,COUNT(Curvas_cupon_cero!$A:$A)-2,1)),[1]!interpolar(H289,OFFSET(Curvas_cupon_cero!$A$1,1,0,COUNT(Curvas_cupon_cero!$A:$A)-2,1),OFFSET(Curvas_cupon_cero!$A$1,1,MATCH($B$7,Curvas_cupon_cero!$1:$1,0)-1,COUNT(Curvas_cupon_cero!$A:$A)-2,1))))</f>
        <v/>
      </c>
      <c r="E289" s="23" t="str">
        <f t="shared" si="28"/>
        <v/>
      </c>
      <c r="F289" s="17" t="str">
        <f t="shared" si="26"/>
        <v/>
      </c>
      <c r="G289" s="18" t="str">
        <f t="shared" si="29"/>
        <v/>
      </c>
      <c r="H289" t="str">
        <f t="shared" si="30"/>
        <v/>
      </c>
      <c r="I289" s="23" t="str">
        <f ca="1">IF(A289="","",IF($B$8="Sí",interpolar_alamb(H289,OFFSET(Curvas_cupon_cero!$A$1,1,0,COUNT(Curvas_cupon_cero!$A:$A)-2,1),OFFSET(Curvas_cupon_cero!$A$1,1,MATCH($B$6,Curvas_cupon_cero!$1:$1,0)-1,COUNT(Curvas_cupon_cero!$A:$A)-2,1)),[1]!interpolar(H289,OFFSET(Curvas_cupon_cero!$A$1,1,0,COUNT(Curvas_cupon_cero!$A:$A)-2,1),OFFSET(Curvas_cupon_cero!$A$1,1,MATCH($B$6,Curvas_cupon_cero!$1:$1,0)-1,COUNT(Curvas_cupon_cero!$A:$A)-2,1))))</f>
        <v/>
      </c>
      <c r="J289" s="19" t="str">
        <f>IF(A289="","",F289/(1+I289*$B$5/360)^(COUNT(A$16:A289)-($B$5-$G$16)/$B$5))</f>
        <v/>
      </c>
    </row>
    <row r="290" spans="1:10" x14ac:dyDescent="0.2">
      <c r="A290" s="12" t="str">
        <f t="shared" si="27"/>
        <v/>
      </c>
      <c r="B290" t="str">
        <f t="shared" si="25"/>
        <v/>
      </c>
      <c r="C290" s="21" t="str">
        <f ca="1">IF(A290="","",IF($B$8="Sí",interpolar_alamb(B290,OFFSET(Curvas_cupon_cero!$A$1,1,0,COUNT(Curvas_cupon_cero!$A:$A)-2,1),OFFSET(Curvas_cupon_cero!$A$1,1,MATCH($B$7,Curvas_cupon_cero!$1:$1,0)-1,COUNT(Curvas_cupon_cero!$A:$A)-2,1)),[1]!interpolar(B290,OFFSET(Curvas_cupon_cero!$A$1,1,0,COUNT(Curvas_cupon_cero!$A:$A)-2,1),OFFSET(Curvas_cupon_cero!$A$1,1,MATCH($B$7,Curvas_cupon_cero!$1:$1,0)-1,COUNT(Curvas_cupon_cero!$A:$A)-2,1))))</f>
        <v/>
      </c>
      <c r="D290" s="23" t="str">
        <f ca="1">IF(A290="","",IF($B$8="Sí",interpolar_alamb(H290,OFFSET(Curvas_cupon_cero!$A$1,1,0,COUNT(Curvas_cupon_cero!$A:$A)-2,1),OFFSET(Curvas_cupon_cero!$A$1,1,MATCH($B$7,Curvas_cupon_cero!$1:$1,0)-1,COUNT(Curvas_cupon_cero!$A:$A)-2,1)),[1]!interpolar(H290,OFFSET(Curvas_cupon_cero!$A$1,1,0,COUNT(Curvas_cupon_cero!$A:$A)-2,1),OFFSET(Curvas_cupon_cero!$A$1,1,MATCH($B$7,Curvas_cupon_cero!$1:$1,0)-1,COUNT(Curvas_cupon_cero!$A:$A)-2,1))))</f>
        <v/>
      </c>
      <c r="E290" s="23" t="str">
        <f t="shared" si="28"/>
        <v/>
      </c>
      <c r="F290" s="17" t="str">
        <f t="shared" si="26"/>
        <v/>
      </c>
      <c r="G290" s="18" t="str">
        <f t="shared" si="29"/>
        <v/>
      </c>
      <c r="H290" t="str">
        <f t="shared" si="30"/>
        <v/>
      </c>
      <c r="I290" s="23" t="str">
        <f ca="1">IF(A290="","",IF($B$8="Sí",interpolar_alamb(H290,OFFSET(Curvas_cupon_cero!$A$1,1,0,COUNT(Curvas_cupon_cero!$A:$A)-2,1),OFFSET(Curvas_cupon_cero!$A$1,1,MATCH($B$6,Curvas_cupon_cero!$1:$1,0)-1,COUNT(Curvas_cupon_cero!$A:$A)-2,1)),[1]!interpolar(H290,OFFSET(Curvas_cupon_cero!$A$1,1,0,COUNT(Curvas_cupon_cero!$A:$A)-2,1),OFFSET(Curvas_cupon_cero!$A$1,1,MATCH($B$6,Curvas_cupon_cero!$1:$1,0)-1,COUNT(Curvas_cupon_cero!$A:$A)-2,1))))</f>
        <v/>
      </c>
      <c r="J290" s="19" t="str">
        <f>IF(A290="","",F290/(1+I290*$B$5/360)^(COUNT(A$16:A290)-($B$5-$G$16)/$B$5))</f>
        <v/>
      </c>
    </row>
    <row r="291" spans="1:10" x14ac:dyDescent="0.2">
      <c r="A291" s="12" t="str">
        <f t="shared" si="27"/>
        <v/>
      </c>
      <c r="B291" t="str">
        <f t="shared" si="25"/>
        <v/>
      </c>
      <c r="C291" s="21" t="str">
        <f ca="1">IF(A291="","",IF($B$8="Sí",interpolar_alamb(B291,OFFSET(Curvas_cupon_cero!$A$1,1,0,COUNT(Curvas_cupon_cero!$A:$A)-2,1),OFFSET(Curvas_cupon_cero!$A$1,1,MATCH($B$7,Curvas_cupon_cero!$1:$1,0)-1,COUNT(Curvas_cupon_cero!$A:$A)-2,1)),[1]!interpolar(B291,OFFSET(Curvas_cupon_cero!$A$1,1,0,COUNT(Curvas_cupon_cero!$A:$A)-2,1),OFFSET(Curvas_cupon_cero!$A$1,1,MATCH($B$7,Curvas_cupon_cero!$1:$1,0)-1,COUNT(Curvas_cupon_cero!$A:$A)-2,1))))</f>
        <v/>
      </c>
      <c r="D291" s="23" t="str">
        <f ca="1">IF(A291="","",IF($B$8="Sí",interpolar_alamb(H291,OFFSET(Curvas_cupon_cero!$A$1,1,0,COUNT(Curvas_cupon_cero!$A:$A)-2,1),OFFSET(Curvas_cupon_cero!$A$1,1,MATCH($B$7,Curvas_cupon_cero!$1:$1,0)-1,COUNT(Curvas_cupon_cero!$A:$A)-2,1)),[1]!interpolar(H291,OFFSET(Curvas_cupon_cero!$A$1,1,0,COUNT(Curvas_cupon_cero!$A:$A)-2,1),OFFSET(Curvas_cupon_cero!$A$1,1,MATCH($B$7,Curvas_cupon_cero!$1:$1,0)-1,COUNT(Curvas_cupon_cero!$A:$A)-2,1))))</f>
        <v/>
      </c>
      <c r="E291" s="23" t="str">
        <f t="shared" si="28"/>
        <v/>
      </c>
      <c r="F291" s="17" t="str">
        <f t="shared" si="26"/>
        <v/>
      </c>
      <c r="G291" s="18" t="str">
        <f t="shared" si="29"/>
        <v/>
      </c>
      <c r="H291" t="str">
        <f t="shared" si="30"/>
        <v/>
      </c>
      <c r="I291" s="23" t="str">
        <f ca="1">IF(A291="","",IF($B$8="Sí",interpolar_alamb(H291,OFFSET(Curvas_cupon_cero!$A$1,1,0,COUNT(Curvas_cupon_cero!$A:$A)-2,1),OFFSET(Curvas_cupon_cero!$A$1,1,MATCH($B$6,Curvas_cupon_cero!$1:$1,0)-1,COUNT(Curvas_cupon_cero!$A:$A)-2,1)),[1]!interpolar(H291,OFFSET(Curvas_cupon_cero!$A$1,1,0,COUNT(Curvas_cupon_cero!$A:$A)-2,1),OFFSET(Curvas_cupon_cero!$A$1,1,MATCH($B$6,Curvas_cupon_cero!$1:$1,0)-1,COUNT(Curvas_cupon_cero!$A:$A)-2,1))))</f>
        <v/>
      </c>
      <c r="J291" s="19" t="str">
        <f>IF(A291="","",F291/(1+I291*$B$5/360)^(COUNT(A$16:A291)-($B$5-$G$16)/$B$5))</f>
        <v/>
      </c>
    </row>
    <row r="292" spans="1:10" x14ac:dyDescent="0.2">
      <c r="A292" s="12" t="str">
        <f t="shared" si="27"/>
        <v/>
      </c>
      <c r="B292" t="str">
        <f t="shared" si="25"/>
        <v/>
      </c>
      <c r="C292" s="21" t="str">
        <f ca="1">IF(A292="","",IF($B$8="Sí",interpolar_alamb(B292,OFFSET(Curvas_cupon_cero!$A$1,1,0,COUNT(Curvas_cupon_cero!$A:$A)-2,1),OFFSET(Curvas_cupon_cero!$A$1,1,MATCH($B$7,Curvas_cupon_cero!$1:$1,0)-1,COUNT(Curvas_cupon_cero!$A:$A)-2,1)),[1]!interpolar(B292,OFFSET(Curvas_cupon_cero!$A$1,1,0,COUNT(Curvas_cupon_cero!$A:$A)-2,1),OFFSET(Curvas_cupon_cero!$A$1,1,MATCH($B$7,Curvas_cupon_cero!$1:$1,0)-1,COUNT(Curvas_cupon_cero!$A:$A)-2,1))))</f>
        <v/>
      </c>
      <c r="D292" s="23" t="str">
        <f ca="1">IF(A292="","",IF($B$8="Sí",interpolar_alamb(H292,OFFSET(Curvas_cupon_cero!$A$1,1,0,COUNT(Curvas_cupon_cero!$A:$A)-2,1),OFFSET(Curvas_cupon_cero!$A$1,1,MATCH($B$7,Curvas_cupon_cero!$1:$1,0)-1,COUNT(Curvas_cupon_cero!$A:$A)-2,1)),[1]!interpolar(H292,OFFSET(Curvas_cupon_cero!$A$1,1,0,COUNT(Curvas_cupon_cero!$A:$A)-2,1),OFFSET(Curvas_cupon_cero!$A$1,1,MATCH($B$7,Curvas_cupon_cero!$1:$1,0)-1,COUNT(Curvas_cupon_cero!$A:$A)-2,1))))</f>
        <v/>
      </c>
      <c r="E292" s="23" t="str">
        <f t="shared" si="28"/>
        <v/>
      </c>
      <c r="F292" s="17" t="str">
        <f t="shared" si="26"/>
        <v/>
      </c>
      <c r="G292" s="18" t="str">
        <f t="shared" si="29"/>
        <v/>
      </c>
      <c r="H292" t="str">
        <f t="shared" si="30"/>
        <v/>
      </c>
      <c r="I292" s="23" t="str">
        <f ca="1">IF(A292="","",IF($B$8="Sí",interpolar_alamb(H292,OFFSET(Curvas_cupon_cero!$A$1,1,0,COUNT(Curvas_cupon_cero!$A:$A)-2,1),OFFSET(Curvas_cupon_cero!$A$1,1,MATCH($B$6,Curvas_cupon_cero!$1:$1,0)-1,COUNT(Curvas_cupon_cero!$A:$A)-2,1)),[1]!interpolar(H292,OFFSET(Curvas_cupon_cero!$A$1,1,0,COUNT(Curvas_cupon_cero!$A:$A)-2,1),OFFSET(Curvas_cupon_cero!$A$1,1,MATCH($B$6,Curvas_cupon_cero!$1:$1,0)-1,COUNT(Curvas_cupon_cero!$A:$A)-2,1))))</f>
        <v/>
      </c>
      <c r="J292" s="19" t="str">
        <f>IF(A292="","",F292/(1+I292*$B$5/360)^(COUNT(A$16:A292)-($B$5-$G$16)/$B$5))</f>
        <v/>
      </c>
    </row>
    <row r="293" spans="1:10" x14ac:dyDescent="0.2">
      <c r="A293" s="12" t="str">
        <f t="shared" si="27"/>
        <v/>
      </c>
      <c r="B293" t="str">
        <f t="shared" si="25"/>
        <v/>
      </c>
      <c r="C293" s="21" t="str">
        <f ca="1">IF(A293="","",IF($B$8="Sí",interpolar_alamb(B293,OFFSET(Curvas_cupon_cero!$A$1,1,0,COUNT(Curvas_cupon_cero!$A:$A)-2,1),OFFSET(Curvas_cupon_cero!$A$1,1,MATCH($B$7,Curvas_cupon_cero!$1:$1,0)-1,COUNT(Curvas_cupon_cero!$A:$A)-2,1)),[1]!interpolar(B293,OFFSET(Curvas_cupon_cero!$A$1,1,0,COUNT(Curvas_cupon_cero!$A:$A)-2,1),OFFSET(Curvas_cupon_cero!$A$1,1,MATCH($B$7,Curvas_cupon_cero!$1:$1,0)-1,COUNT(Curvas_cupon_cero!$A:$A)-2,1))))</f>
        <v/>
      </c>
      <c r="D293" s="23" t="str">
        <f ca="1">IF(A293="","",IF($B$8="Sí",interpolar_alamb(H293,OFFSET(Curvas_cupon_cero!$A$1,1,0,COUNT(Curvas_cupon_cero!$A:$A)-2,1),OFFSET(Curvas_cupon_cero!$A$1,1,MATCH($B$7,Curvas_cupon_cero!$1:$1,0)-1,COUNT(Curvas_cupon_cero!$A:$A)-2,1)),[1]!interpolar(H293,OFFSET(Curvas_cupon_cero!$A$1,1,0,COUNT(Curvas_cupon_cero!$A:$A)-2,1),OFFSET(Curvas_cupon_cero!$A$1,1,MATCH($B$7,Curvas_cupon_cero!$1:$1,0)-1,COUNT(Curvas_cupon_cero!$A:$A)-2,1))))</f>
        <v/>
      </c>
      <c r="E293" s="23" t="str">
        <f t="shared" si="28"/>
        <v/>
      </c>
      <c r="F293" s="17" t="str">
        <f t="shared" si="26"/>
        <v/>
      </c>
      <c r="G293" s="18" t="str">
        <f t="shared" si="29"/>
        <v/>
      </c>
      <c r="H293" t="str">
        <f t="shared" si="30"/>
        <v/>
      </c>
      <c r="I293" s="23" t="str">
        <f ca="1">IF(A293="","",IF($B$8="Sí",interpolar_alamb(H293,OFFSET(Curvas_cupon_cero!$A$1,1,0,COUNT(Curvas_cupon_cero!$A:$A)-2,1),OFFSET(Curvas_cupon_cero!$A$1,1,MATCH($B$6,Curvas_cupon_cero!$1:$1,0)-1,COUNT(Curvas_cupon_cero!$A:$A)-2,1)),[1]!interpolar(H293,OFFSET(Curvas_cupon_cero!$A$1,1,0,COUNT(Curvas_cupon_cero!$A:$A)-2,1),OFFSET(Curvas_cupon_cero!$A$1,1,MATCH($B$6,Curvas_cupon_cero!$1:$1,0)-1,COUNT(Curvas_cupon_cero!$A:$A)-2,1))))</f>
        <v/>
      </c>
      <c r="J293" s="19" t="str">
        <f>IF(A293="","",F293/(1+I293*$B$5/360)^(COUNT(A$16:A293)-($B$5-$G$16)/$B$5))</f>
        <v/>
      </c>
    </row>
    <row r="294" spans="1:10" x14ac:dyDescent="0.2">
      <c r="A294" s="12" t="str">
        <f t="shared" si="27"/>
        <v/>
      </c>
      <c r="B294" t="str">
        <f t="shared" si="25"/>
        <v/>
      </c>
      <c r="C294" s="21" t="str">
        <f ca="1">IF(A294="","",IF($B$8="Sí",interpolar_alamb(B294,OFFSET(Curvas_cupon_cero!$A$1,1,0,COUNT(Curvas_cupon_cero!$A:$A)-2,1),OFFSET(Curvas_cupon_cero!$A$1,1,MATCH($B$7,Curvas_cupon_cero!$1:$1,0)-1,COUNT(Curvas_cupon_cero!$A:$A)-2,1)),[1]!interpolar(B294,OFFSET(Curvas_cupon_cero!$A$1,1,0,COUNT(Curvas_cupon_cero!$A:$A)-2,1),OFFSET(Curvas_cupon_cero!$A$1,1,MATCH($B$7,Curvas_cupon_cero!$1:$1,0)-1,COUNT(Curvas_cupon_cero!$A:$A)-2,1))))</f>
        <v/>
      </c>
      <c r="D294" s="23" t="str">
        <f ca="1">IF(A294="","",IF($B$8="Sí",interpolar_alamb(H294,OFFSET(Curvas_cupon_cero!$A$1,1,0,COUNT(Curvas_cupon_cero!$A:$A)-2,1),OFFSET(Curvas_cupon_cero!$A$1,1,MATCH($B$7,Curvas_cupon_cero!$1:$1,0)-1,COUNT(Curvas_cupon_cero!$A:$A)-2,1)),[1]!interpolar(H294,OFFSET(Curvas_cupon_cero!$A$1,1,0,COUNT(Curvas_cupon_cero!$A:$A)-2,1),OFFSET(Curvas_cupon_cero!$A$1,1,MATCH($B$7,Curvas_cupon_cero!$1:$1,0)-1,COUNT(Curvas_cupon_cero!$A:$A)-2,1))))</f>
        <v/>
      </c>
      <c r="E294" s="23" t="str">
        <f t="shared" si="28"/>
        <v/>
      </c>
      <c r="F294" s="17" t="str">
        <f t="shared" si="26"/>
        <v/>
      </c>
      <c r="G294" s="18" t="str">
        <f t="shared" si="29"/>
        <v/>
      </c>
      <c r="H294" t="str">
        <f t="shared" si="30"/>
        <v/>
      </c>
      <c r="I294" s="23" t="str">
        <f ca="1">IF(A294="","",IF($B$8="Sí",interpolar_alamb(H294,OFFSET(Curvas_cupon_cero!$A$1,1,0,COUNT(Curvas_cupon_cero!$A:$A)-2,1),OFFSET(Curvas_cupon_cero!$A$1,1,MATCH($B$6,Curvas_cupon_cero!$1:$1,0)-1,COUNT(Curvas_cupon_cero!$A:$A)-2,1)),[1]!interpolar(H294,OFFSET(Curvas_cupon_cero!$A$1,1,0,COUNT(Curvas_cupon_cero!$A:$A)-2,1),OFFSET(Curvas_cupon_cero!$A$1,1,MATCH($B$6,Curvas_cupon_cero!$1:$1,0)-1,COUNT(Curvas_cupon_cero!$A:$A)-2,1))))</f>
        <v/>
      </c>
      <c r="J294" s="19" t="str">
        <f>IF(A294="","",F294/(1+I294*$B$5/360)^(COUNT(A$16:A294)-($B$5-$G$16)/$B$5))</f>
        <v/>
      </c>
    </row>
    <row r="295" spans="1:10" x14ac:dyDescent="0.2">
      <c r="A295" s="12" t="str">
        <f t="shared" si="27"/>
        <v/>
      </c>
      <c r="B295" t="str">
        <f t="shared" si="25"/>
        <v/>
      </c>
      <c r="C295" s="21" t="str">
        <f ca="1">IF(A295="","",IF($B$8="Sí",interpolar_alamb(B295,OFFSET(Curvas_cupon_cero!$A$1,1,0,COUNT(Curvas_cupon_cero!$A:$A)-2,1),OFFSET(Curvas_cupon_cero!$A$1,1,MATCH($B$7,Curvas_cupon_cero!$1:$1,0)-1,COUNT(Curvas_cupon_cero!$A:$A)-2,1)),[1]!interpolar(B295,OFFSET(Curvas_cupon_cero!$A$1,1,0,COUNT(Curvas_cupon_cero!$A:$A)-2,1),OFFSET(Curvas_cupon_cero!$A$1,1,MATCH($B$7,Curvas_cupon_cero!$1:$1,0)-1,COUNT(Curvas_cupon_cero!$A:$A)-2,1))))</f>
        <v/>
      </c>
      <c r="D295" s="23" t="str">
        <f ca="1">IF(A295="","",IF($B$8="Sí",interpolar_alamb(H295,OFFSET(Curvas_cupon_cero!$A$1,1,0,COUNT(Curvas_cupon_cero!$A:$A)-2,1),OFFSET(Curvas_cupon_cero!$A$1,1,MATCH($B$7,Curvas_cupon_cero!$1:$1,0)-1,COUNT(Curvas_cupon_cero!$A:$A)-2,1)),[1]!interpolar(H295,OFFSET(Curvas_cupon_cero!$A$1,1,0,COUNT(Curvas_cupon_cero!$A:$A)-2,1),OFFSET(Curvas_cupon_cero!$A$1,1,MATCH($B$7,Curvas_cupon_cero!$1:$1,0)-1,COUNT(Curvas_cupon_cero!$A:$A)-2,1))))</f>
        <v/>
      </c>
      <c r="E295" s="23" t="str">
        <f t="shared" si="28"/>
        <v/>
      </c>
      <c r="F295" s="17" t="str">
        <f t="shared" si="26"/>
        <v/>
      </c>
      <c r="G295" s="18" t="str">
        <f t="shared" si="29"/>
        <v/>
      </c>
      <c r="H295" t="str">
        <f t="shared" si="30"/>
        <v/>
      </c>
      <c r="I295" s="23" t="str">
        <f ca="1">IF(A295="","",IF($B$8="Sí",interpolar_alamb(H295,OFFSET(Curvas_cupon_cero!$A$1,1,0,COUNT(Curvas_cupon_cero!$A:$A)-2,1),OFFSET(Curvas_cupon_cero!$A$1,1,MATCH($B$6,Curvas_cupon_cero!$1:$1,0)-1,COUNT(Curvas_cupon_cero!$A:$A)-2,1)),[1]!interpolar(H295,OFFSET(Curvas_cupon_cero!$A$1,1,0,COUNT(Curvas_cupon_cero!$A:$A)-2,1),OFFSET(Curvas_cupon_cero!$A$1,1,MATCH($B$6,Curvas_cupon_cero!$1:$1,0)-1,COUNT(Curvas_cupon_cero!$A:$A)-2,1))))</f>
        <v/>
      </c>
      <c r="J295" s="19" t="str">
        <f>IF(A295="","",F295/(1+I295*$B$5/360)^(COUNT(A$16:A295)-($B$5-$G$16)/$B$5))</f>
        <v/>
      </c>
    </row>
    <row r="296" spans="1:10" x14ac:dyDescent="0.2">
      <c r="A296" s="12" t="str">
        <f t="shared" si="27"/>
        <v/>
      </c>
      <c r="B296" t="str">
        <f t="shared" si="25"/>
        <v/>
      </c>
      <c r="C296" s="21" t="str">
        <f ca="1">IF(A296="","",IF($B$8="Sí",interpolar_alamb(B296,OFFSET(Curvas_cupon_cero!$A$1,1,0,COUNT(Curvas_cupon_cero!$A:$A)-2,1),OFFSET(Curvas_cupon_cero!$A$1,1,MATCH($B$7,Curvas_cupon_cero!$1:$1,0)-1,COUNT(Curvas_cupon_cero!$A:$A)-2,1)),[1]!interpolar(B296,OFFSET(Curvas_cupon_cero!$A$1,1,0,COUNT(Curvas_cupon_cero!$A:$A)-2,1),OFFSET(Curvas_cupon_cero!$A$1,1,MATCH($B$7,Curvas_cupon_cero!$1:$1,0)-1,COUNT(Curvas_cupon_cero!$A:$A)-2,1))))</f>
        <v/>
      </c>
      <c r="D296" s="23" t="str">
        <f ca="1">IF(A296="","",IF($B$8="Sí",interpolar_alamb(H296,OFFSET(Curvas_cupon_cero!$A$1,1,0,COUNT(Curvas_cupon_cero!$A:$A)-2,1),OFFSET(Curvas_cupon_cero!$A$1,1,MATCH($B$7,Curvas_cupon_cero!$1:$1,0)-1,COUNT(Curvas_cupon_cero!$A:$A)-2,1)),[1]!interpolar(H296,OFFSET(Curvas_cupon_cero!$A$1,1,0,COUNT(Curvas_cupon_cero!$A:$A)-2,1),OFFSET(Curvas_cupon_cero!$A$1,1,MATCH($B$7,Curvas_cupon_cero!$1:$1,0)-1,COUNT(Curvas_cupon_cero!$A:$A)-2,1))))</f>
        <v/>
      </c>
      <c r="E296" s="23" t="str">
        <f t="shared" si="28"/>
        <v/>
      </c>
      <c r="F296" s="17" t="str">
        <f t="shared" si="26"/>
        <v/>
      </c>
      <c r="G296" s="18" t="str">
        <f t="shared" si="29"/>
        <v/>
      </c>
      <c r="H296" t="str">
        <f t="shared" si="30"/>
        <v/>
      </c>
      <c r="I296" s="23" t="str">
        <f ca="1">IF(A296="","",IF($B$8="Sí",interpolar_alamb(H296,OFFSET(Curvas_cupon_cero!$A$1,1,0,COUNT(Curvas_cupon_cero!$A:$A)-2,1),OFFSET(Curvas_cupon_cero!$A$1,1,MATCH($B$6,Curvas_cupon_cero!$1:$1,0)-1,COUNT(Curvas_cupon_cero!$A:$A)-2,1)),[1]!interpolar(H296,OFFSET(Curvas_cupon_cero!$A$1,1,0,COUNT(Curvas_cupon_cero!$A:$A)-2,1),OFFSET(Curvas_cupon_cero!$A$1,1,MATCH($B$6,Curvas_cupon_cero!$1:$1,0)-1,COUNT(Curvas_cupon_cero!$A:$A)-2,1))))</f>
        <v/>
      </c>
      <c r="J296" s="19" t="str">
        <f>IF(A296="","",F296/(1+I296*$B$5/360)^(COUNT(A$16:A296)-($B$5-$G$16)/$B$5))</f>
        <v/>
      </c>
    </row>
    <row r="297" spans="1:10" x14ac:dyDescent="0.2">
      <c r="A297" s="12" t="str">
        <f t="shared" si="27"/>
        <v/>
      </c>
      <c r="B297" t="str">
        <f t="shared" si="25"/>
        <v/>
      </c>
      <c r="C297" s="21" t="str">
        <f ca="1">IF(A297="","",IF($B$8="Sí",interpolar_alamb(B297,OFFSET(Curvas_cupon_cero!$A$1,1,0,COUNT(Curvas_cupon_cero!$A:$A)-2,1),OFFSET(Curvas_cupon_cero!$A$1,1,MATCH($B$7,Curvas_cupon_cero!$1:$1,0)-1,COUNT(Curvas_cupon_cero!$A:$A)-2,1)),[1]!interpolar(B297,OFFSET(Curvas_cupon_cero!$A$1,1,0,COUNT(Curvas_cupon_cero!$A:$A)-2,1),OFFSET(Curvas_cupon_cero!$A$1,1,MATCH($B$7,Curvas_cupon_cero!$1:$1,0)-1,COUNT(Curvas_cupon_cero!$A:$A)-2,1))))</f>
        <v/>
      </c>
      <c r="D297" s="23" t="str">
        <f ca="1">IF(A297="","",IF($B$8="Sí",interpolar_alamb(H297,OFFSET(Curvas_cupon_cero!$A$1,1,0,COUNT(Curvas_cupon_cero!$A:$A)-2,1),OFFSET(Curvas_cupon_cero!$A$1,1,MATCH($B$7,Curvas_cupon_cero!$1:$1,0)-1,COUNT(Curvas_cupon_cero!$A:$A)-2,1)),[1]!interpolar(H297,OFFSET(Curvas_cupon_cero!$A$1,1,0,COUNT(Curvas_cupon_cero!$A:$A)-2,1),OFFSET(Curvas_cupon_cero!$A$1,1,MATCH($B$7,Curvas_cupon_cero!$1:$1,0)-1,COUNT(Curvas_cupon_cero!$A:$A)-2,1))))</f>
        <v/>
      </c>
      <c r="E297" s="23" t="str">
        <f t="shared" si="28"/>
        <v/>
      </c>
      <c r="F297" s="17" t="str">
        <f t="shared" si="26"/>
        <v/>
      </c>
      <c r="G297" s="18" t="str">
        <f t="shared" si="29"/>
        <v/>
      </c>
      <c r="H297" t="str">
        <f t="shared" si="30"/>
        <v/>
      </c>
      <c r="I297" s="23" t="str">
        <f ca="1">IF(A297="","",IF($B$8="Sí",interpolar_alamb(H297,OFFSET(Curvas_cupon_cero!$A$1,1,0,COUNT(Curvas_cupon_cero!$A:$A)-2,1),OFFSET(Curvas_cupon_cero!$A$1,1,MATCH($B$6,Curvas_cupon_cero!$1:$1,0)-1,COUNT(Curvas_cupon_cero!$A:$A)-2,1)),[1]!interpolar(H297,OFFSET(Curvas_cupon_cero!$A$1,1,0,COUNT(Curvas_cupon_cero!$A:$A)-2,1),OFFSET(Curvas_cupon_cero!$A$1,1,MATCH($B$6,Curvas_cupon_cero!$1:$1,0)-1,COUNT(Curvas_cupon_cero!$A:$A)-2,1))))</f>
        <v/>
      </c>
      <c r="J297" s="19" t="str">
        <f>IF(A297="","",F297/(1+I297*$B$5/360)^(COUNT(A$16:A297)-($B$5-$G$16)/$B$5))</f>
        <v/>
      </c>
    </row>
    <row r="298" spans="1:10" x14ac:dyDescent="0.2">
      <c r="A298" s="12" t="str">
        <f t="shared" si="27"/>
        <v/>
      </c>
      <c r="B298" t="str">
        <f t="shared" si="25"/>
        <v/>
      </c>
      <c r="C298" s="21" t="str">
        <f ca="1">IF(A298="","",IF($B$8="Sí",interpolar_alamb(B298,OFFSET(Curvas_cupon_cero!$A$1,1,0,COUNT(Curvas_cupon_cero!$A:$A)-2,1),OFFSET(Curvas_cupon_cero!$A$1,1,MATCH($B$7,Curvas_cupon_cero!$1:$1,0)-1,COUNT(Curvas_cupon_cero!$A:$A)-2,1)),[1]!interpolar(B298,OFFSET(Curvas_cupon_cero!$A$1,1,0,COUNT(Curvas_cupon_cero!$A:$A)-2,1),OFFSET(Curvas_cupon_cero!$A$1,1,MATCH($B$7,Curvas_cupon_cero!$1:$1,0)-1,COUNT(Curvas_cupon_cero!$A:$A)-2,1))))</f>
        <v/>
      </c>
      <c r="D298" s="23" t="str">
        <f ca="1">IF(A298="","",IF($B$8="Sí",interpolar_alamb(H298,OFFSET(Curvas_cupon_cero!$A$1,1,0,COUNT(Curvas_cupon_cero!$A:$A)-2,1),OFFSET(Curvas_cupon_cero!$A$1,1,MATCH($B$7,Curvas_cupon_cero!$1:$1,0)-1,COUNT(Curvas_cupon_cero!$A:$A)-2,1)),[1]!interpolar(H298,OFFSET(Curvas_cupon_cero!$A$1,1,0,COUNT(Curvas_cupon_cero!$A:$A)-2,1),OFFSET(Curvas_cupon_cero!$A$1,1,MATCH($B$7,Curvas_cupon_cero!$1:$1,0)-1,COUNT(Curvas_cupon_cero!$A:$A)-2,1))))</f>
        <v/>
      </c>
      <c r="E298" s="23" t="str">
        <f t="shared" si="28"/>
        <v/>
      </c>
      <c r="F298" s="17" t="str">
        <f t="shared" si="26"/>
        <v/>
      </c>
      <c r="G298" s="18" t="str">
        <f t="shared" si="29"/>
        <v/>
      </c>
      <c r="H298" t="str">
        <f t="shared" si="30"/>
        <v/>
      </c>
      <c r="I298" s="23" t="str">
        <f ca="1">IF(A298="","",IF($B$8="Sí",interpolar_alamb(H298,OFFSET(Curvas_cupon_cero!$A$1,1,0,COUNT(Curvas_cupon_cero!$A:$A)-2,1),OFFSET(Curvas_cupon_cero!$A$1,1,MATCH($B$6,Curvas_cupon_cero!$1:$1,0)-1,COUNT(Curvas_cupon_cero!$A:$A)-2,1)),[1]!interpolar(H298,OFFSET(Curvas_cupon_cero!$A$1,1,0,COUNT(Curvas_cupon_cero!$A:$A)-2,1),OFFSET(Curvas_cupon_cero!$A$1,1,MATCH($B$6,Curvas_cupon_cero!$1:$1,0)-1,COUNT(Curvas_cupon_cero!$A:$A)-2,1))))</f>
        <v/>
      </c>
      <c r="J298" s="19" t="str">
        <f>IF(A298="","",F298/(1+I298*$B$5/360)^(COUNT(A$16:A298)-($B$5-$G$16)/$B$5))</f>
        <v/>
      </c>
    </row>
    <row r="299" spans="1:10" x14ac:dyDescent="0.2">
      <c r="A299" s="12" t="str">
        <f t="shared" si="27"/>
        <v/>
      </c>
      <c r="B299" t="str">
        <f t="shared" si="25"/>
        <v/>
      </c>
      <c r="C299" s="21" t="str">
        <f ca="1">IF(A299="","",IF($B$8="Sí",interpolar_alamb(B299,OFFSET(Curvas_cupon_cero!$A$1,1,0,COUNT(Curvas_cupon_cero!$A:$A)-2,1),OFFSET(Curvas_cupon_cero!$A$1,1,MATCH($B$7,Curvas_cupon_cero!$1:$1,0)-1,COUNT(Curvas_cupon_cero!$A:$A)-2,1)),[1]!interpolar(B299,OFFSET(Curvas_cupon_cero!$A$1,1,0,COUNT(Curvas_cupon_cero!$A:$A)-2,1),OFFSET(Curvas_cupon_cero!$A$1,1,MATCH($B$7,Curvas_cupon_cero!$1:$1,0)-1,COUNT(Curvas_cupon_cero!$A:$A)-2,1))))</f>
        <v/>
      </c>
      <c r="D299" s="23" t="str">
        <f ca="1">IF(A299="","",IF($B$8="Sí",interpolar_alamb(H299,OFFSET(Curvas_cupon_cero!$A$1,1,0,COUNT(Curvas_cupon_cero!$A:$A)-2,1),OFFSET(Curvas_cupon_cero!$A$1,1,MATCH($B$7,Curvas_cupon_cero!$1:$1,0)-1,COUNT(Curvas_cupon_cero!$A:$A)-2,1)),[1]!interpolar(H299,OFFSET(Curvas_cupon_cero!$A$1,1,0,COUNT(Curvas_cupon_cero!$A:$A)-2,1),OFFSET(Curvas_cupon_cero!$A$1,1,MATCH($B$7,Curvas_cupon_cero!$1:$1,0)-1,COUNT(Curvas_cupon_cero!$A:$A)-2,1))))</f>
        <v/>
      </c>
      <c r="E299" s="23" t="str">
        <f t="shared" si="28"/>
        <v/>
      </c>
      <c r="F299" s="17" t="str">
        <f t="shared" si="26"/>
        <v/>
      </c>
      <c r="G299" s="18" t="str">
        <f t="shared" si="29"/>
        <v/>
      </c>
      <c r="H299" t="str">
        <f t="shared" si="30"/>
        <v/>
      </c>
      <c r="I299" s="23" t="str">
        <f ca="1">IF(A299="","",IF($B$8="Sí",interpolar_alamb(H299,OFFSET(Curvas_cupon_cero!$A$1,1,0,COUNT(Curvas_cupon_cero!$A:$A)-2,1),OFFSET(Curvas_cupon_cero!$A$1,1,MATCH($B$6,Curvas_cupon_cero!$1:$1,0)-1,COUNT(Curvas_cupon_cero!$A:$A)-2,1)),[1]!interpolar(H299,OFFSET(Curvas_cupon_cero!$A$1,1,0,COUNT(Curvas_cupon_cero!$A:$A)-2,1),OFFSET(Curvas_cupon_cero!$A$1,1,MATCH($B$6,Curvas_cupon_cero!$1:$1,0)-1,COUNT(Curvas_cupon_cero!$A:$A)-2,1))))</f>
        <v/>
      </c>
      <c r="J299" s="19" t="str">
        <f>IF(A299="","",F299/(1+I299*$B$5/360)^(COUNT(A$16:A299)-($B$5-$G$16)/$B$5))</f>
        <v/>
      </c>
    </row>
    <row r="300" spans="1:10" x14ac:dyDescent="0.2">
      <c r="A300" s="12" t="str">
        <f t="shared" si="27"/>
        <v/>
      </c>
      <c r="B300" t="str">
        <f t="shared" si="25"/>
        <v/>
      </c>
      <c r="C300" s="21" t="str">
        <f ca="1">IF(A300="","",IF($B$8="Sí",interpolar_alamb(B300,OFFSET(Curvas_cupon_cero!$A$1,1,0,COUNT(Curvas_cupon_cero!$A:$A)-2,1),OFFSET(Curvas_cupon_cero!$A$1,1,MATCH($B$7,Curvas_cupon_cero!$1:$1,0)-1,COUNT(Curvas_cupon_cero!$A:$A)-2,1)),[1]!interpolar(B300,OFFSET(Curvas_cupon_cero!$A$1,1,0,COUNT(Curvas_cupon_cero!$A:$A)-2,1),OFFSET(Curvas_cupon_cero!$A$1,1,MATCH($B$7,Curvas_cupon_cero!$1:$1,0)-1,COUNT(Curvas_cupon_cero!$A:$A)-2,1))))</f>
        <v/>
      </c>
      <c r="D300" s="23" t="str">
        <f ca="1">IF(A300="","",IF($B$8="Sí",interpolar_alamb(H300,OFFSET(Curvas_cupon_cero!$A$1,1,0,COUNT(Curvas_cupon_cero!$A:$A)-2,1),OFFSET(Curvas_cupon_cero!$A$1,1,MATCH($B$7,Curvas_cupon_cero!$1:$1,0)-1,COUNT(Curvas_cupon_cero!$A:$A)-2,1)),[1]!interpolar(H300,OFFSET(Curvas_cupon_cero!$A$1,1,0,COUNT(Curvas_cupon_cero!$A:$A)-2,1),OFFSET(Curvas_cupon_cero!$A$1,1,MATCH($B$7,Curvas_cupon_cero!$1:$1,0)-1,COUNT(Curvas_cupon_cero!$A:$A)-2,1))))</f>
        <v/>
      </c>
      <c r="E300" s="23" t="str">
        <f t="shared" si="28"/>
        <v/>
      </c>
      <c r="F300" s="17" t="str">
        <f t="shared" si="26"/>
        <v/>
      </c>
      <c r="G300" s="18" t="str">
        <f t="shared" si="29"/>
        <v/>
      </c>
      <c r="H300" t="str">
        <f t="shared" si="30"/>
        <v/>
      </c>
      <c r="I300" s="23" t="str">
        <f ca="1">IF(A300="","",IF($B$8="Sí",interpolar_alamb(H300,OFFSET(Curvas_cupon_cero!$A$1,1,0,COUNT(Curvas_cupon_cero!$A:$A)-2,1),OFFSET(Curvas_cupon_cero!$A$1,1,MATCH($B$6,Curvas_cupon_cero!$1:$1,0)-1,COUNT(Curvas_cupon_cero!$A:$A)-2,1)),[1]!interpolar(H300,OFFSET(Curvas_cupon_cero!$A$1,1,0,COUNT(Curvas_cupon_cero!$A:$A)-2,1),OFFSET(Curvas_cupon_cero!$A$1,1,MATCH($B$6,Curvas_cupon_cero!$1:$1,0)-1,COUNT(Curvas_cupon_cero!$A:$A)-2,1))))</f>
        <v/>
      </c>
      <c r="J300" s="19" t="str">
        <f>IF(A300="","",F300/(1+I300*$B$5/360)^(COUNT(A$16:A300)-($B$5-$G$16)/$B$5))</f>
        <v/>
      </c>
    </row>
    <row r="301" spans="1:10" x14ac:dyDescent="0.2">
      <c r="A301" s="12" t="str">
        <f t="shared" si="27"/>
        <v/>
      </c>
      <c r="B301" t="str">
        <f t="shared" si="25"/>
        <v/>
      </c>
      <c r="C301" s="21" t="str">
        <f ca="1">IF(A301="","",IF($B$8="Sí",interpolar_alamb(B301,OFFSET(Curvas_cupon_cero!$A$1,1,0,COUNT(Curvas_cupon_cero!$A:$A)-2,1),OFFSET(Curvas_cupon_cero!$A$1,1,MATCH($B$7,Curvas_cupon_cero!$1:$1,0)-1,COUNT(Curvas_cupon_cero!$A:$A)-2,1)),[1]!interpolar(B301,OFFSET(Curvas_cupon_cero!$A$1,1,0,COUNT(Curvas_cupon_cero!$A:$A)-2,1),OFFSET(Curvas_cupon_cero!$A$1,1,MATCH($B$7,Curvas_cupon_cero!$1:$1,0)-1,COUNT(Curvas_cupon_cero!$A:$A)-2,1))))</f>
        <v/>
      </c>
      <c r="D301" s="23" t="str">
        <f ca="1">IF(A301="","",IF($B$8="Sí",interpolar_alamb(H301,OFFSET(Curvas_cupon_cero!$A$1,1,0,COUNT(Curvas_cupon_cero!$A:$A)-2,1),OFFSET(Curvas_cupon_cero!$A$1,1,MATCH($B$7,Curvas_cupon_cero!$1:$1,0)-1,COUNT(Curvas_cupon_cero!$A:$A)-2,1)),[1]!interpolar(H301,OFFSET(Curvas_cupon_cero!$A$1,1,0,COUNT(Curvas_cupon_cero!$A:$A)-2,1),OFFSET(Curvas_cupon_cero!$A$1,1,MATCH($B$7,Curvas_cupon_cero!$1:$1,0)-1,COUNT(Curvas_cupon_cero!$A:$A)-2,1))))</f>
        <v/>
      </c>
      <c r="E301" s="23" t="str">
        <f t="shared" si="28"/>
        <v/>
      </c>
      <c r="F301" s="17" t="str">
        <f t="shared" si="26"/>
        <v/>
      </c>
      <c r="G301" s="18" t="str">
        <f t="shared" si="29"/>
        <v/>
      </c>
      <c r="H301" t="str">
        <f t="shared" si="30"/>
        <v/>
      </c>
      <c r="I301" s="23" t="str">
        <f ca="1">IF(A301="","",IF($B$8="Sí",interpolar_alamb(H301,OFFSET(Curvas_cupon_cero!$A$1,1,0,COUNT(Curvas_cupon_cero!$A:$A)-2,1),OFFSET(Curvas_cupon_cero!$A$1,1,MATCH($B$6,Curvas_cupon_cero!$1:$1,0)-1,COUNT(Curvas_cupon_cero!$A:$A)-2,1)),[1]!interpolar(H301,OFFSET(Curvas_cupon_cero!$A$1,1,0,COUNT(Curvas_cupon_cero!$A:$A)-2,1),OFFSET(Curvas_cupon_cero!$A$1,1,MATCH($B$6,Curvas_cupon_cero!$1:$1,0)-1,COUNT(Curvas_cupon_cero!$A:$A)-2,1))))</f>
        <v/>
      </c>
      <c r="J301" s="19" t="str">
        <f>IF(A301="","",F301/(1+I301*$B$5/360)^(COUNT(A$16:A301)-($B$5-$G$16)/$B$5))</f>
        <v/>
      </c>
    </row>
    <row r="302" spans="1:10" x14ac:dyDescent="0.2">
      <c r="A302" s="12" t="str">
        <f t="shared" si="27"/>
        <v/>
      </c>
      <c r="B302" t="str">
        <f t="shared" si="25"/>
        <v/>
      </c>
      <c r="C302" s="21" t="str">
        <f ca="1">IF(A302="","",IF($B$8="Sí",interpolar_alamb(B302,OFFSET(Curvas_cupon_cero!$A$1,1,0,COUNT(Curvas_cupon_cero!$A:$A)-2,1),OFFSET(Curvas_cupon_cero!$A$1,1,MATCH($B$7,Curvas_cupon_cero!$1:$1,0)-1,COUNT(Curvas_cupon_cero!$A:$A)-2,1)),[1]!interpolar(B302,OFFSET(Curvas_cupon_cero!$A$1,1,0,COUNT(Curvas_cupon_cero!$A:$A)-2,1),OFFSET(Curvas_cupon_cero!$A$1,1,MATCH($B$7,Curvas_cupon_cero!$1:$1,0)-1,COUNT(Curvas_cupon_cero!$A:$A)-2,1))))</f>
        <v/>
      </c>
      <c r="D302" s="23" t="str">
        <f ca="1">IF(A302="","",IF($B$8="Sí",interpolar_alamb(H302,OFFSET(Curvas_cupon_cero!$A$1,1,0,COUNT(Curvas_cupon_cero!$A:$A)-2,1),OFFSET(Curvas_cupon_cero!$A$1,1,MATCH($B$7,Curvas_cupon_cero!$1:$1,0)-1,COUNT(Curvas_cupon_cero!$A:$A)-2,1)),[1]!interpolar(H302,OFFSET(Curvas_cupon_cero!$A$1,1,0,COUNT(Curvas_cupon_cero!$A:$A)-2,1),OFFSET(Curvas_cupon_cero!$A$1,1,MATCH($B$7,Curvas_cupon_cero!$1:$1,0)-1,COUNT(Curvas_cupon_cero!$A:$A)-2,1))))</f>
        <v/>
      </c>
      <c r="E302" s="23" t="str">
        <f t="shared" si="28"/>
        <v/>
      </c>
      <c r="F302" s="17" t="str">
        <f t="shared" si="26"/>
        <v/>
      </c>
      <c r="G302" s="18" t="str">
        <f t="shared" si="29"/>
        <v/>
      </c>
      <c r="H302" t="str">
        <f t="shared" si="30"/>
        <v/>
      </c>
      <c r="I302" s="23" t="str">
        <f ca="1">IF(A302="","",IF($B$8="Sí",interpolar_alamb(H302,OFFSET(Curvas_cupon_cero!$A$1,1,0,COUNT(Curvas_cupon_cero!$A:$A)-2,1),OFFSET(Curvas_cupon_cero!$A$1,1,MATCH($B$6,Curvas_cupon_cero!$1:$1,0)-1,COUNT(Curvas_cupon_cero!$A:$A)-2,1)),[1]!interpolar(H302,OFFSET(Curvas_cupon_cero!$A$1,1,0,COUNT(Curvas_cupon_cero!$A:$A)-2,1),OFFSET(Curvas_cupon_cero!$A$1,1,MATCH($B$6,Curvas_cupon_cero!$1:$1,0)-1,COUNT(Curvas_cupon_cero!$A:$A)-2,1))))</f>
        <v/>
      </c>
      <c r="J302" s="19" t="str">
        <f>IF(A302="","",F302/(1+I302*$B$5/360)^(COUNT(A$16:A302)-($B$5-$G$16)/$B$5))</f>
        <v/>
      </c>
    </row>
    <row r="303" spans="1:10" x14ac:dyDescent="0.2">
      <c r="A303" s="12" t="str">
        <f t="shared" si="27"/>
        <v/>
      </c>
      <c r="B303" t="str">
        <f t="shared" si="25"/>
        <v/>
      </c>
      <c r="C303" s="21" t="str">
        <f ca="1">IF(A303="","",IF($B$8="Sí",interpolar_alamb(B303,OFFSET(Curvas_cupon_cero!$A$1,1,0,COUNT(Curvas_cupon_cero!$A:$A)-2,1),OFFSET(Curvas_cupon_cero!$A$1,1,MATCH($B$7,Curvas_cupon_cero!$1:$1,0)-1,COUNT(Curvas_cupon_cero!$A:$A)-2,1)),[1]!interpolar(B303,OFFSET(Curvas_cupon_cero!$A$1,1,0,COUNT(Curvas_cupon_cero!$A:$A)-2,1),OFFSET(Curvas_cupon_cero!$A$1,1,MATCH($B$7,Curvas_cupon_cero!$1:$1,0)-1,COUNT(Curvas_cupon_cero!$A:$A)-2,1))))</f>
        <v/>
      </c>
      <c r="D303" s="23" t="str">
        <f ca="1">IF(A303="","",IF($B$8="Sí",interpolar_alamb(H303,OFFSET(Curvas_cupon_cero!$A$1,1,0,COUNT(Curvas_cupon_cero!$A:$A)-2,1),OFFSET(Curvas_cupon_cero!$A$1,1,MATCH($B$7,Curvas_cupon_cero!$1:$1,0)-1,COUNT(Curvas_cupon_cero!$A:$A)-2,1)),[1]!interpolar(H303,OFFSET(Curvas_cupon_cero!$A$1,1,0,COUNT(Curvas_cupon_cero!$A:$A)-2,1),OFFSET(Curvas_cupon_cero!$A$1,1,MATCH($B$7,Curvas_cupon_cero!$1:$1,0)-1,COUNT(Curvas_cupon_cero!$A:$A)-2,1))))</f>
        <v/>
      </c>
      <c r="E303" s="23" t="str">
        <f t="shared" si="28"/>
        <v/>
      </c>
      <c r="F303" s="17" t="str">
        <f t="shared" si="26"/>
        <v/>
      </c>
      <c r="G303" s="18" t="str">
        <f t="shared" si="29"/>
        <v/>
      </c>
      <c r="H303" t="str">
        <f t="shared" si="30"/>
        <v/>
      </c>
      <c r="I303" s="23" t="str">
        <f ca="1">IF(A303="","",IF($B$8="Sí",interpolar_alamb(H303,OFFSET(Curvas_cupon_cero!$A$1,1,0,COUNT(Curvas_cupon_cero!$A:$A)-2,1),OFFSET(Curvas_cupon_cero!$A$1,1,MATCH($B$6,Curvas_cupon_cero!$1:$1,0)-1,COUNT(Curvas_cupon_cero!$A:$A)-2,1)),[1]!interpolar(H303,OFFSET(Curvas_cupon_cero!$A$1,1,0,COUNT(Curvas_cupon_cero!$A:$A)-2,1),OFFSET(Curvas_cupon_cero!$A$1,1,MATCH($B$6,Curvas_cupon_cero!$1:$1,0)-1,COUNT(Curvas_cupon_cero!$A:$A)-2,1))))</f>
        <v/>
      </c>
      <c r="J303" s="19" t="str">
        <f>IF(A303="","",F303/(1+I303*$B$5/360)^(COUNT(A$16:A303)-($B$5-$G$16)/$B$5))</f>
        <v/>
      </c>
    </row>
    <row r="304" spans="1:10" x14ac:dyDescent="0.2">
      <c r="A304" s="12" t="str">
        <f t="shared" si="27"/>
        <v/>
      </c>
      <c r="B304" t="str">
        <f t="shared" si="25"/>
        <v/>
      </c>
      <c r="C304" s="21" t="str">
        <f ca="1">IF(A304="","",IF($B$8="Sí",interpolar_alamb(B304,OFFSET(Curvas_cupon_cero!$A$1,1,0,COUNT(Curvas_cupon_cero!$A:$A)-2,1),OFFSET(Curvas_cupon_cero!$A$1,1,MATCH($B$7,Curvas_cupon_cero!$1:$1,0)-1,COUNT(Curvas_cupon_cero!$A:$A)-2,1)),[1]!interpolar(B304,OFFSET(Curvas_cupon_cero!$A$1,1,0,COUNT(Curvas_cupon_cero!$A:$A)-2,1),OFFSET(Curvas_cupon_cero!$A$1,1,MATCH($B$7,Curvas_cupon_cero!$1:$1,0)-1,COUNT(Curvas_cupon_cero!$A:$A)-2,1))))</f>
        <v/>
      </c>
      <c r="D304" s="23" t="str">
        <f ca="1">IF(A304="","",IF($B$8="Sí",interpolar_alamb(H304,OFFSET(Curvas_cupon_cero!$A$1,1,0,COUNT(Curvas_cupon_cero!$A:$A)-2,1),OFFSET(Curvas_cupon_cero!$A$1,1,MATCH($B$7,Curvas_cupon_cero!$1:$1,0)-1,COUNT(Curvas_cupon_cero!$A:$A)-2,1)),[1]!interpolar(H304,OFFSET(Curvas_cupon_cero!$A$1,1,0,COUNT(Curvas_cupon_cero!$A:$A)-2,1),OFFSET(Curvas_cupon_cero!$A$1,1,MATCH($B$7,Curvas_cupon_cero!$1:$1,0)-1,COUNT(Curvas_cupon_cero!$A:$A)-2,1))))</f>
        <v/>
      </c>
      <c r="E304" s="23" t="str">
        <f t="shared" si="28"/>
        <v/>
      </c>
      <c r="F304" s="17" t="str">
        <f t="shared" si="26"/>
        <v/>
      </c>
      <c r="G304" s="18" t="str">
        <f t="shared" si="29"/>
        <v/>
      </c>
      <c r="H304" t="str">
        <f t="shared" si="30"/>
        <v/>
      </c>
      <c r="I304" s="23" t="str">
        <f ca="1">IF(A304="","",IF($B$8="Sí",interpolar_alamb(H304,OFFSET(Curvas_cupon_cero!$A$1,1,0,COUNT(Curvas_cupon_cero!$A:$A)-2,1),OFFSET(Curvas_cupon_cero!$A$1,1,MATCH($B$6,Curvas_cupon_cero!$1:$1,0)-1,COUNT(Curvas_cupon_cero!$A:$A)-2,1)),[1]!interpolar(H304,OFFSET(Curvas_cupon_cero!$A$1,1,0,COUNT(Curvas_cupon_cero!$A:$A)-2,1),OFFSET(Curvas_cupon_cero!$A$1,1,MATCH($B$6,Curvas_cupon_cero!$1:$1,0)-1,COUNT(Curvas_cupon_cero!$A:$A)-2,1))))</f>
        <v/>
      </c>
      <c r="J304" s="19" t="str">
        <f>IF(A304="","",F304/(1+I304*$B$5/360)^(COUNT(A$16:A304)-($B$5-$G$16)/$B$5))</f>
        <v/>
      </c>
    </row>
    <row r="305" spans="1:10" x14ac:dyDescent="0.2">
      <c r="A305" s="12" t="str">
        <f t="shared" si="27"/>
        <v/>
      </c>
      <c r="B305" t="str">
        <f t="shared" si="25"/>
        <v/>
      </c>
      <c r="C305" s="21" t="str">
        <f ca="1">IF(A305="","",IF($B$8="Sí",interpolar_alamb(B305,OFFSET(Curvas_cupon_cero!$A$1,1,0,COUNT(Curvas_cupon_cero!$A:$A)-2,1),OFFSET(Curvas_cupon_cero!$A$1,1,MATCH($B$7,Curvas_cupon_cero!$1:$1,0)-1,COUNT(Curvas_cupon_cero!$A:$A)-2,1)),[1]!interpolar(B305,OFFSET(Curvas_cupon_cero!$A$1,1,0,COUNT(Curvas_cupon_cero!$A:$A)-2,1),OFFSET(Curvas_cupon_cero!$A$1,1,MATCH($B$7,Curvas_cupon_cero!$1:$1,0)-1,COUNT(Curvas_cupon_cero!$A:$A)-2,1))))</f>
        <v/>
      </c>
      <c r="D305" s="23" t="str">
        <f ca="1">IF(A305="","",IF($B$8="Sí",interpolar_alamb(H305,OFFSET(Curvas_cupon_cero!$A$1,1,0,COUNT(Curvas_cupon_cero!$A:$A)-2,1),OFFSET(Curvas_cupon_cero!$A$1,1,MATCH($B$7,Curvas_cupon_cero!$1:$1,0)-1,COUNT(Curvas_cupon_cero!$A:$A)-2,1)),[1]!interpolar(H305,OFFSET(Curvas_cupon_cero!$A$1,1,0,COUNT(Curvas_cupon_cero!$A:$A)-2,1),OFFSET(Curvas_cupon_cero!$A$1,1,MATCH($B$7,Curvas_cupon_cero!$1:$1,0)-1,COUNT(Curvas_cupon_cero!$A:$A)-2,1))))</f>
        <v/>
      </c>
      <c r="E305" s="23" t="str">
        <f t="shared" si="28"/>
        <v/>
      </c>
      <c r="F305" s="17" t="str">
        <f t="shared" si="26"/>
        <v/>
      </c>
      <c r="G305" s="18" t="str">
        <f t="shared" si="29"/>
        <v/>
      </c>
      <c r="H305" t="str">
        <f t="shared" si="30"/>
        <v/>
      </c>
      <c r="I305" s="23" t="str">
        <f ca="1">IF(A305="","",IF($B$8="Sí",interpolar_alamb(H305,OFFSET(Curvas_cupon_cero!$A$1,1,0,COUNT(Curvas_cupon_cero!$A:$A)-2,1),OFFSET(Curvas_cupon_cero!$A$1,1,MATCH($B$6,Curvas_cupon_cero!$1:$1,0)-1,COUNT(Curvas_cupon_cero!$A:$A)-2,1)),[1]!interpolar(H305,OFFSET(Curvas_cupon_cero!$A$1,1,0,COUNT(Curvas_cupon_cero!$A:$A)-2,1),OFFSET(Curvas_cupon_cero!$A$1,1,MATCH($B$6,Curvas_cupon_cero!$1:$1,0)-1,COUNT(Curvas_cupon_cero!$A:$A)-2,1))))</f>
        <v/>
      </c>
      <c r="J305" s="19" t="str">
        <f>IF(A305="","",F305/(1+I305*$B$5/360)^(COUNT(A$16:A305)-($B$5-$G$16)/$B$5))</f>
        <v/>
      </c>
    </row>
    <row r="306" spans="1:10" x14ac:dyDescent="0.2">
      <c r="A306" s="12" t="str">
        <f t="shared" si="27"/>
        <v/>
      </c>
      <c r="B306" t="str">
        <f t="shared" si="25"/>
        <v/>
      </c>
      <c r="C306" s="21" t="str">
        <f ca="1">IF(A306="","",IF($B$8="Sí",interpolar_alamb(B306,OFFSET(Curvas_cupon_cero!$A$1,1,0,COUNT(Curvas_cupon_cero!$A:$A)-2,1),OFFSET(Curvas_cupon_cero!$A$1,1,MATCH($B$7,Curvas_cupon_cero!$1:$1,0)-1,COUNT(Curvas_cupon_cero!$A:$A)-2,1)),[1]!interpolar(B306,OFFSET(Curvas_cupon_cero!$A$1,1,0,COUNT(Curvas_cupon_cero!$A:$A)-2,1),OFFSET(Curvas_cupon_cero!$A$1,1,MATCH($B$7,Curvas_cupon_cero!$1:$1,0)-1,COUNT(Curvas_cupon_cero!$A:$A)-2,1))))</f>
        <v/>
      </c>
      <c r="D306" s="23" t="str">
        <f ca="1">IF(A306="","",IF($B$8="Sí",interpolar_alamb(H306,OFFSET(Curvas_cupon_cero!$A$1,1,0,COUNT(Curvas_cupon_cero!$A:$A)-2,1),OFFSET(Curvas_cupon_cero!$A$1,1,MATCH($B$7,Curvas_cupon_cero!$1:$1,0)-1,COUNT(Curvas_cupon_cero!$A:$A)-2,1)),[1]!interpolar(H306,OFFSET(Curvas_cupon_cero!$A$1,1,0,COUNT(Curvas_cupon_cero!$A:$A)-2,1),OFFSET(Curvas_cupon_cero!$A$1,1,MATCH($B$7,Curvas_cupon_cero!$1:$1,0)-1,COUNT(Curvas_cupon_cero!$A:$A)-2,1))))</f>
        <v/>
      </c>
      <c r="E306" s="23" t="str">
        <f t="shared" si="28"/>
        <v/>
      </c>
      <c r="F306" s="17" t="str">
        <f t="shared" si="26"/>
        <v/>
      </c>
      <c r="G306" s="18" t="str">
        <f t="shared" si="29"/>
        <v/>
      </c>
      <c r="H306" t="str">
        <f t="shared" si="30"/>
        <v/>
      </c>
      <c r="I306" s="23" t="str">
        <f ca="1">IF(A306="","",IF($B$8="Sí",interpolar_alamb(H306,OFFSET(Curvas_cupon_cero!$A$1,1,0,COUNT(Curvas_cupon_cero!$A:$A)-2,1),OFFSET(Curvas_cupon_cero!$A$1,1,MATCH($B$6,Curvas_cupon_cero!$1:$1,0)-1,COUNT(Curvas_cupon_cero!$A:$A)-2,1)),[1]!interpolar(H306,OFFSET(Curvas_cupon_cero!$A$1,1,0,COUNT(Curvas_cupon_cero!$A:$A)-2,1),OFFSET(Curvas_cupon_cero!$A$1,1,MATCH($B$6,Curvas_cupon_cero!$1:$1,0)-1,COUNT(Curvas_cupon_cero!$A:$A)-2,1))))</f>
        <v/>
      </c>
      <c r="J306" s="19" t="str">
        <f>IF(A306="","",F306/(1+I306*$B$5/360)^(COUNT(A$16:A306)-($B$5-$G$16)/$B$5))</f>
        <v/>
      </c>
    </row>
    <row r="307" spans="1:10" x14ac:dyDescent="0.2">
      <c r="A307" s="12" t="str">
        <f t="shared" si="27"/>
        <v/>
      </c>
      <c r="B307" t="str">
        <f t="shared" si="25"/>
        <v/>
      </c>
      <c r="C307" s="21" t="str">
        <f ca="1">IF(A307="","",IF($B$8="Sí",interpolar_alamb(B307,OFFSET(Curvas_cupon_cero!$A$1,1,0,COUNT(Curvas_cupon_cero!$A:$A)-2,1),OFFSET(Curvas_cupon_cero!$A$1,1,MATCH($B$7,Curvas_cupon_cero!$1:$1,0)-1,COUNT(Curvas_cupon_cero!$A:$A)-2,1)),[1]!interpolar(B307,OFFSET(Curvas_cupon_cero!$A$1,1,0,COUNT(Curvas_cupon_cero!$A:$A)-2,1),OFFSET(Curvas_cupon_cero!$A$1,1,MATCH($B$7,Curvas_cupon_cero!$1:$1,0)-1,COUNT(Curvas_cupon_cero!$A:$A)-2,1))))</f>
        <v/>
      </c>
      <c r="D307" s="23" t="str">
        <f ca="1">IF(A307="","",IF($B$8="Sí",interpolar_alamb(H307,OFFSET(Curvas_cupon_cero!$A$1,1,0,COUNT(Curvas_cupon_cero!$A:$A)-2,1),OFFSET(Curvas_cupon_cero!$A$1,1,MATCH($B$7,Curvas_cupon_cero!$1:$1,0)-1,COUNT(Curvas_cupon_cero!$A:$A)-2,1)),[1]!interpolar(H307,OFFSET(Curvas_cupon_cero!$A$1,1,0,COUNT(Curvas_cupon_cero!$A:$A)-2,1),OFFSET(Curvas_cupon_cero!$A$1,1,MATCH($B$7,Curvas_cupon_cero!$1:$1,0)-1,COUNT(Curvas_cupon_cero!$A:$A)-2,1))))</f>
        <v/>
      </c>
      <c r="E307" s="23" t="str">
        <f t="shared" si="28"/>
        <v/>
      </c>
      <c r="F307" s="17" t="str">
        <f t="shared" si="26"/>
        <v/>
      </c>
      <c r="G307" s="18" t="str">
        <f t="shared" si="29"/>
        <v/>
      </c>
      <c r="H307" t="str">
        <f t="shared" si="30"/>
        <v/>
      </c>
      <c r="I307" s="23" t="str">
        <f ca="1">IF(A307="","",IF($B$8="Sí",interpolar_alamb(H307,OFFSET(Curvas_cupon_cero!$A$1,1,0,COUNT(Curvas_cupon_cero!$A:$A)-2,1),OFFSET(Curvas_cupon_cero!$A$1,1,MATCH($B$6,Curvas_cupon_cero!$1:$1,0)-1,COUNT(Curvas_cupon_cero!$A:$A)-2,1)),[1]!interpolar(H307,OFFSET(Curvas_cupon_cero!$A$1,1,0,COUNT(Curvas_cupon_cero!$A:$A)-2,1),OFFSET(Curvas_cupon_cero!$A$1,1,MATCH($B$6,Curvas_cupon_cero!$1:$1,0)-1,COUNT(Curvas_cupon_cero!$A:$A)-2,1))))</f>
        <v/>
      </c>
      <c r="J307" s="19" t="str">
        <f>IF(A307="","",F307/(1+I307*$B$5/360)^(COUNT(A$16:A307)-($B$5-$G$16)/$B$5))</f>
        <v/>
      </c>
    </row>
    <row r="308" spans="1:10" x14ac:dyDescent="0.2">
      <c r="A308" s="12" t="str">
        <f t="shared" si="27"/>
        <v/>
      </c>
      <c r="B308" t="str">
        <f t="shared" si="25"/>
        <v/>
      </c>
      <c r="C308" s="21" t="str">
        <f ca="1">IF(A308="","",IF($B$8="Sí",interpolar_alamb(B308,OFFSET(Curvas_cupon_cero!$A$1,1,0,COUNT(Curvas_cupon_cero!$A:$A)-2,1),OFFSET(Curvas_cupon_cero!$A$1,1,MATCH($B$7,Curvas_cupon_cero!$1:$1,0)-1,COUNT(Curvas_cupon_cero!$A:$A)-2,1)),[1]!interpolar(B308,OFFSET(Curvas_cupon_cero!$A$1,1,0,COUNT(Curvas_cupon_cero!$A:$A)-2,1),OFFSET(Curvas_cupon_cero!$A$1,1,MATCH($B$7,Curvas_cupon_cero!$1:$1,0)-1,COUNT(Curvas_cupon_cero!$A:$A)-2,1))))</f>
        <v/>
      </c>
      <c r="D308" s="23" t="str">
        <f ca="1">IF(A308="","",IF($B$8="Sí",interpolar_alamb(H308,OFFSET(Curvas_cupon_cero!$A$1,1,0,COUNT(Curvas_cupon_cero!$A:$A)-2,1),OFFSET(Curvas_cupon_cero!$A$1,1,MATCH($B$7,Curvas_cupon_cero!$1:$1,0)-1,COUNT(Curvas_cupon_cero!$A:$A)-2,1)),[1]!interpolar(H308,OFFSET(Curvas_cupon_cero!$A$1,1,0,COUNT(Curvas_cupon_cero!$A:$A)-2,1),OFFSET(Curvas_cupon_cero!$A$1,1,MATCH($B$7,Curvas_cupon_cero!$1:$1,0)-1,COUNT(Curvas_cupon_cero!$A:$A)-2,1))))</f>
        <v/>
      </c>
      <c r="E308" s="23" t="str">
        <f t="shared" si="28"/>
        <v/>
      </c>
      <c r="F308" s="17" t="str">
        <f t="shared" si="26"/>
        <v/>
      </c>
      <c r="G308" s="18" t="str">
        <f t="shared" si="29"/>
        <v/>
      </c>
      <c r="H308" t="str">
        <f t="shared" si="30"/>
        <v/>
      </c>
      <c r="I308" s="23" t="str">
        <f ca="1">IF(A308="","",IF($B$8="Sí",interpolar_alamb(H308,OFFSET(Curvas_cupon_cero!$A$1,1,0,COUNT(Curvas_cupon_cero!$A:$A)-2,1),OFFSET(Curvas_cupon_cero!$A$1,1,MATCH($B$6,Curvas_cupon_cero!$1:$1,0)-1,COUNT(Curvas_cupon_cero!$A:$A)-2,1)),[1]!interpolar(H308,OFFSET(Curvas_cupon_cero!$A$1,1,0,COUNT(Curvas_cupon_cero!$A:$A)-2,1),OFFSET(Curvas_cupon_cero!$A$1,1,MATCH($B$6,Curvas_cupon_cero!$1:$1,0)-1,COUNT(Curvas_cupon_cero!$A:$A)-2,1))))</f>
        <v/>
      </c>
      <c r="J308" s="19" t="str">
        <f>IF(A308="","",F308/(1+I308*$B$5/360)^(COUNT(A$16:A308)-($B$5-$G$16)/$B$5))</f>
        <v/>
      </c>
    </row>
    <row r="309" spans="1:10" x14ac:dyDescent="0.2">
      <c r="A309" s="12" t="str">
        <f t="shared" si="27"/>
        <v/>
      </c>
      <c r="B309" t="str">
        <f t="shared" si="25"/>
        <v/>
      </c>
      <c r="C309" s="21" t="str">
        <f ca="1">IF(A309="","",IF($B$8="Sí",interpolar_alamb(B309,OFFSET(Curvas_cupon_cero!$A$1,1,0,COUNT(Curvas_cupon_cero!$A:$A)-2,1),OFFSET(Curvas_cupon_cero!$A$1,1,MATCH($B$7,Curvas_cupon_cero!$1:$1,0)-1,COUNT(Curvas_cupon_cero!$A:$A)-2,1)),[1]!interpolar(B309,OFFSET(Curvas_cupon_cero!$A$1,1,0,COUNT(Curvas_cupon_cero!$A:$A)-2,1),OFFSET(Curvas_cupon_cero!$A$1,1,MATCH($B$7,Curvas_cupon_cero!$1:$1,0)-1,COUNT(Curvas_cupon_cero!$A:$A)-2,1))))</f>
        <v/>
      </c>
      <c r="D309" s="23" t="str">
        <f ca="1">IF(A309="","",IF($B$8="Sí",interpolar_alamb(H309,OFFSET(Curvas_cupon_cero!$A$1,1,0,COUNT(Curvas_cupon_cero!$A:$A)-2,1),OFFSET(Curvas_cupon_cero!$A$1,1,MATCH($B$7,Curvas_cupon_cero!$1:$1,0)-1,COUNT(Curvas_cupon_cero!$A:$A)-2,1)),[1]!interpolar(H309,OFFSET(Curvas_cupon_cero!$A$1,1,0,COUNT(Curvas_cupon_cero!$A:$A)-2,1),OFFSET(Curvas_cupon_cero!$A$1,1,MATCH($B$7,Curvas_cupon_cero!$1:$1,0)-1,COUNT(Curvas_cupon_cero!$A:$A)-2,1))))</f>
        <v/>
      </c>
      <c r="E309" s="23" t="str">
        <f t="shared" si="28"/>
        <v/>
      </c>
      <c r="F309" s="17" t="str">
        <f t="shared" si="26"/>
        <v/>
      </c>
      <c r="G309" s="18" t="str">
        <f t="shared" si="29"/>
        <v/>
      </c>
      <c r="H309" t="str">
        <f t="shared" si="30"/>
        <v/>
      </c>
      <c r="I309" s="23" t="str">
        <f ca="1">IF(A309="","",IF($B$8="Sí",interpolar_alamb(H309,OFFSET(Curvas_cupon_cero!$A$1,1,0,COUNT(Curvas_cupon_cero!$A:$A)-2,1),OFFSET(Curvas_cupon_cero!$A$1,1,MATCH($B$6,Curvas_cupon_cero!$1:$1,0)-1,COUNT(Curvas_cupon_cero!$A:$A)-2,1)),[1]!interpolar(H309,OFFSET(Curvas_cupon_cero!$A$1,1,0,COUNT(Curvas_cupon_cero!$A:$A)-2,1),OFFSET(Curvas_cupon_cero!$A$1,1,MATCH($B$6,Curvas_cupon_cero!$1:$1,0)-1,COUNT(Curvas_cupon_cero!$A:$A)-2,1))))</f>
        <v/>
      </c>
      <c r="J309" s="19" t="str">
        <f>IF(A309="","",F309/(1+I309*$B$5/360)^(COUNT(A$16:A309)-($B$5-$G$16)/$B$5))</f>
        <v/>
      </c>
    </row>
    <row r="310" spans="1:10" x14ac:dyDescent="0.2">
      <c r="A310" s="12" t="str">
        <f t="shared" si="27"/>
        <v/>
      </c>
      <c r="B310" t="str">
        <f t="shared" si="25"/>
        <v/>
      </c>
      <c r="C310" s="21" t="str">
        <f ca="1">IF(A310="","",IF($B$8="Sí",interpolar_alamb(B310,OFFSET(Curvas_cupon_cero!$A$1,1,0,COUNT(Curvas_cupon_cero!$A:$A)-2,1),OFFSET(Curvas_cupon_cero!$A$1,1,MATCH($B$7,Curvas_cupon_cero!$1:$1,0)-1,COUNT(Curvas_cupon_cero!$A:$A)-2,1)),[1]!interpolar(B310,OFFSET(Curvas_cupon_cero!$A$1,1,0,COUNT(Curvas_cupon_cero!$A:$A)-2,1),OFFSET(Curvas_cupon_cero!$A$1,1,MATCH($B$7,Curvas_cupon_cero!$1:$1,0)-1,COUNT(Curvas_cupon_cero!$A:$A)-2,1))))</f>
        <v/>
      </c>
      <c r="D310" s="23" t="str">
        <f ca="1">IF(A310="","",IF($B$8="Sí",interpolar_alamb(H310,OFFSET(Curvas_cupon_cero!$A$1,1,0,COUNT(Curvas_cupon_cero!$A:$A)-2,1),OFFSET(Curvas_cupon_cero!$A$1,1,MATCH($B$7,Curvas_cupon_cero!$1:$1,0)-1,COUNT(Curvas_cupon_cero!$A:$A)-2,1)),[1]!interpolar(H310,OFFSET(Curvas_cupon_cero!$A$1,1,0,COUNT(Curvas_cupon_cero!$A:$A)-2,1),OFFSET(Curvas_cupon_cero!$A$1,1,MATCH($B$7,Curvas_cupon_cero!$1:$1,0)-1,COUNT(Curvas_cupon_cero!$A:$A)-2,1))))</f>
        <v/>
      </c>
      <c r="E310" s="23" t="str">
        <f t="shared" si="28"/>
        <v/>
      </c>
      <c r="F310" s="17" t="str">
        <f t="shared" si="26"/>
        <v/>
      </c>
      <c r="G310" s="18" t="str">
        <f t="shared" si="29"/>
        <v/>
      </c>
      <c r="H310" t="str">
        <f t="shared" si="30"/>
        <v/>
      </c>
      <c r="I310" s="23" t="str">
        <f ca="1">IF(A310="","",IF($B$8="Sí",interpolar_alamb(H310,OFFSET(Curvas_cupon_cero!$A$1,1,0,COUNT(Curvas_cupon_cero!$A:$A)-2,1),OFFSET(Curvas_cupon_cero!$A$1,1,MATCH($B$6,Curvas_cupon_cero!$1:$1,0)-1,COUNT(Curvas_cupon_cero!$A:$A)-2,1)),[1]!interpolar(H310,OFFSET(Curvas_cupon_cero!$A$1,1,0,COUNT(Curvas_cupon_cero!$A:$A)-2,1),OFFSET(Curvas_cupon_cero!$A$1,1,MATCH($B$6,Curvas_cupon_cero!$1:$1,0)-1,COUNT(Curvas_cupon_cero!$A:$A)-2,1))))</f>
        <v/>
      </c>
      <c r="J310" s="19" t="str">
        <f>IF(A310="","",F310/(1+I310*$B$5/360)^(COUNT(A$16:A310)-($B$5-$G$16)/$B$5))</f>
        <v/>
      </c>
    </row>
    <row r="311" spans="1:10" x14ac:dyDescent="0.2">
      <c r="A311" s="12" t="str">
        <f t="shared" si="27"/>
        <v/>
      </c>
      <c r="B311" t="str">
        <f t="shared" si="25"/>
        <v/>
      </c>
      <c r="C311" s="21" t="str">
        <f ca="1">IF(A311="","",IF($B$8="Sí",interpolar_alamb(B311,OFFSET(Curvas_cupon_cero!$A$1,1,0,COUNT(Curvas_cupon_cero!$A:$A)-2,1),OFFSET(Curvas_cupon_cero!$A$1,1,MATCH($B$7,Curvas_cupon_cero!$1:$1,0)-1,COUNT(Curvas_cupon_cero!$A:$A)-2,1)),[1]!interpolar(B311,OFFSET(Curvas_cupon_cero!$A$1,1,0,COUNT(Curvas_cupon_cero!$A:$A)-2,1),OFFSET(Curvas_cupon_cero!$A$1,1,MATCH($B$7,Curvas_cupon_cero!$1:$1,0)-1,COUNT(Curvas_cupon_cero!$A:$A)-2,1))))</f>
        <v/>
      </c>
      <c r="D311" s="23" t="str">
        <f ca="1">IF(A311="","",IF($B$8="Sí",interpolar_alamb(H311,OFFSET(Curvas_cupon_cero!$A$1,1,0,COUNT(Curvas_cupon_cero!$A:$A)-2,1),OFFSET(Curvas_cupon_cero!$A$1,1,MATCH($B$7,Curvas_cupon_cero!$1:$1,0)-1,COUNT(Curvas_cupon_cero!$A:$A)-2,1)),[1]!interpolar(H311,OFFSET(Curvas_cupon_cero!$A$1,1,0,COUNT(Curvas_cupon_cero!$A:$A)-2,1),OFFSET(Curvas_cupon_cero!$A$1,1,MATCH($B$7,Curvas_cupon_cero!$1:$1,0)-1,COUNT(Curvas_cupon_cero!$A:$A)-2,1))))</f>
        <v/>
      </c>
      <c r="E311" s="23" t="str">
        <f t="shared" si="28"/>
        <v/>
      </c>
      <c r="F311" s="17" t="str">
        <f t="shared" si="26"/>
        <v/>
      </c>
      <c r="G311" s="18" t="str">
        <f t="shared" si="29"/>
        <v/>
      </c>
      <c r="H311" t="str">
        <f t="shared" si="30"/>
        <v/>
      </c>
      <c r="I311" s="23" t="str">
        <f ca="1">IF(A311="","",IF($B$8="Sí",interpolar_alamb(H311,OFFSET(Curvas_cupon_cero!$A$1,1,0,COUNT(Curvas_cupon_cero!$A:$A)-2,1),OFFSET(Curvas_cupon_cero!$A$1,1,MATCH($B$6,Curvas_cupon_cero!$1:$1,0)-1,COUNT(Curvas_cupon_cero!$A:$A)-2,1)),[1]!interpolar(H311,OFFSET(Curvas_cupon_cero!$A$1,1,0,COUNT(Curvas_cupon_cero!$A:$A)-2,1),OFFSET(Curvas_cupon_cero!$A$1,1,MATCH($B$6,Curvas_cupon_cero!$1:$1,0)-1,COUNT(Curvas_cupon_cero!$A:$A)-2,1))))</f>
        <v/>
      </c>
      <c r="J311" s="19" t="str">
        <f>IF(A311="","",F311/(1+I311*$B$5/360)^(COUNT(A$16:A311)-($B$5-$G$16)/$B$5))</f>
        <v/>
      </c>
    </row>
    <row r="312" spans="1:10" x14ac:dyDescent="0.2">
      <c r="A312" s="12" t="str">
        <f t="shared" si="27"/>
        <v/>
      </c>
      <c r="B312" t="str">
        <f t="shared" si="25"/>
        <v/>
      </c>
      <c r="C312" s="21" t="str">
        <f ca="1">IF(A312="","",IF($B$8="Sí",interpolar_alamb(B312,OFFSET(Curvas_cupon_cero!$A$1,1,0,COUNT(Curvas_cupon_cero!$A:$A)-2,1),OFFSET(Curvas_cupon_cero!$A$1,1,MATCH($B$7,Curvas_cupon_cero!$1:$1,0)-1,COUNT(Curvas_cupon_cero!$A:$A)-2,1)),[1]!interpolar(B312,OFFSET(Curvas_cupon_cero!$A$1,1,0,COUNT(Curvas_cupon_cero!$A:$A)-2,1),OFFSET(Curvas_cupon_cero!$A$1,1,MATCH($B$7,Curvas_cupon_cero!$1:$1,0)-1,COUNT(Curvas_cupon_cero!$A:$A)-2,1))))</f>
        <v/>
      </c>
      <c r="D312" s="23" t="str">
        <f ca="1">IF(A312="","",IF($B$8="Sí",interpolar_alamb(H312,OFFSET(Curvas_cupon_cero!$A$1,1,0,COUNT(Curvas_cupon_cero!$A:$A)-2,1),OFFSET(Curvas_cupon_cero!$A$1,1,MATCH($B$7,Curvas_cupon_cero!$1:$1,0)-1,COUNT(Curvas_cupon_cero!$A:$A)-2,1)),[1]!interpolar(H312,OFFSET(Curvas_cupon_cero!$A$1,1,0,COUNT(Curvas_cupon_cero!$A:$A)-2,1),OFFSET(Curvas_cupon_cero!$A$1,1,MATCH($B$7,Curvas_cupon_cero!$1:$1,0)-1,COUNT(Curvas_cupon_cero!$A:$A)-2,1))))</f>
        <v/>
      </c>
      <c r="E312" s="23" t="str">
        <f t="shared" si="28"/>
        <v/>
      </c>
      <c r="F312" s="17" t="str">
        <f t="shared" si="26"/>
        <v/>
      </c>
      <c r="G312" s="18" t="str">
        <f t="shared" si="29"/>
        <v/>
      </c>
      <c r="H312" t="str">
        <f t="shared" si="30"/>
        <v/>
      </c>
      <c r="I312" s="23" t="str">
        <f ca="1">IF(A312="","",IF($B$8="Sí",interpolar_alamb(H312,OFFSET(Curvas_cupon_cero!$A$1,1,0,COUNT(Curvas_cupon_cero!$A:$A)-2,1),OFFSET(Curvas_cupon_cero!$A$1,1,MATCH($B$6,Curvas_cupon_cero!$1:$1,0)-1,COUNT(Curvas_cupon_cero!$A:$A)-2,1)),[1]!interpolar(H312,OFFSET(Curvas_cupon_cero!$A$1,1,0,COUNT(Curvas_cupon_cero!$A:$A)-2,1),OFFSET(Curvas_cupon_cero!$A$1,1,MATCH($B$6,Curvas_cupon_cero!$1:$1,0)-1,COUNT(Curvas_cupon_cero!$A:$A)-2,1))))</f>
        <v/>
      </c>
      <c r="J312" s="19" t="str">
        <f>IF(A312="","",F312/(1+I312*$B$5/360)^(COUNT(A$16:A312)-($B$5-$G$16)/$B$5))</f>
        <v/>
      </c>
    </row>
    <row r="313" spans="1:10" x14ac:dyDescent="0.2">
      <c r="A313" s="12" t="str">
        <f t="shared" si="27"/>
        <v/>
      </c>
      <c r="B313" t="str">
        <f t="shared" si="25"/>
        <v/>
      </c>
      <c r="C313" s="21" t="str">
        <f ca="1">IF(A313="","",IF($B$8="Sí",interpolar_alamb(B313,OFFSET(Curvas_cupon_cero!$A$1,1,0,COUNT(Curvas_cupon_cero!$A:$A)-2,1),OFFSET(Curvas_cupon_cero!$A$1,1,MATCH($B$7,Curvas_cupon_cero!$1:$1,0)-1,COUNT(Curvas_cupon_cero!$A:$A)-2,1)),[1]!interpolar(B313,OFFSET(Curvas_cupon_cero!$A$1,1,0,COUNT(Curvas_cupon_cero!$A:$A)-2,1),OFFSET(Curvas_cupon_cero!$A$1,1,MATCH($B$7,Curvas_cupon_cero!$1:$1,0)-1,COUNT(Curvas_cupon_cero!$A:$A)-2,1))))</f>
        <v/>
      </c>
      <c r="D313" s="23" t="str">
        <f ca="1">IF(A313="","",IF($B$8="Sí",interpolar_alamb(H313,OFFSET(Curvas_cupon_cero!$A$1,1,0,COUNT(Curvas_cupon_cero!$A:$A)-2,1),OFFSET(Curvas_cupon_cero!$A$1,1,MATCH($B$7,Curvas_cupon_cero!$1:$1,0)-1,COUNT(Curvas_cupon_cero!$A:$A)-2,1)),[1]!interpolar(H313,OFFSET(Curvas_cupon_cero!$A$1,1,0,COUNT(Curvas_cupon_cero!$A:$A)-2,1),OFFSET(Curvas_cupon_cero!$A$1,1,MATCH($B$7,Curvas_cupon_cero!$1:$1,0)-1,COUNT(Curvas_cupon_cero!$A:$A)-2,1))))</f>
        <v/>
      </c>
      <c r="E313" s="23" t="str">
        <f t="shared" si="28"/>
        <v/>
      </c>
      <c r="F313" s="17" t="str">
        <f t="shared" si="26"/>
        <v/>
      </c>
      <c r="G313" s="18" t="str">
        <f t="shared" si="29"/>
        <v/>
      </c>
      <c r="H313" t="str">
        <f t="shared" si="30"/>
        <v/>
      </c>
      <c r="I313" s="23" t="str">
        <f ca="1">IF(A313="","",IF($B$8="Sí",interpolar_alamb(H313,OFFSET(Curvas_cupon_cero!$A$1,1,0,COUNT(Curvas_cupon_cero!$A:$A)-2,1),OFFSET(Curvas_cupon_cero!$A$1,1,MATCH($B$6,Curvas_cupon_cero!$1:$1,0)-1,COUNT(Curvas_cupon_cero!$A:$A)-2,1)),[1]!interpolar(H313,OFFSET(Curvas_cupon_cero!$A$1,1,0,COUNT(Curvas_cupon_cero!$A:$A)-2,1),OFFSET(Curvas_cupon_cero!$A$1,1,MATCH($B$6,Curvas_cupon_cero!$1:$1,0)-1,COUNT(Curvas_cupon_cero!$A:$A)-2,1))))</f>
        <v/>
      </c>
      <c r="J313" s="19" t="str">
        <f>IF(A313="","",F313/(1+I313*$B$5/360)^(COUNT(A$16:A313)-($B$5-$G$16)/$B$5))</f>
        <v/>
      </c>
    </row>
    <row r="314" spans="1:10" x14ac:dyDescent="0.2">
      <c r="A314" s="12" t="str">
        <f t="shared" si="27"/>
        <v/>
      </c>
      <c r="B314" t="str">
        <f t="shared" si="25"/>
        <v/>
      </c>
      <c r="C314" s="21" t="str">
        <f ca="1">IF(A314="","",IF($B$8="Sí",interpolar_alamb(B314,OFFSET(Curvas_cupon_cero!$A$1,1,0,COUNT(Curvas_cupon_cero!$A:$A)-2,1),OFFSET(Curvas_cupon_cero!$A$1,1,MATCH($B$7,Curvas_cupon_cero!$1:$1,0)-1,COUNT(Curvas_cupon_cero!$A:$A)-2,1)),[1]!interpolar(B314,OFFSET(Curvas_cupon_cero!$A$1,1,0,COUNT(Curvas_cupon_cero!$A:$A)-2,1),OFFSET(Curvas_cupon_cero!$A$1,1,MATCH($B$7,Curvas_cupon_cero!$1:$1,0)-1,COUNT(Curvas_cupon_cero!$A:$A)-2,1))))</f>
        <v/>
      </c>
      <c r="D314" s="23" t="str">
        <f ca="1">IF(A314="","",IF($B$8="Sí",interpolar_alamb(H314,OFFSET(Curvas_cupon_cero!$A$1,1,0,COUNT(Curvas_cupon_cero!$A:$A)-2,1),OFFSET(Curvas_cupon_cero!$A$1,1,MATCH($B$7,Curvas_cupon_cero!$1:$1,0)-1,COUNT(Curvas_cupon_cero!$A:$A)-2,1)),[1]!interpolar(H314,OFFSET(Curvas_cupon_cero!$A$1,1,0,COUNT(Curvas_cupon_cero!$A:$A)-2,1),OFFSET(Curvas_cupon_cero!$A$1,1,MATCH($B$7,Curvas_cupon_cero!$1:$1,0)-1,COUNT(Curvas_cupon_cero!$A:$A)-2,1))))</f>
        <v/>
      </c>
      <c r="E314" s="23" t="str">
        <f t="shared" si="28"/>
        <v/>
      </c>
      <c r="F314" s="17" t="str">
        <f t="shared" si="26"/>
        <v/>
      </c>
      <c r="G314" s="18" t="str">
        <f t="shared" si="29"/>
        <v/>
      </c>
      <c r="H314" t="str">
        <f t="shared" si="30"/>
        <v/>
      </c>
      <c r="I314" s="23" t="str">
        <f ca="1">IF(A314="","",IF($B$8="Sí",interpolar_alamb(H314,OFFSET(Curvas_cupon_cero!$A$1,1,0,COUNT(Curvas_cupon_cero!$A:$A)-2,1),OFFSET(Curvas_cupon_cero!$A$1,1,MATCH($B$6,Curvas_cupon_cero!$1:$1,0)-1,COUNT(Curvas_cupon_cero!$A:$A)-2,1)),[1]!interpolar(H314,OFFSET(Curvas_cupon_cero!$A$1,1,0,COUNT(Curvas_cupon_cero!$A:$A)-2,1),OFFSET(Curvas_cupon_cero!$A$1,1,MATCH($B$6,Curvas_cupon_cero!$1:$1,0)-1,COUNT(Curvas_cupon_cero!$A:$A)-2,1))))</f>
        <v/>
      </c>
      <c r="J314" s="19" t="str">
        <f>IF(A314="","",F314/(1+I314*$B$5/360)^(COUNT(A$16:A314)-($B$5-$G$16)/$B$5))</f>
        <v/>
      </c>
    </row>
    <row r="315" spans="1:10" x14ac:dyDescent="0.2">
      <c r="A315" s="12" t="str">
        <f t="shared" si="27"/>
        <v/>
      </c>
      <c r="B315" t="str">
        <f t="shared" si="25"/>
        <v/>
      </c>
      <c r="C315" s="21" t="str">
        <f ca="1">IF(A315="","",IF($B$8="Sí",interpolar_alamb(B315,OFFSET(Curvas_cupon_cero!$A$1,1,0,COUNT(Curvas_cupon_cero!$A:$A)-2,1),OFFSET(Curvas_cupon_cero!$A$1,1,MATCH($B$7,Curvas_cupon_cero!$1:$1,0)-1,COUNT(Curvas_cupon_cero!$A:$A)-2,1)),[1]!interpolar(B315,OFFSET(Curvas_cupon_cero!$A$1,1,0,COUNT(Curvas_cupon_cero!$A:$A)-2,1),OFFSET(Curvas_cupon_cero!$A$1,1,MATCH($B$7,Curvas_cupon_cero!$1:$1,0)-1,COUNT(Curvas_cupon_cero!$A:$A)-2,1))))</f>
        <v/>
      </c>
      <c r="D315" s="23" t="str">
        <f ca="1">IF(A315="","",IF($B$8="Sí",interpolar_alamb(H315,OFFSET(Curvas_cupon_cero!$A$1,1,0,COUNT(Curvas_cupon_cero!$A:$A)-2,1),OFFSET(Curvas_cupon_cero!$A$1,1,MATCH($B$7,Curvas_cupon_cero!$1:$1,0)-1,COUNT(Curvas_cupon_cero!$A:$A)-2,1)),[1]!interpolar(H315,OFFSET(Curvas_cupon_cero!$A$1,1,0,COUNT(Curvas_cupon_cero!$A:$A)-2,1),OFFSET(Curvas_cupon_cero!$A$1,1,MATCH($B$7,Curvas_cupon_cero!$1:$1,0)-1,COUNT(Curvas_cupon_cero!$A:$A)-2,1))))</f>
        <v/>
      </c>
      <c r="E315" s="23" t="str">
        <f t="shared" si="28"/>
        <v/>
      </c>
      <c r="F315" s="17" t="str">
        <f t="shared" si="26"/>
        <v/>
      </c>
      <c r="G315" s="18" t="str">
        <f t="shared" si="29"/>
        <v/>
      </c>
      <c r="H315" t="str">
        <f t="shared" si="30"/>
        <v/>
      </c>
      <c r="I315" s="23" t="str">
        <f ca="1">IF(A315="","",IF($B$8="Sí",interpolar_alamb(H315,OFFSET(Curvas_cupon_cero!$A$1,1,0,COUNT(Curvas_cupon_cero!$A:$A)-2,1),OFFSET(Curvas_cupon_cero!$A$1,1,MATCH($B$6,Curvas_cupon_cero!$1:$1,0)-1,COUNT(Curvas_cupon_cero!$A:$A)-2,1)),[1]!interpolar(H315,OFFSET(Curvas_cupon_cero!$A$1,1,0,COUNT(Curvas_cupon_cero!$A:$A)-2,1),OFFSET(Curvas_cupon_cero!$A$1,1,MATCH($B$6,Curvas_cupon_cero!$1:$1,0)-1,COUNT(Curvas_cupon_cero!$A:$A)-2,1))))</f>
        <v/>
      </c>
      <c r="J315" s="19" t="str">
        <f>IF(A315="","",F315/(1+I315*$B$5/360)^(COUNT(A$16:A315)-($B$5-$G$16)/$B$5))</f>
        <v/>
      </c>
    </row>
    <row r="316" spans="1:10" x14ac:dyDescent="0.2">
      <c r="A316" s="12" t="str">
        <f t="shared" si="27"/>
        <v/>
      </c>
      <c r="B316" t="str">
        <f t="shared" si="25"/>
        <v/>
      </c>
      <c r="C316" s="21" t="str">
        <f ca="1">IF(A316="","",IF($B$8="Sí",interpolar_alamb(B316,OFFSET(Curvas_cupon_cero!$A$1,1,0,COUNT(Curvas_cupon_cero!$A:$A)-2,1),OFFSET(Curvas_cupon_cero!$A$1,1,MATCH($B$7,Curvas_cupon_cero!$1:$1,0)-1,COUNT(Curvas_cupon_cero!$A:$A)-2,1)),[1]!interpolar(B316,OFFSET(Curvas_cupon_cero!$A$1,1,0,COUNT(Curvas_cupon_cero!$A:$A)-2,1),OFFSET(Curvas_cupon_cero!$A$1,1,MATCH($B$7,Curvas_cupon_cero!$1:$1,0)-1,COUNT(Curvas_cupon_cero!$A:$A)-2,1))))</f>
        <v/>
      </c>
      <c r="D316" s="23" t="str">
        <f ca="1">IF(A316="","",IF($B$8="Sí",interpolar_alamb(H316,OFFSET(Curvas_cupon_cero!$A$1,1,0,COUNT(Curvas_cupon_cero!$A:$A)-2,1),OFFSET(Curvas_cupon_cero!$A$1,1,MATCH($B$7,Curvas_cupon_cero!$1:$1,0)-1,COUNT(Curvas_cupon_cero!$A:$A)-2,1)),[1]!interpolar(H316,OFFSET(Curvas_cupon_cero!$A$1,1,0,COUNT(Curvas_cupon_cero!$A:$A)-2,1),OFFSET(Curvas_cupon_cero!$A$1,1,MATCH($B$7,Curvas_cupon_cero!$1:$1,0)-1,COUNT(Curvas_cupon_cero!$A:$A)-2,1))))</f>
        <v/>
      </c>
      <c r="E316" s="23" t="str">
        <f t="shared" si="28"/>
        <v/>
      </c>
      <c r="F316" s="17" t="str">
        <f t="shared" si="26"/>
        <v/>
      </c>
      <c r="G316" s="18" t="str">
        <f t="shared" si="29"/>
        <v/>
      </c>
      <c r="H316" t="str">
        <f t="shared" si="30"/>
        <v/>
      </c>
      <c r="I316" s="23" t="str">
        <f ca="1">IF(A316="","",IF($B$8="Sí",interpolar_alamb(H316,OFFSET(Curvas_cupon_cero!$A$1,1,0,COUNT(Curvas_cupon_cero!$A:$A)-2,1),OFFSET(Curvas_cupon_cero!$A$1,1,MATCH($B$6,Curvas_cupon_cero!$1:$1,0)-1,COUNT(Curvas_cupon_cero!$A:$A)-2,1)),[1]!interpolar(H316,OFFSET(Curvas_cupon_cero!$A$1,1,0,COUNT(Curvas_cupon_cero!$A:$A)-2,1),OFFSET(Curvas_cupon_cero!$A$1,1,MATCH($B$6,Curvas_cupon_cero!$1:$1,0)-1,COUNT(Curvas_cupon_cero!$A:$A)-2,1))))</f>
        <v/>
      </c>
      <c r="J316" s="19" t="str">
        <f>IF(A316="","",F316/(1+I316*$B$5/360)^(COUNT(A$16:A316)-($B$5-$G$16)/$B$5))</f>
        <v/>
      </c>
    </row>
    <row r="317" spans="1:10" x14ac:dyDescent="0.2">
      <c r="A317" s="12" t="str">
        <f t="shared" si="27"/>
        <v/>
      </c>
      <c r="B317" t="str">
        <f t="shared" si="25"/>
        <v/>
      </c>
      <c r="C317" s="21" t="str">
        <f ca="1">IF(A317="","",IF($B$8="Sí",interpolar_alamb(B317,OFFSET(Curvas_cupon_cero!$A$1,1,0,COUNT(Curvas_cupon_cero!$A:$A)-2,1),OFFSET(Curvas_cupon_cero!$A$1,1,MATCH($B$7,Curvas_cupon_cero!$1:$1,0)-1,COUNT(Curvas_cupon_cero!$A:$A)-2,1)),[1]!interpolar(B317,OFFSET(Curvas_cupon_cero!$A$1,1,0,COUNT(Curvas_cupon_cero!$A:$A)-2,1),OFFSET(Curvas_cupon_cero!$A$1,1,MATCH($B$7,Curvas_cupon_cero!$1:$1,0)-1,COUNT(Curvas_cupon_cero!$A:$A)-2,1))))</f>
        <v/>
      </c>
      <c r="D317" s="23" t="str">
        <f ca="1">IF(A317="","",IF($B$8="Sí",interpolar_alamb(H317,OFFSET(Curvas_cupon_cero!$A$1,1,0,COUNT(Curvas_cupon_cero!$A:$A)-2,1),OFFSET(Curvas_cupon_cero!$A$1,1,MATCH($B$7,Curvas_cupon_cero!$1:$1,0)-1,COUNT(Curvas_cupon_cero!$A:$A)-2,1)),[1]!interpolar(H317,OFFSET(Curvas_cupon_cero!$A$1,1,0,COUNT(Curvas_cupon_cero!$A:$A)-2,1),OFFSET(Curvas_cupon_cero!$A$1,1,MATCH($B$7,Curvas_cupon_cero!$1:$1,0)-1,COUNT(Curvas_cupon_cero!$A:$A)-2,1))))</f>
        <v/>
      </c>
      <c r="E317" s="23" t="str">
        <f t="shared" si="28"/>
        <v/>
      </c>
      <c r="F317" s="17" t="str">
        <f t="shared" si="26"/>
        <v/>
      </c>
      <c r="G317" s="18" t="str">
        <f t="shared" si="29"/>
        <v/>
      </c>
      <c r="H317" t="str">
        <f t="shared" si="30"/>
        <v/>
      </c>
      <c r="I317" s="23" t="str">
        <f ca="1">IF(A317="","",IF($B$8="Sí",interpolar_alamb(H317,OFFSET(Curvas_cupon_cero!$A$1,1,0,COUNT(Curvas_cupon_cero!$A:$A)-2,1),OFFSET(Curvas_cupon_cero!$A$1,1,MATCH($B$6,Curvas_cupon_cero!$1:$1,0)-1,COUNT(Curvas_cupon_cero!$A:$A)-2,1)),[1]!interpolar(H317,OFFSET(Curvas_cupon_cero!$A$1,1,0,COUNT(Curvas_cupon_cero!$A:$A)-2,1),OFFSET(Curvas_cupon_cero!$A$1,1,MATCH($B$6,Curvas_cupon_cero!$1:$1,0)-1,COUNT(Curvas_cupon_cero!$A:$A)-2,1))))</f>
        <v/>
      </c>
      <c r="J317" s="19" t="str">
        <f>IF(A317="","",F317/(1+I317*$B$5/360)^(COUNT(A$16:A317)-($B$5-$G$16)/$B$5))</f>
        <v/>
      </c>
    </row>
    <row r="318" spans="1:10" x14ac:dyDescent="0.2">
      <c r="A318" s="12" t="str">
        <f t="shared" si="27"/>
        <v/>
      </c>
      <c r="B318" t="str">
        <f t="shared" si="25"/>
        <v/>
      </c>
      <c r="C318" s="21" t="str">
        <f ca="1">IF(A318="","",IF($B$8="Sí",interpolar_alamb(B318,OFFSET(Curvas_cupon_cero!$A$1,1,0,COUNT(Curvas_cupon_cero!$A:$A)-2,1),OFFSET(Curvas_cupon_cero!$A$1,1,MATCH($B$7,Curvas_cupon_cero!$1:$1,0)-1,COUNT(Curvas_cupon_cero!$A:$A)-2,1)),[1]!interpolar(B318,OFFSET(Curvas_cupon_cero!$A$1,1,0,COUNT(Curvas_cupon_cero!$A:$A)-2,1),OFFSET(Curvas_cupon_cero!$A$1,1,MATCH($B$7,Curvas_cupon_cero!$1:$1,0)-1,COUNT(Curvas_cupon_cero!$A:$A)-2,1))))</f>
        <v/>
      </c>
      <c r="D318" s="23" t="str">
        <f ca="1">IF(A318="","",IF($B$8="Sí",interpolar_alamb(H318,OFFSET(Curvas_cupon_cero!$A$1,1,0,COUNT(Curvas_cupon_cero!$A:$A)-2,1),OFFSET(Curvas_cupon_cero!$A$1,1,MATCH($B$7,Curvas_cupon_cero!$1:$1,0)-1,COUNT(Curvas_cupon_cero!$A:$A)-2,1)),[1]!interpolar(H318,OFFSET(Curvas_cupon_cero!$A$1,1,0,COUNT(Curvas_cupon_cero!$A:$A)-2,1),OFFSET(Curvas_cupon_cero!$A$1,1,MATCH($B$7,Curvas_cupon_cero!$1:$1,0)-1,COUNT(Curvas_cupon_cero!$A:$A)-2,1))))</f>
        <v/>
      </c>
      <c r="E318" s="23" t="str">
        <f t="shared" si="28"/>
        <v/>
      </c>
      <c r="F318" s="17" t="str">
        <f t="shared" si="26"/>
        <v/>
      </c>
      <c r="G318" s="18" t="str">
        <f t="shared" si="29"/>
        <v/>
      </c>
      <c r="H318" t="str">
        <f t="shared" si="30"/>
        <v/>
      </c>
      <c r="I318" s="23" t="str">
        <f ca="1">IF(A318="","",IF($B$8="Sí",interpolar_alamb(H318,OFFSET(Curvas_cupon_cero!$A$1,1,0,COUNT(Curvas_cupon_cero!$A:$A)-2,1),OFFSET(Curvas_cupon_cero!$A$1,1,MATCH($B$6,Curvas_cupon_cero!$1:$1,0)-1,COUNT(Curvas_cupon_cero!$A:$A)-2,1)),[1]!interpolar(H318,OFFSET(Curvas_cupon_cero!$A$1,1,0,COUNT(Curvas_cupon_cero!$A:$A)-2,1),OFFSET(Curvas_cupon_cero!$A$1,1,MATCH($B$6,Curvas_cupon_cero!$1:$1,0)-1,COUNT(Curvas_cupon_cero!$A:$A)-2,1))))</f>
        <v/>
      </c>
      <c r="J318" s="19" t="str">
        <f>IF(A318="","",F318/(1+I318*$B$5/360)^(COUNT(A$16:A318)-($B$5-$G$16)/$B$5))</f>
        <v/>
      </c>
    </row>
    <row r="319" spans="1:10" x14ac:dyDescent="0.2">
      <c r="A319" s="12" t="str">
        <f t="shared" si="27"/>
        <v/>
      </c>
      <c r="B319" t="str">
        <f t="shared" si="25"/>
        <v/>
      </c>
      <c r="C319" s="21" t="str">
        <f ca="1">IF(A319="","",IF($B$8="Sí",interpolar_alamb(B319,OFFSET(Curvas_cupon_cero!$A$1,1,0,COUNT(Curvas_cupon_cero!$A:$A)-2,1),OFFSET(Curvas_cupon_cero!$A$1,1,MATCH($B$7,Curvas_cupon_cero!$1:$1,0)-1,COUNT(Curvas_cupon_cero!$A:$A)-2,1)),[1]!interpolar(B319,OFFSET(Curvas_cupon_cero!$A$1,1,0,COUNT(Curvas_cupon_cero!$A:$A)-2,1),OFFSET(Curvas_cupon_cero!$A$1,1,MATCH($B$7,Curvas_cupon_cero!$1:$1,0)-1,COUNT(Curvas_cupon_cero!$A:$A)-2,1))))</f>
        <v/>
      </c>
      <c r="D319" s="23" t="str">
        <f ca="1">IF(A319="","",IF($B$8="Sí",interpolar_alamb(H319,OFFSET(Curvas_cupon_cero!$A$1,1,0,COUNT(Curvas_cupon_cero!$A:$A)-2,1),OFFSET(Curvas_cupon_cero!$A$1,1,MATCH($B$7,Curvas_cupon_cero!$1:$1,0)-1,COUNT(Curvas_cupon_cero!$A:$A)-2,1)),[1]!interpolar(H319,OFFSET(Curvas_cupon_cero!$A$1,1,0,COUNT(Curvas_cupon_cero!$A:$A)-2,1),OFFSET(Curvas_cupon_cero!$A$1,1,MATCH($B$7,Curvas_cupon_cero!$1:$1,0)-1,COUNT(Curvas_cupon_cero!$A:$A)-2,1))))</f>
        <v/>
      </c>
      <c r="E319" s="23" t="str">
        <f t="shared" si="28"/>
        <v/>
      </c>
      <c r="F319" s="17" t="str">
        <f t="shared" si="26"/>
        <v/>
      </c>
      <c r="G319" s="18" t="str">
        <f t="shared" si="29"/>
        <v/>
      </c>
      <c r="H319" t="str">
        <f t="shared" si="30"/>
        <v/>
      </c>
      <c r="I319" s="23" t="str">
        <f ca="1">IF(A319="","",IF($B$8="Sí",interpolar_alamb(H319,OFFSET(Curvas_cupon_cero!$A$1,1,0,COUNT(Curvas_cupon_cero!$A:$A)-2,1),OFFSET(Curvas_cupon_cero!$A$1,1,MATCH($B$6,Curvas_cupon_cero!$1:$1,0)-1,COUNT(Curvas_cupon_cero!$A:$A)-2,1)),[1]!interpolar(H319,OFFSET(Curvas_cupon_cero!$A$1,1,0,COUNT(Curvas_cupon_cero!$A:$A)-2,1),OFFSET(Curvas_cupon_cero!$A$1,1,MATCH($B$6,Curvas_cupon_cero!$1:$1,0)-1,COUNT(Curvas_cupon_cero!$A:$A)-2,1))))</f>
        <v/>
      </c>
      <c r="J319" s="19" t="str">
        <f>IF(A319="","",F319/(1+I319*$B$5/360)^(COUNT(A$16:A319)-($B$5-$G$16)/$B$5))</f>
        <v/>
      </c>
    </row>
    <row r="320" spans="1:10" x14ac:dyDescent="0.2">
      <c r="A320" s="12" t="str">
        <f t="shared" si="27"/>
        <v/>
      </c>
      <c r="B320" t="str">
        <f t="shared" si="25"/>
        <v/>
      </c>
      <c r="C320" s="21" t="str">
        <f ca="1">IF(A320="","",IF($B$8="Sí",interpolar_alamb(B320,OFFSET(Curvas_cupon_cero!$A$1,1,0,COUNT(Curvas_cupon_cero!$A:$A)-2,1),OFFSET(Curvas_cupon_cero!$A$1,1,MATCH($B$7,Curvas_cupon_cero!$1:$1,0)-1,COUNT(Curvas_cupon_cero!$A:$A)-2,1)),[1]!interpolar(B320,OFFSET(Curvas_cupon_cero!$A$1,1,0,COUNT(Curvas_cupon_cero!$A:$A)-2,1),OFFSET(Curvas_cupon_cero!$A$1,1,MATCH($B$7,Curvas_cupon_cero!$1:$1,0)-1,COUNT(Curvas_cupon_cero!$A:$A)-2,1))))</f>
        <v/>
      </c>
      <c r="D320" s="23" t="str">
        <f ca="1">IF(A320="","",IF($B$8="Sí",interpolar_alamb(H320,OFFSET(Curvas_cupon_cero!$A$1,1,0,COUNT(Curvas_cupon_cero!$A:$A)-2,1),OFFSET(Curvas_cupon_cero!$A$1,1,MATCH($B$7,Curvas_cupon_cero!$1:$1,0)-1,COUNT(Curvas_cupon_cero!$A:$A)-2,1)),[1]!interpolar(H320,OFFSET(Curvas_cupon_cero!$A$1,1,0,COUNT(Curvas_cupon_cero!$A:$A)-2,1),OFFSET(Curvas_cupon_cero!$A$1,1,MATCH($B$7,Curvas_cupon_cero!$1:$1,0)-1,COUNT(Curvas_cupon_cero!$A:$A)-2,1))))</f>
        <v/>
      </c>
      <c r="E320" s="23" t="str">
        <f t="shared" si="28"/>
        <v/>
      </c>
      <c r="F320" s="17" t="str">
        <f t="shared" si="26"/>
        <v/>
      </c>
      <c r="G320" s="18" t="str">
        <f t="shared" si="29"/>
        <v/>
      </c>
      <c r="H320" t="str">
        <f t="shared" si="30"/>
        <v/>
      </c>
      <c r="I320" s="23" t="str">
        <f ca="1">IF(A320="","",IF($B$8="Sí",interpolar_alamb(H320,OFFSET(Curvas_cupon_cero!$A$1,1,0,COUNT(Curvas_cupon_cero!$A:$A)-2,1),OFFSET(Curvas_cupon_cero!$A$1,1,MATCH($B$6,Curvas_cupon_cero!$1:$1,0)-1,COUNT(Curvas_cupon_cero!$A:$A)-2,1)),[1]!interpolar(H320,OFFSET(Curvas_cupon_cero!$A$1,1,0,COUNT(Curvas_cupon_cero!$A:$A)-2,1),OFFSET(Curvas_cupon_cero!$A$1,1,MATCH($B$6,Curvas_cupon_cero!$1:$1,0)-1,COUNT(Curvas_cupon_cero!$A:$A)-2,1))))</f>
        <v/>
      </c>
      <c r="J320" s="19" t="str">
        <f>IF(A320="","",F320/(1+I320*$B$5/360)^(COUNT(A$16:A320)-($B$5-$G$16)/$B$5))</f>
        <v/>
      </c>
    </row>
    <row r="321" spans="1:10" x14ac:dyDescent="0.2">
      <c r="A321" s="12" t="str">
        <f t="shared" si="27"/>
        <v/>
      </c>
      <c r="B321" t="str">
        <f t="shared" si="25"/>
        <v/>
      </c>
      <c r="C321" s="21" t="str">
        <f ca="1">IF(A321="","",IF($B$8="Sí",interpolar_alamb(B321,OFFSET(Curvas_cupon_cero!$A$1,1,0,COUNT(Curvas_cupon_cero!$A:$A)-2,1),OFFSET(Curvas_cupon_cero!$A$1,1,MATCH($B$7,Curvas_cupon_cero!$1:$1,0)-1,COUNT(Curvas_cupon_cero!$A:$A)-2,1)),[1]!interpolar(B321,OFFSET(Curvas_cupon_cero!$A$1,1,0,COUNT(Curvas_cupon_cero!$A:$A)-2,1),OFFSET(Curvas_cupon_cero!$A$1,1,MATCH($B$7,Curvas_cupon_cero!$1:$1,0)-1,COUNT(Curvas_cupon_cero!$A:$A)-2,1))))</f>
        <v/>
      </c>
      <c r="D321" s="23" t="str">
        <f ca="1">IF(A321="","",IF($B$8="Sí",interpolar_alamb(H321,OFFSET(Curvas_cupon_cero!$A$1,1,0,COUNT(Curvas_cupon_cero!$A:$A)-2,1),OFFSET(Curvas_cupon_cero!$A$1,1,MATCH($B$7,Curvas_cupon_cero!$1:$1,0)-1,COUNT(Curvas_cupon_cero!$A:$A)-2,1)),[1]!interpolar(H321,OFFSET(Curvas_cupon_cero!$A$1,1,0,COUNT(Curvas_cupon_cero!$A:$A)-2,1),OFFSET(Curvas_cupon_cero!$A$1,1,MATCH($B$7,Curvas_cupon_cero!$1:$1,0)-1,COUNT(Curvas_cupon_cero!$A:$A)-2,1))))</f>
        <v/>
      </c>
      <c r="E321" s="23" t="str">
        <f t="shared" si="28"/>
        <v/>
      </c>
      <c r="F321" s="17" t="str">
        <f t="shared" si="26"/>
        <v/>
      </c>
      <c r="G321" s="18" t="str">
        <f t="shared" si="29"/>
        <v/>
      </c>
      <c r="H321" t="str">
        <f t="shared" si="30"/>
        <v/>
      </c>
      <c r="I321" s="23" t="str">
        <f ca="1">IF(A321="","",IF($B$8="Sí",interpolar_alamb(H321,OFFSET(Curvas_cupon_cero!$A$1,1,0,COUNT(Curvas_cupon_cero!$A:$A)-2,1),OFFSET(Curvas_cupon_cero!$A$1,1,MATCH($B$6,Curvas_cupon_cero!$1:$1,0)-1,COUNT(Curvas_cupon_cero!$A:$A)-2,1)),[1]!interpolar(H321,OFFSET(Curvas_cupon_cero!$A$1,1,0,COUNT(Curvas_cupon_cero!$A:$A)-2,1),OFFSET(Curvas_cupon_cero!$A$1,1,MATCH($B$6,Curvas_cupon_cero!$1:$1,0)-1,COUNT(Curvas_cupon_cero!$A:$A)-2,1))))</f>
        <v/>
      </c>
      <c r="J321" s="19" t="str">
        <f>IF(A321="","",F321/(1+I321*$B$5/360)^(COUNT(A$16:A321)-($B$5-$G$16)/$B$5))</f>
        <v/>
      </c>
    </row>
    <row r="322" spans="1:10" x14ac:dyDescent="0.2">
      <c r="A322" s="12" t="str">
        <f t="shared" si="27"/>
        <v/>
      </c>
      <c r="B322" t="str">
        <f t="shared" si="25"/>
        <v/>
      </c>
      <c r="C322" s="21" t="str">
        <f ca="1">IF(A322="","",IF($B$8="Sí",interpolar_alamb(B322,OFFSET(Curvas_cupon_cero!$A$1,1,0,COUNT(Curvas_cupon_cero!$A:$A)-2,1),OFFSET(Curvas_cupon_cero!$A$1,1,MATCH($B$7,Curvas_cupon_cero!$1:$1,0)-1,COUNT(Curvas_cupon_cero!$A:$A)-2,1)),[1]!interpolar(B322,OFFSET(Curvas_cupon_cero!$A$1,1,0,COUNT(Curvas_cupon_cero!$A:$A)-2,1),OFFSET(Curvas_cupon_cero!$A$1,1,MATCH($B$7,Curvas_cupon_cero!$1:$1,0)-1,COUNT(Curvas_cupon_cero!$A:$A)-2,1))))</f>
        <v/>
      </c>
      <c r="D322" s="23" t="str">
        <f ca="1">IF(A322="","",IF($B$8="Sí",interpolar_alamb(H322,OFFSET(Curvas_cupon_cero!$A$1,1,0,COUNT(Curvas_cupon_cero!$A:$A)-2,1),OFFSET(Curvas_cupon_cero!$A$1,1,MATCH($B$7,Curvas_cupon_cero!$1:$1,0)-1,COUNT(Curvas_cupon_cero!$A:$A)-2,1)),[1]!interpolar(H322,OFFSET(Curvas_cupon_cero!$A$1,1,0,COUNT(Curvas_cupon_cero!$A:$A)-2,1),OFFSET(Curvas_cupon_cero!$A$1,1,MATCH($B$7,Curvas_cupon_cero!$1:$1,0)-1,COUNT(Curvas_cupon_cero!$A:$A)-2,1))))</f>
        <v/>
      </c>
      <c r="E322" s="23" t="str">
        <f t="shared" si="28"/>
        <v/>
      </c>
      <c r="F322" s="17" t="str">
        <f t="shared" si="26"/>
        <v/>
      </c>
      <c r="G322" s="18" t="str">
        <f t="shared" si="29"/>
        <v/>
      </c>
      <c r="H322" t="str">
        <f t="shared" si="30"/>
        <v/>
      </c>
      <c r="I322" s="23" t="str">
        <f ca="1">IF(A322="","",IF($B$8="Sí",interpolar_alamb(H322,OFFSET(Curvas_cupon_cero!$A$1,1,0,COUNT(Curvas_cupon_cero!$A:$A)-2,1),OFFSET(Curvas_cupon_cero!$A$1,1,MATCH($B$6,Curvas_cupon_cero!$1:$1,0)-1,COUNT(Curvas_cupon_cero!$A:$A)-2,1)),[1]!interpolar(H322,OFFSET(Curvas_cupon_cero!$A$1,1,0,COUNT(Curvas_cupon_cero!$A:$A)-2,1),OFFSET(Curvas_cupon_cero!$A$1,1,MATCH($B$6,Curvas_cupon_cero!$1:$1,0)-1,COUNT(Curvas_cupon_cero!$A:$A)-2,1))))</f>
        <v/>
      </c>
      <c r="J322" s="19" t="str">
        <f>IF(A322="","",F322/(1+I322*$B$5/360)^(COUNT(A$16:A322)-($B$5-$G$16)/$B$5))</f>
        <v/>
      </c>
    </row>
    <row r="323" spans="1:10" x14ac:dyDescent="0.2">
      <c r="A323" s="12" t="str">
        <f t="shared" si="27"/>
        <v/>
      </c>
      <c r="B323" t="str">
        <f t="shared" si="25"/>
        <v/>
      </c>
      <c r="C323" s="21" t="str">
        <f ca="1">IF(A323="","",IF($B$8="Sí",interpolar_alamb(B323,OFFSET(Curvas_cupon_cero!$A$1,1,0,COUNT(Curvas_cupon_cero!$A:$A)-2,1),OFFSET(Curvas_cupon_cero!$A$1,1,MATCH($B$7,Curvas_cupon_cero!$1:$1,0)-1,COUNT(Curvas_cupon_cero!$A:$A)-2,1)),[1]!interpolar(B323,OFFSET(Curvas_cupon_cero!$A$1,1,0,COUNT(Curvas_cupon_cero!$A:$A)-2,1),OFFSET(Curvas_cupon_cero!$A$1,1,MATCH($B$7,Curvas_cupon_cero!$1:$1,0)-1,COUNT(Curvas_cupon_cero!$A:$A)-2,1))))</f>
        <v/>
      </c>
      <c r="D323" s="23" t="str">
        <f ca="1">IF(A323="","",IF($B$8="Sí",interpolar_alamb(H323,OFFSET(Curvas_cupon_cero!$A$1,1,0,COUNT(Curvas_cupon_cero!$A:$A)-2,1),OFFSET(Curvas_cupon_cero!$A$1,1,MATCH($B$7,Curvas_cupon_cero!$1:$1,0)-1,COUNT(Curvas_cupon_cero!$A:$A)-2,1)),[1]!interpolar(H323,OFFSET(Curvas_cupon_cero!$A$1,1,0,COUNT(Curvas_cupon_cero!$A:$A)-2,1),OFFSET(Curvas_cupon_cero!$A$1,1,MATCH($B$7,Curvas_cupon_cero!$1:$1,0)-1,COUNT(Curvas_cupon_cero!$A:$A)-2,1))))</f>
        <v/>
      </c>
      <c r="E323" s="23" t="str">
        <f t="shared" si="28"/>
        <v/>
      </c>
      <c r="F323" s="17" t="str">
        <f t="shared" si="26"/>
        <v/>
      </c>
      <c r="G323" s="18" t="str">
        <f t="shared" si="29"/>
        <v/>
      </c>
      <c r="H323" t="str">
        <f t="shared" si="30"/>
        <v/>
      </c>
      <c r="I323" s="23" t="str">
        <f ca="1">IF(A323="","",IF($B$8="Sí",interpolar_alamb(H323,OFFSET(Curvas_cupon_cero!$A$1,1,0,COUNT(Curvas_cupon_cero!$A:$A)-2,1),OFFSET(Curvas_cupon_cero!$A$1,1,MATCH($B$6,Curvas_cupon_cero!$1:$1,0)-1,COUNT(Curvas_cupon_cero!$A:$A)-2,1)),[1]!interpolar(H323,OFFSET(Curvas_cupon_cero!$A$1,1,0,COUNT(Curvas_cupon_cero!$A:$A)-2,1),OFFSET(Curvas_cupon_cero!$A$1,1,MATCH($B$6,Curvas_cupon_cero!$1:$1,0)-1,COUNT(Curvas_cupon_cero!$A:$A)-2,1))))</f>
        <v/>
      </c>
      <c r="J323" s="19" t="str">
        <f>IF(A323="","",F323/(1+I323*$B$5/360)^(COUNT(A$16:A323)-($B$5-$G$16)/$B$5))</f>
        <v/>
      </c>
    </row>
    <row r="324" spans="1:10" x14ac:dyDescent="0.2">
      <c r="A324" s="12" t="str">
        <f t="shared" si="27"/>
        <v/>
      </c>
      <c r="B324" t="str">
        <f t="shared" si="25"/>
        <v/>
      </c>
      <c r="C324" s="21" t="str">
        <f ca="1">IF(A324="","",IF($B$8="Sí",interpolar_alamb(B324,OFFSET(Curvas_cupon_cero!$A$1,1,0,COUNT(Curvas_cupon_cero!$A:$A)-2,1),OFFSET(Curvas_cupon_cero!$A$1,1,MATCH($B$7,Curvas_cupon_cero!$1:$1,0)-1,COUNT(Curvas_cupon_cero!$A:$A)-2,1)),[1]!interpolar(B324,OFFSET(Curvas_cupon_cero!$A$1,1,0,COUNT(Curvas_cupon_cero!$A:$A)-2,1),OFFSET(Curvas_cupon_cero!$A$1,1,MATCH($B$7,Curvas_cupon_cero!$1:$1,0)-1,COUNT(Curvas_cupon_cero!$A:$A)-2,1))))</f>
        <v/>
      </c>
      <c r="D324" s="23" t="str">
        <f ca="1">IF(A324="","",IF($B$8="Sí",interpolar_alamb(H324,OFFSET(Curvas_cupon_cero!$A$1,1,0,COUNT(Curvas_cupon_cero!$A:$A)-2,1),OFFSET(Curvas_cupon_cero!$A$1,1,MATCH($B$7,Curvas_cupon_cero!$1:$1,0)-1,COUNT(Curvas_cupon_cero!$A:$A)-2,1)),[1]!interpolar(H324,OFFSET(Curvas_cupon_cero!$A$1,1,0,COUNT(Curvas_cupon_cero!$A:$A)-2,1),OFFSET(Curvas_cupon_cero!$A$1,1,MATCH($B$7,Curvas_cupon_cero!$1:$1,0)-1,COUNT(Curvas_cupon_cero!$A:$A)-2,1))))</f>
        <v/>
      </c>
      <c r="E324" s="23" t="str">
        <f t="shared" si="28"/>
        <v/>
      </c>
      <c r="F324" s="17" t="str">
        <f t="shared" si="26"/>
        <v/>
      </c>
      <c r="G324" s="18" t="str">
        <f t="shared" si="29"/>
        <v/>
      </c>
      <c r="H324" t="str">
        <f t="shared" si="30"/>
        <v/>
      </c>
      <c r="I324" s="23" t="str">
        <f ca="1">IF(A324="","",IF($B$8="Sí",interpolar_alamb(H324,OFFSET(Curvas_cupon_cero!$A$1,1,0,COUNT(Curvas_cupon_cero!$A:$A)-2,1),OFFSET(Curvas_cupon_cero!$A$1,1,MATCH($B$6,Curvas_cupon_cero!$1:$1,0)-1,COUNT(Curvas_cupon_cero!$A:$A)-2,1)),[1]!interpolar(H324,OFFSET(Curvas_cupon_cero!$A$1,1,0,COUNT(Curvas_cupon_cero!$A:$A)-2,1),OFFSET(Curvas_cupon_cero!$A$1,1,MATCH($B$6,Curvas_cupon_cero!$1:$1,0)-1,COUNT(Curvas_cupon_cero!$A:$A)-2,1))))</f>
        <v/>
      </c>
      <c r="J324" s="19" t="str">
        <f>IF(A324="","",F324/(1+I324*$B$5/360)^(COUNT(A$16:A324)-($B$5-$G$16)/$B$5))</f>
        <v/>
      </c>
    </row>
    <row r="325" spans="1:10" x14ac:dyDescent="0.2">
      <c r="A325" s="12" t="str">
        <f t="shared" si="27"/>
        <v/>
      </c>
      <c r="B325" t="str">
        <f t="shared" si="25"/>
        <v/>
      </c>
      <c r="C325" s="21" t="str">
        <f ca="1">IF(A325="","",IF($B$8="Sí",interpolar_alamb(B325,OFFSET(Curvas_cupon_cero!$A$1,1,0,COUNT(Curvas_cupon_cero!$A:$A)-2,1),OFFSET(Curvas_cupon_cero!$A$1,1,MATCH($B$7,Curvas_cupon_cero!$1:$1,0)-1,COUNT(Curvas_cupon_cero!$A:$A)-2,1)),[1]!interpolar(B325,OFFSET(Curvas_cupon_cero!$A$1,1,0,COUNT(Curvas_cupon_cero!$A:$A)-2,1),OFFSET(Curvas_cupon_cero!$A$1,1,MATCH($B$7,Curvas_cupon_cero!$1:$1,0)-1,COUNT(Curvas_cupon_cero!$A:$A)-2,1))))</f>
        <v/>
      </c>
      <c r="D325" s="23" t="str">
        <f ca="1">IF(A325="","",IF($B$8="Sí",interpolar_alamb(H325,OFFSET(Curvas_cupon_cero!$A$1,1,0,COUNT(Curvas_cupon_cero!$A:$A)-2,1),OFFSET(Curvas_cupon_cero!$A$1,1,MATCH($B$7,Curvas_cupon_cero!$1:$1,0)-1,COUNT(Curvas_cupon_cero!$A:$A)-2,1)),[1]!interpolar(H325,OFFSET(Curvas_cupon_cero!$A$1,1,0,COUNT(Curvas_cupon_cero!$A:$A)-2,1),OFFSET(Curvas_cupon_cero!$A$1,1,MATCH($B$7,Curvas_cupon_cero!$1:$1,0)-1,COUNT(Curvas_cupon_cero!$A:$A)-2,1))))</f>
        <v/>
      </c>
      <c r="E325" s="23" t="str">
        <f t="shared" si="28"/>
        <v/>
      </c>
      <c r="F325" s="17" t="str">
        <f t="shared" si="26"/>
        <v/>
      </c>
      <c r="G325" s="18" t="str">
        <f t="shared" si="29"/>
        <v/>
      </c>
      <c r="H325" t="str">
        <f t="shared" si="30"/>
        <v/>
      </c>
      <c r="I325" s="23" t="str">
        <f ca="1">IF(A325="","",IF($B$8="Sí",interpolar_alamb(H325,OFFSET(Curvas_cupon_cero!$A$1,1,0,COUNT(Curvas_cupon_cero!$A:$A)-2,1),OFFSET(Curvas_cupon_cero!$A$1,1,MATCH($B$6,Curvas_cupon_cero!$1:$1,0)-1,COUNT(Curvas_cupon_cero!$A:$A)-2,1)),[1]!interpolar(H325,OFFSET(Curvas_cupon_cero!$A$1,1,0,COUNT(Curvas_cupon_cero!$A:$A)-2,1),OFFSET(Curvas_cupon_cero!$A$1,1,MATCH($B$6,Curvas_cupon_cero!$1:$1,0)-1,COUNT(Curvas_cupon_cero!$A:$A)-2,1))))</f>
        <v/>
      </c>
      <c r="J325" s="19" t="str">
        <f>IF(A325="","",F325/(1+I325*$B$5/360)^(COUNT(A$16:A325)-($B$5-$G$16)/$B$5))</f>
        <v/>
      </c>
    </row>
    <row r="326" spans="1:10" x14ac:dyDescent="0.2">
      <c r="A326" s="12" t="str">
        <f t="shared" si="27"/>
        <v/>
      </c>
      <c r="B326" t="str">
        <f t="shared" si="25"/>
        <v/>
      </c>
      <c r="C326" s="21" t="str">
        <f ca="1">IF(A326="","",IF($B$8="Sí",interpolar_alamb(B326,OFFSET(Curvas_cupon_cero!$A$1,1,0,COUNT(Curvas_cupon_cero!$A:$A)-2,1),OFFSET(Curvas_cupon_cero!$A$1,1,MATCH($B$7,Curvas_cupon_cero!$1:$1,0)-1,COUNT(Curvas_cupon_cero!$A:$A)-2,1)),[1]!interpolar(B326,OFFSET(Curvas_cupon_cero!$A$1,1,0,COUNT(Curvas_cupon_cero!$A:$A)-2,1),OFFSET(Curvas_cupon_cero!$A$1,1,MATCH($B$7,Curvas_cupon_cero!$1:$1,0)-1,COUNT(Curvas_cupon_cero!$A:$A)-2,1))))</f>
        <v/>
      </c>
      <c r="D326" s="23" t="str">
        <f ca="1">IF(A326="","",IF($B$8="Sí",interpolar_alamb(H326,OFFSET(Curvas_cupon_cero!$A$1,1,0,COUNT(Curvas_cupon_cero!$A:$A)-2,1),OFFSET(Curvas_cupon_cero!$A$1,1,MATCH($B$7,Curvas_cupon_cero!$1:$1,0)-1,COUNT(Curvas_cupon_cero!$A:$A)-2,1)),[1]!interpolar(H326,OFFSET(Curvas_cupon_cero!$A$1,1,0,COUNT(Curvas_cupon_cero!$A:$A)-2,1),OFFSET(Curvas_cupon_cero!$A$1,1,MATCH($B$7,Curvas_cupon_cero!$1:$1,0)-1,COUNT(Curvas_cupon_cero!$A:$A)-2,1))))</f>
        <v/>
      </c>
      <c r="E326" s="23" t="str">
        <f t="shared" si="28"/>
        <v/>
      </c>
      <c r="F326" s="17" t="str">
        <f t="shared" si="26"/>
        <v/>
      </c>
      <c r="G326" s="18" t="str">
        <f t="shared" si="29"/>
        <v/>
      </c>
      <c r="H326" t="str">
        <f t="shared" si="30"/>
        <v/>
      </c>
      <c r="I326" s="23" t="str">
        <f ca="1">IF(A326="","",IF($B$8="Sí",interpolar_alamb(H326,OFFSET(Curvas_cupon_cero!$A$1,1,0,COUNT(Curvas_cupon_cero!$A:$A)-2,1),OFFSET(Curvas_cupon_cero!$A$1,1,MATCH($B$6,Curvas_cupon_cero!$1:$1,0)-1,COUNT(Curvas_cupon_cero!$A:$A)-2,1)),[1]!interpolar(H326,OFFSET(Curvas_cupon_cero!$A$1,1,0,COUNT(Curvas_cupon_cero!$A:$A)-2,1),OFFSET(Curvas_cupon_cero!$A$1,1,MATCH($B$6,Curvas_cupon_cero!$1:$1,0)-1,COUNT(Curvas_cupon_cero!$A:$A)-2,1))))</f>
        <v/>
      </c>
      <c r="J326" s="19" t="str">
        <f>IF(A326="","",F326/(1+I326*$B$5/360)^(COUNT(A$16:A326)-($B$5-$G$16)/$B$5))</f>
        <v/>
      </c>
    </row>
    <row r="327" spans="1:10" x14ac:dyDescent="0.2">
      <c r="A327" s="12" t="str">
        <f t="shared" si="27"/>
        <v/>
      </c>
      <c r="B327" t="str">
        <f t="shared" si="25"/>
        <v/>
      </c>
      <c r="C327" s="21" t="str">
        <f ca="1">IF(A327="","",IF($B$8="Sí",interpolar_alamb(B327,OFFSET(Curvas_cupon_cero!$A$1,1,0,COUNT(Curvas_cupon_cero!$A:$A)-2,1),OFFSET(Curvas_cupon_cero!$A$1,1,MATCH($B$7,Curvas_cupon_cero!$1:$1,0)-1,COUNT(Curvas_cupon_cero!$A:$A)-2,1)),[1]!interpolar(B327,OFFSET(Curvas_cupon_cero!$A$1,1,0,COUNT(Curvas_cupon_cero!$A:$A)-2,1),OFFSET(Curvas_cupon_cero!$A$1,1,MATCH($B$7,Curvas_cupon_cero!$1:$1,0)-1,COUNT(Curvas_cupon_cero!$A:$A)-2,1))))</f>
        <v/>
      </c>
      <c r="D327" s="23" t="str">
        <f ca="1">IF(A327="","",IF($B$8="Sí",interpolar_alamb(H327,OFFSET(Curvas_cupon_cero!$A$1,1,0,COUNT(Curvas_cupon_cero!$A:$A)-2,1),OFFSET(Curvas_cupon_cero!$A$1,1,MATCH($B$7,Curvas_cupon_cero!$1:$1,0)-1,COUNT(Curvas_cupon_cero!$A:$A)-2,1)),[1]!interpolar(H327,OFFSET(Curvas_cupon_cero!$A$1,1,0,COUNT(Curvas_cupon_cero!$A:$A)-2,1),OFFSET(Curvas_cupon_cero!$A$1,1,MATCH($B$7,Curvas_cupon_cero!$1:$1,0)-1,COUNT(Curvas_cupon_cero!$A:$A)-2,1))))</f>
        <v/>
      </c>
      <c r="E327" s="23" t="str">
        <f t="shared" si="28"/>
        <v/>
      </c>
      <c r="F327" s="17" t="str">
        <f t="shared" si="26"/>
        <v/>
      </c>
      <c r="G327" s="18" t="str">
        <f t="shared" si="29"/>
        <v/>
      </c>
      <c r="H327" t="str">
        <f t="shared" si="30"/>
        <v/>
      </c>
      <c r="I327" s="23" t="str">
        <f ca="1">IF(A327="","",IF($B$8="Sí",interpolar_alamb(H327,OFFSET(Curvas_cupon_cero!$A$1,1,0,COUNT(Curvas_cupon_cero!$A:$A)-2,1),OFFSET(Curvas_cupon_cero!$A$1,1,MATCH($B$6,Curvas_cupon_cero!$1:$1,0)-1,COUNT(Curvas_cupon_cero!$A:$A)-2,1)),[1]!interpolar(H327,OFFSET(Curvas_cupon_cero!$A$1,1,0,COUNT(Curvas_cupon_cero!$A:$A)-2,1),OFFSET(Curvas_cupon_cero!$A$1,1,MATCH($B$6,Curvas_cupon_cero!$1:$1,0)-1,COUNT(Curvas_cupon_cero!$A:$A)-2,1))))</f>
        <v/>
      </c>
      <c r="J327" s="19" t="str">
        <f>IF(A327="","",F327/(1+I327*$B$5/360)^(COUNT(A$16:A327)-($B$5-$G$16)/$B$5))</f>
        <v/>
      </c>
    </row>
    <row r="328" spans="1:10" x14ac:dyDescent="0.2">
      <c r="A328" s="12" t="str">
        <f t="shared" si="27"/>
        <v/>
      </c>
      <c r="B328" t="str">
        <f t="shared" si="25"/>
        <v/>
      </c>
      <c r="C328" s="21" t="str">
        <f ca="1">IF(A328="","",IF($B$8="Sí",interpolar_alamb(B328,OFFSET(Curvas_cupon_cero!$A$1,1,0,COUNT(Curvas_cupon_cero!$A:$A)-2,1),OFFSET(Curvas_cupon_cero!$A$1,1,MATCH($B$7,Curvas_cupon_cero!$1:$1,0)-1,COUNT(Curvas_cupon_cero!$A:$A)-2,1)),[1]!interpolar(B328,OFFSET(Curvas_cupon_cero!$A$1,1,0,COUNT(Curvas_cupon_cero!$A:$A)-2,1),OFFSET(Curvas_cupon_cero!$A$1,1,MATCH($B$7,Curvas_cupon_cero!$1:$1,0)-1,COUNT(Curvas_cupon_cero!$A:$A)-2,1))))</f>
        <v/>
      </c>
      <c r="D328" s="23" t="str">
        <f ca="1">IF(A328="","",IF($B$8="Sí",interpolar_alamb(H328,OFFSET(Curvas_cupon_cero!$A$1,1,0,COUNT(Curvas_cupon_cero!$A:$A)-2,1),OFFSET(Curvas_cupon_cero!$A$1,1,MATCH($B$7,Curvas_cupon_cero!$1:$1,0)-1,COUNT(Curvas_cupon_cero!$A:$A)-2,1)),[1]!interpolar(H328,OFFSET(Curvas_cupon_cero!$A$1,1,0,COUNT(Curvas_cupon_cero!$A:$A)-2,1),OFFSET(Curvas_cupon_cero!$A$1,1,MATCH($B$7,Curvas_cupon_cero!$1:$1,0)-1,COUNT(Curvas_cupon_cero!$A:$A)-2,1))))</f>
        <v/>
      </c>
      <c r="E328" s="23" t="str">
        <f t="shared" si="28"/>
        <v/>
      </c>
      <c r="F328" s="17" t="str">
        <f t="shared" si="26"/>
        <v/>
      </c>
      <c r="G328" s="18" t="str">
        <f t="shared" si="29"/>
        <v/>
      </c>
      <c r="H328" t="str">
        <f t="shared" si="30"/>
        <v/>
      </c>
      <c r="I328" s="23" t="str">
        <f ca="1">IF(A328="","",IF($B$8="Sí",interpolar_alamb(H328,OFFSET(Curvas_cupon_cero!$A$1,1,0,COUNT(Curvas_cupon_cero!$A:$A)-2,1),OFFSET(Curvas_cupon_cero!$A$1,1,MATCH($B$6,Curvas_cupon_cero!$1:$1,0)-1,COUNT(Curvas_cupon_cero!$A:$A)-2,1)),[1]!interpolar(H328,OFFSET(Curvas_cupon_cero!$A$1,1,0,COUNT(Curvas_cupon_cero!$A:$A)-2,1),OFFSET(Curvas_cupon_cero!$A$1,1,MATCH($B$6,Curvas_cupon_cero!$1:$1,0)-1,COUNT(Curvas_cupon_cero!$A:$A)-2,1))))</f>
        <v/>
      </c>
      <c r="J328" s="19" t="str">
        <f>IF(A328="","",F328/(1+I328*$B$5/360)^(COUNT(A$16:A328)-($B$5-$G$16)/$B$5))</f>
        <v/>
      </c>
    </row>
    <row r="329" spans="1:10" x14ac:dyDescent="0.2">
      <c r="A329" s="12" t="str">
        <f t="shared" si="27"/>
        <v/>
      </c>
      <c r="B329" t="str">
        <f t="shared" si="25"/>
        <v/>
      </c>
      <c r="C329" s="21" t="str">
        <f ca="1">IF(A329="","",IF($B$8="Sí",interpolar_alamb(B329,OFFSET(Curvas_cupon_cero!$A$1,1,0,COUNT(Curvas_cupon_cero!$A:$A)-2,1),OFFSET(Curvas_cupon_cero!$A$1,1,MATCH($B$7,Curvas_cupon_cero!$1:$1,0)-1,COUNT(Curvas_cupon_cero!$A:$A)-2,1)),[1]!interpolar(B329,OFFSET(Curvas_cupon_cero!$A$1,1,0,COUNT(Curvas_cupon_cero!$A:$A)-2,1),OFFSET(Curvas_cupon_cero!$A$1,1,MATCH($B$7,Curvas_cupon_cero!$1:$1,0)-1,COUNT(Curvas_cupon_cero!$A:$A)-2,1))))</f>
        <v/>
      </c>
      <c r="D329" s="23" t="str">
        <f ca="1">IF(A329="","",IF($B$8="Sí",interpolar_alamb(H329,OFFSET(Curvas_cupon_cero!$A$1,1,0,COUNT(Curvas_cupon_cero!$A:$A)-2,1),OFFSET(Curvas_cupon_cero!$A$1,1,MATCH($B$7,Curvas_cupon_cero!$1:$1,0)-1,COUNT(Curvas_cupon_cero!$A:$A)-2,1)),[1]!interpolar(H329,OFFSET(Curvas_cupon_cero!$A$1,1,0,COUNT(Curvas_cupon_cero!$A:$A)-2,1),OFFSET(Curvas_cupon_cero!$A$1,1,MATCH($B$7,Curvas_cupon_cero!$1:$1,0)-1,COUNT(Curvas_cupon_cero!$A:$A)-2,1))))</f>
        <v/>
      </c>
      <c r="E329" s="23" t="str">
        <f t="shared" si="28"/>
        <v/>
      </c>
      <c r="F329" s="17" t="str">
        <f t="shared" si="26"/>
        <v/>
      </c>
      <c r="G329" s="18" t="str">
        <f t="shared" si="29"/>
        <v/>
      </c>
      <c r="H329" t="str">
        <f t="shared" si="30"/>
        <v/>
      </c>
      <c r="I329" s="23" t="str">
        <f ca="1">IF(A329="","",IF($B$8="Sí",interpolar_alamb(H329,OFFSET(Curvas_cupon_cero!$A$1,1,0,COUNT(Curvas_cupon_cero!$A:$A)-2,1),OFFSET(Curvas_cupon_cero!$A$1,1,MATCH($B$6,Curvas_cupon_cero!$1:$1,0)-1,COUNT(Curvas_cupon_cero!$A:$A)-2,1)),[1]!interpolar(H329,OFFSET(Curvas_cupon_cero!$A$1,1,0,COUNT(Curvas_cupon_cero!$A:$A)-2,1),OFFSET(Curvas_cupon_cero!$A$1,1,MATCH($B$6,Curvas_cupon_cero!$1:$1,0)-1,COUNT(Curvas_cupon_cero!$A:$A)-2,1))))</f>
        <v/>
      </c>
      <c r="J329" s="19" t="str">
        <f>IF(A329="","",F329/(1+I329*$B$5/360)^(COUNT(A$16:A329)-($B$5-$G$16)/$B$5))</f>
        <v/>
      </c>
    </row>
    <row r="330" spans="1:10" x14ac:dyDescent="0.2">
      <c r="A330" s="12" t="str">
        <f t="shared" si="27"/>
        <v/>
      </c>
      <c r="B330" t="str">
        <f t="shared" si="25"/>
        <v/>
      </c>
      <c r="C330" s="21" t="str">
        <f ca="1">IF(A330="","",IF($B$8="Sí",interpolar_alamb(B330,OFFSET(Curvas_cupon_cero!$A$1,1,0,COUNT(Curvas_cupon_cero!$A:$A)-2,1),OFFSET(Curvas_cupon_cero!$A$1,1,MATCH($B$7,Curvas_cupon_cero!$1:$1,0)-1,COUNT(Curvas_cupon_cero!$A:$A)-2,1)),[1]!interpolar(B330,OFFSET(Curvas_cupon_cero!$A$1,1,0,COUNT(Curvas_cupon_cero!$A:$A)-2,1),OFFSET(Curvas_cupon_cero!$A$1,1,MATCH($B$7,Curvas_cupon_cero!$1:$1,0)-1,COUNT(Curvas_cupon_cero!$A:$A)-2,1))))</f>
        <v/>
      </c>
      <c r="D330" s="23" t="str">
        <f ca="1">IF(A330="","",IF($B$8="Sí",interpolar_alamb(H330,OFFSET(Curvas_cupon_cero!$A$1,1,0,COUNT(Curvas_cupon_cero!$A:$A)-2,1),OFFSET(Curvas_cupon_cero!$A$1,1,MATCH($B$7,Curvas_cupon_cero!$1:$1,0)-1,COUNT(Curvas_cupon_cero!$A:$A)-2,1)),[1]!interpolar(H330,OFFSET(Curvas_cupon_cero!$A$1,1,0,COUNT(Curvas_cupon_cero!$A:$A)-2,1),OFFSET(Curvas_cupon_cero!$A$1,1,MATCH($B$7,Curvas_cupon_cero!$1:$1,0)-1,COUNT(Curvas_cupon_cero!$A:$A)-2,1))))</f>
        <v/>
      </c>
      <c r="E330" s="23" t="str">
        <f t="shared" si="28"/>
        <v/>
      </c>
      <c r="F330" s="17" t="str">
        <f t="shared" si="26"/>
        <v/>
      </c>
      <c r="G330" s="18" t="str">
        <f t="shared" si="29"/>
        <v/>
      </c>
      <c r="H330" t="str">
        <f t="shared" si="30"/>
        <v/>
      </c>
      <c r="I330" s="23" t="str">
        <f ca="1">IF(A330="","",IF($B$8="Sí",interpolar_alamb(H330,OFFSET(Curvas_cupon_cero!$A$1,1,0,COUNT(Curvas_cupon_cero!$A:$A)-2,1),OFFSET(Curvas_cupon_cero!$A$1,1,MATCH($B$6,Curvas_cupon_cero!$1:$1,0)-1,COUNT(Curvas_cupon_cero!$A:$A)-2,1)),[1]!interpolar(H330,OFFSET(Curvas_cupon_cero!$A$1,1,0,COUNT(Curvas_cupon_cero!$A:$A)-2,1),OFFSET(Curvas_cupon_cero!$A$1,1,MATCH($B$6,Curvas_cupon_cero!$1:$1,0)-1,COUNT(Curvas_cupon_cero!$A:$A)-2,1))))</f>
        <v/>
      </c>
      <c r="J330" s="19" t="str">
        <f>IF(A330="","",F330/(1+I330*$B$5/360)^(COUNT(A$16:A330)-($B$5-$G$16)/$B$5))</f>
        <v/>
      </c>
    </row>
    <row r="331" spans="1:10" x14ac:dyDescent="0.2">
      <c r="A331" s="12" t="str">
        <f t="shared" si="27"/>
        <v/>
      </c>
      <c r="B331" t="str">
        <f t="shared" si="25"/>
        <v/>
      </c>
      <c r="C331" s="21" t="str">
        <f ca="1">IF(A331="","",IF($B$8="Sí",interpolar_alamb(B331,OFFSET(Curvas_cupon_cero!$A$1,1,0,COUNT(Curvas_cupon_cero!$A:$A)-2,1),OFFSET(Curvas_cupon_cero!$A$1,1,MATCH($B$7,Curvas_cupon_cero!$1:$1,0)-1,COUNT(Curvas_cupon_cero!$A:$A)-2,1)),[1]!interpolar(B331,OFFSET(Curvas_cupon_cero!$A$1,1,0,COUNT(Curvas_cupon_cero!$A:$A)-2,1),OFFSET(Curvas_cupon_cero!$A$1,1,MATCH($B$7,Curvas_cupon_cero!$1:$1,0)-1,COUNT(Curvas_cupon_cero!$A:$A)-2,1))))</f>
        <v/>
      </c>
      <c r="D331" s="23" t="str">
        <f ca="1">IF(A331="","",IF($B$8="Sí",interpolar_alamb(H331,OFFSET(Curvas_cupon_cero!$A$1,1,0,COUNT(Curvas_cupon_cero!$A:$A)-2,1),OFFSET(Curvas_cupon_cero!$A$1,1,MATCH($B$7,Curvas_cupon_cero!$1:$1,0)-1,COUNT(Curvas_cupon_cero!$A:$A)-2,1)),[1]!interpolar(H331,OFFSET(Curvas_cupon_cero!$A$1,1,0,COUNT(Curvas_cupon_cero!$A:$A)-2,1),OFFSET(Curvas_cupon_cero!$A$1,1,MATCH($B$7,Curvas_cupon_cero!$1:$1,0)-1,COUNT(Curvas_cupon_cero!$A:$A)-2,1))))</f>
        <v/>
      </c>
      <c r="E331" s="23" t="str">
        <f t="shared" si="28"/>
        <v/>
      </c>
      <c r="F331" s="17" t="str">
        <f t="shared" si="26"/>
        <v/>
      </c>
      <c r="G331" s="18" t="str">
        <f t="shared" si="29"/>
        <v/>
      </c>
      <c r="H331" t="str">
        <f t="shared" si="30"/>
        <v/>
      </c>
      <c r="I331" s="23" t="str">
        <f ca="1">IF(A331="","",IF($B$8="Sí",interpolar_alamb(H331,OFFSET(Curvas_cupon_cero!$A$1,1,0,COUNT(Curvas_cupon_cero!$A:$A)-2,1),OFFSET(Curvas_cupon_cero!$A$1,1,MATCH($B$6,Curvas_cupon_cero!$1:$1,0)-1,COUNT(Curvas_cupon_cero!$A:$A)-2,1)),[1]!interpolar(H331,OFFSET(Curvas_cupon_cero!$A$1,1,0,COUNT(Curvas_cupon_cero!$A:$A)-2,1),OFFSET(Curvas_cupon_cero!$A$1,1,MATCH($B$6,Curvas_cupon_cero!$1:$1,0)-1,COUNT(Curvas_cupon_cero!$A:$A)-2,1))))</f>
        <v/>
      </c>
      <c r="J331" s="19" t="str">
        <f>IF(A331="","",F331/(1+I331*$B$5/360)^(COUNT(A$16:A331)-($B$5-$G$16)/$B$5))</f>
        <v/>
      </c>
    </row>
    <row r="332" spans="1:10" x14ac:dyDescent="0.2">
      <c r="A332" s="12" t="str">
        <f t="shared" si="27"/>
        <v/>
      </c>
      <c r="B332" t="str">
        <f t="shared" si="25"/>
        <v/>
      </c>
      <c r="C332" s="21" t="str">
        <f ca="1">IF(A332="","",IF($B$8="Sí",interpolar_alamb(B332,OFFSET(Curvas_cupon_cero!$A$1,1,0,COUNT(Curvas_cupon_cero!$A:$A)-2,1),OFFSET(Curvas_cupon_cero!$A$1,1,MATCH($B$7,Curvas_cupon_cero!$1:$1,0)-1,COUNT(Curvas_cupon_cero!$A:$A)-2,1)),[1]!interpolar(B332,OFFSET(Curvas_cupon_cero!$A$1,1,0,COUNT(Curvas_cupon_cero!$A:$A)-2,1),OFFSET(Curvas_cupon_cero!$A$1,1,MATCH($B$7,Curvas_cupon_cero!$1:$1,0)-1,COUNT(Curvas_cupon_cero!$A:$A)-2,1))))</f>
        <v/>
      </c>
      <c r="D332" s="23" t="str">
        <f ca="1">IF(A332="","",IF($B$8="Sí",interpolar_alamb(H332,OFFSET(Curvas_cupon_cero!$A$1,1,0,COUNT(Curvas_cupon_cero!$A:$A)-2,1),OFFSET(Curvas_cupon_cero!$A$1,1,MATCH($B$7,Curvas_cupon_cero!$1:$1,0)-1,COUNT(Curvas_cupon_cero!$A:$A)-2,1)),[1]!interpolar(H332,OFFSET(Curvas_cupon_cero!$A$1,1,0,COUNT(Curvas_cupon_cero!$A:$A)-2,1),OFFSET(Curvas_cupon_cero!$A$1,1,MATCH($B$7,Curvas_cupon_cero!$1:$1,0)-1,COUNT(Curvas_cupon_cero!$A:$A)-2,1))))</f>
        <v/>
      </c>
      <c r="E332" s="23" t="str">
        <f t="shared" si="28"/>
        <v/>
      </c>
      <c r="F332" s="17" t="str">
        <f t="shared" si="26"/>
        <v/>
      </c>
      <c r="G332" s="18" t="str">
        <f t="shared" si="29"/>
        <v/>
      </c>
      <c r="H332" t="str">
        <f t="shared" si="30"/>
        <v/>
      </c>
      <c r="I332" s="23" t="str">
        <f ca="1">IF(A332="","",IF($B$8="Sí",interpolar_alamb(H332,OFFSET(Curvas_cupon_cero!$A$1,1,0,COUNT(Curvas_cupon_cero!$A:$A)-2,1),OFFSET(Curvas_cupon_cero!$A$1,1,MATCH($B$6,Curvas_cupon_cero!$1:$1,0)-1,COUNT(Curvas_cupon_cero!$A:$A)-2,1)),[1]!interpolar(H332,OFFSET(Curvas_cupon_cero!$A$1,1,0,COUNT(Curvas_cupon_cero!$A:$A)-2,1),OFFSET(Curvas_cupon_cero!$A$1,1,MATCH($B$6,Curvas_cupon_cero!$1:$1,0)-1,COUNT(Curvas_cupon_cero!$A:$A)-2,1))))</f>
        <v/>
      </c>
      <c r="J332" s="19" t="str">
        <f>IF(A332="","",F332/(1+I332*$B$5/360)^(COUNT(A$16:A332)-($B$5-$G$16)/$B$5))</f>
        <v/>
      </c>
    </row>
    <row r="333" spans="1:10" x14ac:dyDescent="0.2">
      <c r="A333" s="12" t="str">
        <f t="shared" si="27"/>
        <v/>
      </c>
      <c r="B333" t="str">
        <f t="shared" si="25"/>
        <v/>
      </c>
      <c r="C333" s="21" t="str">
        <f ca="1">IF(A333="","",IF($B$8="Sí",interpolar_alamb(B333,OFFSET(Curvas_cupon_cero!$A$1,1,0,COUNT(Curvas_cupon_cero!$A:$A)-2,1),OFFSET(Curvas_cupon_cero!$A$1,1,MATCH($B$7,Curvas_cupon_cero!$1:$1,0)-1,COUNT(Curvas_cupon_cero!$A:$A)-2,1)),[1]!interpolar(B333,OFFSET(Curvas_cupon_cero!$A$1,1,0,COUNT(Curvas_cupon_cero!$A:$A)-2,1),OFFSET(Curvas_cupon_cero!$A$1,1,MATCH($B$7,Curvas_cupon_cero!$1:$1,0)-1,COUNT(Curvas_cupon_cero!$A:$A)-2,1))))</f>
        <v/>
      </c>
      <c r="D333" s="23" t="str">
        <f ca="1">IF(A333="","",IF($B$8="Sí",interpolar_alamb(H333,OFFSET(Curvas_cupon_cero!$A$1,1,0,COUNT(Curvas_cupon_cero!$A:$A)-2,1),OFFSET(Curvas_cupon_cero!$A$1,1,MATCH($B$7,Curvas_cupon_cero!$1:$1,0)-1,COUNT(Curvas_cupon_cero!$A:$A)-2,1)),[1]!interpolar(H333,OFFSET(Curvas_cupon_cero!$A$1,1,0,COUNT(Curvas_cupon_cero!$A:$A)-2,1),OFFSET(Curvas_cupon_cero!$A$1,1,MATCH($B$7,Curvas_cupon_cero!$1:$1,0)-1,COUNT(Curvas_cupon_cero!$A:$A)-2,1))))</f>
        <v/>
      </c>
      <c r="E333" s="23" t="str">
        <f t="shared" si="28"/>
        <v/>
      </c>
      <c r="F333" s="17" t="str">
        <f t="shared" si="26"/>
        <v/>
      </c>
      <c r="G333" s="18" t="str">
        <f t="shared" si="29"/>
        <v/>
      </c>
      <c r="H333" t="str">
        <f t="shared" si="30"/>
        <v/>
      </c>
      <c r="I333" s="23" t="str">
        <f ca="1">IF(A333="","",IF($B$8="Sí",interpolar_alamb(H333,OFFSET(Curvas_cupon_cero!$A$1,1,0,COUNT(Curvas_cupon_cero!$A:$A)-2,1),OFFSET(Curvas_cupon_cero!$A$1,1,MATCH($B$6,Curvas_cupon_cero!$1:$1,0)-1,COUNT(Curvas_cupon_cero!$A:$A)-2,1)),[1]!interpolar(H333,OFFSET(Curvas_cupon_cero!$A$1,1,0,COUNT(Curvas_cupon_cero!$A:$A)-2,1),OFFSET(Curvas_cupon_cero!$A$1,1,MATCH($B$6,Curvas_cupon_cero!$1:$1,0)-1,COUNT(Curvas_cupon_cero!$A:$A)-2,1))))</f>
        <v/>
      </c>
      <c r="J333" s="19" t="str">
        <f>IF(A333="","",F333/(1+I333*$B$5/360)^(COUNT(A$16:A333)-($B$5-$G$16)/$B$5))</f>
        <v/>
      </c>
    </row>
    <row r="334" spans="1:10" x14ac:dyDescent="0.2">
      <c r="A334" s="12" t="str">
        <f t="shared" si="27"/>
        <v/>
      </c>
      <c r="B334" t="str">
        <f t="shared" ref="B334:B397" si="31">IF(A334="","",MAX(H334-$B$5,0))</f>
        <v/>
      </c>
      <c r="C334" s="21" t="str">
        <f ca="1">IF(A334="","",IF($B$8="Sí",interpolar_alamb(B334,OFFSET(Curvas_cupon_cero!$A$1,1,0,COUNT(Curvas_cupon_cero!$A:$A)-2,1),OFFSET(Curvas_cupon_cero!$A$1,1,MATCH($B$7,Curvas_cupon_cero!$1:$1,0)-1,COUNT(Curvas_cupon_cero!$A:$A)-2,1)),[1]!interpolar(B334,OFFSET(Curvas_cupon_cero!$A$1,1,0,COUNT(Curvas_cupon_cero!$A:$A)-2,1),OFFSET(Curvas_cupon_cero!$A$1,1,MATCH($B$7,Curvas_cupon_cero!$1:$1,0)-1,COUNT(Curvas_cupon_cero!$A:$A)-2,1))))</f>
        <v/>
      </c>
      <c r="D334" s="23" t="str">
        <f ca="1">IF(A334="","",IF($B$8="Sí",interpolar_alamb(H334,OFFSET(Curvas_cupon_cero!$A$1,1,0,COUNT(Curvas_cupon_cero!$A:$A)-2,1),OFFSET(Curvas_cupon_cero!$A$1,1,MATCH($B$7,Curvas_cupon_cero!$1:$1,0)-1,COUNT(Curvas_cupon_cero!$A:$A)-2,1)),[1]!interpolar(H334,OFFSET(Curvas_cupon_cero!$A$1,1,0,COUNT(Curvas_cupon_cero!$A:$A)-2,1),OFFSET(Curvas_cupon_cero!$A$1,1,MATCH($B$7,Curvas_cupon_cero!$1:$1,0)-1,COUNT(Curvas_cupon_cero!$A:$A)-2,1))))</f>
        <v/>
      </c>
      <c r="E334" s="23" t="str">
        <f t="shared" si="28"/>
        <v/>
      </c>
      <c r="F334" s="17" t="str">
        <f t="shared" ref="F334:F397" si="32">IF(A334="","",IF(A334=$B$4,$B$1*$B$2+E334*$B$5/360*$B$1*$B$2, E334*$B$5/360*$B$1*$B$2))</f>
        <v/>
      </c>
      <c r="G334" s="18" t="str">
        <f t="shared" si="29"/>
        <v/>
      </c>
      <c r="H334" t="str">
        <f t="shared" si="30"/>
        <v/>
      </c>
      <c r="I334" s="23" t="str">
        <f ca="1">IF(A334="","",IF($B$8="Sí",interpolar_alamb(H334,OFFSET(Curvas_cupon_cero!$A$1,1,0,COUNT(Curvas_cupon_cero!$A:$A)-2,1),OFFSET(Curvas_cupon_cero!$A$1,1,MATCH($B$6,Curvas_cupon_cero!$1:$1,0)-1,COUNT(Curvas_cupon_cero!$A:$A)-2,1)),[1]!interpolar(H334,OFFSET(Curvas_cupon_cero!$A$1,1,0,COUNT(Curvas_cupon_cero!$A:$A)-2,1),OFFSET(Curvas_cupon_cero!$A$1,1,MATCH($B$6,Curvas_cupon_cero!$1:$1,0)-1,COUNT(Curvas_cupon_cero!$A:$A)-2,1))))</f>
        <v/>
      </c>
      <c r="J334" s="19" t="str">
        <f>IF(A334="","",F334/(1+I334*$B$5/360)^(COUNT(A$16:A334)-($B$5-$G$16)/$B$5))</f>
        <v/>
      </c>
    </row>
    <row r="335" spans="1:10" x14ac:dyDescent="0.2">
      <c r="A335" s="12" t="str">
        <f t="shared" ref="A335:A398" si="33">IF(A334="","",IF((A334+$B$5)&gt;$B$4,"",(A334+$B$5)))</f>
        <v/>
      </c>
      <c r="B335" t="str">
        <f t="shared" si="31"/>
        <v/>
      </c>
      <c r="C335" s="21" t="str">
        <f ca="1">IF(A335="","",IF($B$8="Sí",interpolar_alamb(B335,OFFSET(Curvas_cupon_cero!$A$1,1,0,COUNT(Curvas_cupon_cero!$A:$A)-2,1),OFFSET(Curvas_cupon_cero!$A$1,1,MATCH($B$7,Curvas_cupon_cero!$1:$1,0)-1,COUNT(Curvas_cupon_cero!$A:$A)-2,1)),[1]!interpolar(B335,OFFSET(Curvas_cupon_cero!$A$1,1,0,COUNT(Curvas_cupon_cero!$A:$A)-2,1),OFFSET(Curvas_cupon_cero!$A$1,1,MATCH($B$7,Curvas_cupon_cero!$1:$1,0)-1,COUNT(Curvas_cupon_cero!$A:$A)-2,1))))</f>
        <v/>
      </c>
      <c r="D335" s="23" t="str">
        <f ca="1">IF(A335="","",IF($B$8="Sí",interpolar_alamb(H335,OFFSET(Curvas_cupon_cero!$A$1,1,0,COUNT(Curvas_cupon_cero!$A:$A)-2,1),OFFSET(Curvas_cupon_cero!$A$1,1,MATCH($B$7,Curvas_cupon_cero!$1:$1,0)-1,COUNT(Curvas_cupon_cero!$A:$A)-2,1)),[1]!interpolar(H335,OFFSET(Curvas_cupon_cero!$A$1,1,0,COUNT(Curvas_cupon_cero!$A:$A)-2,1),OFFSET(Curvas_cupon_cero!$A$1,1,MATCH($B$7,Curvas_cupon_cero!$1:$1,0)-1,COUNT(Curvas_cupon_cero!$A:$A)-2,1))))</f>
        <v/>
      </c>
      <c r="E335" s="23" t="str">
        <f t="shared" ref="E335:E398" si="34">IF(A335="","",((1+D335*H335/360)/(1+C335*B335/360)-1)*(360/(H335-B335)))</f>
        <v/>
      </c>
      <c r="F335" s="17" t="str">
        <f t="shared" si="32"/>
        <v/>
      </c>
      <c r="G335" s="18" t="str">
        <f t="shared" ref="G335:G398" si="35">IF(A335="","",$B$5)</f>
        <v/>
      </c>
      <c r="H335" t="str">
        <f t="shared" ref="H335:H398" si="36">IF(A335="","",H334+G335)</f>
        <v/>
      </c>
      <c r="I335" s="23" t="str">
        <f ca="1">IF(A335="","",IF($B$8="Sí",interpolar_alamb(H335,OFFSET(Curvas_cupon_cero!$A$1,1,0,COUNT(Curvas_cupon_cero!$A:$A)-2,1),OFFSET(Curvas_cupon_cero!$A$1,1,MATCH($B$6,Curvas_cupon_cero!$1:$1,0)-1,COUNT(Curvas_cupon_cero!$A:$A)-2,1)),[1]!interpolar(H335,OFFSET(Curvas_cupon_cero!$A$1,1,0,COUNT(Curvas_cupon_cero!$A:$A)-2,1),OFFSET(Curvas_cupon_cero!$A$1,1,MATCH($B$6,Curvas_cupon_cero!$1:$1,0)-1,COUNT(Curvas_cupon_cero!$A:$A)-2,1))))</f>
        <v/>
      </c>
      <c r="J335" s="19" t="str">
        <f>IF(A335="","",F335/(1+I335*$B$5/360)^(COUNT(A$16:A335)-($B$5-$G$16)/$B$5))</f>
        <v/>
      </c>
    </row>
    <row r="336" spans="1:10" x14ac:dyDescent="0.2">
      <c r="A336" s="12" t="str">
        <f t="shared" si="33"/>
        <v/>
      </c>
      <c r="B336" t="str">
        <f t="shared" si="31"/>
        <v/>
      </c>
      <c r="C336" s="21" t="str">
        <f ca="1">IF(A336="","",IF($B$8="Sí",interpolar_alamb(B336,OFFSET(Curvas_cupon_cero!$A$1,1,0,COUNT(Curvas_cupon_cero!$A:$A)-2,1),OFFSET(Curvas_cupon_cero!$A$1,1,MATCH($B$7,Curvas_cupon_cero!$1:$1,0)-1,COUNT(Curvas_cupon_cero!$A:$A)-2,1)),[1]!interpolar(B336,OFFSET(Curvas_cupon_cero!$A$1,1,0,COUNT(Curvas_cupon_cero!$A:$A)-2,1),OFFSET(Curvas_cupon_cero!$A$1,1,MATCH($B$7,Curvas_cupon_cero!$1:$1,0)-1,COUNT(Curvas_cupon_cero!$A:$A)-2,1))))</f>
        <v/>
      </c>
      <c r="D336" s="23" t="str">
        <f ca="1">IF(A336="","",IF($B$8="Sí",interpolar_alamb(H336,OFFSET(Curvas_cupon_cero!$A$1,1,0,COUNT(Curvas_cupon_cero!$A:$A)-2,1),OFFSET(Curvas_cupon_cero!$A$1,1,MATCH($B$7,Curvas_cupon_cero!$1:$1,0)-1,COUNT(Curvas_cupon_cero!$A:$A)-2,1)),[1]!interpolar(H336,OFFSET(Curvas_cupon_cero!$A$1,1,0,COUNT(Curvas_cupon_cero!$A:$A)-2,1),OFFSET(Curvas_cupon_cero!$A$1,1,MATCH($B$7,Curvas_cupon_cero!$1:$1,0)-1,COUNT(Curvas_cupon_cero!$A:$A)-2,1))))</f>
        <v/>
      </c>
      <c r="E336" s="23" t="str">
        <f t="shared" si="34"/>
        <v/>
      </c>
      <c r="F336" s="17" t="str">
        <f t="shared" si="32"/>
        <v/>
      </c>
      <c r="G336" s="18" t="str">
        <f t="shared" si="35"/>
        <v/>
      </c>
      <c r="H336" t="str">
        <f t="shared" si="36"/>
        <v/>
      </c>
      <c r="I336" s="23" t="str">
        <f ca="1">IF(A336="","",IF($B$8="Sí",interpolar_alamb(H336,OFFSET(Curvas_cupon_cero!$A$1,1,0,COUNT(Curvas_cupon_cero!$A:$A)-2,1),OFFSET(Curvas_cupon_cero!$A$1,1,MATCH($B$6,Curvas_cupon_cero!$1:$1,0)-1,COUNT(Curvas_cupon_cero!$A:$A)-2,1)),[1]!interpolar(H336,OFFSET(Curvas_cupon_cero!$A$1,1,0,COUNT(Curvas_cupon_cero!$A:$A)-2,1),OFFSET(Curvas_cupon_cero!$A$1,1,MATCH($B$6,Curvas_cupon_cero!$1:$1,0)-1,COUNT(Curvas_cupon_cero!$A:$A)-2,1))))</f>
        <v/>
      </c>
      <c r="J336" s="19" t="str">
        <f>IF(A336="","",F336/(1+I336*$B$5/360)^(COUNT(A$16:A336)-($B$5-$G$16)/$B$5))</f>
        <v/>
      </c>
    </row>
    <row r="337" spans="1:10" x14ac:dyDescent="0.2">
      <c r="A337" s="12" t="str">
        <f t="shared" si="33"/>
        <v/>
      </c>
      <c r="B337" t="str">
        <f t="shared" si="31"/>
        <v/>
      </c>
      <c r="C337" s="21" t="str">
        <f ca="1">IF(A337="","",IF($B$8="Sí",interpolar_alamb(B337,OFFSET(Curvas_cupon_cero!$A$1,1,0,COUNT(Curvas_cupon_cero!$A:$A)-2,1),OFFSET(Curvas_cupon_cero!$A$1,1,MATCH($B$7,Curvas_cupon_cero!$1:$1,0)-1,COUNT(Curvas_cupon_cero!$A:$A)-2,1)),[1]!interpolar(B337,OFFSET(Curvas_cupon_cero!$A$1,1,0,COUNT(Curvas_cupon_cero!$A:$A)-2,1),OFFSET(Curvas_cupon_cero!$A$1,1,MATCH($B$7,Curvas_cupon_cero!$1:$1,0)-1,COUNT(Curvas_cupon_cero!$A:$A)-2,1))))</f>
        <v/>
      </c>
      <c r="D337" s="23" t="str">
        <f ca="1">IF(A337="","",IF($B$8="Sí",interpolar_alamb(H337,OFFSET(Curvas_cupon_cero!$A$1,1,0,COUNT(Curvas_cupon_cero!$A:$A)-2,1),OFFSET(Curvas_cupon_cero!$A$1,1,MATCH($B$7,Curvas_cupon_cero!$1:$1,0)-1,COUNT(Curvas_cupon_cero!$A:$A)-2,1)),[1]!interpolar(H337,OFFSET(Curvas_cupon_cero!$A$1,1,0,COUNT(Curvas_cupon_cero!$A:$A)-2,1),OFFSET(Curvas_cupon_cero!$A$1,1,MATCH($B$7,Curvas_cupon_cero!$1:$1,0)-1,COUNT(Curvas_cupon_cero!$A:$A)-2,1))))</f>
        <v/>
      </c>
      <c r="E337" s="23" t="str">
        <f t="shared" si="34"/>
        <v/>
      </c>
      <c r="F337" s="17" t="str">
        <f t="shared" si="32"/>
        <v/>
      </c>
      <c r="G337" s="18" t="str">
        <f t="shared" si="35"/>
        <v/>
      </c>
      <c r="H337" t="str">
        <f t="shared" si="36"/>
        <v/>
      </c>
      <c r="I337" s="23" t="str">
        <f ca="1">IF(A337="","",IF($B$8="Sí",interpolar_alamb(H337,OFFSET(Curvas_cupon_cero!$A$1,1,0,COUNT(Curvas_cupon_cero!$A:$A)-2,1),OFFSET(Curvas_cupon_cero!$A$1,1,MATCH($B$6,Curvas_cupon_cero!$1:$1,0)-1,COUNT(Curvas_cupon_cero!$A:$A)-2,1)),[1]!interpolar(H337,OFFSET(Curvas_cupon_cero!$A$1,1,0,COUNT(Curvas_cupon_cero!$A:$A)-2,1),OFFSET(Curvas_cupon_cero!$A$1,1,MATCH($B$6,Curvas_cupon_cero!$1:$1,0)-1,COUNT(Curvas_cupon_cero!$A:$A)-2,1))))</f>
        <v/>
      </c>
      <c r="J337" s="19" t="str">
        <f>IF(A337="","",F337/(1+I337*$B$5/360)^(COUNT(A$16:A337)-($B$5-$G$16)/$B$5))</f>
        <v/>
      </c>
    </row>
    <row r="338" spans="1:10" x14ac:dyDescent="0.2">
      <c r="A338" s="12" t="str">
        <f t="shared" si="33"/>
        <v/>
      </c>
      <c r="B338" t="str">
        <f t="shared" si="31"/>
        <v/>
      </c>
      <c r="C338" s="21" t="str">
        <f ca="1">IF(A338="","",IF($B$8="Sí",interpolar_alamb(B338,OFFSET(Curvas_cupon_cero!$A$1,1,0,COUNT(Curvas_cupon_cero!$A:$A)-2,1),OFFSET(Curvas_cupon_cero!$A$1,1,MATCH($B$7,Curvas_cupon_cero!$1:$1,0)-1,COUNT(Curvas_cupon_cero!$A:$A)-2,1)),[1]!interpolar(B338,OFFSET(Curvas_cupon_cero!$A$1,1,0,COUNT(Curvas_cupon_cero!$A:$A)-2,1),OFFSET(Curvas_cupon_cero!$A$1,1,MATCH($B$7,Curvas_cupon_cero!$1:$1,0)-1,COUNT(Curvas_cupon_cero!$A:$A)-2,1))))</f>
        <v/>
      </c>
      <c r="D338" s="23" t="str">
        <f ca="1">IF(A338="","",IF($B$8="Sí",interpolar_alamb(H338,OFFSET(Curvas_cupon_cero!$A$1,1,0,COUNT(Curvas_cupon_cero!$A:$A)-2,1),OFFSET(Curvas_cupon_cero!$A$1,1,MATCH($B$7,Curvas_cupon_cero!$1:$1,0)-1,COUNT(Curvas_cupon_cero!$A:$A)-2,1)),[1]!interpolar(H338,OFFSET(Curvas_cupon_cero!$A$1,1,0,COUNT(Curvas_cupon_cero!$A:$A)-2,1),OFFSET(Curvas_cupon_cero!$A$1,1,MATCH($B$7,Curvas_cupon_cero!$1:$1,0)-1,COUNT(Curvas_cupon_cero!$A:$A)-2,1))))</f>
        <v/>
      </c>
      <c r="E338" s="23" t="str">
        <f t="shared" si="34"/>
        <v/>
      </c>
      <c r="F338" s="17" t="str">
        <f t="shared" si="32"/>
        <v/>
      </c>
      <c r="G338" s="18" t="str">
        <f t="shared" si="35"/>
        <v/>
      </c>
      <c r="H338" t="str">
        <f t="shared" si="36"/>
        <v/>
      </c>
      <c r="I338" s="23" t="str">
        <f ca="1">IF(A338="","",IF($B$8="Sí",interpolar_alamb(H338,OFFSET(Curvas_cupon_cero!$A$1,1,0,COUNT(Curvas_cupon_cero!$A:$A)-2,1),OFFSET(Curvas_cupon_cero!$A$1,1,MATCH($B$6,Curvas_cupon_cero!$1:$1,0)-1,COUNT(Curvas_cupon_cero!$A:$A)-2,1)),[1]!interpolar(H338,OFFSET(Curvas_cupon_cero!$A$1,1,0,COUNT(Curvas_cupon_cero!$A:$A)-2,1),OFFSET(Curvas_cupon_cero!$A$1,1,MATCH($B$6,Curvas_cupon_cero!$1:$1,0)-1,COUNT(Curvas_cupon_cero!$A:$A)-2,1))))</f>
        <v/>
      </c>
      <c r="J338" s="19" t="str">
        <f>IF(A338="","",F338/(1+I338*$B$5/360)^(COUNT(A$16:A338)-($B$5-$G$16)/$B$5))</f>
        <v/>
      </c>
    </row>
    <row r="339" spans="1:10" x14ac:dyDescent="0.2">
      <c r="A339" s="12" t="str">
        <f t="shared" si="33"/>
        <v/>
      </c>
      <c r="B339" t="str">
        <f t="shared" si="31"/>
        <v/>
      </c>
      <c r="C339" s="21" t="str">
        <f ca="1">IF(A339="","",IF($B$8="Sí",interpolar_alamb(B339,OFFSET(Curvas_cupon_cero!$A$1,1,0,COUNT(Curvas_cupon_cero!$A:$A)-2,1),OFFSET(Curvas_cupon_cero!$A$1,1,MATCH($B$7,Curvas_cupon_cero!$1:$1,0)-1,COUNT(Curvas_cupon_cero!$A:$A)-2,1)),[1]!interpolar(B339,OFFSET(Curvas_cupon_cero!$A$1,1,0,COUNT(Curvas_cupon_cero!$A:$A)-2,1),OFFSET(Curvas_cupon_cero!$A$1,1,MATCH($B$7,Curvas_cupon_cero!$1:$1,0)-1,COUNT(Curvas_cupon_cero!$A:$A)-2,1))))</f>
        <v/>
      </c>
      <c r="D339" s="23" t="str">
        <f ca="1">IF(A339="","",IF($B$8="Sí",interpolar_alamb(H339,OFFSET(Curvas_cupon_cero!$A$1,1,0,COUNT(Curvas_cupon_cero!$A:$A)-2,1),OFFSET(Curvas_cupon_cero!$A$1,1,MATCH($B$7,Curvas_cupon_cero!$1:$1,0)-1,COUNT(Curvas_cupon_cero!$A:$A)-2,1)),[1]!interpolar(H339,OFFSET(Curvas_cupon_cero!$A$1,1,0,COUNT(Curvas_cupon_cero!$A:$A)-2,1),OFFSET(Curvas_cupon_cero!$A$1,1,MATCH($B$7,Curvas_cupon_cero!$1:$1,0)-1,COUNT(Curvas_cupon_cero!$A:$A)-2,1))))</f>
        <v/>
      </c>
      <c r="E339" s="23" t="str">
        <f t="shared" si="34"/>
        <v/>
      </c>
      <c r="F339" s="17" t="str">
        <f t="shared" si="32"/>
        <v/>
      </c>
      <c r="G339" s="18" t="str">
        <f t="shared" si="35"/>
        <v/>
      </c>
      <c r="H339" t="str">
        <f t="shared" si="36"/>
        <v/>
      </c>
      <c r="I339" s="23" t="str">
        <f ca="1">IF(A339="","",IF($B$8="Sí",interpolar_alamb(H339,OFFSET(Curvas_cupon_cero!$A$1,1,0,COUNT(Curvas_cupon_cero!$A:$A)-2,1),OFFSET(Curvas_cupon_cero!$A$1,1,MATCH($B$6,Curvas_cupon_cero!$1:$1,0)-1,COUNT(Curvas_cupon_cero!$A:$A)-2,1)),[1]!interpolar(H339,OFFSET(Curvas_cupon_cero!$A$1,1,0,COUNT(Curvas_cupon_cero!$A:$A)-2,1),OFFSET(Curvas_cupon_cero!$A$1,1,MATCH($B$6,Curvas_cupon_cero!$1:$1,0)-1,COUNT(Curvas_cupon_cero!$A:$A)-2,1))))</f>
        <v/>
      </c>
      <c r="J339" s="19" t="str">
        <f>IF(A339="","",F339/(1+I339*$B$5/360)^(COUNT(A$16:A339)-($B$5-$G$16)/$B$5))</f>
        <v/>
      </c>
    </row>
    <row r="340" spans="1:10" x14ac:dyDescent="0.2">
      <c r="A340" s="12" t="str">
        <f t="shared" si="33"/>
        <v/>
      </c>
      <c r="B340" t="str">
        <f t="shared" si="31"/>
        <v/>
      </c>
      <c r="C340" s="21" t="str">
        <f ca="1">IF(A340="","",IF($B$8="Sí",interpolar_alamb(B340,OFFSET(Curvas_cupon_cero!$A$1,1,0,COUNT(Curvas_cupon_cero!$A:$A)-2,1),OFFSET(Curvas_cupon_cero!$A$1,1,MATCH($B$7,Curvas_cupon_cero!$1:$1,0)-1,COUNT(Curvas_cupon_cero!$A:$A)-2,1)),[1]!interpolar(B340,OFFSET(Curvas_cupon_cero!$A$1,1,0,COUNT(Curvas_cupon_cero!$A:$A)-2,1),OFFSET(Curvas_cupon_cero!$A$1,1,MATCH($B$7,Curvas_cupon_cero!$1:$1,0)-1,COUNT(Curvas_cupon_cero!$A:$A)-2,1))))</f>
        <v/>
      </c>
      <c r="D340" s="23" t="str">
        <f ca="1">IF(A340="","",IF($B$8="Sí",interpolar_alamb(H340,OFFSET(Curvas_cupon_cero!$A$1,1,0,COUNT(Curvas_cupon_cero!$A:$A)-2,1),OFFSET(Curvas_cupon_cero!$A$1,1,MATCH($B$7,Curvas_cupon_cero!$1:$1,0)-1,COUNT(Curvas_cupon_cero!$A:$A)-2,1)),[1]!interpolar(H340,OFFSET(Curvas_cupon_cero!$A$1,1,0,COUNT(Curvas_cupon_cero!$A:$A)-2,1),OFFSET(Curvas_cupon_cero!$A$1,1,MATCH($B$7,Curvas_cupon_cero!$1:$1,0)-1,COUNT(Curvas_cupon_cero!$A:$A)-2,1))))</f>
        <v/>
      </c>
      <c r="E340" s="23" t="str">
        <f t="shared" si="34"/>
        <v/>
      </c>
      <c r="F340" s="17" t="str">
        <f t="shared" si="32"/>
        <v/>
      </c>
      <c r="G340" s="18" t="str">
        <f t="shared" si="35"/>
        <v/>
      </c>
      <c r="H340" t="str">
        <f t="shared" si="36"/>
        <v/>
      </c>
      <c r="I340" s="23" t="str">
        <f ca="1">IF(A340="","",IF($B$8="Sí",interpolar_alamb(H340,OFFSET(Curvas_cupon_cero!$A$1,1,0,COUNT(Curvas_cupon_cero!$A:$A)-2,1),OFFSET(Curvas_cupon_cero!$A$1,1,MATCH($B$6,Curvas_cupon_cero!$1:$1,0)-1,COUNT(Curvas_cupon_cero!$A:$A)-2,1)),[1]!interpolar(H340,OFFSET(Curvas_cupon_cero!$A$1,1,0,COUNT(Curvas_cupon_cero!$A:$A)-2,1),OFFSET(Curvas_cupon_cero!$A$1,1,MATCH($B$6,Curvas_cupon_cero!$1:$1,0)-1,COUNT(Curvas_cupon_cero!$A:$A)-2,1))))</f>
        <v/>
      </c>
      <c r="J340" s="19" t="str">
        <f>IF(A340="","",F340/(1+I340*$B$5/360)^(COUNT(A$16:A340)-($B$5-$G$16)/$B$5))</f>
        <v/>
      </c>
    </row>
    <row r="341" spans="1:10" x14ac:dyDescent="0.2">
      <c r="A341" s="12" t="str">
        <f t="shared" si="33"/>
        <v/>
      </c>
      <c r="B341" t="str">
        <f t="shared" si="31"/>
        <v/>
      </c>
      <c r="C341" s="21" t="str">
        <f ca="1">IF(A341="","",IF($B$8="Sí",interpolar_alamb(B341,OFFSET(Curvas_cupon_cero!$A$1,1,0,COUNT(Curvas_cupon_cero!$A:$A)-2,1),OFFSET(Curvas_cupon_cero!$A$1,1,MATCH($B$7,Curvas_cupon_cero!$1:$1,0)-1,COUNT(Curvas_cupon_cero!$A:$A)-2,1)),[1]!interpolar(B341,OFFSET(Curvas_cupon_cero!$A$1,1,0,COUNT(Curvas_cupon_cero!$A:$A)-2,1),OFFSET(Curvas_cupon_cero!$A$1,1,MATCH($B$7,Curvas_cupon_cero!$1:$1,0)-1,COUNT(Curvas_cupon_cero!$A:$A)-2,1))))</f>
        <v/>
      </c>
      <c r="D341" s="23" t="str">
        <f ca="1">IF(A341="","",IF($B$8="Sí",interpolar_alamb(H341,OFFSET(Curvas_cupon_cero!$A$1,1,0,COUNT(Curvas_cupon_cero!$A:$A)-2,1),OFFSET(Curvas_cupon_cero!$A$1,1,MATCH($B$7,Curvas_cupon_cero!$1:$1,0)-1,COUNT(Curvas_cupon_cero!$A:$A)-2,1)),[1]!interpolar(H341,OFFSET(Curvas_cupon_cero!$A$1,1,0,COUNT(Curvas_cupon_cero!$A:$A)-2,1),OFFSET(Curvas_cupon_cero!$A$1,1,MATCH($B$7,Curvas_cupon_cero!$1:$1,0)-1,COUNT(Curvas_cupon_cero!$A:$A)-2,1))))</f>
        <v/>
      </c>
      <c r="E341" s="23" t="str">
        <f t="shared" si="34"/>
        <v/>
      </c>
      <c r="F341" s="17" t="str">
        <f t="shared" si="32"/>
        <v/>
      </c>
      <c r="G341" s="18" t="str">
        <f t="shared" si="35"/>
        <v/>
      </c>
      <c r="H341" t="str">
        <f t="shared" si="36"/>
        <v/>
      </c>
      <c r="I341" s="23" t="str">
        <f ca="1">IF(A341="","",IF($B$8="Sí",interpolar_alamb(H341,OFFSET(Curvas_cupon_cero!$A$1,1,0,COUNT(Curvas_cupon_cero!$A:$A)-2,1),OFFSET(Curvas_cupon_cero!$A$1,1,MATCH($B$6,Curvas_cupon_cero!$1:$1,0)-1,COUNT(Curvas_cupon_cero!$A:$A)-2,1)),[1]!interpolar(H341,OFFSET(Curvas_cupon_cero!$A$1,1,0,COUNT(Curvas_cupon_cero!$A:$A)-2,1),OFFSET(Curvas_cupon_cero!$A$1,1,MATCH($B$6,Curvas_cupon_cero!$1:$1,0)-1,COUNT(Curvas_cupon_cero!$A:$A)-2,1))))</f>
        <v/>
      </c>
      <c r="J341" s="19" t="str">
        <f>IF(A341="","",F341/(1+I341*$B$5/360)^(COUNT(A$16:A341)-($B$5-$G$16)/$B$5))</f>
        <v/>
      </c>
    </row>
    <row r="342" spans="1:10" x14ac:dyDescent="0.2">
      <c r="A342" s="12" t="str">
        <f t="shared" si="33"/>
        <v/>
      </c>
      <c r="B342" t="str">
        <f t="shared" si="31"/>
        <v/>
      </c>
      <c r="C342" s="21" t="str">
        <f ca="1">IF(A342="","",IF($B$8="Sí",interpolar_alamb(B342,OFFSET(Curvas_cupon_cero!$A$1,1,0,COUNT(Curvas_cupon_cero!$A:$A)-2,1),OFFSET(Curvas_cupon_cero!$A$1,1,MATCH($B$7,Curvas_cupon_cero!$1:$1,0)-1,COUNT(Curvas_cupon_cero!$A:$A)-2,1)),[1]!interpolar(B342,OFFSET(Curvas_cupon_cero!$A$1,1,0,COUNT(Curvas_cupon_cero!$A:$A)-2,1),OFFSET(Curvas_cupon_cero!$A$1,1,MATCH($B$7,Curvas_cupon_cero!$1:$1,0)-1,COUNT(Curvas_cupon_cero!$A:$A)-2,1))))</f>
        <v/>
      </c>
      <c r="D342" s="23" t="str">
        <f ca="1">IF(A342="","",IF($B$8="Sí",interpolar_alamb(H342,OFFSET(Curvas_cupon_cero!$A$1,1,0,COUNT(Curvas_cupon_cero!$A:$A)-2,1),OFFSET(Curvas_cupon_cero!$A$1,1,MATCH($B$7,Curvas_cupon_cero!$1:$1,0)-1,COUNT(Curvas_cupon_cero!$A:$A)-2,1)),[1]!interpolar(H342,OFFSET(Curvas_cupon_cero!$A$1,1,0,COUNT(Curvas_cupon_cero!$A:$A)-2,1),OFFSET(Curvas_cupon_cero!$A$1,1,MATCH($B$7,Curvas_cupon_cero!$1:$1,0)-1,COUNT(Curvas_cupon_cero!$A:$A)-2,1))))</f>
        <v/>
      </c>
      <c r="E342" s="23" t="str">
        <f t="shared" si="34"/>
        <v/>
      </c>
      <c r="F342" s="17" t="str">
        <f t="shared" si="32"/>
        <v/>
      </c>
      <c r="G342" s="18" t="str">
        <f t="shared" si="35"/>
        <v/>
      </c>
      <c r="H342" t="str">
        <f t="shared" si="36"/>
        <v/>
      </c>
      <c r="I342" s="23" t="str">
        <f ca="1">IF(A342="","",IF($B$8="Sí",interpolar_alamb(H342,OFFSET(Curvas_cupon_cero!$A$1,1,0,COUNT(Curvas_cupon_cero!$A:$A)-2,1),OFFSET(Curvas_cupon_cero!$A$1,1,MATCH($B$6,Curvas_cupon_cero!$1:$1,0)-1,COUNT(Curvas_cupon_cero!$A:$A)-2,1)),[1]!interpolar(H342,OFFSET(Curvas_cupon_cero!$A$1,1,0,COUNT(Curvas_cupon_cero!$A:$A)-2,1),OFFSET(Curvas_cupon_cero!$A$1,1,MATCH($B$6,Curvas_cupon_cero!$1:$1,0)-1,COUNT(Curvas_cupon_cero!$A:$A)-2,1))))</f>
        <v/>
      </c>
      <c r="J342" s="19" t="str">
        <f>IF(A342="","",F342/(1+I342*$B$5/360)^(COUNT(A$16:A342)-($B$5-$G$16)/$B$5))</f>
        <v/>
      </c>
    </row>
    <row r="343" spans="1:10" x14ac:dyDescent="0.2">
      <c r="A343" s="12" t="str">
        <f t="shared" si="33"/>
        <v/>
      </c>
      <c r="B343" t="str">
        <f t="shared" si="31"/>
        <v/>
      </c>
      <c r="C343" s="21" t="str">
        <f ca="1">IF(A343="","",IF($B$8="Sí",interpolar_alamb(B343,OFFSET(Curvas_cupon_cero!$A$1,1,0,COUNT(Curvas_cupon_cero!$A:$A)-2,1),OFFSET(Curvas_cupon_cero!$A$1,1,MATCH($B$7,Curvas_cupon_cero!$1:$1,0)-1,COUNT(Curvas_cupon_cero!$A:$A)-2,1)),[1]!interpolar(B343,OFFSET(Curvas_cupon_cero!$A$1,1,0,COUNT(Curvas_cupon_cero!$A:$A)-2,1),OFFSET(Curvas_cupon_cero!$A$1,1,MATCH($B$7,Curvas_cupon_cero!$1:$1,0)-1,COUNT(Curvas_cupon_cero!$A:$A)-2,1))))</f>
        <v/>
      </c>
      <c r="D343" s="23" t="str">
        <f ca="1">IF(A343="","",IF($B$8="Sí",interpolar_alamb(H343,OFFSET(Curvas_cupon_cero!$A$1,1,0,COUNT(Curvas_cupon_cero!$A:$A)-2,1),OFFSET(Curvas_cupon_cero!$A$1,1,MATCH($B$7,Curvas_cupon_cero!$1:$1,0)-1,COUNT(Curvas_cupon_cero!$A:$A)-2,1)),[1]!interpolar(H343,OFFSET(Curvas_cupon_cero!$A$1,1,0,COUNT(Curvas_cupon_cero!$A:$A)-2,1),OFFSET(Curvas_cupon_cero!$A$1,1,MATCH($B$7,Curvas_cupon_cero!$1:$1,0)-1,COUNT(Curvas_cupon_cero!$A:$A)-2,1))))</f>
        <v/>
      </c>
      <c r="E343" s="23" t="str">
        <f t="shared" si="34"/>
        <v/>
      </c>
      <c r="F343" s="17" t="str">
        <f t="shared" si="32"/>
        <v/>
      </c>
      <c r="G343" s="18" t="str">
        <f t="shared" si="35"/>
        <v/>
      </c>
      <c r="H343" t="str">
        <f t="shared" si="36"/>
        <v/>
      </c>
      <c r="I343" s="23" t="str">
        <f ca="1">IF(A343="","",IF($B$8="Sí",interpolar_alamb(H343,OFFSET(Curvas_cupon_cero!$A$1,1,0,COUNT(Curvas_cupon_cero!$A:$A)-2,1),OFFSET(Curvas_cupon_cero!$A$1,1,MATCH($B$6,Curvas_cupon_cero!$1:$1,0)-1,COUNT(Curvas_cupon_cero!$A:$A)-2,1)),[1]!interpolar(H343,OFFSET(Curvas_cupon_cero!$A$1,1,0,COUNT(Curvas_cupon_cero!$A:$A)-2,1),OFFSET(Curvas_cupon_cero!$A$1,1,MATCH($B$6,Curvas_cupon_cero!$1:$1,0)-1,COUNT(Curvas_cupon_cero!$A:$A)-2,1))))</f>
        <v/>
      </c>
      <c r="J343" s="19" t="str">
        <f>IF(A343="","",F343/(1+I343*$B$5/360)^(COUNT(A$16:A343)-($B$5-$G$16)/$B$5))</f>
        <v/>
      </c>
    </row>
    <row r="344" spans="1:10" x14ac:dyDescent="0.2">
      <c r="A344" s="12" t="str">
        <f t="shared" si="33"/>
        <v/>
      </c>
      <c r="B344" t="str">
        <f t="shared" si="31"/>
        <v/>
      </c>
      <c r="C344" s="21" t="str">
        <f ca="1">IF(A344="","",IF($B$8="Sí",interpolar_alamb(B344,OFFSET(Curvas_cupon_cero!$A$1,1,0,COUNT(Curvas_cupon_cero!$A:$A)-2,1),OFFSET(Curvas_cupon_cero!$A$1,1,MATCH($B$7,Curvas_cupon_cero!$1:$1,0)-1,COUNT(Curvas_cupon_cero!$A:$A)-2,1)),[1]!interpolar(B344,OFFSET(Curvas_cupon_cero!$A$1,1,0,COUNT(Curvas_cupon_cero!$A:$A)-2,1),OFFSET(Curvas_cupon_cero!$A$1,1,MATCH($B$7,Curvas_cupon_cero!$1:$1,0)-1,COUNT(Curvas_cupon_cero!$A:$A)-2,1))))</f>
        <v/>
      </c>
      <c r="D344" s="23" t="str">
        <f ca="1">IF(A344="","",IF($B$8="Sí",interpolar_alamb(H344,OFFSET(Curvas_cupon_cero!$A$1,1,0,COUNT(Curvas_cupon_cero!$A:$A)-2,1),OFFSET(Curvas_cupon_cero!$A$1,1,MATCH($B$7,Curvas_cupon_cero!$1:$1,0)-1,COUNT(Curvas_cupon_cero!$A:$A)-2,1)),[1]!interpolar(H344,OFFSET(Curvas_cupon_cero!$A$1,1,0,COUNT(Curvas_cupon_cero!$A:$A)-2,1),OFFSET(Curvas_cupon_cero!$A$1,1,MATCH($B$7,Curvas_cupon_cero!$1:$1,0)-1,COUNT(Curvas_cupon_cero!$A:$A)-2,1))))</f>
        <v/>
      </c>
      <c r="E344" s="23" t="str">
        <f t="shared" si="34"/>
        <v/>
      </c>
      <c r="F344" s="17" t="str">
        <f t="shared" si="32"/>
        <v/>
      </c>
      <c r="G344" s="18" t="str">
        <f t="shared" si="35"/>
        <v/>
      </c>
      <c r="H344" t="str">
        <f t="shared" si="36"/>
        <v/>
      </c>
      <c r="I344" s="23" t="str">
        <f ca="1">IF(A344="","",IF($B$8="Sí",interpolar_alamb(H344,OFFSET(Curvas_cupon_cero!$A$1,1,0,COUNT(Curvas_cupon_cero!$A:$A)-2,1),OFFSET(Curvas_cupon_cero!$A$1,1,MATCH($B$6,Curvas_cupon_cero!$1:$1,0)-1,COUNT(Curvas_cupon_cero!$A:$A)-2,1)),[1]!interpolar(H344,OFFSET(Curvas_cupon_cero!$A$1,1,0,COUNT(Curvas_cupon_cero!$A:$A)-2,1),OFFSET(Curvas_cupon_cero!$A$1,1,MATCH($B$6,Curvas_cupon_cero!$1:$1,0)-1,COUNT(Curvas_cupon_cero!$A:$A)-2,1))))</f>
        <v/>
      </c>
      <c r="J344" s="19" t="str">
        <f>IF(A344="","",F344/(1+I344*$B$5/360)^(COUNT(A$16:A344)-($B$5-$G$16)/$B$5))</f>
        <v/>
      </c>
    </row>
    <row r="345" spans="1:10" x14ac:dyDescent="0.2">
      <c r="A345" s="12" t="str">
        <f t="shared" si="33"/>
        <v/>
      </c>
      <c r="B345" t="str">
        <f t="shared" si="31"/>
        <v/>
      </c>
      <c r="C345" s="21" t="str">
        <f ca="1">IF(A345="","",IF($B$8="Sí",interpolar_alamb(B345,OFFSET(Curvas_cupon_cero!$A$1,1,0,COUNT(Curvas_cupon_cero!$A:$A)-2,1),OFFSET(Curvas_cupon_cero!$A$1,1,MATCH($B$7,Curvas_cupon_cero!$1:$1,0)-1,COUNT(Curvas_cupon_cero!$A:$A)-2,1)),[1]!interpolar(B345,OFFSET(Curvas_cupon_cero!$A$1,1,0,COUNT(Curvas_cupon_cero!$A:$A)-2,1),OFFSET(Curvas_cupon_cero!$A$1,1,MATCH($B$7,Curvas_cupon_cero!$1:$1,0)-1,COUNT(Curvas_cupon_cero!$A:$A)-2,1))))</f>
        <v/>
      </c>
      <c r="D345" s="23" t="str">
        <f ca="1">IF(A345="","",IF($B$8="Sí",interpolar_alamb(H345,OFFSET(Curvas_cupon_cero!$A$1,1,0,COUNT(Curvas_cupon_cero!$A:$A)-2,1),OFFSET(Curvas_cupon_cero!$A$1,1,MATCH($B$7,Curvas_cupon_cero!$1:$1,0)-1,COUNT(Curvas_cupon_cero!$A:$A)-2,1)),[1]!interpolar(H345,OFFSET(Curvas_cupon_cero!$A$1,1,0,COUNT(Curvas_cupon_cero!$A:$A)-2,1),OFFSET(Curvas_cupon_cero!$A$1,1,MATCH($B$7,Curvas_cupon_cero!$1:$1,0)-1,COUNT(Curvas_cupon_cero!$A:$A)-2,1))))</f>
        <v/>
      </c>
      <c r="E345" s="23" t="str">
        <f t="shared" si="34"/>
        <v/>
      </c>
      <c r="F345" s="17" t="str">
        <f t="shared" si="32"/>
        <v/>
      </c>
      <c r="G345" s="18" t="str">
        <f t="shared" si="35"/>
        <v/>
      </c>
      <c r="H345" t="str">
        <f t="shared" si="36"/>
        <v/>
      </c>
      <c r="I345" s="23" t="str">
        <f ca="1">IF(A345="","",IF($B$8="Sí",interpolar_alamb(H345,OFFSET(Curvas_cupon_cero!$A$1,1,0,COUNT(Curvas_cupon_cero!$A:$A)-2,1),OFFSET(Curvas_cupon_cero!$A$1,1,MATCH($B$6,Curvas_cupon_cero!$1:$1,0)-1,COUNT(Curvas_cupon_cero!$A:$A)-2,1)),[1]!interpolar(H345,OFFSET(Curvas_cupon_cero!$A$1,1,0,COUNT(Curvas_cupon_cero!$A:$A)-2,1),OFFSET(Curvas_cupon_cero!$A$1,1,MATCH($B$6,Curvas_cupon_cero!$1:$1,0)-1,COUNT(Curvas_cupon_cero!$A:$A)-2,1))))</f>
        <v/>
      </c>
      <c r="J345" s="19" t="str">
        <f>IF(A345="","",F345/(1+I345*$B$5/360)^(COUNT(A$16:A345)-($B$5-$G$16)/$B$5))</f>
        <v/>
      </c>
    </row>
    <row r="346" spans="1:10" x14ac:dyDescent="0.2">
      <c r="A346" s="12" t="str">
        <f t="shared" si="33"/>
        <v/>
      </c>
      <c r="B346" t="str">
        <f t="shared" si="31"/>
        <v/>
      </c>
      <c r="C346" s="21" t="str">
        <f ca="1">IF(A346="","",IF($B$8="Sí",interpolar_alamb(B346,OFFSET(Curvas_cupon_cero!$A$1,1,0,COUNT(Curvas_cupon_cero!$A:$A)-2,1),OFFSET(Curvas_cupon_cero!$A$1,1,MATCH($B$7,Curvas_cupon_cero!$1:$1,0)-1,COUNT(Curvas_cupon_cero!$A:$A)-2,1)),[1]!interpolar(B346,OFFSET(Curvas_cupon_cero!$A$1,1,0,COUNT(Curvas_cupon_cero!$A:$A)-2,1),OFFSET(Curvas_cupon_cero!$A$1,1,MATCH($B$7,Curvas_cupon_cero!$1:$1,0)-1,COUNT(Curvas_cupon_cero!$A:$A)-2,1))))</f>
        <v/>
      </c>
      <c r="D346" s="23" t="str">
        <f ca="1">IF(A346="","",IF($B$8="Sí",interpolar_alamb(H346,OFFSET(Curvas_cupon_cero!$A$1,1,0,COUNT(Curvas_cupon_cero!$A:$A)-2,1),OFFSET(Curvas_cupon_cero!$A$1,1,MATCH($B$7,Curvas_cupon_cero!$1:$1,0)-1,COUNT(Curvas_cupon_cero!$A:$A)-2,1)),[1]!interpolar(H346,OFFSET(Curvas_cupon_cero!$A$1,1,0,COUNT(Curvas_cupon_cero!$A:$A)-2,1),OFFSET(Curvas_cupon_cero!$A$1,1,MATCH($B$7,Curvas_cupon_cero!$1:$1,0)-1,COUNT(Curvas_cupon_cero!$A:$A)-2,1))))</f>
        <v/>
      </c>
      <c r="E346" s="23" t="str">
        <f t="shared" si="34"/>
        <v/>
      </c>
      <c r="F346" s="17" t="str">
        <f t="shared" si="32"/>
        <v/>
      </c>
      <c r="G346" s="18" t="str">
        <f t="shared" si="35"/>
        <v/>
      </c>
      <c r="H346" t="str">
        <f t="shared" si="36"/>
        <v/>
      </c>
      <c r="I346" s="23" t="str">
        <f ca="1">IF(A346="","",IF($B$8="Sí",interpolar_alamb(H346,OFFSET(Curvas_cupon_cero!$A$1,1,0,COUNT(Curvas_cupon_cero!$A:$A)-2,1),OFFSET(Curvas_cupon_cero!$A$1,1,MATCH($B$6,Curvas_cupon_cero!$1:$1,0)-1,COUNT(Curvas_cupon_cero!$A:$A)-2,1)),[1]!interpolar(H346,OFFSET(Curvas_cupon_cero!$A$1,1,0,COUNT(Curvas_cupon_cero!$A:$A)-2,1),OFFSET(Curvas_cupon_cero!$A$1,1,MATCH($B$6,Curvas_cupon_cero!$1:$1,0)-1,COUNT(Curvas_cupon_cero!$A:$A)-2,1))))</f>
        <v/>
      </c>
      <c r="J346" s="19" t="str">
        <f>IF(A346="","",F346/(1+I346*$B$5/360)^(COUNT(A$16:A346)-($B$5-$G$16)/$B$5))</f>
        <v/>
      </c>
    </row>
    <row r="347" spans="1:10" x14ac:dyDescent="0.2">
      <c r="A347" s="12" t="str">
        <f t="shared" si="33"/>
        <v/>
      </c>
      <c r="B347" t="str">
        <f t="shared" si="31"/>
        <v/>
      </c>
      <c r="C347" s="21" t="str">
        <f ca="1">IF(A347="","",IF($B$8="Sí",interpolar_alamb(B347,OFFSET(Curvas_cupon_cero!$A$1,1,0,COUNT(Curvas_cupon_cero!$A:$A)-2,1),OFFSET(Curvas_cupon_cero!$A$1,1,MATCH($B$7,Curvas_cupon_cero!$1:$1,0)-1,COUNT(Curvas_cupon_cero!$A:$A)-2,1)),[1]!interpolar(B347,OFFSET(Curvas_cupon_cero!$A$1,1,0,COUNT(Curvas_cupon_cero!$A:$A)-2,1),OFFSET(Curvas_cupon_cero!$A$1,1,MATCH($B$7,Curvas_cupon_cero!$1:$1,0)-1,COUNT(Curvas_cupon_cero!$A:$A)-2,1))))</f>
        <v/>
      </c>
      <c r="D347" s="23" t="str">
        <f ca="1">IF(A347="","",IF($B$8="Sí",interpolar_alamb(H347,OFFSET(Curvas_cupon_cero!$A$1,1,0,COUNT(Curvas_cupon_cero!$A:$A)-2,1),OFFSET(Curvas_cupon_cero!$A$1,1,MATCH($B$7,Curvas_cupon_cero!$1:$1,0)-1,COUNT(Curvas_cupon_cero!$A:$A)-2,1)),[1]!interpolar(H347,OFFSET(Curvas_cupon_cero!$A$1,1,0,COUNT(Curvas_cupon_cero!$A:$A)-2,1),OFFSET(Curvas_cupon_cero!$A$1,1,MATCH($B$7,Curvas_cupon_cero!$1:$1,0)-1,COUNT(Curvas_cupon_cero!$A:$A)-2,1))))</f>
        <v/>
      </c>
      <c r="E347" s="23" t="str">
        <f t="shared" si="34"/>
        <v/>
      </c>
      <c r="F347" s="17" t="str">
        <f t="shared" si="32"/>
        <v/>
      </c>
      <c r="G347" s="18" t="str">
        <f t="shared" si="35"/>
        <v/>
      </c>
      <c r="H347" t="str">
        <f t="shared" si="36"/>
        <v/>
      </c>
      <c r="I347" s="23" t="str">
        <f ca="1">IF(A347="","",IF($B$8="Sí",interpolar_alamb(H347,OFFSET(Curvas_cupon_cero!$A$1,1,0,COUNT(Curvas_cupon_cero!$A:$A)-2,1),OFFSET(Curvas_cupon_cero!$A$1,1,MATCH($B$6,Curvas_cupon_cero!$1:$1,0)-1,COUNT(Curvas_cupon_cero!$A:$A)-2,1)),[1]!interpolar(H347,OFFSET(Curvas_cupon_cero!$A$1,1,0,COUNT(Curvas_cupon_cero!$A:$A)-2,1),OFFSET(Curvas_cupon_cero!$A$1,1,MATCH($B$6,Curvas_cupon_cero!$1:$1,0)-1,COUNT(Curvas_cupon_cero!$A:$A)-2,1))))</f>
        <v/>
      </c>
      <c r="J347" s="19" t="str">
        <f>IF(A347="","",F347/(1+I347*$B$5/360)^(COUNT(A$16:A347)-($B$5-$G$16)/$B$5))</f>
        <v/>
      </c>
    </row>
    <row r="348" spans="1:10" x14ac:dyDescent="0.2">
      <c r="A348" s="12" t="str">
        <f t="shared" si="33"/>
        <v/>
      </c>
      <c r="B348" t="str">
        <f t="shared" si="31"/>
        <v/>
      </c>
      <c r="C348" s="21" t="str">
        <f ca="1">IF(A348="","",IF($B$8="Sí",interpolar_alamb(B348,OFFSET(Curvas_cupon_cero!$A$1,1,0,COUNT(Curvas_cupon_cero!$A:$A)-2,1),OFFSET(Curvas_cupon_cero!$A$1,1,MATCH($B$7,Curvas_cupon_cero!$1:$1,0)-1,COUNT(Curvas_cupon_cero!$A:$A)-2,1)),[1]!interpolar(B348,OFFSET(Curvas_cupon_cero!$A$1,1,0,COUNT(Curvas_cupon_cero!$A:$A)-2,1),OFFSET(Curvas_cupon_cero!$A$1,1,MATCH($B$7,Curvas_cupon_cero!$1:$1,0)-1,COUNT(Curvas_cupon_cero!$A:$A)-2,1))))</f>
        <v/>
      </c>
      <c r="D348" s="23" t="str">
        <f ca="1">IF(A348="","",IF($B$8="Sí",interpolar_alamb(H348,OFFSET(Curvas_cupon_cero!$A$1,1,0,COUNT(Curvas_cupon_cero!$A:$A)-2,1),OFFSET(Curvas_cupon_cero!$A$1,1,MATCH($B$7,Curvas_cupon_cero!$1:$1,0)-1,COUNT(Curvas_cupon_cero!$A:$A)-2,1)),[1]!interpolar(H348,OFFSET(Curvas_cupon_cero!$A$1,1,0,COUNT(Curvas_cupon_cero!$A:$A)-2,1),OFFSET(Curvas_cupon_cero!$A$1,1,MATCH($B$7,Curvas_cupon_cero!$1:$1,0)-1,COUNT(Curvas_cupon_cero!$A:$A)-2,1))))</f>
        <v/>
      </c>
      <c r="E348" s="23" t="str">
        <f t="shared" si="34"/>
        <v/>
      </c>
      <c r="F348" s="17" t="str">
        <f t="shared" si="32"/>
        <v/>
      </c>
      <c r="G348" s="18" t="str">
        <f t="shared" si="35"/>
        <v/>
      </c>
      <c r="H348" t="str">
        <f t="shared" si="36"/>
        <v/>
      </c>
      <c r="I348" s="23" t="str">
        <f ca="1">IF(A348="","",IF($B$8="Sí",interpolar_alamb(H348,OFFSET(Curvas_cupon_cero!$A$1,1,0,COUNT(Curvas_cupon_cero!$A:$A)-2,1),OFFSET(Curvas_cupon_cero!$A$1,1,MATCH($B$6,Curvas_cupon_cero!$1:$1,0)-1,COUNT(Curvas_cupon_cero!$A:$A)-2,1)),[1]!interpolar(H348,OFFSET(Curvas_cupon_cero!$A$1,1,0,COUNT(Curvas_cupon_cero!$A:$A)-2,1),OFFSET(Curvas_cupon_cero!$A$1,1,MATCH($B$6,Curvas_cupon_cero!$1:$1,0)-1,COUNT(Curvas_cupon_cero!$A:$A)-2,1))))</f>
        <v/>
      </c>
      <c r="J348" s="19" t="str">
        <f>IF(A348="","",F348/(1+I348*$B$5/360)^(COUNT(A$16:A348)-($B$5-$G$16)/$B$5))</f>
        <v/>
      </c>
    </row>
    <row r="349" spans="1:10" x14ac:dyDescent="0.2">
      <c r="A349" s="12" t="str">
        <f t="shared" si="33"/>
        <v/>
      </c>
      <c r="B349" t="str">
        <f t="shared" si="31"/>
        <v/>
      </c>
      <c r="C349" s="21" t="str">
        <f ca="1">IF(A349="","",IF($B$8="Sí",interpolar_alamb(B349,OFFSET(Curvas_cupon_cero!$A$1,1,0,COUNT(Curvas_cupon_cero!$A:$A)-2,1),OFFSET(Curvas_cupon_cero!$A$1,1,MATCH($B$7,Curvas_cupon_cero!$1:$1,0)-1,COUNT(Curvas_cupon_cero!$A:$A)-2,1)),[1]!interpolar(B349,OFFSET(Curvas_cupon_cero!$A$1,1,0,COUNT(Curvas_cupon_cero!$A:$A)-2,1),OFFSET(Curvas_cupon_cero!$A$1,1,MATCH($B$7,Curvas_cupon_cero!$1:$1,0)-1,COUNT(Curvas_cupon_cero!$A:$A)-2,1))))</f>
        <v/>
      </c>
      <c r="D349" s="23" t="str">
        <f ca="1">IF(A349="","",IF($B$8="Sí",interpolar_alamb(H349,OFFSET(Curvas_cupon_cero!$A$1,1,0,COUNT(Curvas_cupon_cero!$A:$A)-2,1),OFFSET(Curvas_cupon_cero!$A$1,1,MATCH($B$7,Curvas_cupon_cero!$1:$1,0)-1,COUNT(Curvas_cupon_cero!$A:$A)-2,1)),[1]!interpolar(H349,OFFSET(Curvas_cupon_cero!$A$1,1,0,COUNT(Curvas_cupon_cero!$A:$A)-2,1),OFFSET(Curvas_cupon_cero!$A$1,1,MATCH($B$7,Curvas_cupon_cero!$1:$1,0)-1,COUNT(Curvas_cupon_cero!$A:$A)-2,1))))</f>
        <v/>
      </c>
      <c r="E349" s="23" t="str">
        <f t="shared" si="34"/>
        <v/>
      </c>
      <c r="F349" s="17" t="str">
        <f t="shared" si="32"/>
        <v/>
      </c>
      <c r="G349" s="18" t="str">
        <f t="shared" si="35"/>
        <v/>
      </c>
      <c r="H349" t="str">
        <f t="shared" si="36"/>
        <v/>
      </c>
      <c r="I349" s="23" t="str">
        <f ca="1">IF(A349="","",IF($B$8="Sí",interpolar_alamb(H349,OFFSET(Curvas_cupon_cero!$A$1,1,0,COUNT(Curvas_cupon_cero!$A:$A)-2,1),OFFSET(Curvas_cupon_cero!$A$1,1,MATCH($B$6,Curvas_cupon_cero!$1:$1,0)-1,COUNT(Curvas_cupon_cero!$A:$A)-2,1)),[1]!interpolar(H349,OFFSET(Curvas_cupon_cero!$A$1,1,0,COUNT(Curvas_cupon_cero!$A:$A)-2,1),OFFSET(Curvas_cupon_cero!$A$1,1,MATCH($B$6,Curvas_cupon_cero!$1:$1,0)-1,COUNT(Curvas_cupon_cero!$A:$A)-2,1))))</f>
        <v/>
      </c>
      <c r="J349" s="19" t="str">
        <f>IF(A349="","",F349/(1+I349*$B$5/360)^(COUNT(A$16:A349)-($B$5-$G$16)/$B$5))</f>
        <v/>
      </c>
    </row>
    <row r="350" spans="1:10" x14ac:dyDescent="0.2">
      <c r="A350" s="12" t="str">
        <f t="shared" si="33"/>
        <v/>
      </c>
      <c r="B350" t="str">
        <f t="shared" si="31"/>
        <v/>
      </c>
      <c r="C350" s="21" t="str">
        <f ca="1">IF(A350="","",IF($B$8="Sí",interpolar_alamb(B350,OFFSET(Curvas_cupon_cero!$A$1,1,0,COUNT(Curvas_cupon_cero!$A:$A)-2,1),OFFSET(Curvas_cupon_cero!$A$1,1,MATCH($B$7,Curvas_cupon_cero!$1:$1,0)-1,COUNT(Curvas_cupon_cero!$A:$A)-2,1)),[1]!interpolar(B350,OFFSET(Curvas_cupon_cero!$A$1,1,0,COUNT(Curvas_cupon_cero!$A:$A)-2,1),OFFSET(Curvas_cupon_cero!$A$1,1,MATCH($B$7,Curvas_cupon_cero!$1:$1,0)-1,COUNT(Curvas_cupon_cero!$A:$A)-2,1))))</f>
        <v/>
      </c>
      <c r="D350" s="23" t="str">
        <f ca="1">IF(A350="","",IF($B$8="Sí",interpolar_alamb(H350,OFFSET(Curvas_cupon_cero!$A$1,1,0,COUNT(Curvas_cupon_cero!$A:$A)-2,1),OFFSET(Curvas_cupon_cero!$A$1,1,MATCH($B$7,Curvas_cupon_cero!$1:$1,0)-1,COUNT(Curvas_cupon_cero!$A:$A)-2,1)),[1]!interpolar(H350,OFFSET(Curvas_cupon_cero!$A$1,1,0,COUNT(Curvas_cupon_cero!$A:$A)-2,1),OFFSET(Curvas_cupon_cero!$A$1,1,MATCH($B$7,Curvas_cupon_cero!$1:$1,0)-1,COUNT(Curvas_cupon_cero!$A:$A)-2,1))))</f>
        <v/>
      </c>
      <c r="E350" s="23" t="str">
        <f t="shared" si="34"/>
        <v/>
      </c>
      <c r="F350" s="17" t="str">
        <f t="shared" si="32"/>
        <v/>
      </c>
      <c r="G350" s="18" t="str">
        <f t="shared" si="35"/>
        <v/>
      </c>
      <c r="H350" t="str">
        <f t="shared" si="36"/>
        <v/>
      </c>
      <c r="I350" s="23" t="str">
        <f ca="1">IF(A350="","",IF($B$8="Sí",interpolar_alamb(H350,OFFSET(Curvas_cupon_cero!$A$1,1,0,COUNT(Curvas_cupon_cero!$A:$A)-2,1),OFFSET(Curvas_cupon_cero!$A$1,1,MATCH($B$6,Curvas_cupon_cero!$1:$1,0)-1,COUNT(Curvas_cupon_cero!$A:$A)-2,1)),[1]!interpolar(H350,OFFSET(Curvas_cupon_cero!$A$1,1,0,COUNT(Curvas_cupon_cero!$A:$A)-2,1),OFFSET(Curvas_cupon_cero!$A$1,1,MATCH($B$6,Curvas_cupon_cero!$1:$1,0)-1,COUNT(Curvas_cupon_cero!$A:$A)-2,1))))</f>
        <v/>
      </c>
      <c r="J350" s="19" t="str">
        <f>IF(A350="","",F350/(1+I350*$B$5/360)^(COUNT(A$16:A350)-($B$5-$G$16)/$B$5))</f>
        <v/>
      </c>
    </row>
    <row r="351" spans="1:10" x14ac:dyDescent="0.2">
      <c r="A351" s="12" t="str">
        <f t="shared" si="33"/>
        <v/>
      </c>
      <c r="B351" t="str">
        <f t="shared" si="31"/>
        <v/>
      </c>
      <c r="C351" s="21" t="str">
        <f ca="1">IF(A351="","",IF($B$8="Sí",interpolar_alamb(B351,OFFSET(Curvas_cupon_cero!$A$1,1,0,COUNT(Curvas_cupon_cero!$A:$A)-2,1),OFFSET(Curvas_cupon_cero!$A$1,1,MATCH($B$7,Curvas_cupon_cero!$1:$1,0)-1,COUNT(Curvas_cupon_cero!$A:$A)-2,1)),[1]!interpolar(B351,OFFSET(Curvas_cupon_cero!$A$1,1,0,COUNT(Curvas_cupon_cero!$A:$A)-2,1),OFFSET(Curvas_cupon_cero!$A$1,1,MATCH($B$7,Curvas_cupon_cero!$1:$1,0)-1,COUNT(Curvas_cupon_cero!$A:$A)-2,1))))</f>
        <v/>
      </c>
      <c r="D351" s="23" t="str">
        <f ca="1">IF(A351="","",IF($B$8="Sí",interpolar_alamb(H351,OFFSET(Curvas_cupon_cero!$A$1,1,0,COUNT(Curvas_cupon_cero!$A:$A)-2,1),OFFSET(Curvas_cupon_cero!$A$1,1,MATCH($B$7,Curvas_cupon_cero!$1:$1,0)-1,COUNT(Curvas_cupon_cero!$A:$A)-2,1)),[1]!interpolar(H351,OFFSET(Curvas_cupon_cero!$A$1,1,0,COUNT(Curvas_cupon_cero!$A:$A)-2,1),OFFSET(Curvas_cupon_cero!$A$1,1,MATCH($B$7,Curvas_cupon_cero!$1:$1,0)-1,COUNT(Curvas_cupon_cero!$A:$A)-2,1))))</f>
        <v/>
      </c>
      <c r="E351" s="23" t="str">
        <f t="shared" si="34"/>
        <v/>
      </c>
      <c r="F351" s="17" t="str">
        <f t="shared" si="32"/>
        <v/>
      </c>
      <c r="G351" s="18" t="str">
        <f t="shared" si="35"/>
        <v/>
      </c>
      <c r="H351" t="str">
        <f t="shared" si="36"/>
        <v/>
      </c>
      <c r="I351" s="23" t="str">
        <f ca="1">IF(A351="","",IF($B$8="Sí",interpolar_alamb(H351,OFFSET(Curvas_cupon_cero!$A$1,1,0,COUNT(Curvas_cupon_cero!$A:$A)-2,1),OFFSET(Curvas_cupon_cero!$A$1,1,MATCH($B$6,Curvas_cupon_cero!$1:$1,0)-1,COUNT(Curvas_cupon_cero!$A:$A)-2,1)),[1]!interpolar(H351,OFFSET(Curvas_cupon_cero!$A$1,1,0,COUNT(Curvas_cupon_cero!$A:$A)-2,1),OFFSET(Curvas_cupon_cero!$A$1,1,MATCH($B$6,Curvas_cupon_cero!$1:$1,0)-1,COUNT(Curvas_cupon_cero!$A:$A)-2,1))))</f>
        <v/>
      </c>
      <c r="J351" s="19" t="str">
        <f>IF(A351="","",F351/(1+I351*$B$5/360)^(COUNT(A$16:A351)-($B$5-$G$16)/$B$5))</f>
        <v/>
      </c>
    </row>
    <row r="352" spans="1:10" x14ac:dyDescent="0.2">
      <c r="A352" s="12" t="str">
        <f t="shared" si="33"/>
        <v/>
      </c>
      <c r="B352" t="str">
        <f t="shared" si="31"/>
        <v/>
      </c>
      <c r="C352" s="21" t="str">
        <f ca="1">IF(A352="","",IF($B$8="Sí",interpolar_alamb(B352,OFFSET(Curvas_cupon_cero!$A$1,1,0,COUNT(Curvas_cupon_cero!$A:$A)-2,1),OFFSET(Curvas_cupon_cero!$A$1,1,MATCH($B$7,Curvas_cupon_cero!$1:$1,0)-1,COUNT(Curvas_cupon_cero!$A:$A)-2,1)),[1]!interpolar(B352,OFFSET(Curvas_cupon_cero!$A$1,1,0,COUNT(Curvas_cupon_cero!$A:$A)-2,1),OFFSET(Curvas_cupon_cero!$A$1,1,MATCH($B$7,Curvas_cupon_cero!$1:$1,0)-1,COUNT(Curvas_cupon_cero!$A:$A)-2,1))))</f>
        <v/>
      </c>
      <c r="D352" s="23" t="str">
        <f ca="1">IF(A352="","",IF($B$8="Sí",interpolar_alamb(H352,OFFSET(Curvas_cupon_cero!$A$1,1,0,COUNT(Curvas_cupon_cero!$A:$A)-2,1),OFFSET(Curvas_cupon_cero!$A$1,1,MATCH($B$7,Curvas_cupon_cero!$1:$1,0)-1,COUNT(Curvas_cupon_cero!$A:$A)-2,1)),[1]!interpolar(H352,OFFSET(Curvas_cupon_cero!$A$1,1,0,COUNT(Curvas_cupon_cero!$A:$A)-2,1),OFFSET(Curvas_cupon_cero!$A$1,1,MATCH($B$7,Curvas_cupon_cero!$1:$1,0)-1,COUNT(Curvas_cupon_cero!$A:$A)-2,1))))</f>
        <v/>
      </c>
      <c r="E352" s="23" t="str">
        <f t="shared" si="34"/>
        <v/>
      </c>
      <c r="F352" s="17" t="str">
        <f t="shared" si="32"/>
        <v/>
      </c>
      <c r="G352" s="18" t="str">
        <f t="shared" si="35"/>
        <v/>
      </c>
      <c r="H352" t="str">
        <f t="shared" si="36"/>
        <v/>
      </c>
      <c r="I352" s="23" t="str">
        <f ca="1">IF(A352="","",IF($B$8="Sí",interpolar_alamb(H352,OFFSET(Curvas_cupon_cero!$A$1,1,0,COUNT(Curvas_cupon_cero!$A:$A)-2,1),OFFSET(Curvas_cupon_cero!$A$1,1,MATCH($B$6,Curvas_cupon_cero!$1:$1,0)-1,COUNT(Curvas_cupon_cero!$A:$A)-2,1)),[1]!interpolar(H352,OFFSET(Curvas_cupon_cero!$A$1,1,0,COUNT(Curvas_cupon_cero!$A:$A)-2,1),OFFSET(Curvas_cupon_cero!$A$1,1,MATCH($B$6,Curvas_cupon_cero!$1:$1,0)-1,COUNT(Curvas_cupon_cero!$A:$A)-2,1))))</f>
        <v/>
      </c>
      <c r="J352" s="19" t="str">
        <f>IF(A352="","",F352/(1+I352*$B$5/360)^(COUNT(A$16:A352)-($B$5-$G$16)/$B$5))</f>
        <v/>
      </c>
    </row>
    <row r="353" spans="1:10" x14ac:dyDescent="0.2">
      <c r="A353" s="12" t="str">
        <f t="shared" si="33"/>
        <v/>
      </c>
      <c r="B353" t="str">
        <f t="shared" si="31"/>
        <v/>
      </c>
      <c r="C353" s="21" t="str">
        <f ca="1">IF(A353="","",IF($B$8="Sí",interpolar_alamb(B353,OFFSET(Curvas_cupon_cero!$A$1,1,0,COUNT(Curvas_cupon_cero!$A:$A)-2,1),OFFSET(Curvas_cupon_cero!$A$1,1,MATCH($B$7,Curvas_cupon_cero!$1:$1,0)-1,COUNT(Curvas_cupon_cero!$A:$A)-2,1)),[1]!interpolar(B353,OFFSET(Curvas_cupon_cero!$A$1,1,0,COUNT(Curvas_cupon_cero!$A:$A)-2,1),OFFSET(Curvas_cupon_cero!$A$1,1,MATCH($B$7,Curvas_cupon_cero!$1:$1,0)-1,COUNT(Curvas_cupon_cero!$A:$A)-2,1))))</f>
        <v/>
      </c>
      <c r="D353" s="23" t="str">
        <f ca="1">IF(A353="","",IF($B$8="Sí",interpolar_alamb(H353,OFFSET(Curvas_cupon_cero!$A$1,1,0,COUNT(Curvas_cupon_cero!$A:$A)-2,1),OFFSET(Curvas_cupon_cero!$A$1,1,MATCH($B$7,Curvas_cupon_cero!$1:$1,0)-1,COUNT(Curvas_cupon_cero!$A:$A)-2,1)),[1]!interpolar(H353,OFFSET(Curvas_cupon_cero!$A$1,1,0,COUNT(Curvas_cupon_cero!$A:$A)-2,1),OFFSET(Curvas_cupon_cero!$A$1,1,MATCH($B$7,Curvas_cupon_cero!$1:$1,0)-1,COUNT(Curvas_cupon_cero!$A:$A)-2,1))))</f>
        <v/>
      </c>
      <c r="E353" s="23" t="str">
        <f t="shared" si="34"/>
        <v/>
      </c>
      <c r="F353" s="17" t="str">
        <f t="shared" si="32"/>
        <v/>
      </c>
      <c r="G353" s="18" t="str">
        <f t="shared" si="35"/>
        <v/>
      </c>
      <c r="H353" t="str">
        <f t="shared" si="36"/>
        <v/>
      </c>
      <c r="I353" s="23" t="str">
        <f ca="1">IF(A353="","",IF($B$8="Sí",interpolar_alamb(H353,OFFSET(Curvas_cupon_cero!$A$1,1,0,COUNT(Curvas_cupon_cero!$A:$A)-2,1),OFFSET(Curvas_cupon_cero!$A$1,1,MATCH($B$6,Curvas_cupon_cero!$1:$1,0)-1,COUNT(Curvas_cupon_cero!$A:$A)-2,1)),[1]!interpolar(H353,OFFSET(Curvas_cupon_cero!$A$1,1,0,COUNT(Curvas_cupon_cero!$A:$A)-2,1),OFFSET(Curvas_cupon_cero!$A$1,1,MATCH($B$6,Curvas_cupon_cero!$1:$1,0)-1,COUNT(Curvas_cupon_cero!$A:$A)-2,1))))</f>
        <v/>
      </c>
      <c r="J353" s="19" t="str">
        <f>IF(A353="","",F353/(1+I353*$B$5/360)^(COUNT(A$16:A353)-($B$5-$G$16)/$B$5))</f>
        <v/>
      </c>
    </row>
    <row r="354" spans="1:10" x14ac:dyDescent="0.2">
      <c r="A354" s="12" t="str">
        <f t="shared" si="33"/>
        <v/>
      </c>
      <c r="B354" t="str">
        <f t="shared" si="31"/>
        <v/>
      </c>
      <c r="C354" s="21" t="str">
        <f ca="1">IF(A354="","",IF($B$8="Sí",interpolar_alamb(B354,OFFSET(Curvas_cupon_cero!$A$1,1,0,COUNT(Curvas_cupon_cero!$A:$A)-2,1),OFFSET(Curvas_cupon_cero!$A$1,1,MATCH($B$7,Curvas_cupon_cero!$1:$1,0)-1,COUNT(Curvas_cupon_cero!$A:$A)-2,1)),[1]!interpolar(B354,OFFSET(Curvas_cupon_cero!$A$1,1,0,COUNT(Curvas_cupon_cero!$A:$A)-2,1),OFFSET(Curvas_cupon_cero!$A$1,1,MATCH($B$7,Curvas_cupon_cero!$1:$1,0)-1,COUNT(Curvas_cupon_cero!$A:$A)-2,1))))</f>
        <v/>
      </c>
      <c r="D354" s="23" t="str">
        <f ca="1">IF(A354="","",IF($B$8="Sí",interpolar_alamb(H354,OFFSET(Curvas_cupon_cero!$A$1,1,0,COUNT(Curvas_cupon_cero!$A:$A)-2,1),OFFSET(Curvas_cupon_cero!$A$1,1,MATCH($B$7,Curvas_cupon_cero!$1:$1,0)-1,COUNT(Curvas_cupon_cero!$A:$A)-2,1)),[1]!interpolar(H354,OFFSET(Curvas_cupon_cero!$A$1,1,0,COUNT(Curvas_cupon_cero!$A:$A)-2,1),OFFSET(Curvas_cupon_cero!$A$1,1,MATCH($B$7,Curvas_cupon_cero!$1:$1,0)-1,COUNT(Curvas_cupon_cero!$A:$A)-2,1))))</f>
        <v/>
      </c>
      <c r="E354" s="23" t="str">
        <f t="shared" si="34"/>
        <v/>
      </c>
      <c r="F354" s="17" t="str">
        <f t="shared" si="32"/>
        <v/>
      </c>
      <c r="G354" s="18" t="str">
        <f t="shared" si="35"/>
        <v/>
      </c>
      <c r="H354" t="str">
        <f t="shared" si="36"/>
        <v/>
      </c>
      <c r="I354" s="23" t="str">
        <f ca="1">IF(A354="","",IF($B$8="Sí",interpolar_alamb(H354,OFFSET(Curvas_cupon_cero!$A$1,1,0,COUNT(Curvas_cupon_cero!$A:$A)-2,1),OFFSET(Curvas_cupon_cero!$A$1,1,MATCH($B$6,Curvas_cupon_cero!$1:$1,0)-1,COUNT(Curvas_cupon_cero!$A:$A)-2,1)),[1]!interpolar(H354,OFFSET(Curvas_cupon_cero!$A$1,1,0,COUNT(Curvas_cupon_cero!$A:$A)-2,1),OFFSET(Curvas_cupon_cero!$A$1,1,MATCH($B$6,Curvas_cupon_cero!$1:$1,0)-1,COUNT(Curvas_cupon_cero!$A:$A)-2,1))))</f>
        <v/>
      </c>
      <c r="J354" s="19" t="str">
        <f>IF(A354="","",F354/(1+I354*$B$5/360)^(COUNT(A$16:A354)-($B$5-$G$16)/$B$5))</f>
        <v/>
      </c>
    </row>
    <row r="355" spans="1:10" x14ac:dyDescent="0.2">
      <c r="A355" s="12" t="str">
        <f t="shared" si="33"/>
        <v/>
      </c>
      <c r="B355" t="str">
        <f t="shared" si="31"/>
        <v/>
      </c>
      <c r="C355" s="21" t="str">
        <f ca="1">IF(A355="","",IF($B$8="Sí",interpolar_alamb(B355,OFFSET(Curvas_cupon_cero!$A$1,1,0,COUNT(Curvas_cupon_cero!$A:$A)-2,1),OFFSET(Curvas_cupon_cero!$A$1,1,MATCH($B$7,Curvas_cupon_cero!$1:$1,0)-1,COUNT(Curvas_cupon_cero!$A:$A)-2,1)),[1]!interpolar(B355,OFFSET(Curvas_cupon_cero!$A$1,1,0,COUNT(Curvas_cupon_cero!$A:$A)-2,1),OFFSET(Curvas_cupon_cero!$A$1,1,MATCH($B$7,Curvas_cupon_cero!$1:$1,0)-1,COUNT(Curvas_cupon_cero!$A:$A)-2,1))))</f>
        <v/>
      </c>
      <c r="D355" s="23" t="str">
        <f ca="1">IF(A355="","",IF($B$8="Sí",interpolar_alamb(H355,OFFSET(Curvas_cupon_cero!$A$1,1,0,COUNT(Curvas_cupon_cero!$A:$A)-2,1),OFFSET(Curvas_cupon_cero!$A$1,1,MATCH($B$7,Curvas_cupon_cero!$1:$1,0)-1,COUNT(Curvas_cupon_cero!$A:$A)-2,1)),[1]!interpolar(H355,OFFSET(Curvas_cupon_cero!$A$1,1,0,COUNT(Curvas_cupon_cero!$A:$A)-2,1),OFFSET(Curvas_cupon_cero!$A$1,1,MATCH($B$7,Curvas_cupon_cero!$1:$1,0)-1,COUNT(Curvas_cupon_cero!$A:$A)-2,1))))</f>
        <v/>
      </c>
      <c r="E355" s="23" t="str">
        <f t="shared" si="34"/>
        <v/>
      </c>
      <c r="F355" s="17" t="str">
        <f t="shared" si="32"/>
        <v/>
      </c>
      <c r="G355" s="18" t="str">
        <f t="shared" si="35"/>
        <v/>
      </c>
      <c r="H355" t="str">
        <f t="shared" si="36"/>
        <v/>
      </c>
      <c r="I355" s="23" t="str">
        <f ca="1">IF(A355="","",IF($B$8="Sí",interpolar_alamb(H355,OFFSET(Curvas_cupon_cero!$A$1,1,0,COUNT(Curvas_cupon_cero!$A:$A)-2,1),OFFSET(Curvas_cupon_cero!$A$1,1,MATCH($B$6,Curvas_cupon_cero!$1:$1,0)-1,COUNT(Curvas_cupon_cero!$A:$A)-2,1)),[1]!interpolar(H355,OFFSET(Curvas_cupon_cero!$A$1,1,0,COUNT(Curvas_cupon_cero!$A:$A)-2,1),OFFSET(Curvas_cupon_cero!$A$1,1,MATCH($B$6,Curvas_cupon_cero!$1:$1,0)-1,COUNT(Curvas_cupon_cero!$A:$A)-2,1))))</f>
        <v/>
      </c>
      <c r="J355" s="19" t="str">
        <f>IF(A355="","",F355/(1+I355*$B$5/360)^(COUNT(A$16:A355)-($B$5-$G$16)/$B$5))</f>
        <v/>
      </c>
    </row>
    <row r="356" spans="1:10" x14ac:dyDescent="0.2">
      <c r="A356" s="12" t="str">
        <f t="shared" si="33"/>
        <v/>
      </c>
      <c r="B356" t="str">
        <f t="shared" si="31"/>
        <v/>
      </c>
      <c r="C356" s="21" t="str">
        <f ca="1">IF(A356="","",IF($B$8="Sí",interpolar_alamb(B356,OFFSET(Curvas_cupon_cero!$A$1,1,0,COUNT(Curvas_cupon_cero!$A:$A)-2,1),OFFSET(Curvas_cupon_cero!$A$1,1,MATCH($B$7,Curvas_cupon_cero!$1:$1,0)-1,COUNT(Curvas_cupon_cero!$A:$A)-2,1)),[1]!interpolar(B356,OFFSET(Curvas_cupon_cero!$A$1,1,0,COUNT(Curvas_cupon_cero!$A:$A)-2,1),OFFSET(Curvas_cupon_cero!$A$1,1,MATCH($B$7,Curvas_cupon_cero!$1:$1,0)-1,COUNT(Curvas_cupon_cero!$A:$A)-2,1))))</f>
        <v/>
      </c>
      <c r="D356" s="23" t="str">
        <f ca="1">IF(A356="","",IF($B$8="Sí",interpolar_alamb(H356,OFFSET(Curvas_cupon_cero!$A$1,1,0,COUNT(Curvas_cupon_cero!$A:$A)-2,1),OFFSET(Curvas_cupon_cero!$A$1,1,MATCH($B$7,Curvas_cupon_cero!$1:$1,0)-1,COUNT(Curvas_cupon_cero!$A:$A)-2,1)),[1]!interpolar(H356,OFFSET(Curvas_cupon_cero!$A$1,1,0,COUNT(Curvas_cupon_cero!$A:$A)-2,1),OFFSET(Curvas_cupon_cero!$A$1,1,MATCH($B$7,Curvas_cupon_cero!$1:$1,0)-1,COUNT(Curvas_cupon_cero!$A:$A)-2,1))))</f>
        <v/>
      </c>
      <c r="E356" s="23" t="str">
        <f t="shared" si="34"/>
        <v/>
      </c>
      <c r="F356" s="17" t="str">
        <f t="shared" si="32"/>
        <v/>
      </c>
      <c r="G356" s="18" t="str">
        <f t="shared" si="35"/>
        <v/>
      </c>
      <c r="H356" t="str">
        <f t="shared" si="36"/>
        <v/>
      </c>
      <c r="I356" s="23" t="str">
        <f ca="1">IF(A356="","",IF($B$8="Sí",interpolar_alamb(H356,OFFSET(Curvas_cupon_cero!$A$1,1,0,COUNT(Curvas_cupon_cero!$A:$A)-2,1),OFFSET(Curvas_cupon_cero!$A$1,1,MATCH($B$6,Curvas_cupon_cero!$1:$1,0)-1,COUNT(Curvas_cupon_cero!$A:$A)-2,1)),[1]!interpolar(H356,OFFSET(Curvas_cupon_cero!$A$1,1,0,COUNT(Curvas_cupon_cero!$A:$A)-2,1),OFFSET(Curvas_cupon_cero!$A$1,1,MATCH($B$6,Curvas_cupon_cero!$1:$1,0)-1,COUNT(Curvas_cupon_cero!$A:$A)-2,1))))</f>
        <v/>
      </c>
      <c r="J356" s="19" t="str">
        <f>IF(A356="","",F356/(1+I356*$B$5/360)^(COUNT(A$16:A356)-($B$5-$G$16)/$B$5))</f>
        <v/>
      </c>
    </row>
    <row r="357" spans="1:10" x14ac:dyDescent="0.2">
      <c r="A357" s="12" t="str">
        <f t="shared" si="33"/>
        <v/>
      </c>
      <c r="B357" t="str">
        <f t="shared" si="31"/>
        <v/>
      </c>
      <c r="C357" s="21" t="str">
        <f ca="1">IF(A357="","",IF($B$8="Sí",interpolar_alamb(B357,OFFSET(Curvas_cupon_cero!$A$1,1,0,COUNT(Curvas_cupon_cero!$A:$A)-2,1),OFFSET(Curvas_cupon_cero!$A$1,1,MATCH($B$7,Curvas_cupon_cero!$1:$1,0)-1,COUNT(Curvas_cupon_cero!$A:$A)-2,1)),[1]!interpolar(B357,OFFSET(Curvas_cupon_cero!$A$1,1,0,COUNT(Curvas_cupon_cero!$A:$A)-2,1),OFFSET(Curvas_cupon_cero!$A$1,1,MATCH($B$7,Curvas_cupon_cero!$1:$1,0)-1,COUNT(Curvas_cupon_cero!$A:$A)-2,1))))</f>
        <v/>
      </c>
      <c r="D357" s="23" t="str">
        <f ca="1">IF(A357="","",IF($B$8="Sí",interpolar_alamb(H357,OFFSET(Curvas_cupon_cero!$A$1,1,0,COUNT(Curvas_cupon_cero!$A:$A)-2,1),OFFSET(Curvas_cupon_cero!$A$1,1,MATCH($B$7,Curvas_cupon_cero!$1:$1,0)-1,COUNT(Curvas_cupon_cero!$A:$A)-2,1)),[1]!interpolar(H357,OFFSET(Curvas_cupon_cero!$A$1,1,0,COUNT(Curvas_cupon_cero!$A:$A)-2,1),OFFSET(Curvas_cupon_cero!$A$1,1,MATCH($B$7,Curvas_cupon_cero!$1:$1,0)-1,COUNT(Curvas_cupon_cero!$A:$A)-2,1))))</f>
        <v/>
      </c>
      <c r="E357" s="23" t="str">
        <f t="shared" si="34"/>
        <v/>
      </c>
      <c r="F357" s="17" t="str">
        <f t="shared" si="32"/>
        <v/>
      </c>
      <c r="G357" s="18" t="str">
        <f t="shared" si="35"/>
        <v/>
      </c>
      <c r="H357" t="str">
        <f t="shared" si="36"/>
        <v/>
      </c>
      <c r="I357" s="23" t="str">
        <f ca="1">IF(A357="","",IF($B$8="Sí",interpolar_alamb(H357,OFFSET(Curvas_cupon_cero!$A$1,1,0,COUNT(Curvas_cupon_cero!$A:$A)-2,1),OFFSET(Curvas_cupon_cero!$A$1,1,MATCH($B$6,Curvas_cupon_cero!$1:$1,0)-1,COUNT(Curvas_cupon_cero!$A:$A)-2,1)),[1]!interpolar(H357,OFFSET(Curvas_cupon_cero!$A$1,1,0,COUNT(Curvas_cupon_cero!$A:$A)-2,1),OFFSET(Curvas_cupon_cero!$A$1,1,MATCH($B$6,Curvas_cupon_cero!$1:$1,0)-1,COUNT(Curvas_cupon_cero!$A:$A)-2,1))))</f>
        <v/>
      </c>
      <c r="J357" s="19" t="str">
        <f>IF(A357="","",F357/(1+I357*$B$5/360)^(COUNT(A$16:A357)-($B$5-$G$16)/$B$5))</f>
        <v/>
      </c>
    </row>
    <row r="358" spans="1:10" x14ac:dyDescent="0.2">
      <c r="A358" s="12" t="str">
        <f t="shared" si="33"/>
        <v/>
      </c>
      <c r="B358" t="str">
        <f t="shared" si="31"/>
        <v/>
      </c>
      <c r="C358" s="21" t="str">
        <f ca="1">IF(A358="","",IF($B$8="Sí",interpolar_alamb(B358,OFFSET(Curvas_cupon_cero!$A$1,1,0,COUNT(Curvas_cupon_cero!$A:$A)-2,1),OFFSET(Curvas_cupon_cero!$A$1,1,MATCH($B$7,Curvas_cupon_cero!$1:$1,0)-1,COUNT(Curvas_cupon_cero!$A:$A)-2,1)),[1]!interpolar(B358,OFFSET(Curvas_cupon_cero!$A$1,1,0,COUNT(Curvas_cupon_cero!$A:$A)-2,1),OFFSET(Curvas_cupon_cero!$A$1,1,MATCH($B$7,Curvas_cupon_cero!$1:$1,0)-1,COUNT(Curvas_cupon_cero!$A:$A)-2,1))))</f>
        <v/>
      </c>
      <c r="D358" s="23" t="str">
        <f ca="1">IF(A358="","",IF($B$8="Sí",interpolar_alamb(H358,OFFSET(Curvas_cupon_cero!$A$1,1,0,COUNT(Curvas_cupon_cero!$A:$A)-2,1),OFFSET(Curvas_cupon_cero!$A$1,1,MATCH($B$7,Curvas_cupon_cero!$1:$1,0)-1,COUNT(Curvas_cupon_cero!$A:$A)-2,1)),[1]!interpolar(H358,OFFSET(Curvas_cupon_cero!$A$1,1,0,COUNT(Curvas_cupon_cero!$A:$A)-2,1),OFFSET(Curvas_cupon_cero!$A$1,1,MATCH($B$7,Curvas_cupon_cero!$1:$1,0)-1,COUNT(Curvas_cupon_cero!$A:$A)-2,1))))</f>
        <v/>
      </c>
      <c r="E358" s="23" t="str">
        <f t="shared" si="34"/>
        <v/>
      </c>
      <c r="F358" s="17" t="str">
        <f t="shared" si="32"/>
        <v/>
      </c>
      <c r="G358" s="18" t="str">
        <f t="shared" si="35"/>
        <v/>
      </c>
      <c r="H358" t="str">
        <f t="shared" si="36"/>
        <v/>
      </c>
      <c r="I358" s="23" t="str">
        <f ca="1">IF(A358="","",IF($B$8="Sí",interpolar_alamb(H358,OFFSET(Curvas_cupon_cero!$A$1,1,0,COUNT(Curvas_cupon_cero!$A:$A)-2,1),OFFSET(Curvas_cupon_cero!$A$1,1,MATCH($B$6,Curvas_cupon_cero!$1:$1,0)-1,COUNT(Curvas_cupon_cero!$A:$A)-2,1)),[1]!interpolar(H358,OFFSET(Curvas_cupon_cero!$A$1,1,0,COUNT(Curvas_cupon_cero!$A:$A)-2,1),OFFSET(Curvas_cupon_cero!$A$1,1,MATCH($B$6,Curvas_cupon_cero!$1:$1,0)-1,COUNT(Curvas_cupon_cero!$A:$A)-2,1))))</f>
        <v/>
      </c>
      <c r="J358" s="19" t="str">
        <f>IF(A358="","",F358/(1+I358*$B$5/360)^(COUNT(A$16:A358)-($B$5-$G$16)/$B$5))</f>
        <v/>
      </c>
    </row>
    <row r="359" spans="1:10" x14ac:dyDescent="0.2">
      <c r="A359" s="12" t="str">
        <f t="shared" si="33"/>
        <v/>
      </c>
      <c r="B359" t="str">
        <f t="shared" si="31"/>
        <v/>
      </c>
      <c r="C359" s="21" t="str">
        <f ca="1">IF(A359="","",IF($B$8="Sí",interpolar_alamb(B359,OFFSET(Curvas_cupon_cero!$A$1,1,0,COUNT(Curvas_cupon_cero!$A:$A)-2,1),OFFSET(Curvas_cupon_cero!$A$1,1,MATCH($B$7,Curvas_cupon_cero!$1:$1,0)-1,COUNT(Curvas_cupon_cero!$A:$A)-2,1)),[1]!interpolar(B359,OFFSET(Curvas_cupon_cero!$A$1,1,0,COUNT(Curvas_cupon_cero!$A:$A)-2,1),OFFSET(Curvas_cupon_cero!$A$1,1,MATCH($B$7,Curvas_cupon_cero!$1:$1,0)-1,COUNT(Curvas_cupon_cero!$A:$A)-2,1))))</f>
        <v/>
      </c>
      <c r="D359" s="23" t="str">
        <f ca="1">IF(A359="","",IF($B$8="Sí",interpolar_alamb(H359,OFFSET(Curvas_cupon_cero!$A$1,1,0,COUNT(Curvas_cupon_cero!$A:$A)-2,1),OFFSET(Curvas_cupon_cero!$A$1,1,MATCH($B$7,Curvas_cupon_cero!$1:$1,0)-1,COUNT(Curvas_cupon_cero!$A:$A)-2,1)),[1]!interpolar(H359,OFFSET(Curvas_cupon_cero!$A$1,1,0,COUNT(Curvas_cupon_cero!$A:$A)-2,1),OFFSET(Curvas_cupon_cero!$A$1,1,MATCH($B$7,Curvas_cupon_cero!$1:$1,0)-1,COUNT(Curvas_cupon_cero!$A:$A)-2,1))))</f>
        <v/>
      </c>
      <c r="E359" s="23" t="str">
        <f t="shared" si="34"/>
        <v/>
      </c>
      <c r="F359" s="17" t="str">
        <f t="shared" si="32"/>
        <v/>
      </c>
      <c r="G359" s="18" t="str">
        <f t="shared" si="35"/>
        <v/>
      </c>
      <c r="H359" t="str">
        <f t="shared" si="36"/>
        <v/>
      </c>
      <c r="I359" s="23" t="str">
        <f ca="1">IF(A359="","",IF($B$8="Sí",interpolar_alamb(H359,OFFSET(Curvas_cupon_cero!$A$1,1,0,COUNT(Curvas_cupon_cero!$A:$A)-2,1),OFFSET(Curvas_cupon_cero!$A$1,1,MATCH($B$6,Curvas_cupon_cero!$1:$1,0)-1,COUNT(Curvas_cupon_cero!$A:$A)-2,1)),[1]!interpolar(H359,OFFSET(Curvas_cupon_cero!$A$1,1,0,COUNT(Curvas_cupon_cero!$A:$A)-2,1),OFFSET(Curvas_cupon_cero!$A$1,1,MATCH($B$6,Curvas_cupon_cero!$1:$1,0)-1,COUNT(Curvas_cupon_cero!$A:$A)-2,1))))</f>
        <v/>
      </c>
      <c r="J359" s="19" t="str">
        <f>IF(A359="","",F359/(1+I359*$B$5/360)^(COUNT(A$16:A359)-($B$5-$G$16)/$B$5))</f>
        <v/>
      </c>
    </row>
    <row r="360" spans="1:10" x14ac:dyDescent="0.2">
      <c r="A360" s="12" t="str">
        <f t="shared" si="33"/>
        <v/>
      </c>
      <c r="B360" t="str">
        <f t="shared" si="31"/>
        <v/>
      </c>
      <c r="C360" s="21" t="str">
        <f ca="1">IF(A360="","",IF($B$8="Sí",interpolar_alamb(B360,OFFSET(Curvas_cupon_cero!$A$1,1,0,COUNT(Curvas_cupon_cero!$A:$A)-2,1),OFFSET(Curvas_cupon_cero!$A$1,1,MATCH($B$7,Curvas_cupon_cero!$1:$1,0)-1,COUNT(Curvas_cupon_cero!$A:$A)-2,1)),[1]!interpolar(B360,OFFSET(Curvas_cupon_cero!$A$1,1,0,COUNT(Curvas_cupon_cero!$A:$A)-2,1),OFFSET(Curvas_cupon_cero!$A$1,1,MATCH($B$7,Curvas_cupon_cero!$1:$1,0)-1,COUNT(Curvas_cupon_cero!$A:$A)-2,1))))</f>
        <v/>
      </c>
      <c r="D360" s="23" t="str">
        <f ca="1">IF(A360="","",IF($B$8="Sí",interpolar_alamb(H360,OFFSET(Curvas_cupon_cero!$A$1,1,0,COUNT(Curvas_cupon_cero!$A:$A)-2,1),OFFSET(Curvas_cupon_cero!$A$1,1,MATCH($B$7,Curvas_cupon_cero!$1:$1,0)-1,COUNT(Curvas_cupon_cero!$A:$A)-2,1)),[1]!interpolar(H360,OFFSET(Curvas_cupon_cero!$A$1,1,0,COUNT(Curvas_cupon_cero!$A:$A)-2,1),OFFSET(Curvas_cupon_cero!$A$1,1,MATCH($B$7,Curvas_cupon_cero!$1:$1,0)-1,COUNT(Curvas_cupon_cero!$A:$A)-2,1))))</f>
        <v/>
      </c>
      <c r="E360" s="23" t="str">
        <f t="shared" si="34"/>
        <v/>
      </c>
      <c r="F360" s="17" t="str">
        <f t="shared" si="32"/>
        <v/>
      </c>
      <c r="G360" s="18" t="str">
        <f t="shared" si="35"/>
        <v/>
      </c>
      <c r="H360" t="str">
        <f t="shared" si="36"/>
        <v/>
      </c>
      <c r="I360" s="23" t="str">
        <f ca="1">IF(A360="","",IF($B$8="Sí",interpolar_alamb(H360,OFFSET(Curvas_cupon_cero!$A$1,1,0,COUNT(Curvas_cupon_cero!$A:$A)-2,1),OFFSET(Curvas_cupon_cero!$A$1,1,MATCH($B$6,Curvas_cupon_cero!$1:$1,0)-1,COUNT(Curvas_cupon_cero!$A:$A)-2,1)),[1]!interpolar(H360,OFFSET(Curvas_cupon_cero!$A$1,1,0,COUNT(Curvas_cupon_cero!$A:$A)-2,1),OFFSET(Curvas_cupon_cero!$A$1,1,MATCH($B$6,Curvas_cupon_cero!$1:$1,0)-1,COUNT(Curvas_cupon_cero!$A:$A)-2,1))))</f>
        <v/>
      </c>
      <c r="J360" s="19" t="str">
        <f>IF(A360="","",F360/(1+I360*$B$5/360)^(COUNT(A$16:A360)-($B$5-$G$16)/$B$5))</f>
        <v/>
      </c>
    </row>
    <row r="361" spans="1:10" x14ac:dyDescent="0.2">
      <c r="A361" s="12" t="str">
        <f t="shared" si="33"/>
        <v/>
      </c>
      <c r="B361" t="str">
        <f t="shared" si="31"/>
        <v/>
      </c>
      <c r="C361" s="21" t="str">
        <f ca="1">IF(A361="","",IF($B$8="Sí",interpolar_alamb(B361,OFFSET(Curvas_cupon_cero!$A$1,1,0,COUNT(Curvas_cupon_cero!$A:$A)-2,1),OFFSET(Curvas_cupon_cero!$A$1,1,MATCH($B$7,Curvas_cupon_cero!$1:$1,0)-1,COUNT(Curvas_cupon_cero!$A:$A)-2,1)),[1]!interpolar(B361,OFFSET(Curvas_cupon_cero!$A$1,1,0,COUNT(Curvas_cupon_cero!$A:$A)-2,1),OFFSET(Curvas_cupon_cero!$A$1,1,MATCH($B$7,Curvas_cupon_cero!$1:$1,0)-1,COUNT(Curvas_cupon_cero!$A:$A)-2,1))))</f>
        <v/>
      </c>
      <c r="D361" s="23" t="str">
        <f ca="1">IF(A361="","",IF($B$8="Sí",interpolar_alamb(H361,OFFSET(Curvas_cupon_cero!$A$1,1,0,COUNT(Curvas_cupon_cero!$A:$A)-2,1),OFFSET(Curvas_cupon_cero!$A$1,1,MATCH($B$7,Curvas_cupon_cero!$1:$1,0)-1,COUNT(Curvas_cupon_cero!$A:$A)-2,1)),[1]!interpolar(H361,OFFSET(Curvas_cupon_cero!$A$1,1,0,COUNT(Curvas_cupon_cero!$A:$A)-2,1),OFFSET(Curvas_cupon_cero!$A$1,1,MATCH($B$7,Curvas_cupon_cero!$1:$1,0)-1,COUNT(Curvas_cupon_cero!$A:$A)-2,1))))</f>
        <v/>
      </c>
      <c r="E361" s="23" t="str">
        <f t="shared" si="34"/>
        <v/>
      </c>
      <c r="F361" s="17" t="str">
        <f t="shared" si="32"/>
        <v/>
      </c>
      <c r="G361" s="18" t="str">
        <f t="shared" si="35"/>
        <v/>
      </c>
      <c r="H361" t="str">
        <f t="shared" si="36"/>
        <v/>
      </c>
      <c r="I361" s="23" t="str">
        <f ca="1">IF(A361="","",IF($B$8="Sí",interpolar_alamb(H361,OFFSET(Curvas_cupon_cero!$A$1,1,0,COUNT(Curvas_cupon_cero!$A:$A)-2,1),OFFSET(Curvas_cupon_cero!$A$1,1,MATCH($B$6,Curvas_cupon_cero!$1:$1,0)-1,COUNT(Curvas_cupon_cero!$A:$A)-2,1)),[1]!interpolar(H361,OFFSET(Curvas_cupon_cero!$A$1,1,0,COUNT(Curvas_cupon_cero!$A:$A)-2,1),OFFSET(Curvas_cupon_cero!$A$1,1,MATCH($B$6,Curvas_cupon_cero!$1:$1,0)-1,COUNT(Curvas_cupon_cero!$A:$A)-2,1))))</f>
        <v/>
      </c>
      <c r="J361" s="19" t="str">
        <f>IF(A361="","",F361/(1+I361*$B$5/360)^(COUNT(A$16:A361)-($B$5-$G$16)/$B$5))</f>
        <v/>
      </c>
    </row>
    <row r="362" spans="1:10" x14ac:dyDescent="0.2">
      <c r="A362" s="12" t="str">
        <f t="shared" si="33"/>
        <v/>
      </c>
      <c r="B362" t="str">
        <f t="shared" si="31"/>
        <v/>
      </c>
      <c r="C362" s="21" t="str">
        <f ca="1">IF(A362="","",IF($B$8="Sí",interpolar_alamb(B362,OFFSET(Curvas_cupon_cero!$A$1,1,0,COUNT(Curvas_cupon_cero!$A:$A)-2,1),OFFSET(Curvas_cupon_cero!$A$1,1,MATCH($B$7,Curvas_cupon_cero!$1:$1,0)-1,COUNT(Curvas_cupon_cero!$A:$A)-2,1)),[1]!interpolar(B362,OFFSET(Curvas_cupon_cero!$A$1,1,0,COUNT(Curvas_cupon_cero!$A:$A)-2,1),OFFSET(Curvas_cupon_cero!$A$1,1,MATCH($B$7,Curvas_cupon_cero!$1:$1,0)-1,COUNT(Curvas_cupon_cero!$A:$A)-2,1))))</f>
        <v/>
      </c>
      <c r="D362" s="23" t="str">
        <f ca="1">IF(A362="","",IF($B$8="Sí",interpolar_alamb(H362,OFFSET(Curvas_cupon_cero!$A$1,1,0,COUNT(Curvas_cupon_cero!$A:$A)-2,1),OFFSET(Curvas_cupon_cero!$A$1,1,MATCH($B$7,Curvas_cupon_cero!$1:$1,0)-1,COUNT(Curvas_cupon_cero!$A:$A)-2,1)),[1]!interpolar(H362,OFFSET(Curvas_cupon_cero!$A$1,1,0,COUNT(Curvas_cupon_cero!$A:$A)-2,1),OFFSET(Curvas_cupon_cero!$A$1,1,MATCH($B$7,Curvas_cupon_cero!$1:$1,0)-1,COUNT(Curvas_cupon_cero!$A:$A)-2,1))))</f>
        <v/>
      </c>
      <c r="E362" s="23" t="str">
        <f t="shared" si="34"/>
        <v/>
      </c>
      <c r="F362" s="17" t="str">
        <f t="shared" si="32"/>
        <v/>
      </c>
      <c r="G362" s="18" t="str">
        <f t="shared" si="35"/>
        <v/>
      </c>
      <c r="H362" t="str">
        <f t="shared" si="36"/>
        <v/>
      </c>
      <c r="I362" s="23" t="str">
        <f ca="1">IF(A362="","",IF($B$8="Sí",interpolar_alamb(H362,OFFSET(Curvas_cupon_cero!$A$1,1,0,COUNT(Curvas_cupon_cero!$A:$A)-2,1),OFFSET(Curvas_cupon_cero!$A$1,1,MATCH($B$6,Curvas_cupon_cero!$1:$1,0)-1,COUNT(Curvas_cupon_cero!$A:$A)-2,1)),[1]!interpolar(H362,OFFSET(Curvas_cupon_cero!$A$1,1,0,COUNT(Curvas_cupon_cero!$A:$A)-2,1),OFFSET(Curvas_cupon_cero!$A$1,1,MATCH($B$6,Curvas_cupon_cero!$1:$1,0)-1,COUNT(Curvas_cupon_cero!$A:$A)-2,1))))</f>
        <v/>
      </c>
      <c r="J362" s="19" t="str">
        <f>IF(A362="","",F362/(1+I362*$B$5/360)^(COUNT(A$16:A362)-($B$5-$G$16)/$B$5))</f>
        <v/>
      </c>
    </row>
    <row r="363" spans="1:10" x14ac:dyDescent="0.2">
      <c r="A363" s="12" t="str">
        <f t="shared" si="33"/>
        <v/>
      </c>
      <c r="B363" t="str">
        <f t="shared" si="31"/>
        <v/>
      </c>
      <c r="C363" s="21" t="str">
        <f ca="1">IF(A363="","",IF($B$8="Sí",interpolar_alamb(B363,OFFSET(Curvas_cupon_cero!$A$1,1,0,COUNT(Curvas_cupon_cero!$A:$A)-2,1),OFFSET(Curvas_cupon_cero!$A$1,1,MATCH($B$7,Curvas_cupon_cero!$1:$1,0)-1,COUNT(Curvas_cupon_cero!$A:$A)-2,1)),[1]!interpolar(B363,OFFSET(Curvas_cupon_cero!$A$1,1,0,COUNT(Curvas_cupon_cero!$A:$A)-2,1),OFFSET(Curvas_cupon_cero!$A$1,1,MATCH($B$7,Curvas_cupon_cero!$1:$1,0)-1,COUNT(Curvas_cupon_cero!$A:$A)-2,1))))</f>
        <v/>
      </c>
      <c r="D363" s="23" t="str">
        <f ca="1">IF(A363="","",IF($B$8="Sí",interpolar_alamb(H363,OFFSET(Curvas_cupon_cero!$A$1,1,0,COUNT(Curvas_cupon_cero!$A:$A)-2,1),OFFSET(Curvas_cupon_cero!$A$1,1,MATCH($B$7,Curvas_cupon_cero!$1:$1,0)-1,COUNT(Curvas_cupon_cero!$A:$A)-2,1)),[1]!interpolar(H363,OFFSET(Curvas_cupon_cero!$A$1,1,0,COUNT(Curvas_cupon_cero!$A:$A)-2,1),OFFSET(Curvas_cupon_cero!$A$1,1,MATCH($B$7,Curvas_cupon_cero!$1:$1,0)-1,COUNT(Curvas_cupon_cero!$A:$A)-2,1))))</f>
        <v/>
      </c>
      <c r="E363" s="23" t="str">
        <f t="shared" si="34"/>
        <v/>
      </c>
      <c r="F363" s="17" t="str">
        <f t="shared" si="32"/>
        <v/>
      </c>
      <c r="G363" s="18" t="str">
        <f t="shared" si="35"/>
        <v/>
      </c>
      <c r="H363" t="str">
        <f t="shared" si="36"/>
        <v/>
      </c>
      <c r="I363" s="23" t="str">
        <f ca="1">IF(A363="","",IF($B$8="Sí",interpolar_alamb(H363,OFFSET(Curvas_cupon_cero!$A$1,1,0,COUNT(Curvas_cupon_cero!$A:$A)-2,1),OFFSET(Curvas_cupon_cero!$A$1,1,MATCH($B$6,Curvas_cupon_cero!$1:$1,0)-1,COUNT(Curvas_cupon_cero!$A:$A)-2,1)),[1]!interpolar(H363,OFFSET(Curvas_cupon_cero!$A$1,1,0,COUNT(Curvas_cupon_cero!$A:$A)-2,1),OFFSET(Curvas_cupon_cero!$A$1,1,MATCH($B$6,Curvas_cupon_cero!$1:$1,0)-1,COUNT(Curvas_cupon_cero!$A:$A)-2,1))))</f>
        <v/>
      </c>
      <c r="J363" s="19" t="str">
        <f>IF(A363="","",F363/(1+I363*$B$5/360)^(COUNT(A$16:A363)-($B$5-$G$16)/$B$5))</f>
        <v/>
      </c>
    </row>
    <row r="364" spans="1:10" x14ac:dyDescent="0.2">
      <c r="A364" s="12" t="str">
        <f t="shared" si="33"/>
        <v/>
      </c>
      <c r="B364" t="str">
        <f t="shared" si="31"/>
        <v/>
      </c>
      <c r="C364" s="21" t="str">
        <f ca="1">IF(A364="","",IF($B$8="Sí",interpolar_alamb(B364,OFFSET(Curvas_cupon_cero!$A$1,1,0,COUNT(Curvas_cupon_cero!$A:$A)-2,1),OFFSET(Curvas_cupon_cero!$A$1,1,MATCH($B$7,Curvas_cupon_cero!$1:$1,0)-1,COUNT(Curvas_cupon_cero!$A:$A)-2,1)),[1]!interpolar(B364,OFFSET(Curvas_cupon_cero!$A$1,1,0,COUNT(Curvas_cupon_cero!$A:$A)-2,1),OFFSET(Curvas_cupon_cero!$A$1,1,MATCH($B$7,Curvas_cupon_cero!$1:$1,0)-1,COUNT(Curvas_cupon_cero!$A:$A)-2,1))))</f>
        <v/>
      </c>
      <c r="D364" s="23" t="str">
        <f ca="1">IF(A364="","",IF($B$8="Sí",interpolar_alamb(H364,OFFSET(Curvas_cupon_cero!$A$1,1,0,COUNT(Curvas_cupon_cero!$A:$A)-2,1),OFFSET(Curvas_cupon_cero!$A$1,1,MATCH($B$7,Curvas_cupon_cero!$1:$1,0)-1,COUNT(Curvas_cupon_cero!$A:$A)-2,1)),[1]!interpolar(H364,OFFSET(Curvas_cupon_cero!$A$1,1,0,COUNT(Curvas_cupon_cero!$A:$A)-2,1),OFFSET(Curvas_cupon_cero!$A$1,1,MATCH($B$7,Curvas_cupon_cero!$1:$1,0)-1,COUNT(Curvas_cupon_cero!$A:$A)-2,1))))</f>
        <v/>
      </c>
      <c r="E364" s="23" t="str">
        <f t="shared" si="34"/>
        <v/>
      </c>
      <c r="F364" s="17" t="str">
        <f t="shared" si="32"/>
        <v/>
      </c>
      <c r="G364" s="18" t="str">
        <f t="shared" si="35"/>
        <v/>
      </c>
      <c r="H364" t="str">
        <f t="shared" si="36"/>
        <v/>
      </c>
      <c r="I364" s="23" t="str">
        <f ca="1">IF(A364="","",IF($B$8="Sí",interpolar_alamb(H364,OFFSET(Curvas_cupon_cero!$A$1,1,0,COUNT(Curvas_cupon_cero!$A:$A)-2,1),OFFSET(Curvas_cupon_cero!$A$1,1,MATCH($B$6,Curvas_cupon_cero!$1:$1,0)-1,COUNT(Curvas_cupon_cero!$A:$A)-2,1)),[1]!interpolar(H364,OFFSET(Curvas_cupon_cero!$A$1,1,0,COUNT(Curvas_cupon_cero!$A:$A)-2,1),OFFSET(Curvas_cupon_cero!$A$1,1,MATCH($B$6,Curvas_cupon_cero!$1:$1,0)-1,COUNT(Curvas_cupon_cero!$A:$A)-2,1))))</f>
        <v/>
      </c>
      <c r="J364" s="19" t="str">
        <f>IF(A364="","",F364/(1+I364*$B$5/360)^(COUNT(A$16:A364)-($B$5-$G$16)/$B$5))</f>
        <v/>
      </c>
    </row>
    <row r="365" spans="1:10" x14ac:dyDescent="0.2">
      <c r="A365" s="12" t="str">
        <f t="shared" si="33"/>
        <v/>
      </c>
      <c r="B365" t="str">
        <f t="shared" si="31"/>
        <v/>
      </c>
      <c r="C365" s="21" t="str">
        <f ca="1">IF(A365="","",IF($B$8="Sí",interpolar_alamb(B365,OFFSET(Curvas_cupon_cero!$A$1,1,0,COUNT(Curvas_cupon_cero!$A:$A)-2,1),OFFSET(Curvas_cupon_cero!$A$1,1,MATCH($B$7,Curvas_cupon_cero!$1:$1,0)-1,COUNT(Curvas_cupon_cero!$A:$A)-2,1)),[1]!interpolar(B365,OFFSET(Curvas_cupon_cero!$A$1,1,0,COUNT(Curvas_cupon_cero!$A:$A)-2,1),OFFSET(Curvas_cupon_cero!$A$1,1,MATCH($B$7,Curvas_cupon_cero!$1:$1,0)-1,COUNT(Curvas_cupon_cero!$A:$A)-2,1))))</f>
        <v/>
      </c>
      <c r="D365" s="23" t="str">
        <f ca="1">IF(A365="","",IF($B$8="Sí",interpolar_alamb(H365,OFFSET(Curvas_cupon_cero!$A$1,1,0,COUNT(Curvas_cupon_cero!$A:$A)-2,1),OFFSET(Curvas_cupon_cero!$A$1,1,MATCH($B$7,Curvas_cupon_cero!$1:$1,0)-1,COUNT(Curvas_cupon_cero!$A:$A)-2,1)),[1]!interpolar(H365,OFFSET(Curvas_cupon_cero!$A$1,1,0,COUNT(Curvas_cupon_cero!$A:$A)-2,1),OFFSET(Curvas_cupon_cero!$A$1,1,MATCH($B$7,Curvas_cupon_cero!$1:$1,0)-1,COUNT(Curvas_cupon_cero!$A:$A)-2,1))))</f>
        <v/>
      </c>
      <c r="E365" s="23" t="str">
        <f t="shared" si="34"/>
        <v/>
      </c>
      <c r="F365" s="17" t="str">
        <f t="shared" si="32"/>
        <v/>
      </c>
      <c r="G365" s="18" t="str">
        <f t="shared" si="35"/>
        <v/>
      </c>
      <c r="H365" t="str">
        <f t="shared" si="36"/>
        <v/>
      </c>
      <c r="I365" s="23" t="str">
        <f ca="1">IF(A365="","",IF($B$8="Sí",interpolar_alamb(H365,OFFSET(Curvas_cupon_cero!$A$1,1,0,COUNT(Curvas_cupon_cero!$A:$A)-2,1),OFFSET(Curvas_cupon_cero!$A$1,1,MATCH($B$6,Curvas_cupon_cero!$1:$1,0)-1,COUNT(Curvas_cupon_cero!$A:$A)-2,1)),[1]!interpolar(H365,OFFSET(Curvas_cupon_cero!$A$1,1,0,COUNT(Curvas_cupon_cero!$A:$A)-2,1),OFFSET(Curvas_cupon_cero!$A$1,1,MATCH($B$6,Curvas_cupon_cero!$1:$1,0)-1,COUNT(Curvas_cupon_cero!$A:$A)-2,1))))</f>
        <v/>
      </c>
      <c r="J365" s="19" t="str">
        <f>IF(A365="","",F365/(1+I365*$B$5/360)^(COUNT(A$16:A365)-($B$5-$G$16)/$B$5))</f>
        <v/>
      </c>
    </row>
    <row r="366" spans="1:10" x14ac:dyDescent="0.2">
      <c r="A366" s="12" t="str">
        <f t="shared" si="33"/>
        <v/>
      </c>
      <c r="B366" t="str">
        <f t="shared" si="31"/>
        <v/>
      </c>
      <c r="C366" s="21" t="str">
        <f ca="1">IF(A366="","",IF($B$8="Sí",interpolar_alamb(B366,OFFSET(Curvas_cupon_cero!$A$1,1,0,COUNT(Curvas_cupon_cero!$A:$A)-2,1),OFFSET(Curvas_cupon_cero!$A$1,1,MATCH($B$7,Curvas_cupon_cero!$1:$1,0)-1,COUNT(Curvas_cupon_cero!$A:$A)-2,1)),[1]!interpolar(B366,OFFSET(Curvas_cupon_cero!$A$1,1,0,COUNT(Curvas_cupon_cero!$A:$A)-2,1),OFFSET(Curvas_cupon_cero!$A$1,1,MATCH($B$7,Curvas_cupon_cero!$1:$1,0)-1,COUNT(Curvas_cupon_cero!$A:$A)-2,1))))</f>
        <v/>
      </c>
      <c r="D366" s="23" t="str">
        <f ca="1">IF(A366="","",IF($B$8="Sí",interpolar_alamb(H366,OFFSET(Curvas_cupon_cero!$A$1,1,0,COUNT(Curvas_cupon_cero!$A:$A)-2,1),OFFSET(Curvas_cupon_cero!$A$1,1,MATCH($B$7,Curvas_cupon_cero!$1:$1,0)-1,COUNT(Curvas_cupon_cero!$A:$A)-2,1)),[1]!interpolar(H366,OFFSET(Curvas_cupon_cero!$A$1,1,0,COUNT(Curvas_cupon_cero!$A:$A)-2,1),OFFSET(Curvas_cupon_cero!$A$1,1,MATCH($B$7,Curvas_cupon_cero!$1:$1,0)-1,COUNT(Curvas_cupon_cero!$A:$A)-2,1))))</f>
        <v/>
      </c>
      <c r="E366" s="23" t="str">
        <f t="shared" si="34"/>
        <v/>
      </c>
      <c r="F366" s="17" t="str">
        <f t="shared" si="32"/>
        <v/>
      </c>
      <c r="G366" s="18" t="str">
        <f t="shared" si="35"/>
        <v/>
      </c>
      <c r="H366" t="str">
        <f t="shared" si="36"/>
        <v/>
      </c>
      <c r="I366" s="23" t="str">
        <f ca="1">IF(A366="","",IF($B$8="Sí",interpolar_alamb(H366,OFFSET(Curvas_cupon_cero!$A$1,1,0,COUNT(Curvas_cupon_cero!$A:$A)-2,1),OFFSET(Curvas_cupon_cero!$A$1,1,MATCH($B$6,Curvas_cupon_cero!$1:$1,0)-1,COUNT(Curvas_cupon_cero!$A:$A)-2,1)),[1]!interpolar(H366,OFFSET(Curvas_cupon_cero!$A$1,1,0,COUNT(Curvas_cupon_cero!$A:$A)-2,1),OFFSET(Curvas_cupon_cero!$A$1,1,MATCH($B$6,Curvas_cupon_cero!$1:$1,0)-1,COUNT(Curvas_cupon_cero!$A:$A)-2,1))))</f>
        <v/>
      </c>
      <c r="J366" s="19" t="str">
        <f>IF(A366="","",F366/(1+I366*$B$5/360)^(COUNT(A$16:A366)-($B$5-$G$16)/$B$5))</f>
        <v/>
      </c>
    </row>
    <row r="367" spans="1:10" x14ac:dyDescent="0.2">
      <c r="A367" s="12" t="str">
        <f t="shared" si="33"/>
        <v/>
      </c>
      <c r="B367" t="str">
        <f t="shared" si="31"/>
        <v/>
      </c>
      <c r="C367" s="21" t="str">
        <f ca="1">IF(A367="","",IF($B$8="Sí",interpolar_alamb(B367,OFFSET(Curvas_cupon_cero!$A$1,1,0,COUNT(Curvas_cupon_cero!$A:$A)-2,1),OFFSET(Curvas_cupon_cero!$A$1,1,MATCH($B$7,Curvas_cupon_cero!$1:$1,0)-1,COUNT(Curvas_cupon_cero!$A:$A)-2,1)),[1]!interpolar(B367,OFFSET(Curvas_cupon_cero!$A$1,1,0,COUNT(Curvas_cupon_cero!$A:$A)-2,1),OFFSET(Curvas_cupon_cero!$A$1,1,MATCH($B$7,Curvas_cupon_cero!$1:$1,0)-1,COUNT(Curvas_cupon_cero!$A:$A)-2,1))))</f>
        <v/>
      </c>
      <c r="D367" s="23" t="str">
        <f ca="1">IF(A367="","",IF($B$8="Sí",interpolar_alamb(H367,OFFSET(Curvas_cupon_cero!$A$1,1,0,COUNT(Curvas_cupon_cero!$A:$A)-2,1),OFFSET(Curvas_cupon_cero!$A$1,1,MATCH($B$7,Curvas_cupon_cero!$1:$1,0)-1,COUNT(Curvas_cupon_cero!$A:$A)-2,1)),[1]!interpolar(H367,OFFSET(Curvas_cupon_cero!$A$1,1,0,COUNT(Curvas_cupon_cero!$A:$A)-2,1),OFFSET(Curvas_cupon_cero!$A$1,1,MATCH($B$7,Curvas_cupon_cero!$1:$1,0)-1,COUNT(Curvas_cupon_cero!$A:$A)-2,1))))</f>
        <v/>
      </c>
      <c r="E367" s="23" t="str">
        <f t="shared" si="34"/>
        <v/>
      </c>
      <c r="F367" s="17" t="str">
        <f t="shared" si="32"/>
        <v/>
      </c>
      <c r="G367" s="18" t="str">
        <f t="shared" si="35"/>
        <v/>
      </c>
      <c r="H367" t="str">
        <f t="shared" si="36"/>
        <v/>
      </c>
      <c r="I367" s="23" t="str">
        <f ca="1">IF(A367="","",IF($B$8="Sí",interpolar_alamb(H367,OFFSET(Curvas_cupon_cero!$A$1,1,0,COUNT(Curvas_cupon_cero!$A:$A)-2,1),OFFSET(Curvas_cupon_cero!$A$1,1,MATCH($B$6,Curvas_cupon_cero!$1:$1,0)-1,COUNT(Curvas_cupon_cero!$A:$A)-2,1)),[1]!interpolar(H367,OFFSET(Curvas_cupon_cero!$A$1,1,0,COUNT(Curvas_cupon_cero!$A:$A)-2,1),OFFSET(Curvas_cupon_cero!$A$1,1,MATCH($B$6,Curvas_cupon_cero!$1:$1,0)-1,COUNT(Curvas_cupon_cero!$A:$A)-2,1))))</f>
        <v/>
      </c>
      <c r="J367" s="19" t="str">
        <f>IF(A367="","",F367/(1+I367*$B$5/360)^(COUNT(A$16:A367)-($B$5-$G$16)/$B$5))</f>
        <v/>
      </c>
    </row>
    <row r="368" spans="1:10" x14ac:dyDescent="0.2">
      <c r="A368" s="12" t="str">
        <f t="shared" si="33"/>
        <v/>
      </c>
      <c r="B368" t="str">
        <f t="shared" si="31"/>
        <v/>
      </c>
      <c r="C368" s="21" t="str">
        <f ca="1">IF(A368="","",IF($B$8="Sí",interpolar_alamb(B368,OFFSET(Curvas_cupon_cero!$A$1,1,0,COUNT(Curvas_cupon_cero!$A:$A)-2,1),OFFSET(Curvas_cupon_cero!$A$1,1,MATCH($B$7,Curvas_cupon_cero!$1:$1,0)-1,COUNT(Curvas_cupon_cero!$A:$A)-2,1)),[1]!interpolar(B368,OFFSET(Curvas_cupon_cero!$A$1,1,0,COUNT(Curvas_cupon_cero!$A:$A)-2,1),OFFSET(Curvas_cupon_cero!$A$1,1,MATCH($B$7,Curvas_cupon_cero!$1:$1,0)-1,COUNT(Curvas_cupon_cero!$A:$A)-2,1))))</f>
        <v/>
      </c>
      <c r="D368" s="23" t="str">
        <f ca="1">IF(A368="","",IF($B$8="Sí",interpolar_alamb(H368,OFFSET(Curvas_cupon_cero!$A$1,1,0,COUNT(Curvas_cupon_cero!$A:$A)-2,1),OFFSET(Curvas_cupon_cero!$A$1,1,MATCH($B$7,Curvas_cupon_cero!$1:$1,0)-1,COUNT(Curvas_cupon_cero!$A:$A)-2,1)),[1]!interpolar(H368,OFFSET(Curvas_cupon_cero!$A$1,1,0,COUNT(Curvas_cupon_cero!$A:$A)-2,1),OFFSET(Curvas_cupon_cero!$A$1,1,MATCH($B$7,Curvas_cupon_cero!$1:$1,0)-1,COUNT(Curvas_cupon_cero!$A:$A)-2,1))))</f>
        <v/>
      </c>
      <c r="E368" s="23" t="str">
        <f t="shared" si="34"/>
        <v/>
      </c>
      <c r="F368" s="17" t="str">
        <f t="shared" si="32"/>
        <v/>
      </c>
      <c r="G368" s="18" t="str">
        <f t="shared" si="35"/>
        <v/>
      </c>
      <c r="H368" t="str">
        <f t="shared" si="36"/>
        <v/>
      </c>
      <c r="I368" s="23" t="str">
        <f ca="1">IF(A368="","",IF($B$8="Sí",interpolar_alamb(H368,OFFSET(Curvas_cupon_cero!$A$1,1,0,COUNT(Curvas_cupon_cero!$A:$A)-2,1),OFFSET(Curvas_cupon_cero!$A$1,1,MATCH($B$6,Curvas_cupon_cero!$1:$1,0)-1,COUNT(Curvas_cupon_cero!$A:$A)-2,1)),[1]!interpolar(H368,OFFSET(Curvas_cupon_cero!$A$1,1,0,COUNT(Curvas_cupon_cero!$A:$A)-2,1),OFFSET(Curvas_cupon_cero!$A$1,1,MATCH($B$6,Curvas_cupon_cero!$1:$1,0)-1,COUNT(Curvas_cupon_cero!$A:$A)-2,1))))</f>
        <v/>
      </c>
      <c r="J368" s="19" t="str">
        <f>IF(A368="","",F368/(1+I368*$B$5/360)^(COUNT(A$16:A368)-($B$5-$G$16)/$B$5))</f>
        <v/>
      </c>
    </row>
    <row r="369" spans="1:10" x14ac:dyDescent="0.2">
      <c r="A369" s="12" t="str">
        <f t="shared" si="33"/>
        <v/>
      </c>
      <c r="B369" t="str">
        <f t="shared" si="31"/>
        <v/>
      </c>
      <c r="C369" s="21" t="str">
        <f ca="1">IF(A369="","",IF($B$8="Sí",interpolar_alamb(B369,OFFSET(Curvas_cupon_cero!$A$1,1,0,COUNT(Curvas_cupon_cero!$A:$A)-2,1),OFFSET(Curvas_cupon_cero!$A$1,1,MATCH($B$7,Curvas_cupon_cero!$1:$1,0)-1,COUNT(Curvas_cupon_cero!$A:$A)-2,1)),[1]!interpolar(B369,OFFSET(Curvas_cupon_cero!$A$1,1,0,COUNT(Curvas_cupon_cero!$A:$A)-2,1),OFFSET(Curvas_cupon_cero!$A$1,1,MATCH($B$7,Curvas_cupon_cero!$1:$1,0)-1,COUNT(Curvas_cupon_cero!$A:$A)-2,1))))</f>
        <v/>
      </c>
      <c r="D369" s="23" t="str">
        <f ca="1">IF(A369="","",IF($B$8="Sí",interpolar_alamb(H369,OFFSET(Curvas_cupon_cero!$A$1,1,0,COUNT(Curvas_cupon_cero!$A:$A)-2,1),OFFSET(Curvas_cupon_cero!$A$1,1,MATCH($B$7,Curvas_cupon_cero!$1:$1,0)-1,COUNT(Curvas_cupon_cero!$A:$A)-2,1)),[1]!interpolar(H369,OFFSET(Curvas_cupon_cero!$A$1,1,0,COUNT(Curvas_cupon_cero!$A:$A)-2,1),OFFSET(Curvas_cupon_cero!$A$1,1,MATCH($B$7,Curvas_cupon_cero!$1:$1,0)-1,COUNT(Curvas_cupon_cero!$A:$A)-2,1))))</f>
        <v/>
      </c>
      <c r="E369" s="23" t="str">
        <f t="shared" si="34"/>
        <v/>
      </c>
      <c r="F369" s="17" t="str">
        <f t="shared" si="32"/>
        <v/>
      </c>
      <c r="G369" s="18" t="str">
        <f t="shared" si="35"/>
        <v/>
      </c>
      <c r="H369" t="str">
        <f t="shared" si="36"/>
        <v/>
      </c>
      <c r="I369" s="23" t="str">
        <f ca="1">IF(A369="","",IF($B$8="Sí",interpolar_alamb(H369,OFFSET(Curvas_cupon_cero!$A$1,1,0,COUNT(Curvas_cupon_cero!$A:$A)-2,1),OFFSET(Curvas_cupon_cero!$A$1,1,MATCH($B$6,Curvas_cupon_cero!$1:$1,0)-1,COUNT(Curvas_cupon_cero!$A:$A)-2,1)),[1]!interpolar(H369,OFFSET(Curvas_cupon_cero!$A$1,1,0,COUNT(Curvas_cupon_cero!$A:$A)-2,1),OFFSET(Curvas_cupon_cero!$A$1,1,MATCH($B$6,Curvas_cupon_cero!$1:$1,0)-1,COUNT(Curvas_cupon_cero!$A:$A)-2,1))))</f>
        <v/>
      </c>
      <c r="J369" s="19" t="str">
        <f>IF(A369="","",F369/(1+I369*$B$5/360)^(COUNT(A$16:A369)-($B$5-$G$16)/$B$5))</f>
        <v/>
      </c>
    </row>
    <row r="370" spans="1:10" x14ac:dyDescent="0.2">
      <c r="A370" s="12" t="str">
        <f t="shared" si="33"/>
        <v/>
      </c>
      <c r="B370" t="str">
        <f t="shared" si="31"/>
        <v/>
      </c>
      <c r="C370" s="21" t="str">
        <f ca="1">IF(A370="","",IF($B$8="Sí",interpolar_alamb(B370,OFFSET(Curvas_cupon_cero!$A$1,1,0,COUNT(Curvas_cupon_cero!$A:$A)-2,1),OFFSET(Curvas_cupon_cero!$A$1,1,MATCH($B$7,Curvas_cupon_cero!$1:$1,0)-1,COUNT(Curvas_cupon_cero!$A:$A)-2,1)),[1]!interpolar(B370,OFFSET(Curvas_cupon_cero!$A$1,1,0,COUNT(Curvas_cupon_cero!$A:$A)-2,1),OFFSET(Curvas_cupon_cero!$A$1,1,MATCH($B$7,Curvas_cupon_cero!$1:$1,0)-1,COUNT(Curvas_cupon_cero!$A:$A)-2,1))))</f>
        <v/>
      </c>
      <c r="D370" s="23" t="str">
        <f ca="1">IF(A370="","",IF($B$8="Sí",interpolar_alamb(H370,OFFSET(Curvas_cupon_cero!$A$1,1,0,COUNT(Curvas_cupon_cero!$A:$A)-2,1),OFFSET(Curvas_cupon_cero!$A$1,1,MATCH($B$7,Curvas_cupon_cero!$1:$1,0)-1,COUNT(Curvas_cupon_cero!$A:$A)-2,1)),[1]!interpolar(H370,OFFSET(Curvas_cupon_cero!$A$1,1,0,COUNT(Curvas_cupon_cero!$A:$A)-2,1),OFFSET(Curvas_cupon_cero!$A$1,1,MATCH($B$7,Curvas_cupon_cero!$1:$1,0)-1,COUNT(Curvas_cupon_cero!$A:$A)-2,1))))</f>
        <v/>
      </c>
      <c r="E370" s="23" t="str">
        <f t="shared" si="34"/>
        <v/>
      </c>
      <c r="F370" s="17" t="str">
        <f t="shared" si="32"/>
        <v/>
      </c>
      <c r="G370" s="18" t="str">
        <f t="shared" si="35"/>
        <v/>
      </c>
      <c r="H370" t="str">
        <f t="shared" si="36"/>
        <v/>
      </c>
      <c r="I370" s="23" t="str">
        <f ca="1">IF(A370="","",IF($B$8="Sí",interpolar_alamb(H370,OFFSET(Curvas_cupon_cero!$A$1,1,0,COUNT(Curvas_cupon_cero!$A:$A)-2,1),OFFSET(Curvas_cupon_cero!$A$1,1,MATCH($B$6,Curvas_cupon_cero!$1:$1,0)-1,COUNT(Curvas_cupon_cero!$A:$A)-2,1)),[1]!interpolar(H370,OFFSET(Curvas_cupon_cero!$A$1,1,0,COUNT(Curvas_cupon_cero!$A:$A)-2,1),OFFSET(Curvas_cupon_cero!$A$1,1,MATCH($B$6,Curvas_cupon_cero!$1:$1,0)-1,COUNT(Curvas_cupon_cero!$A:$A)-2,1))))</f>
        <v/>
      </c>
      <c r="J370" s="19" t="str">
        <f>IF(A370="","",F370/(1+I370*$B$5/360)^(COUNT(A$16:A370)-($B$5-$G$16)/$B$5))</f>
        <v/>
      </c>
    </row>
    <row r="371" spans="1:10" x14ac:dyDescent="0.2">
      <c r="A371" s="12" t="str">
        <f t="shared" si="33"/>
        <v/>
      </c>
      <c r="B371" t="str">
        <f t="shared" si="31"/>
        <v/>
      </c>
      <c r="C371" s="21" t="str">
        <f ca="1">IF(A371="","",IF($B$8="Sí",interpolar_alamb(B371,OFFSET(Curvas_cupon_cero!$A$1,1,0,COUNT(Curvas_cupon_cero!$A:$A)-2,1),OFFSET(Curvas_cupon_cero!$A$1,1,MATCH($B$7,Curvas_cupon_cero!$1:$1,0)-1,COUNT(Curvas_cupon_cero!$A:$A)-2,1)),[1]!interpolar(B371,OFFSET(Curvas_cupon_cero!$A$1,1,0,COUNT(Curvas_cupon_cero!$A:$A)-2,1),OFFSET(Curvas_cupon_cero!$A$1,1,MATCH($B$7,Curvas_cupon_cero!$1:$1,0)-1,COUNT(Curvas_cupon_cero!$A:$A)-2,1))))</f>
        <v/>
      </c>
      <c r="D371" s="23" t="str">
        <f ca="1">IF(A371="","",IF($B$8="Sí",interpolar_alamb(H371,OFFSET(Curvas_cupon_cero!$A$1,1,0,COUNT(Curvas_cupon_cero!$A:$A)-2,1),OFFSET(Curvas_cupon_cero!$A$1,1,MATCH($B$7,Curvas_cupon_cero!$1:$1,0)-1,COUNT(Curvas_cupon_cero!$A:$A)-2,1)),[1]!interpolar(H371,OFFSET(Curvas_cupon_cero!$A$1,1,0,COUNT(Curvas_cupon_cero!$A:$A)-2,1),OFFSET(Curvas_cupon_cero!$A$1,1,MATCH($B$7,Curvas_cupon_cero!$1:$1,0)-1,COUNT(Curvas_cupon_cero!$A:$A)-2,1))))</f>
        <v/>
      </c>
      <c r="E371" s="23" t="str">
        <f t="shared" si="34"/>
        <v/>
      </c>
      <c r="F371" s="17" t="str">
        <f t="shared" si="32"/>
        <v/>
      </c>
      <c r="G371" s="18" t="str">
        <f t="shared" si="35"/>
        <v/>
      </c>
      <c r="H371" t="str">
        <f t="shared" si="36"/>
        <v/>
      </c>
      <c r="I371" s="23" t="str">
        <f ca="1">IF(A371="","",IF($B$8="Sí",interpolar_alamb(H371,OFFSET(Curvas_cupon_cero!$A$1,1,0,COUNT(Curvas_cupon_cero!$A:$A)-2,1),OFFSET(Curvas_cupon_cero!$A$1,1,MATCH($B$6,Curvas_cupon_cero!$1:$1,0)-1,COUNT(Curvas_cupon_cero!$A:$A)-2,1)),[1]!interpolar(H371,OFFSET(Curvas_cupon_cero!$A$1,1,0,COUNT(Curvas_cupon_cero!$A:$A)-2,1),OFFSET(Curvas_cupon_cero!$A$1,1,MATCH($B$6,Curvas_cupon_cero!$1:$1,0)-1,COUNT(Curvas_cupon_cero!$A:$A)-2,1))))</f>
        <v/>
      </c>
      <c r="J371" s="19" t="str">
        <f>IF(A371="","",F371/(1+I371*$B$5/360)^(COUNT(A$16:A371)-($B$5-$G$16)/$B$5))</f>
        <v/>
      </c>
    </row>
    <row r="372" spans="1:10" x14ac:dyDescent="0.2">
      <c r="A372" s="12" t="str">
        <f t="shared" si="33"/>
        <v/>
      </c>
      <c r="B372" t="str">
        <f t="shared" si="31"/>
        <v/>
      </c>
      <c r="C372" s="21" t="str">
        <f ca="1">IF(A372="","",IF($B$8="Sí",interpolar_alamb(B372,OFFSET(Curvas_cupon_cero!$A$1,1,0,COUNT(Curvas_cupon_cero!$A:$A)-2,1),OFFSET(Curvas_cupon_cero!$A$1,1,MATCH($B$7,Curvas_cupon_cero!$1:$1,0)-1,COUNT(Curvas_cupon_cero!$A:$A)-2,1)),[1]!interpolar(B372,OFFSET(Curvas_cupon_cero!$A$1,1,0,COUNT(Curvas_cupon_cero!$A:$A)-2,1),OFFSET(Curvas_cupon_cero!$A$1,1,MATCH($B$7,Curvas_cupon_cero!$1:$1,0)-1,COUNT(Curvas_cupon_cero!$A:$A)-2,1))))</f>
        <v/>
      </c>
      <c r="D372" s="23" t="str">
        <f ca="1">IF(A372="","",IF($B$8="Sí",interpolar_alamb(H372,OFFSET(Curvas_cupon_cero!$A$1,1,0,COUNT(Curvas_cupon_cero!$A:$A)-2,1),OFFSET(Curvas_cupon_cero!$A$1,1,MATCH($B$7,Curvas_cupon_cero!$1:$1,0)-1,COUNT(Curvas_cupon_cero!$A:$A)-2,1)),[1]!interpolar(H372,OFFSET(Curvas_cupon_cero!$A$1,1,0,COUNT(Curvas_cupon_cero!$A:$A)-2,1),OFFSET(Curvas_cupon_cero!$A$1,1,MATCH($B$7,Curvas_cupon_cero!$1:$1,0)-1,COUNT(Curvas_cupon_cero!$A:$A)-2,1))))</f>
        <v/>
      </c>
      <c r="E372" s="23" t="str">
        <f t="shared" si="34"/>
        <v/>
      </c>
      <c r="F372" s="17" t="str">
        <f t="shared" si="32"/>
        <v/>
      </c>
      <c r="G372" s="18" t="str">
        <f t="shared" si="35"/>
        <v/>
      </c>
      <c r="H372" t="str">
        <f t="shared" si="36"/>
        <v/>
      </c>
      <c r="I372" s="23" t="str">
        <f ca="1">IF(A372="","",IF($B$8="Sí",interpolar_alamb(H372,OFFSET(Curvas_cupon_cero!$A$1,1,0,COUNT(Curvas_cupon_cero!$A:$A)-2,1),OFFSET(Curvas_cupon_cero!$A$1,1,MATCH($B$6,Curvas_cupon_cero!$1:$1,0)-1,COUNT(Curvas_cupon_cero!$A:$A)-2,1)),[1]!interpolar(H372,OFFSET(Curvas_cupon_cero!$A$1,1,0,COUNT(Curvas_cupon_cero!$A:$A)-2,1),OFFSET(Curvas_cupon_cero!$A$1,1,MATCH($B$6,Curvas_cupon_cero!$1:$1,0)-1,COUNT(Curvas_cupon_cero!$A:$A)-2,1))))</f>
        <v/>
      </c>
      <c r="J372" s="19" t="str">
        <f>IF(A372="","",F372/(1+I372*$B$5/360)^(COUNT(A$16:A372)-($B$5-$G$16)/$B$5))</f>
        <v/>
      </c>
    </row>
    <row r="373" spans="1:10" x14ac:dyDescent="0.2">
      <c r="A373" s="12" t="str">
        <f t="shared" si="33"/>
        <v/>
      </c>
      <c r="B373" t="str">
        <f t="shared" si="31"/>
        <v/>
      </c>
      <c r="C373" s="21" t="str">
        <f ca="1">IF(A373="","",IF($B$8="Sí",interpolar_alamb(B373,OFFSET(Curvas_cupon_cero!$A$1,1,0,COUNT(Curvas_cupon_cero!$A:$A)-2,1),OFFSET(Curvas_cupon_cero!$A$1,1,MATCH($B$7,Curvas_cupon_cero!$1:$1,0)-1,COUNT(Curvas_cupon_cero!$A:$A)-2,1)),[1]!interpolar(B373,OFFSET(Curvas_cupon_cero!$A$1,1,0,COUNT(Curvas_cupon_cero!$A:$A)-2,1),OFFSET(Curvas_cupon_cero!$A$1,1,MATCH($B$7,Curvas_cupon_cero!$1:$1,0)-1,COUNT(Curvas_cupon_cero!$A:$A)-2,1))))</f>
        <v/>
      </c>
      <c r="D373" s="23" t="str">
        <f ca="1">IF(A373="","",IF($B$8="Sí",interpolar_alamb(H373,OFFSET(Curvas_cupon_cero!$A$1,1,0,COUNT(Curvas_cupon_cero!$A:$A)-2,1),OFFSET(Curvas_cupon_cero!$A$1,1,MATCH($B$7,Curvas_cupon_cero!$1:$1,0)-1,COUNT(Curvas_cupon_cero!$A:$A)-2,1)),[1]!interpolar(H373,OFFSET(Curvas_cupon_cero!$A$1,1,0,COUNT(Curvas_cupon_cero!$A:$A)-2,1),OFFSET(Curvas_cupon_cero!$A$1,1,MATCH($B$7,Curvas_cupon_cero!$1:$1,0)-1,COUNT(Curvas_cupon_cero!$A:$A)-2,1))))</f>
        <v/>
      </c>
      <c r="E373" s="23" t="str">
        <f t="shared" si="34"/>
        <v/>
      </c>
      <c r="F373" s="17" t="str">
        <f t="shared" si="32"/>
        <v/>
      </c>
      <c r="G373" s="18" t="str">
        <f t="shared" si="35"/>
        <v/>
      </c>
      <c r="H373" t="str">
        <f t="shared" si="36"/>
        <v/>
      </c>
      <c r="I373" s="23" t="str">
        <f ca="1">IF(A373="","",IF($B$8="Sí",interpolar_alamb(H373,OFFSET(Curvas_cupon_cero!$A$1,1,0,COUNT(Curvas_cupon_cero!$A:$A)-2,1),OFFSET(Curvas_cupon_cero!$A$1,1,MATCH($B$6,Curvas_cupon_cero!$1:$1,0)-1,COUNT(Curvas_cupon_cero!$A:$A)-2,1)),[1]!interpolar(H373,OFFSET(Curvas_cupon_cero!$A$1,1,0,COUNT(Curvas_cupon_cero!$A:$A)-2,1),OFFSET(Curvas_cupon_cero!$A$1,1,MATCH($B$6,Curvas_cupon_cero!$1:$1,0)-1,COUNT(Curvas_cupon_cero!$A:$A)-2,1))))</f>
        <v/>
      </c>
      <c r="J373" s="19" t="str">
        <f>IF(A373="","",F373/(1+I373*$B$5/360)^(COUNT(A$16:A373)-($B$5-$G$16)/$B$5))</f>
        <v/>
      </c>
    </row>
    <row r="374" spans="1:10" x14ac:dyDescent="0.2">
      <c r="A374" s="12" t="str">
        <f t="shared" si="33"/>
        <v/>
      </c>
      <c r="B374" t="str">
        <f t="shared" si="31"/>
        <v/>
      </c>
      <c r="C374" s="21" t="str">
        <f ca="1">IF(A374="","",IF($B$8="Sí",interpolar_alamb(B374,OFFSET(Curvas_cupon_cero!$A$1,1,0,COUNT(Curvas_cupon_cero!$A:$A)-2,1),OFFSET(Curvas_cupon_cero!$A$1,1,MATCH($B$7,Curvas_cupon_cero!$1:$1,0)-1,COUNT(Curvas_cupon_cero!$A:$A)-2,1)),[1]!interpolar(B374,OFFSET(Curvas_cupon_cero!$A$1,1,0,COUNT(Curvas_cupon_cero!$A:$A)-2,1),OFFSET(Curvas_cupon_cero!$A$1,1,MATCH($B$7,Curvas_cupon_cero!$1:$1,0)-1,COUNT(Curvas_cupon_cero!$A:$A)-2,1))))</f>
        <v/>
      </c>
      <c r="D374" s="23" t="str">
        <f ca="1">IF(A374="","",IF($B$8="Sí",interpolar_alamb(H374,OFFSET(Curvas_cupon_cero!$A$1,1,0,COUNT(Curvas_cupon_cero!$A:$A)-2,1),OFFSET(Curvas_cupon_cero!$A$1,1,MATCH($B$7,Curvas_cupon_cero!$1:$1,0)-1,COUNT(Curvas_cupon_cero!$A:$A)-2,1)),[1]!interpolar(H374,OFFSET(Curvas_cupon_cero!$A$1,1,0,COUNT(Curvas_cupon_cero!$A:$A)-2,1),OFFSET(Curvas_cupon_cero!$A$1,1,MATCH($B$7,Curvas_cupon_cero!$1:$1,0)-1,COUNT(Curvas_cupon_cero!$A:$A)-2,1))))</f>
        <v/>
      </c>
      <c r="E374" s="23" t="str">
        <f t="shared" si="34"/>
        <v/>
      </c>
      <c r="F374" s="17" t="str">
        <f t="shared" si="32"/>
        <v/>
      </c>
      <c r="G374" s="18" t="str">
        <f t="shared" si="35"/>
        <v/>
      </c>
      <c r="H374" t="str">
        <f t="shared" si="36"/>
        <v/>
      </c>
      <c r="I374" s="23" t="str">
        <f ca="1">IF(A374="","",IF($B$8="Sí",interpolar_alamb(H374,OFFSET(Curvas_cupon_cero!$A$1,1,0,COUNT(Curvas_cupon_cero!$A:$A)-2,1),OFFSET(Curvas_cupon_cero!$A$1,1,MATCH($B$6,Curvas_cupon_cero!$1:$1,0)-1,COUNT(Curvas_cupon_cero!$A:$A)-2,1)),[1]!interpolar(H374,OFFSET(Curvas_cupon_cero!$A$1,1,0,COUNT(Curvas_cupon_cero!$A:$A)-2,1),OFFSET(Curvas_cupon_cero!$A$1,1,MATCH($B$6,Curvas_cupon_cero!$1:$1,0)-1,COUNT(Curvas_cupon_cero!$A:$A)-2,1))))</f>
        <v/>
      </c>
      <c r="J374" s="19" t="str">
        <f>IF(A374="","",F374/(1+I374*$B$5/360)^(COUNT(A$16:A374)-($B$5-$G$16)/$B$5))</f>
        <v/>
      </c>
    </row>
    <row r="375" spans="1:10" x14ac:dyDescent="0.2">
      <c r="A375" s="12" t="str">
        <f t="shared" si="33"/>
        <v/>
      </c>
      <c r="B375" t="str">
        <f t="shared" si="31"/>
        <v/>
      </c>
      <c r="C375" s="21" t="str">
        <f ca="1">IF(A375="","",IF($B$8="Sí",interpolar_alamb(B375,OFFSET(Curvas_cupon_cero!$A$1,1,0,COUNT(Curvas_cupon_cero!$A:$A)-2,1),OFFSET(Curvas_cupon_cero!$A$1,1,MATCH($B$7,Curvas_cupon_cero!$1:$1,0)-1,COUNT(Curvas_cupon_cero!$A:$A)-2,1)),[1]!interpolar(B375,OFFSET(Curvas_cupon_cero!$A$1,1,0,COUNT(Curvas_cupon_cero!$A:$A)-2,1),OFFSET(Curvas_cupon_cero!$A$1,1,MATCH($B$7,Curvas_cupon_cero!$1:$1,0)-1,COUNT(Curvas_cupon_cero!$A:$A)-2,1))))</f>
        <v/>
      </c>
      <c r="D375" s="23" t="str">
        <f ca="1">IF(A375="","",IF($B$8="Sí",interpolar_alamb(H375,OFFSET(Curvas_cupon_cero!$A$1,1,0,COUNT(Curvas_cupon_cero!$A:$A)-2,1),OFFSET(Curvas_cupon_cero!$A$1,1,MATCH($B$7,Curvas_cupon_cero!$1:$1,0)-1,COUNT(Curvas_cupon_cero!$A:$A)-2,1)),[1]!interpolar(H375,OFFSET(Curvas_cupon_cero!$A$1,1,0,COUNT(Curvas_cupon_cero!$A:$A)-2,1),OFFSET(Curvas_cupon_cero!$A$1,1,MATCH($B$7,Curvas_cupon_cero!$1:$1,0)-1,COUNT(Curvas_cupon_cero!$A:$A)-2,1))))</f>
        <v/>
      </c>
      <c r="E375" s="23" t="str">
        <f t="shared" si="34"/>
        <v/>
      </c>
      <c r="F375" s="17" t="str">
        <f t="shared" si="32"/>
        <v/>
      </c>
      <c r="G375" s="18" t="str">
        <f t="shared" si="35"/>
        <v/>
      </c>
      <c r="H375" t="str">
        <f t="shared" si="36"/>
        <v/>
      </c>
      <c r="I375" s="23" t="str">
        <f ca="1">IF(A375="","",IF($B$8="Sí",interpolar_alamb(H375,OFFSET(Curvas_cupon_cero!$A$1,1,0,COUNT(Curvas_cupon_cero!$A:$A)-2,1),OFFSET(Curvas_cupon_cero!$A$1,1,MATCH($B$6,Curvas_cupon_cero!$1:$1,0)-1,COUNT(Curvas_cupon_cero!$A:$A)-2,1)),[1]!interpolar(H375,OFFSET(Curvas_cupon_cero!$A$1,1,0,COUNT(Curvas_cupon_cero!$A:$A)-2,1),OFFSET(Curvas_cupon_cero!$A$1,1,MATCH($B$6,Curvas_cupon_cero!$1:$1,0)-1,COUNT(Curvas_cupon_cero!$A:$A)-2,1))))</f>
        <v/>
      </c>
      <c r="J375" s="19" t="str">
        <f>IF(A375="","",F375/(1+I375*$B$5/360)^(COUNT(A$16:A375)-($B$5-$G$16)/$B$5))</f>
        <v/>
      </c>
    </row>
    <row r="376" spans="1:10" x14ac:dyDescent="0.2">
      <c r="A376" s="12" t="str">
        <f t="shared" si="33"/>
        <v/>
      </c>
      <c r="B376" t="str">
        <f t="shared" si="31"/>
        <v/>
      </c>
      <c r="C376" s="21" t="str">
        <f ca="1">IF(A376="","",IF($B$8="Sí",interpolar_alamb(B376,OFFSET(Curvas_cupon_cero!$A$1,1,0,COUNT(Curvas_cupon_cero!$A:$A)-2,1),OFFSET(Curvas_cupon_cero!$A$1,1,MATCH($B$7,Curvas_cupon_cero!$1:$1,0)-1,COUNT(Curvas_cupon_cero!$A:$A)-2,1)),[1]!interpolar(B376,OFFSET(Curvas_cupon_cero!$A$1,1,0,COUNT(Curvas_cupon_cero!$A:$A)-2,1),OFFSET(Curvas_cupon_cero!$A$1,1,MATCH($B$7,Curvas_cupon_cero!$1:$1,0)-1,COUNT(Curvas_cupon_cero!$A:$A)-2,1))))</f>
        <v/>
      </c>
      <c r="D376" s="23" t="str">
        <f ca="1">IF(A376="","",IF($B$8="Sí",interpolar_alamb(H376,OFFSET(Curvas_cupon_cero!$A$1,1,0,COUNT(Curvas_cupon_cero!$A:$A)-2,1),OFFSET(Curvas_cupon_cero!$A$1,1,MATCH($B$7,Curvas_cupon_cero!$1:$1,0)-1,COUNT(Curvas_cupon_cero!$A:$A)-2,1)),[1]!interpolar(H376,OFFSET(Curvas_cupon_cero!$A$1,1,0,COUNT(Curvas_cupon_cero!$A:$A)-2,1),OFFSET(Curvas_cupon_cero!$A$1,1,MATCH($B$7,Curvas_cupon_cero!$1:$1,0)-1,COUNT(Curvas_cupon_cero!$A:$A)-2,1))))</f>
        <v/>
      </c>
      <c r="E376" s="23" t="str">
        <f t="shared" si="34"/>
        <v/>
      </c>
      <c r="F376" s="17" t="str">
        <f t="shared" si="32"/>
        <v/>
      </c>
      <c r="G376" s="18" t="str">
        <f t="shared" si="35"/>
        <v/>
      </c>
      <c r="H376" t="str">
        <f t="shared" si="36"/>
        <v/>
      </c>
      <c r="I376" s="23" t="str">
        <f ca="1">IF(A376="","",IF($B$8="Sí",interpolar_alamb(H376,OFFSET(Curvas_cupon_cero!$A$1,1,0,COUNT(Curvas_cupon_cero!$A:$A)-2,1),OFFSET(Curvas_cupon_cero!$A$1,1,MATCH($B$6,Curvas_cupon_cero!$1:$1,0)-1,COUNT(Curvas_cupon_cero!$A:$A)-2,1)),[1]!interpolar(H376,OFFSET(Curvas_cupon_cero!$A$1,1,0,COUNT(Curvas_cupon_cero!$A:$A)-2,1),OFFSET(Curvas_cupon_cero!$A$1,1,MATCH($B$6,Curvas_cupon_cero!$1:$1,0)-1,COUNT(Curvas_cupon_cero!$A:$A)-2,1))))</f>
        <v/>
      </c>
      <c r="J376" s="19" t="str">
        <f>IF(A376="","",F376/(1+I376*$B$5/360)^(COUNT(A$16:A376)-($B$5-$G$16)/$B$5))</f>
        <v/>
      </c>
    </row>
    <row r="377" spans="1:10" x14ac:dyDescent="0.2">
      <c r="A377" s="12" t="str">
        <f t="shared" si="33"/>
        <v/>
      </c>
      <c r="B377" t="str">
        <f t="shared" si="31"/>
        <v/>
      </c>
      <c r="C377" s="21" t="str">
        <f ca="1">IF(A377="","",IF($B$8="Sí",interpolar_alamb(B377,OFFSET(Curvas_cupon_cero!$A$1,1,0,COUNT(Curvas_cupon_cero!$A:$A)-2,1),OFFSET(Curvas_cupon_cero!$A$1,1,MATCH($B$7,Curvas_cupon_cero!$1:$1,0)-1,COUNT(Curvas_cupon_cero!$A:$A)-2,1)),[1]!interpolar(B377,OFFSET(Curvas_cupon_cero!$A$1,1,0,COUNT(Curvas_cupon_cero!$A:$A)-2,1),OFFSET(Curvas_cupon_cero!$A$1,1,MATCH($B$7,Curvas_cupon_cero!$1:$1,0)-1,COUNT(Curvas_cupon_cero!$A:$A)-2,1))))</f>
        <v/>
      </c>
      <c r="D377" s="23" t="str">
        <f ca="1">IF(A377="","",IF($B$8="Sí",interpolar_alamb(H377,OFFSET(Curvas_cupon_cero!$A$1,1,0,COUNT(Curvas_cupon_cero!$A:$A)-2,1),OFFSET(Curvas_cupon_cero!$A$1,1,MATCH($B$7,Curvas_cupon_cero!$1:$1,0)-1,COUNT(Curvas_cupon_cero!$A:$A)-2,1)),[1]!interpolar(H377,OFFSET(Curvas_cupon_cero!$A$1,1,0,COUNT(Curvas_cupon_cero!$A:$A)-2,1),OFFSET(Curvas_cupon_cero!$A$1,1,MATCH($B$7,Curvas_cupon_cero!$1:$1,0)-1,COUNT(Curvas_cupon_cero!$A:$A)-2,1))))</f>
        <v/>
      </c>
      <c r="E377" s="23" t="str">
        <f t="shared" si="34"/>
        <v/>
      </c>
      <c r="F377" s="17" t="str">
        <f t="shared" si="32"/>
        <v/>
      </c>
      <c r="G377" s="18" t="str">
        <f t="shared" si="35"/>
        <v/>
      </c>
      <c r="H377" t="str">
        <f t="shared" si="36"/>
        <v/>
      </c>
      <c r="I377" s="23" t="str">
        <f ca="1">IF(A377="","",IF($B$8="Sí",interpolar_alamb(H377,OFFSET(Curvas_cupon_cero!$A$1,1,0,COUNT(Curvas_cupon_cero!$A:$A)-2,1),OFFSET(Curvas_cupon_cero!$A$1,1,MATCH($B$6,Curvas_cupon_cero!$1:$1,0)-1,COUNT(Curvas_cupon_cero!$A:$A)-2,1)),[1]!interpolar(H377,OFFSET(Curvas_cupon_cero!$A$1,1,0,COUNT(Curvas_cupon_cero!$A:$A)-2,1),OFFSET(Curvas_cupon_cero!$A$1,1,MATCH($B$6,Curvas_cupon_cero!$1:$1,0)-1,COUNT(Curvas_cupon_cero!$A:$A)-2,1))))</f>
        <v/>
      </c>
      <c r="J377" s="19" t="str">
        <f>IF(A377="","",F377/(1+I377*$B$5/360)^(COUNT(A$16:A377)-($B$5-$G$16)/$B$5))</f>
        <v/>
      </c>
    </row>
    <row r="378" spans="1:10" x14ac:dyDescent="0.2">
      <c r="A378" s="12" t="str">
        <f t="shared" si="33"/>
        <v/>
      </c>
      <c r="B378" t="str">
        <f t="shared" si="31"/>
        <v/>
      </c>
      <c r="C378" s="21" t="str">
        <f ca="1">IF(A378="","",IF($B$8="Sí",interpolar_alamb(B378,OFFSET(Curvas_cupon_cero!$A$1,1,0,COUNT(Curvas_cupon_cero!$A:$A)-2,1),OFFSET(Curvas_cupon_cero!$A$1,1,MATCH($B$7,Curvas_cupon_cero!$1:$1,0)-1,COUNT(Curvas_cupon_cero!$A:$A)-2,1)),[1]!interpolar(B378,OFFSET(Curvas_cupon_cero!$A$1,1,0,COUNT(Curvas_cupon_cero!$A:$A)-2,1),OFFSET(Curvas_cupon_cero!$A$1,1,MATCH($B$7,Curvas_cupon_cero!$1:$1,0)-1,COUNT(Curvas_cupon_cero!$A:$A)-2,1))))</f>
        <v/>
      </c>
      <c r="D378" s="23" t="str">
        <f ca="1">IF(A378="","",IF($B$8="Sí",interpolar_alamb(H378,OFFSET(Curvas_cupon_cero!$A$1,1,0,COUNT(Curvas_cupon_cero!$A:$A)-2,1),OFFSET(Curvas_cupon_cero!$A$1,1,MATCH($B$7,Curvas_cupon_cero!$1:$1,0)-1,COUNT(Curvas_cupon_cero!$A:$A)-2,1)),[1]!interpolar(H378,OFFSET(Curvas_cupon_cero!$A$1,1,0,COUNT(Curvas_cupon_cero!$A:$A)-2,1),OFFSET(Curvas_cupon_cero!$A$1,1,MATCH($B$7,Curvas_cupon_cero!$1:$1,0)-1,COUNT(Curvas_cupon_cero!$A:$A)-2,1))))</f>
        <v/>
      </c>
      <c r="E378" s="23" t="str">
        <f t="shared" si="34"/>
        <v/>
      </c>
      <c r="F378" s="17" t="str">
        <f t="shared" si="32"/>
        <v/>
      </c>
      <c r="G378" s="18" t="str">
        <f t="shared" si="35"/>
        <v/>
      </c>
      <c r="H378" t="str">
        <f t="shared" si="36"/>
        <v/>
      </c>
      <c r="I378" s="23" t="str">
        <f ca="1">IF(A378="","",IF($B$8="Sí",interpolar_alamb(H378,OFFSET(Curvas_cupon_cero!$A$1,1,0,COUNT(Curvas_cupon_cero!$A:$A)-2,1),OFFSET(Curvas_cupon_cero!$A$1,1,MATCH($B$6,Curvas_cupon_cero!$1:$1,0)-1,COUNT(Curvas_cupon_cero!$A:$A)-2,1)),[1]!interpolar(H378,OFFSET(Curvas_cupon_cero!$A$1,1,0,COUNT(Curvas_cupon_cero!$A:$A)-2,1),OFFSET(Curvas_cupon_cero!$A$1,1,MATCH($B$6,Curvas_cupon_cero!$1:$1,0)-1,COUNT(Curvas_cupon_cero!$A:$A)-2,1))))</f>
        <v/>
      </c>
      <c r="J378" s="19" t="str">
        <f>IF(A378="","",F378/(1+I378*$B$5/360)^(COUNT(A$16:A378)-($B$5-$G$16)/$B$5))</f>
        <v/>
      </c>
    </row>
    <row r="379" spans="1:10" x14ac:dyDescent="0.2">
      <c r="A379" s="12" t="str">
        <f t="shared" si="33"/>
        <v/>
      </c>
      <c r="B379" t="str">
        <f t="shared" si="31"/>
        <v/>
      </c>
      <c r="C379" s="21" t="str">
        <f ca="1">IF(A379="","",IF($B$8="Sí",interpolar_alamb(B379,OFFSET(Curvas_cupon_cero!$A$1,1,0,COUNT(Curvas_cupon_cero!$A:$A)-2,1),OFFSET(Curvas_cupon_cero!$A$1,1,MATCH($B$7,Curvas_cupon_cero!$1:$1,0)-1,COUNT(Curvas_cupon_cero!$A:$A)-2,1)),[1]!interpolar(B379,OFFSET(Curvas_cupon_cero!$A$1,1,0,COUNT(Curvas_cupon_cero!$A:$A)-2,1),OFFSET(Curvas_cupon_cero!$A$1,1,MATCH($B$7,Curvas_cupon_cero!$1:$1,0)-1,COUNT(Curvas_cupon_cero!$A:$A)-2,1))))</f>
        <v/>
      </c>
      <c r="D379" s="23" t="str">
        <f ca="1">IF(A379="","",IF($B$8="Sí",interpolar_alamb(H379,OFFSET(Curvas_cupon_cero!$A$1,1,0,COUNT(Curvas_cupon_cero!$A:$A)-2,1),OFFSET(Curvas_cupon_cero!$A$1,1,MATCH($B$7,Curvas_cupon_cero!$1:$1,0)-1,COUNT(Curvas_cupon_cero!$A:$A)-2,1)),[1]!interpolar(H379,OFFSET(Curvas_cupon_cero!$A$1,1,0,COUNT(Curvas_cupon_cero!$A:$A)-2,1),OFFSET(Curvas_cupon_cero!$A$1,1,MATCH($B$7,Curvas_cupon_cero!$1:$1,0)-1,COUNT(Curvas_cupon_cero!$A:$A)-2,1))))</f>
        <v/>
      </c>
      <c r="E379" s="23" t="str">
        <f t="shared" si="34"/>
        <v/>
      </c>
      <c r="F379" s="17" t="str">
        <f t="shared" si="32"/>
        <v/>
      </c>
      <c r="G379" s="18" t="str">
        <f t="shared" si="35"/>
        <v/>
      </c>
      <c r="H379" t="str">
        <f t="shared" si="36"/>
        <v/>
      </c>
      <c r="I379" s="23" t="str">
        <f ca="1">IF(A379="","",IF($B$8="Sí",interpolar_alamb(H379,OFFSET(Curvas_cupon_cero!$A$1,1,0,COUNT(Curvas_cupon_cero!$A:$A)-2,1),OFFSET(Curvas_cupon_cero!$A$1,1,MATCH($B$6,Curvas_cupon_cero!$1:$1,0)-1,COUNT(Curvas_cupon_cero!$A:$A)-2,1)),[1]!interpolar(H379,OFFSET(Curvas_cupon_cero!$A$1,1,0,COUNT(Curvas_cupon_cero!$A:$A)-2,1),OFFSET(Curvas_cupon_cero!$A$1,1,MATCH($B$6,Curvas_cupon_cero!$1:$1,0)-1,COUNT(Curvas_cupon_cero!$A:$A)-2,1))))</f>
        <v/>
      </c>
      <c r="J379" s="19" t="str">
        <f>IF(A379="","",F379/(1+I379*$B$5/360)^(COUNT(A$16:A379)-($B$5-$G$16)/$B$5))</f>
        <v/>
      </c>
    </row>
    <row r="380" spans="1:10" x14ac:dyDescent="0.2">
      <c r="A380" s="12" t="str">
        <f t="shared" si="33"/>
        <v/>
      </c>
      <c r="B380" t="str">
        <f t="shared" si="31"/>
        <v/>
      </c>
      <c r="C380" s="21" t="str">
        <f ca="1">IF(A380="","",IF($B$8="Sí",interpolar_alamb(B380,OFFSET(Curvas_cupon_cero!$A$1,1,0,COUNT(Curvas_cupon_cero!$A:$A)-2,1),OFFSET(Curvas_cupon_cero!$A$1,1,MATCH($B$7,Curvas_cupon_cero!$1:$1,0)-1,COUNT(Curvas_cupon_cero!$A:$A)-2,1)),[1]!interpolar(B380,OFFSET(Curvas_cupon_cero!$A$1,1,0,COUNT(Curvas_cupon_cero!$A:$A)-2,1),OFFSET(Curvas_cupon_cero!$A$1,1,MATCH($B$7,Curvas_cupon_cero!$1:$1,0)-1,COUNT(Curvas_cupon_cero!$A:$A)-2,1))))</f>
        <v/>
      </c>
      <c r="D380" s="23" t="str">
        <f ca="1">IF(A380="","",IF($B$8="Sí",interpolar_alamb(H380,OFFSET(Curvas_cupon_cero!$A$1,1,0,COUNT(Curvas_cupon_cero!$A:$A)-2,1),OFFSET(Curvas_cupon_cero!$A$1,1,MATCH($B$7,Curvas_cupon_cero!$1:$1,0)-1,COUNT(Curvas_cupon_cero!$A:$A)-2,1)),[1]!interpolar(H380,OFFSET(Curvas_cupon_cero!$A$1,1,0,COUNT(Curvas_cupon_cero!$A:$A)-2,1),OFFSET(Curvas_cupon_cero!$A$1,1,MATCH($B$7,Curvas_cupon_cero!$1:$1,0)-1,COUNT(Curvas_cupon_cero!$A:$A)-2,1))))</f>
        <v/>
      </c>
      <c r="E380" s="23" t="str">
        <f t="shared" si="34"/>
        <v/>
      </c>
      <c r="F380" s="17" t="str">
        <f t="shared" si="32"/>
        <v/>
      </c>
      <c r="G380" s="18" t="str">
        <f t="shared" si="35"/>
        <v/>
      </c>
      <c r="H380" t="str">
        <f t="shared" si="36"/>
        <v/>
      </c>
      <c r="I380" s="23" t="str">
        <f ca="1">IF(A380="","",IF($B$8="Sí",interpolar_alamb(H380,OFFSET(Curvas_cupon_cero!$A$1,1,0,COUNT(Curvas_cupon_cero!$A:$A)-2,1),OFFSET(Curvas_cupon_cero!$A$1,1,MATCH($B$6,Curvas_cupon_cero!$1:$1,0)-1,COUNT(Curvas_cupon_cero!$A:$A)-2,1)),[1]!interpolar(H380,OFFSET(Curvas_cupon_cero!$A$1,1,0,COUNT(Curvas_cupon_cero!$A:$A)-2,1),OFFSET(Curvas_cupon_cero!$A$1,1,MATCH($B$6,Curvas_cupon_cero!$1:$1,0)-1,COUNT(Curvas_cupon_cero!$A:$A)-2,1))))</f>
        <v/>
      </c>
      <c r="J380" s="19" t="str">
        <f>IF(A380="","",F380/(1+I380*$B$5/360)^(COUNT(A$16:A380)-($B$5-$G$16)/$B$5))</f>
        <v/>
      </c>
    </row>
    <row r="381" spans="1:10" x14ac:dyDescent="0.2">
      <c r="A381" s="12" t="str">
        <f t="shared" si="33"/>
        <v/>
      </c>
      <c r="B381" t="str">
        <f t="shared" si="31"/>
        <v/>
      </c>
      <c r="C381" s="21" t="str">
        <f ca="1">IF(A381="","",IF($B$8="Sí",interpolar_alamb(B381,OFFSET(Curvas_cupon_cero!$A$1,1,0,COUNT(Curvas_cupon_cero!$A:$A)-2,1),OFFSET(Curvas_cupon_cero!$A$1,1,MATCH($B$7,Curvas_cupon_cero!$1:$1,0)-1,COUNT(Curvas_cupon_cero!$A:$A)-2,1)),[1]!interpolar(B381,OFFSET(Curvas_cupon_cero!$A$1,1,0,COUNT(Curvas_cupon_cero!$A:$A)-2,1),OFFSET(Curvas_cupon_cero!$A$1,1,MATCH($B$7,Curvas_cupon_cero!$1:$1,0)-1,COUNT(Curvas_cupon_cero!$A:$A)-2,1))))</f>
        <v/>
      </c>
      <c r="D381" s="23" t="str">
        <f ca="1">IF(A381="","",IF($B$8="Sí",interpolar_alamb(H381,OFFSET(Curvas_cupon_cero!$A$1,1,0,COUNT(Curvas_cupon_cero!$A:$A)-2,1),OFFSET(Curvas_cupon_cero!$A$1,1,MATCH($B$7,Curvas_cupon_cero!$1:$1,0)-1,COUNT(Curvas_cupon_cero!$A:$A)-2,1)),[1]!interpolar(H381,OFFSET(Curvas_cupon_cero!$A$1,1,0,COUNT(Curvas_cupon_cero!$A:$A)-2,1),OFFSET(Curvas_cupon_cero!$A$1,1,MATCH($B$7,Curvas_cupon_cero!$1:$1,0)-1,COUNT(Curvas_cupon_cero!$A:$A)-2,1))))</f>
        <v/>
      </c>
      <c r="E381" s="23" t="str">
        <f t="shared" si="34"/>
        <v/>
      </c>
      <c r="F381" s="17" t="str">
        <f t="shared" si="32"/>
        <v/>
      </c>
      <c r="G381" s="18" t="str">
        <f t="shared" si="35"/>
        <v/>
      </c>
      <c r="H381" t="str">
        <f t="shared" si="36"/>
        <v/>
      </c>
      <c r="I381" s="23" t="str">
        <f ca="1">IF(A381="","",IF($B$8="Sí",interpolar_alamb(H381,OFFSET(Curvas_cupon_cero!$A$1,1,0,COUNT(Curvas_cupon_cero!$A:$A)-2,1),OFFSET(Curvas_cupon_cero!$A$1,1,MATCH($B$6,Curvas_cupon_cero!$1:$1,0)-1,COUNT(Curvas_cupon_cero!$A:$A)-2,1)),[1]!interpolar(H381,OFFSET(Curvas_cupon_cero!$A$1,1,0,COUNT(Curvas_cupon_cero!$A:$A)-2,1),OFFSET(Curvas_cupon_cero!$A$1,1,MATCH($B$6,Curvas_cupon_cero!$1:$1,0)-1,COUNT(Curvas_cupon_cero!$A:$A)-2,1))))</f>
        <v/>
      </c>
      <c r="J381" s="19" t="str">
        <f>IF(A381="","",F381/(1+I381*$B$5/360)^(COUNT(A$16:A381)-($B$5-$G$16)/$B$5))</f>
        <v/>
      </c>
    </row>
    <row r="382" spans="1:10" x14ac:dyDescent="0.2">
      <c r="A382" s="12" t="str">
        <f t="shared" si="33"/>
        <v/>
      </c>
      <c r="B382" t="str">
        <f t="shared" si="31"/>
        <v/>
      </c>
      <c r="C382" s="21" t="str">
        <f ca="1">IF(A382="","",IF($B$8="Sí",interpolar_alamb(B382,OFFSET(Curvas_cupon_cero!$A$1,1,0,COUNT(Curvas_cupon_cero!$A:$A)-2,1),OFFSET(Curvas_cupon_cero!$A$1,1,MATCH($B$7,Curvas_cupon_cero!$1:$1,0)-1,COUNT(Curvas_cupon_cero!$A:$A)-2,1)),[1]!interpolar(B382,OFFSET(Curvas_cupon_cero!$A$1,1,0,COUNT(Curvas_cupon_cero!$A:$A)-2,1),OFFSET(Curvas_cupon_cero!$A$1,1,MATCH($B$7,Curvas_cupon_cero!$1:$1,0)-1,COUNT(Curvas_cupon_cero!$A:$A)-2,1))))</f>
        <v/>
      </c>
      <c r="D382" s="23" t="str">
        <f ca="1">IF(A382="","",IF($B$8="Sí",interpolar_alamb(H382,OFFSET(Curvas_cupon_cero!$A$1,1,0,COUNT(Curvas_cupon_cero!$A:$A)-2,1),OFFSET(Curvas_cupon_cero!$A$1,1,MATCH($B$7,Curvas_cupon_cero!$1:$1,0)-1,COUNT(Curvas_cupon_cero!$A:$A)-2,1)),[1]!interpolar(H382,OFFSET(Curvas_cupon_cero!$A$1,1,0,COUNT(Curvas_cupon_cero!$A:$A)-2,1),OFFSET(Curvas_cupon_cero!$A$1,1,MATCH($B$7,Curvas_cupon_cero!$1:$1,0)-1,COUNT(Curvas_cupon_cero!$A:$A)-2,1))))</f>
        <v/>
      </c>
      <c r="E382" s="23" t="str">
        <f t="shared" si="34"/>
        <v/>
      </c>
      <c r="F382" s="17" t="str">
        <f t="shared" si="32"/>
        <v/>
      </c>
      <c r="G382" s="18" t="str">
        <f t="shared" si="35"/>
        <v/>
      </c>
      <c r="H382" t="str">
        <f t="shared" si="36"/>
        <v/>
      </c>
      <c r="I382" s="23" t="str">
        <f ca="1">IF(A382="","",IF($B$8="Sí",interpolar_alamb(H382,OFFSET(Curvas_cupon_cero!$A$1,1,0,COUNT(Curvas_cupon_cero!$A:$A)-2,1),OFFSET(Curvas_cupon_cero!$A$1,1,MATCH($B$6,Curvas_cupon_cero!$1:$1,0)-1,COUNT(Curvas_cupon_cero!$A:$A)-2,1)),[1]!interpolar(H382,OFFSET(Curvas_cupon_cero!$A$1,1,0,COUNT(Curvas_cupon_cero!$A:$A)-2,1),OFFSET(Curvas_cupon_cero!$A$1,1,MATCH($B$6,Curvas_cupon_cero!$1:$1,0)-1,COUNT(Curvas_cupon_cero!$A:$A)-2,1))))</f>
        <v/>
      </c>
      <c r="J382" s="19" t="str">
        <f>IF(A382="","",F382/(1+I382*$B$5/360)^(COUNT(A$16:A382)-($B$5-$G$16)/$B$5))</f>
        <v/>
      </c>
    </row>
    <row r="383" spans="1:10" x14ac:dyDescent="0.2">
      <c r="A383" s="12" t="str">
        <f t="shared" si="33"/>
        <v/>
      </c>
      <c r="B383" t="str">
        <f t="shared" si="31"/>
        <v/>
      </c>
      <c r="C383" s="21" t="str">
        <f ca="1">IF(A383="","",IF($B$8="Sí",interpolar_alamb(B383,OFFSET(Curvas_cupon_cero!$A$1,1,0,COUNT(Curvas_cupon_cero!$A:$A)-2,1),OFFSET(Curvas_cupon_cero!$A$1,1,MATCH($B$7,Curvas_cupon_cero!$1:$1,0)-1,COUNT(Curvas_cupon_cero!$A:$A)-2,1)),[1]!interpolar(B383,OFFSET(Curvas_cupon_cero!$A$1,1,0,COUNT(Curvas_cupon_cero!$A:$A)-2,1),OFFSET(Curvas_cupon_cero!$A$1,1,MATCH($B$7,Curvas_cupon_cero!$1:$1,0)-1,COUNT(Curvas_cupon_cero!$A:$A)-2,1))))</f>
        <v/>
      </c>
      <c r="D383" s="23" t="str">
        <f ca="1">IF(A383="","",IF($B$8="Sí",interpolar_alamb(H383,OFFSET(Curvas_cupon_cero!$A$1,1,0,COUNT(Curvas_cupon_cero!$A:$A)-2,1),OFFSET(Curvas_cupon_cero!$A$1,1,MATCH($B$7,Curvas_cupon_cero!$1:$1,0)-1,COUNT(Curvas_cupon_cero!$A:$A)-2,1)),[1]!interpolar(H383,OFFSET(Curvas_cupon_cero!$A$1,1,0,COUNT(Curvas_cupon_cero!$A:$A)-2,1),OFFSET(Curvas_cupon_cero!$A$1,1,MATCH($B$7,Curvas_cupon_cero!$1:$1,0)-1,COUNT(Curvas_cupon_cero!$A:$A)-2,1))))</f>
        <v/>
      </c>
      <c r="E383" s="23" t="str">
        <f t="shared" si="34"/>
        <v/>
      </c>
      <c r="F383" s="17" t="str">
        <f t="shared" si="32"/>
        <v/>
      </c>
      <c r="G383" s="18" t="str">
        <f t="shared" si="35"/>
        <v/>
      </c>
      <c r="H383" t="str">
        <f t="shared" si="36"/>
        <v/>
      </c>
      <c r="I383" s="23" t="str">
        <f ca="1">IF(A383="","",IF($B$8="Sí",interpolar_alamb(H383,OFFSET(Curvas_cupon_cero!$A$1,1,0,COUNT(Curvas_cupon_cero!$A:$A)-2,1),OFFSET(Curvas_cupon_cero!$A$1,1,MATCH($B$6,Curvas_cupon_cero!$1:$1,0)-1,COUNT(Curvas_cupon_cero!$A:$A)-2,1)),[1]!interpolar(H383,OFFSET(Curvas_cupon_cero!$A$1,1,0,COUNT(Curvas_cupon_cero!$A:$A)-2,1),OFFSET(Curvas_cupon_cero!$A$1,1,MATCH($B$6,Curvas_cupon_cero!$1:$1,0)-1,COUNT(Curvas_cupon_cero!$A:$A)-2,1))))</f>
        <v/>
      </c>
      <c r="J383" s="19" t="str">
        <f>IF(A383="","",F383/(1+I383*$B$5/360)^(COUNT(A$16:A383)-($B$5-$G$16)/$B$5))</f>
        <v/>
      </c>
    </row>
    <row r="384" spans="1:10" x14ac:dyDescent="0.2">
      <c r="A384" s="12" t="str">
        <f t="shared" si="33"/>
        <v/>
      </c>
      <c r="B384" t="str">
        <f t="shared" si="31"/>
        <v/>
      </c>
      <c r="C384" s="21" t="str">
        <f ca="1">IF(A384="","",IF($B$8="Sí",interpolar_alamb(B384,OFFSET(Curvas_cupon_cero!$A$1,1,0,COUNT(Curvas_cupon_cero!$A:$A)-2,1),OFFSET(Curvas_cupon_cero!$A$1,1,MATCH($B$7,Curvas_cupon_cero!$1:$1,0)-1,COUNT(Curvas_cupon_cero!$A:$A)-2,1)),[1]!interpolar(B384,OFFSET(Curvas_cupon_cero!$A$1,1,0,COUNT(Curvas_cupon_cero!$A:$A)-2,1),OFFSET(Curvas_cupon_cero!$A$1,1,MATCH($B$7,Curvas_cupon_cero!$1:$1,0)-1,COUNT(Curvas_cupon_cero!$A:$A)-2,1))))</f>
        <v/>
      </c>
      <c r="D384" s="23" t="str">
        <f ca="1">IF(A384="","",IF($B$8="Sí",interpolar_alamb(H384,OFFSET(Curvas_cupon_cero!$A$1,1,0,COUNT(Curvas_cupon_cero!$A:$A)-2,1),OFFSET(Curvas_cupon_cero!$A$1,1,MATCH($B$7,Curvas_cupon_cero!$1:$1,0)-1,COUNT(Curvas_cupon_cero!$A:$A)-2,1)),[1]!interpolar(H384,OFFSET(Curvas_cupon_cero!$A$1,1,0,COUNT(Curvas_cupon_cero!$A:$A)-2,1),OFFSET(Curvas_cupon_cero!$A$1,1,MATCH($B$7,Curvas_cupon_cero!$1:$1,0)-1,COUNT(Curvas_cupon_cero!$A:$A)-2,1))))</f>
        <v/>
      </c>
      <c r="E384" s="23" t="str">
        <f t="shared" si="34"/>
        <v/>
      </c>
      <c r="F384" s="17" t="str">
        <f t="shared" si="32"/>
        <v/>
      </c>
      <c r="G384" s="18" t="str">
        <f t="shared" si="35"/>
        <v/>
      </c>
      <c r="H384" t="str">
        <f t="shared" si="36"/>
        <v/>
      </c>
      <c r="I384" s="23" t="str">
        <f ca="1">IF(A384="","",IF($B$8="Sí",interpolar_alamb(H384,OFFSET(Curvas_cupon_cero!$A$1,1,0,COUNT(Curvas_cupon_cero!$A:$A)-2,1),OFFSET(Curvas_cupon_cero!$A$1,1,MATCH($B$6,Curvas_cupon_cero!$1:$1,0)-1,COUNT(Curvas_cupon_cero!$A:$A)-2,1)),[1]!interpolar(H384,OFFSET(Curvas_cupon_cero!$A$1,1,0,COUNT(Curvas_cupon_cero!$A:$A)-2,1),OFFSET(Curvas_cupon_cero!$A$1,1,MATCH($B$6,Curvas_cupon_cero!$1:$1,0)-1,COUNT(Curvas_cupon_cero!$A:$A)-2,1))))</f>
        <v/>
      </c>
      <c r="J384" s="19" t="str">
        <f>IF(A384="","",F384/(1+I384*$B$5/360)^(COUNT(A$16:A384)-($B$5-$G$16)/$B$5))</f>
        <v/>
      </c>
    </row>
    <row r="385" spans="1:10" x14ac:dyDescent="0.2">
      <c r="A385" s="12" t="str">
        <f t="shared" si="33"/>
        <v/>
      </c>
      <c r="B385" t="str">
        <f t="shared" si="31"/>
        <v/>
      </c>
      <c r="C385" s="21" t="str">
        <f ca="1">IF(A385="","",IF($B$8="Sí",interpolar_alamb(B385,OFFSET(Curvas_cupon_cero!$A$1,1,0,COUNT(Curvas_cupon_cero!$A:$A)-2,1),OFFSET(Curvas_cupon_cero!$A$1,1,MATCH($B$7,Curvas_cupon_cero!$1:$1,0)-1,COUNT(Curvas_cupon_cero!$A:$A)-2,1)),[1]!interpolar(B385,OFFSET(Curvas_cupon_cero!$A$1,1,0,COUNT(Curvas_cupon_cero!$A:$A)-2,1),OFFSET(Curvas_cupon_cero!$A$1,1,MATCH($B$7,Curvas_cupon_cero!$1:$1,0)-1,COUNT(Curvas_cupon_cero!$A:$A)-2,1))))</f>
        <v/>
      </c>
      <c r="D385" s="23" t="str">
        <f ca="1">IF(A385="","",IF($B$8="Sí",interpolar_alamb(H385,OFFSET(Curvas_cupon_cero!$A$1,1,0,COUNT(Curvas_cupon_cero!$A:$A)-2,1),OFFSET(Curvas_cupon_cero!$A$1,1,MATCH($B$7,Curvas_cupon_cero!$1:$1,0)-1,COUNT(Curvas_cupon_cero!$A:$A)-2,1)),[1]!interpolar(H385,OFFSET(Curvas_cupon_cero!$A$1,1,0,COUNT(Curvas_cupon_cero!$A:$A)-2,1),OFFSET(Curvas_cupon_cero!$A$1,1,MATCH($B$7,Curvas_cupon_cero!$1:$1,0)-1,COUNT(Curvas_cupon_cero!$A:$A)-2,1))))</f>
        <v/>
      </c>
      <c r="E385" s="23" t="str">
        <f t="shared" si="34"/>
        <v/>
      </c>
      <c r="F385" s="17" t="str">
        <f t="shared" si="32"/>
        <v/>
      </c>
      <c r="G385" s="18" t="str">
        <f t="shared" si="35"/>
        <v/>
      </c>
      <c r="H385" t="str">
        <f t="shared" si="36"/>
        <v/>
      </c>
      <c r="I385" s="23" t="str">
        <f ca="1">IF(A385="","",IF($B$8="Sí",interpolar_alamb(H385,OFFSET(Curvas_cupon_cero!$A$1,1,0,COUNT(Curvas_cupon_cero!$A:$A)-2,1),OFFSET(Curvas_cupon_cero!$A$1,1,MATCH($B$6,Curvas_cupon_cero!$1:$1,0)-1,COUNT(Curvas_cupon_cero!$A:$A)-2,1)),[1]!interpolar(H385,OFFSET(Curvas_cupon_cero!$A$1,1,0,COUNT(Curvas_cupon_cero!$A:$A)-2,1),OFFSET(Curvas_cupon_cero!$A$1,1,MATCH($B$6,Curvas_cupon_cero!$1:$1,0)-1,COUNT(Curvas_cupon_cero!$A:$A)-2,1))))</f>
        <v/>
      </c>
      <c r="J385" s="19" t="str">
        <f>IF(A385="","",F385/(1+I385*$B$5/360)^(COUNT(A$16:A385)-($B$5-$G$16)/$B$5))</f>
        <v/>
      </c>
    </row>
    <row r="386" spans="1:10" x14ac:dyDescent="0.2">
      <c r="A386" s="12" t="str">
        <f t="shared" si="33"/>
        <v/>
      </c>
      <c r="B386" t="str">
        <f t="shared" si="31"/>
        <v/>
      </c>
      <c r="C386" s="21" t="str">
        <f ca="1">IF(A386="","",IF($B$8="Sí",interpolar_alamb(B386,OFFSET(Curvas_cupon_cero!$A$1,1,0,COUNT(Curvas_cupon_cero!$A:$A)-2,1),OFFSET(Curvas_cupon_cero!$A$1,1,MATCH($B$7,Curvas_cupon_cero!$1:$1,0)-1,COUNT(Curvas_cupon_cero!$A:$A)-2,1)),[1]!interpolar(B386,OFFSET(Curvas_cupon_cero!$A$1,1,0,COUNT(Curvas_cupon_cero!$A:$A)-2,1),OFFSET(Curvas_cupon_cero!$A$1,1,MATCH($B$7,Curvas_cupon_cero!$1:$1,0)-1,COUNT(Curvas_cupon_cero!$A:$A)-2,1))))</f>
        <v/>
      </c>
      <c r="D386" s="23" t="str">
        <f ca="1">IF(A386="","",IF($B$8="Sí",interpolar_alamb(H386,OFFSET(Curvas_cupon_cero!$A$1,1,0,COUNT(Curvas_cupon_cero!$A:$A)-2,1),OFFSET(Curvas_cupon_cero!$A$1,1,MATCH($B$7,Curvas_cupon_cero!$1:$1,0)-1,COUNT(Curvas_cupon_cero!$A:$A)-2,1)),[1]!interpolar(H386,OFFSET(Curvas_cupon_cero!$A$1,1,0,COUNT(Curvas_cupon_cero!$A:$A)-2,1),OFFSET(Curvas_cupon_cero!$A$1,1,MATCH($B$7,Curvas_cupon_cero!$1:$1,0)-1,COUNT(Curvas_cupon_cero!$A:$A)-2,1))))</f>
        <v/>
      </c>
      <c r="E386" s="23" t="str">
        <f t="shared" si="34"/>
        <v/>
      </c>
      <c r="F386" s="17" t="str">
        <f t="shared" si="32"/>
        <v/>
      </c>
      <c r="G386" s="18" t="str">
        <f t="shared" si="35"/>
        <v/>
      </c>
      <c r="H386" t="str">
        <f t="shared" si="36"/>
        <v/>
      </c>
      <c r="I386" s="23" t="str">
        <f ca="1">IF(A386="","",IF($B$8="Sí",interpolar_alamb(H386,OFFSET(Curvas_cupon_cero!$A$1,1,0,COUNT(Curvas_cupon_cero!$A:$A)-2,1),OFFSET(Curvas_cupon_cero!$A$1,1,MATCH($B$6,Curvas_cupon_cero!$1:$1,0)-1,COUNT(Curvas_cupon_cero!$A:$A)-2,1)),[1]!interpolar(H386,OFFSET(Curvas_cupon_cero!$A$1,1,0,COUNT(Curvas_cupon_cero!$A:$A)-2,1),OFFSET(Curvas_cupon_cero!$A$1,1,MATCH($B$6,Curvas_cupon_cero!$1:$1,0)-1,COUNT(Curvas_cupon_cero!$A:$A)-2,1))))</f>
        <v/>
      </c>
      <c r="J386" s="19" t="str">
        <f>IF(A386="","",F386/(1+I386*$B$5/360)^(COUNT(A$16:A386)-($B$5-$G$16)/$B$5))</f>
        <v/>
      </c>
    </row>
    <row r="387" spans="1:10" x14ac:dyDescent="0.2">
      <c r="A387" s="12" t="str">
        <f t="shared" si="33"/>
        <v/>
      </c>
      <c r="B387" t="str">
        <f t="shared" si="31"/>
        <v/>
      </c>
      <c r="C387" s="21" t="str">
        <f ca="1">IF(A387="","",IF($B$8="Sí",interpolar_alamb(B387,OFFSET(Curvas_cupon_cero!$A$1,1,0,COUNT(Curvas_cupon_cero!$A:$A)-2,1),OFFSET(Curvas_cupon_cero!$A$1,1,MATCH($B$7,Curvas_cupon_cero!$1:$1,0)-1,COUNT(Curvas_cupon_cero!$A:$A)-2,1)),[1]!interpolar(B387,OFFSET(Curvas_cupon_cero!$A$1,1,0,COUNT(Curvas_cupon_cero!$A:$A)-2,1),OFFSET(Curvas_cupon_cero!$A$1,1,MATCH($B$7,Curvas_cupon_cero!$1:$1,0)-1,COUNT(Curvas_cupon_cero!$A:$A)-2,1))))</f>
        <v/>
      </c>
      <c r="D387" s="23" t="str">
        <f ca="1">IF(A387="","",IF($B$8="Sí",interpolar_alamb(H387,OFFSET(Curvas_cupon_cero!$A$1,1,0,COUNT(Curvas_cupon_cero!$A:$A)-2,1),OFFSET(Curvas_cupon_cero!$A$1,1,MATCH($B$7,Curvas_cupon_cero!$1:$1,0)-1,COUNT(Curvas_cupon_cero!$A:$A)-2,1)),[1]!interpolar(H387,OFFSET(Curvas_cupon_cero!$A$1,1,0,COUNT(Curvas_cupon_cero!$A:$A)-2,1),OFFSET(Curvas_cupon_cero!$A$1,1,MATCH($B$7,Curvas_cupon_cero!$1:$1,0)-1,COUNT(Curvas_cupon_cero!$A:$A)-2,1))))</f>
        <v/>
      </c>
      <c r="E387" s="23" t="str">
        <f t="shared" si="34"/>
        <v/>
      </c>
      <c r="F387" s="17" t="str">
        <f t="shared" si="32"/>
        <v/>
      </c>
      <c r="G387" s="18" t="str">
        <f t="shared" si="35"/>
        <v/>
      </c>
      <c r="H387" t="str">
        <f t="shared" si="36"/>
        <v/>
      </c>
      <c r="I387" s="23" t="str">
        <f ca="1">IF(A387="","",IF($B$8="Sí",interpolar_alamb(H387,OFFSET(Curvas_cupon_cero!$A$1,1,0,COUNT(Curvas_cupon_cero!$A:$A)-2,1),OFFSET(Curvas_cupon_cero!$A$1,1,MATCH($B$6,Curvas_cupon_cero!$1:$1,0)-1,COUNT(Curvas_cupon_cero!$A:$A)-2,1)),[1]!interpolar(H387,OFFSET(Curvas_cupon_cero!$A$1,1,0,COUNT(Curvas_cupon_cero!$A:$A)-2,1),OFFSET(Curvas_cupon_cero!$A$1,1,MATCH($B$6,Curvas_cupon_cero!$1:$1,0)-1,COUNT(Curvas_cupon_cero!$A:$A)-2,1))))</f>
        <v/>
      </c>
      <c r="J387" s="19" t="str">
        <f>IF(A387="","",F387/(1+I387*$B$5/360)^(COUNT(A$16:A387)-($B$5-$G$16)/$B$5))</f>
        <v/>
      </c>
    </row>
    <row r="388" spans="1:10" x14ac:dyDescent="0.2">
      <c r="A388" s="12" t="str">
        <f t="shared" si="33"/>
        <v/>
      </c>
      <c r="B388" t="str">
        <f t="shared" si="31"/>
        <v/>
      </c>
      <c r="C388" s="21" t="str">
        <f ca="1">IF(A388="","",IF($B$8="Sí",interpolar_alamb(B388,OFFSET(Curvas_cupon_cero!$A$1,1,0,COUNT(Curvas_cupon_cero!$A:$A)-2,1),OFFSET(Curvas_cupon_cero!$A$1,1,MATCH($B$7,Curvas_cupon_cero!$1:$1,0)-1,COUNT(Curvas_cupon_cero!$A:$A)-2,1)),[1]!interpolar(B388,OFFSET(Curvas_cupon_cero!$A$1,1,0,COUNT(Curvas_cupon_cero!$A:$A)-2,1),OFFSET(Curvas_cupon_cero!$A$1,1,MATCH($B$7,Curvas_cupon_cero!$1:$1,0)-1,COUNT(Curvas_cupon_cero!$A:$A)-2,1))))</f>
        <v/>
      </c>
      <c r="D388" s="23" t="str">
        <f ca="1">IF(A388="","",IF($B$8="Sí",interpolar_alamb(H388,OFFSET(Curvas_cupon_cero!$A$1,1,0,COUNT(Curvas_cupon_cero!$A:$A)-2,1),OFFSET(Curvas_cupon_cero!$A$1,1,MATCH($B$7,Curvas_cupon_cero!$1:$1,0)-1,COUNT(Curvas_cupon_cero!$A:$A)-2,1)),[1]!interpolar(H388,OFFSET(Curvas_cupon_cero!$A$1,1,0,COUNT(Curvas_cupon_cero!$A:$A)-2,1),OFFSET(Curvas_cupon_cero!$A$1,1,MATCH($B$7,Curvas_cupon_cero!$1:$1,0)-1,COUNT(Curvas_cupon_cero!$A:$A)-2,1))))</f>
        <v/>
      </c>
      <c r="E388" s="23" t="str">
        <f t="shared" si="34"/>
        <v/>
      </c>
      <c r="F388" s="17" t="str">
        <f t="shared" si="32"/>
        <v/>
      </c>
      <c r="G388" s="18" t="str">
        <f t="shared" si="35"/>
        <v/>
      </c>
      <c r="H388" t="str">
        <f t="shared" si="36"/>
        <v/>
      </c>
      <c r="I388" s="23" t="str">
        <f ca="1">IF(A388="","",IF($B$8="Sí",interpolar_alamb(H388,OFFSET(Curvas_cupon_cero!$A$1,1,0,COUNT(Curvas_cupon_cero!$A:$A)-2,1),OFFSET(Curvas_cupon_cero!$A$1,1,MATCH($B$6,Curvas_cupon_cero!$1:$1,0)-1,COUNT(Curvas_cupon_cero!$A:$A)-2,1)),[1]!interpolar(H388,OFFSET(Curvas_cupon_cero!$A$1,1,0,COUNT(Curvas_cupon_cero!$A:$A)-2,1),OFFSET(Curvas_cupon_cero!$A$1,1,MATCH($B$6,Curvas_cupon_cero!$1:$1,0)-1,COUNT(Curvas_cupon_cero!$A:$A)-2,1))))</f>
        <v/>
      </c>
      <c r="J388" s="19" t="str">
        <f>IF(A388="","",F388/(1+I388*$B$5/360)^(COUNT(A$16:A388)-($B$5-$G$16)/$B$5))</f>
        <v/>
      </c>
    </row>
    <row r="389" spans="1:10" x14ac:dyDescent="0.2">
      <c r="A389" s="12" t="str">
        <f t="shared" si="33"/>
        <v/>
      </c>
      <c r="B389" t="str">
        <f t="shared" si="31"/>
        <v/>
      </c>
      <c r="C389" s="21" t="str">
        <f ca="1">IF(A389="","",IF($B$8="Sí",interpolar_alamb(B389,OFFSET(Curvas_cupon_cero!$A$1,1,0,COUNT(Curvas_cupon_cero!$A:$A)-2,1),OFFSET(Curvas_cupon_cero!$A$1,1,MATCH($B$7,Curvas_cupon_cero!$1:$1,0)-1,COUNT(Curvas_cupon_cero!$A:$A)-2,1)),[1]!interpolar(B389,OFFSET(Curvas_cupon_cero!$A$1,1,0,COUNT(Curvas_cupon_cero!$A:$A)-2,1),OFFSET(Curvas_cupon_cero!$A$1,1,MATCH($B$7,Curvas_cupon_cero!$1:$1,0)-1,COUNT(Curvas_cupon_cero!$A:$A)-2,1))))</f>
        <v/>
      </c>
      <c r="D389" s="23" t="str">
        <f ca="1">IF(A389="","",IF($B$8="Sí",interpolar_alamb(H389,OFFSET(Curvas_cupon_cero!$A$1,1,0,COUNT(Curvas_cupon_cero!$A:$A)-2,1),OFFSET(Curvas_cupon_cero!$A$1,1,MATCH($B$7,Curvas_cupon_cero!$1:$1,0)-1,COUNT(Curvas_cupon_cero!$A:$A)-2,1)),[1]!interpolar(H389,OFFSET(Curvas_cupon_cero!$A$1,1,0,COUNT(Curvas_cupon_cero!$A:$A)-2,1),OFFSET(Curvas_cupon_cero!$A$1,1,MATCH($B$7,Curvas_cupon_cero!$1:$1,0)-1,COUNT(Curvas_cupon_cero!$A:$A)-2,1))))</f>
        <v/>
      </c>
      <c r="E389" s="23" t="str">
        <f t="shared" si="34"/>
        <v/>
      </c>
      <c r="F389" s="17" t="str">
        <f t="shared" si="32"/>
        <v/>
      </c>
      <c r="G389" s="18" t="str">
        <f t="shared" si="35"/>
        <v/>
      </c>
      <c r="H389" t="str">
        <f t="shared" si="36"/>
        <v/>
      </c>
      <c r="I389" s="23" t="str">
        <f ca="1">IF(A389="","",IF($B$8="Sí",interpolar_alamb(H389,OFFSET(Curvas_cupon_cero!$A$1,1,0,COUNT(Curvas_cupon_cero!$A:$A)-2,1),OFFSET(Curvas_cupon_cero!$A$1,1,MATCH($B$6,Curvas_cupon_cero!$1:$1,0)-1,COUNT(Curvas_cupon_cero!$A:$A)-2,1)),[1]!interpolar(H389,OFFSET(Curvas_cupon_cero!$A$1,1,0,COUNT(Curvas_cupon_cero!$A:$A)-2,1),OFFSET(Curvas_cupon_cero!$A$1,1,MATCH($B$6,Curvas_cupon_cero!$1:$1,0)-1,COUNT(Curvas_cupon_cero!$A:$A)-2,1))))</f>
        <v/>
      </c>
      <c r="J389" s="19" t="str">
        <f>IF(A389="","",F389/(1+I389*$B$5/360)^(COUNT(A$16:A389)-($B$5-$G$16)/$B$5))</f>
        <v/>
      </c>
    </row>
    <row r="390" spans="1:10" x14ac:dyDescent="0.2">
      <c r="A390" s="12" t="str">
        <f t="shared" si="33"/>
        <v/>
      </c>
      <c r="B390" t="str">
        <f t="shared" si="31"/>
        <v/>
      </c>
      <c r="C390" s="21" t="str">
        <f ca="1">IF(A390="","",IF($B$8="Sí",interpolar_alamb(B390,OFFSET(Curvas_cupon_cero!$A$1,1,0,COUNT(Curvas_cupon_cero!$A:$A)-2,1),OFFSET(Curvas_cupon_cero!$A$1,1,MATCH($B$7,Curvas_cupon_cero!$1:$1,0)-1,COUNT(Curvas_cupon_cero!$A:$A)-2,1)),[1]!interpolar(B390,OFFSET(Curvas_cupon_cero!$A$1,1,0,COUNT(Curvas_cupon_cero!$A:$A)-2,1),OFFSET(Curvas_cupon_cero!$A$1,1,MATCH($B$7,Curvas_cupon_cero!$1:$1,0)-1,COUNT(Curvas_cupon_cero!$A:$A)-2,1))))</f>
        <v/>
      </c>
      <c r="D390" s="23" t="str">
        <f ca="1">IF(A390="","",IF($B$8="Sí",interpolar_alamb(H390,OFFSET(Curvas_cupon_cero!$A$1,1,0,COUNT(Curvas_cupon_cero!$A:$A)-2,1),OFFSET(Curvas_cupon_cero!$A$1,1,MATCH($B$7,Curvas_cupon_cero!$1:$1,0)-1,COUNT(Curvas_cupon_cero!$A:$A)-2,1)),[1]!interpolar(H390,OFFSET(Curvas_cupon_cero!$A$1,1,0,COUNT(Curvas_cupon_cero!$A:$A)-2,1),OFFSET(Curvas_cupon_cero!$A$1,1,MATCH($B$7,Curvas_cupon_cero!$1:$1,0)-1,COUNT(Curvas_cupon_cero!$A:$A)-2,1))))</f>
        <v/>
      </c>
      <c r="E390" s="23" t="str">
        <f t="shared" si="34"/>
        <v/>
      </c>
      <c r="F390" s="17" t="str">
        <f t="shared" si="32"/>
        <v/>
      </c>
      <c r="G390" s="18" t="str">
        <f t="shared" si="35"/>
        <v/>
      </c>
      <c r="H390" t="str">
        <f t="shared" si="36"/>
        <v/>
      </c>
      <c r="I390" s="23" t="str">
        <f ca="1">IF(A390="","",IF($B$8="Sí",interpolar_alamb(H390,OFFSET(Curvas_cupon_cero!$A$1,1,0,COUNT(Curvas_cupon_cero!$A:$A)-2,1),OFFSET(Curvas_cupon_cero!$A$1,1,MATCH($B$6,Curvas_cupon_cero!$1:$1,0)-1,COUNT(Curvas_cupon_cero!$A:$A)-2,1)),[1]!interpolar(H390,OFFSET(Curvas_cupon_cero!$A$1,1,0,COUNT(Curvas_cupon_cero!$A:$A)-2,1),OFFSET(Curvas_cupon_cero!$A$1,1,MATCH($B$6,Curvas_cupon_cero!$1:$1,0)-1,COUNT(Curvas_cupon_cero!$A:$A)-2,1))))</f>
        <v/>
      </c>
      <c r="J390" s="19" t="str">
        <f>IF(A390="","",F390/(1+I390*$B$5/360)^(COUNT(A$16:A390)-($B$5-$G$16)/$B$5))</f>
        <v/>
      </c>
    </row>
    <row r="391" spans="1:10" x14ac:dyDescent="0.2">
      <c r="A391" s="12" t="str">
        <f t="shared" si="33"/>
        <v/>
      </c>
      <c r="B391" t="str">
        <f t="shared" si="31"/>
        <v/>
      </c>
      <c r="C391" s="21" t="str">
        <f ca="1">IF(A391="","",IF($B$8="Sí",interpolar_alamb(B391,OFFSET(Curvas_cupon_cero!$A$1,1,0,COUNT(Curvas_cupon_cero!$A:$A)-2,1),OFFSET(Curvas_cupon_cero!$A$1,1,MATCH($B$7,Curvas_cupon_cero!$1:$1,0)-1,COUNT(Curvas_cupon_cero!$A:$A)-2,1)),[1]!interpolar(B391,OFFSET(Curvas_cupon_cero!$A$1,1,0,COUNT(Curvas_cupon_cero!$A:$A)-2,1),OFFSET(Curvas_cupon_cero!$A$1,1,MATCH($B$7,Curvas_cupon_cero!$1:$1,0)-1,COUNT(Curvas_cupon_cero!$A:$A)-2,1))))</f>
        <v/>
      </c>
      <c r="D391" s="23" t="str">
        <f ca="1">IF(A391="","",IF($B$8="Sí",interpolar_alamb(H391,OFFSET(Curvas_cupon_cero!$A$1,1,0,COUNT(Curvas_cupon_cero!$A:$A)-2,1),OFFSET(Curvas_cupon_cero!$A$1,1,MATCH($B$7,Curvas_cupon_cero!$1:$1,0)-1,COUNT(Curvas_cupon_cero!$A:$A)-2,1)),[1]!interpolar(H391,OFFSET(Curvas_cupon_cero!$A$1,1,0,COUNT(Curvas_cupon_cero!$A:$A)-2,1),OFFSET(Curvas_cupon_cero!$A$1,1,MATCH($B$7,Curvas_cupon_cero!$1:$1,0)-1,COUNT(Curvas_cupon_cero!$A:$A)-2,1))))</f>
        <v/>
      </c>
      <c r="E391" s="23" t="str">
        <f t="shared" si="34"/>
        <v/>
      </c>
      <c r="F391" s="17" t="str">
        <f t="shared" si="32"/>
        <v/>
      </c>
      <c r="G391" s="18" t="str">
        <f t="shared" si="35"/>
        <v/>
      </c>
      <c r="H391" t="str">
        <f t="shared" si="36"/>
        <v/>
      </c>
      <c r="I391" s="23" t="str">
        <f ca="1">IF(A391="","",IF($B$8="Sí",interpolar_alamb(H391,OFFSET(Curvas_cupon_cero!$A$1,1,0,COUNT(Curvas_cupon_cero!$A:$A)-2,1),OFFSET(Curvas_cupon_cero!$A$1,1,MATCH($B$6,Curvas_cupon_cero!$1:$1,0)-1,COUNT(Curvas_cupon_cero!$A:$A)-2,1)),[1]!interpolar(H391,OFFSET(Curvas_cupon_cero!$A$1,1,0,COUNT(Curvas_cupon_cero!$A:$A)-2,1),OFFSET(Curvas_cupon_cero!$A$1,1,MATCH($B$6,Curvas_cupon_cero!$1:$1,0)-1,COUNT(Curvas_cupon_cero!$A:$A)-2,1))))</f>
        <v/>
      </c>
      <c r="J391" s="19" t="str">
        <f>IF(A391="","",F391/(1+I391*$B$5/360)^(COUNT(A$16:A391)-($B$5-$G$16)/$B$5))</f>
        <v/>
      </c>
    </row>
    <row r="392" spans="1:10" x14ac:dyDescent="0.2">
      <c r="A392" s="12" t="str">
        <f t="shared" si="33"/>
        <v/>
      </c>
      <c r="B392" t="str">
        <f t="shared" si="31"/>
        <v/>
      </c>
      <c r="C392" s="21" t="str">
        <f ca="1">IF(A392="","",IF($B$8="Sí",interpolar_alamb(B392,OFFSET(Curvas_cupon_cero!$A$1,1,0,COUNT(Curvas_cupon_cero!$A:$A)-2,1),OFFSET(Curvas_cupon_cero!$A$1,1,MATCH($B$7,Curvas_cupon_cero!$1:$1,0)-1,COUNT(Curvas_cupon_cero!$A:$A)-2,1)),[1]!interpolar(B392,OFFSET(Curvas_cupon_cero!$A$1,1,0,COUNT(Curvas_cupon_cero!$A:$A)-2,1),OFFSET(Curvas_cupon_cero!$A$1,1,MATCH($B$7,Curvas_cupon_cero!$1:$1,0)-1,COUNT(Curvas_cupon_cero!$A:$A)-2,1))))</f>
        <v/>
      </c>
      <c r="D392" s="23" t="str">
        <f ca="1">IF(A392="","",IF($B$8="Sí",interpolar_alamb(H392,OFFSET(Curvas_cupon_cero!$A$1,1,0,COUNT(Curvas_cupon_cero!$A:$A)-2,1),OFFSET(Curvas_cupon_cero!$A$1,1,MATCH($B$7,Curvas_cupon_cero!$1:$1,0)-1,COUNT(Curvas_cupon_cero!$A:$A)-2,1)),[1]!interpolar(H392,OFFSET(Curvas_cupon_cero!$A$1,1,0,COUNT(Curvas_cupon_cero!$A:$A)-2,1),OFFSET(Curvas_cupon_cero!$A$1,1,MATCH($B$7,Curvas_cupon_cero!$1:$1,0)-1,COUNT(Curvas_cupon_cero!$A:$A)-2,1))))</f>
        <v/>
      </c>
      <c r="E392" s="23" t="str">
        <f t="shared" si="34"/>
        <v/>
      </c>
      <c r="F392" s="17" t="str">
        <f t="shared" si="32"/>
        <v/>
      </c>
      <c r="G392" s="18" t="str">
        <f t="shared" si="35"/>
        <v/>
      </c>
      <c r="H392" t="str">
        <f t="shared" si="36"/>
        <v/>
      </c>
      <c r="I392" s="23" t="str">
        <f ca="1">IF(A392="","",IF($B$8="Sí",interpolar_alamb(H392,OFFSET(Curvas_cupon_cero!$A$1,1,0,COUNT(Curvas_cupon_cero!$A:$A)-2,1),OFFSET(Curvas_cupon_cero!$A$1,1,MATCH($B$6,Curvas_cupon_cero!$1:$1,0)-1,COUNT(Curvas_cupon_cero!$A:$A)-2,1)),[1]!interpolar(H392,OFFSET(Curvas_cupon_cero!$A$1,1,0,COUNT(Curvas_cupon_cero!$A:$A)-2,1),OFFSET(Curvas_cupon_cero!$A$1,1,MATCH($B$6,Curvas_cupon_cero!$1:$1,0)-1,COUNT(Curvas_cupon_cero!$A:$A)-2,1))))</f>
        <v/>
      </c>
      <c r="J392" s="19" t="str">
        <f>IF(A392="","",F392/(1+I392*$B$5/360)^(COUNT(A$16:A392)-($B$5-$G$16)/$B$5))</f>
        <v/>
      </c>
    </row>
    <row r="393" spans="1:10" x14ac:dyDescent="0.2">
      <c r="A393" s="12" t="str">
        <f t="shared" si="33"/>
        <v/>
      </c>
      <c r="B393" t="str">
        <f t="shared" si="31"/>
        <v/>
      </c>
      <c r="C393" s="21" t="str">
        <f ca="1">IF(A393="","",IF($B$8="Sí",interpolar_alamb(B393,OFFSET(Curvas_cupon_cero!$A$1,1,0,COUNT(Curvas_cupon_cero!$A:$A)-2,1),OFFSET(Curvas_cupon_cero!$A$1,1,MATCH($B$7,Curvas_cupon_cero!$1:$1,0)-1,COUNT(Curvas_cupon_cero!$A:$A)-2,1)),[1]!interpolar(B393,OFFSET(Curvas_cupon_cero!$A$1,1,0,COUNT(Curvas_cupon_cero!$A:$A)-2,1),OFFSET(Curvas_cupon_cero!$A$1,1,MATCH($B$7,Curvas_cupon_cero!$1:$1,0)-1,COUNT(Curvas_cupon_cero!$A:$A)-2,1))))</f>
        <v/>
      </c>
      <c r="D393" s="23" t="str">
        <f ca="1">IF(A393="","",IF($B$8="Sí",interpolar_alamb(H393,OFFSET(Curvas_cupon_cero!$A$1,1,0,COUNT(Curvas_cupon_cero!$A:$A)-2,1),OFFSET(Curvas_cupon_cero!$A$1,1,MATCH($B$7,Curvas_cupon_cero!$1:$1,0)-1,COUNT(Curvas_cupon_cero!$A:$A)-2,1)),[1]!interpolar(H393,OFFSET(Curvas_cupon_cero!$A$1,1,0,COUNT(Curvas_cupon_cero!$A:$A)-2,1),OFFSET(Curvas_cupon_cero!$A$1,1,MATCH($B$7,Curvas_cupon_cero!$1:$1,0)-1,COUNT(Curvas_cupon_cero!$A:$A)-2,1))))</f>
        <v/>
      </c>
      <c r="E393" s="23" t="str">
        <f t="shared" si="34"/>
        <v/>
      </c>
      <c r="F393" s="17" t="str">
        <f t="shared" si="32"/>
        <v/>
      </c>
      <c r="G393" s="18" t="str">
        <f t="shared" si="35"/>
        <v/>
      </c>
      <c r="H393" t="str">
        <f t="shared" si="36"/>
        <v/>
      </c>
      <c r="I393" s="23" t="str">
        <f ca="1">IF(A393="","",IF($B$8="Sí",interpolar_alamb(H393,OFFSET(Curvas_cupon_cero!$A$1,1,0,COUNT(Curvas_cupon_cero!$A:$A)-2,1),OFFSET(Curvas_cupon_cero!$A$1,1,MATCH($B$6,Curvas_cupon_cero!$1:$1,0)-1,COUNT(Curvas_cupon_cero!$A:$A)-2,1)),[1]!interpolar(H393,OFFSET(Curvas_cupon_cero!$A$1,1,0,COUNT(Curvas_cupon_cero!$A:$A)-2,1),OFFSET(Curvas_cupon_cero!$A$1,1,MATCH($B$6,Curvas_cupon_cero!$1:$1,0)-1,COUNT(Curvas_cupon_cero!$A:$A)-2,1))))</f>
        <v/>
      </c>
      <c r="J393" s="19" t="str">
        <f>IF(A393="","",F393/(1+I393*$B$5/360)^(COUNT(A$16:A393)-($B$5-$G$16)/$B$5))</f>
        <v/>
      </c>
    </row>
    <row r="394" spans="1:10" x14ac:dyDescent="0.2">
      <c r="A394" s="12" t="str">
        <f t="shared" si="33"/>
        <v/>
      </c>
      <c r="B394" t="str">
        <f t="shared" si="31"/>
        <v/>
      </c>
      <c r="C394" s="21" t="str">
        <f ca="1">IF(A394="","",IF($B$8="Sí",interpolar_alamb(B394,OFFSET(Curvas_cupon_cero!$A$1,1,0,COUNT(Curvas_cupon_cero!$A:$A)-2,1),OFFSET(Curvas_cupon_cero!$A$1,1,MATCH($B$7,Curvas_cupon_cero!$1:$1,0)-1,COUNT(Curvas_cupon_cero!$A:$A)-2,1)),[1]!interpolar(B394,OFFSET(Curvas_cupon_cero!$A$1,1,0,COUNT(Curvas_cupon_cero!$A:$A)-2,1),OFFSET(Curvas_cupon_cero!$A$1,1,MATCH($B$7,Curvas_cupon_cero!$1:$1,0)-1,COUNT(Curvas_cupon_cero!$A:$A)-2,1))))</f>
        <v/>
      </c>
      <c r="D394" s="23" t="str">
        <f ca="1">IF(A394="","",IF($B$8="Sí",interpolar_alamb(H394,OFFSET(Curvas_cupon_cero!$A$1,1,0,COUNT(Curvas_cupon_cero!$A:$A)-2,1),OFFSET(Curvas_cupon_cero!$A$1,1,MATCH($B$7,Curvas_cupon_cero!$1:$1,0)-1,COUNT(Curvas_cupon_cero!$A:$A)-2,1)),[1]!interpolar(H394,OFFSET(Curvas_cupon_cero!$A$1,1,0,COUNT(Curvas_cupon_cero!$A:$A)-2,1),OFFSET(Curvas_cupon_cero!$A$1,1,MATCH($B$7,Curvas_cupon_cero!$1:$1,0)-1,COUNT(Curvas_cupon_cero!$A:$A)-2,1))))</f>
        <v/>
      </c>
      <c r="E394" s="23" t="str">
        <f t="shared" si="34"/>
        <v/>
      </c>
      <c r="F394" s="17" t="str">
        <f t="shared" si="32"/>
        <v/>
      </c>
      <c r="G394" s="18" t="str">
        <f t="shared" si="35"/>
        <v/>
      </c>
      <c r="H394" t="str">
        <f t="shared" si="36"/>
        <v/>
      </c>
      <c r="I394" s="23" t="str">
        <f ca="1">IF(A394="","",IF($B$8="Sí",interpolar_alamb(H394,OFFSET(Curvas_cupon_cero!$A$1,1,0,COUNT(Curvas_cupon_cero!$A:$A)-2,1),OFFSET(Curvas_cupon_cero!$A$1,1,MATCH($B$6,Curvas_cupon_cero!$1:$1,0)-1,COUNT(Curvas_cupon_cero!$A:$A)-2,1)),[1]!interpolar(H394,OFFSET(Curvas_cupon_cero!$A$1,1,0,COUNT(Curvas_cupon_cero!$A:$A)-2,1),OFFSET(Curvas_cupon_cero!$A$1,1,MATCH($B$6,Curvas_cupon_cero!$1:$1,0)-1,COUNT(Curvas_cupon_cero!$A:$A)-2,1))))</f>
        <v/>
      </c>
      <c r="J394" s="19" t="str">
        <f>IF(A394="","",F394/(1+I394*$B$5/360)^(COUNT(A$16:A394)-($B$5-$G$16)/$B$5))</f>
        <v/>
      </c>
    </row>
    <row r="395" spans="1:10" x14ac:dyDescent="0.2">
      <c r="A395" s="12" t="str">
        <f t="shared" si="33"/>
        <v/>
      </c>
      <c r="B395" t="str">
        <f t="shared" si="31"/>
        <v/>
      </c>
      <c r="C395" s="21" t="str">
        <f ca="1">IF(A395="","",IF($B$8="Sí",interpolar_alamb(B395,OFFSET(Curvas_cupon_cero!$A$1,1,0,COUNT(Curvas_cupon_cero!$A:$A)-2,1),OFFSET(Curvas_cupon_cero!$A$1,1,MATCH($B$7,Curvas_cupon_cero!$1:$1,0)-1,COUNT(Curvas_cupon_cero!$A:$A)-2,1)),[1]!interpolar(B395,OFFSET(Curvas_cupon_cero!$A$1,1,0,COUNT(Curvas_cupon_cero!$A:$A)-2,1),OFFSET(Curvas_cupon_cero!$A$1,1,MATCH($B$7,Curvas_cupon_cero!$1:$1,0)-1,COUNT(Curvas_cupon_cero!$A:$A)-2,1))))</f>
        <v/>
      </c>
      <c r="D395" s="23" t="str">
        <f ca="1">IF(A395="","",IF($B$8="Sí",interpolar_alamb(H395,OFFSET(Curvas_cupon_cero!$A$1,1,0,COUNT(Curvas_cupon_cero!$A:$A)-2,1),OFFSET(Curvas_cupon_cero!$A$1,1,MATCH($B$7,Curvas_cupon_cero!$1:$1,0)-1,COUNT(Curvas_cupon_cero!$A:$A)-2,1)),[1]!interpolar(H395,OFFSET(Curvas_cupon_cero!$A$1,1,0,COUNT(Curvas_cupon_cero!$A:$A)-2,1),OFFSET(Curvas_cupon_cero!$A$1,1,MATCH($B$7,Curvas_cupon_cero!$1:$1,0)-1,COUNT(Curvas_cupon_cero!$A:$A)-2,1))))</f>
        <v/>
      </c>
      <c r="E395" s="23" t="str">
        <f t="shared" si="34"/>
        <v/>
      </c>
      <c r="F395" s="17" t="str">
        <f t="shared" si="32"/>
        <v/>
      </c>
      <c r="G395" s="18" t="str">
        <f t="shared" si="35"/>
        <v/>
      </c>
      <c r="H395" t="str">
        <f t="shared" si="36"/>
        <v/>
      </c>
      <c r="I395" s="23" t="str">
        <f ca="1">IF(A395="","",IF($B$8="Sí",interpolar_alamb(H395,OFFSET(Curvas_cupon_cero!$A$1,1,0,COUNT(Curvas_cupon_cero!$A:$A)-2,1),OFFSET(Curvas_cupon_cero!$A$1,1,MATCH($B$6,Curvas_cupon_cero!$1:$1,0)-1,COUNT(Curvas_cupon_cero!$A:$A)-2,1)),[1]!interpolar(H395,OFFSET(Curvas_cupon_cero!$A$1,1,0,COUNT(Curvas_cupon_cero!$A:$A)-2,1),OFFSET(Curvas_cupon_cero!$A$1,1,MATCH($B$6,Curvas_cupon_cero!$1:$1,0)-1,COUNT(Curvas_cupon_cero!$A:$A)-2,1))))</f>
        <v/>
      </c>
      <c r="J395" s="19" t="str">
        <f>IF(A395="","",F395/(1+I395*$B$5/360)^(COUNT(A$16:A395)-($B$5-$G$16)/$B$5))</f>
        <v/>
      </c>
    </row>
    <row r="396" spans="1:10" x14ac:dyDescent="0.2">
      <c r="A396" s="12" t="str">
        <f t="shared" si="33"/>
        <v/>
      </c>
      <c r="B396" t="str">
        <f t="shared" si="31"/>
        <v/>
      </c>
      <c r="C396" s="21" t="str">
        <f ca="1">IF(A396="","",IF($B$8="Sí",interpolar_alamb(B396,OFFSET(Curvas_cupon_cero!$A$1,1,0,COUNT(Curvas_cupon_cero!$A:$A)-2,1),OFFSET(Curvas_cupon_cero!$A$1,1,MATCH($B$7,Curvas_cupon_cero!$1:$1,0)-1,COUNT(Curvas_cupon_cero!$A:$A)-2,1)),[1]!interpolar(B396,OFFSET(Curvas_cupon_cero!$A$1,1,0,COUNT(Curvas_cupon_cero!$A:$A)-2,1),OFFSET(Curvas_cupon_cero!$A$1,1,MATCH($B$7,Curvas_cupon_cero!$1:$1,0)-1,COUNT(Curvas_cupon_cero!$A:$A)-2,1))))</f>
        <v/>
      </c>
      <c r="D396" s="23" t="str">
        <f ca="1">IF(A396="","",IF($B$8="Sí",interpolar_alamb(H396,OFFSET(Curvas_cupon_cero!$A$1,1,0,COUNT(Curvas_cupon_cero!$A:$A)-2,1),OFFSET(Curvas_cupon_cero!$A$1,1,MATCH($B$7,Curvas_cupon_cero!$1:$1,0)-1,COUNT(Curvas_cupon_cero!$A:$A)-2,1)),[1]!interpolar(H396,OFFSET(Curvas_cupon_cero!$A$1,1,0,COUNT(Curvas_cupon_cero!$A:$A)-2,1),OFFSET(Curvas_cupon_cero!$A$1,1,MATCH($B$7,Curvas_cupon_cero!$1:$1,0)-1,COUNT(Curvas_cupon_cero!$A:$A)-2,1))))</f>
        <v/>
      </c>
      <c r="E396" s="23" t="str">
        <f t="shared" si="34"/>
        <v/>
      </c>
      <c r="F396" s="17" t="str">
        <f t="shared" si="32"/>
        <v/>
      </c>
      <c r="G396" s="18" t="str">
        <f t="shared" si="35"/>
        <v/>
      </c>
      <c r="H396" t="str">
        <f t="shared" si="36"/>
        <v/>
      </c>
      <c r="I396" s="23" t="str">
        <f ca="1">IF(A396="","",IF($B$8="Sí",interpolar_alamb(H396,OFFSET(Curvas_cupon_cero!$A$1,1,0,COUNT(Curvas_cupon_cero!$A:$A)-2,1),OFFSET(Curvas_cupon_cero!$A$1,1,MATCH($B$6,Curvas_cupon_cero!$1:$1,0)-1,COUNT(Curvas_cupon_cero!$A:$A)-2,1)),[1]!interpolar(H396,OFFSET(Curvas_cupon_cero!$A$1,1,0,COUNT(Curvas_cupon_cero!$A:$A)-2,1),OFFSET(Curvas_cupon_cero!$A$1,1,MATCH($B$6,Curvas_cupon_cero!$1:$1,0)-1,COUNT(Curvas_cupon_cero!$A:$A)-2,1))))</f>
        <v/>
      </c>
      <c r="J396" s="19" t="str">
        <f>IF(A396="","",F396/(1+I396*$B$5/360)^(COUNT(A$16:A396)-($B$5-$G$16)/$B$5))</f>
        <v/>
      </c>
    </row>
    <row r="397" spans="1:10" x14ac:dyDescent="0.2">
      <c r="A397" s="12" t="str">
        <f t="shared" si="33"/>
        <v/>
      </c>
      <c r="B397" t="str">
        <f t="shared" si="31"/>
        <v/>
      </c>
      <c r="C397" s="21" t="str">
        <f ca="1">IF(A397="","",IF($B$8="Sí",interpolar_alamb(B397,OFFSET(Curvas_cupon_cero!$A$1,1,0,COUNT(Curvas_cupon_cero!$A:$A)-2,1),OFFSET(Curvas_cupon_cero!$A$1,1,MATCH($B$7,Curvas_cupon_cero!$1:$1,0)-1,COUNT(Curvas_cupon_cero!$A:$A)-2,1)),[1]!interpolar(B397,OFFSET(Curvas_cupon_cero!$A$1,1,0,COUNT(Curvas_cupon_cero!$A:$A)-2,1),OFFSET(Curvas_cupon_cero!$A$1,1,MATCH($B$7,Curvas_cupon_cero!$1:$1,0)-1,COUNT(Curvas_cupon_cero!$A:$A)-2,1))))</f>
        <v/>
      </c>
      <c r="D397" s="23" t="str">
        <f ca="1">IF(A397="","",IF($B$8="Sí",interpolar_alamb(H397,OFFSET(Curvas_cupon_cero!$A$1,1,0,COUNT(Curvas_cupon_cero!$A:$A)-2,1),OFFSET(Curvas_cupon_cero!$A$1,1,MATCH($B$7,Curvas_cupon_cero!$1:$1,0)-1,COUNT(Curvas_cupon_cero!$A:$A)-2,1)),[1]!interpolar(H397,OFFSET(Curvas_cupon_cero!$A$1,1,0,COUNT(Curvas_cupon_cero!$A:$A)-2,1),OFFSET(Curvas_cupon_cero!$A$1,1,MATCH($B$7,Curvas_cupon_cero!$1:$1,0)-1,COUNT(Curvas_cupon_cero!$A:$A)-2,1))))</f>
        <v/>
      </c>
      <c r="E397" s="23" t="str">
        <f t="shared" si="34"/>
        <v/>
      </c>
      <c r="F397" s="17" t="str">
        <f t="shared" si="32"/>
        <v/>
      </c>
      <c r="G397" s="18" t="str">
        <f t="shared" si="35"/>
        <v/>
      </c>
      <c r="H397" t="str">
        <f t="shared" si="36"/>
        <v/>
      </c>
      <c r="I397" s="23" t="str">
        <f ca="1">IF(A397="","",IF($B$8="Sí",interpolar_alamb(H397,OFFSET(Curvas_cupon_cero!$A$1,1,0,COUNT(Curvas_cupon_cero!$A:$A)-2,1),OFFSET(Curvas_cupon_cero!$A$1,1,MATCH($B$6,Curvas_cupon_cero!$1:$1,0)-1,COUNT(Curvas_cupon_cero!$A:$A)-2,1)),[1]!interpolar(H397,OFFSET(Curvas_cupon_cero!$A$1,1,0,COUNT(Curvas_cupon_cero!$A:$A)-2,1),OFFSET(Curvas_cupon_cero!$A$1,1,MATCH($B$6,Curvas_cupon_cero!$1:$1,0)-1,COUNT(Curvas_cupon_cero!$A:$A)-2,1))))</f>
        <v/>
      </c>
      <c r="J397" s="19" t="str">
        <f>IF(A397="","",F397/(1+I397*$B$5/360)^(COUNT(A$16:A397)-($B$5-$G$16)/$B$5))</f>
        <v/>
      </c>
    </row>
    <row r="398" spans="1:10" x14ac:dyDescent="0.2">
      <c r="A398" s="12" t="str">
        <f t="shared" si="33"/>
        <v/>
      </c>
      <c r="B398" t="str">
        <f t="shared" ref="B398:B461" si="37">IF(A398="","",MAX(H398-$B$5,0))</f>
        <v/>
      </c>
      <c r="C398" s="21" t="str">
        <f ca="1">IF(A398="","",IF($B$8="Sí",interpolar_alamb(B398,OFFSET(Curvas_cupon_cero!$A$1,1,0,COUNT(Curvas_cupon_cero!$A:$A)-2,1),OFFSET(Curvas_cupon_cero!$A$1,1,MATCH($B$7,Curvas_cupon_cero!$1:$1,0)-1,COUNT(Curvas_cupon_cero!$A:$A)-2,1)),[1]!interpolar(B398,OFFSET(Curvas_cupon_cero!$A$1,1,0,COUNT(Curvas_cupon_cero!$A:$A)-2,1),OFFSET(Curvas_cupon_cero!$A$1,1,MATCH($B$7,Curvas_cupon_cero!$1:$1,0)-1,COUNT(Curvas_cupon_cero!$A:$A)-2,1))))</f>
        <v/>
      </c>
      <c r="D398" s="23" t="str">
        <f ca="1">IF(A398="","",IF($B$8="Sí",interpolar_alamb(H398,OFFSET(Curvas_cupon_cero!$A$1,1,0,COUNT(Curvas_cupon_cero!$A:$A)-2,1),OFFSET(Curvas_cupon_cero!$A$1,1,MATCH($B$7,Curvas_cupon_cero!$1:$1,0)-1,COUNT(Curvas_cupon_cero!$A:$A)-2,1)),[1]!interpolar(H398,OFFSET(Curvas_cupon_cero!$A$1,1,0,COUNT(Curvas_cupon_cero!$A:$A)-2,1),OFFSET(Curvas_cupon_cero!$A$1,1,MATCH($B$7,Curvas_cupon_cero!$1:$1,0)-1,COUNT(Curvas_cupon_cero!$A:$A)-2,1))))</f>
        <v/>
      </c>
      <c r="E398" s="23" t="str">
        <f t="shared" si="34"/>
        <v/>
      </c>
      <c r="F398" s="17" t="str">
        <f t="shared" ref="F398:F461" si="38">IF(A398="","",IF(A398=$B$4,$B$1*$B$2+E398*$B$5/360*$B$1*$B$2, E398*$B$5/360*$B$1*$B$2))</f>
        <v/>
      </c>
      <c r="G398" s="18" t="str">
        <f t="shared" si="35"/>
        <v/>
      </c>
      <c r="H398" t="str">
        <f t="shared" si="36"/>
        <v/>
      </c>
      <c r="I398" s="23" t="str">
        <f ca="1">IF(A398="","",IF($B$8="Sí",interpolar_alamb(H398,OFFSET(Curvas_cupon_cero!$A$1,1,0,COUNT(Curvas_cupon_cero!$A:$A)-2,1),OFFSET(Curvas_cupon_cero!$A$1,1,MATCH($B$6,Curvas_cupon_cero!$1:$1,0)-1,COUNT(Curvas_cupon_cero!$A:$A)-2,1)),[1]!interpolar(H398,OFFSET(Curvas_cupon_cero!$A$1,1,0,COUNT(Curvas_cupon_cero!$A:$A)-2,1),OFFSET(Curvas_cupon_cero!$A$1,1,MATCH($B$6,Curvas_cupon_cero!$1:$1,0)-1,COUNT(Curvas_cupon_cero!$A:$A)-2,1))))</f>
        <v/>
      </c>
      <c r="J398" s="19" t="str">
        <f>IF(A398="","",F398/(1+I398*$B$5/360)^(COUNT(A$16:A398)-($B$5-$G$16)/$B$5))</f>
        <v/>
      </c>
    </row>
    <row r="399" spans="1:10" x14ac:dyDescent="0.2">
      <c r="A399" s="12" t="str">
        <f t="shared" ref="A399:A462" si="39">IF(A398="","",IF((A398+$B$5)&gt;$B$4,"",(A398+$B$5)))</f>
        <v/>
      </c>
      <c r="B399" t="str">
        <f t="shared" si="37"/>
        <v/>
      </c>
      <c r="C399" s="21" t="str">
        <f ca="1">IF(A399="","",IF($B$8="Sí",interpolar_alamb(B399,OFFSET(Curvas_cupon_cero!$A$1,1,0,COUNT(Curvas_cupon_cero!$A:$A)-2,1),OFFSET(Curvas_cupon_cero!$A$1,1,MATCH($B$7,Curvas_cupon_cero!$1:$1,0)-1,COUNT(Curvas_cupon_cero!$A:$A)-2,1)),[1]!interpolar(B399,OFFSET(Curvas_cupon_cero!$A$1,1,0,COUNT(Curvas_cupon_cero!$A:$A)-2,1),OFFSET(Curvas_cupon_cero!$A$1,1,MATCH($B$7,Curvas_cupon_cero!$1:$1,0)-1,COUNT(Curvas_cupon_cero!$A:$A)-2,1))))</f>
        <v/>
      </c>
      <c r="D399" s="23" t="str">
        <f ca="1">IF(A399="","",IF($B$8="Sí",interpolar_alamb(H399,OFFSET(Curvas_cupon_cero!$A$1,1,0,COUNT(Curvas_cupon_cero!$A:$A)-2,1),OFFSET(Curvas_cupon_cero!$A$1,1,MATCH($B$7,Curvas_cupon_cero!$1:$1,0)-1,COUNT(Curvas_cupon_cero!$A:$A)-2,1)),[1]!interpolar(H399,OFFSET(Curvas_cupon_cero!$A$1,1,0,COUNT(Curvas_cupon_cero!$A:$A)-2,1),OFFSET(Curvas_cupon_cero!$A$1,1,MATCH($B$7,Curvas_cupon_cero!$1:$1,0)-1,COUNT(Curvas_cupon_cero!$A:$A)-2,1))))</f>
        <v/>
      </c>
      <c r="E399" s="23" t="str">
        <f t="shared" ref="E399:E462" si="40">IF(A399="","",((1+D399*H399/360)/(1+C399*B399/360)-1)*(360/(H399-B399)))</f>
        <v/>
      </c>
      <c r="F399" s="17" t="str">
        <f t="shared" si="38"/>
        <v/>
      </c>
      <c r="G399" s="18" t="str">
        <f t="shared" ref="G399:G462" si="41">IF(A399="","",$B$5)</f>
        <v/>
      </c>
      <c r="H399" t="str">
        <f t="shared" ref="H399:H462" si="42">IF(A399="","",H398+G399)</f>
        <v/>
      </c>
      <c r="I399" s="23" t="str">
        <f ca="1">IF(A399="","",IF($B$8="Sí",interpolar_alamb(H399,OFFSET(Curvas_cupon_cero!$A$1,1,0,COUNT(Curvas_cupon_cero!$A:$A)-2,1),OFFSET(Curvas_cupon_cero!$A$1,1,MATCH($B$6,Curvas_cupon_cero!$1:$1,0)-1,COUNT(Curvas_cupon_cero!$A:$A)-2,1)),[1]!interpolar(H399,OFFSET(Curvas_cupon_cero!$A$1,1,0,COUNT(Curvas_cupon_cero!$A:$A)-2,1),OFFSET(Curvas_cupon_cero!$A$1,1,MATCH($B$6,Curvas_cupon_cero!$1:$1,0)-1,COUNT(Curvas_cupon_cero!$A:$A)-2,1))))</f>
        <v/>
      </c>
      <c r="J399" s="19" t="str">
        <f>IF(A399="","",F399/(1+I399*$B$5/360)^(COUNT(A$16:A399)-($B$5-$G$16)/$B$5))</f>
        <v/>
      </c>
    </row>
    <row r="400" spans="1:10" x14ac:dyDescent="0.2">
      <c r="A400" s="12" t="str">
        <f t="shared" si="39"/>
        <v/>
      </c>
      <c r="B400" t="str">
        <f t="shared" si="37"/>
        <v/>
      </c>
      <c r="C400" s="21" t="str">
        <f ca="1">IF(A400="","",IF($B$8="Sí",interpolar_alamb(B400,OFFSET(Curvas_cupon_cero!$A$1,1,0,COUNT(Curvas_cupon_cero!$A:$A)-2,1),OFFSET(Curvas_cupon_cero!$A$1,1,MATCH($B$7,Curvas_cupon_cero!$1:$1,0)-1,COUNT(Curvas_cupon_cero!$A:$A)-2,1)),[1]!interpolar(B400,OFFSET(Curvas_cupon_cero!$A$1,1,0,COUNT(Curvas_cupon_cero!$A:$A)-2,1),OFFSET(Curvas_cupon_cero!$A$1,1,MATCH($B$7,Curvas_cupon_cero!$1:$1,0)-1,COUNT(Curvas_cupon_cero!$A:$A)-2,1))))</f>
        <v/>
      </c>
      <c r="D400" s="23" t="str">
        <f ca="1">IF(A400="","",IF($B$8="Sí",interpolar_alamb(H400,OFFSET(Curvas_cupon_cero!$A$1,1,0,COUNT(Curvas_cupon_cero!$A:$A)-2,1),OFFSET(Curvas_cupon_cero!$A$1,1,MATCH($B$7,Curvas_cupon_cero!$1:$1,0)-1,COUNT(Curvas_cupon_cero!$A:$A)-2,1)),[1]!interpolar(H400,OFFSET(Curvas_cupon_cero!$A$1,1,0,COUNT(Curvas_cupon_cero!$A:$A)-2,1),OFFSET(Curvas_cupon_cero!$A$1,1,MATCH($B$7,Curvas_cupon_cero!$1:$1,0)-1,COUNT(Curvas_cupon_cero!$A:$A)-2,1))))</f>
        <v/>
      </c>
      <c r="E400" s="23" t="str">
        <f t="shared" si="40"/>
        <v/>
      </c>
      <c r="F400" s="17" t="str">
        <f t="shared" si="38"/>
        <v/>
      </c>
      <c r="G400" s="18" t="str">
        <f t="shared" si="41"/>
        <v/>
      </c>
      <c r="H400" t="str">
        <f t="shared" si="42"/>
        <v/>
      </c>
      <c r="I400" s="23" t="str">
        <f ca="1">IF(A400="","",IF($B$8="Sí",interpolar_alamb(H400,OFFSET(Curvas_cupon_cero!$A$1,1,0,COUNT(Curvas_cupon_cero!$A:$A)-2,1),OFFSET(Curvas_cupon_cero!$A$1,1,MATCH($B$6,Curvas_cupon_cero!$1:$1,0)-1,COUNT(Curvas_cupon_cero!$A:$A)-2,1)),[1]!interpolar(H400,OFFSET(Curvas_cupon_cero!$A$1,1,0,COUNT(Curvas_cupon_cero!$A:$A)-2,1),OFFSET(Curvas_cupon_cero!$A$1,1,MATCH($B$6,Curvas_cupon_cero!$1:$1,0)-1,COUNT(Curvas_cupon_cero!$A:$A)-2,1))))</f>
        <v/>
      </c>
      <c r="J400" s="19" t="str">
        <f>IF(A400="","",F400/(1+I400*$B$5/360)^(COUNT(A$16:A400)-($B$5-$G$16)/$B$5))</f>
        <v/>
      </c>
    </row>
    <row r="401" spans="1:10" x14ac:dyDescent="0.2">
      <c r="A401" s="12" t="str">
        <f t="shared" si="39"/>
        <v/>
      </c>
      <c r="B401" t="str">
        <f t="shared" si="37"/>
        <v/>
      </c>
      <c r="C401" s="21" t="str">
        <f ca="1">IF(A401="","",IF($B$8="Sí",interpolar_alamb(B401,OFFSET(Curvas_cupon_cero!$A$1,1,0,COUNT(Curvas_cupon_cero!$A:$A)-2,1),OFFSET(Curvas_cupon_cero!$A$1,1,MATCH($B$7,Curvas_cupon_cero!$1:$1,0)-1,COUNT(Curvas_cupon_cero!$A:$A)-2,1)),[1]!interpolar(B401,OFFSET(Curvas_cupon_cero!$A$1,1,0,COUNT(Curvas_cupon_cero!$A:$A)-2,1),OFFSET(Curvas_cupon_cero!$A$1,1,MATCH($B$7,Curvas_cupon_cero!$1:$1,0)-1,COUNT(Curvas_cupon_cero!$A:$A)-2,1))))</f>
        <v/>
      </c>
      <c r="D401" s="23" t="str">
        <f ca="1">IF(A401="","",IF($B$8="Sí",interpolar_alamb(H401,OFFSET(Curvas_cupon_cero!$A$1,1,0,COUNT(Curvas_cupon_cero!$A:$A)-2,1),OFFSET(Curvas_cupon_cero!$A$1,1,MATCH($B$7,Curvas_cupon_cero!$1:$1,0)-1,COUNT(Curvas_cupon_cero!$A:$A)-2,1)),[1]!interpolar(H401,OFFSET(Curvas_cupon_cero!$A$1,1,0,COUNT(Curvas_cupon_cero!$A:$A)-2,1),OFFSET(Curvas_cupon_cero!$A$1,1,MATCH($B$7,Curvas_cupon_cero!$1:$1,0)-1,COUNT(Curvas_cupon_cero!$A:$A)-2,1))))</f>
        <v/>
      </c>
      <c r="E401" s="23" t="str">
        <f t="shared" si="40"/>
        <v/>
      </c>
      <c r="F401" s="17" t="str">
        <f t="shared" si="38"/>
        <v/>
      </c>
      <c r="G401" s="18" t="str">
        <f t="shared" si="41"/>
        <v/>
      </c>
      <c r="H401" t="str">
        <f t="shared" si="42"/>
        <v/>
      </c>
      <c r="I401" s="23" t="str">
        <f ca="1">IF(A401="","",IF($B$8="Sí",interpolar_alamb(H401,OFFSET(Curvas_cupon_cero!$A$1,1,0,COUNT(Curvas_cupon_cero!$A:$A)-2,1),OFFSET(Curvas_cupon_cero!$A$1,1,MATCH($B$6,Curvas_cupon_cero!$1:$1,0)-1,COUNT(Curvas_cupon_cero!$A:$A)-2,1)),[1]!interpolar(H401,OFFSET(Curvas_cupon_cero!$A$1,1,0,COUNT(Curvas_cupon_cero!$A:$A)-2,1),OFFSET(Curvas_cupon_cero!$A$1,1,MATCH($B$6,Curvas_cupon_cero!$1:$1,0)-1,COUNT(Curvas_cupon_cero!$A:$A)-2,1))))</f>
        <v/>
      </c>
      <c r="J401" s="19" t="str">
        <f>IF(A401="","",F401/(1+I401*$B$5/360)^(COUNT(A$16:A401)-($B$5-$G$16)/$B$5))</f>
        <v/>
      </c>
    </row>
    <row r="402" spans="1:10" x14ac:dyDescent="0.2">
      <c r="A402" s="12" t="str">
        <f t="shared" si="39"/>
        <v/>
      </c>
      <c r="B402" t="str">
        <f t="shared" si="37"/>
        <v/>
      </c>
      <c r="C402" s="21" t="str">
        <f ca="1">IF(A402="","",IF($B$8="Sí",interpolar_alamb(B402,OFFSET(Curvas_cupon_cero!$A$1,1,0,COUNT(Curvas_cupon_cero!$A:$A)-2,1),OFFSET(Curvas_cupon_cero!$A$1,1,MATCH($B$7,Curvas_cupon_cero!$1:$1,0)-1,COUNT(Curvas_cupon_cero!$A:$A)-2,1)),[1]!interpolar(B402,OFFSET(Curvas_cupon_cero!$A$1,1,0,COUNT(Curvas_cupon_cero!$A:$A)-2,1),OFFSET(Curvas_cupon_cero!$A$1,1,MATCH($B$7,Curvas_cupon_cero!$1:$1,0)-1,COUNT(Curvas_cupon_cero!$A:$A)-2,1))))</f>
        <v/>
      </c>
      <c r="D402" s="23" t="str">
        <f ca="1">IF(A402="","",IF($B$8="Sí",interpolar_alamb(H402,OFFSET(Curvas_cupon_cero!$A$1,1,0,COUNT(Curvas_cupon_cero!$A:$A)-2,1),OFFSET(Curvas_cupon_cero!$A$1,1,MATCH($B$7,Curvas_cupon_cero!$1:$1,0)-1,COUNT(Curvas_cupon_cero!$A:$A)-2,1)),[1]!interpolar(H402,OFFSET(Curvas_cupon_cero!$A$1,1,0,COUNT(Curvas_cupon_cero!$A:$A)-2,1),OFFSET(Curvas_cupon_cero!$A$1,1,MATCH($B$7,Curvas_cupon_cero!$1:$1,0)-1,COUNT(Curvas_cupon_cero!$A:$A)-2,1))))</f>
        <v/>
      </c>
      <c r="E402" s="23" t="str">
        <f t="shared" si="40"/>
        <v/>
      </c>
      <c r="F402" s="17" t="str">
        <f t="shared" si="38"/>
        <v/>
      </c>
      <c r="G402" s="18" t="str">
        <f t="shared" si="41"/>
        <v/>
      </c>
      <c r="H402" t="str">
        <f t="shared" si="42"/>
        <v/>
      </c>
      <c r="I402" s="23" t="str">
        <f ca="1">IF(A402="","",IF($B$8="Sí",interpolar_alamb(H402,OFFSET(Curvas_cupon_cero!$A$1,1,0,COUNT(Curvas_cupon_cero!$A:$A)-2,1),OFFSET(Curvas_cupon_cero!$A$1,1,MATCH($B$6,Curvas_cupon_cero!$1:$1,0)-1,COUNT(Curvas_cupon_cero!$A:$A)-2,1)),[1]!interpolar(H402,OFFSET(Curvas_cupon_cero!$A$1,1,0,COUNT(Curvas_cupon_cero!$A:$A)-2,1),OFFSET(Curvas_cupon_cero!$A$1,1,MATCH($B$6,Curvas_cupon_cero!$1:$1,0)-1,COUNT(Curvas_cupon_cero!$A:$A)-2,1))))</f>
        <v/>
      </c>
      <c r="J402" s="19" t="str">
        <f>IF(A402="","",F402/(1+I402*$B$5/360)^(COUNT(A$16:A402)-($B$5-$G$16)/$B$5))</f>
        <v/>
      </c>
    </row>
    <row r="403" spans="1:10" x14ac:dyDescent="0.2">
      <c r="A403" s="12" t="str">
        <f t="shared" si="39"/>
        <v/>
      </c>
      <c r="B403" t="str">
        <f t="shared" si="37"/>
        <v/>
      </c>
      <c r="C403" s="21" t="str">
        <f ca="1">IF(A403="","",IF($B$8="Sí",interpolar_alamb(B403,OFFSET(Curvas_cupon_cero!$A$1,1,0,COUNT(Curvas_cupon_cero!$A:$A)-2,1),OFFSET(Curvas_cupon_cero!$A$1,1,MATCH($B$7,Curvas_cupon_cero!$1:$1,0)-1,COUNT(Curvas_cupon_cero!$A:$A)-2,1)),[1]!interpolar(B403,OFFSET(Curvas_cupon_cero!$A$1,1,0,COUNT(Curvas_cupon_cero!$A:$A)-2,1),OFFSET(Curvas_cupon_cero!$A$1,1,MATCH($B$7,Curvas_cupon_cero!$1:$1,0)-1,COUNT(Curvas_cupon_cero!$A:$A)-2,1))))</f>
        <v/>
      </c>
      <c r="D403" s="23" t="str">
        <f ca="1">IF(A403="","",IF($B$8="Sí",interpolar_alamb(H403,OFFSET(Curvas_cupon_cero!$A$1,1,0,COUNT(Curvas_cupon_cero!$A:$A)-2,1),OFFSET(Curvas_cupon_cero!$A$1,1,MATCH($B$7,Curvas_cupon_cero!$1:$1,0)-1,COUNT(Curvas_cupon_cero!$A:$A)-2,1)),[1]!interpolar(H403,OFFSET(Curvas_cupon_cero!$A$1,1,0,COUNT(Curvas_cupon_cero!$A:$A)-2,1),OFFSET(Curvas_cupon_cero!$A$1,1,MATCH($B$7,Curvas_cupon_cero!$1:$1,0)-1,COUNT(Curvas_cupon_cero!$A:$A)-2,1))))</f>
        <v/>
      </c>
      <c r="E403" s="23" t="str">
        <f t="shared" si="40"/>
        <v/>
      </c>
      <c r="F403" s="17" t="str">
        <f t="shared" si="38"/>
        <v/>
      </c>
      <c r="G403" s="18" t="str">
        <f t="shared" si="41"/>
        <v/>
      </c>
      <c r="H403" t="str">
        <f t="shared" si="42"/>
        <v/>
      </c>
      <c r="I403" s="23" t="str">
        <f ca="1">IF(A403="","",IF($B$8="Sí",interpolar_alamb(H403,OFFSET(Curvas_cupon_cero!$A$1,1,0,COUNT(Curvas_cupon_cero!$A:$A)-2,1),OFFSET(Curvas_cupon_cero!$A$1,1,MATCH($B$6,Curvas_cupon_cero!$1:$1,0)-1,COUNT(Curvas_cupon_cero!$A:$A)-2,1)),[1]!interpolar(H403,OFFSET(Curvas_cupon_cero!$A$1,1,0,COUNT(Curvas_cupon_cero!$A:$A)-2,1),OFFSET(Curvas_cupon_cero!$A$1,1,MATCH($B$6,Curvas_cupon_cero!$1:$1,0)-1,COUNT(Curvas_cupon_cero!$A:$A)-2,1))))</f>
        <v/>
      </c>
      <c r="J403" s="19" t="str">
        <f>IF(A403="","",F403/(1+I403*$B$5/360)^(COUNT(A$16:A403)-($B$5-$G$16)/$B$5))</f>
        <v/>
      </c>
    </row>
    <row r="404" spans="1:10" x14ac:dyDescent="0.2">
      <c r="A404" s="12" t="str">
        <f t="shared" si="39"/>
        <v/>
      </c>
      <c r="B404" t="str">
        <f t="shared" si="37"/>
        <v/>
      </c>
      <c r="C404" s="21" t="str">
        <f ca="1">IF(A404="","",IF($B$8="Sí",interpolar_alamb(B404,OFFSET(Curvas_cupon_cero!$A$1,1,0,COUNT(Curvas_cupon_cero!$A:$A)-2,1),OFFSET(Curvas_cupon_cero!$A$1,1,MATCH($B$7,Curvas_cupon_cero!$1:$1,0)-1,COUNT(Curvas_cupon_cero!$A:$A)-2,1)),[1]!interpolar(B404,OFFSET(Curvas_cupon_cero!$A$1,1,0,COUNT(Curvas_cupon_cero!$A:$A)-2,1),OFFSET(Curvas_cupon_cero!$A$1,1,MATCH($B$7,Curvas_cupon_cero!$1:$1,0)-1,COUNT(Curvas_cupon_cero!$A:$A)-2,1))))</f>
        <v/>
      </c>
      <c r="D404" s="23" t="str">
        <f ca="1">IF(A404="","",IF($B$8="Sí",interpolar_alamb(H404,OFFSET(Curvas_cupon_cero!$A$1,1,0,COUNT(Curvas_cupon_cero!$A:$A)-2,1),OFFSET(Curvas_cupon_cero!$A$1,1,MATCH($B$7,Curvas_cupon_cero!$1:$1,0)-1,COUNT(Curvas_cupon_cero!$A:$A)-2,1)),[1]!interpolar(H404,OFFSET(Curvas_cupon_cero!$A$1,1,0,COUNT(Curvas_cupon_cero!$A:$A)-2,1),OFFSET(Curvas_cupon_cero!$A$1,1,MATCH($B$7,Curvas_cupon_cero!$1:$1,0)-1,COUNT(Curvas_cupon_cero!$A:$A)-2,1))))</f>
        <v/>
      </c>
      <c r="E404" s="23" t="str">
        <f t="shared" si="40"/>
        <v/>
      </c>
      <c r="F404" s="17" t="str">
        <f t="shared" si="38"/>
        <v/>
      </c>
      <c r="G404" s="18" t="str">
        <f t="shared" si="41"/>
        <v/>
      </c>
      <c r="H404" t="str">
        <f t="shared" si="42"/>
        <v/>
      </c>
      <c r="I404" s="23" t="str">
        <f ca="1">IF(A404="","",IF($B$8="Sí",interpolar_alamb(H404,OFFSET(Curvas_cupon_cero!$A$1,1,0,COUNT(Curvas_cupon_cero!$A:$A)-2,1),OFFSET(Curvas_cupon_cero!$A$1,1,MATCH($B$6,Curvas_cupon_cero!$1:$1,0)-1,COUNT(Curvas_cupon_cero!$A:$A)-2,1)),[1]!interpolar(H404,OFFSET(Curvas_cupon_cero!$A$1,1,0,COUNT(Curvas_cupon_cero!$A:$A)-2,1),OFFSET(Curvas_cupon_cero!$A$1,1,MATCH($B$6,Curvas_cupon_cero!$1:$1,0)-1,COUNT(Curvas_cupon_cero!$A:$A)-2,1))))</f>
        <v/>
      </c>
      <c r="J404" s="19" t="str">
        <f>IF(A404="","",F404/(1+I404*$B$5/360)^(COUNT(A$16:A404)-($B$5-$G$16)/$B$5))</f>
        <v/>
      </c>
    </row>
    <row r="405" spans="1:10" x14ac:dyDescent="0.2">
      <c r="A405" s="12" t="str">
        <f t="shared" si="39"/>
        <v/>
      </c>
      <c r="B405" t="str">
        <f t="shared" si="37"/>
        <v/>
      </c>
      <c r="C405" s="21" t="str">
        <f ca="1">IF(A405="","",IF($B$8="Sí",interpolar_alamb(B405,OFFSET(Curvas_cupon_cero!$A$1,1,0,COUNT(Curvas_cupon_cero!$A:$A)-2,1),OFFSET(Curvas_cupon_cero!$A$1,1,MATCH($B$7,Curvas_cupon_cero!$1:$1,0)-1,COUNT(Curvas_cupon_cero!$A:$A)-2,1)),[1]!interpolar(B405,OFFSET(Curvas_cupon_cero!$A$1,1,0,COUNT(Curvas_cupon_cero!$A:$A)-2,1),OFFSET(Curvas_cupon_cero!$A$1,1,MATCH($B$7,Curvas_cupon_cero!$1:$1,0)-1,COUNT(Curvas_cupon_cero!$A:$A)-2,1))))</f>
        <v/>
      </c>
      <c r="D405" s="23" t="str">
        <f ca="1">IF(A405="","",IF($B$8="Sí",interpolar_alamb(H405,OFFSET(Curvas_cupon_cero!$A$1,1,0,COUNT(Curvas_cupon_cero!$A:$A)-2,1),OFFSET(Curvas_cupon_cero!$A$1,1,MATCH($B$7,Curvas_cupon_cero!$1:$1,0)-1,COUNT(Curvas_cupon_cero!$A:$A)-2,1)),[1]!interpolar(H405,OFFSET(Curvas_cupon_cero!$A$1,1,0,COUNT(Curvas_cupon_cero!$A:$A)-2,1),OFFSET(Curvas_cupon_cero!$A$1,1,MATCH($B$7,Curvas_cupon_cero!$1:$1,0)-1,COUNT(Curvas_cupon_cero!$A:$A)-2,1))))</f>
        <v/>
      </c>
      <c r="E405" s="23" t="str">
        <f t="shared" si="40"/>
        <v/>
      </c>
      <c r="F405" s="17" t="str">
        <f t="shared" si="38"/>
        <v/>
      </c>
      <c r="G405" s="18" t="str">
        <f t="shared" si="41"/>
        <v/>
      </c>
      <c r="H405" t="str">
        <f t="shared" si="42"/>
        <v/>
      </c>
      <c r="I405" s="23" t="str">
        <f ca="1">IF(A405="","",IF($B$8="Sí",interpolar_alamb(H405,OFFSET(Curvas_cupon_cero!$A$1,1,0,COUNT(Curvas_cupon_cero!$A:$A)-2,1),OFFSET(Curvas_cupon_cero!$A$1,1,MATCH($B$6,Curvas_cupon_cero!$1:$1,0)-1,COUNT(Curvas_cupon_cero!$A:$A)-2,1)),[1]!interpolar(H405,OFFSET(Curvas_cupon_cero!$A$1,1,0,COUNT(Curvas_cupon_cero!$A:$A)-2,1),OFFSET(Curvas_cupon_cero!$A$1,1,MATCH($B$6,Curvas_cupon_cero!$1:$1,0)-1,COUNT(Curvas_cupon_cero!$A:$A)-2,1))))</f>
        <v/>
      </c>
      <c r="J405" s="19" t="str">
        <f>IF(A405="","",F405/(1+I405*$B$5/360)^(COUNT(A$16:A405)-($B$5-$G$16)/$B$5))</f>
        <v/>
      </c>
    </row>
    <row r="406" spans="1:10" x14ac:dyDescent="0.2">
      <c r="A406" s="12" t="str">
        <f t="shared" si="39"/>
        <v/>
      </c>
      <c r="B406" t="str">
        <f t="shared" si="37"/>
        <v/>
      </c>
      <c r="C406" s="21" t="str">
        <f ca="1">IF(A406="","",IF($B$8="Sí",interpolar_alamb(B406,OFFSET(Curvas_cupon_cero!$A$1,1,0,COUNT(Curvas_cupon_cero!$A:$A)-2,1),OFFSET(Curvas_cupon_cero!$A$1,1,MATCH($B$7,Curvas_cupon_cero!$1:$1,0)-1,COUNT(Curvas_cupon_cero!$A:$A)-2,1)),[1]!interpolar(B406,OFFSET(Curvas_cupon_cero!$A$1,1,0,COUNT(Curvas_cupon_cero!$A:$A)-2,1),OFFSET(Curvas_cupon_cero!$A$1,1,MATCH($B$7,Curvas_cupon_cero!$1:$1,0)-1,COUNT(Curvas_cupon_cero!$A:$A)-2,1))))</f>
        <v/>
      </c>
      <c r="D406" s="23" t="str">
        <f ca="1">IF(A406="","",IF($B$8="Sí",interpolar_alamb(H406,OFFSET(Curvas_cupon_cero!$A$1,1,0,COUNT(Curvas_cupon_cero!$A:$A)-2,1),OFFSET(Curvas_cupon_cero!$A$1,1,MATCH($B$7,Curvas_cupon_cero!$1:$1,0)-1,COUNT(Curvas_cupon_cero!$A:$A)-2,1)),[1]!interpolar(H406,OFFSET(Curvas_cupon_cero!$A$1,1,0,COUNT(Curvas_cupon_cero!$A:$A)-2,1),OFFSET(Curvas_cupon_cero!$A$1,1,MATCH($B$7,Curvas_cupon_cero!$1:$1,0)-1,COUNT(Curvas_cupon_cero!$A:$A)-2,1))))</f>
        <v/>
      </c>
      <c r="E406" s="23" t="str">
        <f t="shared" si="40"/>
        <v/>
      </c>
      <c r="F406" s="17" t="str">
        <f t="shared" si="38"/>
        <v/>
      </c>
      <c r="G406" s="18" t="str">
        <f t="shared" si="41"/>
        <v/>
      </c>
      <c r="H406" t="str">
        <f t="shared" si="42"/>
        <v/>
      </c>
      <c r="I406" s="23" t="str">
        <f ca="1">IF(A406="","",IF($B$8="Sí",interpolar_alamb(H406,OFFSET(Curvas_cupon_cero!$A$1,1,0,COUNT(Curvas_cupon_cero!$A:$A)-2,1),OFFSET(Curvas_cupon_cero!$A$1,1,MATCH($B$6,Curvas_cupon_cero!$1:$1,0)-1,COUNT(Curvas_cupon_cero!$A:$A)-2,1)),[1]!interpolar(H406,OFFSET(Curvas_cupon_cero!$A$1,1,0,COUNT(Curvas_cupon_cero!$A:$A)-2,1),OFFSET(Curvas_cupon_cero!$A$1,1,MATCH($B$6,Curvas_cupon_cero!$1:$1,0)-1,COUNT(Curvas_cupon_cero!$A:$A)-2,1))))</f>
        <v/>
      </c>
      <c r="J406" s="19" t="str">
        <f>IF(A406="","",F406/(1+I406*$B$5/360)^(COUNT(A$16:A406)-($B$5-$G$16)/$B$5))</f>
        <v/>
      </c>
    </row>
    <row r="407" spans="1:10" x14ac:dyDescent="0.2">
      <c r="A407" s="12" t="str">
        <f t="shared" si="39"/>
        <v/>
      </c>
      <c r="B407" t="str">
        <f t="shared" si="37"/>
        <v/>
      </c>
      <c r="C407" s="21" t="str">
        <f ca="1">IF(A407="","",IF($B$8="Sí",interpolar_alamb(B407,OFFSET(Curvas_cupon_cero!$A$1,1,0,COUNT(Curvas_cupon_cero!$A:$A)-2,1),OFFSET(Curvas_cupon_cero!$A$1,1,MATCH($B$7,Curvas_cupon_cero!$1:$1,0)-1,COUNT(Curvas_cupon_cero!$A:$A)-2,1)),[1]!interpolar(B407,OFFSET(Curvas_cupon_cero!$A$1,1,0,COUNT(Curvas_cupon_cero!$A:$A)-2,1),OFFSET(Curvas_cupon_cero!$A$1,1,MATCH($B$7,Curvas_cupon_cero!$1:$1,0)-1,COUNT(Curvas_cupon_cero!$A:$A)-2,1))))</f>
        <v/>
      </c>
      <c r="D407" s="23" t="str">
        <f ca="1">IF(A407="","",IF($B$8="Sí",interpolar_alamb(H407,OFFSET(Curvas_cupon_cero!$A$1,1,0,COUNT(Curvas_cupon_cero!$A:$A)-2,1),OFFSET(Curvas_cupon_cero!$A$1,1,MATCH($B$7,Curvas_cupon_cero!$1:$1,0)-1,COUNT(Curvas_cupon_cero!$A:$A)-2,1)),[1]!interpolar(H407,OFFSET(Curvas_cupon_cero!$A$1,1,0,COUNT(Curvas_cupon_cero!$A:$A)-2,1),OFFSET(Curvas_cupon_cero!$A$1,1,MATCH($B$7,Curvas_cupon_cero!$1:$1,0)-1,COUNT(Curvas_cupon_cero!$A:$A)-2,1))))</f>
        <v/>
      </c>
      <c r="E407" s="23" t="str">
        <f t="shared" si="40"/>
        <v/>
      </c>
      <c r="F407" s="17" t="str">
        <f t="shared" si="38"/>
        <v/>
      </c>
      <c r="G407" s="18" t="str">
        <f t="shared" si="41"/>
        <v/>
      </c>
      <c r="H407" t="str">
        <f t="shared" si="42"/>
        <v/>
      </c>
      <c r="I407" s="23" t="str">
        <f ca="1">IF(A407="","",IF($B$8="Sí",interpolar_alamb(H407,OFFSET(Curvas_cupon_cero!$A$1,1,0,COUNT(Curvas_cupon_cero!$A:$A)-2,1),OFFSET(Curvas_cupon_cero!$A$1,1,MATCH($B$6,Curvas_cupon_cero!$1:$1,0)-1,COUNT(Curvas_cupon_cero!$A:$A)-2,1)),[1]!interpolar(H407,OFFSET(Curvas_cupon_cero!$A$1,1,0,COUNT(Curvas_cupon_cero!$A:$A)-2,1),OFFSET(Curvas_cupon_cero!$A$1,1,MATCH($B$6,Curvas_cupon_cero!$1:$1,0)-1,COUNT(Curvas_cupon_cero!$A:$A)-2,1))))</f>
        <v/>
      </c>
      <c r="J407" s="19" t="str">
        <f>IF(A407="","",F407/(1+I407*$B$5/360)^(COUNT(A$16:A407)-($B$5-$G$16)/$B$5))</f>
        <v/>
      </c>
    </row>
    <row r="408" spans="1:10" x14ac:dyDescent="0.2">
      <c r="A408" s="12" t="str">
        <f t="shared" si="39"/>
        <v/>
      </c>
      <c r="B408" t="str">
        <f t="shared" si="37"/>
        <v/>
      </c>
      <c r="C408" s="21" t="str">
        <f ca="1">IF(A408="","",IF($B$8="Sí",interpolar_alamb(B408,OFFSET(Curvas_cupon_cero!$A$1,1,0,COUNT(Curvas_cupon_cero!$A:$A)-2,1),OFFSET(Curvas_cupon_cero!$A$1,1,MATCH($B$7,Curvas_cupon_cero!$1:$1,0)-1,COUNT(Curvas_cupon_cero!$A:$A)-2,1)),[1]!interpolar(B408,OFFSET(Curvas_cupon_cero!$A$1,1,0,COUNT(Curvas_cupon_cero!$A:$A)-2,1),OFFSET(Curvas_cupon_cero!$A$1,1,MATCH($B$7,Curvas_cupon_cero!$1:$1,0)-1,COUNT(Curvas_cupon_cero!$A:$A)-2,1))))</f>
        <v/>
      </c>
      <c r="D408" s="23" t="str">
        <f ca="1">IF(A408="","",IF($B$8="Sí",interpolar_alamb(H408,OFFSET(Curvas_cupon_cero!$A$1,1,0,COUNT(Curvas_cupon_cero!$A:$A)-2,1),OFFSET(Curvas_cupon_cero!$A$1,1,MATCH($B$7,Curvas_cupon_cero!$1:$1,0)-1,COUNT(Curvas_cupon_cero!$A:$A)-2,1)),[1]!interpolar(H408,OFFSET(Curvas_cupon_cero!$A$1,1,0,COUNT(Curvas_cupon_cero!$A:$A)-2,1),OFFSET(Curvas_cupon_cero!$A$1,1,MATCH($B$7,Curvas_cupon_cero!$1:$1,0)-1,COUNT(Curvas_cupon_cero!$A:$A)-2,1))))</f>
        <v/>
      </c>
      <c r="E408" s="23" t="str">
        <f t="shared" si="40"/>
        <v/>
      </c>
      <c r="F408" s="17" t="str">
        <f t="shared" si="38"/>
        <v/>
      </c>
      <c r="G408" s="18" t="str">
        <f t="shared" si="41"/>
        <v/>
      </c>
      <c r="H408" t="str">
        <f t="shared" si="42"/>
        <v/>
      </c>
      <c r="I408" s="23" t="str">
        <f ca="1">IF(A408="","",IF($B$8="Sí",interpolar_alamb(H408,OFFSET(Curvas_cupon_cero!$A$1,1,0,COUNT(Curvas_cupon_cero!$A:$A)-2,1),OFFSET(Curvas_cupon_cero!$A$1,1,MATCH($B$6,Curvas_cupon_cero!$1:$1,0)-1,COUNT(Curvas_cupon_cero!$A:$A)-2,1)),[1]!interpolar(H408,OFFSET(Curvas_cupon_cero!$A$1,1,0,COUNT(Curvas_cupon_cero!$A:$A)-2,1),OFFSET(Curvas_cupon_cero!$A$1,1,MATCH($B$6,Curvas_cupon_cero!$1:$1,0)-1,COUNT(Curvas_cupon_cero!$A:$A)-2,1))))</f>
        <v/>
      </c>
      <c r="J408" s="19" t="str">
        <f>IF(A408="","",F408/(1+I408*$B$5/360)^(COUNT(A$16:A408)-($B$5-$G$16)/$B$5))</f>
        <v/>
      </c>
    </row>
    <row r="409" spans="1:10" x14ac:dyDescent="0.2">
      <c r="A409" s="12" t="str">
        <f t="shared" si="39"/>
        <v/>
      </c>
      <c r="B409" t="str">
        <f t="shared" si="37"/>
        <v/>
      </c>
      <c r="C409" s="21" t="str">
        <f ca="1">IF(A409="","",IF($B$8="Sí",interpolar_alamb(B409,OFFSET(Curvas_cupon_cero!$A$1,1,0,COUNT(Curvas_cupon_cero!$A:$A)-2,1),OFFSET(Curvas_cupon_cero!$A$1,1,MATCH($B$7,Curvas_cupon_cero!$1:$1,0)-1,COUNT(Curvas_cupon_cero!$A:$A)-2,1)),[1]!interpolar(B409,OFFSET(Curvas_cupon_cero!$A$1,1,0,COUNT(Curvas_cupon_cero!$A:$A)-2,1),OFFSET(Curvas_cupon_cero!$A$1,1,MATCH($B$7,Curvas_cupon_cero!$1:$1,0)-1,COUNT(Curvas_cupon_cero!$A:$A)-2,1))))</f>
        <v/>
      </c>
      <c r="D409" s="23" t="str">
        <f ca="1">IF(A409="","",IF($B$8="Sí",interpolar_alamb(H409,OFFSET(Curvas_cupon_cero!$A$1,1,0,COUNT(Curvas_cupon_cero!$A:$A)-2,1),OFFSET(Curvas_cupon_cero!$A$1,1,MATCH($B$7,Curvas_cupon_cero!$1:$1,0)-1,COUNT(Curvas_cupon_cero!$A:$A)-2,1)),[1]!interpolar(H409,OFFSET(Curvas_cupon_cero!$A$1,1,0,COUNT(Curvas_cupon_cero!$A:$A)-2,1),OFFSET(Curvas_cupon_cero!$A$1,1,MATCH($B$7,Curvas_cupon_cero!$1:$1,0)-1,COUNT(Curvas_cupon_cero!$A:$A)-2,1))))</f>
        <v/>
      </c>
      <c r="E409" s="23" t="str">
        <f t="shared" si="40"/>
        <v/>
      </c>
      <c r="F409" s="17" t="str">
        <f t="shared" si="38"/>
        <v/>
      </c>
      <c r="G409" s="18" t="str">
        <f t="shared" si="41"/>
        <v/>
      </c>
      <c r="H409" t="str">
        <f t="shared" si="42"/>
        <v/>
      </c>
      <c r="I409" s="23" t="str">
        <f ca="1">IF(A409="","",IF($B$8="Sí",interpolar_alamb(H409,OFFSET(Curvas_cupon_cero!$A$1,1,0,COUNT(Curvas_cupon_cero!$A:$A)-2,1),OFFSET(Curvas_cupon_cero!$A$1,1,MATCH($B$6,Curvas_cupon_cero!$1:$1,0)-1,COUNT(Curvas_cupon_cero!$A:$A)-2,1)),[1]!interpolar(H409,OFFSET(Curvas_cupon_cero!$A$1,1,0,COUNT(Curvas_cupon_cero!$A:$A)-2,1),OFFSET(Curvas_cupon_cero!$A$1,1,MATCH($B$6,Curvas_cupon_cero!$1:$1,0)-1,COUNT(Curvas_cupon_cero!$A:$A)-2,1))))</f>
        <v/>
      </c>
      <c r="J409" s="19" t="str">
        <f>IF(A409="","",F409/(1+I409*$B$5/360)^(COUNT(A$16:A409)-($B$5-$G$16)/$B$5))</f>
        <v/>
      </c>
    </row>
    <row r="410" spans="1:10" x14ac:dyDescent="0.2">
      <c r="A410" s="12" t="str">
        <f t="shared" si="39"/>
        <v/>
      </c>
      <c r="B410" t="str">
        <f t="shared" si="37"/>
        <v/>
      </c>
      <c r="C410" s="21" t="str">
        <f ca="1">IF(A410="","",IF($B$8="Sí",interpolar_alamb(B410,OFFSET(Curvas_cupon_cero!$A$1,1,0,COUNT(Curvas_cupon_cero!$A:$A)-2,1),OFFSET(Curvas_cupon_cero!$A$1,1,MATCH($B$7,Curvas_cupon_cero!$1:$1,0)-1,COUNT(Curvas_cupon_cero!$A:$A)-2,1)),[1]!interpolar(B410,OFFSET(Curvas_cupon_cero!$A$1,1,0,COUNT(Curvas_cupon_cero!$A:$A)-2,1),OFFSET(Curvas_cupon_cero!$A$1,1,MATCH($B$7,Curvas_cupon_cero!$1:$1,0)-1,COUNT(Curvas_cupon_cero!$A:$A)-2,1))))</f>
        <v/>
      </c>
      <c r="D410" s="23" t="str">
        <f ca="1">IF(A410="","",IF($B$8="Sí",interpolar_alamb(H410,OFFSET(Curvas_cupon_cero!$A$1,1,0,COUNT(Curvas_cupon_cero!$A:$A)-2,1),OFFSET(Curvas_cupon_cero!$A$1,1,MATCH($B$7,Curvas_cupon_cero!$1:$1,0)-1,COUNT(Curvas_cupon_cero!$A:$A)-2,1)),[1]!interpolar(H410,OFFSET(Curvas_cupon_cero!$A$1,1,0,COUNT(Curvas_cupon_cero!$A:$A)-2,1),OFFSET(Curvas_cupon_cero!$A$1,1,MATCH($B$7,Curvas_cupon_cero!$1:$1,0)-1,COUNT(Curvas_cupon_cero!$A:$A)-2,1))))</f>
        <v/>
      </c>
      <c r="E410" s="23" t="str">
        <f t="shared" si="40"/>
        <v/>
      </c>
      <c r="F410" s="17" t="str">
        <f t="shared" si="38"/>
        <v/>
      </c>
      <c r="G410" s="18" t="str">
        <f t="shared" si="41"/>
        <v/>
      </c>
      <c r="H410" t="str">
        <f t="shared" si="42"/>
        <v/>
      </c>
      <c r="I410" s="23" t="str">
        <f ca="1">IF(A410="","",IF($B$8="Sí",interpolar_alamb(H410,OFFSET(Curvas_cupon_cero!$A$1,1,0,COUNT(Curvas_cupon_cero!$A:$A)-2,1),OFFSET(Curvas_cupon_cero!$A$1,1,MATCH($B$6,Curvas_cupon_cero!$1:$1,0)-1,COUNT(Curvas_cupon_cero!$A:$A)-2,1)),[1]!interpolar(H410,OFFSET(Curvas_cupon_cero!$A$1,1,0,COUNT(Curvas_cupon_cero!$A:$A)-2,1),OFFSET(Curvas_cupon_cero!$A$1,1,MATCH($B$6,Curvas_cupon_cero!$1:$1,0)-1,COUNT(Curvas_cupon_cero!$A:$A)-2,1))))</f>
        <v/>
      </c>
      <c r="J410" s="19" t="str">
        <f>IF(A410="","",F410/(1+I410*$B$5/360)^(COUNT(A$16:A410)-($B$5-$G$16)/$B$5))</f>
        <v/>
      </c>
    </row>
    <row r="411" spans="1:10" x14ac:dyDescent="0.2">
      <c r="A411" s="12" t="str">
        <f t="shared" si="39"/>
        <v/>
      </c>
      <c r="B411" t="str">
        <f t="shared" si="37"/>
        <v/>
      </c>
      <c r="C411" s="21" t="str">
        <f ca="1">IF(A411="","",IF($B$8="Sí",interpolar_alamb(B411,OFFSET(Curvas_cupon_cero!$A$1,1,0,COUNT(Curvas_cupon_cero!$A:$A)-2,1),OFFSET(Curvas_cupon_cero!$A$1,1,MATCH($B$7,Curvas_cupon_cero!$1:$1,0)-1,COUNT(Curvas_cupon_cero!$A:$A)-2,1)),[1]!interpolar(B411,OFFSET(Curvas_cupon_cero!$A$1,1,0,COUNT(Curvas_cupon_cero!$A:$A)-2,1),OFFSET(Curvas_cupon_cero!$A$1,1,MATCH($B$7,Curvas_cupon_cero!$1:$1,0)-1,COUNT(Curvas_cupon_cero!$A:$A)-2,1))))</f>
        <v/>
      </c>
      <c r="D411" s="23" t="str">
        <f ca="1">IF(A411="","",IF($B$8="Sí",interpolar_alamb(H411,OFFSET(Curvas_cupon_cero!$A$1,1,0,COUNT(Curvas_cupon_cero!$A:$A)-2,1),OFFSET(Curvas_cupon_cero!$A$1,1,MATCH($B$7,Curvas_cupon_cero!$1:$1,0)-1,COUNT(Curvas_cupon_cero!$A:$A)-2,1)),[1]!interpolar(H411,OFFSET(Curvas_cupon_cero!$A$1,1,0,COUNT(Curvas_cupon_cero!$A:$A)-2,1),OFFSET(Curvas_cupon_cero!$A$1,1,MATCH($B$7,Curvas_cupon_cero!$1:$1,0)-1,COUNT(Curvas_cupon_cero!$A:$A)-2,1))))</f>
        <v/>
      </c>
      <c r="E411" s="23" t="str">
        <f t="shared" si="40"/>
        <v/>
      </c>
      <c r="F411" s="17" t="str">
        <f t="shared" si="38"/>
        <v/>
      </c>
      <c r="G411" s="18" t="str">
        <f t="shared" si="41"/>
        <v/>
      </c>
      <c r="H411" t="str">
        <f t="shared" si="42"/>
        <v/>
      </c>
      <c r="I411" s="23" t="str">
        <f ca="1">IF(A411="","",IF($B$8="Sí",interpolar_alamb(H411,OFFSET(Curvas_cupon_cero!$A$1,1,0,COUNT(Curvas_cupon_cero!$A:$A)-2,1),OFFSET(Curvas_cupon_cero!$A$1,1,MATCH($B$6,Curvas_cupon_cero!$1:$1,0)-1,COUNT(Curvas_cupon_cero!$A:$A)-2,1)),[1]!interpolar(H411,OFFSET(Curvas_cupon_cero!$A$1,1,0,COUNT(Curvas_cupon_cero!$A:$A)-2,1),OFFSET(Curvas_cupon_cero!$A$1,1,MATCH($B$6,Curvas_cupon_cero!$1:$1,0)-1,COUNT(Curvas_cupon_cero!$A:$A)-2,1))))</f>
        <v/>
      </c>
      <c r="J411" s="19" t="str">
        <f>IF(A411="","",F411/(1+I411*$B$5/360)^(COUNT(A$16:A411)-($B$5-$G$16)/$B$5))</f>
        <v/>
      </c>
    </row>
    <row r="412" spans="1:10" x14ac:dyDescent="0.2">
      <c r="A412" s="12" t="str">
        <f t="shared" si="39"/>
        <v/>
      </c>
      <c r="B412" t="str">
        <f t="shared" si="37"/>
        <v/>
      </c>
      <c r="C412" s="21" t="str">
        <f ca="1">IF(A412="","",IF($B$8="Sí",interpolar_alamb(B412,OFFSET(Curvas_cupon_cero!$A$1,1,0,COUNT(Curvas_cupon_cero!$A:$A)-2,1),OFFSET(Curvas_cupon_cero!$A$1,1,MATCH($B$7,Curvas_cupon_cero!$1:$1,0)-1,COUNT(Curvas_cupon_cero!$A:$A)-2,1)),[1]!interpolar(B412,OFFSET(Curvas_cupon_cero!$A$1,1,0,COUNT(Curvas_cupon_cero!$A:$A)-2,1),OFFSET(Curvas_cupon_cero!$A$1,1,MATCH($B$7,Curvas_cupon_cero!$1:$1,0)-1,COUNT(Curvas_cupon_cero!$A:$A)-2,1))))</f>
        <v/>
      </c>
      <c r="D412" s="23" t="str">
        <f ca="1">IF(A412="","",IF($B$8="Sí",interpolar_alamb(H412,OFFSET(Curvas_cupon_cero!$A$1,1,0,COUNT(Curvas_cupon_cero!$A:$A)-2,1),OFFSET(Curvas_cupon_cero!$A$1,1,MATCH($B$7,Curvas_cupon_cero!$1:$1,0)-1,COUNT(Curvas_cupon_cero!$A:$A)-2,1)),[1]!interpolar(H412,OFFSET(Curvas_cupon_cero!$A$1,1,0,COUNT(Curvas_cupon_cero!$A:$A)-2,1),OFFSET(Curvas_cupon_cero!$A$1,1,MATCH($B$7,Curvas_cupon_cero!$1:$1,0)-1,COUNT(Curvas_cupon_cero!$A:$A)-2,1))))</f>
        <v/>
      </c>
      <c r="E412" s="23" t="str">
        <f t="shared" si="40"/>
        <v/>
      </c>
      <c r="F412" s="17" t="str">
        <f t="shared" si="38"/>
        <v/>
      </c>
      <c r="G412" s="18" t="str">
        <f t="shared" si="41"/>
        <v/>
      </c>
      <c r="H412" t="str">
        <f t="shared" si="42"/>
        <v/>
      </c>
      <c r="I412" s="23" t="str">
        <f ca="1">IF(A412="","",IF($B$8="Sí",interpolar_alamb(H412,OFFSET(Curvas_cupon_cero!$A$1,1,0,COUNT(Curvas_cupon_cero!$A:$A)-2,1),OFFSET(Curvas_cupon_cero!$A$1,1,MATCH($B$6,Curvas_cupon_cero!$1:$1,0)-1,COUNT(Curvas_cupon_cero!$A:$A)-2,1)),[1]!interpolar(H412,OFFSET(Curvas_cupon_cero!$A$1,1,0,COUNT(Curvas_cupon_cero!$A:$A)-2,1),OFFSET(Curvas_cupon_cero!$A$1,1,MATCH($B$6,Curvas_cupon_cero!$1:$1,0)-1,COUNT(Curvas_cupon_cero!$A:$A)-2,1))))</f>
        <v/>
      </c>
      <c r="J412" s="19" t="str">
        <f>IF(A412="","",F412/(1+I412*$B$5/360)^(COUNT(A$16:A412)-($B$5-$G$16)/$B$5))</f>
        <v/>
      </c>
    </row>
    <row r="413" spans="1:10" x14ac:dyDescent="0.2">
      <c r="A413" s="12" t="str">
        <f t="shared" si="39"/>
        <v/>
      </c>
      <c r="B413" t="str">
        <f t="shared" si="37"/>
        <v/>
      </c>
      <c r="C413" s="21" t="str">
        <f ca="1">IF(A413="","",IF($B$8="Sí",interpolar_alamb(B413,OFFSET(Curvas_cupon_cero!$A$1,1,0,COUNT(Curvas_cupon_cero!$A:$A)-2,1),OFFSET(Curvas_cupon_cero!$A$1,1,MATCH($B$7,Curvas_cupon_cero!$1:$1,0)-1,COUNT(Curvas_cupon_cero!$A:$A)-2,1)),[1]!interpolar(B413,OFFSET(Curvas_cupon_cero!$A$1,1,0,COUNT(Curvas_cupon_cero!$A:$A)-2,1),OFFSET(Curvas_cupon_cero!$A$1,1,MATCH($B$7,Curvas_cupon_cero!$1:$1,0)-1,COUNT(Curvas_cupon_cero!$A:$A)-2,1))))</f>
        <v/>
      </c>
      <c r="D413" s="23" t="str">
        <f ca="1">IF(A413="","",IF($B$8="Sí",interpolar_alamb(H413,OFFSET(Curvas_cupon_cero!$A$1,1,0,COUNT(Curvas_cupon_cero!$A:$A)-2,1),OFFSET(Curvas_cupon_cero!$A$1,1,MATCH($B$7,Curvas_cupon_cero!$1:$1,0)-1,COUNT(Curvas_cupon_cero!$A:$A)-2,1)),[1]!interpolar(H413,OFFSET(Curvas_cupon_cero!$A$1,1,0,COUNT(Curvas_cupon_cero!$A:$A)-2,1),OFFSET(Curvas_cupon_cero!$A$1,1,MATCH($B$7,Curvas_cupon_cero!$1:$1,0)-1,COUNT(Curvas_cupon_cero!$A:$A)-2,1))))</f>
        <v/>
      </c>
      <c r="E413" s="23" t="str">
        <f t="shared" si="40"/>
        <v/>
      </c>
      <c r="F413" s="17" t="str">
        <f t="shared" si="38"/>
        <v/>
      </c>
      <c r="G413" s="18" t="str">
        <f t="shared" si="41"/>
        <v/>
      </c>
      <c r="H413" t="str">
        <f t="shared" si="42"/>
        <v/>
      </c>
      <c r="I413" s="23" t="str">
        <f ca="1">IF(A413="","",IF($B$8="Sí",interpolar_alamb(H413,OFFSET(Curvas_cupon_cero!$A$1,1,0,COUNT(Curvas_cupon_cero!$A:$A)-2,1),OFFSET(Curvas_cupon_cero!$A$1,1,MATCH($B$6,Curvas_cupon_cero!$1:$1,0)-1,COUNT(Curvas_cupon_cero!$A:$A)-2,1)),[1]!interpolar(H413,OFFSET(Curvas_cupon_cero!$A$1,1,0,COUNT(Curvas_cupon_cero!$A:$A)-2,1),OFFSET(Curvas_cupon_cero!$A$1,1,MATCH($B$6,Curvas_cupon_cero!$1:$1,0)-1,COUNT(Curvas_cupon_cero!$A:$A)-2,1))))</f>
        <v/>
      </c>
      <c r="J413" s="19" t="str">
        <f>IF(A413="","",F413/(1+I413*$B$5/360)^(COUNT(A$16:A413)-($B$5-$G$16)/$B$5))</f>
        <v/>
      </c>
    </row>
    <row r="414" spans="1:10" x14ac:dyDescent="0.2">
      <c r="A414" s="12" t="str">
        <f t="shared" si="39"/>
        <v/>
      </c>
      <c r="B414" t="str">
        <f t="shared" si="37"/>
        <v/>
      </c>
      <c r="C414" s="21" t="str">
        <f ca="1">IF(A414="","",IF($B$8="Sí",interpolar_alamb(B414,OFFSET(Curvas_cupon_cero!$A$1,1,0,COUNT(Curvas_cupon_cero!$A:$A)-2,1),OFFSET(Curvas_cupon_cero!$A$1,1,MATCH($B$7,Curvas_cupon_cero!$1:$1,0)-1,COUNT(Curvas_cupon_cero!$A:$A)-2,1)),[1]!interpolar(B414,OFFSET(Curvas_cupon_cero!$A$1,1,0,COUNT(Curvas_cupon_cero!$A:$A)-2,1),OFFSET(Curvas_cupon_cero!$A$1,1,MATCH($B$7,Curvas_cupon_cero!$1:$1,0)-1,COUNT(Curvas_cupon_cero!$A:$A)-2,1))))</f>
        <v/>
      </c>
      <c r="D414" s="23" t="str">
        <f ca="1">IF(A414="","",IF($B$8="Sí",interpolar_alamb(H414,OFFSET(Curvas_cupon_cero!$A$1,1,0,COUNT(Curvas_cupon_cero!$A:$A)-2,1),OFFSET(Curvas_cupon_cero!$A$1,1,MATCH($B$7,Curvas_cupon_cero!$1:$1,0)-1,COUNT(Curvas_cupon_cero!$A:$A)-2,1)),[1]!interpolar(H414,OFFSET(Curvas_cupon_cero!$A$1,1,0,COUNT(Curvas_cupon_cero!$A:$A)-2,1),OFFSET(Curvas_cupon_cero!$A$1,1,MATCH($B$7,Curvas_cupon_cero!$1:$1,0)-1,COUNT(Curvas_cupon_cero!$A:$A)-2,1))))</f>
        <v/>
      </c>
      <c r="E414" s="23" t="str">
        <f t="shared" si="40"/>
        <v/>
      </c>
      <c r="F414" s="17" t="str">
        <f t="shared" si="38"/>
        <v/>
      </c>
      <c r="G414" s="18" t="str">
        <f t="shared" si="41"/>
        <v/>
      </c>
      <c r="H414" t="str">
        <f t="shared" si="42"/>
        <v/>
      </c>
      <c r="I414" s="23" t="str">
        <f ca="1">IF(A414="","",IF($B$8="Sí",interpolar_alamb(H414,OFFSET(Curvas_cupon_cero!$A$1,1,0,COUNT(Curvas_cupon_cero!$A:$A)-2,1),OFFSET(Curvas_cupon_cero!$A$1,1,MATCH($B$6,Curvas_cupon_cero!$1:$1,0)-1,COUNT(Curvas_cupon_cero!$A:$A)-2,1)),[1]!interpolar(H414,OFFSET(Curvas_cupon_cero!$A$1,1,0,COUNT(Curvas_cupon_cero!$A:$A)-2,1),OFFSET(Curvas_cupon_cero!$A$1,1,MATCH($B$6,Curvas_cupon_cero!$1:$1,0)-1,COUNT(Curvas_cupon_cero!$A:$A)-2,1))))</f>
        <v/>
      </c>
      <c r="J414" s="19" t="str">
        <f>IF(A414="","",F414/(1+I414*$B$5/360)^(COUNT(A$16:A414)-($B$5-$G$16)/$B$5))</f>
        <v/>
      </c>
    </row>
    <row r="415" spans="1:10" x14ac:dyDescent="0.2">
      <c r="A415" s="12" t="str">
        <f t="shared" si="39"/>
        <v/>
      </c>
      <c r="B415" t="str">
        <f t="shared" si="37"/>
        <v/>
      </c>
      <c r="C415" s="21" t="str">
        <f ca="1">IF(A415="","",IF($B$8="Sí",interpolar_alamb(B415,OFFSET(Curvas_cupon_cero!$A$1,1,0,COUNT(Curvas_cupon_cero!$A:$A)-2,1),OFFSET(Curvas_cupon_cero!$A$1,1,MATCH($B$7,Curvas_cupon_cero!$1:$1,0)-1,COUNT(Curvas_cupon_cero!$A:$A)-2,1)),[1]!interpolar(B415,OFFSET(Curvas_cupon_cero!$A$1,1,0,COUNT(Curvas_cupon_cero!$A:$A)-2,1),OFFSET(Curvas_cupon_cero!$A$1,1,MATCH($B$7,Curvas_cupon_cero!$1:$1,0)-1,COUNT(Curvas_cupon_cero!$A:$A)-2,1))))</f>
        <v/>
      </c>
      <c r="D415" s="23" t="str">
        <f ca="1">IF(A415="","",IF($B$8="Sí",interpolar_alamb(H415,OFFSET(Curvas_cupon_cero!$A$1,1,0,COUNT(Curvas_cupon_cero!$A:$A)-2,1),OFFSET(Curvas_cupon_cero!$A$1,1,MATCH($B$7,Curvas_cupon_cero!$1:$1,0)-1,COUNT(Curvas_cupon_cero!$A:$A)-2,1)),[1]!interpolar(H415,OFFSET(Curvas_cupon_cero!$A$1,1,0,COUNT(Curvas_cupon_cero!$A:$A)-2,1),OFFSET(Curvas_cupon_cero!$A$1,1,MATCH($B$7,Curvas_cupon_cero!$1:$1,0)-1,COUNT(Curvas_cupon_cero!$A:$A)-2,1))))</f>
        <v/>
      </c>
      <c r="E415" s="23" t="str">
        <f t="shared" si="40"/>
        <v/>
      </c>
      <c r="F415" s="17" t="str">
        <f t="shared" si="38"/>
        <v/>
      </c>
      <c r="G415" s="18" t="str">
        <f t="shared" si="41"/>
        <v/>
      </c>
      <c r="H415" t="str">
        <f t="shared" si="42"/>
        <v/>
      </c>
      <c r="I415" s="23" t="str">
        <f ca="1">IF(A415="","",IF($B$8="Sí",interpolar_alamb(H415,OFFSET(Curvas_cupon_cero!$A$1,1,0,COUNT(Curvas_cupon_cero!$A:$A)-2,1),OFFSET(Curvas_cupon_cero!$A$1,1,MATCH($B$6,Curvas_cupon_cero!$1:$1,0)-1,COUNT(Curvas_cupon_cero!$A:$A)-2,1)),[1]!interpolar(H415,OFFSET(Curvas_cupon_cero!$A$1,1,0,COUNT(Curvas_cupon_cero!$A:$A)-2,1),OFFSET(Curvas_cupon_cero!$A$1,1,MATCH($B$6,Curvas_cupon_cero!$1:$1,0)-1,COUNT(Curvas_cupon_cero!$A:$A)-2,1))))</f>
        <v/>
      </c>
      <c r="J415" s="19" t="str">
        <f>IF(A415="","",F415/(1+I415*$B$5/360)^(COUNT(A$16:A415)-($B$5-$G$16)/$B$5))</f>
        <v/>
      </c>
    </row>
    <row r="416" spans="1:10" x14ac:dyDescent="0.2">
      <c r="A416" s="12" t="str">
        <f t="shared" si="39"/>
        <v/>
      </c>
      <c r="B416" t="str">
        <f t="shared" si="37"/>
        <v/>
      </c>
      <c r="C416" s="21" t="str">
        <f ca="1">IF(A416="","",IF($B$8="Sí",interpolar_alamb(B416,OFFSET(Curvas_cupon_cero!$A$1,1,0,COUNT(Curvas_cupon_cero!$A:$A)-2,1),OFFSET(Curvas_cupon_cero!$A$1,1,MATCH($B$7,Curvas_cupon_cero!$1:$1,0)-1,COUNT(Curvas_cupon_cero!$A:$A)-2,1)),[1]!interpolar(B416,OFFSET(Curvas_cupon_cero!$A$1,1,0,COUNT(Curvas_cupon_cero!$A:$A)-2,1),OFFSET(Curvas_cupon_cero!$A$1,1,MATCH($B$7,Curvas_cupon_cero!$1:$1,0)-1,COUNT(Curvas_cupon_cero!$A:$A)-2,1))))</f>
        <v/>
      </c>
      <c r="D416" s="23" t="str">
        <f ca="1">IF(A416="","",IF($B$8="Sí",interpolar_alamb(H416,OFFSET(Curvas_cupon_cero!$A$1,1,0,COUNT(Curvas_cupon_cero!$A:$A)-2,1),OFFSET(Curvas_cupon_cero!$A$1,1,MATCH($B$7,Curvas_cupon_cero!$1:$1,0)-1,COUNT(Curvas_cupon_cero!$A:$A)-2,1)),[1]!interpolar(H416,OFFSET(Curvas_cupon_cero!$A$1,1,0,COUNT(Curvas_cupon_cero!$A:$A)-2,1),OFFSET(Curvas_cupon_cero!$A$1,1,MATCH($B$7,Curvas_cupon_cero!$1:$1,0)-1,COUNT(Curvas_cupon_cero!$A:$A)-2,1))))</f>
        <v/>
      </c>
      <c r="E416" s="23" t="str">
        <f t="shared" si="40"/>
        <v/>
      </c>
      <c r="F416" s="17" t="str">
        <f t="shared" si="38"/>
        <v/>
      </c>
      <c r="G416" s="18" t="str">
        <f t="shared" si="41"/>
        <v/>
      </c>
      <c r="H416" t="str">
        <f t="shared" si="42"/>
        <v/>
      </c>
      <c r="I416" s="23" t="str">
        <f ca="1">IF(A416="","",IF($B$8="Sí",interpolar_alamb(H416,OFFSET(Curvas_cupon_cero!$A$1,1,0,COUNT(Curvas_cupon_cero!$A:$A)-2,1),OFFSET(Curvas_cupon_cero!$A$1,1,MATCH($B$6,Curvas_cupon_cero!$1:$1,0)-1,COUNT(Curvas_cupon_cero!$A:$A)-2,1)),[1]!interpolar(H416,OFFSET(Curvas_cupon_cero!$A$1,1,0,COUNT(Curvas_cupon_cero!$A:$A)-2,1),OFFSET(Curvas_cupon_cero!$A$1,1,MATCH($B$6,Curvas_cupon_cero!$1:$1,0)-1,COUNT(Curvas_cupon_cero!$A:$A)-2,1))))</f>
        <v/>
      </c>
      <c r="J416" s="19" t="str">
        <f>IF(A416="","",F416/(1+I416*$B$5/360)^(COUNT(A$16:A416)-($B$5-$G$16)/$B$5))</f>
        <v/>
      </c>
    </row>
    <row r="417" spans="1:10" x14ac:dyDescent="0.2">
      <c r="A417" s="12" t="str">
        <f t="shared" si="39"/>
        <v/>
      </c>
      <c r="B417" t="str">
        <f t="shared" si="37"/>
        <v/>
      </c>
      <c r="C417" s="21" t="str">
        <f ca="1">IF(A417="","",IF($B$8="Sí",interpolar_alamb(B417,OFFSET(Curvas_cupon_cero!$A$1,1,0,COUNT(Curvas_cupon_cero!$A:$A)-2,1),OFFSET(Curvas_cupon_cero!$A$1,1,MATCH($B$7,Curvas_cupon_cero!$1:$1,0)-1,COUNT(Curvas_cupon_cero!$A:$A)-2,1)),[1]!interpolar(B417,OFFSET(Curvas_cupon_cero!$A$1,1,0,COUNT(Curvas_cupon_cero!$A:$A)-2,1),OFFSET(Curvas_cupon_cero!$A$1,1,MATCH($B$7,Curvas_cupon_cero!$1:$1,0)-1,COUNT(Curvas_cupon_cero!$A:$A)-2,1))))</f>
        <v/>
      </c>
      <c r="D417" s="23" t="str">
        <f ca="1">IF(A417="","",IF($B$8="Sí",interpolar_alamb(H417,OFFSET(Curvas_cupon_cero!$A$1,1,0,COUNT(Curvas_cupon_cero!$A:$A)-2,1),OFFSET(Curvas_cupon_cero!$A$1,1,MATCH($B$7,Curvas_cupon_cero!$1:$1,0)-1,COUNT(Curvas_cupon_cero!$A:$A)-2,1)),[1]!interpolar(H417,OFFSET(Curvas_cupon_cero!$A$1,1,0,COUNT(Curvas_cupon_cero!$A:$A)-2,1),OFFSET(Curvas_cupon_cero!$A$1,1,MATCH($B$7,Curvas_cupon_cero!$1:$1,0)-1,COUNT(Curvas_cupon_cero!$A:$A)-2,1))))</f>
        <v/>
      </c>
      <c r="E417" s="23" t="str">
        <f t="shared" si="40"/>
        <v/>
      </c>
      <c r="F417" s="17" t="str">
        <f t="shared" si="38"/>
        <v/>
      </c>
      <c r="G417" s="18" t="str">
        <f t="shared" si="41"/>
        <v/>
      </c>
      <c r="H417" t="str">
        <f t="shared" si="42"/>
        <v/>
      </c>
      <c r="I417" s="23" t="str">
        <f ca="1">IF(A417="","",IF($B$8="Sí",interpolar_alamb(H417,OFFSET(Curvas_cupon_cero!$A$1,1,0,COUNT(Curvas_cupon_cero!$A:$A)-2,1),OFFSET(Curvas_cupon_cero!$A$1,1,MATCH($B$6,Curvas_cupon_cero!$1:$1,0)-1,COUNT(Curvas_cupon_cero!$A:$A)-2,1)),[1]!interpolar(H417,OFFSET(Curvas_cupon_cero!$A$1,1,0,COUNT(Curvas_cupon_cero!$A:$A)-2,1),OFFSET(Curvas_cupon_cero!$A$1,1,MATCH($B$6,Curvas_cupon_cero!$1:$1,0)-1,COUNT(Curvas_cupon_cero!$A:$A)-2,1))))</f>
        <v/>
      </c>
      <c r="J417" s="19" t="str">
        <f>IF(A417="","",F417/(1+I417*$B$5/360)^(COUNT(A$16:A417)-($B$5-$G$16)/$B$5))</f>
        <v/>
      </c>
    </row>
    <row r="418" spans="1:10" x14ac:dyDescent="0.2">
      <c r="A418" s="12" t="str">
        <f t="shared" si="39"/>
        <v/>
      </c>
      <c r="B418" t="str">
        <f t="shared" si="37"/>
        <v/>
      </c>
      <c r="C418" s="21" t="str">
        <f ca="1">IF(A418="","",IF($B$8="Sí",interpolar_alamb(B418,OFFSET(Curvas_cupon_cero!$A$1,1,0,COUNT(Curvas_cupon_cero!$A:$A)-2,1),OFFSET(Curvas_cupon_cero!$A$1,1,MATCH($B$7,Curvas_cupon_cero!$1:$1,0)-1,COUNT(Curvas_cupon_cero!$A:$A)-2,1)),[1]!interpolar(B418,OFFSET(Curvas_cupon_cero!$A$1,1,0,COUNT(Curvas_cupon_cero!$A:$A)-2,1),OFFSET(Curvas_cupon_cero!$A$1,1,MATCH($B$7,Curvas_cupon_cero!$1:$1,0)-1,COUNT(Curvas_cupon_cero!$A:$A)-2,1))))</f>
        <v/>
      </c>
      <c r="D418" s="23" t="str">
        <f ca="1">IF(A418="","",IF($B$8="Sí",interpolar_alamb(H418,OFFSET(Curvas_cupon_cero!$A$1,1,0,COUNT(Curvas_cupon_cero!$A:$A)-2,1),OFFSET(Curvas_cupon_cero!$A$1,1,MATCH($B$7,Curvas_cupon_cero!$1:$1,0)-1,COUNT(Curvas_cupon_cero!$A:$A)-2,1)),[1]!interpolar(H418,OFFSET(Curvas_cupon_cero!$A$1,1,0,COUNT(Curvas_cupon_cero!$A:$A)-2,1),OFFSET(Curvas_cupon_cero!$A$1,1,MATCH($B$7,Curvas_cupon_cero!$1:$1,0)-1,COUNT(Curvas_cupon_cero!$A:$A)-2,1))))</f>
        <v/>
      </c>
      <c r="E418" s="23" t="str">
        <f t="shared" si="40"/>
        <v/>
      </c>
      <c r="F418" s="17" t="str">
        <f t="shared" si="38"/>
        <v/>
      </c>
      <c r="G418" s="18" t="str">
        <f t="shared" si="41"/>
        <v/>
      </c>
      <c r="H418" t="str">
        <f t="shared" si="42"/>
        <v/>
      </c>
      <c r="I418" s="23" t="str">
        <f ca="1">IF(A418="","",IF($B$8="Sí",interpolar_alamb(H418,OFFSET(Curvas_cupon_cero!$A$1,1,0,COUNT(Curvas_cupon_cero!$A:$A)-2,1),OFFSET(Curvas_cupon_cero!$A$1,1,MATCH($B$6,Curvas_cupon_cero!$1:$1,0)-1,COUNT(Curvas_cupon_cero!$A:$A)-2,1)),[1]!interpolar(H418,OFFSET(Curvas_cupon_cero!$A$1,1,0,COUNT(Curvas_cupon_cero!$A:$A)-2,1),OFFSET(Curvas_cupon_cero!$A$1,1,MATCH($B$6,Curvas_cupon_cero!$1:$1,0)-1,COUNT(Curvas_cupon_cero!$A:$A)-2,1))))</f>
        <v/>
      </c>
      <c r="J418" s="19" t="str">
        <f>IF(A418="","",F418/(1+I418*$B$5/360)^(COUNT(A$16:A418)-($B$5-$G$16)/$B$5))</f>
        <v/>
      </c>
    </row>
    <row r="419" spans="1:10" x14ac:dyDescent="0.2">
      <c r="A419" s="12" t="str">
        <f t="shared" si="39"/>
        <v/>
      </c>
      <c r="B419" t="str">
        <f t="shared" si="37"/>
        <v/>
      </c>
      <c r="C419" s="21" t="str">
        <f ca="1">IF(A419="","",IF($B$8="Sí",interpolar_alamb(B419,OFFSET(Curvas_cupon_cero!$A$1,1,0,COUNT(Curvas_cupon_cero!$A:$A)-2,1),OFFSET(Curvas_cupon_cero!$A$1,1,MATCH($B$7,Curvas_cupon_cero!$1:$1,0)-1,COUNT(Curvas_cupon_cero!$A:$A)-2,1)),[1]!interpolar(B419,OFFSET(Curvas_cupon_cero!$A$1,1,0,COUNT(Curvas_cupon_cero!$A:$A)-2,1),OFFSET(Curvas_cupon_cero!$A$1,1,MATCH($B$7,Curvas_cupon_cero!$1:$1,0)-1,COUNT(Curvas_cupon_cero!$A:$A)-2,1))))</f>
        <v/>
      </c>
      <c r="D419" s="23" t="str">
        <f ca="1">IF(A419="","",IF($B$8="Sí",interpolar_alamb(H419,OFFSET(Curvas_cupon_cero!$A$1,1,0,COUNT(Curvas_cupon_cero!$A:$A)-2,1),OFFSET(Curvas_cupon_cero!$A$1,1,MATCH($B$7,Curvas_cupon_cero!$1:$1,0)-1,COUNT(Curvas_cupon_cero!$A:$A)-2,1)),[1]!interpolar(H419,OFFSET(Curvas_cupon_cero!$A$1,1,0,COUNT(Curvas_cupon_cero!$A:$A)-2,1),OFFSET(Curvas_cupon_cero!$A$1,1,MATCH($B$7,Curvas_cupon_cero!$1:$1,0)-1,COUNT(Curvas_cupon_cero!$A:$A)-2,1))))</f>
        <v/>
      </c>
      <c r="E419" s="23" t="str">
        <f t="shared" si="40"/>
        <v/>
      </c>
      <c r="F419" s="17" t="str">
        <f t="shared" si="38"/>
        <v/>
      </c>
      <c r="G419" s="18" t="str">
        <f t="shared" si="41"/>
        <v/>
      </c>
      <c r="H419" t="str">
        <f t="shared" si="42"/>
        <v/>
      </c>
      <c r="I419" s="23" t="str">
        <f ca="1">IF(A419="","",IF($B$8="Sí",interpolar_alamb(H419,OFFSET(Curvas_cupon_cero!$A$1,1,0,COUNT(Curvas_cupon_cero!$A:$A)-2,1),OFFSET(Curvas_cupon_cero!$A$1,1,MATCH($B$6,Curvas_cupon_cero!$1:$1,0)-1,COUNT(Curvas_cupon_cero!$A:$A)-2,1)),[1]!interpolar(H419,OFFSET(Curvas_cupon_cero!$A$1,1,0,COUNT(Curvas_cupon_cero!$A:$A)-2,1),OFFSET(Curvas_cupon_cero!$A$1,1,MATCH($B$6,Curvas_cupon_cero!$1:$1,0)-1,COUNT(Curvas_cupon_cero!$A:$A)-2,1))))</f>
        <v/>
      </c>
      <c r="J419" s="19" t="str">
        <f>IF(A419="","",F419/(1+I419*$B$5/360)^(COUNT(A$16:A419)-($B$5-$G$16)/$B$5))</f>
        <v/>
      </c>
    </row>
    <row r="420" spans="1:10" x14ac:dyDescent="0.2">
      <c r="A420" s="12" t="str">
        <f t="shared" si="39"/>
        <v/>
      </c>
      <c r="B420" t="str">
        <f t="shared" si="37"/>
        <v/>
      </c>
      <c r="C420" s="21" t="str">
        <f ca="1">IF(A420="","",IF($B$8="Sí",interpolar_alamb(B420,OFFSET(Curvas_cupon_cero!$A$1,1,0,COUNT(Curvas_cupon_cero!$A:$A)-2,1),OFFSET(Curvas_cupon_cero!$A$1,1,MATCH($B$7,Curvas_cupon_cero!$1:$1,0)-1,COUNT(Curvas_cupon_cero!$A:$A)-2,1)),[1]!interpolar(B420,OFFSET(Curvas_cupon_cero!$A$1,1,0,COUNT(Curvas_cupon_cero!$A:$A)-2,1),OFFSET(Curvas_cupon_cero!$A$1,1,MATCH($B$7,Curvas_cupon_cero!$1:$1,0)-1,COUNT(Curvas_cupon_cero!$A:$A)-2,1))))</f>
        <v/>
      </c>
      <c r="D420" s="23" t="str">
        <f ca="1">IF(A420="","",IF($B$8="Sí",interpolar_alamb(H420,OFFSET(Curvas_cupon_cero!$A$1,1,0,COUNT(Curvas_cupon_cero!$A:$A)-2,1),OFFSET(Curvas_cupon_cero!$A$1,1,MATCH($B$7,Curvas_cupon_cero!$1:$1,0)-1,COUNT(Curvas_cupon_cero!$A:$A)-2,1)),[1]!interpolar(H420,OFFSET(Curvas_cupon_cero!$A$1,1,0,COUNT(Curvas_cupon_cero!$A:$A)-2,1),OFFSET(Curvas_cupon_cero!$A$1,1,MATCH($B$7,Curvas_cupon_cero!$1:$1,0)-1,COUNT(Curvas_cupon_cero!$A:$A)-2,1))))</f>
        <v/>
      </c>
      <c r="E420" s="23" t="str">
        <f t="shared" si="40"/>
        <v/>
      </c>
      <c r="F420" s="17" t="str">
        <f t="shared" si="38"/>
        <v/>
      </c>
      <c r="G420" s="18" t="str">
        <f t="shared" si="41"/>
        <v/>
      </c>
      <c r="H420" t="str">
        <f t="shared" si="42"/>
        <v/>
      </c>
      <c r="I420" s="23" t="str">
        <f ca="1">IF(A420="","",IF($B$8="Sí",interpolar_alamb(H420,OFFSET(Curvas_cupon_cero!$A$1,1,0,COUNT(Curvas_cupon_cero!$A:$A)-2,1),OFFSET(Curvas_cupon_cero!$A$1,1,MATCH($B$6,Curvas_cupon_cero!$1:$1,0)-1,COUNT(Curvas_cupon_cero!$A:$A)-2,1)),[1]!interpolar(H420,OFFSET(Curvas_cupon_cero!$A$1,1,0,COUNT(Curvas_cupon_cero!$A:$A)-2,1),OFFSET(Curvas_cupon_cero!$A$1,1,MATCH($B$6,Curvas_cupon_cero!$1:$1,0)-1,COUNT(Curvas_cupon_cero!$A:$A)-2,1))))</f>
        <v/>
      </c>
      <c r="J420" s="19" t="str">
        <f>IF(A420="","",F420/(1+I420*$B$5/360)^(COUNT(A$16:A420)-($B$5-$G$16)/$B$5))</f>
        <v/>
      </c>
    </row>
    <row r="421" spans="1:10" x14ac:dyDescent="0.2">
      <c r="A421" s="12" t="str">
        <f t="shared" si="39"/>
        <v/>
      </c>
      <c r="B421" t="str">
        <f t="shared" si="37"/>
        <v/>
      </c>
      <c r="C421" s="21" t="str">
        <f ca="1">IF(A421="","",IF($B$8="Sí",interpolar_alamb(B421,OFFSET(Curvas_cupon_cero!$A$1,1,0,COUNT(Curvas_cupon_cero!$A:$A)-2,1),OFFSET(Curvas_cupon_cero!$A$1,1,MATCH($B$7,Curvas_cupon_cero!$1:$1,0)-1,COUNT(Curvas_cupon_cero!$A:$A)-2,1)),[1]!interpolar(B421,OFFSET(Curvas_cupon_cero!$A$1,1,0,COUNT(Curvas_cupon_cero!$A:$A)-2,1),OFFSET(Curvas_cupon_cero!$A$1,1,MATCH($B$7,Curvas_cupon_cero!$1:$1,0)-1,COUNT(Curvas_cupon_cero!$A:$A)-2,1))))</f>
        <v/>
      </c>
      <c r="D421" s="23" t="str">
        <f ca="1">IF(A421="","",IF($B$8="Sí",interpolar_alamb(H421,OFFSET(Curvas_cupon_cero!$A$1,1,0,COUNT(Curvas_cupon_cero!$A:$A)-2,1),OFFSET(Curvas_cupon_cero!$A$1,1,MATCH($B$7,Curvas_cupon_cero!$1:$1,0)-1,COUNT(Curvas_cupon_cero!$A:$A)-2,1)),[1]!interpolar(H421,OFFSET(Curvas_cupon_cero!$A$1,1,0,COUNT(Curvas_cupon_cero!$A:$A)-2,1),OFFSET(Curvas_cupon_cero!$A$1,1,MATCH($B$7,Curvas_cupon_cero!$1:$1,0)-1,COUNT(Curvas_cupon_cero!$A:$A)-2,1))))</f>
        <v/>
      </c>
      <c r="E421" s="23" t="str">
        <f t="shared" si="40"/>
        <v/>
      </c>
      <c r="F421" s="17" t="str">
        <f t="shared" si="38"/>
        <v/>
      </c>
      <c r="G421" s="18" t="str">
        <f t="shared" si="41"/>
        <v/>
      </c>
      <c r="H421" t="str">
        <f t="shared" si="42"/>
        <v/>
      </c>
      <c r="I421" s="23" t="str">
        <f ca="1">IF(A421="","",IF($B$8="Sí",interpolar_alamb(H421,OFFSET(Curvas_cupon_cero!$A$1,1,0,COUNT(Curvas_cupon_cero!$A:$A)-2,1),OFFSET(Curvas_cupon_cero!$A$1,1,MATCH($B$6,Curvas_cupon_cero!$1:$1,0)-1,COUNT(Curvas_cupon_cero!$A:$A)-2,1)),[1]!interpolar(H421,OFFSET(Curvas_cupon_cero!$A$1,1,0,COUNT(Curvas_cupon_cero!$A:$A)-2,1),OFFSET(Curvas_cupon_cero!$A$1,1,MATCH($B$6,Curvas_cupon_cero!$1:$1,0)-1,COUNT(Curvas_cupon_cero!$A:$A)-2,1))))</f>
        <v/>
      </c>
      <c r="J421" s="19" t="str">
        <f>IF(A421="","",F421/(1+I421*$B$5/360)^(COUNT(A$16:A421)-($B$5-$G$16)/$B$5))</f>
        <v/>
      </c>
    </row>
    <row r="422" spans="1:10" x14ac:dyDescent="0.2">
      <c r="A422" s="12" t="str">
        <f t="shared" si="39"/>
        <v/>
      </c>
      <c r="B422" t="str">
        <f t="shared" si="37"/>
        <v/>
      </c>
      <c r="C422" s="21" t="str">
        <f ca="1">IF(A422="","",IF($B$8="Sí",interpolar_alamb(B422,OFFSET(Curvas_cupon_cero!$A$1,1,0,COUNT(Curvas_cupon_cero!$A:$A)-2,1),OFFSET(Curvas_cupon_cero!$A$1,1,MATCH($B$7,Curvas_cupon_cero!$1:$1,0)-1,COUNT(Curvas_cupon_cero!$A:$A)-2,1)),[1]!interpolar(B422,OFFSET(Curvas_cupon_cero!$A$1,1,0,COUNT(Curvas_cupon_cero!$A:$A)-2,1),OFFSET(Curvas_cupon_cero!$A$1,1,MATCH($B$7,Curvas_cupon_cero!$1:$1,0)-1,COUNT(Curvas_cupon_cero!$A:$A)-2,1))))</f>
        <v/>
      </c>
      <c r="D422" s="23" t="str">
        <f ca="1">IF(A422="","",IF($B$8="Sí",interpolar_alamb(H422,OFFSET(Curvas_cupon_cero!$A$1,1,0,COUNT(Curvas_cupon_cero!$A:$A)-2,1),OFFSET(Curvas_cupon_cero!$A$1,1,MATCH($B$7,Curvas_cupon_cero!$1:$1,0)-1,COUNT(Curvas_cupon_cero!$A:$A)-2,1)),[1]!interpolar(H422,OFFSET(Curvas_cupon_cero!$A$1,1,0,COUNT(Curvas_cupon_cero!$A:$A)-2,1),OFFSET(Curvas_cupon_cero!$A$1,1,MATCH($B$7,Curvas_cupon_cero!$1:$1,0)-1,COUNT(Curvas_cupon_cero!$A:$A)-2,1))))</f>
        <v/>
      </c>
      <c r="E422" s="23" t="str">
        <f t="shared" si="40"/>
        <v/>
      </c>
      <c r="F422" s="17" t="str">
        <f t="shared" si="38"/>
        <v/>
      </c>
      <c r="G422" s="18" t="str">
        <f t="shared" si="41"/>
        <v/>
      </c>
      <c r="H422" t="str">
        <f t="shared" si="42"/>
        <v/>
      </c>
      <c r="I422" s="23" t="str">
        <f ca="1">IF(A422="","",IF($B$8="Sí",interpolar_alamb(H422,OFFSET(Curvas_cupon_cero!$A$1,1,0,COUNT(Curvas_cupon_cero!$A:$A)-2,1),OFFSET(Curvas_cupon_cero!$A$1,1,MATCH($B$6,Curvas_cupon_cero!$1:$1,0)-1,COUNT(Curvas_cupon_cero!$A:$A)-2,1)),[1]!interpolar(H422,OFFSET(Curvas_cupon_cero!$A$1,1,0,COUNT(Curvas_cupon_cero!$A:$A)-2,1),OFFSET(Curvas_cupon_cero!$A$1,1,MATCH($B$6,Curvas_cupon_cero!$1:$1,0)-1,COUNT(Curvas_cupon_cero!$A:$A)-2,1))))</f>
        <v/>
      </c>
      <c r="J422" s="19" t="str">
        <f>IF(A422="","",F422/(1+I422*$B$5/360)^(COUNT(A$16:A422)-($B$5-$G$16)/$B$5))</f>
        <v/>
      </c>
    </row>
    <row r="423" spans="1:10" x14ac:dyDescent="0.2">
      <c r="A423" s="12" t="str">
        <f t="shared" si="39"/>
        <v/>
      </c>
      <c r="B423" t="str">
        <f t="shared" si="37"/>
        <v/>
      </c>
      <c r="C423" s="21" t="str">
        <f ca="1">IF(A423="","",IF($B$8="Sí",interpolar_alamb(B423,OFFSET(Curvas_cupon_cero!$A$1,1,0,COUNT(Curvas_cupon_cero!$A:$A)-2,1),OFFSET(Curvas_cupon_cero!$A$1,1,MATCH($B$7,Curvas_cupon_cero!$1:$1,0)-1,COUNT(Curvas_cupon_cero!$A:$A)-2,1)),[1]!interpolar(B423,OFFSET(Curvas_cupon_cero!$A$1,1,0,COUNT(Curvas_cupon_cero!$A:$A)-2,1),OFFSET(Curvas_cupon_cero!$A$1,1,MATCH($B$7,Curvas_cupon_cero!$1:$1,0)-1,COUNT(Curvas_cupon_cero!$A:$A)-2,1))))</f>
        <v/>
      </c>
      <c r="D423" s="23" t="str">
        <f ca="1">IF(A423="","",IF($B$8="Sí",interpolar_alamb(H423,OFFSET(Curvas_cupon_cero!$A$1,1,0,COUNT(Curvas_cupon_cero!$A:$A)-2,1),OFFSET(Curvas_cupon_cero!$A$1,1,MATCH($B$7,Curvas_cupon_cero!$1:$1,0)-1,COUNT(Curvas_cupon_cero!$A:$A)-2,1)),[1]!interpolar(H423,OFFSET(Curvas_cupon_cero!$A$1,1,0,COUNT(Curvas_cupon_cero!$A:$A)-2,1),OFFSET(Curvas_cupon_cero!$A$1,1,MATCH($B$7,Curvas_cupon_cero!$1:$1,0)-1,COUNT(Curvas_cupon_cero!$A:$A)-2,1))))</f>
        <v/>
      </c>
      <c r="E423" s="23" t="str">
        <f t="shared" si="40"/>
        <v/>
      </c>
      <c r="F423" s="17" t="str">
        <f t="shared" si="38"/>
        <v/>
      </c>
      <c r="G423" s="18" t="str">
        <f t="shared" si="41"/>
        <v/>
      </c>
      <c r="H423" t="str">
        <f t="shared" si="42"/>
        <v/>
      </c>
      <c r="I423" s="23" t="str">
        <f ca="1">IF(A423="","",IF($B$8="Sí",interpolar_alamb(H423,OFFSET(Curvas_cupon_cero!$A$1,1,0,COUNT(Curvas_cupon_cero!$A:$A)-2,1),OFFSET(Curvas_cupon_cero!$A$1,1,MATCH($B$6,Curvas_cupon_cero!$1:$1,0)-1,COUNT(Curvas_cupon_cero!$A:$A)-2,1)),[1]!interpolar(H423,OFFSET(Curvas_cupon_cero!$A$1,1,0,COUNT(Curvas_cupon_cero!$A:$A)-2,1),OFFSET(Curvas_cupon_cero!$A$1,1,MATCH($B$6,Curvas_cupon_cero!$1:$1,0)-1,COUNT(Curvas_cupon_cero!$A:$A)-2,1))))</f>
        <v/>
      </c>
      <c r="J423" s="19" t="str">
        <f>IF(A423="","",F423/(1+I423*$B$5/360)^(COUNT(A$16:A423)-($B$5-$G$16)/$B$5))</f>
        <v/>
      </c>
    </row>
    <row r="424" spans="1:10" x14ac:dyDescent="0.2">
      <c r="A424" s="12" t="str">
        <f t="shared" si="39"/>
        <v/>
      </c>
      <c r="B424" t="str">
        <f t="shared" si="37"/>
        <v/>
      </c>
      <c r="C424" s="21" t="str">
        <f ca="1">IF(A424="","",IF($B$8="Sí",interpolar_alamb(B424,OFFSET(Curvas_cupon_cero!$A$1,1,0,COUNT(Curvas_cupon_cero!$A:$A)-2,1),OFFSET(Curvas_cupon_cero!$A$1,1,MATCH($B$7,Curvas_cupon_cero!$1:$1,0)-1,COUNT(Curvas_cupon_cero!$A:$A)-2,1)),[1]!interpolar(B424,OFFSET(Curvas_cupon_cero!$A$1,1,0,COUNT(Curvas_cupon_cero!$A:$A)-2,1),OFFSET(Curvas_cupon_cero!$A$1,1,MATCH($B$7,Curvas_cupon_cero!$1:$1,0)-1,COUNT(Curvas_cupon_cero!$A:$A)-2,1))))</f>
        <v/>
      </c>
      <c r="D424" s="23" t="str">
        <f ca="1">IF(A424="","",IF($B$8="Sí",interpolar_alamb(H424,OFFSET(Curvas_cupon_cero!$A$1,1,0,COUNT(Curvas_cupon_cero!$A:$A)-2,1),OFFSET(Curvas_cupon_cero!$A$1,1,MATCH($B$7,Curvas_cupon_cero!$1:$1,0)-1,COUNT(Curvas_cupon_cero!$A:$A)-2,1)),[1]!interpolar(H424,OFFSET(Curvas_cupon_cero!$A$1,1,0,COUNT(Curvas_cupon_cero!$A:$A)-2,1),OFFSET(Curvas_cupon_cero!$A$1,1,MATCH($B$7,Curvas_cupon_cero!$1:$1,0)-1,COUNT(Curvas_cupon_cero!$A:$A)-2,1))))</f>
        <v/>
      </c>
      <c r="E424" s="23" t="str">
        <f t="shared" si="40"/>
        <v/>
      </c>
      <c r="F424" s="17" t="str">
        <f t="shared" si="38"/>
        <v/>
      </c>
      <c r="G424" s="18" t="str">
        <f t="shared" si="41"/>
        <v/>
      </c>
      <c r="H424" t="str">
        <f t="shared" si="42"/>
        <v/>
      </c>
      <c r="I424" s="23" t="str">
        <f ca="1">IF(A424="","",IF($B$8="Sí",interpolar_alamb(H424,OFFSET(Curvas_cupon_cero!$A$1,1,0,COUNT(Curvas_cupon_cero!$A:$A)-2,1),OFFSET(Curvas_cupon_cero!$A$1,1,MATCH($B$6,Curvas_cupon_cero!$1:$1,0)-1,COUNT(Curvas_cupon_cero!$A:$A)-2,1)),[1]!interpolar(H424,OFFSET(Curvas_cupon_cero!$A$1,1,0,COUNT(Curvas_cupon_cero!$A:$A)-2,1),OFFSET(Curvas_cupon_cero!$A$1,1,MATCH($B$6,Curvas_cupon_cero!$1:$1,0)-1,COUNT(Curvas_cupon_cero!$A:$A)-2,1))))</f>
        <v/>
      </c>
      <c r="J424" s="19" t="str">
        <f>IF(A424="","",F424/(1+I424*$B$5/360)^(COUNT(A$16:A424)-($B$5-$G$16)/$B$5))</f>
        <v/>
      </c>
    </row>
    <row r="425" spans="1:10" x14ac:dyDescent="0.2">
      <c r="A425" s="12" t="str">
        <f t="shared" si="39"/>
        <v/>
      </c>
      <c r="B425" t="str">
        <f t="shared" si="37"/>
        <v/>
      </c>
      <c r="C425" s="21" t="str">
        <f ca="1">IF(A425="","",IF($B$8="Sí",interpolar_alamb(B425,OFFSET(Curvas_cupon_cero!$A$1,1,0,COUNT(Curvas_cupon_cero!$A:$A)-2,1),OFFSET(Curvas_cupon_cero!$A$1,1,MATCH($B$7,Curvas_cupon_cero!$1:$1,0)-1,COUNT(Curvas_cupon_cero!$A:$A)-2,1)),[1]!interpolar(B425,OFFSET(Curvas_cupon_cero!$A$1,1,0,COUNT(Curvas_cupon_cero!$A:$A)-2,1),OFFSET(Curvas_cupon_cero!$A$1,1,MATCH($B$7,Curvas_cupon_cero!$1:$1,0)-1,COUNT(Curvas_cupon_cero!$A:$A)-2,1))))</f>
        <v/>
      </c>
      <c r="D425" s="23" t="str">
        <f ca="1">IF(A425="","",IF($B$8="Sí",interpolar_alamb(H425,OFFSET(Curvas_cupon_cero!$A$1,1,0,COUNT(Curvas_cupon_cero!$A:$A)-2,1),OFFSET(Curvas_cupon_cero!$A$1,1,MATCH($B$7,Curvas_cupon_cero!$1:$1,0)-1,COUNT(Curvas_cupon_cero!$A:$A)-2,1)),[1]!interpolar(H425,OFFSET(Curvas_cupon_cero!$A$1,1,0,COUNT(Curvas_cupon_cero!$A:$A)-2,1),OFFSET(Curvas_cupon_cero!$A$1,1,MATCH($B$7,Curvas_cupon_cero!$1:$1,0)-1,COUNT(Curvas_cupon_cero!$A:$A)-2,1))))</f>
        <v/>
      </c>
      <c r="E425" s="23" t="str">
        <f t="shared" si="40"/>
        <v/>
      </c>
      <c r="F425" s="17" t="str">
        <f t="shared" si="38"/>
        <v/>
      </c>
      <c r="G425" s="18" t="str">
        <f t="shared" si="41"/>
        <v/>
      </c>
      <c r="H425" t="str">
        <f t="shared" si="42"/>
        <v/>
      </c>
      <c r="I425" s="23" t="str">
        <f ca="1">IF(A425="","",IF($B$8="Sí",interpolar_alamb(H425,OFFSET(Curvas_cupon_cero!$A$1,1,0,COUNT(Curvas_cupon_cero!$A:$A)-2,1),OFFSET(Curvas_cupon_cero!$A$1,1,MATCH($B$6,Curvas_cupon_cero!$1:$1,0)-1,COUNT(Curvas_cupon_cero!$A:$A)-2,1)),[1]!interpolar(H425,OFFSET(Curvas_cupon_cero!$A$1,1,0,COUNT(Curvas_cupon_cero!$A:$A)-2,1),OFFSET(Curvas_cupon_cero!$A$1,1,MATCH($B$6,Curvas_cupon_cero!$1:$1,0)-1,COUNT(Curvas_cupon_cero!$A:$A)-2,1))))</f>
        <v/>
      </c>
      <c r="J425" s="19" t="str">
        <f>IF(A425="","",F425/(1+I425*$B$5/360)^(COUNT(A$16:A425)-($B$5-$G$16)/$B$5))</f>
        <v/>
      </c>
    </row>
    <row r="426" spans="1:10" x14ac:dyDescent="0.2">
      <c r="A426" s="12" t="str">
        <f t="shared" si="39"/>
        <v/>
      </c>
      <c r="B426" t="str">
        <f t="shared" si="37"/>
        <v/>
      </c>
      <c r="C426" s="21" t="str">
        <f ca="1">IF(A426="","",IF($B$8="Sí",interpolar_alamb(B426,OFFSET(Curvas_cupon_cero!$A$1,1,0,COUNT(Curvas_cupon_cero!$A:$A)-2,1),OFFSET(Curvas_cupon_cero!$A$1,1,MATCH($B$7,Curvas_cupon_cero!$1:$1,0)-1,COUNT(Curvas_cupon_cero!$A:$A)-2,1)),[1]!interpolar(B426,OFFSET(Curvas_cupon_cero!$A$1,1,0,COUNT(Curvas_cupon_cero!$A:$A)-2,1),OFFSET(Curvas_cupon_cero!$A$1,1,MATCH($B$7,Curvas_cupon_cero!$1:$1,0)-1,COUNT(Curvas_cupon_cero!$A:$A)-2,1))))</f>
        <v/>
      </c>
      <c r="D426" s="23" t="str">
        <f ca="1">IF(A426="","",IF($B$8="Sí",interpolar_alamb(H426,OFFSET(Curvas_cupon_cero!$A$1,1,0,COUNT(Curvas_cupon_cero!$A:$A)-2,1),OFFSET(Curvas_cupon_cero!$A$1,1,MATCH($B$7,Curvas_cupon_cero!$1:$1,0)-1,COUNT(Curvas_cupon_cero!$A:$A)-2,1)),[1]!interpolar(H426,OFFSET(Curvas_cupon_cero!$A$1,1,0,COUNT(Curvas_cupon_cero!$A:$A)-2,1),OFFSET(Curvas_cupon_cero!$A$1,1,MATCH($B$7,Curvas_cupon_cero!$1:$1,0)-1,COUNT(Curvas_cupon_cero!$A:$A)-2,1))))</f>
        <v/>
      </c>
      <c r="E426" s="23" t="str">
        <f t="shared" si="40"/>
        <v/>
      </c>
      <c r="F426" s="17" t="str">
        <f t="shared" si="38"/>
        <v/>
      </c>
      <c r="G426" s="18" t="str">
        <f t="shared" si="41"/>
        <v/>
      </c>
      <c r="H426" t="str">
        <f t="shared" si="42"/>
        <v/>
      </c>
      <c r="I426" s="23" t="str">
        <f ca="1">IF(A426="","",IF($B$8="Sí",interpolar_alamb(H426,OFFSET(Curvas_cupon_cero!$A$1,1,0,COUNT(Curvas_cupon_cero!$A:$A)-2,1),OFFSET(Curvas_cupon_cero!$A$1,1,MATCH($B$6,Curvas_cupon_cero!$1:$1,0)-1,COUNT(Curvas_cupon_cero!$A:$A)-2,1)),[1]!interpolar(H426,OFFSET(Curvas_cupon_cero!$A$1,1,0,COUNT(Curvas_cupon_cero!$A:$A)-2,1),OFFSET(Curvas_cupon_cero!$A$1,1,MATCH($B$6,Curvas_cupon_cero!$1:$1,0)-1,COUNT(Curvas_cupon_cero!$A:$A)-2,1))))</f>
        <v/>
      </c>
      <c r="J426" s="19" t="str">
        <f>IF(A426="","",F426/(1+I426*$B$5/360)^(COUNT(A$16:A426)-($B$5-$G$16)/$B$5))</f>
        <v/>
      </c>
    </row>
    <row r="427" spans="1:10" x14ac:dyDescent="0.2">
      <c r="A427" s="12" t="str">
        <f t="shared" si="39"/>
        <v/>
      </c>
      <c r="B427" t="str">
        <f t="shared" si="37"/>
        <v/>
      </c>
      <c r="C427" s="21" t="str">
        <f ca="1">IF(A427="","",IF($B$8="Sí",interpolar_alamb(B427,OFFSET(Curvas_cupon_cero!$A$1,1,0,COUNT(Curvas_cupon_cero!$A:$A)-2,1),OFFSET(Curvas_cupon_cero!$A$1,1,MATCH($B$7,Curvas_cupon_cero!$1:$1,0)-1,COUNT(Curvas_cupon_cero!$A:$A)-2,1)),[1]!interpolar(B427,OFFSET(Curvas_cupon_cero!$A$1,1,0,COUNT(Curvas_cupon_cero!$A:$A)-2,1),OFFSET(Curvas_cupon_cero!$A$1,1,MATCH($B$7,Curvas_cupon_cero!$1:$1,0)-1,COUNT(Curvas_cupon_cero!$A:$A)-2,1))))</f>
        <v/>
      </c>
      <c r="D427" s="23" t="str">
        <f ca="1">IF(A427="","",IF($B$8="Sí",interpolar_alamb(H427,OFFSET(Curvas_cupon_cero!$A$1,1,0,COUNT(Curvas_cupon_cero!$A:$A)-2,1),OFFSET(Curvas_cupon_cero!$A$1,1,MATCH($B$7,Curvas_cupon_cero!$1:$1,0)-1,COUNT(Curvas_cupon_cero!$A:$A)-2,1)),[1]!interpolar(H427,OFFSET(Curvas_cupon_cero!$A$1,1,0,COUNT(Curvas_cupon_cero!$A:$A)-2,1),OFFSET(Curvas_cupon_cero!$A$1,1,MATCH($B$7,Curvas_cupon_cero!$1:$1,0)-1,COUNT(Curvas_cupon_cero!$A:$A)-2,1))))</f>
        <v/>
      </c>
      <c r="E427" s="23" t="str">
        <f t="shared" si="40"/>
        <v/>
      </c>
      <c r="F427" s="17" t="str">
        <f t="shared" si="38"/>
        <v/>
      </c>
      <c r="G427" s="18" t="str">
        <f t="shared" si="41"/>
        <v/>
      </c>
      <c r="H427" t="str">
        <f t="shared" si="42"/>
        <v/>
      </c>
      <c r="I427" s="23" t="str">
        <f ca="1">IF(A427="","",IF($B$8="Sí",interpolar_alamb(H427,OFFSET(Curvas_cupon_cero!$A$1,1,0,COUNT(Curvas_cupon_cero!$A:$A)-2,1),OFFSET(Curvas_cupon_cero!$A$1,1,MATCH($B$6,Curvas_cupon_cero!$1:$1,0)-1,COUNT(Curvas_cupon_cero!$A:$A)-2,1)),[1]!interpolar(H427,OFFSET(Curvas_cupon_cero!$A$1,1,0,COUNT(Curvas_cupon_cero!$A:$A)-2,1),OFFSET(Curvas_cupon_cero!$A$1,1,MATCH($B$6,Curvas_cupon_cero!$1:$1,0)-1,COUNT(Curvas_cupon_cero!$A:$A)-2,1))))</f>
        <v/>
      </c>
      <c r="J427" s="19" t="str">
        <f>IF(A427="","",F427/(1+I427*$B$5/360)^(COUNT(A$16:A427)-($B$5-$G$16)/$B$5))</f>
        <v/>
      </c>
    </row>
    <row r="428" spans="1:10" x14ac:dyDescent="0.2">
      <c r="A428" s="12" t="str">
        <f t="shared" si="39"/>
        <v/>
      </c>
      <c r="B428" t="str">
        <f t="shared" si="37"/>
        <v/>
      </c>
      <c r="C428" s="21" t="str">
        <f ca="1">IF(A428="","",IF($B$8="Sí",interpolar_alamb(B428,OFFSET(Curvas_cupon_cero!$A$1,1,0,COUNT(Curvas_cupon_cero!$A:$A)-2,1),OFFSET(Curvas_cupon_cero!$A$1,1,MATCH($B$7,Curvas_cupon_cero!$1:$1,0)-1,COUNT(Curvas_cupon_cero!$A:$A)-2,1)),[1]!interpolar(B428,OFFSET(Curvas_cupon_cero!$A$1,1,0,COUNT(Curvas_cupon_cero!$A:$A)-2,1),OFFSET(Curvas_cupon_cero!$A$1,1,MATCH($B$7,Curvas_cupon_cero!$1:$1,0)-1,COUNT(Curvas_cupon_cero!$A:$A)-2,1))))</f>
        <v/>
      </c>
      <c r="D428" s="23" t="str">
        <f ca="1">IF(A428="","",IF($B$8="Sí",interpolar_alamb(H428,OFFSET(Curvas_cupon_cero!$A$1,1,0,COUNT(Curvas_cupon_cero!$A:$A)-2,1),OFFSET(Curvas_cupon_cero!$A$1,1,MATCH($B$7,Curvas_cupon_cero!$1:$1,0)-1,COUNT(Curvas_cupon_cero!$A:$A)-2,1)),[1]!interpolar(H428,OFFSET(Curvas_cupon_cero!$A$1,1,0,COUNT(Curvas_cupon_cero!$A:$A)-2,1),OFFSET(Curvas_cupon_cero!$A$1,1,MATCH($B$7,Curvas_cupon_cero!$1:$1,0)-1,COUNT(Curvas_cupon_cero!$A:$A)-2,1))))</f>
        <v/>
      </c>
      <c r="E428" s="23" t="str">
        <f t="shared" si="40"/>
        <v/>
      </c>
      <c r="F428" s="17" t="str">
        <f t="shared" si="38"/>
        <v/>
      </c>
      <c r="G428" s="18" t="str">
        <f t="shared" si="41"/>
        <v/>
      </c>
      <c r="H428" t="str">
        <f t="shared" si="42"/>
        <v/>
      </c>
      <c r="I428" s="23" t="str">
        <f ca="1">IF(A428="","",IF($B$8="Sí",interpolar_alamb(H428,OFFSET(Curvas_cupon_cero!$A$1,1,0,COUNT(Curvas_cupon_cero!$A:$A)-2,1),OFFSET(Curvas_cupon_cero!$A$1,1,MATCH($B$6,Curvas_cupon_cero!$1:$1,0)-1,COUNT(Curvas_cupon_cero!$A:$A)-2,1)),[1]!interpolar(H428,OFFSET(Curvas_cupon_cero!$A$1,1,0,COUNT(Curvas_cupon_cero!$A:$A)-2,1),OFFSET(Curvas_cupon_cero!$A$1,1,MATCH($B$6,Curvas_cupon_cero!$1:$1,0)-1,COUNT(Curvas_cupon_cero!$A:$A)-2,1))))</f>
        <v/>
      </c>
      <c r="J428" s="19" t="str">
        <f>IF(A428="","",F428/(1+I428*$B$5/360)^(COUNT(A$16:A428)-($B$5-$G$16)/$B$5))</f>
        <v/>
      </c>
    </row>
    <row r="429" spans="1:10" x14ac:dyDescent="0.2">
      <c r="A429" s="12" t="str">
        <f t="shared" si="39"/>
        <v/>
      </c>
      <c r="B429" t="str">
        <f t="shared" si="37"/>
        <v/>
      </c>
      <c r="C429" s="21" t="str">
        <f ca="1">IF(A429="","",IF($B$8="Sí",interpolar_alamb(B429,OFFSET(Curvas_cupon_cero!$A$1,1,0,COUNT(Curvas_cupon_cero!$A:$A)-2,1),OFFSET(Curvas_cupon_cero!$A$1,1,MATCH($B$7,Curvas_cupon_cero!$1:$1,0)-1,COUNT(Curvas_cupon_cero!$A:$A)-2,1)),[1]!interpolar(B429,OFFSET(Curvas_cupon_cero!$A$1,1,0,COUNT(Curvas_cupon_cero!$A:$A)-2,1),OFFSET(Curvas_cupon_cero!$A$1,1,MATCH($B$7,Curvas_cupon_cero!$1:$1,0)-1,COUNT(Curvas_cupon_cero!$A:$A)-2,1))))</f>
        <v/>
      </c>
      <c r="D429" s="23" t="str">
        <f ca="1">IF(A429="","",IF($B$8="Sí",interpolar_alamb(H429,OFFSET(Curvas_cupon_cero!$A$1,1,0,COUNT(Curvas_cupon_cero!$A:$A)-2,1),OFFSET(Curvas_cupon_cero!$A$1,1,MATCH($B$7,Curvas_cupon_cero!$1:$1,0)-1,COUNT(Curvas_cupon_cero!$A:$A)-2,1)),[1]!interpolar(H429,OFFSET(Curvas_cupon_cero!$A$1,1,0,COUNT(Curvas_cupon_cero!$A:$A)-2,1),OFFSET(Curvas_cupon_cero!$A$1,1,MATCH($B$7,Curvas_cupon_cero!$1:$1,0)-1,COUNT(Curvas_cupon_cero!$A:$A)-2,1))))</f>
        <v/>
      </c>
      <c r="E429" s="23" t="str">
        <f t="shared" si="40"/>
        <v/>
      </c>
      <c r="F429" s="17" t="str">
        <f t="shared" si="38"/>
        <v/>
      </c>
      <c r="G429" s="18" t="str">
        <f t="shared" si="41"/>
        <v/>
      </c>
      <c r="H429" t="str">
        <f t="shared" si="42"/>
        <v/>
      </c>
      <c r="I429" s="23" t="str">
        <f ca="1">IF(A429="","",IF($B$8="Sí",interpolar_alamb(H429,OFFSET(Curvas_cupon_cero!$A$1,1,0,COUNT(Curvas_cupon_cero!$A:$A)-2,1),OFFSET(Curvas_cupon_cero!$A$1,1,MATCH($B$6,Curvas_cupon_cero!$1:$1,0)-1,COUNT(Curvas_cupon_cero!$A:$A)-2,1)),[1]!interpolar(H429,OFFSET(Curvas_cupon_cero!$A$1,1,0,COUNT(Curvas_cupon_cero!$A:$A)-2,1),OFFSET(Curvas_cupon_cero!$A$1,1,MATCH($B$6,Curvas_cupon_cero!$1:$1,0)-1,COUNT(Curvas_cupon_cero!$A:$A)-2,1))))</f>
        <v/>
      </c>
      <c r="J429" s="19" t="str">
        <f>IF(A429="","",F429/(1+I429*$B$5/360)^(COUNT(A$16:A429)-($B$5-$G$16)/$B$5))</f>
        <v/>
      </c>
    </row>
    <row r="430" spans="1:10" x14ac:dyDescent="0.2">
      <c r="A430" s="12" t="str">
        <f t="shared" si="39"/>
        <v/>
      </c>
      <c r="B430" t="str">
        <f t="shared" si="37"/>
        <v/>
      </c>
      <c r="C430" s="21" t="str">
        <f ca="1">IF(A430="","",IF($B$8="Sí",interpolar_alamb(B430,OFFSET(Curvas_cupon_cero!$A$1,1,0,COUNT(Curvas_cupon_cero!$A:$A)-2,1),OFFSET(Curvas_cupon_cero!$A$1,1,MATCH($B$7,Curvas_cupon_cero!$1:$1,0)-1,COUNT(Curvas_cupon_cero!$A:$A)-2,1)),[1]!interpolar(B430,OFFSET(Curvas_cupon_cero!$A$1,1,0,COUNT(Curvas_cupon_cero!$A:$A)-2,1),OFFSET(Curvas_cupon_cero!$A$1,1,MATCH($B$7,Curvas_cupon_cero!$1:$1,0)-1,COUNT(Curvas_cupon_cero!$A:$A)-2,1))))</f>
        <v/>
      </c>
      <c r="D430" s="23" t="str">
        <f ca="1">IF(A430="","",IF($B$8="Sí",interpolar_alamb(H430,OFFSET(Curvas_cupon_cero!$A$1,1,0,COUNT(Curvas_cupon_cero!$A:$A)-2,1),OFFSET(Curvas_cupon_cero!$A$1,1,MATCH($B$7,Curvas_cupon_cero!$1:$1,0)-1,COUNT(Curvas_cupon_cero!$A:$A)-2,1)),[1]!interpolar(H430,OFFSET(Curvas_cupon_cero!$A$1,1,0,COUNT(Curvas_cupon_cero!$A:$A)-2,1),OFFSET(Curvas_cupon_cero!$A$1,1,MATCH($B$7,Curvas_cupon_cero!$1:$1,0)-1,COUNT(Curvas_cupon_cero!$A:$A)-2,1))))</f>
        <v/>
      </c>
      <c r="E430" s="23" t="str">
        <f t="shared" si="40"/>
        <v/>
      </c>
      <c r="F430" s="17" t="str">
        <f t="shared" si="38"/>
        <v/>
      </c>
      <c r="G430" s="18" t="str">
        <f t="shared" si="41"/>
        <v/>
      </c>
      <c r="H430" t="str">
        <f t="shared" si="42"/>
        <v/>
      </c>
      <c r="I430" s="23" t="str">
        <f ca="1">IF(A430="","",IF($B$8="Sí",interpolar_alamb(H430,OFFSET(Curvas_cupon_cero!$A$1,1,0,COUNT(Curvas_cupon_cero!$A:$A)-2,1),OFFSET(Curvas_cupon_cero!$A$1,1,MATCH($B$6,Curvas_cupon_cero!$1:$1,0)-1,COUNT(Curvas_cupon_cero!$A:$A)-2,1)),[1]!interpolar(H430,OFFSET(Curvas_cupon_cero!$A$1,1,0,COUNT(Curvas_cupon_cero!$A:$A)-2,1),OFFSET(Curvas_cupon_cero!$A$1,1,MATCH($B$6,Curvas_cupon_cero!$1:$1,0)-1,COUNT(Curvas_cupon_cero!$A:$A)-2,1))))</f>
        <v/>
      </c>
      <c r="J430" s="19" t="str">
        <f>IF(A430="","",F430/(1+I430*$B$5/360)^(COUNT(A$16:A430)-($B$5-$G$16)/$B$5))</f>
        <v/>
      </c>
    </row>
    <row r="431" spans="1:10" x14ac:dyDescent="0.2">
      <c r="A431" s="12" t="str">
        <f t="shared" si="39"/>
        <v/>
      </c>
      <c r="B431" t="str">
        <f t="shared" si="37"/>
        <v/>
      </c>
      <c r="C431" s="21" t="str">
        <f ca="1">IF(A431="","",IF($B$8="Sí",interpolar_alamb(B431,OFFSET(Curvas_cupon_cero!$A$1,1,0,COUNT(Curvas_cupon_cero!$A:$A)-2,1),OFFSET(Curvas_cupon_cero!$A$1,1,MATCH($B$7,Curvas_cupon_cero!$1:$1,0)-1,COUNT(Curvas_cupon_cero!$A:$A)-2,1)),[1]!interpolar(B431,OFFSET(Curvas_cupon_cero!$A$1,1,0,COUNT(Curvas_cupon_cero!$A:$A)-2,1),OFFSET(Curvas_cupon_cero!$A$1,1,MATCH($B$7,Curvas_cupon_cero!$1:$1,0)-1,COUNT(Curvas_cupon_cero!$A:$A)-2,1))))</f>
        <v/>
      </c>
      <c r="D431" s="23" t="str">
        <f ca="1">IF(A431="","",IF($B$8="Sí",interpolar_alamb(H431,OFFSET(Curvas_cupon_cero!$A$1,1,0,COUNT(Curvas_cupon_cero!$A:$A)-2,1),OFFSET(Curvas_cupon_cero!$A$1,1,MATCH($B$7,Curvas_cupon_cero!$1:$1,0)-1,COUNT(Curvas_cupon_cero!$A:$A)-2,1)),[1]!interpolar(H431,OFFSET(Curvas_cupon_cero!$A$1,1,0,COUNT(Curvas_cupon_cero!$A:$A)-2,1),OFFSET(Curvas_cupon_cero!$A$1,1,MATCH($B$7,Curvas_cupon_cero!$1:$1,0)-1,COUNT(Curvas_cupon_cero!$A:$A)-2,1))))</f>
        <v/>
      </c>
      <c r="E431" s="23" t="str">
        <f t="shared" si="40"/>
        <v/>
      </c>
      <c r="F431" s="17" t="str">
        <f t="shared" si="38"/>
        <v/>
      </c>
      <c r="G431" s="18" t="str">
        <f t="shared" si="41"/>
        <v/>
      </c>
      <c r="H431" t="str">
        <f t="shared" si="42"/>
        <v/>
      </c>
      <c r="I431" s="23" t="str">
        <f ca="1">IF(A431="","",IF($B$8="Sí",interpolar_alamb(H431,OFFSET(Curvas_cupon_cero!$A$1,1,0,COUNT(Curvas_cupon_cero!$A:$A)-2,1),OFFSET(Curvas_cupon_cero!$A$1,1,MATCH($B$6,Curvas_cupon_cero!$1:$1,0)-1,COUNT(Curvas_cupon_cero!$A:$A)-2,1)),[1]!interpolar(H431,OFFSET(Curvas_cupon_cero!$A$1,1,0,COUNT(Curvas_cupon_cero!$A:$A)-2,1),OFFSET(Curvas_cupon_cero!$A$1,1,MATCH($B$6,Curvas_cupon_cero!$1:$1,0)-1,COUNT(Curvas_cupon_cero!$A:$A)-2,1))))</f>
        <v/>
      </c>
      <c r="J431" s="19" t="str">
        <f>IF(A431="","",F431/(1+I431*$B$5/360)^(COUNT(A$16:A431)-($B$5-$G$16)/$B$5))</f>
        <v/>
      </c>
    </row>
    <row r="432" spans="1:10" x14ac:dyDescent="0.2">
      <c r="A432" s="12" t="str">
        <f t="shared" si="39"/>
        <v/>
      </c>
      <c r="B432" t="str">
        <f t="shared" si="37"/>
        <v/>
      </c>
      <c r="C432" s="21" t="str">
        <f ca="1">IF(A432="","",IF($B$8="Sí",interpolar_alamb(B432,OFFSET(Curvas_cupon_cero!$A$1,1,0,COUNT(Curvas_cupon_cero!$A:$A)-2,1),OFFSET(Curvas_cupon_cero!$A$1,1,MATCH($B$7,Curvas_cupon_cero!$1:$1,0)-1,COUNT(Curvas_cupon_cero!$A:$A)-2,1)),[1]!interpolar(B432,OFFSET(Curvas_cupon_cero!$A$1,1,0,COUNT(Curvas_cupon_cero!$A:$A)-2,1),OFFSET(Curvas_cupon_cero!$A$1,1,MATCH($B$7,Curvas_cupon_cero!$1:$1,0)-1,COUNT(Curvas_cupon_cero!$A:$A)-2,1))))</f>
        <v/>
      </c>
      <c r="D432" s="23" t="str">
        <f ca="1">IF(A432="","",IF($B$8="Sí",interpolar_alamb(H432,OFFSET(Curvas_cupon_cero!$A$1,1,0,COUNT(Curvas_cupon_cero!$A:$A)-2,1),OFFSET(Curvas_cupon_cero!$A$1,1,MATCH($B$7,Curvas_cupon_cero!$1:$1,0)-1,COUNT(Curvas_cupon_cero!$A:$A)-2,1)),[1]!interpolar(H432,OFFSET(Curvas_cupon_cero!$A$1,1,0,COUNT(Curvas_cupon_cero!$A:$A)-2,1),OFFSET(Curvas_cupon_cero!$A$1,1,MATCH($B$7,Curvas_cupon_cero!$1:$1,0)-1,COUNT(Curvas_cupon_cero!$A:$A)-2,1))))</f>
        <v/>
      </c>
      <c r="E432" s="23" t="str">
        <f t="shared" si="40"/>
        <v/>
      </c>
      <c r="F432" s="17" t="str">
        <f t="shared" si="38"/>
        <v/>
      </c>
      <c r="G432" s="18" t="str">
        <f t="shared" si="41"/>
        <v/>
      </c>
      <c r="H432" t="str">
        <f t="shared" si="42"/>
        <v/>
      </c>
      <c r="I432" s="23" t="str">
        <f ca="1">IF(A432="","",IF($B$8="Sí",interpolar_alamb(H432,OFFSET(Curvas_cupon_cero!$A$1,1,0,COUNT(Curvas_cupon_cero!$A:$A)-2,1),OFFSET(Curvas_cupon_cero!$A$1,1,MATCH($B$6,Curvas_cupon_cero!$1:$1,0)-1,COUNT(Curvas_cupon_cero!$A:$A)-2,1)),[1]!interpolar(H432,OFFSET(Curvas_cupon_cero!$A$1,1,0,COUNT(Curvas_cupon_cero!$A:$A)-2,1),OFFSET(Curvas_cupon_cero!$A$1,1,MATCH($B$6,Curvas_cupon_cero!$1:$1,0)-1,COUNT(Curvas_cupon_cero!$A:$A)-2,1))))</f>
        <v/>
      </c>
      <c r="J432" s="19" t="str">
        <f>IF(A432="","",F432/(1+I432*$B$5/360)^(COUNT(A$16:A432)-($B$5-$G$16)/$B$5))</f>
        <v/>
      </c>
    </row>
    <row r="433" spans="1:10" x14ac:dyDescent="0.2">
      <c r="A433" s="12" t="str">
        <f t="shared" si="39"/>
        <v/>
      </c>
      <c r="B433" t="str">
        <f t="shared" si="37"/>
        <v/>
      </c>
      <c r="C433" s="21" t="str">
        <f ca="1">IF(A433="","",IF($B$8="Sí",interpolar_alamb(B433,OFFSET(Curvas_cupon_cero!$A$1,1,0,COUNT(Curvas_cupon_cero!$A:$A)-2,1),OFFSET(Curvas_cupon_cero!$A$1,1,MATCH($B$7,Curvas_cupon_cero!$1:$1,0)-1,COUNT(Curvas_cupon_cero!$A:$A)-2,1)),[1]!interpolar(B433,OFFSET(Curvas_cupon_cero!$A$1,1,0,COUNT(Curvas_cupon_cero!$A:$A)-2,1),OFFSET(Curvas_cupon_cero!$A$1,1,MATCH($B$7,Curvas_cupon_cero!$1:$1,0)-1,COUNT(Curvas_cupon_cero!$A:$A)-2,1))))</f>
        <v/>
      </c>
      <c r="D433" s="23" t="str">
        <f ca="1">IF(A433="","",IF($B$8="Sí",interpolar_alamb(H433,OFFSET(Curvas_cupon_cero!$A$1,1,0,COUNT(Curvas_cupon_cero!$A:$A)-2,1),OFFSET(Curvas_cupon_cero!$A$1,1,MATCH($B$7,Curvas_cupon_cero!$1:$1,0)-1,COUNT(Curvas_cupon_cero!$A:$A)-2,1)),[1]!interpolar(H433,OFFSET(Curvas_cupon_cero!$A$1,1,0,COUNT(Curvas_cupon_cero!$A:$A)-2,1),OFFSET(Curvas_cupon_cero!$A$1,1,MATCH($B$7,Curvas_cupon_cero!$1:$1,0)-1,COUNT(Curvas_cupon_cero!$A:$A)-2,1))))</f>
        <v/>
      </c>
      <c r="E433" s="23" t="str">
        <f t="shared" si="40"/>
        <v/>
      </c>
      <c r="F433" s="17" t="str">
        <f t="shared" si="38"/>
        <v/>
      </c>
      <c r="G433" s="18" t="str">
        <f t="shared" si="41"/>
        <v/>
      </c>
      <c r="H433" t="str">
        <f t="shared" si="42"/>
        <v/>
      </c>
      <c r="I433" s="23" t="str">
        <f ca="1">IF(A433="","",IF($B$8="Sí",interpolar_alamb(H433,OFFSET(Curvas_cupon_cero!$A$1,1,0,COUNT(Curvas_cupon_cero!$A:$A)-2,1),OFFSET(Curvas_cupon_cero!$A$1,1,MATCH($B$6,Curvas_cupon_cero!$1:$1,0)-1,COUNT(Curvas_cupon_cero!$A:$A)-2,1)),[1]!interpolar(H433,OFFSET(Curvas_cupon_cero!$A$1,1,0,COUNT(Curvas_cupon_cero!$A:$A)-2,1),OFFSET(Curvas_cupon_cero!$A$1,1,MATCH($B$6,Curvas_cupon_cero!$1:$1,0)-1,COUNT(Curvas_cupon_cero!$A:$A)-2,1))))</f>
        <v/>
      </c>
      <c r="J433" s="19" t="str">
        <f>IF(A433="","",F433/(1+I433*$B$5/360)^(COUNT(A$16:A433)-($B$5-$G$16)/$B$5))</f>
        <v/>
      </c>
    </row>
    <row r="434" spans="1:10" x14ac:dyDescent="0.2">
      <c r="A434" s="12" t="str">
        <f t="shared" si="39"/>
        <v/>
      </c>
      <c r="B434" t="str">
        <f t="shared" si="37"/>
        <v/>
      </c>
      <c r="C434" s="21" t="str">
        <f ca="1">IF(A434="","",IF($B$8="Sí",interpolar_alamb(B434,OFFSET(Curvas_cupon_cero!$A$1,1,0,COUNT(Curvas_cupon_cero!$A:$A)-2,1),OFFSET(Curvas_cupon_cero!$A$1,1,MATCH($B$7,Curvas_cupon_cero!$1:$1,0)-1,COUNT(Curvas_cupon_cero!$A:$A)-2,1)),[1]!interpolar(B434,OFFSET(Curvas_cupon_cero!$A$1,1,0,COUNT(Curvas_cupon_cero!$A:$A)-2,1),OFFSET(Curvas_cupon_cero!$A$1,1,MATCH($B$7,Curvas_cupon_cero!$1:$1,0)-1,COUNT(Curvas_cupon_cero!$A:$A)-2,1))))</f>
        <v/>
      </c>
      <c r="D434" s="23" t="str">
        <f ca="1">IF(A434="","",IF($B$8="Sí",interpolar_alamb(H434,OFFSET(Curvas_cupon_cero!$A$1,1,0,COUNT(Curvas_cupon_cero!$A:$A)-2,1),OFFSET(Curvas_cupon_cero!$A$1,1,MATCH($B$7,Curvas_cupon_cero!$1:$1,0)-1,COUNT(Curvas_cupon_cero!$A:$A)-2,1)),[1]!interpolar(H434,OFFSET(Curvas_cupon_cero!$A$1,1,0,COUNT(Curvas_cupon_cero!$A:$A)-2,1),OFFSET(Curvas_cupon_cero!$A$1,1,MATCH($B$7,Curvas_cupon_cero!$1:$1,0)-1,COUNT(Curvas_cupon_cero!$A:$A)-2,1))))</f>
        <v/>
      </c>
      <c r="E434" s="23" t="str">
        <f t="shared" si="40"/>
        <v/>
      </c>
      <c r="F434" s="17" t="str">
        <f t="shared" si="38"/>
        <v/>
      </c>
      <c r="G434" s="18" t="str">
        <f t="shared" si="41"/>
        <v/>
      </c>
      <c r="H434" t="str">
        <f t="shared" si="42"/>
        <v/>
      </c>
      <c r="I434" s="23" t="str">
        <f ca="1">IF(A434="","",IF($B$8="Sí",interpolar_alamb(H434,OFFSET(Curvas_cupon_cero!$A$1,1,0,COUNT(Curvas_cupon_cero!$A:$A)-2,1),OFFSET(Curvas_cupon_cero!$A$1,1,MATCH($B$6,Curvas_cupon_cero!$1:$1,0)-1,COUNT(Curvas_cupon_cero!$A:$A)-2,1)),[1]!interpolar(H434,OFFSET(Curvas_cupon_cero!$A$1,1,0,COUNT(Curvas_cupon_cero!$A:$A)-2,1),OFFSET(Curvas_cupon_cero!$A$1,1,MATCH($B$6,Curvas_cupon_cero!$1:$1,0)-1,COUNT(Curvas_cupon_cero!$A:$A)-2,1))))</f>
        <v/>
      </c>
      <c r="J434" s="19" t="str">
        <f>IF(A434="","",F434/(1+I434*$B$5/360)^(COUNT(A$16:A434)-($B$5-$G$16)/$B$5))</f>
        <v/>
      </c>
    </row>
    <row r="435" spans="1:10" x14ac:dyDescent="0.2">
      <c r="A435" s="12" t="str">
        <f t="shared" si="39"/>
        <v/>
      </c>
      <c r="B435" t="str">
        <f t="shared" si="37"/>
        <v/>
      </c>
      <c r="C435" s="21" t="str">
        <f ca="1">IF(A435="","",IF($B$8="Sí",interpolar_alamb(B435,OFFSET(Curvas_cupon_cero!$A$1,1,0,COUNT(Curvas_cupon_cero!$A:$A)-2,1),OFFSET(Curvas_cupon_cero!$A$1,1,MATCH($B$7,Curvas_cupon_cero!$1:$1,0)-1,COUNT(Curvas_cupon_cero!$A:$A)-2,1)),[1]!interpolar(B435,OFFSET(Curvas_cupon_cero!$A$1,1,0,COUNT(Curvas_cupon_cero!$A:$A)-2,1),OFFSET(Curvas_cupon_cero!$A$1,1,MATCH($B$7,Curvas_cupon_cero!$1:$1,0)-1,COUNT(Curvas_cupon_cero!$A:$A)-2,1))))</f>
        <v/>
      </c>
      <c r="D435" s="23" t="str">
        <f ca="1">IF(A435="","",IF($B$8="Sí",interpolar_alamb(H435,OFFSET(Curvas_cupon_cero!$A$1,1,0,COUNT(Curvas_cupon_cero!$A:$A)-2,1),OFFSET(Curvas_cupon_cero!$A$1,1,MATCH($B$7,Curvas_cupon_cero!$1:$1,0)-1,COUNT(Curvas_cupon_cero!$A:$A)-2,1)),[1]!interpolar(H435,OFFSET(Curvas_cupon_cero!$A$1,1,0,COUNT(Curvas_cupon_cero!$A:$A)-2,1),OFFSET(Curvas_cupon_cero!$A$1,1,MATCH($B$7,Curvas_cupon_cero!$1:$1,0)-1,COUNT(Curvas_cupon_cero!$A:$A)-2,1))))</f>
        <v/>
      </c>
      <c r="E435" s="23" t="str">
        <f t="shared" si="40"/>
        <v/>
      </c>
      <c r="F435" s="17" t="str">
        <f t="shared" si="38"/>
        <v/>
      </c>
      <c r="G435" s="18" t="str">
        <f t="shared" si="41"/>
        <v/>
      </c>
      <c r="H435" t="str">
        <f t="shared" si="42"/>
        <v/>
      </c>
      <c r="I435" s="23" t="str">
        <f ca="1">IF(A435="","",IF($B$8="Sí",interpolar_alamb(H435,OFFSET(Curvas_cupon_cero!$A$1,1,0,COUNT(Curvas_cupon_cero!$A:$A)-2,1),OFFSET(Curvas_cupon_cero!$A$1,1,MATCH($B$6,Curvas_cupon_cero!$1:$1,0)-1,COUNT(Curvas_cupon_cero!$A:$A)-2,1)),[1]!interpolar(H435,OFFSET(Curvas_cupon_cero!$A$1,1,0,COUNT(Curvas_cupon_cero!$A:$A)-2,1),OFFSET(Curvas_cupon_cero!$A$1,1,MATCH($B$6,Curvas_cupon_cero!$1:$1,0)-1,COUNT(Curvas_cupon_cero!$A:$A)-2,1))))</f>
        <v/>
      </c>
      <c r="J435" s="19" t="str">
        <f>IF(A435="","",F435/(1+I435*$B$5/360)^(COUNT(A$16:A435)-($B$5-$G$16)/$B$5))</f>
        <v/>
      </c>
    </row>
    <row r="436" spans="1:10" x14ac:dyDescent="0.2">
      <c r="A436" s="12" t="str">
        <f t="shared" si="39"/>
        <v/>
      </c>
      <c r="B436" t="str">
        <f t="shared" si="37"/>
        <v/>
      </c>
      <c r="C436" s="21" t="str">
        <f ca="1">IF(A436="","",IF($B$8="Sí",interpolar_alamb(B436,OFFSET(Curvas_cupon_cero!$A$1,1,0,COUNT(Curvas_cupon_cero!$A:$A)-2,1),OFFSET(Curvas_cupon_cero!$A$1,1,MATCH($B$7,Curvas_cupon_cero!$1:$1,0)-1,COUNT(Curvas_cupon_cero!$A:$A)-2,1)),[1]!interpolar(B436,OFFSET(Curvas_cupon_cero!$A$1,1,0,COUNT(Curvas_cupon_cero!$A:$A)-2,1),OFFSET(Curvas_cupon_cero!$A$1,1,MATCH($B$7,Curvas_cupon_cero!$1:$1,0)-1,COUNT(Curvas_cupon_cero!$A:$A)-2,1))))</f>
        <v/>
      </c>
      <c r="D436" s="23" t="str">
        <f ca="1">IF(A436="","",IF($B$8="Sí",interpolar_alamb(H436,OFFSET(Curvas_cupon_cero!$A$1,1,0,COUNT(Curvas_cupon_cero!$A:$A)-2,1),OFFSET(Curvas_cupon_cero!$A$1,1,MATCH($B$7,Curvas_cupon_cero!$1:$1,0)-1,COUNT(Curvas_cupon_cero!$A:$A)-2,1)),[1]!interpolar(H436,OFFSET(Curvas_cupon_cero!$A$1,1,0,COUNT(Curvas_cupon_cero!$A:$A)-2,1),OFFSET(Curvas_cupon_cero!$A$1,1,MATCH($B$7,Curvas_cupon_cero!$1:$1,0)-1,COUNT(Curvas_cupon_cero!$A:$A)-2,1))))</f>
        <v/>
      </c>
      <c r="E436" s="23" t="str">
        <f t="shared" si="40"/>
        <v/>
      </c>
      <c r="F436" s="17" t="str">
        <f t="shared" si="38"/>
        <v/>
      </c>
      <c r="G436" s="18" t="str">
        <f t="shared" si="41"/>
        <v/>
      </c>
      <c r="H436" t="str">
        <f t="shared" si="42"/>
        <v/>
      </c>
      <c r="I436" s="23" t="str">
        <f ca="1">IF(A436="","",IF($B$8="Sí",interpolar_alamb(H436,OFFSET(Curvas_cupon_cero!$A$1,1,0,COUNT(Curvas_cupon_cero!$A:$A)-2,1),OFFSET(Curvas_cupon_cero!$A$1,1,MATCH($B$6,Curvas_cupon_cero!$1:$1,0)-1,COUNT(Curvas_cupon_cero!$A:$A)-2,1)),[1]!interpolar(H436,OFFSET(Curvas_cupon_cero!$A$1,1,0,COUNT(Curvas_cupon_cero!$A:$A)-2,1),OFFSET(Curvas_cupon_cero!$A$1,1,MATCH($B$6,Curvas_cupon_cero!$1:$1,0)-1,COUNT(Curvas_cupon_cero!$A:$A)-2,1))))</f>
        <v/>
      </c>
      <c r="J436" s="19" t="str">
        <f>IF(A436="","",F436/(1+I436*$B$5/360)^(COUNT(A$16:A436)-($B$5-$G$16)/$B$5))</f>
        <v/>
      </c>
    </row>
    <row r="437" spans="1:10" x14ac:dyDescent="0.2">
      <c r="A437" s="12" t="str">
        <f t="shared" si="39"/>
        <v/>
      </c>
      <c r="B437" t="str">
        <f t="shared" si="37"/>
        <v/>
      </c>
      <c r="C437" s="21" t="str">
        <f ca="1">IF(A437="","",IF($B$8="Sí",interpolar_alamb(B437,OFFSET(Curvas_cupon_cero!$A$1,1,0,COUNT(Curvas_cupon_cero!$A:$A)-2,1),OFFSET(Curvas_cupon_cero!$A$1,1,MATCH($B$7,Curvas_cupon_cero!$1:$1,0)-1,COUNT(Curvas_cupon_cero!$A:$A)-2,1)),[1]!interpolar(B437,OFFSET(Curvas_cupon_cero!$A$1,1,0,COUNT(Curvas_cupon_cero!$A:$A)-2,1),OFFSET(Curvas_cupon_cero!$A$1,1,MATCH($B$7,Curvas_cupon_cero!$1:$1,0)-1,COUNT(Curvas_cupon_cero!$A:$A)-2,1))))</f>
        <v/>
      </c>
      <c r="D437" s="23" t="str">
        <f ca="1">IF(A437="","",IF($B$8="Sí",interpolar_alamb(H437,OFFSET(Curvas_cupon_cero!$A$1,1,0,COUNT(Curvas_cupon_cero!$A:$A)-2,1),OFFSET(Curvas_cupon_cero!$A$1,1,MATCH($B$7,Curvas_cupon_cero!$1:$1,0)-1,COUNT(Curvas_cupon_cero!$A:$A)-2,1)),[1]!interpolar(H437,OFFSET(Curvas_cupon_cero!$A$1,1,0,COUNT(Curvas_cupon_cero!$A:$A)-2,1),OFFSET(Curvas_cupon_cero!$A$1,1,MATCH($B$7,Curvas_cupon_cero!$1:$1,0)-1,COUNT(Curvas_cupon_cero!$A:$A)-2,1))))</f>
        <v/>
      </c>
      <c r="E437" s="23" t="str">
        <f t="shared" si="40"/>
        <v/>
      </c>
      <c r="F437" s="17" t="str">
        <f t="shared" si="38"/>
        <v/>
      </c>
      <c r="G437" s="18" t="str">
        <f t="shared" si="41"/>
        <v/>
      </c>
      <c r="H437" t="str">
        <f t="shared" si="42"/>
        <v/>
      </c>
      <c r="I437" s="23" t="str">
        <f ca="1">IF(A437="","",IF($B$8="Sí",interpolar_alamb(H437,OFFSET(Curvas_cupon_cero!$A$1,1,0,COUNT(Curvas_cupon_cero!$A:$A)-2,1),OFFSET(Curvas_cupon_cero!$A$1,1,MATCH($B$6,Curvas_cupon_cero!$1:$1,0)-1,COUNT(Curvas_cupon_cero!$A:$A)-2,1)),[1]!interpolar(H437,OFFSET(Curvas_cupon_cero!$A$1,1,0,COUNT(Curvas_cupon_cero!$A:$A)-2,1),OFFSET(Curvas_cupon_cero!$A$1,1,MATCH($B$6,Curvas_cupon_cero!$1:$1,0)-1,COUNT(Curvas_cupon_cero!$A:$A)-2,1))))</f>
        <v/>
      </c>
      <c r="J437" s="19" t="str">
        <f>IF(A437="","",F437/(1+I437*$B$5/360)^(COUNT(A$16:A437)-($B$5-$G$16)/$B$5))</f>
        <v/>
      </c>
    </row>
    <row r="438" spans="1:10" x14ac:dyDescent="0.2">
      <c r="A438" s="12" t="str">
        <f t="shared" si="39"/>
        <v/>
      </c>
      <c r="B438" t="str">
        <f t="shared" si="37"/>
        <v/>
      </c>
      <c r="C438" s="21" t="str">
        <f ca="1">IF(A438="","",IF($B$8="Sí",interpolar_alamb(B438,OFFSET(Curvas_cupon_cero!$A$1,1,0,COUNT(Curvas_cupon_cero!$A:$A)-2,1),OFFSET(Curvas_cupon_cero!$A$1,1,MATCH($B$7,Curvas_cupon_cero!$1:$1,0)-1,COUNT(Curvas_cupon_cero!$A:$A)-2,1)),[1]!interpolar(B438,OFFSET(Curvas_cupon_cero!$A$1,1,0,COUNT(Curvas_cupon_cero!$A:$A)-2,1),OFFSET(Curvas_cupon_cero!$A$1,1,MATCH($B$7,Curvas_cupon_cero!$1:$1,0)-1,COUNT(Curvas_cupon_cero!$A:$A)-2,1))))</f>
        <v/>
      </c>
      <c r="D438" s="23" t="str">
        <f ca="1">IF(A438="","",IF($B$8="Sí",interpolar_alamb(H438,OFFSET(Curvas_cupon_cero!$A$1,1,0,COUNT(Curvas_cupon_cero!$A:$A)-2,1),OFFSET(Curvas_cupon_cero!$A$1,1,MATCH($B$7,Curvas_cupon_cero!$1:$1,0)-1,COUNT(Curvas_cupon_cero!$A:$A)-2,1)),[1]!interpolar(H438,OFFSET(Curvas_cupon_cero!$A$1,1,0,COUNT(Curvas_cupon_cero!$A:$A)-2,1),OFFSET(Curvas_cupon_cero!$A$1,1,MATCH($B$7,Curvas_cupon_cero!$1:$1,0)-1,COUNT(Curvas_cupon_cero!$A:$A)-2,1))))</f>
        <v/>
      </c>
      <c r="E438" s="23" t="str">
        <f t="shared" si="40"/>
        <v/>
      </c>
      <c r="F438" s="17" t="str">
        <f t="shared" si="38"/>
        <v/>
      </c>
      <c r="G438" s="18" t="str">
        <f t="shared" si="41"/>
        <v/>
      </c>
      <c r="H438" t="str">
        <f t="shared" si="42"/>
        <v/>
      </c>
      <c r="I438" s="23" t="str">
        <f ca="1">IF(A438="","",IF($B$8="Sí",interpolar_alamb(H438,OFFSET(Curvas_cupon_cero!$A$1,1,0,COUNT(Curvas_cupon_cero!$A:$A)-2,1),OFFSET(Curvas_cupon_cero!$A$1,1,MATCH($B$6,Curvas_cupon_cero!$1:$1,0)-1,COUNT(Curvas_cupon_cero!$A:$A)-2,1)),[1]!interpolar(H438,OFFSET(Curvas_cupon_cero!$A$1,1,0,COUNT(Curvas_cupon_cero!$A:$A)-2,1),OFFSET(Curvas_cupon_cero!$A$1,1,MATCH($B$6,Curvas_cupon_cero!$1:$1,0)-1,COUNT(Curvas_cupon_cero!$A:$A)-2,1))))</f>
        <v/>
      </c>
      <c r="J438" s="19" t="str">
        <f>IF(A438="","",F438/(1+I438*$B$5/360)^(COUNT(A$16:A438)-($B$5-$G$16)/$B$5))</f>
        <v/>
      </c>
    </row>
    <row r="439" spans="1:10" x14ac:dyDescent="0.2">
      <c r="A439" s="12" t="str">
        <f t="shared" si="39"/>
        <v/>
      </c>
      <c r="B439" t="str">
        <f t="shared" si="37"/>
        <v/>
      </c>
      <c r="C439" s="21" t="str">
        <f ca="1">IF(A439="","",IF($B$8="Sí",interpolar_alamb(B439,OFFSET(Curvas_cupon_cero!$A$1,1,0,COUNT(Curvas_cupon_cero!$A:$A)-2,1),OFFSET(Curvas_cupon_cero!$A$1,1,MATCH($B$7,Curvas_cupon_cero!$1:$1,0)-1,COUNT(Curvas_cupon_cero!$A:$A)-2,1)),[1]!interpolar(B439,OFFSET(Curvas_cupon_cero!$A$1,1,0,COUNT(Curvas_cupon_cero!$A:$A)-2,1),OFFSET(Curvas_cupon_cero!$A$1,1,MATCH($B$7,Curvas_cupon_cero!$1:$1,0)-1,COUNT(Curvas_cupon_cero!$A:$A)-2,1))))</f>
        <v/>
      </c>
      <c r="D439" s="23" t="str">
        <f ca="1">IF(A439="","",IF($B$8="Sí",interpolar_alamb(H439,OFFSET(Curvas_cupon_cero!$A$1,1,0,COUNT(Curvas_cupon_cero!$A:$A)-2,1),OFFSET(Curvas_cupon_cero!$A$1,1,MATCH($B$7,Curvas_cupon_cero!$1:$1,0)-1,COUNT(Curvas_cupon_cero!$A:$A)-2,1)),[1]!interpolar(H439,OFFSET(Curvas_cupon_cero!$A$1,1,0,COUNT(Curvas_cupon_cero!$A:$A)-2,1),OFFSET(Curvas_cupon_cero!$A$1,1,MATCH($B$7,Curvas_cupon_cero!$1:$1,0)-1,COUNT(Curvas_cupon_cero!$A:$A)-2,1))))</f>
        <v/>
      </c>
      <c r="E439" s="23" t="str">
        <f t="shared" si="40"/>
        <v/>
      </c>
      <c r="F439" s="17" t="str">
        <f t="shared" si="38"/>
        <v/>
      </c>
      <c r="G439" s="18" t="str">
        <f t="shared" si="41"/>
        <v/>
      </c>
      <c r="H439" t="str">
        <f t="shared" si="42"/>
        <v/>
      </c>
      <c r="I439" s="23" t="str">
        <f ca="1">IF(A439="","",IF($B$8="Sí",interpolar_alamb(H439,OFFSET(Curvas_cupon_cero!$A$1,1,0,COUNT(Curvas_cupon_cero!$A:$A)-2,1),OFFSET(Curvas_cupon_cero!$A$1,1,MATCH($B$6,Curvas_cupon_cero!$1:$1,0)-1,COUNT(Curvas_cupon_cero!$A:$A)-2,1)),[1]!interpolar(H439,OFFSET(Curvas_cupon_cero!$A$1,1,0,COUNT(Curvas_cupon_cero!$A:$A)-2,1),OFFSET(Curvas_cupon_cero!$A$1,1,MATCH($B$6,Curvas_cupon_cero!$1:$1,0)-1,COUNT(Curvas_cupon_cero!$A:$A)-2,1))))</f>
        <v/>
      </c>
      <c r="J439" s="19" t="str">
        <f>IF(A439="","",F439/(1+I439*$B$5/360)^(COUNT(A$16:A439)-($B$5-$G$16)/$B$5))</f>
        <v/>
      </c>
    </row>
    <row r="440" spans="1:10" x14ac:dyDescent="0.2">
      <c r="A440" s="12" t="str">
        <f t="shared" si="39"/>
        <v/>
      </c>
      <c r="B440" t="str">
        <f t="shared" si="37"/>
        <v/>
      </c>
      <c r="C440" s="21" t="str">
        <f ca="1">IF(A440="","",IF($B$8="Sí",interpolar_alamb(B440,OFFSET(Curvas_cupon_cero!$A$1,1,0,COUNT(Curvas_cupon_cero!$A:$A)-2,1),OFFSET(Curvas_cupon_cero!$A$1,1,MATCH($B$7,Curvas_cupon_cero!$1:$1,0)-1,COUNT(Curvas_cupon_cero!$A:$A)-2,1)),[1]!interpolar(B440,OFFSET(Curvas_cupon_cero!$A$1,1,0,COUNT(Curvas_cupon_cero!$A:$A)-2,1),OFFSET(Curvas_cupon_cero!$A$1,1,MATCH($B$7,Curvas_cupon_cero!$1:$1,0)-1,COUNT(Curvas_cupon_cero!$A:$A)-2,1))))</f>
        <v/>
      </c>
      <c r="D440" s="23" t="str">
        <f ca="1">IF(A440="","",IF($B$8="Sí",interpolar_alamb(H440,OFFSET(Curvas_cupon_cero!$A$1,1,0,COUNT(Curvas_cupon_cero!$A:$A)-2,1),OFFSET(Curvas_cupon_cero!$A$1,1,MATCH($B$7,Curvas_cupon_cero!$1:$1,0)-1,COUNT(Curvas_cupon_cero!$A:$A)-2,1)),[1]!interpolar(H440,OFFSET(Curvas_cupon_cero!$A$1,1,0,COUNT(Curvas_cupon_cero!$A:$A)-2,1),OFFSET(Curvas_cupon_cero!$A$1,1,MATCH($B$7,Curvas_cupon_cero!$1:$1,0)-1,COUNT(Curvas_cupon_cero!$A:$A)-2,1))))</f>
        <v/>
      </c>
      <c r="E440" s="23" t="str">
        <f t="shared" si="40"/>
        <v/>
      </c>
      <c r="F440" s="17" t="str">
        <f t="shared" si="38"/>
        <v/>
      </c>
      <c r="G440" s="18" t="str">
        <f t="shared" si="41"/>
        <v/>
      </c>
      <c r="H440" t="str">
        <f t="shared" si="42"/>
        <v/>
      </c>
      <c r="I440" s="23" t="str">
        <f ca="1">IF(A440="","",IF($B$8="Sí",interpolar_alamb(H440,OFFSET(Curvas_cupon_cero!$A$1,1,0,COUNT(Curvas_cupon_cero!$A:$A)-2,1),OFFSET(Curvas_cupon_cero!$A$1,1,MATCH($B$6,Curvas_cupon_cero!$1:$1,0)-1,COUNT(Curvas_cupon_cero!$A:$A)-2,1)),[1]!interpolar(H440,OFFSET(Curvas_cupon_cero!$A$1,1,0,COUNT(Curvas_cupon_cero!$A:$A)-2,1),OFFSET(Curvas_cupon_cero!$A$1,1,MATCH($B$6,Curvas_cupon_cero!$1:$1,0)-1,COUNT(Curvas_cupon_cero!$A:$A)-2,1))))</f>
        <v/>
      </c>
      <c r="J440" s="19" t="str">
        <f>IF(A440="","",F440/(1+I440*$B$5/360)^(COUNT(A$16:A440)-($B$5-$G$16)/$B$5))</f>
        <v/>
      </c>
    </row>
    <row r="441" spans="1:10" x14ac:dyDescent="0.2">
      <c r="A441" s="12" t="str">
        <f t="shared" si="39"/>
        <v/>
      </c>
      <c r="B441" t="str">
        <f t="shared" si="37"/>
        <v/>
      </c>
      <c r="C441" s="21" t="str">
        <f ca="1">IF(A441="","",IF($B$8="Sí",interpolar_alamb(B441,OFFSET(Curvas_cupon_cero!$A$1,1,0,COUNT(Curvas_cupon_cero!$A:$A)-2,1),OFFSET(Curvas_cupon_cero!$A$1,1,MATCH($B$7,Curvas_cupon_cero!$1:$1,0)-1,COUNT(Curvas_cupon_cero!$A:$A)-2,1)),[1]!interpolar(B441,OFFSET(Curvas_cupon_cero!$A$1,1,0,COUNT(Curvas_cupon_cero!$A:$A)-2,1),OFFSET(Curvas_cupon_cero!$A$1,1,MATCH($B$7,Curvas_cupon_cero!$1:$1,0)-1,COUNT(Curvas_cupon_cero!$A:$A)-2,1))))</f>
        <v/>
      </c>
      <c r="D441" s="23" t="str">
        <f ca="1">IF(A441="","",IF($B$8="Sí",interpolar_alamb(H441,OFFSET(Curvas_cupon_cero!$A$1,1,0,COUNT(Curvas_cupon_cero!$A:$A)-2,1),OFFSET(Curvas_cupon_cero!$A$1,1,MATCH($B$7,Curvas_cupon_cero!$1:$1,0)-1,COUNT(Curvas_cupon_cero!$A:$A)-2,1)),[1]!interpolar(H441,OFFSET(Curvas_cupon_cero!$A$1,1,0,COUNT(Curvas_cupon_cero!$A:$A)-2,1),OFFSET(Curvas_cupon_cero!$A$1,1,MATCH($B$7,Curvas_cupon_cero!$1:$1,0)-1,COUNT(Curvas_cupon_cero!$A:$A)-2,1))))</f>
        <v/>
      </c>
      <c r="E441" s="23" t="str">
        <f t="shared" si="40"/>
        <v/>
      </c>
      <c r="F441" s="17" t="str">
        <f t="shared" si="38"/>
        <v/>
      </c>
      <c r="G441" s="18" t="str">
        <f t="shared" si="41"/>
        <v/>
      </c>
      <c r="H441" t="str">
        <f t="shared" si="42"/>
        <v/>
      </c>
      <c r="I441" s="23" t="str">
        <f ca="1">IF(A441="","",IF($B$8="Sí",interpolar_alamb(H441,OFFSET(Curvas_cupon_cero!$A$1,1,0,COUNT(Curvas_cupon_cero!$A:$A)-2,1),OFFSET(Curvas_cupon_cero!$A$1,1,MATCH($B$6,Curvas_cupon_cero!$1:$1,0)-1,COUNT(Curvas_cupon_cero!$A:$A)-2,1)),[1]!interpolar(H441,OFFSET(Curvas_cupon_cero!$A$1,1,0,COUNT(Curvas_cupon_cero!$A:$A)-2,1),OFFSET(Curvas_cupon_cero!$A$1,1,MATCH($B$6,Curvas_cupon_cero!$1:$1,0)-1,COUNT(Curvas_cupon_cero!$A:$A)-2,1))))</f>
        <v/>
      </c>
      <c r="J441" s="19" t="str">
        <f>IF(A441="","",F441/(1+I441*$B$5/360)^(COUNT(A$16:A441)-($B$5-$G$16)/$B$5))</f>
        <v/>
      </c>
    </row>
    <row r="442" spans="1:10" x14ac:dyDescent="0.2">
      <c r="A442" s="12" t="str">
        <f t="shared" si="39"/>
        <v/>
      </c>
      <c r="B442" t="str">
        <f t="shared" si="37"/>
        <v/>
      </c>
      <c r="C442" s="21" t="str">
        <f ca="1">IF(A442="","",IF($B$8="Sí",interpolar_alamb(B442,OFFSET(Curvas_cupon_cero!$A$1,1,0,COUNT(Curvas_cupon_cero!$A:$A)-2,1),OFFSET(Curvas_cupon_cero!$A$1,1,MATCH($B$7,Curvas_cupon_cero!$1:$1,0)-1,COUNT(Curvas_cupon_cero!$A:$A)-2,1)),[1]!interpolar(B442,OFFSET(Curvas_cupon_cero!$A$1,1,0,COUNT(Curvas_cupon_cero!$A:$A)-2,1),OFFSET(Curvas_cupon_cero!$A$1,1,MATCH($B$7,Curvas_cupon_cero!$1:$1,0)-1,COUNT(Curvas_cupon_cero!$A:$A)-2,1))))</f>
        <v/>
      </c>
      <c r="D442" s="23" t="str">
        <f ca="1">IF(A442="","",IF($B$8="Sí",interpolar_alamb(H442,OFFSET(Curvas_cupon_cero!$A$1,1,0,COUNT(Curvas_cupon_cero!$A:$A)-2,1),OFFSET(Curvas_cupon_cero!$A$1,1,MATCH($B$7,Curvas_cupon_cero!$1:$1,0)-1,COUNT(Curvas_cupon_cero!$A:$A)-2,1)),[1]!interpolar(H442,OFFSET(Curvas_cupon_cero!$A$1,1,0,COUNT(Curvas_cupon_cero!$A:$A)-2,1),OFFSET(Curvas_cupon_cero!$A$1,1,MATCH($B$7,Curvas_cupon_cero!$1:$1,0)-1,COUNT(Curvas_cupon_cero!$A:$A)-2,1))))</f>
        <v/>
      </c>
      <c r="E442" s="23" t="str">
        <f t="shared" si="40"/>
        <v/>
      </c>
      <c r="F442" s="17" t="str">
        <f t="shared" si="38"/>
        <v/>
      </c>
      <c r="G442" s="18" t="str">
        <f t="shared" si="41"/>
        <v/>
      </c>
      <c r="H442" t="str">
        <f t="shared" si="42"/>
        <v/>
      </c>
      <c r="I442" s="23" t="str">
        <f ca="1">IF(A442="","",IF($B$8="Sí",interpolar_alamb(H442,OFFSET(Curvas_cupon_cero!$A$1,1,0,COUNT(Curvas_cupon_cero!$A:$A)-2,1),OFFSET(Curvas_cupon_cero!$A$1,1,MATCH($B$6,Curvas_cupon_cero!$1:$1,0)-1,COUNT(Curvas_cupon_cero!$A:$A)-2,1)),[1]!interpolar(H442,OFFSET(Curvas_cupon_cero!$A$1,1,0,COUNT(Curvas_cupon_cero!$A:$A)-2,1),OFFSET(Curvas_cupon_cero!$A$1,1,MATCH($B$6,Curvas_cupon_cero!$1:$1,0)-1,COUNT(Curvas_cupon_cero!$A:$A)-2,1))))</f>
        <v/>
      </c>
      <c r="J442" s="19" t="str">
        <f>IF(A442="","",F442/(1+I442*$B$5/360)^(COUNT(A$16:A442)-($B$5-$G$16)/$B$5))</f>
        <v/>
      </c>
    </row>
    <row r="443" spans="1:10" x14ac:dyDescent="0.2">
      <c r="A443" s="12" t="str">
        <f t="shared" si="39"/>
        <v/>
      </c>
      <c r="B443" t="str">
        <f t="shared" si="37"/>
        <v/>
      </c>
      <c r="C443" s="21" t="str">
        <f ca="1">IF(A443="","",IF($B$8="Sí",interpolar_alamb(B443,OFFSET(Curvas_cupon_cero!$A$1,1,0,COUNT(Curvas_cupon_cero!$A:$A)-2,1),OFFSET(Curvas_cupon_cero!$A$1,1,MATCH($B$7,Curvas_cupon_cero!$1:$1,0)-1,COUNT(Curvas_cupon_cero!$A:$A)-2,1)),[1]!interpolar(B443,OFFSET(Curvas_cupon_cero!$A$1,1,0,COUNT(Curvas_cupon_cero!$A:$A)-2,1),OFFSET(Curvas_cupon_cero!$A$1,1,MATCH($B$7,Curvas_cupon_cero!$1:$1,0)-1,COUNT(Curvas_cupon_cero!$A:$A)-2,1))))</f>
        <v/>
      </c>
      <c r="D443" s="23" t="str">
        <f ca="1">IF(A443="","",IF($B$8="Sí",interpolar_alamb(H443,OFFSET(Curvas_cupon_cero!$A$1,1,0,COUNT(Curvas_cupon_cero!$A:$A)-2,1),OFFSET(Curvas_cupon_cero!$A$1,1,MATCH($B$7,Curvas_cupon_cero!$1:$1,0)-1,COUNT(Curvas_cupon_cero!$A:$A)-2,1)),[1]!interpolar(H443,OFFSET(Curvas_cupon_cero!$A$1,1,0,COUNT(Curvas_cupon_cero!$A:$A)-2,1),OFFSET(Curvas_cupon_cero!$A$1,1,MATCH($B$7,Curvas_cupon_cero!$1:$1,0)-1,COUNT(Curvas_cupon_cero!$A:$A)-2,1))))</f>
        <v/>
      </c>
      <c r="E443" s="23" t="str">
        <f t="shared" si="40"/>
        <v/>
      </c>
      <c r="F443" s="17" t="str">
        <f t="shared" si="38"/>
        <v/>
      </c>
      <c r="G443" s="18" t="str">
        <f t="shared" si="41"/>
        <v/>
      </c>
      <c r="H443" t="str">
        <f t="shared" si="42"/>
        <v/>
      </c>
      <c r="I443" s="23" t="str">
        <f ca="1">IF(A443="","",IF($B$8="Sí",interpolar_alamb(H443,OFFSET(Curvas_cupon_cero!$A$1,1,0,COUNT(Curvas_cupon_cero!$A:$A)-2,1),OFFSET(Curvas_cupon_cero!$A$1,1,MATCH($B$6,Curvas_cupon_cero!$1:$1,0)-1,COUNT(Curvas_cupon_cero!$A:$A)-2,1)),[1]!interpolar(H443,OFFSET(Curvas_cupon_cero!$A$1,1,0,COUNT(Curvas_cupon_cero!$A:$A)-2,1),OFFSET(Curvas_cupon_cero!$A$1,1,MATCH($B$6,Curvas_cupon_cero!$1:$1,0)-1,COUNT(Curvas_cupon_cero!$A:$A)-2,1))))</f>
        <v/>
      </c>
      <c r="J443" s="19" t="str">
        <f>IF(A443="","",F443/(1+I443*$B$5/360)^(COUNT(A$16:A443)-($B$5-$G$16)/$B$5))</f>
        <v/>
      </c>
    </row>
    <row r="444" spans="1:10" x14ac:dyDescent="0.2">
      <c r="A444" s="12" t="str">
        <f t="shared" si="39"/>
        <v/>
      </c>
      <c r="B444" t="str">
        <f t="shared" si="37"/>
        <v/>
      </c>
      <c r="C444" s="21" t="str">
        <f ca="1">IF(A444="","",IF($B$8="Sí",interpolar_alamb(B444,OFFSET(Curvas_cupon_cero!$A$1,1,0,COUNT(Curvas_cupon_cero!$A:$A)-2,1),OFFSET(Curvas_cupon_cero!$A$1,1,MATCH($B$7,Curvas_cupon_cero!$1:$1,0)-1,COUNT(Curvas_cupon_cero!$A:$A)-2,1)),[1]!interpolar(B444,OFFSET(Curvas_cupon_cero!$A$1,1,0,COUNT(Curvas_cupon_cero!$A:$A)-2,1),OFFSET(Curvas_cupon_cero!$A$1,1,MATCH($B$7,Curvas_cupon_cero!$1:$1,0)-1,COUNT(Curvas_cupon_cero!$A:$A)-2,1))))</f>
        <v/>
      </c>
      <c r="D444" s="23" t="str">
        <f ca="1">IF(A444="","",IF($B$8="Sí",interpolar_alamb(H444,OFFSET(Curvas_cupon_cero!$A$1,1,0,COUNT(Curvas_cupon_cero!$A:$A)-2,1),OFFSET(Curvas_cupon_cero!$A$1,1,MATCH($B$7,Curvas_cupon_cero!$1:$1,0)-1,COUNT(Curvas_cupon_cero!$A:$A)-2,1)),[1]!interpolar(H444,OFFSET(Curvas_cupon_cero!$A$1,1,0,COUNT(Curvas_cupon_cero!$A:$A)-2,1),OFFSET(Curvas_cupon_cero!$A$1,1,MATCH($B$7,Curvas_cupon_cero!$1:$1,0)-1,COUNT(Curvas_cupon_cero!$A:$A)-2,1))))</f>
        <v/>
      </c>
      <c r="E444" s="23" t="str">
        <f t="shared" si="40"/>
        <v/>
      </c>
      <c r="F444" s="17" t="str">
        <f t="shared" si="38"/>
        <v/>
      </c>
      <c r="G444" s="18" t="str">
        <f t="shared" si="41"/>
        <v/>
      </c>
      <c r="H444" t="str">
        <f t="shared" si="42"/>
        <v/>
      </c>
      <c r="I444" s="23" t="str">
        <f ca="1">IF(A444="","",IF($B$8="Sí",interpolar_alamb(H444,OFFSET(Curvas_cupon_cero!$A$1,1,0,COUNT(Curvas_cupon_cero!$A:$A)-2,1),OFFSET(Curvas_cupon_cero!$A$1,1,MATCH($B$6,Curvas_cupon_cero!$1:$1,0)-1,COUNT(Curvas_cupon_cero!$A:$A)-2,1)),[1]!interpolar(H444,OFFSET(Curvas_cupon_cero!$A$1,1,0,COUNT(Curvas_cupon_cero!$A:$A)-2,1),OFFSET(Curvas_cupon_cero!$A$1,1,MATCH($B$6,Curvas_cupon_cero!$1:$1,0)-1,COUNT(Curvas_cupon_cero!$A:$A)-2,1))))</f>
        <v/>
      </c>
      <c r="J444" s="19" t="str">
        <f>IF(A444="","",F444/(1+I444*$B$5/360)^(COUNT(A$16:A444)-($B$5-$G$16)/$B$5))</f>
        <v/>
      </c>
    </row>
    <row r="445" spans="1:10" x14ac:dyDescent="0.2">
      <c r="A445" s="12" t="str">
        <f t="shared" si="39"/>
        <v/>
      </c>
      <c r="B445" t="str">
        <f t="shared" si="37"/>
        <v/>
      </c>
      <c r="C445" s="21" t="str">
        <f ca="1">IF(A445="","",IF($B$8="Sí",interpolar_alamb(B445,OFFSET(Curvas_cupon_cero!$A$1,1,0,COUNT(Curvas_cupon_cero!$A:$A)-2,1),OFFSET(Curvas_cupon_cero!$A$1,1,MATCH($B$7,Curvas_cupon_cero!$1:$1,0)-1,COUNT(Curvas_cupon_cero!$A:$A)-2,1)),[1]!interpolar(B445,OFFSET(Curvas_cupon_cero!$A$1,1,0,COUNT(Curvas_cupon_cero!$A:$A)-2,1),OFFSET(Curvas_cupon_cero!$A$1,1,MATCH($B$7,Curvas_cupon_cero!$1:$1,0)-1,COUNT(Curvas_cupon_cero!$A:$A)-2,1))))</f>
        <v/>
      </c>
      <c r="D445" s="23" t="str">
        <f ca="1">IF(A445="","",IF($B$8="Sí",interpolar_alamb(H445,OFFSET(Curvas_cupon_cero!$A$1,1,0,COUNT(Curvas_cupon_cero!$A:$A)-2,1),OFFSET(Curvas_cupon_cero!$A$1,1,MATCH($B$7,Curvas_cupon_cero!$1:$1,0)-1,COUNT(Curvas_cupon_cero!$A:$A)-2,1)),[1]!interpolar(H445,OFFSET(Curvas_cupon_cero!$A$1,1,0,COUNT(Curvas_cupon_cero!$A:$A)-2,1),OFFSET(Curvas_cupon_cero!$A$1,1,MATCH($B$7,Curvas_cupon_cero!$1:$1,0)-1,COUNT(Curvas_cupon_cero!$A:$A)-2,1))))</f>
        <v/>
      </c>
      <c r="E445" s="23" t="str">
        <f t="shared" si="40"/>
        <v/>
      </c>
      <c r="F445" s="17" t="str">
        <f t="shared" si="38"/>
        <v/>
      </c>
      <c r="G445" s="18" t="str">
        <f t="shared" si="41"/>
        <v/>
      </c>
      <c r="H445" t="str">
        <f t="shared" si="42"/>
        <v/>
      </c>
      <c r="I445" s="23" t="str">
        <f ca="1">IF(A445="","",IF($B$8="Sí",interpolar_alamb(H445,OFFSET(Curvas_cupon_cero!$A$1,1,0,COUNT(Curvas_cupon_cero!$A:$A)-2,1),OFFSET(Curvas_cupon_cero!$A$1,1,MATCH($B$6,Curvas_cupon_cero!$1:$1,0)-1,COUNT(Curvas_cupon_cero!$A:$A)-2,1)),[1]!interpolar(H445,OFFSET(Curvas_cupon_cero!$A$1,1,0,COUNT(Curvas_cupon_cero!$A:$A)-2,1),OFFSET(Curvas_cupon_cero!$A$1,1,MATCH($B$6,Curvas_cupon_cero!$1:$1,0)-1,COUNT(Curvas_cupon_cero!$A:$A)-2,1))))</f>
        <v/>
      </c>
      <c r="J445" s="19" t="str">
        <f>IF(A445="","",F445/(1+I445*$B$5/360)^(COUNT(A$16:A445)-($B$5-$G$16)/$B$5))</f>
        <v/>
      </c>
    </row>
    <row r="446" spans="1:10" x14ac:dyDescent="0.2">
      <c r="A446" s="12" t="str">
        <f t="shared" si="39"/>
        <v/>
      </c>
      <c r="B446" t="str">
        <f t="shared" si="37"/>
        <v/>
      </c>
      <c r="C446" s="21" t="str">
        <f ca="1">IF(A446="","",IF($B$8="Sí",interpolar_alamb(B446,OFFSET(Curvas_cupon_cero!$A$1,1,0,COUNT(Curvas_cupon_cero!$A:$A)-2,1),OFFSET(Curvas_cupon_cero!$A$1,1,MATCH($B$7,Curvas_cupon_cero!$1:$1,0)-1,COUNT(Curvas_cupon_cero!$A:$A)-2,1)),[1]!interpolar(B446,OFFSET(Curvas_cupon_cero!$A$1,1,0,COUNT(Curvas_cupon_cero!$A:$A)-2,1),OFFSET(Curvas_cupon_cero!$A$1,1,MATCH($B$7,Curvas_cupon_cero!$1:$1,0)-1,COUNT(Curvas_cupon_cero!$A:$A)-2,1))))</f>
        <v/>
      </c>
      <c r="D446" s="23" t="str">
        <f ca="1">IF(A446="","",IF($B$8="Sí",interpolar_alamb(H446,OFFSET(Curvas_cupon_cero!$A$1,1,0,COUNT(Curvas_cupon_cero!$A:$A)-2,1),OFFSET(Curvas_cupon_cero!$A$1,1,MATCH($B$7,Curvas_cupon_cero!$1:$1,0)-1,COUNT(Curvas_cupon_cero!$A:$A)-2,1)),[1]!interpolar(H446,OFFSET(Curvas_cupon_cero!$A$1,1,0,COUNT(Curvas_cupon_cero!$A:$A)-2,1),OFFSET(Curvas_cupon_cero!$A$1,1,MATCH($B$7,Curvas_cupon_cero!$1:$1,0)-1,COUNT(Curvas_cupon_cero!$A:$A)-2,1))))</f>
        <v/>
      </c>
      <c r="E446" s="23" t="str">
        <f t="shared" si="40"/>
        <v/>
      </c>
      <c r="F446" s="17" t="str">
        <f t="shared" si="38"/>
        <v/>
      </c>
      <c r="G446" s="18" t="str">
        <f t="shared" si="41"/>
        <v/>
      </c>
      <c r="H446" t="str">
        <f t="shared" si="42"/>
        <v/>
      </c>
      <c r="I446" s="23" t="str">
        <f ca="1">IF(A446="","",IF($B$8="Sí",interpolar_alamb(H446,OFFSET(Curvas_cupon_cero!$A$1,1,0,COUNT(Curvas_cupon_cero!$A:$A)-2,1),OFFSET(Curvas_cupon_cero!$A$1,1,MATCH($B$6,Curvas_cupon_cero!$1:$1,0)-1,COUNT(Curvas_cupon_cero!$A:$A)-2,1)),[1]!interpolar(H446,OFFSET(Curvas_cupon_cero!$A$1,1,0,COUNT(Curvas_cupon_cero!$A:$A)-2,1),OFFSET(Curvas_cupon_cero!$A$1,1,MATCH($B$6,Curvas_cupon_cero!$1:$1,0)-1,COUNT(Curvas_cupon_cero!$A:$A)-2,1))))</f>
        <v/>
      </c>
      <c r="J446" s="19" t="str">
        <f>IF(A446="","",F446/(1+I446*$B$5/360)^(COUNT(A$16:A446)-($B$5-$G$16)/$B$5))</f>
        <v/>
      </c>
    </row>
    <row r="447" spans="1:10" x14ac:dyDescent="0.2">
      <c r="A447" s="12" t="str">
        <f t="shared" si="39"/>
        <v/>
      </c>
      <c r="B447" t="str">
        <f t="shared" si="37"/>
        <v/>
      </c>
      <c r="C447" s="21" t="str">
        <f ca="1">IF(A447="","",IF($B$8="Sí",interpolar_alamb(B447,OFFSET(Curvas_cupon_cero!$A$1,1,0,COUNT(Curvas_cupon_cero!$A:$A)-2,1),OFFSET(Curvas_cupon_cero!$A$1,1,MATCH($B$7,Curvas_cupon_cero!$1:$1,0)-1,COUNT(Curvas_cupon_cero!$A:$A)-2,1)),[1]!interpolar(B447,OFFSET(Curvas_cupon_cero!$A$1,1,0,COUNT(Curvas_cupon_cero!$A:$A)-2,1),OFFSET(Curvas_cupon_cero!$A$1,1,MATCH($B$7,Curvas_cupon_cero!$1:$1,0)-1,COUNT(Curvas_cupon_cero!$A:$A)-2,1))))</f>
        <v/>
      </c>
      <c r="D447" s="23" t="str">
        <f ca="1">IF(A447="","",IF($B$8="Sí",interpolar_alamb(H447,OFFSET(Curvas_cupon_cero!$A$1,1,0,COUNT(Curvas_cupon_cero!$A:$A)-2,1),OFFSET(Curvas_cupon_cero!$A$1,1,MATCH($B$7,Curvas_cupon_cero!$1:$1,0)-1,COUNT(Curvas_cupon_cero!$A:$A)-2,1)),[1]!interpolar(H447,OFFSET(Curvas_cupon_cero!$A$1,1,0,COUNT(Curvas_cupon_cero!$A:$A)-2,1),OFFSET(Curvas_cupon_cero!$A$1,1,MATCH($B$7,Curvas_cupon_cero!$1:$1,0)-1,COUNT(Curvas_cupon_cero!$A:$A)-2,1))))</f>
        <v/>
      </c>
      <c r="E447" s="23" t="str">
        <f t="shared" si="40"/>
        <v/>
      </c>
      <c r="F447" s="17" t="str">
        <f t="shared" si="38"/>
        <v/>
      </c>
      <c r="G447" s="18" t="str">
        <f t="shared" si="41"/>
        <v/>
      </c>
      <c r="H447" t="str">
        <f t="shared" si="42"/>
        <v/>
      </c>
      <c r="I447" s="23" t="str">
        <f ca="1">IF(A447="","",IF($B$8="Sí",interpolar_alamb(H447,OFFSET(Curvas_cupon_cero!$A$1,1,0,COUNT(Curvas_cupon_cero!$A:$A)-2,1),OFFSET(Curvas_cupon_cero!$A$1,1,MATCH($B$6,Curvas_cupon_cero!$1:$1,0)-1,COUNT(Curvas_cupon_cero!$A:$A)-2,1)),[1]!interpolar(H447,OFFSET(Curvas_cupon_cero!$A$1,1,0,COUNT(Curvas_cupon_cero!$A:$A)-2,1),OFFSET(Curvas_cupon_cero!$A$1,1,MATCH($B$6,Curvas_cupon_cero!$1:$1,0)-1,COUNT(Curvas_cupon_cero!$A:$A)-2,1))))</f>
        <v/>
      </c>
      <c r="J447" s="19" t="str">
        <f>IF(A447="","",F447/(1+I447*$B$5/360)^(COUNT(A$16:A447)-($B$5-$G$16)/$B$5))</f>
        <v/>
      </c>
    </row>
    <row r="448" spans="1:10" x14ac:dyDescent="0.2">
      <c r="A448" s="12" t="str">
        <f t="shared" si="39"/>
        <v/>
      </c>
      <c r="B448" t="str">
        <f t="shared" si="37"/>
        <v/>
      </c>
      <c r="C448" s="21" t="str">
        <f ca="1">IF(A448="","",IF($B$8="Sí",interpolar_alamb(B448,OFFSET(Curvas_cupon_cero!$A$1,1,0,COUNT(Curvas_cupon_cero!$A:$A)-2,1),OFFSET(Curvas_cupon_cero!$A$1,1,MATCH($B$7,Curvas_cupon_cero!$1:$1,0)-1,COUNT(Curvas_cupon_cero!$A:$A)-2,1)),[1]!interpolar(B448,OFFSET(Curvas_cupon_cero!$A$1,1,0,COUNT(Curvas_cupon_cero!$A:$A)-2,1),OFFSET(Curvas_cupon_cero!$A$1,1,MATCH($B$7,Curvas_cupon_cero!$1:$1,0)-1,COUNT(Curvas_cupon_cero!$A:$A)-2,1))))</f>
        <v/>
      </c>
      <c r="D448" s="23" t="str">
        <f ca="1">IF(A448="","",IF($B$8="Sí",interpolar_alamb(H448,OFFSET(Curvas_cupon_cero!$A$1,1,0,COUNT(Curvas_cupon_cero!$A:$A)-2,1),OFFSET(Curvas_cupon_cero!$A$1,1,MATCH($B$7,Curvas_cupon_cero!$1:$1,0)-1,COUNT(Curvas_cupon_cero!$A:$A)-2,1)),[1]!interpolar(H448,OFFSET(Curvas_cupon_cero!$A$1,1,0,COUNT(Curvas_cupon_cero!$A:$A)-2,1),OFFSET(Curvas_cupon_cero!$A$1,1,MATCH($B$7,Curvas_cupon_cero!$1:$1,0)-1,COUNT(Curvas_cupon_cero!$A:$A)-2,1))))</f>
        <v/>
      </c>
      <c r="E448" s="23" t="str">
        <f t="shared" si="40"/>
        <v/>
      </c>
      <c r="F448" s="17" t="str">
        <f t="shared" si="38"/>
        <v/>
      </c>
      <c r="G448" s="18" t="str">
        <f t="shared" si="41"/>
        <v/>
      </c>
      <c r="H448" t="str">
        <f t="shared" si="42"/>
        <v/>
      </c>
      <c r="I448" s="23" t="str">
        <f ca="1">IF(A448="","",IF($B$8="Sí",interpolar_alamb(H448,OFFSET(Curvas_cupon_cero!$A$1,1,0,COUNT(Curvas_cupon_cero!$A:$A)-2,1),OFFSET(Curvas_cupon_cero!$A$1,1,MATCH($B$6,Curvas_cupon_cero!$1:$1,0)-1,COUNT(Curvas_cupon_cero!$A:$A)-2,1)),[1]!interpolar(H448,OFFSET(Curvas_cupon_cero!$A$1,1,0,COUNT(Curvas_cupon_cero!$A:$A)-2,1),OFFSET(Curvas_cupon_cero!$A$1,1,MATCH($B$6,Curvas_cupon_cero!$1:$1,0)-1,COUNT(Curvas_cupon_cero!$A:$A)-2,1))))</f>
        <v/>
      </c>
      <c r="J448" s="19" t="str">
        <f>IF(A448="","",F448/(1+I448*$B$5/360)^(COUNT(A$16:A448)-($B$5-$G$16)/$B$5))</f>
        <v/>
      </c>
    </row>
    <row r="449" spans="1:10" x14ac:dyDescent="0.2">
      <c r="A449" s="12" t="str">
        <f t="shared" si="39"/>
        <v/>
      </c>
      <c r="B449" t="str">
        <f t="shared" si="37"/>
        <v/>
      </c>
      <c r="C449" s="21" t="str">
        <f ca="1">IF(A449="","",IF($B$8="Sí",interpolar_alamb(B449,OFFSET(Curvas_cupon_cero!$A$1,1,0,COUNT(Curvas_cupon_cero!$A:$A)-2,1),OFFSET(Curvas_cupon_cero!$A$1,1,MATCH($B$7,Curvas_cupon_cero!$1:$1,0)-1,COUNT(Curvas_cupon_cero!$A:$A)-2,1)),[1]!interpolar(B449,OFFSET(Curvas_cupon_cero!$A$1,1,0,COUNT(Curvas_cupon_cero!$A:$A)-2,1),OFFSET(Curvas_cupon_cero!$A$1,1,MATCH($B$7,Curvas_cupon_cero!$1:$1,0)-1,COUNT(Curvas_cupon_cero!$A:$A)-2,1))))</f>
        <v/>
      </c>
      <c r="D449" s="23" t="str">
        <f ca="1">IF(A449="","",IF($B$8="Sí",interpolar_alamb(H449,OFFSET(Curvas_cupon_cero!$A$1,1,0,COUNT(Curvas_cupon_cero!$A:$A)-2,1),OFFSET(Curvas_cupon_cero!$A$1,1,MATCH($B$7,Curvas_cupon_cero!$1:$1,0)-1,COUNT(Curvas_cupon_cero!$A:$A)-2,1)),[1]!interpolar(H449,OFFSET(Curvas_cupon_cero!$A$1,1,0,COUNT(Curvas_cupon_cero!$A:$A)-2,1),OFFSET(Curvas_cupon_cero!$A$1,1,MATCH($B$7,Curvas_cupon_cero!$1:$1,0)-1,COUNT(Curvas_cupon_cero!$A:$A)-2,1))))</f>
        <v/>
      </c>
      <c r="E449" s="23" t="str">
        <f t="shared" si="40"/>
        <v/>
      </c>
      <c r="F449" s="17" t="str">
        <f t="shared" si="38"/>
        <v/>
      </c>
      <c r="G449" s="18" t="str">
        <f t="shared" si="41"/>
        <v/>
      </c>
      <c r="H449" t="str">
        <f t="shared" si="42"/>
        <v/>
      </c>
      <c r="I449" s="23" t="str">
        <f ca="1">IF(A449="","",IF($B$8="Sí",interpolar_alamb(H449,OFFSET(Curvas_cupon_cero!$A$1,1,0,COUNT(Curvas_cupon_cero!$A:$A)-2,1),OFFSET(Curvas_cupon_cero!$A$1,1,MATCH($B$6,Curvas_cupon_cero!$1:$1,0)-1,COUNT(Curvas_cupon_cero!$A:$A)-2,1)),[1]!interpolar(H449,OFFSET(Curvas_cupon_cero!$A$1,1,0,COUNT(Curvas_cupon_cero!$A:$A)-2,1),OFFSET(Curvas_cupon_cero!$A$1,1,MATCH($B$6,Curvas_cupon_cero!$1:$1,0)-1,COUNT(Curvas_cupon_cero!$A:$A)-2,1))))</f>
        <v/>
      </c>
      <c r="J449" s="19" t="str">
        <f>IF(A449="","",F449/(1+I449*$B$5/360)^(COUNT(A$16:A449)-($B$5-$G$16)/$B$5))</f>
        <v/>
      </c>
    </row>
    <row r="450" spans="1:10" x14ac:dyDescent="0.2">
      <c r="A450" s="12" t="str">
        <f t="shared" si="39"/>
        <v/>
      </c>
      <c r="B450" t="str">
        <f t="shared" si="37"/>
        <v/>
      </c>
      <c r="C450" s="21" t="str">
        <f ca="1">IF(A450="","",IF($B$8="Sí",interpolar_alamb(B450,OFFSET(Curvas_cupon_cero!$A$1,1,0,COUNT(Curvas_cupon_cero!$A:$A)-2,1),OFFSET(Curvas_cupon_cero!$A$1,1,MATCH($B$7,Curvas_cupon_cero!$1:$1,0)-1,COUNT(Curvas_cupon_cero!$A:$A)-2,1)),[1]!interpolar(B450,OFFSET(Curvas_cupon_cero!$A$1,1,0,COUNT(Curvas_cupon_cero!$A:$A)-2,1),OFFSET(Curvas_cupon_cero!$A$1,1,MATCH($B$7,Curvas_cupon_cero!$1:$1,0)-1,COUNT(Curvas_cupon_cero!$A:$A)-2,1))))</f>
        <v/>
      </c>
      <c r="D450" s="23" t="str">
        <f ca="1">IF(A450="","",IF($B$8="Sí",interpolar_alamb(H450,OFFSET(Curvas_cupon_cero!$A$1,1,0,COUNT(Curvas_cupon_cero!$A:$A)-2,1),OFFSET(Curvas_cupon_cero!$A$1,1,MATCH($B$7,Curvas_cupon_cero!$1:$1,0)-1,COUNT(Curvas_cupon_cero!$A:$A)-2,1)),[1]!interpolar(H450,OFFSET(Curvas_cupon_cero!$A$1,1,0,COUNT(Curvas_cupon_cero!$A:$A)-2,1),OFFSET(Curvas_cupon_cero!$A$1,1,MATCH($B$7,Curvas_cupon_cero!$1:$1,0)-1,COUNT(Curvas_cupon_cero!$A:$A)-2,1))))</f>
        <v/>
      </c>
      <c r="E450" s="23" t="str">
        <f t="shared" si="40"/>
        <v/>
      </c>
      <c r="F450" s="17" t="str">
        <f t="shared" si="38"/>
        <v/>
      </c>
      <c r="G450" s="18" t="str">
        <f t="shared" si="41"/>
        <v/>
      </c>
      <c r="H450" t="str">
        <f t="shared" si="42"/>
        <v/>
      </c>
      <c r="I450" s="23" t="str">
        <f ca="1">IF(A450="","",IF($B$8="Sí",interpolar_alamb(H450,OFFSET(Curvas_cupon_cero!$A$1,1,0,COUNT(Curvas_cupon_cero!$A:$A)-2,1),OFFSET(Curvas_cupon_cero!$A$1,1,MATCH($B$6,Curvas_cupon_cero!$1:$1,0)-1,COUNT(Curvas_cupon_cero!$A:$A)-2,1)),[1]!interpolar(H450,OFFSET(Curvas_cupon_cero!$A$1,1,0,COUNT(Curvas_cupon_cero!$A:$A)-2,1),OFFSET(Curvas_cupon_cero!$A$1,1,MATCH($B$6,Curvas_cupon_cero!$1:$1,0)-1,COUNT(Curvas_cupon_cero!$A:$A)-2,1))))</f>
        <v/>
      </c>
      <c r="J450" s="19" t="str">
        <f>IF(A450="","",F450/(1+I450*$B$5/360)^(COUNT(A$16:A450)-($B$5-$G$16)/$B$5))</f>
        <v/>
      </c>
    </row>
    <row r="451" spans="1:10" x14ac:dyDescent="0.2">
      <c r="A451" s="12" t="str">
        <f t="shared" si="39"/>
        <v/>
      </c>
      <c r="B451" t="str">
        <f t="shared" si="37"/>
        <v/>
      </c>
      <c r="C451" s="21" t="str">
        <f ca="1">IF(A451="","",IF($B$8="Sí",interpolar_alamb(B451,OFFSET(Curvas_cupon_cero!$A$1,1,0,COUNT(Curvas_cupon_cero!$A:$A)-2,1),OFFSET(Curvas_cupon_cero!$A$1,1,MATCH($B$7,Curvas_cupon_cero!$1:$1,0)-1,COUNT(Curvas_cupon_cero!$A:$A)-2,1)),[1]!interpolar(B451,OFFSET(Curvas_cupon_cero!$A$1,1,0,COUNT(Curvas_cupon_cero!$A:$A)-2,1),OFFSET(Curvas_cupon_cero!$A$1,1,MATCH($B$7,Curvas_cupon_cero!$1:$1,0)-1,COUNT(Curvas_cupon_cero!$A:$A)-2,1))))</f>
        <v/>
      </c>
      <c r="D451" s="23" t="str">
        <f ca="1">IF(A451="","",IF($B$8="Sí",interpolar_alamb(H451,OFFSET(Curvas_cupon_cero!$A$1,1,0,COUNT(Curvas_cupon_cero!$A:$A)-2,1),OFFSET(Curvas_cupon_cero!$A$1,1,MATCH($B$7,Curvas_cupon_cero!$1:$1,0)-1,COUNT(Curvas_cupon_cero!$A:$A)-2,1)),[1]!interpolar(H451,OFFSET(Curvas_cupon_cero!$A$1,1,0,COUNT(Curvas_cupon_cero!$A:$A)-2,1),OFFSET(Curvas_cupon_cero!$A$1,1,MATCH($B$7,Curvas_cupon_cero!$1:$1,0)-1,COUNT(Curvas_cupon_cero!$A:$A)-2,1))))</f>
        <v/>
      </c>
      <c r="E451" s="23" t="str">
        <f t="shared" si="40"/>
        <v/>
      </c>
      <c r="F451" s="17" t="str">
        <f t="shared" si="38"/>
        <v/>
      </c>
      <c r="G451" s="18" t="str">
        <f t="shared" si="41"/>
        <v/>
      </c>
      <c r="H451" t="str">
        <f t="shared" si="42"/>
        <v/>
      </c>
      <c r="I451" s="23" t="str">
        <f ca="1">IF(A451="","",IF($B$8="Sí",interpolar_alamb(H451,OFFSET(Curvas_cupon_cero!$A$1,1,0,COUNT(Curvas_cupon_cero!$A:$A)-2,1),OFFSET(Curvas_cupon_cero!$A$1,1,MATCH($B$6,Curvas_cupon_cero!$1:$1,0)-1,COUNT(Curvas_cupon_cero!$A:$A)-2,1)),[1]!interpolar(H451,OFFSET(Curvas_cupon_cero!$A$1,1,0,COUNT(Curvas_cupon_cero!$A:$A)-2,1),OFFSET(Curvas_cupon_cero!$A$1,1,MATCH($B$6,Curvas_cupon_cero!$1:$1,0)-1,COUNT(Curvas_cupon_cero!$A:$A)-2,1))))</f>
        <v/>
      </c>
      <c r="J451" s="19" t="str">
        <f>IF(A451="","",F451/(1+I451*$B$5/360)^(COUNT(A$16:A451)-($B$5-$G$16)/$B$5))</f>
        <v/>
      </c>
    </row>
    <row r="452" spans="1:10" x14ac:dyDescent="0.2">
      <c r="A452" s="12" t="str">
        <f t="shared" si="39"/>
        <v/>
      </c>
      <c r="B452" t="str">
        <f t="shared" si="37"/>
        <v/>
      </c>
      <c r="C452" s="21" t="str">
        <f ca="1">IF(A452="","",IF($B$8="Sí",interpolar_alamb(B452,OFFSET(Curvas_cupon_cero!$A$1,1,0,COUNT(Curvas_cupon_cero!$A:$A)-2,1),OFFSET(Curvas_cupon_cero!$A$1,1,MATCH($B$7,Curvas_cupon_cero!$1:$1,0)-1,COUNT(Curvas_cupon_cero!$A:$A)-2,1)),[1]!interpolar(B452,OFFSET(Curvas_cupon_cero!$A$1,1,0,COUNT(Curvas_cupon_cero!$A:$A)-2,1),OFFSET(Curvas_cupon_cero!$A$1,1,MATCH($B$7,Curvas_cupon_cero!$1:$1,0)-1,COUNT(Curvas_cupon_cero!$A:$A)-2,1))))</f>
        <v/>
      </c>
      <c r="D452" s="23" t="str">
        <f ca="1">IF(A452="","",IF($B$8="Sí",interpolar_alamb(H452,OFFSET(Curvas_cupon_cero!$A$1,1,0,COUNT(Curvas_cupon_cero!$A:$A)-2,1),OFFSET(Curvas_cupon_cero!$A$1,1,MATCH($B$7,Curvas_cupon_cero!$1:$1,0)-1,COUNT(Curvas_cupon_cero!$A:$A)-2,1)),[1]!interpolar(H452,OFFSET(Curvas_cupon_cero!$A$1,1,0,COUNT(Curvas_cupon_cero!$A:$A)-2,1),OFFSET(Curvas_cupon_cero!$A$1,1,MATCH($B$7,Curvas_cupon_cero!$1:$1,0)-1,COUNT(Curvas_cupon_cero!$A:$A)-2,1))))</f>
        <v/>
      </c>
      <c r="E452" s="23" t="str">
        <f t="shared" si="40"/>
        <v/>
      </c>
      <c r="F452" s="17" t="str">
        <f t="shared" si="38"/>
        <v/>
      </c>
      <c r="G452" s="18" t="str">
        <f t="shared" si="41"/>
        <v/>
      </c>
      <c r="H452" t="str">
        <f t="shared" si="42"/>
        <v/>
      </c>
      <c r="I452" s="23" t="str">
        <f ca="1">IF(A452="","",IF($B$8="Sí",interpolar_alamb(H452,OFFSET(Curvas_cupon_cero!$A$1,1,0,COUNT(Curvas_cupon_cero!$A:$A)-2,1),OFFSET(Curvas_cupon_cero!$A$1,1,MATCH($B$6,Curvas_cupon_cero!$1:$1,0)-1,COUNT(Curvas_cupon_cero!$A:$A)-2,1)),[1]!interpolar(H452,OFFSET(Curvas_cupon_cero!$A$1,1,0,COUNT(Curvas_cupon_cero!$A:$A)-2,1),OFFSET(Curvas_cupon_cero!$A$1,1,MATCH($B$6,Curvas_cupon_cero!$1:$1,0)-1,COUNT(Curvas_cupon_cero!$A:$A)-2,1))))</f>
        <v/>
      </c>
      <c r="J452" s="19" t="str">
        <f>IF(A452="","",F452/(1+I452*$B$5/360)^(COUNT(A$16:A452)-($B$5-$G$16)/$B$5))</f>
        <v/>
      </c>
    </row>
    <row r="453" spans="1:10" x14ac:dyDescent="0.2">
      <c r="A453" s="12" t="str">
        <f t="shared" si="39"/>
        <v/>
      </c>
      <c r="B453" t="str">
        <f t="shared" si="37"/>
        <v/>
      </c>
      <c r="C453" s="21" t="str">
        <f ca="1">IF(A453="","",IF($B$8="Sí",interpolar_alamb(B453,OFFSET(Curvas_cupon_cero!$A$1,1,0,COUNT(Curvas_cupon_cero!$A:$A)-2,1),OFFSET(Curvas_cupon_cero!$A$1,1,MATCH($B$7,Curvas_cupon_cero!$1:$1,0)-1,COUNT(Curvas_cupon_cero!$A:$A)-2,1)),[1]!interpolar(B453,OFFSET(Curvas_cupon_cero!$A$1,1,0,COUNT(Curvas_cupon_cero!$A:$A)-2,1),OFFSET(Curvas_cupon_cero!$A$1,1,MATCH($B$7,Curvas_cupon_cero!$1:$1,0)-1,COUNT(Curvas_cupon_cero!$A:$A)-2,1))))</f>
        <v/>
      </c>
      <c r="D453" s="23" t="str">
        <f ca="1">IF(A453="","",IF($B$8="Sí",interpolar_alamb(H453,OFFSET(Curvas_cupon_cero!$A$1,1,0,COUNT(Curvas_cupon_cero!$A:$A)-2,1),OFFSET(Curvas_cupon_cero!$A$1,1,MATCH($B$7,Curvas_cupon_cero!$1:$1,0)-1,COUNT(Curvas_cupon_cero!$A:$A)-2,1)),[1]!interpolar(H453,OFFSET(Curvas_cupon_cero!$A$1,1,0,COUNT(Curvas_cupon_cero!$A:$A)-2,1),OFFSET(Curvas_cupon_cero!$A$1,1,MATCH($B$7,Curvas_cupon_cero!$1:$1,0)-1,COUNT(Curvas_cupon_cero!$A:$A)-2,1))))</f>
        <v/>
      </c>
      <c r="E453" s="23" t="str">
        <f t="shared" si="40"/>
        <v/>
      </c>
      <c r="F453" s="17" t="str">
        <f t="shared" si="38"/>
        <v/>
      </c>
      <c r="G453" s="18" t="str">
        <f t="shared" si="41"/>
        <v/>
      </c>
      <c r="H453" t="str">
        <f t="shared" si="42"/>
        <v/>
      </c>
      <c r="I453" s="23" t="str">
        <f ca="1">IF(A453="","",IF($B$8="Sí",interpolar_alamb(H453,OFFSET(Curvas_cupon_cero!$A$1,1,0,COUNT(Curvas_cupon_cero!$A:$A)-2,1),OFFSET(Curvas_cupon_cero!$A$1,1,MATCH($B$6,Curvas_cupon_cero!$1:$1,0)-1,COUNT(Curvas_cupon_cero!$A:$A)-2,1)),[1]!interpolar(H453,OFFSET(Curvas_cupon_cero!$A$1,1,0,COUNT(Curvas_cupon_cero!$A:$A)-2,1),OFFSET(Curvas_cupon_cero!$A$1,1,MATCH($B$6,Curvas_cupon_cero!$1:$1,0)-1,COUNT(Curvas_cupon_cero!$A:$A)-2,1))))</f>
        <v/>
      </c>
      <c r="J453" s="19" t="str">
        <f>IF(A453="","",F453/(1+I453*$B$5/360)^(COUNT(A$16:A453)-($B$5-$G$16)/$B$5))</f>
        <v/>
      </c>
    </row>
    <row r="454" spans="1:10" x14ac:dyDescent="0.2">
      <c r="A454" s="12" t="str">
        <f t="shared" si="39"/>
        <v/>
      </c>
      <c r="B454" t="str">
        <f t="shared" si="37"/>
        <v/>
      </c>
      <c r="C454" s="21" t="str">
        <f ca="1">IF(A454="","",IF($B$8="Sí",interpolar_alamb(B454,OFFSET(Curvas_cupon_cero!$A$1,1,0,COUNT(Curvas_cupon_cero!$A:$A)-2,1),OFFSET(Curvas_cupon_cero!$A$1,1,MATCH($B$7,Curvas_cupon_cero!$1:$1,0)-1,COUNT(Curvas_cupon_cero!$A:$A)-2,1)),[1]!interpolar(B454,OFFSET(Curvas_cupon_cero!$A$1,1,0,COUNT(Curvas_cupon_cero!$A:$A)-2,1),OFFSET(Curvas_cupon_cero!$A$1,1,MATCH($B$7,Curvas_cupon_cero!$1:$1,0)-1,COUNT(Curvas_cupon_cero!$A:$A)-2,1))))</f>
        <v/>
      </c>
      <c r="D454" s="23" t="str">
        <f ca="1">IF(A454="","",IF($B$8="Sí",interpolar_alamb(H454,OFFSET(Curvas_cupon_cero!$A$1,1,0,COUNT(Curvas_cupon_cero!$A:$A)-2,1),OFFSET(Curvas_cupon_cero!$A$1,1,MATCH($B$7,Curvas_cupon_cero!$1:$1,0)-1,COUNT(Curvas_cupon_cero!$A:$A)-2,1)),[1]!interpolar(H454,OFFSET(Curvas_cupon_cero!$A$1,1,0,COUNT(Curvas_cupon_cero!$A:$A)-2,1),OFFSET(Curvas_cupon_cero!$A$1,1,MATCH($B$7,Curvas_cupon_cero!$1:$1,0)-1,COUNT(Curvas_cupon_cero!$A:$A)-2,1))))</f>
        <v/>
      </c>
      <c r="E454" s="23" t="str">
        <f t="shared" si="40"/>
        <v/>
      </c>
      <c r="F454" s="17" t="str">
        <f t="shared" si="38"/>
        <v/>
      </c>
      <c r="G454" s="18" t="str">
        <f t="shared" si="41"/>
        <v/>
      </c>
      <c r="H454" t="str">
        <f t="shared" si="42"/>
        <v/>
      </c>
      <c r="I454" s="23" t="str">
        <f ca="1">IF(A454="","",IF($B$8="Sí",interpolar_alamb(H454,OFFSET(Curvas_cupon_cero!$A$1,1,0,COUNT(Curvas_cupon_cero!$A:$A)-2,1),OFFSET(Curvas_cupon_cero!$A$1,1,MATCH($B$6,Curvas_cupon_cero!$1:$1,0)-1,COUNT(Curvas_cupon_cero!$A:$A)-2,1)),[1]!interpolar(H454,OFFSET(Curvas_cupon_cero!$A$1,1,0,COUNT(Curvas_cupon_cero!$A:$A)-2,1),OFFSET(Curvas_cupon_cero!$A$1,1,MATCH($B$6,Curvas_cupon_cero!$1:$1,0)-1,COUNT(Curvas_cupon_cero!$A:$A)-2,1))))</f>
        <v/>
      </c>
      <c r="J454" s="19" t="str">
        <f>IF(A454="","",F454/(1+I454*$B$5/360)^(COUNT(A$16:A454)-($B$5-$G$16)/$B$5))</f>
        <v/>
      </c>
    </row>
    <row r="455" spans="1:10" x14ac:dyDescent="0.2">
      <c r="A455" s="12" t="str">
        <f t="shared" si="39"/>
        <v/>
      </c>
      <c r="B455" t="str">
        <f t="shared" si="37"/>
        <v/>
      </c>
      <c r="C455" s="21" t="str">
        <f ca="1">IF(A455="","",IF($B$8="Sí",interpolar_alamb(B455,OFFSET(Curvas_cupon_cero!$A$1,1,0,COUNT(Curvas_cupon_cero!$A:$A)-2,1),OFFSET(Curvas_cupon_cero!$A$1,1,MATCH($B$7,Curvas_cupon_cero!$1:$1,0)-1,COUNT(Curvas_cupon_cero!$A:$A)-2,1)),[1]!interpolar(B455,OFFSET(Curvas_cupon_cero!$A$1,1,0,COUNT(Curvas_cupon_cero!$A:$A)-2,1),OFFSET(Curvas_cupon_cero!$A$1,1,MATCH($B$7,Curvas_cupon_cero!$1:$1,0)-1,COUNT(Curvas_cupon_cero!$A:$A)-2,1))))</f>
        <v/>
      </c>
      <c r="D455" s="23" t="str">
        <f ca="1">IF(A455="","",IF($B$8="Sí",interpolar_alamb(H455,OFFSET(Curvas_cupon_cero!$A$1,1,0,COUNT(Curvas_cupon_cero!$A:$A)-2,1),OFFSET(Curvas_cupon_cero!$A$1,1,MATCH($B$7,Curvas_cupon_cero!$1:$1,0)-1,COUNT(Curvas_cupon_cero!$A:$A)-2,1)),[1]!interpolar(H455,OFFSET(Curvas_cupon_cero!$A$1,1,0,COUNT(Curvas_cupon_cero!$A:$A)-2,1),OFFSET(Curvas_cupon_cero!$A$1,1,MATCH($B$7,Curvas_cupon_cero!$1:$1,0)-1,COUNT(Curvas_cupon_cero!$A:$A)-2,1))))</f>
        <v/>
      </c>
      <c r="E455" s="23" t="str">
        <f t="shared" si="40"/>
        <v/>
      </c>
      <c r="F455" s="17" t="str">
        <f t="shared" si="38"/>
        <v/>
      </c>
      <c r="G455" s="18" t="str">
        <f t="shared" si="41"/>
        <v/>
      </c>
      <c r="H455" t="str">
        <f t="shared" si="42"/>
        <v/>
      </c>
      <c r="I455" s="23" t="str">
        <f ca="1">IF(A455="","",IF($B$8="Sí",interpolar_alamb(H455,OFFSET(Curvas_cupon_cero!$A$1,1,0,COUNT(Curvas_cupon_cero!$A:$A)-2,1),OFFSET(Curvas_cupon_cero!$A$1,1,MATCH($B$6,Curvas_cupon_cero!$1:$1,0)-1,COUNT(Curvas_cupon_cero!$A:$A)-2,1)),[1]!interpolar(H455,OFFSET(Curvas_cupon_cero!$A$1,1,0,COUNT(Curvas_cupon_cero!$A:$A)-2,1),OFFSET(Curvas_cupon_cero!$A$1,1,MATCH($B$6,Curvas_cupon_cero!$1:$1,0)-1,COUNT(Curvas_cupon_cero!$A:$A)-2,1))))</f>
        <v/>
      </c>
      <c r="J455" s="19" t="str">
        <f>IF(A455="","",F455/(1+I455*$B$5/360)^(COUNT(A$16:A455)-($B$5-$G$16)/$B$5))</f>
        <v/>
      </c>
    </row>
    <row r="456" spans="1:10" x14ac:dyDescent="0.2">
      <c r="A456" s="12" t="str">
        <f t="shared" si="39"/>
        <v/>
      </c>
      <c r="B456" t="str">
        <f t="shared" si="37"/>
        <v/>
      </c>
      <c r="C456" s="21" t="str">
        <f ca="1">IF(A456="","",IF($B$8="Sí",interpolar_alamb(B456,OFFSET(Curvas_cupon_cero!$A$1,1,0,COUNT(Curvas_cupon_cero!$A:$A)-2,1),OFFSET(Curvas_cupon_cero!$A$1,1,MATCH($B$7,Curvas_cupon_cero!$1:$1,0)-1,COUNT(Curvas_cupon_cero!$A:$A)-2,1)),[1]!interpolar(B456,OFFSET(Curvas_cupon_cero!$A$1,1,0,COUNT(Curvas_cupon_cero!$A:$A)-2,1),OFFSET(Curvas_cupon_cero!$A$1,1,MATCH($B$7,Curvas_cupon_cero!$1:$1,0)-1,COUNT(Curvas_cupon_cero!$A:$A)-2,1))))</f>
        <v/>
      </c>
      <c r="D456" s="23" t="str">
        <f ca="1">IF(A456="","",IF($B$8="Sí",interpolar_alamb(H456,OFFSET(Curvas_cupon_cero!$A$1,1,0,COUNT(Curvas_cupon_cero!$A:$A)-2,1),OFFSET(Curvas_cupon_cero!$A$1,1,MATCH($B$7,Curvas_cupon_cero!$1:$1,0)-1,COUNT(Curvas_cupon_cero!$A:$A)-2,1)),[1]!interpolar(H456,OFFSET(Curvas_cupon_cero!$A$1,1,0,COUNT(Curvas_cupon_cero!$A:$A)-2,1),OFFSET(Curvas_cupon_cero!$A$1,1,MATCH($B$7,Curvas_cupon_cero!$1:$1,0)-1,COUNT(Curvas_cupon_cero!$A:$A)-2,1))))</f>
        <v/>
      </c>
      <c r="E456" s="23" t="str">
        <f t="shared" si="40"/>
        <v/>
      </c>
      <c r="F456" s="17" t="str">
        <f t="shared" si="38"/>
        <v/>
      </c>
      <c r="G456" s="18" t="str">
        <f t="shared" si="41"/>
        <v/>
      </c>
      <c r="H456" t="str">
        <f t="shared" si="42"/>
        <v/>
      </c>
      <c r="I456" s="23" t="str">
        <f ca="1">IF(A456="","",IF($B$8="Sí",interpolar_alamb(H456,OFFSET(Curvas_cupon_cero!$A$1,1,0,COUNT(Curvas_cupon_cero!$A:$A)-2,1),OFFSET(Curvas_cupon_cero!$A$1,1,MATCH($B$6,Curvas_cupon_cero!$1:$1,0)-1,COUNT(Curvas_cupon_cero!$A:$A)-2,1)),[1]!interpolar(H456,OFFSET(Curvas_cupon_cero!$A$1,1,0,COUNT(Curvas_cupon_cero!$A:$A)-2,1),OFFSET(Curvas_cupon_cero!$A$1,1,MATCH($B$6,Curvas_cupon_cero!$1:$1,0)-1,COUNT(Curvas_cupon_cero!$A:$A)-2,1))))</f>
        <v/>
      </c>
      <c r="J456" s="19" t="str">
        <f>IF(A456="","",F456/(1+I456*$B$5/360)^(COUNT(A$16:A456)-($B$5-$G$16)/$B$5))</f>
        <v/>
      </c>
    </row>
    <row r="457" spans="1:10" x14ac:dyDescent="0.2">
      <c r="A457" s="12" t="str">
        <f t="shared" si="39"/>
        <v/>
      </c>
      <c r="B457" t="str">
        <f t="shared" si="37"/>
        <v/>
      </c>
      <c r="C457" s="21" t="str">
        <f ca="1">IF(A457="","",IF($B$8="Sí",interpolar_alamb(B457,OFFSET(Curvas_cupon_cero!$A$1,1,0,COUNT(Curvas_cupon_cero!$A:$A)-2,1),OFFSET(Curvas_cupon_cero!$A$1,1,MATCH($B$7,Curvas_cupon_cero!$1:$1,0)-1,COUNT(Curvas_cupon_cero!$A:$A)-2,1)),[1]!interpolar(B457,OFFSET(Curvas_cupon_cero!$A$1,1,0,COUNT(Curvas_cupon_cero!$A:$A)-2,1),OFFSET(Curvas_cupon_cero!$A$1,1,MATCH($B$7,Curvas_cupon_cero!$1:$1,0)-1,COUNT(Curvas_cupon_cero!$A:$A)-2,1))))</f>
        <v/>
      </c>
      <c r="D457" s="23" t="str">
        <f ca="1">IF(A457="","",IF($B$8="Sí",interpolar_alamb(H457,OFFSET(Curvas_cupon_cero!$A$1,1,0,COUNT(Curvas_cupon_cero!$A:$A)-2,1),OFFSET(Curvas_cupon_cero!$A$1,1,MATCH($B$7,Curvas_cupon_cero!$1:$1,0)-1,COUNT(Curvas_cupon_cero!$A:$A)-2,1)),[1]!interpolar(H457,OFFSET(Curvas_cupon_cero!$A$1,1,0,COUNT(Curvas_cupon_cero!$A:$A)-2,1),OFFSET(Curvas_cupon_cero!$A$1,1,MATCH($B$7,Curvas_cupon_cero!$1:$1,0)-1,COUNT(Curvas_cupon_cero!$A:$A)-2,1))))</f>
        <v/>
      </c>
      <c r="E457" s="23" t="str">
        <f t="shared" si="40"/>
        <v/>
      </c>
      <c r="F457" s="17" t="str">
        <f t="shared" si="38"/>
        <v/>
      </c>
      <c r="G457" s="18" t="str">
        <f t="shared" si="41"/>
        <v/>
      </c>
      <c r="H457" t="str">
        <f t="shared" si="42"/>
        <v/>
      </c>
      <c r="I457" s="23" t="str">
        <f ca="1">IF(A457="","",IF($B$8="Sí",interpolar_alamb(H457,OFFSET(Curvas_cupon_cero!$A$1,1,0,COUNT(Curvas_cupon_cero!$A:$A)-2,1),OFFSET(Curvas_cupon_cero!$A$1,1,MATCH($B$6,Curvas_cupon_cero!$1:$1,0)-1,COUNT(Curvas_cupon_cero!$A:$A)-2,1)),[1]!interpolar(H457,OFFSET(Curvas_cupon_cero!$A$1,1,0,COUNT(Curvas_cupon_cero!$A:$A)-2,1),OFFSET(Curvas_cupon_cero!$A$1,1,MATCH($B$6,Curvas_cupon_cero!$1:$1,0)-1,COUNT(Curvas_cupon_cero!$A:$A)-2,1))))</f>
        <v/>
      </c>
      <c r="J457" s="19" t="str">
        <f>IF(A457="","",F457/(1+I457*$B$5/360)^(COUNT(A$16:A457)-($B$5-$G$16)/$B$5))</f>
        <v/>
      </c>
    </row>
    <row r="458" spans="1:10" x14ac:dyDescent="0.2">
      <c r="A458" s="12" t="str">
        <f t="shared" si="39"/>
        <v/>
      </c>
      <c r="B458" t="str">
        <f t="shared" si="37"/>
        <v/>
      </c>
      <c r="C458" s="21" t="str">
        <f ca="1">IF(A458="","",IF($B$8="Sí",interpolar_alamb(B458,OFFSET(Curvas_cupon_cero!$A$1,1,0,COUNT(Curvas_cupon_cero!$A:$A)-2,1),OFFSET(Curvas_cupon_cero!$A$1,1,MATCH($B$7,Curvas_cupon_cero!$1:$1,0)-1,COUNT(Curvas_cupon_cero!$A:$A)-2,1)),[1]!interpolar(B458,OFFSET(Curvas_cupon_cero!$A$1,1,0,COUNT(Curvas_cupon_cero!$A:$A)-2,1),OFFSET(Curvas_cupon_cero!$A$1,1,MATCH($B$7,Curvas_cupon_cero!$1:$1,0)-1,COUNT(Curvas_cupon_cero!$A:$A)-2,1))))</f>
        <v/>
      </c>
      <c r="D458" s="23" t="str">
        <f ca="1">IF(A458="","",IF($B$8="Sí",interpolar_alamb(H458,OFFSET(Curvas_cupon_cero!$A$1,1,0,COUNT(Curvas_cupon_cero!$A:$A)-2,1),OFFSET(Curvas_cupon_cero!$A$1,1,MATCH($B$7,Curvas_cupon_cero!$1:$1,0)-1,COUNT(Curvas_cupon_cero!$A:$A)-2,1)),[1]!interpolar(H458,OFFSET(Curvas_cupon_cero!$A$1,1,0,COUNT(Curvas_cupon_cero!$A:$A)-2,1),OFFSET(Curvas_cupon_cero!$A$1,1,MATCH($B$7,Curvas_cupon_cero!$1:$1,0)-1,COUNT(Curvas_cupon_cero!$A:$A)-2,1))))</f>
        <v/>
      </c>
      <c r="E458" s="23" t="str">
        <f t="shared" si="40"/>
        <v/>
      </c>
      <c r="F458" s="17" t="str">
        <f t="shared" si="38"/>
        <v/>
      </c>
      <c r="G458" s="18" t="str">
        <f t="shared" si="41"/>
        <v/>
      </c>
      <c r="H458" t="str">
        <f t="shared" si="42"/>
        <v/>
      </c>
      <c r="I458" s="23" t="str">
        <f ca="1">IF(A458="","",IF($B$8="Sí",interpolar_alamb(H458,OFFSET(Curvas_cupon_cero!$A$1,1,0,COUNT(Curvas_cupon_cero!$A:$A)-2,1),OFFSET(Curvas_cupon_cero!$A$1,1,MATCH($B$6,Curvas_cupon_cero!$1:$1,0)-1,COUNT(Curvas_cupon_cero!$A:$A)-2,1)),[1]!interpolar(H458,OFFSET(Curvas_cupon_cero!$A$1,1,0,COUNT(Curvas_cupon_cero!$A:$A)-2,1),OFFSET(Curvas_cupon_cero!$A$1,1,MATCH($B$6,Curvas_cupon_cero!$1:$1,0)-1,COUNT(Curvas_cupon_cero!$A:$A)-2,1))))</f>
        <v/>
      </c>
      <c r="J458" s="19" t="str">
        <f>IF(A458="","",F458/(1+I458*$B$5/360)^(COUNT(A$16:A458)-($B$5-$G$16)/$B$5))</f>
        <v/>
      </c>
    </row>
    <row r="459" spans="1:10" x14ac:dyDescent="0.2">
      <c r="A459" s="12" t="str">
        <f t="shared" si="39"/>
        <v/>
      </c>
      <c r="B459" t="str">
        <f t="shared" si="37"/>
        <v/>
      </c>
      <c r="C459" s="21" t="str">
        <f ca="1">IF(A459="","",IF($B$8="Sí",interpolar_alamb(B459,OFFSET(Curvas_cupon_cero!$A$1,1,0,COUNT(Curvas_cupon_cero!$A:$A)-2,1),OFFSET(Curvas_cupon_cero!$A$1,1,MATCH($B$7,Curvas_cupon_cero!$1:$1,0)-1,COUNT(Curvas_cupon_cero!$A:$A)-2,1)),[1]!interpolar(B459,OFFSET(Curvas_cupon_cero!$A$1,1,0,COUNT(Curvas_cupon_cero!$A:$A)-2,1),OFFSET(Curvas_cupon_cero!$A$1,1,MATCH($B$7,Curvas_cupon_cero!$1:$1,0)-1,COUNT(Curvas_cupon_cero!$A:$A)-2,1))))</f>
        <v/>
      </c>
      <c r="D459" s="23" t="str">
        <f ca="1">IF(A459="","",IF($B$8="Sí",interpolar_alamb(H459,OFFSET(Curvas_cupon_cero!$A$1,1,0,COUNT(Curvas_cupon_cero!$A:$A)-2,1),OFFSET(Curvas_cupon_cero!$A$1,1,MATCH($B$7,Curvas_cupon_cero!$1:$1,0)-1,COUNT(Curvas_cupon_cero!$A:$A)-2,1)),[1]!interpolar(H459,OFFSET(Curvas_cupon_cero!$A$1,1,0,COUNT(Curvas_cupon_cero!$A:$A)-2,1),OFFSET(Curvas_cupon_cero!$A$1,1,MATCH($B$7,Curvas_cupon_cero!$1:$1,0)-1,COUNT(Curvas_cupon_cero!$A:$A)-2,1))))</f>
        <v/>
      </c>
      <c r="E459" s="23" t="str">
        <f t="shared" si="40"/>
        <v/>
      </c>
      <c r="F459" s="17" t="str">
        <f t="shared" si="38"/>
        <v/>
      </c>
      <c r="G459" s="18" t="str">
        <f t="shared" si="41"/>
        <v/>
      </c>
      <c r="H459" t="str">
        <f t="shared" si="42"/>
        <v/>
      </c>
      <c r="I459" s="23" t="str">
        <f ca="1">IF(A459="","",IF($B$8="Sí",interpolar_alamb(H459,OFFSET(Curvas_cupon_cero!$A$1,1,0,COUNT(Curvas_cupon_cero!$A:$A)-2,1),OFFSET(Curvas_cupon_cero!$A$1,1,MATCH($B$6,Curvas_cupon_cero!$1:$1,0)-1,COUNT(Curvas_cupon_cero!$A:$A)-2,1)),[1]!interpolar(H459,OFFSET(Curvas_cupon_cero!$A$1,1,0,COUNT(Curvas_cupon_cero!$A:$A)-2,1),OFFSET(Curvas_cupon_cero!$A$1,1,MATCH($B$6,Curvas_cupon_cero!$1:$1,0)-1,COUNT(Curvas_cupon_cero!$A:$A)-2,1))))</f>
        <v/>
      </c>
      <c r="J459" s="19" t="str">
        <f>IF(A459="","",F459/(1+I459*$B$5/360)^(COUNT(A$16:A459)-($B$5-$G$16)/$B$5))</f>
        <v/>
      </c>
    </row>
    <row r="460" spans="1:10" x14ac:dyDescent="0.2">
      <c r="A460" s="12" t="str">
        <f t="shared" si="39"/>
        <v/>
      </c>
      <c r="B460" t="str">
        <f t="shared" si="37"/>
        <v/>
      </c>
      <c r="C460" s="21" t="str">
        <f ca="1">IF(A460="","",IF($B$8="Sí",interpolar_alamb(B460,OFFSET(Curvas_cupon_cero!$A$1,1,0,COUNT(Curvas_cupon_cero!$A:$A)-2,1),OFFSET(Curvas_cupon_cero!$A$1,1,MATCH($B$7,Curvas_cupon_cero!$1:$1,0)-1,COUNT(Curvas_cupon_cero!$A:$A)-2,1)),[1]!interpolar(B460,OFFSET(Curvas_cupon_cero!$A$1,1,0,COUNT(Curvas_cupon_cero!$A:$A)-2,1),OFFSET(Curvas_cupon_cero!$A$1,1,MATCH($B$7,Curvas_cupon_cero!$1:$1,0)-1,COUNT(Curvas_cupon_cero!$A:$A)-2,1))))</f>
        <v/>
      </c>
      <c r="D460" s="23" t="str">
        <f ca="1">IF(A460="","",IF($B$8="Sí",interpolar_alamb(H460,OFFSET(Curvas_cupon_cero!$A$1,1,0,COUNT(Curvas_cupon_cero!$A:$A)-2,1),OFFSET(Curvas_cupon_cero!$A$1,1,MATCH($B$7,Curvas_cupon_cero!$1:$1,0)-1,COUNT(Curvas_cupon_cero!$A:$A)-2,1)),[1]!interpolar(H460,OFFSET(Curvas_cupon_cero!$A$1,1,0,COUNT(Curvas_cupon_cero!$A:$A)-2,1),OFFSET(Curvas_cupon_cero!$A$1,1,MATCH($B$7,Curvas_cupon_cero!$1:$1,0)-1,COUNT(Curvas_cupon_cero!$A:$A)-2,1))))</f>
        <v/>
      </c>
      <c r="E460" s="23" t="str">
        <f t="shared" si="40"/>
        <v/>
      </c>
      <c r="F460" s="17" t="str">
        <f t="shared" si="38"/>
        <v/>
      </c>
      <c r="G460" s="18" t="str">
        <f t="shared" si="41"/>
        <v/>
      </c>
      <c r="H460" t="str">
        <f t="shared" si="42"/>
        <v/>
      </c>
      <c r="I460" s="23" t="str">
        <f ca="1">IF(A460="","",IF($B$8="Sí",interpolar_alamb(H460,OFFSET(Curvas_cupon_cero!$A$1,1,0,COUNT(Curvas_cupon_cero!$A:$A)-2,1),OFFSET(Curvas_cupon_cero!$A$1,1,MATCH($B$6,Curvas_cupon_cero!$1:$1,0)-1,COUNT(Curvas_cupon_cero!$A:$A)-2,1)),[1]!interpolar(H460,OFFSET(Curvas_cupon_cero!$A$1,1,0,COUNT(Curvas_cupon_cero!$A:$A)-2,1),OFFSET(Curvas_cupon_cero!$A$1,1,MATCH($B$6,Curvas_cupon_cero!$1:$1,0)-1,COUNT(Curvas_cupon_cero!$A:$A)-2,1))))</f>
        <v/>
      </c>
      <c r="J460" s="19" t="str">
        <f>IF(A460="","",F460/(1+I460*$B$5/360)^(COUNT(A$16:A460)-($B$5-$G$16)/$B$5))</f>
        <v/>
      </c>
    </row>
    <row r="461" spans="1:10" x14ac:dyDescent="0.2">
      <c r="A461" s="12" t="str">
        <f t="shared" si="39"/>
        <v/>
      </c>
      <c r="B461" t="str">
        <f t="shared" si="37"/>
        <v/>
      </c>
      <c r="C461" s="21" t="str">
        <f ca="1">IF(A461="","",IF($B$8="Sí",interpolar_alamb(B461,OFFSET(Curvas_cupon_cero!$A$1,1,0,COUNT(Curvas_cupon_cero!$A:$A)-2,1),OFFSET(Curvas_cupon_cero!$A$1,1,MATCH($B$7,Curvas_cupon_cero!$1:$1,0)-1,COUNT(Curvas_cupon_cero!$A:$A)-2,1)),[1]!interpolar(B461,OFFSET(Curvas_cupon_cero!$A$1,1,0,COUNT(Curvas_cupon_cero!$A:$A)-2,1),OFFSET(Curvas_cupon_cero!$A$1,1,MATCH($B$7,Curvas_cupon_cero!$1:$1,0)-1,COUNT(Curvas_cupon_cero!$A:$A)-2,1))))</f>
        <v/>
      </c>
      <c r="D461" s="23" t="str">
        <f ca="1">IF(A461="","",IF($B$8="Sí",interpolar_alamb(H461,OFFSET(Curvas_cupon_cero!$A$1,1,0,COUNT(Curvas_cupon_cero!$A:$A)-2,1),OFFSET(Curvas_cupon_cero!$A$1,1,MATCH($B$7,Curvas_cupon_cero!$1:$1,0)-1,COUNT(Curvas_cupon_cero!$A:$A)-2,1)),[1]!interpolar(H461,OFFSET(Curvas_cupon_cero!$A$1,1,0,COUNT(Curvas_cupon_cero!$A:$A)-2,1),OFFSET(Curvas_cupon_cero!$A$1,1,MATCH($B$7,Curvas_cupon_cero!$1:$1,0)-1,COUNT(Curvas_cupon_cero!$A:$A)-2,1))))</f>
        <v/>
      </c>
      <c r="E461" s="23" t="str">
        <f t="shared" si="40"/>
        <v/>
      </c>
      <c r="F461" s="17" t="str">
        <f t="shared" si="38"/>
        <v/>
      </c>
      <c r="G461" s="18" t="str">
        <f t="shared" si="41"/>
        <v/>
      </c>
      <c r="H461" t="str">
        <f t="shared" si="42"/>
        <v/>
      </c>
      <c r="I461" s="23" t="str">
        <f ca="1">IF(A461="","",IF($B$8="Sí",interpolar_alamb(H461,OFFSET(Curvas_cupon_cero!$A$1,1,0,COUNT(Curvas_cupon_cero!$A:$A)-2,1),OFFSET(Curvas_cupon_cero!$A$1,1,MATCH($B$6,Curvas_cupon_cero!$1:$1,0)-1,COUNT(Curvas_cupon_cero!$A:$A)-2,1)),[1]!interpolar(H461,OFFSET(Curvas_cupon_cero!$A$1,1,0,COUNT(Curvas_cupon_cero!$A:$A)-2,1),OFFSET(Curvas_cupon_cero!$A$1,1,MATCH($B$6,Curvas_cupon_cero!$1:$1,0)-1,COUNT(Curvas_cupon_cero!$A:$A)-2,1))))</f>
        <v/>
      </c>
      <c r="J461" s="19" t="str">
        <f>IF(A461="","",F461/(1+I461*$B$5/360)^(COUNT(A$16:A461)-($B$5-$G$16)/$B$5))</f>
        <v/>
      </c>
    </row>
    <row r="462" spans="1:10" x14ac:dyDescent="0.2">
      <c r="A462" s="12" t="str">
        <f t="shared" si="39"/>
        <v/>
      </c>
      <c r="B462" t="str">
        <f t="shared" ref="B462:B525" si="43">IF(A462="","",MAX(H462-$B$5,0))</f>
        <v/>
      </c>
      <c r="C462" s="21" t="str">
        <f ca="1">IF(A462="","",IF($B$8="Sí",interpolar_alamb(B462,OFFSET(Curvas_cupon_cero!$A$1,1,0,COUNT(Curvas_cupon_cero!$A:$A)-2,1),OFFSET(Curvas_cupon_cero!$A$1,1,MATCH($B$7,Curvas_cupon_cero!$1:$1,0)-1,COUNT(Curvas_cupon_cero!$A:$A)-2,1)),[1]!interpolar(B462,OFFSET(Curvas_cupon_cero!$A$1,1,0,COUNT(Curvas_cupon_cero!$A:$A)-2,1),OFFSET(Curvas_cupon_cero!$A$1,1,MATCH($B$7,Curvas_cupon_cero!$1:$1,0)-1,COUNT(Curvas_cupon_cero!$A:$A)-2,1))))</f>
        <v/>
      </c>
      <c r="D462" s="23" t="str">
        <f ca="1">IF(A462="","",IF($B$8="Sí",interpolar_alamb(H462,OFFSET(Curvas_cupon_cero!$A$1,1,0,COUNT(Curvas_cupon_cero!$A:$A)-2,1),OFFSET(Curvas_cupon_cero!$A$1,1,MATCH($B$7,Curvas_cupon_cero!$1:$1,0)-1,COUNT(Curvas_cupon_cero!$A:$A)-2,1)),[1]!interpolar(H462,OFFSET(Curvas_cupon_cero!$A$1,1,0,COUNT(Curvas_cupon_cero!$A:$A)-2,1),OFFSET(Curvas_cupon_cero!$A$1,1,MATCH($B$7,Curvas_cupon_cero!$1:$1,0)-1,COUNT(Curvas_cupon_cero!$A:$A)-2,1))))</f>
        <v/>
      </c>
      <c r="E462" s="23" t="str">
        <f t="shared" si="40"/>
        <v/>
      </c>
      <c r="F462" s="17" t="str">
        <f t="shared" ref="F462:F525" si="44">IF(A462="","",IF(A462=$B$4,$B$1*$B$2+E462*$B$5/360*$B$1*$B$2, E462*$B$5/360*$B$1*$B$2))</f>
        <v/>
      </c>
      <c r="G462" s="18" t="str">
        <f t="shared" si="41"/>
        <v/>
      </c>
      <c r="H462" t="str">
        <f t="shared" si="42"/>
        <v/>
      </c>
      <c r="I462" s="23" t="str">
        <f ca="1">IF(A462="","",IF($B$8="Sí",interpolar_alamb(H462,OFFSET(Curvas_cupon_cero!$A$1,1,0,COUNT(Curvas_cupon_cero!$A:$A)-2,1),OFFSET(Curvas_cupon_cero!$A$1,1,MATCH($B$6,Curvas_cupon_cero!$1:$1,0)-1,COUNT(Curvas_cupon_cero!$A:$A)-2,1)),[1]!interpolar(H462,OFFSET(Curvas_cupon_cero!$A$1,1,0,COUNT(Curvas_cupon_cero!$A:$A)-2,1),OFFSET(Curvas_cupon_cero!$A$1,1,MATCH($B$6,Curvas_cupon_cero!$1:$1,0)-1,COUNT(Curvas_cupon_cero!$A:$A)-2,1))))</f>
        <v/>
      </c>
      <c r="J462" s="19" t="str">
        <f>IF(A462="","",F462/(1+I462*$B$5/360)^(COUNT(A$16:A462)-($B$5-$G$16)/$B$5))</f>
        <v/>
      </c>
    </row>
    <row r="463" spans="1:10" x14ac:dyDescent="0.2">
      <c r="A463" s="12" t="str">
        <f t="shared" ref="A463:A526" si="45">IF(A462="","",IF((A462+$B$5)&gt;$B$4,"",(A462+$B$5)))</f>
        <v/>
      </c>
      <c r="B463" t="str">
        <f t="shared" si="43"/>
        <v/>
      </c>
      <c r="C463" s="21" t="str">
        <f ca="1">IF(A463="","",IF($B$8="Sí",interpolar_alamb(B463,OFFSET(Curvas_cupon_cero!$A$1,1,0,COUNT(Curvas_cupon_cero!$A:$A)-2,1),OFFSET(Curvas_cupon_cero!$A$1,1,MATCH($B$7,Curvas_cupon_cero!$1:$1,0)-1,COUNT(Curvas_cupon_cero!$A:$A)-2,1)),[1]!interpolar(B463,OFFSET(Curvas_cupon_cero!$A$1,1,0,COUNT(Curvas_cupon_cero!$A:$A)-2,1),OFFSET(Curvas_cupon_cero!$A$1,1,MATCH($B$7,Curvas_cupon_cero!$1:$1,0)-1,COUNT(Curvas_cupon_cero!$A:$A)-2,1))))</f>
        <v/>
      </c>
      <c r="D463" s="23" t="str">
        <f ca="1">IF(A463="","",IF($B$8="Sí",interpolar_alamb(H463,OFFSET(Curvas_cupon_cero!$A$1,1,0,COUNT(Curvas_cupon_cero!$A:$A)-2,1),OFFSET(Curvas_cupon_cero!$A$1,1,MATCH($B$7,Curvas_cupon_cero!$1:$1,0)-1,COUNT(Curvas_cupon_cero!$A:$A)-2,1)),[1]!interpolar(H463,OFFSET(Curvas_cupon_cero!$A$1,1,0,COUNT(Curvas_cupon_cero!$A:$A)-2,1),OFFSET(Curvas_cupon_cero!$A$1,1,MATCH($B$7,Curvas_cupon_cero!$1:$1,0)-1,COUNT(Curvas_cupon_cero!$A:$A)-2,1))))</f>
        <v/>
      </c>
      <c r="E463" s="23" t="str">
        <f t="shared" ref="E463:E526" si="46">IF(A463="","",((1+D463*H463/360)/(1+C463*B463/360)-1)*(360/(H463-B463)))</f>
        <v/>
      </c>
      <c r="F463" s="17" t="str">
        <f t="shared" si="44"/>
        <v/>
      </c>
      <c r="G463" s="18" t="str">
        <f t="shared" ref="G463:G526" si="47">IF(A463="","",$B$5)</f>
        <v/>
      </c>
      <c r="H463" t="str">
        <f t="shared" ref="H463:H526" si="48">IF(A463="","",H462+G463)</f>
        <v/>
      </c>
      <c r="I463" s="23" t="str">
        <f ca="1">IF(A463="","",IF($B$8="Sí",interpolar_alamb(H463,OFFSET(Curvas_cupon_cero!$A$1,1,0,COUNT(Curvas_cupon_cero!$A:$A)-2,1),OFFSET(Curvas_cupon_cero!$A$1,1,MATCH($B$6,Curvas_cupon_cero!$1:$1,0)-1,COUNT(Curvas_cupon_cero!$A:$A)-2,1)),[1]!interpolar(H463,OFFSET(Curvas_cupon_cero!$A$1,1,0,COUNT(Curvas_cupon_cero!$A:$A)-2,1),OFFSET(Curvas_cupon_cero!$A$1,1,MATCH($B$6,Curvas_cupon_cero!$1:$1,0)-1,COUNT(Curvas_cupon_cero!$A:$A)-2,1))))</f>
        <v/>
      </c>
      <c r="J463" s="19" t="str">
        <f>IF(A463="","",F463/(1+I463*$B$5/360)^(COUNT(A$16:A463)-($B$5-$G$16)/$B$5))</f>
        <v/>
      </c>
    </row>
    <row r="464" spans="1:10" x14ac:dyDescent="0.2">
      <c r="A464" s="12" t="str">
        <f t="shared" si="45"/>
        <v/>
      </c>
      <c r="B464" t="str">
        <f t="shared" si="43"/>
        <v/>
      </c>
      <c r="C464" s="21" t="str">
        <f ca="1">IF(A464="","",IF($B$8="Sí",interpolar_alamb(B464,OFFSET(Curvas_cupon_cero!$A$1,1,0,COUNT(Curvas_cupon_cero!$A:$A)-2,1),OFFSET(Curvas_cupon_cero!$A$1,1,MATCH($B$7,Curvas_cupon_cero!$1:$1,0)-1,COUNT(Curvas_cupon_cero!$A:$A)-2,1)),[1]!interpolar(B464,OFFSET(Curvas_cupon_cero!$A$1,1,0,COUNT(Curvas_cupon_cero!$A:$A)-2,1),OFFSET(Curvas_cupon_cero!$A$1,1,MATCH($B$7,Curvas_cupon_cero!$1:$1,0)-1,COUNT(Curvas_cupon_cero!$A:$A)-2,1))))</f>
        <v/>
      </c>
      <c r="D464" s="23" t="str">
        <f ca="1">IF(A464="","",IF($B$8="Sí",interpolar_alamb(H464,OFFSET(Curvas_cupon_cero!$A$1,1,0,COUNT(Curvas_cupon_cero!$A:$A)-2,1),OFFSET(Curvas_cupon_cero!$A$1,1,MATCH($B$7,Curvas_cupon_cero!$1:$1,0)-1,COUNT(Curvas_cupon_cero!$A:$A)-2,1)),[1]!interpolar(H464,OFFSET(Curvas_cupon_cero!$A$1,1,0,COUNT(Curvas_cupon_cero!$A:$A)-2,1),OFFSET(Curvas_cupon_cero!$A$1,1,MATCH($B$7,Curvas_cupon_cero!$1:$1,0)-1,COUNT(Curvas_cupon_cero!$A:$A)-2,1))))</f>
        <v/>
      </c>
      <c r="E464" s="23" t="str">
        <f t="shared" si="46"/>
        <v/>
      </c>
      <c r="F464" s="17" t="str">
        <f t="shared" si="44"/>
        <v/>
      </c>
      <c r="G464" s="18" t="str">
        <f t="shared" si="47"/>
        <v/>
      </c>
      <c r="H464" t="str">
        <f t="shared" si="48"/>
        <v/>
      </c>
      <c r="I464" s="23" t="str">
        <f ca="1">IF(A464="","",IF($B$8="Sí",interpolar_alamb(H464,OFFSET(Curvas_cupon_cero!$A$1,1,0,COUNT(Curvas_cupon_cero!$A:$A)-2,1),OFFSET(Curvas_cupon_cero!$A$1,1,MATCH($B$6,Curvas_cupon_cero!$1:$1,0)-1,COUNT(Curvas_cupon_cero!$A:$A)-2,1)),[1]!interpolar(H464,OFFSET(Curvas_cupon_cero!$A$1,1,0,COUNT(Curvas_cupon_cero!$A:$A)-2,1),OFFSET(Curvas_cupon_cero!$A$1,1,MATCH($B$6,Curvas_cupon_cero!$1:$1,0)-1,COUNT(Curvas_cupon_cero!$A:$A)-2,1))))</f>
        <v/>
      </c>
      <c r="J464" s="19" t="str">
        <f>IF(A464="","",F464/(1+I464*$B$5/360)^(COUNT(A$16:A464)-($B$5-$G$16)/$B$5))</f>
        <v/>
      </c>
    </row>
    <row r="465" spans="1:10" x14ac:dyDescent="0.2">
      <c r="A465" s="12" t="str">
        <f t="shared" si="45"/>
        <v/>
      </c>
      <c r="B465" t="str">
        <f t="shared" si="43"/>
        <v/>
      </c>
      <c r="C465" s="21" t="str">
        <f ca="1">IF(A465="","",IF($B$8="Sí",interpolar_alamb(B465,OFFSET(Curvas_cupon_cero!$A$1,1,0,COUNT(Curvas_cupon_cero!$A:$A)-2,1),OFFSET(Curvas_cupon_cero!$A$1,1,MATCH($B$7,Curvas_cupon_cero!$1:$1,0)-1,COUNT(Curvas_cupon_cero!$A:$A)-2,1)),[1]!interpolar(B465,OFFSET(Curvas_cupon_cero!$A$1,1,0,COUNT(Curvas_cupon_cero!$A:$A)-2,1),OFFSET(Curvas_cupon_cero!$A$1,1,MATCH($B$7,Curvas_cupon_cero!$1:$1,0)-1,COUNT(Curvas_cupon_cero!$A:$A)-2,1))))</f>
        <v/>
      </c>
      <c r="D465" s="23" t="str">
        <f ca="1">IF(A465="","",IF($B$8="Sí",interpolar_alamb(H465,OFFSET(Curvas_cupon_cero!$A$1,1,0,COUNT(Curvas_cupon_cero!$A:$A)-2,1),OFFSET(Curvas_cupon_cero!$A$1,1,MATCH($B$7,Curvas_cupon_cero!$1:$1,0)-1,COUNT(Curvas_cupon_cero!$A:$A)-2,1)),[1]!interpolar(H465,OFFSET(Curvas_cupon_cero!$A$1,1,0,COUNT(Curvas_cupon_cero!$A:$A)-2,1),OFFSET(Curvas_cupon_cero!$A$1,1,MATCH($B$7,Curvas_cupon_cero!$1:$1,0)-1,COUNT(Curvas_cupon_cero!$A:$A)-2,1))))</f>
        <v/>
      </c>
      <c r="E465" s="23" t="str">
        <f t="shared" si="46"/>
        <v/>
      </c>
      <c r="F465" s="17" t="str">
        <f t="shared" si="44"/>
        <v/>
      </c>
      <c r="G465" s="18" t="str">
        <f t="shared" si="47"/>
        <v/>
      </c>
      <c r="H465" t="str">
        <f t="shared" si="48"/>
        <v/>
      </c>
      <c r="I465" s="23" t="str">
        <f ca="1">IF(A465="","",IF($B$8="Sí",interpolar_alamb(H465,OFFSET(Curvas_cupon_cero!$A$1,1,0,COUNT(Curvas_cupon_cero!$A:$A)-2,1),OFFSET(Curvas_cupon_cero!$A$1,1,MATCH($B$6,Curvas_cupon_cero!$1:$1,0)-1,COUNT(Curvas_cupon_cero!$A:$A)-2,1)),[1]!interpolar(H465,OFFSET(Curvas_cupon_cero!$A$1,1,0,COUNT(Curvas_cupon_cero!$A:$A)-2,1),OFFSET(Curvas_cupon_cero!$A$1,1,MATCH($B$6,Curvas_cupon_cero!$1:$1,0)-1,COUNT(Curvas_cupon_cero!$A:$A)-2,1))))</f>
        <v/>
      </c>
      <c r="J465" s="19" t="str">
        <f>IF(A465="","",F465/(1+I465*$B$5/360)^(COUNT(A$16:A465)-($B$5-$G$16)/$B$5))</f>
        <v/>
      </c>
    </row>
    <row r="466" spans="1:10" x14ac:dyDescent="0.2">
      <c r="A466" s="12" t="str">
        <f t="shared" si="45"/>
        <v/>
      </c>
      <c r="B466" t="str">
        <f t="shared" si="43"/>
        <v/>
      </c>
      <c r="C466" s="21" t="str">
        <f ca="1">IF(A466="","",IF($B$8="Sí",interpolar_alamb(B466,OFFSET(Curvas_cupon_cero!$A$1,1,0,COUNT(Curvas_cupon_cero!$A:$A)-2,1),OFFSET(Curvas_cupon_cero!$A$1,1,MATCH($B$7,Curvas_cupon_cero!$1:$1,0)-1,COUNT(Curvas_cupon_cero!$A:$A)-2,1)),[1]!interpolar(B466,OFFSET(Curvas_cupon_cero!$A$1,1,0,COUNT(Curvas_cupon_cero!$A:$A)-2,1),OFFSET(Curvas_cupon_cero!$A$1,1,MATCH($B$7,Curvas_cupon_cero!$1:$1,0)-1,COUNT(Curvas_cupon_cero!$A:$A)-2,1))))</f>
        <v/>
      </c>
      <c r="D466" s="23" t="str">
        <f ca="1">IF(A466="","",IF($B$8="Sí",interpolar_alamb(H466,OFFSET(Curvas_cupon_cero!$A$1,1,0,COUNT(Curvas_cupon_cero!$A:$A)-2,1),OFFSET(Curvas_cupon_cero!$A$1,1,MATCH($B$7,Curvas_cupon_cero!$1:$1,0)-1,COUNT(Curvas_cupon_cero!$A:$A)-2,1)),[1]!interpolar(H466,OFFSET(Curvas_cupon_cero!$A$1,1,0,COUNT(Curvas_cupon_cero!$A:$A)-2,1),OFFSET(Curvas_cupon_cero!$A$1,1,MATCH($B$7,Curvas_cupon_cero!$1:$1,0)-1,COUNT(Curvas_cupon_cero!$A:$A)-2,1))))</f>
        <v/>
      </c>
      <c r="E466" s="23" t="str">
        <f t="shared" si="46"/>
        <v/>
      </c>
      <c r="F466" s="17" t="str">
        <f t="shared" si="44"/>
        <v/>
      </c>
      <c r="G466" s="18" t="str">
        <f t="shared" si="47"/>
        <v/>
      </c>
      <c r="H466" t="str">
        <f t="shared" si="48"/>
        <v/>
      </c>
      <c r="I466" s="23" t="str">
        <f ca="1">IF(A466="","",IF($B$8="Sí",interpolar_alamb(H466,OFFSET(Curvas_cupon_cero!$A$1,1,0,COUNT(Curvas_cupon_cero!$A:$A)-2,1),OFFSET(Curvas_cupon_cero!$A$1,1,MATCH($B$6,Curvas_cupon_cero!$1:$1,0)-1,COUNT(Curvas_cupon_cero!$A:$A)-2,1)),[1]!interpolar(H466,OFFSET(Curvas_cupon_cero!$A$1,1,0,COUNT(Curvas_cupon_cero!$A:$A)-2,1),OFFSET(Curvas_cupon_cero!$A$1,1,MATCH($B$6,Curvas_cupon_cero!$1:$1,0)-1,COUNT(Curvas_cupon_cero!$A:$A)-2,1))))</f>
        <v/>
      </c>
      <c r="J466" s="19" t="str">
        <f>IF(A466="","",F466/(1+I466*$B$5/360)^(COUNT(A$16:A466)-($B$5-$G$16)/$B$5))</f>
        <v/>
      </c>
    </row>
    <row r="467" spans="1:10" x14ac:dyDescent="0.2">
      <c r="A467" s="12" t="str">
        <f t="shared" si="45"/>
        <v/>
      </c>
      <c r="B467" t="str">
        <f t="shared" si="43"/>
        <v/>
      </c>
      <c r="C467" s="21" t="str">
        <f ca="1">IF(A467="","",IF($B$8="Sí",interpolar_alamb(B467,OFFSET(Curvas_cupon_cero!$A$1,1,0,COUNT(Curvas_cupon_cero!$A:$A)-2,1),OFFSET(Curvas_cupon_cero!$A$1,1,MATCH($B$7,Curvas_cupon_cero!$1:$1,0)-1,COUNT(Curvas_cupon_cero!$A:$A)-2,1)),[1]!interpolar(B467,OFFSET(Curvas_cupon_cero!$A$1,1,0,COUNT(Curvas_cupon_cero!$A:$A)-2,1),OFFSET(Curvas_cupon_cero!$A$1,1,MATCH($B$7,Curvas_cupon_cero!$1:$1,0)-1,COUNT(Curvas_cupon_cero!$A:$A)-2,1))))</f>
        <v/>
      </c>
      <c r="D467" s="23" t="str">
        <f ca="1">IF(A467="","",IF($B$8="Sí",interpolar_alamb(H467,OFFSET(Curvas_cupon_cero!$A$1,1,0,COUNT(Curvas_cupon_cero!$A:$A)-2,1),OFFSET(Curvas_cupon_cero!$A$1,1,MATCH($B$7,Curvas_cupon_cero!$1:$1,0)-1,COUNT(Curvas_cupon_cero!$A:$A)-2,1)),[1]!interpolar(H467,OFFSET(Curvas_cupon_cero!$A$1,1,0,COUNT(Curvas_cupon_cero!$A:$A)-2,1),OFFSET(Curvas_cupon_cero!$A$1,1,MATCH($B$7,Curvas_cupon_cero!$1:$1,0)-1,COUNT(Curvas_cupon_cero!$A:$A)-2,1))))</f>
        <v/>
      </c>
      <c r="E467" s="23" t="str">
        <f t="shared" si="46"/>
        <v/>
      </c>
      <c r="F467" s="17" t="str">
        <f t="shared" si="44"/>
        <v/>
      </c>
      <c r="G467" s="18" t="str">
        <f t="shared" si="47"/>
        <v/>
      </c>
      <c r="H467" t="str">
        <f t="shared" si="48"/>
        <v/>
      </c>
      <c r="I467" s="23" t="str">
        <f ca="1">IF(A467="","",IF($B$8="Sí",interpolar_alamb(H467,OFFSET(Curvas_cupon_cero!$A$1,1,0,COUNT(Curvas_cupon_cero!$A:$A)-2,1),OFFSET(Curvas_cupon_cero!$A$1,1,MATCH($B$6,Curvas_cupon_cero!$1:$1,0)-1,COUNT(Curvas_cupon_cero!$A:$A)-2,1)),[1]!interpolar(H467,OFFSET(Curvas_cupon_cero!$A$1,1,0,COUNT(Curvas_cupon_cero!$A:$A)-2,1),OFFSET(Curvas_cupon_cero!$A$1,1,MATCH($B$6,Curvas_cupon_cero!$1:$1,0)-1,COUNT(Curvas_cupon_cero!$A:$A)-2,1))))</f>
        <v/>
      </c>
      <c r="J467" s="19" t="str">
        <f>IF(A467="","",F467/(1+I467*$B$5/360)^(COUNT(A$16:A467)-($B$5-$G$16)/$B$5))</f>
        <v/>
      </c>
    </row>
    <row r="468" spans="1:10" x14ac:dyDescent="0.2">
      <c r="A468" s="12" t="str">
        <f t="shared" si="45"/>
        <v/>
      </c>
      <c r="B468" t="str">
        <f t="shared" si="43"/>
        <v/>
      </c>
      <c r="C468" s="21" t="str">
        <f ca="1">IF(A468="","",IF($B$8="Sí",interpolar_alamb(B468,OFFSET(Curvas_cupon_cero!$A$1,1,0,COUNT(Curvas_cupon_cero!$A:$A)-2,1),OFFSET(Curvas_cupon_cero!$A$1,1,MATCH($B$7,Curvas_cupon_cero!$1:$1,0)-1,COUNT(Curvas_cupon_cero!$A:$A)-2,1)),[1]!interpolar(B468,OFFSET(Curvas_cupon_cero!$A$1,1,0,COUNT(Curvas_cupon_cero!$A:$A)-2,1),OFFSET(Curvas_cupon_cero!$A$1,1,MATCH($B$7,Curvas_cupon_cero!$1:$1,0)-1,COUNT(Curvas_cupon_cero!$A:$A)-2,1))))</f>
        <v/>
      </c>
      <c r="D468" s="23" t="str">
        <f ca="1">IF(A468="","",IF($B$8="Sí",interpolar_alamb(H468,OFFSET(Curvas_cupon_cero!$A$1,1,0,COUNT(Curvas_cupon_cero!$A:$A)-2,1),OFFSET(Curvas_cupon_cero!$A$1,1,MATCH($B$7,Curvas_cupon_cero!$1:$1,0)-1,COUNT(Curvas_cupon_cero!$A:$A)-2,1)),[1]!interpolar(H468,OFFSET(Curvas_cupon_cero!$A$1,1,0,COUNT(Curvas_cupon_cero!$A:$A)-2,1),OFFSET(Curvas_cupon_cero!$A$1,1,MATCH($B$7,Curvas_cupon_cero!$1:$1,0)-1,COUNT(Curvas_cupon_cero!$A:$A)-2,1))))</f>
        <v/>
      </c>
      <c r="E468" s="23" t="str">
        <f t="shared" si="46"/>
        <v/>
      </c>
      <c r="F468" s="17" t="str">
        <f t="shared" si="44"/>
        <v/>
      </c>
      <c r="G468" s="18" t="str">
        <f t="shared" si="47"/>
        <v/>
      </c>
      <c r="H468" t="str">
        <f t="shared" si="48"/>
        <v/>
      </c>
      <c r="I468" s="23" t="str">
        <f ca="1">IF(A468="","",IF($B$8="Sí",interpolar_alamb(H468,OFFSET(Curvas_cupon_cero!$A$1,1,0,COUNT(Curvas_cupon_cero!$A:$A)-2,1),OFFSET(Curvas_cupon_cero!$A$1,1,MATCH($B$6,Curvas_cupon_cero!$1:$1,0)-1,COUNT(Curvas_cupon_cero!$A:$A)-2,1)),[1]!interpolar(H468,OFFSET(Curvas_cupon_cero!$A$1,1,0,COUNT(Curvas_cupon_cero!$A:$A)-2,1),OFFSET(Curvas_cupon_cero!$A$1,1,MATCH($B$6,Curvas_cupon_cero!$1:$1,0)-1,COUNT(Curvas_cupon_cero!$A:$A)-2,1))))</f>
        <v/>
      </c>
      <c r="J468" s="19" t="str">
        <f>IF(A468="","",F468/(1+I468*$B$5/360)^(COUNT(A$16:A468)-($B$5-$G$16)/$B$5))</f>
        <v/>
      </c>
    </row>
    <row r="469" spans="1:10" x14ac:dyDescent="0.2">
      <c r="A469" s="12" t="str">
        <f t="shared" si="45"/>
        <v/>
      </c>
      <c r="B469" t="str">
        <f t="shared" si="43"/>
        <v/>
      </c>
      <c r="C469" s="21" t="str">
        <f ca="1">IF(A469="","",IF($B$8="Sí",interpolar_alamb(B469,OFFSET(Curvas_cupon_cero!$A$1,1,0,COUNT(Curvas_cupon_cero!$A:$A)-2,1),OFFSET(Curvas_cupon_cero!$A$1,1,MATCH($B$7,Curvas_cupon_cero!$1:$1,0)-1,COUNT(Curvas_cupon_cero!$A:$A)-2,1)),[1]!interpolar(B469,OFFSET(Curvas_cupon_cero!$A$1,1,0,COUNT(Curvas_cupon_cero!$A:$A)-2,1),OFFSET(Curvas_cupon_cero!$A$1,1,MATCH($B$7,Curvas_cupon_cero!$1:$1,0)-1,COUNT(Curvas_cupon_cero!$A:$A)-2,1))))</f>
        <v/>
      </c>
      <c r="D469" s="23" t="str">
        <f ca="1">IF(A469="","",IF($B$8="Sí",interpolar_alamb(H469,OFFSET(Curvas_cupon_cero!$A$1,1,0,COUNT(Curvas_cupon_cero!$A:$A)-2,1),OFFSET(Curvas_cupon_cero!$A$1,1,MATCH($B$7,Curvas_cupon_cero!$1:$1,0)-1,COUNT(Curvas_cupon_cero!$A:$A)-2,1)),[1]!interpolar(H469,OFFSET(Curvas_cupon_cero!$A$1,1,0,COUNT(Curvas_cupon_cero!$A:$A)-2,1),OFFSET(Curvas_cupon_cero!$A$1,1,MATCH($B$7,Curvas_cupon_cero!$1:$1,0)-1,COUNT(Curvas_cupon_cero!$A:$A)-2,1))))</f>
        <v/>
      </c>
      <c r="E469" s="23" t="str">
        <f t="shared" si="46"/>
        <v/>
      </c>
      <c r="F469" s="17" t="str">
        <f t="shared" si="44"/>
        <v/>
      </c>
      <c r="G469" s="18" t="str">
        <f t="shared" si="47"/>
        <v/>
      </c>
      <c r="H469" t="str">
        <f t="shared" si="48"/>
        <v/>
      </c>
      <c r="I469" s="23" t="str">
        <f ca="1">IF(A469="","",IF($B$8="Sí",interpolar_alamb(H469,OFFSET(Curvas_cupon_cero!$A$1,1,0,COUNT(Curvas_cupon_cero!$A:$A)-2,1),OFFSET(Curvas_cupon_cero!$A$1,1,MATCH($B$6,Curvas_cupon_cero!$1:$1,0)-1,COUNT(Curvas_cupon_cero!$A:$A)-2,1)),[1]!interpolar(H469,OFFSET(Curvas_cupon_cero!$A$1,1,0,COUNT(Curvas_cupon_cero!$A:$A)-2,1),OFFSET(Curvas_cupon_cero!$A$1,1,MATCH($B$6,Curvas_cupon_cero!$1:$1,0)-1,COUNT(Curvas_cupon_cero!$A:$A)-2,1))))</f>
        <v/>
      </c>
      <c r="J469" s="19" t="str">
        <f>IF(A469="","",F469/(1+I469*$B$5/360)^(COUNT(A$16:A469)-($B$5-$G$16)/$B$5))</f>
        <v/>
      </c>
    </row>
    <row r="470" spans="1:10" x14ac:dyDescent="0.2">
      <c r="A470" s="12" t="str">
        <f t="shared" si="45"/>
        <v/>
      </c>
      <c r="B470" t="str">
        <f t="shared" si="43"/>
        <v/>
      </c>
      <c r="C470" s="21" t="str">
        <f ca="1">IF(A470="","",IF($B$8="Sí",interpolar_alamb(B470,OFFSET(Curvas_cupon_cero!$A$1,1,0,COUNT(Curvas_cupon_cero!$A:$A)-2,1),OFFSET(Curvas_cupon_cero!$A$1,1,MATCH($B$7,Curvas_cupon_cero!$1:$1,0)-1,COUNT(Curvas_cupon_cero!$A:$A)-2,1)),[1]!interpolar(B470,OFFSET(Curvas_cupon_cero!$A$1,1,0,COUNT(Curvas_cupon_cero!$A:$A)-2,1),OFFSET(Curvas_cupon_cero!$A$1,1,MATCH($B$7,Curvas_cupon_cero!$1:$1,0)-1,COUNT(Curvas_cupon_cero!$A:$A)-2,1))))</f>
        <v/>
      </c>
      <c r="D470" s="23" t="str">
        <f ca="1">IF(A470="","",IF($B$8="Sí",interpolar_alamb(H470,OFFSET(Curvas_cupon_cero!$A$1,1,0,COUNT(Curvas_cupon_cero!$A:$A)-2,1),OFFSET(Curvas_cupon_cero!$A$1,1,MATCH($B$7,Curvas_cupon_cero!$1:$1,0)-1,COUNT(Curvas_cupon_cero!$A:$A)-2,1)),[1]!interpolar(H470,OFFSET(Curvas_cupon_cero!$A$1,1,0,COUNT(Curvas_cupon_cero!$A:$A)-2,1),OFFSET(Curvas_cupon_cero!$A$1,1,MATCH($B$7,Curvas_cupon_cero!$1:$1,0)-1,COUNT(Curvas_cupon_cero!$A:$A)-2,1))))</f>
        <v/>
      </c>
      <c r="E470" s="23" t="str">
        <f t="shared" si="46"/>
        <v/>
      </c>
      <c r="F470" s="17" t="str">
        <f t="shared" si="44"/>
        <v/>
      </c>
      <c r="G470" s="18" t="str">
        <f t="shared" si="47"/>
        <v/>
      </c>
      <c r="H470" t="str">
        <f t="shared" si="48"/>
        <v/>
      </c>
      <c r="I470" s="23" t="str">
        <f ca="1">IF(A470="","",IF($B$8="Sí",interpolar_alamb(H470,OFFSET(Curvas_cupon_cero!$A$1,1,0,COUNT(Curvas_cupon_cero!$A:$A)-2,1),OFFSET(Curvas_cupon_cero!$A$1,1,MATCH($B$6,Curvas_cupon_cero!$1:$1,0)-1,COUNT(Curvas_cupon_cero!$A:$A)-2,1)),[1]!interpolar(H470,OFFSET(Curvas_cupon_cero!$A$1,1,0,COUNT(Curvas_cupon_cero!$A:$A)-2,1),OFFSET(Curvas_cupon_cero!$A$1,1,MATCH($B$6,Curvas_cupon_cero!$1:$1,0)-1,COUNT(Curvas_cupon_cero!$A:$A)-2,1))))</f>
        <v/>
      </c>
      <c r="J470" s="19" t="str">
        <f>IF(A470="","",F470/(1+I470*$B$5/360)^(COUNT(A$16:A470)-($B$5-$G$16)/$B$5))</f>
        <v/>
      </c>
    </row>
    <row r="471" spans="1:10" x14ac:dyDescent="0.2">
      <c r="A471" s="12" t="str">
        <f t="shared" si="45"/>
        <v/>
      </c>
      <c r="B471" t="str">
        <f t="shared" si="43"/>
        <v/>
      </c>
      <c r="C471" s="21" t="str">
        <f ca="1">IF(A471="","",IF($B$8="Sí",interpolar_alamb(B471,OFFSET(Curvas_cupon_cero!$A$1,1,0,COUNT(Curvas_cupon_cero!$A:$A)-2,1),OFFSET(Curvas_cupon_cero!$A$1,1,MATCH($B$7,Curvas_cupon_cero!$1:$1,0)-1,COUNT(Curvas_cupon_cero!$A:$A)-2,1)),[1]!interpolar(B471,OFFSET(Curvas_cupon_cero!$A$1,1,0,COUNT(Curvas_cupon_cero!$A:$A)-2,1),OFFSET(Curvas_cupon_cero!$A$1,1,MATCH($B$7,Curvas_cupon_cero!$1:$1,0)-1,COUNT(Curvas_cupon_cero!$A:$A)-2,1))))</f>
        <v/>
      </c>
      <c r="D471" s="23" t="str">
        <f ca="1">IF(A471="","",IF($B$8="Sí",interpolar_alamb(H471,OFFSET(Curvas_cupon_cero!$A$1,1,0,COUNT(Curvas_cupon_cero!$A:$A)-2,1),OFFSET(Curvas_cupon_cero!$A$1,1,MATCH($B$7,Curvas_cupon_cero!$1:$1,0)-1,COUNT(Curvas_cupon_cero!$A:$A)-2,1)),[1]!interpolar(H471,OFFSET(Curvas_cupon_cero!$A$1,1,0,COUNT(Curvas_cupon_cero!$A:$A)-2,1),OFFSET(Curvas_cupon_cero!$A$1,1,MATCH($B$7,Curvas_cupon_cero!$1:$1,0)-1,COUNT(Curvas_cupon_cero!$A:$A)-2,1))))</f>
        <v/>
      </c>
      <c r="E471" s="23" t="str">
        <f t="shared" si="46"/>
        <v/>
      </c>
      <c r="F471" s="17" t="str">
        <f t="shared" si="44"/>
        <v/>
      </c>
      <c r="G471" s="18" t="str">
        <f t="shared" si="47"/>
        <v/>
      </c>
      <c r="H471" t="str">
        <f t="shared" si="48"/>
        <v/>
      </c>
      <c r="I471" s="23" t="str">
        <f ca="1">IF(A471="","",IF($B$8="Sí",interpolar_alamb(H471,OFFSET(Curvas_cupon_cero!$A$1,1,0,COUNT(Curvas_cupon_cero!$A:$A)-2,1),OFFSET(Curvas_cupon_cero!$A$1,1,MATCH($B$6,Curvas_cupon_cero!$1:$1,0)-1,COUNT(Curvas_cupon_cero!$A:$A)-2,1)),[1]!interpolar(H471,OFFSET(Curvas_cupon_cero!$A$1,1,0,COUNT(Curvas_cupon_cero!$A:$A)-2,1),OFFSET(Curvas_cupon_cero!$A$1,1,MATCH($B$6,Curvas_cupon_cero!$1:$1,0)-1,COUNT(Curvas_cupon_cero!$A:$A)-2,1))))</f>
        <v/>
      </c>
      <c r="J471" s="19" t="str">
        <f>IF(A471="","",F471/(1+I471*$B$5/360)^(COUNT(A$16:A471)-($B$5-$G$16)/$B$5))</f>
        <v/>
      </c>
    </row>
    <row r="472" spans="1:10" x14ac:dyDescent="0.2">
      <c r="A472" s="12" t="str">
        <f t="shared" si="45"/>
        <v/>
      </c>
      <c r="B472" t="str">
        <f t="shared" si="43"/>
        <v/>
      </c>
      <c r="C472" s="21" t="str">
        <f ca="1">IF(A472="","",IF($B$8="Sí",interpolar_alamb(B472,OFFSET(Curvas_cupon_cero!$A$1,1,0,COUNT(Curvas_cupon_cero!$A:$A)-2,1),OFFSET(Curvas_cupon_cero!$A$1,1,MATCH($B$7,Curvas_cupon_cero!$1:$1,0)-1,COUNT(Curvas_cupon_cero!$A:$A)-2,1)),[1]!interpolar(B472,OFFSET(Curvas_cupon_cero!$A$1,1,0,COUNT(Curvas_cupon_cero!$A:$A)-2,1),OFFSET(Curvas_cupon_cero!$A$1,1,MATCH($B$7,Curvas_cupon_cero!$1:$1,0)-1,COUNT(Curvas_cupon_cero!$A:$A)-2,1))))</f>
        <v/>
      </c>
      <c r="D472" s="23" t="str">
        <f ca="1">IF(A472="","",IF($B$8="Sí",interpolar_alamb(H472,OFFSET(Curvas_cupon_cero!$A$1,1,0,COUNT(Curvas_cupon_cero!$A:$A)-2,1),OFFSET(Curvas_cupon_cero!$A$1,1,MATCH($B$7,Curvas_cupon_cero!$1:$1,0)-1,COUNT(Curvas_cupon_cero!$A:$A)-2,1)),[1]!interpolar(H472,OFFSET(Curvas_cupon_cero!$A$1,1,0,COUNT(Curvas_cupon_cero!$A:$A)-2,1),OFFSET(Curvas_cupon_cero!$A$1,1,MATCH($B$7,Curvas_cupon_cero!$1:$1,0)-1,COUNT(Curvas_cupon_cero!$A:$A)-2,1))))</f>
        <v/>
      </c>
      <c r="E472" s="23" t="str">
        <f t="shared" si="46"/>
        <v/>
      </c>
      <c r="F472" s="17" t="str">
        <f t="shared" si="44"/>
        <v/>
      </c>
      <c r="G472" s="18" t="str">
        <f t="shared" si="47"/>
        <v/>
      </c>
      <c r="H472" t="str">
        <f t="shared" si="48"/>
        <v/>
      </c>
      <c r="I472" s="23" t="str">
        <f ca="1">IF(A472="","",IF($B$8="Sí",interpolar_alamb(H472,OFFSET(Curvas_cupon_cero!$A$1,1,0,COUNT(Curvas_cupon_cero!$A:$A)-2,1),OFFSET(Curvas_cupon_cero!$A$1,1,MATCH($B$6,Curvas_cupon_cero!$1:$1,0)-1,COUNT(Curvas_cupon_cero!$A:$A)-2,1)),[1]!interpolar(H472,OFFSET(Curvas_cupon_cero!$A$1,1,0,COUNT(Curvas_cupon_cero!$A:$A)-2,1),OFFSET(Curvas_cupon_cero!$A$1,1,MATCH($B$6,Curvas_cupon_cero!$1:$1,0)-1,COUNT(Curvas_cupon_cero!$A:$A)-2,1))))</f>
        <v/>
      </c>
      <c r="J472" s="19" t="str">
        <f>IF(A472="","",F472/(1+I472*$B$5/360)^(COUNT(A$16:A472)-($B$5-$G$16)/$B$5))</f>
        <v/>
      </c>
    </row>
    <row r="473" spans="1:10" x14ac:dyDescent="0.2">
      <c r="A473" s="12" t="str">
        <f t="shared" si="45"/>
        <v/>
      </c>
      <c r="B473" t="str">
        <f t="shared" si="43"/>
        <v/>
      </c>
      <c r="C473" s="21" t="str">
        <f ca="1">IF(A473="","",IF($B$8="Sí",interpolar_alamb(B473,OFFSET(Curvas_cupon_cero!$A$1,1,0,COUNT(Curvas_cupon_cero!$A:$A)-2,1),OFFSET(Curvas_cupon_cero!$A$1,1,MATCH($B$7,Curvas_cupon_cero!$1:$1,0)-1,COUNT(Curvas_cupon_cero!$A:$A)-2,1)),[1]!interpolar(B473,OFFSET(Curvas_cupon_cero!$A$1,1,0,COUNT(Curvas_cupon_cero!$A:$A)-2,1),OFFSET(Curvas_cupon_cero!$A$1,1,MATCH($B$7,Curvas_cupon_cero!$1:$1,0)-1,COUNT(Curvas_cupon_cero!$A:$A)-2,1))))</f>
        <v/>
      </c>
      <c r="D473" s="23" t="str">
        <f ca="1">IF(A473="","",IF($B$8="Sí",interpolar_alamb(H473,OFFSET(Curvas_cupon_cero!$A$1,1,0,COUNT(Curvas_cupon_cero!$A:$A)-2,1),OFFSET(Curvas_cupon_cero!$A$1,1,MATCH($B$7,Curvas_cupon_cero!$1:$1,0)-1,COUNT(Curvas_cupon_cero!$A:$A)-2,1)),[1]!interpolar(H473,OFFSET(Curvas_cupon_cero!$A$1,1,0,COUNT(Curvas_cupon_cero!$A:$A)-2,1),OFFSET(Curvas_cupon_cero!$A$1,1,MATCH($B$7,Curvas_cupon_cero!$1:$1,0)-1,COUNT(Curvas_cupon_cero!$A:$A)-2,1))))</f>
        <v/>
      </c>
      <c r="E473" s="23" t="str">
        <f t="shared" si="46"/>
        <v/>
      </c>
      <c r="F473" s="17" t="str">
        <f t="shared" si="44"/>
        <v/>
      </c>
      <c r="G473" s="18" t="str">
        <f t="shared" si="47"/>
        <v/>
      </c>
      <c r="H473" t="str">
        <f t="shared" si="48"/>
        <v/>
      </c>
      <c r="I473" s="23" t="str">
        <f ca="1">IF(A473="","",IF($B$8="Sí",interpolar_alamb(H473,OFFSET(Curvas_cupon_cero!$A$1,1,0,COUNT(Curvas_cupon_cero!$A:$A)-2,1),OFFSET(Curvas_cupon_cero!$A$1,1,MATCH($B$6,Curvas_cupon_cero!$1:$1,0)-1,COUNT(Curvas_cupon_cero!$A:$A)-2,1)),[1]!interpolar(H473,OFFSET(Curvas_cupon_cero!$A$1,1,0,COUNT(Curvas_cupon_cero!$A:$A)-2,1),OFFSET(Curvas_cupon_cero!$A$1,1,MATCH($B$6,Curvas_cupon_cero!$1:$1,0)-1,COUNT(Curvas_cupon_cero!$A:$A)-2,1))))</f>
        <v/>
      </c>
      <c r="J473" s="19" t="str">
        <f>IF(A473="","",F473/(1+I473*$B$5/360)^(COUNT(A$16:A473)-($B$5-$G$16)/$B$5))</f>
        <v/>
      </c>
    </row>
    <row r="474" spans="1:10" x14ac:dyDescent="0.2">
      <c r="A474" s="12" t="str">
        <f t="shared" si="45"/>
        <v/>
      </c>
      <c r="B474" t="str">
        <f t="shared" si="43"/>
        <v/>
      </c>
      <c r="C474" s="21" t="str">
        <f ca="1">IF(A474="","",IF($B$8="Sí",interpolar_alamb(B474,OFFSET(Curvas_cupon_cero!$A$1,1,0,COUNT(Curvas_cupon_cero!$A:$A)-2,1),OFFSET(Curvas_cupon_cero!$A$1,1,MATCH($B$7,Curvas_cupon_cero!$1:$1,0)-1,COUNT(Curvas_cupon_cero!$A:$A)-2,1)),[1]!interpolar(B474,OFFSET(Curvas_cupon_cero!$A$1,1,0,COUNT(Curvas_cupon_cero!$A:$A)-2,1),OFFSET(Curvas_cupon_cero!$A$1,1,MATCH($B$7,Curvas_cupon_cero!$1:$1,0)-1,COUNT(Curvas_cupon_cero!$A:$A)-2,1))))</f>
        <v/>
      </c>
      <c r="D474" s="23" t="str">
        <f ca="1">IF(A474="","",IF($B$8="Sí",interpolar_alamb(H474,OFFSET(Curvas_cupon_cero!$A$1,1,0,COUNT(Curvas_cupon_cero!$A:$A)-2,1),OFFSET(Curvas_cupon_cero!$A$1,1,MATCH($B$7,Curvas_cupon_cero!$1:$1,0)-1,COUNT(Curvas_cupon_cero!$A:$A)-2,1)),[1]!interpolar(H474,OFFSET(Curvas_cupon_cero!$A$1,1,0,COUNT(Curvas_cupon_cero!$A:$A)-2,1),OFFSET(Curvas_cupon_cero!$A$1,1,MATCH($B$7,Curvas_cupon_cero!$1:$1,0)-1,COUNT(Curvas_cupon_cero!$A:$A)-2,1))))</f>
        <v/>
      </c>
      <c r="E474" s="23" t="str">
        <f t="shared" si="46"/>
        <v/>
      </c>
      <c r="F474" s="17" t="str">
        <f t="shared" si="44"/>
        <v/>
      </c>
      <c r="G474" s="18" t="str">
        <f t="shared" si="47"/>
        <v/>
      </c>
      <c r="H474" t="str">
        <f t="shared" si="48"/>
        <v/>
      </c>
      <c r="I474" s="23" t="str">
        <f ca="1">IF(A474="","",IF($B$8="Sí",interpolar_alamb(H474,OFFSET(Curvas_cupon_cero!$A$1,1,0,COUNT(Curvas_cupon_cero!$A:$A)-2,1),OFFSET(Curvas_cupon_cero!$A$1,1,MATCH($B$6,Curvas_cupon_cero!$1:$1,0)-1,COUNT(Curvas_cupon_cero!$A:$A)-2,1)),[1]!interpolar(H474,OFFSET(Curvas_cupon_cero!$A$1,1,0,COUNT(Curvas_cupon_cero!$A:$A)-2,1),OFFSET(Curvas_cupon_cero!$A$1,1,MATCH($B$6,Curvas_cupon_cero!$1:$1,0)-1,COUNT(Curvas_cupon_cero!$A:$A)-2,1))))</f>
        <v/>
      </c>
      <c r="J474" s="19" t="str">
        <f>IF(A474="","",F474/(1+I474*$B$5/360)^(COUNT(A$16:A474)-($B$5-$G$16)/$B$5))</f>
        <v/>
      </c>
    </row>
    <row r="475" spans="1:10" x14ac:dyDescent="0.2">
      <c r="A475" s="12" t="str">
        <f t="shared" si="45"/>
        <v/>
      </c>
      <c r="B475" t="str">
        <f t="shared" si="43"/>
        <v/>
      </c>
      <c r="C475" s="21" t="str">
        <f ca="1">IF(A475="","",IF($B$8="Sí",interpolar_alamb(B475,OFFSET(Curvas_cupon_cero!$A$1,1,0,COUNT(Curvas_cupon_cero!$A:$A)-2,1),OFFSET(Curvas_cupon_cero!$A$1,1,MATCH($B$7,Curvas_cupon_cero!$1:$1,0)-1,COUNT(Curvas_cupon_cero!$A:$A)-2,1)),[1]!interpolar(B475,OFFSET(Curvas_cupon_cero!$A$1,1,0,COUNT(Curvas_cupon_cero!$A:$A)-2,1),OFFSET(Curvas_cupon_cero!$A$1,1,MATCH($B$7,Curvas_cupon_cero!$1:$1,0)-1,COUNT(Curvas_cupon_cero!$A:$A)-2,1))))</f>
        <v/>
      </c>
      <c r="D475" s="23" t="str">
        <f ca="1">IF(A475="","",IF($B$8="Sí",interpolar_alamb(H475,OFFSET(Curvas_cupon_cero!$A$1,1,0,COUNT(Curvas_cupon_cero!$A:$A)-2,1),OFFSET(Curvas_cupon_cero!$A$1,1,MATCH($B$7,Curvas_cupon_cero!$1:$1,0)-1,COUNT(Curvas_cupon_cero!$A:$A)-2,1)),[1]!interpolar(H475,OFFSET(Curvas_cupon_cero!$A$1,1,0,COUNT(Curvas_cupon_cero!$A:$A)-2,1),OFFSET(Curvas_cupon_cero!$A$1,1,MATCH($B$7,Curvas_cupon_cero!$1:$1,0)-1,COUNT(Curvas_cupon_cero!$A:$A)-2,1))))</f>
        <v/>
      </c>
      <c r="E475" s="23" t="str">
        <f t="shared" si="46"/>
        <v/>
      </c>
      <c r="F475" s="17" t="str">
        <f t="shared" si="44"/>
        <v/>
      </c>
      <c r="G475" s="18" t="str">
        <f t="shared" si="47"/>
        <v/>
      </c>
      <c r="H475" t="str">
        <f t="shared" si="48"/>
        <v/>
      </c>
      <c r="I475" s="23" t="str">
        <f ca="1">IF(A475="","",IF($B$8="Sí",interpolar_alamb(H475,OFFSET(Curvas_cupon_cero!$A$1,1,0,COUNT(Curvas_cupon_cero!$A:$A)-2,1),OFFSET(Curvas_cupon_cero!$A$1,1,MATCH($B$6,Curvas_cupon_cero!$1:$1,0)-1,COUNT(Curvas_cupon_cero!$A:$A)-2,1)),[1]!interpolar(H475,OFFSET(Curvas_cupon_cero!$A$1,1,0,COUNT(Curvas_cupon_cero!$A:$A)-2,1),OFFSET(Curvas_cupon_cero!$A$1,1,MATCH($B$6,Curvas_cupon_cero!$1:$1,0)-1,COUNT(Curvas_cupon_cero!$A:$A)-2,1))))</f>
        <v/>
      </c>
      <c r="J475" s="19" t="str">
        <f>IF(A475="","",F475/(1+I475*$B$5/360)^(COUNT(A$16:A475)-($B$5-$G$16)/$B$5))</f>
        <v/>
      </c>
    </row>
    <row r="476" spans="1:10" x14ac:dyDescent="0.2">
      <c r="A476" s="12" t="str">
        <f t="shared" si="45"/>
        <v/>
      </c>
      <c r="B476" t="str">
        <f t="shared" si="43"/>
        <v/>
      </c>
      <c r="C476" s="21" t="str">
        <f ca="1">IF(A476="","",IF($B$8="Sí",interpolar_alamb(B476,OFFSET(Curvas_cupon_cero!$A$1,1,0,COUNT(Curvas_cupon_cero!$A:$A)-2,1),OFFSET(Curvas_cupon_cero!$A$1,1,MATCH($B$7,Curvas_cupon_cero!$1:$1,0)-1,COUNT(Curvas_cupon_cero!$A:$A)-2,1)),[1]!interpolar(B476,OFFSET(Curvas_cupon_cero!$A$1,1,0,COUNT(Curvas_cupon_cero!$A:$A)-2,1),OFFSET(Curvas_cupon_cero!$A$1,1,MATCH($B$7,Curvas_cupon_cero!$1:$1,0)-1,COUNT(Curvas_cupon_cero!$A:$A)-2,1))))</f>
        <v/>
      </c>
      <c r="D476" s="23" t="str">
        <f ca="1">IF(A476="","",IF($B$8="Sí",interpolar_alamb(H476,OFFSET(Curvas_cupon_cero!$A$1,1,0,COUNT(Curvas_cupon_cero!$A:$A)-2,1),OFFSET(Curvas_cupon_cero!$A$1,1,MATCH($B$7,Curvas_cupon_cero!$1:$1,0)-1,COUNT(Curvas_cupon_cero!$A:$A)-2,1)),[1]!interpolar(H476,OFFSET(Curvas_cupon_cero!$A$1,1,0,COUNT(Curvas_cupon_cero!$A:$A)-2,1),OFFSET(Curvas_cupon_cero!$A$1,1,MATCH($B$7,Curvas_cupon_cero!$1:$1,0)-1,COUNT(Curvas_cupon_cero!$A:$A)-2,1))))</f>
        <v/>
      </c>
      <c r="E476" s="23" t="str">
        <f t="shared" si="46"/>
        <v/>
      </c>
      <c r="F476" s="17" t="str">
        <f t="shared" si="44"/>
        <v/>
      </c>
      <c r="G476" s="18" t="str">
        <f t="shared" si="47"/>
        <v/>
      </c>
      <c r="H476" t="str">
        <f t="shared" si="48"/>
        <v/>
      </c>
      <c r="I476" s="23" t="str">
        <f ca="1">IF(A476="","",IF($B$8="Sí",interpolar_alamb(H476,OFFSET(Curvas_cupon_cero!$A$1,1,0,COUNT(Curvas_cupon_cero!$A:$A)-2,1),OFFSET(Curvas_cupon_cero!$A$1,1,MATCH($B$6,Curvas_cupon_cero!$1:$1,0)-1,COUNT(Curvas_cupon_cero!$A:$A)-2,1)),[1]!interpolar(H476,OFFSET(Curvas_cupon_cero!$A$1,1,0,COUNT(Curvas_cupon_cero!$A:$A)-2,1),OFFSET(Curvas_cupon_cero!$A$1,1,MATCH($B$6,Curvas_cupon_cero!$1:$1,0)-1,COUNT(Curvas_cupon_cero!$A:$A)-2,1))))</f>
        <v/>
      </c>
      <c r="J476" s="19" t="str">
        <f>IF(A476="","",F476/(1+I476*$B$5/360)^(COUNT(A$16:A476)-($B$5-$G$16)/$B$5))</f>
        <v/>
      </c>
    </row>
    <row r="477" spans="1:10" x14ac:dyDescent="0.2">
      <c r="A477" s="12" t="str">
        <f t="shared" si="45"/>
        <v/>
      </c>
      <c r="B477" t="str">
        <f t="shared" si="43"/>
        <v/>
      </c>
      <c r="C477" s="21" t="str">
        <f ca="1">IF(A477="","",IF($B$8="Sí",interpolar_alamb(B477,OFFSET(Curvas_cupon_cero!$A$1,1,0,COUNT(Curvas_cupon_cero!$A:$A)-2,1),OFFSET(Curvas_cupon_cero!$A$1,1,MATCH($B$7,Curvas_cupon_cero!$1:$1,0)-1,COUNT(Curvas_cupon_cero!$A:$A)-2,1)),[1]!interpolar(B477,OFFSET(Curvas_cupon_cero!$A$1,1,0,COUNT(Curvas_cupon_cero!$A:$A)-2,1),OFFSET(Curvas_cupon_cero!$A$1,1,MATCH($B$7,Curvas_cupon_cero!$1:$1,0)-1,COUNT(Curvas_cupon_cero!$A:$A)-2,1))))</f>
        <v/>
      </c>
      <c r="D477" s="23" t="str">
        <f ca="1">IF(A477="","",IF($B$8="Sí",interpolar_alamb(H477,OFFSET(Curvas_cupon_cero!$A$1,1,0,COUNT(Curvas_cupon_cero!$A:$A)-2,1),OFFSET(Curvas_cupon_cero!$A$1,1,MATCH($B$7,Curvas_cupon_cero!$1:$1,0)-1,COUNT(Curvas_cupon_cero!$A:$A)-2,1)),[1]!interpolar(H477,OFFSET(Curvas_cupon_cero!$A$1,1,0,COUNT(Curvas_cupon_cero!$A:$A)-2,1),OFFSET(Curvas_cupon_cero!$A$1,1,MATCH($B$7,Curvas_cupon_cero!$1:$1,0)-1,COUNT(Curvas_cupon_cero!$A:$A)-2,1))))</f>
        <v/>
      </c>
      <c r="E477" s="23" t="str">
        <f t="shared" si="46"/>
        <v/>
      </c>
      <c r="F477" s="17" t="str">
        <f t="shared" si="44"/>
        <v/>
      </c>
      <c r="G477" s="18" t="str">
        <f t="shared" si="47"/>
        <v/>
      </c>
      <c r="H477" t="str">
        <f t="shared" si="48"/>
        <v/>
      </c>
      <c r="I477" s="23" t="str">
        <f ca="1">IF(A477="","",IF($B$8="Sí",interpolar_alamb(H477,OFFSET(Curvas_cupon_cero!$A$1,1,0,COUNT(Curvas_cupon_cero!$A:$A)-2,1),OFFSET(Curvas_cupon_cero!$A$1,1,MATCH($B$6,Curvas_cupon_cero!$1:$1,0)-1,COUNT(Curvas_cupon_cero!$A:$A)-2,1)),[1]!interpolar(H477,OFFSET(Curvas_cupon_cero!$A$1,1,0,COUNT(Curvas_cupon_cero!$A:$A)-2,1),OFFSET(Curvas_cupon_cero!$A$1,1,MATCH($B$6,Curvas_cupon_cero!$1:$1,0)-1,COUNT(Curvas_cupon_cero!$A:$A)-2,1))))</f>
        <v/>
      </c>
      <c r="J477" s="19" t="str">
        <f>IF(A477="","",F477/(1+I477*$B$5/360)^(COUNT(A$16:A477)-($B$5-$G$16)/$B$5))</f>
        <v/>
      </c>
    </row>
    <row r="478" spans="1:10" x14ac:dyDescent="0.2">
      <c r="A478" s="12" t="str">
        <f t="shared" si="45"/>
        <v/>
      </c>
      <c r="B478" t="str">
        <f t="shared" si="43"/>
        <v/>
      </c>
      <c r="C478" s="21" t="str">
        <f ca="1">IF(A478="","",IF($B$8="Sí",interpolar_alamb(B478,OFFSET(Curvas_cupon_cero!$A$1,1,0,COUNT(Curvas_cupon_cero!$A:$A)-2,1),OFFSET(Curvas_cupon_cero!$A$1,1,MATCH($B$7,Curvas_cupon_cero!$1:$1,0)-1,COUNT(Curvas_cupon_cero!$A:$A)-2,1)),[1]!interpolar(B478,OFFSET(Curvas_cupon_cero!$A$1,1,0,COUNT(Curvas_cupon_cero!$A:$A)-2,1),OFFSET(Curvas_cupon_cero!$A$1,1,MATCH($B$7,Curvas_cupon_cero!$1:$1,0)-1,COUNT(Curvas_cupon_cero!$A:$A)-2,1))))</f>
        <v/>
      </c>
      <c r="D478" s="23" t="str">
        <f ca="1">IF(A478="","",IF($B$8="Sí",interpolar_alamb(H478,OFFSET(Curvas_cupon_cero!$A$1,1,0,COUNT(Curvas_cupon_cero!$A:$A)-2,1),OFFSET(Curvas_cupon_cero!$A$1,1,MATCH($B$7,Curvas_cupon_cero!$1:$1,0)-1,COUNT(Curvas_cupon_cero!$A:$A)-2,1)),[1]!interpolar(H478,OFFSET(Curvas_cupon_cero!$A$1,1,0,COUNT(Curvas_cupon_cero!$A:$A)-2,1),OFFSET(Curvas_cupon_cero!$A$1,1,MATCH($B$7,Curvas_cupon_cero!$1:$1,0)-1,COUNT(Curvas_cupon_cero!$A:$A)-2,1))))</f>
        <v/>
      </c>
      <c r="E478" s="23" t="str">
        <f t="shared" si="46"/>
        <v/>
      </c>
      <c r="F478" s="17" t="str">
        <f t="shared" si="44"/>
        <v/>
      </c>
      <c r="G478" s="18" t="str">
        <f t="shared" si="47"/>
        <v/>
      </c>
      <c r="H478" t="str">
        <f t="shared" si="48"/>
        <v/>
      </c>
      <c r="I478" s="23" t="str">
        <f ca="1">IF(A478="","",IF($B$8="Sí",interpolar_alamb(H478,OFFSET(Curvas_cupon_cero!$A$1,1,0,COUNT(Curvas_cupon_cero!$A:$A)-2,1),OFFSET(Curvas_cupon_cero!$A$1,1,MATCH($B$6,Curvas_cupon_cero!$1:$1,0)-1,COUNT(Curvas_cupon_cero!$A:$A)-2,1)),[1]!interpolar(H478,OFFSET(Curvas_cupon_cero!$A$1,1,0,COUNT(Curvas_cupon_cero!$A:$A)-2,1),OFFSET(Curvas_cupon_cero!$A$1,1,MATCH($B$6,Curvas_cupon_cero!$1:$1,0)-1,COUNT(Curvas_cupon_cero!$A:$A)-2,1))))</f>
        <v/>
      </c>
      <c r="J478" s="19" t="str">
        <f>IF(A478="","",F478/(1+I478*$B$5/360)^(COUNT(A$16:A478)-($B$5-$G$16)/$B$5))</f>
        <v/>
      </c>
    </row>
    <row r="479" spans="1:10" x14ac:dyDescent="0.2">
      <c r="A479" s="12" t="str">
        <f t="shared" si="45"/>
        <v/>
      </c>
      <c r="B479" t="str">
        <f t="shared" si="43"/>
        <v/>
      </c>
      <c r="C479" s="21" t="str">
        <f ca="1">IF(A479="","",IF($B$8="Sí",interpolar_alamb(B479,OFFSET(Curvas_cupon_cero!$A$1,1,0,COUNT(Curvas_cupon_cero!$A:$A)-2,1),OFFSET(Curvas_cupon_cero!$A$1,1,MATCH($B$7,Curvas_cupon_cero!$1:$1,0)-1,COUNT(Curvas_cupon_cero!$A:$A)-2,1)),[1]!interpolar(B479,OFFSET(Curvas_cupon_cero!$A$1,1,0,COUNT(Curvas_cupon_cero!$A:$A)-2,1),OFFSET(Curvas_cupon_cero!$A$1,1,MATCH($B$7,Curvas_cupon_cero!$1:$1,0)-1,COUNT(Curvas_cupon_cero!$A:$A)-2,1))))</f>
        <v/>
      </c>
      <c r="D479" s="23" t="str">
        <f ca="1">IF(A479="","",IF($B$8="Sí",interpolar_alamb(H479,OFFSET(Curvas_cupon_cero!$A$1,1,0,COUNT(Curvas_cupon_cero!$A:$A)-2,1),OFFSET(Curvas_cupon_cero!$A$1,1,MATCH($B$7,Curvas_cupon_cero!$1:$1,0)-1,COUNT(Curvas_cupon_cero!$A:$A)-2,1)),[1]!interpolar(H479,OFFSET(Curvas_cupon_cero!$A$1,1,0,COUNT(Curvas_cupon_cero!$A:$A)-2,1),OFFSET(Curvas_cupon_cero!$A$1,1,MATCH($B$7,Curvas_cupon_cero!$1:$1,0)-1,COUNT(Curvas_cupon_cero!$A:$A)-2,1))))</f>
        <v/>
      </c>
      <c r="E479" s="23" t="str">
        <f t="shared" si="46"/>
        <v/>
      </c>
      <c r="F479" s="17" t="str">
        <f t="shared" si="44"/>
        <v/>
      </c>
      <c r="G479" s="18" t="str">
        <f t="shared" si="47"/>
        <v/>
      </c>
      <c r="H479" t="str">
        <f t="shared" si="48"/>
        <v/>
      </c>
      <c r="I479" s="23" t="str">
        <f ca="1">IF(A479="","",IF($B$8="Sí",interpolar_alamb(H479,OFFSET(Curvas_cupon_cero!$A$1,1,0,COUNT(Curvas_cupon_cero!$A:$A)-2,1),OFFSET(Curvas_cupon_cero!$A$1,1,MATCH($B$6,Curvas_cupon_cero!$1:$1,0)-1,COUNT(Curvas_cupon_cero!$A:$A)-2,1)),[1]!interpolar(H479,OFFSET(Curvas_cupon_cero!$A$1,1,0,COUNT(Curvas_cupon_cero!$A:$A)-2,1),OFFSET(Curvas_cupon_cero!$A$1,1,MATCH($B$6,Curvas_cupon_cero!$1:$1,0)-1,COUNT(Curvas_cupon_cero!$A:$A)-2,1))))</f>
        <v/>
      </c>
      <c r="J479" s="19" t="str">
        <f>IF(A479="","",F479/(1+I479*$B$5/360)^(COUNT(A$16:A479)-($B$5-$G$16)/$B$5))</f>
        <v/>
      </c>
    </row>
    <row r="480" spans="1:10" x14ac:dyDescent="0.2">
      <c r="A480" s="12" t="str">
        <f t="shared" si="45"/>
        <v/>
      </c>
      <c r="B480" t="str">
        <f t="shared" si="43"/>
        <v/>
      </c>
      <c r="C480" s="21" t="str">
        <f ca="1">IF(A480="","",IF($B$8="Sí",interpolar_alamb(B480,OFFSET(Curvas_cupon_cero!$A$1,1,0,COUNT(Curvas_cupon_cero!$A:$A)-2,1),OFFSET(Curvas_cupon_cero!$A$1,1,MATCH($B$7,Curvas_cupon_cero!$1:$1,0)-1,COUNT(Curvas_cupon_cero!$A:$A)-2,1)),[1]!interpolar(B480,OFFSET(Curvas_cupon_cero!$A$1,1,0,COUNT(Curvas_cupon_cero!$A:$A)-2,1),OFFSET(Curvas_cupon_cero!$A$1,1,MATCH($B$7,Curvas_cupon_cero!$1:$1,0)-1,COUNT(Curvas_cupon_cero!$A:$A)-2,1))))</f>
        <v/>
      </c>
      <c r="D480" s="23" t="str">
        <f ca="1">IF(A480="","",IF($B$8="Sí",interpolar_alamb(H480,OFFSET(Curvas_cupon_cero!$A$1,1,0,COUNT(Curvas_cupon_cero!$A:$A)-2,1),OFFSET(Curvas_cupon_cero!$A$1,1,MATCH($B$7,Curvas_cupon_cero!$1:$1,0)-1,COUNT(Curvas_cupon_cero!$A:$A)-2,1)),[1]!interpolar(H480,OFFSET(Curvas_cupon_cero!$A$1,1,0,COUNT(Curvas_cupon_cero!$A:$A)-2,1),OFFSET(Curvas_cupon_cero!$A$1,1,MATCH($B$7,Curvas_cupon_cero!$1:$1,0)-1,COUNT(Curvas_cupon_cero!$A:$A)-2,1))))</f>
        <v/>
      </c>
      <c r="E480" s="23" t="str">
        <f t="shared" si="46"/>
        <v/>
      </c>
      <c r="F480" s="17" t="str">
        <f t="shared" si="44"/>
        <v/>
      </c>
      <c r="G480" s="18" t="str">
        <f t="shared" si="47"/>
        <v/>
      </c>
      <c r="H480" t="str">
        <f t="shared" si="48"/>
        <v/>
      </c>
      <c r="I480" s="23" t="str">
        <f ca="1">IF(A480="","",IF($B$8="Sí",interpolar_alamb(H480,OFFSET(Curvas_cupon_cero!$A$1,1,0,COUNT(Curvas_cupon_cero!$A:$A)-2,1),OFFSET(Curvas_cupon_cero!$A$1,1,MATCH($B$6,Curvas_cupon_cero!$1:$1,0)-1,COUNT(Curvas_cupon_cero!$A:$A)-2,1)),[1]!interpolar(H480,OFFSET(Curvas_cupon_cero!$A$1,1,0,COUNT(Curvas_cupon_cero!$A:$A)-2,1),OFFSET(Curvas_cupon_cero!$A$1,1,MATCH($B$6,Curvas_cupon_cero!$1:$1,0)-1,COUNT(Curvas_cupon_cero!$A:$A)-2,1))))</f>
        <v/>
      </c>
      <c r="J480" s="19" t="str">
        <f>IF(A480="","",F480/(1+I480*$B$5/360)^(COUNT(A$16:A480)-($B$5-$G$16)/$B$5))</f>
        <v/>
      </c>
    </row>
    <row r="481" spans="1:10" x14ac:dyDescent="0.2">
      <c r="A481" s="12" t="str">
        <f t="shared" si="45"/>
        <v/>
      </c>
      <c r="B481" t="str">
        <f t="shared" si="43"/>
        <v/>
      </c>
      <c r="C481" s="21" t="str">
        <f ca="1">IF(A481="","",IF($B$8="Sí",interpolar_alamb(B481,OFFSET(Curvas_cupon_cero!$A$1,1,0,COUNT(Curvas_cupon_cero!$A:$A)-2,1),OFFSET(Curvas_cupon_cero!$A$1,1,MATCH($B$7,Curvas_cupon_cero!$1:$1,0)-1,COUNT(Curvas_cupon_cero!$A:$A)-2,1)),[1]!interpolar(B481,OFFSET(Curvas_cupon_cero!$A$1,1,0,COUNT(Curvas_cupon_cero!$A:$A)-2,1),OFFSET(Curvas_cupon_cero!$A$1,1,MATCH($B$7,Curvas_cupon_cero!$1:$1,0)-1,COUNT(Curvas_cupon_cero!$A:$A)-2,1))))</f>
        <v/>
      </c>
      <c r="D481" s="23" t="str">
        <f ca="1">IF(A481="","",IF($B$8="Sí",interpolar_alamb(H481,OFFSET(Curvas_cupon_cero!$A$1,1,0,COUNT(Curvas_cupon_cero!$A:$A)-2,1),OFFSET(Curvas_cupon_cero!$A$1,1,MATCH($B$7,Curvas_cupon_cero!$1:$1,0)-1,COUNT(Curvas_cupon_cero!$A:$A)-2,1)),[1]!interpolar(H481,OFFSET(Curvas_cupon_cero!$A$1,1,0,COUNT(Curvas_cupon_cero!$A:$A)-2,1),OFFSET(Curvas_cupon_cero!$A$1,1,MATCH($B$7,Curvas_cupon_cero!$1:$1,0)-1,COUNT(Curvas_cupon_cero!$A:$A)-2,1))))</f>
        <v/>
      </c>
      <c r="E481" s="23" t="str">
        <f t="shared" si="46"/>
        <v/>
      </c>
      <c r="F481" s="17" t="str">
        <f t="shared" si="44"/>
        <v/>
      </c>
      <c r="G481" s="18" t="str">
        <f t="shared" si="47"/>
        <v/>
      </c>
      <c r="H481" t="str">
        <f t="shared" si="48"/>
        <v/>
      </c>
      <c r="I481" s="23" t="str">
        <f ca="1">IF(A481="","",IF($B$8="Sí",interpolar_alamb(H481,OFFSET(Curvas_cupon_cero!$A$1,1,0,COUNT(Curvas_cupon_cero!$A:$A)-2,1),OFFSET(Curvas_cupon_cero!$A$1,1,MATCH($B$6,Curvas_cupon_cero!$1:$1,0)-1,COUNT(Curvas_cupon_cero!$A:$A)-2,1)),[1]!interpolar(H481,OFFSET(Curvas_cupon_cero!$A$1,1,0,COUNT(Curvas_cupon_cero!$A:$A)-2,1),OFFSET(Curvas_cupon_cero!$A$1,1,MATCH($B$6,Curvas_cupon_cero!$1:$1,0)-1,COUNT(Curvas_cupon_cero!$A:$A)-2,1))))</f>
        <v/>
      </c>
      <c r="J481" s="19" t="str">
        <f>IF(A481="","",F481/(1+I481*$B$5/360)^(COUNT(A$16:A481)-($B$5-$G$16)/$B$5))</f>
        <v/>
      </c>
    </row>
    <row r="482" spans="1:10" x14ac:dyDescent="0.2">
      <c r="A482" s="12" t="str">
        <f t="shared" si="45"/>
        <v/>
      </c>
      <c r="B482" t="str">
        <f t="shared" si="43"/>
        <v/>
      </c>
      <c r="C482" s="21" t="str">
        <f ca="1">IF(A482="","",IF($B$8="Sí",interpolar_alamb(B482,OFFSET(Curvas_cupon_cero!$A$1,1,0,COUNT(Curvas_cupon_cero!$A:$A)-2,1),OFFSET(Curvas_cupon_cero!$A$1,1,MATCH($B$7,Curvas_cupon_cero!$1:$1,0)-1,COUNT(Curvas_cupon_cero!$A:$A)-2,1)),[1]!interpolar(B482,OFFSET(Curvas_cupon_cero!$A$1,1,0,COUNT(Curvas_cupon_cero!$A:$A)-2,1),OFFSET(Curvas_cupon_cero!$A$1,1,MATCH($B$7,Curvas_cupon_cero!$1:$1,0)-1,COUNT(Curvas_cupon_cero!$A:$A)-2,1))))</f>
        <v/>
      </c>
      <c r="D482" s="23" t="str">
        <f ca="1">IF(A482="","",IF($B$8="Sí",interpolar_alamb(H482,OFFSET(Curvas_cupon_cero!$A$1,1,0,COUNT(Curvas_cupon_cero!$A:$A)-2,1),OFFSET(Curvas_cupon_cero!$A$1,1,MATCH($B$7,Curvas_cupon_cero!$1:$1,0)-1,COUNT(Curvas_cupon_cero!$A:$A)-2,1)),[1]!interpolar(H482,OFFSET(Curvas_cupon_cero!$A$1,1,0,COUNT(Curvas_cupon_cero!$A:$A)-2,1),OFFSET(Curvas_cupon_cero!$A$1,1,MATCH($B$7,Curvas_cupon_cero!$1:$1,0)-1,COUNT(Curvas_cupon_cero!$A:$A)-2,1))))</f>
        <v/>
      </c>
      <c r="E482" s="23" t="str">
        <f t="shared" si="46"/>
        <v/>
      </c>
      <c r="F482" s="17" t="str">
        <f t="shared" si="44"/>
        <v/>
      </c>
      <c r="G482" s="18" t="str">
        <f t="shared" si="47"/>
        <v/>
      </c>
      <c r="H482" t="str">
        <f t="shared" si="48"/>
        <v/>
      </c>
      <c r="I482" s="23" t="str">
        <f ca="1">IF(A482="","",IF($B$8="Sí",interpolar_alamb(H482,OFFSET(Curvas_cupon_cero!$A$1,1,0,COUNT(Curvas_cupon_cero!$A:$A)-2,1),OFFSET(Curvas_cupon_cero!$A$1,1,MATCH($B$6,Curvas_cupon_cero!$1:$1,0)-1,COUNT(Curvas_cupon_cero!$A:$A)-2,1)),[1]!interpolar(H482,OFFSET(Curvas_cupon_cero!$A$1,1,0,COUNT(Curvas_cupon_cero!$A:$A)-2,1),OFFSET(Curvas_cupon_cero!$A$1,1,MATCH($B$6,Curvas_cupon_cero!$1:$1,0)-1,COUNT(Curvas_cupon_cero!$A:$A)-2,1))))</f>
        <v/>
      </c>
      <c r="J482" s="19" t="str">
        <f>IF(A482="","",F482/(1+I482*$B$5/360)^(COUNT(A$16:A482)-($B$5-$G$16)/$B$5))</f>
        <v/>
      </c>
    </row>
    <row r="483" spans="1:10" x14ac:dyDescent="0.2">
      <c r="A483" s="12" t="str">
        <f t="shared" si="45"/>
        <v/>
      </c>
      <c r="B483" t="str">
        <f t="shared" si="43"/>
        <v/>
      </c>
      <c r="C483" s="21" t="str">
        <f ca="1">IF(A483="","",IF($B$8="Sí",interpolar_alamb(B483,OFFSET(Curvas_cupon_cero!$A$1,1,0,COUNT(Curvas_cupon_cero!$A:$A)-2,1),OFFSET(Curvas_cupon_cero!$A$1,1,MATCH($B$7,Curvas_cupon_cero!$1:$1,0)-1,COUNT(Curvas_cupon_cero!$A:$A)-2,1)),[1]!interpolar(B483,OFFSET(Curvas_cupon_cero!$A$1,1,0,COUNT(Curvas_cupon_cero!$A:$A)-2,1),OFFSET(Curvas_cupon_cero!$A$1,1,MATCH($B$7,Curvas_cupon_cero!$1:$1,0)-1,COUNT(Curvas_cupon_cero!$A:$A)-2,1))))</f>
        <v/>
      </c>
      <c r="D483" s="23" t="str">
        <f ca="1">IF(A483="","",IF($B$8="Sí",interpolar_alamb(H483,OFFSET(Curvas_cupon_cero!$A$1,1,0,COUNT(Curvas_cupon_cero!$A:$A)-2,1),OFFSET(Curvas_cupon_cero!$A$1,1,MATCH($B$7,Curvas_cupon_cero!$1:$1,0)-1,COUNT(Curvas_cupon_cero!$A:$A)-2,1)),[1]!interpolar(H483,OFFSET(Curvas_cupon_cero!$A$1,1,0,COUNT(Curvas_cupon_cero!$A:$A)-2,1),OFFSET(Curvas_cupon_cero!$A$1,1,MATCH($B$7,Curvas_cupon_cero!$1:$1,0)-1,COUNT(Curvas_cupon_cero!$A:$A)-2,1))))</f>
        <v/>
      </c>
      <c r="E483" s="23" t="str">
        <f t="shared" si="46"/>
        <v/>
      </c>
      <c r="F483" s="17" t="str">
        <f t="shared" si="44"/>
        <v/>
      </c>
      <c r="G483" s="18" t="str">
        <f t="shared" si="47"/>
        <v/>
      </c>
      <c r="H483" t="str">
        <f t="shared" si="48"/>
        <v/>
      </c>
      <c r="I483" s="23" t="str">
        <f ca="1">IF(A483="","",IF($B$8="Sí",interpolar_alamb(H483,OFFSET(Curvas_cupon_cero!$A$1,1,0,COUNT(Curvas_cupon_cero!$A:$A)-2,1),OFFSET(Curvas_cupon_cero!$A$1,1,MATCH($B$6,Curvas_cupon_cero!$1:$1,0)-1,COUNT(Curvas_cupon_cero!$A:$A)-2,1)),[1]!interpolar(H483,OFFSET(Curvas_cupon_cero!$A$1,1,0,COUNT(Curvas_cupon_cero!$A:$A)-2,1),OFFSET(Curvas_cupon_cero!$A$1,1,MATCH($B$6,Curvas_cupon_cero!$1:$1,0)-1,COUNT(Curvas_cupon_cero!$A:$A)-2,1))))</f>
        <v/>
      </c>
      <c r="J483" s="19" t="str">
        <f>IF(A483="","",F483/(1+I483*$B$5/360)^(COUNT(A$16:A483)-($B$5-$G$16)/$B$5))</f>
        <v/>
      </c>
    </row>
    <row r="484" spans="1:10" x14ac:dyDescent="0.2">
      <c r="A484" s="12" t="str">
        <f t="shared" si="45"/>
        <v/>
      </c>
      <c r="B484" t="str">
        <f t="shared" si="43"/>
        <v/>
      </c>
      <c r="C484" s="21" t="str">
        <f ca="1">IF(A484="","",IF($B$8="Sí",interpolar_alamb(B484,OFFSET(Curvas_cupon_cero!$A$1,1,0,COUNT(Curvas_cupon_cero!$A:$A)-2,1),OFFSET(Curvas_cupon_cero!$A$1,1,MATCH($B$7,Curvas_cupon_cero!$1:$1,0)-1,COUNT(Curvas_cupon_cero!$A:$A)-2,1)),[1]!interpolar(B484,OFFSET(Curvas_cupon_cero!$A$1,1,0,COUNT(Curvas_cupon_cero!$A:$A)-2,1),OFFSET(Curvas_cupon_cero!$A$1,1,MATCH($B$7,Curvas_cupon_cero!$1:$1,0)-1,COUNT(Curvas_cupon_cero!$A:$A)-2,1))))</f>
        <v/>
      </c>
      <c r="D484" s="23" t="str">
        <f ca="1">IF(A484="","",IF($B$8="Sí",interpolar_alamb(H484,OFFSET(Curvas_cupon_cero!$A$1,1,0,COUNT(Curvas_cupon_cero!$A:$A)-2,1),OFFSET(Curvas_cupon_cero!$A$1,1,MATCH($B$7,Curvas_cupon_cero!$1:$1,0)-1,COUNT(Curvas_cupon_cero!$A:$A)-2,1)),[1]!interpolar(H484,OFFSET(Curvas_cupon_cero!$A$1,1,0,COUNT(Curvas_cupon_cero!$A:$A)-2,1),OFFSET(Curvas_cupon_cero!$A$1,1,MATCH($B$7,Curvas_cupon_cero!$1:$1,0)-1,COUNT(Curvas_cupon_cero!$A:$A)-2,1))))</f>
        <v/>
      </c>
      <c r="E484" s="23" t="str">
        <f t="shared" si="46"/>
        <v/>
      </c>
      <c r="F484" s="17" t="str">
        <f t="shared" si="44"/>
        <v/>
      </c>
      <c r="G484" s="18" t="str">
        <f t="shared" si="47"/>
        <v/>
      </c>
      <c r="H484" t="str">
        <f t="shared" si="48"/>
        <v/>
      </c>
      <c r="I484" s="23" t="str">
        <f ca="1">IF(A484="","",IF($B$8="Sí",interpolar_alamb(H484,OFFSET(Curvas_cupon_cero!$A$1,1,0,COUNT(Curvas_cupon_cero!$A:$A)-2,1),OFFSET(Curvas_cupon_cero!$A$1,1,MATCH($B$6,Curvas_cupon_cero!$1:$1,0)-1,COUNT(Curvas_cupon_cero!$A:$A)-2,1)),[1]!interpolar(H484,OFFSET(Curvas_cupon_cero!$A$1,1,0,COUNT(Curvas_cupon_cero!$A:$A)-2,1),OFFSET(Curvas_cupon_cero!$A$1,1,MATCH($B$6,Curvas_cupon_cero!$1:$1,0)-1,COUNT(Curvas_cupon_cero!$A:$A)-2,1))))</f>
        <v/>
      </c>
      <c r="J484" s="19" t="str">
        <f>IF(A484="","",F484/(1+I484*$B$5/360)^(COUNT(A$16:A484)-($B$5-$G$16)/$B$5))</f>
        <v/>
      </c>
    </row>
    <row r="485" spans="1:10" x14ac:dyDescent="0.2">
      <c r="A485" s="12" t="str">
        <f t="shared" si="45"/>
        <v/>
      </c>
      <c r="B485" t="str">
        <f t="shared" si="43"/>
        <v/>
      </c>
      <c r="C485" s="21" t="str">
        <f ca="1">IF(A485="","",IF($B$8="Sí",interpolar_alamb(B485,OFFSET(Curvas_cupon_cero!$A$1,1,0,COUNT(Curvas_cupon_cero!$A:$A)-2,1),OFFSET(Curvas_cupon_cero!$A$1,1,MATCH($B$7,Curvas_cupon_cero!$1:$1,0)-1,COUNT(Curvas_cupon_cero!$A:$A)-2,1)),[1]!interpolar(B485,OFFSET(Curvas_cupon_cero!$A$1,1,0,COUNT(Curvas_cupon_cero!$A:$A)-2,1),OFFSET(Curvas_cupon_cero!$A$1,1,MATCH($B$7,Curvas_cupon_cero!$1:$1,0)-1,COUNT(Curvas_cupon_cero!$A:$A)-2,1))))</f>
        <v/>
      </c>
      <c r="D485" s="23" t="str">
        <f ca="1">IF(A485="","",IF($B$8="Sí",interpolar_alamb(H485,OFFSET(Curvas_cupon_cero!$A$1,1,0,COUNT(Curvas_cupon_cero!$A:$A)-2,1),OFFSET(Curvas_cupon_cero!$A$1,1,MATCH($B$7,Curvas_cupon_cero!$1:$1,0)-1,COUNT(Curvas_cupon_cero!$A:$A)-2,1)),[1]!interpolar(H485,OFFSET(Curvas_cupon_cero!$A$1,1,0,COUNT(Curvas_cupon_cero!$A:$A)-2,1),OFFSET(Curvas_cupon_cero!$A$1,1,MATCH($B$7,Curvas_cupon_cero!$1:$1,0)-1,COUNT(Curvas_cupon_cero!$A:$A)-2,1))))</f>
        <v/>
      </c>
      <c r="E485" s="23" t="str">
        <f t="shared" si="46"/>
        <v/>
      </c>
      <c r="F485" s="17" t="str">
        <f t="shared" si="44"/>
        <v/>
      </c>
      <c r="G485" s="18" t="str">
        <f t="shared" si="47"/>
        <v/>
      </c>
      <c r="H485" t="str">
        <f t="shared" si="48"/>
        <v/>
      </c>
      <c r="I485" s="23" t="str">
        <f ca="1">IF(A485="","",IF($B$8="Sí",interpolar_alamb(H485,OFFSET(Curvas_cupon_cero!$A$1,1,0,COUNT(Curvas_cupon_cero!$A:$A)-2,1),OFFSET(Curvas_cupon_cero!$A$1,1,MATCH($B$6,Curvas_cupon_cero!$1:$1,0)-1,COUNT(Curvas_cupon_cero!$A:$A)-2,1)),[1]!interpolar(H485,OFFSET(Curvas_cupon_cero!$A$1,1,0,COUNT(Curvas_cupon_cero!$A:$A)-2,1),OFFSET(Curvas_cupon_cero!$A$1,1,MATCH($B$6,Curvas_cupon_cero!$1:$1,0)-1,COUNT(Curvas_cupon_cero!$A:$A)-2,1))))</f>
        <v/>
      </c>
      <c r="J485" s="19" t="str">
        <f>IF(A485="","",F485/(1+I485*$B$5/360)^(COUNT(A$16:A485)-($B$5-$G$16)/$B$5))</f>
        <v/>
      </c>
    </row>
    <row r="486" spans="1:10" x14ac:dyDescent="0.2">
      <c r="A486" s="12" t="str">
        <f t="shared" si="45"/>
        <v/>
      </c>
      <c r="B486" t="str">
        <f t="shared" si="43"/>
        <v/>
      </c>
      <c r="C486" s="21" t="str">
        <f ca="1">IF(A486="","",IF($B$8="Sí",interpolar_alamb(B486,OFFSET(Curvas_cupon_cero!$A$1,1,0,COUNT(Curvas_cupon_cero!$A:$A)-2,1),OFFSET(Curvas_cupon_cero!$A$1,1,MATCH($B$7,Curvas_cupon_cero!$1:$1,0)-1,COUNT(Curvas_cupon_cero!$A:$A)-2,1)),[1]!interpolar(B486,OFFSET(Curvas_cupon_cero!$A$1,1,0,COUNT(Curvas_cupon_cero!$A:$A)-2,1),OFFSET(Curvas_cupon_cero!$A$1,1,MATCH($B$7,Curvas_cupon_cero!$1:$1,0)-1,COUNT(Curvas_cupon_cero!$A:$A)-2,1))))</f>
        <v/>
      </c>
      <c r="D486" s="23" t="str">
        <f ca="1">IF(A486="","",IF($B$8="Sí",interpolar_alamb(H486,OFFSET(Curvas_cupon_cero!$A$1,1,0,COUNT(Curvas_cupon_cero!$A:$A)-2,1),OFFSET(Curvas_cupon_cero!$A$1,1,MATCH($B$7,Curvas_cupon_cero!$1:$1,0)-1,COUNT(Curvas_cupon_cero!$A:$A)-2,1)),[1]!interpolar(H486,OFFSET(Curvas_cupon_cero!$A$1,1,0,COUNT(Curvas_cupon_cero!$A:$A)-2,1),OFFSET(Curvas_cupon_cero!$A$1,1,MATCH($B$7,Curvas_cupon_cero!$1:$1,0)-1,COUNT(Curvas_cupon_cero!$A:$A)-2,1))))</f>
        <v/>
      </c>
      <c r="E486" s="23" t="str">
        <f t="shared" si="46"/>
        <v/>
      </c>
      <c r="F486" s="17" t="str">
        <f t="shared" si="44"/>
        <v/>
      </c>
      <c r="G486" s="18" t="str">
        <f t="shared" si="47"/>
        <v/>
      </c>
      <c r="H486" t="str">
        <f t="shared" si="48"/>
        <v/>
      </c>
      <c r="I486" s="23" t="str">
        <f ca="1">IF(A486="","",IF($B$8="Sí",interpolar_alamb(H486,OFFSET(Curvas_cupon_cero!$A$1,1,0,COUNT(Curvas_cupon_cero!$A:$A)-2,1),OFFSET(Curvas_cupon_cero!$A$1,1,MATCH($B$6,Curvas_cupon_cero!$1:$1,0)-1,COUNT(Curvas_cupon_cero!$A:$A)-2,1)),[1]!interpolar(H486,OFFSET(Curvas_cupon_cero!$A$1,1,0,COUNT(Curvas_cupon_cero!$A:$A)-2,1),OFFSET(Curvas_cupon_cero!$A$1,1,MATCH($B$6,Curvas_cupon_cero!$1:$1,0)-1,COUNT(Curvas_cupon_cero!$A:$A)-2,1))))</f>
        <v/>
      </c>
      <c r="J486" s="19" t="str">
        <f>IF(A486="","",F486/(1+I486*$B$5/360)^(COUNT(A$16:A486)-($B$5-$G$16)/$B$5))</f>
        <v/>
      </c>
    </row>
    <row r="487" spans="1:10" x14ac:dyDescent="0.2">
      <c r="A487" s="12" t="str">
        <f t="shared" si="45"/>
        <v/>
      </c>
      <c r="B487" t="str">
        <f t="shared" si="43"/>
        <v/>
      </c>
      <c r="C487" s="21" t="str">
        <f ca="1">IF(A487="","",IF($B$8="Sí",interpolar_alamb(B487,OFFSET(Curvas_cupon_cero!$A$1,1,0,COUNT(Curvas_cupon_cero!$A:$A)-2,1),OFFSET(Curvas_cupon_cero!$A$1,1,MATCH($B$7,Curvas_cupon_cero!$1:$1,0)-1,COUNT(Curvas_cupon_cero!$A:$A)-2,1)),[1]!interpolar(B487,OFFSET(Curvas_cupon_cero!$A$1,1,0,COUNT(Curvas_cupon_cero!$A:$A)-2,1),OFFSET(Curvas_cupon_cero!$A$1,1,MATCH($B$7,Curvas_cupon_cero!$1:$1,0)-1,COUNT(Curvas_cupon_cero!$A:$A)-2,1))))</f>
        <v/>
      </c>
      <c r="D487" s="23" t="str">
        <f ca="1">IF(A487="","",IF($B$8="Sí",interpolar_alamb(H487,OFFSET(Curvas_cupon_cero!$A$1,1,0,COUNT(Curvas_cupon_cero!$A:$A)-2,1),OFFSET(Curvas_cupon_cero!$A$1,1,MATCH($B$7,Curvas_cupon_cero!$1:$1,0)-1,COUNT(Curvas_cupon_cero!$A:$A)-2,1)),[1]!interpolar(H487,OFFSET(Curvas_cupon_cero!$A$1,1,0,COUNT(Curvas_cupon_cero!$A:$A)-2,1),OFFSET(Curvas_cupon_cero!$A$1,1,MATCH($B$7,Curvas_cupon_cero!$1:$1,0)-1,COUNT(Curvas_cupon_cero!$A:$A)-2,1))))</f>
        <v/>
      </c>
      <c r="E487" s="23" t="str">
        <f t="shared" si="46"/>
        <v/>
      </c>
      <c r="F487" s="17" t="str">
        <f t="shared" si="44"/>
        <v/>
      </c>
      <c r="G487" s="18" t="str">
        <f t="shared" si="47"/>
        <v/>
      </c>
      <c r="H487" t="str">
        <f t="shared" si="48"/>
        <v/>
      </c>
      <c r="I487" s="23" t="str">
        <f ca="1">IF(A487="","",IF($B$8="Sí",interpolar_alamb(H487,OFFSET(Curvas_cupon_cero!$A$1,1,0,COUNT(Curvas_cupon_cero!$A:$A)-2,1),OFFSET(Curvas_cupon_cero!$A$1,1,MATCH($B$6,Curvas_cupon_cero!$1:$1,0)-1,COUNT(Curvas_cupon_cero!$A:$A)-2,1)),[1]!interpolar(H487,OFFSET(Curvas_cupon_cero!$A$1,1,0,COUNT(Curvas_cupon_cero!$A:$A)-2,1),OFFSET(Curvas_cupon_cero!$A$1,1,MATCH($B$6,Curvas_cupon_cero!$1:$1,0)-1,COUNT(Curvas_cupon_cero!$A:$A)-2,1))))</f>
        <v/>
      </c>
      <c r="J487" s="19" t="str">
        <f>IF(A487="","",F487/(1+I487*$B$5/360)^(COUNT(A$16:A487)-($B$5-$G$16)/$B$5))</f>
        <v/>
      </c>
    </row>
    <row r="488" spans="1:10" x14ac:dyDescent="0.2">
      <c r="A488" s="12" t="str">
        <f t="shared" si="45"/>
        <v/>
      </c>
      <c r="B488" t="str">
        <f t="shared" si="43"/>
        <v/>
      </c>
      <c r="C488" s="21" t="str">
        <f ca="1">IF(A488="","",IF($B$8="Sí",interpolar_alamb(B488,OFFSET(Curvas_cupon_cero!$A$1,1,0,COUNT(Curvas_cupon_cero!$A:$A)-2,1),OFFSET(Curvas_cupon_cero!$A$1,1,MATCH($B$7,Curvas_cupon_cero!$1:$1,0)-1,COUNT(Curvas_cupon_cero!$A:$A)-2,1)),[1]!interpolar(B488,OFFSET(Curvas_cupon_cero!$A$1,1,0,COUNT(Curvas_cupon_cero!$A:$A)-2,1),OFFSET(Curvas_cupon_cero!$A$1,1,MATCH($B$7,Curvas_cupon_cero!$1:$1,0)-1,COUNT(Curvas_cupon_cero!$A:$A)-2,1))))</f>
        <v/>
      </c>
      <c r="D488" s="23" t="str">
        <f ca="1">IF(A488="","",IF($B$8="Sí",interpolar_alamb(H488,OFFSET(Curvas_cupon_cero!$A$1,1,0,COUNT(Curvas_cupon_cero!$A:$A)-2,1),OFFSET(Curvas_cupon_cero!$A$1,1,MATCH($B$7,Curvas_cupon_cero!$1:$1,0)-1,COUNT(Curvas_cupon_cero!$A:$A)-2,1)),[1]!interpolar(H488,OFFSET(Curvas_cupon_cero!$A$1,1,0,COUNT(Curvas_cupon_cero!$A:$A)-2,1),OFFSET(Curvas_cupon_cero!$A$1,1,MATCH($B$7,Curvas_cupon_cero!$1:$1,0)-1,COUNT(Curvas_cupon_cero!$A:$A)-2,1))))</f>
        <v/>
      </c>
      <c r="E488" s="23" t="str">
        <f t="shared" si="46"/>
        <v/>
      </c>
      <c r="F488" s="17" t="str">
        <f t="shared" si="44"/>
        <v/>
      </c>
      <c r="G488" s="18" t="str">
        <f t="shared" si="47"/>
        <v/>
      </c>
      <c r="H488" t="str">
        <f t="shared" si="48"/>
        <v/>
      </c>
      <c r="I488" s="23" t="str">
        <f ca="1">IF(A488="","",IF($B$8="Sí",interpolar_alamb(H488,OFFSET(Curvas_cupon_cero!$A$1,1,0,COUNT(Curvas_cupon_cero!$A:$A)-2,1),OFFSET(Curvas_cupon_cero!$A$1,1,MATCH($B$6,Curvas_cupon_cero!$1:$1,0)-1,COUNT(Curvas_cupon_cero!$A:$A)-2,1)),[1]!interpolar(H488,OFFSET(Curvas_cupon_cero!$A$1,1,0,COUNT(Curvas_cupon_cero!$A:$A)-2,1),OFFSET(Curvas_cupon_cero!$A$1,1,MATCH($B$6,Curvas_cupon_cero!$1:$1,0)-1,COUNT(Curvas_cupon_cero!$A:$A)-2,1))))</f>
        <v/>
      </c>
      <c r="J488" s="19" t="str">
        <f>IF(A488="","",F488/(1+I488*$B$5/360)^(COUNT(A$16:A488)-($B$5-$G$16)/$B$5))</f>
        <v/>
      </c>
    </row>
    <row r="489" spans="1:10" x14ac:dyDescent="0.2">
      <c r="A489" s="12" t="str">
        <f t="shared" si="45"/>
        <v/>
      </c>
      <c r="B489" t="str">
        <f t="shared" si="43"/>
        <v/>
      </c>
      <c r="C489" s="21" t="str">
        <f ca="1">IF(A489="","",IF($B$8="Sí",interpolar_alamb(B489,OFFSET(Curvas_cupon_cero!$A$1,1,0,COUNT(Curvas_cupon_cero!$A:$A)-2,1),OFFSET(Curvas_cupon_cero!$A$1,1,MATCH($B$7,Curvas_cupon_cero!$1:$1,0)-1,COUNT(Curvas_cupon_cero!$A:$A)-2,1)),[1]!interpolar(B489,OFFSET(Curvas_cupon_cero!$A$1,1,0,COUNT(Curvas_cupon_cero!$A:$A)-2,1),OFFSET(Curvas_cupon_cero!$A$1,1,MATCH($B$7,Curvas_cupon_cero!$1:$1,0)-1,COUNT(Curvas_cupon_cero!$A:$A)-2,1))))</f>
        <v/>
      </c>
      <c r="D489" s="23" t="str">
        <f ca="1">IF(A489="","",IF($B$8="Sí",interpolar_alamb(H489,OFFSET(Curvas_cupon_cero!$A$1,1,0,COUNT(Curvas_cupon_cero!$A:$A)-2,1),OFFSET(Curvas_cupon_cero!$A$1,1,MATCH($B$7,Curvas_cupon_cero!$1:$1,0)-1,COUNT(Curvas_cupon_cero!$A:$A)-2,1)),[1]!interpolar(H489,OFFSET(Curvas_cupon_cero!$A$1,1,0,COUNT(Curvas_cupon_cero!$A:$A)-2,1),OFFSET(Curvas_cupon_cero!$A$1,1,MATCH($B$7,Curvas_cupon_cero!$1:$1,0)-1,COUNT(Curvas_cupon_cero!$A:$A)-2,1))))</f>
        <v/>
      </c>
      <c r="E489" s="23" t="str">
        <f t="shared" si="46"/>
        <v/>
      </c>
      <c r="F489" s="17" t="str">
        <f t="shared" si="44"/>
        <v/>
      </c>
      <c r="G489" s="18" t="str">
        <f t="shared" si="47"/>
        <v/>
      </c>
      <c r="H489" t="str">
        <f t="shared" si="48"/>
        <v/>
      </c>
      <c r="I489" s="23" t="str">
        <f ca="1">IF(A489="","",IF($B$8="Sí",interpolar_alamb(H489,OFFSET(Curvas_cupon_cero!$A$1,1,0,COUNT(Curvas_cupon_cero!$A:$A)-2,1),OFFSET(Curvas_cupon_cero!$A$1,1,MATCH($B$6,Curvas_cupon_cero!$1:$1,0)-1,COUNT(Curvas_cupon_cero!$A:$A)-2,1)),[1]!interpolar(H489,OFFSET(Curvas_cupon_cero!$A$1,1,0,COUNT(Curvas_cupon_cero!$A:$A)-2,1),OFFSET(Curvas_cupon_cero!$A$1,1,MATCH($B$6,Curvas_cupon_cero!$1:$1,0)-1,COUNT(Curvas_cupon_cero!$A:$A)-2,1))))</f>
        <v/>
      </c>
      <c r="J489" s="19" t="str">
        <f>IF(A489="","",F489/(1+I489*$B$5/360)^(COUNT(A$16:A489)-($B$5-$G$16)/$B$5))</f>
        <v/>
      </c>
    </row>
    <row r="490" spans="1:10" x14ac:dyDescent="0.2">
      <c r="A490" s="12" t="str">
        <f t="shared" si="45"/>
        <v/>
      </c>
      <c r="B490" t="str">
        <f t="shared" si="43"/>
        <v/>
      </c>
      <c r="C490" s="21" t="str">
        <f ca="1">IF(A490="","",IF($B$8="Sí",interpolar_alamb(B490,OFFSET(Curvas_cupon_cero!$A$1,1,0,COUNT(Curvas_cupon_cero!$A:$A)-2,1),OFFSET(Curvas_cupon_cero!$A$1,1,MATCH($B$7,Curvas_cupon_cero!$1:$1,0)-1,COUNT(Curvas_cupon_cero!$A:$A)-2,1)),[1]!interpolar(B490,OFFSET(Curvas_cupon_cero!$A$1,1,0,COUNT(Curvas_cupon_cero!$A:$A)-2,1),OFFSET(Curvas_cupon_cero!$A$1,1,MATCH($B$7,Curvas_cupon_cero!$1:$1,0)-1,COUNT(Curvas_cupon_cero!$A:$A)-2,1))))</f>
        <v/>
      </c>
      <c r="D490" s="23" t="str">
        <f ca="1">IF(A490="","",IF($B$8="Sí",interpolar_alamb(H490,OFFSET(Curvas_cupon_cero!$A$1,1,0,COUNT(Curvas_cupon_cero!$A:$A)-2,1),OFFSET(Curvas_cupon_cero!$A$1,1,MATCH($B$7,Curvas_cupon_cero!$1:$1,0)-1,COUNT(Curvas_cupon_cero!$A:$A)-2,1)),[1]!interpolar(H490,OFFSET(Curvas_cupon_cero!$A$1,1,0,COUNT(Curvas_cupon_cero!$A:$A)-2,1),OFFSET(Curvas_cupon_cero!$A$1,1,MATCH($B$7,Curvas_cupon_cero!$1:$1,0)-1,COUNT(Curvas_cupon_cero!$A:$A)-2,1))))</f>
        <v/>
      </c>
      <c r="E490" s="23" t="str">
        <f t="shared" si="46"/>
        <v/>
      </c>
      <c r="F490" s="17" t="str">
        <f t="shared" si="44"/>
        <v/>
      </c>
      <c r="G490" s="18" t="str">
        <f t="shared" si="47"/>
        <v/>
      </c>
      <c r="H490" t="str">
        <f t="shared" si="48"/>
        <v/>
      </c>
      <c r="I490" s="23" t="str">
        <f ca="1">IF(A490="","",IF($B$8="Sí",interpolar_alamb(H490,OFFSET(Curvas_cupon_cero!$A$1,1,0,COUNT(Curvas_cupon_cero!$A:$A)-2,1),OFFSET(Curvas_cupon_cero!$A$1,1,MATCH($B$6,Curvas_cupon_cero!$1:$1,0)-1,COUNT(Curvas_cupon_cero!$A:$A)-2,1)),[1]!interpolar(H490,OFFSET(Curvas_cupon_cero!$A$1,1,0,COUNT(Curvas_cupon_cero!$A:$A)-2,1),OFFSET(Curvas_cupon_cero!$A$1,1,MATCH($B$6,Curvas_cupon_cero!$1:$1,0)-1,COUNT(Curvas_cupon_cero!$A:$A)-2,1))))</f>
        <v/>
      </c>
      <c r="J490" s="19" t="str">
        <f>IF(A490="","",F490/(1+I490*$B$5/360)^(COUNT(A$16:A490)-($B$5-$G$16)/$B$5))</f>
        <v/>
      </c>
    </row>
    <row r="491" spans="1:10" x14ac:dyDescent="0.2">
      <c r="A491" s="12" t="str">
        <f t="shared" si="45"/>
        <v/>
      </c>
      <c r="B491" t="str">
        <f t="shared" si="43"/>
        <v/>
      </c>
      <c r="C491" s="21" t="str">
        <f ca="1">IF(A491="","",IF($B$8="Sí",interpolar_alamb(B491,OFFSET(Curvas_cupon_cero!$A$1,1,0,COUNT(Curvas_cupon_cero!$A:$A)-2,1),OFFSET(Curvas_cupon_cero!$A$1,1,MATCH($B$7,Curvas_cupon_cero!$1:$1,0)-1,COUNT(Curvas_cupon_cero!$A:$A)-2,1)),[1]!interpolar(B491,OFFSET(Curvas_cupon_cero!$A$1,1,0,COUNT(Curvas_cupon_cero!$A:$A)-2,1),OFFSET(Curvas_cupon_cero!$A$1,1,MATCH($B$7,Curvas_cupon_cero!$1:$1,0)-1,COUNT(Curvas_cupon_cero!$A:$A)-2,1))))</f>
        <v/>
      </c>
      <c r="D491" s="23" t="str">
        <f ca="1">IF(A491="","",IF($B$8="Sí",interpolar_alamb(H491,OFFSET(Curvas_cupon_cero!$A$1,1,0,COUNT(Curvas_cupon_cero!$A:$A)-2,1),OFFSET(Curvas_cupon_cero!$A$1,1,MATCH($B$7,Curvas_cupon_cero!$1:$1,0)-1,COUNT(Curvas_cupon_cero!$A:$A)-2,1)),[1]!interpolar(H491,OFFSET(Curvas_cupon_cero!$A$1,1,0,COUNT(Curvas_cupon_cero!$A:$A)-2,1),OFFSET(Curvas_cupon_cero!$A$1,1,MATCH($B$7,Curvas_cupon_cero!$1:$1,0)-1,COUNT(Curvas_cupon_cero!$A:$A)-2,1))))</f>
        <v/>
      </c>
      <c r="E491" s="23" t="str">
        <f t="shared" si="46"/>
        <v/>
      </c>
      <c r="F491" s="17" t="str">
        <f t="shared" si="44"/>
        <v/>
      </c>
      <c r="G491" s="18" t="str">
        <f t="shared" si="47"/>
        <v/>
      </c>
      <c r="H491" t="str">
        <f t="shared" si="48"/>
        <v/>
      </c>
      <c r="I491" s="23" t="str">
        <f ca="1">IF(A491="","",IF($B$8="Sí",interpolar_alamb(H491,OFFSET(Curvas_cupon_cero!$A$1,1,0,COUNT(Curvas_cupon_cero!$A:$A)-2,1),OFFSET(Curvas_cupon_cero!$A$1,1,MATCH($B$6,Curvas_cupon_cero!$1:$1,0)-1,COUNT(Curvas_cupon_cero!$A:$A)-2,1)),[1]!interpolar(H491,OFFSET(Curvas_cupon_cero!$A$1,1,0,COUNT(Curvas_cupon_cero!$A:$A)-2,1),OFFSET(Curvas_cupon_cero!$A$1,1,MATCH($B$6,Curvas_cupon_cero!$1:$1,0)-1,COUNT(Curvas_cupon_cero!$A:$A)-2,1))))</f>
        <v/>
      </c>
      <c r="J491" s="19" t="str">
        <f>IF(A491="","",F491/(1+I491*$B$5/360)^(COUNT(A$16:A491)-($B$5-$G$16)/$B$5))</f>
        <v/>
      </c>
    </row>
    <row r="492" spans="1:10" x14ac:dyDescent="0.2">
      <c r="A492" s="12" t="str">
        <f t="shared" si="45"/>
        <v/>
      </c>
      <c r="B492" t="str">
        <f t="shared" si="43"/>
        <v/>
      </c>
      <c r="C492" s="21" t="str">
        <f ca="1">IF(A492="","",IF($B$8="Sí",interpolar_alamb(B492,OFFSET(Curvas_cupon_cero!$A$1,1,0,COUNT(Curvas_cupon_cero!$A:$A)-2,1),OFFSET(Curvas_cupon_cero!$A$1,1,MATCH($B$7,Curvas_cupon_cero!$1:$1,0)-1,COUNT(Curvas_cupon_cero!$A:$A)-2,1)),[1]!interpolar(B492,OFFSET(Curvas_cupon_cero!$A$1,1,0,COUNT(Curvas_cupon_cero!$A:$A)-2,1),OFFSET(Curvas_cupon_cero!$A$1,1,MATCH($B$7,Curvas_cupon_cero!$1:$1,0)-1,COUNT(Curvas_cupon_cero!$A:$A)-2,1))))</f>
        <v/>
      </c>
      <c r="D492" s="23" t="str">
        <f ca="1">IF(A492="","",IF($B$8="Sí",interpolar_alamb(H492,OFFSET(Curvas_cupon_cero!$A$1,1,0,COUNT(Curvas_cupon_cero!$A:$A)-2,1),OFFSET(Curvas_cupon_cero!$A$1,1,MATCH($B$7,Curvas_cupon_cero!$1:$1,0)-1,COUNT(Curvas_cupon_cero!$A:$A)-2,1)),[1]!interpolar(H492,OFFSET(Curvas_cupon_cero!$A$1,1,0,COUNT(Curvas_cupon_cero!$A:$A)-2,1),OFFSET(Curvas_cupon_cero!$A$1,1,MATCH($B$7,Curvas_cupon_cero!$1:$1,0)-1,COUNT(Curvas_cupon_cero!$A:$A)-2,1))))</f>
        <v/>
      </c>
      <c r="E492" s="23" t="str">
        <f t="shared" si="46"/>
        <v/>
      </c>
      <c r="F492" s="17" t="str">
        <f t="shared" si="44"/>
        <v/>
      </c>
      <c r="G492" s="18" t="str">
        <f t="shared" si="47"/>
        <v/>
      </c>
      <c r="H492" t="str">
        <f t="shared" si="48"/>
        <v/>
      </c>
      <c r="I492" s="23" t="str">
        <f ca="1">IF(A492="","",IF($B$8="Sí",interpolar_alamb(H492,OFFSET(Curvas_cupon_cero!$A$1,1,0,COUNT(Curvas_cupon_cero!$A:$A)-2,1),OFFSET(Curvas_cupon_cero!$A$1,1,MATCH($B$6,Curvas_cupon_cero!$1:$1,0)-1,COUNT(Curvas_cupon_cero!$A:$A)-2,1)),[1]!interpolar(H492,OFFSET(Curvas_cupon_cero!$A$1,1,0,COUNT(Curvas_cupon_cero!$A:$A)-2,1),OFFSET(Curvas_cupon_cero!$A$1,1,MATCH($B$6,Curvas_cupon_cero!$1:$1,0)-1,COUNT(Curvas_cupon_cero!$A:$A)-2,1))))</f>
        <v/>
      </c>
      <c r="J492" s="19" t="str">
        <f>IF(A492="","",F492/(1+I492*$B$5/360)^(COUNT(A$16:A492)-($B$5-$G$16)/$B$5))</f>
        <v/>
      </c>
    </row>
    <row r="493" spans="1:10" x14ac:dyDescent="0.2">
      <c r="A493" s="12" t="str">
        <f t="shared" si="45"/>
        <v/>
      </c>
      <c r="B493" t="str">
        <f t="shared" si="43"/>
        <v/>
      </c>
      <c r="C493" s="21" t="str">
        <f ca="1">IF(A493="","",IF($B$8="Sí",interpolar_alamb(B493,OFFSET(Curvas_cupon_cero!$A$1,1,0,COUNT(Curvas_cupon_cero!$A:$A)-2,1),OFFSET(Curvas_cupon_cero!$A$1,1,MATCH($B$7,Curvas_cupon_cero!$1:$1,0)-1,COUNT(Curvas_cupon_cero!$A:$A)-2,1)),[1]!interpolar(B493,OFFSET(Curvas_cupon_cero!$A$1,1,0,COUNT(Curvas_cupon_cero!$A:$A)-2,1),OFFSET(Curvas_cupon_cero!$A$1,1,MATCH($B$7,Curvas_cupon_cero!$1:$1,0)-1,COUNT(Curvas_cupon_cero!$A:$A)-2,1))))</f>
        <v/>
      </c>
      <c r="D493" s="23" t="str">
        <f ca="1">IF(A493="","",IF($B$8="Sí",interpolar_alamb(H493,OFFSET(Curvas_cupon_cero!$A$1,1,0,COUNT(Curvas_cupon_cero!$A:$A)-2,1),OFFSET(Curvas_cupon_cero!$A$1,1,MATCH($B$7,Curvas_cupon_cero!$1:$1,0)-1,COUNT(Curvas_cupon_cero!$A:$A)-2,1)),[1]!interpolar(H493,OFFSET(Curvas_cupon_cero!$A$1,1,0,COUNT(Curvas_cupon_cero!$A:$A)-2,1),OFFSET(Curvas_cupon_cero!$A$1,1,MATCH($B$7,Curvas_cupon_cero!$1:$1,0)-1,COUNT(Curvas_cupon_cero!$A:$A)-2,1))))</f>
        <v/>
      </c>
      <c r="E493" s="23" t="str">
        <f t="shared" si="46"/>
        <v/>
      </c>
      <c r="F493" s="17" t="str">
        <f t="shared" si="44"/>
        <v/>
      </c>
      <c r="G493" s="18" t="str">
        <f t="shared" si="47"/>
        <v/>
      </c>
      <c r="H493" t="str">
        <f t="shared" si="48"/>
        <v/>
      </c>
      <c r="I493" s="23" t="str">
        <f ca="1">IF(A493="","",IF($B$8="Sí",interpolar_alamb(H493,OFFSET(Curvas_cupon_cero!$A$1,1,0,COUNT(Curvas_cupon_cero!$A:$A)-2,1),OFFSET(Curvas_cupon_cero!$A$1,1,MATCH($B$6,Curvas_cupon_cero!$1:$1,0)-1,COUNT(Curvas_cupon_cero!$A:$A)-2,1)),[1]!interpolar(H493,OFFSET(Curvas_cupon_cero!$A$1,1,0,COUNT(Curvas_cupon_cero!$A:$A)-2,1),OFFSET(Curvas_cupon_cero!$A$1,1,MATCH($B$6,Curvas_cupon_cero!$1:$1,0)-1,COUNT(Curvas_cupon_cero!$A:$A)-2,1))))</f>
        <v/>
      </c>
      <c r="J493" s="19" t="str">
        <f>IF(A493="","",F493/(1+I493*$B$5/360)^(COUNT(A$16:A493)-($B$5-$G$16)/$B$5))</f>
        <v/>
      </c>
    </row>
    <row r="494" spans="1:10" x14ac:dyDescent="0.2">
      <c r="A494" s="12" t="str">
        <f t="shared" si="45"/>
        <v/>
      </c>
      <c r="B494" t="str">
        <f t="shared" si="43"/>
        <v/>
      </c>
      <c r="C494" s="21" t="str">
        <f ca="1">IF(A494="","",IF($B$8="Sí",interpolar_alamb(B494,OFFSET(Curvas_cupon_cero!$A$1,1,0,COUNT(Curvas_cupon_cero!$A:$A)-2,1),OFFSET(Curvas_cupon_cero!$A$1,1,MATCH($B$7,Curvas_cupon_cero!$1:$1,0)-1,COUNT(Curvas_cupon_cero!$A:$A)-2,1)),[1]!interpolar(B494,OFFSET(Curvas_cupon_cero!$A$1,1,0,COUNT(Curvas_cupon_cero!$A:$A)-2,1),OFFSET(Curvas_cupon_cero!$A$1,1,MATCH($B$7,Curvas_cupon_cero!$1:$1,0)-1,COUNT(Curvas_cupon_cero!$A:$A)-2,1))))</f>
        <v/>
      </c>
      <c r="D494" s="23" t="str">
        <f ca="1">IF(A494="","",IF($B$8="Sí",interpolar_alamb(H494,OFFSET(Curvas_cupon_cero!$A$1,1,0,COUNT(Curvas_cupon_cero!$A:$A)-2,1),OFFSET(Curvas_cupon_cero!$A$1,1,MATCH($B$7,Curvas_cupon_cero!$1:$1,0)-1,COUNT(Curvas_cupon_cero!$A:$A)-2,1)),[1]!interpolar(H494,OFFSET(Curvas_cupon_cero!$A$1,1,0,COUNT(Curvas_cupon_cero!$A:$A)-2,1),OFFSET(Curvas_cupon_cero!$A$1,1,MATCH($B$7,Curvas_cupon_cero!$1:$1,0)-1,COUNT(Curvas_cupon_cero!$A:$A)-2,1))))</f>
        <v/>
      </c>
      <c r="E494" s="23" t="str">
        <f t="shared" si="46"/>
        <v/>
      </c>
      <c r="F494" s="17" t="str">
        <f t="shared" si="44"/>
        <v/>
      </c>
      <c r="G494" s="18" t="str">
        <f t="shared" si="47"/>
        <v/>
      </c>
      <c r="H494" t="str">
        <f t="shared" si="48"/>
        <v/>
      </c>
      <c r="I494" s="23" t="str">
        <f ca="1">IF(A494="","",IF($B$8="Sí",interpolar_alamb(H494,OFFSET(Curvas_cupon_cero!$A$1,1,0,COUNT(Curvas_cupon_cero!$A:$A)-2,1),OFFSET(Curvas_cupon_cero!$A$1,1,MATCH($B$6,Curvas_cupon_cero!$1:$1,0)-1,COUNT(Curvas_cupon_cero!$A:$A)-2,1)),[1]!interpolar(H494,OFFSET(Curvas_cupon_cero!$A$1,1,0,COUNT(Curvas_cupon_cero!$A:$A)-2,1),OFFSET(Curvas_cupon_cero!$A$1,1,MATCH($B$6,Curvas_cupon_cero!$1:$1,0)-1,COUNT(Curvas_cupon_cero!$A:$A)-2,1))))</f>
        <v/>
      </c>
      <c r="J494" s="19" t="str">
        <f>IF(A494="","",F494/(1+I494*$B$5/360)^(COUNT(A$16:A494)-($B$5-$G$16)/$B$5))</f>
        <v/>
      </c>
    </row>
    <row r="495" spans="1:10" x14ac:dyDescent="0.2">
      <c r="A495" s="12" t="str">
        <f t="shared" si="45"/>
        <v/>
      </c>
      <c r="B495" t="str">
        <f t="shared" si="43"/>
        <v/>
      </c>
      <c r="C495" s="21" t="str">
        <f ca="1">IF(A495="","",IF($B$8="Sí",interpolar_alamb(B495,OFFSET(Curvas_cupon_cero!$A$1,1,0,COUNT(Curvas_cupon_cero!$A:$A)-2,1),OFFSET(Curvas_cupon_cero!$A$1,1,MATCH($B$7,Curvas_cupon_cero!$1:$1,0)-1,COUNT(Curvas_cupon_cero!$A:$A)-2,1)),[1]!interpolar(B495,OFFSET(Curvas_cupon_cero!$A$1,1,0,COUNT(Curvas_cupon_cero!$A:$A)-2,1),OFFSET(Curvas_cupon_cero!$A$1,1,MATCH($B$7,Curvas_cupon_cero!$1:$1,0)-1,COUNT(Curvas_cupon_cero!$A:$A)-2,1))))</f>
        <v/>
      </c>
      <c r="D495" s="23" t="str">
        <f ca="1">IF(A495="","",IF($B$8="Sí",interpolar_alamb(H495,OFFSET(Curvas_cupon_cero!$A$1,1,0,COUNT(Curvas_cupon_cero!$A:$A)-2,1),OFFSET(Curvas_cupon_cero!$A$1,1,MATCH($B$7,Curvas_cupon_cero!$1:$1,0)-1,COUNT(Curvas_cupon_cero!$A:$A)-2,1)),[1]!interpolar(H495,OFFSET(Curvas_cupon_cero!$A$1,1,0,COUNT(Curvas_cupon_cero!$A:$A)-2,1),OFFSET(Curvas_cupon_cero!$A$1,1,MATCH($B$7,Curvas_cupon_cero!$1:$1,0)-1,COUNT(Curvas_cupon_cero!$A:$A)-2,1))))</f>
        <v/>
      </c>
      <c r="E495" s="23" t="str">
        <f t="shared" si="46"/>
        <v/>
      </c>
      <c r="F495" s="17" t="str">
        <f t="shared" si="44"/>
        <v/>
      </c>
      <c r="G495" s="18" t="str">
        <f t="shared" si="47"/>
        <v/>
      </c>
      <c r="H495" t="str">
        <f t="shared" si="48"/>
        <v/>
      </c>
      <c r="I495" s="23" t="str">
        <f ca="1">IF(A495="","",IF($B$8="Sí",interpolar_alamb(H495,OFFSET(Curvas_cupon_cero!$A$1,1,0,COUNT(Curvas_cupon_cero!$A:$A)-2,1),OFFSET(Curvas_cupon_cero!$A$1,1,MATCH($B$6,Curvas_cupon_cero!$1:$1,0)-1,COUNT(Curvas_cupon_cero!$A:$A)-2,1)),[1]!interpolar(H495,OFFSET(Curvas_cupon_cero!$A$1,1,0,COUNT(Curvas_cupon_cero!$A:$A)-2,1),OFFSET(Curvas_cupon_cero!$A$1,1,MATCH($B$6,Curvas_cupon_cero!$1:$1,0)-1,COUNT(Curvas_cupon_cero!$A:$A)-2,1))))</f>
        <v/>
      </c>
      <c r="J495" s="19" t="str">
        <f>IF(A495="","",F495/(1+I495*$B$5/360)^(COUNT(A$16:A495)-($B$5-$G$16)/$B$5))</f>
        <v/>
      </c>
    </row>
    <row r="496" spans="1:10" x14ac:dyDescent="0.2">
      <c r="A496" s="12" t="str">
        <f t="shared" si="45"/>
        <v/>
      </c>
      <c r="B496" t="str">
        <f t="shared" si="43"/>
        <v/>
      </c>
      <c r="C496" s="21" t="str">
        <f ca="1">IF(A496="","",IF($B$8="Sí",interpolar_alamb(B496,OFFSET(Curvas_cupon_cero!$A$1,1,0,COUNT(Curvas_cupon_cero!$A:$A)-2,1),OFFSET(Curvas_cupon_cero!$A$1,1,MATCH($B$7,Curvas_cupon_cero!$1:$1,0)-1,COUNT(Curvas_cupon_cero!$A:$A)-2,1)),[1]!interpolar(B496,OFFSET(Curvas_cupon_cero!$A$1,1,0,COUNT(Curvas_cupon_cero!$A:$A)-2,1),OFFSET(Curvas_cupon_cero!$A$1,1,MATCH($B$7,Curvas_cupon_cero!$1:$1,0)-1,COUNT(Curvas_cupon_cero!$A:$A)-2,1))))</f>
        <v/>
      </c>
      <c r="D496" s="23" t="str">
        <f ca="1">IF(A496="","",IF($B$8="Sí",interpolar_alamb(H496,OFFSET(Curvas_cupon_cero!$A$1,1,0,COUNT(Curvas_cupon_cero!$A:$A)-2,1),OFFSET(Curvas_cupon_cero!$A$1,1,MATCH($B$7,Curvas_cupon_cero!$1:$1,0)-1,COUNT(Curvas_cupon_cero!$A:$A)-2,1)),[1]!interpolar(H496,OFFSET(Curvas_cupon_cero!$A$1,1,0,COUNT(Curvas_cupon_cero!$A:$A)-2,1),OFFSET(Curvas_cupon_cero!$A$1,1,MATCH($B$7,Curvas_cupon_cero!$1:$1,0)-1,COUNT(Curvas_cupon_cero!$A:$A)-2,1))))</f>
        <v/>
      </c>
      <c r="E496" s="23" t="str">
        <f t="shared" si="46"/>
        <v/>
      </c>
      <c r="F496" s="17" t="str">
        <f t="shared" si="44"/>
        <v/>
      </c>
      <c r="G496" s="18" t="str">
        <f t="shared" si="47"/>
        <v/>
      </c>
      <c r="H496" t="str">
        <f t="shared" si="48"/>
        <v/>
      </c>
      <c r="I496" s="23" t="str">
        <f ca="1">IF(A496="","",IF($B$8="Sí",interpolar_alamb(H496,OFFSET(Curvas_cupon_cero!$A$1,1,0,COUNT(Curvas_cupon_cero!$A:$A)-2,1),OFFSET(Curvas_cupon_cero!$A$1,1,MATCH($B$6,Curvas_cupon_cero!$1:$1,0)-1,COUNT(Curvas_cupon_cero!$A:$A)-2,1)),[1]!interpolar(H496,OFFSET(Curvas_cupon_cero!$A$1,1,0,COUNT(Curvas_cupon_cero!$A:$A)-2,1),OFFSET(Curvas_cupon_cero!$A$1,1,MATCH($B$6,Curvas_cupon_cero!$1:$1,0)-1,COUNT(Curvas_cupon_cero!$A:$A)-2,1))))</f>
        <v/>
      </c>
      <c r="J496" s="19" t="str">
        <f>IF(A496="","",F496/(1+I496*$B$5/360)^(COUNT(A$16:A496)-($B$5-$G$16)/$B$5))</f>
        <v/>
      </c>
    </row>
    <row r="497" spans="1:10" x14ac:dyDescent="0.2">
      <c r="A497" s="12" t="str">
        <f t="shared" si="45"/>
        <v/>
      </c>
      <c r="B497" t="str">
        <f t="shared" si="43"/>
        <v/>
      </c>
      <c r="C497" s="21" t="str">
        <f ca="1">IF(A497="","",IF($B$8="Sí",interpolar_alamb(B497,OFFSET(Curvas_cupon_cero!$A$1,1,0,COUNT(Curvas_cupon_cero!$A:$A)-2,1),OFFSET(Curvas_cupon_cero!$A$1,1,MATCH($B$7,Curvas_cupon_cero!$1:$1,0)-1,COUNT(Curvas_cupon_cero!$A:$A)-2,1)),[1]!interpolar(B497,OFFSET(Curvas_cupon_cero!$A$1,1,0,COUNT(Curvas_cupon_cero!$A:$A)-2,1),OFFSET(Curvas_cupon_cero!$A$1,1,MATCH($B$7,Curvas_cupon_cero!$1:$1,0)-1,COUNT(Curvas_cupon_cero!$A:$A)-2,1))))</f>
        <v/>
      </c>
      <c r="D497" s="23" t="str">
        <f ca="1">IF(A497="","",IF($B$8="Sí",interpolar_alamb(H497,OFFSET(Curvas_cupon_cero!$A$1,1,0,COUNT(Curvas_cupon_cero!$A:$A)-2,1),OFFSET(Curvas_cupon_cero!$A$1,1,MATCH($B$7,Curvas_cupon_cero!$1:$1,0)-1,COUNT(Curvas_cupon_cero!$A:$A)-2,1)),[1]!interpolar(H497,OFFSET(Curvas_cupon_cero!$A$1,1,0,COUNT(Curvas_cupon_cero!$A:$A)-2,1),OFFSET(Curvas_cupon_cero!$A$1,1,MATCH($B$7,Curvas_cupon_cero!$1:$1,0)-1,COUNT(Curvas_cupon_cero!$A:$A)-2,1))))</f>
        <v/>
      </c>
      <c r="E497" s="23" t="str">
        <f t="shared" si="46"/>
        <v/>
      </c>
      <c r="F497" s="17" t="str">
        <f t="shared" si="44"/>
        <v/>
      </c>
      <c r="G497" s="18" t="str">
        <f t="shared" si="47"/>
        <v/>
      </c>
      <c r="H497" t="str">
        <f t="shared" si="48"/>
        <v/>
      </c>
      <c r="I497" s="23" t="str">
        <f ca="1">IF(A497="","",IF($B$8="Sí",interpolar_alamb(H497,OFFSET(Curvas_cupon_cero!$A$1,1,0,COUNT(Curvas_cupon_cero!$A:$A)-2,1),OFFSET(Curvas_cupon_cero!$A$1,1,MATCH($B$6,Curvas_cupon_cero!$1:$1,0)-1,COUNT(Curvas_cupon_cero!$A:$A)-2,1)),[1]!interpolar(H497,OFFSET(Curvas_cupon_cero!$A$1,1,0,COUNT(Curvas_cupon_cero!$A:$A)-2,1),OFFSET(Curvas_cupon_cero!$A$1,1,MATCH($B$6,Curvas_cupon_cero!$1:$1,0)-1,COUNT(Curvas_cupon_cero!$A:$A)-2,1))))</f>
        <v/>
      </c>
      <c r="J497" s="19" t="str">
        <f>IF(A497="","",F497/(1+I497*$B$5/360)^(COUNT(A$16:A497)-($B$5-$G$16)/$B$5))</f>
        <v/>
      </c>
    </row>
    <row r="498" spans="1:10" x14ac:dyDescent="0.2">
      <c r="A498" s="12" t="str">
        <f t="shared" si="45"/>
        <v/>
      </c>
      <c r="B498" t="str">
        <f t="shared" si="43"/>
        <v/>
      </c>
      <c r="C498" s="21" t="str">
        <f ca="1">IF(A498="","",IF($B$8="Sí",interpolar_alamb(B498,OFFSET(Curvas_cupon_cero!$A$1,1,0,COUNT(Curvas_cupon_cero!$A:$A)-2,1),OFFSET(Curvas_cupon_cero!$A$1,1,MATCH($B$7,Curvas_cupon_cero!$1:$1,0)-1,COUNT(Curvas_cupon_cero!$A:$A)-2,1)),[1]!interpolar(B498,OFFSET(Curvas_cupon_cero!$A$1,1,0,COUNT(Curvas_cupon_cero!$A:$A)-2,1),OFFSET(Curvas_cupon_cero!$A$1,1,MATCH($B$7,Curvas_cupon_cero!$1:$1,0)-1,COUNT(Curvas_cupon_cero!$A:$A)-2,1))))</f>
        <v/>
      </c>
      <c r="D498" s="23" t="str">
        <f ca="1">IF(A498="","",IF($B$8="Sí",interpolar_alamb(H498,OFFSET(Curvas_cupon_cero!$A$1,1,0,COUNT(Curvas_cupon_cero!$A:$A)-2,1),OFFSET(Curvas_cupon_cero!$A$1,1,MATCH($B$7,Curvas_cupon_cero!$1:$1,0)-1,COUNT(Curvas_cupon_cero!$A:$A)-2,1)),[1]!interpolar(H498,OFFSET(Curvas_cupon_cero!$A$1,1,0,COUNT(Curvas_cupon_cero!$A:$A)-2,1),OFFSET(Curvas_cupon_cero!$A$1,1,MATCH($B$7,Curvas_cupon_cero!$1:$1,0)-1,COUNT(Curvas_cupon_cero!$A:$A)-2,1))))</f>
        <v/>
      </c>
      <c r="E498" s="23" t="str">
        <f t="shared" si="46"/>
        <v/>
      </c>
      <c r="F498" s="17" t="str">
        <f t="shared" si="44"/>
        <v/>
      </c>
      <c r="G498" s="18" t="str">
        <f t="shared" si="47"/>
        <v/>
      </c>
      <c r="H498" t="str">
        <f t="shared" si="48"/>
        <v/>
      </c>
      <c r="I498" s="23" t="str">
        <f ca="1">IF(A498="","",IF($B$8="Sí",interpolar_alamb(H498,OFFSET(Curvas_cupon_cero!$A$1,1,0,COUNT(Curvas_cupon_cero!$A:$A)-2,1),OFFSET(Curvas_cupon_cero!$A$1,1,MATCH($B$6,Curvas_cupon_cero!$1:$1,0)-1,COUNT(Curvas_cupon_cero!$A:$A)-2,1)),[1]!interpolar(H498,OFFSET(Curvas_cupon_cero!$A$1,1,0,COUNT(Curvas_cupon_cero!$A:$A)-2,1),OFFSET(Curvas_cupon_cero!$A$1,1,MATCH($B$6,Curvas_cupon_cero!$1:$1,0)-1,COUNT(Curvas_cupon_cero!$A:$A)-2,1))))</f>
        <v/>
      </c>
      <c r="J498" s="19" t="str">
        <f>IF(A498="","",F498/(1+I498*$B$5/360)^(COUNT(A$16:A498)-($B$5-$G$16)/$B$5))</f>
        <v/>
      </c>
    </row>
    <row r="499" spans="1:10" x14ac:dyDescent="0.2">
      <c r="A499" s="12" t="str">
        <f t="shared" si="45"/>
        <v/>
      </c>
      <c r="B499" t="str">
        <f t="shared" si="43"/>
        <v/>
      </c>
      <c r="C499" s="21" t="str">
        <f ca="1">IF(A499="","",IF($B$8="Sí",interpolar_alamb(B499,OFFSET(Curvas_cupon_cero!$A$1,1,0,COUNT(Curvas_cupon_cero!$A:$A)-2,1),OFFSET(Curvas_cupon_cero!$A$1,1,MATCH($B$7,Curvas_cupon_cero!$1:$1,0)-1,COUNT(Curvas_cupon_cero!$A:$A)-2,1)),[1]!interpolar(B499,OFFSET(Curvas_cupon_cero!$A$1,1,0,COUNT(Curvas_cupon_cero!$A:$A)-2,1),OFFSET(Curvas_cupon_cero!$A$1,1,MATCH($B$7,Curvas_cupon_cero!$1:$1,0)-1,COUNT(Curvas_cupon_cero!$A:$A)-2,1))))</f>
        <v/>
      </c>
      <c r="D499" s="23" t="str">
        <f ca="1">IF(A499="","",IF($B$8="Sí",interpolar_alamb(H499,OFFSET(Curvas_cupon_cero!$A$1,1,0,COUNT(Curvas_cupon_cero!$A:$A)-2,1),OFFSET(Curvas_cupon_cero!$A$1,1,MATCH($B$7,Curvas_cupon_cero!$1:$1,0)-1,COUNT(Curvas_cupon_cero!$A:$A)-2,1)),[1]!interpolar(H499,OFFSET(Curvas_cupon_cero!$A$1,1,0,COUNT(Curvas_cupon_cero!$A:$A)-2,1),OFFSET(Curvas_cupon_cero!$A$1,1,MATCH($B$7,Curvas_cupon_cero!$1:$1,0)-1,COUNT(Curvas_cupon_cero!$A:$A)-2,1))))</f>
        <v/>
      </c>
      <c r="E499" s="23" t="str">
        <f t="shared" si="46"/>
        <v/>
      </c>
      <c r="F499" s="17" t="str">
        <f t="shared" si="44"/>
        <v/>
      </c>
      <c r="G499" s="18" t="str">
        <f t="shared" si="47"/>
        <v/>
      </c>
      <c r="H499" t="str">
        <f t="shared" si="48"/>
        <v/>
      </c>
      <c r="I499" s="23" t="str">
        <f ca="1">IF(A499="","",IF($B$8="Sí",interpolar_alamb(H499,OFFSET(Curvas_cupon_cero!$A$1,1,0,COUNT(Curvas_cupon_cero!$A:$A)-2,1),OFFSET(Curvas_cupon_cero!$A$1,1,MATCH($B$6,Curvas_cupon_cero!$1:$1,0)-1,COUNT(Curvas_cupon_cero!$A:$A)-2,1)),[1]!interpolar(H499,OFFSET(Curvas_cupon_cero!$A$1,1,0,COUNT(Curvas_cupon_cero!$A:$A)-2,1),OFFSET(Curvas_cupon_cero!$A$1,1,MATCH($B$6,Curvas_cupon_cero!$1:$1,0)-1,COUNT(Curvas_cupon_cero!$A:$A)-2,1))))</f>
        <v/>
      </c>
      <c r="J499" s="19" t="str">
        <f>IF(A499="","",F499/(1+I499*$B$5/360)^(COUNT(A$16:A499)-($B$5-$G$16)/$B$5))</f>
        <v/>
      </c>
    </row>
    <row r="500" spans="1:10" x14ac:dyDescent="0.2">
      <c r="A500" s="12" t="str">
        <f t="shared" si="45"/>
        <v/>
      </c>
      <c r="B500" t="str">
        <f t="shared" si="43"/>
        <v/>
      </c>
      <c r="C500" s="21" t="str">
        <f ca="1">IF(A500="","",IF($B$8="Sí",interpolar_alamb(B500,OFFSET(Curvas_cupon_cero!$A$1,1,0,COUNT(Curvas_cupon_cero!$A:$A)-2,1),OFFSET(Curvas_cupon_cero!$A$1,1,MATCH($B$7,Curvas_cupon_cero!$1:$1,0)-1,COUNT(Curvas_cupon_cero!$A:$A)-2,1)),[1]!interpolar(B500,OFFSET(Curvas_cupon_cero!$A$1,1,0,COUNT(Curvas_cupon_cero!$A:$A)-2,1),OFFSET(Curvas_cupon_cero!$A$1,1,MATCH($B$7,Curvas_cupon_cero!$1:$1,0)-1,COUNT(Curvas_cupon_cero!$A:$A)-2,1))))</f>
        <v/>
      </c>
      <c r="D500" s="23" t="str">
        <f ca="1">IF(A500="","",IF($B$8="Sí",interpolar_alamb(H500,OFFSET(Curvas_cupon_cero!$A$1,1,0,COUNT(Curvas_cupon_cero!$A:$A)-2,1),OFFSET(Curvas_cupon_cero!$A$1,1,MATCH($B$7,Curvas_cupon_cero!$1:$1,0)-1,COUNT(Curvas_cupon_cero!$A:$A)-2,1)),[1]!interpolar(H500,OFFSET(Curvas_cupon_cero!$A$1,1,0,COUNT(Curvas_cupon_cero!$A:$A)-2,1),OFFSET(Curvas_cupon_cero!$A$1,1,MATCH($B$7,Curvas_cupon_cero!$1:$1,0)-1,COUNT(Curvas_cupon_cero!$A:$A)-2,1))))</f>
        <v/>
      </c>
      <c r="E500" s="23" t="str">
        <f t="shared" si="46"/>
        <v/>
      </c>
      <c r="F500" s="17" t="str">
        <f t="shared" si="44"/>
        <v/>
      </c>
      <c r="G500" s="18" t="str">
        <f t="shared" si="47"/>
        <v/>
      </c>
      <c r="H500" t="str">
        <f t="shared" si="48"/>
        <v/>
      </c>
      <c r="I500" s="23" t="str">
        <f ca="1">IF(A500="","",IF($B$8="Sí",interpolar_alamb(H500,OFFSET(Curvas_cupon_cero!$A$1,1,0,COUNT(Curvas_cupon_cero!$A:$A)-2,1),OFFSET(Curvas_cupon_cero!$A$1,1,MATCH($B$6,Curvas_cupon_cero!$1:$1,0)-1,COUNT(Curvas_cupon_cero!$A:$A)-2,1)),[1]!interpolar(H500,OFFSET(Curvas_cupon_cero!$A$1,1,0,COUNT(Curvas_cupon_cero!$A:$A)-2,1),OFFSET(Curvas_cupon_cero!$A$1,1,MATCH($B$6,Curvas_cupon_cero!$1:$1,0)-1,COUNT(Curvas_cupon_cero!$A:$A)-2,1))))</f>
        <v/>
      </c>
      <c r="J500" s="19" t="str">
        <f>IF(A500="","",F500/(1+I500*$B$5/360)^(COUNT(A$16:A500)-($B$5-$G$16)/$B$5))</f>
        <v/>
      </c>
    </row>
    <row r="501" spans="1:10" x14ac:dyDescent="0.2">
      <c r="A501" s="12" t="str">
        <f t="shared" si="45"/>
        <v/>
      </c>
      <c r="B501" t="str">
        <f t="shared" si="43"/>
        <v/>
      </c>
      <c r="C501" s="21" t="str">
        <f ca="1">IF(A501="","",IF($B$8="Sí",interpolar_alamb(B501,OFFSET(Curvas_cupon_cero!$A$1,1,0,COUNT(Curvas_cupon_cero!$A:$A)-2,1),OFFSET(Curvas_cupon_cero!$A$1,1,MATCH($B$7,Curvas_cupon_cero!$1:$1,0)-1,COUNT(Curvas_cupon_cero!$A:$A)-2,1)),[1]!interpolar(B501,OFFSET(Curvas_cupon_cero!$A$1,1,0,COUNT(Curvas_cupon_cero!$A:$A)-2,1),OFFSET(Curvas_cupon_cero!$A$1,1,MATCH($B$7,Curvas_cupon_cero!$1:$1,0)-1,COUNT(Curvas_cupon_cero!$A:$A)-2,1))))</f>
        <v/>
      </c>
      <c r="D501" s="23" t="str">
        <f ca="1">IF(A501="","",IF($B$8="Sí",interpolar_alamb(H501,OFFSET(Curvas_cupon_cero!$A$1,1,0,COUNT(Curvas_cupon_cero!$A:$A)-2,1),OFFSET(Curvas_cupon_cero!$A$1,1,MATCH($B$7,Curvas_cupon_cero!$1:$1,0)-1,COUNT(Curvas_cupon_cero!$A:$A)-2,1)),[1]!interpolar(H501,OFFSET(Curvas_cupon_cero!$A$1,1,0,COUNT(Curvas_cupon_cero!$A:$A)-2,1),OFFSET(Curvas_cupon_cero!$A$1,1,MATCH($B$7,Curvas_cupon_cero!$1:$1,0)-1,COUNT(Curvas_cupon_cero!$A:$A)-2,1))))</f>
        <v/>
      </c>
      <c r="E501" s="23" t="str">
        <f t="shared" si="46"/>
        <v/>
      </c>
      <c r="F501" s="17" t="str">
        <f t="shared" si="44"/>
        <v/>
      </c>
      <c r="G501" s="18" t="str">
        <f t="shared" si="47"/>
        <v/>
      </c>
      <c r="H501" t="str">
        <f t="shared" si="48"/>
        <v/>
      </c>
      <c r="I501" s="23" t="str">
        <f ca="1">IF(A501="","",IF($B$8="Sí",interpolar_alamb(H501,OFFSET(Curvas_cupon_cero!$A$1,1,0,COUNT(Curvas_cupon_cero!$A:$A)-2,1),OFFSET(Curvas_cupon_cero!$A$1,1,MATCH($B$6,Curvas_cupon_cero!$1:$1,0)-1,COUNT(Curvas_cupon_cero!$A:$A)-2,1)),[1]!interpolar(H501,OFFSET(Curvas_cupon_cero!$A$1,1,0,COUNT(Curvas_cupon_cero!$A:$A)-2,1),OFFSET(Curvas_cupon_cero!$A$1,1,MATCH($B$6,Curvas_cupon_cero!$1:$1,0)-1,COUNT(Curvas_cupon_cero!$A:$A)-2,1))))</f>
        <v/>
      </c>
      <c r="J501" s="19" t="str">
        <f>IF(A501="","",F501/(1+I501*$B$5/360)^(COUNT(A$16:A501)-($B$5-$G$16)/$B$5))</f>
        <v/>
      </c>
    </row>
    <row r="502" spans="1:10" x14ac:dyDescent="0.2">
      <c r="A502" s="12" t="str">
        <f t="shared" si="45"/>
        <v/>
      </c>
      <c r="B502" t="str">
        <f t="shared" si="43"/>
        <v/>
      </c>
      <c r="C502" s="21" t="str">
        <f ca="1">IF(A502="","",IF($B$8="Sí",interpolar_alamb(B502,OFFSET(Curvas_cupon_cero!$A$1,1,0,COUNT(Curvas_cupon_cero!$A:$A)-2,1),OFFSET(Curvas_cupon_cero!$A$1,1,MATCH($B$7,Curvas_cupon_cero!$1:$1,0)-1,COUNT(Curvas_cupon_cero!$A:$A)-2,1)),[1]!interpolar(B502,OFFSET(Curvas_cupon_cero!$A$1,1,0,COUNT(Curvas_cupon_cero!$A:$A)-2,1),OFFSET(Curvas_cupon_cero!$A$1,1,MATCH($B$7,Curvas_cupon_cero!$1:$1,0)-1,COUNT(Curvas_cupon_cero!$A:$A)-2,1))))</f>
        <v/>
      </c>
      <c r="D502" s="23" t="str">
        <f ca="1">IF(A502="","",IF($B$8="Sí",interpolar_alamb(H502,OFFSET(Curvas_cupon_cero!$A$1,1,0,COUNT(Curvas_cupon_cero!$A:$A)-2,1),OFFSET(Curvas_cupon_cero!$A$1,1,MATCH($B$7,Curvas_cupon_cero!$1:$1,0)-1,COUNT(Curvas_cupon_cero!$A:$A)-2,1)),[1]!interpolar(H502,OFFSET(Curvas_cupon_cero!$A$1,1,0,COUNT(Curvas_cupon_cero!$A:$A)-2,1),OFFSET(Curvas_cupon_cero!$A$1,1,MATCH($B$7,Curvas_cupon_cero!$1:$1,0)-1,COUNT(Curvas_cupon_cero!$A:$A)-2,1))))</f>
        <v/>
      </c>
      <c r="E502" s="23" t="str">
        <f t="shared" si="46"/>
        <v/>
      </c>
      <c r="F502" s="17" t="str">
        <f t="shared" si="44"/>
        <v/>
      </c>
      <c r="G502" s="18" t="str">
        <f t="shared" si="47"/>
        <v/>
      </c>
      <c r="H502" t="str">
        <f t="shared" si="48"/>
        <v/>
      </c>
      <c r="I502" s="23" t="str">
        <f ca="1">IF(A502="","",IF($B$8="Sí",interpolar_alamb(H502,OFFSET(Curvas_cupon_cero!$A$1,1,0,COUNT(Curvas_cupon_cero!$A:$A)-2,1),OFFSET(Curvas_cupon_cero!$A$1,1,MATCH($B$6,Curvas_cupon_cero!$1:$1,0)-1,COUNT(Curvas_cupon_cero!$A:$A)-2,1)),[1]!interpolar(H502,OFFSET(Curvas_cupon_cero!$A$1,1,0,COUNT(Curvas_cupon_cero!$A:$A)-2,1),OFFSET(Curvas_cupon_cero!$A$1,1,MATCH($B$6,Curvas_cupon_cero!$1:$1,0)-1,COUNT(Curvas_cupon_cero!$A:$A)-2,1))))</f>
        <v/>
      </c>
      <c r="J502" s="19" t="str">
        <f>IF(A502="","",F502/(1+I502*$B$5/360)^(COUNT(A$16:A502)-($B$5-$G$16)/$B$5))</f>
        <v/>
      </c>
    </row>
    <row r="503" spans="1:10" x14ac:dyDescent="0.2">
      <c r="A503" s="12" t="str">
        <f t="shared" si="45"/>
        <v/>
      </c>
      <c r="B503" t="str">
        <f t="shared" si="43"/>
        <v/>
      </c>
      <c r="C503" s="21" t="str">
        <f ca="1">IF(A503="","",IF($B$8="Sí",interpolar_alamb(B503,OFFSET(Curvas_cupon_cero!$A$1,1,0,COUNT(Curvas_cupon_cero!$A:$A)-2,1),OFFSET(Curvas_cupon_cero!$A$1,1,MATCH($B$7,Curvas_cupon_cero!$1:$1,0)-1,COUNT(Curvas_cupon_cero!$A:$A)-2,1)),[1]!interpolar(B503,OFFSET(Curvas_cupon_cero!$A$1,1,0,COUNT(Curvas_cupon_cero!$A:$A)-2,1),OFFSET(Curvas_cupon_cero!$A$1,1,MATCH($B$7,Curvas_cupon_cero!$1:$1,0)-1,COUNT(Curvas_cupon_cero!$A:$A)-2,1))))</f>
        <v/>
      </c>
      <c r="D503" s="23" t="str">
        <f ca="1">IF(A503="","",IF($B$8="Sí",interpolar_alamb(H503,OFFSET(Curvas_cupon_cero!$A$1,1,0,COUNT(Curvas_cupon_cero!$A:$A)-2,1),OFFSET(Curvas_cupon_cero!$A$1,1,MATCH($B$7,Curvas_cupon_cero!$1:$1,0)-1,COUNT(Curvas_cupon_cero!$A:$A)-2,1)),[1]!interpolar(H503,OFFSET(Curvas_cupon_cero!$A$1,1,0,COUNT(Curvas_cupon_cero!$A:$A)-2,1),OFFSET(Curvas_cupon_cero!$A$1,1,MATCH($B$7,Curvas_cupon_cero!$1:$1,0)-1,COUNT(Curvas_cupon_cero!$A:$A)-2,1))))</f>
        <v/>
      </c>
      <c r="E503" s="23" t="str">
        <f t="shared" si="46"/>
        <v/>
      </c>
      <c r="F503" s="17" t="str">
        <f t="shared" si="44"/>
        <v/>
      </c>
      <c r="G503" s="18" t="str">
        <f t="shared" si="47"/>
        <v/>
      </c>
      <c r="H503" t="str">
        <f t="shared" si="48"/>
        <v/>
      </c>
      <c r="I503" s="23" t="str">
        <f ca="1">IF(A503="","",IF($B$8="Sí",interpolar_alamb(H503,OFFSET(Curvas_cupon_cero!$A$1,1,0,COUNT(Curvas_cupon_cero!$A:$A)-2,1),OFFSET(Curvas_cupon_cero!$A$1,1,MATCH($B$6,Curvas_cupon_cero!$1:$1,0)-1,COUNT(Curvas_cupon_cero!$A:$A)-2,1)),[1]!interpolar(H503,OFFSET(Curvas_cupon_cero!$A$1,1,0,COUNT(Curvas_cupon_cero!$A:$A)-2,1),OFFSET(Curvas_cupon_cero!$A$1,1,MATCH($B$6,Curvas_cupon_cero!$1:$1,0)-1,COUNT(Curvas_cupon_cero!$A:$A)-2,1))))</f>
        <v/>
      </c>
      <c r="J503" s="19" t="str">
        <f>IF(A503="","",F503/(1+I503*$B$5/360)^(COUNT(A$16:A503)-($B$5-$G$16)/$B$5))</f>
        <v/>
      </c>
    </row>
    <row r="504" spans="1:10" x14ac:dyDescent="0.2">
      <c r="A504" s="12" t="str">
        <f t="shared" si="45"/>
        <v/>
      </c>
      <c r="B504" t="str">
        <f t="shared" si="43"/>
        <v/>
      </c>
      <c r="C504" s="21" t="str">
        <f ca="1">IF(A504="","",IF($B$8="Sí",interpolar_alamb(B504,OFFSET(Curvas_cupon_cero!$A$1,1,0,COUNT(Curvas_cupon_cero!$A:$A)-2,1),OFFSET(Curvas_cupon_cero!$A$1,1,MATCH($B$7,Curvas_cupon_cero!$1:$1,0)-1,COUNT(Curvas_cupon_cero!$A:$A)-2,1)),[1]!interpolar(B504,OFFSET(Curvas_cupon_cero!$A$1,1,0,COUNT(Curvas_cupon_cero!$A:$A)-2,1),OFFSET(Curvas_cupon_cero!$A$1,1,MATCH($B$7,Curvas_cupon_cero!$1:$1,0)-1,COUNT(Curvas_cupon_cero!$A:$A)-2,1))))</f>
        <v/>
      </c>
      <c r="D504" s="23" t="str">
        <f ca="1">IF(A504="","",IF($B$8="Sí",interpolar_alamb(H504,OFFSET(Curvas_cupon_cero!$A$1,1,0,COUNT(Curvas_cupon_cero!$A:$A)-2,1),OFFSET(Curvas_cupon_cero!$A$1,1,MATCH($B$7,Curvas_cupon_cero!$1:$1,0)-1,COUNT(Curvas_cupon_cero!$A:$A)-2,1)),[1]!interpolar(H504,OFFSET(Curvas_cupon_cero!$A$1,1,0,COUNT(Curvas_cupon_cero!$A:$A)-2,1),OFFSET(Curvas_cupon_cero!$A$1,1,MATCH($B$7,Curvas_cupon_cero!$1:$1,0)-1,COUNT(Curvas_cupon_cero!$A:$A)-2,1))))</f>
        <v/>
      </c>
      <c r="E504" s="23" t="str">
        <f t="shared" si="46"/>
        <v/>
      </c>
      <c r="F504" s="17" t="str">
        <f t="shared" si="44"/>
        <v/>
      </c>
      <c r="G504" s="18" t="str">
        <f t="shared" si="47"/>
        <v/>
      </c>
      <c r="H504" t="str">
        <f t="shared" si="48"/>
        <v/>
      </c>
      <c r="I504" s="23" t="str">
        <f ca="1">IF(A504="","",IF($B$8="Sí",interpolar_alamb(H504,OFFSET(Curvas_cupon_cero!$A$1,1,0,COUNT(Curvas_cupon_cero!$A:$A)-2,1),OFFSET(Curvas_cupon_cero!$A$1,1,MATCH($B$6,Curvas_cupon_cero!$1:$1,0)-1,COUNT(Curvas_cupon_cero!$A:$A)-2,1)),[1]!interpolar(H504,OFFSET(Curvas_cupon_cero!$A$1,1,0,COUNT(Curvas_cupon_cero!$A:$A)-2,1),OFFSET(Curvas_cupon_cero!$A$1,1,MATCH($B$6,Curvas_cupon_cero!$1:$1,0)-1,COUNT(Curvas_cupon_cero!$A:$A)-2,1))))</f>
        <v/>
      </c>
      <c r="J504" s="19" t="str">
        <f>IF(A504="","",F504/(1+I504*$B$5/360)^(COUNT(A$16:A504)-($B$5-$G$16)/$B$5))</f>
        <v/>
      </c>
    </row>
    <row r="505" spans="1:10" x14ac:dyDescent="0.2">
      <c r="A505" s="12" t="str">
        <f t="shared" si="45"/>
        <v/>
      </c>
      <c r="B505" t="str">
        <f t="shared" si="43"/>
        <v/>
      </c>
      <c r="C505" s="21" t="str">
        <f ca="1">IF(A505="","",IF($B$8="Sí",interpolar_alamb(B505,OFFSET(Curvas_cupon_cero!$A$1,1,0,COUNT(Curvas_cupon_cero!$A:$A)-2,1),OFFSET(Curvas_cupon_cero!$A$1,1,MATCH($B$7,Curvas_cupon_cero!$1:$1,0)-1,COUNT(Curvas_cupon_cero!$A:$A)-2,1)),[1]!interpolar(B505,OFFSET(Curvas_cupon_cero!$A$1,1,0,COUNT(Curvas_cupon_cero!$A:$A)-2,1),OFFSET(Curvas_cupon_cero!$A$1,1,MATCH($B$7,Curvas_cupon_cero!$1:$1,0)-1,COUNT(Curvas_cupon_cero!$A:$A)-2,1))))</f>
        <v/>
      </c>
      <c r="D505" s="23" t="str">
        <f ca="1">IF(A505="","",IF($B$8="Sí",interpolar_alamb(H505,OFFSET(Curvas_cupon_cero!$A$1,1,0,COUNT(Curvas_cupon_cero!$A:$A)-2,1),OFFSET(Curvas_cupon_cero!$A$1,1,MATCH($B$7,Curvas_cupon_cero!$1:$1,0)-1,COUNT(Curvas_cupon_cero!$A:$A)-2,1)),[1]!interpolar(H505,OFFSET(Curvas_cupon_cero!$A$1,1,0,COUNT(Curvas_cupon_cero!$A:$A)-2,1),OFFSET(Curvas_cupon_cero!$A$1,1,MATCH($B$7,Curvas_cupon_cero!$1:$1,0)-1,COUNT(Curvas_cupon_cero!$A:$A)-2,1))))</f>
        <v/>
      </c>
      <c r="E505" s="23" t="str">
        <f t="shared" si="46"/>
        <v/>
      </c>
      <c r="F505" s="17" t="str">
        <f t="shared" si="44"/>
        <v/>
      </c>
      <c r="G505" s="18" t="str">
        <f t="shared" si="47"/>
        <v/>
      </c>
      <c r="H505" t="str">
        <f t="shared" si="48"/>
        <v/>
      </c>
      <c r="I505" s="23" t="str">
        <f ca="1">IF(A505="","",IF($B$8="Sí",interpolar_alamb(H505,OFFSET(Curvas_cupon_cero!$A$1,1,0,COUNT(Curvas_cupon_cero!$A:$A)-2,1),OFFSET(Curvas_cupon_cero!$A$1,1,MATCH($B$6,Curvas_cupon_cero!$1:$1,0)-1,COUNT(Curvas_cupon_cero!$A:$A)-2,1)),[1]!interpolar(H505,OFFSET(Curvas_cupon_cero!$A$1,1,0,COUNT(Curvas_cupon_cero!$A:$A)-2,1),OFFSET(Curvas_cupon_cero!$A$1,1,MATCH($B$6,Curvas_cupon_cero!$1:$1,0)-1,COUNT(Curvas_cupon_cero!$A:$A)-2,1))))</f>
        <v/>
      </c>
      <c r="J505" s="19" t="str">
        <f>IF(A505="","",F505/(1+I505*$B$5/360)^(COUNT(A$16:A505)-($B$5-$G$16)/$B$5))</f>
        <v/>
      </c>
    </row>
    <row r="506" spans="1:10" x14ac:dyDescent="0.2">
      <c r="A506" s="12" t="str">
        <f t="shared" si="45"/>
        <v/>
      </c>
      <c r="B506" t="str">
        <f t="shared" si="43"/>
        <v/>
      </c>
      <c r="C506" s="21" t="str">
        <f ca="1">IF(A506="","",IF($B$8="Sí",interpolar_alamb(B506,OFFSET(Curvas_cupon_cero!$A$1,1,0,COUNT(Curvas_cupon_cero!$A:$A)-2,1),OFFSET(Curvas_cupon_cero!$A$1,1,MATCH($B$7,Curvas_cupon_cero!$1:$1,0)-1,COUNT(Curvas_cupon_cero!$A:$A)-2,1)),[1]!interpolar(B506,OFFSET(Curvas_cupon_cero!$A$1,1,0,COUNT(Curvas_cupon_cero!$A:$A)-2,1),OFFSET(Curvas_cupon_cero!$A$1,1,MATCH($B$7,Curvas_cupon_cero!$1:$1,0)-1,COUNT(Curvas_cupon_cero!$A:$A)-2,1))))</f>
        <v/>
      </c>
      <c r="D506" s="23" t="str">
        <f ca="1">IF(A506="","",IF($B$8="Sí",interpolar_alamb(H506,OFFSET(Curvas_cupon_cero!$A$1,1,0,COUNT(Curvas_cupon_cero!$A:$A)-2,1),OFFSET(Curvas_cupon_cero!$A$1,1,MATCH($B$7,Curvas_cupon_cero!$1:$1,0)-1,COUNT(Curvas_cupon_cero!$A:$A)-2,1)),[1]!interpolar(H506,OFFSET(Curvas_cupon_cero!$A$1,1,0,COUNT(Curvas_cupon_cero!$A:$A)-2,1),OFFSET(Curvas_cupon_cero!$A$1,1,MATCH($B$7,Curvas_cupon_cero!$1:$1,0)-1,COUNT(Curvas_cupon_cero!$A:$A)-2,1))))</f>
        <v/>
      </c>
      <c r="E506" s="23" t="str">
        <f t="shared" si="46"/>
        <v/>
      </c>
      <c r="F506" s="17" t="str">
        <f t="shared" si="44"/>
        <v/>
      </c>
      <c r="G506" s="18" t="str">
        <f t="shared" si="47"/>
        <v/>
      </c>
      <c r="H506" t="str">
        <f t="shared" si="48"/>
        <v/>
      </c>
      <c r="I506" s="23" t="str">
        <f ca="1">IF(A506="","",IF($B$8="Sí",interpolar_alamb(H506,OFFSET(Curvas_cupon_cero!$A$1,1,0,COUNT(Curvas_cupon_cero!$A:$A)-2,1),OFFSET(Curvas_cupon_cero!$A$1,1,MATCH($B$6,Curvas_cupon_cero!$1:$1,0)-1,COUNT(Curvas_cupon_cero!$A:$A)-2,1)),[1]!interpolar(H506,OFFSET(Curvas_cupon_cero!$A$1,1,0,COUNT(Curvas_cupon_cero!$A:$A)-2,1),OFFSET(Curvas_cupon_cero!$A$1,1,MATCH($B$6,Curvas_cupon_cero!$1:$1,0)-1,COUNT(Curvas_cupon_cero!$A:$A)-2,1))))</f>
        <v/>
      </c>
      <c r="J506" s="19" t="str">
        <f>IF(A506="","",F506/(1+I506*$B$5/360)^(COUNT(A$16:A506)-($B$5-$G$16)/$B$5))</f>
        <v/>
      </c>
    </row>
    <row r="507" spans="1:10" x14ac:dyDescent="0.2">
      <c r="A507" s="12" t="str">
        <f t="shared" si="45"/>
        <v/>
      </c>
      <c r="B507" t="str">
        <f t="shared" si="43"/>
        <v/>
      </c>
      <c r="C507" s="21" t="str">
        <f ca="1">IF(A507="","",IF($B$8="Sí",interpolar_alamb(B507,OFFSET(Curvas_cupon_cero!$A$1,1,0,COUNT(Curvas_cupon_cero!$A:$A)-2,1),OFFSET(Curvas_cupon_cero!$A$1,1,MATCH($B$7,Curvas_cupon_cero!$1:$1,0)-1,COUNT(Curvas_cupon_cero!$A:$A)-2,1)),[1]!interpolar(B507,OFFSET(Curvas_cupon_cero!$A$1,1,0,COUNT(Curvas_cupon_cero!$A:$A)-2,1),OFFSET(Curvas_cupon_cero!$A$1,1,MATCH($B$7,Curvas_cupon_cero!$1:$1,0)-1,COUNT(Curvas_cupon_cero!$A:$A)-2,1))))</f>
        <v/>
      </c>
      <c r="D507" s="23" t="str">
        <f ca="1">IF(A507="","",IF($B$8="Sí",interpolar_alamb(H507,OFFSET(Curvas_cupon_cero!$A$1,1,0,COUNT(Curvas_cupon_cero!$A:$A)-2,1),OFFSET(Curvas_cupon_cero!$A$1,1,MATCH($B$7,Curvas_cupon_cero!$1:$1,0)-1,COUNT(Curvas_cupon_cero!$A:$A)-2,1)),[1]!interpolar(H507,OFFSET(Curvas_cupon_cero!$A$1,1,0,COUNT(Curvas_cupon_cero!$A:$A)-2,1),OFFSET(Curvas_cupon_cero!$A$1,1,MATCH($B$7,Curvas_cupon_cero!$1:$1,0)-1,COUNT(Curvas_cupon_cero!$A:$A)-2,1))))</f>
        <v/>
      </c>
      <c r="E507" s="23" t="str">
        <f t="shared" si="46"/>
        <v/>
      </c>
      <c r="F507" s="17" t="str">
        <f t="shared" si="44"/>
        <v/>
      </c>
      <c r="G507" s="18" t="str">
        <f t="shared" si="47"/>
        <v/>
      </c>
      <c r="H507" t="str">
        <f t="shared" si="48"/>
        <v/>
      </c>
      <c r="I507" s="23" t="str">
        <f ca="1">IF(A507="","",IF($B$8="Sí",interpolar_alamb(H507,OFFSET(Curvas_cupon_cero!$A$1,1,0,COUNT(Curvas_cupon_cero!$A:$A)-2,1),OFFSET(Curvas_cupon_cero!$A$1,1,MATCH($B$6,Curvas_cupon_cero!$1:$1,0)-1,COUNT(Curvas_cupon_cero!$A:$A)-2,1)),[1]!interpolar(H507,OFFSET(Curvas_cupon_cero!$A$1,1,0,COUNT(Curvas_cupon_cero!$A:$A)-2,1),OFFSET(Curvas_cupon_cero!$A$1,1,MATCH($B$6,Curvas_cupon_cero!$1:$1,0)-1,COUNT(Curvas_cupon_cero!$A:$A)-2,1))))</f>
        <v/>
      </c>
      <c r="J507" s="19" t="str">
        <f>IF(A507="","",F507/(1+I507*$B$5/360)^(COUNT(A$16:A507)-($B$5-$G$16)/$B$5))</f>
        <v/>
      </c>
    </row>
    <row r="508" spans="1:10" x14ac:dyDescent="0.2">
      <c r="A508" s="12" t="str">
        <f t="shared" si="45"/>
        <v/>
      </c>
      <c r="B508" t="str">
        <f t="shared" si="43"/>
        <v/>
      </c>
      <c r="C508" s="21" t="str">
        <f ca="1">IF(A508="","",IF($B$8="Sí",interpolar_alamb(B508,OFFSET(Curvas_cupon_cero!$A$1,1,0,COUNT(Curvas_cupon_cero!$A:$A)-2,1),OFFSET(Curvas_cupon_cero!$A$1,1,MATCH($B$7,Curvas_cupon_cero!$1:$1,0)-1,COUNT(Curvas_cupon_cero!$A:$A)-2,1)),[1]!interpolar(B508,OFFSET(Curvas_cupon_cero!$A$1,1,0,COUNT(Curvas_cupon_cero!$A:$A)-2,1),OFFSET(Curvas_cupon_cero!$A$1,1,MATCH($B$7,Curvas_cupon_cero!$1:$1,0)-1,COUNT(Curvas_cupon_cero!$A:$A)-2,1))))</f>
        <v/>
      </c>
      <c r="D508" s="23" t="str">
        <f ca="1">IF(A508="","",IF($B$8="Sí",interpolar_alamb(H508,OFFSET(Curvas_cupon_cero!$A$1,1,0,COUNT(Curvas_cupon_cero!$A:$A)-2,1),OFFSET(Curvas_cupon_cero!$A$1,1,MATCH($B$7,Curvas_cupon_cero!$1:$1,0)-1,COUNT(Curvas_cupon_cero!$A:$A)-2,1)),[1]!interpolar(H508,OFFSET(Curvas_cupon_cero!$A$1,1,0,COUNT(Curvas_cupon_cero!$A:$A)-2,1),OFFSET(Curvas_cupon_cero!$A$1,1,MATCH($B$7,Curvas_cupon_cero!$1:$1,0)-1,COUNT(Curvas_cupon_cero!$A:$A)-2,1))))</f>
        <v/>
      </c>
      <c r="E508" s="23" t="str">
        <f t="shared" si="46"/>
        <v/>
      </c>
      <c r="F508" s="17" t="str">
        <f t="shared" si="44"/>
        <v/>
      </c>
      <c r="G508" s="18" t="str">
        <f t="shared" si="47"/>
        <v/>
      </c>
      <c r="H508" t="str">
        <f t="shared" si="48"/>
        <v/>
      </c>
      <c r="I508" s="23" t="str">
        <f ca="1">IF(A508="","",IF($B$8="Sí",interpolar_alamb(H508,OFFSET(Curvas_cupon_cero!$A$1,1,0,COUNT(Curvas_cupon_cero!$A:$A)-2,1),OFFSET(Curvas_cupon_cero!$A$1,1,MATCH($B$6,Curvas_cupon_cero!$1:$1,0)-1,COUNT(Curvas_cupon_cero!$A:$A)-2,1)),[1]!interpolar(H508,OFFSET(Curvas_cupon_cero!$A$1,1,0,COUNT(Curvas_cupon_cero!$A:$A)-2,1),OFFSET(Curvas_cupon_cero!$A$1,1,MATCH($B$6,Curvas_cupon_cero!$1:$1,0)-1,COUNT(Curvas_cupon_cero!$A:$A)-2,1))))</f>
        <v/>
      </c>
      <c r="J508" s="19" t="str">
        <f>IF(A508="","",F508/(1+I508*$B$5/360)^(COUNT(A$16:A508)-($B$5-$G$16)/$B$5))</f>
        <v/>
      </c>
    </row>
    <row r="509" spans="1:10" x14ac:dyDescent="0.2">
      <c r="A509" s="12" t="str">
        <f t="shared" si="45"/>
        <v/>
      </c>
      <c r="B509" t="str">
        <f t="shared" si="43"/>
        <v/>
      </c>
      <c r="C509" s="21" t="str">
        <f ca="1">IF(A509="","",IF($B$8="Sí",interpolar_alamb(B509,OFFSET(Curvas_cupon_cero!$A$1,1,0,COUNT(Curvas_cupon_cero!$A:$A)-2,1),OFFSET(Curvas_cupon_cero!$A$1,1,MATCH($B$7,Curvas_cupon_cero!$1:$1,0)-1,COUNT(Curvas_cupon_cero!$A:$A)-2,1)),[1]!interpolar(B509,OFFSET(Curvas_cupon_cero!$A$1,1,0,COUNT(Curvas_cupon_cero!$A:$A)-2,1),OFFSET(Curvas_cupon_cero!$A$1,1,MATCH($B$7,Curvas_cupon_cero!$1:$1,0)-1,COUNT(Curvas_cupon_cero!$A:$A)-2,1))))</f>
        <v/>
      </c>
      <c r="D509" s="23" t="str">
        <f ca="1">IF(A509="","",IF($B$8="Sí",interpolar_alamb(H509,OFFSET(Curvas_cupon_cero!$A$1,1,0,COUNT(Curvas_cupon_cero!$A:$A)-2,1),OFFSET(Curvas_cupon_cero!$A$1,1,MATCH($B$7,Curvas_cupon_cero!$1:$1,0)-1,COUNT(Curvas_cupon_cero!$A:$A)-2,1)),[1]!interpolar(H509,OFFSET(Curvas_cupon_cero!$A$1,1,0,COUNT(Curvas_cupon_cero!$A:$A)-2,1),OFFSET(Curvas_cupon_cero!$A$1,1,MATCH($B$7,Curvas_cupon_cero!$1:$1,0)-1,COUNT(Curvas_cupon_cero!$A:$A)-2,1))))</f>
        <v/>
      </c>
      <c r="E509" s="23" t="str">
        <f t="shared" si="46"/>
        <v/>
      </c>
      <c r="F509" s="17" t="str">
        <f t="shared" si="44"/>
        <v/>
      </c>
      <c r="G509" s="18" t="str">
        <f t="shared" si="47"/>
        <v/>
      </c>
      <c r="H509" t="str">
        <f t="shared" si="48"/>
        <v/>
      </c>
      <c r="I509" s="23" t="str">
        <f ca="1">IF(A509="","",IF($B$8="Sí",interpolar_alamb(H509,OFFSET(Curvas_cupon_cero!$A$1,1,0,COUNT(Curvas_cupon_cero!$A:$A)-2,1),OFFSET(Curvas_cupon_cero!$A$1,1,MATCH($B$6,Curvas_cupon_cero!$1:$1,0)-1,COUNT(Curvas_cupon_cero!$A:$A)-2,1)),[1]!interpolar(H509,OFFSET(Curvas_cupon_cero!$A$1,1,0,COUNT(Curvas_cupon_cero!$A:$A)-2,1),OFFSET(Curvas_cupon_cero!$A$1,1,MATCH($B$6,Curvas_cupon_cero!$1:$1,0)-1,COUNT(Curvas_cupon_cero!$A:$A)-2,1))))</f>
        <v/>
      </c>
      <c r="J509" s="19" t="str">
        <f>IF(A509="","",F509/(1+I509*$B$5/360)^(COUNT(A$16:A509)-($B$5-$G$16)/$B$5))</f>
        <v/>
      </c>
    </row>
    <row r="510" spans="1:10" x14ac:dyDescent="0.2">
      <c r="A510" s="12" t="str">
        <f t="shared" si="45"/>
        <v/>
      </c>
      <c r="B510" t="str">
        <f t="shared" si="43"/>
        <v/>
      </c>
      <c r="C510" s="21" t="str">
        <f ca="1">IF(A510="","",IF($B$8="Sí",interpolar_alamb(B510,OFFSET(Curvas_cupon_cero!$A$1,1,0,COUNT(Curvas_cupon_cero!$A:$A)-2,1),OFFSET(Curvas_cupon_cero!$A$1,1,MATCH($B$7,Curvas_cupon_cero!$1:$1,0)-1,COUNT(Curvas_cupon_cero!$A:$A)-2,1)),[1]!interpolar(B510,OFFSET(Curvas_cupon_cero!$A$1,1,0,COUNT(Curvas_cupon_cero!$A:$A)-2,1),OFFSET(Curvas_cupon_cero!$A$1,1,MATCH($B$7,Curvas_cupon_cero!$1:$1,0)-1,COUNT(Curvas_cupon_cero!$A:$A)-2,1))))</f>
        <v/>
      </c>
      <c r="D510" s="23" t="str">
        <f ca="1">IF(A510="","",IF($B$8="Sí",interpolar_alamb(H510,OFFSET(Curvas_cupon_cero!$A$1,1,0,COUNT(Curvas_cupon_cero!$A:$A)-2,1),OFFSET(Curvas_cupon_cero!$A$1,1,MATCH($B$7,Curvas_cupon_cero!$1:$1,0)-1,COUNT(Curvas_cupon_cero!$A:$A)-2,1)),[1]!interpolar(H510,OFFSET(Curvas_cupon_cero!$A$1,1,0,COUNT(Curvas_cupon_cero!$A:$A)-2,1),OFFSET(Curvas_cupon_cero!$A$1,1,MATCH($B$7,Curvas_cupon_cero!$1:$1,0)-1,COUNT(Curvas_cupon_cero!$A:$A)-2,1))))</f>
        <v/>
      </c>
      <c r="E510" s="23" t="str">
        <f t="shared" si="46"/>
        <v/>
      </c>
      <c r="F510" s="17" t="str">
        <f t="shared" si="44"/>
        <v/>
      </c>
      <c r="G510" s="18" t="str">
        <f t="shared" si="47"/>
        <v/>
      </c>
      <c r="H510" t="str">
        <f t="shared" si="48"/>
        <v/>
      </c>
      <c r="I510" s="23" t="str">
        <f ca="1">IF(A510="","",IF($B$8="Sí",interpolar_alamb(H510,OFFSET(Curvas_cupon_cero!$A$1,1,0,COUNT(Curvas_cupon_cero!$A:$A)-2,1),OFFSET(Curvas_cupon_cero!$A$1,1,MATCH($B$6,Curvas_cupon_cero!$1:$1,0)-1,COUNT(Curvas_cupon_cero!$A:$A)-2,1)),[1]!interpolar(H510,OFFSET(Curvas_cupon_cero!$A$1,1,0,COUNT(Curvas_cupon_cero!$A:$A)-2,1),OFFSET(Curvas_cupon_cero!$A$1,1,MATCH($B$6,Curvas_cupon_cero!$1:$1,0)-1,COUNT(Curvas_cupon_cero!$A:$A)-2,1))))</f>
        <v/>
      </c>
      <c r="J510" s="19" t="str">
        <f>IF(A510="","",F510/(1+I510*$B$5/360)^(COUNT(A$16:A510)-($B$5-$G$16)/$B$5))</f>
        <v/>
      </c>
    </row>
    <row r="511" spans="1:10" x14ac:dyDescent="0.2">
      <c r="A511" s="12" t="str">
        <f t="shared" si="45"/>
        <v/>
      </c>
      <c r="B511" t="str">
        <f t="shared" si="43"/>
        <v/>
      </c>
      <c r="C511" s="21" t="str">
        <f ca="1">IF(A511="","",IF($B$8="Sí",interpolar_alamb(B511,OFFSET(Curvas_cupon_cero!$A$1,1,0,COUNT(Curvas_cupon_cero!$A:$A)-2,1),OFFSET(Curvas_cupon_cero!$A$1,1,MATCH($B$7,Curvas_cupon_cero!$1:$1,0)-1,COUNT(Curvas_cupon_cero!$A:$A)-2,1)),[1]!interpolar(B511,OFFSET(Curvas_cupon_cero!$A$1,1,0,COUNT(Curvas_cupon_cero!$A:$A)-2,1),OFFSET(Curvas_cupon_cero!$A$1,1,MATCH($B$7,Curvas_cupon_cero!$1:$1,0)-1,COUNT(Curvas_cupon_cero!$A:$A)-2,1))))</f>
        <v/>
      </c>
      <c r="D511" s="23" t="str">
        <f ca="1">IF(A511="","",IF($B$8="Sí",interpolar_alamb(H511,OFFSET(Curvas_cupon_cero!$A$1,1,0,COUNT(Curvas_cupon_cero!$A:$A)-2,1),OFFSET(Curvas_cupon_cero!$A$1,1,MATCH($B$7,Curvas_cupon_cero!$1:$1,0)-1,COUNT(Curvas_cupon_cero!$A:$A)-2,1)),[1]!interpolar(H511,OFFSET(Curvas_cupon_cero!$A$1,1,0,COUNT(Curvas_cupon_cero!$A:$A)-2,1),OFFSET(Curvas_cupon_cero!$A$1,1,MATCH($B$7,Curvas_cupon_cero!$1:$1,0)-1,COUNT(Curvas_cupon_cero!$A:$A)-2,1))))</f>
        <v/>
      </c>
      <c r="E511" s="23" t="str">
        <f t="shared" si="46"/>
        <v/>
      </c>
      <c r="F511" s="17" t="str">
        <f t="shared" si="44"/>
        <v/>
      </c>
      <c r="G511" s="18" t="str">
        <f t="shared" si="47"/>
        <v/>
      </c>
      <c r="H511" t="str">
        <f t="shared" si="48"/>
        <v/>
      </c>
      <c r="I511" s="23" t="str">
        <f ca="1">IF(A511="","",IF($B$8="Sí",interpolar_alamb(H511,OFFSET(Curvas_cupon_cero!$A$1,1,0,COUNT(Curvas_cupon_cero!$A:$A)-2,1),OFFSET(Curvas_cupon_cero!$A$1,1,MATCH($B$6,Curvas_cupon_cero!$1:$1,0)-1,COUNT(Curvas_cupon_cero!$A:$A)-2,1)),[1]!interpolar(H511,OFFSET(Curvas_cupon_cero!$A$1,1,0,COUNT(Curvas_cupon_cero!$A:$A)-2,1),OFFSET(Curvas_cupon_cero!$A$1,1,MATCH($B$6,Curvas_cupon_cero!$1:$1,0)-1,COUNT(Curvas_cupon_cero!$A:$A)-2,1))))</f>
        <v/>
      </c>
      <c r="J511" s="19" t="str">
        <f>IF(A511="","",F511/(1+I511*$B$5/360)^(COUNT(A$16:A511)-($B$5-$G$16)/$B$5))</f>
        <v/>
      </c>
    </row>
    <row r="512" spans="1:10" x14ac:dyDescent="0.2">
      <c r="A512" s="12" t="str">
        <f t="shared" si="45"/>
        <v/>
      </c>
      <c r="B512" t="str">
        <f t="shared" si="43"/>
        <v/>
      </c>
      <c r="C512" s="21" t="str">
        <f ca="1">IF(A512="","",IF($B$8="Sí",interpolar_alamb(B512,OFFSET(Curvas_cupon_cero!$A$1,1,0,COUNT(Curvas_cupon_cero!$A:$A)-2,1),OFFSET(Curvas_cupon_cero!$A$1,1,MATCH($B$7,Curvas_cupon_cero!$1:$1,0)-1,COUNT(Curvas_cupon_cero!$A:$A)-2,1)),[1]!interpolar(B512,OFFSET(Curvas_cupon_cero!$A$1,1,0,COUNT(Curvas_cupon_cero!$A:$A)-2,1),OFFSET(Curvas_cupon_cero!$A$1,1,MATCH($B$7,Curvas_cupon_cero!$1:$1,0)-1,COUNT(Curvas_cupon_cero!$A:$A)-2,1))))</f>
        <v/>
      </c>
      <c r="D512" s="23" t="str">
        <f ca="1">IF(A512="","",IF($B$8="Sí",interpolar_alamb(H512,OFFSET(Curvas_cupon_cero!$A$1,1,0,COUNT(Curvas_cupon_cero!$A:$A)-2,1),OFFSET(Curvas_cupon_cero!$A$1,1,MATCH($B$7,Curvas_cupon_cero!$1:$1,0)-1,COUNT(Curvas_cupon_cero!$A:$A)-2,1)),[1]!interpolar(H512,OFFSET(Curvas_cupon_cero!$A$1,1,0,COUNT(Curvas_cupon_cero!$A:$A)-2,1),OFFSET(Curvas_cupon_cero!$A$1,1,MATCH($B$7,Curvas_cupon_cero!$1:$1,0)-1,COUNT(Curvas_cupon_cero!$A:$A)-2,1))))</f>
        <v/>
      </c>
      <c r="E512" s="23" t="str">
        <f t="shared" si="46"/>
        <v/>
      </c>
      <c r="F512" s="17" t="str">
        <f t="shared" si="44"/>
        <v/>
      </c>
      <c r="G512" s="18" t="str">
        <f t="shared" si="47"/>
        <v/>
      </c>
      <c r="H512" t="str">
        <f t="shared" si="48"/>
        <v/>
      </c>
      <c r="I512" s="23" t="str">
        <f ca="1">IF(A512="","",IF($B$8="Sí",interpolar_alamb(H512,OFFSET(Curvas_cupon_cero!$A$1,1,0,COUNT(Curvas_cupon_cero!$A:$A)-2,1),OFFSET(Curvas_cupon_cero!$A$1,1,MATCH($B$6,Curvas_cupon_cero!$1:$1,0)-1,COUNT(Curvas_cupon_cero!$A:$A)-2,1)),[1]!interpolar(H512,OFFSET(Curvas_cupon_cero!$A$1,1,0,COUNT(Curvas_cupon_cero!$A:$A)-2,1),OFFSET(Curvas_cupon_cero!$A$1,1,MATCH($B$6,Curvas_cupon_cero!$1:$1,0)-1,COUNT(Curvas_cupon_cero!$A:$A)-2,1))))</f>
        <v/>
      </c>
      <c r="J512" s="19" t="str">
        <f>IF(A512="","",F512/(1+I512*$B$5/360)^(COUNT(A$16:A512)-($B$5-$G$16)/$B$5))</f>
        <v/>
      </c>
    </row>
    <row r="513" spans="1:10" x14ac:dyDescent="0.2">
      <c r="A513" s="12" t="str">
        <f t="shared" si="45"/>
        <v/>
      </c>
      <c r="B513" t="str">
        <f t="shared" si="43"/>
        <v/>
      </c>
      <c r="C513" s="21" t="str">
        <f ca="1">IF(A513="","",IF($B$8="Sí",interpolar_alamb(B513,OFFSET(Curvas_cupon_cero!$A$1,1,0,COUNT(Curvas_cupon_cero!$A:$A)-2,1),OFFSET(Curvas_cupon_cero!$A$1,1,MATCH($B$7,Curvas_cupon_cero!$1:$1,0)-1,COUNT(Curvas_cupon_cero!$A:$A)-2,1)),[1]!interpolar(B513,OFFSET(Curvas_cupon_cero!$A$1,1,0,COUNT(Curvas_cupon_cero!$A:$A)-2,1),OFFSET(Curvas_cupon_cero!$A$1,1,MATCH($B$7,Curvas_cupon_cero!$1:$1,0)-1,COUNT(Curvas_cupon_cero!$A:$A)-2,1))))</f>
        <v/>
      </c>
      <c r="D513" s="23" t="str">
        <f ca="1">IF(A513="","",IF($B$8="Sí",interpolar_alamb(H513,OFFSET(Curvas_cupon_cero!$A$1,1,0,COUNT(Curvas_cupon_cero!$A:$A)-2,1),OFFSET(Curvas_cupon_cero!$A$1,1,MATCH($B$7,Curvas_cupon_cero!$1:$1,0)-1,COUNT(Curvas_cupon_cero!$A:$A)-2,1)),[1]!interpolar(H513,OFFSET(Curvas_cupon_cero!$A$1,1,0,COUNT(Curvas_cupon_cero!$A:$A)-2,1),OFFSET(Curvas_cupon_cero!$A$1,1,MATCH($B$7,Curvas_cupon_cero!$1:$1,0)-1,COUNT(Curvas_cupon_cero!$A:$A)-2,1))))</f>
        <v/>
      </c>
      <c r="E513" s="23" t="str">
        <f t="shared" si="46"/>
        <v/>
      </c>
      <c r="F513" s="17" t="str">
        <f t="shared" si="44"/>
        <v/>
      </c>
      <c r="G513" s="18" t="str">
        <f t="shared" si="47"/>
        <v/>
      </c>
      <c r="H513" t="str">
        <f t="shared" si="48"/>
        <v/>
      </c>
      <c r="I513" s="23" t="str">
        <f ca="1">IF(A513="","",IF($B$8="Sí",interpolar_alamb(H513,OFFSET(Curvas_cupon_cero!$A$1,1,0,COUNT(Curvas_cupon_cero!$A:$A)-2,1),OFFSET(Curvas_cupon_cero!$A$1,1,MATCH($B$6,Curvas_cupon_cero!$1:$1,0)-1,COUNT(Curvas_cupon_cero!$A:$A)-2,1)),[1]!interpolar(H513,OFFSET(Curvas_cupon_cero!$A$1,1,0,COUNT(Curvas_cupon_cero!$A:$A)-2,1),OFFSET(Curvas_cupon_cero!$A$1,1,MATCH($B$6,Curvas_cupon_cero!$1:$1,0)-1,COUNT(Curvas_cupon_cero!$A:$A)-2,1))))</f>
        <v/>
      </c>
      <c r="J513" s="19" t="str">
        <f>IF(A513="","",F513/(1+I513*$B$5/360)^(COUNT(A$16:A513)-($B$5-$G$16)/$B$5))</f>
        <v/>
      </c>
    </row>
    <row r="514" spans="1:10" x14ac:dyDescent="0.2">
      <c r="A514" s="12" t="str">
        <f t="shared" si="45"/>
        <v/>
      </c>
      <c r="B514" t="str">
        <f t="shared" si="43"/>
        <v/>
      </c>
      <c r="C514" s="21" t="str">
        <f ca="1">IF(A514="","",IF($B$8="Sí",interpolar_alamb(B514,OFFSET(Curvas_cupon_cero!$A$1,1,0,COUNT(Curvas_cupon_cero!$A:$A)-2,1),OFFSET(Curvas_cupon_cero!$A$1,1,MATCH($B$7,Curvas_cupon_cero!$1:$1,0)-1,COUNT(Curvas_cupon_cero!$A:$A)-2,1)),[1]!interpolar(B514,OFFSET(Curvas_cupon_cero!$A$1,1,0,COUNT(Curvas_cupon_cero!$A:$A)-2,1),OFFSET(Curvas_cupon_cero!$A$1,1,MATCH($B$7,Curvas_cupon_cero!$1:$1,0)-1,COUNT(Curvas_cupon_cero!$A:$A)-2,1))))</f>
        <v/>
      </c>
      <c r="D514" s="23" t="str">
        <f ca="1">IF(A514="","",IF($B$8="Sí",interpolar_alamb(H514,OFFSET(Curvas_cupon_cero!$A$1,1,0,COUNT(Curvas_cupon_cero!$A:$A)-2,1),OFFSET(Curvas_cupon_cero!$A$1,1,MATCH($B$7,Curvas_cupon_cero!$1:$1,0)-1,COUNT(Curvas_cupon_cero!$A:$A)-2,1)),[1]!interpolar(H514,OFFSET(Curvas_cupon_cero!$A$1,1,0,COUNT(Curvas_cupon_cero!$A:$A)-2,1),OFFSET(Curvas_cupon_cero!$A$1,1,MATCH($B$7,Curvas_cupon_cero!$1:$1,0)-1,COUNT(Curvas_cupon_cero!$A:$A)-2,1))))</f>
        <v/>
      </c>
      <c r="E514" s="23" t="str">
        <f t="shared" si="46"/>
        <v/>
      </c>
      <c r="F514" s="17" t="str">
        <f t="shared" si="44"/>
        <v/>
      </c>
      <c r="G514" s="18" t="str">
        <f t="shared" si="47"/>
        <v/>
      </c>
      <c r="H514" t="str">
        <f t="shared" si="48"/>
        <v/>
      </c>
      <c r="I514" s="23" t="str">
        <f ca="1">IF(A514="","",IF($B$8="Sí",interpolar_alamb(H514,OFFSET(Curvas_cupon_cero!$A$1,1,0,COUNT(Curvas_cupon_cero!$A:$A)-2,1),OFFSET(Curvas_cupon_cero!$A$1,1,MATCH($B$6,Curvas_cupon_cero!$1:$1,0)-1,COUNT(Curvas_cupon_cero!$A:$A)-2,1)),[1]!interpolar(H514,OFFSET(Curvas_cupon_cero!$A$1,1,0,COUNT(Curvas_cupon_cero!$A:$A)-2,1),OFFSET(Curvas_cupon_cero!$A$1,1,MATCH($B$6,Curvas_cupon_cero!$1:$1,0)-1,COUNT(Curvas_cupon_cero!$A:$A)-2,1))))</f>
        <v/>
      </c>
      <c r="J514" s="19" t="str">
        <f>IF(A514="","",F514/(1+I514*$B$5/360)^(COUNT(A$16:A514)-($B$5-$G$16)/$B$5))</f>
        <v/>
      </c>
    </row>
    <row r="515" spans="1:10" x14ac:dyDescent="0.2">
      <c r="A515" s="12" t="str">
        <f t="shared" si="45"/>
        <v/>
      </c>
      <c r="B515" t="str">
        <f t="shared" si="43"/>
        <v/>
      </c>
      <c r="C515" s="21" t="str">
        <f ca="1">IF(A515="","",IF($B$8="Sí",interpolar_alamb(B515,OFFSET(Curvas_cupon_cero!$A$1,1,0,COUNT(Curvas_cupon_cero!$A:$A)-2,1),OFFSET(Curvas_cupon_cero!$A$1,1,MATCH($B$7,Curvas_cupon_cero!$1:$1,0)-1,COUNT(Curvas_cupon_cero!$A:$A)-2,1)),[1]!interpolar(B515,OFFSET(Curvas_cupon_cero!$A$1,1,0,COUNT(Curvas_cupon_cero!$A:$A)-2,1),OFFSET(Curvas_cupon_cero!$A$1,1,MATCH($B$7,Curvas_cupon_cero!$1:$1,0)-1,COUNT(Curvas_cupon_cero!$A:$A)-2,1))))</f>
        <v/>
      </c>
      <c r="D515" s="23" t="str">
        <f ca="1">IF(A515="","",IF($B$8="Sí",interpolar_alamb(H515,OFFSET(Curvas_cupon_cero!$A$1,1,0,COUNT(Curvas_cupon_cero!$A:$A)-2,1),OFFSET(Curvas_cupon_cero!$A$1,1,MATCH($B$7,Curvas_cupon_cero!$1:$1,0)-1,COUNT(Curvas_cupon_cero!$A:$A)-2,1)),[1]!interpolar(H515,OFFSET(Curvas_cupon_cero!$A$1,1,0,COUNT(Curvas_cupon_cero!$A:$A)-2,1),OFFSET(Curvas_cupon_cero!$A$1,1,MATCH($B$7,Curvas_cupon_cero!$1:$1,0)-1,COUNT(Curvas_cupon_cero!$A:$A)-2,1))))</f>
        <v/>
      </c>
      <c r="E515" s="23" t="str">
        <f t="shared" si="46"/>
        <v/>
      </c>
      <c r="F515" s="17" t="str">
        <f t="shared" si="44"/>
        <v/>
      </c>
      <c r="G515" s="18" t="str">
        <f t="shared" si="47"/>
        <v/>
      </c>
      <c r="H515" t="str">
        <f t="shared" si="48"/>
        <v/>
      </c>
      <c r="I515" s="23" t="str">
        <f ca="1">IF(A515="","",IF($B$8="Sí",interpolar_alamb(H515,OFFSET(Curvas_cupon_cero!$A$1,1,0,COUNT(Curvas_cupon_cero!$A:$A)-2,1),OFFSET(Curvas_cupon_cero!$A$1,1,MATCH($B$6,Curvas_cupon_cero!$1:$1,0)-1,COUNT(Curvas_cupon_cero!$A:$A)-2,1)),[1]!interpolar(H515,OFFSET(Curvas_cupon_cero!$A$1,1,0,COUNT(Curvas_cupon_cero!$A:$A)-2,1),OFFSET(Curvas_cupon_cero!$A$1,1,MATCH($B$6,Curvas_cupon_cero!$1:$1,0)-1,COUNT(Curvas_cupon_cero!$A:$A)-2,1))))</f>
        <v/>
      </c>
      <c r="J515" s="19" t="str">
        <f>IF(A515="","",F515/(1+I515*$B$5/360)^(COUNT(A$16:A515)-($B$5-$G$16)/$B$5))</f>
        <v/>
      </c>
    </row>
    <row r="516" spans="1:10" x14ac:dyDescent="0.2">
      <c r="A516" s="12" t="str">
        <f t="shared" si="45"/>
        <v/>
      </c>
      <c r="B516" t="str">
        <f t="shared" si="43"/>
        <v/>
      </c>
      <c r="C516" s="21" t="str">
        <f ca="1">IF(A516="","",IF($B$8="Sí",interpolar_alamb(B516,OFFSET(Curvas_cupon_cero!$A$1,1,0,COUNT(Curvas_cupon_cero!$A:$A)-2,1),OFFSET(Curvas_cupon_cero!$A$1,1,MATCH($B$7,Curvas_cupon_cero!$1:$1,0)-1,COUNT(Curvas_cupon_cero!$A:$A)-2,1)),[1]!interpolar(B516,OFFSET(Curvas_cupon_cero!$A$1,1,0,COUNT(Curvas_cupon_cero!$A:$A)-2,1),OFFSET(Curvas_cupon_cero!$A$1,1,MATCH($B$7,Curvas_cupon_cero!$1:$1,0)-1,COUNT(Curvas_cupon_cero!$A:$A)-2,1))))</f>
        <v/>
      </c>
      <c r="D516" s="23" t="str">
        <f ca="1">IF(A516="","",IF($B$8="Sí",interpolar_alamb(H516,OFFSET(Curvas_cupon_cero!$A$1,1,0,COUNT(Curvas_cupon_cero!$A:$A)-2,1),OFFSET(Curvas_cupon_cero!$A$1,1,MATCH($B$7,Curvas_cupon_cero!$1:$1,0)-1,COUNT(Curvas_cupon_cero!$A:$A)-2,1)),[1]!interpolar(H516,OFFSET(Curvas_cupon_cero!$A$1,1,0,COUNT(Curvas_cupon_cero!$A:$A)-2,1),OFFSET(Curvas_cupon_cero!$A$1,1,MATCH($B$7,Curvas_cupon_cero!$1:$1,0)-1,COUNT(Curvas_cupon_cero!$A:$A)-2,1))))</f>
        <v/>
      </c>
      <c r="E516" s="23" t="str">
        <f t="shared" si="46"/>
        <v/>
      </c>
      <c r="F516" s="17" t="str">
        <f t="shared" si="44"/>
        <v/>
      </c>
      <c r="G516" s="18" t="str">
        <f t="shared" si="47"/>
        <v/>
      </c>
      <c r="H516" t="str">
        <f t="shared" si="48"/>
        <v/>
      </c>
      <c r="I516" s="23" t="str">
        <f ca="1">IF(A516="","",IF($B$8="Sí",interpolar_alamb(H516,OFFSET(Curvas_cupon_cero!$A$1,1,0,COUNT(Curvas_cupon_cero!$A:$A)-2,1),OFFSET(Curvas_cupon_cero!$A$1,1,MATCH($B$6,Curvas_cupon_cero!$1:$1,0)-1,COUNT(Curvas_cupon_cero!$A:$A)-2,1)),[1]!interpolar(H516,OFFSET(Curvas_cupon_cero!$A$1,1,0,COUNT(Curvas_cupon_cero!$A:$A)-2,1),OFFSET(Curvas_cupon_cero!$A$1,1,MATCH($B$6,Curvas_cupon_cero!$1:$1,0)-1,COUNT(Curvas_cupon_cero!$A:$A)-2,1))))</f>
        <v/>
      </c>
      <c r="J516" s="19" t="str">
        <f>IF(A516="","",F516/(1+I516*$B$5/360)^(COUNT(A$16:A516)-($B$5-$G$16)/$B$5))</f>
        <v/>
      </c>
    </row>
    <row r="517" spans="1:10" x14ac:dyDescent="0.2">
      <c r="A517" s="12" t="str">
        <f t="shared" si="45"/>
        <v/>
      </c>
      <c r="B517" t="str">
        <f t="shared" si="43"/>
        <v/>
      </c>
      <c r="C517" s="21" t="str">
        <f ca="1">IF(A517="","",IF($B$8="Sí",interpolar_alamb(B517,OFFSET(Curvas_cupon_cero!$A$1,1,0,COUNT(Curvas_cupon_cero!$A:$A)-2,1),OFFSET(Curvas_cupon_cero!$A$1,1,MATCH($B$7,Curvas_cupon_cero!$1:$1,0)-1,COUNT(Curvas_cupon_cero!$A:$A)-2,1)),[1]!interpolar(B517,OFFSET(Curvas_cupon_cero!$A$1,1,0,COUNT(Curvas_cupon_cero!$A:$A)-2,1),OFFSET(Curvas_cupon_cero!$A$1,1,MATCH($B$7,Curvas_cupon_cero!$1:$1,0)-1,COUNT(Curvas_cupon_cero!$A:$A)-2,1))))</f>
        <v/>
      </c>
      <c r="D517" s="23" t="str">
        <f ca="1">IF(A517="","",IF($B$8="Sí",interpolar_alamb(H517,OFFSET(Curvas_cupon_cero!$A$1,1,0,COUNT(Curvas_cupon_cero!$A:$A)-2,1),OFFSET(Curvas_cupon_cero!$A$1,1,MATCH($B$7,Curvas_cupon_cero!$1:$1,0)-1,COUNT(Curvas_cupon_cero!$A:$A)-2,1)),[1]!interpolar(H517,OFFSET(Curvas_cupon_cero!$A$1,1,0,COUNT(Curvas_cupon_cero!$A:$A)-2,1),OFFSET(Curvas_cupon_cero!$A$1,1,MATCH($B$7,Curvas_cupon_cero!$1:$1,0)-1,COUNT(Curvas_cupon_cero!$A:$A)-2,1))))</f>
        <v/>
      </c>
      <c r="E517" s="23" t="str">
        <f t="shared" si="46"/>
        <v/>
      </c>
      <c r="F517" s="17" t="str">
        <f t="shared" si="44"/>
        <v/>
      </c>
      <c r="G517" s="18" t="str">
        <f t="shared" si="47"/>
        <v/>
      </c>
      <c r="H517" t="str">
        <f t="shared" si="48"/>
        <v/>
      </c>
      <c r="I517" s="23" t="str">
        <f ca="1">IF(A517="","",IF($B$8="Sí",interpolar_alamb(H517,OFFSET(Curvas_cupon_cero!$A$1,1,0,COUNT(Curvas_cupon_cero!$A:$A)-2,1),OFFSET(Curvas_cupon_cero!$A$1,1,MATCH($B$6,Curvas_cupon_cero!$1:$1,0)-1,COUNT(Curvas_cupon_cero!$A:$A)-2,1)),[1]!interpolar(H517,OFFSET(Curvas_cupon_cero!$A$1,1,0,COUNT(Curvas_cupon_cero!$A:$A)-2,1),OFFSET(Curvas_cupon_cero!$A$1,1,MATCH($B$6,Curvas_cupon_cero!$1:$1,0)-1,COUNT(Curvas_cupon_cero!$A:$A)-2,1))))</f>
        <v/>
      </c>
      <c r="J517" s="19" t="str">
        <f>IF(A517="","",F517/(1+I517*$B$5/360)^(COUNT(A$16:A517)-($B$5-$G$16)/$B$5))</f>
        <v/>
      </c>
    </row>
    <row r="518" spans="1:10" x14ac:dyDescent="0.2">
      <c r="A518" s="12" t="str">
        <f t="shared" si="45"/>
        <v/>
      </c>
      <c r="B518" t="str">
        <f t="shared" si="43"/>
        <v/>
      </c>
      <c r="C518" s="21" t="str">
        <f ca="1">IF(A518="","",IF($B$8="Sí",interpolar_alamb(B518,OFFSET(Curvas_cupon_cero!$A$1,1,0,COUNT(Curvas_cupon_cero!$A:$A)-2,1),OFFSET(Curvas_cupon_cero!$A$1,1,MATCH($B$7,Curvas_cupon_cero!$1:$1,0)-1,COUNT(Curvas_cupon_cero!$A:$A)-2,1)),[1]!interpolar(B518,OFFSET(Curvas_cupon_cero!$A$1,1,0,COUNT(Curvas_cupon_cero!$A:$A)-2,1),OFFSET(Curvas_cupon_cero!$A$1,1,MATCH($B$7,Curvas_cupon_cero!$1:$1,0)-1,COUNT(Curvas_cupon_cero!$A:$A)-2,1))))</f>
        <v/>
      </c>
      <c r="D518" s="23" t="str">
        <f ca="1">IF(A518="","",IF($B$8="Sí",interpolar_alamb(H518,OFFSET(Curvas_cupon_cero!$A$1,1,0,COUNT(Curvas_cupon_cero!$A:$A)-2,1),OFFSET(Curvas_cupon_cero!$A$1,1,MATCH($B$7,Curvas_cupon_cero!$1:$1,0)-1,COUNT(Curvas_cupon_cero!$A:$A)-2,1)),[1]!interpolar(H518,OFFSET(Curvas_cupon_cero!$A$1,1,0,COUNT(Curvas_cupon_cero!$A:$A)-2,1),OFFSET(Curvas_cupon_cero!$A$1,1,MATCH($B$7,Curvas_cupon_cero!$1:$1,0)-1,COUNT(Curvas_cupon_cero!$A:$A)-2,1))))</f>
        <v/>
      </c>
      <c r="E518" s="23" t="str">
        <f t="shared" si="46"/>
        <v/>
      </c>
      <c r="F518" s="17" t="str">
        <f t="shared" si="44"/>
        <v/>
      </c>
      <c r="G518" s="18" t="str">
        <f t="shared" si="47"/>
        <v/>
      </c>
      <c r="H518" t="str">
        <f t="shared" si="48"/>
        <v/>
      </c>
      <c r="I518" s="23" t="str">
        <f ca="1">IF(A518="","",IF($B$8="Sí",interpolar_alamb(H518,OFFSET(Curvas_cupon_cero!$A$1,1,0,COUNT(Curvas_cupon_cero!$A:$A)-2,1),OFFSET(Curvas_cupon_cero!$A$1,1,MATCH($B$6,Curvas_cupon_cero!$1:$1,0)-1,COUNT(Curvas_cupon_cero!$A:$A)-2,1)),[1]!interpolar(H518,OFFSET(Curvas_cupon_cero!$A$1,1,0,COUNT(Curvas_cupon_cero!$A:$A)-2,1),OFFSET(Curvas_cupon_cero!$A$1,1,MATCH($B$6,Curvas_cupon_cero!$1:$1,0)-1,COUNT(Curvas_cupon_cero!$A:$A)-2,1))))</f>
        <v/>
      </c>
      <c r="J518" s="19" t="str">
        <f>IF(A518="","",F518/(1+I518*$B$5/360)^(COUNT(A$16:A518)-($B$5-$G$16)/$B$5))</f>
        <v/>
      </c>
    </row>
    <row r="519" spans="1:10" x14ac:dyDescent="0.2">
      <c r="A519" s="12" t="str">
        <f t="shared" si="45"/>
        <v/>
      </c>
      <c r="B519" t="str">
        <f t="shared" si="43"/>
        <v/>
      </c>
      <c r="C519" s="21" t="str">
        <f ca="1">IF(A519="","",IF($B$8="Sí",interpolar_alamb(B519,OFFSET(Curvas_cupon_cero!$A$1,1,0,COUNT(Curvas_cupon_cero!$A:$A)-2,1),OFFSET(Curvas_cupon_cero!$A$1,1,MATCH($B$7,Curvas_cupon_cero!$1:$1,0)-1,COUNT(Curvas_cupon_cero!$A:$A)-2,1)),[1]!interpolar(B519,OFFSET(Curvas_cupon_cero!$A$1,1,0,COUNT(Curvas_cupon_cero!$A:$A)-2,1),OFFSET(Curvas_cupon_cero!$A$1,1,MATCH($B$7,Curvas_cupon_cero!$1:$1,0)-1,COUNT(Curvas_cupon_cero!$A:$A)-2,1))))</f>
        <v/>
      </c>
      <c r="D519" s="23" t="str">
        <f ca="1">IF(A519="","",IF($B$8="Sí",interpolar_alamb(H519,OFFSET(Curvas_cupon_cero!$A$1,1,0,COUNT(Curvas_cupon_cero!$A:$A)-2,1),OFFSET(Curvas_cupon_cero!$A$1,1,MATCH($B$7,Curvas_cupon_cero!$1:$1,0)-1,COUNT(Curvas_cupon_cero!$A:$A)-2,1)),[1]!interpolar(H519,OFFSET(Curvas_cupon_cero!$A$1,1,0,COUNT(Curvas_cupon_cero!$A:$A)-2,1),OFFSET(Curvas_cupon_cero!$A$1,1,MATCH($B$7,Curvas_cupon_cero!$1:$1,0)-1,COUNT(Curvas_cupon_cero!$A:$A)-2,1))))</f>
        <v/>
      </c>
      <c r="E519" s="23" t="str">
        <f t="shared" si="46"/>
        <v/>
      </c>
      <c r="F519" s="17" t="str">
        <f t="shared" si="44"/>
        <v/>
      </c>
      <c r="G519" s="18" t="str">
        <f t="shared" si="47"/>
        <v/>
      </c>
      <c r="H519" t="str">
        <f t="shared" si="48"/>
        <v/>
      </c>
      <c r="I519" s="23" t="str">
        <f ca="1">IF(A519="","",IF($B$8="Sí",interpolar_alamb(H519,OFFSET(Curvas_cupon_cero!$A$1,1,0,COUNT(Curvas_cupon_cero!$A:$A)-2,1),OFFSET(Curvas_cupon_cero!$A$1,1,MATCH($B$6,Curvas_cupon_cero!$1:$1,0)-1,COUNT(Curvas_cupon_cero!$A:$A)-2,1)),[1]!interpolar(H519,OFFSET(Curvas_cupon_cero!$A$1,1,0,COUNT(Curvas_cupon_cero!$A:$A)-2,1),OFFSET(Curvas_cupon_cero!$A$1,1,MATCH($B$6,Curvas_cupon_cero!$1:$1,0)-1,COUNT(Curvas_cupon_cero!$A:$A)-2,1))))</f>
        <v/>
      </c>
      <c r="J519" s="19" t="str">
        <f>IF(A519="","",F519/(1+I519*$B$5/360)^(COUNT(A$16:A519)-($B$5-$G$16)/$B$5))</f>
        <v/>
      </c>
    </row>
    <row r="520" spans="1:10" x14ac:dyDescent="0.2">
      <c r="A520" s="12" t="str">
        <f t="shared" si="45"/>
        <v/>
      </c>
      <c r="B520" t="str">
        <f t="shared" si="43"/>
        <v/>
      </c>
      <c r="C520" s="21" t="str">
        <f ca="1">IF(A520="","",IF($B$8="Sí",interpolar_alamb(B520,OFFSET(Curvas_cupon_cero!$A$1,1,0,COUNT(Curvas_cupon_cero!$A:$A)-2,1),OFFSET(Curvas_cupon_cero!$A$1,1,MATCH($B$7,Curvas_cupon_cero!$1:$1,0)-1,COUNT(Curvas_cupon_cero!$A:$A)-2,1)),[1]!interpolar(B520,OFFSET(Curvas_cupon_cero!$A$1,1,0,COUNT(Curvas_cupon_cero!$A:$A)-2,1),OFFSET(Curvas_cupon_cero!$A$1,1,MATCH($B$7,Curvas_cupon_cero!$1:$1,0)-1,COUNT(Curvas_cupon_cero!$A:$A)-2,1))))</f>
        <v/>
      </c>
      <c r="D520" s="23" t="str">
        <f ca="1">IF(A520="","",IF($B$8="Sí",interpolar_alamb(H520,OFFSET(Curvas_cupon_cero!$A$1,1,0,COUNT(Curvas_cupon_cero!$A:$A)-2,1),OFFSET(Curvas_cupon_cero!$A$1,1,MATCH($B$7,Curvas_cupon_cero!$1:$1,0)-1,COUNT(Curvas_cupon_cero!$A:$A)-2,1)),[1]!interpolar(H520,OFFSET(Curvas_cupon_cero!$A$1,1,0,COUNT(Curvas_cupon_cero!$A:$A)-2,1),OFFSET(Curvas_cupon_cero!$A$1,1,MATCH($B$7,Curvas_cupon_cero!$1:$1,0)-1,COUNT(Curvas_cupon_cero!$A:$A)-2,1))))</f>
        <v/>
      </c>
      <c r="E520" s="23" t="str">
        <f t="shared" si="46"/>
        <v/>
      </c>
      <c r="F520" s="17" t="str">
        <f t="shared" si="44"/>
        <v/>
      </c>
      <c r="G520" s="18" t="str">
        <f t="shared" si="47"/>
        <v/>
      </c>
      <c r="H520" t="str">
        <f t="shared" si="48"/>
        <v/>
      </c>
      <c r="I520" s="23" t="str">
        <f ca="1">IF(A520="","",IF($B$8="Sí",interpolar_alamb(H520,OFFSET(Curvas_cupon_cero!$A$1,1,0,COUNT(Curvas_cupon_cero!$A:$A)-2,1),OFFSET(Curvas_cupon_cero!$A$1,1,MATCH($B$6,Curvas_cupon_cero!$1:$1,0)-1,COUNT(Curvas_cupon_cero!$A:$A)-2,1)),[1]!interpolar(H520,OFFSET(Curvas_cupon_cero!$A$1,1,0,COUNT(Curvas_cupon_cero!$A:$A)-2,1),OFFSET(Curvas_cupon_cero!$A$1,1,MATCH($B$6,Curvas_cupon_cero!$1:$1,0)-1,COUNT(Curvas_cupon_cero!$A:$A)-2,1))))</f>
        <v/>
      </c>
      <c r="J520" s="19" t="str">
        <f>IF(A520="","",F520/(1+I520*$B$5/360)^(COUNT(A$16:A520)-($B$5-$G$16)/$B$5))</f>
        <v/>
      </c>
    </row>
    <row r="521" spans="1:10" x14ac:dyDescent="0.2">
      <c r="A521" s="12" t="str">
        <f t="shared" si="45"/>
        <v/>
      </c>
      <c r="B521" t="str">
        <f t="shared" si="43"/>
        <v/>
      </c>
      <c r="C521" s="21" t="str">
        <f ca="1">IF(A521="","",IF($B$8="Sí",interpolar_alamb(B521,OFFSET(Curvas_cupon_cero!$A$1,1,0,COUNT(Curvas_cupon_cero!$A:$A)-2,1),OFFSET(Curvas_cupon_cero!$A$1,1,MATCH($B$7,Curvas_cupon_cero!$1:$1,0)-1,COUNT(Curvas_cupon_cero!$A:$A)-2,1)),[1]!interpolar(B521,OFFSET(Curvas_cupon_cero!$A$1,1,0,COUNT(Curvas_cupon_cero!$A:$A)-2,1),OFFSET(Curvas_cupon_cero!$A$1,1,MATCH($B$7,Curvas_cupon_cero!$1:$1,0)-1,COUNT(Curvas_cupon_cero!$A:$A)-2,1))))</f>
        <v/>
      </c>
      <c r="D521" s="23" t="str">
        <f ca="1">IF(A521="","",IF($B$8="Sí",interpolar_alamb(H521,OFFSET(Curvas_cupon_cero!$A$1,1,0,COUNT(Curvas_cupon_cero!$A:$A)-2,1),OFFSET(Curvas_cupon_cero!$A$1,1,MATCH($B$7,Curvas_cupon_cero!$1:$1,0)-1,COUNT(Curvas_cupon_cero!$A:$A)-2,1)),[1]!interpolar(H521,OFFSET(Curvas_cupon_cero!$A$1,1,0,COUNT(Curvas_cupon_cero!$A:$A)-2,1),OFFSET(Curvas_cupon_cero!$A$1,1,MATCH($B$7,Curvas_cupon_cero!$1:$1,0)-1,COUNT(Curvas_cupon_cero!$A:$A)-2,1))))</f>
        <v/>
      </c>
      <c r="E521" s="23" t="str">
        <f t="shared" si="46"/>
        <v/>
      </c>
      <c r="F521" s="17" t="str">
        <f t="shared" si="44"/>
        <v/>
      </c>
      <c r="G521" s="18" t="str">
        <f t="shared" si="47"/>
        <v/>
      </c>
      <c r="H521" t="str">
        <f t="shared" si="48"/>
        <v/>
      </c>
      <c r="I521" s="23" t="str">
        <f ca="1">IF(A521="","",IF($B$8="Sí",interpolar_alamb(H521,OFFSET(Curvas_cupon_cero!$A$1,1,0,COUNT(Curvas_cupon_cero!$A:$A)-2,1),OFFSET(Curvas_cupon_cero!$A$1,1,MATCH($B$6,Curvas_cupon_cero!$1:$1,0)-1,COUNT(Curvas_cupon_cero!$A:$A)-2,1)),[1]!interpolar(H521,OFFSET(Curvas_cupon_cero!$A$1,1,0,COUNT(Curvas_cupon_cero!$A:$A)-2,1),OFFSET(Curvas_cupon_cero!$A$1,1,MATCH($B$6,Curvas_cupon_cero!$1:$1,0)-1,COUNT(Curvas_cupon_cero!$A:$A)-2,1))))</f>
        <v/>
      </c>
      <c r="J521" s="19" t="str">
        <f>IF(A521="","",F521/(1+I521*$B$5/360)^(COUNT(A$16:A521)-($B$5-$G$16)/$B$5))</f>
        <v/>
      </c>
    </row>
    <row r="522" spans="1:10" x14ac:dyDescent="0.2">
      <c r="A522" s="12" t="str">
        <f t="shared" si="45"/>
        <v/>
      </c>
      <c r="B522" t="str">
        <f t="shared" si="43"/>
        <v/>
      </c>
      <c r="C522" s="21" t="str">
        <f ca="1">IF(A522="","",IF($B$8="Sí",interpolar_alamb(B522,OFFSET(Curvas_cupon_cero!$A$1,1,0,COUNT(Curvas_cupon_cero!$A:$A)-2,1),OFFSET(Curvas_cupon_cero!$A$1,1,MATCH($B$7,Curvas_cupon_cero!$1:$1,0)-1,COUNT(Curvas_cupon_cero!$A:$A)-2,1)),[1]!interpolar(B522,OFFSET(Curvas_cupon_cero!$A$1,1,0,COUNT(Curvas_cupon_cero!$A:$A)-2,1),OFFSET(Curvas_cupon_cero!$A$1,1,MATCH($B$7,Curvas_cupon_cero!$1:$1,0)-1,COUNT(Curvas_cupon_cero!$A:$A)-2,1))))</f>
        <v/>
      </c>
      <c r="D522" s="23" t="str">
        <f ca="1">IF(A522="","",IF($B$8="Sí",interpolar_alamb(H522,OFFSET(Curvas_cupon_cero!$A$1,1,0,COUNT(Curvas_cupon_cero!$A:$A)-2,1),OFFSET(Curvas_cupon_cero!$A$1,1,MATCH($B$7,Curvas_cupon_cero!$1:$1,0)-1,COUNT(Curvas_cupon_cero!$A:$A)-2,1)),[1]!interpolar(H522,OFFSET(Curvas_cupon_cero!$A$1,1,0,COUNT(Curvas_cupon_cero!$A:$A)-2,1),OFFSET(Curvas_cupon_cero!$A$1,1,MATCH($B$7,Curvas_cupon_cero!$1:$1,0)-1,COUNT(Curvas_cupon_cero!$A:$A)-2,1))))</f>
        <v/>
      </c>
      <c r="E522" s="23" t="str">
        <f t="shared" si="46"/>
        <v/>
      </c>
      <c r="F522" s="17" t="str">
        <f t="shared" si="44"/>
        <v/>
      </c>
      <c r="G522" s="18" t="str">
        <f t="shared" si="47"/>
        <v/>
      </c>
      <c r="H522" t="str">
        <f t="shared" si="48"/>
        <v/>
      </c>
      <c r="I522" s="23" t="str">
        <f ca="1">IF(A522="","",IF($B$8="Sí",interpolar_alamb(H522,OFFSET(Curvas_cupon_cero!$A$1,1,0,COUNT(Curvas_cupon_cero!$A:$A)-2,1),OFFSET(Curvas_cupon_cero!$A$1,1,MATCH($B$6,Curvas_cupon_cero!$1:$1,0)-1,COUNT(Curvas_cupon_cero!$A:$A)-2,1)),[1]!interpolar(H522,OFFSET(Curvas_cupon_cero!$A$1,1,0,COUNT(Curvas_cupon_cero!$A:$A)-2,1),OFFSET(Curvas_cupon_cero!$A$1,1,MATCH($B$6,Curvas_cupon_cero!$1:$1,0)-1,COUNT(Curvas_cupon_cero!$A:$A)-2,1))))</f>
        <v/>
      </c>
      <c r="J522" s="19" t="str">
        <f>IF(A522="","",F522/(1+I522*$B$5/360)^(COUNT(A$16:A522)-($B$5-$G$16)/$B$5))</f>
        <v/>
      </c>
    </row>
    <row r="523" spans="1:10" x14ac:dyDescent="0.2">
      <c r="A523" s="12" t="str">
        <f t="shared" si="45"/>
        <v/>
      </c>
      <c r="B523" t="str">
        <f t="shared" si="43"/>
        <v/>
      </c>
      <c r="C523" s="21" t="str">
        <f ca="1">IF(A523="","",IF($B$8="Sí",interpolar_alamb(B523,OFFSET(Curvas_cupon_cero!$A$1,1,0,COUNT(Curvas_cupon_cero!$A:$A)-2,1),OFFSET(Curvas_cupon_cero!$A$1,1,MATCH($B$7,Curvas_cupon_cero!$1:$1,0)-1,COUNT(Curvas_cupon_cero!$A:$A)-2,1)),[1]!interpolar(B523,OFFSET(Curvas_cupon_cero!$A$1,1,0,COUNT(Curvas_cupon_cero!$A:$A)-2,1),OFFSET(Curvas_cupon_cero!$A$1,1,MATCH($B$7,Curvas_cupon_cero!$1:$1,0)-1,COUNT(Curvas_cupon_cero!$A:$A)-2,1))))</f>
        <v/>
      </c>
      <c r="D523" s="23" t="str">
        <f ca="1">IF(A523="","",IF($B$8="Sí",interpolar_alamb(H523,OFFSET(Curvas_cupon_cero!$A$1,1,0,COUNT(Curvas_cupon_cero!$A:$A)-2,1),OFFSET(Curvas_cupon_cero!$A$1,1,MATCH($B$7,Curvas_cupon_cero!$1:$1,0)-1,COUNT(Curvas_cupon_cero!$A:$A)-2,1)),[1]!interpolar(H523,OFFSET(Curvas_cupon_cero!$A$1,1,0,COUNT(Curvas_cupon_cero!$A:$A)-2,1),OFFSET(Curvas_cupon_cero!$A$1,1,MATCH($B$7,Curvas_cupon_cero!$1:$1,0)-1,COUNT(Curvas_cupon_cero!$A:$A)-2,1))))</f>
        <v/>
      </c>
      <c r="E523" s="23" t="str">
        <f t="shared" si="46"/>
        <v/>
      </c>
      <c r="F523" s="17" t="str">
        <f t="shared" si="44"/>
        <v/>
      </c>
      <c r="G523" s="18" t="str">
        <f t="shared" si="47"/>
        <v/>
      </c>
      <c r="H523" t="str">
        <f t="shared" si="48"/>
        <v/>
      </c>
      <c r="I523" s="23" t="str">
        <f ca="1">IF(A523="","",IF($B$8="Sí",interpolar_alamb(H523,OFFSET(Curvas_cupon_cero!$A$1,1,0,COUNT(Curvas_cupon_cero!$A:$A)-2,1),OFFSET(Curvas_cupon_cero!$A$1,1,MATCH($B$6,Curvas_cupon_cero!$1:$1,0)-1,COUNT(Curvas_cupon_cero!$A:$A)-2,1)),[1]!interpolar(H523,OFFSET(Curvas_cupon_cero!$A$1,1,0,COUNT(Curvas_cupon_cero!$A:$A)-2,1),OFFSET(Curvas_cupon_cero!$A$1,1,MATCH($B$6,Curvas_cupon_cero!$1:$1,0)-1,COUNT(Curvas_cupon_cero!$A:$A)-2,1))))</f>
        <v/>
      </c>
      <c r="J523" s="19" t="str">
        <f>IF(A523="","",F523/(1+I523*$B$5/360)^(COUNT(A$16:A523)-($B$5-$G$16)/$B$5))</f>
        <v/>
      </c>
    </row>
    <row r="524" spans="1:10" x14ac:dyDescent="0.2">
      <c r="A524" s="12" t="str">
        <f t="shared" si="45"/>
        <v/>
      </c>
      <c r="B524" t="str">
        <f t="shared" si="43"/>
        <v/>
      </c>
      <c r="C524" s="21" t="str">
        <f ca="1">IF(A524="","",IF($B$8="Sí",interpolar_alamb(B524,OFFSET(Curvas_cupon_cero!$A$1,1,0,COUNT(Curvas_cupon_cero!$A:$A)-2,1),OFFSET(Curvas_cupon_cero!$A$1,1,MATCH($B$7,Curvas_cupon_cero!$1:$1,0)-1,COUNT(Curvas_cupon_cero!$A:$A)-2,1)),[1]!interpolar(B524,OFFSET(Curvas_cupon_cero!$A$1,1,0,COUNT(Curvas_cupon_cero!$A:$A)-2,1),OFFSET(Curvas_cupon_cero!$A$1,1,MATCH($B$7,Curvas_cupon_cero!$1:$1,0)-1,COUNT(Curvas_cupon_cero!$A:$A)-2,1))))</f>
        <v/>
      </c>
      <c r="D524" s="23" t="str">
        <f ca="1">IF(A524="","",IF($B$8="Sí",interpolar_alamb(H524,OFFSET(Curvas_cupon_cero!$A$1,1,0,COUNT(Curvas_cupon_cero!$A:$A)-2,1),OFFSET(Curvas_cupon_cero!$A$1,1,MATCH($B$7,Curvas_cupon_cero!$1:$1,0)-1,COUNT(Curvas_cupon_cero!$A:$A)-2,1)),[1]!interpolar(H524,OFFSET(Curvas_cupon_cero!$A$1,1,0,COUNT(Curvas_cupon_cero!$A:$A)-2,1),OFFSET(Curvas_cupon_cero!$A$1,1,MATCH($B$7,Curvas_cupon_cero!$1:$1,0)-1,COUNT(Curvas_cupon_cero!$A:$A)-2,1))))</f>
        <v/>
      </c>
      <c r="E524" s="23" t="str">
        <f t="shared" si="46"/>
        <v/>
      </c>
      <c r="F524" s="17" t="str">
        <f t="shared" si="44"/>
        <v/>
      </c>
      <c r="G524" s="18" t="str">
        <f t="shared" si="47"/>
        <v/>
      </c>
      <c r="H524" t="str">
        <f t="shared" si="48"/>
        <v/>
      </c>
      <c r="I524" s="23" t="str">
        <f ca="1">IF(A524="","",IF($B$8="Sí",interpolar_alamb(H524,OFFSET(Curvas_cupon_cero!$A$1,1,0,COUNT(Curvas_cupon_cero!$A:$A)-2,1),OFFSET(Curvas_cupon_cero!$A$1,1,MATCH($B$6,Curvas_cupon_cero!$1:$1,0)-1,COUNT(Curvas_cupon_cero!$A:$A)-2,1)),[1]!interpolar(H524,OFFSET(Curvas_cupon_cero!$A$1,1,0,COUNT(Curvas_cupon_cero!$A:$A)-2,1),OFFSET(Curvas_cupon_cero!$A$1,1,MATCH($B$6,Curvas_cupon_cero!$1:$1,0)-1,COUNT(Curvas_cupon_cero!$A:$A)-2,1))))</f>
        <v/>
      </c>
      <c r="J524" s="19" t="str">
        <f>IF(A524="","",F524/(1+I524*$B$5/360)^(COUNT(A$16:A524)-($B$5-$G$16)/$B$5))</f>
        <v/>
      </c>
    </row>
    <row r="525" spans="1:10" x14ac:dyDescent="0.2">
      <c r="A525" s="12" t="str">
        <f t="shared" si="45"/>
        <v/>
      </c>
      <c r="B525" t="str">
        <f t="shared" si="43"/>
        <v/>
      </c>
      <c r="C525" s="21" t="str">
        <f ca="1">IF(A525="","",IF($B$8="Sí",interpolar_alamb(B525,OFFSET(Curvas_cupon_cero!$A$1,1,0,COUNT(Curvas_cupon_cero!$A:$A)-2,1),OFFSET(Curvas_cupon_cero!$A$1,1,MATCH($B$7,Curvas_cupon_cero!$1:$1,0)-1,COUNT(Curvas_cupon_cero!$A:$A)-2,1)),[1]!interpolar(B525,OFFSET(Curvas_cupon_cero!$A$1,1,0,COUNT(Curvas_cupon_cero!$A:$A)-2,1),OFFSET(Curvas_cupon_cero!$A$1,1,MATCH($B$7,Curvas_cupon_cero!$1:$1,0)-1,COUNT(Curvas_cupon_cero!$A:$A)-2,1))))</f>
        <v/>
      </c>
      <c r="D525" s="23" t="str">
        <f ca="1">IF(A525="","",IF($B$8="Sí",interpolar_alamb(H525,OFFSET(Curvas_cupon_cero!$A$1,1,0,COUNT(Curvas_cupon_cero!$A:$A)-2,1),OFFSET(Curvas_cupon_cero!$A$1,1,MATCH($B$7,Curvas_cupon_cero!$1:$1,0)-1,COUNT(Curvas_cupon_cero!$A:$A)-2,1)),[1]!interpolar(H525,OFFSET(Curvas_cupon_cero!$A$1,1,0,COUNT(Curvas_cupon_cero!$A:$A)-2,1),OFFSET(Curvas_cupon_cero!$A$1,1,MATCH($B$7,Curvas_cupon_cero!$1:$1,0)-1,COUNT(Curvas_cupon_cero!$A:$A)-2,1))))</f>
        <v/>
      </c>
      <c r="E525" s="23" t="str">
        <f t="shared" si="46"/>
        <v/>
      </c>
      <c r="F525" s="17" t="str">
        <f t="shared" si="44"/>
        <v/>
      </c>
      <c r="G525" s="18" t="str">
        <f t="shared" si="47"/>
        <v/>
      </c>
      <c r="H525" t="str">
        <f t="shared" si="48"/>
        <v/>
      </c>
      <c r="I525" s="23" t="str">
        <f ca="1">IF(A525="","",IF($B$8="Sí",interpolar_alamb(H525,OFFSET(Curvas_cupon_cero!$A$1,1,0,COUNT(Curvas_cupon_cero!$A:$A)-2,1),OFFSET(Curvas_cupon_cero!$A$1,1,MATCH($B$6,Curvas_cupon_cero!$1:$1,0)-1,COUNT(Curvas_cupon_cero!$A:$A)-2,1)),[1]!interpolar(H525,OFFSET(Curvas_cupon_cero!$A$1,1,0,COUNT(Curvas_cupon_cero!$A:$A)-2,1),OFFSET(Curvas_cupon_cero!$A$1,1,MATCH($B$6,Curvas_cupon_cero!$1:$1,0)-1,COUNT(Curvas_cupon_cero!$A:$A)-2,1))))</f>
        <v/>
      </c>
      <c r="J525" s="19" t="str">
        <f>IF(A525="","",F525/(1+I525*$B$5/360)^(COUNT(A$16:A525)-($B$5-$G$16)/$B$5))</f>
        <v/>
      </c>
    </row>
    <row r="526" spans="1:10" x14ac:dyDescent="0.2">
      <c r="A526" s="12" t="str">
        <f t="shared" si="45"/>
        <v/>
      </c>
      <c r="B526" t="str">
        <f t="shared" ref="B526:B589" si="49">IF(A526="","",MAX(H526-$B$5,0))</f>
        <v/>
      </c>
      <c r="C526" s="21" t="str">
        <f ca="1">IF(A526="","",IF($B$8="Sí",interpolar_alamb(B526,OFFSET(Curvas_cupon_cero!$A$1,1,0,COUNT(Curvas_cupon_cero!$A:$A)-2,1),OFFSET(Curvas_cupon_cero!$A$1,1,MATCH($B$7,Curvas_cupon_cero!$1:$1,0)-1,COUNT(Curvas_cupon_cero!$A:$A)-2,1)),[1]!interpolar(B526,OFFSET(Curvas_cupon_cero!$A$1,1,0,COUNT(Curvas_cupon_cero!$A:$A)-2,1),OFFSET(Curvas_cupon_cero!$A$1,1,MATCH($B$7,Curvas_cupon_cero!$1:$1,0)-1,COUNT(Curvas_cupon_cero!$A:$A)-2,1))))</f>
        <v/>
      </c>
      <c r="D526" s="23" t="str">
        <f ca="1">IF(A526="","",IF($B$8="Sí",interpolar_alamb(H526,OFFSET(Curvas_cupon_cero!$A$1,1,0,COUNT(Curvas_cupon_cero!$A:$A)-2,1),OFFSET(Curvas_cupon_cero!$A$1,1,MATCH($B$7,Curvas_cupon_cero!$1:$1,0)-1,COUNT(Curvas_cupon_cero!$A:$A)-2,1)),[1]!interpolar(H526,OFFSET(Curvas_cupon_cero!$A$1,1,0,COUNT(Curvas_cupon_cero!$A:$A)-2,1),OFFSET(Curvas_cupon_cero!$A$1,1,MATCH($B$7,Curvas_cupon_cero!$1:$1,0)-1,COUNT(Curvas_cupon_cero!$A:$A)-2,1))))</f>
        <v/>
      </c>
      <c r="E526" s="23" t="str">
        <f t="shared" si="46"/>
        <v/>
      </c>
      <c r="F526" s="17" t="str">
        <f t="shared" ref="F526:F589" si="50">IF(A526="","",IF(A526=$B$4,$B$1*$B$2+E526*$B$5/360*$B$1*$B$2, E526*$B$5/360*$B$1*$B$2))</f>
        <v/>
      </c>
      <c r="G526" s="18" t="str">
        <f t="shared" si="47"/>
        <v/>
      </c>
      <c r="H526" t="str">
        <f t="shared" si="48"/>
        <v/>
      </c>
      <c r="I526" s="23" t="str">
        <f ca="1">IF(A526="","",IF($B$8="Sí",interpolar_alamb(H526,OFFSET(Curvas_cupon_cero!$A$1,1,0,COUNT(Curvas_cupon_cero!$A:$A)-2,1),OFFSET(Curvas_cupon_cero!$A$1,1,MATCH($B$6,Curvas_cupon_cero!$1:$1,0)-1,COUNT(Curvas_cupon_cero!$A:$A)-2,1)),[1]!interpolar(H526,OFFSET(Curvas_cupon_cero!$A$1,1,0,COUNT(Curvas_cupon_cero!$A:$A)-2,1),OFFSET(Curvas_cupon_cero!$A$1,1,MATCH($B$6,Curvas_cupon_cero!$1:$1,0)-1,COUNT(Curvas_cupon_cero!$A:$A)-2,1))))</f>
        <v/>
      </c>
      <c r="J526" s="19" t="str">
        <f>IF(A526="","",F526/(1+I526*$B$5/360)^(COUNT(A$16:A526)-($B$5-$G$16)/$B$5))</f>
        <v/>
      </c>
    </row>
    <row r="527" spans="1:10" x14ac:dyDescent="0.2">
      <c r="A527" s="12" t="str">
        <f t="shared" ref="A527:A590" si="51">IF(A526="","",IF((A526+$B$5)&gt;$B$4,"",(A526+$B$5)))</f>
        <v/>
      </c>
      <c r="B527" t="str">
        <f t="shared" si="49"/>
        <v/>
      </c>
      <c r="C527" s="21" t="str">
        <f ca="1">IF(A527="","",IF($B$8="Sí",interpolar_alamb(B527,OFFSET(Curvas_cupon_cero!$A$1,1,0,COUNT(Curvas_cupon_cero!$A:$A)-2,1),OFFSET(Curvas_cupon_cero!$A$1,1,MATCH($B$7,Curvas_cupon_cero!$1:$1,0)-1,COUNT(Curvas_cupon_cero!$A:$A)-2,1)),[1]!interpolar(B527,OFFSET(Curvas_cupon_cero!$A$1,1,0,COUNT(Curvas_cupon_cero!$A:$A)-2,1),OFFSET(Curvas_cupon_cero!$A$1,1,MATCH($B$7,Curvas_cupon_cero!$1:$1,0)-1,COUNT(Curvas_cupon_cero!$A:$A)-2,1))))</f>
        <v/>
      </c>
      <c r="D527" s="23" t="str">
        <f ca="1">IF(A527="","",IF($B$8="Sí",interpolar_alamb(H527,OFFSET(Curvas_cupon_cero!$A$1,1,0,COUNT(Curvas_cupon_cero!$A:$A)-2,1),OFFSET(Curvas_cupon_cero!$A$1,1,MATCH($B$7,Curvas_cupon_cero!$1:$1,0)-1,COUNT(Curvas_cupon_cero!$A:$A)-2,1)),[1]!interpolar(H527,OFFSET(Curvas_cupon_cero!$A$1,1,0,COUNT(Curvas_cupon_cero!$A:$A)-2,1),OFFSET(Curvas_cupon_cero!$A$1,1,MATCH($B$7,Curvas_cupon_cero!$1:$1,0)-1,COUNT(Curvas_cupon_cero!$A:$A)-2,1))))</f>
        <v/>
      </c>
      <c r="E527" s="23" t="str">
        <f t="shared" ref="E527:E590" si="52">IF(A527="","",((1+D527*H527/360)/(1+C527*B527/360)-1)*(360/(H527-B527)))</f>
        <v/>
      </c>
      <c r="F527" s="17" t="str">
        <f t="shared" si="50"/>
        <v/>
      </c>
      <c r="G527" s="18" t="str">
        <f t="shared" ref="G527:G590" si="53">IF(A527="","",$B$5)</f>
        <v/>
      </c>
      <c r="H527" t="str">
        <f t="shared" ref="H527:H590" si="54">IF(A527="","",H526+G527)</f>
        <v/>
      </c>
      <c r="I527" s="23" t="str">
        <f ca="1">IF(A527="","",IF($B$8="Sí",interpolar_alamb(H527,OFFSET(Curvas_cupon_cero!$A$1,1,0,COUNT(Curvas_cupon_cero!$A:$A)-2,1),OFFSET(Curvas_cupon_cero!$A$1,1,MATCH($B$6,Curvas_cupon_cero!$1:$1,0)-1,COUNT(Curvas_cupon_cero!$A:$A)-2,1)),[1]!interpolar(H527,OFFSET(Curvas_cupon_cero!$A$1,1,0,COUNT(Curvas_cupon_cero!$A:$A)-2,1),OFFSET(Curvas_cupon_cero!$A$1,1,MATCH($B$6,Curvas_cupon_cero!$1:$1,0)-1,COUNT(Curvas_cupon_cero!$A:$A)-2,1))))</f>
        <v/>
      </c>
      <c r="J527" s="19" t="str">
        <f>IF(A527="","",F527/(1+I527*$B$5/360)^(COUNT(A$16:A527)-($B$5-$G$16)/$B$5))</f>
        <v/>
      </c>
    </row>
    <row r="528" spans="1:10" x14ac:dyDescent="0.2">
      <c r="A528" s="12" t="str">
        <f t="shared" si="51"/>
        <v/>
      </c>
      <c r="B528" t="str">
        <f t="shared" si="49"/>
        <v/>
      </c>
      <c r="C528" s="21" t="str">
        <f ca="1">IF(A528="","",IF($B$8="Sí",interpolar_alamb(B528,OFFSET(Curvas_cupon_cero!$A$1,1,0,COUNT(Curvas_cupon_cero!$A:$A)-2,1),OFFSET(Curvas_cupon_cero!$A$1,1,MATCH($B$7,Curvas_cupon_cero!$1:$1,0)-1,COUNT(Curvas_cupon_cero!$A:$A)-2,1)),[1]!interpolar(B528,OFFSET(Curvas_cupon_cero!$A$1,1,0,COUNT(Curvas_cupon_cero!$A:$A)-2,1),OFFSET(Curvas_cupon_cero!$A$1,1,MATCH($B$7,Curvas_cupon_cero!$1:$1,0)-1,COUNT(Curvas_cupon_cero!$A:$A)-2,1))))</f>
        <v/>
      </c>
      <c r="D528" s="23" t="str">
        <f ca="1">IF(A528="","",IF($B$8="Sí",interpolar_alamb(H528,OFFSET(Curvas_cupon_cero!$A$1,1,0,COUNT(Curvas_cupon_cero!$A:$A)-2,1),OFFSET(Curvas_cupon_cero!$A$1,1,MATCH($B$7,Curvas_cupon_cero!$1:$1,0)-1,COUNT(Curvas_cupon_cero!$A:$A)-2,1)),[1]!interpolar(H528,OFFSET(Curvas_cupon_cero!$A$1,1,0,COUNT(Curvas_cupon_cero!$A:$A)-2,1),OFFSET(Curvas_cupon_cero!$A$1,1,MATCH($B$7,Curvas_cupon_cero!$1:$1,0)-1,COUNT(Curvas_cupon_cero!$A:$A)-2,1))))</f>
        <v/>
      </c>
      <c r="E528" s="23" t="str">
        <f t="shared" si="52"/>
        <v/>
      </c>
      <c r="F528" s="17" t="str">
        <f t="shared" si="50"/>
        <v/>
      </c>
      <c r="G528" s="18" t="str">
        <f t="shared" si="53"/>
        <v/>
      </c>
      <c r="H528" t="str">
        <f t="shared" si="54"/>
        <v/>
      </c>
      <c r="I528" s="23" t="str">
        <f ca="1">IF(A528="","",IF($B$8="Sí",interpolar_alamb(H528,OFFSET(Curvas_cupon_cero!$A$1,1,0,COUNT(Curvas_cupon_cero!$A:$A)-2,1),OFFSET(Curvas_cupon_cero!$A$1,1,MATCH($B$6,Curvas_cupon_cero!$1:$1,0)-1,COUNT(Curvas_cupon_cero!$A:$A)-2,1)),[1]!interpolar(H528,OFFSET(Curvas_cupon_cero!$A$1,1,0,COUNT(Curvas_cupon_cero!$A:$A)-2,1),OFFSET(Curvas_cupon_cero!$A$1,1,MATCH($B$6,Curvas_cupon_cero!$1:$1,0)-1,COUNT(Curvas_cupon_cero!$A:$A)-2,1))))</f>
        <v/>
      </c>
      <c r="J528" s="19" t="str">
        <f>IF(A528="","",F528/(1+I528*$B$5/360)^(COUNT(A$16:A528)-($B$5-$G$16)/$B$5))</f>
        <v/>
      </c>
    </row>
    <row r="529" spans="1:10" x14ac:dyDescent="0.2">
      <c r="A529" s="12" t="str">
        <f t="shared" si="51"/>
        <v/>
      </c>
      <c r="B529" t="str">
        <f t="shared" si="49"/>
        <v/>
      </c>
      <c r="C529" s="21" t="str">
        <f ca="1">IF(A529="","",IF($B$8="Sí",interpolar_alamb(B529,OFFSET(Curvas_cupon_cero!$A$1,1,0,COUNT(Curvas_cupon_cero!$A:$A)-2,1),OFFSET(Curvas_cupon_cero!$A$1,1,MATCH($B$7,Curvas_cupon_cero!$1:$1,0)-1,COUNT(Curvas_cupon_cero!$A:$A)-2,1)),[1]!interpolar(B529,OFFSET(Curvas_cupon_cero!$A$1,1,0,COUNT(Curvas_cupon_cero!$A:$A)-2,1),OFFSET(Curvas_cupon_cero!$A$1,1,MATCH($B$7,Curvas_cupon_cero!$1:$1,0)-1,COUNT(Curvas_cupon_cero!$A:$A)-2,1))))</f>
        <v/>
      </c>
      <c r="D529" s="23" t="str">
        <f ca="1">IF(A529="","",IF($B$8="Sí",interpolar_alamb(H529,OFFSET(Curvas_cupon_cero!$A$1,1,0,COUNT(Curvas_cupon_cero!$A:$A)-2,1),OFFSET(Curvas_cupon_cero!$A$1,1,MATCH($B$7,Curvas_cupon_cero!$1:$1,0)-1,COUNT(Curvas_cupon_cero!$A:$A)-2,1)),[1]!interpolar(H529,OFFSET(Curvas_cupon_cero!$A$1,1,0,COUNT(Curvas_cupon_cero!$A:$A)-2,1),OFFSET(Curvas_cupon_cero!$A$1,1,MATCH($B$7,Curvas_cupon_cero!$1:$1,0)-1,COUNT(Curvas_cupon_cero!$A:$A)-2,1))))</f>
        <v/>
      </c>
      <c r="E529" s="23" t="str">
        <f t="shared" si="52"/>
        <v/>
      </c>
      <c r="F529" s="17" t="str">
        <f t="shared" si="50"/>
        <v/>
      </c>
      <c r="G529" s="18" t="str">
        <f t="shared" si="53"/>
        <v/>
      </c>
      <c r="H529" t="str">
        <f t="shared" si="54"/>
        <v/>
      </c>
      <c r="I529" s="23" t="str">
        <f ca="1">IF(A529="","",IF($B$8="Sí",interpolar_alamb(H529,OFFSET(Curvas_cupon_cero!$A$1,1,0,COUNT(Curvas_cupon_cero!$A:$A)-2,1),OFFSET(Curvas_cupon_cero!$A$1,1,MATCH($B$6,Curvas_cupon_cero!$1:$1,0)-1,COUNT(Curvas_cupon_cero!$A:$A)-2,1)),[1]!interpolar(H529,OFFSET(Curvas_cupon_cero!$A$1,1,0,COUNT(Curvas_cupon_cero!$A:$A)-2,1),OFFSET(Curvas_cupon_cero!$A$1,1,MATCH($B$6,Curvas_cupon_cero!$1:$1,0)-1,COUNT(Curvas_cupon_cero!$A:$A)-2,1))))</f>
        <v/>
      </c>
      <c r="J529" s="19" t="str">
        <f>IF(A529="","",F529/(1+I529*$B$5/360)^(COUNT(A$16:A529)-($B$5-$G$16)/$B$5))</f>
        <v/>
      </c>
    </row>
    <row r="530" spans="1:10" x14ac:dyDescent="0.2">
      <c r="A530" s="12" t="str">
        <f t="shared" si="51"/>
        <v/>
      </c>
      <c r="B530" t="str">
        <f t="shared" si="49"/>
        <v/>
      </c>
      <c r="C530" s="21" t="str">
        <f ca="1">IF(A530="","",IF($B$8="Sí",interpolar_alamb(B530,OFFSET(Curvas_cupon_cero!$A$1,1,0,COUNT(Curvas_cupon_cero!$A:$A)-2,1),OFFSET(Curvas_cupon_cero!$A$1,1,MATCH($B$7,Curvas_cupon_cero!$1:$1,0)-1,COUNT(Curvas_cupon_cero!$A:$A)-2,1)),[1]!interpolar(B530,OFFSET(Curvas_cupon_cero!$A$1,1,0,COUNT(Curvas_cupon_cero!$A:$A)-2,1),OFFSET(Curvas_cupon_cero!$A$1,1,MATCH($B$7,Curvas_cupon_cero!$1:$1,0)-1,COUNT(Curvas_cupon_cero!$A:$A)-2,1))))</f>
        <v/>
      </c>
      <c r="D530" s="23" t="str">
        <f ca="1">IF(A530="","",IF($B$8="Sí",interpolar_alamb(H530,OFFSET(Curvas_cupon_cero!$A$1,1,0,COUNT(Curvas_cupon_cero!$A:$A)-2,1),OFFSET(Curvas_cupon_cero!$A$1,1,MATCH($B$7,Curvas_cupon_cero!$1:$1,0)-1,COUNT(Curvas_cupon_cero!$A:$A)-2,1)),[1]!interpolar(H530,OFFSET(Curvas_cupon_cero!$A$1,1,0,COUNT(Curvas_cupon_cero!$A:$A)-2,1),OFFSET(Curvas_cupon_cero!$A$1,1,MATCH($B$7,Curvas_cupon_cero!$1:$1,0)-1,COUNT(Curvas_cupon_cero!$A:$A)-2,1))))</f>
        <v/>
      </c>
      <c r="E530" s="23" t="str">
        <f t="shared" si="52"/>
        <v/>
      </c>
      <c r="F530" s="17" t="str">
        <f t="shared" si="50"/>
        <v/>
      </c>
      <c r="G530" s="18" t="str">
        <f t="shared" si="53"/>
        <v/>
      </c>
      <c r="H530" t="str">
        <f t="shared" si="54"/>
        <v/>
      </c>
      <c r="I530" s="23" t="str">
        <f ca="1">IF(A530="","",IF($B$8="Sí",interpolar_alamb(H530,OFFSET(Curvas_cupon_cero!$A$1,1,0,COUNT(Curvas_cupon_cero!$A:$A)-2,1),OFFSET(Curvas_cupon_cero!$A$1,1,MATCH($B$6,Curvas_cupon_cero!$1:$1,0)-1,COUNT(Curvas_cupon_cero!$A:$A)-2,1)),[1]!interpolar(H530,OFFSET(Curvas_cupon_cero!$A$1,1,0,COUNT(Curvas_cupon_cero!$A:$A)-2,1),OFFSET(Curvas_cupon_cero!$A$1,1,MATCH($B$6,Curvas_cupon_cero!$1:$1,0)-1,COUNT(Curvas_cupon_cero!$A:$A)-2,1))))</f>
        <v/>
      </c>
      <c r="J530" s="19" t="str">
        <f>IF(A530="","",F530/(1+I530*$B$5/360)^(COUNT(A$16:A530)-($B$5-$G$16)/$B$5))</f>
        <v/>
      </c>
    </row>
    <row r="531" spans="1:10" x14ac:dyDescent="0.2">
      <c r="A531" s="12" t="str">
        <f t="shared" si="51"/>
        <v/>
      </c>
      <c r="B531" t="str">
        <f t="shared" si="49"/>
        <v/>
      </c>
      <c r="C531" s="21" t="str">
        <f ca="1">IF(A531="","",IF($B$8="Sí",interpolar_alamb(B531,OFFSET(Curvas_cupon_cero!$A$1,1,0,COUNT(Curvas_cupon_cero!$A:$A)-2,1),OFFSET(Curvas_cupon_cero!$A$1,1,MATCH($B$7,Curvas_cupon_cero!$1:$1,0)-1,COUNT(Curvas_cupon_cero!$A:$A)-2,1)),[1]!interpolar(B531,OFFSET(Curvas_cupon_cero!$A$1,1,0,COUNT(Curvas_cupon_cero!$A:$A)-2,1),OFFSET(Curvas_cupon_cero!$A$1,1,MATCH($B$7,Curvas_cupon_cero!$1:$1,0)-1,COUNT(Curvas_cupon_cero!$A:$A)-2,1))))</f>
        <v/>
      </c>
      <c r="D531" s="23" t="str">
        <f ca="1">IF(A531="","",IF($B$8="Sí",interpolar_alamb(H531,OFFSET(Curvas_cupon_cero!$A$1,1,0,COUNT(Curvas_cupon_cero!$A:$A)-2,1),OFFSET(Curvas_cupon_cero!$A$1,1,MATCH($B$7,Curvas_cupon_cero!$1:$1,0)-1,COUNT(Curvas_cupon_cero!$A:$A)-2,1)),[1]!interpolar(H531,OFFSET(Curvas_cupon_cero!$A$1,1,0,COUNT(Curvas_cupon_cero!$A:$A)-2,1),OFFSET(Curvas_cupon_cero!$A$1,1,MATCH($B$7,Curvas_cupon_cero!$1:$1,0)-1,COUNT(Curvas_cupon_cero!$A:$A)-2,1))))</f>
        <v/>
      </c>
      <c r="E531" s="23" t="str">
        <f t="shared" si="52"/>
        <v/>
      </c>
      <c r="F531" s="17" t="str">
        <f t="shared" si="50"/>
        <v/>
      </c>
      <c r="G531" s="18" t="str">
        <f t="shared" si="53"/>
        <v/>
      </c>
      <c r="H531" t="str">
        <f t="shared" si="54"/>
        <v/>
      </c>
      <c r="I531" s="23" t="str">
        <f ca="1">IF(A531="","",IF($B$8="Sí",interpolar_alamb(H531,OFFSET(Curvas_cupon_cero!$A$1,1,0,COUNT(Curvas_cupon_cero!$A:$A)-2,1),OFFSET(Curvas_cupon_cero!$A$1,1,MATCH($B$6,Curvas_cupon_cero!$1:$1,0)-1,COUNT(Curvas_cupon_cero!$A:$A)-2,1)),[1]!interpolar(H531,OFFSET(Curvas_cupon_cero!$A$1,1,0,COUNT(Curvas_cupon_cero!$A:$A)-2,1),OFFSET(Curvas_cupon_cero!$A$1,1,MATCH($B$6,Curvas_cupon_cero!$1:$1,0)-1,COUNT(Curvas_cupon_cero!$A:$A)-2,1))))</f>
        <v/>
      </c>
      <c r="J531" s="19" t="str">
        <f>IF(A531="","",F531/(1+I531*$B$5/360)^(COUNT(A$16:A531)-($B$5-$G$16)/$B$5))</f>
        <v/>
      </c>
    </row>
    <row r="532" spans="1:10" x14ac:dyDescent="0.2">
      <c r="A532" s="12" t="str">
        <f t="shared" si="51"/>
        <v/>
      </c>
      <c r="B532" t="str">
        <f t="shared" si="49"/>
        <v/>
      </c>
      <c r="C532" s="21" t="str">
        <f ca="1">IF(A532="","",IF($B$8="Sí",interpolar_alamb(B532,OFFSET(Curvas_cupon_cero!$A$1,1,0,COUNT(Curvas_cupon_cero!$A:$A)-2,1),OFFSET(Curvas_cupon_cero!$A$1,1,MATCH($B$7,Curvas_cupon_cero!$1:$1,0)-1,COUNT(Curvas_cupon_cero!$A:$A)-2,1)),[1]!interpolar(B532,OFFSET(Curvas_cupon_cero!$A$1,1,0,COUNT(Curvas_cupon_cero!$A:$A)-2,1),OFFSET(Curvas_cupon_cero!$A$1,1,MATCH($B$7,Curvas_cupon_cero!$1:$1,0)-1,COUNT(Curvas_cupon_cero!$A:$A)-2,1))))</f>
        <v/>
      </c>
      <c r="D532" s="23" t="str">
        <f ca="1">IF(A532="","",IF($B$8="Sí",interpolar_alamb(H532,OFFSET(Curvas_cupon_cero!$A$1,1,0,COUNT(Curvas_cupon_cero!$A:$A)-2,1),OFFSET(Curvas_cupon_cero!$A$1,1,MATCH($B$7,Curvas_cupon_cero!$1:$1,0)-1,COUNT(Curvas_cupon_cero!$A:$A)-2,1)),[1]!interpolar(H532,OFFSET(Curvas_cupon_cero!$A$1,1,0,COUNT(Curvas_cupon_cero!$A:$A)-2,1),OFFSET(Curvas_cupon_cero!$A$1,1,MATCH($B$7,Curvas_cupon_cero!$1:$1,0)-1,COUNT(Curvas_cupon_cero!$A:$A)-2,1))))</f>
        <v/>
      </c>
      <c r="E532" s="23" t="str">
        <f t="shared" si="52"/>
        <v/>
      </c>
      <c r="F532" s="17" t="str">
        <f t="shared" si="50"/>
        <v/>
      </c>
      <c r="G532" s="18" t="str">
        <f t="shared" si="53"/>
        <v/>
      </c>
      <c r="H532" t="str">
        <f t="shared" si="54"/>
        <v/>
      </c>
      <c r="I532" s="23" t="str">
        <f ca="1">IF(A532="","",IF($B$8="Sí",interpolar_alamb(H532,OFFSET(Curvas_cupon_cero!$A$1,1,0,COUNT(Curvas_cupon_cero!$A:$A)-2,1),OFFSET(Curvas_cupon_cero!$A$1,1,MATCH($B$6,Curvas_cupon_cero!$1:$1,0)-1,COUNT(Curvas_cupon_cero!$A:$A)-2,1)),[1]!interpolar(H532,OFFSET(Curvas_cupon_cero!$A$1,1,0,COUNT(Curvas_cupon_cero!$A:$A)-2,1),OFFSET(Curvas_cupon_cero!$A$1,1,MATCH($B$6,Curvas_cupon_cero!$1:$1,0)-1,COUNT(Curvas_cupon_cero!$A:$A)-2,1))))</f>
        <v/>
      </c>
      <c r="J532" s="19" t="str">
        <f>IF(A532="","",F532/(1+I532*$B$5/360)^(COUNT(A$16:A532)-($B$5-$G$16)/$B$5))</f>
        <v/>
      </c>
    </row>
    <row r="533" spans="1:10" x14ac:dyDescent="0.2">
      <c r="A533" s="12" t="str">
        <f t="shared" si="51"/>
        <v/>
      </c>
      <c r="B533" t="str">
        <f t="shared" si="49"/>
        <v/>
      </c>
      <c r="C533" s="21" t="str">
        <f ca="1">IF(A533="","",IF($B$8="Sí",interpolar_alamb(B533,OFFSET(Curvas_cupon_cero!$A$1,1,0,COUNT(Curvas_cupon_cero!$A:$A)-2,1),OFFSET(Curvas_cupon_cero!$A$1,1,MATCH($B$7,Curvas_cupon_cero!$1:$1,0)-1,COUNT(Curvas_cupon_cero!$A:$A)-2,1)),[1]!interpolar(B533,OFFSET(Curvas_cupon_cero!$A$1,1,0,COUNT(Curvas_cupon_cero!$A:$A)-2,1),OFFSET(Curvas_cupon_cero!$A$1,1,MATCH($B$7,Curvas_cupon_cero!$1:$1,0)-1,COUNT(Curvas_cupon_cero!$A:$A)-2,1))))</f>
        <v/>
      </c>
      <c r="D533" s="23" t="str">
        <f ca="1">IF(A533="","",IF($B$8="Sí",interpolar_alamb(H533,OFFSET(Curvas_cupon_cero!$A$1,1,0,COUNT(Curvas_cupon_cero!$A:$A)-2,1),OFFSET(Curvas_cupon_cero!$A$1,1,MATCH($B$7,Curvas_cupon_cero!$1:$1,0)-1,COUNT(Curvas_cupon_cero!$A:$A)-2,1)),[1]!interpolar(H533,OFFSET(Curvas_cupon_cero!$A$1,1,0,COUNT(Curvas_cupon_cero!$A:$A)-2,1),OFFSET(Curvas_cupon_cero!$A$1,1,MATCH($B$7,Curvas_cupon_cero!$1:$1,0)-1,COUNT(Curvas_cupon_cero!$A:$A)-2,1))))</f>
        <v/>
      </c>
      <c r="E533" s="23" t="str">
        <f t="shared" si="52"/>
        <v/>
      </c>
      <c r="F533" s="17" t="str">
        <f t="shared" si="50"/>
        <v/>
      </c>
      <c r="G533" s="18" t="str">
        <f t="shared" si="53"/>
        <v/>
      </c>
      <c r="H533" t="str">
        <f t="shared" si="54"/>
        <v/>
      </c>
      <c r="I533" s="23" t="str">
        <f ca="1">IF(A533="","",IF($B$8="Sí",interpolar_alamb(H533,OFFSET(Curvas_cupon_cero!$A$1,1,0,COUNT(Curvas_cupon_cero!$A:$A)-2,1),OFFSET(Curvas_cupon_cero!$A$1,1,MATCH($B$6,Curvas_cupon_cero!$1:$1,0)-1,COUNT(Curvas_cupon_cero!$A:$A)-2,1)),[1]!interpolar(H533,OFFSET(Curvas_cupon_cero!$A$1,1,0,COUNT(Curvas_cupon_cero!$A:$A)-2,1),OFFSET(Curvas_cupon_cero!$A$1,1,MATCH($B$6,Curvas_cupon_cero!$1:$1,0)-1,COUNT(Curvas_cupon_cero!$A:$A)-2,1))))</f>
        <v/>
      </c>
      <c r="J533" s="19" t="str">
        <f>IF(A533="","",F533/(1+I533*$B$5/360)^(COUNT(A$16:A533)-($B$5-$G$16)/$B$5))</f>
        <v/>
      </c>
    </row>
    <row r="534" spans="1:10" x14ac:dyDescent="0.2">
      <c r="A534" s="12" t="str">
        <f t="shared" si="51"/>
        <v/>
      </c>
      <c r="B534" t="str">
        <f t="shared" si="49"/>
        <v/>
      </c>
      <c r="C534" s="21" t="str">
        <f ca="1">IF(A534="","",IF($B$8="Sí",interpolar_alamb(B534,OFFSET(Curvas_cupon_cero!$A$1,1,0,COUNT(Curvas_cupon_cero!$A:$A)-2,1),OFFSET(Curvas_cupon_cero!$A$1,1,MATCH($B$7,Curvas_cupon_cero!$1:$1,0)-1,COUNT(Curvas_cupon_cero!$A:$A)-2,1)),[1]!interpolar(B534,OFFSET(Curvas_cupon_cero!$A$1,1,0,COUNT(Curvas_cupon_cero!$A:$A)-2,1),OFFSET(Curvas_cupon_cero!$A$1,1,MATCH($B$7,Curvas_cupon_cero!$1:$1,0)-1,COUNT(Curvas_cupon_cero!$A:$A)-2,1))))</f>
        <v/>
      </c>
      <c r="D534" s="23" t="str">
        <f ca="1">IF(A534="","",IF($B$8="Sí",interpolar_alamb(H534,OFFSET(Curvas_cupon_cero!$A$1,1,0,COUNT(Curvas_cupon_cero!$A:$A)-2,1),OFFSET(Curvas_cupon_cero!$A$1,1,MATCH($B$7,Curvas_cupon_cero!$1:$1,0)-1,COUNT(Curvas_cupon_cero!$A:$A)-2,1)),[1]!interpolar(H534,OFFSET(Curvas_cupon_cero!$A$1,1,0,COUNT(Curvas_cupon_cero!$A:$A)-2,1),OFFSET(Curvas_cupon_cero!$A$1,1,MATCH($B$7,Curvas_cupon_cero!$1:$1,0)-1,COUNT(Curvas_cupon_cero!$A:$A)-2,1))))</f>
        <v/>
      </c>
      <c r="E534" s="23" t="str">
        <f t="shared" si="52"/>
        <v/>
      </c>
      <c r="F534" s="17" t="str">
        <f t="shared" si="50"/>
        <v/>
      </c>
      <c r="G534" s="18" t="str">
        <f t="shared" si="53"/>
        <v/>
      </c>
      <c r="H534" t="str">
        <f t="shared" si="54"/>
        <v/>
      </c>
      <c r="I534" s="23" t="str">
        <f ca="1">IF(A534="","",IF($B$8="Sí",interpolar_alamb(H534,OFFSET(Curvas_cupon_cero!$A$1,1,0,COUNT(Curvas_cupon_cero!$A:$A)-2,1),OFFSET(Curvas_cupon_cero!$A$1,1,MATCH($B$6,Curvas_cupon_cero!$1:$1,0)-1,COUNT(Curvas_cupon_cero!$A:$A)-2,1)),[1]!interpolar(H534,OFFSET(Curvas_cupon_cero!$A$1,1,0,COUNT(Curvas_cupon_cero!$A:$A)-2,1),OFFSET(Curvas_cupon_cero!$A$1,1,MATCH($B$6,Curvas_cupon_cero!$1:$1,0)-1,COUNT(Curvas_cupon_cero!$A:$A)-2,1))))</f>
        <v/>
      </c>
      <c r="J534" s="19" t="str">
        <f>IF(A534="","",F534/(1+I534*$B$5/360)^(COUNT(A$16:A534)-($B$5-$G$16)/$B$5))</f>
        <v/>
      </c>
    </row>
    <row r="535" spans="1:10" x14ac:dyDescent="0.2">
      <c r="A535" s="12" t="str">
        <f t="shared" si="51"/>
        <v/>
      </c>
      <c r="B535" t="str">
        <f t="shared" si="49"/>
        <v/>
      </c>
      <c r="C535" s="21" t="str">
        <f ca="1">IF(A535="","",IF($B$8="Sí",interpolar_alamb(B535,OFFSET(Curvas_cupon_cero!$A$1,1,0,COUNT(Curvas_cupon_cero!$A:$A)-2,1),OFFSET(Curvas_cupon_cero!$A$1,1,MATCH($B$7,Curvas_cupon_cero!$1:$1,0)-1,COUNT(Curvas_cupon_cero!$A:$A)-2,1)),[1]!interpolar(B535,OFFSET(Curvas_cupon_cero!$A$1,1,0,COUNT(Curvas_cupon_cero!$A:$A)-2,1),OFFSET(Curvas_cupon_cero!$A$1,1,MATCH($B$7,Curvas_cupon_cero!$1:$1,0)-1,COUNT(Curvas_cupon_cero!$A:$A)-2,1))))</f>
        <v/>
      </c>
      <c r="D535" s="23" t="str">
        <f ca="1">IF(A535="","",IF($B$8="Sí",interpolar_alamb(H535,OFFSET(Curvas_cupon_cero!$A$1,1,0,COUNT(Curvas_cupon_cero!$A:$A)-2,1),OFFSET(Curvas_cupon_cero!$A$1,1,MATCH($B$7,Curvas_cupon_cero!$1:$1,0)-1,COUNT(Curvas_cupon_cero!$A:$A)-2,1)),[1]!interpolar(H535,OFFSET(Curvas_cupon_cero!$A$1,1,0,COUNT(Curvas_cupon_cero!$A:$A)-2,1),OFFSET(Curvas_cupon_cero!$A$1,1,MATCH($B$7,Curvas_cupon_cero!$1:$1,0)-1,COUNT(Curvas_cupon_cero!$A:$A)-2,1))))</f>
        <v/>
      </c>
      <c r="E535" s="23" t="str">
        <f t="shared" si="52"/>
        <v/>
      </c>
      <c r="F535" s="17" t="str">
        <f t="shared" si="50"/>
        <v/>
      </c>
      <c r="G535" s="18" t="str">
        <f t="shared" si="53"/>
        <v/>
      </c>
      <c r="H535" t="str">
        <f t="shared" si="54"/>
        <v/>
      </c>
      <c r="I535" s="23" t="str">
        <f ca="1">IF(A535="","",IF($B$8="Sí",interpolar_alamb(H535,OFFSET(Curvas_cupon_cero!$A$1,1,0,COUNT(Curvas_cupon_cero!$A:$A)-2,1),OFFSET(Curvas_cupon_cero!$A$1,1,MATCH($B$6,Curvas_cupon_cero!$1:$1,0)-1,COUNT(Curvas_cupon_cero!$A:$A)-2,1)),[1]!interpolar(H535,OFFSET(Curvas_cupon_cero!$A$1,1,0,COUNT(Curvas_cupon_cero!$A:$A)-2,1),OFFSET(Curvas_cupon_cero!$A$1,1,MATCH($B$6,Curvas_cupon_cero!$1:$1,0)-1,COUNT(Curvas_cupon_cero!$A:$A)-2,1))))</f>
        <v/>
      </c>
      <c r="J535" s="19" t="str">
        <f>IF(A535="","",F535/(1+I535*$B$5/360)^(COUNT(A$16:A535)-($B$5-$G$16)/$B$5))</f>
        <v/>
      </c>
    </row>
    <row r="536" spans="1:10" x14ac:dyDescent="0.2">
      <c r="A536" s="12" t="str">
        <f t="shared" si="51"/>
        <v/>
      </c>
      <c r="B536" t="str">
        <f t="shared" si="49"/>
        <v/>
      </c>
      <c r="C536" s="21" t="str">
        <f ca="1">IF(A536="","",IF($B$8="Sí",interpolar_alamb(B536,OFFSET(Curvas_cupon_cero!$A$1,1,0,COUNT(Curvas_cupon_cero!$A:$A)-2,1),OFFSET(Curvas_cupon_cero!$A$1,1,MATCH($B$7,Curvas_cupon_cero!$1:$1,0)-1,COUNT(Curvas_cupon_cero!$A:$A)-2,1)),[1]!interpolar(B536,OFFSET(Curvas_cupon_cero!$A$1,1,0,COUNT(Curvas_cupon_cero!$A:$A)-2,1),OFFSET(Curvas_cupon_cero!$A$1,1,MATCH($B$7,Curvas_cupon_cero!$1:$1,0)-1,COUNT(Curvas_cupon_cero!$A:$A)-2,1))))</f>
        <v/>
      </c>
      <c r="D536" s="23" t="str">
        <f ca="1">IF(A536="","",IF($B$8="Sí",interpolar_alamb(H536,OFFSET(Curvas_cupon_cero!$A$1,1,0,COUNT(Curvas_cupon_cero!$A:$A)-2,1),OFFSET(Curvas_cupon_cero!$A$1,1,MATCH($B$7,Curvas_cupon_cero!$1:$1,0)-1,COUNT(Curvas_cupon_cero!$A:$A)-2,1)),[1]!interpolar(H536,OFFSET(Curvas_cupon_cero!$A$1,1,0,COUNT(Curvas_cupon_cero!$A:$A)-2,1),OFFSET(Curvas_cupon_cero!$A$1,1,MATCH($B$7,Curvas_cupon_cero!$1:$1,0)-1,COUNT(Curvas_cupon_cero!$A:$A)-2,1))))</f>
        <v/>
      </c>
      <c r="E536" s="23" t="str">
        <f t="shared" si="52"/>
        <v/>
      </c>
      <c r="F536" s="17" t="str">
        <f t="shared" si="50"/>
        <v/>
      </c>
      <c r="G536" s="18" t="str">
        <f t="shared" si="53"/>
        <v/>
      </c>
      <c r="H536" t="str">
        <f t="shared" si="54"/>
        <v/>
      </c>
      <c r="I536" s="23" t="str">
        <f ca="1">IF(A536="","",IF($B$8="Sí",interpolar_alamb(H536,OFFSET(Curvas_cupon_cero!$A$1,1,0,COUNT(Curvas_cupon_cero!$A:$A)-2,1),OFFSET(Curvas_cupon_cero!$A$1,1,MATCH($B$6,Curvas_cupon_cero!$1:$1,0)-1,COUNT(Curvas_cupon_cero!$A:$A)-2,1)),[1]!interpolar(H536,OFFSET(Curvas_cupon_cero!$A$1,1,0,COUNT(Curvas_cupon_cero!$A:$A)-2,1),OFFSET(Curvas_cupon_cero!$A$1,1,MATCH($B$6,Curvas_cupon_cero!$1:$1,0)-1,COUNT(Curvas_cupon_cero!$A:$A)-2,1))))</f>
        <v/>
      </c>
      <c r="J536" s="19" t="str">
        <f>IF(A536="","",F536/(1+I536*$B$5/360)^(COUNT(A$16:A536)-($B$5-$G$16)/$B$5))</f>
        <v/>
      </c>
    </row>
    <row r="537" spans="1:10" x14ac:dyDescent="0.2">
      <c r="A537" s="12" t="str">
        <f t="shared" si="51"/>
        <v/>
      </c>
      <c r="B537" t="str">
        <f t="shared" si="49"/>
        <v/>
      </c>
      <c r="C537" s="21" t="str">
        <f ca="1">IF(A537="","",IF($B$8="Sí",interpolar_alamb(B537,OFFSET(Curvas_cupon_cero!$A$1,1,0,COUNT(Curvas_cupon_cero!$A:$A)-2,1),OFFSET(Curvas_cupon_cero!$A$1,1,MATCH($B$7,Curvas_cupon_cero!$1:$1,0)-1,COUNT(Curvas_cupon_cero!$A:$A)-2,1)),[1]!interpolar(B537,OFFSET(Curvas_cupon_cero!$A$1,1,0,COUNT(Curvas_cupon_cero!$A:$A)-2,1),OFFSET(Curvas_cupon_cero!$A$1,1,MATCH($B$7,Curvas_cupon_cero!$1:$1,0)-1,COUNT(Curvas_cupon_cero!$A:$A)-2,1))))</f>
        <v/>
      </c>
      <c r="D537" s="23" t="str">
        <f ca="1">IF(A537="","",IF($B$8="Sí",interpolar_alamb(H537,OFFSET(Curvas_cupon_cero!$A$1,1,0,COUNT(Curvas_cupon_cero!$A:$A)-2,1),OFFSET(Curvas_cupon_cero!$A$1,1,MATCH($B$7,Curvas_cupon_cero!$1:$1,0)-1,COUNT(Curvas_cupon_cero!$A:$A)-2,1)),[1]!interpolar(H537,OFFSET(Curvas_cupon_cero!$A$1,1,0,COUNT(Curvas_cupon_cero!$A:$A)-2,1),OFFSET(Curvas_cupon_cero!$A$1,1,MATCH($B$7,Curvas_cupon_cero!$1:$1,0)-1,COUNT(Curvas_cupon_cero!$A:$A)-2,1))))</f>
        <v/>
      </c>
      <c r="E537" s="23" t="str">
        <f t="shared" si="52"/>
        <v/>
      </c>
      <c r="F537" s="17" t="str">
        <f t="shared" si="50"/>
        <v/>
      </c>
      <c r="G537" s="18" t="str">
        <f t="shared" si="53"/>
        <v/>
      </c>
      <c r="H537" t="str">
        <f t="shared" si="54"/>
        <v/>
      </c>
      <c r="I537" s="23" t="str">
        <f ca="1">IF(A537="","",IF($B$8="Sí",interpolar_alamb(H537,OFFSET(Curvas_cupon_cero!$A$1,1,0,COUNT(Curvas_cupon_cero!$A:$A)-2,1),OFFSET(Curvas_cupon_cero!$A$1,1,MATCH($B$6,Curvas_cupon_cero!$1:$1,0)-1,COUNT(Curvas_cupon_cero!$A:$A)-2,1)),[1]!interpolar(H537,OFFSET(Curvas_cupon_cero!$A$1,1,0,COUNT(Curvas_cupon_cero!$A:$A)-2,1),OFFSET(Curvas_cupon_cero!$A$1,1,MATCH($B$6,Curvas_cupon_cero!$1:$1,0)-1,COUNT(Curvas_cupon_cero!$A:$A)-2,1))))</f>
        <v/>
      </c>
      <c r="J537" s="19" t="str">
        <f>IF(A537="","",F537/(1+I537*$B$5/360)^(COUNT(A$16:A537)-($B$5-$G$16)/$B$5))</f>
        <v/>
      </c>
    </row>
    <row r="538" spans="1:10" x14ac:dyDescent="0.2">
      <c r="A538" s="12" t="str">
        <f t="shared" si="51"/>
        <v/>
      </c>
      <c r="B538" t="str">
        <f t="shared" si="49"/>
        <v/>
      </c>
      <c r="C538" s="21" t="str">
        <f ca="1">IF(A538="","",IF($B$8="Sí",interpolar_alamb(B538,OFFSET(Curvas_cupon_cero!$A$1,1,0,COUNT(Curvas_cupon_cero!$A:$A)-2,1),OFFSET(Curvas_cupon_cero!$A$1,1,MATCH($B$7,Curvas_cupon_cero!$1:$1,0)-1,COUNT(Curvas_cupon_cero!$A:$A)-2,1)),[1]!interpolar(B538,OFFSET(Curvas_cupon_cero!$A$1,1,0,COUNT(Curvas_cupon_cero!$A:$A)-2,1),OFFSET(Curvas_cupon_cero!$A$1,1,MATCH($B$7,Curvas_cupon_cero!$1:$1,0)-1,COUNT(Curvas_cupon_cero!$A:$A)-2,1))))</f>
        <v/>
      </c>
      <c r="D538" s="23" t="str">
        <f ca="1">IF(A538="","",IF($B$8="Sí",interpolar_alamb(H538,OFFSET(Curvas_cupon_cero!$A$1,1,0,COUNT(Curvas_cupon_cero!$A:$A)-2,1),OFFSET(Curvas_cupon_cero!$A$1,1,MATCH($B$7,Curvas_cupon_cero!$1:$1,0)-1,COUNT(Curvas_cupon_cero!$A:$A)-2,1)),[1]!interpolar(H538,OFFSET(Curvas_cupon_cero!$A$1,1,0,COUNT(Curvas_cupon_cero!$A:$A)-2,1),OFFSET(Curvas_cupon_cero!$A$1,1,MATCH($B$7,Curvas_cupon_cero!$1:$1,0)-1,COUNT(Curvas_cupon_cero!$A:$A)-2,1))))</f>
        <v/>
      </c>
      <c r="E538" s="23" t="str">
        <f t="shared" si="52"/>
        <v/>
      </c>
      <c r="F538" s="17" t="str">
        <f t="shared" si="50"/>
        <v/>
      </c>
      <c r="G538" s="18" t="str">
        <f t="shared" si="53"/>
        <v/>
      </c>
      <c r="H538" t="str">
        <f t="shared" si="54"/>
        <v/>
      </c>
      <c r="I538" s="23" t="str">
        <f ca="1">IF(A538="","",IF($B$8="Sí",interpolar_alamb(H538,OFFSET(Curvas_cupon_cero!$A$1,1,0,COUNT(Curvas_cupon_cero!$A:$A)-2,1),OFFSET(Curvas_cupon_cero!$A$1,1,MATCH($B$6,Curvas_cupon_cero!$1:$1,0)-1,COUNT(Curvas_cupon_cero!$A:$A)-2,1)),[1]!interpolar(H538,OFFSET(Curvas_cupon_cero!$A$1,1,0,COUNT(Curvas_cupon_cero!$A:$A)-2,1),OFFSET(Curvas_cupon_cero!$A$1,1,MATCH($B$6,Curvas_cupon_cero!$1:$1,0)-1,COUNT(Curvas_cupon_cero!$A:$A)-2,1))))</f>
        <v/>
      </c>
      <c r="J538" s="19" t="str">
        <f>IF(A538="","",F538/(1+I538*$B$5/360)^(COUNT(A$16:A538)-($B$5-$G$16)/$B$5))</f>
        <v/>
      </c>
    </row>
    <row r="539" spans="1:10" x14ac:dyDescent="0.2">
      <c r="A539" s="12" t="str">
        <f t="shared" si="51"/>
        <v/>
      </c>
      <c r="B539" t="str">
        <f t="shared" si="49"/>
        <v/>
      </c>
      <c r="C539" s="21" t="str">
        <f ca="1">IF(A539="","",IF($B$8="Sí",interpolar_alamb(B539,OFFSET(Curvas_cupon_cero!$A$1,1,0,COUNT(Curvas_cupon_cero!$A:$A)-2,1),OFFSET(Curvas_cupon_cero!$A$1,1,MATCH($B$7,Curvas_cupon_cero!$1:$1,0)-1,COUNT(Curvas_cupon_cero!$A:$A)-2,1)),[1]!interpolar(B539,OFFSET(Curvas_cupon_cero!$A$1,1,0,COUNT(Curvas_cupon_cero!$A:$A)-2,1),OFFSET(Curvas_cupon_cero!$A$1,1,MATCH($B$7,Curvas_cupon_cero!$1:$1,0)-1,COUNT(Curvas_cupon_cero!$A:$A)-2,1))))</f>
        <v/>
      </c>
      <c r="D539" s="23" t="str">
        <f ca="1">IF(A539="","",IF($B$8="Sí",interpolar_alamb(H539,OFFSET(Curvas_cupon_cero!$A$1,1,0,COUNT(Curvas_cupon_cero!$A:$A)-2,1),OFFSET(Curvas_cupon_cero!$A$1,1,MATCH($B$7,Curvas_cupon_cero!$1:$1,0)-1,COUNT(Curvas_cupon_cero!$A:$A)-2,1)),[1]!interpolar(H539,OFFSET(Curvas_cupon_cero!$A$1,1,0,COUNT(Curvas_cupon_cero!$A:$A)-2,1),OFFSET(Curvas_cupon_cero!$A$1,1,MATCH($B$7,Curvas_cupon_cero!$1:$1,0)-1,COUNT(Curvas_cupon_cero!$A:$A)-2,1))))</f>
        <v/>
      </c>
      <c r="E539" s="23" t="str">
        <f t="shared" si="52"/>
        <v/>
      </c>
      <c r="F539" s="17" t="str">
        <f t="shared" si="50"/>
        <v/>
      </c>
      <c r="G539" s="18" t="str">
        <f t="shared" si="53"/>
        <v/>
      </c>
      <c r="H539" t="str">
        <f t="shared" si="54"/>
        <v/>
      </c>
      <c r="I539" s="23" t="str">
        <f ca="1">IF(A539="","",IF($B$8="Sí",interpolar_alamb(H539,OFFSET(Curvas_cupon_cero!$A$1,1,0,COUNT(Curvas_cupon_cero!$A:$A)-2,1),OFFSET(Curvas_cupon_cero!$A$1,1,MATCH($B$6,Curvas_cupon_cero!$1:$1,0)-1,COUNT(Curvas_cupon_cero!$A:$A)-2,1)),[1]!interpolar(H539,OFFSET(Curvas_cupon_cero!$A$1,1,0,COUNT(Curvas_cupon_cero!$A:$A)-2,1),OFFSET(Curvas_cupon_cero!$A$1,1,MATCH($B$6,Curvas_cupon_cero!$1:$1,0)-1,COUNT(Curvas_cupon_cero!$A:$A)-2,1))))</f>
        <v/>
      </c>
      <c r="J539" s="19" t="str">
        <f>IF(A539="","",F539/(1+I539*$B$5/360)^(COUNT(A$16:A539)-($B$5-$G$16)/$B$5))</f>
        <v/>
      </c>
    </row>
    <row r="540" spans="1:10" x14ac:dyDescent="0.2">
      <c r="A540" s="12" t="str">
        <f t="shared" si="51"/>
        <v/>
      </c>
      <c r="B540" t="str">
        <f t="shared" si="49"/>
        <v/>
      </c>
      <c r="C540" s="21" t="str">
        <f ca="1">IF(A540="","",IF($B$8="Sí",interpolar_alamb(B540,OFFSET(Curvas_cupon_cero!$A$1,1,0,COUNT(Curvas_cupon_cero!$A:$A)-2,1),OFFSET(Curvas_cupon_cero!$A$1,1,MATCH($B$7,Curvas_cupon_cero!$1:$1,0)-1,COUNT(Curvas_cupon_cero!$A:$A)-2,1)),[1]!interpolar(B540,OFFSET(Curvas_cupon_cero!$A$1,1,0,COUNT(Curvas_cupon_cero!$A:$A)-2,1),OFFSET(Curvas_cupon_cero!$A$1,1,MATCH($B$7,Curvas_cupon_cero!$1:$1,0)-1,COUNT(Curvas_cupon_cero!$A:$A)-2,1))))</f>
        <v/>
      </c>
      <c r="D540" s="23" t="str">
        <f ca="1">IF(A540="","",IF($B$8="Sí",interpolar_alamb(H540,OFFSET(Curvas_cupon_cero!$A$1,1,0,COUNT(Curvas_cupon_cero!$A:$A)-2,1),OFFSET(Curvas_cupon_cero!$A$1,1,MATCH($B$7,Curvas_cupon_cero!$1:$1,0)-1,COUNT(Curvas_cupon_cero!$A:$A)-2,1)),[1]!interpolar(H540,OFFSET(Curvas_cupon_cero!$A$1,1,0,COUNT(Curvas_cupon_cero!$A:$A)-2,1),OFFSET(Curvas_cupon_cero!$A$1,1,MATCH($B$7,Curvas_cupon_cero!$1:$1,0)-1,COUNT(Curvas_cupon_cero!$A:$A)-2,1))))</f>
        <v/>
      </c>
      <c r="E540" s="23" t="str">
        <f t="shared" si="52"/>
        <v/>
      </c>
      <c r="F540" s="17" t="str">
        <f t="shared" si="50"/>
        <v/>
      </c>
      <c r="G540" s="18" t="str">
        <f t="shared" si="53"/>
        <v/>
      </c>
      <c r="H540" t="str">
        <f t="shared" si="54"/>
        <v/>
      </c>
      <c r="I540" s="23" t="str">
        <f ca="1">IF(A540="","",IF($B$8="Sí",interpolar_alamb(H540,OFFSET(Curvas_cupon_cero!$A$1,1,0,COUNT(Curvas_cupon_cero!$A:$A)-2,1),OFFSET(Curvas_cupon_cero!$A$1,1,MATCH($B$6,Curvas_cupon_cero!$1:$1,0)-1,COUNT(Curvas_cupon_cero!$A:$A)-2,1)),[1]!interpolar(H540,OFFSET(Curvas_cupon_cero!$A$1,1,0,COUNT(Curvas_cupon_cero!$A:$A)-2,1),OFFSET(Curvas_cupon_cero!$A$1,1,MATCH($B$6,Curvas_cupon_cero!$1:$1,0)-1,COUNT(Curvas_cupon_cero!$A:$A)-2,1))))</f>
        <v/>
      </c>
      <c r="J540" s="19" t="str">
        <f>IF(A540="","",F540/(1+I540*$B$5/360)^(COUNT(A$16:A540)-($B$5-$G$16)/$B$5))</f>
        <v/>
      </c>
    </row>
    <row r="541" spans="1:10" x14ac:dyDescent="0.2">
      <c r="A541" s="12" t="str">
        <f t="shared" si="51"/>
        <v/>
      </c>
      <c r="B541" t="str">
        <f t="shared" si="49"/>
        <v/>
      </c>
      <c r="C541" s="21" t="str">
        <f ca="1">IF(A541="","",IF($B$8="Sí",interpolar_alamb(B541,OFFSET(Curvas_cupon_cero!$A$1,1,0,COUNT(Curvas_cupon_cero!$A:$A)-2,1),OFFSET(Curvas_cupon_cero!$A$1,1,MATCH($B$7,Curvas_cupon_cero!$1:$1,0)-1,COUNT(Curvas_cupon_cero!$A:$A)-2,1)),[1]!interpolar(B541,OFFSET(Curvas_cupon_cero!$A$1,1,0,COUNT(Curvas_cupon_cero!$A:$A)-2,1),OFFSET(Curvas_cupon_cero!$A$1,1,MATCH($B$7,Curvas_cupon_cero!$1:$1,0)-1,COUNT(Curvas_cupon_cero!$A:$A)-2,1))))</f>
        <v/>
      </c>
      <c r="D541" s="23" t="str">
        <f ca="1">IF(A541="","",IF($B$8="Sí",interpolar_alamb(H541,OFFSET(Curvas_cupon_cero!$A$1,1,0,COUNT(Curvas_cupon_cero!$A:$A)-2,1),OFFSET(Curvas_cupon_cero!$A$1,1,MATCH($B$7,Curvas_cupon_cero!$1:$1,0)-1,COUNT(Curvas_cupon_cero!$A:$A)-2,1)),[1]!interpolar(H541,OFFSET(Curvas_cupon_cero!$A$1,1,0,COUNT(Curvas_cupon_cero!$A:$A)-2,1),OFFSET(Curvas_cupon_cero!$A$1,1,MATCH($B$7,Curvas_cupon_cero!$1:$1,0)-1,COUNT(Curvas_cupon_cero!$A:$A)-2,1))))</f>
        <v/>
      </c>
      <c r="E541" s="23" t="str">
        <f t="shared" si="52"/>
        <v/>
      </c>
      <c r="F541" s="17" t="str">
        <f t="shared" si="50"/>
        <v/>
      </c>
      <c r="G541" s="18" t="str">
        <f t="shared" si="53"/>
        <v/>
      </c>
      <c r="H541" t="str">
        <f t="shared" si="54"/>
        <v/>
      </c>
      <c r="I541" s="23" t="str">
        <f ca="1">IF(A541="","",IF($B$8="Sí",interpolar_alamb(H541,OFFSET(Curvas_cupon_cero!$A$1,1,0,COUNT(Curvas_cupon_cero!$A:$A)-2,1),OFFSET(Curvas_cupon_cero!$A$1,1,MATCH($B$6,Curvas_cupon_cero!$1:$1,0)-1,COUNT(Curvas_cupon_cero!$A:$A)-2,1)),[1]!interpolar(H541,OFFSET(Curvas_cupon_cero!$A$1,1,0,COUNT(Curvas_cupon_cero!$A:$A)-2,1),OFFSET(Curvas_cupon_cero!$A$1,1,MATCH($B$6,Curvas_cupon_cero!$1:$1,0)-1,COUNT(Curvas_cupon_cero!$A:$A)-2,1))))</f>
        <v/>
      </c>
      <c r="J541" s="19" t="str">
        <f>IF(A541="","",F541/(1+I541*$B$5/360)^(COUNT(A$16:A541)-($B$5-$G$16)/$B$5))</f>
        <v/>
      </c>
    </row>
    <row r="542" spans="1:10" x14ac:dyDescent="0.2">
      <c r="A542" s="12" t="str">
        <f t="shared" si="51"/>
        <v/>
      </c>
      <c r="B542" t="str">
        <f t="shared" si="49"/>
        <v/>
      </c>
      <c r="C542" s="21" t="str">
        <f ca="1">IF(A542="","",IF($B$8="Sí",interpolar_alamb(B542,OFFSET(Curvas_cupon_cero!$A$1,1,0,COUNT(Curvas_cupon_cero!$A:$A)-2,1),OFFSET(Curvas_cupon_cero!$A$1,1,MATCH($B$7,Curvas_cupon_cero!$1:$1,0)-1,COUNT(Curvas_cupon_cero!$A:$A)-2,1)),[1]!interpolar(B542,OFFSET(Curvas_cupon_cero!$A$1,1,0,COUNT(Curvas_cupon_cero!$A:$A)-2,1),OFFSET(Curvas_cupon_cero!$A$1,1,MATCH($B$7,Curvas_cupon_cero!$1:$1,0)-1,COUNT(Curvas_cupon_cero!$A:$A)-2,1))))</f>
        <v/>
      </c>
      <c r="D542" s="23" t="str">
        <f ca="1">IF(A542="","",IF($B$8="Sí",interpolar_alamb(H542,OFFSET(Curvas_cupon_cero!$A$1,1,0,COUNT(Curvas_cupon_cero!$A:$A)-2,1),OFFSET(Curvas_cupon_cero!$A$1,1,MATCH($B$7,Curvas_cupon_cero!$1:$1,0)-1,COUNT(Curvas_cupon_cero!$A:$A)-2,1)),[1]!interpolar(H542,OFFSET(Curvas_cupon_cero!$A$1,1,0,COUNT(Curvas_cupon_cero!$A:$A)-2,1),OFFSET(Curvas_cupon_cero!$A$1,1,MATCH($B$7,Curvas_cupon_cero!$1:$1,0)-1,COUNT(Curvas_cupon_cero!$A:$A)-2,1))))</f>
        <v/>
      </c>
      <c r="E542" s="23" t="str">
        <f t="shared" si="52"/>
        <v/>
      </c>
      <c r="F542" s="17" t="str">
        <f t="shared" si="50"/>
        <v/>
      </c>
      <c r="G542" s="18" t="str">
        <f t="shared" si="53"/>
        <v/>
      </c>
      <c r="H542" t="str">
        <f t="shared" si="54"/>
        <v/>
      </c>
      <c r="I542" s="23" t="str">
        <f ca="1">IF(A542="","",IF($B$8="Sí",interpolar_alamb(H542,OFFSET(Curvas_cupon_cero!$A$1,1,0,COUNT(Curvas_cupon_cero!$A:$A)-2,1),OFFSET(Curvas_cupon_cero!$A$1,1,MATCH($B$6,Curvas_cupon_cero!$1:$1,0)-1,COUNT(Curvas_cupon_cero!$A:$A)-2,1)),[1]!interpolar(H542,OFFSET(Curvas_cupon_cero!$A$1,1,0,COUNT(Curvas_cupon_cero!$A:$A)-2,1),OFFSET(Curvas_cupon_cero!$A$1,1,MATCH($B$6,Curvas_cupon_cero!$1:$1,0)-1,COUNT(Curvas_cupon_cero!$A:$A)-2,1))))</f>
        <v/>
      </c>
      <c r="J542" s="19" t="str">
        <f>IF(A542="","",F542/(1+I542*$B$5/360)^(COUNT(A$16:A542)-($B$5-$G$16)/$B$5))</f>
        <v/>
      </c>
    </row>
    <row r="543" spans="1:10" x14ac:dyDescent="0.2">
      <c r="A543" s="12" t="str">
        <f t="shared" si="51"/>
        <v/>
      </c>
      <c r="B543" t="str">
        <f t="shared" si="49"/>
        <v/>
      </c>
      <c r="C543" s="21" t="str">
        <f ca="1">IF(A543="","",IF($B$8="Sí",interpolar_alamb(B543,OFFSET(Curvas_cupon_cero!$A$1,1,0,COUNT(Curvas_cupon_cero!$A:$A)-2,1),OFFSET(Curvas_cupon_cero!$A$1,1,MATCH($B$7,Curvas_cupon_cero!$1:$1,0)-1,COUNT(Curvas_cupon_cero!$A:$A)-2,1)),[1]!interpolar(B543,OFFSET(Curvas_cupon_cero!$A$1,1,0,COUNT(Curvas_cupon_cero!$A:$A)-2,1),OFFSET(Curvas_cupon_cero!$A$1,1,MATCH($B$7,Curvas_cupon_cero!$1:$1,0)-1,COUNT(Curvas_cupon_cero!$A:$A)-2,1))))</f>
        <v/>
      </c>
      <c r="D543" s="23" t="str">
        <f ca="1">IF(A543="","",IF($B$8="Sí",interpolar_alamb(H543,OFFSET(Curvas_cupon_cero!$A$1,1,0,COUNT(Curvas_cupon_cero!$A:$A)-2,1),OFFSET(Curvas_cupon_cero!$A$1,1,MATCH($B$7,Curvas_cupon_cero!$1:$1,0)-1,COUNT(Curvas_cupon_cero!$A:$A)-2,1)),[1]!interpolar(H543,OFFSET(Curvas_cupon_cero!$A$1,1,0,COUNT(Curvas_cupon_cero!$A:$A)-2,1),OFFSET(Curvas_cupon_cero!$A$1,1,MATCH($B$7,Curvas_cupon_cero!$1:$1,0)-1,COUNT(Curvas_cupon_cero!$A:$A)-2,1))))</f>
        <v/>
      </c>
      <c r="E543" s="23" t="str">
        <f t="shared" si="52"/>
        <v/>
      </c>
      <c r="F543" s="17" t="str">
        <f t="shared" si="50"/>
        <v/>
      </c>
      <c r="G543" s="18" t="str">
        <f t="shared" si="53"/>
        <v/>
      </c>
      <c r="H543" t="str">
        <f t="shared" si="54"/>
        <v/>
      </c>
      <c r="I543" s="23" t="str">
        <f ca="1">IF(A543="","",IF($B$8="Sí",interpolar_alamb(H543,OFFSET(Curvas_cupon_cero!$A$1,1,0,COUNT(Curvas_cupon_cero!$A:$A)-2,1),OFFSET(Curvas_cupon_cero!$A$1,1,MATCH($B$6,Curvas_cupon_cero!$1:$1,0)-1,COUNT(Curvas_cupon_cero!$A:$A)-2,1)),[1]!interpolar(H543,OFFSET(Curvas_cupon_cero!$A$1,1,0,COUNT(Curvas_cupon_cero!$A:$A)-2,1),OFFSET(Curvas_cupon_cero!$A$1,1,MATCH($B$6,Curvas_cupon_cero!$1:$1,0)-1,COUNT(Curvas_cupon_cero!$A:$A)-2,1))))</f>
        <v/>
      </c>
      <c r="J543" s="19" t="str">
        <f>IF(A543="","",F543/(1+I543*$B$5/360)^(COUNT(A$16:A543)-($B$5-$G$16)/$B$5))</f>
        <v/>
      </c>
    </row>
    <row r="544" spans="1:10" x14ac:dyDescent="0.2">
      <c r="A544" s="12" t="str">
        <f t="shared" si="51"/>
        <v/>
      </c>
      <c r="B544" t="str">
        <f t="shared" si="49"/>
        <v/>
      </c>
      <c r="C544" s="21" t="str">
        <f ca="1">IF(A544="","",IF($B$8="Sí",interpolar_alamb(B544,OFFSET(Curvas_cupon_cero!$A$1,1,0,COUNT(Curvas_cupon_cero!$A:$A)-2,1),OFFSET(Curvas_cupon_cero!$A$1,1,MATCH($B$7,Curvas_cupon_cero!$1:$1,0)-1,COUNT(Curvas_cupon_cero!$A:$A)-2,1)),[1]!interpolar(B544,OFFSET(Curvas_cupon_cero!$A$1,1,0,COUNT(Curvas_cupon_cero!$A:$A)-2,1),OFFSET(Curvas_cupon_cero!$A$1,1,MATCH($B$7,Curvas_cupon_cero!$1:$1,0)-1,COUNT(Curvas_cupon_cero!$A:$A)-2,1))))</f>
        <v/>
      </c>
      <c r="D544" s="23" t="str">
        <f ca="1">IF(A544="","",IF($B$8="Sí",interpolar_alamb(H544,OFFSET(Curvas_cupon_cero!$A$1,1,0,COUNT(Curvas_cupon_cero!$A:$A)-2,1),OFFSET(Curvas_cupon_cero!$A$1,1,MATCH($B$7,Curvas_cupon_cero!$1:$1,0)-1,COUNT(Curvas_cupon_cero!$A:$A)-2,1)),[1]!interpolar(H544,OFFSET(Curvas_cupon_cero!$A$1,1,0,COUNT(Curvas_cupon_cero!$A:$A)-2,1),OFFSET(Curvas_cupon_cero!$A$1,1,MATCH($B$7,Curvas_cupon_cero!$1:$1,0)-1,COUNT(Curvas_cupon_cero!$A:$A)-2,1))))</f>
        <v/>
      </c>
      <c r="E544" s="23" t="str">
        <f t="shared" si="52"/>
        <v/>
      </c>
      <c r="F544" s="17" t="str">
        <f t="shared" si="50"/>
        <v/>
      </c>
      <c r="G544" s="18" t="str">
        <f t="shared" si="53"/>
        <v/>
      </c>
      <c r="H544" t="str">
        <f t="shared" si="54"/>
        <v/>
      </c>
      <c r="I544" s="23" t="str">
        <f ca="1">IF(A544="","",IF($B$8="Sí",interpolar_alamb(H544,OFFSET(Curvas_cupon_cero!$A$1,1,0,COUNT(Curvas_cupon_cero!$A:$A)-2,1),OFFSET(Curvas_cupon_cero!$A$1,1,MATCH($B$6,Curvas_cupon_cero!$1:$1,0)-1,COUNT(Curvas_cupon_cero!$A:$A)-2,1)),[1]!interpolar(H544,OFFSET(Curvas_cupon_cero!$A$1,1,0,COUNT(Curvas_cupon_cero!$A:$A)-2,1),OFFSET(Curvas_cupon_cero!$A$1,1,MATCH($B$6,Curvas_cupon_cero!$1:$1,0)-1,COUNT(Curvas_cupon_cero!$A:$A)-2,1))))</f>
        <v/>
      </c>
      <c r="J544" s="19" t="str">
        <f>IF(A544="","",F544/(1+I544*$B$5/360)^(COUNT(A$16:A544)-($B$5-$G$16)/$B$5))</f>
        <v/>
      </c>
    </row>
    <row r="545" spans="1:10" x14ac:dyDescent="0.2">
      <c r="A545" s="12" t="str">
        <f t="shared" si="51"/>
        <v/>
      </c>
      <c r="B545" t="str">
        <f t="shared" si="49"/>
        <v/>
      </c>
      <c r="C545" s="21" t="str">
        <f ca="1">IF(A545="","",IF($B$8="Sí",interpolar_alamb(B545,OFFSET(Curvas_cupon_cero!$A$1,1,0,COUNT(Curvas_cupon_cero!$A:$A)-2,1),OFFSET(Curvas_cupon_cero!$A$1,1,MATCH($B$7,Curvas_cupon_cero!$1:$1,0)-1,COUNT(Curvas_cupon_cero!$A:$A)-2,1)),[1]!interpolar(B545,OFFSET(Curvas_cupon_cero!$A$1,1,0,COUNT(Curvas_cupon_cero!$A:$A)-2,1),OFFSET(Curvas_cupon_cero!$A$1,1,MATCH($B$7,Curvas_cupon_cero!$1:$1,0)-1,COUNT(Curvas_cupon_cero!$A:$A)-2,1))))</f>
        <v/>
      </c>
      <c r="D545" s="23" t="str">
        <f ca="1">IF(A545="","",IF($B$8="Sí",interpolar_alamb(H545,OFFSET(Curvas_cupon_cero!$A$1,1,0,COUNT(Curvas_cupon_cero!$A:$A)-2,1),OFFSET(Curvas_cupon_cero!$A$1,1,MATCH($B$7,Curvas_cupon_cero!$1:$1,0)-1,COUNT(Curvas_cupon_cero!$A:$A)-2,1)),[1]!interpolar(H545,OFFSET(Curvas_cupon_cero!$A$1,1,0,COUNT(Curvas_cupon_cero!$A:$A)-2,1),OFFSET(Curvas_cupon_cero!$A$1,1,MATCH($B$7,Curvas_cupon_cero!$1:$1,0)-1,COUNT(Curvas_cupon_cero!$A:$A)-2,1))))</f>
        <v/>
      </c>
      <c r="E545" s="23" t="str">
        <f t="shared" si="52"/>
        <v/>
      </c>
      <c r="F545" s="17" t="str">
        <f t="shared" si="50"/>
        <v/>
      </c>
      <c r="G545" s="18" t="str">
        <f t="shared" si="53"/>
        <v/>
      </c>
      <c r="H545" t="str">
        <f t="shared" si="54"/>
        <v/>
      </c>
      <c r="I545" s="23" t="str">
        <f ca="1">IF(A545="","",IF($B$8="Sí",interpolar_alamb(H545,OFFSET(Curvas_cupon_cero!$A$1,1,0,COUNT(Curvas_cupon_cero!$A:$A)-2,1),OFFSET(Curvas_cupon_cero!$A$1,1,MATCH($B$6,Curvas_cupon_cero!$1:$1,0)-1,COUNT(Curvas_cupon_cero!$A:$A)-2,1)),[1]!interpolar(H545,OFFSET(Curvas_cupon_cero!$A$1,1,0,COUNT(Curvas_cupon_cero!$A:$A)-2,1),OFFSET(Curvas_cupon_cero!$A$1,1,MATCH($B$6,Curvas_cupon_cero!$1:$1,0)-1,COUNT(Curvas_cupon_cero!$A:$A)-2,1))))</f>
        <v/>
      </c>
      <c r="J545" s="19" t="str">
        <f>IF(A545="","",F545/(1+I545*$B$5/360)^(COUNT(A$16:A545)-($B$5-$G$16)/$B$5))</f>
        <v/>
      </c>
    </row>
    <row r="546" spans="1:10" x14ac:dyDescent="0.2">
      <c r="A546" s="12" t="str">
        <f t="shared" si="51"/>
        <v/>
      </c>
      <c r="B546" t="str">
        <f t="shared" si="49"/>
        <v/>
      </c>
      <c r="C546" s="21" t="str">
        <f ca="1">IF(A546="","",IF($B$8="Sí",interpolar_alamb(B546,OFFSET(Curvas_cupon_cero!$A$1,1,0,COUNT(Curvas_cupon_cero!$A:$A)-2,1),OFFSET(Curvas_cupon_cero!$A$1,1,MATCH($B$7,Curvas_cupon_cero!$1:$1,0)-1,COUNT(Curvas_cupon_cero!$A:$A)-2,1)),[1]!interpolar(B546,OFFSET(Curvas_cupon_cero!$A$1,1,0,COUNT(Curvas_cupon_cero!$A:$A)-2,1),OFFSET(Curvas_cupon_cero!$A$1,1,MATCH($B$7,Curvas_cupon_cero!$1:$1,0)-1,COUNT(Curvas_cupon_cero!$A:$A)-2,1))))</f>
        <v/>
      </c>
      <c r="D546" s="23" t="str">
        <f ca="1">IF(A546="","",IF($B$8="Sí",interpolar_alamb(H546,OFFSET(Curvas_cupon_cero!$A$1,1,0,COUNT(Curvas_cupon_cero!$A:$A)-2,1),OFFSET(Curvas_cupon_cero!$A$1,1,MATCH($B$7,Curvas_cupon_cero!$1:$1,0)-1,COUNT(Curvas_cupon_cero!$A:$A)-2,1)),[1]!interpolar(H546,OFFSET(Curvas_cupon_cero!$A$1,1,0,COUNT(Curvas_cupon_cero!$A:$A)-2,1),OFFSET(Curvas_cupon_cero!$A$1,1,MATCH($B$7,Curvas_cupon_cero!$1:$1,0)-1,COUNT(Curvas_cupon_cero!$A:$A)-2,1))))</f>
        <v/>
      </c>
      <c r="E546" s="23" t="str">
        <f t="shared" si="52"/>
        <v/>
      </c>
      <c r="F546" s="17" t="str">
        <f t="shared" si="50"/>
        <v/>
      </c>
      <c r="G546" s="18" t="str">
        <f t="shared" si="53"/>
        <v/>
      </c>
      <c r="H546" t="str">
        <f t="shared" si="54"/>
        <v/>
      </c>
      <c r="I546" s="23" t="str">
        <f ca="1">IF(A546="","",IF($B$8="Sí",interpolar_alamb(H546,OFFSET(Curvas_cupon_cero!$A$1,1,0,COUNT(Curvas_cupon_cero!$A:$A)-2,1),OFFSET(Curvas_cupon_cero!$A$1,1,MATCH($B$6,Curvas_cupon_cero!$1:$1,0)-1,COUNT(Curvas_cupon_cero!$A:$A)-2,1)),[1]!interpolar(H546,OFFSET(Curvas_cupon_cero!$A$1,1,0,COUNT(Curvas_cupon_cero!$A:$A)-2,1),OFFSET(Curvas_cupon_cero!$A$1,1,MATCH($B$6,Curvas_cupon_cero!$1:$1,0)-1,COUNT(Curvas_cupon_cero!$A:$A)-2,1))))</f>
        <v/>
      </c>
      <c r="J546" s="19" t="str">
        <f>IF(A546="","",F546/(1+I546*$B$5/360)^(COUNT(A$16:A546)-($B$5-$G$16)/$B$5))</f>
        <v/>
      </c>
    </row>
    <row r="547" spans="1:10" x14ac:dyDescent="0.2">
      <c r="A547" s="12" t="str">
        <f t="shared" si="51"/>
        <v/>
      </c>
      <c r="B547" t="str">
        <f t="shared" si="49"/>
        <v/>
      </c>
      <c r="C547" s="21" t="str">
        <f ca="1">IF(A547="","",IF($B$8="Sí",interpolar_alamb(B547,OFFSET(Curvas_cupon_cero!$A$1,1,0,COUNT(Curvas_cupon_cero!$A:$A)-2,1),OFFSET(Curvas_cupon_cero!$A$1,1,MATCH($B$7,Curvas_cupon_cero!$1:$1,0)-1,COUNT(Curvas_cupon_cero!$A:$A)-2,1)),[1]!interpolar(B547,OFFSET(Curvas_cupon_cero!$A$1,1,0,COUNT(Curvas_cupon_cero!$A:$A)-2,1),OFFSET(Curvas_cupon_cero!$A$1,1,MATCH($B$7,Curvas_cupon_cero!$1:$1,0)-1,COUNT(Curvas_cupon_cero!$A:$A)-2,1))))</f>
        <v/>
      </c>
      <c r="D547" s="23" t="str">
        <f ca="1">IF(A547="","",IF($B$8="Sí",interpolar_alamb(H547,OFFSET(Curvas_cupon_cero!$A$1,1,0,COUNT(Curvas_cupon_cero!$A:$A)-2,1),OFFSET(Curvas_cupon_cero!$A$1,1,MATCH($B$7,Curvas_cupon_cero!$1:$1,0)-1,COUNT(Curvas_cupon_cero!$A:$A)-2,1)),[1]!interpolar(H547,OFFSET(Curvas_cupon_cero!$A$1,1,0,COUNT(Curvas_cupon_cero!$A:$A)-2,1),OFFSET(Curvas_cupon_cero!$A$1,1,MATCH($B$7,Curvas_cupon_cero!$1:$1,0)-1,COUNT(Curvas_cupon_cero!$A:$A)-2,1))))</f>
        <v/>
      </c>
      <c r="E547" s="23" t="str">
        <f t="shared" si="52"/>
        <v/>
      </c>
      <c r="F547" s="17" t="str">
        <f t="shared" si="50"/>
        <v/>
      </c>
      <c r="G547" s="18" t="str">
        <f t="shared" si="53"/>
        <v/>
      </c>
      <c r="H547" t="str">
        <f t="shared" si="54"/>
        <v/>
      </c>
      <c r="I547" s="23" t="str">
        <f ca="1">IF(A547="","",IF($B$8="Sí",interpolar_alamb(H547,OFFSET(Curvas_cupon_cero!$A$1,1,0,COUNT(Curvas_cupon_cero!$A:$A)-2,1),OFFSET(Curvas_cupon_cero!$A$1,1,MATCH($B$6,Curvas_cupon_cero!$1:$1,0)-1,COUNT(Curvas_cupon_cero!$A:$A)-2,1)),[1]!interpolar(H547,OFFSET(Curvas_cupon_cero!$A$1,1,0,COUNT(Curvas_cupon_cero!$A:$A)-2,1),OFFSET(Curvas_cupon_cero!$A$1,1,MATCH($B$6,Curvas_cupon_cero!$1:$1,0)-1,COUNT(Curvas_cupon_cero!$A:$A)-2,1))))</f>
        <v/>
      </c>
      <c r="J547" s="19" t="str">
        <f>IF(A547="","",F547/(1+I547*$B$5/360)^(COUNT(A$16:A547)-($B$5-$G$16)/$B$5))</f>
        <v/>
      </c>
    </row>
    <row r="548" spans="1:10" x14ac:dyDescent="0.2">
      <c r="A548" s="12" t="str">
        <f t="shared" si="51"/>
        <v/>
      </c>
      <c r="B548" t="str">
        <f t="shared" si="49"/>
        <v/>
      </c>
      <c r="C548" s="21" t="str">
        <f ca="1">IF(A548="","",IF($B$8="Sí",interpolar_alamb(B548,OFFSET(Curvas_cupon_cero!$A$1,1,0,COUNT(Curvas_cupon_cero!$A:$A)-2,1),OFFSET(Curvas_cupon_cero!$A$1,1,MATCH($B$7,Curvas_cupon_cero!$1:$1,0)-1,COUNT(Curvas_cupon_cero!$A:$A)-2,1)),[1]!interpolar(B548,OFFSET(Curvas_cupon_cero!$A$1,1,0,COUNT(Curvas_cupon_cero!$A:$A)-2,1),OFFSET(Curvas_cupon_cero!$A$1,1,MATCH($B$7,Curvas_cupon_cero!$1:$1,0)-1,COUNT(Curvas_cupon_cero!$A:$A)-2,1))))</f>
        <v/>
      </c>
      <c r="D548" s="23" t="str">
        <f ca="1">IF(A548="","",IF($B$8="Sí",interpolar_alamb(H548,OFFSET(Curvas_cupon_cero!$A$1,1,0,COUNT(Curvas_cupon_cero!$A:$A)-2,1),OFFSET(Curvas_cupon_cero!$A$1,1,MATCH($B$7,Curvas_cupon_cero!$1:$1,0)-1,COUNT(Curvas_cupon_cero!$A:$A)-2,1)),[1]!interpolar(H548,OFFSET(Curvas_cupon_cero!$A$1,1,0,COUNT(Curvas_cupon_cero!$A:$A)-2,1),OFFSET(Curvas_cupon_cero!$A$1,1,MATCH($B$7,Curvas_cupon_cero!$1:$1,0)-1,COUNT(Curvas_cupon_cero!$A:$A)-2,1))))</f>
        <v/>
      </c>
      <c r="E548" s="23" t="str">
        <f t="shared" si="52"/>
        <v/>
      </c>
      <c r="F548" s="17" t="str">
        <f t="shared" si="50"/>
        <v/>
      </c>
      <c r="G548" s="18" t="str">
        <f t="shared" si="53"/>
        <v/>
      </c>
      <c r="H548" t="str">
        <f t="shared" si="54"/>
        <v/>
      </c>
      <c r="I548" s="23" t="str">
        <f ca="1">IF(A548="","",IF($B$8="Sí",interpolar_alamb(H548,OFFSET(Curvas_cupon_cero!$A$1,1,0,COUNT(Curvas_cupon_cero!$A:$A)-2,1),OFFSET(Curvas_cupon_cero!$A$1,1,MATCH($B$6,Curvas_cupon_cero!$1:$1,0)-1,COUNT(Curvas_cupon_cero!$A:$A)-2,1)),[1]!interpolar(H548,OFFSET(Curvas_cupon_cero!$A$1,1,0,COUNT(Curvas_cupon_cero!$A:$A)-2,1),OFFSET(Curvas_cupon_cero!$A$1,1,MATCH($B$6,Curvas_cupon_cero!$1:$1,0)-1,COUNT(Curvas_cupon_cero!$A:$A)-2,1))))</f>
        <v/>
      </c>
      <c r="J548" s="19" t="str">
        <f>IF(A548="","",F548/(1+I548*$B$5/360)^(COUNT(A$16:A548)-($B$5-$G$16)/$B$5))</f>
        <v/>
      </c>
    </row>
    <row r="549" spans="1:10" x14ac:dyDescent="0.2">
      <c r="A549" s="12" t="str">
        <f t="shared" si="51"/>
        <v/>
      </c>
      <c r="B549" t="str">
        <f t="shared" si="49"/>
        <v/>
      </c>
      <c r="C549" s="21" t="str">
        <f ca="1">IF(A549="","",IF($B$8="Sí",interpolar_alamb(B549,OFFSET(Curvas_cupon_cero!$A$1,1,0,COUNT(Curvas_cupon_cero!$A:$A)-2,1),OFFSET(Curvas_cupon_cero!$A$1,1,MATCH($B$7,Curvas_cupon_cero!$1:$1,0)-1,COUNT(Curvas_cupon_cero!$A:$A)-2,1)),[1]!interpolar(B549,OFFSET(Curvas_cupon_cero!$A$1,1,0,COUNT(Curvas_cupon_cero!$A:$A)-2,1),OFFSET(Curvas_cupon_cero!$A$1,1,MATCH($B$7,Curvas_cupon_cero!$1:$1,0)-1,COUNT(Curvas_cupon_cero!$A:$A)-2,1))))</f>
        <v/>
      </c>
      <c r="D549" s="23" t="str">
        <f ca="1">IF(A549="","",IF($B$8="Sí",interpolar_alamb(H549,OFFSET(Curvas_cupon_cero!$A$1,1,0,COUNT(Curvas_cupon_cero!$A:$A)-2,1),OFFSET(Curvas_cupon_cero!$A$1,1,MATCH($B$7,Curvas_cupon_cero!$1:$1,0)-1,COUNT(Curvas_cupon_cero!$A:$A)-2,1)),[1]!interpolar(H549,OFFSET(Curvas_cupon_cero!$A$1,1,0,COUNT(Curvas_cupon_cero!$A:$A)-2,1),OFFSET(Curvas_cupon_cero!$A$1,1,MATCH($B$7,Curvas_cupon_cero!$1:$1,0)-1,COUNT(Curvas_cupon_cero!$A:$A)-2,1))))</f>
        <v/>
      </c>
      <c r="E549" s="23" t="str">
        <f t="shared" si="52"/>
        <v/>
      </c>
      <c r="F549" s="17" t="str">
        <f t="shared" si="50"/>
        <v/>
      </c>
      <c r="G549" s="18" t="str">
        <f t="shared" si="53"/>
        <v/>
      </c>
      <c r="H549" t="str">
        <f t="shared" si="54"/>
        <v/>
      </c>
      <c r="I549" s="23" t="str">
        <f ca="1">IF(A549="","",IF($B$8="Sí",interpolar_alamb(H549,OFFSET(Curvas_cupon_cero!$A$1,1,0,COUNT(Curvas_cupon_cero!$A:$A)-2,1),OFFSET(Curvas_cupon_cero!$A$1,1,MATCH($B$6,Curvas_cupon_cero!$1:$1,0)-1,COUNT(Curvas_cupon_cero!$A:$A)-2,1)),[1]!interpolar(H549,OFFSET(Curvas_cupon_cero!$A$1,1,0,COUNT(Curvas_cupon_cero!$A:$A)-2,1),OFFSET(Curvas_cupon_cero!$A$1,1,MATCH($B$6,Curvas_cupon_cero!$1:$1,0)-1,COUNT(Curvas_cupon_cero!$A:$A)-2,1))))</f>
        <v/>
      </c>
      <c r="J549" s="19" t="str">
        <f>IF(A549="","",F549/(1+I549*$B$5/360)^(COUNT(A$16:A549)-($B$5-$G$16)/$B$5))</f>
        <v/>
      </c>
    </row>
    <row r="550" spans="1:10" x14ac:dyDescent="0.2">
      <c r="A550" s="12" t="str">
        <f t="shared" si="51"/>
        <v/>
      </c>
      <c r="B550" t="str">
        <f t="shared" si="49"/>
        <v/>
      </c>
      <c r="C550" s="21" t="str">
        <f ca="1">IF(A550="","",IF($B$8="Sí",interpolar_alamb(B550,OFFSET(Curvas_cupon_cero!$A$1,1,0,COUNT(Curvas_cupon_cero!$A:$A)-2,1),OFFSET(Curvas_cupon_cero!$A$1,1,MATCH($B$7,Curvas_cupon_cero!$1:$1,0)-1,COUNT(Curvas_cupon_cero!$A:$A)-2,1)),[1]!interpolar(B550,OFFSET(Curvas_cupon_cero!$A$1,1,0,COUNT(Curvas_cupon_cero!$A:$A)-2,1),OFFSET(Curvas_cupon_cero!$A$1,1,MATCH($B$7,Curvas_cupon_cero!$1:$1,0)-1,COUNT(Curvas_cupon_cero!$A:$A)-2,1))))</f>
        <v/>
      </c>
      <c r="D550" s="23" t="str">
        <f ca="1">IF(A550="","",IF($B$8="Sí",interpolar_alamb(H550,OFFSET(Curvas_cupon_cero!$A$1,1,0,COUNT(Curvas_cupon_cero!$A:$A)-2,1),OFFSET(Curvas_cupon_cero!$A$1,1,MATCH($B$7,Curvas_cupon_cero!$1:$1,0)-1,COUNT(Curvas_cupon_cero!$A:$A)-2,1)),[1]!interpolar(H550,OFFSET(Curvas_cupon_cero!$A$1,1,0,COUNT(Curvas_cupon_cero!$A:$A)-2,1),OFFSET(Curvas_cupon_cero!$A$1,1,MATCH($B$7,Curvas_cupon_cero!$1:$1,0)-1,COUNT(Curvas_cupon_cero!$A:$A)-2,1))))</f>
        <v/>
      </c>
      <c r="E550" s="23" t="str">
        <f t="shared" si="52"/>
        <v/>
      </c>
      <c r="F550" s="17" t="str">
        <f t="shared" si="50"/>
        <v/>
      </c>
      <c r="G550" s="18" t="str">
        <f t="shared" si="53"/>
        <v/>
      </c>
      <c r="H550" t="str">
        <f t="shared" si="54"/>
        <v/>
      </c>
      <c r="I550" s="23" t="str">
        <f ca="1">IF(A550="","",IF($B$8="Sí",interpolar_alamb(H550,OFFSET(Curvas_cupon_cero!$A$1,1,0,COUNT(Curvas_cupon_cero!$A:$A)-2,1),OFFSET(Curvas_cupon_cero!$A$1,1,MATCH($B$6,Curvas_cupon_cero!$1:$1,0)-1,COUNT(Curvas_cupon_cero!$A:$A)-2,1)),[1]!interpolar(H550,OFFSET(Curvas_cupon_cero!$A$1,1,0,COUNT(Curvas_cupon_cero!$A:$A)-2,1),OFFSET(Curvas_cupon_cero!$A$1,1,MATCH($B$6,Curvas_cupon_cero!$1:$1,0)-1,COUNT(Curvas_cupon_cero!$A:$A)-2,1))))</f>
        <v/>
      </c>
      <c r="J550" s="19" t="str">
        <f>IF(A550="","",F550/(1+I550*$B$5/360)^(COUNT(A$16:A550)-($B$5-$G$16)/$B$5))</f>
        <v/>
      </c>
    </row>
    <row r="551" spans="1:10" x14ac:dyDescent="0.2">
      <c r="A551" s="12" t="str">
        <f t="shared" si="51"/>
        <v/>
      </c>
      <c r="B551" t="str">
        <f t="shared" si="49"/>
        <v/>
      </c>
      <c r="C551" s="21" t="str">
        <f ca="1">IF(A551="","",IF($B$8="Sí",interpolar_alamb(B551,OFFSET(Curvas_cupon_cero!$A$1,1,0,COUNT(Curvas_cupon_cero!$A:$A)-2,1),OFFSET(Curvas_cupon_cero!$A$1,1,MATCH($B$7,Curvas_cupon_cero!$1:$1,0)-1,COUNT(Curvas_cupon_cero!$A:$A)-2,1)),[1]!interpolar(B551,OFFSET(Curvas_cupon_cero!$A$1,1,0,COUNT(Curvas_cupon_cero!$A:$A)-2,1),OFFSET(Curvas_cupon_cero!$A$1,1,MATCH($B$7,Curvas_cupon_cero!$1:$1,0)-1,COUNT(Curvas_cupon_cero!$A:$A)-2,1))))</f>
        <v/>
      </c>
      <c r="D551" s="23" t="str">
        <f ca="1">IF(A551="","",IF($B$8="Sí",interpolar_alamb(H551,OFFSET(Curvas_cupon_cero!$A$1,1,0,COUNT(Curvas_cupon_cero!$A:$A)-2,1),OFFSET(Curvas_cupon_cero!$A$1,1,MATCH($B$7,Curvas_cupon_cero!$1:$1,0)-1,COUNT(Curvas_cupon_cero!$A:$A)-2,1)),[1]!interpolar(H551,OFFSET(Curvas_cupon_cero!$A$1,1,0,COUNT(Curvas_cupon_cero!$A:$A)-2,1),OFFSET(Curvas_cupon_cero!$A$1,1,MATCH($B$7,Curvas_cupon_cero!$1:$1,0)-1,COUNT(Curvas_cupon_cero!$A:$A)-2,1))))</f>
        <v/>
      </c>
      <c r="E551" s="23" t="str">
        <f t="shared" si="52"/>
        <v/>
      </c>
      <c r="F551" s="17" t="str">
        <f t="shared" si="50"/>
        <v/>
      </c>
      <c r="G551" s="18" t="str">
        <f t="shared" si="53"/>
        <v/>
      </c>
      <c r="H551" t="str">
        <f t="shared" si="54"/>
        <v/>
      </c>
      <c r="I551" s="23" t="str">
        <f ca="1">IF(A551="","",IF($B$8="Sí",interpolar_alamb(H551,OFFSET(Curvas_cupon_cero!$A$1,1,0,COUNT(Curvas_cupon_cero!$A:$A)-2,1),OFFSET(Curvas_cupon_cero!$A$1,1,MATCH($B$6,Curvas_cupon_cero!$1:$1,0)-1,COUNT(Curvas_cupon_cero!$A:$A)-2,1)),[1]!interpolar(H551,OFFSET(Curvas_cupon_cero!$A$1,1,0,COUNT(Curvas_cupon_cero!$A:$A)-2,1),OFFSET(Curvas_cupon_cero!$A$1,1,MATCH($B$6,Curvas_cupon_cero!$1:$1,0)-1,COUNT(Curvas_cupon_cero!$A:$A)-2,1))))</f>
        <v/>
      </c>
      <c r="J551" s="19" t="str">
        <f>IF(A551="","",F551/(1+I551*$B$5/360)^(COUNT(A$16:A551)-($B$5-$G$16)/$B$5))</f>
        <v/>
      </c>
    </row>
    <row r="552" spans="1:10" x14ac:dyDescent="0.2">
      <c r="A552" s="12" t="str">
        <f t="shared" si="51"/>
        <v/>
      </c>
      <c r="B552" t="str">
        <f t="shared" si="49"/>
        <v/>
      </c>
      <c r="C552" s="21" t="str">
        <f ca="1">IF(A552="","",IF($B$8="Sí",interpolar_alamb(B552,OFFSET(Curvas_cupon_cero!$A$1,1,0,COUNT(Curvas_cupon_cero!$A:$A)-2,1),OFFSET(Curvas_cupon_cero!$A$1,1,MATCH($B$7,Curvas_cupon_cero!$1:$1,0)-1,COUNT(Curvas_cupon_cero!$A:$A)-2,1)),[1]!interpolar(B552,OFFSET(Curvas_cupon_cero!$A$1,1,0,COUNT(Curvas_cupon_cero!$A:$A)-2,1),OFFSET(Curvas_cupon_cero!$A$1,1,MATCH($B$7,Curvas_cupon_cero!$1:$1,0)-1,COUNT(Curvas_cupon_cero!$A:$A)-2,1))))</f>
        <v/>
      </c>
      <c r="D552" s="23" t="str">
        <f ca="1">IF(A552="","",IF($B$8="Sí",interpolar_alamb(H552,OFFSET(Curvas_cupon_cero!$A$1,1,0,COUNT(Curvas_cupon_cero!$A:$A)-2,1),OFFSET(Curvas_cupon_cero!$A$1,1,MATCH($B$7,Curvas_cupon_cero!$1:$1,0)-1,COUNT(Curvas_cupon_cero!$A:$A)-2,1)),[1]!interpolar(H552,OFFSET(Curvas_cupon_cero!$A$1,1,0,COUNT(Curvas_cupon_cero!$A:$A)-2,1),OFFSET(Curvas_cupon_cero!$A$1,1,MATCH($B$7,Curvas_cupon_cero!$1:$1,0)-1,COUNT(Curvas_cupon_cero!$A:$A)-2,1))))</f>
        <v/>
      </c>
      <c r="E552" s="23" t="str">
        <f t="shared" si="52"/>
        <v/>
      </c>
      <c r="F552" s="17" t="str">
        <f t="shared" si="50"/>
        <v/>
      </c>
      <c r="G552" s="18" t="str">
        <f t="shared" si="53"/>
        <v/>
      </c>
      <c r="H552" t="str">
        <f t="shared" si="54"/>
        <v/>
      </c>
      <c r="I552" s="23" t="str">
        <f ca="1">IF(A552="","",IF($B$8="Sí",interpolar_alamb(H552,OFFSET(Curvas_cupon_cero!$A$1,1,0,COUNT(Curvas_cupon_cero!$A:$A)-2,1),OFFSET(Curvas_cupon_cero!$A$1,1,MATCH($B$6,Curvas_cupon_cero!$1:$1,0)-1,COUNT(Curvas_cupon_cero!$A:$A)-2,1)),[1]!interpolar(H552,OFFSET(Curvas_cupon_cero!$A$1,1,0,COUNT(Curvas_cupon_cero!$A:$A)-2,1),OFFSET(Curvas_cupon_cero!$A$1,1,MATCH($B$6,Curvas_cupon_cero!$1:$1,0)-1,COUNT(Curvas_cupon_cero!$A:$A)-2,1))))</f>
        <v/>
      </c>
      <c r="J552" s="19" t="str">
        <f>IF(A552="","",F552/(1+I552*$B$5/360)^(COUNT(A$16:A552)-($B$5-$G$16)/$B$5))</f>
        <v/>
      </c>
    </row>
    <row r="553" spans="1:10" x14ac:dyDescent="0.2">
      <c r="A553" s="12" t="str">
        <f t="shared" si="51"/>
        <v/>
      </c>
      <c r="B553" t="str">
        <f t="shared" si="49"/>
        <v/>
      </c>
      <c r="C553" s="21" t="str">
        <f ca="1">IF(A553="","",IF($B$8="Sí",interpolar_alamb(B553,OFFSET(Curvas_cupon_cero!$A$1,1,0,COUNT(Curvas_cupon_cero!$A:$A)-2,1),OFFSET(Curvas_cupon_cero!$A$1,1,MATCH($B$7,Curvas_cupon_cero!$1:$1,0)-1,COUNT(Curvas_cupon_cero!$A:$A)-2,1)),[1]!interpolar(B553,OFFSET(Curvas_cupon_cero!$A$1,1,0,COUNT(Curvas_cupon_cero!$A:$A)-2,1),OFFSET(Curvas_cupon_cero!$A$1,1,MATCH($B$7,Curvas_cupon_cero!$1:$1,0)-1,COUNT(Curvas_cupon_cero!$A:$A)-2,1))))</f>
        <v/>
      </c>
      <c r="D553" s="23" t="str">
        <f ca="1">IF(A553="","",IF($B$8="Sí",interpolar_alamb(H553,OFFSET(Curvas_cupon_cero!$A$1,1,0,COUNT(Curvas_cupon_cero!$A:$A)-2,1),OFFSET(Curvas_cupon_cero!$A$1,1,MATCH($B$7,Curvas_cupon_cero!$1:$1,0)-1,COUNT(Curvas_cupon_cero!$A:$A)-2,1)),[1]!interpolar(H553,OFFSET(Curvas_cupon_cero!$A$1,1,0,COUNT(Curvas_cupon_cero!$A:$A)-2,1),OFFSET(Curvas_cupon_cero!$A$1,1,MATCH($B$7,Curvas_cupon_cero!$1:$1,0)-1,COUNT(Curvas_cupon_cero!$A:$A)-2,1))))</f>
        <v/>
      </c>
      <c r="E553" s="23" t="str">
        <f t="shared" si="52"/>
        <v/>
      </c>
      <c r="F553" s="17" t="str">
        <f t="shared" si="50"/>
        <v/>
      </c>
      <c r="G553" s="18" t="str">
        <f t="shared" si="53"/>
        <v/>
      </c>
      <c r="H553" t="str">
        <f t="shared" si="54"/>
        <v/>
      </c>
      <c r="I553" s="23" t="str">
        <f ca="1">IF(A553="","",IF($B$8="Sí",interpolar_alamb(H553,OFFSET(Curvas_cupon_cero!$A$1,1,0,COUNT(Curvas_cupon_cero!$A:$A)-2,1),OFFSET(Curvas_cupon_cero!$A$1,1,MATCH($B$6,Curvas_cupon_cero!$1:$1,0)-1,COUNT(Curvas_cupon_cero!$A:$A)-2,1)),[1]!interpolar(H553,OFFSET(Curvas_cupon_cero!$A$1,1,0,COUNT(Curvas_cupon_cero!$A:$A)-2,1),OFFSET(Curvas_cupon_cero!$A$1,1,MATCH($B$6,Curvas_cupon_cero!$1:$1,0)-1,COUNT(Curvas_cupon_cero!$A:$A)-2,1))))</f>
        <v/>
      </c>
      <c r="J553" s="19" t="str">
        <f>IF(A553="","",F553/(1+I553*$B$5/360)^(COUNT(A$16:A553)-($B$5-$G$16)/$B$5))</f>
        <v/>
      </c>
    </row>
    <row r="554" spans="1:10" x14ac:dyDescent="0.2">
      <c r="A554" s="12" t="str">
        <f t="shared" si="51"/>
        <v/>
      </c>
      <c r="B554" t="str">
        <f t="shared" si="49"/>
        <v/>
      </c>
      <c r="C554" s="21" t="str">
        <f ca="1">IF(A554="","",IF($B$8="Sí",interpolar_alamb(B554,OFFSET(Curvas_cupon_cero!$A$1,1,0,COUNT(Curvas_cupon_cero!$A:$A)-2,1),OFFSET(Curvas_cupon_cero!$A$1,1,MATCH($B$7,Curvas_cupon_cero!$1:$1,0)-1,COUNT(Curvas_cupon_cero!$A:$A)-2,1)),[1]!interpolar(B554,OFFSET(Curvas_cupon_cero!$A$1,1,0,COUNT(Curvas_cupon_cero!$A:$A)-2,1),OFFSET(Curvas_cupon_cero!$A$1,1,MATCH($B$7,Curvas_cupon_cero!$1:$1,0)-1,COUNT(Curvas_cupon_cero!$A:$A)-2,1))))</f>
        <v/>
      </c>
      <c r="D554" s="23" t="str">
        <f ca="1">IF(A554="","",IF($B$8="Sí",interpolar_alamb(H554,OFFSET(Curvas_cupon_cero!$A$1,1,0,COUNT(Curvas_cupon_cero!$A:$A)-2,1),OFFSET(Curvas_cupon_cero!$A$1,1,MATCH($B$7,Curvas_cupon_cero!$1:$1,0)-1,COUNT(Curvas_cupon_cero!$A:$A)-2,1)),[1]!interpolar(H554,OFFSET(Curvas_cupon_cero!$A$1,1,0,COUNT(Curvas_cupon_cero!$A:$A)-2,1),OFFSET(Curvas_cupon_cero!$A$1,1,MATCH($B$7,Curvas_cupon_cero!$1:$1,0)-1,COUNT(Curvas_cupon_cero!$A:$A)-2,1))))</f>
        <v/>
      </c>
      <c r="E554" s="23" t="str">
        <f t="shared" si="52"/>
        <v/>
      </c>
      <c r="F554" s="17" t="str">
        <f t="shared" si="50"/>
        <v/>
      </c>
      <c r="G554" s="18" t="str">
        <f t="shared" si="53"/>
        <v/>
      </c>
      <c r="H554" t="str">
        <f t="shared" si="54"/>
        <v/>
      </c>
      <c r="I554" s="23" t="str">
        <f ca="1">IF(A554="","",IF($B$8="Sí",interpolar_alamb(H554,OFFSET(Curvas_cupon_cero!$A$1,1,0,COUNT(Curvas_cupon_cero!$A:$A)-2,1),OFFSET(Curvas_cupon_cero!$A$1,1,MATCH($B$6,Curvas_cupon_cero!$1:$1,0)-1,COUNT(Curvas_cupon_cero!$A:$A)-2,1)),[1]!interpolar(H554,OFFSET(Curvas_cupon_cero!$A$1,1,0,COUNT(Curvas_cupon_cero!$A:$A)-2,1),OFFSET(Curvas_cupon_cero!$A$1,1,MATCH($B$6,Curvas_cupon_cero!$1:$1,0)-1,COUNT(Curvas_cupon_cero!$A:$A)-2,1))))</f>
        <v/>
      </c>
      <c r="J554" s="19" t="str">
        <f>IF(A554="","",F554/(1+I554*$B$5/360)^(COUNT(A$16:A554)-($B$5-$G$16)/$B$5))</f>
        <v/>
      </c>
    </row>
    <row r="555" spans="1:10" x14ac:dyDescent="0.2">
      <c r="A555" s="12" t="str">
        <f t="shared" si="51"/>
        <v/>
      </c>
      <c r="B555" t="str">
        <f t="shared" si="49"/>
        <v/>
      </c>
      <c r="C555" s="21" t="str">
        <f ca="1">IF(A555="","",IF($B$8="Sí",interpolar_alamb(B555,OFFSET(Curvas_cupon_cero!$A$1,1,0,COUNT(Curvas_cupon_cero!$A:$A)-2,1),OFFSET(Curvas_cupon_cero!$A$1,1,MATCH($B$7,Curvas_cupon_cero!$1:$1,0)-1,COUNT(Curvas_cupon_cero!$A:$A)-2,1)),[1]!interpolar(B555,OFFSET(Curvas_cupon_cero!$A$1,1,0,COUNT(Curvas_cupon_cero!$A:$A)-2,1),OFFSET(Curvas_cupon_cero!$A$1,1,MATCH($B$7,Curvas_cupon_cero!$1:$1,0)-1,COUNT(Curvas_cupon_cero!$A:$A)-2,1))))</f>
        <v/>
      </c>
      <c r="D555" s="23" t="str">
        <f ca="1">IF(A555="","",IF($B$8="Sí",interpolar_alamb(H555,OFFSET(Curvas_cupon_cero!$A$1,1,0,COUNT(Curvas_cupon_cero!$A:$A)-2,1),OFFSET(Curvas_cupon_cero!$A$1,1,MATCH($B$7,Curvas_cupon_cero!$1:$1,0)-1,COUNT(Curvas_cupon_cero!$A:$A)-2,1)),[1]!interpolar(H555,OFFSET(Curvas_cupon_cero!$A$1,1,0,COUNT(Curvas_cupon_cero!$A:$A)-2,1),OFFSET(Curvas_cupon_cero!$A$1,1,MATCH($B$7,Curvas_cupon_cero!$1:$1,0)-1,COUNT(Curvas_cupon_cero!$A:$A)-2,1))))</f>
        <v/>
      </c>
      <c r="E555" s="23" t="str">
        <f t="shared" si="52"/>
        <v/>
      </c>
      <c r="F555" s="17" t="str">
        <f t="shared" si="50"/>
        <v/>
      </c>
      <c r="G555" s="18" t="str">
        <f t="shared" si="53"/>
        <v/>
      </c>
      <c r="H555" t="str">
        <f t="shared" si="54"/>
        <v/>
      </c>
      <c r="I555" s="23" t="str">
        <f ca="1">IF(A555="","",IF($B$8="Sí",interpolar_alamb(H555,OFFSET(Curvas_cupon_cero!$A$1,1,0,COUNT(Curvas_cupon_cero!$A:$A)-2,1),OFFSET(Curvas_cupon_cero!$A$1,1,MATCH($B$6,Curvas_cupon_cero!$1:$1,0)-1,COUNT(Curvas_cupon_cero!$A:$A)-2,1)),[1]!interpolar(H555,OFFSET(Curvas_cupon_cero!$A$1,1,0,COUNT(Curvas_cupon_cero!$A:$A)-2,1),OFFSET(Curvas_cupon_cero!$A$1,1,MATCH($B$6,Curvas_cupon_cero!$1:$1,0)-1,COUNT(Curvas_cupon_cero!$A:$A)-2,1))))</f>
        <v/>
      </c>
      <c r="J555" s="19" t="str">
        <f>IF(A555="","",F555/(1+I555*$B$5/360)^(COUNT(A$16:A555)-($B$5-$G$16)/$B$5))</f>
        <v/>
      </c>
    </row>
    <row r="556" spans="1:10" x14ac:dyDescent="0.2">
      <c r="A556" s="12" t="str">
        <f t="shared" si="51"/>
        <v/>
      </c>
      <c r="B556" t="str">
        <f t="shared" si="49"/>
        <v/>
      </c>
      <c r="C556" s="21" t="str">
        <f ca="1">IF(A556="","",IF($B$8="Sí",interpolar_alamb(B556,OFFSET(Curvas_cupon_cero!$A$1,1,0,COUNT(Curvas_cupon_cero!$A:$A)-2,1),OFFSET(Curvas_cupon_cero!$A$1,1,MATCH($B$7,Curvas_cupon_cero!$1:$1,0)-1,COUNT(Curvas_cupon_cero!$A:$A)-2,1)),[1]!interpolar(B556,OFFSET(Curvas_cupon_cero!$A$1,1,0,COUNT(Curvas_cupon_cero!$A:$A)-2,1),OFFSET(Curvas_cupon_cero!$A$1,1,MATCH($B$7,Curvas_cupon_cero!$1:$1,0)-1,COUNT(Curvas_cupon_cero!$A:$A)-2,1))))</f>
        <v/>
      </c>
      <c r="D556" s="23" t="str">
        <f ca="1">IF(A556="","",IF($B$8="Sí",interpolar_alamb(H556,OFFSET(Curvas_cupon_cero!$A$1,1,0,COUNT(Curvas_cupon_cero!$A:$A)-2,1),OFFSET(Curvas_cupon_cero!$A$1,1,MATCH($B$7,Curvas_cupon_cero!$1:$1,0)-1,COUNT(Curvas_cupon_cero!$A:$A)-2,1)),[1]!interpolar(H556,OFFSET(Curvas_cupon_cero!$A$1,1,0,COUNT(Curvas_cupon_cero!$A:$A)-2,1),OFFSET(Curvas_cupon_cero!$A$1,1,MATCH($B$7,Curvas_cupon_cero!$1:$1,0)-1,COUNT(Curvas_cupon_cero!$A:$A)-2,1))))</f>
        <v/>
      </c>
      <c r="E556" s="23" t="str">
        <f t="shared" si="52"/>
        <v/>
      </c>
      <c r="F556" s="17" t="str">
        <f t="shared" si="50"/>
        <v/>
      </c>
      <c r="G556" s="18" t="str">
        <f t="shared" si="53"/>
        <v/>
      </c>
      <c r="H556" t="str">
        <f t="shared" si="54"/>
        <v/>
      </c>
      <c r="I556" s="23" t="str">
        <f ca="1">IF(A556="","",IF($B$8="Sí",interpolar_alamb(H556,OFFSET(Curvas_cupon_cero!$A$1,1,0,COUNT(Curvas_cupon_cero!$A:$A)-2,1),OFFSET(Curvas_cupon_cero!$A$1,1,MATCH($B$6,Curvas_cupon_cero!$1:$1,0)-1,COUNT(Curvas_cupon_cero!$A:$A)-2,1)),[1]!interpolar(H556,OFFSET(Curvas_cupon_cero!$A$1,1,0,COUNT(Curvas_cupon_cero!$A:$A)-2,1),OFFSET(Curvas_cupon_cero!$A$1,1,MATCH($B$6,Curvas_cupon_cero!$1:$1,0)-1,COUNT(Curvas_cupon_cero!$A:$A)-2,1))))</f>
        <v/>
      </c>
      <c r="J556" s="19" t="str">
        <f>IF(A556="","",F556/(1+I556*$B$5/360)^(COUNT(A$16:A556)-($B$5-$G$16)/$B$5))</f>
        <v/>
      </c>
    </row>
    <row r="557" spans="1:10" x14ac:dyDescent="0.2">
      <c r="A557" s="12" t="str">
        <f t="shared" si="51"/>
        <v/>
      </c>
      <c r="B557" t="str">
        <f t="shared" si="49"/>
        <v/>
      </c>
      <c r="C557" s="21" t="str">
        <f ca="1">IF(A557="","",IF($B$8="Sí",interpolar_alamb(B557,OFFSET(Curvas_cupon_cero!$A$1,1,0,COUNT(Curvas_cupon_cero!$A:$A)-2,1),OFFSET(Curvas_cupon_cero!$A$1,1,MATCH($B$7,Curvas_cupon_cero!$1:$1,0)-1,COUNT(Curvas_cupon_cero!$A:$A)-2,1)),[1]!interpolar(B557,OFFSET(Curvas_cupon_cero!$A$1,1,0,COUNT(Curvas_cupon_cero!$A:$A)-2,1),OFFSET(Curvas_cupon_cero!$A$1,1,MATCH($B$7,Curvas_cupon_cero!$1:$1,0)-1,COUNT(Curvas_cupon_cero!$A:$A)-2,1))))</f>
        <v/>
      </c>
      <c r="D557" s="23" t="str">
        <f ca="1">IF(A557="","",IF($B$8="Sí",interpolar_alamb(H557,OFFSET(Curvas_cupon_cero!$A$1,1,0,COUNT(Curvas_cupon_cero!$A:$A)-2,1),OFFSET(Curvas_cupon_cero!$A$1,1,MATCH($B$7,Curvas_cupon_cero!$1:$1,0)-1,COUNT(Curvas_cupon_cero!$A:$A)-2,1)),[1]!interpolar(H557,OFFSET(Curvas_cupon_cero!$A$1,1,0,COUNT(Curvas_cupon_cero!$A:$A)-2,1),OFFSET(Curvas_cupon_cero!$A$1,1,MATCH($B$7,Curvas_cupon_cero!$1:$1,0)-1,COUNT(Curvas_cupon_cero!$A:$A)-2,1))))</f>
        <v/>
      </c>
      <c r="E557" s="23" t="str">
        <f t="shared" si="52"/>
        <v/>
      </c>
      <c r="F557" s="17" t="str">
        <f t="shared" si="50"/>
        <v/>
      </c>
      <c r="G557" s="18" t="str">
        <f t="shared" si="53"/>
        <v/>
      </c>
      <c r="H557" t="str">
        <f t="shared" si="54"/>
        <v/>
      </c>
      <c r="I557" s="23" t="str">
        <f ca="1">IF(A557="","",IF($B$8="Sí",interpolar_alamb(H557,OFFSET(Curvas_cupon_cero!$A$1,1,0,COUNT(Curvas_cupon_cero!$A:$A)-2,1),OFFSET(Curvas_cupon_cero!$A$1,1,MATCH($B$6,Curvas_cupon_cero!$1:$1,0)-1,COUNT(Curvas_cupon_cero!$A:$A)-2,1)),[1]!interpolar(H557,OFFSET(Curvas_cupon_cero!$A$1,1,0,COUNT(Curvas_cupon_cero!$A:$A)-2,1),OFFSET(Curvas_cupon_cero!$A$1,1,MATCH($B$6,Curvas_cupon_cero!$1:$1,0)-1,COUNT(Curvas_cupon_cero!$A:$A)-2,1))))</f>
        <v/>
      </c>
      <c r="J557" s="19" t="str">
        <f>IF(A557="","",F557/(1+I557*$B$5/360)^(COUNT(A$16:A557)-($B$5-$G$16)/$B$5))</f>
        <v/>
      </c>
    </row>
    <row r="558" spans="1:10" x14ac:dyDescent="0.2">
      <c r="A558" s="12" t="str">
        <f t="shared" si="51"/>
        <v/>
      </c>
      <c r="B558" t="str">
        <f t="shared" si="49"/>
        <v/>
      </c>
      <c r="C558" s="21" t="str">
        <f ca="1">IF(A558="","",IF($B$8="Sí",interpolar_alamb(B558,OFFSET(Curvas_cupon_cero!$A$1,1,0,COUNT(Curvas_cupon_cero!$A:$A)-2,1),OFFSET(Curvas_cupon_cero!$A$1,1,MATCH($B$7,Curvas_cupon_cero!$1:$1,0)-1,COUNT(Curvas_cupon_cero!$A:$A)-2,1)),[1]!interpolar(B558,OFFSET(Curvas_cupon_cero!$A$1,1,0,COUNT(Curvas_cupon_cero!$A:$A)-2,1),OFFSET(Curvas_cupon_cero!$A$1,1,MATCH($B$7,Curvas_cupon_cero!$1:$1,0)-1,COUNT(Curvas_cupon_cero!$A:$A)-2,1))))</f>
        <v/>
      </c>
      <c r="D558" s="23" t="str">
        <f ca="1">IF(A558="","",IF($B$8="Sí",interpolar_alamb(H558,OFFSET(Curvas_cupon_cero!$A$1,1,0,COUNT(Curvas_cupon_cero!$A:$A)-2,1),OFFSET(Curvas_cupon_cero!$A$1,1,MATCH($B$7,Curvas_cupon_cero!$1:$1,0)-1,COUNT(Curvas_cupon_cero!$A:$A)-2,1)),[1]!interpolar(H558,OFFSET(Curvas_cupon_cero!$A$1,1,0,COUNT(Curvas_cupon_cero!$A:$A)-2,1),OFFSET(Curvas_cupon_cero!$A$1,1,MATCH($B$7,Curvas_cupon_cero!$1:$1,0)-1,COUNT(Curvas_cupon_cero!$A:$A)-2,1))))</f>
        <v/>
      </c>
      <c r="E558" s="23" t="str">
        <f t="shared" si="52"/>
        <v/>
      </c>
      <c r="F558" s="17" t="str">
        <f t="shared" si="50"/>
        <v/>
      </c>
      <c r="G558" s="18" t="str">
        <f t="shared" si="53"/>
        <v/>
      </c>
      <c r="H558" t="str">
        <f t="shared" si="54"/>
        <v/>
      </c>
      <c r="I558" s="23" t="str">
        <f ca="1">IF(A558="","",IF($B$8="Sí",interpolar_alamb(H558,OFFSET(Curvas_cupon_cero!$A$1,1,0,COUNT(Curvas_cupon_cero!$A:$A)-2,1),OFFSET(Curvas_cupon_cero!$A$1,1,MATCH($B$6,Curvas_cupon_cero!$1:$1,0)-1,COUNT(Curvas_cupon_cero!$A:$A)-2,1)),[1]!interpolar(H558,OFFSET(Curvas_cupon_cero!$A$1,1,0,COUNT(Curvas_cupon_cero!$A:$A)-2,1),OFFSET(Curvas_cupon_cero!$A$1,1,MATCH($B$6,Curvas_cupon_cero!$1:$1,0)-1,COUNT(Curvas_cupon_cero!$A:$A)-2,1))))</f>
        <v/>
      </c>
      <c r="J558" s="19" t="str">
        <f>IF(A558="","",F558/(1+I558*$B$5/360)^(COUNT(A$16:A558)-($B$5-$G$16)/$B$5))</f>
        <v/>
      </c>
    </row>
    <row r="559" spans="1:10" x14ac:dyDescent="0.2">
      <c r="A559" s="12" t="str">
        <f t="shared" si="51"/>
        <v/>
      </c>
      <c r="B559" t="str">
        <f t="shared" si="49"/>
        <v/>
      </c>
      <c r="C559" s="21" t="str">
        <f ca="1">IF(A559="","",IF($B$8="Sí",interpolar_alamb(B559,OFFSET(Curvas_cupon_cero!$A$1,1,0,COUNT(Curvas_cupon_cero!$A:$A)-2,1),OFFSET(Curvas_cupon_cero!$A$1,1,MATCH($B$7,Curvas_cupon_cero!$1:$1,0)-1,COUNT(Curvas_cupon_cero!$A:$A)-2,1)),[1]!interpolar(B559,OFFSET(Curvas_cupon_cero!$A$1,1,0,COUNT(Curvas_cupon_cero!$A:$A)-2,1),OFFSET(Curvas_cupon_cero!$A$1,1,MATCH($B$7,Curvas_cupon_cero!$1:$1,0)-1,COUNT(Curvas_cupon_cero!$A:$A)-2,1))))</f>
        <v/>
      </c>
      <c r="D559" s="23" t="str">
        <f ca="1">IF(A559="","",IF($B$8="Sí",interpolar_alamb(H559,OFFSET(Curvas_cupon_cero!$A$1,1,0,COUNT(Curvas_cupon_cero!$A:$A)-2,1),OFFSET(Curvas_cupon_cero!$A$1,1,MATCH($B$7,Curvas_cupon_cero!$1:$1,0)-1,COUNT(Curvas_cupon_cero!$A:$A)-2,1)),[1]!interpolar(H559,OFFSET(Curvas_cupon_cero!$A$1,1,0,COUNT(Curvas_cupon_cero!$A:$A)-2,1),OFFSET(Curvas_cupon_cero!$A$1,1,MATCH($B$7,Curvas_cupon_cero!$1:$1,0)-1,COUNT(Curvas_cupon_cero!$A:$A)-2,1))))</f>
        <v/>
      </c>
      <c r="E559" s="23" t="str">
        <f t="shared" si="52"/>
        <v/>
      </c>
      <c r="F559" s="17" t="str">
        <f t="shared" si="50"/>
        <v/>
      </c>
      <c r="G559" s="18" t="str">
        <f t="shared" si="53"/>
        <v/>
      </c>
      <c r="H559" t="str">
        <f t="shared" si="54"/>
        <v/>
      </c>
      <c r="I559" s="23" t="str">
        <f ca="1">IF(A559="","",IF($B$8="Sí",interpolar_alamb(H559,OFFSET(Curvas_cupon_cero!$A$1,1,0,COUNT(Curvas_cupon_cero!$A:$A)-2,1),OFFSET(Curvas_cupon_cero!$A$1,1,MATCH($B$6,Curvas_cupon_cero!$1:$1,0)-1,COUNT(Curvas_cupon_cero!$A:$A)-2,1)),[1]!interpolar(H559,OFFSET(Curvas_cupon_cero!$A$1,1,0,COUNT(Curvas_cupon_cero!$A:$A)-2,1),OFFSET(Curvas_cupon_cero!$A$1,1,MATCH($B$6,Curvas_cupon_cero!$1:$1,0)-1,COUNT(Curvas_cupon_cero!$A:$A)-2,1))))</f>
        <v/>
      </c>
      <c r="J559" s="19" t="str">
        <f>IF(A559="","",F559/(1+I559*$B$5/360)^(COUNT(A$16:A559)-($B$5-$G$16)/$B$5))</f>
        <v/>
      </c>
    </row>
    <row r="560" spans="1:10" x14ac:dyDescent="0.2">
      <c r="A560" s="12" t="str">
        <f t="shared" si="51"/>
        <v/>
      </c>
      <c r="B560" t="str">
        <f t="shared" si="49"/>
        <v/>
      </c>
      <c r="C560" s="21" t="str">
        <f ca="1">IF(A560="","",IF($B$8="Sí",interpolar_alamb(B560,OFFSET(Curvas_cupon_cero!$A$1,1,0,COUNT(Curvas_cupon_cero!$A:$A)-2,1),OFFSET(Curvas_cupon_cero!$A$1,1,MATCH($B$7,Curvas_cupon_cero!$1:$1,0)-1,COUNT(Curvas_cupon_cero!$A:$A)-2,1)),[1]!interpolar(B560,OFFSET(Curvas_cupon_cero!$A$1,1,0,COUNT(Curvas_cupon_cero!$A:$A)-2,1),OFFSET(Curvas_cupon_cero!$A$1,1,MATCH($B$7,Curvas_cupon_cero!$1:$1,0)-1,COUNT(Curvas_cupon_cero!$A:$A)-2,1))))</f>
        <v/>
      </c>
      <c r="D560" s="23" t="str">
        <f ca="1">IF(A560="","",IF($B$8="Sí",interpolar_alamb(H560,OFFSET(Curvas_cupon_cero!$A$1,1,0,COUNT(Curvas_cupon_cero!$A:$A)-2,1),OFFSET(Curvas_cupon_cero!$A$1,1,MATCH($B$7,Curvas_cupon_cero!$1:$1,0)-1,COUNT(Curvas_cupon_cero!$A:$A)-2,1)),[1]!interpolar(H560,OFFSET(Curvas_cupon_cero!$A$1,1,0,COUNT(Curvas_cupon_cero!$A:$A)-2,1),OFFSET(Curvas_cupon_cero!$A$1,1,MATCH($B$7,Curvas_cupon_cero!$1:$1,0)-1,COUNT(Curvas_cupon_cero!$A:$A)-2,1))))</f>
        <v/>
      </c>
      <c r="E560" s="23" t="str">
        <f t="shared" si="52"/>
        <v/>
      </c>
      <c r="F560" s="17" t="str">
        <f t="shared" si="50"/>
        <v/>
      </c>
      <c r="G560" s="18" t="str">
        <f t="shared" si="53"/>
        <v/>
      </c>
      <c r="H560" t="str">
        <f t="shared" si="54"/>
        <v/>
      </c>
      <c r="I560" s="23" t="str">
        <f ca="1">IF(A560="","",IF($B$8="Sí",interpolar_alamb(H560,OFFSET(Curvas_cupon_cero!$A$1,1,0,COUNT(Curvas_cupon_cero!$A:$A)-2,1),OFFSET(Curvas_cupon_cero!$A$1,1,MATCH($B$6,Curvas_cupon_cero!$1:$1,0)-1,COUNT(Curvas_cupon_cero!$A:$A)-2,1)),[1]!interpolar(H560,OFFSET(Curvas_cupon_cero!$A$1,1,0,COUNT(Curvas_cupon_cero!$A:$A)-2,1),OFFSET(Curvas_cupon_cero!$A$1,1,MATCH($B$6,Curvas_cupon_cero!$1:$1,0)-1,COUNT(Curvas_cupon_cero!$A:$A)-2,1))))</f>
        <v/>
      </c>
      <c r="J560" s="19" t="str">
        <f>IF(A560="","",F560/(1+I560*$B$5/360)^(COUNT(A$16:A560)-($B$5-$G$16)/$B$5))</f>
        <v/>
      </c>
    </row>
    <row r="561" spans="1:10" x14ac:dyDescent="0.2">
      <c r="A561" s="12" t="str">
        <f t="shared" si="51"/>
        <v/>
      </c>
      <c r="B561" t="str">
        <f t="shared" si="49"/>
        <v/>
      </c>
      <c r="C561" s="21" t="str">
        <f ca="1">IF(A561="","",IF($B$8="Sí",interpolar_alamb(B561,OFFSET(Curvas_cupon_cero!$A$1,1,0,COUNT(Curvas_cupon_cero!$A:$A)-2,1),OFFSET(Curvas_cupon_cero!$A$1,1,MATCH($B$7,Curvas_cupon_cero!$1:$1,0)-1,COUNT(Curvas_cupon_cero!$A:$A)-2,1)),[1]!interpolar(B561,OFFSET(Curvas_cupon_cero!$A$1,1,0,COUNT(Curvas_cupon_cero!$A:$A)-2,1),OFFSET(Curvas_cupon_cero!$A$1,1,MATCH($B$7,Curvas_cupon_cero!$1:$1,0)-1,COUNT(Curvas_cupon_cero!$A:$A)-2,1))))</f>
        <v/>
      </c>
      <c r="D561" s="23" t="str">
        <f ca="1">IF(A561="","",IF($B$8="Sí",interpolar_alamb(H561,OFFSET(Curvas_cupon_cero!$A$1,1,0,COUNT(Curvas_cupon_cero!$A:$A)-2,1),OFFSET(Curvas_cupon_cero!$A$1,1,MATCH($B$7,Curvas_cupon_cero!$1:$1,0)-1,COUNT(Curvas_cupon_cero!$A:$A)-2,1)),[1]!interpolar(H561,OFFSET(Curvas_cupon_cero!$A$1,1,0,COUNT(Curvas_cupon_cero!$A:$A)-2,1),OFFSET(Curvas_cupon_cero!$A$1,1,MATCH($B$7,Curvas_cupon_cero!$1:$1,0)-1,COUNT(Curvas_cupon_cero!$A:$A)-2,1))))</f>
        <v/>
      </c>
      <c r="E561" s="23" t="str">
        <f t="shared" si="52"/>
        <v/>
      </c>
      <c r="F561" s="17" t="str">
        <f t="shared" si="50"/>
        <v/>
      </c>
      <c r="G561" s="18" t="str">
        <f t="shared" si="53"/>
        <v/>
      </c>
      <c r="H561" t="str">
        <f t="shared" si="54"/>
        <v/>
      </c>
      <c r="I561" s="23" t="str">
        <f ca="1">IF(A561="","",IF($B$8="Sí",interpolar_alamb(H561,OFFSET(Curvas_cupon_cero!$A$1,1,0,COUNT(Curvas_cupon_cero!$A:$A)-2,1),OFFSET(Curvas_cupon_cero!$A$1,1,MATCH($B$6,Curvas_cupon_cero!$1:$1,0)-1,COUNT(Curvas_cupon_cero!$A:$A)-2,1)),[1]!interpolar(H561,OFFSET(Curvas_cupon_cero!$A$1,1,0,COUNT(Curvas_cupon_cero!$A:$A)-2,1),OFFSET(Curvas_cupon_cero!$A$1,1,MATCH($B$6,Curvas_cupon_cero!$1:$1,0)-1,COUNT(Curvas_cupon_cero!$A:$A)-2,1))))</f>
        <v/>
      </c>
      <c r="J561" s="19" t="str">
        <f>IF(A561="","",F561/(1+I561*$B$5/360)^(COUNT(A$16:A561)-($B$5-$G$16)/$B$5))</f>
        <v/>
      </c>
    </row>
    <row r="562" spans="1:10" x14ac:dyDescent="0.2">
      <c r="A562" s="12" t="str">
        <f t="shared" si="51"/>
        <v/>
      </c>
      <c r="B562" t="str">
        <f t="shared" si="49"/>
        <v/>
      </c>
      <c r="C562" s="21" t="str">
        <f ca="1">IF(A562="","",IF($B$8="Sí",interpolar_alamb(B562,OFFSET(Curvas_cupon_cero!$A$1,1,0,COUNT(Curvas_cupon_cero!$A:$A)-2,1),OFFSET(Curvas_cupon_cero!$A$1,1,MATCH($B$7,Curvas_cupon_cero!$1:$1,0)-1,COUNT(Curvas_cupon_cero!$A:$A)-2,1)),[1]!interpolar(B562,OFFSET(Curvas_cupon_cero!$A$1,1,0,COUNT(Curvas_cupon_cero!$A:$A)-2,1),OFFSET(Curvas_cupon_cero!$A$1,1,MATCH($B$7,Curvas_cupon_cero!$1:$1,0)-1,COUNT(Curvas_cupon_cero!$A:$A)-2,1))))</f>
        <v/>
      </c>
      <c r="D562" s="23" t="str">
        <f ca="1">IF(A562="","",IF($B$8="Sí",interpolar_alamb(H562,OFFSET(Curvas_cupon_cero!$A$1,1,0,COUNT(Curvas_cupon_cero!$A:$A)-2,1),OFFSET(Curvas_cupon_cero!$A$1,1,MATCH($B$7,Curvas_cupon_cero!$1:$1,0)-1,COUNT(Curvas_cupon_cero!$A:$A)-2,1)),[1]!interpolar(H562,OFFSET(Curvas_cupon_cero!$A$1,1,0,COUNT(Curvas_cupon_cero!$A:$A)-2,1),OFFSET(Curvas_cupon_cero!$A$1,1,MATCH($B$7,Curvas_cupon_cero!$1:$1,0)-1,COUNT(Curvas_cupon_cero!$A:$A)-2,1))))</f>
        <v/>
      </c>
      <c r="E562" s="23" t="str">
        <f t="shared" si="52"/>
        <v/>
      </c>
      <c r="F562" s="17" t="str">
        <f t="shared" si="50"/>
        <v/>
      </c>
      <c r="G562" s="18" t="str">
        <f t="shared" si="53"/>
        <v/>
      </c>
      <c r="H562" t="str">
        <f t="shared" si="54"/>
        <v/>
      </c>
      <c r="I562" s="23" t="str">
        <f ca="1">IF(A562="","",IF($B$8="Sí",interpolar_alamb(H562,OFFSET(Curvas_cupon_cero!$A$1,1,0,COUNT(Curvas_cupon_cero!$A:$A)-2,1),OFFSET(Curvas_cupon_cero!$A$1,1,MATCH($B$6,Curvas_cupon_cero!$1:$1,0)-1,COUNT(Curvas_cupon_cero!$A:$A)-2,1)),[1]!interpolar(H562,OFFSET(Curvas_cupon_cero!$A$1,1,0,COUNT(Curvas_cupon_cero!$A:$A)-2,1),OFFSET(Curvas_cupon_cero!$A$1,1,MATCH($B$6,Curvas_cupon_cero!$1:$1,0)-1,COUNT(Curvas_cupon_cero!$A:$A)-2,1))))</f>
        <v/>
      </c>
      <c r="J562" s="19" t="str">
        <f>IF(A562="","",F562/(1+I562*$B$5/360)^(COUNT(A$16:A562)-($B$5-$G$16)/$B$5))</f>
        <v/>
      </c>
    </row>
    <row r="563" spans="1:10" x14ac:dyDescent="0.2">
      <c r="A563" s="12" t="str">
        <f t="shared" si="51"/>
        <v/>
      </c>
      <c r="B563" t="str">
        <f t="shared" si="49"/>
        <v/>
      </c>
      <c r="C563" s="21" t="str">
        <f ca="1">IF(A563="","",IF($B$8="Sí",interpolar_alamb(B563,OFFSET(Curvas_cupon_cero!$A$1,1,0,COUNT(Curvas_cupon_cero!$A:$A)-2,1),OFFSET(Curvas_cupon_cero!$A$1,1,MATCH($B$7,Curvas_cupon_cero!$1:$1,0)-1,COUNT(Curvas_cupon_cero!$A:$A)-2,1)),[1]!interpolar(B563,OFFSET(Curvas_cupon_cero!$A$1,1,0,COUNT(Curvas_cupon_cero!$A:$A)-2,1),OFFSET(Curvas_cupon_cero!$A$1,1,MATCH($B$7,Curvas_cupon_cero!$1:$1,0)-1,COUNT(Curvas_cupon_cero!$A:$A)-2,1))))</f>
        <v/>
      </c>
      <c r="D563" s="23" t="str">
        <f ca="1">IF(A563="","",IF($B$8="Sí",interpolar_alamb(H563,OFFSET(Curvas_cupon_cero!$A$1,1,0,COUNT(Curvas_cupon_cero!$A:$A)-2,1),OFFSET(Curvas_cupon_cero!$A$1,1,MATCH($B$7,Curvas_cupon_cero!$1:$1,0)-1,COUNT(Curvas_cupon_cero!$A:$A)-2,1)),[1]!interpolar(H563,OFFSET(Curvas_cupon_cero!$A$1,1,0,COUNT(Curvas_cupon_cero!$A:$A)-2,1),OFFSET(Curvas_cupon_cero!$A$1,1,MATCH($B$7,Curvas_cupon_cero!$1:$1,0)-1,COUNT(Curvas_cupon_cero!$A:$A)-2,1))))</f>
        <v/>
      </c>
      <c r="E563" s="23" t="str">
        <f t="shared" si="52"/>
        <v/>
      </c>
      <c r="F563" s="17" t="str">
        <f t="shared" si="50"/>
        <v/>
      </c>
      <c r="G563" s="18" t="str">
        <f t="shared" si="53"/>
        <v/>
      </c>
      <c r="H563" t="str">
        <f t="shared" si="54"/>
        <v/>
      </c>
      <c r="I563" s="23" t="str">
        <f ca="1">IF(A563="","",IF($B$8="Sí",interpolar_alamb(H563,OFFSET(Curvas_cupon_cero!$A$1,1,0,COUNT(Curvas_cupon_cero!$A:$A)-2,1),OFFSET(Curvas_cupon_cero!$A$1,1,MATCH($B$6,Curvas_cupon_cero!$1:$1,0)-1,COUNT(Curvas_cupon_cero!$A:$A)-2,1)),[1]!interpolar(H563,OFFSET(Curvas_cupon_cero!$A$1,1,0,COUNT(Curvas_cupon_cero!$A:$A)-2,1),OFFSET(Curvas_cupon_cero!$A$1,1,MATCH($B$6,Curvas_cupon_cero!$1:$1,0)-1,COUNT(Curvas_cupon_cero!$A:$A)-2,1))))</f>
        <v/>
      </c>
      <c r="J563" s="19" t="str">
        <f>IF(A563="","",F563/(1+I563*$B$5/360)^(COUNT(A$16:A563)-($B$5-$G$16)/$B$5))</f>
        <v/>
      </c>
    </row>
    <row r="564" spans="1:10" x14ac:dyDescent="0.2">
      <c r="A564" s="12" t="str">
        <f t="shared" si="51"/>
        <v/>
      </c>
      <c r="B564" t="str">
        <f t="shared" si="49"/>
        <v/>
      </c>
      <c r="C564" s="21" t="str">
        <f ca="1">IF(A564="","",IF($B$8="Sí",interpolar_alamb(B564,OFFSET(Curvas_cupon_cero!$A$1,1,0,COUNT(Curvas_cupon_cero!$A:$A)-2,1),OFFSET(Curvas_cupon_cero!$A$1,1,MATCH($B$7,Curvas_cupon_cero!$1:$1,0)-1,COUNT(Curvas_cupon_cero!$A:$A)-2,1)),[1]!interpolar(B564,OFFSET(Curvas_cupon_cero!$A$1,1,0,COUNT(Curvas_cupon_cero!$A:$A)-2,1),OFFSET(Curvas_cupon_cero!$A$1,1,MATCH($B$7,Curvas_cupon_cero!$1:$1,0)-1,COUNT(Curvas_cupon_cero!$A:$A)-2,1))))</f>
        <v/>
      </c>
      <c r="D564" s="23" t="str">
        <f ca="1">IF(A564="","",IF($B$8="Sí",interpolar_alamb(H564,OFFSET(Curvas_cupon_cero!$A$1,1,0,COUNT(Curvas_cupon_cero!$A:$A)-2,1),OFFSET(Curvas_cupon_cero!$A$1,1,MATCH($B$7,Curvas_cupon_cero!$1:$1,0)-1,COUNT(Curvas_cupon_cero!$A:$A)-2,1)),[1]!interpolar(H564,OFFSET(Curvas_cupon_cero!$A$1,1,0,COUNT(Curvas_cupon_cero!$A:$A)-2,1),OFFSET(Curvas_cupon_cero!$A$1,1,MATCH($B$7,Curvas_cupon_cero!$1:$1,0)-1,COUNT(Curvas_cupon_cero!$A:$A)-2,1))))</f>
        <v/>
      </c>
      <c r="E564" s="23" t="str">
        <f t="shared" si="52"/>
        <v/>
      </c>
      <c r="F564" s="17" t="str">
        <f t="shared" si="50"/>
        <v/>
      </c>
      <c r="G564" s="18" t="str">
        <f t="shared" si="53"/>
        <v/>
      </c>
      <c r="H564" t="str">
        <f t="shared" si="54"/>
        <v/>
      </c>
      <c r="I564" s="23" t="str">
        <f ca="1">IF(A564="","",IF($B$8="Sí",interpolar_alamb(H564,OFFSET(Curvas_cupon_cero!$A$1,1,0,COUNT(Curvas_cupon_cero!$A:$A)-2,1),OFFSET(Curvas_cupon_cero!$A$1,1,MATCH($B$6,Curvas_cupon_cero!$1:$1,0)-1,COUNT(Curvas_cupon_cero!$A:$A)-2,1)),[1]!interpolar(H564,OFFSET(Curvas_cupon_cero!$A$1,1,0,COUNT(Curvas_cupon_cero!$A:$A)-2,1),OFFSET(Curvas_cupon_cero!$A$1,1,MATCH($B$6,Curvas_cupon_cero!$1:$1,0)-1,COUNT(Curvas_cupon_cero!$A:$A)-2,1))))</f>
        <v/>
      </c>
      <c r="J564" s="19" t="str">
        <f>IF(A564="","",F564/(1+I564*$B$5/360)^(COUNT(A$16:A564)-($B$5-$G$16)/$B$5))</f>
        <v/>
      </c>
    </row>
    <row r="565" spans="1:10" x14ac:dyDescent="0.2">
      <c r="A565" s="12" t="str">
        <f t="shared" si="51"/>
        <v/>
      </c>
      <c r="B565" t="str">
        <f t="shared" si="49"/>
        <v/>
      </c>
      <c r="C565" s="21" t="str">
        <f ca="1">IF(A565="","",IF($B$8="Sí",interpolar_alamb(B565,OFFSET(Curvas_cupon_cero!$A$1,1,0,COUNT(Curvas_cupon_cero!$A:$A)-2,1),OFFSET(Curvas_cupon_cero!$A$1,1,MATCH($B$7,Curvas_cupon_cero!$1:$1,0)-1,COUNT(Curvas_cupon_cero!$A:$A)-2,1)),[1]!interpolar(B565,OFFSET(Curvas_cupon_cero!$A$1,1,0,COUNT(Curvas_cupon_cero!$A:$A)-2,1),OFFSET(Curvas_cupon_cero!$A$1,1,MATCH($B$7,Curvas_cupon_cero!$1:$1,0)-1,COUNT(Curvas_cupon_cero!$A:$A)-2,1))))</f>
        <v/>
      </c>
      <c r="D565" s="23" t="str">
        <f ca="1">IF(A565="","",IF($B$8="Sí",interpolar_alamb(H565,OFFSET(Curvas_cupon_cero!$A$1,1,0,COUNT(Curvas_cupon_cero!$A:$A)-2,1),OFFSET(Curvas_cupon_cero!$A$1,1,MATCH($B$7,Curvas_cupon_cero!$1:$1,0)-1,COUNT(Curvas_cupon_cero!$A:$A)-2,1)),[1]!interpolar(H565,OFFSET(Curvas_cupon_cero!$A$1,1,0,COUNT(Curvas_cupon_cero!$A:$A)-2,1),OFFSET(Curvas_cupon_cero!$A$1,1,MATCH($B$7,Curvas_cupon_cero!$1:$1,0)-1,COUNT(Curvas_cupon_cero!$A:$A)-2,1))))</f>
        <v/>
      </c>
      <c r="E565" s="23" t="str">
        <f t="shared" si="52"/>
        <v/>
      </c>
      <c r="F565" s="17" t="str">
        <f t="shared" si="50"/>
        <v/>
      </c>
      <c r="G565" s="18" t="str">
        <f t="shared" si="53"/>
        <v/>
      </c>
      <c r="H565" t="str">
        <f t="shared" si="54"/>
        <v/>
      </c>
      <c r="I565" s="23" t="str">
        <f ca="1">IF(A565="","",IF($B$8="Sí",interpolar_alamb(H565,OFFSET(Curvas_cupon_cero!$A$1,1,0,COUNT(Curvas_cupon_cero!$A:$A)-2,1),OFFSET(Curvas_cupon_cero!$A$1,1,MATCH($B$6,Curvas_cupon_cero!$1:$1,0)-1,COUNT(Curvas_cupon_cero!$A:$A)-2,1)),[1]!interpolar(H565,OFFSET(Curvas_cupon_cero!$A$1,1,0,COUNT(Curvas_cupon_cero!$A:$A)-2,1),OFFSET(Curvas_cupon_cero!$A$1,1,MATCH($B$6,Curvas_cupon_cero!$1:$1,0)-1,COUNT(Curvas_cupon_cero!$A:$A)-2,1))))</f>
        <v/>
      </c>
      <c r="J565" s="19" t="str">
        <f>IF(A565="","",F565/(1+I565*$B$5/360)^(COUNT(A$16:A565)-($B$5-$G$16)/$B$5))</f>
        <v/>
      </c>
    </row>
    <row r="566" spans="1:10" x14ac:dyDescent="0.2">
      <c r="A566" s="12" t="str">
        <f t="shared" si="51"/>
        <v/>
      </c>
      <c r="B566" t="str">
        <f t="shared" si="49"/>
        <v/>
      </c>
      <c r="C566" s="21" t="str">
        <f ca="1">IF(A566="","",IF($B$8="Sí",interpolar_alamb(B566,OFFSET(Curvas_cupon_cero!$A$1,1,0,COUNT(Curvas_cupon_cero!$A:$A)-2,1),OFFSET(Curvas_cupon_cero!$A$1,1,MATCH($B$7,Curvas_cupon_cero!$1:$1,0)-1,COUNT(Curvas_cupon_cero!$A:$A)-2,1)),[1]!interpolar(B566,OFFSET(Curvas_cupon_cero!$A$1,1,0,COUNT(Curvas_cupon_cero!$A:$A)-2,1),OFFSET(Curvas_cupon_cero!$A$1,1,MATCH($B$7,Curvas_cupon_cero!$1:$1,0)-1,COUNT(Curvas_cupon_cero!$A:$A)-2,1))))</f>
        <v/>
      </c>
      <c r="D566" s="23" t="str">
        <f ca="1">IF(A566="","",IF($B$8="Sí",interpolar_alamb(H566,OFFSET(Curvas_cupon_cero!$A$1,1,0,COUNT(Curvas_cupon_cero!$A:$A)-2,1),OFFSET(Curvas_cupon_cero!$A$1,1,MATCH($B$7,Curvas_cupon_cero!$1:$1,0)-1,COUNT(Curvas_cupon_cero!$A:$A)-2,1)),[1]!interpolar(H566,OFFSET(Curvas_cupon_cero!$A$1,1,0,COUNT(Curvas_cupon_cero!$A:$A)-2,1),OFFSET(Curvas_cupon_cero!$A$1,1,MATCH($B$7,Curvas_cupon_cero!$1:$1,0)-1,COUNT(Curvas_cupon_cero!$A:$A)-2,1))))</f>
        <v/>
      </c>
      <c r="E566" s="23" t="str">
        <f t="shared" si="52"/>
        <v/>
      </c>
      <c r="F566" s="17" t="str">
        <f t="shared" si="50"/>
        <v/>
      </c>
      <c r="G566" s="18" t="str">
        <f t="shared" si="53"/>
        <v/>
      </c>
      <c r="H566" t="str">
        <f t="shared" si="54"/>
        <v/>
      </c>
      <c r="I566" s="23" t="str">
        <f ca="1">IF(A566="","",IF($B$8="Sí",interpolar_alamb(H566,OFFSET(Curvas_cupon_cero!$A$1,1,0,COUNT(Curvas_cupon_cero!$A:$A)-2,1),OFFSET(Curvas_cupon_cero!$A$1,1,MATCH($B$6,Curvas_cupon_cero!$1:$1,0)-1,COUNT(Curvas_cupon_cero!$A:$A)-2,1)),[1]!interpolar(H566,OFFSET(Curvas_cupon_cero!$A$1,1,0,COUNT(Curvas_cupon_cero!$A:$A)-2,1),OFFSET(Curvas_cupon_cero!$A$1,1,MATCH($B$6,Curvas_cupon_cero!$1:$1,0)-1,COUNT(Curvas_cupon_cero!$A:$A)-2,1))))</f>
        <v/>
      </c>
      <c r="J566" s="19" t="str">
        <f>IF(A566="","",F566/(1+I566*$B$5/360)^(COUNT(A$16:A566)-($B$5-$G$16)/$B$5))</f>
        <v/>
      </c>
    </row>
    <row r="567" spans="1:10" x14ac:dyDescent="0.2">
      <c r="A567" s="12" t="str">
        <f t="shared" si="51"/>
        <v/>
      </c>
      <c r="B567" t="str">
        <f t="shared" si="49"/>
        <v/>
      </c>
      <c r="C567" s="21" t="str">
        <f ca="1">IF(A567="","",IF($B$8="Sí",interpolar_alamb(B567,OFFSET(Curvas_cupon_cero!$A$1,1,0,COUNT(Curvas_cupon_cero!$A:$A)-2,1),OFFSET(Curvas_cupon_cero!$A$1,1,MATCH($B$7,Curvas_cupon_cero!$1:$1,0)-1,COUNT(Curvas_cupon_cero!$A:$A)-2,1)),[1]!interpolar(B567,OFFSET(Curvas_cupon_cero!$A$1,1,0,COUNT(Curvas_cupon_cero!$A:$A)-2,1),OFFSET(Curvas_cupon_cero!$A$1,1,MATCH($B$7,Curvas_cupon_cero!$1:$1,0)-1,COUNT(Curvas_cupon_cero!$A:$A)-2,1))))</f>
        <v/>
      </c>
      <c r="D567" s="23" t="str">
        <f ca="1">IF(A567="","",IF($B$8="Sí",interpolar_alamb(H567,OFFSET(Curvas_cupon_cero!$A$1,1,0,COUNT(Curvas_cupon_cero!$A:$A)-2,1),OFFSET(Curvas_cupon_cero!$A$1,1,MATCH($B$7,Curvas_cupon_cero!$1:$1,0)-1,COUNT(Curvas_cupon_cero!$A:$A)-2,1)),[1]!interpolar(H567,OFFSET(Curvas_cupon_cero!$A$1,1,0,COUNT(Curvas_cupon_cero!$A:$A)-2,1),OFFSET(Curvas_cupon_cero!$A$1,1,MATCH($B$7,Curvas_cupon_cero!$1:$1,0)-1,COUNT(Curvas_cupon_cero!$A:$A)-2,1))))</f>
        <v/>
      </c>
      <c r="E567" s="23" t="str">
        <f t="shared" si="52"/>
        <v/>
      </c>
      <c r="F567" s="17" t="str">
        <f t="shared" si="50"/>
        <v/>
      </c>
      <c r="G567" s="18" t="str">
        <f t="shared" si="53"/>
        <v/>
      </c>
      <c r="H567" t="str">
        <f t="shared" si="54"/>
        <v/>
      </c>
      <c r="I567" s="23" t="str">
        <f ca="1">IF(A567="","",IF($B$8="Sí",interpolar_alamb(H567,OFFSET(Curvas_cupon_cero!$A$1,1,0,COUNT(Curvas_cupon_cero!$A:$A)-2,1),OFFSET(Curvas_cupon_cero!$A$1,1,MATCH($B$6,Curvas_cupon_cero!$1:$1,0)-1,COUNT(Curvas_cupon_cero!$A:$A)-2,1)),[1]!interpolar(H567,OFFSET(Curvas_cupon_cero!$A$1,1,0,COUNT(Curvas_cupon_cero!$A:$A)-2,1),OFFSET(Curvas_cupon_cero!$A$1,1,MATCH($B$6,Curvas_cupon_cero!$1:$1,0)-1,COUNT(Curvas_cupon_cero!$A:$A)-2,1))))</f>
        <v/>
      </c>
      <c r="J567" s="19" t="str">
        <f>IF(A567="","",F567/(1+I567*$B$5/360)^(COUNT(A$16:A567)-($B$5-$G$16)/$B$5))</f>
        <v/>
      </c>
    </row>
    <row r="568" spans="1:10" x14ac:dyDescent="0.2">
      <c r="A568" s="12" t="str">
        <f t="shared" si="51"/>
        <v/>
      </c>
      <c r="B568" t="str">
        <f t="shared" si="49"/>
        <v/>
      </c>
      <c r="C568" s="21" t="str">
        <f ca="1">IF(A568="","",IF($B$8="Sí",interpolar_alamb(B568,OFFSET(Curvas_cupon_cero!$A$1,1,0,COUNT(Curvas_cupon_cero!$A:$A)-2,1),OFFSET(Curvas_cupon_cero!$A$1,1,MATCH($B$7,Curvas_cupon_cero!$1:$1,0)-1,COUNT(Curvas_cupon_cero!$A:$A)-2,1)),[1]!interpolar(B568,OFFSET(Curvas_cupon_cero!$A$1,1,0,COUNT(Curvas_cupon_cero!$A:$A)-2,1),OFFSET(Curvas_cupon_cero!$A$1,1,MATCH($B$7,Curvas_cupon_cero!$1:$1,0)-1,COUNT(Curvas_cupon_cero!$A:$A)-2,1))))</f>
        <v/>
      </c>
      <c r="D568" s="23" t="str">
        <f ca="1">IF(A568="","",IF($B$8="Sí",interpolar_alamb(H568,OFFSET(Curvas_cupon_cero!$A$1,1,0,COUNT(Curvas_cupon_cero!$A:$A)-2,1),OFFSET(Curvas_cupon_cero!$A$1,1,MATCH($B$7,Curvas_cupon_cero!$1:$1,0)-1,COUNT(Curvas_cupon_cero!$A:$A)-2,1)),[1]!interpolar(H568,OFFSET(Curvas_cupon_cero!$A$1,1,0,COUNT(Curvas_cupon_cero!$A:$A)-2,1),OFFSET(Curvas_cupon_cero!$A$1,1,MATCH($B$7,Curvas_cupon_cero!$1:$1,0)-1,COUNT(Curvas_cupon_cero!$A:$A)-2,1))))</f>
        <v/>
      </c>
      <c r="E568" s="23" t="str">
        <f t="shared" si="52"/>
        <v/>
      </c>
      <c r="F568" s="17" t="str">
        <f t="shared" si="50"/>
        <v/>
      </c>
      <c r="G568" s="18" t="str">
        <f t="shared" si="53"/>
        <v/>
      </c>
      <c r="H568" t="str">
        <f t="shared" si="54"/>
        <v/>
      </c>
      <c r="I568" s="23" t="str">
        <f ca="1">IF(A568="","",IF($B$8="Sí",interpolar_alamb(H568,OFFSET(Curvas_cupon_cero!$A$1,1,0,COUNT(Curvas_cupon_cero!$A:$A)-2,1),OFFSET(Curvas_cupon_cero!$A$1,1,MATCH($B$6,Curvas_cupon_cero!$1:$1,0)-1,COUNT(Curvas_cupon_cero!$A:$A)-2,1)),[1]!interpolar(H568,OFFSET(Curvas_cupon_cero!$A$1,1,0,COUNT(Curvas_cupon_cero!$A:$A)-2,1),OFFSET(Curvas_cupon_cero!$A$1,1,MATCH($B$6,Curvas_cupon_cero!$1:$1,0)-1,COUNT(Curvas_cupon_cero!$A:$A)-2,1))))</f>
        <v/>
      </c>
      <c r="J568" s="19" t="str">
        <f>IF(A568="","",F568/(1+I568*$B$5/360)^(COUNT(A$16:A568)-($B$5-$G$16)/$B$5))</f>
        <v/>
      </c>
    </row>
    <row r="569" spans="1:10" x14ac:dyDescent="0.2">
      <c r="A569" s="12" t="str">
        <f t="shared" si="51"/>
        <v/>
      </c>
      <c r="B569" t="str">
        <f t="shared" si="49"/>
        <v/>
      </c>
      <c r="C569" s="21" t="str">
        <f ca="1">IF(A569="","",IF($B$8="Sí",interpolar_alamb(B569,OFFSET(Curvas_cupon_cero!$A$1,1,0,COUNT(Curvas_cupon_cero!$A:$A)-2,1),OFFSET(Curvas_cupon_cero!$A$1,1,MATCH($B$7,Curvas_cupon_cero!$1:$1,0)-1,COUNT(Curvas_cupon_cero!$A:$A)-2,1)),[1]!interpolar(B569,OFFSET(Curvas_cupon_cero!$A$1,1,0,COUNT(Curvas_cupon_cero!$A:$A)-2,1),OFFSET(Curvas_cupon_cero!$A$1,1,MATCH($B$7,Curvas_cupon_cero!$1:$1,0)-1,COUNT(Curvas_cupon_cero!$A:$A)-2,1))))</f>
        <v/>
      </c>
      <c r="D569" s="23" t="str">
        <f ca="1">IF(A569="","",IF($B$8="Sí",interpolar_alamb(H569,OFFSET(Curvas_cupon_cero!$A$1,1,0,COUNT(Curvas_cupon_cero!$A:$A)-2,1),OFFSET(Curvas_cupon_cero!$A$1,1,MATCH($B$7,Curvas_cupon_cero!$1:$1,0)-1,COUNT(Curvas_cupon_cero!$A:$A)-2,1)),[1]!interpolar(H569,OFFSET(Curvas_cupon_cero!$A$1,1,0,COUNT(Curvas_cupon_cero!$A:$A)-2,1),OFFSET(Curvas_cupon_cero!$A$1,1,MATCH($B$7,Curvas_cupon_cero!$1:$1,0)-1,COUNT(Curvas_cupon_cero!$A:$A)-2,1))))</f>
        <v/>
      </c>
      <c r="E569" s="23" t="str">
        <f t="shared" si="52"/>
        <v/>
      </c>
      <c r="F569" s="17" t="str">
        <f t="shared" si="50"/>
        <v/>
      </c>
      <c r="G569" s="18" t="str">
        <f t="shared" si="53"/>
        <v/>
      </c>
      <c r="H569" t="str">
        <f t="shared" si="54"/>
        <v/>
      </c>
      <c r="I569" s="23" t="str">
        <f ca="1">IF(A569="","",IF($B$8="Sí",interpolar_alamb(H569,OFFSET(Curvas_cupon_cero!$A$1,1,0,COUNT(Curvas_cupon_cero!$A:$A)-2,1),OFFSET(Curvas_cupon_cero!$A$1,1,MATCH($B$6,Curvas_cupon_cero!$1:$1,0)-1,COUNT(Curvas_cupon_cero!$A:$A)-2,1)),[1]!interpolar(H569,OFFSET(Curvas_cupon_cero!$A$1,1,0,COUNT(Curvas_cupon_cero!$A:$A)-2,1),OFFSET(Curvas_cupon_cero!$A$1,1,MATCH($B$6,Curvas_cupon_cero!$1:$1,0)-1,COUNT(Curvas_cupon_cero!$A:$A)-2,1))))</f>
        <v/>
      </c>
      <c r="J569" s="19" t="str">
        <f>IF(A569="","",F569/(1+I569*$B$5/360)^(COUNT(A$16:A569)-($B$5-$G$16)/$B$5))</f>
        <v/>
      </c>
    </row>
    <row r="570" spans="1:10" x14ac:dyDescent="0.2">
      <c r="A570" s="12" t="str">
        <f t="shared" si="51"/>
        <v/>
      </c>
      <c r="B570" t="str">
        <f t="shared" si="49"/>
        <v/>
      </c>
      <c r="C570" s="21" t="str">
        <f ca="1">IF(A570="","",IF($B$8="Sí",interpolar_alamb(B570,OFFSET(Curvas_cupon_cero!$A$1,1,0,COUNT(Curvas_cupon_cero!$A:$A)-2,1),OFFSET(Curvas_cupon_cero!$A$1,1,MATCH($B$7,Curvas_cupon_cero!$1:$1,0)-1,COUNT(Curvas_cupon_cero!$A:$A)-2,1)),[1]!interpolar(B570,OFFSET(Curvas_cupon_cero!$A$1,1,0,COUNT(Curvas_cupon_cero!$A:$A)-2,1),OFFSET(Curvas_cupon_cero!$A$1,1,MATCH($B$7,Curvas_cupon_cero!$1:$1,0)-1,COUNT(Curvas_cupon_cero!$A:$A)-2,1))))</f>
        <v/>
      </c>
      <c r="D570" s="23" t="str">
        <f ca="1">IF(A570="","",IF($B$8="Sí",interpolar_alamb(H570,OFFSET(Curvas_cupon_cero!$A$1,1,0,COUNT(Curvas_cupon_cero!$A:$A)-2,1),OFFSET(Curvas_cupon_cero!$A$1,1,MATCH($B$7,Curvas_cupon_cero!$1:$1,0)-1,COUNT(Curvas_cupon_cero!$A:$A)-2,1)),[1]!interpolar(H570,OFFSET(Curvas_cupon_cero!$A$1,1,0,COUNT(Curvas_cupon_cero!$A:$A)-2,1),OFFSET(Curvas_cupon_cero!$A$1,1,MATCH($B$7,Curvas_cupon_cero!$1:$1,0)-1,COUNT(Curvas_cupon_cero!$A:$A)-2,1))))</f>
        <v/>
      </c>
      <c r="E570" s="23" t="str">
        <f t="shared" si="52"/>
        <v/>
      </c>
      <c r="F570" s="17" t="str">
        <f t="shared" si="50"/>
        <v/>
      </c>
      <c r="G570" s="18" t="str">
        <f t="shared" si="53"/>
        <v/>
      </c>
      <c r="H570" t="str">
        <f t="shared" si="54"/>
        <v/>
      </c>
      <c r="I570" s="23" t="str">
        <f ca="1">IF(A570="","",IF($B$8="Sí",interpolar_alamb(H570,OFFSET(Curvas_cupon_cero!$A$1,1,0,COUNT(Curvas_cupon_cero!$A:$A)-2,1),OFFSET(Curvas_cupon_cero!$A$1,1,MATCH($B$6,Curvas_cupon_cero!$1:$1,0)-1,COUNT(Curvas_cupon_cero!$A:$A)-2,1)),[1]!interpolar(H570,OFFSET(Curvas_cupon_cero!$A$1,1,0,COUNT(Curvas_cupon_cero!$A:$A)-2,1),OFFSET(Curvas_cupon_cero!$A$1,1,MATCH($B$6,Curvas_cupon_cero!$1:$1,0)-1,COUNT(Curvas_cupon_cero!$A:$A)-2,1))))</f>
        <v/>
      </c>
      <c r="J570" s="19" t="str">
        <f>IF(A570="","",F570/(1+I570*$B$5/360)^(COUNT(A$16:A570)-($B$5-$G$16)/$B$5))</f>
        <v/>
      </c>
    </row>
    <row r="571" spans="1:10" x14ac:dyDescent="0.2">
      <c r="A571" s="12" t="str">
        <f t="shared" si="51"/>
        <v/>
      </c>
      <c r="B571" t="str">
        <f t="shared" si="49"/>
        <v/>
      </c>
      <c r="C571" s="21" t="str">
        <f ca="1">IF(A571="","",IF($B$8="Sí",interpolar_alamb(B571,OFFSET(Curvas_cupon_cero!$A$1,1,0,COUNT(Curvas_cupon_cero!$A:$A)-2,1),OFFSET(Curvas_cupon_cero!$A$1,1,MATCH($B$7,Curvas_cupon_cero!$1:$1,0)-1,COUNT(Curvas_cupon_cero!$A:$A)-2,1)),[1]!interpolar(B571,OFFSET(Curvas_cupon_cero!$A$1,1,0,COUNT(Curvas_cupon_cero!$A:$A)-2,1),OFFSET(Curvas_cupon_cero!$A$1,1,MATCH($B$7,Curvas_cupon_cero!$1:$1,0)-1,COUNT(Curvas_cupon_cero!$A:$A)-2,1))))</f>
        <v/>
      </c>
      <c r="D571" s="23" t="str">
        <f ca="1">IF(A571="","",IF($B$8="Sí",interpolar_alamb(H571,OFFSET(Curvas_cupon_cero!$A$1,1,0,COUNT(Curvas_cupon_cero!$A:$A)-2,1),OFFSET(Curvas_cupon_cero!$A$1,1,MATCH($B$7,Curvas_cupon_cero!$1:$1,0)-1,COUNT(Curvas_cupon_cero!$A:$A)-2,1)),[1]!interpolar(H571,OFFSET(Curvas_cupon_cero!$A$1,1,0,COUNT(Curvas_cupon_cero!$A:$A)-2,1),OFFSET(Curvas_cupon_cero!$A$1,1,MATCH($B$7,Curvas_cupon_cero!$1:$1,0)-1,COUNT(Curvas_cupon_cero!$A:$A)-2,1))))</f>
        <v/>
      </c>
      <c r="E571" s="23" t="str">
        <f t="shared" si="52"/>
        <v/>
      </c>
      <c r="F571" s="17" t="str">
        <f t="shared" si="50"/>
        <v/>
      </c>
      <c r="G571" s="18" t="str">
        <f t="shared" si="53"/>
        <v/>
      </c>
      <c r="H571" t="str">
        <f t="shared" si="54"/>
        <v/>
      </c>
      <c r="I571" s="23" t="str">
        <f ca="1">IF(A571="","",IF($B$8="Sí",interpolar_alamb(H571,OFFSET(Curvas_cupon_cero!$A$1,1,0,COUNT(Curvas_cupon_cero!$A:$A)-2,1),OFFSET(Curvas_cupon_cero!$A$1,1,MATCH($B$6,Curvas_cupon_cero!$1:$1,0)-1,COUNT(Curvas_cupon_cero!$A:$A)-2,1)),[1]!interpolar(H571,OFFSET(Curvas_cupon_cero!$A$1,1,0,COUNT(Curvas_cupon_cero!$A:$A)-2,1),OFFSET(Curvas_cupon_cero!$A$1,1,MATCH($B$6,Curvas_cupon_cero!$1:$1,0)-1,COUNT(Curvas_cupon_cero!$A:$A)-2,1))))</f>
        <v/>
      </c>
      <c r="J571" s="19" t="str">
        <f>IF(A571="","",F571/(1+I571*$B$5/360)^(COUNT(A$16:A571)-($B$5-$G$16)/$B$5))</f>
        <v/>
      </c>
    </row>
    <row r="572" spans="1:10" x14ac:dyDescent="0.2">
      <c r="A572" s="12" t="str">
        <f t="shared" si="51"/>
        <v/>
      </c>
      <c r="B572" t="str">
        <f t="shared" si="49"/>
        <v/>
      </c>
      <c r="C572" s="21" t="str">
        <f ca="1">IF(A572="","",IF($B$8="Sí",interpolar_alamb(B572,OFFSET(Curvas_cupon_cero!$A$1,1,0,COUNT(Curvas_cupon_cero!$A:$A)-2,1),OFFSET(Curvas_cupon_cero!$A$1,1,MATCH($B$7,Curvas_cupon_cero!$1:$1,0)-1,COUNT(Curvas_cupon_cero!$A:$A)-2,1)),[1]!interpolar(B572,OFFSET(Curvas_cupon_cero!$A$1,1,0,COUNT(Curvas_cupon_cero!$A:$A)-2,1),OFFSET(Curvas_cupon_cero!$A$1,1,MATCH($B$7,Curvas_cupon_cero!$1:$1,0)-1,COUNT(Curvas_cupon_cero!$A:$A)-2,1))))</f>
        <v/>
      </c>
      <c r="D572" s="23" t="str">
        <f ca="1">IF(A572="","",IF($B$8="Sí",interpolar_alamb(H572,OFFSET(Curvas_cupon_cero!$A$1,1,0,COUNT(Curvas_cupon_cero!$A:$A)-2,1),OFFSET(Curvas_cupon_cero!$A$1,1,MATCH($B$7,Curvas_cupon_cero!$1:$1,0)-1,COUNT(Curvas_cupon_cero!$A:$A)-2,1)),[1]!interpolar(H572,OFFSET(Curvas_cupon_cero!$A$1,1,0,COUNT(Curvas_cupon_cero!$A:$A)-2,1),OFFSET(Curvas_cupon_cero!$A$1,1,MATCH($B$7,Curvas_cupon_cero!$1:$1,0)-1,COUNT(Curvas_cupon_cero!$A:$A)-2,1))))</f>
        <v/>
      </c>
      <c r="E572" s="23" t="str">
        <f t="shared" si="52"/>
        <v/>
      </c>
      <c r="F572" s="17" t="str">
        <f t="shared" si="50"/>
        <v/>
      </c>
      <c r="G572" s="18" t="str">
        <f t="shared" si="53"/>
        <v/>
      </c>
      <c r="H572" t="str">
        <f t="shared" si="54"/>
        <v/>
      </c>
      <c r="I572" s="23" t="str">
        <f ca="1">IF(A572="","",IF($B$8="Sí",interpolar_alamb(H572,OFFSET(Curvas_cupon_cero!$A$1,1,0,COUNT(Curvas_cupon_cero!$A:$A)-2,1),OFFSET(Curvas_cupon_cero!$A$1,1,MATCH($B$6,Curvas_cupon_cero!$1:$1,0)-1,COUNT(Curvas_cupon_cero!$A:$A)-2,1)),[1]!interpolar(H572,OFFSET(Curvas_cupon_cero!$A$1,1,0,COUNT(Curvas_cupon_cero!$A:$A)-2,1),OFFSET(Curvas_cupon_cero!$A$1,1,MATCH($B$6,Curvas_cupon_cero!$1:$1,0)-1,COUNT(Curvas_cupon_cero!$A:$A)-2,1))))</f>
        <v/>
      </c>
      <c r="J572" s="19" t="str">
        <f>IF(A572="","",F572/(1+I572*$B$5/360)^(COUNT(A$16:A572)-($B$5-$G$16)/$B$5))</f>
        <v/>
      </c>
    </row>
    <row r="573" spans="1:10" x14ac:dyDescent="0.2">
      <c r="A573" s="12" t="str">
        <f t="shared" si="51"/>
        <v/>
      </c>
      <c r="B573" t="str">
        <f t="shared" si="49"/>
        <v/>
      </c>
      <c r="C573" s="21" t="str">
        <f ca="1">IF(A573="","",IF($B$8="Sí",interpolar_alamb(B573,OFFSET(Curvas_cupon_cero!$A$1,1,0,COUNT(Curvas_cupon_cero!$A:$A)-2,1),OFFSET(Curvas_cupon_cero!$A$1,1,MATCH($B$7,Curvas_cupon_cero!$1:$1,0)-1,COUNT(Curvas_cupon_cero!$A:$A)-2,1)),[1]!interpolar(B573,OFFSET(Curvas_cupon_cero!$A$1,1,0,COUNT(Curvas_cupon_cero!$A:$A)-2,1),OFFSET(Curvas_cupon_cero!$A$1,1,MATCH($B$7,Curvas_cupon_cero!$1:$1,0)-1,COUNT(Curvas_cupon_cero!$A:$A)-2,1))))</f>
        <v/>
      </c>
      <c r="D573" s="23" t="str">
        <f ca="1">IF(A573="","",IF($B$8="Sí",interpolar_alamb(H573,OFFSET(Curvas_cupon_cero!$A$1,1,0,COUNT(Curvas_cupon_cero!$A:$A)-2,1),OFFSET(Curvas_cupon_cero!$A$1,1,MATCH($B$7,Curvas_cupon_cero!$1:$1,0)-1,COUNT(Curvas_cupon_cero!$A:$A)-2,1)),[1]!interpolar(H573,OFFSET(Curvas_cupon_cero!$A$1,1,0,COUNT(Curvas_cupon_cero!$A:$A)-2,1),OFFSET(Curvas_cupon_cero!$A$1,1,MATCH($B$7,Curvas_cupon_cero!$1:$1,0)-1,COUNT(Curvas_cupon_cero!$A:$A)-2,1))))</f>
        <v/>
      </c>
      <c r="E573" s="23" t="str">
        <f t="shared" si="52"/>
        <v/>
      </c>
      <c r="F573" s="17" t="str">
        <f t="shared" si="50"/>
        <v/>
      </c>
      <c r="G573" s="18" t="str">
        <f t="shared" si="53"/>
        <v/>
      </c>
      <c r="H573" t="str">
        <f t="shared" si="54"/>
        <v/>
      </c>
      <c r="I573" s="23" t="str">
        <f ca="1">IF(A573="","",IF($B$8="Sí",interpolar_alamb(H573,OFFSET(Curvas_cupon_cero!$A$1,1,0,COUNT(Curvas_cupon_cero!$A:$A)-2,1),OFFSET(Curvas_cupon_cero!$A$1,1,MATCH($B$6,Curvas_cupon_cero!$1:$1,0)-1,COUNT(Curvas_cupon_cero!$A:$A)-2,1)),[1]!interpolar(H573,OFFSET(Curvas_cupon_cero!$A$1,1,0,COUNT(Curvas_cupon_cero!$A:$A)-2,1),OFFSET(Curvas_cupon_cero!$A$1,1,MATCH($B$6,Curvas_cupon_cero!$1:$1,0)-1,COUNT(Curvas_cupon_cero!$A:$A)-2,1))))</f>
        <v/>
      </c>
      <c r="J573" s="19" t="str">
        <f>IF(A573="","",F573/(1+I573*$B$5/360)^(COUNT(A$16:A573)-($B$5-$G$16)/$B$5))</f>
        <v/>
      </c>
    </row>
    <row r="574" spans="1:10" x14ac:dyDescent="0.2">
      <c r="A574" s="12" t="str">
        <f t="shared" si="51"/>
        <v/>
      </c>
      <c r="B574" t="str">
        <f t="shared" si="49"/>
        <v/>
      </c>
      <c r="C574" s="21" t="str">
        <f ca="1">IF(A574="","",IF($B$8="Sí",interpolar_alamb(B574,OFFSET(Curvas_cupon_cero!$A$1,1,0,COUNT(Curvas_cupon_cero!$A:$A)-2,1),OFFSET(Curvas_cupon_cero!$A$1,1,MATCH($B$7,Curvas_cupon_cero!$1:$1,0)-1,COUNT(Curvas_cupon_cero!$A:$A)-2,1)),[1]!interpolar(B574,OFFSET(Curvas_cupon_cero!$A$1,1,0,COUNT(Curvas_cupon_cero!$A:$A)-2,1),OFFSET(Curvas_cupon_cero!$A$1,1,MATCH($B$7,Curvas_cupon_cero!$1:$1,0)-1,COUNT(Curvas_cupon_cero!$A:$A)-2,1))))</f>
        <v/>
      </c>
      <c r="D574" s="23" t="str">
        <f ca="1">IF(A574="","",IF($B$8="Sí",interpolar_alamb(H574,OFFSET(Curvas_cupon_cero!$A$1,1,0,COUNT(Curvas_cupon_cero!$A:$A)-2,1),OFFSET(Curvas_cupon_cero!$A$1,1,MATCH($B$7,Curvas_cupon_cero!$1:$1,0)-1,COUNT(Curvas_cupon_cero!$A:$A)-2,1)),[1]!interpolar(H574,OFFSET(Curvas_cupon_cero!$A$1,1,0,COUNT(Curvas_cupon_cero!$A:$A)-2,1),OFFSET(Curvas_cupon_cero!$A$1,1,MATCH($B$7,Curvas_cupon_cero!$1:$1,0)-1,COUNT(Curvas_cupon_cero!$A:$A)-2,1))))</f>
        <v/>
      </c>
      <c r="E574" s="23" t="str">
        <f t="shared" si="52"/>
        <v/>
      </c>
      <c r="F574" s="17" t="str">
        <f t="shared" si="50"/>
        <v/>
      </c>
      <c r="G574" s="18" t="str">
        <f t="shared" si="53"/>
        <v/>
      </c>
      <c r="H574" t="str">
        <f t="shared" si="54"/>
        <v/>
      </c>
      <c r="I574" s="23" t="str">
        <f ca="1">IF(A574="","",IF($B$8="Sí",interpolar_alamb(H574,OFFSET(Curvas_cupon_cero!$A$1,1,0,COUNT(Curvas_cupon_cero!$A:$A)-2,1),OFFSET(Curvas_cupon_cero!$A$1,1,MATCH($B$6,Curvas_cupon_cero!$1:$1,0)-1,COUNT(Curvas_cupon_cero!$A:$A)-2,1)),[1]!interpolar(H574,OFFSET(Curvas_cupon_cero!$A$1,1,0,COUNT(Curvas_cupon_cero!$A:$A)-2,1),OFFSET(Curvas_cupon_cero!$A$1,1,MATCH($B$6,Curvas_cupon_cero!$1:$1,0)-1,COUNT(Curvas_cupon_cero!$A:$A)-2,1))))</f>
        <v/>
      </c>
      <c r="J574" s="19" t="str">
        <f>IF(A574="","",F574/(1+I574*$B$5/360)^(COUNT(A$16:A574)-($B$5-$G$16)/$B$5))</f>
        <v/>
      </c>
    </row>
    <row r="575" spans="1:10" x14ac:dyDescent="0.2">
      <c r="A575" s="12" t="str">
        <f t="shared" si="51"/>
        <v/>
      </c>
      <c r="B575" t="str">
        <f t="shared" si="49"/>
        <v/>
      </c>
      <c r="C575" s="21" t="str">
        <f ca="1">IF(A575="","",IF($B$8="Sí",interpolar_alamb(B575,OFFSET(Curvas_cupon_cero!$A$1,1,0,COUNT(Curvas_cupon_cero!$A:$A)-2,1),OFFSET(Curvas_cupon_cero!$A$1,1,MATCH($B$7,Curvas_cupon_cero!$1:$1,0)-1,COUNT(Curvas_cupon_cero!$A:$A)-2,1)),[1]!interpolar(B575,OFFSET(Curvas_cupon_cero!$A$1,1,0,COUNT(Curvas_cupon_cero!$A:$A)-2,1),OFFSET(Curvas_cupon_cero!$A$1,1,MATCH($B$7,Curvas_cupon_cero!$1:$1,0)-1,COUNT(Curvas_cupon_cero!$A:$A)-2,1))))</f>
        <v/>
      </c>
      <c r="D575" s="23" t="str">
        <f ca="1">IF(A575="","",IF($B$8="Sí",interpolar_alamb(H575,OFFSET(Curvas_cupon_cero!$A$1,1,0,COUNT(Curvas_cupon_cero!$A:$A)-2,1),OFFSET(Curvas_cupon_cero!$A$1,1,MATCH($B$7,Curvas_cupon_cero!$1:$1,0)-1,COUNT(Curvas_cupon_cero!$A:$A)-2,1)),[1]!interpolar(H575,OFFSET(Curvas_cupon_cero!$A$1,1,0,COUNT(Curvas_cupon_cero!$A:$A)-2,1),OFFSET(Curvas_cupon_cero!$A$1,1,MATCH($B$7,Curvas_cupon_cero!$1:$1,0)-1,COUNT(Curvas_cupon_cero!$A:$A)-2,1))))</f>
        <v/>
      </c>
      <c r="E575" s="23" t="str">
        <f t="shared" si="52"/>
        <v/>
      </c>
      <c r="F575" s="17" t="str">
        <f t="shared" si="50"/>
        <v/>
      </c>
      <c r="G575" s="18" t="str">
        <f t="shared" si="53"/>
        <v/>
      </c>
      <c r="H575" t="str">
        <f t="shared" si="54"/>
        <v/>
      </c>
      <c r="I575" s="23" t="str">
        <f ca="1">IF(A575="","",IF($B$8="Sí",interpolar_alamb(H575,OFFSET(Curvas_cupon_cero!$A$1,1,0,COUNT(Curvas_cupon_cero!$A:$A)-2,1),OFFSET(Curvas_cupon_cero!$A$1,1,MATCH($B$6,Curvas_cupon_cero!$1:$1,0)-1,COUNT(Curvas_cupon_cero!$A:$A)-2,1)),[1]!interpolar(H575,OFFSET(Curvas_cupon_cero!$A$1,1,0,COUNT(Curvas_cupon_cero!$A:$A)-2,1),OFFSET(Curvas_cupon_cero!$A$1,1,MATCH($B$6,Curvas_cupon_cero!$1:$1,0)-1,COUNT(Curvas_cupon_cero!$A:$A)-2,1))))</f>
        <v/>
      </c>
      <c r="J575" s="19" t="str">
        <f>IF(A575="","",F575/(1+I575*$B$5/360)^(COUNT(A$16:A575)-($B$5-$G$16)/$B$5))</f>
        <v/>
      </c>
    </row>
    <row r="576" spans="1:10" x14ac:dyDescent="0.2">
      <c r="A576" s="12" t="str">
        <f t="shared" si="51"/>
        <v/>
      </c>
      <c r="B576" t="str">
        <f t="shared" si="49"/>
        <v/>
      </c>
      <c r="C576" s="21" t="str">
        <f ca="1">IF(A576="","",IF($B$8="Sí",interpolar_alamb(B576,OFFSET(Curvas_cupon_cero!$A$1,1,0,COUNT(Curvas_cupon_cero!$A:$A)-2,1),OFFSET(Curvas_cupon_cero!$A$1,1,MATCH($B$7,Curvas_cupon_cero!$1:$1,0)-1,COUNT(Curvas_cupon_cero!$A:$A)-2,1)),[1]!interpolar(B576,OFFSET(Curvas_cupon_cero!$A$1,1,0,COUNT(Curvas_cupon_cero!$A:$A)-2,1),OFFSET(Curvas_cupon_cero!$A$1,1,MATCH($B$7,Curvas_cupon_cero!$1:$1,0)-1,COUNT(Curvas_cupon_cero!$A:$A)-2,1))))</f>
        <v/>
      </c>
      <c r="D576" s="23" t="str">
        <f ca="1">IF(A576="","",IF($B$8="Sí",interpolar_alamb(H576,OFFSET(Curvas_cupon_cero!$A$1,1,0,COUNT(Curvas_cupon_cero!$A:$A)-2,1),OFFSET(Curvas_cupon_cero!$A$1,1,MATCH($B$7,Curvas_cupon_cero!$1:$1,0)-1,COUNT(Curvas_cupon_cero!$A:$A)-2,1)),[1]!interpolar(H576,OFFSET(Curvas_cupon_cero!$A$1,1,0,COUNT(Curvas_cupon_cero!$A:$A)-2,1),OFFSET(Curvas_cupon_cero!$A$1,1,MATCH($B$7,Curvas_cupon_cero!$1:$1,0)-1,COUNT(Curvas_cupon_cero!$A:$A)-2,1))))</f>
        <v/>
      </c>
      <c r="E576" s="23" t="str">
        <f t="shared" si="52"/>
        <v/>
      </c>
      <c r="F576" s="17" t="str">
        <f t="shared" si="50"/>
        <v/>
      </c>
      <c r="G576" s="18" t="str">
        <f t="shared" si="53"/>
        <v/>
      </c>
      <c r="H576" t="str">
        <f t="shared" si="54"/>
        <v/>
      </c>
      <c r="I576" s="23" t="str">
        <f ca="1">IF(A576="","",IF($B$8="Sí",interpolar_alamb(H576,OFFSET(Curvas_cupon_cero!$A$1,1,0,COUNT(Curvas_cupon_cero!$A:$A)-2,1),OFFSET(Curvas_cupon_cero!$A$1,1,MATCH($B$6,Curvas_cupon_cero!$1:$1,0)-1,COUNT(Curvas_cupon_cero!$A:$A)-2,1)),[1]!interpolar(H576,OFFSET(Curvas_cupon_cero!$A$1,1,0,COUNT(Curvas_cupon_cero!$A:$A)-2,1),OFFSET(Curvas_cupon_cero!$A$1,1,MATCH($B$6,Curvas_cupon_cero!$1:$1,0)-1,COUNT(Curvas_cupon_cero!$A:$A)-2,1))))</f>
        <v/>
      </c>
      <c r="J576" s="19" t="str">
        <f>IF(A576="","",F576/(1+I576*$B$5/360)^(COUNT(A$16:A576)-($B$5-$G$16)/$B$5))</f>
        <v/>
      </c>
    </row>
    <row r="577" spans="1:10" x14ac:dyDescent="0.2">
      <c r="A577" s="12" t="str">
        <f t="shared" si="51"/>
        <v/>
      </c>
      <c r="B577" t="str">
        <f t="shared" si="49"/>
        <v/>
      </c>
      <c r="C577" s="21" t="str">
        <f ca="1">IF(A577="","",IF($B$8="Sí",interpolar_alamb(B577,OFFSET(Curvas_cupon_cero!$A$1,1,0,COUNT(Curvas_cupon_cero!$A:$A)-2,1),OFFSET(Curvas_cupon_cero!$A$1,1,MATCH($B$7,Curvas_cupon_cero!$1:$1,0)-1,COUNT(Curvas_cupon_cero!$A:$A)-2,1)),[1]!interpolar(B577,OFFSET(Curvas_cupon_cero!$A$1,1,0,COUNT(Curvas_cupon_cero!$A:$A)-2,1),OFFSET(Curvas_cupon_cero!$A$1,1,MATCH($B$7,Curvas_cupon_cero!$1:$1,0)-1,COUNT(Curvas_cupon_cero!$A:$A)-2,1))))</f>
        <v/>
      </c>
      <c r="D577" s="23" t="str">
        <f ca="1">IF(A577="","",IF($B$8="Sí",interpolar_alamb(H577,OFFSET(Curvas_cupon_cero!$A$1,1,0,COUNT(Curvas_cupon_cero!$A:$A)-2,1),OFFSET(Curvas_cupon_cero!$A$1,1,MATCH($B$7,Curvas_cupon_cero!$1:$1,0)-1,COUNT(Curvas_cupon_cero!$A:$A)-2,1)),[1]!interpolar(H577,OFFSET(Curvas_cupon_cero!$A$1,1,0,COUNT(Curvas_cupon_cero!$A:$A)-2,1),OFFSET(Curvas_cupon_cero!$A$1,1,MATCH($B$7,Curvas_cupon_cero!$1:$1,0)-1,COUNT(Curvas_cupon_cero!$A:$A)-2,1))))</f>
        <v/>
      </c>
      <c r="E577" s="23" t="str">
        <f t="shared" si="52"/>
        <v/>
      </c>
      <c r="F577" s="17" t="str">
        <f t="shared" si="50"/>
        <v/>
      </c>
      <c r="G577" s="18" t="str">
        <f t="shared" si="53"/>
        <v/>
      </c>
      <c r="H577" t="str">
        <f t="shared" si="54"/>
        <v/>
      </c>
      <c r="I577" s="23" t="str">
        <f ca="1">IF(A577="","",IF($B$8="Sí",interpolar_alamb(H577,OFFSET(Curvas_cupon_cero!$A$1,1,0,COUNT(Curvas_cupon_cero!$A:$A)-2,1),OFFSET(Curvas_cupon_cero!$A$1,1,MATCH($B$6,Curvas_cupon_cero!$1:$1,0)-1,COUNT(Curvas_cupon_cero!$A:$A)-2,1)),[1]!interpolar(H577,OFFSET(Curvas_cupon_cero!$A$1,1,0,COUNT(Curvas_cupon_cero!$A:$A)-2,1),OFFSET(Curvas_cupon_cero!$A$1,1,MATCH($B$6,Curvas_cupon_cero!$1:$1,0)-1,COUNT(Curvas_cupon_cero!$A:$A)-2,1))))</f>
        <v/>
      </c>
      <c r="J577" s="19" t="str">
        <f>IF(A577="","",F577/(1+I577*$B$5/360)^(COUNT(A$16:A577)-($B$5-$G$16)/$B$5))</f>
        <v/>
      </c>
    </row>
    <row r="578" spans="1:10" x14ac:dyDescent="0.2">
      <c r="A578" s="12" t="str">
        <f t="shared" si="51"/>
        <v/>
      </c>
      <c r="B578" t="str">
        <f t="shared" si="49"/>
        <v/>
      </c>
      <c r="C578" s="21" t="str">
        <f ca="1">IF(A578="","",IF($B$8="Sí",interpolar_alamb(B578,OFFSET(Curvas_cupon_cero!$A$1,1,0,COUNT(Curvas_cupon_cero!$A:$A)-2,1),OFFSET(Curvas_cupon_cero!$A$1,1,MATCH($B$7,Curvas_cupon_cero!$1:$1,0)-1,COUNT(Curvas_cupon_cero!$A:$A)-2,1)),[1]!interpolar(B578,OFFSET(Curvas_cupon_cero!$A$1,1,0,COUNT(Curvas_cupon_cero!$A:$A)-2,1),OFFSET(Curvas_cupon_cero!$A$1,1,MATCH($B$7,Curvas_cupon_cero!$1:$1,0)-1,COUNT(Curvas_cupon_cero!$A:$A)-2,1))))</f>
        <v/>
      </c>
      <c r="D578" s="23" t="str">
        <f ca="1">IF(A578="","",IF($B$8="Sí",interpolar_alamb(H578,OFFSET(Curvas_cupon_cero!$A$1,1,0,COUNT(Curvas_cupon_cero!$A:$A)-2,1),OFFSET(Curvas_cupon_cero!$A$1,1,MATCH($B$7,Curvas_cupon_cero!$1:$1,0)-1,COUNT(Curvas_cupon_cero!$A:$A)-2,1)),[1]!interpolar(H578,OFFSET(Curvas_cupon_cero!$A$1,1,0,COUNT(Curvas_cupon_cero!$A:$A)-2,1),OFFSET(Curvas_cupon_cero!$A$1,1,MATCH($B$7,Curvas_cupon_cero!$1:$1,0)-1,COUNT(Curvas_cupon_cero!$A:$A)-2,1))))</f>
        <v/>
      </c>
      <c r="E578" s="23" t="str">
        <f t="shared" si="52"/>
        <v/>
      </c>
      <c r="F578" s="17" t="str">
        <f t="shared" si="50"/>
        <v/>
      </c>
      <c r="G578" s="18" t="str">
        <f t="shared" si="53"/>
        <v/>
      </c>
      <c r="H578" t="str">
        <f t="shared" si="54"/>
        <v/>
      </c>
      <c r="I578" s="23" t="str">
        <f ca="1">IF(A578="","",IF($B$8="Sí",interpolar_alamb(H578,OFFSET(Curvas_cupon_cero!$A$1,1,0,COUNT(Curvas_cupon_cero!$A:$A)-2,1),OFFSET(Curvas_cupon_cero!$A$1,1,MATCH($B$6,Curvas_cupon_cero!$1:$1,0)-1,COUNT(Curvas_cupon_cero!$A:$A)-2,1)),[1]!interpolar(H578,OFFSET(Curvas_cupon_cero!$A$1,1,0,COUNT(Curvas_cupon_cero!$A:$A)-2,1),OFFSET(Curvas_cupon_cero!$A$1,1,MATCH($B$6,Curvas_cupon_cero!$1:$1,0)-1,COUNT(Curvas_cupon_cero!$A:$A)-2,1))))</f>
        <v/>
      </c>
      <c r="J578" s="19" t="str">
        <f>IF(A578="","",F578/(1+I578*$B$5/360)^(COUNT(A$16:A578)-($B$5-$G$16)/$B$5))</f>
        <v/>
      </c>
    </row>
    <row r="579" spans="1:10" x14ac:dyDescent="0.2">
      <c r="A579" s="12" t="str">
        <f t="shared" si="51"/>
        <v/>
      </c>
      <c r="B579" t="str">
        <f t="shared" si="49"/>
        <v/>
      </c>
      <c r="C579" s="21" t="str">
        <f ca="1">IF(A579="","",IF($B$8="Sí",interpolar_alamb(B579,OFFSET(Curvas_cupon_cero!$A$1,1,0,COUNT(Curvas_cupon_cero!$A:$A)-2,1),OFFSET(Curvas_cupon_cero!$A$1,1,MATCH($B$7,Curvas_cupon_cero!$1:$1,0)-1,COUNT(Curvas_cupon_cero!$A:$A)-2,1)),[1]!interpolar(B579,OFFSET(Curvas_cupon_cero!$A$1,1,0,COUNT(Curvas_cupon_cero!$A:$A)-2,1),OFFSET(Curvas_cupon_cero!$A$1,1,MATCH($B$7,Curvas_cupon_cero!$1:$1,0)-1,COUNT(Curvas_cupon_cero!$A:$A)-2,1))))</f>
        <v/>
      </c>
      <c r="D579" s="23" t="str">
        <f ca="1">IF(A579="","",IF($B$8="Sí",interpolar_alamb(H579,OFFSET(Curvas_cupon_cero!$A$1,1,0,COUNT(Curvas_cupon_cero!$A:$A)-2,1),OFFSET(Curvas_cupon_cero!$A$1,1,MATCH($B$7,Curvas_cupon_cero!$1:$1,0)-1,COUNT(Curvas_cupon_cero!$A:$A)-2,1)),[1]!interpolar(H579,OFFSET(Curvas_cupon_cero!$A$1,1,0,COUNT(Curvas_cupon_cero!$A:$A)-2,1),OFFSET(Curvas_cupon_cero!$A$1,1,MATCH($B$7,Curvas_cupon_cero!$1:$1,0)-1,COUNT(Curvas_cupon_cero!$A:$A)-2,1))))</f>
        <v/>
      </c>
      <c r="E579" s="23" t="str">
        <f t="shared" si="52"/>
        <v/>
      </c>
      <c r="F579" s="17" t="str">
        <f t="shared" si="50"/>
        <v/>
      </c>
      <c r="G579" s="18" t="str">
        <f t="shared" si="53"/>
        <v/>
      </c>
      <c r="H579" t="str">
        <f t="shared" si="54"/>
        <v/>
      </c>
      <c r="I579" s="23" t="str">
        <f ca="1">IF(A579="","",IF($B$8="Sí",interpolar_alamb(H579,OFFSET(Curvas_cupon_cero!$A$1,1,0,COUNT(Curvas_cupon_cero!$A:$A)-2,1),OFFSET(Curvas_cupon_cero!$A$1,1,MATCH($B$6,Curvas_cupon_cero!$1:$1,0)-1,COUNT(Curvas_cupon_cero!$A:$A)-2,1)),[1]!interpolar(H579,OFFSET(Curvas_cupon_cero!$A$1,1,0,COUNT(Curvas_cupon_cero!$A:$A)-2,1),OFFSET(Curvas_cupon_cero!$A$1,1,MATCH($B$6,Curvas_cupon_cero!$1:$1,0)-1,COUNT(Curvas_cupon_cero!$A:$A)-2,1))))</f>
        <v/>
      </c>
      <c r="J579" s="19" t="str">
        <f>IF(A579="","",F579/(1+I579*$B$5/360)^(COUNT(A$16:A579)-($B$5-$G$16)/$B$5))</f>
        <v/>
      </c>
    </row>
    <row r="580" spans="1:10" x14ac:dyDescent="0.2">
      <c r="A580" s="12" t="str">
        <f t="shared" si="51"/>
        <v/>
      </c>
      <c r="B580" t="str">
        <f t="shared" si="49"/>
        <v/>
      </c>
      <c r="C580" s="21" t="str">
        <f ca="1">IF(A580="","",IF($B$8="Sí",interpolar_alamb(B580,OFFSET(Curvas_cupon_cero!$A$1,1,0,COUNT(Curvas_cupon_cero!$A:$A)-2,1),OFFSET(Curvas_cupon_cero!$A$1,1,MATCH($B$7,Curvas_cupon_cero!$1:$1,0)-1,COUNT(Curvas_cupon_cero!$A:$A)-2,1)),[1]!interpolar(B580,OFFSET(Curvas_cupon_cero!$A$1,1,0,COUNT(Curvas_cupon_cero!$A:$A)-2,1),OFFSET(Curvas_cupon_cero!$A$1,1,MATCH($B$7,Curvas_cupon_cero!$1:$1,0)-1,COUNT(Curvas_cupon_cero!$A:$A)-2,1))))</f>
        <v/>
      </c>
      <c r="D580" s="23" t="str">
        <f ca="1">IF(A580="","",IF($B$8="Sí",interpolar_alamb(H580,OFFSET(Curvas_cupon_cero!$A$1,1,0,COUNT(Curvas_cupon_cero!$A:$A)-2,1),OFFSET(Curvas_cupon_cero!$A$1,1,MATCH($B$7,Curvas_cupon_cero!$1:$1,0)-1,COUNT(Curvas_cupon_cero!$A:$A)-2,1)),[1]!interpolar(H580,OFFSET(Curvas_cupon_cero!$A$1,1,0,COUNT(Curvas_cupon_cero!$A:$A)-2,1),OFFSET(Curvas_cupon_cero!$A$1,1,MATCH($B$7,Curvas_cupon_cero!$1:$1,0)-1,COUNT(Curvas_cupon_cero!$A:$A)-2,1))))</f>
        <v/>
      </c>
      <c r="E580" s="23" t="str">
        <f t="shared" si="52"/>
        <v/>
      </c>
      <c r="F580" s="17" t="str">
        <f t="shared" si="50"/>
        <v/>
      </c>
      <c r="G580" s="18" t="str">
        <f t="shared" si="53"/>
        <v/>
      </c>
      <c r="H580" t="str">
        <f t="shared" si="54"/>
        <v/>
      </c>
      <c r="I580" s="23" t="str">
        <f ca="1">IF(A580="","",IF($B$8="Sí",interpolar_alamb(H580,OFFSET(Curvas_cupon_cero!$A$1,1,0,COUNT(Curvas_cupon_cero!$A:$A)-2,1),OFFSET(Curvas_cupon_cero!$A$1,1,MATCH($B$6,Curvas_cupon_cero!$1:$1,0)-1,COUNT(Curvas_cupon_cero!$A:$A)-2,1)),[1]!interpolar(H580,OFFSET(Curvas_cupon_cero!$A$1,1,0,COUNT(Curvas_cupon_cero!$A:$A)-2,1),OFFSET(Curvas_cupon_cero!$A$1,1,MATCH($B$6,Curvas_cupon_cero!$1:$1,0)-1,COUNT(Curvas_cupon_cero!$A:$A)-2,1))))</f>
        <v/>
      </c>
      <c r="J580" s="19" t="str">
        <f>IF(A580="","",F580/(1+I580*$B$5/360)^(COUNT(A$16:A580)-($B$5-$G$16)/$B$5))</f>
        <v/>
      </c>
    </row>
    <row r="581" spans="1:10" x14ac:dyDescent="0.2">
      <c r="A581" s="12" t="str">
        <f t="shared" si="51"/>
        <v/>
      </c>
      <c r="B581" t="str">
        <f t="shared" si="49"/>
        <v/>
      </c>
      <c r="C581" s="21" t="str">
        <f ca="1">IF(A581="","",IF($B$8="Sí",interpolar_alamb(B581,OFFSET(Curvas_cupon_cero!$A$1,1,0,COUNT(Curvas_cupon_cero!$A:$A)-2,1),OFFSET(Curvas_cupon_cero!$A$1,1,MATCH($B$7,Curvas_cupon_cero!$1:$1,0)-1,COUNT(Curvas_cupon_cero!$A:$A)-2,1)),[1]!interpolar(B581,OFFSET(Curvas_cupon_cero!$A$1,1,0,COUNT(Curvas_cupon_cero!$A:$A)-2,1),OFFSET(Curvas_cupon_cero!$A$1,1,MATCH($B$7,Curvas_cupon_cero!$1:$1,0)-1,COUNT(Curvas_cupon_cero!$A:$A)-2,1))))</f>
        <v/>
      </c>
      <c r="D581" s="23" t="str">
        <f ca="1">IF(A581="","",IF($B$8="Sí",interpolar_alamb(H581,OFFSET(Curvas_cupon_cero!$A$1,1,0,COUNT(Curvas_cupon_cero!$A:$A)-2,1),OFFSET(Curvas_cupon_cero!$A$1,1,MATCH($B$7,Curvas_cupon_cero!$1:$1,0)-1,COUNT(Curvas_cupon_cero!$A:$A)-2,1)),[1]!interpolar(H581,OFFSET(Curvas_cupon_cero!$A$1,1,0,COUNT(Curvas_cupon_cero!$A:$A)-2,1),OFFSET(Curvas_cupon_cero!$A$1,1,MATCH($B$7,Curvas_cupon_cero!$1:$1,0)-1,COUNT(Curvas_cupon_cero!$A:$A)-2,1))))</f>
        <v/>
      </c>
      <c r="E581" s="23" t="str">
        <f t="shared" si="52"/>
        <v/>
      </c>
      <c r="F581" s="17" t="str">
        <f t="shared" si="50"/>
        <v/>
      </c>
      <c r="G581" s="18" t="str">
        <f t="shared" si="53"/>
        <v/>
      </c>
      <c r="H581" t="str">
        <f t="shared" si="54"/>
        <v/>
      </c>
      <c r="I581" s="23" t="str">
        <f ca="1">IF(A581="","",IF($B$8="Sí",interpolar_alamb(H581,OFFSET(Curvas_cupon_cero!$A$1,1,0,COUNT(Curvas_cupon_cero!$A:$A)-2,1),OFFSET(Curvas_cupon_cero!$A$1,1,MATCH($B$6,Curvas_cupon_cero!$1:$1,0)-1,COUNT(Curvas_cupon_cero!$A:$A)-2,1)),[1]!interpolar(H581,OFFSET(Curvas_cupon_cero!$A$1,1,0,COUNT(Curvas_cupon_cero!$A:$A)-2,1),OFFSET(Curvas_cupon_cero!$A$1,1,MATCH($B$6,Curvas_cupon_cero!$1:$1,0)-1,COUNT(Curvas_cupon_cero!$A:$A)-2,1))))</f>
        <v/>
      </c>
      <c r="J581" s="19" t="str">
        <f>IF(A581="","",F581/(1+I581*$B$5/360)^(COUNT(A$16:A581)-($B$5-$G$16)/$B$5))</f>
        <v/>
      </c>
    </row>
    <row r="582" spans="1:10" x14ac:dyDescent="0.2">
      <c r="A582" s="12" t="str">
        <f t="shared" si="51"/>
        <v/>
      </c>
      <c r="B582" t="str">
        <f t="shared" si="49"/>
        <v/>
      </c>
      <c r="C582" s="21" t="str">
        <f ca="1">IF(A582="","",IF($B$8="Sí",interpolar_alamb(B582,OFFSET(Curvas_cupon_cero!$A$1,1,0,COUNT(Curvas_cupon_cero!$A:$A)-2,1),OFFSET(Curvas_cupon_cero!$A$1,1,MATCH($B$7,Curvas_cupon_cero!$1:$1,0)-1,COUNT(Curvas_cupon_cero!$A:$A)-2,1)),[1]!interpolar(B582,OFFSET(Curvas_cupon_cero!$A$1,1,0,COUNT(Curvas_cupon_cero!$A:$A)-2,1),OFFSET(Curvas_cupon_cero!$A$1,1,MATCH($B$7,Curvas_cupon_cero!$1:$1,0)-1,COUNT(Curvas_cupon_cero!$A:$A)-2,1))))</f>
        <v/>
      </c>
      <c r="D582" s="23" t="str">
        <f ca="1">IF(A582="","",IF($B$8="Sí",interpolar_alamb(H582,OFFSET(Curvas_cupon_cero!$A$1,1,0,COUNT(Curvas_cupon_cero!$A:$A)-2,1),OFFSET(Curvas_cupon_cero!$A$1,1,MATCH($B$7,Curvas_cupon_cero!$1:$1,0)-1,COUNT(Curvas_cupon_cero!$A:$A)-2,1)),[1]!interpolar(H582,OFFSET(Curvas_cupon_cero!$A$1,1,0,COUNT(Curvas_cupon_cero!$A:$A)-2,1),OFFSET(Curvas_cupon_cero!$A$1,1,MATCH($B$7,Curvas_cupon_cero!$1:$1,0)-1,COUNT(Curvas_cupon_cero!$A:$A)-2,1))))</f>
        <v/>
      </c>
      <c r="E582" s="23" t="str">
        <f t="shared" si="52"/>
        <v/>
      </c>
      <c r="F582" s="17" t="str">
        <f t="shared" si="50"/>
        <v/>
      </c>
      <c r="G582" s="18" t="str">
        <f t="shared" si="53"/>
        <v/>
      </c>
      <c r="H582" t="str">
        <f t="shared" si="54"/>
        <v/>
      </c>
      <c r="I582" s="23" t="str">
        <f ca="1">IF(A582="","",IF($B$8="Sí",interpolar_alamb(H582,OFFSET(Curvas_cupon_cero!$A$1,1,0,COUNT(Curvas_cupon_cero!$A:$A)-2,1),OFFSET(Curvas_cupon_cero!$A$1,1,MATCH($B$6,Curvas_cupon_cero!$1:$1,0)-1,COUNT(Curvas_cupon_cero!$A:$A)-2,1)),[1]!interpolar(H582,OFFSET(Curvas_cupon_cero!$A$1,1,0,COUNT(Curvas_cupon_cero!$A:$A)-2,1),OFFSET(Curvas_cupon_cero!$A$1,1,MATCH($B$6,Curvas_cupon_cero!$1:$1,0)-1,COUNT(Curvas_cupon_cero!$A:$A)-2,1))))</f>
        <v/>
      </c>
      <c r="J582" s="19" t="str">
        <f>IF(A582="","",F582/(1+I582*$B$5/360)^(COUNT(A$16:A582)-($B$5-$G$16)/$B$5))</f>
        <v/>
      </c>
    </row>
    <row r="583" spans="1:10" x14ac:dyDescent="0.2">
      <c r="A583" s="12" t="str">
        <f t="shared" si="51"/>
        <v/>
      </c>
      <c r="B583" t="str">
        <f t="shared" si="49"/>
        <v/>
      </c>
      <c r="C583" s="21" t="str">
        <f ca="1">IF(A583="","",IF($B$8="Sí",interpolar_alamb(B583,OFFSET(Curvas_cupon_cero!$A$1,1,0,COUNT(Curvas_cupon_cero!$A:$A)-2,1),OFFSET(Curvas_cupon_cero!$A$1,1,MATCH($B$7,Curvas_cupon_cero!$1:$1,0)-1,COUNT(Curvas_cupon_cero!$A:$A)-2,1)),[1]!interpolar(B583,OFFSET(Curvas_cupon_cero!$A$1,1,0,COUNT(Curvas_cupon_cero!$A:$A)-2,1),OFFSET(Curvas_cupon_cero!$A$1,1,MATCH($B$7,Curvas_cupon_cero!$1:$1,0)-1,COUNT(Curvas_cupon_cero!$A:$A)-2,1))))</f>
        <v/>
      </c>
      <c r="D583" s="23" t="str">
        <f ca="1">IF(A583="","",IF($B$8="Sí",interpolar_alamb(H583,OFFSET(Curvas_cupon_cero!$A$1,1,0,COUNT(Curvas_cupon_cero!$A:$A)-2,1),OFFSET(Curvas_cupon_cero!$A$1,1,MATCH($B$7,Curvas_cupon_cero!$1:$1,0)-1,COUNT(Curvas_cupon_cero!$A:$A)-2,1)),[1]!interpolar(H583,OFFSET(Curvas_cupon_cero!$A$1,1,0,COUNT(Curvas_cupon_cero!$A:$A)-2,1),OFFSET(Curvas_cupon_cero!$A$1,1,MATCH($B$7,Curvas_cupon_cero!$1:$1,0)-1,COUNT(Curvas_cupon_cero!$A:$A)-2,1))))</f>
        <v/>
      </c>
      <c r="E583" s="23" t="str">
        <f t="shared" si="52"/>
        <v/>
      </c>
      <c r="F583" s="17" t="str">
        <f t="shared" si="50"/>
        <v/>
      </c>
      <c r="G583" s="18" t="str">
        <f t="shared" si="53"/>
        <v/>
      </c>
      <c r="H583" t="str">
        <f t="shared" si="54"/>
        <v/>
      </c>
      <c r="I583" s="23" t="str">
        <f ca="1">IF(A583="","",IF($B$8="Sí",interpolar_alamb(H583,OFFSET(Curvas_cupon_cero!$A$1,1,0,COUNT(Curvas_cupon_cero!$A:$A)-2,1),OFFSET(Curvas_cupon_cero!$A$1,1,MATCH($B$6,Curvas_cupon_cero!$1:$1,0)-1,COUNT(Curvas_cupon_cero!$A:$A)-2,1)),[1]!interpolar(H583,OFFSET(Curvas_cupon_cero!$A$1,1,0,COUNT(Curvas_cupon_cero!$A:$A)-2,1),OFFSET(Curvas_cupon_cero!$A$1,1,MATCH($B$6,Curvas_cupon_cero!$1:$1,0)-1,COUNT(Curvas_cupon_cero!$A:$A)-2,1))))</f>
        <v/>
      </c>
      <c r="J583" s="19" t="str">
        <f>IF(A583="","",F583/(1+I583*$B$5/360)^(COUNT(A$16:A583)-($B$5-$G$16)/$B$5))</f>
        <v/>
      </c>
    </row>
    <row r="584" spans="1:10" x14ac:dyDescent="0.2">
      <c r="A584" s="12" t="str">
        <f t="shared" si="51"/>
        <v/>
      </c>
      <c r="B584" t="str">
        <f t="shared" si="49"/>
        <v/>
      </c>
      <c r="C584" s="21" t="str">
        <f ca="1">IF(A584="","",IF($B$8="Sí",interpolar_alamb(B584,OFFSET(Curvas_cupon_cero!$A$1,1,0,COUNT(Curvas_cupon_cero!$A:$A)-2,1),OFFSET(Curvas_cupon_cero!$A$1,1,MATCH($B$7,Curvas_cupon_cero!$1:$1,0)-1,COUNT(Curvas_cupon_cero!$A:$A)-2,1)),[1]!interpolar(B584,OFFSET(Curvas_cupon_cero!$A$1,1,0,COUNT(Curvas_cupon_cero!$A:$A)-2,1),OFFSET(Curvas_cupon_cero!$A$1,1,MATCH($B$7,Curvas_cupon_cero!$1:$1,0)-1,COUNT(Curvas_cupon_cero!$A:$A)-2,1))))</f>
        <v/>
      </c>
      <c r="D584" s="23" t="str">
        <f ca="1">IF(A584="","",IF($B$8="Sí",interpolar_alamb(H584,OFFSET(Curvas_cupon_cero!$A$1,1,0,COUNT(Curvas_cupon_cero!$A:$A)-2,1),OFFSET(Curvas_cupon_cero!$A$1,1,MATCH($B$7,Curvas_cupon_cero!$1:$1,0)-1,COUNT(Curvas_cupon_cero!$A:$A)-2,1)),[1]!interpolar(H584,OFFSET(Curvas_cupon_cero!$A$1,1,0,COUNT(Curvas_cupon_cero!$A:$A)-2,1),OFFSET(Curvas_cupon_cero!$A$1,1,MATCH($B$7,Curvas_cupon_cero!$1:$1,0)-1,COUNT(Curvas_cupon_cero!$A:$A)-2,1))))</f>
        <v/>
      </c>
      <c r="E584" s="23" t="str">
        <f t="shared" si="52"/>
        <v/>
      </c>
      <c r="F584" s="17" t="str">
        <f t="shared" si="50"/>
        <v/>
      </c>
      <c r="G584" s="18" t="str">
        <f t="shared" si="53"/>
        <v/>
      </c>
      <c r="H584" t="str">
        <f t="shared" si="54"/>
        <v/>
      </c>
      <c r="I584" s="23" t="str">
        <f ca="1">IF(A584="","",IF($B$8="Sí",interpolar_alamb(H584,OFFSET(Curvas_cupon_cero!$A$1,1,0,COUNT(Curvas_cupon_cero!$A:$A)-2,1),OFFSET(Curvas_cupon_cero!$A$1,1,MATCH($B$6,Curvas_cupon_cero!$1:$1,0)-1,COUNT(Curvas_cupon_cero!$A:$A)-2,1)),[1]!interpolar(H584,OFFSET(Curvas_cupon_cero!$A$1,1,0,COUNT(Curvas_cupon_cero!$A:$A)-2,1),OFFSET(Curvas_cupon_cero!$A$1,1,MATCH($B$6,Curvas_cupon_cero!$1:$1,0)-1,COUNT(Curvas_cupon_cero!$A:$A)-2,1))))</f>
        <v/>
      </c>
      <c r="J584" s="19" t="str">
        <f>IF(A584="","",F584/(1+I584*$B$5/360)^(COUNT(A$16:A584)-($B$5-$G$16)/$B$5))</f>
        <v/>
      </c>
    </row>
    <row r="585" spans="1:10" x14ac:dyDescent="0.2">
      <c r="A585" s="12" t="str">
        <f t="shared" si="51"/>
        <v/>
      </c>
      <c r="B585" t="str">
        <f t="shared" si="49"/>
        <v/>
      </c>
      <c r="C585" s="21" t="str">
        <f ca="1">IF(A585="","",IF($B$8="Sí",interpolar_alamb(B585,OFFSET(Curvas_cupon_cero!$A$1,1,0,COUNT(Curvas_cupon_cero!$A:$A)-2,1),OFFSET(Curvas_cupon_cero!$A$1,1,MATCH($B$7,Curvas_cupon_cero!$1:$1,0)-1,COUNT(Curvas_cupon_cero!$A:$A)-2,1)),[1]!interpolar(B585,OFFSET(Curvas_cupon_cero!$A$1,1,0,COUNT(Curvas_cupon_cero!$A:$A)-2,1),OFFSET(Curvas_cupon_cero!$A$1,1,MATCH($B$7,Curvas_cupon_cero!$1:$1,0)-1,COUNT(Curvas_cupon_cero!$A:$A)-2,1))))</f>
        <v/>
      </c>
      <c r="D585" s="23" t="str">
        <f ca="1">IF(A585="","",IF($B$8="Sí",interpolar_alamb(H585,OFFSET(Curvas_cupon_cero!$A$1,1,0,COUNT(Curvas_cupon_cero!$A:$A)-2,1),OFFSET(Curvas_cupon_cero!$A$1,1,MATCH($B$7,Curvas_cupon_cero!$1:$1,0)-1,COUNT(Curvas_cupon_cero!$A:$A)-2,1)),[1]!interpolar(H585,OFFSET(Curvas_cupon_cero!$A$1,1,0,COUNT(Curvas_cupon_cero!$A:$A)-2,1),OFFSET(Curvas_cupon_cero!$A$1,1,MATCH($B$7,Curvas_cupon_cero!$1:$1,0)-1,COUNT(Curvas_cupon_cero!$A:$A)-2,1))))</f>
        <v/>
      </c>
      <c r="E585" s="23" t="str">
        <f t="shared" si="52"/>
        <v/>
      </c>
      <c r="F585" s="17" t="str">
        <f t="shared" si="50"/>
        <v/>
      </c>
      <c r="G585" s="18" t="str">
        <f t="shared" si="53"/>
        <v/>
      </c>
      <c r="H585" t="str">
        <f t="shared" si="54"/>
        <v/>
      </c>
      <c r="I585" s="23" t="str">
        <f ca="1">IF(A585="","",IF($B$8="Sí",interpolar_alamb(H585,OFFSET(Curvas_cupon_cero!$A$1,1,0,COUNT(Curvas_cupon_cero!$A:$A)-2,1),OFFSET(Curvas_cupon_cero!$A$1,1,MATCH($B$6,Curvas_cupon_cero!$1:$1,0)-1,COUNT(Curvas_cupon_cero!$A:$A)-2,1)),[1]!interpolar(H585,OFFSET(Curvas_cupon_cero!$A$1,1,0,COUNT(Curvas_cupon_cero!$A:$A)-2,1),OFFSET(Curvas_cupon_cero!$A$1,1,MATCH($B$6,Curvas_cupon_cero!$1:$1,0)-1,COUNT(Curvas_cupon_cero!$A:$A)-2,1))))</f>
        <v/>
      </c>
      <c r="J585" s="19" t="str">
        <f>IF(A585="","",F585/(1+I585*$B$5/360)^(COUNT(A$16:A585)-($B$5-$G$16)/$B$5))</f>
        <v/>
      </c>
    </row>
    <row r="586" spans="1:10" x14ac:dyDescent="0.2">
      <c r="A586" s="12" t="str">
        <f t="shared" si="51"/>
        <v/>
      </c>
      <c r="B586" t="str">
        <f t="shared" si="49"/>
        <v/>
      </c>
      <c r="C586" s="21" t="str">
        <f ca="1">IF(A586="","",IF($B$8="Sí",interpolar_alamb(B586,OFFSET(Curvas_cupon_cero!$A$1,1,0,COUNT(Curvas_cupon_cero!$A:$A)-2,1),OFFSET(Curvas_cupon_cero!$A$1,1,MATCH($B$7,Curvas_cupon_cero!$1:$1,0)-1,COUNT(Curvas_cupon_cero!$A:$A)-2,1)),[1]!interpolar(B586,OFFSET(Curvas_cupon_cero!$A$1,1,0,COUNT(Curvas_cupon_cero!$A:$A)-2,1),OFFSET(Curvas_cupon_cero!$A$1,1,MATCH($B$7,Curvas_cupon_cero!$1:$1,0)-1,COUNT(Curvas_cupon_cero!$A:$A)-2,1))))</f>
        <v/>
      </c>
      <c r="D586" s="23" t="str">
        <f ca="1">IF(A586="","",IF($B$8="Sí",interpolar_alamb(H586,OFFSET(Curvas_cupon_cero!$A$1,1,0,COUNT(Curvas_cupon_cero!$A:$A)-2,1),OFFSET(Curvas_cupon_cero!$A$1,1,MATCH($B$7,Curvas_cupon_cero!$1:$1,0)-1,COUNT(Curvas_cupon_cero!$A:$A)-2,1)),[1]!interpolar(H586,OFFSET(Curvas_cupon_cero!$A$1,1,0,COUNT(Curvas_cupon_cero!$A:$A)-2,1),OFFSET(Curvas_cupon_cero!$A$1,1,MATCH($B$7,Curvas_cupon_cero!$1:$1,0)-1,COUNT(Curvas_cupon_cero!$A:$A)-2,1))))</f>
        <v/>
      </c>
      <c r="E586" s="23" t="str">
        <f t="shared" si="52"/>
        <v/>
      </c>
      <c r="F586" s="17" t="str">
        <f t="shared" si="50"/>
        <v/>
      </c>
      <c r="G586" s="18" t="str">
        <f t="shared" si="53"/>
        <v/>
      </c>
      <c r="H586" t="str">
        <f t="shared" si="54"/>
        <v/>
      </c>
      <c r="I586" s="23" t="str">
        <f ca="1">IF(A586="","",IF($B$8="Sí",interpolar_alamb(H586,OFFSET(Curvas_cupon_cero!$A$1,1,0,COUNT(Curvas_cupon_cero!$A:$A)-2,1),OFFSET(Curvas_cupon_cero!$A$1,1,MATCH($B$6,Curvas_cupon_cero!$1:$1,0)-1,COUNT(Curvas_cupon_cero!$A:$A)-2,1)),[1]!interpolar(H586,OFFSET(Curvas_cupon_cero!$A$1,1,0,COUNT(Curvas_cupon_cero!$A:$A)-2,1),OFFSET(Curvas_cupon_cero!$A$1,1,MATCH($B$6,Curvas_cupon_cero!$1:$1,0)-1,COUNT(Curvas_cupon_cero!$A:$A)-2,1))))</f>
        <v/>
      </c>
      <c r="J586" s="19" t="str">
        <f>IF(A586="","",F586/(1+I586*$B$5/360)^(COUNT(A$16:A586)-($B$5-$G$16)/$B$5))</f>
        <v/>
      </c>
    </row>
    <row r="587" spans="1:10" x14ac:dyDescent="0.2">
      <c r="A587" s="12" t="str">
        <f t="shared" si="51"/>
        <v/>
      </c>
      <c r="B587" t="str">
        <f t="shared" si="49"/>
        <v/>
      </c>
      <c r="C587" s="21" t="str">
        <f ca="1">IF(A587="","",IF($B$8="Sí",interpolar_alamb(B587,OFFSET(Curvas_cupon_cero!$A$1,1,0,COUNT(Curvas_cupon_cero!$A:$A)-2,1),OFFSET(Curvas_cupon_cero!$A$1,1,MATCH($B$7,Curvas_cupon_cero!$1:$1,0)-1,COUNT(Curvas_cupon_cero!$A:$A)-2,1)),[1]!interpolar(B587,OFFSET(Curvas_cupon_cero!$A$1,1,0,COUNT(Curvas_cupon_cero!$A:$A)-2,1),OFFSET(Curvas_cupon_cero!$A$1,1,MATCH($B$7,Curvas_cupon_cero!$1:$1,0)-1,COUNT(Curvas_cupon_cero!$A:$A)-2,1))))</f>
        <v/>
      </c>
      <c r="D587" s="23" t="str">
        <f ca="1">IF(A587="","",IF($B$8="Sí",interpolar_alamb(H587,OFFSET(Curvas_cupon_cero!$A$1,1,0,COUNT(Curvas_cupon_cero!$A:$A)-2,1),OFFSET(Curvas_cupon_cero!$A$1,1,MATCH($B$7,Curvas_cupon_cero!$1:$1,0)-1,COUNT(Curvas_cupon_cero!$A:$A)-2,1)),[1]!interpolar(H587,OFFSET(Curvas_cupon_cero!$A$1,1,0,COUNT(Curvas_cupon_cero!$A:$A)-2,1),OFFSET(Curvas_cupon_cero!$A$1,1,MATCH($B$7,Curvas_cupon_cero!$1:$1,0)-1,COUNT(Curvas_cupon_cero!$A:$A)-2,1))))</f>
        <v/>
      </c>
      <c r="E587" s="23" t="str">
        <f t="shared" si="52"/>
        <v/>
      </c>
      <c r="F587" s="17" t="str">
        <f t="shared" si="50"/>
        <v/>
      </c>
      <c r="G587" s="18" t="str">
        <f t="shared" si="53"/>
        <v/>
      </c>
      <c r="H587" t="str">
        <f t="shared" si="54"/>
        <v/>
      </c>
      <c r="I587" s="23" t="str">
        <f ca="1">IF(A587="","",IF($B$8="Sí",interpolar_alamb(H587,OFFSET(Curvas_cupon_cero!$A$1,1,0,COUNT(Curvas_cupon_cero!$A:$A)-2,1),OFFSET(Curvas_cupon_cero!$A$1,1,MATCH($B$6,Curvas_cupon_cero!$1:$1,0)-1,COUNT(Curvas_cupon_cero!$A:$A)-2,1)),[1]!interpolar(H587,OFFSET(Curvas_cupon_cero!$A$1,1,0,COUNT(Curvas_cupon_cero!$A:$A)-2,1),OFFSET(Curvas_cupon_cero!$A$1,1,MATCH($B$6,Curvas_cupon_cero!$1:$1,0)-1,COUNT(Curvas_cupon_cero!$A:$A)-2,1))))</f>
        <v/>
      </c>
      <c r="J587" s="19" t="str">
        <f>IF(A587="","",F587/(1+I587*$B$5/360)^(COUNT(A$16:A587)-($B$5-$G$16)/$B$5))</f>
        <v/>
      </c>
    </row>
    <row r="588" spans="1:10" x14ac:dyDescent="0.2">
      <c r="A588" s="12" t="str">
        <f t="shared" si="51"/>
        <v/>
      </c>
      <c r="B588" t="str">
        <f t="shared" si="49"/>
        <v/>
      </c>
      <c r="C588" s="21" t="str">
        <f ca="1">IF(A588="","",IF($B$8="Sí",interpolar_alamb(B588,OFFSET(Curvas_cupon_cero!$A$1,1,0,COUNT(Curvas_cupon_cero!$A:$A)-2,1),OFFSET(Curvas_cupon_cero!$A$1,1,MATCH($B$7,Curvas_cupon_cero!$1:$1,0)-1,COUNT(Curvas_cupon_cero!$A:$A)-2,1)),[1]!interpolar(B588,OFFSET(Curvas_cupon_cero!$A$1,1,0,COUNT(Curvas_cupon_cero!$A:$A)-2,1),OFFSET(Curvas_cupon_cero!$A$1,1,MATCH($B$7,Curvas_cupon_cero!$1:$1,0)-1,COUNT(Curvas_cupon_cero!$A:$A)-2,1))))</f>
        <v/>
      </c>
      <c r="D588" s="23" t="str">
        <f ca="1">IF(A588="","",IF($B$8="Sí",interpolar_alamb(H588,OFFSET(Curvas_cupon_cero!$A$1,1,0,COUNT(Curvas_cupon_cero!$A:$A)-2,1),OFFSET(Curvas_cupon_cero!$A$1,1,MATCH($B$7,Curvas_cupon_cero!$1:$1,0)-1,COUNT(Curvas_cupon_cero!$A:$A)-2,1)),[1]!interpolar(H588,OFFSET(Curvas_cupon_cero!$A$1,1,0,COUNT(Curvas_cupon_cero!$A:$A)-2,1),OFFSET(Curvas_cupon_cero!$A$1,1,MATCH($B$7,Curvas_cupon_cero!$1:$1,0)-1,COUNT(Curvas_cupon_cero!$A:$A)-2,1))))</f>
        <v/>
      </c>
      <c r="E588" s="23" t="str">
        <f t="shared" si="52"/>
        <v/>
      </c>
      <c r="F588" s="17" t="str">
        <f t="shared" si="50"/>
        <v/>
      </c>
      <c r="G588" s="18" t="str">
        <f t="shared" si="53"/>
        <v/>
      </c>
      <c r="H588" t="str">
        <f t="shared" si="54"/>
        <v/>
      </c>
      <c r="I588" s="23" t="str">
        <f ca="1">IF(A588="","",IF($B$8="Sí",interpolar_alamb(H588,OFFSET(Curvas_cupon_cero!$A$1,1,0,COUNT(Curvas_cupon_cero!$A:$A)-2,1),OFFSET(Curvas_cupon_cero!$A$1,1,MATCH($B$6,Curvas_cupon_cero!$1:$1,0)-1,COUNT(Curvas_cupon_cero!$A:$A)-2,1)),[1]!interpolar(H588,OFFSET(Curvas_cupon_cero!$A$1,1,0,COUNT(Curvas_cupon_cero!$A:$A)-2,1),OFFSET(Curvas_cupon_cero!$A$1,1,MATCH($B$6,Curvas_cupon_cero!$1:$1,0)-1,COUNT(Curvas_cupon_cero!$A:$A)-2,1))))</f>
        <v/>
      </c>
      <c r="J588" s="19" t="str">
        <f>IF(A588="","",F588/(1+I588*$B$5/360)^(COUNT(A$16:A588)-($B$5-$G$16)/$B$5))</f>
        <v/>
      </c>
    </row>
    <row r="589" spans="1:10" x14ac:dyDescent="0.2">
      <c r="A589" s="12" t="str">
        <f t="shared" si="51"/>
        <v/>
      </c>
      <c r="B589" t="str">
        <f t="shared" si="49"/>
        <v/>
      </c>
      <c r="C589" s="21" t="str">
        <f ca="1">IF(A589="","",IF($B$8="Sí",interpolar_alamb(B589,OFFSET(Curvas_cupon_cero!$A$1,1,0,COUNT(Curvas_cupon_cero!$A:$A)-2,1),OFFSET(Curvas_cupon_cero!$A$1,1,MATCH($B$7,Curvas_cupon_cero!$1:$1,0)-1,COUNT(Curvas_cupon_cero!$A:$A)-2,1)),[1]!interpolar(B589,OFFSET(Curvas_cupon_cero!$A$1,1,0,COUNT(Curvas_cupon_cero!$A:$A)-2,1),OFFSET(Curvas_cupon_cero!$A$1,1,MATCH($B$7,Curvas_cupon_cero!$1:$1,0)-1,COUNT(Curvas_cupon_cero!$A:$A)-2,1))))</f>
        <v/>
      </c>
      <c r="D589" s="23" t="str">
        <f ca="1">IF(A589="","",IF($B$8="Sí",interpolar_alamb(H589,OFFSET(Curvas_cupon_cero!$A$1,1,0,COUNT(Curvas_cupon_cero!$A:$A)-2,1),OFFSET(Curvas_cupon_cero!$A$1,1,MATCH($B$7,Curvas_cupon_cero!$1:$1,0)-1,COUNT(Curvas_cupon_cero!$A:$A)-2,1)),[1]!interpolar(H589,OFFSET(Curvas_cupon_cero!$A$1,1,0,COUNT(Curvas_cupon_cero!$A:$A)-2,1),OFFSET(Curvas_cupon_cero!$A$1,1,MATCH($B$7,Curvas_cupon_cero!$1:$1,0)-1,COUNT(Curvas_cupon_cero!$A:$A)-2,1))))</f>
        <v/>
      </c>
      <c r="E589" s="23" t="str">
        <f t="shared" si="52"/>
        <v/>
      </c>
      <c r="F589" s="17" t="str">
        <f t="shared" si="50"/>
        <v/>
      </c>
      <c r="G589" s="18" t="str">
        <f t="shared" si="53"/>
        <v/>
      </c>
      <c r="H589" t="str">
        <f t="shared" si="54"/>
        <v/>
      </c>
      <c r="I589" s="23" t="str">
        <f ca="1">IF(A589="","",IF($B$8="Sí",interpolar_alamb(H589,OFFSET(Curvas_cupon_cero!$A$1,1,0,COUNT(Curvas_cupon_cero!$A:$A)-2,1),OFFSET(Curvas_cupon_cero!$A$1,1,MATCH($B$6,Curvas_cupon_cero!$1:$1,0)-1,COUNT(Curvas_cupon_cero!$A:$A)-2,1)),[1]!interpolar(H589,OFFSET(Curvas_cupon_cero!$A$1,1,0,COUNT(Curvas_cupon_cero!$A:$A)-2,1),OFFSET(Curvas_cupon_cero!$A$1,1,MATCH($B$6,Curvas_cupon_cero!$1:$1,0)-1,COUNT(Curvas_cupon_cero!$A:$A)-2,1))))</f>
        <v/>
      </c>
      <c r="J589" s="19" t="str">
        <f>IF(A589="","",F589/(1+I589*$B$5/360)^(COUNT(A$16:A589)-($B$5-$G$16)/$B$5))</f>
        <v/>
      </c>
    </row>
    <row r="590" spans="1:10" x14ac:dyDescent="0.2">
      <c r="A590" s="12" t="str">
        <f t="shared" si="51"/>
        <v/>
      </c>
      <c r="B590" t="str">
        <f t="shared" ref="B590:B653" si="55">IF(A590="","",MAX(H590-$B$5,0))</f>
        <v/>
      </c>
      <c r="C590" s="21" t="str">
        <f ca="1">IF(A590="","",IF($B$8="Sí",interpolar_alamb(B590,OFFSET(Curvas_cupon_cero!$A$1,1,0,COUNT(Curvas_cupon_cero!$A:$A)-2,1),OFFSET(Curvas_cupon_cero!$A$1,1,MATCH($B$7,Curvas_cupon_cero!$1:$1,0)-1,COUNT(Curvas_cupon_cero!$A:$A)-2,1)),[1]!interpolar(B590,OFFSET(Curvas_cupon_cero!$A$1,1,0,COUNT(Curvas_cupon_cero!$A:$A)-2,1),OFFSET(Curvas_cupon_cero!$A$1,1,MATCH($B$7,Curvas_cupon_cero!$1:$1,0)-1,COUNT(Curvas_cupon_cero!$A:$A)-2,1))))</f>
        <v/>
      </c>
      <c r="D590" s="23" t="str">
        <f ca="1">IF(A590="","",IF($B$8="Sí",interpolar_alamb(H590,OFFSET(Curvas_cupon_cero!$A$1,1,0,COUNT(Curvas_cupon_cero!$A:$A)-2,1),OFFSET(Curvas_cupon_cero!$A$1,1,MATCH($B$7,Curvas_cupon_cero!$1:$1,0)-1,COUNT(Curvas_cupon_cero!$A:$A)-2,1)),[1]!interpolar(H590,OFFSET(Curvas_cupon_cero!$A$1,1,0,COUNT(Curvas_cupon_cero!$A:$A)-2,1),OFFSET(Curvas_cupon_cero!$A$1,1,MATCH($B$7,Curvas_cupon_cero!$1:$1,0)-1,COUNT(Curvas_cupon_cero!$A:$A)-2,1))))</f>
        <v/>
      </c>
      <c r="E590" s="23" t="str">
        <f t="shared" si="52"/>
        <v/>
      </c>
      <c r="F590" s="17" t="str">
        <f t="shared" ref="F590:F653" si="56">IF(A590="","",IF(A590=$B$4,$B$1*$B$2+E590*$B$5/360*$B$1*$B$2, E590*$B$5/360*$B$1*$B$2))</f>
        <v/>
      </c>
      <c r="G590" s="18" t="str">
        <f t="shared" si="53"/>
        <v/>
      </c>
      <c r="H590" t="str">
        <f t="shared" si="54"/>
        <v/>
      </c>
      <c r="I590" s="23" t="str">
        <f ca="1">IF(A590="","",IF($B$8="Sí",interpolar_alamb(H590,OFFSET(Curvas_cupon_cero!$A$1,1,0,COUNT(Curvas_cupon_cero!$A:$A)-2,1),OFFSET(Curvas_cupon_cero!$A$1,1,MATCH($B$6,Curvas_cupon_cero!$1:$1,0)-1,COUNT(Curvas_cupon_cero!$A:$A)-2,1)),[1]!interpolar(H590,OFFSET(Curvas_cupon_cero!$A$1,1,0,COUNT(Curvas_cupon_cero!$A:$A)-2,1),OFFSET(Curvas_cupon_cero!$A$1,1,MATCH($B$6,Curvas_cupon_cero!$1:$1,0)-1,COUNT(Curvas_cupon_cero!$A:$A)-2,1))))</f>
        <v/>
      </c>
      <c r="J590" s="19" t="str">
        <f>IF(A590="","",F590/(1+I590*$B$5/360)^(COUNT(A$16:A590)-($B$5-$G$16)/$B$5))</f>
        <v/>
      </c>
    </row>
    <row r="591" spans="1:10" x14ac:dyDescent="0.2">
      <c r="A591" s="12" t="str">
        <f t="shared" ref="A591:A654" si="57">IF(A590="","",IF((A590+$B$5)&gt;$B$4,"",(A590+$B$5)))</f>
        <v/>
      </c>
      <c r="B591" t="str">
        <f t="shared" si="55"/>
        <v/>
      </c>
      <c r="C591" s="21" t="str">
        <f ca="1">IF(A591="","",IF($B$8="Sí",interpolar_alamb(B591,OFFSET(Curvas_cupon_cero!$A$1,1,0,COUNT(Curvas_cupon_cero!$A:$A)-2,1),OFFSET(Curvas_cupon_cero!$A$1,1,MATCH($B$7,Curvas_cupon_cero!$1:$1,0)-1,COUNT(Curvas_cupon_cero!$A:$A)-2,1)),[1]!interpolar(B591,OFFSET(Curvas_cupon_cero!$A$1,1,0,COUNT(Curvas_cupon_cero!$A:$A)-2,1),OFFSET(Curvas_cupon_cero!$A$1,1,MATCH($B$7,Curvas_cupon_cero!$1:$1,0)-1,COUNT(Curvas_cupon_cero!$A:$A)-2,1))))</f>
        <v/>
      </c>
      <c r="D591" s="23" t="str">
        <f ca="1">IF(A591="","",IF($B$8="Sí",interpolar_alamb(H591,OFFSET(Curvas_cupon_cero!$A$1,1,0,COUNT(Curvas_cupon_cero!$A:$A)-2,1),OFFSET(Curvas_cupon_cero!$A$1,1,MATCH($B$7,Curvas_cupon_cero!$1:$1,0)-1,COUNT(Curvas_cupon_cero!$A:$A)-2,1)),[1]!interpolar(H591,OFFSET(Curvas_cupon_cero!$A$1,1,0,COUNT(Curvas_cupon_cero!$A:$A)-2,1),OFFSET(Curvas_cupon_cero!$A$1,1,MATCH($B$7,Curvas_cupon_cero!$1:$1,0)-1,COUNT(Curvas_cupon_cero!$A:$A)-2,1))))</f>
        <v/>
      </c>
      <c r="E591" s="23" t="str">
        <f t="shared" ref="E591:E654" si="58">IF(A591="","",((1+D591*H591/360)/(1+C591*B591/360)-1)*(360/(H591-B591)))</f>
        <v/>
      </c>
      <c r="F591" s="17" t="str">
        <f t="shared" si="56"/>
        <v/>
      </c>
      <c r="G591" s="18" t="str">
        <f t="shared" ref="G591:G654" si="59">IF(A591="","",$B$5)</f>
        <v/>
      </c>
      <c r="H591" t="str">
        <f t="shared" ref="H591:H654" si="60">IF(A591="","",H590+G591)</f>
        <v/>
      </c>
      <c r="I591" s="23" t="str">
        <f ca="1">IF(A591="","",IF($B$8="Sí",interpolar_alamb(H591,OFFSET(Curvas_cupon_cero!$A$1,1,0,COUNT(Curvas_cupon_cero!$A:$A)-2,1),OFFSET(Curvas_cupon_cero!$A$1,1,MATCH($B$6,Curvas_cupon_cero!$1:$1,0)-1,COUNT(Curvas_cupon_cero!$A:$A)-2,1)),[1]!interpolar(H591,OFFSET(Curvas_cupon_cero!$A$1,1,0,COUNT(Curvas_cupon_cero!$A:$A)-2,1),OFFSET(Curvas_cupon_cero!$A$1,1,MATCH($B$6,Curvas_cupon_cero!$1:$1,0)-1,COUNT(Curvas_cupon_cero!$A:$A)-2,1))))</f>
        <v/>
      </c>
      <c r="J591" s="19" t="str">
        <f>IF(A591="","",F591/(1+I591*$B$5/360)^(COUNT(A$16:A591)-($B$5-$G$16)/$B$5))</f>
        <v/>
      </c>
    </row>
    <row r="592" spans="1:10" x14ac:dyDescent="0.2">
      <c r="A592" s="12" t="str">
        <f t="shared" si="57"/>
        <v/>
      </c>
      <c r="B592" t="str">
        <f t="shared" si="55"/>
        <v/>
      </c>
      <c r="C592" s="21" t="str">
        <f ca="1">IF(A592="","",IF($B$8="Sí",interpolar_alamb(B592,OFFSET(Curvas_cupon_cero!$A$1,1,0,COUNT(Curvas_cupon_cero!$A:$A)-2,1),OFFSET(Curvas_cupon_cero!$A$1,1,MATCH($B$7,Curvas_cupon_cero!$1:$1,0)-1,COUNT(Curvas_cupon_cero!$A:$A)-2,1)),[1]!interpolar(B592,OFFSET(Curvas_cupon_cero!$A$1,1,0,COUNT(Curvas_cupon_cero!$A:$A)-2,1),OFFSET(Curvas_cupon_cero!$A$1,1,MATCH($B$7,Curvas_cupon_cero!$1:$1,0)-1,COUNT(Curvas_cupon_cero!$A:$A)-2,1))))</f>
        <v/>
      </c>
      <c r="D592" s="23" t="str">
        <f ca="1">IF(A592="","",IF($B$8="Sí",interpolar_alamb(H592,OFFSET(Curvas_cupon_cero!$A$1,1,0,COUNT(Curvas_cupon_cero!$A:$A)-2,1),OFFSET(Curvas_cupon_cero!$A$1,1,MATCH($B$7,Curvas_cupon_cero!$1:$1,0)-1,COUNT(Curvas_cupon_cero!$A:$A)-2,1)),[1]!interpolar(H592,OFFSET(Curvas_cupon_cero!$A$1,1,0,COUNT(Curvas_cupon_cero!$A:$A)-2,1),OFFSET(Curvas_cupon_cero!$A$1,1,MATCH($B$7,Curvas_cupon_cero!$1:$1,0)-1,COUNT(Curvas_cupon_cero!$A:$A)-2,1))))</f>
        <v/>
      </c>
      <c r="E592" s="23" t="str">
        <f t="shared" si="58"/>
        <v/>
      </c>
      <c r="F592" s="17" t="str">
        <f t="shared" si="56"/>
        <v/>
      </c>
      <c r="G592" s="18" t="str">
        <f t="shared" si="59"/>
        <v/>
      </c>
      <c r="H592" t="str">
        <f t="shared" si="60"/>
        <v/>
      </c>
      <c r="I592" s="23" t="str">
        <f ca="1">IF(A592="","",IF($B$8="Sí",interpolar_alamb(H592,OFFSET(Curvas_cupon_cero!$A$1,1,0,COUNT(Curvas_cupon_cero!$A:$A)-2,1),OFFSET(Curvas_cupon_cero!$A$1,1,MATCH($B$6,Curvas_cupon_cero!$1:$1,0)-1,COUNT(Curvas_cupon_cero!$A:$A)-2,1)),[1]!interpolar(H592,OFFSET(Curvas_cupon_cero!$A$1,1,0,COUNT(Curvas_cupon_cero!$A:$A)-2,1),OFFSET(Curvas_cupon_cero!$A$1,1,MATCH($B$6,Curvas_cupon_cero!$1:$1,0)-1,COUNT(Curvas_cupon_cero!$A:$A)-2,1))))</f>
        <v/>
      </c>
      <c r="J592" s="19" t="str">
        <f>IF(A592="","",F592/(1+I592*$B$5/360)^(COUNT(A$16:A592)-($B$5-$G$16)/$B$5))</f>
        <v/>
      </c>
    </row>
    <row r="593" spans="1:10" x14ac:dyDescent="0.2">
      <c r="A593" s="12" t="str">
        <f t="shared" si="57"/>
        <v/>
      </c>
      <c r="B593" t="str">
        <f t="shared" si="55"/>
        <v/>
      </c>
      <c r="C593" s="21" t="str">
        <f ca="1">IF(A593="","",IF($B$8="Sí",interpolar_alamb(B593,OFFSET(Curvas_cupon_cero!$A$1,1,0,COUNT(Curvas_cupon_cero!$A:$A)-2,1),OFFSET(Curvas_cupon_cero!$A$1,1,MATCH($B$7,Curvas_cupon_cero!$1:$1,0)-1,COUNT(Curvas_cupon_cero!$A:$A)-2,1)),[1]!interpolar(B593,OFFSET(Curvas_cupon_cero!$A$1,1,0,COUNT(Curvas_cupon_cero!$A:$A)-2,1),OFFSET(Curvas_cupon_cero!$A$1,1,MATCH($B$7,Curvas_cupon_cero!$1:$1,0)-1,COUNT(Curvas_cupon_cero!$A:$A)-2,1))))</f>
        <v/>
      </c>
      <c r="D593" s="23" t="str">
        <f ca="1">IF(A593="","",IF($B$8="Sí",interpolar_alamb(H593,OFFSET(Curvas_cupon_cero!$A$1,1,0,COUNT(Curvas_cupon_cero!$A:$A)-2,1),OFFSET(Curvas_cupon_cero!$A$1,1,MATCH($B$7,Curvas_cupon_cero!$1:$1,0)-1,COUNT(Curvas_cupon_cero!$A:$A)-2,1)),[1]!interpolar(H593,OFFSET(Curvas_cupon_cero!$A$1,1,0,COUNT(Curvas_cupon_cero!$A:$A)-2,1),OFFSET(Curvas_cupon_cero!$A$1,1,MATCH($B$7,Curvas_cupon_cero!$1:$1,0)-1,COUNT(Curvas_cupon_cero!$A:$A)-2,1))))</f>
        <v/>
      </c>
      <c r="E593" s="23" t="str">
        <f t="shared" si="58"/>
        <v/>
      </c>
      <c r="F593" s="17" t="str">
        <f t="shared" si="56"/>
        <v/>
      </c>
      <c r="G593" s="18" t="str">
        <f t="shared" si="59"/>
        <v/>
      </c>
      <c r="H593" t="str">
        <f t="shared" si="60"/>
        <v/>
      </c>
      <c r="I593" s="23" t="str">
        <f ca="1">IF(A593="","",IF($B$8="Sí",interpolar_alamb(H593,OFFSET(Curvas_cupon_cero!$A$1,1,0,COUNT(Curvas_cupon_cero!$A:$A)-2,1),OFFSET(Curvas_cupon_cero!$A$1,1,MATCH($B$6,Curvas_cupon_cero!$1:$1,0)-1,COUNT(Curvas_cupon_cero!$A:$A)-2,1)),[1]!interpolar(H593,OFFSET(Curvas_cupon_cero!$A$1,1,0,COUNT(Curvas_cupon_cero!$A:$A)-2,1),OFFSET(Curvas_cupon_cero!$A$1,1,MATCH($B$6,Curvas_cupon_cero!$1:$1,0)-1,COUNT(Curvas_cupon_cero!$A:$A)-2,1))))</f>
        <v/>
      </c>
      <c r="J593" s="19" t="str">
        <f>IF(A593="","",F593/(1+I593*$B$5/360)^(COUNT(A$16:A593)-($B$5-$G$16)/$B$5))</f>
        <v/>
      </c>
    </row>
    <row r="594" spans="1:10" x14ac:dyDescent="0.2">
      <c r="A594" s="12" t="str">
        <f t="shared" si="57"/>
        <v/>
      </c>
      <c r="B594" t="str">
        <f t="shared" si="55"/>
        <v/>
      </c>
      <c r="C594" s="21" t="str">
        <f ca="1">IF(A594="","",IF($B$8="Sí",interpolar_alamb(B594,OFFSET(Curvas_cupon_cero!$A$1,1,0,COUNT(Curvas_cupon_cero!$A:$A)-2,1),OFFSET(Curvas_cupon_cero!$A$1,1,MATCH($B$7,Curvas_cupon_cero!$1:$1,0)-1,COUNT(Curvas_cupon_cero!$A:$A)-2,1)),[1]!interpolar(B594,OFFSET(Curvas_cupon_cero!$A$1,1,0,COUNT(Curvas_cupon_cero!$A:$A)-2,1),OFFSET(Curvas_cupon_cero!$A$1,1,MATCH($B$7,Curvas_cupon_cero!$1:$1,0)-1,COUNT(Curvas_cupon_cero!$A:$A)-2,1))))</f>
        <v/>
      </c>
      <c r="D594" s="23" t="str">
        <f ca="1">IF(A594="","",IF($B$8="Sí",interpolar_alamb(H594,OFFSET(Curvas_cupon_cero!$A$1,1,0,COUNT(Curvas_cupon_cero!$A:$A)-2,1),OFFSET(Curvas_cupon_cero!$A$1,1,MATCH($B$7,Curvas_cupon_cero!$1:$1,0)-1,COUNT(Curvas_cupon_cero!$A:$A)-2,1)),[1]!interpolar(H594,OFFSET(Curvas_cupon_cero!$A$1,1,0,COUNT(Curvas_cupon_cero!$A:$A)-2,1),OFFSET(Curvas_cupon_cero!$A$1,1,MATCH($B$7,Curvas_cupon_cero!$1:$1,0)-1,COUNT(Curvas_cupon_cero!$A:$A)-2,1))))</f>
        <v/>
      </c>
      <c r="E594" s="23" t="str">
        <f t="shared" si="58"/>
        <v/>
      </c>
      <c r="F594" s="17" t="str">
        <f t="shared" si="56"/>
        <v/>
      </c>
      <c r="G594" s="18" t="str">
        <f t="shared" si="59"/>
        <v/>
      </c>
      <c r="H594" t="str">
        <f t="shared" si="60"/>
        <v/>
      </c>
      <c r="I594" s="23" t="str">
        <f ca="1">IF(A594="","",IF($B$8="Sí",interpolar_alamb(H594,OFFSET(Curvas_cupon_cero!$A$1,1,0,COUNT(Curvas_cupon_cero!$A:$A)-2,1),OFFSET(Curvas_cupon_cero!$A$1,1,MATCH($B$6,Curvas_cupon_cero!$1:$1,0)-1,COUNT(Curvas_cupon_cero!$A:$A)-2,1)),[1]!interpolar(H594,OFFSET(Curvas_cupon_cero!$A$1,1,0,COUNT(Curvas_cupon_cero!$A:$A)-2,1),OFFSET(Curvas_cupon_cero!$A$1,1,MATCH($B$6,Curvas_cupon_cero!$1:$1,0)-1,COUNT(Curvas_cupon_cero!$A:$A)-2,1))))</f>
        <v/>
      </c>
      <c r="J594" s="19" t="str">
        <f>IF(A594="","",F594/(1+I594*$B$5/360)^(COUNT(A$16:A594)-($B$5-$G$16)/$B$5))</f>
        <v/>
      </c>
    </row>
    <row r="595" spans="1:10" x14ac:dyDescent="0.2">
      <c r="A595" s="12" t="str">
        <f t="shared" si="57"/>
        <v/>
      </c>
      <c r="B595" t="str">
        <f t="shared" si="55"/>
        <v/>
      </c>
      <c r="C595" s="21" t="str">
        <f ca="1">IF(A595="","",IF($B$8="Sí",interpolar_alamb(B595,OFFSET(Curvas_cupon_cero!$A$1,1,0,COUNT(Curvas_cupon_cero!$A:$A)-2,1),OFFSET(Curvas_cupon_cero!$A$1,1,MATCH($B$7,Curvas_cupon_cero!$1:$1,0)-1,COUNT(Curvas_cupon_cero!$A:$A)-2,1)),[1]!interpolar(B595,OFFSET(Curvas_cupon_cero!$A$1,1,0,COUNT(Curvas_cupon_cero!$A:$A)-2,1),OFFSET(Curvas_cupon_cero!$A$1,1,MATCH($B$7,Curvas_cupon_cero!$1:$1,0)-1,COUNT(Curvas_cupon_cero!$A:$A)-2,1))))</f>
        <v/>
      </c>
      <c r="D595" s="23" t="str">
        <f ca="1">IF(A595="","",IF($B$8="Sí",interpolar_alamb(H595,OFFSET(Curvas_cupon_cero!$A$1,1,0,COUNT(Curvas_cupon_cero!$A:$A)-2,1),OFFSET(Curvas_cupon_cero!$A$1,1,MATCH($B$7,Curvas_cupon_cero!$1:$1,0)-1,COUNT(Curvas_cupon_cero!$A:$A)-2,1)),[1]!interpolar(H595,OFFSET(Curvas_cupon_cero!$A$1,1,0,COUNT(Curvas_cupon_cero!$A:$A)-2,1),OFFSET(Curvas_cupon_cero!$A$1,1,MATCH($B$7,Curvas_cupon_cero!$1:$1,0)-1,COUNT(Curvas_cupon_cero!$A:$A)-2,1))))</f>
        <v/>
      </c>
      <c r="E595" s="23" t="str">
        <f t="shared" si="58"/>
        <v/>
      </c>
      <c r="F595" s="17" t="str">
        <f t="shared" si="56"/>
        <v/>
      </c>
      <c r="G595" s="18" t="str">
        <f t="shared" si="59"/>
        <v/>
      </c>
      <c r="H595" t="str">
        <f t="shared" si="60"/>
        <v/>
      </c>
      <c r="I595" s="23" t="str">
        <f ca="1">IF(A595="","",IF($B$8="Sí",interpolar_alamb(H595,OFFSET(Curvas_cupon_cero!$A$1,1,0,COUNT(Curvas_cupon_cero!$A:$A)-2,1),OFFSET(Curvas_cupon_cero!$A$1,1,MATCH($B$6,Curvas_cupon_cero!$1:$1,0)-1,COUNT(Curvas_cupon_cero!$A:$A)-2,1)),[1]!interpolar(H595,OFFSET(Curvas_cupon_cero!$A$1,1,0,COUNT(Curvas_cupon_cero!$A:$A)-2,1),OFFSET(Curvas_cupon_cero!$A$1,1,MATCH($B$6,Curvas_cupon_cero!$1:$1,0)-1,COUNT(Curvas_cupon_cero!$A:$A)-2,1))))</f>
        <v/>
      </c>
      <c r="J595" s="19" t="str">
        <f>IF(A595="","",F595/(1+I595*$B$5/360)^(COUNT(A$16:A595)-($B$5-$G$16)/$B$5))</f>
        <v/>
      </c>
    </row>
    <row r="596" spans="1:10" x14ac:dyDescent="0.2">
      <c r="A596" s="12" t="str">
        <f t="shared" si="57"/>
        <v/>
      </c>
      <c r="B596" t="str">
        <f t="shared" si="55"/>
        <v/>
      </c>
      <c r="C596" s="21" t="str">
        <f ca="1">IF(A596="","",IF($B$8="Sí",interpolar_alamb(B596,OFFSET(Curvas_cupon_cero!$A$1,1,0,COUNT(Curvas_cupon_cero!$A:$A)-2,1),OFFSET(Curvas_cupon_cero!$A$1,1,MATCH($B$7,Curvas_cupon_cero!$1:$1,0)-1,COUNT(Curvas_cupon_cero!$A:$A)-2,1)),[1]!interpolar(B596,OFFSET(Curvas_cupon_cero!$A$1,1,0,COUNT(Curvas_cupon_cero!$A:$A)-2,1),OFFSET(Curvas_cupon_cero!$A$1,1,MATCH($B$7,Curvas_cupon_cero!$1:$1,0)-1,COUNT(Curvas_cupon_cero!$A:$A)-2,1))))</f>
        <v/>
      </c>
      <c r="D596" s="23" t="str">
        <f ca="1">IF(A596="","",IF($B$8="Sí",interpolar_alamb(H596,OFFSET(Curvas_cupon_cero!$A$1,1,0,COUNT(Curvas_cupon_cero!$A:$A)-2,1),OFFSET(Curvas_cupon_cero!$A$1,1,MATCH($B$7,Curvas_cupon_cero!$1:$1,0)-1,COUNT(Curvas_cupon_cero!$A:$A)-2,1)),[1]!interpolar(H596,OFFSET(Curvas_cupon_cero!$A$1,1,0,COUNT(Curvas_cupon_cero!$A:$A)-2,1),OFFSET(Curvas_cupon_cero!$A$1,1,MATCH($B$7,Curvas_cupon_cero!$1:$1,0)-1,COUNT(Curvas_cupon_cero!$A:$A)-2,1))))</f>
        <v/>
      </c>
      <c r="E596" s="23" t="str">
        <f t="shared" si="58"/>
        <v/>
      </c>
      <c r="F596" s="17" t="str">
        <f t="shared" si="56"/>
        <v/>
      </c>
      <c r="G596" s="18" t="str">
        <f t="shared" si="59"/>
        <v/>
      </c>
      <c r="H596" t="str">
        <f t="shared" si="60"/>
        <v/>
      </c>
      <c r="I596" s="23" t="str">
        <f ca="1">IF(A596="","",IF($B$8="Sí",interpolar_alamb(H596,OFFSET(Curvas_cupon_cero!$A$1,1,0,COUNT(Curvas_cupon_cero!$A:$A)-2,1),OFFSET(Curvas_cupon_cero!$A$1,1,MATCH($B$6,Curvas_cupon_cero!$1:$1,0)-1,COUNT(Curvas_cupon_cero!$A:$A)-2,1)),[1]!interpolar(H596,OFFSET(Curvas_cupon_cero!$A$1,1,0,COUNT(Curvas_cupon_cero!$A:$A)-2,1),OFFSET(Curvas_cupon_cero!$A$1,1,MATCH($B$6,Curvas_cupon_cero!$1:$1,0)-1,COUNT(Curvas_cupon_cero!$A:$A)-2,1))))</f>
        <v/>
      </c>
      <c r="J596" s="19" t="str">
        <f>IF(A596="","",F596/(1+I596*$B$5/360)^(COUNT(A$16:A596)-($B$5-$G$16)/$B$5))</f>
        <v/>
      </c>
    </row>
    <row r="597" spans="1:10" x14ac:dyDescent="0.2">
      <c r="A597" s="12" t="str">
        <f t="shared" si="57"/>
        <v/>
      </c>
      <c r="B597" t="str">
        <f t="shared" si="55"/>
        <v/>
      </c>
      <c r="C597" s="21" t="str">
        <f ca="1">IF(A597="","",IF($B$8="Sí",interpolar_alamb(B597,OFFSET(Curvas_cupon_cero!$A$1,1,0,COUNT(Curvas_cupon_cero!$A:$A)-2,1),OFFSET(Curvas_cupon_cero!$A$1,1,MATCH($B$7,Curvas_cupon_cero!$1:$1,0)-1,COUNT(Curvas_cupon_cero!$A:$A)-2,1)),[1]!interpolar(B597,OFFSET(Curvas_cupon_cero!$A$1,1,0,COUNT(Curvas_cupon_cero!$A:$A)-2,1),OFFSET(Curvas_cupon_cero!$A$1,1,MATCH($B$7,Curvas_cupon_cero!$1:$1,0)-1,COUNT(Curvas_cupon_cero!$A:$A)-2,1))))</f>
        <v/>
      </c>
      <c r="D597" s="23" t="str">
        <f ca="1">IF(A597="","",IF($B$8="Sí",interpolar_alamb(H597,OFFSET(Curvas_cupon_cero!$A$1,1,0,COUNT(Curvas_cupon_cero!$A:$A)-2,1),OFFSET(Curvas_cupon_cero!$A$1,1,MATCH($B$7,Curvas_cupon_cero!$1:$1,0)-1,COUNT(Curvas_cupon_cero!$A:$A)-2,1)),[1]!interpolar(H597,OFFSET(Curvas_cupon_cero!$A$1,1,0,COUNT(Curvas_cupon_cero!$A:$A)-2,1),OFFSET(Curvas_cupon_cero!$A$1,1,MATCH($B$7,Curvas_cupon_cero!$1:$1,0)-1,COUNT(Curvas_cupon_cero!$A:$A)-2,1))))</f>
        <v/>
      </c>
      <c r="E597" s="23" t="str">
        <f t="shared" si="58"/>
        <v/>
      </c>
      <c r="F597" s="17" t="str">
        <f t="shared" si="56"/>
        <v/>
      </c>
      <c r="G597" s="18" t="str">
        <f t="shared" si="59"/>
        <v/>
      </c>
      <c r="H597" t="str">
        <f t="shared" si="60"/>
        <v/>
      </c>
      <c r="I597" s="23" t="str">
        <f ca="1">IF(A597="","",IF($B$8="Sí",interpolar_alamb(H597,OFFSET(Curvas_cupon_cero!$A$1,1,0,COUNT(Curvas_cupon_cero!$A:$A)-2,1),OFFSET(Curvas_cupon_cero!$A$1,1,MATCH($B$6,Curvas_cupon_cero!$1:$1,0)-1,COUNT(Curvas_cupon_cero!$A:$A)-2,1)),[1]!interpolar(H597,OFFSET(Curvas_cupon_cero!$A$1,1,0,COUNT(Curvas_cupon_cero!$A:$A)-2,1),OFFSET(Curvas_cupon_cero!$A$1,1,MATCH($B$6,Curvas_cupon_cero!$1:$1,0)-1,COUNT(Curvas_cupon_cero!$A:$A)-2,1))))</f>
        <v/>
      </c>
      <c r="J597" s="19" t="str">
        <f>IF(A597="","",F597/(1+I597*$B$5/360)^(COUNT(A$16:A597)-($B$5-$G$16)/$B$5))</f>
        <v/>
      </c>
    </row>
    <row r="598" spans="1:10" x14ac:dyDescent="0.2">
      <c r="A598" s="12" t="str">
        <f t="shared" si="57"/>
        <v/>
      </c>
      <c r="B598" t="str">
        <f t="shared" si="55"/>
        <v/>
      </c>
      <c r="C598" s="21" t="str">
        <f ca="1">IF(A598="","",IF($B$8="Sí",interpolar_alamb(B598,OFFSET(Curvas_cupon_cero!$A$1,1,0,COUNT(Curvas_cupon_cero!$A:$A)-2,1),OFFSET(Curvas_cupon_cero!$A$1,1,MATCH($B$7,Curvas_cupon_cero!$1:$1,0)-1,COUNT(Curvas_cupon_cero!$A:$A)-2,1)),[1]!interpolar(B598,OFFSET(Curvas_cupon_cero!$A$1,1,0,COUNT(Curvas_cupon_cero!$A:$A)-2,1),OFFSET(Curvas_cupon_cero!$A$1,1,MATCH($B$7,Curvas_cupon_cero!$1:$1,0)-1,COUNT(Curvas_cupon_cero!$A:$A)-2,1))))</f>
        <v/>
      </c>
      <c r="D598" s="23" t="str">
        <f ca="1">IF(A598="","",IF($B$8="Sí",interpolar_alamb(H598,OFFSET(Curvas_cupon_cero!$A$1,1,0,COUNT(Curvas_cupon_cero!$A:$A)-2,1),OFFSET(Curvas_cupon_cero!$A$1,1,MATCH($B$7,Curvas_cupon_cero!$1:$1,0)-1,COUNT(Curvas_cupon_cero!$A:$A)-2,1)),[1]!interpolar(H598,OFFSET(Curvas_cupon_cero!$A$1,1,0,COUNT(Curvas_cupon_cero!$A:$A)-2,1),OFFSET(Curvas_cupon_cero!$A$1,1,MATCH($B$7,Curvas_cupon_cero!$1:$1,0)-1,COUNT(Curvas_cupon_cero!$A:$A)-2,1))))</f>
        <v/>
      </c>
      <c r="E598" s="23" t="str">
        <f t="shared" si="58"/>
        <v/>
      </c>
      <c r="F598" s="17" t="str">
        <f t="shared" si="56"/>
        <v/>
      </c>
      <c r="G598" s="18" t="str">
        <f t="shared" si="59"/>
        <v/>
      </c>
      <c r="H598" t="str">
        <f t="shared" si="60"/>
        <v/>
      </c>
      <c r="I598" s="23" t="str">
        <f ca="1">IF(A598="","",IF($B$8="Sí",interpolar_alamb(H598,OFFSET(Curvas_cupon_cero!$A$1,1,0,COUNT(Curvas_cupon_cero!$A:$A)-2,1),OFFSET(Curvas_cupon_cero!$A$1,1,MATCH($B$6,Curvas_cupon_cero!$1:$1,0)-1,COUNT(Curvas_cupon_cero!$A:$A)-2,1)),[1]!interpolar(H598,OFFSET(Curvas_cupon_cero!$A$1,1,0,COUNT(Curvas_cupon_cero!$A:$A)-2,1),OFFSET(Curvas_cupon_cero!$A$1,1,MATCH($B$6,Curvas_cupon_cero!$1:$1,0)-1,COUNT(Curvas_cupon_cero!$A:$A)-2,1))))</f>
        <v/>
      </c>
      <c r="J598" s="19" t="str">
        <f>IF(A598="","",F598/(1+I598*$B$5/360)^(COUNT(A$16:A598)-($B$5-$G$16)/$B$5))</f>
        <v/>
      </c>
    </row>
    <row r="599" spans="1:10" x14ac:dyDescent="0.2">
      <c r="A599" s="12" t="str">
        <f t="shared" si="57"/>
        <v/>
      </c>
      <c r="B599" t="str">
        <f t="shared" si="55"/>
        <v/>
      </c>
      <c r="C599" s="21" t="str">
        <f ca="1">IF(A599="","",IF($B$8="Sí",interpolar_alamb(B599,OFFSET(Curvas_cupon_cero!$A$1,1,0,COUNT(Curvas_cupon_cero!$A:$A)-2,1),OFFSET(Curvas_cupon_cero!$A$1,1,MATCH($B$7,Curvas_cupon_cero!$1:$1,0)-1,COUNT(Curvas_cupon_cero!$A:$A)-2,1)),[1]!interpolar(B599,OFFSET(Curvas_cupon_cero!$A$1,1,0,COUNT(Curvas_cupon_cero!$A:$A)-2,1),OFFSET(Curvas_cupon_cero!$A$1,1,MATCH($B$7,Curvas_cupon_cero!$1:$1,0)-1,COUNT(Curvas_cupon_cero!$A:$A)-2,1))))</f>
        <v/>
      </c>
      <c r="D599" s="23" t="str">
        <f ca="1">IF(A599="","",IF($B$8="Sí",interpolar_alamb(H599,OFFSET(Curvas_cupon_cero!$A$1,1,0,COUNT(Curvas_cupon_cero!$A:$A)-2,1),OFFSET(Curvas_cupon_cero!$A$1,1,MATCH($B$7,Curvas_cupon_cero!$1:$1,0)-1,COUNT(Curvas_cupon_cero!$A:$A)-2,1)),[1]!interpolar(H599,OFFSET(Curvas_cupon_cero!$A$1,1,0,COUNT(Curvas_cupon_cero!$A:$A)-2,1),OFFSET(Curvas_cupon_cero!$A$1,1,MATCH($B$7,Curvas_cupon_cero!$1:$1,0)-1,COUNT(Curvas_cupon_cero!$A:$A)-2,1))))</f>
        <v/>
      </c>
      <c r="E599" s="23" t="str">
        <f t="shared" si="58"/>
        <v/>
      </c>
      <c r="F599" s="17" t="str">
        <f t="shared" si="56"/>
        <v/>
      </c>
      <c r="G599" s="18" t="str">
        <f t="shared" si="59"/>
        <v/>
      </c>
      <c r="H599" t="str">
        <f t="shared" si="60"/>
        <v/>
      </c>
      <c r="I599" s="23" t="str">
        <f ca="1">IF(A599="","",IF($B$8="Sí",interpolar_alamb(H599,OFFSET(Curvas_cupon_cero!$A$1,1,0,COUNT(Curvas_cupon_cero!$A:$A)-2,1),OFFSET(Curvas_cupon_cero!$A$1,1,MATCH($B$6,Curvas_cupon_cero!$1:$1,0)-1,COUNT(Curvas_cupon_cero!$A:$A)-2,1)),[1]!interpolar(H599,OFFSET(Curvas_cupon_cero!$A$1,1,0,COUNT(Curvas_cupon_cero!$A:$A)-2,1),OFFSET(Curvas_cupon_cero!$A$1,1,MATCH($B$6,Curvas_cupon_cero!$1:$1,0)-1,COUNT(Curvas_cupon_cero!$A:$A)-2,1))))</f>
        <v/>
      </c>
      <c r="J599" s="19" t="str">
        <f>IF(A599="","",F599/(1+I599*$B$5/360)^(COUNT(A$16:A599)-($B$5-$G$16)/$B$5))</f>
        <v/>
      </c>
    </row>
    <row r="600" spans="1:10" x14ac:dyDescent="0.2">
      <c r="A600" s="12" t="str">
        <f t="shared" si="57"/>
        <v/>
      </c>
      <c r="B600" t="str">
        <f t="shared" si="55"/>
        <v/>
      </c>
      <c r="C600" s="21" t="str">
        <f ca="1">IF(A600="","",IF($B$8="Sí",interpolar_alamb(B600,OFFSET(Curvas_cupon_cero!$A$1,1,0,COUNT(Curvas_cupon_cero!$A:$A)-2,1),OFFSET(Curvas_cupon_cero!$A$1,1,MATCH($B$7,Curvas_cupon_cero!$1:$1,0)-1,COUNT(Curvas_cupon_cero!$A:$A)-2,1)),[1]!interpolar(B600,OFFSET(Curvas_cupon_cero!$A$1,1,0,COUNT(Curvas_cupon_cero!$A:$A)-2,1),OFFSET(Curvas_cupon_cero!$A$1,1,MATCH($B$7,Curvas_cupon_cero!$1:$1,0)-1,COUNT(Curvas_cupon_cero!$A:$A)-2,1))))</f>
        <v/>
      </c>
      <c r="D600" s="23" t="str">
        <f ca="1">IF(A600="","",IF($B$8="Sí",interpolar_alamb(H600,OFFSET(Curvas_cupon_cero!$A$1,1,0,COUNT(Curvas_cupon_cero!$A:$A)-2,1),OFFSET(Curvas_cupon_cero!$A$1,1,MATCH($B$7,Curvas_cupon_cero!$1:$1,0)-1,COUNT(Curvas_cupon_cero!$A:$A)-2,1)),[1]!interpolar(H600,OFFSET(Curvas_cupon_cero!$A$1,1,0,COUNT(Curvas_cupon_cero!$A:$A)-2,1),OFFSET(Curvas_cupon_cero!$A$1,1,MATCH($B$7,Curvas_cupon_cero!$1:$1,0)-1,COUNT(Curvas_cupon_cero!$A:$A)-2,1))))</f>
        <v/>
      </c>
      <c r="E600" s="23" t="str">
        <f t="shared" si="58"/>
        <v/>
      </c>
      <c r="F600" s="17" t="str">
        <f t="shared" si="56"/>
        <v/>
      </c>
      <c r="G600" s="18" t="str">
        <f t="shared" si="59"/>
        <v/>
      </c>
      <c r="H600" t="str">
        <f t="shared" si="60"/>
        <v/>
      </c>
      <c r="I600" s="23" t="str">
        <f ca="1">IF(A600="","",IF($B$8="Sí",interpolar_alamb(H600,OFFSET(Curvas_cupon_cero!$A$1,1,0,COUNT(Curvas_cupon_cero!$A:$A)-2,1),OFFSET(Curvas_cupon_cero!$A$1,1,MATCH($B$6,Curvas_cupon_cero!$1:$1,0)-1,COUNT(Curvas_cupon_cero!$A:$A)-2,1)),[1]!interpolar(H600,OFFSET(Curvas_cupon_cero!$A$1,1,0,COUNT(Curvas_cupon_cero!$A:$A)-2,1),OFFSET(Curvas_cupon_cero!$A$1,1,MATCH($B$6,Curvas_cupon_cero!$1:$1,0)-1,COUNT(Curvas_cupon_cero!$A:$A)-2,1))))</f>
        <v/>
      </c>
      <c r="J600" s="19" t="str">
        <f>IF(A600="","",F600/(1+I600*$B$5/360)^(COUNT(A$16:A600)-($B$5-$G$16)/$B$5))</f>
        <v/>
      </c>
    </row>
    <row r="601" spans="1:10" x14ac:dyDescent="0.2">
      <c r="A601" s="12" t="str">
        <f t="shared" si="57"/>
        <v/>
      </c>
      <c r="B601" t="str">
        <f t="shared" si="55"/>
        <v/>
      </c>
      <c r="C601" s="21" t="str">
        <f ca="1">IF(A601="","",IF($B$8="Sí",interpolar_alamb(B601,OFFSET(Curvas_cupon_cero!$A$1,1,0,COUNT(Curvas_cupon_cero!$A:$A)-2,1),OFFSET(Curvas_cupon_cero!$A$1,1,MATCH($B$7,Curvas_cupon_cero!$1:$1,0)-1,COUNT(Curvas_cupon_cero!$A:$A)-2,1)),[1]!interpolar(B601,OFFSET(Curvas_cupon_cero!$A$1,1,0,COUNT(Curvas_cupon_cero!$A:$A)-2,1),OFFSET(Curvas_cupon_cero!$A$1,1,MATCH($B$7,Curvas_cupon_cero!$1:$1,0)-1,COUNT(Curvas_cupon_cero!$A:$A)-2,1))))</f>
        <v/>
      </c>
      <c r="D601" s="23" t="str">
        <f ca="1">IF(A601="","",IF($B$8="Sí",interpolar_alamb(H601,OFFSET(Curvas_cupon_cero!$A$1,1,0,COUNT(Curvas_cupon_cero!$A:$A)-2,1),OFFSET(Curvas_cupon_cero!$A$1,1,MATCH($B$7,Curvas_cupon_cero!$1:$1,0)-1,COUNT(Curvas_cupon_cero!$A:$A)-2,1)),[1]!interpolar(H601,OFFSET(Curvas_cupon_cero!$A$1,1,0,COUNT(Curvas_cupon_cero!$A:$A)-2,1),OFFSET(Curvas_cupon_cero!$A$1,1,MATCH($B$7,Curvas_cupon_cero!$1:$1,0)-1,COUNT(Curvas_cupon_cero!$A:$A)-2,1))))</f>
        <v/>
      </c>
      <c r="E601" s="23" t="str">
        <f t="shared" si="58"/>
        <v/>
      </c>
      <c r="F601" s="17" t="str">
        <f t="shared" si="56"/>
        <v/>
      </c>
      <c r="G601" s="18" t="str">
        <f t="shared" si="59"/>
        <v/>
      </c>
      <c r="H601" t="str">
        <f t="shared" si="60"/>
        <v/>
      </c>
      <c r="I601" s="23" t="str">
        <f ca="1">IF(A601="","",IF($B$8="Sí",interpolar_alamb(H601,OFFSET(Curvas_cupon_cero!$A$1,1,0,COUNT(Curvas_cupon_cero!$A:$A)-2,1),OFFSET(Curvas_cupon_cero!$A$1,1,MATCH($B$6,Curvas_cupon_cero!$1:$1,0)-1,COUNT(Curvas_cupon_cero!$A:$A)-2,1)),[1]!interpolar(H601,OFFSET(Curvas_cupon_cero!$A$1,1,0,COUNT(Curvas_cupon_cero!$A:$A)-2,1),OFFSET(Curvas_cupon_cero!$A$1,1,MATCH($B$6,Curvas_cupon_cero!$1:$1,0)-1,COUNT(Curvas_cupon_cero!$A:$A)-2,1))))</f>
        <v/>
      </c>
      <c r="J601" s="19" t="str">
        <f>IF(A601="","",F601/(1+I601*$B$5/360)^(COUNT(A$16:A601)-($B$5-$G$16)/$B$5))</f>
        <v/>
      </c>
    </row>
    <row r="602" spans="1:10" x14ac:dyDescent="0.2">
      <c r="A602" s="12" t="str">
        <f t="shared" si="57"/>
        <v/>
      </c>
      <c r="B602" t="str">
        <f t="shared" si="55"/>
        <v/>
      </c>
      <c r="C602" s="21" t="str">
        <f ca="1">IF(A602="","",IF($B$8="Sí",interpolar_alamb(B602,OFFSET(Curvas_cupon_cero!$A$1,1,0,COUNT(Curvas_cupon_cero!$A:$A)-2,1),OFFSET(Curvas_cupon_cero!$A$1,1,MATCH($B$7,Curvas_cupon_cero!$1:$1,0)-1,COUNT(Curvas_cupon_cero!$A:$A)-2,1)),[1]!interpolar(B602,OFFSET(Curvas_cupon_cero!$A$1,1,0,COUNT(Curvas_cupon_cero!$A:$A)-2,1),OFFSET(Curvas_cupon_cero!$A$1,1,MATCH($B$7,Curvas_cupon_cero!$1:$1,0)-1,COUNT(Curvas_cupon_cero!$A:$A)-2,1))))</f>
        <v/>
      </c>
      <c r="D602" s="23" t="str">
        <f ca="1">IF(A602="","",IF($B$8="Sí",interpolar_alamb(H602,OFFSET(Curvas_cupon_cero!$A$1,1,0,COUNT(Curvas_cupon_cero!$A:$A)-2,1),OFFSET(Curvas_cupon_cero!$A$1,1,MATCH($B$7,Curvas_cupon_cero!$1:$1,0)-1,COUNT(Curvas_cupon_cero!$A:$A)-2,1)),[1]!interpolar(H602,OFFSET(Curvas_cupon_cero!$A$1,1,0,COUNT(Curvas_cupon_cero!$A:$A)-2,1),OFFSET(Curvas_cupon_cero!$A$1,1,MATCH($B$7,Curvas_cupon_cero!$1:$1,0)-1,COUNT(Curvas_cupon_cero!$A:$A)-2,1))))</f>
        <v/>
      </c>
      <c r="E602" s="23" t="str">
        <f t="shared" si="58"/>
        <v/>
      </c>
      <c r="F602" s="17" t="str">
        <f t="shared" si="56"/>
        <v/>
      </c>
      <c r="G602" s="18" t="str">
        <f t="shared" si="59"/>
        <v/>
      </c>
      <c r="H602" t="str">
        <f t="shared" si="60"/>
        <v/>
      </c>
      <c r="I602" s="23" t="str">
        <f ca="1">IF(A602="","",IF($B$8="Sí",interpolar_alamb(H602,OFFSET(Curvas_cupon_cero!$A$1,1,0,COUNT(Curvas_cupon_cero!$A:$A)-2,1),OFFSET(Curvas_cupon_cero!$A$1,1,MATCH($B$6,Curvas_cupon_cero!$1:$1,0)-1,COUNT(Curvas_cupon_cero!$A:$A)-2,1)),[1]!interpolar(H602,OFFSET(Curvas_cupon_cero!$A$1,1,0,COUNT(Curvas_cupon_cero!$A:$A)-2,1),OFFSET(Curvas_cupon_cero!$A$1,1,MATCH($B$6,Curvas_cupon_cero!$1:$1,0)-1,COUNT(Curvas_cupon_cero!$A:$A)-2,1))))</f>
        <v/>
      </c>
      <c r="J602" s="19" t="str">
        <f>IF(A602="","",F602/(1+I602*$B$5/360)^(COUNT(A$16:A602)-($B$5-$G$16)/$B$5))</f>
        <v/>
      </c>
    </row>
    <row r="603" spans="1:10" x14ac:dyDescent="0.2">
      <c r="A603" s="12" t="str">
        <f t="shared" si="57"/>
        <v/>
      </c>
      <c r="B603" t="str">
        <f t="shared" si="55"/>
        <v/>
      </c>
      <c r="C603" s="21" t="str">
        <f ca="1">IF(A603="","",IF($B$8="Sí",interpolar_alamb(B603,OFFSET(Curvas_cupon_cero!$A$1,1,0,COUNT(Curvas_cupon_cero!$A:$A)-2,1),OFFSET(Curvas_cupon_cero!$A$1,1,MATCH($B$7,Curvas_cupon_cero!$1:$1,0)-1,COUNT(Curvas_cupon_cero!$A:$A)-2,1)),[1]!interpolar(B603,OFFSET(Curvas_cupon_cero!$A$1,1,0,COUNT(Curvas_cupon_cero!$A:$A)-2,1),OFFSET(Curvas_cupon_cero!$A$1,1,MATCH($B$7,Curvas_cupon_cero!$1:$1,0)-1,COUNT(Curvas_cupon_cero!$A:$A)-2,1))))</f>
        <v/>
      </c>
      <c r="D603" s="23" t="str">
        <f ca="1">IF(A603="","",IF($B$8="Sí",interpolar_alamb(H603,OFFSET(Curvas_cupon_cero!$A$1,1,0,COUNT(Curvas_cupon_cero!$A:$A)-2,1),OFFSET(Curvas_cupon_cero!$A$1,1,MATCH($B$7,Curvas_cupon_cero!$1:$1,0)-1,COUNT(Curvas_cupon_cero!$A:$A)-2,1)),[1]!interpolar(H603,OFFSET(Curvas_cupon_cero!$A$1,1,0,COUNT(Curvas_cupon_cero!$A:$A)-2,1),OFFSET(Curvas_cupon_cero!$A$1,1,MATCH($B$7,Curvas_cupon_cero!$1:$1,0)-1,COUNT(Curvas_cupon_cero!$A:$A)-2,1))))</f>
        <v/>
      </c>
      <c r="E603" s="23" t="str">
        <f t="shared" si="58"/>
        <v/>
      </c>
      <c r="F603" s="17" t="str">
        <f t="shared" si="56"/>
        <v/>
      </c>
      <c r="G603" s="18" t="str">
        <f t="shared" si="59"/>
        <v/>
      </c>
      <c r="H603" t="str">
        <f t="shared" si="60"/>
        <v/>
      </c>
      <c r="I603" s="23" t="str">
        <f ca="1">IF(A603="","",IF($B$8="Sí",interpolar_alamb(H603,OFFSET(Curvas_cupon_cero!$A$1,1,0,COUNT(Curvas_cupon_cero!$A:$A)-2,1),OFFSET(Curvas_cupon_cero!$A$1,1,MATCH($B$6,Curvas_cupon_cero!$1:$1,0)-1,COUNT(Curvas_cupon_cero!$A:$A)-2,1)),[1]!interpolar(H603,OFFSET(Curvas_cupon_cero!$A$1,1,0,COUNT(Curvas_cupon_cero!$A:$A)-2,1),OFFSET(Curvas_cupon_cero!$A$1,1,MATCH($B$6,Curvas_cupon_cero!$1:$1,0)-1,COUNT(Curvas_cupon_cero!$A:$A)-2,1))))</f>
        <v/>
      </c>
      <c r="J603" s="19" t="str">
        <f>IF(A603="","",F603/(1+I603*$B$5/360)^(COUNT(A$16:A603)-($B$5-$G$16)/$B$5))</f>
        <v/>
      </c>
    </row>
    <row r="604" spans="1:10" x14ac:dyDescent="0.2">
      <c r="A604" s="12" t="str">
        <f t="shared" si="57"/>
        <v/>
      </c>
      <c r="B604" t="str">
        <f t="shared" si="55"/>
        <v/>
      </c>
      <c r="C604" s="21" t="str">
        <f ca="1">IF(A604="","",IF($B$8="Sí",interpolar_alamb(B604,OFFSET(Curvas_cupon_cero!$A$1,1,0,COUNT(Curvas_cupon_cero!$A:$A)-2,1),OFFSET(Curvas_cupon_cero!$A$1,1,MATCH($B$7,Curvas_cupon_cero!$1:$1,0)-1,COUNT(Curvas_cupon_cero!$A:$A)-2,1)),[1]!interpolar(B604,OFFSET(Curvas_cupon_cero!$A$1,1,0,COUNT(Curvas_cupon_cero!$A:$A)-2,1),OFFSET(Curvas_cupon_cero!$A$1,1,MATCH($B$7,Curvas_cupon_cero!$1:$1,0)-1,COUNT(Curvas_cupon_cero!$A:$A)-2,1))))</f>
        <v/>
      </c>
      <c r="D604" s="23" t="str">
        <f ca="1">IF(A604="","",IF($B$8="Sí",interpolar_alamb(H604,OFFSET(Curvas_cupon_cero!$A$1,1,0,COUNT(Curvas_cupon_cero!$A:$A)-2,1),OFFSET(Curvas_cupon_cero!$A$1,1,MATCH($B$7,Curvas_cupon_cero!$1:$1,0)-1,COUNT(Curvas_cupon_cero!$A:$A)-2,1)),[1]!interpolar(H604,OFFSET(Curvas_cupon_cero!$A$1,1,0,COUNT(Curvas_cupon_cero!$A:$A)-2,1),OFFSET(Curvas_cupon_cero!$A$1,1,MATCH($B$7,Curvas_cupon_cero!$1:$1,0)-1,COUNT(Curvas_cupon_cero!$A:$A)-2,1))))</f>
        <v/>
      </c>
      <c r="E604" s="23" t="str">
        <f t="shared" si="58"/>
        <v/>
      </c>
      <c r="F604" s="17" t="str">
        <f t="shared" si="56"/>
        <v/>
      </c>
      <c r="G604" s="18" t="str">
        <f t="shared" si="59"/>
        <v/>
      </c>
      <c r="H604" t="str">
        <f t="shared" si="60"/>
        <v/>
      </c>
      <c r="I604" s="23" t="str">
        <f ca="1">IF(A604="","",IF($B$8="Sí",interpolar_alamb(H604,OFFSET(Curvas_cupon_cero!$A$1,1,0,COUNT(Curvas_cupon_cero!$A:$A)-2,1),OFFSET(Curvas_cupon_cero!$A$1,1,MATCH($B$6,Curvas_cupon_cero!$1:$1,0)-1,COUNT(Curvas_cupon_cero!$A:$A)-2,1)),[1]!interpolar(H604,OFFSET(Curvas_cupon_cero!$A$1,1,0,COUNT(Curvas_cupon_cero!$A:$A)-2,1),OFFSET(Curvas_cupon_cero!$A$1,1,MATCH($B$6,Curvas_cupon_cero!$1:$1,0)-1,COUNT(Curvas_cupon_cero!$A:$A)-2,1))))</f>
        <v/>
      </c>
      <c r="J604" s="19" t="str">
        <f>IF(A604="","",F604/(1+I604*$B$5/360)^(COUNT(A$16:A604)-($B$5-$G$16)/$B$5))</f>
        <v/>
      </c>
    </row>
    <row r="605" spans="1:10" x14ac:dyDescent="0.2">
      <c r="A605" s="12" t="str">
        <f t="shared" si="57"/>
        <v/>
      </c>
      <c r="B605" t="str">
        <f t="shared" si="55"/>
        <v/>
      </c>
      <c r="C605" s="21" t="str">
        <f ca="1">IF(A605="","",IF($B$8="Sí",interpolar_alamb(B605,OFFSET(Curvas_cupon_cero!$A$1,1,0,COUNT(Curvas_cupon_cero!$A:$A)-2,1),OFFSET(Curvas_cupon_cero!$A$1,1,MATCH($B$7,Curvas_cupon_cero!$1:$1,0)-1,COUNT(Curvas_cupon_cero!$A:$A)-2,1)),[1]!interpolar(B605,OFFSET(Curvas_cupon_cero!$A$1,1,0,COUNT(Curvas_cupon_cero!$A:$A)-2,1),OFFSET(Curvas_cupon_cero!$A$1,1,MATCH($B$7,Curvas_cupon_cero!$1:$1,0)-1,COUNT(Curvas_cupon_cero!$A:$A)-2,1))))</f>
        <v/>
      </c>
      <c r="D605" s="23" t="str">
        <f ca="1">IF(A605="","",IF($B$8="Sí",interpolar_alamb(H605,OFFSET(Curvas_cupon_cero!$A$1,1,0,COUNT(Curvas_cupon_cero!$A:$A)-2,1),OFFSET(Curvas_cupon_cero!$A$1,1,MATCH($B$7,Curvas_cupon_cero!$1:$1,0)-1,COUNT(Curvas_cupon_cero!$A:$A)-2,1)),[1]!interpolar(H605,OFFSET(Curvas_cupon_cero!$A$1,1,0,COUNT(Curvas_cupon_cero!$A:$A)-2,1),OFFSET(Curvas_cupon_cero!$A$1,1,MATCH($B$7,Curvas_cupon_cero!$1:$1,0)-1,COUNT(Curvas_cupon_cero!$A:$A)-2,1))))</f>
        <v/>
      </c>
      <c r="E605" s="23" t="str">
        <f t="shared" si="58"/>
        <v/>
      </c>
      <c r="F605" s="17" t="str">
        <f t="shared" si="56"/>
        <v/>
      </c>
      <c r="G605" s="18" t="str">
        <f t="shared" si="59"/>
        <v/>
      </c>
      <c r="H605" t="str">
        <f t="shared" si="60"/>
        <v/>
      </c>
      <c r="I605" s="23" t="str">
        <f ca="1">IF(A605="","",IF($B$8="Sí",interpolar_alamb(H605,OFFSET(Curvas_cupon_cero!$A$1,1,0,COUNT(Curvas_cupon_cero!$A:$A)-2,1),OFFSET(Curvas_cupon_cero!$A$1,1,MATCH($B$6,Curvas_cupon_cero!$1:$1,0)-1,COUNT(Curvas_cupon_cero!$A:$A)-2,1)),[1]!interpolar(H605,OFFSET(Curvas_cupon_cero!$A$1,1,0,COUNT(Curvas_cupon_cero!$A:$A)-2,1),OFFSET(Curvas_cupon_cero!$A$1,1,MATCH($B$6,Curvas_cupon_cero!$1:$1,0)-1,COUNT(Curvas_cupon_cero!$A:$A)-2,1))))</f>
        <v/>
      </c>
      <c r="J605" s="19" t="str">
        <f>IF(A605="","",F605/(1+I605*$B$5/360)^(COUNT(A$16:A605)-($B$5-$G$16)/$B$5))</f>
        <v/>
      </c>
    </row>
    <row r="606" spans="1:10" x14ac:dyDescent="0.2">
      <c r="A606" s="12" t="str">
        <f t="shared" si="57"/>
        <v/>
      </c>
      <c r="B606" t="str">
        <f t="shared" si="55"/>
        <v/>
      </c>
      <c r="C606" s="21" t="str">
        <f ca="1">IF(A606="","",IF($B$8="Sí",interpolar_alamb(B606,OFFSET(Curvas_cupon_cero!$A$1,1,0,COUNT(Curvas_cupon_cero!$A:$A)-2,1),OFFSET(Curvas_cupon_cero!$A$1,1,MATCH($B$7,Curvas_cupon_cero!$1:$1,0)-1,COUNT(Curvas_cupon_cero!$A:$A)-2,1)),[1]!interpolar(B606,OFFSET(Curvas_cupon_cero!$A$1,1,0,COUNT(Curvas_cupon_cero!$A:$A)-2,1),OFFSET(Curvas_cupon_cero!$A$1,1,MATCH($B$7,Curvas_cupon_cero!$1:$1,0)-1,COUNT(Curvas_cupon_cero!$A:$A)-2,1))))</f>
        <v/>
      </c>
      <c r="D606" s="23" t="str">
        <f ca="1">IF(A606="","",IF($B$8="Sí",interpolar_alamb(H606,OFFSET(Curvas_cupon_cero!$A$1,1,0,COUNT(Curvas_cupon_cero!$A:$A)-2,1),OFFSET(Curvas_cupon_cero!$A$1,1,MATCH($B$7,Curvas_cupon_cero!$1:$1,0)-1,COUNT(Curvas_cupon_cero!$A:$A)-2,1)),[1]!interpolar(H606,OFFSET(Curvas_cupon_cero!$A$1,1,0,COUNT(Curvas_cupon_cero!$A:$A)-2,1),OFFSET(Curvas_cupon_cero!$A$1,1,MATCH($B$7,Curvas_cupon_cero!$1:$1,0)-1,COUNT(Curvas_cupon_cero!$A:$A)-2,1))))</f>
        <v/>
      </c>
      <c r="E606" s="23" t="str">
        <f t="shared" si="58"/>
        <v/>
      </c>
      <c r="F606" s="17" t="str">
        <f t="shared" si="56"/>
        <v/>
      </c>
      <c r="G606" s="18" t="str">
        <f t="shared" si="59"/>
        <v/>
      </c>
      <c r="H606" t="str">
        <f t="shared" si="60"/>
        <v/>
      </c>
      <c r="I606" s="23" t="str">
        <f ca="1">IF(A606="","",IF($B$8="Sí",interpolar_alamb(H606,OFFSET(Curvas_cupon_cero!$A$1,1,0,COUNT(Curvas_cupon_cero!$A:$A)-2,1),OFFSET(Curvas_cupon_cero!$A$1,1,MATCH($B$6,Curvas_cupon_cero!$1:$1,0)-1,COUNT(Curvas_cupon_cero!$A:$A)-2,1)),[1]!interpolar(H606,OFFSET(Curvas_cupon_cero!$A$1,1,0,COUNT(Curvas_cupon_cero!$A:$A)-2,1),OFFSET(Curvas_cupon_cero!$A$1,1,MATCH($B$6,Curvas_cupon_cero!$1:$1,0)-1,COUNT(Curvas_cupon_cero!$A:$A)-2,1))))</f>
        <v/>
      </c>
      <c r="J606" s="19" t="str">
        <f>IF(A606="","",F606/(1+I606*$B$5/360)^(COUNT(A$16:A606)-($B$5-$G$16)/$B$5))</f>
        <v/>
      </c>
    </row>
    <row r="607" spans="1:10" x14ac:dyDescent="0.2">
      <c r="A607" s="12" t="str">
        <f t="shared" si="57"/>
        <v/>
      </c>
      <c r="B607" t="str">
        <f t="shared" si="55"/>
        <v/>
      </c>
      <c r="C607" s="21" t="str">
        <f ca="1">IF(A607="","",IF($B$8="Sí",interpolar_alamb(B607,OFFSET(Curvas_cupon_cero!$A$1,1,0,COUNT(Curvas_cupon_cero!$A:$A)-2,1),OFFSET(Curvas_cupon_cero!$A$1,1,MATCH($B$7,Curvas_cupon_cero!$1:$1,0)-1,COUNT(Curvas_cupon_cero!$A:$A)-2,1)),[1]!interpolar(B607,OFFSET(Curvas_cupon_cero!$A$1,1,0,COUNT(Curvas_cupon_cero!$A:$A)-2,1),OFFSET(Curvas_cupon_cero!$A$1,1,MATCH($B$7,Curvas_cupon_cero!$1:$1,0)-1,COUNT(Curvas_cupon_cero!$A:$A)-2,1))))</f>
        <v/>
      </c>
      <c r="D607" s="23" t="str">
        <f ca="1">IF(A607="","",IF($B$8="Sí",interpolar_alamb(H607,OFFSET(Curvas_cupon_cero!$A$1,1,0,COUNT(Curvas_cupon_cero!$A:$A)-2,1),OFFSET(Curvas_cupon_cero!$A$1,1,MATCH($B$7,Curvas_cupon_cero!$1:$1,0)-1,COUNT(Curvas_cupon_cero!$A:$A)-2,1)),[1]!interpolar(H607,OFFSET(Curvas_cupon_cero!$A$1,1,0,COUNT(Curvas_cupon_cero!$A:$A)-2,1),OFFSET(Curvas_cupon_cero!$A$1,1,MATCH($B$7,Curvas_cupon_cero!$1:$1,0)-1,COUNT(Curvas_cupon_cero!$A:$A)-2,1))))</f>
        <v/>
      </c>
      <c r="E607" s="23" t="str">
        <f t="shared" si="58"/>
        <v/>
      </c>
      <c r="F607" s="17" t="str">
        <f t="shared" si="56"/>
        <v/>
      </c>
      <c r="G607" s="18" t="str">
        <f t="shared" si="59"/>
        <v/>
      </c>
      <c r="H607" t="str">
        <f t="shared" si="60"/>
        <v/>
      </c>
      <c r="I607" s="23" t="str">
        <f ca="1">IF(A607="","",IF($B$8="Sí",interpolar_alamb(H607,OFFSET(Curvas_cupon_cero!$A$1,1,0,COUNT(Curvas_cupon_cero!$A:$A)-2,1),OFFSET(Curvas_cupon_cero!$A$1,1,MATCH($B$6,Curvas_cupon_cero!$1:$1,0)-1,COUNT(Curvas_cupon_cero!$A:$A)-2,1)),[1]!interpolar(H607,OFFSET(Curvas_cupon_cero!$A$1,1,0,COUNT(Curvas_cupon_cero!$A:$A)-2,1),OFFSET(Curvas_cupon_cero!$A$1,1,MATCH($B$6,Curvas_cupon_cero!$1:$1,0)-1,COUNT(Curvas_cupon_cero!$A:$A)-2,1))))</f>
        <v/>
      </c>
      <c r="J607" s="19" t="str">
        <f>IF(A607="","",F607/(1+I607*$B$5/360)^(COUNT(A$16:A607)-($B$5-$G$16)/$B$5))</f>
        <v/>
      </c>
    </row>
    <row r="608" spans="1:10" x14ac:dyDescent="0.2">
      <c r="A608" s="12" t="str">
        <f t="shared" si="57"/>
        <v/>
      </c>
      <c r="B608" t="str">
        <f t="shared" si="55"/>
        <v/>
      </c>
      <c r="C608" s="21" t="str">
        <f ca="1">IF(A608="","",IF($B$8="Sí",interpolar_alamb(B608,OFFSET(Curvas_cupon_cero!$A$1,1,0,COUNT(Curvas_cupon_cero!$A:$A)-2,1),OFFSET(Curvas_cupon_cero!$A$1,1,MATCH($B$7,Curvas_cupon_cero!$1:$1,0)-1,COUNT(Curvas_cupon_cero!$A:$A)-2,1)),[1]!interpolar(B608,OFFSET(Curvas_cupon_cero!$A$1,1,0,COUNT(Curvas_cupon_cero!$A:$A)-2,1),OFFSET(Curvas_cupon_cero!$A$1,1,MATCH($B$7,Curvas_cupon_cero!$1:$1,0)-1,COUNT(Curvas_cupon_cero!$A:$A)-2,1))))</f>
        <v/>
      </c>
      <c r="D608" s="23" t="str">
        <f ca="1">IF(A608="","",IF($B$8="Sí",interpolar_alamb(H608,OFFSET(Curvas_cupon_cero!$A$1,1,0,COUNT(Curvas_cupon_cero!$A:$A)-2,1),OFFSET(Curvas_cupon_cero!$A$1,1,MATCH($B$7,Curvas_cupon_cero!$1:$1,0)-1,COUNT(Curvas_cupon_cero!$A:$A)-2,1)),[1]!interpolar(H608,OFFSET(Curvas_cupon_cero!$A$1,1,0,COUNT(Curvas_cupon_cero!$A:$A)-2,1),OFFSET(Curvas_cupon_cero!$A$1,1,MATCH($B$7,Curvas_cupon_cero!$1:$1,0)-1,COUNT(Curvas_cupon_cero!$A:$A)-2,1))))</f>
        <v/>
      </c>
      <c r="E608" s="23" t="str">
        <f t="shared" si="58"/>
        <v/>
      </c>
      <c r="F608" s="17" t="str">
        <f t="shared" si="56"/>
        <v/>
      </c>
      <c r="G608" s="18" t="str">
        <f t="shared" si="59"/>
        <v/>
      </c>
      <c r="H608" t="str">
        <f t="shared" si="60"/>
        <v/>
      </c>
      <c r="I608" s="23" t="str">
        <f ca="1">IF(A608="","",IF($B$8="Sí",interpolar_alamb(H608,OFFSET(Curvas_cupon_cero!$A$1,1,0,COUNT(Curvas_cupon_cero!$A:$A)-2,1),OFFSET(Curvas_cupon_cero!$A$1,1,MATCH($B$6,Curvas_cupon_cero!$1:$1,0)-1,COUNT(Curvas_cupon_cero!$A:$A)-2,1)),[1]!interpolar(H608,OFFSET(Curvas_cupon_cero!$A$1,1,0,COUNT(Curvas_cupon_cero!$A:$A)-2,1),OFFSET(Curvas_cupon_cero!$A$1,1,MATCH($B$6,Curvas_cupon_cero!$1:$1,0)-1,COUNT(Curvas_cupon_cero!$A:$A)-2,1))))</f>
        <v/>
      </c>
      <c r="J608" s="19" t="str">
        <f>IF(A608="","",F608/(1+I608*$B$5/360)^(COUNT(A$16:A608)-($B$5-$G$16)/$B$5))</f>
        <v/>
      </c>
    </row>
    <row r="609" spans="1:10" x14ac:dyDescent="0.2">
      <c r="A609" s="12" t="str">
        <f t="shared" si="57"/>
        <v/>
      </c>
      <c r="B609" t="str">
        <f t="shared" si="55"/>
        <v/>
      </c>
      <c r="C609" s="21" t="str">
        <f ca="1">IF(A609="","",IF($B$8="Sí",interpolar_alamb(B609,OFFSET(Curvas_cupon_cero!$A$1,1,0,COUNT(Curvas_cupon_cero!$A:$A)-2,1),OFFSET(Curvas_cupon_cero!$A$1,1,MATCH($B$7,Curvas_cupon_cero!$1:$1,0)-1,COUNT(Curvas_cupon_cero!$A:$A)-2,1)),[1]!interpolar(B609,OFFSET(Curvas_cupon_cero!$A$1,1,0,COUNT(Curvas_cupon_cero!$A:$A)-2,1),OFFSET(Curvas_cupon_cero!$A$1,1,MATCH($B$7,Curvas_cupon_cero!$1:$1,0)-1,COUNT(Curvas_cupon_cero!$A:$A)-2,1))))</f>
        <v/>
      </c>
      <c r="D609" s="23" t="str">
        <f ca="1">IF(A609="","",IF($B$8="Sí",interpolar_alamb(H609,OFFSET(Curvas_cupon_cero!$A$1,1,0,COUNT(Curvas_cupon_cero!$A:$A)-2,1),OFFSET(Curvas_cupon_cero!$A$1,1,MATCH($B$7,Curvas_cupon_cero!$1:$1,0)-1,COUNT(Curvas_cupon_cero!$A:$A)-2,1)),[1]!interpolar(H609,OFFSET(Curvas_cupon_cero!$A$1,1,0,COUNT(Curvas_cupon_cero!$A:$A)-2,1),OFFSET(Curvas_cupon_cero!$A$1,1,MATCH($B$7,Curvas_cupon_cero!$1:$1,0)-1,COUNT(Curvas_cupon_cero!$A:$A)-2,1))))</f>
        <v/>
      </c>
      <c r="E609" s="23" t="str">
        <f t="shared" si="58"/>
        <v/>
      </c>
      <c r="F609" s="17" t="str">
        <f t="shared" si="56"/>
        <v/>
      </c>
      <c r="G609" s="18" t="str">
        <f t="shared" si="59"/>
        <v/>
      </c>
      <c r="H609" t="str">
        <f t="shared" si="60"/>
        <v/>
      </c>
      <c r="I609" s="23" t="str">
        <f ca="1">IF(A609="","",IF($B$8="Sí",interpolar_alamb(H609,OFFSET(Curvas_cupon_cero!$A$1,1,0,COUNT(Curvas_cupon_cero!$A:$A)-2,1),OFFSET(Curvas_cupon_cero!$A$1,1,MATCH($B$6,Curvas_cupon_cero!$1:$1,0)-1,COUNT(Curvas_cupon_cero!$A:$A)-2,1)),[1]!interpolar(H609,OFFSET(Curvas_cupon_cero!$A$1,1,0,COUNT(Curvas_cupon_cero!$A:$A)-2,1),OFFSET(Curvas_cupon_cero!$A$1,1,MATCH($B$6,Curvas_cupon_cero!$1:$1,0)-1,COUNT(Curvas_cupon_cero!$A:$A)-2,1))))</f>
        <v/>
      </c>
      <c r="J609" s="19" t="str">
        <f>IF(A609="","",F609/(1+I609*$B$5/360)^(COUNT(A$16:A609)-($B$5-$G$16)/$B$5))</f>
        <v/>
      </c>
    </row>
    <row r="610" spans="1:10" x14ac:dyDescent="0.2">
      <c r="A610" s="12" t="str">
        <f t="shared" si="57"/>
        <v/>
      </c>
      <c r="B610" t="str">
        <f t="shared" si="55"/>
        <v/>
      </c>
      <c r="C610" s="21" t="str">
        <f ca="1">IF(A610="","",IF($B$8="Sí",interpolar_alamb(B610,OFFSET(Curvas_cupon_cero!$A$1,1,0,COUNT(Curvas_cupon_cero!$A:$A)-2,1),OFFSET(Curvas_cupon_cero!$A$1,1,MATCH($B$7,Curvas_cupon_cero!$1:$1,0)-1,COUNT(Curvas_cupon_cero!$A:$A)-2,1)),[1]!interpolar(B610,OFFSET(Curvas_cupon_cero!$A$1,1,0,COUNT(Curvas_cupon_cero!$A:$A)-2,1),OFFSET(Curvas_cupon_cero!$A$1,1,MATCH($B$7,Curvas_cupon_cero!$1:$1,0)-1,COUNT(Curvas_cupon_cero!$A:$A)-2,1))))</f>
        <v/>
      </c>
      <c r="D610" s="23" t="str">
        <f ca="1">IF(A610="","",IF($B$8="Sí",interpolar_alamb(H610,OFFSET(Curvas_cupon_cero!$A$1,1,0,COUNT(Curvas_cupon_cero!$A:$A)-2,1),OFFSET(Curvas_cupon_cero!$A$1,1,MATCH($B$7,Curvas_cupon_cero!$1:$1,0)-1,COUNT(Curvas_cupon_cero!$A:$A)-2,1)),[1]!interpolar(H610,OFFSET(Curvas_cupon_cero!$A$1,1,0,COUNT(Curvas_cupon_cero!$A:$A)-2,1),OFFSET(Curvas_cupon_cero!$A$1,1,MATCH($B$7,Curvas_cupon_cero!$1:$1,0)-1,COUNT(Curvas_cupon_cero!$A:$A)-2,1))))</f>
        <v/>
      </c>
      <c r="E610" s="23" t="str">
        <f t="shared" si="58"/>
        <v/>
      </c>
      <c r="F610" s="17" t="str">
        <f t="shared" si="56"/>
        <v/>
      </c>
      <c r="G610" s="18" t="str">
        <f t="shared" si="59"/>
        <v/>
      </c>
      <c r="H610" t="str">
        <f t="shared" si="60"/>
        <v/>
      </c>
      <c r="I610" s="23" t="str">
        <f ca="1">IF(A610="","",IF($B$8="Sí",interpolar_alamb(H610,OFFSET(Curvas_cupon_cero!$A$1,1,0,COUNT(Curvas_cupon_cero!$A:$A)-2,1),OFFSET(Curvas_cupon_cero!$A$1,1,MATCH($B$6,Curvas_cupon_cero!$1:$1,0)-1,COUNT(Curvas_cupon_cero!$A:$A)-2,1)),[1]!interpolar(H610,OFFSET(Curvas_cupon_cero!$A$1,1,0,COUNT(Curvas_cupon_cero!$A:$A)-2,1),OFFSET(Curvas_cupon_cero!$A$1,1,MATCH($B$6,Curvas_cupon_cero!$1:$1,0)-1,COUNT(Curvas_cupon_cero!$A:$A)-2,1))))</f>
        <v/>
      </c>
      <c r="J610" s="19" t="str">
        <f>IF(A610="","",F610/(1+I610*$B$5/360)^(COUNT(A$16:A610)-($B$5-$G$16)/$B$5))</f>
        <v/>
      </c>
    </row>
    <row r="611" spans="1:10" x14ac:dyDescent="0.2">
      <c r="A611" s="12" t="str">
        <f t="shared" si="57"/>
        <v/>
      </c>
      <c r="B611" t="str">
        <f t="shared" si="55"/>
        <v/>
      </c>
      <c r="C611" s="21" t="str">
        <f ca="1">IF(A611="","",IF($B$8="Sí",interpolar_alamb(B611,OFFSET(Curvas_cupon_cero!$A$1,1,0,COUNT(Curvas_cupon_cero!$A:$A)-2,1),OFFSET(Curvas_cupon_cero!$A$1,1,MATCH($B$7,Curvas_cupon_cero!$1:$1,0)-1,COUNT(Curvas_cupon_cero!$A:$A)-2,1)),[1]!interpolar(B611,OFFSET(Curvas_cupon_cero!$A$1,1,0,COUNT(Curvas_cupon_cero!$A:$A)-2,1),OFFSET(Curvas_cupon_cero!$A$1,1,MATCH($B$7,Curvas_cupon_cero!$1:$1,0)-1,COUNT(Curvas_cupon_cero!$A:$A)-2,1))))</f>
        <v/>
      </c>
      <c r="D611" s="23" t="str">
        <f ca="1">IF(A611="","",IF($B$8="Sí",interpolar_alamb(H611,OFFSET(Curvas_cupon_cero!$A$1,1,0,COUNT(Curvas_cupon_cero!$A:$A)-2,1),OFFSET(Curvas_cupon_cero!$A$1,1,MATCH($B$7,Curvas_cupon_cero!$1:$1,0)-1,COUNT(Curvas_cupon_cero!$A:$A)-2,1)),[1]!interpolar(H611,OFFSET(Curvas_cupon_cero!$A$1,1,0,COUNT(Curvas_cupon_cero!$A:$A)-2,1),OFFSET(Curvas_cupon_cero!$A$1,1,MATCH($B$7,Curvas_cupon_cero!$1:$1,0)-1,COUNT(Curvas_cupon_cero!$A:$A)-2,1))))</f>
        <v/>
      </c>
      <c r="E611" s="23" t="str">
        <f t="shared" si="58"/>
        <v/>
      </c>
      <c r="F611" s="17" t="str">
        <f t="shared" si="56"/>
        <v/>
      </c>
      <c r="G611" s="18" t="str">
        <f t="shared" si="59"/>
        <v/>
      </c>
      <c r="H611" t="str">
        <f t="shared" si="60"/>
        <v/>
      </c>
      <c r="I611" s="23" t="str">
        <f ca="1">IF(A611="","",IF($B$8="Sí",interpolar_alamb(H611,OFFSET(Curvas_cupon_cero!$A$1,1,0,COUNT(Curvas_cupon_cero!$A:$A)-2,1),OFFSET(Curvas_cupon_cero!$A$1,1,MATCH($B$6,Curvas_cupon_cero!$1:$1,0)-1,COUNT(Curvas_cupon_cero!$A:$A)-2,1)),[1]!interpolar(H611,OFFSET(Curvas_cupon_cero!$A$1,1,0,COUNT(Curvas_cupon_cero!$A:$A)-2,1),OFFSET(Curvas_cupon_cero!$A$1,1,MATCH($B$6,Curvas_cupon_cero!$1:$1,0)-1,COUNT(Curvas_cupon_cero!$A:$A)-2,1))))</f>
        <v/>
      </c>
      <c r="J611" s="19" t="str">
        <f>IF(A611="","",F611/(1+I611*$B$5/360)^(COUNT(A$16:A611)-($B$5-$G$16)/$B$5))</f>
        <v/>
      </c>
    </row>
    <row r="612" spans="1:10" x14ac:dyDescent="0.2">
      <c r="A612" s="12" t="str">
        <f t="shared" si="57"/>
        <v/>
      </c>
      <c r="B612" t="str">
        <f t="shared" si="55"/>
        <v/>
      </c>
      <c r="C612" s="21" t="str">
        <f ca="1">IF(A612="","",IF($B$8="Sí",interpolar_alamb(B612,OFFSET(Curvas_cupon_cero!$A$1,1,0,COUNT(Curvas_cupon_cero!$A:$A)-2,1),OFFSET(Curvas_cupon_cero!$A$1,1,MATCH($B$7,Curvas_cupon_cero!$1:$1,0)-1,COUNT(Curvas_cupon_cero!$A:$A)-2,1)),[1]!interpolar(B612,OFFSET(Curvas_cupon_cero!$A$1,1,0,COUNT(Curvas_cupon_cero!$A:$A)-2,1),OFFSET(Curvas_cupon_cero!$A$1,1,MATCH($B$7,Curvas_cupon_cero!$1:$1,0)-1,COUNT(Curvas_cupon_cero!$A:$A)-2,1))))</f>
        <v/>
      </c>
      <c r="D612" s="23" t="str">
        <f ca="1">IF(A612="","",IF($B$8="Sí",interpolar_alamb(H612,OFFSET(Curvas_cupon_cero!$A$1,1,0,COUNT(Curvas_cupon_cero!$A:$A)-2,1),OFFSET(Curvas_cupon_cero!$A$1,1,MATCH($B$7,Curvas_cupon_cero!$1:$1,0)-1,COUNT(Curvas_cupon_cero!$A:$A)-2,1)),[1]!interpolar(H612,OFFSET(Curvas_cupon_cero!$A$1,1,0,COUNT(Curvas_cupon_cero!$A:$A)-2,1),OFFSET(Curvas_cupon_cero!$A$1,1,MATCH($B$7,Curvas_cupon_cero!$1:$1,0)-1,COUNT(Curvas_cupon_cero!$A:$A)-2,1))))</f>
        <v/>
      </c>
      <c r="E612" s="23" t="str">
        <f t="shared" si="58"/>
        <v/>
      </c>
      <c r="F612" s="17" t="str">
        <f t="shared" si="56"/>
        <v/>
      </c>
      <c r="G612" s="18" t="str">
        <f t="shared" si="59"/>
        <v/>
      </c>
      <c r="H612" t="str">
        <f t="shared" si="60"/>
        <v/>
      </c>
      <c r="I612" s="23" t="str">
        <f ca="1">IF(A612="","",IF($B$8="Sí",interpolar_alamb(H612,OFFSET(Curvas_cupon_cero!$A$1,1,0,COUNT(Curvas_cupon_cero!$A:$A)-2,1),OFFSET(Curvas_cupon_cero!$A$1,1,MATCH($B$6,Curvas_cupon_cero!$1:$1,0)-1,COUNT(Curvas_cupon_cero!$A:$A)-2,1)),[1]!interpolar(H612,OFFSET(Curvas_cupon_cero!$A$1,1,0,COUNT(Curvas_cupon_cero!$A:$A)-2,1),OFFSET(Curvas_cupon_cero!$A$1,1,MATCH($B$6,Curvas_cupon_cero!$1:$1,0)-1,COUNT(Curvas_cupon_cero!$A:$A)-2,1))))</f>
        <v/>
      </c>
      <c r="J612" s="19" t="str">
        <f>IF(A612="","",F612/(1+I612*$B$5/360)^(COUNT(A$16:A612)-($B$5-$G$16)/$B$5))</f>
        <v/>
      </c>
    </row>
    <row r="613" spans="1:10" x14ac:dyDescent="0.2">
      <c r="A613" s="12" t="str">
        <f t="shared" si="57"/>
        <v/>
      </c>
      <c r="B613" t="str">
        <f t="shared" si="55"/>
        <v/>
      </c>
      <c r="C613" s="21" t="str">
        <f ca="1">IF(A613="","",IF($B$8="Sí",interpolar_alamb(B613,OFFSET(Curvas_cupon_cero!$A$1,1,0,COUNT(Curvas_cupon_cero!$A:$A)-2,1),OFFSET(Curvas_cupon_cero!$A$1,1,MATCH($B$7,Curvas_cupon_cero!$1:$1,0)-1,COUNT(Curvas_cupon_cero!$A:$A)-2,1)),[1]!interpolar(B613,OFFSET(Curvas_cupon_cero!$A$1,1,0,COUNT(Curvas_cupon_cero!$A:$A)-2,1),OFFSET(Curvas_cupon_cero!$A$1,1,MATCH($B$7,Curvas_cupon_cero!$1:$1,0)-1,COUNT(Curvas_cupon_cero!$A:$A)-2,1))))</f>
        <v/>
      </c>
      <c r="D613" s="23" t="str">
        <f ca="1">IF(A613="","",IF($B$8="Sí",interpolar_alamb(H613,OFFSET(Curvas_cupon_cero!$A$1,1,0,COUNT(Curvas_cupon_cero!$A:$A)-2,1),OFFSET(Curvas_cupon_cero!$A$1,1,MATCH($B$7,Curvas_cupon_cero!$1:$1,0)-1,COUNT(Curvas_cupon_cero!$A:$A)-2,1)),[1]!interpolar(H613,OFFSET(Curvas_cupon_cero!$A$1,1,0,COUNT(Curvas_cupon_cero!$A:$A)-2,1),OFFSET(Curvas_cupon_cero!$A$1,1,MATCH($B$7,Curvas_cupon_cero!$1:$1,0)-1,COUNT(Curvas_cupon_cero!$A:$A)-2,1))))</f>
        <v/>
      </c>
      <c r="E613" s="23" t="str">
        <f t="shared" si="58"/>
        <v/>
      </c>
      <c r="F613" s="17" t="str">
        <f t="shared" si="56"/>
        <v/>
      </c>
      <c r="G613" s="18" t="str">
        <f t="shared" si="59"/>
        <v/>
      </c>
      <c r="H613" t="str">
        <f t="shared" si="60"/>
        <v/>
      </c>
      <c r="I613" s="23" t="str">
        <f ca="1">IF(A613="","",IF($B$8="Sí",interpolar_alamb(H613,OFFSET(Curvas_cupon_cero!$A$1,1,0,COUNT(Curvas_cupon_cero!$A:$A)-2,1),OFFSET(Curvas_cupon_cero!$A$1,1,MATCH($B$6,Curvas_cupon_cero!$1:$1,0)-1,COUNT(Curvas_cupon_cero!$A:$A)-2,1)),[1]!interpolar(H613,OFFSET(Curvas_cupon_cero!$A$1,1,0,COUNT(Curvas_cupon_cero!$A:$A)-2,1),OFFSET(Curvas_cupon_cero!$A$1,1,MATCH($B$6,Curvas_cupon_cero!$1:$1,0)-1,COUNT(Curvas_cupon_cero!$A:$A)-2,1))))</f>
        <v/>
      </c>
      <c r="J613" s="19" t="str">
        <f>IF(A613="","",F613/(1+I613*$B$5/360)^(COUNT(A$16:A613)-($B$5-$G$16)/$B$5))</f>
        <v/>
      </c>
    </row>
    <row r="614" spans="1:10" x14ac:dyDescent="0.2">
      <c r="A614" s="12" t="str">
        <f t="shared" si="57"/>
        <v/>
      </c>
      <c r="B614" t="str">
        <f t="shared" si="55"/>
        <v/>
      </c>
      <c r="C614" s="21" t="str">
        <f ca="1">IF(A614="","",IF($B$8="Sí",interpolar_alamb(B614,OFFSET(Curvas_cupon_cero!$A$1,1,0,COUNT(Curvas_cupon_cero!$A:$A)-2,1),OFFSET(Curvas_cupon_cero!$A$1,1,MATCH($B$7,Curvas_cupon_cero!$1:$1,0)-1,COUNT(Curvas_cupon_cero!$A:$A)-2,1)),[1]!interpolar(B614,OFFSET(Curvas_cupon_cero!$A$1,1,0,COUNT(Curvas_cupon_cero!$A:$A)-2,1),OFFSET(Curvas_cupon_cero!$A$1,1,MATCH($B$7,Curvas_cupon_cero!$1:$1,0)-1,COUNT(Curvas_cupon_cero!$A:$A)-2,1))))</f>
        <v/>
      </c>
      <c r="D614" s="23" t="str">
        <f ca="1">IF(A614="","",IF($B$8="Sí",interpolar_alamb(H614,OFFSET(Curvas_cupon_cero!$A$1,1,0,COUNT(Curvas_cupon_cero!$A:$A)-2,1),OFFSET(Curvas_cupon_cero!$A$1,1,MATCH($B$7,Curvas_cupon_cero!$1:$1,0)-1,COUNT(Curvas_cupon_cero!$A:$A)-2,1)),[1]!interpolar(H614,OFFSET(Curvas_cupon_cero!$A$1,1,0,COUNT(Curvas_cupon_cero!$A:$A)-2,1),OFFSET(Curvas_cupon_cero!$A$1,1,MATCH($B$7,Curvas_cupon_cero!$1:$1,0)-1,COUNT(Curvas_cupon_cero!$A:$A)-2,1))))</f>
        <v/>
      </c>
      <c r="E614" s="23" t="str">
        <f t="shared" si="58"/>
        <v/>
      </c>
      <c r="F614" s="17" t="str">
        <f t="shared" si="56"/>
        <v/>
      </c>
      <c r="G614" s="18" t="str">
        <f t="shared" si="59"/>
        <v/>
      </c>
      <c r="H614" t="str">
        <f t="shared" si="60"/>
        <v/>
      </c>
      <c r="I614" s="23" t="str">
        <f ca="1">IF(A614="","",IF($B$8="Sí",interpolar_alamb(H614,OFFSET(Curvas_cupon_cero!$A$1,1,0,COUNT(Curvas_cupon_cero!$A:$A)-2,1),OFFSET(Curvas_cupon_cero!$A$1,1,MATCH($B$6,Curvas_cupon_cero!$1:$1,0)-1,COUNT(Curvas_cupon_cero!$A:$A)-2,1)),[1]!interpolar(H614,OFFSET(Curvas_cupon_cero!$A$1,1,0,COUNT(Curvas_cupon_cero!$A:$A)-2,1),OFFSET(Curvas_cupon_cero!$A$1,1,MATCH($B$6,Curvas_cupon_cero!$1:$1,0)-1,COUNT(Curvas_cupon_cero!$A:$A)-2,1))))</f>
        <v/>
      </c>
      <c r="J614" s="19" t="str">
        <f>IF(A614="","",F614/(1+I614*$B$5/360)^(COUNT(A$16:A614)-($B$5-$G$16)/$B$5))</f>
        <v/>
      </c>
    </row>
    <row r="615" spans="1:10" x14ac:dyDescent="0.2">
      <c r="A615" s="12" t="str">
        <f t="shared" si="57"/>
        <v/>
      </c>
      <c r="B615" t="str">
        <f t="shared" si="55"/>
        <v/>
      </c>
      <c r="C615" s="21" t="str">
        <f ca="1">IF(A615="","",IF($B$8="Sí",interpolar_alamb(B615,OFFSET(Curvas_cupon_cero!$A$1,1,0,COUNT(Curvas_cupon_cero!$A:$A)-2,1),OFFSET(Curvas_cupon_cero!$A$1,1,MATCH($B$7,Curvas_cupon_cero!$1:$1,0)-1,COUNT(Curvas_cupon_cero!$A:$A)-2,1)),[1]!interpolar(B615,OFFSET(Curvas_cupon_cero!$A$1,1,0,COUNT(Curvas_cupon_cero!$A:$A)-2,1),OFFSET(Curvas_cupon_cero!$A$1,1,MATCH($B$7,Curvas_cupon_cero!$1:$1,0)-1,COUNT(Curvas_cupon_cero!$A:$A)-2,1))))</f>
        <v/>
      </c>
      <c r="D615" s="23" t="str">
        <f ca="1">IF(A615="","",IF($B$8="Sí",interpolar_alamb(H615,OFFSET(Curvas_cupon_cero!$A$1,1,0,COUNT(Curvas_cupon_cero!$A:$A)-2,1),OFFSET(Curvas_cupon_cero!$A$1,1,MATCH($B$7,Curvas_cupon_cero!$1:$1,0)-1,COUNT(Curvas_cupon_cero!$A:$A)-2,1)),[1]!interpolar(H615,OFFSET(Curvas_cupon_cero!$A$1,1,0,COUNT(Curvas_cupon_cero!$A:$A)-2,1),OFFSET(Curvas_cupon_cero!$A$1,1,MATCH($B$7,Curvas_cupon_cero!$1:$1,0)-1,COUNT(Curvas_cupon_cero!$A:$A)-2,1))))</f>
        <v/>
      </c>
      <c r="E615" s="23" t="str">
        <f t="shared" si="58"/>
        <v/>
      </c>
      <c r="F615" s="17" t="str">
        <f t="shared" si="56"/>
        <v/>
      </c>
      <c r="G615" s="18" t="str">
        <f t="shared" si="59"/>
        <v/>
      </c>
      <c r="H615" t="str">
        <f t="shared" si="60"/>
        <v/>
      </c>
      <c r="I615" s="23" t="str">
        <f ca="1">IF(A615="","",IF($B$8="Sí",interpolar_alamb(H615,OFFSET(Curvas_cupon_cero!$A$1,1,0,COUNT(Curvas_cupon_cero!$A:$A)-2,1),OFFSET(Curvas_cupon_cero!$A$1,1,MATCH($B$6,Curvas_cupon_cero!$1:$1,0)-1,COUNT(Curvas_cupon_cero!$A:$A)-2,1)),[1]!interpolar(H615,OFFSET(Curvas_cupon_cero!$A$1,1,0,COUNT(Curvas_cupon_cero!$A:$A)-2,1),OFFSET(Curvas_cupon_cero!$A$1,1,MATCH($B$6,Curvas_cupon_cero!$1:$1,0)-1,COUNT(Curvas_cupon_cero!$A:$A)-2,1))))</f>
        <v/>
      </c>
      <c r="J615" s="19" t="str">
        <f>IF(A615="","",F615/(1+I615*$B$5/360)^(COUNT(A$16:A615)-($B$5-$G$16)/$B$5))</f>
        <v/>
      </c>
    </row>
    <row r="616" spans="1:10" x14ac:dyDescent="0.2">
      <c r="A616" s="12" t="str">
        <f t="shared" si="57"/>
        <v/>
      </c>
      <c r="B616" t="str">
        <f t="shared" si="55"/>
        <v/>
      </c>
      <c r="C616" s="21" t="str">
        <f ca="1">IF(A616="","",IF($B$8="Sí",interpolar_alamb(B616,OFFSET(Curvas_cupon_cero!$A$1,1,0,COUNT(Curvas_cupon_cero!$A:$A)-2,1),OFFSET(Curvas_cupon_cero!$A$1,1,MATCH($B$7,Curvas_cupon_cero!$1:$1,0)-1,COUNT(Curvas_cupon_cero!$A:$A)-2,1)),[1]!interpolar(B616,OFFSET(Curvas_cupon_cero!$A$1,1,0,COUNT(Curvas_cupon_cero!$A:$A)-2,1),OFFSET(Curvas_cupon_cero!$A$1,1,MATCH($B$7,Curvas_cupon_cero!$1:$1,0)-1,COUNT(Curvas_cupon_cero!$A:$A)-2,1))))</f>
        <v/>
      </c>
      <c r="D616" s="23" t="str">
        <f ca="1">IF(A616="","",IF($B$8="Sí",interpolar_alamb(H616,OFFSET(Curvas_cupon_cero!$A$1,1,0,COUNT(Curvas_cupon_cero!$A:$A)-2,1),OFFSET(Curvas_cupon_cero!$A$1,1,MATCH($B$7,Curvas_cupon_cero!$1:$1,0)-1,COUNT(Curvas_cupon_cero!$A:$A)-2,1)),[1]!interpolar(H616,OFFSET(Curvas_cupon_cero!$A$1,1,0,COUNT(Curvas_cupon_cero!$A:$A)-2,1),OFFSET(Curvas_cupon_cero!$A$1,1,MATCH($B$7,Curvas_cupon_cero!$1:$1,0)-1,COUNT(Curvas_cupon_cero!$A:$A)-2,1))))</f>
        <v/>
      </c>
      <c r="E616" s="23" t="str">
        <f t="shared" si="58"/>
        <v/>
      </c>
      <c r="F616" s="17" t="str">
        <f t="shared" si="56"/>
        <v/>
      </c>
      <c r="G616" s="18" t="str">
        <f t="shared" si="59"/>
        <v/>
      </c>
      <c r="H616" t="str">
        <f t="shared" si="60"/>
        <v/>
      </c>
      <c r="I616" s="23" t="str">
        <f ca="1">IF(A616="","",IF($B$8="Sí",interpolar_alamb(H616,OFFSET(Curvas_cupon_cero!$A$1,1,0,COUNT(Curvas_cupon_cero!$A:$A)-2,1),OFFSET(Curvas_cupon_cero!$A$1,1,MATCH($B$6,Curvas_cupon_cero!$1:$1,0)-1,COUNT(Curvas_cupon_cero!$A:$A)-2,1)),[1]!interpolar(H616,OFFSET(Curvas_cupon_cero!$A$1,1,0,COUNT(Curvas_cupon_cero!$A:$A)-2,1),OFFSET(Curvas_cupon_cero!$A$1,1,MATCH($B$6,Curvas_cupon_cero!$1:$1,0)-1,COUNT(Curvas_cupon_cero!$A:$A)-2,1))))</f>
        <v/>
      </c>
      <c r="J616" s="19" t="str">
        <f>IF(A616="","",F616/(1+I616*$B$5/360)^(COUNT(A$16:A616)-($B$5-$G$16)/$B$5))</f>
        <v/>
      </c>
    </row>
    <row r="617" spans="1:10" x14ac:dyDescent="0.2">
      <c r="A617" s="12" t="str">
        <f t="shared" si="57"/>
        <v/>
      </c>
      <c r="B617" t="str">
        <f t="shared" si="55"/>
        <v/>
      </c>
      <c r="C617" s="21" t="str">
        <f ca="1">IF(A617="","",IF($B$8="Sí",interpolar_alamb(B617,OFFSET(Curvas_cupon_cero!$A$1,1,0,COUNT(Curvas_cupon_cero!$A:$A)-2,1),OFFSET(Curvas_cupon_cero!$A$1,1,MATCH($B$7,Curvas_cupon_cero!$1:$1,0)-1,COUNT(Curvas_cupon_cero!$A:$A)-2,1)),[1]!interpolar(B617,OFFSET(Curvas_cupon_cero!$A$1,1,0,COUNT(Curvas_cupon_cero!$A:$A)-2,1),OFFSET(Curvas_cupon_cero!$A$1,1,MATCH($B$7,Curvas_cupon_cero!$1:$1,0)-1,COUNT(Curvas_cupon_cero!$A:$A)-2,1))))</f>
        <v/>
      </c>
      <c r="D617" s="23" t="str">
        <f ca="1">IF(A617="","",IF($B$8="Sí",interpolar_alamb(H617,OFFSET(Curvas_cupon_cero!$A$1,1,0,COUNT(Curvas_cupon_cero!$A:$A)-2,1),OFFSET(Curvas_cupon_cero!$A$1,1,MATCH($B$7,Curvas_cupon_cero!$1:$1,0)-1,COUNT(Curvas_cupon_cero!$A:$A)-2,1)),[1]!interpolar(H617,OFFSET(Curvas_cupon_cero!$A$1,1,0,COUNT(Curvas_cupon_cero!$A:$A)-2,1),OFFSET(Curvas_cupon_cero!$A$1,1,MATCH($B$7,Curvas_cupon_cero!$1:$1,0)-1,COUNT(Curvas_cupon_cero!$A:$A)-2,1))))</f>
        <v/>
      </c>
      <c r="E617" s="23" t="str">
        <f t="shared" si="58"/>
        <v/>
      </c>
      <c r="F617" s="17" t="str">
        <f t="shared" si="56"/>
        <v/>
      </c>
      <c r="G617" s="18" t="str">
        <f t="shared" si="59"/>
        <v/>
      </c>
      <c r="H617" t="str">
        <f t="shared" si="60"/>
        <v/>
      </c>
      <c r="I617" s="23" t="str">
        <f ca="1">IF(A617="","",IF($B$8="Sí",interpolar_alamb(H617,OFFSET(Curvas_cupon_cero!$A$1,1,0,COUNT(Curvas_cupon_cero!$A:$A)-2,1),OFFSET(Curvas_cupon_cero!$A$1,1,MATCH($B$6,Curvas_cupon_cero!$1:$1,0)-1,COUNT(Curvas_cupon_cero!$A:$A)-2,1)),[1]!interpolar(H617,OFFSET(Curvas_cupon_cero!$A$1,1,0,COUNT(Curvas_cupon_cero!$A:$A)-2,1),OFFSET(Curvas_cupon_cero!$A$1,1,MATCH($B$6,Curvas_cupon_cero!$1:$1,0)-1,COUNT(Curvas_cupon_cero!$A:$A)-2,1))))</f>
        <v/>
      </c>
      <c r="J617" s="19" t="str">
        <f>IF(A617="","",F617/(1+I617*$B$5/360)^(COUNT(A$16:A617)-($B$5-$G$16)/$B$5))</f>
        <v/>
      </c>
    </row>
    <row r="618" spans="1:10" x14ac:dyDescent="0.2">
      <c r="A618" s="12" t="str">
        <f t="shared" si="57"/>
        <v/>
      </c>
      <c r="B618" t="str">
        <f t="shared" si="55"/>
        <v/>
      </c>
      <c r="C618" s="21" t="str">
        <f ca="1">IF(A618="","",IF($B$8="Sí",interpolar_alamb(B618,OFFSET(Curvas_cupon_cero!$A$1,1,0,COUNT(Curvas_cupon_cero!$A:$A)-2,1),OFFSET(Curvas_cupon_cero!$A$1,1,MATCH($B$7,Curvas_cupon_cero!$1:$1,0)-1,COUNT(Curvas_cupon_cero!$A:$A)-2,1)),[1]!interpolar(B618,OFFSET(Curvas_cupon_cero!$A$1,1,0,COUNT(Curvas_cupon_cero!$A:$A)-2,1),OFFSET(Curvas_cupon_cero!$A$1,1,MATCH($B$7,Curvas_cupon_cero!$1:$1,0)-1,COUNT(Curvas_cupon_cero!$A:$A)-2,1))))</f>
        <v/>
      </c>
      <c r="D618" s="23" t="str">
        <f ca="1">IF(A618="","",IF($B$8="Sí",interpolar_alamb(H618,OFFSET(Curvas_cupon_cero!$A$1,1,0,COUNT(Curvas_cupon_cero!$A:$A)-2,1),OFFSET(Curvas_cupon_cero!$A$1,1,MATCH($B$7,Curvas_cupon_cero!$1:$1,0)-1,COUNT(Curvas_cupon_cero!$A:$A)-2,1)),[1]!interpolar(H618,OFFSET(Curvas_cupon_cero!$A$1,1,0,COUNT(Curvas_cupon_cero!$A:$A)-2,1),OFFSET(Curvas_cupon_cero!$A$1,1,MATCH($B$7,Curvas_cupon_cero!$1:$1,0)-1,COUNT(Curvas_cupon_cero!$A:$A)-2,1))))</f>
        <v/>
      </c>
      <c r="E618" s="23" t="str">
        <f t="shared" si="58"/>
        <v/>
      </c>
      <c r="F618" s="17" t="str">
        <f t="shared" si="56"/>
        <v/>
      </c>
      <c r="G618" s="18" t="str">
        <f t="shared" si="59"/>
        <v/>
      </c>
      <c r="H618" t="str">
        <f t="shared" si="60"/>
        <v/>
      </c>
      <c r="I618" s="23" t="str">
        <f ca="1">IF(A618="","",IF($B$8="Sí",interpolar_alamb(H618,OFFSET(Curvas_cupon_cero!$A$1,1,0,COUNT(Curvas_cupon_cero!$A:$A)-2,1),OFFSET(Curvas_cupon_cero!$A$1,1,MATCH($B$6,Curvas_cupon_cero!$1:$1,0)-1,COUNT(Curvas_cupon_cero!$A:$A)-2,1)),[1]!interpolar(H618,OFFSET(Curvas_cupon_cero!$A$1,1,0,COUNT(Curvas_cupon_cero!$A:$A)-2,1),OFFSET(Curvas_cupon_cero!$A$1,1,MATCH($B$6,Curvas_cupon_cero!$1:$1,0)-1,COUNT(Curvas_cupon_cero!$A:$A)-2,1))))</f>
        <v/>
      </c>
      <c r="J618" s="19" t="str">
        <f>IF(A618="","",F618/(1+I618*$B$5/360)^(COUNT(A$16:A618)-($B$5-$G$16)/$B$5))</f>
        <v/>
      </c>
    </row>
    <row r="619" spans="1:10" x14ac:dyDescent="0.2">
      <c r="A619" s="12" t="str">
        <f t="shared" si="57"/>
        <v/>
      </c>
      <c r="B619" t="str">
        <f t="shared" si="55"/>
        <v/>
      </c>
      <c r="C619" s="21" t="str">
        <f ca="1">IF(A619="","",IF($B$8="Sí",interpolar_alamb(B619,OFFSET(Curvas_cupon_cero!$A$1,1,0,COUNT(Curvas_cupon_cero!$A:$A)-2,1),OFFSET(Curvas_cupon_cero!$A$1,1,MATCH($B$7,Curvas_cupon_cero!$1:$1,0)-1,COUNT(Curvas_cupon_cero!$A:$A)-2,1)),[1]!interpolar(B619,OFFSET(Curvas_cupon_cero!$A$1,1,0,COUNT(Curvas_cupon_cero!$A:$A)-2,1),OFFSET(Curvas_cupon_cero!$A$1,1,MATCH($B$7,Curvas_cupon_cero!$1:$1,0)-1,COUNT(Curvas_cupon_cero!$A:$A)-2,1))))</f>
        <v/>
      </c>
      <c r="D619" s="23" t="str">
        <f ca="1">IF(A619="","",IF($B$8="Sí",interpolar_alamb(H619,OFFSET(Curvas_cupon_cero!$A$1,1,0,COUNT(Curvas_cupon_cero!$A:$A)-2,1),OFFSET(Curvas_cupon_cero!$A$1,1,MATCH($B$7,Curvas_cupon_cero!$1:$1,0)-1,COUNT(Curvas_cupon_cero!$A:$A)-2,1)),[1]!interpolar(H619,OFFSET(Curvas_cupon_cero!$A$1,1,0,COUNT(Curvas_cupon_cero!$A:$A)-2,1),OFFSET(Curvas_cupon_cero!$A$1,1,MATCH($B$7,Curvas_cupon_cero!$1:$1,0)-1,COUNT(Curvas_cupon_cero!$A:$A)-2,1))))</f>
        <v/>
      </c>
      <c r="E619" s="23" t="str">
        <f t="shared" si="58"/>
        <v/>
      </c>
      <c r="F619" s="17" t="str">
        <f t="shared" si="56"/>
        <v/>
      </c>
      <c r="G619" s="18" t="str">
        <f t="shared" si="59"/>
        <v/>
      </c>
      <c r="H619" t="str">
        <f t="shared" si="60"/>
        <v/>
      </c>
      <c r="I619" s="23" t="str">
        <f ca="1">IF(A619="","",IF($B$8="Sí",interpolar_alamb(H619,OFFSET(Curvas_cupon_cero!$A$1,1,0,COUNT(Curvas_cupon_cero!$A:$A)-2,1),OFFSET(Curvas_cupon_cero!$A$1,1,MATCH($B$6,Curvas_cupon_cero!$1:$1,0)-1,COUNT(Curvas_cupon_cero!$A:$A)-2,1)),[1]!interpolar(H619,OFFSET(Curvas_cupon_cero!$A$1,1,0,COUNT(Curvas_cupon_cero!$A:$A)-2,1),OFFSET(Curvas_cupon_cero!$A$1,1,MATCH($B$6,Curvas_cupon_cero!$1:$1,0)-1,COUNT(Curvas_cupon_cero!$A:$A)-2,1))))</f>
        <v/>
      </c>
      <c r="J619" s="19" t="str">
        <f>IF(A619="","",F619/(1+I619*$B$5/360)^(COUNT(A$16:A619)-($B$5-$G$16)/$B$5))</f>
        <v/>
      </c>
    </row>
    <row r="620" spans="1:10" x14ac:dyDescent="0.2">
      <c r="A620" s="12" t="str">
        <f t="shared" si="57"/>
        <v/>
      </c>
      <c r="B620" t="str">
        <f t="shared" si="55"/>
        <v/>
      </c>
      <c r="C620" s="21" t="str">
        <f ca="1">IF(A620="","",IF($B$8="Sí",interpolar_alamb(B620,OFFSET(Curvas_cupon_cero!$A$1,1,0,COUNT(Curvas_cupon_cero!$A:$A)-2,1),OFFSET(Curvas_cupon_cero!$A$1,1,MATCH($B$7,Curvas_cupon_cero!$1:$1,0)-1,COUNT(Curvas_cupon_cero!$A:$A)-2,1)),[1]!interpolar(B620,OFFSET(Curvas_cupon_cero!$A$1,1,0,COUNT(Curvas_cupon_cero!$A:$A)-2,1),OFFSET(Curvas_cupon_cero!$A$1,1,MATCH($B$7,Curvas_cupon_cero!$1:$1,0)-1,COUNT(Curvas_cupon_cero!$A:$A)-2,1))))</f>
        <v/>
      </c>
      <c r="D620" s="23" t="str">
        <f ca="1">IF(A620="","",IF($B$8="Sí",interpolar_alamb(H620,OFFSET(Curvas_cupon_cero!$A$1,1,0,COUNT(Curvas_cupon_cero!$A:$A)-2,1),OFFSET(Curvas_cupon_cero!$A$1,1,MATCH($B$7,Curvas_cupon_cero!$1:$1,0)-1,COUNT(Curvas_cupon_cero!$A:$A)-2,1)),[1]!interpolar(H620,OFFSET(Curvas_cupon_cero!$A$1,1,0,COUNT(Curvas_cupon_cero!$A:$A)-2,1),OFFSET(Curvas_cupon_cero!$A$1,1,MATCH($B$7,Curvas_cupon_cero!$1:$1,0)-1,COUNT(Curvas_cupon_cero!$A:$A)-2,1))))</f>
        <v/>
      </c>
      <c r="E620" s="23" t="str">
        <f t="shared" si="58"/>
        <v/>
      </c>
      <c r="F620" s="17" t="str">
        <f t="shared" si="56"/>
        <v/>
      </c>
      <c r="G620" s="18" t="str">
        <f t="shared" si="59"/>
        <v/>
      </c>
      <c r="H620" t="str">
        <f t="shared" si="60"/>
        <v/>
      </c>
      <c r="I620" s="23" t="str">
        <f ca="1">IF(A620="","",IF($B$8="Sí",interpolar_alamb(H620,OFFSET(Curvas_cupon_cero!$A$1,1,0,COUNT(Curvas_cupon_cero!$A:$A)-2,1),OFFSET(Curvas_cupon_cero!$A$1,1,MATCH($B$6,Curvas_cupon_cero!$1:$1,0)-1,COUNT(Curvas_cupon_cero!$A:$A)-2,1)),[1]!interpolar(H620,OFFSET(Curvas_cupon_cero!$A$1,1,0,COUNT(Curvas_cupon_cero!$A:$A)-2,1),OFFSET(Curvas_cupon_cero!$A$1,1,MATCH($B$6,Curvas_cupon_cero!$1:$1,0)-1,COUNT(Curvas_cupon_cero!$A:$A)-2,1))))</f>
        <v/>
      </c>
      <c r="J620" s="19" t="str">
        <f>IF(A620="","",F620/(1+I620*$B$5/360)^(COUNT(A$16:A620)-($B$5-$G$16)/$B$5))</f>
        <v/>
      </c>
    </row>
    <row r="621" spans="1:10" x14ac:dyDescent="0.2">
      <c r="A621" s="12" t="str">
        <f t="shared" si="57"/>
        <v/>
      </c>
      <c r="B621" t="str">
        <f t="shared" si="55"/>
        <v/>
      </c>
      <c r="C621" s="21" t="str">
        <f ca="1">IF(A621="","",IF($B$8="Sí",interpolar_alamb(B621,OFFSET(Curvas_cupon_cero!$A$1,1,0,COUNT(Curvas_cupon_cero!$A:$A)-2,1),OFFSET(Curvas_cupon_cero!$A$1,1,MATCH($B$7,Curvas_cupon_cero!$1:$1,0)-1,COUNT(Curvas_cupon_cero!$A:$A)-2,1)),[1]!interpolar(B621,OFFSET(Curvas_cupon_cero!$A$1,1,0,COUNT(Curvas_cupon_cero!$A:$A)-2,1),OFFSET(Curvas_cupon_cero!$A$1,1,MATCH($B$7,Curvas_cupon_cero!$1:$1,0)-1,COUNT(Curvas_cupon_cero!$A:$A)-2,1))))</f>
        <v/>
      </c>
      <c r="D621" s="23" t="str">
        <f ca="1">IF(A621="","",IF($B$8="Sí",interpolar_alamb(H621,OFFSET(Curvas_cupon_cero!$A$1,1,0,COUNT(Curvas_cupon_cero!$A:$A)-2,1),OFFSET(Curvas_cupon_cero!$A$1,1,MATCH($B$7,Curvas_cupon_cero!$1:$1,0)-1,COUNT(Curvas_cupon_cero!$A:$A)-2,1)),[1]!interpolar(H621,OFFSET(Curvas_cupon_cero!$A$1,1,0,COUNT(Curvas_cupon_cero!$A:$A)-2,1),OFFSET(Curvas_cupon_cero!$A$1,1,MATCH($B$7,Curvas_cupon_cero!$1:$1,0)-1,COUNT(Curvas_cupon_cero!$A:$A)-2,1))))</f>
        <v/>
      </c>
      <c r="E621" s="23" t="str">
        <f t="shared" si="58"/>
        <v/>
      </c>
      <c r="F621" s="17" t="str">
        <f t="shared" si="56"/>
        <v/>
      </c>
      <c r="G621" s="18" t="str">
        <f t="shared" si="59"/>
        <v/>
      </c>
      <c r="H621" t="str">
        <f t="shared" si="60"/>
        <v/>
      </c>
      <c r="I621" s="23" t="str">
        <f ca="1">IF(A621="","",IF($B$8="Sí",interpolar_alamb(H621,OFFSET(Curvas_cupon_cero!$A$1,1,0,COUNT(Curvas_cupon_cero!$A:$A)-2,1),OFFSET(Curvas_cupon_cero!$A$1,1,MATCH($B$6,Curvas_cupon_cero!$1:$1,0)-1,COUNT(Curvas_cupon_cero!$A:$A)-2,1)),[1]!interpolar(H621,OFFSET(Curvas_cupon_cero!$A$1,1,0,COUNT(Curvas_cupon_cero!$A:$A)-2,1),OFFSET(Curvas_cupon_cero!$A$1,1,MATCH($B$6,Curvas_cupon_cero!$1:$1,0)-1,COUNT(Curvas_cupon_cero!$A:$A)-2,1))))</f>
        <v/>
      </c>
      <c r="J621" s="19" t="str">
        <f>IF(A621="","",F621/(1+I621*$B$5/360)^(COUNT(A$16:A621)-($B$5-$G$16)/$B$5))</f>
        <v/>
      </c>
    </row>
    <row r="622" spans="1:10" x14ac:dyDescent="0.2">
      <c r="A622" s="12" t="str">
        <f t="shared" si="57"/>
        <v/>
      </c>
      <c r="B622" t="str">
        <f t="shared" si="55"/>
        <v/>
      </c>
      <c r="C622" s="21" t="str">
        <f ca="1">IF(A622="","",IF($B$8="Sí",interpolar_alamb(B622,OFFSET(Curvas_cupon_cero!$A$1,1,0,COUNT(Curvas_cupon_cero!$A:$A)-2,1),OFFSET(Curvas_cupon_cero!$A$1,1,MATCH($B$7,Curvas_cupon_cero!$1:$1,0)-1,COUNT(Curvas_cupon_cero!$A:$A)-2,1)),[1]!interpolar(B622,OFFSET(Curvas_cupon_cero!$A$1,1,0,COUNT(Curvas_cupon_cero!$A:$A)-2,1),OFFSET(Curvas_cupon_cero!$A$1,1,MATCH($B$7,Curvas_cupon_cero!$1:$1,0)-1,COUNT(Curvas_cupon_cero!$A:$A)-2,1))))</f>
        <v/>
      </c>
      <c r="D622" s="23" t="str">
        <f ca="1">IF(A622="","",IF($B$8="Sí",interpolar_alamb(H622,OFFSET(Curvas_cupon_cero!$A$1,1,0,COUNT(Curvas_cupon_cero!$A:$A)-2,1),OFFSET(Curvas_cupon_cero!$A$1,1,MATCH($B$7,Curvas_cupon_cero!$1:$1,0)-1,COUNT(Curvas_cupon_cero!$A:$A)-2,1)),[1]!interpolar(H622,OFFSET(Curvas_cupon_cero!$A$1,1,0,COUNT(Curvas_cupon_cero!$A:$A)-2,1),OFFSET(Curvas_cupon_cero!$A$1,1,MATCH($B$7,Curvas_cupon_cero!$1:$1,0)-1,COUNT(Curvas_cupon_cero!$A:$A)-2,1))))</f>
        <v/>
      </c>
      <c r="E622" s="23" t="str">
        <f t="shared" si="58"/>
        <v/>
      </c>
      <c r="F622" s="17" t="str">
        <f t="shared" si="56"/>
        <v/>
      </c>
      <c r="G622" s="18" t="str">
        <f t="shared" si="59"/>
        <v/>
      </c>
      <c r="H622" t="str">
        <f t="shared" si="60"/>
        <v/>
      </c>
      <c r="I622" s="23" t="str">
        <f ca="1">IF(A622="","",IF($B$8="Sí",interpolar_alamb(H622,OFFSET(Curvas_cupon_cero!$A$1,1,0,COUNT(Curvas_cupon_cero!$A:$A)-2,1),OFFSET(Curvas_cupon_cero!$A$1,1,MATCH($B$6,Curvas_cupon_cero!$1:$1,0)-1,COUNT(Curvas_cupon_cero!$A:$A)-2,1)),[1]!interpolar(H622,OFFSET(Curvas_cupon_cero!$A$1,1,0,COUNT(Curvas_cupon_cero!$A:$A)-2,1),OFFSET(Curvas_cupon_cero!$A$1,1,MATCH($B$6,Curvas_cupon_cero!$1:$1,0)-1,COUNT(Curvas_cupon_cero!$A:$A)-2,1))))</f>
        <v/>
      </c>
      <c r="J622" s="19" t="str">
        <f>IF(A622="","",F622/(1+I622*$B$5/360)^(COUNT(A$16:A622)-($B$5-$G$16)/$B$5))</f>
        <v/>
      </c>
    </row>
    <row r="623" spans="1:10" x14ac:dyDescent="0.2">
      <c r="A623" s="12" t="str">
        <f t="shared" si="57"/>
        <v/>
      </c>
      <c r="B623" t="str">
        <f t="shared" si="55"/>
        <v/>
      </c>
      <c r="C623" s="21" t="str">
        <f ca="1">IF(A623="","",IF($B$8="Sí",interpolar_alamb(B623,OFFSET(Curvas_cupon_cero!$A$1,1,0,COUNT(Curvas_cupon_cero!$A:$A)-2,1),OFFSET(Curvas_cupon_cero!$A$1,1,MATCH($B$7,Curvas_cupon_cero!$1:$1,0)-1,COUNT(Curvas_cupon_cero!$A:$A)-2,1)),[1]!interpolar(B623,OFFSET(Curvas_cupon_cero!$A$1,1,0,COUNT(Curvas_cupon_cero!$A:$A)-2,1),OFFSET(Curvas_cupon_cero!$A$1,1,MATCH($B$7,Curvas_cupon_cero!$1:$1,0)-1,COUNT(Curvas_cupon_cero!$A:$A)-2,1))))</f>
        <v/>
      </c>
      <c r="D623" s="23" t="str">
        <f ca="1">IF(A623="","",IF($B$8="Sí",interpolar_alamb(H623,OFFSET(Curvas_cupon_cero!$A$1,1,0,COUNT(Curvas_cupon_cero!$A:$A)-2,1),OFFSET(Curvas_cupon_cero!$A$1,1,MATCH($B$7,Curvas_cupon_cero!$1:$1,0)-1,COUNT(Curvas_cupon_cero!$A:$A)-2,1)),[1]!interpolar(H623,OFFSET(Curvas_cupon_cero!$A$1,1,0,COUNT(Curvas_cupon_cero!$A:$A)-2,1),OFFSET(Curvas_cupon_cero!$A$1,1,MATCH($B$7,Curvas_cupon_cero!$1:$1,0)-1,COUNT(Curvas_cupon_cero!$A:$A)-2,1))))</f>
        <v/>
      </c>
      <c r="E623" s="23" t="str">
        <f t="shared" si="58"/>
        <v/>
      </c>
      <c r="F623" s="17" t="str">
        <f t="shared" si="56"/>
        <v/>
      </c>
      <c r="G623" s="18" t="str">
        <f t="shared" si="59"/>
        <v/>
      </c>
      <c r="H623" t="str">
        <f t="shared" si="60"/>
        <v/>
      </c>
      <c r="I623" s="23" t="str">
        <f ca="1">IF(A623="","",IF($B$8="Sí",interpolar_alamb(H623,OFFSET(Curvas_cupon_cero!$A$1,1,0,COUNT(Curvas_cupon_cero!$A:$A)-2,1),OFFSET(Curvas_cupon_cero!$A$1,1,MATCH($B$6,Curvas_cupon_cero!$1:$1,0)-1,COUNT(Curvas_cupon_cero!$A:$A)-2,1)),[1]!interpolar(H623,OFFSET(Curvas_cupon_cero!$A$1,1,0,COUNT(Curvas_cupon_cero!$A:$A)-2,1),OFFSET(Curvas_cupon_cero!$A$1,1,MATCH($B$6,Curvas_cupon_cero!$1:$1,0)-1,COUNT(Curvas_cupon_cero!$A:$A)-2,1))))</f>
        <v/>
      </c>
      <c r="J623" s="19" t="str">
        <f>IF(A623="","",F623/(1+I623*$B$5/360)^(COUNT(A$16:A623)-($B$5-$G$16)/$B$5))</f>
        <v/>
      </c>
    </row>
    <row r="624" spans="1:10" x14ac:dyDescent="0.2">
      <c r="A624" s="12" t="str">
        <f t="shared" si="57"/>
        <v/>
      </c>
      <c r="B624" t="str">
        <f t="shared" si="55"/>
        <v/>
      </c>
      <c r="C624" s="21" t="str">
        <f ca="1">IF(A624="","",IF($B$8="Sí",interpolar_alamb(B624,OFFSET(Curvas_cupon_cero!$A$1,1,0,COUNT(Curvas_cupon_cero!$A:$A)-2,1),OFFSET(Curvas_cupon_cero!$A$1,1,MATCH($B$7,Curvas_cupon_cero!$1:$1,0)-1,COUNT(Curvas_cupon_cero!$A:$A)-2,1)),[1]!interpolar(B624,OFFSET(Curvas_cupon_cero!$A$1,1,0,COUNT(Curvas_cupon_cero!$A:$A)-2,1),OFFSET(Curvas_cupon_cero!$A$1,1,MATCH($B$7,Curvas_cupon_cero!$1:$1,0)-1,COUNT(Curvas_cupon_cero!$A:$A)-2,1))))</f>
        <v/>
      </c>
      <c r="D624" s="23" t="str">
        <f ca="1">IF(A624="","",IF($B$8="Sí",interpolar_alamb(H624,OFFSET(Curvas_cupon_cero!$A$1,1,0,COUNT(Curvas_cupon_cero!$A:$A)-2,1),OFFSET(Curvas_cupon_cero!$A$1,1,MATCH($B$7,Curvas_cupon_cero!$1:$1,0)-1,COUNT(Curvas_cupon_cero!$A:$A)-2,1)),[1]!interpolar(H624,OFFSET(Curvas_cupon_cero!$A$1,1,0,COUNT(Curvas_cupon_cero!$A:$A)-2,1),OFFSET(Curvas_cupon_cero!$A$1,1,MATCH($B$7,Curvas_cupon_cero!$1:$1,0)-1,COUNT(Curvas_cupon_cero!$A:$A)-2,1))))</f>
        <v/>
      </c>
      <c r="E624" s="23" t="str">
        <f t="shared" si="58"/>
        <v/>
      </c>
      <c r="F624" s="17" t="str">
        <f t="shared" si="56"/>
        <v/>
      </c>
      <c r="G624" s="18" t="str">
        <f t="shared" si="59"/>
        <v/>
      </c>
      <c r="H624" t="str">
        <f t="shared" si="60"/>
        <v/>
      </c>
      <c r="I624" s="23" t="str">
        <f ca="1">IF(A624="","",IF($B$8="Sí",interpolar_alamb(H624,OFFSET(Curvas_cupon_cero!$A$1,1,0,COUNT(Curvas_cupon_cero!$A:$A)-2,1),OFFSET(Curvas_cupon_cero!$A$1,1,MATCH($B$6,Curvas_cupon_cero!$1:$1,0)-1,COUNT(Curvas_cupon_cero!$A:$A)-2,1)),[1]!interpolar(H624,OFFSET(Curvas_cupon_cero!$A$1,1,0,COUNT(Curvas_cupon_cero!$A:$A)-2,1),OFFSET(Curvas_cupon_cero!$A$1,1,MATCH($B$6,Curvas_cupon_cero!$1:$1,0)-1,COUNT(Curvas_cupon_cero!$A:$A)-2,1))))</f>
        <v/>
      </c>
      <c r="J624" s="19" t="str">
        <f>IF(A624="","",F624/(1+I624*$B$5/360)^(COUNT(A$16:A624)-($B$5-$G$16)/$B$5))</f>
        <v/>
      </c>
    </row>
    <row r="625" spans="1:10" x14ac:dyDescent="0.2">
      <c r="A625" s="12" t="str">
        <f t="shared" si="57"/>
        <v/>
      </c>
      <c r="B625" t="str">
        <f t="shared" si="55"/>
        <v/>
      </c>
      <c r="C625" s="21" t="str">
        <f ca="1">IF(A625="","",IF($B$8="Sí",interpolar_alamb(B625,OFFSET(Curvas_cupon_cero!$A$1,1,0,COUNT(Curvas_cupon_cero!$A:$A)-2,1),OFFSET(Curvas_cupon_cero!$A$1,1,MATCH($B$7,Curvas_cupon_cero!$1:$1,0)-1,COUNT(Curvas_cupon_cero!$A:$A)-2,1)),[1]!interpolar(B625,OFFSET(Curvas_cupon_cero!$A$1,1,0,COUNT(Curvas_cupon_cero!$A:$A)-2,1),OFFSET(Curvas_cupon_cero!$A$1,1,MATCH($B$7,Curvas_cupon_cero!$1:$1,0)-1,COUNT(Curvas_cupon_cero!$A:$A)-2,1))))</f>
        <v/>
      </c>
      <c r="D625" s="23" t="str">
        <f ca="1">IF(A625="","",IF($B$8="Sí",interpolar_alamb(H625,OFFSET(Curvas_cupon_cero!$A$1,1,0,COUNT(Curvas_cupon_cero!$A:$A)-2,1),OFFSET(Curvas_cupon_cero!$A$1,1,MATCH($B$7,Curvas_cupon_cero!$1:$1,0)-1,COUNT(Curvas_cupon_cero!$A:$A)-2,1)),[1]!interpolar(H625,OFFSET(Curvas_cupon_cero!$A$1,1,0,COUNT(Curvas_cupon_cero!$A:$A)-2,1),OFFSET(Curvas_cupon_cero!$A$1,1,MATCH($B$7,Curvas_cupon_cero!$1:$1,0)-1,COUNT(Curvas_cupon_cero!$A:$A)-2,1))))</f>
        <v/>
      </c>
      <c r="E625" s="23" t="str">
        <f t="shared" si="58"/>
        <v/>
      </c>
      <c r="F625" s="17" t="str">
        <f t="shared" si="56"/>
        <v/>
      </c>
      <c r="G625" s="18" t="str">
        <f t="shared" si="59"/>
        <v/>
      </c>
      <c r="H625" t="str">
        <f t="shared" si="60"/>
        <v/>
      </c>
      <c r="I625" s="23" t="str">
        <f ca="1">IF(A625="","",IF($B$8="Sí",interpolar_alamb(H625,OFFSET(Curvas_cupon_cero!$A$1,1,0,COUNT(Curvas_cupon_cero!$A:$A)-2,1),OFFSET(Curvas_cupon_cero!$A$1,1,MATCH($B$6,Curvas_cupon_cero!$1:$1,0)-1,COUNT(Curvas_cupon_cero!$A:$A)-2,1)),[1]!interpolar(H625,OFFSET(Curvas_cupon_cero!$A$1,1,0,COUNT(Curvas_cupon_cero!$A:$A)-2,1),OFFSET(Curvas_cupon_cero!$A$1,1,MATCH($B$6,Curvas_cupon_cero!$1:$1,0)-1,COUNT(Curvas_cupon_cero!$A:$A)-2,1))))</f>
        <v/>
      </c>
      <c r="J625" s="19" t="str">
        <f>IF(A625="","",F625/(1+I625*$B$5/360)^(COUNT(A$16:A625)-($B$5-$G$16)/$B$5))</f>
        <v/>
      </c>
    </row>
    <row r="626" spans="1:10" x14ac:dyDescent="0.2">
      <c r="A626" s="12" t="str">
        <f t="shared" si="57"/>
        <v/>
      </c>
      <c r="B626" t="str">
        <f t="shared" si="55"/>
        <v/>
      </c>
      <c r="C626" s="21" t="str">
        <f ca="1">IF(A626="","",IF($B$8="Sí",interpolar_alamb(B626,OFFSET(Curvas_cupon_cero!$A$1,1,0,COUNT(Curvas_cupon_cero!$A:$A)-2,1),OFFSET(Curvas_cupon_cero!$A$1,1,MATCH($B$7,Curvas_cupon_cero!$1:$1,0)-1,COUNT(Curvas_cupon_cero!$A:$A)-2,1)),[1]!interpolar(B626,OFFSET(Curvas_cupon_cero!$A$1,1,0,COUNT(Curvas_cupon_cero!$A:$A)-2,1),OFFSET(Curvas_cupon_cero!$A$1,1,MATCH($B$7,Curvas_cupon_cero!$1:$1,0)-1,COUNT(Curvas_cupon_cero!$A:$A)-2,1))))</f>
        <v/>
      </c>
      <c r="D626" s="23" t="str">
        <f ca="1">IF(A626="","",IF($B$8="Sí",interpolar_alamb(H626,OFFSET(Curvas_cupon_cero!$A$1,1,0,COUNT(Curvas_cupon_cero!$A:$A)-2,1),OFFSET(Curvas_cupon_cero!$A$1,1,MATCH($B$7,Curvas_cupon_cero!$1:$1,0)-1,COUNT(Curvas_cupon_cero!$A:$A)-2,1)),[1]!interpolar(H626,OFFSET(Curvas_cupon_cero!$A$1,1,0,COUNT(Curvas_cupon_cero!$A:$A)-2,1),OFFSET(Curvas_cupon_cero!$A$1,1,MATCH($B$7,Curvas_cupon_cero!$1:$1,0)-1,COUNT(Curvas_cupon_cero!$A:$A)-2,1))))</f>
        <v/>
      </c>
      <c r="E626" s="23" t="str">
        <f t="shared" si="58"/>
        <v/>
      </c>
      <c r="F626" s="17" t="str">
        <f t="shared" si="56"/>
        <v/>
      </c>
      <c r="G626" s="18" t="str">
        <f t="shared" si="59"/>
        <v/>
      </c>
      <c r="H626" t="str">
        <f t="shared" si="60"/>
        <v/>
      </c>
      <c r="I626" s="23" t="str">
        <f ca="1">IF(A626="","",IF($B$8="Sí",interpolar_alamb(H626,OFFSET(Curvas_cupon_cero!$A$1,1,0,COUNT(Curvas_cupon_cero!$A:$A)-2,1),OFFSET(Curvas_cupon_cero!$A$1,1,MATCH($B$6,Curvas_cupon_cero!$1:$1,0)-1,COUNT(Curvas_cupon_cero!$A:$A)-2,1)),[1]!interpolar(H626,OFFSET(Curvas_cupon_cero!$A$1,1,0,COUNT(Curvas_cupon_cero!$A:$A)-2,1),OFFSET(Curvas_cupon_cero!$A$1,1,MATCH($B$6,Curvas_cupon_cero!$1:$1,0)-1,COUNT(Curvas_cupon_cero!$A:$A)-2,1))))</f>
        <v/>
      </c>
      <c r="J626" s="19" t="str">
        <f>IF(A626="","",F626/(1+I626*$B$5/360)^(COUNT(A$16:A626)-($B$5-$G$16)/$B$5))</f>
        <v/>
      </c>
    </row>
    <row r="627" spans="1:10" x14ac:dyDescent="0.2">
      <c r="A627" s="12" t="str">
        <f t="shared" si="57"/>
        <v/>
      </c>
      <c r="B627" t="str">
        <f t="shared" si="55"/>
        <v/>
      </c>
      <c r="C627" s="21" t="str">
        <f ca="1">IF(A627="","",IF($B$8="Sí",interpolar_alamb(B627,OFFSET(Curvas_cupon_cero!$A$1,1,0,COUNT(Curvas_cupon_cero!$A:$A)-2,1),OFFSET(Curvas_cupon_cero!$A$1,1,MATCH($B$7,Curvas_cupon_cero!$1:$1,0)-1,COUNT(Curvas_cupon_cero!$A:$A)-2,1)),[1]!interpolar(B627,OFFSET(Curvas_cupon_cero!$A$1,1,0,COUNT(Curvas_cupon_cero!$A:$A)-2,1),OFFSET(Curvas_cupon_cero!$A$1,1,MATCH($B$7,Curvas_cupon_cero!$1:$1,0)-1,COUNT(Curvas_cupon_cero!$A:$A)-2,1))))</f>
        <v/>
      </c>
      <c r="D627" s="23" t="str">
        <f ca="1">IF(A627="","",IF($B$8="Sí",interpolar_alamb(H627,OFFSET(Curvas_cupon_cero!$A$1,1,0,COUNT(Curvas_cupon_cero!$A:$A)-2,1),OFFSET(Curvas_cupon_cero!$A$1,1,MATCH($B$7,Curvas_cupon_cero!$1:$1,0)-1,COUNT(Curvas_cupon_cero!$A:$A)-2,1)),[1]!interpolar(H627,OFFSET(Curvas_cupon_cero!$A$1,1,0,COUNT(Curvas_cupon_cero!$A:$A)-2,1),OFFSET(Curvas_cupon_cero!$A$1,1,MATCH($B$7,Curvas_cupon_cero!$1:$1,0)-1,COUNT(Curvas_cupon_cero!$A:$A)-2,1))))</f>
        <v/>
      </c>
      <c r="E627" s="23" t="str">
        <f t="shared" si="58"/>
        <v/>
      </c>
      <c r="F627" s="17" t="str">
        <f t="shared" si="56"/>
        <v/>
      </c>
      <c r="G627" s="18" t="str">
        <f t="shared" si="59"/>
        <v/>
      </c>
      <c r="H627" t="str">
        <f t="shared" si="60"/>
        <v/>
      </c>
      <c r="I627" s="23" t="str">
        <f ca="1">IF(A627="","",IF($B$8="Sí",interpolar_alamb(H627,OFFSET(Curvas_cupon_cero!$A$1,1,0,COUNT(Curvas_cupon_cero!$A:$A)-2,1),OFFSET(Curvas_cupon_cero!$A$1,1,MATCH($B$6,Curvas_cupon_cero!$1:$1,0)-1,COUNT(Curvas_cupon_cero!$A:$A)-2,1)),[1]!interpolar(H627,OFFSET(Curvas_cupon_cero!$A$1,1,0,COUNT(Curvas_cupon_cero!$A:$A)-2,1),OFFSET(Curvas_cupon_cero!$A$1,1,MATCH($B$6,Curvas_cupon_cero!$1:$1,0)-1,COUNT(Curvas_cupon_cero!$A:$A)-2,1))))</f>
        <v/>
      </c>
      <c r="J627" s="19" t="str">
        <f>IF(A627="","",F627/(1+I627*$B$5/360)^(COUNT(A$16:A627)-($B$5-$G$16)/$B$5))</f>
        <v/>
      </c>
    </row>
    <row r="628" spans="1:10" x14ac:dyDescent="0.2">
      <c r="A628" s="12" t="str">
        <f t="shared" si="57"/>
        <v/>
      </c>
      <c r="B628" t="str">
        <f t="shared" si="55"/>
        <v/>
      </c>
      <c r="C628" s="21" t="str">
        <f ca="1">IF(A628="","",IF($B$8="Sí",interpolar_alamb(B628,OFFSET(Curvas_cupon_cero!$A$1,1,0,COUNT(Curvas_cupon_cero!$A:$A)-2,1),OFFSET(Curvas_cupon_cero!$A$1,1,MATCH($B$7,Curvas_cupon_cero!$1:$1,0)-1,COUNT(Curvas_cupon_cero!$A:$A)-2,1)),[1]!interpolar(B628,OFFSET(Curvas_cupon_cero!$A$1,1,0,COUNT(Curvas_cupon_cero!$A:$A)-2,1),OFFSET(Curvas_cupon_cero!$A$1,1,MATCH($B$7,Curvas_cupon_cero!$1:$1,0)-1,COUNT(Curvas_cupon_cero!$A:$A)-2,1))))</f>
        <v/>
      </c>
      <c r="D628" s="23" t="str">
        <f ca="1">IF(A628="","",IF($B$8="Sí",interpolar_alamb(H628,OFFSET(Curvas_cupon_cero!$A$1,1,0,COUNT(Curvas_cupon_cero!$A:$A)-2,1),OFFSET(Curvas_cupon_cero!$A$1,1,MATCH($B$7,Curvas_cupon_cero!$1:$1,0)-1,COUNT(Curvas_cupon_cero!$A:$A)-2,1)),[1]!interpolar(H628,OFFSET(Curvas_cupon_cero!$A$1,1,0,COUNT(Curvas_cupon_cero!$A:$A)-2,1),OFFSET(Curvas_cupon_cero!$A$1,1,MATCH($B$7,Curvas_cupon_cero!$1:$1,0)-1,COUNT(Curvas_cupon_cero!$A:$A)-2,1))))</f>
        <v/>
      </c>
      <c r="E628" s="23" t="str">
        <f t="shared" si="58"/>
        <v/>
      </c>
      <c r="F628" s="17" t="str">
        <f t="shared" si="56"/>
        <v/>
      </c>
      <c r="G628" s="18" t="str">
        <f t="shared" si="59"/>
        <v/>
      </c>
      <c r="H628" t="str">
        <f t="shared" si="60"/>
        <v/>
      </c>
      <c r="I628" s="23" t="str">
        <f ca="1">IF(A628="","",IF($B$8="Sí",interpolar_alamb(H628,OFFSET(Curvas_cupon_cero!$A$1,1,0,COUNT(Curvas_cupon_cero!$A:$A)-2,1),OFFSET(Curvas_cupon_cero!$A$1,1,MATCH($B$6,Curvas_cupon_cero!$1:$1,0)-1,COUNT(Curvas_cupon_cero!$A:$A)-2,1)),[1]!interpolar(H628,OFFSET(Curvas_cupon_cero!$A$1,1,0,COUNT(Curvas_cupon_cero!$A:$A)-2,1),OFFSET(Curvas_cupon_cero!$A$1,1,MATCH($B$6,Curvas_cupon_cero!$1:$1,0)-1,COUNT(Curvas_cupon_cero!$A:$A)-2,1))))</f>
        <v/>
      </c>
      <c r="J628" s="19" t="str">
        <f>IF(A628="","",F628/(1+I628*$B$5/360)^(COUNT(A$16:A628)-($B$5-$G$16)/$B$5))</f>
        <v/>
      </c>
    </row>
    <row r="629" spans="1:10" x14ac:dyDescent="0.2">
      <c r="A629" s="12" t="str">
        <f t="shared" si="57"/>
        <v/>
      </c>
      <c r="B629" t="str">
        <f t="shared" si="55"/>
        <v/>
      </c>
      <c r="C629" s="21" t="str">
        <f ca="1">IF(A629="","",IF($B$8="Sí",interpolar_alamb(B629,OFFSET(Curvas_cupon_cero!$A$1,1,0,COUNT(Curvas_cupon_cero!$A:$A)-2,1),OFFSET(Curvas_cupon_cero!$A$1,1,MATCH($B$7,Curvas_cupon_cero!$1:$1,0)-1,COUNT(Curvas_cupon_cero!$A:$A)-2,1)),[1]!interpolar(B629,OFFSET(Curvas_cupon_cero!$A$1,1,0,COUNT(Curvas_cupon_cero!$A:$A)-2,1),OFFSET(Curvas_cupon_cero!$A$1,1,MATCH($B$7,Curvas_cupon_cero!$1:$1,0)-1,COUNT(Curvas_cupon_cero!$A:$A)-2,1))))</f>
        <v/>
      </c>
      <c r="D629" s="23" t="str">
        <f ca="1">IF(A629="","",IF($B$8="Sí",interpolar_alamb(H629,OFFSET(Curvas_cupon_cero!$A$1,1,0,COUNT(Curvas_cupon_cero!$A:$A)-2,1),OFFSET(Curvas_cupon_cero!$A$1,1,MATCH($B$7,Curvas_cupon_cero!$1:$1,0)-1,COUNT(Curvas_cupon_cero!$A:$A)-2,1)),[1]!interpolar(H629,OFFSET(Curvas_cupon_cero!$A$1,1,0,COUNT(Curvas_cupon_cero!$A:$A)-2,1),OFFSET(Curvas_cupon_cero!$A$1,1,MATCH($B$7,Curvas_cupon_cero!$1:$1,0)-1,COUNT(Curvas_cupon_cero!$A:$A)-2,1))))</f>
        <v/>
      </c>
      <c r="E629" s="23" t="str">
        <f t="shared" si="58"/>
        <v/>
      </c>
      <c r="F629" s="17" t="str">
        <f t="shared" si="56"/>
        <v/>
      </c>
      <c r="G629" s="18" t="str">
        <f t="shared" si="59"/>
        <v/>
      </c>
      <c r="H629" t="str">
        <f t="shared" si="60"/>
        <v/>
      </c>
      <c r="I629" s="23" t="str">
        <f ca="1">IF(A629="","",IF($B$8="Sí",interpolar_alamb(H629,OFFSET(Curvas_cupon_cero!$A$1,1,0,COUNT(Curvas_cupon_cero!$A:$A)-2,1),OFFSET(Curvas_cupon_cero!$A$1,1,MATCH($B$6,Curvas_cupon_cero!$1:$1,0)-1,COUNT(Curvas_cupon_cero!$A:$A)-2,1)),[1]!interpolar(H629,OFFSET(Curvas_cupon_cero!$A$1,1,0,COUNT(Curvas_cupon_cero!$A:$A)-2,1),OFFSET(Curvas_cupon_cero!$A$1,1,MATCH($B$6,Curvas_cupon_cero!$1:$1,0)-1,COUNT(Curvas_cupon_cero!$A:$A)-2,1))))</f>
        <v/>
      </c>
      <c r="J629" s="19" t="str">
        <f>IF(A629="","",F629/(1+I629*$B$5/360)^(COUNT(A$16:A629)-($B$5-$G$16)/$B$5))</f>
        <v/>
      </c>
    </row>
    <row r="630" spans="1:10" x14ac:dyDescent="0.2">
      <c r="A630" s="12" t="str">
        <f t="shared" si="57"/>
        <v/>
      </c>
      <c r="B630" t="str">
        <f t="shared" si="55"/>
        <v/>
      </c>
      <c r="C630" s="21" t="str">
        <f ca="1">IF(A630="","",IF($B$8="Sí",interpolar_alamb(B630,OFFSET(Curvas_cupon_cero!$A$1,1,0,COUNT(Curvas_cupon_cero!$A:$A)-2,1),OFFSET(Curvas_cupon_cero!$A$1,1,MATCH($B$7,Curvas_cupon_cero!$1:$1,0)-1,COUNT(Curvas_cupon_cero!$A:$A)-2,1)),[1]!interpolar(B630,OFFSET(Curvas_cupon_cero!$A$1,1,0,COUNT(Curvas_cupon_cero!$A:$A)-2,1),OFFSET(Curvas_cupon_cero!$A$1,1,MATCH($B$7,Curvas_cupon_cero!$1:$1,0)-1,COUNT(Curvas_cupon_cero!$A:$A)-2,1))))</f>
        <v/>
      </c>
      <c r="D630" s="23" t="str">
        <f ca="1">IF(A630="","",IF($B$8="Sí",interpolar_alamb(H630,OFFSET(Curvas_cupon_cero!$A$1,1,0,COUNT(Curvas_cupon_cero!$A:$A)-2,1),OFFSET(Curvas_cupon_cero!$A$1,1,MATCH($B$7,Curvas_cupon_cero!$1:$1,0)-1,COUNT(Curvas_cupon_cero!$A:$A)-2,1)),[1]!interpolar(H630,OFFSET(Curvas_cupon_cero!$A$1,1,0,COUNT(Curvas_cupon_cero!$A:$A)-2,1),OFFSET(Curvas_cupon_cero!$A$1,1,MATCH($B$7,Curvas_cupon_cero!$1:$1,0)-1,COUNT(Curvas_cupon_cero!$A:$A)-2,1))))</f>
        <v/>
      </c>
      <c r="E630" s="23" t="str">
        <f t="shared" si="58"/>
        <v/>
      </c>
      <c r="F630" s="17" t="str">
        <f t="shared" si="56"/>
        <v/>
      </c>
      <c r="G630" s="18" t="str">
        <f t="shared" si="59"/>
        <v/>
      </c>
      <c r="H630" t="str">
        <f t="shared" si="60"/>
        <v/>
      </c>
      <c r="I630" s="23" t="str">
        <f ca="1">IF(A630="","",IF($B$8="Sí",interpolar_alamb(H630,OFFSET(Curvas_cupon_cero!$A$1,1,0,COUNT(Curvas_cupon_cero!$A:$A)-2,1),OFFSET(Curvas_cupon_cero!$A$1,1,MATCH($B$6,Curvas_cupon_cero!$1:$1,0)-1,COUNT(Curvas_cupon_cero!$A:$A)-2,1)),[1]!interpolar(H630,OFFSET(Curvas_cupon_cero!$A$1,1,0,COUNT(Curvas_cupon_cero!$A:$A)-2,1),OFFSET(Curvas_cupon_cero!$A$1,1,MATCH($B$6,Curvas_cupon_cero!$1:$1,0)-1,COUNT(Curvas_cupon_cero!$A:$A)-2,1))))</f>
        <v/>
      </c>
      <c r="J630" s="19" t="str">
        <f>IF(A630="","",F630/(1+I630*$B$5/360)^(COUNT(A$16:A630)-($B$5-$G$16)/$B$5))</f>
        <v/>
      </c>
    </row>
    <row r="631" spans="1:10" x14ac:dyDescent="0.2">
      <c r="A631" s="12" t="str">
        <f t="shared" si="57"/>
        <v/>
      </c>
      <c r="B631" t="str">
        <f t="shared" si="55"/>
        <v/>
      </c>
      <c r="C631" s="21" t="str">
        <f ca="1">IF(A631="","",IF($B$8="Sí",interpolar_alamb(B631,OFFSET(Curvas_cupon_cero!$A$1,1,0,COUNT(Curvas_cupon_cero!$A:$A)-2,1),OFFSET(Curvas_cupon_cero!$A$1,1,MATCH($B$7,Curvas_cupon_cero!$1:$1,0)-1,COUNT(Curvas_cupon_cero!$A:$A)-2,1)),[1]!interpolar(B631,OFFSET(Curvas_cupon_cero!$A$1,1,0,COUNT(Curvas_cupon_cero!$A:$A)-2,1),OFFSET(Curvas_cupon_cero!$A$1,1,MATCH($B$7,Curvas_cupon_cero!$1:$1,0)-1,COUNT(Curvas_cupon_cero!$A:$A)-2,1))))</f>
        <v/>
      </c>
      <c r="D631" s="23" t="str">
        <f ca="1">IF(A631="","",IF($B$8="Sí",interpolar_alamb(H631,OFFSET(Curvas_cupon_cero!$A$1,1,0,COUNT(Curvas_cupon_cero!$A:$A)-2,1),OFFSET(Curvas_cupon_cero!$A$1,1,MATCH($B$7,Curvas_cupon_cero!$1:$1,0)-1,COUNT(Curvas_cupon_cero!$A:$A)-2,1)),[1]!interpolar(H631,OFFSET(Curvas_cupon_cero!$A$1,1,0,COUNT(Curvas_cupon_cero!$A:$A)-2,1),OFFSET(Curvas_cupon_cero!$A$1,1,MATCH($B$7,Curvas_cupon_cero!$1:$1,0)-1,COUNT(Curvas_cupon_cero!$A:$A)-2,1))))</f>
        <v/>
      </c>
      <c r="E631" s="23" t="str">
        <f t="shared" si="58"/>
        <v/>
      </c>
      <c r="F631" s="17" t="str">
        <f t="shared" si="56"/>
        <v/>
      </c>
      <c r="G631" s="18" t="str">
        <f t="shared" si="59"/>
        <v/>
      </c>
      <c r="H631" t="str">
        <f t="shared" si="60"/>
        <v/>
      </c>
      <c r="I631" s="23" t="str">
        <f ca="1">IF(A631="","",IF($B$8="Sí",interpolar_alamb(H631,OFFSET(Curvas_cupon_cero!$A$1,1,0,COUNT(Curvas_cupon_cero!$A:$A)-2,1),OFFSET(Curvas_cupon_cero!$A$1,1,MATCH($B$6,Curvas_cupon_cero!$1:$1,0)-1,COUNT(Curvas_cupon_cero!$A:$A)-2,1)),[1]!interpolar(H631,OFFSET(Curvas_cupon_cero!$A$1,1,0,COUNT(Curvas_cupon_cero!$A:$A)-2,1),OFFSET(Curvas_cupon_cero!$A$1,1,MATCH($B$6,Curvas_cupon_cero!$1:$1,0)-1,COUNT(Curvas_cupon_cero!$A:$A)-2,1))))</f>
        <v/>
      </c>
      <c r="J631" s="19" t="str">
        <f>IF(A631="","",F631/(1+I631*$B$5/360)^(COUNT(A$16:A631)-($B$5-$G$16)/$B$5))</f>
        <v/>
      </c>
    </row>
    <row r="632" spans="1:10" x14ac:dyDescent="0.2">
      <c r="A632" s="12" t="str">
        <f t="shared" si="57"/>
        <v/>
      </c>
      <c r="B632" t="str">
        <f t="shared" si="55"/>
        <v/>
      </c>
      <c r="C632" s="21" t="str">
        <f ca="1">IF(A632="","",IF($B$8="Sí",interpolar_alamb(B632,OFFSET(Curvas_cupon_cero!$A$1,1,0,COUNT(Curvas_cupon_cero!$A:$A)-2,1),OFFSET(Curvas_cupon_cero!$A$1,1,MATCH($B$7,Curvas_cupon_cero!$1:$1,0)-1,COUNT(Curvas_cupon_cero!$A:$A)-2,1)),[1]!interpolar(B632,OFFSET(Curvas_cupon_cero!$A$1,1,0,COUNT(Curvas_cupon_cero!$A:$A)-2,1),OFFSET(Curvas_cupon_cero!$A$1,1,MATCH($B$7,Curvas_cupon_cero!$1:$1,0)-1,COUNT(Curvas_cupon_cero!$A:$A)-2,1))))</f>
        <v/>
      </c>
      <c r="D632" s="23" t="str">
        <f ca="1">IF(A632="","",IF($B$8="Sí",interpolar_alamb(H632,OFFSET(Curvas_cupon_cero!$A$1,1,0,COUNT(Curvas_cupon_cero!$A:$A)-2,1),OFFSET(Curvas_cupon_cero!$A$1,1,MATCH($B$7,Curvas_cupon_cero!$1:$1,0)-1,COUNT(Curvas_cupon_cero!$A:$A)-2,1)),[1]!interpolar(H632,OFFSET(Curvas_cupon_cero!$A$1,1,0,COUNT(Curvas_cupon_cero!$A:$A)-2,1),OFFSET(Curvas_cupon_cero!$A$1,1,MATCH($B$7,Curvas_cupon_cero!$1:$1,0)-1,COUNT(Curvas_cupon_cero!$A:$A)-2,1))))</f>
        <v/>
      </c>
      <c r="E632" s="23" t="str">
        <f t="shared" si="58"/>
        <v/>
      </c>
      <c r="F632" s="17" t="str">
        <f t="shared" si="56"/>
        <v/>
      </c>
      <c r="G632" s="18" t="str">
        <f t="shared" si="59"/>
        <v/>
      </c>
      <c r="H632" t="str">
        <f t="shared" si="60"/>
        <v/>
      </c>
      <c r="I632" s="23" t="str">
        <f ca="1">IF(A632="","",IF($B$8="Sí",interpolar_alamb(H632,OFFSET(Curvas_cupon_cero!$A$1,1,0,COUNT(Curvas_cupon_cero!$A:$A)-2,1),OFFSET(Curvas_cupon_cero!$A$1,1,MATCH($B$6,Curvas_cupon_cero!$1:$1,0)-1,COUNT(Curvas_cupon_cero!$A:$A)-2,1)),[1]!interpolar(H632,OFFSET(Curvas_cupon_cero!$A$1,1,0,COUNT(Curvas_cupon_cero!$A:$A)-2,1),OFFSET(Curvas_cupon_cero!$A$1,1,MATCH($B$6,Curvas_cupon_cero!$1:$1,0)-1,COUNT(Curvas_cupon_cero!$A:$A)-2,1))))</f>
        <v/>
      </c>
      <c r="J632" s="19" t="str">
        <f>IF(A632="","",F632/(1+I632*$B$5/360)^(COUNT(A$16:A632)-($B$5-$G$16)/$B$5))</f>
        <v/>
      </c>
    </row>
    <row r="633" spans="1:10" x14ac:dyDescent="0.2">
      <c r="A633" s="12" t="str">
        <f t="shared" si="57"/>
        <v/>
      </c>
      <c r="B633" t="str">
        <f t="shared" si="55"/>
        <v/>
      </c>
      <c r="C633" s="21" t="str">
        <f ca="1">IF(A633="","",IF($B$8="Sí",interpolar_alamb(B633,OFFSET(Curvas_cupon_cero!$A$1,1,0,COUNT(Curvas_cupon_cero!$A:$A)-2,1),OFFSET(Curvas_cupon_cero!$A$1,1,MATCH($B$7,Curvas_cupon_cero!$1:$1,0)-1,COUNT(Curvas_cupon_cero!$A:$A)-2,1)),[1]!interpolar(B633,OFFSET(Curvas_cupon_cero!$A$1,1,0,COUNT(Curvas_cupon_cero!$A:$A)-2,1),OFFSET(Curvas_cupon_cero!$A$1,1,MATCH($B$7,Curvas_cupon_cero!$1:$1,0)-1,COUNT(Curvas_cupon_cero!$A:$A)-2,1))))</f>
        <v/>
      </c>
      <c r="D633" s="23" t="str">
        <f ca="1">IF(A633="","",IF($B$8="Sí",interpolar_alamb(H633,OFFSET(Curvas_cupon_cero!$A$1,1,0,COUNT(Curvas_cupon_cero!$A:$A)-2,1),OFFSET(Curvas_cupon_cero!$A$1,1,MATCH($B$7,Curvas_cupon_cero!$1:$1,0)-1,COUNT(Curvas_cupon_cero!$A:$A)-2,1)),[1]!interpolar(H633,OFFSET(Curvas_cupon_cero!$A$1,1,0,COUNT(Curvas_cupon_cero!$A:$A)-2,1),OFFSET(Curvas_cupon_cero!$A$1,1,MATCH($B$7,Curvas_cupon_cero!$1:$1,0)-1,COUNT(Curvas_cupon_cero!$A:$A)-2,1))))</f>
        <v/>
      </c>
      <c r="E633" s="23" t="str">
        <f t="shared" si="58"/>
        <v/>
      </c>
      <c r="F633" s="17" t="str">
        <f t="shared" si="56"/>
        <v/>
      </c>
      <c r="G633" s="18" t="str">
        <f t="shared" si="59"/>
        <v/>
      </c>
      <c r="H633" t="str">
        <f t="shared" si="60"/>
        <v/>
      </c>
      <c r="I633" s="23" t="str">
        <f ca="1">IF(A633="","",IF($B$8="Sí",interpolar_alamb(H633,OFFSET(Curvas_cupon_cero!$A$1,1,0,COUNT(Curvas_cupon_cero!$A:$A)-2,1),OFFSET(Curvas_cupon_cero!$A$1,1,MATCH($B$6,Curvas_cupon_cero!$1:$1,0)-1,COUNT(Curvas_cupon_cero!$A:$A)-2,1)),[1]!interpolar(H633,OFFSET(Curvas_cupon_cero!$A$1,1,0,COUNT(Curvas_cupon_cero!$A:$A)-2,1),OFFSET(Curvas_cupon_cero!$A$1,1,MATCH($B$6,Curvas_cupon_cero!$1:$1,0)-1,COUNT(Curvas_cupon_cero!$A:$A)-2,1))))</f>
        <v/>
      </c>
      <c r="J633" s="19" t="str">
        <f>IF(A633="","",F633/(1+I633*$B$5/360)^(COUNT(A$16:A633)-($B$5-$G$16)/$B$5))</f>
        <v/>
      </c>
    </row>
    <row r="634" spans="1:10" x14ac:dyDescent="0.2">
      <c r="A634" s="12" t="str">
        <f t="shared" si="57"/>
        <v/>
      </c>
      <c r="B634" t="str">
        <f t="shared" si="55"/>
        <v/>
      </c>
      <c r="C634" s="21" t="str">
        <f ca="1">IF(A634="","",IF($B$8="Sí",interpolar_alamb(B634,OFFSET(Curvas_cupon_cero!$A$1,1,0,COUNT(Curvas_cupon_cero!$A:$A)-2,1),OFFSET(Curvas_cupon_cero!$A$1,1,MATCH($B$7,Curvas_cupon_cero!$1:$1,0)-1,COUNT(Curvas_cupon_cero!$A:$A)-2,1)),[1]!interpolar(B634,OFFSET(Curvas_cupon_cero!$A$1,1,0,COUNT(Curvas_cupon_cero!$A:$A)-2,1),OFFSET(Curvas_cupon_cero!$A$1,1,MATCH($B$7,Curvas_cupon_cero!$1:$1,0)-1,COUNT(Curvas_cupon_cero!$A:$A)-2,1))))</f>
        <v/>
      </c>
      <c r="D634" s="23" t="str">
        <f ca="1">IF(A634="","",IF($B$8="Sí",interpolar_alamb(H634,OFFSET(Curvas_cupon_cero!$A$1,1,0,COUNT(Curvas_cupon_cero!$A:$A)-2,1),OFFSET(Curvas_cupon_cero!$A$1,1,MATCH($B$7,Curvas_cupon_cero!$1:$1,0)-1,COUNT(Curvas_cupon_cero!$A:$A)-2,1)),[1]!interpolar(H634,OFFSET(Curvas_cupon_cero!$A$1,1,0,COUNT(Curvas_cupon_cero!$A:$A)-2,1),OFFSET(Curvas_cupon_cero!$A$1,1,MATCH($B$7,Curvas_cupon_cero!$1:$1,0)-1,COUNT(Curvas_cupon_cero!$A:$A)-2,1))))</f>
        <v/>
      </c>
      <c r="E634" s="23" t="str">
        <f t="shared" si="58"/>
        <v/>
      </c>
      <c r="F634" s="17" t="str">
        <f t="shared" si="56"/>
        <v/>
      </c>
      <c r="G634" s="18" t="str">
        <f t="shared" si="59"/>
        <v/>
      </c>
      <c r="H634" t="str">
        <f t="shared" si="60"/>
        <v/>
      </c>
      <c r="I634" s="23" t="str">
        <f ca="1">IF(A634="","",IF($B$8="Sí",interpolar_alamb(H634,OFFSET(Curvas_cupon_cero!$A$1,1,0,COUNT(Curvas_cupon_cero!$A:$A)-2,1),OFFSET(Curvas_cupon_cero!$A$1,1,MATCH($B$6,Curvas_cupon_cero!$1:$1,0)-1,COUNT(Curvas_cupon_cero!$A:$A)-2,1)),[1]!interpolar(H634,OFFSET(Curvas_cupon_cero!$A$1,1,0,COUNT(Curvas_cupon_cero!$A:$A)-2,1),OFFSET(Curvas_cupon_cero!$A$1,1,MATCH($B$6,Curvas_cupon_cero!$1:$1,0)-1,COUNT(Curvas_cupon_cero!$A:$A)-2,1))))</f>
        <v/>
      </c>
      <c r="J634" s="19" t="str">
        <f>IF(A634="","",F634/(1+I634*$B$5/360)^(COUNT(A$16:A634)-($B$5-$G$16)/$B$5))</f>
        <v/>
      </c>
    </row>
    <row r="635" spans="1:10" x14ac:dyDescent="0.2">
      <c r="A635" s="12" t="str">
        <f t="shared" si="57"/>
        <v/>
      </c>
      <c r="B635" t="str">
        <f t="shared" si="55"/>
        <v/>
      </c>
      <c r="C635" s="21" t="str">
        <f ca="1">IF(A635="","",IF($B$8="Sí",interpolar_alamb(B635,OFFSET(Curvas_cupon_cero!$A$1,1,0,COUNT(Curvas_cupon_cero!$A:$A)-2,1),OFFSET(Curvas_cupon_cero!$A$1,1,MATCH($B$7,Curvas_cupon_cero!$1:$1,0)-1,COUNT(Curvas_cupon_cero!$A:$A)-2,1)),[1]!interpolar(B635,OFFSET(Curvas_cupon_cero!$A$1,1,0,COUNT(Curvas_cupon_cero!$A:$A)-2,1),OFFSET(Curvas_cupon_cero!$A$1,1,MATCH($B$7,Curvas_cupon_cero!$1:$1,0)-1,COUNT(Curvas_cupon_cero!$A:$A)-2,1))))</f>
        <v/>
      </c>
      <c r="D635" s="23" t="str">
        <f ca="1">IF(A635="","",IF($B$8="Sí",interpolar_alamb(H635,OFFSET(Curvas_cupon_cero!$A$1,1,0,COUNT(Curvas_cupon_cero!$A:$A)-2,1),OFFSET(Curvas_cupon_cero!$A$1,1,MATCH($B$7,Curvas_cupon_cero!$1:$1,0)-1,COUNT(Curvas_cupon_cero!$A:$A)-2,1)),[1]!interpolar(H635,OFFSET(Curvas_cupon_cero!$A$1,1,0,COUNT(Curvas_cupon_cero!$A:$A)-2,1),OFFSET(Curvas_cupon_cero!$A$1,1,MATCH($B$7,Curvas_cupon_cero!$1:$1,0)-1,COUNT(Curvas_cupon_cero!$A:$A)-2,1))))</f>
        <v/>
      </c>
      <c r="E635" s="23" t="str">
        <f t="shared" si="58"/>
        <v/>
      </c>
      <c r="F635" s="17" t="str">
        <f t="shared" si="56"/>
        <v/>
      </c>
      <c r="G635" s="18" t="str">
        <f t="shared" si="59"/>
        <v/>
      </c>
      <c r="H635" t="str">
        <f t="shared" si="60"/>
        <v/>
      </c>
      <c r="I635" s="23" t="str">
        <f ca="1">IF(A635="","",IF($B$8="Sí",interpolar_alamb(H635,OFFSET(Curvas_cupon_cero!$A$1,1,0,COUNT(Curvas_cupon_cero!$A:$A)-2,1),OFFSET(Curvas_cupon_cero!$A$1,1,MATCH($B$6,Curvas_cupon_cero!$1:$1,0)-1,COUNT(Curvas_cupon_cero!$A:$A)-2,1)),[1]!interpolar(H635,OFFSET(Curvas_cupon_cero!$A$1,1,0,COUNT(Curvas_cupon_cero!$A:$A)-2,1),OFFSET(Curvas_cupon_cero!$A$1,1,MATCH($B$6,Curvas_cupon_cero!$1:$1,0)-1,COUNT(Curvas_cupon_cero!$A:$A)-2,1))))</f>
        <v/>
      </c>
      <c r="J635" s="19" t="str">
        <f>IF(A635="","",F635/(1+I635*$B$5/360)^(COUNT(A$16:A635)-($B$5-$G$16)/$B$5))</f>
        <v/>
      </c>
    </row>
    <row r="636" spans="1:10" x14ac:dyDescent="0.2">
      <c r="A636" s="12" t="str">
        <f t="shared" si="57"/>
        <v/>
      </c>
      <c r="B636" t="str">
        <f t="shared" si="55"/>
        <v/>
      </c>
      <c r="C636" s="21" t="str">
        <f ca="1">IF(A636="","",IF($B$8="Sí",interpolar_alamb(B636,OFFSET(Curvas_cupon_cero!$A$1,1,0,COUNT(Curvas_cupon_cero!$A:$A)-2,1),OFFSET(Curvas_cupon_cero!$A$1,1,MATCH($B$7,Curvas_cupon_cero!$1:$1,0)-1,COUNT(Curvas_cupon_cero!$A:$A)-2,1)),[1]!interpolar(B636,OFFSET(Curvas_cupon_cero!$A$1,1,0,COUNT(Curvas_cupon_cero!$A:$A)-2,1),OFFSET(Curvas_cupon_cero!$A$1,1,MATCH($B$7,Curvas_cupon_cero!$1:$1,0)-1,COUNT(Curvas_cupon_cero!$A:$A)-2,1))))</f>
        <v/>
      </c>
      <c r="D636" s="23" t="str">
        <f ca="1">IF(A636="","",IF($B$8="Sí",interpolar_alamb(H636,OFFSET(Curvas_cupon_cero!$A$1,1,0,COUNT(Curvas_cupon_cero!$A:$A)-2,1),OFFSET(Curvas_cupon_cero!$A$1,1,MATCH($B$7,Curvas_cupon_cero!$1:$1,0)-1,COUNT(Curvas_cupon_cero!$A:$A)-2,1)),[1]!interpolar(H636,OFFSET(Curvas_cupon_cero!$A$1,1,0,COUNT(Curvas_cupon_cero!$A:$A)-2,1),OFFSET(Curvas_cupon_cero!$A$1,1,MATCH($B$7,Curvas_cupon_cero!$1:$1,0)-1,COUNT(Curvas_cupon_cero!$A:$A)-2,1))))</f>
        <v/>
      </c>
      <c r="E636" s="23" t="str">
        <f t="shared" si="58"/>
        <v/>
      </c>
      <c r="F636" s="17" t="str">
        <f t="shared" si="56"/>
        <v/>
      </c>
      <c r="G636" s="18" t="str">
        <f t="shared" si="59"/>
        <v/>
      </c>
      <c r="H636" t="str">
        <f t="shared" si="60"/>
        <v/>
      </c>
      <c r="I636" s="23" t="str">
        <f ca="1">IF(A636="","",IF($B$8="Sí",interpolar_alamb(H636,OFFSET(Curvas_cupon_cero!$A$1,1,0,COUNT(Curvas_cupon_cero!$A:$A)-2,1),OFFSET(Curvas_cupon_cero!$A$1,1,MATCH($B$6,Curvas_cupon_cero!$1:$1,0)-1,COUNT(Curvas_cupon_cero!$A:$A)-2,1)),[1]!interpolar(H636,OFFSET(Curvas_cupon_cero!$A$1,1,0,COUNT(Curvas_cupon_cero!$A:$A)-2,1),OFFSET(Curvas_cupon_cero!$A$1,1,MATCH($B$6,Curvas_cupon_cero!$1:$1,0)-1,COUNT(Curvas_cupon_cero!$A:$A)-2,1))))</f>
        <v/>
      </c>
      <c r="J636" s="19" t="str">
        <f>IF(A636="","",F636/(1+I636*$B$5/360)^(COUNT(A$16:A636)-($B$5-$G$16)/$B$5))</f>
        <v/>
      </c>
    </row>
    <row r="637" spans="1:10" x14ac:dyDescent="0.2">
      <c r="A637" s="12" t="str">
        <f t="shared" si="57"/>
        <v/>
      </c>
      <c r="B637" t="str">
        <f t="shared" si="55"/>
        <v/>
      </c>
      <c r="C637" s="21" t="str">
        <f ca="1">IF(A637="","",IF($B$8="Sí",interpolar_alamb(B637,OFFSET(Curvas_cupon_cero!$A$1,1,0,COUNT(Curvas_cupon_cero!$A:$A)-2,1),OFFSET(Curvas_cupon_cero!$A$1,1,MATCH($B$7,Curvas_cupon_cero!$1:$1,0)-1,COUNT(Curvas_cupon_cero!$A:$A)-2,1)),[1]!interpolar(B637,OFFSET(Curvas_cupon_cero!$A$1,1,0,COUNT(Curvas_cupon_cero!$A:$A)-2,1),OFFSET(Curvas_cupon_cero!$A$1,1,MATCH($B$7,Curvas_cupon_cero!$1:$1,0)-1,COUNT(Curvas_cupon_cero!$A:$A)-2,1))))</f>
        <v/>
      </c>
      <c r="D637" s="23" t="str">
        <f ca="1">IF(A637="","",IF($B$8="Sí",interpolar_alamb(H637,OFFSET(Curvas_cupon_cero!$A$1,1,0,COUNT(Curvas_cupon_cero!$A:$A)-2,1),OFFSET(Curvas_cupon_cero!$A$1,1,MATCH($B$7,Curvas_cupon_cero!$1:$1,0)-1,COUNT(Curvas_cupon_cero!$A:$A)-2,1)),[1]!interpolar(H637,OFFSET(Curvas_cupon_cero!$A$1,1,0,COUNT(Curvas_cupon_cero!$A:$A)-2,1),OFFSET(Curvas_cupon_cero!$A$1,1,MATCH($B$7,Curvas_cupon_cero!$1:$1,0)-1,COUNT(Curvas_cupon_cero!$A:$A)-2,1))))</f>
        <v/>
      </c>
      <c r="E637" s="23" t="str">
        <f t="shared" si="58"/>
        <v/>
      </c>
      <c r="F637" s="17" t="str">
        <f t="shared" si="56"/>
        <v/>
      </c>
      <c r="G637" s="18" t="str">
        <f t="shared" si="59"/>
        <v/>
      </c>
      <c r="H637" t="str">
        <f t="shared" si="60"/>
        <v/>
      </c>
      <c r="I637" s="23" t="str">
        <f ca="1">IF(A637="","",IF($B$8="Sí",interpolar_alamb(H637,OFFSET(Curvas_cupon_cero!$A$1,1,0,COUNT(Curvas_cupon_cero!$A:$A)-2,1),OFFSET(Curvas_cupon_cero!$A$1,1,MATCH($B$6,Curvas_cupon_cero!$1:$1,0)-1,COUNT(Curvas_cupon_cero!$A:$A)-2,1)),[1]!interpolar(H637,OFFSET(Curvas_cupon_cero!$A$1,1,0,COUNT(Curvas_cupon_cero!$A:$A)-2,1),OFFSET(Curvas_cupon_cero!$A$1,1,MATCH($B$6,Curvas_cupon_cero!$1:$1,0)-1,COUNT(Curvas_cupon_cero!$A:$A)-2,1))))</f>
        <v/>
      </c>
      <c r="J637" s="19" t="str">
        <f>IF(A637="","",F637/(1+I637*$B$5/360)^(COUNT(A$16:A637)-($B$5-$G$16)/$B$5))</f>
        <v/>
      </c>
    </row>
    <row r="638" spans="1:10" x14ac:dyDescent="0.2">
      <c r="A638" s="12" t="str">
        <f t="shared" si="57"/>
        <v/>
      </c>
      <c r="B638" t="str">
        <f t="shared" si="55"/>
        <v/>
      </c>
      <c r="C638" s="21" t="str">
        <f ca="1">IF(A638="","",IF($B$8="Sí",interpolar_alamb(B638,OFFSET(Curvas_cupon_cero!$A$1,1,0,COUNT(Curvas_cupon_cero!$A:$A)-2,1),OFFSET(Curvas_cupon_cero!$A$1,1,MATCH($B$7,Curvas_cupon_cero!$1:$1,0)-1,COUNT(Curvas_cupon_cero!$A:$A)-2,1)),[1]!interpolar(B638,OFFSET(Curvas_cupon_cero!$A$1,1,0,COUNT(Curvas_cupon_cero!$A:$A)-2,1),OFFSET(Curvas_cupon_cero!$A$1,1,MATCH($B$7,Curvas_cupon_cero!$1:$1,0)-1,COUNT(Curvas_cupon_cero!$A:$A)-2,1))))</f>
        <v/>
      </c>
      <c r="D638" s="23" t="str">
        <f ca="1">IF(A638="","",IF($B$8="Sí",interpolar_alamb(H638,OFFSET(Curvas_cupon_cero!$A$1,1,0,COUNT(Curvas_cupon_cero!$A:$A)-2,1),OFFSET(Curvas_cupon_cero!$A$1,1,MATCH($B$7,Curvas_cupon_cero!$1:$1,0)-1,COUNT(Curvas_cupon_cero!$A:$A)-2,1)),[1]!interpolar(H638,OFFSET(Curvas_cupon_cero!$A$1,1,0,COUNT(Curvas_cupon_cero!$A:$A)-2,1),OFFSET(Curvas_cupon_cero!$A$1,1,MATCH($B$7,Curvas_cupon_cero!$1:$1,0)-1,COUNT(Curvas_cupon_cero!$A:$A)-2,1))))</f>
        <v/>
      </c>
      <c r="E638" s="23" t="str">
        <f t="shared" si="58"/>
        <v/>
      </c>
      <c r="F638" s="17" t="str">
        <f t="shared" si="56"/>
        <v/>
      </c>
      <c r="G638" s="18" t="str">
        <f t="shared" si="59"/>
        <v/>
      </c>
      <c r="H638" t="str">
        <f t="shared" si="60"/>
        <v/>
      </c>
      <c r="I638" s="23" t="str">
        <f ca="1">IF(A638="","",IF($B$8="Sí",interpolar_alamb(H638,OFFSET(Curvas_cupon_cero!$A$1,1,0,COUNT(Curvas_cupon_cero!$A:$A)-2,1),OFFSET(Curvas_cupon_cero!$A$1,1,MATCH($B$6,Curvas_cupon_cero!$1:$1,0)-1,COUNT(Curvas_cupon_cero!$A:$A)-2,1)),[1]!interpolar(H638,OFFSET(Curvas_cupon_cero!$A$1,1,0,COUNT(Curvas_cupon_cero!$A:$A)-2,1),OFFSET(Curvas_cupon_cero!$A$1,1,MATCH($B$6,Curvas_cupon_cero!$1:$1,0)-1,COUNT(Curvas_cupon_cero!$A:$A)-2,1))))</f>
        <v/>
      </c>
      <c r="J638" s="19" t="str">
        <f>IF(A638="","",F638/(1+I638*$B$5/360)^(COUNT(A$16:A638)-($B$5-$G$16)/$B$5))</f>
        <v/>
      </c>
    </row>
    <row r="639" spans="1:10" x14ac:dyDescent="0.2">
      <c r="A639" s="12" t="str">
        <f t="shared" si="57"/>
        <v/>
      </c>
      <c r="B639" t="str">
        <f t="shared" si="55"/>
        <v/>
      </c>
      <c r="C639" s="21" t="str">
        <f ca="1">IF(A639="","",IF($B$8="Sí",interpolar_alamb(B639,OFFSET(Curvas_cupon_cero!$A$1,1,0,COUNT(Curvas_cupon_cero!$A:$A)-2,1),OFFSET(Curvas_cupon_cero!$A$1,1,MATCH($B$7,Curvas_cupon_cero!$1:$1,0)-1,COUNT(Curvas_cupon_cero!$A:$A)-2,1)),[1]!interpolar(B639,OFFSET(Curvas_cupon_cero!$A$1,1,0,COUNT(Curvas_cupon_cero!$A:$A)-2,1),OFFSET(Curvas_cupon_cero!$A$1,1,MATCH($B$7,Curvas_cupon_cero!$1:$1,0)-1,COUNT(Curvas_cupon_cero!$A:$A)-2,1))))</f>
        <v/>
      </c>
      <c r="D639" s="23" t="str">
        <f ca="1">IF(A639="","",IF($B$8="Sí",interpolar_alamb(H639,OFFSET(Curvas_cupon_cero!$A$1,1,0,COUNT(Curvas_cupon_cero!$A:$A)-2,1),OFFSET(Curvas_cupon_cero!$A$1,1,MATCH($B$7,Curvas_cupon_cero!$1:$1,0)-1,COUNT(Curvas_cupon_cero!$A:$A)-2,1)),[1]!interpolar(H639,OFFSET(Curvas_cupon_cero!$A$1,1,0,COUNT(Curvas_cupon_cero!$A:$A)-2,1),OFFSET(Curvas_cupon_cero!$A$1,1,MATCH($B$7,Curvas_cupon_cero!$1:$1,0)-1,COUNT(Curvas_cupon_cero!$A:$A)-2,1))))</f>
        <v/>
      </c>
      <c r="E639" s="23" t="str">
        <f t="shared" si="58"/>
        <v/>
      </c>
      <c r="F639" s="17" t="str">
        <f t="shared" si="56"/>
        <v/>
      </c>
      <c r="G639" s="18" t="str">
        <f t="shared" si="59"/>
        <v/>
      </c>
      <c r="H639" t="str">
        <f t="shared" si="60"/>
        <v/>
      </c>
      <c r="I639" s="23" t="str">
        <f ca="1">IF(A639="","",IF($B$8="Sí",interpolar_alamb(H639,OFFSET(Curvas_cupon_cero!$A$1,1,0,COUNT(Curvas_cupon_cero!$A:$A)-2,1),OFFSET(Curvas_cupon_cero!$A$1,1,MATCH($B$6,Curvas_cupon_cero!$1:$1,0)-1,COUNT(Curvas_cupon_cero!$A:$A)-2,1)),[1]!interpolar(H639,OFFSET(Curvas_cupon_cero!$A$1,1,0,COUNT(Curvas_cupon_cero!$A:$A)-2,1),OFFSET(Curvas_cupon_cero!$A$1,1,MATCH($B$6,Curvas_cupon_cero!$1:$1,0)-1,COUNT(Curvas_cupon_cero!$A:$A)-2,1))))</f>
        <v/>
      </c>
      <c r="J639" s="19" t="str">
        <f>IF(A639="","",F639/(1+I639*$B$5/360)^(COUNT(A$16:A639)-($B$5-$G$16)/$B$5))</f>
        <v/>
      </c>
    </row>
    <row r="640" spans="1:10" x14ac:dyDescent="0.2">
      <c r="A640" s="12" t="str">
        <f t="shared" si="57"/>
        <v/>
      </c>
      <c r="B640" t="str">
        <f t="shared" si="55"/>
        <v/>
      </c>
      <c r="C640" s="21" t="str">
        <f ca="1">IF(A640="","",IF($B$8="Sí",interpolar_alamb(B640,OFFSET(Curvas_cupon_cero!$A$1,1,0,COUNT(Curvas_cupon_cero!$A:$A)-2,1),OFFSET(Curvas_cupon_cero!$A$1,1,MATCH($B$7,Curvas_cupon_cero!$1:$1,0)-1,COUNT(Curvas_cupon_cero!$A:$A)-2,1)),[1]!interpolar(B640,OFFSET(Curvas_cupon_cero!$A$1,1,0,COUNT(Curvas_cupon_cero!$A:$A)-2,1),OFFSET(Curvas_cupon_cero!$A$1,1,MATCH($B$7,Curvas_cupon_cero!$1:$1,0)-1,COUNT(Curvas_cupon_cero!$A:$A)-2,1))))</f>
        <v/>
      </c>
      <c r="D640" s="23" t="str">
        <f ca="1">IF(A640="","",IF($B$8="Sí",interpolar_alamb(H640,OFFSET(Curvas_cupon_cero!$A$1,1,0,COUNT(Curvas_cupon_cero!$A:$A)-2,1),OFFSET(Curvas_cupon_cero!$A$1,1,MATCH($B$7,Curvas_cupon_cero!$1:$1,0)-1,COUNT(Curvas_cupon_cero!$A:$A)-2,1)),[1]!interpolar(H640,OFFSET(Curvas_cupon_cero!$A$1,1,0,COUNT(Curvas_cupon_cero!$A:$A)-2,1),OFFSET(Curvas_cupon_cero!$A$1,1,MATCH($B$7,Curvas_cupon_cero!$1:$1,0)-1,COUNT(Curvas_cupon_cero!$A:$A)-2,1))))</f>
        <v/>
      </c>
      <c r="E640" s="23" t="str">
        <f t="shared" si="58"/>
        <v/>
      </c>
      <c r="F640" s="17" t="str">
        <f t="shared" si="56"/>
        <v/>
      </c>
      <c r="G640" s="18" t="str">
        <f t="shared" si="59"/>
        <v/>
      </c>
      <c r="H640" t="str">
        <f t="shared" si="60"/>
        <v/>
      </c>
      <c r="I640" s="23" t="str">
        <f ca="1">IF(A640="","",IF($B$8="Sí",interpolar_alamb(H640,OFFSET(Curvas_cupon_cero!$A$1,1,0,COUNT(Curvas_cupon_cero!$A:$A)-2,1),OFFSET(Curvas_cupon_cero!$A$1,1,MATCH($B$6,Curvas_cupon_cero!$1:$1,0)-1,COUNT(Curvas_cupon_cero!$A:$A)-2,1)),[1]!interpolar(H640,OFFSET(Curvas_cupon_cero!$A$1,1,0,COUNT(Curvas_cupon_cero!$A:$A)-2,1),OFFSET(Curvas_cupon_cero!$A$1,1,MATCH($B$6,Curvas_cupon_cero!$1:$1,0)-1,COUNT(Curvas_cupon_cero!$A:$A)-2,1))))</f>
        <v/>
      </c>
      <c r="J640" s="19" t="str">
        <f>IF(A640="","",F640/(1+I640*$B$5/360)^(COUNT(A$16:A640)-($B$5-$G$16)/$B$5))</f>
        <v/>
      </c>
    </row>
    <row r="641" spans="1:10" x14ac:dyDescent="0.2">
      <c r="A641" s="12" t="str">
        <f t="shared" si="57"/>
        <v/>
      </c>
      <c r="B641" t="str">
        <f t="shared" si="55"/>
        <v/>
      </c>
      <c r="C641" s="21" t="str">
        <f ca="1">IF(A641="","",IF($B$8="Sí",interpolar_alamb(B641,OFFSET(Curvas_cupon_cero!$A$1,1,0,COUNT(Curvas_cupon_cero!$A:$A)-2,1),OFFSET(Curvas_cupon_cero!$A$1,1,MATCH($B$7,Curvas_cupon_cero!$1:$1,0)-1,COUNT(Curvas_cupon_cero!$A:$A)-2,1)),[1]!interpolar(B641,OFFSET(Curvas_cupon_cero!$A$1,1,0,COUNT(Curvas_cupon_cero!$A:$A)-2,1),OFFSET(Curvas_cupon_cero!$A$1,1,MATCH($B$7,Curvas_cupon_cero!$1:$1,0)-1,COUNT(Curvas_cupon_cero!$A:$A)-2,1))))</f>
        <v/>
      </c>
      <c r="D641" s="23" t="str">
        <f ca="1">IF(A641="","",IF($B$8="Sí",interpolar_alamb(H641,OFFSET(Curvas_cupon_cero!$A$1,1,0,COUNT(Curvas_cupon_cero!$A:$A)-2,1),OFFSET(Curvas_cupon_cero!$A$1,1,MATCH($B$7,Curvas_cupon_cero!$1:$1,0)-1,COUNT(Curvas_cupon_cero!$A:$A)-2,1)),[1]!interpolar(H641,OFFSET(Curvas_cupon_cero!$A$1,1,0,COUNT(Curvas_cupon_cero!$A:$A)-2,1),OFFSET(Curvas_cupon_cero!$A$1,1,MATCH($B$7,Curvas_cupon_cero!$1:$1,0)-1,COUNT(Curvas_cupon_cero!$A:$A)-2,1))))</f>
        <v/>
      </c>
      <c r="E641" s="23" t="str">
        <f t="shared" si="58"/>
        <v/>
      </c>
      <c r="F641" s="17" t="str">
        <f t="shared" si="56"/>
        <v/>
      </c>
      <c r="G641" s="18" t="str">
        <f t="shared" si="59"/>
        <v/>
      </c>
      <c r="H641" t="str">
        <f t="shared" si="60"/>
        <v/>
      </c>
      <c r="I641" s="23" t="str">
        <f ca="1">IF(A641="","",IF($B$8="Sí",interpolar_alamb(H641,OFFSET(Curvas_cupon_cero!$A$1,1,0,COUNT(Curvas_cupon_cero!$A:$A)-2,1),OFFSET(Curvas_cupon_cero!$A$1,1,MATCH($B$6,Curvas_cupon_cero!$1:$1,0)-1,COUNT(Curvas_cupon_cero!$A:$A)-2,1)),[1]!interpolar(H641,OFFSET(Curvas_cupon_cero!$A$1,1,0,COUNT(Curvas_cupon_cero!$A:$A)-2,1),OFFSET(Curvas_cupon_cero!$A$1,1,MATCH($B$6,Curvas_cupon_cero!$1:$1,0)-1,COUNT(Curvas_cupon_cero!$A:$A)-2,1))))</f>
        <v/>
      </c>
      <c r="J641" s="19" t="str">
        <f>IF(A641="","",F641/(1+I641*$B$5/360)^(COUNT(A$16:A641)-($B$5-$G$16)/$B$5))</f>
        <v/>
      </c>
    </row>
    <row r="642" spans="1:10" x14ac:dyDescent="0.2">
      <c r="A642" s="12" t="str">
        <f t="shared" si="57"/>
        <v/>
      </c>
      <c r="B642" t="str">
        <f t="shared" si="55"/>
        <v/>
      </c>
      <c r="C642" s="21" t="str">
        <f ca="1">IF(A642="","",IF($B$8="Sí",interpolar_alamb(B642,OFFSET(Curvas_cupon_cero!$A$1,1,0,COUNT(Curvas_cupon_cero!$A:$A)-2,1),OFFSET(Curvas_cupon_cero!$A$1,1,MATCH($B$7,Curvas_cupon_cero!$1:$1,0)-1,COUNT(Curvas_cupon_cero!$A:$A)-2,1)),[1]!interpolar(B642,OFFSET(Curvas_cupon_cero!$A$1,1,0,COUNT(Curvas_cupon_cero!$A:$A)-2,1),OFFSET(Curvas_cupon_cero!$A$1,1,MATCH($B$7,Curvas_cupon_cero!$1:$1,0)-1,COUNT(Curvas_cupon_cero!$A:$A)-2,1))))</f>
        <v/>
      </c>
      <c r="D642" s="23" t="str">
        <f ca="1">IF(A642="","",IF($B$8="Sí",interpolar_alamb(H642,OFFSET(Curvas_cupon_cero!$A$1,1,0,COUNT(Curvas_cupon_cero!$A:$A)-2,1),OFFSET(Curvas_cupon_cero!$A$1,1,MATCH($B$7,Curvas_cupon_cero!$1:$1,0)-1,COUNT(Curvas_cupon_cero!$A:$A)-2,1)),[1]!interpolar(H642,OFFSET(Curvas_cupon_cero!$A$1,1,0,COUNT(Curvas_cupon_cero!$A:$A)-2,1),OFFSET(Curvas_cupon_cero!$A$1,1,MATCH($B$7,Curvas_cupon_cero!$1:$1,0)-1,COUNT(Curvas_cupon_cero!$A:$A)-2,1))))</f>
        <v/>
      </c>
      <c r="E642" s="23" t="str">
        <f t="shared" si="58"/>
        <v/>
      </c>
      <c r="F642" s="17" t="str">
        <f t="shared" si="56"/>
        <v/>
      </c>
      <c r="G642" s="18" t="str">
        <f t="shared" si="59"/>
        <v/>
      </c>
      <c r="H642" t="str">
        <f t="shared" si="60"/>
        <v/>
      </c>
      <c r="I642" s="23" t="str">
        <f ca="1">IF(A642="","",IF($B$8="Sí",interpolar_alamb(H642,OFFSET(Curvas_cupon_cero!$A$1,1,0,COUNT(Curvas_cupon_cero!$A:$A)-2,1),OFFSET(Curvas_cupon_cero!$A$1,1,MATCH($B$6,Curvas_cupon_cero!$1:$1,0)-1,COUNT(Curvas_cupon_cero!$A:$A)-2,1)),[1]!interpolar(H642,OFFSET(Curvas_cupon_cero!$A$1,1,0,COUNT(Curvas_cupon_cero!$A:$A)-2,1),OFFSET(Curvas_cupon_cero!$A$1,1,MATCH($B$6,Curvas_cupon_cero!$1:$1,0)-1,COUNT(Curvas_cupon_cero!$A:$A)-2,1))))</f>
        <v/>
      </c>
      <c r="J642" s="19" t="str">
        <f>IF(A642="","",F642/(1+I642*$B$5/360)^(COUNT(A$16:A642)-($B$5-$G$16)/$B$5))</f>
        <v/>
      </c>
    </row>
    <row r="643" spans="1:10" x14ac:dyDescent="0.2">
      <c r="A643" s="12" t="str">
        <f t="shared" si="57"/>
        <v/>
      </c>
      <c r="B643" t="str">
        <f t="shared" si="55"/>
        <v/>
      </c>
      <c r="C643" s="21" t="str">
        <f ca="1">IF(A643="","",IF($B$8="Sí",interpolar_alamb(B643,OFFSET(Curvas_cupon_cero!$A$1,1,0,COUNT(Curvas_cupon_cero!$A:$A)-2,1),OFFSET(Curvas_cupon_cero!$A$1,1,MATCH($B$7,Curvas_cupon_cero!$1:$1,0)-1,COUNT(Curvas_cupon_cero!$A:$A)-2,1)),[1]!interpolar(B643,OFFSET(Curvas_cupon_cero!$A$1,1,0,COUNT(Curvas_cupon_cero!$A:$A)-2,1),OFFSET(Curvas_cupon_cero!$A$1,1,MATCH($B$7,Curvas_cupon_cero!$1:$1,0)-1,COUNT(Curvas_cupon_cero!$A:$A)-2,1))))</f>
        <v/>
      </c>
      <c r="D643" s="23" t="str">
        <f ca="1">IF(A643="","",IF($B$8="Sí",interpolar_alamb(H643,OFFSET(Curvas_cupon_cero!$A$1,1,0,COUNT(Curvas_cupon_cero!$A:$A)-2,1),OFFSET(Curvas_cupon_cero!$A$1,1,MATCH($B$7,Curvas_cupon_cero!$1:$1,0)-1,COUNT(Curvas_cupon_cero!$A:$A)-2,1)),[1]!interpolar(H643,OFFSET(Curvas_cupon_cero!$A$1,1,0,COUNT(Curvas_cupon_cero!$A:$A)-2,1),OFFSET(Curvas_cupon_cero!$A$1,1,MATCH($B$7,Curvas_cupon_cero!$1:$1,0)-1,COUNT(Curvas_cupon_cero!$A:$A)-2,1))))</f>
        <v/>
      </c>
      <c r="E643" s="23" t="str">
        <f t="shared" si="58"/>
        <v/>
      </c>
      <c r="F643" s="17" t="str">
        <f t="shared" si="56"/>
        <v/>
      </c>
      <c r="G643" s="18" t="str">
        <f t="shared" si="59"/>
        <v/>
      </c>
      <c r="H643" t="str">
        <f t="shared" si="60"/>
        <v/>
      </c>
      <c r="I643" s="23" t="str">
        <f ca="1">IF(A643="","",IF($B$8="Sí",interpolar_alamb(H643,OFFSET(Curvas_cupon_cero!$A$1,1,0,COUNT(Curvas_cupon_cero!$A:$A)-2,1),OFFSET(Curvas_cupon_cero!$A$1,1,MATCH($B$6,Curvas_cupon_cero!$1:$1,0)-1,COUNT(Curvas_cupon_cero!$A:$A)-2,1)),[1]!interpolar(H643,OFFSET(Curvas_cupon_cero!$A$1,1,0,COUNT(Curvas_cupon_cero!$A:$A)-2,1),OFFSET(Curvas_cupon_cero!$A$1,1,MATCH($B$6,Curvas_cupon_cero!$1:$1,0)-1,COUNT(Curvas_cupon_cero!$A:$A)-2,1))))</f>
        <v/>
      </c>
      <c r="J643" s="19" t="str">
        <f>IF(A643="","",F643/(1+I643*$B$5/360)^(COUNT(A$16:A643)-($B$5-$G$16)/$B$5))</f>
        <v/>
      </c>
    </row>
    <row r="644" spans="1:10" x14ac:dyDescent="0.2">
      <c r="A644" s="12" t="str">
        <f t="shared" si="57"/>
        <v/>
      </c>
      <c r="B644" t="str">
        <f t="shared" si="55"/>
        <v/>
      </c>
      <c r="C644" s="21" t="str">
        <f ca="1">IF(A644="","",IF($B$8="Sí",interpolar_alamb(B644,OFFSET(Curvas_cupon_cero!$A$1,1,0,COUNT(Curvas_cupon_cero!$A:$A)-2,1),OFFSET(Curvas_cupon_cero!$A$1,1,MATCH($B$7,Curvas_cupon_cero!$1:$1,0)-1,COUNT(Curvas_cupon_cero!$A:$A)-2,1)),[1]!interpolar(B644,OFFSET(Curvas_cupon_cero!$A$1,1,0,COUNT(Curvas_cupon_cero!$A:$A)-2,1),OFFSET(Curvas_cupon_cero!$A$1,1,MATCH($B$7,Curvas_cupon_cero!$1:$1,0)-1,COUNT(Curvas_cupon_cero!$A:$A)-2,1))))</f>
        <v/>
      </c>
      <c r="D644" s="23" t="str">
        <f ca="1">IF(A644="","",IF($B$8="Sí",interpolar_alamb(H644,OFFSET(Curvas_cupon_cero!$A$1,1,0,COUNT(Curvas_cupon_cero!$A:$A)-2,1),OFFSET(Curvas_cupon_cero!$A$1,1,MATCH($B$7,Curvas_cupon_cero!$1:$1,0)-1,COUNT(Curvas_cupon_cero!$A:$A)-2,1)),[1]!interpolar(H644,OFFSET(Curvas_cupon_cero!$A$1,1,0,COUNT(Curvas_cupon_cero!$A:$A)-2,1),OFFSET(Curvas_cupon_cero!$A$1,1,MATCH($B$7,Curvas_cupon_cero!$1:$1,0)-1,COUNT(Curvas_cupon_cero!$A:$A)-2,1))))</f>
        <v/>
      </c>
      <c r="E644" s="23" t="str">
        <f t="shared" si="58"/>
        <v/>
      </c>
      <c r="F644" s="17" t="str">
        <f t="shared" si="56"/>
        <v/>
      </c>
      <c r="G644" s="18" t="str">
        <f t="shared" si="59"/>
        <v/>
      </c>
      <c r="H644" t="str">
        <f t="shared" si="60"/>
        <v/>
      </c>
      <c r="I644" s="23" t="str">
        <f ca="1">IF(A644="","",IF($B$8="Sí",interpolar_alamb(H644,OFFSET(Curvas_cupon_cero!$A$1,1,0,COUNT(Curvas_cupon_cero!$A:$A)-2,1),OFFSET(Curvas_cupon_cero!$A$1,1,MATCH($B$6,Curvas_cupon_cero!$1:$1,0)-1,COUNT(Curvas_cupon_cero!$A:$A)-2,1)),[1]!interpolar(H644,OFFSET(Curvas_cupon_cero!$A$1,1,0,COUNT(Curvas_cupon_cero!$A:$A)-2,1),OFFSET(Curvas_cupon_cero!$A$1,1,MATCH($B$6,Curvas_cupon_cero!$1:$1,0)-1,COUNT(Curvas_cupon_cero!$A:$A)-2,1))))</f>
        <v/>
      </c>
      <c r="J644" s="19" t="str">
        <f>IF(A644="","",F644/(1+I644*$B$5/360)^(COUNT(A$16:A644)-($B$5-$G$16)/$B$5))</f>
        <v/>
      </c>
    </row>
    <row r="645" spans="1:10" x14ac:dyDescent="0.2">
      <c r="A645" s="12" t="str">
        <f t="shared" si="57"/>
        <v/>
      </c>
      <c r="B645" t="str">
        <f t="shared" si="55"/>
        <v/>
      </c>
      <c r="C645" s="21" t="str">
        <f ca="1">IF(A645="","",IF($B$8="Sí",interpolar_alamb(B645,OFFSET(Curvas_cupon_cero!$A$1,1,0,COUNT(Curvas_cupon_cero!$A:$A)-2,1),OFFSET(Curvas_cupon_cero!$A$1,1,MATCH($B$7,Curvas_cupon_cero!$1:$1,0)-1,COUNT(Curvas_cupon_cero!$A:$A)-2,1)),[1]!interpolar(B645,OFFSET(Curvas_cupon_cero!$A$1,1,0,COUNT(Curvas_cupon_cero!$A:$A)-2,1),OFFSET(Curvas_cupon_cero!$A$1,1,MATCH($B$7,Curvas_cupon_cero!$1:$1,0)-1,COUNT(Curvas_cupon_cero!$A:$A)-2,1))))</f>
        <v/>
      </c>
      <c r="D645" s="23" t="str">
        <f ca="1">IF(A645="","",IF($B$8="Sí",interpolar_alamb(H645,OFFSET(Curvas_cupon_cero!$A$1,1,0,COUNT(Curvas_cupon_cero!$A:$A)-2,1),OFFSET(Curvas_cupon_cero!$A$1,1,MATCH($B$7,Curvas_cupon_cero!$1:$1,0)-1,COUNT(Curvas_cupon_cero!$A:$A)-2,1)),[1]!interpolar(H645,OFFSET(Curvas_cupon_cero!$A$1,1,0,COUNT(Curvas_cupon_cero!$A:$A)-2,1),OFFSET(Curvas_cupon_cero!$A$1,1,MATCH($B$7,Curvas_cupon_cero!$1:$1,0)-1,COUNT(Curvas_cupon_cero!$A:$A)-2,1))))</f>
        <v/>
      </c>
      <c r="E645" s="23" t="str">
        <f t="shared" si="58"/>
        <v/>
      </c>
      <c r="F645" s="17" t="str">
        <f t="shared" si="56"/>
        <v/>
      </c>
      <c r="G645" s="18" t="str">
        <f t="shared" si="59"/>
        <v/>
      </c>
      <c r="H645" t="str">
        <f t="shared" si="60"/>
        <v/>
      </c>
      <c r="I645" s="23" t="str">
        <f ca="1">IF(A645="","",IF($B$8="Sí",interpolar_alamb(H645,OFFSET(Curvas_cupon_cero!$A$1,1,0,COUNT(Curvas_cupon_cero!$A:$A)-2,1),OFFSET(Curvas_cupon_cero!$A$1,1,MATCH($B$6,Curvas_cupon_cero!$1:$1,0)-1,COUNT(Curvas_cupon_cero!$A:$A)-2,1)),[1]!interpolar(H645,OFFSET(Curvas_cupon_cero!$A$1,1,0,COUNT(Curvas_cupon_cero!$A:$A)-2,1),OFFSET(Curvas_cupon_cero!$A$1,1,MATCH($B$6,Curvas_cupon_cero!$1:$1,0)-1,COUNT(Curvas_cupon_cero!$A:$A)-2,1))))</f>
        <v/>
      </c>
      <c r="J645" s="19" t="str">
        <f>IF(A645="","",F645/(1+I645*$B$5/360)^(COUNT(A$16:A645)-($B$5-$G$16)/$B$5))</f>
        <v/>
      </c>
    </row>
    <row r="646" spans="1:10" x14ac:dyDescent="0.2">
      <c r="A646" s="12" t="str">
        <f t="shared" si="57"/>
        <v/>
      </c>
      <c r="B646" t="str">
        <f t="shared" si="55"/>
        <v/>
      </c>
      <c r="C646" s="21" t="str">
        <f ca="1">IF(A646="","",IF($B$8="Sí",interpolar_alamb(B646,OFFSET(Curvas_cupon_cero!$A$1,1,0,COUNT(Curvas_cupon_cero!$A:$A)-2,1),OFFSET(Curvas_cupon_cero!$A$1,1,MATCH($B$7,Curvas_cupon_cero!$1:$1,0)-1,COUNT(Curvas_cupon_cero!$A:$A)-2,1)),[1]!interpolar(B646,OFFSET(Curvas_cupon_cero!$A$1,1,0,COUNT(Curvas_cupon_cero!$A:$A)-2,1),OFFSET(Curvas_cupon_cero!$A$1,1,MATCH($B$7,Curvas_cupon_cero!$1:$1,0)-1,COUNT(Curvas_cupon_cero!$A:$A)-2,1))))</f>
        <v/>
      </c>
      <c r="D646" s="23" t="str">
        <f ca="1">IF(A646="","",IF($B$8="Sí",interpolar_alamb(H646,OFFSET(Curvas_cupon_cero!$A$1,1,0,COUNT(Curvas_cupon_cero!$A:$A)-2,1),OFFSET(Curvas_cupon_cero!$A$1,1,MATCH($B$7,Curvas_cupon_cero!$1:$1,0)-1,COUNT(Curvas_cupon_cero!$A:$A)-2,1)),[1]!interpolar(H646,OFFSET(Curvas_cupon_cero!$A$1,1,0,COUNT(Curvas_cupon_cero!$A:$A)-2,1),OFFSET(Curvas_cupon_cero!$A$1,1,MATCH($B$7,Curvas_cupon_cero!$1:$1,0)-1,COUNT(Curvas_cupon_cero!$A:$A)-2,1))))</f>
        <v/>
      </c>
      <c r="E646" s="23" t="str">
        <f t="shared" si="58"/>
        <v/>
      </c>
      <c r="F646" s="17" t="str">
        <f t="shared" si="56"/>
        <v/>
      </c>
      <c r="G646" s="18" t="str">
        <f t="shared" si="59"/>
        <v/>
      </c>
      <c r="H646" t="str">
        <f t="shared" si="60"/>
        <v/>
      </c>
      <c r="I646" s="23" t="str">
        <f ca="1">IF(A646="","",IF($B$8="Sí",interpolar_alamb(H646,OFFSET(Curvas_cupon_cero!$A$1,1,0,COUNT(Curvas_cupon_cero!$A:$A)-2,1),OFFSET(Curvas_cupon_cero!$A$1,1,MATCH($B$6,Curvas_cupon_cero!$1:$1,0)-1,COUNT(Curvas_cupon_cero!$A:$A)-2,1)),[1]!interpolar(H646,OFFSET(Curvas_cupon_cero!$A$1,1,0,COUNT(Curvas_cupon_cero!$A:$A)-2,1),OFFSET(Curvas_cupon_cero!$A$1,1,MATCH($B$6,Curvas_cupon_cero!$1:$1,0)-1,COUNT(Curvas_cupon_cero!$A:$A)-2,1))))</f>
        <v/>
      </c>
      <c r="J646" s="19" t="str">
        <f>IF(A646="","",F646/(1+I646*$B$5/360)^(COUNT(A$16:A646)-($B$5-$G$16)/$B$5))</f>
        <v/>
      </c>
    </row>
    <row r="647" spans="1:10" x14ac:dyDescent="0.2">
      <c r="A647" s="12" t="str">
        <f t="shared" si="57"/>
        <v/>
      </c>
      <c r="B647" t="str">
        <f t="shared" si="55"/>
        <v/>
      </c>
      <c r="C647" s="21" t="str">
        <f ca="1">IF(A647="","",IF($B$8="Sí",interpolar_alamb(B647,OFFSET(Curvas_cupon_cero!$A$1,1,0,COUNT(Curvas_cupon_cero!$A:$A)-2,1),OFFSET(Curvas_cupon_cero!$A$1,1,MATCH($B$7,Curvas_cupon_cero!$1:$1,0)-1,COUNT(Curvas_cupon_cero!$A:$A)-2,1)),[1]!interpolar(B647,OFFSET(Curvas_cupon_cero!$A$1,1,0,COUNT(Curvas_cupon_cero!$A:$A)-2,1),OFFSET(Curvas_cupon_cero!$A$1,1,MATCH($B$7,Curvas_cupon_cero!$1:$1,0)-1,COUNT(Curvas_cupon_cero!$A:$A)-2,1))))</f>
        <v/>
      </c>
      <c r="D647" s="23" t="str">
        <f ca="1">IF(A647="","",IF($B$8="Sí",interpolar_alamb(H647,OFFSET(Curvas_cupon_cero!$A$1,1,0,COUNT(Curvas_cupon_cero!$A:$A)-2,1),OFFSET(Curvas_cupon_cero!$A$1,1,MATCH($B$7,Curvas_cupon_cero!$1:$1,0)-1,COUNT(Curvas_cupon_cero!$A:$A)-2,1)),[1]!interpolar(H647,OFFSET(Curvas_cupon_cero!$A$1,1,0,COUNT(Curvas_cupon_cero!$A:$A)-2,1),OFFSET(Curvas_cupon_cero!$A$1,1,MATCH($B$7,Curvas_cupon_cero!$1:$1,0)-1,COUNT(Curvas_cupon_cero!$A:$A)-2,1))))</f>
        <v/>
      </c>
      <c r="E647" s="23" t="str">
        <f t="shared" si="58"/>
        <v/>
      </c>
      <c r="F647" s="17" t="str">
        <f t="shared" si="56"/>
        <v/>
      </c>
      <c r="G647" s="18" t="str">
        <f t="shared" si="59"/>
        <v/>
      </c>
      <c r="H647" t="str">
        <f t="shared" si="60"/>
        <v/>
      </c>
      <c r="I647" s="23" t="str">
        <f ca="1">IF(A647="","",IF($B$8="Sí",interpolar_alamb(H647,OFFSET(Curvas_cupon_cero!$A$1,1,0,COUNT(Curvas_cupon_cero!$A:$A)-2,1),OFFSET(Curvas_cupon_cero!$A$1,1,MATCH($B$6,Curvas_cupon_cero!$1:$1,0)-1,COUNT(Curvas_cupon_cero!$A:$A)-2,1)),[1]!interpolar(H647,OFFSET(Curvas_cupon_cero!$A$1,1,0,COUNT(Curvas_cupon_cero!$A:$A)-2,1),OFFSET(Curvas_cupon_cero!$A$1,1,MATCH($B$6,Curvas_cupon_cero!$1:$1,0)-1,COUNT(Curvas_cupon_cero!$A:$A)-2,1))))</f>
        <v/>
      </c>
      <c r="J647" s="19" t="str">
        <f>IF(A647="","",F647/(1+I647*$B$5/360)^(COUNT(A$16:A647)-($B$5-$G$16)/$B$5))</f>
        <v/>
      </c>
    </row>
    <row r="648" spans="1:10" x14ac:dyDescent="0.2">
      <c r="A648" s="12" t="str">
        <f t="shared" si="57"/>
        <v/>
      </c>
      <c r="B648" t="str">
        <f t="shared" si="55"/>
        <v/>
      </c>
      <c r="C648" s="21" t="str">
        <f ca="1">IF(A648="","",IF($B$8="Sí",interpolar_alamb(B648,OFFSET(Curvas_cupon_cero!$A$1,1,0,COUNT(Curvas_cupon_cero!$A:$A)-2,1),OFFSET(Curvas_cupon_cero!$A$1,1,MATCH($B$7,Curvas_cupon_cero!$1:$1,0)-1,COUNT(Curvas_cupon_cero!$A:$A)-2,1)),[1]!interpolar(B648,OFFSET(Curvas_cupon_cero!$A$1,1,0,COUNT(Curvas_cupon_cero!$A:$A)-2,1),OFFSET(Curvas_cupon_cero!$A$1,1,MATCH($B$7,Curvas_cupon_cero!$1:$1,0)-1,COUNT(Curvas_cupon_cero!$A:$A)-2,1))))</f>
        <v/>
      </c>
      <c r="D648" s="23" t="str">
        <f ca="1">IF(A648="","",IF($B$8="Sí",interpolar_alamb(H648,OFFSET(Curvas_cupon_cero!$A$1,1,0,COUNT(Curvas_cupon_cero!$A:$A)-2,1),OFFSET(Curvas_cupon_cero!$A$1,1,MATCH($B$7,Curvas_cupon_cero!$1:$1,0)-1,COUNT(Curvas_cupon_cero!$A:$A)-2,1)),[1]!interpolar(H648,OFFSET(Curvas_cupon_cero!$A$1,1,0,COUNT(Curvas_cupon_cero!$A:$A)-2,1),OFFSET(Curvas_cupon_cero!$A$1,1,MATCH($B$7,Curvas_cupon_cero!$1:$1,0)-1,COUNT(Curvas_cupon_cero!$A:$A)-2,1))))</f>
        <v/>
      </c>
      <c r="E648" s="23" t="str">
        <f t="shared" si="58"/>
        <v/>
      </c>
      <c r="F648" s="17" t="str">
        <f t="shared" si="56"/>
        <v/>
      </c>
      <c r="G648" s="18" t="str">
        <f t="shared" si="59"/>
        <v/>
      </c>
      <c r="H648" t="str">
        <f t="shared" si="60"/>
        <v/>
      </c>
      <c r="I648" s="23" t="str">
        <f ca="1">IF(A648="","",IF($B$8="Sí",interpolar_alamb(H648,OFFSET(Curvas_cupon_cero!$A$1,1,0,COUNT(Curvas_cupon_cero!$A:$A)-2,1),OFFSET(Curvas_cupon_cero!$A$1,1,MATCH($B$6,Curvas_cupon_cero!$1:$1,0)-1,COUNT(Curvas_cupon_cero!$A:$A)-2,1)),[1]!interpolar(H648,OFFSET(Curvas_cupon_cero!$A$1,1,0,COUNT(Curvas_cupon_cero!$A:$A)-2,1),OFFSET(Curvas_cupon_cero!$A$1,1,MATCH($B$6,Curvas_cupon_cero!$1:$1,0)-1,COUNT(Curvas_cupon_cero!$A:$A)-2,1))))</f>
        <v/>
      </c>
      <c r="J648" s="19" t="str">
        <f>IF(A648="","",F648/(1+I648*$B$5/360)^(COUNT(A$16:A648)-($B$5-$G$16)/$B$5))</f>
        <v/>
      </c>
    </row>
    <row r="649" spans="1:10" x14ac:dyDescent="0.2">
      <c r="A649" s="12" t="str">
        <f t="shared" si="57"/>
        <v/>
      </c>
      <c r="B649" t="str">
        <f t="shared" si="55"/>
        <v/>
      </c>
      <c r="C649" s="21" t="str">
        <f ca="1">IF(A649="","",IF($B$8="Sí",interpolar_alamb(B649,OFFSET(Curvas_cupon_cero!$A$1,1,0,COUNT(Curvas_cupon_cero!$A:$A)-2,1),OFFSET(Curvas_cupon_cero!$A$1,1,MATCH($B$7,Curvas_cupon_cero!$1:$1,0)-1,COUNT(Curvas_cupon_cero!$A:$A)-2,1)),[1]!interpolar(B649,OFFSET(Curvas_cupon_cero!$A$1,1,0,COUNT(Curvas_cupon_cero!$A:$A)-2,1),OFFSET(Curvas_cupon_cero!$A$1,1,MATCH($B$7,Curvas_cupon_cero!$1:$1,0)-1,COUNT(Curvas_cupon_cero!$A:$A)-2,1))))</f>
        <v/>
      </c>
      <c r="D649" s="23" t="str">
        <f ca="1">IF(A649="","",IF($B$8="Sí",interpolar_alamb(H649,OFFSET(Curvas_cupon_cero!$A$1,1,0,COUNT(Curvas_cupon_cero!$A:$A)-2,1),OFFSET(Curvas_cupon_cero!$A$1,1,MATCH($B$7,Curvas_cupon_cero!$1:$1,0)-1,COUNT(Curvas_cupon_cero!$A:$A)-2,1)),[1]!interpolar(H649,OFFSET(Curvas_cupon_cero!$A$1,1,0,COUNT(Curvas_cupon_cero!$A:$A)-2,1),OFFSET(Curvas_cupon_cero!$A$1,1,MATCH($B$7,Curvas_cupon_cero!$1:$1,0)-1,COUNT(Curvas_cupon_cero!$A:$A)-2,1))))</f>
        <v/>
      </c>
      <c r="E649" s="23" t="str">
        <f t="shared" si="58"/>
        <v/>
      </c>
      <c r="F649" s="17" t="str">
        <f t="shared" si="56"/>
        <v/>
      </c>
      <c r="G649" s="18" t="str">
        <f t="shared" si="59"/>
        <v/>
      </c>
      <c r="H649" t="str">
        <f t="shared" si="60"/>
        <v/>
      </c>
      <c r="I649" s="23" t="str">
        <f ca="1">IF(A649="","",IF($B$8="Sí",interpolar_alamb(H649,OFFSET(Curvas_cupon_cero!$A$1,1,0,COUNT(Curvas_cupon_cero!$A:$A)-2,1),OFFSET(Curvas_cupon_cero!$A$1,1,MATCH($B$6,Curvas_cupon_cero!$1:$1,0)-1,COUNT(Curvas_cupon_cero!$A:$A)-2,1)),[1]!interpolar(H649,OFFSET(Curvas_cupon_cero!$A$1,1,0,COUNT(Curvas_cupon_cero!$A:$A)-2,1),OFFSET(Curvas_cupon_cero!$A$1,1,MATCH($B$6,Curvas_cupon_cero!$1:$1,0)-1,COUNT(Curvas_cupon_cero!$A:$A)-2,1))))</f>
        <v/>
      </c>
      <c r="J649" s="19" t="str">
        <f>IF(A649="","",F649/(1+I649*$B$5/360)^(COUNT(A$16:A649)-($B$5-$G$16)/$B$5))</f>
        <v/>
      </c>
    </row>
    <row r="650" spans="1:10" x14ac:dyDescent="0.2">
      <c r="A650" s="12" t="str">
        <f t="shared" si="57"/>
        <v/>
      </c>
      <c r="B650" t="str">
        <f t="shared" si="55"/>
        <v/>
      </c>
      <c r="C650" s="21" t="str">
        <f ca="1">IF(A650="","",IF($B$8="Sí",interpolar_alamb(B650,OFFSET(Curvas_cupon_cero!$A$1,1,0,COUNT(Curvas_cupon_cero!$A:$A)-2,1),OFFSET(Curvas_cupon_cero!$A$1,1,MATCH($B$7,Curvas_cupon_cero!$1:$1,0)-1,COUNT(Curvas_cupon_cero!$A:$A)-2,1)),[1]!interpolar(B650,OFFSET(Curvas_cupon_cero!$A$1,1,0,COUNT(Curvas_cupon_cero!$A:$A)-2,1),OFFSET(Curvas_cupon_cero!$A$1,1,MATCH($B$7,Curvas_cupon_cero!$1:$1,0)-1,COUNT(Curvas_cupon_cero!$A:$A)-2,1))))</f>
        <v/>
      </c>
      <c r="D650" s="23" t="str">
        <f ca="1">IF(A650="","",IF($B$8="Sí",interpolar_alamb(H650,OFFSET(Curvas_cupon_cero!$A$1,1,0,COUNT(Curvas_cupon_cero!$A:$A)-2,1),OFFSET(Curvas_cupon_cero!$A$1,1,MATCH($B$7,Curvas_cupon_cero!$1:$1,0)-1,COUNT(Curvas_cupon_cero!$A:$A)-2,1)),[1]!interpolar(H650,OFFSET(Curvas_cupon_cero!$A$1,1,0,COUNT(Curvas_cupon_cero!$A:$A)-2,1),OFFSET(Curvas_cupon_cero!$A$1,1,MATCH($B$7,Curvas_cupon_cero!$1:$1,0)-1,COUNT(Curvas_cupon_cero!$A:$A)-2,1))))</f>
        <v/>
      </c>
      <c r="E650" s="23" t="str">
        <f t="shared" si="58"/>
        <v/>
      </c>
      <c r="F650" s="17" t="str">
        <f t="shared" si="56"/>
        <v/>
      </c>
      <c r="G650" s="18" t="str">
        <f t="shared" si="59"/>
        <v/>
      </c>
      <c r="H650" t="str">
        <f t="shared" si="60"/>
        <v/>
      </c>
      <c r="I650" s="23" t="str">
        <f ca="1">IF(A650="","",IF($B$8="Sí",interpolar_alamb(H650,OFFSET(Curvas_cupon_cero!$A$1,1,0,COUNT(Curvas_cupon_cero!$A:$A)-2,1),OFFSET(Curvas_cupon_cero!$A$1,1,MATCH($B$6,Curvas_cupon_cero!$1:$1,0)-1,COUNT(Curvas_cupon_cero!$A:$A)-2,1)),[1]!interpolar(H650,OFFSET(Curvas_cupon_cero!$A$1,1,0,COUNT(Curvas_cupon_cero!$A:$A)-2,1),OFFSET(Curvas_cupon_cero!$A$1,1,MATCH($B$6,Curvas_cupon_cero!$1:$1,0)-1,COUNT(Curvas_cupon_cero!$A:$A)-2,1))))</f>
        <v/>
      </c>
      <c r="J650" s="19" t="str">
        <f>IF(A650="","",F650/(1+I650*$B$5/360)^(COUNT(A$16:A650)-($B$5-$G$16)/$B$5))</f>
        <v/>
      </c>
    </row>
    <row r="651" spans="1:10" x14ac:dyDescent="0.2">
      <c r="A651" s="12" t="str">
        <f t="shared" si="57"/>
        <v/>
      </c>
      <c r="B651" t="str">
        <f t="shared" si="55"/>
        <v/>
      </c>
      <c r="C651" s="21" t="str">
        <f ca="1">IF(A651="","",IF($B$8="Sí",interpolar_alamb(B651,OFFSET(Curvas_cupon_cero!$A$1,1,0,COUNT(Curvas_cupon_cero!$A:$A)-2,1),OFFSET(Curvas_cupon_cero!$A$1,1,MATCH($B$7,Curvas_cupon_cero!$1:$1,0)-1,COUNT(Curvas_cupon_cero!$A:$A)-2,1)),[1]!interpolar(B651,OFFSET(Curvas_cupon_cero!$A$1,1,0,COUNT(Curvas_cupon_cero!$A:$A)-2,1),OFFSET(Curvas_cupon_cero!$A$1,1,MATCH($B$7,Curvas_cupon_cero!$1:$1,0)-1,COUNT(Curvas_cupon_cero!$A:$A)-2,1))))</f>
        <v/>
      </c>
      <c r="D651" s="23" t="str">
        <f ca="1">IF(A651="","",IF($B$8="Sí",interpolar_alamb(H651,OFFSET(Curvas_cupon_cero!$A$1,1,0,COUNT(Curvas_cupon_cero!$A:$A)-2,1),OFFSET(Curvas_cupon_cero!$A$1,1,MATCH($B$7,Curvas_cupon_cero!$1:$1,0)-1,COUNT(Curvas_cupon_cero!$A:$A)-2,1)),[1]!interpolar(H651,OFFSET(Curvas_cupon_cero!$A$1,1,0,COUNT(Curvas_cupon_cero!$A:$A)-2,1),OFFSET(Curvas_cupon_cero!$A$1,1,MATCH($B$7,Curvas_cupon_cero!$1:$1,0)-1,COUNT(Curvas_cupon_cero!$A:$A)-2,1))))</f>
        <v/>
      </c>
      <c r="E651" s="23" t="str">
        <f t="shared" si="58"/>
        <v/>
      </c>
      <c r="F651" s="17" t="str">
        <f t="shared" si="56"/>
        <v/>
      </c>
      <c r="G651" s="18" t="str">
        <f t="shared" si="59"/>
        <v/>
      </c>
      <c r="H651" t="str">
        <f t="shared" si="60"/>
        <v/>
      </c>
      <c r="I651" s="23" t="str">
        <f ca="1">IF(A651="","",IF($B$8="Sí",interpolar_alamb(H651,OFFSET(Curvas_cupon_cero!$A$1,1,0,COUNT(Curvas_cupon_cero!$A:$A)-2,1),OFFSET(Curvas_cupon_cero!$A$1,1,MATCH($B$6,Curvas_cupon_cero!$1:$1,0)-1,COUNT(Curvas_cupon_cero!$A:$A)-2,1)),[1]!interpolar(H651,OFFSET(Curvas_cupon_cero!$A$1,1,0,COUNT(Curvas_cupon_cero!$A:$A)-2,1),OFFSET(Curvas_cupon_cero!$A$1,1,MATCH($B$6,Curvas_cupon_cero!$1:$1,0)-1,COUNT(Curvas_cupon_cero!$A:$A)-2,1))))</f>
        <v/>
      </c>
      <c r="J651" s="19" t="str">
        <f>IF(A651="","",F651/(1+I651*$B$5/360)^(COUNT(A$16:A651)-($B$5-$G$16)/$B$5))</f>
        <v/>
      </c>
    </row>
    <row r="652" spans="1:10" x14ac:dyDescent="0.2">
      <c r="A652" s="12" t="str">
        <f t="shared" si="57"/>
        <v/>
      </c>
      <c r="B652" t="str">
        <f t="shared" si="55"/>
        <v/>
      </c>
      <c r="C652" s="21" t="str">
        <f ca="1">IF(A652="","",IF($B$8="Sí",interpolar_alamb(B652,OFFSET(Curvas_cupon_cero!$A$1,1,0,COUNT(Curvas_cupon_cero!$A:$A)-2,1),OFFSET(Curvas_cupon_cero!$A$1,1,MATCH($B$7,Curvas_cupon_cero!$1:$1,0)-1,COUNT(Curvas_cupon_cero!$A:$A)-2,1)),[1]!interpolar(B652,OFFSET(Curvas_cupon_cero!$A$1,1,0,COUNT(Curvas_cupon_cero!$A:$A)-2,1),OFFSET(Curvas_cupon_cero!$A$1,1,MATCH($B$7,Curvas_cupon_cero!$1:$1,0)-1,COUNT(Curvas_cupon_cero!$A:$A)-2,1))))</f>
        <v/>
      </c>
      <c r="D652" s="23" t="str">
        <f ca="1">IF(A652="","",IF($B$8="Sí",interpolar_alamb(H652,OFFSET(Curvas_cupon_cero!$A$1,1,0,COUNT(Curvas_cupon_cero!$A:$A)-2,1),OFFSET(Curvas_cupon_cero!$A$1,1,MATCH($B$7,Curvas_cupon_cero!$1:$1,0)-1,COUNT(Curvas_cupon_cero!$A:$A)-2,1)),[1]!interpolar(H652,OFFSET(Curvas_cupon_cero!$A$1,1,0,COUNT(Curvas_cupon_cero!$A:$A)-2,1),OFFSET(Curvas_cupon_cero!$A$1,1,MATCH($B$7,Curvas_cupon_cero!$1:$1,0)-1,COUNT(Curvas_cupon_cero!$A:$A)-2,1))))</f>
        <v/>
      </c>
      <c r="E652" s="23" t="str">
        <f t="shared" si="58"/>
        <v/>
      </c>
      <c r="F652" s="17" t="str">
        <f t="shared" si="56"/>
        <v/>
      </c>
      <c r="G652" s="18" t="str">
        <f t="shared" si="59"/>
        <v/>
      </c>
      <c r="H652" t="str">
        <f t="shared" si="60"/>
        <v/>
      </c>
      <c r="I652" s="23" t="str">
        <f ca="1">IF(A652="","",IF($B$8="Sí",interpolar_alamb(H652,OFFSET(Curvas_cupon_cero!$A$1,1,0,COUNT(Curvas_cupon_cero!$A:$A)-2,1),OFFSET(Curvas_cupon_cero!$A$1,1,MATCH($B$6,Curvas_cupon_cero!$1:$1,0)-1,COUNT(Curvas_cupon_cero!$A:$A)-2,1)),[1]!interpolar(H652,OFFSET(Curvas_cupon_cero!$A$1,1,0,COUNT(Curvas_cupon_cero!$A:$A)-2,1),OFFSET(Curvas_cupon_cero!$A$1,1,MATCH($B$6,Curvas_cupon_cero!$1:$1,0)-1,COUNT(Curvas_cupon_cero!$A:$A)-2,1))))</f>
        <v/>
      </c>
      <c r="J652" s="19" t="str">
        <f>IF(A652="","",F652/(1+I652*$B$5/360)^(COUNT(A$16:A652)-($B$5-$G$16)/$B$5))</f>
        <v/>
      </c>
    </row>
    <row r="653" spans="1:10" x14ac:dyDescent="0.2">
      <c r="A653" s="12" t="str">
        <f t="shared" si="57"/>
        <v/>
      </c>
      <c r="B653" t="str">
        <f t="shared" si="55"/>
        <v/>
      </c>
      <c r="C653" s="21" t="str">
        <f ca="1">IF(A653="","",IF($B$8="Sí",interpolar_alamb(B653,OFFSET(Curvas_cupon_cero!$A$1,1,0,COUNT(Curvas_cupon_cero!$A:$A)-2,1),OFFSET(Curvas_cupon_cero!$A$1,1,MATCH($B$7,Curvas_cupon_cero!$1:$1,0)-1,COUNT(Curvas_cupon_cero!$A:$A)-2,1)),[1]!interpolar(B653,OFFSET(Curvas_cupon_cero!$A$1,1,0,COUNT(Curvas_cupon_cero!$A:$A)-2,1),OFFSET(Curvas_cupon_cero!$A$1,1,MATCH($B$7,Curvas_cupon_cero!$1:$1,0)-1,COUNT(Curvas_cupon_cero!$A:$A)-2,1))))</f>
        <v/>
      </c>
      <c r="D653" s="23" t="str">
        <f ca="1">IF(A653="","",IF($B$8="Sí",interpolar_alamb(H653,OFFSET(Curvas_cupon_cero!$A$1,1,0,COUNT(Curvas_cupon_cero!$A:$A)-2,1),OFFSET(Curvas_cupon_cero!$A$1,1,MATCH($B$7,Curvas_cupon_cero!$1:$1,0)-1,COUNT(Curvas_cupon_cero!$A:$A)-2,1)),[1]!interpolar(H653,OFFSET(Curvas_cupon_cero!$A$1,1,0,COUNT(Curvas_cupon_cero!$A:$A)-2,1),OFFSET(Curvas_cupon_cero!$A$1,1,MATCH($B$7,Curvas_cupon_cero!$1:$1,0)-1,COUNT(Curvas_cupon_cero!$A:$A)-2,1))))</f>
        <v/>
      </c>
      <c r="E653" s="23" t="str">
        <f t="shared" si="58"/>
        <v/>
      </c>
      <c r="F653" s="17" t="str">
        <f t="shared" si="56"/>
        <v/>
      </c>
      <c r="G653" s="18" t="str">
        <f t="shared" si="59"/>
        <v/>
      </c>
      <c r="H653" t="str">
        <f t="shared" si="60"/>
        <v/>
      </c>
      <c r="I653" s="23" t="str">
        <f ca="1">IF(A653="","",IF($B$8="Sí",interpolar_alamb(H653,OFFSET(Curvas_cupon_cero!$A$1,1,0,COUNT(Curvas_cupon_cero!$A:$A)-2,1),OFFSET(Curvas_cupon_cero!$A$1,1,MATCH($B$6,Curvas_cupon_cero!$1:$1,0)-1,COUNT(Curvas_cupon_cero!$A:$A)-2,1)),[1]!interpolar(H653,OFFSET(Curvas_cupon_cero!$A$1,1,0,COUNT(Curvas_cupon_cero!$A:$A)-2,1),OFFSET(Curvas_cupon_cero!$A$1,1,MATCH($B$6,Curvas_cupon_cero!$1:$1,0)-1,COUNT(Curvas_cupon_cero!$A:$A)-2,1))))</f>
        <v/>
      </c>
      <c r="J653" s="19" t="str">
        <f>IF(A653="","",F653/(1+I653*$B$5/360)^(COUNT(A$16:A653)-($B$5-$G$16)/$B$5))</f>
        <v/>
      </c>
    </row>
    <row r="654" spans="1:10" x14ac:dyDescent="0.2">
      <c r="A654" s="12" t="str">
        <f t="shared" si="57"/>
        <v/>
      </c>
      <c r="B654" t="str">
        <f t="shared" ref="B654:B687" si="61">IF(A654="","",MAX(H654-$B$5,0))</f>
        <v/>
      </c>
      <c r="C654" s="21" t="str">
        <f ca="1">IF(A654="","",IF($B$8="Sí",interpolar_alamb(B654,OFFSET(Curvas_cupon_cero!$A$1,1,0,COUNT(Curvas_cupon_cero!$A:$A)-2,1),OFFSET(Curvas_cupon_cero!$A$1,1,MATCH($B$7,Curvas_cupon_cero!$1:$1,0)-1,COUNT(Curvas_cupon_cero!$A:$A)-2,1)),[1]!interpolar(B654,OFFSET(Curvas_cupon_cero!$A$1,1,0,COUNT(Curvas_cupon_cero!$A:$A)-2,1),OFFSET(Curvas_cupon_cero!$A$1,1,MATCH($B$7,Curvas_cupon_cero!$1:$1,0)-1,COUNT(Curvas_cupon_cero!$A:$A)-2,1))))</f>
        <v/>
      </c>
      <c r="D654" s="23" t="str">
        <f ca="1">IF(A654="","",IF($B$8="Sí",interpolar_alamb(H654,OFFSET(Curvas_cupon_cero!$A$1,1,0,COUNT(Curvas_cupon_cero!$A:$A)-2,1),OFFSET(Curvas_cupon_cero!$A$1,1,MATCH($B$7,Curvas_cupon_cero!$1:$1,0)-1,COUNT(Curvas_cupon_cero!$A:$A)-2,1)),[1]!interpolar(H654,OFFSET(Curvas_cupon_cero!$A$1,1,0,COUNT(Curvas_cupon_cero!$A:$A)-2,1),OFFSET(Curvas_cupon_cero!$A$1,1,MATCH($B$7,Curvas_cupon_cero!$1:$1,0)-1,COUNT(Curvas_cupon_cero!$A:$A)-2,1))))</f>
        <v/>
      </c>
      <c r="E654" s="23" t="str">
        <f t="shared" si="58"/>
        <v/>
      </c>
      <c r="F654" s="17" t="str">
        <f t="shared" ref="F654:F687" si="62">IF(A654="","",IF(A654=$B$4,$B$1*$B$2+E654*$B$5/360*$B$1*$B$2, E654*$B$5/360*$B$1*$B$2))</f>
        <v/>
      </c>
      <c r="G654" s="18" t="str">
        <f t="shared" si="59"/>
        <v/>
      </c>
      <c r="H654" t="str">
        <f t="shared" si="60"/>
        <v/>
      </c>
      <c r="I654" s="23" t="str">
        <f ca="1">IF(A654="","",IF($B$8="Sí",interpolar_alamb(H654,OFFSET(Curvas_cupon_cero!$A$1,1,0,COUNT(Curvas_cupon_cero!$A:$A)-2,1),OFFSET(Curvas_cupon_cero!$A$1,1,MATCH($B$6,Curvas_cupon_cero!$1:$1,0)-1,COUNT(Curvas_cupon_cero!$A:$A)-2,1)),[1]!interpolar(H654,OFFSET(Curvas_cupon_cero!$A$1,1,0,COUNT(Curvas_cupon_cero!$A:$A)-2,1),OFFSET(Curvas_cupon_cero!$A$1,1,MATCH($B$6,Curvas_cupon_cero!$1:$1,0)-1,COUNT(Curvas_cupon_cero!$A:$A)-2,1))))</f>
        <v/>
      </c>
      <c r="J654" s="19" t="str">
        <f>IF(A654="","",F654/(1+I654*$B$5/360)^(COUNT(A$16:A654)-($B$5-$G$16)/$B$5))</f>
        <v/>
      </c>
    </row>
    <row r="655" spans="1:10" x14ac:dyDescent="0.2">
      <c r="A655" s="12" t="str">
        <f t="shared" ref="A655:A687" si="63">IF(A654="","",IF((A654+$B$5)&gt;$B$4,"",(A654+$B$5)))</f>
        <v/>
      </c>
      <c r="B655" t="str">
        <f t="shared" si="61"/>
        <v/>
      </c>
      <c r="C655" s="21" t="str">
        <f ca="1">IF(A655="","",IF($B$8="Sí",interpolar_alamb(B655,OFFSET(Curvas_cupon_cero!$A$1,1,0,COUNT(Curvas_cupon_cero!$A:$A)-2,1),OFFSET(Curvas_cupon_cero!$A$1,1,MATCH($B$7,Curvas_cupon_cero!$1:$1,0)-1,COUNT(Curvas_cupon_cero!$A:$A)-2,1)),[1]!interpolar(B655,OFFSET(Curvas_cupon_cero!$A$1,1,0,COUNT(Curvas_cupon_cero!$A:$A)-2,1),OFFSET(Curvas_cupon_cero!$A$1,1,MATCH($B$7,Curvas_cupon_cero!$1:$1,0)-1,COUNT(Curvas_cupon_cero!$A:$A)-2,1))))</f>
        <v/>
      </c>
      <c r="D655" s="23" t="str">
        <f ca="1">IF(A655="","",IF($B$8="Sí",interpolar_alamb(H655,OFFSET(Curvas_cupon_cero!$A$1,1,0,COUNT(Curvas_cupon_cero!$A:$A)-2,1),OFFSET(Curvas_cupon_cero!$A$1,1,MATCH($B$7,Curvas_cupon_cero!$1:$1,0)-1,COUNT(Curvas_cupon_cero!$A:$A)-2,1)),[1]!interpolar(H655,OFFSET(Curvas_cupon_cero!$A$1,1,0,COUNT(Curvas_cupon_cero!$A:$A)-2,1),OFFSET(Curvas_cupon_cero!$A$1,1,MATCH($B$7,Curvas_cupon_cero!$1:$1,0)-1,COUNT(Curvas_cupon_cero!$A:$A)-2,1))))</f>
        <v/>
      </c>
      <c r="E655" s="23" t="str">
        <f t="shared" ref="E655:E687" si="64">IF(A655="","",((1+D655*H655/360)/(1+C655*B655/360)-1)*(360/(H655-B655)))</f>
        <v/>
      </c>
      <c r="F655" s="17" t="str">
        <f t="shared" si="62"/>
        <v/>
      </c>
      <c r="G655" s="18" t="str">
        <f t="shared" ref="G655:G687" si="65">IF(A655="","",$B$5)</f>
        <v/>
      </c>
      <c r="H655" t="str">
        <f t="shared" ref="H655:H687" si="66">IF(A655="","",H654+G655)</f>
        <v/>
      </c>
      <c r="I655" s="23" t="str">
        <f ca="1">IF(A655="","",IF($B$8="Sí",interpolar_alamb(H655,OFFSET(Curvas_cupon_cero!$A$1,1,0,COUNT(Curvas_cupon_cero!$A:$A)-2,1),OFFSET(Curvas_cupon_cero!$A$1,1,MATCH($B$6,Curvas_cupon_cero!$1:$1,0)-1,COUNT(Curvas_cupon_cero!$A:$A)-2,1)),[1]!interpolar(H655,OFFSET(Curvas_cupon_cero!$A$1,1,0,COUNT(Curvas_cupon_cero!$A:$A)-2,1),OFFSET(Curvas_cupon_cero!$A$1,1,MATCH($B$6,Curvas_cupon_cero!$1:$1,0)-1,COUNT(Curvas_cupon_cero!$A:$A)-2,1))))</f>
        <v/>
      </c>
      <c r="J655" s="19" t="str">
        <f>IF(A655="","",F655/(1+I655*$B$5/360)^(COUNT(A$16:A655)-($B$5-$G$16)/$B$5))</f>
        <v/>
      </c>
    </row>
    <row r="656" spans="1:10" x14ac:dyDescent="0.2">
      <c r="A656" s="12" t="str">
        <f t="shared" si="63"/>
        <v/>
      </c>
      <c r="B656" t="str">
        <f t="shared" si="61"/>
        <v/>
      </c>
      <c r="C656" s="21" t="str">
        <f ca="1">IF(A656="","",IF($B$8="Sí",interpolar_alamb(B656,OFFSET(Curvas_cupon_cero!$A$1,1,0,COUNT(Curvas_cupon_cero!$A:$A)-2,1),OFFSET(Curvas_cupon_cero!$A$1,1,MATCH($B$7,Curvas_cupon_cero!$1:$1,0)-1,COUNT(Curvas_cupon_cero!$A:$A)-2,1)),[1]!interpolar(B656,OFFSET(Curvas_cupon_cero!$A$1,1,0,COUNT(Curvas_cupon_cero!$A:$A)-2,1),OFFSET(Curvas_cupon_cero!$A$1,1,MATCH($B$7,Curvas_cupon_cero!$1:$1,0)-1,COUNT(Curvas_cupon_cero!$A:$A)-2,1))))</f>
        <v/>
      </c>
      <c r="D656" s="23" t="str">
        <f ca="1">IF(A656="","",IF($B$8="Sí",interpolar_alamb(H656,OFFSET(Curvas_cupon_cero!$A$1,1,0,COUNT(Curvas_cupon_cero!$A:$A)-2,1),OFFSET(Curvas_cupon_cero!$A$1,1,MATCH($B$7,Curvas_cupon_cero!$1:$1,0)-1,COUNT(Curvas_cupon_cero!$A:$A)-2,1)),[1]!interpolar(H656,OFFSET(Curvas_cupon_cero!$A$1,1,0,COUNT(Curvas_cupon_cero!$A:$A)-2,1),OFFSET(Curvas_cupon_cero!$A$1,1,MATCH($B$7,Curvas_cupon_cero!$1:$1,0)-1,COUNT(Curvas_cupon_cero!$A:$A)-2,1))))</f>
        <v/>
      </c>
      <c r="E656" s="23" t="str">
        <f t="shared" si="64"/>
        <v/>
      </c>
      <c r="F656" s="17" t="str">
        <f t="shared" si="62"/>
        <v/>
      </c>
      <c r="G656" s="18" t="str">
        <f t="shared" si="65"/>
        <v/>
      </c>
      <c r="H656" t="str">
        <f t="shared" si="66"/>
        <v/>
      </c>
      <c r="I656" s="23" t="str">
        <f ca="1">IF(A656="","",IF($B$8="Sí",interpolar_alamb(H656,OFFSET(Curvas_cupon_cero!$A$1,1,0,COUNT(Curvas_cupon_cero!$A:$A)-2,1),OFFSET(Curvas_cupon_cero!$A$1,1,MATCH($B$6,Curvas_cupon_cero!$1:$1,0)-1,COUNT(Curvas_cupon_cero!$A:$A)-2,1)),[1]!interpolar(H656,OFFSET(Curvas_cupon_cero!$A$1,1,0,COUNT(Curvas_cupon_cero!$A:$A)-2,1),OFFSET(Curvas_cupon_cero!$A$1,1,MATCH($B$6,Curvas_cupon_cero!$1:$1,0)-1,COUNT(Curvas_cupon_cero!$A:$A)-2,1))))</f>
        <v/>
      </c>
      <c r="J656" s="19" t="str">
        <f>IF(A656="","",F656/(1+I656*$B$5/360)^(COUNT(A$16:A656)-($B$5-$G$16)/$B$5))</f>
        <v/>
      </c>
    </row>
    <row r="657" spans="1:10" x14ac:dyDescent="0.2">
      <c r="A657" s="12" t="str">
        <f t="shared" si="63"/>
        <v/>
      </c>
      <c r="B657" t="str">
        <f t="shared" si="61"/>
        <v/>
      </c>
      <c r="C657" s="21" t="str">
        <f ca="1">IF(A657="","",IF($B$8="Sí",interpolar_alamb(B657,OFFSET(Curvas_cupon_cero!$A$1,1,0,COUNT(Curvas_cupon_cero!$A:$A)-2,1),OFFSET(Curvas_cupon_cero!$A$1,1,MATCH($B$7,Curvas_cupon_cero!$1:$1,0)-1,COUNT(Curvas_cupon_cero!$A:$A)-2,1)),[1]!interpolar(B657,OFFSET(Curvas_cupon_cero!$A$1,1,0,COUNT(Curvas_cupon_cero!$A:$A)-2,1),OFFSET(Curvas_cupon_cero!$A$1,1,MATCH($B$7,Curvas_cupon_cero!$1:$1,0)-1,COUNT(Curvas_cupon_cero!$A:$A)-2,1))))</f>
        <v/>
      </c>
      <c r="D657" s="23" t="str">
        <f ca="1">IF(A657="","",IF($B$8="Sí",interpolar_alamb(H657,OFFSET(Curvas_cupon_cero!$A$1,1,0,COUNT(Curvas_cupon_cero!$A:$A)-2,1),OFFSET(Curvas_cupon_cero!$A$1,1,MATCH($B$7,Curvas_cupon_cero!$1:$1,0)-1,COUNT(Curvas_cupon_cero!$A:$A)-2,1)),[1]!interpolar(H657,OFFSET(Curvas_cupon_cero!$A$1,1,0,COUNT(Curvas_cupon_cero!$A:$A)-2,1),OFFSET(Curvas_cupon_cero!$A$1,1,MATCH($B$7,Curvas_cupon_cero!$1:$1,0)-1,COUNT(Curvas_cupon_cero!$A:$A)-2,1))))</f>
        <v/>
      </c>
      <c r="E657" s="23" t="str">
        <f t="shared" si="64"/>
        <v/>
      </c>
      <c r="F657" s="17" t="str">
        <f t="shared" si="62"/>
        <v/>
      </c>
      <c r="G657" s="18" t="str">
        <f t="shared" si="65"/>
        <v/>
      </c>
      <c r="H657" t="str">
        <f t="shared" si="66"/>
        <v/>
      </c>
      <c r="I657" s="23" t="str">
        <f ca="1">IF(A657="","",IF($B$8="Sí",interpolar_alamb(H657,OFFSET(Curvas_cupon_cero!$A$1,1,0,COUNT(Curvas_cupon_cero!$A:$A)-2,1),OFFSET(Curvas_cupon_cero!$A$1,1,MATCH($B$6,Curvas_cupon_cero!$1:$1,0)-1,COUNT(Curvas_cupon_cero!$A:$A)-2,1)),[1]!interpolar(H657,OFFSET(Curvas_cupon_cero!$A$1,1,0,COUNT(Curvas_cupon_cero!$A:$A)-2,1),OFFSET(Curvas_cupon_cero!$A$1,1,MATCH($B$6,Curvas_cupon_cero!$1:$1,0)-1,COUNT(Curvas_cupon_cero!$A:$A)-2,1))))</f>
        <v/>
      </c>
      <c r="J657" s="19" t="str">
        <f>IF(A657="","",F657/(1+I657*$B$5/360)^(COUNT(A$16:A657)-($B$5-$G$16)/$B$5))</f>
        <v/>
      </c>
    </row>
    <row r="658" spans="1:10" x14ac:dyDescent="0.2">
      <c r="A658" s="12" t="str">
        <f t="shared" si="63"/>
        <v/>
      </c>
      <c r="B658" t="str">
        <f t="shared" si="61"/>
        <v/>
      </c>
      <c r="C658" s="21" t="str">
        <f ca="1">IF(A658="","",IF($B$8="Sí",interpolar_alamb(B658,OFFSET(Curvas_cupon_cero!$A$1,1,0,COUNT(Curvas_cupon_cero!$A:$A)-2,1),OFFSET(Curvas_cupon_cero!$A$1,1,MATCH($B$7,Curvas_cupon_cero!$1:$1,0)-1,COUNT(Curvas_cupon_cero!$A:$A)-2,1)),[1]!interpolar(B658,OFFSET(Curvas_cupon_cero!$A$1,1,0,COUNT(Curvas_cupon_cero!$A:$A)-2,1),OFFSET(Curvas_cupon_cero!$A$1,1,MATCH($B$7,Curvas_cupon_cero!$1:$1,0)-1,COUNT(Curvas_cupon_cero!$A:$A)-2,1))))</f>
        <v/>
      </c>
      <c r="D658" s="23" t="str">
        <f ca="1">IF(A658="","",IF($B$8="Sí",interpolar_alamb(H658,OFFSET(Curvas_cupon_cero!$A$1,1,0,COUNT(Curvas_cupon_cero!$A:$A)-2,1),OFFSET(Curvas_cupon_cero!$A$1,1,MATCH($B$7,Curvas_cupon_cero!$1:$1,0)-1,COUNT(Curvas_cupon_cero!$A:$A)-2,1)),[1]!interpolar(H658,OFFSET(Curvas_cupon_cero!$A$1,1,0,COUNT(Curvas_cupon_cero!$A:$A)-2,1),OFFSET(Curvas_cupon_cero!$A$1,1,MATCH($B$7,Curvas_cupon_cero!$1:$1,0)-1,COUNT(Curvas_cupon_cero!$A:$A)-2,1))))</f>
        <v/>
      </c>
      <c r="E658" s="23" t="str">
        <f t="shared" si="64"/>
        <v/>
      </c>
      <c r="F658" s="17" t="str">
        <f t="shared" si="62"/>
        <v/>
      </c>
      <c r="G658" s="18" t="str">
        <f t="shared" si="65"/>
        <v/>
      </c>
      <c r="H658" t="str">
        <f t="shared" si="66"/>
        <v/>
      </c>
      <c r="I658" s="23" t="str">
        <f ca="1">IF(A658="","",IF($B$8="Sí",interpolar_alamb(H658,OFFSET(Curvas_cupon_cero!$A$1,1,0,COUNT(Curvas_cupon_cero!$A:$A)-2,1),OFFSET(Curvas_cupon_cero!$A$1,1,MATCH($B$6,Curvas_cupon_cero!$1:$1,0)-1,COUNT(Curvas_cupon_cero!$A:$A)-2,1)),[1]!interpolar(H658,OFFSET(Curvas_cupon_cero!$A$1,1,0,COUNT(Curvas_cupon_cero!$A:$A)-2,1),OFFSET(Curvas_cupon_cero!$A$1,1,MATCH($B$6,Curvas_cupon_cero!$1:$1,0)-1,COUNT(Curvas_cupon_cero!$A:$A)-2,1))))</f>
        <v/>
      </c>
      <c r="J658" s="19" t="str">
        <f>IF(A658="","",F658/(1+I658*$B$5/360)^(COUNT(A$16:A658)-($B$5-$G$16)/$B$5))</f>
        <v/>
      </c>
    </row>
    <row r="659" spans="1:10" x14ac:dyDescent="0.2">
      <c r="A659" s="12" t="str">
        <f t="shared" si="63"/>
        <v/>
      </c>
      <c r="B659" t="str">
        <f t="shared" si="61"/>
        <v/>
      </c>
      <c r="C659" s="21" t="str">
        <f ca="1">IF(A659="","",IF($B$8="Sí",interpolar_alamb(B659,OFFSET(Curvas_cupon_cero!$A$1,1,0,COUNT(Curvas_cupon_cero!$A:$A)-2,1),OFFSET(Curvas_cupon_cero!$A$1,1,MATCH($B$7,Curvas_cupon_cero!$1:$1,0)-1,COUNT(Curvas_cupon_cero!$A:$A)-2,1)),[1]!interpolar(B659,OFFSET(Curvas_cupon_cero!$A$1,1,0,COUNT(Curvas_cupon_cero!$A:$A)-2,1),OFFSET(Curvas_cupon_cero!$A$1,1,MATCH($B$7,Curvas_cupon_cero!$1:$1,0)-1,COUNT(Curvas_cupon_cero!$A:$A)-2,1))))</f>
        <v/>
      </c>
      <c r="D659" s="23" t="str">
        <f ca="1">IF(A659="","",IF($B$8="Sí",interpolar_alamb(H659,OFFSET(Curvas_cupon_cero!$A$1,1,0,COUNT(Curvas_cupon_cero!$A:$A)-2,1),OFFSET(Curvas_cupon_cero!$A$1,1,MATCH($B$7,Curvas_cupon_cero!$1:$1,0)-1,COUNT(Curvas_cupon_cero!$A:$A)-2,1)),[1]!interpolar(H659,OFFSET(Curvas_cupon_cero!$A$1,1,0,COUNT(Curvas_cupon_cero!$A:$A)-2,1),OFFSET(Curvas_cupon_cero!$A$1,1,MATCH($B$7,Curvas_cupon_cero!$1:$1,0)-1,COUNT(Curvas_cupon_cero!$A:$A)-2,1))))</f>
        <v/>
      </c>
      <c r="E659" s="23" t="str">
        <f t="shared" si="64"/>
        <v/>
      </c>
      <c r="F659" s="17" t="str">
        <f t="shared" si="62"/>
        <v/>
      </c>
      <c r="G659" s="18" t="str">
        <f t="shared" si="65"/>
        <v/>
      </c>
      <c r="H659" t="str">
        <f t="shared" si="66"/>
        <v/>
      </c>
      <c r="I659" s="23" t="str">
        <f ca="1">IF(A659="","",IF($B$8="Sí",interpolar_alamb(H659,OFFSET(Curvas_cupon_cero!$A$1,1,0,COUNT(Curvas_cupon_cero!$A:$A)-2,1),OFFSET(Curvas_cupon_cero!$A$1,1,MATCH($B$6,Curvas_cupon_cero!$1:$1,0)-1,COUNT(Curvas_cupon_cero!$A:$A)-2,1)),[1]!interpolar(H659,OFFSET(Curvas_cupon_cero!$A$1,1,0,COUNT(Curvas_cupon_cero!$A:$A)-2,1),OFFSET(Curvas_cupon_cero!$A$1,1,MATCH($B$6,Curvas_cupon_cero!$1:$1,0)-1,COUNT(Curvas_cupon_cero!$A:$A)-2,1))))</f>
        <v/>
      </c>
      <c r="J659" s="19" t="str">
        <f>IF(A659="","",F659/(1+I659*$B$5/360)^(COUNT(A$16:A659)-($B$5-$G$16)/$B$5))</f>
        <v/>
      </c>
    </row>
    <row r="660" spans="1:10" x14ac:dyDescent="0.2">
      <c r="A660" s="12" t="str">
        <f t="shared" si="63"/>
        <v/>
      </c>
      <c r="B660" t="str">
        <f t="shared" si="61"/>
        <v/>
      </c>
      <c r="C660" s="21" t="str">
        <f ca="1">IF(A660="","",IF($B$8="Sí",interpolar_alamb(B660,OFFSET(Curvas_cupon_cero!$A$1,1,0,COUNT(Curvas_cupon_cero!$A:$A)-2,1),OFFSET(Curvas_cupon_cero!$A$1,1,MATCH($B$7,Curvas_cupon_cero!$1:$1,0)-1,COUNT(Curvas_cupon_cero!$A:$A)-2,1)),[1]!interpolar(B660,OFFSET(Curvas_cupon_cero!$A$1,1,0,COUNT(Curvas_cupon_cero!$A:$A)-2,1),OFFSET(Curvas_cupon_cero!$A$1,1,MATCH($B$7,Curvas_cupon_cero!$1:$1,0)-1,COUNT(Curvas_cupon_cero!$A:$A)-2,1))))</f>
        <v/>
      </c>
      <c r="D660" s="23" t="str">
        <f ca="1">IF(A660="","",IF($B$8="Sí",interpolar_alamb(H660,OFFSET(Curvas_cupon_cero!$A$1,1,0,COUNT(Curvas_cupon_cero!$A:$A)-2,1),OFFSET(Curvas_cupon_cero!$A$1,1,MATCH($B$7,Curvas_cupon_cero!$1:$1,0)-1,COUNT(Curvas_cupon_cero!$A:$A)-2,1)),[1]!interpolar(H660,OFFSET(Curvas_cupon_cero!$A$1,1,0,COUNT(Curvas_cupon_cero!$A:$A)-2,1),OFFSET(Curvas_cupon_cero!$A$1,1,MATCH($B$7,Curvas_cupon_cero!$1:$1,0)-1,COUNT(Curvas_cupon_cero!$A:$A)-2,1))))</f>
        <v/>
      </c>
      <c r="E660" s="23" t="str">
        <f t="shared" si="64"/>
        <v/>
      </c>
      <c r="F660" s="17" t="str">
        <f t="shared" si="62"/>
        <v/>
      </c>
      <c r="G660" s="18" t="str">
        <f t="shared" si="65"/>
        <v/>
      </c>
      <c r="H660" t="str">
        <f t="shared" si="66"/>
        <v/>
      </c>
      <c r="I660" s="23" t="str">
        <f ca="1">IF(A660="","",IF($B$8="Sí",interpolar_alamb(H660,OFFSET(Curvas_cupon_cero!$A$1,1,0,COUNT(Curvas_cupon_cero!$A:$A)-2,1),OFFSET(Curvas_cupon_cero!$A$1,1,MATCH($B$6,Curvas_cupon_cero!$1:$1,0)-1,COUNT(Curvas_cupon_cero!$A:$A)-2,1)),[1]!interpolar(H660,OFFSET(Curvas_cupon_cero!$A$1,1,0,COUNT(Curvas_cupon_cero!$A:$A)-2,1),OFFSET(Curvas_cupon_cero!$A$1,1,MATCH($B$6,Curvas_cupon_cero!$1:$1,0)-1,COUNT(Curvas_cupon_cero!$A:$A)-2,1))))</f>
        <v/>
      </c>
      <c r="J660" s="19" t="str">
        <f>IF(A660="","",F660/(1+I660*$B$5/360)^(COUNT(A$16:A660)-($B$5-$G$16)/$B$5))</f>
        <v/>
      </c>
    </row>
    <row r="661" spans="1:10" x14ac:dyDescent="0.2">
      <c r="A661" s="12" t="str">
        <f t="shared" si="63"/>
        <v/>
      </c>
      <c r="B661" t="str">
        <f t="shared" si="61"/>
        <v/>
      </c>
      <c r="C661" s="21" t="str">
        <f ca="1">IF(A661="","",IF($B$8="Sí",interpolar_alamb(B661,OFFSET(Curvas_cupon_cero!$A$1,1,0,COUNT(Curvas_cupon_cero!$A:$A)-2,1),OFFSET(Curvas_cupon_cero!$A$1,1,MATCH($B$7,Curvas_cupon_cero!$1:$1,0)-1,COUNT(Curvas_cupon_cero!$A:$A)-2,1)),[1]!interpolar(B661,OFFSET(Curvas_cupon_cero!$A$1,1,0,COUNT(Curvas_cupon_cero!$A:$A)-2,1),OFFSET(Curvas_cupon_cero!$A$1,1,MATCH($B$7,Curvas_cupon_cero!$1:$1,0)-1,COUNT(Curvas_cupon_cero!$A:$A)-2,1))))</f>
        <v/>
      </c>
      <c r="D661" s="23" t="str">
        <f ca="1">IF(A661="","",IF($B$8="Sí",interpolar_alamb(H661,OFFSET(Curvas_cupon_cero!$A$1,1,0,COUNT(Curvas_cupon_cero!$A:$A)-2,1),OFFSET(Curvas_cupon_cero!$A$1,1,MATCH($B$7,Curvas_cupon_cero!$1:$1,0)-1,COUNT(Curvas_cupon_cero!$A:$A)-2,1)),[1]!interpolar(H661,OFFSET(Curvas_cupon_cero!$A$1,1,0,COUNT(Curvas_cupon_cero!$A:$A)-2,1),OFFSET(Curvas_cupon_cero!$A$1,1,MATCH($B$7,Curvas_cupon_cero!$1:$1,0)-1,COUNT(Curvas_cupon_cero!$A:$A)-2,1))))</f>
        <v/>
      </c>
      <c r="E661" s="23" t="str">
        <f t="shared" si="64"/>
        <v/>
      </c>
      <c r="F661" s="17" t="str">
        <f t="shared" si="62"/>
        <v/>
      </c>
      <c r="G661" s="18" t="str">
        <f t="shared" si="65"/>
        <v/>
      </c>
      <c r="H661" t="str">
        <f t="shared" si="66"/>
        <v/>
      </c>
      <c r="I661" s="23" t="str">
        <f ca="1">IF(A661="","",IF($B$8="Sí",interpolar_alamb(H661,OFFSET(Curvas_cupon_cero!$A$1,1,0,COUNT(Curvas_cupon_cero!$A:$A)-2,1),OFFSET(Curvas_cupon_cero!$A$1,1,MATCH($B$6,Curvas_cupon_cero!$1:$1,0)-1,COUNT(Curvas_cupon_cero!$A:$A)-2,1)),[1]!interpolar(H661,OFFSET(Curvas_cupon_cero!$A$1,1,0,COUNT(Curvas_cupon_cero!$A:$A)-2,1),OFFSET(Curvas_cupon_cero!$A$1,1,MATCH($B$6,Curvas_cupon_cero!$1:$1,0)-1,COUNT(Curvas_cupon_cero!$A:$A)-2,1))))</f>
        <v/>
      </c>
      <c r="J661" s="19" t="str">
        <f>IF(A661="","",F661/(1+I661*$B$5/360)^(COUNT(A$16:A661)-($B$5-$G$16)/$B$5))</f>
        <v/>
      </c>
    </row>
    <row r="662" spans="1:10" x14ac:dyDescent="0.2">
      <c r="A662" s="12" t="str">
        <f t="shared" si="63"/>
        <v/>
      </c>
      <c r="B662" t="str">
        <f t="shared" si="61"/>
        <v/>
      </c>
      <c r="C662" s="21" t="str">
        <f ca="1">IF(A662="","",IF($B$8="Sí",interpolar_alamb(B662,OFFSET(Curvas_cupon_cero!$A$1,1,0,COUNT(Curvas_cupon_cero!$A:$A)-2,1),OFFSET(Curvas_cupon_cero!$A$1,1,MATCH($B$7,Curvas_cupon_cero!$1:$1,0)-1,COUNT(Curvas_cupon_cero!$A:$A)-2,1)),[1]!interpolar(B662,OFFSET(Curvas_cupon_cero!$A$1,1,0,COUNT(Curvas_cupon_cero!$A:$A)-2,1),OFFSET(Curvas_cupon_cero!$A$1,1,MATCH($B$7,Curvas_cupon_cero!$1:$1,0)-1,COUNT(Curvas_cupon_cero!$A:$A)-2,1))))</f>
        <v/>
      </c>
      <c r="D662" s="23" t="str">
        <f ca="1">IF(A662="","",IF($B$8="Sí",interpolar_alamb(H662,OFFSET(Curvas_cupon_cero!$A$1,1,0,COUNT(Curvas_cupon_cero!$A:$A)-2,1),OFFSET(Curvas_cupon_cero!$A$1,1,MATCH($B$7,Curvas_cupon_cero!$1:$1,0)-1,COUNT(Curvas_cupon_cero!$A:$A)-2,1)),[1]!interpolar(H662,OFFSET(Curvas_cupon_cero!$A$1,1,0,COUNT(Curvas_cupon_cero!$A:$A)-2,1),OFFSET(Curvas_cupon_cero!$A$1,1,MATCH($B$7,Curvas_cupon_cero!$1:$1,0)-1,COUNT(Curvas_cupon_cero!$A:$A)-2,1))))</f>
        <v/>
      </c>
      <c r="E662" s="23" t="str">
        <f t="shared" si="64"/>
        <v/>
      </c>
      <c r="F662" s="17" t="str">
        <f t="shared" si="62"/>
        <v/>
      </c>
      <c r="G662" s="18" t="str">
        <f t="shared" si="65"/>
        <v/>
      </c>
      <c r="H662" t="str">
        <f t="shared" si="66"/>
        <v/>
      </c>
      <c r="I662" s="23" t="str">
        <f ca="1">IF(A662="","",IF($B$8="Sí",interpolar_alamb(H662,OFFSET(Curvas_cupon_cero!$A$1,1,0,COUNT(Curvas_cupon_cero!$A:$A)-2,1),OFFSET(Curvas_cupon_cero!$A$1,1,MATCH($B$6,Curvas_cupon_cero!$1:$1,0)-1,COUNT(Curvas_cupon_cero!$A:$A)-2,1)),[1]!interpolar(H662,OFFSET(Curvas_cupon_cero!$A$1,1,0,COUNT(Curvas_cupon_cero!$A:$A)-2,1),OFFSET(Curvas_cupon_cero!$A$1,1,MATCH($B$6,Curvas_cupon_cero!$1:$1,0)-1,COUNT(Curvas_cupon_cero!$A:$A)-2,1))))</f>
        <v/>
      </c>
      <c r="J662" s="19" t="str">
        <f>IF(A662="","",F662/(1+I662*$B$5/360)^(COUNT(A$16:A662)-($B$5-$G$16)/$B$5))</f>
        <v/>
      </c>
    </row>
    <row r="663" spans="1:10" x14ac:dyDescent="0.2">
      <c r="A663" s="12" t="str">
        <f t="shared" si="63"/>
        <v/>
      </c>
      <c r="B663" t="str">
        <f t="shared" si="61"/>
        <v/>
      </c>
      <c r="C663" s="21" t="str">
        <f ca="1">IF(A663="","",IF($B$8="Sí",interpolar_alamb(B663,OFFSET(Curvas_cupon_cero!$A$1,1,0,COUNT(Curvas_cupon_cero!$A:$A)-2,1),OFFSET(Curvas_cupon_cero!$A$1,1,MATCH($B$7,Curvas_cupon_cero!$1:$1,0)-1,COUNT(Curvas_cupon_cero!$A:$A)-2,1)),[1]!interpolar(B663,OFFSET(Curvas_cupon_cero!$A$1,1,0,COUNT(Curvas_cupon_cero!$A:$A)-2,1),OFFSET(Curvas_cupon_cero!$A$1,1,MATCH($B$7,Curvas_cupon_cero!$1:$1,0)-1,COUNT(Curvas_cupon_cero!$A:$A)-2,1))))</f>
        <v/>
      </c>
      <c r="D663" s="23" t="str">
        <f ca="1">IF(A663="","",IF($B$8="Sí",interpolar_alamb(H663,OFFSET(Curvas_cupon_cero!$A$1,1,0,COUNT(Curvas_cupon_cero!$A:$A)-2,1),OFFSET(Curvas_cupon_cero!$A$1,1,MATCH($B$7,Curvas_cupon_cero!$1:$1,0)-1,COUNT(Curvas_cupon_cero!$A:$A)-2,1)),[1]!interpolar(H663,OFFSET(Curvas_cupon_cero!$A$1,1,0,COUNT(Curvas_cupon_cero!$A:$A)-2,1),OFFSET(Curvas_cupon_cero!$A$1,1,MATCH($B$7,Curvas_cupon_cero!$1:$1,0)-1,COUNT(Curvas_cupon_cero!$A:$A)-2,1))))</f>
        <v/>
      </c>
      <c r="E663" s="23" t="str">
        <f t="shared" si="64"/>
        <v/>
      </c>
      <c r="F663" s="17" t="str">
        <f t="shared" si="62"/>
        <v/>
      </c>
      <c r="G663" s="18" t="str">
        <f t="shared" si="65"/>
        <v/>
      </c>
      <c r="H663" t="str">
        <f t="shared" si="66"/>
        <v/>
      </c>
      <c r="I663" s="23" t="str">
        <f ca="1">IF(A663="","",IF($B$8="Sí",interpolar_alamb(H663,OFFSET(Curvas_cupon_cero!$A$1,1,0,COUNT(Curvas_cupon_cero!$A:$A)-2,1),OFFSET(Curvas_cupon_cero!$A$1,1,MATCH($B$6,Curvas_cupon_cero!$1:$1,0)-1,COUNT(Curvas_cupon_cero!$A:$A)-2,1)),[1]!interpolar(H663,OFFSET(Curvas_cupon_cero!$A$1,1,0,COUNT(Curvas_cupon_cero!$A:$A)-2,1),OFFSET(Curvas_cupon_cero!$A$1,1,MATCH($B$6,Curvas_cupon_cero!$1:$1,0)-1,COUNT(Curvas_cupon_cero!$A:$A)-2,1))))</f>
        <v/>
      </c>
      <c r="J663" s="19" t="str">
        <f>IF(A663="","",F663/(1+I663*$B$5/360)^(COUNT(A$16:A663)-($B$5-$G$16)/$B$5))</f>
        <v/>
      </c>
    </row>
    <row r="664" spans="1:10" x14ac:dyDescent="0.2">
      <c r="A664" s="12" t="str">
        <f t="shared" si="63"/>
        <v/>
      </c>
      <c r="B664" t="str">
        <f t="shared" si="61"/>
        <v/>
      </c>
      <c r="C664" s="21" t="str">
        <f ca="1">IF(A664="","",IF($B$8="Sí",interpolar_alamb(B664,OFFSET(Curvas_cupon_cero!$A$1,1,0,COUNT(Curvas_cupon_cero!$A:$A)-2,1),OFFSET(Curvas_cupon_cero!$A$1,1,MATCH($B$7,Curvas_cupon_cero!$1:$1,0)-1,COUNT(Curvas_cupon_cero!$A:$A)-2,1)),[1]!interpolar(B664,OFFSET(Curvas_cupon_cero!$A$1,1,0,COUNT(Curvas_cupon_cero!$A:$A)-2,1),OFFSET(Curvas_cupon_cero!$A$1,1,MATCH($B$7,Curvas_cupon_cero!$1:$1,0)-1,COUNT(Curvas_cupon_cero!$A:$A)-2,1))))</f>
        <v/>
      </c>
      <c r="D664" s="23" t="str">
        <f ca="1">IF(A664="","",IF($B$8="Sí",interpolar_alamb(H664,OFFSET(Curvas_cupon_cero!$A$1,1,0,COUNT(Curvas_cupon_cero!$A:$A)-2,1),OFFSET(Curvas_cupon_cero!$A$1,1,MATCH($B$7,Curvas_cupon_cero!$1:$1,0)-1,COUNT(Curvas_cupon_cero!$A:$A)-2,1)),[1]!interpolar(H664,OFFSET(Curvas_cupon_cero!$A$1,1,0,COUNT(Curvas_cupon_cero!$A:$A)-2,1),OFFSET(Curvas_cupon_cero!$A$1,1,MATCH($B$7,Curvas_cupon_cero!$1:$1,0)-1,COUNT(Curvas_cupon_cero!$A:$A)-2,1))))</f>
        <v/>
      </c>
      <c r="E664" s="23" t="str">
        <f t="shared" si="64"/>
        <v/>
      </c>
      <c r="F664" s="17" t="str">
        <f t="shared" si="62"/>
        <v/>
      </c>
      <c r="G664" s="18" t="str">
        <f t="shared" si="65"/>
        <v/>
      </c>
      <c r="H664" t="str">
        <f t="shared" si="66"/>
        <v/>
      </c>
      <c r="I664" s="23" t="str">
        <f ca="1">IF(A664="","",IF($B$8="Sí",interpolar_alamb(H664,OFFSET(Curvas_cupon_cero!$A$1,1,0,COUNT(Curvas_cupon_cero!$A:$A)-2,1),OFFSET(Curvas_cupon_cero!$A$1,1,MATCH($B$6,Curvas_cupon_cero!$1:$1,0)-1,COUNT(Curvas_cupon_cero!$A:$A)-2,1)),[1]!interpolar(H664,OFFSET(Curvas_cupon_cero!$A$1,1,0,COUNT(Curvas_cupon_cero!$A:$A)-2,1),OFFSET(Curvas_cupon_cero!$A$1,1,MATCH($B$6,Curvas_cupon_cero!$1:$1,0)-1,COUNT(Curvas_cupon_cero!$A:$A)-2,1))))</f>
        <v/>
      </c>
      <c r="J664" s="19" t="str">
        <f>IF(A664="","",F664/(1+I664*$B$5/360)^(COUNT(A$16:A664)-($B$5-$G$16)/$B$5))</f>
        <v/>
      </c>
    </row>
    <row r="665" spans="1:10" x14ac:dyDescent="0.2">
      <c r="A665" s="12" t="str">
        <f t="shared" si="63"/>
        <v/>
      </c>
      <c r="B665" t="str">
        <f t="shared" si="61"/>
        <v/>
      </c>
      <c r="C665" s="21" t="str">
        <f ca="1">IF(A665="","",IF($B$8="Sí",interpolar_alamb(B665,OFFSET(Curvas_cupon_cero!$A$1,1,0,COUNT(Curvas_cupon_cero!$A:$A)-2,1),OFFSET(Curvas_cupon_cero!$A$1,1,MATCH($B$7,Curvas_cupon_cero!$1:$1,0)-1,COUNT(Curvas_cupon_cero!$A:$A)-2,1)),[1]!interpolar(B665,OFFSET(Curvas_cupon_cero!$A$1,1,0,COUNT(Curvas_cupon_cero!$A:$A)-2,1),OFFSET(Curvas_cupon_cero!$A$1,1,MATCH($B$7,Curvas_cupon_cero!$1:$1,0)-1,COUNT(Curvas_cupon_cero!$A:$A)-2,1))))</f>
        <v/>
      </c>
      <c r="D665" s="23" t="str">
        <f ca="1">IF(A665="","",IF($B$8="Sí",interpolar_alamb(H665,OFFSET(Curvas_cupon_cero!$A$1,1,0,COUNT(Curvas_cupon_cero!$A:$A)-2,1),OFFSET(Curvas_cupon_cero!$A$1,1,MATCH($B$7,Curvas_cupon_cero!$1:$1,0)-1,COUNT(Curvas_cupon_cero!$A:$A)-2,1)),[1]!interpolar(H665,OFFSET(Curvas_cupon_cero!$A$1,1,0,COUNT(Curvas_cupon_cero!$A:$A)-2,1),OFFSET(Curvas_cupon_cero!$A$1,1,MATCH($B$7,Curvas_cupon_cero!$1:$1,0)-1,COUNT(Curvas_cupon_cero!$A:$A)-2,1))))</f>
        <v/>
      </c>
      <c r="E665" s="23" t="str">
        <f t="shared" si="64"/>
        <v/>
      </c>
      <c r="F665" s="17" t="str">
        <f t="shared" si="62"/>
        <v/>
      </c>
      <c r="G665" s="18" t="str">
        <f t="shared" si="65"/>
        <v/>
      </c>
      <c r="H665" t="str">
        <f t="shared" si="66"/>
        <v/>
      </c>
      <c r="I665" s="23" t="str">
        <f ca="1">IF(A665="","",IF($B$8="Sí",interpolar_alamb(H665,OFFSET(Curvas_cupon_cero!$A$1,1,0,COUNT(Curvas_cupon_cero!$A:$A)-2,1),OFFSET(Curvas_cupon_cero!$A$1,1,MATCH($B$6,Curvas_cupon_cero!$1:$1,0)-1,COUNT(Curvas_cupon_cero!$A:$A)-2,1)),[1]!interpolar(H665,OFFSET(Curvas_cupon_cero!$A$1,1,0,COUNT(Curvas_cupon_cero!$A:$A)-2,1),OFFSET(Curvas_cupon_cero!$A$1,1,MATCH($B$6,Curvas_cupon_cero!$1:$1,0)-1,COUNT(Curvas_cupon_cero!$A:$A)-2,1))))</f>
        <v/>
      </c>
      <c r="J665" s="19" t="str">
        <f>IF(A665="","",F665/(1+I665*$B$5/360)^(COUNT(A$16:A665)-($B$5-$G$16)/$B$5))</f>
        <v/>
      </c>
    </row>
    <row r="666" spans="1:10" x14ac:dyDescent="0.2">
      <c r="A666" s="12" t="str">
        <f t="shared" si="63"/>
        <v/>
      </c>
      <c r="B666" t="str">
        <f t="shared" si="61"/>
        <v/>
      </c>
      <c r="C666" s="21" t="str">
        <f ca="1">IF(A666="","",IF($B$8="Sí",interpolar_alamb(B666,OFFSET(Curvas_cupon_cero!$A$1,1,0,COUNT(Curvas_cupon_cero!$A:$A)-2,1),OFFSET(Curvas_cupon_cero!$A$1,1,MATCH($B$7,Curvas_cupon_cero!$1:$1,0)-1,COUNT(Curvas_cupon_cero!$A:$A)-2,1)),[1]!interpolar(B666,OFFSET(Curvas_cupon_cero!$A$1,1,0,COUNT(Curvas_cupon_cero!$A:$A)-2,1),OFFSET(Curvas_cupon_cero!$A$1,1,MATCH($B$7,Curvas_cupon_cero!$1:$1,0)-1,COUNT(Curvas_cupon_cero!$A:$A)-2,1))))</f>
        <v/>
      </c>
      <c r="D666" s="23" t="str">
        <f ca="1">IF(A666="","",IF($B$8="Sí",interpolar_alamb(H666,OFFSET(Curvas_cupon_cero!$A$1,1,0,COUNT(Curvas_cupon_cero!$A:$A)-2,1),OFFSET(Curvas_cupon_cero!$A$1,1,MATCH($B$7,Curvas_cupon_cero!$1:$1,0)-1,COUNT(Curvas_cupon_cero!$A:$A)-2,1)),[1]!interpolar(H666,OFFSET(Curvas_cupon_cero!$A$1,1,0,COUNT(Curvas_cupon_cero!$A:$A)-2,1),OFFSET(Curvas_cupon_cero!$A$1,1,MATCH($B$7,Curvas_cupon_cero!$1:$1,0)-1,COUNT(Curvas_cupon_cero!$A:$A)-2,1))))</f>
        <v/>
      </c>
      <c r="E666" s="23" t="str">
        <f t="shared" si="64"/>
        <v/>
      </c>
      <c r="F666" s="17" t="str">
        <f t="shared" si="62"/>
        <v/>
      </c>
      <c r="G666" s="18" t="str">
        <f t="shared" si="65"/>
        <v/>
      </c>
      <c r="H666" t="str">
        <f t="shared" si="66"/>
        <v/>
      </c>
      <c r="I666" s="23" t="str">
        <f ca="1">IF(A666="","",IF($B$8="Sí",interpolar_alamb(H666,OFFSET(Curvas_cupon_cero!$A$1,1,0,COUNT(Curvas_cupon_cero!$A:$A)-2,1),OFFSET(Curvas_cupon_cero!$A$1,1,MATCH($B$6,Curvas_cupon_cero!$1:$1,0)-1,COUNT(Curvas_cupon_cero!$A:$A)-2,1)),[1]!interpolar(H666,OFFSET(Curvas_cupon_cero!$A$1,1,0,COUNT(Curvas_cupon_cero!$A:$A)-2,1),OFFSET(Curvas_cupon_cero!$A$1,1,MATCH($B$6,Curvas_cupon_cero!$1:$1,0)-1,COUNT(Curvas_cupon_cero!$A:$A)-2,1))))</f>
        <v/>
      </c>
      <c r="J666" s="19" t="str">
        <f>IF(A666="","",F666/(1+I666*$B$5/360)^(COUNT(A$16:A666)-($B$5-$G$16)/$B$5))</f>
        <v/>
      </c>
    </row>
    <row r="667" spans="1:10" x14ac:dyDescent="0.2">
      <c r="A667" s="12" t="str">
        <f t="shared" si="63"/>
        <v/>
      </c>
      <c r="B667" t="str">
        <f t="shared" si="61"/>
        <v/>
      </c>
      <c r="C667" s="21" t="str">
        <f ca="1">IF(A667="","",IF($B$8="Sí",interpolar_alamb(B667,OFFSET(Curvas_cupon_cero!$A$1,1,0,COUNT(Curvas_cupon_cero!$A:$A)-2,1),OFFSET(Curvas_cupon_cero!$A$1,1,MATCH($B$7,Curvas_cupon_cero!$1:$1,0)-1,COUNT(Curvas_cupon_cero!$A:$A)-2,1)),[1]!interpolar(B667,OFFSET(Curvas_cupon_cero!$A$1,1,0,COUNT(Curvas_cupon_cero!$A:$A)-2,1),OFFSET(Curvas_cupon_cero!$A$1,1,MATCH($B$7,Curvas_cupon_cero!$1:$1,0)-1,COUNT(Curvas_cupon_cero!$A:$A)-2,1))))</f>
        <v/>
      </c>
      <c r="D667" s="23" t="str">
        <f ca="1">IF(A667="","",IF($B$8="Sí",interpolar_alamb(H667,OFFSET(Curvas_cupon_cero!$A$1,1,0,COUNT(Curvas_cupon_cero!$A:$A)-2,1),OFFSET(Curvas_cupon_cero!$A$1,1,MATCH($B$7,Curvas_cupon_cero!$1:$1,0)-1,COUNT(Curvas_cupon_cero!$A:$A)-2,1)),[1]!interpolar(H667,OFFSET(Curvas_cupon_cero!$A$1,1,0,COUNT(Curvas_cupon_cero!$A:$A)-2,1),OFFSET(Curvas_cupon_cero!$A$1,1,MATCH($B$7,Curvas_cupon_cero!$1:$1,0)-1,COUNT(Curvas_cupon_cero!$A:$A)-2,1))))</f>
        <v/>
      </c>
      <c r="E667" s="23" t="str">
        <f t="shared" si="64"/>
        <v/>
      </c>
      <c r="F667" s="17" t="str">
        <f t="shared" si="62"/>
        <v/>
      </c>
      <c r="G667" s="18" t="str">
        <f t="shared" si="65"/>
        <v/>
      </c>
      <c r="H667" t="str">
        <f t="shared" si="66"/>
        <v/>
      </c>
      <c r="I667" s="23" t="str">
        <f ca="1">IF(A667="","",IF($B$8="Sí",interpolar_alamb(H667,OFFSET(Curvas_cupon_cero!$A$1,1,0,COUNT(Curvas_cupon_cero!$A:$A)-2,1),OFFSET(Curvas_cupon_cero!$A$1,1,MATCH($B$6,Curvas_cupon_cero!$1:$1,0)-1,COUNT(Curvas_cupon_cero!$A:$A)-2,1)),[1]!interpolar(H667,OFFSET(Curvas_cupon_cero!$A$1,1,0,COUNT(Curvas_cupon_cero!$A:$A)-2,1),OFFSET(Curvas_cupon_cero!$A$1,1,MATCH($B$6,Curvas_cupon_cero!$1:$1,0)-1,COUNT(Curvas_cupon_cero!$A:$A)-2,1))))</f>
        <v/>
      </c>
      <c r="J667" s="19" t="str">
        <f>IF(A667="","",F667/(1+I667*$B$5/360)^(COUNT(A$16:A667)-($B$5-$G$16)/$B$5))</f>
        <v/>
      </c>
    </row>
    <row r="668" spans="1:10" x14ac:dyDescent="0.2">
      <c r="A668" s="12" t="str">
        <f t="shared" si="63"/>
        <v/>
      </c>
      <c r="B668" t="str">
        <f t="shared" si="61"/>
        <v/>
      </c>
      <c r="C668" s="21" t="str">
        <f ca="1">IF(A668="","",IF($B$8="Sí",interpolar_alamb(B668,OFFSET(Curvas_cupon_cero!$A$1,1,0,COUNT(Curvas_cupon_cero!$A:$A)-2,1),OFFSET(Curvas_cupon_cero!$A$1,1,MATCH($B$7,Curvas_cupon_cero!$1:$1,0)-1,COUNT(Curvas_cupon_cero!$A:$A)-2,1)),[1]!interpolar(B668,OFFSET(Curvas_cupon_cero!$A$1,1,0,COUNT(Curvas_cupon_cero!$A:$A)-2,1),OFFSET(Curvas_cupon_cero!$A$1,1,MATCH($B$7,Curvas_cupon_cero!$1:$1,0)-1,COUNT(Curvas_cupon_cero!$A:$A)-2,1))))</f>
        <v/>
      </c>
      <c r="D668" s="23" t="str">
        <f ca="1">IF(A668="","",IF($B$8="Sí",interpolar_alamb(H668,OFFSET(Curvas_cupon_cero!$A$1,1,0,COUNT(Curvas_cupon_cero!$A:$A)-2,1),OFFSET(Curvas_cupon_cero!$A$1,1,MATCH($B$7,Curvas_cupon_cero!$1:$1,0)-1,COUNT(Curvas_cupon_cero!$A:$A)-2,1)),[1]!interpolar(H668,OFFSET(Curvas_cupon_cero!$A$1,1,0,COUNT(Curvas_cupon_cero!$A:$A)-2,1),OFFSET(Curvas_cupon_cero!$A$1,1,MATCH($B$7,Curvas_cupon_cero!$1:$1,0)-1,COUNT(Curvas_cupon_cero!$A:$A)-2,1))))</f>
        <v/>
      </c>
      <c r="E668" s="23" t="str">
        <f t="shared" si="64"/>
        <v/>
      </c>
      <c r="F668" s="17" t="str">
        <f t="shared" si="62"/>
        <v/>
      </c>
      <c r="G668" s="18" t="str">
        <f t="shared" si="65"/>
        <v/>
      </c>
      <c r="H668" t="str">
        <f t="shared" si="66"/>
        <v/>
      </c>
      <c r="I668" s="23" t="str">
        <f ca="1">IF(A668="","",IF($B$8="Sí",interpolar_alamb(H668,OFFSET(Curvas_cupon_cero!$A$1,1,0,COUNT(Curvas_cupon_cero!$A:$A)-2,1),OFFSET(Curvas_cupon_cero!$A$1,1,MATCH($B$6,Curvas_cupon_cero!$1:$1,0)-1,COUNT(Curvas_cupon_cero!$A:$A)-2,1)),[1]!interpolar(H668,OFFSET(Curvas_cupon_cero!$A$1,1,0,COUNT(Curvas_cupon_cero!$A:$A)-2,1),OFFSET(Curvas_cupon_cero!$A$1,1,MATCH($B$6,Curvas_cupon_cero!$1:$1,0)-1,COUNT(Curvas_cupon_cero!$A:$A)-2,1))))</f>
        <v/>
      </c>
      <c r="J668" s="19" t="str">
        <f>IF(A668="","",F668/(1+I668*$B$5/360)^(COUNT(A$16:A668)-($B$5-$G$16)/$B$5))</f>
        <v/>
      </c>
    </row>
    <row r="669" spans="1:10" x14ac:dyDescent="0.2">
      <c r="A669" s="12" t="str">
        <f t="shared" si="63"/>
        <v/>
      </c>
      <c r="B669" t="str">
        <f t="shared" si="61"/>
        <v/>
      </c>
      <c r="C669" s="21" t="str">
        <f ca="1">IF(A669="","",IF($B$8="Sí",interpolar_alamb(B669,OFFSET(Curvas_cupon_cero!$A$1,1,0,COUNT(Curvas_cupon_cero!$A:$A)-2,1),OFFSET(Curvas_cupon_cero!$A$1,1,MATCH($B$7,Curvas_cupon_cero!$1:$1,0)-1,COUNT(Curvas_cupon_cero!$A:$A)-2,1)),[1]!interpolar(B669,OFFSET(Curvas_cupon_cero!$A$1,1,0,COUNT(Curvas_cupon_cero!$A:$A)-2,1),OFFSET(Curvas_cupon_cero!$A$1,1,MATCH($B$7,Curvas_cupon_cero!$1:$1,0)-1,COUNT(Curvas_cupon_cero!$A:$A)-2,1))))</f>
        <v/>
      </c>
      <c r="D669" s="23" t="str">
        <f ca="1">IF(A669="","",IF($B$8="Sí",interpolar_alamb(H669,OFFSET(Curvas_cupon_cero!$A$1,1,0,COUNT(Curvas_cupon_cero!$A:$A)-2,1),OFFSET(Curvas_cupon_cero!$A$1,1,MATCH($B$7,Curvas_cupon_cero!$1:$1,0)-1,COUNT(Curvas_cupon_cero!$A:$A)-2,1)),[1]!interpolar(H669,OFFSET(Curvas_cupon_cero!$A$1,1,0,COUNT(Curvas_cupon_cero!$A:$A)-2,1),OFFSET(Curvas_cupon_cero!$A$1,1,MATCH($B$7,Curvas_cupon_cero!$1:$1,0)-1,COUNT(Curvas_cupon_cero!$A:$A)-2,1))))</f>
        <v/>
      </c>
      <c r="E669" s="23" t="str">
        <f t="shared" si="64"/>
        <v/>
      </c>
      <c r="F669" s="17" t="str">
        <f t="shared" si="62"/>
        <v/>
      </c>
      <c r="G669" s="18" t="str">
        <f t="shared" si="65"/>
        <v/>
      </c>
      <c r="H669" t="str">
        <f t="shared" si="66"/>
        <v/>
      </c>
      <c r="I669" s="23" t="str">
        <f ca="1">IF(A669="","",IF($B$8="Sí",interpolar_alamb(H669,OFFSET(Curvas_cupon_cero!$A$1,1,0,COUNT(Curvas_cupon_cero!$A:$A)-2,1),OFFSET(Curvas_cupon_cero!$A$1,1,MATCH($B$6,Curvas_cupon_cero!$1:$1,0)-1,COUNT(Curvas_cupon_cero!$A:$A)-2,1)),[1]!interpolar(H669,OFFSET(Curvas_cupon_cero!$A$1,1,0,COUNT(Curvas_cupon_cero!$A:$A)-2,1),OFFSET(Curvas_cupon_cero!$A$1,1,MATCH($B$6,Curvas_cupon_cero!$1:$1,0)-1,COUNT(Curvas_cupon_cero!$A:$A)-2,1))))</f>
        <v/>
      </c>
      <c r="J669" s="19" t="str">
        <f>IF(A669="","",F669/(1+I669*$B$5/360)^(COUNT(A$16:A669)-($B$5-$G$16)/$B$5))</f>
        <v/>
      </c>
    </row>
    <row r="670" spans="1:10" x14ac:dyDescent="0.2">
      <c r="A670" s="12" t="str">
        <f t="shared" si="63"/>
        <v/>
      </c>
      <c r="B670" t="str">
        <f t="shared" si="61"/>
        <v/>
      </c>
      <c r="C670" s="21" t="str">
        <f ca="1">IF(A670="","",IF($B$8="Sí",interpolar_alamb(B670,OFFSET(Curvas_cupon_cero!$A$1,1,0,COUNT(Curvas_cupon_cero!$A:$A)-2,1),OFFSET(Curvas_cupon_cero!$A$1,1,MATCH($B$7,Curvas_cupon_cero!$1:$1,0)-1,COUNT(Curvas_cupon_cero!$A:$A)-2,1)),[1]!interpolar(B670,OFFSET(Curvas_cupon_cero!$A$1,1,0,COUNT(Curvas_cupon_cero!$A:$A)-2,1),OFFSET(Curvas_cupon_cero!$A$1,1,MATCH($B$7,Curvas_cupon_cero!$1:$1,0)-1,COUNT(Curvas_cupon_cero!$A:$A)-2,1))))</f>
        <v/>
      </c>
      <c r="D670" s="23" t="str">
        <f ca="1">IF(A670="","",IF($B$8="Sí",interpolar_alamb(H670,OFFSET(Curvas_cupon_cero!$A$1,1,0,COUNT(Curvas_cupon_cero!$A:$A)-2,1),OFFSET(Curvas_cupon_cero!$A$1,1,MATCH($B$7,Curvas_cupon_cero!$1:$1,0)-1,COUNT(Curvas_cupon_cero!$A:$A)-2,1)),[1]!interpolar(H670,OFFSET(Curvas_cupon_cero!$A$1,1,0,COUNT(Curvas_cupon_cero!$A:$A)-2,1),OFFSET(Curvas_cupon_cero!$A$1,1,MATCH($B$7,Curvas_cupon_cero!$1:$1,0)-1,COUNT(Curvas_cupon_cero!$A:$A)-2,1))))</f>
        <v/>
      </c>
      <c r="E670" s="23" t="str">
        <f t="shared" si="64"/>
        <v/>
      </c>
      <c r="F670" s="17" t="str">
        <f t="shared" si="62"/>
        <v/>
      </c>
      <c r="G670" s="18" t="str">
        <f t="shared" si="65"/>
        <v/>
      </c>
      <c r="H670" t="str">
        <f t="shared" si="66"/>
        <v/>
      </c>
      <c r="I670" s="23" t="str">
        <f ca="1">IF(A670="","",IF($B$8="Sí",interpolar_alamb(H670,OFFSET(Curvas_cupon_cero!$A$1,1,0,COUNT(Curvas_cupon_cero!$A:$A)-2,1),OFFSET(Curvas_cupon_cero!$A$1,1,MATCH($B$6,Curvas_cupon_cero!$1:$1,0)-1,COUNT(Curvas_cupon_cero!$A:$A)-2,1)),[1]!interpolar(H670,OFFSET(Curvas_cupon_cero!$A$1,1,0,COUNT(Curvas_cupon_cero!$A:$A)-2,1),OFFSET(Curvas_cupon_cero!$A$1,1,MATCH($B$6,Curvas_cupon_cero!$1:$1,0)-1,COUNT(Curvas_cupon_cero!$A:$A)-2,1))))</f>
        <v/>
      </c>
      <c r="J670" s="19" t="str">
        <f>IF(A670="","",F670/(1+I670*$B$5/360)^(COUNT(A$16:A670)-($B$5-$G$16)/$B$5))</f>
        <v/>
      </c>
    </row>
    <row r="671" spans="1:10" x14ac:dyDescent="0.2">
      <c r="A671" s="12" t="str">
        <f t="shared" si="63"/>
        <v/>
      </c>
      <c r="B671" t="str">
        <f t="shared" si="61"/>
        <v/>
      </c>
      <c r="C671" s="21" t="str">
        <f ca="1">IF(A671="","",IF($B$8="Sí",interpolar_alamb(B671,OFFSET(Curvas_cupon_cero!$A$1,1,0,COUNT(Curvas_cupon_cero!$A:$A)-2,1),OFFSET(Curvas_cupon_cero!$A$1,1,MATCH($B$7,Curvas_cupon_cero!$1:$1,0)-1,COUNT(Curvas_cupon_cero!$A:$A)-2,1)),[1]!interpolar(B671,OFFSET(Curvas_cupon_cero!$A$1,1,0,COUNT(Curvas_cupon_cero!$A:$A)-2,1),OFFSET(Curvas_cupon_cero!$A$1,1,MATCH($B$7,Curvas_cupon_cero!$1:$1,0)-1,COUNT(Curvas_cupon_cero!$A:$A)-2,1))))</f>
        <v/>
      </c>
      <c r="D671" s="23" t="str">
        <f ca="1">IF(A671="","",IF($B$8="Sí",interpolar_alamb(H671,OFFSET(Curvas_cupon_cero!$A$1,1,0,COUNT(Curvas_cupon_cero!$A:$A)-2,1),OFFSET(Curvas_cupon_cero!$A$1,1,MATCH($B$7,Curvas_cupon_cero!$1:$1,0)-1,COUNT(Curvas_cupon_cero!$A:$A)-2,1)),[1]!interpolar(H671,OFFSET(Curvas_cupon_cero!$A$1,1,0,COUNT(Curvas_cupon_cero!$A:$A)-2,1),OFFSET(Curvas_cupon_cero!$A$1,1,MATCH($B$7,Curvas_cupon_cero!$1:$1,0)-1,COUNT(Curvas_cupon_cero!$A:$A)-2,1))))</f>
        <v/>
      </c>
      <c r="E671" s="23" t="str">
        <f t="shared" si="64"/>
        <v/>
      </c>
      <c r="F671" s="17" t="str">
        <f t="shared" si="62"/>
        <v/>
      </c>
      <c r="G671" s="18" t="str">
        <f t="shared" si="65"/>
        <v/>
      </c>
      <c r="H671" t="str">
        <f t="shared" si="66"/>
        <v/>
      </c>
      <c r="I671" s="23" t="str">
        <f ca="1">IF(A671="","",IF($B$8="Sí",interpolar_alamb(H671,OFFSET(Curvas_cupon_cero!$A$1,1,0,COUNT(Curvas_cupon_cero!$A:$A)-2,1),OFFSET(Curvas_cupon_cero!$A$1,1,MATCH($B$6,Curvas_cupon_cero!$1:$1,0)-1,COUNT(Curvas_cupon_cero!$A:$A)-2,1)),[1]!interpolar(H671,OFFSET(Curvas_cupon_cero!$A$1,1,0,COUNT(Curvas_cupon_cero!$A:$A)-2,1),OFFSET(Curvas_cupon_cero!$A$1,1,MATCH($B$6,Curvas_cupon_cero!$1:$1,0)-1,COUNT(Curvas_cupon_cero!$A:$A)-2,1))))</f>
        <v/>
      </c>
      <c r="J671" s="19" t="str">
        <f>IF(A671="","",F671/(1+I671*$B$5/360)^(COUNT(A$16:A671)-($B$5-$G$16)/$B$5))</f>
        <v/>
      </c>
    </row>
    <row r="672" spans="1:10" x14ac:dyDescent="0.2">
      <c r="A672" s="12" t="str">
        <f t="shared" si="63"/>
        <v/>
      </c>
      <c r="B672" t="str">
        <f t="shared" si="61"/>
        <v/>
      </c>
      <c r="C672" s="21" t="str">
        <f ca="1">IF(A672="","",IF($B$8="Sí",interpolar_alamb(B672,OFFSET(Curvas_cupon_cero!$A$1,1,0,COUNT(Curvas_cupon_cero!$A:$A)-2,1),OFFSET(Curvas_cupon_cero!$A$1,1,MATCH($B$7,Curvas_cupon_cero!$1:$1,0)-1,COUNT(Curvas_cupon_cero!$A:$A)-2,1)),[1]!interpolar(B672,OFFSET(Curvas_cupon_cero!$A$1,1,0,COUNT(Curvas_cupon_cero!$A:$A)-2,1),OFFSET(Curvas_cupon_cero!$A$1,1,MATCH($B$7,Curvas_cupon_cero!$1:$1,0)-1,COUNT(Curvas_cupon_cero!$A:$A)-2,1))))</f>
        <v/>
      </c>
      <c r="D672" s="23" t="str">
        <f ca="1">IF(A672="","",IF($B$8="Sí",interpolar_alamb(H672,OFFSET(Curvas_cupon_cero!$A$1,1,0,COUNT(Curvas_cupon_cero!$A:$A)-2,1),OFFSET(Curvas_cupon_cero!$A$1,1,MATCH($B$7,Curvas_cupon_cero!$1:$1,0)-1,COUNT(Curvas_cupon_cero!$A:$A)-2,1)),[1]!interpolar(H672,OFFSET(Curvas_cupon_cero!$A$1,1,0,COUNT(Curvas_cupon_cero!$A:$A)-2,1),OFFSET(Curvas_cupon_cero!$A$1,1,MATCH($B$7,Curvas_cupon_cero!$1:$1,0)-1,COUNT(Curvas_cupon_cero!$A:$A)-2,1))))</f>
        <v/>
      </c>
      <c r="E672" s="23" t="str">
        <f t="shared" si="64"/>
        <v/>
      </c>
      <c r="F672" s="17" t="str">
        <f t="shared" si="62"/>
        <v/>
      </c>
      <c r="G672" s="18" t="str">
        <f t="shared" si="65"/>
        <v/>
      </c>
      <c r="H672" t="str">
        <f t="shared" si="66"/>
        <v/>
      </c>
      <c r="I672" s="23" t="str">
        <f ca="1">IF(A672="","",IF($B$8="Sí",interpolar_alamb(H672,OFFSET(Curvas_cupon_cero!$A$1,1,0,COUNT(Curvas_cupon_cero!$A:$A)-2,1),OFFSET(Curvas_cupon_cero!$A$1,1,MATCH($B$6,Curvas_cupon_cero!$1:$1,0)-1,COUNT(Curvas_cupon_cero!$A:$A)-2,1)),[1]!interpolar(H672,OFFSET(Curvas_cupon_cero!$A$1,1,0,COUNT(Curvas_cupon_cero!$A:$A)-2,1),OFFSET(Curvas_cupon_cero!$A$1,1,MATCH($B$6,Curvas_cupon_cero!$1:$1,0)-1,COUNT(Curvas_cupon_cero!$A:$A)-2,1))))</f>
        <v/>
      </c>
      <c r="J672" s="19" t="str">
        <f>IF(A672="","",F672/(1+I672*$B$5/360)^(COUNT(A$16:A672)-($B$5-$G$16)/$B$5))</f>
        <v/>
      </c>
    </row>
    <row r="673" spans="1:10" x14ac:dyDescent="0.2">
      <c r="A673" s="12" t="str">
        <f t="shared" si="63"/>
        <v/>
      </c>
      <c r="B673" t="str">
        <f t="shared" si="61"/>
        <v/>
      </c>
      <c r="C673" s="21" t="str">
        <f ca="1">IF(A673="","",IF($B$8="Sí",interpolar_alamb(B673,OFFSET(Curvas_cupon_cero!$A$1,1,0,COUNT(Curvas_cupon_cero!$A:$A)-2,1),OFFSET(Curvas_cupon_cero!$A$1,1,MATCH($B$7,Curvas_cupon_cero!$1:$1,0)-1,COUNT(Curvas_cupon_cero!$A:$A)-2,1)),[1]!interpolar(B673,OFFSET(Curvas_cupon_cero!$A$1,1,0,COUNT(Curvas_cupon_cero!$A:$A)-2,1),OFFSET(Curvas_cupon_cero!$A$1,1,MATCH($B$7,Curvas_cupon_cero!$1:$1,0)-1,COUNT(Curvas_cupon_cero!$A:$A)-2,1))))</f>
        <v/>
      </c>
      <c r="D673" s="23" t="str">
        <f ca="1">IF(A673="","",IF($B$8="Sí",interpolar_alamb(H673,OFFSET(Curvas_cupon_cero!$A$1,1,0,COUNT(Curvas_cupon_cero!$A:$A)-2,1),OFFSET(Curvas_cupon_cero!$A$1,1,MATCH($B$7,Curvas_cupon_cero!$1:$1,0)-1,COUNT(Curvas_cupon_cero!$A:$A)-2,1)),[1]!interpolar(H673,OFFSET(Curvas_cupon_cero!$A$1,1,0,COUNT(Curvas_cupon_cero!$A:$A)-2,1),OFFSET(Curvas_cupon_cero!$A$1,1,MATCH($B$7,Curvas_cupon_cero!$1:$1,0)-1,COUNT(Curvas_cupon_cero!$A:$A)-2,1))))</f>
        <v/>
      </c>
      <c r="E673" s="23" t="str">
        <f t="shared" si="64"/>
        <v/>
      </c>
      <c r="F673" s="17" t="str">
        <f t="shared" si="62"/>
        <v/>
      </c>
      <c r="G673" s="18" t="str">
        <f t="shared" si="65"/>
        <v/>
      </c>
      <c r="H673" t="str">
        <f t="shared" si="66"/>
        <v/>
      </c>
      <c r="I673" s="23" t="str">
        <f ca="1">IF(A673="","",IF($B$8="Sí",interpolar_alamb(H673,OFFSET(Curvas_cupon_cero!$A$1,1,0,COUNT(Curvas_cupon_cero!$A:$A)-2,1),OFFSET(Curvas_cupon_cero!$A$1,1,MATCH($B$6,Curvas_cupon_cero!$1:$1,0)-1,COUNT(Curvas_cupon_cero!$A:$A)-2,1)),[1]!interpolar(H673,OFFSET(Curvas_cupon_cero!$A$1,1,0,COUNT(Curvas_cupon_cero!$A:$A)-2,1),OFFSET(Curvas_cupon_cero!$A$1,1,MATCH($B$6,Curvas_cupon_cero!$1:$1,0)-1,COUNT(Curvas_cupon_cero!$A:$A)-2,1))))</f>
        <v/>
      </c>
      <c r="J673" s="19" t="str">
        <f>IF(A673="","",F673/(1+I673*$B$5/360)^(COUNT(A$16:A673)-($B$5-$G$16)/$B$5))</f>
        <v/>
      </c>
    </row>
    <row r="674" spans="1:10" x14ac:dyDescent="0.2">
      <c r="A674" s="12" t="str">
        <f t="shared" si="63"/>
        <v/>
      </c>
      <c r="B674" t="str">
        <f t="shared" si="61"/>
        <v/>
      </c>
      <c r="C674" s="21" t="str">
        <f ca="1">IF(A674="","",IF($B$8="Sí",interpolar_alamb(B674,OFFSET(Curvas_cupon_cero!$A$1,1,0,COUNT(Curvas_cupon_cero!$A:$A)-2,1),OFFSET(Curvas_cupon_cero!$A$1,1,MATCH($B$7,Curvas_cupon_cero!$1:$1,0)-1,COUNT(Curvas_cupon_cero!$A:$A)-2,1)),[1]!interpolar(B674,OFFSET(Curvas_cupon_cero!$A$1,1,0,COUNT(Curvas_cupon_cero!$A:$A)-2,1),OFFSET(Curvas_cupon_cero!$A$1,1,MATCH($B$7,Curvas_cupon_cero!$1:$1,0)-1,COUNT(Curvas_cupon_cero!$A:$A)-2,1))))</f>
        <v/>
      </c>
      <c r="D674" s="23" t="str">
        <f ca="1">IF(A674="","",IF($B$8="Sí",interpolar_alamb(H674,OFFSET(Curvas_cupon_cero!$A$1,1,0,COUNT(Curvas_cupon_cero!$A:$A)-2,1),OFFSET(Curvas_cupon_cero!$A$1,1,MATCH($B$7,Curvas_cupon_cero!$1:$1,0)-1,COUNT(Curvas_cupon_cero!$A:$A)-2,1)),[1]!interpolar(H674,OFFSET(Curvas_cupon_cero!$A$1,1,0,COUNT(Curvas_cupon_cero!$A:$A)-2,1),OFFSET(Curvas_cupon_cero!$A$1,1,MATCH($B$7,Curvas_cupon_cero!$1:$1,0)-1,COUNT(Curvas_cupon_cero!$A:$A)-2,1))))</f>
        <v/>
      </c>
      <c r="E674" s="23" t="str">
        <f t="shared" si="64"/>
        <v/>
      </c>
      <c r="F674" s="17" t="str">
        <f t="shared" si="62"/>
        <v/>
      </c>
      <c r="G674" s="18" t="str">
        <f t="shared" si="65"/>
        <v/>
      </c>
      <c r="H674" t="str">
        <f t="shared" si="66"/>
        <v/>
      </c>
      <c r="I674" s="23" t="str">
        <f ca="1">IF(A674="","",IF($B$8="Sí",interpolar_alamb(H674,OFFSET(Curvas_cupon_cero!$A$1,1,0,COUNT(Curvas_cupon_cero!$A:$A)-2,1),OFFSET(Curvas_cupon_cero!$A$1,1,MATCH($B$6,Curvas_cupon_cero!$1:$1,0)-1,COUNT(Curvas_cupon_cero!$A:$A)-2,1)),[1]!interpolar(H674,OFFSET(Curvas_cupon_cero!$A$1,1,0,COUNT(Curvas_cupon_cero!$A:$A)-2,1),OFFSET(Curvas_cupon_cero!$A$1,1,MATCH($B$6,Curvas_cupon_cero!$1:$1,0)-1,COUNT(Curvas_cupon_cero!$A:$A)-2,1))))</f>
        <v/>
      </c>
      <c r="J674" s="19" t="str">
        <f>IF(A674="","",F674/(1+I674*$B$5/360)^(COUNT(A$16:A674)-($B$5-$G$16)/$B$5))</f>
        <v/>
      </c>
    </row>
    <row r="675" spans="1:10" x14ac:dyDescent="0.2">
      <c r="A675" s="12" t="str">
        <f t="shared" si="63"/>
        <v/>
      </c>
      <c r="B675" t="str">
        <f t="shared" si="61"/>
        <v/>
      </c>
      <c r="C675" s="21" t="str">
        <f ca="1">IF(A675="","",IF($B$8="Sí",interpolar_alamb(B675,OFFSET(Curvas_cupon_cero!$A$1,1,0,COUNT(Curvas_cupon_cero!$A:$A)-2,1),OFFSET(Curvas_cupon_cero!$A$1,1,MATCH($B$7,Curvas_cupon_cero!$1:$1,0)-1,COUNT(Curvas_cupon_cero!$A:$A)-2,1)),[1]!interpolar(B675,OFFSET(Curvas_cupon_cero!$A$1,1,0,COUNT(Curvas_cupon_cero!$A:$A)-2,1),OFFSET(Curvas_cupon_cero!$A$1,1,MATCH($B$7,Curvas_cupon_cero!$1:$1,0)-1,COUNT(Curvas_cupon_cero!$A:$A)-2,1))))</f>
        <v/>
      </c>
      <c r="D675" s="23" t="str">
        <f ca="1">IF(A675="","",IF($B$8="Sí",interpolar_alamb(H675,OFFSET(Curvas_cupon_cero!$A$1,1,0,COUNT(Curvas_cupon_cero!$A:$A)-2,1),OFFSET(Curvas_cupon_cero!$A$1,1,MATCH($B$7,Curvas_cupon_cero!$1:$1,0)-1,COUNT(Curvas_cupon_cero!$A:$A)-2,1)),[1]!interpolar(H675,OFFSET(Curvas_cupon_cero!$A$1,1,0,COUNT(Curvas_cupon_cero!$A:$A)-2,1),OFFSET(Curvas_cupon_cero!$A$1,1,MATCH($B$7,Curvas_cupon_cero!$1:$1,0)-1,COUNT(Curvas_cupon_cero!$A:$A)-2,1))))</f>
        <v/>
      </c>
      <c r="E675" s="23" t="str">
        <f t="shared" si="64"/>
        <v/>
      </c>
      <c r="F675" s="17" t="str">
        <f t="shared" si="62"/>
        <v/>
      </c>
      <c r="G675" s="18" t="str">
        <f t="shared" si="65"/>
        <v/>
      </c>
      <c r="H675" t="str">
        <f t="shared" si="66"/>
        <v/>
      </c>
      <c r="I675" s="23" t="str">
        <f ca="1">IF(A675="","",IF($B$8="Sí",interpolar_alamb(H675,OFFSET(Curvas_cupon_cero!$A$1,1,0,COUNT(Curvas_cupon_cero!$A:$A)-2,1),OFFSET(Curvas_cupon_cero!$A$1,1,MATCH($B$6,Curvas_cupon_cero!$1:$1,0)-1,COUNT(Curvas_cupon_cero!$A:$A)-2,1)),[1]!interpolar(H675,OFFSET(Curvas_cupon_cero!$A$1,1,0,COUNT(Curvas_cupon_cero!$A:$A)-2,1),OFFSET(Curvas_cupon_cero!$A$1,1,MATCH($B$6,Curvas_cupon_cero!$1:$1,0)-1,COUNT(Curvas_cupon_cero!$A:$A)-2,1))))</f>
        <v/>
      </c>
      <c r="J675" s="19" t="str">
        <f>IF(A675="","",F675/(1+I675*$B$5/360)^(COUNT(A$16:A675)-($B$5-$G$16)/$B$5))</f>
        <v/>
      </c>
    </row>
    <row r="676" spans="1:10" x14ac:dyDescent="0.2">
      <c r="A676" s="12" t="str">
        <f t="shared" si="63"/>
        <v/>
      </c>
      <c r="B676" t="str">
        <f t="shared" si="61"/>
        <v/>
      </c>
      <c r="C676" s="21" t="str">
        <f ca="1">IF(A676="","",IF($B$8="Sí",interpolar_alamb(B676,OFFSET(Curvas_cupon_cero!$A$1,1,0,COUNT(Curvas_cupon_cero!$A:$A)-2,1),OFFSET(Curvas_cupon_cero!$A$1,1,MATCH($B$7,Curvas_cupon_cero!$1:$1,0)-1,COUNT(Curvas_cupon_cero!$A:$A)-2,1)),[1]!interpolar(B676,OFFSET(Curvas_cupon_cero!$A$1,1,0,COUNT(Curvas_cupon_cero!$A:$A)-2,1),OFFSET(Curvas_cupon_cero!$A$1,1,MATCH($B$7,Curvas_cupon_cero!$1:$1,0)-1,COUNT(Curvas_cupon_cero!$A:$A)-2,1))))</f>
        <v/>
      </c>
      <c r="D676" s="23" t="str">
        <f ca="1">IF(A676="","",IF($B$8="Sí",interpolar_alamb(H676,OFFSET(Curvas_cupon_cero!$A$1,1,0,COUNT(Curvas_cupon_cero!$A:$A)-2,1),OFFSET(Curvas_cupon_cero!$A$1,1,MATCH($B$7,Curvas_cupon_cero!$1:$1,0)-1,COUNT(Curvas_cupon_cero!$A:$A)-2,1)),[1]!interpolar(H676,OFFSET(Curvas_cupon_cero!$A$1,1,0,COUNT(Curvas_cupon_cero!$A:$A)-2,1),OFFSET(Curvas_cupon_cero!$A$1,1,MATCH($B$7,Curvas_cupon_cero!$1:$1,0)-1,COUNT(Curvas_cupon_cero!$A:$A)-2,1))))</f>
        <v/>
      </c>
      <c r="E676" s="23" t="str">
        <f t="shared" si="64"/>
        <v/>
      </c>
      <c r="F676" s="17" t="str">
        <f t="shared" si="62"/>
        <v/>
      </c>
      <c r="G676" s="18" t="str">
        <f t="shared" si="65"/>
        <v/>
      </c>
      <c r="H676" t="str">
        <f t="shared" si="66"/>
        <v/>
      </c>
      <c r="I676" s="23" t="str">
        <f ca="1">IF(A676="","",IF($B$8="Sí",interpolar_alamb(H676,OFFSET(Curvas_cupon_cero!$A$1,1,0,COUNT(Curvas_cupon_cero!$A:$A)-2,1),OFFSET(Curvas_cupon_cero!$A$1,1,MATCH($B$6,Curvas_cupon_cero!$1:$1,0)-1,COUNT(Curvas_cupon_cero!$A:$A)-2,1)),[1]!interpolar(H676,OFFSET(Curvas_cupon_cero!$A$1,1,0,COUNT(Curvas_cupon_cero!$A:$A)-2,1),OFFSET(Curvas_cupon_cero!$A$1,1,MATCH($B$6,Curvas_cupon_cero!$1:$1,0)-1,COUNT(Curvas_cupon_cero!$A:$A)-2,1))))</f>
        <v/>
      </c>
      <c r="J676" s="19" t="str">
        <f>IF(A676="","",F676/(1+I676*$B$5/360)^(COUNT(A$16:A676)-($B$5-$G$16)/$B$5))</f>
        <v/>
      </c>
    </row>
    <row r="677" spans="1:10" x14ac:dyDescent="0.2">
      <c r="A677" s="12" t="str">
        <f t="shared" si="63"/>
        <v/>
      </c>
      <c r="B677" t="str">
        <f t="shared" si="61"/>
        <v/>
      </c>
      <c r="C677" s="21" t="str">
        <f ca="1">IF(A677="","",IF($B$8="Sí",interpolar_alamb(B677,OFFSET(Curvas_cupon_cero!$A$1,1,0,COUNT(Curvas_cupon_cero!$A:$A)-2,1),OFFSET(Curvas_cupon_cero!$A$1,1,MATCH($B$7,Curvas_cupon_cero!$1:$1,0)-1,COUNT(Curvas_cupon_cero!$A:$A)-2,1)),[1]!interpolar(B677,OFFSET(Curvas_cupon_cero!$A$1,1,0,COUNT(Curvas_cupon_cero!$A:$A)-2,1),OFFSET(Curvas_cupon_cero!$A$1,1,MATCH($B$7,Curvas_cupon_cero!$1:$1,0)-1,COUNT(Curvas_cupon_cero!$A:$A)-2,1))))</f>
        <v/>
      </c>
      <c r="D677" s="23" t="str">
        <f ca="1">IF(A677="","",IF($B$8="Sí",interpolar_alamb(H677,OFFSET(Curvas_cupon_cero!$A$1,1,0,COUNT(Curvas_cupon_cero!$A:$A)-2,1),OFFSET(Curvas_cupon_cero!$A$1,1,MATCH($B$7,Curvas_cupon_cero!$1:$1,0)-1,COUNT(Curvas_cupon_cero!$A:$A)-2,1)),[1]!interpolar(H677,OFFSET(Curvas_cupon_cero!$A$1,1,0,COUNT(Curvas_cupon_cero!$A:$A)-2,1),OFFSET(Curvas_cupon_cero!$A$1,1,MATCH($B$7,Curvas_cupon_cero!$1:$1,0)-1,COUNT(Curvas_cupon_cero!$A:$A)-2,1))))</f>
        <v/>
      </c>
      <c r="E677" s="23" t="str">
        <f t="shared" si="64"/>
        <v/>
      </c>
      <c r="F677" s="17" t="str">
        <f t="shared" si="62"/>
        <v/>
      </c>
      <c r="G677" s="18" t="str">
        <f t="shared" si="65"/>
        <v/>
      </c>
      <c r="H677" t="str">
        <f t="shared" si="66"/>
        <v/>
      </c>
      <c r="I677" s="23" t="str">
        <f ca="1">IF(A677="","",IF($B$8="Sí",interpolar_alamb(H677,OFFSET(Curvas_cupon_cero!$A$1,1,0,COUNT(Curvas_cupon_cero!$A:$A)-2,1),OFFSET(Curvas_cupon_cero!$A$1,1,MATCH($B$6,Curvas_cupon_cero!$1:$1,0)-1,COUNT(Curvas_cupon_cero!$A:$A)-2,1)),[1]!interpolar(H677,OFFSET(Curvas_cupon_cero!$A$1,1,0,COUNT(Curvas_cupon_cero!$A:$A)-2,1),OFFSET(Curvas_cupon_cero!$A$1,1,MATCH($B$6,Curvas_cupon_cero!$1:$1,0)-1,COUNT(Curvas_cupon_cero!$A:$A)-2,1))))</f>
        <v/>
      </c>
      <c r="J677" s="19" t="str">
        <f>IF(A677="","",F677/(1+I677*$B$5/360)^(COUNT(A$16:A677)-($B$5-$G$16)/$B$5))</f>
        <v/>
      </c>
    </row>
    <row r="678" spans="1:10" x14ac:dyDescent="0.2">
      <c r="A678" s="12" t="str">
        <f t="shared" si="63"/>
        <v/>
      </c>
      <c r="B678" t="str">
        <f t="shared" si="61"/>
        <v/>
      </c>
      <c r="C678" s="21" t="str">
        <f ca="1">IF(A678="","",IF($B$8="Sí",interpolar_alamb(B678,OFFSET(Curvas_cupon_cero!$A$1,1,0,COUNT(Curvas_cupon_cero!$A:$A)-2,1),OFFSET(Curvas_cupon_cero!$A$1,1,MATCH($B$7,Curvas_cupon_cero!$1:$1,0)-1,COUNT(Curvas_cupon_cero!$A:$A)-2,1)),[1]!interpolar(B678,OFFSET(Curvas_cupon_cero!$A$1,1,0,COUNT(Curvas_cupon_cero!$A:$A)-2,1),OFFSET(Curvas_cupon_cero!$A$1,1,MATCH($B$7,Curvas_cupon_cero!$1:$1,0)-1,COUNT(Curvas_cupon_cero!$A:$A)-2,1))))</f>
        <v/>
      </c>
      <c r="D678" s="23" t="str">
        <f ca="1">IF(A678="","",IF($B$8="Sí",interpolar_alamb(H678,OFFSET(Curvas_cupon_cero!$A$1,1,0,COUNT(Curvas_cupon_cero!$A:$A)-2,1),OFFSET(Curvas_cupon_cero!$A$1,1,MATCH($B$7,Curvas_cupon_cero!$1:$1,0)-1,COUNT(Curvas_cupon_cero!$A:$A)-2,1)),[1]!interpolar(H678,OFFSET(Curvas_cupon_cero!$A$1,1,0,COUNT(Curvas_cupon_cero!$A:$A)-2,1),OFFSET(Curvas_cupon_cero!$A$1,1,MATCH($B$7,Curvas_cupon_cero!$1:$1,0)-1,COUNT(Curvas_cupon_cero!$A:$A)-2,1))))</f>
        <v/>
      </c>
      <c r="E678" s="23" t="str">
        <f t="shared" si="64"/>
        <v/>
      </c>
      <c r="F678" s="17" t="str">
        <f t="shared" si="62"/>
        <v/>
      </c>
      <c r="G678" s="18" t="str">
        <f t="shared" si="65"/>
        <v/>
      </c>
      <c r="H678" t="str">
        <f t="shared" si="66"/>
        <v/>
      </c>
      <c r="I678" s="23" t="str">
        <f ca="1">IF(A678="","",IF($B$8="Sí",interpolar_alamb(H678,OFFSET(Curvas_cupon_cero!$A$1,1,0,COUNT(Curvas_cupon_cero!$A:$A)-2,1),OFFSET(Curvas_cupon_cero!$A$1,1,MATCH($B$6,Curvas_cupon_cero!$1:$1,0)-1,COUNT(Curvas_cupon_cero!$A:$A)-2,1)),[1]!interpolar(H678,OFFSET(Curvas_cupon_cero!$A$1,1,0,COUNT(Curvas_cupon_cero!$A:$A)-2,1),OFFSET(Curvas_cupon_cero!$A$1,1,MATCH($B$6,Curvas_cupon_cero!$1:$1,0)-1,COUNT(Curvas_cupon_cero!$A:$A)-2,1))))</f>
        <v/>
      </c>
      <c r="J678" s="19" t="str">
        <f>IF(A678="","",F678/(1+I678*$B$5/360)^(COUNT(A$16:A678)-($B$5-$G$16)/$B$5))</f>
        <v/>
      </c>
    </row>
    <row r="679" spans="1:10" x14ac:dyDescent="0.2">
      <c r="A679" s="12" t="str">
        <f t="shared" si="63"/>
        <v/>
      </c>
      <c r="B679" t="str">
        <f t="shared" si="61"/>
        <v/>
      </c>
      <c r="C679" s="21" t="str">
        <f ca="1">IF(A679="","",IF($B$8="Sí",interpolar_alamb(B679,OFFSET(Curvas_cupon_cero!$A$1,1,0,COUNT(Curvas_cupon_cero!$A:$A)-2,1),OFFSET(Curvas_cupon_cero!$A$1,1,MATCH($B$7,Curvas_cupon_cero!$1:$1,0)-1,COUNT(Curvas_cupon_cero!$A:$A)-2,1)),[1]!interpolar(B679,OFFSET(Curvas_cupon_cero!$A$1,1,0,COUNT(Curvas_cupon_cero!$A:$A)-2,1),OFFSET(Curvas_cupon_cero!$A$1,1,MATCH($B$7,Curvas_cupon_cero!$1:$1,0)-1,COUNT(Curvas_cupon_cero!$A:$A)-2,1))))</f>
        <v/>
      </c>
      <c r="D679" s="23" t="str">
        <f ca="1">IF(A679="","",IF($B$8="Sí",interpolar_alamb(H679,OFFSET(Curvas_cupon_cero!$A$1,1,0,COUNT(Curvas_cupon_cero!$A:$A)-2,1),OFFSET(Curvas_cupon_cero!$A$1,1,MATCH($B$7,Curvas_cupon_cero!$1:$1,0)-1,COUNT(Curvas_cupon_cero!$A:$A)-2,1)),[1]!interpolar(H679,OFFSET(Curvas_cupon_cero!$A$1,1,0,COUNT(Curvas_cupon_cero!$A:$A)-2,1),OFFSET(Curvas_cupon_cero!$A$1,1,MATCH($B$7,Curvas_cupon_cero!$1:$1,0)-1,COUNT(Curvas_cupon_cero!$A:$A)-2,1))))</f>
        <v/>
      </c>
      <c r="E679" s="23" t="str">
        <f t="shared" si="64"/>
        <v/>
      </c>
      <c r="F679" s="17" t="str">
        <f t="shared" si="62"/>
        <v/>
      </c>
      <c r="G679" s="18" t="str">
        <f t="shared" si="65"/>
        <v/>
      </c>
      <c r="H679" t="str">
        <f t="shared" si="66"/>
        <v/>
      </c>
      <c r="I679" s="23" t="str">
        <f ca="1">IF(A679="","",IF($B$8="Sí",interpolar_alamb(H679,OFFSET(Curvas_cupon_cero!$A$1,1,0,COUNT(Curvas_cupon_cero!$A:$A)-2,1),OFFSET(Curvas_cupon_cero!$A$1,1,MATCH($B$6,Curvas_cupon_cero!$1:$1,0)-1,COUNT(Curvas_cupon_cero!$A:$A)-2,1)),[1]!interpolar(H679,OFFSET(Curvas_cupon_cero!$A$1,1,0,COUNT(Curvas_cupon_cero!$A:$A)-2,1),OFFSET(Curvas_cupon_cero!$A$1,1,MATCH($B$6,Curvas_cupon_cero!$1:$1,0)-1,COUNT(Curvas_cupon_cero!$A:$A)-2,1))))</f>
        <v/>
      </c>
      <c r="J679" s="19" t="str">
        <f>IF(A679="","",F679/(1+I679*$B$5/360)^(COUNT(A$16:A679)-($B$5-$G$16)/$B$5))</f>
        <v/>
      </c>
    </row>
    <row r="680" spans="1:10" x14ac:dyDescent="0.2">
      <c r="A680" s="12" t="str">
        <f t="shared" si="63"/>
        <v/>
      </c>
      <c r="B680" t="str">
        <f t="shared" si="61"/>
        <v/>
      </c>
      <c r="C680" s="21" t="str">
        <f ca="1">IF(A680="","",IF($B$8="Sí",interpolar_alamb(B680,OFFSET(Curvas_cupon_cero!$A$1,1,0,COUNT(Curvas_cupon_cero!$A:$A)-2,1),OFFSET(Curvas_cupon_cero!$A$1,1,MATCH($B$7,Curvas_cupon_cero!$1:$1,0)-1,COUNT(Curvas_cupon_cero!$A:$A)-2,1)),[1]!interpolar(B680,OFFSET(Curvas_cupon_cero!$A$1,1,0,COUNT(Curvas_cupon_cero!$A:$A)-2,1),OFFSET(Curvas_cupon_cero!$A$1,1,MATCH($B$7,Curvas_cupon_cero!$1:$1,0)-1,COUNT(Curvas_cupon_cero!$A:$A)-2,1))))</f>
        <v/>
      </c>
      <c r="D680" s="23" t="str">
        <f ca="1">IF(A680="","",IF($B$8="Sí",interpolar_alamb(H680,OFFSET(Curvas_cupon_cero!$A$1,1,0,COUNT(Curvas_cupon_cero!$A:$A)-2,1),OFFSET(Curvas_cupon_cero!$A$1,1,MATCH($B$7,Curvas_cupon_cero!$1:$1,0)-1,COUNT(Curvas_cupon_cero!$A:$A)-2,1)),[1]!interpolar(H680,OFFSET(Curvas_cupon_cero!$A$1,1,0,COUNT(Curvas_cupon_cero!$A:$A)-2,1),OFFSET(Curvas_cupon_cero!$A$1,1,MATCH($B$7,Curvas_cupon_cero!$1:$1,0)-1,COUNT(Curvas_cupon_cero!$A:$A)-2,1))))</f>
        <v/>
      </c>
      <c r="E680" s="23" t="str">
        <f t="shared" si="64"/>
        <v/>
      </c>
      <c r="F680" s="17" t="str">
        <f t="shared" si="62"/>
        <v/>
      </c>
      <c r="G680" s="18" t="str">
        <f t="shared" si="65"/>
        <v/>
      </c>
      <c r="H680" t="str">
        <f t="shared" si="66"/>
        <v/>
      </c>
      <c r="I680" s="23" t="str">
        <f ca="1">IF(A680="","",IF($B$8="Sí",interpolar_alamb(H680,OFFSET(Curvas_cupon_cero!$A$1,1,0,COUNT(Curvas_cupon_cero!$A:$A)-2,1),OFFSET(Curvas_cupon_cero!$A$1,1,MATCH($B$6,Curvas_cupon_cero!$1:$1,0)-1,COUNT(Curvas_cupon_cero!$A:$A)-2,1)),[1]!interpolar(H680,OFFSET(Curvas_cupon_cero!$A$1,1,0,COUNT(Curvas_cupon_cero!$A:$A)-2,1),OFFSET(Curvas_cupon_cero!$A$1,1,MATCH($B$6,Curvas_cupon_cero!$1:$1,0)-1,COUNT(Curvas_cupon_cero!$A:$A)-2,1))))</f>
        <v/>
      </c>
      <c r="J680" s="19" t="str">
        <f>IF(A680="","",F680/(1+I680*$B$5/360)^(COUNT(A$16:A680)-($B$5-$G$16)/$B$5))</f>
        <v/>
      </c>
    </row>
    <row r="681" spans="1:10" x14ac:dyDescent="0.2">
      <c r="A681" s="12" t="str">
        <f t="shared" si="63"/>
        <v/>
      </c>
      <c r="B681" t="str">
        <f t="shared" si="61"/>
        <v/>
      </c>
      <c r="C681" s="21" t="str">
        <f ca="1">IF(A681="","",IF($B$8="Sí",interpolar_alamb(B681,OFFSET(Curvas_cupon_cero!$A$1,1,0,COUNT(Curvas_cupon_cero!$A:$A)-2,1),OFFSET(Curvas_cupon_cero!$A$1,1,MATCH($B$7,Curvas_cupon_cero!$1:$1,0)-1,COUNT(Curvas_cupon_cero!$A:$A)-2,1)),[1]!interpolar(B681,OFFSET(Curvas_cupon_cero!$A$1,1,0,COUNT(Curvas_cupon_cero!$A:$A)-2,1),OFFSET(Curvas_cupon_cero!$A$1,1,MATCH($B$7,Curvas_cupon_cero!$1:$1,0)-1,COUNT(Curvas_cupon_cero!$A:$A)-2,1))))</f>
        <v/>
      </c>
      <c r="D681" s="23" t="str">
        <f ca="1">IF(A681="","",IF($B$8="Sí",interpolar_alamb(H681,OFFSET(Curvas_cupon_cero!$A$1,1,0,COUNT(Curvas_cupon_cero!$A:$A)-2,1),OFFSET(Curvas_cupon_cero!$A$1,1,MATCH($B$7,Curvas_cupon_cero!$1:$1,0)-1,COUNT(Curvas_cupon_cero!$A:$A)-2,1)),[1]!interpolar(H681,OFFSET(Curvas_cupon_cero!$A$1,1,0,COUNT(Curvas_cupon_cero!$A:$A)-2,1),OFFSET(Curvas_cupon_cero!$A$1,1,MATCH($B$7,Curvas_cupon_cero!$1:$1,0)-1,COUNT(Curvas_cupon_cero!$A:$A)-2,1))))</f>
        <v/>
      </c>
      <c r="E681" s="23" t="str">
        <f t="shared" si="64"/>
        <v/>
      </c>
      <c r="F681" s="17" t="str">
        <f t="shared" si="62"/>
        <v/>
      </c>
      <c r="G681" s="18" t="str">
        <f t="shared" si="65"/>
        <v/>
      </c>
      <c r="H681" t="str">
        <f t="shared" si="66"/>
        <v/>
      </c>
      <c r="I681" s="23" t="str">
        <f ca="1">IF(A681="","",IF($B$8="Sí",interpolar_alamb(H681,OFFSET(Curvas_cupon_cero!$A$1,1,0,COUNT(Curvas_cupon_cero!$A:$A)-2,1),OFFSET(Curvas_cupon_cero!$A$1,1,MATCH($B$6,Curvas_cupon_cero!$1:$1,0)-1,COUNT(Curvas_cupon_cero!$A:$A)-2,1)),[1]!interpolar(H681,OFFSET(Curvas_cupon_cero!$A$1,1,0,COUNT(Curvas_cupon_cero!$A:$A)-2,1),OFFSET(Curvas_cupon_cero!$A$1,1,MATCH($B$6,Curvas_cupon_cero!$1:$1,0)-1,COUNT(Curvas_cupon_cero!$A:$A)-2,1))))</f>
        <v/>
      </c>
      <c r="J681" s="19" t="str">
        <f>IF(A681="","",F681/(1+I681*$B$5/360)^(COUNT(A$16:A681)-($B$5-$G$16)/$B$5))</f>
        <v/>
      </c>
    </row>
    <row r="682" spans="1:10" x14ac:dyDescent="0.2">
      <c r="A682" s="12" t="str">
        <f t="shared" si="63"/>
        <v/>
      </c>
      <c r="B682" t="str">
        <f t="shared" si="61"/>
        <v/>
      </c>
      <c r="C682" s="21" t="str">
        <f ca="1">IF(A682="","",IF($B$8="Sí",interpolar_alamb(B682,OFFSET(Curvas_cupon_cero!$A$1,1,0,COUNT(Curvas_cupon_cero!$A:$A)-2,1),OFFSET(Curvas_cupon_cero!$A$1,1,MATCH($B$7,Curvas_cupon_cero!$1:$1,0)-1,COUNT(Curvas_cupon_cero!$A:$A)-2,1)),[1]!interpolar(B682,OFFSET(Curvas_cupon_cero!$A$1,1,0,COUNT(Curvas_cupon_cero!$A:$A)-2,1),OFFSET(Curvas_cupon_cero!$A$1,1,MATCH($B$7,Curvas_cupon_cero!$1:$1,0)-1,COUNT(Curvas_cupon_cero!$A:$A)-2,1))))</f>
        <v/>
      </c>
      <c r="D682" s="23" t="str">
        <f ca="1">IF(A682="","",IF($B$8="Sí",interpolar_alamb(H682,OFFSET(Curvas_cupon_cero!$A$1,1,0,COUNT(Curvas_cupon_cero!$A:$A)-2,1),OFFSET(Curvas_cupon_cero!$A$1,1,MATCH($B$7,Curvas_cupon_cero!$1:$1,0)-1,COUNT(Curvas_cupon_cero!$A:$A)-2,1)),[1]!interpolar(H682,OFFSET(Curvas_cupon_cero!$A$1,1,0,COUNT(Curvas_cupon_cero!$A:$A)-2,1),OFFSET(Curvas_cupon_cero!$A$1,1,MATCH($B$7,Curvas_cupon_cero!$1:$1,0)-1,COUNT(Curvas_cupon_cero!$A:$A)-2,1))))</f>
        <v/>
      </c>
      <c r="E682" s="23" t="str">
        <f t="shared" si="64"/>
        <v/>
      </c>
      <c r="F682" s="17" t="str">
        <f t="shared" si="62"/>
        <v/>
      </c>
      <c r="G682" s="18" t="str">
        <f t="shared" si="65"/>
        <v/>
      </c>
      <c r="H682" t="str">
        <f t="shared" si="66"/>
        <v/>
      </c>
      <c r="I682" s="23" t="str">
        <f ca="1">IF(A682="","",IF($B$8="Sí",interpolar_alamb(H682,OFFSET(Curvas_cupon_cero!$A$1,1,0,COUNT(Curvas_cupon_cero!$A:$A)-2,1),OFFSET(Curvas_cupon_cero!$A$1,1,MATCH($B$6,Curvas_cupon_cero!$1:$1,0)-1,COUNT(Curvas_cupon_cero!$A:$A)-2,1)),[1]!interpolar(H682,OFFSET(Curvas_cupon_cero!$A$1,1,0,COUNT(Curvas_cupon_cero!$A:$A)-2,1),OFFSET(Curvas_cupon_cero!$A$1,1,MATCH($B$6,Curvas_cupon_cero!$1:$1,0)-1,COUNT(Curvas_cupon_cero!$A:$A)-2,1))))</f>
        <v/>
      </c>
      <c r="J682" s="19" t="str">
        <f>IF(A682="","",F682/(1+I682*$B$5/360)^(COUNT(A$16:A682)-($B$5-$G$16)/$B$5))</f>
        <v/>
      </c>
    </row>
    <row r="683" spans="1:10" x14ac:dyDescent="0.2">
      <c r="A683" s="12" t="str">
        <f t="shared" si="63"/>
        <v/>
      </c>
      <c r="B683" t="str">
        <f t="shared" si="61"/>
        <v/>
      </c>
      <c r="C683" s="21" t="str">
        <f ca="1">IF(A683="","",IF($B$8="Sí",interpolar_alamb(B683,OFFSET(Curvas_cupon_cero!$A$1,1,0,COUNT(Curvas_cupon_cero!$A:$A)-2,1),OFFSET(Curvas_cupon_cero!$A$1,1,MATCH($B$7,Curvas_cupon_cero!$1:$1,0)-1,COUNT(Curvas_cupon_cero!$A:$A)-2,1)),[1]!interpolar(B683,OFFSET(Curvas_cupon_cero!$A$1,1,0,COUNT(Curvas_cupon_cero!$A:$A)-2,1),OFFSET(Curvas_cupon_cero!$A$1,1,MATCH($B$7,Curvas_cupon_cero!$1:$1,0)-1,COUNT(Curvas_cupon_cero!$A:$A)-2,1))))</f>
        <v/>
      </c>
      <c r="D683" s="23" t="str">
        <f ca="1">IF(A683="","",IF($B$8="Sí",interpolar_alamb(H683,OFFSET(Curvas_cupon_cero!$A$1,1,0,COUNT(Curvas_cupon_cero!$A:$A)-2,1),OFFSET(Curvas_cupon_cero!$A$1,1,MATCH($B$7,Curvas_cupon_cero!$1:$1,0)-1,COUNT(Curvas_cupon_cero!$A:$A)-2,1)),[1]!interpolar(H683,OFFSET(Curvas_cupon_cero!$A$1,1,0,COUNT(Curvas_cupon_cero!$A:$A)-2,1),OFFSET(Curvas_cupon_cero!$A$1,1,MATCH($B$7,Curvas_cupon_cero!$1:$1,0)-1,COUNT(Curvas_cupon_cero!$A:$A)-2,1))))</f>
        <v/>
      </c>
      <c r="E683" s="23" t="str">
        <f t="shared" si="64"/>
        <v/>
      </c>
      <c r="F683" s="17" t="str">
        <f t="shared" si="62"/>
        <v/>
      </c>
      <c r="G683" s="18" t="str">
        <f t="shared" si="65"/>
        <v/>
      </c>
      <c r="H683" t="str">
        <f t="shared" si="66"/>
        <v/>
      </c>
      <c r="I683" s="23" t="str">
        <f ca="1">IF(A683="","",IF($B$8="Sí",interpolar_alamb(H683,OFFSET(Curvas_cupon_cero!$A$1,1,0,COUNT(Curvas_cupon_cero!$A:$A)-2,1),OFFSET(Curvas_cupon_cero!$A$1,1,MATCH($B$6,Curvas_cupon_cero!$1:$1,0)-1,COUNT(Curvas_cupon_cero!$A:$A)-2,1)),[1]!interpolar(H683,OFFSET(Curvas_cupon_cero!$A$1,1,0,COUNT(Curvas_cupon_cero!$A:$A)-2,1),OFFSET(Curvas_cupon_cero!$A$1,1,MATCH($B$6,Curvas_cupon_cero!$1:$1,0)-1,COUNT(Curvas_cupon_cero!$A:$A)-2,1))))</f>
        <v/>
      </c>
      <c r="J683" s="19" t="str">
        <f>IF(A683="","",F683/(1+I683*$B$5/360)^(COUNT(A$16:A683)-($B$5-$G$16)/$B$5))</f>
        <v/>
      </c>
    </row>
    <row r="684" spans="1:10" x14ac:dyDescent="0.2">
      <c r="A684" s="12" t="str">
        <f t="shared" si="63"/>
        <v/>
      </c>
      <c r="B684" t="str">
        <f t="shared" si="61"/>
        <v/>
      </c>
      <c r="C684" s="21" t="str">
        <f ca="1">IF(A684="","",IF($B$8="Sí",interpolar_alamb(B684,OFFSET(Curvas_cupon_cero!$A$1,1,0,COUNT(Curvas_cupon_cero!$A:$A)-2,1),OFFSET(Curvas_cupon_cero!$A$1,1,MATCH($B$7,Curvas_cupon_cero!$1:$1,0)-1,COUNT(Curvas_cupon_cero!$A:$A)-2,1)),[1]!interpolar(B684,OFFSET(Curvas_cupon_cero!$A$1,1,0,COUNT(Curvas_cupon_cero!$A:$A)-2,1),OFFSET(Curvas_cupon_cero!$A$1,1,MATCH($B$7,Curvas_cupon_cero!$1:$1,0)-1,COUNT(Curvas_cupon_cero!$A:$A)-2,1))))</f>
        <v/>
      </c>
      <c r="D684" s="23" t="str">
        <f ca="1">IF(A684="","",IF($B$8="Sí",interpolar_alamb(H684,OFFSET(Curvas_cupon_cero!$A$1,1,0,COUNT(Curvas_cupon_cero!$A:$A)-2,1),OFFSET(Curvas_cupon_cero!$A$1,1,MATCH($B$7,Curvas_cupon_cero!$1:$1,0)-1,COUNT(Curvas_cupon_cero!$A:$A)-2,1)),[1]!interpolar(H684,OFFSET(Curvas_cupon_cero!$A$1,1,0,COUNT(Curvas_cupon_cero!$A:$A)-2,1),OFFSET(Curvas_cupon_cero!$A$1,1,MATCH($B$7,Curvas_cupon_cero!$1:$1,0)-1,COUNT(Curvas_cupon_cero!$A:$A)-2,1))))</f>
        <v/>
      </c>
      <c r="E684" s="23" t="str">
        <f t="shared" si="64"/>
        <v/>
      </c>
      <c r="F684" s="17" t="str">
        <f t="shared" si="62"/>
        <v/>
      </c>
      <c r="G684" s="18" t="str">
        <f t="shared" si="65"/>
        <v/>
      </c>
      <c r="H684" t="str">
        <f t="shared" si="66"/>
        <v/>
      </c>
      <c r="I684" s="23" t="str">
        <f ca="1">IF(A684="","",IF($B$8="Sí",interpolar_alamb(H684,OFFSET(Curvas_cupon_cero!$A$1,1,0,COUNT(Curvas_cupon_cero!$A:$A)-2,1),OFFSET(Curvas_cupon_cero!$A$1,1,MATCH($B$6,Curvas_cupon_cero!$1:$1,0)-1,COUNT(Curvas_cupon_cero!$A:$A)-2,1)),[1]!interpolar(H684,OFFSET(Curvas_cupon_cero!$A$1,1,0,COUNT(Curvas_cupon_cero!$A:$A)-2,1),OFFSET(Curvas_cupon_cero!$A$1,1,MATCH($B$6,Curvas_cupon_cero!$1:$1,0)-1,COUNT(Curvas_cupon_cero!$A:$A)-2,1))))</f>
        <v/>
      </c>
      <c r="J684" s="19" t="str">
        <f>IF(A684="","",F684/(1+I684*$B$5/360)^(COUNT(A$16:A684)-($B$5-$G$16)/$B$5))</f>
        <v/>
      </c>
    </row>
    <row r="685" spans="1:10" x14ac:dyDescent="0.2">
      <c r="A685" s="12" t="str">
        <f t="shared" si="63"/>
        <v/>
      </c>
      <c r="B685" t="str">
        <f t="shared" si="61"/>
        <v/>
      </c>
      <c r="C685" s="21" t="str">
        <f ca="1">IF(A685="","",IF($B$8="Sí",interpolar_alamb(B685,OFFSET(Curvas_cupon_cero!$A$1,1,0,COUNT(Curvas_cupon_cero!$A:$A)-2,1),OFFSET(Curvas_cupon_cero!$A$1,1,MATCH($B$7,Curvas_cupon_cero!$1:$1,0)-1,COUNT(Curvas_cupon_cero!$A:$A)-2,1)),[1]!interpolar(B685,OFFSET(Curvas_cupon_cero!$A$1,1,0,COUNT(Curvas_cupon_cero!$A:$A)-2,1),OFFSET(Curvas_cupon_cero!$A$1,1,MATCH($B$7,Curvas_cupon_cero!$1:$1,0)-1,COUNT(Curvas_cupon_cero!$A:$A)-2,1))))</f>
        <v/>
      </c>
      <c r="D685" s="23" t="str">
        <f ca="1">IF(A685="","",IF($B$8="Sí",interpolar_alamb(H685,OFFSET(Curvas_cupon_cero!$A$1,1,0,COUNT(Curvas_cupon_cero!$A:$A)-2,1),OFFSET(Curvas_cupon_cero!$A$1,1,MATCH($B$7,Curvas_cupon_cero!$1:$1,0)-1,COUNT(Curvas_cupon_cero!$A:$A)-2,1)),[1]!interpolar(H685,OFFSET(Curvas_cupon_cero!$A$1,1,0,COUNT(Curvas_cupon_cero!$A:$A)-2,1),OFFSET(Curvas_cupon_cero!$A$1,1,MATCH($B$7,Curvas_cupon_cero!$1:$1,0)-1,COUNT(Curvas_cupon_cero!$A:$A)-2,1))))</f>
        <v/>
      </c>
      <c r="E685" s="23" t="str">
        <f t="shared" si="64"/>
        <v/>
      </c>
      <c r="F685" s="17" t="str">
        <f t="shared" si="62"/>
        <v/>
      </c>
      <c r="G685" s="18" t="str">
        <f t="shared" si="65"/>
        <v/>
      </c>
      <c r="H685" t="str">
        <f t="shared" si="66"/>
        <v/>
      </c>
      <c r="I685" s="23" t="str">
        <f ca="1">IF(A685="","",IF($B$8="Sí",interpolar_alamb(H685,OFFSET(Curvas_cupon_cero!$A$1,1,0,COUNT(Curvas_cupon_cero!$A:$A)-2,1),OFFSET(Curvas_cupon_cero!$A$1,1,MATCH($B$6,Curvas_cupon_cero!$1:$1,0)-1,COUNT(Curvas_cupon_cero!$A:$A)-2,1)),[1]!interpolar(H685,OFFSET(Curvas_cupon_cero!$A$1,1,0,COUNT(Curvas_cupon_cero!$A:$A)-2,1),OFFSET(Curvas_cupon_cero!$A$1,1,MATCH($B$6,Curvas_cupon_cero!$1:$1,0)-1,COUNT(Curvas_cupon_cero!$A:$A)-2,1))))</f>
        <v/>
      </c>
      <c r="J685" s="19" t="str">
        <f>IF(A685="","",F685/(1+I685*$B$5/360)^(COUNT(A$16:A685)-($B$5-$G$16)/$B$5))</f>
        <v/>
      </c>
    </row>
    <row r="686" spans="1:10" x14ac:dyDescent="0.2">
      <c r="A686" s="12" t="str">
        <f t="shared" si="63"/>
        <v/>
      </c>
      <c r="B686" t="str">
        <f t="shared" si="61"/>
        <v/>
      </c>
      <c r="C686" s="21" t="str">
        <f ca="1">IF(A686="","",IF($B$8="Sí",interpolar_alamb(B686,OFFSET(Curvas_cupon_cero!$A$1,1,0,COUNT(Curvas_cupon_cero!$A:$A)-2,1),OFFSET(Curvas_cupon_cero!$A$1,1,MATCH($B$7,Curvas_cupon_cero!$1:$1,0)-1,COUNT(Curvas_cupon_cero!$A:$A)-2,1)),[1]!interpolar(B686,OFFSET(Curvas_cupon_cero!$A$1,1,0,COUNT(Curvas_cupon_cero!$A:$A)-2,1),OFFSET(Curvas_cupon_cero!$A$1,1,MATCH($B$7,Curvas_cupon_cero!$1:$1,0)-1,COUNT(Curvas_cupon_cero!$A:$A)-2,1))))</f>
        <v/>
      </c>
      <c r="D686" s="23" t="str">
        <f ca="1">IF(A686="","",IF($B$8="Sí",interpolar_alamb(H686,OFFSET(Curvas_cupon_cero!$A$1,1,0,COUNT(Curvas_cupon_cero!$A:$A)-2,1),OFFSET(Curvas_cupon_cero!$A$1,1,MATCH($B$7,Curvas_cupon_cero!$1:$1,0)-1,COUNT(Curvas_cupon_cero!$A:$A)-2,1)),[1]!interpolar(H686,OFFSET(Curvas_cupon_cero!$A$1,1,0,COUNT(Curvas_cupon_cero!$A:$A)-2,1),OFFSET(Curvas_cupon_cero!$A$1,1,MATCH($B$7,Curvas_cupon_cero!$1:$1,0)-1,COUNT(Curvas_cupon_cero!$A:$A)-2,1))))</f>
        <v/>
      </c>
      <c r="E686" s="23" t="str">
        <f t="shared" si="64"/>
        <v/>
      </c>
      <c r="F686" s="17" t="str">
        <f t="shared" si="62"/>
        <v/>
      </c>
      <c r="G686" s="18" t="str">
        <f t="shared" si="65"/>
        <v/>
      </c>
      <c r="H686" t="str">
        <f t="shared" si="66"/>
        <v/>
      </c>
      <c r="I686" s="23" t="str">
        <f ca="1">IF(A686="","",IF($B$8="Sí",interpolar_alamb(H686,OFFSET(Curvas_cupon_cero!$A$1,1,0,COUNT(Curvas_cupon_cero!$A:$A)-2,1),OFFSET(Curvas_cupon_cero!$A$1,1,MATCH($B$6,Curvas_cupon_cero!$1:$1,0)-1,COUNT(Curvas_cupon_cero!$A:$A)-2,1)),[1]!interpolar(H686,OFFSET(Curvas_cupon_cero!$A$1,1,0,COUNT(Curvas_cupon_cero!$A:$A)-2,1),OFFSET(Curvas_cupon_cero!$A$1,1,MATCH($B$6,Curvas_cupon_cero!$1:$1,0)-1,COUNT(Curvas_cupon_cero!$A:$A)-2,1))))</f>
        <v/>
      </c>
      <c r="J686" s="19" t="str">
        <f>IF(A686="","",F686/(1+I686*$B$5/360)^(COUNT(A$16:A686)-($B$5-$G$16)/$B$5))</f>
        <v/>
      </c>
    </row>
    <row r="687" spans="1:10" x14ac:dyDescent="0.2">
      <c r="A687" s="12" t="str">
        <f t="shared" si="63"/>
        <v/>
      </c>
      <c r="B687" t="str">
        <f t="shared" si="61"/>
        <v/>
      </c>
      <c r="C687" s="21" t="str">
        <f ca="1">IF(A687="","",IF($B$8="Sí",interpolar_alamb(B687,OFFSET(Curvas_cupon_cero!$A$1,1,0,COUNT(Curvas_cupon_cero!$A:$A)-2,1),OFFSET(Curvas_cupon_cero!$A$1,1,MATCH($B$7,Curvas_cupon_cero!$1:$1,0)-1,COUNT(Curvas_cupon_cero!$A:$A)-2,1)),[1]!interpolar(B687,OFFSET(Curvas_cupon_cero!$A$1,1,0,COUNT(Curvas_cupon_cero!$A:$A)-2,1),OFFSET(Curvas_cupon_cero!$A$1,1,MATCH($B$7,Curvas_cupon_cero!$1:$1,0)-1,COUNT(Curvas_cupon_cero!$A:$A)-2,1))))</f>
        <v/>
      </c>
      <c r="D687" s="23" t="str">
        <f ca="1">IF(A687="","",IF($B$8="Sí",interpolar_alamb(H687,OFFSET(Curvas_cupon_cero!$A$1,1,0,COUNT(Curvas_cupon_cero!$A:$A)-2,1),OFFSET(Curvas_cupon_cero!$A$1,1,MATCH($B$7,Curvas_cupon_cero!$1:$1,0)-1,COUNT(Curvas_cupon_cero!$A:$A)-2,1)),[1]!interpolar(H687,OFFSET(Curvas_cupon_cero!$A$1,1,0,COUNT(Curvas_cupon_cero!$A:$A)-2,1),OFFSET(Curvas_cupon_cero!$A$1,1,MATCH($B$7,Curvas_cupon_cero!$1:$1,0)-1,COUNT(Curvas_cupon_cero!$A:$A)-2,1))))</f>
        <v/>
      </c>
      <c r="E687" s="23" t="str">
        <f t="shared" si="64"/>
        <v/>
      </c>
      <c r="F687" s="17" t="str">
        <f t="shared" si="62"/>
        <v/>
      </c>
      <c r="G687" s="18" t="str">
        <f t="shared" si="65"/>
        <v/>
      </c>
      <c r="H687" t="str">
        <f t="shared" si="66"/>
        <v/>
      </c>
      <c r="I687" s="23" t="str">
        <f ca="1">IF(A687="","",IF($B$8="Sí",interpolar_alamb(H687,OFFSET(Curvas_cupon_cero!$A$1,1,0,COUNT(Curvas_cupon_cero!$A:$A)-2,1),OFFSET(Curvas_cupon_cero!$A$1,1,MATCH($B$6,Curvas_cupon_cero!$1:$1,0)-1,COUNT(Curvas_cupon_cero!$A:$A)-2,1)),[1]!interpolar(H687,OFFSET(Curvas_cupon_cero!$A$1,1,0,COUNT(Curvas_cupon_cero!$A:$A)-2,1),OFFSET(Curvas_cupon_cero!$A$1,1,MATCH($B$6,Curvas_cupon_cero!$1:$1,0)-1,COUNT(Curvas_cupon_cero!$A:$A)-2,1))))</f>
        <v/>
      </c>
      <c r="J687" s="19" t="str">
        <f>IF(A687="","",F687/(1+I687*$B$5/360)^(COUNT(A$16:A687)-($B$5-$G$16)/$B$5))</f>
        <v/>
      </c>
    </row>
  </sheetData>
  <dataValidations count="1">
    <dataValidation type="list" allowBlank="1" showInputMessage="1" showErrorMessage="1" sqref="B8">
      <formula1>Bin</formula1>
    </dataValidation>
  </dataValidations>
  <pageMargins left="0.75" right="0.75" top="1" bottom="1" header="0.5" footer="0.5"/>
  <pageSetup orientation="portrait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Curvas_cupon_cero!$C$1:$CK$1</xm:f>
          </x14:formula1>
          <xm:sqref>B6:B7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L690"/>
  <sheetViews>
    <sheetView zoomScale="145" zoomScaleNormal="145" workbookViewId="0">
      <selection activeCell="B8" sqref="B8"/>
    </sheetView>
  </sheetViews>
  <sheetFormatPr baseColWidth="10" defaultColWidth="9.140625" defaultRowHeight="12.75" x14ac:dyDescent="0.2"/>
  <cols>
    <col min="1" max="1" width="25" bestFit="1" customWidth="1"/>
    <col min="2" max="2" width="14.140625" bestFit="1" customWidth="1"/>
    <col min="3" max="3" width="11" customWidth="1"/>
    <col min="4" max="4" width="12.28515625" customWidth="1"/>
    <col min="5" max="5" width="10.42578125" bestFit="1" customWidth="1"/>
    <col min="6" max="6" width="11" customWidth="1"/>
    <col min="7" max="7" width="9.85546875" customWidth="1"/>
    <col min="9" max="9" width="8.42578125" customWidth="1"/>
    <col min="10" max="10" width="11.7109375" customWidth="1"/>
    <col min="15" max="15" width="12.85546875" customWidth="1"/>
    <col min="16" max="16" width="11.42578125" customWidth="1"/>
  </cols>
  <sheetData>
    <row r="1" spans="1:220" x14ac:dyDescent="0.2">
      <c r="A1" s="3" t="s">
        <v>91</v>
      </c>
      <c r="B1" s="6">
        <v>10000</v>
      </c>
      <c r="HL1" t="s">
        <v>97</v>
      </c>
    </row>
    <row r="2" spans="1:220" x14ac:dyDescent="0.2">
      <c r="A2" s="3" t="s">
        <v>87</v>
      </c>
      <c r="B2" s="11">
        <v>100</v>
      </c>
      <c r="F2" s="2"/>
      <c r="G2" t="s">
        <v>94</v>
      </c>
      <c r="HL2" t="s">
        <v>98</v>
      </c>
    </row>
    <row r="3" spans="1:220" x14ac:dyDescent="0.2">
      <c r="A3" s="3" t="s">
        <v>88</v>
      </c>
      <c r="B3" s="12">
        <v>43280</v>
      </c>
      <c r="F3" s="4"/>
      <c r="G3" t="s">
        <v>95</v>
      </c>
    </row>
    <row r="4" spans="1:220" x14ac:dyDescent="0.2">
      <c r="A4" s="3" t="s">
        <v>89</v>
      </c>
      <c r="B4" s="12">
        <f>B3+360*5</f>
        <v>45080</v>
      </c>
    </row>
    <row r="5" spans="1:220" x14ac:dyDescent="0.2">
      <c r="A5" s="14" t="s">
        <v>105</v>
      </c>
      <c r="B5" s="6">
        <v>182</v>
      </c>
    </row>
    <row r="6" spans="1:220" x14ac:dyDescent="0.2">
      <c r="A6" s="14" t="s">
        <v>126</v>
      </c>
      <c r="B6" s="7" t="s">
        <v>2</v>
      </c>
    </row>
    <row r="7" spans="1:220" x14ac:dyDescent="0.2">
      <c r="A7" s="14" t="s">
        <v>125</v>
      </c>
      <c r="B7" s="7" t="s">
        <v>131</v>
      </c>
      <c r="J7">
        <f>_xlfn.CHISQ.INV(0.995,1)</f>
        <v>7.8794385766224124</v>
      </c>
    </row>
    <row r="8" spans="1:220" x14ac:dyDescent="0.2">
      <c r="A8" s="14" t="s">
        <v>127</v>
      </c>
      <c r="B8" s="7" t="s">
        <v>2</v>
      </c>
      <c r="J8">
        <f>7/289</f>
        <v>2.4221453287197232E-2</v>
      </c>
    </row>
    <row r="9" spans="1:220" x14ac:dyDescent="0.2">
      <c r="A9" s="14" t="s">
        <v>128</v>
      </c>
      <c r="B9" s="7" t="s">
        <v>11</v>
      </c>
      <c r="J9">
        <f>282/7</f>
        <v>40.285714285714285</v>
      </c>
    </row>
    <row r="10" spans="1:220" x14ac:dyDescent="0.2">
      <c r="A10" s="3" t="s">
        <v>99</v>
      </c>
      <c r="B10" s="7" t="s">
        <v>97</v>
      </c>
    </row>
    <row r="11" spans="1:220" x14ac:dyDescent="0.2">
      <c r="A11" s="13" t="s">
        <v>136</v>
      </c>
      <c r="B11" s="8">
        <f>VLOOKUP(B3,Hist!$A$1:$C$8548,2,0)</f>
        <v>6.0124560000000002</v>
      </c>
      <c r="K11" s="21"/>
    </row>
    <row r="12" spans="1:220" x14ac:dyDescent="0.2">
      <c r="A12" s="4" t="s">
        <v>90</v>
      </c>
      <c r="B12" s="8">
        <f>B4-B3</f>
        <v>1800</v>
      </c>
    </row>
    <row r="13" spans="1:220" x14ac:dyDescent="0.2">
      <c r="A13" s="13" t="s">
        <v>143</v>
      </c>
      <c r="B13" s="10">
        <f ca="1">SUM(O17:O690)</f>
        <v>915101.51476882759</v>
      </c>
    </row>
    <row r="14" spans="1:220" x14ac:dyDescent="0.2">
      <c r="A14" s="13" t="s">
        <v>144</v>
      </c>
      <c r="B14" s="10">
        <f ca="1">B13-(B5-K17)*B1*B2*(E17*(1-I17)+H17*I17)/360</f>
        <v>910673.94529975997</v>
      </c>
    </row>
    <row r="16" spans="1:220" ht="38.450000000000003" customHeight="1" x14ac:dyDescent="0.2">
      <c r="A16" s="22" t="s">
        <v>101</v>
      </c>
      <c r="B16" s="8" t="s">
        <v>120</v>
      </c>
      <c r="C16" s="22" t="s">
        <v>121</v>
      </c>
      <c r="D16" s="22" t="s">
        <v>122</v>
      </c>
      <c r="E16" s="22" t="s">
        <v>138</v>
      </c>
      <c r="F16" s="22" t="s">
        <v>139</v>
      </c>
      <c r="G16" s="22" t="s">
        <v>135</v>
      </c>
      <c r="H16" s="22" t="s">
        <v>137</v>
      </c>
      <c r="I16" s="22" t="s">
        <v>129</v>
      </c>
      <c r="J16" s="22" t="s">
        <v>102</v>
      </c>
      <c r="K16" s="22" t="s">
        <v>106</v>
      </c>
      <c r="L16" s="22" t="s">
        <v>107</v>
      </c>
      <c r="M16" s="22" t="s">
        <v>140</v>
      </c>
      <c r="N16" s="22" t="s">
        <v>130</v>
      </c>
      <c r="O16" s="22" t="s">
        <v>103</v>
      </c>
    </row>
    <row r="17" spans="1:15" x14ac:dyDescent="0.2">
      <c r="A17" s="12">
        <f>$B$3+$B$12-(INT($B$12/B5))*$B$5</f>
        <v>43442</v>
      </c>
      <c r="B17">
        <f t="shared" ref="B17:B80" si="0">IF(A17="","",MAX(L17-$B$5,0))</f>
        <v>0</v>
      </c>
      <c r="C17" s="21">
        <f ca="1">IF(A17="","",IF($B$10="Sí",interpolar_alamb(B17,OFFSET(Curvas_cupon_cero!$A$1,1,0,COUNT(Curvas_cupon_cero!$A:$A)-2,1),OFFSET(Curvas_cupon_cero!$A$1,1,MATCH($B$8,Curvas_cupon_cero!$1:$1,0)-1,COUNT(Curvas_cupon_cero!$A:$A)-2,1)),[1]!interpolar(B17,OFFSET(Curvas_cupon_cero!$A$1,1,0,COUNT(Curvas_cupon_cero!$A:$A)-2,1),OFFSET(Curvas_cupon_cero!$A$1,1,MATCH($B$8,Curvas_cupon_cero!$1:$1,0)-1,COUNT(Curvas_cupon_cero!$A:$A)-2,1))))</f>
        <v>7.9060000000000005E-2</v>
      </c>
      <c r="D17" s="23">
        <f ca="1">IF(A17="","",IF($B$10="Sí",interpolar_alamb(L17,OFFSET(Curvas_cupon_cero!$A$1,1,0,COUNT(Curvas_cupon_cero!$A:$A)-2,1),OFFSET(Curvas_cupon_cero!$A$1,1,MATCH($B$8,Curvas_cupon_cero!$1:$1,0)-1,COUNT(Curvas_cupon_cero!$A:$A)-2,1)),[1]!interpolar(L17,OFFSET(Curvas_cupon_cero!$A$1,1,0,COUNT(Curvas_cupon_cero!$A:$A)-2,1),OFFSET(Curvas_cupon_cero!$A$1,1,MATCH($B$8,Curvas_cupon_cero!$1:$1,0)-1,COUNT(Curvas_cupon_cero!$A:$A)-2,1))))</f>
        <v>7.9696250443216932E-2</v>
      </c>
      <c r="E17" s="23">
        <f ca="1">IF(A17="","",((1+D17*$L17/360)/(1+C17*$B17/360)-1)*(360/($L17-$B17)))</f>
        <v>7.9696250443217001E-2</v>
      </c>
      <c r="F17" s="23">
        <f ca="1">IF(A17="","",IF($B$10="Sí",interpolar_alamb(L17,OFFSET(Curvas_cupon_cero!$A$1,1,0,COUNT(Curvas_cupon_cero!$A:$A)-2,1),OFFSET(Curvas_cupon_cero!$A$1,1,MATCH($B$9,Curvas_cupon_cero!$1:$1,0)-1,COUNT(Curvas_cupon_cero!$A:$A)-2,1)),[1]!interpolar(L17,OFFSET(Curvas_cupon_cero!$A$1,1,0,COUNT(Curvas_cupon_cero!$A:$A)-2,1),OFFSET(Curvas_cupon_cero!$A$1,1,MATCH($B$9,Curvas_cupon_cero!$1:$1,0)-1,COUNT(Curvas_cupon_cero!$A:$A)-2,1))))</f>
        <v>3.7642302130078263E-2</v>
      </c>
      <c r="G17" s="35">
        <f ca="1">IF(A17="","",$B$11*(1+M17*L17/360)/(1+F17*L17/360))</f>
        <v>6.1243421379230192</v>
      </c>
      <c r="H17" s="20">
        <f ca="1">IF(A17="","",(G17/$B$11-1)*360/$K$17)</f>
        <v>4.1353460557740855E-2</v>
      </c>
      <c r="I17">
        <f ca="1">IF(A17="","",IF(H17&gt;E17,1,0))</f>
        <v>0</v>
      </c>
      <c r="J17" s="17">
        <f t="shared" ref="J17:J80" ca="1" si="1">IF(A17="","",IF(A17=$B$4,$B$1*$B$2+$B$1*$B$5/360*$B$2*(E17*(1-I17)+H17*I17), $B$1*$B$5/360*$B$2*(E17*(1-I17)+H17*I17)))</f>
        <v>40290.882168515265</v>
      </c>
      <c r="K17" s="18">
        <f>$B$12-(INT($B$12/B5))*$B$5</f>
        <v>162</v>
      </c>
      <c r="L17" s="17">
        <f>K17</f>
        <v>162</v>
      </c>
      <c r="M17" s="23">
        <f ca="1">IF(A17="","",IF($B$10="Sí",interpolar_alamb(L17,OFFSET(Curvas_cupon_cero!$A$1,1,0,COUNT(Curvas_cupon_cero!$A:$A)-2,1),OFFSET(Curvas_cupon_cero!$A$1,1,MATCH($B$6,Curvas_cupon_cero!$1:$1,0)-1,COUNT(Curvas_cupon_cero!$A:$A)-2,1)),[1]!interpolar(L17,OFFSET(Curvas_cupon_cero!$A$1,1,0,COUNT(Curvas_cupon_cero!$A:$A)-2,1),OFFSET(Curvas_cupon_cero!$A$1,1,MATCH($B$6,Curvas_cupon_cero!$1:$1,0)-1,COUNT(Curvas_cupon_cero!$A:$A)-2,1))))</f>
        <v>7.9696250443216932E-2</v>
      </c>
      <c r="N17" s="23">
        <f ca="1">IF(A17="","",IF($B$10="Sí",interpolar_alamb(L17,OFFSET(Curvas_cupon_cero!$A$1,1,0,COUNT(Curvas_cupon_cero!$A:$A)-2,1),OFFSET(Curvas_cupon_cero!$A$1,1,MATCH($B$7,Curvas_cupon_cero!$1:$1,0)-1,COUNT(Curvas_cupon_cero!$A:$A)-2,1)),[1]!interpolar(L17,OFFSET(Curvas_cupon_cero!$A$1,1,0,COUNT(Curvas_cupon_cero!$A:$A)-2,1),OFFSET(Curvas_cupon_cero!$A$1,1,MATCH($B$7,Curvas_cupon_cero!$1:$1,0)-1,COUNT(Curvas_cupon_cero!$A:$A)-2,1))))</f>
        <v>2.532562573580447E-2</v>
      </c>
      <c r="O17" s="19">
        <f ca="1">IF(A17="","",J17/(1+(M17+N17)*L17/360))</f>
        <v>38472.669785399878</v>
      </c>
    </row>
    <row r="18" spans="1:15" x14ac:dyDescent="0.2">
      <c r="A18" s="12">
        <f t="shared" ref="A18:A81" si="2">IF(A17="","",IF((A17+$B$5)&gt;$B$4,"",(A17+$B$5)))</f>
        <v>43624</v>
      </c>
      <c r="B18">
        <f t="shared" si="0"/>
        <v>162</v>
      </c>
      <c r="C18" s="21">
        <f ca="1">IF(A18="","",IF($B$10="Sí",interpolar_alamb(B18,OFFSET(Curvas_cupon_cero!$A$1,1,0,COUNT(Curvas_cupon_cero!$A:$A)-2,1),OFFSET(Curvas_cupon_cero!$A$1,1,MATCH($B$8,Curvas_cupon_cero!$1:$1,0)-1,COUNT(Curvas_cupon_cero!$A:$A)-2,1)),[1]!interpolar(B18,OFFSET(Curvas_cupon_cero!$A$1,1,0,COUNT(Curvas_cupon_cero!$A:$A)-2,1),OFFSET(Curvas_cupon_cero!$A$1,1,MATCH($B$8,Curvas_cupon_cero!$1:$1,0)-1,COUNT(Curvas_cupon_cero!$A:$A)-2,1))))</f>
        <v>7.9696250443216932E-2</v>
      </c>
      <c r="D18" s="23">
        <f ca="1">IF(A18="","",IF($B$10="Sí",interpolar_alamb(L18,OFFSET(Curvas_cupon_cero!$A$1,1,0,COUNT(Curvas_cupon_cero!$A:$A)-2,1),OFFSET(Curvas_cupon_cero!$A$1,1,MATCH($B$8,Curvas_cupon_cero!$1:$1,0)-1,COUNT(Curvas_cupon_cero!$A:$A)-2,1)),[1]!interpolar(L18,OFFSET(Curvas_cupon_cero!$A$1,1,0,COUNT(Curvas_cupon_cero!$A:$A)-2,1),OFFSET(Curvas_cupon_cero!$A$1,1,MATCH($B$8,Curvas_cupon_cero!$1:$1,0)-1,COUNT(Curvas_cupon_cero!$A:$A)-2,1))))</f>
        <v>8.0618243443865076E-2</v>
      </c>
      <c r="E18" s="23">
        <f t="shared" ref="E18:E81" ca="1" si="3">IF(A18="","",((1+D18*L18/360)/(1+C18*B18/360)-1)*(360/(L18-B18)))</f>
        <v>7.8619367568994014E-2</v>
      </c>
      <c r="F18" s="23">
        <f ca="1">IF(A18="","",IF($B$10="Sí",interpolar_alamb(L18,OFFSET(Curvas_cupon_cero!$A$1,1,0,COUNT(Curvas_cupon_cero!$A:$A)-2,1),OFFSET(Curvas_cupon_cero!$A$1,1,MATCH($B$9,Curvas_cupon_cero!$1:$1,0)-1,COUNT(Curvas_cupon_cero!$A:$A)-2,1)),[1]!interpolar(L18,OFFSET(Curvas_cupon_cero!$A$1,1,0,COUNT(Curvas_cupon_cero!$A:$A)-2,1),OFFSET(Curvas_cupon_cero!$A$1,1,MATCH($B$9,Curvas_cupon_cero!$1:$1,0)-1,COUNT(Curvas_cupon_cero!$A:$A)-2,1))))</f>
        <v>3.8018551658082073E-2</v>
      </c>
      <c r="G18" s="35">
        <f ca="1">IF(A18="","",$B$11*(1+M18*L18/360)/(1+F18*L18/360))</f>
        <v>6.2486216478552761</v>
      </c>
      <c r="H18" s="20">
        <f ca="1">IF(A18="","",(G18/G17-1)*360/$B$5)</f>
        <v>4.0139429922047914E-2</v>
      </c>
      <c r="I18">
        <f t="shared" ref="I18:I81" ca="1" si="4">IF(A18="","",IF(H18&gt;E18,1,0))</f>
        <v>0</v>
      </c>
      <c r="J18" s="17">
        <f t="shared" ca="1" si="1"/>
        <v>39746.4580487692</v>
      </c>
      <c r="K18" s="18">
        <f t="shared" ref="K18:K81" si="5">IF(A18="","",$B$5)</f>
        <v>182</v>
      </c>
      <c r="L18">
        <f t="shared" ref="L18:L81" si="6">IF(A18="","",L17+K18)</f>
        <v>344</v>
      </c>
      <c r="M18" s="23">
        <f ca="1">IF(A18="","",IF($B$10="Sí",interpolar_alamb(L18,OFFSET(Curvas_cupon_cero!$A$1,1,0,COUNT(Curvas_cupon_cero!$A:$A)-2,1),OFFSET(Curvas_cupon_cero!$A$1,1,MATCH($B$6,Curvas_cupon_cero!$1:$1,0)-1,COUNT(Curvas_cupon_cero!$A:$A)-2,1)),[1]!interpolar(L18,OFFSET(Curvas_cupon_cero!$A$1,1,0,COUNT(Curvas_cupon_cero!$A:$A)-2,1),OFFSET(Curvas_cupon_cero!$A$1,1,MATCH($B$6,Curvas_cupon_cero!$1:$1,0)-1,COUNT(Curvas_cupon_cero!$A:$A)-2,1))))</f>
        <v>8.0618243443865076E-2</v>
      </c>
      <c r="N18" s="23">
        <f ca="1">IF(A18="","",IF($B$10="Sí",interpolar_alamb(L18,OFFSET(Curvas_cupon_cero!$A$1,1,0,COUNT(Curvas_cupon_cero!$A:$A)-2,1),OFFSET(Curvas_cupon_cero!$A$1,1,MATCH($B$7,Curvas_cupon_cero!$1:$1,0)-1,COUNT(Curvas_cupon_cero!$A:$A)-2,1)),[1]!interpolar(L18,OFFSET(Curvas_cupon_cero!$A$1,1,0,COUNT(Curvas_cupon_cero!$A:$A)-2,1),OFFSET(Curvas_cupon_cero!$A$1,1,MATCH($B$7,Curvas_cupon_cero!$1:$1,0)-1,COUNT(Curvas_cupon_cero!$A:$A)-2,1))))</f>
        <v>2.6786357538992799E-2</v>
      </c>
      <c r="O18" s="19">
        <f t="shared" ref="O18:O81" ca="1" si="7">IF(A18="","",J18/(1+(M18+N18)*L18/360))</f>
        <v>36046.92392286731</v>
      </c>
    </row>
    <row r="19" spans="1:15" x14ac:dyDescent="0.2">
      <c r="A19" s="12">
        <f t="shared" si="2"/>
        <v>43806</v>
      </c>
      <c r="B19">
        <f t="shared" si="0"/>
        <v>344</v>
      </c>
      <c r="C19" s="21">
        <f ca="1">IF(A19="","",IF($B$10="Sí",interpolar_alamb(B19,OFFSET(Curvas_cupon_cero!$A$1,1,0,COUNT(Curvas_cupon_cero!$A:$A)-2,1),OFFSET(Curvas_cupon_cero!$A$1,1,MATCH($B$8,Curvas_cupon_cero!$1:$1,0)-1,COUNT(Curvas_cupon_cero!$A:$A)-2,1)),[1]!interpolar(B19,OFFSET(Curvas_cupon_cero!$A$1,1,0,COUNT(Curvas_cupon_cero!$A:$A)-2,1),OFFSET(Curvas_cupon_cero!$A$1,1,MATCH($B$8,Curvas_cupon_cero!$1:$1,0)-1,COUNT(Curvas_cupon_cero!$A:$A)-2,1))))</f>
        <v>8.0618243443865076E-2</v>
      </c>
      <c r="D19" s="23">
        <f ca="1">IF(A19="","",IF($B$10="Sí",interpolar_alamb(L19,OFFSET(Curvas_cupon_cero!$A$1,1,0,COUNT(Curvas_cupon_cero!$A:$A)-2,1),OFFSET(Curvas_cupon_cero!$A$1,1,MATCH($B$8,Curvas_cupon_cero!$1:$1,0)-1,COUNT(Curvas_cupon_cero!$A:$A)-2,1)),[1]!interpolar(L19,OFFSET(Curvas_cupon_cero!$A$1,1,0,COUNT(Curvas_cupon_cero!$A:$A)-2,1),OFFSET(Curvas_cupon_cero!$A$1,1,MATCH($B$8,Curvas_cupon_cero!$1:$1,0)-1,COUNT(Curvas_cupon_cero!$A:$A)-2,1))))</f>
        <v>8.0431024111375968E-2</v>
      </c>
      <c r="E19" s="23">
        <f t="shared" ca="1" si="3"/>
        <v>7.4349620352278614E-2</v>
      </c>
      <c r="F19" s="23">
        <f ca="1">IF(A19="","",IF($B$10="Sí",interpolar_alamb(L19,OFFSET(Curvas_cupon_cero!$A$1,1,0,COUNT(Curvas_cupon_cero!$A:$A)-2,1),OFFSET(Curvas_cupon_cero!$A$1,1,MATCH($B$9,Curvas_cupon_cero!$1:$1,0)-1,COUNT(Curvas_cupon_cero!$A:$A)-2,1)),[1]!interpolar(L19,OFFSET(Curvas_cupon_cero!$A$1,1,0,COUNT(Curvas_cupon_cero!$A:$A)-2,1),OFFSET(Curvas_cupon_cero!$A$1,1,MATCH($B$9,Curvas_cupon_cero!$1:$1,0)-1,COUNT(Curvas_cupon_cero!$A:$A)-2,1))))</f>
        <v>3.8336958281379993E-2</v>
      </c>
      <c r="G19" s="35">
        <f ca="1">IF(A19="","",$B$11*(1+M19*L19/360)/(1+F19*L19/360))</f>
        <v>6.3626317972339299</v>
      </c>
      <c r="H19" s="20">
        <f ca="1">IF(A19="","",(G19/G18-1)*360/$B$5)</f>
        <v>3.6090292211235261E-2</v>
      </c>
      <c r="I19">
        <f t="shared" ca="1" si="4"/>
        <v>0</v>
      </c>
      <c r="J19" s="17">
        <f t="shared" ca="1" si="1"/>
        <v>37587.863622540855</v>
      </c>
      <c r="K19" s="18">
        <f t="shared" si="5"/>
        <v>182</v>
      </c>
      <c r="L19">
        <f t="shared" si="6"/>
        <v>526</v>
      </c>
      <c r="M19" s="23">
        <f ca="1">IF(A19="","",IF($B$10="Sí",interpolar_alamb(L19,OFFSET(Curvas_cupon_cero!$A$1,1,0,COUNT(Curvas_cupon_cero!$A:$A)-2,1),OFFSET(Curvas_cupon_cero!$A$1,1,MATCH($B$6,Curvas_cupon_cero!$1:$1,0)-1,COUNT(Curvas_cupon_cero!$A:$A)-2,1)),[1]!interpolar(L19,OFFSET(Curvas_cupon_cero!$A$1,1,0,COUNT(Curvas_cupon_cero!$A:$A)-2,1),OFFSET(Curvas_cupon_cero!$A$1,1,MATCH($B$6,Curvas_cupon_cero!$1:$1,0)-1,COUNT(Curvas_cupon_cero!$A:$A)-2,1))))</f>
        <v>8.0431024111375968E-2</v>
      </c>
      <c r="N19" s="23">
        <f ca="1">IF(A19="","",IF($B$10="Sí",interpolar_alamb(L19,OFFSET(Curvas_cupon_cero!$A$1,1,0,COUNT(Curvas_cupon_cero!$A:$A)-2,1),OFFSET(Curvas_cupon_cero!$A$1,1,MATCH($B$7,Curvas_cupon_cero!$1:$1,0)-1,COUNT(Curvas_cupon_cero!$A:$A)-2,1)),[1]!interpolar(L19,OFFSET(Curvas_cupon_cero!$A$1,1,0,COUNT(Curvas_cupon_cero!$A:$A)-2,1),OFFSET(Curvas_cupon_cero!$A$1,1,MATCH($B$7,Curvas_cupon_cero!$1:$1,0)-1,COUNT(Curvas_cupon_cero!$A:$A)-2,1))))</f>
        <v>2.8379246541637242E-2</v>
      </c>
      <c r="O19" s="19">
        <f t="shared" ca="1" si="7"/>
        <v>32431.739362359986</v>
      </c>
    </row>
    <row r="20" spans="1:15" x14ac:dyDescent="0.2">
      <c r="A20" s="12">
        <f t="shared" si="2"/>
        <v>43988</v>
      </c>
      <c r="B20">
        <f t="shared" si="0"/>
        <v>526</v>
      </c>
      <c r="C20" s="21">
        <f ca="1">IF(A20="","",IF($B$10="Sí",interpolar_alamb(B20,OFFSET(Curvas_cupon_cero!$A$1,1,0,COUNT(Curvas_cupon_cero!$A:$A)-2,1),OFFSET(Curvas_cupon_cero!$A$1,1,MATCH($B$8,Curvas_cupon_cero!$1:$1,0)-1,COUNT(Curvas_cupon_cero!$A:$A)-2,1)),[1]!interpolar(B20,OFFSET(Curvas_cupon_cero!$A$1,1,0,COUNT(Curvas_cupon_cero!$A:$A)-2,1),OFFSET(Curvas_cupon_cero!$A$1,1,MATCH($B$8,Curvas_cupon_cero!$1:$1,0)-1,COUNT(Curvas_cupon_cero!$A:$A)-2,1))))</f>
        <v>8.0431024111375968E-2</v>
      </c>
      <c r="D20" s="23">
        <f ca="1">IF(A20="","",IF($B$10="Sí",interpolar_alamb(L20,OFFSET(Curvas_cupon_cero!$A$1,1,0,COUNT(Curvas_cupon_cero!$A:$A)-2,1),OFFSET(Curvas_cupon_cero!$A$1,1,MATCH($B$8,Curvas_cupon_cero!$1:$1,0)-1,COUNT(Curvas_cupon_cero!$A:$A)-2,1)),[1]!interpolar(L20,OFFSET(Curvas_cupon_cero!$A$1,1,0,COUNT(Curvas_cupon_cero!$A:$A)-2,1),OFFSET(Curvas_cupon_cero!$A$1,1,MATCH($B$8,Curvas_cupon_cero!$1:$1,0)-1,COUNT(Curvas_cupon_cero!$A:$A)-2,1))))</f>
        <v>8.1052945498190213E-2</v>
      </c>
      <c r="E20" s="23">
        <f t="shared" ca="1" si="3"/>
        <v>7.4137792407105871E-2</v>
      </c>
      <c r="F20" s="23">
        <f ca="1">IF(A20="","",IF($B$10="Sí",interpolar_alamb(L20,OFFSET(Curvas_cupon_cero!$A$1,1,0,COUNT(Curvas_cupon_cero!$A:$A)-2,1),OFFSET(Curvas_cupon_cero!$A$1,1,MATCH($B$9,Curvas_cupon_cero!$1:$1,0)-1,COUNT(Curvas_cupon_cero!$A:$A)-2,1)),[1]!interpolar(L20,OFFSET(Curvas_cupon_cero!$A$1,1,0,COUNT(Curvas_cupon_cero!$A:$A)-2,1),OFFSET(Curvas_cupon_cero!$A$1,1,MATCH($B$9,Curvas_cupon_cero!$1:$1,0)-1,COUNT(Curvas_cupon_cero!$A:$A)-2,1))))</f>
        <v>3.8679144973475139E-2</v>
      </c>
      <c r="G20" s="35">
        <f ca="1">IF(A20="","",$B$11*(1+M20*L20/360)/(1+F20*L20/360))</f>
        <v>6.4780849472510136</v>
      </c>
      <c r="H20" s="20">
        <f ca="1">IF(A20="","",(G20/G19-1)*360/$B$5)</f>
        <v>3.5892202384702143E-2</v>
      </c>
      <c r="I20">
        <f t="shared" ca="1" si="4"/>
        <v>0</v>
      </c>
      <c r="J20" s="17">
        <f t="shared" ca="1" si="1"/>
        <v>37480.772828036861</v>
      </c>
      <c r="K20" s="18">
        <f t="shared" si="5"/>
        <v>182</v>
      </c>
      <c r="L20">
        <f t="shared" si="6"/>
        <v>708</v>
      </c>
      <c r="M20" s="23">
        <f ca="1">IF(A20="","",IF($B$10="Sí",interpolar_alamb(L20,OFFSET(Curvas_cupon_cero!$A$1,1,0,COUNT(Curvas_cupon_cero!$A:$A)-2,1),OFFSET(Curvas_cupon_cero!$A$1,1,MATCH($B$6,Curvas_cupon_cero!$1:$1,0)-1,COUNT(Curvas_cupon_cero!$A:$A)-2,1)),[1]!interpolar(L20,OFFSET(Curvas_cupon_cero!$A$1,1,0,COUNT(Curvas_cupon_cero!$A:$A)-2,1),OFFSET(Curvas_cupon_cero!$A$1,1,MATCH($B$6,Curvas_cupon_cero!$1:$1,0)-1,COUNT(Curvas_cupon_cero!$A:$A)-2,1))))</f>
        <v>8.1052945498190213E-2</v>
      </c>
      <c r="N20" s="23">
        <f ca="1">IF(A20="","",IF($B$10="Sí",interpolar_alamb(L20,OFFSET(Curvas_cupon_cero!$A$1,1,0,COUNT(Curvas_cupon_cero!$A:$A)-2,1),OFFSET(Curvas_cupon_cero!$A$1,1,MATCH($B$7,Curvas_cupon_cero!$1:$1,0)-1,COUNT(Curvas_cupon_cero!$A:$A)-2,1)),[1]!interpolar(L20,OFFSET(Curvas_cupon_cero!$A$1,1,0,COUNT(Curvas_cupon_cero!$A:$A)-2,1),OFFSET(Curvas_cupon_cero!$A$1,1,MATCH($B$7,Curvas_cupon_cero!$1:$1,0)-1,COUNT(Curvas_cupon_cero!$A:$A)-2,1))))</f>
        <v>2.9322306845043153E-2</v>
      </c>
      <c r="O20" s="19">
        <f t="shared" ca="1" si="7"/>
        <v>30795.871956081479</v>
      </c>
    </row>
    <row r="21" spans="1:15" x14ac:dyDescent="0.2">
      <c r="A21" s="12">
        <f t="shared" si="2"/>
        <v>44170</v>
      </c>
      <c r="B21">
        <f t="shared" si="0"/>
        <v>708</v>
      </c>
      <c r="C21" s="21">
        <f ca="1">IF(A21="","",IF($B$10="Sí",interpolar_alamb(B21,OFFSET(Curvas_cupon_cero!$A$1,1,0,COUNT(Curvas_cupon_cero!$A:$A)-2,1),OFFSET(Curvas_cupon_cero!$A$1,1,MATCH($B$8,Curvas_cupon_cero!$1:$1,0)-1,COUNT(Curvas_cupon_cero!$A:$A)-2,1)),[1]!interpolar(B21,OFFSET(Curvas_cupon_cero!$A$1,1,0,COUNT(Curvas_cupon_cero!$A:$A)-2,1),OFFSET(Curvas_cupon_cero!$A$1,1,MATCH($B$8,Curvas_cupon_cero!$1:$1,0)-1,COUNT(Curvas_cupon_cero!$A:$A)-2,1))))</f>
        <v>8.1052945498190213E-2</v>
      </c>
      <c r="D21" s="23">
        <f ca="1">IF(A21="","",IF($B$10="Sí",interpolar_alamb(L21,OFFSET(Curvas_cupon_cero!$A$1,1,0,COUNT(Curvas_cupon_cero!$A:$A)-2,1),OFFSET(Curvas_cupon_cero!$A$1,1,MATCH($B$8,Curvas_cupon_cero!$1:$1,0)-1,COUNT(Curvas_cupon_cero!$A:$A)-2,1)),[1]!interpolar(L21,OFFSET(Curvas_cupon_cero!$A$1,1,0,COUNT(Curvas_cupon_cero!$A:$A)-2,1),OFFSET(Curvas_cupon_cero!$A$1,1,MATCH($B$8,Curvas_cupon_cero!$1:$1,0)-1,COUNT(Curvas_cupon_cero!$A:$A)-2,1))))</f>
        <v>8.2843000584162996E-2</v>
      </c>
      <c r="E21" s="23">
        <f t="shared" ca="1" si="3"/>
        <v>7.7459196110023262E-2</v>
      </c>
      <c r="F21" s="23">
        <f ca="1">IF(A21="","",IF($B$10="Sí",interpolar_alamb(L21,OFFSET(Curvas_cupon_cero!$A$1,1,0,COUNT(Curvas_cupon_cero!$A:$A)-2,1),OFFSET(Curvas_cupon_cero!$A$1,1,MATCH($B$9,Curvas_cupon_cero!$1:$1,0)-1,COUNT(Curvas_cupon_cero!$A:$A)-2,1)),[1]!interpolar(L21,OFFSET(Curvas_cupon_cero!$A$1,1,0,COUNT(Curvas_cupon_cero!$A:$A)-2,1),OFFSET(Curvas_cupon_cero!$A$1,1,MATCH($B$9,Curvas_cupon_cero!$1:$1,0)-1,COUNT(Curvas_cupon_cero!$A:$A)-2,1))))</f>
        <v>3.9044322716689506E-2</v>
      </c>
      <c r="G21" s="35">
        <f t="shared" ref="G19:G81" ca="1" si="8">IF(A21="","",$B$11*(1+M21*L21/360)/(1+F21*L21/360))</f>
        <v>6.6061756026471325</v>
      </c>
      <c r="H21" s="20">
        <f t="shared" ref="H19:H82" ca="1" si="9">IF(A21="","",(G21/G20-1)*360/$B$5)</f>
        <v>3.9111270323844385E-2</v>
      </c>
      <c r="I21">
        <f t="shared" ca="1" si="4"/>
        <v>0</v>
      </c>
      <c r="J21" s="17">
        <f t="shared" ca="1" si="1"/>
        <v>39159.926922289538</v>
      </c>
      <c r="K21" s="18">
        <f t="shared" si="5"/>
        <v>182</v>
      </c>
      <c r="L21">
        <f t="shared" si="6"/>
        <v>890</v>
      </c>
      <c r="M21" s="23">
        <f ca="1">IF(A21="","",IF($B$10="Sí",interpolar_alamb(L21,OFFSET(Curvas_cupon_cero!$A$1,1,0,COUNT(Curvas_cupon_cero!$A:$A)-2,1),OFFSET(Curvas_cupon_cero!$A$1,1,MATCH($B$6,Curvas_cupon_cero!$1:$1,0)-1,COUNT(Curvas_cupon_cero!$A:$A)-2,1)),[1]!interpolar(L21,OFFSET(Curvas_cupon_cero!$A$1,1,0,COUNT(Curvas_cupon_cero!$A:$A)-2,1),OFFSET(Curvas_cupon_cero!$A$1,1,MATCH($B$6,Curvas_cupon_cero!$1:$1,0)-1,COUNT(Curvas_cupon_cero!$A:$A)-2,1))))</f>
        <v>8.2843000584162996E-2</v>
      </c>
      <c r="N21" s="23">
        <f ca="1">IF(A21="","",IF($B$10="Sí",interpolar_alamb(L21,OFFSET(Curvas_cupon_cero!$A$1,1,0,COUNT(Curvas_cupon_cero!$A:$A)-2,1),OFFSET(Curvas_cupon_cero!$A$1,1,MATCH($B$7,Curvas_cupon_cero!$1:$1,0)-1,COUNT(Curvas_cupon_cero!$A:$A)-2,1)),[1]!interpolar(L21,OFFSET(Curvas_cupon_cero!$A$1,1,0,COUNT(Curvas_cupon_cero!$A:$A)-2,1),OFFSET(Curvas_cupon_cero!$A$1,1,MATCH($B$7,Curvas_cupon_cero!$1:$1,0)-1,COUNT(Curvas_cupon_cero!$A:$A)-2,1))))</f>
        <v>3.0454771919228223E-2</v>
      </c>
      <c r="O21" s="19">
        <f t="shared" ca="1" si="7"/>
        <v>30591.368181275677</v>
      </c>
    </row>
    <row r="22" spans="1:15" x14ac:dyDescent="0.2">
      <c r="A22" s="12">
        <f t="shared" si="2"/>
        <v>44352</v>
      </c>
      <c r="B22">
        <f t="shared" si="0"/>
        <v>890</v>
      </c>
      <c r="C22" s="21">
        <f ca="1">IF(A22="","",IF($B$10="Sí",interpolar_alamb(B22,OFFSET(Curvas_cupon_cero!$A$1,1,0,COUNT(Curvas_cupon_cero!$A:$A)-2,1),OFFSET(Curvas_cupon_cero!$A$1,1,MATCH($B$8,Curvas_cupon_cero!$1:$1,0)-1,COUNT(Curvas_cupon_cero!$A:$A)-2,1)),[1]!interpolar(B22,OFFSET(Curvas_cupon_cero!$A$1,1,0,COUNT(Curvas_cupon_cero!$A:$A)-2,1),OFFSET(Curvas_cupon_cero!$A$1,1,MATCH($B$8,Curvas_cupon_cero!$1:$1,0)-1,COUNT(Curvas_cupon_cero!$A:$A)-2,1))))</f>
        <v>8.2843000584162996E-2</v>
      </c>
      <c r="D22" s="23">
        <f ca="1">IF(A22="","",IF($B$10="Sí",interpolar_alamb(L22,OFFSET(Curvas_cupon_cero!$A$1,1,0,COUNT(Curvas_cupon_cero!$A:$A)-2,1),OFFSET(Curvas_cupon_cero!$A$1,1,MATCH($B$8,Curvas_cupon_cero!$1:$1,0)-1,COUNT(Curvas_cupon_cero!$A:$A)-2,1)),[1]!interpolar(L22,OFFSET(Curvas_cupon_cero!$A$1,1,0,COUNT(Curvas_cupon_cero!$A:$A)-2,1),OFFSET(Curvas_cupon_cero!$A$1,1,MATCH($B$8,Curvas_cupon_cero!$1:$1,0)-1,COUNT(Curvas_cupon_cero!$A:$A)-2,1))))</f>
        <v>8.4670307969745798E-2</v>
      </c>
      <c r="E22" s="23">
        <f t="shared" ca="1" si="3"/>
        <v>7.7693851156338062E-2</v>
      </c>
      <c r="F22" s="23">
        <f ca="1">IF(A22="","",IF($B$10="Sí",interpolar_alamb(L22,OFFSET(Curvas_cupon_cero!$A$1,1,0,COUNT(Curvas_cupon_cero!$A:$A)-2,1),OFFSET(Curvas_cupon_cero!$A$1,1,MATCH($B$9,Curvas_cupon_cero!$1:$1,0)-1,COUNT(Curvas_cupon_cero!$A:$A)-2,1)),[1]!interpolar(L22,OFFSET(Curvas_cupon_cero!$A$1,1,0,COUNT(Curvas_cupon_cero!$A:$A)-2,1),OFFSET(Curvas_cupon_cero!$A$1,1,MATCH($B$9,Curvas_cupon_cero!$1:$1,0)-1,COUNT(Curvas_cupon_cero!$A:$A)-2,1))))</f>
        <v>3.9416640285185899E-2</v>
      </c>
      <c r="G22" s="35">
        <f t="shared" ca="1" si="8"/>
        <v>6.7375585279399743</v>
      </c>
      <c r="H22" s="20">
        <f ca="1">IF(A22="","",(G22/G21-1)*360/$B$5)</f>
        <v>3.9338692974180814E-2</v>
      </c>
      <c r="I22">
        <f t="shared" ca="1" si="4"/>
        <v>0</v>
      </c>
      <c r="J22" s="17">
        <f t="shared" ca="1" si="1"/>
        <v>39278.558084593133</v>
      </c>
      <c r="K22" s="18">
        <f t="shared" si="5"/>
        <v>182</v>
      </c>
      <c r="L22">
        <f t="shared" si="6"/>
        <v>1072</v>
      </c>
      <c r="M22" s="23">
        <f ca="1">IF(A22="","",IF($B$10="Sí",interpolar_alamb(L22,OFFSET(Curvas_cupon_cero!$A$1,1,0,COUNT(Curvas_cupon_cero!$A:$A)-2,1),OFFSET(Curvas_cupon_cero!$A$1,1,MATCH($B$6,Curvas_cupon_cero!$1:$1,0)-1,COUNT(Curvas_cupon_cero!$A:$A)-2,1)),[1]!interpolar(L22,OFFSET(Curvas_cupon_cero!$A$1,1,0,COUNT(Curvas_cupon_cero!$A:$A)-2,1),OFFSET(Curvas_cupon_cero!$A$1,1,MATCH($B$6,Curvas_cupon_cero!$1:$1,0)-1,COUNT(Curvas_cupon_cero!$A:$A)-2,1))))</f>
        <v>8.4670307969745798E-2</v>
      </c>
      <c r="N22" s="23">
        <f ca="1">IF(A22="","",IF($B$10="Sí",interpolar_alamb(L22,OFFSET(Curvas_cupon_cero!$A$1,1,0,COUNT(Curvas_cupon_cero!$A:$A)-2,1),OFFSET(Curvas_cupon_cero!$A$1,1,MATCH($B$7,Curvas_cupon_cero!$1:$1,0)-1,COUNT(Curvas_cupon_cero!$A:$A)-2,1)),[1]!interpolar(L22,OFFSET(Curvas_cupon_cero!$A$1,1,0,COUNT(Curvas_cupon_cero!$A:$A)-2,1),OFFSET(Curvas_cupon_cero!$A$1,1,MATCH($B$7,Curvas_cupon_cero!$1:$1,0)-1,COUNT(Curvas_cupon_cero!$A:$A)-2,1))))</f>
        <v>3.1329530948901528E-2</v>
      </c>
      <c r="O22" s="19">
        <f t="shared" ca="1" si="7"/>
        <v>29194.234671666291</v>
      </c>
    </row>
    <row r="23" spans="1:15" x14ac:dyDescent="0.2">
      <c r="A23" s="12">
        <f t="shared" si="2"/>
        <v>44534</v>
      </c>
      <c r="B23">
        <f t="shared" si="0"/>
        <v>1072</v>
      </c>
      <c r="C23" s="21">
        <f ca="1">IF(A23="","",IF($B$10="Sí",interpolar_alamb(B23,OFFSET(Curvas_cupon_cero!$A$1,1,0,COUNT(Curvas_cupon_cero!$A:$A)-2,1),OFFSET(Curvas_cupon_cero!$A$1,1,MATCH($B$8,Curvas_cupon_cero!$1:$1,0)-1,COUNT(Curvas_cupon_cero!$A:$A)-2,1)),[1]!interpolar(B23,OFFSET(Curvas_cupon_cero!$A$1,1,0,COUNT(Curvas_cupon_cero!$A:$A)-2,1),OFFSET(Curvas_cupon_cero!$A$1,1,MATCH($B$8,Curvas_cupon_cero!$1:$1,0)-1,COUNT(Curvas_cupon_cero!$A:$A)-2,1))))</f>
        <v>8.4670307969745798E-2</v>
      </c>
      <c r="D23" s="23">
        <f ca="1">IF(A23="","",IF($B$10="Sí",interpolar_alamb(L23,OFFSET(Curvas_cupon_cero!$A$1,1,0,COUNT(Curvas_cupon_cero!$A:$A)-2,1),OFFSET(Curvas_cupon_cero!$A$1,1,MATCH($B$8,Curvas_cupon_cero!$1:$1,0)-1,COUNT(Curvas_cupon_cero!$A:$A)-2,1)),[1]!interpolar(L23,OFFSET(Curvas_cupon_cero!$A$1,1,0,COUNT(Curvas_cupon_cero!$A:$A)-2,1),OFFSET(Curvas_cupon_cero!$A$1,1,MATCH($B$8,Curvas_cupon_cero!$1:$1,0)-1,COUNT(Curvas_cupon_cero!$A:$A)-2,1))))</f>
        <v>8.6290107907465274E-2</v>
      </c>
      <c r="E23" s="23">
        <f t="shared" ca="1" si="3"/>
        <v>7.6534350592231362E-2</v>
      </c>
      <c r="F23" s="23">
        <f ca="1">IF(A23="","",IF($B$10="Sí",interpolar_alamb(L23,OFFSET(Curvas_cupon_cero!$A$1,1,0,COUNT(Curvas_cupon_cero!$A:$A)-2,1),OFFSET(Curvas_cupon_cero!$A$1,1,MATCH($B$9,Curvas_cupon_cero!$1:$1,0)-1,COUNT(Curvas_cupon_cero!$A:$A)-2,1)),[1]!interpolar(L23,OFFSET(Curvas_cupon_cero!$A$1,1,0,COUNT(Curvas_cupon_cero!$A:$A)-2,1),OFFSET(Curvas_cupon_cero!$A$1,1,MATCH($B$9,Curvas_cupon_cero!$1:$1,0)-1,COUNT(Curvas_cupon_cero!$A:$A)-2,1))))</f>
        <v>3.9826871678020431E-2</v>
      </c>
      <c r="G23" s="35">
        <f t="shared" ca="1" si="8"/>
        <v>6.8670021805884938</v>
      </c>
      <c r="H23" s="20">
        <f ca="1">IF(A23="","",(G23/G22-1)*360/$B$5)</f>
        <v>3.8002250932950274E-2</v>
      </c>
      <c r="I23">
        <f t="shared" ca="1" si="4"/>
        <v>0</v>
      </c>
      <c r="J23" s="17">
        <f t="shared" ca="1" si="1"/>
        <v>38692.366132739189</v>
      </c>
      <c r="K23" s="18">
        <f t="shared" si="5"/>
        <v>182</v>
      </c>
      <c r="L23">
        <f t="shared" si="6"/>
        <v>1254</v>
      </c>
      <c r="M23" s="23">
        <f ca="1">IF(A23="","",IF($B$10="Sí",interpolar_alamb(L23,OFFSET(Curvas_cupon_cero!$A$1,1,0,COUNT(Curvas_cupon_cero!$A:$A)-2,1),OFFSET(Curvas_cupon_cero!$A$1,1,MATCH($B$6,Curvas_cupon_cero!$1:$1,0)-1,COUNT(Curvas_cupon_cero!$A:$A)-2,1)),[1]!interpolar(L23,OFFSET(Curvas_cupon_cero!$A$1,1,0,COUNT(Curvas_cupon_cero!$A:$A)-2,1),OFFSET(Curvas_cupon_cero!$A$1,1,MATCH($B$6,Curvas_cupon_cero!$1:$1,0)-1,COUNT(Curvas_cupon_cero!$A:$A)-2,1))))</f>
        <v>8.6290107907465274E-2</v>
      </c>
      <c r="N23" s="23">
        <f ca="1">IF(A23="","",IF($B$10="Sí",interpolar_alamb(L23,OFFSET(Curvas_cupon_cero!$A$1,1,0,COUNT(Curvas_cupon_cero!$A:$A)-2,1),OFFSET(Curvas_cupon_cero!$A$1,1,MATCH($B$7,Curvas_cupon_cero!$1:$1,0)-1,COUNT(Curvas_cupon_cero!$A:$A)-2,1)),[1]!interpolar(L23,OFFSET(Curvas_cupon_cero!$A$1,1,0,COUNT(Curvas_cupon_cero!$A:$A)-2,1),OFFSET(Curvas_cupon_cero!$A$1,1,MATCH($B$7,Curvas_cupon_cero!$1:$1,0)-1,COUNT(Curvas_cupon_cero!$A:$A)-2,1))))</f>
        <v>3.2167014251698905E-2</v>
      </c>
      <c r="O23" s="19">
        <f t="shared" ca="1" si="7"/>
        <v>27390.389199516245</v>
      </c>
    </row>
    <row r="24" spans="1:15" x14ac:dyDescent="0.2">
      <c r="A24" s="12">
        <f t="shared" si="2"/>
        <v>44716</v>
      </c>
      <c r="B24">
        <f t="shared" si="0"/>
        <v>1254</v>
      </c>
      <c r="C24" s="21">
        <f ca="1">IF(A24="","",IF($B$10="Sí",interpolar_alamb(B24,OFFSET(Curvas_cupon_cero!$A$1,1,0,COUNT(Curvas_cupon_cero!$A:$A)-2,1),OFFSET(Curvas_cupon_cero!$A$1,1,MATCH($B$8,Curvas_cupon_cero!$1:$1,0)-1,COUNT(Curvas_cupon_cero!$A:$A)-2,1)),[1]!interpolar(B24,OFFSET(Curvas_cupon_cero!$A$1,1,0,COUNT(Curvas_cupon_cero!$A:$A)-2,1),OFFSET(Curvas_cupon_cero!$A$1,1,MATCH($B$8,Curvas_cupon_cero!$1:$1,0)-1,COUNT(Curvas_cupon_cero!$A:$A)-2,1))))</f>
        <v>8.6290107907465274E-2</v>
      </c>
      <c r="D24" s="23">
        <f ca="1">IF(A24="","",IF($B$10="Sí",interpolar_alamb(L24,OFFSET(Curvas_cupon_cero!$A$1,1,0,COUNT(Curvas_cupon_cero!$A:$A)-2,1),OFFSET(Curvas_cupon_cero!$A$1,1,MATCH($B$8,Curvas_cupon_cero!$1:$1,0)-1,COUNT(Curvas_cupon_cero!$A:$A)-2,1)),[1]!interpolar(L24,OFFSET(Curvas_cupon_cero!$A$1,1,0,COUNT(Curvas_cupon_cero!$A:$A)-2,1),OFFSET(Curvas_cupon_cero!$A$1,1,MATCH($B$8,Curvas_cupon_cero!$1:$1,0)-1,COUNT(Curvas_cupon_cero!$A:$A)-2,1))))</f>
        <v>8.7960478863145383E-2</v>
      </c>
      <c r="E24" s="23">
        <f t="shared" ca="1" si="3"/>
        <v>7.648105595005196E-2</v>
      </c>
      <c r="F24" s="23">
        <f ca="1">IF(A24="","",IF($B$10="Sí",interpolar_alamb(L24,OFFSET(Curvas_cupon_cero!$A$1,1,0,COUNT(Curvas_cupon_cero!$A:$A)-2,1),OFFSET(Curvas_cupon_cero!$A$1,1,MATCH($B$9,Curvas_cupon_cero!$1:$1,0)-1,COUNT(Curvas_cupon_cero!$A:$A)-2,1)),[1]!interpolar(L24,OFFSET(Curvas_cupon_cero!$A$1,1,0,COUNT(Curvas_cupon_cero!$A:$A)-2,1),OFFSET(Curvas_cupon_cero!$A$1,1,MATCH($B$9,Curvas_cupon_cero!$1:$1,0)-1,COUNT(Curvas_cupon_cero!$A:$A)-2,1))))</f>
        <v>4.0236763722156399E-2</v>
      </c>
      <c r="G24" s="35">
        <f t="shared" ca="1" si="8"/>
        <v>6.998719493132989</v>
      </c>
      <c r="H24" s="20">
        <f t="shared" ca="1" si="9"/>
        <v>3.7940826615068132E-2</v>
      </c>
      <c r="I24">
        <f t="shared" ca="1" si="4"/>
        <v>0</v>
      </c>
      <c r="J24" s="17">
        <f t="shared" ca="1" si="1"/>
        <v>38665.422730304046</v>
      </c>
      <c r="K24" s="18">
        <f t="shared" si="5"/>
        <v>182</v>
      </c>
      <c r="L24">
        <f t="shared" si="6"/>
        <v>1436</v>
      </c>
      <c r="M24" s="23">
        <f ca="1">IF(A24="","",IF($B$10="Sí",interpolar_alamb(L24,OFFSET(Curvas_cupon_cero!$A$1,1,0,COUNT(Curvas_cupon_cero!$A:$A)-2,1),OFFSET(Curvas_cupon_cero!$A$1,1,MATCH($B$6,Curvas_cupon_cero!$1:$1,0)-1,COUNT(Curvas_cupon_cero!$A:$A)-2,1)),[1]!interpolar(L24,OFFSET(Curvas_cupon_cero!$A$1,1,0,COUNT(Curvas_cupon_cero!$A:$A)-2,1),OFFSET(Curvas_cupon_cero!$A$1,1,MATCH($B$6,Curvas_cupon_cero!$1:$1,0)-1,COUNT(Curvas_cupon_cero!$A:$A)-2,1))))</f>
        <v>8.7960478863145383E-2</v>
      </c>
      <c r="N24" s="23">
        <f ca="1">IF(A24="","",IF($B$10="Sí",interpolar_alamb(L24,OFFSET(Curvas_cupon_cero!$A$1,1,0,COUNT(Curvas_cupon_cero!$A:$A)-2,1),OFFSET(Curvas_cupon_cero!$A$1,1,MATCH($B$7,Curvas_cupon_cero!$1:$1,0)-1,COUNT(Curvas_cupon_cero!$A:$A)-2,1)),[1]!interpolar(L24,OFFSET(Curvas_cupon_cero!$A$1,1,0,COUNT(Curvas_cupon_cero!$A:$A)-2,1),OFFSET(Curvas_cupon_cero!$A$1,1,MATCH($B$7,Curvas_cupon_cero!$1:$1,0)-1,COUNT(Curvas_cupon_cero!$A:$A)-2,1))))</f>
        <v>3.2878192773388812E-2</v>
      </c>
      <c r="O24" s="19">
        <f t="shared" ca="1" si="7"/>
        <v>26089.816969482839</v>
      </c>
    </row>
    <row r="25" spans="1:15" x14ac:dyDescent="0.2">
      <c r="A25" s="12">
        <f t="shared" si="2"/>
        <v>44898</v>
      </c>
      <c r="B25">
        <f t="shared" si="0"/>
        <v>1436</v>
      </c>
      <c r="C25" s="21">
        <f ca="1">IF(A25="","",IF($B$10="Sí",interpolar_alamb(B25,OFFSET(Curvas_cupon_cero!$A$1,1,0,COUNT(Curvas_cupon_cero!$A:$A)-2,1),OFFSET(Curvas_cupon_cero!$A$1,1,MATCH($B$8,Curvas_cupon_cero!$1:$1,0)-1,COUNT(Curvas_cupon_cero!$A:$A)-2,1)),[1]!interpolar(B25,OFFSET(Curvas_cupon_cero!$A$1,1,0,COUNT(Curvas_cupon_cero!$A:$A)-2,1),OFFSET(Curvas_cupon_cero!$A$1,1,MATCH($B$8,Curvas_cupon_cero!$1:$1,0)-1,COUNT(Curvas_cupon_cero!$A:$A)-2,1))))</f>
        <v>8.7960478863145383E-2</v>
      </c>
      <c r="D25" s="23">
        <f ca="1">IF(A25="","",IF($B$10="Sí",interpolar_alamb(L25,OFFSET(Curvas_cupon_cero!$A$1,1,0,COUNT(Curvas_cupon_cero!$A:$A)-2,1),OFFSET(Curvas_cupon_cero!$A$1,1,MATCH($B$8,Curvas_cupon_cero!$1:$1,0)-1,COUNT(Curvas_cupon_cero!$A:$A)-2,1)),[1]!interpolar(L25,OFFSET(Curvas_cupon_cero!$A$1,1,0,COUNT(Curvas_cupon_cero!$A:$A)-2,1),OFFSET(Curvas_cupon_cero!$A$1,1,MATCH($B$8,Curvas_cupon_cero!$1:$1,0)-1,COUNT(Curvas_cupon_cero!$A:$A)-2,1))))</f>
        <v>8.9605008723488588E-2</v>
      </c>
      <c r="E25" s="23">
        <f t="shared" ca="1" si="3"/>
        <v>7.5936945716847684E-2</v>
      </c>
      <c r="F25" s="23">
        <f ca="1">IF(A25="","",IF($B$10="Sí",interpolar_alamb(L25,OFFSET(Curvas_cupon_cero!$A$1,1,0,COUNT(Curvas_cupon_cero!$A:$A)-2,1),OFFSET(Curvas_cupon_cero!$A$1,1,MATCH($B$9,Curvas_cupon_cero!$1:$1,0)-1,COUNT(Curvas_cupon_cero!$A:$A)-2,1)),[1]!interpolar(L25,OFFSET(Curvas_cupon_cero!$A$1,1,0,COUNT(Curvas_cupon_cero!$A:$A)-2,1),OFFSET(Curvas_cupon_cero!$A$1,1,MATCH($B$9,Curvas_cupon_cero!$1:$1,0)-1,COUNT(Curvas_cupon_cero!$A:$A)-2,1))))</f>
        <v>4.1022014109120014E-2</v>
      </c>
      <c r="G25" s="35">
        <f t="shared" ca="1" si="8"/>
        <v>7.1209271229562576</v>
      </c>
      <c r="H25" s="20">
        <f t="shared" ca="1" si="9"/>
        <v>3.4539086458541257E-2</v>
      </c>
      <c r="I25">
        <f t="shared" ca="1" si="4"/>
        <v>0</v>
      </c>
      <c r="J25" s="17">
        <f t="shared" ca="1" si="1"/>
        <v>38390.344779072999</v>
      </c>
      <c r="K25" s="18">
        <f t="shared" si="5"/>
        <v>182</v>
      </c>
      <c r="L25">
        <f t="shared" si="6"/>
        <v>1618</v>
      </c>
      <c r="M25" s="23">
        <f ca="1">IF(A25="","",IF($B$10="Sí",interpolar_alamb(L25,OFFSET(Curvas_cupon_cero!$A$1,1,0,COUNT(Curvas_cupon_cero!$A:$A)-2,1),OFFSET(Curvas_cupon_cero!$A$1,1,MATCH($B$6,Curvas_cupon_cero!$1:$1,0)-1,COUNT(Curvas_cupon_cero!$A:$A)-2,1)),[1]!interpolar(L25,OFFSET(Curvas_cupon_cero!$A$1,1,0,COUNT(Curvas_cupon_cero!$A:$A)-2,1),OFFSET(Curvas_cupon_cero!$A$1,1,MATCH($B$6,Curvas_cupon_cero!$1:$1,0)-1,COUNT(Curvas_cupon_cero!$A:$A)-2,1))))</f>
        <v>8.9605008723488588E-2</v>
      </c>
      <c r="N25" s="23">
        <f ca="1">IF(A25="","",IF($B$10="Sí",interpolar_alamb(L25,OFFSET(Curvas_cupon_cero!$A$1,1,0,COUNT(Curvas_cupon_cero!$A:$A)-2,1),OFFSET(Curvas_cupon_cero!$A$1,1,MATCH($B$7,Curvas_cupon_cero!$1:$1,0)-1,COUNT(Curvas_cupon_cero!$A:$A)-2,1)),[1]!interpolar(L25,OFFSET(Curvas_cupon_cero!$A$1,1,0,COUNT(Curvas_cupon_cero!$A:$A)-2,1),OFFSET(Curvas_cupon_cero!$A$1,1,MATCH($B$7,Curvas_cupon_cero!$1:$1,0)-1,COUNT(Curvas_cupon_cero!$A:$A)-2,1))))</f>
        <v>3.3201331660826401E-2</v>
      </c>
      <c r="O25" s="19">
        <f t="shared" ca="1" si="7"/>
        <v>24736.903213233571</v>
      </c>
    </row>
    <row r="26" spans="1:15" x14ac:dyDescent="0.2">
      <c r="A26" s="12">
        <f t="shared" si="2"/>
        <v>45080</v>
      </c>
      <c r="B26">
        <f t="shared" si="0"/>
        <v>1618</v>
      </c>
      <c r="C26" s="21">
        <f ca="1">IF(A26="","",IF($B$10="Sí",interpolar_alamb(B26,OFFSET(Curvas_cupon_cero!$A$1,1,0,COUNT(Curvas_cupon_cero!$A:$A)-2,1),OFFSET(Curvas_cupon_cero!$A$1,1,MATCH($B$8,Curvas_cupon_cero!$1:$1,0)-1,COUNT(Curvas_cupon_cero!$A:$A)-2,1)),[1]!interpolar(B26,OFFSET(Curvas_cupon_cero!$A$1,1,0,COUNT(Curvas_cupon_cero!$A:$A)-2,1),OFFSET(Curvas_cupon_cero!$A$1,1,MATCH($B$8,Curvas_cupon_cero!$1:$1,0)-1,COUNT(Curvas_cupon_cero!$A:$A)-2,1))))</f>
        <v>8.9605008723488588E-2</v>
      </c>
      <c r="D26" s="23">
        <f ca="1">IF(A26="","",IF($B$10="Sí",interpolar_alamb(L26,OFFSET(Curvas_cupon_cero!$A$1,1,0,COUNT(Curvas_cupon_cero!$A:$A)-2,1),OFFSET(Curvas_cupon_cero!$A$1,1,MATCH($B$8,Curvas_cupon_cero!$1:$1,0)-1,COUNT(Curvas_cupon_cero!$A:$A)-2,1)),[1]!interpolar(L26,OFFSET(Curvas_cupon_cero!$A$1,1,0,COUNT(Curvas_cupon_cero!$A:$A)-2,1),OFFSET(Curvas_cupon_cero!$A$1,1,MATCH($B$8,Curvas_cupon_cero!$1:$1,0)-1,COUNT(Curvas_cupon_cero!$A:$A)-2,1))))</f>
        <v>9.1313430000000001E-2</v>
      </c>
      <c r="E26" s="23">
        <f t="shared" ca="1" si="3"/>
        <v>7.5924720176235291E-2</v>
      </c>
      <c r="F26" s="23">
        <f ca="1">IF(A26="","",IF($B$10="Sí",interpolar_alamb(L26,OFFSET(Curvas_cupon_cero!$A$1,1,0,COUNT(Curvas_cupon_cero!$A:$A)-2,1),OFFSET(Curvas_cupon_cero!$A$1,1,MATCH($B$9,Curvas_cupon_cero!$1:$1,0)-1,COUNT(Curvas_cupon_cero!$A:$A)-2,1)),[1]!interpolar(L26,OFFSET(Curvas_cupon_cero!$A$1,1,0,COUNT(Curvas_cupon_cero!$A:$A)-2,1),OFFSET(Curvas_cupon_cero!$A$1,1,MATCH($B$9,Curvas_cupon_cero!$1:$1,0)-1,COUNT(Curvas_cupon_cero!$A:$A)-2,1))))</f>
        <v>4.1754409999999999E-2</v>
      </c>
      <c r="G26" s="35">
        <f t="shared" ca="1" si="8"/>
        <v>7.2449937111140184</v>
      </c>
      <c r="H26" s="20">
        <f t="shared" ca="1" si="9"/>
        <v>3.4462708840695577E-2</v>
      </c>
      <c r="I26">
        <f t="shared" ca="1" si="4"/>
        <v>0</v>
      </c>
      <c r="J26" s="17">
        <f t="shared" ca="1" si="1"/>
        <v>1038384.1640890967</v>
      </c>
      <c r="K26" s="18">
        <f t="shared" si="5"/>
        <v>182</v>
      </c>
      <c r="L26">
        <f t="shared" si="6"/>
        <v>1800</v>
      </c>
      <c r="M26" s="23">
        <f ca="1">IF(A26="","",IF($B$10="Sí",interpolar_alamb(L26,OFFSET(Curvas_cupon_cero!$A$1,1,0,COUNT(Curvas_cupon_cero!$A:$A)-2,1),OFFSET(Curvas_cupon_cero!$A$1,1,MATCH($B$6,Curvas_cupon_cero!$1:$1,0)-1,COUNT(Curvas_cupon_cero!$A:$A)-2,1)),[1]!interpolar(L26,OFFSET(Curvas_cupon_cero!$A$1,1,0,COUNT(Curvas_cupon_cero!$A:$A)-2,1),OFFSET(Curvas_cupon_cero!$A$1,1,MATCH($B$6,Curvas_cupon_cero!$1:$1,0)-1,COUNT(Curvas_cupon_cero!$A:$A)-2,1))))</f>
        <v>9.1313430000000001E-2</v>
      </c>
      <c r="N26" s="23">
        <f ca="1">IF(A26="","",IF($B$10="Sí",interpolar_alamb(L26,OFFSET(Curvas_cupon_cero!$A$1,1,0,COUNT(Curvas_cupon_cero!$A:$A)-2,1),OFFSET(Curvas_cupon_cero!$A$1,1,MATCH($B$7,Curvas_cupon_cero!$1:$1,0)-1,COUNT(Curvas_cupon_cero!$A:$A)-2,1)),[1]!interpolar(L26,OFFSET(Curvas_cupon_cero!$A$1,1,0,COUNT(Curvas_cupon_cero!$A:$A)-2,1),OFFSET(Curvas_cupon_cero!$A$1,1,MATCH($B$7,Curvas_cupon_cero!$1:$1,0)-1,COUNT(Curvas_cupon_cero!$A:$A)-2,1))))</f>
        <v>3.3510709999999999E-2</v>
      </c>
      <c r="O26" s="19">
        <f t="shared" ca="1" si="7"/>
        <v>639351.59750694432</v>
      </c>
    </row>
    <row r="27" spans="1:15" x14ac:dyDescent="0.2">
      <c r="A27" s="12" t="str">
        <f t="shared" si="2"/>
        <v/>
      </c>
      <c r="B27" t="str">
        <f t="shared" si="0"/>
        <v/>
      </c>
      <c r="C27" s="21" t="str">
        <f ca="1">IF(A27="","",IF($B$10="Sí",interpolar_alamb(B27,OFFSET(Curvas_cupon_cero!$A$1,1,0,COUNT(Curvas_cupon_cero!$A:$A)-2,1),OFFSET(Curvas_cupon_cero!$A$1,1,MATCH($B$8,Curvas_cupon_cero!$1:$1,0)-1,COUNT(Curvas_cupon_cero!$A:$A)-2,1)),[1]!interpolar(B27,OFFSET(Curvas_cupon_cero!$A$1,1,0,COUNT(Curvas_cupon_cero!$A:$A)-2,1),OFFSET(Curvas_cupon_cero!$A$1,1,MATCH($B$8,Curvas_cupon_cero!$1:$1,0)-1,COUNT(Curvas_cupon_cero!$A:$A)-2,1))))</f>
        <v/>
      </c>
      <c r="D27" s="23" t="str">
        <f ca="1">IF(A27="","",IF($B$10="Sí",interpolar_alamb(L27,OFFSET(Curvas_cupon_cero!$A$1,1,0,COUNT(Curvas_cupon_cero!$A:$A)-2,1),OFFSET(Curvas_cupon_cero!$A$1,1,MATCH($B$8,Curvas_cupon_cero!$1:$1,0)-1,COUNT(Curvas_cupon_cero!$A:$A)-2,1)),[1]!interpolar(L27,OFFSET(Curvas_cupon_cero!$A$1,1,0,COUNT(Curvas_cupon_cero!$A:$A)-2,1),OFFSET(Curvas_cupon_cero!$A$1,1,MATCH($B$8,Curvas_cupon_cero!$1:$1,0)-1,COUNT(Curvas_cupon_cero!$A:$A)-2,1))))</f>
        <v/>
      </c>
      <c r="E27" s="23" t="str">
        <f t="shared" si="3"/>
        <v/>
      </c>
      <c r="F27" s="23" t="str">
        <f ca="1">IF(A27="","",IF($B$10="Sí",interpolar_alamb(B27,OFFSET(Curvas_cupon_cero!$A$1,1,0,COUNT(Curvas_cupon_cero!$A:$A)-2,1),OFFSET(Curvas_cupon_cero!$A$1,1,MATCH($B$9,Curvas_cupon_cero!$1:$1,0)-1,COUNT(Curvas_cupon_cero!$A:$A)-2,1)),[1]!interpolar(B27,OFFSET(Curvas_cupon_cero!$A$1,1,0,COUNT(Curvas_cupon_cero!$A:$A)-2,1),OFFSET(Curvas_cupon_cero!$A$1,1,MATCH($B$9,Curvas_cupon_cero!$1:$1,0)-1,COUNT(Curvas_cupon_cero!$A:$A)-2,1))))</f>
        <v/>
      </c>
      <c r="G27" s="23" t="str">
        <f t="shared" si="8"/>
        <v/>
      </c>
      <c r="H27" s="20" t="str">
        <f t="shared" si="9"/>
        <v/>
      </c>
      <c r="I27" t="str">
        <f t="shared" si="4"/>
        <v/>
      </c>
      <c r="J27" s="17" t="str">
        <f t="shared" si="1"/>
        <v/>
      </c>
      <c r="K27" s="18" t="str">
        <f t="shared" si="5"/>
        <v/>
      </c>
      <c r="L27" t="str">
        <f t="shared" si="6"/>
        <v/>
      </c>
      <c r="M27" s="23" t="str">
        <f ca="1">IF(A27="","",IF($B$10="Sí",interpolar_alamb(L27,OFFSET(Curvas_cupon_cero!$A$1,1,0,COUNT(Curvas_cupon_cero!$A:$A)-2,1),OFFSET(Curvas_cupon_cero!$A$1,1,MATCH($B$6,Curvas_cupon_cero!$1:$1,0)-1,COUNT(Curvas_cupon_cero!$A:$A)-2,1)),[1]!interpolar(L27,OFFSET(Curvas_cupon_cero!$A$1,1,0,COUNT(Curvas_cupon_cero!$A:$A)-2,1),OFFSET(Curvas_cupon_cero!$A$1,1,MATCH($B$6,Curvas_cupon_cero!$1:$1,0)-1,COUNT(Curvas_cupon_cero!$A:$A)-2,1))))</f>
        <v/>
      </c>
      <c r="N27" s="23"/>
      <c r="O27" s="19" t="str">
        <f t="shared" si="7"/>
        <v/>
      </c>
    </row>
    <row r="28" spans="1:15" x14ac:dyDescent="0.2">
      <c r="A28" s="12" t="str">
        <f t="shared" si="2"/>
        <v/>
      </c>
      <c r="B28" t="str">
        <f t="shared" si="0"/>
        <v/>
      </c>
      <c r="C28" s="21" t="str">
        <f ca="1">IF(A28="","",IF($B$10="Sí",interpolar_alamb(B28,OFFSET(Curvas_cupon_cero!$A$1,1,0,COUNT(Curvas_cupon_cero!$A:$A)-2,1),OFFSET(Curvas_cupon_cero!$A$1,1,MATCH($B$8,Curvas_cupon_cero!$1:$1,0)-1,COUNT(Curvas_cupon_cero!$A:$A)-2,1)),[1]!interpolar(B28,OFFSET(Curvas_cupon_cero!$A$1,1,0,COUNT(Curvas_cupon_cero!$A:$A)-2,1),OFFSET(Curvas_cupon_cero!$A$1,1,MATCH($B$8,Curvas_cupon_cero!$1:$1,0)-1,COUNT(Curvas_cupon_cero!$A:$A)-2,1))))</f>
        <v/>
      </c>
      <c r="D28" s="23" t="str">
        <f ca="1">IF(A28="","",IF($B$10="Sí",interpolar_alamb(L28,OFFSET(Curvas_cupon_cero!$A$1,1,0,COUNT(Curvas_cupon_cero!$A:$A)-2,1),OFFSET(Curvas_cupon_cero!$A$1,1,MATCH($B$8,Curvas_cupon_cero!$1:$1,0)-1,COUNT(Curvas_cupon_cero!$A:$A)-2,1)),[1]!interpolar(L28,OFFSET(Curvas_cupon_cero!$A$1,1,0,COUNT(Curvas_cupon_cero!$A:$A)-2,1),OFFSET(Curvas_cupon_cero!$A$1,1,MATCH($B$8,Curvas_cupon_cero!$1:$1,0)-1,COUNT(Curvas_cupon_cero!$A:$A)-2,1))))</f>
        <v/>
      </c>
      <c r="E28" s="23" t="str">
        <f t="shared" si="3"/>
        <v/>
      </c>
      <c r="F28" s="23" t="str">
        <f ca="1">IF(A28="","",IF($B$10="Sí",interpolar_alamb(B28,OFFSET(Curvas_cupon_cero!$A$1,1,0,COUNT(Curvas_cupon_cero!$A:$A)-2,1),OFFSET(Curvas_cupon_cero!$A$1,1,MATCH($B$9,Curvas_cupon_cero!$1:$1,0)-1,COUNT(Curvas_cupon_cero!$A:$A)-2,1)),[1]!interpolar(B28,OFFSET(Curvas_cupon_cero!$A$1,1,0,COUNT(Curvas_cupon_cero!$A:$A)-2,1),OFFSET(Curvas_cupon_cero!$A$1,1,MATCH($B$9,Curvas_cupon_cero!$1:$1,0)-1,COUNT(Curvas_cupon_cero!$A:$A)-2,1))))</f>
        <v/>
      </c>
      <c r="G28" s="23" t="str">
        <f t="shared" si="8"/>
        <v/>
      </c>
      <c r="H28" s="20" t="str">
        <f t="shared" si="9"/>
        <v/>
      </c>
      <c r="I28" t="str">
        <f t="shared" si="4"/>
        <v/>
      </c>
      <c r="J28" s="17" t="str">
        <f t="shared" si="1"/>
        <v/>
      </c>
      <c r="K28" s="18" t="str">
        <f t="shared" si="5"/>
        <v/>
      </c>
      <c r="L28" t="str">
        <f t="shared" si="6"/>
        <v/>
      </c>
      <c r="M28" s="23" t="str">
        <f ca="1">IF(A28="","",IF($B$10="Sí",interpolar_alamb(L28,OFFSET(Curvas_cupon_cero!$A$1,1,0,COUNT(Curvas_cupon_cero!$A:$A)-2,1),OFFSET(Curvas_cupon_cero!$A$1,1,MATCH($B$6,Curvas_cupon_cero!$1:$1,0)-1,COUNT(Curvas_cupon_cero!$A:$A)-2,1)),[1]!interpolar(L28,OFFSET(Curvas_cupon_cero!$A$1,1,0,COUNT(Curvas_cupon_cero!$A:$A)-2,1),OFFSET(Curvas_cupon_cero!$A$1,1,MATCH($B$6,Curvas_cupon_cero!$1:$1,0)-1,COUNT(Curvas_cupon_cero!$A:$A)-2,1))))</f>
        <v/>
      </c>
      <c r="N28" s="23"/>
      <c r="O28" s="19" t="str">
        <f t="shared" si="7"/>
        <v/>
      </c>
    </row>
    <row r="29" spans="1:15" x14ac:dyDescent="0.2">
      <c r="A29" s="12" t="str">
        <f t="shared" si="2"/>
        <v/>
      </c>
      <c r="B29" t="str">
        <f t="shared" si="0"/>
        <v/>
      </c>
      <c r="C29" s="21" t="str">
        <f ca="1">IF(A29="","",IF($B$10="Sí",interpolar_alamb(B29,OFFSET(Curvas_cupon_cero!$A$1,1,0,COUNT(Curvas_cupon_cero!$A:$A)-2,1),OFFSET(Curvas_cupon_cero!$A$1,1,MATCH($B$8,Curvas_cupon_cero!$1:$1,0)-1,COUNT(Curvas_cupon_cero!$A:$A)-2,1)),[1]!interpolar(B29,OFFSET(Curvas_cupon_cero!$A$1,1,0,COUNT(Curvas_cupon_cero!$A:$A)-2,1),OFFSET(Curvas_cupon_cero!$A$1,1,MATCH($B$8,Curvas_cupon_cero!$1:$1,0)-1,COUNT(Curvas_cupon_cero!$A:$A)-2,1))))</f>
        <v/>
      </c>
      <c r="D29" s="23" t="str">
        <f ca="1">IF(A29="","",IF($B$10="Sí",interpolar_alamb(L29,OFFSET(Curvas_cupon_cero!$A$1,1,0,COUNT(Curvas_cupon_cero!$A:$A)-2,1),OFFSET(Curvas_cupon_cero!$A$1,1,MATCH($B$8,Curvas_cupon_cero!$1:$1,0)-1,COUNT(Curvas_cupon_cero!$A:$A)-2,1)),[1]!interpolar(L29,OFFSET(Curvas_cupon_cero!$A$1,1,0,COUNT(Curvas_cupon_cero!$A:$A)-2,1),OFFSET(Curvas_cupon_cero!$A$1,1,MATCH($B$8,Curvas_cupon_cero!$1:$1,0)-1,COUNT(Curvas_cupon_cero!$A:$A)-2,1))))</f>
        <v/>
      </c>
      <c r="E29" s="23" t="str">
        <f t="shared" si="3"/>
        <v/>
      </c>
      <c r="F29" s="23" t="str">
        <f ca="1">IF(A29="","",IF($B$10="Sí",interpolar_alamb(B29,OFFSET(Curvas_cupon_cero!$A$1,1,0,COUNT(Curvas_cupon_cero!$A:$A)-2,1),OFFSET(Curvas_cupon_cero!$A$1,1,MATCH($B$9,Curvas_cupon_cero!$1:$1,0)-1,COUNT(Curvas_cupon_cero!$A:$A)-2,1)),[1]!interpolar(B29,OFFSET(Curvas_cupon_cero!$A$1,1,0,COUNT(Curvas_cupon_cero!$A:$A)-2,1),OFFSET(Curvas_cupon_cero!$A$1,1,MATCH($B$9,Curvas_cupon_cero!$1:$1,0)-1,COUNT(Curvas_cupon_cero!$A:$A)-2,1))))</f>
        <v/>
      </c>
      <c r="G29" s="23" t="str">
        <f t="shared" si="8"/>
        <v/>
      </c>
      <c r="H29" s="20" t="str">
        <f t="shared" si="9"/>
        <v/>
      </c>
      <c r="I29" t="str">
        <f t="shared" si="4"/>
        <v/>
      </c>
      <c r="J29" s="17" t="str">
        <f t="shared" si="1"/>
        <v/>
      </c>
      <c r="K29" s="18" t="str">
        <f t="shared" si="5"/>
        <v/>
      </c>
      <c r="L29" t="str">
        <f t="shared" si="6"/>
        <v/>
      </c>
      <c r="M29" s="23" t="str">
        <f ca="1">IF(A29="","",IF($B$10="Sí",interpolar_alamb(L29,OFFSET(Curvas_cupon_cero!$A$1,1,0,COUNT(Curvas_cupon_cero!$A:$A)-2,1),OFFSET(Curvas_cupon_cero!$A$1,1,MATCH($B$6,Curvas_cupon_cero!$1:$1,0)-1,COUNT(Curvas_cupon_cero!$A:$A)-2,1)),[1]!interpolar(L29,OFFSET(Curvas_cupon_cero!$A$1,1,0,COUNT(Curvas_cupon_cero!$A:$A)-2,1),OFFSET(Curvas_cupon_cero!$A$1,1,MATCH($B$6,Curvas_cupon_cero!$1:$1,0)-1,COUNT(Curvas_cupon_cero!$A:$A)-2,1))))</f>
        <v/>
      </c>
      <c r="N29" s="23"/>
      <c r="O29" s="19" t="str">
        <f t="shared" si="7"/>
        <v/>
      </c>
    </row>
    <row r="30" spans="1:15" x14ac:dyDescent="0.2">
      <c r="A30" s="12" t="str">
        <f t="shared" si="2"/>
        <v/>
      </c>
      <c r="B30" t="str">
        <f t="shared" si="0"/>
        <v/>
      </c>
      <c r="C30" s="21" t="str">
        <f ca="1">IF(A30="","",IF($B$10="Sí",interpolar_alamb(B30,OFFSET(Curvas_cupon_cero!$A$1,1,0,COUNT(Curvas_cupon_cero!$A:$A)-2,1),OFFSET(Curvas_cupon_cero!$A$1,1,MATCH($B$8,Curvas_cupon_cero!$1:$1,0)-1,COUNT(Curvas_cupon_cero!$A:$A)-2,1)),[1]!interpolar(B30,OFFSET(Curvas_cupon_cero!$A$1,1,0,COUNT(Curvas_cupon_cero!$A:$A)-2,1),OFFSET(Curvas_cupon_cero!$A$1,1,MATCH($B$8,Curvas_cupon_cero!$1:$1,0)-1,COUNT(Curvas_cupon_cero!$A:$A)-2,1))))</f>
        <v/>
      </c>
      <c r="D30" s="23" t="str">
        <f ca="1">IF(A30="","",IF($B$10="Sí",interpolar_alamb(L30,OFFSET(Curvas_cupon_cero!$A$1,1,0,COUNT(Curvas_cupon_cero!$A:$A)-2,1),OFFSET(Curvas_cupon_cero!$A$1,1,MATCH($B$8,Curvas_cupon_cero!$1:$1,0)-1,COUNT(Curvas_cupon_cero!$A:$A)-2,1)),[1]!interpolar(L30,OFFSET(Curvas_cupon_cero!$A$1,1,0,COUNT(Curvas_cupon_cero!$A:$A)-2,1),OFFSET(Curvas_cupon_cero!$A$1,1,MATCH($B$8,Curvas_cupon_cero!$1:$1,0)-1,COUNT(Curvas_cupon_cero!$A:$A)-2,1))))</f>
        <v/>
      </c>
      <c r="E30" s="23" t="str">
        <f t="shared" si="3"/>
        <v/>
      </c>
      <c r="F30" s="23" t="str">
        <f ca="1">IF(A30="","",IF($B$10="Sí",interpolar_alamb(B30,OFFSET(Curvas_cupon_cero!$A$1,1,0,COUNT(Curvas_cupon_cero!$A:$A)-2,1),OFFSET(Curvas_cupon_cero!$A$1,1,MATCH($B$9,Curvas_cupon_cero!$1:$1,0)-1,COUNT(Curvas_cupon_cero!$A:$A)-2,1)),[1]!interpolar(B30,OFFSET(Curvas_cupon_cero!$A$1,1,0,COUNT(Curvas_cupon_cero!$A:$A)-2,1),OFFSET(Curvas_cupon_cero!$A$1,1,MATCH($B$9,Curvas_cupon_cero!$1:$1,0)-1,COUNT(Curvas_cupon_cero!$A:$A)-2,1))))</f>
        <v/>
      </c>
      <c r="G30" s="23" t="str">
        <f t="shared" si="8"/>
        <v/>
      </c>
      <c r="H30" s="20" t="str">
        <f t="shared" si="9"/>
        <v/>
      </c>
      <c r="I30" t="str">
        <f t="shared" si="4"/>
        <v/>
      </c>
      <c r="J30" s="17" t="str">
        <f t="shared" si="1"/>
        <v/>
      </c>
      <c r="K30" s="18" t="str">
        <f t="shared" si="5"/>
        <v/>
      </c>
      <c r="L30" t="str">
        <f t="shared" si="6"/>
        <v/>
      </c>
      <c r="M30" s="23" t="str">
        <f ca="1">IF(A30="","",IF($B$10="Sí",interpolar_alamb(L30,OFFSET(Curvas_cupon_cero!$A$1,1,0,COUNT(Curvas_cupon_cero!$A:$A)-2,1),OFFSET(Curvas_cupon_cero!$A$1,1,MATCH($B$6,Curvas_cupon_cero!$1:$1,0)-1,COUNT(Curvas_cupon_cero!$A:$A)-2,1)),[1]!interpolar(L30,OFFSET(Curvas_cupon_cero!$A$1,1,0,COUNT(Curvas_cupon_cero!$A:$A)-2,1),OFFSET(Curvas_cupon_cero!$A$1,1,MATCH($B$6,Curvas_cupon_cero!$1:$1,0)-1,COUNT(Curvas_cupon_cero!$A:$A)-2,1))))</f>
        <v/>
      </c>
      <c r="N30" s="23"/>
      <c r="O30" s="19" t="str">
        <f t="shared" si="7"/>
        <v/>
      </c>
    </row>
    <row r="31" spans="1:15" x14ac:dyDescent="0.2">
      <c r="A31" s="12" t="str">
        <f t="shared" si="2"/>
        <v/>
      </c>
      <c r="B31" t="str">
        <f t="shared" si="0"/>
        <v/>
      </c>
      <c r="C31" s="21" t="str">
        <f ca="1">IF(A31="","",IF($B$10="Sí",interpolar_alamb(B31,OFFSET(Curvas_cupon_cero!$A$1,1,0,COUNT(Curvas_cupon_cero!$A:$A)-2,1),OFFSET(Curvas_cupon_cero!$A$1,1,MATCH($B$8,Curvas_cupon_cero!$1:$1,0)-1,COUNT(Curvas_cupon_cero!$A:$A)-2,1)),[1]!interpolar(B31,OFFSET(Curvas_cupon_cero!$A$1,1,0,COUNT(Curvas_cupon_cero!$A:$A)-2,1),OFFSET(Curvas_cupon_cero!$A$1,1,MATCH($B$8,Curvas_cupon_cero!$1:$1,0)-1,COUNT(Curvas_cupon_cero!$A:$A)-2,1))))</f>
        <v/>
      </c>
      <c r="D31" s="23" t="str">
        <f ca="1">IF(A31="","",IF($B$10="Sí",interpolar_alamb(L31,OFFSET(Curvas_cupon_cero!$A$1,1,0,COUNT(Curvas_cupon_cero!$A:$A)-2,1),OFFSET(Curvas_cupon_cero!$A$1,1,MATCH($B$8,Curvas_cupon_cero!$1:$1,0)-1,COUNT(Curvas_cupon_cero!$A:$A)-2,1)),[1]!interpolar(L31,OFFSET(Curvas_cupon_cero!$A$1,1,0,COUNT(Curvas_cupon_cero!$A:$A)-2,1),OFFSET(Curvas_cupon_cero!$A$1,1,MATCH($B$8,Curvas_cupon_cero!$1:$1,0)-1,COUNT(Curvas_cupon_cero!$A:$A)-2,1))))</f>
        <v/>
      </c>
      <c r="E31" s="23" t="str">
        <f t="shared" si="3"/>
        <v/>
      </c>
      <c r="F31" s="23" t="str">
        <f ca="1">IF(A31="","",IF($B$10="Sí",interpolar_alamb(B31,OFFSET(Curvas_cupon_cero!$A$1,1,0,COUNT(Curvas_cupon_cero!$A:$A)-2,1),OFFSET(Curvas_cupon_cero!$A$1,1,MATCH($B$9,Curvas_cupon_cero!$1:$1,0)-1,COUNT(Curvas_cupon_cero!$A:$A)-2,1)),[1]!interpolar(B31,OFFSET(Curvas_cupon_cero!$A$1,1,0,COUNT(Curvas_cupon_cero!$A:$A)-2,1),OFFSET(Curvas_cupon_cero!$A$1,1,MATCH($B$9,Curvas_cupon_cero!$1:$1,0)-1,COUNT(Curvas_cupon_cero!$A:$A)-2,1))))</f>
        <v/>
      </c>
      <c r="G31" s="23" t="str">
        <f t="shared" si="8"/>
        <v/>
      </c>
      <c r="H31" s="20" t="str">
        <f t="shared" si="9"/>
        <v/>
      </c>
      <c r="I31" t="str">
        <f t="shared" si="4"/>
        <v/>
      </c>
      <c r="J31" s="17" t="str">
        <f t="shared" si="1"/>
        <v/>
      </c>
      <c r="K31" s="18" t="str">
        <f t="shared" si="5"/>
        <v/>
      </c>
      <c r="L31" t="str">
        <f t="shared" si="6"/>
        <v/>
      </c>
      <c r="M31" s="23" t="str">
        <f ca="1">IF(A31="","",IF($B$10="Sí",interpolar_alamb(L31,OFFSET(Curvas_cupon_cero!$A$1,1,0,COUNT(Curvas_cupon_cero!$A:$A)-2,1),OFFSET(Curvas_cupon_cero!$A$1,1,MATCH($B$6,Curvas_cupon_cero!$1:$1,0)-1,COUNT(Curvas_cupon_cero!$A:$A)-2,1)),[1]!interpolar(L31,OFFSET(Curvas_cupon_cero!$A$1,1,0,COUNT(Curvas_cupon_cero!$A:$A)-2,1),OFFSET(Curvas_cupon_cero!$A$1,1,MATCH($B$6,Curvas_cupon_cero!$1:$1,0)-1,COUNT(Curvas_cupon_cero!$A:$A)-2,1))))</f>
        <v/>
      </c>
      <c r="N31" s="23"/>
      <c r="O31" s="19" t="str">
        <f t="shared" si="7"/>
        <v/>
      </c>
    </row>
    <row r="32" spans="1:15" x14ac:dyDescent="0.2">
      <c r="A32" s="12" t="str">
        <f t="shared" si="2"/>
        <v/>
      </c>
      <c r="B32" t="str">
        <f t="shared" si="0"/>
        <v/>
      </c>
      <c r="C32" s="21" t="str">
        <f ca="1">IF(A32="","",IF($B$10="Sí",interpolar_alamb(B32,OFFSET(Curvas_cupon_cero!$A$1,1,0,COUNT(Curvas_cupon_cero!$A:$A)-2,1),OFFSET(Curvas_cupon_cero!$A$1,1,MATCH($B$8,Curvas_cupon_cero!$1:$1,0)-1,COUNT(Curvas_cupon_cero!$A:$A)-2,1)),[1]!interpolar(B32,OFFSET(Curvas_cupon_cero!$A$1,1,0,COUNT(Curvas_cupon_cero!$A:$A)-2,1),OFFSET(Curvas_cupon_cero!$A$1,1,MATCH($B$8,Curvas_cupon_cero!$1:$1,0)-1,COUNT(Curvas_cupon_cero!$A:$A)-2,1))))</f>
        <v/>
      </c>
      <c r="D32" s="23" t="str">
        <f ca="1">IF(A32="","",IF($B$10="Sí",interpolar_alamb(L32,OFFSET(Curvas_cupon_cero!$A$1,1,0,COUNT(Curvas_cupon_cero!$A:$A)-2,1),OFFSET(Curvas_cupon_cero!$A$1,1,MATCH($B$8,Curvas_cupon_cero!$1:$1,0)-1,COUNT(Curvas_cupon_cero!$A:$A)-2,1)),[1]!interpolar(L32,OFFSET(Curvas_cupon_cero!$A$1,1,0,COUNT(Curvas_cupon_cero!$A:$A)-2,1),OFFSET(Curvas_cupon_cero!$A$1,1,MATCH($B$8,Curvas_cupon_cero!$1:$1,0)-1,COUNT(Curvas_cupon_cero!$A:$A)-2,1))))</f>
        <v/>
      </c>
      <c r="E32" s="23" t="str">
        <f t="shared" si="3"/>
        <v/>
      </c>
      <c r="F32" s="23" t="str">
        <f ca="1">IF(A32="","",IF($B$10="Sí",interpolar_alamb(B32,OFFSET(Curvas_cupon_cero!$A$1,1,0,COUNT(Curvas_cupon_cero!$A:$A)-2,1),OFFSET(Curvas_cupon_cero!$A$1,1,MATCH($B$9,Curvas_cupon_cero!$1:$1,0)-1,COUNT(Curvas_cupon_cero!$A:$A)-2,1)),[1]!interpolar(B32,OFFSET(Curvas_cupon_cero!$A$1,1,0,COUNT(Curvas_cupon_cero!$A:$A)-2,1),OFFSET(Curvas_cupon_cero!$A$1,1,MATCH($B$9,Curvas_cupon_cero!$1:$1,0)-1,COUNT(Curvas_cupon_cero!$A:$A)-2,1))))</f>
        <v/>
      </c>
      <c r="G32" s="23" t="str">
        <f t="shared" si="8"/>
        <v/>
      </c>
      <c r="H32" s="20" t="str">
        <f t="shared" si="9"/>
        <v/>
      </c>
      <c r="I32" t="str">
        <f t="shared" si="4"/>
        <v/>
      </c>
      <c r="J32" s="17" t="str">
        <f t="shared" si="1"/>
        <v/>
      </c>
      <c r="K32" s="18" t="str">
        <f t="shared" si="5"/>
        <v/>
      </c>
      <c r="L32" t="str">
        <f t="shared" si="6"/>
        <v/>
      </c>
      <c r="M32" s="23" t="str">
        <f ca="1">IF(A32="","",IF($B$10="Sí",interpolar_alamb(L32,OFFSET(Curvas_cupon_cero!$A$1,1,0,COUNT(Curvas_cupon_cero!$A:$A)-2,1),OFFSET(Curvas_cupon_cero!$A$1,1,MATCH($B$6,Curvas_cupon_cero!$1:$1,0)-1,COUNT(Curvas_cupon_cero!$A:$A)-2,1)),[1]!interpolar(L32,OFFSET(Curvas_cupon_cero!$A$1,1,0,COUNT(Curvas_cupon_cero!$A:$A)-2,1),OFFSET(Curvas_cupon_cero!$A$1,1,MATCH($B$6,Curvas_cupon_cero!$1:$1,0)-1,COUNT(Curvas_cupon_cero!$A:$A)-2,1))))</f>
        <v/>
      </c>
      <c r="N32" s="23"/>
      <c r="O32" s="19" t="str">
        <f t="shared" si="7"/>
        <v/>
      </c>
    </row>
    <row r="33" spans="1:15" x14ac:dyDescent="0.2">
      <c r="A33" s="12" t="str">
        <f t="shared" si="2"/>
        <v/>
      </c>
      <c r="B33" t="str">
        <f t="shared" si="0"/>
        <v/>
      </c>
      <c r="C33" s="21" t="str">
        <f ca="1">IF(A33="","",IF($B$10="Sí",interpolar_alamb(B33,OFFSET(Curvas_cupon_cero!$A$1,1,0,COUNT(Curvas_cupon_cero!$A:$A)-2,1),OFFSET(Curvas_cupon_cero!$A$1,1,MATCH($B$8,Curvas_cupon_cero!$1:$1,0)-1,COUNT(Curvas_cupon_cero!$A:$A)-2,1)),[1]!interpolar(B33,OFFSET(Curvas_cupon_cero!$A$1,1,0,COUNT(Curvas_cupon_cero!$A:$A)-2,1),OFFSET(Curvas_cupon_cero!$A$1,1,MATCH($B$8,Curvas_cupon_cero!$1:$1,0)-1,COUNT(Curvas_cupon_cero!$A:$A)-2,1))))</f>
        <v/>
      </c>
      <c r="D33" s="23" t="str">
        <f ca="1">IF(A33="","",IF($B$10="Sí",interpolar_alamb(L33,OFFSET(Curvas_cupon_cero!$A$1,1,0,COUNT(Curvas_cupon_cero!$A:$A)-2,1),OFFSET(Curvas_cupon_cero!$A$1,1,MATCH($B$8,Curvas_cupon_cero!$1:$1,0)-1,COUNT(Curvas_cupon_cero!$A:$A)-2,1)),[1]!interpolar(L33,OFFSET(Curvas_cupon_cero!$A$1,1,0,COUNT(Curvas_cupon_cero!$A:$A)-2,1),OFFSET(Curvas_cupon_cero!$A$1,1,MATCH($B$8,Curvas_cupon_cero!$1:$1,0)-1,COUNT(Curvas_cupon_cero!$A:$A)-2,1))))</f>
        <v/>
      </c>
      <c r="E33" s="23" t="str">
        <f t="shared" si="3"/>
        <v/>
      </c>
      <c r="F33" s="23" t="str">
        <f ca="1">IF(A33="","",IF($B$10="Sí",interpolar_alamb(B33,OFFSET(Curvas_cupon_cero!$A$1,1,0,COUNT(Curvas_cupon_cero!$A:$A)-2,1),OFFSET(Curvas_cupon_cero!$A$1,1,MATCH($B$9,Curvas_cupon_cero!$1:$1,0)-1,COUNT(Curvas_cupon_cero!$A:$A)-2,1)),[1]!interpolar(B33,OFFSET(Curvas_cupon_cero!$A$1,1,0,COUNT(Curvas_cupon_cero!$A:$A)-2,1),OFFSET(Curvas_cupon_cero!$A$1,1,MATCH($B$9,Curvas_cupon_cero!$1:$1,0)-1,COUNT(Curvas_cupon_cero!$A:$A)-2,1))))</f>
        <v/>
      </c>
      <c r="G33" s="23" t="str">
        <f t="shared" si="8"/>
        <v/>
      </c>
      <c r="H33" s="20" t="str">
        <f t="shared" si="9"/>
        <v/>
      </c>
      <c r="I33" t="str">
        <f t="shared" si="4"/>
        <v/>
      </c>
      <c r="J33" s="17" t="str">
        <f t="shared" si="1"/>
        <v/>
      </c>
      <c r="K33" s="18" t="str">
        <f t="shared" si="5"/>
        <v/>
      </c>
      <c r="L33" t="str">
        <f t="shared" si="6"/>
        <v/>
      </c>
      <c r="M33" s="23" t="str">
        <f ca="1">IF(A33="","",IF($B$10="Sí",interpolar_alamb(L33,OFFSET(Curvas_cupon_cero!$A$1,1,0,COUNT(Curvas_cupon_cero!$A:$A)-2,1),OFFSET(Curvas_cupon_cero!$A$1,1,MATCH($B$6,Curvas_cupon_cero!$1:$1,0)-1,COUNT(Curvas_cupon_cero!$A:$A)-2,1)),[1]!interpolar(L33,OFFSET(Curvas_cupon_cero!$A$1,1,0,COUNT(Curvas_cupon_cero!$A:$A)-2,1),OFFSET(Curvas_cupon_cero!$A$1,1,MATCH($B$6,Curvas_cupon_cero!$1:$1,0)-1,COUNT(Curvas_cupon_cero!$A:$A)-2,1))))</f>
        <v/>
      </c>
      <c r="N33" s="23"/>
      <c r="O33" s="19" t="str">
        <f t="shared" si="7"/>
        <v/>
      </c>
    </row>
    <row r="34" spans="1:15" x14ac:dyDescent="0.2">
      <c r="A34" s="12" t="str">
        <f t="shared" si="2"/>
        <v/>
      </c>
      <c r="B34" t="str">
        <f t="shared" si="0"/>
        <v/>
      </c>
      <c r="C34" s="21" t="str">
        <f ca="1">IF(A34="","",IF($B$10="Sí",interpolar_alamb(B34,OFFSET(Curvas_cupon_cero!$A$1,1,0,COUNT(Curvas_cupon_cero!$A:$A)-2,1),OFFSET(Curvas_cupon_cero!$A$1,1,MATCH($B$8,Curvas_cupon_cero!$1:$1,0)-1,COUNT(Curvas_cupon_cero!$A:$A)-2,1)),[1]!interpolar(B34,OFFSET(Curvas_cupon_cero!$A$1,1,0,COUNT(Curvas_cupon_cero!$A:$A)-2,1),OFFSET(Curvas_cupon_cero!$A$1,1,MATCH($B$8,Curvas_cupon_cero!$1:$1,0)-1,COUNT(Curvas_cupon_cero!$A:$A)-2,1))))</f>
        <v/>
      </c>
      <c r="D34" s="23" t="str">
        <f ca="1">IF(A34="","",IF($B$10="Sí",interpolar_alamb(L34,OFFSET(Curvas_cupon_cero!$A$1,1,0,COUNT(Curvas_cupon_cero!$A:$A)-2,1),OFFSET(Curvas_cupon_cero!$A$1,1,MATCH($B$8,Curvas_cupon_cero!$1:$1,0)-1,COUNT(Curvas_cupon_cero!$A:$A)-2,1)),[1]!interpolar(L34,OFFSET(Curvas_cupon_cero!$A$1,1,0,COUNT(Curvas_cupon_cero!$A:$A)-2,1),OFFSET(Curvas_cupon_cero!$A$1,1,MATCH($B$8,Curvas_cupon_cero!$1:$1,0)-1,COUNT(Curvas_cupon_cero!$A:$A)-2,1))))</f>
        <v/>
      </c>
      <c r="E34" s="23" t="str">
        <f t="shared" si="3"/>
        <v/>
      </c>
      <c r="F34" s="23" t="str">
        <f ca="1">IF(A34="","",IF($B$10="Sí",interpolar_alamb(B34,OFFSET(Curvas_cupon_cero!$A$1,1,0,COUNT(Curvas_cupon_cero!$A:$A)-2,1),OFFSET(Curvas_cupon_cero!$A$1,1,MATCH($B$9,Curvas_cupon_cero!$1:$1,0)-1,COUNT(Curvas_cupon_cero!$A:$A)-2,1)),[1]!interpolar(B34,OFFSET(Curvas_cupon_cero!$A$1,1,0,COUNT(Curvas_cupon_cero!$A:$A)-2,1),OFFSET(Curvas_cupon_cero!$A$1,1,MATCH($B$9,Curvas_cupon_cero!$1:$1,0)-1,COUNT(Curvas_cupon_cero!$A:$A)-2,1))))</f>
        <v/>
      </c>
      <c r="G34" s="23" t="str">
        <f t="shared" si="8"/>
        <v/>
      </c>
      <c r="H34" s="20" t="str">
        <f t="shared" si="9"/>
        <v/>
      </c>
      <c r="I34" t="str">
        <f t="shared" si="4"/>
        <v/>
      </c>
      <c r="J34" s="17" t="str">
        <f t="shared" si="1"/>
        <v/>
      </c>
      <c r="K34" s="18" t="str">
        <f t="shared" si="5"/>
        <v/>
      </c>
      <c r="L34" t="str">
        <f t="shared" si="6"/>
        <v/>
      </c>
      <c r="M34" s="23" t="str">
        <f ca="1">IF(A34="","",IF($B$10="Sí",interpolar_alamb(L34,OFFSET(Curvas_cupon_cero!$A$1,1,0,COUNT(Curvas_cupon_cero!$A:$A)-2,1),OFFSET(Curvas_cupon_cero!$A$1,1,MATCH($B$6,Curvas_cupon_cero!$1:$1,0)-1,COUNT(Curvas_cupon_cero!$A:$A)-2,1)),[1]!interpolar(L34,OFFSET(Curvas_cupon_cero!$A$1,1,0,COUNT(Curvas_cupon_cero!$A:$A)-2,1),OFFSET(Curvas_cupon_cero!$A$1,1,MATCH($B$6,Curvas_cupon_cero!$1:$1,0)-1,COUNT(Curvas_cupon_cero!$A:$A)-2,1))))</f>
        <v/>
      </c>
      <c r="N34" s="23"/>
      <c r="O34" s="19" t="str">
        <f t="shared" si="7"/>
        <v/>
      </c>
    </row>
    <row r="35" spans="1:15" x14ac:dyDescent="0.2">
      <c r="A35" s="12" t="str">
        <f t="shared" si="2"/>
        <v/>
      </c>
      <c r="B35" t="str">
        <f t="shared" si="0"/>
        <v/>
      </c>
      <c r="C35" s="21" t="str">
        <f ca="1">IF(A35="","",IF($B$10="Sí",interpolar_alamb(B35,OFFSET(Curvas_cupon_cero!$A$1,1,0,COUNT(Curvas_cupon_cero!$A:$A)-2,1),OFFSET(Curvas_cupon_cero!$A$1,1,MATCH($B$8,Curvas_cupon_cero!$1:$1,0)-1,COUNT(Curvas_cupon_cero!$A:$A)-2,1)),[1]!interpolar(B35,OFFSET(Curvas_cupon_cero!$A$1,1,0,COUNT(Curvas_cupon_cero!$A:$A)-2,1),OFFSET(Curvas_cupon_cero!$A$1,1,MATCH($B$8,Curvas_cupon_cero!$1:$1,0)-1,COUNT(Curvas_cupon_cero!$A:$A)-2,1))))</f>
        <v/>
      </c>
      <c r="D35" s="23" t="str">
        <f ca="1">IF(A35="","",IF($B$10="Sí",interpolar_alamb(L35,OFFSET(Curvas_cupon_cero!$A$1,1,0,COUNT(Curvas_cupon_cero!$A:$A)-2,1),OFFSET(Curvas_cupon_cero!$A$1,1,MATCH($B$8,Curvas_cupon_cero!$1:$1,0)-1,COUNT(Curvas_cupon_cero!$A:$A)-2,1)),[1]!interpolar(L35,OFFSET(Curvas_cupon_cero!$A$1,1,0,COUNT(Curvas_cupon_cero!$A:$A)-2,1),OFFSET(Curvas_cupon_cero!$A$1,1,MATCH($B$8,Curvas_cupon_cero!$1:$1,0)-1,COUNT(Curvas_cupon_cero!$A:$A)-2,1))))</f>
        <v/>
      </c>
      <c r="E35" s="23" t="str">
        <f t="shared" si="3"/>
        <v/>
      </c>
      <c r="F35" s="23" t="str">
        <f ca="1">IF(A35="","",IF($B$10="Sí",interpolar_alamb(B35,OFFSET(Curvas_cupon_cero!$A$1,1,0,COUNT(Curvas_cupon_cero!$A:$A)-2,1),OFFSET(Curvas_cupon_cero!$A$1,1,MATCH($B$9,Curvas_cupon_cero!$1:$1,0)-1,COUNT(Curvas_cupon_cero!$A:$A)-2,1)),[1]!interpolar(B35,OFFSET(Curvas_cupon_cero!$A$1,1,0,COUNT(Curvas_cupon_cero!$A:$A)-2,1),OFFSET(Curvas_cupon_cero!$A$1,1,MATCH($B$9,Curvas_cupon_cero!$1:$1,0)-1,COUNT(Curvas_cupon_cero!$A:$A)-2,1))))</f>
        <v/>
      </c>
      <c r="G35" s="23" t="str">
        <f t="shared" si="8"/>
        <v/>
      </c>
      <c r="H35" s="20" t="str">
        <f t="shared" si="9"/>
        <v/>
      </c>
      <c r="I35" t="str">
        <f t="shared" si="4"/>
        <v/>
      </c>
      <c r="J35" s="17" t="str">
        <f t="shared" si="1"/>
        <v/>
      </c>
      <c r="K35" s="18" t="str">
        <f t="shared" si="5"/>
        <v/>
      </c>
      <c r="L35" t="str">
        <f t="shared" si="6"/>
        <v/>
      </c>
      <c r="M35" s="23" t="str">
        <f ca="1">IF(A35="","",IF($B$10="Sí",interpolar_alamb(L35,OFFSET(Curvas_cupon_cero!$A$1,1,0,COUNT(Curvas_cupon_cero!$A:$A)-2,1),OFFSET(Curvas_cupon_cero!$A$1,1,MATCH($B$6,Curvas_cupon_cero!$1:$1,0)-1,COUNT(Curvas_cupon_cero!$A:$A)-2,1)),[1]!interpolar(L35,OFFSET(Curvas_cupon_cero!$A$1,1,0,COUNT(Curvas_cupon_cero!$A:$A)-2,1),OFFSET(Curvas_cupon_cero!$A$1,1,MATCH($B$6,Curvas_cupon_cero!$1:$1,0)-1,COUNT(Curvas_cupon_cero!$A:$A)-2,1))))</f>
        <v/>
      </c>
      <c r="N35" s="23"/>
      <c r="O35" s="19" t="str">
        <f t="shared" si="7"/>
        <v/>
      </c>
    </row>
    <row r="36" spans="1:15" x14ac:dyDescent="0.2">
      <c r="A36" s="12" t="str">
        <f t="shared" si="2"/>
        <v/>
      </c>
      <c r="B36" t="str">
        <f t="shared" si="0"/>
        <v/>
      </c>
      <c r="C36" s="21" t="str">
        <f ca="1">IF(A36="","",IF($B$10="Sí",interpolar_alamb(B36,OFFSET(Curvas_cupon_cero!$A$1,1,0,COUNT(Curvas_cupon_cero!$A:$A)-2,1),OFFSET(Curvas_cupon_cero!$A$1,1,MATCH($B$8,Curvas_cupon_cero!$1:$1,0)-1,COUNT(Curvas_cupon_cero!$A:$A)-2,1)),[1]!interpolar(B36,OFFSET(Curvas_cupon_cero!$A$1,1,0,COUNT(Curvas_cupon_cero!$A:$A)-2,1),OFFSET(Curvas_cupon_cero!$A$1,1,MATCH($B$8,Curvas_cupon_cero!$1:$1,0)-1,COUNT(Curvas_cupon_cero!$A:$A)-2,1))))</f>
        <v/>
      </c>
      <c r="D36" s="23" t="str">
        <f ca="1">IF(A36="","",IF($B$10="Sí",interpolar_alamb(L36,OFFSET(Curvas_cupon_cero!$A$1,1,0,COUNT(Curvas_cupon_cero!$A:$A)-2,1),OFFSET(Curvas_cupon_cero!$A$1,1,MATCH($B$8,Curvas_cupon_cero!$1:$1,0)-1,COUNT(Curvas_cupon_cero!$A:$A)-2,1)),[1]!interpolar(L36,OFFSET(Curvas_cupon_cero!$A$1,1,0,COUNT(Curvas_cupon_cero!$A:$A)-2,1),OFFSET(Curvas_cupon_cero!$A$1,1,MATCH($B$8,Curvas_cupon_cero!$1:$1,0)-1,COUNT(Curvas_cupon_cero!$A:$A)-2,1))))</f>
        <v/>
      </c>
      <c r="E36" s="23" t="str">
        <f t="shared" si="3"/>
        <v/>
      </c>
      <c r="F36" s="23" t="str">
        <f ca="1">IF(A36="","",IF($B$10="Sí",interpolar_alamb(B36,OFFSET(Curvas_cupon_cero!$A$1,1,0,COUNT(Curvas_cupon_cero!$A:$A)-2,1),OFFSET(Curvas_cupon_cero!$A$1,1,MATCH($B$9,Curvas_cupon_cero!$1:$1,0)-1,COUNT(Curvas_cupon_cero!$A:$A)-2,1)),[1]!interpolar(B36,OFFSET(Curvas_cupon_cero!$A$1,1,0,COUNT(Curvas_cupon_cero!$A:$A)-2,1),OFFSET(Curvas_cupon_cero!$A$1,1,MATCH($B$9,Curvas_cupon_cero!$1:$1,0)-1,COUNT(Curvas_cupon_cero!$A:$A)-2,1))))</f>
        <v/>
      </c>
      <c r="G36" s="23" t="str">
        <f t="shared" si="8"/>
        <v/>
      </c>
      <c r="H36" s="20" t="str">
        <f t="shared" si="9"/>
        <v/>
      </c>
      <c r="I36" t="str">
        <f t="shared" si="4"/>
        <v/>
      </c>
      <c r="J36" s="17" t="str">
        <f t="shared" si="1"/>
        <v/>
      </c>
      <c r="K36" s="18" t="str">
        <f t="shared" si="5"/>
        <v/>
      </c>
      <c r="L36" t="str">
        <f t="shared" si="6"/>
        <v/>
      </c>
      <c r="M36" s="23" t="str">
        <f ca="1">IF(A36="","",IF($B$10="Sí",interpolar_alamb(L36,OFFSET(Curvas_cupon_cero!$A$1,1,0,COUNT(Curvas_cupon_cero!$A:$A)-2,1),OFFSET(Curvas_cupon_cero!$A$1,1,MATCH($B$6,Curvas_cupon_cero!$1:$1,0)-1,COUNT(Curvas_cupon_cero!$A:$A)-2,1)),[1]!interpolar(L36,OFFSET(Curvas_cupon_cero!$A$1,1,0,COUNT(Curvas_cupon_cero!$A:$A)-2,1),OFFSET(Curvas_cupon_cero!$A$1,1,MATCH($B$6,Curvas_cupon_cero!$1:$1,0)-1,COUNT(Curvas_cupon_cero!$A:$A)-2,1))))</f>
        <v/>
      </c>
      <c r="N36" s="23"/>
      <c r="O36" s="19" t="str">
        <f t="shared" si="7"/>
        <v/>
      </c>
    </row>
    <row r="37" spans="1:15" x14ac:dyDescent="0.2">
      <c r="A37" s="12" t="str">
        <f t="shared" si="2"/>
        <v/>
      </c>
      <c r="B37" t="str">
        <f t="shared" si="0"/>
        <v/>
      </c>
      <c r="C37" s="21" t="str">
        <f ca="1">IF(A37="","",IF($B$10="Sí",interpolar_alamb(B37,OFFSET(Curvas_cupon_cero!$A$1,1,0,COUNT(Curvas_cupon_cero!$A:$A)-2,1),OFFSET(Curvas_cupon_cero!$A$1,1,MATCH($B$8,Curvas_cupon_cero!$1:$1,0)-1,COUNT(Curvas_cupon_cero!$A:$A)-2,1)),[1]!interpolar(B37,OFFSET(Curvas_cupon_cero!$A$1,1,0,COUNT(Curvas_cupon_cero!$A:$A)-2,1),OFFSET(Curvas_cupon_cero!$A$1,1,MATCH($B$8,Curvas_cupon_cero!$1:$1,0)-1,COUNT(Curvas_cupon_cero!$A:$A)-2,1))))</f>
        <v/>
      </c>
      <c r="D37" s="23" t="str">
        <f ca="1">IF(A37="","",IF($B$10="Sí",interpolar_alamb(L37,OFFSET(Curvas_cupon_cero!$A$1,1,0,COUNT(Curvas_cupon_cero!$A:$A)-2,1),OFFSET(Curvas_cupon_cero!$A$1,1,MATCH($B$8,Curvas_cupon_cero!$1:$1,0)-1,COUNT(Curvas_cupon_cero!$A:$A)-2,1)),[1]!interpolar(L37,OFFSET(Curvas_cupon_cero!$A$1,1,0,COUNT(Curvas_cupon_cero!$A:$A)-2,1),OFFSET(Curvas_cupon_cero!$A$1,1,MATCH($B$8,Curvas_cupon_cero!$1:$1,0)-1,COUNT(Curvas_cupon_cero!$A:$A)-2,1))))</f>
        <v/>
      </c>
      <c r="E37" s="23" t="str">
        <f t="shared" si="3"/>
        <v/>
      </c>
      <c r="F37" s="23" t="str">
        <f ca="1">IF(A37="","",IF($B$10="Sí",interpolar_alamb(B37,OFFSET(Curvas_cupon_cero!$A$1,1,0,COUNT(Curvas_cupon_cero!$A:$A)-2,1),OFFSET(Curvas_cupon_cero!$A$1,1,MATCH($B$9,Curvas_cupon_cero!$1:$1,0)-1,COUNT(Curvas_cupon_cero!$A:$A)-2,1)),[1]!interpolar(B37,OFFSET(Curvas_cupon_cero!$A$1,1,0,COUNT(Curvas_cupon_cero!$A:$A)-2,1),OFFSET(Curvas_cupon_cero!$A$1,1,MATCH($B$9,Curvas_cupon_cero!$1:$1,0)-1,COUNT(Curvas_cupon_cero!$A:$A)-2,1))))</f>
        <v/>
      </c>
      <c r="G37" s="23" t="str">
        <f t="shared" si="8"/>
        <v/>
      </c>
      <c r="H37" s="20" t="str">
        <f t="shared" si="9"/>
        <v/>
      </c>
      <c r="I37" t="str">
        <f t="shared" si="4"/>
        <v/>
      </c>
      <c r="J37" s="17" t="str">
        <f t="shared" si="1"/>
        <v/>
      </c>
      <c r="K37" s="18" t="str">
        <f t="shared" si="5"/>
        <v/>
      </c>
      <c r="L37" t="str">
        <f t="shared" si="6"/>
        <v/>
      </c>
      <c r="M37" s="23" t="str">
        <f ca="1">IF(A37="","",IF($B$10="Sí",interpolar_alamb(L37,OFFSET(Curvas_cupon_cero!$A$1,1,0,COUNT(Curvas_cupon_cero!$A:$A)-2,1),OFFSET(Curvas_cupon_cero!$A$1,1,MATCH($B$6,Curvas_cupon_cero!$1:$1,0)-1,COUNT(Curvas_cupon_cero!$A:$A)-2,1)),[1]!interpolar(L37,OFFSET(Curvas_cupon_cero!$A$1,1,0,COUNT(Curvas_cupon_cero!$A:$A)-2,1),OFFSET(Curvas_cupon_cero!$A$1,1,MATCH($B$6,Curvas_cupon_cero!$1:$1,0)-1,COUNT(Curvas_cupon_cero!$A:$A)-2,1))))</f>
        <v/>
      </c>
      <c r="N37" s="23"/>
      <c r="O37" s="19" t="str">
        <f t="shared" si="7"/>
        <v/>
      </c>
    </row>
    <row r="38" spans="1:15" x14ac:dyDescent="0.2">
      <c r="A38" s="12" t="str">
        <f t="shared" si="2"/>
        <v/>
      </c>
      <c r="B38" t="str">
        <f t="shared" si="0"/>
        <v/>
      </c>
      <c r="C38" s="21" t="str">
        <f ca="1">IF(A38="","",IF($B$10="Sí",interpolar_alamb(B38,OFFSET(Curvas_cupon_cero!$A$1,1,0,COUNT(Curvas_cupon_cero!$A:$A)-2,1),OFFSET(Curvas_cupon_cero!$A$1,1,MATCH($B$8,Curvas_cupon_cero!$1:$1,0)-1,COUNT(Curvas_cupon_cero!$A:$A)-2,1)),[1]!interpolar(B38,OFFSET(Curvas_cupon_cero!$A$1,1,0,COUNT(Curvas_cupon_cero!$A:$A)-2,1),OFFSET(Curvas_cupon_cero!$A$1,1,MATCH($B$8,Curvas_cupon_cero!$1:$1,0)-1,COUNT(Curvas_cupon_cero!$A:$A)-2,1))))</f>
        <v/>
      </c>
      <c r="D38" s="23" t="str">
        <f ca="1">IF(A38="","",IF($B$10="Sí",interpolar_alamb(L38,OFFSET(Curvas_cupon_cero!$A$1,1,0,COUNT(Curvas_cupon_cero!$A:$A)-2,1),OFFSET(Curvas_cupon_cero!$A$1,1,MATCH($B$8,Curvas_cupon_cero!$1:$1,0)-1,COUNT(Curvas_cupon_cero!$A:$A)-2,1)),[1]!interpolar(L38,OFFSET(Curvas_cupon_cero!$A$1,1,0,COUNT(Curvas_cupon_cero!$A:$A)-2,1),OFFSET(Curvas_cupon_cero!$A$1,1,MATCH($B$8,Curvas_cupon_cero!$1:$1,0)-1,COUNT(Curvas_cupon_cero!$A:$A)-2,1))))</f>
        <v/>
      </c>
      <c r="E38" s="23" t="str">
        <f t="shared" si="3"/>
        <v/>
      </c>
      <c r="F38" s="23" t="str">
        <f ca="1">IF(A38="","",IF($B$10="Sí",interpolar_alamb(B38,OFFSET(Curvas_cupon_cero!$A$1,1,0,COUNT(Curvas_cupon_cero!$A:$A)-2,1),OFFSET(Curvas_cupon_cero!$A$1,1,MATCH($B$9,Curvas_cupon_cero!$1:$1,0)-1,COUNT(Curvas_cupon_cero!$A:$A)-2,1)),[1]!interpolar(B38,OFFSET(Curvas_cupon_cero!$A$1,1,0,COUNT(Curvas_cupon_cero!$A:$A)-2,1),OFFSET(Curvas_cupon_cero!$A$1,1,MATCH($B$9,Curvas_cupon_cero!$1:$1,0)-1,COUNT(Curvas_cupon_cero!$A:$A)-2,1))))</f>
        <v/>
      </c>
      <c r="G38" s="23" t="str">
        <f t="shared" si="8"/>
        <v/>
      </c>
      <c r="H38" s="20" t="str">
        <f t="shared" si="9"/>
        <v/>
      </c>
      <c r="I38" t="str">
        <f t="shared" si="4"/>
        <v/>
      </c>
      <c r="J38" s="17" t="str">
        <f t="shared" si="1"/>
        <v/>
      </c>
      <c r="K38" s="18" t="str">
        <f t="shared" si="5"/>
        <v/>
      </c>
      <c r="L38" t="str">
        <f t="shared" si="6"/>
        <v/>
      </c>
      <c r="M38" s="23" t="str">
        <f ca="1">IF(A38="","",IF($B$10="Sí",interpolar_alamb(L38,OFFSET(Curvas_cupon_cero!$A$1,1,0,COUNT(Curvas_cupon_cero!$A:$A)-2,1),OFFSET(Curvas_cupon_cero!$A$1,1,MATCH($B$6,Curvas_cupon_cero!$1:$1,0)-1,COUNT(Curvas_cupon_cero!$A:$A)-2,1)),[1]!interpolar(L38,OFFSET(Curvas_cupon_cero!$A$1,1,0,COUNT(Curvas_cupon_cero!$A:$A)-2,1),OFFSET(Curvas_cupon_cero!$A$1,1,MATCH($B$6,Curvas_cupon_cero!$1:$1,0)-1,COUNT(Curvas_cupon_cero!$A:$A)-2,1))))</f>
        <v/>
      </c>
      <c r="N38" s="23"/>
      <c r="O38" s="19" t="str">
        <f t="shared" si="7"/>
        <v/>
      </c>
    </row>
    <row r="39" spans="1:15" x14ac:dyDescent="0.2">
      <c r="A39" s="12" t="str">
        <f t="shared" si="2"/>
        <v/>
      </c>
      <c r="B39" t="str">
        <f t="shared" si="0"/>
        <v/>
      </c>
      <c r="C39" s="21" t="str">
        <f ca="1">IF(A39="","",IF($B$10="Sí",interpolar_alamb(B39,OFFSET(Curvas_cupon_cero!$A$1,1,0,COUNT(Curvas_cupon_cero!$A:$A)-2,1),OFFSET(Curvas_cupon_cero!$A$1,1,MATCH($B$8,Curvas_cupon_cero!$1:$1,0)-1,COUNT(Curvas_cupon_cero!$A:$A)-2,1)),[1]!interpolar(B39,OFFSET(Curvas_cupon_cero!$A$1,1,0,COUNT(Curvas_cupon_cero!$A:$A)-2,1),OFFSET(Curvas_cupon_cero!$A$1,1,MATCH($B$8,Curvas_cupon_cero!$1:$1,0)-1,COUNT(Curvas_cupon_cero!$A:$A)-2,1))))</f>
        <v/>
      </c>
      <c r="D39" s="23" t="str">
        <f ca="1">IF(A39="","",IF($B$10="Sí",interpolar_alamb(L39,OFFSET(Curvas_cupon_cero!$A$1,1,0,COUNT(Curvas_cupon_cero!$A:$A)-2,1),OFFSET(Curvas_cupon_cero!$A$1,1,MATCH($B$8,Curvas_cupon_cero!$1:$1,0)-1,COUNT(Curvas_cupon_cero!$A:$A)-2,1)),[1]!interpolar(L39,OFFSET(Curvas_cupon_cero!$A$1,1,0,COUNT(Curvas_cupon_cero!$A:$A)-2,1),OFFSET(Curvas_cupon_cero!$A$1,1,MATCH($B$8,Curvas_cupon_cero!$1:$1,0)-1,COUNT(Curvas_cupon_cero!$A:$A)-2,1))))</f>
        <v/>
      </c>
      <c r="E39" s="23" t="str">
        <f t="shared" si="3"/>
        <v/>
      </c>
      <c r="F39" s="23" t="str">
        <f ca="1">IF(A39="","",IF($B$10="Sí",interpolar_alamb(B39,OFFSET(Curvas_cupon_cero!$A$1,1,0,COUNT(Curvas_cupon_cero!$A:$A)-2,1),OFFSET(Curvas_cupon_cero!$A$1,1,MATCH($B$9,Curvas_cupon_cero!$1:$1,0)-1,COUNT(Curvas_cupon_cero!$A:$A)-2,1)),[1]!interpolar(B39,OFFSET(Curvas_cupon_cero!$A$1,1,0,COUNT(Curvas_cupon_cero!$A:$A)-2,1),OFFSET(Curvas_cupon_cero!$A$1,1,MATCH($B$9,Curvas_cupon_cero!$1:$1,0)-1,COUNT(Curvas_cupon_cero!$A:$A)-2,1))))</f>
        <v/>
      </c>
      <c r="G39" s="23" t="str">
        <f t="shared" si="8"/>
        <v/>
      </c>
      <c r="H39" s="20" t="str">
        <f t="shared" si="9"/>
        <v/>
      </c>
      <c r="I39" t="str">
        <f t="shared" si="4"/>
        <v/>
      </c>
      <c r="J39" s="17" t="str">
        <f t="shared" si="1"/>
        <v/>
      </c>
      <c r="K39" s="18" t="str">
        <f t="shared" si="5"/>
        <v/>
      </c>
      <c r="L39" t="str">
        <f t="shared" si="6"/>
        <v/>
      </c>
      <c r="M39" s="23" t="str">
        <f ca="1">IF(A39="","",IF($B$10="Sí",interpolar_alamb(L39,OFFSET(Curvas_cupon_cero!$A$1,1,0,COUNT(Curvas_cupon_cero!$A:$A)-2,1),OFFSET(Curvas_cupon_cero!$A$1,1,MATCH($B$6,Curvas_cupon_cero!$1:$1,0)-1,COUNT(Curvas_cupon_cero!$A:$A)-2,1)),[1]!interpolar(L39,OFFSET(Curvas_cupon_cero!$A$1,1,0,COUNT(Curvas_cupon_cero!$A:$A)-2,1),OFFSET(Curvas_cupon_cero!$A$1,1,MATCH($B$6,Curvas_cupon_cero!$1:$1,0)-1,COUNT(Curvas_cupon_cero!$A:$A)-2,1))))</f>
        <v/>
      </c>
      <c r="N39" s="23"/>
      <c r="O39" s="19" t="str">
        <f t="shared" si="7"/>
        <v/>
      </c>
    </row>
    <row r="40" spans="1:15" x14ac:dyDescent="0.2">
      <c r="A40" s="12" t="str">
        <f t="shared" si="2"/>
        <v/>
      </c>
      <c r="B40" t="str">
        <f t="shared" si="0"/>
        <v/>
      </c>
      <c r="C40" s="21" t="str">
        <f ca="1">IF(A40="","",IF($B$10="Sí",interpolar_alamb(B40,OFFSET(Curvas_cupon_cero!$A$1,1,0,COUNT(Curvas_cupon_cero!$A:$A)-2,1),OFFSET(Curvas_cupon_cero!$A$1,1,MATCH($B$8,Curvas_cupon_cero!$1:$1,0)-1,COUNT(Curvas_cupon_cero!$A:$A)-2,1)),[1]!interpolar(B40,OFFSET(Curvas_cupon_cero!$A$1,1,0,COUNT(Curvas_cupon_cero!$A:$A)-2,1),OFFSET(Curvas_cupon_cero!$A$1,1,MATCH($B$8,Curvas_cupon_cero!$1:$1,0)-1,COUNT(Curvas_cupon_cero!$A:$A)-2,1))))</f>
        <v/>
      </c>
      <c r="D40" s="23" t="str">
        <f ca="1">IF(A40="","",IF($B$10="Sí",interpolar_alamb(L40,OFFSET(Curvas_cupon_cero!$A$1,1,0,COUNT(Curvas_cupon_cero!$A:$A)-2,1),OFFSET(Curvas_cupon_cero!$A$1,1,MATCH($B$8,Curvas_cupon_cero!$1:$1,0)-1,COUNT(Curvas_cupon_cero!$A:$A)-2,1)),[1]!interpolar(L40,OFFSET(Curvas_cupon_cero!$A$1,1,0,COUNT(Curvas_cupon_cero!$A:$A)-2,1),OFFSET(Curvas_cupon_cero!$A$1,1,MATCH($B$8,Curvas_cupon_cero!$1:$1,0)-1,COUNT(Curvas_cupon_cero!$A:$A)-2,1))))</f>
        <v/>
      </c>
      <c r="E40" s="23" t="str">
        <f t="shared" si="3"/>
        <v/>
      </c>
      <c r="F40" s="23" t="str">
        <f ca="1">IF(A40="","",IF($B$10="Sí",interpolar_alamb(B40,OFFSET(Curvas_cupon_cero!$A$1,1,0,COUNT(Curvas_cupon_cero!$A:$A)-2,1),OFFSET(Curvas_cupon_cero!$A$1,1,MATCH($B$9,Curvas_cupon_cero!$1:$1,0)-1,COUNT(Curvas_cupon_cero!$A:$A)-2,1)),[1]!interpolar(B40,OFFSET(Curvas_cupon_cero!$A$1,1,0,COUNT(Curvas_cupon_cero!$A:$A)-2,1),OFFSET(Curvas_cupon_cero!$A$1,1,MATCH($B$9,Curvas_cupon_cero!$1:$1,0)-1,COUNT(Curvas_cupon_cero!$A:$A)-2,1))))</f>
        <v/>
      </c>
      <c r="G40" s="23" t="str">
        <f t="shared" si="8"/>
        <v/>
      </c>
      <c r="H40" s="20" t="str">
        <f t="shared" si="9"/>
        <v/>
      </c>
      <c r="I40" t="str">
        <f t="shared" si="4"/>
        <v/>
      </c>
      <c r="J40" s="17" t="str">
        <f t="shared" si="1"/>
        <v/>
      </c>
      <c r="K40" s="18" t="str">
        <f t="shared" si="5"/>
        <v/>
      </c>
      <c r="L40" t="str">
        <f t="shared" si="6"/>
        <v/>
      </c>
      <c r="M40" s="23" t="str">
        <f ca="1">IF(A40="","",IF($B$10="Sí",interpolar_alamb(L40,OFFSET(Curvas_cupon_cero!$A$1,1,0,COUNT(Curvas_cupon_cero!$A:$A)-2,1),OFFSET(Curvas_cupon_cero!$A$1,1,MATCH($B$6,Curvas_cupon_cero!$1:$1,0)-1,COUNT(Curvas_cupon_cero!$A:$A)-2,1)),[1]!interpolar(L40,OFFSET(Curvas_cupon_cero!$A$1,1,0,COUNT(Curvas_cupon_cero!$A:$A)-2,1),OFFSET(Curvas_cupon_cero!$A$1,1,MATCH($B$6,Curvas_cupon_cero!$1:$1,0)-1,COUNT(Curvas_cupon_cero!$A:$A)-2,1))))</f>
        <v/>
      </c>
      <c r="N40" s="23"/>
      <c r="O40" s="19" t="str">
        <f t="shared" si="7"/>
        <v/>
      </c>
    </row>
    <row r="41" spans="1:15" x14ac:dyDescent="0.2">
      <c r="A41" s="12" t="str">
        <f t="shared" si="2"/>
        <v/>
      </c>
      <c r="B41" t="str">
        <f t="shared" si="0"/>
        <v/>
      </c>
      <c r="C41" s="21" t="str">
        <f ca="1">IF(A41="","",IF($B$10="Sí",interpolar_alamb(B41,OFFSET(Curvas_cupon_cero!$A$1,1,0,COUNT(Curvas_cupon_cero!$A:$A)-2,1),OFFSET(Curvas_cupon_cero!$A$1,1,MATCH($B$8,Curvas_cupon_cero!$1:$1,0)-1,COUNT(Curvas_cupon_cero!$A:$A)-2,1)),[1]!interpolar(B41,OFFSET(Curvas_cupon_cero!$A$1,1,0,COUNT(Curvas_cupon_cero!$A:$A)-2,1),OFFSET(Curvas_cupon_cero!$A$1,1,MATCH($B$8,Curvas_cupon_cero!$1:$1,0)-1,COUNT(Curvas_cupon_cero!$A:$A)-2,1))))</f>
        <v/>
      </c>
      <c r="D41" s="23" t="str">
        <f ca="1">IF(A41="","",IF($B$10="Sí",interpolar_alamb(L41,OFFSET(Curvas_cupon_cero!$A$1,1,0,COUNT(Curvas_cupon_cero!$A:$A)-2,1),OFFSET(Curvas_cupon_cero!$A$1,1,MATCH($B$8,Curvas_cupon_cero!$1:$1,0)-1,COUNT(Curvas_cupon_cero!$A:$A)-2,1)),[1]!interpolar(L41,OFFSET(Curvas_cupon_cero!$A$1,1,0,COUNT(Curvas_cupon_cero!$A:$A)-2,1),OFFSET(Curvas_cupon_cero!$A$1,1,MATCH($B$8,Curvas_cupon_cero!$1:$1,0)-1,COUNT(Curvas_cupon_cero!$A:$A)-2,1))))</f>
        <v/>
      </c>
      <c r="E41" s="23" t="str">
        <f t="shared" si="3"/>
        <v/>
      </c>
      <c r="F41" s="23" t="str">
        <f ca="1">IF(A41="","",IF($B$10="Sí",interpolar_alamb(B41,OFFSET(Curvas_cupon_cero!$A$1,1,0,COUNT(Curvas_cupon_cero!$A:$A)-2,1),OFFSET(Curvas_cupon_cero!$A$1,1,MATCH($B$9,Curvas_cupon_cero!$1:$1,0)-1,COUNT(Curvas_cupon_cero!$A:$A)-2,1)),[1]!interpolar(B41,OFFSET(Curvas_cupon_cero!$A$1,1,0,COUNT(Curvas_cupon_cero!$A:$A)-2,1),OFFSET(Curvas_cupon_cero!$A$1,1,MATCH($B$9,Curvas_cupon_cero!$1:$1,0)-1,COUNT(Curvas_cupon_cero!$A:$A)-2,1))))</f>
        <v/>
      </c>
      <c r="G41" s="23" t="str">
        <f t="shared" si="8"/>
        <v/>
      </c>
      <c r="H41" s="20" t="str">
        <f t="shared" si="9"/>
        <v/>
      </c>
      <c r="I41" t="str">
        <f t="shared" si="4"/>
        <v/>
      </c>
      <c r="J41" s="17" t="str">
        <f t="shared" si="1"/>
        <v/>
      </c>
      <c r="K41" s="18" t="str">
        <f t="shared" si="5"/>
        <v/>
      </c>
      <c r="L41" t="str">
        <f t="shared" si="6"/>
        <v/>
      </c>
      <c r="M41" s="23" t="str">
        <f ca="1">IF(A41="","",IF($B$10="Sí",interpolar_alamb(L41,OFFSET(Curvas_cupon_cero!$A$1,1,0,COUNT(Curvas_cupon_cero!$A:$A)-2,1),OFFSET(Curvas_cupon_cero!$A$1,1,MATCH($B$6,Curvas_cupon_cero!$1:$1,0)-1,COUNT(Curvas_cupon_cero!$A:$A)-2,1)),[1]!interpolar(L41,OFFSET(Curvas_cupon_cero!$A$1,1,0,COUNT(Curvas_cupon_cero!$A:$A)-2,1),OFFSET(Curvas_cupon_cero!$A$1,1,MATCH($B$6,Curvas_cupon_cero!$1:$1,0)-1,COUNT(Curvas_cupon_cero!$A:$A)-2,1))))</f>
        <v/>
      </c>
      <c r="N41" s="23"/>
      <c r="O41" s="19" t="str">
        <f t="shared" si="7"/>
        <v/>
      </c>
    </row>
    <row r="42" spans="1:15" x14ac:dyDescent="0.2">
      <c r="A42" s="12" t="str">
        <f t="shared" si="2"/>
        <v/>
      </c>
      <c r="B42" t="str">
        <f t="shared" si="0"/>
        <v/>
      </c>
      <c r="C42" s="21" t="str">
        <f ca="1">IF(A42="","",IF($B$10="Sí",interpolar_alamb(B42,OFFSET(Curvas_cupon_cero!$A$1,1,0,COUNT(Curvas_cupon_cero!$A:$A)-2,1),OFFSET(Curvas_cupon_cero!$A$1,1,MATCH($B$8,Curvas_cupon_cero!$1:$1,0)-1,COUNT(Curvas_cupon_cero!$A:$A)-2,1)),[1]!interpolar(B42,OFFSET(Curvas_cupon_cero!$A$1,1,0,COUNT(Curvas_cupon_cero!$A:$A)-2,1),OFFSET(Curvas_cupon_cero!$A$1,1,MATCH($B$8,Curvas_cupon_cero!$1:$1,0)-1,COUNT(Curvas_cupon_cero!$A:$A)-2,1))))</f>
        <v/>
      </c>
      <c r="D42" s="23" t="str">
        <f ca="1">IF(A42="","",IF($B$10="Sí",interpolar_alamb(L42,OFFSET(Curvas_cupon_cero!$A$1,1,0,COUNT(Curvas_cupon_cero!$A:$A)-2,1),OFFSET(Curvas_cupon_cero!$A$1,1,MATCH($B$8,Curvas_cupon_cero!$1:$1,0)-1,COUNT(Curvas_cupon_cero!$A:$A)-2,1)),[1]!interpolar(L42,OFFSET(Curvas_cupon_cero!$A$1,1,0,COUNT(Curvas_cupon_cero!$A:$A)-2,1),OFFSET(Curvas_cupon_cero!$A$1,1,MATCH($B$8,Curvas_cupon_cero!$1:$1,0)-1,COUNT(Curvas_cupon_cero!$A:$A)-2,1))))</f>
        <v/>
      </c>
      <c r="E42" s="23" t="str">
        <f t="shared" si="3"/>
        <v/>
      </c>
      <c r="F42" s="23" t="str">
        <f ca="1">IF(A42="","",IF($B$10="Sí",interpolar_alamb(B42,OFFSET(Curvas_cupon_cero!$A$1,1,0,COUNT(Curvas_cupon_cero!$A:$A)-2,1),OFFSET(Curvas_cupon_cero!$A$1,1,MATCH($B$9,Curvas_cupon_cero!$1:$1,0)-1,COUNT(Curvas_cupon_cero!$A:$A)-2,1)),[1]!interpolar(B42,OFFSET(Curvas_cupon_cero!$A$1,1,0,COUNT(Curvas_cupon_cero!$A:$A)-2,1),OFFSET(Curvas_cupon_cero!$A$1,1,MATCH($B$9,Curvas_cupon_cero!$1:$1,0)-1,COUNT(Curvas_cupon_cero!$A:$A)-2,1))))</f>
        <v/>
      </c>
      <c r="G42" s="23" t="str">
        <f t="shared" si="8"/>
        <v/>
      </c>
      <c r="H42" s="20" t="str">
        <f t="shared" si="9"/>
        <v/>
      </c>
      <c r="I42" t="str">
        <f t="shared" si="4"/>
        <v/>
      </c>
      <c r="J42" s="17" t="str">
        <f t="shared" si="1"/>
        <v/>
      </c>
      <c r="K42" s="18" t="str">
        <f t="shared" si="5"/>
        <v/>
      </c>
      <c r="L42" t="str">
        <f t="shared" si="6"/>
        <v/>
      </c>
      <c r="M42" s="23" t="str">
        <f ca="1">IF(A42="","",IF($B$10="Sí",interpolar_alamb(L42,OFFSET(Curvas_cupon_cero!$A$1,1,0,COUNT(Curvas_cupon_cero!$A:$A)-2,1),OFFSET(Curvas_cupon_cero!$A$1,1,MATCH($B$6,Curvas_cupon_cero!$1:$1,0)-1,COUNT(Curvas_cupon_cero!$A:$A)-2,1)),[1]!interpolar(L42,OFFSET(Curvas_cupon_cero!$A$1,1,0,COUNT(Curvas_cupon_cero!$A:$A)-2,1),OFFSET(Curvas_cupon_cero!$A$1,1,MATCH($B$6,Curvas_cupon_cero!$1:$1,0)-1,COUNT(Curvas_cupon_cero!$A:$A)-2,1))))</f>
        <v/>
      </c>
      <c r="N42" s="23"/>
      <c r="O42" s="19" t="str">
        <f t="shared" si="7"/>
        <v/>
      </c>
    </row>
    <row r="43" spans="1:15" x14ac:dyDescent="0.2">
      <c r="A43" s="12" t="str">
        <f t="shared" si="2"/>
        <v/>
      </c>
      <c r="B43" t="str">
        <f t="shared" si="0"/>
        <v/>
      </c>
      <c r="C43" s="21" t="str">
        <f ca="1">IF(A43="","",IF($B$10="Sí",interpolar_alamb(B43,OFFSET(Curvas_cupon_cero!$A$1,1,0,COUNT(Curvas_cupon_cero!$A:$A)-2,1),OFFSET(Curvas_cupon_cero!$A$1,1,MATCH($B$8,Curvas_cupon_cero!$1:$1,0)-1,COUNT(Curvas_cupon_cero!$A:$A)-2,1)),[1]!interpolar(B43,OFFSET(Curvas_cupon_cero!$A$1,1,0,COUNT(Curvas_cupon_cero!$A:$A)-2,1),OFFSET(Curvas_cupon_cero!$A$1,1,MATCH($B$8,Curvas_cupon_cero!$1:$1,0)-1,COUNT(Curvas_cupon_cero!$A:$A)-2,1))))</f>
        <v/>
      </c>
      <c r="D43" s="23" t="str">
        <f ca="1">IF(A43="","",IF($B$10="Sí",interpolar_alamb(L43,OFFSET(Curvas_cupon_cero!$A$1,1,0,COUNT(Curvas_cupon_cero!$A:$A)-2,1),OFFSET(Curvas_cupon_cero!$A$1,1,MATCH($B$8,Curvas_cupon_cero!$1:$1,0)-1,COUNT(Curvas_cupon_cero!$A:$A)-2,1)),[1]!interpolar(L43,OFFSET(Curvas_cupon_cero!$A$1,1,0,COUNT(Curvas_cupon_cero!$A:$A)-2,1),OFFSET(Curvas_cupon_cero!$A$1,1,MATCH($B$8,Curvas_cupon_cero!$1:$1,0)-1,COUNT(Curvas_cupon_cero!$A:$A)-2,1))))</f>
        <v/>
      </c>
      <c r="E43" s="23" t="str">
        <f t="shared" si="3"/>
        <v/>
      </c>
      <c r="F43" s="23" t="str">
        <f ca="1">IF(A43="","",IF($B$10="Sí",interpolar_alamb(B43,OFFSET(Curvas_cupon_cero!$A$1,1,0,COUNT(Curvas_cupon_cero!$A:$A)-2,1),OFFSET(Curvas_cupon_cero!$A$1,1,MATCH($B$9,Curvas_cupon_cero!$1:$1,0)-1,COUNT(Curvas_cupon_cero!$A:$A)-2,1)),[1]!interpolar(B43,OFFSET(Curvas_cupon_cero!$A$1,1,0,COUNT(Curvas_cupon_cero!$A:$A)-2,1),OFFSET(Curvas_cupon_cero!$A$1,1,MATCH($B$9,Curvas_cupon_cero!$1:$1,0)-1,COUNT(Curvas_cupon_cero!$A:$A)-2,1))))</f>
        <v/>
      </c>
      <c r="G43" s="23" t="str">
        <f t="shared" si="8"/>
        <v/>
      </c>
      <c r="H43" s="20" t="str">
        <f t="shared" si="9"/>
        <v/>
      </c>
      <c r="I43" t="str">
        <f t="shared" si="4"/>
        <v/>
      </c>
      <c r="J43" s="17" t="str">
        <f t="shared" si="1"/>
        <v/>
      </c>
      <c r="K43" s="18" t="str">
        <f t="shared" si="5"/>
        <v/>
      </c>
      <c r="L43" t="str">
        <f t="shared" si="6"/>
        <v/>
      </c>
      <c r="M43" s="23" t="str">
        <f ca="1">IF(A43="","",IF($B$10="Sí",interpolar_alamb(L43,OFFSET(Curvas_cupon_cero!$A$1,1,0,COUNT(Curvas_cupon_cero!$A:$A)-2,1),OFFSET(Curvas_cupon_cero!$A$1,1,MATCH($B$6,Curvas_cupon_cero!$1:$1,0)-1,COUNT(Curvas_cupon_cero!$A:$A)-2,1)),[1]!interpolar(L43,OFFSET(Curvas_cupon_cero!$A$1,1,0,COUNT(Curvas_cupon_cero!$A:$A)-2,1),OFFSET(Curvas_cupon_cero!$A$1,1,MATCH($B$6,Curvas_cupon_cero!$1:$1,0)-1,COUNT(Curvas_cupon_cero!$A:$A)-2,1))))</f>
        <v/>
      </c>
      <c r="N43" s="23"/>
      <c r="O43" s="19" t="str">
        <f t="shared" si="7"/>
        <v/>
      </c>
    </row>
    <row r="44" spans="1:15" x14ac:dyDescent="0.2">
      <c r="A44" s="12" t="str">
        <f t="shared" si="2"/>
        <v/>
      </c>
      <c r="B44" t="str">
        <f t="shared" si="0"/>
        <v/>
      </c>
      <c r="C44" s="21" t="str">
        <f ca="1">IF(A44="","",IF($B$10="Sí",interpolar_alamb(B44,OFFSET(Curvas_cupon_cero!$A$1,1,0,COUNT(Curvas_cupon_cero!$A:$A)-2,1),OFFSET(Curvas_cupon_cero!$A$1,1,MATCH($B$8,Curvas_cupon_cero!$1:$1,0)-1,COUNT(Curvas_cupon_cero!$A:$A)-2,1)),[1]!interpolar(B44,OFFSET(Curvas_cupon_cero!$A$1,1,0,COUNT(Curvas_cupon_cero!$A:$A)-2,1),OFFSET(Curvas_cupon_cero!$A$1,1,MATCH($B$8,Curvas_cupon_cero!$1:$1,0)-1,COUNT(Curvas_cupon_cero!$A:$A)-2,1))))</f>
        <v/>
      </c>
      <c r="D44" s="23" t="str">
        <f ca="1">IF(A44="","",IF($B$10="Sí",interpolar_alamb(L44,OFFSET(Curvas_cupon_cero!$A$1,1,0,COUNT(Curvas_cupon_cero!$A:$A)-2,1),OFFSET(Curvas_cupon_cero!$A$1,1,MATCH($B$8,Curvas_cupon_cero!$1:$1,0)-1,COUNT(Curvas_cupon_cero!$A:$A)-2,1)),[1]!interpolar(L44,OFFSET(Curvas_cupon_cero!$A$1,1,0,COUNT(Curvas_cupon_cero!$A:$A)-2,1),OFFSET(Curvas_cupon_cero!$A$1,1,MATCH($B$8,Curvas_cupon_cero!$1:$1,0)-1,COUNT(Curvas_cupon_cero!$A:$A)-2,1))))</f>
        <v/>
      </c>
      <c r="E44" s="23" t="str">
        <f t="shared" si="3"/>
        <v/>
      </c>
      <c r="F44" s="23" t="str">
        <f ca="1">IF(A44="","",IF($B$10="Sí",interpolar_alamb(B44,OFFSET(Curvas_cupon_cero!$A$1,1,0,COUNT(Curvas_cupon_cero!$A:$A)-2,1),OFFSET(Curvas_cupon_cero!$A$1,1,MATCH($B$9,Curvas_cupon_cero!$1:$1,0)-1,COUNT(Curvas_cupon_cero!$A:$A)-2,1)),[1]!interpolar(B44,OFFSET(Curvas_cupon_cero!$A$1,1,0,COUNT(Curvas_cupon_cero!$A:$A)-2,1),OFFSET(Curvas_cupon_cero!$A$1,1,MATCH($B$9,Curvas_cupon_cero!$1:$1,0)-1,COUNT(Curvas_cupon_cero!$A:$A)-2,1))))</f>
        <v/>
      </c>
      <c r="G44" s="23" t="str">
        <f t="shared" si="8"/>
        <v/>
      </c>
      <c r="H44" s="20" t="str">
        <f t="shared" si="9"/>
        <v/>
      </c>
      <c r="I44" t="str">
        <f t="shared" si="4"/>
        <v/>
      </c>
      <c r="J44" s="17" t="str">
        <f t="shared" si="1"/>
        <v/>
      </c>
      <c r="K44" s="18" t="str">
        <f t="shared" si="5"/>
        <v/>
      </c>
      <c r="L44" t="str">
        <f t="shared" si="6"/>
        <v/>
      </c>
      <c r="M44" s="23" t="str">
        <f ca="1">IF(A44="","",IF($B$10="Sí",interpolar_alamb(L44,OFFSET(Curvas_cupon_cero!$A$1,1,0,COUNT(Curvas_cupon_cero!$A:$A)-2,1),OFFSET(Curvas_cupon_cero!$A$1,1,MATCH($B$6,Curvas_cupon_cero!$1:$1,0)-1,COUNT(Curvas_cupon_cero!$A:$A)-2,1)),[1]!interpolar(L44,OFFSET(Curvas_cupon_cero!$A$1,1,0,COUNT(Curvas_cupon_cero!$A:$A)-2,1),OFFSET(Curvas_cupon_cero!$A$1,1,MATCH($B$6,Curvas_cupon_cero!$1:$1,0)-1,COUNT(Curvas_cupon_cero!$A:$A)-2,1))))</f>
        <v/>
      </c>
      <c r="N44" s="23"/>
      <c r="O44" s="19" t="str">
        <f t="shared" si="7"/>
        <v/>
      </c>
    </row>
    <row r="45" spans="1:15" x14ac:dyDescent="0.2">
      <c r="A45" s="12" t="str">
        <f t="shared" si="2"/>
        <v/>
      </c>
      <c r="B45" t="str">
        <f t="shared" si="0"/>
        <v/>
      </c>
      <c r="C45" s="21" t="str">
        <f ca="1">IF(A45="","",IF($B$10="Sí",interpolar_alamb(B45,OFFSET(Curvas_cupon_cero!$A$1,1,0,COUNT(Curvas_cupon_cero!$A:$A)-2,1),OFFSET(Curvas_cupon_cero!$A$1,1,MATCH($B$8,Curvas_cupon_cero!$1:$1,0)-1,COUNT(Curvas_cupon_cero!$A:$A)-2,1)),[1]!interpolar(B45,OFFSET(Curvas_cupon_cero!$A$1,1,0,COUNT(Curvas_cupon_cero!$A:$A)-2,1),OFFSET(Curvas_cupon_cero!$A$1,1,MATCH($B$8,Curvas_cupon_cero!$1:$1,0)-1,COUNT(Curvas_cupon_cero!$A:$A)-2,1))))</f>
        <v/>
      </c>
      <c r="D45" s="23" t="str">
        <f ca="1">IF(A45="","",IF($B$10="Sí",interpolar_alamb(L45,OFFSET(Curvas_cupon_cero!$A$1,1,0,COUNT(Curvas_cupon_cero!$A:$A)-2,1),OFFSET(Curvas_cupon_cero!$A$1,1,MATCH($B$8,Curvas_cupon_cero!$1:$1,0)-1,COUNT(Curvas_cupon_cero!$A:$A)-2,1)),[1]!interpolar(L45,OFFSET(Curvas_cupon_cero!$A$1,1,0,COUNT(Curvas_cupon_cero!$A:$A)-2,1),OFFSET(Curvas_cupon_cero!$A$1,1,MATCH($B$8,Curvas_cupon_cero!$1:$1,0)-1,COUNT(Curvas_cupon_cero!$A:$A)-2,1))))</f>
        <v/>
      </c>
      <c r="E45" s="23" t="str">
        <f t="shared" si="3"/>
        <v/>
      </c>
      <c r="F45" s="23" t="str">
        <f ca="1">IF(A45="","",IF($B$10="Sí",interpolar_alamb(B45,OFFSET(Curvas_cupon_cero!$A$1,1,0,COUNT(Curvas_cupon_cero!$A:$A)-2,1),OFFSET(Curvas_cupon_cero!$A$1,1,MATCH($B$9,Curvas_cupon_cero!$1:$1,0)-1,COUNT(Curvas_cupon_cero!$A:$A)-2,1)),[1]!interpolar(B45,OFFSET(Curvas_cupon_cero!$A$1,1,0,COUNT(Curvas_cupon_cero!$A:$A)-2,1),OFFSET(Curvas_cupon_cero!$A$1,1,MATCH($B$9,Curvas_cupon_cero!$1:$1,0)-1,COUNT(Curvas_cupon_cero!$A:$A)-2,1))))</f>
        <v/>
      </c>
      <c r="G45" s="23" t="str">
        <f t="shared" si="8"/>
        <v/>
      </c>
      <c r="H45" s="20" t="str">
        <f t="shared" si="9"/>
        <v/>
      </c>
      <c r="I45" t="str">
        <f t="shared" si="4"/>
        <v/>
      </c>
      <c r="J45" s="17" t="str">
        <f t="shared" si="1"/>
        <v/>
      </c>
      <c r="K45" s="18" t="str">
        <f t="shared" si="5"/>
        <v/>
      </c>
      <c r="L45" t="str">
        <f t="shared" si="6"/>
        <v/>
      </c>
      <c r="M45" s="23" t="str">
        <f ca="1">IF(A45="","",IF($B$10="Sí",interpolar_alamb(L45,OFFSET(Curvas_cupon_cero!$A$1,1,0,COUNT(Curvas_cupon_cero!$A:$A)-2,1),OFFSET(Curvas_cupon_cero!$A$1,1,MATCH($B$6,Curvas_cupon_cero!$1:$1,0)-1,COUNT(Curvas_cupon_cero!$A:$A)-2,1)),[1]!interpolar(L45,OFFSET(Curvas_cupon_cero!$A$1,1,0,COUNT(Curvas_cupon_cero!$A:$A)-2,1),OFFSET(Curvas_cupon_cero!$A$1,1,MATCH($B$6,Curvas_cupon_cero!$1:$1,0)-1,COUNT(Curvas_cupon_cero!$A:$A)-2,1))))</f>
        <v/>
      </c>
      <c r="N45" s="23"/>
      <c r="O45" s="19" t="str">
        <f t="shared" si="7"/>
        <v/>
      </c>
    </row>
    <row r="46" spans="1:15" x14ac:dyDescent="0.2">
      <c r="A46" s="12" t="str">
        <f t="shared" si="2"/>
        <v/>
      </c>
      <c r="B46" t="str">
        <f t="shared" si="0"/>
        <v/>
      </c>
      <c r="C46" s="21" t="str">
        <f ca="1">IF(A46="","",IF($B$10="Sí",interpolar_alamb(B46,OFFSET(Curvas_cupon_cero!$A$1,1,0,COUNT(Curvas_cupon_cero!$A:$A)-2,1),OFFSET(Curvas_cupon_cero!$A$1,1,MATCH($B$8,Curvas_cupon_cero!$1:$1,0)-1,COUNT(Curvas_cupon_cero!$A:$A)-2,1)),[1]!interpolar(B46,OFFSET(Curvas_cupon_cero!$A$1,1,0,COUNT(Curvas_cupon_cero!$A:$A)-2,1),OFFSET(Curvas_cupon_cero!$A$1,1,MATCH($B$8,Curvas_cupon_cero!$1:$1,0)-1,COUNT(Curvas_cupon_cero!$A:$A)-2,1))))</f>
        <v/>
      </c>
      <c r="D46" s="23" t="str">
        <f ca="1">IF(A46="","",IF($B$10="Sí",interpolar_alamb(L46,OFFSET(Curvas_cupon_cero!$A$1,1,0,COUNT(Curvas_cupon_cero!$A:$A)-2,1),OFFSET(Curvas_cupon_cero!$A$1,1,MATCH($B$8,Curvas_cupon_cero!$1:$1,0)-1,COUNT(Curvas_cupon_cero!$A:$A)-2,1)),[1]!interpolar(L46,OFFSET(Curvas_cupon_cero!$A$1,1,0,COUNT(Curvas_cupon_cero!$A:$A)-2,1),OFFSET(Curvas_cupon_cero!$A$1,1,MATCH($B$8,Curvas_cupon_cero!$1:$1,0)-1,COUNT(Curvas_cupon_cero!$A:$A)-2,1))))</f>
        <v/>
      </c>
      <c r="E46" s="23" t="str">
        <f t="shared" si="3"/>
        <v/>
      </c>
      <c r="F46" s="23" t="str">
        <f ca="1">IF(A46="","",IF($B$10="Sí",interpolar_alamb(B46,OFFSET(Curvas_cupon_cero!$A$1,1,0,COUNT(Curvas_cupon_cero!$A:$A)-2,1),OFFSET(Curvas_cupon_cero!$A$1,1,MATCH($B$9,Curvas_cupon_cero!$1:$1,0)-1,COUNT(Curvas_cupon_cero!$A:$A)-2,1)),[1]!interpolar(B46,OFFSET(Curvas_cupon_cero!$A$1,1,0,COUNT(Curvas_cupon_cero!$A:$A)-2,1),OFFSET(Curvas_cupon_cero!$A$1,1,MATCH($B$9,Curvas_cupon_cero!$1:$1,0)-1,COUNT(Curvas_cupon_cero!$A:$A)-2,1))))</f>
        <v/>
      </c>
      <c r="G46" s="23" t="str">
        <f t="shared" si="8"/>
        <v/>
      </c>
      <c r="H46" s="20" t="str">
        <f t="shared" si="9"/>
        <v/>
      </c>
      <c r="I46" t="str">
        <f t="shared" si="4"/>
        <v/>
      </c>
      <c r="J46" s="17" t="str">
        <f t="shared" si="1"/>
        <v/>
      </c>
      <c r="K46" s="18" t="str">
        <f t="shared" si="5"/>
        <v/>
      </c>
      <c r="L46" t="str">
        <f t="shared" si="6"/>
        <v/>
      </c>
      <c r="M46" s="23" t="str">
        <f ca="1">IF(A46="","",IF($B$10="Sí",interpolar_alamb(L46,OFFSET(Curvas_cupon_cero!$A$1,1,0,COUNT(Curvas_cupon_cero!$A:$A)-2,1),OFFSET(Curvas_cupon_cero!$A$1,1,MATCH($B$6,Curvas_cupon_cero!$1:$1,0)-1,COUNT(Curvas_cupon_cero!$A:$A)-2,1)),[1]!interpolar(L46,OFFSET(Curvas_cupon_cero!$A$1,1,0,COUNT(Curvas_cupon_cero!$A:$A)-2,1),OFFSET(Curvas_cupon_cero!$A$1,1,MATCH($B$6,Curvas_cupon_cero!$1:$1,0)-1,COUNT(Curvas_cupon_cero!$A:$A)-2,1))))</f>
        <v/>
      </c>
      <c r="N46" s="23"/>
      <c r="O46" s="19" t="str">
        <f t="shared" si="7"/>
        <v/>
      </c>
    </row>
    <row r="47" spans="1:15" x14ac:dyDescent="0.2">
      <c r="A47" s="12" t="str">
        <f t="shared" si="2"/>
        <v/>
      </c>
      <c r="B47" t="str">
        <f t="shared" si="0"/>
        <v/>
      </c>
      <c r="C47" s="21" t="str">
        <f ca="1">IF(A47="","",IF($B$10="Sí",interpolar_alamb(B47,OFFSET(Curvas_cupon_cero!$A$1,1,0,COUNT(Curvas_cupon_cero!$A:$A)-2,1),OFFSET(Curvas_cupon_cero!$A$1,1,MATCH($B$8,Curvas_cupon_cero!$1:$1,0)-1,COUNT(Curvas_cupon_cero!$A:$A)-2,1)),[1]!interpolar(B47,OFFSET(Curvas_cupon_cero!$A$1,1,0,COUNT(Curvas_cupon_cero!$A:$A)-2,1),OFFSET(Curvas_cupon_cero!$A$1,1,MATCH($B$8,Curvas_cupon_cero!$1:$1,0)-1,COUNT(Curvas_cupon_cero!$A:$A)-2,1))))</f>
        <v/>
      </c>
      <c r="D47" s="23" t="str">
        <f ca="1">IF(A47="","",IF($B$10="Sí",interpolar_alamb(L47,OFFSET(Curvas_cupon_cero!$A$1,1,0,COUNT(Curvas_cupon_cero!$A:$A)-2,1),OFFSET(Curvas_cupon_cero!$A$1,1,MATCH($B$8,Curvas_cupon_cero!$1:$1,0)-1,COUNT(Curvas_cupon_cero!$A:$A)-2,1)),[1]!interpolar(L47,OFFSET(Curvas_cupon_cero!$A$1,1,0,COUNT(Curvas_cupon_cero!$A:$A)-2,1),OFFSET(Curvas_cupon_cero!$A$1,1,MATCH($B$8,Curvas_cupon_cero!$1:$1,0)-1,COUNT(Curvas_cupon_cero!$A:$A)-2,1))))</f>
        <v/>
      </c>
      <c r="E47" s="23" t="str">
        <f t="shared" si="3"/>
        <v/>
      </c>
      <c r="F47" s="23" t="str">
        <f ca="1">IF(A47="","",IF($B$10="Sí",interpolar_alamb(B47,OFFSET(Curvas_cupon_cero!$A$1,1,0,COUNT(Curvas_cupon_cero!$A:$A)-2,1),OFFSET(Curvas_cupon_cero!$A$1,1,MATCH($B$9,Curvas_cupon_cero!$1:$1,0)-1,COUNT(Curvas_cupon_cero!$A:$A)-2,1)),[1]!interpolar(B47,OFFSET(Curvas_cupon_cero!$A$1,1,0,COUNT(Curvas_cupon_cero!$A:$A)-2,1),OFFSET(Curvas_cupon_cero!$A$1,1,MATCH($B$9,Curvas_cupon_cero!$1:$1,0)-1,COUNT(Curvas_cupon_cero!$A:$A)-2,1))))</f>
        <v/>
      </c>
      <c r="G47" s="23" t="str">
        <f t="shared" si="8"/>
        <v/>
      </c>
      <c r="H47" s="20" t="str">
        <f t="shared" si="9"/>
        <v/>
      </c>
      <c r="I47" t="str">
        <f t="shared" si="4"/>
        <v/>
      </c>
      <c r="J47" s="17" t="str">
        <f t="shared" si="1"/>
        <v/>
      </c>
      <c r="K47" s="18" t="str">
        <f t="shared" si="5"/>
        <v/>
      </c>
      <c r="L47" t="str">
        <f t="shared" si="6"/>
        <v/>
      </c>
      <c r="M47" s="23" t="str">
        <f ca="1">IF(A47="","",IF($B$10="Sí",interpolar_alamb(L47,OFFSET(Curvas_cupon_cero!$A$1,1,0,COUNT(Curvas_cupon_cero!$A:$A)-2,1),OFFSET(Curvas_cupon_cero!$A$1,1,MATCH($B$6,Curvas_cupon_cero!$1:$1,0)-1,COUNT(Curvas_cupon_cero!$A:$A)-2,1)),[1]!interpolar(L47,OFFSET(Curvas_cupon_cero!$A$1,1,0,COUNT(Curvas_cupon_cero!$A:$A)-2,1),OFFSET(Curvas_cupon_cero!$A$1,1,MATCH($B$6,Curvas_cupon_cero!$1:$1,0)-1,COUNT(Curvas_cupon_cero!$A:$A)-2,1))))</f>
        <v/>
      </c>
      <c r="N47" s="23"/>
      <c r="O47" s="19" t="str">
        <f t="shared" si="7"/>
        <v/>
      </c>
    </row>
    <row r="48" spans="1:15" x14ac:dyDescent="0.2">
      <c r="A48" s="12" t="str">
        <f t="shared" si="2"/>
        <v/>
      </c>
      <c r="B48" t="str">
        <f t="shared" si="0"/>
        <v/>
      </c>
      <c r="C48" s="21" t="str">
        <f ca="1">IF(A48="","",IF($B$10="Sí",interpolar_alamb(B48,OFFSET(Curvas_cupon_cero!$A$1,1,0,COUNT(Curvas_cupon_cero!$A:$A)-2,1),OFFSET(Curvas_cupon_cero!$A$1,1,MATCH($B$8,Curvas_cupon_cero!$1:$1,0)-1,COUNT(Curvas_cupon_cero!$A:$A)-2,1)),[1]!interpolar(B48,OFFSET(Curvas_cupon_cero!$A$1,1,0,COUNT(Curvas_cupon_cero!$A:$A)-2,1),OFFSET(Curvas_cupon_cero!$A$1,1,MATCH($B$8,Curvas_cupon_cero!$1:$1,0)-1,COUNT(Curvas_cupon_cero!$A:$A)-2,1))))</f>
        <v/>
      </c>
      <c r="D48" s="23" t="str">
        <f ca="1">IF(A48="","",IF($B$10="Sí",interpolar_alamb(L48,OFFSET(Curvas_cupon_cero!$A$1,1,0,COUNT(Curvas_cupon_cero!$A:$A)-2,1),OFFSET(Curvas_cupon_cero!$A$1,1,MATCH($B$8,Curvas_cupon_cero!$1:$1,0)-1,COUNT(Curvas_cupon_cero!$A:$A)-2,1)),[1]!interpolar(L48,OFFSET(Curvas_cupon_cero!$A$1,1,0,COUNT(Curvas_cupon_cero!$A:$A)-2,1),OFFSET(Curvas_cupon_cero!$A$1,1,MATCH($B$8,Curvas_cupon_cero!$1:$1,0)-1,COUNT(Curvas_cupon_cero!$A:$A)-2,1))))</f>
        <v/>
      </c>
      <c r="E48" s="23" t="str">
        <f t="shared" si="3"/>
        <v/>
      </c>
      <c r="F48" s="23" t="str">
        <f ca="1">IF(A48="","",IF($B$10="Sí",interpolar_alamb(B48,OFFSET(Curvas_cupon_cero!$A$1,1,0,COUNT(Curvas_cupon_cero!$A:$A)-2,1),OFFSET(Curvas_cupon_cero!$A$1,1,MATCH($B$9,Curvas_cupon_cero!$1:$1,0)-1,COUNT(Curvas_cupon_cero!$A:$A)-2,1)),[1]!interpolar(B48,OFFSET(Curvas_cupon_cero!$A$1,1,0,COUNT(Curvas_cupon_cero!$A:$A)-2,1),OFFSET(Curvas_cupon_cero!$A$1,1,MATCH($B$9,Curvas_cupon_cero!$1:$1,0)-1,COUNT(Curvas_cupon_cero!$A:$A)-2,1))))</f>
        <v/>
      </c>
      <c r="G48" s="23" t="str">
        <f t="shared" si="8"/>
        <v/>
      </c>
      <c r="H48" s="20" t="str">
        <f t="shared" si="9"/>
        <v/>
      </c>
      <c r="I48" t="str">
        <f t="shared" si="4"/>
        <v/>
      </c>
      <c r="J48" s="17" t="str">
        <f t="shared" si="1"/>
        <v/>
      </c>
      <c r="K48" s="18" t="str">
        <f t="shared" si="5"/>
        <v/>
      </c>
      <c r="L48" t="str">
        <f t="shared" si="6"/>
        <v/>
      </c>
      <c r="M48" s="23" t="str">
        <f ca="1">IF(A48="","",IF($B$10="Sí",interpolar_alamb(L48,OFFSET(Curvas_cupon_cero!$A$1,1,0,COUNT(Curvas_cupon_cero!$A:$A)-2,1),OFFSET(Curvas_cupon_cero!$A$1,1,MATCH($B$6,Curvas_cupon_cero!$1:$1,0)-1,COUNT(Curvas_cupon_cero!$A:$A)-2,1)),[1]!interpolar(L48,OFFSET(Curvas_cupon_cero!$A$1,1,0,COUNT(Curvas_cupon_cero!$A:$A)-2,1),OFFSET(Curvas_cupon_cero!$A$1,1,MATCH($B$6,Curvas_cupon_cero!$1:$1,0)-1,COUNT(Curvas_cupon_cero!$A:$A)-2,1))))</f>
        <v/>
      </c>
      <c r="N48" s="23"/>
      <c r="O48" s="19" t="str">
        <f t="shared" si="7"/>
        <v/>
      </c>
    </row>
    <row r="49" spans="1:15" x14ac:dyDescent="0.2">
      <c r="A49" s="12" t="str">
        <f t="shared" si="2"/>
        <v/>
      </c>
      <c r="B49" t="str">
        <f t="shared" si="0"/>
        <v/>
      </c>
      <c r="C49" s="21" t="str">
        <f ca="1">IF(A49="","",IF($B$10="Sí",interpolar_alamb(B49,OFFSET(Curvas_cupon_cero!$A$1,1,0,COUNT(Curvas_cupon_cero!$A:$A)-2,1),OFFSET(Curvas_cupon_cero!$A$1,1,MATCH($B$8,Curvas_cupon_cero!$1:$1,0)-1,COUNT(Curvas_cupon_cero!$A:$A)-2,1)),[1]!interpolar(B49,OFFSET(Curvas_cupon_cero!$A$1,1,0,COUNT(Curvas_cupon_cero!$A:$A)-2,1),OFFSET(Curvas_cupon_cero!$A$1,1,MATCH($B$8,Curvas_cupon_cero!$1:$1,0)-1,COUNT(Curvas_cupon_cero!$A:$A)-2,1))))</f>
        <v/>
      </c>
      <c r="D49" s="23" t="str">
        <f ca="1">IF(A49="","",IF($B$10="Sí",interpolar_alamb(L49,OFFSET(Curvas_cupon_cero!$A$1,1,0,COUNT(Curvas_cupon_cero!$A:$A)-2,1),OFFSET(Curvas_cupon_cero!$A$1,1,MATCH($B$8,Curvas_cupon_cero!$1:$1,0)-1,COUNT(Curvas_cupon_cero!$A:$A)-2,1)),[1]!interpolar(L49,OFFSET(Curvas_cupon_cero!$A$1,1,0,COUNT(Curvas_cupon_cero!$A:$A)-2,1),OFFSET(Curvas_cupon_cero!$A$1,1,MATCH($B$8,Curvas_cupon_cero!$1:$1,0)-1,COUNT(Curvas_cupon_cero!$A:$A)-2,1))))</f>
        <v/>
      </c>
      <c r="E49" s="23" t="str">
        <f t="shared" si="3"/>
        <v/>
      </c>
      <c r="F49" s="23" t="str">
        <f ca="1">IF(A49="","",IF($B$10="Sí",interpolar_alamb(B49,OFFSET(Curvas_cupon_cero!$A$1,1,0,COUNT(Curvas_cupon_cero!$A:$A)-2,1),OFFSET(Curvas_cupon_cero!$A$1,1,MATCH($B$9,Curvas_cupon_cero!$1:$1,0)-1,COUNT(Curvas_cupon_cero!$A:$A)-2,1)),[1]!interpolar(B49,OFFSET(Curvas_cupon_cero!$A$1,1,0,COUNT(Curvas_cupon_cero!$A:$A)-2,1),OFFSET(Curvas_cupon_cero!$A$1,1,MATCH($B$9,Curvas_cupon_cero!$1:$1,0)-1,COUNT(Curvas_cupon_cero!$A:$A)-2,1))))</f>
        <v/>
      </c>
      <c r="G49" s="23" t="str">
        <f t="shared" si="8"/>
        <v/>
      </c>
      <c r="H49" s="20" t="str">
        <f t="shared" si="9"/>
        <v/>
      </c>
      <c r="I49" t="str">
        <f t="shared" si="4"/>
        <v/>
      </c>
      <c r="J49" s="17" t="str">
        <f t="shared" si="1"/>
        <v/>
      </c>
      <c r="K49" s="18" t="str">
        <f t="shared" si="5"/>
        <v/>
      </c>
      <c r="L49" t="str">
        <f t="shared" si="6"/>
        <v/>
      </c>
      <c r="M49" s="23" t="str">
        <f ca="1">IF(A49="","",IF($B$10="Sí",interpolar_alamb(L49,OFFSET(Curvas_cupon_cero!$A$1,1,0,COUNT(Curvas_cupon_cero!$A:$A)-2,1),OFFSET(Curvas_cupon_cero!$A$1,1,MATCH($B$6,Curvas_cupon_cero!$1:$1,0)-1,COUNT(Curvas_cupon_cero!$A:$A)-2,1)),[1]!interpolar(L49,OFFSET(Curvas_cupon_cero!$A$1,1,0,COUNT(Curvas_cupon_cero!$A:$A)-2,1),OFFSET(Curvas_cupon_cero!$A$1,1,MATCH($B$6,Curvas_cupon_cero!$1:$1,0)-1,COUNT(Curvas_cupon_cero!$A:$A)-2,1))))</f>
        <v/>
      </c>
      <c r="N49" s="23"/>
      <c r="O49" s="19" t="str">
        <f t="shared" si="7"/>
        <v/>
      </c>
    </row>
    <row r="50" spans="1:15" x14ac:dyDescent="0.2">
      <c r="A50" s="12" t="str">
        <f t="shared" si="2"/>
        <v/>
      </c>
      <c r="B50" t="str">
        <f t="shared" si="0"/>
        <v/>
      </c>
      <c r="C50" s="21" t="str">
        <f ca="1">IF(A50="","",IF($B$10="Sí",interpolar_alamb(B50,OFFSET(Curvas_cupon_cero!$A$1,1,0,COUNT(Curvas_cupon_cero!$A:$A)-2,1),OFFSET(Curvas_cupon_cero!$A$1,1,MATCH($B$8,Curvas_cupon_cero!$1:$1,0)-1,COUNT(Curvas_cupon_cero!$A:$A)-2,1)),[1]!interpolar(B50,OFFSET(Curvas_cupon_cero!$A$1,1,0,COUNT(Curvas_cupon_cero!$A:$A)-2,1),OFFSET(Curvas_cupon_cero!$A$1,1,MATCH($B$8,Curvas_cupon_cero!$1:$1,0)-1,COUNT(Curvas_cupon_cero!$A:$A)-2,1))))</f>
        <v/>
      </c>
      <c r="D50" s="23" t="str">
        <f ca="1">IF(A50="","",IF($B$10="Sí",interpolar_alamb(L50,OFFSET(Curvas_cupon_cero!$A$1,1,0,COUNT(Curvas_cupon_cero!$A:$A)-2,1),OFFSET(Curvas_cupon_cero!$A$1,1,MATCH($B$8,Curvas_cupon_cero!$1:$1,0)-1,COUNT(Curvas_cupon_cero!$A:$A)-2,1)),[1]!interpolar(L50,OFFSET(Curvas_cupon_cero!$A$1,1,0,COUNT(Curvas_cupon_cero!$A:$A)-2,1),OFFSET(Curvas_cupon_cero!$A$1,1,MATCH($B$8,Curvas_cupon_cero!$1:$1,0)-1,COUNT(Curvas_cupon_cero!$A:$A)-2,1))))</f>
        <v/>
      </c>
      <c r="E50" s="23" t="str">
        <f t="shared" si="3"/>
        <v/>
      </c>
      <c r="F50" s="23" t="str">
        <f ca="1">IF(A50="","",IF($B$10="Sí",interpolar_alamb(B50,OFFSET(Curvas_cupon_cero!$A$1,1,0,COUNT(Curvas_cupon_cero!$A:$A)-2,1),OFFSET(Curvas_cupon_cero!$A$1,1,MATCH($B$9,Curvas_cupon_cero!$1:$1,0)-1,COUNT(Curvas_cupon_cero!$A:$A)-2,1)),[1]!interpolar(B50,OFFSET(Curvas_cupon_cero!$A$1,1,0,COUNT(Curvas_cupon_cero!$A:$A)-2,1),OFFSET(Curvas_cupon_cero!$A$1,1,MATCH($B$9,Curvas_cupon_cero!$1:$1,0)-1,COUNT(Curvas_cupon_cero!$A:$A)-2,1))))</f>
        <v/>
      </c>
      <c r="G50" s="23" t="str">
        <f t="shared" si="8"/>
        <v/>
      </c>
      <c r="H50" s="20" t="str">
        <f t="shared" si="9"/>
        <v/>
      </c>
      <c r="I50" t="str">
        <f t="shared" si="4"/>
        <v/>
      </c>
      <c r="J50" s="17" t="str">
        <f t="shared" si="1"/>
        <v/>
      </c>
      <c r="K50" s="18" t="str">
        <f t="shared" si="5"/>
        <v/>
      </c>
      <c r="L50" t="str">
        <f t="shared" si="6"/>
        <v/>
      </c>
      <c r="M50" s="23" t="str">
        <f ca="1">IF(A50="","",IF($B$10="Sí",interpolar_alamb(L50,OFFSET(Curvas_cupon_cero!$A$1,1,0,COUNT(Curvas_cupon_cero!$A:$A)-2,1),OFFSET(Curvas_cupon_cero!$A$1,1,MATCH($B$6,Curvas_cupon_cero!$1:$1,0)-1,COUNT(Curvas_cupon_cero!$A:$A)-2,1)),[1]!interpolar(L50,OFFSET(Curvas_cupon_cero!$A$1,1,0,COUNT(Curvas_cupon_cero!$A:$A)-2,1),OFFSET(Curvas_cupon_cero!$A$1,1,MATCH($B$6,Curvas_cupon_cero!$1:$1,0)-1,COUNT(Curvas_cupon_cero!$A:$A)-2,1))))</f>
        <v/>
      </c>
      <c r="N50" s="23"/>
      <c r="O50" s="19" t="str">
        <f t="shared" si="7"/>
        <v/>
      </c>
    </row>
    <row r="51" spans="1:15" x14ac:dyDescent="0.2">
      <c r="A51" s="12" t="str">
        <f t="shared" si="2"/>
        <v/>
      </c>
      <c r="B51" t="str">
        <f t="shared" si="0"/>
        <v/>
      </c>
      <c r="C51" s="21" t="str">
        <f ca="1">IF(A51="","",IF($B$10="Sí",interpolar_alamb(B51,OFFSET(Curvas_cupon_cero!$A$1,1,0,COUNT(Curvas_cupon_cero!$A:$A)-2,1),OFFSET(Curvas_cupon_cero!$A$1,1,MATCH($B$8,Curvas_cupon_cero!$1:$1,0)-1,COUNT(Curvas_cupon_cero!$A:$A)-2,1)),[1]!interpolar(B51,OFFSET(Curvas_cupon_cero!$A$1,1,0,COUNT(Curvas_cupon_cero!$A:$A)-2,1),OFFSET(Curvas_cupon_cero!$A$1,1,MATCH($B$8,Curvas_cupon_cero!$1:$1,0)-1,COUNT(Curvas_cupon_cero!$A:$A)-2,1))))</f>
        <v/>
      </c>
      <c r="D51" s="23" t="str">
        <f ca="1">IF(A51="","",IF($B$10="Sí",interpolar_alamb(L51,OFFSET(Curvas_cupon_cero!$A$1,1,0,COUNT(Curvas_cupon_cero!$A:$A)-2,1),OFFSET(Curvas_cupon_cero!$A$1,1,MATCH($B$8,Curvas_cupon_cero!$1:$1,0)-1,COUNT(Curvas_cupon_cero!$A:$A)-2,1)),[1]!interpolar(L51,OFFSET(Curvas_cupon_cero!$A$1,1,0,COUNT(Curvas_cupon_cero!$A:$A)-2,1),OFFSET(Curvas_cupon_cero!$A$1,1,MATCH($B$8,Curvas_cupon_cero!$1:$1,0)-1,COUNT(Curvas_cupon_cero!$A:$A)-2,1))))</f>
        <v/>
      </c>
      <c r="E51" s="23" t="str">
        <f t="shared" si="3"/>
        <v/>
      </c>
      <c r="F51" s="23" t="str">
        <f ca="1">IF(A51="","",IF($B$10="Sí",interpolar_alamb(B51,OFFSET(Curvas_cupon_cero!$A$1,1,0,COUNT(Curvas_cupon_cero!$A:$A)-2,1),OFFSET(Curvas_cupon_cero!$A$1,1,MATCH($B$9,Curvas_cupon_cero!$1:$1,0)-1,COUNT(Curvas_cupon_cero!$A:$A)-2,1)),[1]!interpolar(B51,OFFSET(Curvas_cupon_cero!$A$1,1,0,COUNT(Curvas_cupon_cero!$A:$A)-2,1),OFFSET(Curvas_cupon_cero!$A$1,1,MATCH($B$9,Curvas_cupon_cero!$1:$1,0)-1,COUNT(Curvas_cupon_cero!$A:$A)-2,1))))</f>
        <v/>
      </c>
      <c r="G51" s="23" t="str">
        <f t="shared" si="8"/>
        <v/>
      </c>
      <c r="H51" s="20" t="str">
        <f t="shared" si="9"/>
        <v/>
      </c>
      <c r="I51" t="str">
        <f t="shared" si="4"/>
        <v/>
      </c>
      <c r="J51" s="17" t="str">
        <f t="shared" si="1"/>
        <v/>
      </c>
      <c r="K51" s="18" t="str">
        <f t="shared" si="5"/>
        <v/>
      </c>
      <c r="L51" t="str">
        <f t="shared" si="6"/>
        <v/>
      </c>
      <c r="M51" s="23" t="str">
        <f ca="1">IF(A51="","",IF($B$10="Sí",interpolar_alamb(L51,OFFSET(Curvas_cupon_cero!$A$1,1,0,COUNT(Curvas_cupon_cero!$A:$A)-2,1),OFFSET(Curvas_cupon_cero!$A$1,1,MATCH($B$6,Curvas_cupon_cero!$1:$1,0)-1,COUNT(Curvas_cupon_cero!$A:$A)-2,1)),[1]!interpolar(L51,OFFSET(Curvas_cupon_cero!$A$1,1,0,COUNT(Curvas_cupon_cero!$A:$A)-2,1),OFFSET(Curvas_cupon_cero!$A$1,1,MATCH($B$6,Curvas_cupon_cero!$1:$1,0)-1,COUNT(Curvas_cupon_cero!$A:$A)-2,1))))</f>
        <v/>
      </c>
      <c r="N51" s="23"/>
      <c r="O51" s="19" t="str">
        <f t="shared" si="7"/>
        <v/>
      </c>
    </row>
    <row r="52" spans="1:15" x14ac:dyDescent="0.2">
      <c r="A52" s="12" t="str">
        <f t="shared" si="2"/>
        <v/>
      </c>
      <c r="B52" t="str">
        <f t="shared" si="0"/>
        <v/>
      </c>
      <c r="C52" s="21" t="str">
        <f ca="1">IF(A52="","",IF($B$10="Sí",interpolar_alamb(B52,OFFSET(Curvas_cupon_cero!$A$1,1,0,COUNT(Curvas_cupon_cero!$A:$A)-2,1),OFFSET(Curvas_cupon_cero!$A$1,1,MATCH($B$8,Curvas_cupon_cero!$1:$1,0)-1,COUNT(Curvas_cupon_cero!$A:$A)-2,1)),[1]!interpolar(B52,OFFSET(Curvas_cupon_cero!$A$1,1,0,COUNT(Curvas_cupon_cero!$A:$A)-2,1),OFFSET(Curvas_cupon_cero!$A$1,1,MATCH($B$8,Curvas_cupon_cero!$1:$1,0)-1,COUNT(Curvas_cupon_cero!$A:$A)-2,1))))</f>
        <v/>
      </c>
      <c r="D52" s="23" t="str">
        <f ca="1">IF(A52="","",IF($B$10="Sí",interpolar_alamb(L52,OFFSET(Curvas_cupon_cero!$A$1,1,0,COUNT(Curvas_cupon_cero!$A:$A)-2,1),OFFSET(Curvas_cupon_cero!$A$1,1,MATCH($B$8,Curvas_cupon_cero!$1:$1,0)-1,COUNT(Curvas_cupon_cero!$A:$A)-2,1)),[1]!interpolar(L52,OFFSET(Curvas_cupon_cero!$A$1,1,0,COUNT(Curvas_cupon_cero!$A:$A)-2,1),OFFSET(Curvas_cupon_cero!$A$1,1,MATCH($B$8,Curvas_cupon_cero!$1:$1,0)-1,COUNT(Curvas_cupon_cero!$A:$A)-2,1))))</f>
        <v/>
      </c>
      <c r="E52" s="23" t="str">
        <f t="shared" si="3"/>
        <v/>
      </c>
      <c r="F52" s="23" t="str">
        <f ca="1">IF(A52="","",IF($B$10="Sí",interpolar_alamb(B52,OFFSET(Curvas_cupon_cero!$A$1,1,0,COUNT(Curvas_cupon_cero!$A:$A)-2,1),OFFSET(Curvas_cupon_cero!$A$1,1,MATCH($B$9,Curvas_cupon_cero!$1:$1,0)-1,COUNT(Curvas_cupon_cero!$A:$A)-2,1)),[1]!interpolar(B52,OFFSET(Curvas_cupon_cero!$A$1,1,0,COUNT(Curvas_cupon_cero!$A:$A)-2,1),OFFSET(Curvas_cupon_cero!$A$1,1,MATCH($B$9,Curvas_cupon_cero!$1:$1,0)-1,COUNT(Curvas_cupon_cero!$A:$A)-2,1))))</f>
        <v/>
      </c>
      <c r="G52" s="23" t="str">
        <f t="shared" si="8"/>
        <v/>
      </c>
      <c r="H52" s="20" t="str">
        <f t="shared" si="9"/>
        <v/>
      </c>
      <c r="I52" t="str">
        <f t="shared" si="4"/>
        <v/>
      </c>
      <c r="J52" s="17" t="str">
        <f t="shared" si="1"/>
        <v/>
      </c>
      <c r="K52" s="18" t="str">
        <f t="shared" si="5"/>
        <v/>
      </c>
      <c r="L52" t="str">
        <f t="shared" si="6"/>
        <v/>
      </c>
      <c r="M52" s="23" t="str">
        <f ca="1">IF(A52="","",IF($B$10="Sí",interpolar_alamb(L52,OFFSET(Curvas_cupon_cero!$A$1,1,0,COUNT(Curvas_cupon_cero!$A:$A)-2,1),OFFSET(Curvas_cupon_cero!$A$1,1,MATCH($B$6,Curvas_cupon_cero!$1:$1,0)-1,COUNT(Curvas_cupon_cero!$A:$A)-2,1)),[1]!interpolar(L52,OFFSET(Curvas_cupon_cero!$A$1,1,0,COUNT(Curvas_cupon_cero!$A:$A)-2,1),OFFSET(Curvas_cupon_cero!$A$1,1,MATCH($B$6,Curvas_cupon_cero!$1:$1,0)-1,COUNT(Curvas_cupon_cero!$A:$A)-2,1))))</f>
        <v/>
      </c>
      <c r="N52" s="23"/>
      <c r="O52" s="19" t="str">
        <f t="shared" si="7"/>
        <v/>
      </c>
    </row>
    <row r="53" spans="1:15" x14ac:dyDescent="0.2">
      <c r="A53" s="12" t="str">
        <f t="shared" si="2"/>
        <v/>
      </c>
      <c r="B53" t="str">
        <f t="shared" si="0"/>
        <v/>
      </c>
      <c r="C53" s="21" t="str">
        <f ca="1">IF(A53="","",IF($B$10="Sí",interpolar_alamb(B53,OFFSET(Curvas_cupon_cero!$A$1,1,0,COUNT(Curvas_cupon_cero!$A:$A)-2,1),OFFSET(Curvas_cupon_cero!$A$1,1,MATCH($B$8,Curvas_cupon_cero!$1:$1,0)-1,COUNT(Curvas_cupon_cero!$A:$A)-2,1)),[1]!interpolar(B53,OFFSET(Curvas_cupon_cero!$A$1,1,0,COUNT(Curvas_cupon_cero!$A:$A)-2,1),OFFSET(Curvas_cupon_cero!$A$1,1,MATCH($B$8,Curvas_cupon_cero!$1:$1,0)-1,COUNT(Curvas_cupon_cero!$A:$A)-2,1))))</f>
        <v/>
      </c>
      <c r="D53" s="23" t="str">
        <f ca="1">IF(A53="","",IF($B$10="Sí",interpolar_alamb(L53,OFFSET(Curvas_cupon_cero!$A$1,1,0,COUNT(Curvas_cupon_cero!$A:$A)-2,1),OFFSET(Curvas_cupon_cero!$A$1,1,MATCH($B$8,Curvas_cupon_cero!$1:$1,0)-1,COUNT(Curvas_cupon_cero!$A:$A)-2,1)),[1]!interpolar(L53,OFFSET(Curvas_cupon_cero!$A$1,1,0,COUNT(Curvas_cupon_cero!$A:$A)-2,1),OFFSET(Curvas_cupon_cero!$A$1,1,MATCH($B$8,Curvas_cupon_cero!$1:$1,0)-1,COUNT(Curvas_cupon_cero!$A:$A)-2,1))))</f>
        <v/>
      </c>
      <c r="E53" s="23" t="str">
        <f t="shared" si="3"/>
        <v/>
      </c>
      <c r="F53" s="23" t="str">
        <f ca="1">IF(A53="","",IF($B$10="Sí",interpolar_alamb(B53,OFFSET(Curvas_cupon_cero!$A$1,1,0,COUNT(Curvas_cupon_cero!$A:$A)-2,1),OFFSET(Curvas_cupon_cero!$A$1,1,MATCH($B$9,Curvas_cupon_cero!$1:$1,0)-1,COUNT(Curvas_cupon_cero!$A:$A)-2,1)),[1]!interpolar(B53,OFFSET(Curvas_cupon_cero!$A$1,1,0,COUNT(Curvas_cupon_cero!$A:$A)-2,1),OFFSET(Curvas_cupon_cero!$A$1,1,MATCH($B$9,Curvas_cupon_cero!$1:$1,0)-1,COUNT(Curvas_cupon_cero!$A:$A)-2,1))))</f>
        <v/>
      </c>
      <c r="G53" s="23" t="str">
        <f t="shared" si="8"/>
        <v/>
      </c>
      <c r="H53" s="20" t="str">
        <f t="shared" si="9"/>
        <v/>
      </c>
      <c r="I53" t="str">
        <f t="shared" si="4"/>
        <v/>
      </c>
      <c r="J53" s="17" t="str">
        <f t="shared" si="1"/>
        <v/>
      </c>
      <c r="K53" s="18" t="str">
        <f t="shared" si="5"/>
        <v/>
      </c>
      <c r="L53" t="str">
        <f t="shared" si="6"/>
        <v/>
      </c>
      <c r="M53" s="23" t="str">
        <f ca="1">IF(A53="","",IF($B$10="Sí",interpolar_alamb(L53,OFFSET(Curvas_cupon_cero!$A$1,1,0,COUNT(Curvas_cupon_cero!$A:$A)-2,1),OFFSET(Curvas_cupon_cero!$A$1,1,MATCH($B$6,Curvas_cupon_cero!$1:$1,0)-1,COUNT(Curvas_cupon_cero!$A:$A)-2,1)),[1]!interpolar(L53,OFFSET(Curvas_cupon_cero!$A$1,1,0,COUNT(Curvas_cupon_cero!$A:$A)-2,1),OFFSET(Curvas_cupon_cero!$A$1,1,MATCH($B$6,Curvas_cupon_cero!$1:$1,0)-1,COUNT(Curvas_cupon_cero!$A:$A)-2,1))))</f>
        <v/>
      </c>
      <c r="N53" s="23"/>
      <c r="O53" s="19" t="str">
        <f t="shared" si="7"/>
        <v/>
      </c>
    </row>
    <row r="54" spans="1:15" x14ac:dyDescent="0.2">
      <c r="A54" s="12" t="str">
        <f t="shared" si="2"/>
        <v/>
      </c>
      <c r="B54" t="str">
        <f t="shared" si="0"/>
        <v/>
      </c>
      <c r="C54" s="21" t="str">
        <f ca="1">IF(A54="","",IF($B$10="Sí",interpolar_alamb(B54,OFFSET(Curvas_cupon_cero!$A$1,1,0,COUNT(Curvas_cupon_cero!$A:$A)-2,1),OFFSET(Curvas_cupon_cero!$A$1,1,MATCH($B$8,Curvas_cupon_cero!$1:$1,0)-1,COUNT(Curvas_cupon_cero!$A:$A)-2,1)),[1]!interpolar(B54,OFFSET(Curvas_cupon_cero!$A$1,1,0,COUNT(Curvas_cupon_cero!$A:$A)-2,1),OFFSET(Curvas_cupon_cero!$A$1,1,MATCH($B$8,Curvas_cupon_cero!$1:$1,0)-1,COUNT(Curvas_cupon_cero!$A:$A)-2,1))))</f>
        <v/>
      </c>
      <c r="D54" s="23" t="str">
        <f ca="1">IF(A54="","",IF($B$10="Sí",interpolar_alamb(L54,OFFSET(Curvas_cupon_cero!$A$1,1,0,COUNT(Curvas_cupon_cero!$A:$A)-2,1),OFFSET(Curvas_cupon_cero!$A$1,1,MATCH($B$8,Curvas_cupon_cero!$1:$1,0)-1,COUNT(Curvas_cupon_cero!$A:$A)-2,1)),[1]!interpolar(L54,OFFSET(Curvas_cupon_cero!$A$1,1,0,COUNT(Curvas_cupon_cero!$A:$A)-2,1),OFFSET(Curvas_cupon_cero!$A$1,1,MATCH($B$8,Curvas_cupon_cero!$1:$1,0)-1,COUNT(Curvas_cupon_cero!$A:$A)-2,1))))</f>
        <v/>
      </c>
      <c r="E54" s="23" t="str">
        <f t="shared" si="3"/>
        <v/>
      </c>
      <c r="F54" s="23" t="str">
        <f ca="1">IF(A54="","",IF($B$10="Sí",interpolar_alamb(B54,OFFSET(Curvas_cupon_cero!$A$1,1,0,COUNT(Curvas_cupon_cero!$A:$A)-2,1),OFFSET(Curvas_cupon_cero!$A$1,1,MATCH($B$9,Curvas_cupon_cero!$1:$1,0)-1,COUNT(Curvas_cupon_cero!$A:$A)-2,1)),[1]!interpolar(B54,OFFSET(Curvas_cupon_cero!$A$1,1,0,COUNT(Curvas_cupon_cero!$A:$A)-2,1),OFFSET(Curvas_cupon_cero!$A$1,1,MATCH($B$9,Curvas_cupon_cero!$1:$1,0)-1,COUNT(Curvas_cupon_cero!$A:$A)-2,1))))</f>
        <v/>
      </c>
      <c r="G54" s="23" t="str">
        <f t="shared" si="8"/>
        <v/>
      </c>
      <c r="H54" s="20" t="str">
        <f t="shared" si="9"/>
        <v/>
      </c>
      <c r="I54" t="str">
        <f t="shared" si="4"/>
        <v/>
      </c>
      <c r="J54" s="17" t="str">
        <f t="shared" si="1"/>
        <v/>
      </c>
      <c r="K54" s="18" t="str">
        <f t="shared" si="5"/>
        <v/>
      </c>
      <c r="L54" t="str">
        <f t="shared" si="6"/>
        <v/>
      </c>
      <c r="M54" s="23" t="str">
        <f ca="1">IF(A54="","",IF($B$10="Sí",interpolar_alamb(L54,OFFSET(Curvas_cupon_cero!$A$1,1,0,COUNT(Curvas_cupon_cero!$A:$A)-2,1),OFFSET(Curvas_cupon_cero!$A$1,1,MATCH($B$6,Curvas_cupon_cero!$1:$1,0)-1,COUNT(Curvas_cupon_cero!$A:$A)-2,1)),[1]!interpolar(L54,OFFSET(Curvas_cupon_cero!$A$1,1,0,COUNT(Curvas_cupon_cero!$A:$A)-2,1),OFFSET(Curvas_cupon_cero!$A$1,1,MATCH($B$6,Curvas_cupon_cero!$1:$1,0)-1,COUNT(Curvas_cupon_cero!$A:$A)-2,1))))</f>
        <v/>
      </c>
      <c r="N54" s="23"/>
      <c r="O54" s="19" t="str">
        <f t="shared" si="7"/>
        <v/>
      </c>
    </row>
    <row r="55" spans="1:15" x14ac:dyDescent="0.2">
      <c r="A55" s="12" t="str">
        <f t="shared" si="2"/>
        <v/>
      </c>
      <c r="B55" t="str">
        <f t="shared" si="0"/>
        <v/>
      </c>
      <c r="C55" s="21" t="str">
        <f ca="1">IF(A55="","",IF($B$10="Sí",interpolar_alamb(B55,OFFSET(Curvas_cupon_cero!$A$1,1,0,COUNT(Curvas_cupon_cero!$A:$A)-2,1),OFFSET(Curvas_cupon_cero!$A$1,1,MATCH($B$8,Curvas_cupon_cero!$1:$1,0)-1,COUNT(Curvas_cupon_cero!$A:$A)-2,1)),[1]!interpolar(B55,OFFSET(Curvas_cupon_cero!$A$1,1,0,COUNT(Curvas_cupon_cero!$A:$A)-2,1),OFFSET(Curvas_cupon_cero!$A$1,1,MATCH($B$8,Curvas_cupon_cero!$1:$1,0)-1,COUNT(Curvas_cupon_cero!$A:$A)-2,1))))</f>
        <v/>
      </c>
      <c r="D55" s="23" t="str">
        <f ca="1">IF(A55="","",IF($B$10="Sí",interpolar_alamb(L55,OFFSET(Curvas_cupon_cero!$A$1,1,0,COUNT(Curvas_cupon_cero!$A:$A)-2,1),OFFSET(Curvas_cupon_cero!$A$1,1,MATCH($B$8,Curvas_cupon_cero!$1:$1,0)-1,COUNT(Curvas_cupon_cero!$A:$A)-2,1)),[1]!interpolar(L55,OFFSET(Curvas_cupon_cero!$A$1,1,0,COUNT(Curvas_cupon_cero!$A:$A)-2,1),OFFSET(Curvas_cupon_cero!$A$1,1,MATCH($B$8,Curvas_cupon_cero!$1:$1,0)-1,COUNT(Curvas_cupon_cero!$A:$A)-2,1))))</f>
        <v/>
      </c>
      <c r="E55" s="23" t="str">
        <f t="shared" si="3"/>
        <v/>
      </c>
      <c r="F55" s="23" t="str">
        <f ca="1">IF(A55="","",IF($B$10="Sí",interpolar_alamb(B55,OFFSET(Curvas_cupon_cero!$A$1,1,0,COUNT(Curvas_cupon_cero!$A:$A)-2,1),OFFSET(Curvas_cupon_cero!$A$1,1,MATCH($B$9,Curvas_cupon_cero!$1:$1,0)-1,COUNT(Curvas_cupon_cero!$A:$A)-2,1)),[1]!interpolar(B55,OFFSET(Curvas_cupon_cero!$A$1,1,0,COUNT(Curvas_cupon_cero!$A:$A)-2,1),OFFSET(Curvas_cupon_cero!$A$1,1,MATCH($B$9,Curvas_cupon_cero!$1:$1,0)-1,COUNT(Curvas_cupon_cero!$A:$A)-2,1))))</f>
        <v/>
      </c>
      <c r="G55" s="23" t="str">
        <f t="shared" si="8"/>
        <v/>
      </c>
      <c r="H55" s="20" t="str">
        <f t="shared" si="9"/>
        <v/>
      </c>
      <c r="I55" t="str">
        <f t="shared" si="4"/>
        <v/>
      </c>
      <c r="J55" s="17" t="str">
        <f t="shared" si="1"/>
        <v/>
      </c>
      <c r="K55" s="18" t="str">
        <f t="shared" si="5"/>
        <v/>
      </c>
      <c r="L55" t="str">
        <f t="shared" si="6"/>
        <v/>
      </c>
      <c r="M55" s="23" t="str">
        <f ca="1">IF(A55="","",IF($B$10="Sí",interpolar_alamb(L55,OFFSET(Curvas_cupon_cero!$A$1,1,0,COUNT(Curvas_cupon_cero!$A:$A)-2,1),OFFSET(Curvas_cupon_cero!$A$1,1,MATCH($B$6,Curvas_cupon_cero!$1:$1,0)-1,COUNT(Curvas_cupon_cero!$A:$A)-2,1)),[1]!interpolar(L55,OFFSET(Curvas_cupon_cero!$A$1,1,0,COUNT(Curvas_cupon_cero!$A:$A)-2,1),OFFSET(Curvas_cupon_cero!$A$1,1,MATCH($B$6,Curvas_cupon_cero!$1:$1,0)-1,COUNT(Curvas_cupon_cero!$A:$A)-2,1))))</f>
        <v/>
      </c>
      <c r="N55" s="23"/>
      <c r="O55" s="19" t="str">
        <f t="shared" si="7"/>
        <v/>
      </c>
    </row>
    <row r="56" spans="1:15" x14ac:dyDescent="0.2">
      <c r="A56" s="12" t="str">
        <f t="shared" si="2"/>
        <v/>
      </c>
      <c r="B56" t="str">
        <f t="shared" si="0"/>
        <v/>
      </c>
      <c r="C56" s="21" t="str">
        <f ca="1">IF(A56="","",IF($B$10="Sí",interpolar_alamb(B56,OFFSET(Curvas_cupon_cero!$A$1,1,0,COUNT(Curvas_cupon_cero!$A:$A)-2,1),OFFSET(Curvas_cupon_cero!$A$1,1,MATCH($B$8,Curvas_cupon_cero!$1:$1,0)-1,COUNT(Curvas_cupon_cero!$A:$A)-2,1)),[1]!interpolar(B56,OFFSET(Curvas_cupon_cero!$A$1,1,0,COUNT(Curvas_cupon_cero!$A:$A)-2,1),OFFSET(Curvas_cupon_cero!$A$1,1,MATCH($B$8,Curvas_cupon_cero!$1:$1,0)-1,COUNT(Curvas_cupon_cero!$A:$A)-2,1))))</f>
        <v/>
      </c>
      <c r="D56" s="23" t="str">
        <f ca="1">IF(A56="","",IF($B$10="Sí",interpolar_alamb(L56,OFFSET(Curvas_cupon_cero!$A$1,1,0,COUNT(Curvas_cupon_cero!$A:$A)-2,1),OFFSET(Curvas_cupon_cero!$A$1,1,MATCH($B$8,Curvas_cupon_cero!$1:$1,0)-1,COUNT(Curvas_cupon_cero!$A:$A)-2,1)),[1]!interpolar(L56,OFFSET(Curvas_cupon_cero!$A$1,1,0,COUNT(Curvas_cupon_cero!$A:$A)-2,1),OFFSET(Curvas_cupon_cero!$A$1,1,MATCH($B$8,Curvas_cupon_cero!$1:$1,0)-1,COUNT(Curvas_cupon_cero!$A:$A)-2,1))))</f>
        <v/>
      </c>
      <c r="E56" s="23" t="str">
        <f t="shared" si="3"/>
        <v/>
      </c>
      <c r="F56" s="23" t="str">
        <f ca="1">IF(A56="","",IF($B$10="Sí",interpolar_alamb(B56,OFFSET(Curvas_cupon_cero!$A$1,1,0,COUNT(Curvas_cupon_cero!$A:$A)-2,1),OFFSET(Curvas_cupon_cero!$A$1,1,MATCH($B$9,Curvas_cupon_cero!$1:$1,0)-1,COUNT(Curvas_cupon_cero!$A:$A)-2,1)),[1]!interpolar(B56,OFFSET(Curvas_cupon_cero!$A$1,1,0,COUNT(Curvas_cupon_cero!$A:$A)-2,1),OFFSET(Curvas_cupon_cero!$A$1,1,MATCH($B$9,Curvas_cupon_cero!$1:$1,0)-1,COUNT(Curvas_cupon_cero!$A:$A)-2,1))))</f>
        <v/>
      </c>
      <c r="G56" s="23" t="str">
        <f t="shared" si="8"/>
        <v/>
      </c>
      <c r="H56" s="20" t="str">
        <f t="shared" si="9"/>
        <v/>
      </c>
      <c r="I56" t="str">
        <f t="shared" si="4"/>
        <v/>
      </c>
      <c r="J56" s="17" t="str">
        <f t="shared" si="1"/>
        <v/>
      </c>
      <c r="K56" s="18" t="str">
        <f t="shared" si="5"/>
        <v/>
      </c>
      <c r="L56" t="str">
        <f t="shared" si="6"/>
        <v/>
      </c>
      <c r="M56" s="23" t="str">
        <f ca="1">IF(A56="","",IF($B$10="Sí",interpolar_alamb(L56,OFFSET(Curvas_cupon_cero!$A$1,1,0,COUNT(Curvas_cupon_cero!$A:$A)-2,1),OFFSET(Curvas_cupon_cero!$A$1,1,MATCH($B$6,Curvas_cupon_cero!$1:$1,0)-1,COUNT(Curvas_cupon_cero!$A:$A)-2,1)),[1]!interpolar(L56,OFFSET(Curvas_cupon_cero!$A$1,1,0,COUNT(Curvas_cupon_cero!$A:$A)-2,1),OFFSET(Curvas_cupon_cero!$A$1,1,MATCH($B$6,Curvas_cupon_cero!$1:$1,0)-1,COUNT(Curvas_cupon_cero!$A:$A)-2,1))))</f>
        <v/>
      </c>
      <c r="N56" s="23"/>
      <c r="O56" s="19" t="str">
        <f t="shared" si="7"/>
        <v/>
      </c>
    </row>
    <row r="57" spans="1:15" x14ac:dyDescent="0.2">
      <c r="A57" s="12" t="str">
        <f t="shared" si="2"/>
        <v/>
      </c>
      <c r="B57" t="str">
        <f t="shared" si="0"/>
        <v/>
      </c>
      <c r="C57" s="21" t="str">
        <f ca="1">IF(A57="","",IF($B$10="Sí",interpolar_alamb(B57,OFFSET(Curvas_cupon_cero!$A$1,1,0,COUNT(Curvas_cupon_cero!$A:$A)-2,1),OFFSET(Curvas_cupon_cero!$A$1,1,MATCH($B$8,Curvas_cupon_cero!$1:$1,0)-1,COUNT(Curvas_cupon_cero!$A:$A)-2,1)),[1]!interpolar(B57,OFFSET(Curvas_cupon_cero!$A$1,1,0,COUNT(Curvas_cupon_cero!$A:$A)-2,1),OFFSET(Curvas_cupon_cero!$A$1,1,MATCH($B$8,Curvas_cupon_cero!$1:$1,0)-1,COUNT(Curvas_cupon_cero!$A:$A)-2,1))))</f>
        <v/>
      </c>
      <c r="D57" s="23" t="str">
        <f ca="1">IF(A57="","",IF($B$10="Sí",interpolar_alamb(L57,OFFSET(Curvas_cupon_cero!$A$1,1,0,COUNT(Curvas_cupon_cero!$A:$A)-2,1),OFFSET(Curvas_cupon_cero!$A$1,1,MATCH($B$8,Curvas_cupon_cero!$1:$1,0)-1,COUNT(Curvas_cupon_cero!$A:$A)-2,1)),[1]!interpolar(L57,OFFSET(Curvas_cupon_cero!$A$1,1,0,COUNT(Curvas_cupon_cero!$A:$A)-2,1),OFFSET(Curvas_cupon_cero!$A$1,1,MATCH($B$8,Curvas_cupon_cero!$1:$1,0)-1,COUNT(Curvas_cupon_cero!$A:$A)-2,1))))</f>
        <v/>
      </c>
      <c r="E57" s="23" t="str">
        <f t="shared" si="3"/>
        <v/>
      </c>
      <c r="F57" s="23" t="str">
        <f ca="1">IF(A57="","",IF($B$10="Sí",interpolar_alamb(B57,OFFSET(Curvas_cupon_cero!$A$1,1,0,COUNT(Curvas_cupon_cero!$A:$A)-2,1),OFFSET(Curvas_cupon_cero!$A$1,1,MATCH($B$9,Curvas_cupon_cero!$1:$1,0)-1,COUNT(Curvas_cupon_cero!$A:$A)-2,1)),[1]!interpolar(B57,OFFSET(Curvas_cupon_cero!$A$1,1,0,COUNT(Curvas_cupon_cero!$A:$A)-2,1),OFFSET(Curvas_cupon_cero!$A$1,1,MATCH($B$9,Curvas_cupon_cero!$1:$1,0)-1,COUNT(Curvas_cupon_cero!$A:$A)-2,1))))</f>
        <v/>
      </c>
      <c r="G57" s="23" t="str">
        <f t="shared" si="8"/>
        <v/>
      </c>
      <c r="H57" s="20" t="str">
        <f t="shared" si="9"/>
        <v/>
      </c>
      <c r="I57" t="str">
        <f t="shared" si="4"/>
        <v/>
      </c>
      <c r="J57" s="17" t="str">
        <f t="shared" si="1"/>
        <v/>
      </c>
      <c r="K57" s="18" t="str">
        <f t="shared" si="5"/>
        <v/>
      </c>
      <c r="L57" t="str">
        <f t="shared" si="6"/>
        <v/>
      </c>
      <c r="M57" s="23" t="str">
        <f ca="1">IF(A57="","",IF($B$10="Sí",interpolar_alamb(L57,OFFSET(Curvas_cupon_cero!$A$1,1,0,COUNT(Curvas_cupon_cero!$A:$A)-2,1),OFFSET(Curvas_cupon_cero!$A$1,1,MATCH($B$6,Curvas_cupon_cero!$1:$1,0)-1,COUNT(Curvas_cupon_cero!$A:$A)-2,1)),[1]!interpolar(L57,OFFSET(Curvas_cupon_cero!$A$1,1,0,COUNT(Curvas_cupon_cero!$A:$A)-2,1),OFFSET(Curvas_cupon_cero!$A$1,1,MATCH($B$6,Curvas_cupon_cero!$1:$1,0)-1,COUNT(Curvas_cupon_cero!$A:$A)-2,1))))</f>
        <v/>
      </c>
      <c r="N57" s="23"/>
      <c r="O57" s="19" t="str">
        <f t="shared" si="7"/>
        <v/>
      </c>
    </row>
    <row r="58" spans="1:15" x14ac:dyDescent="0.2">
      <c r="A58" s="12" t="str">
        <f t="shared" si="2"/>
        <v/>
      </c>
      <c r="B58" t="str">
        <f t="shared" si="0"/>
        <v/>
      </c>
      <c r="C58" s="21" t="str">
        <f ca="1">IF(A58="","",IF($B$10="Sí",interpolar_alamb(B58,OFFSET(Curvas_cupon_cero!$A$1,1,0,COUNT(Curvas_cupon_cero!$A:$A)-2,1),OFFSET(Curvas_cupon_cero!$A$1,1,MATCH($B$8,Curvas_cupon_cero!$1:$1,0)-1,COUNT(Curvas_cupon_cero!$A:$A)-2,1)),[1]!interpolar(B58,OFFSET(Curvas_cupon_cero!$A$1,1,0,COUNT(Curvas_cupon_cero!$A:$A)-2,1),OFFSET(Curvas_cupon_cero!$A$1,1,MATCH($B$8,Curvas_cupon_cero!$1:$1,0)-1,COUNT(Curvas_cupon_cero!$A:$A)-2,1))))</f>
        <v/>
      </c>
      <c r="D58" s="23" t="str">
        <f ca="1">IF(A58="","",IF($B$10="Sí",interpolar_alamb(L58,OFFSET(Curvas_cupon_cero!$A$1,1,0,COUNT(Curvas_cupon_cero!$A:$A)-2,1),OFFSET(Curvas_cupon_cero!$A$1,1,MATCH($B$8,Curvas_cupon_cero!$1:$1,0)-1,COUNT(Curvas_cupon_cero!$A:$A)-2,1)),[1]!interpolar(L58,OFFSET(Curvas_cupon_cero!$A$1,1,0,COUNT(Curvas_cupon_cero!$A:$A)-2,1),OFFSET(Curvas_cupon_cero!$A$1,1,MATCH($B$8,Curvas_cupon_cero!$1:$1,0)-1,COUNT(Curvas_cupon_cero!$A:$A)-2,1))))</f>
        <v/>
      </c>
      <c r="E58" s="23" t="str">
        <f t="shared" si="3"/>
        <v/>
      </c>
      <c r="F58" s="23" t="str">
        <f ca="1">IF(A58="","",IF($B$10="Sí",interpolar_alamb(B58,OFFSET(Curvas_cupon_cero!$A$1,1,0,COUNT(Curvas_cupon_cero!$A:$A)-2,1),OFFSET(Curvas_cupon_cero!$A$1,1,MATCH($B$9,Curvas_cupon_cero!$1:$1,0)-1,COUNT(Curvas_cupon_cero!$A:$A)-2,1)),[1]!interpolar(B58,OFFSET(Curvas_cupon_cero!$A$1,1,0,COUNT(Curvas_cupon_cero!$A:$A)-2,1),OFFSET(Curvas_cupon_cero!$A$1,1,MATCH($B$9,Curvas_cupon_cero!$1:$1,0)-1,COUNT(Curvas_cupon_cero!$A:$A)-2,1))))</f>
        <v/>
      </c>
      <c r="G58" s="23" t="str">
        <f t="shared" si="8"/>
        <v/>
      </c>
      <c r="H58" s="20" t="str">
        <f t="shared" si="9"/>
        <v/>
      </c>
      <c r="I58" t="str">
        <f t="shared" si="4"/>
        <v/>
      </c>
      <c r="J58" s="17" t="str">
        <f t="shared" si="1"/>
        <v/>
      </c>
      <c r="K58" s="18" t="str">
        <f t="shared" si="5"/>
        <v/>
      </c>
      <c r="L58" t="str">
        <f t="shared" si="6"/>
        <v/>
      </c>
      <c r="M58" s="23" t="str">
        <f ca="1">IF(A58="","",IF($B$10="Sí",interpolar_alamb(L58,OFFSET(Curvas_cupon_cero!$A$1,1,0,COUNT(Curvas_cupon_cero!$A:$A)-2,1),OFFSET(Curvas_cupon_cero!$A$1,1,MATCH($B$6,Curvas_cupon_cero!$1:$1,0)-1,COUNT(Curvas_cupon_cero!$A:$A)-2,1)),[1]!interpolar(L58,OFFSET(Curvas_cupon_cero!$A$1,1,0,COUNT(Curvas_cupon_cero!$A:$A)-2,1),OFFSET(Curvas_cupon_cero!$A$1,1,MATCH($B$6,Curvas_cupon_cero!$1:$1,0)-1,COUNT(Curvas_cupon_cero!$A:$A)-2,1))))</f>
        <v/>
      </c>
      <c r="N58" s="23"/>
      <c r="O58" s="19" t="str">
        <f t="shared" si="7"/>
        <v/>
      </c>
    </row>
    <row r="59" spans="1:15" x14ac:dyDescent="0.2">
      <c r="A59" s="12" t="str">
        <f t="shared" si="2"/>
        <v/>
      </c>
      <c r="B59" t="str">
        <f t="shared" si="0"/>
        <v/>
      </c>
      <c r="C59" s="21" t="str">
        <f ca="1">IF(A59="","",IF($B$10="Sí",interpolar_alamb(B59,OFFSET(Curvas_cupon_cero!$A$1,1,0,COUNT(Curvas_cupon_cero!$A:$A)-2,1),OFFSET(Curvas_cupon_cero!$A$1,1,MATCH($B$8,Curvas_cupon_cero!$1:$1,0)-1,COUNT(Curvas_cupon_cero!$A:$A)-2,1)),[1]!interpolar(B59,OFFSET(Curvas_cupon_cero!$A$1,1,0,COUNT(Curvas_cupon_cero!$A:$A)-2,1),OFFSET(Curvas_cupon_cero!$A$1,1,MATCH($B$8,Curvas_cupon_cero!$1:$1,0)-1,COUNT(Curvas_cupon_cero!$A:$A)-2,1))))</f>
        <v/>
      </c>
      <c r="D59" s="23" t="str">
        <f ca="1">IF(A59="","",IF($B$10="Sí",interpolar_alamb(L59,OFFSET(Curvas_cupon_cero!$A$1,1,0,COUNT(Curvas_cupon_cero!$A:$A)-2,1),OFFSET(Curvas_cupon_cero!$A$1,1,MATCH($B$8,Curvas_cupon_cero!$1:$1,0)-1,COUNT(Curvas_cupon_cero!$A:$A)-2,1)),[1]!interpolar(L59,OFFSET(Curvas_cupon_cero!$A$1,1,0,COUNT(Curvas_cupon_cero!$A:$A)-2,1),OFFSET(Curvas_cupon_cero!$A$1,1,MATCH($B$8,Curvas_cupon_cero!$1:$1,0)-1,COUNT(Curvas_cupon_cero!$A:$A)-2,1))))</f>
        <v/>
      </c>
      <c r="E59" s="23" t="str">
        <f t="shared" si="3"/>
        <v/>
      </c>
      <c r="F59" s="23" t="str">
        <f ca="1">IF(A59="","",IF($B$10="Sí",interpolar_alamb(B59,OFFSET(Curvas_cupon_cero!$A$1,1,0,COUNT(Curvas_cupon_cero!$A:$A)-2,1),OFFSET(Curvas_cupon_cero!$A$1,1,MATCH($B$9,Curvas_cupon_cero!$1:$1,0)-1,COUNT(Curvas_cupon_cero!$A:$A)-2,1)),[1]!interpolar(B59,OFFSET(Curvas_cupon_cero!$A$1,1,0,COUNT(Curvas_cupon_cero!$A:$A)-2,1),OFFSET(Curvas_cupon_cero!$A$1,1,MATCH($B$9,Curvas_cupon_cero!$1:$1,0)-1,COUNT(Curvas_cupon_cero!$A:$A)-2,1))))</f>
        <v/>
      </c>
      <c r="G59" s="23" t="str">
        <f t="shared" si="8"/>
        <v/>
      </c>
      <c r="H59" s="20" t="str">
        <f t="shared" si="9"/>
        <v/>
      </c>
      <c r="I59" t="str">
        <f t="shared" si="4"/>
        <v/>
      </c>
      <c r="J59" s="17" t="str">
        <f t="shared" si="1"/>
        <v/>
      </c>
      <c r="K59" s="18" t="str">
        <f t="shared" si="5"/>
        <v/>
      </c>
      <c r="L59" t="str">
        <f t="shared" si="6"/>
        <v/>
      </c>
      <c r="M59" s="23" t="str">
        <f ca="1">IF(A59="","",IF($B$10="Sí",interpolar_alamb(L59,OFFSET(Curvas_cupon_cero!$A$1,1,0,COUNT(Curvas_cupon_cero!$A:$A)-2,1),OFFSET(Curvas_cupon_cero!$A$1,1,MATCH($B$6,Curvas_cupon_cero!$1:$1,0)-1,COUNT(Curvas_cupon_cero!$A:$A)-2,1)),[1]!interpolar(L59,OFFSET(Curvas_cupon_cero!$A$1,1,0,COUNT(Curvas_cupon_cero!$A:$A)-2,1),OFFSET(Curvas_cupon_cero!$A$1,1,MATCH($B$6,Curvas_cupon_cero!$1:$1,0)-1,COUNT(Curvas_cupon_cero!$A:$A)-2,1))))</f>
        <v/>
      </c>
      <c r="N59" s="23"/>
      <c r="O59" s="19" t="str">
        <f t="shared" si="7"/>
        <v/>
      </c>
    </row>
    <row r="60" spans="1:15" x14ac:dyDescent="0.2">
      <c r="A60" s="12" t="str">
        <f t="shared" si="2"/>
        <v/>
      </c>
      <c r="B60" t="str">
        <f t="shared" si="0"/>
        <v/>
      </c>
      <c r="C60" s="21" t="str">
        <f ca="1">IF(A60="","",IF($B$10="Sí",interpolar_alamb(B60,OFFSET(Curvas_cupon_cero!$A$1,1,0,COUNT(Curvas_cupon_cero!$A:$A)-2,1),OFFSET(Curvas_cupon_cero!$A$1,1,MATCH($B$8,Curvas_cupon_cero!$1:$1,0)-1,COUNT(Curvas_cupon_cero!$A:$A)-2,1)),[1]!interpolar(B60,OFFSET(Curvas_cupon_cero!$A$1,1,0,COUNT(Curvas_cupon_cero!$A:$A)-2,1),OFFSET(Curvas_cupon_cero!$A$1,1,MATCH($B$8,Curvas_cupon_cero!$1:$1,0)-1,COUNT(Curvas_cupon_cero!$A:$A)-2,1))))</f>
        <v/>
      </c>
      <c r="D60" s="23" t="str">
        <f ca="1">IF(A60="","",IF($B$10="Sí",interpolar_alamb(L60,OFFSET(Curvas_cupon_cero!$A$1,1,0,COUNT(Curvas_cupon_cero!$A:$A)-2,1),OFFSET(Curvas_cupon_cero!$A$1,1,MATCH($B$8,Curvas_cupon_cero!$1:$1,0)-1,COUNT(Curvas_cupon_cero!$A:$A)-2,1)),[1]!interpolar(L60,OFFSET(Curvas_cupon_cero!$A$1,1,0,COUNT(Curvas_cupon_cero!$A:$A)-2,1),OFFSET(Curvas_cupon_cero!$A$1,1,MATCH($B$8,Curvas_cupon_cero!$1:$1,0)-1,COUNT(Curvas_cupon_cero!$A:$A)-2,1))))</f>
        <v/>
      </c>
      <c r="E60" s="23" t="str">
        <f t="shared" si="3"/>
        <v/>
      </c>
      <c r="F60" s="23" t="str">
        <f ca="1">IF(A60="","",IF($B$10="Sí",interpolar_alamb(B60,OFFSET(Curvas_cupon_cero!$A$1,1,0,COUNT(Curvas_cupon_cero!$A:$A)-2,1),OFFSET(Curvas_cupon_cero!$A$1,1,MATCH($B$9,Curvas_cupon_cero!$1:$1,0)-1,COUNT(Curvas_cupon_cero!$A:$A)-2,1)),[1]!interpolar(B60,OFFSET(Curvas_cupon_cero!$A$1,1,0,COUNT(Curvas_cupon_cero!$A:$A)-2,1),OFFSET(Curvas_cupon_cero!$A$1,1,MATCH($B$9,Curvas_cupon_cero!$1:$1,0)-1,COUNT(Curvas_cupon_cero!$A:$A)-2,1))))</f>
        <v/>
      </c>
      <c r="G60" s="23" t="str">
        <f t="shared" si="8"/>
        <v/>
      </c>
      <c r="H60" s="20" t="str">
        <f t="shared" si="9"/>
        <v/>
      </c>
      <c r="I60" t="str">
        <f t="shared" si="4"/>
        <v/>
      </c>
      <c r="J60" s="17" t="str">
        <f t="shared" si="1"/>
        <v/>
      </c>
      <c r="K60" s="18" t="str">
        <f t="shared" si="5"/>
        <v/>
      </c>
      <c r="L60" t="str">
        <f t="shared" si="6"/>
        <v/>
      </c>
      <c r="M60" s="23" t="str">
        <f ca="1">IF(A60="","",IF($B$10="Sí",interpolar_alamb(L60,OFFSET(Curvas_cupon_cero!$A$1,1,0,COUNT(Curvas_cupon_cero!$A:$A)-2,1),OFFSET(Curvas_cupon_cero!$A$1,1,MATCH($B$6,Curvas_cupon_cero!$1:$1,0)-1,COUNT(Curvas_cupon_cero!$A:$A)-2,1)),[1]!interpolar(L60,OFFSET(Curvas_cupon_cero!$A$1,1,0,COUNT(Curvas_cupon_cero!$A:$A)-2,1),OFFSET(Curvas_cupon_cero!$A$1,1,MATCH($B$6,Curvas_cupon_cero!$1:$1,0)-1,COUNT(Curvas_cupon_cero!$A:$A)-2,1))))</f>
        <v/>
      </c>
      <c r="N60" s="23"/>
      <c r="O60" s="19" t="str">
        <f t="shared" si="7"/>
        <v/>
      </c>
    </row>
    <row r="61" spans="1:15" x14ac:dyDescent="0.2">
      <c r="A61" s="12" t="str">
        <f t="shared" si="2"/>
        <v/>
      </c>
      <c r="B61" t="str">
        <f t="shared" si="0"/>
        <v/>
      </c>
      <c r="C61" s="21" t="str">
        <f ca="1">IF(A61="","",IF($B$10="Sí",interpolar_alamb(B61,OFFSET(Curvas_cupon_cero!$A$1,1,0,COUNT(Curvas_cupon_cero!$A:$A)-2,1),OFFSET(Curvas_cupon_cero!$A$1,1,MATCH($B$8,Curvas_cupon_cero!$1:$1,0)-1,COUNT(Curvas_cupon_cero!$A:$A)-2,1)),[1]!interpolar(B61,OFFSET(Curvas_cupon_cero!$A$1,1,0,COUNT(Curvas_cupon_cero!$A:$A)-2,1),OFFSET(Curvas_cupon_cero!$A$1,1,MATCH($B$8,Curvas_cupon_cero!$1:$1,0)-1,COUNT(Curvas_cupon_cero!$A:$A)-2,1))))</f>
        <v/>
      </c>
      <c r="D61" s="23" t="str">
        <f ca="1">IF(A61="","",IF($B$10="Sí",interpolar_alamb(L61,OFFSET(Curvas_cupon_cero!$A$1,1,0,COUNT(Curvas_cupon_cero!$A:$A)-2,1),OFFSET(Curvas_cupon_cero!$A$1,1,MATCH($B$8,Curvas_cupon_cero!$1:$1,0)-1,COUNT(Curvas_cupon_cero!$A:$A)-2,1)),[1]!interpolar(L61,OFFSET(Curvas_cupon_cero!$A$1,1,0,COUNT(Curvas_cupon_cero!$A:$A)-2,1),OFFSET(Curvas_cupon_cero!$A$1,1,MATCH($B$8,Curvas_cupon_cero!$1:$1,0)-1,COUNT(Curvas_cupon_cero!$A:$A)-2,1))))</f>
        <v/>
      </c>
      <c r="E61" s="23" t="str">
        <f t="shared" si="3"/>
        <v/>
      </c>
      <c r="F61" s="23" t="str">
        <f ca="1">IF(A61="","",IF($B$10="Sí",interpolar_alamb(B61,OFFSET(Curvas_cupon_cero!$A$1,1,0,COUNT(Curvas_cupon_cero!$A:$A)-2,1),OFFSET(Curvas_cupon_cero!$A$1,1,MATCH($B$9,Curvas_cupon_cero!$1:$1,0)-1,COUNT(Curvas_cupon_cero!$A:$A)-2,1)),[1]!interpolar(B61,OFFSET(Curvas_cupon_cero!$A$1,1,0,COUNT(Curvas_cupon_cero!$A:$A)-2,1),OFFSET(Curvas_cupon_cero!$A$1,1,MATCH($B$9,Curvas_cupon_cero!$1:$1,0)-1,COUNT(Curvas_cupon_cero!$A:$A)-2,1))))</f>
        <v/>
      </c>
      <c r="G61" s="23" t="str">
        <f t="shared" si="8"/>
        <v/>
      </c>
      <c r="H61" s="20" t="str">
        <f t="shared" si="9"/>
        <v/>
      </c>
      <c r="I61" t="str">
        <f t="shared" si="4"/>
        <v/>
      </c>
      <c r="J61" s="17" t="str">
        <f t="shared" si="1"/>
        <v/>
      </c>
      <c r="K61" s="18" t="str">
        <f t="shared" si="5"/>
        <v/>
      </c>
      <c r="L61" t="str">
        <f t="shared" si="6"/>
        <v/>
      </c>
      <c r="M61" s="23" t="str">
        <f ca="1">IF(A61="","",IF($B$10="Sí",interpolar_alamb(L61,OFFSET(Curvas_cupon_cero!$A$1,1,0,COUNT(Curvas_cupon_cero!$A:$A)-2,1),OFFSET(Curvas_cupon_cero!$A$1,1,MATCH($B$6,Curvas_cupon_cero!$1:$1,0)-1,COUNT(Curvas_cupon_cero!$A:$A)-2,1)),[1]!interpolar(L61,OFFSET(Curvas_cupon_cero!$A$1,1,0,COUNT(Curvas_cupon_cero!$A:$A)-2,1),OFFSET(Curvas_cupon_cero!$A$1,1,MATCH($B$6,Curvas_cupon_cero!$1:$1,0)-1,COUNT(Curvas_cupon_cero!$A:$A)-2,1))))</f>
        <v/>
      </c>
      <c r="N61" s="23"/>
      <c r="O61" s="19" t="str">
        <f t="shared" si="7"/>
        <v/>
      </c>
    </row>
    <row r="62" spans="1:15" x14ac:dyDescent="0.2">
      <c r="A62" s="12" t="str">
        <f t="shared" si="2"/>
        <v/>
      </c>
      <c r="B62" t="str">
        <f t="shared" si="0"/>
        <v/>
      </c>
      <c r="C62" s="21" t="str">
        <f ca="1">IF(A62="","",IF($B$10="Sí",interpolar_alamb(B62,OFFSET(Curvas_cupon_cero!$A$1,1,0,COUNT(Curvas_cupon_cero!$A:$A)-2,1),OFFSET(Curvas_cupon_cero!$A$1,1,MATCH($B$8,Curvas_cupon_cero!$1:$1,0)-1,COUNT(Curvas_cupon_cero!$A:$A)-2,1)),[1]!interpolar(B62,OFFSET(Curvas_cupon_cero!$A$1,1,0,COUNT(Curvas_cupon_cero!$A:$A)-2,1),OFFSET(Curvas_cupon_cero!$A$1,1,MATCH($B$8,Curvas_cupon_cero!$1:$1,0)-1,COUNT(Curvas_cupon_cero!$A:$A)-2,1))))</f>
        <v/>
      </c>
      <c r="D62" s="23" t="str">
        <f ca="1">IF(A62="","",IF($B$10="Sí",interpolar_alamb(L62,OFFSET(Curvas_cupon_cero!$A$1,1,0,COUNT(Curvas_cupon_cero!$A:$A)-2,1),OFFSET(Curvas_cupon_cero!$A$1,1,MATCH($B$8,Curvas_cupon_cero!$1:$1,0)-1,COUNT(Curvas_cupon_cero!$A:$A)-2,1)),[1]!interpolar(L62,OFFSET(Curvas_cupon_cero!$A$1,1,0,COUNT(Curvas_cupon_cero!$A:$A)-2,1),OFFSET(Curvas_cupon_cero!$A$1,1,MATCH($B$8,Curvas_cupon_cero!$1:$1,0)-1,COUNT(Curvas_cupon_cero!$A:$A)-2,1))))</f>
        <v/>
      </c>
      <c r="E62" s="23" t="str">
        <f t="shared" si="3"/>
        <v/>
      </c>
      <c r="F62" s="23" t="str">
        <f ca="1">IF(A62="","",IF($B$10="Sí",interpolar_alamb(B62,OFFSET(Curvas_cupon_cero!$A$1,1,0,COUNT(Curvas_cupon_cero!$A:$A)-2,1),OFFSET(Curvas_cupon_cero!$A$1,1,MATCH($B$9,Curvas_cupon_cero!$1:$1,0)-1,COUNT(Curvas_cupon_cero!$A:$A)-2,1)),[1]!interpolar(B62,OFFSET(Curvas_cupon_cero!$A$1,1,0,COUNT(Curvas_cupon_cero!$A:$A)-2,1),OFFSET(Curvas_cupon_cero!$A$1,1,MATCH($B$9,Curvas_cupon_cero!$1:$1,0)-1,COUNT(Curvas_cupon_cero!$A:$A)-2,1))))</f>
        <v/>
      </c>
      <c r="G62" s="23" t="str">
        <f t="shared" si="8"/>
        <v/>
      </c>
      <c r="H62" s="20" t="str">
        <f t="shared" si="9"/>
        <v/>
      </c>
      <c r="I62" t="str">
        <f t="shared" si="4"/>
        <v/>
      </c>
      <c r="J62" s="17" t="str">
        <f t="shared" si="1"/>
        <v/>
      </c>
      <c r="K62" s="18" t="str">
        <f t="shared" si="5"/>
        <v/>
      </c>
      <c r="L62" t="str">
        <f t="shared" si="6"/>
        <v/>
      </c>
      <c r="M62" s="23" t="str">
        <f ca="1">IF(A62="","",IF($B$10="Sí",interpolar_alamb(L62,OFFSET(Curvas_cupon_cero!$A$1,1,0,COUNT(Curvas_cupon_cero!$A:$A)-2,1),OFFSET(Curvas_cupon_cero!$A$1,1,MATCH($B$6,Curvas_cupon_cero!$1:$1,0)-1,COUNT(Curvas_cupon_cero!$A:$A)-2,1)),[1]!interpolar(L62,OFFSET(Curvas_cupon_cero!$A$1,1,0,COUNT(Curvas_cupon_cero!$A:$A)-2,1),OFFSET(Curvas_cupon_cero!$A$1,1,MATCH($B$6,Curvas_cupon_cero!$1:$1,0)-1,COUNT(Curvas_cupon_cero!$A:$A)-2,1))))</f>
        <v/>
      </c>
      <c r="N62" s="23"/>
      <c r="O62" s="19" t="str">
        <f t="shared" si="7"/>
        <v/>
      </c>
    </row>
    <row r="63" spans="1:15" x14ac:dyDescent="0.2">
      <c r="A63" s="12" t="str">
        <f t="shared" si="2"/>
        <v/>
      </c>
      <c r="B63" t="str">
        <f t="shared" si="0"/>
        <v/>
      </c>
      <c r="C63" s="21" t="str">
        <f ca="1">IF(A63="","",IF($B$10="Sí",interpolar_alamb(B63,OFFSET(Curvas_cupon_cero!$A$1,1,0,COUNT(Curvas_cupon_cero!$A:$A)-2,1),OFFSET(Curvas_cupon_cero!$A$1,1,MATCH($B$8,Curvas_cupon_cero!$1:$1,0)-1,COUNT(Curvas_cupon_cero!$A:$A)-2,1)),[1]!interpolar(B63,OFFSET(Curvas_cupon_cero!$A$1,1,0,COUNT(Curvas_cupon_cero!$A:$A)-2,1),OFFSET(Curvas_cupon_cero!$A$1,1,MATCH($B$8,Curvas_cupon_cero!$1:$1,0)-1,COUNT(Curvas_cupon_cero!$A:$A)-2,1))))</f>
        <v/>
      </c>
      <c r="D63" s="23" t="str">
        <f ca="1">IF(A63="","",IF($B$10="Sí",interpolar_alamb(L63,OFFSET(Curvas_cupon_cero!$A$1,1,0,COUNT(Curvas_cupon_cero!$A:$A)-2,1),OFFSET(Curvas_cupon_cero!$A$1,1,MATCH($B$8,Curvas_cupon_cero!$1:$1,0)-1,COUNT(Curvas_cupon_cero!$A:$A)-2,1)),[1]!interpolar(L63,OFFSET(Curvas_cupon_cero!$A$1,1,0,COUNT(Curvas_cupon_cero!$A:$A)-2,1),OFFSET(Curvas_cupon_cero!$A$1,1,MATCH($B$8,Curvas_cupon_cero!$1:$1,0)-1,COUNT(Curvas_cupon_cero!$A:$A)-2,1))))</f>
        <v/>
      </c>
      <c r="E63" s="23" t="str">
        <f t="shared" si="3"/>
        <v/>
      </c>
      <c r="F63" s="23" t="str">
        <f ca="1">IF(A63="","",IF($B$10="Sí",interpolar_alamb(B63,OFFSET(Curvas_cupon_cero!$A$1,1,0,COUNT(Curvas_cupon_cero!$A:$A)-2,1),OFFSET(Curvas_cupon_cero!$A$1,1,MATCH($B$9,Curvas_cupon_cero!$1:$1,0)-1,COUNT(Curvas_cupon_cero!$A:$A)-2,1)),[1]!interpolar(B63,OFFSET(Curvas_cupon_cero!$A$1,1,0,COUNT(Curvas_cupon_cero!$A:$A)-2,1),OFFSET(Curvas_cupon_cero!$A$1,1,MATCH($B$9,Curvas_cupon_cero!$1:$1,0)-1,COUNT(Curvas_cupon_cero!$A:$A)-2,1))))</f>
        <v/>
      </c>
      <c r="G63" s="23" t="str">
        <f t="shared" si="8"/>
        <v/>
      </c>
      <c r="H63" s="20" t="str">
        <f t="shared" si="9"/>
        <v/>
      </c>
      <c r="I63" t="str">
        <f t="shared" si="4"/>
        <v/>
      </c>
      <c r="J63" s="17" t="str">
        <f t="shared" si="1"/>
        <v/>
      </c>
      <c r="K63" s="18" t="str">
        <f t="shared" si="5"/>
        <v/>
      </c>
      <c r="L63" t="str">
        <f t="shared" si="6"/>
        <v/>
      </c>
      <c r="M63" s="23" t="str">
        <f ca="1">IF(A63="","",IF($B$10="Sí",interpolar_alamb(L63,OFFSET(Curvas_cupon_cero!$A$1,1,0,COUNT(Curvas_cupon_cero!$A:$A)-2,1),OFFSET(Curvas_cupon_cero!$A$1,1,MATCH($B$6,Curvas_cupon_cero!$1:$1,0)-1,COUNT(Curvas_cupon_cero!$A:$A)-2,1)),[1]!interpolar(L63,OFFSET(Curvas_cupon_cero!$A$1,1,0,COUNT(Curvas_cupon_cero!$A:$A)-2,1),OFFSET(Curvas_cupon_cero!$A$1,1,MATCH($B$6,Curvas_cupon_cero!$1:$1,0)-1,COUNT(Curvas_cupon_cero!$A:$A)-2,1))))</f>
        <v/>
      </c>
      <c r="N63" s="23"/>
      <c r="O63" s="19" t="str">
        <f t="shared" si="7"/>
        <v/>
      </c>
    </row>
    <row r="64" spans="1:15" x14ac:dyDescent="0.2">
      <c r="A64" s="12" t="str">
        <f t="shared" si="2"/>
        <v/>
      </c>
      <c r="B64" t="str">
        <f t="shared" si="0"/>
        <v/>
      </c>
      <c r="C64" s="21" t="str">
        <f ca="1">IF(A64="","",IF($B$10="Sí",interpolar_alamb(B64,OFFSET(Curvas_cupon_cero!$A$1,1,0,COUNT(Curvas_cupon_cero!$A:$A)-2,1),OFFSET(Curvas_cupon_cero!$A$1,1,MATCH($B$8,Curvas_cupon_cero!$1:$1,0)-1,COUNT(Curvas_cupon_cero!$A:$A)-2,1)),[1]!interpolar(B64,OFFSET(Curvas_cupon_cero!$A$1,1,0,COUNT(Curvas_cupon_cero!$A:$A)-2,1),OFFSET(Curvas_cupon_cero!$A$1,1,MATCH($B$8,Curvas_cupon_cero!$1:$1,0)-1,COUNT(Curvas_cupon_cero!$A:$A)-2,1))))</f>
        <v/>
      </c>
      <c r="D64" s="23" t="str">
        <f ca="1">IF(A64="","",IF($B$10="Sí",interpolar_alamb(L64,OFFSET(Curvas_cupon_cero!$A$1,1,0,COUNT(Curvas_cupon_cero!$A:$A)-2,1),OFFSET(Curvas_cupon_cero!$A$1,1,MATCH($B$8,Curvas_cupon_cero!$1:$1,0)-1,COUNT(Curvas_cupon_cero!$A:$A)-2,1)),[1]!interpolar(L64,OFFSET(Curvas_cupon_cero!$A$1,1,0,COUNT(Curvas_cupon_cero!$A:$A)-2,1),OFFSET(Curvas_cupon_cero!$A$1,1,MATCH($B$8,Curvas_cupon_cero!$1:$1,0)-1,COUNT(Curvas_cupon_cero!$A:$A)-2,1))))</f>
        <v/>
      </c>
      <c r="E64" s="23" t="str">
        <f t="shared" si="3"/>
        <v/>
      </c>
      <c r="F64" s="23" t="str">
        <f ca="1">IF(A64="","",IF($B$10="Sí",interpolar_alamb(B64,OFFSET(Curvas_cupon_cero!$A$1,1,0,COUNT(Curvas_cupon_cero!$A:$A)-2,1),OFFSET(Curvas_cupon_cero!$A$1,1,MATCH($B$9,Curvas_cupon_cero!$1:$1,0)-1,COUNT(Curvas_cupon_cero!$A:$A)-2,1)),[1]!interpolar(B64,OFFSET(Curvas_cupon_cero!$A$1,1,0,COUNT(Curvas_cupon_cero!$A:$A)-2,1),OFFSET(Curvas_cupon_cero!$A$1,1,MATCH($B$9,Curvas_cupon_cero!$1:$1,0)-1,COUNT(Curvas_cupon_cero!$A:$A)-2,1))))</f>
        <v/>
      </c>
      <c r="G64" s="23" t="str">
        <f t="shared" si="8"/>
        <v/>
      </c>
      <c r="H64" s="20" t="str">
        <f t="shared" si="9"/>
        <v/>
      </c>
      <c r="I64" t="str">
        <f t="shared" si="4"/>
        <v/>
      </c>
      <c r="J64" s="17" t="str">
        <f t="shared" si="1"/>
        <v/>
      </c>
      <c r="K64" s="18" t="str">
        <f t="shared" si="5"/>
        <v/>
      </c>
      <c r="L64" t="str">
        <f t="shared" si="6"/>
        <v/>
      </c>
      <c r="M64" s="23" t="str">
        <f ca="1">IF(A64="","",IF($B$10="Sí",interpolar_alamb(L64,OFFSET(Curvas_cupon_cero!$A$1,1,0,COUNT(Curvas_cupon_cero!$A:$A)-2,1),OFFSET(Curvas_cupon_cero!$A$1,1,MATCH($B$6,Curvas_cupon_cero!$1:$1,0)-1,COUNT(Curvas_cupon_cero!$A:$A)-2,1)),[1]!interpolar(L64,OFFSET(Curvas_cupon_cero!$A$1,1,0,COUNT(Curvas_cupon_cero!$A:$A)-2,1),OFFSET(Curvas_cupon_cero!$A$1,1,MATCH($B$6,Curvas_cupon_cero!$1:$1,0)-1,COUNT(Curvas_cupon_cero!$A:$A)-2,1))))</f>
        <v/>
      </c>
      <c r="N64" s="23"/>
      <c r="O64" s="19" t="str">
        <f t="shared" si="7"/>
        <v/>
      </c>
    </row>
    <row r="65" spans="1:15" x14ac:dyDescent="0.2">
      <c r="A65" s="12" t="str">
        <f t="shared" si="2"/>
        <v/>
      </c>
      <c r="B65" t="str">
        <f t="shared" si="0"/>
        <v/>
      </c>
      <c r="C65" s="21" t="str">
        <f ca="1">IF(A65="","",IF($B$10="Sí",interpolar_alamb(B65,OFFSET(Curvas_cupon_cero!$A$1,1,0,COUNT(Curvas_cupon_cero!$A:$A)-2,1),OFFSET(Curvas_cupon_cero!$A$1,1,MATCH($B$8,Curvas_cupon_cero!$1:$1,0)-1,COUNT(Curvas_cupon_cero!$A:$A)-2,1)),[1]!interpolar(B65,OFFSET(Curvas_cupon_cero!$A$1,1,0,COUNT(Curvas_cupon_cero!$A:$A)-2,1),OFFSET(Curvas_cupon_cero!$A$1,1,MATCH($B$8,Curvas_cupon_cero!$1:$1,0)-1,COUNT(Curvas_cupon_cero!$A:$A)-2,1))))</f>
        <v/>
      </c>
      <c r="D65" s="23" t="str">
        <f ca="1">IF(A65="","",IF($B$10="Sí",interpolar_alamb(L65,OFFSET(Curvas_cupon_cero!$A$1,1,0,COUNT(Curvas_cupon_cero!$A:$A)-2,1),OFFSET(Curvas_cupon_cero!$A$1,1,MATCH($B$8,Curvas_cupon_cero!$1:$1,0)-1,COUNT(Curvas_cupon_cero!$A:$A)-2,1)),[1]!interpolar(L65,OFFSET(Curvas_cupon_cero!$A$1,1,0,COUNT(Curvas_cupon_cero!$A:$A)-2,1),OFFSET(Curvas_cupon_cero!$A$1,1,MATCH($B$8,Curvas_cupon_cero!$1:$1,0)-1,COUNT(Curvas_cupon_cero!$A:$A)-2,1))))</f>
        <v/>
      </c>
      <c r="E65" s="23" t="str">
        <f t="shared" si="3"/>
        <v/>
      </c>
      <c r="F65" s="23" t="str">
        <f ca="1">IF(A65="","",IF($B$10="Sí",interpolar_alamb(B65,OFFSET(Curvas_cupon_cero!$A$1,1,0,COUNT(Curvas_cupon_cero!$A:$A)-2,1),OFFSET(Curvas_cupon_cero!$A$1,1,MATCH($B$9,Curvas_cupon_cero!$1:$1,0)-1,COUNT(Curvas_cupon_cero!$A:$A)-2,1)),[1]!interpolar(B65,OFFSET(Curvas_cupon_cero!$A$1,1,0,COUNT(Curvas_cupon_cero!$A:$A)-2,1),OFFSET(Curvas_cupon_cero!$A$1,1,MATCH($B$9,Curvas_cupon_cero!$1:$1,0)-1,COUNT(Curvas_cupon_cero!$A:$A)-2,1))))</f>
        <v/>
      </c>
      <c r="G65" s="23" t="str">
        <f t="shared" si="8"/>
        <v/>
      </c>
      <c r="H65" s="20" t="str">
        <f t="shared" si="9"/>
        <v/>
      </c>
      <c r="I65" t="str">
        <f t="shared" si="4"/>
        <v/>
      </c>
      <c r="J65" s="17" t="str">
        <f t="shared" si="1"/>
        <v/>
      </c>
      <c r="K65" s="18" t="str">
        <f t="shared" si="5"/>
        <v/>
      </c>
      <c r="L65" t="str">
        <f t="shared" si="6"/>
        <v/>
      </c>
      <c r="M65" s="23" t="str">
        <f ca="1">IF(A65="","",IF($B$10="Sí",interpolar_alamb(L65,OFFSET(Curvas_cupon_cero!$A$1,1,0,COUNT(Curvas_cupon_cero!$A:$A)-2,1),OFFSET(Curvas_cupon_cero!$A$1,1,MATCH($B$6,Curvas_cupon_cero!$1:$1,0)-1,COUNT(Curvas_cupon_cero!$A:$A)-2,1)),[1]!interpolar(L65,OFFSET(Curvas_cupon_cero!$A$1,1,0,COUNT(Curvas_cupon_cero!$A:$A)-2,1),OFFSET(Curvas_cupon_cero!$A$1,1,MATCH($B$6,Curvas_cupon_cero!$1:$1,0)-1,COUNT(Curvas_cupon_cero!$A:$A)-2,1))))</f>
        <v/>
      </c>
      <c r="N65" s="23"/>
      <c r="O65" s="19" t="str">
        <f t="shared" si="7"/>
        <v/>
      </c>
    </row>
    <row r="66" spans="1:15" x14ac:dyDescent="0.2">
      <c r="A66" s="12" t="str">
        <f t="shared" si="2"/>
        <v/>
      </c>
      <c r="B66" t="str">
        <f t="shared" si="0"/>
        <v/>
      </c>
      <c r="C66" s="21" t="str">
        <f ca="1">IF(A66="","",IF($B$10="Sí",interpolar_alamb(B66,OFFSET(Curvas_cupon_cero!$A$1,1,0,COUNT(Curvas_cupon_cero!$A:$A)-2,1),OFFSET(Curvas_cupon_cero!$A$1,1,MATCH($B$8,Curvas_cupon_cero!$1:$1,0)-1,COUNT(Curvas_cupon_cero!$A:$A)-2,1)),[1]!interpolar(B66,OFFSET(Curvas_cupon_cero!$A$1,1,0,COUNT(Curvas_cupon_cero!$A:$A)-2,1),OFFSET(Curvas_cupon_cero!$A$1,1,MATCH($B$8,Curvas_cupon_cero!$1:$1,0)-1,COUNT(Curvas_cupon_cero!$A:$A)-2,1))))</f>
        <v/>
      </c>
      <c r="D66" s="23" t="str">
        <f ca="1">IF(A66="","",IF($B$10="Sí",interpolar_alamb(L66,OFFSET(Curvas_cupon_cero!$A$1,1,0,COUNT(Curvas_cupon_cero!$A:$A)-2,1),OFFSET(Curvas_cupon_cero!$A$1,1,MATCH($B$8,Curvas_cupon_cero!$1:$1,0)-1,COUNT(Curvas_cupon_cero!$A:$A)-2,1)),[1]!interpolar(L66,OFFSET(Curvas_cupon_cero!$A$1,1,0,COUNT(Curvas_cupon_cero!$A:$A)-2,1),OFFSET(Curvas_cupon_cero!$A$1,1,MATCH($B$8,Curvas_cupon_cero!$1:$1,0)-1,COUNT(Curvas_cupon_cero!$A:$A)-2,1))))</f>
        <v/>
      </c>
      <c r="E66" s="23" t="str">
        <f t="shared" si="3"/>
        <v/>
      </c>
      <c r="F66" s="23" t="str">
        <f ca="1">IF(A66="","",IF($B$10="Sí",interpolar_alamb(B66,OFFSET(Curvas_cupon_cero!$A$1,1,0,COUNT(Curvas_cupon_cero!$A:$A)-2,1),OFFSET(Curvas_cupon_cero!$A$1,1,MATCH($B$9,Curvas_cupon_cero!$1:$1,0)-1,COUNT(Curvas_cupon_cero!$A:$A)-2,1)),[1]!interpolar(B66,OFFSET(Curvas_cupon_cero!$A$1,1,0,COUNT(Curvas_cupon_cero!$A:$A)-2,1),OFFSET(Curvas_cupon_cero!$A$1,1,MATCH($B$9,Curvas_cupon_cero!$1:$1,0)-1,COUNT(Curvas_cupon_cero!$A:$A)-2,1))))</f>
        <v/>
      </c>
      <c r="G66" s="23" t="str">
        <f t="shared" si="8"/>
        <v/>
      </c>
      <c r="H66" s="20" t="str">
        <f t="shared" si="9"/>
        <v/>
      </c>
      <c r="I66" t="str">
        <f t="shared" si="4"/>
        <v/>
      </c>
      <c r="J66" s="17" t="str">
        <f t="shared" si="1"/>
        <v/>
      </c>
      <c r="K66" s="18" t="str">
        <f t="shared" si="5"/>
        <v/>
      </c>
      <c r="L66" t="str">
        <f t="shared" si="6"/>
        <v/>
      </c>
      <c r="M66" s="23" t="str">
        <f ca="1">IF(A66="","",IF($B$10="Sí",interpolar_alamb(L66,OFFSET(Curvas_cupon_cero!$A$1,1,0,COUNT(Curvas_cupon_cero!$A:$A)-2,1),OFFSET(Curvas_cupon_cero!$A$1,1,MATCH($B$6,Curvas_cupon_cero!$1:$1,0)-1,COUNT(Curvas_cupon_cero!$A:$A)-2,1)),[1]!interpolar(L66,OFFSET(Curvas_cupon_cero!$A$1,1,0,COUNT(Curvas_cupon_cero!$A:$A)-2,1),OFFSET(Curvas_cupon_cero!$A$1,1,MATCH($B$6,Curvas_cupon_cero!$1:$1,0)-1,COUNT(Curvas_cupon_cero!$A:$A)-2,1))))</f>
        <v/>
      </c>
      <c r="N66" s="23"/>
      <c r="O66" s="19" t="str">
        <f t="shared" si="7"/>
        <v/>
      </c>
    </row>
    <row r="67" spans="1:15" x14ac:dyDescent="0.2">
      <c r="A67" s="12" t="str">
        <f t="shared" si="2"/>
        <v/>
      </c>
      <c r="B67" t="str">
        <f t="shared" si="0"/>
        <v/>
      </c>
      <c r="C67" s="21" t="str">
        <f ca="1">IF(A67="","",IF($B$10="Sí",interpolar_alamb(B67,OFFSET(Curvas_cupon_cero!$A$1,1,0,COUNT(Curvas_cupon_cero!$A:$A)-2,1),OFFSET(Curvas_cupon_cero!$A$1,1,MATCH($B$8,Curvas_cupon_cero!$1:$1,0)-1,COUNT(Curvas_cupon_cero!$A:$A)-2,1)),[1]!interpolar(B67,OFFSET(Curvas_cupon_cero!$A$1,1,0,COUNT(Curvas_cupon_cero!$A:$A)-2,1),OFFSET(Curvas_cupon_cero!$A$1,1,MATCH($B$8,Curvas_cupon_cero!$1:$1,0)-1,COUNT(Curvas_cupon_cero!$A:$A)-2,1))))</f>
        <v/>
      </c>
      <c r="D67" s="23" t="str">
        <f ca="1">IF(A67="","",IF($B$10="Sí",interpolar_alamb(L67,OFFSET(Curvas_cupon_cero!$A$1,1,0,COUNT(Curvas_cupon_cero!$A:$A)-2,1),OFFSET(Curvas_cupon_cero!$A$1,1,MATCH($B$8,Curvas_cupon_cero!$1:$1,0)-1,COUNT(Curvas_cupon_cero!$A:$A)-2,1)),[1]!interpolar(L67,OFFSET(Curvas_cupon_cero!$A$1,1,0,COUNT(Curvas_cupon_cero!$A:$A)-2,1),OFFSET(Curvas_cupon_cero!$A$1,1,MATCH($B$8,Curvas_cupon_cero!$1:$1,0)-1,COUNT(Curvas_cupon_cero!$A:$A)-2,1))))</f>
        <v/>
      </c>
      <c r="E67" s="23" t="str">
        <f t="shared" si="3"/>
        <v/>
      </c>
      <c r="F67" s="23" t="str">
        <f ca="1">IF(A67="","",IF($B$10="Sí",interpolar_alamb(B67,OFFSET(Curvas_cupon_cero!$A$1,1,0,COUNT(Curvas_cupon_cero!$A:$A)-2,1),OFFSET(Curvas_cupon_cero!$A$1,1,MATCH($B$9,Curvas_cupon_cero!$1:$1,0)-1,COUNT(Curvas_cupon_cero!$A:$A)-2,1)),[1]!interpolar(B67,OFFSET(Curvas_cupon_cero!$A$1,1,0,COUNT(Curvas_cupon_cero!$A:$A)-2,1),OFFSET(Curvas_cupon_cero!$A$1,1,MATCH($B$9,Curvas_cupon_cero!$1:$1,0)-1,COUNT(Curvas_cupon_cero!$A:$A)-2,1))))</f>
        <v/>
      </c>
      <c r="G67" s="23" t="str">
        <f t="shared" si="8"/>
        <v/>
      </c>
      <c r="H67" s="20" t="str">
        <f t="shared" si="9"/>
        <v/>
      </c>
      <c r="I67" t="str">
        <f t="shared" si="4"/>
        <v/>
      </c>
      <c r="J67" s="17" t="str">
        <f t="shared" si="1"/>
        <v/>
      </c>
      <c r="K67" s="18" t="str">
        <f t="shared" si="5"/>
        <v/>
      </c>
      <c r="L67" t="str">
        <f t="shared" si="6"/>
        <v/>
      </c>
      <c r="M67" s="23" t="str">
        <f ca="1">IF(A67="","",IF($B$10="Sí",interpolar_alamb(L67,OFFSET(Curvas_cupon_cero!$A$1,1,0,COUNT(Curvas_cupon_cero!$A:$A)-2,1),OFFSET(Curvas_cupon_cero!$A$1,1,MATCH($B$6,Curvas_cupon_cero!$1:$1,0)-1,COUNT(Curvas_cupon_cero!$A:$A)-2,1)),[1]!interpolar(L67,OFFSET(Curvas_cupon_cero!$A$1,1,0,COUNT(Curvas_cupon_cero!$A:$A)-2,1),OFFSET(Curvas_cupon_cero!$A$1,1,MATCH($B$6,Curvas_cupon_cero!$1:$1,0)-1,COUNT(Curvas_cupon_cero!$A:$A)-2,1))))</f>
        <v/>
      </c>
      <c r="N67" s="23"/>
      <c r="O67" s="19" t="str">
        <f t="shared" si="7"/>
        <v/>
      </c>
    </row>
    <row r="68" spans="1:15" x14ac:dyDescent="0.2">
      <c r="A68" s="12" t="str">
        <f t="shared" si="2"/>
        <v/>
      </c>
      <c r="B68" t="str">
        <f t="shared" si="0"/>
        <v/>
      </c>
      <c r="C68" s="21" t="str">
        <f ca="1">IF(A68="","",IF($B$10="Sí",interpolar_alamb(B68,OFFSET(Curvas_cupon_cero!$A$1,1,0,COUNT(Curvas_cupon_cero!$A:$A)-2,1),OFFSET(Curvas_cupon_cero!$A$1,1,MATCH($B$8,Curvas_cupon_cero!$1:$1,0)-1,COUNT(Curvas_cupon_cero!$A:$A)-2,1)),[1]!interpolar(B68,OFFSET(Curvas_cupon_cero!$A$1,1,0,COUNT(Curvas_cupon_cero!$A:$A)-2,1),OFFSET(Curvas_cupon_cero!$A$1,1,MATCH($B$8,Curvas_cupon_cero!$1:$1,0)-1,COUNT(Curvas_cupon_cero!$A:$A)-2,1))))</f>
        <v/>
      </c>
      <c r="D68" s="23" t="str">
        <f ca="1">IF(A68="","",IF($B$10="Sí",interpolar_alamb(L68,OFFSET(Curvas_cupon_cero!$A$1,1,0,COUNT(Curvas_cupon_cero!$A:$A)-2,1),OFFSET(Curvas_cupon_cero!$A$1,1,MATCH($B$8,Curvas_cupon_cero!$1:$1,0)-1,COUNT(Curvas_cupon_cero!$A:$A)-2,1)),[1]!interpolar(L68,OFFSET(Curvas_cupon_cero!$A$1,1,0,COUNT(Curvas_cupon_cero!$A:$A)-2,1),OFFSET(Curvas_cupon_cero!$A$1,1,MATCH($B$8,Curvas_cupon_cero!$1:$1,0)-1,COUNT(Curvas_cupon_cero!$A:$A)-2,1))))</f>
        <v/>
      </c>
      <c r="E68" s="23" t="str">
        <f t="shared" si="3"/>
        <v/>
      </c>
      <c r="F68" s="23" t="str">
        <f ca="1">IF(A68="","",IF($B$10="Sí",interpolar_alamb(B68,OFFSET(Curvas_cupon_cero!$A$1,1,0,COUNT(Curvas_cupon_cero!$A:$A)-2,1),OFFSET(Curvas_cupon_cero!$A$1,1,MATCH($B$9,Curvas_cupon_cero!$1:$1,0)-1,COUNT(Curvas_cupon_cero!$A:$A)-2,1)),[1]!interpolar(B68,OFFSET(Curvas_cupon_cero!$A$1,1,0,COUNT(Curvas_cupon_cero!$A:$A)-2,1),OFFSET(Curvas_cupon_cero!$A$1,1,MATCH($B$9,Curvas_cupon_cero!$1:$1,0)-1,COUNT(Curvas_cupon_cero!$A:$A)-2,1))))</f>
        <v/>
      </c>
      <c r="G68" s="23" t="str">
        <f t="shared" si="8"/>
        <v/>
      </c>
      <c r="H68" s="20" t="str">
        <f t="shared" si="9"/>
        <v/>
      </c>
      <c r="I68" t="str">
        <f t="shared" si="4"/>
        <v/>
      </c>
      <c r="J68" s="17" t="str">
        <f t="shared" si="1"/>
        <v/>
      </c>
      <c r="K68" s="18" t="str">
        <f t="shared" si="5"/>
        <v/>
      </c>
      <c r="L68" t="str">
        <f t="shared" si="6"/>
        <v/>
      </c>
      <c r="M68" s="23" t="str">
        <f ca="1">IF(A68="","",IF($B$10="Sí",interpolar_alamb(L68,OFFSET(Curvas_cupon_cero!$A$1,1,0,COUNT(Curvas_cupon_cero!$A:$A)-2,1),OFFSET(Curvas_cupon_cero!$A$1,1,MATCH($B$6,Curvas_cupon_cero!$1:$1,0)-1,COUNT(Curvas_cupon_cero!$A:$A)-2,1)),[1]!interpolar(L68,OFFSET(Curvas_cupon_cero!$A$1,1,0,COUNT(Curvas_cupon_cero!$A:$A)-2,1),OFFSET(Curvas_cupon_cero!$A$1,1,MATCH($B$6,Curvas_cupon_cero!$1:$1,0)-1,COUNT(Curvas_cupon_cero!$A:$A)-2,1))))</f>
        <v/>
      </c>
      <c r="N68" s="23"/>
      <c r="O68" s="19" t="str">
        <f t="shared" si="7"/>
        <v/>
      </c>
    </row>
    <row r="69" spans="1:15" x14ac:dyDescent="0.2">
      <c r="A69" s="12" t="str">
        <f t="shared" si="2"/>
        <v/>
      </c>
      <c r="B69" t="str">
        <f t="shared" si="0"/>
        <v/>
      </c>
      <c r="C69" s="21" t="str">
        <f ca="1">IF(A69="","",IF($B$10="Sí",interpolar_alamb(B69,OFFSET(Curvas_cupon_cero!$A$1,1,0,COUNT(Curvas_cupon_cero!$A:$A)-2,1),OFFSET(Curvas_cupon_cero!$A$1,1,MATCH($B$8,Curvas_cupon_cero!$1:$1,0)-1,COUNT(Curvas_cupon_cero!$A:$A)-2,1)),[1]!interpolar(B69,OFFSET(Curvas_cupon_cero!$A$1,1,0,COUNT(Curvas_cupon_cero!$A:$A)-2,1),OFFSET(Curvas_cupon_cero!$A$1,1,MATCH($B$8,Curvas_cupon_cero!$1:$1,0)-1,COUNT(Curvas_cupon_cero!$A:$A)-2,1))))</f>
        <v/>
      </c>
      <c r="D69" s="23" t="str">
        <f ca="1">IF(A69="","",IF($B$10="Sí",interpolar_alamb(L69,OFFSET(Curvas_cupon_cero!$A$1,1,0,COUNT(Curvas_cupon_cero!$A:$A)-2,1),OFFSET(Curvas_cupon_cero!$A$1,1,MATCH($B$8,Curvas_cupon_cero!$1:$1,0)-1,COUNT(Curvas_cupon_cero!$A:$A)-2,1)),[1]!interpolar(L69,OFFSET(Curvas_cupon_cero!$A$1,1,0,COUNT(Curvas_cupon_cero!$A:$A)-2,1),OFFSET(Curvas_cupon_cero!$A$1,1,MATCH($B$8,Curvas_cupon_cero!$1:$1,0)-1,COUNT(Curvas_cupon_cero!$A:$A)-2,1))))</f>
        <v/>
      </c>
      <c r="E69" s="23" t="str">
        <f t="shared" si="3"/>
        <v/>
      </c>
      <c r="F69" s="23" t="str">
        <f ca="1">IF(A69="","",IF($B$10="Sí",interpolar_alamb(B69,OFFSET(Curvas_cupon_cero!$A$1,1,0,COUNT(Curvas_cupon_cero!$A:$A)-2,1),OFFSET(Curvas_cupon_cero!$A$1,1,MATCH($B$9,Curvas_cupon_cero!$1:$1,0)-1,COUNT(Curvas_cupon_cero!$A:$A)-2,1)),[1]!interpolar(B69,OFFSET(Curvas_cupon_cero!$A$1,1,0,COUNT(Curvas_cupon_cero!$A:$A)-2,1),OFFSET(Curvas_cupon_cero!$A$1,1,MATCH($B$9,Curvas_cupon_cero!$1:$1,0)-1,COUNT(Curvas_cupon_cero!$A:$A)-2,1))))</f>
        <v/>
      </c>
      <c r="G69" s="23" t="str">
        <f t="shared" si="8"/>
        <v/>
      </c>
      <c r="H69" s="20" t="str">
        <f t="shared" si="9"/>
        <v/>
      </c>
      <c r="I69" t="str">
        <f t="shared" si="4"/>
        <v/>
      </c>
      <c r="J69" s="17" t="str">
        <f t="shared" si="1"/>
        <v/>
      </c>
      <c r="K69" s="18" t="str">
        <f t="shared" si="5"/>
        <v/>
      </c>
      <c r="L69" t="str">
        <f t="shared" si="6"/>
        <v/>
      </c>
      <c r="M69" s="23" t="str">
        <f ca="1">IF(A69="","",IF($B$10="Sí",interpolar_alamb(L69,OFFSET(Curvas_cupon_cero!$A$1,1,0,COUNT(Curvas_cupon_cero!$A:$A)-2,1),OFFSET(Curvas_cupon_cero!$A$1,1,MATCH($B$6,Curvas_cupon_cero!$1:$1,0)-1,COUNT(Curvas_cupon_cero!$A:$A)-2,1)),[1]!interpolar(L69,OFFSET(Curvas_cupon_cero!$A$1,1,0,COUNT(Curvas_cupon_cero!$A:$A)-2,1),OFFSET(Curvas_cupon_cero!$A$1,1,MATCH($B$6,Curvas_cupon_cero!$1:$1,0)-1,COUNT(Curvas_cupon_cero!$A:$A)-2,1))))</f>
        <v/>
      </c>
      <c r="N69" s="23"/>
      <c r="O69" s="19" t="str">
        <f t="shared" si="7"/>
        <v/>
      </c>
    </row>
    <row r="70" spans="1:15" x14ac:dyDescent="0.2">
      <c r="A70" s="12" t="str">
        <f t="shared" si="2"/>
        <v/>
      </c>
      <c r="B70" t="str">
        <f t="shared" si="0"/>
        <v/>
      </c>
      <c r="C70" s="21" t="str">
        <f ca="1">IF(A70="","",IF($B$10="Sí",interpolar_alamb(B70,OFFSET(Curvas_cupon_cero!$A$1,1,0,COUNT(Curvas_cupon_cero!$A:$A)-2,1),OFFSET(Curvas_cupon_cero!$A$1,1,MATCH($B$8,Curvas_cupon_cero!$1:$1,0)-1,COUNT(Curvas_cupon_cero!$A:$A)-2,1)),[1]!interpolar(B70,OFFSET(Curvas_cupon_cero!$A$1,1,0,COUNT(Curvas_cupon_cero!$A:$A)-2,1),OFFSET(Curvas_cupon_cero!$A$1,1,MATCH($B$8,Curvas_cupon_cero!$1:$1,0)-1,COUNT(Curvas_cupon_cero!$A:$A)-2,1))))</f>
        <v/>
      </c>
      <c r="D70" s="23" t="str">
        <f ca="1">IF(A70="","",IF($B$10="Sí",interpolar_alamb(L70,OFFSET(Curvas_cupon_cero!$A$1,1,0,COUNT(Curvas_cupon_cero!$A:$A)-2,1),OFFSET(Curvas_cupon_cero!$A$1,1,MATCH($B$8,Curvas_cupon_cero!$1:$1,0)-1,COUNT(Curvas_cupon_cero!$A:$A)-2,1)),[1]!interpolar(L70,OFFSET(Curvas_cupon_cero!$A$1,1,0,COUNT(Curvas_cupon_cero!$A:$A)-2,1),OFFSET(Curvas_cupon_cero!$A$1,1,MATCH($B$8,Curvas_cupon_cero!$1:$1,0)-1,COUNT(Curvas_cupon_cero!$A:$A)-2,1))))</f>
        <v/>
      </c>
      <c r="E70" s="23" t="str">
        <f t="shared" si="3"/>
        <v/>
      </c>
      <c r="F70" s="23" t="str">
        <f ca="1">IF(A70="","",IF($B$10="Sí",interpolar_alamb(B70,OFFSET(Curvas_cupon_cero!$A$1,1,0,COUNT(Curvas_cupon_cero!$A:$A)-2,1),OFFSET(Curvas_cupon_cero!$A$1,1,MATCH($B$9,Curvas_cupon_cero!$1:$1,0)-1,COUNT(Curvas_cupon_cero!$A:$A)-2,1)),[1]!interpolar(B70,OFFSET(Curvas_cupon_cero!$A$1,1,0,COUNT(Curvas_cupon_cero!$A:$A)-2,1),OFFSET(Curvas_cupon_cero!$A$1,1,MATCH($B$9,Curvas_cupon_cero!$1:$1,0)-1,COUNT(Curvas_cupon_cero!$A:$A)-2,1))))</f>
        <v/>
      </c>
      <c r="G70" s="23" t="str">
        <f t="shared" si="8"/>
        <v/>
      </c>
      <c r="H70" s="20" t="str">
        <f t="shared" si="9"/>
        <v/>
      </c>
      <c r="I70" t="str">
        <f t="shared" si="4"/>
        <v/>
      </c>
      <c r="J70" s="17" t="str">
        <f t="shared" si="1"/>
        <v/>
      </c>
      <c r="K70" s="18" t="str">
        <f t="shared" si="5"/>
        <v/>
      </c>
      <c r="L70" t="str">
        <f t="shared" si="6"/>
        <v/>
      </c>
      <c r="M70" s="23" t="str">
        <f ca="1">IF(A70="","",IF($B$10="Sí",interpolar_alamb(L70,OFFSET(Curvas_cupon_cero!$A$1,1,0,COUNT(Curvas_cupon_cero!$A:$A)-2,1),OFFSET(Curvas_cupon_cero!$A$1,1,MATCH($B$6,Curvas_cupon_cero!$1:$1,0)-1,COUNT(Curvas_cupon_cero!$A:$A)-2,1)),[1]!interpolar(L70,OFFSET(Curvas_cupon_cero!$A$1,1,0,COUNT(Curvas_cupon_cero!$A:$A)-2,1),OFFSET(Curvas_cupon_cero!$A$1,1,MATCH($B$6,Curvas_cupon_cero!$1:$1,0)-1,COUNT(Curvas_cupon_cero!$A:$A)-2,1))))</f>
        <v/>
      </c>
      <c r="N70" s="23"/>
      <c r="O70" s="19" t="str">
        <f t="shared" si="7"/>
        <v/>
      </c>
    </row>
    <row r="71" spans="1:15" x14ac:dyDescent="0.2">
      <c r="A71" s="12" t="str">
        <f t="shared" si="2"/>
        <v/>
      </c>
      <c r="B71" t="str">
        <f t="shared" si="0"/>
        <v/>
      </c>
      <c r="C71" s="21" t="str">
        <f ca="1">IF(A71="","",IF($B$10="Sí",interpolar_alamb(B71,OFFSET(Curvas_cupon_cero!$A$1,1,0,COUNT(Curvas_cupon_cero!$A:$A)-2,1),OFFSET(Curvas_cupon_cero!$A$1,1,MATCH($B$8,Curvas_cupon_cero!$1:$1,0)-1,COUNT(Curvas_cupon_cero!$A:$A)-2,1)),[1]!interpolar(B71,OFFSET(Curvas_cupon_cero!$A$1,1,0,COUNT(Curvas_cupon_cero!$A:$A)-2,1),OFFSET(Curvas_cupon_cero!$A$1,1,MATCH($B$8,Curvas_cupon_cero!$1:$1,0)-1,COUNT(Curvas_cupon_cero!$A:$A)-2,1))))</f>
        <v/>
      </c>
      <c r="D71" s="23" t="str">
        <f ca="1">IF(A71="","",IF($B$10="Sí",interpolar_alamb(L71,OFFSET(Curvas_cupon_cero!$A$1,1,0,COUNT(Curvas_cupon_cero!$A:$A)-2,1),OFFSET(Curvas_cupon_cero!$A$1,1,MATCH($B$8,Curvas_cupon_cero!$1:$1,0)-1,COUNT(Curvas_cupon_cero!$A:$A)-2,1)),[1]!interpolar(L71,OFFSET(Curvas_cupon_cero!$A$1,1,0,COUNT(Curvas_cupon_cero!$A:$A)-2,1),OFFSET(Curvas_cupon_cero!$A$1,1,MATCH($B$8,Curvas_cupon_cero!$1:$1,0)-1,COUNT(Curvas_cupon_cero!$A:$A)-2,1))))</f>
        <v/>
      </c>
      <c r="E71" s="23" t="str">
        <f t="shared" si="3"/>
        <v/>
      </c>
      <c r="F71" s="23" t="str">
        <f ca="1">IF(A71="","",IF($B$10="Sí",interpolar_alamb(B71,OFFSET(Curvas_cupon_cero!$A$1,1,0,COUNT(Curvas_cupon_cero!$A:$A)-2,1),OFFSET(Curvas_cupon_cero!$A$1,1,MATCH($B$9,Curvas_cupon_cero!$1:$1,0)-1,COUNT(Curvas_cupon_cero!$A:$A)-2,1)),[1]!interpolar(B71,OFFSET(Curvas_cupon_cero!$A$1,1,0,COUNT(Curvas_cupon_cero!$A:$A)-2,1),OFFSET(Curvas_cupon_cero!$A$1,1,MATCH($B$9,Curvas_cupon_cero!$1:$1,0)-1,COUNT(Curvas_cupon_cero!$A:$A)-2,1))))</f>
        <v/>
      </c>
      <c r="G71" s="23" t="str">
        <f t="shared" si="8"/>
        <v/>
      </c>
      <c r="H71" s="20" t="str">
        <f t="shared" si="9"/>
        <v/>
      </c>
      <c r="I71" t="str">
        <f t="shared" si="4"/>
        <v/>
      </c>
      <c r="J71" s="17" t="str">
        <f t="shared" si="1"/>
        <v/>
      </c>
      <c r="K71" s="18" t="str">
        <f t="shared" si="5"/>
        <v/>
      </c>
      <c r="L71" t="str">
        <f t="shared" si="6"/>
        <v/>
      </c>
      <c r="M71" s="23" t="str">
        <f ca="1">IF(A71="","",IF($B$10="Sí",interpolar_alamb(L71,OFFSET(Curvas_cupon_cero!$A$1,1,0,COUNT(Curvas_cupon_cero!$A:$A)-2,1),OFFSET(Curvas_cupon_cero!$A$1,1,MATCH($B$6,Curvas_cupon_cero!$1:$1,0)-1,COUNT(Curvas_cupon_cero!$A:$A)-2,1)),[1]!interpolar(L71,OFFSET(Curvas_cupon_cero!$A$1,1,0,COUNT(Curvas_cupon_cero!$A:$A)-2,1),OFFSET(Curvas_cupon_cero!$A$1,1,MATCH($B$6,Curvas_cupon_cero!$1:$1,0)-1,COUNT(Curvas_cupon_cero!$A:$A)-2,1))))</f>
        <v/>
      </c>
      <c r="N71" s="23"/>
      <c r="O71" s="19" t="str">
        <f t="shared" si="7"/>
        <v/>
      </c>
    </row>
    <row r="72" spans="1:15" x14ac:dyDescent="0.2">
      <c r="A72" s="12" t="str">
        <f t="shared" si="2"/>
        <v/>
      </c>
      <c r="B72" t="str">
        <f t="shared" si="0"/>
        <v/>
      </c>
      <c r="C72" s="21" t="str">
        <f ca="1">IF(A72="","",IF($B$10="Sí",interpolar_alamb(B72,OFFSET(Curvas_cupon_cero!$A$1,1,0,COUNT(Curvas_cupon_cero!$A:$A)-2,1),OFFSET(Curvas_cupon_cero!$A$1,1,MATCH($B$8,Curvas_cupon_cero!$1:$1,0)-1,COUNT(Curvas_cupon_cero!$A:$A)-2,1)),[1]!interpolar(B72,OFFSET(Curvas_cupon_cero!$A$1,1,0,COUNT(Curvas_cupon_cero!$A:$A)-2,1),OFFSET(Curvas_cupon_cero!$A$1,1,MATCH($B$8,Curvas_cupon_cero!$1:$1,0)-1,COUNT(Curvas_cupon_cero!$A:$A)-2,1))))</f>
        <v/>
      </c>
      <c r="D72" s="23" t="str">
        <f ca="1">IF(A72="","",IF($B$10="Sí",interpolar_alamb(L72,OFFSET(Curvas_cupon_cero!$A$1,1,0,COUNT(Curvas_cupon_cero!$A:$A)-2,1),OFFSET(Curvas_cupon_cero!$A$1,1,MATCH($B$8,Curvas_cupon_cero!$1:$1,0)-1,COUNT(Curvas_cupon_cero!$A:$A)-2,1)),[1]!interpolar(L72,OFFSET(Curvas_cupon_cero!$A$1,1,0,COUNT(Curvas_cupon_cero!$A:$A)-2,1),OFFSET(Curvas_cupon_cero!$A$1,1,MATCH($B$8,Curvas_cupon_cero!$1:$1,0)-1,COUNT(Curvas_cupon_cero!$A:$A)-2,1))))</f>
        <v/>
      </c>
      <c r="E72" s="23" t="str">
        <f t="shared" si="3"/>
        <v/>
      </c>
      <c r="F72" s="23" t="str">
        <f ca="1">IF(A72="","",IF($B$10="Sí",interpolar_alamb(B72,OFFSET(Curvas_cupon_cero!$A$1,1,0,COUNT(Curvas_cupon_cero!$A:$A)-2,1),OFFSET(Curvas_cupon_cero!$A$1,1,MATCH($B$9,Curvas_cupon_cero!$1:$1,0)-1,COUNT(Curvas_cupon_cero!$A:$A)-2,1)),[1]!interpolar(B72,OFFSET(Curvas_cupon_cero!$A$1,1,0,COUNT(Curvas_cupon_cero!$A:$A)-2,1),OFFSET(Curvas_cupon_cero!$A$1,1,MATCH($B$9,Curvas_cupon_cero!$1:$1,0)-1,COUNT(Curvas_cupon_cero!$A:$A)-2,1))))</f>
        <v/>
      </c>
      <c r="G72" s="23" t="str">
        <f t="shared" si="8"/>
        <v/>
      </c>
      <c r="H72" s="20" t="str">
        <f t="shared" si="9"/>
        <v/>
      </c>
      <c r="I72" t="str">
        <f t="shared" si="4"/>
        <v/>
      </c>
      <c r="J72" s="17" t="str">
        <f t="shared" si="1"/>
        <v/>
      </c>
      <c r="K72" s="18" t="str">
        <f t="shared" si="5"/>
        <v/>
      </c>
      <c r="L72" t="str">
        <f t="shared" si="6"/>
        <v/>
      </c>
      <c r="M72" s="23" t="str">
        <f ca="1">IF(A72="","",IF($B$10="Sí",interpolar_alamb(L72,OFFSET(Curvas_cupon_cero!$A$1,1,0,COUNT(Curvas_cupon_cero!$A:$A)-2,1),OFFSET(Curvas_cupon_cero!$A$1,1,MATCH($B$6,Curvas_cupon_cero!$1:$1,0)-1,COUNT(Curvas_cupon_cero!$A:$A)-2,1)),[1]!interpolar(L72,OFFSET(Curvas_cupon_cero!$A$1,1,0,COUNT(Curvas_cupon_cero!$A:$A)-2,1),OFFSET(Curvas_cupon_cero!$A$1,1,MATCH($B$6,Curvas_cupon_cero!$1:$1,0)-1,COUNT(Curvas_cupon_cero!$A:$A)-2,1))))</f>
        <v/>
      </c>
      <c r="N72" s="23"/>
      <c r="O72" s="19" t="str">
        <f t="shared" si="7"/>
        <v/>
      </c>
    </row>
    <row r="73" spans="1:15" x14ac:dyDescent="0.2">
      <c r="A73" s="12" t="str">
        <f t="shared" si="2"/>
        <v/>
      </c>
      <c r="B73" t="str">
        <f t="shared" si="0"/>
        <v/>
      </c>
      <c r="C73" s="21" t="str">
        <f ca="1">IF(A73="","",IF($B$10="Sí",interpolar_alamb(B73,OFFSET(Curvas_cupon_cero!$A$1,1,0,COUNT(Curvas_cupon_cero!$A:$A)-2,1),OFFSET(Curvas_cupon_cero!$A$1,1,MATCH($B$8,Curvas_cupon_cero!$1:$1,0)-1,COUNT(Curvas_cupon_cero!$A:$A)-2,1)),[1]!interpolar(B73,OFFSET(Curvas_cupon_cero!$A$1,1,0,COUNT(Curvas_cupon_cero!$A:$A)-2,1),OFFSET(Curvas_cupon_cero!$A$1,1,MATCH($B$8,Curvas_cupon_cero!$1:$1,0)-1,COUNT(Curvas_cupon_cero!$A:$A)-2,1))))</f>
        <v/>
      </c>
      <c r="D73" s="23" t="str">
        <f ca="1">IF(A73="","",IF($B$10="Sí",interpolar_alamb(L73,OFFSET(Curvas_cupon_cero!$A$1,1,0,COUNT(Curvas_cupon_cero!$A:$A)-2,1),OFFSET(Curvas_cupon_cero!$A$1,1,MATCH($B$8,Curvas_cupon_cero!$1:$1,0)-1,COUNT(Curvas_cupon_cero!$A:$A)-2,1)),[1]!interpolar(L73,OFFSET(Curvas_cupon_cero!$A$1,1,0,COUNT(Curvas_cupon_cero!$A:$A)-2,1),OFFSET(Curvas_cupon_cero!$A$1,1,MATCH($B$8,Curvas_cupon_cero!$1:$1,0)-1,COUNT(Curvas_cupon_cero!$A:$A)-2,1))))</f>
        <v/>
      </c>
      <c r="E73" s="23" t="str">
        <f t="shared" si="3"/>
        <v/>
      </c>
      <c r="F73" s="23" t="str">
        <f ca="1">IF(A73="","",IF($B$10="Sí",interpolar_alamb(B73,OFFSET(Curvas_cupon_cero!$A$1,1,0,COUNT(Curvas_cupon_cero!$A:$A)-2,1),OFFSET(Curvas_cupon_cero!$A$1,1,MATCH($B$9,Curvas_cupon_cero!$1:$1,0)-1,COUNT(Curvas_cupon_cero!$A:$A)-2,1)),[1]!interpolar(B73,OFFSET(Curvas_cupon_cero!$A$1,1,0,COUNT(Curvas_cupon_cero!$A:$A)-2,1),OFFSET(Curvas_cupon_cero!$A$1,1,MATCH($B$9,Curvas_cupon_cero!$1:$1,0)-1,COUNT(Curvas_cupon_cero!$A:$A)-2,1))))</f>
        <v/>
      </c>
      <c r="G73" s="23" t="str">
        <f t="shared" si="8"/>
        <v/>
      </c>
      <c r="H73" s="20" t="str">
        <f t="shared" si="9"/>
        <v/>
      </c>
      <c r="I73" t="str">
        <f t="shared" si="4"/>
        <v/>
      </c>
      <c r="J73" s="17" t="str">
        <f t="shared" si="1"/>
        <v/>
      </c>
      <c r="K73" s="18" t="str">
        <f t="shared" si="5"/>
        <v/>
      </c>
      <c r="L73" t="str">
        <f t="shared" si="6"/>
        <v/>
      </c>
      <c r="M73" s="23" t="str">
        <f ca="1">IF(A73="","",IF($B$10="Sí",interpolar_alamb(L73,OFFSET(Curvas_cupon_cero!$A$1,1,0,COUNT(Curvas_cupon_cero!$A:$A)-2,1),OFFSET(Curvas_cupon_cero!$A$1,1,MATCH($B$6,Curvas_cupon_cero!$1:$1,0)-1,COUNT(Curvas_cupon_cero!$A:$A)-2,1)),[1]!interpolar(L73,OFFSET(Curvas_cupon_cero!$A$1,1,0,COUNT(Curvas_cupon_cero!$A:$A)-2,1),OFFSET(Curvas_cupon_cero!$A$1,1,MATCH($B$6,Curvas_cupon_cero!$1:$1,0)-1,COUNT(Curvas_cupon_cero!$A:$A)-2,1))))</f>
        <v/>
      </c>
      <c r="N73" s="23"/>
      <c r="O73" s="19" t="str">
        <f t="shared" si="7"/>
        <v/>
      </c>
    </row>
    <row r="74" spans="1:15" x14ac:dyDescent="0.2">
      <c r="A74" s="12" t="str">
        <f t="shared" si="2"/>
        <v/>
      </c>
      <c r="B74" t="str">
        <f t="shared" si="0"/>
        <v/>
      </c>
      <c r="C74" s="21" t="str">
        <f ca="1">IF(A74="","",IF($B$10="Sí",interpolar_alamb(B74,OFFSET(Curvas_cupon_cero!$A$1,1,0,COUNT(Curvas_cupon_cero!$A:$A)-2,1),OFFSET(Curvas_cupon_cero!$A$1,1,MATCH($B$8,Curvas_cupon_cero!$1:$1,0)-1,COUNT(Curvas_cupon_cero!$A:$A)-2,1)),[1]!interpolar(B74,OFFSET(Curvas_cupon_cero!$A$1,1,0,COUNT(Curvas_cupon_cero!$A:$A)-2,1),OFFSET(Curvas_cupon_cero!$A$1,1,MATCH($B$8,Curvas_cupon_cero!$1:$1,0)-1,COUNT(Curvas_cupon_cero!$A:$A)-2,1))))</f>
        <v/>
      </c>
      <c r="D74" s="23" t="str">
        <f ca="1">IF(A74="","",IF($B$10="Sí",interpolar_alamb(L74,OFFSET(Curvas_cupon_cero!$A$1,1,0,COUNT(Curvas_cupon_cero!$A:$A)-2,1),OFFSET(Curvas_cupon_cero!$A$1,1,MATCH($B$8,Curvas_cupon_cero!$1:$1,0)-1,COUNT(Curvas_cupon_cero!$A:$A)-2,1)),[1]!interpolar(L74,OFFSET(Curvas_cupon_cero!$A$1,1,0,COUNT(Curvas_cupon_cero!$A:$A)-2,1),OFFSET(Curvas_cupon_cero!$A$1,1,MATCH($B$8,Curvas_cupon_cero!$1:$1,0)-1,COUNT(Curvas_cupon_cero!$A:$A)-2,1))))</f>
        <v/>
      </c>
      <c r="E74" s="23" t="str">
        <f t="shared" si="3"/>
        <v/>
      </c>
      <c r="F74" s="23" t="str">
        <f ca="1">IF(A74="","",IF($B$10="Sí",interpolar_alamb(B74,OFFSET(Curvas_cupon_cero!$A$1,1,0,COUNT(Curvas_cupon_cero!$A:$A)-2,1),OFFSET(Curvas_cupon_cero!$A$1,1,MATCH($B$9,Curvas_cupon_cero!$1:$1,0)-1,COUNT(Curvas_cupon_cero!$A:$A)-2,1)),[1]!interpolar(B74,OFFSET(Curvas_cupon_cero!$A$1,1,0,COUNT(Curvas_cupon_cero!$A:$A)-2,1),OFFSET(Curvas_cupon_cero!$A$1,1,MATCH($B$9,Curvas_cupon_cero!$1:$1,0)-1,COUNT(Curvas_cupon_cero!$A:$A)-2,1))))</f>
        <v/>
      </c>
      <c r="G74" s="23" t="str">
        <f t="shared" si="8"/>
        <v/>
      </c>
      <c r="H74" s="20" t="str">
        <f t="shared" si="9"/>
        <v/>
      </c>
      <c r="I74" t="str">
        <f t="shared" si="4"/>
        <v/>
      </c>
      <c r="J74" s="17" t="str">
        <f t="shared" si="1"/>
        <v/>
      </c>
      <c r="K74" s="18" t="str">
        <f t="shared" si="5"/>
        <v/>
      </c>
      <c r="L74" t="str">
        <f t="shared" si="6"/>
        <v/>
      </c>
      <c r="M74" s="23" t="str">
        <f ca="1">IF(A74="","",IF($B$10="Sí",interpolar_alamb(L74,OFFSET(Curvas_cupon_cero!$A$1,1,0,COUNT(Curvas_cupon_cero!$A:$A)-2,1),OFFSET(Curvas_cupon_cero!$A$1,1,MATCH($B$6,Curvas_cupon_cero!$1:$1,0)-1,COUNT(Curvas_cupon_cero!$A:$A)-2,1)),[1]!interpolar(L74,OFFSET(Curvas_cupon_cero!$A$1,1,0,COUNT(Curvas_cupon_cero!$A:$A)-2,1),OFFSET(Curvas_cupon_cero!$A$1,1,MATCH($B$6,Curvas_cupon_cero!$1:$1,0)-1,COUNT(Curvas_cupon_cero!$A:$A)-2,1))))</f>
        <v/>
      </c>
      <c r="N74" s="23"/>
      <c r="O74" s="19" t="str">
        <f t="shared" si="7"/>
        <v/>
      </c>
    </row>
    <row r="75" spans="1:15" x14ac:dyDescent="0.2">
      <c r="A75" s="12" t="str">
        <f t="shared" si="2"/>
        <v/>
      </c>
      <c r="B75" t="str">
        <f t="shared" si="0"/>
        <v/>
      </c>
      <c r="C75" s="21" t="str">
        <f ca="1">IF(A75="","",IF($B$10="Sí",interpolar_alamb(B75,OFFSET(Curvas_cupon_cero!$A$1,1,0,COUNT(Curvas_cupon_cero!$A:$A)-2,1),OFFSET(Curvas_cupon_cero!$A$1,1,MATCH($B$8,Curvas_cupon_cero!$1:$1,0)-1,COUNT(Curvas_cupon_cero!$A:$A)-2,1)),[1]!interpolar(B75,OFFSET(Curvas_cupon_cero!$A$1,1,0,COUNT(Curvas_cupon_cero!$A:$A)-2,1),OFFSET(Curvas_cupon_cero!$A$1,1,MATCH($B$8,Curvas_cupon_cero!$1:$1,0)-1,COUNT(Curvas_cupon_cero!$A:$A)-2,1))))</f>
        <v/>
      </c>
      <c r="D75" s="23" t="str">
        <f ca="1">IF(A75="","",IF($B$10="Sí",interpolar_alamb(L75,OFFSET(Curvas_cupon_cero!$A$1,1,0,COUNT(Curvas_cupon_cero!$A:$A)-2,1),OFFSET(Curvas_cupon_cero!$A$1,1,MATCH($B$8,Curvas_cupon_cero!$1:$1,0)-1,COUNT(Curvas_cupon_cero!$A:$A)-2,1)),[1]!interpolar(L75,OFFSET(Curvas_cupon_cero!$A$1,1,0,COUNT(Curvas_cupon_cero!$A:$A)-2,1),OFFSET(Curvas_cupon_cero!$A$1,1,MATCH($B$8,Curvas_cupon_cero!$1:$1,0)-1,COUNT(Curvas_cupon_cero!$A:$A)-2,1))))</f>
        <v/>
      </c>
      <c r="E75" s="23" t="str">
        <f t="shared" si="3"/>
        <v/>
      </c>
      <c r="F75" s="23" t="str">
        <f ca="1">IF(A75="","",IF($B$10="Sí",interpolar_alamb(B75,OFFSET(Curvas_cupon_cero!$A$1,1,0,COUNT(Curvas_cupon_cero!$A:$A)-2,1),OFFSET(Curvas_cupon_cero!$A$1,1,MATCH($B$9,Curvas_cupon_cero!$1:$1,0)-1,COUNT(Curvas_cupon_cero!$A:$A)-2,1)),[1]!interpolar(B75,OFFSET(Curvas_cupon_cero!$A$1,1,0,COUNT(Curvas_cupon_cero!$A:$A)-2,1),OFFSET(Curvas_cupon_cero!$A$1,1,MATCH($B$9,Curvas_cupon_cero!$1:$1,0)-1,COUNT(Curvas_cupon_cero!$A:$A)-2,1))))</f>
        <v/>
      </c>
      <c r="G75" s="23" t="str">
        <f t="shared" si="8"/>
        <v/>
      </c>
      <c r="H75" s="20" t="str">
        <f t="shared" si="9"/>
        <v/>
      </c>
      <c r="I75" t="str">
        <f t="shared" si="4"/>
        <v/>
      </c>
      <c r="J75" s="17" t="str">
        <f t="shared" si="1"/>
        <v/>
      </c>
      <c r="K75" s="18" t="str">
        <f t="shared" si="5"/>
        <v/>
      </c>
      <c r="L75" t="str">
        <f t="shared" si="6"/>
        <v/>
      </c>
      <c r="M75" s="23" t="str">
        <f ca="1">IF(A75="","",IF($B$10="Sí",interpolar_alamb(L75,OFFSET(Curvas_cupon_cero!$A$1,1,0,COUNT(Curvas_cupon_cero!$A:$A)-2,1),OFFSET(Curvas_cupon_cero!$A$1,1,MATCH($B$6,Curvas_cupon_cero!$1:$1,0)-1,COUNT(Curvas_cupon_cero!$A:$A)-2,1)),[1]!interpolar(L75,OFFSET(Curvas_cupon_cero!$A$1,1,0,COUNT(Curvas_cupon_cero!$A:$A)-2,1),OFFSET(Curvas_cupon_cero!$A$1,1,MATCH($B$6,Curvas_cupon_cero!$1:$1,0)-1,COUNT(Curvas_cupon_cero!$A:$A)-2,1))))</f>
        <v/>
      </c>
      <c r="N75" s="23"/>
      <c r="O75" s="19" t="str">
        <f t="shared" si="7"/>
        <v/>
      </c>
    </row>
    <row r="76" spans="1:15" x14ac:dyDescent="0.2">
      <c r="A76" s="12" t="str">
        <f t="shared" si="2"/>
        <v/>
      </c>
      <c r="B76" t="str">
        <f t="shared" si="0"/>
        <v/>
      </c>
      <c r="C76" s="21" t="str">
        <f ca="1">IF(A76="","",IF($B$10="Sí",interpolar_alamb(B76,OFFSET(Curvas_cupon_cero!$A$1,1,0,COUNT(Curvas_cupon_cero!$A:$A)-2,1),OFFSET(Curvas_cupon_cero!$A$1,1,MATCH($B$8,Curvas_cupon_cero!$1:$1,0)-1,COUNT(Curvas_cupon_cero!$A:$A)-2,1)),[1]!interpolar(B76,OFFSET(Curvas_cupon_cero!$A$1,1,0,COUNT(Curvas_cupon_cero!$A:$A)-2,1),OFFSET(Curvas_cupon_cero!$A$1,1,MATCH($B$8,Curvas_cupon_cero!$1:$1,0)-1,COUNT(Curvas_cupon_cero!$A:$A)-2,1))))</f>
        <v/>
      </c>
      <c r="D76" s="23" t="str">
        <f ca="1">IF(A76="","",IF($B$10="Sí",interpolar_alamb(L76,OFFSET(Curvas_cupon_cero!$A$1,1,0,COUNT(Curvas_cupon_cero!$A:$A)-2,1),OFFSET(Curvas_cupon_cero!$A$1,1,MATCH($B$8,Curvas_cupon_cero!$1:$1,0)-1,COUNT(Curvas_cupon_cero!$A:$A)-2,1)),[1]!interpolar(L76,OFFSET(Curvas_cupon_cero!$A$1,1,0,COUNT(Curvas_cupon_cero!$A:$A)-2,1),OFFSET(Curvas_cupon_cero!$A$1,1,MATCH($B$8,Curvas_cupon_cero!$1:$1,0)-1,COUNT(Curvas_cupon_cero!$A:$A)-2,1))))</f>
        <v/>
      </c>
      <c r="E76" s="23" t="str">
        <f t="shared" si="3"/>
        <v/>
      </c>
      <c r="F76" s="23" t="str">
        <f ca="1">IF(A76="","",IF($B$10="Sí",interpolar_alamb(B76,OFFSET(Curvas_cupon_cero!$A$1,1,0,COUNT(Curvas_cupon_cero!$A:$A)-2,1),OFFSET(Curvas_cupon_cero!$A$1,1,MATCH($B$9,Curvas_cupon_cero!$1:$1,0)-1,COUNT(Curvas_cupon_cero!$A:$A)-2,1)),[1]!interpolar(B76,OFFSET(Curvas_cupon_cero!$A$1,1,0,COUNT(Curvas_cupon_cero!$A:$A)-2,1),OFFSET(Curvas_cupon_cero!$A$1,1,MATCH($B$9,Curvas_cupon_cero!$1:$1,0)-1,COUNT(Curvas_cupon_cero!$A:$A)-2,1))))</f>
        <v/>
      </c>
      <c r="G76" s="23" t="str">
        <f t="shared" si="8"/>
        <v/>
      </c>
      <c r="H76" s="20" t="str">
        <f t="shared" si="9"/>
        <v/>
      </c>
      <c r="I76" t="str">
        <f t="shared" si="4"/>
        <v/>
      </c>
      <c r="J76" s="17" t="str">
        <f t="shared" si="1"/>
        <v/>
      </c>
      <c r="K76" s="18" t="str">
        <f t="shared" si="5"/>
        <v/>
      </c>
      <c r="L76" t="str">
        <f t="shared" si="6"/>
        <v/>
      </c>
      <c r="M76" s="23" t="str">
        <f ca="1">IF(A76="","",IF($B$10="Sí",interpolar_alamb(L76,OFFSET(Curvas_cupon_cero!$A$1,1,0,COUNT(Curvas_cupon_cero!$A:$A)-2,1),OFFSET(Curvas_cupon_cero!$A$1,1,MATCH($B$6,Curvas_cupon_cero!$1:$1,0)-1,COUNT(Curvas_cupon_cero!$A:$A)-2,1)),[1]!interpolar(L76,OFFSET(Curvas_cupon_cero!$A$1,1,0,COUNT(Curvas_cupon_cero!$A:$A)-2,1),OFFSET(Curvas_cupon_cero!$A$1,1,MATCH($B$6,Curvas_cupon_cero!$1:$1,0)-1,COUNT(Curvas_cupon_cero!$A:$A)-2,1))))</f>
        <v/>
      </c>
      <c r="N76" s="23"/>
      <c r="O76" s="19" t="str">
        <f t="shared" si="7"/>
        <v/>
      </c>
    </row>
    <row r="77" spans="1:15" x14ac:dyDescent="0.2">
      <c r="A77" s="12" t="str">
        <f t="shared" si="2"/>
        <v/>
      </c>
      <c r="B77" t="str">
        <f t="shared" si="0"/>
        <v/>
      </c>
      <c r="C77" s="21" t="str">
        <f ca="1">IF(A77="","",IF($B$10="Sí",interpolar_alamb(B77,OFFSET(Curvas_cupon_cero!$A$1,1,0,COUNT(Curvas_cupon_cero!$A:$A)-2,1),OFFSET(Curvas_cupon_cero!$A$1,1,MATCH($B$8,Curvas_cupon_cero!$1:$1,0)-1,COUNT(Curvas_cupon_cero!$A:$A)-2,1)),[1]!interpolar(B77,OFFSET(Curvas_cupon_cero!$A$1,1,0,COUNT(Curvas_cupon_cero!$A:$A)-2,1),OFFSET(Curvas_cupon_cero!$A$1,1,MATCH($B$8,Curvas_cupon_cero!$1:$1,0)-1,COUNT(Curvas_cupon_cero!$A:$A)-2,1))))</f>
        <v/>
      </c>
      <c r="D77" s="23" t="str">
        <f ca="1">IF(A77="","",IF($B$10="Sí",interpolar_alamb(L77,OFFSET(Curvas_cupon_cero!$A$1,1,0,COUNT(Curvas_cupon_cero!$A:$A)-2,1),OFFSET(Curvas_cupon_cero!$A$1,1,MATCH($B$8,Curvas_cupon_cero!$1:$1,0)-1,COUNT(Curvas_cupon_cero!$A:$A)-2,1)),[1]!interpolar(L77,OFFSET(Curvas_cupon_cero!$A$1,1,0,COUNT(Curvas_cupon_cero!$A:$A)-2,1),OFFSET(Curvas_cupon_cero!$A$1,1,MATCH($B$8,Curvas_cupon_cero!$1:$1,0)-1,COUNT(Curvas_cupon_cero!$A:$A)-2,1))))</f>
        <v/>
      </c>
      <c r="E77" s="23" t="str">
        <f t="shared" si="3"/>
        <v/>
      </c>
      <c r="F77" s="23" t="str">
        <f ca="1">IF(A77="","",IF($B$10="Sí",interpolar_alamb(B77,OFFSET(Curvas_cupon_cero!$A$1,1,0,COUNT(Curvas_cupon_cero!$A:$A)-2,1),OFFSET(Curvas_cupon_cero!$A$1,1,MATCH($B$9,Curvas_cupon_cero!$1:$1,0)-1,COUNT(Curvas_cupon_cero!$A:$A)-2,1)),[1]!interpolar(B77,OFFSET(Curvas_cupon_cero!$A$1,1,0,COUNT(Curvas_cupon_cero!$A:$A)-2,1),OFFSET(Curvas_cupon_cero!$A$1,1,MATCH($B$9,Curvas_cupon_cero!$1:$1,0)-1,COUNT(Curvas_cupon_cero!$A:$A)-2,1))))</f>
        <v/>
      </c>
      <c r="G77" s="23" t="str">
        <f t="shared" si="8"/>
        <v/>
      </c>
      <c r="H77" s="20" t="str">
        <f t="shared" si="9"/>
        <v/>
      </c>
      <c r="I77" t="str">
        <f t="shared" si="4"/>
        <v/>
      </c>
      <c r="J77" s="17" t="str">
        <f t="shared" si="1"/>
        <v/>
      </c>
      <c r="K77" s="18" t="str">
        <f t="shared" si="5"/>
        <v/>
      </c>
      <c r="L77" t="str">
        <f t="shared" si="6"/>
        <v/>
      </c>
      <c r="M77" s="23" t="str">
        <f ca="1">IF(A77="","",IF($B$10="Sí",interpolar_alamb(L77,OFFSET(Curvas_cupon_cero!$A$1,1,0,COUNT(Curvas_cupon_cero!$A:$A)-2,1),OFFSET(Curvas_cupon_cero!$A$1,1,MATCH($B$6,Curvas_cupon_cero!$1:$1,0)-1,COUNT(Curvas_cupon_cero!$A:$A)-2,1)),[1]!interpolar(L77,OFFSET(Curvas_cupon_cero!$A$1,1,0,COUNT(Curvas_cupon_cero!$A:$A)-2,1),OFFSET(Curvas_cupon_cero!$A$1,1,MATCH($B$6,Curvas_cupon_cero!$1:$1,0)-1,COUNT(Curvas_cupon_cero!$A:$A)-2,1))))</f>
        <v/>
      </c>
      <c r="N77" s="23"/>
      <c r="O77" s="19" t="str">
        <f t="shared" si="7"/>
        <v/>
      </c>
    </row>
    <row r="78" spans="1:15" x14ac:dyDescent="0.2">
      <c r="A78" s="12" t="str">
        <f t="shared" si="2"/>
        <v/>
      </c>
      <c r="B78" t="str">
        <f t="shared" si="0"/>
        <v/>
      </c>
      <c r="C78" s="21" t="str">
        <f ca="1">IF(A78="","",IF($B$10="Sí",interpolar_alamb(B78,OFFSET(Curvas_cupon_cero!$A$1,1,0,COUNT(Curvas_cupon_cero!$A:$A)-2,1),OFFSET(Curvas_cupon_cero!$A$1,1,MATCH($B$8,Curvas_cupon_cero!$1:$1,0)-1,COUNT(Curvas_cupon_cero!$A:$A)-2,1)),[1]!interpolar(B78,OFFSET(Curvas_cupon_cero!$A$1,1,0,COUNT(Curvas_cupon_cero!$A:$A)-2,1),OFFSET(Curvas_cupon_cero!$A$1,1,MATCH($B$8,Curvas_cupon_cero!$1:$1,0)-1,COUNT(Curvas_cupon_cero!$A:$A)-2,1))))</f>
        <v/>
      </c>
      <c r="D78" s="23" t="str">
        <f ca="1">IF(A78="","",IF($B$10="Sí",interpolar_alamb(L78,OFFSET(Curvas_cupon_cero!$A$1,1,0,COUNT(Curvas_cupon_cero!$A:$A)-2,1),OFFSET(Curvas_cupon_cero!$A$1,1,MATCH($B$8,Curvas_cupon_cero!$1:$1,0)-1,COUNT(Curvas_cupon_cero!$A:$A)-2,1)),[1]!interpolar(L78,OFFSET(Curvas_cupon_cero!$A$1,1,0,COUNT(Curvas_cupon_cero!$A:$A)-2,1),OFFSET(Curvas_cupon_cero!$A$1,1,MATCH($B$8,Curvas_cupon_cero!$1:$1,0)-1,COUNT(Curvas_cupon_cero!$A:$A)-2,1))))</f>
        <v/>
      </c>
      <c r="E78" s="23" t="str">
        <f t="shared" si="3"/>
        <v/>
      </c>
      <c r="F78" s="23" t="str">
        <f ca="1">IF(A78="","",IF($B$10="Sí",interpolar_alamb(B78,OFFSET(Curvas_cupon_cero!$A$1,1,0,COUNT(Curvas_cupon_cero!$A:$A)-2,1),OFFSET(Curvas_cupon_cero!$A$1,1,MATCH($B$9,Curvas_cupon_cero!$1:$1,0)-1,COUNT(Curvas_cupon_cero!$A:$A)-2,1)),[1]!interpolar(B78,OFFSET(Curvas_cupon_cero!$A$1,1,0,COUNT(Curvas_cupon_cero!$A:$A)-2,1),OFFSET(Curvas_cupon_cero!$A$1,1,MATCH($B$9,Curvas_cupon_cero!$1:$1,0)-1,COUNT(Curvas_cupon_cero!$A:$A)-2,1))))</f>
        <v/>
      </c>
      <c r="G78" s="23" t="str">
        <f t="shared" si="8"/>
        <v/>
      </c>
      <c r="H78" s="20" t="str">
        <f t="shared" si="9"/>
        <v/>
      </c>
      <c r="I78" t="str">
        <f t="shared" si="4"/>
        <v/>
      </c>
      <c r="J78" s="17" t="str">
        <f t="shared" si="1"/>
        <v/>
      </c>
      <c r="K78" s="18" t="str">
        <f t="shared" si="5"/>
        <v/>
      </c>
      <c r="L78" t="str">
        <f t="shared" si="6"/>
        <v/>
      </c>
      <c r="M78" s="23" t="str">
        <f ca="1">IF(A78="","",IF($B$10="Sí",interpolar_alamb(L78,OFFSET(Curvas_cupon_cero!$A$1,1,0,COUNT(Curvas_cupon_cero!$A:$A)-2,1),OFFSET(Curvas_cupon_cero!$A$1,1,MATCH($B$6,Curvas_cupon_cero!$1:$1,0)-1,COUNT(Curvas_cupon_cero!$A:$A)-2,1)),[1]!interpolar(L78,OFFSET(Curvas_cupon_cero!$A$1,1,0,COUNT(Curvas_cupon_cero!$A:$A)-2,1),OFFSET(Curvas_cupon_cero!$A$1,1,MATCH($B$6,Curvas_cupon_cero!$1:$1,0)-1,COUNT(Curvas_cupon_cero!$A:$A)-2,1))))</f>
        <v/>
      </c>
      <c r="N78" s="23"/>
      <c r="O78" s="19" t="str">
        <f t="shared" si="7"/>
        <v/>
      </c>
    </row>
    <row r="79" spans="1:15" x14ac:dyDescent="0.2">
      <c r="A79" s="12" t="str">
        <f t="shared" si="2"/>
        <v/>
      </c>
      <c r="B79" t="str">
        <f t="shared" si="0"/>
        <v/>
      </c>
      <c r="C79" s="21" t="str">
        <f ca="1">IF(A79="","",IF($B$10="Sí",interpolar_alamb(B79,OFFSET(Curvas_cupon_cero!$A$1,1,0,COUNT(Curvas_cupon_cero!$A:$A)-2,1),OFFSET(Curvas_cupon_cero!$A$1,1,MATCH($B$8,Curvas_cupon_cero!$1:$1,0)-1,COUNT(Curvas_cupon_cero!$A:$A)-2,1)),[1]!interpolar(B79,OFFSET(Curvas_cupon_cero!$A$1,1,0,COUNT(Curvas_cupon_cero!$A:$A)-2,1),OFFSET(Curvas_cupon_cero!$A$1,1,MATCH($B$8,Curvas_cupon_cero!$1:$1,0)-1,COUNT(Curvas_cupon_cero!$A:$A)-2,1))))</f>
        <v/>
      </c>
      <c r="D79" s="23" t="str">
        <f ca="1">IF(A79="","",IF($B$10="Sí",interpolar_alamb(L79,OFFSET(Curvas_cupon_cero!$A$1,1,0,COUNT(Curvas_cupon_cero!$A:$A)-2,1),OFFSET(Curvas_cupon_cero!$A$1,1,MATCH($B$8,Curvas_cupon_cero!$1:$1,0)-1,COUNT(Curvas_cupon_cero!$A:$A)-2,1)),[1]!interpolar(L79,OFFSET(Curvas_cupon_cero!$A$1,1,0,COUNT(Curvas_cupon_cero!$A:$A)-2,1),OFFSET(Curvas_cupon_cero!$A$1,1,MATCH($B$8,Curvas_cupon_cero!$1:$1,0)-1,COUNT(Curvas_cupon_cero!$A:$A)-2,1))))</f>
        <v/>
      </c>
      <c r="E79" s="23" t="str">
        <f t="shared" si="3"/>
        <v/>
      </c>
      <c r="F79" s="23" t="str">
        <f ca="1">IF(A79="","",IF($B$10="Sí",interpolar_alamb(B79,OFFSET(Curvas_cupon_cero!$A$1,1,0,COUNT(Curvas_cupon_cero!$A:$A)-2,1),OFFSET(Curvas_cupon_cero!$A$1,1,MATCH($B$9,Curvas_cupon_cero!$1:$1,0)-1,COUNT(Curvas_cupon_cero!$A:$A)-2,1)),[1]!interpolar(B79,OFFSET(Curvas_cupon_cero!$A$1,1,0,COUNT(Curvas_cupon_cero!$A:$A)-2,1),OFFSET(Curvas_cupon_cero!$A$1,1,MATCH($B$9,Curvas_cupon_cero!$1:$1,0)-1,COUNT(Curvas_cupon_cero!$A:$A)-2,1))))</f>
        <v/>
      </c>
      <c r="G79" s="23" t="str">
        <f t="shared" si="8"/>
        <v/>
      </c>
      <c r="H79" s="20" t="str">
        <f t="shared" si="9"/>
        <v/>
      </c>
      <c r="I79" t="str">
        <f t="shared" si="4"/>
        <v/>
      </c>
      <c r="J79" s="17" t="str">
        <f t="shared" si="1"/>
        <v/>
      </c>
      <c r="K79" s="18" t="str">
        <f t="shared" si="5"/>
        <v/>
      </c>
      <c r="L79" t="str">
        <f t="shared" si="6"/>
        <v/>
      </c>
      <c r="M79" s="23" t="str">
        <f ca="1">IF(A79="","",IF($B$10="Sí",interpolar_alamb(L79,OFFSET(Curvas_cupon_cero!$A$1,1,0,COUNT(Curvas_cupon_cero!$A:$A)-2,1),OFFSET(Curvas_cupon_cero!$A$1,1,MATCH($B$6,Curvas_cupon_cero!$1:$1,0)-1,COUNT(Curvas_cupon_cero!$A:$A)-2,1)),[1]!interpolar(L79,OFFSET(Curvas_cupon_cero!$A$1,1,0,COUNT(Curvas_cupon_cero!$A:$A)-2,1),OFFSET(Curvas_cupon_cero!$A$1,1,MATCH($B$6,Curvas_cupon_cero!$1:$1,0)-1,COUNT(Curvas_cupon_cero!$A:$A)-2,1))))</f>
        <v/>
      </c>
      <c r="N79" s="23"/>
      <c r="O79" s="19" t="str">
        <f t="shared" si="7"/>
        <v/>
      </c>
    </row>
    <row r="80" spans="1:15" x14ac:dyDescent="0.2">
      <c r="A80" s="12" t="str">
        <f t="shared" si="2"/>
        <v/>
      </c>
      <c r="B80" t="str">
        <f t="shared" si="0"/>
        <v/>
      </c>
      <c r="C80" s="21" t="str">
        <f ca="1">IF(A80="","",IF($B$10="Sí",interpolar_alamb(B80,OFFSET(Curvas_cupon_cero!$A$1,1,0,COUNT(Curvas_cupon_cero!$A:$A)-2,1),OFFSET(Curvas_cupon_cero!$A$1,1,MATCH($B$8,Curvas_cupon_cero!$1:$1,0)-1,COUNT(Curvas_cupon_cero!$A:$A)-2,1)),[1]!interpolar(B80,OFFSET(Curvas_cupon_cero!$A$1,1,0,COUNT(Curvas_cupon_cero!$A:$A)-2,1),OFFSET(Curvas_cupon_cero!$A$1,1,MATCH($B$8,Curvas_cupon_cero!$1:$1,0)-1,COUNT(Curvas_cupon_cero!$A:$A)-2,1))))</f>
        <v/>
      </c>
      <c r="D80" s="23" t="str">
        <f ca="1">IF(A80="","",IF($B$10="Sí",interpolar_alamb(L80,OFFSET(Curvas_cupon_cero!$A$1,1,0,COUNT(Curvas_cupon_cero!$A:$A)-2,1),OFFSET(Curvas_cupon_cero!$A$1,1,MATCH($B$8,Curvas_cupon_cero!$1:$1,0)-1,COUNT(Curvas_cupon_cero!$A:$A)-2,1)),[1]!interpolar(L80,OFFSET(Curvas_cupon_cero!$A$1,1,0,COUNT(Curvas_cupon_cero!$A:$A)-2,1),OFFSET(Curvas_cupon_cero!$A$1,1,MATCH($B$8,Curvas_cupon_cero!$1:$1,0)-1,COUNT(Curvas_cupon_cero!$A:$A)-2,1))))</f>
        <v/>
      </c>
      <c r="E80" s="23" t="str">
        <f t="shared" si="3"/>
        <v/>
      </c>
      <c r="F80" s="23" t="str">
        <f ca="1">IF(A80="","",IF($B$10="Sí",interpolar_alamb(B80,OFFSET(Curvas_cupon_cero!$A$1,1,0,COUNT(Curvas_cupon_cero!$A:$A)-2,1),OFFSET(Curvas_cupon_cero!$A$1,1,MATCH($B$9,Curvas_cupon_cero!$1:$1,0)-1,COUNT(Curvas_cupon_cero!$A:$A)-2,1)),[1]!interpolar(B80,OFFSET(Curvas_cupon_cero!$A$1,1,0,COUNT(Curvas_cupon_cero!$A:$A)-2,1),OFFSET(Curvas_cupon_cero!$A$1,1,MATCH($B$9,Curvas_cupon_cero!$1:$1,0)-1,COUNT(Curvas_cupon_cero!$A:$A)-2,1))))</f>
        <v/>
      </c>
      <c r="G80" s="23" t="str">
        <f t="shared" si="8"/>
        <v/>
      </c>
      <c r="H80" s="20" t="str">
        <f t="shared" si="9"/>
        <v/>
      </c>
      <c r="I80" t="str">
        <f t="shared" si="4"/>
        <v/>
      </c>
      <c r="J80" s="17" t="str">
        <f t="shared" si="1"/>
        <v/>
      </c>
      <c r="K80" s="18" t="str">
        <f t="shared" si="5"/>
        <v/>
      </c>
      <c r="L80" t="str">
        <f t="shared" si="6"/>
        <v/>
      </c>
      <c r="M80" s="23" t="str">
        <f ca="1">IF(A80="","",IF($B$10="Sí",interpolar_alamb(L80,OFFSET(Curvas_cupon_cero!$A$1,1,0,COUNT(Curvas_cupon_cero!$A:$A)-2,1),OFFSET(Curvas_cupon_cero!$A$1,1,MATCH($B$6,Curvas_cupon_cero!$1:$1,0)-1,COUNT(Curvas_cupon_cero!$A:$A)-2,1)),[1]!interpolar(L80,OFFSET(Curvas_cupon_cero!$A$1,1,0,COUNT(Curvas_cupon_cero!$A:$A)-2,1),OFFSET(Curvas_cupon_cero!$A$1,1,MATCH($B$6,Curvas_cupon_cero!$1:$1,0)-1,COUNT(Curvas_cupon_cero!$A:$A)-2,1))))</f>
        <v/>
      </c>
      <c r="N80" s="23"/>
      <c r="O80" s="19" t="str">
        <f t="shared" si="7"/>
        <v/>
      </c>
    </row>
    <row r="81" spans="1:15" x14ac:dyDescent="0.2">
      <c r="A81" s="12" t="str">
        <f t="shared" si="2"/>
        <v/>
      </c>
      <c r="B81" t="str">
        <f t="shared" ref="B81:B144" si="10">IF(A81="","",MAX(L81-$B$5,0))</f>
        <v/>
      </c>
      <c r="C81" s="21" t="str">
        <f ca="1">IF(A81="","",IF($B$10="Sí",interpolar_alamb(B81,OFFSET(Curvas_cupon_cero!$A$1,1,0,COUNT(Curvas_cupon_cero!$A:$A)-2,1),OFFSET(Curvas_cupon_cero!$A$1,1,MATCH($B$8,Curvas_cupon_cero!$1:$1,0)-1,COUNT(Curvas_cupon_cero!$A:$A)-2,1)),[1]!interpolar(B81,OFFSET(Curvas_cupon_cero!$A$1,1,0,COUNT(Curvas_cupon_cero!$A:$A)-2,1),OFFSET(Curvas_cupon_cero!$A$1,1,MATCH($B$8,Curvas_cupon_cero!$1:$1,0)-1,COUNT(Curvas_cupon_cero!$A:$A)-2,1))))</f>
        <v/>
      </c>
      <c r="D81" s="23" t="str">
        <f ca="1">IF(A81="","",IF($B$10="Sí",interpolar_alamb(L81,OFFSET(Curvas_cupon_cero!$A$1,1,0,COUNT(Curvas_cupon_cero!$A:$A)-2,1),OFFSET(Curvas_cupon_cero!$A$1,1,MATCH($B$8,Curvas_cupon_cero!$1:$1,0)-1,COUNT(Curvas_cupon_cero!$A:$A)-2,1)),[1]!interpolar(L81,OFFSET(Curvas_cupon_cero!$A$1,1,0,COUNT(Curvas_cupon_cero!$A:$A)-2,1),OFFSET(Curvas_cupon_cero!$A$1,1,MATCH($B$8,Curvas_cupon_cero!$1:$1,0)-1,COUNT(Curvas_cupon_cero!$A:$A)-2,1))))</f>
        <v/>
      </c>
      <c r="E81" s="23" t="str">
        <f t="shared" si="3"/>
        <v/>
      </c>
      <c r="F81" s="23" t="str">
        <f ca="1">IF(A81="","",IF($B$10="Sí",interpolar_alamb(B81,OFFSET(Curvas_cupon_cero!$A$1,1,0,COUNT(Curvas_cupon_cero!$A:$A)-2,1),OFFSET(Curvas_cupon_cero!$A$1,1,MATCH($B$9,Curvas_cupon_cero!$1:$1,0)-1,COUNT(Curvas_cupon_cero!$A:$A)-2,1)),[1]!interpolar(B81,OFFSET(Curvas_cupon_cero!$A$1,1,0,COUNT(Curvas_cupon_cero!$A:$A)-2,1),OFFSET(Curvas_cupon_cero!$A$1,1,MATCH($B$9,Curvas_cupon_cero!$1:$1,0)-1,COUNT(Curvas_cupon_cero!$A:$A)-2,1))))</f>
        <v/>
      </c>
      <c r="G81" s="23" t="str">
        <f t="shared" si="8"/>
        <v/>
      </c>
      <c r="H81" s="20" t="str">
        <f t="shared" si="9"/>
        <v/>
      </c>
      <c r="I81" t="str">
        <f t="shared" si="4"/>
        <v/>
      </c>
      <c r="J81" s="17" t="str">
        <f t="shared" ref="J81:J144" si="11">IF(A81="","",IF(A81=$B$4,$B$1*$B$2+$B$1*$B$5/360*$B$2*(E81*(1-I81)+H81*I81), $B$1*$B$5/360*$B$2*(E81*(1-I81)+H81*I81)))</f>
        <v/>
      </c>
      <c r="K81" s="18" t="str">
        <f t="shared" si="5"/>
        <v/>
      </c>
      <c r="L81" t="str">
        <f t="shared" si="6"/>
        <v/>
      </c>
      <c r="M81" s="23" t="str">
        <f ca="1">IF(A81="","",IF($B$10="Sí",interpolar_alamb(L81,OFFSET(Curvas_cupon_cero!$A$1,1,0,COUNT(Curvas_cupon_cero!$A:$A)-2,1),OFFSET(Curvas_cupon_cero!$A$1,1,MATCH($B$6,Curvas_cupon_cero!$1:$1,0)-1,COUNT(Curvas_cupon_cero!$A:$A)-2,1)),[1]!interpolar(L81,OFFSET(Curvas_cupon_cero!$A$1,1,0,COUNT(Curvas_cupon_cero!$A:$A)-2,1),OFFSET(Curvas_cupon_cero!$A$1,1,MATCH($B$6,Curvas_cupon_cero!$1:$1,0)-1,COUNT(Curvas_cupon_cero!$A:$A)-2,1))))</f>
        <v/>
      </c>
      <c r="N81" s="23"/>
      <c r="O81" s="19" t="str">
        <f t="shared" si="7"/>
        <v/>
      </c>
    </row>
    <row r="82" spans="1:15" x14ac:dyDescent="0.2">
      <c r="A82" s="12" t="str">
        <f t="shared" ref="A82:A145" si="12">IF(A81="","",IF((A81+$B$5)&gt;$B$4,"",(A81+$B$5)))</f>
        <v/>
      </c>
      <c r="B82" t="str">
        <f t="shared" si="10"/>
        <v/>
      </c>
      <c r="C82" s="21" t="str">
        <f ca="1">IF(A82="","",IF($B$10="Sí",interpolar_alamb(B82,OFFSET(Curvas_cupon_cero!$A$1,1,0,COUNT(Curvas_cupon_cero!$A:$A)-2,1),OFFSET(Curvas_cupon_cero!$A$1,1,MATCH($B$8,Curvas_cupon_cero!$1:$1,0)-1,COUNT(Curvas_cupon_cero!$A:$A)-2,1)),[1]!interpolar(B82,OFFSET(Curvas_cupon_cero!$A$1,1,0,COUNT(Curvas_cupon_cero!$A:$A)-2,1),OFFSET(Curvas_cupon_cero!$A$1,1,MATCH($B$8,Curvas_cupon_cero!$1:$1,0)-1,COUNT(Curvas_cupon_cero!$A:$A)-2,1))))</f>
        <v/>
      </c>
      <c r="D82" s="23" t="str">
        <f ca="1">IF(A82="","",IF($B$10="Sí",interpolar_alamb(L82,OFFSET(Curvas_cupon_cero!$A$1,1,0,COUNT(Curvas_cupon_cero!$A:$A)-2,1),OFFSET(Curvas_cupon_cero!$A$1,1,MATCH($B$8,Curvas_cupon_cero!$1:$1,0)-1,COUNT(Curvas_cupon_cero!$A:$A)-2,1)),[1]!interpolar(L82,OFFSET(Curvas_cupon_cero!$A$1,1,0,COUNT(Curvas_cupon_cero!$A:$A)-2,1),OFFSET(Curvas_cupon_cero!$A$1,1,MATCH($B$8,Curvas_cupon_cero!$1:$1,0)-1,COUNT(Curvas_cupon_cero!$A:$A)-2,1))))</f>
        <v/>
      </c>
      <c r="E82" s="23" t="str">
        <f t="shared" ref="E82:E145" si="13">IF(A82="","",((1+D82*L82/360)/(1+C82*B82/360)-1)*(360/(L82-B82)))</f>
        <v/>
      </c>
      <c r="F82" s="23" t="str">
        <f ca="1">IF(A82="","",IF($B$10="Sí",interpolar_alamb(B82,OFFSET(Curvas_cupon_cero!$A$1,1,0,COUNT(Curvas_cupon_cero!$A:$A)-2,1),OFFSET(Curvas_cupon_cero!$A$1,1,MATCH($B$9,Curvas_cupon_cero!$1:$1,0)-1,COUNT(Curvas_cupon_cero!$A:$A)-2,1)),[1]!interpolar(B82,OFFSET(Curvas_cupon_cero!$A$1,1,0,COUNT(Curvas_cupon_cero!$A:$A)-2,1),OFFSET(Curvas_cupon_cero!$A$1,1,MATCH($B$9,Curvas_cupon_cero!$1:$1,0)-1,COUNT(Curvas_cupon_cero!$A:$A)-2,1))))</f>
        <v/>
      </c>
      <c r="G82" s="23" t="str">
        <f t="shared" ref="G82:G145" si="14">IF(A82="","",$B$11*(1+M82*L82/360)/(1+F82*L82/360))</f>
        <v/>
      </c>
      <c r="H82" s="20" t="str">
        <f t="shared" si="9"/>
        <v/>
      </c>
      <c r="I82" t="str">
        <f t="shared" ref="I82:I145" si="15">IF(A82="","",IF(H82&gt;E82,1,0))</f>
        <v/>
      </c>
      <c r="J82" s="17" t="str">
        <f t="shared" si="11"/>
        <v/>
      </c>
      <c r="K82" s="18" t="str">
        <f t="shared" ref="K82:K145" si="16">IF(A82="","",$B$5)</f>
        <v/>
      </c>
      <c r="L82" t="str">
        <f t="shared" ref="L82:L145" si="17">IF(A82="","",L81+K82)</f>
        <v/>
      </c>
      <c r="M82" s="23" t="str">
        <f ca="1">IF(A82="","",IF($B$10="Sí",interpolar_alamb(L82,OFFSET(Curvas_cupon_cero!$A$1,1,0,COUNT(Curvas_cupon_cero!$A:$A)-2,1),OFFSET(Curvas_cupon_cero!$A$1,1,MATCH($B$6,Curvas_cupon_cero!$1:$1,0)-1,COUNT(Curvas_cupon_cero!$A:$A)-2,1)),[1]!interpolar(L82,OFFSET(Curvas_cupon_cero!$A$1,1,0,COUNT(Curvas_cupon_cero!$A:$A)-2,1),OFFSET(Curvas_cupon_cero!$A$1,1,MATCH($B$6,Curvas_cupon_cero!$1:$1,0)-1,COUNT(Curvas_cupon_cero!$A:$A)-2,1))))</f>
        <v/>
      </c>
      <c r="N82" s="23"/>
      <c r="O82" s="19" t="str">
        <f t="shared" ref="O82:O145" si="18">IF(A82="","",J82/(1+(M82+N82)*L82/360))</f>
        <v/>
      </c>
    </row>
    <row r="83" spans="1:15" x14ac:dyDescent="0.2">
      <c r="A83" s="12" t="str">
        <f t="shared" si="12"/>
        <v/>
      </c>
      <c r="B83" t="str">
        <f t="shared" si="10"/>
        <v/>
      </c>
      <c r="C83" s="21" t="str">
        <f ca="1">IF(A83="","",IF($B$10="Sí",interpolar_alamb(B83,OFFSET(Curvas_cupon_cero!$A$1,1,0,COUNT(Curvas_cupon_cero!$A:$A)-2,1),OFFSET(Curvas_cupon_cero!$A$1,1,MATCH($B$8,Curvas_cupon_cero!$1:$1,0)-1,COUNT(Curvas_cupon_cero!$A:$A)-2,1)),[1]!interpolar(B83,OFFSET(Curvas_cupon_cero!$A$1,1,0,COUNT(Curvas_cupon_cero!$A:$A)-2,1),OFFSET(Curvas_cupon_cero!$A$1,1,MATCH($B$8,Curvas_cupon_cero!$1:$1,0)-1,COUNT(Curvas_cupon_cero!$A:$A)-2,1))))</f>
        <v/>
      </c>
      <c r="D83" s="23" t="str">
        <f ca="1">IF(A83="","",IF($B$10="Sí",interpolar_alamb(L83,OFFSET(Curvas_cupon_cero!$A$1,1,0,COUNT(Curvas_cupon_cero!$A:$A)-2,1),OFFSET(Curvas_cupon_cero!$A$1,1,MATCH($B$8,Curvas_cupon_cero!$1:$1,0)-1,COUNT(Curvas_cupon_cero!$A:$A)-2,1)),[1]!interpolar(L83,OFFSET(Curvas_cupon_cero!$A$1,1,0,COUNT(Curvas_cupon_cero!$A:$A)-2,1),OFFSET(Curvas_cupon_cero!$A$1,1,MATCH($B$8,Curvas_cupon_cero!$1:$1,0)-1,COUNT(Curvas_cupon_cero!$A:$A)-2,1))))</f>
        <v/>
      </c>
      <c r="E83" s="23" t="str">
        <f t="shared" si="13"/>
        <v/>
      </c>
      <c r="F83" s="23" t="str">
        <f ca="1">IF(A83="","",IF($B$10="Sí",interpolar_alamb(B83,OFFSET(Curvas_cupon_cero!$A$1,1,0,COUNT(Curvas_cupon_cero!$A:$A)-2,1),OFFSET(Curvas_cupon_cero!$A$1,1,MATCH($B$9,Curvas_cupon_cero!$1:$1,0)-1,COUNT(Curvas_cupon_cero!$A:$A)-2,1)),[1]!interpolar(B83,OFFSET(Curvas_cupon_cero!$A$1,1,0,COUNT(Curvas_cupon_cero!$A:$A)-2,1),OFFSET(Curvas_cupon_cero!$A$1,1,MATCH($B$9,Curvas_cupon_cero!$1:$1,0)-1,COUNT(Curvas_cupon_cero!$A:$A)-2,1))))</f>
        <v/>
      </c>
      <c r="G83" s="23" t="str">
        <f t="shared" si="14"/>
        <v/>
      </c>
      <c r="H83" s="20" t="str">
        <f t="shared" ref="H83:H146" si="19">IF(A83="","",(G83/G82-1)*360/$B$5)</f>
        <v/>
      </c>
      <c r="I83" t="str">
        <f t="shared" si="15"/>
        <v/>
      </c>
      <c r="J83" s="17" t="str">
        <f t="shared" si="11"/>
        <v/>
      </c>
      <c r="K83" s="18" t="str">
        <f t="shared" si="16"/>
        <v/>
      </c>
      <c r="L83" t="str">
        <f t="shared" si="17"/>
        <v/>
      </c>
      <c r="M83" s="23" t="str">
        <f ca="1">IF(A83="","",IF($B$10="Sí",interpolar_alamb(L83,OFFSET(Curvas_cupon_cero!$A$1,1,0,COUNT(Curvas_cupon_cero!$A:$A)-2,1),OFFSET(Curvas_cupon_cero!$A$1,1,MATCH($B$6,Curvas_cupon_cero!$1:$1,0)-1,COUNT(Curvas_cupon_cero!$A:$A)-2,1)),[1]!interpolar(L83,OFFSET(Curvas_cupon_cero!$A$1,1,0,COUNT(Curvas_cupon_cero!$A:$A)-2,1),OFFSET(Curvas_cupon_cero!$A$1,1,MATCH($B$6,Curvas_cupon_cero!$1:$1,0)-1,COUNT(Curvas_cupon_cero!$A:$A)-2,1))))</f>
        <v/>
      </c>
      <c r="N83" s="23"/>
      <c r="O83" s="19" t="str">
        <f t="shared" si="18"/>
        <v/>
      </c>
    </row>
    <row r="84" spans="1:15" x14ac:dyDescent="0.2">
      <c r="A84" s="12" t="str">
        <f t="shared" si="12"/>
        <v/>
      </c>
      <c r="B84" t="str">
        <f t="shared" si="10"/>
        <v/>
      </c>
      <c r="C84" s="21" t="str">
        <f ca="1">IF(A84="","",IF($B$10="Sí",interpolar_alamb(B84,OFFSET(Curvas_cupon_cero!$A$1,1,0,COUNT(Curvas_cupon_cero!$A:$A)-2,1),OFFSET(Curvas_cupon_cero!$A$1,1,MATCH($B$8,Curvas_cupon_cero!$1:$1,0)-1,COUNT(Curvas_cupon_cero!$A:$A)-2,1)),[1]!interpolar(B84,OFFSET(Curvas_cupon_cero!$A$1,1,0,COUNT(Curvas_cupon_cero!$A:$A)-2,1),OFFSET(Curvas_cupon_cero!$A$1,1,MATCH($B$8,Curvas_cupon_cero!$1:$1,0)-1,COUNT(Curvas_cupon_cero!$A:$A)-2,1))))</f>
        <v/>
      </c>
      <c r="D84" s="23" t="str">
        <f ca="1">IF(A84="","",IF($B$10="Sí",interpolar_alamb(L84,OFFSET(Curvas_cupon_cero!$A$1,1,0,COUNT(Curvas_cupon_cero!$A:$A)-2,1),OFFSET(Curvas_cupon_cero!$A$1,1,MATCH($B$8,Curvas_cupon_cero!$1:$1,0)-1,COUNT(Curvas_cupon_cero!$A:$A)-2,1)),[1]!interpolar(L84,OFFSET(Curvas_cupon_cero!$A$1,1,0,COUNT(Curvas_cupon_cero!$A:$A)-2,1),OFFSET(Curvas_cupon_cero!$A$1,1,MATCH($B$8,Curvas_cupon_cero!$1:$1,0)-1,COUNT(Curvas_cupon_cero!$A:$A)-2,1))))</f>
        <v/>
      </c>
      <c r="E84" s="23" t="str">
        <f t="shared" si="13"/>
        <v/>
      </c>
      <c r="F84" s="23" t="str">
        <f ca="1">IF(A84="","",IF($B$10="Sí",interpolar_alamb(B84,OFFSET(Curvas_cupon_cero!$A$1,1,0,COUNT(Curvas_cupon_cero!$A:$A)-2,1),OFFSET(Curvas_cupon_cero!$A$1,1,MATCH($B$9,Curvas_cupon_cero!$1:$1,0)-1,COUNT(Curvas_cupon_cero!$A:$A)-2,1)),[1]!interpolar(B84,OFFSET(Curvas_cupon_cero!$A$1,1,0,COUNT(Curvas_cupon_cero!$A:$A)-2,1),OFFSET(Curvas_cupon_cero!$A$1,1,MATCH($B$9,Curvas_cupon_cero!$1:$1,0)-1,COUNT(Curvas_cupon_cero!$A:$A)-2,1))))</f>
        <v/>
      </c>
      <c r="G84" s="23" t="str">
        <f t="shared" si="14"/>
        <v/>
      </c>
      <c r="H84" s="20" t="str">
        <f t="shared" si="19"/>
        <v/>
      </c>
      <c r="I84" t="str">
        <f t="shared" si="15"/>
        <v/>
      </c>
      <c r="J84" s="17" t="str">
        <f t="shared" si="11"/>
        <v/>
      </c>
      <c r="K84" s="18" t="str">
        <f t="shared" si="16"/>
        <v/>
      </c>
      <c r="L84" t="str">
        <f t="shared" si="17"/>
        <v/>
      </c>
      <c r="M84" s="23" t="str">
        <f ca="1">IF(A84="","",IF($B$10="Sí",interpolar_alamb(L84,OFFSET(Curvas_cupon_cero!$A$1,1,0,COUNT(Curvas_cupon_cero!$A:$A)-2,1),OFFSET(Curvas_cupon_cero!$A$1,1,MATCH($B$6,Curvas_cupon_cero!$1:$1,0)-1,COUNT(Curvas_cupon_cero!$A:$A)-2,1)),[1]!interpolar(L84,OFFSET(Curvas_cupon_cero!$A$1,1,0,COUNT(Curvas_cupon_cero!$A:$A)-2,1),OFFSET(Curvas_cupon_cero!$A$1,1,MATCH($B$6,Curvas_cupon_cero!$1:$1,0)-1,COUNT(Curvas_cupon_cero!$A:$A)-2,1))))</f>
        <v/>
      </c>
      <c r="N84" s="23"/>
      <c r="O84" s="19" t="str">
        <f t="shared" si="18"/>
        <v/>
      </c>
    </row>
    <row r="85" spans="1:15" x14ac:dyDescent="0.2">
      <c r="A85" s="12" t="str">
        <f t="shared" si="12"/>
        <v/>
      </c>
      <c r="B85" t="str">
        <f t="shared" si="10"/>
        <v/>
      </c>
      <c r="C85" s="21" t="str">
        <f ca="1">IF(A85="","",IF($B$10="Sí",interpolar_alamb(B85,OFFSET(Curvas_cupon_cero!$A$1,1,0,COUNT(Curvas_cupon_cero!$A:$A)-2,1),OFFSET(Curvas_cupon_cero!$A$1,1,MATCH($B$8,Curvas_cupon_cero!$1:$1,0)-1,COUNT(Curvas_cupon_cero!$A:$A)-2,1)),[1]!interpolar(B85,OFFSET(Curvas_cupon_cero!$A$1,1,0,COUNT(Curvas_cupon_cero!$A:$A)-2,1),OFFSET(Curvas_cupon_cero!$A$1,1,MATCH($B$8,Curvas_cupon_cero!$1:$1,0)-1,COUNT(Curvas_cupon_cero!$A:$A)-2,1))))</f>
        <v/>
      </c>
      <c r="D85" s="23" t="str">
        <f ca="1">IF(A85="","",IF($B$10="Sí",interpolar_alamb(L85,OFFSET(Curvas_cupon_cero!$A$1,1,0,COUNT(Curvas_cupon_cero!$A:$A)-2,1),OFFSET(Curvas_cupon_cero!$A$1,1,MATCH($B$8,Curvas_cupon_cero!$1:$1,0)-1,COUNT(Curvas_cupon_cero!$A:$A)-2,1)),[1]!interpolar(L85,OFFSET(Curvas_cupon_cero!$A$1,1,0,COUNT(Curvas_cupon_cero!$A:$A)-2,1),OFFSET(Curvas_cupon_cero!$A$1,1,MATCH($B$8,Curvas_cupon_cero!$1:$1,0)-1,COUNT(Curvas_cupon_cero!$A:$A)-2,1))))</f>
        <v/>
      </c>
      <c r="E85" s="23" t="str">
        <f t="shared" si="13"/>
        <v/>
      </c>
      <c r="F85" s="23" t="str">
        <f ca="1">IF(A85="","",IF($B$10="Sí",interpolar_alamb(B85,OFFSET(Curvas_cupon_cero!$A$1,1,0,COUNT(Curvas_cupon_cero!$A:$A)-2,1),OFFSET(Curvas_cupon_cero!$A$1,1,MATCH($B$9,Curvas_cupon_cero!$1:$1,0)-1,COUNT(Curvas_cupon_cero!$A:$A)-2,1)),[1]!interpolar(B85,OFFSET(Curvas_cupon_cero!$A$1,1,0,COUNT(Curvas_cupon_cero!$A:$A)-2,1),OFFSET(Curvas_cupon_cero!$A$1,1,MATCH($B$9,Curvas_cupon_cero!$1:$1,0)-1,COUNT(Curvas_cupon_cero!$A:$A)-2,1))))</f>
        <v/>
      </c>
      <c r="G85" s="23" t="str">
        <f t="shared" si="14"/>
        <v/>
      </c>
      <c r="H85" s="20" t="str">
        <f t="shared" si="19"/>
        <v/>
      </c>
      <c r="I85" t="str">
        <f t="shared" si="15"/>
        <v/>
      </c>
      <c r="J85" s="17" t="str">
        <f t="shared" si="11"/>
        <v/>
      </c>
      <c r="K85" s="18" t="str">
        <f t="shared" si="16"/>
        <v/>
      </c>
      <c r="L85" t="str">
        <f t="shared" si="17"/>
        <v/>
      </c>
      <c r="M85" s="23" t="str">
        <f ca="1">IF(A85="","",IF($B$10="Sí",interpolar_alamb(L85,OFFSET(Curvas_cupon_cero!$A$1,1,0,COUNT(Curvas_cupon_cero!$A:$A)-2,1),OFFSET(Curvas_cupon_cero!$A$1,1,MATCH($B$6,Curvas_cupon_cero!$1:$1,0)-1,COUNT(Curvas_cupon_cero!$A:$A)-2,1)),[1]!interpolar(L85,OFFSET(Curvas_cupon_cero!$A$1,1,0,COUNT(Curvas_cupon_cero!$A:$A)-2,1),OFFSET(Curvas_cupon_cero!$A$1,1,MATCH($B$6,Curvas_cupon_cero!$1:$1,0)-1,COUNT(Curvas_cupon_cero!$A:$A)-2,1))))</f>
        <v/>
      </c>
      <c r="N85" s="23"/>
      <c r="O85" s="19" t="str">
        <f t="shared" si="18"/>
        <v/>
      </c>
    </row>
    <row r="86" spans="1:15" x14ac:dyDescent="0.2">
      <c r="A86" s="12" t="str">
        <f t="shared" si="12"/>
        <v/>
      </c>
      <c r="B86" t="str">
        <f t="shared" si="10"/>
        <v/>
      </c>
      <c r="C86" s="21" t="str">
        <f ca="1">IF(A86="","",IF($B$10="Sí",interpolar_alamb(B86,OFFSET(Curvas_cupon_cero!$A$1,1,0,COUNT(Curvas_cupon_cero!$A:$A)-2,1),OFFSET(Curvas_cupon_cero!$A$1,1,MATCH($B$8,Curvas_cupon_cero!$1:$1,0)-1,COUNT(Curvas_cupon_cero!$A:$A)-2,1)),[1]!interpolar(B86,OFFSET(Curvas_cupon_cero!$A$1,1,0,COUNT(Curvas_cupon_cero!$A:$A)-2,1),OFFSET(Curvas_cupon_cero!$A$1,1,MATCH($B$8,Curvas_cupon_cero!$1:$1,0)-1,COUNT(Curvas_cupon_cero!$A:$A)-2,1))))</f>
        <v/>
      </c>
      <c r="D86" s="23" t="str">
        <f ca="1">IF(A86="","",IF($B$10="Sí",interpolar_alamb(L86,OFFSET(Curvas_cupon_cero!$A$1,1,0,COUNT(Curvas_cupon_cero!$A:$A)-2,1),OFFSET(Curvas_cupon_cero!$A$1,1,MATCH($B$8,Curvas_cupon_cero!$1:$1,0)-1,COUNT(Curvas_cupon_cero!$A:$A)-2,1)),[1]!interpolar(L86,OFFSET(Curvas_cupon_cero!$A$1,1,0,COUNT(Curvas_cupon_cero!$A:$A)-2,1),OFFSET(Curvas_cupon_cero!$A$1,1,MATCH($B$8,Curvas_cupon_cero!$1:$1,0)-1,COUNT(Curvas_cupon_cero!$A:$A)-2,1))))</f>
        <v/>
      </c>
      <c r="E86" s="23" t="str">
        <f t="shared" si="13"/>
        <v/>
      </c>
      <c r="F86" s="23" t="str">
        <f ca="1">IF(A86="","",IF($B$10="Sí",interpolar_alamb(B86,OFFSET(Curvas_cupon_cero!$A$1,1,0,COUNT(Curvas_cupon_cero!$A:$A)-2,1),OFFSET(Curvas_cupon_cero!$A$1,1,MATCH($B$9,Curvas_cupon_cero!$1:$1,0)-1,COUNT(Curvas_cupon_cero!$A:$A)-2,1)),[1]!interpolar(B86,OFFSET(Curvas_cupon_cero!$A$1,1,0,COUNT(Curvas_cupon_cero!$A:$A)-2,1),OFFSET(Curvas_cupon_cero!$A$1,1,MATCH($B$9,Curvas_cupon_cero!$1:$1,0)-1,COUNT(Curvas_cupon_cero!$A:$A)-2,1))))</f>
        <v/>
      </c>
      <c r="G86" s="23" t="str">
        <f t="shared" si="14"/>
        <v/>
      </c>
      <c r="H86" s="20" t="str">
        <f t="shared" si="19"/>
        <v/>
      </c>
      <c r="I86" t="str">
        <f t="shared" si="15"/>
        <v/>
      </c>
      <c r="J86" s="17" t="str">
        <f t="shared" si="11"/>
        <v/>
      </c>
      <c r="K86" s="18" t="str">
        <f t="shared" si="16"/>
        <v/>
      </c>
      <c r="L86" t="str">
        <f t="shared" si="17"/>
        <v/>
      </c>
      <c r="M86" s="23" t="str">
        <f ca="1">IF(A86="","",IF($B$10="Sí",interpolar_alamb(L86,OFFSET(Curvas_cupon_cero!$A$1,1,0,COUNT(Curvas_cupon_cero!$A:$A)-2,1),OFFSET(Curvas_cupon_cero!$A$1,1,MATCH($B$6,Curvas_cupon_cero!$1:$1,0)-1,COUNT(Curvas_cupon_cero!$A:$A)-2,1)),[1]!interpolar(L86,OFFSET(Curvas_cupon_cero!$A$1,1,0,COUNT(Curvas_cupon_cero!$A:$A)-2,1),OFFSET(Curvas_cupon_cero!$A$1,1,MATCH($B$6,Curvas_cupon_cero!$1:$1,0)-1,COUNT(Curvas_cupon_cero!$A:$A)-2,1))))</f>
        <v/>
      </c>
      <c r="N86" s="23"/>
      <c r="O86" s="19" t="str">
        <f t="shared" si="18"/>
        <v/>
      </c>
    </row>
    <row r="87" spans="1:15" x14ac:dyDescent="0.2">
      <c r="A87" s="12" t="str">
        <f t="shared" si="12"/>
        <v/>
      </c>
      <c r="B87" t="str">
        <f t="shared" si="10"/>
        <v/>
      </c>
      <c r="C87" s="21" t="str">
        <f ca="1">IF(A87="","",IF($B$10="Sí",interpolar_alamb(B87,OFFSET(Curvas_cupon_cero!$A$1,1,0,COUNT(Curvas_cupon_cero!$A:$A)-2,1),OFFSET(Curvas_cupon_cero!$A$1,1,MATCH($B$8,Curvas_cupon_cero!$1:$1,0)-1,COUNT(Curvas_cupon_cero!$A:$A)-2,1)),[1]!interpolar(B87,OFFSET(Curvas_cupon_cero!$A$1,1,0,COUNT(Curvas_cupon_cero!$A:$A)-2,1),OFFSET(Curvas_cupon_cero!$A$1,1,MATCH($B$8,Curvas_cupon_cero!$1:$1,0)-1,COUNT(Curvas_cupon_cero!$A:$A)-2,1))))</f>
        <v/>
      </c>
      <c r="D87" s="23" t="str">
        <f ca="1">IF(A87="","",IF($B$10="Sí",interpolar_alamb(L87,OFFSET(Curvas_cupon_cero!$A$1,1,0,COUNT(Curvas_cupon_cero!$A:$A)-2,1),OFFSET(Curvas_cupon_cero!$A$1,1,MATCH($B$8,Curvas_cupon_cero!$1:$1,0)-1,COUNT(Curvas_cupon_cero!$A:$A)-2,1)),[1]!interpolar(L87,OFFSET(Curvas_cupon_cero!$A$1,1,0,COUNT(Curvas_cupon_cero!$A:$A)-2,1),OFFSET(Curvas_cupon_cero!$A$1,1,MATCH($B$8,Curvas_cupon_cero!$1:$1,0)-1,COUNT(Curvas_cupon_cero!$A:$A)-2,1))))</f>
        <v/>
      </c>
      <c r="E87" s="23" t="str">
        <f t="shared" si="13"/>
        <v/>
      </c>
      <c r="F87" s="23" t="str">
        <f ca="1">IF(A87="","",IF($B$10="Sí",interpolar_alamb(B87,OFFSET(Curvas_cupon_cero!$A$1,1,0,COUNT(Curvas_cupon_cero!$A:$A)-2,1),OFFSET(Curvas_cupon_cero!$A$1,1,MATCH($B$9,Curvas_cupon_cero!$1:$1,0)-1,COUNT(Curvas_cupon_cero!$A:$A)-2,1)),[1]!interpolar(B87,OFFSET(Curvas_cupon_cero!$A$1,1,0,COUNT(Curvas_cupon_cero!$A:$A)-2,1),OFFSET(Curvas_cupon_cero!$A$1,1,MATCH($B$9,Curvas_cupon_cero!$1:$1,0)-1,COUNT(Curvas_cupon_cero!$A:$A)-2,1))))</f>
        <v/>
      </c>
      <c r="G87" s="23" t="str">
        <f t="shared" si="14"/>
        <v/>
      </c>
      <c r="H87" s="20" t="str">
        <f t="shared" si="19"/>
        <v/>
      </c>
      <c r="I87" t="str">
        <f t="shared" si="15"/>
        <v/>
      </c>
      <c r="J87" s="17" t="str">
        <f t="shared" si="11"/>
        <v/>
      </c>
      <c r="K87" s="18" t="str">
        <f t="shared" si="16"/>
        <v/>
      </c>
      <c r="L87" t="str">
        <f t="shared" si="17"/>
        <v/>
      </c>
      <c r="M87" s="23" t="str">
        <f ca="1">IF(A87="","",IF($B$10="Sí",interpolar_alamb(L87,OFFSET(Curvas_cupon_cero!$A$1,1,0,COUNT(Curvas_cupon_cero!$A:$A)-2,1),OFFSET(Curvas_cupon_cero!$A$1,1,MATCH($B$6,Curvas_cupon_cero!$1:$1,0)-1,COUNT(Curvas_cupon_cero!$A:$A)-2,1)),[1]!interpolar(L87,OFFSET(Curvas_cupon_cero!$A$1,1,0,COUNT(Curvas_cupon_cero!$A:$A)-2,1),OFFSET(Curvas_cupon_cero!$A$1,1,MATCH($B$6,Curvas_cupon_cero!$1:$1,0)-1,COUNT(Curvas_cupon_cero!$A:$A)-2,1))))</f>
        <v/>
      </c>
      <c r="N87" s="23"/>
      <c r="O87" s="19" t="str">
        <f t="shared" si="18"/>
        <v/>
      </c>
    </row>
    <row r="88" spans="1:15" x14ac:dyDescent="0.2">
      <c r="A88" s="12" t="str">
        <f t="shared" si="12"/>
        <v/>
      </c>
      <c r="B88" t="str">
        <f t="shared" si="10"/>
        <v/>
      </c>
      <c r="C88" s="21" t="str">
        <f ca="1">IF(A88="","",IF($B$10="Sí",interpolar_alamb(B88,OFFSET(Curvas_cupon_cero!$A$1,1,0,COUNT(Curvas_cupon_cero!$A:$A)-2,1),OFFSET(Curvas_cupon_cero!$A$1,1,MATCH($B$8,Curvas_cupon_cero!$1:$1,0)-1,COUNT(Curvas_cupon_cero!$A:$A)-2,1)),[1]!interpolar(B88,OFFSET(Curvas_cupon_cero!$A$1,1,0,COUNT(Curvas_cupon_cero!$A:$A)-2,1),OFFSET(Curvas_cupon_cero!$A$1,1,MATCH($B$8,Curvas_cupon_cero!$1:$1,0)-1,COUNT(Curvas_cupon_cero!$A:$A)-2,1))))</f>
        <v/>
      </c>
      <c r="D88" s="23" t="str">
        <f ca="1">IF(A88="","",IF($B$10="Sí",interpolar_alamb(L88,OFFSET(Curvas_cupon_cero!$A$1,1,0,COUNT(Curvas_cupon_cero!$A:$A)-2,1),OFFSET(Curvas_cupon_cero!$A$1,1,MATCH($B$8,Curvas_cupon_cero!$1:$1,0)-1,COUNT(Curvas_cupon_cero!$A:$A)-2,1)),[1]!interpolar(L88,OFFSET(Curvas_cupon_cero!$A$1,1,0,COUNT(Curvas_cupon_cero!$A:$A)-2,1),OFFSET(Curvas_cupon_cero!$A$1,1,MATCH($B$8,Curvas_cupon_cero!$1:$1,0)-1,COUNT(Curvas_cupon_cero!$A:$A)-2,1))))</f>
        <v/>
      </c>
      <c r="E88" s="23" t="str">
        <f t="shared" si="13"/>
        <v/>
      </c>
      <c r="F88" s="23" t="str">
        <f ca="1">IF(A88="","",IF($B$10="Sí",interpolar_alamb(B88,OFFSET(Curvas_cupon_cero!$A$1,1,0,COUNT(Curvas_cupon_cero!$A:$A)-2,1),OFFSET(Curvas_cupon_cero!$A$1,1,MATCH($B$9,Curvas_cupon_cero!$1:$1,0)-1,COUNT(Curvas_cupon_cero!$A:$A)-2,1)),[1]!interpolar(B88,OFFSET(Curvas_cupon_cero!$A$1,1,0,COUNT(Curvas_cupon_cero!$A:$A)-2,1),OFFSET(Curvas_cupon_cero!$A$1,1,MATCH($B$9,Curvas_cupon_cero!$1:$1,0)-1,COUNT(Curvas_cupon_cero!$A:$A)-2,1))))</f>
        <v/>
      </c>
      <c r="G88" s="23" t="str">
        <f t="shared" si="14"/>
        <v/>
      </c>
      <c r="H88" s="20" t="str">
        <f t="shared" si="19"/>
        <v/>
      </c>
      <c r="I88" t="str">
        <f t="shared" si="15"/>
        <v/>
      </c>
      <c r="J88" s="17" t="str">
        <f t="shared" si="11"/>
        <v/>
      </c>
      <c r="K88" s="18" t="str">
        <f t="shared" si="16"/>
        <v/>
      </c>
      <c r="L88" t="str">
        <f t="shared" si="17"/>
        <v/>
      </c>
      <c r="M88" s="23" t="str">
        <f ca="1">IF(A88="","",IF($B$10="Sí",interpolar_alamb(L88,OFFSET(Curvas_cupon_cero!$A$1,1,0,COUNT(Curvas_cupon_cero!$A:$A)-2,1),OFFSET(Curvas_cupon_cero!$A$1,1,MATCH($B$6,Curvas_cupon_cero!$1:$1,0)-1,COUNT(Curvas_cupon_cero!$A:$A)-2,1)),[1]!interpolar(L88,OFFSET(Curvas_cupon_cero!$A$1,1,0,COUNT(Curvas_cupon_cero!$A:$A)-2,1),OFFSET(Curvas_cupon_cero!$A$1,1,MATCH($B$6,Curvas_cupon_cero!$1:$1,0)-1,COUNT(Curvas_cupon_cero!$A:$A)-2,1))))</f>
        <v/>
      </c>
      <c r="N88" s="23"/>
      <c r="O88" s="19" t="str">
        <f t="shared" si="18"/>
        <v/>
      </c>
    </row>
    <row r="89" spans="1:15" x14ac:dyDescent="0.2">
      <c r="A89" s="12" t="str">
        <f t="shared" si="12"/>
        <v/>
      </c>
      <c r="B89" t="str">
        <f t="shared" si="10"/>
        <v/>
      </c>
      <c r="C89" s="21" t="str">
        <f ca="1">IF(A89="","",IF($B$10="Sí",interpolar_alamb(B89,OFFSET(Curvas_cupon_cero!$A$1,1,0,COUNT(Curvas_cupon_cero!$A:$A)-2,1),OFFSET(Curvas_cupon_cero!$A$1,1,MATCH($B$8,Curvas_cupon_cero!$1:$1,0)-1,COUNT(Curvas_cupon_cero!$A:$A)-2,1)),[1]!interpolar(B89,OFFSET(Curvas_cupon_cero!$A$1,1,0,COUNT(Curvas_cupon_cero!$A:$A)-2,1),OFFSET(Curvas_cupon_cero!$A$1,1,MATCH($B$8,Curvas_cupon_cero!$1:$1,0)-1,COUNT(Curvas_cupon_cero!$A:$A)-2,1))))</f>
        <v/>
      </c>
      <c r="D89" s="23" t="str">
        <f ca="1">IF(A89="","",IF($B$10="Sí",interpolar_alamb(L89,OFFSET(Curvas_cupon_cero!$A$1,1,0,COUNT(Curvas_cupon_cero!$A:$A)-2,1),OFFSET(Curvas_cupon_cero!$A$1,1,MATCH($B$8,Curvas_cupon_cero!$1:$1,0)-1,COUNT(Curvas_cupon_cero!$A:$A)-2,1)),[1]!interpolar(L89,OFFSET(Curvas_cupon_cero!$A$1,1,0,COUNT(Curvas_cupon_cero!$A:$A)-2,1),OFFSET(Curvas_cupon_cero!$A$1,1,MATCH($B$8,Curvas_cupon_cero!$1:$1,0)-1,COUNT(Curvas_cupon_cero!$A:$A)-2,1))))</f>
        <v/>
      </c>
      <c r="E89" s="23" t="str">
        <f t="shared" si="13"/>
        <v/>
      </c>
      <c r="F89" s="23" t="str">
        <f ca="1">IF(A89="","",IF($B$10="Sí",interpolar_alamb(B89,OFFSET(Curvas_cupon_cero!$A$1,1,0,COUNT(Curvas_cupon_cero!$A:$A)-2,1),OFFSET(Curvas_cupon_cero!$A$1,1,MATCH($B$9,Curvas_cupon_cero!$1:$1,0)-1,COUNT(Curvas_cupon_cero!$A:$A)-2,1)),[1]!interpolar(B89,OFFSET(Curvas_cupon_cero!$A$1,1,0,COUNT(Curvas_cupon_cero!$A:$A)-2,1),OFFSET(Curvas_cupon_cero!$A$1,1,MATCH($B$9,Curvas_cupon_cero!$1:$1,0)-1,COUNT(Curvas_cupon_cero!$A:$A)-2,1))))</f>
        <v/>
      </c>
      <c r="G89" s="23" t="str">
        <f t="shared" si="14"/>
        <v/>
      </c>
      <c r="H89" s="20" t="str">
        <f t="shared" si="19"/>
        <v/>
      </c>
      <c r="I89" t="str">
        <f t="shared" si="15"/>
        <v/>
      </c>
      <c r="J89" s="17" t="str">
        <f t="shared" si="11"/>
        <v/>
      </c>
      <c r="K89" s="18" t="str">
        <f t="shared" si="16"/>
        <v/>
      </c>
      <c r="L89" t="str">
        <f t="shared" si="17"/>
        <v/>
      </c>
      <c r="M89" s="23" t="str">
        <f ca="1">IF(A89="","",IF($B$10="Sí",interpolar_alamb(L89,OFFSET(Curvas_cupon_cero!$A$1,1,0,COUNT(Curvas_cupon_cero!$A:$A)-2,1),OFFSET(Curvas_cupon_cero!$A$1,1,MATCH($B$6,Curvas_cupon_cero!$1:$1,0)-1,COUNT(Curvas_cupon_cero!$A:$A)-2,1)),[1]!interpolar(L89,OFFSET(Curvas_cupon_cero!$A$1,1,0,COUNT(Curvas_cupon_cero!$A:$A)-2,1),OFFSET(Curvas_cupon_cero!$A$1,1,MATCH($B$6,Curvas_cupon_cero!$1:$1,0)-1,COUNT(Curvas_cupon_cero!$A:$A)-2,1))))</f>
        <v/>
      </c>
      <c r="N89" s="23"/>
      <c r="O89" s="19" t="str">
        <f t="shared" si="18"/>
        <v/>
      </c>
    </row>
    <row r="90" spans="1:15" x14ac:dyDescent="0.2">
      <c r="A90" s="12" t="str">
        <f t="shared" si="12"/>
        <v/>
      </c>
      <c r="B90" t="str">
        <f t="shared" si="10"/>
        <v/>
      </c>
      <c r="C90" s="21" t="str">
        <f ca="1">IF(A90="","",IF($B$10="Sí",interpolar_alamb(B90,OFFSET(Curvas_cupon_cero!$A$1,1,0,COUNT(Curvas_cupon_cero!$A:$A)-2,1),OFFSET(Curvas_cupon_cero!$A$1,1,MATCH($B$8,Curvas_cupon_cero!$1:$1,0)-1,COUNT(Curvas_cupon_cero!$A:$A)-2,1)),[1]!interpolar(B90,OFFSET(Curvas_cupon_cero!$A$1,1,0,COUNT(Curvas_cupon_cero!$A:$A)-2,1),OFFSET(Curvas_cupon_cero!$A$1,1,MATCH($B$8,Curvas_cupon_cero!$1:$1,0)-1,COUNT(Curvas_cupon_cero!$A:$A)-2,1))))</f>
        <v/>
      </c>
      <c r="D90" s="23" t="str">
        <f ca="1">IF(A90="","",IF($B$10="Sí",interpolar_alamb(L90,OFFSET(Curvas_cupon_cero!$A$1,1,0,COUNT(Curvas_cupon_cero!$A:$A)-2,1),OFFSET(Curvas_cupon_cero!$A$1,1,MATCH($B$8,Curvas_cupon_cero!$1:$1,0)-1,COUNT(Curvas_cupon_cero!$A:$A)-2,1)),[1]!interpolar(L90,OFFSET(Curvas_cupon_cero!$A$1,1,0,COUNT(Curvas_cupon_cero!$A:$A)-2,1),OFFSET(Curvas_cupon_cero!$A$1,1,MATCH($B$8,Curvas_cupon_cero!$1:$1,0)-1,COUNT(Curvas_cupon_cero!$A:$A)-2,1))))</f>
        <v/>
      </c>
      <c r="E90" s="23" t="str">
        <f t="shared" si="13"/>
        <v/>
      </c>
      <c r="F90" s="23" t="str">
        <f ca="1">IF(A90="","",IF($B$10="Sí",interpolar_alamb(B90,OFFSET(Curvas_cupon_cero!$A$1,1,0,COUNT(Curvas_cupon_cero!$A:$A)-2,1),OFFSET(Curvas_cupon_cero!$A$1,1,MATCH($B$9,Curvas_cupon_cero!$1:$1,0)-1,COUNT(Curvas_cupon_cero!$A:$A)-2,1)),[1]!interpolar(B90,OFFSET(Curvas_cupon_cero!$A$1,1,0,COUNT(Curvas_cupon_cero!$A:$A)-2,1),OFFSET(Curvas_cupon_cero!$A$1,1,MATCH($B$9,Curvas_cupon_cero!$1:$1,0)-1,COUNT(Curvas_cupon_cero!$A:$A)-2,1))))</f>
        <v/>
      </c>
      <c r="G90" s="23" t="str">
        <f t="shared" si="14"/>
        <v/>
      </c>
      <c r="H90" s="20" t="str">
        <f t="shared" si="19"/>
        <v/>
      </c>
      <c r="I90" t="str">
        <f t="shared" si="15"/>
        <v/>
      </c>
      <c r="J90" s="17" t="str">
        <f t="shared" si="11"/>
        <v/>
      </c>
      <c r="K90" s="18" t="str">
        <f t="shared" si="16"/>
        <v/>
      </c>
      <c r="L90" t="str">
        <f t="shared" si="17"/>
        <v/>
      </c>
      <c r="M90" s="23" t="str">
        <f ca="1">IF(A90="","",IF($B$10="Sí",interpolar_alamb(L90,OFFSET(Curvas_cupon_cero!$A$1,1,0,COUNT(Curvas_cupon_cero!$A:$A)-2,1),OFFSET(Curvas_cupon_cero!$A$1,1,MATCH($B$6,Curvas_cupon_cero!$1:$1,0)-1,COUNT(Curvas_cupon_cero!$A:$A)-2,1)),[1]!interpolar(L90,OFFSET(Curvas_cupon_cero!$A$1,1,0,COUNT(Curvas_cupon_cero!$A:$A)-2,1),OFFSET(Curvas_cupon_cero!$A$1,1,MATCH($B$6,Curvas_cupon_cero!$1:$1,0)-1,COUNT(Curvas_cupon_cero!$A:$A)-2,1))))</f>
        <v/>
      </c>
      <c r="N90" s="23"/>
      <c r="O90" s="19" t="str">
        <f t="shared" si="18"/>
        <v/>
      </c>
    </row>
    <row r="91" spans="1:15" x14ac:dyDescent="0.2">
      <c r="A91" s="12" t="str">
        <f t="shared" si="12"/>
        <v/>
      </c>
      <c r="B91" t="str">
        <f t="shared" si="10"/>
        <v/>
      </c>
      <c r="C91" s="21" t="str">
        <f ca="1">IF(A91="","",IF($B$10="Sí",interpolar_alamb(B91,OFFSET(Curvas_cupon_cero!$A$1,1,0,COUNT(Curvas_cupon_cero!$A:$A)-2,1),OFFSET(Curvas_cupon_cero!$A$1,1,MATCH($B$8,Curvas_cupon_cero!$1:$1,0)-1,COUNT(Curvas_cupon_cero!$A:$A)-2,1)),[1]!interpolar(B91,OFFSET(Curvas_cupon_cero!$A$1,1,0,COUNT(Curvas_cupon_cero!$A:$A)-2,1),OFFSET(Curvas_cupon_cero!$A$1,1,MATCH($B$8,Curvas_cupon_cero!$1:$1,0)-1,COUNT(Curvas_cupon_cero!$A:$A)-2,1))))</f>
        <v/>
      </c>
      <c r="D91" s="23" t="str">
        <f ca="1">IF(A91="","",IF($B$10="Sí",interpolar_alamb(L91,OFFSET(Curvas_cupon_cero!$A$1,1,0,COUNT(Curvas_cupon_cero!$A:$A)-2,1),OFFSET(Curvas_cupon_cero!$A$1,1,MATCH($B$8,Curvas_cupon_cero!$1:$1,0)-1,COUNT(Curvas_cupon_cero!$A:$A)-2,1)),[1]!interpolar(L91,OFFSET(Curvas_cupon_cero!$A$1,1,0,COUNT(Curvas_cupon_cero!$A:$A)-2,1),OFFSET(Curvas_cupon_cero!$A$1,1,MATCH($B$8,Curvas_cupon_cero!$1:$1,0)-1,COUNT(Curvas_cupon_cero!$A:$A)-2,1))))</f>
        <v/>
      </c>
      <c r="E91" s="23" t="str">
        <f t="shared" si="13"/>
        <v/>
      </c>
      <c r="F91" s="23" t="str">
        <f ca="1">IF(A91="","",IF($B$10="Sí",interpolar_alamb(B91,OFFSET(Curvas_cupon_cero!$A$1,1,0,COUNT(Curvas_cupon_cero!$A:$A)-2,1),OFFSET(Curvas_cupon_cero!$A$1,1,MATCH($B$9,Curvas_cupon_cero!$1:$1,0)-1,COUNT(Curvas_cupon_cero!$A:$A)-2,1)),[1]!interpolar(B91,OFFSET(Curvas_cupon_cero!$A$1,1,0,COUNT(Curvas_cupon_cero!$A:$A)-2,1),OFFSET(Curvas_cupon_cero!$A$1,1,MATCH($B$9,Curvas_cupon_cero!$1:$1,0)-1,COUNT(Curvas_cupon_cero!$A:$A)-2,1))))</f>
        <v/>
      </c>
      <c r="G91" s="23" t="str">
        <f t="shared" si="14"/>
        <v/>
      </c>
      <c r="H91" s="20" t="str">
        <f t="shared" si="19"/>
        <v/>
      </c>
      <c r="I91" t="str">
        <f t="shared" si="15"/>
        <v/>
      </c>
      <c r="J91" s="17" t="str">
        <f t="shared" si="11"/>
        <v/>
      </c>
      <c r="K91" s="18" t="str">
        <f t="shared" si="16"/>
        <v/>
      </c>
      <c r="L91" t="str">
        <f t="shared" si="17"/>
        <v/>
      </c>
      <c r="M91" s="23" t="str">
        <f ca="1">IF(A91="","",IF($B$10="Sí",interpolar_alamb(L91,OFFSET(Curvas_cupon_cero!$A$1,1,0,COUNT(Curvas_cupon_cero!$A:$A)-2,1),OFFSET(Curvas_cupon_cero!$A$1,1,MATCH($B$6,Curvas_cupon_cero!$1:$1,0)-1,COUNT(Curvas_cupon_cero!$A:$A)-2,1)),[1]!interpolar(L91,OFFSET(Curvas_cupon_cero!$A$1,1,0,COUNT(Curvas_cupon_cero!$A:$A)-2,1),OFFSET(Curvas_cupon_cero!$A$1,1,MATCH($B$6,Curvas_cupon_cero!$1:$1,0)-1,COUNT(Curvas_cupon_cero!$A:$A)-2,1))))</f>
        <v/>
      </c>
      <c r="N91" s="23"/>
      <c r="O91" s="19" t="str">
        <f t="shared" si="18"/>
        <v/>
      </c>
    </row>
    <row r="92" spans="1:15" x14ac:dyDescent="0.2">
      <c r="A92" s="12" t="str">
        <f t="shared" si="12"/>
        <v/>
      </c>
      <c r="B92" t="str">
        <f t="shared" si="10"/>
        <v/>
      </c>
      <c r="C92" s="21" t="str">
        <f ca="1">IF(A92="","",IF($B$10="Sí",interpolar_alamb(B92,OFFSET(Curvas_cupon_cero!$A$1,1,0,COUNT(Curvas_cupon_cero!$A:$A)-2,1),OFFSET(Curvas_cupon_cero!$A$1,1,MATCH($B$8,Curvas_cupon_cero!$1:$1,0)-1,COUNT(Curvas_cupon_cero!$A:$A)-2,1)),[1]!interpolar(B92,OFFSET(Curvas_cupon_cero!$A$1,1,0,COUNT(Curvas_cupon_cero!$A:$A)-2,1),OFFSET(Curvas_cupon_cero!$A$1,1,MATCH($B$8,Curvas_cupon_cero!$1:$1,0)-1,COUNT(Curvas_cupon_cero!$A:$A)-2,1))))</f>
        <v/>
      </c>
      <c r="D92" s="23" t="str">
        <f ca="1">IF(A92="","",IF($B$10="Sí",interpolar_alamb(L92,OFFSET(Curvas_cupon_cero!$A$1,1,0,COUNT(Curvas_cupon_cero!$A:$A)-2,1),OFFSET(Curvas_cupon_cero!$A$1,1,MATCH($B$8,Curvas_cupon_cero!$1:$1,0)-1,COUNT(Curvas_cupon_cero!$A:$A)-2,1)),[1]!interpolar(L92,OFFSET(Curvas_cupon_cero!$A$1,1,0,COUNT(Curvas_cupon_cero!$A:$A)-2,1),OFFSET(Curvas_cupon_cero!$A$1,1,MATCH($B$8,Curvas_cupon_cero!$1:$1,0)-1,COUNT(Curvas_cupon_cero!$A:$A)-2,1))))</f>
        <v/>
      </c>
      <c r="E92" s="23" t="str">
        <f t="shared" si="13"/>
        <v/>
      </c>
      <c r="F92" s="23" t="str">
        <f ca="1">IF(A92="","",IF($B$10="Sí",interpolar_alamb(B92,OFFSET(Curvas_cupon_cero!$A$1,1,0,COUNT(Curvas_cupon_cero!$A:$A)-2,1),OFFSET(Curvas_cupon_cero!$A$1,1,MATCH($B$9,Curvas_cupon_cero!$1:$1,0)-1,COUNT(Curvas_cupon_cero!$A:$A)-2,1)),[1]!interpolar(B92,OFFSET(Curvas_cupon_cero!$A$1,1,0,COUNT(Curvas_cupon_cero!$A:$A)-2,1),OFFSET(Curvas_cupon_cero!$A$1,1,MATCH($B$9,Curvas_cupon_cero!$1:$1,0)-1,COUNT(Curvas_cupon_cero!$A:$A)-2,1))))</f>
        <v/>
      </c>
      <c r="G92" s="23" t="str">
        <f t="shared" si="14"/>
        <v/>
      </c>
      <c r="H92" s="20" t="str">
        <f t="shared" si="19"/>
        <v/>
      </c>
      <c r="I92" t="str">
        <f t="shared" si="15"/>
        <v/>
      </c>
      <c r="J92" s="17" t="str">
        <f t="shared" si="11"/>
        <v/>
      </c>
      <c r="K92" s="18" t="str">
        <f t="shared" si="16"/>
        <v/>
      </c>
      <c r="L92" t="str">
        <f t="shared" si="17"/>
        <v/>
      </c>
      <c r="M92" s="23" t="str">
        <f ca="1">IF(A92="","",IF($B$10="Sí",interpolar_alamb(L92,OFFSET(Curvas_cupon_cero!$A$1,1,0,COUNT(Curvas_cupon_cero!$A:$A)-2,1),OFFSET(Curvas_cupon_cero!$A$1,1,MATCH($B$6,Curvas_cupon_cero!$1:$1,0)-1,COUNT(Curvas_cupon_cero!$A:$A)-2,1)),[1]!interpolar(L92,OFFSET(Curvas_cupon_cero!$A$1,1,0,COUNT(Curvas_cupon_cero!$A:$A)-2,1),OFFSET(Curvas_cupon_cero!$A$1,1,MATCH($B$6,Curvas_cupon_cero!$1:$1,0)-1,COUNT(Curvas_cupon_cero!$A:$A)-2,1))))</f>
        <v/>
      </c>
      <c r="N92" s="23"/>
      <c r="O92" s="19" t="str">
        <f t="shared" si="18"/>
        <v/>
      </c>
    </row>
    <row r="93" spans="1:15" x14ac:dyDescent="0.2">
      <c r="A93" s="12" t="str">
        <f t="shared" si="12"/>
        <v/>
      </c>
      <c r="B93" t="str">
        <f t="shared" si="10"/>
        <v/>
      </c>
      <c r="C93" s="21" t="str">
        <f ca="1">IF(A93="","",IF($B$10="Sí",interpolar_alamb(B93,OFFSET(Curvas_cupon_cero!$A$1,1,0,COUNT(Curvas_cupon_cero!$A:$A)-2,1),OFFSET(Curvas_cupon_cero!$A$1,1,MATCH($B$8,Curvas_cupon_cero!$1:$1,0)-1,COUNT(Curvas_cupon_cero!$A:$A)-2,1)),[1]!interpolar(B93,OFFSET(Curvas_cupon_cero!$A$1,1,0,COUNT(Curvas_cupon_cero!$A:$A)-2,1),OFFSET(Curvas_cupon_cero!$A$1,1,MATCH($B$8,Curvas_cupon_cero!$1:$1,0)-1,COUNT(Curvas_cupon_cero!$A:$A)-2,1))))</f>
        <v/>
      </c>
      <c r="D93" s="23" t="str">
        <f ca="1">IF(A93="","",IF($B$10="Sí",interpolar_alamb(L93,OFFSET(Curvas_cupon_cero!$A$1,1,0,COUNT(Curvas_cupon_cero!$A:$A)-2,1),OFFSET(Curvas_cupon_cero!$A$1,1,MATCH($B$8,Curvas_cupon_cero!$1:$1,0)-1,COUNT(Curvas_cupon_cero!$A:$A)-2,1)),[1]!interpolar(L93,OFFSET(Curvas_cupon_cero!$A$1,1,0,COUNT(Curvas_cupon_cero!$A:$A)-2,1),OFFSET(Curvas_cupon_cero!$A$1,1,MATCH($B$8,Curvas_cupon_cero!$1:$1,0)-1,COUNT(Curvas_cupon_cero!$A:$A)-2,1))))</f>
        <v/>
      </c>
      <c r="E93" s="23" t="str">
        <f t="shared" si="13"/>
        <v/>
      </c>
      <c r="F93" s="23" t="str">
        <f ca="1">IF(A93="","",IF($B$10="Sí",interpolar_alamb(B93,OFFSET(Curvas_cupon_cero!$A$1,1,0,COUNT(Curvas_cupon_cero!$A:$A)-2,1),OFFSET(Curvas_cupon_cero!$A$1,1,MATCH($B$9,Curvas_cupon_cero!$1:$1,0)-1,COUNT(Curvas_cupon_cero!$A:$A)-2,1)),[1]!interpolar(B93,OFFSET(Curvas_cupon_cero!$A$1,1,0,COUNT(Curvas_cupon_cero!$A:$A)-2,1),OFFSET(Curvas_cupon_cero!$A$1,1,MATCH($B$9,Curvas_cupon_cero!$1:$1,0)-1,COUNT(Curvas_cupon_cero!$A:$A)-2,1))))</f>
        <v/>
      </c>
      <c r="G93" s="23" t="str">
        <f t="shared" si="14"/>
        <v/>
      </c>
      <c r="H93" s="20" t="str">
        <f t="shared" si="19"/>
        <v/>
      </c>
      <c r="I93" t="str">
        <f t="shared" si="15"/>
        <v/>
      </c>
      <c r="J93" s="17" t="str">
        <f t="shared" si="11"/>
        <v/>
      </c>
      <c r="K93" s="18" t="str">
        <f t="shared" si="16"/>
        <v/>
      </c>
      <c r="L93" t="str">
        <f t="shared" si="17"/>
        <v/>
      </c>
      <c r="M93" s="23" t="str">
        <f ca="1">IF(A93="","",IF($B$10="Sí",interpolar_alamb(L93,OFFSET(Curvas_cupon_cero!$A$1,1,0,COUNT(Curvas_cupon_cero!$A:$A)-2,1),OFFSET(Curvas_cupon_cero!$A$1,1,MATCH($B$6,Curvas_cupon_cero!$1:$1,0)-1,COUNT(Curvas_cupon_cero!$A:$A)-2,1)),[1]!interpolar(L93,OFFSET(Curvas_cupon_cero!$A$1,1,0,COUNT(Curvas_cupon_cero!$A:$A)-2,1),OFFSET(Curvas_cupon_cero!$A$1,1,MATCH($B$6,Curvas_cupon_cero!$1:$1,0)-1,COUNT(Curvas_cupon_cero!$A:$A)-2,1))))</f>
        <v/>
      </c>
      <c r="N93" s="23"/>
      <c r="O93" s="19" t="str">
        <f t="shared" si="18"/>
        <v/>
      </c>
    </row>
    <row r="94" spans="1:15" x14ac:dyDescent="0.2">
      <c r="A94" s="12" t="str">
        <f t="shared" si="12"/>
        <v/>
      </c>
      <c r="B94" t="str">
        <f t="shared" si="10"/>
        <v/>
      </c>
      <c r="C94" s="21" t="str">
        <f ca="1">IF(A94="","",IF($B$10="Sí",interpolar_alamb(B94,OFFSET(Curvas_cupon_cero!$A$1,1,0,COUNT(Curvas_cupon_cero!$A:$A)-2,1),OFFSET(Curvas_cupon_cero!$A$1,1,MATCH($B$8,Curvas_cupon_cero!$1:$1,0)-1,COUNT(Curvas_cupon_cero!$A:$A)-2,1)),[1]!interpolar(B94,OFFSET(Curvas_cupon_cero!$A$1,1,0,COUNT(Curvas_cupon_cero!$A:$A)-2,1),OFFSET(Curvas_cupon_cero!$A$1,1,MATCH($B$8,Curvas_cupon_cero!$1:$1,0)-1,COUNT(Curvas_cupon_cero!$A:$A)-2,1))))</f>
        <v/>
      </c>
      <c r="D94" s="23" t="str">
        <f ca="1">IF(A94="","",IF($B$10="Sí",interpolar_alamb(L94,OFFSET(Curvas_cupon_cero!$A$1,1,0,COUNT(Curvas_cupon_cero!$A:$A)-2,1),OFFSET(Curvas_cupon_cero!$A$1,1,MATCH($B$8,Curvas_cupon_cero!$1:$1,0)-1,COUNT(Curvas_cupon_cero!$A:$A)-2,1)),[1]!interpolar(L94,OFFSET(Curvas_cupon_cero!$A$1,1,0,COUNT(Curvas_cupon_cero!$A:$A)-2,1),OFFSET(Curvas_cupon_cero!$A$1,1,MATCH($B$8,Curvas_cupon_cero!$1:$1,0)-1,COUNT(Curvas_cupon_cero!$A:$A)-2,1))))</f>
        <v/>
      </c>
      <c r="E94" s="23" t="str">
        <f t="shared" si="13"/>
        <v/>
      </c>
      <c r="F94" s="23" t="str">
        <f ca="1">IF(A94="","",IF($B$10="Sí",interpolar_alamb(B94,OFFSET(Curvas_cupon_cero!$A$1,1,0,COUNT(Curvas_cupon_cero!$A:$A)-2,1),OFFSET(Curvas_cupon_cero!$A$1,1,MATCH($B$9,Curvas_cupon_cero!$1:$1,0)-1,COUNT(Curvas_cupon_cero!$A:$A)-2,1)),[1]!interpolar(B94,OFFSET(Curvas_cupon_cero!$A$1,1,0,COUNT(Curvas_cupon_cero!$A:$A)-2,1),OFFSET(Curvas_cupon_cero!$A$1,1,MATCH($B$9,Curvas_cupon_cero!$1:$1,0)-1,COUNT(Curvas_cupon_cero!$A:$A)-2,1))))</f>
        <v/>
      </c>
      <c r="G94" s="23" t="str">
        <f t="shared" si="14"/>
        <v/>
      </c>
      <c r="H94" s="20" t="str">
        <f t="shared" si="19"/>
        <v/>
      </c>
      <c r="I94" t="str">
        <f t="shared" si="15"/>
        <v/>
      </c>
      <c r="J94" s="17" t="str">
        <f t="shared" si="11"/>
        <v/>
      </c>
      <c r="K94" s="18" t="str">
        <f t="shared" si="16"/>
        <v/>
      </c>
      <c r="L94" t="str">
        <f t="shared" si="17"/>
        <v/>
      </c>
      <c r="M94" s="23" t="str">
        <f ca="1">IF(A94="","",IF($B$10="Sí",interpolar_alamb(L94,OFFSET(Curvas_cupon_cero!$A$1,1,0,COUNT(Curvas_cupon_cero!$A:$A)-2,1),OFFSET(Curvas_cupon_cero!$A$1,1,MATCH($B$6,Curvas_cupon_cero!$1:$1,0)-1,COUNT(Curvas_cupon_cero!$A:$A)-2,1)),[1]!interpolar(L94,OFFSET(Curvas_cupon_cero!$A$1,1,0,COUNT(Curvas_cupon_cero!$A:$A)-2,1),OFFSET(Curvas_cupon_cero!$A$1,1,MATCH($B$6,Curvas_cupon_cero!$1:$1,0)-1,COUNT(Curvas_cupon_cero!$A:$A)-2,1))))</f>
        <v/>
      </c>
      <c r="N94" s="23"/>
      <c r="O94" s="19" t="str">
        <f t="shared" si="18"/>
        <v/>
      </c>
    </row>
    <row r="95" spans="1:15" x14ac:dyDescent="0.2">
      <c r="A95" s="12" t="str">
        <f t="shared" si="12"/>
        <v/>
      </c>
      <c r="B95" t="str">
        <f t="shared" si="10"/>
        <v/>
      </c>
      <c r="C95" s="21" t="str">
        <f ca="1">IF(A95="","",IF($B$10="Sí",interpolar_alamb(B95,OFFSET(Curvas_cupon_cero!$A$1,1,0,COUNT(Curvas_cupon_cero!$A:$A)-2,1),OFFSET(Curvas_cupon_cero!$A$1,1,MATCH($B$8,Curvas_cupon_cero!$1:$1,0)-1,COUNT(Curvas_cupon_cero!$A:$A)-2,1)),[1]!interpolar(B95,OFFSET(Curvas_cupon_cero!$A$1,1,0,COUNT(Curvas_cupon_cero!$A:$A)-2,1),OFFSET(Curvas_cupon_cero!$A$1,1,MATCH($B$8,Curvas_cupon_cero!$1:$1,0)-1,COUNT(Curvas_cupon_cero!$A:$A)-2,1))))</f>
        <v/>
      </c>
      <c r="D95" s="23" t="str">
        <f ca="1">IF(A95="","",IF($B$10="Sí",interpolar_alamb(L95,OFFSET(Curvas_cupon_cero!$A$1,1,0,COUNT(Curvas_cupon_cero!$A:$A)-2,1),OFFSET(Curvas_cupon_cero!$A$1,1,MATCH($B$8,Curvas_cupon_cero!$1:$1,0)-1,COUNT(Curvas_cupon_cero!$A:$A)-2,1)),[1]!interpolar(L95,OFFSET(Curvas_cupon_cero!$A$1,1,0,COUNT(Curvas_cupon_cero!$A:$A)-2,1),OFFSET(Curvas_cupon_cero!$A$1,1,MATCH($B$8,Curvas_cupon_cero!$1:$1,0)-1,COUNT(Curvas_cupon_cero!$A:$A)-2,1))))</f>
        <v/>
      </c>
      <c r="E95" s="23" t="str">
        <f t="shared" si="13"/>
        <v/>
      </c>
      <c r="F95" s="23" t="str">
        <f ca="1">IF(A95="","",IF($B$10="Sí",interpolar_alamb(B95,OFFSET(Curvas_cupon_cero!$A$1,1,0,COUNT(Curvas_cupon_cero!$A:$A)-2,1),OFFSET(Curvas_cupon_cero!$A$1,1,MATCH($B$9,Curvas_cupon_cero!$1:$1,0)-1,COUNT(Curvas_cupon_cero!$A:$A)-2,1)),[1]!interpolar(B95,OFFSET(Curvas_cupon_cero!$A$1,1,0,COUNT(Curvas_cupon_cero!$A:$A)-2,1),OFFSET(Curvas_cupon_cero!$A$1,1,MATCH($B$9,Curvas_cupon_cero!$1:$1,0)-1,COUNT(Curvas_cupon_cero!$A:$A)-2,1))))</f>
        <v/>
      </c>
      <c r="G95" s="23" t="str">
        <f t="shared" si="14"/>
        <v/>
      </c>
      <c r="H95" s="20" t="str">
        <f t="shared" si="19"/>
        <v/>
      </c>
      <c r="I95" t="str">
        <f t="shared" si="15"/>
        <v/>
      </c>
      <c r="J95" s="17" t="str">
        <f t="shared" si="11"/>
        <v/>
      </c>
      <c r="K95" s="18" t="str">
        <f t="shared" si="16"/>
        <v/>
      </c>
      <c r="L95" t="str">
        <f t="shared" si="17"/>
        <v/>
      </c>
      <c r="M95" s="23" t="str">
        <f ca="1">IF(A95="","",IF($B$10="Sí",interpolar_alamb(L95,OFFSET(Curvas_cupon_cero!$A$1,1,0,COUNT(Curvas_cupon_cero!$A:$A)-2,1),OFFSET(Curvas_cupon_cero!$A$1,1,MATCH($B$6,Curvas_cupon_cero!$1:$1,0)-1,COUNT(Curvas_cupon_cero!$A:$A)-2,1)),[1]!interpolar(L95,OFFSET(Curvas_cupon_cero!$A$1,1,0,COUNT(Curvas_cupon_cero!$A:$A)-2,1),OFFSET(Curvas_cupon_cero!$A$1,1,MATCH($B$6,Curvas_cupon_cero!$1:$1,0)-1,COUNT(Curvas_cupon_cero!$A:$A)-2,1))))</f>
        <v/>
      </c>
      <c r="N95" s="23"/>
      <c r="O95" s="19" t="str">
        <f t="shared" si="18"/>
        <v/>
      </c>
    </row>
    <row r="96" spans="1:15" x14ac:dyDescent="0.2">
      <c r="A96" s="12" t="str">
        <f t="shared" si="12"/>
        <v/>
      </c>
      <c r="B96" t="str">
        <f t="shared" si="10"/>
        <v/>
      </c>
      <c r="C96" s="21" t="str">
        <f ca="1">IF(A96="","",IF($B$10="Sí",interpolar_alamb(B96,OFFSET(Curvas_cupon_cero!$A$1,1,0,COUNT(Curvas_cupon_cero!$A:$A)-2,1),OFFSET(Curvas_cupon_cero!$A$1,1,MATCH($B$8,Curvas_cupon_cero!$1:$1,0)-1,COUNT(Curvas_cupon_cero!$A:$A)-2,1)),[1]!interpolar(B96,OFFSET(Curvas_cupon_cero!$A$1,1,0,COUNT(Curvas_cupon_cero!$A:$A)-2,1),OFFSET(Curvas_cupon_cero!$A$1,1,MATCH($B$8,Curvas_cupon_cero!$1:$1,0)-1,COUNT(Curvas_cupon_cero!$A:$A)-2,1))))</f>
        <v/>
      </c>
      <c r="D96" s="23" t="str">
        <f ca="1">IF(A96="","",IF($B$10="Sí",interpolar_alamb(L96,OFFSET(Curvas_cupon_cero!$A$1,1,0,COUNT(Curvas_cupon_cero!$A:$A)-2,1),OFFSET(Curvas_cupon_cero!$A$1,1,MATCH($B$8,Curvas_cupon_cero!$1:$1,0)-1,COUNT(Curvas_cupon_cero!$A:$A)-2,1)),[1]!interpolar(L96,OFFSET(Curvas_cupon_cero!$A$1,1,0,COUNT(Curvas_cupon_cero!$A:$A)-2,1),OFFSET(Curvas_cupon_cero!$A$1,1,MATCH($B$8,Curvas_cupon_cero!$1:$1,0)-1,COUNT(Curvas_cupon_cero!$A:$A)-2,1))))</f>
        <v/>
      </c>
      <c r="E96" s="23" t="str">
        <f t="shared" si="13"/>
        <v/>
      </c>
      <c r="F96" s="23" t="str">
        <f ca="1">IF(A96="","",IF($B$10="Sí",interpolar_alamb(B96,OFFSET(Curvas_cupon_cero!$A$1,1,0,COUNT(Curvas_cupon_cero!$A:$A)-2,1),OFFSET(Curvas_cupon_cero!$A$1,1,MATCH($B$9,Curvas_cupon_cero!$1:$1,0)-1,COUNT(Curvas_cupon_cero!$A:$A)-2,1)),[1]!interpolar(B96,OFFSET(Curvas_cupon_cero!$A$1,1,0,COUNT(Curvas_cupon_cero!$A:$A)-2,1),OFFSET(Curvas_cupon_cero!$A$1,1,MATCH($B$9,Curvas_cupon_cero!$1:$1,0)-1,COUNT(Curvas_cupon_cero!$A:$A)-2,1))))</f>
        <v/>
      </c>
      <c r="G96" s="23" t="str">
        <f t="shared" si="14"/>
        <v/>
      </c>
      <c r="H96" s="20" t="str">
        <f t="shared" si="19"/>
        <v/>
      </c>
      <c r="I96" t="str">
        <f t="shared" si="15"/>
        <v/>
      </c>
      <c r="J96" s="17" t="str">
        <f t="shared" si="11"/>
        <v/>
      </c>
      <c r="K96" s="18" t="str">
        <f t="shared" si="16"/>
        <v/>
      </c>
      <c r="L96" t="str">
        <f t="shared" si="17"/>
        <v/>
      </c>
      <c r="M96" s="23" t="str">
        <f ca="1">IF(A96="","",IF($B$10="Sí",interpolar_alamb(L96,OFFSET(Curvas_cupon_cero!$A$1,1,0,COUNT(Curvas_cupon_cero!$A:$A)-2,1),OFFSET(Curvas_cupon_cero!$A$1,1,MATCH($B$6,Curvas_cupon_cero!$1:$1,0)-1,COUNT(Curvas_cupon_cero!$A:$A)-2,1)),[1]!interpolar(L96,OFFSET(Curvas_cupon_cero!$A$1,1,0,COUNT(Curvas_cupon_cero!$A:$A)-2,1),OFFSET(Curvas_cupon_cero!$A$1,1,MATCH($B$6,Curvas_cupon_cero!$1:$1,0)-1,COUNT(Curvas_cupon_cero!$A:$A)-2,1))))</f>
        <v/>
      </c>
      <c r="N96" s="23"/>
      <c r="O96" s="19" t="str">
        <f t="shared" si="18"/>
        <v/>
      </c>
    </row>
    <row r="97" spans="1:15" x14ac:dyDescent="0.2">
      <c r="A97" s="12" t="str">
        <f t="shared" si="12"/>
        <v/>
      </c>
      <c r="B97" t="str">
        <f t="shared" si="10"/>
        <v/>
      </c>
      <c r="C97" s="21" t="str">
        <f ca="1">IF(A97="","",IF($B$10="Sí",interpolar_alamb(B97,OFFSET(Curvas_cupon_cero!$A$1,1,0,COUNT(Curvas_cupon_cero!$A:$A)-2,1),OFFSET(Curvas_cupon_cero!$A$1,1,MATCH($B$8,Curvas_cupon_cero!$1:$1,0)-1,COUNT(Curvas_cupon_cero!$A:$A)-2,1)),[1]!interpolar(B97,OFFSET(Curvas_cupon_cero!$A$1,1,0,COUNT(Curvas_cupon_cero!$A:$A)-2,1),OFFSET(Curvas_cupon_cero!$A$1,1,MATCH($B$8,Curvas_cupon_cero!$1:$1,0)-1,COUNT(Curvas_cupon_cero!$A:$A)-2,1))))</f>
        <v/>
      </c>
      <c r="D97" s="23" t="str">
        <f ca="1">IF(A97="","",IF($B$10="Sí",interpolar_alamb(L97,OFFSET(Curvas_cupon_cero!$A$1,1,0,COUNT(Curvas_cupon_cero!$A:$A)-2,1),OFFSET(Curvas_cupon_cero!$A$1,1,MATCH($B$8,Curvas_cupon_cero!$1:$1,0)-1,COUNT(Curvas_cupon_cero!$A:$A)-2,1)),[1]!interpolar(L97,OFFSET(Curvas_cupon_cero!$A$1,1,0,COUNT(Curvas_cupon_cero!$A:$A)-2,1),OFFSET(Curvas_cupon_cero!$A$1,1,MATCH($B$8,Curvas_cupon_cero!$1:$1,0)-1,COUNT(Curvas_cupon_cero!$A:$A)-2,1))))</f>
        <v/>
      </c>
      <c r="E97" s="23" t="str">
        <f t="shared" si="13"/>
        <v/>
      </c>
      <c r="F97" s="23" t="str">
        <f ca="1">IF(A97="","",IF($B$10="Sí",interpolar_alamb(B97,OFFSET(Curvas_cupon_cero!$A$1,1,0,COUNT(Curvas_cupon_cero!$A:$A)-2,1),OFFSET(Curvas_cupon_cero!$A$1,1,MATCH($B$9,Curvas_cupon_cero!$1:$1,0)-1,COUNT(Curvas_cupon_cero!$A:$A)-2,1)),[1]!interpolar(B97,OFFSET(Curvas_cupon_cero!$A$1,1,0,COUNT(Curvas_cupon_cero!$A:$A)-2,1),OFFSET(Curvas_cupon_cero!$A$1,1,MATCH($B$9,Curvas_cupon_cero!$1:$1,0)-1,COUNT(Curvas_cupon_cero!$A:$A)-2,1))))</f>
        <v/>
      </c>
      <c r="G97" s="23" t="str">
        <f t="shared" si="14"/>
        <v/>
      </c>
      <c r="H97" s="20" t="str">
        <f t="shared" si="19"/>
        <v/>
      </c>
      <c r="I97" t="str">
        <f t="shared" si="15"/>
        <v/>
      </c>
      <c r="J97" s="17" t="str">
        <f t="shared" si="11"/>
        <v/>
      </c>
      <c r="K97" s="18" t="str">
        <f t="shared" si="16"/>
        <v/>
      </c>
      <c r="L97" t="str">
        <f t="shared" si="17"/>
        <v/>
      </c>
      <c r="M97" s="23" t="str">
        <f ca="1">IF(A97="","",IF($B$10="Sí",interpolar_alamb(L97,OFFSET(Curvas_cupon_cero!$A$1,1,0,COUNT(Curvas_cupon_cero!$A:$A)-2,1),OFFSET(Curvas_cupon_cero!$A$1,1,MATCH($B$6,Curvas_cupon_cero!$1:$1,0)-1,COUNT(Curvas_cupon_cero!$A:$A)-2,1)),[1]!interpolar(L97,OFFSET(Curvas_cupon_cero!$A$1,1,0,COUNT(Curvas_cupon_cero!$A:$A)-2,1),OFFSET(Curvas_cupon_cero!$A$1,1,MATCH($B$6,Curvas_cupon_cero!$1:$1,0)-1,COUNT(Curvas_cupon_cero!$A:$A)-2,1))))</f>
        <v/>
      </c>
      <c r="N97" s="23"/>
      <c r="O97" s="19" t="str">
        <f t="shared" si="18"/>
        <v/>
      </c>
    </row>
    <row r="98" spans="1:15" x14ac:dyDescent="0.2">
      <c r="A98" s="12" t="str">
        <f t="shared" si="12"/>
        <v/>
      </c>
      <c r="B98" t="str">
        <f t="shared" si="10"/>
        <v/>
      </c>
      <c r="C98" s="21" t="str">
        <f ca="1">IF(A98="","",IF($B$10="Sí",interpolar_alamb(B98,OFFSET(Curvas_cupon_cero!$A$1,1,0,COUNT(Curvas_cupon_cero!$A:$A)-2,1),OFFSET(Curvas_cupon_cero!$A$1,1,MATCH($B$8,Curvas_cupon_cero!$1:$1,0)-1,COUNT(Curvas_cupon_cero!$A:$A)-2,1)),[1]!interpolar(B98,OFFSET(Curvas_cupon_cero!$A$1,1,0,COUNT(Curvas_cupon_cero!$A:$A)-2,1),OFFSET(Curvas_cupon_cero!$A$1,1,MATCH($B$8,Curvas_cupon_cero!$1:$1,0)-1,COUNT(Curvas_cupon_cero!$A:$A)-2,1))))</f>
        <v/>
      </c>
      <c r="D98" s="23" t="str">
        <f ca="1">IF(A98="","",IF($B$10="Sí",interpolar_alamb(L98,OFFSET(Curvas_cupon_cero!$A$1,1,0,COUNT(Curvas_cupon_cero!$A:$A)-2,1),OFFSET(Curvas_cupon_cero!$A$1,1,MATCH($B$8,Curvas_cupon_cero!$1:$1,0)-1,COUNT(Curvas_cupon_cero!$A:$A)-2,1)),[1]!interpolar(L98,OFFSET(Curvas_cupon_cero!$A$1,1,0,COUNT(Curvas_cupon_cero!$A:$A)-2,1),OFFSET(Curvas_cupon_cero!$A$1,1,MATCH($B$8,Curvas_cupon_cero!$1:$1,0)-1,COUNT(Curvas_cupon_cero!$A:$A)-2,1))))</f>
        <v/>
      </c>
      <c r="E98" s="23" t="str">
        <f t="shared" si="13"/>
        <v/>
      </c>
      <c r="F98" s="23" t="str">
        <f ca="1">IF(A98="","",IF($B$10="Sí",interpolar_alamb(B98,OFFSET(Curvas_cupon_cero!$A$1,1,0,COUNT(Curvas_cupon_cero!$A:$A)-2,1),OFFSET(Curvas_cupon_cero!$A$1,1,MATCH($B$9,Curvas_cupon_cero!$1:$1,0)-1,COUNT(Curvas_cupon_cero!$A:$A)-2,1)),[1]!interpolar(B98,OFFSET(Curvas_cupon_cero!$A$1,1,0,COUNT(Curvas_cupon_cero!$A:$A)-2,1),OFFSET(Curvas_cupon_cero!$A$1,1,MATCH($B$9,Curvas_cupon_cero!$1:$1,0)-1,COUNT(Curvas_cupon_cero!$A:$A)-2,1))))</f>
        <v/>
      </c>
      <c r="G98" s="23" t="str">
        <f t="shared" si="14"/>
        <v/>
      </c>
      <c r="H98" s="20" t="str">
        <f t="shared" si="19"/>
        <v/>
      </c>
      <c r="I98" t="str">
        <f t="shared" si="15"/>
        <v/>
      </c>
      <c r="J98" s="17" t="str">
        <f t="shared" si="11"/>
        <v/>
      </c>
      <c r="K98" s="18" t="str">
        <f t="shared" si="16"/>
        <v/>
      </c>
      <c r="L98" t="str">
        <f t="shared" si="17"/>
        <v/>
      </c>
      <c r="M98" s="23" t="str">
        <f ca="1">IF(A98="","",IF($B$10="Sí",interpolar_alamb(L98,OFFSET(Curvas_cupon_cero!$A$1,1,0,COUNT(Curvas_cupon_cero!$A:$A)-2,1),OFFSET(Curvas_cupon_cero!$A$1,1,MATCH($B$6,Curvas_cupon_cero!$1:$1,0)-1,COUNT(Curvas_cupon_cero!$A:$A)-2,1)),[1]!interpolar(L98,OFFSET(Curvas_cupon_cero!$A$1,1,0,COUNT(Curvas_cupon_cero!$A:$A)-2,1),OFFSET(Curvas_cupon_cero!$A$1,1,MATCH($B$6,Curvas_cupon_cero!$1:$1,0)-1,COUNT(Curvas_cupon_cero!$A:$A)-2,1))))</f>
        <v/>
      </c>
      <c r="N98" s="23"/>
      <c r="O98" s="19" t="str">
        <f t="shared" si="18"/>
        <v/>
      </c>
    </row>
    <row r="99" spans="1:15" x14ac:dyDescent="0.2">
      <c r="A99" s="12" t="str">
        <f t="shared" si="12"/>
        <v/>
      </c>
      <c r="B99" t="str">
        <f t="shared" si="10"/>
        <v/>
      </c>
      <c r="C99" s="21" t="str">
        <f ca="1">IF(A99="","",IF($B$10="Sí",interpolar_alamb(B99,OFFSET(Curvas_cupon_cero!$A$1,1,0,COUNT(Curvas_cupon_cero!$A:$A)-2,1),OFFSET(Curvas_cupon_cero!$A$1,1,MATCH($B$8,Curvas_cupon_cero!$1:$1,0)-1,COUNT(Curvas_cupon_cero!$A:$A)-2,1)),[1]!interpolar(B99,OFFSET(Curvas_cupon_cero!$A$1,1,0,COUNT(Curvas_cupon_cero!$A:$A)-2,1),OFFSET(Curvas_cupon_cero!$A$1,1,MATCH($B$8,Curvas_cupon_cero!$1:$1,0)-1,COUNT(Curvas_cupon_cero!$A:$A)-2,1))))</f>
        <v/>
      </c>
      <c r="D99" s="23" t="str">
        <f ca="1">IF(A99="","",IF($B$10="Sí",interpolar_alamb(L99,OFFSET(Curvas_cupon_cero!$A$1,1,0,COUNT(Curvas_cupon_cero!$A:$A)-2,1),OFFSET(Curvas_cupon_cero!$A$1,1,MATCH($B$8,Curvas_cupon_cero!$1:$1,0)-1,COUNT(Curvas_cupon_cero!$A:$A)-2,1)),[1]!interpolar(L99,OFFSET(Curvas_cupon_cero!$A$1,1,0,COUNT(Curvas_cupon_cero!$A:$A)-2,1),OFFSET(Curvas_cupon_cero!$A$1,1,MATCH($B$8,Curvas_cupon_cero!$1:$1,0)-1,COUNT(Curvas_cupon_cero!$A:$A)-2,1))))</f>
        <v/>
      </c>
      <c r="E99" s="23" t="str">
        <f t="shared" si="13"/>
        <v/>
      </c>
      <c r="F99" s="23" t="str">
        <f ca="1">IF(A99="","",IF($B$10="Sí",interpolar_alamb(B99,OFFSET(Curvas_cupon_cero!$A$1,1,0,COUNT(Curvas_cupon_cero!$A:$A)-2,1),OFFSET(Curvas_cupon_cero!$A$1,1,MATCH($B$9,Curvas_cupon_cero!$1:$1,0)-1,COUNT(Curvas_cupon_cero!$A:$A)-2,1)),[1]!interpolar(B99,OFFSET(Curvas_cupon_cero!$A$1,1,0,COUNT(Curvas_cupon_cero!$A:$A)-2,1),OFFSET(Curvas_cupon_cero!$A$1,1,MATCH($B$9,Curvas_cupon_cero!$1:$1,0)-1,COUNT(Curvas_cupon_cero!$A:$A)-2,1))))</f>
        <v/>
      </c>
      <c r="G99" s="23" t="str">
        <f t="shared" si="14"/>
        <v/>
      </c>
      <c r="H99" s="20" t="str">
        <f t="shared" si="19"/>
        <v/>
      </c>
      <c r="I99" t="str">
        <f t="shared" si="15"/>
        <v/>
      </c>
      <c r="J99" s="17" t="str">
        <f t="shared" si="11"/>
        <v/>
      </c>
      <c r="K99" s="18" t="str">
        <f t="shared" si="16"/>
        <v/>
      </c>
      <c r="L99" t="str">
        <f t="shared" si="17"/>
        <v/>
      </c>
      <c r="M99" s="23" t="str">
        <f ca="1">IF(A99="","",IF($B$10="Sí",interpolar_alamb(L99,OFFSET(Curvas_cupon_cero!$A$1,1,0,COUNT(Curvas_cupon_cero!$A:$A)-2,1),OFFSET(Curvas_cupon_cero!$A$1,1,MATCH($B$6,Curvas_cupon_cero!$1:$1,0)-1,COUNT(Curvas_cupon_cero!$A:$A)-2,1)),[1]!interpolar(L99,OFFSET(Curvas_cupon_cero!$A$1,1,0,COUNT(Curvas_cupon_cero!$A:$A)-2,1),OFFSET(Curvas_cupon_cero!$A$1,1,MATCH($B$6,Curvas_cupon_cero!$1:$1,0)-1,COUNT(Curvas_cupon_cero!$A:$A)-2,1))))</f>
        <v/>
      </c>
      <c r="N99" s="23"/>
      <c r="O99" s="19" t="str">
        <f t="shared" si="18"/>
        <v/>
      </c>
    </row>
    <row r="100" spans="1:15" x14ac:dyDescent="0.2">
      <c r="A100" s="12" t="str">
        <f t="shared" si="12"/>
        <v/>
      </c>
      <c r="B100" t="str">
        <f t="shared" si="10"/>
        <v/>
      </c>
      <c r="C100" s="21" t="str">
        <f ca="1">IF(A100="","",IF($B$10="Sí",interpolar_alamb(B100,OFFSET(Curvas_cupon_cero!$A$1,1,0,COUNT(Curvas_cupon_cero!$A:$A)-2,1),OFFSET(Curvas_cupon_cero!$A$1,1,MATCH($B$8,Curvas_cupon_cero!$1:$1,0)-1,COUNT(Curvas_cupon_cero!$A:$A)-2,1)),[1]!interpolar(B100,OFFSET(Curvas_cupon_cero!$A$1,1,0,COUNT(Curvas_cupon_cero!$A:$A)-2,1),OFFSET(Curvas_cupon_cero!$A$1,1,MATCH($B$8,Curvas_cupon_cero!$1:$1,0)-1,COUNT(Curvas_cupon_cero!$A:$A)-2,1))))</f>
        <v/>
      </c>
      <c r="D100" s="23" t="str">
        <f ca="1">IF(A100="","",IF($B$10="Sí",interpolar_alamb(L100,OFFSET(Curvas_cupon_cero!$A$1,1,0,COUNT(Curvas_cupon_cero!$A:$A)-2,1),OFFSET(Curvas_cupon_cero!$A$1,1,MATCH($B$8,Curvas_cupon_cero!$1:$1,0)-1,COUNT(Curvas_cupon_cero!$A:$A)-2,1)),[1]!interpolar(L100,OFFSET(Curvas_cupon_cero!$A$1,1,0,COUNT(Curvas_cupon_cero!$A:$A)-2,1),OFFSET(Curvas_cupon_cero!$A$1,1,MATCH($B$8,Curvas_cupon_cero!$1:$1,0)-1,COUNT(Curvas_cupon_cero!$A:$A)-2,1))))</f>
        <v/>
      </c>
      <c r="E100" s="23" t="str">
        <f t="shared" si="13"/>
        <v/>
      </c>
      <c r="F100" s="23" t="str">
        <f ca="1">IF(A100="","",IF($B$10="Sí",interpolar_alamb(B100,OFFSET(Curvas_cupon_cero!$A$1,1,0,COUNT(Curvas_cupon_cero!$A:$A)-2,1),OFFSET(Curvas_cupon_cero!$A$1,1,MATCH($B$9,Curvas_cupon_cero!$1:$1,0)-1,COUNT(Curvas_cupon_cero!$A:$A)-2,1)),[1]!interpolar(B100,OFFSET(Curvas_cupon_cero!$A$1,1,0,COUNT(Curvas_cupon_cero!$A:$A)-2,1),OFFSET(Curvas_cupon_cero!$A$1,1,MATCH($B$9,Curvas_cupon_cero!$1:$1,0)-1,COUNT(Curvas_cupon_cero!$A:$A)-2,1))))</f>
        <v/>
      </c>
      <c r="G100" s="23" t="str">
        <f t="shared" si="14"/>
        <v/>
      </c>
      <c r="H100" s="20" t="str">
        <f t="shared" si="19"/>
        <v/>
      </c>
      <c r="I100" t="str">
        <f t="shared" si="15"/>
        <v/>
      </c>
      <c r="J100" s="17" t="str">
        <f t="shared" si="11"/>
        <v/>
      </c>
      <c r="K100" s="18" t="str">
        <f t="shared" si="16"/>
        <v/>
      </c>
      <c r="L100" t="str">
        <f t="shared" si="17"/>
        <v/>
      </c>
      <c r="M100" s="23" t="str">
        <f ca="1">IF(A100="","",IF($B$10="Sí",interpolar_alamb(L100,OFFSET(Curvas_cupon_cero!$A$1,1,0,COUNT(Curvas_cupon_cero!$A:$A)-2,1),OFFSET(Curvas_cupon_cero!$A$1,1,MATCH($B$6,Curvas_cupon_cero!$1:$1,0)-1,COUNT(Curvas_cupon_cero!$A:$A)-2,1)),[1]!interpolar(L100,OFFSET(Curvas_cupon_cero!$A$1,1,0,COUNT(Curvas_cupon_cero!$A:$A)-2,1),OFFSET(Curvas_cupon_cero!$A$1,1,MATCH($B$6,Curvas_cupon_cero!$1:$1,0)-1,COUNT(Curvas_cupon_cero!$A:$A)-2,1))))</f>
        <v/>
      </c>
      <c r="N100" s="23"/>
      <c r="O100" s="19" t="str">
        <f t="shared" si="18"/>
        <v/>
      </c>
    </row>
    <row r="101" spans="1:15" x14ac:dyDescent="0.2">
      <c r="A101" s="12" t="str">
        <f t="shared" si="12"/>
        <v/>
      </c>
      <c r="B101" t="str">
        <f t="shared" si="10"/>
        <v/>
      </c>
      <c r="C101" s="21" t="str">
        <f ca="1">IF(A101="","",IF($B$10="Sí",interpolar_alamb(B101,OFFSET(Curvas_cupon_cero!$A$1,1,0,COUNT(Curvas_cupon_cero!$A:$A)-2,1),OFFSET(Curvas_cupon_cero!$A$1,1,MATCH($B$8,Curvas_cupon_cero!$1:$1,0)-1,COUNT(Curvas_cupon_cero!$A:$A)-2,1)),[1]!interpolar(B101,OFFSET(Curvas_cupon_cero!$A$1,1,0,COUNT(Curvas_cupon_cero!$A:$A)-2,1),OFFSET(Curvas_cupon_cero!$A$1,1,MATCH($B$8,Curvas_cupon_cero!$1:$1,0)-1,COUNT(Curvas_cupon_cero!$A:$A)-2,1))))</f>
        <v/>
      </c>
      <c r="D101" s="23" t="str">
        <f ca="1">IF(A101="","",IF($B$10="Sí",interpolar_alamb(L101,OFFSET(Curvas_cupon_cero!$A$1,1,0,COUNT(Curvas_cupon_cero!$A:$A)-2,1),OFFSET(Curvas_cupon_cero!$A$1,1,MATCH($B$8,Curvas_cupon_cero!$1:$1,0)-1,COUNT(Curvas_cupon_cero!$A:$A)-2,1)),[1]!interpolar(L101,OFFSET(Curvas_cupon_cero!$A$1,1,0,COUNT(Curvas_cupon_cero!$A:$A)-2,1),OFFSET(Curvas_cupon_cero!$A$1,1,MATCH($B$8,Curvas_cupon_cero!$1:$1,0)-1,COUNT(Curvas_cupon_cero!$A:$A)-2,1))))</f>
        <v/>
      </c>
      <c r="E101" s="23" t="str">
        <f t="shared" si="13"/>
        <v/>
      </c>
      <c r="F101" s="23" t="str">
        <f ca="1">IF(A101="","",IF($B$10="Sí",interpolar_alamb(B101,OFFSET(Curvas_cupon_cero!$A$1,1,0,COUNT(Curvas_cupon_cero!$A:$A)-2,1),OFFSET(Curvas_cupon_cero!$A$1,1,MATCH($B$9,Curvas_cupon_cero!$1:$1,0)-1,COUNT(Curvas_cupon_cero!$A:$A)-2,1)),[1]!interpolar(B101,OFFSET(Curvas_cupon_cero!$A$1,1,0,COUNT(Curvas_cupon_cero!$A:$A)-2,1),OFFSET(Curvas_cupon_cero!$A$1,1,MATCH($B$9,Curvas_cupon_cero!$1:$1,0)-1,COUNT(Curvas_cupon_cero!$A:$A)-2,1))))</f>
        <v/>
      </c>
      <c r="G101" s="23" t="str">
        <f t="shared" si="14"/>
        <v/>
      </c>
      <c r="H101" s="20" t="str">
        <f t="shared" si="19"/>
        <v/>
      </c>
      <c r="I101" t="str">
        <f t="shared" si="15"/>
        <v/>
      </c>
      <c r="J101" s="17" t="str">
        <f t="shared" si="11"/>
        <v/>
      </c>
      <c r="K101" s="18" t="str">
        <f t="shared" si="16"/>
        <v/>
      </c>
      <c r="L101" t="str">
        <f t="shared" si="17"/>
        <v/>
      </c>
      <c r="M101" s="23" t="str">
        <f ca="1">IF(A101="","",IF($B$10="Sí",interpolar_alamb(L101,OFFSET(Curvas_cupon_cero!$A$1,1,0,COUNT(Curvas_cupon_cero!$A:$A)-2,1),OFFSET(Curvas_cupon_cero!$A$1,1,MATCH($B$6,Curvas_cupon_cero!$1:$1,0)-1,COUNT(Curvas_cupon_cero!$A:$A)-2,1)),[1]!interpolar(L101,OFFSET(Curvas_cupon_cero!$A$1,1,0,COUNT(Curvas_cupon_cero!$A:$A)-2,1),OFFSET(Curvas_cupon_cero!$A$1,1,MATCH($B$6,Curvas_cupon_cero!$1:$1,0)-1,COUNT(Curvas_cupon_cero!$A:$A)-2,1))))</f>
        <v/>
      </c>
      <c r="N101" s="23"/>
      <c r="O101" s="19" t="str">
        <f t="shared" si="18"/>
        <v/>
      </c>
    </row>
    <row r="102" spans="1:15" x14ac:dyDescent="0.2">
      <c r="A102" s="12" t="str">
        <f t="shared" si="12"/>
        <v/>
      </c>
      <c r="B102" t="str">
        <f t="shared" si="10"/>
        <v/>
      </c>
      <c r="C102" s="21" t="str">
        <f ca="1">IF(A102="","",IF($B$10="Sí",interpolar_alamb(B102,OFFSET(Curvas_cupon_cero!$A$1,1,0,COUNT(Curvas_cupon_cero!$A:$A)-2,1),OFFSET(Curvas_cupon_cero!$A$1,1,MATCH($B$8,Curvas_cupon_cero!$1:$1,0)-1,COUNT(Curvas_cupon_cero!$A:$A)-2,1)),[1]!interpolar(B102,OFFSET(Curvas_cupon_cero!$A$1,1,0,COUNT(Curvas_cupon_cero!$A:$A)-2,1),OFFSET(Curvas_cupon_cero!$A$1,1,MATCH($B$8,Curvas_cupon_cero!$1:$1,0)-1,COUNT(Curvas_cupon_cero!$A:$A)-2,1))))</f>
        <v/>
      </c>
      <c r="D102" s="23" t="str">
        <f ca="1">IF(A102="","",IF($B$10="Sí",interpolar_alamb(L102,OFFSET(Curvas_cupon_cero!$A$1,1,0,COUNT(Curvas_cupon_cero!$A:$A)-2,1),OFFSET(Curvas_cupon_cero!$A$1,1,MATCH($B$8,Curvas_cupon_cero!$1:$1,0)-1,COUNT(Curvas_cupon_cero!$A:$A)-2,1)),[1]!interpolar(L102,OFFSET(Curvas_cupon_cero!$A$1,1,0,COUNT(Curvas_cupon_cero!$A:$A)-2,1),OFFSET(Curvas_cupon_cero!$A$1,1,MATCH($B$8,Curvas_cupon_cero!$1:$1,0)-1,COUNT(Curvas_cupon_cero!$A:$A)-2,1))))</f>
        <v/>
      </c>
      <c r="E102" s="23" t="str">
        <f t="shared" si="13"/>
        <v/>
      </c>
      <c r="F102" s="23" t="str">
        <f ca="1">IF(A102="","",IF($B$10="Sí",interpolar_alamb(B102,OFFSET(Curvas_cupon_cero!$A$1,1,0,COUNT(Curvas_cupon_cero!$A:$A)-2,1),OFFSET(Curvas_cupon_cero!$A$1,1,MATCH($B$9,Curvas_cupon_cero!$1:$1,0)-1,COUNT(Curvas_cupon_cero!$A:$A)-2,1)),[1]!interpolar(B102,OFFSET(Curvas_cupon_cero!$A$1,1,0,COUNT(Curvas_cupon_cero!$A:$A)-2,1),OFFSET(Curvas_cupon_cero!$A$1,1,MATCH($B$9,Curvas_cupon_cero!$1:$1,0)-1,COUNT(Curvas_cupon_cero!$A:$A)-2,1))))</f>
        <v/>
      </c>
      <c r="G102" s="23" t="str">
        <f t="shared" si="14"/>
        <v/>
      </c>
      <c r="H102" s="20" t="str">
        <f t="shared" si="19"/>
        <v/>
      </c>
      <c r="I102" t="str">
        <f t="shared" si="15"/>
        <v/>
      </c>
      <c r="J102" s="17" t="str">
        <f t="shared" si="11"/>
        <v/>
      </c>
      <c r="K102" s="18" t="str">
        <f t="shared" si="16"/>
        <v/>
      </c>
      <c r="L102" t="str">
        <f t="shared" si="17"/>
        <v/>
      </c>
      <c r="M102" s="23" t="str">
        <f ca="1">IF(A102="","",IF($B$10="Sí",interpolar_alamb(L102,OFFSET(Curvas_cupon_cero!$A$1,1,0,COUNT(Curvas_cupon_cero!$A:$A)-2,1),OFFSET(Curvas_cupon_cero!$A$1,1,MATCH($B$6,Curvas_cupon_cero!$1:$1,0)-1,COUNT(Curvas_cupon_cero!$A:$A)-2,1)),[1]!interpolar(L102,OFFSET(Curvas_cupon_cero!$A$1,1,0,COUNT(Curvas_cupon_cero!$A:$A)-2,1),OFFSET(Curvas_cupon_cero!$A$1,1,MATCH($B$6,Curvas_cupon_cero!$1:$1,0)-1,COUNT(Curvas_cupon_cero!$A:$A)-2,1))))</f>
        <v/>
      </c>
      <c r="N102" s="23"/>
      <c r="O102" s="19" t="str">
        <f t="shared" si="18"/>
        <v/>
      </c>
    </row>
    <row r="103" spans="1:15" x14ac:dyDescent="0.2">
      <c r="A103" s="12" t="str">
        <f t="shared" si="12"/>
        <v/>
      </c>
      <c r="B103" t="str">
        <f t="shared" si="10"/>
        <v/>
      </c>
      <c r="C103" s="21" t="str">
        <f ca="1">IF(A103="","",IF($B$10="Sí",interpolar_alamb(B103,OFFSET(Curvas_cupon_cero!$A$1,1,0,COUNT(Curvas_cupon_cero!$A:$A)-2,1),OFFSET(Curvas_cupon_cero!$A$1,1,MATCH($B$8,Curvas_cupon_cero!$1:$1,0)-1,COUNT(Curvas_cupon_cero!$A:$A)-2,1)),[1]!interpolar(B103,OFFSET(Curvas_cupon_cero!$A$1,1,0,COUNT(Curvas_cupon_cero!$A:$A)-2,1),OFFSET(Curvas_cupon_cero!$A$1,1,MATCH($B$8,Curvas_cupon_cero!$1:$1,0)-1,COUNT(Curvas_cupon_cero!$A:$A)-2,1))))</f>
        <v/>
      </c>
      <c r="D103" s="23" t="str">
        <f ca="1">IF(A103="","",IF($B$10="Sí",interpolar_alamb(L103,OFFSET(Curvas_cupon_cero!$A$1,1,0,COUNT(Curvas_cupon_cero!$A:$A)-2,1),OFFSET(Curvas_cupon_cero!$A$1,1,MATCH($B$8,Curvas_cupon_cero!$1:$1,0)-1,COUNT(Curvas_cupon_cero!$A:$A)-2,1)),[1]!interpolar(L103,OFFSET(Curvas_cupon_cero!$A$1,1,0,COUNT(Curvas_cupon_cero!$A:$A)-2,1),OFFSET(Curvas_cupon_cero!$A$1,1,MATCH($B$8,Curvas_cupon_cero!$1:$1,0)-1,COUNT(Curvas_cupon_cero!$A:$A)-2,1))))</f>
        <v/>
      </c>
      <c r="E103" s="23" t="str">
        <f t="shared" si="13"/>
        <v/>
      </c>
      <c r="F103" s="23" t="str">
        <f ca="1">IF(A103="","",IF($B$10="Sí",interpolar_alamb(B103,OFFSET(Curvas_cupon_cero!$A$1,1,0,COUNT(Curvas_cupon_cero!$A:$A)-2,1),OFFSET(Curvas_cupon_cero!$A$1,1,MATCH($B$9,Curvas_cupon_cero!$1:$1,0)-1,COUNT(Curvas_cupon_cero!$A:$A)-2,1)),[1]!interpolar(B103,OFFSET(Curvas_cupon_cero!$A$1,1,0,COUNT(Curvas_cupon_cero!$A:$A)-2,1),OFFSET(Curvas_cupon_cero!$A$1,1,MATCH($B$9,Curvas_cupon_cero!$1:$1,0)-1,COUNT(Curvas_cupon_cero!$A:$A)-2,1))))</f>
        <v/>
      </c>
      <c r="G103" s="23" t="str">
        <f t="shared" si="14"/>
        <v/>
      </c>
      <c r="H103" s="20" t="str">
        <f t="shared" si="19"/>
        <v/>
      </c>
      <c r="I103" t="str">
        <f t="shared" si="15"/>
        <v/>
      </c>
      <c r="J103" s="17" t="str">
        <f t="shared" si="11"/>
        <v/>
      </c>
      <c r="K103" s="18" t="str">
        <f t="shared" si="16"/>
        <v/>
      </c>
      <c r="L103" t="str">
        <f t="shared" si="17"/>
        <v/>
      </c>
      <c r="M103" s="23" t="str">
        <f ca="1">IF(A103="","",IF($B$10="Sí",interpolar_alamb(L103,OFFSET(Curvas_cupon_cero!$A$1,1,0,COUNT(Curvas_cupon_cero!$A:$A)-2,1),OFFSET(Curvas_cupon_cero!$A$1,1,MATCH($B$6,Curvas_cupon_cero!$1:$1,0)-1,COUNT(Curvas_cupon_cero!$A:$A)-2,1)),[1]!interpolar(L103,OFFSET(Curvas_cupon_cero!$A$1,1,0,COUNT(Curvas_cupon_cero!$A:$A)-2,1),OFFSET(Curvas_cupon_cero!$A$1,1,MATCH($B$6,Curvas_cupon_cero!$1:$1,0)-1,COUNT(Curvas_cupon_cero!$A:$A)-2,1))))</f>
        <v/>
      </c>
      <c r="N103" s="23"/>
      <c r="O103" s="19" t="str">
        <f t="shared" si="18"/>
        <v/>
      </c>
    </row>
    <row r="104" spans="1:15" x14ac:dyDescent="0.2">
      <c r="A104" s="12" t="str">
        <f t="shared" si="12"/>
        <v/>
      </c>
      <c r="B104" t="str">
        <f t="shared" si="10"/>
        <v/>
      </c>
      <c r="C104" s="21" t="str">
        <f ca="1">IF(A104="","",IF($B$10="Sí",interpolar_alamb(B104,OFFSET(Curvas_cupon_cero!$A$1,1,0,COUNT(Curvas_cupon_cero!$A:$A)-2,1),OFFSET(Curvas_cupon_cero!$A$1,1,MATCH($B$8,Curvas_cupon_cero!$1:$1,0)-1,COUNT(Curvas_cupon_cero!$A:$A)-2,1)),[1]!interpolar(B104,OFFSET(Curvas_cupon_cero!$A$1,1,0,COUNT(Curvas_cupon_cero!$A:$A)-2,1),OFFSET(Curvas_cupon_cero!$A$1,1,MATCH($B$8,Curvas_cupon_cero!$1:$1,0)-1,COUNT(Curvas_cupon_cero!$A:$A)-2,1))))</f>
        <v/>
      </c>
      <c r="D104" s="23" t="str">
        <f ca="1">IF(A104="","",IF($B$10="Sí",interpolar_alamb(L104,OFFSET(Curvas_cupon_cero!$A$1,1,0,COUNT(Curvas_cupon_cero!$A:$A)-2,1),OFFSET(Curvas_cupon_cero!$A$1,1,MATCH($B$8,Curvas_cupon_cero!$1:$1,0)-1,COUNT(Curvas_cupon_cero!$A:$A)-2,1)),[1]!interpolar(L104,OFFSET(Curvas_cupon_cero!$A$1,1,0,COUNT(Curvas_cupon_cero!$A:$A)-2,1),OFFSET(Curvas_cupon_cero!$A$1,1,MATCH($B$8,Curvas_cupon_cero!$1:$1,0)-1,COUNT(Curvas_cupon_cero!$A:$A)-2,1))))</f>
        <v/>
      </c>
      <c r="E104" s="23" t="str">
        <f t="shared" si="13"/>
        <v/>
      </c>
      <c r="F104" s="23" t="str">
        <f ca="1">IF(A104="","",IF($B$10="Sí",interpolar_alamb(B104,OFFSET(Curvas_cupon_cero!$A$1,1,0,COUNT(Curvas_cupon_cero!$A:$A)-2,1),OFFSET(Curvas_cupon_cero!$A$1,1,MATCH($B$9,Curvas_cupon_cero!$1:$1,0)-1,COUNT(Curvas_cupon_cero!$A:$A)-2,1)),[1]!interpolar(B104,OFFSET(Curvas_cupon_cero!$A$1,1,0,COUNT(Curvas_cupon_cero!$A:$A)-2,1),OFFSET(Curvas_cupon_cero!$A$1,1,MATCH($B$9,Curvas_cupon_cero!$1:$1,0)-1,COUNT(Curvas_cupon_cero!$A:$A)-2,1))))</f>
        <v/>
      </c>
      <c r="G104" s="23" t="str">
        <f t="shared" si="14"/>
        <v/>
      </c>
      <c r="H104" s="20" t="str">
        <f t="shared" si="19"/>
        <v/>
      </c>
      <c r="I104" t="str">
        <f t="shared" si="15"/>
        <v/>
      </c>
      <c r="J104" s="17" t="str">
        <f t="shared" si="11"/>
        <v/>
      </c>
      <c r="K104" s="18" t="str">
        <f t="shared" si="16"/>
        <v/>
      </c>
      <c r="L104" t="str">
        <f t="shared" si="17"/>
        <v/>
      </c>
      <c r="M104" s="23" t="str">
        <f ca="1">IF(A104="","",IF($B$10="Sí",interpolar_alamb(L104,OFFSET(Curvas_cupon_cero!$A$1,1,0,COUNT(Curvas_cupon_cero!$A:$A)-2,1),OFFSET(Curvas_cupon_cero!$A$1,1,MATCH($B$6,Curvas_cupon_cero!$1:$1,0)-1,COUNT(Curvas_cupon_cero!$A:$A)-2,1)),[1]!interpolar(L104,OFFSET(Curvas_cupon_cero!$A$1,1,0,COUNT(Curvas_cupon_cero!$A:$A)-2,1),OFFSET(Curvas_cupon_cero!$A$1,1,MATCH($B$6,Curvas_cupon_cero!$1:$1,0)-1,COUNT(Curvas_cupon_cero!$A:$A)-2,1))))</f>
        <v/>
      </c>
      <c r="N104" s="23"/>
      <c r="O104" s="19" t="str">
        <f t="shared" si="18"/>
        <v/>
      </c>
    </row>
    <row r="105" spans="1:15" x14ac:dyDescent="0.2">
      <c r="A105" s="12" t="str">
        <f t="shared" si="12"/>
        <v/>
      </c>
      <c r="B105" t="str">
        <f t="shared" si="10"/>
        <v/>
      </c>
      <c r="C105" s="21" t="str">
        <f ca="1">IF(A105="","",IF($B$10="Sí",interpolar_alamb(B105,OFFSET(Curvas_cupon_cero!$A$1,1,0,COUNT(Curvas_cupon_cero!$A:$A)-2,1),OFFSET(Curvas_cupon_cero!$A$1,1,MATCH($B$8,Curvas_cupon_cero!$1:$1,0)-1,COUNT(Curvas_cupon_cero!$A:$A)-2,1)),[1]!interpolar(B105,OFFSET(Curvas_cupon_cero!$A$1,1,0,COUNT(Curvas_cupon_cero!$A:$A)-2,1),OFFSET(Curvas_cupon_cero!$A$1,1,MATCH($B$8,Curvas_cupon_cero!$1:$1,0)-1,COUNT(Curvas_cupon_cero!$A:$A)-2,1))))</f>
        <v/>
      </c>
      <c r="D105" s="23" t="str">
        <f ca="1">IF(A105="","",IF($B$10="Sí",interpolar_alamb(L105,OFFSET(Curvas_cupon_cero!$A$1,1,0,COUNT(Curvas_cupon_cero!$A:$A)-2,1),OFFSET(Curvas_cupon_cero!$A$1,1,MATCH($B$8,Curvas_cupon_cero!$1:$1,0)-1,COUNT(Curvas_cupon_cero!$A:$A)-2,1)),[1]!interpolar(L105,OFFSET(Curvas_cupon_cero!$A$1,1,0,COUNT(Curvas_cupon_cero!$A:$A)-2,1),OFFSET(Curvas_cupon_cero!$A$1,1,MATCH($B$8,Curvas_cupon_cero!$1:$1,0)-1,COUNT(Curvas_cupon_cero!$A:$A)-2,1))))</f>
        <v/>
      </c>
      <c r="E105" s="23" t="str">
        <f t="shared" si="13"/>
        <v/>
      </c>
      <c r="F105" s="23" t="str">
        <f ca="1">IF(A105="","",IF($B$10="Sí",interpolar_alamb(B105,OFFSET(Curvas_cupon_cero!$A$1,1,0,COUNT(Curvas_cupon_cero!$A:$A)-2,1),OFFSET(Curvas_cupon_cero!$A$1,1,MATCH($B$9,Curvas_cupon_cero!$1:$1,0)-1,COUNT(Curvas_cupon_cero!$A:$A)-2,1)),[1]!interpolar(B105,OFFSET(Curvas_cupon_cero!$A$1,1,0,COUNT(Curvas_cupon_cero!$A:$A)-2,1),OFFSET(Curvas_cupon_cero!$A$1,1,MATCH($B$9,Curvas_cupon_cero!$1:$1,0)-1,COUNT(Curvas_cupon_cero!$A:$A)-2,1))))</f>
        <v/>
      </c>
      <c r="G105" s="23" t="str">
        <f t="shared" si="14"/>
        <v/>
      </c>
      <c r="H105" s="20" t="str">
        <f t="shared" si="19"/>
        <v/>
      </c>
      <c r="I105" t="str">
        <f t="shared" si="15"/>
        <v/>
      </c>
      <c r="J105" s="17" t="str">
        <f t="shared" si="11"/>
        <v/>
      </c>
      <c r="K105" s="18" t="str">
        <f t="shared" si="16"/>
        <v/>
      </c>
      <c r="L105" t="str">
        <f t="shared" si="17"/>
        <v/>
      </c>
      <c r="M105" s="23" t="str">
        <f ca="1">IF(A105="","",IF($B$10="Sí",interpolar_alamb(L105,OFFSET(Curvas_cupon_cero!$A$1,1,0,COUNT(Curvas_cupon_cero!$A:$A)-2,1),OFFSET(Curvas_cupon_cero!$A$1,1,MATCH($B$6,Curvas_cupon_cero!$1:$1,0)-1,COUNT(Curvas_cupon_cero!$A:$A)-2,1)),[1]!interpolar(L105,OFFSET(Curvas_cupon_cero!$A$1,1,0,COUNT(Curvas_cupon_cero!$A:$A)-2,1),OFFSET(Curvas_cupon_cero!$A$1,1,MATCH($B$6,Curvas_cupon_cero!$1:$1,0)-1,COUNT(Curvas_cupon_cero!$A:$A)-2,1))))</f>
        <v/>
      </c>
      <c r="N105" s="23"/>
      <c r="O105" s="19" t="str">
        <f t="shared" si="18"/>
        <v/>
      </c>
    </row>
    <row r="106" spans="1:15" x14ac:dyDescent="0.2">
      <c r="A106" s="12" t="str">
        <f t="shared" si="12"/>
        <v/>
      </c>
      <c r="B106" t="str">
        <f t="shared" si="10"/>
        <v/>
      </c>
      <c r="C106" s="21" t="str">
        <f ca="1">IF(A106="","",IF($B$10="Sí",interpolar_alamb(B106,OFFSET(Curvas_cupon_cero!$A$1,1,0,COUNT(Curvas_cupon_cero!$A:$A)-2,1),OFFSET(Curvas_cupon_cero!$A$1,1,MATCH($B$8,Curvas_cupon_cero!$1:$1,0)-1,COUNT(Curvas_cupon_cero!$A:$A)-2,1)),[1]!interpolar(B106,OFFSET(Curvas_cupon_cero!$A$1,1,0,COUNT(Curvas_cupon_cero!$A:$A)-2,1),OFFSET(Curvas_cupon_cero!$A$1,1,MATCH($B$8,Curvas_cupon_cero!$1:$1,0)-1,COUNT(Curvas_cupon_cero!$A:$A)-2,1))))</f>
        <v/>
      </c>
      <c r="D106" s="23" t="str">
        <f ca="1">IF(A106="","",IF($B$10="Sí",interpolar_alamb(L106,OFFSET(Curvas_cupon_cero!$A$1,1,0,COUNT(Curvas_cupon_cero!$A:$A)-2,1),OFFSET(Curvas_cupon_cero!$A$1,1,MATCH($B$8,Curvas_cupon_cero!$1:$1,0)-1,COUNT(Curvas_cupon_cero!$A:$A)-2,1)),[1]!interpolar(L106,OFFSET(Curvas_cupon_cero!$A$1,1,0,COUNT(Curvas_cupon_cero!$A:$A)-2,1),OFFSET(Curvas_cupon_cero!$A$1,1,MATCH($B$8,Curvas_cupon_cero!$1:$1,0)-1,COUNT(Curvas_cupon_cero!$A:$A)-2,1))))</f>
        <v/>
      </c>
      <c r="E106" s="23" t="str">
        <f t="shared" si="13"/>
        <v/>
      </c>
      <c r="F106" s="23" t="str">
        <f ca="1">IF(A106="","",IF($B$10="Sí",interpolar_alamb(B106,OFFSET(Curvas_cupon_cero!$A$1,1,0,COUNT(Curvas_cupon_cero!$A:$A)-2,1),OFFSET(Curvas_cupon_cero!$A$1,1,MATCH($B$9,Curvas_cupon_cero!$1:$1,0)-1,COUNT(Curvas_cupon_cero!$A:$A)-2,1)),[1]!interpolar(B106,OFFSET(Curvas_cupon_cero!$A$1,1,0,COUNT(Curvas_cupon_cero!$A:$A)-2,1),OFFSET(Curvas_cupon_cero!$A$1,1,MATCH($B$9,Curvas_cupon_cero!$1:$1,0)-1,COUNT(Curvas_cupon_cero!$A:$A)-2,1))))</f>
        <v/>
      </c>
      <c r="G106" s="23" t="str">
        <f t="shared" si="14"/>
        <v/>
      </c>
      <c r="H106" s="20" t="str">
        <f t="shared" si="19"/>
        <v/>
      </c>
      <c r="I106" t="str">
        <f t="shared" si="15"/>
        <v/>
      </c>
      <c r="J106" s="17" t="str">
        <f t="shared" si="11"/>
        <v/>
      </c>
      <c r="K106" s="18" t="str">
        <f t="shared" si="16"/>
        <v/>
      </c>
      <c r="L106" t="str">
        <f t="shared" si="17"/>
        <v/>
      </c>
      <c r="M106" s="23" t="str">
        <f ca="1">IF(A106="","",IF($B$10="Sí",interpolar_alamb(L106,OFFSET(Curvas_cupon_cero!$A$1,1,0,COUNT(Curvas_cupon_cero!$A:$A)-2,1),OFFSET(Curvas_cupon_cero!$A$1,1,MATCH($B$6,Curvas_cupon_cero!$1:$1,0)-1,COUNT(Curvas_cupon_cero!$A:$A)-2,1)),[1]!interpolar(L106,OFFSET(Curvas_cupon_cero!$A$1,1,0,COUNT(Curvas_cupon_cero!$A:$A)-2,1),OFFSET(Curvas_cupon_cero!$A$1,1,MATCH($B$6,Curvas_cupon_cero!$1:$1,0)-1,COUNT(Curvas_cupon_cero!$A:$A)-2,1))))</f>
        <v/>
      </c>
      <c r="N106" s="23"/>
      <c r="O106" s="19" t="str">
        <f t="shared" si="18"/>
        <v/>
      </c>
    </row>
    <row r="107" spans="1:15" x14ac:dyDescent="0.2">
      <c r="A107" s="12" t="str">
        <f t="shared" si="12"/>
        <v/>
      </c>
      <c r="B107" t="str">
        <f t="shared" si="10"/>
        <v/>
      </c>
      <c r="C107" s="21" t="str">
        <f ca="1">IF(A107="","",IF($B$10="Sí",interpolar_alamb(B107,OFFSET(Curvas_cupon_cero!$A$1,1,0,COUNT(Curvas_cupon_cero!$A:$A)-2,1),OFFSET(Curvas_cupon_cero!$A$1,1,MATCH($B$8,Curvas_cupon_cero!$1:$1,0)-1,COUNT(Curvas_cupon_cero!$A:$A)-2,1)),[1]!interpolar(B107,OFFSET(Curvas_cupon_cero!$A$1,1,0,COUNT(Curvas_cupon_cero!$A:$A)-2,1),OFFSET(Curvas_cupon_cero!$A$1,1,MATCH($B$8,Curvas_cupon_cero!$1:$1,0)-1,COUNT(Curvas_cupon_cero!$A:$A)-2,1))))</f>
        <v/>
      </c>
      <c r="D107" s="23" t="str">
        <f ca="1">IF(A107="","",IF($B$10="Sí",interpolar_alamb(L107,OFFSET(Curvas_cupon_cero!$A$1,1,0,COUNT(Curvas_cupon_cero!$A:$A)-2,1),OFFSET(Curvas_cupon_cero!$A$1,1,MATCH($B$8,Curvas_cupon_cero!$1:$1,0)-1,COUNT(Curvas_cupon_cero!$A:$A)-2,1)),[1]!interpolar(L107,OFFSET(Curvas_cupon_cero!$A$1,1,0,COUNT(Curvas_cupon_cero!$A:$A)-2,1),OFFSET(Curvas_cupon_cero!$A$1,1,MATCH($B$8,Curvas_cupon_cero!$1:$1,0)-1,COUNT(Curvas_cupon_cero!$A:$A)-2,1))))</f>
        <v/>
      </c>
      <c r="E107" s="23" t="str">
        <f t="shared" si="13"/>
        <v/>
      </c>
      <c r="F107" s="23" t="str">
        <f ca="1">IF(A107="","",IF($B$10="Sí",interpolar_alamb(B107,OFFSET(Curvas_cupon_cero!$A$1,1,0,COUNT(Curvas_cupon_cero!$A:$A)-2,1),OFFSET(Curvas_cupon_cero!$A$1,1,MATCH($B$9,Curvas_cupon_cero!$1:$1,0)-1,COUNT(Curvas_cupon_cero!$A:$A)-2,1)),[1]!interpolar(B107,OFFSET(Curvas_cupon_cero!$A$1,1,0,COUNT(Curvas_cupon_cero!$A:$A)-2,1),OFFSET(Curvas_cupon_cero!$A$1,1,MATCH($B$9,Curvas_cupon_cero!$1:$1,0)-1,COUNT(Curvas_cupon_cero!$A:$A)-2,1))))</f>
        <v/>
      </c>
      <c r="G107" s="23" t="str">
        <f t="shared" si="14"/>
        <v/>
      </c>
      <c r="H107" s="20" t="str">
        <f t="shared" si="19"/>
        <v/>
      </c>
      <c r="I107" t="str">
        <f t="shared" si="15"/>
        <v/>
      </c>
      <c r="J107" s="17" t="str">
        <f t="shared" si="11"/>
        <v/>
      </c>
      <c r="K107" s="18" t="str">
        <f t="shared" si="16"/>
        <v/>
      </c>
      <c r="L107" t="str">
        <f t="shared" si="17"/>
        <v/>
      </c>
      <c r="M107" s="23" t="str">
        <f ca="1">IF(A107="","",IF($B$10="Sí",interpolar_alamb(L107,OFFSET(Curvas_cupon_cero!$A$1,1,0,COUNT(Curvas_cupon_cero!$A:$A)-2,1),OFFSET(Curvas_cupon_cero!$A$1,1,MATCH($B$6,Curvas_cupon_cero!$1:$1,0)-1,COUNT(Curvas_cupon_cero!$A:$A)-2,1)),[1]!interpolar(L107,OFFSET(Curvas_cupon_cero!$A$1,1,0,COUNT(Curvas_cupon_cero!$A:$A)-2,1),OFFSET(Curvas_cupon_cero!$A$1,1,MATCH($B$6,Curvas_cupon_cero!$1:$1,0)-1,COUNT(Curvas_cupon_cero!$A:$A)-2,1))))</f>
        <v/>
      </c>
      <c r="N107" s="23"/>
      <c r="O107" s="19" t="str">
        <f t="shared" si="18"/>
        <v/>
      </c>
    </row>
    <row r="108" spans="1:15" x14ac:dyDescent="0.2">
      <c r="A108" s="12" t="str">
        <f t="shared" si="12"/>
        <v/>
      </c>
      <c r="B108" t="str">
        <f t="shared" si="10"/>
        <v/>
      </c>
      <c r="C108" s="21" t="str">
        <f ca="1">IF(A108="","",IF($B$10="Sí",interpolar_alamb(B108,OFFSET(Curvas_cupon_cero!$A$1,1,0,COUNT(Curvas_cupon_cero!$A:$A)-2,1),OFFSET(Curvas_cupon_cero!$A$1,1,MATCH($B$8,Curvas_cupon_cero!$1:$1,0)-1,COUNT(Curvas_cupon_cero!$A:$A)-2,1)),[1]!interpolar(B108,OFFSET(Curvas_cupon_cero!$A$1,1,0,COUNT(Curvas_cupon_cero!$A:$A)-2,1),OFFSET(Curvas_cupon_cero!$A$1,1,MATCH($B$8,Curvas_cupon_cero!$1:$1,0)-1,COUNT(Curvas_cupon_cero!$A:$A)-2,1))))</f>
        <v/>
      </c>
      <c r="D108" s="23" t="str">
        <f ca="1">IF(A108="","",IF($B$10="Sí",interpolar_alamb(L108,OFFSET(Curvas_cupon_cero!$A$1,1,0,COUNT(Curvas_cupon_cero!$A:$A)-2,1),OFFSET(Curvas_cupon_cero!$A$1,1,MATCH($B$8,Curvas_cupon_cero!$1:$1,0)-1,COUNT(Curvas_cupon_cero!$A:$A)-2,1)),[1]!interpolar(L108,OFFSET(Curvas_cupon_cero!$A$1,1,0,COUNT(Curvas_cupon_cero!$A:$A)-2,1),OFFSET(Curvas_cupon_cero!$A$1,1,MATCH($B$8,Curvas_cupon_cero!$1:$1,0)-1,COUNT(Curvas_cupon_cero!$A:$A)-2,1))))</f>
        <v/>
      </c>
      <c r="E108" s="23" t="str">
        <f t="shared" si="13"/>
        <v/>
      </c>
      <c r="F108" s="23" t="str">
        <f ca="1">IF(A108="","",IF($B$10="Sí",interpolar_alamb(B108,OFFSET(Curvas_cupon_cero!$A$1,1,0,COUNT(Curvas_cupon_cero!$A:$A)-2,1),OFFSET(Curvas_cupon_cero!$A$1,1,MATCH($B$9,Curvas_cupon_cero!$1:$1,0)-1,COUNT(Curvas_cupon_cero!$A:$A)-2,1)),[1]!interpolar(B108,OFFSET(Curvas_cupon_cero!$A$1,1,0,COUNT(Curvas_cupon_cero!$A:$A)-2,1),OFFSET(Curvas_cupon_cero!$A$1,1,MATCH($B$9,Curvas_cupon_cero!$1:$1,0)-1,COUNT(Curvas_cupon_cero!$A:$A)-2,1))))</f>
        <v/>
      </c>
      <c r="G108" s="23" t="str">
        <f t="shared" si="14"/>
        <v/>
      </c>
      <c r="H108" s="20" t="str">
        <f t="shared" si="19"/>
        <v/>
      </c>
      <c r="I108" t="str">
        <f t="shared" si="15"/>
        <v/>
      </c>
      <c r="J108" s="17" t="str">
        <f t="shared" si="11"/>
        <v/>
      </c>
      <c r="K108" s="18" t="str">
        <f t="shared" si="16"/>
        <v/>
      </c>
      <c r="L108" t="str">
        <f t="shared" si="17"/>
        <v/>
      </c>
      <c r="M108" s="23" t="str">
        <f ca="1">IF(A108="","",IF($B$10="Sí",interpolar_alamb(L108,OFFSET(Curvas_cupon_cero!$A$1,1,0,COUNT(Curvas_cupon_cero!$A:$A)-2,1),OFFSET(Curvas_cupon_cero!$A$1,1,MATCH($B$6,Curvas_cupon_cero!$1:$1,0)-1,COUNT(Curvas_cupon_cero!$A:$A)-2,1)),[1]!interpolar(L108,OFFSET(Curvas_cupon_cero!$A$1,1,0,COUNT(Curvas_cupon_cero!$A:$A)-2,1),OFFSET(Curvas_cupon_cero!$A$1,1,MATCH($B$6,Curvas_cupon_cero!$1:$1,0)-1,COUNT(Curvas_cupon_cero!$A:$A)-2,1))))</f>
        <v/>
      </c>
      <c r="N108" s="23"/>
      <c r="O108" s="19" t="str">
        <f t="shared" si="18"/>
        <v/>
      </c>
    </row>
    <row r="109" spans="1:15" x14ac:dyDescent="0.2">
      <c r="A109" s="12" t="str">
        <f t="shared" si="12"/>
        <v/>
      </c>
      <c r="B109" t="str">
        <f t="shared" si="10"/>
        <v/>
      </c>
      <c r="C109" s="21" t="str">
        <f ca="1">IF(A109="","",IF($B$10="Sí",interpolar_alamb(B109,OFFSET(Curvas_cupon_cero!$A$1,1,0,COUNT(Curvas_cupon_cero!$A:$A)-2,1),OFFSET(Curvas_cupon_cero!$A$1,1,MATCH($B$8,Curvas_cupon_cero!$1:$1,0)-1,COUNT(Curvas_cupon_cero!$A:$A)-2,1)),[1]!interpolar(B109,OFFSET(Curvas_cupon_cero!$A$1,1,0,COUNT(Curvas_cupon_cero!$A:$A)-2,1),OFFSET(Curvas_cupon_cero!$A$1,1,MATCH($B$8,Curvas_cupon_cero!$1:$1,0)-1,COUNT(Curvas_cupon_cero!$A:$A)-2,1))))</f>
        <v/>
      </c>
      <c r="D109" s="23" t="str">
        <f ca="1">IF(A109="","",IF($B$10="Sí",interpolar_alamb(L109,OFFSET(Curvas_cupon_cero!$A$1,1,0,COUNT(Curvas_cupon_cero!$A:$A)-2,1),OFFSET(Curvas_cupon_cero!$A$1,1,MATCH($B$8,Curvas_cupon_cero!$1:$1,0)-1,COUNT(Curvas_cupon_cero!$A:$A)-2,1)),[1]!interpolar(L109,OFFSET(Curvas_cupon_cero!$A$1,1,0,COUNT(Curvas_cupon_cero!$A:$A)-2,1),OFFSET(Curvas_cupon_cero!$A$1,1,MATCH($B$8,Curvas_cupon_cero!$1:$1,0)-1,COUNT(Curvas_cupon_cero!$A:$A)-2,1))))</f>
        <v/>
      </c>
      <c r="E109" s="23" t="str">
        <f t="shared" si="13"/>
        <v/>
      </c>
      <c r="F109" s="23" t="str">
        <f ca="1">IF(A109="","",IF($B$10="Sí",interpolar_alamb(B109,OFFSET(Curvas_cupon_cero!$A$1,1,0,COUNT(Curvas_cupon_cero!$A:$A)-2,1),OFFSET(Curvas_cupon_cero!$A$1,1,MATCH($B$9,Curvas_cupon_cero!$1:$1,0)-1,COUNT(Curvas_cupon_cero!$A:$A)-2,1)),[1]!interpolar(B109,OFFSET(Curvas_cupon_cero!$A$1,1,0,COUNT(Curvas_cupon_cero!$A:$A)-2,1),OFFSET(Curvas_cupon_cero!$A$1,1,MATCH($B$9,Curvas_cupon_cero!$1:$1,0)-1,COUNT(Curvas_cupon_cero!$A:$A)-2,1))))</f>
        <v/>
      </c>
      <c r="G109" s="23" t="str">
        <f t="shared" si="14"/>
        <v/>
      </c>
      <c r="H109" s="20" t="str">
        <f t="shared" si="19"/>
        <v/>
      </c>
      <c r="I109" t="str">
        <f t="shared" si="15"/>
        <v/>
      </c>
      <c r="J109" s="17" t="str">
        <f t="shared" si="11"/>
        <v/>
      </c>
      <c r="K109" s="18" t="str">
        <f t="shared" si="16"/>
        <v/>
      </c>
      <c r="L109" t="str">
        <f t="shared" si="17"/>
        <v/>
      </c>
      <c r="M109" s="23" t="str">
        <f ca="1">IF(A109="","",IF($B$10="Sí",interpolar_alamb(L109,OFFSET(Curvas_cupon_cero!$A$1,1,0,COUNT(Curvas_cupon_cero!$A:$A)-2,1),OFFSET(Curvas_cupon_cero!$A$1,1,MATCH($B$6,Curvas_cupon_cero!$1:$1,0)-1,COUNT(Curvas_cupon_cero!$A:$A)-2,1)),[1]!interpolar(L109,OFFSET(Curvas_cupon_cero!$A$1,1,0,COUNT(Curvas_cupon_cero!$A:$A)-2,1),OFFSET(Curvas_cupon_cero!$A$1,1,MATCH($B$6,Curvas_cupon_cero!$1:$1,0)-1,COUNT(Curvas_cupon_cero!$A:$A)-2,1))))</f>
        <v/>
      </c>
      <c r="N109" s="23"/>
      <c r="O109" s="19" t="str">
        <f t="shared" si="18"/>
        <v/>
      </c>
    </row>
    <row r="110" spans="1:15" x14ac:dyDescent="0.2">
      <c r="A110" s="12" t="str">
        <f t="shared" si="12"/>
        <v/>
      </c>
      <c r="B110" t="str">
        <f t="shared" si="10"/>
        <v/>
      </c>
      <c r="C110" s="21" t="str">
        <f ca="1">IF(A110="","",IF($B$10="Sí",interpolar_alamb(B110,OFFSET(Curvas_cupon_cero!$A$1,1,0,COUNT(Curvas_cupon_cero!$A:$A)-2,1),OFFSET(Curvas_cupon_cero!$A$1,1,MATCH($B$8,Curvas_cupon_cero!$1:$1,0)-1,COUNT(Curvas_cupon_cero!$A:$A)-2,1)),[1]!interpolar(B110,OFFSET(Curvas_cupon_cero!$A$1,1,0,COUNT(Curvas_cupon_cero!$A:$A)-2,1),OFFSET(Curvas_cupon_cero!$A$1,1,MATCH($B$8,Curvas_cupon_cero!$1:$1,0)-1,COUNT(Curvas_cupon_cero!$A:$A)-2,1))))</f>
        <v/>
      </c>
      <c r="D110" s="23" t="str">
        <f ca="1">IF(A110="","",IF($B$10="Sí",interpolar_alamb(L110,OFFSET(Curvas_cupon_cero!$A$1,1,0,COUNT(Curvas_cupon_cero!$A:$A)-2,1),OFFSET(Curvas_cupon_cero!$A$1,1,MATCH($B$8,Curvas_cupon_cero!$1:$1,0)-1,COUNT(Curvas_cupon_cero!$A:$A)-2,1)),[1]!interpolar(L110,OFFSET(Curvas_cupon_cero!$A$1,1,0,COUNT(Curvas_cupon_cero!$A:$A)-2,1),OFFSET(Curvas_cupon_cero!$A$1,1,MATCH($B$8,Curvas_cupon_cero!$1:$1,0)-1,COUNT(Curvas_cupon_cero!$A:$A)-2,1))))</f>
        <v/>
      </c>
      <c r="E110" s="23" t="str">
        <f t="shared" si="13"/>
        <v/>
      </c>
      <c r="F110" s="23" t="str">
        <f ca="1">IF(A110="","",IF($B$10="Sí",interpolar_alamb(B110,OFFSET(Curvas_cupon_cero!$A$1,1,0,COUNT(Curvas_cupon_cero!$A:$A)-2,1),OFFSET(Curvas_cupon_cero!$A$1,1,MATCH($B$9,Curvas_cupon_cero!$1:$1,0)-1,COUNT(Curvas_cupon_cero!$A:$A)-2,1)),[1]!interpolar(B110,OFFSET(Curvas_cupon_cero!$A$1,1,0,COUNT(Curvas_cupon_cero!$A:$A)-2,1),OFFSET(Curvas_cupon_cero!$A$1,1,MATCH($B$9,Curvas_cupon_cero!$1:$1,0)-1,COUNT(Curvas_cupon_cero!$A:$A)-2,1))))</f>
        <v/>
      </c>
      <c r="G110" s="23" t="str">
        <f t="shared" si="14"/>
        <v/>
      </c>
      <c r="H110" s="20" t="str">
        <f t="shared" si="19"/>
        <v/>
      </c>
      <c r="I110" t="str">
        <f t="shared" si="15"/>
        <v/>
      </c>
      <c r="J110" s="17" t="str">
        <f t="shared" si="11"/>
        <v/>
      </c>
      <c r="K110" s="18" t="str">
        <f t="shared" si="16"/>
        <v/>
      </c>
      <c r="L110" t="str">
        <f t="shared" si="17"/>
        <v/>
      </c>
      <c r="M110" s="23" t="str">
        <f ca="1">IF(A110="","",IF($B$10="Sí",interpolar_alamb(L110,OFFSET(Curvas_cupon_cero!$A$1,1,0,COUNT(Curvas_cupon_cero!$A:$A)-2,1),OFFSET(Curvas_cupon_cero!$A$1,1,MATCH($B$6,Curvas_cupon_cero!$1:$1,0)-1,COUNT(Curvas_cupon_cero!$A:$A)-2,1)),[1]!interpolar(L110,OFFSET(Curvas_cupon_cero!$A$1,1,0,COUNT(Curvas_cupon_cero!$A:$A)-2,1),OFFSET(Curvas_cupon_cero!$A$1,1,MATCH($B$6,Curvas_cupon_cero!$1:$1,0)-1,COUNT(Curvas_cupon_cero!$A:$A)-2,1))))</f>
        <v/>
      </c>
      <c r="N110" s="23"/>
      <c r="O110" s="19" t="str">
        <f t="shared" si="18"/>
        <v/>
      </c>
    </row>
    <row r="111" spans="1:15" x14ac:dyDescent="0.2">
      <c r="A111" s="12" t="str">
        <f t="shared" si="12"/>
        <v/>
      </c>
      <c r="B111" t="str">
        <f t="shared" si="10"/>
        <v/>
      </c>
      <c r="C111" s="21" t="str">
        <f ca="1">IF(A111="","",IF($B$10="Sí",interpolar_alamb(B111,OFFSET(Curvas_cupon_cero!$A$1,1,0,COUNT(Curvas_cupon_cero!$A:$A)-2,1),OFFSET(Curvas_cupon_cero!$A$1,1,MATCH($B$8,Curvas_cupon_cero!$1:$1,0)-1,COUNT(Curvas_cupon_cero!$A:$A)-2,1)),[1]!interpolar(B111,OFFSET(Curvas_cupon_cero!$A$1,1,0,COUNT(Curvas_cupon_cero!$A:$A)-2,1),OFFSET(Curvas_cupon_cero!$A$1,1,MATCH($B$8,Curvas_cupon_cero!$1:$1,0)-1,COUNT(Curvas_cupon_cero!$A:$A)-2,1))))</f>
        <v/>
      </c>
      <c r="D111" s="23" t="str">
        <f ca="1">IF(A111="","",IF($B$10="Sí",interpolar_alamb(L111,OFFSET(Curvas_cupon_cero!$A$1,1,0,COUNT(Curvas_cupon_cero!$A:$A)-2,1),OFFSET(Curvas_cupon_cero!$A$1,1,MATCH($B$8,Curvas_cupon_cero!$1:$1,0)-1,COUNT(Curvas_cupon_cero!$A:$A)-2,1)),[1]!interpolar(L111,OFFSET(Curvas_cupon_cero!$A$1,1,0,COUNT(Curvas_cupon_cero!$A:$A)-2,1),OFFSET(Curvas_cupon_cero!$A$1,1,MATCH($B$8,Curvas_cupon_cero!$1:$1,0)-1,COUNT(Curvas_cupon_cero!$A:$A)-2,1))))</f>
        <v/>
      </c>
      <c r="E111" s="23" t="str">
        <f t="shared" si="13"/>
        <v/>
      </c>
      <c r="F111" s="23" t="str">
        <f ca="1">IF(A111="","",IF($B$10="Sí",interpolar_alamb(B111,OFFSET(Curvas_cupon_cero!$A$1,1,0,COUNT(Curvas_cupon_cero!$A:$A)-2,1),OFFSET(Curvas_cupon_cero!$A$1,1,MATCH($B$9,Curvas_cupon_cero!$1:$1,0)-1,COUNT(Curvas_cupon_cero!$A:$A)-2,1)),[1]!interpolar(B111,OFFSET(Curvas_cupon_cero!$A$1,1,0,COUNT(Curvas_cupon_cero!$A:$A)-2,1),OFFSET(Curvas_cupon_cero!$A$1,1,MATCH($B$9,Curvas_cupon_cero!$1:$1,0)-1,COUNT(Curvas_cupon_cero!$A:$A)-2,1))))</f>
        <v/>
      </c>
      <c r="G111" s="23" t="str">
        <f t="shared" si="14"/>
        <v/>
      </c>
      <c r="H111" s="20" t="str">
        <f t="shared" si="19"/>
        <v/>
      </c>
      <c r="I111" t="str">
        <f t="shared" si="15"/>
        <v/>
      </c>
      <c r="J111" s="17" t="str">
        <f t="shared" si="11"/>
        <v/>
      </c>
      <c r="K111" s="18" t="str">
        <f t="shared" si="16"/>
        <v/>
      </c>
      <c r="L111" t="str">
        <f t="shared" si="17"/>
        <v/>
      </c>
      <c r="M111" s="23" t="str">
        <f ca="1">IF(A111="","",IF($B$10="Sí",interpolar_alamb(L111,OFFSET(Curvas_cupon_cero!$A$1,1,0,COUNT(Curvas_cupon_cero!$A:$A)-2,1),OFFSET(Curvas_cupon_cero!$A$1,1,MATCH($B$6,Curvas_cupon_cero!$1:$1,0)-1,COUNT(Curvas_cupon_cero!$A:$A)-2,1)),[1]!interpolar(L111,OFFSET(Curvas_cupon_cero!$A$1,1,0,COUNT(Curvas_cupon_cero!$A:$A)-2,1),OFFSET(Curvas_cupon_cero!$A$1,1,MATCH($B$6,Curvas_cupon_cero!$1:$1,0)-1,COUNT(Curvas_cupon_cero!$A:$A)-2,1))))</f>
        <v/>
      </c>
      <c r="N111" s="23"/>
      <c r="O111" s="19" t="str">
        <f t="shared" si="18"/>
        <v/>
      </c>
    </row>
    <row r="112" spans="1:15" x14ac:dyDescent="0.2">
      <c r="A112" s="12" t="str">
        <f t="shared" si="12"/>
        <v/>
      </c>
      <c r="B112" t="str">
        <f t="shared" si="10"/>
        <v/>
      </c>
      <c r="C112" s="21" t="str">
        <f ca="1">IF(A112="","",IF($B$10="Sí",interpolar_alamb(B112,OFFSET(Curvas_cupon_cero!$A$1,1,0,COUNT(Curvas_cupon_cero!$A:$A)-2,1),OFFSET(Curvas_cupon_cero!$A$1,1,MATCH($B$8,Curvas_cupon_cero!$1:$1,0)-1,COUNT(Curvas_cupon_cero!$A:$A)-2,1)),[1]!interpolar(B112,OFFSET(Curvas_cupon_cero!$A$1,1,0,COUNT(Curvas_cupon_cero!$A:$A)-2,1),OFFSET(Curvas_cupon_cero!$A$1,1,MATCH($B$8,Curvas_cupon_cero!$1:$1,0)-1,COUNT(Curvas_cupon_cero!$A:$A)-2,1))))</f>
        <v/>
      </c>
      <c r="D112" s="23" t="str">
        <f ca="1">IF(A112="","",IF($B$10="Sí",interpolar_alamb(L112,OFFSET(Curvas_cupon_cero!$A$1,1,0,COUNT(Curvas_cupon_cero!$A:$A)-2,1),OFFSET(Curvas_cupon_cero!$A$1,1,MATCH($B$8,Curvas_cupon_cero!$1:$1,0)-1,COUNT(Curvas_cupon_cero!$A:$A)-2,1)),[1]!interpolar(L112,OFFSET(Curvas_cupon_cero!$A$1,1,0,COUNT(Curvas_cupon_cero!$A:$A)-2,1),OFFSET(Curvas_cupon_cero!$A$1,1,MATCH($B$8,Curvas_cupon_cero!$1:$1,0)-1,COUNT(Curvas_cupon_cero!$A:$A)-2,1))))</f>
        <v/>
      </c>
      <c r="E112" s="23" t="str">
        <f t="shared" si="13"/>
        <v/>
      </c>
      <c r="F112" s="23" t="str">
        <f ca="1">IF(A112="","",IF($B$10="Sí",interpolar_alamb(B112,OFFSET(Curvas_cupon_cero!$A$1,1,0,COUNT(Curvas_cupon_cero!$A:$A)-2,1),OFFSET(Curvas_cupon_cero!$A$1,1,MATCH($B$9,Curvas_cupon_cero!$1:$1,0)-1,COUNT(Curvas_cupon_cero!$A:$A)-2,1)),[1]!interpolar(B112,OFFSET(Curvas_cupon_cero!$A$1,1,0,COUNT(Curvas_cupon_cero!$A:$A)-2,1),OFFSET(Curvas_cupon_cero!$A$1,1,MATCH($B$9,Curvas_cupon_cero!$1:$1,0)-1,COUNT(Curvas_cupon_cero!$A:$A)-2,1))))</f>
        <v/>
      </c>
      <c r="G112" s="23" t="str">
        <f t="shared" si="14"/>
        <v/>
      </c>
      <c r="H112" s="20" t="str">
        <f t="shared" si="19"/>
        <v/>
      </c>
      <c r="I112" t="str">
        <f t="shared" si="15"/>
        <v/>
      </c>
      <c r="J112" s="17" t="str">
        <f t="shared" si="11"/>
        <v/>
      </c>
      <c r="K112" s="18" t="str">
        <f t="shared" si="16"/>
        <v/>
      </c>
      <c r="L112" t="str">
        <f t="shared" si="17"/>
        <v/>
      </c>
      <c r="M112" s="23" t="str">
        <f ca="1">IF(A112="","",IF($B$10="Sí",interpolar_alamb(L112,OFFSET(Curvas_cupon_cero!$A$1,1,0,COUNT(Curvas_cupon_cero!$A:$A)-2,1),OFFSET(Curvas_cupon_cero!$A$1,1,MATCH($B$6,Curvas_cupon_cero!$1:$1,0)-1,COUNT(Curvas_cupon_cero!$A:$A)-2,1)),[1]!interpolar(L112,OFFSET(Curvas_cupon_cero!$A$1,1,0,COUNT(Curvas_cupon_cero!$A:$A)-2,1),OFFSET(Curvas_cupon_cero!$A$1,1,MATCH($B$6,Curvas_cupon_cero!$1:$1,0)-1,COUNT(Curvas_cupon_cero!$A:$A)-2,1))))</f>
        <v/>
      </c>
      <c r="N112" s="23"/>
      <c r="O112" s="19" t="str">
        <f t="shared" si="18"/>
        <v/>
      </c>
    </row>
    <row r="113" spans="1:15" x14ac:dyDescent="0.2">
      <c r="A113" s="12" t="str">
        <f t="shared" si="12"/>
        <v/>
      </c>
      <c r="B113" t="str">
        <f t="shared" si="10"/>
        <v/>
      </c>
      <c r="C113" s="21" t="str">
        <f ca="1">IF(A113="","",IF($B$10="Sí",interpolar_alamb(B113,OFFSET(Curvas_cupon_cero!$A$1,1,0,COUNT(Curvas_cupon_cero!$A:$A)-2,1),OFFSET(Curvas_cupon_cero!$A$1,1,MATCH($B$8,Curvas_cupon_cero!$1:$1,0)-1,COUNT(Curvas_cupon_cero!$A:$A)-2,1)),[1]!interpolar(B113,OFFSET(Curvas_cupon_cero!$A$1,1,0,COUNT(Curvas_cupon_cero!$A:$A)-2,1),OFFSET(Curvas_cupon_cero!$A$1,1,MATCH($B$8,Curvas_cupon_cero!$1:$1,0)-1,COUNT(Curvas_cupon_cero!$A:$A)-2,1))))</f>
        <v/>
      </c>
      <c r="D113" s="23" t="str">
        <f ca="1">IF(A113="","",IF($B$10="Sí",interpolar_alamb(L113,OFFSET(Curvas_cupon_cero!$A$1,1,0,COUNT(Curvas_cupon_cero!$A:$A)-2,1),OFFSET(Curvas_cupon_cero!$A$1,1,MATCH($B$8,Curvas_cupon_cero!$1:$1,0)-1,COUNT(Curvas_cupon_cero!$A:$A)-2,1)),[1]!interpolar(L113,OFFSET(Curvas_cupon_cero!$A$1,1,0,COUNT(Curvas_cupon_cero!$A:$A)-2,1),OFFSET(Curvas_cupon_cero!$A$1,1,MATCH($B$8,Curvas_cupon_cero!$1:$1,0)-1,COUNT(Curvas_cupon_cero!$A:$A)-2,1))))</f>
        <v/>
      </c>
      <c r="E113" s="23" t="str">
        <f t="shared" si="13"/>
        <v/>
      </c>
      <c r="F113" s="23" t="str">
        <f ca="1">IF(A113="","",IF($B$10="Sí",interpolar_alamb(B113,OFFSET(Curvas_cupon_cero!$A$1,1,0,COUNT(Curvas_cupon_cero!$A:$A)-2,1),OFFSET(Curvas_cupon_cero!$A$1,1,MATCH($B$9,Curvas_cupon_cero!$1:$1,0)-1,COUNT(Curvas_cupon_cero!$A:$A)-2,1)),[1]!interpolar(B113,OFFSET(Curvas_cupon_cero!$A$1,1,0,COUNT(Curvas_cupon_cero!$A:$A)-2,1),OFFSET(Curvas_cupon_cero!$A$1,1,MATCH($B$9,Curvas_cupon_cero!$1:$1,0)-1,COUNT(Curvas_cupon_cero!$A:$A)-2,1))))</f>
        <v/>
      </c>
      <c r="G113" s="23" t="str">
        <f t="shared" si="14"/>
        <v/>
      </c>
      <c r="H113" s="20" t="str">
        <f t="shared" si="19"/>
        <v/>
      </c>
      <c r="I113" t="str">
        <f t="shared" si="15"/>
        <v/>
      </c>
      <c r="J113" s="17" t="str">
        <f t="shared" si="11"/>
        <v/>
      </c>
      <c r="K113" s="18" t="str">
        <f t="shared" si="16"/>
        <v/>
      </c>
      <c r="L113" t="str">
        <f t="shared" si="17"/>
        <v/>
      </c>
      <c r="M113" s="23" t="str">
        <f ca="1">IF(A113="","",IF($B$10="Sí",interpolar_alamb(L113,OFFSET(Curvas_cupon_cero!$A$1,1,0,COUNT(Curvas_cupon_cero!$A:$A)-2,1),OFFSET(Curvas_cupon_cero!$A$1,1,MATCH($B$6,Curvas_cupon_cero!$1:$1,0)-1,COUNT(Curvas_cupon_cero!$A:$A)-2,1)),[1]!interpolar(L113,OFFSET(Curvas_cupon_cero!$A$1,1,0,COUNT(Curvas_cupon_cero!$A:$A)-2,1),OFFSET(Curvas_cupon_cero!$A$1,1,MATCH($B$6,Curvas_cupon_cero!$1:$1,0)-1,COUNT(Curvas_cupon_cero!$A:$A)-2,1))))</f>
        <v/>
      </c>
      <c r="N113" s="23"/>
      <c r="O113" s="19" t="str">
        <f t="shared" si="18"/>
        <v/>
      </c>
    </row>
    <row r="114" spans="1:15" x14ac:dyDescent="0.2">
      <c r="A114" s="12" t="str">
        <f t="shared" si="12"/>
        <v/>
      </c>
      <c r="B114" t="str">
        <f t="shared" si="10"/>
        <v/>
      </c>
      <c r="C114" s="21" t="str">
        <f ca="1">IF(A114="","",IF($B$10="Sí",interpolar_alamb(B114,OFFSET(Curvas_cupon_cero!$A$1,1,0,COUNT(Curvas_cupon_cero!$A:$A)-2,1),OFFSET(Curvas_cupon_cero!$A$1,1,MATCH($B$8,Curvas_cupon_cero!$1:$1,0)-1,COUNT(Curvas_cupon_cero!$A:$A)-2,1)),[1]!interpolar(B114,OFFSET(Curvas_cupon_cero!$A$1,1,0,COUNT(Curvas_cupon_cero!$A:$A)-2,1),OFFSET(Curvas_cupon_cero!$A$1,1,MATCH($B$8,Curvas_cupon_cero!$1:$1,0)-1,COUNT(Curvas_cupon_cero!$A:$A)-2,1))))</f>
        <v/>
      </c>
      <c r="D114" s="23" t="str">
        <f ca="1">IF(A114="","",IF($B$10="Sí",interpolar_alamb(L114,OFFSET(Curvas_cupon_cero!$A$1,1,0,COUNT(Curvas_cupon_cero!$A:$A)-2,1),OFFSET(Curvas_cupon_cero!$A$1,1,MATCH($B$8,Curvas_cupon_cero!$1:$1,0)-1,COUNT(Curvas_cupon_cero!$A:$A)-2,1)),[1]!interpolar(L114,OFFSET(Curvas_cupon_cero!$A$1,1,0,COUNT(Curvas_cupon_cero!$A:$A)-2,1),OFFSET(Curvas_cupon_cero!$A$1,1,MATCH($B$8,Curvas_cupon_cero!$1:$1,0)-1,COUNT(Curvas_cupon_cero!$A:$A)-2,1))))</f>
        <v/>
      </c>
      <c r="E114" s="23" t="str">
        <f t="shared" si="13"/>
        <v/>
      </c>
      <c r="F114" s="23" t="str">
        <f ca="1">IF(A114="","",IF($B$10="Sí",interpolar_alamb(B114,OFFSET(Curvas_cupon_cero!$A$1,1,0,COUNT(Curvas_cupon_cero!$A:$A)-2,1),OFFSET(Curvas_cupon_cero!$A$1,1,MATCH($B$9,Curvas_cupon_cero!$1:$1,0)-1,COUNT(Curvas_cupon_cero!$A:$A)-2,1)),[1]!interpolar(B114,OFFSET(Curvas_cupon_cero!$A$1,1,0,COUNT(Curvas_cupon_cero!$A:$A)-2,1),OFFSET(Curvas_cupon_cero!$A$1,1,MATCH($B$9,Curvas_cupon_cero!$1:$1,0)-1,COUNT(Curvas_cupon_cero!$A:$A)-2,1))))</f>
        <v/>
      </c>
      <c r="G114" s="23" t="str">
        <f t="shared" si="14"/>
        <v/>
      </c>
      <c r="H114" s="20" t="str">
        <f t="shared" si="19"/>
        <v/>
      </c>
      <c r="I114" t="str">
        <f t="shared" si="15"/>
        <v/>
      </c>
      <c r="J114" s="17" t="str">
        <f t="shared" si="11"/>
        <v/>
      </c>
      <c r="K114" s="18" t="str">
        <f t="shared" si="16"/>
        <v/>
      </c>
      <c r="L114" t="str">
        <f t="shared" si="17"/>
        <v/>
      </c>
      <c r="M114" s="23" t="str">
        <f ca="1">IF(A114="","",IF($B$10="Sí",interpolar_alamb(L114,OFFSET(Curvas_cupon_cero!$A$1,1,0,COUNT(Curvas_cupon_cero!$A:$A)-2,1),OFFSET(Curvas_cupon_cero!$A$1,1,MATCH($B$6,Curvas_cupon_cero!$1:$1,0)-1,COUNT(Curvas_cupon_cero!$A:$A)-2,1)),[1]!interpolar(L114,OFFSET(Curvas_cupon_cero!$A$1,1,0,COUNT(Curvas_cupon_cero!$A:$A)-2,1),OFFSET(Curvas_cupon_cero!$A$1,1,MATCH($B$6,Curvas_cupon_cero!$1:$1,0)-1,COUNT(Curvas_cupon_cero!$A:$A)-2,1))))</f>
        <v/>
      </c>
      <c r="N114" s="23"/>
      <c r="O114" s="19" t="str">
        <f t="shared" si="18"/>
        <v/>
      </c>
    </row>
    <row r="115" spans="1:15" x14ac:dyDescent="0.2">
      <c r="A115" s="12" t="str">
        <f t="shared" si="12"/>
        <v/>
      </c>
      <c r="B115" t="str">
        <f t="shared" si="10"/>
        <v/>
      </c>
      <c r="C115" s="21" t="str">
        <f ca="1">IF(A115="","",IF($B$10="Sí",interpolar_alamb(B115,OFFSET(Curvas_cupon_cero!$A$1,1,0,COUNT(Curvas_cupon_cero!$A:$A)-2,1),OFFSET(Curvas_cupon_cero!$A$1,1,MATCH($B$8,Curvas_cupon_cero!$1:$1,0)-1,COUNT(Curvas_cupon_cero!$A:$A)-2,1)),[1]!interpolar(B115,OFFSET(Curvas_cupon_cero!$A$1,1,0,COUNT(Curvas_cupon_cero!$A:$A)-2,1),OFFSET(Curvas_cupon_cero!$A$1,1,MATCH($B$8,Curvas_cupon_cero!$1:$1,0)-1,COUNT(Curvas_cupon_cero!$A:$A)-2,1))))</f>
        <v/>
      </c>
      <c r="D115" s="23" t="str">
        <f ca="1">IF(A115="","",IF($B$10="Sí",interpolar_alamb(L115,OFFSET(Curvas_cupon_cero!$A$1,1,0,COUNT(Curvas_cupon_cero!$A:$A)-2,1),OFFSET(Curvas_cupon_cero!$A$1,1,MATCH($B$8,Curvas_cupon_cero!$1:$1,0)-1,COUNT(Curvas_cupon_cero!$A:$A)-2,1)),[1]!interpolar(L115,OFFSET(Curvas_cupon_cero!$A$1,1,0,COUNT(Curvas_cupon_cero!$A:$A)-2,1),OFFSET(Curvas_cupon_cero!$A$1,1,MATCH($B$8,Curvas_cupon_cero!$1:$1,0)-1,COUNT(Curvas_cupon_cero!$A:$A)-2,1))))</f>
        <v/>
      </c>
      <c r="E115" s="23" t="str">
        <f t="shared" si="13"/>
        <v/>
      </c>
      <c r="F115" s="23" t="str">
        <f ca="1">IF(A115="","",IF($B$10="Sí",interpolar_alamb(B115,OFFSET(Curvas_cupon_cero!$A$1,1,0,COUNT(Curvas_cupon_cero!$A:$A)-2,1),OFFSET(Curvas_cupon_cero!$A$1,1,MATCH($B$9,Curvas_cupon_cero!$1:$1,0)-1,COUNT(Curvas_cupon_cero!$A:$A)-2,1)),[1]!interpolar(B115,OFFSET(Curvas_cupon_cero!$A$1,1,0,COUNT(Curvas_cupon_cero!$A:$A)-2,1),OFFSET(Curvas_cupon_cero!$A$1,1,MATCH($B$9,Curvas_cupon_cero!$1:$1,0)-1,COUNT(Curvas_cupon_cero!$A:$A)-2,1))))</f>
        <v/>
      </c>
      <c r="G115" s="23" t="str">
        <f t="shared" si="14"/>
        <v/>
      </c>
      <c r="H115" s="20" t="str">
        <f t="shared" si="19"/>
        <v/>
      </c>
      <c r="I115" t="str">
        <f t="shared" si="15"/>
        <v/>
      </c>
      <c r="J115" s="17" t="str">
        <f t="shared" si="11"/>
        <v/>
      </c>
      <c r="K115" s="18" t="str">
        <f t="shared" si="16"/>
        <v/>
      </c>
      <c r="L115" t="str">
        <f t="shared" si="17"/>
        <v/>
      </c>
      <c r="M115" s="23" t="str">
        <f ca="1">IF(A115="","",IF($B$10="Sí",interpolar_alamb(L115,OFFSET(Curvas_cupon_cero!$A$1,1,0,COUNT(Curvas_cupon_cero!$A:$A)-2,1),OFFSET(Curvas_cupon_cero!$A$1,1,MATCH($B$6,Curvas_cupon_cero!$1:$1,0)-1,COUNT(Curvas_cupon_cero!$A:$A)-2,1)),[1]!interpolar(L115,OFFSET(Curvas_cupon_cero!$A$1,1,0,COUNT(Curvas_cupon_cero!$A:$A)-2,1),OFFSET(Curvas_cupon_cero!$A$1,1,MATCH($B$6,Curvas_cupon_cero!$1:$1,0)-1,COUNT(Curvas_cupon_cero!$A:$A)-2,1))))</f>
        <v/>
      </c>
      <c r="N115" s="23"/>
      <c r="O115" s="19" t="str">
        <f t="shared" si="18"/>
        <v/>
      </c>
    </row>
    <row r="116" spans="1:15" x14ac:dyDescent="0.2">
      <c r="A116" s="12" t="str">
        <f t="shared" si="12"/>
        <v/>
      </c>
      <c r="B116" t="str">
        <f t="shared" si="10"/>
        <v/>
      </c>
      <c r="C116" s="21" t="str">
        <f ca="1">IF(A116="","",IF($B$10="Sí",interpolar_alamb(B116,OFFSET(Curvas_cupon_cero!$A$1,1,0,COUNT(Curvas_cupon_cero!$A:$A)-2,1),OFFSET(Curvas_cupon_cero!$A$1,1,MATCH($B$8,Curvas_cupon_cero!$1:$1,0)-1,COUNT(Curvas_cupon_cero!$A:$A)-2,1)),[1]!interpolar(B116,OFFSET(Curvas_cupon_cero!$A$1,1,0,COUNT(Curvas_cupon_cero!$A:$A)-2,1),OFFSET(Curvas_cupon_cero!$A$1,1,MATCH($B$8,Curvas_cupon_cero!$1:$1,0)-1,COUNT(Curvas_cupon_cero!$A:$A)-2,1))))</f>
        <v/>
      </c>
      <c r="D116" s="23" t="str">
        <f ca="1">IF(A116="","",IF($B$10="Sí",interpolar_alamb(L116,OFFSET(Curvas_cupon_cero!$A$1,1,0,COUNT(Curvas_cupon_cero!$A:$A)-2,1),OFFSET(Curvas_cupon_cero!$A$1,1,MATCH($B$8,Curvas_cupon_cero!$1:$1,0)-1,COUNT(Curvas_cupon_cero!$A:$A)-2,1)),[1]!interpolar(L116,OFFSET(Curvas_cupon_cero!$A$1,1,0,COUNT(Curvas_cupon_cero!$A:$A)-2,1),OFFSET(Curvas_cupon_cero!$A$1,1,MATCH($B$8,Curvas_cupon_cero!$1:$1,0)-1,COUNT(Curvas_cupon_cero!$A:$A)-2,1))))</f>
        <v/>
      </c>
      <c r="E116" s="23" t="str">
        <f t="shared" si="13"/>
        <v/>
      </c>
      <c r="F116" s="23" t="str">
        <f ca="1">IF(A116="","",IF($B$10="Sí",interpolar_alamb(B116,OFFSET(Curvas_cupon_cero!$A$1,1,0,COUNT(Curvas_cupon_cero!$A:$A)-2,1),OFFSET(Curvas_cupon_cero!$A$1,1,MATCH($B$9,Curvas_cupon_cero!$1:$1,0)-1,COUNT(Curvas_cupon_cero!$A:$A)-2,1)),[1]!interpolar(B116,OFFSET(Curvas_cupon_cero!$A$1,1,0,COUNT(Curvas_cupon_cero!$A:$A)-2,1),OFFSET(Curvas_cupon_cero!$A$1,1,MATCH($B$9,Curvas_cupon_cero!$1:$1,0)-1,COUNT(Curvas_cupon_cero!$A:$A)-2,1))))</f>
        <v/>
      </c>
      <c r="G116" s="23" t="str">
        <f t="shared" si="14"/>
        <v/>
      </c>
      <c r="H116" s="20" t="str">
        <f t="shared" si="19"/>
        <v/>
      </c>
      <c r="I116" t="str">
        <f t="shared" si="15"/>
        <v/>
      </c>
      <c r="J116" s="17" t="str">
        <f t="shared" si="11"/>
        <v/>
      </c>
      <c r="K116" s="18" t="str">
        <f t="shared" si="16"/>
        <v/>
      </c>
      <c r="L116" t="str">
        <f t="shared" si="17"/>
        <v/>
      </c>
      <c r="M116" s="23" t="str">
        <f ca="1">IF(A116="","",IF($B$10="Sí",interpolar_alamb(L116,OFFSET(Curvas_cupon_cero!$A$1,1,0,COUNT(Curvas_cupon_cero!$A:$A)-2,1),OFFSET(Curvas_cupon_cero!$A$1,1,MATCH($B$6,Curvas_cupon_cero!$1:$1,0)-1,COUNT(Curvas_cupon_cero!$A:$A)-2,1)),[1]!interpolar(L116,OFFSET(Curvas_cupon_cero!$A$1,1,0,COUNT(Curvas_cupon_cero!$A:$A)-2,1),OFFSET(Curvas_cupon_cero!$A$1,1,MATCH($B$6,Curvas_cupon_cero!$1:$1,0)-1,COUNT(Curvas_cupon_cero!$A:$A)-2,1))))</f>
        <v/>
      </c>
      <c r="N116" s="23"/>
      <c r="O116" s="19" t="str">
        <f t="shared" si="18"/>
        <v/>
      </c>
    </row>
    <row r="117" spans="1:15" x14ac:dyDescent="0.2">
      <c r="A117" s="12" t="str">
        <f t="shared" si="12"/>
        <v/>
      </c>
      <c r="B117" t="str">
        <f t="shared" si="10"/>
        <v/>
      </c>
      <c r="C117" s="21" t="str">
        <f ca="1">IF(A117="","",IF($B$10="Sí",interpolar_alamb(B117,OFFSET(Curvas_cupon_cero!$A$1,1,0,COUNT(Curvas_cupon_cero!$A:$A)-2,1),OFFSET(Curvas_cupon_cero!$A$1,1,MATCH($B$8,Curvas_cupon_cero!$1:$1,0)-1,COUNT(Curvas_cupon_cero!$A:$A)-2,1)),[1]!interpolar(B117,OFFSET(Curvas_cupon_cero!$A$1,1,0,COUNT(Curvas_cupon_cero!$A:$A)-2,1),OFFSET(Curvas_cupon_cero!$A$1,1,MATCH($B$8,Curvas_cupon_cero!$1:$1,0)-1,COUNT(Curvas_cupon_cero!$A:$A)-2,1))))</f>
        <v/>
      </c>
      <c r="D117" s="23" t="str">
        <f ca="1">IF(A117="","",IF($B$10="Sí",interpolar_alamb(L117,OFFSET(Curvas_cupon_cero!$A$1,1,0,COUNT(Curvas_cupon_cero!$A:$A)-2,1),OFFSET(Curvas_cupon_cero!$A$1,1,MATCH($B$8,Curvas_cupon_cero!$1:$1,0)-1,COUNT(Curvas_cupon_cero!$A:$A)-2,1)),[1]!interpolar(L117,OFFSET(Curvas_cupon_cero!$A$1,1,0,COUNT(Curvas_cupon_cero!$A:$A)-2,1),OFFSET(Curvas_cupon_cero!$A$1,1,MATCH($B$8,Curvas_cupon_cero!$1:$1,0)-1,COUNT(Curvas_cupon_cero!$A:$A)-2,1))))</f>
        <v/>
      </c>
      <c r="E117" s="23" t="str">
        <f t="shared" si="13"/>
        <v/>
      </c>
      <c r="F117" s="23" t="str">
        <f ca="1">IF(A117="","",IF($B$10="Sí",interpolar_alamb(B117,OFFSET(Curvas_cupon_cero!$A$1,1,0,COUNT(Curvas_cupon_cero!$A:$A)-2,1),OFFSET(Curvas_cupon_cero!$A$1,1,MATCH($B$9,Curvas_cupon_cero!$1:$1,0)-1,COUNT(Curvas_cupon_cero!$A:$A)-2,1)),[1]!interpolar(B117,OFFSET(Curvas_cupon_cero!$A$1,1,0,COUNT(Curvas_cupon_cero!$A:$A)-2,1),OFFSET(Curvas_cupon_cero!$A$1,1,MATCH($B$9,Curvas_cupon_cero!$1:$1,0)-1,COUNT(Curvas_cupon_cero!$A:$A)-2,1))))</f>
        <v/>
      </c>
      <c r="G117" s="23" t="str">
        <f t="shared" si="14"/>
        <v/>
      </c>
      <c r="H117" s="20" t="str">
        <f t="shared" si="19"/>
        <v/>
      </c>
      <c r="I117" t="str">
        <f t="shared" si="15"/>
        <v/>
      </c>
      <c r="J117" s="17" t="str">
        <f t="shared" si="11"/>
        <v/>
      </c>
      <c r="K117" s="18" t="str">
        <f t="shared" si="16"/>
        <v/>
      </c>
      <c r="L117" t="str">
        <f t="shared" si="17"/>
        <v/>
      </c>
      <c r="M117" s="23" t="str">
        <f ca="1">IF(A117="","",IF($B$10="Sí",interpolar_alamb(L117,OFFSET(Curvas_cupon_cero!$A$1,1,0,COUNT(Curvas_cupon_cero!$A:$A)-2,1),OFFSET(Curvas_cupon_cero!$A$1,1,MATCH($B$6,Curvas_cupon_cero!$1:$1,0)-1,COUNT(Curvas_cupon_cero!$A:$A)-2,1)),[1]!interpolar(L117,OFFSET(Curvas_cupon_cero!$A$1,1,0,COUNT(Curvas_cupon_cero!$A:$A)-2,1),OFFSET(Curvas_cupon_cero!$A$1,1,MATCH($B$6,Curvas_cupon_cero!$1:$1,0)-1,COUNT(Curvas_cupon_cero!$A:$A)-2,1))))</f>
        <v/>
      </c>
      <c r="N117" s="23"/>
      <c r="O117" s="19" t="str">
        <f t="shared" si="18"/>
        <v/>
      </c>
    </row>
    <row r="118" spans="1:15" x14ac:dyDescent="0.2">
      <c r="A118" s="12" t="str">
        <f t="shared" si="12"/>
        <v/>
      </c>
      <c r="B118" t="str">
        <f t="shared" si="10"/>
        <v/>
      </c>
      <c r="C118" s="21" t="str">
        <f ca="1">IF(A118="","",IF($B$10="Sí",interpolar_alamb(B118,OFFSET(Curvas_cupon_cero!$A$1,1,0,COUNT(Curvas_cupon_cero!$A:$A)-2,1),OFFSET(Curvas_cupon_cero!$A$1,1,MATCH($B$8,Curvas_cupon_cero!$1:$1,0)-1,COUNT(Curvas_cupon_cero!$A:$A)-2,1)),[1]!interpolar(B118,OFFSET(Curvas_cupon_cero!$A$1,1,0,COUNT(Curvas_cupon_cero!$A:$A)-2,1),OFFSET(Curvas_cupon_cero!$A$1,1,MATCH($B$8,Curvas_cupon_cero!$1:$1,0)-1,COUNT(Curvas_cupon_cero!$A:$A)-2,1))))</f>
        <v/>
      </c>
      <c r="D118" s="23" t="str">
        <f ca="1">IF(A118="","",IF($B$10="Sí",interpolar_alamb(L118,OFFSET(Curvas_cupon_cero!$A$1,1,0,COUNT(Curvas_cupon_cero!$A:$A)-2,1),OFFSET(Curvas_cupon_cero!$A$1,1,MATCH($B$8,Curvas_cupon_cero!$1:$1,0)-1,COUNT(Curvas_cupon_cero!$A:$A)-2,1)),[1]!interpolar(L118,OFFSET(Curvas_cupon_cero!$A$1,1,0,COUNT(Curvas_cupon_cero!$A:$A)-2,1),OFFSET(Curvas_cupon_cero!$A$1,1,MATCH($B$8,Curvas_cupon_cero!$1:$1,0)-1,COUNT(Curvas_cupon_cero!$A:$A)-2,1))))</f>
        <v/>
      </c>
      <c r="E118" s="23" t="str">
        <f t="shared" si="13"/>
        <v/>
      </c>
      <c r="F118" s="23" t="str">
        <f ca="1">IF(A118="","",IF($B$10="Sí",interpolar_alamb(B118,OFFSET(Curvas_cupon_cero!$A$1,1,0,COUNT(Curvas_cupon_cero!$A:$A)-2,1),OFFSET(Curvas_cupon_cero!$A$1,1,MATCH($B$9,Curvas_cupon_cero!$1:$1,0)-1,COUNT(Curvas_cupon_cero!$A:$A)-2,1)),[1]!interpolar(B118,OFFSET(Curvas_cupon_cero!$A$1,1,0,COUNT(Curvas_cupon_cero!$A:$A)-2,1),OFFSET(Curvas_cupon_cero!$A$1,1,MATCH($B$9,Curvas_cupon_cero!$1:$1,0)-1,COUNT(Curvas_cupon_cero!$A:$A)-2,1))))</f>
        <v/>
      </c>
      <c r="G118" s="23" t="str">
        <f t="shared" si="14"/>
        <v/>
      </c>
      <c r="H118" s="20" t="str">
        <f t="shared" si="19"/>
        <v/>
      </c>
      <c r="I118" t="str">
        <f t="shared" si="15"/>
        <v/>
      </c>
      <c r="J118" s="17" t="str">
        <f t="shared" si="11"/>
        <v/>
      </c>
      <c r="K118" s="18" t="str">
        <f t="shared" si="16"/>
        <v/>
      </c>
      <c r="L118" t="str">
        <f t="shared" si="17"/>
        <v/>
      </c>
      <c r="M118" s="23" t="str">
        <f ca="1">IF(A118="","",IF($B$10="Sí",interpolar_alamb(L118,OFFSET(Curvas_cupon_cero!$A$1,1,0,COUNT(Curvas_cupon_cero!$A:$A)-2,1),OFFSET(Curvas_cupon_cero!$A$1,1,MATCH($B$6,Curvas_cupon_cero!$1:$1,0)-1,COUNT(Curvas_cupon_cero!$A:$A)-2,1)),[1]!interpolar(L118,OFFSET(Curvas_cupon_cero!$A$1,1,0,COUNT(Curvas_cupon_cero!$A:$A)-2,1),OFFSET(Curvas_cupon_cero!$A$1,1,MATCH($B$6,Curvas_cupon_cero!$1:$1,0)-1,COUNT(Curvas_cupon_cero!$A:$A)-2,1))))</f>
        <v/>
      </c>
      <c r="N118" s="23"/>
      <c r="O118" s="19" t="str">
        <f t="shared" si="18"/>
        <v/>
      </c>
    </row>
    <row r="119" spans="1:15" x14ac:dyDescent="0.2">
      <c r="A119" s="12" t="str">
        <f t="shared" si="12"/>
        <v/>
      </c>
      <c r="B119" t="str">
        <f t="shared" si="10"/>
        <v/>
      </c>
      <c r="C119" s="21" t="str">
        <f ca="1">IF(A119="","",IF($B$10="Sí",interpolar_alamb(B119,OFFSET(Curvas_cupon_cero!$A$1,1,0,COUNT(Curvas_cupon_cero!$A:$A)-2,1),OFFSET(Curvas_cupon_cero!$A$1,1,MATCH($B$8,Curvas_cupon_cero!$1:$1,0)-1,COUNT(Curvas_cupon_cero!$A:$A)-2,1)),[1]!interpolar(B119,OFFSET(Curvas_cupon_cero!$A$1,1,0,COUNT(Curvas_cupon_cero!$A:$A)-2,1),OFFSET(Curvas_cupon_cero!$A$1,1,MATCH($B$8,Curvas_cupon_cero!$1:$1,0)-1,COUNT(Curvas_cupon_cero!$A:$A)-2,1))))</f>
        <v/>
      </c>
      <c r="D119" s="23" t="str">
        <f ca="1">IF(A119="","",IF($B$10="Sí",interpolar_alamb(L119,OFFSET(Curvas_cupon_cero!$A$1,1,0,COUNT(Curvas_cupon_cero!$A:$A)-2,1),OFFSET(Curvas_cupon_cero!$A$1,1,MATCH($B$8,Curvas_cupon_cero!$1:$1,0)-1,COUNT(Curvas_cupon_cero!$A:$A)-2,1)),[1]!interpolar(L119,OFFSET(Curvas_cupon_cero!$A$1,1,0,COUNT(Curvas_cupon_cero!$A:$A)-2,1),OFFSET(Curvas_cupon_cero!$A$1,1,MATCH($B$8,Curvas_cupon_cero!$1:$1,0)-1,COUNT(Curvas_cupon_cero!$A:$A)-2,1))))</f>
        <v/>
      </c>
      <c r="E119" s="23" t="str">
        <f t="shared" si="13"/>
        <v/>
      </c>
      <c r="F119" s="23" t="str">
        <f ca="1">IF(A119="","",IF($B$10="Sí",interpolar_alamb(B119,OFFSET(Curvas_cupon_cero!$A$1,1,0,COUNT(Curvas_cupon_cero!$A:$A)-2,1),OFFSET(Curvas_cupon_cero!$A$1,1,MATCH($B$9,Curvas_cupon_cero!$1:$1,0)-1,COUNT(Curvas_cupon_cero!$A:$A)-2,1)),[1]!interpolar(B119,OFFSET(Curvas_cupon_cero!$A$1,1,0,COUNT(Curvas_cupon_cero!$A:$A)-2,1),OFFSET(Curvas_cupon_cero!$A$1,1,MATCH($B$9,Curvas_cupon_cero!$1:$1,0)-1,COUNT(Curvas_cupon_cero!$A:$A)-2,1))))</f>
        <v/>
      </c>
      <c r="G119" s="23" t="str">
        <f t="shared" si="14"/>
        <v/>
      </c>
      <c r="H119" s="20" t="str">
        <f t="shared" si="19"/>
        <v/>
      </c>
      <c r="I119" t="str">
        <f t="shared" si="15"/>
        <v/>
      </c>
      <c r="J119" s="17" t="str">
        <f t="shared" si="11"/>
        <v/>
      </c>
      <c r="K119" s="18" t="str">
        <f t="shared" si="16"/>
        <v/>
      </c>
      <c r="L119" t="str">
        <f t="shared" si="17"/>
        <v/>
      </c>
      <c r="M119" s="23" t="str">
        <f ca="1">IF(A119="","",IF($B$10="Sí",interpolar_alamb(L119,OFFSET(Curvas_cupon_cero!$A$1,1,0,COUNT(Curvas_cupon_cero!$A:$A)-2,1),OFFSET(Curvas_cupon_cero!$A$1,1,MATCH($B$6,Curvas_cupon_cero!$1:$1,0)-1,COUNT(Curvas_cupon_cero!$A:$A)-2,1)),[1]!interpolar(L119,OFFSET(Curvas_cupon_cero!$A$1,1,0,COUNT(Curvas_cupon_cero!$A:$A)-2,1),OFFSET(Curvas_cupon_cero!$A$1,1,MATCH($B$6,Curvas_cupon_cero!$1:$1,0)-1,COUNT(Curvas_cupon_cero!$A:$A)-2,1))))</f>
        <v/>
      </c>
      <c r="N119" s="23"/>
      <c r="O119" s="19" t="str">
        <f t="shared" si="18"/>
        <v/>
      </c>
    </row>
    <row r="120" spans="1:15" x14ac:dyDescent="0.2">
      <c r="A120" s="12" t="str">
        <f t="shared" si="12"/>
        <v/>
      </c>
      <c r="B120" t="str">
        <f t="shared" si="10"/>
        <v/>
      </c>
      <c r="C120" s="21" t="str">
        <f ca="1">IF(A120="","",IF($B$10="Sí",interpolar_alamb(B120,OFFSET(Curvas_cupon_cero!$A$1,1,0,COUNT(Curvas_cupon_cero!$A:$A)-2,1),OFFSET(Curvas_cupon_cero!$A$1,1,MATCH($B$8,Curvas_cupon_cero!$1:$1,0)-1,COUNT(Curvas_cupon_cero!$A:$A)-2,1)),[1]!interpolar(B120,OFFSET(Curvas_cupon_cero!$A$1,1,0,COUNT(Curvas_cupon_cero!$A:$A)-2,1),OFFSET(Curvas_cupon_cero!$A$1,1,MATCH($B$8,Curvas_cupon_cero!$1:$1,0)-1,COUNT(Curvas_cupon_cero!$A:$A)-2,1))))</f>
        <v/>
      </c>
      <c r="D120" s="23" t="str">
        <f ca="1">IF(A120="","",IF($B$10="Sí",interpolar_alamb(L120,OFFSET(Curvas_cupon_cero!$A$1,1,0,COUNT(Curvas_cupon_cero!$A:$A)-2,1),OFFSET(Curvas_cupon_cero!$A$1,1,MATCH($B$8,Curvas_cupon_cero!$1:$1,0)-1,COUNT(Curvas_cupon_cero!$A:$A)-2,1)),[1]!interpolar(L120,OFFSET(Curvas_cupon_cero!$A$1,1,0,COUNT(Curvas_cupon_cero!$A:$A)-2,1),OFFSET(Curvas_cupon_cero!$A$1,1,MATCH($B$8,Curvas_cupon_cero!$1:$1,0)-1,COUNT(Curvas_cupon_cero!$A:$A)-2,1))))</f>
        <v/>
      </c>
      <c r="E120" s="23" t="str">
        <f t="shared" si="13"/>
        <v/>
      </c>
      <c r="F120" s="23" t="str">
        <f ca="1">IF(A120="","",IF($B$10="Sí",interpolar_alamb(B120,OFFSET(Curvas_cupon_cero!$A$1,1,0,COUNT(Curvas_cupon_cero!$A:$A)-2,1),OFFSET(Curvas_cupon_cero!$A$1,1,MATCH($B$9,Curvas_cupon_cero!$1:$1,0)-1,COUNT(Curvas_cupon_cero!$A:$A)-2,1)),[1]!interpolar(B120,OFFSET(Curvas_cupon_cero!$A$1,1,0,COUNT(Curvas_cupon_cero!$A:$A)-2,1),OFFSET(Curvas_cupon_cero!$A$1,1,MATCH($B$9,Curvas_cupon_cero!$1:$1,0)-1,COUNT(Curvas_cupon_cero!$A:$A)-2,1))))</f>
        <v/>
      </c>
      <c r="G120" s="23" t="str">
        <f t="shared" si="14"/>
        <v/>
      </c>
      <c r="H120" s="20" t="str">
        <f t="shared" si="19"/>
        <v/>
      </c>
      <c r="I120" t="str">
        <f t="shared" si="15"/>
        <v/>
      </c>
      <c r="J120" s="17" t="str">
        <f t="shared" si="11"/>
        <v/>
      </c>
      <c r="K120" s="18" t="str">
        <f t="shared" si="16"/>
        <v/>
      </c>
      <c r="L120" t="str">
        <f t="shared" si="17"/>
        <v/>
      </c>
      <c r="M120" s="23" t="str">
        <f ca="1">IF(A120="","",IF($B$10="Sí",interpolar_alamb(L120,OFFSET(Curvas_cupon_cero!$A$1,1,0,COUNT(Curvas_cupon_cero!$A:$A)-2,1),OFFSET(Curvas_cupon_cero!$A$1,1,MATCH($B$6,Curvas_cupon_cero!$1:$1,0)-1,COUNT(Curvas_cupon_cero!$A:$A)-2,1)),[1]!interpolar(L120,OFFSET(Curvas_cupon_cero!$A$1,1,0,COUNT(Curvas_cupon_cero!$A:$A)-2,1),OFFSET(Curvas_cupon_cero!$A$1,1,MATCH($B$6,Curvas_cupon_cero!$1:$1,0)-1,COUNT(Curvas_cupon_cero!$A:$A)-2,1))))</f>
        <v/>
      </c>
      <c r="N120" s="23"/>
      <c r="O120" s="19" t="str">
        <f t="shared" si="18"/>
        <v/>
      </c>
    </row>
    <row r="121" spans="1:15" x14ac:dyDescent="0.2">
      <c r="A121" s="12" t="str">
        <f t="shared" si="12"/>
        <v/>
      </c>
      <c r="B121" t="str">
        <f t="shared" si="10"/>
        <v/>
      </c>
      <c r="C121" s="21" t="str">
        <f ca="1">IF(A121="","",IF($B$10="Sí",interpolar_alamb(B121,OFFSET(Curvas_cupon_cero!$A$1,1,0,COUNT(Curvas_cupon_cero!$A:$A)-2,1),OFFSET(Curvas_cupon_cero!$A$1,1,MATCH($B$8,Curvas_cupon_cero!$1:$1,0)-1,COUNT(Curvas_cupon_cero!$A:$A)-2,1)),[1]!interpolar(B121,OFFSET(Curvas_cupon_cero!$A$1,1,0,COUNT(Curvas_cupon_cero!$A:$A)-2,1),OFFSET(Curvas_cupon_cero!$A$1,1,MATCH($B$8,Curvas_cupon_cero!$1:$1,0)-1,COUNT(Curvas_cupon_cero!$A:$A)-2,1))))</f>
        <v/>
      </c>
      <c r="D121" s="23" t="str">
        <f ca="1">IF(A121="","",IF($B$10="Sí",interpolar_alamb(L121,OFFSET(Curvas_cupon_cero!$A$1,1,0,COUNT(Curvas_cupon_cero!$A:$A)-2,1),OFFSET(Curvas_cupon_cero!$A$1,1,MATCH($B$8,Curvas_cupon_cero!$1:$1,0)-1,COUNT(Curvas_cupon_cero!$A:$A)-2,1)),[1]!interpolar(L121,OFFSET(Curvas_cupon_cero!$A$1,1,0,COUNT(Curvas_cupon_cero!$A:$A)-2,1),OFFSET(Curvas_cupon_cero!$A$1,1,MATCH($B$8,Curvas_cupon_cero!$1:$1,0)-1,COUNT(Curvas_cupon_cero!$A:$A)-2,1))))</f>
        <v/>
      </c>
      <c r="E121" s="23" t="str">
        <f t="shared" si="13"/>
        <v/>
      </c>
      <c r="F121" s="23" t="str">
        <f ca="1">IF(A121="","",IF($B$10="Sí",interpolar_alamb(B121,OFFSET(Curvas_cupon_cero!$A$1,1,0,COUNT(Curvas_cupon_cero!$A:$A)-2,1),OFFSET(Curvas_cupon_cero!$A$1,1,MATCH($B$9,Curvas_cupon_cero!$1:$1,0)-1,COUNT(Curvas_cupon_cero!$A:$A)-2,1)),[1]!interpolar(B121,OFFSET(Curvas_cupon_cero!$A$1,1,0,COUNT(Curvas_cupon_cero!$A:$A)-2,1),OFFSET(Curvas_cupon_cero!$A$1,1,MATCH($B$9,Curvas_cupon_cero!$1:$1,0)-1,COUNT(Curvas_cupon_cero!$A:$A)-2,1))))</f>
        <v/>
      </c>
      <c r="G121" s="23" t="str">
        <f t="shared" si="14"/>
        <v/>
      </c>
      <c r="H121" s="20" t="str">
        <f t="shared" si="19"/>
        <v/>
      </c>
      <c r="I121" t="str">
        <f t="shared" si="15"/>
        <v/>
      </c>
      <c r="J121" s="17" t="str">
        <f t="shared" si="11"/>
        <v/>
      </c>
      <c r="K121" s="18" t="str">
        <f t="shared" si="16"/>
        <v/>
      </c>
      <c r="L121" t="str">
        <f t="shared" si="17"/>
        <v/>
      </c>
      <c r="M121" s="23" t="str">
        <f ca="1">IF(A121="","",IF($B$10="Sí",interpolar_alamb(L121,OFFSET(Curvas_cupon_cero!$A$1,1,0,COUNT(Curvas_cupon_cero!$A:$A)-2,1),OFFSET(Curvas_cupon_cero!$A$1,1,MATCH($B$6,Curvas_cupon_cero!$1:$1,0)-1,COUNT(Curvas_cupon_cero!$A:$A)-2,1)),[1]!interpolar(L121,OFFSET(Curvas_cupon_cero!$A$1,1,0,COUNT(Curvas_cupon_cero!$A:$A)-2,1),OFFSET(Curvas_cupon_cero!$A$1,1,MATCH($B$6,Curvas_cupon_cero!$1:$1,0)-1,COUNT(Curvas_cupon_cero!$A:$A)-2,1))))</f>
        <v/>
      </c>
      <c r="N121" s="23"/>
      <c r="O121" s="19" t="str">
        <f t="shared" si="18"/>
        <v/>
      </c>
    </row>
    <row r="122" spans="1:15" x14ac:dyDescent="0.2">
      <c r="A122" s="12" t="str">
        <f t="shared" si="12"/>
        <v/>
      </c>
      <c r="B122" t="str">
        <f t="shared" si="10"/>
        <v/>
      </c>
      <c r="C122" s="21" t="str">
        <f ca="1">IF(A122="","",IF($B$10="Sí",interpolar_alamb(B122,OFFSET(Curvas_cupon_cero!$A$1,1,0,COUNT(Curvas_cupon_cero!$A:$A)-2,1),OFFSET(Curvas_cupon_cero!$A$1,1,MATCH($B$8,Curvas_cupon_cero!$1:$1,0)-1,COUNT(Curvas_cupon_cero!$A:$A)-2,1)),[1]!interpolar(B122,OFFSET(Curvas_cupon_cero!$A$1,1,0,COUNT(Curvas_cupon_cero!$A:$A)-2,1),OFFSET(Curvas_cupon_cero!$A$1,1,MATCH($B$8,Curvas_cupon_cero!$1:$1,0)-1,COUNT(Curvas_cupon_cero!$A:$A)-2,1))))</f>
        <v/>
      </c>
      <c r="D122" s="23" t="str">
        <f ca="1">IF(A122="","",IF($B$10="Sí",interpolar_alamb(L122,OFFSET(Curvas_cupon_cero!$A$1,1,0,COUNT(Curvas_cupon_cero!$A:$A)-2,1),OFFSET(Curvas_cupon_cero!$A$1,1,MATCH($B$8,Curvas_cupon_cero!$1:$1,0)-1,COUNT(Curvas_cupon_cero!$A:$A)-2,1)),[1]!interpolar(L122,OFFSET(Curvas_cupon_cero!$A$1,1,0,COUNT(Curvas_cupon_cero!$A:$A)-2,1),OFFSET(Curvas_cupon_cero!$A$1,1,MATCH($B$8,Curvas_cupon_cero!$1:$1,0)-1,COUNT(Curvas_cupon_cero!$A:$A)-2,1))))</f>
        <v/>
      </c>
      <c r="E122" s="23" t="str">
        <f t="shared" si="13"/>
        <v/>
      </c>
      <c r="F122" s="23" t="str">
        <f ca="1">IF(A122="","",IF($B$10="Sí",interpolar_alamb(B122,OFFSET(Curvas_cupon_cero!$A$1,1,0,COUNT(Curvas_cupon_cero!$A:$A)-2,1),OFFSET(Curvas_cupon_cero!$A$1,1,MATCH($B$9,Curvas_cupon_cero!$1:$1,0)-1,COUNT(Curvas_cupon_cero!$A:$A)-2,1)),[1]!interpolar(B122,OFFSET(Curvas_cupon_cero!$A$1,1,0,COUNT(Curvas_cupon_cero!$A:$A)-2,1),OFFSET(Curvas_cupon_cero!$A$1,1,MATCH($B$9,Curvas_cupon_cero!$1:$1,0)-1,COUNT(Curvas_cupon_cero!$A:$A)-2,1))))</f>
        <v/>
      </c>
      <c r="G122" s="23" t="str">
        <f t="shared" si="14"/>
        <v/>
      </c>
      <c r="H122" s="20" t="str">
        <f t="shared" si="19"/>
        <v/>
      </c>
      <c r="I122" t="str">
        <f t="shared" si="15"/>
        <v/>
      </c>
      <c r="J122" s="17" t="str">
        <f t="shared" si="11"/>
        <v/>
      </c>
      <c r="K122" s="18" t="str">
        <f t="shared" si="16"/>
        <v/>
      </c>
      <c r="L122" t="str">
        <f t="shared" si="17"/>
        <v/>
      </c>
      <c r="M122" s="23" t="str">
        <f ca="1">IF(A122="","",IF($B$10="Sí",interpolar_alamb(L122,OFFSET(Curvas_cupon_cero!$A$1,1,0,COUNT(Curvas_cupon_cero!$A:$A)-2,1),OFFSET(Curvas_cupon_cero!$A$1,1,MATCH($B$6,Curvas_cupon_cero!$1:$1,0)-1,COUNT(Curvas_cupon_cero!$A:$A)-2,1)),[1]!interpolar(L122,OFFSET(Curvas_cupon_cero!$A$1,1,0,COUNT(Curvas_cupon_cero!$A:$A)-2,1),OFFSET(Curvas_cupon_cero!$A$1,1,MATCH($B$6,Curvas_cupon_cero!$1:$1,0)-1,COUNT(Curvas_cupon_cero!$A:$A)-2,1))))</f>
        <v/>
      </c>
      <c r="N122" s="23"/>
      <c r="O122" s="19" t="str">
        <f t="shared" si="18"/>
        <v/>
      </c>
    </row>
    <row r="123" spans="1:15" x14ac:dyDescent="0.2">
      <c r="A123" s="12" t="str">
        <f t="shared" si="12"/>
        <v/>
      </c>
      <c r="B123" t="str">
        <f t="shared" si="10"/>
        <v/>
      </c>
      <c r="C123" s="21" t="str">
        <f ca="1">IF(A123="","",IF($B$10="Sí",interpolar_alamb(B123,OFFSET(Curvas_cupon_cero!$A$1,1,0,COUNT(Curvas_cupon_cero!$A:$A)-2,1),OFFSET(Curvas_cupon_cero!$A$1,1,MATCH($B$8,Curvas_cupon_cero!$1:$1,0)-1,COUNT(Curvas_cupon_cero!$A:$A)-2,1)),[1]!interpolar(B123,OFFSET(Curvas_cupon_cero!$A$1,1,0,COUNT(Curvas_cupon_cero!$A:$A)-2,1),OFFSET(Curvas_cupon_cero!$A$1,1,MATCH($B$8,Curvas_cupon_cero!$1:$1,0)-1,COUNT(Curvas_cupon_cero!$A:$A)-2,1))))</f>
        <v/>
      </c>
      <c r="D123" s="23" t="str">
        <f ca="1">IF(A123="","",IF($B$10="Sí",interpolar_alamb(L123,OFFSET(Curvas_cupon_cero!$A$1,1,0,COUNT(Curvas_cupon_cero!$A:$A)-2,1),OFFSET(Curvas_cupon_cero!$A$1,1,MATCH($B$8,Curvas_cupon_cero!$1:$1,0)-1,COUNT(Curvas_cupon_cero!$A:$A)-2,1)),[1]!interpolar(L123,OFFSET(Curvas_cupon_cero!$A$1,1,0,COUNT(Curvas_cupon_cero!$A:$A)-2,1),OFFSET(Curvas_cupon_cero!$A$1,1,MATCH($B$8,Curvas_cupon_cero!$1:$1,0)-1,COUNT(Curvas_cupon_cero!$A:$A)-2,1))))</f>
        <v/>
      </c>
      <c r="E123" s="23" t="str">
        <f t="shared" si="13"/>
        <v/>
      </c>
      <c r="F123" s="23" t="str">
        <f ca="1">IF(A123="","",IF($B$10="Sí",interpolar_alamb(B123,OFFSET(Curvas_cupon_cero!$A$1,1,0,COUNT(Curvas_cupon_cero!$A:$A)-2,1),OFFSET(Curvas_cupon_cero!$A$1,1,MATCH($B$9,Curvas_cupon_cero!$1:$1,0)-1,COUNT(Curvas_cupon_cero!$A:$A)-2,1)),[1]!interpolar(B123,OFFSET(Curvas_cupon_cero!$A$1,1,0,COUNT(Curvas_cupon_cero!$A:$A)-2,1),OFFSET(Curvas_cupon_cero!$A$1,1,MATCH($B$9,Curvas_cupon_cero!$1:$1,0)-1,COUNT(Curvas_cupon_cero!$A:$A)-2,1))))</f>
        <v/>
      </c>
      <c r="G123" s="23" t="str">
        <f t="shared" si="14"/>
        <v/>
      </c>
      <c r="H123" s="20" t="str">
        <f t="shared" si="19"/>
        <v/>
      </c>
      <c r="I123" t="str">
        <f t="shared" si="15"/>
        <v/>
      </c>
      <c r="J123" s="17" t="str">
        <f t="shared" si="11"/>
        <v/>
      </c>
      <c r="K123" s="18" t="str">
        <f t="shared" si="16"/>
        <v/>
      </c>
      <c r="L123" t="str">
        <f t="shared" si="17"/>
        <v/>
      </c>
      <c r="M123" s="23" t="str">
        <f ca="1">IF(A123="","",IF($B$10="Sí",interpolar_alamb(L123,OFFSET(Curvas_cupon_cero!$A$1,1,0,COUNT(Curvas_cupon_cero!$A:$A)-2,1),OFFSET(Curvas_cupon_cero!$A$1,1,MATCH($B$6,Curvas_cupon_cero!$1:$1,0)-1,COUNT(Curvas_cupon_cero!$A:$A)-2,1)),[1]!interpolar(L123,OFFSET(Curvas_cupon_cero!$A$1,1,0,COUNT(Curvas_cupon_cero!$A:$A)-2,1),OFFSET(Curvas_cupon_cero!$A$1,1,MATCH($B$6,Curvas_cupon_cero!$1:$1,0)-1,COUNT(Curvas_cupon_cero!$A:$A)-2,1))))</f>
        <v/>
      </c>
      <c r="N123" s="23"/>
      <c r="O123" s="19" t="str">
        <f t="shared" si="18"/>
        <v/>
      </c>
    </row>
    <row r="124" spans="1:15" x14ac:dyDescent="0.2">
      <c r="A124" s="12" t="str">
        <f t="shared" si="12"/>
        <v/>
      </c>
      <c r="B124" t="str">
        <f t="shared" si="10"/>
        <v/>
      </c>
      <c r="C124" s="21" t="str">
        <f ca="1">IF(A124="","",IF($B$10="Sí",interpolar_alamb(B124,OFFSET(Curvas_cupon_cero!$A$1,1,0,COUNT(Curvas_cupon_cero!$A:$A)-2,1),OFFSET(Curvas_cupon_cero!$A$1,1,MATCH($B$8,Curvas_cupon_cero!$1:$1,0)-1,COUNT(Curvas_cupon_cero!$A:$A)-2,1)),[1]!interpolar(B124,OFFSET(Curvas_cupon_cero!$A$1,1,0,COUNT(Curvas_cupon_cero!$A:$A)-2,1),OFFSET(Curvas_cupon_cero!$A$1,1,MATCH($B$8,Curvas_cupon_cero!$1:$1,0)-1,COUNT(Curvas_cupon_cero!$A:$A)-2,1))))</f>
        <v/>
      </c>
      <c r="D124" s="23" t="str">
        <f ca="1">IF(A124="","",IF($B$10="Sí",interpolar_alamb(L124,OFFSET(Curvas_cupon_cero!$A$1,1,0,COUNT(Curvas_cupon_cero!$A:$A)-2,1),OFFSET(Curvas_cupon_cero!$A$1,1,MATCH($B$8,Curvas_cupon_cero!$1:$1,0)-1,COUNT(Curvas_cupon_cero!$A:$A)-2,1)),[1]!interpolar(L124,OFFSET(Curvas_cupon_cero!$A$1,1,0,COUNT(Curvas_cupon_cero!$A:$A)-2,1),OFFSET(Curvas_cupon_cero!$A$1,1,MATCH($B$8,Curvas_cupon_cero!$1:$1,0)-1,COUNT(Curvas_cupon_cero!$A:$A)-2,1))))</f>
        <v/>
      </c>
      <c r="E124" s="23" t="str">
        <f t="shared" si="13"/>
        <v/>
      </c>
      <c r="F124" s="23" t="str">
        <f ca="1">IF(A124="","",IF($B$10="Sí",interpolar_alamb(B124,OFFSET(Curvas_cupon_cero!$A$1,1,0,COUNT(Curvas_cupon_cero!$A:$A)-2,1),OFFSET(Curvas_cupon_cero!$A$1,1,MATCH($B$9,Curvas_cupon_cero!$1:$1,0)-1,COUNT(Curvas_cupon_cero!$A:$A)-2,1)),[1]!interpolar(B124,OFFSET(Curvas_cupon_cero!$A$1,1,0,COUNT(Curvas_cupon_cero!$A:$A)-2,1),OFFSET(Curvas_cupon_cero!$A$1,1,MATCH($B$9,Curvas_cupon_cero!$1:$1,0)-1,COUNT(Curvas_cupon_cero!$A:$A)-2,1))))</f>
        <v/>
      </c>
      <c r="G124" s="23" t="str">
        <f t="shared" si="14"/>
        <v/>
      </c>
      <c r="H124" s="20" t="str">
        <f t="shared" si="19"/>
        <v/>
      </c>
      <c r="I124" t="str">
        <f t="shared" si="15"/>
        <v/>
      </c>
      <c r="J124" s="17" t="str">
        <f t="shared" si="11"/>
        <v/>
      </c>
      <c r="K124" s="18" t="str">
        <f t="shared" si="16"/>
        <v/>
      </c>
      <c r="L124" t="str">
        <f t="shared" si="17"/>
        <v/>
      </c>
      <c r="M124" s="23" t="str">
        <f ca="1">IF(A124="","",IF($B$10="Sí",interpolar_alamb(L124,OFFSET(Curvas_cupon_cero!$A$1,1,0,COUNT(Curvas_cupon_cero!$A:$A)-2,1),OFFSET(Curvas_cupon_cero!$A$1,1,MATCH($B$6,Curvas_cupon_cero!$1:$1,0)-1,COUNT(Curvas_cupon_cero!$A:$A)-2,1)),[1]!interpolar(L124,OFFSET(Curvas_cupon_cero!$A$1,1,0,COUNT(Curvas_cupon_cero!$A:$A)-2,1),OFFSET(Curvas_cupon_cero!$A$1,1,MATCH($B$6,Curvas_cupon_cero!$1:$1,0)-1,COUNT(Curvas_cupon_cero!$A:$A)-2,1))))</f>
        <v/>
      </c>
      <c r="N124" s="23"/>
      <c r="O124" s="19" t="str">
        <f t="shared" si="18"/>
        <v/>
      </c>
    </row>
    <row r="125" spans="1:15" x14ac:dyDescent="0.2">
      <c r="A125" s="12" t="str">
        <f t="shared" si="12"/>
        <v/>
      </c>
      <c r="B125" t="str">
        <f t="shared" si="10"/>
        <v/>
      </c>
      <c r="C125" s="21" t="str">
        <f ca="1">IF(A125="","",IF($B$10="Sí",interpolar_alamb(B125,OFFSET(Curvas_cupon_cero!$A$1,1,0,COUNT(Curvas_cupon_cero!$A:$A)-2,1),OFFSET(Curvas_cupon_cero!$A$1,1,MATCH($B$8,Curvas_cupon_cero!$1:$1,0)-1,COUNT(Curvas_cupon_cero!$A:$A)-2,1)),[1]!interpolar(B125,OFFSET(Curvas_cupon_cero!$A$1,1,0,COUNT(Curvas_cupon_cero!$A:$A)-2,1),OFFSET(Curvas_cupon_cero!$A$1,1,MATCH($B$8,Curvas_cupon_cero!$1:$1,0)-1,COUNT(Curvas_cupon_cero!$A:$A)-2,1))))</f>
        <v/>
      </c>
      <c r="D125" s="23" t="str">
        <f ca="1">IF(A125="","",IF($B$10="Sí",interpolar_alamb(L125,OFFSET(Curvas_cupon_cero!$A$1,1,0,COUNT(Curvas_cupon_cero!$A:$A)-2,1),OFFSET(Curvas_cupon_cero!$A$1,1,MATCH($B$8,Curvas_cupon_cero!$1:$1,0)-1,COUNT(Curvas_cupon_cero!$A:$A)-2,1)),[1]!interpolar(L125,OFFSET(Curvas_cupon_cero!$A$1,1,0,COUNT(Curvas_cupon_cero!$A:$A)-2,1),OFFSET(Curvas_cupon_cero!$A$1,1,MATCH($B$8,Curvas_cupon_cero!$1:$1,0)-1,COUNT(Curvas_cupon_cero!$A:$A)-2,1))))</f>
        <v/>
      </c>
      <c r="E125" s="23" t="str">
        <f t="shared" si="13"/>
        <v/>
      </c>
      <c r="F125" s="23" t="str">
        <f ca="1">IF(A125="","",IF($B$10="Sí",interpolar_alamb(B125,OFFSET(Curvas_cupon_cero!$A$1,1,0,COUNT(Curvas_cupon_cero!$A:$A)-2,1),OFFSET(Curvas_cupon_cero!$A$1,1,MATCH($B$9,Curvas_cupon_cero!$1:$1,0)-1,COUNT(Curvas_cupon_cero!$A:$A)-2,1)),[1]!interpolar(B125,OFFSET(Curvas_cupon_cero!$A$1,1,0,COUNT(Curvas_cupon_cero!$A:$A)-2,1),OFFSET(Curvas_cupon_cero!$A$1,1,MATCH($B$9,Curvas_cupon_cero!$1:$1,0)-1,COUNT(Curvas_cupon_cero!$A:$A)-2,1))))</f>
        <v/>
      </c>
      <c r="G125" s="23" t="str">
        <f t="shared" si="14"/>
        <v/>
      </c>
      <c r="H125" s="20" t="str">
        <f t="shared" si="19"/>
        <v/>
      </c>
      <c r="I125" t="str">
        <f t="shared" si="15"/>
        <v/>
      </c>
      <c r="J125" s="17" t="str">
        <f t="shared" si="11"/>
        <v/>
      </c>
      <c r="K125" s="18" t="str">
        <f t="shared" si="16"/>
        <v/>
      </c>
      <c r="L125" t="str">
        <f t="shared" si="17"/>
        <v/>
      </c>
      <c r="M125" s="23" t="str">
        <f ca="1">IF(A125="","",IF($B$10="Sí",interpolar_alamb(L125,OFFSET(Curvas_cupon_cero!$A$1,1,0,COUNT(Curvas_cupon_cero!$A:$A)-2,1),OFFSET(Curvas_cupon_cero!$A$1,1,MATCH($B$6,Curvas_cupon_cero!$1:$1,0)-1,COUNT(Curvas_cupon_cero!$A:$A)-2,1)),[1]!interpolar(L125,OFFSET(Curvas_cupon_cero!$A$1,1,0,COUNT(Curvas_cupon_cero!$A:$A)-2,1),OFFSET(Curvas_cupon_cero!$A$1,1,MATCH($B$6,Curvas_cupon_cero!$1:$1,0)-1,COUNT(Curvas_cupon_cero!$A:$A)-2,1))))</f>
        <v/>
      </c>
      <c r="N125" s="23"/>
      <c r="O125" s="19" t="str">
        <f t="shared" si="18"/>
        <v/>
      </c>
    </row>
    <row r="126" spans="1:15" x14ac:dyDescent="0.2">
      <c r="A126" s="12" t="str">
        <f t="shared" si="12"/>
        <v/>
      </c>
      <c r="B126" t="str">
        <f t="shared" si="10"/>
        <v/>
      </c>
      <c r="C126" s="21" t="str">
        <f ca="1">IF(A126="","",IF($B$10="Sí",interpolar_alamb(B126,OFFSET(Curvas_cupon_cero!$A$1,1,0,COUNT(Curvas_cupon_cero!$A:$A)-2,1),OFFSET(Curvas_cupon_cero!$A$1,1,MATCH($B$8,Curvas_cupon_cero!$1:$1,0)-1,COUNT(Curvas_cupon_cero!$A:$A)-2,1)),[1]!interpolar(B126,OFFSET(Curvas_cupon_cero!$A$1,1,0,COUNT(Curvas_cupon_cero!$A:$A)-2,1),OFFSET(Curvas_cupon_cero!$A$1,1,MATCH($B$8,Curvas_cupon_cero!$1:$1,0)-1,COUNT(Curvas_cupon_cero!$A:$A)-2,1))))</f>
        <v/>
      </c>
      <c r="D126" s="23" t="str">
        <f ca="1">IF(A126="","",IF($B$10="Sí",interpolar_alamb(L126,OFFSET(Curvas_cupon_cero!$A$1,1,0,COUNT(Curvas_cupon_cero!$A:$A)-2,1),OFFSET(Curvas_cupon_cero!$A$1,1,MATCH($B$8,Curvas_cupon_cero!$1:$1,0)-1,COUNT(Curvas_cupon_cero!$A:$A)-2,1)),[1]!interpolar(L126,OFFSET(Curvas_cupon_cero!$A$1,1,0,COUNT(Curvas_cupon_cero!$A:$A)-2,1),OFFSET(Curvas_cupon_cero!$A$1,1,MATCH($B$8,Curvas_cupon_cero!$1:$1,0)-1,COUNT(Curvas_cupon_cero!$A:$A)-2,1))))</f>
        <v/>
      </c>
      <c r="E126" s="23" t="str">
        <f t="shared" si="13"/>
        <v/>
      </c>
      <c r="F126" s="23" t="str">
        <f ca="1">IF(A126="","",IF($B$10="Sí",interpolar_alamb(B126,OFFSET(Curvas_cupon_cero!$A$1,1,0,COUNT(Curvas_cupon_cero!$A:$A)-2,1),OFFSET(Curvas_cupon_cero!$A$1,1,MATCH($B$9,Curvas_cupon_cero!$1:$1,0)-1,COUNT(Curvas_cupon_cero!$A:$A)-2,1)),[1]!interpolar(B126,OFFSET(Curvas_cupon_cero!$A$1,1,0,COUNT(Curvas_cupon_cero!$A:$A)-2,1),OFFSET(Curvas_cupon_cero!$A$1,1,MATCH($B$9,Curvas_cupon_cero!$1:$1,0)-1,COUNT(Curvas_cupon_cero!$A:$A)-2,1))))</f>
        <v/>
      </c>
      <c r="G126" s="23" t="str">
        <f t="shared" si="14"/>
        <v/>
      </c>
      <c r="H126" s="20" t="str">
        <f t="shared" si="19"/>
        <v/>
      </c>
      <c r="I126" t="str">
        <f t="shared" si="15"/>
        <v/>
      </c>
      <c r="J126" s="17" t="str">
        <f t="shared" si="11"/>
        <v/>
      </c>
      <c r="K126" s="18" t="str">
        <f t="shared" si="16"/>
        <v/>
      </c>
      <c r="L126" t="str">
        <f t="shared" si="17"/>
        <v/>
      </c>
      <c r="M126" s="23" t="str">
        <f ca="1">IF(A126="","",IF($B$10="Sí",interpolar_alamb(L126,OFFSET(Curvas_cupon_cero!$A$1,1,0,COUNT(Curvas_cupon_cero!$A:$A)-2,1),OFFSET(Curvas_cupon_cero!$A$1,1,MATCH($B$6,Curvas_cupon_cero!$1:$1,0)-1,COUNT(Curvas_cupon_cero!$A:$A)-2,1)),[1]!interpolar(L126,OFFSET(Curvas_cupon_cero!$A$1,1,0,COUNT(Curvas_cupon_cero!$A:$A)-2,1),OFFSET(Curvas_cupon_cero!$A$1,1,MATCH($B$6,Curvas_cupon_cero!$1:$1,0)-1,COUNT(Curvas_cupon_cero!$A:$A)-2,1))))</f>
        <v/>
      </c>
      <c r="N126" s="23"/>
      <c r="O126" s="19" t="str">
        <f t="shared" si="18"/>
        <v/>
      </c>
    </row>
    <row r="127" spans="1:15" x14ac:dyDescent="0.2">
      <c r="A127" s="12" t="str">
        <f t="shared" si="12"/>
        <v/>
      </c>
      <c r="B127" t="str">
        <f t="shared" si="10"/>
        <v/>
      </c>
      <c r="C127" s="21" t="str">
        <f ca="1">IF(A127="","",IF($B$10="Sí",interpolar_alamb(B127,OFFSET(Curvas_cupon_cero!$A$1,1,0,COUNT(Curvas_cupon_cero!$A:$A)-2,1),OFFSET(Curvas_cupon_cero!$A$1,1,MATCH($B$8,Curvas_cupon_cero!$1:$1,0)-1,COUNT(Curvas_cupon_cero!$A:$A)-2,1)),[1]!interpolar(B127,OFFSET(Curvas_cupon_cero!$A$1,1,0,COUNT(Curvas_cupon_cero!$A:$A)-2,1),OFFSET(Curvas_cupon_cero!$A$1,1,MATCH($B$8,Curvas_cupon_cero!$1:$1,0)-1,COUNT(Curvas_cupon_cero!$A:$A)-2,1))))</f>
        <v/>
      </c>
      <c r="D127" s="23" t="str">
        <f ca="1">IF(A127="","",IF($B$10="Sí",interpolar_alamb(L127,OFFSET(Curvas_cupon_cero!$A$1,1,0,COUNT(Curvas_cupon_cero!$A:$A)-2,1),OFFSET(Curvas_cupon_cero!$A$1,1,MATCH($B$8,Curvas_cupon_cero!$1:$1,0)-1,COUNT(Curvas_cupon_cero!$A:$A)-2,1)),[1]!interpolar(L127,OFFSET(Curvas_cupon_cero!$A$1,1,0,COUNT(Curvas_cupon_cero!$A:$A)-2,1),OFFSET(Curvas_cupon_cero!$A$1,1,MATCH($B$8,Curvas_cupon_cero!$1:$1,0)-1,COUNT(Curvas_cupon_cero!$A:$A)-2,1))))</f>
        <v/>
      </c>
      <c r="E127" s="23" t="str">
        <f t="shared" si="13"/>
        <v/>
      </c>
      <c r="F127" s="23" t="str">
        <f ca="1">IF(A127="","",IF($B$10="Sí",interpolar_alamb(B127,OFFSET(Curvas_cupon_cero!$A$1,1,0,COUNT(Curvas_cupon_cero!$A:$A)-2,1),OFFSET(Curvas_cupon_cero!$A$1,1,MATCH($B$9,Curvas_cupon_cero!$1:$1,0)-1,COUNT(Curvas_cupon_cero!$A:$A)-2,1)),[1]!interpolar(B127,OFFSET(Curvas_cupon_cero!$A$1,1,0,COUNT(Curvas_cupon_cero!$A:$A)-2,1),OFFSET(Curvas_cupon_cero!$A$1,1,MATCH($B$9,Curvas_cupon_cero!$1:$1,0)-1,COUNT(Curvas_cupon_cero!$A:$A)-2,1))))</f>
        <v/>
      </c>
      <c r="G127" s="23" t="str">
        <f t="shared" si="14"/>
        <v/>
      </c>
      <c r="H127" s="20" t="str">
        <f t="shared" si="19"/>
        <v/>
      </c>
      <c r="I127" t="str">
        <f t="shared" si="15"/>
        <v/>
      </c>
      <c r="J127" s="17" t="str">
        <f t="shared" si="11"/>
        <v/>
      </c>
      <c r="K127" s="18" t="str">
        <f t="shared" si="16"/>
        <v/>
      </c>
      <c r="L127" t="str">
        <f t="shared" si="17"/>
        <v/>
      </c>
      <c r="M127" s="23" t="str">
        <f ca="1">IF(A127="","",IF($B$10="Sí",interpolar_alamb(L127,OFFSET(Curvas_cupon_cero!$A$1,1,0,COUNT(Curvas_cupon_cero!$A:$A)-2,1),OFFSET(Curvas_cupon_cero!$A$1,1,MATCH($B$6,Curvas_cupon_cero!$1:$1,0)-1,COUNT(Curvas_cupon_cero!$A:$A)-2,1)),[1]!interpolar(L127,OFFSET(Curvas_cupon_cero!$A$1,1,0,COUNT(Curvas_cupon_cero!$A:$A)-2,1),OFFSET(Curvas_cupon_cero!$A$1,1,MATCH($B$6,Curvas_cupon_cero!$1:$1,0)-1,COUNT(Curvas_cupon_cero!$A:$A)-2,1))))</f>
        <v/>
      </c>
      <c r="N127" s="23"/>
      <c r="O127" s="19" t="str">
        <f t="shared" si="18"/>
        <v/>
      </c>
    </row>
    <row r="128" spans="1:15" x14ac:dyDescent="0.2">
      <c r="A128" s="12" t="str">
        <f t="shared" si="12"/>
        <v/>
      </c>
      <c r="B128" t="str">
        <f t="shared" si="10"/>
        <v/>
      </c>
      <c r="C128" s="21" t="str">
        <f ca="1">IF(A128="","",IF($B$10="Sí",interpolar_alamb(B128,OFFSET(Curvas_cupon_cero!$A$1,1,0,COUNT(Curvas_cupon_cero!$A:$A)-2,1),OFFSET(Curvas_cupon_cero!$A$1,1,MATCH($B$8,Curvas_cupon_cero!$1:$1,0)-1,COUNT(Curvas_cupon_cero!$A:$A)-2,1)),[1]!interpolar(B128,OFFSET(Curvas_cupon_cero!$A$1,1,0,COUNT(Curvas_cupon_cero!$A:$A)-2,1),OFFSET(Curvas_cupon_cero!$A$1,1,MATCH($B$8,Curvas_cupon_cero!$1:$1,0)-1,COUNT(Curvas_cupon_cero!$A:$A)-2,1))))</f>
        <v/>
      </c>
      <c r="D128" s="23" t="str">
        <f ca="1">IF(A128="","",IF($B$10="Sí",interpolar_alamb(L128,OFFSET(Curvas_cupon_cero!$A$1,1,0,COUNT(Curvas_cupon_cero!$A:$A)-2,1),OFFSET(Curvas_cupon_cero!$A$1,1,MATCH($B$8,Curvas_cupon_cero!$1:$1,0)-1,COUNT(Curvas_cupon_cero!$A:$A)-2,1)),[1]!interpolar(L128,OFFSET(Curvas_cupon_cero!$A$1,1,0,COUNT(Curvas_cupon_cero!$A:$A)-2,1),OFFSET(Curvas_cupon_cero!$A$1,1,MATCH($B$8,Curvas_cupon_cero!$1:$1,0)-1,COUNT(Curvas_cupon_cero!$A:$A)-2,1))))</f>
        <v/>
      </c>
      <c r="E128" s="23" t="str">
        <f t="shared" si="13"/>
        <v/>
      </c>
      <c r="F128" s="23" t="str">
        <f ca="1">IF(A128="","",IF($B$10="Sí",interpolar_alamb(B128,OFFSET(Curvas_cupon_cero!$A$1,1,0,COUNT(Curvas_cupon_cero!$A:$A)-2,1),OFFSET(Curvas_cupon_cero!$A$1,1,MATCH($B$9,Curvas_cupon_cero!$1:$1,0)-1,COUNT(Curvas_cupon_cero!$A:$A)-2,1)),[1]!interpolar(B128,OFFSET(Curvas_cupon_cero!$A$1,1,0,COUNT(Curvas_cupon_cero!$A:$A)-2,1),OFFSET(Curvas_cupon_cero!$A$1,1,MATCH($B$9,Curvas_cupon_cero!$1:$1,0)-1,COUNT(Curvas_cupon_cero!$A:$A)-2,1))))</f>
        <v/>
      </c>
      <c r="G128" s="23" t="str">
        <f t="shared" si="14"/>
        <v/>
      </c>
      <c r="H128" s="20" t="str">
        <f t="shared" si="19"/>
        <v/>
      </c>
      <c r="I128" t="str">
        <f t="shared" si="15"/>
        <v/>
      </c>
      <c r="J128" s="17" t="str">
        <f t="shared" si="11"/>
        <v/>
      </c>
      <c r="K128" s="18" t="str">
        <f t="shared" si="16"/>
        <v/>
      </c>
      <c r="L128" t="str">
        <f t="shared" si="17"/>
        <v/>
      </c>
      <c r="M128" s="23" t="str">
        <f ca="1">IF(A128="","",IF($B$10="Sí",interpolar_alamb(L128,OFFSET(Curvas_cupon_cero!$A$1,1,0,COUNT(Curvas_cupon_cero!$A:$A)-2,1),OFFSET(Curvas_cupon_cero!$A$1,1,MATCH($B$6,Curvas_cupon_cero!$1:$1,0)-1,COUNT(Curvas_cupon_cero!$A:$A)-2,1)),[1]!interpolar(L128,OFFSET(Curvas_cupon_cero!$A$1,1,0,COUNT(Curvas_cupon_cero!$A:$A)-2,1),OFFSET(Curvas_cupon_cero!$A$1,1,MATCH($B$6,Curvas_cupon_cero!$1:$1,0)-1,COUNT(Curvas_cupon_cero!$A:$A)-2,1))))</f>
        <v/>
      </c>
      <c r="N128" s="23"/>
      <c r="O128" s="19" t="str">
        <f t="shared" si="18"/>
        <v/>
      </c>
    </row>
    <row r="129" spans="1:15" x14ac:dyDescent="0.2">
      <c r="A129" s="12" t="str">
        <f t="shared" si="12"/>
        <v/>
      </c>
      <c r="B129" t="str">
        <f t="shared" si="10"/>
        <v/>
      </c>
      <c r="C129" s="21" t="str">
        <f ca="1">IF(A129="","",IF($B$10="Sí",interpolar_alamb(B129,OFFSET(Curvas_cupon_cero!$A$1,1,0,COUNT(Curvas_cupon_cero!$A:$A)-2,1),OFFSET(Curvas_cupon_cero!$A$1,1,MATCH($B$8,Curvas_cupon_cero!$1:$1,0)-1,COUNT(Curvas_cupon_cero!$A:$A)-2,1)),[1]!interpolar(B129,OFFSET(Curvas_cupon_cero!$A$1,1,0,COUNT(Curvas_cupon_cero!$A:$A)-2,1),OFFSET(Curvas_cupon_cero!$A$1,1,MATCH($B$8,Curvas_cupon_cero!$1:$1,0)-1,COUNT(Curvas_cupon_cero!$A:$A)-2,1))))</f>
        <v/>
      </c>
      <c r="D129" s="23" t="str">
        <f ca="1">IF(A129="","",IF($B$10="Sí",interpolar_alamb(L129,OFFSET(Curvas_cupon_cero!$A$1,1,0,COUNT(Curvas_cupon_cero!$A:$A)-2,1),OFFSET(Curvas_cupon_cero!$A$1,1,MATCH($B$8,Curvas_cupon_cero!$1:$1,0)-1,COUNT(Curvas_cupon_cero!$A:$A)-2,1)),[1]!interpolar(L129,OFFSET(Curvas_cupon_cero!$A$1,1,0,COUNT(Curvas_cupon_cero!$A:$A)-2,1),OFFSET(Curvas_cupon_cero!$A$1,1,MATCH($B$8,Curvas_cupon_cero!$1:$1,0)-1,COUNT(Curvas_cupon_cero!$A:$A)-2,1))))</f>
        <v/>
      </c>
      <c r="E129" s="23" t="str">
        <f t="shared" si="13"/>
        <v/>
      </c>
      <c r="F129" s="23" t="str">
        <f ca="1">IF(A129="","",IF($B$10="Sí",interpolar_alamb(B129,OFFSET(Curvas_cupon_cero!$A$1,1,0,COUNT(Curvas_cupon_cero!$A:$A)-2,1),OFFSET(Curvas_cupon_cero!$A$1,1,MATCH($B$9,Curvas_cupon_cero!$1:$1,0)-1,COUNT(Curvas_cupon_cero!$A:$A)-2,1)),[1]!interpolar(B129,OFFSET(Curvas_cupon_cero!$A$1,1,0,COUNT(Curvas_cupon_cero!$A:$A)-2,1),OFFSET(Curvas_cupon_cero!$A$1,1,MATCH($B$9,Curvas_cupon_cero!$1:$1,0)-1,COUNT(Curvas_cupon_cero!$A:$A)-2,1))))</f>
        <v/>
      </c>
      <c r="G129" s="23" t="str">
        <f t="shared" si="14"/>
        <v/>
      </c>
      <c r="H129" s="20" t="str">
        <f t="shared" si="19"/>
        <v/>
      </c>
      <c r="I129" t="str">
        <f t="shared" si="15"/>
        <v/>
      </c>
      <c r="J129" s="17" t="str">
        <f t="shared" si="11"/>
        <v/>
      </c>
      <c r="K129" s="18" t="str">
        <f t="shared" si="16"/>
        <v/>
      </c>
      <c r="L129" t="str">
        <f t="shared" si="17"/>
        <v/>
      </c>
      <c r="M129" s="23" t="str">
        <f ca="1">IF(A129="","",IF($B$10="Sí",interpolar_alamb(L129,OFFSET(Curvas_cupon_cero!$A$1,1,0,COUNT(Curvas_cupon_cero!$A:$A)-2,1),OFFSET(Curvas_cupon_cero!$A$1,1,MATCH($B$6,Curvas_cupon_cero!$1:$1,0)-1,COUNT(Curvas_cupon_cero!$A:$A)-2,1)),[1]!interpolar(L129,OFFSET(Curvas_cupon_cero!$A$1,1,0,COUNT(Curvas_cupon_cero!$A:$A)-2,1),OFFSET(Curvas_cupon_cero!$A$1,1,MATCH($B$6,Curvas_cupon_cero!$1:$1,0)-1,COUNT(Curvas_cupon_cero!$A:$A)-2,1))))</f>
        <v/>
      </c>
      <c r="N129" s="23"/>
      <c r="O129" s="19" t="str">
        <f t="shared" si="18"/>
        <v/>
      </c>
    </row>
    <row r="130" spans="1:15" x14ac:dyDescent="0.2">
      <c r="A130" s="12" t="str">
        <f t="shared" si="12"/>
        <v/>
      </c>
      <c r="B130" t="str">
        <f t="shared" si="10"/>
        <v/>
      </c>
      <c r="C130" s="21" t="str">
        <f ca="1">IF(A130="","",IF($B$10="Sí",interpolar_alamb(B130,OFFSET(Curvas_cupon_cero!$A$1,1,0,COUNT(Curvas_cupon_cero!$A:$A)-2,1),OFFSET(Curvas_cupon_cero!$A$1,1,MATCH($B$8,Curvas_cupon_cero!$1:$1,0)-1,COUNT(Curvas_cupon_cero!$A:$A)-2,1)),[1]!interpolar(B130,OFFSET(Curvas_cupon_cero!$A$1,1,0,COUNT(Curvas_cupon_cero!$A:$A)-2,1),OFFSET(Curvas_cupon_cero!$A$1,1,MATCH($B$8,Curvas_cupon_cero!$1:$1,0)-1,COUNT(Curvas_cupon_cero!$A:$A)-2,1))))</f>
        <v/>
      </c>
      <c r="D130" s="23" t="str">
        <f ca="1">IF(A130="","",IF($B$10="Sí",interpolar_alamb(L130,OFFSET(Curvas_cupon_cero!$A$1,1,0,COUNT(Curvas_cupon_cero!$A:$A)-2,1),OFFSET(Curvas_cupon_cero!$A$1,1,MATCH($B$8,Curvas_cupon_cero!$1:$1,0)-1,COUNT(Curvas_cupon_cero!$A:$A)-2,1)),[1]!interpolar(L130,OFFSET(Curvas_cupon_cero!$A$1,1,0,COUNT(Curvas_cupon_cero!$A:$A)-2,1),OFFSET(Curvas_cupon_cero!$A$1,1,MATCH($B$8,Curvas_cupon_cero!$1:$1,0)-1,COUNT(Curvas_cupon_cero!$A:$A)-2,1))))</f>
        <v/>
      </c>
      <c r="E130" s="23" t="str">
        <f t="shared" si="13"/>
        <v/>
      </c>
      <c r="F130" s="23" t="str">
        <f ca="1">IF(A130="","",IF($B$10="Sí",interpolar_alamb(B130,OFFSET(Curvas_cupon_cero!$A$1,1,0,COUNT(Curvas_cupon_cero!$A:$A)-2,1),OFFSET(Curvas_cupon_cero!$A$1,1,MATCH($B$9,Curvas_cupon_cero!$1:$1,0)-1,COUNT(Curvas_cupon_cero!$A:$A)-2,1)),[1]!interpolar(B130,OFFSET(Curvas_cupon_cero!$A$1,1,0,COUNT(Curvas_cupon_cero!$A:$A)-2,1),OFFSET(Curvas_cupon_cero!$A$1,1,MATCH($B$9,Curvas_cupon_cero!$1:$1,0)-1,COUNT(Curvas_cupon_cero!$A:$A)-2,1))))</f>
        <v/>
      </c>
      <c r="G130" s="23" t="str">
        <f t="shared" si="14"/>
        <v/>
      </c>
      <c r="H130" s="20" t="str">
        <f t="shared" si="19"/>
        <v/>
      </c>
      <c r="I130" t="str">
        <f t="shared" si="15"/>
        <v/>
      </c>
      <c r="J130" s="17" t="str">
        <f t="shared" si="11"/>
        <v/>
      </c>
      <c r="K130" s="18" t="str">
        <f t="shared" si="16"/>
        <v/>
      </c>
      <c r="L130" t="str">
        <f t="shared" si="17"/>
        <v/>
      </c>
      <c r="M130" s="23" t="str">
        <f ca="1">IF(A130="","",IF($B$10="Sí",interpolar_alamb(L130,OFFSET(Curvas_cupon_cero!$A$1,1,0,COUNT(Curvas_cupon_cero!$A:$A)-2,1),OFFSET(Curvas_cupon_cero!$A$1,1,MATCH($B$6,Curvas_cupon_cero!$1:$1,0)-1,COUNT(Curvas_cupon_cero!$A:$A)-2,1)),[1]!interpolar(L130,OFFSET(Curvas_cupon_cero!$A$1,1,0,COUNT(Curvas_cupon_cero!$A:$A)-2,1),OFFSET(Curvas_cupon_cero!$A$1,1,MATCH($B$6,Curvas_cupon_cero!$1:$1,0)-1,COUNT(Curvas_cupon_cero!$A:$A)-2,1))))</f>
        <v/>
      </c>
      <c r="N130" s="23"/>
      <c r="O130" s="19" t="str">
        <f t="shared" si="18"/>
        <v/>
      </c>
    </row>
    <row r="131" spans="1:15" x14ac:dyDescent="0.2">
      <c r="A131" s="12" t="str">
        <f t="shared" si="12"/>
        <v/>
      </c>
      <c r="B131" t="str">
        <f t="shared" si="10"/>
        <v/>
      </c>
      <c r="C131" s="21" t="str">
        <f ca="1">IF(A131="","",IF($B$10="Sí",interpolar_alamb(B131,OFFSET(Curvas_cupon_cero!$A$1,1,0,COUNT(Curvas_cupon_cero!$A:$A)-2,1),OFFSET(Curvas_cupon_cero!$A$1,1,MATCH($B$8,Curvas_cupon_cero!$1:$1,0)-1,COUNT(Curvas_cupon_cero!$A:$A)-2,1)),[1]!interpolar(B131,OFFSET(Curvas_cupon_cero!$A$1,1,0,COUNT(Curvas_cupon_cero!$A:$A)-2,1),OFFSET(Curvas_cupon_cero!$A$1,1,MATCH($B$8,Curvas_cupon_cero!$1:$1,0)-1,COUNT(Curvas_cupon_cero!$A:$A)-2,1))))</f>
        <v/>
      </c>
      <c r="D131" s="23" t="str">
        <f ca="1">IF(A131="","",IF($B$10="Sí",interpolar_alamb(L131,OFFSET(Curvas_cupon_cero!$A$1,1,0,COUNT(Curvas_cupon_cero!$A:$A)-2,1),OFFSET(Curvas_cupon_cero!$A$1,1,MATCH($B$8,Curvas_cupon_cero!$1:$1,0)-1,COUNT(Curvas_cupon_cero!$A:$A)-2,1)),[1]!interpolar(L131,OFFSET(Curvas_cupon_cero!$A$1,1,0,COUNT(Curvas_cupon_cero!$A:$A)-2,1),OFFSET(Curvas_cupon_cero!$A$1,1,MATCH($B$8,Curvas_cupon_cero!$1:$1,0)-1,COUNT(Curvas_cupon_cero!$A:$A)-2,1))))</f>
        <v/>
      </c>
      <c r="E131" s="23" t="str">
        <f t="shared" si="13"/>
        <v/>
      </c>
      <c r="F131" s="23" t="str">
        <f ca="1">IF(A131="","",IF($B$10="Sí",interpolar_alamb(B131,OFFSET(Curvas_cupon_cero!$A$1,1,0,COUNT(Curvas_cupon_cero!$A:$A)-2,1),OFFSET(Curvas_cupon_cero!$A$1,1,MATCH($B$9,Curvas_cupon_cero!$1:$1,0)-1,COUNT(Curvas_cupon_cero!$A:$A)-2,1)),[1]!interpolar(B131,OFFSET(Curvas_cupon_cero!$A$1,1,0,COUNT(Curvas_cupon_cero!$A:$A)-2,1),OFFSET(Curvas_cupon_cero!$A$1,1,MATCH($B$9,Curvas_cupon_cero!$1:$1,0)-1,COUNT(Curvas_cupon_cero!$A:$A)-2,1))))</f>
        <v/>
      </c>
      <c r="G131" s="23" t="str">
        <f t="shared" si="14"/>
        <v/>
      </c>
      <c r="H131" s="20" t="str">
        <f t="shared" si="19"/>
        <v/>
      </c>
      <c r="I131" t="str">
        <f t="shared" si="15"/>
        <v/>
      </c>
      <c r="J131" s="17" t="str">
        <f t="shared" si="11"/>
        <v/>
      </c>
      <c r="K131" s="18" t="str">
        <f t="shared" si="16"/>
        <v/>
      </c>
      <c r="L131" t="str">
        <f t="shared" si="17"/>
        <v/>
      </c>
      <c r="M131" s="23" t="str">
        <f ca="1">IF(A131="","",IF($B$10="Sí",interpolar_alamb(L131,OFFSET(Curvas_cupon_cero!$A$1,1,0,COUNT(Curvas_cupon_cero!$A:$A)-2,1),OFFSET(Curvas_cupon_cero!$A$1,1,MATCH($B$6,Curvas_cupon_cero!$1:$1,0)-1,COUNT(Curvas_cupon_cero!$A:$A)-2,1)),[1]!interpolar(L131,OFFSET(Curvas_cupon_cero!$A$1,1,0,COUNT(Curvas_cupon_cero!$A:$A)-2,1),OFFSET(Curvas_cupon_cero!$A$1,1,MATCH($B$6,Curvas_cupon_cero!$1:$1,0)-1,COUNT(Curvas_cupon_cero!$A:$A)-2,1))))</f>
        <v/>
      </c>
      <c r="N131" s="23"/>
      <c r="O131" s="19" t="str">
        <f t="shared" si="18"/>
        <v/>
      </c>
    </row>
    <row r="132" spans="1:15" x14ac:dyDescent="0.2">
      <c r="A132" s="12" t="str">
        <f t="shared" si="12"/>
        <v/>
      </c>
      <c r="B132" t="str">
        <f t="shared" si="10"/>
        <v/>
      </c>
      <c r="C132" s="21" t="str">
        <f ca="1">IF(A132="","",IF($B$10="Sí",interpolar_alamb(B132,OFFSET(Curvas_cupon_cero!$A$1,1,0,COUNT(Curvas_cupon_cero!$A:$A)-2,1),OFFSET(Curvas_cupon_cero!$A$1,1,MATCH($B$8,Curvas_cupon_cero!$1:$1,0)-1,COUNT(Curvas_cupon_cero!$A:$A)-2,1)),[1]!interpolar(B132,OFFSET(Curvas_cupon_cero!$A$1,1,0,COUNT(Curvas_cupon_cero!$A:$A)-2,1),OFFSET(Curvas_cupon_cero!$A$1,1,MATCH($B$8,Curvas_cupon_cero!$1:$1,0)-1,COUNT(Curvas_cupon_cero!$A:$A)-2,1))))</f>
        <v/>
      </c>
      <c r="D132" s="23" t="str">
        <f ca="1">IF(A132="","",IF($B$10="Sí",interpolar_alamb(L132,OFFSET(Curvas_cupon_cero!$A$1,1,0,COUNT(Curvas_cupon_cero!$A:$A)-2,1),OFFSET(Curvas_cupon_cero!$A$1,1,MATCH($B$8,Curvas_cupon_cero!$1:$1,0)-1,COUNT(Curvas_cupon_cero!$A:$A)-2,1)),[1]!interpolar(L132,OFFSET(Curvas_cupon_cero!$A$1,1,0,COUNT(Curvas_cupon_cero!$A:$A)-2,1),OFFSET(Curvas_cupon_cero!$A$1,1,MATCH($B$8,Curvas_cupon_cero!$1:$1,0)-1,COUNT(Curvas_cupon_cero!$A:$A)-2,1))))</f>
        <v/>
      </c>
      <c r="E132" s="23" t="str">
        <f t="shared" si="13"/>
        <v/>
      </c>
      <c r="F132" s="23" t="str">
        <f ca="1">IF(A132="","",IF($B$10="Sí",interpolar_alamb(B132,OFFSET(Curvas_cupon_cero!$A$1,1,0,COUNT(Curvas_cupon_cero!$A:$A)-2,1),OFFSET(Curvas_cupon_cero!$A$1,1,MATCH($B$9,Curvas_cupon_cero!$1:$1,0)-1,COUNT(Curvas_cupon_cero!$A:$A)-2,1)),[1]!interpolar(B132,OFFSET(Curvas_cupon_cero!$A$1,1,0,COUNT(Curvas_cupon_cero!$A:$A)-2,1),OFFSET(Curvas_cupon_cero!$A$1,1,MATCH($B$9,Curvas_cupon_cero!$1:$1,0)-1,COUNT(Curvas_cupon_cero!$A:$A)-2,1))))</f>
        <v/>
      </c>
      <c r="G132" s="23" t="str">
        <f t="shared" si="14"/>
        <v/>
      </c>
      <c r="H132" s="20" t="str">
        <f t="shared" si="19"/>
        <v/>
      </c>
      <c r="I132" t="str">
        <f t="shared" si="15"/>
        <v/>
      </c>
      <c r="J132" s="17" t="str">
        <f t="shared" si="11"/>
        <v/>
      </c>
      <c r="K132" s="18" t="str">
        <f t="shared" si="16"/>
        <v/>
      </c>
      <c r="L132" t="str">
        <f t="shared" si="17"/>
        <v/>
      </c>
      <c r="M132" s="23" t="str">
        <f ca="1">IF(A132="","",IF($B$10="Sí",interpolar_alamb(L132,OFFSET(Curvas_cupon_cero!$A$1,1,0,COUNT(Curvas_cupon_cero!$A:$A)-2,1),OFFSET(Curvas_cupon_cero!$A$1,1,MATCH($B$6,Curvas_cupon_cero!$1:$1,0)-1,COUNT(Curvas_cupon_cero!$A:$A)-2,1)),[1]!interpolar(L132,OFFSET(Curvas_cupon_cero!$A$1,1,0,COUNT(Curvas_cupon_cero!$A:$A)-2,1),OFFSET(Curvas_cupon_cero!$A$1,1,MATCH($B$6,Curvas_cupon_cero!$1:$1,0)-1,COUNT(Curvas_cupon_cero!$A:$A)-2,1))))</f>
        <v/>
      </c>
      <c r="N132" s="23"/>
      <c r="O132" s="19" t="str">
        <f t="shared" si="18"/>
        <v/>
      </c>
    </row>
    <row r="133" spans="1:15" x14ac:dyDescent="0.2">
      <c r="A133" s="12" t="str">
        <f t="shared" si="12"/>
        <v/>
      </c>
      <c r="B133" t="str">
        <f t="shared" si="10"/>
        <v/>
      </c>
      <c r="C133" s="21" t="str">
        <f ca="1">IF(A133="","",IF($B$10="Sí",interpolar_alamb(B133,OFFSET(Curvas_cupon_cero!$A$1,1,0,COUNT(Curvas_cupon_cero!$A:$A)-2,1),OFFSET(Curvas_cupon_cero!$A$1,1,MATCH($B$8,Curvas_cupon_cero!$1:$1,0)-1,COUNT(Curvas_cupon_cero!$A:$A)-2,1)),[1]!interpolar(B133,OFFSET(Curvas_cupon_cero!$A$1,1,0,COUNT(Curvas_cupon_cero!$A:$A)-2,1),OFFSET(Curvas_cupon_cero!$A$1,1,MATCH($B$8,Curvas_cupon_cero!$1:$1,0)-1,COUNT(Curvas_cupon_cero!$A:$A)-2,1))))</f>
        <v/>
      </c>
      <c r="D133" s="23" t="str">
        <f ca="1">IF(A133="","",IF($B$10="Sí",interpolar_alamb(L133,OFFSET(Curvas_cupon_cero!$A$1,1,0,COUNT(Curvas_cupon_cero!$A:$A)-2,1),OFFSET(Curvas_cupon_cero!$A$1,1,MATCH($B$8,Curvas_cupon_cero!$1:$1,0)-1,COUNT(Curvas_cupon_cero!$A:$A)-2,1)),[1]!interpolar(L133,OFFSET(Curvas_cupon_cero!$A$1,1,0,COUNT(Curvas_cupon_cero!$A:$A)-2,1),OFFSET(Curvas_cupon_cero!$A$1,1,MATCH($B$8,Curvas_cupon_cero!$1:$1,0)-1,COUNT(Curvas_cupon_cero!$A:$A)-2,1))))</f>
        <v/>
      </c>
      <c r="E133" s="23" t="str">
        <f t="shared" si="13"/>
        <v/>
      </c>
      <c r="F133" s="23" t="str">
        <f ca="1">IF(A133="","",IF($B$10="Sí",interpolar_alamb(B133,OFFSET(Curvas_cupon_cero!$A$1,1,0,COUNT(Curvas_cupon_cero!$A:$A)-2,1),OFFSET(Curvas_cupon_cero!$A$1,1,MATCH($B$9,Curvas_cupon_cero!$1:$1,0)-1,COUNT(Curvas_cupon_cero!$A:$A)-2,1)),[1]!interpolar(B133,OFFSET(Curvas_cupon_cero!$A$1,1,0,COUNT(Curvas_cupon_cero!$A:$A)-2,1),OFFSET(Curvas_cupon_cero!$A$1,1,MATCH($B$9,Curvas_cupon_cero!$1:$1,0)-1,COUNT(Curvas_cupon_cero!$A:$A)-2,1))))</f>
        <v/>
      </c>
      <c r="G133" s="23" t="str">
        <f t="shared" si="14"/>
        <v/>
      </c>
      <c r="H133" s="20" t="str">
        <f t="shared" si="19"/>
        <v/>
      </c>
      <c r="I133" t="str">
        <f t="shared" si="15"/>
        <v/>
      </c>
      <c r="J133" s="17" t="str">
        <f t="shared" si="11"/>
        <v/>
      </c>
      <c r="K133" s="18" t="str">
        <f t="shared" si="16"/>
        <v/>
      </c>
      <c r="L133" t="str">
        <f t="shared" si="17"/>
        <v/>
      </c>
      <c r="M133" s="23" t="str">
        <f ca="1">IF(A133="","",IF($B$10="Sí",interpolar_alamb(L133,OFFSET(Curvas_cupon_cero!$A$1,1,0,COUNT(Curvas_cupon_cero!$A:$A)-2,1),OFFSET(Curvas_cupon_cero!$A$1,1,MATCH($B$6,Curvas_cupon_cero!$1:$1,0)-1,COUNT(Curvas_cupon_cero!$A:$A)-2,1)),[1]!interpolar(L133,OFFSET(Curvas_cupon_cero!$A$1,1,0,COUNT(Curvas_cupon_cero!$A:$A)-2,1),OFFSET(Curvas_cupon_cero!$A$1,1,MATCH($B$6,Curvas_cupon_cero!$1:$1,0)-1,COUNT(Curvas_cupon_cero!$A:$A)-2,1))))</f>
        <v/>
      </c>
      <c r="N133" s="23"/>
      <c r="O133" s="19" t="str">
        <f t="shared" si="18"/>
        <v/>
      </c>
    </row>
    <row r="134" spans="1:15" x14ac:dyDescent="0.2">
      <c r="A134" s="12" t="str">
        <f t="shared" si="12"/>
        <v/>
      </c>
      <c r="B134" t="str">
        <f t="shared" si="10"/>
        <v/>
      </c>
      <c r="C134" s="21" t="str">
        <f ca="1">IF(A134="","",IF($B$10="Sí",interpolar_alamb(B134,OFFSET(Curvas_cupon_cero!$A$1,1,0,COUNT(Curvas_cupon_cero!$A:$A)-2,1),OFFSET(Curvas_cupon_cero!$A$1,1,MATCH($B$8,Curvas_cupon_cero!$1:$1,0)-1,COUNT(Curvas_cupon_cero!$A:$A)-2,1)),[1]!interpolar(B134,OFFSET(Curvas_cupon_cero!$A$1,1,0,COUNT(Curvas_cupon_cero!$A:$A)-2,1),OFFSET(Curvas_cupon_cero!$A$1,1,MATCH($B$8,Curvas_cupon_cero!$1:$1,0)-1,COUNT(Curvas_cupon_cero!$A:$A)-2,1))))</f>
        <v/>
      </c>
      <c r="D134" s="23" t="str">
        <f ca="1">IF(A134="","",IF($B$10="Sí",interpolar_alamb(L134,OFFSET(Curvas_cupon_cero!$A$1,1,0,COUNT(Curvas_cupon_cero!$A:$A)-2,1),OFFSET(Curvas_cupon_cero!$A$1,1,MATCH($B$8,Curvas_cupon_cero!$1:$1,0)-1,COUNT(Curvas_cupon_cero!$A:$A)-2,1)),[1]!interpolar(L134,OFFSET(Curvas_cupon_cero!$A$1,1,0,COUNT(Curvas_cupon_cero!$A:$A)-2,1),OFFSET(Curvas_cupon_cero!$A$1,1,MATCH($B$8,Curvas_cupon_cero!$1:$1,0)-1,COUNT(Curvas_cupon_cero!$A:$A)-2,1))))</f>
        <v/>
      </c>
      <c r="E134" s="23" t="str">
        <f t="shared" si="13"/>
        <v/>
      </c>
      <c r="F134" s="23" t="str">
        <f ca="1">IF(A134="","",IF($B$10="Sí",interpolar_alamb(B134,OFFSET(Curvas_cupon_cero!$A$1,1,0,COUNT(Curvas_cupon_cero!$A:$A)-2,1),OFFSET(Curvas_cupon_cero!$A$1,1,MATCH($B$9,Curvas_cupon_cero!$1:$1,0)-1,COUNT(Curvas_cupon_cero!$A:$A)-2,1)),[1]!interpolar(B134,OFFSET(Curvas_cupon_cero!$A$1,1,0,COUNT(Curvas_cupon_cero!$A:$A)-2,1),OFFSET(Curvas_cupon_cero!$A$1,1,MATCH($B$9,Curvas_cupon_cero!$1:$1,0)-1,COUNT(Curvas_cupon_cero!$A:$A)-2,1))))</f>
        <v/>
      </c>
      <c r="G134" s="23" t="str">
        <f t="shared" si="14"/>
        <v/>
      </c>
      <c r="H134" s="20" t="str">
        <f t="shared" si="19"/>
        <v/>
      </c>
      <c r="I134" t="str">
        <f t="shared" si="15"/>
        <v/>
      </c>
      <c r="J134" s="17" t="str">
        <f t="shared" si="11"/>
        <v/>
      </c>
      <c r="K134" s="18" t="str">
        <f t="shared" si="16"/>
        <v/>
      </c>
      <c r="L134" t="str">
        <f t="shared" si="17"/>
        <v/>
      </c>
      <c r="M134" s="23" t="str">
        <f ca="1">IF(A134="","",IF($B$10="Sí",interpolar_alamb(L134,OFFSET(Curvas_cupon_cero!$A$1,1,0,COUNT(Curvas_cupon_cero!$A:$A)-2,1),OFFSET(Curvas_cupon_cero!$A$1,1,MATCH($B$6,Curvas_cupon_cero!$1:$1,0)-1,COUNT(Curvas_cupon_cero!$A:$A)-2,1)),[1]!interpolar(L134,OFFSET(Curvas_cupon_cero!$A$1,1,0,COUNT(Curvas_cupon_cero!$A:$A)-2,1),OFFSET(Curvas_cupon_cero!$A$1,1,MATCH($B$6,Curvas_cupon_cero!$1:$1,0)-1,COUNT(Curvas_cupon_cero!$A:$A)-2,1))))</f>
        <v/>
      </c>
      <c r="N134" s="23"/>
      <c r="O134" s="19" t="str">
        <f t="shared" si="18"/>
        <v/>
      </c>
    </row>
    <row r="135" spans="1:15" x14ac:dyDescent="0.2">
      <c r="A135" s="12" t="str">
        <f t="shared" si="12"/>
        <v/>
      </c>
      <c r="B135" t="str">
        <f t="shared" si="10"/>
        <v/>
      </c>
      <c r="C135" s="21" t="str">
        <f ca="1">IF(A135="","",IF($B$10="Sí",interpolar_alamb(B135,OFFSET(Curvas_cupon_cero!$A$1,1,0,COUNT(Curvas_cupon_cero!$A:$A)-2,1),OFFSET(Curvas_cupon_cero!$A$1,1,MATCH($B$8,Curvas_cupon_cero!$1:$1,0)-1,COUNT(Curvas_cupon_cero!$A:$A)-2,1)),[1]!interpolar(B135,OFFSET(Curvas_cupon_cero!$A$1,1,0,COUNT(Curvas_cupon_cero!$A:$A)-2,1),OFFSET(Curvas_cupon_cero!$A$1,1,MATCH($B$8,Curvas_cupon_cero!$1:$1,0)-1,COUNT(Curvas_cupon_cero!$A:$A)-2,1))))</f>
        <v/>
      </c>
      <c r="D135" s="23" t="str">
        <f ca="1">IF(A135="","",IF($B$10="Sí",interpolar_alamb(L135,OFFSET(Curvas_cupon_cero!$A$1,1,0,COUNT(Curvas_cupon_cero!$A:$A)-2,1),OFFSET(Curvas_cupon_cero!$A$1,1,MATCH($B$8,Curvas_cupon_cero!$1:$1,0)-1,COUNT(Curvas_cupon_cero!$A:$A)-2,1)),[1]!interpolar(L135,OFFSET(Curvas_cupon_cero!$A$1,1,0,COUNT(Curvas_cupon_cero!$A:$A)-2,1),OFFSET(Curvas_cupon_cero!$A$1,1,MATCH($B$8,Curvas_cupon_cero!$1:$1,0)-1,COUNT(Curvas_cupon_cero!$A:$A)-2,1))))</f>
        <v/>
      </c>
      <c r="E135" s="23" t="str">
        <f t="shared" si="13"/>
        <v/>
      </c>
      <c r="F135" s="23" t="str">
        <f ca="1">IF(A135="","",IF($B$10="Sí",interpolar_alamb(B135,OFFSET(Curvas_cupon_cero!$A$1,1,0,COUNT(Curvas_cupon_cero!$A:$A)-2,1),OFFSET(Curvas_cupon_cero!$A$1,1,MATCH($B$9,Curvas_cupon_cero!$1:$1,0)-1,COUNT(Curvas_cupon_cero!$A:$A)-2,1)),[1]!interpolar(B135,OFFSET(Curvas_cupon_cero!$A$1,1,0,COUNT(Curvas_cupon_cero!$A:$A)-2,1),OFFSET(Curvas_cupon_cero!$A$1,1,MATCH($B$9,Curvas_cupon_cero!$1:$1,0)-1,COUNT(Curvas_cupon_cero!$A:$A)-2,1))))</f>
        <v/>
      </c>
      <c r="G135" s="23" t="str">
        <f t="shared" si="14"/>
        <v/>
      </c>
      <c r="H135" s="20" t="str">
        <f t="shared" si="19"/>
        <v/>
      </c>
      <c r="I135" t="str">
        <f t="shared" si="15"/>
        <v/>
      </c>
      <c r="J135" s="17" t="str">
        <f t="shared" si="11"/>
        <v/>
      </c>
      <c r="K135" s="18" t="str">
        <f t="shared" si="16"/>
        <v/>
      </c>
      <c r="L135" t="str">
        <f t="shared" si="17"/>
        <v/>
      </c>
      <c r="M135" s="23" t="str">
        <f ca="1">IF(A135="","",IF($B$10="Sí",interpolar_alamb(L135,OFFSET(Curvas_cupon_cero!$A$1,1,0,COUNT(Curvas_cupon_cero!$A:$A)-2,1),OFFSET(Curvas_cupon_cero!$A$1,1,MATCH($B$6,Curvas_cupon_cero!$1:$1,0)-1,COUNT(Curvas_cupon_cero!$A:$A)-2,1)),[1]!interpolar(L135,OFFSET(Curvas_cupon_cero!$A$1,1,0,COUNT(Curvas_cupon_cero!$A:$A)-2,1),OFFSET(Curvas_cupon_cero!$A$1,1,MATCH($B$6,Curvas_cupon_cero!$1:$1,0)-1,COUNT(Curvas_cupon_cero!$A:$A)-2,1))))</f>
        <v/>
      </c>
      <c r="N135" s="23"/>
      <c r="O135" s="19" t="str">
        <f t="shared" si="18"/>
        <v/>
      </c>
    </row>
    <row r="136" spans="1:15" x14ac:dyDescent="0.2">
      <c r="A136" s="12" t="str">
        <f t="shared" si="12"/>
        <v/>
      </c>
      <c r="B136" t="str">
        <f t="shared" si="10"/>
        <v/>
      </c>
      <c r="C136" s="21" t="str">
        <f ca="1">IF(A136="","",IF($B$10="Sí",interpolar_alamb(B136,OFFSET(Curvas_cupon_cero!$A$1,1,0,COUNT(Curvas_cupon_cero!$A:$A)-2,1),OFFSET(Curvas_cupon_cero!$A$1,1,MATCH($B$8,Curvas_cupon_cero!$1:$1,0)-1,COUNT(Curvas_cupon_cero!$A:$A)-2,1)),[1]!interpolar(B136,OFFSET(Curvas_cupon_cero!$A$1,1,0,COUNT(Curvas_cupon_cero!$A:$A)-2,1),OFFSET(Curvas_cupon_cero!$A$1,1,MATCH($B$8,Curvas_cupon_cero!$1:$1,0)-1,COUNT(Curvas_cupon_cero!$A:$A)-2,1))))</f>
        <v/>
      </c>
      <c r="D136" s="23" t="str">
        <f ca="1">IF(A136="","",IF($B$10="Sí",interpolar_alamb(L136,OFFSET(Curvas_cupon_cero!$A$1,1,0,COUNT(Curvas_cupon_cero!$A:$A)-2,1),OFFSET(Curvas_cupon_cero!$A$1,1,MATCH($B$8,Curvas_cupon_cero!$1:$1,0)-1,COUNT(Curvas_cupon_cero!$A:$A)-2,1)),[1]!interpolar(L136,OFFSET(Curvas_cupon_cero!$A$1,1,0,COUNT(Curvas_cupon_cero!$A:$A)-2,1),OFFSET(Curvas_cupon_cero!$A$1,1,MATCH($B$8,Curvas_cupon_cero!$1:$1,0)-1,COUNT(Curvas_cupon_cero!$A:$A)-2,1))))</f>
        <v/>
      </c>
      <c r="E136" s="23" t="str">
        <f t="shared" si="13"/>
        <v/>
      </c>
      <c r="F136" s="23" t="str">
        <f ca="1">IF(A136="","",IF($B$10="Sí",interpolar_alamb(B136,OFFSET(Curvas_cupon_cero!$A$1,1,0,COUNT(Curvas_cupon_cero!$A:$A)-2,1),OFFSET(Curvas_cupon_cero!$A$1,1,MATCH($B$9,Curvas_cupon_cero!$1:$1,0)-1,COUNT(Curvas_cupon_cero!$A:$A)-2,1)),[1]!interpolar(B136,OFFSET(Curvas_cupon_cero!$A$1,1,0,COUNT(Curvas_cupon_cero!$A:$A)-2,1),OFFSET(Curvas_cupon_cero!$A$1,1,MATCH($B$9,Curvas_cupon_cero!$1:$1,0)-1,COUNT(Curvas_cupon_cero!$A:$A)-2,1))))</f>
        <v/>
      </c>
      <c r="G136" s="23" t="str">
        <f t="shared" si="14"/>
        <v/>
      </c>
      <c r="H136" s="20" t="str">
        <f t="shared" si="19"/>
        <v/>
      </c>
      <c r="I136" t="str">
        <f t="shared" si="15"/>
        <v/>
      </c>
      <c r="J136" s="17" t="str">
        <f t="shared" si="11"/>
        <v/>
      </c>
      <c r="K136" s="18" t="str">
        <f t="shared" si="16"/>
        <v/>
      </c>
      <c r="L136" t="str">
        <f t="shared" si="17"/>
        <v/>
      </c>
      <c r="M136" s="23" t="str">
        <f ca="1">IF(A136="","",IF($B$10="Sí",interpolar_alamb(L136,OFFSET(Curvas_cupon_cero!$A$1,1,0,COUNT(Curvas_cupon_cero!$A:$A)-2,1),OFFSET(Curvas_cupon_cero!$A$1,1,MATCH($B$6,Curvas_cupon_cero!$1:$1,0)-1,COUNT(Curvas_cupon_cero!$A:$A)-2,1)),[1]!interpolar(L136,OFFSET(Curvas_cupon_cero!$A$1,1,0,COUNT(Curvas_cupon_cero!$A:$A)-2,1),OFFSET(Curvas_cupon_cero!$A$1,1,MATCH($B$6,Curvas_cupon_cero!$1:$1,0)-1,COUNT(Curvas_cupon_cero!$A:$A)-2,1))))</f>
        <v/>
      </c>
      <c r="N136" s="23"/>
      <c r="O136" s="19" t="str">
        <f t="shared" si="18"/>
        <v/>
      </c>
    </row>
    <row r="137" spans="1:15" x14ac:dyDescent="0.2">
      <c r="A137" s="12" t="str">
        <f t="shared" si="12"/>
        <v/>
      </c>
      <c r="B137" t="str">
        <f t="shared" si="10"/>
        <v/>
      </c>
      <c r="C137" s="21" t="str">
        <f ca="1">IF(A137="","",IF($B$10="Sí",interpolar_alamb(B137,OFFSET(Curvas_cupon_cero!$A$1,1,0,COUNT(Curvas_cupon_cero!$A:$A)-2,1),OFFSET(Curvas_cupon_cero!$A$1,1,MATCH($B$8,Curvas_cupon_cero!$1:$1,0)-1,COUNT(Curvas_cupon_cero!$A:$A)-2,1)),[1]!interpolar(B137,OFFSET(Curvas_cupon_cero!$A$1,1,0,COUNT(Curvas_cupon_cero!$A:$A)-2,1),OFFSET(Curvas_cupon_cero!$A$1,1,MATCH($B$8,Curvas_cupon_cero!$1:$1,0)-1,COUNT(Curvas_cupon_cero!$A:$A)-2,1))))</f>
        <v/>
      </c>
      <c r="D137" s="23" t="str">
        <f ca="1">IF(A137="","",IF($B$10="Sí",interpolar_alamb(L137,OFFSET(Curvas_cupon_cero!$A$1,1,0,COUNT(Curvas_cupon_cero!$A:$A)-2,1),OFFSET(Curvas_cupon_cero!$A$1,1,MATCH($B$8,Curvas_cupon_cero!$1:$1,0)-1,COUNT(Curvas_cupon_cero!$A:$A)-2,1)),[1]!interpolar(L137,OFFSET(Curvas_cupon_cero!$A$1,1,0,COUNT(Curvas_cupon_cero!$A:$A)-2,1),OFFSET(Curvas_cupon_cero!$A$1,1,MATCH($B$8,Curvas_cupon_cero!$1:$1,0)-1,COUNT(Curvas_cupon_cero!$A:$A)-2,1))))</f>
        <v/>
      </c>
      <c r="E137" s="23" t="str">
        <f t="shared" si="13"/>
        <v/>
      </c>
      <c r="F137" s="23" t="str">
        <f ca="1">IF(A137="","",IF($B$10="Sí",interpolar_alamb(B137,OFFSET(Curvas_cupon_cero!$A$1,1,0,COUNT(Curvas_cupon_cero!$A:$A)-2,1),OFFSET(Curvas_cupon_cero!$A$1,1,MATCH($B$9,Curvas_cupon_cero!$1:$1,0)-1,COUNT(Curvas_cupon_cero!$A:$A)-2,1)),[1]!interpolar(B137,OFFSET(Curvas_cupon_cero!$A$1,1,0,COUNT(Curvas_cupon_cero!$A:$A)-2,1),OFFSET(Curvas_cupon_cero!$A$1,1,MATCH($B$9,Curvas_cupon_cero!$1:$1,0)-1,COUNT(Curvas_cupon_cero!$A:$A)-2,1))))</f>
        <v/>
      </c>
      <c r="G137" s="23" t="str">
        <f t="shared" si="14"/>
        <v/>
      </c>
      <c r="H137" s="20" t="str">
        <f t="shared" si="19"/>
        <v/>
      </c>
      <c r="I137" t="str">
        <f t="shared" si="15"/>
        <v/>
      </c>
      <c r="J137" s="17" t="str">
        <f t="shared" si="11"/>
        <v/>
      </c>
      <c r="K137" s="18" t="str">
        <f t="shared" si="16"/>
        <v/>
      </c>
      <c r="L137" t="str">
        <f t="shared" si="17"/>
        <v/>
      </c>
      <c r="M137" s="23" t="str">
        <f ca="1">IF(A137="","",IF($B$10="Sí",interpolar_alamb(L137,OFFSET(Curvas_cupon_cero!$A$1,1,0,COUNT(Curvas_cupon_cero!$A:$A)-2,1),OFFSET(Curvas_cupon_cero!$A$1,1,MATCH($B$6,Curvas_cupon_cero!$1:$1,0)-1,COUNT(Curvas_cupon_cero!$A:$A)-2,1)),[1]!interpolar(L137,OFFSET(Curvas_cupon_cero!$A$1,1,0,COUNT(Curvas_cupon_cero!$A:$A)-2,1),OFFSET(Curvas_cupon_cero!$A$1,1,MATCH($B$6,Curvas_cupon_cero!$1:$1,0)-1,COUNT(Curvas_cupon_cero!$A:$A)-2,1))))</f>
        <v/>
      </c>
      <c r="N137" s="23"/>
      <c r="O137" s="19" t="str">
        <f t="shared" si="18"/>
        <v/>
      </c>
    </row>
    <row r="138" spans="1:15" x14ac:dyDescent="0.2">
      <c r="A138" s="12" t="str">
        <f t="shared" si="12"/>
        <v/>
      </c>
      <c r="B138" t="str">
        <f t="shared" si="10"/>
        <v/>
      </c>
      <c r="C138" s="21" t="str">
        <f ca="1">IF(A138="","",IF($B$10="Sí",interpolar_alamb(B138,OFFSET(Curvas_cupon_cero!$A$1,1,0,COUNT(Curvas_cupon_cero!$A:$A)-2,1),OFFSET(Curvas_cupon_cero!$A$1,1,MATCH($B$8,Curvas_cupon_cero!$1:$1,0)-1,COUNT(Curvas_cupon_cero!$A:$A)-2,1)),[1]!interpolar(B138,OFFSET(Curvas_cupon_cero!$A$1,1,0,COUNT(Curvas_cupon_cero!$A:$A)-2,1),OFFSET(Curvas_cupon_cero!$A$1,1,MATCH($B$8,Curvas_cupon_cero!$1:$1,0)-1,COUNT(Curvas_cupon_cero!$A:$A)-2,1))))</f>
        <v/>
      </c>
      <c r="D138" s="23" t="str">
        <f ca="1">IF(A138="","",IF($B$10="Sí",interpolar_alamb(L138,OFFSET(Curvas_cupon_cero!$A$1,1,0,COUNT(Curvas_cupon_cero!$A:$A)-2,1),OFFSET(Curvas_cupon_cero!$A$1,1,MATCH($B$8,Curvas_cupon_cero!$1:$1,0)-1,COUNT(Curvas_cupon_cero!$A:$A)-2,1)),[1]!interpolar(L138,OFFSET(Curvas_cupon_cero!$A$1,1,0,COUNT(Curvas_cupon_cero!$A:$A)-2,1),OFFSET(Curvas_cupon_cero!$A$1,1,MATCH($B$8,Curvas_cupon_cero!$1:$1,0)-1,COUNT(Curvas_cupon_cero!$A:$A)-2,1))))</f>
        <v/>
      </c>
      <c r="E138" s="23" t="str">
        <f t="shared" si="13"/>
        <v/>
      </c>
      <c r="F138" s="23" t="str">
        <f ca="1">IF(A138="","",IF($B$10="Sí",interpolar_alamb(B138,OFFSET(Curvas_cupon_cero!$A$1,1,0,COUNT(Curvas_cupon_cero!$A:$A)-2,1),OFFSET(Curvas_cupon_cero!$A$1,1,MATCH($B$9,Curvas_cupon_cero!$1:$1,0)-1,COUNT(Curvas_cupon_cero!$A:$A)-2,1)),[1]!interpolar(B138,OFFSET(Curvas_cupon_cero!$A$1,1,0,COUNT(Curvas_cupon_cero!$A:$A)-2,1),OFFSET(Curvas_cupon_cero!$A$1,1,MATCH($B$9,Curvas_cupon_cero!$1:$1,0)-1,COUNT(Curvas_cupon_cero!$A:$A)-2,1))))</f>
        <v/>
      </c>
      <c r="G138" s="23" t="str">
        <f t="shared" si="14"/>
        <v/>
      </c>
      <c r="H138" s="20" t="str">
        <f t="shared" si="19"/>
        <v/>
      </c>
      <c r="I138" t="str">
        <f t="shared" si="15"/>
        <v/>
      </c>
      <c r="J138" s="17" t="str">
        <f t="shared" si="11"/>
        <v/>
      </c>
      <c r="K138" s="18" t="str">
        <f t="shared" si="16"/>
        <v/>
      </c>
      <c r="L138" t="str">
        <f t="shared" si="17"/>
        <v/>
      </c>
      <c r="M138" s="23" t="str">
        <f ca="1">IF(A138="","",IF($B$10="Sí",interpolar_alamb(L138,OFFSET(Curvas_cupon_cero!$A$1,1,0,COUNT(Curvas_cupon_cero!$A:$A)-2,1),OFFSET(Curvas_cupon_cero!$A$1,1,MATCH($B$6,Curvas_cupon_cero!$1:$1,0)-1,COUNT(Curvas_cupon_cero!$A:$A)-2,1)),[1]!interpolar(L138,OFFSET(Curvas_cupon_cero!$A$1,1,0,COUNT(Curvas_cupon_cero!$A:$A)-2,1),OFFSET(Curvas_cupon_cero!$A$1,1,MATCH($B$6,Curvas_cupon_cero!$1:$1,0)-1,COUNT(Curvas_cupon_cero!$A:$A)-2,1))))</f>
        <v/>
      </c>
      <c r="N138" s="23"/>
      <c r="O138" s="19" t="str">
        <f t="shared" si="18"/>
        <v/>
      </c>
    </row>
    <row r="139" spans="1:15" x14ac:dyDescent="0.2">
      <c r="A139" s="12" t="str">
        <f t="shared" si="12"/>
        <v/>
      </c>
      <c r="B139" t="str">
        <f t="shared" si="10"/>
        <v/>
      </c>
      <c r="C139" s="21" t="str">
        <f ca="1">IF(A139="","",IF($B$10="Sí",interpolar_alamb(B139,OFFSET(Curvas_cupon_cero!$A$1,1,0,COUNT(Curvas_cupon_cero!$A:$A)-2,1),OFFSET(Curvas_cupon_cero!$A$1,1,MATCH($B$8,Curvas_cupon_cero!$1:$1,0)-1,COUNT(Curvas_cupon_cero!$A:$A)-2,1)),[1]!interpolar(B139,OFFSET(Curvas_cupon_cero!$A$1,1,0,COUNT(Curvas_cupon_cero!$A:$A)-2,1),OFFSET(Curvas_cupon_cero!$A$1,1,MATCH($B$8,Curvas_cupon_cero!$1:$1,0)-1,COUNT(Curvas_cupon_cero!$A:$A)-2,1))))</f>
        <v/>
      </c>
      <c r="D139" s="23" t="str">
        <f ca="1">IF(A139="","",IF($B$10="Sí",interpolar_alamb(L139,OFFSET(Curvas_cupon_cero!$A$1,1,0,COUNT(Curvas_cupon_cero!$A:$A)-2,1),OFFSET(Curvas_cupon_cero!$A$1,1,MATCH($B$8,Curvas_cupon_cero!$1:$1,0)-1,COUNT(Curvas_cupon_cero!$A:$A)-2,1)),[1]!interpolar(L139,OFFSET(Curvas_cupon_cero!$A$1,1,0,COUNT(Curvas_cupon_cero!$A:$A)-2,1),OFFSET(Curvas_cupon_cero!$A$1,1,MATCH($B$8,Curvas_cupon_cero!$1:$1,0)-1,COUNT(Curvas_cupon_cero!$A:$A)-2,1))))</f>
        <v/>
      </c>
      <c r="E139" s="23" t="str">
        <f t="shared" si="13"/>
        <v/>
      </c>
      <c r="F139" s="23" t="str">
        <f ca="1">IF(A139="","",IF($B$10="Sí",interpolar_alamb(B139,OFFSET(Curvas_cupon_cero!$A$1,1,0,COUNT(Curvas_cupon_cero!$A:$A)-2,1),OFFSET(Curvas_cupon_cero!$A$1,1,MATCH($B$9,Curvas_cupon_cero!$1:$1,0)-1,COUNT(Curvas_cupon_cero!$A:$A)-2,1)),[1]!interpolar(B139,OFFSET(Curvas_cupon_cero!$A$1,1,0,COUNT(Curvas_cupon_cero!$A:$A)-2,1),OFFSET(Curvas_cupon_cero!$A$1,1,MATCH($B$9,Curvas_cupon_cero!$1:$1,0)-1,COUNT(Curvas_cupon_cero!$A:$A)-2,1))))</f>
        <v/>
      </c>
      <c r="G139" s="23" t="str">
        <f t="shared" si="14"/>
        <v/>
      </c>
      <c r="H139" s="20" t="str">
        <f t="shared" si="19"/>
        <v/>
      </c>
      <c r="I139" t="str">
        <f t="shared" si="15"/>
        <v/>
      </c>
      <c r="J139" s="17" t="str">
        <f t="shared" si="11"/>
        <v/>
      </c>
      <c r="K139" s="18" t="str">
        <f t="shared" si="16"/>
        <v/>
      </c>
      <c r="L139" t="str">
        <f t="shared" si="17"/>
        <v/>
      </c>
      <c r="M139" s="23" t="str">
        <f ca="1">IF(A139="","",IF($B$10="Sí",interpolar_alamb(L139,OFFSET(Curvas_cupon_cero!$A$1,1,0,COUNT(Curvas_cupon_cero!$A:$A)-2,1),OFFSET(Curvas_cupon_cero!$A$1,1,MATCH($B$6,Curvas_cupon_cero!$1:$1,0)-1,COUNT(Curvas_cupon_cero!$A:$A)-2,1)),[1]!interpolar(L139,OFFSET(Curvas_cupon_cero!$A$1,1,0,COUNT(Curvas_cupon_cero!$A:$A)-2,1),OFFSET(Curvas_cupon_cero!$A$1,1,MATCH($B$6,Curvas_cupon_cero!$1:$1,0)-1,COUNT(Curvas_cupon_cero!$A:$A)-2,1))))</f>
        <v/>
      </c>
      <c r="N139" s="23"/>
      <c r="O139" s="19" t="str">
        <f t="shared" si="18"/>
        <v/>
      </c>
    </row>
    <row r="140" spans="1:15" x14ac:dyDescent="0.2">
      <c r="A140" s="12" t="str">
        <f t="shared" si="12"/>
        <v/>
      </c>
      <c r="B140" t="str">
        <f t="shared" si="10"/>
        <v/>
      </c>
      <c r="C140" s="21" t="str">
        <f ca="1">IF(A140="","",IF($B$10="Sí",interpolar_alamb(B140,OFFSET(Curvas_cupon_cero!$A$1,1,0,COUNT(Curvas_cupon_cero!$A:$A)-2,1),OFFSET(Curvas_cupon_cero!$A$1,1,MATCH($B$8,Curvas_cupon_cero!$1:$1,0)-1,COUNT(Curvas_cupon_cero!$A:$A)-2,1)),[1]!interpolar(B140,OFFSET(Curvas_cupon_cero!$A$1,1,0,COUNT(Curvas_cupon_cero!$A:$A)-2,1),OFFSET(Curvas_cupon_cero!$A$1,1,MATCH($B$8,Curvas_cupon_cero!$1:$1,0)-1,COUNT(Curvas_cupon_cero!$A:$A)-2,1))))</f>
        <v/>
      </c>
      <c r="D140" s="23" t="str">
        <f ca="1">IF(A140="","",IF($B$10="Sí",interpolar_alamb(L140,OFFSET(Curvas_cupon_cero!$A$1,1,0,COUNT(Curvas_cupon_cero!$A:$A)-2,1),OFFSET(Curvas_cupon_cero!$A$1,1,MATCH($B$8,Curvas_cupon_cero!$1:$1,0)-1,COUNT(Curvas_cupon_cero!$A:$A)-2,1)),[1]!interpolar(L140,OFFSET(Curvas_cupon_cero!$A$1,1,0,COUNT(Curvas_cupon_cero!$A:$A)-2,1),OFFSET(Curvas_cupon_cero!$A$1,1,MATCH($B$8,Curvas_cupon_cero!$1:$1,0)-1,COUNT(Curvas_cupon_cero!$A:$A)-2,1))))</f>
        <v/>
      </c>
      <c r="E140" s="23" t="str">
        <f t="shared" si="13"/>
        <v/>
      </c>
      <c r="F140" s="23" t="str">
        <f ca="1">IF(A140="","",IF($B$10="Sí",interpolar_alamb(B140,OFFSET(Curvas_cupon_cero!$A$1,1,0,COUNT(Curvas_cupon_cero!$A:$A)-2,1),OFFSET(Curvas_cupon_cero!$A$1,1,MATCH($B$9,Curvas_cupon_cero!$1:$1,0)-1,COUNT(Curvas_cupon_cero!$A:$A)-2,1)),[1]!interpolar(B140,OFFSET(Curvas_cupon_cero!$A$1,1,0,COUNT(Curvas_cupon_cero!$A:$A)-2,1),OFFSET(Curvas_cupon_cero!$A$1,1,MATCH($B$9,Curvas_cupon_cero!$1:$1,0)-1,COUNT(Curvas_cupon_cero!$A:$A)-2,1))))</f>
        <v/>
      </c>
      <c r="G140" s="23" t="str">
        <f t="shared" si="14"/>
        <v/>
      </c>
      <c r="H140" s="20" t="str">
        <f t="shared" si="19"/>
        <v/>
      </c>
      <c r="I140" t="str">
        <f t="shared" si="15"/>
        <v/>
      </c>
      <c r="J140" s="17" t="str">
        <f t="shared" si="11"/>
        <v/>
      </c>
      <c r="K140" s="18" t="str">
        <f t="shared" si="16"/>
        <v/>
      </c>
      <c r="L140" t="str">
        <f t="shared" si="17"/>
        <v/>
      </c>
      <c r="M140" s="23" t="str">
        <f ca="1">IF(A140="","",IF($B$10="Sí",interpolar_alamb(L140,OFFSET(Curvas_cupon_cero!$A$1,1,0,COUNT(Curvas_cupon_cero!$A:$A)-2,1),OFFSET(Curvas_cupon_cero!$A$1,1,MATCH($B$6,Curvas_cupon_cero!$1:$1,0)-1,COUNT(Curvas_cupon_cero!$A:$A)-2,1)),[1]!interpolar(L140,OFFSET(Curvas_cupon_cero!$A$1,1,0,COUNT(Curvas_cupon_cero!$A:$A)-2,1),OFFSET(Curvas_cupon_cero!$A$1,1,MATCH($B$6,Curvas_cupon_cero!$1:$1,0)-1,COUNT(Curvas_cupon_cero!$A:$A)-2,1))))</f>
        <v/>
      </c>
      <c r="N140" s="23"/>
      <c r="O140" s="19" t="str">
        <f t="shared" si="18"/>
        <v/>
      </c>
    </row>
    <row r="141" spans="1:15" x14ac:dyDescent="0.2">
      <c r="A141" s="12" t="str">
        <f t="shared" si="12"/>
        <v/>
      </c>
      <c r="B141" t="str">
        <f t="shared" si="10"/>
        <v/>
      </c>
      <c r="C141" s="21" t="str">
        <f ca="1">IF(A141="","",IF($B$10="Sí",interpolar_alamb(B141,OFFSET(Curvas_cupon_cero!$A$1,1,0,COUNT(Curvas_cupon_cero!$A:$A)-2,1),OFFSET(Curvas_cupon_cero!$A$1,1,MATCH($B$8,Curvas_cupon_cero!$1:$1,0)-1,COUNT(Curvas_cupon_cero!$A:$A)-2,1)),[1]!interpolar(B141,OFFSET(Curvas_cupon_cero!$A$1,1,0,COUNT(Curvas_cupon_cero!$A:$A)-2,1),OFFSET(Curvas_cupon_cero!$A$1,1,MATCH($B$8,Curvas_cupon_cero!$1:$1,0)-1,COUNT(Curvas_cupon_cero!$A:$A)-2,1))))</f>
        <v/>
      </c>
      <c r="D141" s="23" t="str">
        <f ca="1">IF(A141="","",IF($B$10="Sí",interpolar_alamb(L141,OFFSET(Curvas_cupon_cero!$A$1,1,0,COUNT(Curvas_cupon_cero!$A:$A)-2,1),OFFSET(Curvas_cupon_cero!$A$1,1,MATCH($B$8,Curvas_cupon_cero!$1:$1,0)-1,COUNT(Curvas_cupon_cero!$A:$A)-2,1)),[1]!interpolar(L141,OFFSET(Curvas_cupon_cero!$A$1,1,0,COUNT(Curvas_cupon_cero!$A:$A)-2,1),OFFSET(Curvas_cupon_cero!$A$1,1,MATCH($B$8,Curvas_cupon_cero!$1:$1,0)-1,COUNT(Curvas_cupon_cero!$A:$A)-2,1))))</f>
        <v/>
      </c>
      <c r="E141" s="23" t="str">
        <f t="shared" si="13"/>
        <v/>
      </c>
      <c r="F141" s="23" t="str">
        <f ca="1">IF(A141="","",IF($B$10="Sí",interpolar_alamb(B141,OFFSET(Curvas_cupon_cero!$A$1,1,0,COUNT(Curvas_cupon_cero!$A:$A)-2,1),OFFSET(Curvas_cupon_cero!$A$1,1,MATCH($B$9,Curvas_cupon_cero!$1:$1,0)-1,COUNT(Curvas_cupon_cero!$A:$A)-2,1)),[1]!interpolar(B141,OFFSET(Curvas_cupon_cero!$A$1,1,0,COUNT(Curvas_cupon_cero!$A:$A)-2,1),OFFSET(Curvas_cupon_cero!$A$1,1,MATCH($B$9,Curvas_cupon_cero!$1:$1,0)-1,COUNT(Curvas_cupon_cero!$A:$A)-2,1))))</f>
        <v/>
      </c>
      <c r="G141" s="23" t="str">
        <f t="shared" si="14"/>
        <v/>
      </c>
      <c r="H141" s="20" t="str">
        <f t="shared" si="19"/>
        <v/>
      </c>
      <c r="I141" t="str">
        <f t="shared" si="15"/>
        <v/>
      </c>
      <c r="J141" s="17" t="str">
        <f t="shared" si="11"/>
        <v/>
      </c>
      <c r="K141" s="18" t="str">
        <f t="shared" si="16"/>
        <v/>
      </c>
      <c r="L141" t="str">
        <f t="shared" si="17"/>
        <v/>
      </c>
      <c r="M141" s="23" t="str">
        <f ca="1">IF(A141="","",IF($B$10="Sí",interpolar_alamb(L141,OFFSET(Curvas_cupon_cero!$A$1,1,0,COUNT(Curvas_cupon_cero!$A:$A)-2,1),OFFSET(Curvas_cupon_cero!$A$1,1,MATCH($B$6,Curvas_cupon_cero!$1:$1,0)-1,COUNT(Curvas_cupon_cero!$A:$A)-2,1)),[1]!interpolar(L141,OFFSET(Curvas_cupon_cero!$A$1,1,0,COUNT(Curvas_cupon_cero!$A:$A)-2,1),OFFSET(Curvas_cupon_cero!$A$1,1,MATCH($B$6,Curvas_cupon_cero!$1:$1,0)-1,COUNT(Curvas_cupon_cero!$A:$A)-2,1))))</f>
        <v/>
      </c>
      <c r="N141" s="23"/>
      <c r="O141" s="19" t="str">
        <f t="shared" si="18"/>
        <v/>
      </c>
    </row>
    <row r="142" spans="1:15" x14ac:dyDescent="0.2">
      <c r="A142" s="12" t="str">
        <f t="shared" si="12"/>
        <v/>
      </c>
      <c r="B142" t="str">
        <f t="shared" si="10"/>
        <v/>
      </c>
      <c r="C142" s="21" t="str">
        <f ca="1">IF(A142="","",IF($B$10="Sí",interpolar_alamb(B142,OFFSET(Curvas_cupon_cero!$A$1,1,0,COUNT(Curvas_cupon_cero!$A:$A)-2,1),OFFSET(Curvas_cupon_cero!$A$1,1,MATCH($B$8,Curvas_cupon_cero!$1:$1,0)-1,COUNT(Curvas_cupon_cero!$A:$A)-2,1)),[1]!interpolar(B142,OFFSET(Curvas_cupon_cero!$A$1,1,0,COUNT(Curvas_cupon_cero!$A:$A)-2,1),OFFSET(Curvas_cupon_cero!$A$1,1,MATCH($B$8,Curvas_cupon_cero!$1:$1,0)-1,COUNT(Curvas_cupon_cero!$A:$A)-2,1))))</f>
        <v/>
      </c>
      <c r="D142" s="23" t="str">
        <f ca="1">IF(A142="","",IF($B$10="Sí",interpolar_alamb(L142,OFFSET(Curvas_cupon_cero!$A$1,1,0,COUNT(Curvas_cupon_cero!$A:$A)-2,1),OFFSET(Curvas_cupon_cero!$A$1,1,MATCH($B$8,Curvas_cupon_cero!$1:$1,0)-1,COUNT(Curvas_cupon_cero!$A:$A)-2,1)),[1]!interpolar(L142,OFFSET(Curvas_cupon_cero!$A$1,1,0,COUNT(Curvas_cupon_cero!$A:$A)-2,1),OFFSET(Curvas_cupon_cero!$A$1,1,MATCH($B$8,Curvas_cupon_cero!$1:$1,0)-1,COUNT(Curvas_cupon_cero!$A:$A)-2,1))))</f>
        <v/>
      </c>
      <c r="E142" s="23" t="str">
        <f t="shared" si="13"/>
        <v/>
      </c>
      <c r="F142" s="23" t="str">
        <f ca="1">IF(A142="","",IF($B$10="Sí",interpolar_alamb(B142,OFFSET(Curvas_cupon_cero!$A$1,1,0,COUNT(Curvas_cupon_cero!$A:$A)-2,1),OFFSET(Curvas_cupon_cero!$A$1,1,MATCH($B$9,Curvas_cupon_cero!$1:$1,0)-1,COUNT(Curvas_cupon_cero!$A:$A)-2,1)),[1]!interpolar(B142,OFFSET(Curvas_cupon_cero!$A$1,1,0,COUNT(Curvas_cupon_cero!$A:$A)-2,1),OFFSET(Curvas_cupon_cero!$A$1,1,MATCH($B$9,Curvas_cupon_cero!$1:$1,0)-1,COUNT(Curvas_cupon_cero!$A:$A)-2,1))))</f>
        <v/>
      </c>
      <c r="G142" s="23" t="str">
        <f t="shared" si="14"/>
        <v/>
      </c>
      <c r="H142" s="20" t="str">
        <f t="shared" si="19"/>
        <v/>
      </c>
      <c r="I142" t="str">
        <f t="shared" si="15"/>
        <v/>
      </c>
      <c r="J142" s="17" t="str">
        <f t="shared" si="11"/>
        <v/>
      </c>
      <c r="K142" s="18" t="str">
        <f t="shared" si="16"/>
        <v/>
      </c>
      <c r="L142" t="str">
        <f t="shared" si="17"/>
        <v/>
      </c>
      <c r="M142" s="23" t="str">
        <f ca="1">IF(A142="","",IF($B$10="Sí",interpolar_alamb(L142,OFFSET(Curvas_cupon_cero!$A$1,1,0,COUNT(Curvas_cupon_cero!$A:$A)-2,1),OFFSET(Curvas_cupon_cero!$A$1,1,MATCH($B$6,Curvas_cupon_cero!$1:$1,0)-1,COUNT(Curvas_cupon_cero!$A:$A)-2,1)),[1]!interpolar(L142,OFFSET(Curvas_cupon_cero!$A$1,1,0,COUNT(Curvas_cupon_cero!$A:$A)-2,1),OFFSET(Curvas_cupon_cero!$A$1,1,MATCH($B$6,Curvas_cupon_cero!$1:$1,0)-1,COUNT(Curvas_cupon_cero!$A:$A)-2,1))))</f>
        <v/>
      </c>
      <c r="N142" s="23"/>
      <c r="O142" s="19" t="str">
        <f t="shared" si="18"/>
        <v/>
      </c>
    </row>
    <row r="143" spans="1:15" x14ac:dyDescent="0.2">
      <c r="A143" s="12" t="str">
        <f t="shared" si="12"/>
        <v/>
      </c>
      <c r="B143" t="str">
        <f t="shared" si="10"/>
        <v/>
      </c>
      <c r="C143" s="21" t="str">
        <f ca="1">IF(A143="","",IF($B$10="Sí",interpolar_alamb(B143,OFFSET(Curvas_cupon_cero!$A$1,1,0,COUNT(Curvas_cupon_cero!$A:$A)-2,1),OFFSET(Curvas_cupon_cero!$A$1,1,MATCH($B$8,Curvas_cupon_cero!$1:$1,0)-1,COUNT(Curvas_cupon_cero!$A:$A)-2,1)),[1]!interpolar(B143,OFFSET(Curvas_cupon_cero!$A$1,1,0,COUNT(Curvas_cupon_cero!$A:$A)-2,1),OFFSET(Curvas_cupon_cero!$A$1,1,MATCH($B$8,Curvas_cupon_cero!$1:$1,0)-1,COUNT(Curvas_cupon_cero!$A:$A)-2,1))))</f>
        <v/>
      </c>
      <c r="D143" s="23" t="str">
        <f ca="1">IF(A143="","",IF($B$10="Sí",interpolar_alamb(L143,OFFSET(Curvas_cupon_cero!$A$1,1,0,COUNT(Curvas_cupon_cero!$A:$A)-2,1),OFFSET(Curvas_cupon_cero!$A$1,1,MATCH($B$8,Curvas_cupon_cero!$1:$1,0)-1,COUNT(Curvas_cupon_cero!$A:$A)-2,1)),[1]!interpolar(L143,OFFSET(Curvas_cupon_cero!$A$1,1,0,COUNT(Curvas_cupon_cero!$A:$A)-2,1),OFFSET(Curvas_cupon_cero!$A$1,1,MATCH($B$8,Curvas_cupon_cero!$1:$1,0)-1,COUNT(Curvas_cupon_cero!$A:$A)-2,1))))</f>
        <v/>
      </c>
      <c r="E143" s="23" t="str">
        <f t="shared" si="13"/>
        <v/>
      </c>
      <c r="F143" s="23" t="str">
        <f ca="1">IF(A143="","",IF($B$10="Sí",interpolar_alamb(B143,OFFSET(Curvas_cupon_cero!$A$1,1,0,COUNT(Curvas_cupon_cero!$A:$A)-2,1),OFFSET(Curvas_cupon_cero!$A$1,1,MATCH($B$9,Curvas_cupon_cero!$1:$1,0)-1,COUNT(Curvas_cupon_cero!$A:$A)-2,1)),[1]!interpolar(B143,OFFSET(Curvas_cupon_cero!$A$1,1,0,COUNT(Curvas_cupon_cero!$A:$A)-2,1),OFFSET(Curvas_cupon_cero!$A$1,1,MATCH($B$9,Curvas_cupon_cero!$1:$1,0)-1,COUNT(Curvas_cupon_cero!$A:$A)-2,1))))</f>
        <v/>
      </c>
      <c r="G143" s="23" t="str">
        <f t="shared" si="14"/>
        <v/>
      </c>
      <c r="H143" s="20" t="str">
        <f t="shared" si="19"/>
        <v/>
      </c>
      <c r="I143" t="str">
        <f t="shared" si="15"/>
        <v/>
      </c>
      <c r="J143" s="17" t="str">
        <f t="shared" si="11"/>
        <v/>
      </c>
      <c r="K143" s="18" t="str">
        <f t="shared" si="16"/>
        <v/>
      </c>
      <c r="L143" t="str">
        <f t="shared" si="17"/>
        <v/>
      </c>
      <c r="M143" s="23" t="str">
        <f ca="1">IF(A143="","",IF($B$10="Sí",interpolar_alamb(L143,OFFSET(Curvas_cupon_cero!$A$1,1,0,COUNT(Curvas_cupon_cero!$A:$A)-2,1),OFFSET(Curvas_cupon_cero!$A$1,1,MATCH($B$6,Curvas_cupon_cero!$1:$1,0)-1,COUNT(Curvas_cupon_cero!$A:$A)-2,1)),[1]!interpolar(L143,OFFSET(Curvas_cupon_cero!$A$1,1,0,COUNT(Curvas_cupon_cero!$A:$A)-2,1),OFFSET(Curvas_cupon_cero!$A$1,1,MATCH($B$6,Curvas_cupon_cero!$1:$1,0)-1,COUNT(Curvas_cupon_cero!$A:$A)-2,1))))</f>
        <v/>
      </c>
      <c r="N143" s="23"/>
      <c r="O143" s="19" t="str">
        <f t="shared" si="18"/>
        <v/>
      </c>
    </row>
    <row r="144" spans="1:15" x14ac:dyDescent="0.2">
      <c r="A144" s="12" t="str">
        <f t="shared" si="12"/>
        <v/>
      </c>
      <c r="B144" t="str">
        <f t="shared" si="10"/>
        <v/>
      </c>
      <c r="C144" s="21" t="str">
        <f ca="1">IF(A144="","",IF($B$10="Sí",interpolar_alamb(B144,OFFSET(Curvas_cupon_cero!$A$1,1,0,COUNT(Curvas_cupon_cero!$A:$A)-2,1),OFFSET(Curvas_cupon_cero!$A$1,1,MATCH($B$8,Curvas_cupon_cero!$1:$1,0)-1,COUNT(Curvas_cupon_cero!$A:$A)-2,1)),[1]!interpolar(B144,OFFSET(Curvas_cupon_cero!$A$1,1,0,COUNT(Curvas_cupon_cero!$A:$A)-2,1),OFFSET(Curvas_cupon_cero!$A$1,1,MATCH($B$8,Curvas_cupon_cero!$1:$1,0)-1,COUNT(Curvas_cupon_cero!$A:$A)-2,1))))</f>
        <v/>
      </c>
      <c r="D144" s="23" t="str">
        <f ca="1">IF(A144="","",IF($B$10="Sí",interpolar_alamb(L144,OFFSET(Curvas_cupon_cero!$A$1,1,0,COUNT(Curvas_cupon_cero!$A:$A)-2,1),OFFSET(Curvas_cupon_cero!$A$1,1,MATCH($B$8,Curvas_cupon_cero!$1:$1,0)-1,COUNT(Curvas_cupon_cero!$A:$A)-2,1)),[1]!interpolar(L144,OFFSET(Curvas_cupon_cero!$A$1,1,0,COUNT(Curvas_cupon_cero!$A:$A)-2,1),OFFSET(Curvas_cupon_cero!$A$1,1,MATCH($B$8,Curvas_cupon_cero!$1:$1,0)-1,COUNT(Curvas_cupon_cero!$A:$A)-2,1))))</f>
        <v/>
      </c>
      <c r="E144" s="23" t="str">
        <f t="shared" si="13"/>
        <v/>
      </c>
      <c r="F144" s="23" t="str">
        <f ca="1">IF(A144="","",IF($B$10="Sí",interpolar_alamb(B144,OFFSET(Curvas_cupon_cero!$A$1,1,0,COUNT(Curvas_cupon_cero!$A:$A)-2,1),OFFSET(Curvas_cupon_cero!$A$1,1,MATCH($B$9,Curvas_cupon_cero!$1:$1,0)-1,COUNT(Curvas_cupon_cero!$A:$A)-2,1)),[1]!interpolar(B144,OFFSET(Curvas_cupon_cero!$A$1,1,0,COUNT(Curvas_cupon_cero!$A:$A)-2,1),OFFSET(Curvas_cupon_cero!$A$1,1,MATCH($B$9,Curvas_cupon_cero!$1:$1,0)-1,COUNT(Curvas_cupon_cero!$A:$A)-2,1))))</f>
        <v/>
      </c>
      <c r="G144" s="23" t="str">
        <f t="shared" si="14"/>
        <v/>
      </c>
      <c r="H144" s="20" t="str">
        <f t="shared" si="19"/>
        <v/>
      </c>
      <c r="I144" t="str">
        <f t="shared" si="15"/>
        <v/>
      </c>
      <c r="J144" s="17" t="str">
        <f t="shared" si="11"/>
        <v/>
      </c>
      <c r="K144" s="18" t="str">
        <f t="shared" si="16"/>
        <v/>
      </c>
      <c r="L144" t="str">
        <f t="shared" si="17"/>
        <v/>
      </c>
      <c r="M144" s="23" t="str">
        <f ca="1">IF(A144="","",IF($B$10="Sí",interpolar_alamb(L144,OFFSET(Curvas_cupon_cero!$A$1,1,0,COUNT(Curvas_cupon_cero!$A:$A)-2,1),OFFSET(Curvas_cupon_cero!$A$1,1,MATCH($B$6,Curvas_cupon_cero!$1:$1,0)-1,COUNT(Curvas_cupon_cero!$A:$A)-2,1)),[1]!interpolar(L144,OFFSET(Curvas_cupon_cero!$A$1,1,0,COUNT(Curvas_cupon_cero!$A:$A)-2,1),OFFSET(Curvas_cupon_cero!$A$1,1,MATCH($B$6,Curvas_cupon_cero!$1:$1,0)-1,COUNT(Curvas_cupon_cero!$A:$A)-2,1))))</f>
        <v/>
      </c>
      <c r="N144" s="23"/>
      <c r="O144" s="19" t="str">
        <f t="shared" si="18"/>
        <v/>
      </c>
    </row>
    <row r="145" spans="1:15" x14ac:dyDescent="0.2">
      <c r="A145" s="12" t="str">
        <f t="shared" si="12"/>
        <v/>
      </c>
      <c r="B145" t="str">
        <f t="shared" ref="B145:B208" si="20">IF(A145="","",MAX(L145-$B$5,0))</f>
        <v/>
      </c>
      <c r="C145" s="21" t="str">
        <f ca="1">IF(A145="","",IF($B$10="Sí",interpolar_alamb(B145,OFFSET(Curvas_cupon_cero!$A$1,1,0,COUNT(Curvas_cupon_cero!$A:$A)-2,1),OFFSET(Curvas_cupon_cero!$A$1,1,MATCH($B$8,Curvas_cupon_cero!$1:$1,0)-1,COUNT(Curvas_cupon_cero!$A:$A)-2,1)),[1]!interpolar(B145,OFFSET(Curvas_cupon_cero!$A$1,1,0,COUNT(Curvas_cupon_cero!$A:$A)-2,1),OFFSET(Curvas_cupon_cero!$A$1,1,MATCH($B$8,Curvas_cupon_cero!$1:$1,0)-1,COUNT(Curvas_cupon_cero!$A:$A)-2,1))))</f>
        <v/>
      </c>
      <c r="D145" s="23" t="str">
        <f ca="1">IF(A145="","",IF($B$10="Sí",interpolar_alamb(L145,OFFSET(Curvas_cupon_cero!$A$1,1,0,COUNT(Curvas_cupon_cero!$A:$A)-2,1),OFFSET(Curvas_cupon_cero!$A$1,1,MATCH($B$8,Curvas_cupon_cero!$1:$1,0)-1,COUNT(Curvas_cupon_cero!$A:$A)-2,1)),[1]!interpolar(L145,OFFSET(Curvas_cupon_cero!$A$1,1,0,COUNT(Curvas_cupon_cero!$A:$A)-2,1),OFFSET(Curvas_cupon_cero!$A$1,1,MATCH($B$8,Curvas_cupon_cero!$1:$1,0)-1,COUNT(Curvas_cupon_cero!$A:$A)-2,1))))</f>
        <v/>
      </c>
      <c r="E145" s="23" t="str">
        <f t="shared" si="13"/>
        <v/>
      </c>
      <c r="F145" s="23" t="str">
        <f ca="1">IF(A145="","",IF($B$10="Sí",interpolar_alamb(B145,OFFSET(Curvas_cupon_cero!$A$1,1,0,COUNT(Curvas_cupon_cero!$A:$A)-2,1),OFFSET(Curvas_cupon_cero!$A$1,1,MATCH($B$9,Curvas_cupon_cero!$1:$1,0)-1,COUNT(Curvas_cupon_cero!$A:$A)-2,1)),[1]!interpolar(B145,OFFSET(Curvas_cupon_cero!$A$1,1,0,COUNT(Curvas_cupon_cero!$A:$A)-2,1),OFFSET(Curvas_cupon_cero!$A$1,1,MATCH($B$9,Curvas_cupon_cero!$1:$1,0)-1,COUNT(Curvas_cupon_cero!$A:$A)-2,1))))</f>
        <v/>
      </c>
      <c r="G145" s="23" t="str">
        <f t="shared" si="14"/>
        <v/>
      </c>
      <c r="H145" s="20" t="str">
        <f t="shared" si="19"/>
        <v/>
      </c>
      <c r="I145" t="str">
        <f t="shared" si="15"/>
        <v/>
      </c>
      <c r="J145" s="17" t="str">
        <f t="shared" ref="J145:J208" si="21">IF(A145="","",IF(A145=$B$4,$B$1*$B$2+$B$1*$B$5/360*$B$2*(E145*(1-I145)+H145*I145), $B$1*$B$5/360*$B$2*(E145*(1-I145)+H145*I145)))</f>
        <v/>
      </c>
      <c r="K145" s="18" t="str">
        <f t="shared" si="16"/>
        <v/>
      </c>
      <c r="L145" t="str">
        <f t="shared" si="17"/>
        <v/>
      </c>
      <c r="M145" s="23" t="str">
        <f ca="1">IF(A145="","",IF($B$10="Sí",interpolar_alamb(L145,OFFSET(Curvas_cupon_cero!$A$1,1,0,COUNT(Curvas_cupon_cero!$A:$A)-2,1),OFFSET(Curvas_cupon_cero!$A$1,1,MATCH($B$6,Curvas_cupon_cero!$1:$1,0)-1,COUNT(Curvas_cupon_cero!$A:$A)-2,1)),[1]!interpolar(L145,OFFSET(Curvas_cupon_cero!$A$1,1,0,COUNT(Curvas_cupon_cero!$A:$A)-2,1),OFFSET(Curvas_cupon_cero!$A$1,1,MATCH($B$6,Curvas_cupon_cero!$1:$1,0)-1,COUNT(Curvas_cupon_cero!$A:$A)-2,1))))</f>
        <v/>
      </c>
      <c r="N145" s="23"/>
      <c r="O145" s="19" t="str">
        <f t="shared" si="18"/>
        <v/>
      </c>
    </row>
    <row r="146" spans="1:15" x14ac:dyDescent="0.2">
      <c r="A146" s="12" t="str">
        <f t="shared" ref="A146:A209" si="22">IF(A145="","",IF((A145+$B$5)&gt;$B$4,"",(A145+$B$5)))</f>
        <v/>
      </c>
      <c r="B146" t="str">
        <f t="shared" si="20"/>
        <v/>
      </c>
      <c r="C146" s="21" t="str">
        <f ca="1">IF(A146="","",IF($B$10="Sí",interpolar_alamb(B146,OFFSET(Curvas_cupon_cero!$A$1,1,0,COUNT(Curvas_cupon_cero!$A:$A)-2,1),OFFSET(Curvas_cupon_cero!$A$1,1,MATCH($B$8,Curvas_cupon_cero!$1:$1,0)-1,COUNT(Curvas_cupon_cero!$A:$A)-2,1)),[1]!interpolar(B146,OFFSET(Curvas_cupon_cero!$A$1,1,0,COUNT(Curvas_cupon_cero!$A:$A)-2,1),OFFSET(Curvas_cupon_cero!$A$1,1,MATCH($B$8,Curvas_cupon_cero!$1:$1,0)-1,COUNT(Curvas_cupon_cero!$A:$A)-2,1))))</f>
        <v/>
      </c>
      <c r="D146" s="23" t="str">
        <f ca="1">IF(A146="","",IF($B$10="Sí",interpolar_alamb(L146,OFFSET(Curvas_cupon_cero!$A$1,1,0,COUNT(Curvas_cupon_cero!$A:$A)-2,1),OFFSET(Curvas_cupon_cero!$A$1,1,MATCH($B$8,Curvas_cupon_cero!$1:$1,0)-1,COUNT(Curvas_cupon_cero!$A:$A)-2,1)),[1]!interpolar(L146,OFFSET(Curvas_cupon_cero!$A$1,1,0,COUNT(Curvas_cupon_cero!$A:$A)-2,1),OFFSET(Curvas_cupon_cero!$A$1,1,MATCH($B$8,Curvas_cupon_cero!$1:$1,0)-1,COUNT(Curvas_cupon_cero!$A:$A)-2,1))))</f>
        <v/>
      </c>
      <c r="E146" s="23" t="str">
        <f t="shared" ref="E146:E209" si="23">IF(A146="","",((1+D146*L146/360)/(1+C146*B146/360)-1)*(360/(L146-B146)))</f>
        <v/>
      </c>
      <c r="F146" s="23" t="str">
        <f ca="1">IF(A146="","",IF($B$10="Sí",interpolar_alamb(B146,OFFSET(Curvas_cupon_cero!$A$1,1,0,COUNT(Curvas_cupon_cero!$A:$A)-2,1),OFFSET(Curvas_cupon_cero!$A$1,1,MATCH($B$9,Curvas_cupon_cero!$1:$1,0)-1,COUNT(Curvas_cupon_cero!$A:$A)-2,1)),[1]!interpolar(B146,OFFSET(Curvas_cupon_cero!$A$1,1,0,COUNT(Curvas_cupon_cero!$A:$A)-2,1),OFFSET(Curvas_cupon_cero!$A$1,1,MATCH($B$9,Curvas_cupon_cero!$1:$1,0)-1,COUNT(Curvas_cupon_cero!$A:$A)-2,1))))</f>
        <v/>
      </c>
      <c r="G146" s="23" t="str">
        <f t="shared" ref="G146:G209" si="24">IF(A146="","",$B$11*(1+M146*L146/360)/(1+F146*L146/360))</f>
        <v/>
      </c>
      <c r="H146" s="20" t="str">
        <f t="shared" si="19"/>
        <v/>
      </c>
      <c r="I146" t="str">
        <f t="shared" ref="I146:I209" si="25">IF(A146="","",IF(H146&gt;E146,1,0))</f>
        <v/>
      </c>
      <c r="J146" s="17" t="str">
        <f t="shared" si="21"/>
        <v/>
      </c>
      <c r="K146" s="18" t="str">
        <f t="shared" ref="K146:K209" si="26">IF(A146="","",$B$5)</f>
        <v/>
      </c>
      <c r="L146" t="str">
        <f t="shared" ref="L146:L209" si="27">IF(A146="","",L145+K146)</f>
        <v/>
      </c>
      <c r="M146" s="23" t="str">
        <f ca="1">IF(A146="","",IF($B$10="Sí",interpolar_alamb(L146,OFFSET(Curvas_cupon_cero!$A$1,1,0,COUNT(Curvas_cupon_cero!$A:$A)-2,1),OFFSET(Curvas_cupon_cero!$A$1,1,MATCH($B$6,Curvas_cupon_cero!$1:$1,0)-1,COUNT(Curvas_cupon_cero!$A:$A)-2,1)),[1]!interpolar(L146,OFFSET(Curvas_cupon_cero!$A$1,1,0,COUNT(Curvas_cupon_cero!$A:$A)-2,1),OFFSET(Curvas_cupon_cero!$A$1,1,MATCH($B$6,Curvas_cupon_cero!$1:$1,0)-1,COUNT(Curvas_cupon_cero!$A:$A)-2,1))))</f>
        <v/>
      </c>
      <c r="N146" s="23"/>
      <c r="O146" s="19" t="str">
        <f t="shared" ref="O146:O209" si="28">IF(A146="","",J146/(1+(M146+N146)*L146/360))</f>
        <v/>
      </c>
    </row>
    <row r="147" spans="1:15" x14ac:dyDescent="0.2">
      <c r="A147" s="12" t="str">
        <f t="shared" si="22"/>
        <v/>
      </c>
      <c r="B147" t="str">
        <f t="shared" si="20"/>
        <v/>
      </c>
      <c r="C147" s="21" t="str">
        <f ca="1">IF(A147="","",IF($B$10="Sí",interpolar_alamb(B147,OFFSET(Curvas_cupon_cero!$A$1,1,0,COUNT(Curvas_cupon_cero!$A:$A)-2,1),OFFSET(Curvas_cupon_cero!$A$1,1,MATCH($B$8,Curvas_cupon_cero!$1:$1,0)-1,COUNT(Curvas_cupon_cero!$A:$A)-2,1)),[1]!interpolar(B147,OFFSET(Curvas_cupon_cero!$A$1,1,0,COUNT(Curvas_cupon_cero!$A:$A)-2,1),OFFSET(Curvas_cupon_cero!$A$1,1,MATCH($B$8,Curvas_cupon_cero!$1:$1,0)-1,COUNT(Curvas_cupon_cero!$A:$A)-2,1))))</f>
        <v/>
      </c>
      <c r="D147" s="23" t="str">
        <f ca="1">IF(A147="","",IF($B$10="Sí",interpolar_alamb(L147,OFFSET(Curvas_cupon_cero!$A$1,1,0,COUNT(Curvas_cupon_cero!$A:$A)-2,1),OFFSET(Curvas_cupon_cero!$A$1,1,MATCH($B$8,Curvas_cupon_cero!$1:$1,0)-1,COUNT(Curvas_cupon_cero!$A:$A)-2,1)),[1]!interpolar(L147,OFFSET(Curvas_cupon_cero!$A$1,1,0,COUNT(Curvas_cupon_cero!$A:$A)-2,1),OFFSET(Curvas_cupon_cero!$A$1,1,MATCH($B$8,Curvas_cupon_cero!$1:$1,0)-1,COUNT(Curvas_cupon_cero!$A:$A)-2,1))))</f>
        <v/>
      </c>
      <c r="E147" s="23" t="str">
        <f t="shared" si="23"/>
        <v/>
      </c>
      <c r="F147" s="23" t="str">
        <f ca="1">IF(A147="","",IF($B$10="Sí",interpolar_alamb(B147,OFFSET(Curvas_cupon_cero!$A$1,1,0,COUNT(Curvas_cupon_cero!$A:$A)-2,1),OFFSET(Curvas_cupon_cero!$A$1,1,MATCH($B$9,Curvas_cupon_cero!$1:$1,0)-1,COUNT(Curvas_cupon_cero!$A:$A)-2,1)),[1]!interpolar(B147,OFFSET(Curvas_cupon_cero!$A$1,1,0,COUNT(Curvas_cupon_cero!$A:$A)-2,1),OFFSET(Curvas_cupon_cero!$A$1,1,MATCH($B$9,Curvas_cupon_cero!$1:$1,0)-1,COUNT(Curvas_cupon_cero!$A:$A)-2,1))))</f>
        <v/>
      </c>
      <c r="G147" s="23" t="str">
        <f t="shared" si="24"/>
        <v/>
      </c>
      <c r="H147" s="20" t="str">
        <f t="shared" ref="H147:H210" si="29">IF(A147="","",(G147/G146-1)*360/$B$5)</f>
        <v/>
      </c>
      <c r="I147" t="str">
        <f t="shared" si="25"/>
        <v/>
      </c>
      <c r="J147" s="17" t="str">
        <f t="shared" si="21"/>
        <v/>
      </c>
      <c r="K147" s="18" t="str">
        <f t="shared" si="26"/>
        <v/>
      </c>
      <c r="L147" t="str">
        <f t="shared" si="27"/>
        <v/>
      </c>
      <c r="M147" s="23" t="str">
        <f ca="1">IF(A147="","",IF($B$10="Sí",interpolar_alamb(L147,OFFSET(Curvas_cupon_cero!$A$1,1,0,COUNT(Curvas_cupon_cero!$A:$A)-2,1),OFFSET(Curvas_cupon_cero!$A$1,1,MATCH($B$6,Curvas_cupon_cero!$1:$1,0)-1,COUNT(Curvas_cupon_cero!$A:$A)-2,1)),[1]!interpolar(L147,OFFSET(Curvas_cupon_cero!$A$1,1,0,COUNT(Curvas_cupon_cero!$A:$A)-2,1),OFFSET(Curvas_cupon_cero!$A$1,1,MATCH($B$6,Curvas_cupon_cero!$1:$1,0)-1,COUNT(Curvas_cupon_cero!$A:$A)-2,1))))</f>
        <v/>
      </c>
      <c r="N147" s="23"/>
      <c r="O147" s="19" t="str">
        <f t="shared" si="28"/>
        <v/>
      </c>
    </row>
    <row r="148" spans="1:15" x14ac:dyDescent="0.2">
      <c r="A148" s="12" t="str">
        <f t="shared" si="22"/>
        <v/>
      </c>
      <c r="B148" t="str">
        <f t="shared" si="20"/>
        <v/>
      </c>
      <c r="C148" s="21" t="str">
        <f ca="1">IF(A148="","",IF($B$10="Sí",interpolar_alamb(B148,OFFSET(Curvas_cupon_cero!$A$1,1,0,COUNT(Curvas_cupon_cero!$A:$A)-2,1),OFFSET(Curvas_cupon_cero!$A$1,1,MATCH($B$8,Curvas_cupon_cero!$1:$1,0)-1,COUNT(Curvas_cupon_cero!$A:$A)-2,1)),[1]!interpolar(B148,OFFSET(Curvas_cupon_cero!$A$1,1,0,COUNT(Curvas_cupon_cero!$A:$A)-2,1),OFFSET(Curvas_cupon_cero!$A$1,1,MATCH($B$8,Curvas_cupon_cero!$1:$1,0)-1,COUNT(Curvas_cupon_cero!$A:$A)-2,1))))</f>
        <v/>
      </c>
      <c r="D148" s="23" t="str">
        <f ca="1">IF(A148="","",IF($B$10="Sí",interpolar_alamb(L148,OFFSET(Curvas_cupon_cero!$A$1,1,0,COUNT(Curvas_cupon_cero!$A:$A)-2,1),OFFSET(Curvas_cupon_cero!$A$1,1,MATCH($B$8,Curvas_cupon_cero!$1:$1,0)-1,COUNT(Curvas_cupon_cero!$A:$A)-2,1)),[1]!interpolar(L148,OFFSET(Curvas_cupon_cero!$A$1,1,0,COUNT(Curvas_cupon_cero!$A:$A)-2,1),OFFSET(Curvas_cupon_cero!$A$1,1,MATCH($B$8,Curvas_cupon_cero!$1:$1,0)-1,COUNT(Curvas_cupon_cero!$A:$A)-2,1))))</f>
        <v/>
      </c>
      <c r="E148" s="23" t="str">
        <f t="shared" si="23"/>
        <v/>
      </c>
      <c r="F148" s="23" t="str">
        <f ca="1">IF(A148="","",IF($B$10="Sí",interpolar_alamb(B148,OFFSET(Curvas_cupon_cero!$A$1,1,0,COUNT(Curvas_cupon_cero!$A:$A)-2,1),OFFSET(Curvas_cupon_cero!$A$1,1,MATCH($B$9,Curvas_cupon_cero!$1:$1,0)-1,COUNT(Curvas_cupon_cero!$A:$A)-2,1)),[1]!interpolar(B148,OFFSET(Curvas_cupon_cero!$A$1,1,0,COUNT(Curvas_cupon_cero!$A:$A)-2,1),OFFSET(Curvas_cupon_cero!$A$1,1,MATCH($B$9,Curvas_cupon_cero!$1:$1,0)-1,COUNT(Curvas_cupon_cero!$A:$A)-2,1))))</f>
        <v/>
      </c>
      <c r="G148" s="23" t="str">
        <f t="shared" si="24"/>
        <v/>
      </c>
      <c r="H148" s="20" t="str">
        <f t="shared" si="29"/>
        <v/>
      </c>
      <c r="I148" t="str">
        <f t="shared" si="25"/>
        <v/>
      </c>
      <c r="J148" s="17" t="str">
        <f t="shared" si="21"/>
        <v/>
      </c>
      <c r="K148" s="18" t="str">
        <f t="shared" si="26"/>
        <v/>
      </c>
      <c r="L148" t="str">
        <f t="shared" si="27"/>
        <v/>
      </c>
      <c r="M148" s="23" t="str">
        <f ca="1">IF(A148="","",IF($B$10="Sí",interpolar_alamb(L148,OFFSET(Curvas_cupon_cero!$A$1,1,0,COUNT(Curvas_cupon_cero!$A:$A)-2,1),OFFSET(Curvas_cupon_cero!$A$1,1,MATCH($B$6,Curvas_cupon_cero!$1:$1,0)-1,COUNT(Curvas_cupon_cero!$A:$A)-2,1)),[1]!interpolar(L148,OFFSET(Curvas_cupon_cero!$A$1,1,0,COUNT(Curvas_cupon_cero!$A:$A)-2,1),OFFSET(Curvas_cupon_cero!$A$1,1,MATCH($B$6,Curvas_cupon_cero!$1:$1,0)-1,COUNT(Curvas_cupon_cero!$A:$A)-2,1))))</f>
        <v/>
      </c>
      <c r="N148" s="23"/>
      <c r="O148" s="19" t="str">
        <f t="shared" si="28"/>
        <v/>
      </c>
    </row>
    <row r="149" spans="1:15" x14ac:dyDescent="0.2">
      <c r="A149" s="12" t="str">
        <f t="shared" si="22"/>
        <v/>
      </c>
      <c r="B149" t="str">
        <f t="shared" si="20"/>
        <v/>
      </c>
      <c r="C149" s="21" t="str">
        <f ca="1">IF(A149="","",IF($B$10="Sí",interpolar_alamb(B149,OFFSET(Curvas_cupon_cero!$A$1,1,0,COUNT(Curvas_cupon_cero!$A:$A)-2,1),OFFSET(Curvas_cupon_cero!$A$1,1,MATCH($B$8,Curvas_cupon_cero!$1:$1,0)-1,COUNT(Curvas_cupon_cero!$A:$A)-2,1)),[1]!interpolar(B149,OFFSET(Curvas_cupon_cero!$A$1,1,0,COUNT(Curvas_cupon_cero!$A:$A)-2,1),OFFSET(Curvas_cupon_cero!$A$1,1,MATCH($B$8,Curvas_cupon_cero!$1:$1,0)-1,COUNT(Curvas_cupon_cero!$A:$A)-2,1))))</f>
        <v/>
      </c>
      <c r="D149" s="23" t="str">
        <f ca="1">IF(A149="","",IF($B$10="Sí",interpolar_alamb(L149,OFFSET(Curvas_cupon_cero!$A$1,1,0,COUNT(Curvas_cupon_cero!$A:$A)-2,1),OFFSET(Curvas_cupon_cero!$A$1,1,MATCH($B$8,Curvas_cupon_cero!$1:$1,0)-1,COUNT(Curvas_cupon_cero!$A:$A)-2,1)),[1]!interpolar(L149,OFFSET(Curvas_cupon_cero!$A$1,1,0,COUNT(Curvas_cupon_cero!$A:$A)-2,1),OFFSET(Curvas_cupon_cero!$A$1,1,MATCH($B$8,Curvas_cupon_cero!$1:$1,0)-1,COUNT(Curvas_cupon_cero!$A:$A)-2,1))))</f>
        <v/>
      </c>
      <c r="E149" s="23" t="str">
        <f t="shared" si="23"/>
        <v/>
      </c>
      <c r="F149" s="23" t="str">
        <f ca="1">IF(A149="","",IF($B$10="Sí",interpolar_alamb(B149,OFFSET(Curvas_cupon_cero!$A$1,1,0,COUNT(Curvas_cupon_cero!$A:$A)-2,1),OFFSET(Curvas_cupon_cero!$A$1,1,MATCH($B$9,Curvas_cupon_cero!$1:$1,0)-1,COUNT(Curvas_cupon_cero!$A:$A)-2,1)),[1]!interpolar(B149,OFFSET(Curvas_cupon_cero!$A$1,1,0,COUNT(Curvas_cupon_cero!$A:$A)-2,1),OFFSET(Curvas_cupon_cero!$A$1,1,MATCH($B$9,Curvas_cupon_cero!$1:$1,0)-1,COUNT(Curvas_cupon_cero!$A:$A)-2,1))))</f>
        <v/>
      </c>
      <c r="G149" s="23" t="str">
        <f t="shared" si="24"/>
        <v/>
      </c>
      <c r="H149" s="20" t="str">
        <f t="shared" si="29"/>
        <v/>
      </c>
      <c r="I149" t="str">
        <f t="shared" si="25"/>
        <v/>
      </c>
      <c r="J149" s="17" t="str">
        <f t="shared" si="21"/>
        <v/>
      </c>
      <c r="K149" s="18" t="str">
        <f t="shared" si="26"/>
        <v/>
      </c>
      <c r="L149" t="str">
        <f t="shared" si="27"/>
        <v/>
      </c>
      <c r="M149" s="23" t="str">
        <f ca="1">IF(A149="","",IF($B$10="Sí",interpolar_alamb(L149,OFFSET(Curvas_cupon_cero!$A$1,1,0,COUNT(Curvas_cupon_cero!$A:$A)-2,1),OFFSET(Curvas_cupon_cero!$A$1,1,MATCH($B$6,Curvas_cupon_cero!$1:$1,0)-1,COUNT(Curvas_cupon_cero!$A:$A)-2,1)),[1]!interpolar(L149,OFFSET(Curvas_cupon_cero!$A$1,1,0,COUNT(Curvas_cupon_cero!$A:$A)-2,1),OFFSET(Curvas_cupon_cero!$A$1,1,MATCH($B$6,Curvas_cupon_cero!$1:$1,0)-1,COUNT(Curvas_cupon_cero!$A:$A)-2,1))))</f>
        <v/>
      </c>
      <c r="N149" s="23"/>
      <c r="O149" s="19" t="str">
        <f t="shared" si="28"/>
        <v/>
      </c>
    </row>
    <row r="150" spans="1:15" x14ac:dyDescent="0.2">
      <c r="A150" s="12" t="str">
        <f t="shared" si="22"/>
        <v/>
      </c>
      <c r="B150" t="str">
        <f t="shared" si="20"/>
        <v/>
      </c>
      <c r="C150" s="21" t="str">
        <f ca="1">IF(A150="","",IF($B$10="Sí",interpolar_alamb(B150,OFFSET(Curvas_cupon_cero!$A$1,1,0,COUNT(Curvas_cupon_cero!$A:$A)-2,1),OFFSET(Curvas_cupon_cero!$A$1,1,MATCH($B$8,Curvas_cupon_cero!$1:$1,0)-1,COUNT(Curvas_cupon_cero!$A:$A)-2,1)),[1]!interpolar(B150,OFFSET(Curvas_cupon_cero!$A$1,1,0,COUNT(Curvas_cupon_cero!$A:$A)-2,1),OFFSET(Curvas_cupon_cero!$A$1,1,MATCH($B$8,Curvas_cupon_cero!$1:$1,0)-1,COUNT(Curvas_cupon_cero!$A:$A)-2,1))))</f>
        <v/>
      </c>
      <c r="D150" s="23" t="str">
        <f ca="1">IF(A150="","",IF($B$10="Sí",interpolar_alamb(L150,OFFSET(Curvas_cupon_cero!$A$1,1,0,COUNT(Curvas_cupon_cero!$A:$A)-2,1),OFFSET(Curvas_cupon_cero!$A$1,1,MATCH($B$8,Curvas_cupon_cero!$1:$1,0)-1,COUNT(Curvas_cupon_cero!$A:$A)-2,1)),[1]!interpolar(L150,OFFSET(Curvas_cupon_cero!$A$1,1,0,COUNT(Curvas_cupon_cero!$A:$A)-2,1),OFFSET(Curvas_cupon_cero!$A$1,1,MATCH($B$8,Curvas_cupon_cero!$1:$1,0)-1,COUNT(Curvas_cupon_cero!$A:$A)-2,1))))</f>
        <v/>
      </c>
      <c r="E150" s="23" t="str">
        <f t="shared" si="23"/>
        <v/>
      </c>
      <c r="F150" s="23" t="str">
        <f ca="1">IF(A150="","",IF($B$10="Sí",interpolar_alamb(B150,OFFSET(Curvas_cupon_cero!$A$1,1,0,COUNT(Curvas_cupon_cero!$A:$A)-2,1),OFFSET(Curvas_cupon_cero!$A$1,1,MATCH($B$9,Curvas_cupon_cero!$1:$1,0)-1,COUNT(Curvas_cupon_cero!$A:$A)-2,1)),[1]!interpolar(B150,OFFSET(Curvas_cupon_cero!$A$1,1,0,COUNT(Curvas_cupon_cero!$A:$A)-2,1),OFFSET(Curvas_cupon_cero!$A$1,1,MATCH($B$9,Curvas_cupon_cero!$1:$1,0)-1,COUNT(Curvas_cupon_cero!$A:$A)-2,1))))</f>
        <v/>
      </c>
      <c r="G150" s="23" t="str">
        <f t="shared" si="24"/>
        <v/>
      </c>
      <c r="H150" s="20" t="str">
        <f t="shared" si="29"/>
        <v/>
      </c>
      <c r="I150" t="str">
        <f t="shared" si="25"/>
        <v/>
      </c>
      <c r="J150" s="17" t="str">
        <f t="shared" si="21"/>
        <v/>
      </c>
      <c r="K150" s="18" t="str">
        <f t="shared" si="26"/>
        <v/>
      </c>
      <c r="L150" t="str">
        <f t="shared" si="27"/>
        <v/>
      </c>
      <c r="M150" s="23" t="str">
        <f ca="1">IF(A150="","",IF($B$10="Sí",interpolar_alamb(L150,OFFSET(Curvas_cupon_cero!$A$1,1,0,COUNT(Curvas_cupon_cero!$A:$A)-2,1),OFFSET(Curvas_cupon_cero!$A$1,1,MATCH($B$6,Curvas_cupon_cero!$1:$1,0)-1,COUNT(Curvas_cupon_cero!$A:$A)-2,1)),[1]!interpolar(L150,OFFSET(Curvas_cupon_cero!$A$1,1,0,COUNT(Curvas_cupon_cero!$A:$A)-2,1),OFFSET(Curvas_cupon_cero!$A$1,1,MATCH($B$6,Curvas_cupon_cero!$1:$1,0)-1,COUNT(Curvas_cupon_cero!$A:$A)-2,1))))</f>
        <v/>
      </c>
      <c r="N150" s="23"/>
      <c r="O150" s="19" t="str">
        <f t="shared" si="28"/>
        <v/>
      </c>
    </row>
    <row r="151" spans="1:15" x14ac:dyDescent="0.2">
      <c r="A151" s="12" t="str">
        <f t="shared" si="22"/>
        <v/>
      </c>
      <c r="B151" t="str">
        <f t="shared" si="20"/>
        <v/>
      </c>
      <c r="C151" s="21" t="str">
        <f ca="1">IF(A151="","",IF($B$10="Sí",interpolar_alamb(B151,OFFSET(Curvas_cupon_cero!$A$1,1,0,COUNT(Curvas_cupon_cero!$A:$A)-2,1),OFFSET(Curvas_cupon_cero!$A$1,1,MATCH($B$8,Curvas_cupon_cero!$1:$1,0)-1,COUNT(Curvas_cupon_cero!$A:$A)-2,1)),[1]!interpolar(B151,OFFSET(Curvas_cupon_cero!$A$1,1,0,COUNT(Curvas_cupon_cero!$A:$A)-2,1),OFFSET(Curvas_cupon_cero!$A$1,1,MATCH($B$8,Curvas_cupon_cero!$1:$1,0)-1,COUNT(Curvas_cupon_cero!$A:$A)-2,1))))</f>
        <v/>
      </c>
      <c r="D151" s="23" t="str">
        <f ca="1">IF(A151="","",IF($B$10="Sí",interpolar_alamb(L151,OFFSET(Curvas_cupon_cero!$A$1,1,0,COUNT(Curvas_cupon_cero!$A:$A)-2,1),OFFSET(Curvas_cupon_cero!$A$1,1,MATCH($B$8,Curvas_cupon_cero!$1:$1,0)-1,COUNT(Curvas_cupon_cero!$A:$A)-2,1)),[1]!interpolar(L151,OFFSET(Curvas_cupon_cero!$A$1,1,0,COUNT(Curvas_cupon_cero!$A:$A)-2,1),OFFSET(Curvas_cupon_cero!$A$1,1,MATCH($B$8,Curvas_cupon_cero!$1:$1,0)-1,COUNT(Curvas_cupon_cero!$A:$A)-2,1))))</f>
        <v/>
      </c>
      <c r="E151" s="23" t="str">
        <f t="shared" si="23"/>
        <v/>
      </c>
      <c r="F151" s="23" t="str">
        <f ca="1">IF(A151="","",IF($B$10="Sí",interpolar_alamb(B151,OFFSET(Curvas_cupon_cero!$A$1,1,0,COUNT(Curvas_cupon_cero!$A:$A)-2,1),OFFSET(Curvas_cupon_cero!$A$1,1,MATCH($B$9,Curvas_cupon_cero!$1:$1,0)-1,COUNT(Curvas_cupon_cero!$A:$A)-2,1)),[1]!interpolar(B151,OFFSET(Curvas_cupon_cero!$A$1,1,0,COUNT(Curvas_cupon_cero!$A:$A)-2,1),OFFSET(Curvas_cupon_cero!$A$1,1,MATCH($B$9,Curvas_cupon_cero!$1:$1,0)-1,COUNT(Curvas_cupon_cero!$A:$A)-2,1))))</f>
        <v/>
      </c>
      <c r="G151" s="23" t="str">
        <f t="shared" si="24"/>
        <v/>
      </c>
      <c r="H151" s="20" t="str">
        <f t="shared" si="29"/>
        <v/>
      </c>
      <c r="I151" t="str">
        <f t="shared" si="25"/>
        <v/>
      </c>
      <c r="J151" s="17" t="str">
        <f t="shared" si="21"/>
        <v/>
      </c>
      <c r="K151" s="18" t="str">
        <f t="shared" si="26"/>
        <v/>
      </c>
      <c r="L151" t="str">
        <f t="shared" si="27"/>
        <v/>
      </c>
      <c r="M151" s="23" t="str">
        <f ca="1">IF(A151="","",IF($B$10="Sí",interpolar_alamb(L151,OFFSET(Curvas_cupon_cero!$A$1,1,0,COUNT(Curvas_cupon_cero!$A:$A)-2,1),OFFSET(Curvas_cupon_cero!$A$1,1,MATCH($B$6,Curvas_cupon_cero!$1:$1,0)-1,COUNT(Curvas_cupon_cero!$A:$A)-2,1)),[1]!interpolar(L151,OFFSET(Curvas_cupon_cero!$A$1,1,0,COUNT(Curvas_cupon_cero!$A:$A)-2,1),OFFSET(Curvas_cupon_cero!$A$1,1,MATCH($B$6,Curvas_cupon_cero!$1:$1,0)-1,COUNT(Curvas_cupon_cero!$A:$A)-2,1))))</f>
        <v/>
      </c>
      <c r="N151" s="23"/>
      <c r="O151" s="19" t="str">
        <f t="shared" si="28"/>
        <v/>
      </c>
    </row>
    <row r="152" spans="1:15" x14ac:dyDescent="0.2">
      <c r="A152" s="12" t="str">
        <f t="shared" si="22"/>
        <v/>
      </c>
      <c r="B152" t="str">
        <f t="shared" si="20"/>
        <v/>
      </c>
      <c r="C152" s="21" t="str">
        <f ca="1">IF(A152="","",IF($B$10="Sí",interpolar_alamb(B152,OFFSET(Curvas_cupon_cero!$A$1,1,0,COUNT(Curvas_cupon_cero!$A:$A)-2,1),OFFSET(Curvas_cupon_cero!$A$1,1,MATCH($B$8,Curvas_cupon_cero!$1:$1,0)-1,COUNT(Curvas_cupon_cero!$A:$A)-2,1)),[1]!interpolar(B152,OFFSET(Curvas_cupon_cero!$A$1,1,0,COUNT(Curvas_cupon_cero!$A:$A)-2,1),OFFSET(Curvas_cupon_cero!$A$1,1,MATCH($B$8,Curvas_cupon_cero!$1:$1,0)-1,COUNT(Curvas_cupon_cero!$A:$A)-2,1))))</f>
        <v/>
      </c>
      <c r="D152" s="23" t="str">
        <f ca="1">IF(A152="","",IF($B$10="Sí",interpolar_alamb(L152,OFFSET(Curvas_cupon_cero!$A$1,1,0,COUNT(Curvas_cupon_cero!$A:$A)-2,1),OFFSET(Curvas_cupon_cero!$A$1,1,MATCH($B$8,Curvas_cupon_cero!$1:$1,0)-1,COUNT(Curvas_cupon_cero!$A:$A)-2,1)),[1]!interpolar(L152,OFFSET(Curvas_cupon_cero!$A$1,1,0,COUNT(Curvas_cupon_cero!$A:$A)-2,1),OFFSET(Curvas_cupon_cero!$A$1,1,MATCH($B$8,Curvas_cupon_cero!$1:$1,0)-1,COUNT(Curvas_cupon_cero!$A:$A)-2,1))))</f>
        <v/>
      </c>
      <c r="E152" s="23" t="str">
        <f t="shared" si="23"/>
        <v/>
      </c>
      <c r="F152" s="23" t="str">
        <f ca="1">IF(A152="","",IF($B$10="Sí",interpolar_alamb(B152,OFFSET(Curvas_cupon_cero!$A$1,1,0,COUNT(Curvas_cupon_cero!$A:$A)-2,1),OFFSET(Curvas_cupon_cero!$A$1,1,MATCH($B$9,Curvas_cupon_cero!$1:$1,0)-1,COUNT(Curvas_cupon_cero!$A:$A)-2,1)),[1]!interpolar(B152,OFFSET(Curvas_cupon_cero!$A$1,1,0,COUNT(Curvas_cupon_cero!$A:$A)-2,1),OFFSET(Curvas_cupon_cero!$A$1,1,MATCH($B$9,Curvas_cupon_cero!$1:$1,0)-1,COUNT(Curvas_cupon_cero!$A:$A)-2,1))))</f>
        <v/>
      </c>
      <c r="G152" s="23" t="str">
        <f t="shared" si="24"/>
        <v/>
      </c>
      <c r="H152" s="20" t="str">
        <f t="shared" si="29"/>
        <v/>
      </c>
      <c r="I152" t="str">
        <f t="shared" si="25"/>
        <v/>
      </c>
      <c r="J152" s="17" t="str">
        <f t="shared" si="21"/>
        <v/>
      </c>
      <c r="K152" s="18" t="str">
        <f t="shared" si="26"/>
        <v/>
      </c>
      <c r="L152" t="str">
        <f t="shared" si="27"/>
        <v/>
      </c>
      <c r="M152" s="23" t="str">
        <f ca="1">IF(A152="","",IF($B$10="Sí",interpolar_alamb(L152,OFFSET(Curvas_cupon_cero!$A$1,1,0,COUNT(Curvas_cupon_cero!$A:$A)-2,1),OFFSET(Curvas_cupon_cero!$A$1,1,MATCH($B$6,Curvas_cupon_cero!$1:$1,0)-1,COUNT(Curvas_cupon_cero!$A:$A)-2,1)),[1]!interpolar(L152,OFFSET(Curvas_cupon_cero!$A$1,1,0,COUNT(Curvas_cupon_cero!$A:$A)-2,1),OFFSET(Curvas_cupon_cero!$A$1,1,MATCH($B$6,Curvas_cupon_cero!$1:$1,0)-1,COUNT(Curvas_cupon_cero!$A:$A)-2,1))))</f>
        <v/>
      </c>
      <c r="N152" s="23"/>
      <c r="O152" s="19" t="str">
        <f t="shared" si="28"/>
        <v/>
      </c>
    </row>
    <row r="153" spans="1:15" x14ac:dyDescent="0.2">
      <c r="A153" s="12" t="str">
        <f t="shared" si="22"/>
        <v/>
      </c>
      <c r="B153" t="str">
        <f t="shared" si="20"/>
        <v/>
      </c>
      <c r="C153" s="21" t="str">
        <f ca="1">IF(A153="","",IF($B$10="Sí",interpolar_alamb(B153,OFFSET(Curvas_cupon_cero!$A$1,1,0,COUNT(Curvas_cupon_cero!$A:$A)-2,1),OFFSET(Curvas_cupon_cero!$A$1,1,MATCH($B$8,Curvas_cupon_cero!$1:$1,0)-1,COUNT(Curvas_cupon_cero!$A:$A)-2,1)),[1]!interpolar(B153,OFFSET(Curvas_cupon_cero!$A$1,1,0,COUNT(Curvas_cupon_cero!$A:$A)-2,1),OFFSET(Curvas_cupon_cero!$A$1,1,MATCH($B$8,Curvas_cupon_cero!$1:$1,0)-1,COUNT(Curvas_cupon_cero!$A:$A)-2,1))))</f>
        <v/>
      </c>
      <c r="D153" s="23" t="str">
        <f ca="1">IF(A153="","",IF($B$10="Sí",interpolar_alamb(L153,OFFSET(Curvas_cupon_cero!$A$1,1,0,COUNT(Curvas_cupon_cero!$A:$A)-2,1),OFFSET(Curvas_cupon_cero!$A$1,1,MATCH($B$8,Curvas_cupon_cero!$1:$1,0)-1,COUNT(Curvas_cupon_cero!$A:$A)-2,1)),[1]!interpolar(L153,OFFSET(Curvas_cupon_cero!$A$1,1,0,COUNT(Curvas_cupon_cero!$A:$A)-2,1),OFFSET(Curvas_cupon_cero!$A$1,1,MATCH($B$8,Curvas_cupon_cero!$1:$1,0)-1,COUNT(Curvas_cupon_cero!$A:$A)-2,1))))</f>
        <v/>
      </c>
      <c r="E153" s="23" t="str">
        <f t="shared" si="23"/>
        <v/>
      </c>
      <c r="F153" s="23" t="str">
        <f ca="1">IF(A153="","",IF($B$10="Sí",interpolar_alamb(B153,OFFSET(Curvas_cupon_cero!$A$1,1,0,COUNT(Curvas_cupon_cero!$A:$A)-2,1),OFFSET(Curvas_cupon_cero!$A$1,1,MATCH($B$9,Curvas_cupon_cero!$1:$1,0)-1,COUNT(Curvas_cupon_cero!$A:$A)-2,1)),[1]!interpolar(B153,OFFSET(Curvas_cupon_cero!$A$1,1,0,COUNT(Curvas_cupon_cero!$A:$A)-2,1),OFFSET(Curvas_cupon_cero!$A$1,1,MATCH($B$9,Curvas_cupon_cero!$1:$1,0)-1,COUNT(Curvas_cupon_cero!$A:$A)-2,1))))</f>
        <v/>
      </c>
      <c r="G153" s="23" t="str">
        <f t="shared" si="24"/>
        <v/>
      </c>
      <c r="H153" s="20" t="str">
        <f t="shared" si="29"/>
        <v/>
      </c>
      <c r="I153" t="str">
        <f t="shared" si="25"/>
        <v/>
      </c>
      <c r="J153" s="17" t="str">
        <f t="shared" si="21"/>
        <v/>
      </c>
      <c r="K153" s="18" t="str">
        <f t="shared" si="26"/>
        <v/>
      </c>
      <c r="L153" t="str">
        <f t="shared" si="27"/>
        <v/>
      </c>
      <c r="M153" s="23" t="str">
        <f ca="1">IF(A153="","",IF($B$10="Sí",interpolar_alamb(L153,OFFSET(Curvas_cupon_cero!$A$1,1,0,COUNT(Curvas_cupon_cero!$A:$A)-2,1),OFFSET(Curvas_cupon_cero!$A$1,1,MATCH($B$6,Curvas_cupon_cero!$1:$1,0)-1,COUNT(Curvas_cupon_cero!$A:$A)-2,1)),[1]!interpolar(L153,OFFSET(Curvas_cupon_cero!$A$1,1,0,COUNT(Curvas_cupon_cero!$A:$A)-2,1),OFFSET(Curvas_cupon_cero!$A$1,1,MATCH($B$6,Curvas_cupon_cero!$1:$1,0)-1,COUNT(Curvas_cupon_cero!$A:$A)-2,1))))</f>
        <v/>
      </c>
      <c r="N153" s="23"/>
      <c r="O153" s="19" t="str">
        <f t="shared" si="28"/>
        <v/>
      </c>
    </row>
    <row r="154" spans="1:15" x14ac:dyDescent="0.2">
      <c r="A154" s="12" t="str">
        <f t="shared" si="22"/>
        <v/>
      </c>
      <c r="B154" t="str">
        <f t="shared" si="20"/>
        <v/>
      </c>
      <c r="C154" s="21" t="str">
        <f ca="1">IF(A154="","",IF($B$10="Sí",interpolar_alamb(B154,OFFSET(Curvas_cupon_cero!$A$1,1,0,COUNT(Curvas_cupon_cero!$A:$A)-2,1),OFFSET(Curvas_cupon_cero!$A$1,1,MATCH($B$8,Curvas_cupon_cero!$1:$1,0)-1,COUNT(Curvas_cupon_cero!$A:$A)-2,1)),[1]!interpolar(B154,OFFSET(Curvas_cupon_cero!$A$1,1,0,COUNT(Curvas_cupon_cero!$A:$A)-2,1),OFFSET(Curvas_cupon_cero!$A$1,1,MATCH($B$8,Curvas_cupon_cero!$1:$1,0)-1,COUNT(Curvas_cupon_cero!$A:$A)-2,1))))</f>
        <v/>
      </c>
      <c r="D154" s="23" t="str">
        <f ca="1">IF(A154="","",IF($B$10="Sí",interpolar_alamb(L154,OFFSET(Curvas_cupon_cero!$A$1,1,0,COUNT(Curvas_cupon_cero!$A:$A)-2,1),OFFSET(Curvas_cupon_cero!$A$1,1,MATCH($B$8,Curvas_cupon_cero!$1:$1,0)-1,COUNT(Curvas_cupon_cero!$A:$A)-2,1)),[1]!interpolar(L154,OFFSET(Curvas_cupon_cero!$A$1,1,0,COUNT(Curvas_cupon_cero!$A:$A)-2,1),OFFSET(Curvas_cupon_cero!$A$1,1,MATCH($B$8,Curvas_cupon_cero!$1:$1,0)-1,COUNT(Curvas_cupon_cero!$A:$A)-2,1))))</f>
        <v/>
      </c>
      <c r="E154" s="23" t="str">
        <f t="shared" si="23"/>
        <v/>
      </c>
      <c r="F154" s="23" t="str">
        <f ca="1">IF(A154="","",IF($B$10="Sí",interpolar_alamb(B154,OFFSET(Curvas_cupon_cero!$A$1,1,0,COUNT(Curvas_cupon_cero!$A:$A)-2,1),OFFSET(Curvas_cupon_cero!$A$1,1,MATCH($B$9,Curvas_cupon_cero!$1:$1,0)-1,COUNT(Curvas_cupon_cero!$A:$A)-2,1)),[1]!interpolar(B154,OFFSET(Curvas_cupon_cero!$A$1,1,0,COUNT(Curvas_cupon_cero!$A:$A)-2,1),OFFSET(Curvas_cupon_cero!$A$1,1,MATCH($B$9,Curvas_cupon_cero!$1:$1,0)-1,COUNT(Curvas_cupon_cero!$A:$A)-2,1))))</f>
        <v/>
      </c>
      <c r="G154" s="23" t="str">
        <f t="shared" si="24"/>
        <v/>
      </c>
      <c r="H154" s="20" t="str">
        <f t="shared" si="29"/>
        <v/>
      </c>
      <c r="I154" t="str">
        <f t="shared" si="25"/>
        <v/>
      </c>
      <c r="J154" s="17" t="str">
        <f t="shared" si="21"/>
        <v/>
      </c>
      <c r="K154" s="18" t="str">
        <f t="shared" si="26"/>
        <v/>
      </c>
      <c r="L154" t="str">
        <f t="shared" si="27"/>
        <v/>
      </c>
      <c r="M154" s="23" t="str">
        <f ca="1">IF(A154="","",IF($B$10="Sí",interpolar_alamb(L154,OFFSET(Curvas_cupon_cero!$A$1,1,0,COUNT(Curvas_cupon_cero!$A:$A)-2,1),OFFSET(Curvas_cupon_cero!$A$1,1,MATCH($B$6,Curvas_cupon_cero!$1:$1,0)-1,COUNT(Curvas_cupon_cero!$A:$A)-2,1)),[1]!interpolar(L154,OFFSET(Curvas_cupon_cero!$A$1,1,0,COUNT(Curvas_cupon_cero!$A:$A)-2,1),OFFSET(Curvas_cupon_cero!$A$1,1,MATCH($B$6,Curvas_cupon_cero!$1:$1,0)-1,COUNT(Curvas_cupon_cero!$A:$A)-2,1))))</f>
        <v/>
      </c>
      <c r="N154" s="23"/>
      <c r="O154" s="19" t="str">
        <f t="shared" si="28"/>
        <v/>
      </c>
    </row>
    <row r="155" spans="1:15" x14ac:dyDescent="0.2">
      <c r="A155" s="12" t="str">
        <f t="shared" si="22"/>
        <v/>
      </c>
      <c r="B155" t="str">
        <f t="shared" si="20"/>
        <v/>
      </c>
      <c r="C155" s="21" t="str">
        <f ca="1">IF(A155="","",IF($B$10="Sí",interpolar_alamb(B155,OFFSET(Curvas_cupon_cero!$A$1,1,0,COUNT(Curvas_cupon_cero!$A:$A)-2,1),OFFSET(Curvas_cupon_cero!$A$1,1,MATCH($B$8,Curvas_cupon_cero!$1:$1,0)-1,COUNT(Curvas_cupon_cero!$A:$A)-2,1)),[1]!interpolar(B155,OFFSET(Curvas_cupon_cero!$A$1,1,0,COUNT(Curvas_cupon_cero!$A:$A)-2,1),OFFSET(Curvas_cupon_cero!$A$1,1,MATCH($B$8,Curvas_cupon_cero!$1:$1,0)-1,COUNT(Curvas_cupon_cero!$A:$A)-2,1))))</f>
        <v/>
      </c>
      <c r="D155" s="23" t="str">
        <f ca="1">IF(A155="","",IF($B$10="Sí",interpolar_alamb(L155,OFFSET(Curvas_cupon_cero!$A$1,1,0,COUNT(Curvas_cupon_cero!$A:$A)-2,1),OFFSET(Curvas_cupon_cero!$A$1,1,MATCH($B$8,Curvas_cupon_cero!$1:$1,0)-1,COUNT(Curvas_cupon_cero!$A:$A)-2,1)),[1]!interpolar(L155,OFFSET(Curvas_cupon_cero!$A$1,1,0,COUNT(Curvas_cupon_cero!$A:$A)-2,1),OFFSET(Curvas_cupon_cero!$A$1,1,MATCH($B$8,Curvas_cupon_cero!$1:$1,0)-1,COUNT(Curvas_cupon_cero!$A:$A)-2,1))))</f>
        <v/>
      </c>
      <c r="E155" s="23" t="str">
        <f t="shared" si="23"/>
        <v/>
      </c>
      <c r="F155" s="23" t="str">
        <f ca="1">IF(A155="","",IF($B$10="Sí",interpolar_alamb(B155,OFFSET(Curvas_cupon_cero!$A$1,1,0,COUNT(Curvas_cupon_cero!$A:$A)-2,1),OFFSET(Curvas_cupon_cero!$A$1,1,MATCH($B$9,Curvas_cupon_cero!$1:$1,0)-1,COUNT(Curvas_cupon_cero!$A:$A)-2,1)),[1]!interpolar(B155,OFFSET(Curvas_cupon_cero!$A$1,1,0,COUNT(Curvas_cupon_cero!$A:$A)-2,1),OFFSET(Curvas_cupon_cero!$A$1,1,MATCH($B$9,Curvas_cupon_cero!$1:$1,0)-1,COUNT(Curvas_cupon_cero!$A:$A)-2,1))))</f>
        <v/>
      </c>
      <c r="G155" s="23" t="str">
        <f t="shared" si="24"/>
        <v/>
      </c>
      <c r="H155" s="20" t="str">
        <f t="shared" si="29"/>
        <v/>
      </c>
      <c r="I155" t="str">
        <f t="shared" si="25"/>
        <v/>
      </c>
      <c r="J155" s="17" t="str">
        <f t="shared" si="21"/>
        <v/>
      </c>
      <c r="K155" s="18" t="str">
        <f t="shared" si="26"/>
        <v/>
      </c>
      <c r="L155" t="str">
        <f t="shared" si="27"/>
        <v/>
      </c>
      <c r="M155" s="23" t="str">
        <f ca="1">IF(A155="","",IF($B$10="Sí",interpolar_alamb(L155,OFFSET(Curvas_cupon_cero!$A$1,1,0,COUNT(Curvas_cupon_cero!$A:$A)-2,1),OFFSET(Curvas_cupon_cero!$A$1,1,MATCH($B$6,Curvas_cupon_cero!$1:$1,0)-1,COUNT(Curvas_cupon_cero!$A:$A)-2,1)),[1]!interpolar(L155,OFFSET(Curvas_cupon_cero!$A$1,1,0,COUNT(Curvas_cupon_cero!$A:$A)-2,1),OFFSET(Curvas_cupon_cero!$A$1,1,MATCH($B$6,Curvas_cupon_cero!$1:$1,0)-1,COUNT(Curvas_cupon_cero!$A:$A)-2,1))))</f>
        <v/>
      </c>
      <c r="N155" s="23"/>
      <c r="O155" s="19" t="str">
        <f t="shared" si="28"/>
        <v/>
      </c>
    </row>
    <row r="156" spans="1:15" x14ac:dyDescent="0.2">
      <c r="A156" s="12" t="str">
        <f t="shared" si="22"/>
        <v/>
      </c>
      <c r="B156" t="str">
        <f t="shared" si="20"/>
        <v/>
      </c>
      <c r="C156" s="21" t="str">
        <f ca="1">IF(A156="","",IF($B$10="Sí",interpolar_alamb(B156,OFFSET(Curvas_cupon_cero!$A$1,1,0,COUNT(Curvas_cupon_cero!$A:$A)-2,1),OFFSET(Curvas_cupon_cero!$A$1,1,MATCH($B$8,Curvas_cupon_cero!$1:$1,0)-1,COUNT(Curvas_cupon_cero!$A:$A)-2,1)),[1]!interpolar(B156,OFFSET(Curvas_cupon_cero!$A$1,1,0,COUNT(Curvas_cupon_cero!$A:$A)-2,1),OFFSET(Curvas_cupon_cero!$A$1,1,MATCH($B$8,Curvas_cupon_cero!$1:$1,0)-1,COUNT(Curvas_cupon_cero!$A:$A)-2,1))))</f>
        <v/>
      </c>
      <c r="D156" s="23" t="str">
        <f ca="1">IF(A156="","",IF($B$10="Sí",interpolar_alamb(L156,OFFSET(Curvas_cupon_cero!$A$1,1,0,COUNT(Curvas_cupon_cero!$A:$A)-2,1),OFFSET(Curvas_cupon_cero!$A$1,1,MATCH($B$8,Curvas_cupon_cero!$1:$1,0)-1,COUNT(Curvas_cupon_cero!$A:$A)-2,1)),[1]!interpolar(L156,OFFSET(Curvas_cupon_cero!$A$1,1,0,COUNT(Curvas_cupon_cero!$A:$A)-2,1),OFFSET(Curvas_cupon_cero!$A$1,1,MATCH($B$8,Curvas_cupon_cero!$1:$1,0)-1,COUNT(Curvas_cupon_cero!$A:$A)-2,1))))</f>
        <v/>
      </c>
      <c r="E156" s="23" t="str">
        <f t="shared" si="23"/>
        <v/>
      </c>
      <c r="F156" s="23" t="str">
        <f ca="1">IF(A156="","",IF($B$10="Sí",interpolar_alamb(B156,OFFSET(Curvas_cupon_cero!$A$1,1,0,COUNT(Curvas_cupon_cero!$A:$A)-2,1),OFFSET(Curvas_cupon_cero!$A$1,1,MATCH($B$9,Curvas_cupon_cero!$1:$1,0)-1,COUNT(Curvas_cupon_cero!$A:$A)-2,1)),[1]!interpolar(B156,OFFSET(Curvas_cupon_cero!$A$1,1,0,COUNT(Curvas_cupon_cero!$A:$A)-2,1),OFFSET(Curvas_cupon_cero!$A$1,1,MATCH($B$9,Curvas_cupon_cero!$1:$1,0)-1,COUNT(Curvas_cupon_cero!$A:$A)-2,1))))</f>
        <v/>
      </c>
      <c r="G156" s="23" t="str">
        <f t="shared" si="24"/>
        <v/>
      </c>
      <c r="H156" s="20" t="str">
        <f t="shared" si="29"/>
        <v/>
      </c>
      <c r="I156" t="str">
        <f t="shared" si="25"/>
        <v/>
      </c>
      <c r="J156" s="17" t="str">
        <f t="shared" si="21"/>
        <v/>
      </c>
      <c r="K156" s="18" t="str">
        <f t="shared" si="26"/>
        <v/>
      </c>
      <c r="L156" t="str">
        <f t="shared" si="27"/>
        <v/>
      </c>
      <c r="M156" s="23" t="str">
        <f ca="1">IF(A156="","",IF($B$10="Sí",interpolar_alamb(L156,OFFSET(Curvas_cupon_cero!$A$1,1,0,COUNT(Curvas_cupon_cero!$A:$A)-2,1),OFFSET(Curvas_cupon_cero!$A$1,1,MATCH($B$6,Curvas_cupon_cero!$1:$1,0)-1,COUNT(Curvas_cupon_cero!$A:$A)-2,1)),[1]!interpolar(L156,OFFSET(Curvas_cupon_cero!$A$1,1,0,COUNT(Curvas_cupon_cero!$A:$A)-2,1),OFFSET(Curvas_cupon_cero!$A$1,1,MATCH($B$6,Curvas_cupon_cero!$1:$1,0)-1,COUNT(Curvas_cupon_cero!$A:$A)-2,1))))</f>
        <v/>
      </c>
      <c r="N156" s="23"/>
      <c r="O156" s="19" t="str">
        <f t="shared" si="28"/>
        <v/>
      </c>
    </row>
    <row r="157" spans="1:15" x14ac:dyDescent="0.2">
      <c r="A157" s="12" t="str">
        <f t="shared" si="22"/>
        <v/>
      </c>
      <c r="B157" t="str">
        <f t="shared" si="20"/>
        <v/>
      </c>
      <c r="C157" s="21" t="str">
        <f ca="1">IF(A157="","",IF($B$10="Sí",interpolar_alamb(B157,OFFSET(Curvas_cupon_cero!$A$1,1,0,COUNT(Curvas_cupon_cero!$A:$A)-2,1),OFFSET(Curvas_cupon_cero!$A$1,1,MATCH($B$8,Curvas_cupon_cero!$1:$1,0)-1,COUNT(Curvas_cupon_cero!$A:$A)-2,1)),[1]!interpolar(B157,OFFSET(Curvas_cupon_cero!$A$1,1,0,COUNT(Curvas_cupon_cero!$A:$A)-2,1),OFFSET(Curvas_cupon_cero!$A$1,1,MATCH($B$8,Curvas_cupon_cero!$1:$1,0)-1,COUNT(Curvas_cupon_cero!$A:$A)-2,1))))</f>
        <v/>
      </c>
      <c r="D157" s="23" t="str">
        <f ca="1">IF(A157="","",IF($B$10="Sí",interpolar_alamb(L157,OFFSET(Curvas_cupon_cero!$A$1,1,0,COUNT(Curvas_cupon_cero!$A:$A)-2,1),OFFSET(Curvas_cupon_cero!$A$1,1,MATCH($B$8,Curvas_cupon_cero!$1:$1,0)-1,COUNT(Curvas_cupon_cero!$A:$A)-2,1)),[1]!interpolar(L157,OFFSET(Curvas_cupon_cero!$A$1,1,0,COUNT(Curvas_cupon_cero!$A:$A)-2,1),OFFSET(Curvas_cupon_cero!$A$1,1,MATCH($B$8,Curvas_cupon_cero!$1:$1,0)-1,COUNT(Curvas_cupon_cero!$A:$A)-2,1))))</f>
        <v/>
      </c>
      <c r="E157" s="23" t="str">
        <f t="shared" si="23"/>
        <v/>
      </c>
      <c r="F157" s="23" t="str">
        <f ca="1">IF(A157="","",IF($B$10="Sí",interpolar_alamb(B157,OFFSET(Curvas_cupon_cero!$A$1,1,0,COUNT(Curvas_cupon_cero!$A:$A)-2,1),OFFSET(Curvas_cupon_cero!$A$1,1,MATCH($B$9,Curvas_cupon_cero!$1:$1,0)-1,COUNT(Curvas_cupon_cero!$A:$A)-2,1)),[1]!interpolar(B157,OFFSET(Curvas_cupon_cero!$A$1,1,0,COUNT(Curvas_cupon_cero!$A:$A)-2,1),OFFSET(Curvas_cupon_cero!$A$1,1,MATCH($B$9,Curvas_cupon_cero!$1:$1,0)-1,COUNT(Curvas_cupon_cero!$A:$A)-2,1))))</f>
        <v/>
      </c>
      <c r="G157" s="23" t="str">
        <f t="shared" si="24"/>
        <v/>
      </c>
      <c r="H157" s="20" t="str">
        <f t="shared" si="29"/>
        <v/>
      </c>
      <c r="I157" t="str">
        <f t="shared" si="25"/>
        <v/>
      </c>
      <c r="J157" s="17" t="str">
        <f t="shared" si="21"/>
        <v/>
      </c>
      <c r="K157" s="18" t="str">
        <f t="shared" si="26"/>
        <v/>
      </c>
      <c r="L157" t="str">
        <f t="shared" si="27"/>
        <v/>
      </c>
      <c r="M157" s="23" t="str">
        <f ca="1">IF(A157="","",IF($B$10="Sí",interpolar_alamb(L157,OFFSET(Curvas_cupon_cero!$A$1,1,0,COUNT(Curvas_cupon_cero!$A:$A)-2,1),OFFSET(Curvas_cupon_cero!$A$1,1,MATCH($B$6,Curvas_cupon_cero!$1:$1,0)-1,COUNT(Curvas_cupon_cero!$A:$A)-2,1)),[1]!interpolar(L157,OFFSET(Curvas_cupon_cero!$A$1,1,0,COUNT(Curvas_cupon_cero!$A:$A)-2,1),OFFSET(Curvas_cupon_cero!$A$1,1,MATCH($B$6,Curvas_cupon_cero!$1:$1,0)-1,COUNT(Curvas_cupon_cero!$A:$A)-2,1))))</f>
        <v/>
      </c>
      <c r="N157" s="23"/>
      <c r="O157" s="19" t="str">
        <f t="shared" si="28"/>
        <v/>
      </c>
    </row>
    <row r="158" spans="1:15" x14ac:dyDescent="0.2">
      <c r="A158" s="12" t="str">
        <f t="shared" si="22"/>
        <v/>
      </c>
      <c r="B158" t="str">
        <f t="shared" si="20"/>
        <v/>
      </c>
      <c r="C158" s="21" t="str">
        <f ca="1">IF(A158="","",IF($B$10="Sí",interpolar_alamb(B158,OFFSET(Curvas_cupon_cero!$A$1,1,0,COUNT(Curvas_cupon_cero!$A:$A)-2,1),OFFSET(Curvas_cupon_cero!$A$1,1,MATCH($B$8,Curvas_cupon_cero!$1:$1,0)-1,COUNT(Curvas_cupon_cero!$A:$A)-2,1)),[1]!interpolar(B158,OFFSET(Curvas_cupon_cero!$A$1,1,0,COUNT(Curvas_cupon_cero!$A:$A)-2,1),OFFSET(Curvas_cupon_cero!$A$1,1,MATCH($B$8,Curvas_cupon_cero!$1:$1,0)-1,COUNT(Curvas_cupon_cero!$A:$A)-2,1))))</f>
        <v/>
      </c>
      <c r="D158" s="23" t="str">
        <f ca="1">IF(A158="","",IF($B$10="Sí",interpolar_alamb(L158,OFFSET(Curvas_cupon_cero!$A$1,1,0,COUNT(Curvas_cupon_cero!$A:$A)-2,1),OFFSET(Curvas_cupon_cero!$A$1,1,MATCH($B$8,Curvas_cupon_cero!$1:$1,0)-1,COUNT(Curvas_cupon_cero!$A:$A)-2,1)),[1]!interpolar(L158,OFFSET(Curvas_cupon_cero!$A$1,1,0,COUNT(Curvas_cupon_cero!$A:$A)-2,1),OFFSET(Curvas_cupon_cero!$A$1,1,MATCH($B$8,Curvas_cupon_cero!$1:$1,0)-1,COUNT(Curvas_cupon_cero!$A:$A)-2,1))))</f>
        <v/>
      </c>
      <c r="E158" s="23" t="str">
        <f t="shared" si="23"/>
        <v/>
      </c>
      <c r="F158" s="23" t="str">
        <f ca="1">IF(A158="","",IF($B$10="Sí",interpolar_alamb(B158,OFFSET(Curvas_cupon_cero!$A$1,1,0,COUNT(Curvas_cupon_cero!$A:$A)-2,1),OFFSET(Curvas_cupon_cero!$A$1,1,MATCH($B$9,Curvas_cupon_cero!$1:$1,0)-1,COUNT(Curvas_cupon_cero!$A:$A)-2,1)),[1]!interpolar(B158,OFFSET(Curvas_cupon_cero!$A$1,1,0,COUNT(Curvas_cupon_cero!$A:$A)-2,1),OFFSET(Curvas_cupon_cero!$A$1,1,MATCH($B$9,Curvas_cupon_cero!$1:$1,0)-1,COUNT(Curvas_cupon_cero!$A:$A)-2,1))))</f>
        <v/>
      </c>
      <c r="G158" s="23" t="str">
        <f t="shared" si="24"/>
        <v/>
      </c>
      <c r="H158" s="20" t="str">
        <f t="shared" si="29"/>
        <v/>
      </c>
      <c r="I158" t="str">
        <f t="shared" si="25"/>
        <v/>
      </c>
      <c r="J158" s="17" t="str">
        <f t="shared" si="21"/>
        <v/>
      </c>
      <c r="K158" s="18" t="str">
        <f t="shared" si="26"/>
        <v/>
      </c>
      <c r="L158" t="str">
        <f t="shared" si="27"/>
        <v/>
      </c>
      <c r="M158" s="23" t="str">
        <f ca="1">IF(A158="","",IF($B$10="Sí",interpolar_alamb(L158,OFFSET(Curvas_cupon_cero!$A$1,1,0,COUNT(Curvas_cupon_cero!$A:$A)-2,1),OFFSET(Curvas_cupon_cero!$A$1,1,MATCH($B$6,Curvas_cupon_cero!$1:$1,0)-1,COUNT(Curvas_cupon_cero!$A:$A)-2,1)),[1]!interpolar(L158,OFFSET(Curvas_cupon_cero!$A$1,1,0,COUNT(Curvas_cupon_cero!$A:$A)-2,1),OFFSET(Curvas_cupon_cero!$A$1,1,MATCH($B$6,Curvas_cupon_cero!$1:$1,0)-1,COUNT(Curvas_cupon_cero!$A:$A)-2,1))))</f>
        <v/>
      </c>
      <c r="N158" s="23"/>
      <c r="O158" s="19" t="str">
        <f t="shared" si="28"/>
        <v/>
      </c>
    </row>
    <row r="159" spans="1:15" x14ac:dyDescent="0.2">
      <c r="A159" s="12" t="str">
        <f t="shared" si="22"/>
        <v/>
      </c>
      <c r="B159" t="str">
        <f t="shared" si="20"/>
        <v/>
      </c>
      <c r="C159" s="21" t="str">
        <f ca="1">IF(A159="","",IF($B$10="Sí",interpolar_alamb(B159,OFFSET(Curvas_cupon_cero!$A$1,1,0,COUNT(Curvas_cupon_cero!$A:$A)-2,1),OFFSET(Curvas_cupon_cero!$A$1,1,MATCH($B$8,Curvas_cupon_cero!$1:$1,0)-1,COUNT(Curvas_cupon_cero!$A:$A)-2,1)),[1]!interpolar(B159,OFFSET(Curvas_cupon_cero!$A$1,1,0,COUNT(Curvas_cupon_cero!$A:$A)-2,1),OFFSET(Curvas_cupon_cero!$A$1,1,MATCH($B$8,Curvas_cupon_cero!$1:$1,0)-1,COUNT(Curvas_cupon_cero!$A:$A)-2,1))))</f>
        <v/>
      </c>
      <c r="D159" s="23" t="str">
        <f ca="1">IF(A159="","",IF($B$10="Sí",interpolar_alamb(L159,OFFSET(Curvas_cupon_cero!$A$1,1,0,COUNT(Curvas_cupon_cero!$A:$A)-2,1),OFFSET(Curvas_cupon_cero!$A$1,1,MATCH($B$8,Curvas_cupon_cero!$1:$1,0)-1,COUNT(Curvas_cupon_cero!$A:$A)-2,1)),[1]!interpolar(L159,OFFSET(Curvas_cupon_cero!$A$1,1,0,COUNT(Curvas_cupon_cero!$A:$A)-2,1),OFFSET(Curvas_cupon_cero!$A$1,1,MATCH($B$8,Curvas_cupon_cero!$1:$1,0)-1,COUNT(Curvas_cupon_cero!$A:$A)-2,1))))</f>
        <v/>
      </c>
      <c r="E159" s="23" t="str">
        <f t="shared" si="23"/>
        <v/>
      </c>
      <c r="F159" s="23" t="str">
        <f ca="1">IF(A159="","",IF($B$10="Sí",interpolar_alamb(B159,OFFSET(Curvas_cupon_cero!$A$1,1,0,COUNT(Curvas_cupon_cero!$A:$A)-2,1),OFFSET(Curvas_cupon_cero!$A$1,1,MATCH($B$9,Curvas_cupon_cero!$1:$1,0)-1,COUNT(Curvas_cupon_cero!$A:$A)-2,1)),[1]!interpolar(B159,OFFSET(Curvas_cupon_cero!$A$1,1,0,COUNT(Curvas_cupon_cero!$A:$A)-2,1),OFFSET(Curvas_cupon_cero!$A$1,1,MATCH($B$9,Curvas_cupon_cero!$1:$1,0)-1,COUNT(Curvas_cupon_cero!$A:$A)-2,1))))</f>
        <v/>
      </c>
      <c r="G159" s="23" t="str">
        <f t="shared" si="24"/>
        <v/>
      </c>
      <c r="H159" s="20" t="str">
        <f t="shared" si="29"/>
        <v/>
      </c>
      <c r="I159" t="str">
        <f t="shared" si="25"/>
        <v/>
      </c>
      <c r="J159" s="17" t="str">
        <f t="shared" si="21"/>
        <v/>
      </c>
      <c r="K159" s="18" t="str">
        <f t="shared" si="26"/>
        <v/>
      </c>
      <c r="L159" t="str">
        <f t="shared" si="27"/>
        <v/>
      </c>
      <c r="M159" s="23" t="str">
        <f ca="1">IF(A159="","",IF($B$10="Sí",interpolar_alamb(L159,OFFSET(Curvas_cupon_cero!$A$1,1,0,COUNT(Curvas_cupon_cero!$A:$A)-2,1),OFFSET(Curvas_cupon_cero!$A$1,1,MATCH($B$6,Curvas_cupon_cero!$1:$1,0)-1,COUNT(Curvas_cupon_cero!$A:$A)-2,1)),[1]!interpolar(L159,OFFSET(Curvas_cupon_cero!$A$1,1,0,COUNT(Curvas_cupon_cero!$A:$A)-2,1),OFFSET(Curvas_cupon_cero!$A$1,1,MATCH($B$6,Curvas_cupon_cero!$1:$1,0)-1,COUNT(Curvas_cupon_cero!$A:$A)-2,1))))</f>
        <v/>
      </c>
      <c r="N159" s="23"/>
      <c r="O159" s="19" t="str">
        <f t="shared" si="28"/>
        <v/>
      </c>
    </row>
    <row r="160" spans="1:15" x14ac:dyDescent="0.2">
      <c r="A160" s="12" t="str">
        <f t="shared" si="22"/>
        <v/>
      </c>
      <c r="B160" t="str">
        <f t="shared" si="20"/>
        <v/>
      </c>
      <c r="C160" s="21" t="str">
        <f ca="1">IF(A160="","",IF($B$10="Sí",interpolar_alamb(B160,OFFSET(Curvas_cupon_cero!$A$1,1,0,COUNT(Curvas_cupon_cero!$A:$A)-2,1),OFFSET(Curvas_cupon_cero!$A$1,1,MATCH($B$8,Curvas_cupon_cero!$1:$1,0)-1,COUNT(Curvas_cupon_cero!$A:$A)-2,1)),[1]!interpolar(B160,OFFSET(Curvas_cupon_cero!$A$1,1,0,COUNT(Curvas_cupon_cero!$A:$A)-2,1),OFFSET(Curvas_cupon_cero!$A$1,1,MATCH($B$8,Curvas_cupon_cero!$1:$1,0)-1,COUNT(Curvas_cupon_cero!$A:$A)-2,1))))</f>
        <v/>
      </c>
      <c r="D160" s="23" t="str">
        <f ca="1">IF(A160="","",IF($B$10="Sí",interpolar_alamb(L160,OFFSET(Curvas_cupon_cero!$A$1,1,0,COUNT(Curvas_cupon_cero!$A:$A)-2,1),OFFSET(Curvas_cupon_cero!$A$1,1,MATCH($B$8,Curvas_cupon_cero!$1:$1,0)-1,COUNT(Curvas_cupon_cero!$A:$A)-2,1)),[1]!interpolar(L160,OFFSET(Curvas_cupon_cero!$A$1,1,0,COUNT(Curvas_cupon_cero!$A:$A)-2,1),OFFSET(Curvas_cupon_cero!$A$1,1,MATCH($B$8,Curvas_cupon_cero!$1:$1,0)-1,COUNT(Curvas_cupon_cero!$A:$A)-2,1))))</f>
        <v/>
      </c>
      <c r="E160" s="23" t="str">
        <f t="shared" si="23"/>
        <v/>
      </c>
      <c r="F160" s="23" t="str">
        <f ca="1">IF(A160="","",IF($B$10="Sí",interpolar_alamb(B160,OFFSET(Curvas_cupon_cero!$A$1,1,0,COUNT(Curvas_cupon_cero!$A:$A)-2,1),OFFSET(Curvas_cupon_cero!$A$1,1,MATCH($B$9,Curvas_cupon_cero!$1:$1,0)-1,COUNT(Curvas_cupon_cero!$A:$A)-2,1)),[1]!interpolar(B160,OFFSET(Curvas_cupon_cero!$A$1,1,0,COUNT(Curvas_cupon_cero!$A:$A)-2,1),OFFSET(Curvas_cupon_cero!$A$1,1,MATCH($B$9,Curvas_cupon_cero!$1:$1,0)-1,COUNT(Curvas_cupon_cero!$A:$A)-2,1))))</f>
        <v/>
      </c>
      <c r="G160" s="23" t="str">
        <f t="shared" si="24"/>
        <v/>
      </c>
      <c r="H160" s="20" t="str">
        <f t="shared" si="29"/>
        <v/>
      </c>
      <c r="I160" t="str">
        <f t="shared" si="25"/>
        <v/>
      </c>
      <c r="J160" s="17" t="str">
        <f t="shared" si="21"/>
        <v/>
      </c>
      <c r="K160" s="18" t="str">
        <f t="shared" si="26"/>
        <v/>
      </c>
      <c r="L160" t="str">
        <f t="shared" si="27"/>
        <v/>
      </c>
      <c r="M160" s="23" t="str">
        <f ca="1">IF(A160="","",IF($B$10="Sí",interpolar_alamb(L160,OFFSET(Curvas_cupon_cero!$A$1,1,0,COUNT(Curvas_cupon_cero!$A:$A)-2,1),OFFSET(Curvas_cupon_cero!$A$1,1,MATCH($B$6,Curvas_cupon_cero!$1:$1,0)-1,COUNT(Curvas_cupon_cero!$A:$A)-2,1)),[1]!interpolar(L160,OFFSET(Curvas_cupon_cero!$A$1,1,0,COUNT(Curvas_cupon_cero!$A:$A)-2,1),OFFSET(Curvas_cupon_cero!$A$1,1,MATCH($B$6,Curvas_cupon_cero!$1:$1,0)-1,COUNT(Curvas_cupon_cero!$A:$A)-2,1))))</f>
        <v/>
      </c>
      <c r="N160" s="23"/>
      <c r="O160" s="19" t="str">
        <f t="shared" si="28"/>
        <v/>
      </c>
    </row>
    <row r="161" spans="1:15" x14ac:dyDescent="0.2">
      <c r="A161" s="12" t="str">
        <f t="shared" si="22"/>
        <v/>
      </c>
      <c r="B161" t="str">
        <f t="shared" si="20"/>
        <v/>
      </c>
      <c r="C161" s="21" t="str">
        <f ca="1">IF(A161="","",IF($B$10="Sí",interpolar_alamb(B161,OFFSET(Curvas_cupon_cero!$A$1,1,0,COUNT(Curvas_cupon_cero!$A:$A)-2,1),OFFSET(Curvas_cupon_cero!$A$1,1,MATCH($B$8,Curvas_cupon_cero!$1:$1,0)-1,COUNT(Curvas_cupon_cero!$A:$A)-2,1)),[1]!interpolar(B161,OFFSET(Curvas_cupon_cero!$A$1,1,0,COUNT(Curvas_cupon_cero!$A:$A)-2,1),OFFSET(Curvas_cupon_cero!$A$1,1,MATCH($B$8,Curvas_cupon_cero!$1:$1,0)-1,COUNT(Curvas_cupon_cero!$A:$A)-2,1))))</f>
        <v/>
      </c>
      <c r="D161" s="23" t="str">
        <f ca="1">IF(A161="","",IF($B$10="Sí",interpolar_alamb(L161,OFFSET(Curvas_cupon_cero!$A$1,1,0,COUNT(Curvas_cupon_cero!$A:$A)-2,1),OFFSET(Curvas_cupon_cero!$A$1,1,MATCH($B$8,Curvas_cupon_cero!$1:$1,0)-1,COUNT(Curvas_cupon_cero!$A:$A)-2,1)),[1]!interpolar(L161,OFFSET(Curvas_cupon_cero!$A$1,1,0,COUNT(Curvas_cupon_cero!$A:$A)-2,1),OFFSET(Curvas_cupon_cero!$A$1,1,MATCH($B$8,Curvas_cupon_cero!$1:$1,0)-1,COUNT(Curvas_cupon_cero!$A:$A)-2,1))))</f>
        <v/>
      </c>
      <c r="E161" s="23" t="str">
        <f t="shared" si="23"/>
        <v/>
      </c>
      <c r="F161" s="23" t="str">
        <f ca="1">IF(A161="","",IF($B$10="Sí",interpolar_alamb(B161,OFFSET(Curvas_cupon_cero!$A$1,1,0,COUNT(Curvas_cupon_cero!$A:$A)-2,1),OFFSET(Curvas_cupon_cero!$A$1,1,MATCH($B$9,Curvas_cupon_cero!$1:$1,0)-1,COUNT(Curvas_cupon_cero!$A:$A)-2,1)),[1]!interpolar(B161,OFFSET(Curvas_cupon_cero!$A$1,1,0,COUNT(Curvas_cupon_cero!$A:$A)-2,1),OFFSET(Curvas_cupon_cero!$A$1,1,MATCH($B$9,Curvas_cupon_cero!$1:$1,0)-1,COUNT(Curvas_cupon_cero!$A:$A)-2,1))))</f>
        <v/>
      </c>
      <c r="G161" s="23" t="str">
        <f t="shared" si="24"/>
        <v/>
      </c>
      <c r="H161" s="20" t="str">
        <f t="shared" si="29"/>
        <v/>
      </c>
      <c r="I161" t="str">
        <f t="shared" si="25"/>
        <v/>
      </c>
      <c r="J161" s="17" t="str">
        <f t="shared" si="21"/>
        <v/>
      </c>
      <c r="K161" s="18" t="str">
        <f t="shared" si="26"/>
        <v/>
      </c>
      <c r="L161" t="str">
        <f t="shared" si="27"/>
        <v/>
      </c>
      <c r="M161" s="23" t="str">
        <f ca="1">IF(A161="","",IF($B$10="Sí",interpolar_alamb(L161,OFFSET(Curvas_cupon_cero!$A$1,1,0,COUNT(Curvas_cupon_cero!$A:$A)-2,1),OFFSET(Curvas_cupon_cero!$A$1,1,MATCH($B$6,Curvas_cupon_cero!$1:$1,0)-1,COUNT(Curvas_cupon_cero!$A:$A)-2,1)),[1]!interpolar(L161,OFFSET(Curvas_cupon_cero!$A$1,1,0,COUNT(Curvas_cupon_cero!$A:$A)-2,1),OFFSET(Curvas_cupon_cero!$A$1,1,MATCH($B$6,Curvas_cupon_cero!$1:$1,0)-1,COUNT(Curvas_cupon_cero!$A:$A)-2,1))))</f>
        <v/>
      </c>
      <c r="N161" s="23"/>
      <c r="O161" s="19" t="str">
        <f t="shared" si="28"/>
        <v/>
      </c>
    </row>
    <row r="162" spans="1:15" x14ac:dyDescent="0.2">
      <c r="A162" s="12" t="str">
        <f t="shared" si="22"/>
        <v/>
      </c>
      <c r="B162" t="str">
        <f t="shared" si="20"/>
        <v/>
      </c>
      <c r="C162" s="21" t="str">
        <f ca="1">IF(A162="","",IF($B$10="Sí",interpolar_alamb(B162,OFFSET(Curvas_cupon_cero!$A$1,1,0,COUNT(Curvas_cupon_cero!$A:$A)-2,1),OFFSET(Curvas_cupon_cero!$A$1,1,MATCH($B$8,Curvas_cupon_cero!$1:$1,0)-1,COUNT(Curvas_cupon_cero!$A:$A)-2,1)),[1]!interpolar(B162,OFFSET(Curvas_cupon_cero!$A$1,1,0,COUNT(Curvas_cupon_cero!$A:$A)-2,1),OFFSET(Curvas_cupon_cero!$A$1,1,MATCH($B$8,Curvas_cupon_cero!$1:$1,0)-1,COUNT(Curvas_cupon_cero!$A:$A)-2,1))))</f>
        <v/>
      </c>
      <c r="D162" s="23" t="str">
        <f ca="1">IF(A162="","",IF($B$10="Sí",interpolar_alamb(L162,OFFSET(Curvas_cupon_cero!$A$1,1,0,COUNT(Curvas_cupon_cero!$A:$A)-2,1),OFFSET(Curvas_cupon_cero!$A$1,1,MATCH($B$8,Curvas_cupon_cero!$1:$1,0)-1,COUNT(Curvas_cupon_cero!$A:$A)-2,1)),[1]!interpolar(L162,OFFSET(Curvas_cupon_cero!$A$1,1,0,COUNT(Curvas_cupon_cero!$A:$A)-2,1),OFFSET(Curvas_cupon_cero!$A$1,1,MATCH($B$8,Curvas_cupon_cero!$1:$1,0)-1,COUNT(Curvas_cupon_cero!$A:$A)-2,1))))</f>
        <v/>
      </c>
      <c r="E162" s="23" t="str">
        <f t="shared" si="23"/>
        <v/>
      </c>
      <c r="F162" s="23" t="str">
        <f ca="1">IF(A162="","",IF($B$10="Sí",interpolar_alamb(B162,OFFSET(Curvas_cupon_cero!$A$1,1,0,COUNT(Curvas_cupon_cero!$A:$A)-2,1),OFFSET(Curvas_cupon_cero!$A$1,1,MATCH($B$9,Curvas_cupon_cero!$1:$1,0)-1,COUNT(Curvas_cupon_cero!$A:$A)-2,1)),[1]!interpolar(B162,OFFSET(Curvas_cupon_cero!$A$1,1,0,COUNT(Curvas_cupon_cero!$A:$A)-2,1),OFFSET(Curvas_cupon_cero!$A$1,1,MATCH($B$9,Curvas_cupon_cero!$1:$1,0)-1,COUNT(Curvas_cupon_cero!$A:$A)-2,1))))</f>
        <v/>
      </c>
      <c r="G162" s="23" t="str">
        <f t="shared" si="24"/>
        <v/>
      </c>
      <c r="H162" s="20" t="str">
        <f t="shared" si="29"/>
        <v/>
      </c>
      <c r="I162" t="str">
        <f t="shared" si="25"/>
        <v/>
      </c>
      <c r="J162" s="17" t="str">
        <f t="shared" si="21"/>
        <v/>
      </c>
      <c r="K162" s="18" t="str">
        <f t="shared" si="26"/>
        <v/>
      </c>
      <c r="L162" t="str">
        <f t="shared" si="27"/>
        <v/>
      </c>
      <c r="M162" s="23" t="str">
        <f ca="1">IF(A162="","",IF($B$10="Sí",interpolar_alamb(L162,OFFSET(Curvas_cupon_cero!$A$1,1,0,COUNT(Curvas_cupon_cero!$A:$A)-2,1),OFFSET(Curvas_cupon_cero!$A$1,1,MATCH($B$6,Curvas_cupon_cero!$1:$1,0)-1,COUNT(Curvas_cupon_cero!$A:$A)-2,1)),[1]!interpolar(L162,OFFSET(Curvas_cupon_cero!$A$1,1,0,COUNT(Curvas_cupon_cero!$A:$A)-2,1),OFFSET(Curvas_cupon_cero!$A$1,1,MATCH($B$6,Curvas_cupon_cero!$1:$1,0)-1,COUNT(Curvas_cupon_cero!$A:$A)-2,1))))</f>
        <v/>
      </c>
      <c r="N162" s="23"/>
      <c r="O162" s="19" t="str">
        <f t="shared" si="28"/>
        <v/>
      </c>
    </row>
    <row r="163" spans="1:15" x14ac:dyDescent="0.2">
      <c r="A163" s="12" t="str">
        <f t="shared" si="22"/>
        <v/>
      </c>
      <c r="B163" t="str">
        <f t="shared" si="20"/>
        <v/>
      </c>
      <c r="C163" s="21" t="str">
        <f ca="1">IF(A163="","",IF($B$10="Sí",interpolar_alamb(B163,OFFSET(Curvas_cupon_cero!$A$1,1,0,COUNT(Curvas_cupon_cero!$A:$A)-2,1),OFFSET(Curvas_cupon_cero!$A$1,1,MATCH($B$8,Curvas_cupon_cero!$1:$1,0)-1,COUNT(Curvas_cupon_cero!$A:$A)-2,1)),[1]!interpolar(B163,OFFSET(Curvas_cupon_cero!$A$1,1,0,COUNT(Curvas_cupon_cero!$A:$A)-2,1),OFFSET(Curvas_cupon_cero!$A$1,1,MATCH($B$8,Curvas_cupon_cero!$1:$1,0)-1,COUNT(Curvas_cupon_cero!$A:$A)-2,1))))</f>
        <v/>
      </c>
      <c r="D163" s="23" t="str">
        <f ca="1">IF(A163="","",IF($B$10="Sí",interpolar_alamb(L163,OFFSET(Curvas_cupon_cero!$A$1,1,0,COUNT(Curvas_cupon_cero!$A:$A)-2,1),OFFSET(Curvas_cupon_cero!$A$1,1,MATCH($B$8,Curvas_cupon_cero!$1:$1,0)-1,COUNT(Curvas_cupon_cero!$A:$A)-2,1)),[1]!interpolar(L163,OFFSET(Curvas_cupon_cero!$A$1,1,0,COUNT(Curvas_cupon_cero!$A:$A)-2,1),OFFSET(Curvas_cupon_cero!$A$1,1,MATCH($B$8,Curvas_cupon_cero!$1:$1,0)-1,COUNT(Curvas_cupon_cero!$A:$A)-2,1))))</f>
        <v/>
      </c>
      <c r="E163" s="23" t="str">
        <f t="shared" si="23"/>
        <v/>
      </c>
      <c r="F163" s="23" t="str">
        <f ca="1">IF(A163="","",IF($B$10="Sí",interpolar_alamb(B163,OFFSET(Curvas_cupon_cero!$A$1,1,0,COUNT(Curvas_cupon_cero!$A:$A)-2,1),OFFSET(Curvas_cupon_cero!$A$1,1,MATCH($B$9,Curvas_cupon_cero!$1:$1,0)-1,COUNT(Curvas_cupon_cero!$A:$A)-2,1)),[1]!interpolar(B163,OFFSET(Curvas_cupon_cero!$A$1,1,0,COUNT(Curvas_cupon_cero!$A:$A)-2,1),OFFSET(Curvas_cupon_cero!$A$1,1,MATCH($B$9,Curvas_cupon_cero!$1:$1,0)-1,COUNT(Curvas_cupon_cero!$A:$A)-2,1))))</f>
        <v/>
      </c>
      <c r="G163" s="23" t="str">
        <f t="shared" si="24"/>
        <v/>
      </c>
      <c r="H163" s="20" t="str">
        <f t="shared" si="29"/>
        <v/>
      </c>
      <c r="I163" t="str">
        <f t="shared" si="25"/>
        <v/>
      </c>
      <c r="J163" s="17" t="str">
        <f t="shared" si="21"/>
        <v/>
      </c>
      <c r="K163" s="18" t="str">
        <f t="shared" si="26"/>
        <v/>
      </c>
      <c r="L163" t="str">
        <f t="shared" si="27"/>
        <v/>
      </c>
      <c r="M163" s="23" t="str">
        <f ca="1">IF(A163="","",IF($B$10="Sí",interpolar_alamb(L163,OFFSET(Curvas_cupon_cero!$A$1,1,0,COUNT(Curvas_cupon_cero!$A:$A)-2,1),OFFSET(Curvas_cupon_cero!$A$1,1,MATCH($B$6,Curvas_cupon_cero!$1:$1,0)-1,COUNT(Curvas_cupon_cero!$A:$A)-2,1)),[1]!interpolar(L163,OFFSET(Curvas_cupon_cero!$A$1,1,0,COUNT(Curvas_cupon_cero!$A:$A)-2,1),OFFSET(Curvas_cupon_cero!$A$1,1,MATCH($B$6,Curvas_cupon_cero!$1:$1,0)-1,COUNT(Curvas_cupon_cero!$A:$A)-2,1))))</f>
        <v/>
      </c>
      <c r="N163" s="23"/>
      <c r="O163" s="19" t="str">
        <f t="shared" si="28"/>
        <v/>
      </c>
    </row>
    <row r="164" spans="1:15" x14ac:dyDescent="0.2">
      <c r="A164" s="12" t="str">
        <f t="shared" si="22"/>
        <v/>
      </c>
      <c r="B164" t="str">
        <f t="shared" si="20"/>
        <v/>
      </c>
      <c r="C164" s="21" t="str">
        <f ca="1">IF(A164="","",IF($B$10="Sí",interpolar_alamb(B164,OFFSET(Curvas_cupon_cero!$A$1,1,0,COUNT(Curvas_cupon_cero!$A:$A)-2,1),OFFSET(Curvas_cupon_cero!$A$1,1,MATCH($B$8,Curvas_cupon_cero!$1:$1,0)-1,COUNT(Curvas_cupon_cero!$A:$A)-2,1)),[1]!interpolar(B164,OFFSET(Curvas_cupon_cero!$A$1,1,0,COUNT(Curvas_cupon_cero!$A:$A)-2,1),OFFSET(Curvas_cupon_cero!$A$1,1,MATCH($B$8,Curvas_cupon_cero!$1:$1,0)-1,COUNT(Curvas_cupon_cero!$A:$A)-2,1))))</f>
        <v/>
      </c>
      <c r="D164" s="23" t="str">
        <f ca="1">IF(A164="","",IF($B$10="Sí",interpolar_alamb(L164,OFFSET(Curvas_cupon_cero!$A$1,1,0,COUNT(Curvas_cupon_cero!$A:$A)-2,1),OFFSET(Curvas_cupon_cero!$A$1,1,MATCH($B$8,Curvas_cupon_cero!$1:$1,0)-1,COUNT(Curvas_cupon_cero!$A:$A)-2,1)),[1]!interpolar(L164,OFFSET(Curvas_cupon_cero!$A$1,1,0,COUNT(Curvas_cupon_cero!$A:$A)-2,1),OFFSET(Curvas_cupon_cero!$A$1,1,MATCH($B$8,Curvas_cupon_cero!$1:$1,0)-1,COUNT(Curvas_cupon_cero!$A:$A)-2,1))))</f>
        <v/>
      </c>
      <c r="E164" s="23" t="str">
        <f t="shared" si="23"/>
        <v/>
      </c>
      <c r="F164" s="23" t="str">
        <f ca="1">IF(A164="","",IF($B$10="Sí",interpolar_alamb(B164,OFFSET(Curvas_cupon_cero!$A$1,1,0,COUNT(Curvas_cupon_cero!$A:$A)-2,1),OFFSET(Curvas_cupon_cero!$A$1,1,MATCH($B$9,Curvas_cupon_cero!$1:$1,0)-1,COUNT(Curvas_cupon_cero!$A:$A)-2,1)),[1]!interpolar(B164,OFFSET(Curvas_cupon_cero!$A$1,1,0,COUNT(Curvas_cupon_cero!$A:$A)-2,1),OFFSET(Curvas_cupon_cero!$A$1,1,MATCH($B$9,Curvas_cupon_cero!$1:$1,0)-1,COUNT(Curvas_cupon_cero!$A:$A)-2,1))))</f>
        <v/>
      </c>
      <c r="G164" s="23" t="str">
        <f t="shared" si="24"/>
        <v/>
      </c>
      <c r="H164" s="20" t="str">
        <f t="shared" si="29"/>
        <v/>
      </c>
      <c r="I164" t="str">
        <f t="shared" si="25"/>
        <v/>
      </c>
      <c r="J164" s="17" t="str">
        <f t="shared" si="21"/>
        <v/>
      </c>
      <c r="K164" s="18" t="str">
        <f t="shared" si="26"/>
        <v/>
      </c>
      <c r="L164" t="str">
        <f t="shared" si="27"/>
        <v/>
      </c>
      <c r="M164" s="23" t="str">
        <f ca="1">IF(A164="","",IF($B$10="Sí",interpolar_alamb(L164,OFFSET(Curvas_cupon_cero!$A$1,1,0,COUNT(Curvas_cupon_cero!$A:$A)-2,1),OFFSET(Curvas_cupon_cero!$A$1,1,MATCH($B$6,Curvas_cupon_cero!$1:$1,0)-1,COUNT(Curvas_cupon_cero!$A:$A)-2,1)),[1]!interpolar(L164,OFFSET(Curvas_cupon_cero!$A$1,1,0,COUNT(Curvas_cupon_cero!$A:$A)-2,1),OFFSET(Curvas_cupon_cero!$A$1,1,MATCH($B$6,Curvas_cupon_cero!$1:$1,0)-1,COUNT(Curvas_cupon_cero!$A:$A)-2,1))))</f>
        <v/>
      </c>
      <c r="N164" s="23"/>
      <c r="O164" s="19" t="str">
        <f t="shared" si="28"/>
        <v/>
      </c>
    </row>
    <row r="165" spans="1:15" x14ac:dyDescent="0.2">
      <c r="A165" s="12" t="str">
        <f t="shared" si="22"/>
        <v/>
      </c>
      <c r="B165" t="str">
        <f t="shared" si="20"/>
        <v/>
      </c>
      <c r="C165" s="21" t="str">
        <f ca="1">IF(A165="","",IF($B$10="Sí",interpolar_alamb(B165,OFFSET(Curvas_cupon_cero!$A$1,1,0,COUNT(Curvas_cupon_cero!$A:$A)-2,1),OFFSET(Curvas_cupon_cero!$A$1,1,MATCH($B$8,Curvas_cupon_cero!$1:$1,0)-1,COUNT(Curvas_cupon_cero!$A:$A)-2,1)),[1]!interpolar(B165,OFFSET(Curvas_cupon_cero!$A$1,1,0,COUNT(Curvas_cupon_cero!$A:$A)-2,1),OFFSET(Curvas_cupon_cero!$A$1,1,MATCH($B$8,Curvas_cupon_cero!$1:$1,0)-1,COUNT(Curvas_cupon_cero!$A:$A)-2,1))))</f>
        <v/>
      </c>
      <c r="D165" s="23" t="str">
        <f ca="1">IF(A165="","",IF($B$10="Sí",interpolar_alamb(L165,OFFSET(Curvas_cupon_cero!$A$1,1,0,COUNT(Curvas_cupon_cero!$A:$A)-2,1),OFFSET(Curvas_cupon_cero!$A$1,1,MATCH($B$8,Curvas_cupon_cero!$1:$1,0)-1,COUNT(Curvas_cupon_cero!$A:$A)-2,1)),[1]!interpolar(L165,OFFSET(Curvas_cupon_cero!$A$1,1,0,COUNT(Curvas_cupon_cero!$A:$A)-2,1),OFFSET(Curvas_cupon_cero!$A$1,1,MATCH($B$8,Curvas_cupon_cero!$1:$1,0)-1,COUNT(Curvas_cupon_cero!$A:$A)-2,1))))</f>
        <v/>
      </c>
      <c r="E165" s="23" t="str">
        <f t="shared" si="23"/>
        <v/>
      </c>
      <c r="F165" s="23" t="str">
        <f ca="1">IF(A165="","",IF($B$10="Sí",interpolar_alamb(B165,OFFSET(Curvas_cupon_cero!$A$1,1,0,COUNT(Curvas_cupon_cero!$A:$A)-2,1),OFFSET(Curvas_cupon_cero!$A$1,1,MATCH($B$9,Curvas_cupon_cero!$1:$1,0)-1,COUNT(Curvas_cupon_cero!$A:$A)-2,1)),[1]!interpolar(B165,OFFSET(Curvas_cupon_cero!$A$1,1,0,COUNT(Curvas_cupon_cero!$A:$A)-2,1),OFFSET(Curvas_cupon_cero!$A$1,1,MATCH($B$9,Curvas_cupon_cero!$1:$1,0)-1,COUNT(Curvas_cupon_cero!$A:$A)-2,1))))</f>
        <v/>
      </c>
      <c r="G165" s="23" t="str">
        <f t="shared" si="24"/>
        <v/>
      </c>
      <c r="H165" s="20" t="str">
        <f t="shared" si="29"/>
        <v/>
      </c>
      <c r="I165" t="str">
        <f t="shared" si="25"/>
        <v/>
      </c>
      <c r="J165" s="17" t="str">
        <f t="shared" si="21"/>
        <v/>
      </c>
      <c r="K165" s="18" t="str">
        <f t="shared" si="26"/>
        <v/>
      </c>
      <c r="L165" t="str">
        <f t="shared" si="27"/>
        <v/>
      </c>
      <c r="M165" s="23" t="str">
        <f ca="1">IF(A165="","",IF($B$10="Sí",interpolar_alamb(L165,OFFSET(Curvas_cupon_cero!$A$1,1,0,COUNT(Curvas_cupon_cero!$A:$A)-2,1),OFFSET(Curvas_cupon_cero!$A$1,1,MATCH($B$6,Curvas_cupon_cero!$1:$1,0)-1,COUNT(Curvas_cupon_cero!$A:$A)-2,1)),[1]!interpolar(L165,OFFSET(Curvas_cupon_cero!$A$1,1,0,COUNT(Curvas_cupon_cero!$A:$A)-2,1),OFFSET(Curvas_cupon_cero!$A$1,1,MATCH($B$6,Curvas_cupon_cero!$1:$1,0)-1,COUNT(Curvas_cupon_cero!$A:$A)-2,1))))</f>
        <v/>
      </c>
      <c r="N165" s="23"/>
      <c r="O165" s="19" t="str">
        <f t="shared" si="28"/>
        <v/>
      </c>
    </row>
    <row r="166" spans="1:15" x14ac:dyDescent="0.2">
      <c r="A166" s="12" t="str">
        <f t="shared" si="22"/>
        <v/>
      </c>
      <c r="B166" t="str">
        <f t="shared" si="20"/>
        <v/>
      </c>
      <c r="C166" s="21" t="str">
        <f ca="1">IF(A166="","",IF($B$10="Sí",interpolar_alamb(B166,OFFSET(Curvas_cupon_cero!$A$1,1,0,COUNT(Curvas_cupon_cero!$A:$A)-2,1),OFFSET(Curvas_cupon_cero!$A$1,1,MATCH($B$8,Curvas_cupon_cero!$1:$1,0)-1,COUNT(Curvas_cupon_cero!$A:$A)-2,1)),[1]!interpolar(B166,OFFSET(Curvas_cupon_cero!$A$1,1,0,COUNT(Curvas_cupon_cero!$A:$A)-2,1),OFFSET(Curvas_cupon_cero!$A$1,1,MATCH($B$8,Curvas_cupon_cero!$1:$1,0)-1,COUNT(Curvas_cupon_cero!$A:$A)-2,1))))</f>
        <v/>
      </c>
      <c r="D166" s="23" t="str">
        <f ca="1">IF(A166="","",IF($B$10="Sí",interpolar_alamb(L166,OFFSET(Curvas_cupon_cero!$A$1,1,0,COUNT(Curvas_cupon_cero!$A:$A)-2,1),OFFSET(Curvas_cupon_cero!$A$1,1,MATCH($B$8,Curvas_cupon_cero!$1:$1,0)-1,COUNT(Curvas_cupon_cero!$A:$A)-2,1)),[1]!interpolar(L166,OFFSET(Curvas_cupon_cero!$A$1,1,0,COUNT(Curvas_cupon_cero!$A:$A)-2,1),OFFSET(Curvas_cupon_cero!$A$1,1,MATCH($B$8,Curvas_cupon_cero!$1:$1,0)-1,COUNT(Curvas_cupon_cero!$A:$A)-2,1))))</f>
        <v/>
      </c>
      <c r="E166" s="23" t="str">
        <f t="shared" si="23"/>
        <v/>
      </c>
      <c r="F166" s="23" t="str">
        <f ca="1">IF(A166="","",IF($B$10="Sí",interpolar_alamb(B166,OFFSET(Curvas_cupon_cero!$A$1,1,0,COUNT(Curvas_cupon_cero!$A:$A)-2,1),OFFSET(Curvas_cupon_cero!$A$1,1,MATCH($B$9,Curvas_cupon_cero!$1:$1,0)-1,COUNT(Curvas_cupon_cero!$A:$A)-2,1)),[1]!interpolar(B166,OFFSET(Curvas_cupon_cero!$A$1,1,0,COUNT(Curvas_cupon_cero!$A:$A)-2,1),OFFSET(Curvas_cupon_cero!$A$1,1,MATCH($B$9,Curvas_cupon_cero!$1:$1,0)-1,COUNT(Curvas_cupon_cero!$A:$A)-2,1))))</f>
        <v/>
      </c>
      <c r="G166" s="23" t="str">
        <f t="shared" si="24"/>
        <v/>
      </c>
      <c r="H166" s="20" t="str">
        <f t="shared" si="29"/>
        <v/>
      </c>
      <c r="I166" t="str">
        <f t="shared" si="25"/>
        <v/>
      </c>
      <c r="J166" s="17" t="str">
        <f t="shared" si="21"/>
        <v/>
      </c>
      <c r="K166" s="18" t="str">
        <f t="shared" si="26"/>
        <v/>
      </c>
      <c r="L166" t="str">
        <f t="shared" si="27"/>
        <v/>
      </c>
      <c r="M166" s="23" t="str">
        <f ca="1">IF(A166="","",IF($B$10="Sí",interpolar_alamb(L166,OFFSET(Curvas_cupon_cero!$A$1,1,0,COUNT(Curvas_cupon_cero!$A:$A)-2,1),OFFSET(Curvas_cupon_cero!$A$1,1,MATCH($B$6,Curvas_cupon_cero!$1:$1,0)-1,COUNT(Curvas_cupon_cero!$A:$A)-2,1)),[1]!interpolar(L166,OFFSET(Curvas_cupon_cero!$A$1,1,0,COUNT(Curvas_cupon_cero!$A:$A)-2,1),OFFSET(Curvas_cupon_cero!$A$1,1,MATCH($B$6,Curvas_cupon_cero!$1:$1,0)-1,COUNT(Curvas_cupon_cero!$A:$A)-2,1))))</f>
        <v/>
      </c>
      <c r="N166" s="23"/>
      <c r="O166" s="19" t="str">
        <f t="shared" si="28"/>
        <v/>
      </c>
    </row>
    <row r="167" spans="1:15" x14ac:dyDescent="0.2">
      <c r="A167" s="12" t="str">
        <f t="shared" si="22"/>
        <v/>
      </c>
      <c r="B167" t="str">
        <f t="shared" si="20"/>
        <v/>
      </c>
      <c r="C167" s="21" t="str">
        <f ca="1">IF(A167="","",IF($B$10="Sí",interpolar_alamb(B167,OFFSET(Curvas_cupon_cero!$A$1,1,0,COUNT(Curvas_cupon_cero!$A:$A)-2,1),OFFSET(Curvas_cupon_cero!$A$1,1,MATCH($B$8,Curvas_cupon_cero!$1:$1,0)-1,COUNT(Curvas_cupon_cero!$A:$A)-2,1)),[1]!interpolar(B167,OFFSET(Curvas_cupon_cero!$A$1,1,0,COUNT(Curvas_cupon_cero!$A:$A)-2,1),OFFSET(Curvas_cupon_cero!$A$1,1,MATCH($B$8,Curvas_cupon_cero!$1:$1,0)-1,COUNT(Curvas_cupon_cero!$A:$A)-2,1))))</f>
        <v/>
      </c>
      <c r="D167" s="23" t="str">
        <f ca="1">IF(A167="","",IF($B$10="Sí",interpolar_alamb(L167,OFFSET(Curvas_cupon_cero!$A$1,1,0,COUNT(Curvas_cupon_cero!$A:$A)-2,1),OFFSET(Curvas_cupon_cero!$A$1,1,MATCH($B$8,Curvas_cupon_cero!$1:$1,0)-1,COUNT(Curvas_cupon_cero!$A:$A)-2,1)),[1]!interpolar(L167,OFFSET(Curvas_cupon_cero!$A$1,1,0,COUNT(Curvas_cupon_cero!$A:$A)-2,1),OFFSET(Curvas_cupon_cero!$A$1,1,MATCH($B$8,Curvas_cupon_cero!$1:$1,0)-1,COUNT(Curvas_cupon_cero!$A:$A)-2,1))))</f>
        <v/>
      </c>
      <c r="E167" s="23" t="str">
        <f t="shared" si="23"/>
        <v/>
      </c>
      <c r="F167" s="23" t="str">
        <f ca="1">IF(A167="","",IF($B$10="Sí",interpolar_alamb(B167,OFFSET(Curvas_cupon_cero!$A$1,1,0,COUNT(Curvas_cupon_cero!$A:$A)-2,1),OFFSET(Curvas_cupon_cero!$A$1,1,MATCH($B$9,Curvas_cupon_cero!$1:$1,0)-1,COUNT(Curvas_cupon_cero!$A:$A)-2,1)),[1]!interpolar(B167,OFFSET(Curvas_cupon_cero!$A$1,1,0,COUNT(Curvas_cupon_cero!$A:$A)-2,1),OFFSET(Curvas_cupon_cero!$A$1,1,MATCH($B$9,Curvas_cupon_cero!$1:$1,0)-1,COUNT(Curvas_cupon_cero!$A:$A)-2,1))))</f>
        <v/>
      </c>
      <c r="G167" s="23" t="str">
        <f t="shared" si="24"/>
        <v/>
      </c>
      <c r="H167" s="20" t="str">
        <f t="shared" si="29"/>
        <v/>
      </c>
      <c r="I167" t="str">
        <f t="shared" si="25"/>
        <v/>
      </c>
      <c r="J167" s="17" t="str">
        <f t="shared" si="21"/>
        <v/>
      </c>
      <c r="K167" s="18" t="str">
        <f t="shared" si="26"/>
        <v/>
      </c>
      <c r="L167" t="str">
        <f t="shared" si="27"/>
        <v/>
      </c>
      <c r="M167" s="23" t="str">
        <f ca="1">IF(A167="","",IF($B$10="Sí",interpolar_alamb(L167,OFFSET(Curvas_cupon_cero!$A$1,1,0,COUNT(Curvas_cupon_cero!$A:$A)-2,1),OFFSET(Curvas_cupon_cero!$A$1,1,MATCH($B$6,Curvas_cupon_cero!$1:$1,0)-1,COUNT(Curvas_cupon_cero!$A:$A)-2,1)),[1]!interpolar(L167,OFFSET(Curvas_cupon_cero!$A$1,1,0,COUNT(Curvas_cupon_cero!$A:$A)-2,1),OFFSET(Curvas_cupon_cero!$A$1,1,MATCH($B$6,Curvas_cupon_cero!$1:$1,0)-1,COUNT(Curvas_cupon_cero!$A:$A)-2,1))))</f>
        <v/>
      </c>
      <c r="N167" s="23"/>
      <c r="O167" s="19" t="str">
        <f t="shared" si="28"/>
        <v/>
      </c>
    </row>
    <row r="168" spans="1:15" x14ac:dyDescent="0.2">
      <c r="A168" s="12" t="str">
        <f t="shared" si="22"/>
        <v/>
      </c>
      <c r="B168" t="str">
        <f t="shared" si="20"/>
        <v/>
      </c>
      <c r="C168" s="21" t="str">
        <f ca="1">IF(A168="","",IF($B$10="Sí",interpolar_alamb(B168,OFFSET(Curvas_cupon_cero!$A$1,1,0,COUNT(Curvas_cupon_cero!$A:$A)-2,1),OFFSET(Curvas_cupon_cero!$A$1,1,MATCH($B$8,Curvas_cupon_cero!$1:$1,0)-1,COUNT(Curvas_cupon_cero!$A:$A)-2,1)),[1]!interpolar(B168,OFFSET(Curvas_cupon_cero!$A$1,1,0,COUNT(Curvas_cupon_cero!$A:$A)-2,1),OFFSET(Curvas_cupon_cero!$A$1,1,MATCH($B$8,Curvas_cupon_cero!$1:$1,0)-1,COUNT(Curvas_cupon_cero!$A:$A)-2,1))))</f>
        <v/>
      </c>
      <c r="D168" s="23" t="str">
        <f ca="1">IF(A168="","",IF($B$10="Sí",interpolar_alamb(L168,OFFSET(Curvas_cupon_cero!$A$1,1,0,COUNT(Curvas_cupon_cero!$A:$A)-2,1),OFFSET(Curvas_cupon_cero!$A$1,1,MATCH($B$8,Curvas_cupon_cero!$1:$1,0)-1,COUNT(Curvas_cupon_cero!$A:$A)-2,1)),[1]!interpolar(L168,OFFSET(Curvas_cupon_cero!$A$1,1,0,COUNT(Curvas_cupon_cero!$A:$A)-2,1),OFFSET(Curvas_cupon_cero!$A$1,1,MATCH($B$8,Curvas_cupon_cero!$1:$1,0)-1,COUNT(Curvas_cupon_cero!$A:$A)-2,1))))</f>
        <v/>
      </c>
      <c r="E168" s="23" t="str">
        <f t="shared" si="23"/>
        <v/>
      </c>
      <c r="F168" s="23" t="str">
        <f ca="1">IF(A168="","",IF($B$10="Sí",interpolar_alamb(B168,OFFSET(Curvas_cupon_cero!$A$1,1,0,COUNT(Curvas_cupon_cero!$A:$A)-2,1),OFFSET(Curvas_cupon_cero!$A$1,1,MATCH($B$9,Curvas_cupon_cero!$1:$1,0)-1,COUNT(Curvas_cupon_cero!$A:$A)-2,1)),[1]!interpolar(B168,OFFSET(Curvas_cupon_cero!$A$1,1,0,COUNT(Curvas_cupon_cero!$A:$A)-2,1),OFFSET(Curvas_cupon_cero!$A$1,1,MATCH($B$9,Curvas_cupon_cero!$1:$1,0)-1,COUNT(Curvas_cupon_cero!$A:$A)-2,1))))</f>
        <v/>
      </c>
      <c r="G168" s="23" t="str">
        <f t="shared" si="24"/>
        <v/>
      </c>
      <c r="H168" s="20" t="str">
        <f t="shared" si="29"/>
        <v/>
      </c>
      <c r="I168" t="str">
        <f t="shared" si="25"/>
        <v/>
      </c>
      <c r="J168" s="17" t="str">
        <f t="shared" si="21"/>
        <v/>
      </c>
      <c r="K168" s="18" t="str">
        <f t="shared" si="26"/>
        <v/>
      </c>
      <c r="L168" t="str">
        <f t="shared" si="27"/>
        <v/>
      </c>
      <c r="M168" s="23" t="str">
        <f ca="1">IF(A168="","",IF($B$10="Sí",interpolar_alamb(L168,OFFSET(Curvas_cupon_cero!$A$1,1,0,COUNT(Curvas_cupon_cero!$A:$A)-2,1),OFFSET(Curvas_cupon_cero!$A$1,1,MATCH($B$6,Curvas_cupon_cero!$1:$1,0)-1,COUNT(Curvas_cupon_cero!$A:$A)-2,1)),[1]!interpolar(L168,OFFSET(Curvas_cupon_cero!$A$1,1,0,COUNT(Curvas_cupon_cero!$A:$A)-2,1),OFFSET(Curvas_cupon_cero!$A$1,1,MATCH($B$6,Curvas_cupon_cero!$1:$1,0)-1,COUNT(Curvas_cupon_cero!$A:$A)-2,1))))</f>
        <v/>
      </c>
      <c r="N168" s="23"/>
      <c r="O168" s="19" t="str">
        <f t="shared" si="28"/>
        <v/>
      </c>
    </row>
    <row r="169" spans="1:15" x14ac:dyDescent="0.2">
      <c r="A169" s="12" t="str">
        <f t="shared" si="22"/>
        <v/>
      </c>
      <c r="B169" t="str">
        <f t="shared" si="20"/>
        <v/>
      </c>
      <c r="C169" s="21" t="str">
        <f ca="1">IF(A169="","",IF($B$10="Sí",interpolar_alamb(B169,OFFSET(Curvas_cupon_cero!$A$1,1,0,COUNT(Curvas_cupon_cero!$A:$A)-2,1),OFFSET(Curvas_cupon_cero!$A$1,1,MATCH($B$8,Curvas_cupon_cero!$1:$1,0)-1,COUNT(Curvas_cupon_cero!$A:$A)-2,1)),[1]!interpolar(B169,OFFSET(Curvas_cupon_cero!$A$1,1,0,COUNT(Curvas_cupon_cero!$A:$A)-2,1),OFFSET(Curvas_cupon_cero!$A$1,1,MATCH($B$8,Curvas_cupon_cero!$1:$1,0)-1,COUNT(Curvas_cupon_cero!$A:$A)-2,1))))</f>
        <v/>
      </c>
      <c r="D169" s="23" t="str">
        <f ca="1">IF(A169="","",IF($B$10="Sí",interpolar_alamb(L169,OFFSET(Curvas_cupon_cero!$A$1,1,0,COUNT(Curvas_cupon_cero!$A:$A)-2,1),OFFSET(Curvas_cupon_cero!$A$1,1,MATCH($B$8,Curvas_cupon_cero!$1:$1,0)-1,COUNT(Curvas_cupon_cero!$A:$A)-2,1)),[1]!interpolar(L169,OFFSET(Curvas_cupon_cero!$A$1,1,0,COUNT(Curvas_cupon_cero!$A:$A)-2,1),OFFSET(Curvas_cupon_cero!$A$1,1,MATCH($B$8,Curvas_cupon_cero!$1:$1,0)-1,COUNT(Curvas_cupon_cero!$A:$A)-2,1))))</f>
        <v/>
      </c>
      <c r="E169" s="23" t="str">
        <f t="shared" si="23"/>
        <v/>
      </c>
      <c r="F169" s="23" t="str">
        <f ca="1">IF(A169="","",IF($B$10="Sí",interpolar_alamb(B169,OFFSET(Curvas_cupon_cero!$A$1,1,0,COUNT(Curvas_cupon_cero!$A:$A)-2,1),OFFSET(Curvas_cupon_cero!$A$1,1,MATCH($B$9,Curvas_cupon_cero!$1:$1,0)-1,COUNT(Curvas_cupon_cero!$A:$A)-2,1)),[1]!interpolar(B169,OFFSET(Curvas_cupon_cero!$A$1,1,0,COUNT(Curvas_cupon_cero!$A:$A)-2,1),OFFSET(Curvas_cupon_cero!$A$1,1,MATCH($B$9,Curvas_cupon_cero!$1:$1,0)-1,COUNT(Curvas_cupon_cero!$A:$A)-2,1))))</f>
        <v/>
      </c>
      <c r="G169" s="23" t="str">
        <f t="shared" si="24"/>
        <v/>
      </c>
      <c r="H169" s="20" t="str">
        <f t="shared" si="29"/>
        <v/>
      </c>
      <c r="I169" t="str">
        <f t="shared" si="25"/>
        <v/>
      </c>
      <c r="J169" s="17" t="str">
        <f t="shared" si="21"/>
        <v/>
      </c>
      <c r="K169" s="18" t="str">
        <f t="shared" si="26"/>
        <v/>
      </c>
      <c r="L169" t="str">
        <f t="shared" si="27"/>
        <v/>
      </c>
      <c r="M169" s="23" t="str">
        <f ca="1">IF(A169="","",IF($B$10="Sí",interpolar_alamb(L169,OFFSET(Curvas_cupon_cero!$A$1,1,0,COUNT(Curvas_cupon_cero!$A:$A)-2,1),OFFSET(Curvas_cupon_cero!$A$1,1,MATCH($B$6,Curvas_cupon_cero!$1:$1,0)-1,COUNT(Curvas_cupon_cero!$A:$A)-2,1)),[1]!interpolar(L169,OFFSET(Curvas_cupon_cero!$A$1,1,0,COUNT(Curvas_cupon_cero!$A:$A)-2,1),OFFSET(Curvas_cupon_cero!$A$1,1,MATCH($B$6,Curvas_cupon_cero!$1:$1,0)-1,COUNT(Curvas_cupon_cero!$A:$A)-2,1))))</f>
        <v/>
      </c>
      <c r="N169" s="23"/>
      <c r="O169" s="19" t="str">
        <f t="shared" si="28"/>
        <v/>
      </c>
    </row>
    <row r="170" spans="1:15" x14ac:dyDescent="0.2">
      <c r="A170" s="12" t="str">
        <f t="shared" si="22"/>
        <v/>
      </c>
      <c r="B170" t="str">
        <f t="shared" si="20"/>
        <v/>
      </c>
      <c r="C170" s="21" t="str">
        <f ca="1">IF(A170="","",IF($B$10="Sí",interpolar_alamb(B170,OFFSET(Curvas_cupon_cero!$A$1,1,0,COUNT(Curvas_cupon_cero!$A:$A)-2,1),OFFSET(Curvas_cupon_cero!$A$1,1,MATCH($B$8,Curvas_cupon_cero!$1:$1,0)-1,COUNT(Curvas_cupon_cero!$A:$A)-2,1)),[1]!interpolar(B170,OFFSET(Curvas_cupon_cero!$A$1,1,0,COUNT(Curvas_cupon_cero!$A:$A)-2,1),OFFSET(Curvas_cupon_cero!$A$1,1,MATCH($B$8,Curvas_cupon_cero!$1:$1,0)-1,COUNT(Curvas_cupon_cero!$A:$A)-2,1))))</f>
        <v/>
      </c>
      <c r="D170" s="23" t="str">
        <f ca="1">IF(A170="","",IF($B$10="Sí",interpolar_alamb(L170,OFFSET(Curvas_cupon_cero!$A$1,1,0,COUNT(Curvas_cupon_cero!$A:$A)-2,1),OFFSET(Curvas_cupon_cero!$A$1,1,MATCH($B$8,Curvas_cupon_cero!$1:$1,0)-1,COUNT(Curvas_cupon_cero!$A:$A)-2,1)),[1]!interpolar(L170,OFFSET(Curvas_cupon_cero!$A$1,1,0,COUNT(Curvas_cupon_cero!$A:$A)-2,1),OFFSET(Curvas_cupon_cero!$A$1,1,MATCH($B$8,Curvas_cupon_cero!$1:$1,0)-1,COUNT(Curvas_cupon_cero!$A:$A)-2,1))))</f>
        <v/>
      </c>
      <c r="E170" s="23" t="str">
        <f t="shared" si="23"/>
        <v/>
      </c>
      <c r="F170" s="23" t="str">
        <f ca="1">IF(A170="","",IF($B$10="Sí",interpolar_alamb(B170,OFFSET(Curvas_cupon_cero!$A$1,1,0,COUNT(Curvas_cupon_cero!$A:$A)-2,1),OFFSET(Curvas_cupon_cero!$A$1,1,MATCH($B$9,Curvas_cupon_cero!$1:$1,0)-1,COUNT(Curvas_cupon_cero!$A:$A)-2,1)),[1]!interpolar(B170,OFFSET(Curvas_cupon_cero!$A$1,1,0,COUNT(Curvas_cupon_cero!$A:$A)-2,1),OFFSET(Curvas_cupon_cero!$A$1,1,MATCH($B$9,Curvas_cupon_cero!$1:$1,0)-1,COUNT(Curvas_cupon_cero!$A:$A)-2,1))))</f>
        <v/>
      </c>
      <c r="G170" s="23" t="str">
        <f t="shared" si="24"/>
        <v/>
      </c>
      <c r="H170" s="20" t="str">
        <f t="shared" si="29"/>
        <v/>
      </c>
      <c r="I170" t="str">
        <f t="shared" si="25"/>
        <v/>
      </c>
      <c r="J170" s="17" t="str">
        <f t="shared" si="21"/>
        <v/>
      </c>
      <c r="K170" s="18" t="str">
        <f t="shared" si="26"/>
        <v/>
      </c>
      <c r="L170" t="str">
        <f t="shared" si="27"/>
        <v/>
      </c>
      <c r="M170" s="23" t="str">
        <f ca="1">IF(A170="","",IF($B$10="Sí",interpolar_alamb(L170,OFFSET(Curvas_cupon_cero!$A$1,1,0,COUNT(Curvas_cupon_cero!$A:$A)-2,1),OFFSET(Curvas_cupon_cero!$A$1,1,MATCH($B$6,Curvas_cupon_cero!$1:$1,0)-1,COUNT(Curvas_cupon_cero!$A:$A)-2,1)),[1]!interpolar(L170,OFFSET(Curvas_cupon_cero!$A$1,1,0,COUNT(Curvas_cupon_cero!$A:$A)-2,1),OFFSET(Curvas_cupon_cero!$A$1,1,MATCH($B$6,Curvas_cupon_cero!$1:$1,0)-1,COUNT(Curvas_cupon_cero!$A:$A)-2,1))))</f>
        <v/>
      </c>
      <c r="N170" s="23"/>
      <c r="O170" s="19" t="str">
        <f t="shared" si="28"/>
        <v/>
      </c>
    </row>
    <row r="171" spans="1:15" x14ac:dyDescent="0.2">
      <c r="A171" s="12" t="str">
        <f t="shared" si="22"/>
        <v/>
      </c>
      <c r="B171" t="str">
        <f t="shared" si="20"/>
        <v/>
      </c>
      <c r="C171" s="21" t="str">
        <f ca="1">IF(A171="","",IF($B$10="Sí",interpolar_alamb(B171,OFFSET(Curvas_cupon_cero!$A$1,1,0,COUNT(Curvas_cupon_cero!$A:$A)-2,1),OFFSET(Curvas_cupon_cero!$A$1,1,MATCH($B$8,Curvas_cupon_cero!$1:$1,0)-1,COUNT(Curvas_cupon_cero!$A:$A)-2,1)),[1]!interpolar(B171,OFFSET(Curvas_cupon_cero!$A$1,1,0,COUNT(Curvas_cupon_cero!$A:$A)-2,1),OFFSET(Curvas_cupon_cero!$A$1,1,MATCH($B$8,Curvas_cupon_cero!$1:$1,0)-1,COUNT(Curvas_cupon_cero!$A:$A)-2,1))))</f>
        <v/>
      </c>
      <c r="D171" s="23" t="str">
        <f ca="1">IF(A171="","",IF($B$10="Sí",interpolar_alamb(L171,OFFSET(Curvas_cupon_cero!$A$1,1,0,COUNT(Curvas_cupon_cero!$A:$A)-2,1),OFFSET(Curvas_cupon_cero!$A$1,1,MATCH($B$8,Curvas_cupon_cero!$1:$1,0)-1,COUNT(Curvas_cupon_cero!$A:$A)-2,1)),[1]!interpolar(L171,OFFSET(Curvas_cupon_cero!$A$1,1,0,COUNT(Curvas_cupon_cero!$A:$A)-2,1),OFFSET(Curvas_cupon_cero!$A$1,1,MATCH($B$8,Curvas_cupon_cero!$1:$1,0)-1,COUNT(Curvas_cupon_cero!$A:$A)-2,1))))</f>
        <v/>
      </c>
      <c r="E171" s="23" t="str">
        <f t="shared" si="23"/>
        <v/>
      </c>
      <c r="F171" s="23" t="str">
        <f ca="1">IF(A171="","",IF($B$10="Sí",interpolar_alamb(B171,OFFSET(Curvas_cupon_cero!$A$1,1,0,COUNT(Curvas_cupon_cero!$A:$A)-2,1),OFFSET(Curvas_cupon_cero!$A$1,1,MATCH($B$9,Curvas_cupon_cero!$1:$1,0)-1,COUNT(Curvas_cupon_cero!$A:$A)-2,1)),[1]!interpolar(B171,OFFSET(Curvas_cupon_cero!$A$1,1,0,COUNT(Curvas_cupon_cero!$A:$A)-2,1),OFFSET(Curvas_cupon_cero!$A$1,1,MATCH($B$9,Curvas_cupon_cero!$1:$1,0)-1,COUNT(Curvas_cupon_cero!$A:$A)-2,1))))</f>
        <v/>
      </c>
      <c r="G171" s="23" t="str">
        <f t="shared" si="24"/>
        <v/>
      </c>
      <c r="H171" s="20" t="str">
        <f t="shared" si="29"/>
        <v/>
      </c>
      <c r="I171" t="str">
        <f t="shared" si="25"/>
        <v/>
      </c>
      <c r="J171" s="17" t="str">
        <f t="shared" si="21"/>
        <v/>
      </c>
      <c r="K171" s="18" t="str">
        <f t="shared" si="26"/>
        <v/>
      </c>
      <c r="L171" t="str">
        <f t="shared" si="27"/>
        <v/>
      </c>
      <c r="M171" s="23" t="str">
        <f ca="1">IF(A171="","",IF($B$10="Sí",interpolar_alamb(L171,OFFSET(Curvas_cupon_cero!$A$1,1,0,COUNT(Curvas_cupon_cero!$A:$A)-2,1),OFFSET(Curvas_cupon_cero!$A$1,1,MATCH($B$6,Curvas_cupon_cero!$1:$1,0)-1,COUNT(Curvas_cupon_cero!$A:$A)-2,1)),[1]!interpolar(L171,OFFSET(Curvas_cupon_cero!$A$1,1,0,COUNT(Curvas_cupon_cero!$A:$A)-2,1),OFFSET(Curvas_cupon_cero!$A$1,1,MATCH($B$6,Curvas_cupon_cero!$1:$1,0)-1,COUNT(Curvas_cupon_cero!$A:$A)-2,1))))</f>
        <v/>
      </c>
      <c r="N171" s="23"/>
      <c r="O171" s="19" t="str">
        <f t="shared" si="28"/>
        <v/>
      </c>
    </row>
    <row r="172" spans="1:15" x14ac:dyDescent="0.2">
      <c r="A172" s="12" t="str">
        <f t="shared" si="22"/>
        <v/>
      </c>
      <c r="B172" t="str">
        <f t="shared" si="20"/>
        <v/>
      </c>
      <c r="C172" s="21" t="str">
        <f ca="1">IF(A172="","",IF($B$10="Sí",interpolar_alamb(B172,OFFSET(Curvas_cupon_cero!$A$1,1,0,COUNT(Curvas_cupon_cero!$A:$A)-2,1),OFFSET(Curvas_cupon_cero!$A$1,1,MATCH($B$8,Curvas_cupon_cero!$1:$1,0)-1,COUNT(Curvas_cupon_cero!$A:$A)-2,1)),[1]!interpolar(B172,OFFSET(Curvas_cupon_cero!$A$1,1,0,COUNT(Curvas_cupon_cero!$A:$A)-2,1),OFFSET(Curvas_cupon_cero!$A$1,1,MATCH($B$8,Curvas_cupon_cero!$1:$1,0)-1,COUNT(Curvas_cupon_cero!$A:$A)-2,1))))</f>
        <v/>
      </c>
      <c r="D172" s="23" t="str">
        <f ca="1">IF(A172="","",IF($B$10="Sí",interpolar_alamb(L172,OFFSET(Curvas_cupon_cero!$A$1,1,0,COUNT(Curvas_cupon_cero!$A:$A)-2,1),OFFSET(Curvas_cupon_cero!$A$1,1,MATCH($B$8,Curvas_cupon_cero!$1:$1,0)-1,COUNT(Curvas_cupon_cero!$A:$A)-2,1)),[1]!interpolar(L172,OFFSET(Curvas_cupon_cero!$A$1,1,0,COUNT(Curvas_cupon_cero!$A:$A)-2,1),OFFSET(Curvas_cupon_cero!$A$1,1,MATCH($B$8,Curvas_cupon_cero!$1:$1,0)-1,COUNT(Curvas_cupon_cero!$A:$A)-2,1))))</f>
        <v/>
      </c>
      <c r="E172" s="23" t="str">
        <f t="shared" si="23"/>
        <v/>
      </c>
      <c r="F172" s="23" t="str">
        <f ca="1">IF(A172="","",IF($B$10="Sí",interpolar_alamb(B172,OFFSET(Curvas_cupon_cero!$A$1,1,0,COUNT(Curvas_cupon_cero!$A:$A)-2,1),OFFSET(Curvas_cupon_cero!$A$1,1,MATCH($B$9,Curvas_cupon_cero!$1:$1,0)-1,COUNT(Curvas_cupon_cero!$A:$A)-2,1)),[1]!interpolar(B172,OFFSET(Curvas_cupon_cero!$A$1,1,0,COUNT(Curvas_cupon_cero!$A:$A)-2,1),OFFSET(Curvas_cupon_cero!$A$1,1,MATCH($B$9,Curvas_cupon_cero!$1:$1,0)-1,COUNT(Curvas_cupon_cero!$A:$A)-2,1))))</f>
        <v/>
      </c>
      <c r="G172" s="23" t="str">
        <f t="shared" si="24"/>
        <v/>
      </c>
      <c r="H172" s="20" t="str">
        <f t="shared" si="29"/>
        <v/>
      </c>
      <c r="I172" t="str">
        <f t="shared" si="25"/>
        <v/>
      </c>
      <c r="J172" s="17" t="str">
        <f t="shared" si="21"/>
        <v/>
      </c>
      <c r="K172" s="18" t="str">
        <f t="shared" si="26"/>
        <v/>
      </c>
      <c r="L172" t="str">
        <f t="shared" si="27"/>
        <v/>
      </c>
      <c r="M172" s="23" t="str">
        <f ca="1">IF(A172="","",IF($B$10="Sí",interpolar_alamb(L172,OFFSET(Curvas_cupon_cero!$A$1,1,0,COUNT(Curvas_cupon_cero!$A:$A)-2,1),OFFSET(Curvas_cupon_cero!$A$1,1,MATCH($B$6,Curvas_cupon_cero!$1:$1,0)-1,COUNT(Curvas_cupon_cero!$A:$A)-2,1)),[1]!interpolar(L172,OFFSET(Curvas_cupon_cero!$A$1,1,0,COUNT(Curvas_cupon_cero!$A:$A)-2,1),OFFSET(Curvas_cupon_cero!$A$1,1,MATCH($B$6,Curvas_cupon_cero!$1:$1,0)-1,COUNT(Curvas_cupon_cero!$A:$A)-2,1))))</f>
        <v/>
      </c>
      <c r="N172" s="23"/>
      <c r="O172" s="19" t="str">
        <f t="shared" si="28"/>
        <v/>
      </c>
    </row>
    <row r="173" spans="1:15" x14ac:dyDescent="0.2">
      <c r="A173" s="12" t="str">
        <f t="shared" si="22"/>
        <v/>
      </c>
      <c r="B173" t="str">
        <f t="shared" si="20"/>
        <v/>
      </c>
      <c r="C173" s="21" t="str">
        <f ca="1">IF(A173="","",IF($B$10="Sí",interpolar_alamb(B173,OFFSET(Curvas_cupon_cero!$A$1,1,0,COUNT(Curvas_cupon_cero!$A:$A)-2,1),OFFSET(Curvas_cupon_cero!$A$1,1,MATCH($B$8,Curvas_cupon_cero!$1:$1,0)-1,COUNT(Curvas_cupon_cero!$A:$A)-2,1)),[1]!interpolar(B173,OFFSET(Curvas_cupon_cero!$A$1,1,0,COUNT(Curvas_cupon_cero!$A:$A)-2,1),OFFSET(Curvas_cupon_cero!$A$1,1,MATCH($B$8,Curvas_cupon_cero!$1:$1,0)-1,COUNT(Curvas_cupon_cero!$A:$A)-2,1))))</f>
        <v/>
      </c>
      <c r="D173" s="23" t="str">
        <f ca="1">IF(A173="","",IF($B$10="Sí",interpolar_alamb(L173,OFFSET(Curvas_cupon_cero!$A$1,1,0,COUNT(Curvas_cupon_cero!$A:$A)-2,1),OFFSET(Curvas_cupon_cero!$A$1,1,MATCH($B$8,Curvas_cupon_cero!$1:$1,0)-1,COUNT(Curvas_cupon_cero!$A:$A)-2,1)),[1]!interpolar(L173,OFFSET(Curvas_cupon_cero!$A$1,1,0,COUNT(Curvas_cupon_cero!$A:$A)-2,1),OFFSET(Curvas_cupon_cero!$A$1,1,MATCH($B$8,Curvas_cupon_cero!$1:$1,0)-1,COUNT(Curvas_cupon_cero!$A:$A)-2,1))))</f>
        <v/>
      </c>
      <c r="E173" s="23" t="str">
        <f t="shared" si="23"/>
        <v/>
      </c>
      <c r="F173" s="23" t="str">
        <f ca="1">IF(A173="","",IF($B$10="Sí",interpolar_alamb(B173,OFFSET(Curvas_cupon_cero!$A$1,1,0,COUNT(Curvas_cupon_cero!$A:$A)-2,1),OFFSET(Curvas_cupon_cero!$A$1,1,MATCH($B$9,Curvas_cupon_cero!$1:$1,0)-1,COUNT(Curvas_cupon_cero!$A:$A)-2,1)),[1]!interpolar(B173,OFFSET(Curvas_cupon_cero!$A$1,1,0,COUNT(Curvas_cupon_cero!$A:$A)-2,1),OFFSET(Curvas_cupon_cero!$A$1,1,MATCH($B$9,Curvas_cupon_cero!$1:$1,0)-1,COUNT(Curvas_cupon_cero!$A:$A)-2,1))))</f>
        <v/>
      </c>
      <c r="G173" s="23" t="str">
        <f t="shared" si="24"/>
        <v/>
      </c>
      <c r="H173" s="20" t="str">
        <f t="shared" si="29"/>
        <v/>
      </c>
      <c r="I173" t="str">
        <f t="shared" si="25"/>
        <v/>
      </c>
      <c r="J173" s="17" t="str">
        <f t="shared" si="21"/>
        <v/>
      </c>
      <c r="K173" s="18" t="str">
        <f t="shared" si="26"/>
        <v/>
      </c>
      <c r="L173" t="str">
        <f t="shared" si="27"/>
        <v/>
      </c>
      <c r="M173" s="23" t="str">
        <f ca="1">IF(A173="","",IF($B$10="Sí",interpolar_alamb(L173,OFFSET(Curvas_cupon_cero!$A$1,1,0,COUNT(Curvas_cupon_cero!$A:$A)-2,1),OFFSET(Curvas_cupon_cero!$A$1,1,MATCH($B$6,Curvas_cupon_cero!$1:$1,0)-1,COUNT(Curvas_cupon_cero!$A:$A)-2,1)),[1]!interpolar(L173,OFFSET(Curvas_cupon_cero!$A$1,1,0,COUNT(Curvas_cupon_cero!$A:$A)-2,1),OFFSET(Curvas_cupon_cero!$A$1,1,MATCH($B$6,Curvas_cupon_cero!$1:$1,0)-1,COUNT(Curvas_cupon_cero!$A:$A)-2,1))))</f>
        <v/>
      </c>
      <c r="N173" s="23"/>
      <c r="O173" s="19" t="str">
        <f t="shared" si="28"/>
        <v/>
      </c>
    </row>
    <row r="174" spans="1:15" x14ac:dyDescent="0.2">
      <c r="A174" s="12" t="str">
        <f t="shared" si="22"/>
        <v/>
      </c>
      <c r="B174" t="str">
        <f t="shared" si="20"/>
        <v/>
      </c>
      <c r="C174" s="21" t="str">
        <f ca="1">IF(A174="","",IF($B$10="Sí",interpolar_alamb(B174,OFFSET(Curvas_cupon_cero!$A$1,1,0,COUNT(Curvas_cupon_cero!$A:$A)-2,1),OFFSET(Curvas_cupon_cero!$A$1,1,MATCH($B$8,Curvas_cupon_cero!$1:$1,0)-1,COUNT(Curvas_cupon_cero!$A:$A)-2,1)),[1]!interpolar(B174,OFFSET(Curvas_cupon_cero!$A$1,1,0,COUNT(Curvas_cupon_cero!$A:$A)-2,1),OFFSET(Curvas_cupon_cero!$A$1,1,MATCH($B$8,Curvas_cupon_cero!$1:$1,0)-1,COUNT(Curvas_cupon_cero!$A:$A)-2,1))))</f>
        <v/>
      </c>
      <c r="D174" s="23" t="str">
        <f ca="1">IF(A174="","",IF($B$10="Sí",interpolar_alamb(L174,OFFSET(Curvas_cupon_cero!$A$1,1,0,COUNT(Curvas_cupon_cero!$A:$A)-2,1),OFFSET(Curvas_cupon_cero!$A$1,1,MATCH($B$8,Curvas_cupon_cero!$1:$1,0)-1,COUNT(Curvas_cupon_cero!$A:$A)-2,1)),[1]!interpolar(L174,OFFSET(Curvas_cupon_cero!$A$1,1,0,COUNT(Curvas_cupon_cero!$A:$A)-2,1),OFFSET(Curvas_cupon_cero!$A$1,1,MATCH($B$8,Curvas_cupon_cero!$1:$1,0)-1,COUNT(Curvas_cupon_cero!$A:$A)-2,1))))</f>
        <v/>
      </c>
      <c r="E174" s="23" t="str">
        <f t="shared" si="23"/>
        <v/>
      </c>
      <c r="F174" s="23" t="str">
        <f ca="1">IF(A174="","",IF($B$10="Sí",interpolar_alamb(B174,OFFSET(Curvas_cupon_cero!$A$1,1,0,COUNT(Curvas_cupon_cero!$A:$A)-2,1),OFFSET(Curvas_cupon_cero!$A$1,1,MATCH($B$9,Curvas_cupon_cero!$1:$1,0)-1,COUNT(Curvas_cupon_cero!$A:$A)-2,1)),[1]!interpolar(B174,OFFSET(Curvas_cupon_cero!$A$1,1,0,COUNT(Curvas_cupon_cero!$A:$A)-2,1),OFFSET(Curvas_cupon_cero!$A$1,1,MATCH($B$9,Curvas_cupon_cero!$1:$1,0)-1,COUNT(Curvas_cupon_cero!$A:$A)-2,1))))</f>
        <v/>
      </c>
      <c r="G174" s="23" t="str">
        <f t="shared" si="24"/>
        <v/>
      </c>
      <c r="H174" s="20" t="str">
        <f t="shared" si="29"/>
        <v/>
      </c>
      <c r="I174" t="str">
        <f t="shared" si="25"/>
        <v/>
      </c>
      <c r="J174" s="17" t="str">
        <f t="shared" si="21"/>
        <v/>
      </c>
      <c r="K174" s="18" t="str">
        <f t="shared" si="26"/>
        <v/>
      </c>
      <c r="L174" t="str">
        <f t="shared" si="27"/>
        <v/>
      </c>
      <c r="M174" s="23" t="str">
        <f ca="1">IF(A174="","",IF($B$10="Sí",interpolar_alamb(L174,OFFSET(Curvas_cupon_cero!$A$1,1,0,COUNT(Curvas_cupon_cero!$A:$A)-2,1),OFFSET(Curvas_cupon_cero!$A$1,1,MATCH($B$6,Curvas_cupon_cero!$1:$1,0)-1,COUNT(Curvas_cupon_cero!$A:$A)-2,1)),[1]!interpolar(L174,OFFSET(Curvas_cupon_cero!$A$1,1,0,COUNT(Curvas_cupon_cero!$A:$A)-2,1),OFFSET(Curvas_cupon_cero!$A$1,1,MATCH($B$6,Curvas_cupon_cero!$1:$1,0)-1,COUNT(Curvas_cupon_cero!$A:$A)-2,1))))</f>
        <v/>
      </c>
      <c r="N174" s="23"/>
      <c r="O174" s="19" t="str">
        <f t="shared" si="28"/>
        <v/>
      </c>
    </row>
    <row r="175" spans="1:15" x14ac:dyDescent="0.2">
      <c r="A175" s="12" t="str">
        <f t="shared" si="22"/>
        <v/>
      </c>
      <c r="B175" t="str">
        <f t="shared" si="20"/>
        <v/>
      </c>
      <c r="C175" s="21" t="str">
        <f ca="1">IF(A175="","",IF($B$10="Sí",interpolar_alamb(B175,OFFSET(Curvas_cupon_cero!$A$1,1,0,COUNT(Curvas_cupon_cero!$A:$A)-2,1),OFFSET(Curvas_cupon_cero!$A$1,1,MATCH($B$8,Curvas_cupon_cero!$1:$1,0)-1,COUNT(Curvas_cupon_cero!$A:$A)-2,1)),[1]!interpolar(B175,OFFSET(Curvas_cupon_cero!$A$1,1,0,COUNT(Curvas_cupon_cero!$A:$A)-2,1),OFFSET(Curvas_cupon_cero!$A$1,1,MATCH($B$8,Curvas_cupon_cero!$1:$1,0)-1,COUNT(Curvas_cupon_cero!$A:$A)-2,1))))</f>
        <v/>
      </c>
      <c r="D175" s="23" t="str">
        <f ca="1">IF(A175="","",IF($B$10="Sí",interpolar_alamb(L175,OFFSET(Curvas_cupon_cero!$A$1,1,0,COUNT(Curvas_cupon_cero!$A:$A)-2,1),OFFSET(Curvas_cupon_cero!$A$1,1,MATCH($B$8,Curvas_cupon_cero!$1:$1,0)-1,COUNT(Curvas_cupon_cero!$A:$A)-2,1)),[1]!interpolar(L175,OFFSET(Curvas_cupon_cero!$A$1,1,0,COUNT(Curvas_cupon_cero!$A:$A)-2,1),OFFSET(Curvas_cupon_cero!$A$1,1,MATCH($B$8,Curvas_cupon_cero!$1:$1,0)-1,COUNT(Curvas_cupon_cero!$A:$A)-2,1))))</f>
        <v/>
      </c>
      <c r="E175" s="23" t="str">
        <f t="shared" si="23"/>
        <v/>
      </c>
      <c r="F175" s="23" t="str">
        <f ca="1">IF(A175="","",IF($B$10="Sí",interpolar_alamb(B175,OFFSET(Curvas_cupon_cero!$A$1,1,0,COUNT(Curvas_cupon_cero!$A:$A)-2,1),OFFSET(Curvas_cupon_cero!$A$1,1,MATCH($B$9,Curvas_cupon_cero!$1:$1,0)-1,COUNT(Curvas_cupon_cero!$A:$A)-2,1)),[1]!interpolar(B175,OFFSET(Curvas_cupon_cero!$A$1,1,0,COUNT(Curvas_cupon_cero!$A:$A)-2,1),OFFSET(Curvas_cupon_cero!$A$1,1,MATCH($B$9,Curvas_cupon_cero!$1:$1,0)-1,COUNT(Curvas_cupon_cero!$A:$A)-2,1))))</f>
        <v/>
      </c>
      <c r="G175" s="23" t="str">
        <f t="shared" si="24"/>
        <v/>
      </c>
      <c r="H175" s="20" t="str">
        <f t="shared" si="29"/>
        <v/>
      </c>
      <c r="I175" t="str">
        <f t="shared" si="25"/>
        <v/>
      </c>
      <c r="J175" s="17" t="str">
        <f t="shared" si="21"/>
        <v/>
      </c>
      <c r="K175" s="18" t="str">
        <f t="shared" si="26"/>
        <v/>
      </c>
      <c r="L175" t="str">
        <f t="shared" si="27"/>
        <v/>
      </c>
      <c r="M175" s="23" t="str">
        <f ca="1">IF(A175="","",IF($B$10="Sí",interpolar_alamb(L175,OFFSET(Curvas_cupon_cero!$A$1,1,0,COUNT(Curvas_cupon_cero!$A:$A)-2,1),OFFSET(Curvas_cupon_cero!$A$1,1,MATCH($B$6,Curvas_cupon_cero!$1:$1,0)-1,COUNT(Curvas_cupon_cero!$A:$A)-2,1)),[1]!interpolar(L175,OFFSET(Curvas_cupon_cero!$A$1,1,0,COUNT(Curvas_cupon_cero!$A:$A)-2,1),OFFSET(Curvas_cupon_cero!$A$1,1,MATCH($B$6,Curvas_cupon_cero!$1:$1,0)-1,COUNT(Curvas_cupon_cero!$A:$A)-2,1))))</f>
        <v/>
      </c>
      <c r="N175" s="23"/>
      <c r="O175" s="19" t="str">
        <f t="shared" si="28"/>
        <v/>
      </c>
    </row>
    <row r="176" spans="1:15" x14ac:dyDescent="0.2">
      <c r="A176" s="12" t="str">
        <f t="shared" si="22"/>
        <v/>
      </c>
      <c r="B176" t="str">
        <f t="shared" si="20"/>
        <v/>
      </c>
      <c r="C176" s="21" t="str">
        <f ca="1">IF(A176="","",IF($B$10="Sí",interpolar_alamb(B176,OFFSET(Curvas_cupon_cero!$A$1,1,0,COUNT(Curvas_cupon_cero!$A:$A)-2,1),OFFSET(Curvas_cupon_cero!$A$1,1,MATCH($B$8,Curvas_cupon_cero!$1:$1,0)-1,COUNT(Curvas_cupon_cero!$A:$A)-2,1)),[1]!interpolar(B176,OFFSET(Curvas_cupon_cero!$A$1,1,0,COUNT(Curvas_cupon_cero!$A:$A)-2,1),OFFSET(Curvas_cupon_cero!$A$1,1,MATCH($B$8,Curvas_cupon_cero!$1:$1,0)-1,COUNT(Curvas_cupon_cero!$A:$A)-2,1))))</f>
        <v/>
      </c>
      <c r="D176" s="23" t="str">
        <f ca="1">IF(A176="","",IF($B$10="Sí",interpolar_alamb(L176,OFFSET(Curvas_cupon_cero!$A$1,1,0,COUNT(Curvas_cupon_cero!$A:$A)-2,1),OFFSET(Curvas_cupon_cero!$A$1,1,MATCH($B$8,Curvas_cupon_cero!$1:$1,0)-1,COUNT(Curvas_cupon_cero!$A:$A)-2,1)),[1]!interpolar(L176,OFFSET(Curvas_cupon_cero!$A$1,1,0,COUNT(Curvas_cupon_cero!$A:$A)-2,1),OFFSET(Curvas_cupon_cero!$A$1,1,MATCH($B$8,Curvas_cupon_cero!$1:$1,0)-1,COUNT(Curvas_cupon_cero!$A:$A)-2,1))))</f>
        <v/>
      </c>
      <c r="E176" s="23" t="str">
        <f t="shared" si="23"/>
        <v/>
      </c>
      <c r="F176" s="23" t="str">
        <f ca="1">IF(A176="","",IF($B$10="Sí",interpolar_alamb(B176,OFFSET(Curvas_cupon_cero!$A$1,1,0,COUNT(Curvas_cupon_cero!$A:$A)-2,1),OFFSET(Curvas_cupon_cero!$A$1,1,MATCH($B$9,Curvas_cupon_cero!$1:$1,0)-1,COUNT(Curvas_cupon_cero!$A:$A)-2,1)),[1]!interpolar(B176,OFFSET(Curvas_cupon_cero!$A$1,1,0,COUNT(Curvas_cupon_cero!$A:$A)-2,1),OFFSET(Curvas_cupon_cero!$A$1,1,MATCH($B$9,Curvas_cupon_cero!$1:$1,0)-1,COUNT(Curvas_cupon_cero!$A:$A)-2,1))))</f>
        <v/>
      </c>
      <c r="G176" s="23" t="str">
        <f t="shared" si="24"/>
        <v/>
      </c>
      <c r="H176" s="20" t="str">
        <f t="shared" si="29"/>
        <v/>
      </c>
      <c r="I176" t="str">
        <f t="shared" si="25"/>
        <v/>
      </c>
      <c r="J176" s="17" t="str">
        <f t="shared" si="21"/>
        <v/>
      </c>
      <c r="K176" s="18" t="str">
        <f t="shared" si="26"/>
        <v/>
      </c>
      <c r="L176" t="str">
        <f t="shared" si="27"/>
        <v/>
      </c>
      <c r="M176" s="23" t="str">
        <f ca="1">IF(A176="","",IF($B$10="Sí",interpolar_alamb(L176,OFFSET(Curvas_cupon_cero!$A$1,1,0,COUNT(Curvas_cupon_cero!$A:$A)-2,1),OFFSET(Curvas_cupon_cero!$A$1,1,MATCH($B$6,Curvas_cupon_cero!$1:$1,0)-1,COUNT(Curvas_cupon_cero!$A:$A)-2,1)),[1]!interpolar(L176,OFFSET(Curvas_cupon_cero!$A$1,1,0,COUNT(Curvas_cupon_cero!$A:$A)-2,1),OFFSET(Curvas_cupon_cero!$A$1,1,MATCH($B$6,Curvas_cupon_cero!$1:$1,0)-1,COUNT(Curvas_cupon_cero!$A:$A)-2,1))))</f>
        <v/>
      </c>
      <c r="N176" s="23"/>
      <c r="O176" s="19" t="str">
        <f t="shared" si="28"/>
        <v/>
      </c>
    </row>
    <row r="177" spans="1:15" x14ac:dyDescent="0.2">
      <c r="A177" s="12" t="str">
        <f t="shared" si="22"/>
        <v/>
      </c>
      <c r="B177" t="str">
        <f t="shared" si="20"/>
        <v/>
      </c>
      <c r="C177" s="21" t="str">
        <f ca="1">IF(A177="","",IF($B$10="Sí",interpolar_alamb(B177,OFFSET(Curvas_cupon_cero!$A$1,1,0,COUNT(Curvas_cupon_cero!$A:$A)-2,1),OFFSET(Curvas_cupon_cero!$A$1,1,MATCH($B$8,Curvas_cupon_cero!$1:$1,0)-1,COUNT(Curvas_cupon_cero!$A:$A)-2,1)),[1]!interpolar(B177,OFFSET(Curvas_cupon_cero!$A$1,1,0,COUNT(Curvas_cupon_cero!$A:$A)-2,1),OFFSET(Curvas_cupon_cero!$A$1,1,MATCH($B$8,Curvas_cupon_cero!$1:$1,0)-1,COUNT(Curvas_cupon_cero!$A:$A)-2,1))))</f>
        <v/>
      </c>
      <c r="D177" s="23" t="str">
        <f ca="1">IF(A177="","",IF($B$10="Sí",interpolar_alamb(L177,OFFSET(Curvas_cupon_cero!$A$1,1,0,COUNT(Curvas_cupon_cero!$A:$A)-2,1),OFFSET(Curvas_cupon_cero!$A$1,1,MATCH($B$8,Curvas_cupon_cero!$1:$1,0)-1,COUNT(Curvas_cupon_cero!$A:$A)-2,1)),[1]!interpolar(L177,OFFSET(Curvas_cupon_cero!$A$1,1,0,COUNT(Curvas_cupon_cero!$A:$A)-2,1),OFFSET(Curvas_cupon_cero!$A$1,1,MATCH($B$8,Curvas_cupon_cero!$1:$1,0)-1,COUNT(Curvas_cupon_cero!$A:$A)-2,1))))</f>
        <v/>
      </c>
      <c r="E177" s="23" t="str">
        <f t="shared" si="23"/>
        <v/>
      </c>
      <c r="F177" s="23" t="str">
        <f ca="1">IF(A177="","",IF($B$10="Sí",interpolar_alamb(B177,OFFSET(Curvas_cupon_cero!$A$1,1,0,COUNT(Curvas_cupon_cero!$A:$A)-2,1),OFFSET(Curvas_cupon_cero!$A$1,1,MATCH($B$9,Curvas_cupon_cero!$1:$1,0)-1,COUNT(Curvas_cupon_cero!$A:$A)-2,1)),[1]!interpolar(B177,OFFSET(Curvas_cupon_cero!$A$1,1,0,COUNT(Curvas_cupon_cero!$A:$A)-2,1),OFFSET(Curvas_cupon_cero!$A$1,1,MATCH($B$9,Curvas_cupon_cero!$1:$1,0)-1,COUNT(Curvas_cupon_cero!$A:$A)-2,1))))</f>
        <v/>
      </c>
      <c r="G177" s="23" t="str">
        <f t="shared" si="24"/>
        <v/>
      </c>
      <c r="H177" s="20" t="str">
        <f t="shared" si="29"/>
        <v/>
      </c>
      <c r="I177" t="str">
        <f t="shared" si="25"/>
        <v/>
      </c>
      <c r="J177" s="17" t="str">
        <f t="shared" si="21"/>
        <v/>
      </c>
      <c r="K177" s="18" t="str">
        <f t="shared" si="26"/>
        <v/>
      </c>
      <c r="L177" t="str">
        <f t="shared" si="27"/>
        <v/>
      </c>
      <c r="M177" s="23" t="str">
        <f ca="1">IF(A177="","",IF($B$10="Sí",interpolar_alamb(L177,OFFSET(Curvas_cupon_cero!$A$1,1,0,COUNT(Curvas_cupon_cero!$A:$A)-2,1),OFFSET(Curvas_cupon_cero!$A$1,1,MATCH($B$6,Curvas_cupon_cero!$1:$1,0)-1,COUNT(Curvas_cupon_cero!$A:$A)-2,1)),[1]!interpolar(L177,OFFSET(Curvas_cupon_cero!$A$1,1,0,COUNT(Curvas_cupon_cero!$A:$A)-2,1),OFFSET(Curvas_cupon_cero!$A$1,1,MATCH($B$6,Curvas_cupon_cero!$1:$1,0)-1,COUNT(Curvas_cupon_cero!$A:$A)-2,1))))</f>
        <v/>
      </c>
      <c r="N177" s="23"/>
      <c r="O177" s="19" t="str">
        <f t="shared" si="28"/>
        <v/>
      </c>
    </row>
    <row r="178" spans="1:15" x14ac:dyDescent="0.2">
      <c r="A178" s="12" t="str">
        <f t="shared" si="22"/>
        <v/>
      </c>
      <c r="B178" t="str">
        <f t="shared" si="20"/>
        <v/>
      </c>
      <c r="C178" s="21" t="str">
        <f ca="1">IF(A178="","",IF($B$10="Sí",interpolar_alamb(B178,OFFSET(Curvas_cupon_cero!$A$1,1,0,COUNT(Curvas_cupon_cero!$A:$A)-2,1),OFFSET(Curvas_cupon_cero!$A$1,1,MATCH($B$8,Curvas_cupon_cero!$1:$1,0)-1,COUNT(Curvas_cupon_cero!$A:$A)-2,1)),[1]!interpolar(B178,OFFSET(Curvas_cupon_cero!$A$1,1,0,COUNT(Curvas_cupon_cero!$A:$A)-2,1),OFFSET(Curvas_cupon_cero!$A$1,1,MATCH($B$8,Curvas_cupon_cero!$1:$1,0)-1,COUNT(Curvas_cupon_cero!$A:$A)-2,1))))</f>
        <v/>
      </c>
      <c r="D178" s="23" t="str">
        <f ca="1">IF(A178="","",IF($B$10="Sí",interpolar_alamb(L178,OFFSET(Curvas_cupon_cero!$A$1,1,0,COUNT(Curvas_cupon_cero!$A:$A)-2,1),OFFSET(Curvas_cupon_cero!$A$1,1,MATCH($B$8,Curvas_cupon_cero!$1:$1,0)-1,COUNT(Curvas_cupon_cero!$A:$A)-2,1)),[1]!interpolar(L178,OFFSET(Curvas_cupon_cero!$A$1,1,0,COUNT(Curvas_cupon_cero!$A:$A)-2,1),OFFSET(Curvas_cupon_cero!$A$1,1,MATCH($B$8,Curvas_cupon_cero!$1:$1,0)-1,COUNT(Curvas_cupon_cero!$A:$A)-2,1))))</f>
        <v/>
      </c>
      <c r="E178" s="23" t="str">
        <f t="shared" si="23"/>
        <v/>
      </c>
      <c r="F178" s="23" t="str">
        <f ca="1">IF(A178="","",IF($B$10="Sí",interpolar_alamb(B178,OFFSET(Curvas_cupon_cero!$A$1,1,0,COUNT(Curvas_cupon_cero!$A:$A)-2,1),OFFSET(Curvas_cupon_cero!$A$1,1,MATCH($B$9,Curvas_cupon_cero!$1:$1,0)-1,COUNT(Curvas_cupon_cero!$A:$A)-2,1)),[1]!interpolar(B178,OFFSET(Curvas_cupon_cero!$A$1,1,0,COUNT(Curvas_cupon_cero!$A:$A)-2,1),OFFSET(Curvas_cupon_cero!$A$1,1,MATCH($B$9,Curvas_cupon_cero!$1:$1,0)-1,COUNT(Curvas_cupon_cero!$A:$A)-2,1))))</f>
        <v/>
      </c>
      <c r="G178" s="23" t="str">
        <f t="shared" si="24"/>
        <v/>
      </c>
      <c r="H178" s="20" t="str">
        <f t="shared" si="29"/>
        <v/>
      </c>
      <c r="I178" t="str">
        <f t="shared" si="25"/>
        <v/>
      </c>
      <c r="J178" s="17" t="str">
        <f t="shared" si="21"/>
        <v/>
      </c>
      <c r="K178" s="18" t="str">
        <f t="shared" si="26"/>
        <v/>
      </c>
      <c r="L178" t="str">
        <f t="shared" si="27"/>
        <v/>
      </c>
      <c r="M178" s="23" t="str">
        <f ca="1">IF(A178="","",IF($B$10="Sí",interpolar_alamb(L178,OFFSET(Curvas_cupon_cero!$A$1,1,0,COUNT(Curvas_cupon_cero!$A:$A)-2,1),OFFSET(Curvas_cupon_cero!$A$1,1,MATCH($B$6,Curvas_cupon_cero!$1:$1,0)-1,COUNT(Curvas_cupon_cero!$A:$A)-2,1)),[1]!interpolar(L178,OFFSET(Curvas_cupon_cero!$A$1,1,0,COUNT(Curvas_cupon_cero!$A:$A)-2,1),OFFSET(Curvas_cupon_cero!$A$1,1,MATCH($B$6,Curvas_cupon_cero!$1:$1,0)-1,COUNT(Curvas_cupon_cero!$A:$A)-2,1))))</f>
        <v/>
      </c>
      <c r="N178" s="23"/>
      <c r="O178" s="19" t="str">
        <f t="shared" si="28"/>
        <v/>
      </c>
    </row>
    <row r="179" spans="1:15" x14ac:dyDescent="0.2">
      <c r="A179" s="12" t="str">
        <f t="shared" si="22"/>
        <v/>
      </c>
      <c r="B179" t="str">
        <f t="shared" si="20"/>
        <v/>
      </c>
      <c r="C179" s="21" t="str">
        <f ca="1">IF(A179="","",IF($B$10="Sí",interpolar_alamb(B179,OFFSET(Curvas_cupon_cero!$A$1,1,0,COUNT(Curvas_cupon_cero!$A:$A)-2,1),OFFSET(Curvas_cupon_cero!$A$1,1,MATCH($B$8,Curvas_cupon_cero!$1:$1,0)-1,COUNT(Curvas_cupon_cero!$A:$A)-2,1)),[1]!interpolar(B179,OFFSET(Curvas_cupon_cero!$A$1,1,0,COUNT(Curvas_cupon_cero!$A:$A)-2,1),OFFSET(Curvas_cupon_cero!$A$1,1,MATCH($B$8,Curvas_cupon_cero!$1:$1,0)-1,COUNT(Curvas_cupon_cero!$A:$A)-2,1))))</f>
        <v/>
      </c>
      <c r="D179" s="23" t="str">
        <f ca="1">IF(A179="","",IF($B$10="Sí",interpolar_alamb(L179,OFFSET(Curvas_cupon_cero!$A$1,1,0,COUNT(Curvas_cupon_cero!$A:$A)-2,1),OFFSET(Curvas_cupon_cero!$A$1,1,MATCH($B$8,Curvas_cupon_cero!$1:$1,0)-1,COUNT(Curvas_cupon_cero!$A:$A)-2,1)),[1]!interpolar(L179,OFFSET(Curvas_cupon_cero!$A$1,1,0,COUNT(Curvas_cupon_cero!$A:$A)-2,1),OFFSET(Curvas_cupon_cero!$A$1,1,MATCH($B$8,Curvas_cupon_cero!$1:$1,0)-1,COUNT(Curvas_cupon_cero!$A:$A)-2,1))))</f>
        <v/>
      </c>
      <c r="E179" s="23" t="str">
        <f t="shared" si="23"/>
        <v/>
      </c>
      <c r="F179" s="23" t="str">
        <f ca="1">IF(A179="","",IF($B$10="Sí",interpolar_alamb(B179,OFFSET(Curvas_cupon_cero!$A$1,1,0,COUNT(Curvas_cupon_cero!$A:$A)-2,1),OFFSET(Curvas_cupon_cero!$A$1,1,MATCH($B$9,Curvas_cupon_cero!$1:$1,0)-1,COUNT(Curvas_cupon_cero!$A:$A)-2,1)),[1]!interpolar(B179,OFFSET(Curvas_cupon_cero!$A$1,1,0,COUNT(Curvas_cupon_cero!$A:$A)-2,1),OFFSET(Curvas_cupon_cero!$A$1,1,MATCH($B$9,Curvas_cupon_cero!$1:$1,0)-1,COUNT(Curvas_cupon_cero!$A:$A)-2,1))))</f>
        <v/>
      </c>
      <c r="G179" s="23" t="str">
        <f t="shared" si="24"/>
        <v/>
      </c>
      <c r="H179" s="20" t="str">
        <f t="shared" si="29"/>
        <v/>
      </c>
      <c r="I179" t="str">
        <f t="shared" si="25"/>
        <v/>
      </c>
      <c r="J179" s="17" t="str">
        <f t="shared" si="21"/>
        <v/>
      </c>
      <c r="K179" s="18" t="str">
        <f t="shared" si="26"/>
        <v/>
      </c>
      <c r="L179" t="str">
        <f t="shared" si="27"/>
        <v/>
      </c>
      <c r="M179" s="23" t="str">
        <f ca="1">IF(A179="","",IF($B$10="Sí",interpolar_alamb(L179,OFFSET(Curvas_cupon_cero!$A$1,1,0,COUNT(Curvas_cupon_cero!$A:$A)-2,1),OFFSET(Curvas_cupon_cero!$A$1,1,MATCH($B$6,Curvas_cupon_cero!$1:$1,0)-1,COUNT(Curvas_cupon_cero!$A:$A)-2,1)),[1]!interpolar(L179,OFFSET(Curvas_cupon_cero!$A$1,1,0,COUNT(Curvas_cupon_cero!$A:$A)-2,1),OFFSET(Curvas_cupon_cero!$A$1,1,MATCH($B$6,Curvas_cupon_cero!$1:$1,0)-1,COUNT(Curvas_cupon_cero!$A:$A)-2,1))))</f>
        <v/>
      </c>
      <c r="N179" s="23"/>
      <c r="O179" s="19" t="str">
        <f t="shared" si="28"/>
        <v/>
      </c>
    </row>
    <row r="180" spans="1:15" x14ac:dyDescent="0.2">
      <c r="A180" s="12" t="str">
        <f t="shared" si="22"/>
        <v/>
      </c>
      <c r="B180" t="str">
        <f t="shared" si="20"/>
        <v/>
      </c>
      <c r="C180" s="21" t="str">
        <f ca="1">IF(A180="","",IF($B$10="Sí",interpolar_alamb(B180,OFFSET(Curvas_cupon_cero!$A$1,1,0,COUNT(Curvas_cupon_cero!$A:$A)-2,1),OFFSET(Curvas_cupon_cero!$A$1,1,MATCH($B$8,Curvas_cupon_cero!$1:$1,0)-1,COUNT(Curvas_cupon_cero!$A:$A)-2,1)),[1]!interpolar(B180,OFFSET(Curvas_cupon_cero!$A$1,1,0,COUNT(Curvas_cupon_cero!$A:$A)-2,1),OFFSET(Curvas_cupon_cero!$A$1,1,MATCH($B$8,Curvas_cupon_cero!$1:$1,0)-1,COUNT(Curvas_cupon_cero!$A:$A)-2,1))))</f>
        <v/>
      </c>
      <c r="D180" s="23" t="str">
        <f ca="1">IF(A180="","",IF($B$10="Sí",interpolar_alamb(L180,OFFSET(Curvas_cupon_cero!$A$1,1,0,COUNT(Curvas_cupon_cero!$A:$A)-2,1),OFFSET(Curvas_cupon_cero!$A$1,1,MATCH($B$8,Curvas_cupon_cero!$1:$1,0)-1,COUNT(Curvas_cupon_cero!$A:$A)-2,1)),[1]!interpolar(L180,OFFSET(Curvas_cupon_cero!$A$1,1,0,COUNT(Curvas_cupon_cero!$A:$A)-2,1),OFFSET(Curvas_cupon_cero!$A$1,1,MATCH($B$8,Curvas_cupon_cero!$1:$1,0)-1,COUNT(Curvas_cupon_cero!$A:$A)-2,1))))</f>
        <v/>
      </c>
      <c r="E180" s="23" t="str">
        <f t="shared" si="23"/>
        <v/>
      </c>
      <c r="F180" s="23" t="str">
        <f ca="1">IF(A180="","",IF($B$10="Sí",interpolar_alamb(B180,OFFSET(Curvas_cupon_cero!$A$1,1,0,COUNT(Curvas_cupon_cero!$A:$A)-2,1),OFFSET(Curvas_cupon_cero!$A$1,1,MATCH($B$9,Curvas_cupon_cero!$1:$1,0)-1,COUNT(Curvas_cupon_cero!$A:$A)-2,1)),[1]!interpolar(B180,OFFSET(Curvas_cupon_cero!$A$1,1,0,COUNT(Curvas_cupon_cero!$A:$A)-2,1),OFFSET(Curvas_cupon_cero!$A$1,1,MATCH($B$9,Curvas_cupon_cero!$1:$1,0)-1,COUNT(Curvas_cupon_cero!$A:$A)-2,1))))</f>
        <v/>
      </c>
      <c r="G180" s="23" t="str">
        <f t="shared" si="24"/>
        <v/>
      </c>
      <c r="H180" s="20" t="str">
        <f t="shared" si="29"/>
        <v/>
      </c>
      <c r="I180" t="str">
        <f t="shared" si="25"/>
        <v/>
      </c>
      <c r="J180" s="17" t="str">
        <f t="shared" si="21"/>
        <v/>
      </c>
      <c r="K180" s="18" t="str">
        <f t="shared" si="26"/>
        <v/>
      </c>
      <c r="L180" t="str">
        <f t="shared" si="27"/>
        <v/>
      </c>
      <c r="M180" s="23" t="str">
        <f ca="1">IF(A180="","",IF($B$10="Sí",interpolar_alamb(L180,OFFSET(Curvas_cupon_cero!$A$1,1,0,COUNT(Curvas_cupon_cero!$A:$A)-2,1),OFFSET(Curvas_cupon_cero!$A$1,1,MATCH($B$6,Curvas_cupon_cero!$1:$1,0)-1,COUNT(Curvas_cupon_cero!$A:$A)-2,1)),[1]!interpolar(L180,OFFSET(Curvas_cupon_cero!$A$1,1,0,COUNT(Curvas_cupon_cero!$A:$A)-2,1),OFFSET(Curvas_cupon_cero!$A$1,1,MATCH($B$6,Curvas_cupon_cero!$1:$1,0)-1,COUNT(Curvas_cupon_cero!$A:$A)-2,1))))</f>
        <v/>
      </c>
      <c r="N180" s="23"/>
      <c r="O180" s="19" t="str">
        <f t="shared" si="28"/>
        <v/>
      </c>
    </row>
    <row r="181" spans="1:15" x14ac:dyDescent="0.2">
      <c r="A181" s="12" t="str">
        <f t="shared" si="22"/>
        <v/>
      </c>
      <c r="B181" t="str">
        <f t="shared" si="20"/>
        <v/>
      </c>
      <c r="C181" s="21" t="str">
        <f ca="1">IF(A181="","",IF($B$10="Sí",interpolar_alamb(B181,OFFSET(Curvas_cupon_cero!$A$1,1,0,COUNT(Curvas_cupon_cero!$A:$A)-2,1),OFFSET(Curvas_cupon_cero!$A$1,1,MATCH($B$8,Curvas_cupon_cero!$1:$1,0)-1,COUNT(Curvas_cupon_cero!$A:$A)-2,1)),[1]!interpolar(B181,OFFSET(Curvas_cupon_cero!$A$1,1,0,COUNT(Curvas_cupon_cero!$A:$A)-2,1),OFFSET(Curvas_cupon_cero!$A$1,1,MATCH($B$8,Curvas_cupon_cero!$1:$1,0)-1,COUNT(Curvas_cupon_cero!$A:$A)-2,1))))</f>
        <v/>
      </c>
      <c r="D181" s="23" t="str">
        <f ca="1">IF(A181="","",IF($B$10="Sí",interpolar_alamb(L181,OFFSET(Curvas_cupon_cero!$A$1,1,0,COUNT(Curvas_cupon_cero!$A:$A)-2,1),OFFSET(Curvas_cupon_cero!$A$1,1,MATCH($B$8,Curvas_cupon_cero!$1:$1,0)-1,COUNT(Curvas_cupon_cero!$A:$A)-2,1)),[1]!interpolar(L181,OFFSET(Curvas_cupon_cero!$A$1,1,0,COUNT(Curvas_cupon_cero!$A:$A)-2,1),OFFSET(Curvas_cupon_cero!$A$1,1,MATCH($B$8,Curvas_cupon_cero!$1:$1,0)-1,COUNT(Curvas_cupon_cero!$A:$A)-2,1))))</f>
        <v/>
      </c>
      <c r="E181" s="23" t="str">
        <f t="shared" si="23"/>
        <v/>
      </c>
      <c r="F181" s="23" t="str">
        <f ca="1">IF(A181="","",IF($B$10="Sí",interpolar_alamb(B181,OFFSET(Curvas_cupon_cero!$A$1,1,0,COUNT(Curvas_cupon_cero!$A:$A)-2,1),OFFSET(Curvas_cupon_cero!$A$1,1,MATCH($B$9,Curvas_cupon_cero!$1:$1,0)-1,COUNT(Curvas_cupon_cero!$A:$A)-2,1)),[1]!interpolar(B181,OFFSET(Curvas_cupon_cero!$A$1,1,0,COUNT(Curvas_cupon_cero!$A:$A)-2,1),OFFSET(Curvas_cupon_cero!$A$1,1,MATCH($B$9,Curvas_cupon_cero!$1:$1,0)-1,COUNT(Curvas_cupon_cero!$A:$A)-2,1))))</f>
        <v/>
      </c>
      <c r="G181" s="23" t="str">
        <f t="shared" si="24"/>
        <v/>
      </c>
      <c r="H181" s="20" t="str">
        <f t="shared" si="29"/>
        <v/>
      </c>
      <c r="I181" t="str">
        <f t="shared" si="25"/>
        <v/>
      </c>
      <c r="J181" s="17" t="str">
        <f t="shared" si="21"/>
        <v/>
      </c>
      <c r="K181" s="18" t="str">
        <f t="shared" si="26"/>
        <v/>
      </c>
      <c r="L181" t="str">
        <f t="shared" si="27"/>
        <v/>
      </c>
      <c r="M181" s="23" t="str">
        <f ca="1">IF(A181="","",IF($B$10="Sí",interpolar_alamb(L181,OFFSET(Curvas_cupon_cero!$A$1,1,0,COUNT(Curvas_cupon_cero!$A:$A)-2,1),OFFSET(Curvas_cupon_cero!$A$1,1,MATCH($B$6,Curvas_cupon_cero!$1:$1,0)-1,COUNT(Curvas_cupon_cero!$A:$A)-2,1)),[1]!interpolar(L181,OFFSET(Curvas_cupon_cero!$A$1,1,0,COUNT(Curvas_cupon_cero!$A:$A)-2,1),OFFSET(Curvas_cupon_cero!$A$1,1,MATCH($B$6,Curvas_cupon_cero!$1:$1,0)-1,COUNT(Curvas_cupon_cero!$A:$A)-2,1))))</f>
        <v/>
      </c>
      <c r="N181" s="23"/>
      <c r="O181" s="19" t="str">
        <f t="shared" si="28"/>
        <v/>
      </c>
    </row>
    <row r="182" spans="1:15" x14ac:dyDescent="0.2">
      <c r="A182" s="12" t="str">
        <f t="shared" si="22"/>
        <v/>
      </c>
      <c r="B182" t="str">
        <f t="shared" si="20"/>
        <v/>
      </c>
      <c r="C182" s="21" t="str">
        <f ca="1">IF(A182="","",IF($B$10="Sí",interpolar_alamb(B182,OFFSET(Curvas_cupon_cero!$A$1,1,0,COUNT(Curvas_cupon_cero!$A:$A)-2,1),OFFSET(Curvas_cupon_cero!$A$1,1,MATCH($B$8,Curvas_cupon_cero!$1:$1,0)-1,COUNT(Curvas_cupon_cero!$A:$A)-2,1)),[1]!interpolar(B182,OFFSET(Curvas_cupon_cero!$A$1,1,0,COUNT(Curvas_cupon_cero!$A:$A)-2,1),OFFSET(Curvas_cupon_cero!$A$1,1,MATCH($B$8,Curvas_cupon_cero!$1:$1,0)-1,COUNT(Curvas_cupon_cero!$A:$A)-2,1))))</f>
        <v/>
      </c>
      <c r="D182" s="23" t="str">
        <f ca="1">IF(A182="","",IF($B$10="Sí",interpolar_alamb(L182,OFFSET(Curvas_cupon_cero!$A$1,1,0,COUNT(Curvas_cupon_cero!$A:$A)-2,1),OFFSET(Curvas_cupon_cero!$A$1,1,MATCH($B$8,Curvas_cupon_cero!$1:$1,0)-1,COUNT(Curvas_cupon_cero!$A:$A)-2,1)),[1]!interpolar(L182,OFFSET(Curvas_cupon_cero!$A$1,1,0,COUNT(Curvas_cupon_cero!$A:$A)-2,1),OFFSET(Curvas_cupon_cero!$A$1,1,MATCH($B$8,Curvas_cupon_cero!$1:$1,0)-1,COUNT(Curvas_cupon_cero!$A:$A)-2,1))))</f>
        <v/>
      </c>
      <c r="E182" s="23" t="str">
        <f t="shared" si="23"/>
        <v/>
      </c>
      <c r="F182" s="23" t="str">
        <f ca="1">IF(A182="","",IF($B$10="Sí",interpolar_alamb(B182,OFFSET(Curvas_cupon_cero!$A$1,1,0,COUNT(Curvas_cupon_cero!$A:$A)-2,1),OFFSET(Curvas_cupon_cero!$A$1,1,MATCH($B$9,Curvas_cupon_cero!$1:$1,0)-1,COUNT(Curvas_cupon_cero!$A:$A)-2,1)),[1]!interpolar(B182,OFFSET(Curvas_cupon_cero!$A$1,1,0,COUNT(Curvas_cupon_cero!$A:$A)-2,1),OFFSET(Curvas_cupon_cero!$A$1,1,MATCH($B$9,Curvas_cupon_cero!$1:$1,0)-1,COUNT(Curvas_cupon_cero!$A:$A)-2,1))))</f>
        <v/>
      </c>
      <c r="G182" s="23" t="str">
        <f t="shared" si="24"/>
        <v/>
      </c>
      <c r="H182" s="20" t="str">
        <f t="shared" si="29"/>
        <v/>
      </c>
      <c r="I182" t="str">
        <f t="shared" si="25"/>
        <v/>
      </c>
      <c r="J182" s="17" t="str">
        <f t="shared" si="21"/>
        <v/>
      </c>
      <c r="K182" s="18" t="str">
        <f t="shared" si="26"/>
        <v/>
      </c>
      <c r="L182" t="str">
        <f t="shared" si="27"/>
        <v/>
      </c>
      <c r="M182" s="23" t="str">
        <f ca="1">IF(A182="","",IF($B$10="Sí",interpolar_alamb(L182,OFFSET(Curvas_cupon_cero!$A$1,1,0,COUNT(Curvas_cupon_cero!$A:$A)-2,1),OFFSET(Curvas_cupon_cero!$A$1,1,MATCH($B$6,Curvas_cupon_cero!$1:$1,0)-1,COUNT(Curvas_cupon_cero!$A:$A)-2,1)),[1]!interpolar(L182,OFFSET(Curvas_cupon_cero!$A$1,1,0,COUNT(Curvas_cupon_cero!$A:$A)-2,1),OFFSET(Curvas_cupon_cero!$A$1,1,MATCH($B$6,Curvas_cupon_cero!$1:$1,0)-1,COUNT(Curvas_cupon_cero!$A:$A)-2,1))))</f>
        <v/>
      </c>
      <c r="N182" s="23"/>
      <c r="O182" s="19" t="str">
        <f t="shared" si="28"/>
        <v/>
      </c>
    </row>
    <row r="183" spans="1:15" x14ac:dyDescent="0.2">
      <c r="A183" s="12" t="str">
        <f t="shared" si="22"/>
        <v/>
      </c>
      <c r="B183" t="str">
        <f t="shared" si="20"/>
        <v/>
      </c>
      <c r="C183" s="21" t="str">
        <f ca="1">IF(A183="","",IF($B$10="Sí",interpolar_alamb(B183,OFFSET(Curvas_cupon_cero!$A$1,1,0,COUNT(Curvas_cupon_cero!$A:$A)-2,1),OFFSET(Curvas_cupon_cero!$A$1,1,MATCH($B$8,Curvas_cupon_cero!$1:$1,0)-1,COUNT(Curvas_cupon_cero!$A:$A)-2,1)),[1]!interpolar(B183,OFFSET(Curvas_cupon_cero!$A$1,1,0,COUNT(Curvas_cupon_cero!$A:$A)-2,1),OFFSET(Curvas_cupon_cero!$A$1,1,MATCH($B$8,Curvas_cupon_cero!$1:$1,0)-1,COUNT(Curvas_cupon_cero!$A:$A)-2,1))))</f>
        <v/>
      </c>
      <c r="D183" s="23" t="str">
        <f ca="1">IF(A183="","",IF($B$10="Sí",interpolar_alamb(L183,OFFSET(Curvas_cupon_cero!$A$1,1,0,COUNT(Curvas_cupon_cero!$A:$A)-2,1),OFFSET(Curvas_cupon_cero!$A$1,1,MATCH($B$8,Curvas_cupon_cero!$1:$1,0)-1,COUNT(Curvas_cupon_cero!$A:$A)-2,1)),[1]!interpolar(L183,OFFSET(Curvas_cupon_cero!$A$1,1,0,COUNT(Curvas_cupon_cero!$A:$A)-2,1),OFFSET(Curvas_cupon_cero!$A$1,1,MATCH($B$8,Curvas_cupon_cero!$1:$1,0)-1,COUNT(Curvas_cupon_cero!$A:$A)-2,1))))</f>
        <v/>
      </c>
      <c r="E183" s="23" t="str">
        <f t="shared" si="23"/>
        <v/>
      </c>
      <c r="F183" s="23" t="str">
        <f ca="1">IF(A183="","",IF($B$10="Sí",interpolar_alamb(B183,OFFSET(Curvas_cupon_cero!$A$1,1,0,COUNT(Curvas_cupon_cero!$A:$A)-2,1),OFFSET(Curvas_cupon_cero!$A$1,1,MATCH($B$9,Curvas_cupon_cero!$1:$1,0)-1,COUNT(Curvas_cupon_cero!$A:$A)-2,1)),[1]!interpolar(B183,OFFSET(Curvas_cupon_cero!$A$1,1,0,COUNT(Curvas_cupon_cero!$A:$A)-2,1),OFFSET(Curvas_cupon_cero!$A$1,1,MATCH($B$9,Curvas_cupon_cero!$1:$1,0)-1,COUNT(Curvas_cupon_cero!$A:$A)-2,1))))</f>
        <v/>
      </c>
      <c r="G183" s="23" t="str">
        <f t="shared" si="24"/>
        <v/>
      </c>
      <c r="H183" s="20" t="str">
        <f t="shared" si="29"/>
        <v/>
      </c>
      <c r="I183" t="str">
        <f t="shared" si="25"/>
        <v/>
      </c>
      <c r="J183" s="17" t="str">
        <f t="shared" si="21"/>
        <v/>
      </c>
      <c r="K183" s="18" t="str">
        <f t="shared" si="26"/>
        <v/>
      </c>
      <c r="L183" t="str">
        <f t="shared" si="27"/>
        <v/>
      </c>
      <c r="M183" s="23" t="str">
        <f ca="1">IF(A183="","",IF($B$10="Sí",interpolar_alamb(L183,OFFSET(Curvas_cupon_cero!$A$1,1,0,COUNT(Curvas_cupon_cero!$A:$A)-2,1),OFFSET(Curvas_cupon_cero!$A$1,1,MATCH($B$6,Curvas_cupon_cero!$1:$1,0)-1,COUNT(Curvas_cupon_cero!$A:$A)-2,1)),[1]!interpolar(L183,OFFSET(Curvas_cupon_cero!$A$1,1,0,COUNT(Curvas_cupon_cero!$A:$A)-2,1),OFFSET(Curvas_cupon_cero!$A$1,1,MATCH($B$6,Curvas_cupon_cero!$1:$1,0)-1,COUNT(Curvas_cupon_cero!$A:$A)-2,1))))</f>
        <v/>
      </c>
      <c r="N183" s="23"/>
      <c r="O183" s="19" t="str">
        <f t="shared" si="28"/>
        <v/>
      </c>
    </row>
    <row r="184" spans="1:15" x14ac:dyDescent="0.2">
      <c r="A184" s="12" t="str">
        <f t="shared" si="22"/>
        <v/>
      </c>
      <c r="B184" t="str">
        <f t="shared" si="20"/>
        <v/>
      </c>
      <c r="C184" s="21" t="str">
        <f ca="1">IF(A184="","",IF($B$10="Sí",interpolar_alamb(B184,OFFSET(Curvas_cupon_cero!$A$1,1,0,COUNT(Curvas_cupon_cero!$A:$A)-2,1),OFFSET(Curvas_cupon_cero!$A$1,1,MATCH($B$8,Curvas_cupon_cero!$1:$1,0)-1,COUNT(Curvas_cupon_cero!$A:$A)-2,1)),[1]!interpolar(B184,OFFSET(Curvas_cupon_cero!$A$1,1,0,COUNT(Curvas_cupon_cero!$A:$A)-2,1),OFFSET(Curvas_cupon_cero!$A$1,1,MATCH($B$8,Curvas_cupon_cero!$1:$1,0)-1,COUNT(Curvas_cupon_cero!$A:$A)-2,1))))</f>
        <v/>
      </c>
      <c r="D184" s="23" t="str">
        <f ca="1">IF(A184="","",IF($B$10="Sí",interpolar_alamb(L184,OFFSET(Curvas_cupon_cero!$A$1,1,0,COUNT(Curvas_cupon_cero!$A:$A)-2,1),OFFSET(Curvas_cupon_cero!$A$1,1,MATCH($B$8,Curvas_cupon_cero!$1:$1,0)-1,COUNT(Curvas_cupon_cero!$A:$A)-2,1)),[1]!interpolar(L184,OFFSET(Curvas_cupon_cero!$A$1,1,0,COUNT(Curvas_cupon_cero!$A:$A)-2,1),OFFSET(Curvas_cupon_cero!$A$1,1,MATCH($B$8,Curvas_cupon_cero!$1:$1,0)-1,COUNT(Curvas_cupon_cero!$A:$A)-2,1))))</f>
        <v/>
      </c>
      <c r="E184" s="23" t="str">
        <f t="shared" si="23"/>
        <v/>
      </c>
      <c r="F184" s="23" t="str">
        <f ca="1">IF(A184="","",IF($B$10="Sí",interpolar_alamb(B184,OFFSET(Curvas_cupon_cero!$A$1,1,0,COUNT(Curvas_cupon_cero!$A:$A)-2,1),OFFSET(Curvas_cupon_cero!$A$1,1,MATCH($B$9,Curvas_cupon_cero!$1:$1,0)-1,COUNT(Curvas_cupon_cero!$A:$A)-2,1)),[1]!interpolar(B184,OFFSET(Curvas_cupon_cero!$A$1,1,0,COUNT(Curvas_cupon_cero!$A:$A)-2,1),OFFSET(Curvas_cupon_cero!$A$1,1,MATCH($B$9,Curvas_cupon_cero!$1:$1,0)-1,COUNT(Curvas_cupon_cero!$A:$A)-2,1))))</f>
        <v/>
      </c>
      <c r="G184" s="23" t="str">
        <f t="shared" si="24"/>
        <v/>
      </c>
      <c r="H184" s="20" t="str">
        <f t="shared" si="29"/>
        <v/>
      </c>
      <c r="I184" t="str">
        <f t="shared" si="25"/>
        <v/>
      </c>
      <c r="J184" s="17" t="str">
        <f t="shared" si="21"/>
        <v/>
      </c>
      <c r="K184" s="18" t="str">
        <f t="shared" si="26"/>
        <v/>
      </c>
      <c r="L184" t="str">
        <f t="shared" si="27"/>
        <v/>
      </c>
      <c r="M184" s="23" t="str">
        <f ca="1">IF(A184="","",IF($B$10="Sí",interpolar_alamb(L184,OFFSET(Curvas_cupon_cero!$A$1,1,0,COUNT(Curvas_cupon_cero!$A:$A)-2,1),OFFSET(Curvas_cupon_cero!$A$1,1,MATCH($B$6,Curvas_cupon_cero!$1:$1,0)-1,COUNT(Curvas_cupon_cero!$A:$A)-2,1)),[1]!interpolar(L184,OFFSET(Curvas_cupon_cero!$A$1,1,0,COUNT(Curvas_cupon_cero!$A:$A)-2,1),OFFSET(Curvas_cupon_cero!$A$1,1,MATCH($B$6,Curvas_cupon_cero!$1:$1,0)-1,COUNT(Curvas_cupon_cero!$A:$A)-2,1))))</f>
        <v/>
      </c>
      <c r="N184" s="23"/>
      <c r="O184" s="19" t="str">
        <f t="shared" si="28"/>
        <v/>
      </c>
    </row>
    <row r="185" spans="1:15" x14ac:dyDescent="0.2">
      <c r="A185" s="12" t="str">
        <f t="shared" si="22"/>
        <v/>
      </c>
      <c r="B185" t="str">
        <f t="shared" si="20"/>
        <v/>
      </c>
      <c r="C185" s="21" t="str">
        <f ca="1">IF(A185="","",IF($B$10="Sí",interpolar_alamb(B185,OFFSET(Curvas_cupon_cero!$A$1,1,0,COUNT(Curvas_cupon_cero!$A:$A)-2,1),OFFSET(Curvas_cupon_cero!$A$1,1,MATCH($B$8,Curvas_cupon_cero!$1:$1,0)-1,COUNT(Curvas_cupon_cero!$A:$A)-2,1)),[1]!interpolar(B185,OFFSET(Curvas_cupon_cero!$A$1,1,0,COUNT(Curvas_cupon_cero!$A:$A)-2,1),OFFSET(Curvas_cupon_cero!$A$1,1,MATCH($B$8,Curvas_cupon_cero!$1:$1,0)-1,COUNT(Curvas_cupon_cero!$A:$A)-2,1))))</f>
        <v/>
      </c>
      <c r="D185" s="23" t="str">
        <f ca="1">IF(A185="","",IF($B$10="Sí",interpolar_alamb(L185,OFFSET(Curvas_cupon_cero!$A$1,1,0,COUNT(Curvas_cupon_cero!$A:$A)-2,1),OFFSET(Curvas_cupon_cero!$A$1,1,MATCH($B$8,Curvas_cupon_cero!$1:$1,0)-1,COUNT(Curvas_cupon_cero!$A:$A)-2,1)),[1]!interpolar(L185,OFFSET(Curvas_cupon_cero!$A$1,1,0,COUNT(Curvas_cupon_cero!$A:$A)-2,1),OFFSET(Curvas_cupon_cero!$A$1,1,MATCH($B$8,Curvas_cupon_cero!$1:$1,0)-1,COUNT(Curvas_cupon_cero!$A:$A)-2,1))))</f>
        <v/>
      </c>
      <c r="E185" s="23" t="str">
        <f t="shared" si="23"/>
        <v/>
      </c>
      <c r="F185" s="23" t="str">
        <f ca="1">IF(A185="","",IF($B$10="Sí",interpolar_alamb(B185,OFFSET(Curvas_cupon_cero!$A$1,1,0,COUNT(Curvas_cupon_cero!$A:$A)-2,1),OFFSET(Curvas_cupon_cero!$A$1,1,MATCH($B$9,Curvas_cupon_cero!$1:$1,0)-1,COUNT(Curvas_cupon_cero!$A:$A)-2,1)),[1]!interpolar(B185,OFFSET(Curvas_cupon_cero!$A$1,1,0,COUNT(Curvas_cupon_cero!$A:$A)-2,1),OFFSET(Curvas_cupon_cero!$A$1,1,MATCH($B$9,Curvas_cupon_cero!$1:$1,0)-1,COUNT(Curvas_cupon_cero!$A:$A)-2,1))))</f>
        <v/>
      </c>
      <c r="G185" s="23" t="str">
        <f t="shared" si="24"/>
        <v/>
      </c>
      <c r="H185" s="20" t="str">
        <f t="shared" si="29"/>
        <v/>
      </c>
      <c r="I185" t="str">
        <f t="shared" si="25"/>
        <v/>
      </c>
      <c r="J185" s="17" t="str">
        <f t="shared" si="21"/>
        <v/>
      </c>
      <c r="K185" s="18" t="str">
        <f t="shared" si="26"/>
        <v/>
      </c>
      <c r="L185" t="str">
        <f t="shared" si="27"/>
        <v/>
      </c>
      <c r="M185" s="23" t="str">
        <f ca="1">IF(A185="","",IF($B$10="Sí",interpolar_alamb(L185,OFFSET(Curvas_cupon_cero!$A$1,1,0,COUNT(Curvas_cupon_cero!$A:$A)-2,1),OFFSET(Curvas_cupon_cero!$A$1,1,MATCH($B$6,Curvas_cupon_cero!$1:$1,0)-1,COUNT(Curvas_cupon_cero!$A:$A)-2,1)),[1]!interpolar(L185,OFFSET(Curvas_cupon_cero!$A$1,1,0,COUNT(Curvas_cupon_cero!$A:$A)-2,1),OFFSET(Curvas_cupon_cero!$A$1,1,MATCH($B$6,Curvas_cupon_cero!$1:$1,0)-1,COUNT(Curvas_cupon_cero!$A:$A)-2,1))))</f>
        <v/>
      </c>
      <c r="N185" s="23"/>
      <c r="O185" s="19" t="str">
        <f t="shared" si="28"/>
        <v/>
      </c>
    </row>
    <row r="186" spans="1:15" x14ac:dyDescent="0.2">
      <c r="A186" s="12" t="str">
        <f t="shared" si="22"/>
        <v/>
      </c>
      <c r="B186" t="str">
        <f t="shared" si="20"/>
        <v/>
      </c>
      <c r="C186" s="21" t="str">
        <f ca="1">IF(A186="","",IF($B$10="Sí",interpolar_alamb(B186,OFFSET(Curvas_cupon_cero!$A$1,1,0,COUNT(Curvas_cupon_cero!$A:$A)-2,1),OFFSET(Curvas_cupon_cero!$A$1,1,MATCH($B$8,Curvas_cupon_cero!$1:$1,0)-1,COUNT(Curvas_cupon_cero!$A:$A)-2,1)),[1]!interpolar(B186,OFFSET(Curvas_cupon_cero!$A$1,1,0,COUNT(Curvas_cupon_cero!$A:$A)-2,1),OFFSET(Curvas_cupon_cero!$A$1,1,MATCH($B$8,Curvas_cupon_cero!$1:$1,0)-1,COUNT(Curvas_cupon_cero!$A:$A)-2,1))))</f>
        <v/>
      </c>
      <c r="D186" s="23" t="str">
        <f ca="1">IF(A186="","",IF($B$10="Sí",interpolar_alamb(L186,OFFSET(Curvas_cupon_cero!$A$1,1,0,COUNT(Curvas_cupon_cero!$A:$A)-2,1),OFFSET(Curvas_cupon_cero!$A$1,1,MATCH($B$8,Curvas_cupon_cero!$1:$1,0)-1,COUNT(Curvas_cupon_cero!$A:$A)-2,1)),[1]!interpolar(L186,OFFSET(Curvas_cupon_cero!$A$1,1,0,COUNT(Curvas_cupon_cero!$A:$A)-2,1),OFFSET(Curvas_cupon_cero!$A$1,1,MATCH($B$8,Curvas_cupon_cero!$1:$1,0)-1,COUNT(Curvas_cupon_cero!$A:$A)-2,1))))</f>
        <v/>
      </c>
      <c r="E186" s="23" t="str">
        <f t="shared" si="23"/>
        <v/>
      </c>
      <c r="F186" s="23" t="str">
        <f ca="1">IF(A186="","",IF($B$10="Sí",interpolar_alamb(B186,OFFSET(Curvas_cupon_cero!$A$1,1,0,COUNT(Curvas_cupon_cero!$A:$A)-2,1),OFFSET(Curvas_cupon_cero!$A$1,1,MATCH($B$9,Curvas_cupon_cero!$1:$1,0)-1,COUNT(Curvas_cupon_cero!$A:$A)-2,1)),[1]!interpolar(B186,OFFSET(Curvas_cupon_cero!$A$1,1,0,COUNT(Curvas_cupon_cero!$A:$A)-2,1),OFFSET(Curvas_cupon_cero!$A$1,1,MATCH($B$9,Curvas_cupon_cero!$1:$1,0)-1,COUNT(Curvas_cupon_cero!$A:$A)-2,1))))</f>
        <v/>
      </c>
      <c r="G186" s="23" t="str">
        <f t="shared" si="24"/>
        <v/>
      </c>
      <c r="H186" s="20" t="str">
        <f t="shared" si="29"/>
        <v/>
      </c>
      <c r="I186" t="str">
        <f t="shared" si="25"/>
        <v/>
      </c>
      <c r="J186" s="17" t="str">
        <f t="shared" si="21"/>
        <v/>
      </c>
      <c r="K186" s="18" t="str">
        <f t="shared" si="26"/>
        <v/>
      </c>
      <c r="L186" t="str">
        <f t="shared" si="27"/>
        <v/>
      </c>
      <c r="M186" s="23" t="str">
        <f ca="1">IF(A186="","",IF($B$10="Sí",interpolar_alamb(L186,OFFSET(Curvas_cupon_cero!$A$1,1,0,COUNT(Curvas_cupon_cero!$A:$A)-2,1),OFFSET(Curvas_cupon_cero!$A$1,1,MATCH($B$6,Curvas_cupon_cero!$1:$1,0)-1,COUNT(Curvas_cupon_cero!$A:$A)-2,1)),[1]!interpolar(L186,OFFSET(Curvas_cupon_cero!$A$1,1,0,COUNT(Curvas_cupon_cero!$A:$A)-2,1),OFFSET(Curvas_cupon_cero!$A$1,1,MATCH($B$6,Curvas_cupon_cero!$1:$1,0)-1,COUNT(Curvas_cupon_cero!$A:$A)-2,1))))</f>
        <v/>
      </c>
      <c r="N186" s="23"/>
      <c r="O186" s="19" t="str">
        <f t="shared" si="28"/>
        <v/>
      </c>
    </row>
    <row r="187" spans="1:15" x14ac:dyDescent="0.2">
      <c r="A187" s="12" t="str">
        <f t="shared" si="22"/>
        <v/>
      </c>
      <c r="B187" t="str">
        <f t="shared" si="20"/>
        <v/>
      </c>
      <c r="C187" s="21" t="str">
        <f ca="1">IF(A187="","",IF($B$10="Sí",interpolar_alamb(B187,OFFSET(Curvas_cupon_cero!$A$1,1,0,COUNT(Curvas_cupon_cero!$A:$A)-2,1),OFFSET(Curvas_cupon_cero!$A$1,1,MATCH($B$8,Curvas_cupon_cero!$1:$1,0)-1,COUNT(Curvas_cupon_cero!$A:$A)-2,1)),[1]!interpolar(B187,OFFSET(Curvas_cupon_cero!$A$1,1,0,COUNT(Curvas_cupon_cero!$A:$A)-2,1),OFFSET(Curvas_cupon_cero!$A$1,1,MATCH($B$8,Curvas_cupon_cero!$1:$1,0)-1,COUNT(Curvas_cupon_cero!$A:$A)-2,1))))</f>
        <v/>
      </c>
      <c r="D187" s="23" t="str">
        <f ca="1">IF(A187="","",IF($B$10="Sí",interpolar_alamb(L187,OFFSET(Curvas_cupon_cero!$A$1,1,0,COUNT(Curvas_cupon_cero!$A:$A)-2,1),OFFSET(Curvas_cupon_cero!$A$1,1,MATCH($B$8,Curvas_cupon_cero!$1:$1,0)-1,COUNT(Curvas_cupon_cero!$A:$A)-2,1)),[1]!interpolar(L187,OFFSET(Curvas_cupon_cero!$A$1,1,0,COUNT(Curvas_cupon_cero!$A:$A)-2,1),OFFSET(Curvas_cupon_cero!$A$1,1,MATCH($B$8,Curvas_cupon_cero!$1:$1,0)-1,COUNT(Curvas_cupon_cero!$A:$A)-2,1))))</f>
        <v/>
      </c>
      <c r="E187" s="23" t="str">
        <f t="shared" si="23"/>
        <v/>
      </c>
      <c r="F187" s="23" t="str">
        <f ca="1">IF(A187="","",IF($B$10="Sí",interpolar_alamb(B187,OFFSET(Curvas_cupon_cero!$A$1,1,0,COUNT(Curvas_cupon_cero!$A:$A)-2,1),OFFSET(Curvas_cupon_cero!$A$1,1,MATCH($B$9,Curvas_cupon_cero!$1:$1,0)-1,COUNT(Curvas_cupon_cero!$A:$A)-2,1)),[1]!interpolar(B187,OFFSET(Curvas_cupon_cero!$A$1,1,0,COUNT(Curvas_cupon_cero!$A:$A)-2,1),OFFSET(Curvas_cupon_cero!$A$1,1,MATCH($B$9,Curvas_cupon_cero!$1:$1,0)-1,COUNT(Curvas_cupon_cero!$A:$A)-2,1))))</f>
        <v/>
      </c>
      <c r="G187" s="23" t="str">
        <f t="shared" si="24"/>
        <v/>
      </c>
      <c r="H187" s="20" t="str">
        <f t="shared" si="29"/>
        <v/>
      </c>
      <c r="I187" t="str">
        <f t="shared" si="25"/>
        <v/>
      </c>
      <c r="J187" s="17" t="str">
        <f t="shared" si="21"/>
        <v/>
      </c>
      <c r="K187" s="18" t="str">
        <f t="shared" si="26"/>
        <v/>
      </c>
      <c r="L187" t="str">
        <f t="shared" si="27"/>
        <v/>
      </c>
      <c r="M187" s="23" t="str">
        <f ca="1">IF(A187="","",IF($B$10="Sí",interpolar_alamb(L187,OFFSET(Curvas_cupon_cero!$A$1,1,0,COUNT(Curvas_cupon_cero!$A:$A)-2,1),OFFSET(Curvas_cupon_cero!$A$1,1,MATCH($B$6,Curvas_cupon_cero!$1:$1,0)-1,COUNT(Curvas_cupon_cero!$A:$A)-2,1)),[1]!interpolar(L187,OFFSET(Curvas_cupon_cero!$A$1,1,0,COUNT(Curvas_cupon_cero!$A:$A)-2,1),OFFSET(Curvas_cupon_cero!$A$1,1,MATCH($B$6,Curvas_cupon_cero!$1:$1,0)-1,COUNT(Curvas_cupon_cero!$A:$A)-2,1))))</f>
        <v/>
      </c>
      <c r="N187" s="23"/>
      <c r="O187" s="19" t="str">
        <f t="shared" si="28"/>
        <v/>
      </c>
    </row>
    <row r="188" spans="1:15" x14ac:dyDescent="0.2">
      <c r="A188" s="12" t="str">
        <f t="shared" si="22"/>
        <v/>
      </c>
      <c r="B188" t="str">
        <f t="shared" si="20"/>
        <v/>
      </c>
      <c r="C188" s="21" t="str">
        <f ca="1">IF(A188="","",IF($B$10="Sí",interpolar_alamb(B188,OFFSET(Curvas_cupon_cero!$A$1,1,0,COUNT(Curvas_cupon_cero!$A:$A)-2,1),OFFSET(Curvas_cupon_cero!$A$1,1,MATCH($B$8,Curvas_cupon_cero!$1:$1,0)-1,COUNT(Curvas_cupon_cero!$A:$A)-2,1)),[1]!interpolar(B188,OFFSET(Curvas_cupon_cero!$A$1,1,0,COUNT(Curvas_cupon_cero!$A:$A)-2,1),OFFSET(Curvas_cupon_cero!$A$1,1,MATCH($B$8,Curvas_cupon_cero!$1:$1,0)-1,COUNT(Curvas_cupon_cero!$A:$A)-2,1))))</f>
        <v/>
      </c>
      <c r="D188" s="23" t="str">
        <f ca="1">IF(A188="","",IF($B$10="Sí",interpolar_alamb(L188,OFFSET(Curvas_cupon_cero!$A$1,1,0,COUNT(Curvas_cupon_cero!$A:$A)-2,1),OFFSET(Curvas_cupon_cero!$A$1,1,MATCH($B$8,Curvas_cupon_cero!$1:$1,0)-1,COUNT(Curvas_cupon_cero!$A:$A)-2,1)),[1]!interpolar(L188,OFFSET(Curvas_cupon_cero!$A$1,1,0,COUNT(Curvas_cupon_cero!$A:$A)-2,1),OFFSET(Curvas_cupon_cero!$A$1,1,MATCH($B$8,Curvas_cupon_cero!$1:$1,0)-1,COUNT(Curvas_cupon_cero!$A:$A)-2,1))))</f>
        <v/>
      </c>
      <c r="E188" s="23" t="str">
        <f t="shared" si="23"/>
        <v/>
      </c>
      <c r="F188" s="23" t="str">
        <f ca="1">IF(A188="","",IF($B$10="Sí",interpolar_alamb(B188,OFFSET(Curvas_cupon_cero!$A$1,1,0,COUNT(Curvas_cupon_cero!$A:$A)-2,1),OFFSET(Curvas_cupon_cero!$A$1,1,MATCH($B$9,Curvas_cupon_cero!$1:$1,0)-1,COUNT(Curvas_cupon_cero!$A:$A)-2,1)),[1]!interpolar(B188,OFFSET(Curvas_cupon_cero!$A$1,1,0,COUNT(Curvas_cupon_cero!$A:$A)-2,1),OFFSET(Curvas_cupon_cero!$A$1,1,MATCH($B$9,Curvas_cupon_cero!$1:$1,0)-1,COUNT(Curvas_cupon_cero!$A:$A)-2,1))))</f>
        <v/>
      </c>
      <c r="G188" s="23" t="str">
        <f t="shared" si="24"/>
        <v/>
      </c>
      <c r="H188" s="20" t="str">
        <f t="shared" si="29"/>
        <v/>
      </c>
      <c r="I188" t="str">
        <f t="shared" si="25"/>
        <v/>
      </c>
      <c r="J188" s="17" t="str">
        <f t="shared" si="21"/>
        <v/>
      </c>
      <c r="K188" s="18" t="str">
        <f t="shared" si="26"/>
        <v/>
      </c>
      <c r="L188" t="str">
        <f t="shared" si="27"/>
        <v/>
      </c>
      <c r="M188" s="23" t="str">
        <f ca="1">IF(A188="","",IF($B$10="Sí",interpolar_alamb(L188,OFFSET(Curvas_cupon_cero!$A$1,1,0,COUNT(Curvas_cupon_cero!$A:$A)-2,1),OFFSET(Curvas_cupon_cero!$A$1,1,MATCH($B$6,Curvas_cupon_cero!$1:$1,0)-1,COUNT(Curvas_cupon_cero!$A:$A)-2,1)),[1]!interpolar(L188,OFFSET(Curvas_cupon_cero!$A$1,1,0,COUNT(Curvas_cupon_cero!$A:$A)-2,1),OFFSET(Curvas_cupon_cero!$A$1,1,MATCH($B$6,Curvas_cupon_cero!$1:$1,0)-1,COUNT(Curvas_cupon_cero!$A:$A)-2,1))))</f>
        <v/>
      </c>
      <c r="N188" s="23"/>
      <c r="O188" s="19" t="str">
        <f t="shared" si="28"/>
        <v/>
      </c>
    </row>
    <row r="189" spans="1:15" x14ac:dyDescent="0.2">
      <c r="A189" s="12" t="str">
        <f t="shared" si="22"/>
        <v/>
      </c>
      <c r="B189" t="str">
        <f t="shared" si="20"/>
        <v/>
      </c>
      <c r="C189" s="21" t="str">
        <f ca="1">IF(A189="","",IF($B$10="Sí",interpolar_alamb(B189,OFFSET(Curvas_cupon_cero!$A$1,1,0,COUNT(Curvas_cupon_cero!$A:$A)-2,1),OFFSET(Curvas_cupon_cero!$A$1,1,MATCH($B$8,Curvas_cupon_cero!$1:$1,0)-1,COUNT(Curvas_cupon_cero!$A:$A)-2,1)),[1]!interpolar(B189,OFFSET(Curvas_cupon_cero!$A$1,1,0,COUNT(Curvas_cupon_cero!$A:$A)-2,1),OFFSET(Curvas_cupon_cero!$A$1,1,MATCH($B$8,Curvas_cupon_cero!$1:$1,0)-1,COUNT(Curvas_cupon_cero!$A:$A)-2,1))))</f>
        <v/>
      </c>
      <c r="D189" s="23" t="str">
        <f ca="1">IF(A189="","",IF($B$10="Sí",interpolar_alamb(L189,OFFSET(Curvas_cupon_cero!$A$1,1,0,COUNT(Curvas_cupon_cero!$A:$A)-2,1),OFFSET(Curvas_cupon_cero!$A$1,1,MATCH($B$8,Curvas_cupon_cero!$1:$1,0)-1,COUNT(Curvas_cupon_cero!$A:$A)-2,1)),[1]!interpolar(L189,OFFSET(Curvas_cupon_cero!$A$1,1,0,COUNT(Curvas_cupon_cero!$A:$A)-2,1),OFFSET(Curvas_cupon_cero!$A$1,1,MATCH($B$8,Curvas_cupon_cero!$1:$1,0)-1,COUNT(Curvas_cupon_cero!$A:$A)-2,1))))</f>
        <v/>
      </c>
      <c r="E189" s="23" t="str">
        <f t="shared" si="23"/>
        <v/>
      </c>
      <c r="F189" s="23" t="str">
        <f ca="1">IF(A189="","",IF($B$10="Sí",interpolar_alamb(B189,OFFSET(Curvas_cupon_cero!$A$1,1,0,COUNT(Curvas_cupon_cero!$A:$A)-2,1),OFFSET(Curvas_cupon_cero!$A$1,1,MATCH($B$9,Curvas_cupon_cero!$1:$1,0)-1,COUNT(Curvas_cupon_cero!$A:$A)-2,1)),[1]!interpolar(B189,OFFSET(Curvas_cupon_cero!$A$1,1,0,COUNT(Curvas_cupon_cero!$A:$A)-2,1),OFFSET(Curvas_cupon_cero!$A$1,1,MATCH($B$9,Curvas_cupon_cero!$1:$1,0)-1,COUNT(Curvas_cupon_cero!$A:$A)-2,1))))</f>
        <v/>
      </c>
      <c r="G189" s="23" t="str">
        <f t="shared" si="24"/>
        <v/>
      </c>
      <c r="H189" s="20" t="str">
        <f t="shared" si="29"/>
        <v/>
      </c>
      <c r="I189" t="str">
        <f t="shared" si="25"/>
        <v/>
      </c>
      <c r="J189" s="17" t="str">
        <f t="shared" si="21"/>
        <v/>
      </c>
      <c r="K189" s="18" t="str">
        <f t="shared" si="26"/>
        <v/>
      </c>
      <c r="L189" t="str">
        <f t="shared" si="27"/>
        <v/>
      </c>
      <c r="M189" s="23" t="str">
        <f ca="1">IF(A189="","",IF($B$10="Sí",interpolar_alamb(L189,OFFSET(Curvas_cupon_cero!$A$1,1,0,COUNT(Curvas_cupon_cero!$A:$A)-2,1),OFFSET(Curvas_cupon_cero!$A$1,1,MATCH($B$6,Curvas_cupon_cero!$1:$1,0)-1,COUNT(Curvas_cupon_cero!$A:$A)-2,1)),[1]!interpolar(L189,OFFSET(Curvas_cupon_cero!$A$1,1,0,COUNT(Curvas_cupon_cero!$A:$A)-2,1),OFFSET(Curvas_cupon_cero!$A$1,1,MATCH($B$6,Curvas_cupon_cero!$1:$1,0)-1,COUNT(Curvas_cupon_cero!$A:$A)-2,1))))</f>
        <v/>
      </c>
      <c r="N189" s="23"/>
      <c r="O189" s="19" t="str">
        <f t="shared" si="28"/>
        <v/>
      </c>
    </row>
    <row r="190" spans="1:15" x14ac:dyDescent="0.2">
      <c r="A190" s="12" t="str">
        <f t="shared" si="22"/>
        <v/>
      </c>
      <c r="B190" t="str">
        <f t="shared" si="20"/>
        <v/>
      </c>
      <c r="C190" s="21" t="str">
        <f ca="1">IF(A190="","",IF($B$10="Sí",interpolar_alamb(B190,OFFSET(Curvas_cupon_cero!$A$1,1,0,COUNT(Curvas_cupon_cero!$A:$A)-2,1),OFFSET(Curvas_cupon_cero!$A$1,1,MATCH($B$8,Curvas_cupon_cero!$1:$1,0)-1,COUNT(Curvas_cupon_cero!$A:$A)-2,1)),[1]!interpolar(B190,OFFSET(Curvas_cupon_cero!$A$1,1,0,COUNT(Curvas_cupon_cero!$A:$A)-2,1),OFFSET(Curvas_cupon_cero!$A$1,1,MATCH($B$8,Curvas_cupon_cero!$1:$1,0)-1,COUNT(Curvas_cupon_cero!$A:$A)-2,1))))</f>
        <v/>
      </c>
      <c r="D190" s="23" t="str">
        <f ca="1">IF(A190="","",IF($B$10="Sí",interpolar_alamb(L190,OFFSET(Curvas_cupon_cero!$A$1,1,0,COUNT(Curvas_cupon_cero!$A:$A)-2,1),OFFSET(Curvas_cupon_cero!$A$1,1,MATCH($B$8,Curvas_cupon_cero!$1:$1,0)-1,COUNT(Curvas_cupon_cero!$A:$A)-2,1)),[1]!interpolar(L190,OFFSET(Curvas_cupon_cero!$A$1,1,0,COUNT(Curvas_cupon_cero!$A:$A)-2,1),OFFSET(Curvas_cupon_cero!$A$1,1,MATCH($B$8,Curvas_cupon_cero!$1:$1,0)-1,COUNT(Curvas_cupon_cero!$A:$A)-2,1))))</f>
        <v/>
      </c>
      <c r="E190" s="23" t="str">
        <f t="shared" si="23"/>
        <v/>
      </c>
      <c r="F190" s="23" t="str">
        <f ca="1">IF(A190="","",IF($B$10="Sí",interpolar_alamb(B190,OFFSET(Curvas_cupon_cero!$A$1,1,0,COUNT(Curvas_cupon_cero!$A:$A)-2,1),OFFSET(Curvas_cupon_cero!$A$1,1,MATCH($B$9,Curvas_cupon_cero!$1:$1,0)-1,COUNT(Curvas_cupon_cero!$A:$A)-2,1)),[1]!interpolar(B190,OFFSET(Curvas_cupon_cero!$A$1,1,0,COUNT(Curvas_cupon_cero!$A:$A)-2,1),OFFSET(Curvas_cupon_cero!$A$1,1,MATCH($B$9,Curvas_cupon_cero!$1:$1,0)-1,COUNT(Curvas_cupon_cero!$A:$A)-2,1))))</f>
        <v/>
      </c>
      <c r="G190" s="23" t="str">
        <f t="shared" si="24"/>
        <v/>
      </c>
      <c r="H190" s="20" t="str">
        <f t="shared" si="29"/>
        <v/>
      </c>
      <c r="I190" t="str">
        <f t="shared" si="25"/>
        <v/>
      </c>
      <c r="J190" s="17" t="str">
        <f t="shared" si="21"/>
        <v/>
      </c>
      <c r="K190" s="18" t="str">
        <f t="shared" si="26"/>
        <v/>
      </c>
      <c r="L190" t="str">
        <f t="shared" si="27"/>
        <v/>
      </c>
      <c r="M190" s="23" t="str">
        <f ca="1">IF(A190="","",IF($B$10="Sí",interpolar_alamb(L190,OFFSET(Curvas_cupon_cero!$A$1,1,0,COUNT(Curvas_cupon_cero!$A:$A)-2,1),OFFSET(Curvas_cupon_cero!$A$1,1,MATCH($B$6,Curvas_cupon_cero!$1:$1,0)-1,COUNT(Curvas_cupon_cero!$A:$A)-2,1)),[1]!interpolar(L190,OFFSET(Curvas_cupon_cero!$A$1,1,0,COUNT(Curvas_cupon_cero!$A:$A)-2,1),OFFSET(Curvas_cupon_cero!$A$1,1,MATCH($B$6,Curvas_cupon_cero!$1:$1,0)-1,COUNT(Curvas_cupon_cero!$A:$A)-2,1))))</f>
        <v/>
      </c>
      <c r="N190" s="23"/>
      <c r="O190" s="19" t="str">
        <f t="shared" si="28"/>
        <v/>
      </c>
    </row>
    <row r="191" spans="1:15" x14ac:dyDescent="0.2">
      <c r="A191" s="12" t="str">
        <f t="shared" si="22"/>
        <v/>
      </c>
      <c r="B191" t="str">
        <f t="shared" si="20"/>
        <v/>
      </c>
      <c r="C191" s="21" t="str">
        <f ca="1">IF(A191="","",IF($B$10="Sí",interpolar_alamb(B191,OFFSET(Curvas_cupon_cero!$A$1,1,0,COUNT(Curvas_cupon_cero!$A:$A)-2,1),OFFSET(Curvas_cupon_cero!$A$1,1,MATCH($B$8,Curvas_cupon_cero!$1:$1,0)-1,COUNT(Curvas_cupon_cero!$A:$A)-2,1)),[1]!interpolar(B191,OFFSET(Curvas_cupon_cero!$A$1,1,0,COUNT(Curvas_cupon_cero!$A:$A)-2,1),OFFSET(Curvas_cupon_cero!$A$1,1,MATCH($B$8,Curvas_cupon_cero!$1:$1,0)-1,COUNT(Curvas_cupon_cero!$A:$A)-2,1))))</f>
        <v/>
      </c>
      <c r="D191" s="23" t="str">
        <f ca="1">IF(A191="","",IF($B$10="Sí",interpolar_alamb(L191,OFFSET(Curvas_cupon_cero!$A$1,1,0,COUNT(Curvas_cupon_cero!$A:$A)-2,1),OFFSET(Curvas_cupon_cero!$A$1,1,MATCH($B$8,Curvas_cupon_cero!$1:$1,0)-1,COUNT(Curvas_cupon_cero!$A:$A)-2,1)),[1]!interpolar(L191,OFFSET(Curvas_cupon_cero!$A$1,1,0,COUNT(Curvas_cupon_cero!$A:$A)-2,1),OFFSET(Curvas_cupon_cero!$A$1,1,MATCH($B$8,Curvas_cupon_cero!$1:$1,0)-1,COUNT(Curvas_cupon_cero!$A:$A)-2,1))))</f>
        <v/>
      </c>
      <c r="E191" s="23" t="str">
        <f t="shared" si="23"/>
        <v/>
      </c>
      <c r="F191" s="23" t="str">
        <f ca="1">IF(A191="","",IF($B$10="Sí",interpolar_alamb(B191,OFFSET(Curvas_cupon_cero!$A$1,1,0,COUNT(Curvas_cupon_cero!$A:$A)-2,1),OFFSET(Curvas_cupon_cero!$A$1,1,MATCH($B$9,Curvas_cupon_cero!$1:$1,0)-1,COUNT(Curvas_cupon_cero!$A:$A)-2,1)),[1]!interpolar(B191,OFFSET(Curvas_cupon_cero!$A$1,1,0,COUNT(Curvas_cupon_cero!$A:$A)-2,1),OFFSET(Curvas_cupon_cero!$A$1,1,MATCH($B$9,Curvas_cupon_cero!$1:$1,0)-1,COUNT(Curvas_cupon_cero!$A:$A)-2,1))))</f>
        <v/>
      </c>
      <c r="G191" s="23" t="str">
        <f t="shared" si="24"/>
        <v/>
      </c>
      <c r="H191" s="20" t="str">
        <f t="shared" si="29"/>
        <v/>
      </c>
      <c r="I191" t="str">
        <f t="shared" si="25"/>
        <v/>
      </c>
      <c r="J191" s="17" t="str">
        <f t="shared" si="21"/>
        <v/>
      </c>
      <c r="K191" s="18" t="str">
        <f t="shared" si="26"/>
        <v/>
      </c>
      <c r="L191" t="str">
        <f t="shared" si="27"/>
        <v/>
      </c>
      <c r="M191" s="23" t="str">
        <f ca="1">IF(A191="","",IF($B$10="Sí",interpolar_alamb(L191,OFFSET(Curvas_cupon_cero!$A$1,1,0,COUNT(Curvas_cupon_cero!$A:$A)-2,1),OFFSET(Curvas_cupon_cero!$A$1,1,MATCH($B$6,Curvas_cupon_cero!$1:$1,0)-1,COUNT(Curvas_cupon_cero!$A:$A)-2,1)),[1]!interpolar(L191,OFFSET(Curvas_cupon_cero!$A$1,1,0,COUNT(Curvas_cupon_cero!$A:$A)-2,1),OFFSET(Curvas_cupon_cero!$A$1,1,MATCH($B$6,Curvas_cupon_cero!$1:$1,0)-1,COUNT(Curvas_cupon_cero!$A:$A)-2,1))))</f>
        <v/>
      </c>
      <c r="N191" s="23"/>
      <c r="O191" s="19" t="str">
        <f t="shared" si="28"/>
        <v/>
      </c>
    </row>
    <row r="192" spans="1:15" x14ac:dyDescent="0.2">
      <c r="A192" s="12" t="str">
        <f t="shared" si="22"/>
        <v/>
      </c>
      <c r="B192" t="str">
        <f t="shared" si="20"/>
        <v/>
      </c>
      <c r="C192" s="21" t="str">
        <f ca="1">IF(A192="","",IF($B$10="Sí",interpolar_alamb(B192,OFFSET(Curvas_cupon_cero!$A$1,1,0,COUNT(Curvas_cupon_cero!$A:$A)-2,1),OFFSET(Curvas_cupon_cero!$A$1,1,MATCH($B$8,Curvas_cupon_cero!$1:$1,0)-1,COUNT(Curvas_cupon_cero!$A:$A)-2,1)),[1]!interpolar(B192,OFFSET(Curvas_cupon_cero!$A$1,1,0,COUNT(Curvas_cupon_cero!$A:$A)-2,1),OFFSET(Curvas_cupon_cero!$A$1,1,MATCH($B$8,Curvas_cupon_cero!$1:$1,0)-1,COUNT(Curvas_cupon_cero!$A:$A)-2,1))))</f>
        <v/>
      </c>
      <c r="D192" s="23" t="str">
        <f ca="1">IF(A192="","",IF($B$10="Sí",interpolar_alamb(L192,OFFSET(Curvas_cupon_cero!$A$1,1,0,COUNT(Curvas_cupon_cero!$A:$A)-2,1),OFFSET(Curvas_cupon_cero!$A$1,1,MATCH($B$8,Curvas_cupon_cero!$1:$1,0)-1,COUNT(Curvas_cupon_cero!$A:$A)-2,1)),[1]!interpolar(L192,OFFSET(Curvas_cupon_cero!$A$1,1,0,COUNT(Curvas_cupon_cero!$A:$A)-2,1),OFFSET(Curvas_cupon_cero!$A$1,1,MATCH($B$8,Curvas_cupon_cero!$1:$1,0)-1,COUNT(Curvas_cupon_cero!$A:$A)-2,1))))</f>
        <v/>
      </c>
      <c r="E192" s="23" t="str">
        <f t="shared" si="23"/>
        <v/>
      </c>
      <c r="F192" s="23" t="str">
        <f ca="1">IF(A192="","",IF($B$10="Sí",interpolar_alamb(B192,OFFSET(Curvas_cupon_cero!$A$1,1,0,COUNT(Curvas_cupon_cero!$A:$A)-2,1),OFFSET(Curvas_cupon_cero!$A$1,1,MATCH($B$9,Curvas_cupon_cero!$1:$1,0)-1,COUNT(Curvas_cupon_cero!$A:$A)-2,1)),[1]!interpolar(B192,OFFSET(Curvas_cupon_cero!$A$1,1,0,COUNT(Curvas_cupon_cero!$A:$A)-2,1),OFFSET(Curvas_cupon_cero!$A$1,1,MATCH($B$9,Curvas_cupon_cero!$1:$1,0)-1,COUNT(Curvas_cupon_cero!$A:$A)-2,1))))</f>
        <v/>
      </c>
      <c r="G192" s="23" t="str">
        <f t="shared" si="24"/>
        <v/>
      </c>
      <c r="H192" s="20" t="str">
        <f t="shared" si="29"/>
        <v/>
      </c>
      <c r="I192" t="str">
        <f t="shared" si="25"/>
        <v/>
      </c>
      <c r="J192" s="17" t="str">
        <f t="shared" si="21"/>
        <v/>
      </c>
      <c r="K192" s="18" t="str">
        <f t="shared" si="26"/>
        <v/>
      </c>
      <c r="L192" t="str">
        <f t="shared" si="27"/>
        <v/>
      </c>
      <c r="M192" s="23" t="str">
        <f ca="1">IF(A192="","",IF($B$10="Sí",interpolar_alamb(L192,OFFSET(Curvas_cupon_cero!$A$1,1,0,COUNT(Curvas_cupon_cero!$A:$A)-2,1),OFFSET(Curvas_cupon_cero!$A$1,1,MATCH($B$6,Curvas_cupon_cero!$1:$1,0)-1,COUNT(Curvas_cupon_cero!$A:$A)-2,1)),[1]!interpolar(L192,OFFSET(Curvas_cupon_cero!$A$1,1,0,COUNT(Curvas_cupon_cero!$A:$A)-2,1),OFFSET(Curvas_cupon_cero!$A$1,1,MATCH($B$6,Curvas_cupon_cero!$1:$1,0)-1,COUNT(Curvas_cupon_cero!$A:$A)-2,1))))</f>
        <v/>
      </c>
      <c r="N192" s="23"/>
      <c r="O192" s="19" t="str">
        <f t="shared" si="28"/>
        <v/>
      </c>
    </row>
    <row r="193" spans="1:15" x14ac:dyDescent="0.2">
      <c r="A193" s="12" t="str">
        <f t="shared" si="22"/>
        <v/>
      </c>
      <c r="B193" t="str">
        <f t="shared" si="20"/>
        <v/>
      </c>
      <c r="C193" s="21" t="str">
        <f ca="1">IF(A193="","",IF($B$10="Sí",interpolar_alamb(B193,OFFSET(Curvas_cupon_cero!$A$1,1,0,COUNT(Curvas_cupon_cero!$A:$A)-2,1),OFFSET(Curvas_cupon_cero!$A$1,1,MATCH($B$8,Curvas_cupon_cero!$1:$1,0)-1,COUNT(Curvas_cupon_cero!$A:$A)-2,1)),[1]!interpolar(B193,OFFSET(Curvas_cupon_cero!$A$1,1,0,COUNT(Curvas_cupon_cero!$A:$A)-2,1),OFFSET(Curvas_cupon_cero!$A$1,1,MATCH($B$8,Curvas_cupon_cero!$1:$1,0)-1,COUNT(Curvas_cupon_cero!$A:$A)-2,1))))</f>
        <v/>
      </c>
      <c r="D193" s="23" t="str">
        <f ca="1">IF(A193="","",IF($B$10="Sí",interpolar_alamb(L193,OFFSET(Curvas_cupon_cero!$A$1,1,0,COUNT(Curvas_cupon_cero!$A:$A)-2,1),OFFSET(Curvas_cupon_cero!$A$1,1,MATCH($B$8,Curvas_cupon_cero!$1:$1,0)-1,COUNT(Curvas_cupon_cero!$A:$A)-2,1)),[1]!interpolar(L193,OFFSET(Curvas_cupon_cero!$A$1,1,0,COUNT(Curvas_cupon_cero!$A:$A)-2,1),OFFSET(Curvas_cupon_cero!$A$1,1,MATCH($B$8,Curvas_cupon_cero!$1:$1,0)-1,COUNT(Curvas_cupon_cero!$A:$A)-2,1))))</f>
        <v/>
      </c>
      <c r="E193" s="23" t="str">
        <f t="shared" si="23"/>
        <v/>
      </c>
      <c r="F193" s="23" t="str">
        <f ca="1">IF(A193="","",IF($B$10="Sí",interpolar_alamb(B193,OFFSET(Curvas_cupon_cero!$A$1,1,0,COUNT(Curvas_cupon_cero!$A:$A)-2,1),OFFSET(Curvas_cupon_cero!$A$1,1,MATCH($B$9,Curvas_cupon_cero!$1:$1,0)-1,COUNT(Curvas_cupon_cero!$A:$A)-2,1)),[1]!interpolar(B193,OFFSET(Curvas_cupon_cero!$A$1,1,0,COUNT(Curvas_cupon_cero!$A:$A)-2,1),OFFSET(Curvas_cupon_cero!$A$1,1,MATCH($B$9,Curvas_cupon_cero!$1:$1,0)-1,COUNT(Curvas_cupon_cero!$A:$A)-2,1))))</f>
        <v/>
      </c>
      <c r="G193" s="23" t="str">
        <f t="shared" si="24"/>
        <v/>
      </c>
      <c r="H193" s="20" t="str">
        <f t="shared" si="29"/>
        <v/>
      </c>
      <c r="I193" t="str">
        <f t="shared" si="25"/>
        <v/>
      </c>
      <c r="J193" s="17" t="str">
        <f t="shared" si="21"/>
        <v/>
      </c>
      <c r="K193" s="18" t="str">
        <f t="shared" si="26"/>
        <v/>
      </c>
      <c r="L193" t="str">
        <f t="shared" si="27"/>
        <v/>
      </c>
      <c r="M193" s="23" t="str">
        <f ca="1">IF(A193="","",IF($B$10="Sí",interpolar_alamb(L193,OFFSET(Curvas_cupon_cero!$A$1,1,0,COUNT(Curvas_cupon_cero!$A:$A)-2,1),OFFSET(Curvas_cupon_cero!$A$1,1,MATCH($B$6,Curvas_cupon_cero!$1:$1,0)-1,COUNT(Curvas_cupon_cero!$A:$A)-2,1)),[1]!interpolar(L193,OFFSET(Curvas_cupon_cero!$A$1,1,0,COUNT(Curvas_cupon_cero!$A:$A)-2,1),OFFSET(Curvas_cupon_cero!$A$1,1,MATCH($B$6,Curvas_cupon_cero!$1:$1,0)-1,COUNT(Curvas_cupon_cero!$A:$A)-2,1))))</f>
        <v/>
      </c>
      <c r="N193" s="23"/>
      <c r="O193" s="19" t="str">
        <f t="shared" si="28"/>
        <v/>
      </c>
    </row>
    <row r="194" spans="1:15" x14ac:dyDescent="0.2">
      <c r="A194" s="12" t="str">
        <f t="shared" si="22"/>
        <v/>
      </c>
      <c r="B194" t="str">
        <f t="shared" si="20"/>
        <v/>
      </c>
      <c r="C194" s="21" t="str">
        <f ca="1">IF(A194="","",IF($B$10="Sí",interpolar_alamb(B194,OFFSET(Curvas_cupon_cero!$A$1,1,0,COUNT(Curvas_cupon_cero!$A:$A)-2,1),OFFSET(Curvas_cupon_cero!$A$1,1,MATCH($B$8,Curvas_cupon_cero!$1:$1,0)-1,COUNT(Curvas_cupon_cero!$A:$A)-2,1)),[1]!interpolar(B194,OFFSET(Curvas_cupon_cero!$A$1,1,0,COUNT(Curvas_cupon_cero!$A:$A)-2,1),OFFSET(Curvas_cupon_cero!$A$1,1,MATCH($B$8,Curvas_cupon_cero!$1:$1,0)-1,COUNT(Curvas_cupon_cero!$A:$A)-2,1))))</f>
        <v/>
      </c>
      <c r="D194" s="23" t="str">
        <f ca="1">IF(A194="","",IF($B$10="Sí",interpolar_alamb(L194,OFFSET(Curvas_cupon_cero!$A$1,1,0,COUNT(Curvas_cupon_cero!$A:$A)-2,1),OFFSET(Curvas_cupon_cero!$A$1,1,MATCH($B$8,Curvas_cupon_cero!$1:$1,0)-1,COUNT(Curvas_cupon_cero!$A:$A)-2,1)),[1]!interpolar(L194,OFFSET(Curvas_cupon_cero!$A$1,1,0,COUNT(Curvas_cupon_cero!$A:$A)-2,1),OFFSET(Curvas_cupon_cero!$A$1,1,MATCH($B$8,Curvas_cupon_cero!$1:$1,0)-1,COUNT(Curvas_cupon_cero!$A:$A)-2,1))))</f>
        <v/>
      </c>
      <c r="E194" s="23" t="str">
        <f t="shared" si="23"/>
        <v/>
      </c>
      <c r="F194" s="23" t="str">
        <f ca="1">IF(A194="","",IF($B$10="Sí",interpolar_alamb(B194,OFFSET(Curvas_cupon_cero!$A$1,1,0,COUNT(Curvas_cupon_cero!$A:$A)-2,1),OFFSET(Curvas_cupon_cero!$A$1,1,MATCH($B$9,Curvas_cupon_cero!$1:$1,0)-1,COUNT(Curvas_cupon_cero!$A:$A)-2,1)),[1]!interpolar(B194,OFFSET(Curvas_cupon_cero!$A$1,1,0,COUNT(Curvas_cupon_cero!$A:$A)-2,1),OFFSET(Curvas_cupon_cero!$A$1,1,MATCH($B$9,Curvas_cupon_cero!$1:$1,0)-1,COUNT(Curvas_cupon_cero!$A:$A)-2,1))))</f>
        <v/>
      </c>
      <c r="G194" s="23" t="str">
        <f t="shared" si="24"/>
        <v/>
      </c>
      <c r="H194" s="20" t="str">
        <f t="shared" si="29"/>
        <v/>
      </c>
      <c r="I194" t="str">
        <f t="shared" si="25"/>
        <v/>
      </c>
      <c r="J194" s="17" t="str">
        <f t="shared" si="21"/>
        <v/>
      </c>
      <c r="K194" s="18" t="str">
        <f t="shared" si="26"/>
        <v/>
      </c>
      <c r="L194" t="str">
        <f t="shared" si="27"/>
        <v/>
      </c>
      <c r="M194" s="23" t="str">
        <f ca="1">IF(A194="","",IF($B$10="Sí",interpolar_alamb(L194,OFFSET(Curvas_cupon_cero!$A$1,1,0,COUNT(Curvas_cupon_cero!$A:$A)-2,1),OFFSET(Curvas_cupon_cero!$A$1,1,MATCH($B$6,Curvas_cupon_cero!$1:$1,0)-1,COUNT(Curvas_cupon_cero!$A:$A)-2,1)),[1]!interpolar(L194,OFFSET(Curvas_cupon_cero!$A$1,1,0,COUNT(Curvas_cupon_cero!$A:$A)-2,1),OFFSET(Curvas_cupon_cero!$A$1,1,MATCH($B$6,Curvas_cupon_cero!$1:$1,0)-1,COUNT(Curvas_cupon_cero!$A:$A)-2,1))))</f>
        <v/>
      </c>
      <c r="N194" s="23"/>
      <c r="O194" s="19" t="str">
        <f t="shared" si="28"/>
        <v/>
      </c>
    </row>
    <row r="195" spans="1:15" x14ac:dyDescent="0.2">
      <c r="A195" s="12" t="str">
        <f t="shared" si="22"/>
        <v/>
      </c>
      <c r="B195" t="str">
        <f t="shared" si="20"/>
        <v/>
      </c>
      <c r="C195" s="21" t="str">
        <f ca="1">IF(A195="","",IF($B$10="Sí",interpolar_alamb(B195,OFFSET(Curvas_cupon_cero!$A$1,1,0,COUNT(Curvas_cupon_cero!$A:$A)-2,1),OFFSET(Curvas_cupon_cero!$A$1,1,MATCH($B$8,Curvas_cupon_cero!$1:$1,0)-1,COUNT(Curvas_cupon_cero!$A:$A)-2,1)),[1]!interpolar(B195,OFFSET(Curvas_cupon_cero!$A$1,1,0,COUNT(Curvas_cupon_cero!$A:$A)-2,1),OFFSET(Curvas_cupon_cero!$A$1,1,MATCH($B$8,Curvas_cupon_cero!$1:$1,0)-1,COUNT(Curvas_cupon_cero!$A:$A)-2,1))))</f>
        <v/>
      </c>
      <c r="D195" s="23" t="str">
        <f ca="1">IF(A195="","",IF($B$10="Sí",interpolar_alamb(L195,OFFSET(Curvas_cupon_cero!$A$1,1,0,COUNT(Curvas_cupon_cero!$A:$A)-2,1),OFFSET(Curvas_cupon_cero!$A$1,1,MATCH($B$8,Curvas_cupon_cero!$1:$1,0)-1,COUNT(Curvas_cupon_cero!$A:$A)-2,1)),[1]!interpolar(L195,OFFSET(Curvas_cupon_cero!$A$1,1,0,COUNT(Curvas_cupon_cero!$A:$A)-2,1),OFFSET(Curvas_cupon_cero!$A$1,1,MATCH($B$8,Curvas_cupon_cero!$1:$1,0)-1,COUNT(Curvas_cupon_cero!$A:$A)-2,1))))</f>
        <v/>
      </c>
      <c r="E195" s="23" t="str">
        <f t="shared" si="23"/>
        <v/>
      </c>
      <c r="F195" s="23" t="str">
        <f ca="1">IF(A195="","",IF($B$10="Sí",interpolar_alamb(B195,OFFSET(Curvas_cupon_cero!$A$1,1,0,COUNT(Curvas_cupon_cero!$A:$A)-2,1),OFFSET(Curvas_cupon_cero!$A$1,1,MATCH($B$9,Curvas_cupon_cero!$1:$1,0)-1,COUNT(Curvas_cupon_cero!$A:$A)-2,1)),[1]!interpolar(B195,OFFSET(Curvas_cupon_cero!$A$1,1,0,COUNT(Curvas_cupon_cero!$A:$A)-2,1),OFFSET(Curvas_cupon_cero!$A$1,1,MATCH($B$9,Curvas_cupon_cero!$1:$1,0)-1,COUNT(Curvas_cupon_cero!$A:$A)-2,1))))</f>
        <v/>
      </c>
      <c r="G195" s="23" t="str">
        <f t="shared" si="24"/>
        <v/>
      </c>
      <c r="H195" s="20" t="str">
        <f t="shared" si="29"/>
        <v/>
      </c>
      <c r="I195" t="str">
        <f t="shared" si="25"/>
        <v/>
      </c>
      <c r="J195" s="17" t="str">
        <f t="shared" si="21"/>
        <v/>
      </c>
      <c r="K195" s="18" t="str">
        <f t="shared" si="26"/>
        <v/>
      </c>
      <c r="L195" t="str">
        <f t="shared" si="27"/>
        <v/>
      </c>
      <c r="M195" s="23" t="str">
        <f ca="1">IF(A195="","",IF($B$10="Sí",interpolar_alamb(L195,OFFSET(Curvas_cupon_cero!$A$1,1,0,COUNT(Curvas_cupon_cero!$A:$A)-2,1),OFFSET(Curvas_cupon_cero!$A$1,1,MATCH($B$6,Curvas_cupon_cero!$1:$1,0)-1,COUNT(Curvas_cupon_cero!$A:$A)-2,1)),[1]!interpolar(L195,OFFSET(Curvas_cupon_cero!$A$1,1,0,COUNT(Curvas_cupon_cero!$A:$A)-2,1),OFFSET(Curvas_cupon_cero!$A$1,1,MATCH($B$6,Curvas_cupon_cero!$1:$1,0)-1,COUNT(Curvas_cupon_cero!$A:$A)-2,1))))</f>
        <v/>
      </c>
      <c r="N195" s="23"/>
      <c r="O195" s="19" t="str">
        <f t="shared" si="28"/>
        <v/>
      </c>
    </row>
    <row r="196" spans="1:15" x14ac:dyDescent="0.2">
      <c r="A196" s="12" t="str">
        <f t="shared" si="22"/>
        <v/>
      </c>
      <c r="B196" t="str">
        <f t="shared" si="20"/>
        <v/>
      </c>
      <c r="C196" s="21" t="str">
        <f ca="1">IF(A196="","",IF($B$10="Sí",interpolar_alamb(B196,OFFSET(Curvas_cupon_cero!$A$1,1,0,COUNT(Curvas_cupon_cero!$A:$A)-2,1),OFFSET(Curvas_cupon_cero!$A$1,1,MATCH($B$8,Curvas_cupon_cero!$1:$1,0)-1,COUNT(Curvas_cupon_cero!$A:$A)-2,1)),[1]!interpolar(B196,OFFSET(Curvas_cupon_cero!$A$1,1,0,COUNT(Curvas_cupon_cero!$A:$A)-2,1),OFFSET(Curvas_cupon_cero!$A$1,1,MATCH($B$8,Curvas_cupon_cero!$1:$1,0)-1,COUNT(Curvas_cupon_cero!$A:$A)-2,1))))</f>
        <v/>
      </c>
      <c r="D196" s="23" t="str">
        <f ca="1">IF(A196="","",IF($B$10="Sí",interpolar_alamb(L196,OFFSET(Curvas_cupon_cero!$A$1,1,0,COUNT(Curvas_cupon_cero!$A:$A)-2,1),OFFSET(Curvas_cupon_cero!$A$1,1,MATCH($B$8,Curvas_cupon_cero!$1:$1,0)-1,COUNT(Curvas_cupon_cero!$A:$A)-2,1)),[1]!interpolar(L196,OFFSET(Curvas_cupon_cero!$A$1,1,0,COUNT(Curvas_cupon_cero!$A:$A)-2,1),OFFSET(Curvas_cupon_cero!$A$1,1,MATCH($B$8,Curvas_cupon_cero!$1:$1,0)-1,COUNT(Curvas_cupon_cero!$A:$A)-2,1))))</f>
        <v/>
      </c>
      <c r="E196" s="23" t="str">
        <f t="shared" si="23"/>
        <v/>
      </c>
      <c r="F196" s="23" t="str">
        <f ca="1">IF(A196="","",IF($B$10="Sí",interpolar_alamb(B196,OFFSET(Curvas_cupon_cero!$A$1,1,0,COUNT(Curvas_cupon_cero!$A:$A)-2,1),OFFSET(Curvas_cupon_cero!$A$1,1,MATCH($B$9,Curvas_cupon_cero!$1:$1,0)-1,COUNT(Curvas_cupon_cero!$A:$A)-2,1)),[1]!interpolar(B196,OFFSET(Curvas_cupon_cero!$A$1,1,0,COUNT(Curvas_cupon_cero!$A:$A)-2,1),OFFSET(Curvas_cupon_cero!$A$1,1,MATCH($B$9,Curvas_cupon_cero!$1:$1,0)-1,COUNT(Curvas_cupon_cero!$A:$A)-2,1))))</f>
        <v/>
      </c>
      <c r="G196" s="23" t="str">
        <f t="shared" si="24"/>
        <v/>
      </c>
      <c r="H196" s="20" t="str">
        <f t="shared" si="29"/>
        <v/>
      </c>
      <c r="I196" t="str">
        <f t="shared" si="25"/>
        <v/>
      </c>
      <c r="J196" s="17" t="str">
        <f t="shared" si="21"/>
        <v/>
      </c>
      <c r="K196" s="18" t="str">
        <f t="shared" si="26"/>
        <v/>
      </c>
      <c r="L196" t="str">
        <f t="shared" si="27"/>
        <v/>
      </c>
      <c r="M196" s="23" t="str">
        <f ca="1">IF(A196="","",IF($B$10="Sí",interpolar_alamb(L196,OFFSET(Curvas_cupon_cero!$A$1,1,0,COUNT(Curvas_cupon_cero!$A:$A)-2,1),OFFSET(Curvas_cupon_cero!$A$1,1,MATCH($B$6,Curvas_cupon_cero!$1:$1,0)-1,COUNT(Curvas_cupon_cero!$A:$A)-2,1)),[1]!interpolar(L196,OFFSET(Curvas_cupon_cero!$A$1,1,0,COUNT(Curvas_cupon_cero!$A:$A)-2,1),OFFSET(Curvas_cupon_cero!$A$1,1,MATCH($B$6,Curvas_cupon_cero!$1:$1,0)-1,COUNT(Curvas_cupon_cero!$A:$A)-2,1))))</f>
        <v/>
      </c>
      <c r="N196" s="23"/>
      <c r="O196" s="19" t="str">
        <f t="shared" si="28"/>
        <v/>
      </c>
    </row>
    <row r="197" spans="1:15" x14ac:dyDescent="0.2">
      <c r="A197" s="12" t="str">
        <f t="shared" si="22"/>
        <v/>
      </c>
      <c r="B197" t="str">
        <f t="shared" si="20"/>
        <v/>
      </c>
      <c r="C197" s="21" t="str">
        <f ca="1">IF(A197="","",IF($B$10="Sí",interpolar_alamb(B197,OFFSET(Curvas_cupon_cero!$A$1,1,0,COUNT(Curvas_cupon_cero!$A:$A)-2,1),OFFSET(Curvas_cupon_cero!$A$1,1,MATCH($B$8,Curvas_cupon_cero!$1:$1,0)-1,COUNT(Curvas_cupon_cero!$A:$A)-2,1)),[1]!interpolar(B197,OFFSET(Curvas_cupon_cero!$A$1,1,0,COUNT(Curvas_cupon_cero!$A:$A)-2,1),OFFSET(Curvas_cupon_cero!$A$1,1,MATCH($B$8,Curvas_cupon_cero!$1:$1,0)-1,COUNT(Curvas_cupon_cero!$A:$A)-2,1))))</f>
        <v/>
      </c>
      <c r="D197" s="23" t="str">
        <f ca="1">IF(A197="","",IF($B$10="Sí",interpolar_alamb(L197,OFFSET(Curvas_cupon_cero!$A$1,1,0,COUNT(Curvas_cupon_cero!$A:$A)-2,1),OFFSET(Curvas_cupon_cero!$A$1,1,MATCH($B$8,Curvas_cupon_cero!$1:$1,0)-1,COUNT(Curvas_cupon_cero!$A:$A)-2,1)),[1]!interpolar(L197,OFFSET(Curvas_cupon_cero!$A$1,1,0,COUNT(Curvas_cupon_cero!$A:$A)-2,1),OFFSET(Curvas_cupon_cero!$A$1,1,MATCH($B$8,Curvas_cupon_cero!$1:$1,0)-1,COUNT(Curvas_cupon_cero!$A:$A)-2,1))))</f>
        <v/>
      </c>
      <c r="E197" s="23" t="str">
        <f t="shared" si="23"/>
        <v/>
      </c>
      <c r="F197" s="23" t="str">
        <f ca="1">IF(A197="","",IF($B$10="Sí",interpolar_alamb(B197,OFFSET(Curvas_cupon_cero!$A$1,1,0,COUNT(Curvas_cupon_cero!$A:$A)-2,1),OFFSET(Curvas_cupon_cero!$A$1,1,MATCH($B$9,Curvas_cupon_cero!$1:$1,0)-1,COUNT(Curvas_cupon_cero!$A:$A)-2,1)),[1]!interpolar(B197,OFFSET(Curvas_cupon_cero!$A$1,1,0,COUNT(Curvas_cupon_cero!$A:$A)-2,1),OFFSET(Curvas_cupon_cero!$A$1,1,MATCH($B$9,Curvas_cupon_cero!$1:$1,0)-1,COUNT(Curvas_cupon_cero!$A:$A)-2,1))))</f>
        <v/>
      </c>
      <c r="G197" s="23" t="str">
        <f t="shared" si="24"/>
        <v/>
      </c>
      <c r="H197" s="20" t="str">
        <f t="shared" si="29"/>
        <v/>
      </c>
      <c r="I197" t="str">
        <f t="shared" si="25"/>
        <v/>
      </c>
      <c r="J197" s="17" t="str">
        <f t="shared" si="21"/>
        <v/>
      </c>
      <c r="K197" s="18" t="str">
        <f t="shared" si="26"/>
        <v/>
      </c>
      <c r="L197" t="str">
        <f t="shared" si="27"/>
        <v/>
      </c>
      <c r="M197" s="23" t="str">
        <f ca="1">IF(A197="","",IF($B$10="Sí",interpolar_alamb(L197,OFFSET(Curvas_cupon_cero!$A$1,1,0,COUNT(Curvas_cupon_cero!$A:$A)-2,1),OFFSET(Curvas_cupon_cero!$A$1,1,MATCH($B$6,Curvas_cupon_cero!$1:$1,0)-1,COUNT(Curvas_cupon_cero!$A:$A)-2,1)),[1]!interpolar(L197,OFFSET(Curvas_cupon_cero!$A$1,1,0,COUNT(Curvas_cupon_cero!$A:$A)-2,1),OFFSET(Curvas_cupon_cero!$A$1,1,MATCH($B$6,Curvas_cupon_cero!$1:$1,0)-1,COUNT(Curvas_cupon_cero!$A:$A)-2,1))))</f>
        <v/>
      </c>
      <c r="N197" s="23"/>
      <c r="O197" s="19" t="str">
        <f t="shared" si="28"/>
        <v/>
      </c>
    </row>
    <row r="198" spans="1:15" x14ac:dyDescent="0.2">
      <c r="A198" s="12" t="str">
        <f t="shared" si="22"/>
        <v/>
      </c>
      <c r="B198" t="str">
        <f t="shared" si="20"/>
        <v/>
      </c>
      <c r="C198" s="21" t="str">
        <f ca="1">IF(A198="","",IF($B$10="Sí",interpolar_alamb(B198,OFFSET(Curvas_cupon_cero!$A$1,1,0,COUNT(Curvas_cupon_cero!$A:$A)-2,1),OFFSET(Curvas_cupon_cero!$A$1,1,MATCH($B$8,Curvas_cupon_cero!$1:$1,0)-1,COUNT(Curvas_cupon_cero!$A:$A)-2,1)),[1]!interpolar(B198,OFFSET(Curvas_cupon_cero!$A$1,1,0,COUNT(Curvas_cupon_cero!$A:$A)-2,1),OFFSET(Curvas_cupon_cero!$A$1,1,MATCH($B$8,Curvas_cupon_cero!$1:$1,0)-1,COUNT(Curvas_cupon_cero!$A:$A)-2,1))))</f>
        <v/>
      </c>
      <c r="D198" s="23" t="str">
        <f ca="1">IF(A198="","",IF($B$10="Sí",interpolar_alamb(L198,OFFSET(Curvas_cupon_cero!$A$1,1,0,COUNT(Curvas_cupon_cero!$A:$A)-2,1),OFFSET(Curvas_cupon_cero!$A$1,1,MATCH($B$8,Curvas_cupon_cero!$1:$1,0)-1,COUNT(Curvas_cupon_cero!$A:$A)-2,1)),[1]!interpolar(L198,OFFSET(Curvas_cupon_cero!$A$1,1,0,COUNT(Curvas_cupon_cero!$A:$A)-2,1),OFFSET(Curvas_cupon_cero!$A$1,1,MATCH($B$8,Curvas_cupon_cero!$1:$1,0)-1,COUNT(Curvas_cupon_cero!$A:$A)-2,1))))</f>
        <v/>
      </c>
      <c r="E198" s="23" t="str">
        <f t="shared" si="23"/>
        <v/>
      </c>
      <c r="F198" s="23" t="str">
        <f ca="1">IF(A198="","",IF($B$10="Sí",interpolar_alamb(B198,OFFSET(Curvas_cupon_cero!$A$1,1,0,COUNT(Curvas_cupon_cero!$A:$A)-2,1),OFFSET(Curvas_cupon_cero!$A$1,1,MATCH($B$9,Curvas_cupon_cero!$1:$1,0)-1,COUNT(Curvas_cupon_cero!$A:$A)-2,1)),[1]!interpolar(B198,OFFSET(Curvas_cupon_cero!$A$1,1,0,COUNT(Curvas_cupon_cero!$A:$A)-2,1),OFFSET(Curvas_cupon_cero!$A$1,1,MATCH($B$9,Curvas_cupon_cero!$1:$1,0)-1,COUNT(Curvas_cupon_cero!$A:$A)-2,1))))</f>
        <v/>
      </c>
      <c r="G198" s="23" t="str">
        <f t="shared" si="24"/>
        <v/>
      </c>
      <c r="H198" s="20" t="str">
        <f t="shared" si="29"/>
        <v/>
      </c>
      <c r="I198" t="str">
        <f t="shared" si="25"/>
        <v/>
      </c>
      <c r="J198" s="17" t="str">
        <f t="shared" si="21"/>
        <v/>
      </c>
      <c r="K198" s="18" t="str">
        <f t="shared" si="26"/>
        <v/>
      </c>
      <c r="L198" t="str">
        <f t="shared" si="27"/>
        <v/>
      </c>
      <c r="M198" s="23" t="str">
        <f ca="1">IF(A198="","",IF($B$10="Sí",interpolar_alamb(L198,OFFSET(Curvas_cupon_cero!$A$1,1,0,COUNT(Curvas_cupon_cero!$A:$A)-2,1),OFFSET(Curvas_cupon_cero!$A$1,1,MATCH($B$6,Curvas_cupon_cero!$1:$1,0)-1,COUNT(Curvas_cupon_cero!$A:$A)-2,1)),[1]!interpolar(L198,OFFSET(Curvas_cupon_cero!$A$1,1,0,COUNT(Curvas_cupon_cero!$A:$A)-2,1),OFFSET(Curvas_cupon_cero!$A$1,1,MATCH($B$6,Curvas_cupon_cero!$1:$1,0)-1,COUNT(Curvas_cupon_cero!$A:$A)-2,1))))</f>
        <v/>
      </c>
      <c r="N198" s="23"/>
      <c r="O198" s="19" t="str">
        <f t="shared" si="28"/>
        <v/>
      </c>
    </row>
    <row r="199" spans="1:15" x14ac:dyDescent="0.2">
      <c r="A199" s="12" t="str">
        <f t="shared" si="22"/>
        <v/>
      </c>
      <c r="B199" t="str">
        <f t="shared" si="20"/>
        <v/>
      </c>
      <c r="C199" s="21" t="str">
        <f ca="1">IF(A199="","",IF($B$10="Sí",interpolar_alamb(B199,OFFSET(Curvas_cupon_cero!$A$1,1,0,COUNT(Curvas_cupon_cero!$A:$A)-2,1),OFFSET(Curvas_cupon_cero!$A$1,1,MATCH($B$8,Curvas_cupon_cero!$1:$1,0)-1,COUNT(Curvas_cupon_cero!$A:$A)-2,1)),[1]!interpolar(B199,OFFSET(Curvas_cupon_cero!$A$1,1,0,COUNT(Curvas_cupon_cero!$A:$A)-2,1),OFFSET(Curvas_cupon_cero!$A$1,1,MATCH($B$8,Curvas_cupon_cero!$1:$1,0)-1,COUNT(Curvas_cupon_cero!$A:$A)-2,1))))</f>
        <v/>
      </c>
      <c r="D199" s="23" t="str">
        <f ca="1">IF(A199="","",IF($B$10="Sí",interpolar_alamb(L199,OFFSET(Curvas_cupon_cero!$A$1,1,0,COUNT(Curvas_cupon_cero!$A:$A)-2,1),OFFSET(Curvas_cupon_cero!$A$1,1,MATCH($B$8,Curvas_cupon_cero!$1:$1,0)-1,COUNT(Curvas_cupon_cero!$A:$A)-2,1)),[1]!interpolar(L199,OFFSET(Curvas_cupon_cero!$A$1,1,0,COUNT(Curvas_cupon_cero!$A:$A)-2,1),OFFSET(Curvas_cupon_cero!$A$1,1,MATCH($B$8,Curvas_cupon_cero!$1:$1,0)-1,COUNT(Curvas_cupon_cero!$A:$A)-2,1))))</f>
        <v/>
      </c>
      <c r="E199" s="23" t="str">
        <f t="shared" si="23"/>
        <v/>
      </c>
      <c r="F199" s="23" t="str">
        <f ca="1">IF(A199="","",IF($B$10="Sí",interpolar_alamb(B199,OFFSET(Curvas_cupon_cero!$A$1,1,0,COUNT(Curvas_cupon_cero!$A:$A)-2,1),OFFSET(Curvas_cupon_cero!$A$1,1,MATCH($B$9,Curvas_cupon_cero!$1:$1,0)-1,COUNT(Curvas_cupon_cero!$A:$A)-2,1)),[1]!interpolar(B199,OFFSET(Curvas_cupon_cero!$A$1,1,0,COUNT(Curvas_cupon_cero!$A:$A)-2,1),OFFSET(Curvas_cupon_cero!$A$1,1,MATCH($B$9,Curvas_cupon_cero!$1:$1,0)-1,COUNT(Curvas_cupon_cero!$A:$A)-2,1))))</f>
        <v/>
      </c>
      <c r="G199" s="23" t="str">
        <f t="shared" si="24"/>
        <v/>
      </c>
      <c r="H199" s="20" t="str">
        <f t="shared" si="29"/>
        <v/>
      </c>
      <c r="I199" t="str">
        <f t="shared" si="25"/>
        <v/>
      </c>
      <c r="J199" s="17" t="str">
        <f t="shared" si="21"/>
        <v/>
      </c>
      <c r="K199" s="18" t="str">
        <f t="shared" si="26"/>
        <v/>
      </c>
      <c r="L199" t="str">
        <f t="shared" si="27"/>
        <v/>
      </c>
      <c r="M199" s="23" t="str">
        <f ca="1">IF(A199="","",IF($B$10="Sí",interpolar_alamb(L199,OFFSET(Curvas_cupon_cero!$A$1,1,0,COUNT(Curvas_cupon_cero!$A:$A)-2,1),OFFSET(Curvas_cupon_cero!$A$1,1,MATCH($B$6,Curvas_cupon_cero!$1:$1,0)-1,COUNT(Curvas_cupon_cero!$A:$A)-2,1)),[1]!interpolar(L199,OFFSET(Curvas_cupon_cero!$A$1,1,0,COUNT(Curvas_cupon_cero!$A:$A)-2,1),OFFSET(Curvas_cupon_cero!$A$1,1,MATCH($B$6,Curvas_cupon_cero!$1:$1,0)-1,COUNT(Curvas_cupon_cero!$A:$A)-2,1))))</f>
        <v/>
      </c>
      <c r="N199" s="23"/>
      <c r="O199" s="19" t="str">
        <f t="shared" si="28"/>
        <v/>
      </c>
    </row>
    <row r="200" spans="1:15" x14ac:dyDescent="0.2">
      <c r="A200" s="12" t="str">
        <f t="shared" si="22"/>
        <v/>
      </c>
      <c r="B200" t="str">
        <f t="shared" si="20"/>
        <v/>
      </c>
      <c r="C200" s="21" t="str">
        <f ca="1">IF(A200="","",IF($B$10="Sí",interpolar_alamb(B200,OFFSET(Curvas_cupon_cero!$A$1,1,0,COUNT(Curvas_cupon_cero!$A:$A)-2,1),OFFSET(Curvas_cupon_cero!$A$1,1,MATCH($B$8,Curvas_cupon_cero!$1:$1,0)-1,COUNT(Curvas_cupon_cero!$A:$A)-2,1)),[1]!interpolar(B200,OFFSET(Curvas_cupon_cero!$A$1,1,0,COUNT(Curvas_cupon_cero!$A:$A)-2,1),OFFSET(Curvas_cupon_cero!$A$1,1,MATCH($B$8,Curvas_cupon_cero!$1:$1,0)-1,COUNT(Curvas_cupon_cero!$A:$A)-2,1))))</f>
        <v/>
      </c>
      <c r="D200" s="23" t="str">
        <f ca="1">IF(A200="","",IF($B$10="Sí",interpolar_alamb(L200,OFFSET(Curvas_cupon_cero!$A$1,1,0,COUNT(Curvas_cupon_cero!$A:$A)-2,1),OFFSET(Curvas_cupon_cero!$A$1,1,MATCH($B$8,Curvas_cupon_cero!$1:$1,0)-1,COUNT(Curvas_cupon_cero!$A:$A)-2,1)),[1]!interpolar(L200,OFFSET(Curvas_cupon_cero!$A$1,1,0,COUNT(Curvas_cupon_cero!$A:$A)-2,1),OFFSET(Curvas_cupon_cero!$A$1,1,MATCH($B$8,Curvas_cupon_cero!$1:$1,0)-1,COUNT(Curvas_cupon_cero!$A:$A)-2,1))))</f>
        <v/>
      </c>
      <c r="E200" s="23" t="str">
        <f t="shared" si="23"/>
        <v/>
      </c>
      <c r="F200" s="23" t="str">
        <f ca="1">IF(A200="","",IF($B$10="Sí",interpolar_alamb(B200,OFFSET(Curvas_cupon_cero!$A$1,1,0,COUNT(Curvas_cupon_cero!$A:$A)-2,1),OFFSET(Curvas_cupon_cero!$A$1,1,MATCH($B$9,Curvas_cupon_cero!$1:$1,0)-1,COUNT(Curvas_cupon_cero!$A:$A)-2,1)),[1]!interpolar(B200,OFFSET(Curvas_cupon_cero!$A$1,1,0,COUNT(Curvas_cupon_cero!$A:$A)-2,1),OFFSET(Curvas_cupon_cero!$A$1,1,MATCH($B$9,Curvas_cupon_cero!$1:$1,0)-1,COUNT(Curvas_cupon_cero!$A:$A)-2,1))))</f>
        <v/>
      </c>
      <c r="G200" s="23" t="str">
        <f t="shared" si="24"/>
        <v/>
      </c>
      <c r="H200" s="20" t="str">
        <f t="shared" si="29"/>
        <v/>
      </c>
      <c r="I200" t="str">
        <f t="shared" si="25"/>
        <v/>
      </c>
      <c r="J200" s="17" t="str">
        <f t="shared" si="21"/>
        <v/>
      </c>
      <c r="K200" s="18" t="str">
        <f t="shared" si="26"/>
        <v/>
      </c>
      <c r="L200" t="str">
        <f t="shared" si="27"/>
        <v/>
      </c>
      <c r="M200" s="23" t="str">
        <f ca="1">IF(A200="","",IF($B$10="Sí",interpolar_alamb(L200,OFFSET(Curvas_cupon_cero!$A$1,1,0,COUNT(Curvas_cupon_cero!$A:$A)-2,1),OFFSET(Curvas_cupon_cero!$A$1,1,MATCH($B$6,Curvas_cupon_cero!$1:$1,0)-1,COUNT(Curvas_cupon_cero!$A:$A)-2,1)),[1]!interpolar(L200,OFFSET(Curvas_cupon_cero!$A$1,1,0,COUNT(Curvas_cupon_cero!$A:$A)-2,1),OFFSET(Curvas_cupon_cero!$A$1,1,MATCH($B$6,Curvas_cupon_cero!$1:$1,0)-1,COUNT(Curvas_cupon_cero!$A:$A)-2,1))))</f>
        <v/>
      </c>
      <c r="N200" s="23"/>
      <c r="O200" s="19" t="str">
        <f t="shared" si="28"/>
        <v/>
      </c>
    </row>
    <row r="201" spans="1:15" x14ac:dyDescent="0.2">
      <c r="A201" s="12" t="str">
        <f t="shared" si="22"/>
        <v/>
      </c>
      <c r="B201" t="str">
        <f t="shared" si="20"/>
        <v/>
      </c>
      <c r="C201" s="21" t="str">
        <f ca="1">IF(A201="","",IF($B$10="Sí",interpolar_alamb(B201,OFFSET(Curvas_cupon_cero!$A$1,1,0,COUNT(Curvas_cupon_cero!$A:$A)-2,1),OFFSET(Curvas_cupon_cero!$A$1,1,MATCH($B$8,Curvas_cupon_cero!$1:$1,0)-1,COUNT(Curvas_cupon_cero!$A:$A)-2,1)),[1]!interpolar(B201,OFFSET(Curvas_cupon_cero!$A$1,1,0,COUNT(Curvas_cupon_cero!$A:$A)-2,1),OFFSET(Curvas_cupon_cero!$A$1,1,MATCH($B$8,Curvas_cupon_cero!$1:$1,0)-1,COUNT(Curvas_cupon_cero!$A:$A)-2,1))))</f>
        <v/>
      </c>
      <c r="D201" s="23" t="str">
        <f ca="1">IF(A201="","",IF($B$10="Sí",interpolar_alamb(L201,OFFSET(Curvas_cupon_cero!$A$1,1,0,COUNT(Curvas_cupon_cero!$A:$A)-2,1),OFFSET(Curvas_cupon_cero!$A$1,1,MATCH($B$8,Curvas_cupon_cero!$1:$1,0)-1,COUNT(Curvas_cupon_cero!$A:$A)-2,1)),[1]!interpolar(L201,OFFSET(Curvas_cupon_cero!$A$1,1,0,COUNT(Curvas_cupon_cero!$A:$A)-2,1),OFFSET(Curvas_cupon_cero!$A$1,1,MATCH($B$8,Curvas_cupon_cero!$1:$1,0)-1,COUNT(Curvas_cupon_cero!$A:$A)-2,1))))</f>
        <v/>
      </c>
      <c r="E201" s="23" t="str">
        <f t="shared" si="23"/>
        <v/>
      </c>
      <c r="F201" s="23" t="str">
        <f ca="1">IF(A201="","",IF($B$10="Sí",interpolar_alamb(B201,OFFSET(Curvas_cupon_cero!$A$1,1,0,COUNT(Curvas_cupon_cero!$A:$A)-2,1),OFFSET(Curvas_cupon_cero!$A$1,1,MATCH($B$9,Curvas_cupon_cero!$1:$1,0)-1,COUNT(Curvas_cupon_cero!$A:$A)-2,1)),[1]!interpolar(B201,OFFSET(Curvas_cupon_cero!$A$1,1,0,COUNT(Curvas_cupon_cero!$A:$A)-2,1),OFFSET(Curvas_cupon_cero!$A$1,1,MATCH($B$9,Curvas_cupon_cero!$1:$1,0)-1,COUNT(Curvas_cupon_cero!$A:$A)-2,1))))</f>
        <v/>
      </c>
      <c r="G201" s="23" t="str">
        <f t="shared" si="24"/>
        <v/>
      </c>
      <c r="H201" s="20" t="str">
        <f t="shared" si="29"/>
        <v/>
      </c>
      <c r="I201" t="str">
        <f t="shared" si="25"/>
        <v/>
      </c>
      <c r="J201" s="17" t="str">
        <f t="shared" si="21"/>
        <v/>
      </c>
      <c r="K201" s="18" t="str">
        <f t="shared" si="26"/>
        <v/>
      </c>
      <c r="L201" t="str">
        <f t="shared" si="27"/>
        <v/>
      </c>
      <c r="M201" s="23" t="str">
        <f ca="1">IF(A201="","",IF($B$10="Sí",interpolar_alamb(L201,OFFSET(Curvas_cupon_cero!$A$1,1,0,COUNT(Curvas_cupon_cero!$A:$A)-2,1),OFFSET(Curvas_cupon_cero!$A$1,1,MATCH($B$6,Curvas_cupon_cero!$1:$1,0)-1,COUNT(Curvas_cupon_cero!$A:$A)-2,1)),[1]!interpolar(L201,OFFSET(Curvas_cupon_cero!$A$1,1,0,COUNT(Curvas_cupon_cero!$A:$A)-2,1),OFFSET(Curvas_cupon_cero!$A$1,1,MATCH($B$6,Curvas_cupon_cero!$1:$1,0)-1,COUNT(Curvas_cupon_cero!$A:$A)-2,1))))</f>
        <v/>
      </c>
      <c r="N201" s="23"/>
      <c r="O201" s="19" t="str">
        <f t="shared" si="28"/>
        <v/>
      </c>
    </row>
    <row r="202" spans="1:15" x14ac:dyDescent="0.2">
      <c r="A202" s="12" t="str">
        <f t="shared" si="22"/>
        <v/>
      </c>
      <c r="B202" t="str">
        <f t="shared" si="20"/>
        <v/>
      </c>
      <c r="C202" s="21" t="str">
        <f ca="1">IF(A202="","",IF($B$10="Sí",interpolar_alamb(B202,OFFSET(Curvas_cupon_cero!$A$1,1,0,COUNT(Curvas_cupon_cero!$A:$A)-2,1),OFFSET(Curvas_cupon_cero!$A$1,1,MATCH($B$8,Curvas_cupon_cero!$1:$1,0)-1,COUNT(Curvas_cupon_cero!$A:$A)-2,1)),[1]!interpolar(B202,OFFSET(Curvas_cupon_cero!$A$1,1,0,COUNT(Curvas_cupon_cero!$A:$A)-2,1),OFFSET(Curvas_cupon_cero!$A$1,1,MATCH($B$8,Curvas_cupon_cero!$1:$1,0)-1,COUNT(Curvas_cupon_cero!$A:$A)-2,1))))</f>
        <v/>
      </c>
      <c r="D202" s="23" t="str">
        <f ca="1">IF(A202="","",IF($B$10="Sí",interpolar_alamb(L202,OFFSET(Curvas_cupon_cero!$A$1,1,0,COUNT(Curvas_cupon_cero!$A:$A)-2,1),OFFSET(Curvas_cupon_cero!$A$1,1,MATCH($B$8,Curvas_cupon_cero!$1:$1,0)-1,COUNT(Curvas_cupon_cero!$A:$A)-2,1)),[1]!interpolar(L202,OFFSET(Curvas_cupon_cero!$A$1,1,0,COUNT(Curvas_cupon_cero!$A:$A)-2,1),OFFSET(Curvas_cupon_cero!$A$1,1,MATCH($B$8,Curvas_cupon_cero!$1:$1,0)-1,COUNT(Curvas_cupon_cero!$A:$A)-2,1))))</f>
        <v/>
      </c>
      <c r="E202" s="23" t="str">
        <f t="shared" si="23"/>
        <v/>
      </c>
      <c r="F202" s="23" t="str">
        <f ca="1">IF(A202="","",IF($B$10="Sí",interpolar_alamb(B202,OFFSET(Curvas_cupon_cero!$A$1,1,0,COUNT(Curvas_cupon_cero!$A:$A)-2,1),OFFSET(Curvas_cupon_cero!$A$1,1,MATCH($B$9,Curvas_cupon_cero!$1:$1,0)-1,COUNT(Curvas_cupon_cero!$A:$A)-2,1)),[1]!interpolar(B202,OFFSET(Curvas_cupon_cero!$A$1,1,0,COUNT(Curvas_cupon_cero!$A:$A)-2,1),OFFSET(Curvas_cupon_cero!$A$1,1,MATCH($B$9,Curvas_cupon_cero!$1:$1,0)-1,COUNT(Curvas_cupon_cero!$A:$A)-2,1))))</f>
        <v/>
      </c>
      <c r="G202" s="23" t="str">
        <f t="shared" si="24"/>
        <v/>
      </c>
      <c r="H202" s="20" t="str">
        <f t="shared" si="29"/>
        <v/>
      </c>
      <c r="I202" t="str">
        <f t="shared" si="25"/>
        <v/>
      </c>
      <c r="J202" s="17" t="str">
        <f t="shared" si="21"/>
        <v/>
      </c>
      <c r="K202" s="18" t="str">
        <f t="shared" si="26"/>
        <v/>
      </c>
      <c r="L202" t="str">
        <f t="shared" si="27"/>
        <v/>
      </c>
      <c r="M202" s="23" t="str">
        <f ca="1">IF(A202="","",IF($B$10="Sí",interpolar_alamb(L202,OFFSET(Curvas_cupon_cero!$A$1,1,0,COUNT(Curvas_cupon_cero!$A:$A)-2,1),OFFSET(Curvas_cupon_cero!$A$1,1,MATCH($B$6,Curvas_cupon_cero!$1:$1,0)-1,COUNT(Curvas_cupon_cero!$A:$A)-2,1)),[1]!interpolar(L202,OFFSET(Curvas_cupon_cero!$A$1,1,0,COUNT(Curvas_cupon_cero!$A:$A)-2,1),OFFSET(Curvas_cupon_cero!$A$1,1,MATCH($B$6,Curvas_cupon_cero!$1:$1,0)-1,COUNT(Curvas_cupon_cero!$A:$A)-2,1))))</f>
        <v/>
      </c>
      <c r="N202" s="23"/>
      <c r="O202" s="19" t="str">
        <f t="shared" si="28"/>
        <v/>
      </c>
    </row>
    <row r="203" spans="1:15" x14ac:dyDescent="0.2">
      <c r="A203" s="12" t="str">
        <f t="shared" si="22"/>
        <v/>
      </c>
      <c r="B203" t="str">
        <f t="shared" si="20"/>
        <v/>
      </c>
      <c r="C203" s="21" t="str">
        <f ca="1">IF(A203="","",IF($B$10="Sí",interpolar_alamb(B203,OFFSET(Curvas_cupon_cero!$A$1,1,0,COUNT(Curvas_cupon_cero!$A:$A)-2,1),OFFSET(Curvas_cupon_cero!$A$1,1,MATCH($B$8,Curvas_cupon_cero!$1:$1,0)-1,COUNT(Curvas_cupon_cero!$A:$A)-2,1)),[1]!interpolar(B203,OFFSET(Curvas_cupon_cero!$A$1,1,0,COUNT(Curvas_cupon_cero!$A:$A)-2,1),OFFSET(Curvas_cupon_cero!$A$1,1,MATCH($B$8,Curvas_cupon_cero!$1:$1,0)-1,COUNT(Curvas_cupon_cero!$A:$A)-2,1))))</f>
        <v/>
      </c>
      <c r="D203" s="23" t="str">
        <f ca="1">IF(A203="","",IF($B$10="Sí",interpolar_alamb(L203,OFFSET(Curvas_cupon_cero!$A$1,1,0,COUNT(Curvas_cupon_cero!$A:$A)-2,1),OFFSET(Curvas_cupon_cero!$A$1,1,MATCH($B$8,Curvas_cupon_cero!$1:$1,0)-1,COUNT(Curvas_cupon_cero!$A:$A)-2,1)),[1]!interpolar(L203,OFFSET(Curvas_cupon_cero!$A$1,1,0,COUNT(Curvas_cupon_cero!$A:$A)-2,1),OFFSET(Curvas_cupon_cero!$A$1,1,MATCH($B$8,Curvas_cupon_cero!$1:$1,0)-1,COUNT(Curvas_cupon_cero!$A:$A)-2,1))))</f>
        <v/>
      </c>
      <c r="E203" s="23" t="str">
        <f t="shared" si="23"/>
        <v/>
      </c>
      <c r="F203" s="23" t="str">
        <f ca="1">IF(A203="","",IF($B$10="Sí",interpolar_alamb(B203,OFFSET(Curvas_cupon_cero!$A$1,1,0,COUNT(Curvas_cupon_cero!$A:$A)-2,1),OFFSET(Curvas_cupon_cero!$A$1,1,MATCH($B$9,Curvas_cupon_cero!$1:$1,0)-1,COUNT(Curvas_cupon_cero!$A:$A)-2,1)),[1]!interpolar(B203,OFFSET(Curvas_cupon_cero!$A$1,1,0,COUNT(Curvas_cupon_cero!$A:$A)-2,1),OFFSET(Curvas_cupon_cero!$A$1,1,MATCH($B$9,Curvas_cupon_cero!$1:$1,0)-1,COUNT(Curvas_cupon_cero!$A:$A)-2,1))))</f>
        <v/>
      </c>
      <c r="G203" s="23" t="str">
        <f t="shared" si="24"/>
        <v/>
      </c>
      <c r="H203" s="20" t="str">
        <f t="shared" si="29"/>
        <v/>
      </c>
      <c r="I203" t="str">
        <f t="shared" si="25"/>
        <v/>
      </c>
      <c r="J203" s="17" t="str">
        <f t="shared" si="21"/>
        <v/>
      </c>
      <c r="K203" s="18" t="str">
        <f t="shared" si="26"/>
        <v/>
      </c>
      <c r="L203" t="str">
        <f t="shared" si="27"/>
        <v/>
      </c>
      <c r="M203" s="23" t="str">
        <f ca="1">IF(A203="","",IF($B$10="Sí",interpolar_alamb(L203,OFFSET(Curvas_cupon_cero!$A$1,1,0,COUNT(Curvas_cupon_cero!$A:$A)-2,1),OFFSET(Curvas_cupon_cero!$A$1,1,MATCH($B$6,Curvas_cupon_cero!$1:$1,0)-1,COUNT(Curvas_cupon_cero!$A:$A)-2,1)),[1]!interpolar(L203,OFFSET(Curvas_cupon_cero!$A$1,1,0,COUNT(Curvas_cupon_cero!$A:$A)-2,1),OFFSET(Curvas_cupon_cero!$A$1,1,MATCH($B$6,Curvas_cupon_cero!$1:$1,0)-1,COUNT(Curvas_cupon_cero!$A:$A)-2,1))))</f>
        <v/>
      </c>
      <c r="N203" s="23"/>
      <c r="O203" s="19" t="str">
        <f t="shared" si="28"/>
        <v/>
      </c>
    </row>
    <row r="204" spans="1:15" x14ac:dyDescent="0.2">
      <c r="A204" s="12" t="str">
        <f t="shared" si="22"/>
        <v/>
      </c>
      <c r="B204" t="str">
        <f t="shared" si="20"/>
        <v/>
      </c>
      <c r="C204" s="21" t="str">
        <f ca="1">IF(A204="","",IF($B$10="Sí",interpolar_alamb(B204,OFFSET(Curvas_cupon_cero!$A$1,1,0,COUNT(Curvas_cupon_cero!$A:$A)-2,1),OFFSET(Curvas_cupon_cero!$A$1,1,MATCH($B$8,Curvas_cupon_cero!$1:$1,0)-1,COUNT(Curvas_cupon_cero!$A:$A)-2,1)),[1]!interpolar(B204,OFFSET(Curvas_cupon_cero!$A$1,1,0,COUNT(Curvas_cupon_cero!$A:$A)-2,1),OFFSET(Curvas_cupon_cero!$A$1,1,MATCH($B$8,Curvas_cupon_cero!$1:$1,0)-1,COUNT(Curvas_cupon_cero!$A:$A)-2,1))))</f>
        <v/>
      </c>
      <c r="D204" s="23" t="str">
        <f ca="1">IF(A204="","",IF($B$10="Sí",interpolar_alamb(L204,OFFSET(Curvas_cupon_cero!$A$1,1,0,COUNT(Curvas_cupon_cero!$A:$A)-2,1),OFFSET(Curvas_cupon_cero!$A$1,1,MATCH($B$8,Curvas_cupon_cero!$1:$1,0)-1,COUNT(Curvas_cupon_cero!$A:$A)-2,1)),[1]!interpolar(L204,OFFSET(Curvas_cupon_cero!$A$1,1,0,COUNT(Curvas_cupon_cero!$A:$A)-2,1),OFFSET(Curvas_cupon_cero!$A$1,1,MATCH($B$8,Curvas_cupon_cero!$1:$1,0)-1,COUNT(Curvas_cupon_cero!$A:$A)-2,1))))</f>
        <v/>
      </c>
      <c r="E204" s="23" t="str">
        <f t="shared" si="23"/>
        <v/>
      </c>
      <c r="F204" s="23" t="str">
        <f ca="1">IF(A204="","",IF($B$10="Sí",interpolar_alamb(B204,OFFSET(Curvas_cupon_cero!$A$1,1,0,COUNT(Curvas_cupon_cero!$A:$A)-2,1),OFFSET(Curvas_cupon_cero!$A$1,1,MATCH($B$9,Curvas_cupon_cero!$1:$1,0)-1,COUNT(Curvas_cupon_cero!$A:$A)-2,1)),[1]!interpolar(B204,OFFSET(Curvas_cupon_cero!$A$1,1,0,COUNT(Curvas_cupon_cero!$A:$A)-2,1),OFFSET(Curvas_cupon_cero!$A$1,1,MATCH($B$9,Curvas_cupon_cero!$1:$1,0)-1,COUNT(Curvas_cupon_cero!$A:$A)-2,1))))</f>
        <v/>
      </c>
      <c r="G204" s="23" t="str">
        <f t="shared" si="24"/>
        <v/>
      </c>
      <c r="H204" s="20" t="str">
        <f t="shared" si="29"/>
        <v/>
      </c>
      <c r="I204" t="str">
        <f t="shared" si="25"/>
        <v/>
      </c>
      <c r="J204" s="17" t="str">
        <f t="shared" si="21"/>
        <v/>
      </c>
      <c r="K204" s="18" t="str">
        <f t="shared" si="26"/>
        <v/>
      </c>
      <c r="L204" t="str">
        <f t="shared" si="27"/>
        <v/>
      </c>
      <c r="M204" s="23" t="str">
        <f ca="1">IF(A204="","",IF($B$10="Sí",interpolar_alamb(L204,OFFSET(Curvas_cupon_cero!$A$1,1,0,COUNT(Curvas_cupon_cero!$A:$A)-2,1),OFFSET(Curvas_cupon_cero!$A$1,1,MATCH($B$6,Curvas_cupon_cero!$1:$1,0)-1,COUNT(Curvas_cupon_cero!$A:$A)-2,1)),[1]!interpolar(L204,OFFSET(Curvas_cupon_cero!$A$1,1,0,COUNT(Curvas_cupon_cero!$A:$A)-2,1),OFFSET(Curvas_cupon_cero!$A$1,1,MATCH($B$6,Curvas_cupon_cero!$1:$1,0)-1,COUNT(Curvas_cupon_cero!$A:$A)-2,1))))</f>
        <v/>
      </c>
      <c r="N204" s="23"/>
      <c r="O204" s="19" t="str">
        <f t="shared" si="28"/>
        <v/>
      </c>
    </row>
    <row r="205" spans="1:15" x14ac:dyDescent="0.2">
      <c r="A205" s="12" t="str">
        <f t="shared" si="22"/>
        <v/>
      </c>
      <c r="B205" t="str">
        <f t="shared" si="20"/>
        <v/>
      </c>
      <c r="C205" s="21" t="str">
        <f ca="1">IF(A205="","",IF($B$10="Sí",interpolar_alamb(B205,OFFSET(Curvas_cupon_cero!$A$1,1,0,COUNT(Curvas_cupon_cero!$A:$A)-2,1),OFFSET(Curvas_cupon_cero!$A$1,1,MATCH($B$8,Curvas_cupon_cero!$1:$1,0)-1,COUNT(Curvas_cupon_cero!$A:$A)-2,1)),[1]!interpolar(B205,OFFSET(Curvas_cupon_cero!$A$1,1,0,COUNT(Curvas_cupon_cero!$A:$A)-2,1),OFFSET(Curvas_cupon_cero!$A$1,1,MATCH($B$8,Curvas_cupon_cero!$1:$1,0)-1,COUNT(Curvas_cupon_cero!$A:$A)-2,1))))</f>
        <v/>
      </c>
      <c r="D205" s="23" t="str">
        <f ca="1">IF(A205="","",IF($B$10="Sí",interpolar_alamb(L205,OFFSET(Curvas_cupon_cero!$A$1,1,0,COUNT(Curvas_cupon_cero!$A:$A)-2,1),OFFSET(Curvas_cupon_cero!$A$1,1,MATCH($B$8,Curvas_cupon_cero!$1:$1,0)-1,COUNT(Curvas_cupon_cero!$A:$A)-2,1)),[1]!interpolar(L205,OFFSET(Curvas_cupon_cero!$A$1,1,0,COUNT(Curvas_cupon_cero!$A:$A)-2,1),OFFSET(Curvas_cupon_cero!$A$1,1,MATCH($B$8,Curvas_cupon_cero!$1:$1,0)-1,COUNT(Curvas_cupon_cero!$A:$A)-2,1))))</f>
        <v/>
      </c>
      <c r="E205" s="23" t="str">
        <f t="shared" si="23"/>
        <v/>
      </c>
      <c r="F205" s="23" t="str">
        <f ca="1">IF(A205="","",IF($B$10="Sí",interpolar_alamb(B205,OFFSET(Curvas_cupon_cero!$A$1,1,0,COUNT(Curvas_cupon_cero!$A:$A)-2,1),OFFSET(Curvas_cupon_cero!$A$1,1,MATCH($B$9,Curvas_cupon_cero!$1:$1,0)-1,COUNT(Curvas_cupon_cero!$A:$A)-2,1)),[1]!interpolar(B205,OFFSET(Curvas_cupon_cero!$A$1,1,0,COUNT(Curvas_cupon_cero!$A:$A)-2,1),OFFSET(Curvas_cupon_cero!$A$1,1,MATCH($B$9,Curvas_cupon_cero!$1:$1,0)-1,COUNT(Curvas_cupon_cero!$A:$A)-2,1))))</f>
        <v/>
      </c>
      <c r="G205" s="23" t="str">
        <f t="shared" si="24"/>
        <v/>
      </c>
      <c r="H205" s="20" t="str">
        <f t="shared" si="29"/>
        <v/>
      </c>
      <c r="I205" t="str">
        <f t="shared" si="25"/>
        <v/>
      </c>
      <c r="J205" s="17" t="str">
        <f t="shared" si="21"/>
        <v/>
      </c>
      <c r="K205" s="18" t="str">
        <f t="shared" si="26"/>
        <v/>
      </c>
      <c r="L205" t="str">
        <f t="shared" si="27"/>
        <v/>
      </c>
      <c r="M205" s="23" t="str">
        <f ca="1">IF(A205="","",IF($B$10="Sí",interpolar_alamb(L205,OFFSET(Curvas_cupon_cero!$A$1,1,0,COUNT(Curvas_cupon_cero!$A:$A)-2,1),OFFSET(Curvas_cupon_cero!$A$1,1,MATCH($B$6,Curvas_cupon_cero!$1:$1,0)-1,COUNT(Curvas_cupon_cero!$A:$A)-2,1)),[1]!interpolar(L205,OFFSET(Curvas_cupon_cero!$A$1,1,0,COUNT(Curvas_cupon_cero!$A:$A)-2,1),OFFSET(Curvas_cupon_cero!$A$1,1,MATCH($B$6,Curvas_cupon_cero!$1:$1,0)-1,COUNT(Curvas_cupon_cero!$A:$A)-2,1))))</f>
        <v/>
      </c>
      <c r="N205" s="23"/>
      <c r="O205" s="19" t="str">
        <f t="shared" si="28"/>
        <v/>
      </c>
    </row>
    <row r="206" spans="1:15" x14ac:dyDescent="0.2">
      <c r="A206" s="12" t="str">
        <f t="shared" si="22"/>
        <v/>
      </c>
      <c r="B206" t="str">
        <f t="shared" si="20"/>
        <v/>
      </c>
      <c r="C206" s="21" t="str">
        <f ca="1">IF(A206="","",IF($B$10="Sí",interpolar_alamb(B206,OFFSET(Curvas_cupon_cero!$A$1,1,0,COUNT(Curvas_cupon_cero!$A:$A)-2,1),OFFSET(Curvas_cupon_cero!$A$1,1,MATCH($B$8,Curvas_cupon_cero!$1:$1,0)-1,COUNT(Curvas_cupon_cero!$A:$A)-2,1)),[1]!interpolar(B206,OFFSET(Curvas_cupon_cero!$A$1,1,0,COUNT(Curvas_cupon_cero!$A:$A)-2,1),OFFSET(Curvas_cupon_cero!$A$1,1,MATCH($B$8,Curvas_cupon_cero!$1:$1,0)-1,COUNT(Curvas_cupon_cero!$A:$A)-2,1))))</f>
        <v/>
      </c>
      <c r="D206" s="23" t="str">
        <f ca="1">IF(A206="","",IF($B$10="Sí",interpolar_alamb(L206,OFFSET(Curvas_cupon_cero!$A$1,1,0,COUNT(Curvas_cupon_cero!$A:$A)-2,1),OFFSET(Curvas_cupon_cero!$A$1,1,MATCH($B$8,Curvas_cupon_cero!$1:$1,0)-1,COUNT(Curvas_cupon_cero!$A:$A)-2,1)),[1]!interpolar(L206,OFFSET(Curvas_cupon_cero!$A$1,1,0,COUNT(Curvas_cupon_cero!$A:$A)-2,1),OFFSET(Curvas_cupon_cero!$A$1,1,MATCH($B$8,Curvas_cupon_cero!$1:$1,0)-1,COUNT(Curvas_cupon_cero!$A:$A)-2,1))))</f>
        <v/>
      </c>
      <c r="E206" s="23" t="str">
        <f t="shared" si="23"/>
        <v/>
      </c>
      <c r="F206" s="23" t="str">
        <f ca="1">IF(A206="","",IF($B$10="Sí",interpolar_alamb(B206,OFFSET(Curvas_cupon_cero!$A$1,1,0,COUNT(Curvas_cupon_cero!$A:$A)-2,1),OFFSET(Curvas_cupon_cero!$A$1,1,MATCH($B$9,Curvas_cupon_cero!$1:$1,0)-1,COUNT(Curvas_cupon_cero!$A:$A)-2,1)),[1]!interpolar(B206,OFFSET(Curvas_cupon_cero!$A$1,1,0,COUNT(Curvas_cupon_cero!$A:$A)-2,1),OFFSET(Curvas_cupon_cero!$A$1,1,MATCH($B$9,Curvas_cupon_cero!$1:$1,0)-1,COUNT(Curvas_cupon_cero!$A:$A)-2,1))))</f>
        <v/>
      </c>
      <c r="G206" s="23" t="str">
        <f t="shared" si="24"/>
        <v/>
      </c>
      <c r="H206" s="20" t="str">
        <f t="shared" si="29"/>
        <v/>
      </c>
      <c r="I206" t="str">
        <f t="shared" si="25"/>
        <v/>
      </c>
      <c r="J206" s="17" t="str">
        <f t="shared" si="21"/>
        <v/>
      </c>
      <c r="K206" s="18" t="str">
        <f t="shared" si="26"/>
        <v/>
      </c>
      <c r="L206" t="str">
        <f t="shared" si="27"/>
        <v/>
      </c>
      <c r="M206" s="23" t="str">
        <f ca="1">IF(A206="","",IF($B$10="Sí",interpolar_alamb(L206,OFFSET(Curvas_cupon_cero!$A$1,1,0,COUNT(Curvas_cupon_cero!$A:$A)-2,1),OFFSET(Curvas_cupon_cero!$A$1,1,MATCH($B$6,Curvas_cupon_cero!$1:$1,0)-1,COUNT(Curvas_cupon_cero!$A:$A)-2,1)),[1]!interpolar(L206,OFFSET(Curvas_cupon_cero!$A$1,1,0,COUNT(Curvas_cupon_cero!$A:$A)-2,1),OFFSET(Curvas_cupon_cero!$A$1,1,MATCH($B$6,Curvas_cupon_cero!$1:$1,0)-1,COUNT(Curvas_cupon_cero!$A:$A)-2,1))))</f>
        <v/>
      </c>
      <c r="N206" s="23"/>
      <c r="O206" s="19" t="str">
        <f t="shared" si="28"/>
        <v/>
      </c>
    </row>
    <row r="207" spans="1:15" x14ac:dyDescent="0.2">
      <c r="A207" s="12" t="str">
        <f t="shared" si="22"/>
        <v/>
      </c>
      <c r="B207" t="str">
        <f t="shared" si="20"/>
        <v/>
      </c>
      <c r="C207" s="21" t="str">
        <f ca="1">IF(A207="","",IF($B$10="Sí",interpolar_alamb(B207,OFFSET(Curvas_cupon_cero!$A$1,1,0,COUNT(Curvas_cupon_cero!$A:$A)-2,1),OFFSET(Curvas_cupon_cero!$A$1,1,MATCH($B$8,Curvas_cupon_cero!$1:$1,0)-1,COUNT(Curvas_cupon_cero!$A:$A)-2,1)),[1]!interpolar(B207,OFFSET(Curvas_cupon_cero!$A$1,1,0,COUNT(Curvas_cupon_cero!$A:$A)-2,1),OFFSET(Curvas_cupon_cero!$A$1,1,MATCH($B$8,Curvas_cupon_cero!$1:$1,0)-1,COUNT(Curvas_cupon_cero!$A:$A)-2,1))))</f>
        <v/>
      </c>
      <c r="D207" s="23" t="str">
        <f ca="1">IF(A207="","",IF($B$10="Sí",interpolar_alamb(L207,OFFSET(Curvas_cupon_cero!$A$1,1,0,COUNT(Curvas_cupon_cero!$A:$A)-2,1),OFFSET(Curvas_cupon_cero!$A$1,1,MATCH($B$8,Curvas_cupon_cero!$1:$1,0)-1,COUNT(Curvas_cupon_cero!$A:$A)-2,1)),[1]!interpolar(L207,OFFSET(Curvas_cupon_cero!$A$1,1,0,COUNT(Curvas_cupon_cero!$A:$A)-2,1),OFFSET(Curvas_cupon_cero!$A$1,1,MATCH($B$8,Curvas_cupon_cero!$1:$1,0)-1,COUNT(Curvas_cupon_cero!$A:$A)-2,1))))</f>
        <v/>
      </c>
      <c r="E207" s="23" t="str">
        <f t="shared" si="23"/>
        <v/>
      </c>
      <c r="F207" s="23" t="str">
        <f ca="1">IF(A207="","",IF($B$10="Sí",interpolar_alamb(B207,OFFSET(Curvas_cupon_cero!$A$1,1,0,COUNT(Curvas_cupon_cero!$A:$A)-2,1),OFFSET(Curvas_cupon_cero!$A$1,1,MATCH($B$9,Curvas_cupon_cero!$1:$1,0)-1,COUNT(Curvas_cupon_cero!$A:$A)-2,1)),[1]!interpolar(B207,OFFSET(Curvas_cupon_cero!$A$1,1,0,COUNT(Curvas_cupon_cero!$A:$A)-2,1),OFFSET(Curvas_cupon_cero!$A$1,1,MATCH($B$9,Curvas_cupon_cero!$1:$1,0)-1,COUNT(Curvas_cupon_cero!$A:$A)-2,1))))</f>
        <v/>
      </c>
      <c r="G207" s="23" t="str">
        <f t="shared" si="24"/>
        <v/>
      </c>
      <c r="H207" s="20" t="str">
        <f t="shared" si="29"/>
        <v/>
      </c>
      <c r="I207" t="str">
        <f t="shared" si="25"/>
        <v/>
      </c>
      <c r="J207" s="17" t="str">
        <f t="shared" si="21"/>
        <v/>
      </c>
      <c r="K207" s="18" t="str">
        <f t="shared" si="26"/>
        <v/>
      </c>
      <c r="L207" t="str">
        <f t="shared" si="27"/>
        <v/>
      </c>
      <c r="M207" s="23" t="str">
        <f ca="1">IF(A207="","",IF($B$10="Sí",interpolar_alamb(L207,OFFSET(Curvas_cupon_cero!$A$1,1,0,COUNT(Curvas_cupon_cero!$A:$A)-2,1),OFFSET(Curvas_cupon_cero!$A$1,1,MATCH($B$6,Curvas_cupon_cero!$1:$1,0)-1,COUNT(Curvas_cupon_cero!$A:$A)-2,1)),[1]!interpolar(L207,OFFSET(Curvas_cupon_cero!$A$1,1,0,COUNT(Curvas_cupon_cero!$A:$A)-2,1),OFFSET(Curvas_cupon_cero!$A$1,1,MATCH($B$6,Curvas_cupon_cero!$1:$1,0)-1,COUNT(Curvas_cupon_cero!$A:$A)-2,1))))</f>
        <v/>
      </c>
      <c r="N207" s="23"/>
      <c r="O207" s="19" t="str">
        <f t="shared" si="28"/>
        <v/>
      </c>
    </row>
    <row r="208" spans="1:15" x14ac:dyDescent="0.2">
      <c r="A208" s="12" t="str">
        <f t="shared" si="22"/>
        <v/>
      </c>
      <c r="B208" t="str">
        <f t="shared" si="20"/>
        <v/>
      </c>
      <c r="C208" s="21" t="str">
        <f ca="1">IF(A208="","",IF($B$10="Sí",interpolar_alamb(B208,OFFSET(Curvas_cupon_cero!$A$1,1,0,COUNT(Curvas_cupon_cero!$A:$A)-2,1),OFFSET(Curvas_cupon_cero!$A$1,1,MATCH($B$8,Curvas_cupon_cero!$1:$1,0)-1,COUNT(Curvas_cupon_cero!$A:$A)-2,1)),[1]!interpolar(B208,OFFSET(Curvas_cupon_cero!$A$1,1,0,COUNT(Curvas_cupon_cero!$A:$A)-2,1),OFFSET(Curvas_cupon_cero!$A$1,1,MATCH($B$8,Curvas_cupon_cero!$1:$1,0)-1,COUNT(Curvas_cupon_cero!$A:$A)-2,1))))</f>
        <v/>
      </c>
      <c r="D208" s="23" t="str">
        <f ca="1">IF(A208="","",IF($B$10="Sí",interpolar_alamb(L208,OFFSET(Curvas_cupon_cero!$A$1,1,0,COUNT(Curvas_cupon_cero!$A:$A)-2,1),OFFSET(Curvas_cupon_cero!$A$1,1,MATCH($B$8,Curvas_cupon_cero!$1:$1,0)-1,COUNT(Curvas_cupon_cero!$A:$A)-2,1)),[1]!interpolar(L208,OFFSET(Curvas_cupon_cero!$A$1,1,0,COUNT(Curvas_cupon_cero!$A:$A)-2,1),OFFSET(Curvas_cupon_cero!$A$1,1,MATCH($B$8,Curvas_cupon_cero!$1:$1,0)-1,COUNT(Curvas_cupon_cero!$A:$A)-2,1))))</f>
        <v/>
      </c>
      <c r="E208" s="23" t="str">
        <f t="shared" si="23"/>
        <v/>
      </c>
      <c r="F208" s="23" t="str">
        <f ca="1">IF(A208="","",IF($B$10="Sí",interpolar_alamb(B208,OFFSET(Curvas_cupon_cero!$A$1,1,0,COUNT(Curvas_cupon_cero!$A:$A)-2,1),OFFSET(Curvas_cupon_cero!$A$1,1,MATCH($B$9,Curvas_cupon_cero!$1:$1,0)-1,COUNT(Curvas_cupon_cero!$A:$A)-2,1)),[1]!interpolar(B208,OFFSET(Curvas_cupon_cero!$A$1,1,0,COUNT(Curvas_cupon_cero!$A:$A)-2,1),OFFSET(Curvas_cupon_cero!$A$1,1,MATCH($B$9,Curvas_cupon_cero!$1:$1,0)-1,COUNT(Curvas_cupon_cero!$A:$A)-2,1))))</f>
        <v/>
      </c>
      <c r="G208" s="23" t="str">
        <f t="shared" si="24"/>
        <v/>
      </c>
      <c r="H208" s="20" t="str">
        <f t="shared" si="29"/>
        <v/>
      </c>
      <c r="I208" t="str">
        <f t="shared" si="25"/>
        <v/>
      </c>
      <c r="J208" s="17" t="str">
        <f t="shared" si="21"/>
        <v/>
      </c>
      <c r="K208" s="18" t="str">
        <f t="shared" si="26"/>
        <v/>
      </c>
      <c r="L208" t="str">
        <f t="shared" si="27"/>
        <v/>
      </c>
      <c r="M208" s="23" t="str">
        <f ca="1">IF(A208="","",IF($B$10="Sí",interpolar_alamb(L208,OFFSET(Curvas_cupon_cero!$A$1,1,0,COUNT(Curvas_cupon_cero!$A:$A)-2,1),OFFSET(Curvas_cupon_cero!$A$1,1,MATCH($B$6,Curvas_cupon_cero!$1:$1,0)-1,COUNT(Curvas_cupon_cero!$A:$A)-2,1)),[1]!interpolar(L208,OFFSET(Curvas_cupon_cero!$A$1,1,0,COUNT(Curvas_cupon_cero!$A:$A)-2,1),OFFSET(Curvas_cupon_cero!$A$1,1,MATCH($B$6,Curvas_cupon_cero!$1:$1,0)-1,COUNT(Curvas_cupon_cero!$A:$A)-2,1))))</f>
        <v/>
      </c>
      <c r="N208" s="23"/>
      <c r="O208" s="19" t="str">
        <f t="shared" si="28"/>
        <v/>
      </c>
    </row>
    <row r="209" spans="1:15" x14ac:dyDescent="0.2">
      <c r="A209" s="12" t="str">
        <f t="shared" si="22"/>
        <v/>
      </c>
      <c r="B209" t="str">
        <f t="shared" ref="B209:B272" si="30">IF(A209="","",MAX(L209-$B$5,0))</f>
        <v/>
      </c>
      <c r="C209" s="21" t="str">
        <f ca="1">IF(A209="","",IF($B$10="Sí",interpolar_alamb(B209,OFFSET(Curvas_cupon_cero!$A$1,1,0,COUNT(Curvas_cupon_cero!$A:$A)-2,1),OFFSET(Curvas_cupon_cero!$A$1,1,MATCH($B$8,Curvas_cupon_cero!$1:$1,0)-1,COUNT(Curvas_cupon_cero!$A:$A)-2,1)),[1]!interpolar(B209,OFFSET(Curvas_cupon_cero!$A$1,1,0,COUNT(Curvas_cupon_cero!$A:$A)-2,1),OFFSET(Curvas_cupon_cero!$A$1,1,MATCH($B$8,Curvas_cupon_cero!$1:$1,0)-1,COUNT(Curvas_cupon_cero!$A:$A)-2,1))))</f>
        <v/>
      </c>
      <c r="D209" s="23" t="str">
        <f ca="1">IF(A209="","",IF($B$10="Sí",interpolar_alamb(L209,OFFSET(Curvas_cupon_cero!$A$1,1,0,COUNT(Curvas_cupon_cero!$A:$A)-2,1),OFFSET(Curvas_cupon_cero!$A$1,1,MATCH($B$8,Curvas_cupon_cero!$1:$1,0)-1,COUNT(Curvas_cupon_cero!$A:$A)-2,1)),[1]!interpolar(L209,OFFSET(Curvas_cupon_cero!$A$1,1,0,COUNT(Curvas_cupon_cero!$A:$A)-2,1),OFFSET(Curvas_cupon_cero!$A$1,1,MATCH($B$8,Curvas_cupon_cero!$1:$1,0)-1,COUNT(Curvas_cupon_cero!$A:$A)-2,1))))</f>
        <v/>
      </c>
      <c r="E209" s="23" t="str">
        <f t="shared" si="23"/>
        <v/>
      </c>
      <c r="F209" s="23" t="str">
        <f ca="1">IF(A209="","",IF($B$10="Sí",interpolar_alamb(B209,OFFSET(Curvas_cupon_cero!$A$1,1,0,COUNT(Curvas_cupon_cero!$A:$A)-2,1),OFFSET(Curvas_cupon_cero!$A$1,1,MATCH($B$9,Curvas_cupon_cero!$1:$1,0)-1,COUNT(Curvas_cupon_cero!$A:$A)-2,1)),[1]!interpolar(B209,OFFSET(Curvas_cupon_cero!$A$1,1,0,COUNT(Curvas_cupon_cero!$A:$A)-2,1),OFFSET(Curvas_cupon_cero!$A$1,1,MATCH($B$9,Curvas_cupon_cero!$1:$1,0)-1,COUNT(Curvas_cupon_cero!$A:$A)-2,1))))</f>
        <v/>
      </c>
      <c r="G209" s="23" t="str">
        <f t="shared" si="24"/>
        <v/>
      </c>
      <c r="H209" s="20" t="str">
        <f t="shared" si="29"/>
        <v/>
      </c>
      <c r="I209" t="str">
        <f t="shared" si="25"/>
        <v/>
      </c>
      <c r="J209" s="17" t="str">
        <f t="shared" ref="J209:J272" si="31">IF(A209="","",IF(A209=$B$4,$B$1*$B$2+$B$1*$B$5/360*$B$2*(E209*(1-I209)+H209*I209), $B$1*$B$5/360*$B$2*(E209*(1-I209)+H209*I209)))</f>
        <v/>
      </c>
      <c r="K209" s="18" t="str">
        <f t="shared" si="26"/>
        <v/>
      </c>
      <c r="L209" t="str">
        <f t="shared" si="27"/>
        <v/>
      </c>
      <c r="M209" s="23" t="str">
        <f ca="1">IF(A209="","",IF($B$10="Sí",interpolar_alamb(L209,OFFSET(Curvas_cupon_cero!$A$1,1,0,COUNT(Curvas_cupon_cero!$A:$A)-2,1),OFFSET(Curvas_cupon_cero!$A$1,1,MATCH($B$6,Curvas_cupon_cero!$1:$1,0)-1,COUNT(Curvas_cupon_cero!$A:$A)-2,1)),[1]!interpolar(L209,OFFSET(Curvas_cupon_cero!$A$1,1,0,COUNT(Curvas_cupon_cero!$A:$A)-2,1),OFFSET(Curvas_cupon_cero!$A$1,1,MATCH($B$6,Curvas_cupon_cero!$1:$1,0)-1,COUNT(Curvas_cupon_cero!$A:$A)-2,1))))</f>
        <v/>
      </c>
      <c r="N209" s="23"/>
      <c r="O209" s="19" t="str">
        <f t="shared" si="28"/>
        <v/>
      </c>
    </row>
    <row r="210" spans="1:15" x14ac:dyDescent="0.2">
      <c r="A210" s="12" t="str">
        <f t="shared" ref="A210:A273" si="32">IF(A209="","",IF((A209+$B$5)&gt;$B$4,"",(A209+$B$5)))</f>
        <v/>
      </c>
      <c r="B210" t="str">
        <f t="shared" si="30"/>
        <v/>
      </c>
      <c r="C210" s="21" t="str">
        <f ca="1">IF(A210="","",IF($B$10="Sí",interpolar_alamb(B210,OFFSET(Curvas_cupon_cero!$A$1,1,0,COUNT(Curvas_cupon_cero!$A:$A)-2,1),OFFSET(Curvas_cupon_cero!$A$1,1,MATCH($B$8,Curvas_cupon_cero!$1:$1,0)-1,COUNT(Curvas_cupon_cero!$A:$A)-2,1)),[1]!interpolar(B210,OFFSET(Curvas_cupon_cero!$A$1,1,0,COUNT(Curvas_cupon_cero!$A:$A)-2,1),OFFSET(Curvas_cupon_cero!$A$1,1,MATCH($B$8,Curvas_cupon_cero!$1:$1,0)-1,COUNT(Curvas_cupon_cero!$A:$A)-2,1))))</f>
        <v/>
      </c>
      <c r="D210" s="23" t="str">
        <f ca="1">IF(A210="","",IF($B$10="Sí",interpolar_alamb(L210,OFFSET(Curvas_cupon_cero!$A$1,1,0,COUNT(Curvas_cupon_cero!$A:$A)-2,1),OFFSET(Curvas_cupon_cero!$A$1,1,MATCH($B$8,Curvas_cupon_cero!$1:$1,0)-1,COUNT(Curvas_cupon_cero!$A:$A)-2,1)),[1]!interpolar(L210,OFFSET(Curvas_cupon_cero!$A$1,1,0,COUNT(Curvas_cupon_cero!$A:$A)-2,1),OFFSET(Curvas_cupon_cero!$A$1,1,MATCH($B$8,Curvas_cupon_cero!$1:$1,0)-1,COUNT(Curvas_cupon_cero!$A:$A)-2,1))))</f>
        <v/>
      </c>
      <c r="E210" s="23" t="str">
        <f t="shared" ref="E210:E273" si="33">IF(A210="","",((1+D210*L210/360)/(1+C210*B210/360)-1)*(360/(L210-B210)))</f>
        <v/>
      </c>
      <c r="F210" s="23" t="str">
        <f ca="1">IF(A210="","",IF($B$10="Sí",interpolar_alamb(B210,OFFSET(Curvas_cupon_cero!$A$1,1,0,COUNT(Curvas_cupon_cero!$A:$A)-2,1),OFFSET(Curvas_cupon_cero!$A$1,1,MATCH($B$9,Curvas_cupon_cero!$1:$1,0)-1,COUNT(Curvas_cupon_cero!$A:$A)-2,1)),[1]!interpolar(B210,OFFSET(Curvas_cupon_cero!$A$1,1,0,COUNT(Curvas_cupon_cero!$A:$A)-2,1),OFFSET(Curvas_cupon_cero!$A$1,1,MATCH($B$9,Curvas_cupon_cero!$1:$1,0)-1,COUNT(Curvas_cupon_cero!$A:$A)-2,1))))</f>
        <v/>
      </c>
      <c r="G210" s="23" t="str">
        <f t="shared" ref="G210:G273" si="34">IF(A210="","",$B$11*(1+M210*L210/360)/(1+F210*L210/360))</f>
        <v/>
      </c>
      <c r="H210" s="20" t="str">
        <f t="shared" si="29"/>
        <v/>
      </c>
      <c r="I210" t="str">
        <f t="shared" ref="I210:I273" si="35">IF(A210="","",IF(H210&gt;E210,1,0))</f>
        <v/>
      </c>
      <c r="J210" s="17" t="str">
        <f t="shared" si="31"/>
        <v/>
      </c>
      <c r="K210" s="18" t="str">
        <f t="shared" ref="K210:K273" si="36">IF(A210="","",$B$5)</f>
        <v/>
      </c>
      <c r="L210" t="str">
        <f t="shared" ref="L210:L273" si="37">IF(A210="","",L209+K210)</f>
        <v/>
      </c>
      <c r="M210" s="23" t="str">
        <f ca="1">IF(A210="","",IF($B$10="Sí",interpolar_alamb(L210,OFFSET(Curvas_cupon_cero!$A$1,1,0,COUNT(Curvas_cupon_cero!$A:$A)-2,1),OFFSET(Curvas_cupon_cero!$A$1,1,MATCH($B$6,Curvas_cupon_cero!$1:$1,0)-1,COUNT(Curvas_cupon_cero!$A:$A)-2,1)),[1]!interpolar(L210,OFFSET(Curvas_cupon_cero!$A$1,1,0,COUNT(Curvas_cupon_cero!$A:$A)-2,1),OFFSET(Curvas_cupon_cero!$A$1,1,MATCH($B$6,Curvas_cupon_cero!$1:$1,0)-1,COUNT(Curvas_cupon_cero!$A:$A)-2,1))))</f>
        <v/>
      </c>
      <c r="N210" s="23"/>
      <c r="O210" s="19" t="str">
        <f t="shared" ref="O210:O273" si="38">IF(A210="","",J210/(1+(M210+N210)*L210/360))</f>
        <v/>
      </c>
    </row>
    <row r="211" spans="1:15" x14ac:dyDescent="0.2">
      <c r="A211" s="12" t="str">
        <f t="shared" si="32"/>
        <v/>
      </c>
      <c r="B211" t="str">
        <f t="shared" si="30"/>
        <v/>
      </c>
      <c r="C211" s="21" t="str">
        <f ca="1">IF(A211="","",IF($B$10="Sí",interpolar_alamb(B211,OFFSET(Curvas_cupon_cero!$A$1,1,0,COUNT(Curvas_cupon_cero!$A:$A)-2,1),OFFSET(Curvas_cupon_cero!$A$1,1,MATCH($B$8,Curvas_cupon_cero!$1:$1,0)-1,COUNT(Curvas_cupon_cero!$A:$A)-2,1)),[1]!interpolar(B211,OFFSET(Curvas_cupon_cero!$A$1,1,0,COUNT(Curvas_cupon_cero!$A:$A)-2,1),OFFSET(Curvas_cupon_cero!$A$1,1,MATCH($B$8,Curvas_cupon_cero!$1:$1,0)-1,COUNT(Curvas_cupon_cero!$A:$A)-2,1))))</f>
        <v/>
      </c>
      <c r="D211" s="23" t="str">
        <f ca="1">IF(A211="","",IF($B$10="Sí",interpolar_alamb(L211,OFFSET(Curvas_cupon_cero!$A$1,1,0,COUNT(Curvas_cupon_cero!$A:$A)-2,1),OFFSET(Curvas_cupon_cero!$A$1,1,MATCH($B$8,Curvas_cupon_cero!$1:$1,0)-1,COUNT(Curvas_cupon_cero!$A:$A)-2,1)),[1]!interpolar(L211,OFFSET(Curvas_cupon_cero!$A$1,1,0,COUNT(Curvas_cupon_cero!$A:$A)-2,1),OFFSET(Curvas_cupon_cero!$A$1,1,MATCH($B$8,Curvas_cupon_cero!$1:$1,0)-1,COUNT(Curvas_cupon_cero!$A:$A)-2,1))))</f>
        <v/>
      </c>
      <c r="E211" s="23" t="str">
        <f t="shared" si="33"/>
        <v/>
      </c>
      <c r="F211" s="23" t="str">
        <f ca="1">IF(A211="","",IF($B$10="Sí",interpolar_alamb(B211,OFFSET(Curvas_cupon_cero!$A$1,1,0,COUNT(Curvas_cupon_cero!$A:$A)-2,1),OFFSET(Curvas_cupon_cero!$A$1,1,MATCH($B$9,Curvas_cupon_cero!$1:$1,0)-1,COUNT(Curvas_cupon_cero!$A:$A)-2,1)),[1]!interpolar(B211,OFFSET(Curvas_cupon_cero!$A$1,1,0,COUNT(Curvas_cupon_cero!$A:$A)-2,1),OFFSET(Curvas_cupon_cero!$A$1,1,MATCH($B$9,Curvas_cupon_cero!$1:$1,0)-1,COUNT(Curvas_cupon_cero!$A:$A)-2,1))))</f>
        <v/>
      </c>
      <c r="G211" s="23" t="str">
        <f t="shared" si="34"/>
        <v/>
      </c>
      <c r="H211" s="20" t="str">
        <f t="shared" ref="H211:H274" si="39">IF(A211="","",(G211/G210-1)*360/$B$5)</f>
        <v/>
      </c>
      <c r="I211" t="str">
        <f t="shared" si="35"/>
        <v/>
      </c>
      <c r="J211" s="17" t="str">
        <f t="shared" si="31"/>
        <v/>
      </c>
      <c r="K211" s="18" t="str">
        <f t="shared" si="36"/>
        <v/>
      </c>
      <c r="L211" t="str">
        <f t="shared" si="37"/>
        <v/>
      </c>
      <c r="M211" s="23" t="str">
        <f ca="1">IF(A211="","",IF($B$10="Sí",interpolar_alamb(L211,OFFSET(Curvas_cupon_cero!$A$1,1,0,COUNT(Curvas_cupon_cero!$A:$A)-2,1),OFFSET(Curvas_cupon_cero!$A$1,1,MATCH($B$6,Curvas_cupon_cero!$1:$1,0)-1,COUNT(Curvas_cupon_cero!$A:$A)-2,1)),[1]!interpolar(L211,OFFSET(Curvas_cupon_cero!$A$1,1,0,COUNT(Curvas_cupon_cero!$A:$A)-2,1),OFFSET(Curvas_cupon_cero!$A$1,1,MATCH($B$6,Curvas_cupon_cero!$1:$1,0)-1,COUNT(Curvas_cupon_cero!$A:$A)-2,1))))</f>
        <v/>
      </c>
      <c r="N211" s="23"/>
      <c r="O211" s="19" t="str">
        <f t="shared" si="38"/>
        <v/>
      </c>
    </row>
    <row r="212" spans="1:15" x14ac:dyDescent="0.2">
      <c r="A212" s="12" t="str">
        <f t="shared" si="32"/>
        <v/>
      </c>
      <c r="B212" t="str">
        <f t="shared" si="30"/>
        <v/>
      </c>
      <c r="C212" s="21" t="str">
        <f ca="1">IF(A212="","",IF($B$10="Sí",interpolar_alamb(B212,OFFSET(Curvas_cupon_cero!$A$1,1,0,COUNT(Curvas_cupon_cero!$A:$A)-2,1),OFFSET(Curvas_cupon_cero!$A$1,1,MATCH($B$8,Curvas_cupon_cero!$1:$1,0)-1,COUNT(Curvas_cupon_cero!$A:$A)-2,1)),[1]!interpolar(B212,OFFSET(Curvas_cupon_cero!$A$1,1,0,COUNT(Curvas_cupon_cero!$A:$A)-2,1),OFFSET(Curvas_cupon_cero!$A$1,1,MATCH($B$8,Curvas_cupon_cero!$1:$1,0)-1,COUNT(Curvas_cupon_cero!$A:$A)-2,1))))</f>
        <v/>
      </c>
      <c r="D212" s="23" t="str">
        <f ca="1">IF(A212="","",IF($B$10="Sí",interpolar_alamb(L212,OFFSET(Curvas_cupon_cero!$A$1,1,0,COUNT(Curvas_cupon_cero!$A:$A)-2,1),OFFSET(Curvas_cupon_cero!$A$1,1,MATCH($B$8,Curvas_cupon_cero!$1:$1,0)-1,COUNT(Curvas_cupon_cero!$A:$A)-2,1)),[1]!interpolar(L212,OFFSET(Curvas_cupon_cero!$A$1,1,0,COUNT(Curvas_cupon_cero!$A:$A)-2,1),OFFSET(Curvas_cupon_cero!$A$1,1,MATCH($B$8,Curvas_cupon_cero!$1:$1,0)-1,COUNT(Curvas_cupon_cero!$A:$A)-2,1))))</f>
        <v/>
      </c>
      <c r="E212" s="23" t="str">
        <f t="shared" si="33"/>
        <v/>
      </c>
      <c r="F212" s="23" t="str">
        <f ca="1">IF(A212="","",IF($B$10="Sí",interpolar_alamb(B212,OFFSET(Curvas_cupon_cero!$A$1,1,0,COUNT(Curvas_cupon_cero!$A:$A)-2,1),OFFSET(Curvas_cupon_cero!$A$1,1,MATCH($B$9,Curvas_cupon_cero!$1:$1,0)-1,COUNT(Curvas_cupon_cero!$A:$A)-2,1)),[1]!interpolar(B212,OFFSET(Curvas_cupon_cero!$A$1,1,0,COUNT(Curvas_cupon_cero!$A:$A)-2,1),OFFSET(Curvas_cupon_cero!$A$1,1,MATCH($B$9,Curvas_cupon_cero!$1:$1,0)-1,COUNT(Curvas_cupon_cero!$A:$A)-2,1))))</f>
        <v/>
      </c>
      <c r="G212" s="23" t="str">
        <f t="shared" si="34"/>
        <v/>
      </c>
      <c r="H212" s="20" t="str">
        <f t="shared" si="39"/>
        <v/>
      </c>
      <c r="I212" t="str">
        <f t="shared" si="35"/>
        <v/>
      </c>
      <c r="J212" s="17" t="str">
        <f t="shared" si="31"/>
        <v/>
      </c>
      <c r="K212" s="18" t="str">
        <f t="shared" si="36"/>
        <v/>
      </c>
      <c r="L212" t="str">
        <f t="shared" si="37"/>
        <v/>
      </c>
      <c r="M212" s="23" t="str">
        <f ca="1">IF(A212="","",IF($B$10="Sí",interpolar_alamb(L212,OFFSET(Curvas_cupon_cero!$A$1,1,0,COUNT(Curvas_cupon_cero!$A:$A)-2,1),OFFSET(Curvas_cupon_cero!$A$1,1,MATCH($B$6,Curvas_cupon_cero!$1:$1,0)-1,COUNT(Curvas_cupon_cero!$A:$A)-2,1)),[1]!interpolar(L212,OFFSET(Curvas_cupon_cero!$A$1,1,0,COUNT(Curvas_cupon_cero!$A:$A)-2,1),OFFSET(Curvas_cupon_cero!$A$1,1,MATCH($B$6,Curvas_cupon_cero!$1:$1,0)-1,COUNT(Curvas_cupon_cero!$A:$A)-2,1))))</f>
        <v/>
      </c>
      <c r="N212" s="23"/>
      <c r="O212" s="19" t="str">
        <f t="shared" si="38"/>
        <v/>
      </c>
    </row>
    <row r="213" spans="1:15" x14ac:dyDescent="0.2">
      <c r="A213" s="12" t="str">
        <f t="shared" si="32"/>
        <v/>
      </c>
      <c r="B213" t="str">
        <f t="shared" si="30"/>
        <v/>
      </c>
      <c r="C213" s="21" t="str">
        <f ca="1">IF(A213="","",IF($B$10="Sí",interpolar_alamb(B213,OFFSET(Curvas_cupon_cero!$A$1,1,0,COUNT(Curvas_cupon_cero!$A:$A)-2,1),OFFSET(Curvas_cupon_cero!$A$1,1,MATCH($B$8,Curvas_cupon_cero!$1:$1,0)-1,COUNT(Curvas_cupon_cero!$A:$A)-2,1)),[1]!interpolar(B213,OFFSET(Curvas_cupon_cero!$A$1,1,0,COUNT(Curvas_cupon_cero!$A:$A)-2,1),OFFSET(Curvas_cupon_cero!$A$1,1,MATCH($B$8,Curvas_cupon_cero!$1:$1,0)-1,COUNT(Curvas_cupon_cero!$A:$A)-2,1))))</f>
        <v/>
      </c>
      <c r="D213" s="23" t="str">
        <f ca="1">IF(A213="","",IF($B$10="Sí",interpolar_alamb(L213,OFFSET(Curvas_cupon_cero!$A$1,1,0,COUNT(Curvas_cupon_cero!$A:$A)-2,1),OFFSET(Curvas_cupon_cero!$A$1,1,MATCH($B$8,Curvas_cupon_cero!$1:$1,0)-1,COUNT(Curvas_cupon_cero!$A:$A)-2,1)),[1]!interpolar(L213,OFFSET(Curvas_cupon_cero!$A$1,1,0,COUNT(Curvas_cupon_cero!$A:$A)-2,1),OFFSET(Curvas_cupon_cero!$A$1,1,MATCH($B$8,Curvas_cupon_cero!$1:$1,0)-1,COUNT(Curvas_cupon_cero!$A:$A)-2,1))))</f>
        <v/>
      </c>
      <c r="E213" s="23" t="str">
        <f t="shared" si="33"/>
        <v/>
      </c>
      <c r="F213" s="23" t="str">
        <f ca="1">IF(A213="","",IF($B$10="Sí",interpolar_alamb(B213,OFFSET(Curvas_cupon_cero!$A$1,1,0,COUNT(Curvas_cupon_cero!$A:$A)-2,1),OFFSET(Curvas_cupon_cero!$A$1,1,MATCH($B$9,Curvas_cupon_cero!$1:$1,0)-1,COUNT(Curvas_cupon_cero!$A:$A)-2,1)),[1]!interpolar(B213,OFFSET(Curvas_cupon_cero!$A$1,1,0,COUNT(Curvas_cupon_cero!$A:$A)-2,1),OFFSET(Curvas_cupon_cero!$A$1,1,MATCH($B$9,Curvas_cupon_cero!$1:$1,0)-1,COUNT(Curvas_cupon_cero!$A:$A)-2,1))))</f>
        <v/>
      </c>
      <c r="G213" s="23" t="str">
        <f t="shared" si="34"/>
        <v/>
      </c>
      <c r="H213" s="20" t="str">
        <f t="shared" si="39"/>
        <v/>
      </c>
      <c r="I213" t="str">
        <f t="shared" si="35"/>
        <v/>
      </c>
      <c r="J213" s="17" t="str">
        <f t="shared" si="31"/>
        <v/>
      </c>
      <c r="K213" s="18" t="str">
        <f t="shared" si="36"/>
        <v/>
      </c>
      <c r="L213" t="str">
        <f t="shared" si="37"/>
        <v/>
      </c>
      <c r="M213" s="23" t="str">
        <f ca="1">IF(A213="","",IF($B$10="Sí",interpolar_alamb(L213,OFFSET(Curvas_cupon_cero!$A$1,1,0,COUNT(Curvas_cupon_cero!$A:$A)-2,1),OFFSET(Curvas_cupon_cero!$A$1,1,MATCH($B$6,Curvas_cupon_cero!$1:$1,0)-1,COUNT(Curvas_cupon_cero!$A:$A)-2,1)),[1]!interpolar(L213,OFFSET(Curvas_cupon_cero!$A$1,1,0,COUNT(Curvas_cupon_cero!$A:$A)-2,1),OFFSET(Curvas_cupon_cero!$A$1,1,MATCH($B$6,Curvas_cupon_cero!$1:$1,0)-1,COUNT(Curvas_cupon_cero!$A:$A)-2,1))))</f>
        <v/>
      </c>
      <c r="N213" s="23"/>
      <c r="O213" s="19" t="str">
        <f t="shared" si="38"/>
        <v/>
      </c>
    </row>
    <row r="214" spans="1:15" x14ac:dyDescent="0.2">
      <c r="A214" s="12" t="str">
        <f t="shared" si="32"/>
        <v/>
      </c>
      <c r="B214" t="str">
        <f t="shared" si="30"/>
        <v/>
      </c>
      <c r="C214" s="21" t="str">
        <f ca="1">IF(A214="","",IF($B$10="Sí",interpolar_alamb(B214,OFFSET(Curvas_cupon_cero!$A$1,1,0,COUNT(Curvas_cupon_cero!$A:$A)-2,1),OFFSET(Curvas_cupon_cero!$A$1,1,MATCH($B$8,Curvas_cupon_cero!$1:$1,0)-1,COUNT(Curvas_cupon_cero!$A:$A)-2,1)),[1]!interpolar(B214,OFFSET(Curvas_cupon_cero!$A$1,1,0,COUNT(Curvas_cupon_cero!$A:$A)-2,1),OFFSET(Curvas_cupon_cero!$A$1,1,MATCH($B$8,Curvas_cupon_cero!$1:$1,0)-1,COUNT(Curvas_cupon_cero!$A:$A)-2,1))))</f>
        <v/>
      </c>
      <c r="D214" s="23" t="str">
        <f ca="1">IF(A214="","",IF($B$10="Sí",interpolar_alamb(L214,OFFSET(Curvas_cupon_cero!$A$1,1,0,COUNT(Curvas_cupon_cero!$A:$A)-2,1),OFFSET(Curvas_cupon_cero!$A$1,1,MATCH($B$8,Curvas_cupon_cero!$1:$1,0)-1,COUNT(Curvas_cupon_cero!$A:$A)-2,1)),[1]!interpolar(L214,OFFSET(Curvas_cupon_cero!$A$1,1,0,COUNT(Curvas_cupon_cero!$A:$A)-2,1),OFFSET(Curvas_cupon_cero!$A$1,1,MATCH($B$8,Curvas_cupon_cero!$1:$1,0)-1,COUNT(Curvas_cupon_cero!$A:$A)-2,1))))</f>
        <v/>
      </c>
      <c r="E214" s="23" t="str">
        <f t="shared" si="33"/>
        <v/>
      </c>
      <c r="F214" s="23" t="str">
        <f ca="1">IF(A214="","",IF($B$10="Sí",interpolar_alamb(B214,OFFSET(Curvas_cupon_cero!$A$1,1,0,COUNT(Curvas_cupon_cero!$A:$A)-2,1),OFFSET(Curvas_cupon_cero!$A$1,1,MATCH($B$9,Curvas_cupon_cero!$1:$1,0)-1,COUNT(Curvas_cupon_cero!$A:$A)-2,1)),[1]!interpolar(B214,OFFSET(Curvas_cupon_cero!$A$1,1,0,COUNT(Curvas_cupon_cero!$A:$A)-2,1),OFFSET(Curvas_cupon_cero!$A$1,1,MATCH($B$9,Curvas_cupon_cero!$1:$1,0)-1,COUNT(Curvas_cupon_cero!$A:$A)-2,1))))</f>
        <v/>
      </c>
      <c r="G214" s="23" t="str">
        <f t="shared" si="34"/>
        <v/>
      </c>
      <c r="H214" s="20" t="str">
        <f t="shared" si="39"/>
        <v/>
      </c>
      <c r="I214" t="str">
        <f t="shared" si="35"/>
        <v/>
      </c>
      <c r="J214" s="17" t="str">
        <f t="shared" si="31"/>
        <v/>
      </c>
      <c r="K214" s="18" t="str">
        <f t="shared" si="36"/>
        <v/>
      </c>
      <c r="L214" t="str">
        <f t="shared" si="37"/>
        <v/>
      </c>
      <c r="M214" s="23" t="str">
        <f ca="1">IF(A214="","",IF($B$10="Sí",interpolar_alamb(L214,OFFSET(Curvas_cupon_cero!$A$1,1,0,COUNT(Curvas_cupon_cero!$A:$A)-2,1),OFFSET(Curvas_cupon_cero!$A$1,1,MATCH($B$6,Curvas_cupon_cero!$1:$1,0)-1,COUNT(Curvas_cupon_cero!$A:$A)-2,1)),[1]!interpolar(L214,OFFSET(Curvas_cupon_cero!$A$1,1,0,COUNT(Curvas_cupon_cero!$A:$A)-2,1),OFFSET(Curvas_cupon_cero!$A$1,1,MATCH($B$6,Curvas_cupon_cero!$1:$1,0)-1,COUNT(Curvas_cupon_cero!$A:$A)-2,1))))</f>
        <v/>
      </c>
      <c r="N214" s="23"/>
      <c r="O214" s="19" t="str">
        <f t="shared" si="38"/>
        <v/>
      </c>
    </row>
    <row r="215" spans="1:15" x14ac:dyDescent="0.2">
      <c r="A215" s="12" t="str">
        <f t="shared" si="32"/>
        <v/>
      </c>
      <c r="B215" t="str">
        <f t="shared" si="30"/>
        <v/>
      </c>
      <c r="C215" s="21" t="str">
        <f ca="1">IF(A215="","",IF($B$10="Sí",interpolar_alamb(B215,OFFSET(Curvas_cupon_cero!$A$1,1,0,COUNT(Curvas_cupon_cero!$A:$A)-2,1),OFFSET(Curvas_cupon_cero!$A$1,1,MATCH($B$8,Curvas_cupon_cero!$1:$1,0)-1,COUNT(Curvas_cupon_cero!$A:$A)-2,1)),[1]!interpolar(B215,OFFSET(Curvas_cupon_cero!$A$1,1,0,COUNT(Curvas_cupon_cero!$A:$A)-2,1),OFFSET(Curvas_cupon_cero!$A$1,1,MATCH($B$8,Curvas_cupon_cero!$1:$1,0)-1,COUNT(Curvas_cupon_cero!$A:$A)-2,1))))</f>
        <v/>
      </c>
      <c r="D215" s="23" t="str">
        <f ca="1">IF(A215="","",IF($B$10="Sí",interpolar_alamb(L215,OFFSET(Curvas_cupon_cero!$A$1,1,0,COUNT(Curvas_cupon_cero!$A:$A)-2,1),OFFSET(Curvas_cupon_cero!$A$1,1,MATCH($B$8,Curvas_cupon_cero!$1:$1,0)-1,COUNT(Curvas_cupon_cero!$A:$A)-2,1)),[1]!interpolar(L215,OFFSET(Curvas_cupon_cero!$A$1,1,0,COUNT(Curvas_cupon_cero!$A:$A)-2,1),OFFSET(Curvas_cupon_cero!$A$1,1,MATCH($B$8,Curvas_cupon_cero!$1:$1,0)-1,COUNT(Curvas_cupon_cero!$A:$A)-2,1))))</f>
        <v/>
      </c>
      <c r="E215" s="23" t="str">
        <f t="shared" si="33"/>
        <v/>
      </c>
      <c r="F215" s="23" t="str">
        <f ca="1">IF(A215="","",IF($B$10="Sí",interpolar_alamb(B215,OFFSET(Curvas_cupon_cero!$A$1,1,0,COUNT(Curvas_cupon_cero!$A:$A)-2,1),OFFSET(Curvas_cupon_cero!$A$1,1,MATCH($B$9,Curvas_cupon_cero!$1:$1,0)-1,COUNT(Curvas_cupon_cero!$A:$A)-2,1)),[1]!interpolar(B215,OFFSET(Curvas_cupon_cero!$A$1,1,0,COUNT(Curvas_cupon_cero!$A:$A)-2,1),OFFSET(Curvas_cupon_cero!$A$1,1,MATCH($B$9,Curvas_cupon_cero!$1:$1,0)-1,COUNT(Curvas_cupon_cero!$A:$A)-2,1))))</f>
        <v/>
      </c>
      <c r="G215" s="23" t="str">
        <f t="shared" si="34"/>
        <v/>
      </c>
      <c r="H215" s="20" t="str">
        <f t="shared" si="39"/>
        <v/>
      </c>
      <c r="I215" t="str">
        <f t="shared" si="35"/>
        <v/>
      </c>
      <c r="J215" s="17" t="str">
        <f t="shared" si="31"/>
        <v/>
      </c>
      <c r="K215" s="18" t="str">
        <f t="shared" si="36"/>
        <v/>
      </c>
      <c r="L215" t="str">
        <f t="shared" si="37"/>
        <v/>
      </c>
      <c r="M215" s="23" t="str">
        <f ca="1">IF(A215="","",IF($B$10="Sí",interpolar_alamb(L215,OFFSET(Curvas_cupon_cero!$A$1,1,0,COUNT(Curvas_cupon_cero!$A:$A)-2,1),OFFSET(Curvas_cupon_cero!$A$1,1,MATCH($B$6,Curvas_cupon_cero!$1:$1,0)-1,COUNT(Curvas_cupon_cero!$A:$A)-2,1)),[1]!interpolar(L215,OFFSET(Curvas_cupon_cero!$A$1,1,0,COUNT(Curvas_cupon_cero!$A:$A)-2,1),OFFSET(Curvas_cupon_cero!$A$1,1,MATCH($B$6,Curvas_cupon_cero!$1:$1,0)-1,COUNT(Curvas_cupon_cero!$A:$A)-2,1))))</f>
        <v/>
      </c>
      <c r="N215" s="23"/>
      <c r="O215" s="19" t="str">
        <f t="shared" si="38"/>
        <v/>
      </c>
    </row>
    <row r="216" spans="1:15" x14ac:dyDescent="0.2">
      <c r="A216" s="12" t="str">
        <f t="shared" si="32"/>
        <v/>
      </c>
      <c r="B216" t="str">
        <f t="shared" si="30"/>
        <v/>
      </c>
      <c r="C216" s="21" t="str">
        <f ca="1">IF(A216="","",IF($B$10="Sí",interpolar_alamb(B216,OFFSET(Curvas_cupon_cero!$A$1,1,0,COUNT(Curvas_cupon_cero!$A:$A)-2,1),OFFSET(Curvas_cupon_cero!$A$1,1,MATCH($B$8,Curvas_cupon_cero!$1:$1,0)-1,COUNT(Curvas_cupon_cero!$A:$A)-2,1)),[1]!interpolar(B216,OFFSET(Curvas_cupon_cero!$A$1,1,0,COUNT(Curvas_cupon_cero!$A:$A)-2,1),OFFSET(Curvas_cupon_cero!$A$1,1,MATCH($B$8,Curvas_cupon_cero!$1:$1,0)-1,COUNT(Curvas_cupon_cero!$A:$A)-2,1))))</f>
        <v/>
      </c>
      <c r="D216" s="23" t="str">
        <f ca="1">IF(A216="","",IF($B$10="Sí",interpolar_alamb(L216,OFFSET(Curvas_cupon_cero!$A$1,1,0,COUNT(Curvas_cupon_cero!$A:$A)-2,1),OFFSET(Curvas_cupon_cero!$A$1,1,MATCH($B$8,Curvas_cupon_cero!$1:$1,0)-1,COUNT(Curvas_cupon_cero!$A:$A)-2,1)),[1]!interpolar(L216,OFFSET(Curvas_cupon_cero!$A$1,1,0,COUNT(Curvas_cupon_cero!$A:$A)-2,1),OFFSET(Curvas_cupon_cero!$A$1,1,MATCH($B$8,Curvas_cupon_cero!$1:$1,0)-1,COUNT(Curvas_cupon_cero!$A:$A)-2,1))))</f>
        <v/>
      </c>
      <c r="E216" s="23" t="str">
        <f t="shared" si="33"/>
        <v/>
      </c>
      <c r="F216" s="23" t="str">
        <f ca="1">IF(A216="","",IF($B$10="Sí",interpolar_alamb(B216,OFFSET(Curvas_cupon_cero!$A$1,1,0,COUNT(Curvas_cupon_cero!$A:$A)-2,1),OFFSET(Curvas_cupon_cero!$A$1,1,MATCH($B$9,Curvas_cupon_cero!$1:$1,0)-1,COUNT(Curvas_cupon_cero!$A:$A)-2,1)),[1]!interpolar(B216,OFFSET(Curvas_cupon_cero!$A$1,1,0,COUNT(Curvas_cupon_cero!$A:$A)-2,1),OFFSET(Curvas_cupon_cero!$A$1,1,MATCH($B$9,Curvas_cupon_cero!$1:$1,0)-1,COUNT(Curvas_cupon_cero!$A:$A)-2,1))))</f>
        <v/>
      </c>
      <c r="G216" s="23" t="str">
        <f t="shared" si="34"/>
        <v/>
      </c>
      <c r="H216" s="20" t="str">
        <f t="shared" si="39"/>
        <v/>
      </c>
      <c r="I216" t="str">
        <f t="shared" si="35"/>
        <v/>
      </c>
      <c r="J216" s="17" t="str">
        <f t="shared" si="31"/>
        <v/>
      </c>
      <c r="K216" s="18" t="str">
        <f t="shared" si="36"/>
        <v/>
      </c>
      <c r="L216" t="str">
        <f t="shared" si="37"/>
        <v/>
      </c>
      <c r="M216" s="23" t="str">
        <f ca="1">IF(A216="","",IF($B$10="Sí",interpolar_alamb(L216,OFFSET(Curvas_cupon_cero!$A$1,1,0,COUNT(Curvas_cupon_cero!$A:$A)-2,1),OFFSET(Curvas_cupon_cero!$A$1,1,MATCH($B$6,Curvas_cupon_cero!$1:$1,0)-1,COUNT(Curvas_cupon_cero!$A:$A)-2,1)),[1]!interpolar(L216,OFFSET(Curvas_cupon_cero!$A$1,1,0,COUNT(Curvas_cupon_cero!$A:$A)-2,1),OFFSET(Curvas_cupon_cero!$A$1,1,MATCH($B$6,Curvas_cupon_cero!$1:$1,0)-1,COUNT(Curvas_cupon_cero!$A:$A)-2,1))))</f>
        <v/>
      </c>
      <c r="N216" s="23"/>
      <c r="O216" s="19" t="str">
        <f t="shared" si="38"/>
        <v/>
      </c>
    </row>
    <row r="217" spans="1:15" x14ac:dyDescent="0.2">
      <c r="A217" s="12" t="str">
        <f t="shared" si="32"/>
        <v/>
      </c>
      <c r="B217" t="str">
        <f t="shared" si="30"/>
        <v/>
      </c>
      <c r="C217" s="21" t="str">
        <f ca="1">IF(A217="","",IF($B$10="Sí",interpolar_alamb(B217,OFFSET(Curvas_cupon_cero!$A$1,1,0,COUNT(Curvas_cupon_cero!$A:$A)-2,1),OFFSET(Curvas_cupon_cero!$A$1,1,MATCH($B$8,Curvas_cupon_cero!$1:$1,0)-1,COUNT(Curvas_cupon_cero!$A:$A)-2,1)),[1]!interpolar(B217,OFFSET(Curvas_cupon_cero!$A$1,1,0,COUNT(Curvas_cupon_cero!$A:$A)-2,1),OFFSET(Curvas_cupon_cero!$A$1,1,MATCH($B$8,Curvas_cupon_cero!$1:$1,0)-1,COUNT(Curvas_cupon_cero!$A:$A)-2,1))))</f>
        <v/>
      </c>
      <c r="D217" s="23" t="str">
        <f ca="1">IF(A217="","",IF($B$10="Sí",interpolar_alamb(L217,OFFSET(Curvas_cupon_cero!$A$1,1,0,COUNT(Curvas_cupon_cero!$A:$A)-2,1),OFFSET(Curvas_cupon_cero!$A$1,1,MATCH($B$8,Curvas_cupon_cero!$1:$1,0)-1,COUNT(Curvas_cupon_cero!$A:$A)-2,1)),[1]!interpolar(L217,OFFSET(Curvas_cupon_cero!$A$1,1,0,COUNT(Curvas_cupon_cero!$A:$A)-2,1),OFFSET(Curvas_cupon_cero!$A$1,1,MATCH($B$8,Curvas_cupon_cero!$1:$1,0)-1,COUNT(Curvas_cupon_cero!$A:$A)-2,1))))</f>
        <v/>
      </c>
      <c r="E217" s="23" t="str">
        <f t="shared" si="33"/>
        <v/>
      </c>
      <c r="F217" s="23" t="str">
        <f ca="1">IF(A217="","",IF($B$10="Sí",interpolar_alamb(B217,OFFSET(Curvas_cupon_cero!$A$1,1,0,COUNT(Curvas_cupon_cero!$A:$A)-2,1),OFFSET(Curvas_cupon_cero!$A$1,1,MATCH($B$9,Curvas_cupon_cero!$1:$1,0)-1,COUNT(Curvas_cupon_cero!$A:$A)-2,1)),[1]!interpolar(B217,OFFSET(Curvas_cupon_cero!$A$1,1,0,COUNT(Curvas_cupon_cero!$A:$A)-2,1),OFFSET(Curvas_cupon_cero!$A$1,1,MATCH($B$9,Curvas_cupon_cero!$1:$1,0)-1,COUNT(Curvas_cupon_cero!$A:$A)-2,1))))</f>
        <v/>
      </c>
      <c r="G217" s="23" t="str">
        <f t="shared" si="34"/>
        <v/>
      </c>
      <c r="H217" s="20" t="str">
        <f t="shared" si="39"/>
        <v/>
      </c>
      <c r="I217" t="str">
        <f t="shared" si="35"/>
        <v/>
      </c>
      <c r="J217" s="17" t="str">
        <f t="shared" si="31"/>
        <v/>
      </c>
      <c r="K217" s="18" t="str">
        <f t="shared" si="36"/>
        <v/>
      </c>
      <c r="L217" t="str">
        <f t="shared" si="37"/>
        <v/>
      </c>
      <c r="M217" s="23" t="str">
        <f ca="1">IF(A217="","",IF($B$10="Sí",interpolar_alamb(L217,OFFSET(Curvas_cupon_cero!$A$1,1,0,COUNT(Curvas_cupon_cero!$A:$A)-2,1),OFFSET(Curvas_cupon_cero!$A$1,1,MATCH($B$6,Curvas_cupon_cero!$1:$1,0)-1,COUNT(Curvas_cupon_cero!$A:$A)-2,1)),[1]!interpolar(L217,OFFSET(Curvas_cupon_cero!$A$1,1,0,COUNT(Curvas_cupon_cero!$A:$A)-2,1),OFFSET(Curvas_cupon_cero!$A$1,1,MATCH($B$6,Curvas_cupon_cero!$1:$1,0)-1,COUNT(Curvas_cupon_cero!$A:$A)-2,1))))</f>
        <v/>
      </c>
      <c r="N217" s="23"/>
      <c r="O217" s="19" t="str">
        <f t="shared" si="38"/>
        <v/>
      </c>
    </row>
    <row r="218" spans="1:15" x14ac:dyDescent="0.2">
      <c r="A218" s="12" t="str">
        <f t="shared" si="32"/>
        <v/>
      </c>
      <c r="B218" t="str">
        <f t="shared" si="30"/>
        <v/>
      </c>
      <c r="C218" s="21" t="str">
        <f ca="1">IF(A218="","",IF($B$10="Sí",interpolar_alamb(B218,OFFSET(Curvas_cupon_cero!$A$1,1,0,COUNT(Curvas_cupon_cero!$A:$A)-2,1),OFFSET(Curvas_cupon_cero!$A$1,1,MATCH($B$8,Curvas_cupon_cero!$1:$1,0)-1,COUNT(Curvas_cupon_cero!$A:$A)-2,1)),[1]!interpolar(B218,OFFSET(Curvas_cupon_cero!$A$1,1,0,COUNT(Curvas_cupon_cero!$A:$A)-2,1),OFFSET(Curvas_cupon_cero!$A$1,1,MATCH($B$8,Curvas_cupon_cero!$1:$1,0)-1,COUNT(Curvas_cupon_cero!$A:$A)-2,1))))</f>
        <v/>
      </c>
      <c r="D218" s="23" t="str">
        <f ca="1">IF(A218="","",IF($B$10="Sí",interpolar_alamb(L218,OFFSET(Curvas_cupon_cero!$A$1,1,0,COUNT(Curvas_cupon_cero!$A:$A)-2,1),OFFSET(Curvas_cupon_cero!$A$1,1,MATCH($B$8,Curvas_cupon_cero!$1:$1,0)-1,COUNT(Curvas_cupon_cero!$A:$A)-2,1)),[1]!interpolar(L218,OFFSET(Curvas_cupon_cero!$A$1,1,0,COUNT(Curvas_cupon_cero!$A:$A)-2,1),OFFSET(Curvas_cupon_cero!$A$1,1,MATCH($B$8,Curvas_cupon_cero!$1:$1,0)-1,COUNT(Curvas_cupon_cero!$A:$A)-2,1))))</f>
        <v/>
      </c>
      <c r="E218" s="23" t="str">
        <f t="shared" si="33"/>
        <v/>
      </c>
      <c r="F218" s="23" t="str">
        <f ca="1">IF(A218="","",IF($B$10="Sí",interpolar_alamb(B218,OFFSET(Curvas_cupon_cero!$A$1,1,0,COUNT(Curvas_cupon_cero!$A:$A)-2,1),OFFSET(Curvas_cupon_cero!$A$1,1,MATCH($B$9,Curvas_cupon_cero!$1:$1,0)-1,COUNT(Curvas_cupon_cero!$A:$A)-2,1)),[1]!interpolar(B218,OFFSET(Curvas_cupon_cero!$A$1,1,0,COUNT(Curvas_cupon_cero!$A:$A)-2,1),OFFSET(Curvas_cupon_cero!$A$1,1,MATCH($B$9,Curvas_cupon_cero!$1:$1,0)-1,COUNT(Curvas_cupon_cero!$A:$A)-2,1))))</f>
        <v/>
      </c>
      <c r="G218" s="23" t="str">
        <f t="shared" si="34"/>
        <v/>
      </c>
      <c r="H218" s="20" t="str">
        <f t="shared" si="39"/>
        <v/>
      </c>
      <c r="I218" t="str">
        <f t="shared" si="35"/>
        <v/>
      </c>
      <c r="J218" s="17" t="str">
        <f t="shared" si="31"/>
        <v/>
      </c>
      <c r="K218" s="18" t="str">
        <f t="shared" si="36"/>
        <v/>
      </c>
      <c r="L218" t="str">
        <f t="shared" si="37"/>
        <v/>
      </c>
      <c r="M218" s="23" t="str">
        <f ca="1">IF(A218="","",IF($B$10="Sí",interpolar_alamb(L218,OFFSET(Curvas_cupon_cero!$A$1,1,0,COUNT(Curvas_cupon_cero!$A:$A)-2,1),OFFSET(Curvas_cupon_cero!$A$1,1,MATCH($B$6,Curvas_cupon_cero!$1:$1,0)-1,COUNT(Curvas_cupon_cero!$A:$A)-2,1)),[1]!interpolar(L218,OFFSET(Curvas_cupon_cero!$A$1,1,0,COUNT(Curvas_cupon_cero!$A:$A)-2,1),OFFSET(Curvas_cupon_cero!$A$1,1,MATCH($B$6,Curvas_cupon_cero!$1:$1,0)-1,COUNT(Curvas_cupon_cero!$A:$A)-2,1))))</f>
        <v/>
      </c>
      <c r="N218" s="23"/>
      <c r="O218" s="19" t="str">
        <f t="shared" si="38"/>
        <v/>
      </c>
    </row>
    <row r="219" spans="1:15" x14ac:dyDescent="0.2">
      <c r="A219" s="12" t="str">
        <f t="shared" si="32"/>
        <v/>
      </c>
      <c r="B219" t="str">
        <f t="shared" si="30"/>
        <v/>
      </c>
      <c r="C219" s="21" t="str">
        <f ca="1">IF(A219="","",IF($B$10="Sí",interpolar_alamb(B219,OFFSET(Curvas_cupon_cero!$A$1,1,0,COUNT(Curvas_cupon_cero!$A:$A)-2,1),OFFSET(Curvas_cupon_cero!$A$1,1,MATCH($B$8,Curvas_cupon_cero!$1:$1,0)-1,COUNT(Curvas_cupon_cero!$A:$A)-2,1)),[1]!interpolar(B219,OFFSET(Curvas_cupon_cero!$A$1,1,0,COUNT(Curvas_cupon_cero!$A:$A)-2,1),OFFSET(Curvas_cupon_cero!$A$1,1,MATCH($B$8,Curvas_cupon_cero!$1:$1,0)-1,COUNT(Curvas_cupon_cero!$A:$A)-2,1))))</f>
        <v/>
      </c>
      <c r="D219" s="23" t="str">
        <f ca="1">IF(A219="","",IF($B$10="Sí",interpolar_alamb(L219,OFFSET(Curvas_cupon_cero!$A$1,1,0,COUNT(Curvas_cupon_cero!$A:$A)-2,1),OFFSET(Curvas_cupon_cero!$A$1,1,MATCH($B$8,Curvas_cupon_cero!$1:$1,0)-1,COUNT(Curvas_cupon_cero!$A:$A)-2,1)),[1]!interpolar(L219,OFFSET(Curvas_cupon_cero!$A$1,1,0,COUNT(Curvas_cupon_cero!$A:$A)-2,1),OFFSET(Curvas_cupon_cero!$A$1,1,MATCH($B$8,Curvas_cupon_cero!$1:$1,0)-1,COUNT(Curvas_cupon_cero!$A:$A)-2,1))))</f>
        <v/>
      </c>
      <c r="E219" s="23" t="str">
        <f t="shared" si="33"/>
        <v/>
      </c>
      <c r="F219" s="23" t="str">
        <f ca="1">IF(A219="","",IF($B$10="Sí",interpolar_alamb(B219,OFFSET(Curvas_cupon_cero!$A$1,1,0,COUNT(Curvas_cupon_cero!$A:$A)-2,1),OFFSET(Curvas_cupon_cero!$A$1,1,MATCH($B$9,Curvas_cupon_cero!$1:$1,0)-1,COUNT(Curvas_cupon_cero!$A:$A)-2,1)),[1]!interpolar(B219,OFFSET(Curvas_cupon_cero!$A$1,1,0,COUNT(Curvas_cupon_cero!$A:$A)-2,1),OFFSET(Curvas_cupon_cero!$A$1,1,MATCH($B$9,Curvas_cupon_cero!$1:$1,0)-1,COUNT(Curvas_cupon_cero!$A:$A)-2,1))))</f>
        <v/>
      </c>
      <c r="G219" s="23" t="str">
        <f t="shared" si="34"/>
        <v/>
      </c>
      <c r="H219" s="20" t="str">
        <f t="shared" si="39"/>
        <v/>
      </c>
      <c r="I219" t="str">
        <f t="shared" si="35"/>
        <v/>
      </c>
      <c r="J219" s="17" t="str">
        <f t="shared" si="31"/>
        <v/>
      </c>
      <c r="K219" s="18" t="str">
        <f t="shared" si="36"/>
        <v/>
      </c>
      <c r="L219" t="str">
        <f t="shared" si="37"/>
        <v/>
      </c>
      <c r="M219" s="23" t="str">
        <f ca="1">IF(A219="","",IF($B$10="Sí",interpolar_alamb(L219,OFFSET(Curvas_cupon_cero!$A$1,1,0,COUNT(Curvas_cupon_cero!$A:$A)-2,1),OFFSET(Curvas_cupon_cero!$A$1,1,MATCH($B$6,Curvas_cupon_cero!$1:$1,0)-1,COUNT(Curvas_cupon_cero!$A:$A)-2,1)),[1]!interpolar(L219,OFFSET(Curvas_cupon_cero!$A$1,1,0,COUNT(Curvas_cupon_cero!$A:$A)-2,1),OFFSET(Curvas_cupon_cero!$A$1,1,MATCH($B$6,Curvas_cupon_cero!$1:$1,0)-1,COUNT(Curvas_cupon_cero!$A:$A)-2,1))))</f>
        <v/>
      </c>
      <c r="N219" s="23"/>
      <c r="O219" s="19" t="str">
        <f t="shared" si="38"/>
        <v/>
      </c>
    </row>
    <row r="220" spans="1:15" x14ac:dyDescent="0.2">
      <c r="A220" s="12" t="str">
        <f t="shared" si="32"/>
        <v/>
      </c>
      <c r="B220" t="str">
        <f t="shared" si="30"/>
        <v/>
      </c>
      <c r="C220" s="21" t="str">
        <f ca="1">IF(A220="","",IF($B$10="Sí",interpolar_alamb(B220,OFFSET(Curvas_cupon_cero!$A$1,1,0,COUNT(Curvas_cupon_cero!$A:$A)-2,1),OFFSET(Curvas_cupon_cero!$A$1,1,MATCH($B$8,Curvas_cupon_cero!$1:$1,0)-1,COUNT(Curvas_cupon_cero!$A:$A)-2,1)),[1]!interpolar(B220,OFFSET(Curvas_cupon_cero!$A$1,1,0,COUNT(Curvas_cupon_cero!$A:$A)-2,1),OFFSET(Curvas_cupon_cero!$A$1,1,MATCH($B$8,Curvas_cupon_cero!$1:$1,0)-1,COUNT(Curvas_cupon_cero!$A:$A)-2,1))))</f>
        <v/>
      </c>
      <c r="D220" s="23" t="str">
        <f ca="1">IF(A220="","",IF($B$10="Sí",interpolar_alamb(L220,OFFSET(Curvas_cupon_cero!$A$1,1,0,COUNT(Curvas_cupon_cero!$A:$A)-2,1),OFFSET(Curvas_cupon_cero!$A$1,1,MATCH($B$8,Curvas_cupon_cero!$1:$1,0)-1,COUNT(Curvas_cupon_cero!$A:$A)-2,1)),[1]!interpolar(L220,OFFSET(Curvas_cupon_cero!$A$1,1,0,COUNT(Curvas_cupon_cero!$A:$A)-2,1),OFFSET(Curvas_cupon_cero!$A$1,1,MATCH($B$8,Curvas_cupon_cero!$1:$1,0)-1,COUNT(Curvas_cupon_cero!$A:$A)-2,1))))</f>
        <v/>
      </c>
      <c r="E220" s="23" t="str">
        <f t="shared" si="33"/>
        <v/>
      </c>
      <c r="F220" s="23" t="str">
        <f ca="1">IF(A220="","",IF($B$10="Sí",interpolar_alamb(B220,OFFSET(Curvas_cupon_cero!$A$1,1,0,COUNT(Curvas_cupon_cero!$A:$A)-2,1),OFFSET(Curvas_cupon_cero!$A$1,1,MATCH($B$9,Curvas_cupon_cero!$1:$1,0)-1,COUNT(Curvas_cupon_cero!$A:$A)-2,1)),[1]!interpolar(B220,OFFSET(Curvas_cupon_cero!$A$1,1,0,COUNT(Curvas_cupon_cero!$A:$A)-2,1),OFFSET(Curvas_cupon_cero!$A$1,1,MATCH($B$9,Curvas_cupon_cero!$1:$1,0)-1,COUNT(Curvas_cupon_cero!$A:$A)-2,1))))</f>
        <v/>
      </c>
      <c r="G220" s="23" t="str">
        <f t="shared" si="34"/>
        <v/>
      </c>
      <c r="H220" s="20" t="str">
        <f t="shared" si="39"/>
        <v/>
      </c>
      <c r="I220" t="str">
        <f t="shared" si="35"/>
        <v/>
      </c>
      <c r="J220" s="17" t="str">
        <f t="shared" si="31"/>
        <v/>
      </c>
      <c r="K220" s="18" t="str">
        <f t="shared" si="36"/>
        <v/>
      </c>
      <c r="L220" t="str">
        <f t="shared" si="37"/>
        <v/>
      </c>
      <c r="M220" s="23" t="str">
        <f ca="1">IF(A220="","",IF($B$10="Sí",interpolar_alamb(L220,OFFSET(Curvas_cupon_cero!$A$1,1,0,COUNT(Curvas_cupon_cero!$A:$A)-2,1),OFFSET(Curvas_cupon_cero!$A$1,1,MATCH($B$6,Curvas_cupon_cero!$1:$1,0)-1,COUNT(Curvas_cupon_cero!$A:$A)-2,1)),[1]!interpolar(L220,OFFSET(Curvas_cupon_cero!$A$1,1,0,COUNT(Curvas_cupon_cero!$A:$A)-2,1),OFFSET(Curvas_cupon_cero!$A$1,1,MATCH($B$6,Curvas_cupon_cero!$1:$1,0)-1,COUNT(Curvas_cupon_cero!$A:$A)-2,1))))</f>
        <v/>
      </c>
      <c r="N220" s="23"/>
      <c r="O220" s="19" t="str">
        <f t="shared" si="38"/>
        <v/>
      </c>
    </row>
    <row r="221" spans="1:15" x14ac:dyDescent="0.2">
      <c r="A221" s="12" t="str">
        <f t="shared" si="32"/>
        <v/>
      </c>
      <c r="B221" t="str">
        <f t="shared" si="30"/>
        <v/>
      </c>
      <c r="C221" s="21" t="str">
        <f ca="1">IF(A221="","",IF($B$10="Sí",interpolar_alamb(B221,OFFSET(Curvas_cupon_cero!$A$1,1,0,COUNT(Curvas_cupon_cero!$A:$A)-2,1),OFFSET(Curvas_cupon_cero!$A$1,1,MATCH($B$8,Curvas_cupon_cero!$1:$1,0)-1,COUNT(Curvas_cupon_cero!$A:$A)-2,1)),[1]!interpolar(B221,OFFSET(Curvas_cupon_cero!$A$1,1,0,COUNT(Curvas_cupon_cero!$A:$A)-2,1),OFFSET(Curvas_cupon_cero!$A$1,1,MATCH($B$8,Curvas_cupon_cero!$1:$1,0)-1,COUNT(Curvas_cupon_cero!$A:$A)-2,1))))</f>
        <v/>
      </c>
      <c r="D221" s="23" t="str">
        <f ca="1">IF(A221="","",IF($B$10="Sí",interpolar_alamb(L221,OFFSET(Curvas_cupon_cero!$A$1,1,0,COUNT(Curvas_cupon_cero!$A:$A)-2,1),OFFSET(Curvas_cupon_cero!$A$1,1,MATCH($B$8,Curvas_cupon_cero!$1:$1,0)-1,COUNT(Curvas_cupon_cero!$A:$A)-2,1)),[1]!interpolar(L221,OFFSET(Curvas_cupon_cero!$A$1,1,0,COUNT(Curvas_cupon_cero!$A:$A)-2,1),OFFSET(Curvas_cupon_cero!$A$1,1,MATCH($B$8,Curvas_cupon_cero!$1:$1,0)-1,COUNT(Curvas_cupon_cero!$A:$A)-2,1))))</f>
        <v/>
      </c>
      <c r="E221" s="23" t="str">
        <f t="shared" si="33"/>
        <v/>
      </c>
      <c r="F221" s="23" t="str">
        <f ca="1">IF(A221="","",IF($B$10="Sí",interpolar_alamb(B221,OFFSET(Curvas_cupon_cero!$A$1,1,0,COUNT(Curvas_cupon_cero!$A:$A)-2,1),OFFSET(Curvas_cupon_cero!$A$1,1,MATCH($B$9,Curvas_cupon_cero!$1:$1,0)-1,COUNT(Curvas_cupon_cero!$A:$A)-2,1)),[1]!interpolar(B221,OFFSET(Curvas_cupon_cero!$A$1,1,0,COUNT(Curvas_cupon_cero!$A:$A)-2,1),OFFSET(Curvas_cupon_cero!$A$1,1,MATCH($B$9,Curvas_cupon_cero!$1:$1,0)-1,COUNT(Curvas_cupon_cero!$A:$A)-2,1))))</f>
        <v/>
      </c>
      <c r="G221" s="23" t="str">
        <f t="shared" si="34"/>
        <v/>
      </c>
      <c r="H221" s="20" t="str">
        <f t="shared" si="39"/>
        <v/>
      </c>
      <c r="I221" t="str">
        <f t="shared" si="35"/>
        <v/>
      </c>
      <c r="J221" s="17" t="str">
        <f t="shared" si="31"/>
        <v/>
      </c>
      <c r="K221" s="18" t="str">
        <f t="shared" si="36"/>
        <v/>
      </c>
      <c r="L221" t="str">
        <f t="shared" si="37"/>
        <v/>
      </c>
      <c r="M221" s="23" t="str">
        <f ca="1">IF(A221="","",IF($B$10="Sí",interpolar_alamb(L221,OFFSET(Curvas_cupon_cero!$A$1,1,0,COUNT(Curvas_cupon_cero!$A:$A)-2,1),OFFSET(Curvas_cupon_cero!$A$1,1,MATCH($B$6,Curvas_cupon_cero!$1:$1,0)-1,COUNT(Curvas_cupon_cero!$A:$A)-2,1)),[1]!interpolar(L221,OFFSET(Curvas_cupon_cero!$A$1,1,0,COUNT(Curvas_cupon_cero!$A:$A)-2,1),OFFSET(Curvas_cupon_cero!$A$1,1,MATCH($B$6,Curvas_cupon_cero!$1:$1,0)-1,COUNT(Curvas_cupon_cero!$A:$A)-2,1))))</f>
        <v/>
      </c>
      <c r="N221" s="23"/>
      <c r="O221" s="19" t="str">
        <f t="shared" si="38"/>
        <v/>
      </c>
    </row>
    <row r="222" spans="1:15" x14ac:dyDescent="0.2">
      <c r="A222" s="12" t="str">
        <f t="shared" si="32"/>
        <v/>
      </c>
      <c r="B222" t="str">
        <f t="shared" si="30"/>
        <v/>
      </c>
      <c r="C222" s="21" t="str">
        <f ca="1">IF(A222="","",IF($B$10="Sí",interpolar_alamb(B222,OFFSET(Curvas_cupon_cero!$A$1,1,0,COUNT(Curvas_cupon_cero!$A:$A)-2,1),OFFSET(Curvas_cupon_cero!$A$1,1,MATCH($B$8,Curvas_cupon_cero!$1:$1,0)-1,COUNT(Curvas_cupon_cero!$A:$A)-2,1)),[1]!interpolar(B222,OFFSET(Curvas_cupon_cero!$A$1,1,0,COUNT(Curvas_cupon_cero!$A:$A)-2,1),OFFSET(Curvas_cupon_cero!$A$1,1,MATCH($B$8,Curvas_cupon_cero!$1:$1,0)-1,COUNT(Curvas_cupon_cero!$A:$A)-2,1))))</f>
        <v/>
      </c>
      <c r="D222" s="23" t="str">
        <f ca="1">IF(A222="","",IF($B$10="Sí",interpolar_alamb(L222,OFFSET(Curvas_cupon_cero!$A$1,1,0,COUNT(Curvas_cupon_cero!$A:$A)-2,1),OFFSET(Curvas_cupon_cero!$A$1,1,MATCH($B$8,Curvas_cupon_cero!$1:$1,0)-1,COUNT(Curvas_cupon_cero!$A:$A)-2,1)),[1]!interpolar(L222,OFFSET(Curvas_cupon_cero!$A$1,1,0,COUNT(Curvas_cupon_cero!$A:$A)-2,1),OFFSET(Curvas_cupon_cero!$A$1,1,MATCH($B$8,Curvas_cupon_cero!$1:$1,0)-1,COUNT(Curvas_cupon_cero!$A:$A)-2,1))))</f>
        <v/>
      </c>
      <c r="E222" s="23" t="str">
        <f t="shared" si="33"/>
        <v/>
      </c>
      <c r="F222" s="23" t="str">
        <f ca="1">IF(A222="","",IF($B$10="Sí",interpolar_alamb(B222,OFFSET(Curvas_cupon_cero!$A$1,1,0,COUNT(Curvas_cupon_cero!$A:$A)-2,1),OFFSET(Curvas_cupon_cero!$A$1,1,MATCH($B$9,Curvas_cupon_cero!$1:$1,0)-1,COUNT(Curvas_cupon_cero!$A:$A)-2,1)),[1]!interpolar(B222,OFFSET(Curvas_cupon_cero!$A$1,1,0,COUNT(Curvas_cupon_cero!$A:$A)-2,1),OFFSET(Curvas_cupon_cero!$A$1,1,MATCH($B$9,Curvas_cupon_cero!$1:$1,0)-1,COUNT(Curvas_cupon_cero!$A:$A)-2,1))))</f>
        <v/>
      </c>
      <c r="G222" s="23" t="str">
        <f t="shared" si="34"/>
        <v/>
      </c>
      <c r="H222" s="20" t="str">
        <f t="shared" si="39"/>
        <v/>
      </c>
      <c r="I222" t="str">
        <f t="shared" si="35"/>
        <v/>
      </c>
      <c r="J222" s="17" t="str">
        <f t="shared" si="31"/>
        <v/>
      </c>
      <c r="K222" s="18" t="str">
        <f t="shared" si="36"/>
        <v/>
      </c>
      <c r="L222" t="str">
        <f t="shared" si="37"/>
        <v/>
      </c>
      <c r="M222" s="23" t="str">
        <f ca="1">IF(A222="","",IF($B$10="Sí",interpolar_alamb(L222,OFFSET(Curvas_cupon_cero!$A$1,1,0,COUNT(Curvas_cupon_cero!$A:$A)-2,1),OFFSET(Curvas_cupon_cero!$A$1,1,MATCH($B$6,Curvas_cupon_cero!$1:$1,0)-1,COUNT(Curvas_cupon_cero!$A:$A)-2,1)),[1]!interpolar(L222,OFFSET(Curvas_cupon_cero!$A$1,1,0,COUNT(Curvas_cupon_cero!$A:$A)-2,1),OFFSET(Curvas_cupon_cero!$A$1,1,MATCH($B$6,Curvas_cupon_cero!$1:$1,0)-1,COUNT(Curvas_cupon_cero!$A:$A)-2,1))))</f>
        <v/>
      </c>
      <c r="N222" s="23"/>
      <c r="O222" s="19" t="str">
        <f t="shared" si="38"/>
        <v/>
      </c>
    </row>
    <row r="223" spans="1:15" x14ac:dyDescent="0.2">
      <c r="A223" s="12" t="str">
        <f t="shared" si="32"/>
        <v/>
      </c>
      <c r="B223" t="str">
        <f t="shared" si="30"/>
        <v/>
      </c>
      <c r="C223" s="21" t="str">
        <f ca="1">IF(A223="","",IF($B$10="Sí",interpolar_alamb(B223,OFFSET(Curvas_cupon_cero!$A$1,1,0,COUNT(Curvas_cupon_cero!$A:$A)-2,1),OFFSET(Curvas_cupon_cero!$A$1,1,MATCH($B$8,Curvas_cupon_cero!$1:$1,0)-1,COUNT(Curvas_cupon_cero!$A:$A)-2,1)),[1]!interpolar(B223,OFFSET(Curvas_cupon_cero!$A$1,1,0,COUNT(Curvas_cupon_cero!$A:$A)-2,1),OFFSET(Curvas_cupon_cero!$A$1,1,MATCH($B$8,Curvas_cupon_cero!$1:$1,0)-1,COUNT(Curvas_cupon_cero!$A:$A)-2,1))))</f>
        <v/>
      </c>
      <c r="D223" s="23" t="str">
        <f ca="1">IF(A223="","",IF($B$10="Sí",interpolar_alamb(L223,OFFSET(Curvas_cupon_cero!$A$1,1,0,COUNT(Curvas_cupon_cero!$A:$A)-2,1),OFFSET(Curvas_cupon_cero!$A$1,1,MATCH($B$8,Curvas_cupon_cero!$1:$1,0)-1,COUNT(Curvas_cupon_cero!$A:$A)-2,1)),[1]!interpolar(L223,OFFSET(Curvas_cupon_cero!$A$1,1,0,COUNT(Curvas_cupon_cero!$A:$A)-2,1),OFFSET(Curvas_cupon_cero!$A$1,1,MATCH($B$8,Curvas_cupon_cero!$1:$1,0)-1,COUNT(Curvas_cupon_cero!$A:$A)-2,1))))</f>
        <v/>
      </c>
      <c r="E223" s="23" t="str">
        <f t="shared" si="33"/>
        <v/>
      </c>
      <c r="F223" s="23" t="str">
        <f ca="1">IF(A223="","",IF($B$10="Sí",interpolar_alamb(B223,OFFSET(Curvas_cupon_cero!$A$1,1,0,COUNT(Curvas_cupon_cero!$A:$A)-2,1),OFFSET(Curvas_cupon_cero!$A$1,1,MATCH($B$9,Curvas_cupon_cero!$1:$1,0)-1,COUNT(Curvas_cupon_cero!$A:$A)-2,1)),[1]!interpolar(B223,OFFSET(Curvas_cupon_cero!$A$1,1,0,COUNT(Curvas_cupon_cero!$A:$A)-2,1),OFFSET(Curvas_cupon_cero!$A$1,1,MATCH($B$9,Curvas_cupon_cero!$1:$1,0)-1,COUNT(Curvas_cupon_cero!$A:$A)-2,1))))</f>
        <v/>
      </c>
      <c r="G223" s="23" t="str">
        <f t="shared" si="34"/>
        <v/>
      </c>
      <c r="H223" s="20" t="str">
        <f t="shared" si="39"/>
        <v/>
      </c>
      <c r="I223" t="str">
        <f t="shared" si="35"/>
        <v/>
      </c>
      <c r="J223" s="17" t="str">
        <f t="shared" si="31"/>
        <v/>
      </c>
      <c r="K223" s="18" t="str">
        <f t="shared" si="36"/>
        <v/>
      </c>
      <c r="L223" t="str">
        <f t="shared" si="37"/>
        <v/>
      </c>
      <c r="M223" s="23" t="str">
        <f ca="1">IF(A223="","",IF($B$10="Sí",interpolar_alamb(L223,OFFSET(Curvas_cupon_cero!$A$1,1,0,COUNT(Curvas_cupon_cero!$A:$A)-2,1),OFFSET(Curvas_cupon_cero!$A$1,1,MATCH($B$6,Curvas_cupon_cero!$1:$1,0)-1,COUNT(Curvas_cupon_cero!$A:$A)-2,1)),[1]!interpolar(L223,OFFSET(Curvas_cupon_cero!$A$1,1,0,COUNT(Curvas_cupon_cero!$A:$A)-2,1),OFFSET(Curvas_cupon_cero!$A$1,1,MATCH($B$6,Curvas_cupon_cero!$1:$1,0)-1,COUNT(Curvas_cupon_cero!$A:$A)-2,1))))</f>
        <v/>
      </c>
      <c r="N223" s="23"/>
      <c r="O223" s="19" t="str">
        <f t="shared" si="38"/>
        <v/>
      </c>
    </row>
    <row r="224" spans="1:15" x14ac:dyDescent="0.2">
      <c r="A224" s="12" t="str">
        <f t="shared" si="32"/>
        <v/>
      </c>
      <c r="B224" t="str">
        <f t="shared" si="30"/>
        <v/>
      </c>
      <c r="C224" s="21" t="str">
        <f ca="1">IF(A224="","",IF($B$10="Sí",interpolar_alamb(B224,OFFSET(Curvas_cupon_cero!$A$1,1,0,COUNT(Curvas_cupon_cero!$A:$A)-2,1),OFFSET(Curvas_cupon_cero!$A$1,1,MATCH($B$8,Curvas_cupon_cero!$1:$1,0)-1,COUNT(Curvas_cupon_cero!$A:$A)-2,1)),[1]!interpolar(B224,OFFSET(Curvas_cupon_cero!$A$1,1,0,COUNT(Curvas_cupon_cero!$A:$A)-2,1),OFFSET(Curvas_cupon_cero!$A$1,1,MATCH($B$8,Curvas_cupon_cero!$1:$1,0)-1,COUNT(Curvas_cupon_cero!$A:$A)-2,1))))</f>
        <v/>
      </c>
      <c r="D224" s="23" t="str">
        <f ca="1">IF(A224="","",IF($B$10="Sí",interpolar_alamb(L224,OFFSET(Curvas_cupon_cero!$A$1,1,0,COUNT(Curvas_cupon_cero!$A:$A)-2,1),OFFSET(Curvas_cupon_cero!$A$1,1,MATCH($B$8,Curvas_cupon_cero!$1:$1,0)-1,COUNT(Curvas_cupon_cero!$A:$A)-2,1)),[1]!interpolar(L224,OFFSET(Curvas_cupon_cero!$A$1,1,0,COUNT(Curvas_cupon_cero!$A:$A)-2,1),OFFSET(Curvas_cupon_cero!$A$1,1,MATCH($B$8,Curvas_cupon_cero!$1:$1,0)-1,COUNT(Curvas_cupon_cero!$A:$A)-2,1))))</f>
        <v/>
      </c>
      <c r="E224" s="23" t="str">
        <f t="shared" si="33"/>
        <v/>
      </c>
      <c r="F224" s="23" t="str">
        <f ca="1">IF(A224="","",IF($B$10="Sí",interpolar_alamb(B224,OFFSET(Curvas_cupon_cero!$A$1,1,0,COUNT(Curvas_cupon_cero!$A:$A)-2,1),OFFSET(Curvas_cupon_cero!$A$1,1,MATCH($B$9,Curvas_cupon_cero!$1:$1,0)-1,COUNT(Curvas_cupon_cero!$A:$A)-2,1)),[1]!interpolar(B224,OFFSET(Curvas_cupon_cero!$A$1,1,0,COUNT(Curvas_cupon_cero!$A:$A)-2,1),OFFSET(Curvas_cupon_cero!$A$1,1,MATCH($B$9,Curvas_cupon_cero!$1:$1,0)-1,COUNT(Curvas_cupon_cero!$A:$A)-2,1))))</f>
        <v/>
      </c>
      <c r="G224" s="23" t="str">
        <f t="shared" si="34"/>
        <v/>
      </c>
      <c r="H224" s="20" t="str">
        <f t="shared" si="39"/>
        <v/>
      </c>
      <c r="I224" t="str">
        <f t="shared" si="35"/>
        <v/>
      </c>
      <c r="J224" s="17" t="str">
        <f t="shared" si="31"/>
        <v/>
      </c>
      <c r="K224" s="18" t="str">
        <f t="shared" si="36"/>
        <v/>
      </c>
      <c r="L224" t="str">
        <f t="shared" si="37"/>
        <v/>
      </c>
      <c r="M224" s="23" t="str">
        <f ca="1">IF(A224="","",IF($B$10="Sí",interpolar_alamb(L224,OFFSET(Curvas_cupon_cero!$A$1,1,0,COUNT(Curvas_cupon_cero!$A:$A)-2,1),OFFSET(Curvas_cupon_cero!$A$1,1,MATCH($B$6,Curvas_cupon_cero!$1:$1,0)-1,COUNT(Curvas_cupon_cero!$A:$A)-2,1)),[1]!interpolar(L224,OFFSET(Curvas_cupon_cero!$A$1,1,0,COUNT(Curvas_cupon_cero!$A:$A)-2,1),OFFSET(Curvas_cupon_cero!$A$1,1,MATCH($B$6,Curvas_cupon_cero!$1:$1,0)-1,COUNT(Curvas_cupon_cero!$A:$A)-2,1))))</f>
        <v/>
      </c>
      <c r="N224" s="23"/>
      <c r="O224" s="19" t="str">
        <f t="shared" si="38"/>
        <v/>
      </c>
    </row>
    <row r="225" spans="1:15" x14ac:dyDescent="0.2">
      <c r="A225" s="12" t="str">
        <f t="shared" si="32"/>
        <v/>
      </c>
      <c r="B225" t="str">
        <f t="shared" si="30"/>
        <v/>
      </c>
      <c r="C225" s="21" t="str">
        <f ca="1">IF(A225="","",IF($B$10="Sí",interpolar_alamb(B225,OFFSET(Curvas_cupon_cero!$A$1,1,0,COUNT(Curvas_cupon_cero!$A:$A)-2,1),OFFSET(Curvas_cupon_cero!$A$1,1,MATCH($B$8,Curvas_cupon_cero!$1:$1,0)-1,COUNT(Curvas_cupon_cero!$A:$A)-2,1)),[1]!interpolar(B225,OFFSET(Curvas_cupon_cero!$A$1,1,0,COUNT(Curvas_cupon_cero!$A:$A)-2,1),OFFSET(Curvas_cupon_cero!$A$1,1,MATCH($B$8,Curvas_cupon_cero!$1:$1,0)-1,COUNT(Curvas_cupon_cero!$A:$A)-2,1))))</f>
        <v/>
      </c>
      <c r="D225" s="23" t="str">
        <f ca="1">IF(A225="","",IF($B$10="Sí",interpolar_alamb(L225,OFFSET(Curvas_cupon_cero!$A$1,1,0,COUNT(Curvas_cupon_cero!$A:$A)-2,1),OFFSET(Curvas_cupon_cero!$A$1,1,MATCH($B$8,Curvas_cupon_cero!$1:$1,0)-1,COUNT(Curvas_cupon_cero!$A:$A)-2,1)),[1]!interpolar(L225,OFFSET(Curvas_cupon_cero!$A$1,1,0,COUNT(Curvas_cupon_cero!$A:$A)-2,1),OFFSET(Curvas_cupon_cero!$A$1,1,MATCH($B$8,Curvas_cupon_cero!$1:$1,0)-1,COUNT(Curvas_cupon_cero!$A:$A)-2,1))))</f>
        <v/>
      </c>
      <c r="E225" s="23" t="str">
        <f t="shared" si="33"/>
        <v/>
      </c>
      <c r="F225" s="23" t="str">
        <f ca="1">IF(A225="","",IF($B$10="Sí",interpolar_alamb(B225,OFFSET(Curvas_cupon_cero!$A$1,1,0,COUNT(Curvas_cupon_cero!$A:$A)-2,1),OFFSET(Curvas_cupon_cero!$A$1,1,MATCH($B$9,Curvas_cupon_cero!$1:$1,0)-1,COUNT(Curvas_cupon_cero!$A:$A)-2,1)),[1]!interpolar(B225,OFFSET(Curvas_cupon_cero!$A$1,1,0,COUNT(Curvas_cupon_cero!$A:$A)-2,1),OFFSET(Curvas_cupon_cero!$A$1,1,MATCH($B$9,Curvas_cupon_cero!$1:$1,0)-1,COUNT(Curvas_cupon_cero!$A:$A)-2,1))))</f>
        <v/>
      </c>
      <c r="G225" s="23" t="str">
        <f t="shared" si="34"/>
        <v/>
      </c>
      <c r="H225" s="20" t="str">
        <f t="shared" si="39"/>
        <v/>
      </c>
      <c r="I225" t="str">
        <f t="shared" si="35"/>
        <v/>
      </c>
      <c r="J225" s="17" t="str">
        <f t="shared" si="31"/>
        <v/>
      </c>
      <c r="K225" s="18" t="str">
        <f t="shared" si="36"/>
        <v/>
      </c>
      <c r="L225" t="str">
        <f t="shared" si="37"/>
        <v/>
      </c>
      <c r="M225" s="23" t="str">
        <f ca="1">IF(A225="","",IF($B$10="Sí",interpolar_alamb(L225,OFFSET(Curvas_cupon_cero!$A$1,1,0,COUNT(Curvas_cupon_cero!$A:$A)-2,1),OFFSET(Curvas_cupon_cero!$A$1,1,MATCH($B$6,Curvas_cupon_cero!$1:$1,0)-1,COUNT(Curvas_cupon_cero!$A:$A)-2,1)),[1]!interpolar(L225,OFFSET(Curvas_cupon_cero!$A$1,1,0,COUNT(Curvas_cupon_cero!$A:$A)-2,1),OFFSET(Curvas_cupon_cero!$A$1,1,MATCH($B$6,Curvas_cupon_cero!$1:$1,0)-1,COUNT(Curvas_cupon_cero!$A:$A)-2,1))))</f>
        <v/>
      </c>
      <c r="N225" s="23"/>
      <c r="O225" s="19" t="str">
        <f t="shared" si="38"/>
        <v/>
      </c>
    </row>
    <row r="226" spans="1:15" x14ac:dyDescent="0.2">
      <c r="A226" s="12" t="str">
        <f t="shared" si="32"/>
        <v/>
      </c>
      <c r="B226" t="str">
        <f t="shared" si="30"/>
        <v/>
      </c>
      <c r="C226" s="21" t="str">
        <f ca="1">IF(A226="","",IF($B$10="Sí",interpolar_alamb(B226,OFFSET(Curvas_cupon_cero!$A$1,1,0,COUNT(Curvas_cupon_cero!$A:$A)-2,1),OFFSET(Curvas_cupon_cero!$A$1,1,MATCH($B$8,Curvas_cupon_cero!$1:$1,0)-1,COUNT(Curvas_cupon_cero!$A:$A)-2,1)),[1]!interpolar(B226,OFFSET(Curvas_cupon_cero!$A$1,1,0,COUNT(Curvas_cupon_cero!$A:$A)-2,1),OFFSET(Curvas_cupon_cero!$A$1,1,MATCH($B$8,Curvas_cupon_cero!$1:$1,0)-1,COUNT(Curvas_cupon_cero!$A:$A)-2,1))))</f>
        <v/>
      </c>
      <c r="D226" s="23" t="str">
        <f ca="1">IF(A226="","",IF($B$10="Sí",interpolar_alamb(L226,OFFSET(Curvas_cupon_cero!$A$1,1,0,COUNT(Curvas_cupon_cero!$A:$A)-2,1),OFFSET(Curvas_cupon_cero!$A$1,1,MATCH($B$8,Curvas_cupon_cero!$1:$1,0)-1,COUNT(Curvas_cupon_cero!$A:$A)-2,1)),[1]!interpolar(L226,OFFSET(Curvas_cupon_cero!$A$1,1,0,COUNT(Curvas_cupon_cero!$A:$A)-2,1),OFFSET(Curvas_cupon_cero!$A$1,1,MATCH($B$8,Curvas_cupon_cero!$1:$1,0)-1,COUNT(Curvas_cupon_cero!$A:$A)-2,1))))</f>
        <v/>
      </c>
      <c r="E226" s="23" t="str">
        <f t="shared" si="33"/>
        <v/>
      </c>
      <c r="F226" s="23" t="str">
        <f ca="1">IF(A226="","",IF($B$10="Sí",interpolar_alamb(B226,OFFSET(Curvas_cupon_cero!$A$1,1,0,COUNT(Curvas_cupon_cero!$A:$A)-2,1),OFFSET(Curvas_cupon_cero!$A$1,1,MATCH($B$9,Curvas_cupon_cero!$1:$1,0)-1,COUNT(Curvas_cupon_cero!$A:$A)-2,1)),[1]!interpolar(B226,OFFSET(Curvas_cupon_cero!$A$1,1,0,COUNT(Curvas_cupon_cero!$A:$A)-2,1),OFFSET(Curvas_cupon_cero!$A$1,1,MATCH($B$9,Curvas_cupon_cero!$1:$1,0)-1,COUNT(Curvas_cupon_cero!$A:$A)-2,1))))</f>
        <v/>
      </c>
      <c r="G226" s="23" t="str">
        <f t="shared" si="34"/>
        <v/>
      </c>
      <c r="H226" s="20" t="str">
        <f t="shared" si="39"/>
        <v/>
      </c>
      <c r="I226" t="str">
        <f t="shared" si="35"/>
        <v/>
      </c>
      <c r="J226" s="17" t="str">
        <f t="shared" si="31"/>
        <v/>
      </c>
      <c r="K226" s="18" t="str">
        <f t="shared" si="36"/>
        <v/>
      </c>
      <c r="L226" t="str">
        <f t="shared" si="37"/>
        <v/>
      </c>
      <c r="M226" s="23" t="str">
        <f ca="1">IF(A226="","",IF($B$10="Sí",interpolar_alamb(L226,OFFSET(Curvas_cupon_cero!$A$1,1,0,COUNT(Curvas_cupon_cero!$A:$A)-2,1),OFFSET(Curvas_cupon_cero!$A$1,1,MATCH($B$6,Curvas_cupon_cero!$1:$1,0)-1,COUNT(Curvas_cupon_cero!$A:$A)-2,1)),[1]!interpolar(L226,OFFSET(Curvas_cupon_cero!$A$1,1,0,COUNT(Curvas_cupon_cero!$A:$A)-2,1),OFFSET(Curvas_cupon_cero!$A$1,1,MATCH($B$6,Curvas_cupon_cero!$1:$1,0)-1,COUNT(Curvas_cupon_cero!$A:$A)-2,1))))</f>
        <v/>
      </c>
      <c r="N226" s="23"/>
      <c r="O226" s="19" t="str">
        <f t="shared" si="38"/>
        <v/>
      </c>
    </row>
    <row r="227" spans="1:15" x14ac:dyDescent="0.2">
      <c r="A227" s="12" t="str">
        <f t="shared" si="32"/>
        <v/>
      </c>
      <c r="B227" t="str">
        <f t="shared" si="30"/>
        <v/>
      </c>
      <c r="C227" s="21" t="str">
        <f ca="1">IF(A227="","",IF($B$10="Sí",interpolar_alamb(B227,OFFSET(Curvas_cupon_cero!$A$1,1,0,COUNT(Curvas_cupon_cero!$A:$A)-2,1),OFFSET(Curvas_cupon_cero!$A$1,1,MATCH($B$8,Curvas_cupon_cero!$1:$1,0)-1,COUNT(Curvas_cupon_cero!$A:$A)-2,1)),[1]!interpolar(B227,OFFSET(Curvas_cupon_cero!$A$1,1,0,COUNT(Curvas_cupon_cero!$A:$A)-2,1),OFFSET(Curvas_cupon_cero!$A$1,1,MATCH($B$8,Curvas_cupon_cero!$1:$1,0)-1,COUNT(Curvas_cupon_cero!$A:$A)-2,1))))</f>
        <v/>
      </c>
      <c r="D227" s="23" t="str">
        <f ca="1">IF(A227="","",IF($B$10="Sí",interpolar_alamb(L227,OFFSET(Curvas_cupon_cero!$A$1,1,0,COUNT(Curvas_cupon_cero!$A:$A)-2,1),OFFSET(Curvas_cupon_cero!$A$1,1,MATCH($B$8,Curvas_cupon_cero!$1:$1,0)-1,COUNT(Curvas_cupon_cero!$A:$A)-2,1)),[1]!interpolar(L227,OFFSET(Curvas_cupon_cero!$A$1,1,0,COUNT(Curvas_cupon_cero!$A:$A)-2,1),OFFSET(Curvas_cupon_cero!$A$1,1,MATCH($B$8,Curvas_cupon_cero!$1:$1,0)-1,COUNT(Curvas_cupon_cero!$A:$A)-2,1))))</f>
        <v/>
      </c>
      <c r="E227" s="23" t="str">
        <f t="shared" si="33"/>
        <v/>
      </c>
      <c r="F227" s="23" t="str">
        <f ca="1">IF(A227="","",IF($B$10="Sí",interpolar_alamb(B227,OFFSET(Curvas_cupon_cero!$A$1,1,0,COUNT(Curvas_cupon_cero!$A:$A)-2,1),OFFSET(Curvas_cupon_cero!$A$1,1,MATCH($B$9,Curvas_cupon_cero!$1:$1,0)-1,COUNT(Curvas_cupon_cero!$A:$A)-2,1)),[1]!interpolar(B227,OFFSET(Curvas_cupon_cero!$A$1,1,0,COUNT(Curvas_cupon_cero!$A:$A)-2,1),OFFSET(Curvas_cupon_cero!$A$1,1,MATCH($B$9,Curvas_cupon_cero!$1:$1,0)-1,COUNT(Curvas_cupon_cero!$A:$A)-2,1))))</f>
        <v/>
      </c>
      <c r="G227" s="23" t="str">
        <f t="shared" si="34"/>
        <v/>
      </c>
      <c r="H227" s="20" t="str">
        <f t="shared" si="39"/>
        <v/>
      </c>
      <c r="I227" t="str">
        <f t="shared" si="35"/>
        <v/>
      </c>
      <c r="J227" s="17" t="str">
        <f t="shared" si="31"/>
        <v/>
      </c>
      <c r="K227" s="18" t="str">
        <f t="shared" si="36"/>
        <v/>
      </c>
      <c r="L227" t="str">
        <f t="shared" si="37"/>
        <v/>
      </c>
      <c r="M227" s="23" t="str">
        <f ca="1">IF(A227="","",IF($B$10="Sí",interpolar_alamb(L227,OFFSET(Curvas_cupon_cero!$A$1,1,0,COUNT(Curvas_cupon_cero!$A:$A)-2,1),OFFSET(Curvas_cupon_cero!$A$1,1,MATCH($B$6,Curvas_cupon_cero!$1:$1,0)-1,COUNT(Curvas_cupon_cero!$A:$A)-2,1)),[1]!interpolar(L227,OFFSET(Curvas_cupon_cero!$A$1,1,0,COUNT(Curvas_cupon_cero!$A:$A)-2,1),OFFSET(Curvas_cupon_cero!$A$1,1,MATCH($B$6,Curvas_cupon_cero!$1:$1,0)-1,COUNT(Curvas_cupon_cero!$A:$A)-2,1))))</f>
        <v/>
      </c>
      <c r="N227" s="23"/>
      <c r="O227" s="19" t="str">
        <f t="shared" si="38"/>
        <v/>
      </c>
    </row>
    <row r="228" spans="1:15" x14ac:dyDescent="0.2">
      <c r="A228" s="12" t="str">
        <f t="shared" si="32"/>
        <v/>
      </c>
      <c r="B228" t="str">
        <f t="shared" si="30"/>
        <v/>
      </c>
      <c r="C228" s="21" t="str">
        <f ca="1">IF(A228="","",IF($B$10="Sí",interpolar_alamb(B228,OFFSET(Curvas_cupon_cero!$A$1,1,0,COUNT(Curvas_cupon_cero!$A:$A)-2,1),OFFSET(Curvas_cupon_cero!$A$1,1,MATCH($B$8,Curvas_cupon_cero!$1:$1,0)-1,COUNT(Curvas_cupon_cero!$A:$A)-2,1)),[1]!interpolar(B228,OFFSET(Curvas_cupon_cero!$A$1,1,0,COUNT(Curvas_cupon_cero!$A:$A)-2,1),OFFSET(Curvas_cupon_cero!$A$1,1,MATCH($B$8,Curvas_cupon_cero!$1:$1,0)-1,COUNT(Curvas_cupon_cero!$A:$A)-2,1))))</f>
        <v/>
      </c>
      <c r="D228" s="23" t="str">
        <f ca="1">IF(A228="","",IF($B$10="Sí",interpolar_alamb(L228,OFFSET(Curvas_cupon_cero!$A$1,1,0,COUNT(Curvas_cupon_cero!$A:$A)-2,1),OFFSET(Curvas_cupon_cero!$A$1,1,MATCH($B$8,Curvas_cupon_cero!$1:$1,0)-1,COUNT(Curvas_cupon_cero!$A:$A)-2,1)),[1]!interpolar(L228,OFFSET(Curvas_cupon_cero!$A$1,1,0,COUNT(Curvas_cupon_cero!$A:$A)-2,1),OFFSET(Curvas_cupon_cero!$A$1,1,MATCH($B$8,Curvas_cupon_cero!$1:$1,0)-1,COUNT(Curvas_cupon_cero!$A:$A)-2,1))))</f>
        <v/>
      </c>
      <c r="E228" s="23" t="str">
        <f t="shared" si="33"/>
        <v/>
      </c>
      <c r="F228" s="23" t="str">
        <f ca="1">IF(A228="","",IF($B$10="Sí",interpolar_alamb(B228,OFFSET(Curvas_cupon_cero!$A$1,1,0,COUNT(Curvas_cupon_cero!$A:$A)-2,1),OFFSET(Curvas_cupon_cero!$A$1,1,MATCH($B$9,Curvas_cupon_cero!$1:$1,0)-1,COUNT(Curvas_cupon_cero!$A:$A)-2,1)),[1]!interpolar(B228,OFFSET(Curvas_cupon_cero!$A$1,1,0,COUNT(Curvas_cupon_cero!$A:$A)-2,1),OFFSET(Curvas_cupon_cero!$A$1,1,MATCH($B$9,Curvas_cupon_cero!$1:$1,0)-1,COUNT(Curvas_cupon_cero!$A:$A)-2,1))))</f>
        <v/>
      </c>
      <c r="G228" s="23" t="str">
        <f t="shared" si="34"/>
        <v/>
      </c>
      <c r="H228" s="20" t="str">
        <f t="shared" si="39"/>
        <v/>
      </c>
      <c r="I228" t="str">
        <f t="shared" si="35"/>
        <v/>
      </c>
      <c r="J228" s="17" t="str">
        <f t="shared" si="31"/>
        <v/>
      </c>
      <c r="K228" s="18" t="str">
        <f t="shared" si="36"/>
        <v/>
      </c>
      <c r="L228" t="str">
        <f t="shared" si="37"/>
        <v/>
      </c>
      <c r="M228" s="23" t="str">
        <f ca="1">IF(A228="","",IF($B$10="Sí",interpolar_alamb(L228,OFFSET(Curvas_cupon_cero!$A$1,1,0,COUNT(Curvas_cupon_cero!$A:$A)-2,1),OFFSET(Curvas_cupon_cero!$A$1,1,MATCH($B$6,Curvas_cupon_cero!$1:$1,0)-1,COUNT(Curvas_cupon_cero!$A:$A)-2,1)),[1]!interpolar(L228,OFFSET(Curvas_cupon_cero!$A$1,1,0,COUNT(Curvas_cupon_cero!$A:$A)-2,1),OFFSET(Curvas_cupon_cero!$A$1,1,MATCH($B$6,Curvas_cupon_cero!$1:$1,0)-1,COUNT(Curvas_cupon_cero!$A:$A)-2,1))))</f>
        <v/>
      </c>
      <c r="N228" s="23"/>
      <c r="O228" s="19" t="str">
        <f t="shared" si="38"/>
        <v/>
      </c>
    </row>
    <row r="229" spans="1:15" x14ac:dyDescent="0.2">
      <c r="A229" s="12" t="str">
        <f t="shared" si="32"/>
        <v/>
      </c>
      <c r="B229" t="str">
        <f t="shared" si="30"/>
        <v/>
      </c>
      <c r="C229" s="21" t="str">
        <f ca="1">IF(A229="","",IF($B$10="Sí",interpolar_alamb(B229,OFFSET(Curvas_cupon_cero!$A$1,1,0,COUNT(Curvas_cupon_cero!$A:$A)-2,1),OFFSET(Curvas_cupon_cero!$A$1,1,MATCH($B$8,Curvas_cupon_cero!$1:$1,0)-1,COUNT(Curvas_cupon_cero!$A:$A)-2,1)),[1]!interpolar(B229,OFFSET(Curvas_cupon_cero!$A$1,1,0,COUNT(Curvas_cupon_cero!$A:$A)-2,1),OFFSET(Curvas_cupon_cero!$A$1,1,MATCH($B$8,Curvas_cupon_cero!$1:$1,0)-1,COUNT(Curvas_cupon_cero!$A:$A)-2,1))))</f>
        <v/>
      </c>
      <c r="D229" s="23" t="str">
        <f ca="1">IF(A229="","",IF($B$10="Sí",interpolar_alamb(L229,OFFSET(Curvas_cupon_cero!$A$1,1,0,COUNT(Curvas_cupon_cero!$A:$A)-2,1),OFFSET(Curvas_cupon_cero!$A$1,1,MATCH($B$8,Curvas_cupon_cero!$1:$1,0)-1,COUNT(Curvas_cupon_cero!$A:$A)-2,1)),[1]!interpolar(L229,OFFSET(Curvas_cupon_cero!$A$1,1,0,COUNT(Curvas_cupon_cero!$A:$A)-2,1),OFFSET(Curvas_cupon_cero!$A$1,1,MATCH($B$8,Curvas_cupon_cero!$1:$1,0)-1,COUNT(Curvas_cupon_cero!$A:$A)-2,1))))</f>
        <v/>
      </c>
      <c r="E229" s="23" t="str">
        <f t="shared" si="33"/>
        <v/>
      </c>
      <c r="F229" s="23" t="str">
        <f ca="1">IF(A229="","",IF($B$10="Sí",interpolar_alamb(B229,OFFSET(Curvas_cupon_cero!$A$1,1,0,COUNT(Curvas_cupon_cero!$A:$A)-2,1),OFFSET(Curvas_cupon_cero!$A$1,1,MATCH($B$9,Curvas_cupon_cero!$1:$1,0)-1,COUNT(Curvas_cupon_cero!$A:$A)-2,1)),[1]!interpolar(B229,OFFSET(Curvas_cupon_cero!$A$1,1,0,COUNT(Curvas_cupon_cero!$A:$A)-2,1),OFFSET(Curvas_cupon_cero!$A$1,1,MATCH($B$9,Curvas_cupon_cero!$1:$1,0)-1,COUNT(Curvas_cupon_cero!$A:$A)-2,1))))</f>
        <v/>
      </c>
      <c r="G229" s="23" t="str">
        <f t="shared" si="34"/>
        <v/>
      </c>
      <c r="H229" s="20" t="str">
        <f t="shared" si="39"/>
        <v/>
      </c>
      <c r="I229" t="str">
        <f t="shared" si="35"/>
        <v/>
      </c>
      <c r="J229" s="17" t="str">
        <f t="shared" si="31"/>
        <v/>
      </c>
      <c r="K229" s="18" t="str">
        <f t="shared" si="36"/>
        <v/>
      </c>
      <c r="L229" t="str">
        <f t="shared" si="37"/>
        <v/>
      </c>
      <c r="M229" s="23" t="str">
        <f ca="1">IF(A229="","",IF($B$10="Sí",interpolar_alamb(L229,OFFSET(Curvas_cupon_cero!$A$1,1,0,COUNT(Curvas_cupon_cero!$A:$A)-2,1),OFFSET(Curvas_cupon_cero!$A$1,1,MATCH($B$6,Curvas_cupon_cero!$1:$1,0)-1,COUNT(Curvas_cupon_cero!$A:$A)-2,1)),[1]!interpolar(L229,OFFSET(Curvas_cupon_cero!$A$1,1,0,COUNT(Curvas_cupon_cero!$A:$A)-2,1),OFFSET(Curvas_cupon_cero!$A$1,1,MATCH($B$6,Curvas_cupon_cero!$1:$1,0)-1,COUNT(Curvas_cupon_cero!$A:$A)-2,1))))</f>
        <v/>
      </c>
      <c r="N229" s="23"/>
      <c r="O229" s="19" t="str">
        <f t="shared" si="38"/>
        <v/>
      </c>
    </row>
    <row r="230" spans="1:15" x14ac:dyDescent="0.2">
      <c r="A230" s="12" t="str">
        <f t="shared" si="32"/>
        <v/>
      </c>
      <c r="B230" t="str">
        <f t="shared" si="30"/>
        <v/>
      </c>
      <c r="C230" s="21" t="str">
        <f ca="1">IF(A230="","",IF($B$10="Sí",interpolar_alamb(B230,OFFSET(Curvas_cupon_cero!$A$1,1,0,COUNT(Curvas_cupon_cero!$A:$A)-2,1),OFFSET(Curvas_cupon_cero!$A$1,1,MATCH($B$8,Curvas_cupon_cero!$1:$1,0)-1,COUNT(Curvas_cupon_cero!$A:$A)-2,1)),[1]!interpolar(B230,OFFSET(Curvas_cupon_cero!$A$1,1,0,COUNT(Curvas_cupon_cero!$A:$A)-2,1),OFFSET(Curvas_cupon_cero!$A$1,1,MATCH($B$8,Curvas_cupon_cero!$1:$1,0)-1,COUNT(Curvas_cupon_cero!$A:$A)-2,1))))</f>
        <v/>
      </c>
      <c r="D230" s="23" t="str">
        <f ca="1">IF(A230="","",IF($B$10="Sí",interpolar_alamb(L230,OFFSET(Curvas_cupon_cero!$A$1,1,0,COUNT(Curvas_cupon_cero!$A:$A)-2,1),OFFSET(Curvas_cupon_cero!$A$1,1,MATCH($B$8,Curvas_cupon_cero!$1:$1,0)-1,COUNT(Curvas_cupon_cero!$A:$A)-2,1)),[1]!interpolar(L230,OFFSET(Curvas_cupon_cero!$A$1,1,0,COUNT(Curvas_cupon_cero!$A:$A)-2,1),OFFSET(Curvas_cupon_cero!$A$1,1,MATCH($B$8,Curvas_cupon_cero!$1:$1,0)-1,COUNT(Curvas_cupon_cero!$A:$A)-2,1))))</f>
        <v/>
      </c>
      <c r="E230" s="23" t="str">
        <f t="shared" si="33"/>
        <v/>
      </c>
      <c r="F230" s="23" t="str">
        <f ca="1">IF(A230="","",IF($B$10="Sí",interpolar_alamb(B230,OFFSET(Curvas_cupon_cero!$A$1,1,0,COUNT(Curvas_cupon_cero!$A:$A)-2,1),OFFSET(Curvas_cupon_cero!$A$1,1,MATCH($B$9,Curvas_cupon_cero!$1:$1,0)-1,COUNT(Curvas_cupon_cero!$A:$A)-2,1)),[1]!interpolar(B230,OFFSET(Curvas_cupon_cero!$A$1,1,0,COUNT(Curvas_cupon_cero!$A:$A)-2,1),OFFSET(Curvas_cupon_cero!$A$1,1,MATCH($B$9,Curvas_cupon_cero!$1:$1,0)-1,COUNT(Curvas_cupon_cero!$A:$A)-2,1))))</f>
        <v/>
      </c>
      <c r="G230" s="23" t="str">
        <f t="shared" si="34"/>
        <v/>
      </c>
      <c r="H230" s="20" t="str">
        <f t="shared" si="39"/>
        <v/>
      </c>
      <c r="I230" t="str">
        <f t="shared" si="35"/>
        <v/>
      </c>
      <c r="J230" s="17" t="str">
        <f t="shared" si="31"/>
        <v/>
      </c>
      <c r="K230" s="18" t="str">
        <f t="shared" si="36"/>
        <v/>
      </c>
      <c r="L230" t="str">
        <f t="shared" si="37"/>
        <v/>
      </c>
      <c r="M230" s="23" t="str">
        <f ca="1">IF(A230="","",IF($B$10="Sí",interpolar_alamb(L230,OFFSET(Curvas_cupon_cero!$A$1,1,0,COUNT(Curvas_cupon_cero!$A:$A)-2,1),OFFSET(Curvas_cupon_cero!$A$1,1,MATCH($B$6,Curvas_cupon_cero!$1:$1,0)-1,COUNT(Curvas_cupon_cero!$A:$A)-2,1)),[1]!interpolar(L230,OFFSET(Curvas_cupon_cero!$A$1,1,0,COUNT(Curvas_cupon_cero!$A:$A)-2,1),OFFSET(Curvas_cupon_cero!$A$1,1,MATCH($B$6,Curvas_cupon_cero!$1:$1,0)-1,COUNT(Curvas_cupon_cero!$A:$A)-2,1))))</f>
        <v/>
      </c>
      <c r="N230" s="23"/>
      <c r="O230" s="19" t="str">
        <f t="shared" si="38"/>
        <v/>
      </c>
    </row>
    <row r="231" spans="1:15" x14ac:dyDescent="0.2">
      <c r="A231" s="12" t="str">
        <f t="shared" si="32"/>
        <v/>
      </c>
      <c r="B231" t="str">
        <f t="shared" si="30"/>
        <v/>
      </c>
      <c r="C231" s="21" t="str">
        <f ca="1">IF(A231="","",IF($B$10="Sí",interpolar_alamb(B231,OFFSET(Curvas_cupon_cero!$A$1,1,0,COUNT(Curvas_cupon_cero!$A:$A)-2,1),OFFSET(Curvas_cupon_cero!$A$1,1,MATCH($B$8,Curvas_cupon_cero!$1:$1,0)-1,COUNT(Curvas_cupon_cero!$A:$A)-2,1)),[1]!interpolar(B231,OFFSET(Curvas_cupon_cero!$A$1,1,0,COUNT(Curvas_cupon_cero!$A:$A)-2,1),OFFSET(Curvas_cupon_cero!$A$1,1,MATCH($B$8,Curvas_cupon_cero!$1:$1,0)-1,COUNT(Curvas_cupon_cero!$A:$A)-2,1))))</f>
        <v/>
      </c>
      <c r="D231" s="23" t="str">
        <f ca="1">IF(A231="","",IF($B$10="Sí",interpolar_alamb(L231,OFFSET(Curvas_cupon_cero!$A$1,1,0,COUNT(Curvas_cupon_cero!$A:$A)-2,1),OFFSET(Curvas_cupon_cero!$A$1,1,MATCH($B$8,Curvas_cupon_cero!$1:$1,0)-1,COUNT(Curvas_cupon_cero!$A:$A)-2,1)),[1]!interpolar(L231,OFFSET(Curvas_cupon_cero!$A$1,1,0,COUNT(Curvas_cupon_cero!$A:$A)-2,1),OFFSET(Curvas_cupon_cero!$A$1,1,MATCH($B$8,Curvas_cupon_cero!$1:$1,0)-1,COUNT(Curvas_cupon_cero!$A:$A)-2,1))))</f>
        <v/>
      </c>
      <c r="E231" s="23" t="str">
        <f t="shared" si="33"/>
        <v/>
      </c>
      <c r="F231" s="23" t="str">
        <f ca="1">IF(A231="","",IF($B$10="Sí",interpolar_alamb(B231,OFFSET(Curvas_cupon_cero!$A$1,1,0,COUNT(Curvas_cupon_cero!$A:$A)-2,1),OFFSET(Curvas_cupon_cero!$A$1,1,MATCH($B$9,Curvas_cupon_cero!$1:$1,0)-1,COUNT(Curvas_cupon_cero!$A:$A)-2,1)),[1]!interpolar(B231,OFFSET(Curvas_cupon_cero!$A$1,1,0,COUNT(Curvas_cupon_cero!$A:$A)-2,1),OFFSET(Curvas_cupon_cero!$A$1,1,MATCH($B$9,Curvas_cupon_cero!$1:$1,0)-1,COUNT(Curvas_cupon_cero!$A:$A)-2,1))))</f>
        <v/>
      </c>
      <c r="G231" s="23" t="str">
        <f t="shared" si="34"/>
        <v/>
      </c>
      <c r="H231" s="20" t="str">
        <f t="shared" si="39"/>
        <v/>
      </c>
      <c r="I231" t="str">
        <f t="shared" si="35"/>
        <v/>
      </c>
      <c r="J231" s="17" t="str">
        <f t="shared" si="31"/>
        <v/>
      </c>
      <c r="K231" s="18" t="str">
        <f t="shared" si="36"/>
        <v/>
      </c>
      <c r="L231" t="str">
        <f t="shared" si="37"/>
        <v/>
      </c>
      <c r="M231" s="23" t="str">
        <f ca="1">IF(A231="","",IF($B$10="Sí",interpolar_alamb(L231,OFFSET(Curvas_cupon_cero!$A$1,1,0,COUNT(Curvas_cupon_cero!$A:$A)-2,1),OFFSET(Curvas_cupon_cero!$A$1,1,MATCH($B$6,Curvas_cupon_cero!$1:$1,0)-1,COUNT(Curvas_cupon_cero!$A:$A)-2,1)),[1]!interpolar(L231,OFFSET(Curvas_cupon_cero!$A$1,1,0,COUNT(Curvas_cupon_cero!$A:$A)-2,1),OFFSET(Curvas_cupon_cero!$A$1,1,MATCH($B$6,Curvas_cupon_cero!$1:$1,0)-1,COUNT(Curvas_cupon_cero!$A:$A)-2,1))))</f>
        <v/>
      </c>
      <c r="N231" s="23"/>
      <c r="O231" s="19" t="str">
        <f t="shared" si="38"/>
        <v/>
      </c>
    </row>
    <row r="232" spans="1:15" x14ac:dyDescent="0.2">
      <c r="A232" s="12" t="str">
        <f t="shared" si="32"/>
        <v/>
      </c>
      <c r="B232" t="str">
        <f t="shared" si="30"/>
        <v/>
      </c>
      <c r="C232" s="21" t="str">
        <f ca="1">IF(A232="","",IF($B$10="Sí",interpolar_alamb(B232,OFFSET(Curvas_cupon_cero!$A$1,1,0,COUNT(Curvas_cupon_cero!$A:$A)-2,1),OFFSET(Curvas_cupon_cero!$A$1,1,MATCH($B$8,Curvas_cupon_cero!$1:$1,0)-1,COUNT(Curvas_cupon_cero!$A:$A)-2,1)),[1]!interpolar(B232,OFFSET(Curvas_cupon_cero!$A$1,1,0,COUNT(Curvas_cupon_cero!$A:$A)-2,1),OFFSET(Curvas_cupon_cero!$A$1,1,MATCH($B$8,Curvas_cupon_cero!$1:$1,0)-1,COUNT(Curvas_cupon_cero!$A:$A)-2,1))))</f>
        <v/>
      </c>
      <c r="D232" s="23" t="str">
        <f ca="1">IF(A232="","",IF($B$10="Sí",interpolar_alamb(L232,OFFSET(Curvas_cupon_cero!$A$1,1,0,COUNT(Curvas_cupon_cero!$A:$A)-2,1),OFFSET(Curvas_cupon_cero!$A$1,1,MATCH($B$8,Curvas_cupon_cero!$1:$1,0)-1,COUNT(Curvas_cupon_cero!$A:$A)-2,1)),[1]!interpolar(L232,OFFSET(Curvas_cupon_cero!$A$1,1,0,COUNT(Curvas_cupon_cero!$A:$A)-2,1),OFFSET(Curvas_cupon_cero!$A$1,1,MATCH($B$8,Curvas_cupon_cero!$1:$1,0)-1,COUNT(Curvas_cupon_cero!$A:$A)-2,1))))</f>
        <v/>
      </c>
      <c r="E232" s="23" t="str">
        <f t="shared" si="33"/>
        <v/>
      </c>
      <c r="F232" s="23" t="str">
        <f ca="1">IF(A232="","",IF($B$10="Sí",interpolar_alamb(B232,OFFSET(Curvas_cupon_cero!$A$1,1,0,COUNT(Curvas_cupon_cero!$A:$A)-2,1),OFFSET(Curvas_cupon_cero!$A$1,1,MATCH($B$9,Curvas_cupon_cero!$1:$1,0)-1,COUNT(Curvas_cupon_cero!$A:$A)-2,1)),[1]!interpolar(B232,OFFSET(Curvas_cupon_cero!$A$1,1,0,COUNT(Curvas_cupon_cero!$A:$A)-2,1),OFFSET(Curvas_cupon_cero!$A$1,1,MATCH($B$9,Curvas_cupon_cero!$1:$1,0)-1,COUNT(Curvas_cupon_cero!$A:$A)-2,1))))</f>
        <v/>
      </c>
      <c r="G232" s="23" t="str">
        <f t="shared" si="34"/>
        <v/>
      </c>
      <c r="H232" s="20" t="str">
        <f t="shared" si="39"/>
        <v/>
      </c>
      <c r="I232" t="str">
        <f t="shared" si="35"/>
        <v/>
      </c>
      <c r="J232" s="17" t="str">
        <f t="shared" si="31"/>
        <v/>
      </c>
      <c r="K232" s="18" t="str">
        <f t="shared" si="36"/>
        <v/>
      </c>
      <c r="L232" t="str">
        <f t="shared" si="37"/>
        <v/>
      </c>
      <c r="M232" s="23" t="str">
        <f ca="1">IF(A232="","",IF($B$10="Sí",interpolar_alamb(L232,OFFSET(Curvas_cupon_cero!$A$1,1,0,COUNT(Curvas_cupon_cero!$A:$A)-2,1),OFFSET(Curvas_cupon_cero!$A$1,1,MATCH($B$6,Curvas_cupon_cero!$1:$1,0)-1,COUNT(Curvas_cupon_cero!$A:$A)-2,1)),[1]!interpolar(L232,OFFSET(Curvas_cupon_cero!$A$1,1,0,COUNT(Curvas_cupon_cero!$A:$A)-2,1),OFFSET(Curvas_cupon_cero!$A$1,1,MATCH($B$6,Curvas_cupon_cero!$1:$1,0)-1,COUNT(Curvas_cupon_cero!$A:$A)-2,1))))</f>
        <v/>
      </c>
      <c r="N232" s="23"/>
      <c r="O232" s="19" t="str">
        <f t="shared" si="38"/>
        <v/>
      </c>
    </row>
    <row r="233" spans="1:15" x14ac:dyDescent="0.2">
      <c r="A233" s="12" t="str">
        <f t="shared" si="32"/>
        <v/>
      </c>
      <c r="B233" t="str">
        <f t="shared" si="30"/>
        <v/>
      </c>
      <c r="C233" s="21" t="str">
        <f ca="1">IF(A233="","",IF($B$10="Sí",interpolar_alamb(B233,OFFSET(Curvas_cupon_cero!$A$1,1,0,COUNT(Curvas_cupon_cero!$A:$A)-2,1),OFFSET(Curvas_cupon_cero!$A$1,1,MATCH($B$8,Curvas_cupon_cero!$1:$1,0)-1,COUNT(Curvas_cupon_cero!$A:$A)-2,1)),[1]!interpolar(B233,OFFSET(Curvas_cupon_cero!$A$1,1,0,COUNT(Curvas_cupon_cero!$A:$A)-2,1),OFFSET(Curvas_cupon_cero!$A$1,1,MATCH($B$8,Curvas_cupon_cero!$1:$1,0)-1,COUNT(Curvas_cupon_cero!$A:$A)-2,1))))</f>
        <v/>
      </c>
      <c r="D233" s="23" t="str">
        <f ca="1">IF(A233="","",IF($B$10="Sí",interpolar_alamb(L233,OFFSET(Curvas_cupon_cero!$A$1,1,0,COUNT(Curvas_cupon_cero!$A:$A)-2,1),OFFSET(Curvas_cupon_cero!$A$1,1,MATCH($B$8,Curvas_cupon_cero!$1:$1,0)-1,COUNT(Curvas_cupon_cero!$A:$A)-2,1)),[1]!interpolar(L233,OFFSET(Curvas_cupon_cero!$A$1,1,0,COUNT(Curvas_cupon_cero!$A:$A)-2,1),OFFSET(Curvas_cupon_cero!$A$1,1,MATCH($B$8,Curvas_cupon_cero!$1:$1,0)-1,COUNT(Curvas_cupon_cero!$A:$A)-2,1))))</f>
        <v/>
      </c>
      <c r="E233" s="23" t="str">
        <f t="shared" si="33"/>
        <v/>
      </c>
      <c r="F233" s="23" t="str">
        <f ca="1">IF(A233="","",IF($B$10="Sí",interpolar_alamb(B233,OFFSET(Curvas_cupon_cero!$A$1,1,0,COUNT(Curvas_cupon_cero!$A:$A)-2,1),OFFSET(Curvas_cupon_cero!$A$1,1,MATCH($B$9,Curvas_cupon_cero!$1:$1,0)-1,COUNT(Curvas_cupon_cero!$A:$A)-2,1)),[1]!interpolar(B233,OFFSET(Curvas_cupon_cero!$A$1,1,0,COUNT(Curvas_cupon_cero!$A:$A)-2,1),OFFSET(Curvas_cupon_cero!$A$1,1,MATCH($B$9,Curvas_cupon_cero!$1:$1,0)-1,COUNT(Curvas_cupon_cero!$A:$A)-2,1))))</f>
        <v/>
      </c>
      <c r="G233" s="23" t="str">
        <f t="shared" si="34"/>
        <v/>
      </c>
      <c r="H233" s="20" t="str">
        <f t="shared" si="39"/>
        <v/>
      </c>
      <c r="I233" t="str">
        <f t="shared" si="35"/>
        <v/>
      </c>
      <c r="J233" s="17" t="str">
        <f t="shared" si="31"/>
        <v/>
      </c>
      <c r="K233" s="18" t="str">
        <f t="shared" si="36"/>
        <v/>
      </c>
      <c r="L233" t="str">
        <f t="shared" si="37"/>
        <v/>
      </c>
      <c r="M233" s="23" t="str">
        <f ca="1">IF(A233="","",IF($B$10="Sí",interpolar_alamb(L233,OFFSET(Curvas_cupon_cero!$A$1,1,0,COUNT(Curvas_cupon_cero!$A:$A)-2,1),OFFSET(Curvas_cupon_cero!$A$1,1,MATCH($B$6,Curvas_cupon_cero!$1:$1,0)-1,COUNT(Curvas_cupon_cero!$A:$A)-2,1)),[1]!interpolar(L233,OFFSET(Curvas_cupon_cero!$A$1,1,0,COUNT(Curvas_cupon_cero!$A:$A)-2,1),OFFSET(Curvas_cupon_cero!$A$1,1,MATCH($B$6,Curvas_cupon_cero!$1:$1,0)-1,COUNT(Curvas_cupon_cero!$A:$A)-2,1))))</f>
        <v/>
      </c>
      <c r="N233" s="23"/>
      <c r="O233" s="19" t="str">
        <f t="shared" si="38"/>
        <v/>
      </c>
    </row>
    <row r="234" spans="1:15" x14ac:dyDescent="0.2">
      <c r="A234" s="12" t="str">
        <f t="shared" si="32"/>
        <v/>
      </c>
      <c r="B234" t="str">
        <f t="shared" si="30"/>
        <v/>
      </c>
      <c r="C234" s="21" t="str">
        <f ca="1">IF(A234="","",IF($B$10="Sí",interpolar_alamb(B234,OFFSET(Curvas_cupon_cero!$A$1,1,0,COUNT(Curvas_cupon_cero!$A:$A)-2,1),OFFSET(Curvas_cupon_cero!$A$1,1,MATCH($B$8,Curvas_cupon_cero!$1:$1,0)-1,COUNT(Curvas_cupon_cero!$A:$A)-2,1)),[1]!interpolar(B234,OFFSET(Curvas_cupon_cero!$A$1,1,0,COUNT(Curvas_cupon_cero!$A:$A)-2,1),OFFSET(Curvas_cupon_cero!$A$1,1,MATCH($B$8,Curvas_cupon_cero!$1:$1,0)-1,COUNT(Curvas_cupon_cero!$A:$A)-2,1))))</f>
        <v/>
      </c>
      <c r="D234" s="23" t="str">
        <f ca="1">IF(A234="","",IF($B$10="Sí",interpolar_alamb(L234,OFFSET(Curvas_cupon_cero!$A$1,1,0,COUNT(Curvas_cupon_cero!$A:$A)-2,1),OFFSET(Curvas_cupon_cero!$A$1,1,MATCH($B$8,Curvas_cupon_cero!$1:$1,0)-1,COUNT(Curvas_cupon_cero!$A:$A)-2,1)),[1]!interpolar(L234,OFFSET(Curvas_cupon_cero!$A$1,1,0,COUNT(Curvas_cupon_cero!$A:$A)-2,1),OFFSET(Curvas_cupon_cero!$A$1,1,MATCH($B$8,Curvas_cupon_cero!$1:$1,0)-1,COUNT(Curvas_cupon_cero!$A:$A)-2,1))))</f>
        <v/>
      </c>
      <c r="E234" s="23" t="str">
        <f t="shared" si="33"/>
        <v/>
      </c>
      <c r="F234" s="23" t="str">
        <f ca="1">IF(A234="","",IF($B$10="Sí",interpolar_alamb(B234,OFFSET(Curvas_cupon_cero!$A$1,1,0,COUNT(Curvas_cupon_cero!$A:$A)-2,1),OFFSET(Curvas_cupon_cero!$A$1,1,MATCH($B$9,Curvas_cupon_cero!$1:$1,0)-1,COUNT(Curvas_cupon_cero!$A:$A)-2,1)),[1]!interpolar(B234,OFFSET(Curvas_cupon_cero!$A$1,1,0,COUNT(Curvas_cupon_cero!$A:$A)-2,1),OFFSET(Curvas_cupon_cero!$A$1,1,MATCH($B$9,Curvas_cupon_cero!$1:$1,0)-1,COUNT(Curvas_cupon_cero!$A:$A)-2,1))))</f>
        <v/>
      </c>
      <c r="G234" s="23" t="str">
        <f t="shared" si="34"/>
        <v/>
      </c>
      <c r="H234" s="20" t="str">
        <f t="shared" si="39"/>
        <v/>
      </c>
      <c r="I234" t="str">
        <f t="shared" si="35"/>
        <v/>
      </c>
      <c r="J234" s="17" t="str">
        <f t="shared" si="31"/>
        <v/>
      </c>
      <c r="K234" s="18" t="str">
        <f t="shared" si="36"/>
        <v/>
      </c>
      <c r="L234" t="str">
        <f t="shared" si="37"/>
        <v/>
      </c>
      <c r="M234" s="23" t="str">
        <f ca="1">IF(A234="","",IF($B$10="Sí",interpolar_alamb(L234,OFFSET(Curvas_cupon_cero!$A$1,1,0,COUNT(Curvas_cupon_cero!$A:$A)-2,1),OFFSET(Curvas_cupon_cero!$A$1,1,MATCH($B$6,Curvas_cupon_cero!$1:$1,0)-1,COUNT(Curvas_cupon_cero!$A:$A)-2,1)),[1]!interpolar(L234,OFFSET(Curvas_cupon_cero!$A$1,1,0,COUNT(Curvas_cupon_cero!$A:$A)-2,1),OFFSET(Curvas_cupon_cero!$A$1,1,MATCH($B$6,Curvas_cupon_cero!$1:$1,0)-1,COUNT(Curvas_cupon_cero!$A:$A)-2,1))))</f>
        <v/>
      </c>
      <c r="N234" s="23"/>
      <c r="O234" s="19" t="str">
        <f t="shared" si="38"/>
        <v/>
      </c>
    </row>
    <row r="235" spans="1:15" x14ac:dyDescent="0.2">
      <c r="A235" s="12" t="str">
        <f t="shared" si="32"/>
        <v/>
      </c>
      <c r="B235" t="str">
        <f t="shared" si="30"/>
        <v/>
      </c>
      <c r="C235" s="21" t="str">
        <f ca="1">IF(A235="","",IF($B$10="Sí",interpolar_alamb(B235,OFFSET(Curvas_cupon_cero!$A$1,1,0,COUNT(Curvas_cupon_cero!$A:$A)-2,1),OFFSET(Curvas_cupon_cero!$A$1,1,MATCH($B$8,Curvas_cupon_cero!$1:$1,0)-1,COUNT(Curvas_cupon_cero!$A:$A)-2,1)),[1]!interpolar(B235,OFFSET(Curvas_cupon_cero!$A$1,1,0,COUNT(Curvas_cupon_cero!$A:$A)-2,1),OFFSET(Curvas_cupon_cero!$A$1,1,MATCH($B$8,Curvas_cupon_cero!$1:$1,0)-1,COUNT(Curvas_cupon_cero!$A:$A)-2,1))))</f>
        <v/>
      </c>
      <c r="D235" s="23" t="str">
        <f ca="1">IF(A235="","",IF($B$10="Sí",interpolar_alamb(L235,OFFSET(Curvas_cupon_cero!$A$1,1,0,COUNT(Curvas_cupon_cero!$A:$A)-2,1),OFFSET(Curvas_cupon_cero!$A$1,1,MATCH($B$8,Curvas_cupon_cero!$1:$1,0)-1,COUNT(Curvas_cupon_cero!$A:$A)-2,1)),[1]!interpolar(L235,OFFSET(Curvas_cupon_cero!$A$1,1,0,COUNT(Curvas_cupon_cero!$A:$A)-2,1),OFFSET(Curvas_cupon_cero!$A$1,1,MATCH($B$8,Curvas_cupon_cero!$1:$1,0)-1,COUNT(Curvas_cupon_cero!$A:$A)-2,1))))</f>
        <v/>
      </c>
      <c r="E235" s="23" t="str">
        <f t="shared" si="33"/>
        <v/>
      </c>
      <c r="F235" s="23" t="str">
        <f ca="1">IF(A235="","",IF($B$10="Sí",interpolar_alamb(B235,OFFSET(Curvas_cupon_cero!$A$1,1,0,COUNT(Curvas_cupon_cero!$A:$A)-2,1),OFFSET(Curvas_cupon_cero!$A$1,1,MATCH($B$9,Curvas_cupon_cero!$1:$1,0)-1,COUNT(Curvas_cupon_cero!$A:$A)-2,1)),[1]!interpolar(B235,OFFSET(Curvas_cupon_cero!$A$1,1,0,COUNT(Curvas_cupon_cero!$A:$A)-2,1),OFFSET(Curvas_cupon_cero!$A$1,1,MATCH($B$9,Curvas_cupon_cero!$1:$1,0)-1,COUNT(Curvas_cupon_cero!$A:$A)-2,1))))</f>
        <v/>
      </c>
      <c r="G235" s="23" t="str">
        <f t="shared" si="34"/>
        <v/>
      </c>
      <c r="H235" s="20" t="str">
        <f t="shared" si="39"/>
        <v/>
      </c>
      <c r="I235" t="str">
        <f t="shared" si="35"/>
        <v/>
      </c>
      <c r="J235" s="17" t="str">
        <f t="shared" si="31"/>
        <v/>
      </c>
      <c r="K235" s="18" t="str">
        <f t="shared" si="36"/>
        <v/>
      </c>
      <c r="L235" t="str">
        <f t="shared" si="37"/>
        <v/>
      </c>
      <c r="M235" s="23" t="str">
        <f ca="1">IF(A235="","",IF($B$10="Sí",interpolar_alamb(L235,OFFSET(Curvas_cupon_cero!$A$1,1,0,COUNT(Curvas_cupon_cero!$A:$A)-2,1),OFFSET(Curvas_cupon_cero!$A$1,1,MATCH($B$6,Curvas_cupon_cero!$1:$1,0)-1,COUNT(Curvas_cupon_cero!$A:$A)-2,1)),[1]!interpolar(L235,OFFSET(Curvas_cupon_cero!$A$1,1,0,COUNT(Curvas_cupon_cero!$A:$A)-2,1),OFFSET(Curvas_cupon_cero!$A$1,1,MATCH($B$6,Curvas_cupon_cero!$1:$1,0)-1,COUNT(Curvas_cupon_cero!$A:$A)-2,1))))</f>
        <v/>
      </c>
      <c r="N235" s="23"/>
      <c r="O235" s="19" t="str">
        <f t="shared" si="38"/>
        <v/>
      </c>
    </row>
    <row r="236" spans="1:15" x14ac:dyDescent="0.2">
      <c r="A236" s="12" t="str">
        <f t="shared" si="32"/>
        <v/>
      </c>
      <c r="B236" t="str">
        <f t="shared" si="30"/>
        <v/>
      </c>
      <c r="C236" s="21" t="str">
        <f ca="1">IF(A236="","",IF($B$10="Sí",interpolar_alamb(B236,OFFSET(Curvas_cupon_cero!$A$1,1,0,COUNT(Curvas_cupon_cero!$A:$A)-2,1),OFFSET(Curvas_cupon_cero!$A$1,1,MATCH($B$8,Curvas_cupon_cero!$1:$1,0)-1,COUNT(Curvas_cupon_cero!$A:$A)-2,1)),[1]!interpolar(B236,OFFSET(Curvas_cupon_cero!$A$1,1,0,COUNT(Curvas_cupon_cero!$A:$A)-2,1),OFFSET(Curvas_cupon_cero!$A$1,1,MATCH($B$8,Curvas_cupon_cero!$1:$1,0)-1,COUNT(Curvas_cupon_cero!$A:$A)-2,1))))</f>
        <v/>
      </c>
      <c r="D236" s="23" t="str">
        <f ca="1">IF(A236="","",IF($B$10="Sí",interpolar_alamb(L236,OFFSET(Curvas_cupon_cero!$A$1,1,0,COUNT(Curvas_cupon_cero!$A:$A)-2,1),OFFSET(Curvas_cupon_cero!$A$1,1,MATCH($B$8,Curvas_cupon_cero!$1:$1,0)-1,COUNT(Curvas_cupon_cero!$A:$A)-2,1)),[1]!interpolar(L236,OFFSET(Curvas_cupon_cero!$A$1,1,0,COUNT(Curvas_cupon_cero!$A:$A)-2,1),OFFSET(Curvas_cupon_cero!$A$1,1,MATCH($B$8,Curvas_cupon_cero!$1:$1,0)-1,COUNT(Curvas_cupon_cero!$A:$A)-2,1))))</f>
        <v/>
      </c>
      <c r="E236" s="23" t="str">
        <f t="shared" si="33"/>
        <v/>
      </c>
      <c r="F236" s="23" t="str">
        <f ca="1">IF(A236="","",IF($B$10="Sí",interpolar_alamb(B236,OFFSET(Curvas_cupon_cero!$A$1,1,0,COUNT(Curvas_cupon_cero!$A:$A)-2,1),OFFSET(Curvas_cupon_cero!$A$1,1,MATCH($B$9,Curvas_cupon_cero!$1:$1,0)-1,COUNT(Curvas_cupon_cero!$A:$A)-2,1)),[1]!interpolar(B236,OFFSET(Curvas_cupon_cero!$A$1,1,0,COUNT(Curvas_cupon_cero!$A:$A)-2,1),OFFSET(Curvas_cupon_cero!$A$1,1,MATCH($B$9,Curvas_cupon_cero!$1:$1,0)-1,COUNT(Curvas_cupon_cero!$A:$A)-2,1))))</f>
        <v/>
      </c>
      <c r="G236" s="23" t="str">
        <f t="shared" si="34"/>
        <v/>
      </c>
      <c r="H236" s="20" t="str">
        <f t="shared" si="39"/>
        <v/>
      </c>
      <c r="I236" t="str">
        <f t="shared" si="35"/>
        <v/>
      </c>
      <c r="J236" s="17" t="str">
        <f t="shared" si="31"/>
        <v/>
      </c>
      <c r="K236" s="18" t="str">
        <f t="shared" si="36"/>
        <v/>
      </c>
      <c r="L236" t="str">
        <f t="shared" si="37"/>
        <v/>
      </c>
      <c r="M236" s="23" t="str">
        <f ca="1">IF(A236="","",IF($B$10="Sí",interpolar_alamb(L236,OFFSET(Curvas_cupon_cero!$A$1,1,0,COUNT(Curvas_cupon_cero!$A:$A)-2,1),OFFSET(Curvas_cupon_cero!$A$1,1,MATCH($B$6,Curvas_cupon_cero!$1:$1,0)-1,COUNT(Curvas_cupon_cero!$A:$A)-2,1)),[1]!interpolar(L236,OFFSET(Curvas_cupon_cero!$A$1,1,0,COUNT(Curvas_cupon_cero!$A:$A)-2,1),OFFSET(Curvas_cupon_cero!$A$1,1,MATCH($B$6,Curvas_cupon_cero!$1:$1,0)-1,COUNT(Curvas_cupon_cero!$A:$A)-2,1))))</f>
        <v/>
      </c>
      <c r="N236" s="23"/>
      <c r="O236" s="19" t="str">
        <f t="shared" si="38"/>
        <v/>
      </c>
    </row>
    <row r="237" spans="1:15" x14ac:dyDescent="0.2">
      <c r="A237" s="12" t="str">
        <f t="shared" si="32"/>
        <v/>
      </c>
      <c r="B237" t="str">
        <f t="shared" si="30"/>
        <v/>
      </c>
      <c r="C237" s="21" t="str">
        <f ca="1">IF(A237="","",IF($B$10="Sí",interpolar_alamb(B237,OFFSET(Curvas_cupon_cero!$A$1,1,0,COUNT(Curvas_cupon_cero!$A:$A)-2,1),OFFSET(Curvas_cupon_cero!$A$1,1,MATCH($B$8,Curvas_cupon_cero!$1:$1,0)-1,COUNT(Curvas_cupon_cero!$A:$A)-2,1)),[1]!interpolar(B237,OFFSET(Curvas_cupon_cero!$A$1,1,0,COUNT(Curvas_cupon_cero!$A:$A)-2,1),OFFSET(Curvas_cupon_cero!$A$1,1,MATCH($B$8,Curvas_cupon_cero!$1:$1,0)-1,COUNT(Curvas_cupon_cero!$A:$A)-2,1))))</f>
        <v/>
      </c>
      <c r="D237" s="23" t="str">
        <f ca="1">IF(A237="","",IF($B$10="Sí",interpolar_alamb(L237,OFFSET(Curvas_cupon_cero!$A$1,1,0,COUNT(Curvas_cupon_cero!$A:$A)-2,1),OFFSET(Curvas_cupon_cero!$A$1,1,MATCH($B$8,Curvas_cupon_cero!$1:$1,0)-1,COUNT(Curvas_cupon_cero!$A:$A)-2,1)),[1]!interpolar(L237,OFFSET(Curvas_cupon_cero!$A$1,1,0,COUNT(Curvas_cupon_cero!$A:$A)-2,1),OFFSET(Curvas_cupon_cero!$A$1,1,MATCH($B$8,Curvas_cupon_cero!$1:$1,0)-1,COUNT(Curvas_cupon_cero!$A:$A)-2,1))))</f>
        <v/>
      </c>
      <c r="E237" s="23" t="str">
        <f t="shared" si="33"/>
        <v/>
      </c>
      <c r="F237" s="23" t="str">
        <f ca="1">IF(A237="","",IF($B$10="Sí",interpolar_alamb(B237,OFFSET(Curvas_cupon_cero!$A$1,1,0,COUNT(Curvas_cupon_cero!$A:$A)-2,1),OFFSET(Curvas_cupon_cero!$A$1,1,MATCH($B$9,Curvas_cupon_cero!$1:$1,0)-1,COUNT(Curvas_cupon_cero!$A:$A)-2,1)),[1]!interpolar(B237,OFFSET(Curvas_cupon_cero!$A$1,1,0,COUNT(Curvas_cupon_cero!$A:$A)-2,1),OFFSET(Curvas_cupon_cero!$A$1,1,MATCH($B$9,Curvas_cupon_cero!$1:$1,0)-1,COUNT(Curvas_cupon_cero!$A:$A)-2,1))))</f>
        <v/>
      </c>
      <c r="G237" s="23" t="str">
        <f t="shared" si="34"/>
        <v/>
      </c>
      <c r="H237" s="20" t="str">
        <f t="shared" si="39"/>
        <v/>
      </c>
      <c r="I237" t="str">
        <f t="shared" si="35"/>
        <v/>
      </c>
      <c r="J237" s="17" t="str">
        <f t="shared" si="31"/>
        <v/>
      </c>
      <c r="K237" s="18" t="str">
        <f t="shared" si="36"/>
        <v/>
      </c>
      <c r="L237" t="str">
        <f t="shared" si="37"/>
        <v/>
      </c>
      <c r="M237" s="23" t="str">
        <f ca="1">IF(A237="","",IF($B$10="Sí",interpolar_alamb(L237,OFFSET(Curvas_cupon_cero!$A$1,1,0,COUNT(Curvas_cupon_cero!$A:$A)-2,1),OFFSET(Curvas_cupon_cero!$A$1,1,MATCH($B$6,Curvas_cupon_cero!$1:$1,0)-1,COUNT(Curvas_cupon_cero!$A:$A)-2,1)),[1]!interpolar(L237,OFFSET(Curvas_cupon_cero!$A$1,1,0,COUNT(Curvas_cupon_cero!$A:$A)-2,1),OFFSET(Curvas_cupon_cero!$A$1,1,MATCH($B$6,Curvas_cupon_cero!$1:$1,0)-1,COUNT(Curvas_cupon_cero!$A:$A)-2,1))))</f>
        <v/>
      </c>
      <c r="N237" s="23"/>
      <c r="O237" s="19" t="str">
        <f t="shared" si="38"/>
        <v/>
      </c>
    </row>
    <row r="238" spans="1:15" x14ac:dyDescent="0.2">
      <c r="A238" s="12" t="str">
        <f t="shared" si="32"/>
        <v/>
      </c>
      <c r="B238" t="str">
        <f t="shared" si="30"/>
        <v/>
      </c>
      <c r="C238" s="21" t="str">
        <f ca="1">IF(A238="","",IF($B$10="Sí",interpolar_alamb(B238,OFFSET(Curvas_cupon_cero!$A$1,1,0,COUNT(Curvas_cupon_cero!$A:$A)-2,1),OFFSET(Curvas_cupon_cero!$A$1,1,MATCH($B$8,Curvas_cupon_cero!$1:$1,0)-1,COUNT(Curvas_cupon_cero!$A:$A)-2,1)),[1]!interpolar(B238,OFFSET(Curvas_cupon_cero!$A$1,1,0,COUNT(Curvas_cupon_cero!$A:$A)-2,1),OFFSET(Curvas_cupon_cero!$A$1,1,MATCH($B$8,Curvas_cupon_cero!$1:$1,0)-1,COUNT(Curvas_cupon_cero!$A:$A)-2,1))))</f>
        <v/>
      </c>
      <c r="D238" s="23" t="str">
        <f ca="1">IF(A238="","",IF($B$10="Sí",interpolar_alamb(L238,OFFSET(Curvas_cupon_cero!$A$1,1,0,COUNT(Curvas_cupon_cero!$A:$A)-2,1),OFFSET(Curvas_cupon_cero!$A$1,1,MATCH($B$8,Curvas_cupon_cero!$1:$1,0)-1,COUNT(Curvas_cupon_cero!$A:$A)-2,1)),[1]!interpolar(L238,OFFSET(Curvas_cupon_cero!$A$1,1,0,COUNT(Curvas_cupon_cero!$A:$A)-2,1),OFFSET(Curvas_cupon_cero!$A$1,1,MATCH($B$8,Curvas_cupon_cero!$1:$1,0)-1,COUNT(Curvas_cupon_cero!$A:$A)-2,1))))</f>
        <v/>
      </c>
      <c r="E238" s="23" t="str">
        <f t="shared" si="33"/>
        <v/>
      </c>
      <c r="F238" s="23" t="str">
        <f ca="1">IF(A238="","",IF($B$10="Sí",interpolar_alamb(B238,OFFSET(Curvas_cupon_cero!$A$1,1,0,COUNT(Curvas_cupon_cero!$A:$A)-2,1),OFFSET(Curvas_cupon_cero!$A$1,1,MATCH($B$9,Curvas_cupon_cero!$1:$1,0)-1,COUNT(Curvas_cupon_cero!$A:$A)-2,1)),[1]!interpolar(B238,OFFSET(Curvas_cupon_cero!$A$1,1,0,COUNT(Curvas_cupon_cero!$A:$A)-2,1),OFFSET(Curvas_cupon_cero!$A$1,1,MATCH($B$9,Curvas_cupon_cero!$1:$1,0)-1,COUNT(Curvas_cupon_cero!$A:$A)-2,1))))</f>
        <v/>
      </c>
      <c r="G238" s="23" t="str">
        <f t="shared" si="34"/>
        <v/>
      </c>
      <c r="H238" s="20" t="str">
        <f t="shared" si="39"/>
        <v/>
      </c>
      <c r="I238" t="str">
        <f t="shared" si="35"/>
        <v/>
      </c>
      <c r="J238" s="17" t="str">
        <f t="shared" si="31"/>
        <v/>
      </c>
      <c r="K238" s="18" t="str">
        <f t="shared" si="36"/>
        <v/>
      </c>
      <c r="L238" t="str">
        <f t="shared" si="37"/>
        <v/>
      </c>
      <c r="M238" s="23" t="str">
        <f ca="1">IF(A238="","",IF($B$10="Sí",interpolar_alamb(L238,OFFSET(Curvas_cupon_cero!$A$1,1,0,COUNT(Curvas_cupon_cero!$A:$A)-2,1),OFFSET(Curvas_cupon_cero!$A$1,1,MATCH($B$6,Curvas_cupon_cero!$1:$1,0)-1,COUNT(Curvas_cupon_cero!$A:$A)-2,1)),[1]!interpolar(L238,OFFSET(Curvas_cupon_cero!$A$1,1,0,COUNT(Curvas_cupon_cero!$A:$A)-2,1),OFFSET(Curvas_cupon_cero!$A$1,1,MATCH($B$6,Curvas_cupon_cero!$1:$1,0)-1,COUNT(Curvas_cupon_cero!$A:$A)-2,1))))</f>
        <v/>
      </c>
      <c r="N238" s="23"/>
      <c r="O238" s="19" t="str">
        <f t="shared" si="38"/>
        <v/>
      </c>
    </row>
    <row r="239" spans="1:15" x14ac:dyDescent="0.2">
      <c r="A239" s="12" t="str">
        <f t="shared" si="32"/>
        <v/>
      </c>
      <c r="B239" t="str">
        <f t="shared" si="30"/>
        <v/>
      </c>
      <c r="C239" s="21" t="str">
        <f ca="1">IF(A239="","",IF($B$10="Sí",interpolar_alamb(B239,OFFSET(Curvas_cupon_cero!$A$1,1,0,COUNT(Curvas_cupon_cero!$A:$A)-2,1),OFFSET(Curvas_cupon_cero!$A$1,1,MATCH($B$8,Curvas_cupon_cero!$1:$1,0)-1,COUNT(Curvas_cupon_cero!$A:$A)-2,1)),[1]!interpolar(B239,OFFSET(Curvas_cupon_cero!$A$1,1,0,COUNT(Curvas_cupon_cero!$A:$A)-2,1),OFFSET(Curvas_cupon_cero!$A$1,1,MATCH($B$8,Curvas_cupon_cero!$1:$1,0)-1,COUNT(Curvas_cupon_cero!$A:$A)-2,1))))</f>
        <v/>
      </c>
      <c r="D239" s="23" t="str">
        <f ca="1">IF(A239="","",IF($B$10="Sí",interpolar_alamb(L239,OFFSET(Curvas_cupon_cero!$A$1,1,0,COUNT(Curvas_cupon_cero!$A:$A)-2,1),OFFSET(Curvas_cupon_cero!$A$1,1,MATCH($B$8,Curvas_cupon_cero!$1:$1,0)-1,COUNT(Curvas_cupon_cero!$A:$A)-2,1)),[1]!interpolar(L239,OFFSET(Curvas_cupon_cero!$A$1,1,0,COUNT(Curvas_cupon_cero!$A:$A)-2,1),OFFSET(Curvas_cupon_cero!$A$1,1,MATCH($B$8,Curvas_cupon_cero!$1:$1,0)-1,COUNT(Curvas_cupon_cero!$A:$A)-2,1))))</f>
        <v/>
      </c>
      <c r="E239" s="23" t="str">
        <f t="shared" si="33"/>
        <v/>
      </c>
      <c r="F239" s="23" t="str">
        <f ca="1">IF(A239="","",IF($B$10="Sí",interpolar_alamb(B239,OFFSET(Curvas_cupon_cero!$A$1,1,0,COUNT(Curvas_cupon_cero!$A:$A)-2,1),OFFSET(Curvas_cupon_cero!$A$1,1,MATCH($B$9,Curvas_cupon_cero!$1:$1,0)-1,COUNT(Curvas_cupon_cero!$A:$A)-2,1)),[1]!interpolar(B239,OFFSET(Curvas_cupon_cero!$A$1,1,0,COUNT(Curvas_cupon_cero!$A:$A)-2,1),OFFSET(Curvas_cupon_cero!$A$1,1,MATCH($B$9,Curvas_cupon_cero!$1:$1,0)-1,COUNT(Curvas_cupon_cero!$A:$A)-2,1))))</f>
        <v/>
      </c>
      <c r="G239" s="23" t="str">
        <f t="shared" si="34"/>
        <v/>
      </c>
      <c r="H239" s="20" t="str">
        <f t="shared" si="39"/>
        <v/>
      </c>
      <c r="I239" t="str">
        <f t="shared" si="35"/>
        <v/>
      </c>
      <c r="J239" s="17" t="str">
        <f t="shared" si="31"/>
        <v/>
      </c>
      <c r="K239" s="18" t="str">
        <f t="shared" si="36"/>
        <v/>
      </c>
      <c r="L239" t="str">
        <f t="shared" si="37"/>
        <v/>
      </c>
      <c r="M239" s="23" t="str">
        <f ca="1">IF(A239="","",IF($B$10="Sí",interpolar_alamb(L239,OFFSET(Curvas_cupon_cero!$A$1,1,0,COUNT(Curvas_cupon_cero!$A:$A)-2,1),OFFSET(Curvas_cupon_cero!$A$1,1,MATCH($B$6,Curvas_cupon_cero!$1:$1,0)-1,COUNT(Curvas_cupon_cero!$A:$A)-2,1)),[1]!interpolar(L239,OFFSET(Curvas_cupon_cero!$A$1,1,0,COUNT(Curvas_cupon_cero!$A:$A)-2,1),OFFSET(Curvas_cupon_cero!$A$1,1,MATCH($B$6,Curvas_cupon_cero!$1:$1,0)-1,COUNT(Curvas_cupon_cero!$A:$A)-2,1))))</f>
        <v/>
      </c>
      <c r="N239" s="23"/>
      <c r="O239" s="19" t="str">
        <f t="shared" si="38"/>
        <v/>
      </c>
    </row>
    <row r="240" spans="1:15" x14ac:dyDescent="0.2">
      <c r="A240" s="12" t="str">
        <f t="shared" si="32"/>
        <v/>
      </c>
      <c r="B240" t="str">
        <f t="shared" si="30"/>
        <v/>
      </c>
      <c r="C240" s="21" t="str">
        <f ca="1">IF(A240="","",IF($B$10="Sí",interpolar_alamb(B240,OFFSET(Curvas_cupon_cero!$A$1,1,0,COUNT(Curvas_cupon_cero!$A:$A)-2,1),OFFSET(Curvas_cupon_cero!$A$1,1,MATCH($B$8,Curvas_cupon_cero!$1:$1,0)-1,COUNT(Curvas_cupon_cero!$A:$A)-2,1)),[1]!interpolar(B240,OFFSET(Curvas_cupon_cero!$A$1,1,0,COUNT(Curvas_cupon_cero!$A:$A)-2,1),OFFSET(Curvas_cupon_cero!$A$1,1,MATCH($B$8,Curvas_cupon_cero!$1:$1,0)-1,COUNT(Curvas_cupon_cero!$A:$A)-2,1))))</f>
        <v/>
      </c>
      <c r="D240" s="23" t="str">
        <f ca="1">IF(A240="","",IF($B$10="Sí",interpolar_alamb(L240,OFFSET(Curvas_cupon_cero!$A$1,1,0,COUNT(Curvas_cupon_cero!$A:$A)-2,1),OFFSET(Curvas_cupon_cero!$A$1,1,MATCH($B$8,Curvas_cupon_cero!$1:$1,0)-1,COUNT(Curvas_cupon_cero!$A:$A)-2,1)),[1]!interpolar(L240,OFFSET(Curvas_cupon_cero!$A$1,1,0,COUNT(Curvas_cupon_cero!$A:$A)-2,1),OFFSET(Curvas_cupon_cero!$A$1,1,MATCH($B$8,Curvas_cupon_cero!$1:$1,0)-1,COUNT(Curvas_cupon_cero!$A:$A)-2,1))))</f>
        <v/>
      </c>
      <c r="E240" s="23" t="str">
        <f t="shared" si="33"/>
        <v/>
      </c>
      <c r="F240" s="23" t="str">
        <f ca="1">IF(A240="","",IF($B$10="Sí",interpolar_alamb(B240,OFFSET(Curvas_cupon_cero!$A$1,1,0,COUNT(Curvas_cupon_cero!$A:$A)-2,1),OFFSET(Curvas_cupon_cero!$A$1,1,MATCH($B$9,Curvas_cupon_cero!$1:$1,0)-1,COUNT(Curvas_cupon_cero!$A:$A)-2,1)),[1]!interpolar(B240,OFFSET(Curvas_cupon_cero!$A$1,1,0,COUNT(Curvas_cupon_cero!$A:$A)-2,1),OFFSET(Curvas_cupon_cero!$A$1,1,MATCH($B$9,Curvas_cupon_cero!$1:$1,0)-1,COUNT(Curvas_cupon_cero!$A:$A)-2,1))))</f>
        <v/>
      </c>
      <c r="G240" s="23" t="str">
        <f t="shared" si="34"/>
        <v/>
      </c>
      <c r="H240" s="20" t="str">
        <f t="shared" si="39"/>
        <v/>
      </c>
      <c r="I240" t="str">
        <f t="shared" si="35"/>
        <v/>
      </c>
      <c r="J240" s="17" t="str">
        <f t="shared" si="31"/>
        <v/>
      </c>
      <c r="K240" s="18" t="str">
        <f t="shared" si="36"/>
        <v/>
      </c>
      <c r="L240" t="str">
        <f t="shared" si="37"/>
        <v/>
      </c>
      <c r="M240" s="23" t="str">
        <f ca="1">IF(A240="","",IF($B$10="Sí",interpolar_alamb(L240,OFFSET(Curvas_cupon_cero!$A$1,1,0,COUNT(Curvas_cupon_cero!$A:$A)-2,1),OFFSET(Curvas_cupon_cero!$A$1,1,MATCH($B$6,Curvas_cupon_cero!$1:$1,0)-1,COUNT(Curvas_cupon_cero!$A:$A)-2,1)),[1]!interpolar(L240,OFFSET(Curvas_cupon_cero!$A$1,1,0,COUNT(Curvas_cupon_cero!$A:$A)-2,1),OFFSET(Curvas_cupon_cero!$A$1,1,MATCH($B$6,Curvas_cupon_cero!$1:$1,0)-1,COUNT(Curvas_cupon_cero!$A:$A)-2,1))))</f>
        <v/>
      </c>
      <c r="N240" s="23"/>
      <c r="O240" s="19" t="str">
        <f t="shared" si="38"/>
        <v/>
      </c>
    </row>
    <row r="241" spans="1:15" x14ac:dyDescent="0.2">
      <c r="A241" s="12" t="str">
        <f t="shared" si="32"/>
        <v/>
      </c>
      <c r="B241" t="str">
        <f t="shared" si="30"/>
        <v/>
      </c>
      <c r="C241" s="21" t="str">
        <f ca="1">IF(A241="","",IF($B$10="Sí",interpolar_alamb(B241,OFFSET(Curvas_cupon_cero!$A$1,1,0,COUNT(Curvas_cupon_cero!$A:$A)-2,1),OFFSET(Curvas_cupon_cero!$A$1,1,MATCH($B$8,Curvas_cupon_cero!$1:$1,0)-1,COUNT(Curvas_cupon_cero!$A:$A)-2,1)),[1]!interpolar(B241,OFFSET(Curvas_cupon_cero!$A$1,1,0,COUNT(Curvas_cupon_cero!$A:$A)-2,1),OFFSET(Curvas_cupon_cero!$A$1,1,MATCH($B$8,Curvas_cupon_cero!$1:$1,0)-1,COUNT(Curvas_cupon_cero!$A:$A)-2,1))))</f>
        <v/>
      </c>
      <c r="D241" s="23" t="str">
        <f ca="1">IF(A241="","",IF($B$10="Sí",interpolar_alamb(L241,OFFSET(Curvas_cupon_cero!$A$1,1,0,COUNT(Curvas_cupon_cero!$A:$A)-2,1),OFFSET(Curvas_cupon_cero!$A$1,1,MATCH($B$8,Curvas_cupon_cero!$1:$1,0)-1,COUNT(Curvas_cupon_cero!$A:$A)-2,1)),[1]!interpolar(L241,OFFSET(Curvas_cupon_cero!$A$1,1,0,COUNT(Curvas_cupon_cero!$A:$A)-2,1),OFFSET(Curvas_cupon_cero!$A$1,1,MATCH($B$8,Curvas_cupon_cero!$1:$1,0)-1,COUNT(Curvas_cupon_cero!$A:$A)-2,1))))</f>
        <v/>
      </c>
      <c r="E241" s="23" t="str">
        <f t="shared" si="33"/>
        <v/>
      </c>
      <c r="F241" s="23" t="str">
        <f ca="1">IF(A241="","",IF($B$10="Sí",interpolar_alamb(B241,OFFSET(Curvas_cupon_cero!$A$1,1,0,COUNT(Curvas_cupon_cero!$A:$A)-2,1),OFFSET(Curvas_cupon_cero!$A$1,1,MATCH($B$9,Curvas_cupon_cero!$1:$1,0)-1,COUNT(Curvas_cupon_cero!$A:$A)-2,1)),[1]!interpolar(B241,OFFSET(Curvas_cupon_cero!$A$1,1,0,COUNT(Curvas_cupon_cero!$A:$A)-2,1),OFFSET(Curvas_cupon_cero!$A$1,1,MATCH($B$9,Curvas_cupon_cero!$1:$1,0)-1,COUNT(Curvas_cupon_cero!$A:$A)-2,1))))</f>
        <v/>
      </c>
      <c r="G241" s="23" t="str">
        <f t="shared" si="34"/>
        <v/>
      </c>
      <c r="H241" s="20" t="str">
        <f t="shared" si="39"/>
        <v/>
      </c>
      <c r="I241" t="str">
        <f t="shared" si="35"/>
        <v/>
      </c>
      <c r="J241" s="17" t="str">
        <f t="shared" si="31"/>
        <v/>
      </c>
      <c r="K241" s="18" t="str">
        <f t="shared" si="36"/>
        <v/>
      </c>
      <c r="L241" t="str">
        <f t="shared" si="37"/>
        <v/>
      </c>
      <c r="M241" s="23" t="str">
        <f ca="1">IF(A241="","",IF($B$10="Sí",interpolar_alamb(L241,OFFSET(Curvas_cupon_cero!$A$1,1,0,COUNT(Curvas_cupon_cero!$A:$A)-2,1),OFFSET(Curvas_cupon_cero!$A$1,1,MATCH($B$6,Curvas_cupon_cero!$1:$1,0)-1,COUNT(Curvas_cupon_cero!$A:$A)-2,1)),[1]!interpolar(L241,OFFSET(Curvas_cupon_cero!$A$1,1,0,COUNT(Curvas_cupon_cero!$A:$A)-2,1),OFFSET(Curvas_cupon_cero!$A$1,1,MATCH($B$6,Curvas_cupon_cero!$1:$1,0)-1,COUNT(Curvas_cupon_cero!$A:$A)-2,1))))</f>
        <v/>
      </c>
      <c r="N241" s="23"/>
      <c r="O241" s="19" t="str">
        <f t="shared" si="38"/>
        <v/>
      </c>
    </row>
    <row r="242" spans="1:15" x14ac:dyDescent="0.2">
      <c r="A242" s="12" t="str">
        <f t="shared" si="32"/>
        <v/>
      </c>
      <c r="B242" t="str">
        <f t="shared" si="30"/>
        <v/>
      </c>
      <c r="C242" s="21" t="str">
        <f ca="1">IF(A242="","",IF($B$10="Sí",interpolar_alamb(B242,OFFSET(Curvas_cupon_cero!$A$1,1,0,COUNT(Curvas_cupon_cero!$A:$A)-2,1),OFFSET(Curvas_cupon_cero!$A$1,1,MATCH($B$8,Curvas_cupon_cero!$1:$1,0)-1,COUNT(Curvas_cupon_cero!$A:$A)-2,1)),[1]!interpolar(B242,OFFSET(Curvas_cupon_cero!$A$1,1,0,COUNT(Curvas_cupon_cero!$A:$A)-2,1),OFFSET(Curvas_cupon_cero!$A$1,1,MATCH($B$8,Curvas_cupon_cero!$1:$1,0)-1,COUNT(Curvas_cupon_cero!$A:$A)-2,1))))</f>
        <v/>
      </c>
      <c r="D242" s="23" t="str">
        <f ca="1">IF(A242="","",IF($B$10="Sí",interpolar_alamb(L242,OFFSET(Curvas_cupon_cero!$A$1,1,0,COUNT(Curvas_cupon_cero!$A:$A)-2,1),OFFSET(Curvas_cupon_cero!$A$1,1,MATCH($B$8,Curvas_cupon_cero!$1:$1,0)-1,COUNT(Curvas_cupon_cero!$A:$A)-2,1)),[1]!interpolar(L242,OFFSET(Curvas_cupon_cero!$A$1,1,0,COUNT(Curvas_cupon_cero!$A:$A)-2,1),OFFSET(Curvas_cupon_cero!$A$1,1,MATCH($B$8,Curvas_cupon_cero!$1:$1,0)-1,COUNT(Curvas_cupon_cero!$A:$A)-2,1))))</f>
        <v/>
      </c>
      <c r="E242" s="23" t="str">
        <f t="shared" si="33"/>
        <v/>
      </c>
      <c r="F242" s="23" t="str">
        <f ca="1">IF(A242="","",IF($B$10="Sí",interpolar_alamb(B242,OFFSET(Curvas_cupon_cero!$A$1,1,0,COUNT(Curvas_cupon_cero!$A:$A)-2,1),OFFSET(Curvas_cupon_cero!$A$1,1,MATCH($B$9,Curvas_cupon_cero!$1:$1,0)-1,COUNT(Curvas_cupon_cero!$A:$A)-2,1)),[1]!interpolar(B242,OFFSET(Curvas_cupon_cero!$A$1,1,0,COUNT(Curvas_cupon_cero!$A:$A)-2,1),OFFSET(Curvas_cupon_cero!$A$1,1,MATCH($B$9,Curvas_cupon_cero!$1:$1,0)-1,COUNT(Curvas_cupon_cero!$A:$A)-2,1))))</f>
        <v/>
      </c>
      <c r="G242" s="23" t="str">
        <f t="shared" si="34"/>
        <v/>
      </c>
      <c r="H242" s="20" t="str">
        <f t="shared" si="39"/>
        <v/>
      </c>
      <c r="I242" t="str">
        <f t="shared" si="35"/>
        <v/>
      </c>
      <c r="J242" s="17" t="str">
        <f t="shared" si="31"/>
        <v/>
      </c>
      <c r="K242" s="18" t="str">
        <f t="shared" si="36"/>
        <v/>
      </c>
      <c r="L242" t="str">
        <f t="shared" si="37"/>
        <v/>
      </c>
      <c r="M242" s="23" t="str">
        <f ca="1">IF(A242="","",IF($B$10="Sí",interpolar_alamb(L242,OFFSET(Curvas_cupon_cero!$A$1,1,0,COUNT(Curvas_cupon_cero!$A:$A)-2,1),OFFSET(Curvas_cupon_cero!$A$1,1,MATCH($B$6,Curvas_cupon_cero!$1:$1,0)-1,COUNT(Curvas_cupon_cero!$A:$A)-2,1)),[1]!interpolar(L242,OFFSET(Curvas_cupon_cero!$A$1,1,0,COUNT(Curvas_cupon_cero!$A:$A)-2,1),OFFSET(Curvas_cupon_cero!$A$1,1,MATCH($B$6,Curvas_cupon_cero!$1:$1,0)-1,COUNT(Curvas_cupon_cero!$A:$A)-2,1))))</f>
        <v/>
      </c>
      <c r="N242" s="23"/>
      <c r="O242" s="19" t="str">
        <f t="shared" si="38"/>
        <v/>
      </c>
    </row>
    <row r="243" spans="1:15" x14ac:dyDescent="0.2">
      <c r="A243" s="12" t="str">
        <f t="shared" si="32"/>
        <v/>
      </c>
      <c r="B243" t="str">
        <f t="shared" si="30"/>
        <v/>
      </c>
      <c r="C243" s="21" t="str">
        <f ca="1">IF(A243="","",IF($B$10="Sí",interpolar_alamb(B243,OFFSET(Curvas_cupon_cero!$A$1,1,0,COUNT(Curvas_cupon_cero!$A:$A)-2,1),OFFSET(Curvas_cupon_cero!$A$1,1,MATCH($B$8,Curvas_cupon_cero!$1:$1,0)-1,COUNT(Curvas_cupon_cero!$A:$A)-2,1)),[1]!interpolar(B243,OFFSET(Curvas_cupon_cero!$A$1,1,0,COUNT(Curvas_cupon_cero!$A:$A)-2,1),OFFSET(Curvas_cupon_cero!$A$1,1,MATCH($B$8,Curvas_cupon_cero!$1:$1,0)-1,COUNT(Curvas_cupon_cero!$A:$A)-2,1))))</f>
        <v/>
      </c>
      <c r="D243" s="23" t="str">
        <f ca="1">IF(A243="","",IF($B$10="Sí",interpolar_alamb(L243,OFFSET(Curvas_cupon_cero!$A$1,1,0,COUNT(Curvas_cupon_cero!$A:$A)-2,1),OFFSET(Curvas_cupon_cero!$A$1,1,MATCH($B$8,Curvas_cupon_cero!$1:$1,0)-1,COUNT(Curvas_cupon_cero!$A:$A)-2,1)),[1]!interpolar(L243,OFFSET(Curvas_cupon_cero!$A$1,1,0,COUNT(Curvas_cupon_cero!$A:$A)-2,1),OFFSET(Curvas_cupon_cero!$A$1,1,MATCH($B$8,Curvas_cupon_cero!$1:$1,0)-1,COUNT(Curvas_cupon_cero!$A:$A)-2,1))))</f>
        <v/>
      </c>
      <c r="E243" s="23" t="str">
        <f t="shared" si="33"/>
        <v/>
      </c>
      <c r="F243" s="23" t="str">
        <f ca="1">IF(A243="","",IF($B$10="Sí",interpolar_alamb(B243,OFFSET(Curvas_cupon_cero!$A$1,1,0,COUNT(Curvas_cupon_cero!$A:$A)-2,1),OFFSET(Curvas_cupon_cero!$A$1,1,MATCH($B$9,Curvas_cupon_cero!$1:$1,0)-1,COUNT(Curvas_cupon_cero!$A:$A)-2,1)),[1]!interpolar(B243,OFFSET(Curvas_cupon_cero!$A$1,1,0,COUNT(Curvas_cupon_cero!$A:$A)-2,1),OFFSET(Curvas_cupon_cero!$A$1,1,MATCH($B$9,Curvas_cupon_cero!$1:$1,0)-1,COUNT(Curvas_cupon_cero!$A:$A)-2,1))))</f>
        <v/>
      </c>
      <c r="G243" s="23" t="str">
        <f t="shared" si="34"/>
        <v/>
      </c>
      <c r="H243" s="20" t="str">
        <f t="shared" si="39"/>
        <v/>
      </c>
      <c r="I243" t="str">
        <f t="shared" si="35"/>
        <v/>
      </c>
      <c r="J243" s="17" t="str">
        <f t="shared" si="31"/>
        <v/>
      </c>
      <c r="K243" s="18" t="str">
        <f t="shared" si="36"/>
        <v/>
      </c>
      <c r="L243" t="str">
        <f t="shared" si="37"/>
        <v/>
      </c>
      <c r="M243" s="23" t="str">
        <f ca="1">IF(A243="","",IF($B$10="Sí",interpolar_alamb(L243,OFFSET(Curvas_cupon_cero!$A$1,1,0,COUNT(Curvas_cupon_cero!$A:$A)-2,1),OFFSET(Curvas_cupon_cero!$A$1,1,MATCH($B$6,Curvas_cupon_cero!$1:$1,0)-1,COUNT(Curvas_cupon_cero!$A:$A)-2,1)),[1]!interpolar(L243,OFFSET(Curvas_cupon_cero!$A$1,1,0,COUNT(Curvas_cupon_cero!$A:$A)-2,1),OFFSET(Curvas_cupon_cero!$A$1,1,MATCH($B$6,Curvas_cupon_cero!$1:$1,0)-1,COUNT(Curvas_cupon_cero!$A:$A)-2,1))))</f>
        <v/>
      </c>
      <c r="N243" s="23"/>
      <c r="O243" s="19" t="str">
        <f t="shared" si="38"/>
        <v/>
      </c>
    </row>
    <row r="244" spans="1:15" x14ac:dyDescent="0.2">
      <c r="A244" s="12" t="str">
        <f t="shared" si="32"/>
        <v/>
      </c>
      <c r="B244" t="str">
        <f t="shared" si="30"/>
        <v/>
      </c>
      <c r="C244" s="21" t="str">
        <f ca="1">IF(A244="","",IF($B$10="Sí",interpolar_alamb(B244,OFFSET(Curvas_cupon_cero!$A$1,1,0,COUNT(Curvas_cupon_cero!$A:$A)-2,1),OFFSET(Curvas_cupon_cero!$A$1,1,MATCH($B$8,Curvas_cupon_cero!$1:$1,0)-1,COUNT(Curvas_cupon_cero!$A:$A)-2,1)),[1]!interpolar(B244,OFFSET(Curvas_cupon_cero!$A$1,1,0,COUNT(Curvas_cupon_cero!$A:$A)-2,1),OFFSET(Curvas_cupon_cero!$A$1,1,MATCH($B$8,Curvas_cupon_cero!$1:$1,0)-1,COUNT(Curvas_cupon_cero!$A:$A)-2,1))))</f>
        <v/>
      </c>
      <c r="D244" s="23" t="str">
        <f ca="1">IF(A244="","",IF($B$10="Sí",interpolar_alamb(L244,OFFSET(Curvas_cupon_cero!$A$1,1,0,COUNT(Curvas_cupon_cero!$A:$A)-2,1),OFFSET(Curvas_cupon_cero!$A$1,1,MATCH($B$8,Curvas_cupon_cero!$1:$1,0)-1,COUNT(Curvas_cupon_cero!$A:$A)-2,1)),[1]!interpolar(L244,OFFSET(Curvas_cupon_cero!$A$1,1,0,COUNT(Curvas_cupon_cero!$A:$A)-2,1),OFFSET(Curvas_cupon_cero!$A$1,1,MATCH($B$8,Curvas_cupon_cero!$1:$1,0)-1,COUNT(Curvas_cupon_cero!$A:$A)-2,1))))</f>
        <v/>
      </c>
      <c r="E244" s="23" t="str">
        <f t="shared" si="33"/>
        <v/>
      </c>
      <c r="F244" s="23" t="str">
        <f ca="1">IF(A244="","",IF($B$10="Sí",interpolar_alamb(B244,OFFSET(Curvas_cupon_cero!$A$1,1,0,COUNT(Curvas_cupon_cero!$A:$A)-2,1),OFFSET(Curvas_cupon_cero!$A$1,1,MATCH($B$9,Curvas_cupon_cero!$1:$1,0)-1,COUNT(Curvas_cupon_cero!$A:$A)-2,1)),[1]!interpolar(B244,OFFSET(Curvas_cupon_cero!$A$1,1,0,COUNT(Curvas_cupon_cero!$A:$A)-2,1),OFFSET(Curvas_cupon_cero!$A$1,1,MATCH($B$9,Curvas_cupon_cero!$1:$1,0)-1,COUNT(Curvas_cupon_cero!$A:$A)-2,1))))</f>
        <v/>
      </c>
      <c r="G244" s="23" t="str">
        <f t="shared" si="34"/>
        <v/>
      </c>
      <c r="H244" s="20" t="str">
        <f t="shared" si="39"/>
        <v/>
      </c>
      <c r="I244" t="str">
        <f t="shared" si="35"/>
        <v/>
      </c>
      <c r="J244" s="17" t="str">
        <f t="shared" si="31"/>
        <v/>
      </c>
      <c r="K244" s="18" t="str">
        <f t="shared" si="36"/>
        <v/>
      </c>
      <c r="L244" t="str">
        <f t="shared" si="37"/>
        <v/>
      </c>
      <c r="M244" s="23" t="str">
        <f ca="1">IF(A244="","",IF($B$10="Sí",interpolar_alamb(L244,OFFSET(Curvas_cupon_cero!$A$1,1,0,COUNT(Curvas_cupon_cero!$A:$A)-2,1),OFFSET(Curvas_cupon_cero!$A$1,1,MATCH($B$6,Curvas_cupon_cero!$1:$1,0)-1,COUNT(Curvas_cupon_cero!$A:$A)-2,1)),[1]!interpolar(L244,OFFSET(Curvas_cupon_cero!$A$1,1,0,COUNT(Curvas_cupon_cero!$A:$A)-2,1),OFFSET(Curvas_cupon_cero!$A$1,1,MATCH($B$6,Curvas_cupon_cero!$1:$1,0)-1,COUNT(Curvas_cupon_cero!$A:$A)-2,1))))</f>
        <v/>
      </c>
      <c r="N244" s="23"/>
      <c r="O244" s="19" t="str">
        <f t="shared" si="38"/>
        <v/>
      </c>
    </row>
    <row r="245" spans="1:15" x14ac:dyDescent="0.2">
      <c r="A245" s="12" t="str">
        <f t="shared" si="32"/>
        <v/>
      </c>
      <c r="B245" t="str">
        <f t="shared" si="30"/>
        <v/>
      </c>
      <c r="C245" s="21" t="str">
        <f ca="1">IF(A245="","",IF($B$10="Sí",interpolar_alamb(B245,OFFSET(Curvas_cupon_cero!$A$1,1,0,COUNT(Curvas_cupon_cero!$A:$A)-2,1),OFFSET(Curvas_cupon_cero!$A$1,1,MATCH($B$8,Curvas_cupon_cero!$1:$1,0)-1,COUNT(Curvas_cupon_cero!$A:$A)-2,1)),[1]!interpolar(B245,OFFSET(Curvas_cupon_cero!$A$1,1,0,COUNT(Curvas_cupon_cero!$A:$A)-2,1),OFFSET(Curvas_cupon_cero!$A$1,1,MATCH($B$8,Curvas_cupon_cero!$1:$1,0)-1,COUNT(Curvas_cupon_cero!$A:$A)-2,1))))</f>
        <v/>
      </c>
      <c r="D245" s="23" t="str">
        <f ca="1">IF(A245="","",IF($B$10="Sí",interpolar_alamb(L245,OFFSET(Curvas_cupon_cero!$A$1,1,0,COUNT(Curvas_cupon_cero!$A:$A)-2,1),OFFSET(Curvas_cupon_cero!$A$1,1,MATCH($B$8,Curvas_cupon_cero!$1:$1,0)-1,COUNT(Curvas_cupon_cero!$A:$A)-2,1)),[1]!interpolar(L245,OFFSET(Curvas_cupon_cero!$A$1,1,0,COUNT(Curvas_cupon_cero!$A:$A)-2,1),OFFSET(Curvas_cupon_cero!$A$1,1,MATCH($B$8,Curvas_cupon_cero!$1:$1,0)-1,COUNT(Curvas_cupon_cero!$A:$A)-2,1))))</f>
        <v/>
      </c>
      <c r="E245" s="23" t="str">
        <f t="shared" si="33"/>
        <v/>
      </c>
      <c r="F245" s="23" t="str">
        <f ca="1">IF(A245="","",IF($B$10="Sí",interpolar_alamb(B245,OFFSET(Curvas_cupon_cero!$A$1,1,0,COUNT(Curvas_cupon_cero!$A:$A)-2,1),OFFSET(Curvas_cupon_cero!$A$1,1,MATCH($B$9,Curvas_cupon_cero!$1:$1,0)-1,COUNT(Curvas_cupon_cero!$A:$A)-2,1)),[1]!interpolar(B245,OFFSET(Curvas_cupon_cero!$A$1,1,0,COUNT(Curvas_cupon_cero!$A:$A)-2,1),OFFSET(Curvas_cupon_cero!$A$1,1,MATCH($B$9,Curvas_cupon_cero!$1:$1,0)-1,COUNT(Curvas_cupon_cero!$A:$A)-2,1))))</f>
        <v/>
      </c>
      <c r="G245" s="23" t="str">
        <f t="shared" si="34"/>
        <v/>
      </c>
      <c r="H245" s="20" t="str">
        <f t="shared" si="39"/>
        <v/>
      </c>
      <c r="I245" t="str">
        <f t="shared" si="35"/>
        <v/>
      </c>
      <c r="J245" s="17" t="str">
        <f t="shared" si="31"/>
        <v/>
      </c>
      <c r="K245" s="18" t="str">
        <f t="shared" si="36"/>
        <v/>
      </c>
      <c r="L245" t="str">
        <f t="shared" si="37"/>
        <v/>
      </c>
      <c r="M245" s="23" t="str">
        <f ca="1">IF(A245="","",IF($B$10="Sí",interpolar_alamb(L245,OFFSET(Curvas_cupon_cero!$A$1,1,0,COUNT(Curvas_cupon_cero!$A:$A)-2,1),OFFSET(Curvas_cupon_cero!$A$1,1,MATCH($B$6,Curvas_cupon_cero!$1:$1,0)-1,COUNT(Curvas_cupon_cero!$A:$A)-2,1)),[1]!interpolar(L245,OFFSET(Curvas_cupon_cero!$A$1,1,0,COUNT(Curvas_cupon_cero!$A:$A)-2,1),OFFSET(Curvas_cupon_cero!$A$1,1,MATCH($B$6,Curvas_cupon_cero!$1:$1,0)-1,COUNT(Curvas_cupon_cero!$A:$A)-2,1))))</f>
        <v/>
      </c>
      <c r="N245" s="23"/>
      <c r="O245" s="19" t="str">
        <f t="shared" si="38"/>
        <v/>
      </c>
    </row>
    <row r="246" spans="1:15" x14ac:dyDescent="0.2">
      <c r="A246" s="12" t="str">
        <f t="shared" si="32"/>
        <v/>
      </c>
      <c r="B246" t="str">
        <f t="shared" si="30"/>
        <v/>
      </c>
      <c r="C246" s="21" t="str">
        <f ca="1">IF(A246="","",IF($B$10="Sí",interpolar_alamb(B246,OFFSET(Curvas_cupon_cero!$A$1,1,0,COUNT(Curvas_cupon_cero!$A:$A)-2,1),OFFSET(Curvas_cupon_cero!$A$1,1,MATCH($B$8,Curvas_cupon_cero!$1:$1,0)-1,COUNT(Curvas_cupon_cero!$A:$A)-2,1)),[1]!interpolar(B246,OFFSET(Curvas_cupon_cero!$A$1,1,0,COUNT(Curvas_cupon_cero!$A:$A)-2,1),OFFSET(Curvas_cupon_cero!$A$1,1,MATCH($B$8,Curvas_cupon_cero!$1:$1,0)-1,COUNT(Curvas_cupon_cero!$A:$A)-2,1))))</f>
        <v/>
      </c>
      <c r="D246" s="23" t="str">
        <f ca="1">IF(A246="","",IF($B$10="Sí",interpolar_alamb(L246,OFFSET(Curvas_cupon_cero!$A$1,1,0,COUNT(Curvas_cupon_cero!$A:$A)-2,1),OFFSET(Curvas_cupon_cero!$A$1,1,MATCH($B$8,Curvas_cupon_cero!$1:$1,0)-1,COUNT(Curvas_cupon_cero!$A:$A)-2,1)),[1]!interpolar(L246,OFFSET(Curvas_cupon_cero!$A$1,1,0,COUNT(Curvas_cupon_cero!$A:$A)-2,1),OFFSET(Curvas_cupon_cero!$A$1,1,MATCH($B$8,Curvas_cupon_cero!$1:$1,0)-1,COUNT(Curvas_cupon_cero!$A:$A)-2,1))))</f>
        <v/>
      </c>
      <c r="E246" s="23" t="str">
        <f t="shared" si="33"/>
        <v/>
      </c>
      <c r="F246" s="23" t="str">
        <f ca="1">IF(A246="","",IF($B$10="Sí",interpolar_alamb(B246,OFFSET(Curvas_cupon_cero!$A$1,1,0,COUNT(Curvas_cupon_cero!$A:$A)-2,1),OFFSET(Curvas_cupon_cero!$A$1,1,MATCH($B$9,Curvas_cupon_cero!$1:$1,0)-1,COUNT(Curvas_cupon_cero!$A:$A)-2,1)),[1]!interpolar(B246,OFFSET(Curvas_cupon_cero!$A$1,1,0,COUNT(Curvas_cupon_cero!$A:$A)-2,1),OFFSET(Curvas_cupon_cero!$A$1,1,MATCH($B$9,Curvas_cupon_cero!$1:$1,0)-1,COUNT(Curvas_cupon_cero!$A:$A)-2,1))))</f>
        <v/>
      </c>
      <c r="G246" s="23" t="str">
        <f t="shared" si="34"/>
        <v/>
      </c>
      <c r="H246" s="20" t="str">
        <f t="shared" si="39"/>
        <v/>
      </c>
      <c r="I246" t="str">
        <f t="shared" si="35"/>
        <v/>
      </c>
      <c r="J246" s="17" t="str">
        <f t="shared" si="31"/>
        <v/>
      </c>
      <c r="K246" s="18" t="str">
        <f t="shared" si="36"/>
        <v/>
      </c>
      <c r="L246" t="str">
        <f t="shared" si="37"/>
        <v/>
      </c>
      <c r="M246" s="23" t="str">
        <f ca="1">IF(A246="","",IF($B$10="Sí",interpolar_alamb(L246,OFFSET(Curvas_cupon_cero!$A$1,1,0,COUNT(Curvas_cupon_cero!$A:$A)-2,1),OFFSET(Curvas_cupon_cero!$A$1,1,MATCH($B$6,Curvas_cupon_cero!$1:$1,0)-1,COUNT(Curvas_cupon_cero!$A:$A)-2,1)),[1]!interpolar(L246,OFFSET(Curvas_cupon_cero!$A$1,1,0,COUNT(Curvas_cupon_cero!$A:$A)-2,1),OFFSET(Curvas_cupon_cero!$A$1,1,MATCH($B$6,Curvas_cupon_cero!$1:$1,0)-1,COUNT(Curvas_cupon_cero!$A:$A)-2,1))))</f>
        <v/>
      </c>
      <c r="N246" s="23"/>
      <c r="O246" s="19" t="str">
        <f t="shared" si="38"/>
        <v/>
      </c>
    </row>
    <row r="247" spans="1:15" x14ac:dyDescent="0.2">
      <c r="A247" s="12" t="str">
        <f t="shared" si="32"/>
        <v/>
      </c>
      <c r="B247" t="str">
        <f t="shared" si="30"/>
        <v/>
      </c>
      <c r="C247" s="21" t="str">
        <f ca="1">IF(A247="","",IF($B$10="Sí",interpolar_alamb(B247,OFFSET(Curvas_cupon_cero!$A$1,1,0,COUNT(Curvas_cupon_cero!$A:$A)-2,1),OFFSET(Curvas_cupon_cero!$A$1,1,MATCH($B$8,Curvas_cupon_cero!$1:$1,0)-1,COUNT(Curvas_cupon_cero!$A:$A)-2,1)),[1]!interpolar(B247,OFFSET(Curvas_cupon_cero!$A$1,1,0,COUNT(Curvas_cupon_cero!$A:$A)-2,1),OFFSET(Curvas_cupon_cero!$A$1,1,MATCH($B$8,Curvas_cupon_cero!$1:$1,0)-1,COUNT(Curvas_cupon_cero!$A:$A)-2,1))))</f>
        <v/>
      </c>
      <c r="D247" s="23" t="str">
        <f ca="1">IF(A247="","",IF($B$10="Sí",interpolar_alamb(L247,OFFSET(Curvas_cupon_cero!$A$1,1,0,COUNT(Curvas_cupon_cero!$A:$A)-2,1),OFFSET(Curvas_cupon_cero!$A$1,1,MATCH($B$8,Curvas_cupon_cero!$1:$1,0)-1,COUNT(Curvas_cupon_cero!$A:$A)-2,1)),[1]!interpolar(L247,OFFSET(Curvas_cupon_cero!$A$1,1,0,COUNT(Curvas_cupon_cero!$A:$A)-2,1),OFFSET(Curvas_cupon_cero!$A$1,1,MATCH($B$8,Curvas_cupon_cero!$1:$1,0)-1,COUNT(Curvas_cupon_cero!$A:$A)-2,1))))</f>
        <v/>
      </c>
      <c r="E247" s="23" t="str">
        <f t="shared" si="33"/>
        <v/>
      </c>
      <c r="F247" s="23" t="str">
        <f ca="1">IF(A247="","",IF($B$10="Sí",interpolar_alamb(B247,OFFSET(Curvas_cupon_cero!$A$1,1,0,COUNT(Curvas_cupon_cero!$A:$A)-2,1),OFFSET(Curvas_cupon_cero!$A$1,1,MATCH($B$9,Curvas_cupon_cero!$1:$1,0)-1,COUNT(Curvas_cupon_cero!$A:$A)-2,1)),[1]!interpolar(B247,OFFSET(Curvas_cupon_cero!$A$1,1,0,COUNT(Curvas_cupon_cero!$A:$A)-2,1),OFFSET(Curvas_cupon_cero!$A$1,1,MATCH($B$9,Curvas_cupon_cero!$1:$1,0)-1,COUNT(Curvas_cupon_cero!$A:$A)-2,1))))</f>
        <v/>
      </c>
      <c r="G247" s="23" t="str">
        <f t="shared" si="34"/>
        <v/>
      </c>
      <c r="H247" s="20" t="str">
        <f t="shared" si="39"/>
        <v/>
      </c>
      <c r="I247" t="str">
        <f t="shared" si="35"/>
        <v/>
      </c>
      <c r="J247" s="17" t="str">
        <f t="shared" si="31"/>
        <v/>
      </c>
      <c r="K247" s="18" t="str">
        <f t="shared" si="36"/>
        <v/>
      </c>
      <c r="L247" t="str">
        <f t="shared" si="37"/>
        <v/>
      </c>
      <c r="M247" s="23" t="str">
        <f ca="1">IF(A247="","",IF($B$10="Sí",interpolar_alamb(L247,OFFSET(Curvas_cupon_cero!$A$1,1,0,COUNT(Curvas_cupon_cero!$A:$A)-2,1),OFFSET(Curvas_cupon_cero!$A$1,1,MATCH($B$6,Curvas_cupon_cero!$1:$1,0)-1,COUNT(Curvas_cupon_cero!$A:$A)-2,1)),[1]!interpolar(L247,OFFSET(Curvas_cupon_cero!$A$1,1,0,COUNT(Curvas_cupon_cero!$A:$A)-2,1),OFFSET(Curvas_cupon_cero!$A$1,1,MATCH($B$6,Curvas_cupon_cero!$1:$1,0)-1,COUNT(Curvas_cupon_cero!$A:$A)-2,1))))</f>
        <v/>
      </c>
      <c r="N247" s="23"/>
      <c r="O247" s="19" t="str">
        <f t="shared" si="38"/>
        <v/>
      </c>
    </row>
    <row r="248" spans="1:15" x14ac:dyDescent="0.2">
      <c r="A248" s="12" t="str">
        <f t="shared" si="32"/>
        <v/>
      </c>
      <c r="B248" t="str">
        <f t="shared" si="30"/>
        <v/>
      </c>
      <c r="C248" s="21" t="str">
        <f ca="1">IF(A248="","",IF($B$10="Sí",interpolar_alamb(B248,OFFSET(Curvas_cupon_cero!$A$1,1,0,COUNT(Curvas_cupon_cero!$A:$A)-2,1),OFFSET(Curvas_cupon_cero!$A$1,1,MATCH($B$8,Curvas_cupon_cero!$1:$1,0)-1,COUNT(Curvas_cupon_cero!$A:$A)-2,1)),[1]!interpolar(B248,OFFSET(Curvas_cupon_cero!$A$1,1,0,COUNT(Curvas_cupon_cero!$A:$A)-2,1),OFFSET(Curvas_cupon_cero!$A$1,1,MATCH($B$8,Curvas_cupon_cero!$1:$1,0)-1,COUNT(Curvas_cupon_cero!$A:$A)-2,1))))</f>
        <v/>
      </c>
      <c r="D248" s="23" t="str">
        <f ca="1">IF(A248="","",IF($B$10="Sí",interpolar_alamb(L248,OFFSET(Curvas_cupon_cero!$A$1,1,0,COUNT(Curvas_cupon_cero!$A:$A)-2,1),OFFSET(Curvas_cupon_cero!$A$1,1,MATCH($B$8,Curvas_cupon_cero!$1:$1,0)-1,COUNT(Curvas_cupon_cero!$A:$A)-2,1)),[1]!interpolar(L248,OFFSET(Curvas_cupon_cero!$A$1,1,0,COUNT(Curvas_cupon_cero!$A:$A)-2,1),OFFSET(Curvas_cupon_cero!$A$1,1,MATCH($B$8,Curvas_cupon_cero!$1:$1,0)-1,COUNT(Curvas_cupon_cero!$A:$A)-2,1))))</f>
        <v/>
      </c>
      <c r="E248" s="23" t="str">
        <f t="shared" si="33"/>
        <v/>
      </c>
      <c r="F248" s="23" t="str">
        <f ca="1">IF(A248="","",IF($B$10="Sí",interpolar_alamb(B248,OFFSET(Curvas_cupon_cero!$A$1,1,0,COUNT(Curvas_cupon_cero!$A:$A)-2,1),OFFSET(Curvas_cupon_cero!$A$1,1,MATCH($B$9,Curvas_cupon_cero!$1:$1,0)-1,COUNT(Curvas_cupon_cero!$A:$A)-2,1)),[1]!interpolar(B248,OFFSET(Curvas_cupon_cero!$A$1,1,0,COUNT(Curvas_cupon_cero!$A:$A)-2,1),OFFSET(Curvas_cupon_cero!$A$1,1,MATCH($B$9,Curvas_cupon_cero!$1:$1,0)-1,COUNT(Curvas_cupon_cero!$A:$A)-2,1))))</f>
        <v/>
      </c>
      <c r="G248" s="23" t="str">
        <f t="shared" si="34"/>
        <v/>
      </c>
      <c r="H248" s="20" t="str">
        <f t="shared" si="39"/>
        <v/>
      </c>
      <c r="I248" t="str">
        <f t="shared" si="35"/>
        <v/>
      </c>
      <c r="J248" s="17" t="str">
        <f t="shared" si="31"/>
        <v/>
      </c>
      <c r="K248" s="18" t="str">
        <f t="shared" si="36"/>
        <v/>
      </c>
      <c r="L248" t="str">
        <f t="shared" si="37"/>
        <v/>
      </c>
      <c r="M248" s="23" t="str">
        <f ca="1">IF(A248="","",IF($B$10="Sí",interpolar_alamb(L248,OFFSET(Curvas_cupon_cero!$A$1,1,0,COUNT(Curvas_cupon_cero!$A:$A)-2,1),OFFSET(Curvas_cupon_cero!$A$1,1,MATCH($B$6,Curvas_cupon_cero!$1:$1,0)-1,COUNT(Curvas_cupon_cero!$A:$A)-2,1)),[1]!interpolar(L248,OFFSET(Curvas_cupon_cero!$A$1,1,0,COUNT(Curvas_cupon_cero!$A:$A)-2,1),OFFSET(Curvas_cupon_cero!$A$1,1,MATCH($B$6,Curvas_cupon_cero!$1:$1,0)-1,COUNT(Curvas_cupon_cero!$A:$A)-2,1))))</f>
        <v/>
      </c>
      <c r="N248" s="23"/>
      <c r="O248" s="19" t="str">
        <f t="shared" si="38"/>
        <v/>
      </c>
    </row>
    <row r="249" spans="1:15" x14ac:dyDescent="0.2">
      <c r="A249" s="12" t="str">
        <f t="shared" si="32"/>
        <v/>
      </c>
      <c r="B249" t="str">
        <f t="shared" si="30"/>
        <v/>
      </c>
      <c r="C249" s="21" t="str">
        <f ca="1">IF(A249="","",IF($B$10="Sí",interpolar_alamb(B249,OFFSET(Curvas_cupon_cero!$A$1,1,0,COUNT(Curvas_cupon_cero!$A:$A)-2,1),OFFSET(Curvas_cupon_cero!$A$1,1,MATCH($B$8,Curvas_cupon_cero!$1:$1,0)-1,COUNT(Curvas_cupon_cero!$A:$A)-2,1)),[1]!interpolar(B249,OFFSET(Curvas_cupon_cero!$A$1,1,0,COUNT(Curvas_cupon_cero!$A:$A)-2,1),OFFSET(Curvas_cupon_cero!$A$1,1,MATCH($B$8,Curvas_cupon_cero!$1:$1,0)-1,COUNT(Curvas_cupon_cero!$A:$A)-2,1))))</f>
        <v/>
      </c>
      <c r="D249" s="23" t="str">
        <f ca="1">IF(A249="","",IF($B$10="Sí",interpolar_alamb(L249,OFFSET(Curvas_cupon_cero!$A$1,1,0,COUNT(Curvas_cupon_cero!$A:$A)-2,1),OFFSET(Curvas_cupon_cero!$A$1,1,MATCH($B$8,Curvas_cupon_cero!$1:$1,0)-1,COUNT(Curvas_cupon_cero!$A:$A)-2,1)),[1]!interpolar(L249,OFFSET(Curvas_cupon_cero!$A$1,1,0,COUNT(Curvas_cupon_cero!$A:$A)-2,1),OFFSET(Curvas_cupon_cero!$A$1,1,MATCH($B$8,Curvas_cupon_cero!$1:$1,0)-1,COUNT(Curvas_cupon_cero!$A:$A)-2,1))))</f>
        <v/>
      </c>
      <c r="E249" s="23" t="str">
        <f t="shared" si="33"/>
        <v/>
      </c>
      <c r="F249" s="23" t="str">
        <f ca="1">IF(A249="","",IF($B$10="Sí",interpolar_alamb(B249,OFFSET(Curvas_cupon_cero!$A$1,1,0,COUNT(Curvas_cupon_cero!$A:$A)-2,1),OFFSET(Curvas_cupon_cero!$A$1,1,MATCH($B$9,Curvas_cupon_cero!$1:$1,0)-1,COUNT(Curvas_cupon_cero!$A:$A)-2,1)),[1]!interpolar(B249,OFFSET(Curvas_cupon_cero!$A$1,1,0,COUNT(Curvas_cupon_cero!$A:$A)-2,1),OFFSET(Curvas_cupon_cero!$A$1,1,MATCH($B$9,Curvas_cupon_cero!$1:$1,0)-1,COUNT(Curvas_cupon_cero!$A:$A)-2,1))))</f>
        <v/>
      </c>
      <c r="G249" s="23" t="str">
        <f t="shared" si="34"/>
        <v/>
      </c>
      <c r="H249" s="20" t="str">
        <f t="shared" si="39"/>
        <v/>
      </c>
      <c r="I249" t="str">
        <f t="shared" si="35"/>
        <v/>
      </c>
      <c r="J249" s="17" t="str">
        <f t="shared" si="31"/>
        <v/>
      </c>
      <c r="K249" s="18" t="str">
        <f t="shared" si="36"/>
        <v/>
      </c>
      <c r="L249" t="str">
        <f t="shared" si="37"/>
        <v/>
      </c>
      <c r="M249" s="23" t="str">
        <f ca="1">IF(A249="","",IF($B$10="Sí",interpolar_alamb(L249,OFFSET(Curvas_cupon_cero!$A$1,1,0,COUNT(Curvas_cupon_cero!$A:$A)-2,1),OFFSET(Curvas_cupon_cero!$A$1,1,MATCH($B$6,Curvas_cupon_cero!$1:$1,0)-1,COUNT(Curvas_cupon_cero!$A:$A)-2,1)),[1]!interpolar(L249,OFFSET(Curvas_cupon_cero!$A$1,1,0,COUNT(Curvas_cupon_cero!$A:$A)-2,1),OFFSET(Curvas_cupon_cero!$A$1,1,MATCH($B$6,Curvas_cupon_cero!$1:$1,0)-1,COUNT(Curvas_cupon_cero!$A:$A)-2,1))))</f>
        <v/>
      </c>
      <c r="N249" s="23"/>
      <c r="O249" s="19" t="str">
        <f t="shared" si="38"/>
        <v/>
      </c>
    </row>
    <row r="250" spans="1:15" x14ac:dyDescent="0.2">
      <c r="A250" s="12" t="str">
        <f t="shared" si="32"/>
        <v/>
      </c>
      <c r="B250" t="str">
        <f t="shared" si="30"/>
        <v/>
      </c>
      <c r="C250" s="21" t="str">
        <f ca="1">IF(A250="","",IF($B$10="Sí",interpolar_alamb(B250,OFFSET(Curvas_cupon_cero!$A$1,1,0,COUNT(Curvas_cupon_cero!$A:$A)-2,1),OFFSET(Curvas_cupon_cero!$A$1,1,MATCH($B$8,Curvas_cupon_cero!$1:$1,0)-1,COUNT(Curvas_cupon_cero!$A:$A)-2,1)),[1]!interpolar(B250,OFFSET(Curvas_cupon_cero!$A$1,1,0,COUNT(Curvas_cupon_cero!$A:$A)-2,1),OFFSET(Curvas_cupon_cero!$A$1,1,MATCH($B$8,Curvas_cupon_cero!$1:$1,0)-1,COUNT(Curvas_cupon_cero!$A:$A)-2,1))))</f>
        <v/>
      </c>
      <c r="D250" s="23" t="str">
        <f ca="1">IF(A250="","",IF($B$10="Sí",interpolar_alamb(L250,OFFSET(Curvas_cupon_cero!$A$1,1,0,COUNT(Curvas_cupon_cero!$A:$A)-2,1),OFFSET(Curvas_cupon_cero!$A$1,1,MATCH($B$8,Curvas_cupon_cero!$1:$1,0)-1,COUNT(Curvas_cupon_cero!$A:$A)-2,1)),[1]!interpolar(L250,OFFSET(Curvas_cupon_cero!$A$1,1,0,COUNT(Curvas_cupon_cero!$A:$A)-2,1),OFFSET(Curvas_cupon_cero!$A$1,1,MATCH($B$8,Curvas_cupon_cero!$1:$1,0)-1,COUNT(Curvas_cupon_cero!$A:$A)-2,1))))</f>
        <v/>
      </c>
      <c r="E250" s="23" t="str">
        <f t="shared" si="33"/>
        <v/>
      </c>
      <c r="F250" s="23" t="str">
        <f ca="1">IF(A250="","",IF($B$10="Sí",interpolar_alamb(B250,OFFSET(Curvas_cupon_cero!$A$1,1,0,COUNT(Curvas_cupon_cero!$A:$A)-2,1),OFFSET(Curvas_cupon_cero!$A$1,1,MATCH($B$9,Curvas_cupon_cero!$1:$1,0)-1,COUNT(Curvas_cupon_cero!$A:$A)-2,1)),[1]!interpolar(B250,OFFSET(Curvas_cupon_cero!$A$1,1,0,COUNT(Curvas_cupon_cero!$A:$A)-2,1),OFFSET(Curvas_cupon_cero!$A$1,1,MATCH($B$9,Curvas_cupon_cero!$1:$1,0)-1,COUNT(Curvas_cupon_cero!$A:$A)-2,1))))</f>
        <v/>
      </c>
      <c r="G250" s="23" t="str">
        <f t="shared" si="34"/>
        <v/>
      </c>
      <c r="H250" s="20" t="str">
        <f t="shared" si="39"/>
        <v/>
      </c>
      <c r="I250" t="str">
        <f t="shared" si="35"/>
        <v/>
      </c>
      <c r="J250" s="17" t="str">
        <f t="shared" si="31"/>
        <v/>
      </c>
      <c r="K250" s="18" t="str">
        <f t="shared" si="36"/>
        <v/>
      </c>
      <c r="L250" t="str">
        <f t="shared" si="37"/>
        <v/>
      </c>
      <c r="M250" s="23" t="str">
        <f ca="1">IF(A250="","",IF($B$10="Sí",interpolar_alamb(L250,OFFSET(Curvas_cupon_cero!$A$1,1,0,COUNT(Curvas_cupon_cero!$A:$A)-2,1),OFFSET(Curvas_cupon_cero!$A$1,1,MATCH($B$6,Curvas_cupon_cero!$1:$1,0)-1,COUNT(Curvas_cupon_cero!$A:$A)-2,1)),[1]!interpolar(L250,OFFSET(Curvas_cupon_cero!$A$1,1,0,COUNT(Curvas_cupon_cero!$A:$A)-2,1),OFFSET(Curvas_cupon_cero!$A$1,1,MATCH($B$6,Curvas_cupon_cero!$1:$1,0)-1,COUNT(Curvas_cupon_cero!$A:$A)-2,1))))</f>
        <v/>
      </c>
      <c r="N250" s="23"/>
      <c r="O250" s="19" t="str">
        <f t="shared" si="38"/>
        <v/>
      </c>
    </row>
    <row r="251" spans="1:15" x14ac:dyDescent="0.2">
      <c r="A251" s="12" t="str">
        <f t="shared" si="32"/>
        <v/>
      </c>
      <c r="B251" t="str">
        <f t="shared" si="30"/>
        <v/>
      </c>
      <c r="C251" s="21" t="str">
        <f ca="1">IF(A251="","",IF($B$10="Sí",interpolar_alamb(B251,OFFSET(Curvas_cupon_cero!$A$1,1,0,COUNT(Curvas_cupon_cero!$A:$A)-2,1),OFFSET(Curvas_cupon_cero!$A$1,1,MATCH($B$8,Curvas_cupon_cero!$1:$1,0)-1,COUNT(Curvas_cupon_cero!$A:$A)-2,1)),[1]!interpolar(B251,OFFSET(Curvas_cupon_cero!$A$1,1,0,COUNT(Curvas_cupon_cero!$A:$A)-2,1),OFFSET(Curvas_cupon_cero!$A$1,1,MATCH($B$8,Curvas_cupon_cero!$1:$1,0)-1,COUNT(Curvas_cupon_cero!$A:$A)-2,1))))</f>
        <v/>
      </c>
      <c r="D251" s="23" t="str">
        <f ca="1">IF(A251="","",IF($B$10="Sí",interpolar_alamb(L251,OFFSET(Curvas_cupon_cero!$A$1,1,0,COUNT(Curvas_cupon_cero!$A:$A)-2,1),OFFSET(Curvas_cupon_cero!$A$1,1,MATCH($B$8,Curvas_cupon_cero!$1:$1,0)-1,COUNT(Curvas_cupon_cero!$A:$A)-2,1)),[1]!interpolar(L251,OFFSET(Curvas_cupon_cero!$A$1,1,0,COUNT(Curvas_cupon_cero!$A:$A)-2,1),OFFSET(Curvas_cupon_cero!$A$1,1,MATCH($B$8,Curvas_cupon_cero!$1:$1,0)-1,COUNT(Curvas_cupon_cero!$A:$A)-2,1))))</f>
        <v/>
      </c>
      <c r="E251" s="23" t="str">
        <f t="shared" si="33"/>
        <v/>
      </c>
      <c r="F251" s="23" t="str">
        <f ca="1">IF(A251="","",IF($B$10="Sí",interpolar_alamb(B251,OFFSET(Curvas_cupon_cero!$A$1,1,0,COUNT(Curvas_cupon_cero!$A:$A)-2,1),OFFSET(Curvas_cupon_cero!$A$1,1,MATCH($B$9,Curvas_cupon_cero!$1:$1,0)-1,COUNT(Curvas_cupon_cero!$A:$A)-2,1)),[1]!interpolar(B251,OFFSET(Curvas_cupon_cero!$A$1,1,0,COUNT(Curvas_cupon_cero!$A:$A)-2,1),OFFSET(Curvas_cupon_cero!$A$1,1,MATCH($B$9,Curvas_cupon_cero!$1:$1,0)-1,COUNT(Curvas_cupon_cero!$A:$A)-2,1))))</f>
        <v/>
      </c>
      <c r="G251" s="23" t="str">
        <f t="shared" si="34"/>
        <v/>
      </c>
      <c r="H251" s="20" t="str">
        <f t="shared" si="39"/>
        <v/>
      </c>
      <c r="I251" t="str">
        <f t="shared" si="35"/>
        <v/>
      </c>
      <c r="J251" s="17" t="str">
        <f t="shared" si="31"/>
        <v/>
      </c>
      <c r="K251" s="18" t="str">
        <f t="shared" si="36"/>
        <v/>
      </c>
      <c r="L251" t="str">
        <f t="shared" si="37"/>
        <v/>
      </c>
      <c r="M251" s="23" t="str">
        <f ca="1">IF(A251="","",IF($B$10="Sí",interpolar_alamb(L251,OFFSET(Curvas_cupon_cero!$A$1,1,0,COUNT(Curvas_cupon_cero!$A:$A)-2,1),OFFSET(Curvas_cupon_cero!$A$1,1,MATCH($B$6,Curvas_cupon_cero!$1:$1,0)-1,COUNT(Curvas_cupon_cero!$A:$A)-2,1)),[1]!interpolar(L251,OFFSET(Curvas_cupon_cero!$A$1,1,0,COUNT(Curvas_cupon_cero!$A:$A)-2,1),OFFSET(Curvas_cupon_cero!$A$1,1,MATCH($B$6,Curvas_cupon_cero!$1:$1,0)-1,COUNT(Curvas_cupon_cero!$A:$A)-2,1))))</f>
        <v/>
      </c>
      <c r="N251" s="23"/>
      <c r="O251" s="19" t="str">
        <f t="shared" si="38"/>
        <v/>
      </c>
    </row>
    <row r="252" spans="1:15" x14ac:dyDescent="0.2">
      <c r="A252" s="12" t="str">
        <f t="shared" si="32"/>
        <v/>
      </c>
      <c r="B252" t="str">
        <f t="shared" si="30"/>
        <v/>
      </c>
      <c r="C252" s="21" t="str">
        <f ca="1">IF(A252="","",IF($B$10="Sí",interpolar_alamb(B252,OFFSET(Curvas_cupon_cero!$A$1,1,0,COUNT(Curvas_cupon_cero!$A:$A)-2,1),OFFSET(Curvas_cupon_cero!$A$1,1,MATCH($B$8,Curvas_cupon_cero!$1:$1,0)-1,COUNT(Curvas_cupon_cero!$A:$A)-2,1)),[1]!interpolar(B252,OFFSET(Curvas_cupon_cero!$A$1,1,0,COUNT(Curvas_cupon_cero!$A:$A)-2,1),OFFSET(Curvas_cupon_cero!$A$1,1,MATCH($B$8,Curvas_cupon_cero!$1:$1,0)-1,COUNT(Curvas_cupon_cero!$A:$A)-2,1))))</f>
        <v/>
      </c>
      <c r="D252" s="23" t="str">
        <f ca="1">IF(A252="","",IF($B$10="Sí",interpolar_alamb(L252,OFFSET(Curvas_cupon_cero!$A$1,1,0,COUNT(Curvas_cupon_cero!$A:$A)-2,1),OFFSET(Curvas_cupon_cero!$A$1,1,MATCH($B$8,Curvas_cupon_cero!$1:$1,0)-1,COUNT(Curvas_cupon_cero!$A:$A)-2,1)),[1]!interpolar(L252,OFFSET(Curvas_cupon_cero!$A$1,1,0,COUNT(Curvas_cupon_cero!$A:$A)-2,1),OFFSET(Curvas_cupon_cero!$A$1,1,MATCH($B$8,Curvas_cupon_cero!$1:$1,0)-1,COUNT(Curvas_cupon_cero!$A:$A)-2,1))))</f>
        <v/>
      </c>
      <c r="E252" s="23" t="str">
        <f t="shared" si="33"/>
        <v/>
      </c>
      <c r="F252" s="23" t="str">
        <f ca="1">IF(A252="","",IF($B$10="Sí",interpolar_alamb(B252,OFFSET(Curvas_cupon_cero!$A$1,1,0,COUNT(Curvas_cupon_cero!$A:$A)-2,1),OFFSET(Curvas_cupon_cero!$A$1,1,MATCH($B$9,Curvas_cupon_cero!$1:$1,0)-1,COUNT(Curvas_cupon_cero!$A:$A)-2,1)),[1]!interpolar(B252,OFFSET(Curvas_cupon_cero!$A$1,1,0,COUNT(Curvas_cupon_cero!$A:$A)-2,1),OFFSET(Curvas_cupon_cero!$A$1,1,MATCH($B$9,Curvas_cupon_cero!$1:$1,0)-1,COUNT(Curvas_cupon_cero!$A:$A)-2,1))))</f>
        <v/>
      </c>
      <c r="G252" s="23" t="str">
        <f t="shared" si="34"/>
        <v/>
      </c>
      <c r="H252" s="20" t="str">
        <f t="shared" si="39"/>
        <v/>
      </c>
      <c r="I252" t="str">
        <f t="shared" si="35"/>
        <v/>
      </c>
      <c r="J252" s="17" t="str">
        <f t="shared" si="31"/>
        <v/>
      </c>
      <c r="K252" s="18" t="str">
        <f t="shared" si="36"/>
        <v/>
      </c>
      <c r="L252" t="str">
        <f t="shared" si="37"/>
        <v/>
      </c>
      <c r="M252" s="23" t="str">
        <f ca="1">IF(A252="","",IF($B$10="Sí",interpolar_alamb(L252,OFFSET(Curvas_cupon_cero!$A$1,1,0,COUNT(Curvas_cupon_cero!$A:$A)-2,1),OFFSET(Curvas_cupon_cero!$A$1,1,MATCH($B$6,Curvas_cupon_cero!$1:$1,0)-1,COUNT(Curvas_cupon_cero!$A:$A)-2,1)),[1]!interpolar(L252,OFFSET(Curvas_cupon_cero!$A$1,1,0,COUNT(Curvas_cupon_cero!$A:$A)-2,1),OFFSET(Curvas_cupon_cero!$A$1,1,MATCH($B$6,Curvas_cupon_cero!$1:$1,0)-1,COUNT(Curvas_cupon_cero!$A:$A)-2,1))))</f>
        <v/>
      </c>
      <c r="N252" s="23"/>
      <c r="O252" s="19" t="str">
        <f t="shared" si="38"/>
        <v/>
      </c>
    </row>
    <row r="253" spans="1:15" x14ac:dyDescent="0.2">
      <c r="A253" s="12" t="str">
        <f t="shared" si="32"/>
        <v/>
      </c>
      <c r="B253" t="str">
        <f t="shared" si="30"/>
        <v/>
      </c>
      <c r="C253" s="21" t="str">
        <f ca="1">IF(A253="","",IF($B$10="Sí",interpolar_alamb(B253,OFFSET(Curvas_cupon_cero!$A$1,1,0,COUNT(Curvas_cupon_cero!$A:$A)-2,1),OFFSET(Curvas_cupon_cero!$A$1,1,MATCH($B$8,Curvas_cupon_cero!$1:$1,0)-1,COUNT(Curvas_cupon_cero!$A:$A)-2,1)),[1]!interpolar(B253,OFFSET(Curvas_cupon_cero!$A$1,1,0,COUNT(Curvas_cupon_cero!$A:$A)-2,1),OFFSET(Curvas_cupon_cero!$A$1,1,MATCH($B$8,Curvas_cupon_cero!$1:$1,0)-1,COUNT(Curvas_cupon_cero!$A:$A)-2,1))))</f>
        <v/>
      </c>
      <c r="D253" s="23" t="str">
        <f ca="1">IF(A253="","",IF($B$10="Sí",interpolar_alamb(L253,OFFSET(Curvas_cupon_cero!$A$1,1,0,COUNT(Curvas_cupon_cero!$A:$A)-2,1),OFFSET(Curvas_cupon_cero!$A$1,1,MATCH($B$8,Curvas_cupon_cero!$1:$1,0)-1,COUNT(Curvas_cupon_cero!$A:$A)-2,1)),[1]!interpolar(L253,OFFSET(Curvas_cupon_cero!$A$1,1,0,COUNT(Curvas_cupon_cero!$A:$A)-2,1),OFFSET(Curvas_cupon_cero!$A$1,1,MATCH($B$8,Curvas_cupon_cero!$1:$1,0)-1,COUNT(Curvas_cupon_cero!$A:$A)-2,1))))</f>
        <v/>
      </c>
      <c r="E253" s="23" t="str">
        <f t="shared" si="33"/>
        <v/>
      </c>
      <c r="F253" s="23" t="str">
        <f ca="1">IF(A253="","",IF($B$10="Sí",interpolar_alamb(B253,OFFSET(Curvas_cupon_cero!$A$1,1,0,COUNT(Curvas_cupon_cero!$A:$A)-2,1),OFFSET(Curvas_cupon_cero!$A$1,1,MATCH($B$9,Curvas_cupon_cero!$1:$1,0)-1,COUNT(Curvas_cupon_cero!$A:$A)-2,1)),[1]!interpolar(B253,OFFSET(Curvas_cupon_cero!$A$1,1,0,COUNT(Curvas_cupon_cero!$A:$A)-2,1),OFFSET(Curvas_cupon_cero!$A$1,1,MATCH($B$9,Curvas_cupon_cero!$1:$1,0)-1,COUNT(Curvas_cupon_cero!$A:$A)-2,1))))</f>
        <v/>
      </c>
      <c r="G253" s="23" t="str">
        <f t="shared" si="34"/>
        <v/>
      </c>
      <c r="H253" s="20" t="str">
        <f t="shared" si="39"/>
        <v/>
      </c>
      <c r="I253" t="str">
        <f t="shared" si="35"/>
        <v/>
      </c>
      <c r="J253" s="17" t="str">
        <f t="shared" si="31"/>
        <v/>
      </c>
      <c r="K253" s="18" t="str">
        <f t="shared" si="36"/>
        <v/>
      </c>
      <c r="L253" t="str">
        <f t="shared" si="37"/>
        <v/>
      </c>
      <c r="M253" s="23" t="str">
        <f ca="1">IF(A253="","",IF($B$10="Sí",interpolar_alamb(L253,OFFSET(Curvas_cupon_cero!$A$1,1,0,COUNT(Curvas_cupon_cero!$A:$A)-2,1),OFFSET(Curvas_cupon_cero!$A$1,1,MATCH($B$6,Curvas_cupon_cero!$1:$1,0)-1,COUNT(Curvas_cupon_cero!$A:$A)-2,1)),[1]!interpolar(L253,OFFSET(Curvas_cupon_cero!$A$1,1,0,COUNT(Curvas_cupon_cero!$A:$A)-2,1),OFFSET(Curvas_cupon_cero!$A$1,1,MATCH($B$6,Curvas_cupon_cero!$1:$1,0)-1,COUNT(Curvas_cupon_cero!$A:$A)-2,1))))</f>
        <v/>
      </c>
      <c r="N253" s="23"/>
      <c r="O253" s="19" t="str">
        <f t="shared" si="38"/>
        <v/>
      </c>
    </row>
    <row r="254" spans="1:15" x14ac:dyDescent="0.2">
      <c r="A254" s="12" t="str">
        <f t="shared" si="32"/>
        <v/>
      </c>
      <c r="B254" t="str">
        <f t="shared" si="30"/>
        <v/>
      </c>
      <c r="C254" s="21" t="str">
        <f ca="1">IF(A254="","",IF($B$10="Sí",interpolar_alamb(B254,OFFSET(Curvas_cupon_cero!$A$1,1,0,COUNT(Curvas_cupon_cero!$A:$A)-2,1),OFFSET(Curvas_cupon_cero!$A$1,1,MATCH($B$8,Curvas_cupon_cero!$1:$1,0)-1,COUNT(Curvas_cupon_cero!$A:$A)-2,1)),[1]!interpolar(B254,OFFSET(Curvas_cupon_cero!$A$1,1,0,COUNT(Curvas_cupon_cero!$A:$A)-2,1),OFFSET(Curvas_cupon_cero!$A$1,1,MATCH($B$8,Curvas_cupon_cero!$1:$1,0)-1,COUNT(Curvas_cupon_cero!$A:$A)-2,1))))</f>
        <v/>
      </c>
      <c r="D254" s="23" t="str">
        <f ca="1">IF(A254="","",IF($B$10="Sí",interpolar_alamb(L254,OFFSET(Curvas_cupon_cero!$A$1,1,0,COUNT(Curvas_cupon_cero!$A:$A)-2,1),OFFSET(Curvas_cupon_cero!$A$1,1,MATCH($B$8,Curvas_cupon_cero!$1:$1,0)-1,COUNT(Curvas_cupon_cero!$A:$A)-2,1)),[1]!interpolar(L254,OFFSET(Curvas_cupon_cero!$A$1,1,0,COUNT(Curvas_cupon_cero!$A:$A)-2,1),OFFSET(Curvas_cupon_cero!$A$1,1,MATCH($B$8,Curvas_cupon_cero!$1:$1,0)-1,COUNT(Curvas_cupon_cero!$A:$A)-2,1))))</f>
        <v/>
      </c>
      <c r="E254" s="23" t="str">
        <f t="shared" si="33"/>
        <v/>
      </c>
      <c r="F254" s="23" t="str">
        <f ca="1">IF(A254="","",IF($B$10="Sí",interpolar_alamb(B254,OFFSET(Curvas_cupon_cero!$A$1,1,0,COUNT(Curvas_cupon_cero!$A:$A)-2,1),OFFSET(Curvas_cupon_cero!$A$1,1,MATCH($B$9,Curvas_cupon_cero!$1:$1,0)-1,COUNT(Curvas_cupon_cero!$A:$A)-2,1)),[1]!interpolar(B254,OFFSET(Curvas_cupon_cero!$A$1,1,0,COUNT(Curvas_cupon_cero!$A:$A)-2,1),OFFSET(Curvas_cupon_cero!$A$1,1,MATCH($B$9,Curvas_cupon_cero!$1:$1,0)-1,COUNT(Curvas_cupon_cero!$A:$A)-2,1))))</f>
        <v/>
      </c>
      <c r="G254" s="23" t="str">
        <f t="shared" si="34"/>
        <v/>
      </c>
      <c r="H254" s="20" t="str">
        <f t="shared" si="39"/>
        <v/>
      </c>
      <c r="I254" t="str">
        <f t="shared" si="35"/>
        <v/>
      </c>
      <c r="J254" s="17" t="str">
        <f t="shared" si="31"/>
        <v/>
      </c>
      <c r="K254" s="18" t="str">
        <f t="shared" si="36"/>
        <v/>
      </c>
      <c r="L254" t="str">
        <f t="shared" si="37"/>
        <v/>
      </c>
      <c r="M254" s="23" t="str">
        <f ca="1">IF(A254="","",IF($B$10="Sí",interpolar_alamb(L254,OFFSET(Curvas_cupon_cero!$A$1,1,0,COUNT(Curvas_cupon_cero!$A:$A)-2,1),OFFSET(Curvas_cupon_cero!$A$1,1,MATCH($B$6,Curvas_cupon_cero!$1:$1,0)-1,COUNT(Curvas_cupon_cero!$A:$A)-2,1)),[1]!interpolar(L254,OFFSET(Curvas_cupon_cero!$A$1,1,0,COUNT(Curvas_cupon_cero!$A:$A)-2,1),OFFSET(Curvas_cupon_cero!$A$1,1,MATCH($B$6,Curvas_cupon_cero!$1:$1,0)-1,COUNT(Curvas_cupon_cero!$A:$A)-2,1))))</f>
        <v/>
      </c>
      <c r="N254" s="23"/>
      <c r="O254" s="19" t="str">
        <f t="shared" si="38"/>
        <v/>
      </c>
    </row>
    <row r="255" spans="1:15" x14ac:dyDescent="0.2">
      <c r="A255" s="12" t="str">
        <f t="shared" si="32"/>
        <v/>
      </c>
      <c r="B255" t="str">
        <f t="shared" si="30"/>
        <v/>
      </c>
      <c r="C255" s="21" t="str">
        <f ca="1">IF(A255="","",IF($B$10="Sí",interpolar_alamb(B255,OFFSET(Curvas_cupon_cero!$A$1,1,0,COUNT(Curvas_cupon_cero!$A:$A)-2,1),OFFSET(Curvas_cupon_cero!$A$1,1,MATCH($B$8,Curvas_cupon_cero!$1:$1,0)-1,COUNT(Curvas_cupon_cero!$A:$A)-2,1)),[1]!interpolar(B255,OFFSET(Curvas_cupon_cero!$A$1,1,0,COUNT(Curvas_cupon_cero!$A:$A)-2,1),OFFSET(Curvas_cupon_cero!$A$1,1,MATCH($B$8,Curvas_cupon_cero!$1:$1,0)-1,COUNT(Curvas_cupon_cero!$A:$A)-2,1))))</f>
        <v/>
      </c>
      <c r="D255" s="23" t="str">
        <f ca="1">IF(A255="","",IF($B$10="Sí",interpolar_alamb(L255,OFFSET(Curvas_cupon_cero!$A$1,1,0,COUNT(Curvas_cupon_cero!$A:$A)-2,1),OFFSET(Curvas_cupon_cero!$A$1,1,MATCH($B$8,Curvas_cupon_cero!$1:$1,0)-1,COUNT(Curvas_cupon_cero!$A:$A)-2,1)),[1]!interpolar(L255,OFFSET(Curvas_cupon_cero!$A$1,1,0,COUNT(Curvas_cupon_cero!$A:$A)-2,1),OFFSET(Curvas_cupon_cero!$A$1,1,MATCH($B$8,Curvas_cupon_cero!$1:$1,0)-1,COUNT(Curvas_cupon_cero!$A:$A)-2,1))))</f>
        <v/>
      </c>
      <c r="E255" s="23" t="str">
        <f t="shared" si="33"/>
        <v/>
      </c>
      <c r="F255" s="23" t="str">
        <f ca="1">IF(A255="","",IF($B$10="Sí",interpolar_alamb(B255,OFFSET(Curvas_cupon_cero!$A$1,1,0,COUNT(Curvas_cupon_cero!$A:$A)-2,1),OFFSET(Curvas_cupon_cero!$A$1,1,MATCH($B$9,Curvas_cupon_cero!$1:$1,0)-1,COUNT(Curvas_cupon_cero!$A:$A)-2,1)),[1]!interpolar(B255,OFFSET(Curvas_cupon_cero!$A$1,1,0,COUNT(Curvas_cupon_cero!$A:$A)-2,1),OFFSET(Curvas_cupon_cero!$A$1,1,MATCH($B$9,Curvas_cupon_cero!$1:$1,0)-1,COUNT(Curvas_cupon_cero!$A:$A)-2,1))))</f>
        <v/>
      </c>
      <c r="G255" s="23" t="str">
        <f t="shared" si="34"/>
        <v/>
      </c>
      <c r="H255" s="20" t="str">
        <f t="shared" si="39"/>
        <v/>
      </c>
      <c r="I255" t="str">
        <f t="shared" si="35"/>
        <v/>
      </c>
      <c r="J255" s="17" t="str">
        <f t="shared" si="31"/>
        <v/>
      </c>
      <c r="K255" s="18" t="str">
        <f t="shared" si="36"/>
        <v/>
      </c>
      <c r="L255" t="str">
        <f t="shared" si="37"/>
        <v/>
      </c>
      <c r="M255" s="23" t="str">
        <f ca="1">IF(A255="","",IF($B$10="Sí",interpolar_alamb(L255,OFFSET(Curvas_cupon_cero!$A$1,1,0,COUNT(Curvas_cupon_cero!$A:$A)-2,1),OFFSET(Curvas_cupon_cero!$A$1,1,MATCH($B$6,Curvas_cupon_cero!$1:$1,0)-1,COUNT(Curvas_cupon_cero!$A:$A)-2,1)),[1]!interpolar(L255,OFFSET(Curvas_cupon_cero!$A$1,1,0,COUNT(Curvas_cupon_cero!$A:$A)-2,1),OFFSET(Curvas_cupon_cero!$A$1,1,MATCH($B$6,Curvas_cupon_cero!$1:$1,0)-1,COUNT(Curvas_cupon_cero!$A:$A)-2,1))))</f>
        <v/>
      </c>
      <c r="N255" s="23"/>
      <c r="O255" s="19" t="str">
        <f t="shared" si="38"/>
        <v/>
      </c>
    </row>
    <row r="256" spans="1:15" x14ac:dyDescent="0.2">
      <c r="A256" s="12" t="str">
        <f t="shared" si="32"/>
        <v/>
      </c>
      <c r="B256" t="str">
        <f t="shared" si="30"/>
        <v/>
      </c>
      <c r="C256" s="21" t="str">
        <f ca="1">IF(A256="","",IF($B$10="Sí",interpolar_alamb(B256,OFFSET(Curvas_cupon_cero!$A$1,1,0,COUNT(Curvas_cupon_cero!$A:$A)-2,1),OFFSET(Curvas_cupon_cero!$A$1,1,MATCH($B$8,Curvas_cupon_cero!$1:$1,0)-1,COUNT(Curvas_cupon_cero!$A:$A)-2,1)),[1]!interpolar(B256,OFFSET(Curvas_cupon_cero!$A$1,1,0,COUNT(Curvas_cupon_cero!$A:$A)-2,1),OFFSET(Curvas_cupon_cero!$A$1,1,MATCH($B$8,Curvas_cupon_cero!$1:$1,0)-1,COUNT(Curvas_cupon_cero!$A:$A)-2,1))))</f>
        <v/>
      </c>
      <c r="D256" s="23" t="str">
        <f ca="1">IF(A256="","",IF($B$10="Sí",interpolar_alamb(L256,OFFSET(Curvas_cupon_cero!$A$1,1,0,COUNT(Curvas_cupon_cero!$A:$A)-2,1),OFFSET(Curvas_cupon_cero!$A$1,1,MATCH($B$8,Curvas_cupon_cero!$1:$1,0)-1,COUNT(Curvas_cupon_cero!$A:$A)-2,1)),[1]!interpolar(L256,OFFSET(Curvas_cupon_cero!$A$1,1,0,COUNT(Curvas_cupon_cero!$A:$A)-2,1),OFFSET(Curvas_cupon_cero!$A$1,1,MATCH($B$8,Curvas_cupon_cero!$1:$1,0)-1,COUNT(Curvas_cupon_cero!$A:$A)-2,1))))</f>
        <v/>
      </c>
      <c r="E256" s="23" t="str">
        <f t="shared" si="33"/>
        <v/>
      </c>
      <c r="F256" s="23" t="str">
        <f ca="1">IF(A256="","",IF($B$10="Sí",interpolar_alamb(B256,OFFSET(Curvas_cupon_cero!$A$1,1,0,COUNT(Curvas_cupon_cero!$A:$A)-2,1),OFFSET(Curvas_cupon_cero!$A$1,1,MATCH($B$9,Curvas_cupon_cero!$1:$1,0)-1,COUNT(Curvas_cupon_cero!$A:$A)-2,1)),[1]!interpolar(B256,OFFSET(Curvas_cupon_cero!$A$1,1,0,COUNT(Curvas_cupon_cero!$A:$A)-2,1),OFFSET(Curvas_cupon_cero!$A$1,1,MATCH($B$9,Curvas_cupon_cero!$1:$1,0)-1,COUNT(Curvas_cupon_cero!$A:$A)-2,1))))</f>
        <v/>
      </c>
      <c r="G256" s="23" t="str">
        <f t="shared" si="34"/>
        <v/>
      </c>
      <c r="H256" s="20" t="str">
        <f t="shared" si="39"/>
        <v/>
      </c>
      <c r="I256" t="str">
        <f t="shared" si="35"/>
        <v/>
      </c>
      <c r="J256" s="17" t="str">
        <f t="shared" si="31"/>
        <v/>
      </c>
      <c r="K256" s="18" t="str">
        <f t="shared" si="36"/>
        <v/>
      </c>
      <c r="L256" t="str">
        <f t="shared" si="37"/>
        <v/>
      </c>
      <c r="M256" s="23" t="str">
        <f ca="1">IF(A256="","",IF($B$10="Sí",interpolar_alamb(L256,OFFSET(Curvas_cupon_cero!$A$1,1,0,COUNT(Curvas_cupon_cero!$A:$A)-2,1),OFFSET(Curvas_cupon_cero!$A$1,1,MATCH($B$6,Curvas_cupon_cero!$1:$1,0)-1,COUNT(Curvas_cupon_cero!$A:$A)-2,1)),[1]!interpolar(L256,OFFSET(Curvas_cupon_cero!$A$1,1,0,COUNT(Curvas_cupon_cero!$A:$A)-2,1),OFFSET(Curvas_cupon_cero!$A$1,1,MATCH($B$6,Curvas_cupon_cero!$1:$1,0)-1,COUNT(Curvas_cupon_cero!$A:$A)-2,1))))</f>
        <v/>
      </c>
      <c r="N256" s="23"/>
      <c r="O256" s="19" t="str">
        <f t="shared" si="38"/>
        <v/>
      </c>
    </row>
    <row r="257" spans="1:15" x14ac:dyDescent="0.2">
      <c r="A257" s="12" t="str">
        <f t="shared" si="32"/>
        <v/>
      </c>
      <c r="B257" t="str">
        <f t="shared" si="30"/>
        <v/>
      </c>
      <c r="C257" s="21" t="str">
        <f ca="1">IF(A257="","",IF($B$10="Sí",interpolar_alamb(B257,OFFSET(Curvas_cupon_cero!$A$1,1,0,COUNT(Curvas_cupon_cero!$A:$A)-2,1),OFFSET(Curvas_cupon_cero!$A$1,1,MATCH($B$8,Curvas_cupon_cero!$1:$1,0)-1,COUNT(Curvas_cupon_cero!$A:$A)-2,1)),[1]!interpolar(B257,OFFSET(Curvas_cupon_cero!$A$1,1,0,COUNT(Curvas_cupon_cero!$A:$A)-2,1),OFFSET(Curvas_cupon_cero!$A$1,1,MATCH($B$8,Curvas_cupon_cero!$1:$1,0)-1,COUNT(Curvas_cupon_cero!$A:$A)-2,1))))</f>
        <v/>
      </c>
      <c r="D257" s="23" t="str">
        <f ca="1">IF(A257="","",IF($B$10="Sí",interpolar_alamb(L257,OFFSET(Curvas_cupon_cero!$A$1,1,0,COUNT(Curvas_cupon_cero!$A:$A)-2,1),OFFSET(Curvas_cupon_cero!$A$1,1,MATCH($B$8,Curvas_cupon_cero!$1:$1,0)-1,COUNT(Curvas_cupon_cero!$A:$A)-2,1)),[1]!interpolar(L257,OFFSET(Curvas_cupon_cero!$A$1,1,0,COUNT(Curvas_cupon_cero!$A:$A)-2,1),OFFSET(Curvas_cupon_cero!$A$1,1,MATCH($B$8,Curvas_cupon_cero!$1:$1,0)-1,COUNT(Curvas_cupon_cero!$A:$A)-2,1))))</f>
        <v/>
      </c>
      <c r="E257" s="23" t="str">
        <f t="shared" si="33"/>
        <v/>
      </c>
      <c r="F257" s="23" t="str">
        <f ca="1">IF(A257="","",IF($B$10="Sí",interpolar_alamb(B257,OFFSET(Curvas_cupon_cero!$A$1,1,0,COUNT(Curvas_cupon_cero!$A:$A)-2,1),OFFSET(Curvas_cupon_cero!$A$1,1,MATCH($B$9,Curvas_cupon_cero!$1:$1,0)-1,COUNT(Curvas_cupon_cero!$A:$A)-2,1)),[1]!interpolar(B257,OFFSET(Curvas_cupon_cero!$A$1,1,0,COUNT(Curvas_cupon_cero!$A:$A)-2,1),OFFSET(Curvas_cupon_cero!$A$1,1,MATCH($B$9,Curvas_cupon_cero!$1:$1,0)-1,COUNT(Curvas_cupon_cero!$A:$A)-2,1))))</f>
        <v/>
      </c>
      <c r="G257" s="23" t="str">
        <f t="shared" si="34"/>
        <v/>
      </c>
      <c r="H257" s="20" t="str">
        <f t="shared" si="39"/>
        <v/>
      </c>
      <c r="I257" t="str">
        <f t="shared" si="35"/>
        <v/>
      </c>
      <c r="J257" s="17" t="str">
        <f t="shared" si="31"/>
        <v/>
      </c>
      <c r="K257" s="18" t="str">
        <f t="shared" si="36"/>
        <v/>
      </c>
      <c r="L257" t="str">
        <f t="shared" si="37"/>
        <v/>
      </c>
      <c r="M257" s="23" t="str">
        <f ca="1">IF(A257="","",IF($B$10="Sí",interpolar_alamb(L257,OFFSET(Curvas_cupon_cero!$A$1,1,0,COUNT(Curvas_cupon_cero!$A:$A)-2,1),OFFSET(Curvas_cupon_cero!$A$1,1,MATCH($B$6,Curvas_cupon_cero!$1:$1,0)-1,COUNT(Curvas_cupon_cero!$A:$A)-2,1)),[1]!interpolar(L257,OFFSET(Curvas_cupon_cero!$A$1,1,0,COUNT(Curvas_cupon_cero!$A:$A)-2,1),OFFSET(Curvas_cupon_cero!$A$1,1,MATCH($B$6,Curvas_cupon_cero!$1:$1,0)-1,COUNT(Curvas_cupon_cero!$A:$A)-2,1))))</f>
        <v/>
      </c>
      <c r="N257" s="23"/>
      <c r="O257" s="19" t="str">
        <f t="shared" si="38"/>
        <v/>
      </c>
    </row>
    <row r="258" spans="1:15" x14ac:dyDescent="0.2">
      <c r="A258" s="12" t="str">
        <f t="shared" si="32"/>
        <v/>
      </c>
      <c r="B258" t="str">
        <f t="shared" si="30"/>
        <v/>
      </c>
      <c r="C258" s="21" t="str">
        <f ca="1">IF(A258="","",IF($B$10="Sí",interpolar_alamb(B258,OFFSET(Curvas_cupon_cero!$A$1,1,0,COUNT(Curvas_cupon_cero!$A:$A)-2,1),OFFSET(Curvas_cupon_cero!$A$1,1,MATCH($B$8,Curvas_cupon_cero!$1:$1,0)-1,COUNT(Curvas_cupon_cero!$A:$A)-2,1)),[1]!interpolar(B258,OFFSET(Curvas_cupon_cero!$A$1,1,0,COUNT(Curvas_cupon_cero!$A:$A)-2,1),OFFSET(Curvas_cupon_cero!$A$1,1,MATCH($B$8,Curvas_cupon_cero!$1:$1,0)-1,COUNT(Curvas_cupon_cero!$A:$A)-2,1))))</f>
        <v/>
      </c>
      <c r="D258" s="23" t="str">
        <f ca="1">IF(A258="","",IF($B$10="Sí",interpolar_alamb(L258,OFFSET(Curvas_cupon_cero!$A$1,1,0,COUNT(Curvas_cupon_cero!$A:$A)-2,1),OFFSET(Curvas_cupon_cero!$A$1,1,MATCH($B$8,Curvas_cupon_cero!$1:$1,0)-1,COUNT(Curvas_cupon_cero!$A:$A)-2,1)),[1]!interpolar(L258,OFFSET(Curvas_cupon_cero!$A$1,1,0,COUNT(Curvas_cupon_cero!$A:$A)-2,1),OFFSET(Curvas_cupon_cero!$A$1,1,MATCH($B$8,Curvas_cupon_cero!$1:$1,0)-1,COUNT(Curvas_cupon_cero!$A:$A)-2,1))))</f>
        <v/>
      </c>
      <c r="E258" s="23" t="str">
        <f t="shared" si="33"/>
        <v/>
      </c>
      <c r="F258" s="23" t="str">
        <f ca="1">IF(A258="","",IF($B$10="Sí",interpolar_alamb(B258,OFFSET(Curvas_cupon_cero!$A$1,1,0,COUNT(Curvas_cupon_cero!$A:$A)-2,1),OFFSET(Curvas_cupon_cero!$A$1,1,MATCH($B$9,Curvas_cupon_cero!$1:$1,0)-1,COUNT(Curvas_cupon_cero!$A:$A)-2,1)),[1]!interpolar(B258,OFFSET(Curvas_cupon_cero!$A$1,1,0,COUNT(Curvas_cupon_cero!$A:$A)-2,1),OFFSET(Curvas_cupon_cero!$A$1,1,MATCH($B$9,Curvas_cupon_cero!$1:$1,0)-1,COUNT(Curvas_cupon_cero!$A:$A)-2,1))))</f>
        <v/>
      </c>
      <c r="G258" s="23" t="str">
        <f t="shared" si="34"/>
        <v/>
      </c>
      <c r="H258" s="20" t="str">
        <f t="shared" si="39"/>
        <v/>
      </c>
      <c r="I258" t="str">
        <f t="shared" si="35"/>
        <v/>
      </c>
      <c r="J258" s="17" t="str">
        <f t="shared" si="31"/>
        <v/>
      </c>
      <c r="K258" s="18" t="str">
        <f t="shared" si="36"/>
        <v/>
      </c>
      <c r="L258" t="str">
        <f t="shared" si="37"/>
        <v/>
      </c>
      <c r="M258" s="23" t="str">
        <f ca="1">IF(A258="","",IF($B$10="Sí",interpolar_alamb(L258,OFFSET(Curvas_cupon_cero!$A$1,1,0,COUNT(Curvas_cupon_cero!$A:$A)-2,1),OFFSET(Curvas_cupon_cero!$A$1,1,MATCH($B$6,Curvas_cupon_cero!$1:$1,0)-1,COUNT(Curvas_cupon_cero!$A:$A)-2,1)),[1]!interpolar(L258,OFFSET(Curvas_cupon_cero!$A$1,1,0,COUNT(Curvas_cupon_cero!$A:$A)-2,1),OFFSET(Curvas_cupon_cero!$A$1,1,MATCH($B$6,Curvas_cupon_cero!$1:$1,0)-1,COUNT(Curvas_cupon_cero!$A:$A)-2,1))))</f>
        <v/>
      </c>
      <c r="N258" s="23"/>
      <c r="O258" s="19" t="str">
        <f t="shared" si="38"/>
        <v/>
      </c>
    </row>
    <row r="259" spans="1:15" x14ac:dyDescent="0.2">
      <c r="A259" s="12" t="str">
        <f t="shared" si="32"/>
        <v/>
      </c>
      <c r="B259" t="str">
        <f t="shared" si="30"/>
        <v/>
      </c>
      <c r="C259" s="21" t="str">
        <f ca="1">IF(A259="","",IF($B$10="Sí",interpolar_alamb(B259,OFFSET(Curvas_cupon_cero!$A$1,1,0,COUNT(Curvas_cupon_cero!$A:$A)-2,1),OFFSET(Curvas_cupon_cero!$A$1,1,MATCH($B$8,Curvas_cupon_cero!$1:$1,0)-1,COUNT(Curvas_cupon_cero!$A:$A)-2,1)),[1]!interpolar(B259,OFFSET(Curvas_cupon_cero!$A$1,1,0,COUNT(Curvas_cupon_cero!$A:$A)-2,1),OFFSET(Curvas_cupon_cero!$A$1,1,MATCH($B$8,Curvas_cupon_cero!$1:$1,0)-1,COUNT(Curvas_cupon_cero!$A:$A)-2,1))))</f>
        <v/>
      </c>
      <c r="D259" s="23" t="str">
        <f ca="1">IF(A259="","",IF($B$10="Sí",interpolar_alamb(L259,OFFSET(Curvas_cupon_cero!$A$1,1,0,COUNT(Curvas_cupon_cero!$A:$A)-2,1),OFFSET(Curvas_cupon_cero!$A$1,1,MATCH($B$8,Curvas_cupon_cero!$1:$1,0)-1,COUNT(Curvas_cupon_cero!$A:$A)-2,1)),[1]!interpolar(L259,OFFSET(Curvas_cupon_cero!$A$1,1,0,COUNT(Curvas_cupon_cero!$A:$A)-2,1),OFFSET(Curvas_cupon_cero!$A$1,1,MATCH($B$8,Curvas_cupon_cero!$1:$1,0)-1,COUNT(Curvas_cupon_cero!$A:$A)-2,1))))</f>
        <v/>
      </c>
      <c r="E259" s="23" t="str">
        <f t="shared" si="33"/>
        <v/>
      </c>
      <c r="F259" s="23" t="str">
        <f ca="1">IF(A259="","",IF($B$10="Sí",interpolar_alamb(B259,OFFSET(Curvas_cupon_cero!$A$1,1,0,COUNT(Curvas_cupon_cero!$A:$A)-2,1),OFFSET(Curvas_cupon_cero!$A$1,1,MATCH($B$9,Curvas_cupon_cero!$1:$1,0)-1,COUNT(Curvas_cupon_cero!$A:$A)-2,1)),[1]!interpolar(B259,OFFSET(Curvas_cupon_cero!$A$1,1,0,COUNT(Curvas_cupon_cero!$A:$A)-2,1),OFFSET(Curvas_cupon_cero!$A$1,1,MATCH($B$9,Curvas_cupon_cero!$1:$1,0)-1,COUNT(Curvas_cupon_cero!$A:$A)-2,1))))</f>
        <v/>
      </c>
      <c r="G259" s="23" t="str">
        <f t="shared" si="34"/>
        <v/>
      </c>
      <c r="H259" s="20" t="str">
        <f t="shared" si="39"/>
        <v/>
      </c>
      <c r="I259" t="str">
        <f t="shared" si="35"/>
        <v/>
      </c>
      <c r="J259" s="17" t="str">
        <f t="shared" si="31"/>
        <v/>
      </c>
      <c r="K259" s="18" t="str">
        <f t="shared" si="36"/>
        <v/>
      </c>
      <c r="L259" t="str">
        <f t="shared" si="37"/>
        <v/>
      </c>
      <c r="M259" s="23" t="str">
        <f ca="1">IF(A259="","",IF($B$10="Sí",interpolar_alamb(L259,OFFSET(Curvas_cupon_cero!$A$1,1,0,COUNT(Curvas_cupon_cero!$A:$A)-2,1),OFFSET(Curvas_cupon_cero!$A$1,1,MATCH($B$6,Curvas_cupon_cero!$1:$1,0)-1,COUNT(Curvas_cupon_cero!$A:$A)-2,1)),[1]!interpolar(L259,OFFSET(Curvas_cupon_cero!$A$1,1,0,COUNT(Curvas_cupon_cero!$A:$A)-2,1),OFFSET(Curvas_cupon_cero!$A$1,1,MATCH($B$6,Curvas_cupon_cero!$1:$1,0)-1,COUNT(Curvas_cupon_cero!$A:$A)-2,1))))</f>
        <v/>
      </c>
      <c r="N259" s="23"/>
      <c r="O259" s="19" t="str">
        <f t="shared" si="38"/>
        <v/>
      </c>
    </row>
    <row r="260" spans="1:15" x14ac:dyDescent="0.2">
      <c r="A260" s="12" t="str">
        <f t="shared" si="32"/>
        <v/>
      </c>
      <c r="B260" t="str">
        <f t="shared" si="30"/>
        <v/>
      </c>
      <c r="C260" s="21" t="str">
        <f ca="1">IF(A260="","",IF($B$10="Sí",interpolar_alamb(B260,OFFSET(Curvas_cupon_cero!$A$1,1,0,COUNT(Curvas_cupon_cero!$A:$A)-2,1),OFFSET(Curvas_cupon_cero!$A$1,1,MATCH($B$8,Curvas_cupon_cero!$1:$1,0)-1,COUNT(Curvas_cupon_cero!$A:$A)-2,1)),[1]!interpolar(B260,OFFSET(Curvas_cupon_cero!$A$1,1,0,COUNT(Curvas_cupon_cero!$A:$A)-2,1),OFFSET(Curvas_cupon_cero!$A$1,1,MATCH($B$8,Curvas_cupon_cero!$1:$1,0)-1,COUNT(Curvas_cupon_cero!$A:$A)-2,1))))</f>
        <v/>
      </c>
      <c r="D260" s="23" t="str">
        <f ca="1">IF(A260="","",IF($B$10="Sí",interpolar_alamb(L260,OFFSET(Curvas_cupon_cero!$A$1,1,0,COUNT(Curvas_cupon_cero!$A:$A)-2,1),OFFSET(Curvas_cupon_cero!$A$1,1,MATCH($B$8,Curvas_cupon_cero!$1:$1,0)-1,COUNT(Curvas_cupon_cero!$A:$A)-2,1)),[1]!interpolar(L260,OFFSET(Curvas_cupon_cero!$A$1,1,0,COUNT(Curvas_cupon_cero!$A:$A)-2,1),OFFSET(Curvas_cupon_cero!$A$1,1,MATCH($B$8,Curvas_cupon_cero!$1:$1,0)-1,COUNT(Curvas_cupon_cero!$A:$A)-2,1))))</f>
        <v/>
      </c>
      <c r="E260" s="23" t="str">
        <f t="shared" si="33"/>
        <v/>
      </c>
      <c r="F260" s="23" t="str">
        <f ca="1">IF(A260="","",IF($B$10="Sí",interpolar_alamb(B260,OFFSET(Curvas_cupon_cero!$A$1,1,0,COUNT(Curvas_cupon_cero!$A:$A)-2,1),OFFSET(Curvas_cupon_cero!$A$1,1,MATCH($B$9,Curvas_cupon_cero!$1:$1,0)-1,COUNT(Curvas_cupon_cero!$A:$A)-2,1)),[1]!interpolar(B260,OFFSET(Curvas_cupon_cero!$A$1,1,0,COUNT(Curvas_cupon_cero!$A:$A)-2,1),OFFSET(Curvas_cupon_cero!$A$1,1,MATCH($B$9,Curvas_cupon_cero!$1:$1,0)-1,COUNT(Curvas_cupon_cero!$A:$A)-2,1))))</f>
        <v/>
      </c>
      <c r="G260" s="23" t="str">
        <f t="shared" si="34"/>
        <v/>
      </c>
      <c r="H260" s="20" t="str">
        <f t="shared" si="39"/>
        <v/>
      </c>
      <c r="I260" t="str">
        <f t="shared" si="35"/>
        <v/>
      </c>
      <c r="J260" s="17" t="str">
        <f t="shared" si="31"/>
        <v/>
      </c>
      <c r="K260" s="18" t="str">
        <f t="shared" si="36"/>
        <v/>
      </c>
      <c r="L260" t="str">
        <f t="shared" si="37"/>
        <v/>
      </c>
      <c r="M260" s="23" t="str">
        <f ca="1">IF(A260="","",IF($B$10="Sí",interpolar_alamb(L260,OFFSET(Curvas_cupon_cero!$A$1,1,0,COUNT(Curvas_cupon_cero!$A:$A)-2,1),OFFSET(Curvas_cupon_cero!$A$1,1,MATCH($B$6,Curvas_cupon_cero!$1:$1,0)-1,COUNT(Curvas_cupon_cero!$A:$A)-2,1)),[1]!interpolar(L260,OFFSET(Curvas_cupon_cero!$A$1,1,0,COUNT(Curvas_cupon_cero!$A:$A)-2,1),OFFSET(Curvas_cupon_cero!$A$1,1,MATCH($B$6,Curvas_cupon_cero!$1:$1,0)-1,COUNT(Curvas_cupon_cero!$A:$A)-2,1))))</f>
        <v/>
      </c>
      <c r="N260" s="23"/>
      <c r="O260" s="19" t="str">
        <f t="shared" si="38"/>
        <v/>
      </c>
    </row>
    <row r="261" spans="1:15" x14ac:dyDescent="0.2">
      <c r="A261" s="12" t="str">
        <f t="shared" si="32"/>
        <v/>
      </c>
      <c r="B261" t="str">
        <f t="shared" si="30"/>
        <v/>
      </c>
      <c r="C261" s="21" t="str">
        <f ca="1">IF(A261="","",IF($B$10="Sí",interpolar_alamb(B261,OFFSET(Curvas_cupon_cero!$A$1,1,0,COUNT(Curvas_cupon_cero!$A:$A)-2,1),OFFSET(Curvas_cupon_cero!$A$1,1,MATCH($B$8,Curvas_cupon_cero!$1:$1,0)-1,COUNT(Curvas_cupon_cero!$A:$A)-2,1)),[1]!interpolar(B261,OFFSET(Curvas_cupon_cero!$A$1,1,0,COUNT(Curvas_cupon_cero!$A:$A)-2,1),OFFSET(Curvas_cupon_cero!$A$1,1,MATCH($B$8,Curvas_cupon_cero!$1:$1,0)-1,COUNT(Curvas_cupon_cero!$A:$A)-2,1))))</f>
        <v/>
      </c>
      <c r="D261" s="23" t="str">
        <f ca="1">IF(A261="","",IF($B$10="Sí",interpolar_alamb(L261,OFFSET(Curvas_cupon_cero!$A$1,1,0,COUNT(Curvas_cupon_cero!$A:$A)-2,1),OFFSET(Curvas_cupon_cero!$A$1,1,MATCH($B$8,Curvas_cupon_cero!$1:$1,0)-1,COUNT(Curvas_cupon_cero!$A:$A)-2,1)),[1]!interpolar(L261,OFFSET(Curvas_cupon_cero!$A$1,1,0,COUNT(Curvas_cupon_cero!$A:$A)-2,1),OFFSET(Curvas_cupon_cero!$A$1,1,MATCH($B$8,Curvas_cupon_cero!$1:$1,0)-1,COUNT(Curvas_cupon_cero!$A:$A)-2,1))))</f>
        <v/>
      </c>
      <c r="E261" s="23" t="str">
        <f t="shared" si="33"/>
        <v/>
      </c>
      <c r="F261" s="23" t="str">
        <f ca="1">IF(A261="","",IF($B$10="Sí",interpolar_alamb(B261,OFFSET(Curvas_cupon_cero!$A$1,1,0,COUNT(Curvas_cupon_cero!$A:$A)-2,1),OFFSET(Curvas_cupon_cero!$A$1,1,MATCH($B$9,Curvas_cupon_cero!$1:$1,0)-1,COUNT(Curvas_cupon_cero!$A:$A)-2,1)),[1]!interpolar(B261,OFFSET(Curvas_cupon_cero!$A$1,1,0,COUNT(Curvas_cupon_cero!$A:$A)-2,1),OFFSET(Curvas_cupon_cero!$A$1,1,MATCH($B$9,Curvas_cupon_cero!$1:$1,0)-1,COUNT(Curvas_cupon_cero!$A:$A)-2,1))))</f>
        <v/>
      </c>
      <c r="G261" s="23" t="str">
        <f t="shared" si="34"/>
        <v/>
      </c>
      <c r="H261" s="20" t="str">
        <f t="shared" si="39"/>
        <v/>
      </c>
      <c r="I261" t="str">
        <f t="shared" si="35"/>
        <v/>
      </c>
      <c r="J261" s="17" t="str">
        <f t="shared" si="31"/>
        <v/>
      </c>
      <c r="K261" s="18" t="str">
        <f t="shared" si="36"/>
        <v/>
      </c>
      <c r="L261" t="str">
        <f t="shared" si="37"/>
        <v/>
      </c>
      <c r="M261" s="23" t="str">
        <f ca="1">IF(A261="","",IF($B$10="Sí",interpolar_alamb(L261,OFFSET(Curvas_cupon_cero!$A$1,1,0,COUNT(Curvas_cupon_cero!$A:$A)-2,1),OFFSET(Curvas_cupon_cero!$A$1,1,MATCH($B$6,Curvas_cupon_cero!$1:$1,0)-1,COUNT(Curvas_cupon_cero!$A:$A)-2,1)),[1]!interpolar(L261,OFFSET(Curvas_cupon_cero!$A$1,1,0,COUNT(Curvas_cupon_cero!$A:$A)-2,1),OFFSET(Curvas_cupon_cero!$A$1,1,MATCH($B$6,Curvas_cupon_cero!$1:$1,0)-1,COUNT(Curvas_cupon_cero!$A:$A)-2,1))))</f>
        <v/>
      </c>
      <c r="N261" s="23"/>
      <c r="O261" s="19" t="str">
        <f t="shared" si="38"/>
        <v/>
      </c>
    </row>
    <row r="262" spans="1:15" x14ac:dyDescent="0.2">
      <c r="A262" s="12" t="str">
        <f t="shared" si="32"/>
        <v/>
      </c>
      <c r="B262" t="str">
        <f t="shared" si="30"/>
        <v/>
      </c>
      <c r="C262" s="21" t="str">
        <f ca="1">IF(A262="","",IF($B$10="Sí",interpolar_alamb(B262,OFFSET(Curvas_cupon_cero!$A$1,1,0,COUNT(Curvas_cupon_cero!$A:$A)-2,1),OFFSET(Curvas_cupon_cero!$A$1,1,MATCH($B$8,Curvas_cupon_cero!$1:$1,0)-1,COUNT(Curvas_cupon_cero!$A:$A)-2,1)),[1]!interpolar(B262,OFFSET(Curvas_cupon_cero!$A$1,1,0,COUNT(Curvas_cupon_cero!$A:$A)-2,1),OFFSET(Curvas_cupon_cero!$A$1,1,MATCH($B$8,Curvas_cupon_cero!$1:$1,0)-1,COUNT(Curvas_cupon_cero!$A:$A)-2,1))))</f>
        <v/>
      </c>
      <c r="D262" s="23" t="str">
        <f ca="1">IF(A262="","",IF($B$10="Sí",interpolar_alamb(L262,OFFSET(Curvas_cupon_cero!$A$1,1,0,COUNT(Curvas_cupon_cero!$A:$A)-2,1),OFFSET(Curvas_cupon_cero!$A$1,1,MATCH($B$8,Curvas_cupon_cero!$1:$1,0)-1,COUNT(Curvas_cupon_cero!$A:$A)-2,1)),[1]!interpolar(L262,OFFSET(Curvas_cupon_cero!$A$1,1,0,COUNT(Curvas_cupon_cero!$A:$A)-2,1),OFFSET(Curvas_cupon_cero!$A$1,1,MATCH($B$8,Curvas_cupon_cero!$1:$1,0)-1,COUNT(Curvas_cupon_cero!$A:$A)-2,1))))</f>
        <v/>
      </c>
      <c r="E262" s="23" t="str">
        <f t="shared" si="33"/>
        <v/>
      </c>
      <c r="F262" s="23" t="str">
        <f ca="1">IF(A262="","",IF($B$10="Sí",interpolar_alamb(B262,OFFSET(Curvas_cupon_cero!$A$1,1,0,COUNT(Curvas_cupon_cero!$A:$A)-2,1),OFFSET(Curvas_cupon_cero!$A$1,1,MATCH($B$9,Curvas_cupon_cero!$1:$1,0)-1,COUNT(Curvas_cupon_cero!$A:$A)-2,1)),[1]!interpolar(B262,OFFSET(Curvas_cupon_cero!$A$1,1,0,COUNT(Curvas_cupon_cero!$A:$A)-2,1),OFFSET(Curvas_cupon_cero!$A$1,1,MATCH($B$9,Curvas_cupon_cero!$1:$1,0)-1,COUNT(Curvas_cupon_cero!$A:$A)-2,1))))</f>
        <v/>
      </c>
      <c r="G262" s="23" t="str">
        <f t="shared" si="34"/>
        <v/>
      </c>
      <c r="H262" s="20" t="str">
        <f t="shared" si="39"/>
        <v/>
      </c>
      <c r="I262" t="str">
        <f t="shared" si="35"/>
        <v/>
      </c>
      <c r="J262" s="17" t="str">
        <f t="shared" si="31"/>
        <v/>
      </c>
      <c r="K262" s="18" t="str">
        <f t="shared" si="36"/>
        <v/>
      </c>
      <c r="L262" t="str">
        <f t="shared" si="37"/>
        <v/>
      </c>
      <c r="M262" s="23" t="str">
        <f ca="1">IF(A262="","",IF($B$10="Sí",interpolar_alamb(L262,OFFSET(Curvas_cupon_cero!$A$1,1,0,COUNT(Curvas_cupon_cero!$A:$A)-2,1),OFFSET(Curvas_cupon_cero!$A$1,1,MATCH($B$6,Curvas_cupon_cero!$1:$1,0)-1,COUNT(Curvas_cupon_cero!$A:$A)-2,1)),[1]!interpolar(L262,OFFSET(Curvas_cupon_cero!$A$1,1,0,COUNT(Curvas_cupon_cero!$A:$A)-2,1),OFFSET(Curvas_cupon_cero!$A$1,1,MATCH($B$6,Curvas_cupon_cero!$1:$1,0)-1,COUNT(Curvas_cupon_cero!$A:$A)-2,1))))</f>
        <v/>
      </c>
      <c r="N262" s="23"/>
      <c r="O262" s="19" t="str">
        <f t="shared" si="38"/>
        <v/>
      </c>
    </row>
    <row r="263" spans="1:15" x14ac:dyDescent="0.2">
      <c r="A263" s="12" t="str">
        <f t="shared" si="32"/>
        <v/>
      </c>
      <c r="B263" t="str">
        <f t="shared" si="30"/>
        <v/>
      </c>
      <c r="C263" s="21" t="str">
        <f ca="1">IF(A263="","",IF($B$10="Sí",interpolar_alamb(B263,OFFSET(Curvas_cupon_cero!$A$1,1,0,COUNT(Curvas_cupon_cero!$A:$A)-2,1),OFFSET(Curvas_cupon_cero!$A$1,1,MATCH($B$8,Curvas_cupon_cero!$1:$1,0)-1,COUNT(Curvas_cupon_cero!$A:$A)-2,1)),[1]!interpolar(B263,OFFSET(Curvas_cupon_cero!$A$1,1,0,COUNT(Curvas_cupon_cero!$A:$A)-2,1),OFFSET(Curvas_cupon_cero!$A$1,1,MATCH($B$8,Curvas_cupon_cero!$1:$1,0)-1,COUNT(Curvas_cupon_cero!$A:$A)-2,1))))</f>
        <v/>
      </c>
      <c r="D263" s="23" t="str">
        <f ca="1">IF(A263="","",IF($B$10="Sí",interpolar_alamb(L263,OFFSET(Curvas_cupon_cero!$A$1,1,0,COUNT(Curvas_cupon_cero!$A:$A)-2,1),OFFSET(Curvas_cupon_cero!$A$1,1,MATCH($B$8,Curvas_cupon_cero!$1:$1,0)-1,COUNT(Curvas_cupon_cero!$A:$A)-2,1)),[1]!interpolar(L263,OFFSET(Curvas_cupon_cero!$A$1,1,0,COUNT(Curvas_cupon_cero!$A:$A)-2,1),OFFSET(Curvas_cupon_cero!$A$1,1,MATCH($B$8,Curvas_cupon_cero!$1:$1,0)-1,COUNT(Curvas_cupon_cero!$A:$A)-2,1))))</f>
        <v/>
      </c>
      <c r="E263" s="23" t="str">
        <f t="shared" si="33"/>
        <v/>
      </c>
      <c r="F263" s="23" t="str">
        <f ca="1">IF(A263="","",IF($B$10="Sí",interpolar_alamb(B263,OFFSET(Curvas_cupon_cero!$A$1,1,0,COUNT(Curvas_cupon_cero!$A:$A)-2,1),OFFSET(Curvas_cupon_cero!$A$1,1,MATCH($B$9,Curvas_cupon_cero!$1:$1,0)-1,COUNT(Curvas_cupon_cero!$A:$A)-2,1)),[1]!interpolar(B263,OFFSET(Curvas_cupon_cero!$A$1,1,0,COUNT(Curvas_cupon_cero!$A:$A)-2,1),OFFSET(Curvas_cupon_cero!$A$1,1,MATCH($B$9,Curvas_cupon_cero!$1:$1,0)-1,COUNT(Curvas_cupon_cero!$A:$A)-2,1))))</f>
        <v/>
      </c>
      <c r="G263" s="23" t="str">
        <f t="shared" si="34"/>
        <v/>
      </c>
      <c r="H263" s="20" t="str">
        <f t="shared" si="39"/>
        <v/>
      </c>
      <c r="I263" t="str">
        <f t="shared" si="35"/>
        <v/>
      </c>
      <c r="J263" s="17" t="str">
        <f t="shared" si="31"/>
        <v/>
      </c>
      <c r="K263" s="18" t="str">
        <f t="shared" si="36"/>
        <v/>
      </c>
      <c r="L263" t="str">
        <f t="shared" si="37"/>
        <v/>
      </c>
      <c r="M263" s="23" t="str">
        <f ca="1">IF(A263="","",IF($B$10="Sí",interpolar_alamb(L263,OFFSET(Curvas_cupon_cero!$A$1,1,0,COUNT(Curvas_cupon_cero!$A:$A)-2,1),OFFSET(Curvas_cupon_cero!$A$1,1,MATCH($B$6,Curvas_cupon_cero!$1:$1,0)-1,COUNT(Curvas_cupon_cero!$A:$A)-2,1)),[1]!interpolar(L263,OFFSET(Curvas_cupon_cero!$A$1,1,0,COUNT(Curvas_cupon_cero!$A:$A)-2,1),OFFSET(Curvas_cupon_cero!$A$1,1,MATCH($B$6,Curvas_cupon_cero!$1:$1,0)-1,COUNT(Curvas_cupon_cero!$A:$A)-2,1))))</f>
        <v/>
      </c>
      <c r="N263" s="23"/>
      <c r="O263" s="19" t="str">
        <f t="shared" si="38"/>
        <v/>
      </c>
    </row>
    <row r="264" spans="1:15" x14ac:dyDescent="0.2">
      <c r="A264" s="12" t="str">
        <f t="shared" si="32"/>
        <v/>
      </c>
      <c r="B264" t="str">
        <f t="shared" si="30"/>
        <v/>
      </c>
      <c r="C264" s="21" t="str">
        <f ca="1">IF(A264="","",IF($B$10="Sí",interpolar_alamb(B264,OFFSET(Curvas_cupon_cero!$A$1,1,0,COUNT(Curvas_cupon_cero!$A:$A)-2,1),OFFSET(Curvas_cupon_cero!$A$1,1,MATCH($B$8,Curvas_cupon_cero!$1:$1,0)-1,COUNT(Curvas_cupon_cero!$A:$A)-2,1)),[1]!interpolar(B264,OFFSET(Curvas_cupon_cero!$A$1,1,0,COUNT(Curvas_cupon_cero!$A:$A)-2,1),OFFSET(Curvas_cupon_cero!$A$1,1,MATCH($B$8,Curvas_cupon_cero!$1:$1,0)-1,COUNT(Curvas_cupon_cero!$A:$A)-2,1))))</f>
        <v/>
      </c>
      <c r="D264" s="23" t="str">
        <f ca="1">IF(A264="","",IF($B$10="Sí",interpolar_alamb(L264,OFFSET(Curvas_cupon_cero!$A$1,1,0,COUNT(Curvas_cupon_cero!$A:$A)-2,1),OFFSET(Curvas_cupon_cero!$A$1,1,MATCH($B$8,Curvas_cupon_cero!$1:$1,0)-1,COUNT(Curvas_cupon_cero!$A:$A)-2,1)),[1]!interpolar(L264,OFFSET(Curvas_cupon_cero!$A$1,1,0,COUNT(Curvas_cupon_cero!$A:$A)-2,1),OFFSET(Curvas_cupon_cero!$A$1,1,MATCH($B$8,Curvas_cupon_cero!$1:$1,0)-1,COUNT(Curvas_cupon_cero!$A:$A)-2,1))))</f>
        <v/>
      </c>
      <c r="E264" s="23" t="str">
        <f t="shared" si="33"/>
        <v/>
      </c>
      <c r="F264" s="23" t="str">
        <f ca="1">IF(A264="","",IF($B$10="Sí",interpolar_alamb(B264,OFFSET(Curvas_cupon_cero!$A$1,1,0,COUNT(Curvas_cupon_cero!$A:$A)-2,1),OFFSET(Curvas_cupon_cero!$A$1,1,MATCH($B$9,Curvas_cupon_cero!$1:$1,0)-1,COUNT(Curvas_cupon_cero!$A:$A)-2,1)),[1]!interpolar(B264,OFFSET(Curvas_cupon_cero!$A$1,1,0,COUNT(Curvas_cupon_cero!$A:$A)-2,1),OFFSET(Curvas_cupon_cero!$A$1,1,MATCH($B$9,Curvas_cupon_cero!$1:$1,0)-1,COUNT(Curvas_cupon_cero!$A:$A)-2,1))))</f>
        <v/>
      </c>
      <c r="G264" s="23" t="str">
        <f t="shared" si="34"/>
        <v/>
      </c>
      <c r="H264" s="20" t="str">
        <f t="shared" si="39"/>
        <v/>
      </c>
      <c r="I264" t="str">
        <f t="shared" si="35"/>
        <v/>
      </c>
      <c r="J264" s="17" t="str">
        <f t="shared" si="31"/>
        <v/>
      </c>
      <c r="K264" s="18" t="str">
        <f t="shared" si="36"/>
        <v/>
      </c>
      <c r="L264" t="str">
        <f t="shared" si="37"/>
        <v/>
      </c>
      <c r="M264" s="23" t="str">
        <f ca="1">IF(A264="","",IF($B$10="Sí",interpolar_alamb(L264,OFFSET(Curvas_cupon_cero!$A$1,1,0,COUNT(Curvas_cupon_cero!$A:$A)-2,1),OFFSET(Curvas_cupon_cero!$A$1,1,MATCH($B$6,Curvas_cupon_cero!$1:$1,0)-1,COUNT(Curvas_cupon_cero!$A:$A)-2,1)),[1]!interpolar(L264,OFFSET(Curvas_cupon_cero!$A$1,1,0,COUNT(Curvas_cupon_cero!$A:$A)-2,1),OFFSET(Curvas_cupon_cero!$A$1,1,MATCH($B$6,Curvas_cupon_cero!$1:$1,0)-1,COUNT(Curvas_cupon_cero!$A:$A)-2,1))))</f>
        <v/>
      </c>
      <c r="N264" s="23"/>
      <c r="O264" s="19" t="str">
        <f t="shared" si="38"/>
        <v/>
      </c>
    </row>
    <row r="265" spans="1:15" x14ac:dyDescent="0.2">
      <c r="A265" s="12" t="str">
        <f t="shared" si="32"/>
        <v/>
      </c>
      <c r="B265" t="str">
        <f t="shared" si="30"/>
        <v/>
      </c>
      <c r="C265" s="21" t="str">
        <f ca="1">IF(A265="","",IF($B$10="Sí",interpolar_alamb(B265,OFFSET(Curvas_cupon_cero!$A$1,1,0,COUNT(Curvas_cupon_cero!$A:$A)-2,1),OFFSET(Curvas_cupon_cero!$A$1,1,MATCH($B$8,Curvas_cupon_cero!$1:$1,0)-1,COUNT(Curvas_cupon_cero!$A:$A)-2,1)),[1]!interpolar(B265,OFFSET(Curvas_cupon_cero!$A$1,1,0,COUNT(Curvas_cupon_cero!$A:$A)-2,1),OFFSET(Curvas_cupon_cero!$A$1,1,MATCH($B$8,Curvas_cupon_cero!$1:$1,0)-1,COUNT(Curvas_cupon_cero!$A:$A)-2,1))))</f>
        <v/>
      </c>
      <c r="D265" s="23" t="str">
        <f ca="1">IF(A265="","",IF($B$10="Sí",interpolar_alamb(L265,OFFSET(Curvas_cupon_cero!$A$1,1,0,COUNT(Curvas_cupon_cero!$A:$A)-2,1),OFFSET(Curvas_cupon_cero!$A$1,1,MATCH($B$8,Curvas_cupon_cero!$1:$1,0)-1,COUNT(Curvas_cupon_cero!$A:$A)-2,1)),[1]!interpolar(L265,OFFSET(Curvas_cupon_cero!$A$1,1,0,COUNT(Curvas_cupon_cero!$A:$A)-2,1),OFFSET(Curvas_cupon_cero!$A$1,1,MATCH($B$8,Curvas_cupon_cero!$1:$1,0)-1,COUNT(Curvas_cupon_cero!$A:$A)-2,1))))</f>
        <v/>
      </c>
      <c r="E265" s="23" t="str">
        <f t="shared" si="33"/>
        <v/>
      </c>
      <c r="F265" s="23" t="str">
        <f ca="1">IF(A265="","",IF($B$10="Sí",interpolar_alamb(B265,OFFSET(Curvas_cupon_cero!$A$1,1,0,COUNT(Curvas_cupon_cero!$A:$A)-2,1),OFFSET(Curvas_cupon_cero!$A$1,1,MATCH($B$9,Curvas_cupon_cero!$1:$1,0)-1,COUNT(Curvas_cupon_cero!$A:$A)-2,1)),[1]!interpolar(B265,OFFSET(Curvas_cupon_cero!$A$1,1,0,COUNT(Curvas_cupon_cero!$A:$A)-2,1),OFFSET(Curvas_cupon_cero!$A$1,1,MATCH($B$9,Curvas_cupon_cero!$1:$1,0)-1,COUNT(Curvas_cupon_cero!$A:$A)-2,1))))</f>
        <v/>
      </c>
      <c r="G265" s="23" t="str">
        <f t="shared" si="34"/>
        <v/>
      </c>
      <c r="H265" s="20" t="str">
        <f t="shared" si="39"/>
        <v/>
      </c>
      <c r="I265" t="str">
        <f t="shared" si="35"/>
        <v/>
      </c>
      <c r="J265" s="17" t="str">
        <f t="shared" si="31"/>
        <v/>
      </c>
      <c r="K265" s="18" t="str">
        <f t="shared" si="36"/>
        <v/>
      </c>
      <c r="L265" t="str">
        <f t="shared" si="37"/>
        <v/>
      </c>
      <c r="M265" s="23" t="str">
        <f ca="1">IF(A265="","",IF($B$10="Sí",interpolar_alamb(L265,OFFSET(Curvas_cupon_cero!$A$1,1,0,COUNT(Curvas_cupon_cero!$A:$A)-2,1),OFFSET(Curvas_cupon_cero!$A$1,1,MATCH($B$6,Curvas_cupon_cero!$1:$1,0)-1,COUNT(Curvas_cupon_cero!$A:$A)-2,1)),[1]!interpolar(L265,OFFSET(Curvas_cupon_cero!$A$1,1,0,COUNT(Curvas_cupon_cero!$A:$A)-2,1),OFFSET(Curvas_cupon_cero!$A$1,1,MATCH($B$6,Curvas_cupon_cero!$1:$1,0)-1,COUNT(Curvas_cupon_cero!$A:$A)-2,1))))</f>
        <v/>
      </c>
      <c r="N265" s="23"/>
      <c r="O265" s="19" t="str">
        <f t="shared" si="38"/>
        <v/>
      </c>
    </row>
    <row r="266" spans="1:15" x14ac:dyDescent="0.2">
      <c r="A266" s="12" t="str">
        <f t="shared" si="32"/>
        <v/>
      </c>
      <c r="B266" t="str">
        <f t="shared" si="30"/>
        <v/>
      </c>
      <c r="C266" s="21" t="str">
        <f ca="1">IF(A266="","",IF($B$10="Sí",interpolar_alamb(B266,OFFSET(Curvas_cupon_cero!$A$1,1,0,COUNT(Curvas_cupon_cero!$A:$A)-2,1),OFFSET(Curvas_cupon_cero!$A$1,1,MATCH($B$8,Curvas_cupon_cero!$1:$1,0)-1,COUNT(Curvas_cupon_cero!$A:$A)-2,1)),[1]!interpolar(B266,OFFSET(Curvas_cupon_cero!$A$1,1,0,COUNT(Curvas_cupon_cero!$A:$A)-2,1),OFFSET(Curvas_cupon_cero!$A$1,1,MATCH($B$8,Curvas_cupon_cero!$1:$1,0)-1,COUNT(Curvas_cupon_cero!$A:$A)-2,1))))</f>
        <v/>
      </c>
      <c r="D266" s="23" t="str">
        <f ca="1">IF(A266="","",IF($B$10="Sí",interpolar_alamb(L266,OFFSET(Curvas_cupon_cero!$A$1,1,0,COUNT(Curvas_cupon_cero!$A:$A)-2,1),OFFSET(Curvas_cupon_cero!$A$1,1,MATCH($B$8,Curvas_cupon_cero!$1:$1,0)-1,COUNT(Curvas_cupon_cero!$A:$A)-2,1)),[1]!interpolar(L266,OFFSET(Curvas_cupon_cero!$A$1,1,0,COUNT(Curvas_cupon_cero!$A:$A)-2,1),OFFSET(Curvas_cupon_cero!$A$1,1,MATCH($B$8,Curvas_cupon_cero!$1:$1,0)-1,COUNT(Curvas_cupon_cero!$A:$A)-2,1))))</f>
        <v/>
      </c>
      <c r="E266" s="23" t="str">
        <f t="shared" si="33"/>
        <v/>
      </c>
      <c r="F266" s="23" t="str">
        <f ca="1">IF(A266="","",IF($B$10="Sí",interpolar_alamb(B266,OFFSET(Curvas_cupon_cero!$A$1,1,0,COUNT(Curvas_cupon_cero!$A:$A)-2,1),OFFSET(Curvas_cupon_cero!$A$1,1,MATCH($B$9,Curvas_cupon_cero!$1:$1,0)-1,COUNT(Curvas_cupon_cero!$A:$A)-2,1)),[1]!interpolar(B266,OFFSET(Curvas_cupon_cero!$A$1,1,0,COUNT(Curvas_cupon_cero!$A:$A)-2,1),OFFSET(Curvas_cupon_cero!$A$1,1,MATCH($B$9,Curvas_cupon_cero!$1:$1,0)-1,COUNT(Curvas_cupon_cero!$A:$A)-2,1))))</f>
        <v/>
      </c>
      <c r="G266" s="23" t="str">
        <f t="shared" si="34"/>
        <v/>
      </c>
      <c r="H266" s="20" t="str">
        <f t="shared" si="39"/>
        <v/>
      </c>
      <c r="I266" t="str">
        <f t="shared" si="35"/>
        <v/>
      </c>
      <c r="J266" s="17" t="str">
        <f t="shared" si="31"/>
        <v/>
      </c>
      <c r="K266" s="18" t="str">
        <f t="shared" si="36"/>
        <v/>
      </c>
      <c r="L266" t="str">
        <f t="shared" si="37"/>
        <v/>
      </c>
      <c r="M266" s="23" t="str">
        <f ca="1">IF(A266="","",IF($B$10="Sí",interpolar_alamb(L266,OFFSET(Curvas_cupon_cero!$A$1,1,0,COUNT(Curvas_cupon_cero!$A:$A)-2,1),OFFSET(Curvas_cupon_cero!$A$1,1,MATCH($B$6,Curvas_cupon_cero!$1:$1,0)-1,COUNT(Curvas_cupon_cero!$A:$A)-2,1)),[1]!interpolar(L266,OFFSET(Curvas_cupon_cero!$A$1,1,0,COUNT(Curvas_cupon_cero!$A:$A)-2,1),OFFSET(Curvas_cupon_cero!$A$1,1,MATCH($B$6,Curvas_cupon_cero!$1:$1,0)-1,COUNT(Curvas_cupon_cero!$A:$A)-2,1))))</f>
        <v/>
      </c>
      <c r="N266" s="23"/>
      <c r="O266" s="19" t="str">
        <f t="shared" si="38"/>
        <v/>
      </c>
    </row>
    <row r="267" spans="1:15" x14ac:dyDescent="0.2">
      <c r="A267" s="12" t="str">
        <f t="shared" si="32"/>
        <v/>
      </c>
      <c r="B267" t="str">
        <f t="shared" si="30"/>
        <v/>
      </c>
      <c r="C267" s="21" t="str">
        <f ca="1">IF(A267="","",IF($B$10="Sí",interpolar_alamb(B267,OFFSET(Curvas_cupon_cero!$A$1,1,0,COUNT(Curvas_cupon_cero!$A:$A)-2,1),OFFSET(Curvas_cupon_cero!$A$1,1,MATCH($B$8,Curvas_cupon_cero!$1:$1,0)-1,COUNT(Curvas_cupon_cero!$A:$A)-2,1)),[1]!interpolar(B267,OFFSET(Curvas_cupon_cero!$A$1,1,0,COUNT(Curvas_cupon_cero!$A:$A)-2,1),OFFSET(Curvas_cupon_cero!$A$1,1,MATCH($B$8,Curvas_cupon_cero!$1:$1,0)-1,COUNT(Curvas_cupon_cero!$A:$A)-2,1))))</f>
        <v/>
      </c>
      <c r="D267" s="23" t="str">
        <f ca="1">IF(A267="","",IF($B$10="Sí",interpolar_alamb(L267,OFFSET(Curvas_cupon_cero!$A$1,1,0,COUNT(Curvas_cupon_cero!$A:$A)-2,1),OFFSET(Curvas_cupon_cero!$A$1,1,MATCH($B$8,Curvas_cupon_cero!$1:$1,0)-1,COUNT(Curvas_cupon_cero!$A:$A)-2,1)),[1]!interpolar(L267,OFFSET(Curvas_cupon_cero!$A$1,1,0,COUNT(Curvas_cupon_cero!$A:$A)-2,1),OFFSET(Curvas_cupon_cero!$A$1,1,MATCH($B$8,Curvas_cupon_cero!$1:$1,0)-1,COUNT(Curvas_cupon_cero!$A:$A)-2,1))))</f>
        <v/>
      </c>
      <c r="E267" s="23" t="str">
        <f t="shared" si="33"/>
        <v/>
      </c>
      <c r="F267" s="23" t="str">
        <f ca="1">IF(A267="","",IF($B$10="Sí",interpolar_alamb(B267,OFFSET(Curvas_cupon_cero!$A$1,1,0,COUNT(Curvas_cupon_cero!$A:$A)-2,1),OFFSET(Curvas_cupon_cero!$A$1,1,MATCH($B$9,Curvas_cupon_cero!$1:$1,0)-1,COUNT(Curvas_cupon_cero!$A:$A)-2,1)),[1]!interpolar(B267,OFFSET(Curvas_cupon_cero!$A$1,1,0,COUNT(Curvas_cupon_cero!$A:$A)-2,1),OFFSET(Curvas_cupon_cero!$A$1,1,MATCH($B$9,Curvas_cupon_cero!$1:$1,0)-1,COUNT(Curvas_cupon_cero!$A:$A)-2,1))))</f>
        <v/>
      </c>
      <c r="G267" s="23" t="str">
        <f t="shared" si="34"/>
        <v/>
      </c>
      <c r="H267" s="20" t="str">
        <f t="shared" si="39"/>
        <v/>
      </c>
      <c r="I267" t="str">
        <f t="shared" si="35"/>
        <v/>
      </c>
      <c r="J267" s="17" t="str">
        <f t="shared" si="31"/>
        <v/>
      </c>
      <c r="K267" s="18" t="str">
        <f t="shared" si="36"/>
        <v/>
      </c>
      <c r="L267" t="str">
        <f t="shared" si="37"/>
        <v/>
      </c>
      <c r="M267" s="23" t="str">
        <f ca="1">IF(A267="","",IF($B$10="Sí",interpolar_alamb(L267,OFFSET(Curvas_cupon_cero!$A$1,1,0,COUNT(Curvas_cupon_cero!$A:$A)-2,1),OFFSET(Curvas_cupon_cero!$A$1,1,MATCH($B$6,Curvas_cupon_cero!$1:$1,0)-1,COUNT(Curvas_cupon_cero!$A:$A)-2,1)),[1]!interpolar(L267,OFFSET(Curvas_cupon_cero!$A$1,1,0,COUNT(Curvas_cupon_cero!$A:$A)-2,1),OFFSET(Curvas_cupon_cero!$A$1,1,MATCH($B$6,Curvas_cupon_cero!$1:$1,0)-1,COUNT(Curvas_cupon_cero!$A:$A)-2,1))))</f>
        <v/>
      </c>
      <c r="N267" s="23"/>
      <c r="O267" s="19" t="str">
        <f t="shared" si="38"/>
        <v/>
      </c>
    </row>
    <row r="268" spans="1:15" x14ac:dyDescent="0.2">
      <c r="A268" s="12" t="str">
        <f t="shared" si="32"/>
        <v/>
      </c>
      <c r="B268" t="str">
        <f t="shared" si="30"/>
        <v/>
      </c>
      <c r="C268" s="21" t="str">
        <f ca="1">IF(A268="","",IF($B$10="Sí",interpolar_alamb(B268,OFFSET(Curvas_cupon_cero!$A$1,1,0,COUNT(Curvas_cupon_cero!$A:$A)-2,1),OFFSET(Curvas_cupon_cero!$A$1,1,MATCH($B$8,Curvas_cupon_cero!$1:$1,0)-1,COUNT(Curvas_cupon_cero!$A:$A)-2,1)),[1]!interpolar(B268,OFFSET(Curvas_cupon_cero!$A$1,1,0,COUNT(Curvas_cupon_cero!$A:$A)-2,1),OFFSET(Curvas_cupon_cero!$A$1,1,MATCH($B$8,Curvas_cupon_cero!$1:$1,0)-1,COUNT(Curvas_cupon_cero!$A:$A)-2,1))))</f>
        <v/>
      </c>
      <c r="D268" s="23" t="str">
        <f ca="1">IF(A268="","",IF($B$10="Sí",interpolar_alamb(L268,OFFSET(Curvas_cupon_cero!$A$1,1,0,COUNT(Curvas_cupon_cero!$A:$A)-2,1),OFFSET(Curvas_cupon_cero!$A$1,1,MATCH($B$8,Curvas_cupon_cero!$1:$1,0)-1,COUNT(Curvas_cupon_cero!$A:$A)-2,1)),[1]!interpolar(L268,OFFSET(Curvas_cupon_cero!$A$1,1,0,COUNT(Curvas_cupon_cero!$A:$A)-2,1),OFFSET(Curvas_cupon_cero!$A$1,1,MATCH($B$8,Curvas_cupon_cero!$1:$1,0)-1,COUNT(Curvas_cupon_cero!$A:$A)-2,1))))</f>
        <v/>
      </c>
      <c r="E268" s="23" t="str">
        <f t="shared" si="33"/>
        <v/>
      </c>
      <c r="F268" s="23" t="str">
        <f ca="1">IF(A268="","",IF($B$10="Sí",interpolar_alamb(B268,OFFSET(Curvas_cupon_cero!$A$1,1,0,COUNT(Curvas_cupon_cero!$A:$A)-2,1),OFFSET(Curvas_cupon_cero!$A$1,1,MATCH($B$9,Curvas_cupon_cero!$1:$1,0)-1,COUNT(Curvas_cupon_cero!$A:$A)-2,1)),[1]!interpolar(B268,OFFSET(Curvas_cupon_cero!$A$1,1,0,COUNT(Curvas_cupon_cero!$A:$A)-2,1),OFFSET(Curvas_cupon_cero!$A$1,1,MATCH($B$9,Curvas_cupon_cero!$1:$1,0)-1,COUNT(Curvas_cupon_cero!$A:$A)-2,1))))</f>
        <v/>
      </c>
      <c r="G268" s="23" t="str">
        <f t="shared" si="34"/>
        <v/>
      </c>
      <c r="H268" s="20" t="str">
        <f t="shared" si="39"/>
        <v/>
      </c>
      <c r="I268" t="str">
        <f t="shared" si="35"/>
        <v/>
      </c>
      <c r="J268" s="17" t="str">
        <f t="shared" si="31"/>
        <v/>
      </c>
      <c r="K268" s="18" t="str">
        <f t="shared" si="36"/>
        <v/>
      </c>
      <c r="L268" t="str">
        <f t="shared" si="37"/>
        <v/>
      </c>
      <c r="M268" s="23" t="str">
        <f ca="1">IF(A268="","",IF($B$10="Sí",interpolar_alamb(L268,OFFSET(Curvas_cupon_cero!$A$1,1,0,COUNT(Curvas_cupon_cero!$A:$A)-2,1),OFFSET(Curvas_cupon_cero!$A$1,1,MATCH($B$6,Curvas_cupon_cero!$1:$1,0)-1,COUNT(Curvas_cupon_cero!$A:$A)-2,1)),[1]!interpolar(L268,OFFSET(Curvas_cupon_cero!$A$1,1,0,COUNT(Curvas_cupon_cero!$A:$A)-2,1),OFFSET(Curvas_cupon_cero!$A$1,1,MATCH($B$6,Curvas_cupon_cero!$1:$1,0)-1,COUNT(Curvas_cupon_cero!$A:$A)-2,1))))</f>
        <v/>
      </c>
      <c r="N268" s="23"/>
      <c r="O268" s="19" t="str">
        <f t="shared" si="38"/>
        <v/>
      </c>
    </row>
    <row r="269" spans="1:15" x14ac:dyDescent="0.2">
      <c r="A269" s="12" t="str">
        <f t="shared" si="32"/>
        <v/>
      </c>
      <c r="B269" t="str">
        <f t="shared" si="30"/>
        <v/>
      </c>
      <c r="C269" s="21" t="str">
        <f ca="1">IF(A269="","",IF($B$10="Sí",interpolar_alamb(B269,OFFSET(Curvas_cupon_cero!$A$1,1,0,COUNT(Curvas_cupon_cero!$A:$A)-2,1),OFFSET(Curvas_cupon_cero!$A$1,1,MATCH($B$8,Curvas_cupon_cero!$1:$1,0)-1,COUNT(Curvas_cupon_cero!$A:$A)-2,1)),[1]!interpolar(B269,OFFSET(Curvas_cupon_cero!$A$1,1,0,COUNT(Curvas_cupon_cero!$A:$A)-2,1),OFFSET(Curvas_cupon_cero!$A$1,1,MATCH($B$8,Curvas_cupon_cero!$1:$1,0)-1,COUNT(Curvas_cupon_cero!$A:$A)-2,1))))</f>
        <v/>
      </c>
      <c r="D269" s="23" t="str">
        <f ca="1">IF(A269="","",IF($B$10="Sí",interpolar_alamb(L269,OFFSET(Curvas_cupon_cero!$A$1,1,0,COUNT(Curvas_cupon_cero!$A:$A)-2,1),OFFSET(Curvas_cupon_cero!$A$1,1,MATCH($B$8,Curvas_cupon_cero!$1:$1,0)-1,COUNT(Curvas_cupon_cero!$A:$A)-2,1)),[1]!interpolar(L269,OFFSET(Curvas_cupon_cero!$A$1,1,0,COUNT(Curvas_cupon_cero!$A:$A)-2,1),OFFSET(Curvas_cupon_cero!$A$1,1,MATCH($B$8,Curvas_cupon_cero!$1:$1,0)-1,COUNT(Curvas_cupon_cero!$A:$A)-2,1))))</f>
        <v/>
      </c>
      <c r="E269" s="23" t="str">
        <f t="shared" si="33"/>
        <v/>
      </c>
      <c r="F269" s="23" t="str">
        <f ca="1">IF(A269="","",IF($B$10="Sí",interpolar_alamb(B269,OFFSET(Curvas_cupon_cero!$A$1,1,0,COUNT(Curvas_cupon_cero!$A:$A)-2,1),OFFSET(Curvas_cupon_cero!$A$1,1,MATCH($B$9,Curvas_cupon_cero!$1:$1,0)-1,COUNT(Curvas_cupon_cero!$A:$A)-2,1)),[1]!interpolar(B269,OFFSET(Curvas_cupon_cero!$A$1,1,0,COUNT(Curvas_cupon_cero!$A:$A)-2,1),OFFSET(Curvas_cupon_cero!$A$1,1,MATCH($B$9,Curvas_cupon_cero!$1:$1,0)-1,COUNT(Curvas_cupon_cero!$A:$A)-2,1))))</f>
        <v/>
      </c>
      <c r="G269" s="23" t="str">
        <f t="shared" si="34"/>
        <v/>
      </c>
      <c r="H269" s="20" t="str">
        <f t="shared" si="39"/>
        <v/>
      </c>
      <c r="I269" t="str">
        <f t="shared" si="35"/>
        <v/>
      </c>
      <c r="J269" s="17" t="str">
        <f t="shared" si="31"/>
        <v/>
      </c>
      <c r="K269" s="18" t="str">
        <f t="shared" si="36"/>
        <v/>
      </c>
      <c r="L269" t="str">
        <f t="shared" si="37"/>
        <v/>
      </c>
      <c r="M269" s="23" t="str">
        <f ca="1">IF(A269="","",IF($B$10="Sí",interpolar_alamb(L269,OFFSET(Curvas_cupon_cero!$A$1,1,0,COUNT(Curvas_cupon_cero!$A:$A)-2,1),OFFSET(Curvas_cupon_cero!$A$1,1,MATCH($B$6,Curvas_cupon_cero!$1:$1,0)-1,COUNT(Curvas_cupon_cero!$A:$A)-2,1)),[1]!interpolar(L269,OFFSET(Curvas_cupon_cero!$A$1,1,0,COUNT(Curvas_cupon_cero!$A:$A)-2,1),OFFSET(Curvas_cupon_cero!$A$1,1,MATCH($B$6,Curvas_cupon_cero!$1:$1,0)-1,COUNT(Curvas_cupon_cero!$A:$A)-2,1))))</f>
        <v/>
      </c>
      <c r="N269" s="23"/>
      <c r="O269" s="19" t="str">
        <f t="shared" si="38"/>
        <v/>
      </c>
    </row>
    <row r="270" spans="1:15" x14ac:dyDescent="0.2">
      <c r="A270" s="12" t="str">
        <f t="shared" si="32"/>
        <v/>
      </c>
      <c r="B270" t="str">
        <f t="shared" si="30"/>
        <v/>
      </c>
      <c r="C270" s="21" t="str">
        <f ca="1">IF(A270="","",IF($B$10="Sí",interpolar_alamb(B270,OFFSET(Curvas_cupon_cero!$A$1,1,0,COUNT(Curvas_cupon_cero!$A:$A)-2,1),OFFSET(Curvas_cupon_cero!$A$1,1,MATCH($B$8,Curvas_cupon_cero!$1:$1,0)-1,COUNT(Curvas_cupon_cero!$A:$A)-2,1)),[1]!interpolar(B270,OFFSET(Curvas_cupon_cero!$A$1,1,0,COUNT(Curvas_cupon_cero!$A:$A)-2,1),OFFSET(Curvas_cupon_cero!$A$1,1,MATCH($B$8,Curvas_cupon_cero!$1:$1,0)-1,COUNT(Curvas_cupon_cero!$A:$A)-2,1))))</f>
        <v/>
      </c>
      <c r="D270" s="23" t="str">
        <f ca="1">IF(A270="","",IF($B$10="Sí",interpolar_alamb(L270,OFFSET(Curvas_cupon_cero!$A$1,1,0,COUNT(Curvas_cupon_cero!$A:$A)-2,1),OFFSET(Curvas_cupon_cero!$A$1,1,MATCH($B$8,Curvas_cupon_cero!$1:$1,0)-1,COUNT(Curvas_cupon_cero!$A:$A)-2,1)),[1]!interpolar(L270,OFFSET(Curvas_cupon_cero!$A$1,1,0,COUNT(Curvas_cupon_cero!$A:$A)-2,1),OFFSET(Curvas_cupon_cero!$A$1,1,MATCH($B$8,Curvas_cupon_cero!$1:$1,0)-1,COUNT(Curvas_cupon_cero!$A:$A)-2,1))))</f>
        <v/>
      </c>
      <c r="E270" s="23" t="str">
        <f t="shared" si="33"/>
        <v/>
      </c>
      <c r="F270" s="23" t="str">
        <f ca="1">IF(A270="","",IF($B$10="Sí",interpolar_alamb(B270,OFFSET(Curvas_cupon_cero!$A$1,1,0,COUNT(Curvas_cupon_cero!$A:$A)-2,1),OFFSET(Curvas_cupon_cero!$A$1,1,MATCH($B$9,Curvas_cupon_cero!$1:$1,0)-1,COUNT(Curvas_cupon_cero!$A:$A)-2,1)),[1]!interpolar(B270,OFFSET(Curvas_cupon_cero!$A$1,1,0,COUNT(Curvas_cupon_cero!$A:$A)-2,1),OFFSET(Curvas_cupon_cero!$A$1,1,MATCH($B$9,Curvas_cupon_cero!$1:$1,0)-1,COUNT(Curvas_cupon_cero!$A:$A)-2,1))))</f>
        <v/>
      </c>
      <c r="G270" s="23" t="str">
        <f t="shared" si="34"/>
        <v/>
      </c>
      <c r="H270" s="20" t="str">
        <f t="shared" si="39"/>
        <v/>
      </c>
      <c r="I270" t="str">
        <f t="shared" si="35"/>
        <v/>
      </c>
      <c r="J270" s="17" t="str">
        <f t="shared" si="31"/>
        <v/>
      </c>
      <c r="K270" s="18" t="str">
        <f t="shared" si="36"/>
        <v/>
      </c>
      <c r="L270" t="str">
        <f t="shared" si="37"/>
        <v/>
      </c>
      <c r="M270" s="23" t="str">
        <f ca="1">IF(A270="","",IF($B$10="Sí",interpolar_alamb(L270,OFFSET(Curvas_cupon_cero!$A$1,1,0,COUNT(Curvas_cupon_cero!$A:$A)-2,1),OFFSET(Curvas_cupon_cero!$A$1,1,MATCH($B$6,Curvas_cupon_cero!$1:$1,0)-1,COUNT(Curvas_cupon_cero!$A:$A)-2,1)),[1]!interpolar(L270,OFFSET(Curvas_cupon_cero!$A$1,1,0,COUNT(Curvas_cupon_cero!$A:$A)-2,1),OFFSET(Curvas_cupon_cero!$A$1,1,MATCH($B$6,Curvas_cupon_cero!$1:$1,0)-1,COUNT(Curvas_cupon_cero!$A:$A)-2,1))))</f>
        <v/>
      </c>
      <c r="N270" s="23"/>
      <c r="O270" s="19" t="str">
        <f t="shared" si="38"/>
        <v/>
      </c>
    </row>
    <row r="271" spans="1:15" x14ac:dyDescent="0.2">
      <c r="A271" s="12" t="str">
        <f t="shared" si="32"/>
        <v/>
      </c>
      <c r="B271" t="str">
        <f t="shared" si="30"/>
        <v/>
      </c>
      <c r="C271" s="21" t="str">
        <f ca="1">IF(A271="","",IF($B$10="Sí",interpolar_alamb(B271,OFFSET(Curvas_cupon_cero!$A$1,1,0,COUNT(Curvas_cupon_cero!$A:$A)-2,1),OFFSET(Curvas_cupon_cero!$A$1,1,MATCH($B$8,Curvas_cupon_cero!$1:$1,0)-1,COUNT(Curvas_cupon_cero!$A:$A)-2,1)),[1]!interpolar(B271,OFFSET(Curvas_cupon_cero!$A$1,1,0,COUNT(Curvas_cupon_cero!$A:$A)-2,1),OFFSET(Curvas_cupon_cero!$A$1,1,MATCH($B$8,Curvas_cupon_cero!$1:$1,0)-1,COUNT(Curvas_cupon_cero!$A:$A)-2,1))))</f>
        <v/>
      </c>
      <c r="D271" s="23" t="str">
        <f ca="1">IF(A271="","",IF($B$10="Sí",interpolar_alamb(L271,OFFSET(Curvas_cupon_cero!$A$1,1,0,COUNT(Curvas_cupon_cero!$A:$A)-2,1),OFFSET(Curvas_cupon_cero!$A$1,1,MATCH($B$8,Curvas_cupon_cero!$1:$1,0)-1,COUNT(Curvas_cupon_cero!$A:$A)-2,1)),[1]!interpolar(L271,OFFSET(Curvas_cupon_cero!$A$1,1,0,COUNT(Curvas_cupon_cero!$A:$A)-2,1),OFFSET(Curvas_cupon_cero!$A$1,1,MATCH($B$8,Curvas_cupon_cero!$1:$1,0)-1,COUNT(Curvas_cupon_cero!$A:$A)-2,1))))</f>
        <v/>
      </c>
      <c r="E271" s="23" t="str">
        <f t="shared" si="33"/>
        <v/>
      </c>
      <c r="F271" s="23" t="str">
        <f ca="1">IF(A271="","",IF($B$10="Sí",interpolar_alamb(B271,OFFSET(Curvas_cupon_cero!$A$1,1,0,COUNT(Curvas_cupon_cero!$A:$A)-2,1),OFFSET(Curvas_cupon_cero!$A$1,1,MATCH($B$9,Curvas_cupon_cero!$1:$1,0)-1,COUNT(Curvas_cupon_cero!$A:$A)-2,1)),[1]!interpolar(B271,OFFSET(Curvas_cupon_cero!$A$1,1,0,COUNT(Curvas_cupon_cero!$A:$A)-2,1),OFFSET(Curvas_cupon_cero!$A$1,1,MATCH($B$9,Curvas_cupon_cero!$1:$1,0)-1,COUNT(Curvas_cupon_cero!$A:$A)-2,1))))</f>
        <v/>
      </c>
      <c r="G271" s="23" t="str">
        <f t="shared" si="34"/>
        <v/>
      </c>
      <c r="H271" s="20" t="str">
        <f t="shared" si="39"/>
        <v/>
      </c>
      <c r="I271" t="str">
        <f t="shared" si="35"/>
        <v/>
      </c>
      <c r="J271" s="17" t="str">
        <f t="shared" si="31"/>
        <v/>
      </c>
      <c r="K271" s="18" t="str">
        <f t="shared" si="36"/>
        <v/>
      </c>
      <c r="L271" t="str">
        <f t="shared" si="37"/>
        <v/>
      </c>
      <c r="M271" s="23" t="str">
        <f ca="1">IF(A271="","",IF($B$10="Sí",interpolar_alamb(L271,OFFSET(Curvas_cupon_cero!$A$1,1,0,COUNT(Curvas_cupon_cero!$A:$A)-2,1),OFFSET(Curvas_cupon_cero!$A$1,1,MATCH($B$6,Curvas_cupon_cero!$1:$1,0)-1,COUNT(Curvas_cupon_cero!$A:$A)-2,1)),[1]!interpolar(L271,OFFSET(Curvas_cupon_cero!$A$1,1,0,COUNT(Curvas_cupon_cero!$A:$A)-2,1),OFFSET(Curvas_cupon_cero!$A$1,1,MATCH($B$6,Curvas_cupon_cero!$1:$1,0)-1,COUNT(Curvas_cupon_cero!$A:$A)-2,1))))</f>
        <v/>
      </c>
      <c r="N271" s="23"/>
      <c r="O271" s="19" t="str">
        <f t="shared" si="38"/>
        <v/>
      </c>
    </row>
    <row r="272" spans="1:15" x14ac:dyDescent="0.2">
      <c r="A272" s="12" t="str">
        <f t="shared" si="32"/>
        <v/>
      </c>
      <c r="B272" t="str">
        <f t="shared" si="30"/>
        <v/>
      </c>
      <c r="C272" s="21" t="str">
        <f ca="1">IF(A272="","",IF($B$10="Sí",interpolar_alamb(B272,OFFSET(Curvas_cupon_cero!$A$1,1,0,COUNT(Curvas_cupon_cero!$A:$A)-2,1),OFFSET(Curvas_cupon_cero!$A$1,1,MATCH($B$8,Curvas_cupon_cero!$1:$1,0)-1,COUNT(Curvas_cupon_cero!$A:$A)-2,1)),[1]!interpolar(B272,OFFSET(Curvas_cupon_cero!$A$1,1,0,COUNT(Curvas_cupon_cero!$A:$A)-2,1),OFFSET(Curvas_cupon_cero!$A$1,1,MATCH($B$8,Curvas_cupon_cero!$1:$1,0)-1,COUNT(Curvas_cupon_cero!$A:$A)-2,1))))</f>
        <v/>
      </c>
      <c r="D272" s="23" t="str">
        <f ca="1">IF(A272="","",IF($B$10="Sí",interpolar_alamb(L272,OFFSET(Curvas_cupon_cero!$A$1,1,0,COUNT(Curvas_cupon_cero!$A:$A)-2,1),OFFSET(Curvas_cupon_cero!$A$1,1,MATCH($B$8,Curvas_cupon_cero!$1:$1,0)-1,COUNT(Curvas_cupon_cero!$A:$A)-2,1)),[1]!interpolar(L272,OFFSET(Curvas_cupon_cero!$A$1,1,0,COUNT(Curvas_cupon_cero!$A:$A)-2,1),OFFSET(Curvas_cupon_cero!$A$1,1,MATCH($B$8,Curvas_cupon_cero!$1:$1,0)-1,COUNT(Curvas_cupon_cero!$A:$A)-2,1))))</f>
        <v/>
      </c>
      <c r="E272" s="23" t="str">
        <f t="shared" si="33"/>
        <v/>
      </c>
      <c r="F272" s="23" t="str">
        <f ca="1">IF(A272="","",IF($B$10="Sí",interpolar_alamb(B272,OFFSET(Curvas_cupon_cero!$A$1,1,0,COUNT(Curvas_cupon_cero!$A:$A)-2,1),OFFSET(Curvas_cupon_cero!$A$1,1,MATCH($B$9,Curvas_cupon_cero!$1:$1,0)-1,COUNT(Curvas_cupon_cero!$A:$A)-2,1)),[1]!interpolar(B272,OFFSET(Curvas_cupon_cero!$A$1,1,0,COUNT(Curvas_cupon_cero!$A:$A)-2,1),OFFSET(Curvas_cupon_cero!$A$1,1,MATCH($B$9,Curvas_cupon_cero!$1:$1,0)-1,COUNT(Curvas_cupon_cero!$A:$A)-2,1))))</f>
        <v/>
      </c>
      <c r="G272" s="23" t="str">
        <f t="shared" si="34"/>
        <v/>
      </c>
      <c r="H272" s="20" t="str">
        <f t="shared" si="39"/>
        <v/>
      </c>
      <c r="I272" t="str">
        <f t="shared" si="35"/>
        <v/>
      </c>
      <c r="J272" s="17" t="str">
        <f t="shared" si="31"/>
        <v/>
      </c>
      <c r="K272" s="18" t="str">
        <f t="shared" si="36"/>
        <v/>
      </c>
      <c r="L272" t="str">
        <f t="shared" si="37"/>
        <v/>
      </c>
      <c r="M272" s="23" t="str">
        <f ca="1">IF(A272="","",IF($B$10="Sí",interpolar_alamb(L272,OFFSET(Curvas_cupon_cero!$A$1,1,0,COUNT(Curvas_cupon_cero!$A:$A)-2,1),OFFSET(Curvas_cupon_cero!$A$1,1,MATCH($B$6,Curvas_cupon_cero!$1:$1,0)-1,COUNT(Curvas_cupon_cero!$A:$A)-2,1)),[1]!interpolar(L272,OFFSET(Curvas_cupon_cero!$A$1,1,0,COUNT(Curvas_cupon_cero!$A:$A)-2,1),OFFSET(Curvas_cupon_cero!$A$1,1,MATCH($B$6,Curvas_cupon_cero!$1:$1,0)-1,COUNT(Curvas_cupon_cero!$A:$A)-2,1))))</f>
        <v/>
      </c>
      <c r="N272" s="23"/>
      <c r="O272" s="19" t="str">
        <f t="shared" si="38"/>
        <v/>
      </c>
    </row>
    <row r="273" spans="1:15" x14ac:dyDescent="0.2">
      <c r="A273" s="12" t="str">
        <f t="shared" si="32"/>
        <v/>
      </c>
      <c r="B273" t="str">
        <f t="shared" ref="B273:B336" si="40">IF(A273="","",MAX(L273-$B$5,0))</f>
        <v/>
      </c>
      <c r="C273" s="21" t="str">
        <f ca="1">IF(A273="","",IF($B$10="Sí",interpolar_alamb(B273,OFFSET(Curvas_cupon_cero!$A$1,1,0,COUNT(Curvas_cupon_cero!$A:$A)-2,1),OFFSET(Curvas_cupon_cero!$A$1,1,MATCH($B$8,Curvas_cupon_cero!$1:$1,0)-1,COUNT(Curvas_cupon_cero!$A:$A)-2,1)),[1]!interpolar(B273,OFFSET(Curvas_cupon_cero!$A$1,1,0,COUNT(Curvas_cupon_cero!$A:$A)-2,1),OFFSET(Curvas_cupon_cero!$A$1,1,MATCH($B$8,Curvas_cupon_cero!$1:$1,0)-1,COUNT(Curvas_cupon_cero!$A:$A)-2,1))))</f>
        <v/>
      </c>
      <c r="D273" s="23" t="str">
        <f ca="1">IF(A273="","",IF($B$10="Sí",interpolar_alamb(L273,OFFSET(Curvas_cupon_cero!$A$1,1,0,COUNT(Curvas_cupon_cero!$A:$A)-2,1),OFFSET(Curvas_cupon_cero!$A$1,1,MATCH($B$8,Curvas_cupon_cero!$1:$1,0)-1,COUNT(Curvas_cupon_cero!$A:$A)-2,1)),[1]!interpolar(L273,OFFSET(Curvas_cupon_cero!$A$1,1,0,COUNT(Curvas_cupon_cero!$A:$A)-2,1),OFFSET(Curvas_cupon_cero!$A$1,1,MATCH($B$8,Curvas_cupon_cero!$1:$1,0)-1,COUNT(Curvas_cupon_cero!$A:$A)-2,1))))</f>
        <v/>
      </c>
      <c r="E273" s="23" t="str">
        <f t="shared" si="33"/>
        <v/>
      </c>
      <c r="F273" s="23" t="str">
        <f ca="1">IF(A273="","",IF($B$10="Sí",interpolar_alamb(B273,OFFSET(Curvas_cupon_cero!$A$1,1,0,COUNT(Curvas_cupon_cero!$A:$A)-2,1),OFFSET(Curvas_cupon_cero!$A$1,1,MATCH($B$9,Curvas_cupon_cero!$1:$1,0)-1,COUNT(Curvas_cupon_cero!$A:$A)-2,1)),[1]!interpolar(B273,OFFSET(Curvas_cupon_cero!$A$1,1,0,COUNT(Curvas_cupon_cero!$A:$A)-2,1),OFFSET(Curvas_cupon_cero!$A$1,1,MATCH($B$9,Curvas_cupon_cero!$1:$1,0)-1,COUNT(Curvas_cupon_cero!$A:$A)-2,1))))</f>
        <v/>
      </c>
      <c r="G273" s="23" t="str">
        <f t="shared" si="34"/>
        <v/>
      </c>
      <c r="H273" s="20" t="str">
        <f t="shared" si="39"/>
        <v/>
      </c>
      <c r="I273" t="str">
        <f t="shared" si="35"/>
        <v/>
      </c>
      <c r="J273" s="17" t="str">
        <f t="shared" ref="J273:J336" si="41">IF(A273="","",IF(A273=$B$4,$B$1*$B$2+$B$1*$B$5/360*$B$2*(E273*(1-I273)+H273*I273), $B$1*$B$5/360*$B$2*(E273*(1-I273)+H273*I273)))</f>
        <v/>
      </c>
      <c r="K273" s="18" t="str">
        <f t="shared" si="36"/>
        <v/>
      </c>
      <c r="L273" t="str">
        <f t="shared" si="37"/>
        <v/>
      </c>
      <c r="M273" s="23" t="str">
        <f ca="1">IF(A273="","",IF($B$10="Sí",interpolar_alamb(L273,OFFSET(Curvas_cupon_cero!$A$1,1,0,COUNT(Curvas_cupon_cero!$A:$A)-2,1),OFFSET(Curvas_cupon_cero!$A$1,1,MATCH($B$6,Curvas_cupon_cero!$1:$1,0)-1,COUNT(Curvas_cupon_cero!$A:$A)-2,1)),[1]!interpolar(L273,OFFSET(Curvas_cupon_cero!$A$1,1,0,COUNT(Curvas_cupon_cero!$A:$A)-2,1),OFFSET(Curvas_cupon_cero!$A$1,1,MATCH($B$6,Curvas_cupon_cero!$1:$1,0)-1,COUNT(Curvas_cupon_cero!$A:$A)-2,1))))</f>
        <v/>
      </c>
      <c r="N273" s="23"/>
      <c r="O273" s="19" t="str">
        <f t="shared" si="38"/>
        <v/>
      </c>
    </row>
    <row r="274" spans="1:15" x14ac:dyDescent="0.2">
      <c r="A274" s="12" t="str">
        <f t="shared" ref="A274:A337" si="42">IF(A273="","",IF((A273+$B$5)&gt;$B$4,"",(A273+$B$5)))</f>
        <v/>
      </c>
      <c r="B274" t="str">
        <f t="shared" si="40"/>
        <v/>
      </c>
      <c r="C274" s="21" t="str">
        <f ca="1">IF(A274="","",IF($B$10="Sí",interpolar_alamb(B274,OFFSET(Curvas_cupon_cero!$A$1,1,0,COUNT(Curvas_cupon_cero!$A:$A)-2,1),OFFSET(Curvas_cupon_cero!$A$1,1,MATCH($B$8,Curvas_cupon_cero!$1:$1,0)-1,COUNT(Curvas_cupon_cero!$A:$A)-2,1)),[1]!interpolar(B274,OFFSET(Curvas_cupon_cero!$A$1,1,0,COUNT(Curvas_cupon_cero!$A:$A)-2,1),OFFSET(Curvas_cupon_cero!$A$1,1,MATCH($B$8,Curvas_cupon_cero!$1:$1,0)-1,COUNT(Curvas_cupon_cero!$A:$A)-2,1))))</f>
        <v/>
      </c>
      <c r="D274" s="23" t="str">
        <f ca="1">IF(A274="","",IF($B$10="Sí",interpolar_alamb(L274,OFFSET(Curvas_cupon_cero!$A$1,1,0,COUNT(Curvas_cupon_cero!$A:$A)-2,1),OFFSET(Curvas_cupon_cero!$A$1,1,MATCH($B$8,Curvas_cupon_cero!$1:$1,0)-1,COUNT(Curvas_cupon_cero!$A:$A)-2,1)),[1]!interpolar(L274,OFFSET(Curvas_cupon_cero!$A$1,1,0,COUNT(Curvas_cupon_cero!$A:$A)-2,1),OFFSET(Curvas_cupon_cero!$A$1,1,MATCH($B$8,Curvas_cupon_cero!$1:$1,0)-1,COUNT(Curvas_cupon_cero!$A:$A)-2,1))))</f>
        <v/>
      </c>
      <c r="E274" s="23" t="str">
        <f t="shared" ref="E274:E337" si="43">IF(A274="","",((1+D274*L274/360)/(1+C274*B274/360)-1)*(360/(L274-B274)))</f>
        <v/>
      </c>
      <c r="F274" s="23" t="str">
        <f ca="1">IF(A274="","",IF($B$10="Sí",interpolar_alamb(B274,OFFSET(Curvas_cupon_cero!$A$1,1,0,COUNT(Curvas_cupon_cero!$A:$A)-2,1),OFFSET(Curvas_cupon_cero!$A$1,1,MATCH($B$9,Curvas_cupon_cero!$1:$1,0)-1,COUNT(Curvas_cupon_cero!$A:$A)-2,1)),[1]!interpolar(B274,OFFSET(Curvas_cupon_cero!$A$1,1,0,COUNT(Curvas_cupon_cero!$A:$A)-2,1),OFFSET(Curvas_cupon_cero!$A$1,1,MATCH($B$9,Curvas_cupon_cero!$1:$1,0)-1,COUNT(Curvas_cupon_cero!$A:$A)-2,1))))</f>
        <v/>
      </c>
      <c r="G274" s="23" t="str">
        <f t="shared" ref="G274:G337" si="44">IF(A274="","",$B$11*(1+M274*L274/360)/(1+F274*L274/360))</f>
        <v/>
      </c>
      <c r="H274" s="20" t="str">
        <f t="shared" si="39"/>
        <v/>
      </c>
      <c r="I274" t="str">
        <f t="shared" ref="I274:I337" si="45">IF(A274="","",IF(H274&gt;E274,1,0))</f>
        <v/>
      </c>
      <c r="J274" s="17" t="str">
        <f t="shared" si="41"/>
        <v/>
      </c>
      <c r="K274" s="18" t="str">
        <f t="shared" ref="K274:K337" si="46">IF(A274="","",$B$5)</f>
        <v/>
      </c>
      <c r="L274" t="str">
        <f t="shared" ref="L274:L337" si="47">IF(A274="","",L273+K274)</f>
        <v/>
      </c>
      <c r="M274" s="23" t="str">
        <f ca="1">IF(A274="","",IF($B$10="Sí",interpolar_alamb(L274,OFFSET(Curvas_cupon_cero!$A$1,1,0,COUNT(Curvas_cupon_cero!$A:$A)-2,1),OFFSET(Curvas_cupon_cero!$A$1,1,MATCH($B$6,Curvas_cupon_cero!$1:$1,0)-1,COUNT(Curvas_cupon_cero!$A:$A)-2,1)),[1]!interpolar(L274,OFFSET(Curvas_cupon_cero!$A$1,1,0,COUNT(Curvas_cupon_cero!$A:$A)-2,1),OFFSET(Curvas_cupon_cero!$A$1,1,MATCH($B$6,Curvas_cupon_cero!$1:$1,0)-1,COUNT(Curvas_cupon_cero!$A:$A)-2,1))))</f>
        <v/>
      </c>
      <c r="N274" s="23"/>
      <c r="O274" s="19" t="str">
        <f t="shared" ref="O274:O337" si="48">IF(A274="","",J274/(1+(M274+N274)*L274/360))</f>
        <v/>
      </c>
    </row>
    <row r="275" spans="1:15" x14ac:dyDescent="0.2">
      <c r="A275" s="12" t="str">
        <f t="shared" si="42"/>
        <v/>
      </c>
      <c r="B275" t="str">
        <f t="shared" si="40"/>
        <v/>
      </c>
      <c r="C275" s="21" t="str">
        <f ca="1">IF(A275="","",IF($B$10="Sí",interpolar_alamb(B275,OFFSET(Curvas_cupon_cero!$A$1,1,0,COUNT(Curvas_cupon_cero!$A:$A)-2,1),OFFSET(Curvas_cupon_cero!$A$1,1,MATCH($B$8,Curvas_cupon_cero!$1:$1,0)-1,COUNT(Curvas_cupon_cero!$A:$A)-2,1)),[1]!interpolar(B275,OFFSET(Curvas_cupon_cero!$A$1,1,0,COUNT(Curvas_cupon_cero!$A:$A)-2,1),OFFSET(Curvas_cupon_cero!$A$1,1,MATCH($B$8,Curvas_cupon_cero!$1:$1,0)-1,COUNT(Curvas_cupon_cero!$A:$A)-2,1))))</f>
        <v/>
      </c>
      <c r="D275" s="23" t="str">
        <f ca="1">IF(A275="","",IF($B$10="Sí",interpolar_alamb(L275,OFFSET(Curvas_cupon_cero!$A$1,1,0,COUNT(Curvas_cupon_cero!$A:$A)-2,1),OFFSET(Curvas_cupon_cero!$A$1,1,MATCH($B$8,Curvas_cupon_cero!$1:$1,0)-1,COUNT(Curvas_cupon_cero!$A:$A)-2,1)),[1]!interpolar(L275,OFFSET(Curvas_cupon_cero!$A$1,1,0,COUNT(Curvas_cupon_cero!$A:$A)-2,1),OFFSET(Curvas_cupon_cero!$A$1,1,MATCH($B$8,Curvas_cupon_cero!$1:$1,0)-1,COUNT(Curvas_cupon_cero!$A:$A)-2,1))))</f>
        <v/>
      </c>
      <c r="E275" s="23" t="str">
        <f t="shared" si="43"/>
        <v/>
      </c>
      <c r="F275" s="23" t="str">
        <f ca="1">IF(A275="","",IF($B$10="Sí",interpolar_alamb(B275,OFFSET(Curvas_cupon_cero!$A$1,1,0,COUNT(Curvas_cupon_cero!$A:$A)-2,1),OFFSET(Curvas_cupon_cero!$A$1,1,MATCH($B$9,Curvas_cupon_cero!$1:$1,0)-1,COUNT(Curvas_cupon_cero!$A:$A)-2,1)),[1]!interpolar(B275,OFFSET(Curvas_cupon_cero!$A$1,1,0,COUNT(Curvas_cupon_cero!$A:$A)-2,1),OFFSET(Curvas_cupon_cero!$A$1,1,MATCH($B$9,Curvas_cupon_cero!$1:$1,0)-1,COUNT(Curvas_cupon_cero!$A:$A)-2,1))))</f>
        <v/>
      </c>
      <c r="G275" s="23" t="str">
        <f t="shared" si="44"/>
        <v/>
      </c>
      <c r="H275" s="20" t="str">
        <f t="shared" ref="H275:H338" si="49">IF(A275="","",(G275/G274-1)*360/$B$5)</f>
        <v/>
      </c>
      <c r="I275" t="str">
        <f t="shared" si="45"/>
        <v/>
      </c>
      <c r="J275" s="17" t="str">
        <f t="shared" si="41"/>
        <v/>
      </c>
      <c r="K275" s="18" t="str">
        <f t="shared" si="46"/>
        <v/>
      </c>
      <c r="L275" t="str">
        <f t="shared" si="47"/>
        <v/>
      </c>
      <c r="M275" s="23" t="str">
        <f ca="1">IF(A275="","",IF($B$10="Sí",interpolar_alamb(L275,OFFSET(Curvas_cupon_cero!$A$1,1,0,COUNT(Curvas_cupon_cero!$A:$A)-2,1),OFFSET(Curvas_cupon_cero!$A$1,1,MATCH($B$6,Curvas_cupon_cero!$1:$1,0)-1,COUNT(Curvas_cupon_cero!$A:$A)-2,1)),[1]!interpolar(L275,OFFSET(Curvas_cupon_cero!$A$1,1,0,COUNT(Curvas_cupon_cero!$A:$A)-2,1),OFFSET(Curvas_cupon_cero!$A$1,1,MATCH($B$6,Curvas_cupon_cero!$1:$1,0)-1,COUNT(Curvas_cupon_cero!$A:$A)-2,1))))</f>
        <v/>
      </c>
      <c r="N275" s="23"/>
      <c r="O275" s="19" t="str">
        <f t="shared" si="48"/>
        <v/>
      </c>
    </row>
    <row r="276" spans="1:15" x14ac:dyDescent="0.2">
      <c r="A276" s="12" t="str">
        <f t="shared" si="42"/>
        <v/>
      </c>
      <c r="B276" t="str">
        <f t="shared" si="40"/>
        <v/>
      </c>
      <c r="C276" s="21" t="str">
        <f ca="1">IF(A276="","",IF($B$10="Sí",interpolar_alamb(B276,OFFSET(Curvas_cupon_cero!$A$1,1,0,COUNT(Curvas_cupon_cero!$A:$A)-2,1),OFFSET(Curvas_cupon_cero!$A$1,1,MATCH($B$8,Curvas_cupon_cero!$1:$1,0)-1,COUNT(Curvas_cupon_cero!$A:$A)-2,1)),[1]!interpolar(B276,OFFSET(Curvas_cupon_cero!$A$1,1,0,COUNT(Curvas_cupon_cero!$A:$A)-2,1),OFFSET(Curvas_cupon_cero!$A$1,1,MATCH($B$8,Curvas_cupon_cero!$1:$1,0)-1,COUNT(Curvas_cupon_cero!$A:$A)-2,1))))</f>
        <v/>
      </c>
      <c r="D276" s="23" t="str">
        <f ca="1">IF(A276="","",IF($B$10="Sí",interpolar_alamb(L276,OFFSET(Curvas_cupon_cero!$A$1,1,0,COUNT(Curvas_cupon_cero!$A:$A)-2,1),OFFSET(Curvas_cupon_cero!$A$1,1,MATCH($B$8,Curvas_cupon_cero!$1:$1,0)-1,COUNT(Curvas_cupon_cero!$A:$A)-2,1)),[1]!interpolar(L276,OFFSET(Curvas_cupon_cero!$A$1,1,0,COUNT(Curvas_cupon_cero!$A:$A)-2,1),OFFSET(Curvas_cupon_cero!$A$1,1,MATCH($B$8,Curvas_cupon_cero!$1:$1,0)-1,COUNT(Curvas_cupon_cero!$A:$A)-2,1))))</f>
        <v/>
      </c>
      <c r="E276" s="23" t="str">
        <f t="shared" si="43"/>
        <v/>
      </c>
      <c r="F276" s="23" t="str">
        <f ca="1">IF(A276="","",IF($B$10="Sí",interpolar_alamb(B276,OFFSET(Curvas_cupon_cero!$A$1,1,0,COUNT(Curvas_cupon_cero!$A:$A)-2,1),OFFSET(Curvas_cupon_cero!$A$1,1,MATCH($B$9,Curvas_cupon_cero!$1:$1,0)-1,COUNT(Curvas_cupon_cero!$A:$A)-2,1)),[1]!interpolar(B276,OFFSET(Curvas_cupon_cero!$A$1,1,0,COUNT(Curvas_cupon_cero!$A:$A)-2,1),OFFSET(Curvas_cupon_cero!$A$1,1,MATCH($B$9,Curvas_cupon_cero!$1:$1,0)-1,COUNT(Curvas_cupon_cero!$A:$A)-2,1))))</f>
        <v/>
      </c>
      <c r="G276" s="23" t="str">
        <f t="shared" si="44"/>
        <v/>
      </c>
      <c r="H276" s="20" t="str">
        <f t="shared" si="49"/>
        <v/>
      </c>
      <c r="I276" t="str">
        <f t="shared" si="45"/>
        <v/>
      </c>
      <c r="J276" s="17" t="str">
        <f t="shared" si="41"/>
        <v/>
      </c>
      <c r="K276" s="18" t="str">
        <f t="shared" si="46"/>
        <v/>
      </c>
      <c r="L276" t="str">
        <f t="shared" si="47"/>
        <v/>
      </c>
      <c r="M276" s="23" t="str">
        <f ca="1">IF(A276="","",IF($B$10="Sí",interpolar_alamb(L276,OFFSET(Curvas_cupon_cero!$A$1,1,0,COUNT(Curvas_cupon_cero!$A:$A)-2,1),OFFSET(Curvas_cupon_cero!$A$1,1,MATCH($B$6,Curvas_cupon_cero!$1:$1,0)-1,COUNT(Curvas_cupon_cero!$A:$A)-2,1)),[1]!interpolar(L276,OFFSET(Curvas_cupon_cero!$A$1,1,0,COUNT(Curvas_cupon_cero!$A:$A)-2,1),OFFSET(Curvas_cupon_cero!$A$1,1,MATCH($B$6,Curvas_cupon_cero!$1:$1,0)-1,COUNT(Curvas_cupon_cero!$A:$A)-2,1))))</f>
        <v/>
      </c>
      <c r="N276" s="23"/>
      <c r="O276" s="19" t="str">
        <f t="shared" si="48"/>
        <v/>
      </c>
    </row>
    <row r="277" spans="1:15" x14ac:dyDescent="0.2">
      <c r="A277" s="12" t="str">
        <f t="shared" si="42"/>
        <v/>
      </c>
      <c r="B277" t="str">
        <f t="shared" si="40"/>
        <v/>
      </c>
      <c r="C277" s="21" t="str">
        <f ca="1">IF(A277="","",IF($B$10="Sí",interpolar_alamb(B277,OFFSET(Curvas_cupon_cero!$A$1,1,0,COUNT(Curvas_cupon_cero!$A:$A)-2,1),OFFSET(Curvas_cupon_cero!$A$1,1,MATCH($B$8,Curvas_cupon_cero!$1:$1,0)-1,COUNT(Curvas_cupon_cero!$A:$A)-2,1)),[1]!interpolar(B277,OFFSET(Curvas_cupon_cero!$A$1,1,0,COUNT(Curvas_cupon_cero!$A:$A)-2,1),OFFSET(Curvas_cupon_cero!$A$1,1,MATCH($B$8,Curvas_cupon_cero!$1:$1,0)-1,COUNT(Curvas_cupon_cero!$A:$A)-2,1))))</f>
        <v/>
      </c>
      <c r="D277" s="23" t="str">
        <f ca="1">IF(A277="","",IF($B$10="Sí",interpolar_alamb(L277,OFFSET(Curvas_cupon_cero!$A$1,1,0,COUNT(Curvas_cupon_cero!$A:$A)-2,1),OFFSET(Curvas_cupon_cero!$A$1,1,MATCH($B$8,Curvas_cupon_cero!$1:$1,0)-1,COUNT(Curvas_cupon_cero!$A:$A)-2,1)),[1]!interpolar(L277,OFFSET(Curvas_cupon_cero!$A$1,1,0,COUNT(Curvas_cupon_cero!$A:$A)-2,1),OFFSET(Curvas_cupon_cero!$A$1,1,MATCH($B$8,Curvas_cupon_cero!$1:$1,0)-1,COUNT(Curvas_cupon_cero!$A:$A)-2,1))))</f>
        <v/>
      </c>
      <c r="E277" s="23" t="str">
        <f t="shared" si="43"/>
        <v/>
      </c>
      <c r="F277" s="23" t="str">
        <f ca="1">IF(A277="","",IF($B$10="Sí",interpolar_alamb(B277,OFFSET(Curvas_cupon_cero!$A$1,1,0,COUNT(Curvas_cupon_cero!$A:$A)-2,1),OFFSET(Curvas_cupon_cero!$A$1,1,MATCH($B$9,Curvas_cupon_cero!$1:$1,0)-1,COUNT(Curvas_cupon_cero!$A:$A)-2,1)),[1]!interpolar(B277,OFFSET(Curvas_cupon_cero!$A$1,1,0,COUNT(Curvas_cupon_cero!$A:$A)-2,1),OFFSET(Curvas_cupon_cero!$A$1,1,MATCH($B$9,Curvas_cupon_cero!$1:$1,0)-1,COUNT(Curvas_cupon_cero!$A:$A)-2,1))))</f>
        <v/>
      </c>
      <c r="G277" s="23" t="str">
        <f t="shared" si="44"/>
        <v/>
      </c>
      <c r="H277" s="20" t="str">
        <f t="shared" si="49"/>
        <v/>
      </c>
      <c r="I277" t="str">
        <f t="shared" si="45"/>
        <v/>
      </c>
      <c r="J277" s="17" t="str">
        <f t="shared" si="41"/>
        <v/>
      </c>
      <c r="K277" s="18" t="str">
        <f t="shared" si="46"/>
        <v/>
      </c>
      <c r="L277" t="str">
        <f t="shared" si="47"/>
        <v/>
      </c>
      <c r="M277" s="23" t="str">
        <f ca="1">IF(A277="","",IF($B$10="Sí",interpolar_alamb(L277,OFFSET(Curvas_cupon_cero!$A$1,1,0,COUNT(Curvas_cupon_cero!$A:$A)-2,1),OFFSET(Curvas_cupon_cero!$A$1,1,MATCH($B$6,Curvas_cupon_cero!$1:$1,0)-1,COUNT(Curvas_cupon_cero!$A:$A)-2,1)),[1]!interpolar(L277,OFFSET(Curvas_cupon_cero!$A$1,1,0,COUNT(Curvas_cupon_cero!$A:$A)-2,1),OFFSET(Curvas_cupon_cero!$A$1,1,MATCH($B$6,Curvas_cupon_cero!$1:$1,0)-1,COUNT(Curvas_cupon_cero!$A:$A)-2,1))))</f>
        <v/>
      </c>
      <c r="N277" s="23"/>
      <c r="O277" s="19" t="str">
        <f t="shared" si="48"/>
        <v/>
      </c>
    </row>
    <row r="278" spans="1:15" x14ac:dyDescent="0.2">
      <c r="A278" s="12" t="str">
        <f t="shared" si="42"/>
        <v/>
      </c>
      <c r="B278" t="str">
        <f t="shared" si="40"/>
        <v/>
      </c>
      <c r="C278" s="21" t="str">
        <f ca="1">IF(A278="","",IF($B$10="Sí",interpolar_alamb(B278,OFFSET(Curvas_cupon_cero!$A$1,1,0,COUNT(Curvas_cupon_cero!$A:$A)-2,1),OFFSET(Curvas_cupon_cero!$A$1,1,MATCH($B$8,Curvas_cupon_cero!$1:$1,0)-1,COUNT(Curvas_cupon_cero!$A:$A)-2,1)),[1]!interpolar(B278,OFFSET(Curvas_cupon_cero!$A$1,1,0,COUNT(Curvas_cupon_cero!$A:$A)-2,1),OFFSET(Curvas_cupon_cero!$A$1,1,MATCH($B$8,Curvas_cupon_cero!$1:$1,0)-1,COUNT(Curvas_cupon_cero!$A:$A)-2,1))))</f>
        <v/>
      </c>
      <c r="D278" s="23" t="str">
        <f ca="1">IF(A278="","",IF($B$10="Sí",interpolar_alamb(L278,OFFSET(Curvas_cupon_cero!$A$1,1,0,COUNT(Curvas_cupon_cero!$A:$A)-2,1),OFFSET(Curvas_cupon_cero!$A$1,1,MATCH($B$8,Curvas_cupon_cero!$1:$1,0)-1,COUNT(Curvas_cupon_cero!$A:$A)-2,1)),[1]!interpolar(L278,OFFSET(Curvas_cupon_cero!$A$1,1,0,COUNT(Curvas_cupon_cero!$A:$A)-2,1),OFFSET(Curvas_cupon_cero!$A$1,1,MATCH($B$8,Curvas_cupon_cero!$1:$1,0)-1,COUNT(Curvas_cupon_cero!$A:$A)-2,1))))</f>
        <v/>
      </c>
      <c r="E278" s="23" t="str">
        <f t="shared" si="43"/>
        <v/>
      </c>
      <c r="F278" s="23" t="str">
        <f ca="1">IF(A278="","",IF($B$10="Sí",interpolar_alamb(B278,OFFSET(Curvas_cupon_cero!$A$1,1,0,COUNT(Curvas_cupon_cero!$A:$A)-2,1),OFFSET(Curvas_cupon_cero!$A$1,1,MATCH($B$9,Curvas_cupon_cero!$1:$1,0)-1,COUNT(Curvas_cupon_cero!$A:$A)-2,1)),[1]!interpolar(B278,OFFSET(Curvas_cupon_cero!$A$1,1,0,COUNT(Curvas_cupon_cero!$A:$A)-2,1),OFFSET(Curvas_cupon_cero!$A$1,1,MATCH($B$9,Curvas_cupon_cero!$1:$1,0)-1,COUNT(Curvas_cupon_cero!$A:$A)-2,1))))</f>
        <v/>
      </c>
      <c r="G278" s="23" t="str">
        <f t="shared" si="44"/>
        <v/>
      </c>
      <c r="H278" s="20" t="str">
        <f t="shared" si="49"/>
        <v/>
      </c>
      <c r="I278" t="str">
        <f t="shared" si="45"/>
        <v/>
      </c>
      <c r="J278" s="17" t="str">
        <f t="shared" si="41"/>
        <v/>
      </c>
      <c r="K278" s="18" t="str">
        <f t="shared" si="46"/>
        <v/>
      </c>
      <c r="L278" t="str">
        <f t="shared" si="47"/>
        <v/>
      </c>
      <c r="M278" s="23" t="str">
        <f ca="1">IF(A278="","",IF($B$10="Sí",interpolar_alamb(L278,OFFSET(Curvas_cupon_cero!$A$1,1,0,COUNT(Curvas_cupon_cero!$A:$A)-2,1),OFFSET(Curvas_cupon_cero!$A$1,1,MATCH($B$6,Curvas_cupon_cero!$1:$1,0)-1,COUNT(Curvas_cupon_cero!$A:$A)-2,1)),[1]!interpolar(L278,OFFSET(Curvas_cupon_cero!$A$1,1,0,COUNT(Curvas_cupon_cero!$A:$A)-2,1),OFFSET(Curvas_cupon_cero!$A$1,1,MATCH($B$6,Curvas_cupon_cero!$1:$1,0)-1,COUNT(Curvas_cupon_cero!$A:$A)-2,1))))</f>
        <v/>
      </c>
      <c r="N278" s="23"/>
      <c r="O278" s="19" t="str">
        <f t="shared" si="48"/>
        <v/>
      </c>
    </row>
    <row r="279" spans="1:15" x14ac:dyDescent="0.2">
      <c r="A279" s="12" t="str">
        <f t="shared" si="42"/>
        <v/>
      </c>
      <c r="B279" t="str">
        <f t="shared" si="40"/>
        <v/>
      </c>
      <c r="C279" s="21" t="str">
        <f ca="1">IF(A279="","",IF($B$10="Sí",interpolar_alamb(B279,OFFSET(Curvas_cupon_cero!$A$1,1,0,COUNT(Curvas_cupon_cero!$A:$A)-2,1),OFFSET(Curvas_cupon_cero!$A$1,1,MATCH($B$8,Curvas_cupon_cero!$1:$1,0)-1,COUNT(Curvas_cupon_cero!$A:$A)-2,1)),[1]!interpolar(B279,OFFSET(Curvas_cupon_cero!$A$1,1,0,COUNT(Curvas_cupon_cero!$A:$A)-2,1),OFFSET(Curvas_cupon_cero!$A$1,1,MATCH($B$8,Curvas_cupon_cero!$1:$1,0)-1,COUNT(Curvas_cupon_cero!$A:$A)-2,1))))</f>
        <v/>
      </c>
      <c r="D279" s="23" t="str">
        <f ca="1">IF(A279="","",IF($B$10="Sí",interpolar_alamb(L279,OFFSET(Curvas_cupon_cero!$A$1,1,0,COUNT(Curvas_cupon_cero!$A:$A)-2,1),OFFSET(Curvas_cupon_cero!$A$1,1,MATCH($B$8,Curvas_cupon_cero!$1:$1,0)-1,COUNT(Curvas_cupon_cero!$A:$A)-2,1)),[1]!interpolar(L279,OFFSET(Curvas_cupon_cero!$A$1,1,0,COUNT(Curvas_cupon_cero!$A:$A)-2,1),OFFSET(Curvas_cupon_cero!$A$1,1,MATCH($B$8,Curvas_cupon_cero!$1:$1,0)-1,COUNT(Curvas_cupon_cero!$A:$A)-2,1))))</f>
        <v/>
      </c>
      <c r="E279" s="23" t="str">
        <f t="shared" si="43"/>
        <v/>
      </c>
      <c r="F279" s="23" t="str">
        <f ca="1">IF(A279="","",IF($B$10="Sí",interpolar_alamb(B279,OFFSET(Curvas_cupon_cero!$A$1,1,0,COUNT(Curvas_cupon_cero!$A:$A)-2,1),OFFSET(Curvas_cupon_cero!$A$1,1,MATCH($B$9,Curvas_cupon_cero!$1:$1,0)-1,COUNT(Curvas_cupon_cero!$A:$A)-2,1)),[1]!interpolar(B279,OFFSET(Curvas_cupon_cero!$A$1,1,0,COUNT(Curvas_cupon_cero!$A:$A)-2,1),OFFSET(Curvas_cupon_cero!$A$1,1,MATCH($B$9,Curvas_cupon_cero!$1:$1,0)-1,COUNT(Curvas_cupon_cero!$A:$A)-2,1))))</f>
        <v/>
      </c>
      <c r="G279" s="23" t="str">
        <f t="shared" si="44"/>
        <v/>
      </c>
      <c r="H279" s="20" t="str">
        <f t="shared" si="49"/>
        <v/>
      </c>
      <c r="I279" t="str">
        <f t="shared" si="45"/>
        <v/>
      </c>
      <c r="J279" s="17" t="str">
        <f t="shared" si="41"/>
        <v/>
      </c>
      <c r="K279" s="18" t="str">
        <f t="shared" si="46"/>
        <v/>
      </c>
      <c r="L279" t="str">
        <f t="shared" si="47"/>
        <v/>
      </c>
      <c r="M279" s="23" t="str">
        <f ca="1">IF(A279="","",IF($B$10="Sí",interpolar_alamb(L279,OFFSET(Curvas_cupon_cero!$A$1,1,0,COUNT(Curvas_cupon_cero!$A:$A)-2,1),OFFSET(Curvas_cupon_cero!$A$1,1,MATCH($B$6,Curvas_cupon_cero!$1:$1,0)-1,COUNT(Curvas_cupon_cero!$A:$A)-2,1)),[1]!interpolar(L279,OFFSET(Curvas_cupon_cero!$A$1,1,0,COUNT(Curvas_cupon_cero!$A:$A)-2,1),OFFSET(Curvas_cupon_cero!$A$1,1,MATCH($B$6,Curvas_cupon_cero!$1:$1,0)-1,COUNT(Curvas_cupon_cero!$A:$A)-2,1))))</f>
        <v/>
      </c>
      <c r="N279" s="23"/>
      <c r="O279" s="19" t="str">
        <f t="shared" si="48"/>
        <v/>
      </c>
    </row>
    <row r="280" spans="1:15" x14ac:dyDescent="0.2">
      <c r="A280" s="12" t="str">
        <f t="shared" si="42"/>
        <v/>
      </c>
      <c r="B280" t="str">
        <f t="shared" si="40"/>
        <v/>
      </c>
      <c r="C280" s="21" t="str">
        <f ca="1">IF(A280="","",IF($B$10="Sí",interpolar_alamb(B280,OFFSET(Curvas_cupon_cero!$A$1,1,0,COUNT(Curvas_cupon_cero!$A:$A)-2,1),OFFSET(Curvas_cupon_cero!$A$1,1,MATCH($B$8,Curvas_cupon_cero!$1:$1,0)-1,COUNT(Curvas_cupon_cero!$A:$A)-2,1)),[1]!interpolar(B280,OFFSET(Curvas_cupon_cero!$A$1,1,0,COUNT(Curvas_cupon_cero!$A:$A)-2,1),OFFSET(Curvas_cupon_cero!$A$1,1,MATCH($B$8,Curvas_cupon_cero!$1:$1,0)-1,COUNT(Curvas_cupon_cero!$A:$A)-2,1))))</f>
        <v/>
      </c>
      <c r="D280" s="23" t="str">
        <f ca="1">IF(A280="","",IF($B$10="Sí",interpolar_alamb(L280,OFFSET(Curvas_cupon_cero!$A$1,1,0,COUNT(Curvas_cupon_cero!$A:$A)-2,1),OFFSET(Curvas_cupon_cero!$A$1,1,MATCH($B$8,Curvas_cupon_cero!$1:$1,0)-1,COUNT(Curvas_cupon_cero!$A:$A)-2,1)),[1]!interpolar(L280,OFFSET(Curvas_cupon_cero!$A$1,1,0,COUNT(Curvas_cupon_cero!$A:$A)-2,1),OFFSET(Curvas_cupon_cero!$A$1,1,MATCH($B$8,Curvas_cupon_cero!$1:$1,0)-1,COUNT(Curvas_cupon_cero!$A:$A)-2,1))))</f>
        <v/>
      </c>
      <c r="E280" s="23" t="str">
        <f t="shared" si="43"/>
        <v/>
      </c>
      <c r="F280" s="23" t="str">
        <f ca="1">IF(A280="","",IF($B$10="Sí",interpolar_alamb(B280,OFFSET(Curvas_cupon_cero!$A$1,1,0,COUNT(Curvas_cupon_cero!$A:$A)-2,1),OFFSET(Curvas_cupon_cero!$A$1,1,MATCH($B$9,Curvas_cupon_cero!$1:$1,0)-1,COUNT(Curvas_cupon_cero!$A:$A)-2,1)),[1]!interpolar(B280,OFFSET(Curvas_cupon_cero!$A$1,1,0,COUNT(Curvas_cupon_cero!$A:$A)-2,1),OFFSET(Curvas_cupon_cero!$A$1,1,MATCH($B$9,Curvas_cupon_cero!$1:$1,0)-1,COUNT(Curvas_cupon_cero!$A:$A)-2,1))))</f>
        <v/>
      </c>
      <c r="G280" s="23" t="str">
        <f t="shared" si="44"/>
        <v/>
      </c>
      <c r="H280" s="20" t="str">
        <f t="shared" si="49"/>
        <v/>
      </c>
      <c r="I280" t="str">
        <f t="shared" si="45"/>
        <v/>
      </c>
      <c r="J280" s="17" t="str">
        <f t="shared" si="41"/>
        <v/>
      </c>
      <c r="K280" s="18" t="str">
        <f t="shared" si="46"/>
        <v/>
      </c>
      <c r="L280" t="str">
        <f t="shared" si="47"/>
        <v/>
      </c>
      <c r="M280" s="23" t="str">
        <f ca="1">IF(A280="","",IF($B$10="Sí",interpolar_alamb(L280,OFFSET(Curvas_cupon_cero!$A$1,1,0,COUNT(Curvas_cupon_cero!$A:$A)-2,1),OFFSET(Curvas_cupon_cero!$A$1,1,MATCH($B$6,Curvas_cupon_cero!$1:$1,0)-1,COUNT(Curvas_cupon_cero!$A:$A)-2,1)),[1]!interpolar(L280,OFFSET(Curvas_cupon_cero!$A$1,1,0,COUNT(Curvas_cupon_cero!$A:$A)-2,1),OFFSET(Curvas_cupon_cero!$A$1,1,MATCH($B$6,Curvas_cupon_cero!$1:$1,0)-1,COUNT(Curvas_cupon_cero!$A:$A)-2,1))))</f>
        <v/>
      </c>
      <c r="N280" s="23"/>
      <c r="O280" s="19" t="str">
        <f t="shared" si="48"/>
        <v/>
      </c>
    </row>
    <row r="281" spans="1:15" x14ac:dyDescent="0.2">
      <c r="A281" s="12" t="str">
        <f t="shared" si="42"/>
        <v/>
      </c>
      <c r="B281" t="str">
        <f t="shared" si="40"/>
        <v/>
      </c>
      <c r="C281" s="21" t="str">
        <f ca="1">IF(A281="","",IF($B$10="Sí",interpolar_alamb(B281,OFFSET(Curvas_cupon_cero!$A$1,1,0,COUNT(Curvas_cupon_cero!$A:$A)-2,1),OFFSET(Curvas_cupon_cero!$A$1,1,MATCH($B$8,Curvas_cupon_cero!$1:$1,0)-1,COUNT(Curvas_cupon_cero!$A:$A)-2,1)),[1]!interpolar(B281,OFFSET(Curvas_cupon_cero!$A$1,1,0,COUNT(Curvas_cupon_cero!$A:$A)-2,1),OFFSET(Curvas_cupon_cero!$A$1,1,MATCH($B$8,Curvas_cupon_cero!$1:$1,0)-1,COUNT(Curvas_cupon_cero!$A:$A)-2,1))))</f>
        <v/>
      </c>
      <c r="D281" s="23" t="str">
        <f ca="1">IF(A281="","",IF($B$10="Sí",interpolar_alamb(L281,OFFSET(Curvas_cupon_cero!$A$1,1,0,COUNT(Curvas_cupon_cero!$A:$A)-2,1),OFFSET(Curvas_cupon_cero!$A$1,1,MATCH($B$8,Curvas_cupon_cero!$1:$1,0)-1,COUNT(Curvas_cupon_cero!$A:$A)-2,1)),[1]!interpolar(L281,OFFSET(Curvas_cupon_cero!$A$1,1,0,COUNT(Curvas_cupon_cero!$A:$A)-2,1),OFFSET(Curvas_cupon_cero!$A$1,1,MATCH($B$8,Curvas_cupon_cero!$1:$1,0)-1,COUNT(Curvas_cupon_cero!$A:$A)-2,1))))</f>
        <v/>
      </c>
      <c r="E281" s="23" t="str">
        <f t="shared" si="43"/>
        <v/>
      </c>
      <c r="F281" s="23" t="str">
        <f ca="1">IF(A281="","",IF($B$10="Sí",interpolar_alamb(B281,OFFSET(Curvas_cupon_cero!$A$1,1,0,COUNT(Curvas_cupon_cero!$A:$A)-2,1),OFFSET(Curvas_cupon_cero!$A$1,1,MATCH($B$9,Curvas_cupon_cero!$1:$1,0)-1,COUNT(Curvas_cupon_cero!$A:$A)-2,1)),[1]!interpolar(B281,OFFSET(Curvas_cupon_cero!$A$1,1,0,COUNT(Curvas_cupon_cero!$A:$A)-2,1),OFFSET(Curvas_cupon_cero!$A$1,1,MATCH($B$9,Curvas_cupon_cero!$1:$1,0)-1,COUNT(Curvas_cupon_cero!$A:$A)-2,1))))</f>
        <v/>
      </c>
      <c r="G281" s="23" t="str">
        <f t="shared" si="44"/>
        <v/>
      </c>
      <c r="H281" s="20" t="str">
        <f t="shared" si="49"/>
        <v/>
      </c>
      <c r="I281" t="str">
        <f t="shared" si="45"/>
        <v/>
      </c>
      <c r="J281" s="17" t="str">
        <f t="shared" si="41"/>
        <v/>
      </c>
      <c r="K281" s="18" t="str">
        <f t="shared" si="46"/>
        <v/>
      </c>
      <c r="L281" t="str">
        <f t="shared" si="47"/>
        <v/>
      </c>
      <c r="M281" s="23" t="str">
        <f ca="1">IF(A281="","",IF($B$10="Sí",interpolar_alamb(L281,OFFSET(Curvas_cupon_cero!$A$1,1,0,COUNT(Curvas_cupon_cero!$A:$A)-2,1),OFFSET(Curvas_cupon_cero!$A$1,1,MATCH($B$6,Curvas_cupon_cero!$1:$1,0)-1,COUNT(Curvas_cupon_cero!$A:$A)-2,1)),[1]!interpolar(L281,OFFSET(Curvas_cupon_cero!$A$1,1,0,COUNT(Curvas_cupon_cero!$A:$A)-2,1),OFFSET(Curvas_cupon_cero!$A$1,1,MATCH($B$6,Curvas_cupon_cero!$1:$1,0)-1,COUNT(Curvas_cupon_cero!$A:$A)-2,1))))</f>
        <v/>
      </c>
      <c r="N281" s="23"/>
      <c r="O281" s="19" t="str">
        <f t="shared" si="48"/>
        <v/>
      </c>
    </row>
    <row r="282" spans="1:15" x14ac:dyDescent="0.2">
      <c r="A282" s="12" t="str">
        <f t="shared" si="42"/>
        <v/>
      </c>
      <c r="B282" t="str">
        <f t="shared" si="40"/>
        <v/>
      </c>
      <c r="C282" s="21" t="str">
        <f ca="1">IF(A282="","",IF($B$10="Sí",interpolar_alamb(B282,OFFSET(Curvas_cupon_cero!$A$1,1,0,COUNT(Curvas_cupon_cero!$A:$A)-2,1),OFFSET(Curvas_cupon_cero!$A$1,1,MATCH($B$8,Curvas_cupon_cero!$1:$1,0)-1,COUNT(Curvas_cupon_cero!$A:$A)-2,1)),[1]!interpolar(B282,OFFSET(Curvas_cupon_cero!$A$1,1,0,COUNT(Curvas_cupon_cero!$A:$A)-2,1),OFFSET(Curvas_cupon_cero!$A$1,1,MATCH($B$8,Curvas_cupon_cero!$1:$1,0)-1,COUNT(Curvas_cupon_cero!$A:$A)-2,1))))</f>
        <v/>
      </c>
      <c r="D282" s="23" t="str">
        <f ca="1">IF(A282="","",IF($B$10="Sí",interpolar_alamb(L282,OFFSET(Curvas_cupon_cero!$A$1,1,0,COUNT(Curvas_cupon_cero!$A:$A)-2,1),OFFSET(Curvas_cupon_cero!$A$1,1,MATCH($B$8,Curvas_cupon_cero!$1:$1,0)-1,COUNT(Curvas_cupon_cero!$A:$A)-2,1)),[1]!interpolar(L282,OFFSET(Curvas_cupon_cero!$A$1,1,0,COUNT(Curvas_cupon_cero!$A:$A)-2,1),OFFSET(Curvas_cupon_cero!$A$1,1,MATCH($B$8,Curvas_cupon_cero!$1:$1,0)-1,COUNT(Curvas_cupon_cero!$A:$A)-2,1))))</f>
        <v/>
      </c>
      <c r="E282" s="23" t="str">
        <f t="shared" si="43"/>
        <v/>
      </c>
      <c r="F282" s="23" t="str">
        <f ca="1">IF(A282="","",IF($B$10="Sí",interpolar_alamb(B282,OFFSET(Curvas_cupon_cero!$A$1,1,0,COUNT(Curvas_cupon_cero!$A:$A)-2,1),OFFSET(Curvas_cupon_cero!$A$1,1,MATCH($B$9,Curvas_cupon_cero!$1:$1,0)-1,COUNT(Curvas_cupon_cero!$A:$A)-2,1)),[1]!interpolar(B282,OFFSET(Curvas_cupon_cero!$A$1,1,0,COUNT(Curvas_cupon_cero!$A:$A)-2,1),OFFSET(Curvas_cupon_cero!$A$1,1,MATCH($B$9,Curvas_cupon_cero!$1:$1,0)-1,COUNT(Curvas_cupon_cero!$A:$A)-2,1))))</f>
        <v/>
      </c>
      <c r="G282" s="23" t="str">
        <f t="shared" si="44"/>
        <v/>
      </c>
      <c r="H282" s="20" t="str">
        <f t="shared" si="49"/>
        <v/>
      </c>
      <c r="I282" t="str">
        <f t="shared" si="45"/>
        <v/>
      </c>
      <c r="J282" s="17" t="str">
        <f t="shared" si="41"/>
        <v/>
      </c>
      <c r="K282" s="18" t="str">
        <f t="shared" si="46"/>
        <v/>
      </c>
      <c r="L282" t="str">
        <f t="shared" si="47"/>
        <v/>
      </c>
      <c r="M282" s="23" t="str">
        <f ca="1">IF(A282="","",IF($B$10="Sí",interpolar_alamb(L282,OFFSET(Curvas_cupon_cero!$A$1,1,0,COUNT(Curvas_cupon_cero!$A:$A)-2,1),OFFSET(Curvas_cupon_cero!$A$1,1,MATCH($B$6,Curvas_cupon_cero!$1:$1,0)-1,COUNT(Curvas_cupon_cero!$A:$A)-2,1)),[1]!interpolar(L282,OFFSET(Curvas_cupon_cero!$A$1,1,0,COUNT(Curvas_cupon_cero!$A:$A)-2,1),OFFSET(Curvas_cupon_cero!$A$1,1,MATCH($B$6,Curvas_cupon_cero!$1:$1,0)-1,COUNT(Curvas_cupon_cero!$A:$A)-2,1))))</f>
        <v/>
      </c>
      <c r="N282" s="23"/>
      <c r="O282" s="19" t="str">
        <f t="shared" si="48"/>
        <v/>
      </c>
    </row>
    <row r="283" spans="1:15" x14ac:dyDescent="0.2">
      <c r="A283" s="12" t="str">
        <f t="shared" si="42"/>
        <v/>
      </c>
      <c r="B283" t="str">
        <f t="shared" si="40"/>
        <v/>
      </c>
      <c r="C283" s="21" t="str">
        <f ca="1">IF(A283="","",IF($B$10="Sí",interpolar_alamb(B283,OFFSET(Curvas_cupon_cero!$A$1,1,0,COUNT(Curvas_cupon_cero!$A:$A)-2,1),OFFSET(Curvas_cupon_cero!$A$1,1,MATCH($B$8,Curvas_cupon_cero!$1:$1,0)-1,COUNT(Curvas_cupon_cero!$A:$A)-2,1)),[1]!interpolar(B283,OFFSET(Curvas_cupon_cero!$A$1,1,0,COUNT(Curvas_cupon_cero!$A:$A)-2,1),OFFSET(Curvas_cupon_cero!$A$1,1,MATCH($B$8,Curvas_cupon_cero!$1:$1,0)-1,COUNT(Curvas_cupon_cero!$A:$A)-2,1))))</f>
        <v/>
      </c>
      <c r="D283" s="23" t="str">
        <f ca="1">IF(A283="","",IF($B$10="Sí",interpolar_alamb(L283,OFFSET(Curvas_cupon_cero!$A$1,1,0,COUNT(Curvas_cupon_cero!$A:$A)-2,1),OFFSET(Curvas_cupon_cero!$A$1,1,MATCH($B$8,Curvas_cupon_cero!$1:$1,0)-1,COUNT(Curvas_cupon_cero!$A:$A)-2,1)),[1]!interpolar(L283,OFFSET(Curvas_cupon_cero!$A$1,1,0,COUNT(Curvas_cupon_cero!$A:$A)-2,1),OFFSET(Curvas_cupon_cero!$A$1,1,MATCH($B$8,Curvas_cupon_cero!$1:$1,0)-1,COUNT(Curvas_cupon_cero!$A:$A)-2,1))))</f>
        <v/>
      </c>
      <c r="E283" s="23" t="str">
        <f t="shared" si="43"/>
        <v/>
      </c>
      <c r="F283" s="23" t="str">
        <f ca="1">IF(A283="","",IF($B$10="Sí",interpolar_alamb(B283,OFFSET(Curvas_cupon_cero!$A$1,1,0,COUNT(Curvas_cupon_cero!$A:$A)-2,1),OFFSET(Curvas_cupon_cero!$A$1,1,MATCH($B$9,Curvas_cupon_cero!$1:$1,0)-1,COUNT(Curvas_cupon_cero!$A:$A)-2,1)),[1]!interpolar(B283,OFFSET(Curvas_cupon_cero!$A$1,1,0,COUNT(Curvas_cupon_cero!$A:$A)-2,1),OFFSET(Curvas_cupon_cero!$A$1,1,MATCH($B$9,Curvas_cupon_cero!$1:$1,0)-1,COUNT(Curvas_cupon_cero!$A:$A)-2,1))))</f>
        <v/>
      </c>
      <c r="G283" s="23" t="str">
        <f t="shared" si="44"/>
        <v/>
      </c>
      <c r="H283" s="20" t="str">
        <f t="shared" si="49"/>
        <v/>
      </c>
      <c r="I283" t="str">
        <f t="shared" si="45"/>
        <v/>
      </c>
      <c r="J283" s="17" t="str">
        <f t="shared" si="41"/>
        <v/>
      </c>
      <c r="K283" s="18" t="str">
        <f t="shared" si="46"/>
        <v/>
      </c>
      <c r="L283" t="str">
        <f t="shared" si="47"/>
        <v/>
      </c>
      <c r="M283" s="23" t="str">
        <f ca="1">IF(A283="","",IF($B$10="Sí",interpolar_alamb(L283,OFFSET(Curvas_cupon_cero!$A$1,1,0,COUNT(Curvas_cupon_cero!$A:$A)-2,1),OFFSET(Curvas_cupon_cero!$A$1,1,MATCH($B$6,Curvas_cupon_cero!$1:$1,0)-1,COUNT(Curvas_cupon_cero!$A:$A)-2,1)),[1]!interpolar(L283,OFFSET(Curvas_cupon_cero!$A$1,1,0,COUNT(Curvas_cupon_cero!$A:$A)-2,1),OFFSET(Curvas_cupon_cero!$A$1,1,MATCH($B$6,Curvas_cupon_cero!$1:$1,0)-1,COUNT(Curvas_cupon_cero!$A:$A)-2,1))))</f>
        <v/>
      </c>
      <c r="N283" s="23"/>
      <c r="O283" s="19" t="str">
        <f t="shared" si="48"/>
        <v/>
      </c>
    </row>
    <row r="284" spans="1:15" x14ac:dyDescent="0.2">
      <c r="A284" s="12" t="str">
        <f t="shared" si="42"/>
        <v/>
      </c>
      <c r="B284" t="str">
        <f t="shared" si="40"/>
        <v/>
      </c>
      <c r="C284" s="21" t="str">
        <f ca="1">IF(A284="","",IF($B$10="Sí",interpolar_alamb(B284,OFFSET(Curvas_cupon_cero!$A$1,1,0,COUNT(Curvas_cupon_cero!$A:$A)-2,1),OFFSET(Curvas_cupon_cero!$A$1,1,MATCH($B$8,Curvas_cupon_cero!$1:$1,0)-1,COUNT(Curvas_cupon_cero!$A:$A)-2,1)),[1]!interpolar(B284,OFFSET(Curvas_cupon_cero!$A$1,1,0,COUNT(Curvas_cupon_cero!$A:$A)-2,1),OFFSET(Curvas_cupon_cero!$A$1,1,MATCH($B$8,Curvas_cupon_cero!$1:$1,0)-1,COUNT(Curvas_cupon_cero!$A:$A)-2,1))))</f>
        <v/>
      </c>
      <c r="D284" s="23" t="str">
        <f ca="1">IF(A284="","",IF($B$10="Sí",interpolar_alamb(L284,OFFSET(Curvas_cupon_cero!$A$1,1,0,COUNT(Curvas_cupon_cero!$A:$A)-2,1),OFFSET(Curvas_cupon_cero!$A$1,1,MATCH($B$8,Curvas_cupon_cero!$1:$1,0)-1,COUNT(Curvas_cupon_cero!$A:$A)-2,1)),[1]!interpolar(L284,OFFSET(Curvas_cupon_cero!$A$1,1,0,COUNT(Curvas_cupon_cero!$A:$A)-2,1),OFFSET(Curvas_cupon_cero!$A$1,1,MATCH($B$8,Curvas_cupon_cero!$1:$1,0)-1,COUNT(Curvas_cupon_cero!$A:$A)-2,1))))</f>
        <v/>
      </c>
      <c r="E284" s="23" t="str">
        <f t="shared" si="43"/>
        <v/>
      </c>
      <c r="F284" s="23" t="str">
        <f ca="1">IF(A284="","",IF($B$10="Sí",interpolar_alamb(B284,OFFSET(Curvas_cupon_cero!$A$1,1,0,COUNT(Curvas_cupon_cero!$A:$A)-2,1),OFFSET(Curvas_cupon_cero!$A$1,1,MATCH($B$9,Curvas_cupon_cero!$1:$1,0)-1,COUNT(Curvas_cupon_cero!$A:$A)-2,1)),[1]!interpolar(B284,OFFSET(Curvas_cupon_cero!$A$1,1,0,COUNT(Curvas_cupon_cero!$A:$A)-2,1),OFFSET(Curvas_cupon_cero!$A$1,1,MATCH($B$9,Curvas_cupon_cero!$1:$1,0)-1,COUNT(Curvas_cupon_cero!$A:$A)-2,1))))</f>
        <v/>
      </c>
      <c r="G284" s="23" t="str">
        <f t="shared" si="44"/>
        <v/>
      </c>
      <c r="H284" s="20" t="str">
        <f t="shared" si="49"/>
        <v/>
      </c>
      <c r="I284" t="str">
        <f t="shared" si="45"/>
        <v/>
      </c>
      <c r="J284" s="17" t="str">
        <f t="shared" si="41"/>
        <v/>
      </c>
      <c r="K284" s="18" t="str">
        <f t="shared" si="46"/>
        <v/>
      </c>
      <c r="L284" t="str">
        <f t="shared" si="47"/>
        <v/>
      </c>
      <c r="M284" s="23" t="str">
        <f ca="1">IF(A284="","",IF($B$10="Sí",interpolar_alamb(L284,OFFSET(Curvas_cupon_cero!$A$1,1,0,COUNT(Curvas_cupon_cero!$A:$A)-2,1),OFFSET(Curvas_cupon_cero!$A$1,1,MATCH($B$6,Curvas_cupon_cero!$1:$1,0)-1,COUNT(Curvas_cupon_cero!$A:$A)-2,1)),[1]!interpolar(L284,OFFSET(Curvas_cupon_cero!$A$1,1,0,COUNT(Curvas_cupon_cero!$A:$A)-2,1),OFFSET(Curvas_cupon_cero!$A$1,1,MATCH($B$6,Curvas_cupon_cero!$1:$1,0)-1,COUNT(Curvas_cupon_cero!$A:$A)-2,1))))</f>
        <v/>
      </c>
      <c r="N284" s="23"/>
      <c r="O284" s="19" t="str">
        <f t="shared" si="48"/>
        <v/>
      </c>
    </row>
    <row r="285" spans="1:15" x14ac:dyDescent="0.2">
      <c r="A285" s="12" t="str">
        <f t="shared" si="42"/>
        <v/>
      </c>
      <c r="B285" t="str">
        <f t="shared" si="40"/>
        <v/>
      </c>
      <c r="C285" s="21" t="str">
        <f ca="1">IF(A285="","",IF($B$10="Sí",interpolar_alamb(B285,OFFSET(Curvas_cupon_cero!$A$1,1,0,COUNT(Curvas_cupon_cero!$A:$A)-2,1),OFFSET(Curvas_cupon_cero!$A$1,1,MATCH($B$8,Curvas_cupon_cero!$1:$1,0)-1,COUNT(Curvas_cupon_cero!$A:$A)-2,1)),[1]!interpolar(B285,OFFSET(Curvas_cupon_cero!$A$1,1,0,COUNT(Curvas_cupon_cero!$A:$A)-2,1),OFFSET(Curvas_cupon_cero!$A$1,1,MATCH($B$8,Curvas_cupon_cero!$1:$1,0)-1,COUNT(Curvas_cupon_cero!$A:$A)-2,1))))</f>
        <v/>
      </c>
      <c r="D285" s="23" t="str">
        <f ca="1">IF(A285="","",IF($B$10="Sí",interpolar_alamb(L285,OFFSET(Curvas_cupon_cero!$A$1,1,0,COUNT(Curvas_cupon_cero!$A:$A)-2,1),OFFSET(Curvas_cupon_cero!$A$1,1,MATCH($B$8,Curvas_cupon_cero!$1:$1,0)-1,COUNT(Curvas_cupon_cero!$A:$A)-2,1)),[1]!interpolar(L285,OFFSET(Curvas_cupon_cero!$A$1,1,0,COUNT(Curvas_cupon_cero!$A:$A)-2,1),OFFSET(Curvas_cupon_cero!$A$1,1,MATCH($B$8,Curvas_cupon_cero!$1:$1,0)-1,COUNT(Curvas_cupon_cero!$A:$A)-2,1))))</f>
        <v/>
      </c>
      <c r="E285" s="23" t="str">
        <f t="shared" si="43"/>
        <v/>
      </c>
      <c r="F285" s="23" t="str">
        <f ca="1">IF(A285="","",IF($B$10="Sí",interpolar_alamb(B285,OFFSET(Curvas_cupon_cero!$A$1,1,0,COUNT(Curvas_cupon_cero!$A:$A)-2,1),OFFSET(Curvas_cupon_cero!$A$1,1,MATCH($B$9,Curvas_cupon_cero!$1:$1,0)-1,COUNT(Curvas_cupon_cero!$A:$A)-2,1)),[1]!interpolar(B285,OFFSET(Curvas_cupon_cero!$A$1,1,0,COUNT(Curvas_cupon_cero!$A:$A)-2,1),OFFSET(Curvas_cupon_cero!$A$1,1,MATCH($B$9,Curvas_cupon_cero!$1:$1,0)-1,COUNT(Curvas_cupon_cero!$A:$A)-2,1))))</f>
        <v/>
      </c>
      <c r="G285" s="23" t="str">
        <f t="shared" si="44"/>
        <v/>
      </c>
      <c r="H285" s="20" t="str">
        <f t="shared" si="49"/>
        <v/>
      </c>
      <c r="I285" t="str">
        <f t="shared" si="45"/>
        <v/>
      </c>
      <c r="J285" s="17" t="str">
        <f t="shared" si="41"/>
        <v/>
      </c>
      <c r="K285" s="18" t="str">
        <f t="shared" si="46"/>
        <v/>
      </c>
      <c r="L285" t="str">
        <f t="shared" si="47"/>
        <v/>
      </c>
      <c r="M285" s="23" t="str">
        <f ca="1">IF(A285="","",IF($B$10="Sí",interpolar_alamb(L285,OFFSET(Curvas_cupon_cero!$A$1,1,0,COUNT(Curvas_cupon_cero!$A:$A)-2,1),OFFSET(Curvas_cupon_cero!$A$1,1,MATCH($B$6,Curvas_cupon_cero!$1:$1,0)-1,COUNT(Curvas_cupon_cero!$A:$A)-2,1)),[1]!interpolar(L285,OFFSET(Curvas_cupon_cero!$A$1,1,0,COUNT(Curvas_cupon_cero!$A:$A)-2,1),OFFSET(Curvas_cupon_cero!$A$1,1,MATCH($B$6,Curvas_cupon_cero!$1:$1,0)-1,COUNT(Curvas_cupon_cero!$A:$A)-2,1))))</f>
        <v/>
      </c>
      <c r="N285" s="23"/>
      <c r="O285" s="19" t="str">
        <f t="shared" si="48"/>
        <v/>
      </c>
    </row>
    <row r="286" spans="1:15" x14ac:dyDescent="0.2">
      <c r="A286" s="12" t="str">
        <f t="shared" si="42"/>
        <v/>
      </c>
      <c r="B286" t="str">
        <f t="shared" si="40"/>
        <v/>
      </c>
      <c r="C286" s="21" t="str">
        <f ca="1">IF(A286="","",IF($B$10="Sí",interpolar_alamb(B286,OFFSET(Curvas_cupon_cero!$A$1,1,0,COUNT(Curvas_cupon_cero!$A:$A)-2,1),OFFSET(Curvas_cupon_cero!$A$1,1,MATCH($B$8,Curvas_cupon_cero!$1:$1,0)-1,COUNT(Curvas_cupon_cero!$A:$A)-2,1)),[1]!interpolar(B286,OFFSET(Curvas_cupon_cero!$A$1,1,0,COUNT(Curvas_cupon_cero!$A:$A)-2,1),OFFSET(Curvas_cupon_cero!$A$1,1,MATCH($B$8,Curvas_cupon_cero!$1:$1,0)-1,COUNT(Curvas_cupon_cero!$A:$A)-2,1))))</f>
        <v/>
      </c>
      <c r="D286" s="23" t="str">
        <f ca="1">IF(A286="","",IF($B$10="Sí",interpolar_alamb(L286,OFFSET(Curvas_cupon_cero!$A$1,1,0,COUNT(Curvas_cupon_cero!$A:$A)-2,1),OFFSET(Curvas_cupon_cero!$A$1,1,MATCH($B$8,Curvas_cupon_cero!$1:$1,0)-1,COUNT(Curvas_cupon_cero!$A:$A)-2,1)),[1]!interpolar(L286,OFFSET(Curvas_cupon_cero!$A$1,1,0,COUNT(Curvas_cupon_cero!$A:$A)-2,1),OFFSET(Curvas_cupon_cero!$A$1,1,MATCH($B$8,Curvas_cupon_cero!$1:$1,0)-1,COUNT(Curvas_cupon_cero!$A:$A)-2,1))))</f>
        <v/>
      </c>
      <c r="E286" s="23" t="str">
        <f t="shared" si="43"/>
        <v/>
      </c>
      <c r="F286" s="23" t="str">
        <f ca="1">IF(A286="","",IF($B$10="Sí",interpolar_alamb(B286,OFFSET(Curvas_cupon_cero!$A$1,1,0,COUNT(Curvas_cupon_cero!$A:$A)-2,1),OFFSET(Curvas_cupon_cero!$A$1,1,MATCH($B$9,Curvas_cupon_cero!$1:$1,0)-1,COUNT(Curvas_cupon_cero!$A:$A)-2,1)),[1]!interpolar(B286,OFFSET(Curvas_cupon_cero!$A$1,1,0,COUNT(Curvas_cupon_cero!$A:$A)-2,1),OFFSET(Curvas_cupon_cero!$A$1,1,MATCH($B$9,Curvas_cupon_cero!$1:$1,0)-1,COUNT(Curvas_cupon_cero!$A:$A)-2,1))))</f>
        <v/>
      </c>
      <c r="G286" s="23" t="str">
        <f t="shared" si="44"/>
        <v/>
      </c>
      <c r="H286" s="20" t="str">
        <f t="shared" si="49"/>
        <v/>
      </c>
      <c r="I286" t="str">
        <f t="shared" si="45"/>
        <v/>
      </c>
      <c r="J286" s="17" t="str">
        <f t="shared" si="41"/>
        <v/>
      </c>
      <c r="K286" s="18" t="str">
        <f t="shared" si="46"/>
        <v/>
      </c>
      <c r="L286" t="str">
        <f t="shared" si="47"/>
        <v/>
      </c>
      <c r="M286" s="23" t="str">
        <f ca="1">IF(A286="","",IF($B$10="Sí",interpolar_alamb(L286,OFFSET(Curvas_cupon_cero!$A$1,1,0,COUNT(Curvas_cupon_cero!$A:$A)-2,1),OFFSET(Curvas_cupon_cero!$A$1,1,MATCH($B$6,Curvas_cupon_cero!$1:$1,0)-1,COUNT(Curvas_cupon_cero!$A:$A)-2,1)),[1]!interpolar(L286,OFFSET(Curvas_cupon_cero!$A$1,1,0,COUNT(Curvas_cupon_cero!$A:$A)-2,1),OFFSET(Curvas_cupon_cero!$A$1,1,MATCH($B$6,Curvas_cupon_cero!$1:$1,0)-1,COUNT(Curvas_cupon_cero!$A:$A)-2,1))))</f>
        <v/>
      </c>
      <c r="N286" s="23"/>
      <c r="O286" s="19" t="str">
        <f t="shared" si="48"/>
        <v/>
      </c>
    </row>
    <row r="287" spans="1:15" x14ac:dyDescent="0.2">
      <c r="A287" s="12" t="str">
        <f t="shared" si="42"/>
        <v/>
      </c>
      <c r="B287" t="str">
        <f t="shared" si="40"/>
        <v/>
      </c>
      <c r="C287" s="21" t="str">
        <f ca="1">IF(A287="","",IF($B$10="Sí",interpolar_alamb(B287,OFFSET(Curvas_cupon_cero!$A$1,1,0,COUNT(Curvas_cupon_cero!$A:$A)-2,1),OFFSET(Curvas_cupon_cero!$A$1,1,MATCH($B$8,Curvas_cupon_cero!$1:$1,0)-1,COUNT(Curvas_cupon_cero!$A:$A)-2,1)),[1]!interpolar(B287,OFFSET(Curvas_cupon_cero!$A$1,1,0,COUNT(Curvas_cupon_cero!$A:$A)-2,1),OFFSET(Curvas_cupon_cero!$A$1,1,MATCH($B$8,Curvas_cupon_cero!$1:$1,0)-1,COUNT(Curvas_cupon_cero!$A:$A)-2,1))))</f>
        <v/>
      </c>
      <c r="D287" s="23" t="str">
        <f ca="1">IF(A287="","",IF($B$10="Sí",interpolar_alamb(L287,OFFSET(Curvas_cupon_cero!$A$1,1,0,COUNT(Curvas_cupon_cero!$A:$A)-2,1),OFFSET(Curvas_cupon_cero!$A$1,1,MATCH($B$8,Curvas_cupon_cero!$1:$1,0)-1,COUNT(Curvas_cupon_cero!$A:$A)-2,1)),[1]!interpolar(L287,OFFSET(Curvas_cupon_cero!$A$1,1,0,COUNT(Curvas_cupon_cero!$A:$A)-2,1),OFFSET(Curvas_cupon_cero!$A$1,1,MATCH($B$8,Curvas_cupon_cero!$1:$1,0)-1,COUNT(Curvas_cupon_cero!$A:$A)-2,1))))</f>
        <v/>
      </c>
      <c r="E287" s="23" t="str">
        <f t="shared" si="43"/>
        <v/>
      </c>
      <c r="F287" s="23" t="str">
        <f ca="1">IF(A287="","",IF($B$10="Sí",interpolar_alamb(B287,OFFSET(Curvas_cupon_cero!$A$1,1,0,COUNT(Curvas_cupon_cero!$A:$A)-2,1),OFFSET(Curvas_cupon_cero!$A$1,1,MATCH($B$9,Curvas_cupon_cero!$1:$1,0)-1,COUNT(Curvas_cupon_cero!$A:$A)-2,1)),[1]!interpolar(B287,OFFSET(Curvas_cupon_cero!$A$1,1,0,COUNT(Curvas_cupon_cero!$A:$A)-2,1),OFFSET(Curvas_cupon_cero!$A$1,1,MATCH($B$9,Curvas_cupon_cero!$1:$1,0)-1,COUNT(Curvas_cupon_cero!$A:$A)-2,1))))</f>
        <v/>
      </c>
      <c r="G287" s="23" t="str">
        <f t="shared" si="44"/>
        <v/>
      </c>
      <c r="H287" s="20" t="str">
        <f t="shared" si="49"/>
        <v/>
      </c>
      <c r="I287" t="str">
        <f t="shared" si="45"/>
        <v/>
      </c>
      <c r="J287" s="17" t="str">
        <f t="shared" si="41"/>
        <v/>
      </c>
      <c r="K287" s="18" t="str">
        <f t="shared" si="46"/>
        <v/>
      </c>
      <c r="L287" t="str">
        <f t="shared" si="47"/>
        <v/>
      </c>
      <c r="M287" s="23" t="str">
        <f ca="1">IF(A287="","",IF($B$10="Sí",interpolar_alamb(L287,OFFSET(Curvas_cupon_cero!$A$1,1,0,COUNT(Curvas_cupon_cero!$A:$A)-2,1),OFFSET(Curvas_cupon_cero!$A$1,1,MATCH($B$6,Curvas_cupon_cero!$1:$1,0)-1,COUNT(Curvas_cupon_cero!$A:$A)-2,1)),[1]!interpolar(L287,OFFSET(Curvas_cupon_cero!$A$1,1,0,COUNT(Curvas_cupon_cero!$A:$A)-2,1),OFFSET(Curvas_cupon_cero!$A$1,1,MATCH($B$6,Curvas_cupon_cero!$1:$1,0)-1,COUNT(Curvas_cupon_cero!$A:$A)-2,1))))</f>
        <v/>
      </c>
      <c r="N287" s="23"/>
      <c r="O287" s="19" t="str">
        <f t="shared" si="48"/>
        <v/>
      </c>
    </row>
    <row r="288" spans="1:15" x14ac:dyDescent="0.2">
      <c r="A288" s="12" t="str">
        <f t="shared" si="42"/>
        <v/>
      </c>
      <c r="B288" t="str">
        <f t="shared" si="40"/>
        <v/>
      </c>
      <c r="C288" s="21" t="str">
        <f ca="1">IF(A288="","",IF($B$10="Sí",interpolar_alamb(B288,OFFSET(Curvas_cupon_cero!$A$1,1,0,COUNT(Curvas_cupon_cero!$A:$A)-2,1),OFFSET(Curvas_cupon_cero!$A$1,1,MATCH($B$8,Curvas_cupon_cero!$1:$1,0)-1,COUNT(Curvas_cupon_cero!$A:$A)-2,1)),[1]!interpolar(B288,OFFSET(Curvas_cupon_cero!$A$1,1,0,COUNT(Curvas_cupon_cero!$A:$A)-2,1),OFFSET(Curvas_cupon_cero!$A$1,1,MATCH($B$8,Curvas_cupon_cero!$1:$1,0)-1,COUNT(Curvas_cupon_cero!$A:$A)-2,1))))</f>
        <v/>
      </c>
      <c r="D288" s="23" t="str">
        <f ca="1">IF(A288="","",IF($B$10="Sí",interpolar_alamb(L288,OFFSET(Curvas_cupon_cero!$A$1,1,0,COUNT(Curvas_cupon_cero!$A:$A)-2,1),OFFSET(Curvas_cupon_cero!$A$1,1,MATCH($B$8,Curvas_cupon_cero!$1:$1,0)-1,COUNT(Curvas_cupon_cero!$A:$A)-2,1)),[1]!interpolar(L288,OFFSET(Curvas_cupon_cero!$A$1,1,0,COUNT(Curvas_cupon_cero!$A:$A)-2,1),OFFSET(Curvas_cupon_cero!$A$1,1,MATCH($B$8,Curvas_cupon_cero!$1:$1,0)-1,COUNT(Curvas_cupon_cero!$A:$A)-2,1))))</f>
        <v/>
      </c>
      <c r="E288" s="23" t="str">
        <f t="shared" si="43"/>
        <v/>
      </c>
      <c r="F288" s="23" t="str">
        <f ca="1">IF(A288="","",IF($B$10="Sí",interpolar_alamb(B288,OFFSET(Curvas_cupon_cero!$A$1,1,0,COUNT(Curvas_cupon_cero!$A:$A)-2,1),OFFSET(Curvas_cupon_cero!$A$1,1,MATCH($B$9,Curvas_cupon_cero!$1:$1,0)-1,COUNT(Curvas_cupon_cero!$A:$A)-2,1)),[1]!interpolar(B288,OFFSET(Curvas_cupon_cero!$A$1,1,0,COUNT(Curvas_cupon_cero!$A:$A)-2,1),OFFSET(Curvas_cupon_cero!$A$1,1,MATCH($B$9,Curvas_cupon_cero!$1:$1,0)-1,COUNT(Curvas_cupon_cero!$A:$A)-2,1))))</f>
        <v/>
      </c>
      <c r="G288" s="23" t="str">
        <f t="shared" si="44"/>
        <v/>
      </c>
      <c r="H288" s="20" t="str">
        <f t="shared" si="49"/>
        <v/>
      </c>
      <c r="I288" t="str">
        <f t="shared" si="45"/>
        <v/>
      </c>
      <c r="J288" s="17" t="str">
        <f t="shared" si="41"/>
        <v/>
      </c>
      <c r="K288" s="18" t="str">
        <f t="shared" si="46"/>
        <v/>
      </c>
      <c r="L288" t="str">
        <f t="shared" si="47"/>
        <v/>
      </c>
      <c r="M288" s="23" t="str">
        <f ca="1">IF(A288="","",IF($B$10="Sí",interpolar_alamb(L288,OFFSET(Curvas_cupon_cero!$A$1,1,0,COUNT(Curvas_cupon_cero!$A:$A)-2,1),OFFSET(Curvas_cupon_cero!$A$1,1,MATCH($B$6,Curvas_cupon_cero!$1:$1,0)-1,COUNT(Curvas_cupon_cero!$A:$A)-2,1)),[1]!interpolar(L288,OFFSET(Curvas_cupon_cero!$A$1,1,0,COUNT(Curvas_cupon_cero!$A:$A)-2,1),OFFSET(Curvas_cupon_cero!$A$1,1,MATCH($B$6,Curvas_cupon_cero!$1:$1,0)-1,COUNT(Curvas_cupon_cero!$A:$A)-2,1))))</f>
        <v/>
      </c>
      <c r="N288" s="23"/>
      <c r="O288" s="19" t="str">
        <f t="shared" si="48"/>
        <v/>
      </c>
    </row>
    <row r="289" spans="1:15" x14ac:dyDescent="0.2">
      <c r="A289" s="12" t="str">
        <f t="shared" si="42"/>
        <v/>
      </c>
      <c r="B289" t="str">
        <f t="shared" si="40"/>
        <v/>
      </c>
      <c r="C289" s="21" t="str">
        <f ca="1">IF(A289="","",IF($B$10="Sí",interpolar_alamb(B289,OFFSET(Curvas_cupon_cero!$A$1,1,0,COUNT(Curvas_cupon_cero!$A:$A)-2,1),OFFSET(Curvas_cupon_cero!$A$1,1,MATCH($B$8,Curvas_cupon_cero!$1:$1,0)-1,COUNT(Curvas_cupon_cero!$A:$A)-2,1)),[1]!interpolar(B289,OFFSET(Curvas_cupon_cero!$A$1,1,0,COUNT(Curvas_cupon_cero!$A:$A)-2,1),OFFSET(Curvas_cupon_cero!$A$1,1,MATCH($B$8,Curvas_cupon_cero!$1:$1,0)-1,COUNT(Curvas_cupon_cero!$A:$A)-2,1))))</f>
        <v/>
      </c>
      <c r="D289" s="23" t="str">
        <f ca="1">IF(A289="","",IF($B$10="Sí",interpolar_alamb(L289,OFFSET(Curvas_cupon_cero!$A$1,1,0,COUNT(Curvas_cupon_cero!$A:$A)-2,1),OFFSET(Curvas_cupon_cero!$A$1,1,MATCH($B$8,Curvas_cupon_cero!$1:$1,0)-1,COUNT(Curvas_cupon_cero!$A:$A)-2,1)),[1]!interpolar(L289,OFFSET(Curvas_cupon_cero!$A$1,1,0,COUNT(Curvas_cupon_cero!$A:$A)-2,1),OFFSET(Curvas_cupon_cero!$A$1,1,MATCH($B$8,Curvas_cupon_cero!$1:$1,0)-1,COUNT(Curvas_cupon_cero!$A:$A)-2,1))))</f>
        <v/>
      </c>
      <c r="E289" s="23" t="str">
        <f t="shared" si="43"/>
        <v/>
      </c>
      <c r="F289" s="23" t="str">
        <f ca="1">IF(A289="","",IF($B$10="Sí",interpolar_alamb(B289,OFFSET(Curvas_cupon_cero!$A$1,1,0,COUNT(Curvas_cupon_cero!$A:$A)-2,1),OFFSET(Curvas_cupon_cero!$A$1,1,MATCH($B$9,Curvas_cupon_cero!$1:$1,0)-1,COUNT(Curvas_cupon_cero!$A:$A)-2,1)),[1]!interpolar(B289,OFFSET(Curvas_cupon_cero!$A$1,1,0,COUNT(Curvas_cupon_cero!$A:$A)-2,1),OFFSET(Curvas_cupon_cero!$A$1,1,MATCH($B$9,Curvas_cupon_cero!$1:$1,0)-1,COUNT(Curvas_cupon_cero!$A:$A)-2,1))))</f>
        <v/>
      </c>
      <c r="G289" s="23" t="str">
        <f t="shared" si="44"/>
        <v/>
      </c>
      <c r="H289" s="20" t="str">
        <f t="shared" si="49"/>
        <v/>
      </c>
      <c r="I289" t="str">
        <f t="shared" si="45"/>
        <v/>
      </c>
      <c r="J289" s="17" t="str">
        <f t="shared" si="41"/>
        <v/>
      </c>
      <c r="K289" s="18" t="str">
        <f t="shared" si="46"/>
        <v/>
      </c>
      <c r="L289" t="str">
        <f t="shared" si="47"/>
        <v/>
      </c>
      <c r="M289" s="23" t="str">
        <f ca="1">IF(A289="","",IF($B$10="Sí",interpolar_alamb(L289,OFFSET(Curvas_cupon_cero!$A$1,1,0,COUNT(Curvas_cupon_cero!$A:$A)-2,1),OFFSET(Curvas_cupon_cero!$A$1,1,MATCH($B$6,Curvas_cupon_cero!$1:$1,0)-1,COUNT(Curvas_cupon_cero!$A:$A)-2,1)),[1]!interpolar(L289,OFFSET(Curvas_cupon_cero!$A$1,1,0,COUNT(Curvas_cupon_cero!$A:$A)-2,1),OFFSET(Curvas_cupon_cero!$A$1,1,MATCH($B$6,Curvas_cupon_cero!$1:$1,0)-1,COUNT(Curvas_cupon_cero!$A:$A)-2,1))))</f>
        <v/>
      </c>
      <c r="N289" s="23"/>
      <c r="O289" s="19" t="str">
        <f t="shared" si="48"/>
        <v/>
      </c>
    </row>
    <row r="290" spans="1:15" x14ac:dyDescent="0.2">
      <c r="A290" s="12" t="str">
        <f t="shared" si="42"/>
        <v/>
      </c>
      <c r="B290" t="str">
        <f t="shared" si="40"/>
        <v/>
      </c>
      <c r="C290" s="21" t="str">
        <f ca="1">IF(A290="","",IF($B$10="Sí",interpolar_alamb(B290,OFFSET(Curvas_cupon_cero!$A$1,1,0,COUNT(Curvas_cupon_cero!$A:$A)-2,1),OFFSET(Curvas_cupon_cero!$A$1,1,MATCH($B$8,Curvas_cupon_cero!$1:$1,0)-1,COUNT(Curvas_cupon_cero!$A:$A)-2,1)),[1]!interpolar(B290,OFFSET(Curvas_cupon_cero!$A$1,1,0,COUNT(Curvas_cupon_cero!$A:$A)-2,1),OFFSET(Curvas_cupon_cero!$A$1,1,MATCH($B$8,Curvas_cupon_cero!$1:$1,0)-1,COUNT(Curvas_cupon_cero!$A:$A)-2,1))))</f>
        <v/>
      </c>
      <c r="D290" s="23" t="str">
        <f ca="1">IF(A290="","",IF($B$10="Sí",interpolar_alamb(L290,OFFSET(Curvas_cupon_cero!$A$1,1,0,COUNT(Curvas_cupon_cero!$A:$A)-2,1),OFFSET(Curvas_cupon_cero!$A$1,1,MATCH($B$8,Curvas_cupon_cero!$1:$1,0)-1,COUNT(Curvas_cupon_cero!$A:$A)-2,1)),[1]!interpolar(L290,OFFSET(Curvas_cupon_cero!$A$1,1,0,COUNT(Curvas_cupon_cero!$A:$A)-2,1),OFFSET(Curvas_cupon_cero!$A$1,1,MATCH($B$8,Curvas_cupon_cero!$1:$1,0)-1,COUNT(Curvas_cupon_cero!$A:$A)-2,1))))</f>
        <v/>
      </c>
      <c r="E290" s="23" t="str">
        <f t="shared" si="43"/>
        <v/>
      </c>
      <c r="F290" s="23" t="str">
        <f ca="1">IF(A290="","",IF($B$10="Sí",interpolar_alamb(B290,OFFSET(Curvas_cupon_cero!$A$1,1,0,COUNT(Curvas_cupon_cero!$A:$A)-2,1),OFFSET(Curvas_cupon_cero!$A$1,1,MATCH($B$9,Curvas_cupon_cero!$1:$1,0)-1,COUNT(Curvas_cupon_cero!$A:$A)-2,1)),[1]!interpolar(B290,OFFSET(Curvas_cupon_cero!$A$1,1,0,COUNT(Curvas_cupon_cero!$A:$A)-2,1),OFFSET(Curvas_cupon_cero!$A$1,1,MATCH($B$9,Curvas_cupon_cero!$1:$1,0)-1,COUNT(Curvas_cupon_cero!$A:$A)-2,1))))</f>
        <v/>
      </c>
      <c r="G290" s="23" t="str">
        <f t="shared" si="44"/>
        <v/>
      </c>
      <c r="H290" s="20" t="str">
        <f t="shared" si="49"/>
        <v/>
      </c>
      <c r="I290" t="str">
        <f t="shared" si="45"/>
        <v/>
      </c>
      <c r="J290" s="17" t="str">
        <f t="shared" si="41"/>
        <v/>
      </c>
      <c r="K290" s="18" t="str">
        <f t="shared" si="46"/>
        <v/>
      </c>
      <c r="L290" t="str">
        <f t="shared" si="47"/>
        <v/>
      </c>
      <c r="M290" s="23" t="str">
        <f ca="1">IF(A290="","",IF($B$10="Sí",interpolar_alamb(L290,OFFSET(Curvas_cupon_cero!$A$1,1,0,COUNT(Curvas_cupon_cero!$A:$A)-2,1),OFFSET(Curvas_cupon_cero!$A$1,1,MATCH($B$6,Curvas_cupon_cero!$1:$1,0)-1,COUNT(Curvas_cupon_cero!$A:$A)-2,1)),[1]!interpolar(L290,OFFSET(Curvas_cupon_cero!$A$1,1,0,COUNT(Curvas_cupon_cero!$A:$A)-2,1),OFFSET(Curvas_cupon_cero!$A$1,1,MATCH($B$6,Curvas_cupon_cero!$1:$1,0)-1,COUNT(Curvas_cupon_cero!$A:$A)-2,1))))</f>
        <v/>
      </c>
      <c r="N290" s="23"/>
      <c r="O290" s="19" t="str">
        <f t="shared" si="48"/>
        <v/>
      </c>
    </row>
    <row r="291" spans="1:15" x14ac:dyDescent="0.2">
      <c r="A291" s="12" t="str">
        <f t="shared" si="42"/>
        <v/>
      </c>
      <c r="B291" t="str">
        <f t="shared" si="40"/>
        <v/>
      </c>
      <c r="C291" s="21" t="str">
        <f ca="1">IF(A291="","",IF($B$10="Sí",interpolar_alamb(B291,OFFSET(Curvas_cupon_cero!$A$1,1,0,COUNT(Curvas_cupon_cero!$A:$A)-2,1),OFFSET(Curvas_cupon_cero!$A$1,1,MATCH($B$8,Curvas_cupon_cero!$1:$1,0)-1,COUNT(Curvas_cupon_cero!$A:$A)-2,1)),[1]!interpolar(B291,OFFSET(Curvas_cupon_cero!$A$1,1,0,COUNT(Curvas_cupon_cero!$A:$A)-2,1),OFFSET(Curvas_cupon_cero!$A$1,1,MATCH($B$8,Curvas_cupon_cero!$1:$1,0)-1,COUNT(Curvas_cupon_cero!$A:$A)-2,1))))</f>
        <v/>
      </c>
      <c r="D291" s="23" t="str">
        <f ca="1">IF(A291="","",IF($B$10="Sí",interpolar_alamb(L291,OFFSET(Curvas_cupon_cero!$A$1,1,0,COUNT(Curvas_cupon_cero!$A:$A)-2,1),OFFSET(Curvas_cupon_cero!$A$1,1,MATCH($B$8,Curvas_cupon_cero!$1:$1,0)-1,COUNT(Curvas_cupon_cero!$A:$A)-2,1)),[1]!interpolar(L291,OFFSET(Curvas_cupon_cero!$A$1,1,0,COUNT(Curvas_cupon_cero!$A:$A)-2,1),OFFSET(Curvas_cupon_cero!$A$1,1,MATCH($B$8,Curvas_cupon_cero!$1:$1,0)-1,COUNT(Curvas_cupon_cero!$A:$A)-2,1))))</f>
        <v/>
      </c>
      <c r="E291" s="23" t="str">
        <f t="shared" si="43"/>
        <v/>
      </c>
      <c r="F291" s="23" t="str">
        <f ca="1">IF(A291="","",IF($B$10="Sí",interpolar_alamb(B291,OFFSET(Curvas_cupon_cero!$A$1,1,0,COUNT(Curvas_cupon_cero!$A:$A)-2,1),OFFSET(Curvas_cupon_cero!$A$1,1,MATCH($B$9,Curvas_cupon_cero!$1:$1,0)-1,COUNT(Curvas_cupon_cero!$A:$A)-2,1)),[1]!interpolar(B291,OFFSET(Curvas_cupon_cero!$A$1,1,0,COUNT(Curvas_cupon_cero!$A:$A)-2,1),OFFSET(Curvas_cupon_cero!$A$1,1,MATCH($B$9,Curvas_cupon_cero!$1:$1,0)-1,COUNT(Curvas_cupon_cero!$A:$A)-2,1))))</f>
        <v/>
      </c>
      <c r="G291" s="23" t="str">
        <f t="shared" si="44"/>
        <v/>
      </c>
      <c r="H291" s="20" t="str">
        <f t="shared" si="49"/>
        <v/>
      </c>
      <c r="I291" t="str">
        <f t="shared" si="45"/>
        <v/>
      </c>
      <c r="J291" s="17" t="str">
        <f t="shared" si="41"/>
        <v/>
      </c>
      <c r="K291" s="18" t="str">
        <f t="shared" si="46"/>
        <v/>
      </c>
      <c r="L291" t="str">
        <f t="shared" si="47"/>
        <v/>
      </c>
      <c r="M291" s="23" t="str">
        <f ca="1">IF(A291="","",IF($B$10="Sí",interpolar_alamb(L291,OFFSET(Curvas_cupon_cero!$A$1,1,0,COUNT(Curvas_cupon_cero!$A:$A)-2,1),OFFSET(Curvas_cupon_cero!$A$1,1,MATCH($B$6,Curvas_cupon_cero!$1:$1,0)-1,COUNT(Curvas_cupon_cero!$A:$A)-2,1)),[1]!interpolar(L291,OFFSET(Curvas_cupon_cero!$A$1,1,0,COUNT(Curvas_cupon_cero!$A:$A)-2,1),OFFSET(Curvas_cupon_cero!$A$1,1,MATCH($B$6,Curvas_cupon_cero!$1:$1,0)-1,COUNT(Curvas_cupon_cero!$A:$A)-2,1))))</f>
        <v/>
      </c>
      <c r="N291" s="23"/>
      <c r="O291" s="19" t="str">
        <f t="shared" si="48"/>
        <v/>
      </c>
    </row>
    <row r="292" spans="1:15" x14ac:dyDescent="0.2">
      <c r="A292" s="12" t="str">
        <f t="shared" si="42"/>
        <v/>
      </c>
      <c r="B292" t="str">
        <f t="shared" si="40"/>
        <v/>
      </c>
      <c r="C292" s="21" t="str">
        <f ca="1">IF(A292="","",IF($B$10="Sí",interpolar_alamb(B292,OFFSET(Curvas_cupon_cero!$A$1,1,0,COUNT(Curvas_cupon_cero!$A:$A)-2,1),OFFSET(Curvas_cupon_cero!$A$1,1,MATCH($B$8,Curvas_cupon_cero!$1:$1,0)-1,COUNT(Curvas_cupon_cero!$A:$A)-2,1)),[1]!interpolar(B292,OFFSET(Curvas_cupon_cero!$A$1,1,0,COUNT(Curvas_cupon_cero!$A:$A)-2,1),OFFSET(Curvas_cupon_cero!$A$1,1,MATCH($B$8,Curvas_cupon_cero!$1:$1,0)-1,COUNT(Curvas_cupon_cero!$A:$A)-2,1))))</f>
        <v/>
      </c>
      <c r="D292" s="23" t="str">
        <f ca="1">IF(A292="","",IF($B$10="Sí",interpolar_alamb(L292,OFFSET(Curvas_cupon_cero!$A$1,1,0,COUNT(Curvas_cupon_cero!$A:$A)-2,1),OFFSET(Curvas_cupon_cero!$A$1,1,MATCH($B$8,Curvas_cupon_cero!$1:$1,0)-1,COUNT(Curvas_cupon_cero!$A:$A)-2,1)),[1]!interpolar(L292,OFFSET(Curvas_cupon_cero!$A$1,1,0,COUNT(Curvas_cupon_cero!$A:$A)-2,1),OFFSET(Curvas_cupon_cero!$A$1,1,MATCH($B$8,Curvas_cupon_cero!$1:$1,0)-1,COUNT(Curvas_cupon_cero!$A:$A)-2,1))))</f>
        <v/>
      </c>
      <c r="E292" s="23" t="str">
        <f t="shared" si="43"/>
        <v/>
      </c>
      <c r="F292" s="23" t="str">
        <f ca="1">IF(A292="","",IF($B$10="Sí",interpolar_alamb(B292,OFFSET(Curvas_cupon_cero!$A$1,1,0,COUNT(Curvas_cupon_cero!$A:$A)-2,1),OFFSET(Curvas_cupon_cero!$A$1,1,MATCH($B$9,Curvas_cupon_cero!$1:$1,0)-1,COUNT(Curvas_cupon_cero!$A:$A)-2,1)),[1]!interpolar(B292,OFFSET(Curvas_cupon_cero!$A$1,1,0,COUNT(Curvas_cupon_cero!$A:$A)-2,1),OFFSET(Curvas_cupon_cero!$A$1,1,MATCH($B$9,Curvas_cupon_cero!$1:$1,0)-1,COUNT(Curvas_cupon_cero!$A:$A)-2,1))))</f>
        <v/>
      </c>
      <c r="G292" s="23" t="str">
        <f t="shared" si="44"/>
        <v/>
      </c>
      <c r="H292" s="20" t="str">
        <f t="shared" si="49"/>
        <v/>
      </c>
      <c r="I292" t="str">
        <f t="shared" si="45"/>
        <v/>
      </c>
      <c r="J292" s="17" t="str">
        <f t="shared" si="41"/>
        <v/>
      </c>
      <c r="K292" s="18" t="str">
        <f t="shared" si="46"/>
        <v/>
      </c>
      <c r="L292" t="str">
        <f t="shared" si="47"/>
        <v/>
      </c>
      <c r="M292" s="23" t="str">
        <f ca="1">IF(A292="","",IF($B$10="Sí",interpolar_alamb(L292,OFFSET(Curvas_cupon_cero!$A$1,1,0,COUNT(Curvas_cupon_cero!$A:$A)-2,1),OFFSET(Curvas_cupon_cero!$A$1,1,MATCH($B$6,Curvas_cupon_cero!$1:$1,0)-1,COUNT(Curvas_cupon_cero!$A:$A)-2,1)),[1]!interpolar(L292,OFFSET(Curvas_cupon_cero!$A$1,1,0,COUNT(Curvas_cupon_cero!$A:$A)-2,1),OFFSET(Curvas_cupon_cero!$A$1,1,MATCH($B$6,Curvas_cupon_cero!$1:$1,0)-1,COUNT(Curvas_cupon_cero!$A:$A)-2,1))))</f>
        <v/>
      </c>
      <c r="N292" s="23"/>
      <c r="O292" s="19" t="str">
        <f t="shared" si="48"/>
        <v/>
      </c>
    </row>
    <row r="293" spans="1:15" x14ac:dyDescent="0.2">
      <c r="A293" s="12" t="str">
        <f t="shared" si="42"/>
        <v/>
      </c>
      <c r="B293" t="str">
        <f t="shared" si="40"/>
        <v/>
      </c>
      <c r="C293" s="21" t="str">
        <f ca="1">IF(A293="","",IF($B$10="Sí",interpolar_alamb(B293,OFFSET(Curvas_cupon_cero!$A$1,1,0,COUNT(Curvas_cupon_cero!$A:$A)-2,1),OFFSET(Curvas_cupon_cero!$A$1,1,MATCH($B$8,Curvas_cupon_cero!$1:$1,0)-1,COUNT(Curvas_cupon_cero!$A:$A)-2,1)),[1]!interpolar(B293,OFFSET(Curvas_cupon_cero!$A$1,1,0,COUNT(Curvas_cupon_cero!$A:$A)-2,1),OFFSET(Curvas_cupon_cero!$A$1,1,MATCH($B$8,Curvas_cupon_cero!$1:$1,0)-1,COUNT(Curvas_cupon_cero!$A:$A)-2,1))))</f>
        <v/>
      </c>
      <c r="D293" s="23" t="str">
        <f ca="1">IF(A293="","",IF($B$10="Sí",interpolar_alamb(L293,OFFSET(Curvas_cupon_cero!$A$1,1,0,COUNT(Curvas_cupon_cero!$A:$A)-2,1),OFFSET(Curvas_cupon_cero!$A$1,1,MATCH($B$8,Curvas_cupon_cero!$1:$1,0)-1,COUNT(Curvas_cupon_cero!$A:$A)-2,1)),[1]!interpolar(L293,OFFSET(Curvas_cupon_cero!$A$1,1,0,COUNT(Curvas_cupon_cero!$A:$A)-2,1),OFFSET(Curvas_cupon_cero!$A$1,1,MATCH($B$8,Curvas_cupon_cero!$1:$1,0)-1,COUNT(Curvas_cupon_cero!$A:$A)-2,1))))</f>
        <v/>
      </c>
      <c r="E293" s="23" t="str">
        <f t="shared" si="43"/>
        <v/>
      </c>
      <c r="F293" s="23" t="str">
        <f ca="1">IF(A293="","",IF($B$10="Sí",interpolar_alamb(B293,OFFSET(Curvas_cupon_cero!$A$1,1,0,COUNT(Curvas_cupon_cero!$A:$A)-2,1),OFFSET(Curvas_cupon_cero!$A$1,1,MATCH($B$9,Curvas_cupon_cero!$1:$1,0)-1,COUNT(Curvas_cupon_cero!$A:$A)-2,1)),[1]!interpolar(B293,OFFSET(Curvas_cupon_cero!$A$1,1,0,COUNT(Curvas_cupon_cero!$A:$A)-2,1),OFFSET(Curvas_cupon_cero!$A$1,1,MATCH($B$9,Curvas_cupon_cero!$1:$1,0)-1,COUNT(Curvas_cupon_cero!$A:$A)-2,1))))</f>
        <v/>
      </c>
      <c r="G293" s="23" t="str">
        <f t="shared" si="44"/>
        <v/>
      </c>
      <c r="H293" s="20" t="str">
        <f t="shared" si="49"/>
        <v/>
      </c>
      <c r="I293" t="str">
        <f t="shared" si="45"/>
        <v/>
      </c>
      <c r="J293" s="17" t="str">
        <f t="shared" si="41"/>
        <v/>
      </c>
      <c r="K293" s="18" t="str">
        <f t="shared" si="46"/>
        <v/>
      </c>
      <c r="L293" t="str">
        <f t="shared" si="47"/>
        <v/>
      </c>
      <c r="M293" s="23" t="str">
        <f ca="1">IF(A293="","",IF($B$10="Sí",interpolar_alamb(L293,OFFSET(Curvas_cupon_cero!$A$1,1,0,COUNT(Curvas_cupon_cero!$A:$A)-2,1),OFFSET(Curvas_cupon_cero!$A$1,1,MATCH($B$6,Curvas_cupon_cero!$1:$1,0)-1,COUNT(Curvas_cupon_cero!$A:$A)-2,1)),[1]!interpolar(L293,OFFSET(Curvas_cupon_cero!$A$1,1,0,COUNT(Curvas_cupon_cero!$A:$A)-2,1),OFFSET(Curvas_cupon_cero!$A$1,1,MATCH($B$6,Curvas_cupon_cero!$1:$1,0)-1,COUNT(Curvas_cupon_cero!$A:$A)-2,1))))</f>
        <v/>
      </c>
      <c r="N293" s="23"/>
      <c r="O293" s="19" t="str">
        <f t="shared" si="48"/>
        <v/>
      </c>
    </row>
    <row r="294" spans="1:15" x14ac:dyDescent="0.2">
      <c r="A294" s="12" t="str">
        <f t="shared" si="42"/>
        <v/>
      </c>
      <c r="B294" t="str">
        <f t="shared" si="40"/>
        <v/>
      </c>
      <c r="C294" s="21" t="str">
        <f ca="1">IF(A294="","",IF($B$10="Sí",interpolar_alamb(B294,OFFSET(Curvas_cupon_cero!$A$1,1,0,COUNT(Curvas_cupon_cero!$A:$A)-2,1),OFFSET(Curvas_cupon_cero!$A$1,1,MATCH($B$8,Curvas_cupon_cero!$1:$1,0)-1,COUNT(Curvas_cupon_cero!$A:$A)-2,1)),[1]!interpolar(B294,OFFSET(Curvas_cupon_cero!$A$1,1,0,COUNT(Curvas_cupon_cero!$A:$A)-2,1),OFFSET(Curvas_cupon_cero!$A$1,1,MATCH($B$8,Curvas_cupon_cero!$1:$1,0)-1,COUNT(Curvas_cupon_cero!$A:$A)-2,1))))</f>
        <v/>
      </c>
      <c r="D294" s="23" t="str">
        <f ca="1">IF(A294="","",IF($B$10="Sí",interpolar_alamb(L294,OFFSET(Curvas_cupon_cero!$A$1,1,0,COUNT(Curvas_cupon_cero!$A:$A)-2,1),OFFSET(Curvas_cupon_cero!$A$1,1,MATCH($B$8,Curvas_cupon_cero!$1:$1,0)-1,COUNT(Curvas_cupon_cero!$A:$A)-2,1)),[1]!interpolar(L294,OFFSET(Curvas_cupon_cero!$A$1,1,0,COUNT(Curvas_cupon_cero!$A:$A)-2,1),OFFSET(Curvas_cupon_cero!$A$1,1,MATCH($B$8,Curvas_cupon_cero!$1:$1,0)-1,COUNT(Curvas_cupon_cero!$A:$A)-2,1))))</f>
        <v/>
      </c>
      <c r="E294" s="23" t="str">
        <f t="shared" si="43"/>
        <v/>
      </c>
      <c r="F294" s="23" t="str">
        <f ca="1">IF(A294="","",IF($B$10="Sí",interpolar_alamb(B294,OFFSET(Curvas_cupon_cero!$A$1,1,0,COUNT(Curvas_cupon_cero!$A:$A)-2,1),OFFSET(Curvas_cupon_cero!$A$1,1,MATCH($B$9,Curvas_cupon_cero!$1:$1,0)-1,COUNT(Curvas_cupon_cero!$A:$A)-2,1)),[1]!interpolar(B294,OFFSET(Curvas_cupon_cero!$A$1,1,0,COUNT(Curvas_cupon_cero!$A:$A)-2,1),OFFSET(Curvas_cupon_cero!$A$1,1,MATCH($B$9,Curvas_cupon_cero!$1:$1,0)-1,COUNT(Curvas_cupon_cero!$A:$A)-2,1))))</f>
        <v/>
      </c>
      <c r="G294" s="23" t="str">
        <f t="shared" si="44"/>
        <v/>
      </c>
      <c r="H294" s="20" t="str">
        <f t="shared" si="49"/>
        <v/>
      </c>
      <c r="I294" t="str">
        <f t="shared" si="45"/>
        <v/>
      </c>
      <c r="J294" s="17" t="str">
        <f t="shared" si="41"/>
        <v/>
      </c>
      <c r="K294" s="18" t="str">
        <f t="shared" si="46"/>
        <v/>
      </c>
      <c r="L294" t="str">
        <f t="shared" si="47"/>
        <v/>
      </c>
      <c r="M294" s="23" t="str">
        <f ca="1">IF(A294="","",IF($B$10="Sí",interpolar_alamb(L294,OFFSET(Curvas_cupon_cero!$A$1,1,0,COUNT(Curvas_cupon_cero!$A:$A)-2,1),OFFSET(Curvas_cupon_cero!$A$1,1,MATCH($B$6,Curvas_cupon_cero!$1:$1,0)-1,COUNT(Curvas_cupon_cero!$A:$A)-2,1)),[1]!interpolar(L294,OFFSET(Curvas_cupon_cero!$A$1,1,0,COUNT(Curvas_cupon_cero!$A:$A)-2,1),OFFSET(Curvas_cupon_cero!$A$1,1,MATCH($B$6,Curvas_cupon_cero!$1:$1,0)-1,COUNT(Curvas_cupon_cero!$A:$A)-2,1))))</f>
        <v/>
      </c>
      <c r="N294" s="23"/>
      <c r="O294" s="19" t="str">
        <f t="shared" si="48"/>
        <v/>
      </c>
    </row>
    <row r="295" spans="1:15" x14ac:dyDescent="0.2">
      <c r="A295" s="12" t="str">
        <f t="shared" si="42"/>
        <v/>
      </c>
      <c r="B295" t="str">
        <f t="shared" si="40"/>
        <v/>
      </c>
      <c r="C295" s="21" t="str">
        <f ca="1">IF(A295="","",IF($B$10="Sí",interpolar_alamb(B295,OFFSET(Curvas_cupon_cero!$A$1,1,0,COUNT(Curvas_cupon_cero!$A:$A)-2,1),OFFSET(Curvas_cupon_cero!$A$1,1,MATCH($B$8,Curvas_cupon_cero!$1:$1,0)-1,COUNT(Curvas_cupon_cero!$A:$A)-2,1)),[1]!interpolar(B295,OFFSET(Curvas_cupon_cero!$A$1,1,0,COUNT(Curvas_cupon_cero!$A:$A)-2,1),OFFSET(Curvas_cupon_cero!$A$1,1,MATCH($B$8,Curvas_cupon_cero!$1:$1,0)-1,COUNT(Curvas_cupon_cero!$A:$A)-2,1))))</f>
        <v/>
      </c>
      <c r="D295" s="23" t="str">
        <f ca="1">IF(A295="","",IF($B$10="Sí",interpolar_alamb(L295,OFFSET(Curvas_cupon_cero!$A$1,1,0,COUNT(Curvas_cupon_cero!$A:$A)-2,1),OFFSET(Curvas_cupon_cero!$A$1,1,MATCH($B$8,Curvas_cupon_cero!$1:$1,0)-1,COUNT(Curvas_cupon_cero!$A:$A)-2,1)),[1]!interpolar(L295,OFFSET(Curvas_cupon_cero!$A$1,1,0,COUNT(Curvas_cupon_cero!$A:$A)-2,1),OFFSET(Curvas_cupon_cero!$A$1,1,MATCH($B$8,Curvas_cupon_cero!$1:$1,0)-1,COUNT(Curvas_cupon_cero!$A:$A)-2,1))))</f>
        <v/>
      </c>
      <c r="E295" s="23" t="str">
        <f t="shared" si="43"/>
        <v/>
      </c>
      <c r="F295" s="23" t="str">
        <f ca="1">IF(A295="","",IF($B$10="Sí",interpolar_alamb(B295,OFFSET(Curvas_cupon_cero!$A$1,1,0,COUNT(Curvas_cupon_cero!$A:$A)-2,1),OFFSET(Curvas_cupon_cero!$A$1,1,MATCH($B$9,Curvas_cupon_cero!$1:$1,0)-1,COUNT(Curvas_cupon_cero!$A:$A)-2,1)),[1]!interpolar(B295,OFFSET(Curvas_cupon_cero!$A$1,1,0,COUNT(Curvas_cupon_cero!$A:$A)-2,1),OFFSET(Curvas_cupon_cero!$A$1,1,MATCH($B$9,Curvas_cupon_cero!$1:$1,0)-1,COUNT(Curvas_cupon_cero!$A:$A)-2,1))))</f>
        <v/>
      </c>
      <c r="G295" s="23" t="str">
        <f t="shared" si="44"/>
        <v/>
      </c>
      <c r="H295" s="20" t="str">
        <f t="shared" si="49"/>
        <v/>
      </c>
      <c r="I295" t="str">
        <f t="shared" si="45"/>
        <v/>
      </c>
      <c r="J295" s="17" t="str">
        <f t="shared" si="41"/>
        <v/>
      </c>
      <c r="K295" s="18" t="str">
        <f t="shared" si="46"/>
        <v/>
      </c>
      <c r="L295" t="str">
        <f t="shared" si="47"/>
        <v/>
      </c>
      <c r="M295" s="23" t="str">
        <f ca="1">IF(A295="","",IF($B$10="Sí",interpolar_alamb(L295,OFFSET(Curvas_cupon_cero!$A$1,1,0,COUNT(Curvas_cupon_cero!$A:$A)-2,1),OFFSET(Curvas_cupon_cero!$A$1,1,MATCH($B$6,Curvas_cupon_cero!$1:$1,0)-1,COUNT(Curvas_cupon_cero!$A:$A)-2,1)),[1]!interpolar(L295,OFFSET(Curvas_cupon_cero!$A$1,1,0,COUNT(Curvas_cupon_cero!$A:$A)-2,1),OFFSET(Curvas_cupon_cero!$A$1,1,MATCH($B$6,Curvas_cupon_cero!$1:$1,0)-1,COUNT(Curvas_cupon_cero!$A:$A)-2,1))))</f>
        <v/>
      </c>
      <c r="N295" s="23"/>
      <c r="O295" s="19" t="str">
        <f t="shared" si="48"/>
        <v/>
      </c>
    </row>
    <row r="296" spans="1:15" x14ac:dyDescent="0.2">
      <c r="A296" s="12" t="str">
        <f t="shared" si="42"/>
        <v/>
      </c>
      <c r="B296" t="str">
        <f t="shared" si="40"/>
        <v/>
      </c>
      <c r="C296" s="21" t="str">
        <f ca="1">IF(A296="","",IF($B$10="Sí",interpolar_alamb(B296,OFFSET(Curvas_cupon_cero!$A$1,1,0,COUNT(Curvas_cupon_cero!$A:$A)-2,1),OFFSET(Curvas_cupon_cero!$A$1,1,MATCH($B$8,Curvas_cupon_cero!$1:$1,0)-1,COUNT(Curvas_cupon_cero!$A:$A)-2,1)),[1]!interpolar(B296,OFFSET(Curvas_cupon_cero!$A$1,1,0,COUNT(Curvas_cupon_cero!$A:$A)-2,1),OFFSET(Curvas_cupon_cero!$A$1,1,MATCH($B$8,Curvas_cupon_cero!$1:$1,0)-1,COUNT(Curvas_cupon_cero!$A:$A)-2,1))))</f>
        <v/>
      </c>
      <c r="D296" s="23" t="str">
        <f ca="1">IF(A296="","",IF($B$10="Sí",interpolar_alamb(L296,OFFSET(Curvas_cupon_cero!$A$1,1,0,COUNT(Curvas_cupon_cero!$A:$A)-2,1),OFFSET(Curvas_cupon_cero!$A$1,1,MATCH($B$8,Curvas_cupon_cero!$1:$1,0)-1,COUNT(Curvas_cupon_cero!$A:$A)-2,1)),[1]!interpolar(L296,OFFSET(Curvas_cupon_cero!$A$1,1,0,COUNT(Curvas_cupon_cero!$A:$A)-2,1),OFFSET(Curvas_cupon_cero!$A$1,1,MATCH($B$8,Curvas_cupon_cero!$1:$1,0)-1,COUNT(Curvas_cupon_cero!$A:$A)-2,1))))</f>
        <v/>
      </c>
      <c r="E296" s="23" t="str">
        <f t="shared" si="43"/>
        <v/>
      </c>
      <c r="F296" s="23" t="str">
        <f ca="1">IF(A296="","",IF($B$10="Sí",interpolar_alamb(B296,OFFSET(Curvas_cupon_cero!$A$1,1,0,COUNT(Curvas_cupon_cero!$A:$A)-2,1),OFFSET(Curvas_cupon_cero!$A$1,1,MATCH($B$9,Curvas_cupon_cero!$1:$1,0)-1,COUNT(Curvas_cupon_cero!$A:$A)-2,1)),[1]!interpolar(B296,OFFSET(Curvas_cupon_cero!$A$1,1,0,COUNT(Curvas_cupon_cero!$A:$A)-2,1),OFFSET(Curvas_cupon_cero!$A$1,1,MATCH($B$9,Curvas_cupon_cero!$1:$1,0)-1,COUNT(Curvas_cupon_cero!$A:$A)-2,1))))</f>
        <v/>
      </c>
      <c r="G296" s="23" t="str">
        <f t="shared" si="44"/>
        <v/>
      </c>
      <c r="H296" s="20" t="str">
        <f t="shared" si="49"/>
        <v/>
      </c>
      <c r="I296" t="str">
        <f t="shared" si="45"/>
        <v/>
      </c>
      <c r="J296" s="17" t="str">
        <f t="shared" si="41"/>
        <v/>
      </c>
      <c r="K296" s="18" t="str">
        <f t="shared" si="46"/>
        <v/>
      </c>
      <c r="L296" t="str">
        <f t="shared" si="47"/>
        <v/>
      </c>
      <c r="M296" s="23" t="str">
        <f ca="1">IF(A296="","",IF($B$10="Sí",interpolar_alamb(L296,OFFSET(Curvas_cupon_cero!$A$1,1,0,COUNT(Curvas_cupon_cero!$A:$A)-2,1),OFFSET(Curvas_cupon_cero!$A$1,1,MATCH($B$6,Curvas_cupon_cero!$1:$1,0)-1,COUNT(Curvas_cupon_cero!$A:$A)-2,1)),[1]!interpolar(L296,OFFSET(Curvas_cupon_cero!$A$1,1,0,COUNT(Curvas_cupon_cero!$A:$A)-2,1),OFFSET(Curvas_cupon_cero!$A$1,1,MATCH($B$6,Curvas_cupon_cero!$1:$1,0)-1,COUNT(Curvas_cupon_cero!$A:$A)-2,1))))</f>
        <v/>
      </c>
      <c r="N296" s="23"/>
      <c r="O296" s="19" t="str">
        <f t="shared" si="48"/>
        <v/>
      </c>
    </row>
    <row r="297" spans="1:15" x14ac:dyDescent="0.2">
      <c r="A297" s="12" t="str">
        <f t="shared" si="42"/>
        <v/>
      </c>
      <c r="B297" t="str">
        <f t="shared" si="40"/>
        <v/>
      </c>
      <c r="C297" s="21" t="str">
        <f ca="1">IF(A297="","",IF($B$10="Sí",interpolar_alamb(B297,OFFSET(Curvas_cupon_cero!$A$1,1,0,COUNT(Curvas_cupon_cero!$A:$A)-2,1),OFFSET(Curvas_cupon_cero!$A$1,1,MATCH($B$8,Curvas_cupon_cero!$1:$1,0)-1,COUNT(Curvas_cupon_cero!$A:$A)-2,1)),[1]!interpolar(B297,OFFSET(Curvas_cupon_cero!$A$1,1,0,COUNT(Curvas_cupon_cero!$A:$A)-2,1),OFFSET(Curvas_cupon_cero!$A$1,1,MATCH($B$8,Curvas_cupon_cero!$1:$1,0)-1,COUNT(Curvas_cupon_cero!$A:$A)-2,1))))</f>
        <v/>
      </c>
      <c r="D297" s="23" t="str">
        <f ca="1">IF(A297="","",IF($B$10="Sí",interpolar_alamb(L297,OFFSET(Curvas_cupon_cero!$A$1,1,0,COUNT(Curvas_cupon_cero!$A:$A)-2,1),OFFSET(Curvas_cupon_cero!$A$1,1,MATCH($B$8,Curvas_cupon_cero!$1:$1,0)-1,COUNT(Curvas_cupon_cero!$A:$A)-2,1)),[1]!interpolar(L297,OFFSET(Curvas_cupon_cero!$A$1,1,0,COUNT(Curvas_cupon_cero!$A:$A)-2,1),OFFSET(Curvas_cupon_cero!$A$1,1,MATCH($B$8,Curvas_cupon_cero!$1:$1,0)-1,COUNT(Curvas_cupon_cero!$A:$A)-2,1))))</f>
        <v/>
      </c>
      <c r="E297" s="23" t="str">
        <f t="shared" si="43"/>
        <v/>
      </c>
      <c r="F297" s="23" t="str">
        <f ca="1">IF(A297="","",IF($B$10="Sí",interpolar_alamb(B297,OFFSET(Curvas_cupon_cero!$A$1,1,0,COUNT(Curvas_cupon_cero!$A:$A)-2,1),OFFSET(Curvas_cupon_cero!$A$1,1,MATCH($B$9,Curvas_cupon_cero!$1:$1,0)-1,COUNT(Curvas_cupon_cero!$A:$A)-2,1)),[1]!interpolar(B297,OFFSET(Curvas_cupon_cero!$A$1,1,0,COUNT(Curvas_cupon_cero!$A:$A)-2,1),OFFSET(Curvas_cupon_cero!$A$1,1,MATCH($B$9,Curvas_cupon_cero!$1:$1,0)-1,COUNT(Curvas_cupon_cero!$A:$A)-2,1))))</f>
        <v/>
      </c>
      <c r="G297" s="23" t="str">
        <f t="shared" si="44"/>
        <v/>
      </c>
      <c r="H297" s="20" t="str">
        <f t="shared" si="49"/>
        <v/>
      </c>
      <c r="I297" t="str">
        <f t="shared" si="45"/>
        <v/>
      </c>
      <c r="J297" s="17" t="str">
        <f t="shared" si="41"/>
        <v/>
      </c>
      <c r="K297" s="18" t="str">
        <f t="shared" si="46"/>
        <v/>
      </c>
      <c r="L297" t="str">
        <f t="shared" si="47"/>
        <v/>
      </c>
      <c r="M297" s="23" t="str">
        <f ca="1">IF(A297="","",IF($B$10="Sí",interpolar_alamb(L297,OFFSET(Curvas_cupon_cero!$A$1,1,0,COUNT(Curvas_cupon_cero!$A:$A)-2,1),OFFSET(Curvas_cupon_cero!$A$1,1,MATCH($B$6,Curvas_cupon_cero!$1:$1,0)-1,COUNT(Curvas_cupon_cero!$A:$A)-2,1)),[1]!interpolar(L297,OFFSET(Curvas_cupon_cero!$A$1,1,0,COUNT(Curvas_cupon_cero!$A:$A)-2,1),OFFSET(Curvas_cupon_cero!$A$1,1,MATCH($B$6,Curvas_cupon_cero!$1:$1,0)-1,COUNT(Curvas_cupon_cero!$A:$A)-2,1))))</f>
        <v/>
      </c>
      <c r="N297" s="23"/>
      <c r="O297" s="19" t="str">
        <f t="shared" si="48"/>
        <v/>
      </c>
    </row>
    <row r="298" spans="1:15" x14ac:dyDescent="0.2">
      <c r="A298" s="12" t="str">
        <f t="shared" si="42"/>
        <v/>
      </c>
      <c r="B298" t="str">
        <f t="shared" si="40"/>
        <v/>
      </c>
      <c r="C298" s="21" t="str">
        <f ca="1">IF(A298="","",IF($B$10="Sí",interpolar_alamb(B298,OFFSET(Curvas_cupon_cero!$A$1,1,0,COUNT(Curvas_cupon_cero!$A:$A)-2,1),OFFSET(Curvas_cupon_cero!$A$1,1,MATCH($B$8,Curvas_cupon_cero!$1:$1,0)-1,COUNT(Curvas_cupon_cero!$A:$A)-2,1)),[1]!interpolar(B298,OFFSET(Curvas_cupon_cero!$A$1,1,0,COUNT(Curvas_cupon_cero!$A:$A)-2,1),OFFSET(Curvas_cupon_cero!$A$1,1,MATCH($B$8,Curvas_cupon_cero!$1:$1,0)-1,COUNT(Curvas_cupon_cero!$A:$A)-2,1))))</f>
        <v/>
      </c>
      <c r="D298" s="23" t="str">
        <f ca="1">IF(A298="","",IF($B$10="Sí",interpolar_alamb(L298,OFFSET(Curvas_cupon_cero!$A$1,1,0,COUNT(Curvas_cupon_cero!$A:$A)-2,1),OFFSET(Curvas_cupon_cero!$A$1,1,MATCH($B$8,Curvas_cupon_cero!$1:$1,0)-1,COUNT(Curvas_cupon_cero!$A:$A)-2,1)),[1]!interpolar(L298,OFFSET(Curvas_cupon_cero!$A$1,1,0,COUNT(Curvas_cupon_cero!$A:$A)-2,1),OFFSET(Curvas_cupon_cero!$A$1,1,MATCH($B$8,Curvas_cupon_cero!$1:$1,0)-1,COUNT(Curvas_cupon_cero!$A:$A)-2,1))))</f>
        <v/>
      </c>
      <c r="E298" s="23" t="str">
        <f t="shared" si="43"/>
        <v/>
      </c>
      <c r="F298" s="23" t="str">
        <f ca="1">IF(A298="","",IF($B$10="Sí",interpolar_alamb(B298,OFFSET(Curvas_cupon_cero!$A$1,1,0,COUNT(Curvas_cupon_cero!$A:$A)-2,1),OFFSET(Curvas_cupon_cero!$A$1,1,MATCH($B$9,Curvas_cupon_cero!$1:$1,0)-1,COUNT(Curvas_cupon_cero!$A:$A)-2,1)),[1]!interpolar(B298,OFFSET(Curvas_cupon_cero!$A$1,1,0,COUNT(Curvas_cupon_cero!$A:$A)-2,1),OFFSET(Curvas_cupon_cero!$A$1,1,MATCH($B$9,Curvas_cupon_cero!$1:$1,0)-1,COUNT(Curvas_cupon_cero!$A:$A)-2,1))))</f>
        <v/>
      </c>
      <c r="G298" s="23" t="str">
        <f t="shared" si="44"/>
        <v/>
      </c>
      <c r="H298" s="20" t="str">
        <f t="shared" si="49"/>
        <v/>
      </c>
      <c r="I298" t="str">
        <f t="shared" si="45"/>
        <v/>
      </c>
      <c r="J298" s="17" t="str">
        <f t="shared" si="41"/>
        <v/>
      </c>
      <c r="K298" s="18" t="str">
        <f t="shared" si="46"/>
        <v/>
      </c>
      <c r="L298" t="str">
        <f t="shared" si="47"/>
        <v/>
      </c>
      <c r="M298" s="23" t="str">
        <f ca="1">IF(A298="","",IF($B$10="Sí",interpolar_alamb(L298,OFFSET(Curvas_cupon_cero!$A$1,1,0,COUNT(Curvas_cupon_cero!$A:$A)-2,1),OFFSET(Curvas_cupon_cero!$A$1,1,MATCH($B$6,Curvas_cupon_cero!$1:$1,0)-1,COUNT(Curvas_cupon_cero!$A:$A)-2,1)),[1]!interpolar(L298,OFFSET(Curvas_cupon_cero!$A$1,1,0,COUNT(Curvas_cupon_cero!$A:$A)-2,1),OFFSET(Curvas_cupon_cero!$A$1,1,MATCH($B$6,Curvas_cupon_cero!$1:$1,0)-1,COUNT(Curvas_cupon_cero!$A:$A)-2,1))))</f>
        <v/>
      </c>
      <c r="N298" s="23"/>
      <c r="O298" s="19" t="str">
        <f t="shared" si="48"/>
        <v/>
      </c>
    </row>
    <row r="299" spans="1:15" x14ac:dyDescent="0.2">
      <c r="A299" s="12" t="str">
        <f t="shared" si="42"/>
        <v/>
      </c>
      <c r="B299" t="str">
        <f t="shared" si="40"/>
        <v/>
      </c>
      <c r="C299" s="21" t="str">
        <f ca="1">IF(A299="","",IF($B$10="Sí",interpolar_alamb(B299,OFFSET(Curvas_cupon_cero!$A$1,1,0,COUNT(Curvas_cupon_cero!$A:$A)-2,1),OFFSET(Curvas_cupon_cero!$A$1,1,MATCH($B$8,Curvas_cupon_cero!$1:$1,0)-1,COUNT(Curvas_cupon_cero!$A:$A)-2,1)),[1]!interpolar(B299,OFFSET(Curvas_cupon_cero!$A$1,1,0,COUNT(Curvas_cupon_cero!$A:$A)-2,1),OFFSET(Curvas_cupon_cero!$A$1,1,MATCH($B$8,Curvas_cupon_cero!$1:$1,0)-1,COUNT(Curvas_cupon_cero!$A:$A)-2,1))))</f>
        <v/>
      </c>
      <c r="D299" s="23" t="str">
        <f ca="1">IF(A299="","",IF($B$10="Sí",interpolar_alamb(L299,OFFSET(Curvas_cupon_cero!$A$1,1,0,COUNT(Curvas_cupon_cero!$A:$A)-2,1),OFFSET(Curvas_cupon_cero!$A$1,1,MATCH($B$8,Curvas_cupon_cero!$1:$1,0)-1,COUNT(Curvas_cupon_cero!$A:$A)-2,1)),[1]!interpolar(L299,OFFSET(Curvas_cupon_cero!$A$1,1,0,COUNT(Curvas_cupon_cero!$A:$A)-2,1),OFFSET(Curvas_cupon_cero!$A$1,1,MATCH($B$8,Curvas_cupon_cero!$1:$1,0)-1,COUNT(Curvas_cupon_cero!$A:$A)-2,1))))</f>
        <v/>
      </c>
      <c r="E299" s="23" t="str">
        <f t="shared" si="43"/>
        <v/>
      </c>
      <c r="F299" s="23" t="str">
        <f ca="1">IF(A299="","",IF($B$10="Sí",interpolar_alamb(B299,OFFSET(Curvas_cupon_cero!$A$1,1,0,COUNT(Curvas_cupon_cero!$A:$A)-2,1),OFFSET(Curvas_cupon_cero!$A$1,1,MATCH($B$9,Curvas_cupon_cero!$1:$1,0)-1,COUNT(Curvas_cupon_cero!$A:$A)-2,1)),[1]!interpolar(B299,OFFSET(Curvas_cupon_cero!$A$1,1,0,COUNT(Curvas_cupon_cero!$A:$A)-2,1),OFFSET(Curvas_cupon_cero!$A$1,1,MATCH($B$9,Curvas_cupon_cero!$1:$1,0)-1,COUNT(Curvas_cupon_cero!$A:$A)-2,1))))</f>
        <v/>
      </c>
      <c r="G299" s="23" t="str">
        <f t="shared" si="44"/>
        <v/>
      </c>
      <c r="H299" s="20" t="str">
        <f t="shared" si="49"/>
        <v/>
      </c>
      <c r="I299" t="str">
        <f t="shared" si="45"/>
        <v/>
      </c>
      <c r="J299" s="17" t="str">
        <f t="shared" si="41"/>
        <v/>
      </c>
      <c r="K299" s="18" t="str">
        <f t="shared" si="46"/>
        <v/>
      </c>
      <c r="L299" t="str">
        <f t="shared" si="47"/>
        <v/>
      </c>
      <c r="M299" s="23" t="str">
        <f ca="1">IF(A299="","",IF($B$10="Sí",interpolar_alamb(L299,OFFSET(Curvas_cupon_cero!$A$1,1,0,COUNT(Curvas_cupon_cero!$A:$A)-2,1),OFFSET(Curvas_cupon_cero!$A$1,1,MATCH($B$6,Curvas_cupon_cero!$1:$1,0)-1,COUNT(Curvas_cupon_cero!$A:$A)-2,1)),[1]!interpolar(L299,OFFSET(Curvas_cupon_cero!$A$1,1,0,COUNT(Curvas_cupon_cero!$A:$A)-2,1),OFFSET(Curvas_cupon_cero!$A$1,1,MATCH($B$6,Curvas_cupon_cero!$1:$1,0)-1,COUNT(Curvas_cupon_cero!$A:$A)-2,1))))</f>
        <v/>
      </c>
      <c r="N299" s="23"/>
      <c r="O299" s="19" t="str">
        <f t="shared" si="48"/>
        <v/>
      </c>
    </row>
    <row r="300" spans="1:15" x14ac:dyDescent="0.2">
      <c r="A300" s="12" t="str">
        <f t="shared" si="42"/>
        <v/>
      </c>
      <c r="B300" t="str">
        <f t="shared" si="40"/>
        <v/>
      </c>
      <c r="C300" s="21" t="str">
        <f ca="1">IF(A300="","",IF($B$10="Sí",interpolar_alamb(B300,OFFSET(Curvas_cupon_cero!$A$1,1,0,COUNT(Curvas_cupon_cero!$A:$A)-2,1),OFFSET(Curvas_cupon_cero!$A$1,1,MATCH($B$8,Curvas_cupon_cero!$1:$1,0)-1,COUNT(Curvas_cupon_cero!$A:$A)-2,1)),[1]!interpolar(B300,OFFSET(Curvas_cupon_cero!$A$1,1,0,COUNT(Curvas_cupon_cero!$A:$A)-2,1),OFFSET(Curvas_cupon_cero!$A$1,1,MATCH($B$8,Curvas_cupon_cero!$1:$1,0)-1,COUNT(Curvas_cupon_cero!$A:$A)-2,1))))</f>
        <v/>
      </c>
      <c r="D300" s="23" t="str">
        <f ca="1">IF(A300="","",IF($B$10="Sí",interpolar_alamb(L300,OFFSET(Curvas_cupon_cero!$A$1,1,0,COUNT(Curvas_cupon_cero!$A:$A)-2,1),OFFSET(Curvas_cupon_cero!$A$1,1,MATCH($B$8,Curvas_cupon_cero!$1:$1,0)-1,COUNT(Curvas_cupon_cero!$A:$A)-2,1)),[1]!interpolar(L300,OFFSET(Curvas_cupon_cero!$A$1,1,0,COUNT(Curvas_cupon_cero!$A:$A)-2,1),OFFSET(Curvas_cupon_cero!$A$1,1,MATCH($B$8,Curvas_cupon_cero!$1:$1,0)-1,COUNT(Curvas_cupon_cero!$A:$A)-2,1))))</f>
        <v/>
      </c>
      <c r="E300" s="23" t="str">
        <f t="shared" si="43"/>
        <v/>
      </c>
      <c r="F300" s="23" t="str">
        <f ca="1">IF(A300="","",IF($B$10="Sí",interpolar_alamb(B300,OFFSET(Curvas_cupon_cero!$A$1,1,0,COUNT(Curvas_cupon_cero!$A:$A)-2,1),OFFSET(Curvas_cupon_cero!$A$1,1,MATCH($B$9,Curvas_cupon_cero!$1:$1,0)-1,COUNT(Curvas_cupon_cero!$A:$A)-2,1)),[1]!interpolar(B300,OFFSET(Curvas_cupon_cero!$A$1,1,0,COUNT(Curvas_cupon_cero!$A:$A)-2,1),OFFSET(Curvas_cupon_cero!$A$1,1,MATCH($B$9,Curvas_cupon_cero!$1:$1,0)-1,COUNT(Curvas_cupon_cero!$A:$A)-2,1))))</f>
        <v/>
      </c>
      <c r="G300" s="23" t="str">
        <f t="shared" si="44"/>
        <v/>
      </c>
      <c r="H300" s="20" t="str">
        <f t="shared" si="49"/>
        <v/>
      </c>
      <c r="I300" t="str">
        <f t="shared" si="45"/>
        <v/>
      </c>
      <c r="J300" s="17" t="str">
        <f t="shared" si="41"/>
        <v/>
      </c>
      <c r="K300" s="18" t="str">
        <f t="shared" si="46"/>
        <v/>
      </c>
      <c r="L300" t="str">
        <f t="shared" si="47"/>
        <v/>
      </c>
      <c r="M300" s="23" t="str">
        <f ca="1">IF(A300="","",IF($B$10="Sí",interpolar_alamb(L300,OFFSET(Curvas_cupon_cero!$A$1,1,0,COUNT(Curvas_cupon_cero!$A:$A)-2,1),OFFSET(Curvas_cupon_cero!$A$1,1,MATCH($B$6,Curvas_cupon_cero!$1:$1,0)-1,COUNT(Curvas_cupon_cero!$A:$A)-2,1)),[1]!interpolar(L300,OFFSET(Curvas_cupon_cero!$A$1,1,0,COUNT(Curvas_cupon_cero!$A:$A)-2,1),OFFSET(Curvas_cupon_cero!$A$1,1,MATCH($B$6,Curvas_cupon_cero!$1:$1,0)-1,COUNT(Curvas_cupon_cero!$A:$A)-2,1))))</f>
        <v/>
      </c>
      <c r="N300" s="23"/>
      <c r="O300" s="19" t="str">
        <f t="shared" si="48"/>
        <v/>
      </c>
    </row>
    <row r="301" spans="1:15" x14ac:dyDescent="0.2">
      <c r="A301" s="12" t="str">
        <f t="shared" si="42"/>
        <v/>
      </c>
      <c r="B301" t="str">
        <f t="shared" si="40"/>
        <v/>
      </c>
      <c r="C301" s="21" t="str">
        <f ca="1">IF(A301="","",IF($B$10="Sí",interpolar_alamb(B301,OFFSET(Curvas_cupon_cero!$A$1,1,0,COUNT(Curvas_cupon_cero!$A:$A)-2,1),OFFSET(Curvas_cupon_cero!$A$1,1,MATCH($B$8,Curvas_cupon_cero!$1:$1,0)-1,COUNT(Curvas_cupon_cero!$A:$A)-2,1)),[1]!interpolar(B301,OFFSET(Curvas_cupon_cero!$A$1,1,0,COUNT(Curvas_cupon_cero!$A:$A)-2,1),OFFSET(Curvas_cupon_cero!$A$1,1,MATCH($B$8,Curvas_cupon_cero!$1:$1,0)-1,COUNT(Curvas_cupon_cero!$A:$A)-2,1))))</f>
        <v/>
      </c>
      <c r="D301" s="23" t="str">
        <f ca="1">IF(A301="","",IF($B$10="Sí",interpolar_alamb(L301,OFFSET(Curvas_cupon_cero!$A$1,1,0,COUNT(Curvas_cupon_cero!$A:$A)-2,1),OFFSET(Curvas_cupon_cero!$A$1,1,MATCH($B$8,Curvas_cupon_cero!$1:$1,0)-1,COUNT(Curvas_cupon_cero!$A:$A)-2,1)),[1]!interpolar(L301,OFFSET(Curvas_cupon_cero!$A$1,1,0,COUNT(Curvas_cupon_cero!$A:$A)-2,1),OFFSET(Curvas_cupon_cero!$A$1,1,MATCH($B$8,Curvas_cupon_cero!$1:$1,0)-1,COUNT(Curvas_cupon_cero!$A:$A)-2,1))))</f>
        <v/>
      </c>
      <c r="E301" s="23" t="str">
        <f t="shared" si="43"/>
        <v/>
      </c>
      <c r="F301" s="23" t="str">
        <f ca="1">IF(A301="","",IF($B$10="Sí",interpolar_alamb(B301,OFFSET(Curvas_cupon_cero!$A$1,1,0,COUNT(Curvas_cupon_cero!$A:$A)-2,1),OFFSET(Curvas_cupon_cero!$A$1,1,MATCH($B$9,Curvas_cupon_cero!$1:$1,0)-1,COUNT(Curvas_cupon_cero!$A:$A)-2,1)),[1]!interpolar(B301,OFFSET(Curvas_cupon_cero!$A$1,1,0,COUNT(Curvas_cupon_cero!$A:$A)-2,1),OFFSET(Curvas_cupon_cero!$A$1,1,MATCH($B$9,Curvas_cupon_cero!$1:$1,0)-1,COUNT(Curvas_cupon_cero!$A:$A)-2,1))))</f>
        <v/>
      </c>
      <c r="G301" s="23" t="str">
        <f t="shared" si="44"/>
        <v/>
      </c>
      <c r="H301" s="20" t="str">
        <f t="shared" si="49"/>
        <v/>
      </c>
      <c r="I301" t="str">
        <f t="shared" si="45"/>
        <v/>
      </c>
      <c r="J301" s="17" t="str">
        <f t="shared" si="41"/>
        <v/>
      </c>
      <c r="K301" s="18" t="str">
        <f t="shared" si="46"/>
        <v/>
      </c>
      <c r="L301" t="str">
        <f t="shared" si="47"/>
        <v/>
      </c>
      <c r="M301" s="23" t="str">
        <f ca="1">IF(A301="","",IF($B$10="Sí",interpolar_alamb(L301,OFFSET(Curvas_cupon_cero!$A$1,1,0,COUNT(Curvas_cupon_cero!$A:$A)-2,1),OFFSET(Curvas_cupon_cero!$A$1,1,MATCH($B$6,Curvas_cupon_cero!$1:$1,0)-1,COUNT(Curvas_cupon_cero!$A:$A)-2,1)),[1]!interpolar(L301,OFFSET(Curvas_cupon_cero!$A$1,1,0,COUNT(Curvas_cupon_cero!$A:$A)-2,1),OFFSET(Curvas_cupon_cero!$A$1,1,MATCH($B$6,Curvas_cupon_cero!$1:$1,0)-1,COUNT(Curvas_cupon_cero!$A:$A)-2,1))))</f>
        <v/>
      </c>
      <c r="N301" s="23"/>
      <c r="O301" s="19" t="str">
        <f t="shared" si="48"/>
        <v/>
      </c>
    </row>
    <row r="302" spans="1:15" x14ac:dyDescent="0.2">
      <c r="A302" s="12" t="str">
        <f t="shared" si="42"/>
        <v/>
      </c>
      <c r="B302" t="str">
        <f t="shared" si="40"/>
        <v/>
      </c>
      <c r="C302" s="21" t="str">
        <f ca="1">IF(A302="","",IF($B$10="Sí",interpolar_alamb(B302,OFFSET(Curvas_cupon_cero!$A$1,1,0,COUNT(Curvas_cupon_cero!$A:$A)-2,1),OFFSET(Curvas_cupon_cero!$A$1,1,MATCH($B$8,Curvas_cupon_cero!$1:$1,0)-1,COUNT(Curvas_cupon_cero!$A:$A)-2,1)),[1]!interpolar(B302,OFFSET(Curvas_cupon_cero!$A$1,1,0,COUNT(Curvas_cupon_cero!$A:$A)-2,1),OFFSET(Curvas_cupon_cero!$A$1,1,MATCH($B$8,Curvas_cupon_cero!$1:$1,0)-1,COUNT(Curvas_cupon_cero!$A:$A)-2,1))))</f>
        <v/>
      </c>
      <c r="D302" s="23" t="str">
        <f ca="1">IF(A302="","",IF($B$10="Sí",interpolar_alamb(L302,OFFSET(Curvas_cupon_cero!$A$1,1,0,COUNT(Curvas_cupon_cero!$A:$A)-2,1),OFFSET(Curvas_cupon_cero!$A$1,1,MATCH($B$8,Curvas_cupon_cero!$1:$1,0)-1,COUNT(Curvas_cupon_cero!$A:$A)-2,1)),[1]!interpolar(L302,OFFSET(Curvas_cupon_cero!$A$1,1,0,COUNT(Curvas_cupon_cero!$A:$A)-2,1),OFFSET(Curvas_cupon_cero!$A$1,1,MATCH($B$8,Curvas_cupon_cero!$1:$1,0)-1,COUNT(Curvas_cupon_cero!$A:$A)-2,1))))</f>
        <v/>
      </c>
      <c r="E302" s="23" t="str">
        <f t="shared" si="43"/>
        <v/>
      </c>
      <c r="F302" s="23" t="str">
        <f ca="1">IF(A302="","",IF($B$10="Sí",interpolar_alamb(B302,OFFSET(Curvas_cupon_cero!$A$1,1,0,COUNT(Curvas_cupon_cero!$A:$A)-2,1),OFFSET(Curvas_cupon_cero!$A$1,1,MATCH($B$9,Curvas_cupon_cero!$1:$1,0)-1,COUNT(Curvas_cupon_cero!$A:$A)-2,1)),[1]!interpolar(B302,OFFSET(Curvas_cupon_cero!$A$1,1,0,COUNT(Curvas_cupon_cero!$A:$A)-2,1),OFFSET(Curvas_cupon_cero!$A$1,1,MATCH($B$9,Curvas_cupon_cero!$1:$1,0)-1,COUNT(Curvas_cupon_cero!$A:$A)-2,1))))</f>
        <v/>
      </c>
      <c r="G302" s="23" t="str">
        <f t="shared" si="44"/>
        <v/>
      </c>
      <c r="H302" s="20" t="str">
        <f t="shared" si="49"/>
        <v/>
      </c>
      <c r="I302" t="str">
        <f t="shared" si="45"/>
        <v/>
      </c>
      <c r="J302" s="17" t="str">
        <f t="shared" si="41"/>
        <v/>
      </c>
      <c r="K302" s="18" t="str">
        <f t="shared" si="46"/>
        <v/>
      </c>
      <c r="L302" t="str">
        <f t="shared" si="47"/>
        <v/>
      </c>
      <c r="M302" s="23" t="str">
        <f ca="1">IF(A302="","",IF($B$10="Sí",interpolar_alamb(L302,OFFSET(Curvas_cupon_cero!$A$1,1,0,COUNT(Curvas_cupon_cero!$A:$A)-2,1),OFFSET(Curvas_cupon_cero!$A$1,1,MATCH($B$6,Curvas_cupon_cero!$1:$1,0)-1,COUNT(Curvas_cupon_cero!$A:$A)-2,1)),[1]!interpolar(L302,OFFSET(Curvas_cupon_cero!$A$1,1,0,COUNT(Curvas_cupon_cero!$A:$A)-2,1),OFFSET(Curvas_cupon_cero!$A$1,1,MATCH($B$6,Curvas_cupon_cero!$1:$1,0)-1,COUNT(Curvas_cupon_cero!$A:$A)-2,1))))</f>
        <v/>
      </c>
      <c r="N302" s="23"/>
      <c r="O302" s="19" t="str">
        <f t="shared" si="48"/>
        <v/>
      </c>
    </row>
    <row r="303" spans="1:15" x14ac:dyDescent="0.2">
      <c r="A303" s="12" t="str">
        <f t="shared" si="42"/>
        <v/>
      </c>
      <c r="B303" t="str">
        <f t="shared" si="40"/>
        <v/>
      </c>
      <c r="C303" s="21" t="str">
        <f ca="1">IF(A303="","",IF($B$10="Sí",interpolar_alamb(B303,OFFSET(Curvas_cupon_cero!$A$1,1,0,COUNT(Curvas_cupon_cero!$A:$A)-2,1),OFFSET(Curvas_cupon_cero!$A$1,1,MATCH($B$8,Curvas_cupon_cero!$1:$1,0)-1,COUNT(Curvas_cupon_cero!$A:$A)-2,1)),[1]!interpolar(B303,OFFSET(Curvas_cupon_cero!$A$1,1,0,COUNT(Curvas_cupon_cero!$A:$A)-2,1),OFFSET(Curvas_cupon_cero!$A$1,1,MATCH($B$8,Curvas_cupon_cero!$1:$1,0)-1,COUNT(Curvas_cupon_cero!$A:$A)-2,1))))</f>
        <v/>
      </c>
      <c r="D303" s="23" t="str">
        <f ca="1">IF(A303="","",IF($B$10="Sí",interpolar_alamb(L303,OFFSET(Curvas_cupon_cero!$A$1,1,0,COUNT(Curvas_cupon_cero!$A:$A)-2,1),OFFSET(Curvas_cupon_cero!$A$1,1,MATCH($B$8,Curvas_cupon_cero!$1:$1,0)-1,COUNT(Curvas_cupon_cero!$A:$A)-2,1)),[1]!interpolar(L303,OFFSET(Curvas_cupon_cero!$A$1,1,0,COUNT(Curvas_cupon_cero!$A:$A)-2,1),OFFSET(Curvas_cupon_cero!$A$1,1,MATCH($B$8,Curvas_cupon_cero!$1:$1,0)-1,COUNT(Curvas_cupon_cero!$A:$A)-2,1))))</f>
        <v/>
      </c>
      <c r="E303" s="23" t="str">
        <f t="shared" si="43"/>
        <v/>
      </c>
      <c r="F303" s="23" t="str">
        <f ca="1">IF(A303="","",IF($B$10="Sí",interpolar_alamb(B303,OFFSET(Curvas_cupon_cero!$A$1,1,0,COUNT(Curvas_cupon_cero!$A:$A)-2,1),OFFSET(Curvas_cupon_cero!$A$1,1,MATCH($B$9,Curvas_cupon_cero!$1:$1,0)-1,COUNT(Curvas_cupon_cero!$A:$A)-2,1)),[1]!interpolar(B303,OFFSET(Curvas_cupon_cero!$A$1,1,0,COUNT(Curvas_cupon_cero!$A:$A)-2,1),OFFSET(Curvas_cupon_cero!$A$1,1,MATCH($B$9,Curvas_cupon_cero!$1:$1,0)-1,COUNT(Curvas_cupon_cero!$A:$A)-2,1))))</f>
        <v/>
      </c>
      <c r="G303" s="23" t="str">
        <f t="shared" si="44"/>
        <v/>
      </c>
      <c r="H303" s="20" t="str">
        <f t="shared" si="49"/>
        <v/>
      </c>
      <c r="I303" t="str">
        <f t="shared" si="45"/>
        <v/>
      </c>
      <c r="J303" s="17" t="str">
        <f t="shared" si="41"/>
        <v/>
      </c>
      <c r="K303" s="18" t="str">
        <f t="shared" si="46"/>
        <v/>
      </c>
      <c r="L303" t="str">
        <f t="shared" si="47"/>
        <v/>
      </c>
      <c r="M303" s="23" t="str">
        <f ca="1">IF(A303="","",IF($B$10="Sí",interpolar_alamb(L303,OFFSET(Curvas_cupon_cero!$A$1,1,0,COUNT(Curvas_cupon_cero!$A:$A)-2,1),OFFSET(Curvas_cupon_cero!$A$1,1,MATCH($B$6,Curvas_cupon_cero!$1:$1,0)-1,COUNT(Curvas_cupon_cero!$A:$A)-2,1)),[1]!interpolar(L303,OFFSET(Curvas_cupon_cero!$A$1,1,0,COUNT(Curvas_cupon_cero!$A:$A)-2,1),OFFSET(Curvas_cupon_cero!$A$1,1,MATCH($B$6,Curvas_cupon_cero!$1:$1,0)-1,COUNT(Curvas_cupon_cero!$A:$A)-2,1))))</f>
        <v/>
      </c>
      <c r="N303" s="23"/>
      <c r="O303" s="19" t="str">
        <f t="shared" si="48"/>
        <v/>
      </c>
    </row>
    <row r="304" spans="1:15" x14ac:dyDescent="0.2">
      <c r="A304" s="12" t="str">
        <f t="shared" si="42"/>
        <v/>
      </c>
      <c r="B304" t="str">
        <f t="shared" si="40"/>
        <v/>
      </c>
      <c r="C304" s="21" t="str">
        <f ca="1">IF(A304="","",IF($B$10="Sí",interpolar_alamb(B304,OFFSET(Curvas_cupon_cero!$A$1,1,0,COUNT(Curvas_cupon_cero!$A:$A)-2,1),OFFSET(Curvas_cupon_cero!$A$1,1,MATCH($B$8,Curvas_cupon_cero!$1:$1,0)-1,COUNT(Curvas_cupon_cero!$A:$A)-2,1)),[1]!interpolar(B304,OFFSET(Curvas_cupon_cero!$A$1,1,0,COUNT(Curvas_cupon_cero!$A:$A)-2,1),OFFSET(Curvas_cupon_cero!$A$1,1,MATCH($B$8,Curvas_cupon_cero!$1:$1,0)-1,COUNT(Curvas_cupon_cero!$A:$A)-2,1))))</f>
        <v/>
      </c>
      <c r="D304" s="23" t="str">
        <f ca="1">IF(A304="","",IF($B$10="Sí",interpolar_alamb(L304,OFFSET(Curvas_cupon_cero!$A$1,1,0,COUNT(Curvas_cupon_cero!$A:$A)-2,1),OFFSET(Curvas_cupon_cero!$A$1,1,MATCH($B$8,Curvas_cupon_cero!$1:$1,0)-1,COUNT(Curvas_cupon_cero!$A:$A)-2,1)),[1]!interpolar(L304,OFFSET(Curvas_cupon_cero!$A$1,1,0,COUNT(Curvas_cupon_cero!$A:$A)-2,1),OFFSET(Curvas_cupon_cero!$A$1,1,MATCH($B$8,Curvas_cupon_cero!$1:$1,0)-1,COUNT(Curvas_cupon_cero!$A:$A)-2,1))))</f>
        <v/>
      </c>
      <c r="E304" s="23" t="str">
        <f t="shared" si="43"/>
        <v/>
      </c>
      <c r="F304" s="23" t="str">
        <f ca="1">IF(A304="","",IF($B$10="Sí",interpolar_alamb(B304,OFFSET(Curvas_cupon_cero!$A$1,1,0,COUNT(Curvas_cupon_cero!$A:$A)-2,1),OFFSET(Curvas_cupon_cero!$A$1,1,MATCH($B$9,Curvas_cupon_cero!$1:$1,0)-1,COUNT(Curvas_cupon_cero!$A:$A)-2,1)),[1]!interpolar(B304,OFFSET(Curvas_cupon_cero!$A$1,1,0,COUNT(Curvas_cupon_cero!$A:$A)-2,1),OFFSET(Curvas_cupon_cero!$A$1,1,MATCH($B$9,Curvas_cupon_cero!$1:$1,0)-1,COUNT(Curvas_cupon_cero!$A:$A)-2,1))))</f>
        <v/>
      </c>
      <c r="G304" s="23" t="str">
        <f t="shared" si="44"/>
        <v/>
      </c>
      <c r="H304" s="20" t="str">
        <f t="shared" si="49"/>
        <v/>
      </c>
      <c r="I304" t="str">
        <f t="shared" si="45"/>
        <v/>
      </c>
      <c r="J304" s="17" t="str">
        <f t="shared" si="41"/>
        <v/>
      </c>
      <c r="K304" s="18" t="str">
        <f t="shared" si="46"/>
        <v/>
      </c>
      <c r="L304" t="str">
        <f t="shared" si="47"/>
        <v/>
      </c>
      <c r="M304" s="23" t="str">
        <f ca="1">IF(A304="","",IF($B$10="Sí",interpolar_alamb(L304,OFFSET(Curvas_cupon_cero!$A$1,1,0,COUNT(Curvas_cupon_cero!$A:$A)-2,1),OFFSET(Curvas_cupon_cero!$A$1,1,MATCH($B$6,Curvas_cupon_cero!$1:$1,0)-1,COUNT(Curvas_cupon_cero!$A:$A)-2,1)),[1]!interpolar(L304,OFFSET(Curvas_cupon_cero!$A$1,1,0,COUNT(Curvas_cupon_cero!$A:$A)-2,1),OFFSET(Curvas_cupon_cero!$A$1,1,MATCH($B$6,Curvas_cupon_cero!$1:$1,0)-1,COUNT(Curvas_cupon_cero!$A:$A)-2,1))))</f>
        <v/>
      </c>
      <c r="N304" s="23"/>
      <c r="O304" s="19" t="str">
        <f t="shared" si="48"/>
        <v/>
      </c>
    </row>
    <row r="305" spans="1:15" x14ac:dyDescent="0.2">
      <c r="A305" s="12" t="str">
        <f t="shared" si="42"/>
        <v/>
      </c>
      <c r="B305" t="str">
        <f t="shared" si="40"/>
        <v/>
      </c>
      <c r="C305" s="21" t="str">
        <f ca="1">IF(A305="","",IF($B$10="Sí",interpolar_alamb(B305,OFFSET(Curvas_cupon_cero!$A$1,1,0,COUNT(Curvas_cupon_cero!$A:$A)-2,1),OFFSET(Curvas_cupon_cero!$A$1,1,MATCH($B$8,Curvas_cupon_cero!$1:$1,0)-1,COUNT(Curvas_cupon_cero!$A:$A)-2,1)),[1]!interpolar(B305,OFFSET(Curvas_cupon_cero!$A$1,1,0,COUNT(Curvas_cupon_cero!$A:$A)-2,1),OFFSET(Curvas_cupon_cero!$A$1,1,MATCH($B$8,Curvas_cupon_cero!$1:$1,0)-1,COUNT(Curvas_cupon_cero!$A:$A)-2,1))))</f>
        <v/>
      </c>
      <c r="D305" s="23" t="str">
        <f ca="1">IF(A305="","",IF($B$10="Sí",interpolar_alamb(L305,OFFSET(Curvas_cupon_cero!$A$1,1,0,COUNT(Curvas_cupon_cero!$A:$A)-2,1),OFFSET(Curvas_cupon_cero!$A$1,1,MATCH($B$8,Curvas_cupon_cero!$1:$1,0)-1,COUNT(Curvas_cupon_cero!$A:$A)-2,1)),[1]!interpolar(L305,OFFSET(Curvas_cupon_cero!$A$1,1,0,COUNT(Curvas_cupon_cero!$A:$A)-2,1),OFFSET(Curvas_cupon_cero!$A$1,1,MATCH($B$8,Curvas_cupon_cero!$1:$1,0)-1,COUNT(Curvas_cupon_cero!$A:$A)-2,1))))</f>
        <v/>
      </c>
      <c r="E305" s="23" t="str">
        <f t="shared" si="43"/>
        <v/>
      </c>
      <c r="F305" s="23" t="str">
        <f ca="1">IF(A305="","",IF($B$10="Sí",interpolar_alamb(B305,OFFSET(Curvas_cupon_cero!$A$1,1,0,COUNT(Curvas_cupon_cero!$A:$A)-2,1),OFFSET(Curvas_cupon_cero!$A$1,1,MATCH($B$9,Curvas_cupon_cero!$1:$1,0)-1,COUNT(Curvas_cupon_cero!$A:$A)-2,1)),[1]!interpolar(B305,OFFSET(Curvas_cupon_cero!$A$1,1,0,COUNT(Curvas_cupon_cero!$A:$A)-2,1),OFFSET(Curvas_cupon_cero!$A$1,1,MATCH($B$9,Curvas_cupon_cero!$1:$1,0)-1,COUNT(Curvas_cupon_cero!$A:$A)-2,1))))</f>
        <v/>
      </c>
      <c r="G305" s="23" t="str">
        <f t="shared" si="44"/>
        <v/>
      </c>
      <c r="H305" s="20" t="str">
        <f t="shared" si="49"/>
        <v/>
      </c>
      <c r="I305" t="str">
        <f t="shared" si="45"/>
        <v/>
      </c>
      <c r="J305" s="17" t="str">
        <f t="shared" si="41"/>
        <v/>
      </c>
      <c r="K305" s="18" t="str">
        <f t="shared" si="46"/>
        <v/>
      </c>
      <c r="L305" t="str">
        <f t="shared" si="47"/>
        <v/>
      </c>
      <c r="M305" s="23" t="str">
        <f ca="1">IF(A305="","",IF($B$10="Sí",interpolar_alamb(L305,OFFSET(Curvas_cupon_cero!$A$1,1,0,COUNT(Curvas_cupon_cero!$A:$A)-2,1),OFFSET(Curvas_cupon_cero!$A$1,1,MATCH($B$6,Curvas_cupon_cero!$1:$1,0)-1,COUNT(Curvas_cupon_cero!$A:$A)-2,1)),[1]!interpolar(L305,OFFSET(Curvas_cupon_cero!$A$1,1,0,COUNT(Curvas_cupon_cero!$A:$A)-2,1),OFFSET(Curvas_cupon_cero!$A$1,1,MATCH($B$6,Curvas_cupon_cero!$1:$1,0)-1,COUNT(Curvas_cupon_cero!$A:$A)-2,1))))</f>
        <v/>
      </c>
      <c r="N305" s="23"/>
      <c r="O305" s="19" t="str">
        <f t="shared" si="48"/>
        <v/>
      </c>
    </row>
    <row r="306" spans="1:15" x14ac:dyDescent="0.2">
      <c r="A306" s="12" t="str">
        <f t="shared" si="42"/>
        <v/>
      </c>
      <c r="B306" t="str">
        <f t="shared" si="40"/>
        <v/>
      </c>
      <c r="C306" s="21" t="str">
        <f ca="1">IF(A306="","",IF($B$10="Sí",interpolar_alamb(B306,OFFSET(Curvas_cupon_cero!$A$1,1,0,COUNT(Curvas_cupon_cero!$A:$A)-2,1),OFFSET(Curvas_cupon_cero!$A$1,1,MATCH($B$8,Curvas_cupon_cero!$1:$1,0)-1,COUNT(Curvas_cupon_cero!$A:$A)-2,1)),[1]!interpolar(B306,OFFSET(Curvas_cupon_cero!$A$1,1,0,COUNT(Curvas_cupon_cero!$A:$A)-2,1),OFFSET(Curvas_cupon_cero!$A$1,1,MATCH($B$8,Curvas_cupon_cero!$1:$1,0)-1,COUNT(Curvas_cupon_cero!$A:$A)-2,1))))</f>
        <v/>
      </c>
      <c r="D306" s="23" t="str">
        <f ca="1">IF(A306="","",IF($B$10="Sí",interpolar_alamb(L306,OFFSET(Curvas_cupon_cero!$A$1,1,0,COUNT(Curvas_cupon_cero!$A:$A)-2,1),OFFSET(Curvas_cupon_cero!$A$1,1,MATCH($B$8,Curvas_cupon_cero!$1:$1,0)-1,COUNT(Curvas_cupon_cero!$A:$A)-2,1)),[1]!interpolar(L306,OFFSET(Curvas_cupon_cero!$A$1,1,0,COUNT(Curvas_cupon_cero!$A:$A)-2,1),OFFSET(Curvas_cupon_cero!$A$1,1,MATCH($B$8,Curvas_cupon_cero!$1:$1,0)-1,COUNT(Curvas_cupon_cero!$A:$A)-2,1))))</f>
        <v/>
      </c>
      <c r="E306" s="23" t="str">
        <f t="shared" si="43"/>
        <v/>
      </c>
      <c r="F306" s="23" t="str">
        <f ca="1">IF(A306="","",IF($B$10="Sí",interpolar_alamb(B306,OFFSET(Curvas_cupon_cero!$A$1,1,0,COUNT(Curvas_cupon_cero!$A:$A)-2,1),OFFSET(Curvas_cupon_cero!$A$1,1,MATCH($B$9,Curvas_cupon_cero!$1:$1,0)-1,COUNT(Curvas_cupon_cero!$A:$A)-2,1)),[1]!interpolar(B306,OFFSET(Curvas_cupon_cero!$A$1,1,0,COUNT(Curvas_cupon_cero!$A:$A)-2,1),OFFSET(Curvas_cupon_cero!$A$1,1,MATCH($B$9,Curvas_cupon_cero!$1:$1,0)-1,COUNT(Curvas_cupon_cero!$A:$A)-2,1))))</f>
        <v/>
      </c>
      <c r="G306" s="23" t="str">
        <f t="shared" si="44"/>
        <v/>
      </c>
      <c r="H306" s="20" t="str">
        <f t="shared" si="49"/>
        <v/>
      </c>
      <c r="I306" t="str">
        <f t="shared" si="45"/>
        <v/>
      </c>
      <c r="J306" s="17" t="str">
        <f t="shared" si="41"/>
        <v/>
      </c>
      <c r="K306" s="18" t="str">
        <f t="shared" si="46"/>
        <v/>
      </c>
      <c r="L306" t="str">
        <f t="shared" si="47"/>
        <v/>
      </c>
      <c r="M306" s="23" t="str">
        <f ca="1">IF(A306="","",IF($B$10="Sí",interpolar_alamb(L306,OFFSET(Curvas_cupon_cero!$A$1,1,0,COUNT(Curvas_cupon_cero!$A:$A)-2,1),OFFSET(Curvas_cupon_cero!$A$1,1,MATCH($B$6,Curvas_cupon_cero!$1:$1,0)-1,COUNT(Curvas_cupon_cero!$A:$A)-2,1)),[1]!interpolar(L306,OFFSET(Curvas_cupon_cero!$A$1,1,0,COUNT(Curvas_cupon_cero!$A:$A)-2,1),OFFSET(Curvas_cupon_cero!$A$1,1,MATCH($B$6,Curvas_cupon_cero!$1:$1,0)-1,COUNT(Curvas_cupon_cero!$A:$A)-2,1))))</f>
        <v/>
      </c>
      <c r="N306" s="23"/>
      <c r="O306" s="19" t="str">
        <f t="shared" si="48"/>
        <v/>
      </c>
    </row>
    <row r="307" spans="1:15" x14ac:dyDescent="0.2">
      <c r="A307" s="12" t="str">
        <f t="shared" si="42"/>
        <v/>
      </c>
      <c r="B307" t="str">
        <f t="shared" si="40"/>
        <v/>
      </c>
      <c r="C307" s="21" t="str">
        <f ca="1">IF(A307="","",IF($B$10="Sí",interpolar_alamb(B307,OFFSET(Curvas_cupon_cero!$A$1,1,0,COUNT(Curvas_cupon_cero!$A:$A)-2,1),OFFSET(Curvas_cupon_cero!$A$1,1,MATCH($B$8,Curvas_cupon_cero!$1:$1,0)-1,COUNT(Curvas_cupon_cero!$A:$A)-2,1)),[1]!interpolar(B307,OFFSET(Curvas_cupon_cero!$A$1,1,0,COUNT(Curvas_cupon_cero!$A:$A)-2,1),OFFSET(Curvas_cupon_cero!$A$1,1,MATCH($B$8,Curvas_cupon_cero!$1:$1,0)-1,COUNT(Curvas_cupon_cero!$A:$A)-2,1))))</f>
        <v/>
      </c>
      <c r="D307" s="23" t="str">
        <f ca="1">IF(A307="","",IF($B$10="Sí",interpolar_alamb(L307,OFFSET(Curvas_cupon_cero!$A$1,1,0,COUNT(Curvas_cupon_cero!$A:$A)-2,1),OFFSET(Curvas_cupon_cero!$A$1,1,MATCH($B$8,Curvas_cupon_cero!$1:$1,0)-1,COUNT(Curvas_cupon_cero!$A:$A)-2,1)),[1]!interpolar(L307,OFFSET(Curvas_cupon_cero!$A$1,1,0,COUNT(Curvas_cupon_cero!$A:$A)-2,1),OFFSET(Curvas_cupon_cero!$A$1,1,MATCH($B$8,Curvas_cupon_cero!$1:$1,0)-1,COUNT(Curvas_cupon_cero!$A:$A)-2,1))))</f>
        <v/>
      </c>
      <c r="E307" s="23" t="str">
        <f t="shared" si="43"/>
        <v/>
      </c>
      <c r="F307" s="23" t="str">
        <f ca="1">IF(A307="","",IF($B$10="Sí",interpolar_alamb(B307,OFFSET(Curvas_cupon_cero!$A$1,1,0,COUNT(Curvas_cupon_cero!$A:$A)-2,1),OFFSET(Curvas_cupon_cero!$A$1,1,MATCH($B$9,Curvas_cupon_cero!$1:$1,0)-1,COUNT(Curvas_cupon_cero!$A:$A)-2,1)),[1]!interpolar(B307,OFFSET(Curvas_cupon_cero!$A$1,1,0,COUNT(Curvas_cupon_cero!$A:$A)-2,1),OFFSET(Curvas_cupon_cero!$A$1,1,MATCH($B$9,Curvas_cupon_cero!$1:$1,0)-1,COUNT(Curvas_cupon_cero!$A:$A)-2,1))))</f>
        <v/>
      </c>
      <c r="G307" s="23" t="str">
        <f t="shared" si="44"/>
        <v/>
      </c>
      <c r="H307" s="20" t="str">
        <f t="shared" si="49"/>
        <v/>
      </c>
      <c r="I307" t="str">
        <f t="shared" si="45"/>
        <v/>
      </c>
      <c r="J307" s="17" t="str">
        <f t="shared" si="41"/>
        <v/>
      </c>
      <c r="K307" s="18" t="str">
        <f t="shared" si="46"/>
        <v/>
      </c>
      <c r="L307" t="str">
        <f t="shared" si="47"/>
        <v/>
      </c>
      <c r="M307" s="23" t="str">
        <f ca="1">IF(A307="","",IF($B$10="Sí",interpolar_alamb(L307,OFFSET(Curvas_cupon_cero!$A$1,1,0,COUNT(Curvas_cupon_cero!$A:$A)-2,1),OFFSET(Curvas_cupon_cero!$A$1,1,MATCH($B$6,Curvas_cupon_cero!$1:$1,0)-1,COUNT(Curvas_cupon_cero!$A:$A)-2,1)),[1]!interpolar(L307,OFFSET(Curvas_cupon_cero!$A$1,1,0,COUNT(Curvas_cupon_cero!$A:$A)-2,1),OFFSET(Curvas_cupon_cero!$A$1,1,MATCH($B$6,Curvas_cupon_cero!$1:$1,0)-1,COUNT(Curvas_cupon_cero!$A:$A)-2,1))))</f>
        <v/>
      </c>
      <c r="N307" s="23"/>
      <c r="O307" s="19" t="str">
        <f t="shared" si="48"/>
        <v/>
      </c>
    </row>
    <row r="308" spans="1:15" x14ac:dyDescent="0.2">
      <c r="A308" s="12" t="str">
        <f t="shared" si="42"/>
        <v/>
      </c>
      <c r="B308" t="str">
        <f t="shared" si="40"/>
        <v/>
      </c>
      <c r="C308" s="21" t="str">
        <f ca="1">IF(A308="","",IF($B$10="Sí",interpolar_alamb(B308,OFFSET(Curvas_cupon_cero!$A$1,1,0,COUNT(Curvas_cupon_cero!$A:$A)-2,1),OFFSET(Curvas_cupon_cero!$A$1,1,MATCH($B$8,Curvas_cupon_cero!$1:$1,0)-1,COUNT(Curvas_cupon_cero!$A:$A)-2,1)),[1]!interpolar(B308,OFFSET(Curvas_cupon_cero!$A$1,1,0,COUNT(Curvas_cupon_cero!$A:$A)-2,1),OFFSET(Curvas_cupon_cero!$A$1,1,MATCH($B$8,Curvas_cupon_cero!$1:$1,0)-1,COUNT(Curvas_cupon_cero!$A:$A)-2,1))))</f>
        <v/>
      </c>
      <c r="D308" s="23" t="str">
        <f ca="1">IF(A308="","",IF($B$10="Sí",interpolar_alamb(L308,OFFSET(Curvas_cupon_cero!$A$1,1,0,COUNT(Curvas_cupon_cero!$A:$A)-2,1),OFFSET(Curvas_cupon_cero!$A$1,1,MATCH($B$8,Curvas_cupon_cero!$1:$1,0)-1,COUNT(Curvas_cupon_cero!$A:$A)-2,1)),[1]!interpolar(L308,OFFSET(Curvas_cupon_cero!$A$1,1,0,COUNT(Curvas_cupon_cero!$A:$A)-2,1),OFFSET(Curvas_cupon_cero!$A$1,1,MATCH($B$8,Curvas_cupon_cero!$1:$1,0)-1,COUNT(Curvas_cupon_cero!$A:$A)-2,1))))</f>
        <v/>
      </c>
      <c r="E308" s="23" t="str">
        <f t="shared" si="43"/>
        <v/>
      </c>
      <c r="F308" s="23" t="str">
        <f ca="1">IF(A308="","",IF($B$10="Sí",interpolar_alamb(B308,OFFSET(Curvas_cupon_cero!$A$1,1,0,COUNT(Curvas_cupon_cero!$A:$A)-2,1),OFFSET(Curvas_cupon_cero!$A$1,1,MATCH($B$9,Curvas_cupon_cero!$1:$1,0)-1,COUNT(Curvas_cupon_cero!$A:$A)-2,1)),[1]!interpolar(B308,OFFSET(Curvas_cupon_cero!$A$1,1,0,COUNT(Curvas_cupon_cero!$A:$A)-2,1),OFFSET(Curvas_cupon_cero!$A$1,1,MATCH($B$9,Curvas_cupon_cero!$1:$1,0)-1,COUNT(Curvas_cupon_cero!$A:$A)-2,1))))</f>
        <v/>
      </c>
      <c r="G308" s="23" t="str">
        <f t="shared" si="44"/>
        <v/>
      </c>
      <c r="H308" s="20" t="str">
        <f t="shared" si="49"/>
        <v/>
      </c>
      <c r="I308" t="str">
        <f t="shared" si="45"/>
        <v/>
      </c>
      <c r="J308" s="17" t="str">
        <f t="shared" si="41"/>
        <v/>
      </c>
      <c r="K308" s="18" t="str">
        <f t="shared" si="46"/>
        <v/>
      </c>
      <c r="L308" t="str">
        <f t="shared" si="47"/>
        <v/>
      </c>
      <c r="M308" s="23" t="str">
        <f ca="1">IF(A308="","",IF($B$10="Sí",interpolar_alamb(L308,OFFSET(Curvas_cupon_cero!$A$1,1,0,COUNT(Curvas_cupon_cero!$A:$A)-2,1),OFFSET(Curvas_cupon_cero!$A$1,1,MATCH($B$6,Curvas_cupon_cero!$1:$1,0)-1,COUNT(Curvas_cupon_cero!$A:$A)-2,1)),[1]!interpolar(L308,OFFSET(Curvas_cupon_cero!$A$1,1,0,COUNT(Curvas_cupon_cero!$A:$A)-2,1),OFFSET(Curvas_cupon_cero!$A$1,1,MATCH($B$6,Curvas_cupon_cero!$1:$1,0)-1,COUNT(Curvas_cupon_cero!$A:$A)-2,1))))</f>
        <v/>
      </c>
      <c r="N308" s="23"/>
      <c r="O308" s="19" t="str">
        <f t="shared" si="48"/>
        <v/>
      </c>
    </row>
    <row r="309" spans="1:15" x14ac:dyDescent="0.2">
      <c r="A309" s="12" t="str">
        <f t="shared" si="42"/>
        <v/>
      </c>
      <c r="B309" t="str">
        <f t="shared" si="40"/>
        <v/>
      </c>
      <c r="C309" s="21" t="str">
        <f ca="1">IF(A309="","",IF($B$10="Sí",interpolar_alamb(B309,OFFSET(Curvas_cupon_cero!$A$1,1,0,COUNT(Curvas_cupon_cero!$A:$A)-2,1),OFFSET(Curvas_cupon_cero!$A$1,1,MATCH($B$8,Curvas_cupon_cero!$1:$1,0)-1,COUNT(Curvas_cupon_cero!$A:$A)-2,1)),[1]!interpolar(B309,OFFSET(Curvas_cupon_cero!$A$1,1,0,COUNT(Curvas_cupon_cero!$A:$A)-2,1),OFFSET(Curvas_cupon_cero!$A$1,1,MATCH($B$8,Curvas_cupon_cero!$1:$1,0)-1,COUNT(Curvas_cupon_cero!$A:$A)-2,1))))</f>
        <v/>
      </c>
      <c r="D309" s="23" t="str">
        <f ca="1">IF(A309="","",IF($B$10="Sí",interpolar_alamb(L309,OFFSET(Curvas_cupon_cero!$A$1,1,0,COUNT(Curvas_cupon_cero!$A:$A)-2,1),OFFSET(Curvas_cupon_cero!$A$1,1,MATCH($B$8,Curvas_cupon_cero!$1:$1,0)-1,COUNT(Curvas_cupon_cero!$A:$A)-2,1)),[1]!interpolar(L309,OFFSET(Curvas_cupon_cero!$A$1,1,0,COUNT(Curvas_cupon_cero!$A:$A)-2,1),OFFSET(Curvas_cupon_cero!$A$1,1,MATCH($B$8,Curvas_cupon_cero!$1:$1,0)-1,COUNT(Curvas_cupon_cero!$A:$A)-2,1))))</f>
        <v/>
      </c>
      <c r="E309" s="23" t="str">
        <f t="shared" si="43"/>
        <v/>
      </c>
      <c r="F309" s="23" t="str">
        <f ca="1">IF(A309="","",IF($B$10="Sí",interpolar_alamb(B309,OFFSET(Curvas_cupon_cero!$A$1,1,0,COUNT(Curvas_cupon_cero!$A:$A)-2,1),OFFSET(Curvas_cupon_cero!$A$1,1,MATCH($B$9,Curvas_cupon_cero!$1:$1,0)-1,COUNT(Curvas_cupon_cero!$A:$A)-2,1)),[1]!interpolar(B309,OFFSET(Curvas_cupon_cero!$A$1,1,0,COUNT(Curvas_cupon_cero!$A:$A)-2,1),OFFSET(Curvas_cupon_cero!$A$1,1,MATCH($B$9,Curvas_cupon_cero!$1:$1,0)-1,COUNT(Curvas_cupon_cero!$A:$A)-2,1))))</f>
        <v/>
      </c>
      <c r="G309" s="23" t="str">
        <f t="shared" si="44"/>
        <v/>
      </c>
      <c r="H309" s="20" t="str">
        <f t="shared" si="49"/>
        <v/>
      </c>
      <c r="I309" t="str">
        <f t="shared" si="45"/>
        <v/>
      </c>
      <c r="J309" s="17" t="str">
        <f t="shared" si="41"/>
        <v/>
      </c>
      <c r="K309" s="18" t="str">
        <f t="shared" si="46"/>
        <v/>
      </c>
      <c r="L309" t="str">
        <f t="shared" si="47"/>
        <v/>
      </c>
      <c r="M309" s="23" t="str">
        <f ca="1">IF(A309="","",IF($B$10="Sí",interpolar_alamb(L309,OFFSET(Curvas_cupon_cero!$A$1,1,0,COUNT(Curvas_cupon_cero!$A:$A)-2,1),OFFSET(Curvas_cupon_cero!$A$1,1,MATCH($B$6,Curvas_cupon_cero!$1:$1,0)-1,COUNT(Curvas_cupon_cero!$A:$A)-2,1)),[1]!interpolar(L309,OFFSET(Curvas_cupon_cero!$A$1,1,0,COUNT(Curvas_cupon_cero!$A:$A)-2,1),OFFSET(Curvas_cupon_cero!$A$1,1,MATCH($B$6,Curvas_cupon_cero!$1:$1,0)-1,COUNT(Curvas_cupon_cero!$A:$A)-2,1))))</f>
        <v/>
      </c>
      <c r="N309" s="23"/>
      <c r="O309" s="19" t="str">
        <f t="shared" si="48"/>
        <v/>
      </c>
    </row>
    <row r="310" spans="1:15" x14ac:dyDescent="0.2">
      <c r="A310" s="12" t="str">
        <f t="shared" si="42"/>
        <v/>
      </c>
      <c r="B310" t="str">
        <f t="shared" si="40"/>
        <v/>
      </c>
      <c r="C310" s="21" t="str">
        <f ca="1">IF(A310="","",IF($B$10="Sí",interpolar_alamb(B310,OFFSET(Curvas_cupon_cero!$A$1,1,0,COUNT(Curvas_cupon_cero!$A:$A)-2,1),OFFSET(Curvas_cupon_cero!$A$1,1,MATCH($B$8,Curvas_cupon_cero!$1:$1,0)-1,COUNT(Curvas_cupon_cero!$A:$A)-2,1)),[1]!interpolar(B310,OFFSET(Curvas_cupon_cero!$A$1,1,0,COUNT(Curvas_cupon_cero!$A:$A)-2,1),OFFSET(Curvas_cupon_cero!$A$1,1,MATCH($B$8,Curvas_cupon_cero!$1:$1,0)-1,COUNT(Curvas_cupon_cero!$A:$A)-2,1))))</f>
        <v/>
      </c>
      <c r="D310" s="23" t="str">
        <f ca="1">IF(A310="","",IF($B$10="Sí",interpolar_alamb(L310,OFFSET(Curvas_cupon_cero!$A$1,1,0,COUNT(Curvas_cupon_cero!$A:$A)-2,1),OFFSET(Curvas_cupon_cero!$A$1,1,MATCH($B$8,Curvas_cupon_cero!$1:$1,0)-1,COUNT(Curvas_cupon_cero!$A:$A)-2,1)),[1]!interpolar(L310,OFFSET(Curvas_cupon_cero!$A$1,1,0,COUNT(Curvas_cupon_cero!$A:$A)-2,1),OFFSET(Curvas_cupon_cero!$A$1,1,MATCH($B$8,Curvas_cupon_cero!$1:$1,0)-1,COUNT(Curvas_cupon_cero!$A:$A)-2,1))))</f>
        <v/>
      </c>
      <c r="E310" s="23" t="str">
        <f t="shared" si="43"/>
        <v/>
      </c>
      <c r="F310" s="23" t="str">
        <f ca="1">IF(A310="","",IF($B$10="Sí",interpolar_alamb(B310,OFFSET(Curvas_cupon_cero!$A$1,1,0,COUNT(Curvas_cupon_cero!$A:$A)-2,1),OFFSET(Curvas_cupon_cero!$A$1,1,MATCH($B$9,Curvas_cupon_cero!$1:$1,0)-1,COUNT(Curvas_cupon_cero!$A:$A)-2,1)),[1]!interpolar(B310,OFFSET(Curvas_cupon_cero!$A$1,1,0,COUNT(Curvas_cupon_cero!$A:$A)-2,1),OFFSET(Curvas_cupon_cero!$A$1,1,MATCH($B$9,Curvas_cupon_cero!$1:$1,0)-1,COUNT(Curvas_cupon_cero!$A:$A)-2,1))))</f>
        <v/>
      </c>
      <c r="G310" s="23" t="str">
        <f t="shared" si="44"/>
        <v/>
      </c>
      <c r="H310" s="20" t="str">
        <f t="shared" si="49"/>
        <v/>
      </c>
      <c r="I310" t="str">
        <f t="shared" si="45"/>
        <v/>
      </c>
      <c r="J310" s="17" t="str">
        <f t="shared" si="41"/>
        <v/>
      </c>
      <c r="K310" s="18" t="str">
        <f t="shared" si="46"/>
        <v/>
      </c>
      <c r="L310" t="str">
        <f t="shared" si="47"/>
        <v/>
      </c>
      <c r="M310" s="23" t="str">
        <f ca="1">IF(A310="","",IF($B$10="Sí",interpolar_alamb(L310,OFFSET(Curvas_cupon_cero!$A$1,1,0,COUNT(Curvas_cupon_cero!$A:$A)-2,1),OFFSET(Curvas_cupon_cero!$A$1,1,MATCH($B$6,Curvas_cupon_cero!$1:$1,0)-1,COUNT(Curvas_cupon_cero!$A:$A)-2,1)),[1]!interpolar(L310,OFFSET(Curvas_cupon_cero!$A$1,1,0,COUNT(Curvas_cupon_cero!$A:$A)-2,1),OFFSET(Curvas_cupon_cero!$A$1,1,MATCH($B$6,Curvas_cupon_cero!$1:$1,0)-1,COUNT(Curvas_cupon_cero!$A:$A)-2,1))))</f>
        <v/>
      </c>
      <c r="N310" s="23"/>
      <c r="O310" s="19" t="str">
        <f t="shared" si="48"/>
        <v/>
      </c>
    </row>
    <row r="311" spans="1:15" x14ac:dyDescent="0.2">
      <c r="A311" s="12" t="str">
        <f t="shared" si="42"/>
        <v/>
      </c>
      <c r="B311" t="str">
        <f t="shared" si="40"/>
        <v/>
      </c>
      <c r="C311" s="21" t="str">
        <f ca="1">IF(A311="","",IF($B$10="Sí",interpolar_alamb(B311,OFFSET(Curvas_cupon_cero!$A$1,1,0,COUNT(Curvas_cupon_cero!$A:$A)-2,1),OFFSET(Curvas_cupon_cero!$A$1,1,MATCH($B$8,Curvas_cupon_cero!$1:$1,0)-1,COUNT(Curvas_cupon_cero!$A:$A)-2,1)),[1]!interpolar(B311,OFFSET(Curvas_cupon_cero!$A$1,1,0,COUNT(Curvas_cupon_cero!$A:$A)-2,1),OFFSET(Curvas_cupon_cero!$A$1,1,MATCH($B$8,Curvas_cupon_cero!$1:$1,0)-1,COUNT(Curvas_cupon_cero!$A:$A)-2,1))))</f>
        <v/>
      </c>
      <c r="D311" s="23" t="str">
        <f ca="1">IF(A311="","",IF($B$10="Sí",interpolar_alamb(L311,OFFSET(Curvas_cupon_cero!$A$1,1,0,COUNT(Curvas_cupon_cero!$A:$A)-2,1),OFFSET(Curvas_cupon_cero!$A$1,1,MATCH($B$8,Curvas_cupon_cero!$1:$1,0)-1,COUNT(Curvas_cupon_cero!$A:$A)-2,1)),[1]!interpolar(L311,OFFSET(Curvas_cupon_cero!$A$1,1,0,COUNT(Curvas_cupon_cero!$A:$A)-2,1),OFFSET(Curvas_cupon_cero!$A$1,1,MATCH($B$8,Curvas_cupon_cero!$1:$1,0)-1,COUNT(Curvas_cupon_cero!$A:$A)-2,1))))</f>
        <v/>
      </c>
      <c r="E311" s="23" t="str">
        <f t="shared" si="43"/>
        <v/>
      </c>
      <c r="F311" s="23" t="str">
        <f ca="1">IF(A311="","",IF($B$10="Sí",interpolar_alamb(B311,OFFSET(Curvas_cupon_cero!$A$1,1,0,COUNT(Curvas_cupon_cero!$A:$A)-2,1),OFFSET(Curvas_cupon_cero!$A$1,1,MATCH($B$9,Curvas_cupon_cero!$1:$1,0)-1,COUNT(Curvas_cupon_cero!$A:$A)-2,1)),[1]!interpolar(B311,OFFSET(Curvas_cupon_cero!$A$1,1,0,COUNT(Curvas_cupon_cero!$A:$A)-2,1),OFFSET(Curvas_cupon_cero!$A$1,1,MATCH($B$9,Curvas_cupon_cero!$1:$1,0)-1,COUNT(Curvas_cupon_cero!$A:$A)-2,1))))</f>
        <v/>
      </c>
      <c r="G311" s="23" t="str">
        <f t="shared" si="44"/>
        <v/>
      </c>
      <c r="H311" s="20" t="str">
        <f t="shared" si="49"/>
        <v/>
      </c>
      <c r="I311" t="str">
        <f t="shared" si="45"/>
        <v/>
      </c>
      <c r="J311" s="17" t="str">
        <f t="shared" si="41"/>
        <v/>
      </c>
      <c r="K311" s="18" t="str">
        <f t="shared" si="46"/>
        <v/>
      </c>
      <c r="L311" t="str">
        <f t="shared" si="47"/>
        <v/>
      </c>
      <c r="M311" s="23" t="str">
        <f ca="1">IF(A311="","",IF($B$10="Sí",interpolar_alamb(L311,OFFSET(Curvas_cupon_cero!$A$1,1,0,COUNT(Curvas_cupon_cero!$A:$A)-2,1),OFFSET(Curvas_cupon_cero!$A$1,1,MATCH($B$6,Curvas_cupon_cero!$1:$1,0)-1,COUNT(Curvas_cupon_cero!$A:$A)-2,1)),[1]!interpolar(L311,OFFSET(Curvas_cupon_cero!$A$1,1,0,COUNT(Curvas_cupon_cero!$A:$A)-2,1),OFFSET(Curvas_cupon_cero!$A$1,1,MATCH($B$6,Curvas_cupon_cero!$1:$1,0)-1,COUNT(Curvas_cupon_cero!$A:$A)-2,1))))</f>
        <v/>
      </c>
      <c r="N311" s="23"/>
      <c r="O311" s="19" t="str">
        <f t="shared" si="48"/>
        <v/>
      </c>
    </row>
    <row r="312" spans="1:15" x14ac:dyDescent="0.2">
      <c r="A312" s="12" t="str">
        <f t="shared" si="42"/>
        <v/>
      </c>
      <c r="B312" t="str">
        <f t="shared" si="40"/>
        <v/>
      </c>
      <c r="C312" s="21" t="str">
        <f ca="1">IF(A312="","",IF($B$10="Sí",interpolar_alamb(B312,OFFSET(Curvas_cupon_cero!$A$1,1,0,COUNT(Curvas_cupon_cero!$A:$A)-2,1),OFFSET(Curvas_cupon_cero!$A$1,1,MATCH($B$8,Curvas_cupon_cero!$1:$1,0)-1,COUNT(Curvas_cupon_cero!$A:$A)-2,1)),[1]!interpolar(B312,OFFSET(Curvas_cupon_cero!$A$1,1,0,COUNT(Curvas_cupon_cero!$A:$A)-2,1),OFFSET(Curvas_cupon_cero!$A$1,1,MATCH($B$8,Curvas_cupon_cero!$1:$1,0)-1,COUNT(Curvas_cupon_cero!$A:$A)-2,1))))</f>
        <v/>
      </c>
      <c r="D312" s="23" t="str">
        <f ca="1">IF(A312="","",IF($B$10="Sí",interpolar_alamb(L312,OFFSET(Curvas_cupon_cero!$A$1,1,0,COUNT(Curvas_cupon_cero!$A:$A)-2,1),OFFSET(Curvas_cupon_cero!$A$1,1,MATCH($B$8,Curvas_cupon_cero!$1:$1,0)-1,COUNT(Curvas_cupon_cero!$A:$A)-2,1)),[1]!interpolar(L312,OFFSET(Curvas_cupon_cero!$A$1,1,0,COUNT(Curvas_cupon_cero!$A:$A)-2,1),OFFSET(Curvas_cupon_cero!$A$1,1,MATCH($B$8,Curvas_cupon_cero!$1:$1,0)-1,COUNT(Curvas_cupon_cero!$A:$A)-2,1))))</f>
        <v/>
      </c>
      <c r="E312" s="23" t="str">
        <f t="shared" si="43"/>
        <v/>
      </c>
      <c r="F312" s="23" t="str">
        <f ca="1">IF(A312="","",IF($B$10="Sí",interpolar_alamb(B312,OFFSET(Curvas_cupon_cero!$A$1,1,0,COUNT(Curvas_cupon_cero!$A:$A)-2,1),OFFSET(Curvas_cupon_cero!$A$1,1,MATCH($B$9,Curvas_cupon_cero!$1:$1,0)-1,COUNT(Curvas_cupon_cero!$A:$A)-2,1)),[1]!interpolar(B312,OFFSET(Curvas_cupon_cero!$A$1,1,0,COUNT(Curvas_cupon_cero!$A:$A)-2,1),OFFSET(Curvas_cupon_cero!$A$1,1,MATCH($B$9,Curvas_cupon_cero!$1:$1,0)-1,COUNT(Curvas_cupon_cero!$A:$A)-2,1))))</f>
        <v/>
      </c>
      <c r="G312" s="23" t="str">
        <f t="shared" si="44"/>
        <v/>
      </c>
      <c r="H312" s="20" t="str">
        <f t="shared" si="49"/>
        <v/>
      </c>
      <c r="I312" t="str">
        <f t="shared" si="45"/>
        <v/>
      </c>
      <c r="J312" s="17" t="str">
        <f t="shared" si="41"/>
        <v/>
      </c>
      <c r="K312" s="18" t="str">
        <f t="shared" si="46"/>
        <v/>
      </c>
      <c r="L312" t="str">
        <f t="shared" si="47"/>
        <v/>
      </c>
      <c r="M312" s="23" t="str">
        <f ca="1">IF(A312="","",IF($B$10="Sí",interpolar_alamb(L312,OFFSET(Curvas_cupon_cero!$A$1,1,0,COUNT(Curvas_cupon_cero!$A:$A)-2,1),OFFSET(Curvas_cupon_cero!$A$1,1,MATCH($B$6,Curvas_cupon_cero!$1:$1,0)-1,COUNT(Curvas_cupon_cero!$A:$A)-2,1)),[1]!interpolar(L312,OFFSET(Curvas_cupon_cero!$A$1,1,0,COUNT(Curvas_cupon_cero!$A:$A)-2,1),OFFSET(Curvas_cupon_cero!$A$1,1,MATCH($B$6,Curvas_cupon_cero!$1:$1,0)-1,COUNT(Curvas_cupon_cero!$A:$A)-2,1))))</f>
        <v/>
      </c>
      <c r="N312" s="23"/>
      <c r="O312" s="19" t="str">
        <f t="shared" si="48"/>
        <v/>
      </c>
    </row>
    <row r="313" spans="1:15" x14ac:dyDescent="0.2">
      <c r="A313" s="12" t="str">
        <f t="shared" si="42"/>
        <v/>
      </c>
      <c r="B313" t="str">
        <f t="shared" si="40"/>
        <v/>
      </c>
      <c r="C313" s="21" t="str">
        <f ca="1">IF(A313="","",IF($B$10="Sí",interpolar_alamb(B313,OFFSET(Curvas_cupon_cero!$A$1,1,0,COUNT(Curvas_cupon_cero!$A:$A)-2,1),OFFSET(Curvas_cupon_cero!$A$1,1,MATCH($B$8,Curvas_cupon_cero!$1:$1,0)-1,COUNT(Curvas_cupon_cero!$A:$A)-2,1)),[1]!interpolar(B313,OFFSET(Curvas_cupon_cero!$A$1,1,0,COUNT(Curvas_cupon_cero!$A:$A)-2,1),OFFSET(Curvas_cupon_cero!$A$1,1,MATCH($B$8,Curvas_cupon_cero!$1:$1,0)-1,COUNT(Curvas_cupon_cero!$A:$A)-2,1))))</f>
        <v/>
      </c>
      <c r="D313" s="23" t="str">
        <f ca="1">IF(A313="","",IF($B$10="Sí",interpolar_alamb(L313,OFFSET(Curvas_cupon_cero!$A$1,1,0,COUNT(Curvas_cupon_cero!$A:$A)-2,1),OFFSET(Curvas_cupon_cero!$A$1,1,MATCH($B$8,Curvas_cupon_cero!$1:$1,0)-1,COUNT(Curvas_cupon_cero!$A:$A)-2,1)),[1]!interpolar(L313,OFFSET(Curvas_cupon_cero!$A$1,1,0,COUNT(Curvas_cupon_cero!$A:$A)-2,1),OFFSET(Curvas_cupon_cero!$A$1,1,MATCH($B$8,Curvas_cupon_cero!$1:$1,0)-1,COUNT(Curvas_cupon_cero!$A:$A)-2,1))))</f>
        <v/>
      </c>
      <c r="E313" s="23" t="str">
        <f t="shared" si="43"/>
        <v/>
      </c>
      <c r="F313" s="23" t="str">
        <f ca="1">IF(A313="","",IF($B$10="Sí",interpolar_alamb(B313,OFFSET(Curvas_cupon_cero!$A$1,1,0,COUNT(Curvas_cupon_cero!$A:$A)-2,1),OFFSET(Curvas_cupon_cero!$A$1,1,MATCH($B$9,Curvas_cupon_cero!$1:$1,0)-1,COUNT(Curvas_cupon_cero!$A:$A)-2,1)),[1]!interpolar(B313,OFFSET(Curvas_cupon_cero!$A$1,1,0,COUNT(Curvas_cupon_cero!$A:$A)-2,1),OFFSET(Curvas_cupon_cero!$A$1,1,MATCH($B$9,Curvas_cupon_cero!$1:$1,0)-1,COUNT(Curvas_cupon_cero!$A:$A)-2,1))))</f>
        <v/>
      </c>
      <c r="G313" s="23" t="str">
        <f t="shared" si="44"/>
        <v/>
      </c>
      <c r="H313" s="20" t="str">
        <f t="shared" si="49"/>
        <v/>
      </c>
      <c r="I313" t="str">
        <f t="shared" si="45"/>
        <v/>
      </c>
      <c r="J313" s="17" t="str">
        <f t="shared" si="41"/>
        <v/>
      </c>
      <c r="K313" s="18" t="str">
        <f t="shared" si="46"/>
        <v/>
      </c>
      <c r="L313" t="str">
        <f t="shared" si="47"/>
        <v/>
      </c>
      <c r="M313" s="23" t="str">
        <f ca="1">IF(A313="","",IF($B$10="Sí",interpolar_alamb(L313,OFFSET(Curvas_cupon_cero!$A$1,1,0,COUNT(Curvas_cupon_cero!$A:$A)-2,1),OFFSET(Curvas_cupon_cero!$A$1,1,MATCH($B$6,Curvas_cupon_cero!$1:$1,0)-1,COUNT(Curvas_cupon_cero!$A:$A)-2,1)),[1]!interpolar(L313,OFFSET(Curvas_cupon_cero!$A$1,1,0,COUNT(Curvas_cupon_cero!$A:$A)-2,1),OFFSET(Curvas_cupon_cero!$A$1,1,MATCH($B$6,Curvas_cupon_cero!$1:$1,0)-1,COUNT(Curvas_cupon_cero!$A:$A)-2,1))))</f>
        <v/>
      </c>
      <c r="N313" s="23"/>
      <c r="O313" s="19" t="str">
        <f t="shared" si="48"/>
        <v/>
      </c>
    </row>
    <row r="314" spans="1:15" x14ac:dyDescent="0.2">
      <c r="A314" s="12" t="str">
        <f t="shared" si="42"/>
        <v/>
      </c>
      <c r="B314" t="str">
        <f t="shared" si="40"/>
        <v/>
      </c>
      <c r="C314" s="21" t="str">
        <f ca="1">IF(A314="","",IF($B$10="Sí",interpolar_alamb(B314,OFFSET(Curvas_cupon_cero!$A$1,1,0,COUNT(Curvas_cupon_cero!$A:$A)-2,1),OFFSET(Curvas_cupon_cero!$A$1,1,MATCH($B$8,Curvas_cupon_cero!$1:$1,0)-1,COUNT(Curvas_cupon_cero!$A:$A)-2,1)),[1]!interpolar(B314,OFFSET(Curvas_cupon_cero!$A$1,1,0,COUNT(Curvas_cupon_cero!$A:$A)-2,1),OFFSET(Curvas_cupon_cero!$A$1,1,MATCH($B$8,Curvas_cupon_cero!$1:$1,0)-1,COUNT(Curvas_cupon_cero!$A:$A)-2,1))))</f>
        <v/>
      </c>
      <c r="D314" s="23" t="str">
        <f ca="1">IF(A314="","",IF($B$10="Sí",interpolar_alamb(L314,OFFSET(Curvas_cupon_cero!$A$1,1,0,COUNT(Curvas_cupon_cero!$A:$A)-2,1),OFFSET(Curvas_cupon_cero!$A$1,1,MATCH($B$8,Curvas_cupon_cero!$1:$1,0)-1,COUNT(Curvas_cupon_cero!$A:$A)-2,1)),[1]!interpolar(L314,OFFSET(Curvas_cupon_cero!$A$1,1,0,COUNT(Curvas_cupon_cero!$A:$A)-2,1),OFFSET(Curvas_cupon_cero!$A$1,1,MATCH($B$8,Curvas_cupon_cero!$1:$1,0)-1,COUNT(Curvas_cupon_cero!$A:$A)-2,1))))</f>
        <v/>
      </c>
      <c r="E314" s="23" t="str">
        <f t="shared" si="43"/>
        <v/>
      </c>
      <c r="F314" s="23" t="str">
        <f ca="1">IF(A314="","",IF($B$10="Sí",interpolar_alamb(B314,OFFSET(Curvas_cupon_cero!$A$1,1,0,COUNT(Curvas_cupon_cero!$A:$A)-2,1),OFFSET(Curvas_cupon_cero!$A$1,1,MATCH($B$9,Curvas_cupon_cero!$1:$1,0)-1,COUNT(Curvas_cupon_cero!$A:$A)-2,1)),[1]!interpolar(B314,OFFSET(Curvas_cupon_cero!$A$1,1,0,COUNT(Curvas_cupon_cero!$A:$A)-2,1),OFFSET(Curvas_cupon_cero!$A$1,1,MATCH($B$9,Curvas_cupon_cero!$1:$1,0)-1,COUNT(Curvas_cupon_cero!$A:$A)-2,1))))</f>
        <v/>
      </c>
      <c r="G314" s="23" t="str">
        <f t="shared" si="44"/>
        <v/>
      </c>
      <c r="H314" s="20" t="str">
        <f t="shared" si="49"/>
        <v/>
      </c>
      <c r="I314" t="str">
        <f t="shared" si="45"/>
        <v/>
      </c>
      <c r="J314" s="17" t="str">
        <f t="shared" si="41"/>
        <v/>
      </c>
      <c r="K314" s="18" t="str">
        <f t="shared" si="46"/>
        <v/>
      </c>
      <c r="L314" t="str">
        <f t="shared" si="47"/>
        <v/>
      </c>
      <c r="M314" s="23" t="str">
        <f ca="1">IF(A314="","",IF($B$10="Sí",interpolar_alamb(L314,OFFSET(Curvas_cupon_cero!$A$1,1,0,COUNT(Curvas_cupon_cero!$A:$A)-2,1),OFFSET(Curvas_cupon_cero!$A$1,1,MATCH($B$6,Curvas_cupon_cero!$1:$1,0)-1,COUNT(Curvas_cupon_cero!$A:$A)-2,1)),[1]!interpolar(L314,OFFSET(Curvas_cupon_cero!$A$1,1,0,COUNT(Curvas_cupon_cero!$A:$A)-2,1),OFFSET(Curvas_cupon_cero!$A$1,1,MATCH($B$6,Curvas_cupon_cero!$1:$1,0)-1,COUNT(Curvas_cupon_cero!$A:$A)-2,1))))</f>
        <v/>
      </c>
      <c r="N314" s="23"/>
      <c r="O314" s="19" t="str">
        <f t="shared" si="48"/>
        <v/>
      </c>
    </row>
    <row r="315" spans="1:15" x14ac:dyDescent="0.2">
      <c r="A315" s="12" t="str">
        <f t="shared" si="42"/>
        <v/>
      </c>
      <c r="B315" t="str">
        <f t="shared" si="40"/>
        <v/>
      </c>
      <c r="C315" s="21" t="str">
        <f ca="1">IF(A315="","",IF($B$10="Sí",interpolar_alamb(B315,OFFSET(Curvas_cupon_cero!$A$1,1,0,COUNT(Curvas_cupon_cero!$A:$A)-2,1),OFFSET(Curvas_cupon_cero!$A$1,1,MATCH($B$8,Curvas_cupon_cero!$1:$1,0)-1,COUNT(Curvas_cupon_cero!$A:$A)-2,1)),[1]!interpolar(B315,OFFSET(Curvas_cupon_cero!$A$1,1,0,COUNT(Curvas_cupon_cero!$A:$A)-2,1),OFFSET(Curvas_cupon_cero!$A$1,1,MATCH($B$8,Curvas_cupon_cero!$1:$1,0)-1,COUNT(Curvas_cupon_cero!$A:$A)-2,1))))</f>
        <v/>
      </c>
      <c r="D315" s="23" t="str">
        <f ca="1">IF(A315="","",IF($B$10="Sí",interpolar_alamb(L315,OFFSET(Curvas_cupon_cero!$A$1,1,0,COUNT(Curvas_cupon_cero!$A:$A)-2,1),OFFSET(Curvas_cupon_cero!$A$1,1,MATCH($B$8,Curvas_cupon_cero!$1:$1,0)-1,COUNT(Curvas_cupon_cero!$A:$A)-2,1)),[1]!interpolar(L315,OFFSET(Curvas_cupon_cero!$A$1,1,0,COUNT(Curvas_cupon_cero!$A:$A)-2,1),OFFSET(Curvas_cupon_cero!$A$1,1,MATCH($B$8,Curvas_cupon_cero!$1:$1,0)-1,COUNT(Curvas_cupon_cero!$A:$A)-2,1))))</f>
        <v/>
      </c>
      <c r="E315" s="23" t="str">
        <f t="shared" si="43"/>
        <v/>
      </c>
      <c r="F315" s="23" t="str">
        <f ca="1">IF(A315="","",IF($B$10="Sí",interpolar_alamb(B315,OFFSET(Curvas_cupon_cero!$A$1,1,0,COUNT(Curvas_cupon_cero!$A:$A)-2,1),OFFSET(Curvas_cupon_cero!$A$1,1,MATCH($B$9,Curvas_cupon_cero!$1:$1,0)-1,COUNT(Curvas_cupon_cero!$A:$A)-2,1)),[1]!interpolar(B315,OFFSET(Curvas_cupon_cero!$A$1,1,0,COUNT(Curvas_cupon_cero!$A:$A)-2,1),OFFSET(Curvas_cupon_cero!$A$1,1,MATCH($B$9,Curvas_cupon_cero!$1:$1,0)-1,COUNT(Curvas_cupon_cero!$A:$A)-2,1))))</f>
        <v/>
      </c>
      <c r="G315" s="23" t="str">
        <f t="shared" si="44"/>
        <v/>
      </c>
      <c r="H315" s="20" t="str">
        <f t="shared" si="49"/>
        <v/>
      </c>
      <c r="I315" t="str">
        <f t="shared" si="45"/>
        <v/>
      </c>
      <c r="J315" s="17" t="str">
        <f t="shared" si="41"/>
        <v/>
      </c>
      <c r="K315" s="18" t="str">
        <f t="shared" si="46"/>
        <v/>
      </c>
      <c r="L315" t="str">
        <f t="shared" si="47"/>
        <v/>
      </c>
      <c r="M315" s="23" t="str">
        <f ca="1">IF(A315="","",IF($B$10="Sí",interpolar_alamb(L315,OFFSET(Curvas_cupon_cero!$A$1,1,0,COUNT(Curvas_cupon_cero!$A:$A)-2,1),OFFSET(Curvas_cupon_cero!$A$1,1,MATCH($B$6,Curvas_cupon_cero!$1:$1,0)-1,COUNT(Curvas_cupon_cero!$A:$A)-2,1)),[1]!interpolar(L315,OFFSET(Curvas_cupon_cero!$A$1,1,0,COUNT(Curvas_cupon_cero!$A:$A)-2,1),OFFSET(Curvas_cupon_cero!$A$1,1,MATCH($B$6,Curvas_cupon_cero!$1:$1,0)-1,COUNT(Curvas_cupon_cero!$A:$A)-2,1))))</f>
        <v/>
      </c>
      <c r="N315" s="23"/>
      <c r="O315" s="19" t="str">
        <f t="shared" si="48"/>
        <v/>
      </c>
    </row>
    <row r="316" spans="1:15" x14ac:dyDescent="0.2">
      <c r="A316" s="12" t="str">
        <f t="shared" si="42"/>
        <v/>
      </c>
      <c r="B316" t="str">
        <f t="shared" si="40"/>
        <v/>
      </c>
      <c r="C316" s="21" t="str">
        <f ca="1">IF(A316="","",IF($B$10="Sí",interpolar_alamb(B316,OFFSET(Curvas_cupon_cero!$A$1,1,0,COUNT(Curvas_cupon_cero!$A:$A)-2,1),OFFSET(Curvas_cupon_cero!$A$1,1,MATCH($B$8,Curvas_cupon_cero!$1:$1,0)-1,COUNT(Curvas_cupon_cero!$A:$A)-2,1)),[1]!interpolar(B316,OFFSET(Curvas_cupon_cero!$A$1,1,0,COUNT(Curvas_cupon_cero!$A:$A)-2,1),OFFSET(Curvas_cupon_cero!$A$1,1,MATCH($B$8,Curvas_cupon_cero!$1:$1,0)-1,COUNT(Curvas_cupon_cero!$A:$A)-2,1))))</f>
        <v/>
      </c>
      <c r="D316" s="23" t="str">
        <f ca="1">IF(A316="","",IF($B$10="Sí",interpolar_alamb(L316,OFFSET(Curvas_cupon_cero!$A$1,1,0,COUNT(Curvas_cupon_cero!$A:$A)-2,1),OFFSET(Curvas_cupon_cero!$A$1,1,MATCH($B$8,Curvas_cupon_cero!$1:$1,0)-1,COUNT(Curvas_cupon_cero!$A:$A)-2,1)),[1]!interpolar(L316,OFFSET(Curvas_cupon_cero!$A$1,1,0,COUNT(Curvas_cupon_cero!$A:$A)-2,1),OFFSET(Curvas_cupon_cero!$A$1,1,MATCH($B$8,Curvas_cupon_cero!$1:$1,0)-1,COUNT(Curvas_cupon_cero!$A:$A)-2,1))))</f>
        <v/>
      </c>
      <c r="E316" s="23" t="str">
        <f t="shared" si="43"/>
        <v/>
      </c>
      <c r="F316" s="23" t="str">
        <f ca="1">IF(A316="","",IF($B$10="Sí",interpolar_alamb(B316,OFFSET(Curvas_cupon_cero!$A$1,1,0,COUNT(Curvas_cupon_cero!$A:$A)-2,1),OFFSET(Curvas_cupon_cero!$A$1,1,MATCH($B$9,Curvas_cupon_cero!$1:$1,0)-1,COUNT(Curvas_cupon_cero!$A:$A)-2,1)),[1]!interpolar(B316,OFFSET(Curvas_cupon_cero!$A$1,1,0,COUNT(Curvas_cupon_cero!$A:$A)-2,1),OFFSET(Curvas_cupon_cero!$A$1,1,MATCH($B$9,Curvas_cupon_cero!$1:$1,0)-1,COUNT(Curvas_cupon_cero!$A:$A)-2,1))))</f>
        <v/>
      </c>
      <c r="G316" s="23" t="str">
        <f t="shared" si="44"/>
        <v/>
      </c>
      <c r="H316" s="20" t="str">
        <f t="shared" si="49"/>
        <v/>
      </c>
      <c r="I316" t="str">
        <f t="shared" si="45"/>
        <v/>
      </c>
      <c r="J316" s="17" t="str">
        <f t="shared" si="41"/>
        <v/>
      </c>
      <c r="K316" s="18" t="str">
        <f t="shared" si="46"/>
        <v/>
      </c>
      <c r="L316" t="str">
        <f t="shared" si="47"/>
        <v/>
      </c>
      <c r="M316" s="23" t="str">
        <f ca="1">IF(A316="","",IF($B$10="Sí",interpolar_alamb(L316,OFFSET(Curvas_cupon_cero!$A$1,1,0,COUNT(Curvas_cupon_cero!$A:$A)-2,1),OFFSET(Curvas_cupon_cero!$A$1,1,MATCH($B$6,Curvas_cupon_cero!$1:$1,0)-1,COUNT(Curvas_cupon_cero!$A:$A)-2,1)),[1]!interpolar(L316,OFFSET(Curvas_cupon_cero!$A$1,1,0,COUNT(Curvas_cupon_cero!$A:$A)-2,1),OFFSET(Curvas_cupon_cero!$A$1,1,MATCH($B$6,Curvas_cupon_cero!$1:$1,0)-1,COUNT(Curvas_cupon_cero!$A:$A)-2,1))))</f>
        <v/>
      </c>
      <c r="N316" s="23"/>
      <c r="O316" s="19" t="str">
        <f t="shared" si="48"/>
        <v/>
      </c>
    </row>
    <row r="317" spans="1:15" x14ac:dyDescent="0.2">
      <c r="A317" s="12" t="str">
        <f t="shared" si="42"/>
        <v/>
      </c>
      <c r="B317" t="str">
        <f t="shared" si="40"/>
        <v/>
      </c>
      <c r="C317" s="21" t="str">
        <f ca="1">IF(A317="","",IF($B$10="Sí",interpolar_alamb(B317,OFFSET(Curvas_cupon_cero!$A$1,1,0,COUNT(Curvas_cupon_cero!$A:$A)-2,1),OFFSET(Curvas_cupon_cero!$A$1,1,MATCH($B$8,Curvas_cupon_cero!$1:$1,0)-1,COUNT(Curvas_cupon_cero!$A:$A)-2,1)),[1]!interpolar(B317,OFFSET(Curvas_cupon_cero!$A$1,1,0,COUNT(Curvas_cupon_cero!$A:$A)-2,1),OFFSET(Curvas_cupon_cero!$A$1,1,MATCH($B$8,Curvas_cupon_cero!$1:$1,0)-1,COUNT(Curvas_cupon_cero!$A:$A)-2,1))))</f>
        <v/>
      </c>
      <c r="D317" s="23" t="str">
        <f ca="1">IF(A317="","",IF($B$10="Sí",interpolar_alamb(L317,OFFSET(Curvas_cupon_cero!$A$1,1,0,COUNT(Curvas_cupon_cero!$A:$A)-2,1),OFFSET(Curvas_cupon_cero!$A$1,1,MATCH($B$8,Curvas_cupon_cero!$1:$1,0)-1,COUNT(Curvas_cupon_cero!$A:$A)-2,1)),[1]!interpolar(L317,OFFSET(Curvas_cupon_cero!$A$1,1,0,COUNT(Curvas_cupon_cero!$A:$A)-2,1),OFFSET(Curvas_cupon_cero!$A$1,1,MATCH($B$8,Curvas_cupon_cero!$1:$1,0)-1,COUNT(Curvas_cupon_cero!$A:$A)-2,1))))</f>
        <v/>
      </c>
      <c r="E317" s="23" t="str">
        <f t="shared" si="43"/>
        <v/>
      </c>
      <c r="F317" s="23" t="str">
        <f ca="1">IF(A317="","",IF($B$10="Sí",interpolar_alamb(B317,OFFSET(Curvas_cupon_cero!$A$1,1,0,COUNT(Curvas_cupon_cero!$A:$A)-2,1),OFFSET(Curvas_cupon_cero!$A$1,1,MATCH($B$9,Curvas_cupon_cero!$1:$1,0)-1,COUNT(Curvas_cupon_cero!$A:$A)-2,1)),[1]!interpolar(B317,OFFSET(Curvas_cupon_cero!$A$1,1,0,COUNT(Curvas_cupon_cero!$A:$A)-2,1),OFFSET(Curvas_cupon_cero!$A$1,1,MATCH($B$9,Curvas_cupon_cero!$1:$1,0)-1,COUNT(Curvas_cupon_cero!$A:$A)-2,1))))</f>
        <v/>
      </c>
      <c r="G317" s="23" t="str">
        <f t="shared" si="44"/>
        <v/>
      </c>
      <c r="H317" s="20" t="str">
        <f t="shared" si="49"/>
        <v/>
      </c>
      <c r="I317" t="str">
        <f t="shared" si="45"/>
        <v/>
      </c>
      <c r="J317" s="17" t="str">
        <f t="shared" si="41"/>
        <v/>
      </c>
      <c r="K317" s="18" t="str">
        <f t="shared" si="46"/>
        <v/>
      </c>
      <c r="L317" t="str">
        <f t="shared" si="47"/>
        <v/>
      </c>
      <c r="M317" s="23" t="str">
        <f ca="1">IF(A317="","",IF($B$10="Sí",interpolar_alamb(L317,OFFSET(Curvas_cupon_cero!$A$1,1,0,COUNT(Curvas_cupon_cero!$A:$A)-2,1),OFFSET(Curvas_cupon_cero!$A$1,1,MATCH($B$6,Curvas_cupon_cero!$1:$1,0)-1,COUNT(Curvas_cupon_cero!$A:$A)-2,1)),[1]!interpolar(L317,OFFSET(Curvas_cupon_cero!$A$1,1,0,COUNT(Curvas_cupon_cero!$A:$A)-2,1),OFFSET(Curvas_cupon_cero!$A$1,1,MATCH($B$6,Curvas_cupon_cero!$1:$1,0)-1,COUNT(Curvas_cupon_cero!$A:$A)-2,1))))</f>
        <v/>
      </c>
      <c r="N317" s="23"/>
      <c r="O317" s="19" t="str">
        <f t="shared" si="48"/>
        <v/>
      </c>
    </row>
    <row r="318" spans="1:15" x14ac:dyDescent="0.2">
      <c r="A318" s="12" t="str">
        <f t="shared" si="42"/>
        <v/>
      </c>
      <c r="B318" t="str">
        <f t="shared" si="40"/>
        <v/>
      </c>
      <c r="C318" s="21" t="str">
        <f ca="1">IF(A318="","",IF($B$10="Sí",interpolar_alamb(B318,OFFSET(Curvas_cupon_cero!$A$1,1,0,COUNT(Curvas_cupon_cero!$A:$A)-2,1),OFFSET(Curvas_cupon_cero!$A$1,1,MATCH($B$8,Curvas_cupon_cero!$1:$1,0)-1,COUNT(Curvas_cupon_cero!$A:$A)-2,1)),[1]!interpolar(B318,OFFSET(Curvas_cupon_cero!$A$1,1,0,COUNT(Curvas_cupon_cero!$A:$A)-2,1),OFFSET(Curvas_cupon_cero!$A$1,1,MATCH($B$8,Curvas_cupon_cero!$1:$1,0)-1,COUNT(Curvas_cupon_cero!$A:$A)-2,1))))</f>
        <v/>
      </c>
      <c r="D318" s="23" t="str">
        <f ca="1">IF(A318="","",IF($B$10="Sí",interpolar_alamb(L318,OFFSET(Curvas_cupon_cero!$A$1,1,0,COUNT(Curvas_cupon_cero!$A:$A)-2,1),OFFSET(Curvas_cupon_cero!$A$1,1,MATCH($B$8,Curvas_cupon_cero!$1:$1,0)-1,COUNT(Curvas_cupon_cero!$A:$A)-2,1)),[1]!interpolar(L318,OFFSET(Curvas_cupon_cero!$A$1,1,0,COUNT(Curvas_cupon_cero!$A:$A)-2,1),OFFSET(Curvas_cupon_cero!$A$1,1,MATCH($B$8,Curvas_cupon_cero!$1:$1,0)-1,COUNT(Curvas_cupon_cero!$A:$A)-2,1))))</f>
        <v/>
      </c>
      <c r="E318" s="23" t="str">
        <f t="shared" si="43"/>
        <v/>
      </c>
      <c r="F318" s="23" t="str">
        <f ca="1">IF(A318="","",IF($B$10="Sí",interpolar_alamb(B318,OFFSET(Curvas_cupon_cero!$A$1,1,0,COUNT(Curvas_cupon_cero!$A:$A)-2,1),OFFSET(Curvas_cupon_cero!$A$1,1,MATCH($B$9,Curvas_cupon_cero!$1:$1,0)-1,COUNT(Curvas_cupon_cero!$A:$A)-2,1)),[1]!interpolar(B318,OFFSET(Curvas_cupon_cero!$A$1,1,0,COUNT(Curvas_cupon_cero!$A:$A)-2,1),OFFSET(Curvas_cupon_cero!$A$1,1,MATCH($B$9,Curvas_cupon_cero!$1:$1,0)-1,COUNT(Curvas_cupon_cero!$A:$A)-2,1))))</f>
        <v/>
      </c>
      <c r="G318" s="23" t="str">
        <f t="shared" si="44"/>
        <v/>
      </c>
      <c r="H318" s="20" t="str">
        <f t="shared" si="49"/>
        <v/>
      </c>
      <c r="I318" t="str">
        <f t="shared" si="45"/>
        <v/>
      </c>
      <c r="J318" s="17" t="str">
        <f t="shared" si="41"/>
        <v/>
      </c>
      <c r="K318" s="18" t="str">
        <f t="shared" si="46"/>
        <v/>
      </c>
      <c r="L318" t="str">
        <f t="shared" si="47"/>
        <v/>
      </c>
      <c r="M318" s="23" t="str">
        <f ca="1">IF(A318="","",IF($B$10="Sí",interpolar_alamb(L318,OFFSET(Curvas_cupon_cero!$A$1,1,0,COUNT(Curvas_cupon_cero!$A:$A)-2,1),OFFSET(Curvas_cupon_cero!$A$1,1,MATCH($B$6,Curvas_cupon_cero!$1:$1,0)-1,COUNT(Curvas_cupon_cero!$A:$A)-2,1)),[1]!interpolar(L318,OFFSET(Curvas_cupon_cero!$A$1,1,0,COUNT(Curvas_cupon_cero!$A:$A)-2,1),OFFSET(Curvas_cupon_cero!$A$1,1,MATCH($B$6,Curvas_cupon_cero!$1:$1,0)-1,COUNT(Curvas_cupon_cero!$A:$A)-2,1))))</f>
        <v/>
      </c>
      <c r="N318" s="23"/>
      <c r="O318" s="19" t="str">
        <f t="shared" si="48"/>
        <v/>
      </c>
    </row>
    <row r="319" spans="1:15" x14ac:dyDescent="0.2">
      <c r="A319" s="12" t="str">
        <f t="shared" si="42"/>
        <v/>
      </c>
      <c r="B319" t="str">
        <f t="shared" si="40"/>
        <v/>
      </c>
      <c r="C319" s="21" t="str">
        <f ca="1">IF(A319="","",IF($B$10="Sí",interpolar_alamb(B319,OFFSET(Curvas_cupon_cero!$A$1,1,0,COUNT(Curvas_cupon_cero!$A:$A)-2,1),OFFSET(Curvas_cupon_cero!$A$1,1,MATCH($B$8,Curvas_cupon_cero!$1:$1,0)-1,COUNT(Curvas_cupon_cero!$A:$A)-2,1)),[1]!interpolar(B319,OFFSET(Curvas_cupon_cero!$A$1,1,0,COUNT(Curvas_cupon_cero!$A:$A)-2,1),OFFSET(Curvas_cupon_cero!$A$1,1,MATCH($B$8,Curvas_cupon_cero!$1:$1,0)-1,COUNT(Curvas_cupon_cero!$A:$A)-2,1))))</f>
        <v/>
      </c>
      <c r="D319" s="23" t="str">
        <f ca="1">IF(A319="","",IF($B$10="Sí",interpolar_alamb(L319,OFFSET(Curvas_cupon_cero!$A$1,1,0,COUNT(Curvas_cupon_cero!$A:$A)-2,1),OFFSET(Curvas_cupon_cero!$A$1,1,MATCH($B$8,Curvas_cupon_cero!$1:$1,0)-1,COUNT(Curvas_cupon_cero!$A:$A)-2,1)),[1]!interpolar(L319,OFFSET(Curvas_cupon_cero!$A$1,1,0,COUNT(Curvas_cupon_cero!$A:$A)-2,1),OFFSET(Curvas_cupon_cero!$A$1,1,MATCH($B$8,Curvas_cupon_cero!$1:$1,0)-1,COUNT(Curvas_cupon_cero!$A:$A)-2,1))))</f>
        <v/>
      </c>
      <c r="E319" s="23" t="str">
        <f t="shared" si="43"/>
        <v/>
      </c>
      <c r="F319" s="23" t="str">
        <f ca="1">IF(A319="","",IF($B$10="Sí",interpolar_alamb(B319,OFFSET(Curvas_cupon_cero!$A$1,1,0,COUNT(Curvas_cupon_cero!$A:$A)-2,1),OFFSET(Curvas_cupon_cero!$A$1,1,MATCH($B$9,Curvas_cupon_cero!$1:$1,0)-1,COUNT(Curvas_cupon_cero!$A:$A)-2,1)),[1]!interpolar(B319,OFFSET(Curvas_cupon_cero!$A$1,1,0,COUNT(Curvas_cupon_cero!$A:$A)-2,1),OFFSET(Curvas_cupon_cero!$A$1,1,MATCH($B$9,Curvas_cupon_cero!$1:$1,0)-1,COUNT(Curvas_cupon_cero!$A:$A)-2,1))))</f>
        <v/>
      </c>
      <c r="G319" s="23" t="str">
        <f t="shared" si="44"/>
        <v/>
      </c>
      <c r="H319" s="20" t="str">
        <f t="shared" si="49"/>
        <v/>
      </c>
      <c r="I319" t="str">
        <f t="shared" si="45"/>
        <v/>
      </c>
      <c r="J319" s="17" t="str">
        <f t="shared" si="41"/>
        <v/>
      </c>
      <c r="K319" s="18" t="str">
        <f t="shared" si="46"/>
        <v/>
      </c>
      <c r="L319" t="str">
        <f t="shared" si="47"/>
        <v/>
      </c>
      <c r="M319" s="23" t="str">
        <f ca="1">IF(A319="","",IF($B$10="Sí",interpolar_alamb(L319,OFFSET(Curvas_cupon_cero!$A$1,1,0,COUNT(Curvas_cupon_cero!$A:$A)-2,1),OFFSET(Curvas_cupon_cero!$A$1,1,MATCH($B$6,Curvas_cupon_cero!$1:$1,0)-1,COUNT(Curvas_cupon_cero!$A:$A)-2,1)),[1]!interpolar(L319,OFFSET(Curvas_cupon_cero!$A$1,1,0,COUNT(Curvas_cupon_cero!$A:$A)-2,1),OFFSET(Curvas_cupon_cero!$A$1,1,MATCH($B$6,Curvas_cupon_cero!$1:$1,0)-1,COUNT(Curvas_cupon_cero!$A:$A)-2,1))))</f>
        <v/>
      </c>
      <c r="N319" s="23"/>
      <c r="O319" s="19" t="str">
        <f t="shared" si="48"/>
        <v/>
      </c>
    </row>
    <row r="320" spans="1:15" x14ac:dyDescent="0.2">
      <c r="A320" s="12" t="str">
        <f t="shared" si="42"/>
        <v/>
      </c>
      <c r="B320" t="str">
        <f t="shared" si="40"/>
        <v/>
      </c>
      <c r="C320" s="21" t="str">
        <f ca="1">IF(A320="","",IF($B$10="Sí",interpolar_alamb(B320,OFFSET(Curvas_cupon_cero!$A$1,1,0,COUNT(Curvas_cupon_cero!$A:$A)-2,1),OFFSET(Curvas_cupon_cero!$A$1,1,MATCH($B$8,Curvas_cupon_cero!$1:$1,0)-1,COUNT(Curvas_cupon_cero!$A:$A)-2,1)),[1]!interpolar(B320,OFFSET(Curvas_cupon_cero!$A$1,1,0,COUNT(Curvas_cupon_cero!$A:$A)-2,1),OFFSET(Curvas_cupon_cero!$A$1,1,MATCH($B$8,Curvas_cupon_cero!$1:$1,0)-1,COUNT(Curvas_cupon_cero!$A:$A)-2,1))))</f>
        <v/>
      </c>
      <c r="D320" s="23" t="str">
        <f ca="1">IF(A320="","",IF($B$10="Sí",interpolar_alamb(L320,OFFSET(Curvas_cupon_cero!$A$1,1,0,COUNT(Curvas_cupon_cero!$A:$A)-2,1),OFFSET(Curvas_cupon_cero!$A$1,1,MATCH($B$8,Curvas_cupon_cero!$1:$1,0)-1,COUNT(Curvas_cupon_cero!$A:$A)-2,1)),[1]!interpolar(L320,OFFSET(Curvas_cupon_cero!$A$1,1,0,COUNT(Curvas_cupon_cero!$A:$A)-2,1),OFFSET(Curvas_cupon_cero!$A$1,1,MATCH($B$8,Curvas_cupon_cero!$1:$1,0)-1,COUNT(Curvas_cupon_cero!$A:$A)-2,1))))</f>
        <v/>
      </c>
      <c r="E320" s="23" t="str">
        <f t="shared" si="43"/>
        <v/>
      </c>
      <c r="F320" s="23" t="str">
        <f ca="1">IF(A320="","",IF($B$10="Sí",interpolar_alamb(B320,OFFSET(Curvas_cupon_cero!$A$1,1,0,COUNT(Curvas_cupon_cero!$A:$A)-2,1),OFFSET(Curvas_cupon_cero!$A$1,1,MATCH($B$9,Curvas_cupon_cero!$1:$1,0)-1,COUNT(Curvas_cupon_cero!$A:$A)-2,1)),[1]!interpolar(B320,OFFSET(Curvas_cupon_cero!$A$1,1,0,COUNT(Curvas_cupon_cero!$A:$A)-2,1),OFFSET(Curvas_cupon_cero!$A$1,1,MATCH($B$9,Curvas_cupon_cero!$1:$1,0)-1,COUNT(Curvas_cupon_cero!$A:$A)-2,1))))</f>
        <v/>
      </c>
      <c r="G320" s="23" t="str">
        <f t="shared" si="44"/>
        <v/>
      </c>
      <c r="H320" s="20" t="str">
        <f t="shared" si="49"/>
        <v/>
      </c>
      <c r="I320" t="str">
        <f t="shared" si="45"/>
        <v/>
      </c>
      <c r="J320" s="17" t="str">
        <f t="shared" si="41"/>
        <v/>
      </c>
      <c r="K320" s="18" t="str">
        <f t="shared" si="46"/>
        <v/>
      </c>
      <c r="L320" t="str">
        <f t="shared" si="47"/>
        <v/>
      </c>
      <c r="M320" s="23" t="str">
        <f ca="1">IF(A320="","",IF($B$10="Sí",interpolar_alamb(L320,OFFSET(Curvas_cupon_cero!$A$1,1,0,COUNT(Curvas_cupon_cero!$A:$A)-2,1),OFFSET(Curvas_cupon_cero!$A$1,1,MATCH($B$6,Curvas_cupon_cero!$1:$1,0)-1,COUNT(Curvas_cupon_cero!$A:$A)-2,1)),[1]!interpolar(L320,OFFSET(Curvas_cupon_cero!$A$1,1,0,COUNT(Curvas_cupon_cero!$A:$A)-2,1),OFFSET(Curvas_cupon_cero!$A$1,1,MATCH($B$6,Curvas_cupon_cero!$1:$1,0)-1,COUNT(Curvas_cupon_cero!$A:$A)-2,1))))</f>
        <v/>
      </c>
      <c r="N320" s="23"/>
      <c r="O320" s="19" t="str">
        <f t="shared" si="48"/>
        <v/>
      </c>
    </row>
    <row r="321" spans="1:15" x14ac:dyDescent="0.2">
      <c r="A321" s="12" t="str">
        <f t="shared" si="42"/>
        <v/>
      </c>
      <c r="B321" t="str">
        <f t="shared" si="40"/>
        <v/>
      </c>
      <c r="C321" s="21" t="str">
        <f ca="1">IF(A321="","",IF($B$10="Sí",interpolar_alamb(B321,OFFSET(Curvas_cupon_cero!$A$1,1,0,COUNT(Curvas_cupon_cero!$A:$A)-2,1),OFFSET(Curvas_cupon_cero!$A$1,1,MATCH($B$8,Curvas_cupon_cero!$1:$1,0)-1,COUNT(Curvas_cupon_cero!$A:$A)-2,1)),[1]!interpolar(B321,OFFSET(Curvas_cupon_cero!$A$1,1,0,COUNT(Curvas_cupon_cero!$A:$A)-2,1),OFFSET(Curvas_cupon_cero!$A$1,1,MATCH($B$8,Curvas_cupon_cero!$1:$1,0)-1,COUNT(Curvas_cupon_cero!$A:$A)-2,1))))</f>
        <v/>
      </c>
      <c r="D321" s="23" t="str">
        <f ca="1">IF(A321="","",IF($B$10="Sí",interpolar_alamb(L321,OFFSET(Curvas_cupon_cero!$A$1,1,0,COUNT(Curvas_cupon_cero!$A:$A)-2,1),OFFSET(Curvas_cupon_cero!$A$1,1,MATCH($B$8,Curvas_cupon_cero!$1:$1,0)-1,COUNT(Curvas_cupon_cero!$A:$A)-2,1)),[1]!interpolar(L321,OFFSET(Curvas_cupon_cero!$A$1,1,0,COUNT(Curvas_cupon_cero!$A:$A)-2,1),OFFSET(Curvas_cupon_cero!$A$1,1,MATCH($B$8,Curvas_cupon_cero!$1:$1,0)-1,COUNT(Curvas_cupon_cero!$A:$A)-2,1))))</f>
        <v/>
      </c>
      <c r="E321" s="23" t="str">
        <f t="shared" si="43"/>
        <v/>
      </c>
      <c r="F321" s="23" t="str">
        <f ca="1">IF(A321="","",IF($B$10="Sí",interpolar_alamb(B321,OFFSET(Curvas_cupon_cero!$A$1,1,0,COUNT(Curvas_cupon_cero!$A:$A)-2,1),OFFSET(Curvas_cupon_cero!$A$1,1,MATCH($B$9,Curvas_cupon_cero!$1:$1,0)-1,COUNT(Curvas_cupon_cero!$A:$A)-2,1)),[1]!interpolar(B321,OFFSET(Curvas_cupon_cero!$A$1,1,0,COUNT(Curvas_cupon_cero!$A:$A)-2,1),OFFSET(Curvas_cupon_cero!$A$1,1,MATCH($B$9,Curvas_cupon_cero!$1:$1,0)-1,COUNT(Curvas_cupon_cero!$A:$A)-2,1))))</f>
        <v/>
      </c>
      <c r="G321" s="23" t="str">
        <f t="shared" si="44"/>
        <v/>
      </c>
      <c r="H321" s="20" t="str">
        <f t="shared" si="49"/>
        <v/>
      </c>
      <c r="I321" t="str">
        <f t="shared" si="45"/>
        <v/>
      </c>
      <c r="J321" s="17" t="str">
        <f t="shared" si="41"/>
        <v/>
      </c>
      <c r="K321" s="18" t="str">
        <f t="shared" si="46"/>
        <v/>
      </c>
      <c r="L321" t="str">
        <f t="shared" si="47"/>
        <v/>
      </c>
      <c r="M321" s="23" t="str">
        <f ca="1">IF(A321="","",IF($B$10="Sí",interpolar_alamb(L321,OFFSET(Curvas_cupon_cero!$A$1,1,0,COUNT(Curvas_cupon_cero!$A:$A)-2,1),OFFSET(Curvas_cupon_cero!$A$1,1,MATCH($B$6,Curvas_cupon_cero!$1:$1,0)-1,COUNT(Curvas_cupon_cero!$A:$A)-2,1)),[1]!interpolar(L321,OFFSET(Curvas_cupon_cero!$A$1,1,0,COUNT(Curvas_cupon_cero!$A:$A)-2,1),OFFSET(Curvas_cupon_cero!$A$1,1,MATCH($B$6,Curvas_cupon_cero!$1:$1,0)-1,COUNT(Curvas_cupon_cero!$A:$A)-2,1))))</f>
        <v/>
      </c>
      <c r="N321" s="23"/>
      <c r="O321" s="19" t="str">
        <f t="shared" si="48"/>
        <v/>
      </c>
    </row>
    <row r="322" spans="1:15" x14ac:dyDescent="0.2">
      <c r="A322" s="12" t="str">
        <f t="shared" si="42"/>
        <v/>
      </c>
      <c r="B322" t="str">
        <f t="shared" si="40"/>
        <v/>
      </c>
      <c r="C322" s="21" t="str">
        <f ca="1">IF(A322="","",IF($B$10="Sí",interpolar_alamb(B322,OFFSET(Curvas_cupon_cero!$A$1,1,0,COUNT(Curvas_cupon_cero!$A:$A)-2,1),OFFSET(Curvas_cupon_cero!$A$1,1,MATCH($B$8,Curvas_cupon_cero!$1:$1,0)-1,COUNT(Curvas_cupon_cero!$A:$A)-2,1)),[1]!interpolar(B322,OFFSET(Curvas_cupon_cero!$A$1,1,0,COUNT(Curvas_cupon_cero!$A:$A)-2,1),OFFSET(Curvas_cupon_cero!$A$1,1,MATCH($B$8,Curvas_cupon_cero!$1:$1,0)-1,COUNT(Curvas_cupon_cero!$A:$A)-2,1))))</f>
        <v/>
      </c>
      <c r="D322" s="23" t="str">
        <f ca="1">IF(A322="","",IF($B$10="Sí",interpolar_alamb(L322,OFFSET(Curvas_cupon_cero!$A$1,1,0,COUNT(Curvas_cupon_cero!$A:$A)-2,1),OFFSET(Curvas_cupon_cero!$A$1,1,MATCH($B$8,Curvas_cupon_cero!$1:$1,0)-1,COUNT(Curvas_cupon_cero!$A:$A)-2,1)),[1]!interpolar(L322,OFFSET(Curvas_cupon_cero!$A$1,1,0,COUNT(Curvas_cupon_cero!$A:$A)-2,1),OFFSET(Curvas_cupon_cero!$A$1,1,MATCH($B$8,Curvas_cupon_cero!$1:$1,0)-1,COUNT(Curvas_cupon_cero!$A:$A)-2,1))))</f>
        <v/>
      </c>
      <c r="E322" s="23" t="str">
        <f t="shared" si="43"/>
        <v/>
      </c>
      <c r="F322" s="23" t="str">
        <f ca="1">IF(A322="","",IF($B$10="Sí",interpolar_alamb(B322,OFFSET(Curvas_cupon_cero!$A$1,1,0,COUNT(Curvas_cupon_cero!$A:$A)-2,1),OFFSET(Curvas_cupon_cero!$A$1,1,MATCH($B$9,Curvas_cupon_cero!$1:$1,0)-1,COUNT(Curvas_cupon_cero!$A:$A)-2,1)),[1]!interpolar(B322,OFFSET(Curvas_cupon_cero!$A$1,1,0,COUNT(Curvas_cupon_cero!$A:$A)-2,1),OFFSET(Curvas_cupon_cero!$A$1,1,MATCH($B$9,Curvas_cupon_cero!$1:$1,0)-1,COUNT(Curvas_cupon_cero!$A:$A)-2,1))))</f>
        <v/>
      </c>
      <c r="G322" s="23" t="str">
        <f t="shared" si="44"/>
        <v/>
      </c>
      <c r="H322" s="20" t="str">
        <f t="shared" si="49"/>
        <v/>
      </c>
      <c r="I322" t="str">
        <f t="shared" si="45"/>
        <v/>
      </c>
      <c r="J322" s="17" t="str">
        <f t="shared" si="41"/>
        <v/>
      </c>
      <c r="K322" s="18" t="str">
        <f t="shared" si="46"/>
        <v/>
      </c>
      <c r="L322" t="str">
        <f t="shared" si="47"/>
        <v/>
      </c>
      <c r="M322" s="23" t="str">
        <f ca="1">IF(A322="","",IF($B$10="Sí",interpolar_alamb(L322,OFFSET(Curvas_cupon_cero!$A$1,1,0,COUNT(Curvas_cupon_cero!$A:$A)-2,1),OFFSET(Curvas_cupon_cero!$A$1,1,MATCH($B$6,Curvas_cupon_cero!$1:$1,0)-1,COUNT(Curvas_cupon_cero!$A:$A)-2,1)),[1]!interpolar(L322,OFFSET(Curvas_cupon_cero!$A$1,1,0,COUNT(Curvas_cupon_cero!$A:$A)-2,1),OFFSET(Curvas_cupon_cero!$A$1,1,MATCH($B$6,Curvas_cupon_cero!$1:$1,0)-1,COUNT(Curvas_cupon_cero!$A:$A)-2,1))))</f>
        <v/>
      </c>
      <c r="N322" s="23"/>
      <c r="O322" s="19" t="str">
        <f t="shared" si="48"/>
        <v/>
      </c>
    </row>
    <row r="323" spans="1:15" x14ac:dyDescent="0.2">
      <c r="A323" s="12" t="str">
        <f t="shared" si="42"/>
        <v/>
      </c>
      <c r="B323" t="str">
        <f t="shared" si="40"/>
        <v/>
      </c>
      <c r="C323" s="21" t="str">
        <f ca="1">IF(A323="","",IF($B$10="Sí",interpolar_alamb(B323,OFFSET(Curvas_cupon_cero!$A$1,1,0,COUNT(Curvas_cupon_cero!$A:$A)-2,1),OFFSET(Curvas_cupon_cero!$A$1,1,MATCH($B$8,Curvas_cupon_cero!$1:$1,0)-1,COUNT(Curvas_cupon_cero!$A:$A)-2,1)),[1]!interpolar(B323,OFFSET(Curvas_cupon_cero!$A$1,1,0,COUNT(Curvas_cupon_cero!$A:$A)-2,1),OFFSET(Curvas_cupon_cero!$A$1,1,MATCH($B$8,Curvas_cupon_cero!$1:$1,0)-1,COUNT(Curvas_cupon_cero!$A:$A)-2,1))))</f>
        <v/>
      </c>
      <c r="D323" s="23" t="str">
        <f ca="1">IF(A323="","",IF($B$10="Sí",interpolar_alamb(L323,OFFSET(Curvas_cupon_cero!$A$1,1,0,COUNT(Curvas_cupon_cero!$A:$A)-2,1),OFFSET(Curvas_cupon_cero!$A$1,1,MATCH($B$8,Curvas_cupon_cero!$1:$1,0)-1,COUNT(Curvas_cupon_cero!$A:$A)-2,1)),[1]!interpolar(L323,OFFSET(Curvas_cupon_cero!$A$1,1,0,COUNT(Curvas_cupon_cero!$A:$A)-2,1),OFFSET(Curvas_cupon_cero!$A$1,1,MATCH($B$8,Curvas_cupon_cero!$1:$1,0)-1,COUNT(Curvas_cupon_cero!$A:$A)-2,1))))</f>
        <v/>
      </c>
      <c r="E323" s="23" t="str">
        <f t="shared" si="43"/>
        <v/>
      </c>
      <c r="F323" s="23" t="str">
        <f ca="1">IF(A323="","",IF($B$10="Sí",interpolar_alamb(B323,OFFSET(Curvas_cupon_cero!$A$1,1,0,COUNT(Curvas_cupon_cero!$A:$A)-2,1),OFFSET(Curvas_cupon_cero!$A$1,1,MATCH($B$9,Curvas_cupon_cero!$1:$1,0)-1,COUNT(Curvas_cupon_cero!$A:$A)-2,1)),[1]!interpolar(B323,OFFSET(Curvas_cupon_cero!$A$1,1,0,COUNT(Curvas_cupon_cero!$A:$A)-2,1),OFFSET(Curvas_cupon_cero!$A$1,1,MATCH($B$9,Curvas_cupon_cero!$1:$1,0)-1,COUNT(Curvas_cupon_cero!$A:$A)-2,1))))</f>
        <v/>
      </c>
      <c r="G323" s="23" t="str">
        <f t="shared" si="44"/>
        <v/>
      </c>
      <c r="H323" s="20" t="str">
        <f t="shared" si="49"/>
        <v/>
      </c>
      <c r="I323" t="str">
        <f t="shared" si="45"/>
        <v/>
      </c>
      <c r="J323" s="17" t="str">
        <f t="shared" si="41"/>
        <v/>
      </c>
      <c r="K323" s="18" t="str">
        <f t="shared" si="46"/>
        <v/>
      </c>
      <c r="L323" t="str">
        <f t="shared" si="47"/>
        <v/>
      </c>
      <c r="M323" s="23" t="str">
        <f ca="1">IF(A323="","",IF($B$10="Sí",interpolar_alamb(L323,OFFSET(Curvas_cupon_cero!$A$1,1,0,COUNT(Curvas_cupon_cero!$A:$A)-2,1),OFFSET(Curvas_cupon_cero!$A$1,1,MATCH($B$6,Curvas_cupon_cero!$1:$1,0)-1,COUNT(Curvas_cupon_cero!$A:$A)-2,1)),[1]!interpolar(L323,OFFSET(Curvas_cupon_cero!$A$1,1,0,COUNT(Curvas_cupon_cero!$A:$A)-2,1),OFFSET(Curvas_cupon_cero!$A$1,1,MATCH($B$6,Curvas_cupon_cero!$1:$1,0)-1,COUNT(Curvas_cupon_cero!$A:$A)-2,1))))</f>
        <v/>
      </c>
      <c r="N323" s="23"/>
      <c r="O323" s="19" t="str">
        <f t="shared" si="48"/>
        <v/>
      </c>
    </row>
    <row r="324" spans="1:15" x14ac:dyDescent="0.2">
      <c r="A324" s="12" t="str">
        <f t="shared" si="42"/>
        <v/>
      </c>
      <c r="B324" t="str">
        <f t="shared" si="40"/>
        <v/>
      </c>
      <c r="C324" s="21" t="str">
        <f ca="1">IF(A324="","",IF($B$10="Sí",interpolar_alamb(B324,OFFSET(Curvas_cupon_cero!$A$1,1,0,COUNT(Curvas_cupon_cero!$A:$A)-2,1),OFFSET(Curvas_cupon_cero!$A$1,1,MATCH($B$8,Curvas_cupon_cero!$1:$1,0)-1,COUNT(Curvas_cupon_cero!$A:$A)-2,1)),[1]!interpolar(B324,OFFSET(Curvas_cupon_cero!$A$1,1,0,COUNT(Curvas_cupon_cero!$A:$A)-2,1),OFFSET(Curvas_cupon_cero!$A$1,1,MATCH($B$8,Curvas_cupon_cero!$1:$1,0)-1,COUNT(Curvas_cupon_cero!$A:$A)-2,1))))</f>
        <v/>
      </c>
      <c r="D324" s="23" t="str">
        <f ca="1">IF(A324="","",IF($B$10="Sí",interpolar_alamb(L324,OFFSET(Curvas_cupon_cero!$A$1,1,0,COUNT(Curvas_cupon_cero!$A:$A)-2,1),OFFSET(Curvas_cupon_cero!$A$1,1,MATCH($B$8,Curvas_cupon_cero!$1:$1,0)-1,COUNT(Curvas_cupon_cero!$A:$A)-2,1)),[1]!interpolar(L324,OFFSET(Curvas_cupon_cero!$A$1,1,0,COUNT(Curvas_cupon_cero!$A:$A)-2,1),OFFSET(Curvas_cupon_cero!$A$1,1,MATCH($B$8,Curvas_cupon_cero!$1:$1,0)-1,COUNT(Curvas_cupon_cero!$A:$A)-2,1))))</f>
        <v/>
      </c>
      <c r="E324" s="23" t="str">
        <f t="shared" si="43"/>
        <v/>
      </c>
      <c r="F324" s="23" t="str">
        <f ca="1">IF(A324="","",IF($B$10="Sí",interpolar_alamb(B324,OFFSET(Curvas_cupon_cero!$A$1,1,0,COUNT(Curvas_cupon_cero!$A:$A)-2,1),OFFSET(Curvas_cupon_cero!$A$1,1,MATCH($B$9,Curvas_cupon_cero!$1:$1,0)-1,COUNT(Curvas_cupon_cero!$A:$A)-2,1)),[1]!interpolar(B324,OFFSET(Curvas_cupon_cero!$A$1,1,0,COUNT(Curvas_cupon_cero!$A:$A)-2,1),OFFSET(Curvas_cupon_cero!$A$1,1,MATCH($B$9,Curvas_cupon_cero!$1:$1,0)-1,COUNT(Curvas_cupon_cero!$A:$A)-2,1))))</f>
        <v/>
      </c>
      <c r="G324" s="23" t="str">
        <f t="shared" si="44"/>
        <v/>
      </c>
      <c r="H324" s="20" t="str">
        <f t="shared" si="49"/>
        <v/>
      </c>
      <c r="I324" t="str">
        <f t="shared" si="45"/>
        <v/>
      </c>
      <c r="J324" s="17" t="str">
        <f t="shared" si="41"/>
        <v/>
      </c>
      <c r="K324" s="18" t="str">
        <f t="shared" si="46"/>
        <v/>
      </c>
      <c r="L324" t="str">
        <f t="shared" si="47"/>
        <v/>
      </c>
      <c r="M324" s="23" t="str">
        <f ca="1">IF(A324="","",IF($B$10="Sí",interpolar_alamb(L324,OFFSET(Curvas_cupon_cero!$A$1,1,0,COUNT(Curvas_cupon_cero!$A:$A)-2,1),OFFSET(Curvas_cupon_cero!$A$1,1,MATCH($B$6,Curvas_cupon_cero!$1:$1,0)-1,COUNT(Curvas_cupon_cero!$A:$A)-2,1)),[1]!interpolar(L324,OFFSET(Curvas_cupon_cero!$A$1,1,0,COUNT(Curvas_cupon_cero!$A:$A)-2,1),OFFSET(Curvas_cupon_cero!$A$1,1,MATCH($B$6,Curvas_cupon_cero!$1:$1,0)-1,COUNT(Curvas_cupon_cero!$A:$A)-2,1))))</f>
        <v/>
      </c>
      <c r="N324" s="23"/>
      <c r="O324" s="19" t="str">
        <f t="shared" si="48"/>
        <v/>
      </c>
    </row>
    <row r="325" spans="1:15" x14ac:dyDescent="0.2">
      <c r="A325" s="12" t="str">
        <f t="shared" si="42"/>
        <v/>
      </c>
      <c r="B325" t="str">
        <f t="shared" si="40"/>
        <v/>
      </c>
      <c r="C325" s="21" t="str">
        <f ca="1">IF(A325="","",IF($B$10="Sí",interpolar_alamb(B325,OFFSET(Curvas_cupon_cero!$A$1,1,0,COUNT(Curvas_cupon_cero!$A:$A)-2,1),OFFSET(Curvas_cupon_cero!$A$1,1,MATCH($B$8,Curvas_cupon_cero!$1:$1,0)-1,COUNT(Curvas_cupon_cero!$A:$A)-2,1)),[1]!interpolar(B325,OFFSET(Curvas_cupon_cero!$A$1,1,0,COUNT(Curvas_cupon_cero!$A:$A)-2,1),OFFSET(Curvas_cupon_cero!$A$1,1,MATCH($B$8,Curvas_cupon_cero!$1:$1,0)-1,COUNT(Curvas_cupon_cero!$A:$A)-2,1))))</f>
        <v/>
      </c>
      <c r="D325" s="23" t="str">
        <f ca="1">IF(A325="","",IF($B$10="Sí",interpolar_alamb(L325,OFFSET(Curvas_cupon_cero!$A$1,1,0,COUNT(Curvas_cupon_cero!$A:$A)-2,1),OFFSET(Curvas_cupon_cero!$A$1,1,MATCH($B$8,Curvas_cupon_cero!$1:$1,0)-1,COUNT(Curvas_cupon_cero!$A:$A)-2,1)),[1]!interpolar(L325,OFFSET(Curvas_cupon_cero!$A$1,1,0,COUNT(Curvas_cupon_cero!$A:$A)-2,1),OFFSET(Curvas_cupon_cero!$A$1,1,MATCH($B$8,Curvas_cupon_cero!$1:$1,0)-1,COUNT(Curvas_cupon_cero!$A:$A)-2,1))))</f>
        <v/>
      </c>
      <c r="E325" s="23" t="str">
        <f t="shared" si="43"/>
        <v/>
      </c>
      <c r="F325" s="23" t="str">
        <f ca="1">IF(A325="","",IF($B$10="Sí",interpolar_alamb(B325,OFFSET(Curvas_cupon_cero!$A$1,1,0,COUNT(Curvas_cupon_cero!$A:$A)-2,1),OFFSET(Curvas_cupon_cero!$A$1,1,MATCH($B$9,Curvas_cupon_cero!$1:$1,0)-1,COUNT(Curvas_cupon_cero!$A:$A)-2,1)),[1]!interpolar(B325,OFFSET(Curvas_cupon_cero!$A$1,1,0,COUNT(Curvas_cupon_cero!$A:$A)-2,1),OFFSET(Curvas_cupon_cero!$A$1,1,MATCH($B$9,Curvas_cupon_cero!$1:$1,0)-1,COUNT(Curvas_cupon_cero!$A:$A)-2,1))))</f>
        <v/>
      </c>
      <c r="G325" s="23" t="str">
        <f t="shared" si="44"/>
        <v/>
      </c>
      <c r="H325" s="20" t="str">
        <f t="shared" si="49"/>
        <v/>
      </c>
      <c r="I325" t="str">
        <f t="shared" si="45"/>
        <v/>
      </c>
      <c r="J325" s="17" t="str">
        <f t="shared" si="41"/>
        <v/>
      </c>
      <c r="K325" s="18" t="str">
        <f t="shared" si="46"/>
        <v/>
      </c>
      <c r="L325" t="str">
        <f t="shared" si="47"/>
        <v/>
      </c>
      <c r="M325" s="23" t="str">
        <f ca="1">IF(A325="","",IF($B$10="Sí",interpolar_alamb(L325,OFFSET(Curvas_cupon_cero!$A$1,1,0,COUNT(Curvas_cupon_cero!$A:$A)-2,1),OFFSET(Curvas_cupon_cero!$A$1,1,MATCH($B$6,Curvas_cupon_cero!$1:$1,0)-1,COUNT(Curvas_cupon_cero!$A:$A)-2,1)),[1]!interpolar(L325,OFFSET(Curvas_cupon_cero!$A$1,1,0,COUNT(Curvas_cupon_cero!$A:$A)-2,1),OFFSET(Curvas_cupon_cero!$A$1,1,MATCH($B$6,Curvas_cupon_cero!$1:$1,0)-1,COUNT(Curvas_cupon_cero!$A:$A)-2,1))))</f>
        <v/>
      </c>
      <c r="N325" s="23"/>
      <c r="O325" s="19" t="str">
        <f t="shared" si="48"/>
        <v/>
      </c>
    </row>
    <row r="326" spans="1:15" x14ac:dyDescent="0.2">
      <c r="A326" s="12" t="str">
        <f t="shared" si="42"/>
        <v/>
      </c>
      <c r="B326" t="str">
        <f t="shared" si="40"/>
        <v/>
      </c>
      <c r="C326" s="21" t="str">
        <f ca="1">IF(A326="","",IF($B$10="Sí",interpolar_alamb(B326,OFFSET(Curvas_cupon_cero!$A$1,1,0,COUNT(Curvas_cupon_cero!$A:$A)-2,1),OFFSET(Curvas_cupon_cero!$A$1,1,MATCH($B$8,Curvas_cupon_cero!$1:$1,0)-1,COUNT(Curvas_cupon_cero!$A:$A)-2,1)),[1]!interpolar(B326,OFFSET(Curvas_cupon_cero!$A$1,1,0,COUNT(Curvas_cupon_cero!$A:$A)-2,1),OFFSET(Curvas_cupon_cero!$A$1,1,MATCH($B$8,Curvas_cupon_cero!$1:$1,0)-1,COUNT(Curvas_cupon_cero!$A:$A)-2,1))))</f>
        <v/>
      </c>
      <c r="D326" s="23" t="str">
        <f ca="1">IF(A326="","",IF($B$10="Sí",interpolar_alamb(L326,OFFSET(Curvas_cupon_cero!$A$1,1,0,COUNT(Curvas_cupon_cero!$A:$A)-2,1),OFFSET(Curvas_cupon_cero!$A$1,1,MATCH($B$8,Curvas_cupon_cero!$1:$1,0)-1,COUNT(Curvas_cupon_cero!$A:$A)-2,1)),[1]!interpolar(L326,OFFSET(Curvas_cupon_cero!$A$1,1,0,COUNT(Curvas_cupon_cero!$A:$A)-2,1),OFFSET(Curvas_cupon_cero!$A$1,1,MATCH($B$8,Curvas_cupon_cero!$1:$1,0)-1,COUNT(Curvas_cupon_cero!$A:$A)-2,1))))</f>
        <v/>
      </c>
      <c r="E326" s="23" t="str">
        <f t="shared" si="43"/>
        <v/>
      </c>
      <c r="F326" s="23" t="str">
        <f ca="1">IF(A326="","",IF($B$10="Sí",interpolar_alamb(B326,OFFSET(Curvas_cupon_cero!$A$1,1,0,COUNT(Curvas_cupon_cero!$A:$A)-2,1),OFFSET(Curvas_cupon_cero!$A$1,1,MATCH($B$9,Curvas_cupon_cero!$1:$1,0)-1,COUNT(Curvas_cupon_cero!$A:$A)-2,1)),[1]!interpolar(B326,OFFSET(Curvas_cupon_cero!$A$1,1,0,COUNT(Curvas_cupon_cero!$A:$A)-2,1),OFFSET(Curvas_cupon_cero!$A$1,1,MATCH($B$9,Curvas_cupon_cero!$1:$1,0)-1,COUNT(Curvas_cupon_cero!$A:$A)-2,1))))</f>
        <v/>
      </c>
      <c r="G326" s="23" t="str">
        <f t="shared" si="44"/>
        <v/>
      </c>
      <c r="H326" s="20" t="str">
        <f t="shared" si="49"/>
        <v/>
      </c>
      <c r="I326" t="str">
        <f t="shared" si="45"/>
        <v/>
      </c>
      <c r="J326" s="17" t="str">
        <f t="shared" si="41"/>
        <v/>
      </c>
      <c r="K326" s="18" t="str">
        <f t="shared" si="46"/>
        <v/>
      </c>
      <c r="L326" t="str">
        <f t="shared" si="47"/>
        <v/>
      </c>
      <c r="M326" s="23" t="str">
        <f ca="1">IF(A326="","",IF($B$10="Sí",interpolar_alamb(L326,OFFSET(Curvas_cupon_cero!$A$1,1,0,COUNT(Curvas_cupon_cero!$A:$A)-2,1),OFFSET(Curvas_cupon_cero!$A$1,1,MATCH($B$6,Curvas_cupon_cero!$1:$1,0)-1,COUNT(Curvas_cupon_cero!$A:$A)-2,1)),[1]!interpolar(L326,OFFSET(Curvas_cupon_cero!$A$1,1,0,COUNT(Curvas_cupon_cero!$A:$A)-2,1),OFFSET(Curvas_cupon_cero!$A$1,1,MATCH($B$6,Curvas_cupon_cero!$1:$1,0)-1,COUNT(Curvas_cupon_cero!$A:$A)-2,1))))</f>
        <v/>
      </c>
      <c r="N326" s="23"/>
      <c r="O326" s="19" t="str">
        <f t="shared" si="48"/>
        <v/>
      </c>
    </row>
    <row r="327" spans="1:15" x14ac:dyDescent="0.2">
      <c r="A327" s="12" t="str">
        <f t="shared" si="42"/>
        <v/>
      </c>
      <c r="B327" t="str">
        <f t="shared" si="40"/>
        <v/>
      </c>
      <c r="C327" s="21" t="str">
        <f ca="1">IF(A327="","",IF($B$10="Sí",interpolar_alamb(B327,OFFSET(Curvas_cupon_cero!$A$1,1,0,COUNT(Curvas_cupon_cero!$A:$A)-2,1),OFFSET(Curvas_cupon_cero!$A$1,1,MATCH($B$8,Curvas_cupon_cero!$1:$1,0)-1,COUNT(Curvas_cupon_cero!$A:$A)-2,1)),[1]!interpolar(B327,OFFSET(Curvas_cupon_cero!$A$1,1,0,COUNT(Curvas_cupon_cero!$A:$A)-2,1),OFFSET(Curvas_cupon_cero!$A$1,1,MATCH($B$8,Curvas_cupon_cero!$1:$1,0)-1,COUNT(Curvas_cupon_cero!$A:$A)-2,1))))</f>
        <v/>
      </c>
      <c r="D327" s="23" t="str">
        <f ca="1">IF(A327="","",IF($B$10="Sí",interpolar_alamb(L327,OFFSET(Curvas_cupon_cero!$A$1,1,0,COUNT(Curvas_cupon_cero!$A:$A)-2,1),OFFSET(Curvas_cupon_cero!$A$1,1,MATCH($B$8,Curvas_cupon_cero!$1:$1,0)-1,COUNT(Curvas_cupon_cero!$A:$A)-2,1)),[1]!interpolar(L327,OFFSET(Curvas_cupon_cero!$A$1,1,0,COUNT(Curvas_cupon_cero!$A:$A)-2,1),OFFSET(Curvas_cupon_cero!$A$1,1,MATCH($B$8,Curvas_cupon_cero!$1:$1,0)-1,COUNT(Curvas_cupon_cero!$A:$A)-2,1))))</f>
        <v/>
      </c>
      <c r="E327" s="23" t="str">
        <f t="shared" si="43"/>
        <v/>
      </c>
      <c r="F327" s="23" t="str">
        <f ca="1">IF(A327="","",IF($B$10="Sí",interpolar_alamb(B327,OFFSET(Curvas_cupon_cero!$A$1,1,0,COUNT(Curvas_cupon_cero!$A:$A)-2,1),OFFSET(Curvas_cupon_cero!$A$1,1,MATCH($B$9,Curvas_cupon_cero!$1:$1,0)-1,COUNT(Curvas_cupon_cero!$A:$A)-2,1)),[1]!interpolar(B327,OFFSET(Curvas_cupon_cero!$A$1,1,0,COUNT(Curvas_cupon_cero!$A:$A)-2,1),OFFSET(Curvas_cupon_cero!$A$1,1,MATCH($B$9,Curvas_cupon_cero!$1:$1,0)-1,COUNT(Curvas_cupon_cero!$A:$A)-2,1))))</f>
        <v/>
      </c>
      <c r="G327" s="23" t="str">
        <f t="shared" si="44"/>
        <v/>
      </c>
      <c r="H327" s="20" t="str">
        <f t="shared" si="49"/>
        <v/>
      </c>
      <c r="I327" t="str">
        <f t="shared" si="45"/>
        <v/>
      </c>
      <c r="J327" s="17" t="str">
        <f t="shared" si="41"/>
        <v/>
      </c>
      <c r="K327" s="18" t="str">
        <f t="shared" si="46"/>
        <v/>
      </c>
      <c r="L327" t="str">
        <f t="shared" si="47"/>
        <v/>
      </c>
      <c r="M327" s="23" t="str">
        <f ca="1">IF(A327="","",IF($B$10="Sí",interpolar_alamb(L327,OFFSET(Curvas_cupon_cero!$A$1,1,0,COUNT(Curvas_cupon_cero!$A:$A)-2,1),OFFSET(Curvas_cupon_cero!$A$1,1,MATCH($B$6,Curvas_cupon_cero!$1:$1,0)-1,COUNT(Curvas_cupon_cero!$A:$A)-2,1)),[1]!interpolar(L327,OFFSET(Curvas_cupon_cero!$A$1,1,0,COUNT(Curvas_cupon_cero!$A:$A)-2,1),OFFSET(Curvas_cupon_cero!$A$1,1,MATCH($B$6,Curvas_cupon_cero!$1:$1,0)-1,COUNT(Curvas_cupon_cero!$A:$A)-2,1))))</f>
        <v/>
      </c>
      <c r="N327" s="23"/>
      <c r="O327" s="19" t="str">
        <f t="shared" si="48"/>
        <v/>
      </c>
    </row>
    <row r="328" spans="1:15" x14ac:dyDescent="0.2">
      <c r="A328" s="12" t="str">
        <f t="shared" si="42"/>
        <v/>
      </c>
      <c r="B328" t="str">
        <f t="shared" si="40"/>
        <v/>
      </c>
      <c r="C328" s="21" t="str">
        <f ca="1">IF(A328="","",IF($B$10="Sí",interpolar_alamb(B328,OFFSET(Curvas_cupon_cero!$A$1,1,0,COUNT(Curvas_cupon_cero!$A:$A)-2,1),OFFSET(Curvas_cupon_cero!$A$1,1,MATCH($B$8,Curvas_cupon_cero!$1:$1,0)-1,COUNT(Curvas_cupon_cero!$A:$A)-2,1)),[1]!interpolar(B328,OFFSET(Curvas_cupon_cero!$A$1,1,0,COUNT(Curvas_cupon_cero!$A:$A)-2,1),OFFSET(Curvas_cupon_cero!$A$1,1,MATCH($B$8,Curvas_cupon_cero!$1:$1,0)-1,COUNT(Curvas_cupon_cero!$A:$A)-2,1))))</f>
        <v/>
      </c>
      <c r="D328" s="23" t="str">
        <f ca="1">IF(A328="","",IF($B$10="Sí",interpolar_alamb(L328,OFFSET(Curvas_cupon_cero!$A$1,1,0,COUNT(Curvas_cupon_cero!$A:$A)-2,1),OFFSET(Curvas_cupon_cero!$A$1,1,MATCH($B$8,Curvas_cupon_cero!$1:$1,0)-1,COUNT(Curvas_cupon_cero!$A:$A)-2,1)),[1]!interpolar(L328,OFFSET(Curvas_cupon_cero!$A$1,1,0,COUNT(Curvas_cupon_cero!$A:$A)-2,1),OFFSET(Curvas_cupon_cero!$A$1,1,MATCH($B$8,Curvas_cupon_cero!$1:$1,0)-1,COUNT(Curvas_cupon_cero!$A:$A)-2,1))))</f>
        <v/>
      </c>
      <c r="E328" s="23" t="str">
        <f t="shared" si="43"/>
        <v/>
      </c>
      <c r="F328" s="23" t="str">
        <f ca="1">IF(A328="","",IF($B$10="Sí",interpolar_alamb(B328,OFFSET(Curvas_cupon_cero!$A$1,1,0,COUNT(Curvas_cupon_cero!$A:$A)-2,1),OFFSET(Curvas_cupon_cero!$A$1,1,MATCH($B$9,Curvas_cupon_cero!$1:$1,0)-1,COUNT(Curvas_cupon_cero!$A:$A)-2,1)),[1]!interpolar(B328,OFFSET(Curvas_cupon_cero!$A$1,1,0,COUNT(Curvas_cupon_cero!$A:$A)-2,1),OFFSET(Curvas_cupon_cero!$A$1,1,MATCH($B$9,Curvas_cupon_cero!$1:$1,0)-1,COUNT(Curvas_cupon_cero!$A:$A)-2,1))))</f>
        <v/>
      </c>
      <c r="G328" s="23" t="str">
        <f t="shared" si="44"/>
        <v/>
      </c>
      <c r="H328" s="20" t="str">
        <f t="shared" si="49"/>
        <v/>
      </c>
      <c r="I328" t="str">
        <f t="shared" si="45"/>
        <v/>
      </c>
      <c r="J328" s="17" t="str">
        <f t="shared" si="41"/>
        <v/>
      </c>
      <c r="K328" s="18" t="str">
        <f t="shared" si="46"/>
        <v/>
      </c>
      <c r="L328" t="str">
        <f t="shared" si="47"/>
        <v/>
      </c>
      <c r="M328" s="23" t="str">
        <f ca="1">IF(A328="","",IF($B$10="Sí",interpolar_alamb(L328,OFFSET(Curvas_cupon_cero!$A$1,1,0,COUNT(Curvas_cupon_cero!$A:$A)-2,1),OFFSET(Curvas_cupon_cero!$A$1,1,MATCH($B$6,Curvas_cupon_cero!$1:$1,0)-1,COUNT(Curvas_cupon_cero!$A:$A)-2,1)),[1]!interpolar(L328,OFFSET(Curvas_cupon_cero!$A$1,1,0,COUNT(Curvas_cupon_cero!$A:$A)-2,1),OFFSET(Curvas_cupon_cero!$A$1,1,MATCH($B$6,Curvas_cupon_cero!$1:$1,0)-1,COUNT(Curvas_cupon_cero!$A:$A)-2,1))))</f>
        <v/>
      </c>
      <c r="N328" s="23"/>
      <c r="O328" s="19" t="str">
        <f t="shared" si="48"/>
        <v/>
      </c>
    </row>
    <row r="329" spans="1:15" x14ac:dyDescent="0.2">
      <c r="A329" s="12" t="str">
        <f t="shared" si="42"/>
        <v/>
      </c>
      <c r="B329" t="str">
        <f t="shared" si="40"/>
        <v/>
      </c>
      <c r="C329" s="21" t="str">
        <f ca="1">IF(A329="","",IF($B$10="Sí",interpolar_alamb(B329,OFFSET(Curvas_cupon_cero!$A$1,1,0,COUNT(Curvas_cupon_cero!$A:$A)-2,1),OFFSET(Curvas_cupon_cero!$A$1,1,MATCH($B$8,Curvas_cupon_cero!$1:$1,0)-1,COUNT(Curvas_cupon_cero!$A:$A)-2,1)),[1]!interpolar(B329,OFFSET(Curvas_cupon_cero!$A$1,1,0,COUNT(Curvas_cupon_cero!$A:$A)-2,1),OFFSET(Curvas_cupon_cero!$A$1,1,MATCH($B$8,Curvas_cupon_cero!$1:$1,0)-1,COUNT(Curvas_cupon_cero!$A:$A)-2,1))))</f>
        <v/>
      </c>
      <c r="D329" s="23" t="str">
        <f ca="1">IF(A329="","",IF($B$10="Sí",interpolar_alamb(L329,OFFSET(Curvas_cupon_cero!$A$1,1,0,COUNT(Curvas_cupon_cero!$A:$A)-2,1),OFFSET(Curvas_cupon_cero!$A$1,1,MATCH($B$8,Curvas_cupon_cero!$1:$1,0)-1,COUNT(Curvas_cupon_cero!$A:$A)-2,1)),[1]!interpolar(L329,OFFSET(Curvas_cupon_cero!$A$1,1,0,COUNT(Curvas_cupon_cero!$A:$A)-2,1),OFFSET(Curvas_cupon_cero!$A$1,1,MATCH($B$8,Curvas_cupon_cero!$1:$1,0)-1,COUNT(Curvas_cupon_cero!$A:$A)-2,1))))</f>
        <v/>
      </c>
      <c r="E329" s="23" t="str">
        <f t="shared" si="43"/>
        <v/>
      </c>
      <c r="F329" s="23" t="str">
        <f ca="1">IF(A329="","",IF($B$10="Sí",interpolar_alamb(B329,OFFSET(Curvas_cupon_cero!$A$1,1,0,COUNT(Curvas_cupon_cero!$A:$A)-2,1),OFFSET(Curvas_cupon_cero!$A$1,1,MATCH($B$9,Curvas_cupon_cero!$1:$1,0)-1,COUNT(Curvas_cupon_cero!$A:$A)-2,1)),[1]!interpolar(B329,OFFSET(Curvas_cupon_cero!$A$1,1,0,COUNT(Curvas_cupon_cero!$A:$A)-2,1),OFFSET(Curvas_cupon_cero!$A$1,1,MATCH($B$9,Curvas_cupon_cero!$1:$1,0)-1,COUNT(Curvas_cupon_cero!$A:$A)-2,1))))</f>
        <v/>
      </c>
      <c r="G329" s="23" t="str">
        <f t="shared" si="44"/>
        <v/>
      </c>
      <c r="H329" s="20" t="str">
        <f t="shared" si="49"/>
        <v/>
      </c>
      <c r="I329" t="str">
        <f t="shared" si="45"/>
        <v/>
      </c>
      <c r="J329" s="17" t="str">
        <f t="shared" si="41"/>
        <v/>
      </c>
      <c r="K329" s="18" t="str">
        <f t="shared" si="46"/>
        <v/>
      </c>
      <c r="L329" t="str">
        <f t="shared" si="47"/>
        <v/>
      </c>
      <c r="M329" s="23" t="str">
        <f ca="1">IF(A329="","",IF($B$10="Sí",interpolar_alamb(L329,OFFSET(Curvas_cupon_cero!$A$1,1,0,COUNT(Curvas_cupon_cero!$A:$A)-2,1),OFFSET(Curvas_cupon_cero!$A$1,1,MATCH($B$6,Curvas_cupon_cero!$1:$1,0)-1,COUNT(Curvas_cupon_cero!$A:$A)-2,1)),[1]!interpolar(L329,OFFSET(Curvas_cupon_cero!$A$1,1,0,COUNT(Curvas_cupon_cero!$A:$A)-2,1),OFFSET(Curvas_cupon_cero!$A$1,1,MATCH($B$6,Curvas_cupon_cero!$1:$1,0)-1,COUNT(Curvas_cupon_cero!$A:$A)-2,1))))</f>
        <v/>
      </c>
      <c r="N329" s="23"/>
      <c r="O329" s="19" t="str">
        <f t="shared" si="48"/>
        <v/>
      </c>
    </row>
    <row r="330" spans="1:15" x14ac:dyDescent="0.2">
      <c r="A330" s="12" t="str">
        <f t="shared" si="42"/>
        <v/>
      </c>
      <c r="B330" t="str">
        <f t="shared" si="40"/>
        <v/>
      </c>
      <c r="C330" s="21" t="str">
        <f ca="1">IF(A330="","",IF($B$10="Sí",interpolar_alamb(B330,OFFSET(Curvas_cupon_cero!$A$1,1,0,COUNT(Curvas_cupon_cero!$A:$A)-2,1),OFFSET(Curvas_cupon_cero!$A$1,1,MATCH($B$8,Curvas_cupon_cero!$1:$1,0)-1,COUNT(Curvas_cupon_cero!$A:$A)-2,1)),[1]!interpolar(B330,OFFSET(Curvas_cupon_cero!$A$1,1,0,COUNT(Curvas_cupon_cero!$A:$A)-2,1),OFFSET(Curvas_cupon_cero!$A$1,1,MATCH($B$8,Curvas_cupon_cero!$1:$1,0)-1,COUNT(Curvas_cupon_cero!$A:$A)-2,1))))</f>
        <v/>
      </c>
      <c r="D330" s="23" t="str">
        <f ca="1">IF(A330="","",IF($B$10="Sí",interpolar_alamb(L330,OFFSET(Curvas_cupon_cero!$A$1,1,0,COUNT(Curvas_cupon_cero!$A:$A)-2,1),OFFSET(Curvas_cupon_cero!$A$1,1,MATCH($B$8,Curvas_cupon_cero!$1:$1,0)-1,COUNT(Curvas_cupon_cero!$A:$A)-2,1)),[1]!interpolar(L330,OFFSET(Curvas_cupon_cero!$A$1,1,0,COUNT(Curvas_cupon_cero!$A:$A)-2,1),OFFSET(Curvas_cupon_cero!$A$1,1,MATCH($B$8,Curvas_cupon_cero!$1:$1,0)-1,COUNT(Curvas_cupon_cero!$A:$A)-2,1))))</f>
        <v/>
      </c>
      <c r="E330" s="23" t="str">
        <f t="shared" si="43"/>
        <v/>
      </c>
      <c r="F330" s="23" t="str">
        <f ca="1">IF(A330="","",IF($B$10="Sí",interpolar_alamb(B330,OFFSET(Curvas_cupon_cero!$A$1,1,0,COUNT(Curvas_cupon_cero!$A:$A)-2,1),OFFSET(Curvas_cupon_cero!$A$1,1,MATCH($B$9,Curvas_cupon_cero!$1:$1,0)-1,COUNT(Curvas_cupon_cero!$A:$A)-2,1)),[1]!interpolar(B330,OFFSET(Curvas_cupon_cero!$A$1,1,0,COUNT(Curvas_cupon_cero!$A:$A)-2,1),OFFSET(Curvas_cupon_cero!$A$1,1,MATCH($B$9,Curvas_cupon_cero!$1:$1,0)-1,COUNT(Curvas_cupon_cero!$A:$A)-2,1))))</f>
        <v/>
      </c>
      <c r="G330" s="23" t="str">
        <f t="shared" si="44"/>
        <v/>
      </c>
      <c r="H330" s="20" t="str">
        <f t="shared" si="49"/>
        <v/>
      </c>
      <c r="I330" t="str">
        <f t="shared" si="45"/>
        <v/>
      </c>
      <c r="J330" s="17" t="str">
        <f t="shared" si="41"/>
        <v/>
      </c>
      <c r="K330" s="18" t="str">
        <f t="shared" si="46"/>
        <v/>
      </c>
      <c r="L330" t="str">
        <f t="shared" si="47"/>
        <v/>
      </c>
      <c r="M330" s="23" t="str">
        <f ca="1">IF(A330="","",IF($B$10="Sí",interpolar_alamb(L330,OFFSET(Curvas_cupon_cero!$A$1,1,0,COUNT(Curvas_cupon_cero!$A:$A)-2,1),OFFSET(Curvas_cupon_cero!$A$1,1,MATCH($B$6,Curvas_cupon_cero!$1:$1,0)-1,COUNT(Curvas_cupon_cero!$A:$A)-2,1)),[1]!interpolar(L330,OFFSET(Curvas_cupon_cero!$A$1,1,0,COUNT(Curvas_cupon_cero!$A:$A)-2,1),OFFSET(Curvas_cupon_cero!$A$1,1,MATCH($B$6,Curvas_cupon_cero!$1:$1,0)-1,COUNT(Curvas_cupon_cero!$A:$A)-2,1))))</f>
        <v/>
      </c>
      <c r="N330" s="23"/>
      <c r="O330" s="19" t="str">
        <f t="shared" si="48"/>
        <v/>
      </c>
    </row>
    <row r="331" spans="1:15" x14ac:dyDescent="0.2">
      <c r="A331" s="12" t="str">
        <f t="shared" si="42"/>
        <v/>
      </c>
      <c r="B331" t="str">
        <f t="shared" si="40"/>
        <v/>
      </c>
      <c r="C331" s="21" t="str">
        <f ca="1">IF(A331="","",IF($B$10="Sí",interpolar_alamb(B331,OFFSET(Curvas_cupon_cero!$A$1,1,0,COUNT(Curvas_cupon_cero!$A:$A)-2,1),OFFSET(Curvas_cupon_cero!$A$1,1,MATCH($B$8,Curvas_cupon_cero!$1:$1,0)-1,COUNT(Curvas_cupon_cero!$A:$A)-2,1)),[1]!interpolar(B331,OFFSET(Curvas_cupon_cero!$A$1,1,0,COUNT(Curvas_cupon_cero!$A:$A)-2,1),OFFSET(Curvas_cupon_cero!$A$1,1,MATCH($B$8,Curvas_cupon_cero!$1:$1,0)-1,COUNT(Curvas_cupon_cero!$A:$A)-2,1))))</f>
        <v/>
      </c>
      <c r="D331" s="23" t="str">
        <f ca="1">IF(A331="","",IF($B$10="Sí",interpolar_alamb(L331,OFFSET(Curvas_cupon_cero!$A$1,1,0,COUNT(Curvas_cupon_cero!$A:$A)-2,1),OFFSET(Curvas_cupon_cero!$A$1,1,MATCH($B$8,Curvas_cupon_cero!$1:$1,0)-1,COUNT(Curvas_cupon_cero!$A:$A)-2,1)),[1]!interpolar(L331,OFFSET(Curvas_cupon_cero!$A$1,1,0,COUNT(Curvas_cupon_cero!$A:$A)-2,1),OFFSET(Curvas_cupon_cero!$A$1,1,MATCH($B$8,Curvas_cupon_cero!$1:$1,0)-1,COUNT(Curvas_cupon_cero!$A:$A)-2,1))))</f>
        <v/>
      </c>
      <c r="E331" s="23" t="str">
        <f t="shared" si="43"/>
        <v/>
      </c>
      <c r="F331" s="23" t="str">
        <f ca="1">IF(A331="","",IF($B$10="Sí",interpolar_alamb(B331,OFFSET(Curvas_cupon_cero!$A$1,1,0,COUNT(Curvas_cupon_cero!$A:$A)-2,1),OFFSET(Curvas_cupon_cero!$A$1,1,MATCH($B$9,Curvas_cupon_cero!$1:$1,0)-1,COUNT(Curvas_cupon_cero!$A:$A)-2,1)),[1]!interpolar(B331,OFFSET(Curvas_cupon_cero!$A$1,1,0,COUNT(Curvas_cupon_cero!$A:$A)-2,1),OFFSET(Curvas_cupon_cero!$A$1,1,MATCH($B$9,Curvas_cupon_cero!$1:$1,0)-1,COUNT(Curvas_cupon_cero!$A:$A)-2,1))))</f>
        <v/>
      </c>
      <c r="G331" s="23" t="str">
        <f t="shared" si="44"/>
        <v/>
      </c>
      <c r="H331" s="20" t="str">
        <f t="shared" si="49"/>
        <v/>
      </c>
      <c r="I331" t="str">
        <f t="shared" si="45"/>
        <v/>
      </c>
      <c r="J331" s="17" t="str">
        <f t="shared" si="41"/>
        <v/>
      </c>
      <c r="K331" s="18" t="str">
        <f t="shared" si="46"/>
        <v/>
      </c>
      <c r="L331" t="str">
        <f t="shared" si="47"/>
        <v/>
      </c>
      <c r="M331" s="23" t="str">
        <f ca="1">IF(A331="","",IF($B$10="Sí",interpolar_alamb(L331,OFFSET(Curvas_cupon_cero!$A$1,1,0,COUNT(Curvas_cupon_cero!$A:$A)-2,1),OFFSET(Curvas_cupon_cero!$A$1,1,MATCH($B$6,Curvas_cupon_cero!$1:$1,0)-1,COUNT(Curvas_cupon_cero!$A:$A)-2,1)),[1]!interpolar(L331,OFFSET(Curvas_cupon_cero!$A$1,1,0,COUNT(Curvas_cupon_cero!$A:$A)-2,1),OFFSET(Curvas_cupon_cero!$A$1,1,MATCH($B$6,Curvas_cupon_cero!$1:$1,0)-1,COUNT(Curvas_cupon_cero!$A:$A)-2,1))))</f>
        <v/>
      </c>
      <c r="N331" s="23"/>
      <c r="O331" s="19" t="str">
        <f t="shared" si="48"/>
        <v/>
      </c>
    </row>
    <row r="332" spans="1:15" x14ac:dyDescent="0.2">
      <c r="A332" s="12" t="str">
        <f t="shared" si="42"/>
        <v/>
      </c>
      <c r="B332" t="str">
        <f t="shared" si="40"/>
        <v/>
      </c>
      <c r="C332" s="21" t="str">
        <f ca="1">IF(A332="","",IF($B$10="Sí",interpolar_alamb(B332,OFFSET(Curvas_cupon_cero!$A$1,1,0,COUNT(Curvas_cupon_cero!$A:$A)-2,1),OFFSET(Curvas_cupon_cero!$A$1,1,MATCH($B$8,Curvas_cupon_cero!$1:$1,0)-1,COUNT(Curvas_cupon_cero!$A:$A)-2,1)),[1]!interpolar(B332,OFFSET(Curvas_cupon_cero!$A$1,1,0,COUNT(Curvas_cupon_cero!$A:$A)-2,1),OFFSET(Curvas_cupon_cero!$A$1,1,MATCH($B$8,Curvas_cupon_cero!$1:$1,0)-1,COUNT(Curvas_cupon_cero!$A:$A)-2,1))))</f>
        <v/>
      </c>
      <c r="D332" s="23" t="str">
        <f ca="1">IF(A332="","",IF($B$10="Sí",interpolar_alamb(L332,OFFSET(Curvas_cupon_cero!$A$1,1,0,COUNT(Curvas_cupon_cero!$A:$A)-2,1),OFFSET(Curvas_cupon_cero!$A$1,1,MATCH($B$8,Curvas_cupon_cero!$1:$1,0)-1,COUNT(Curvas_cupon_cero!$A:$A)-2,1)),[1]!interpolar(L332,OFFSET(Curvas_cupon_cero!$A$1,1,0,COUNT(Curvas_cupon_cero!$A:$A)-2,1),OFFSET(Curvas_cupon_cero!$A$1,1,MATCH($B$8,Curvas_cupon_cero!$1:$1,0)-1,COUNT(Curvas_cupon_cero!$A:$A)-2,1))))</f>
        <v/>
      </c>
      <c r="E332" s="23" t="str">
        <f t="shared" si="43"/>
        <v/>
      </c>
      <c r="F332" s="23" t="str">
        <f ca="1">IF(A332="","",IF($B$10="Sí",interpolar_alamb(B332,OFFSET(Curvas_cupon_cero!$A$1,1,0,COUNT(Curvas_cupon_cero!$A:$A)-2,1),OFFSET(Curvas_cupon_cero!$A$1,1,MATCH($B$9,Curvas_cupon_cero!$1:$1,0)-1,COUNT(Curvas_cupon_cero!$A:$A)-2,1)),[1]!interpolar(B332,OFFSET(Curvas_cupon_cero!$A$1,1,0,COUNT(Curvas_cupon_cero!$A:$A)-2,1),OFFSET(Curvas_cupon_cero!$A$1,1,MATCH($B$9,Curvas_cupon_cero!$1:$1,0)-1,COUNT(Curvas_cupon_cero!$A:$A)-2,1))))</f>
        <v/>
      </c>
      <c r="G332" s="23" t="str">
        <f t="shared" si="44"/>
        <v/>
      </c>
      <c r="H332" s="20" t="str">
        <f t="shared" si="49"/>
        <v/>
      </c>
      <c r="I332" t="str">
        <f t="shared" si="45"/>
        <v/>
      </c>
      <c r="J332" s="17" t="str">
        <f t="shared" si="41"/>
        <v/>
      </c>
      <c r="K332" s="18" t="str">
        <f t="shared" si="46"/>
        <v/>
      </c>
      <c r="L332" t="str">
        <f t="shared" si="47"/>
        <v/>
      </c>
      <c r="M332" s="23" t="str">
        <f ca="1">IF(A332="","",IF($B$10="Sí",interpolar_alamb(L332,OFFSET(Curvas_cupon_cero!$A$1,1,0,COUNT(Curvas_cupon_cero!$A:$A)-2,1),OFFSET(Curvas_cupon_cero!$A$1,1,MATCH($B$6,Curvas_cupon_cero!$1:$1,0)-1,COUNT(Curvas_cupon_cero!$A:$A)-2,1)),[1]!interpolar(L332,OFFSET(Curvas_cupon_cero!$A$1,1,0,COUNT(Curvas_cupon_cero!$A:$A)-2,1),OFFSET(Curvas_cupon_cero!$A$1,1,MATCH($B$6,Curvas_cupon_cero!$1:$1,0)-1,COUNT(Curvas_cupon_cero!$A:$A)-2,1))))</f>
        <v/>
      </c>
      <c r="N332" s="23"/>
      <c r="O332" s="19" t="str">
        <f t="shared" si="48"/>
        <v/>
      </c>
    </row>
    <row r="333" spans="1:15" x14ac:dyDescent="0.2">
      <c r="A333" s="12" t="str">
        <f t="shared" si="42"/>
        <v/>
      </c>
      <c r="B333" t="str">
        <f t="shared" si="40"/>
        <v/>
      </c>
      <c r="C333" s="21" t="str">
        <f ca="1">IF(A333="","",IF($B$10="Sí",interpolar_alamb(B333,OFFSET(Curvas_cupon_cero!$A$1,1,0,COUNT(Curvas_cupon_cero!$A:$A)-2,1),OFFSET(Curvas_cupon_cero!$A$1,1,MATCH($B$8,Curvas_cupon_cero!$1:$1,0)-1,COUNT(Curvas_cupon_cero!$A:$A)-2,1)),[1]!interpolar(B333,OFFSET(Curvas_cupon_cero!$A$1,1,0,COUNT(Curvas_cupon_cero!$A:$A)-2,1),OFFSET(Curvas_cupon_cero!$A$1,1,MATCH($B$8,Curvas_cupon_cero!$1:$1,0)-1,COUNT(Curvas_cupon_cero!$A:$A)-2,1))))</f>
        <v/>
      </c>
      <c r="D333" s="23" t="str">
        <f ca="1">IF(A333="","",IF($B$10="Sí",interpolar_alamb(L333,OFFSET(Curvas_cupon_cero!$A$1,1,0,COUNT(Curvas_cupon_cero!$A:$A)-2,1),OFFSET(Curvas_cupon_cero!$A$1,1,MATCH($B$8,Curvas_cupon_cero!$1:$1,0)-1,COUNT(Curvas_cupon_cero!$A:$A)-2,1)),[1]!interpolar(L333,OFFSET(Curvas_cupon_cero!$A$1,1,0,COUNT(Curvas_cupon_cero!$A:$A)-2,1),OFFSET(Curvas_cupon_cero!$A$1,1,MATCH($B$8,Curvas_cupon_cero!$1:$1,0)-1,COUNT(Curvas_cupon_cero!$A:$A)-2,1))))</f>
        <v/>
      </c>
      <c r="E333" s="23" t="str">
        <f t="shared" si="43"/>
        <v/>
      </c>
      <c r="F333" s="23" t="str">
        <f ca="1">IF(A333="","",IF($B$10="Sí",interpolar_alamb(B333,OFFSET(Curvas_cupon_cero!$A$1,1,0,COUNT(Curvas_cupon_cero!$A:$A)-2,1),OFFSET(Curvas_cupon_cero!$A$1,1,MATCH($B$9,Curvas_cupon_cero!$1:$1,0)-1,COUNT(Curvas_cupon_cero!$A:$A)-2,1)),[1]!interpolar(B333,OFFSET(Curvas_cupon_cero!$A$1,1,0,COUNT(Curvas_cupon_cero!$A:$A)-2,1),OFFSET(Curvas_cupon_cero!$A$1,1,MATCH($B$9,Curvas_cupon_cero!$1:$1,0)-1,COUNT(Curvas_cupon_cero!$A:$A)-2,1))))</f>
        <v/>
      </c>
      <c r="G333" s="23" t="str">
        <f t="shared" si="44"/>
        <v/>
      </c>
      <c r="H333" s="20" t="str">
        <f t="shared" si="49"/>
        <v/>
      </c>
      <c r="I333" t="str">
        <f t="shared" si="45"/>
        <v/>
      </c>
      <c r="J333" s="17" t="str">
        <f t="shared" si="41"/>
        <v/>
      </c>
      <c r="K333" s="18" t="str">
        <f t="shared" si="46"/>
        <v/>
      </c>
      <c r="L333" t="str">
        <f t="shared" si="47"/>
        <v/>
      </c>
      <c r="M333" s="23" t="str">
        <f ca="1">IF(A333="","",IF($B$10="Sí",interpolar_alamb(L333,OFFSET(Curvas_cupon_cero!$A$1,1,0,COUNT(Curvas_cupon_cero!$A:$A)-2,1),OFFSET(Curvas_cupon_cero!$A$1,1,MATCH($B$6,Curvas_cupon_cero!$1:$1,0)-1,COUNT(Curvas_cupon_cero!$A:$A)-2,1)),[1]!interpolar(L333,OFFSET(Curvas_cupon_cero!$A$1,1,0,COUNT(Curvas_cupon_cero!$A:$A)-2,1),OFFSET(Curvas_cupon_cero!$A$1,1,MATCH($B$6,Curvas_cupon_cero!$1:$1,0)-1,COUNT(Curvas_cupon_cero!$A:$A)-2,1))))</f>
        <v/>
      </c>
      <c r="N333" s="23"/>
      <c r="O333" s="19" t="str">
        <f t="shared" si="48"/>
        <v/>
      </c>
    </row>
    <row r="334" spans="1:15" x14ac:dyDescent="0.2">
      <c r="A334" s="12" t="str">
        <f t="shared" si="42"/>
        <v/>
      </c>
      <c r="B334" t="str">
        <f t="shared" si="40"/>
        <v/>
      </c>
      <c r="C334" s="21" t="str">
        <f ca="1">IF(A334="","",IF($B$10="Sí",interpolar_alamb(B334,OFFSET(Curvas_cupon_cero!$A$1,1,0,COUNT(Curvas_cupon_cero!$A:$A)-2,1),OFFSET(Curvas_cupon_cero!$A$1,1,MATCH($B$8,Curvas_cupon_cero!$1:$1,0)-1,COUNT(Curvas_cupon_cero!$A:$A)-2,1)),[1]!interpolar(B334,OFFSET(Curvas_cupon_cero!$A$1,1,0,COUNT(Curvas_cupon_cero!$A:$A)-2,1),OFFSET(Curvas_cupon_cero!$A$1,1,MATCH($B$8,Curvas_cupon_cero!$1:$1,0)-1,COUNT(Curvas_cupon_cero!$A:$A)-2,1))))</f>
        <v/>
      </c>
      <c r="D334" s="23" t="str">
        <f ca="1">IF(A334="","",IF($B$10="Sí",interpolar_alamb(L334,OFFSET(Curvas_cupon_cero!$A$1,1,0,COUNT(Curvas_cupon_cero!$A:$A)-2,1),OFFSET(Curvas_cupon_cero!$A$1,1,MATCH($B$8,Curvas_cupon_cero!$1:$1,0)-1,COUNT(Curvas_cupon_cero!$A:$A)-2,1)),[1]!interpolar(L334,OFFSET(Curvas_cupon_cero!$A$1,1,0,COUNT(Curvas_cupon_cero!$A:$A)-2,1),OFFSET(Curvas_cupon_cero!$A$1,1,MATCH($B$8,Curvas_cupon_cero!$1:$1,0)-1,COUNT(Curvas_cupon_cero!$A:$A)-2,1))))</f>
        <v/>
      </c>
      <c r="E334" s="23" t="str">
        <f t="shared" si="43"/>
        <v/>
      </c>
      <c r="F334" s="23" t="str">
        <f ca="1">IF(A334="","",IF($B$10="Sí",interpolar_alamb(B334,OFFSET(Curvas_cupon_cero!$A$1,1,0,COUNT(Curvas_cupon_cero!$A:$A)-2,1),OFFSET(Curvas_cupon_cero!$A$1,1,MATCH($B$9,Curvas_cupon_cero!$1:$1,0)-1,COUNT(Curvas_cupon_cero!$A:$A)-2,1)),[1]!interpolar(B334,OFFSET(Curvas_cupon_cero!$A$1,1,0,COUNT(Curvas_cupon_cero!$A:$A)-2,1),OFFSET(Curvas_cupon_cero!$A$1,1,MATCH($B$9,Curvas_cupon_cero!$1:$1,0)-1,COUNT(Curvas_cupon_cero!$A:$A)-2,1))))</f>
        <v/>
      </c>
      <c r="G334" s="23" t="str">
        <f t="shared" si="44"/>
        <v/>
      </c>
      <c r="H334" s="20" t="str">
        <f t="shared" si="49"/>
        <v/>
      </c>
      <c r="I334" t="str">
        <f t="shared" si="45"/>
        <v/>
      </c>
      <c r="J334" s="17" t="str">
        <f t="shared" si="41"/>
        <v/>
      </c>
      <c r="K334" s="18" t="str">
        <f t="shared" si="46"/>
        <v/>
      </c>
      <c r="L334" t="str">
        <f t="shared" si="47"/>
        <v/>
      </c>
      <c r="M334" s="23" t="str">
        <f ca="1">IF(A334="","",IF($B$10="Sí",interpolar_alamb(L334,OFFSET(Curvas_cupon_cero!$A$1,1,0,COUNT(Curvas_cupon_cero!$A:$A)-2,1),OFFSET(Curvas_cupon_cero!$A$1,1,MATCH($B$6,Curvas_cupon_cero!$1:$1,0)-1,COUNT(Curvas_cupon_cero!$A:$A)-2,1)),[1]!interpolar(L334,OFFSET(Curvas_cupon_cero!$A$1,1,0,COUNT(Curvas_cupon_cero!$A:$A)-2,1),OFFSET(Curvas_cupon_cero!$A$1,1,MATCH($B$6,Curvas_cupon_cero!$1:$1,0)-1,COUNT(Curvas_cupon_cero!$A:$A)-2,1))))</f>
        <v/>
      </c>
      <c r="N334" s="23"/>
      <c r="O334" s="19" t="str">
        <f t="shared" si="48"/>
        <v/>
      </c>
    </row>
    <row r="335" spans="1:15" x14ac:dyDescent="0.2">
      <c r="A335" s="12" t="str">
        <f t="shared" si="42"/>
        <v/>
      </c>
      <c r="B335" t="str">
        <f t="shared" si="40"/>
        <v/>
      </c>
      <c r="C335" s="21" t="str">
        <f ca="1">IF(A335="","",IF($B$10="Sí",interpolar_alamb(B335,OFFSET(Curvas_cupon_cero!$A$1,1,0,COUNT(Curvas_cupon_cero!$A:$A)-2,1),OFFSET(Curvas_cupon_cero!$A$1,1,MATCH($B$8,Curvas_cupon_cero!$1:$1,0)-1,COUNT(Curvas_cupon_cero!$A:$A)-2,1)),[1]!interpolar(B335,OFFSET(Curvas_cupon_cero!$A$1,1,0,COUNT(Curvas_cupon_cero!$A:$A)-2,1),OFFSET(Curvas_cupon_cero!$A$1,1,MATCH($B$8,Curvas_cupon_cero!$1:$1,0)-1,COUNT(Curvas_cupon_cero!$A:$A)-2,1))))</f>
        <v/>
      </c>
      <c r="D335" s="23" t="str">
        <f ca="1">IF(A335="","",IF($B$10="Sí",interpolar_alamb(L335,OFFSET(Curvas_cupon_cero!$A$1,1,0,COUNT(Curvas_cupon_cero!$A:$A)-2,1),OFFSET(Curvas_cupon_cero!$A$1,1,MATCH($B$8,Curvas_cupon_cero!$1:$1,0)-1,COUNT(Curvas_cupon_cero!$A:$A)-2,1)),[1]!interpolar(L335,OFFSET(Curvas_cupon_cero!$A$1,1,0,COUNT(Curvas_cupon_cero!$A:$A)-2,1),OFFSET(Curvas_cupon_cero!$A$1,1,MATCH($B$8,Curvas_cupon_cero!$1:$1,0)-1,COUNT(Curvas_cupon_cero!$A:$A)-2,1))))</f>
        <v/>
      </c>
      <c r="E335" s="23" t="str">
        <f t="shared" si="43"/>
        <v/>
      </c>
      <c r="F335" s="23" t="str">
        <f ca="1">IF(A335="","",IF($B$10="Sí",interpolar_alamb(B335,OFFSET(Curvas_cupon_cero!$A$1,1,0,COUNT(Curvas_cupon_cero!$A:$A)-2,1),OFFSET(Curvas_cupon_cero!$A$1,1,MATCH($B$9,Curvas_cupon_cero!$1:$1,0)-1,COUNT(Curvas_cupon_cero!$A:$A)-2,1)),[1]!interpolar(B335,OFFSET(Curvas_cupon_cero!$A$1,1,0,COUNT(Curvas_cupon_cero!$A:$A)-2,1),OFFSET(Curvas_cupon_cero!$A$1,1,MATCH($B$9,Curvas_cupon_cero!$1:$1,0)-1,COUNT(Curvas_cupon_cero!$A:$A)-2,1))))</f>
        <v/>
      </c>
      <c r="G335" s="23" t="str">
        <f t="shared" si="44"/>
        <v/>
      </c>
      <c r="H335" s="20" t="str">
        <f t="shared" si="49"/>
        <v/>
      </c>
      <c r="I335" t="str">
        <f t="shared" si="45"/>
        <v/>
      </c>
      <c r="J335" s="17" t="str">
        <f t="shared" si="41"/>
        <v/>
      </c>
      <c r="K335" s="18" t="str">
        <f t="shared" si="46"/>
        <v/>
      </c>
      <c r="L335" t="str">
        <f t="shared" si="47"/>
        <v/>
      </c>
      <c r="M335" s="23" t="str">
        <f ca="1">IF(A335="","",IF($B$10="Sí",interpolar_alamb(L335,OFFSET(Curvas_cupon_cero!$A$1,1,0,COUNT(Curvas_cupon_cero!$A:$A)-2,1),OFFSET(Curvas_cupon_cero!$A$1,1,MATCH($B$6,Curvas_cupon_cero!$1:$1,0)-1,COUNT(Curvas_cupon_cero!$A:$A)-2,1)),[1]!interpolar(L335,OFFSET(Curvas_cupon_cero!$A$1,1,0,COUNT(Curvas_cupon_cero!$A:$A)-2,1),OFFSET(Curvas_cupon_cero!$A$1,1,MATCH($B$6,Curvas_cupon_cero!$1:$1,0)-1,COUNT(Curvas_cupon_cero!$A:$A)-2,1))))</f>
        <v/>
      </c>
      <c r="N335" s="23"/>
      <c r="O335" s="19" t="str">
        <f t="shared" si="48"/>
        <v/>
      </c>
    </row>
    <row r="336" spans="1:15" x14ac:dyDescent="0.2">
      <c r="A336" s="12" t="str">
        <f t="shared" si="42"/>
        <v/>
      </c>
      <c r="B336" t="str">
        <f t="shared" si="40"/>
        <v/>
      </c>
      <c r="C336" s="21" t="str">
        <f ca="1">IF(A336="","",IF($B$10="Sí",interpolar_alamb(B336,OFFSET(Curvas_cupon_cero!$A$1,1,0,COUNT(Curvas_cupon_cero!$A:$A)-2,1),OFFSET(Curvas_cupon_cero!$A$1,1,MATCH($B$8,Curvas_cupon_cero!$1:$1,0)-1,COUNT(Curvas_cupon_cero!$A:$A)-2,1)),[1]!interpolar(B336,OFFSET(Curvas_cupon_cero!$A$1,1,0,COUNT(Curvas_cupon_cero!$A:$A)-2,1),OFFSET(Curvas_cupon_cero!$A$1,1,MATCH($B$8,Curvas_cupon_cero!$1:$1,0)-1,COUNT(Curvas_cupon_cero!$A:$A)-2,1))))</f>
        <v/>
      </c>
      <c r="D336" s="23" t="str">
        <f ca="1">IF(A336="","",IF($B$10="Sí",interpolar_alamb(L336,OFFSET(Curvas_cupon_cero!$A$1,1,0,COUNT(Curvas_cupon_cero!$A:$A)-2,1),OFFSET(Curvas_cupon_cero!$A$1,1,MATCH($B$8,Curvas_cupon_cero!$1:$1,0)-1,COUNT(Curvas_cupon_cero!$A:$A)-2,1)),[1]!interpolar(L336,OFFSET(Curvas_cupon_cero!$A$1,1,0,COUNT(Curvas_cupon_cero!$A:$A)-2,1),OFFSET(Curvas_cupon_cero!$A$1,1,MATCH($B$8,Curvas_cupon_cero!$1:$1,0)-1,COUNT(Curvas_cupon_cero!$A:$A)-2,1))))</f>
        <v/>
      </c>
      <c r="E336" s="23" t="str">
        <f t="shared" si="43"/>
        <v/>
      </c>
      <c r="F336" s="23" t="str">
        <f ca="1">IF(A336="","",IF($B$10="Sí",interpolar_alamb(B336,OFFSET(Curvas_cupon_cero!$A$1,1,0,COUNT(Curvas_cupon_cero!$A:$A)-2,1),OFFSET(Curvas_cupon_cero!$A$1,1,MATCH($B$9,Curvas_cupon_cero!$1:$1,0)-1,COUNT(Curvas_cupon_cero!$A:$A)-2,1)),[1]!interpolar(B336,OFFSET(Curvas_cupon_cero!$A$1,1,0,COUNT(Curvas_cupon_cero!$A:$A)-2,1),OFFSET(Curvas_cupon_cero!$A$1,1,MATCH($B$9,Curvas_cupon_cero!$1:$1,0)-1,COUNT(Curvas_cupon_cero!$A:$A)-2,1))))</f>
        <v/>
      </c>
      <c r="G336" s="23" t="str">
        <f t="shared" si="44"/>
        <v/>
      </c>
      <c r="H336" s="20" t="str">
        <f t="shared" si="49"/>
        <v/>
      </c>
      <c r="I336" t="str">
        <f t="shared" si="45"/>
        <v/>
      </c>
      <c r="J336" s="17" t="str">
        <f t="shared" si="41"/>
        <v/>
      </c>
      <c r="K336" s="18" t="str">
        <f t="shared" si="46"/>
        <v/>
      </c>
      <c r="L336" t="str">
        <f t="shared" si="47"/>
        <v/>
      </c>
      <c r="M336" s="23" t="str">
        <f ca="1">IF(A336="","",IF($B$10="Sí",interpolar_alamb(L336,OFFSET(Curvas_cupon_cero!$A$1,1,0,COUNT(Curvas_cupon_cero!$A:$A)-2,1),OFFSET(Curvas_cupon_cero!$A$1,1,MATCH($B$6,Curvas_cupon_cero!$1:$1,0)-1,COUNT(Curvas_cupon_cero!$A:$A)-2,1)),[1]!interpolar(L336,OFFSET(Curvas_cupon_cero!$A$1,1,0,COUNT(Curvas_cupon_cero!$A:$A)-2,1),OFFSET(Curvas_cupon_cero!$A$1,1,MATCH($B$6,Curvas_cupon_cero!$1:$1,0)-1,COUNT(Curvas_cupon_cero!$A:$A)-2,1))))</f>
        <v/>
      </c>
      <c r="N336" s="23"/>
      <c r="O336" s="19" t="str">
        <f t="shared" si="48"/>
        <v/>
      </c>
    </row>
    <row r="337" spans="1:15" x14ac:dyDescent="0.2">
      <c r="A337" s="12" t="str">
        <f t="shared" si="42"/>
        <v/>
      </c>
      <c r="B337" t="str">
        <f t="shared" ref="B337:B400" si="50">IF(A337="","",MAX(L337-$B$5,0))</f>
        <v/>
      </c>
      <c r="C337" s="21" t="str">
        <f ca="1">IF(A337="","",IF($B$10="Sí",interpolar_alamb(B337,OFFSET(Curvas_cupon_cero!$A$1,1,0,COUNT(Curvas_cupon_cero!$A:$A)-2,1),OFFSET(Curvas_cupon_cero!$A$1,1,MATCH($B$8,Curvas_cupon_cero!$1:$1,0)-1,COUNT(Curvas_cupon_cero!$A:$A)-2,1)),[1]!interpolar(B337,OFFSET(Curvas_cupon_cero!$A$1,1,0,COUNT(Curvas_cupon_cero!$A:$A)-2,1),OFFSET(Curvas_cupon_cero!$A$1,1,MATCH($B$8,Curvas_cupon_cero!$1:$1,0)-1,COUNT(Curvas_cupon_cero!$A:$A)-2,1))))</f>
        <v/>
      </c>
      <c r="D337" s="23" t="str">
        <f ca="1">IF(A337="","",IF($B$10="Sí",interpolar_alamb(L337,OFFSET(Curvas_cupon_cero!$A$1,1,0,COUNT(Curvas_cupon_cero!$A:$A)-2,1),OFFSET(Curvas_cupon_cero!$A$1,1,MATCH($B$8,Curvas_cupon_cero!$1:$1,0)-1,COUNT(Curvas_cupon_cero!$A:$A)-2,1)),[1]!interpolar(L337,OFFSET(Curvas_cupon_cero!$A$1,1,0,COUNT(Curvas_cupon_cero!$A:$A)-2,1),OFFSET(Curvas_cupon_cero!$A$1,1,MATCH($B$8,Curvas_cupon_cero!$1:$1,0)-1,COUNT(Curvas_cupon_cero!$A:$A)-2,1))))</f>
        <v/>
      </c>
      <c r="E337" s="23" t="str">
        <f t="shared" si="43"/>
        <v/>
      </c>
      <c r="F337" s="23" t="str">
        <f ca="1">IF(A337="","",IF($B$10="Sí",interpolar_alamb(B337,OFFSET(Curvas_cupon_cero!$A$1,1,0,COUNT(Curvas_cupon_cero!$A:$A)-2,1),OFFSET(Curvas_cupon_cero!$A$1,1,MATCH($B$9,Curvas_cupon_cero!$1:$1,0)-1,COUNT(Curvas_cupon_cero!$A:$A)-2,1)),[1]!interpolar(B337,OFFSET(Curvas_cupon_cero!$A$1,1,0,COUNT(Curvas_cupon_cero!$A:$A)-2,1),OFFSET(Curvas_cupon_cero!$A$1,1,MATCH($B$9,Curvas_cupon_cero!$1:$1,0)-1,COUNT(Curvas_cupon_cero!$A:$A)-2,1))))</f>
        <v/>
      </c>
      <c r="G337" s="23" t="str">
        <f t="shared" si="44"/>
        <v/>
      </c>
      <c r="H337" s="20" t="str">
        <f t="shared" si="49"/>
        <v/>
      </c>
      <c r="I337" t="str">
        <f t="shared" si="45"/>
        <v/>
      </c>
      <c r="J337" s="17" t="str">
        <f t="shared" ref="J337:J400" si="51">IF(A337="","",IF(A337=$B$4,$B$1*$B$2+$B$1*$B$5/360*$B$2*(E337*(1-I337)+H337*I337), $B$1*$B$5/360*$B$2*(E337*(1-I337)+H337*I337)))</f>
        <v/>
      </c>
      <c r="K337" s="18" t="str">
        <f t="shared" si="46"/>
        <v/>
      </c>
      <c r="L337" t="str">
        <f t="shared" si="47"/>
        <v/>
      </c>
      <c r="M337" s="23" t="str">
        <f ca="1">IF(A337="","",IF($B$10="Sí",interpolar_alamb(L337,OFFSET(Curvas_cupon_cero!$A$1,1,0,COUNT(Curvas_cupon_cero!$A:$A)-2,1),OFFSET(Curvas_cupon_cero!$A$1,1,MATCH($B$6,Curvas_cupon_cero!$1:$1,0)-1,COUNT(Curvas_cupon_cero!$A:$A)-2,1)),[1]!interpolar(L337,OFFSET(Curvas_cupon_cero!$A$1,1,0,COUNT(Curvas_cupon_cero!$A:$A)-2,1),OFFSET(Curvas_cupon_cero!$A$1,1,MATCH($B$6,Curvas_cupon_cero!$1:$1,0)-1,COUNT(Curvas_cupon_cero!$A:$A)-2,1))))</f>
        <v/>
      </c>
      <c r="N337" s="23"/>
      <c r="O337" s="19" t="str">
        <f t="shared" si="48"/>
        <v/>
      </c>
    </row>
    <row r="338" spans="1:15" x14ac:dyDescent="0.2">
      <c r="A338" s="12" t="str">
        <f t="shared" ref="A338:A401" si="52">IF(A337="","",IF((A337+$B$5)&gt;$B$4,"",(A337+$B$5)))</f>
        <v/>
      </c>
      <c r="B338" t="str">
        <f t="shared" si="50"/>
        <v/>
      </c>
      <c r="C338" s="21" t="str">
        <f ca="1">IF(A338="","",IF($B$10="Sí",interpolar_alamb(B338,OFFSET(Curvas_cupon_cero!$A$1,1,0,COUNT(Curvas_cupon_cero!$A:$A)-2,1),OFFSET(Curvas_cupon_cero!$A$1,1,MATCH($B$8,Curvas_cupon_cero!$1:$1,0)-1,COUNT(Curvas_cupon_cero!$A:$A)-2,1)),[1]!interpolar(B338,OFFSET(Curvas_cupon_cero!$A$1,1,0,COUNT(Curvas_cupon_cero!$A:$A)-2,1),OFFSET(Curvas_cupon_cero!$A$1,1,MATCH($B$8,Curvas_cupon_cero!$1:$1,0)-1,COUNT(Curvas_cupon_cero!$A:$A)-2,1))))</f>
        <v/>
      </c>
      <c r="D338" s="23" t="str">
        <f ca="1">IF(A338="","",IF($B$10="Sí",interpolar_alamb(L338,OFFSET(Curvas_cupon_cero!$A$1,1,0,COUNT(Curvas_cupon_cero!$A:$A)-2,1),OFFSET(Curvas_cupon_cero!$A$1,1,MATCH($B$8,Curvas_cupon_cero!$1:$1,0)-1,COUNT(Curvas_cupon_cero!$A:$A)-2,1)),[1]!interpolar(L338,OFFSET(Curvas_cupon_cero!$A$1,1,0,COUNT(Curvas_cupon_cero!$A:$A)-2,1),OFFSET(Curvas_cupon_cero!$A$1,1,MATCH($B$8,Curvas_cupon_cero!$1:$1,0)-1,COUNT(Curvas_cupon_cero!$A:$A)-2,1))))</f>
        <v/>
      </c>
      <c r="E338" s="23" t="str">
        <f t="shared" ref="E338:E401" si="53">IF(A338="","",((1+D338*L338/360)/(1+C338*B338/360)-1)*(360/(L338-B338)))</f>
        <v/>
      </c>
      <c r="F338" s="23" t="str">
        <f ca="1">IF(A338="","",IF($B$10="Sí",interpolar_alamb(B338,OFFSET(Curvas_cupon_cero!$A$1,1,0,COUNT(Curvas_cupon_cero!$A:$A)-2,1),OFFSET(Curvas_cupon_cero!$A$1,1,MATCH($B$9,Curvas_cupon_cero!$1:$1,0)-1,COUNT(Curvas_cupon_cero!$A:$A)-2,1)),[1]!interpolar(B338,OFFSET(Curvas_cupon_cero!$A$1,1,0,COUNT(Curvas_cupon_cero!$A:$A)-2,1),OFFSET(Curvas_cupon_cero!$A$1,1,MATCH($B$9,Curvas_cupon_cero!$1:$1,0)-1,COUNT(Curvas_cupon_cero!$A:$A)-2,1))))</f>
        <v/>
      </c>
      <c r="G338" s="23" t="str">
        <f t="shared" ref="G338:G401" si="54">IF(A338="","",$B$11*(1+M338*L338/360)/(1+F338*L338/360))</f>
        <v/>
      </c>
      <c r="H338" s="20" t="str">
        <f t="shared" si="49"/>
        <v/>
      </c>
      <c r="I338" t="str">
        <f t="shared" ref="I338:I401" si="55">IF(A338="","",IF(H338&gt;E338,1,0))</f>
        <v/>
      </c>
      <c r="J338" s="17" t="str">
        <f t="shared" si="51"/>
        <v/>
      </c>
      <c r="K338" s="18" t="str">
        <f t="shared" ref="K338:K401" si="56">IF(A338="","",$B$5)</f>
        <v/>
      </c>
      <c r="L338" t="str">
        <f t="shared" ref="L338:L401" si="57">IF(A338="","",L337+K338)</f>
        <v/>
      </c>
      <c r="M338" s="23" t="str">
        <f ca="1">IF(A338="","",IF($B$10="Sí",interpolar_alamb(L338,OFFSET(Curvas_cupon_cero!$A$1,1,0,COUNT(Curvas_cupon_cero!$A:$A)-2,1),OFFSET(Curvas_cupon_cero!$A$1,1,MATCH($B$6,Curvas_cupon_cero!$1:$1,0)-1,COUNT(Curvas_cupon_cero!$A:$A)-2,1)),[1]!interpolar(L338,OFFSET(Curvas_cupon_cero!$A$1,1,0,COUNT(Curvas_cupon_cero!$A:$A)-2,1),OFFSET(Curvas_cupon_cero!$A$1,1,MATCH($B$6,Curvas_cupon_cero!$1:$1,0)-1,COUNT(Curvas_cupon_cero!$A:$A)-2,1))))</f>
        <v/>
      </c>
      <c r="N338" s="23"/>
      <c r="O338" s="19" t="str">
        <f t="shared" ref="O338:O401" si="58">IF(A338="","",J338/(1+(M338+N338)*L338/360))</f>
        <v/>
      </c>
    </row>
    <row r="339" spans="1:15" x14ac:dyDescent="0.2">
      <c r="A339" s="12" t="str">
        <f t="shared" si="52"/>
        <v/>
      </c>
      <c r="B339" t="str">
        <f t="shared" si="50"/>
        <v/>
      </c>
      <c r="C339" s="21" t="str">
        <f ca="1">IF(A339="","",IF($B$10="Sí",interpolar_alamb(B339,OFFSET(Curvas_cupon_cero!$A$1,1,0,COUNT(Curvas_cupon_cero!$A:$A)-2,1),OFFSET(Curvas_cupon_cero!$A$1,1,MATCH($B$8,Curvas_cupon_cero!$1:$1,0)-1,COUNT(Curvas_cupon_cero!$A:$A)-2,1)),[1]!interpolar(B339,OFFSET(Curvas_cupon_cero!$A$1,1,0,COUNT(Curvas_cupon_cero!$A:$A)-2,1),OFFSET(Curvas_cupon_cero!$A$1,1,MATCH($B$8,Curvas_cupon_cero!$1:$1,0)-1,COUNT(Curvas_cupon_cero!$A:$A)-2,1))))</f>
        <v/>
      </c>
      <c r="D339" s="23" t="str">
        <f ca="1">IF(A339="","",IF($B$10="Sí",interpolar_alamb(L339,OFFSET(Curvas_cupon_cero!$A$1,1,0,COUNT(Curvas_cupon_cero!$A:$A)-2,1),OFFSET(Curvas_cupon_cero!$A$1,1,MATCH($B$8,Curvas_cupon_cero!$1:$1,0)-1,COUNT(Curvas_cupon_cero!$A:$A)-2,1)),[1]!interpolar(L339,OFFSET(Curvas_cupon_cero!$A$1,1,0,COUNT(Curvas_cupon_cero!$A:$A)-2,1),OFFSET(Curvas_cupon_cero!$A$1,1,MATCH($B$8,Curvas_cupon_cero!$1:$1,0)-1,COUNT(Curvas_cupon_cero!$A:$A)-2,1))))</f>
        <v/>
      </c>
      <c r="E339" s="23" t="str">
        <f t="shared" si="53"/>
        <v/>
      </c>
      <c r="F339" s="23" t="str">
        <f ca="1">IF(A339="","",IF($B$10="Sí",interpolar_alamb(B339,OFFSET(Curvas_cupon_cero!$A$1,1,0,COUNT(Curvas_cupon_cero!$A:$A)-2,1),OFFSET(Curvas_cupon_cero!$A$1,1,MATCH($B$9,Curvas_cupon_cero!$1:$1,0)-1,COUNT(Curvas_cupon_cero!$A:$A)-2,1)),[1]!interpolar(B339,OFFSET(Curvas_cupon_cero!$A$1,1,0,COUNT(Curvas_cupon_cero!$A:$A)-2,1),OFFSET(Curvas_cupon_cero!$A$1,1,MATCH($B$9,Curvas_cupon_cero!$1:$1,0)-1,COUNT(Curvas_cupon_cero!$A:$A)-2,1))))</f>
        <v/>
      </c>
      <c r="G339" s="23" t="str">
        <f t="shared" si="54"/>
        <v/>
      </c>
      <c r="H339" s="20" t="str">
        <f t="shared" ref="H339:H402" si="59">IF(A339="","",(G339/G338-1)*360/$B$5)</f>
        <v/>
      </c>
      <c r="I339" t="str">
        <f t="shared" si="55"/>
        <v/>
      </c>
      <c r="J339" s="17" t="str">
        <f t="shared" si="51"/>
        <v/>
      </c>
      <c r="K339" s="18" t="str">
        <f t="shared" si="56"/>
        <v/>
      </c>
      <c r="L339" t="str">
        <f t="shared" si="57"/>
        <v/>
      </c>
      <c r="M339" s="23" t="str">
        <f ca="1">IF(A339="","",IF($B$10="Sí",interpolar_alamb(L339,OFFSET(Curvas_cupon_cero!$A$1,1,0,COUNT(Curvas_cupon_cero!$A:$A)-2,1),OFFSET(Curvas_cupon_cero!$A$1,1,MATCH($B$6,Curvas_cupon_cero!$1:$1,0)-1,COUNT(Curvas_cupon_cero!$A:$A)-2,1)),[1]!interpolar(L339,OFFSET(Curvas_cupon_cero!$A$1,1,0,COUNT(Curvas_cupon_cero!$A:$A)-2,1),OFFSET(Curvas_cupon_cero!$A$1,1,MATCH($B$6,Curvas_cupon_cero!$1:$1,0)-1,COUNT(Curvas_cupon_cero!$A:$A)-2,1))))</f>
        <v/>
      </c>
      <c r="N339" s="23"/>
      <c r="O339" s="19" t="str">
        <f t="shared" si="58"/>
        <v/>
      </c>
    </row>
    <row r="340" spans="1:15" x14ac:dyDescent="0.2">
      <c r="A340" s="12" t="str">
        <f t="shared" si="52"/>
        <v/>
      </c>
      <c r="B340" t="str">
        <f t="shared" si="50"/>
        <v/>
      </c>
      <c r="C340" s="21" t="str">
        <f ca="1">IF(A340="","",IF($B$10="Sí",interpolar_alamb(B340,OFFSET(Curvas_cupon_cero!$A$1,1,0,COUNT(Curvas_cupon_cero!$A:$A)-2,1),OFFSET(Curvas_cupon_cero!$A$1,1,MATCH($B$8,Curvas_cupon_cero!$1:$1,0)-1,COUNT(Curvas_cupon_cero!$A:$A)-2,1)),[1]!interpolar(B340,OFFSET(Curvas_cupon_cero!$A$1,1,0,COUNT(Curvas_cupon_cero!$A:$A)-2,1),OFFSET(Curvas_cupon_cero!$A$1,1,MATCH($B$8,Curvas_cupon_cero!$1:$1,0)-1,COUNT(Curvas_cupon_cero!$A:$A)-2,1))))</f>
        <v/>
      </c>
      <c r="D340" s="23" t="str">
        <f ca="1">IF(A340="","",IF($B$10="Sí",interpolar_alamb(L340,OFFSET(Curvas_cupon_cero!$A$1,1,0,COUNT(Curvas_cupon_cero!$A:$A)-2,1),OFFSET(Curvas_cupon_cero!$A$1,1,MATCH($B$8,Curvas_cupon_cero!$1:$1,0)-1,COUNT(Curvas_cupon_cero!$A:$A)-2,1)),[1]!interpolar(L340,OFFSET(Curvas_cupon_cero!$A$1,1,0,COUNT(Curvas_cupon_cero!$A:$A)-2,1),OFFSET(Curvas_cupon_cero!$A$1,1,MATCH($B$8,Curvas_cupon_cero!$1:$1,0)-1,COUNT(Curvas_cupon_cero!$A:$A)-2,1))))</f>
        <v/>
      </c>
      <c r="E340" s="23" t="str">
        <f t="shared" si="53"/>
        <v/>
      </c>
      <c r="F340" s="23" t="str">
        <f ca="1">IF(A340="","",IF($B$10="Sí",interpolar_alamb(B340,OFFSET(Curvas_cupon_cero!$A$1,1,0,COUNT(Curvas_cupon_cero!$A:$A)-2,1),OFFSET(Curvas_cupon_cero!$A$1,1,MATCH($B$9,Curvas_cupon_cero!$1:$1,0)-1,COUNT(Curvas_cupon_cero!$A:$A)-2,1)),[1]!interpolar(B340,OFFSET(Curvas_cupon_cero!$A$1,1,0,COUNT(Curvas_cupon_cero!$A:$A)-2,1),OFFSET(Curvas_cupon_cero!$A$1,1,MATCH($B$9,Curvas_cupon_cero!$1:$1,0)-1,COUNT(Curvas_cupon_cero!$A:$A)-2,1))))</f>
        <v/>
      </c>
      <c r="G340" s="23" t="str">
        <f t="shared" si="54"/>
        <v/>
      </c>
      <c r="H340" s="20" t="str">
        <f t="shared" si="59"/>
        <v/>
      </c>
      <c r="I340" t="str">
        <f t="shared" si="55"/>
        <v/>
      </c>
      <c r="J340" s="17" t="str">
        <f t="shared" si="51"/>
        <v/>
      </c>
      <c r="K340" s="18" t="str">
        <f t="shared" si="56"/>
        <v/>
      </c>
      <c r="L340" t="str">
        <f t="shared" si="57"/>
        <v/>
      </c>
      <c r="M340" s="23" t="str">
        <f ca="1">IF(A340="","",IF($B$10="Sí",interpolar_alamb(L340,OFFSET(Curvas_cupon_cero!$A$1,1,0,COUNT(Curvas_cupon_cero!$A:$A)-2,1),OFFSET(Curvas_cupon_cero!$A$1,1,MATCH($B$6,Curvas_cupon_cero!$1:$1,0)-1,COUNT(Curvas_cupon_cero!$A:$A)-2,1)),[1]!interpolar(L340,OFFSET(Curvas_cupon_cero!$A$1,1,0,COUNT(Curvas_cupon_cero!$A:$A)-2,1),OFFSET(Curvas_cupon_cero!$A$1,1,MATCH($B$6,Curvas_cupon_cero!$1:$1,0)-1,COUNT(Curvas_cupon_cero!$A:$A)-2,1))))</f>
        <v/>
      </c>
      <c r="N340" s="23"/>
      <c r="O340" s="19" t="str">
        <f t="shared" si="58"/>
        <v/>
      </c>
    </row>
    <row r="341" spans="1:15" x14ac:dyDescent="0.2">
      <c r="A341" s="12" t="str">
        <f t="shared" si="52"/>
        <v/>
      </c>
      <c r="B341" t="str">
        <f t="shared" si="50"/>
        <v/>
      </c>
      <c r="C341" s="21" t="str">
        <f ca="1">IF(A341="","",IF($B$10="Sí",interpolar_alamb(B341,OFFSET(Curvas_cupon_cero!$A$1,1,0,COUNT(Curvas_cupon_cero!$A:$A)-2,1),OFFSET(Curvas_cupon_cero!$A$1,1,MATCH($B$8,Curvas_cupon_cero!$1:$1,0)-1,COUNT(Curvas_cupon_cero!$A:$A)-2,1)),[1]!interpolar(B341,OFFSET(Curvas_cupon_cero!$A$1,1,0,COUNT(Curvas_cupon_cero!$A:$A)-2,1),OFFSET(Curvas_cupon_cero!$A$1,1,MATCH($B$8,Curvas_cupon_cero!$1:$1,0)-1,COUNT(Curvas_cupon_cero!$A:$A)-2,1))))</f>
        <v/>
      </c>
      <c r="D341" s="23" t="str">
        <f ca="1">IF(A341="","",IF($B$10="Sí",interpolar_alamb(L341,OFFSET(Curvas_cupon_cero!$A$1,1,0,COUNT(Curvas_cupon_cero!$A:$A)-2,1),OFFSET(Curvas_cupon_cero!$A$1,1,MATCH($B$8,Curvas_cupon_cero!$1:$1,0)-1,COUNT(Curvas_cupon_cero!$A:$A)-2,1)),[1]!interpolar(L341,OFFSET(Curvas_cupon_cero!$A$1,1,0,COUNT(Curvas_cupon_cero!$A:$A)-2,1),OFFSET(Curvas_cupon_cero!$A$1,1,MATCH($B$8,Curvas_cupon_cero!$1:$1,0)-1,COUNT(Curvas_cupon_cero!$A:$A)-2,1))))</f>
        <v/>
      </c>
      <c r="E341" s="23" t="str">
        <f t="shared" si="53"/>
        <v/>
      </c>
      <c r="F341" s="23" t="str">
        <f ca="1">IF(A341="","",IF($B$10="Sí",interpolar_alamb(B341,OFFSET(Curvas_cupon_cero!$A$1,1,0,COUNT(Curvas_cupon_cero!$A:$A)-2,1),OFFSET(Curvas_cupon_cero!$A$1,1,MATCH($B$9,Curvas_cupon_cero!$1:$1,0)-1,COUNT(Curvas_cupon_cero!$A:$A)-2,1)),[1]!interpolar(B341,OFFSET(Curvas_cupon_cero!$A$1,1,0,COUNT(Curvas_cupon_cero!$A:$A)-2,1),OFFSET(Curvas_cupon_cero!$A$1,1,MATCH($B$9,Curvas_cupon_cero!$1:$1,0)-1,COUNT(Curvas_cupon_cero!$A:$A)-2,1))))</f>
        <v/>
      </c>
      <c r="G341" s="23" t="str">
        <f t="shared" si="54"/>
        <v/>
      </c>
      <c r="H341" s="20" t="str">
        <f t="shared" si="59"/>
        <v/>
      </c>
      <c r="I341" t="str">
        <f t="shared" si="55"/>
        <v/>
      </c>
      <c r="J341" s="17" t="str">
        <f t="shared" si="51"/>
        <v/>
      </c>
      <c r="K341" s="18" t="str">
        <f t="shared" si="56"/>
        <v/>
      </c>
      <c r="L341" t="str">
        <f t="shared" si="57"/>
        <v/>
      </c>
      <c r="M341" s="23" t="str">
        <f ca="1">IF(A341="","",IF($B$10="Sí",interpolar_alamb(L341,OFFSET(Curvas_cupon_cero!$A$1,1,0,COUNT(Curvas_cupon_cero!$A:$A)-2,1),OFFSET(Curvas_cupon_cero!$A$1,1,MATCH($B$6,Curvas_cupon_cero!$1:$1,0)-1,COUNT(Curvas_cupon_cero!$A:$A)-2,1)),[1]!interpolar(L341,OFFSET(Curvas_cupon_cero!$A$1,1,0,COUNT(Curvas_cupon_cero!$A:$A)-2,1),OFFSET(Curvas_cupon_cero!$A$1,1,MATCH($B$6,Curvas_cupon_cero!$1:$1,0)-1,COUNT(Curvas_cupon_cero!$A:$A)-2,1))))</f>
        <v/>
      </c>
      <c r="N341" s="23"/>
      <c r="O341" s="19" t="str">
        <f t="shared" si="58"/>
        <v/>
      </c>
    </row>
    <row r="342" spans="1:15" x14ac:dyDescent="0.2">
      <c r="A342" s="12" t="str">
        <f t="shared" si="52"/>
        <v/>
      </c>
      <c r="B342" t="str">
        <f t="shared" si="50"/>
        <v/>
      </c>
      <c r="C342" s="21" t="str">
        <f ca="1">IF(A342="","",IF($B$10="Sí",interpolar_alamb(B342,OFFSET(Curvas_cupon_cero!$A$1,1,0,COUNT(Curvas_cupon_cero!$A:$A)-2,1),OFFSET(Curvas_cupon_cero!$A$1,1,MATCH($B$8,Curvas_cupon_cero!$1:$1,0)-1,COUNT(Curvas_cupon_cero!$A:$A)-2,1)),[1]!interpolar(B342,OFFSET(Curvas_cupon_cero!$A$1,1,0,COUNT(Curvas_cupon_cero!$A:$A)-2,1),OFFSET(Curvas_cupon_cero!$A$1,1,MATCH($B$8,Curvas_cupon_cero!$1:$1,0)-1,COUNT(Curvas_cupon_cero!$A:$A)-2,1))))</f>
        <v/>
      </c>
      <c r="D342" s="23" t="str">
        <f ca="1">IF(A342="","",IF($B$10="Sí",interpolar_alamb(L342,OFFSET(Curvas_cupon_cero!$A$1,1,0,COUNT(Curvas_cupon_cero!$A:$A)-2,1),OFFSET(Curvas_cupon_cero!$A$1,1,MATCH($B$8,Curvas_cupon_cero!$1:$1,0)-1,COUNT(Curvas_cupon_cero!$A:$A)-2,1)),[1]!interpolar(L342,OFFSET(Curvas_cupon_cero!$A$1,1,0,COUNT(Curvas_cupon_cero!$A:$A)-2,1),OFFSET(Curvas_cupon_cero!$A$1,1,MATCH($B$8,Curvas_cupon_cero!$1:$1,0)-1,COUNT(Curvas_cupon_cero!$A:$A)-2,1))))</f>
        <v/>
      </c>
      <c r="E342" s="23" t="str">
        <f t="shared" si="53"/>
        <v/>
      </c>
      <c r="F342" s="23" t="str">
        <f ca="1">IF(A342="","",IF($B$10="Sí",interpolar_alamb(B342,OFFSET(Curvas_cupon_cero!$A$1,1,0,COUNT(Curvas_cupon_cero!$A:$A)-2,1),OFFSET(Curvas_cupon_cero!$A$1,1,MATCH($B$9,Curvas_cupon_cero!$1:$1,0)-1,COUNT(Curvas_cupon_cero!$A:$A)-2,1)),[1]!interpolar(B342,OFFSET(Curvas_cupon_cero!$A$1,1,0,COUNT(Curvas_cupon_cero!$A:$A)-2,1),OFFSET(Curvas_cupon_cero!$A$1,1,MATCH($B$9,Curvas_cupon_cero!$1:$1,0)-1,COUNT(Curvas_cupon_cero!$A:$A)-2,1))))</f>
        <v/>
      </c>
      <c r="G342" s="23" t="str">
        <f t="shared" si="54"/>
        <v/>
      </c>
      <c r="H342" s="20" t="str">
        <f t="shared" si="59"/>
        <v/>
      </c>
      <c r="I342" t="str">
        <f t="shared" si="55"/>
        <v/>
      </c>
      <c r="J342" s="17" t="str">
        <f t="shared" si="51"/>
        <v/>
      </c>
      <c r="K342" s="18" t="str">
        <f t="shared" si="56"/>
        <v/>
      </c>
      <c r="L342" t="str">
        <f t="shared" si="57"/>
        <v/>
      </c>
      <c r="M342" s="23" t="str">
        <f ca="1">IF(A342="","",IF($B$10="Sí",interpolar_alamb(L342,OFFSET(Curvas_cupon_cero!$A$1,1,0,COUNT(Curvas_cupon_cero!$A:$A)-2,1),OFFSET(Curvas_cupon_cero!$A$1,1,MATCH($B$6,Curvas_cupon_cero!$1:$1,0)-1,COUNT(Curvas_cupon_cero!$A:$A)-2,1)),[1]!interpolar(L342,OFFSET(Curvas_cupon_cero!$A$1,1,0,COUNT(Curvas_cupon_cero!$A:$A)-2,1),OFFSET(Curvas_cupon_cero!$A$1,1,MATCH($B$6,Curvas_cupon_cero!$1:$1,0)-1,COUNT(Curvas_cupon_cero!$A:$A)-2,1))))</f>
        <v/>
      </c>
      <c r="N342" s="23"/>
      <c r="O342" s="19" t="str">
        <f t="shared" si="58"/>
        <v/>
      </c>
    </row>
    <row r="343" spans="1:15" x14ac:dyDescent="0.2">
      <c r="A343" s="12" t="str">
        <f t="shared" si="52"/>
        <v/>
      </c>
      <c r="B343" t="str">
        <f t="shared" si="50"/>
        <v/>
      </c>
      <c r="C343" s="21" t="str">
        <f ca="1">IF(A343="","",IF($B$10="Sí",interpolar_alamb(B343,OFFSET(Curvas_cupon_cero!$A$1,1,0,COUNT(Curvas_cupon_cero!$A:$A)-2,1),OFFSET(Curvas_cupon_cero!$A$1,1,MATCH($B$8,Curvas_cupon_cero!$1:$1,0)-1,COUNT(Curvas_cupon_cero!$A:$A)-2,1)),[1]!interpolar(B343,OFFSET(Curvas_cupon_cero!$A$1,1,0,COUNT(Curvas_cupon_cero!$A:$A)-2,1),OFFSET(Curvas_cupon_cero!$A$1,1,MATCH($B$8,Curvas_cupon_cero!$1:$1,0)-1,COUNT(Curvas_cupon_cero!$A:$A)-2,1))))</f>
        <v/>
      </c>
      <c r="D343" s="23" t="str">
        <f ca="1">IF(A343="","",IF($B$10="Sí",interpolar_alamb(L343,OFFSET(Curvas_cupon_cero!$A$1,1,0,COUNT(Curvas_cupon_cero!$A:$A)-2,1),OFFSET(Curvas_cupon_cero!$A$1,1,MATCH($B$8,Curvas_cupon_cero!$1:$1,0)-1,COUNT(Curvas_cupon_cero!$A:$A)-2,1)),[1]!interpolar(L343,OFFSET(Curvas_cupon_cero!$A$1,1,0,COUNT(Curvas_cupon_cero!$A:$A)-2,1),OFFSET(Curvas_cupon_cero!$A$1,1,MATCH($B$8,Curvas_cupon_cero!$1:$1,0)-1,COUNT(Curvas_cupon_cero!$A:$A)-2,1))))</f>
        <v/>
      </c>
      <c r="E343" s="23" t="str">
        <f t="shared" si="53"/>
        <v/>
      </c>
      <c r="F343" s="23" t="str">
        <f ca="1">IF(A343="","",IF($B$10="Sí",interpolar_alamb(B343,OFFSET(Curvas_cupon_cero!$A$1,1,0,COUNT(Curvas_cupon_cero!$A:$A)-2,1),OFFSET(Curvas_cupon_cero!$A$1,1,MATCH($B$9,Curvas_cupon_cero!$1:$1,0)-1,COUNT(Curvas_cupon_cero!$A:$A)-2,1)),[1]!interpolar(B343,OFFSET(Curvas_cupon_cero!$A$1,1,0,COUNT(Curvas_cupon_cero!$A:$A)-2,1),OFFSET(Curvas_cupon_cero!$A$1,1,MATCH($B$9,Curvas_cupon_cero!$1:$1,0)-1,COUNT(Curvas_cupon_cero!$A:$A)-2,1))))</f>
        <v/>
      </c>
      <c r="G343" s="23" t="str">
        <f t="shared" si="54"/>
        <v/>
      </c>
      <c r="H343" s="20" t="str">
        <f t="shared" si="59"/>
        <v/>
      </c>
      <c r="I343" t="str">
        <f t="shared" si="55"/>
        <v/>
      </c>
      <c r="J343" s="17" t="str">
        <f t="shared" si="51"/>
        <v/>
      </c>
      <c r="K343" s="18" t="str">
        <f t="shared" si="56"/>
        <v/>
      </c>
      <c r="L343" t="str">
        <f t="shared" si="57"/>
        <v/>
      </c>
      <c r="M343" s="23" t="str">
        <f ca="1">IF(A343="","",IF($B$10="Sí",interpolar_alamb(L343,OFFSET(Curvas_cupon_cero!$A$1,1,0,COUNT(Curvas_cupon_cero!$A:$A)-2,1),OFFSET(Curvas_cupon_cero!$A$1,1,MATCH($B$6,Curvas_cupon_cero!$1:$1,0)-1,COUNT(Curvas_cupon_cero!$A:$A)-2,1)),[1]!interpolar(L343,OFFSET(Curvas_cupon_cero!$A$1,1,0,COUNT(Curvas_cupon_cero!$A:$A)-2,1),OFFSET(Curvas_cupon_cero!$A$1,1,MATCH($B$6,Curvas_cupon_cero!$1:$1,0)-1,COUNT(Curvas_cupon_cero!$A:$A)-2,1))))</f>
        <v/>
      </c>
      <c r="N343" s="23"/>
      <c r="O343" s="19" t="str">
        <f t="shared" si="58"/>
        <v/>
      </c>
    </row>
    <row r="344" spans="1:15" x14ac:dyDescent="0.2">
      <c r="A344" s="12" t="str">
        <f t="shared" si="52"/>
        <v/>
      </c>
      <c r="B344" t="str">
        <f t="shared" si="50"/>
        <v/>
      </c>
      <c r="C344" s="21" t="str">
        <f ca="1">IF(A344="","",IF($B$10="Sí",interpolar_alamb(B344,OFFSET(Curvas_cupon_cero!$A$1,1,0,COUNT(Curvas_cupon_cero!$A:$A)-2,1),OFFSET(Curvas_cupon_cero!$A$1,1,MATCH($B$8,Curvas_cupon_cero!$1:$1,0)-1,COUNT(Curvas_cupon_cero!$A:$A)-2,1)),[1]!interpolar(B344,OFFSET(Curvas_cupon_cero!$A$1,1,0,COUNT(Curvas_cupon_cero!$A:$A)-2,1),OFFSET(Curvas_cupon_cero!$A$1,1,MATCH($B$8,Curvas_cupon_cero!$1:$1,0)-1,COUNT(Curvas_cupon_cero!$A:$A)-2,1))))</f>
        <v/>
      </c>
      <c r="D344" s="23" t="str">
        <f ca="1">IF(A344="","",IF($B$10="Sí",interpolar_alamb(L344,OFFSET(Curvas_cupon_cero!$A$1,1,0,COUNT(Curvas_cupon_cero!$A:$A)-2,1),OFFSET(Curvas_cupon_cero!$A$1,1,MATCH($B$8,Curvas_cupon_cero!$1:$1,0)-1,COUNT(Curvas_cupon_cero!$A:$A)-2,1)),[1]!interpolar(L344,OFFSET(Curvas_cupon_cero!$A$1,1,0,COUNT(Curvas_cupon_cero!$A:$A)-2,1),OFFSET(Curvas_cupon_cero!$A$1,1,MATCH($B$8,Curvas_cupon_cero!$1:$1,0)-1,COUNT(Curvas_cupon_cero!$A:$A)-2,1))))</f>
        <v/>
      </c>
      <c r="E344" s="23" t="str">
        <f t="shared" si="53"/>
        <v/>
      </c>
      <c r="F344" s="23" t="str">
        <f ca="1">IF(A344="","",IF($B$10="Sí",interpolar_alamb(B344,OFFSET(Curvas_cupon_cero!$A$1,1,0,COUNT(Curvas_cupon_cero!$A:$A)-2,1),OFFSET(Curvas_cupon_cero!$A$1,1,MATCH($B$9,Curvas_cupon_cero!$1:$1,0)-1,COUNT(Curvas_cupon_cero!$A:$A)-2,1)),[1]!interpolar(B344,OFFSET(Curvas_cupon_cero!$A$1,1,0,COUNT(Curvas_cupon_cero!$A:$A)-2,1),OFFSET(Curvas_cupon_cero!$A$1,1,MATCH($B$9,Curvas_cupon_cero!$1:$1,0)-1,COUNT(Curvas_cupon_cero!$A:$A)-2,1))))</f>
        <v/>
      </c>
      <c r="G344" s="23" t="str">
        <f t="shared" si="54"/>
        <v/>
      </c>
      <c r="H344" s="20" t="str">
        <f t="shared" si="59"/>
        <v/>
      </c>
      <c r="I344" t="str">
        <f t="shared" si="55"/>
        <v/>
      </c>
      <c r="J344" s="17" t="str">
        <f t="shared" si="51"/>
        <v/>
      </c>
      <c r="K344" s="18" t="str">
        <f t="shared" si="56"/>
        <v/>
      </c>
      <c r="L344" t="str">
        <f t="shared" si="57"/>
        <v/>
      </c>
      <c r="M344" s="23" t="str">
        <f ca="1">IF(A344="","",IF($B$10="Sí",interpolar_alamb(L344,OFFSET(Curvas_cupon_cero!$A$1,1,0,COUNT(Curvas_cupon_cero!$A:$A)-2,1),OFFSET(Curvas_cupon_cero!$A$1,1,MATCH($B$6,Curvas_cupon_cero!$1:$1,0)-1,COUNT(Curvas_cupon_cero!$A:$A)-2,1)),[1]!interpolar(L344,OFFSET(Curvas_cupon_cero!$A$1,1,0,COUNT(Curvas_cupon_cero!$A:$A)-2,1),OFFSET(Curvas_cupon_cero!$A$1,1,MATCH($B$6,Curvas_cupon_cero!$1:$1,0)-1,COUNT(Curvas_cupon_cero!$A:$A)-2,1))))</f>
        <v/>
      </c>
      <c r="N344" s="23"/>
      <c r="O344" s="19" t="str">
        <f t="shared" si="58"/>
        <v/>
      </c>
    </row>
    <row r="345" spans="1:15" x14ac:dyDescent="0.2">
      <c r="A345" s="12" t="str">
        <f t="shared" si="52"/>
        <v/>
      </c>
      <c r="B345" t="str">
        <f t="shared" si="50"/>
        <v/>
      </c>
      <c r="C345" s="21" t="str">
        <f ca="1">IF(A345="","",IF($B$10="Sí",interpolar_alamb(B345,OFFSET(Curvas_cupon_cero!$A$1,1,0,COUNT(Curvas_cupon_cero!$A:$A)-2,1),OFFSET(Curvas_cupon_cero!$A$1,1,MATCH($B$8,Curvas_cupon_cero!$1:$1,0)-1,COUNT(Curvas_cupon_cero!$A:$A)-2,1)),[1]!interpolar(B345,OFFSET(Curvas_cupon_cero!$A$1,1,0,COUNT(Curvas_cupon_cero!$A:$A)-2,1),OFFSET(Curvas_cupon_cero!$A$1,1,MATCH($B$8,Curvas_cupon_cero!$1:$1,0)-1,COUNT(Curvas_cupon_cero!$A:$A)-2,1))))</f>
        <v/>
      </c>
      <c r="D345" s="23" t="str">
        <f ca="1">IF(A345="","",IF($B$10="Sí",interpolar_alamb(L345,OFFSET(Curvas_cupon_cero!$A$1,1,0,COUNT(Curvas_cupon_cero!$A:$A)-2,1),OFFSET(Curvas_cupon_cero!$A$1,1,MATCH($B$8,Curvas_cupon_cero!$1:$1,0)-1,COUNT(Curvas_cupon_cero!$A:$A)-2,1)),[1]!interpolar(L345,OFFSET(Curvas_cupon_cero!$A$1,1,0,COUNT(Curvas_cupon_cero!$A:$A)-2,1),OFFSET(Curvas_cupon_cero!$A$1,1,MATCH($B$8,Curvas_cupon_cero!$1:$1,0)-1,COUNT(Curvas_cupon_cero!$A:$A)-2,1))))</f>
        <v/>
      </c>
      <c r="E345" s="23" t="str">
        <f t="shared" si="53"/>
        <v/>
      </c>
      <c r="F345" s="23" t="str">
        <f ca="1">IF(A345="","",IF($B$10="Sí",interpolar_alamb(B345,OFFSET(Curvas_cupon_cero!$A$1,1,0,COUNT(Curvas_cupon_cero!$A:$A)-2,1),OFFSET(Curvas_cupon_cero!$A$1,1,MATCH($B$9,Curvas_cupon_cero!$1:$1,0)-1,COUNT(Curvas_cupon_cero!$A:$A)-2,1)),[1]!interpolar(B345,OFFSET(Curvas_cupon_cero!$A$1,1,0,COUNT(Curvas_cupon_cero!$A:$A)-2,1),OFFSET(Curvas_cupon_cero!$A$1,1,MATCH($B$9,Curvas_cupon_cero!$1:$1,0)-1,COUNT(Curvas_cupon_cero!$A:$A)-2,1))))</f>
        <v/>
      </c>
      <c r="G345" s="23" t="str">
        <f t="shared" si="54"/>
        <v/>
      </c>
      <c r="H345" s="20" t="str">
        <f t="shared" si="59"/>
        <v/>
      </c>
      <c r="I345" t="str">
        <f t="shared" si="55"/>
        <v/>
      </c>
      <c r="J345" s="17" t="str">
        <f t="shared" si="51"/>
        <v/>
      </c>
      <c r="K345" s="18" t="str">
        <f t="shared" si="56"/>
        <v/>
      </c>
      <c r="L345" t="str">
        <f t="shared" si="57"/>
        <v/>
      </c>
      <c r="M345" s="23" t="str">
        <f ca="1">IF(A345="","",IF($B$10="Sí",interpolar_alamb(L345,OFFSET(Curvas_cupon_cero!$A$1,1,0,COUNT(Curvas_cupon_cero!$A:$A)-2,1),OFFSET(Curvas_cupon_cero!$A$1,1,MATCH($B$6,Curvas_cupon_cero!$1:$1,0)-1,COUNT(Curvas_cupon_cero!$A:$A)-2,1)),[1]!interpolar(L345,OFFSET(Curvas_cupon_cero!$A$1,1,0,COUNT(Curvas_cupon_cero!$A:$A)-2,1),OFFSET(Curvas_cupon_cero!$A$1,1,MATCH($B$6,Curvas_cupon_cero!$1:$1,0)-1,COUNT(Curvas_cupon_cero!$A:$A)-2,1))))</f>
        <v/>
      </c>
      <c r="N345" s="23"/>
      <c r="O345" s="19" t="str">
        <f t="shared" si="58"/>
        <v/>
      </c>
    </row>
    <row r="346" spans="1:15" x14ac:dyDescent="0.2">
      <c r="A346" s="12" t="str">
        <f t="shared" si="52"/>
        <v/>
      </c>
      <c r="B346" t="str">
        <f t="shared" si="50"/>
        <v/>
      </c>
      <c r="C346" s="21" t="str">
        <f ca="1">IF(A346="","",IF($B$10="Sí",interpolar_alamb(B346,OFFSET(Curvas_cupon_cero!$A$1,1,0,COUNT(Curvas_cupon_cero!$A:$A)-2,1),OFFSET(Curvas_cupon_cero!$A$1,1,MATCH($B$8,Curvas_cupon_cero!$1:$1,0)-1,COUNT(Curvas_cupon_cero!$A:$A)-2,1)),[1]!interpolar(B346,OFFSET(Curvas_cupon_cero!$A$1,1,0,COUNT(Curvas_cupon_cero!$A:$A)-2,1),OFFSET(Curvas_cupon_cero!$A$1,1,MATCH($B$8,Curvas_cupon_cero!$1:$1,0)-1,COUNT(Curvas_cupon_cero!$A:$A)-2,1))))</f>
        <v/>
      </c>
      <c r="D346" s="23" t="str">
        <f ca="1">IF(A346="","",IF($B$10="Sí",interpolar_alamb(L346,OFFSET(Curvas_cupon_cero!$A$1,1,0,COUNT(Curvas_cupon_cero!$A:$A)-2,1),OFFSET(Curvas_cupon_cero!$A$1,1,MATCH($B$8,Curvas_cupon_cero!$1:$1,0)-1,COUNT(Curvas_cupon_cero!$A:$A)-2,1)),[1]!interpolar(L346,OFFSET(Curvas_cupon_cero!$A$1,1,0,COUNT(Curvas_cupon_cero!$A:$A)-2,1),OFFSET(Curvas_cupon_cero!$A$1,1,MATCH($B$8,Curvas_cupon_cero!$1:$1,0)-1,COUNT(Curvas_cupon_cero!$A:$A)-2,1))))</f>
        <v/>
      </c>
      <c r="E346" s="23" t="str">
        <f t="shared" si="53"/>
        <v/>
      </c>
      <c r="F346" s="23" t="str">
        <f ca="1">IF(A346="","",IF($B$10="Sí",interpolar_alamb(B346,OFFSET(Curvas_cupon_cero!$A$1,1,0,COUNT(Curvas_cupon_cero!$A:$A)-2,1),OFFSET(Curvas_cupon_cero!$A$1,1,MATCH($B$9,Curvas_cupon_cero!$1:$1,0)-1,COUNT(Curvas_cupon_cero!$A:$A)-2,1)),[1]!interpolar(B346,OFFSET(Curvas_cupon_cero!$A$1,1,0,COUNT(Curvas_cupon_cero!$A:$A)-2,1),OFFSET(Curvas_cupon_cero!$A$1,1,MATCH($B$9,Curvas_cupon_cero!$1:$1,0)-1,COUNT(Curvas_cupon_cero!$A:$A)-2,1))))</f>
        <v/>
      </c>
      <c r="G346" s="23" t="str">
        <f t="shared" si="54"/>
        <v/>
      </c>
      <c r="H346" s="20" t="str">
        <f t="shared" si="59"/>
        <v/>
      </c>
      <c r="I346" t="str">
        <f t="shared" si="55"/>
        <v/>
      </c>
      <c r="J346" s="17" t="str">
        <f t="shared" si="51"/>
        <v/>
      </c>
      <c r="K346" s="18" t="str">
        <f t="shared" si="56"/>
        <v/>
      </c>
      <c r="L346" t="str">
        <f t="shared" si="57"/>
        <v/>
      </c>
      <c r="M346" s="23" t="str">
        <f ca="1">IF(A346="","",IF($B$10="Sí",interpolar_alamb(L346,OFFSET(Curvas_cupon_cero!$A$1,1,0,COUNT(Curvas_cupon_cero!$A:$A)-2,1),OFFSET(Curvas_cupon_cero!$A$1,1,MATCH($B$6,Curvas_cupon_cero!$1:$1,0)-1,COUNT(Curvas_cupon_cero!$A:$A)-2,1)),[1]!interpolar(L346,OFFSET(Curvas_cupon_cero!$A$1,1,0,COUNT(Curvas_cupon_cero!$A:$A)-2,1),OFFSET(Curvas_cupon_cero!$A$1,1,MATCH($B$6,Curvas_cupon_cero!$1:$1,0)-1,COUNT(Curvas_cupon_cero!$A:$A)-2,1))))</f>
        <v/>
      </c>
      <c r="N346" s="23"/>
      <c r="O346" s="19" t="str">
        <f t="shared" si="58"/>
        <v/>
      </c>
    </row>
    <row r="347" spans="1:15" x14ac:dyDescent="0.2">
      <c r="A347" s="12" t="str">
        <f t="shared" si="52"/>
        <v/>
      </c>
      <c r="B347" t="str">
        <f t="shared" si="50"/>
        <v/>
      </c>
      <c r="C347" s="21" t="str">
        <f ca="1">IF(A347="","",IF($B$10="Sí",interpolar_alamb(B347,OFFSET(Curvas_cupon_cero!$A$1,1,0,COUNT(Curvas_cupon_cero!$A:$A)-2,1),OFFSET(Curvas_cupon_cero!$A$1,1,MATCH($B$8,Curvas_cupon_cero!$1:$1,0)-1,COUNT(Curvas_cupon_cero!$A:$A)-2,1)),[1]!interpolar(B347,OFFSET(Curvas_cupon_cero!$A$1,1,0,COUNT(Curvas_cupon_cero!$A:$A)-2,1),OFFSET(Curvas_cupon_cero!$A$1,1,MATCH($B$8,Curvas_cupon_cero!$1:$1,0)-1,COUNT(Curvas_cupon_cero!$A:$A)-2,1))))</f>
        <v/>
      </c>
      <c r="D347" s="23" t="str">
        <f ca="1">IF(A347="","",IF($B$10="Sí",interpolar_alamb(L347,OFFSET(Curvas_cupon_cero!$A$1,1,0,COUNT(Curvas_cupon_cero!$A:$A)-2,1),OFFSET(Curvas_cupon_cero!$A$1,1,MATCH($B$8,Curvas_cupon_cero!$1:$1,0)-1,COUNT(Curvas_cupon_cero!$A:$A)-2,1)),[1]!interpolar(L347,OFFSET(Curvas_cupon_cero!$A$1,1,0,COUNT(Curvas_cupon_cero!$A:$A)-2,1),OFFSET(Curvas_cupon_cero!$A$1,1,MATCH($B$8,Curvas_cupon_cero!$1:$1,0)-1,COUNT(Curvas_cupon_cero!$A:$A)-2,1))))</f>
        <v/>
      </c>
      <c r="E347" s="23" t="str">
        <f t="shared" si="53"/>
        <v/>
      </c>
      <c r="F347" s="23" t="str">
        <f ca="1">IF(A347="","",IF($B$10="Sí",interpolar_alamb(B347,OFFSET(Curvas_cupon_cero!$A$1,1,0,COUNT(Curvas_cupon_cero!$A:$A)-2,1),OFFSET(Curvas_cupon_cero!$A$1,1,MATCH($B$9,Curvas_cupon_cero!$1:$1,0)-1,COUNT(Curvas_cupon_cero!$A:$A)-2,1)),[1]!interpolar(B347,OFFSET(Curvas_cupon_cero!$A$1,1,0,COUNT(Curvas_cupon_cero!$A:$A)-2,1),OFFSET(Curvas_cupon_cero!$A$1,1,MATCH($B$9,Curvas_cupon_cero!$1:$1,0)-1,COUNT(Curvas_cupon_cero!$A:$A)-2,1))))</f>
        <v/>
      </c>
      <c r="G347" s="23" t="str">
        <f t="shared" si="54"/>
        <v/>
      </c>
      <c r="H347" s="20" t="str">
        <f t="shared" si="59"/>
        <v/>
      </c>
      <c r="I347" t="str">
        <f t="shared" si="55"/>
        <v/>
      </c>
      <c r="J347" s="17" t="str">
        <f t="shared" si="51"/>
        <v/>
      </c>
      <c r="K347" s="18" t="str">
        <f t="shared" si="56"/>
        <v/>
      </c>
      <c r="L347" t="str">
        <f t="shared" si="57"/>
        <v/>
      </c>
      <c r="M347" s="23" t="str">
        <f ca="1">IF(A347="","",IF($B$10="Sí",interpolar_alamb(L347,OFFSET(Curvas_cupon_cero!$A$1,1,0,COUNT(Curvas_cupon_cero!$A:$A)-2,1),OFFSET(Curvas_cupon_cero!$A$1,1,MATCH($B$6,Curvas_cupon_cero!$1:$1,0)-1,COUNT(Curvas_cupon_cero!$A:$A)-2,1)),[1]!interpolar(L347,OFFSET(Curvas_cupon_cero!$A$1,1,0,COUNT(Curvas_cupon_cero!$A:$A)-2,1),OFFSET(Curvas_cupon_cero!$A$1,1,MATCH($B$6,Curvas_cupon_cero!$1:$1,0)-1,COUNT(Curvas_cupon_cero!$A:$A)-2,1))))</f>
        <v/>
      </c>
      <c r="N347" s="23"/>
      <c r="O347" s="19" t="str">
        <f t="shared" si="58"/>
        <v/>
      </c>
    </row>
    <row r="348" spans="1:15" x14ac:dyDescent="0.2">
      <c r="A348" s="12" t="str">
        <f t="shared" si="52"/>
        <v/>
      </c>
      <c r="B348" t="str">
        <f t="shared" si="50"/>
        <v/>
      </c>
      <c r="C348" s="21" t="str">
        <f ca="1">IF(A348="","",IF($B$10="Sí",interpolar_alamb(B348,OFFSET(Curvas_cupon_cero!$A$1,1,0,COUNT(Curvas_cupon_cero!$A:$A)-2,1),OFFSET(Curvas_cupon_cero!$A$1,1,MATCH($B$8,Curvas_cupon_cero!$1:$1,0)-1,COUNT(Curvas_cupon_cero!$A:$A)-2,1)),[1]!interpolar(B348,OFFSET(Curvas_cupon_cero!$A$1,1,0,COUNT(Curvas_cupon_cero!$A:$A)-2,1),OFFSET(Curvas_cupon_cero!$A$1,1,MATCH($B$8,Curvas_cupon_cero!$1:$1,0)-1,COUNT(Curvas_cupon_cero!$A:$A)-2,1))))</f>
        <v/>
      </c>
      <c r="D348" s="23" t="str">
        <f ca="1">IF(A348="","",IF($B$10="Sí",interpolar_alamb(L348,OFFSET(Curvas_cupon_cero!$A$1,1,0,COUNT(Curvas_cupon_cero!$A:$A)-2,1),OFFSET(Curvas_cupon_cero!$A$1,1,MATCH($B$8,Curvas_cupon_cero!$1:$1,0)-1,COUNT(Curvas_cupon_cero!$A:$A)-2,1)),[1]!interpolar(L348,OFFSET(Curvas_cupon_cero!$A$1,1,0,COUNT(Curvas_cupon_cero!$A:$A)-2,1),OFFSET(Curvas_cupon_cero!$A$1,1,MATCH($B$8,Curvas_cupon_cero!$1:$1,0)-1,COUNT(Curvas_cupon_cero!$A:$A)-2,1))))</f>
        <v/>
      </c>
      <c r="E348" s="23" t="str">
        <f t="shared" si="53"/>
        <v/>
      </c>
      <c r="F348" s="23" t="str">
        <f ca="1">IF(A348="","",IF($B$10="Sí",interpolar_alamb(B348,OFFSET(Curvas_cupon_cero!$A$1,1,0,COUNT(Curvas_cupon_cero!$A:$A)-2,1),OFFSET(Curvas_cupon_cero!$A$1,1,MATCH($B$9,Curvas_cupon_cero!$1:$1,0)-1,COUNT(Curvas_cupon_cero!$A:$A)-2,1)),[1]!interpolar(B348,OFFSET(Curvas_cupon_cero!$A$1,1,0,COUNT(Curvas_cupon_cero!$A:$A)-2,1),OFFSET(Curvas_cupon_cero!$A$1,1,MATCH($B$9,Curvas_cupon_cero!$1:$1,0)-1,COUNT(Curvas_cupon_cero!$A:$A)-2,1))))</f>
        <v/>
      </c>
      <c r="G348" s="23" t="str">
        <f t="shared" si="54"/>
        <v/>
      </c>
      <c r="H348" s="20" t="str">
        <f t="shared" si="59"/>
        <v/>
      </c>
      <c r="I348" t="str">
        <f t="shared" si="55"/>
        <v/>
      </c>
      <c r="J348" s="17" t="str">
        <f t="shared" si="51"/>
        <v/>
      </c>
      <c r="K348" s="18" t="str">
        <f t="shared" si="56"/>
        <v/>
      </c>
      <c r="L348" t="str">
        <f t="shared" si="57"/>
        <v/>
      </c>
      <c r="M348" s="23" t="str">
        <f ca="1">IF(A348="","",IF($B$10="Sí",interpolar_alamb(L348,OFFSET(Curvas_cupon_cero!$A$1,1,0,COUNT(Curvas_cupon_cero!$A:$A)-2,1),OFFSET(Curvas_cupon_cero!$A$1,1,MATCH($B$6,Curvas_cupon_cero!$1:$1,0)-1,COUNT(Curvas_cupon_cero!$A:$A)-2,1)),[1]!interpolar(L348,OFFSET(Curvas_cupon_cero!$A$1,1,0,COUNT(Curvas_cupon_cero!$A:$A)-2,1),OFFSET(Curvas_cupon_cero!$A$1,1,MATCH($B$6,Curvas_cupon_cero!$1:$1,0)-1,COUNT(Curvas_cupon_cero!$A:$A)-2,1))))</f>
        <v/>
      </c>
      <c r="N348" s="23"/>
      <c r="O348" s="19" t="str">
        <f t="shared" si="58"/>
        <v/>
      </c>
    </row>
    <row r="349" spans="1:15" x14ac:dyDescent="0.2">
      <c r="A349" s="12" t="str">
        <f t="shared" si="52"/>
        <v/>
      </c>
      <c r="B349" t="str">
        <f t="shared" si="50"/>
        <v/>
      </c>
      <c r="C349" s="21" t="str">
        <f ca="1">IF(A349="","",IF($B$10="Sí",interpolar_alamb(B349,OFFSET(Curvas_cupon_cero!$A$1,1,0,COUNT(Curvas_cupon_cero!$A:$A)-2,1),OFFSET(Curvas_cupon_cero!$A$1,1,MATCH($B$8,Curvas_cupon_cero!$1:$1,0)-1,COUNT(Curvas_cupon_cero!$A:$A)-2,1)),[1]!interpolar(B349,OFFSET(Curvas_cupon_cero!$A$1,1,0,COUNT(Curvas_cupon_cero!$A:$A)-2,1),OFFSET(Curvas_cupon_cero!$A$1,1,MATCH($B$8,Curvas_cupon_cero!$1:$1,0)-1,COUNT(Curvas_cupon_cero!$A:$A)-2,1))))</f>
        <v/>
      </c>
      <c r="D349" s="23" t="str">
        <f ca="1">IF(A349="","",IF($B$10="Sí",interpolar_alamb(L349,OFFSET(Curvas_cupon_cero!$A$1,1,0,COUNT(Curvas_cupon_cero!$A:$A)-2,1),OFFSET(Curvas_cupon_cero!$A$1,1,MATCH($B$8,Curvas_cupon_cero!$1:$1,0)-1,COUNT(Curvas_cupon_cero!$A:$A)-2,1)),[1]!interpolar(L349,OFFSET(Curvas_cupon_cero!$A$1,1,0,COUNT(Curvas_cupon_cero!$A:$A)-2,1),OFFSET(Curvas_cupon_cero!$A$1,1,MATCH($B$8,Curvas_cupon_cero!$1:$1,0)-1,COUNT(Curvas_cupon_cero!$A:$A)-2,1))))</f>
        <v/>
      </c>
      <c r="E349" s="23" t="str">
        <f t="shared" si="53"/>
        <v/>
      </c>
      <c r="F349" s="23" t="str">
        <f ca="1">IF(A349="","",IF($B$10="Sí",interpolar_alamb(B349,OFFSET(Curvas_cupon_cero!$A$1,1,0,COUNT(Curvas_cupon_cero!$A:$A)-2,1),OFFSET(Curvas_cupon_cero!$A$1,1,MATCH($B$9,Curvas_cupon_cero!$1:$1,0)-1,COUNT(Curvas_cupon_cero!$A:$A)-2,1)),[1]!interpolar(B349,OFFSET(Curvas_cupon_cero!$A$1,1,0,COUNT(Curvas_cupon_cero!$A:$A)-2,1),OFFSET(Curvas_cupon_cero!$A$1,1,MATCH($B$9,Curvas_cupon_cero!$1:$1,0)-1,COUNT(Curvas_cupon_cero!$A:$A)-2,1))))</f>
        <v/>
      </c>
      <c r="G349" s="23" t="str">
        <f t="shared" si="54"/>
        <v/>
      </c>
      <c r="H349" s="20" t="str">
        <f t="shared" si="59"/>
        <v/>
      </c>
      <c r="I349" t="str">
        <f t="shared" si="55"/>
        <v/>
      </c>
      <c r="J349" s="17" t="str">
        <f t="shared" si="51"/>
        <v/>
      </c>
      <c r="K349" s="18" t="str">
        <f t="shared" si="56"/>
        <v/>
      </c>
      <c r="L349" t="str">
        <f t="shared" si="57"/>
        <v/>
      </c>
      <c r="M349" s="23" t="str">
        <f ca="1">IF(A349="","",IF($B$10="Sí",interpolar_alamb(L349,OFFSET(Curvas_cupon_cero!$A$1,1,0,COUNT(Curvas_cupon_cero!$A:$A)-2,1),OFFSET(Curvas_cupon_cero!$A$1,1,MATCH($B$6,Curvas_cupon_cero!$1:$1,0)-1,COUNT(Curvas_cupon_cero!$A:$A)-2,1)),[1]!interpolar(L349,OFFSET(Curvas_cupon_cero!$A$1,1,0,COUNT(Curvas_cupon_cero!$A:$A)-2,1),OFFSET(Curvas_cupon_cero!$A$1,1,MATCH($B$6,Curvas_cupon_cero!$1:$1,0)-1,COUNT(Curvas_cupon_cero!$A:$A)-2,1))))</f>
        <v/>
      </c>
      <c r="N349" s="23"/>
      <c r="O349" s="19" t="str">
        <f t="shared" si="58"/>
        <v/>
      </c>
    </row>
    <row r="350" spans="1:15" x14ac:dyDescent="0.2">
      <c r="A350" s="12" t="str">
        <f t="shared" si="52"/>
        <v/>
      </c>
      <c r="B350" t="str">
        <f t="shared" si="50"/>
        <v/>
      </c>
      <c r="C350" s="21" t="str">
        <f ca="1">IF(A350="","",IF($B$10="Sí",interpolar_alamb(B350,OFFSET(Curvas_cupon_cero!$A$1,1,0,COUNT(Curvas_cupon_cero!$A:$A)-2,1),OFFSET(Curvas_cupon_cero!$A$1,1,MATCH($B$8,Curvas_cupon_cero!$1:$1,0)-1,COUNT(Curvas_cupon_cero!$A:$A)-2,1)),[1]!interpolar(B350,OFFSET(Curvas_cupon_cero!$A$1,1,0,COUNT(Curvas_cupon_cero!$A:$A)-2,1),OFFSET(Curvas_cupon_cero!$A$1,1,MATCH($B$8,Curvas_cupon_cero!$1:$1,0)-1,COUNT(Curvas_cupon_cero!$A:$A)-2,1))))</f>
        <v/>
      </c>
      <c r="D350" s="23" t="str">
        <f ca="1">IF(A350="","",IF($B$10="Sí",interpolar_alamb(L350,OFFSET(Curvas_cupon_cero!$A$1,1,0,COUNT(Curvas_cupon_cero!$A:$A)-2,1),OFFSET(Curvas_cupon_cero!$A$1,1,MATCH($B$8,Curvas_cupon_cero!$1:$1,0)-1,COUNT(Curvas_cupon_cero!$A:$A)-2,1)),[1]!interpolar(L350,OFFSET(Curvas_cupon_cero!$A$1,1,0,COUNT(Curvas_cupon_cero!$A:$A)-2,1),OFFSET(Curvas_cupon_cero!$A$1,1,MATCH($B$8,Curvas_cupon_cero!$1:$1,0)-1,COUNT(Curvas_cupon_cero!$A:$A)-2,1))))</f>
        <v/>
      </c>
      <c r="E350" s="23" t="str">
        <f t="shared" si="53"/>
        <v/>
      </c>
      <c r="F350" s="23" t="str">
        <f ca="1">IF(A350="","",IF($B$10="Sí",interpolar_alamb(B350,OFFSET(Curvas_cupon_cero!$A$1,1,0,COUNT(Curvas_cupon_cero!$A:$A)-2,1),OFFSET(Curvas_cupon_cero!$A$1,1,MATCH($B$9,Curvas_cupon_cero!$1:$1,0)-1,COUNT(Curvas_cupon_cero!$A:$A)-2,1)),[1]!interpolar(B350,OFFSET(Curvas_cupon_cero!$A$1,1,0,COUNT(Curvas_cupon_cero!$A:$A)-2,1),OFFSET(Curvas_cupon_cero!$A$1,1,MATCH($B$9,Curvas_cupon_cero!$1:$1,0)-1,COUNT(Curvas_cupon_cero!$A:$A)-2,1))))</f>
        <v/>
      </c>
      <c r="G350" s="23" t="str">
        <f t="shared" si="54"/>
        <v/>
      </c>
      <c r="H350" s="20" t="str">
        <f t="shared" si="59"/>
        <v/>
      </c>
      <c r="I350" t="str">
        <f t="shared" si="55"/>
        <v/>
      </c>
      <c r="J350" s="17" t="str">
        <f t="shared" si="51"/>
        <v/>
      </c>
      <c r="K350" s="18" t="str">
        <f t="shared" si="56"/>
        <v/>
      </c>
      <c r="L350" t="str">
        <f t="shared" si="57"/>
        <v/>
      </c>
      <c r="M350" s="23" t="str">
        <f ca="1">IF(A350="","",IF($B$10="Sí",interpolar_alamb(L350,OFFSET(Curvas_cupon_cero!$A$1,1,0,COUNT(Curvas_cupon_cero!$A:$A)-2,1),OFFSET(Curvas_cupon_cero!$A$1,1,MATCH($B$6,Curvas_cupon_cero!$1:$1,0)-1,COUNT(Curvas_cupon_cero!$A:$A)-2,1)),[1]!interpolar(L350,OFFSET(Curvas_cupon_cero!$A$1,1,0,COUNT(Curvas_cupon_cero!$A:$A)-2,1),OFFSET(Curvas_cupon_cero!$A$1,1,MATCH($B$6,Curvas_cupon_cero!$1:$1,0)-1,COUNT(Curvas_cupon_cero!$A:$A)-2,1))))</f>
        <v/>
      </c>
      <c r="N350" s="23"/>
      <c r="O350" s="19" t="str">
        <f t="shared" si="58"/>
        <v/>
      </c>
    </row>
    <row r="351" spans="1:15" x14ac:dyDescent="0.2">
      <c r="A351" s="12" t="str">
        <f t="shared" si="52"/>
        <v/>
      </c>
      <c r="B351" t="str">
        <f t="shared" si="50"/>
        <v/>
      </c>
      <c r="C351" s="21" t="str">
        <f ca="1">IF(A351="","",IF($B$10="Sí",interpolar_alamb(B351,OFFSET(Curvas_cupon_cero!$A$1,1,0,COUNT(Curvas_cupon_cero!$A:$A)-2,1),OFFSET(Curvas_cupon_cero!$A$1,1,MATCH($B$8,Curvas_cupon_cero!$1:$1,0)-1,COUNT(Curvas_cupon_cero!$A:$A)-2,1)),[1]!interpolar(B351,OFFSET(Curvas_cupon_cero!$A$1,1,0,COUNT(Curvas_cupon_cero!$A:$A)-2,1),OFFSET(Curvas_cupon_cero!$A$1,1,MATCH($B$8,Curvas_cupon_cero!$1:$1,0)-1,COUNT(Curvas_cupon_cero!$A:$A)-2,1))))</f>
        <v/>
      </c>
      <c r="D351" s="23" t="str">
        <f ca="1">IF(A351="","",IF($B$10="Sí",interpolar_alamb(L351,OFFSET(Curvas_cupon_cero!$A$1,1,0,COUNT(Curvas_cupon_cero!$A:$A)-2,1),OFFSET(Curvas_cupon_cero!$A$1,1,MATCH($B$8,Curvas_cupon_cero!$1:$1,0)-1,COUNT(Curvas_cupon_cero!$A:$A)-2,1)),[1]!interpolar(L351,OFFSET(Curvas_cupon_cero!$A$1,1,0,COUNT(Curvas_cupon_cero!$A:$A)-2,1),OFFSET(Curvas_cupon_cero!$A$1,1,MATCH($B$8,Curvas_cupon_cero!$1:$1,0)-1,COUNT(Curvas_cupon_cero!$A:$A)-2,1))))</f>
        <v/>
      </c>
      <c r="E351" s="23" t="str">
        <f t="shared" si="53"/>
        <v/>
      </c>
      <c r="F351" s="23" t="str">
        <f ca="1">IF(A351="","",IF($B$10="Sí",interpolar_alamb(B351,OFFSET(Curvas_cupon_cero!$A$1,1,0,COUNT(Curvas_cupon_cero!$A:$A)-2,1),OFFSET(Curvas_cupon_cero!$A$1,1,MATCH($B$9,Curvas_cupon_cero!$1:$1,0)-1,COUNT(Curvas_cupon_cero!$A:$A)-2,1)),[1]!interpolar(B351,OFFSET(Curvas_cupon_cero!$A$1,1,0,COUNT(Curvas_cupon_cero!$A:$A)-2,1),OFFSET(Curvas_cupon_cero!$A$1,1,MATCH($B$9,Curvas_cupon_cero!$1:$1,0)-1,COUNT(Curvas_cupon_cero!$A:$A)-2,1))))</f>
        <v/>
      </c>
      <c r="G351" s="23" t="str">
        <f t="shared" si="54"/>
        <v/>
      </c>
      <c r="H351" s="20" t="str">
        <f t="shared" si="59"/>
        <v/>
      </c>
      <c r="I351" t="str">
        <f t="shared" si="55"/>
        <v/>
      </c>
      <c r="J351" s="17" t="str">
        <f t="shared" si="51"/>
        <v/>
      </c>
      <c r="K351" s="18" t="str">
        <f t="shared" si="56"/>
        <v/>
      </c>
      <c r="L351" t="str">
        <f t="shared" si="57"/>
        <v/>
      </c>
      <c r="M351" s="23" t="str">
        <f ca="1">IF(A351="","",IF($B$10="Sí",interpolar_alamb(L351,OFFSET(Curvas_cupon_cero!$A$1,1,0,COUNT(Curvas_cupon_cero!$A:$A)-2,1),OFFSET(Curvas_cupon_cero!$A$1,1,MATCH($B$6,Curvas_cupon_cero!$1:$1,0)-1,COUNT(Curvas_cupon_cero!$A:$A)-2,1)),[1]!interpolar(L351,OFFSET(Curvas_cupon_cero!$A$1,1,0,COUNT(Curvas_cupon_cero!$A:$A)-2,1),OFFSET(Curvas_cupon_cero!$A$1,1,MATCH($B$6,Curvas_cupon_cero!$1:$1,0)-1,COUNT(Curvas_cupon_cero!$A:$A)-2,1))))</f>
        <v/>
      </c>
      <c r="N351" s="23"/>
      <c r="O351" s="19" t="str">
        <f t="shared" si="58"/>
        <v/>
      </c>
    </row>
    <row r="352" spans="1:15" x14ac:dyDescent="0.2">
      <c r="A352" s="12" t="str">
        <f t="shared" si="52"/>
        <v/>
      </c>
      <c r="B352" t="str">
        <f t="shared" si="50"/>
        <v/>
      </c>
      <c r="C352" s="21" t="str">
        <f ca="1">IF(A352="","",IF($B$10="Sí",interpolar_alamb(B352,OFFSET(Curvas_cupon_cero!$A$1,1,0,COUNT(Curvas_cupon_cero!$A:$A)-2,1),OFFSET(Curvas_cupon_cero!$A$1,1,MATCH($B$8,Curvas_cupon_cero!$1:$1,0)-1,COUNT(Curvas_cupon_cero!$A:$A)-2,1)),[1]!interpolar(B352,OFFSET(Curvas_cupon_cero!$A$1,1,0,COUNT(Curvas_cupon_cero!$A:$A)-2,1),OFFSET(Curvas_cupon_cero!$A$1,1,MATCH($B$8,Curvas_cupon_cero!$1:$1,0)-1,COUNT(Curvas_cupon_cero!$A:$A)-2,1))))</f>
        <v/>
      </c>
      <c r="D352" s="23" t="str">
        <f ca="1">IF(A352="","",IF($B$10="Sí",interpolar_alamb(L352,OFFSET(Curvas_cupon_cero!$A$1,1,0,COUNT(Curvas_cupon_cero!$A:$A)-2,1),OFFSET(Curvas_cupon_cero!$A$1,1,MATCH($B$8,Curvas_cupon_cero!$1:$1,0)-1,COUNT(Curvas_cupon_cero!$A:$A)-2,1)),[1]!interpolar(L352,OFFSET(Curvas_cupon_cero!$A$1,1,0,COUNT(Curvas_cupon_cero!$A:$A)-2,1),OFFSET(Curvas_cupon_cero!$A$1,1,MATCH($B$8,Curvas_cupon_cero!$1:$1,0)-1,COUNT(Curvas_cupon_cero!$A:$A)-2,1))))</f>
        <v/>
      </c>
      <c r="E352" s="23" t="str">
        <f t="shared" si="53"/>
        <v/>
      </c>
      <c r="F352" s="23" t="str">
        <f ca="1">IF(A352="","",IF($B$10="Sí",interpolar_alamb(B352,OFFSET(Curvas_cupon_cero!$A$1,1,0,COUNT(Curvas_cupon_cero!$A:$A)-2,1),OFFSET(Curvas_cupon_cero!$A$1,1,MATCH($B$9,Curvas_cupon_cero!$1:$1,0)-1,COUNT(Curvas_cupon_cero!$A:$A)-2,1)),[1]!interpolar(B352,OFFSET(Curvas_cupon_cero!$A$1,1,0,COUNT(Curvas_cupon_cero!$A:$A)-2,1),OFFSET(Curvas_cupon_cero!$A$1,1,MATCH($B$9,Curvas_cupon_cero!$1:$1,0)-1,COUNT(Curvas_cupon_cero!$A:$A)-2,1))))</f>
        <v/>
      </c>
      <c r="G352" s="23" t="str">
        <f t="shared" si="54"/>
        <v/>
      </c>
      <c r="H352" s="20" t="str">
        <f t="shared" si="59"/>
        <v/>
      </c>
      <c r="I352" t="str">
        <f t="shared" si="55"/>
        <v/>
      </c>
      <c r="J352" s="17" t="str">
        <f t="shared" si="51"/>
        <v/>
      </c>
      <c r="K352" s="18" t="str">
        <f t="shared" si="56"/>
        <v/>
      </c>
      <c r="L352" t="str">
        <f t="shared" si="57"/>
        <v/>
      </c>
      <c r="M352" s="23" t="str">
        <f ca="1">IF(A352="","",IF($B$10="Sí",interpolar_alamb(L352,OFFSET(Curvas_cupon_cero!$A$1,1,0,COUNT(Curvas_cupon_cero!$A:$A)-2,1),OFFSET(Curvas_cupon_cero!$A$1,1,MATCH($B$6,Curvas_cupon_cero!$1:$1,0)-1,COUNT(Curvas_cupon_cero!$A:$A)-2,1)),[1]!interpolar(L352,OFFSET(Curvas_cupon_cero!$A$1,1,0,COUNT(Curvas_cupon_cero!$A:$A)-2,1),OFFSET(Curvas_cupon_cero!$A$1,1,MATCH($B$6,Curvas_cupon_cero!$1:$1,0)-1,COUNT(Curvas_cupon_cero!$A:$A)-2,1))))</f>
        <v/>
      </c>
      <c r="N352" s="23"/>
      <c r="O352" s="19" t="str">
        <f t="shared" si="58"/>
        <v/>
      </c>
    </row>
    <row r="353" spans="1:15" x14ac:dyDescent="0.2">
      <c r="A353" s="12" t="str">
        <f t="shared" si="52"/>
        <v/>
      </c>
      <c r="B353" t="str">
        <f t="shared" si="50"/>
        <v/>
      </c>
      <c r="C353" s="21" t="str">
        <f ca="1">IF(A353="","",IF($B$10="Sí",interpolar_alamb(B353,OFFSET(Curvas_cupon_cero!$A$1,1,0,COUNT(Curvas_cupon_cero!$A:$A)-2,1),OFFSET(Curvas_cupon_cero!$A$1,1,MATCH($B$8,Curvas_cupon_cero!$1:$1,0)-1,COUNT(Curvas_cupon_cero!$A:$A)-2,1)),[1]!interpolar(B353,OFFSET(Curvas_cupon_cero!$A$1,1,0,COUNT(Curvas_cupon_cero!$A:$A)-2,1),OFFSET(Curvas_cupon_cero!$A$1,1,MATCH($B$8,Curvas_cupon_cero!$1:$1,0)-1,COUNT(Curvas_cupon_cero!$A:$A)-2,1))))</f>
        <v/>
      </c>
      <c r="D353" s="23" t="str">
        <f ca="1">IF(A353="","",IF($B$10="Sí",interpolar_alamb(L353,OFFSET(Curvas_cupon_cero!$A$1,1,0,COUNT(Curvas_cupon_cero!$A:$A)-2,1),OFFSET(Curvas_cupon_cero!$A$1,1,MATCH($B$8,Curvas_cupon_cero!$1:$1,0)-1,COUNT(Curvas_cupon_cero!$A:$A)-2,1)),[1]!interpolar(L353,OFFSET(Curvas_cupon_cero!$A$1,1,0,COUNT(Curvas_cupon_cero!$A:$A)-2,1),OFFSET(Curvas_cupon_cero!$A$1,1,MATCH($B$8,Curvas_cupon_cero!$1:$1,0)-1,COUNT(Curvas_cupon_cero!$A:$A)-2,1))))</f>
        <v/>
      </c>
      <c r="E353" s="23" t="str">
        <f t="shared" si="53"/>
        <v/>
      </c>
      <c r="F353" s="23" t="str">
        <f ca="1">IF(A353="","",IF($B$10="Sí",interpolar_alamb(B353,OFFSET(Curvas_cupon_cero!$A$1,1,0,COUNT(Curvas_cupon_cero!$A:$A)-2,1),OFFSET(Curvas_cupon_cero!$A$1,1,MATCH($B$9,Curvas_cupon_cero!$1:$1,0)-1,COUNT(Curvas_cupon_cero!$A:$A)-2,1)),[1]!interpolar(B353,OFFSET(Curvas_cupon_cero!$A$1,1,0,COUNT(Curvas_cupon_cero!$A:$A)-2,1),OFFSET(Curvas_cupon_cero!$A$1,1,MATCH($B$9,Curvas_cupon_cero!$1:$1,0)-1,COUNT(Curvas_cupon_cero!$A:$A)-2,1))))</f>
        <v/>
      </c>
      <c r="G353" s="23" t="str">
        <f t="shared" si="54"/>
        <v/>
      </c>
      <c r="H353" s="20" t="str">
        <f t="shared" si="59"/>
        <v/>
      </c>
      <c r="I353" t="str">
        <f t="shared" si="55"/>
        <v/>
      </c>
      <c r="J353" s="17" t="str">
        <f t="shared" si="51"/>
        <v/>
      </c>
      <c r="K353" s="18" t="str">
        <f t="shared" si="56"/>
        <v/>
      </c>
      <c r="L353" t="str">
        <f t="shared" si="57"/>
        <v/>
      </c>
      <c r="M353" s="23" t="str">
        <f ca="1">IF(A353="","",IF($B$10="Sí",interpolar_alamb(L353,OFFSET(Curvas_cupon_cero!$A$1,1,0,COUNT(Curvas_cupon_cero!$A:$A)-2,1),OFFSET(Curvas_cupon_cero!$A$1,1,MATCH($B$6,Curvas_cupon_cero!$1:$1,0)-1,COUNT(Curvas_cupon_cero!$A:$A)-2,1)),[1]!interpolar(L353,OFFSET(Curvas_cupon_cero!$A$1,1,0,COUNT(Curvas_cupon_cero!$A:$A)-2,1),OFFSET(Curvas_cupon_cero!$A$1,1,MATCH($B$6,Curvas_cupon_cero!$1:$1,0)-1,COUNT(Curvas_cupon_cero!$A:$A)-2,1))))</f>
        <v/>
      </c>
      <c r="N353" s="23"/>
      <c r="O353" s="19" t="str">
        <f t="shared" si="58"/>
        <v/>
      </c>
    </row>
    <row r="354" spans="1:15" x14ac:dyDescent="0.2">
      <c r="A354" s="12" t="str">
        <f t="shared" si="52"/>
        <v/>
      </c>
      <c r="B354" t="str">
        <f t="shared" si="50"/>
        <v/>
      </c>
      <c r="C354" s="21" t="str">
        <f ca="1">IF(A354="","",IF($B$10="Sí",interpolar_alamb(B354,OFFSET(Curvas_cupon_cero!$A$1,1,0,COUNT(Curvas_cupon_cero!$A:$A)-2,1),OFFSET(Curvas_cupon_cero!$A$1,1,MATCH($B$8,Curvas_cupon_cero!$1:$1,0)-1,COUNT(Curvas_cupon_cero!$A:$A)-2,1)),[1]!interpolar(B354,OFFSET(Curvas_cupon_cero!$A$1,1,0,COUNT(Curvas_cupon_cero!$A:$A)-2,1),OFFSET(Curvas_cupon_cero!$A$1,1,MATCH($B$8,Curvas_cupon_cero!$1:$1,0)-1,COUNT(Curvas_cupon_cero!$A:$A)-2,1))))</f>
        <v/>
      </c>
      <c r="D354" s="23" t="str">
        <f ca="1">IF(A354="","",IF($B$10="Sí",interpolar_alamb(L354,OFFSET(Curvas_cupon_cero!$A$1,1,0,COUNT(Curvas_cupon_cero!$A:$A)-2,1),OFFSET(Curvas_cupon_cero!$A$1,1,MATCH($B$8,Curvas_cupon_cero!$1:$1,0)-1,COUNT(Curvas_cupon_cero!$A:$A)-2,1)),[1]!interpolar(L354,OFFSET(Curvas_cupon_cero!$A$1,1,0,COUNT(Curvas_cupon_cero!$A:$A)-2,1),OFFSET(Curvas_cupon_cero!$A$1,1,MATCH($B$8,Curvas_cupon_cero!$1:$1,0)-1,COUNT(Curvas_cupon_cero!$A:$A)-2,1))))</f>
        <v/>
      </c>
      <c r="E354" s="23" t="str">
        <f t="shared" si="53"/>
        <v/>
      </c>
      <c r="F354" s="23" t="str">
        <f ca="1">IF(A354="","",IF($B$10="Sí",interpolar_alamb(B354,OFFSET(Curvas_cupon_cero!$A$1,1,0,COUNT(Curvas_cupon_cero!$A:$A)-2,1),OFFSET(Curvas_cupon_cero!$A$1,1,MATCH($B$9,Curvas_cupon_cero!$1:$1,0)-1,COUNT(Curvas_cupon_cero!$A:$A)-2,1)),[1]!interpolar(B354,OFFSET(Curvas_cupon_cero!$A$1,1,0,COUNT(Curvas_cupon_cero!$A:$A)-2,1),OFFSET(Curvas_cupon_cero!$A$1,1,MATCH($B$9,Curvas_cupon_cero!$1:$1,0)-1,COUNT(Curvas_cupon_cero!$A:$A)-2,1))))</f>
        <v/>
      </c>
      <c r="G354" s="23" t="str">
        <f t="shared" si="54"/>
        <v/>
      </c>
      <c r="H354" s="20" t="str">
        <f t="shared" si="59"/>
        <v/>
      </c>
      <c r="I354" t="str">
        <f t="shared" si="55"/>
        <v/>
      </c>
      <c r="J354" s="17" t="str">
        <f t="shared" si="51"/>
        <v/>
      </c>
      <c r="K354" s="18" t="str">
        <f t="shared" si="56"/>
        <v/>
      </c>
      <c r="L354" t="str">
        <f t="shared" si="57"/>
        <v/>
      </c>
      <c r="M354" s="23" t="str">
        <f ca="1">IF(A354="","",IF($B$10="Sí",interpolar_alamb(L354,OFFSET(Curvas_cupon_cero!$A$1,1,0,COUNT(Curvas_cupon_cero!$A:$A)-2,1),OFFSET(Curvas_cupon_cero!$A$1,1,MATCH($B$6,Curvas_cupon_cero!$1:$1,0)-1,COUNT(Curvas_cupon_cero!$A:$A)-2,1)),[1]!interpolar(L354,OFFSET(Curvas_cupon_cero!$A$1,1,0,COUNT(Curvas_cupon_cero!$A:$A)-2,1),OFFSET(Curvas_cupon_cero!$A$1,1,MATCH($B$6,Curvas_cupon_cero!$1:$1,0)-1,COUNT(Curvas_cupon_cero!$A:$A)-2,1))))</f>
        <v/>
      </c>
      <c r="N354" s="23"/>
      <c r="O354" s="19" t="str">
        <f t="shared" si="58"/>
        <v/>
      </c>
    </row>
    <row r="355" spans="1:15" x14ac:dyDescent="0.2">
      <c r="A355" s="12" t="str">
        <f t="shared" si="52"/>
        <v/>
      </c>
      <c r="B355" t="str">
        <f t="shared" si="50"/>
        <v/>
      </c>
      <c r="C355" s="21" t="str">
        <f ca="1">IF(A355="","",IF($B$10="Sí",interpolar_alamb(B355,OFFSET(Curvas_cupon_cero!$A$1,1,0,COUNT(Curvas_cupon_cero!$A:$A)-2,1),OFFSET(Curvas_cupon_cero!$A$1,1,MATCH($B$8,Curvas_cupon_cero!$1:$1,0)-1,COUNT(Curvas_cupon_cero!$A:$A)-2,1)),[1]!interpolar(B355,OFFSET(Curvas_cupon_cero!$A$1,1,0,COUNT(Curvas_cupon_cero!$A:$A)-2,1),OFFSET(Curvas_cupon_cero!$A$1,1,MATCH($B$8,Curvas_cupon_cero!$1:$1,0)-1,COUNT(Curvas_cupon_cero!$A:$A)-2,1))))</f>
        <v/>
      </c>
      <c r="D355" s="23" t="str">
        <f ca="1">IF(A355="","",IF($B$10="Sí",interpolar_alamb(L355,OFFSET(Curvas_cupon_cero!$A$1,1,0,COUNT(Curvas_cupon_cero!$A:$A)-2,1),OFFSET(Curvas_cupon_cero!$A$1,1,MATCH($B$8,Curvas_cupon_cero!$1:$1,0)-1,COUNT(Curvas_cupon_cero!$A:$A)-2,1)),[1]!interpolar(L355,OFFSET(Curvas_cupon_cero!$A$1,1,0,COUNT(Curvas_cupon_cero!$A:$A)-2,1),OFFSET(Curvas_cupon_cero!$A$1,1,MATCH($B$8,Curvas_cupon_cero!$1:$1,0)-1,COUNT(Curvas_cupon_cero!$A:$A)-2,1))))</f>
        <v/>
      </c>
      <c r="E355" s="23" t="str">
        <f t="shared" si="53"/>
        <v/>
      </c>
      <c r="F355" s="23" t="str">
        <f ca="1">IF(A355="","",IF($B$10="Sí",interpolar_alamb(B355,OFFSET(Curvas_cupon_cero!$A$1,1,0,COUNT(Curvas_cupon_cero!$A:$A)-2,1),OFFSET(Curvas_cupon_cero!$A$1,1,MATCH($B$9,Curvas_cupon_cero!$1:$1,0)-1,COUNT(Curvas_cupon_cero!$A:$A)-2,1)),[1]!interpolar(B355,OFFSET(Curvas_cupon_cero!$A$1,1,0,COUNT(Curvas_cupon_cero!$A:$A)-2,1),OFFSET(Curvas_cupon_cero!$A$1,1,MATCH($B$9,Curvas_cupon_cero!$1:$1,0)-1,COUNT(Curvas_cupon_cero!$A:$A)-2,1))))</f>
        <v/>
      </c>
      <c r="G355" s="23" t="str">
        <f t="shared" si="54"/>
        <v/>
      </c>
      <c r="H355" s="20" t="str">
        <f t="shared" si="59"/>
        <v/>
      </c>
      <c r="I355" t="str">
        <f t="shared" si="55"/>
        <v/>
      </c>
      <c r="J355" s="17" t="str">
        <f t="shared" si="51"/>
        <v/>
      </c>
      <c r="K355" s="18" t="str">
        <f t="shared" si="56"/>
        <v/>
      </c>
      <c r="L355" t="str">
        <f t="shared" si="57"/>
        <v/>
      </c>
      <c r="M355" s="23" t="str">
        <f ca="1">IF(A355="","",IF($B$10="Sí",interpolar_alamb(L355,OFFSET(Curvas_cupon_cero!$A$1,1,0,COUNT(Curvas_cupon_cero!$A:$A)-2,1),OFFSET(Curvas_cupon_cero!$A$1,1,MATCH($B$6,Curvas_cupon_cero!$1:$1,0)-1,COUNT(Curvas_cupon_cero!$A:$A)-2,1)),[1]!interpolar(L355,OFFSET(Curvas_cupon_cero!$A$1,1,0,COUNT(Curvas_cupon_cero!$A:$A)-2,1),OFFSET(Curvas_cupon_cero!$A$1,1,MATCH($B$6,Curvas_cupon_cero!$1:$1,0)-1,COUNT(Curvas_cupon_cero!$A:$A)-2,1))))</f>
        <v/>
      </c>
      <c r="N355" s="23"/>
      <c r="O355" s="19" t="str">
        <f t="shared" si="58"/>
        <v/>
      </c>
    </row>
    <row r="356" spans="1:15" x14ac:dyDescent="0.2">
      <c r="A356" s="12" t="str">
        <f t="shared" si="52"/>
        <v/>
      </c>
      <c r="B356" t="str">
        <f t="shared" si="50"/>
        <v/>
      </c>
      <c r="C356" s="21" t="str">
        <f ca="1">IF(A356="","",IF($B$10="Sí",interpolar_alamb(B356,OFFSET(Curvas_cupon_cero!$A$1,1,0,COUNT(Curvas_cupon_cero!$A:$A)-2,1),OFFSET(Curvas_cupon_cero!$A$1,1,MATCH($B$8,Curvas_cupon_cero!$1:$1,0)-1,COUNT(Curvas_cupon_cero!$A:$A)-2,1)),[1]!interpolar(B356,OFFSET(Curvas_cupon_cero!$A$1,1,0,COUNT(Curvas_cupon_cero!$A:$A)-2,1),OFFSET(Curvas_cupon_cero!$A$1,1,MATCH($B$8,Curvas_cupon_cero!$1:$1,0)-1,COUNT(Curvas_cupon_cero!$A:$A)-2,1))))</f>
        <v/>
      </c>
      <c r="D356" s="23" t="str">
        <f ca="1">IF(A356="","",IF($B$10="Sí",interpolar_alamb(L356,OFFSET(Curvas_cupon_cero!$A$1,1,0,COUNT(Curvas_cupon_cero!$A:$A)-2,1),OFFSET(Curvas_cupon_cero!$A$1,1,MATCH($B$8,Curvas_cupon_cero!$1:$1,0)-1,COUNT(Curvas_cupon_cero!$A:$A)-2,1)),[1]!interpolar(L356,OFFSET(Curvas_cupon_cero!$A$1,1,0,COUNT(Curvas_cupon_cero!$A:$A)-2,1),OFFSET(Curvas_cupon_cero!$A$1,1,MATCH($B$8,Curvas_cupon_cero!$1:$1,0)-1,COUNT(Curvas_cupon_cero!$A:$A)-2,1))))</f>
        <v/>
      </c>
      <c r="E356" s="23" t="str">
        <f t="shared" si="53"/>
        <v/>
      </c>
      <c r="F356" s="23" t="str">
        <f ca="1">IF(A356="","",IF($B$10="Sí",interpolar_alamb(B356,OFFSET(Curvas_cupon_cero!$A$1,1,0,COUNT(Curvas_cupon_cero!$A:$A)-2,1),OFFSET(Curvas_cupon_cero!$A$1,1,MATCH($B$9,Curvas_cupon_cero!$1:$1,0)-1,COUNT(Curvas_cupon_cero!$A:$A)-2,1)),[1]!interpolar(B356,OFFSET(Curvas_cupon_cero!$A$1,1,0,COUNT(Curvas_cupon_cero!$A:$A)-2,1),OFFSET(Curvas_cupon_cero!$A$1,1,MATCH($B$9,Curvas_cupon_cero!$1:$1,0)-1,COUNT(Curvas_cupon_cero!$A:$A)-2,1))))</f>
        <v/>
      </c>
      <c r="G356" s="23" t="str">
        <f t="shared" si="54"/>
        <v/>
      </c>
      <c r="H356" s="20" t="str">
        <f t="shared" si="59"/>
        <v/>
      </c>
      <c r="I356" t="str">
        <f t="shared" si="55"/>
        <v/>
      </c>
      <c r="J356" s="17" t="str">
        <f t="shared" si="51"/>
        <v/>
      </c>
      <c r="K356" s="18" t="str">
        <f t="shared" si="56"/>
        <v/>
      </c>
      <c r="L356" t="str">
        <f t="shared" si="57"/>
        <v/>
      </c>
      <c r="M356" s="23" t="str">
        <f ca="1">IF(A356="","",IF($B$10="Sí",interpolar_alamb(L356,OFFSET(Curvas_cupon_cero!$A$1,1,0,COUNT(Curvas_cupon_cero!$A:$A)-2,1),OFFSET(Curvas_cupon_cero!$A$1,1,MATCH($B$6,Curvas_cupon_cero!$1:$1,0)-1,COUNT(Curvas_cupon_cero!$A:$A)-2,1)),[1]!interpolar(L356,OFFSET(Curvas_cupon_cero!$A$1,1,0,COUNT(Curvas_cupon_cero!$A:$A)-2,1),OFFSET(Curvas_cupon_cero!$A$1,1,MATCH($B$6,Curvas_cupon_cero!$1:$1,0)-1,COUNT(Curvas_cupon_cero!$A:$A)-2,1))))</f>
        <v/>
      </c>
      <c r="N356" s="23"/>
      <c r="O356" s="19" t="str">
        <f t="shared" si="58"/>
        <v/>
      </c>
    </row>
    <row r="357" spans="1:15" x14ac:dyDescent="0.2">
      <c r="A357" s="12" t="str">
        <f t="shared" si="52"/>
        <v/>
      </c>
      <c r="B357" t="str">
        <f t="shared" si="50"/>
        <v/>
      </c>
      <c r="C357" s="21" t="str">
        <f ca="1">IF(A357="","",IF($B$10="Sí",interpolar_alamb(B357,OFFSET(Curvas_cupon_cero!$A$1,1,0,COUNT(Curvas_cupon_cero!$A:$A)-2,1),OFFSET(Curvas_cupon_cero!$A$1,1,MATCH($B$8,Curvas_cupon_cero!$1:$1,0)-1,COUNT(Curvas_cupon_cero!$A:$A)-2,1)),[1]!interpolar(B357,OFFSET(Curvas_cupon_cero!$A$1,1,0,COUNT(Curvas_cupon_cero!$A:$A)-2,1),OFFSET(Curvas_cupon_cero!$A$1,1,MATCH($B$8,Curvas_cupon_cero!$1:$1,0)-1,COUNT(Curvas_cupon_cero!$A:$A)-2,1))))</f>
        <v/>
      </c>
      <c r="D357" s="23" t="str">
        <f ca="1">IF(A357="","",IF($B$10="Sí",interpolar_alamb(L357,OFFSET(Curvas_cupon_cero!$A$1,1,0,COUNT(Curvas_cupon_cero!$A:$A)-2,1),OFFSET(Curvas_cupon_cero!$A$1,1,MATCH($B$8,Curvas_cupon_cero!$1:$1,0)-1,COUNT(Curvas_cupon_cero!$A:$A)-2,1)),[1]!interpolar(L357,OFFSET(Curvas_cupon_cero!$A$1,1,0,COUNT(Curvas_cupon_cero!$A:$A)-2,1),OFFSET(Curvas_cupon_cero!$A$1,1,MATCH($B$8,Curvas_cupon_cero!$1:$1,0)-1,COUNT(Curvas_cupon_cero!$A:$A)-2,1))))</f>
        <v/>
      </c>
      <c r="E357" s="23" t="str">
        <f t="shared" si="53"/>
        <v/>
      </c>
      <c r="F357" s="23" t="str">
        <f ca="1">IF(A357="","",IF($B$10="Sí",interpolar_alamb(B357,OFFSET(Curvas_cupon_cero!$A$1,1,0,COUNT(Curvas_cupon_cero!$A:$A)-2,1),OFFSET(Curvas_cupon_cero!$A$1,1,MATCH($B$9,Curvas_cupon_cero!$1:$1,0)-1,COUNT(Curvas_cupon_cero!$A:$A)-2,1)),[1]!interpolar(B357,OFFSET(Curvas_cupon_cero!$A$1,1,0,COUNT(Curvas_cupon_cero!$A:$A)-2,1),OFFSET(Curvas_cupon_cero!$A$1,1,MATCH($B$9,Curvas_cupon_cero!$1:$1,0)-1,COUNT(Curvas_cupon_cero!$A:$A)-2,1))))</f>
        <v/>
      </c>
      <c r="G357" s="23" t="str">
        <f t="shared" si="54"/>
        <v/>
      </c>
      <c r="H357" s="20" t="str">
        <f t="shared" si="59"/>
        <v/>
      </c>
      <c r="I357" t="str">
        <f t="shared" si="55"/>
        <v/>
      </c>
      <c r="J357" s="17" t="str">
        <f t="shared" si="51"/>
        <v/>
      </c>
      <c r="K357" s="18" t="str">
        <f t="shared" si="56"/>
        <v/>
      </c>
      <c r="L357" t="str">
        <f t="shared" si="57"/>
        <v/>
      </c>
      <c r="M357" s="23" t="str">
        <f ca="1">IF(A357="","",IF($B$10="Sí",interpolar_alamb(L357,OFFSET(Curvas_cupon_cero!$A$1,1,0,COUNT(Curvas_cupon_cero!$A:$A)-2,1),OFFSET(Curvas_cupon_cero!$A$1,1,MATCH($B$6,Curvas_cupon_cero!$1:$1,0)-1,COUNT(Curvas_cupon_cero!$A:$A)-2,1)),[1]!interpolar(L357,OFFSET(Curvas_cupon_cero!$A$1,1,0,COUNT(Curvas_cupon_cero!$A:$A)-2,1),OFFSET(Curvas_cupon_cero!$A$1,1,MATCH($B$6,Curvas_cupon_cero!$1:$1,0)-1,COUNT(Curvas_cupon_cero!$A:$A)-2,1))))</f>
        <v/>
      </c>
      <c r="N357" s="23"/>
      <c r="O357" s="19" t="str">
        <f t="shared" si="58"/>
        <v/>
      </c>
    </row>
    <row r="358" spans="1:15" x14ac:dyDescent="0.2">
      <c r="A358" s="12" t="str">
        <f t="shared" si="52"/>
        <v/>
      </c>
      <c r="B358" t="str">
        <f t="shared" si="50"/>
        <v/>
      </c>
      <c r="C358" s="21" t="str">
        <f ca="1">IF(A358="","",IF($B$10="Sí",interpolar_alamb(B358,OFFSET(Curvas_cupon_cero!$A$1,1,0,COUNT(Curvas_cupon_cero!$A:$A)-2,1),OFFSET(Curvas_cupon_cero!$A$1,1,MATCH($B$8,Curvas_cupon_cero!$1:$1,0)-1,COUNT(Curvas_cupon_cero!$A:$A)-2,1)),[1]!interpolar(B358,OFFSET(Curvas_cupon_cero!$A$1,1,0,COUNT(Curvas_cupon_cero!$A:$A)-2,1),OFFSET(Curvas_cupon_cero!$A$1,1,MATCH($B$8,Curvas_cupon_cero!$1:$1,0)-1,COUNT(Curvas_cupon_cero!$A:$A)-2,1))))</f>
        <v/>
      </c>
      <c r="D358" s="23" t="str">
        <f ca="1">IF(A358="","",IF($B$10="Sí",interpolar_alamb(L358,OFFSET(Curvas_cupon_cero!$A$1,1,0,COUNT(Curvas_cupon_cero!$A:$A)-2,1),OFFSET(Curvas_cupon_cero!$A$1,1,MATCH($B$8,Curvas_cupon_cero!$1:$1,0)-1,COUNT(Curvas_cupon_cero!$A:$A)-2,1)),[1]!interpolar(L358,OFFSET(Curvas_cupon_cero!$A$1,1,0,COUNT(Curvas_cupon_cero!$A:$A)-2,1),OFFSET(Curvas_cupon_cero!$A$1,1,MATCH($B$8,Curvas_cupon_cero!$1:$1,0)-1,COUNT(Curvas_cupon_cero!$A:$A)-2,1))))</f>
        <v/>
      </c>
      <c r="E358" s="23" t="str">
        <f t="shared" si="53"/>
        <v/>
      </c>
      <c r="F358" s="23" t="str">
        <f ca="1">IF(A358="","",IF($B$10="Sí",interpolar_alamb(B358,OFFSET(Curvas_cupon_cero!$A$1,1,0,COUNT(Curvas_cupon_cero!$A:$A)-2,1),OFFSET(Curvas_cupon_cero!$A$1,1,MATCH($B$9,Curvas_cupon_cero!$1:$1,0)-1,COUNT(Curvas_cupon_cero!$A:$A)-2,1)),[1]!interpolar(B358,OFFSET(Curvas_cupon_cero!$A$1,1,0,COUNT(Curvas_cupon_cero!$A:$A)-2,1),OFFSET(Curvas_cupon_cero!$A$1,1,MATCH($B$9,Curvas_cupon_cero!$1:$1,0)-1,COUNT(Curvas_cupon_cero!$A:$A)-2,1))))</f>
        <v/>
      </c>
      <c r="G358" s="23" t="str">
        <f t="shared" si="54"/>
        <v/>
      </c>
      <c r="H358" s="20" t="str">
        <f t="shared" si="59"/>
        <v/>
      </c>
      <c r="I358" t="str">
        <f t="shared" si="55"/>
        <v/>
      </c>
      <c r="J358" s="17" t="str">
        <f t="shared" si="51"/>
        <v/>
      </c>
      <c r="K358" s="18" t="str">
        <f t="shared" si="56"/>
        <v/>
      </c>
      <c r="L358" t="str">
        <f t="shared" si="57"/>
        <v/>
      </c>
      <c r="M358" s="23" t="str">
        <f ca="1">IF(A358="","",IF($B$10="Sí",interpolar_alamb(L358,OFFSET(Curvas_cupon_cero!$A$1,1,0,COUNT(Curvas_cupon_cero!$A:$A)-2,1),OFFSET(Curvas_cupon_cero!$A$1,1,MATCH($B$6,Curvas_cupon_cero!$1:$1,0)-1,COUNT(Curvas_cupon_cero!$A:$A)-2,1)),[1]!interpolar(L358,OFFSET(Curvas_cupon_cero!$A$1,1,0,COUNT(Curvas_cupon_cero!$A:$A)-2,1),OFFSET(Curvas_cupon_cero!$A$1,1,MATCH($B$6,Curvas_cupon_cero!$1:$1,0)-1,COUNT(Curvas_cupon_cero!$A:$A)-2,1))))</f>
        <v/>
      </c>
      <c r="N358" s="23"/>
      <c r="O358" s="19" t="str">
        <f t="shared" si="58"/>
        <v/>
      </c>
    </row>
    <row r="359" spans="1:15" x14ac:dyDescent="0.2">
      <c r="A359" s="12" t="str">
        <f t="shared" si="52"/>
        <v/>
      </c>
      <c r="B359" t="str">
        <f t="shared" si="50"/>
        <v/>
      </c>
      <c r="C359" s="21" t="str">
        <f ca="1">IF(A359="","",IF($B$10="Sí",interpolar_alamb(B359,OFFSET(Curvas_cupon_cero!$A$1,1,0,COUNT(Curvas_cupon_cero!$A:$A)-2,1),OFFSET(Curvas_cupon_cero!$A$1,1,MATCH($B$8,Curvas_cupon_cero!$1:$1,0)-1,COUNT(Curvas_cupon_cero!$A:$A)-2,1)),[1]!interpolar(B359,OFFSET(Curvas_cupon_cero!$A$1,1,0,COUNT(Curvas_cupon_cero!$A:$A)-2,1),OFFSET(Curvas_cupon_cero!$A$1,1,MATCH($B$8,Curvas_cupon_cero!$1:$1,0)-1,COUNT(Curvas_cupon_cero!$A:$A)-2,1))))</f>
        <v/>
      </c>
      <c r="D359" s="23" t="str">
        <f ca="1">IF(A359="","",IF($B$10="Sí",interpolar_alamb(L359,OFFSET(Curvas_cupon_cero!$A$1,1,0,COUNT(Curvas_cupon_cero!$A:$A)-2,1),OFFSET(Curvas_cupon_cero!$A$1,1,MATCH($B$8,Curvas_cupon_cero!$1:$1,0)-1,COUNT(Curvas_cupon_cero!$A:$A)-2,1)),[1]!interpolar(L359,OFFSET(Curvas_cupon_cero!$A$1,1,0,COUNT(Curvas_cupon_cero!$A:$A)-2,1),OFFSET(Curvas_cupon_cero!$A$1,1,MATCH($B$8,Curvas_cupon_cero!$1:$1,0)-1,COUNT(Curvas_cupon_cero!$A:$A)-2,1))))</f>
        <v/>
      </c>
      <c r="E359" s="23" t="str">
        <f t="shared" si="53"/>
        <v/>
      </c>
      <c r="F359" s="23" t="str">
        <f ca="1">IF(A359="","",IF($B$10="Sí",interpolar_alamb(B359,OFFSET(Curvas_cupon_cero!$A$1,1,0,COUNT(Curvas_cupon_cero!$A:$A)-2,1),OFFSET(Curvas_cupon_cero!$A$1,1,MATCH($B$9,Curvas_cupon_cero!$1:$1,0)-1,COUNT(Curvas_cupon_cero!$A:$A)-2,1)),[1]!interpolar(B359,OFFSET(Curvas_cupon_cero!$A$1,1,0,COUNT(Curvas_cupon_cero!$A:$A)-2,1),OFFSET(Curvas_cupon_cero!$A$1,1,MATCH($B$9,Curvas_cupon_cero!$1:$1,0)-1,COUNT(Curvas_cupon_cero!$A:$A)-2,1))))</f>
        <v/>
      </c>
      <c r="G359" s="23" t="str">
        <f t="shared" si="54"/>
        <v/>
      </c>
      <c r="H359" s="20" t="str">
        <f t="shared" si="59"/>
        <v/>
      </c>
      <c r="I359" t="str">
        <f t="shared" si="55"/>
        <v/>
      </c>
      <c r="J359" s="17" t="str">
        <f t="shared" si="51"/>
        <v/>
      </c>
      <c r="K359" s="18" t="str">
        <f t="shared" si="56"/>
        <v/>
      </c>
      <c r="L359" t="str">
        <f t="shared" si="57"/>
        <v/>
      </c>
      <c r="M359" s="23" t="str">
        <f ca="1">IF(A359="","",IF($B$10="Sí",interpolar_alamb(L359,OFFSET(Curvas_cupon_cero!$A$1,1,0,COUNT(Curvas_cupon_cero!$A:$A)-2,1),OFFSET(Curvas_cupon_cero!$A$1,1,MATCH($B$6,Curvas_cupon_cero!$1:$1,0)-1,COUNT(Curvas_cupon_cero!$A:$A)-2,1)),[1]!interpolar(L359,OFFSET(Curvas_cupon_cero!$A$1,1,0,COUNT(Curvas_cupon_cero!$A:$A)-2,1),OFFSET(Curvas_cupon_cero!$A$1,1,MATCH($B$6,Curvas_cupon_cero!$1:$1,0)-1,COUNT(Curvas_cupon_cero!$A:$A)-2,1))))</f>
        <v/>
      </c>
      <c r="N359" s="23"/>
      <c r="O359" s="19" t="str">
        <f t="shared" si="58"/>
        <v/>
      </c>
    </row>
    <row r="360" spans="1:15" x14ac:dyDescent="0.2">
      <c r="A360" s="12" t="str">
        <f t="shared" si="52"/>
        <v/>
      </c>
      <c r="B360" t="str">
        <f t="shared" si="50"/>
        <v/>
      </c>
      <c r="C360" s="21" t="str">
        <f ca="1">IF(A360="","",IF($B$10="Sí",interpolar_alamb(B360,OFFSET(Curvas_cupon_cero!$A$1,1,0,COUNT(Curvas_cupon_cero!$A:$A)-2,1),OFFSET(Curvas_cupon_cero!$A$1,1,MATCH($B$8,Curvas_cupon_cero!$1:$1,0)-1,COUNT(Curvas_cupon_cero!$A:$A)-2,1)),[1]!interpolar(B360,OFFSET(Curvas_cupon_cero!$A$1,1,0,COUNT(Curvas_cupon_cero!$A:$A)-2,1),OFFSET(Curvas_cupon_cero!$A$1,1,MATCH($B$8,Curvas_cupon_cero!$1:$1,0)-1,COUNT(Curvas_cupon_cero!$A:$A)-2,1))))</f>
        <v/>
      </c>
      <c r="D360" s="23" t="str">
        <f ca="1">IF(A360="","",IF($B$10="Sí",interpolar_alamb(L360,OFFSET(Curvas_cupon_cero!$A$1,1,0,COUNT(Curvas_cupon_cero!$A:$A)-2,1),OFFSET(Curvas_cupon_cero!$A$1,1,MATCH($B$8,Curvas_cupon_cero!$1:$1,0)-1,COUNT(Curvas_cupon_cero!$A:$A)-2,1)),[1]!interpolar(L360,OFFSET(Curvas_cupon_cero!$A$1,1,0,COUNT(Curvas_cupon_cero!$A:$A)-2,1),OFFSET(Curvas_cupon_cero!$A$1,1,MATCH($B$8,Curvas_cupon_cero!$1:$1,0)-1,COUNT(Curvas_cupon_cero!$A:$A)-2,1))))</f>
        <v/>
      </c>
      <c r="E360" s="23" t="str">
        <f t="shared" si="53"/>
        <v/>
      </c>
      <c r="F360" s="23" t="str">
        <f ca="1">IF(A360="","",IF($B$10="Sí",interpolar_alamb(B360,OFFSET(Curvas_cupon_cero!$A$1,1,0,COUNT(Curvas_cupon_cero!$A:$A)-2,1),OFFSET(Curvas_cupon_cero!$A$1,1,MATCH($B$9,Curvas_cupon_cero!$1:$1,0)-1,COUNT(Curvas_cupon_cero!$A:$A)-2,1)),[1]!interpolar(B360,OFFSET(Curvas_cupon_cero!$A$1,1,0,COUNT(Curvas_cupon_cero!$A:$A)-2,1),OFFSET(Curvas_cupon_cero!$A$1,1,MATCH($B$9,Curvas_cupon_cero!$1:$1,0)-1,COUNT(Curvas_cupon_cero!$A:$A)-2,1))))</f>
        <v/>
      </c>
      <c r="G360" s="23" t="str">
        <f t="shared" si="54"/>
        <v/>
      </c>
      <c r="H360" s="20" t="str">
        <f t="shared" si="59"/>
        <v/>
      </c>
      <c r="I360" t="str">
        <f t="shared" si="55"/>
        <v/>
      </c>
      <c r="J360" s="17" t="str">
        <f t="shared" si="51"/>
        <v/>
      </c>
      <c r="K360" s="18" t="str">
        <f t="shared" si="56"/>
        <v/>
      </c>
      <c r="L360" t="str">
        <f t="shared" si="57"/>
        <v/>
      </c>
      <c r="M360" s="23" t="str">
        <f ca="1">IF(A360="","",IF($B$10="Sí",interpolar_alamb(L360,OFFSET(Curvas_cupon_cero!$A$1,1,0,COUNT(Curvas_cupon_cero!$A:$A)-2,1),OFFSET(Curvas_cupon_cero!$A$1,1,MATCH($B$6,Curvas_cupon_cero!$1:$1,0)-1,COUNT(Curvas_cupon_cero!$A:$A)-2,1)),[1]!interpolar(L360,OFFSET(Curvas_cupon_cero!$A$1,1,0,COUNT(Curvas_cupon_cero!$A:$A)-2,1),OFFSET(Curvas_cupon_cero!$A$1,1,MATCH($B$6,Curvas_cupon_cero!$1:$1,0)-1,COUNT(Curvas_cupon_cero!$A:$A)-2,1))))</f>
        <v/>
      </c>
      <c r="N360" s="23"/>
      <c r="O360" s="19" t="str">
        <f t="shared" si="58"/>
        <v/>
      </c>
    </row>
    <row r="361" spans="1:15" x14ac:dyDescent="0.2">
      <c r="A361" s="12" t="str">
        <f t="shared" si="52"/>
        <v/>
      </c>
      <c r="B361" t="str">
        <f t="shared" si="50"/>
        <v/>
      </c>
      <c r="C361" s="21" t="str">
        <f ca="1">IF(A361="","",IF($B$10="Sí",interpolar_alamb(B361,OFFSET(Curvas_cupon_cero!$A$1,1,0,COUNT(Curvas_cupon_cero!$A:$A)-2,1),OFFSET(Curvas_cupon_cero!$A$1,1,MATCH($B$8,Curvas_cupon_cero!$1:$1,0)-1,COUNT(Curvas_cupon_cero!$A:$A)-2,1)),[1]!interpolar(B361,OFFSET(Curvas_cupon_cero!$A$1,1,0,COUNT(Curvas_cupon_cero!$A:$A)-2,1),OFFSET(Curvas_cupon_cero!$A$1,1,MATCH($B$8,Curvas_cupon_cero!$1:$1,0)-1,COUNT(Curvas_cupon_cero!$A:$A)-2,1))))</f>
        <v/>
      </c>
      <c r="D361" s="23" t="str">
        <f ca="1">IF(A361="","",IF($B$10="Sí",interpolar_alamb(L361,OFFSET(Curvas_cupon_cero!$A$1,1,0,COUNT(Curvas_cupon_cero!$A:$A)-2,1),OFFSET(Curvas_cupon_cero!$A$1,1,MATCH($B$8,Curvas_cupon_cero!$1:$1,0)-1,COUNT(Curvas_cupon_cero!$A:$A)-2,1)),[1]!interpolar(L361,OFFSET(Curvas_cupon_cero!$A$1,1,0,COUNT(Curvas_cupon_cero!$A:$A)-2,1),OFFSET(Curvas_cupon_cero!$A$1,1,MATCH($B$8,Curvas_cupon_cero!$1:$1,0)-1,COUNT(Curvas_cupon_cero!$A:$A)-2,1))))</f>
        <v/>
      </c>
      <c r="E361" s="23" t="str">
        <f t="shared" si="53"/>
        <v/>
      </c>
      <c r="F361" s="23" t="str">
        <f ca="1">IF(A361="","",IF($B$10="Sí",interpolar_alamb(B361,OFFSET(Curvas_cupon_cero!$A$1,1,0,COUNT(Curvas_cupon_cero!$A:$A)-2,1),OFFSET(Curvas_cupon_cero!$A$1,1,MATCH($B$9,Curvas_cupon_cero!$1:$1,0)-1,COUNT(Curvas_cupon_cero!$A:$A)-2,1)),[1]!interpolar(B361,OFFSET(Curvas_cupon_cero!$A$1,1,0,COUNT(Curvas_cupon_cero!$A:$A)-2,1),OFFSET(Curvas_cupon_cero!$A$1,1,MATCH($B$9,Curvas_cupon_cero!$1:$1,0)-1,COUNT(Curvas_cupon_cero!$A:$A)-2,1))))</f>
        <v/>
      </c>
      <c r="G361" s="23" t="str">
        <f t="shared" si="54"/>
        <v/>
      </c>
      <c r="H361" s="20" t="str">
        <f t="shared" si="59"/>
        <v/>
      </c>
      <c r="I361" t="str">
        <f t="shared" si="55"/>
        <v/>
      </c>
      <c r="J361" s="17" t="str">
        <f t="shared" si="51"/>
        <v/>
      </c>
      <c r="K361" s="18" t="str">
        <f t="shared" si="56"/>
        <v/>
      </c>
      <c r="L361" t="str">
        <f t="shared" si="57"/>
        <v/>
      </c>
      <c r="M361" s="23" t="str">
        <f ca="1">IF(A361="","",IF($B$10="Sí",interpolar_alamb(L361,OFFSET(Curvas_cupon_cero!$A$1,1,0,COUNT(Curvas_cupon_cero!$A:$A)-2,1),OFFSET(Curvas_cupon_cero!$A$1,1,MATCH($B$6,Curvas_cupon_cero!$1:$1,0)-1,COUNT(Curvas_cupon_cero!$A:$A)-2,1)),[1]!interpolar(L361,OFFSET(Curvas_cupon_cero!$A$1,1,0,COUNT(Curvas_cupon_cero!$A:$A)-2,1),OFFSET(Curvas_cupon_cero!$A$1,1,MATCH($B$6,Curvas_cupon_cero!$1:$1,0)-1,COUNT(Curvas_cupon_cero!$A:$A)-2,1))))</f>
        <v/>
      </c>
      <c r="N361" s="23"/>
      <c r="O361" s="19" t="str">
        <f t="shared" si="58"/>
        <v/>
      </c>
    </row>
    <row r="362" spans="1:15" x14ac:dyDescent="0.2">
      <c r="A362" s="12" t="str">
        <f t="shared" si="52"/>
        <v/>
      </c>
      <c r="B362" t="str">
        <f t="shared" si="50"/>
        <v/>
      </c>
      <c r="C362" s="21" t="str">
        <f ca="1">IF(A362="","",IF($B$10="Sí",interpolar_alamb(B362,OFFSET(Curvas_cupon_cero!$A$1,1,0,COUNT(Curvas_cupon_cero!$A:$A)-2,1),OFFSET(Curvas_cupon_cero!$A$1,1,MATCH($B$8,Curvas_cupon_cero!$1:$1,0)-1,COUNT(Curvas_cupon_cero!$A:$A)-2,1)),[1]!interpolar(B362,OFFSET(Curvas_cupon_cero!$A$1,1,0,COUNT(Curvas_cupon_cero!$A:$A)-2,1),OFFSET(Curvas_cupon_cero!$A$1,1,MATCH($B$8,Curvas_cupon_cero!$1:$1,0)-1,COUNT(Curvas_cupon_cero!$A:$A)-2,1))))</f>
        <v/>
      </c>
      <c r="D362" s="23" t="str">
        <f ca="1">IF(A362="","",IF($B$10="Sí",interpolar_alamb(L362,OFFSET(Curvas_cupon_cero!$A$1,1,0,COUNT(Curvas_cupon_cero!$A:$A)-2,1),OFFSET(Curvas_cupon_cero!$A$1,1,MATCH($B$8,Curvas_cupon_cero!$1:$1,0)-1,COUNT(Curvas_cupon_cero!$A:$A)-2,1)),[1]!interpolar(L362,OFFSET(Curvas_cupon_cero!$A$1,1,0,COUNT(Curvas_cupon_cero!$A:$A)-2,1),OFFSET(Curvas_cupon_cero!$A$1,1,MATCH($B$8,Curvas_cupon_cero!$1:$1,0)-1,COUNT(Curvas_cupon_cero!$A:$A)-2,1))))</f>
        <v/>
      </c>
      <c r="E362" s="23" t="str">
        <f t="shared" si="53"/>
        <v/>
      </c>
      <c r="F362" s="23" t="str">
        <f ca="1">IF(A362="","",IF($B$10="Sí",interpolar_alamb(B362,OFFSET(Curvas_cupon_cero!$A$1,1,0,COUNT(Curvas_cupon_cero!$A:$A)-2,1),OFFSET(Curvas_cupon_cero!$A$1,1,MATCH($B$9,Curvas_cupon_cero!$1:$1,0)-1,COUNT(Curvas_cupon_cero!$A:$A)-2,1)),[1]!interpolar(B362,OFFSET(Curvas_cupon_cero!$A$1,1,0,COUNT(Curvas_cupon_cero!$A:$A)-2,1),OFFSET(Curvas_cupon_cero!$A$1,1,MATCH($B$9,Curvas_cupon_cero!$1:$1,0)-1,COUNT(Curvas_cupon_cero!$A:$A)-2,1))))</f>
        <v/>
      </c>
      <c r="G362" s="23" t="str">
        <f t="shared" si="54"/>
        <v/>
      </c>
      <c r="H362" s="20" t="str">
        <f t="shared" si="59"/>
        <v/>
      </c>
      <c r="I362" t="str">
        <f t="shared" si="55"/>
        <v/>
      </c>
      <c r="J362" s="17" t="str">
        <f t="shared" si="51"/>
        <v/>
      </c>
      <c r="K362" s="18" t="str">
        <f t="shared" si="56"/>
        <v/>
      </c>
      <c r="L362" t="str">
        <f t="shared" si="57"/>
        <v/>
      </c>
      <c r="M362" s="23" t="str">
        <f ca="1">IF(A362="","",IF($B$10="Sí",interpolar_alamb(L362,OFFSET(Curvas_cupon_cero!$A$1,1,0,COUNT(Curvas_cupon_cero!$A:$A)-2,1),OFFSET(Curvas_cupon_cero!$A$1,1,MATCH($B$6,Curvas_cupon_cero!$1:$1,0)-1,COUNT(Curvas_cupon_cero!$A:$A)-2,1)),[1]!interpolar(L362,OFFSET(Curvas_cupon_cero!$A$1,1,0,COUNT(Curvas_cupon_cero!$A:$A)-2,1),OFFSET(Curvas_cupon_cero!$A$1,1,MATCH($B$6,Curvas_cupon_cero!$1:$1,0)-1,COUNT(Curvas_cupon_cero!$A:$A)-2,1))))</f>
        <v/>
      </c>
      <c r="N362" s="23"/>
      <c r="O362" s="19" t="str">
        <f t="shared" si="58"/>
        <v/>
      </c>
    </row>
    <row r="363" spans="1:15" x14ac:dyDescent="0.2">
      <c r="A363" s="12" t="str">
        <f t="shared" si="52"/>
        <v/>
      </c>
      <c r="B363" t="str">
        <f t="shared" si="50"/>
        <v/>
      </c>
      <c r="C363" s="21" t="str">
        <f ca="1">IF(A363="","",IF($B$10="Sí",interpolar_alamb(B363,OFFSET(Curvas_cupon_cero!$A$1,1,0,COUNT(Curvas_cupon_cero!$A:$A)-2,1),OFFSET(Curvas_cupon_cero!$A$1,1,MATCH($B$8,Curvas_cupon_cero!$1:$1,0)-1,COUNT(Curvas_cupon_cero!$A:$A)-2,1)),[1]!interpolar(B363,OFFSET(Curvas_cupon_cero!$A$1,1,0,COUNT(Curvas_cupon_cero!$A:$A)-2,1),OFFSET(Curvas_cupon_cero!$A$1,1,MATCH($B$8,Curvas_cupon_cero!$1:$1,0)-1,COUNT(Curvas_cupon_cero!$A:$A)-2,1))))</f>
        <v/>
      </c>
      <c r="D363" s="23" t="str">
        <f ca="1">IF(A363="","",IF($B$10="Sí",interpolar_alamb(L363,OFFSET(Curvas_cupon_cero!$A$1,1,0,COUNT(Curvas_cupon_cero!$A:$A)-2,1),OFFSET(Curvas_cupon_cero!$A$1,1,MATCH($B$8,Curvas_cupon_cero!$1:$1,0)-1,COUNT(Curvas_cupon_cero!$A:$A)-2,1)),[1]!interpolar(L363,OFFSET(Curvas_cupon_cero!$A$1,1,0,COUNT(Curvas_cupon_cero!$A:$A)-2,1),OFFSET(Curvas_cupon_cero!$A$1,1,MATCH($B$8,Curvas_cupon_cero!$1:$1,0)-1,COUNT(Curvas_cupon_cero!$A:$A)-2,1))))</f>
        <v/>
      </c>
      <c r="E363" s="23" t="str">
        <f t="shared" si="53"/>
        <v/>
      </c>
      <c r="F363" s="23" t="str">
        <f ca="1">IF(A363="","",IF($B$10="Sí",interpolar_alamb(B363,OFFSET(Curvas_cupon_cero!$A$1,1,0,COUNT(Curvas_cupon_cero!$A:$A)-2,1),OFFSET(Curvas_cupon_cero!$A$1,1,MATCH($B$9,Curvas_cupon_cero!$1:$1,0)-1,COUNT(Curvas_cupon_cero!$A:$A)-2,1)),[1]!interpolar(B363,OFFSET(Curvas_cupon_cero!$A$1,1,0,COUNT(Curvas_cupon_cero!$A:$A)-2,1),OFFSET(Curvas_cupon_cero!$A$1,1,MATCH($B$9,Curvas_cupon_cero!$1:$1,0)-1,COUNT(Curvas_cupon_cero!$A:$A)-2,1))))</f>
        <v/>
      </c>
      <c r="G363" s="23" t="str">
        <f t="shared" si="54"/>
        <v/>
      </c>
      <c r="H363" s="20" t="str">
        <f t="shared" si="59"/>
        <v/>
      </c>
      <c r="I363" t="str">
        <f t="shared" si="55"/>
        <v/>
      </c>
      <c r="J363" s="17" t="str">
        <f t="shared" si="51"/>
        <v/>
      </c>
      <c r="K363" s="18" t="str">
        <f t="shared" si="56"/>
        <v/>
      </c>
      <c r="L363" t="str">
        <f t="shared" si="57"/>
        <v/>
      </c>
      <c r="M363" s="23" t="str">
        <f ca="1">IF(A363="","",IF($B$10="Sí",interpolar_alamb(L363,OFFSET(Curvas_cupon_cero!$A$1,1,0,COUNT(Curvas_cupon_cero!$A:$A)-2,1),OFFSET(Curvas_cupon_cero!$A$1,1,MATCH($B$6,Curvas_cupon_cero!$1:$1,0)-1,COUNT(Curvas_cupon_cero!$A:$A)-2,1)),[1]!interpolar(L363,OFFSET(Curvas_cupon_cero!$A$1,1,0,COUNT(Curvas_cupon_cero!$A:$A)-2,1),OFFSET(Curvas_cupon_cero!$A$1,1,MATCH($B$6,Curvas_cupon_cero!$1:$1,0)-1,COUNT(Curvas_cupon_cero!$A:$A)-2,1))))</f>
        <v/>
      </c>
      <c r="N363" s="23"/>
      <c r="O363" s="19" t="str">
        <f t="shared" si="58"/>
        <v/>
      </c>
    </row>
    <row r="364" spans="1:15" x14ac:dyDescent="0.2">
      <c r="A364" s="12" t="str">
        <f t="shared" si="52"/>
        <v/>
      </c>
      <c r="B364" t="str">
        <f t="shared" si="50"/>
        <v/>
      </c>
      <c r="C364" s="21" t="str">
        <f ca="1">IF(A364="","",IF($B$10="Sí",interpolar_alamb(B364,OFFSET(Curvas_cupon_cero!$A$1,1,0,COUNT(Curvas_cupon_cero!$A:$A)-2,1),OFFSET(Curvas_cupon_cero!$A$1,1,MATCH($B$8,Curvas_cupon_cero!$1:$1,0)-1,COUNT(Curvas_cupon_cero!$A:$A)-2,1)),[1]!interpolar(B364,OFFSET(Curvas_cupon_cero!$A$1,1,0,COUNT(Curvas_cupon_cero!$A:$A)-2,1),OFFSET(Curvas_cupon_cero!$A$1,1,MATCH($B$8,Curvas_cupon_cero!$1:$1,0)-1,COUNT(Curvas_cupon_cero!$A:$A)-2,1))))</f>
        <v/>
      </c>
      <c r="D364" s="23" t="str">
        <f ca="1">IF(A364="","",IF($B$10="Sí",interpolar_alamb(L364,OFFSET(Curvas_cupon_cero!$A$1,1,0,COUNT(Curvas_cupon_cero!$A:$A)-2,1),OFFSET(Curvas_cupon_cero!$A$1,1,MATCH($B$8,Curvas_cupon_cero!$1:$1,0)-1,COUNT(Curvas_cupon_cero!$A:$A)-2,1)),[1]!interpolar(L364,OFFSET(Curvas_cupon_cero!$A$1,1,0,COUNT(Curvas_cupon_cero!$A:$A)-2,1),OFFSET(Curvas_cupon_cero!$A$1,1,MATCH($B$8,Curvas_cupon_cero!$1:$1,0)-1,COUNT(Curvas_cupon_cero!$A:$A)-2,1))))</f>
        <v/>
      </c>
      <c r="E364" s="23" t="str">
        <f t="shared" si="53"/>
        <v/>
      </c>
      <c r="F364" s="23" t="str">
        <f ca="1">IF(A364="","",IF($B$10="Sí",interpolar_alamb(B364,OFFSET(Curvas_cupon_cero!$A$1,1,0,COUNT(Curvas_cupon_cero!$A:$A)-2,1),OFFSET(Curvas_cupon_cero!$A$1,1,MATCH($B$9,Curvas_cupon_cero!$1:$1,0)-1,COUNT(Curvas_cupon_cero!$A:$A)-2,1)),[1]!interpolar(B364,OFFSET(Curvas_cupon_cero!$A$1,1,0,COUNT(Curvas_cupon_cero!$A:$A)-2,1),OFFSET(Curvas_cupon_cero!$A$1,1,MATCH($B$9,Curvas_cupon_cero!$1:$1,0)-1,COUNT(Curvas_cupon_cero!$A:$A)-2,1))))</f>
        <v/>
      </c>
      <c r="G364" s="23" t="str">
        <f t="shared" si="54"/>
        <v/>
      </c>
      <c r="H364" s="20" t="str">
        <f t="shared" si="59"/>
        <v/>
      </c>
      <c r="I364" t="str">
        <f t="shared" si="55"/>
        <v/>
      </c>
      <c r="J364" s="17" t="str">
        <f t="shared" si="51"/>
        <v/>
      </c>
      <c r="K364" s="18" t="str">
        <f t="shared" si="56"/>
        <v/>
      </c>
      <c r="L364" t="str">
        <f t="shared" si="57"/>
        <v/>
      </c>
      <c r="M364" s="23" t="str">
        <f ca="1">IF(A364="","",IF($B$10="Sí",interpolar_alamb(L364,OFFSET(Curvas_cupon_cero!$A$1,1,0,COUNT(Curvas_cupon_cero!$A:$A)-2,1),OFFSET(Curvas_cupon_cero!$A$1,1,MATCH($B$6,Curvas_cupon_cero!$1:$1,0)-1,COUNT(Curvas_cupon_cero!$A:$A)-2,1)),[1]!interpolar(L364,OFFSET(Curvas_cupon_cero!$A$1,1,0,COUNT(Curvas_cupon_cero!$A:$A)-2,1),OFFSET(Curvas_cupon_cero!$A$1,1,MATCH($B$6,Curvas_cupon_cero!$1:$1,0)-1,COUNT(Curvas_cupon_cero!$A:$A)-2,1))))</f>
        <v/>
      </c>
      <c r="N364" s="23"/>
      <c r="O364" s="19" t="str">
        <f t="shared" si="58"/>
        <v/>
      </c>
    </row>
    <row r="365" spans="1:15" x14ac:dyDescent="0.2">
      <c r="A365" s="12" t="str">
        <f t="shared" si="52"/>
        <v/>
      </c>
      <c r="B365" t="str">
        <f t="shared" si="50"/>
        <v/>
      </c>
      <c r="C365" s="21" t="str">
        <f ca="1">IF(A365="","",IF($B$10="Sí",interpolar_alamb(B365,OFFSET(Curvas_cupon_cero!$A$1,1,0,COUNT(Curvas_cupon_cero!$A:$A)-2,1),OFFSET(Curvas_cupon_cero!$A$1,1,MATCH($B$8,Curvas_cupon_cero!$1:$1,0)-1,COUNT(Curvas_cupon_cero!$A:$A)-2,1)),[1]!interpolar(B365,OFFSET(Curvas_cupon_cero!$A$1,1,0,COUNT(Curvas_cupon_cero!$A:$A)-2,1),OFFSET(Curvas_cupon_cero!$A$1,1,MATCH($B$8,Curvas_cupon_cero!$1:$1,0)-1,COUNT(Curvas_cupon_cero!$A:$A)-2,1))))</f>
        <v/>
      </c>
      <c r="D365" s="23" t="str">
        <f ca="1">IF(A365="","",IF($B$10="Sí",interpolar_alamb(L365,OFFSET(Curvas_cupon_cero!$A$1,1,0,COUNT(Curvas_cupon_cero!$A:$A)-2,1),OFFSET(Curvas_cupon_cero!$A$1,1,MATCH($B$8,Curvas_cupon_cero!$1:$1,0)-1,COUNT(Curvas_cupon_cero!$A:$A)-2,1)),[1]!interpolar(L365,OFFSET(Curvas_cupon_cero!$A$1,1,0,COUNT(Curvas_cupon_cero!$A:$A)-2,1),OFFSET(Curvas_cupon_cero!$A$1,1,MATCH($B$8,Curvas_cupon_cero!$1:$1,0)-1,COUNT(Curvas_cupon_cero!$A:$A)-2,1))))</f>
        <v/>
      </c>
      <c r="E365" s="23" t="str">
        <f t="shared" si="53"/>
        <v/>
      </c>
      <c r="F365" s="23" t="str">
        <f ca="1">IF(A365="","",IF($B$10="Sí",interpolar_alamb(B365,OFFSET(Curvas_cupon_cero!$A$1,1,0,COUNT(Curvas_cupon_cero!$A:$A)-2,1),OFFSET(Curvas_cupon_cero!$A$1,1,MATCH($B$9,Curvas_cupon_cero!$1:$1,0)-1,COUNT(Curvas_cupon_cero!$A:$A)-2,1)),[1]!interpolar(B365,OFFSET(Curvas_cupon_cero!$A$1,1,0,COUNT(Curvas_cupon_cero!$A:$A)-2,1),OFFSET(Curvas_cupon_cero!$A$1,1,MATCH($B$9,Curvas_cupon_cero!$1:$1,0)-1,COUNT(Curvas_cupon_cero!$A:$A)-2,1))))</f>
        <v/>
      </c>
      <c r="G365" s="23" t="str">
        <f t="shared" si="54"/>
        <v/>
      </c>
      <c r="H365" s="20" t="str">
        <f t="shared" si="59"/>
        <v/>
      </c>
      <c r="I365" t="str">
        <f t="shared" si="55"/>
        <v/>
      </c>
      <c r="J365" s="17" t="str">
        <f t="shared" si="51"/>
        <v/>
      </c>
      <c r="K365" s="18" t="str">
        <f t="shared" si="56"/>
        <v/>
      </c>
      <c r="L365" t="str">
        <f t="shared" si="57"/>
        <v/>
      </c>
      <c r="M365" s="23" t="str">
        <f ca="1">IF(A365="","",IF($B$10="Sí",interpolar_alamb(L365,OFFSET(Curvas_cupon_cero!$A$1,1,0,COUNT(Curvas_cupon_cero!$A:$A)-2,1),OFFSET(Curvas_cupon_cero!$A$1,1,MATCH($B$6,Curvas_cupon_cero!$1:$1,0)-1,COUNT(Curvas_cupon_cero!$A:$A)-2,1)),[1]!interpolar(L365,OFFSET(Curvas_cupon_cero!$A$1,1,0,COUNT(Curvas_cupon_cero!$A:$A)-2,1),OFFSET(Curvas_cupon_cero!$A$1,1,MATCH($B$6,Curvas_cupon_cero!$1:$1,0)-1,COUNT(Curvas_cupon_cero!$A:$A)-2,1))))</f>
        <v/>
      </c>
      <c r="N365" s="23"/>
      <c r="O365" s="19" t="str">
        <f t="shared" si="58"/>
        <v/>
      </c>
    </row>
    <row r="366" spans="1:15" x14ac:dyDescent="0.2">
      <c r="A366" s="12" t="str">
        <f t="shared" si="52"/>
        <v/>
      </c>
      <c r="B366" t="str">
        <f t="shared" si="50"/>
        <v/>
      </c>
      <c r="C366" s="21" t="str">
        <f ca="1">IF(A366="","",IF($B$10="Sí",interpolar_alamb(B366,OFFSET(Curvas_cupon_cero!$A$1,1,0,COUNT(Curvas_cupon_cero!$A:$A)-2,1),OFFSET(Curvas_cupon_cero!$A$1,1,MATCH($B$8,Curvas_cupon_cero!$1:$1,0)-1,COUNT(Curvas_cupon_cero!$A:$A)-2,1)),[1]!interpolar(B366,OFFSET(Curvas_cupon_cero!$A$1,1,0,COUNT(Curvas_cupon_cero!$A:$A)-2,1),OFFSET(Curvas_cupon_cero!$A$1,1,MATCH($B$8,Curvas_cupon_cero!$1:$1,0)-1,COUNT(Curvas_cupon_cero!$A:$A)-2,1))))</f>
        <v/>
      </c>
      <c r="D366" s="23" t="str">
        <f ca="1">IF(A366="","",IF($B$10="Sí",interpolar_alamb(L366,OFFSET(Curvas_cupon_cero!$A$1,1,0,COUNT(Curvas_cupon_cero!$A:$A)-2,1),OFFSET(Curvas_cupon_cero!$A$1,1,MATCH($B$8,Curvas_cupon_cero!$1:$1,0)-1,COUNT(Curvas_cupon_cero!$A:$A)-2,1)),[1]!interpolar(L366,OFFSET(Curvas_cupon_cero!$A$1,1,0,COUNT(Curvas_cupon_cero!$A:$A)-2,1),OFFSET(Curvas_cupon_cero!$A$1,1,MATCH($B$8,Curvas_cupon_cero!$1:$1,0)-1,COUNT(Curvas_cupon_cero!$A:$A)-2,1))))</f>
        <v/>
      </c>
      <c r="E366" s="23" t="str">
        <f t="shared" si="53"/>
        <v/>
      </c>
      <c r="F366" s="23" t="str">
        <f ca="1">IF(A366="","",IF($B$10="Sí",interpolar_alamb(B366,OFFSET(Curvas_cupon_cero!$A$1,1,0,COUNT(Curvas_cupon_cero!$A:$A)-2,1),OFFSET(Curvas_cupon_cero!$A$1,1,MATCH($B$9,Curvas_cupon_cero!$1:$1,0)-1,COUNT(Curvas_cupon_cero!$A:$A)-2,1)),[1]!interpolar(B366,OFFSET(Curvas_cupon_cero!$A$1,1,0,COUNT(Curvas_cupon_cero!$A:$A)-2,1),OFFSET(Curvas_cupon_cero!$A$1,1,MATCH($B$9,Curvas_cupon_cero!$1:$1,0)-1,COUNT(Curvas_cupon_cero!$A:$A)-2,1))))</f>
        <v/>
      </c>
      <c r="G366" s="23" t="str">
        <f t="shared" si="54"/>
        <v/>
      </c>
      <c r="H366" s="20" t="str">
        <f t="shared" si="59"/>
        <v/>
      </c>
      <c r="I366" t="str">
        <f t="shared" si="55"/>
        <v/>
      </c>
      <c r="J366" s="17" t="str">
        <f t="shared" si="51"/>
        <v/>
      </c>
      <c r="K366" s="18" t="str">
        <f t="shared" si="56"/>
        <v/>
      </c>
      <c r="L366" t="str">
        <f t="shared" si="57"/>
        <v/>
      </c>
      <c r="M366" s="23" t="str">
        <f ca="1">IF(A366="","",IF($B$10="Sí",interpolar_alamb(L366,OFFSET(Curvas_cupon_cero!$A$1,1,0,COUNT(Curvas_cupon_cero!$A:$A)-2,1),OFFSET(Curvas_cupon_cero!$A$1,1,MATCH($B$6,Curvas_cupon_cero!$1:$1,0)-1,COUNT(Curvas_cupon_cero!$A:$A)-2,1)),[1]!interpolar(L366,OFFSET(Curvas_cupon_cero!$A$1,1,0,COUNT(Curvas_cupon_cero!$A:$A)-2,1),OFFSET(Curvas_cupon_cero!$A$1,1,MATCH($B$6,Curvas_cupon_cero!$1:$1,0)-1,COUNT(Curvas_cupon_cero!$A:$A)-2,1))))</f>
        <v/>
      </c>
      <c r="N366" s="23"/>
      <c r="O366" s="19" t="str">
        <f t="shared" si="58"/>
        <v/>
      </c>
    </row>
    <row r="367" spans="1:15" x14ac:dyDescent="0.2">
      <c r="A367" s="12" t="str">
        <f t="shared" si="52"/>
        <v/>
      </c>
      <c r="B367" t="str">
        <f t="shared" si="50"/>
        <v/>
      </c>
      <c r="C367" s="21" t="str">
        <f ca="1">IF(A367="","",IF($B$10="Sí",interpolar_alamb(B367,OFFSET(Curvas_cupon_cero!$A$1,1,0,COUNT(Curvas_cupon_cero!$A:$A)-2,1),OFFSET(Curvas_cupon_cero!$A$1,1,MATCH($B$8,Curvas_cupon_cero!$1:$1,0)-1,COUNT(Curvas_cupon_cero!$A:$A)-2,1)),[1]!interpolar(B367,OFFSET(Curvas_cupon_cero!$A$1,1,0,COUNT(Curvas_cupon_cero!$A:$A)-2,1),OFFSET(Curvas_cupon_cero!$A$1,1,MATCH($B$8,Curvas_cupon_cero!$1:$1,0)-1,COUNT(Curvas_cupon_cero!$A:$A)-2,1))))</f>
        <v/>
      </c>
      <c r="D367" s="23" t="str">
        <f ca="1">IF(A367="","",IF($B$10="Sí",interpolar_alamb(L367,OFFSET(Curvas_cupon_cero!$A$1,1,0,COUNT(Curvas_cupon_cero!$A:$A)-2,1),OFFSET(Curvas_cupon_cero!$A$1,1,MATCH($B$8,Curvas_cupon_cero!$1:$1,0)-1,COUNT(Curvas_cupon_cero!$A:$A)-2,1)),[1]!interpolar(L367,OFFSET(Curvas_cupon_cero!$A$1,1,0,COUNT(Curvas_cupon_cero!$A:$A)-2,1),OFFSET(Curvas_cupon_cero!$A$1,1,MATCH($B$8,Curvas_cupon_cero!$1:$1,0)-1,COUNT(Curvas_cupon_cero!$A:$A)-2,1))))</f>
        <v/>
      </c>
      <c r="E367" s="23" t="str">
        <f t="shared" si="53"/>
        <v/>
      </c>
      <c r="F367" s="23" t="str">
        <f ca="1">IF(A367="","",IF($B$10="Sí",interpolar_alamb(B367,OFFSET(Curvas_cupon_cero!$A$1,1,0,COUNT(Curvas_cupon_cero!$A:$A)-2,1),OFFSET(Curvas_cupon_cero!$A$1,1,MATCH($B$9,Curvas_cupon_cero!$1:$1,0)-1,COUNT(Curvas_cupon_cero!$A:$A)-2,1)),[1]!interpolar(B367,OFFSET(Curvas_cupon_cero!$A$1,1,0,COUNT(Curvas_cupon_cero!$A:$A)-2,1),OFFSET(Curvas_cupon_cero!$A$1,1,MATCH($B$9,Curvas_cupon_cero!$1:$1,0)-1,COUNT(Curvas_cupon_cero!$A:$A)-2,1))))</f>
        <v/>
      </c>
      <c r="G367" s="23" t="str">
        <f t="shared" si="54"/>
        <v/>
      </c>
      <c r="H367" s="20" t="str">
        <f t="shared" si="59"/>
        <v/>
      </c>
      <c r="I367" t="str">
        <f t="shared" si="55"/>
        <v/>
      </c>
      <c r="J367" s="17" t="str">
        <f t="shared" si="51"/>
        <v/>
      </c>
      <c r="K367" s="18" t="str">
        <f t="shared" si="56"/>
        <v/>
      </c>
      <c r="L367" t="str">
        <f t="shared" si="57"/>
        <v/>
      </c>
      <c r="M367" s="23" t="str">
        <f ca="1">IF(A367="","",IF($B$10="Sí",interpolar_alamb(L367,OFFSET(Curvas_cupon_cero!$A$1,1,0,COUNT(Curvas_cupon_cero!$A:$A)-2,1),OFFSET(Curvas_cupon_cero!$A$1,1,MATCH($B$6,Curvas_cupon_cero!$1:$1,0)-1,COUNT(Curvas_cupon_cero!$A:$A)-2,1)),[1]!interpolar(L367,OFFSET(Curvas_cupon_cero!$A$1,1,0,COUNT(Curvas_cupon_cero!$A:$A)-2,1),OFFSET(Curvas_cupon_cero!$A$1,1,MATCH($B$6,Curvas_cupon_cero!$1:$1,0)-1,COUNT(Curvas_cupon_cero!$A:$A)-2,1))))</f>
        <v/>
      </c>
      <c r="N367" s="23"/>
      <c r="O367" s="19" t="str">
        <f t="shared" si="58"/>
        <v/>
      </c>
    </row>
    <row r="368" spans="1:15" x14ac:dyDescent="0.2">
      <c r="A368" s="12" t="str">
        <f t="shared" si="52"/>
        <v/>
      </c>
      <c r="B368" t="str">
        <f t="shared" si="50"/>
        <v/>
      </c>
      <c r="C368" s="21" t="str">
        <f ca="1">IF(A368="","",IF($B$10="Sí",interpolar_alamb(B368,OFFSET(Curvas_cupon_cero!$A$1,1,0,COUNT(Curvas_cupon_cero!$A:$A)-2,1),OFFSET(Curvas_cupon_cero!$A$1,1,MATCH($B$8,Curvas_cupon_cero!$1:$1,0)-1,COUNT(Curvas_cupon_cero!$A:$A)-2,1)),[1]!interpolar(B368,OFFSET(Curvas_cupon_cero!$A$1,1,0,COUNT(Curvas_cupon_cero!$A:$A)-2,1),OFFSET(Curvas_cupon_cero!$A$1,1,MATCH($B$8,Curvas_cupon_cero!$1:$1,0)-1,COUNT(Curvas_cupon_cero!$A:$A)-2,1))))</f>
        <v/>
      </c>
      <c r="D368" s="23" t="str">
        <f ca="1">IF(A368="","",IF($B$10="Sí",interpolar_alamb(L368,OFFSET(Curvas_cupon_cero!$A$1,1,0,COUNT(Curvas_cupon_cero!$A:$A)-2,1),OFFSET(Curvas_cupon_cero!$A$1,1,MATCH($B$8,Curvas_cupon_cero!$1:$1,0)-1,COUNT(Curvas_cupon_cero!$A:$A)-2,1)),[1]!interpolar(L368,OFFSET(Curvas_cupon_cero!$A$1,1,0,COUNT(Curvas_cupon_cero!$A:$A)-2,1),OFFSET(Curvas_cupon_cero!$A$1,1,MATCH($B$8,Curvas_cupon_cero!$1:$1,0)-1,COUNT(Curvas_cupon_cero!$A:$A)-2,1))))</f>
        <v/>
      </c>
      <c r="E368" s="23" t="str">
        <f t="shared" si="53"/>
        <v/>
      </c>
      <c r="F368" s="23" t="str">
        <f ca="1">IF(A368="","",IF($B$10="Sí",interpolar_alamb(B368,OFFSET(Curvas_cupon_cero!$A$1,1,0,COUNT(Curvas_cupon_cero!$A:$A)-2,1),OFFSET(Curvas_cupon_cero!$A$1,1,MATCH($B$9,Curvas_cupon_cero!$1:$1,0)-1,COUNT(Curvas_cupon_cero!$A:$A)-2,1)),[1]!interpolar(B368,OFFSET(Curvas_cupon_cero!$A$1,1,0,COUNT(Curvas_cupon_cero!$A:$A)-2,1),OFFSET(Curvas_cupon_cero!$A$1,1,MATCH($B$9,Curvas_cupon_cero!$1:$1,0)-1,COUNT(Curvas_cupon_cero!$A:$A)-2,1))))</f>
        <v/>
      </c>
      <c r="G368" s="23" t="str">
        <f t="shared" si="54"/>
        <v/>
      </c>
      <c r="H368" s="20" t="str">
        <f t="shared" si="59"/>
        <v/>
      </c>
      <c r="I368" t="str">
        <f t="shared" si="55"/>
        <v/>
      </c>
      <c r="J368" s="17" t="str">
        <f t="shared" si="51"/>
        <v/>
      </c>
      <c r="K368" s="18" t="str">
        <f t="shared" si="56"/>
        <v/>
      </c>
      <c r="L368" t="str">
        <f t="shared" si="57"/>
        <v/>
      </c>
      <c r="M368" s="23" t="str">
        <f ca="1">IF(A368="","",IF($B$10="Sí",interpolar_alamb(L368,OFFSET(Curvas_cupon_cero!$A$1,1,0,COUNT(Curvas_cupon_cero!$A:$A)-2,1),OFFSET(Curvas_cupon_cero!$A$1,1,MATCH($B$6,Curvas_cupon_cero!$1:$1,0)-1,COUNT(Curvas_cupon_cero!$A:$A)-2,1)),[1]!interpolar(L368,OFFSET(Curvas_cupon_cero!$A$1,1,0,COUNT(Curvas_cupon_cero!$A:$A)-2,1),OFFSET(Curvas_cupon_cero!$A$1,1,MATCH($B$6,Curvas_cupon_cero!$1:$1,0)-1,COUNT(Curvas_cupon_cero!$A:$A)-2,1))))</f>
        <v/>
      </c>
      <c r="N368" s="23"/>
      <c r="O368" s="19" t="str">
        <f t="shared" si="58"/>
        <v/>
      </c>
    </row>
    <row r="369" spans="1:15" x14ac:dyDescent="0.2">
      <c r="A369" s="12" t="str">
        <f t="shared" si="52"/>
        <v/>
      </c>
      <c r="B369" t="str">
        <f t="shared" si="50"/>
        <v/>
      </c>
      <c r="C369" s="21" t="str">
        <f ca="1">IF(A369="","",IF($B$10="Sí",interpolar_alamb(B369,OFFSET(Curvas_cupon_cero!$A$1,1,0,COUNT(Curvas_cupon_cero!$A:$A)-2,1),OFFSET(Curvas_cupon_cero!$A$1,1,MATCH($B$8,Curvas_cupon_cero!$1:$1,0)-1,COUNT(Curvas_cupon_cero!$A:$A)-2,1)),[1]!interpolar(B369,OFFSET(Curvas_cupon_cero!$A$1,1,0,COUNT(Curvas_cupon_cero!$A:$A)-2,1),OFFSET(Curvas_cupon_cero!$A$1,1,MATCH($B$8,Curvas_cupon_cero!$1:$1,0)-1,COUNT(Curvas_cupon_cero!$A:$A)-2,1))))</f>
        <v/>
      </c>
      <c r="D369" s="23" t="str">
        <f ca="1">IF(A369="","",IF($B$10="Sí",interpolar_alamb(L369,OFFSET(Curvas_cupon_cero!$A$1,1,0,COUNT(Curvas_cupon_cero!$A:$A)-2,1),OFFSET(Curvas_cupon_cero!$A$1,1,MATCH($B$8,Curvas_cupon_cero!$1:$1,0)-1,COUNT(Curvas_cupon_cero!$A:$A)-2,1)),[1]!interpolar(L369,OFFSET(Curvas_cupon_cero!$A$1,1,0,COUNT(Curvas_cupon_cero!$A:$A)-2,1),OFFSET(Curvas_cupon_cero!$A$1,1,MATCH($B$8,Curvas_cupon_cero!$1:$1,0)-1,COUNT(Curvas_cupon_cero!$A:$A)-2,1))))</f>
        <v/>
      </c>
      <c r="E369" s="23" t="str">
        <f t="shared" si="53"/>
        <v/>
      </c>
      <c r="F369" s="23" t="str">
        <f ca="1">IF(A369="","",IF($B$10="Sí",interpolar_alamb(B369,OFFSET(Curvas_cupon_cero!$A$1,1,0,COUNT(Curvas_cupon_cero!$A:$A)-2,1),OFFSET(Curvas_cupon_cero!$A$1,1,MATCH($B$9,Curvas_cupon_cero!$1:$1,0)-1,COUNT(Curvas_cupon_cero!$A:$A)-2,1)),[1]!interpolar(B369,OFFSET(Curvas_cupon_cero!$A$1,1,0,COUNT(Curvas_cupon_cero!$A:$A)-2,1),OFFSET(Curvas_cupon_cero!$A$1,1,MATCH($B$9,Curvas_cupon_cero!$1:$1,0)-1,COUNT(Curvas_cupon_cero!$A:$A)-2,1))))</f>
        <v/>
      </c>
      <c r="G369" s="23" t="str">
        <f t="shared" si="54"/>
        <v/>
      </c>
      <c r="H369" s="20" t="str">
        <f t="shared" si="59"/>
        <v/>
      </c>
      <c r="I369" t="str">
        <f t="shared" si="55"/>
        <v/>
      </c>
      <c r="J369" s="17" t="str">
        <f t="shared" si="51"/>
        <v/>
      </c>
      <c r="K369" s="18" t="str">
        <f t="shared" si="56"/>
        <v/>
      </c>
      <c r="L369" t="str">
        <f t="shared" si="57"/>
        <v/>
      </c>
      <c r="M369" s="23" t="str">
        <f ca="1">IF(A369="","",IF($B$10="Sí",interpolar_alamb(L369,OFFSET(Curvas_cupon_cero!$A$1,1,0,COUNT(Curvas_cupon_cero!$A:$A)-2,1),OFFSET(Curvas_cupon_cero!$A$1,1,MATCH($B$6,Curvas_cupon_cero!$1:$1,0)-1,COUNT(Curvas_cupon_cero!$A:$A)-2,1)),[1]!interpolar(L369,OFFSET(Curvas_cupon_cero!$A$1,1,0,COUNT(Curvas_cupon_cero!$A:$A)-2,1),OFFSET(Curvas_cupon_cero!$A$1,1,MATCH($B$6,Curvas_cupon_cero!$1:$1,0)-1,COUNT(Curvas_cupon_cero!$A:$A)-2,1))))</f>
        <v/>
      </c>
      <c r="N369" s="23"/>
      <c r="O369" s="19" t="str">
        <f t="shared" si="58"/>
        <v/>
      </c>
    </row>
    <row r="370" spans="1:15" x14ac:dyDescent="0.2">
      <c r="A370" s="12" t="str">
        <f t="shared" si="52"/>
        <v/>
      </c>
      <c r="B370" t="str">
        <f t="shared" si="50"/>
        <v/>
      </c>
      <c r="C370" s="21" t="str">
        <f ca="1">IF(A370="","",IF($B$10="Sí",interpolar_alamb(B370,OFFSET(Curvas_cupon_cero!$A$1,1,0,COUNT(Curvas_cupon_cero!$A:$A)-2,1),OFFSET(Curvas_cupon_cero!$A$1,1,MATCH($B$8,Curvas_cupon_cero!$1:$1,0)-1,COUNT(Curvas_cupon_cero!$A:$A)-2,1)),[1]!interpolar(B370,OFFSET(Curvas_cupon_cero!$A$1,1,0,COUNT(Curvas_cupon_cero!$A:$A)-2,1),OFFSET(Curvas_cupon_cero!$A$1,1,MATCH($B$8,Curvas_cupon_cero!$1:$1,0)-1,COUNT(Curvas_cupon_cero!$A:$A)-2,1))))</f>
        <v/>
      </c>
      <c r="D370" s="23" t="str">
        <f ca="1">IF(A370="","",IF($B$10="Sí",interpolar_alamb(L370,OFFSET(Curvas_cupon_cero!$A$1,1,0,COUNT(Curvas_cupon_cero!$A:$A)-2,1),OFFSET(Curvas_cupon_cero!$A$1,1,MATCH($B$8,Curvas_cupon_cero!$1:$1,0)-1,COUNT(Curvas_cupon_cero!$A:$A)-2,1)),[1]!interpolar(L370,OFFSET(Curvas_cupon_cero!$A$1,1,0,COUNT(Curvas_cupon_cero!$A:$A)-2,1),OFFSET(Curvas_cupon_cero!$A$1,1,MATCH($B$8,Curvas_cupon_cero!$1:$1,0)-1,COUNT(Curvas_cupon_cero!$A:$A)-2,1))))</f>
        <v/>
      </c>
      <c r="E370" s="23" t="str">
        <f t="shared" si="53"/>
        <v/>
      </c>
      <c r="F370" s="23" t="str">
        <f ca="1">IF(A370="","",IF($B$10="Sí",interpolar_alamb(B370,OFFSET(Curvas_cupon_cero!$A$1,1,0,COUNT(Curvas_cupon_cero!$A:$A)-2,1),OFFSET(Curvas_cupon_cero!$A$1,1,MATCH($B$9,Curvas_cupon_cero!$1:$1,0)-1,COUNT(Curvas_cupon_cero!$A:$A)-2,1)),[1]!interpolar(B370,OFFSET(Curvas_cupon_cero!$A$1,1,0,COUNT(Curvas_cupon_cero!$A:$A)-2,1),OFFSET(Curvas_cupon_cero!$A$1,1,MATCH($B$9,Curvas_cupon_cero!$1:$1,0)-1,COUNT(Curvas_cupon_cero!$A:$A)-2,1))))</f>
        <v/>
      </c>
      <c r="G370" s="23" t="str">
        <f t="shared" si="54"/>
        <v/>
      </c>
      <c r="H370" s="20" t="str">
        <f t="shared" si="59"/>
        <v/>
      </c>
      <c r="I370" t="str">
        <f t="shared" si="55"/>
        <v/>
      </c>
      <c r="J370" s="17" t="str">
        <f t="shared" si="51"/>
        <v/>
      </c>
      <c r="K370" s="18" t="str">
        <f t="shared" si="56"/>
        <v/>
      </c>
      <c r="L370" t="str">
        <f t="shared" si="57"/>
        <v/>
      </c>
      <c r="M370" s="23" t="str">
        <f ca="1">IF(A370="","",IF($B$10="Sí",interpolar_alamb(L370,OFFSET(Curvas_cupon_cero!$A$1,1,0,COUNT(Curvas_cupon_cero!$A:$A)-2,1),OFFSET(Curvas_cupon_cero!$A$1,1,MATCH($B$6,Curvas_cupon_cero!$1:$1,0)-1,COUNT(Curvas_cupon_cero!$A:$A)-2,1)),[1]!interpolar(L370,OFFSET(Curvas_cupon_cero!$A$1,1,0,COUNT(Curvas_cupon_cero!$A:$A)-2,1),OFFSET(Curvas_cupon_cero!$A$1,1,MATCH($B$6,Curvas_cupon_cero!$1:$1,0)-1,COUNT(Curvas_cupon_cero!$A:$A)-2,1))))</f>
        <v/>
      </c>
      <c r="N370" s="23"/>
      <c r="O370" s="19" t="str">
        <f t="shared" si="58"/>
        <v/>
      </c>
    </row>
    <row r="371" spans="1:15" x14ac:dyDescent="0.2">
      <c r="A371" s="12" t="str">
        <f t="shared" si="52"/>
        <v/>
      </c>
      <c r="B371" t="str">
        <f t="shared" si="50"/>
        <v/>
      </c>
      <c r="C371" s="21" t="str">
        <f ca="1">IF(A371="","",IF($B$10="Sí",interpolar_alamb(B371,OFFSET(Curvas_cupon_cero!$A$1,1,0,COUNT(Curvas_cupon_cero!$A:$A)-2,1),OFFSET(Curvas_cupon_cero!$A$1,1,MATCH($B$8,Curvas_cupon_cero!$1:$1,0)-1,COUNT(Curvas_cupon_cero!$A:$A)-2,1)),[1]!interpolar(B371,OFFSET(Curvas_cupon_cero!$A$1,1,0,COUNT(Curvas_cupon_cero!$A:$A)-2,1),OFFSET(Curvas_cupon_cero!$A$1,1,MATCH($B$8,Curvas_cupon_cero!$1:$1,0)-1,COUNT(Curvas_cupon_cero!$A:$A)-2,1))))</f>
        <v/>
      </c>
      <c r="D371" s="23" t="str">
        <f ca="1">IF(A371="","",IF($B$10="Sí",interpolar_alamb(L371,OFFSET(Curvas_cupon_cero!$A$1,1,0,COUNT(Curvas_cupon_cero!$A:$A)-2,1),OFFSET(Curvas_cupon_cero!$A$1,1,MATCH($B$8,Curvas_cupon_cero!$1:$1,0)-1,COUNT(Curvas_cupon_cero!$A:$A)-2,1)),[1]!interpolar(L371,OFFSET(Curvas_cupon_cero!$A$1,1,0,COUNT(Curvas_cupon_cero!$A:$A)-2,1),OFFSET(Curvas_cupon_cero!$A$1,1,MATCH($B$8,Curvas_cupon_cero!$1:$1,0)-1,COUNT(Curvas_cupon_cero!$A:$A)-2,1))))</f>
        <v/>
      </c>
      <c r="E371" s="23" t="str">
        <f t="shared" si="53"/>
        <v/>
      </c>
      <c r="F371" s="23" t="str">
        <f ca="1">IF(A371="","",IF($B$10="Sí",interpolar_alamb(B371,OFFSET(Curvas_cupon_cero!$A$1,1,0,COUNT(Curvas_cupon_cero!$A:$A)-2,1),OFFSET(Curvas_cupon_cero!$A$1,1,MATCH($B$9,Curvas_cupon_cero!$1:$1,0)-1,COUNT(Curvas_cupon_cero!$A:$A)-2,1)),[1]!interpolar(B371,OFFSET(Curvas_cupon_cero!$A$1,1,0,COUNT(Curvas_cupon_cero!$A:$A)-2,1),OFFSET(Curvas_cupon_cero!$A$1,1,MATCH($B$9,Curvas_cupon_cero!$1:$1,0)-1,COUNT(Curvas_cupon_cero!$A:$A)-2,1))))</f>
        <v/>
      </c>
      <c r="G371" s="23" t="str">
        <f t="shared" si="54"/>
        <v/>
      </c>
      <c r="H371" s="20" t="str">
        <f t="shared" si="59"/>
        <v/>
      </c>
      <c r="I371" t="str">
        <f t="shared" si="55"/>
        <v/>
      </c>
      <c r="J371" s="17" t="str">
        <f t="shared" si="51"/>
        <v/>
      </c>
      <c r="K371" s="18" t="str">
        <f t="shared" si="56"/>
        <v/>
      </c>
      <c r="L371" t="str">
        <f t="shared" si="57"/>
        <v/>
      </c>
      <c r="M371" s="23" t="str">
        <f ca="1">IF(A371="","",IF($B$10="Sí",interpolar_alamb(L371,OFFSET(Curvas_cupon_cero!$A$1,1,0,COUNT(Curvas_cupon_cero!$A:$A)-2,1),OFFSET(Curvas_cupon_cero!$A$1,1,MATCH($B$6,Curvas_cupon_cero!$1:$1,0)-1,COUNT(Curvas_cupon_cero!$A:$A)-2,1)),[1]!interpolar(L371,OFFSET(Curvas_cupon_cero!$A$1,1,0,COUNT(Curvas_cupon_cero!$A:$A)-2,1),OFFSET(Curvas_cupon_cero!$A$1,1,MATCH($B$6,Curvas_cupon_cero!$1:$1,0)-1,COUNT(Curvas_cupon_cero!$A:$A)-2,1))))</f>
        <v/>
      </c>
      <c r="N371" s="23"/>
      <c r="O371" s="19" t="str">
        <f t="shared" si="58"/>
        <v/>
      </c>
    </row>
    <row r="372" spans="1:15" x14ac:dyDescent="0.2">
      <c r="A372" s="12" t="str">
        <f t="shared" si="52"/>
        <v/>
      </c>
      <c r="B372" t="str">
        <f t="shared" si="50"/>
        <v/>
      </c>
      <c r="C372" s="21" t="str">
        <f ca="1">IF(A372="","",IF($B$10="Sí",interpolar_alamb(B372,OFFSET(Curvas_cupon_cero!$A$1,1,0,COUNT(Curvas_cupon_cero!$A:$A)-2,1),OFFSET(Curvas_cupon_cero!$A$1,1,MATCH($B$8,Curvas_cupon_cero!$1:$1,0)-1,COUNT(Curvas_cupon_cero!$A:$A)-2,1)),[1]!interpolar(B372,OFFSET(Curvas_cupon_cero!$A$1,1,0,COUNT(Curvas_cupon_cero!$A:$A)-2,1),OFFSET(Curvas_cupon_cero!$A$1,1,MATCH($B$8,Curvas_cupon_cero!$1:$1,0)-1,COUNT(Curvas_cupon_cero!$A:$A)-2,1))))</f>
        <v/>
      </c>
      <c r="D372" s="23" t="str">
        <f ca="1">IF(A372="","",IF($B$10="Sí",interpolar_alamb(L372,OFFSET(Curvas_cupon_cero!$A$1,1,0,COUNT(Curvas_cupon_cero!$A:$A)-2,1),OFFSET(Curvas_cupon_cero!$A$1,1,MATCH($B$8,Curvas_cupon_cero!$1:$1,0)-1,COUNT(Curvas_cupon_cero!$A:$A)-2,1)),[1]!interpolar(L372,OFFSET(Curvas_cupon_cero!$A$1,1,0,COUNT(Curvas_cupon_cero!$A:$A)-2,1),OFFSET(Curvas_cupon_cero!$A$1,1,MATCH($B$8,Curvas_cupon_cero!$1:$1,0)-1,COUNT(Curvas_cupon_cero!$A:$A)-2,1))))</f>
        <v/>
      </c>
      <c r="E372" s="23" t="str">
        <f t="shared" si="53"/>
        <v/>
      </c>
      <c r="F372" s="23" t="str">
        <f ca="1">IF(A372="","",IF($B$10="Sí",interpolar_alamb(B372,OFFSET(Curvas_cupon_cero!$A$1,1,0,COUNT(Curvas_cupon_cero!$A:$A)-2,1),OFFSET(Curvas_cupon_cero!$A$1,1,MATCH($B$9,Curvas_cupon_cero!$1:$1,0)-1,COUNT(Curvas_cupon_cero!$A:$A)-2,1)),[1]!interpolar(B372,OFFSET(Curvas_cupon_cero!$A$1,1,0,COUNT(Curvas_cupon_cero!$A:$A)-2,1),OFFSET(Curvas_cupon_cero!$A$1,1,MATCH($B$9,Curvas_cupon_cero!$1:$1,0)-1,COUNT(Curvas_cupon_cero!$A:$A)-2,1))))</f>
        <v/>
      </c>
      <c r="G372" s="23" t="str">
        <f t="shared" si="54"/>
        <v/>
      </c>
      <c r="H372" s="20" t="str">
        <f t="shared" si="59"/>
        <v/>
      </c>
      <c r="I372" t="str">
        <f t="shared" si="55"/>
        <v/>
      </c>
      <c r="J372" s="17" t="str">
        <f t="shared" si="51"/>
        <v/>
      </c>
      <c r="K372" s="18" t="str">
        <f t="shared" si="56"/>
        <v/>
      </c>
      <c r="L372" t="str">
        <f t="shared" si="57"/>
        <v/>
      </c>
      <c r="M372" s="23" t="str">
        <f ca="1">IF(A372="","",IF($B$10="Sí",interpolar_alamb(L372,OFFSET(Curvas_cupon_cero!$A$1,1,0,COUNT(Curvas_cupon_cero!$A:$A)-2,1),OFFSET(Curvas_cupon_cero!$A$1,1,MATCH($B$6,Curvas_cupon_cero!$1:$1,0)-1,COUNT(Curvas_cupon_cero!$A:$A)-2,1)),[1]!interpolar(L372,OFFSET(Curvas_cupon_cero!$A$1,1,0,COUNT(Curvas_cupon_cero!$A:$A)-2,1),OFFSET(Curvas_cupon_cero!$A$1,1,MATCH($B$6,Curvas_cupon_cero!$1:$1,0)-1,COUNT(Curvas_cupon_cero!$A:$A)-2,1))))</f>
        <v/>
      </c>
      <c r="N372" s="23"/>
      <c r="O372" s="19" t="str">
        <f t="shared" si="58"/>
        <v/>
      </c>
    </row>
    <row r="373" spans="1:15" x14ac:dyDescent="0.2">
      <c r="A373" s="12" t="str">
        <f t="shared" si="52"/>
        <v/>
      </c>
      <c r="B373" t="str">
        <f t="shared" si="50"/>
        <v/>
      </c>
      <c r="C373" s="21" t="str">
        <f ca="1">IF(A373="","",IF($B$10="Sí",interpolar_alamb(B373,OFFSET(Curvas_cupon_cero!$A$1,1,0,COUNT(Curvas_cupon_cero!$A:$A)-2,1),OFFSET(Curvas_cupon_cero!$A$1,1,MATCH($B$8,Curvas_cupon_cero!$1:$1,0)-1,COUNT(Curvas_cupon_cero!$A:$A)-2,1)),[1]!interpolar(B373,OFFSET(Curvas_cupon_cero!$A$1,1,0,COUNT(Curvas_cupon_cero!$A:$A)-2,1),OFFSET(Curvas_cupon_cero!$A$1,1,MATCH($B$8,Curvas_cupon_cero!$1:$1,0)-1,COUNT(Curvas_cupon_cero!$A:$A)-2,1))))</f>
        <v/>
      </c>
      <c r="D373" s="23" t="str">
        <f ca="1">IF(A373="","",IF($B$10="Sí",interpolar_alamb(L373,OFFSET(Curvas_cupon_cero!$A$1,1,0,COUNT(Curvas_cupon_cero!$A:$A)-2,1),OFFSET(Curvas_cupon_cero!$A$1,1,MATCH($B$8,Curvas_cupon_cero!$1:$1,0)-1,COUNT(Curvas_cupon_cero!$A:$A)-2,1)),[1]!interpolar(L373,OFFSET(Curvas_cupon_cero!$A$1,1,0,COUNT(Curvas_cupon_cero!$A:$A)-2,1),OFFSET(Curvas_cupon_cero!$A$1,1,MATCH($B$8,Curvas_cupon_cero!$1:$1,0)-1,COUNT(Curvas_cupon_cero!$A:$A)-2,1))))</f>
        <v/>
      </c>
      <c r="E373" s="23" t="str">
        <f t="shared" si="53"/>
        <v/>
      </c>
      <c r="F373" s="23" t="str">
        <f ca="1">IF(A373="","",IF($B$10="Sí",interpolar_alamb(B373,OFFSET(Curvas_cupon_cero!$A$1,1,0,COUNT(Curvas_cupon_cero!$A:$A)-2,1),OFFSET(Curvas_cupon_cero!$A$1,1,MATCH($B$9,Curvas_cupon_cero!$1:$1,0)-1,COUNT(Curvas_cupon_cero!$A:$A)-2,1)),[1]!interpolar(B373,OFFSET(Curvas_cupon_cero!$A$1,1,0,COUNT(Curvas_cupon_cero!$A:$A)-2,1),OFFSET(Curvas_cupon_cero!$A$1,1,MATCH($B$9,Curvas_cupon_cero!$1:$1,0)-1,COUNT(Curvas_cupon_cero!$A:$A)-2,1))))</f>
        <v/>
      </c>
      <c r="G373" s="23" t="str">
        <f t="shared" si="54"/>
        <v/>
      </c>
      <c r="H373" s="20" t="str">
        <f t="shared" si="59"/>
        <v/>
      </c>
      <c r="I373" t="str">
        <f t="shared" si="55"/>
        <v/>
      </c>
      <c r="J373" s="17" t="str">
        <f t="shared" si="51"/>
        <v/>
      </c>
      <c r="K373" s="18" t="str">
        <f t="shared" si="56"/>
        <v/>
      </c>
      <c r="L373" t="str">
        <f t="shared" si="57"/>
        <v/>
      </c>
      <c r="M373" s="23" t="str">
        <f ca="1">IF(A373="","",IF($B$10="Sí",interpolar_alamb(L373,OFFSET(Curvas_cupon_cero!$A$1,1,0,COUNT(Curvas_cupon_cero!$A:$A)-2,1),OFFSET(Curvas_cupon_cero!$A$1,1,MATCH($B$6,Curvas_cupon_cero!$1:$1,0)-1,COUNT(Curvas_cupon_cero!$A:$A)-2,1)),[1]!interpolar(L373,OFFSET(Curvas_cupon_cero!$A$1,1,0,COUNT(Curvas_cupon_cero!$A:$A)-2,1),OFFSET(Curvas_cupon_cero!$A$1,1,MATCH($B$6,Curvas_cupon_cero!$1:$1,0)-1,COUNT(Curvas_cupon_cero!$A:$A)-2,1))))</f>
        <v/>
      </c>
      <c r="N373" s="23"/>
      <c r="O373" s="19" t="str">
        <f t="shared" si="58"/>
        <v/>
      </c>
    </row>
    <row r="374" spans="1:15" x14ac:dyDescent="0.2">
      <c r="A374" s="12" t="str">
        <f t="shared" si="52"/>
        <v/>
      </c>
      <c r="B374" t="str">
        <f t="shared" si="50"/>
        <v/>
      </c>
      <c r="C374" s="21" t="str">
        <f ca="1">IF(A374="","",IF($B$10="Sí",interpolar_alamb(B374,OFFSET(Curvas_cupon_cero!$A$1,1,0,COUNT(Curvas_cupon_cero!$A:$A)-2,1),OFFSET(Curvas_cupon_cero!$A$1,1,MATCH($B$8,Curvas_cupon_cero!$1:$1,0)-1,COUNT(Curvas_cupon_cero!$A:$A)-2,1)),[1]!interpolar(B374,OFFSET(Curvas_cupon_cero!$A$1,1,0,COUNT(Curvas_cupon_cero!$A:$A)-2,1),OFFSET(Curvas_cupon_cero!$A$1,1,MATCH($B$8,Curvas_cupon_cero!$1:$1,0)-1,COUNT(Curvas_cupon_cero!$A:$A)-2,1))))</f>
        <v/>
      </c>
      <c r="D374" s="23" t="str">
        <f ca="1">IF(A374="","",IF($B$10="Sí",interpolar_alamb(L374,OFFSET(Curvas_cupon_cero!$A$1,1,0,COUNT(Curvas_cupon_cero!$A:$A)-2,1),OFFSET(Curvas_cupon_cero!$A$1,1,MATCH($B$8,Curvas_cupon_cero!$1:$1,0)-1,COUNT(Curvas_cupon_cero!$A:$A)-2,1)),[1]!interpolar(L374,OFFSET(Curvas_cupon_cero!$A$1,1,0,COUNT(Curvas_cupon_cero!$A:$A)-2,1),OFFSET(Curvas_cupon_cero!$A$1,1,MATCH($B$8,Curvas_cupon_cero!$1:$1,0)-1,COUNT(Curvas_cupon_cero!$A:$A)-2,1))))</f>
        <v/>
      </c>
      <c r="E374" s="23" t="str">
        <f t="shared" si="53"/>
        <v/>
      </c>
      <c r="F374" s="23" t="str">
        <f ca="1">IF(A374="","",IF($B$10="Sí",interpolar_alamb(B374,OFFSET(Curvas_cupon_cero!$A$1,1,0,COUNT(Curvas_cupon_cero!$A:$A)-2,1),OFFSET(Curvas_cupon_cero!$A$1,1,MATCH($B$9,Curvas_cupon_cero!$1:$1,0)-1,COUNT(Curvas_cupon_cero!$A:$A)-2,1)),[1]!interpolar(B374,OFFSET(Curvas_cupon_cero!$A$1,1,0,COUNT(Curvas_cupon_cero!$A:$A)-2,1),OFFSET(Curvas_cupon_cero!$A$1,1,MATCH($B$9,Curvas_cupon_cero!$1:$1,0)-1,COUNT(Curvas_cupon_cero!$A:$A)-2,1))))</f>
        <v/>
      </c>
      <c r="G374" s="23" t="str">
        <f t="shared" si="54"/>
        <v/>
      </c>
      <c r="H374" s="20" t="str">
        <f t="shared" si="59"/>
        <v/>
      </c>
      <c r="I374" t="str">
        <f t="shared" si="55"/>
        <v/>
      </c>
      <c r="J374" s="17" t="str">
        <f t="shared" si="51"/>
        <v/>
      </c>
      <c r="K374" s="18" t="str">
        <f t="shared" si="56"/>
        <v/>
      </c>
      <c r="L374" t="str">
        <f t="shared" si="57"/>
        <v/>
      </c>
      <c r="M374" s="23" t="str">
        <f ca="1">IF(A374="","",IF($B$10="Sí",interpolar_alamb(L374,OFFSET(Curvas_cupon_cero!$A$1,1,0,COUNT(Curvas_cupon_cero!$A:$A)-2,1),OFFSET(Curvas_cupon_cero!$A$1,1,MATCH($B$6,Curvas_cupon_cero!$1:$1,0)-1,COUNT(Curvas_cupon_cero!$A:$A)-2,1)),[1]!interpolar(L374,OFFSET(Curvas_cupon_cero!$A$1,1,0,COUNT(Curvas_cupon_cero!$A:$A)-2,1),OFFSET(Curvas_cupon_cero!$A$1,1,MATCH($B$6,Curvas_cupon_cero!$1:$1,0)-1,COUNT(Curvas_cupon_cero!$A:$A)-2,1))))</f>
        <v/>
      </c>
      <c r="N374" s="23"/>
      <c r="O374" s="19" t="str">
        <f t="shared" si="58"/>
        <v/>
      </c>
    </row>
    <row r="375" spans="1:15" x14ac:dyDescent="0.2">
      <c r="A375" s="12" t="str">
        <f t="shared" si="52"/>
        <v/>
      </c>
      <c r="B375" t="str">
        <f t="shared" si="50"/>
        <v/>
      </c>
      <c r="C375" s="21" t="str">
        <f ca="1">IF(A375="","",IF($B$10="Sí",interpolar_alamb(B375,OFFSET(Curvas_cupon_cero!$A$1,1,0,COUNT(Curvas_cupon_cero!$A:$A)-2,1),OFFSET(Curvas_cupon_cero!$A$1,1,MATCH($B$8,Curvas_cupon_cero!$1:$1,0)-1,COUNT(Curvas_cupon_cero!$A:$A)-2,1)),[1]!interpolar(B375,OFFSET(Curvas_cupon_cero!$A$1,1,0,COUNT(Curvas_cupon_cero!$A:$A)-2,1),OFFSET(Curvas_cupon_cero!$A$1,1,MATCH($B$8,Curvas_cupon_cero!$1:$1,0)-1,COUNT(Curvas_cupon_cero!$A:$A)-2,1))))</f>
        <v/>
      </c>
      <c r="D375" s="23" t="str">
        <f ca="1">IF(A375="","",IF($B$10="Sí",interpolar_alamb(L375,OFFSET(Curvas_cupon_cero!$A$1,1,0,COUNT(Curvas_cupon_cero!$A:$A)-2,1),OFFSET(Curvas_cupon_cero!$A$1,1,MATCH($B$8,Curvas_cupon_cero!$1:$1,0)-1,COUNT(Curvas_cupon_cero!$A:$A)-2,1)),[1]!interpolar(L375,OFFSET(Curvas_cupon_cero!$A$1,1,0,COUNT(Curvas_cupon_cero!$A:$A)-2,1),OFFSET(Curvas_cupon_cero!$A$1,1,MATCH($B$8,Curvas_cupon_cero!$1:$1,0)-1,COUNT(Curvas_cupon_cero!$A:$A)-2,1))))</f>
        <v/>
      </c>
      <c r="E375" s="23" t="str">
        <f t="shared" si="53"/>
        <v/>
      </c>
      <c r="F375" s="23" t="str">
        <f ca="1">IF(A375="","",IF($B$10="Sí",interpolar_alamb(B375,OFFSET(Curvas_cupon_cero!$A$1,1,0,COUNT(Curvas_cupon_cero!$A:$A)-2,1),OFFSET(Curvas_cupon_cero!$A$1,1,MATCH($B$9,Curvas_cupon_cero!$1:$1,0)-1,COUNT(Curvas_cupon_cero!$A:$A)-2,1)),[1]!interpolar(B375,OFFSET(Curvas_cupon_cero!$A$1,1,0,COUNT(Curvas_cupon_cero!$A:$A)-2,1),OFFSET(Curvas_cupon_cero!$A$1,1,MATCH($B$9,Curvas_cupon_cero!$1:$1,0)-1,COUNT(Curvas_cupon_cero!$A:$A)-2,1))))</f>
        <v/>
      </c>
      <c r="G375" s="23" t="str">
        <f t="shared" si="54"/>
        <v/>
      </c>
      <c r="H375" s="20" t="str">
        <f t="shared" si="59"/>
        <v/>
      </c>
      <c r="I375" t="str">
        <f t="shared" si="55"/>
        <v/>
      </c>
      <c r="J375" s="17" t="str">
        <f t="shared" si="51"/>
        <v/>
      </c>
      <c r="K375" s="18" t="str">
        <f t="shared" si="56"/>
        <v/>
      </c>
      <c r="L375" t="str">
        <f t="shared" si="57"/>
        <v/>
      </c>
      <c r="M375" s="23" t="str">
        <f ca="1">IF(A375="","",IF($B$10="Sí",interpolar_alamb(L375,OFFSET(Curvas_cupon_cero!$A$1,1,0,COUNT(Curvas_cupon_cero!$A:$A)-2,1),OFFSET(Curvas_cupon_cero!$A$1,1,MATCH($B$6,Curvas_cupon_cero!$1:$1,0)-1,COUNT(Curvas_cupon_cero!$A:$A)-2,1)),[1]!interpolar(L375,OFFSET(Curvas_cupon_cero!$A$1,1,0,COUNT(Curvas_cupon_cero!$A:$A)-2,1),OFFSET(Curvas_cupon_cero!$A$1,1,MATCH($B$6,Curvas_cupon_cero!$1:$1,0)-1,COUNT(Curvas_cupon_cero!$A:$A)-2,1))))</f>
        <v/>
      </c>
      <c r="N375" s="23"/>
      <c r="O375" s="19" t="str">
        <f t="shared" si="58"/>
        <v/>
      </c>
    </row>
    <row r="376" spans="1:15" x14ac:dyDescent="0.2">
      <c r="A376" s="12" t="str">
        <f t="shared" si="52"/>
        <v/>
      </c>
      <c r="B376" t="str">
        <f t="shared" si="50"/>
        <v/>
      </c>
      <c r="C376" s="21" t="str">
        <f ca="1">IF(A376="","",IF($B$10="Sí",interpolar_alamb(B376,OFFSET(Curvas_cupon_cero!$A$1,1,0,COUNT(Curvas_cupon_cero!$A:$A)-2,1),OFFSET(Curvas_cupon_cero!$A$1,1,MATCH($B$8,Curvas_cupon_cero!$1:$1,0)-1,COUNT(Curvas_cupon_cero!$A:$A)-2,1)),[1]!interpolar(B376,OFFSET(Curvas_cupon_cero!$A$1,1,0,COUNT(Curvas_cupon_cero!$A:$A)-2,1),OFFSET(Curvas_cupon_cero!$A$1,1,MATCH($B$8,Curvas_cupon_cero!$1:$1,0)-1,COUNT(Curvas_cupon_cero!$A:$A)-2,1))))</f>
        <v/>
      </c>
      <c r="D376" s="23" t="str">
        <f ca="1">IF(A376="","",IF($B$10="Sí",interpolar_alamb(L376,OFFSET(Curvas_cupon_cero!$A$1,1,0,COUNT(Curvas_cupon_cero!$A:$A)-2,1),OFFSET(Curvas_cupon_cero!$A$1,1,MATCH($B$8,Curvas_cupon_cero!$1:$1,0)-1,COUNT(Curvas_cupon_cero!$A:$A)-2,1)),[1]!interpolar(L376,OFFSET(Curvas_cupon_cero!$A$1,1,0,COUNT(Curvas_cupon_cero!$A:$A)-2,1),OFFSET(Curvas_cupon_cero!$A$1,1,MATCH($B$8,Curvas_cupon_cero!$1:$1,0)-1,COUNT(Curvas_cupon_cero!$A:$A)-2,1))))</f>
        <v/>
      </c>
      <c r="E376" s="23" t="str">
        <f t="shared" si="53"/>
        <v/>
      </c>
      <c r="F376" s="23" t="str">
        <f ca="1">IF(A376="","",IF($B$10="Sí",interpolar_alamb(B376,OFFSET(Curvas_cupon_cero!$A$1,1,0,COUNT(Curvas_cupon_cero!$A:$A)-2,1),OFFSET(Curvas_cupon_cero!$A$1,1,MATCH($B$9,Curvas_cupon_cero!$1:$1,0)-1,COUNT(Curvas_cupon_cero!$A:$A)-2,1)),[1]!interpolar(B376,OFFSET(Curvas_cupon_cero!$A$1,1,0,COUNT(Curvas_cupon_cero!$A:$A)-2,1),OFFSET(Curvas_cupon_cero!$A$1,1,MATCH($B$9,Curvas_cupon_cero!$1:$1,0)-1,COUNT(Curvas_cupon_cero!$A:$A)-2,1))))</f>
        <v/>
      </c>
      <c r="G376" s="23" t="str">
        <f t="shared" si="54"/>
        <v/>
      </c>
      <c r="H376" s="20" t="str">
        <f t="shared" si="59"/>
        <v/>
      </c>
      <c r="I376" t="str">
        <f t="shared" si="55"/>
        <v/>
      </c>
      <c r="J376" s="17" t="str">
        <f t="shared" si="51"/>
        <v/>
      </c>
      <c r="K376" s="18" t="str">
        <f t="shared" si="56"/>
        <v/>
      </c>
      <c r="L376" t="str">
        <f t="shared" si="57"/>
        <v/>
      </c>
      <c r="M376" s="23" t="str">
        <f ca="1">IF(A376="","",IF($B$10="Sí",interpolar_alamb(L376,OFFSET(Curvas_cupon_cero!$A$1,1,0,COUNT(Curvas_cupon_cero!$A:$A)-2,1),OFFSET(Curvas_cupon_cero!$A$1,1,MATCH($B$6,Curvas_cupon_cero!$1:$1,0)-1,COUNT(Curvas_cupon_cero!$A:$A)-2,1)),[1]!interpolar(L376,OFFSET(Curvas_cupon_cero!$A$1,1,0,COUNT(Curvas_cupon_cero!$A:$A)-2,1),OFFSET(Curvas_cupon_cero!$A$1,1,MATCH($B$6,Curvas_cupon_cero!$1:$1,0)-1,COUNT(Curvas_cupon_cero!$A:$A)-2,1))))</f>
        <v/>
      </c>
      <c r="N376" s="23"/>
      <c r="O376" s="19" t="str">
        <f t="shared" si="58"/>
        <v/>
      </c>
    </row>
    <row r="377" spans="1:15" x14ac:dyDescent="0.2">
      <c r="A377" s="12" t="str">
        <f t="shared" si="52"/>
        <v/>
      </c>
      <c r="B377" t="str">
        <f t="shared" si="50"/>
        <v/>
      </c>
      <c r="C377" s="21" t="str">
        <f ca="1">IF(A377="","",IF($B$10="Sí",interpolar_alamb(B377,OFFSET(Curvas_cupon_cero!$A$1,1,0,COUNT(Curvas_cupon_cero!$A:$A)-2,1),OFFSET(Curvas_cupon_cero!$A$1,1,MATCH($B$8,Curvas_cupon_cero!$1:$1,0)-1,COUNT(Curvas_cupon_cero!$A:$A)-2,1)),[1]!interpolar(B377,OFFSET(Curvas_cupon_cero!$A$1,1,0,COUNT(Curvas_cupon_cero!$A:$A)-2,1),OFFSET(Curvas_cupon_cero!$A$1,1,MATCH($B$8,Curvas_cupon_cero!$1:$1,0)-1,COUNT(Curvas_cupon_cero!$A:$A)-2,1))))</f>
        <v/>
      </c>
      <c r="D377" s="23" t="str">
        <f ca="1">IF(A377="","",IF($B$10="Sí",interpolar_alamb(L377,OFFSET(Curvas_cupon_cero!$A$1,1,0,COUNT(Curvas_cupon_cero!$A:$A)-2,1),OFFSET(Curvas_cupon_cero!$A$1,1,MATCH($B$8,Curvas_cupon_cero!$1:$1,0)-1,COUNT(Curvas_cupon_cero!$A:$A)-2,1)),[1]!interpolar(L377,OFFSET(Curvas_cupon_cero!$A$1,1,0,COUNT(Curvas_cupon_cero!$A:$A)-2,1),OFFSET(Curvas_cupon_cero!$A$1,1,MATCH($B$8,Curvas_cupon_cero!$1:$1,0)-1,COUNT(Curvas_cupon_cero!$A:$A)-2,1))))</f>
        <v/>
      </c>
      <c r="E377" s="23" t="str">
        <f t="shared" si="53"/>
        <v/>
      </c>
      <c r="F377" s="23" t="str">
        <f ca="1">IF(A377="","",IF($B$10="Sí",interpolar_alamb(B377,OFFSET(Curvas_cupon_cero!$A$1,1,0,COUNT(Curvas_cupon_cero!$A:$A)-2,1),OFFSET(Curvas_cupon_cero!$A$1,1,MATCH($B$9,Curvas_cupon_cero!$1:$1,0)-1,COUNT(Curvas_cupon_cero!$A:$A)-2,1)),[1]!interpolar(B377,OFFSET(Curvas_cupon_cero!$A$1,1,0,COUNT(Curvas_cupon_cero!$A:$A)-2,1),OFFSET(Curvas_cupon_cero!$A$1,1,MATCH($B$9,Curvas_cupon_cero!$1:$1,0)-1,COUNT(Curvas_cupon_cero!$A:$A)-2,1))))</f>
        <v/>
      </c>
      <c r="G377" s="23" t="str">
        <f t="shared" si="54"/>
        <v/>
      </c>
      <c r="H377" s="20" t="str">
        <f t="shared" si="59"/>
        <v/>
      </c>
      <c r="I377" t="str">
        <f t="shared" si="55"/>
        <v/>
      </c>
      <c r="J377" s="17" t="str">
        <f t="shared" si="51"/>
        <v/>
      </c>
      <c r="K377" s="18" t="str">
        <f t="shared" si="56"/>
        <v/>
      </c>
      <c r="L377" t="str">
        <f t="shared" si="57"/>
        <v/>
      </c>
      <c r="M377" s="23" t="str">
        <f ca="1">IF(A377="","",IF($B$10="Sí",interpolar_alamb(L377,OFFSET(Curvas_cupon_cero!$A$1,1,0,COUNT(Curvas_cupon_cero!$A:$A)-2,1),OFFSET(Curvas_cupon_cero!$A$1,1,MATCH($B$6,Curvas_cupon_cero!$1:$1,0)-1,COUNT(Curvas_cupon_cero!$A:$A)-2,1)),[1]!interpolar(L377,OFFSET(Curvas_cupon_cero!$A$1,1,0,COUNT(Curvas_cupon_cero!$A:$A)-2,1),OFFSET(Curvas_cupon_cero!$A$1,1,MATCH($B$6,Curvas_cupon_cero!$1:$1,0)-1,COUNT(Curvas_cupon_cero!$A:$A)-2,1))))</f>
        <v/>
      </c>
      <c r="N377" s="23"/>
      <c r="O377" s="19" t="str">
        <f t="shared" si="58"/>
        <v/>
      </c>
    </row>
    <row r="378" spans="1:15" x14ac:dyDescent="0.2">
      <c r="A378" s="12" t="str">
        <f t="shared" si="52"/>
        <v/>
      </c>
      <c r="B378" t="str">
        <f t="shared" si="50"/>
        <v/>
      </c>
      <c r="C378" s="21" t="str">
        <f ca="1">IF(A378="","",IF($B$10="Sí",interpolar_alamb(B378,OFFSET(Curvas_cupon_cero!$A$1,1,0,COUNT(Curvas_cupon_cero!$A:$A)-2,1),OFFSET(Curvas_cupon_cero!$A$1,1,MATCH($B$8,Curvas_cupon_cero!$1:$1,0)-1,COUNT(Curvas_cupon_cero!$A:$A)-2,1)),[1]!interpolar(B378,OFFSET(Curvas_cupon_cero!$A$1,1,0,COUNT(Curvas_cupon_cero!$A:$A)-2,1),OFFSET(Curvas_cupon_cero!$A$1,1,MATCH($B$8,Curvas_cupon_cero!$1:$1,0)-1,COUNT(Curvas_cupon_cero!$A:$A)-2,1))))</f>
        <v/>
      </c>
      <c r="D378" s="23" t="str">
        <f ca="1">IF(A378="","",IF($B$10="Sí",interpolar_alamb(L378,OFFSET(Curvas_cupon_cero!$A$1,1,0,COUNT(Curvas_cupon_cero!$A:$A)-2,1),OFFSET(Curvas_cupon_cero!$A$1,1,MATCH($B$8,Curvas_cupon_cero!$1:$1,0)-1,COUNT(Curvas_cupon_cero!$A:$A)-2,1)),[1]!interpolar(L378,OFFSET(Curvas_cupon_cero!$A$1,1,0,COUNT(Curvas_cupon_cero!$A:$A)-2,1),OFFSET(Curvas_cupon_cero!$A$1,1,MATCH($B$8,Curvas_cupon_cero!$1:$1,0)-1,COUNT(Curvas_cupon_cero!$A:$A)-2,1))))</f>
        <v/>
      </c>
      <c r="E378" s="23" t="str">
        <f t="shared" si="53"/>
        <v/>
      </c>
      <c r="F378" s="23" t="str">
        <f ca="1">IF(A378="","",IF($B$10="Sí",interpolar_alamb(B378,OFFSET(Curvas_cupon_cero!$A$1,1,0,COUNT(Curvas_cupon_cero!$A:$A)-2,1),OFFSET(Curvas_cupon_cero!$A$1,1,MATCH($B$9,Curvas_cupon_cero!$1:$1,0)-1,COUNT(Curvas_cupon_cero!$A:$A)-2,1)),[1]!interpolar(B378,OFFSET(Curvas_cupon_cero!$A$1,1,0,COUNT(Curvas_cupon_cero!$A:$A)-2,1),OFFSET(Curvas_cupon_cero!$A$1,1,MATCH($B$9,Curvas_cupon_cero!$1:$1,0)-1,COUNT(Curvas_cupon_cero!$A:$A)-2,1))))</f>
        <v/>
      </c>
      <c r="G378" s="23" t="str">
        <f t="shared" si="54"/>
        <v/>
      </c>
      <c r="H378" s="20" t="str">
        <f t="shared" si="59"/>
        <v/>
      </c>
      <c r="I378" t="str">
        <f t="shared" si="55"/>
        <v/>
      </c>
      <c r="J378" s="17" t="str">
        <f t="shared" si="51"/>
        <v/>
      </c>
      <c r="K378" s="18" t="str">
        <f t="shared" si="56"/>
        <v/>
      </c>
      <c r="L378" t="str">
        <f t="shared" si="57"/>
        <v/>
      </c>
      <c r="M378" s="23" t="str">
        <f ca="1">IF(A378="","",IF($B$10="Sí",interpolar_alamb(L378,OFFSET(Curvas_cupon_cero!$A$1,1,0,COUNT(Curvas_cupon_cero!$A:$A)-2,1),OFFSET(Curvas_cupon_cero!$A$1,1,MATCH($B$6,Curvas_cupon_cero!$1:$1,0)-1,COUNT(Curvas_cupon_cero!$A:$A)-2,1)),[1]!interpolar(L378,OFFSET(Curvas_cupon_cero!$A$1,1,0,COUNT(Curvas_cupon_cero!$A:$A)-2,1),OFFSET(Curvas_cupon_cero!$A$1,1,MATCH($B$6,Curvas_cupon_cero!$1:$1,0)-1,COUNT(Curvas_cupon_cero!$A:$A)-2,1))))</f>
        <v/>
      </c>
      <c r="N378" s="23"/>
      <c r="O378" s="19" t="str">
        <f t="shared" si="58"/>
        <v/>
      </c>
    </row>
    <row r="379" spans="1:15" x14ac:dyDescent="0.2">
      <c r="A379" s="12" t="str">
        <f t="shared" si="52"/>
        <v/>
      </c>
      <c r="B379" t="str">
        <f t="shared" si="50"/>
        <v/>
      </c>
      <c r="C379" s="21" t="str">
        <f ca="1">IF(A379="","",IF($B$10="Sí",interpolar_alamb(B379,OFFSET(Curvas_cupon_cero!$A$1,1,0,COUNT(Curvas_cupon_cero!$A:$A)-2,1),OFFSET(Curvas_cupon_cero!$A$1,1,MATCH($B$8,Curvas_cupon_cero!$1:$1,0)-1,COUNT(Curvas_cupon_cero!$A:$A)-2,1)),[1]!interpolar(B379,OFFSET(Curvas_cupon_cero!$A$1,1,0,COUNT(Curvas_cupon_cero!$A:$A)-2,1),OFFSET(Curvas_cupon_cero!$A$1,1,MATCH($B$8,Curvas_cupon_cero!$1:$1,0)-1,COUNT(Curvas_cupon_cero!$A:$A)-2,1))))</f>
        <v/>
      </c>
      <c r="D379" s="23" t="str">
        <f ca="1">IF(A379="","",IF($B$10="Sí",interpolar_alamb(L379,OFFSET(Curvas_cupon_cero!$A$1,1,0,COUNT(Curvas_cupon_cero!$A:$A)-2,1),OFFSET(Curvas_cupon_cero!$A$1,1,MATCH($B$8,Curvas_cupon_cero!$1:$1,0)-1,COUNT(Curvas_cupon_cero!$A:$A)-2,1)),[1]!interpolar(L379,OFFSET(Curvas_cupon_cero!$A$1,1,0,COUNT(Curvas_cupon_cero!$A:$A)-2,1),OFFSET(Curvas_cupon_cero!$A$1,1,MATCH($B$8,Curvas_cupon_cero!$1:$1,0)-1,COUNT(Curvas_cupon_cero!$A:$A)-2,1))))</f>
        <v/>
      </c>
      <c r="E379" s="23" t="str">
        <f t="shared" si="53"/>
        <v/>
      </c>
      <c r="F379" s="23" t="str">
        <f ca="1">IF(A379="","",IF($B$10="Sí",interpolar_alamb(B379,OFFSET(Curvas_cupon_cero!$A$1,1,0,COUNT(Curvas_cupon_cero!$A:$A)-2,1),OFFSET(Curvas_cupon_cero!$A$1,1,MATCH($B$9,Curvas_cupon_cero!$1:$1,0)-1,COUNT(Curvas_cupon_cero!$A:$A)-2,1)),[1]!interpolar(B379,OFFSET(Curvas_cupon_cero!$A$1,1,0,COUNT(Curvas_cupon_cero!$A:$A)-2,1),OFFSET(Curvas_cupon_cero!$A$1,1,MATCH($B$9,Curvas_cupon_cero!$1:$1,0)-1,COUNT(Curvas_cupon_cero!$A:$A)-2,1))))</f>
        <v/>
      </c>
      <c r="G379" s="23" t="str">
        <f t="shared" si="54"/>
        <v/>
      </c>
      <c r="H379" s="20" t="str">
        <f t="shared" si="59"/>
        <v/>
      </c>
      <c r="I379" t="str">
        <f t="shared" si="55"/>
        <v/>
      </c>
      <c r="J379" s="17" t="str">
        <f t="shared" si="51"/>
        <v/>
      </c>
      <c r="K379" s="18" t="str">
        <f t="shared" si="56"/>
        <v/>
      </c>
      <c r="L379" t="str">
        <f t="shared" si="57"/>
        <v/>
      </c>
      <c r="M379" s="23" t="str">
        <f ca="1">IF(A379="","",IF($B$10="Sí",interpolar_alamb(L379,OFFSET(Curvas_cupon_cero!$A$1,1,0,COUNT(Curvas_cupon_cero!$A:$A)-2,1),OFFSET(Curvas_cupon_cero!$A$1,1,MATCH($B$6,Curvas_cupon_cero!$1:$1,0)-1,COUNT(Curvas_cupon_cero!$A:$A)-2,1)),[1]!interpolar(L379,OFFSET(Curvas_cupon_cero!$A$1,1,0,COUNT(Curvas_cupon_cero!$A:$A)-2,1),OFFSET(Curvas_cupon_cero!$A$1,1,MATCH($B$6,Curvas_cupon_cero!$1:$1,0)-1,COUNT(Curvas_cupon_cero!$A:$A)-2,1))))</f>
        <v/>
      </c>
      <c r="N379" s="23"/>
      <c r="O379" s="19" t="str">
        <f t="shared" si="58"/>
        <v/>
      </c>
    </row>
    <row r="380" spans="1:15" x14ac:dyDescent="0.2">
      <c r="A380" s="12" t="str">
        <f t="shared" si="52"/>
        <v/>
      </c>
      <c r="B380" t="str">
        <f t="shared" si="50"/>
        <v/>
      </c>
      <c r="C380" s="21" t="str">
        <f ca="1">IF(A380="","",IF($B$10="Sí",interpolar_alamb(B380,OFFSET(Curvas_cupon_cero!$A$1,1,0,COUNT(Curvas_cupon_cero!$A:$A)-2,1),OFFSET(Curvas_cupon_cero!$A$1,1,MATCH($B$8,Curvas_cupon_cero!$1:$1,0)-1,COUNT(Curvas_cupon_cero!$A:$A)-2,1)),[1]!interpolar(B380,OFFSET(Curvas_cupon_cero!$A$1,1,0,COUNT(Curvas_cupon_cero!$A:$A)-2,1),OFFSET(Curvas_cupon_cero!$A$1,1,MATCH($B$8,Curvas_cupon_cero!$1:$1,0)-1,COUNT(Curvas_cupon_cero!$A:$A)-2,1))))</f>
        <v/>
      </c>
      <c r="D380" s="23" t="str">
        <f ca="1">IF(A380="","",IF($B$10="Sí",interpolar_alamb(L380,OFFSET(Curvas_cupon_cero!$A$1,1,0,COUNT(Curvas_cupon_cero!$A:$A)-2,1),OFFSET(Curvas_cupon_cero!$A$1,1,MATCH($B$8,Curvas_cupon_cero!$1:$1,0)-1,COUNT(Curvas_cupon_cero!$A:$A)-2,1)),[1]!interpolar(L380,OFFSET(Curvas_cupon_cero!$A$1,1,0,COUNT(Curvas_cupon_cero!$A:$A)-2,1),OFFSET(Curvas_cupon_cero!$A$1,1,MATCH($B$8,Curvas_cupon_cero!$1:$1,0)-1,COUNT(Curvas_cupon_cero!$A:$A)-2,1))))</f>
        <v/>
      </c>
      <c r="E380" s="23" t="str">
        <f t="shared" si="53"/>
        <v/>
      </c>
      <c r="F380" s="23" t="str">
        <f ca="1">IF(A380="","",IF($B$10="Sí",interpolar_alamb(B380,OFFSET(Curvas_cupon_cero!$A$1,1,0,COUNT(Curvas_cupon_cero!$A:$A)-2,1),OFFSET(Curvas_cupon_cero!$A$1,1,MATCH($B$9,Curvas_cupon_cero!$1:$1,0)-1,COUNT(Curvas_cupon_cero!$A:$A)-2,1)),[1]!interpolar(B380,OFFSET(Curvas_cupon_cero!$A$1,1,0,COUNT(Curvas_cupon_cero!$A:$A)-2,1),OFFSET(Curvas_cupon_cero!$A$1,1,MATCH($B$9,Curvas_cupon_cero!$1:$1,0)-1,COUNT(Curvas_cupon_cero!$A:$A)-2,1))))</f>
        <v/>
      </c>
      <c r="G380" s="23" t="str">
        <f t="shared" si="54"/>
        <v/>
      </c>
      <c r="H380" s="20" t="str">
        <f t="shared" si="59"/>
        <v/>
      </c>
      <c r="I380" t="str">
        <f t="shared" si="55"/>
        <v/>
      </c>
      <c r="J380" s="17" t="str">
        <f t="shared" si="51"/>
        <v/>
      </c>
      <c r="K380" s="18" t="str">
        <f t="shared" si="56"/>
        <v/>
      </c>
      <c r="L380" t="str">
        <f t="shared" si="57"/>
        <v/>
      </c>
      <c r="M380" s="23" t="str">
        <f ca="1">IF(A380="","",IF($B$10="Sí",interpolar_alamb(L380,OFFSET(Curvas_cupon_cero!$A$1,1,0,COUNT(Curvas_cupon_cero!$A:$A)-2,1),OFFSET(Curvas_cupon_cero!$A$1,1,MATCH($B$6,Curvas_cupon_cero!$1:$1,0)-1,COUNT(Curvas_cupon_cero!$A:$A)-2,1)),[1]!interpolar(L380,OFFSET(Curvas_cupon_cero!$A$1,1,0,COUNT(Curvas_cupon_cero!$A:$A)-2,1),OFFSET(Curvas_cupon_cero!$A$1,1,MATCH($B$6,Curvas_cupon_cero!$1:$1,0)-1,COUNT(Curvas_cupon_cero!$A:$A)-2,1))))</f>
        <v/>
      </c>
      <c r="N380" s="23"/>
      <c r="O380" s="19" t="str">
        <f t="shared" si="58"/>
        <v/>
      </c>
    </row>
    <row r="381" spans="1:15" x14ac:dyDescent="0.2">
      <c r="A381" s="12" t="str">
        <f t="shared" si="52"/>
        <v/>
      </c>
      <c r="B381" t="str">
        <f t="shared" si="50"/>
        <v/>
      </c>
      <c r="C381" s="21" t="str">
        <f ca="1">IF(A381="","",IF($B$10="Sí",interpolar_alamb(B381,OFFSET(Curvas_cupon_cero!$A$1,1,0,COUNT(Curvas_cupon_cero!$A:$A)-2,1),OFFSET(Curvas_cupon_cero!$A$1,1,MATCH($B$8,Curvas_cupon_cero!$1:$1,0)-1,COUNT(Curvas_cupon_cero!$A:$A)-2,1)),[1]!interpolar(B381,OFFSET(Curvas_cupon_cero!$A$1,1,0,COUNT(Curvas_cupon_cero!$A:$A)-2,1),OFFSET(Curvas_cupon_cero!$A$1,1,MATCH($B$8,Curvas_cupon_cero!$1:$1,0)-1,COUNT(Curvas_cupon_cero!$A:$A)-2,1))))</f>
        <v/>
      </c>
      <c r="D381" s="23" t="str">
        <f ca="1">IF(A381="","",IF($B$10="Sí",interpolar_alamb(L381,OFFSET(Curvas_cupon_cero!$A$1,1,0,COUNT(Curvas_cupon_cero!$A:$A)-2,1),OFFSET(Curvas_cupon_cero!$A$1,1,MATCH($B$8,Curvas_cupon_cero!$1:$1,0)-1,COUNT(Curvas_cupon_cero!$A:$A)-2,1)),[1]!interpolar(L381,OFFSET(Curvas_cupon_cero!$A$1,1,0,COUNT(Curvas_cupon_cero!$A:$A)-2,1),OFFSET(Curvas_cupon_cero!$A$1,1,MATCH($B$8,Curvas_cupon_cero!$1:$1,0)-1,COUNT(Curvas_cupon_cero!$A:$A)-2,1))))</f>
        <v/>
      </c>
      <c r="E381" s="23" t="str">
        <f t="shared" si="53"/>
        <v/>
      </c>
      <c r="F381" s="23" t="str">
        <f ca="1">IF(A381="","",IF($B$10="Sí",interpolar_alamb(B381,OFFSET(Curvas_cupon_cero!$A$1,1,0,COUNT(Curvas_cupon_cero!$A:$A)-2,1),OFFSET(Curvas_cupon_cero!$A$1,1,MATCH($B$9,Curvas_cupon_cero!$1:$1,0)-1,COUNT(Curvas_cupon_cero!$A:$A)-2,1)),[1]!interpolar(B381,OFFSET(Curvas_cupon_cero!$A$1,1,0,COUNT(Curvas_cupon_cero!$A:$A)-2,1),OFFSET(Curvas_cupon_cero!$A$1,1,MATCH($B$9,Curvas_cupon_cero!$1:$1,0)-1,COUNT(Curvas_cupon_cero!$A:$A)-2,1))))</f>
        <v/>
      </c>
      <c r="G381" s="23" t="str">
        <f t="shared" si="54"/>
        <v/>
      </c>
      <c r="H381" s="20" t="str">
        <f t="shared" si="59"/>
        <v/>
      </c>
      <c r="I381" t="str">
        <f t="shared" si="55"/>
        <v/>
      </c>
      <c r="J381" s="17" t="str">
        <f t="shared" si="51"/>
        <v/>
      </c>
      <c r="K381" s="18" t="str">
        <f t="shared" si="56"/>
        <v/>
      </c>
      <c r="L381" t="str">
        <f t="shared" si="57"/>
        <v/>
      </c>
      <c r="M381" s="23" t="str">
        <f ca="1">IF(A381="","",IF($B$10="Sí",interpolar_alamb(L381,OFFSET(Curvas_cupon_cero!$A$1,1,0,COUNT(Curvas_cupon_cero!$A:$A)-2,1),OFFSET(Curvas_cupon_cero!$A$1,1,MATCH($B$6,Curvas_cupon_cero!$1:$1,0)-1,COUNT(Curvas_cupon_cero!$A:$A)-2,1)),[1]!interpolar(L381,OFFSET(Curvas_cupon_cero!$A$1,1,0,COUNT(Curvas_cupon_cero!$A:$A)-2,1),OFFSET(Curvas_cupon_cero!$A$1,1,MATCH($B$6,Curvas_cupon_cero!$1:$1,0)-1,COUNT(Curvas_cupon_cero!$A:$A)-2,1))))</f>
        <v/>
      </c>
      <c r="N381" s="23"/>
      <c r="O381" s="19" t="str">
        <f t="shared" si="58"/>
        <v/>
      </c>
    </row>
    <row r="382" spans="1:15" x14ac:dyDescent="0.2">
      <c r="A382" s="12" t="str">
        <f t="shared" si="52"/>
        <v/>
      </c>
      <c r="B382" t="str">
        <f t="shared" si="50"/>
        <v/>
      </c>
      <c r="C382" s="21" t="str">
        <f ca="1">IF(A382="","",IF($B$10="Sí",interpolar_alamb(B382,OFFSET(Curvas_cupon_cero!$A$1,1,0,COUNT(Curvas_cupon_cero!$A:$A)-2,1),OFFSET(Curvas_cupon_cero!$A$1,1,MATCH($B$8,Curvas_cupon_cero!$1:$1,0)-1,COUNT(Curvas_cupon_cero!$A:$A)-2,1)),[1]!interpolar(B382,OFFSET(Curvas_cupon_cero!$A$1,1,0,COUNT(Curvas_cupon_cero!$A:$A)-2,1),OFFSET(Curvas_cupon_cero!$A$1,1,MATCH($B$8,Curvas_cupon_cero!$1:$1,0)-1,COUNT(Curvas_cupon_cero!$A:$A)-2,1))))</f>
        <v/>
      </c>
      <c r="D382" s="23" t="str">
        <f ca="1">IF(A382="","",IF($B$10="Sí",interpolar_alamb(L382,OFFSET(Curvas_cupon_cero!$A$1,1,0,COUNT(Curvas_cupon_cero!$A:$A)-2,1),OFFSET(Curvas_cupon_cero!$A$1,1,MATCH($B$8,Curvas_cupon_cero!$1:$1,0)-1,COUNT(Curvas_cupon_cero!$A:$A)-2,1)),[1]!interpolar(L382,OFFSET(Curvas_cupon_cero!$A$1,1,0,COUNT(Curvas_cupon_cero!$A:$A)-2,1),OFFSET(Curvas_cupon_cero!$A$1,1,MATCH($B$8,Curvas_cupon_cero!$1:$1,0)-1,COUNT(Curvas_cupon_cero!$A:$A)-2,1))))</f>
        <v/>
      </c>
      <c r="E382" s="23" t="str">
        <f t="shared" si="53"/>
        <v/>
      </c>
      <c r="F382" s="23" t="str">
        <f ca="1">IF(A382="","",IF($B$10="Sí",interpolar_alamb(B382,OFFSET(Curvas_cupon_cero!$A$1,1,0,COUNT(Curvas_cupon_cero!$A:$A)-2,1),OFFSET(Curvas_cupon_cero!$A$1,1,MATCH($B$9,Curvas_cupon_cero!$1:$1,0)-1,COUNT(Curvas_cupon_cero!$A:$A)-2,1)),[1]!interpolar(B382,OFFSET(Curvas_cupon_cero!$A$1,1,0,COUNT(Curvas_cupon_cero!$A:$A)-2,1),OFFSET(Curvas_cupon_cero!$A$1,1,MATCH($B$9,Curvas_cupon_cero!$1:$1,0)-1,COUNT(Curvas_cupon_cero!$A:$A)-2,1))))</f>
        <v/>
      </c>
      <c r="G382" s="23" t="str">
        <f t="shared" si="54"/>
        <v/>
      </c>
      <c r="H382" s="20" t="str">
        <f t="shared" si="59"/>
        <v/>
      </c>
      <c r="I382" t="str">
        <f t="shared" si="55"/>
        <v/>
      </c>
      <c r="J382" s="17" t="str">
        <f t="shared" si="51"/>
        <v/>
      </c>
      <c r="K382" s="18" t="str">
        <f t="shared" si="56"/>
        <v/>
      </c>
      <c r="L382" t="str">
        <f t="shared" si="57"/>
        <v/>
      </c>
      <c r="M382" s="23" t="str">
        <f ca="1">IF(A382="","",IF($B$10="Sí",interpolar_alamb(L382,OFFSET(Curvas_cupon_cero!$A$1,1,0,COUNT(Curvas_cupon_cero!$A:$A)-2,1),OFFSET(Curvas_cupon_cero!$A$1,1,MATCH($B$6,Curvas_cupon_cero!$1:$1,0)-1,COUNT(Curvas_cupon_cero!$A:$A)-2,1)),[1]!interpolar(L382,OFFSET(Curvas_cupon_cero!$A$1,1,0,COUNT(Curvas_cupon_cero!$A:$A)-2,1),OFFSET(Curvas_cupon_cero!$A$1,1,MATCH($B$6,Curvas_cupon_cero!$1:$1,0)-1,COUNT(Curvas_cupon_cero!$A:$A)-2,1))))</f>
        <v/>
      </c>
      <c r="N382" s="23"/>
      <c r="O382" s="19" t="str">
        <f t="shared" si="58"/>
        <v/>
      </c>
    </row>
    <row r="383" spans="1:15" x14ac:dyDescent="0.2">
      <c r="A383" s="12" t="str">
        <f t="shared" si="52"/>
        <v/>
      </c>
      <c r="B383" t="str">
        <f t="shared" si="50"/>
        <v/>
      </c>
      <c r="C383" s="21" t="str">
        <f ca="1">IF(A383="","",IF($B$10="Sí",interpolar_alamb(B383,OFFSET(Curvas_cupon_cero!$A$1,1,0,COUNT(Curvas_cupon_cero!$A:$A)-2,1),OFFSET(Curvas_cupon_cero!$A$1,1,MATCH($B$8,Curvas_cupon_cero!$1:$1,0)-1,COUNT(Curvas_cupon_cero!$A:$A)-2,1)),[1]!interpolar(B383,OFFSET(Curvas_cupon_cero!$A$1,1,0,COUNT(Curvas_cupon_cero!$A:$A)-2,1),OFFSET(Curvas_cupon_cero!$A$1,1,MATCH($B$8,Curvas_cupon_cero!$1:$1,0)-1,COUNT(Curvas_cupon_cero!$A:$A)-2,1))))</f>
        <v/>
      </c>
      <c r="D383" s="23" t="str">
        <f ca="1">IF(A383="","",IF($B$10="Sí",interpolar_alamb(L383,OFFSET(Curvas_cupon_cero!$A$1,1,0,COUNT(Curvas_cupon_cero!$A:$A)-2,1),OFFSET(Curvas_cupon_cero!$A$1,1,MATCH($B$8,Curvas_cupon_cero!$1:$1,0)-1,COUNT(Curvas_cupon_cero!$A:$A)-2,1)),[1]!interpolar(L383,OFFSET(Curvas_cupon_cero!$A$1,1,0,COUNT(Curvas_cupon_cero!$A:$A)-2,1),OFFSET(Curvas_cupon_cero!$A$1,1,MATCH($B$8,Curvas_cupon_cero!$1:$1,0)-1,COUNT(Curvas_cupon_cero!$A:$A)-2,1))))</f>
        <v/>
      </c>
      <c r="E383" s="23" t="str">
        <f t="shared" si="53"/>
        <v/>
      </c>
      <c r="F383" s="23" t="str">
        <f ca="1">IF(A383="","",IF($B$10="Sí",interpolar_alamb(B383,OFFSET(Curvas_cupon_cero!$A$1,1,0,COUNT(Curvas_cupon_cero!$A:$A)-2,1),OFFSET(Curvas_cupon_cero!$A$1,1,MATCH($B$9,Curvas_cupon_cero!$1:$1,0)-1,COUNT(Curvas_cupon_cero!$A:$A)-2,1)),[1]!interpolar(B383,OFFSET(Curvas_cupon_cero!$A$1,1,0,COUNT(Curvas_cupon_cero!$A:$A)-2,1),OFFSET(Curvas_cupon_cero!$A$1,1,MATCH($B$9,Curvas_cupon_cero!$1:$1,0)-1,COUNT(Curvas_cupon_cero!$A:$A)-2,1))))</f>
        <v/>
      </c>
      <c r="G383" s="23" t="str">
        <f t="shared" si="54"/>
        <v/>
      </c>
      <c r="H383" s="20" t="str">
        <f t="shared" si="59"/>
        <v/>
      </c>
      <c r="I383" t="str">
        <f t="shared" si="55"/>
        <v/>
      </c>
      <c r="J383" s="17" t="str">
        <f t="shared" si="51"/>
        <v/>
      </c>
      <c r="K383" s="18" t="str">
        <f t="shared" si="56"/>
        <v/>
      </c>
      <c r="L383" t="str">
        <f t="shared" si="57"/>
        <v/>
      </c>
      <c r="M383" s="23" t="str">
        <f ca="1">IF(A383="","",IF($B$10="Sí",interpolar_alamb(L383,OFFSET(Curvas_cupon_cero!$A$1,1,0,COUNT(Curvas_cupon_cero!$A:$A)-2,1),OFFSET(Curvas_cupon_cero!$A$1,1,MATCH($B$6,Curvas_cupon_cero!$1:$1,0)-1,COUNT(Curvas_cupon_cero!$A:$A)-2,1)),[1]!interpolar(L383,OFFSET(Curvas_cupon_cero!$A$1,1,0,COUNT(Curvas_cupon_cero!$A:$A)-2,1),OFFSET(Curvas_cupon_cero!$A$1,1,MATCH($B$6,Curvas_cupon_cero!$1:$1,0)-1,COUNT(Curvas_cupon_cero!$A:$A)-2,1))))</f>
        <v/>
      </c>
      <c r="N383" s="23"/>
      <c r="O383" s="19" t="str">
        <f t="shared" si="58"/>
        <v/>
      </c>
    </row>
    <row r="384" spans="1:15" x14ac:dyDescent="0.2">
      <c r="A384" s="12" t="str">
        <f t="shared" si="52"/>
        <v/>
      </c>
      <c r="B384" t="str">
        <f t="shared" si="50"/>
        <v/>
      </c>
      <c r="C384" s="21" t="str">
        <f ca="1">IF(A384="","",IF($B$10="Sí",interpolar_alamb(B384,OFFSET(Curvas_cupon_cero!$A$1,1,0,COUNT(Curvas_cupon_cero!$A:$A)-2,1),OFFSET(Curvas_cupon_cero!$A$1,1,MATCH($B$8,Curvas_cupon_cero!$1:$1,0)-1,COUNT(Curvas_cupon_cero!$A:$A)-2,1)),[1]!interpolar(B384,OFFSET(Curvas_cupon_cero!$A$1,1,0,COUNT(Curvas_cupon_cero!$A:$A)-2,1),OFFSET(Curvas_cupon_cero!$A$1,1,MATCH($B$8,Curvas_cupon_cero!$1:$1,0)-1,COUNT(Curvas_cupon_cero!$A:$A)-2,1))))</f>
        <v/>
      </c>
      <c r="D384" s="23" t="str">
        <f ca="1">IF(A384="","",IF($B$10="Sí",interpolar_alamb(L384,OFFSET(Curvas_cupon_cero!$A$1,1,0,COUNT(Curvas_cupon_cero!$A:$A)-2,1),OFFSET(Curvas_cupon_cero!$A$1,1,MATCH($B$8,Curvas_cupon_cero!$1:$1,0)-1,COUNT(Curvas_cupon_cero!$A:$A)-2,1)),[1]!interpolar(L384,OFFSET(Curvas_cupon_cero!$A$1,1,0,COUNT(Curvas_cupon_cero!$A:$A)-2,1),OFFSET(Curvas_cupon_cero!$A$1,1,MATCH($B$8,Curvas_cupon_cero!$1:$1,0)-1,COUNT(Curvas_cupon_cero!$A:$A)-2,1))))</f>
        <v/>
      </c>
      <c r="E384" s="23" t="str">
        <f t="shared" si="53"/>
        <v/>
      </c>
      <c r="F384" s="23" t="str">
        <f ca="1">IF(A384="","",IF($B$10="Sí",interpolar_alamb(B384,OFFSET(Curvas_cupon_cero!$A$1,1,0,COUNT(Curvas_cupon_cero!$A:$A)-2,1),OFFSET(Curvas_cupon_cero!$A$1,1,MATCH($B$9,Curvas_cupon_cero!$1:$1,0)-1,COUNT(Curvas_cupon_cero!$A:$A)-2,1)),[1]!interpolar(B384,OFFSET(Curvas_cupon_cero!$A$1,1,0,COUNT(Curvas_cupon_cero!$A:$A)-2,1),OFFSET(Curvas_cupon_cero!$A$1,1,MATCH($B$9,Curvas_cupon_cero!$1:$1,0)-1,COUNT(Curvas_cupon_cero!$A:$A)-2,1))))</f>
        <v/>
      </c>
      <c r="G384" s="23" t="str">
        <f t="shared" si="54"/>
        <v/>
      </c>
      <c r="H384" s="20" t="str">
        <f t="shared" si="59"/>
        <v/>
      </c>
      <c r="I384" t="str">
        <f t="shared" si="55"/>
        <v/>
      </c>
      <c r="J384" s="17" t="str">
        <f t="shared" si="51"/>
        <v/>
      </c>
      <c r="K384" s="18" t="str">
        <f t="shared" si="56"/>
        <v/>
      </c>
      <c r="L384" t="str">
        <f t="shared" si="57"/>
        <v/>
      </c>
      <c r="M384" s="23" t="str">
        <f ca="1">IF(A384="","",IF($B$10="Sí",interpolar_alamb(L384,OFFSET(Curvas_cupon_cero!$A$1,1,0,COUNT(Curvas_cupon_cero!$A:$A)-2,1),OFFSET(Curvas_cupon_cero!$A$1,1,MATCH($B$6,Curvas_cupon_cero!$1:$1,0)-1,COUNT(Curvas_cupon_cero!$A:$A)-2,1)),[1]!interpolar(L384,OFFSET(Curvas_cupon_cero!$A$1,1,0,COUNT(Curvas_cupon_cero!$A:$A)-2,1),OFFSET(Curvas_cupon_cero!$A$1,1,MATCH($B$6,Curvas_cupon_cero!$1:$1,0)-1,COUNT(Curvas_cupon_cero!$A:$A)-2,1))))</f>
        <v/>
      </c>
      <c r="N384" s="23"/>
      <c r="O384" s="19" t="str">
        <f t="shared" si="58"/>
        <v/>
      </c>
    </row>
    <row r="385" spans="1:15" x14ac:dyDescent="0.2">
      <c r="A385" s="12" t="str">
        <f t="shared" si="52"/>
        <v/>
      </c>
      <c r="B385" t="str">
        <f t="shared" si="50"/>
        <v/>
      </c>
      <c r="C385" s="21" t="str">
        <f ca="1">IF(A385="","",IF($B$10="Sí",interpolar_alamb(B385,OFFSET(Curvas_cupon_cero!$A$1,1,0,COUNT(Curvas_cupon_cero!$A:$A)-2,1),OFFSET(Curvas_cupon_cero!$A$1,1,MATCH($B$8,Curvas_cupon_cero!$1:$1,0)-1,COUNT(Curvas_cupon_cero!$A:$A)-2,1)),[1]!interpolar(B385,OFFSET(Curvas_cupon_cero!$A$1,1,0,COUNT(Curvas_cupon_cero!$A:$A)-2,1),OFFSET(Curvas_cupon_cero!$A$1,1,MATCH($B$8,Curvas_cupon_cero!$1:$1,0)-1,COUNT(Curvas_cupon_cero!$A:$A)-2,1))))</f>
        <v/>
      </c>
      <c r="D385" s="23" t="str">
        <f ca="1">IF(A385="","",IF($B$10="Sí",interpolar_alamb(L385,OFFSET(Curvas_cupon_cero!$A$1,1,0,COUNT(Curvas_cupon_cero!$A:$A)-2,1),OFFSET(Curvas_cupon_cero!$A$1,1,MATCH($B$8,Curvas_cupon_cero!$1:$1,0)-1,COUNT(Curvas_cupon_cero!$A:$A)-2,1)),[1]!interpolar(L385,OFFSET(Curvas_cupon_cero!$A$1,1,0,COUNT(Curvas_cupon_cero!$A:$A)-2,1),OFFSET(Curvas_cupon_cero!$A$1,1,MATCH($B$8,Curvas_cupon_cero!$1:$1,0)-1,COUNT(Curvas_cupon_cero!$A:$A)-2,1))))</f>
        <v/>
      </c>
      <c r="E385" s="23" t="str">
        <f t="shared" si="53"/>
        <v/>
      </c>
      <c r="F385" s="23" t="str">
        <f ca="1">IF(A385="","",IF($B$10="Sí",interpolar_alamb(B385,OFFSET(Curvas_cupon_cero!$A$1,1,0,COUNT(Curvas_cupon_cero!$A:$A)-2,1),OFFSET(Curvas_cupon_cero!$A$1,1,MATCH($B$9,Curvas_cupon_cero!$1:$1,0)-1,COUNT(Curvas_cupon_cero!$A:$A)-2,1)),[1]!interpolar(B385,OFFSET(Curvas_cupon_cero!$A$1,1,0,COUNT(Curvas_cupon_cero!$A:$A)-2,1),OFFSET(Curvas_cupon_cero!$A$1,1,MATCH($B$9,Curvas_cupon_cero!$1:$1,0)-1,COUNT(Curvas_cupon_cero!$A:$A)-2,1))))</f>
        <v/>
      </c>
      <c r="G385" s="23" t="str">
        <f t="shared" si="54"/>
        <v/>
      </c>
      <c r="H385" s="20" t="str">
        <f t="shared" si="59"/>
        <v/>
      </c>
      <c r="I385" t="str">
        <f t="shared" si="55"/>
        <v/>
      </c>
      <c r="J385" s="17" t="str">
        <f t="shared" si="51"/>
        <v/>
      </c>
      <c r="K385" s="18" t="str">
        <f t="shared" si="56"/>
        <v/>
      </c>
      <c r="L385" t="str">
        <f t="shared" si="57"/>
        <v/>
      </c>
      <c r="M385" s="23" t="str">
        <f ca="1">IF(A385="","",IF($B$10="Sí",interpolar_alamb(L385,OFFSET(Curvas_cupon_cero!$A$1,1,0,COUNT(Curvas_cupon_cero!$A:$A)-2,1),OFFSET(Curvas_cupon_cero!$A$1,1,MATCH($B$6,Curvas_cupon_cero!$1:$1,0)-1,COUNT(Curvas_cupon_cero!$A:$A)-2,1)),[1]!interpolar(L385,OFFSET(Curvas_cupon_cero!$A$1,1,0,COUNT(Curvas_cupon_cero!$A:$A)-2,1),OFFSET(Curvas_cupon_cero!$A$1,1,MATCH($B$6,Curvas_cupon_cero!$1:$1,0)-1,COUNT(Curvas_cupon_cero!$A:$A)-2,1))))</f>
        <v/>
      </c>
      <c r="N385" s="23"/>
      <c r="O385" s="19" t="str">
        <f t="shared" si="58"/>
        <v/>
      </c>
    </row>
    <row r="386" spans="1:15" x14ac:dyDescent="0.2">
      <c r="A386" s="12" t="str">
        <f t="shared" si="52"/>
        <v/>
      </c>
      <c r="B386" t="str">
        <f t="shared" si="50"/>
        <v/>
      </c>
      <c r="C386" s="21" t="str">
        <f ca="1">IF(A386="","",IF($B$10="Sí",interpolar_alamb(B386,OFFSET(Curvas_cupon_cero!$A$1,1,0,COUNT(Curvas_cupon_cero!$A:$A)-2,1),OFFSET(Curvas_cupon_cero!$A$1,1,MATCH($B$8,Curvas_cupon_cero!$1:$1,0)-1,COUNT(Curvas_cupon_cero!$A:$A)-2,1)),[1]!interpolar(B386,OFFSET(Curvas_cupon_cero!$A$1,1,0,COUNT(Curvas_cupon_cero!$A:$A)-2,1),OFFSET(Curvas_cupon_cero!$A$1,1,MATCH($B$8,Curvas_cupon_cero!$1:$1,0)-1,COUNT(Curvas_cupon_cero!$A:$A)-2,1))))</f>
        <v/>
      </c>
      <c r="D386" s="23" t="str">
        <f ca="1">IF(A386="","",IF($B$10="Sí",interpolar_alamb(L386,OFFSET(Curvas_cupon_cero!$A$1,1,0,COUNT(Curvas_cupon_cero!$A:$A)-2,1),OFFSET(Curvas_cupon_cero!$A$1,1,MATCH($B$8,Curvas_cupon_cero!$1:$1,0)-1,COUNT(Curvas_cupon_cero!$A:$A)-2,1)),[1]!interpolar(L386,OFFSET(Curvas_cupon_cero!$A$1,1,0,COUNT(Curvas_cupon_cero!$A:$A)-2,1),OFFSET(Curvas_cupon_cero!$A$1,1,MATCH($B$8,Curvas_cupon_cero!$1:$1,0)-1,COUNT(Curvas_cupon_cero!$A:$A)-2,1))))</f>
        <v/>
      </c>
      <c r="E386" s="23" t="str">
        <f t="shared" si="53"/>
        <v/>
      </c>
      <c r="F386" s="23" t="str">
        <f ca="1">IF(A386="","",IF($B$10="Sí",interpolar_alamb(B386,OFFSET(Curvas_cupon_cero!$A$1,1,0,COUNT(Curvas_cupon_cero!$A:$A)-2,1),OFFSET(Curvas_cupon_cero!$A$1,1,MATCH($B$9,Curvas_cupon_cero!$1:$1,0)-1,COUNT(Curvas_cupon_cero!$A:$A)-2,1)),[1]!interpolar(B386,OFFSET(Curvas_cupon_cero!$A$1,1,0,COUNT(Curvas_cupon_cero!$A:$A)-2,1),OFFSET(Curvas_cupon_cero!$A$1,1,MATCH($B$9,Curvas_cupon_cero!$1:$1,0)-1,COUNT(Curvas_cupon_cero!$A:$A)-2,1))))</f>
        <v/>
      </c>
      <c r="G386" s="23" t="str">
        <f t="shared" si="54"/>
        <v/>
      </c>
      <c r="H386" s="20" t="str">
        <f t="shared" si="59"/>
        <v/>
      </c>
      <c r="I386" t="str">
        <f t="shared" si="55"/>
        <v/>
      </c>
      <c r="J386" s="17" t="str">
        <f t="shared" si="51"/>
        <v/>
      </c>
      <c r="K386" s="18" t="str">
        <f t="shared" si="56"/>
        <v/>
      </c>
      <c r="L386" t="str">
        <f t="shared" si="57"/>
        <v/>
      </c>
      <c r="M386" s="23" t="str">
        <f ca="1">IF(A386="","",IF($B$10="Sí",interpolar_alamb(L386,OFFSET(Curvas_cupon_cero!$A$1,1,0,COUNT(Curvas_cupon_cero!$A:$A)-2,1),OFFSET(Curvas_cupon_cero!$A$1,1,MATCH($B$6,Curvas_cupon_cero!$1:$1,0)-1,COUNT(Curvas_cupon_cero!$A:$A)-2,1)),[1]!interpolar(L386,OFFSET(Curvas_cupon_cero!$A$1,1,0,COUNT(Curvas_cupon_cero!$A:$A)-2,1),OFFSET(Curvas_cupon_cero!$A$1,1,MATCH($B$6,Curvas_cupon_cero!$1:$1,0)-1,COUNT(Curvas_cupon_cero!$A:$A)-2,1))))</f>
        <v/>
      </c>
      <c r="N386" s="23"/>
      <c r="O386" s="19" t="str">
        <f t="shared" si="58"/>
        <v/>
      </c>
    </row>
    <row r="387" spans="1:15" x14ac:dyDescent="0.2">
      <c r="A387" s="12" t="str">
        <f t="shared" si="52"/>
        <v/>
      </c>
      <c r="B387" t="str">
        <f t="shared" si="50"/>
        <v/>
      </c>
      <c r="C387" s="21" t="str">
        <f ca="1">IF(A387="","",IF($B$10="Sí",interpolar_alamb(B387,OFFSET(Curvas_cupon_cero!$A$1,1,0,COUNT(Curvas_cupon_cero!$A:$A)-2,1),OFFSET(Curvas_cupon_cero!$A$1,1,MATCH($B$8,Curvas_cupon_cero!$1:$1,0)-1,COUNT(Curvas_cupon_cero!$A:$A)-2,1)),[1]!interpolar(B387,OFFSET(Curvas_cupon_cero!$A$1,1,0,COUNT(Curvas_cupon_cero!$A:$A)-2,1),OFFSET(Curvas_cupon_cero!$A$1,1,MATCH($B$8,Curvas_cupon_cero!$1:$1,0)-1,COUNT(Curvas_cupon_cero!$A:$A)-2,1))))</f>
        <v/>
      </c>
      <c r="D387" s="23" t="str">
        <f ca="1">IF(A387="","",IF($B$10="Sí",interpolar_alamb(L387,OFFSET(Curvas_cupon_cero!$A$1,1,0,COUNT(Curvas_cupon_cero!$A:$A)-2,1),OFFSET(Curvas_cupon_cero!$A$1,1,MATCH($B$8,Curvas_cupon_cero!$1:$1,0)-1,COUNT(Curvas_cupon_cero!$A:$A)-2,1)),[1]!interpolar(L387,OFFSET(Curvas_cupon_cero!$A$1,1,0,COUNT(Curvas_cupon_cero!$A:$A)-2,1),OFFSET(Curvas_cupon_cero!$A$1,1,MATCH($B$8,Curvas_cupon_cero!$1:$1,0)-1,COUNT(Curvas_cupon_cero!$A:$A)-2,1))))</f>
        <v/>
      </c>
      <c r="E387" s="23" t="str">
        <f t="shared" si="53"/>
        <v/>
      </c>
      <c r="F387" s="23" t="str">
        <f ca="1">IF(A387="","",IF($B$10="Sí",interpolar_alamb(B387,OFFSET(Curvas_cupon_cero!$A$1,1,0,COUNT(Curvas_cupon_cero!$A:$A)-2,1),OFFSET(Curvas_cupon_cero!$A$1,1,MATCH($B$9,Curvas_cupon_cero!$1:$1,0)-1,COUNT(Curvas_cupon_cero!$A:$A)-2,1)),[1]!interpolar(B387,OFFSET(Curvas_cupon_cero!$A$1,1,0,COUNT(Curvas_cupon_cero!$A:$A)-2,1),OFFSET(Curvas_cupon_cero!$A$1,1,MATCH($B$9,Curvas_cupon_cero!$1:$1,0)-1,COUNT(Curvas_cupon_cero!$A:$A)-2,1))))</f>
        <v/>
      </c>
      <c r="G387" s="23" t="str">
        <f t="shared" si="54"/>
        <v/>
      </c>
      <c r="H387" s="20" t="str">
        <f t="shared" si="59"/>
        <v/>
      </c>
      <c r="I387" t="str">
        <f t="shared" si="55"/>
        <v/>
      </c>
      <c r="J387" s="17" t="str">
        <f t="shared" si="51"/>
        <v/>
      </c>
      <c r="K387" s="18" t="str">
        <f t="shared" si="56"/>
        <v/>
      </c>
      <c r="L387" t="str">
        <f t="shared" si="57"/>
        <v/>
      </c>
      <c r="M387" s="23" t="str">
        <f ca="1">IF(A387="","",IF($B$10="Sí",interpolar_alamb(L387,OFFSET(Curvas_cupon_cero!$A$1,1,0,COUNT(Curvas_cupon_cero!$A:$A)-2,1),OFFSET(Curvas_cupon_cero!$A$1,1,MATCH($B$6,Curvas_cupon_cero!$1:$1,0)-1,COUNT(Curvas_cupon_cero!$A:$A)-2,1)),[1]!interpolar(L387,OFFSET(Curvas_cupon_cero!$A$1,1,0,COUNT(Curvas_cupon_cero!$A:$A)-2,1),OFFSET(Curvas_cupon_cero!$A$1,1,MATCH($B$6,Curvas_cupon_cero!$1:$1,0)-1,COUNT(Curvas_cupon_cero!$A:$A)-2,1))))</f>
        <v/>
      </c>
      <c r="N387" s="23"/>
      <c r="O387" s="19" t="str">
        <f t="shared" si="58"/>
        <v/>
      </c>
    </row>
    <row r="388" spans="1:15" x14ac:dyDescent="0.2">
      <c r="A388" s="12" t="str">
        <f t="shared" si="52"/>
        <v/>
      </c>
      <c r="B388" t="str">
        <f t="shared" si="50"/>
        <v/>
      </c>
      <c r="C388" s="21" t="str">
        <f ca="1">IF(A388="","",IF($B$10="Sí",interpolar_alamb(B388,OFFSET(Curvas_cupon_cero!$A$1,1,0,COUNT(Curvas_cupon_cero!$A:$A)-2,1),OFFSET(Curvas_cupon_cero!$A$1,1,MATCH($B$8,Curvas_cupon_cero!$1:$1,0)-1,COUNT(Curvas_cupon_cero!$A:$A)-2,1)),[1]!interpolar(B388,OFFSET(Curvas_cupon_cero!$A$1,1,0,COUNT(Curvas_cupon_cero!$A:$A)-2,1),OFFSET(Curvas_cupon_cero!$A$1,1,MATCH($B$8,Curvas_cupon_cero!$1:$1,0)-1,COUNT(Curvas_cupon_cero!$A:$A)-2,1))))</f>
        <v/>
      </c>
      <c r="D388" s="23" t="str">
        <f ca="1">IF(A388="","",IF($B$10="Sí",interpolar_alamb(L388,OFFSET(Curvas_cupon_cero!$A$1,1,0,COUNT(Curvas_cupon_cero!$A:$A)-2,1),OFFSET(Curvas_cupon_cero!$A$1,1,MATCH($B$8,Curvas_cupon_cero!$1:$1,0)-1,COUNT(Curvas_cupon_cero!$A:$A)-2,1)),[1]!interpolar(L388,OFFSET(Curvas_cupon_cero!$A$1,1,0,COUNT(Curvas_cupon_cero!$A:$A)-2,1),OFFSET(Curvas_cupon_cero!$A$1,1,MATCH($B$8,Curvas_cupon_cero!$1:$1,0)-1,COUNT(Curvas_cupon_cero!$A:$A)-2,1))))</f>
        <v/>
      </c>
      <c r="E388" s="23" t="str">
        <f t="shared" si="53"/>
        <v/>
      </c>
      <c r="F388" s="23" t="str">
        <f ca="1">IF(A388="","",IF($B$10="Sí",interpolar_alamb(B388,OFFSET(Curvas_cupon_cero!$A$1,1,0,COUNT(Curvas_cupon_cero!$A:$A)-2,1),OFFSET(Curvas_cupon_cero!$A$1,1,MATCH($B$9,Curvas_cupon_cero!$1:$1,0)-1,COUNT(Curvas_cupon_cero!$A:$A)-2,1)),[1]!interpolar(B388,OFFSET(Curvas_cupon_cero!$A$1,1,0,COUNT(Curvas_cupon_cero!$A:$A)-2,1),OFFSET(Curvas_cupon_cero!$A$1,1,MATCH($B$9,Curvas_cupon_cero!$1:$1,0)-1,COUNT(Curvas_cupon_cero!$A:$A)-2,1))))</f>
        <v/>
      </c>
      <c r="G388" s="23" t="str">
        <f t="shared" si="54"/>
        <v/>
      </c>
      <c r="H388" s="20" t="str">
        <f t="shared" si="59"/>
        <v/>
      </c>
      <c r="I388" t="str">
        <f t="shared" si="55"/>
        <v/>
      </c>
      <c r="J388" s="17" t="str">
        <f t="shared" si="51"/>
        <v/>
      </c>
      <c r="K388" s="18" t="str">
        <f t="shared" si="56"/>
        <v/>
      </c>
      <c r="L388" t="str">
        <f t="shared" si="57"/>
        <v/>
      </c>
      <c r="M388" s="23" t="str">
        <f ca="1">IF(A388="","",IF($B$10="Sí",interpolar_alamb(L388,OFFSET(Curvas_cupon_cero!$A$1,1,0,COUNT(Curvas_cupon_cero!$A:$A)-2,1),OFFSET(Curvas_cupon_cero!$A$1,1,MATCH($B$6,Curvas_cupon_cero!$1:$1,0)-1,COUNT(Curvas_cupon_cero!$A:$A)-2,1)),[1]!interpolar(L388,OFFSET(Curvas_cupon_cero!$A$1,1,0,COUNT(Curvas_cupon_cero!$A:$A)-2,1),OFFSET(Curvas_cupon_cero!$A$1,1,MATCH($B$6,Curvas_cupon_cero!$1:$1,0)-1,COUNT(Curvas_cupon_cero!$A:$A)-2,1))))</f>
        <v/>
      </c>
      <c r="N388" s="23"/>
      <c r="O388" s="19" t="str">
        <f t="shared" si="58"/>
        <v/>
      </c>
    </row>
    <row r="389" spans="1:15" x14ac:dyDescent="0.2">
      <c r="A389" s="12" t="str">
        <f t="shared" si="52"/>
        <v/>
      </c>
      <c r="B389" t="str">
        <f t="shared" si="50"/>
        <v/>
      </c>
      <c r="C389" s="21" t="str">
        <f ca="1">IF(A389="","",IF($B$10="Sí",interpolar_alamb(B389,OFFSET(Curvas_cupon_cero!$A$1,1,0,COUNT(Curvas_cupon_cero!$A:$A)-2,1),OFFSET(Curvas_cupon_cero!$A$1,1,MATCH($B$8,Curvas_cupon_cero!$1:$1,0)-1,COUNT(Curvas_cupon_cero!$A:$A)-2,1)),[1]!interpolar(B389,OFFSET(Curvas_cupon_cero!$A$1,1,0,COUNT(Curvas_cupon_cero!$A:$A)-2,1),OFFSET(Curvas_cupon_cero!$A$1,1,MATCH($B$8,Curvas_cupon_cero!$1:$1,0)-1,COUNT(Curvas_cupon_cero!$A:$A)-2,1))))</f>
        <v/>
      </c>
      <c r="D389" s="23" t="str">
        <f ca="1">IF(A389="","",IF($B$10="Sí",interpolar_alamb(L389,OFFSET(Curvas_cupon_cero!$A$1,1,0,COUNT(Curvas_cupon_cero!$A:$A)-2,1),OFFSET(Curvas_cupon_cero!$A$1,1,MATCH($B$8,Curvas_cupon_cero!$1:$1,0)-1,COUNT(Curvas_cupon_cero!$A:$A)-2,1)),[1]!interpolar(L389,OFFSET(Curvas_cupon_cero!$A$1,1,0,COUNT(Curvas_cupon_cero!$A:$A)-2,1),OFFSET(Curvas_cupon_cero!$A$1,1,MATCH($B$8,Curvas_cupon_cero!$1:$1,0)-1,COUNT(Curvas_cupon_cero!$A:$A)-2,1))))</f>
        <v/>
      </c>
      <c r="E389" s="23" t="str">
        <f t="shared" si="53"/>
        <v/>
      </c>
      <c r="F389" s="23" t="str">
        <f ca="1">IF(A389="","",IF($B$10="Sí",interpolar_alamb(B389,OFFSET(Curvas_cupon_cero!$A$1,1,0,COUNT(Curvas_cupon_cero!$A:$A)-2,1),OFFSET(Curvas_cupon_cero!$A$1,1,MATCH($B$9,Curvas_cupon_cero!$1:$1,0)-1,COUNT(Curvas_cupon_cero!$A:$A)-2,1)),[1]!interpolar(B389,OFFSET(Curvas_cupon_cero!$A$1,1,0,COUNT(Curvas_cupon_cero!$A:$A)-2,1),OFFSET(Curvas_cupon_cero!$A$1,1,MATCH($B$9,Curvas_cupon_cero!$1:$1,0)-1,COUNT(Curvas_cupon_cero!$A:$A)-2,1))))</f>
        <v/>
      </c>
      <c r="G389" s="23" t="str">
        <f t="shared" si="54"/>
        <v/>
      </c>
      <c r="H389" s="20" t="str">
        <f t="shared" si="59"/>
        <v/>
      </c>
      <c r="I389" t="str">
        <f t="shared" si="55"/>
        <v/>
      </c>
      <c r="J389" s="17" t="str">
        <f t="shared" si="51"/>
        <v/>
      </c>
      <c r="K389" s="18" t="str">
        <f t="shared" si="56"/>
        <v/>
      </c>
      <c r="L389" t="str">
        <f t="shared" si="57"/>
        <v/>
      </c>
      <c r="M389" s="23" t="str">
        <f ca="1">IF(A389="","",IF($B$10="Sí",interpolar_alamb(L389,OFFSET(Curvas_cupon_cero!$A$1,1,0,COUNT(Curvas_cupon_cero!$A:$A)-2,1),OFFSET(Curvas_cupon_cero!$A$1,1,MATCH($B$6,Curvas_cupon_cero!$1:$1,0)-1,COUNT(Curvas_cupon_cero!$A:$A)-2,1)),[1]!interpolar(L389,OFFSET(Curvas_cupon_cero!$A$1,1,0,COUNT(Curvas_cupon_cero!$A:$A)-2,1),OFFSET(Curvas_cupon_cero!$A$1,1,MATCH($B$6,Curvas_cupon_cero!$1:$1,0)-1,COUNT(Curvas_cupon_cero!$A:$A)-2,1))))</f>
        <v/>
      </c>
      <c r="N389" s="23"/>
      <c r="O389" s="19" t="str">
        <f t="shared" si="58"/>
        <v/>
      </c>
    </row>
    <row r="390" spans="1:15" x14ac:dyDescent="0.2">
      <c r="A390" s="12" t="str">
        <f t="shared" si="52"/>
        <v/>
      </c>
      <c r="B390" t="str">
        <f t="shared" si="50"/>
        <v/>
      </c>
      <c r="C390" s="21" t="str">
        <f ca="1">IF(A390="","",IF($B$10="Sí",interpolar_alamb(B390,OFFSET(Curvas_cupon_cero!$A$1,1,0,COUNT(Curvas_cupon_cero!$A:$A)-2,1),OFFSET(Curvas_cupon_cero!$A$1,1,MATCH($B$8,Curvas_cupon_cero!$1:$1,0)-1,COUNT(Curvas_cupon_cero!$A:$A)-2,1)),[1]!interpolar(B390,OFFSET(Curvas_cupon_cero!$A$1,1,0,COUNT(Curvas_cupon_cero!$A:$A)-2,1),OFFSET(Curvas_cupon_cero!$A$1,1,MATCH($B$8,Curvas_cupon_cero!$1:$1,0)-1,COUNT(Curvas_cupon_cero!$A:$A)-2,1))))</f>
        <v/>
      </c>
      <c r="D390" s="23" t="str">
        <f ca="1">IF(A390="","",IF($B$10="Sí",interpolar_alamb(L390,OFFSET(Curvas_cupon_cero!$A$1,1,0,COUNT(Curvas_cupon_cero!$A:$A)-2,1),OFFSET(Curvas_cupon_cero!$A$1,1,MATCH($B$8,Curvas_cupon_cero!$1:$1,0)-1,COUNT(Curvas_cupon_cero!$A:$A)-2,1)),[1]!interpolar(L390,OFFSET(Curvas_cupon_cero!$A$1,1,0,COUNT(Curvas_cupon_cero!$A:$A)-2,1),OFFSET(Curvas_cupon_cero!$A$1,1,MATCH($B$8,Curvas_cupon_cero!$1:$1,0)-1,COUNT(Curvas_cupon_cero!$A:$A)-2,1))))</f>
        <v/>
      </c>
      <c r="E390" s="23" t="str">
        <f t="shared" si="53"/>
        <v/>
      </c>
      <c r="F390" s="23" t="str">
        <f ca="1">IF(A390="","",IF($B$10="Sí",interpolar_alamb(B390,OFFSET(Curvas_cupon_cero!$A$1,1,0,COUNT(Curvas_cupon_cero!$A:$A)-2,1),OFFSET(Curvas_cupon_cero!$A$1,1,MATCH($B$9,Curvas_cupon_cero!$1:$1,0)-1,COUNT(Curvas_cupon_cero!$A:$A)-2,1)),[1]!interpolar(B390,OFFSET(Curvas_cupon_cero!$A$1,1,0,COUNT(Curvas_cupon_cero!$A:$A)-2,1),OFFSET(Curvas_cupon_cero!$A$1,1,MATCH($B$9,Curvas_cupon_cero!$1:$1,0)-1,COUNT(Curvas_cupon_cero!$A:$A)-2,1))))</f>
        <v/>
      </c>
      <c r="G390" s="23" t="str">
        <f t="shared" si="54"/>
        <v/>
      </c>
      <c r="H390" s="20" t="str">
        <f t="shared" si="59"/>
        <v/>
      </c>
      <c r="I390" t="str">
        <f t="shared" si="55"/>
        <v/>
      </c>
      <c r="J390" s="17" t="str">
        <f t="shared" si="51"/>
        <v/>
      </c>
      <c r="K390" s="18" t="str">
        <f t="shared" si="56"/>
        <v/>
      </c>
      <c r="L390" t="str">
        <f t="shared" si="57"/>
        <v/>
      </c>
      <c r="M390" s="23" t="str">
        <f ca="1">IF(A390="","",IF($B$10="Sí",interpolar_alamb(L390,OFFSET(Curvas_cupon_cero!$A$1,1,0,COUNT(Curvas_cupon_cero!$A:$A)-2,1),OFFSET(Curvas_cupon_cero!$A$1,1,MATCH($B$6,Curvas_cupon_cero!$1:$1,0)-1,COUNT(Curvas_cupon_cero!$A:$A)-2,1)),[1]!interpolar(L390,OFFSET(Curvas_cupon_cero!$A$1,1,0,COUNT(Curvas_cupon_cero!$A:$A)-2,1),OFFSET(Curvas_cupon_cero!$A$1,1,MATCH($B$6,Curvas_cupon_cero!$1:$1,0)-1,COUNT(Curvas_cupon_cero!$A:$A)-2,1))))</f>
        <v/>
      </c>
      <c r="N390" s="23"/>
      <c r="O390" s="19" t="str">
        <f t="shared" si="58"/>
        <v/>
      </c>
    </row>
    <row r="391" spans="1:15" x14ac:dyDescent="0.2">
      <c r="A391" s="12" t="str">
        <f t="shared" si="52"/>
        <v/>
      </c>
      <c r="B391" t="str">
        <f t="shared" si="50"/>
        <v/>
      </c>
      <c r="C391" s="21" t="str">
        <f ca="1">IF(A391="","",IF($B$10="Sí",interpolar_alamb(B391,OFFSET(Curvas_cupon_cero!$A$1,1,0,COUNT(Curvas_cupon_cero!$A:$A)-2,1),OFFSET(Curvas_cupon_cero!$A$1,1,MATCH($B$8,Curvas_cupon_cero!$1:$1,0)-1,COUNT(Curvas_cupon_cero!$A:$A)-2,1)),[1]!interpolar(B391,OFFSET(Curvas_cupon_cero!$A$1,1,0,COUNT(Curvas_cupon_cero!$A:$A)-2,1),OFFSET(Curvas_cupon_cero!$A$1,1,MATCH($B$8,Curvas_cupon_cero!$1:$1,0)-1,COUNT(Curvas_cupon_cero!$A:$A)-2,1))))</f>
        <v/>
      </c>
      <c r="D391" s="23" t="str">
        <f ca="1">IF(A391="","",IF($B$10="Sí",interpolar_alamb(L391,OFFSET(Curvas_cupon_cero!$A$1,1,0,COUNT(Curvas_cupon_cero!$A:$A)-2,1),OFFSET(Curvas_cupon_cero!$A$1,1,MATCH($B$8,Curvas_cupon_cero!$1:$1,0)-1,COUNT(Curvas_cupon_cero!$A:$A)-2,1)),[1]!interpolar(L391,OFFSET(Curvas_cupon_cero!$A$1,1,0,COUNT(Curvas_cupon_cero!$A:$A)-2,1),OFFSET(Curvas_cupon_cero!$A$1,1,MATCH($B$8,Curvas_cupon_cero!$1:$1,0)-1,COUNT(Curvas_cupon_cero!$A:$A)-2,1))))</f>
        <v/>
      </c>
      <c r="E391" s="23" t="str">
        <f t="shared" si="53"/>
        <v/>
      </c>
      <c r="F391" s="23" t="str">
        <f ca="1">IF(A391="","",IF($B$10="Sí",interpolar_alamb(B391,OFFSET(Curvas_cupon_cero!$A$1,1,0,COUNT(Curvas_cupon_cero!$A:$A)-2,1),OFFSET(Curvas_cupon_cero!$A$1,1,MATCH($B$9,Curvas_cupon_cero!$1:$1,0)-1,COUNT(Curvas_cupon_cero!$A:$A)-2,1)),[1]!interpolar(B391,OFFSET(Curvas_cupon_cero!$A$1,1,0,COUNT(Curvas_cupon_cero!$A:$A)-2,1),OFFSET(Curvas_cupon_cero!$A$1,1,MATCH($B$9,Curvas_cupon_cero!$1:$1,0)-1,COUNT(Curvas_cupon_cero!$A:$A)-2,1))))</f>
        <v/>
      </c>
      <c r="G391" s="23" t="str">
        <f t="shared" si="54"/>
        <v/>
      </c>
      <c r="H391" s="20" t="str">
        <f t="shared" si="59"/>
        <v/>
      </c>
      <c r="I391" t="str">
        <f t="shared" si="55"/>
        <v/>
      </c>
      <c r="J391" s="17" t="str">
        <f t="shared" si="51"/>
        <v/>
      </c>
      <c r="K391" s="18" t="str">
        <f t="shared" si="56"/>
        <v/>
      </c>
      <c r="L391" t="str">
        <f t="shared" si="57"/>
        <v/>
      </c>
      <c r="M391" s="23" t="str">
        <f ca="1">IF(A391="","",IF($B$10="Sí",interpolar_alamb(L391,OFFSET(Curvas_cupon_cero!$A$1,1,0,COUNT(Curvas_cupon_cero!$A:$A)-2,1),OFFSET(Curvas_cupon_cero!$A$1,1,MATCH($B$6,Curvas_cupon_cero!$1:$1,0)-1,COUNT(Curvas_cupon_cero!$A:$A)-2,1)),[1]!interpolar(L391,OFFSET(Curvas_cupon_cero!$A$1,1,0,COUNT(Curvas_cupon_cero!$A:$A)-2,1),OFFSET(Curvas_cupon_cero!$A$1,1,MATCH($B$6,Curvas_cupon_cero!$1:$1,0)-1,COUNT(Curvas_cupon_cero!$A:$A)-2,1))))</f>
        <v/>
      </c>
      <c r="N391" s="23"/>
      <c r="O391" s="19" t="str">
        <f t="shared" si="58"/>
        <v/>
      </c>
    </row>
    <row r="392" spans="1:15" x14ac:dyDescent="0.2">
      <c r="A392" s="12" t="str">
        <f t="shared" si="52"/>
        <v/>
      </c>
      <c r="B392" t="str">
        <f t="shared" si="50"/>
        <v/>
      </c>
      <c r="C392" s="21" t="str">
        <f ca="1">IF(A392="","",IF($B$10="Sí",interpolar_alamb(B392,OFFSET(Curvas_cupon_cero!$A$1,1,0,COUNT(Curvas_cupon_cero!$A:$A)-2,1),OFFSET(Curvas_cupon_cero!$A$1,1,MATCH($B$8,Curvas_cupon_cero!$1:$1,0)-1,COUNT(Curvas_cupon_cero!$A:$A)-2,1)),[1]!interpolar(B392,OFFSET(Curvas_cupon_cero!$A$1,1,0,COUNT(Curvas_cupon_cero!$A:$A)-2,1),OFFSET(Curvas_cupon_cero!$A$1,1,MATCH($B$8,Curvas_cupon_cero!$1:$1,0)-1,COUNT(Curvas_cupon_cero!$A:$A)-2,1))))</f>
        <v/>
      </c>
      <c r="D392" s="23" t="str">
        <f ca="1">IF(A392="","",IF($B$10="Sí",interpolar_alamb(L392,OFFSET(Curvas_cupon_cero!$A$1,1,0,COUNT(Curvas_cupon_cero!$A:$A)-2,1),OFFSET(Curvas_cupon_cero!$A$1,1,MATCH($B$8,Curvas_cupon_cero!$1:$1,0)-1,COUNT(Curvas_cupon_cero!$A:$A)-2,1)),[1]!interpolar(L392,OFFSET(Curvas_cupon_cero!$A$1,1,0,COUNT(Curvas_cupon_cero!$A:$A)-2,1),OFFSET(Curvas_cupon_cero!$A$1,1,MATCH($B$8,Curvas_cupon_cero!$1:$1,0)-1,COUNT(Curvas_cupon_cero!$A:$A)-2,1))))</f>
        <v/>
      </c>
      <c r="E392" s="23" t="str">
        <f t="shared" si="53"/>
        <v/>
      </c>
      <c r="F392" s="23" t="str">
        <f ca="1">IF(A392="","",IF($B$10="Sí",interpolar_alamb(B392,OFFSET(Curvas_cupon_cero!$A$1,1,0,COUNT(Curvas_cupon_cero!$A:$A)-2,1),OFFSET(Curvas_cupon_cero!$A$1,1,MATCH($B$9,Curvas_cupon_cero!$1:$1,0)-1,COUNT(Curvas_cupon_cero!$A:$A)-2,1)),[1]!interpolar(B392,OFFSET(Curvas_cupon_cero!$A$1,1,0,COUNT(Curvas_cupon_cero!$A:$A)-2,1),OFFSET(Curvas_cupon_cero!$A$1,1,MATCH($B$9,Curvas_cupon_cero!$1:$1,0)-1,COUNT(Curvas_cupon_cero!$A:$A)-2,1))))</f>
        <v/>
      </c>
      <c r="G392" s="23" t="str">
        <f t="shared" si="54"/>
        <v/>
      </c>
      <c r="H392" s="20" t="str">
        <f t="shared" si="59"/>
        <v/>
      </c>
      <c r="I392" t="str">
        <f t="shared" si="55"/>
        <v/>
      </c>
      <c r="J392" s="17" t="str">
        <f t="shared" si="51"/>
        <v/>
      </c>
      <c r="K392" s="18" t="str">
        <f t="shared" si="56"/>
        <v/>
      </c>
      <c r="L392" t="str">
        <f t="shared" si="57"/>
        <v/>
      </c>
      <c r="M392" s="23" t="str">
        <f ca="1">IF(A392="","",IF($B$10="Sí",interpolar_alamb(L392,OFFSET(Curvas_cupon_cero!$A$1,1,0,COUNT(Curvas_cupon_cero!$A:$A)-2,1),OFFSET(Curvas_cupon_cero!$A$1,1,MATCH($B$6,Curvas_cupon_cero!$1:$1,0)-1,COUNT(Curvas_cupon_cero!$A:$A)-2,1)),[1]!interpolar(L392,OFFSET(Curvas_cupon_cero!$A$1,1,0,COUNT(Curvas_cupon_cero!$A:$A)-2,1),OFFSET(Curvas_cupon_cero!$A$1,1,MATCH($B$6,Curvas_cupon_cero!$1:$1,0)-1,COUNT(Curvas_cupon_cero!$A:$A)-2,1))))</f>
        <v/>
      </c>
      <c r="N392" s="23"/>
      <c r="O392" s="19" t="str">
        <f t="shared" si="58"/>
        <v/>
      </c>
    </row>
    <row r="393" spans="1:15" x14ac:dyDescent="0.2">
      <c r="A393" s="12" t="str">
        <f t="shared" si="52"/>
        <v/>
      </c>
      <c r="B393" t="str">
        <f t="shared" si="50"/>
        <v/>
      </c>
      <c r="C393" s="21" t="str">
        <f ca="1">IF(A393="","",IF($B$10="Sí",interpolar_alamb(B393,OFFSET(Curvas_cupon_cero!$A$1,1,0,COUNT(Curvas_cupon_cero!$A:$A)-2,1),OFFSET(Curvas_cupon_cero!$A$1,1,MATCH($B$8,Curvas_cupon_cero!$1:$1,0)-1,COUNT(Curvas_cupon_cero!$A:$A)-2,1)),[1]!interpolar(B393,OFFSET(Curvas_cupon_cero!$A$1,1,0,COUNT(Curvas_cupon_cero!$A:$A)-2,1),OFFSET(Curvas_cupon_cero!$A$1,1,MATCH($B$8,Curvas_cupon_cero!$1:$1,0)-1,COUNT(Curvas_cupon_cero!$A:$A)-2,1))))</f>
        <v/>
      </c>
      <c r="D393" s="23" t="str">
        <f ca="1">IF(A393="","",IF($B$10="Sí",interpolar_alamb(L393,OFFSET(Curvas_cupon_cero!$A$1,1,0,COUNT(Curvas_cupon_cero!$A:$A)-2,1),OFFSET(Curvas_cupon_cero!$A$1,1,MATCH($B$8,Curvas_cupon_cero!$1:$1,0)-1,COUNT(Curvas_cupon_cero!$A:$A)-2,1)),[1]!interpolar(L393,OFFSET(Curvas_cupon_cero!$A$1,1,0,COUNT(Curvas_cupon_cero!$A:$A)-2,1),OFFSET(Curvas_cupon_cero!$A$1,1,MATCH($B$8,Curvas_cupon_cero!$1:$1,0)-1,COUNT(Curvas_cupon_cero!$A:$A)-2,1))))</f>
        <v/>
      </c>
      <c r="E393" s="23" t="str">
        <f t="shared" si="53"/>
        <v/>
      </c>
      <c r="F393" s="23" t="str">
        <f ca="1">IF(A393="","",IF($B$10="Sí",interpolar_alamb(B393,OFFSET(Curvas_cupon_cero!$A$1,1,0,COUNT(Curvas_cupon_cero!$A:$A)-2,1),OFFSET(Curvas_cupon_cero!$A$1,1,MATCH($B$9,Curvas_cupon_cero!$1:$1,0)-1,COUNT(Curvas_cupon_cero!$A:$A)-2,1)),[1]!interpolar(B393,OFFSET(Curvas_cupon_cero!$A$1,1,0,COUNT(Curvas_cupon_cero!$A:$A)-2,1),OFFSET(Curvas_cupon_cero!$A$1,1,MATCH($B$9,Curvas_cupon_cero!$1:$1,0)-1,COUNT(Curvas_cupon_cero!$A:$A)-2,1))))</f>
        <v/>
      </c>
      <c r="G393" s="23" t="str">
        <f t="shared" si="54"/>
        <v/>
      </c>
      <c r="H393" s="20" t="str">
        <f t="shared" si="59"/>
        <v/>
      </c>
      <c r="I393" t="str">
        <f t="shared" si="55"/>
        <v/>
      </c>
      <c r="J393" s="17" t="str">
        <f t="shared" si="51"/>
        <v/>
      </c>
      <c r="K393" s="18" t="str">
        <f t="shared" si="56"/>
        <v/>
      </c>
      <c r="L393" t="str">
        <f t="shared" si="57"/>
        <v/>
      </c>
      <c r="M393" s="23" t="str">
        <f ca="1">IF(A393="","",IF($B$10="Sí",interpolar_alamb(L393,OFFSET(Curvas_cupon_cero!$A$1,1,0,COUNT(Curvas_cupon_cero!$A:$A)-2,1),OFFSET(Curvas_cupon_cero!$A$1,1,MATCH($B$6,Curvas_cupon_cero!$1:$1,0)-1,COUNT(Curvas_cupon_cero!$A:$A)-2,1)),[1]!interpolar(L393,OFFSET(Curvas_cupon_cero!$A$1,1,0,COUNT(Curvas_cupon_cero!$A:$A)-2,1),OFFSET(Curvas_cupon_cero!$A$1,1,MATCH($B$6,Curvas_cupon_cero!$1:$1,0)-1,COUNT(Curvas_cupon_cero!$A:$A)-2,1))))</f>
        <v/>
      </c>
      <c r="N393" s="23"/>
      <c r="O393" s="19" t="str">
        <f t="shared" si="58"/>
        <v/>
      </c>
    </row>
    <row r="394" spans="1:15" x14ac:dyDescent="0.2">
      <c r="A394" s="12" t="str">
        <f t="shared" si="52"/>
        <v/>
      </c>
      <c r="B394" t="str">
        <f t="shared" si="50"/>
        <v/>
      </c>
      <c r="C394" s="21" t="str">
        <f ca="1">IF(A394="","",IF($B$10="Sí",interpolar_alamb(B394,OFFSET(Curvas_cupon_cero!$A$1,1,0,COUNT(Curvas_cupon_cero!$A:$A)-2,1),OFFSET(Curvas_cupon_cero!$A$1,1,MATCH($B$8,Curvas_cupon_cero!$1:$1,0)-1,COUNT(Curvas_cupon_cero!$A:$A)-2,1)),[1]!interpolar(B394,OFFSET(Curvas_cupon_cero!$A$1,1,0,COUNT(Curvas_cupon_cero!$A:$A)-2,1),OFFSET(Curvas_cupon_cero!$A$1,1,MATCH($B$8,Curvas_cupon_cero!$1:$1,0)-1,COUNT(Curvas_cupon_cero!$A:$A)-2,1))))</f>
        <v/>
      </c>
      <c r="D394" s="23" t="str">
        <f ca="1">IF(A394="","",IF($B$10="Sí",interpolar_alamb(L394,OFFSET(Curvas_cupon_cero!$A$1,1,0,COUNT(Curvas_cupon_cero!$A:$A)-2,1),OFFSET(Curvas_cupon_cero!$A$1,1,MATCH($B$8,Curvas_cupon_cero!$1:$1,0)-1,COUNT(Curvas_cupon_cero!$A:$A)-2,1)),[1]!interpolar(L394,OFFSET(Curvas_cupon_cero!$A$1,1,0,COUNT(Curvas_cupon_cero!$A:$A)-2,1),OFFSET(Curvas_cupon_cero!$A$1,1,MATCH($B$8,Curvas_cupon_cero!$1:$1,0)-1,COUNT(Curvas_cupon_cero!$A:$A)-2,1))))</f>
        <v/>
      </c>
      <c r="E394" s="23" t="str">
        <f t="shared" si="53"/>
        <v/>
      </c>
      <c r="F394" s="23" t="str">
        <f ca="1">IF(A394="","",IF($B$10="Sí",interpolar_alamb(B394,OFFSET(Curvas_cupon_cero!$A$1,1,0,COUNT(Curvas_cupon_cero!$A:$A)-2,1),OFFSET(Curvas_cupon_cero!$A$1,1,MATCH($B$9,Curvas_cupon_cero!$1:$1,0)-1,COUNT(Curvas_cupon_cero!$A:$A)-2,1)),[1]!interpolar(B394,OFFSET(Curvas_cupon_cero!$A$1,1,0,COUNT(Curvas_cupon_cero!$A:$A)-2,1),OFFSET(Curvas_cupon_cero!$A$1,1,MATCH($B$9,Curvas_cupon_cero!$1:$1,0)-1,COUNT(Curvas_cupon_cero!$A:$A)-2,1))))</f>
        <v/>
      </c>
      <c r="G394" s="23" t="str">
        <f t="shared" si="54"/>
        <v/>
      </c>
      <c r="H394" s="20" t="str">
        <f t="shared" si="59"/>
        <v/>
      </c>
      <c r="I394" t="str">
        <f t="shared" si="55"/>
        <v/>
      </c>
      <c r="J394" s="17" t="str">
        <f t="shared" si="51"/>
        <v/>
      </c>
      <c r="K394" s="18" t="str">
        <f t="shared" si="56"/>
        <v/>
      </c>
      <c r="L394" t="str">
        <f t="shared" si="57"/>
        <v/>
      </c>
      <c r="M394" s="23" t="str">
        <f ca="1">IF(A394="","",IF($B$10="Sí",interpolar_alamb(L394,OFFSET(Curvas_cupon_cero!$A$1,1,0,COUNT(Curvas_cupon_cero!$A:$A)-2,1),OFFSET(Curvas_cupon_cero!$A$1,1,MATCH($B$6,Curvas_cupon_cero!$1:$1,0)-1,COUNT(Curvas_cupon_cero!$A:$A)-2,1)),[1]!interpolar(L394,OFFSET(Curvas_cupon_cero!$A$1,1,0,COUNT(Curvas_cupon_cero!$A:$A)-2,1),OFFSET(Curvas_cupon_cero!$A$1,1,MATCH($B$6,Curvas_cupon_cero!$1:$1,0)-1,COUNT(Curvas_cupon_cero!$A:$A)-2,1))))</f>
        <v/>
      </c>
      <c r="N394" s="23"/>
      <c r="O394" s="19" t="str">
        <f t="shared" si="58"/>
        <v/>
      </c>
    </row>
    <row r="395" spans="1:15" x14ac:dyDescent="0.2">
      <c r="A395" s="12" t="str">
        <f t="shared" si="52"/>
        <v/>
      </c>
      <c r="B395" t="str">
        <f t="shared" si="50"/>
        <v/>
      </c>
      <c r="C395" s="21" t="str">
        <f ca="1">IF(A395="","",IF($B$10="Sí",interpolar_alamb(B395,OFFSET(Curvas_cupon_cero!$A$1,1,0,COUNT(Curvas_cupon_cero!$A:$A)-2,1),OFFSET(Curvas_cupon_cero!$A$1,1,MATCH($B$8,Curvas_cupon_cero!$1:$1,0)-1,COUNT(Curvas_cupon_cero!$A:$A)-2,1)),[1]!interpolar(B395,OFFSET(Curvas_cupon_cero!$A$1,1,0,COUNT(Curvas_cupon_cero!$A:$A)-2,1),OFFSET(Curvas_cupon_cero!$A$1,1,MATCH($B$8,Curvas_cupon_cero!$1:$1,0)-1,COUNT(Curvas_cupon_cero!$A:$A)-2,1))))</f>
        <v/>
      </c>
      <c r="D395" s="23" t="str">
        <f ca="1">IF(A395="","",IF($B$10="Sí",interpolar_alamb(L395,OFFSET(Curvas_cupon_cero!$A$1,1,0,COUNT(Curvas_cupon_cero!$A:$A)-2,1),OFFSET(Curvas_cupon_cero!$A$1,1,MATCH($B$8,Curvas_cupon_cero!$1:$1,0)-1,COUNT(Curvas_cupon_cero!$A:$A)-2,1)),[1]!interpolar(L395,OFFSET(Curvas_cupon_cero!$A$1,1,0,COUNT(Curvas_cupon_cero!$A:$A)-2,1),OFFSET(Curvas_cupon_cero!$A$1,1,MATCH($B$8,Curvas_cupon_cero!$1:$1,0)-1,COUNT(Curvas_cupon_cero!$A:$A)-2,1))))</f>
        <v/>
      </c>
      <c r="E395" s="23" t="str">
        <f t="shared" si="53"/>
        <v/>
      </c>
      <c r="F395" s="23" t="str">
        <f ca="1">IF(A395="","",IF($B$10="Sí",interpolar_alamb(B395,OFFSET(Curvas_cupon_cero!$A$1,1,0,COUNT(Curvas_cupon_cero!$A:$A)-2,1),OFFSET(Curvas_cupon_cero!$A$1,1,MATCH($B$9,Curvas_cupon_cero!$1:$1,0)-1,COUNT(Curvas_cupon_cero!$A:$A)-2,1)),[1]!interpolar(B395,OFFSET(Curvas_cupon_cero!$A$1,1,0,COUNT(Curvas_cupon_cero!$A:$A)-2,1),OFFSET(Curvas_cupon_cero!$A$1,1,MATCH($B$9,Curvas_cupon_cero!$1:$1,0)-1,COUNT(Curvas_cupon_cero!$A:$A)-2,1))))</f>
        <v/>
      </c>
      <c r="G395" s="23" t="str">
        <f t="shared" si="54"/>
        <v/>
      </c>
      <c r="H395" s="20" t="str">
        <f t="shared" si="59"/>
        <v/>
      </c>
      <c r="I395" t="str">
        <f t="shared" si="55"/>
        <v/>
      </c>
      <c r="J395" s="17" t="str">
        <f t="shared" si="51"/>
        <v/>
      </c>
      <c r="K395" s="18" t="str">
        <f t="shared" si="56"/>
        <v/>
      </c>
      <c r="L395" t="str">
        <f t="shared" si="57"/>
        <v/>
      </c>
      <c r="M395" s="23" t="str">
        <f ca="1">IF(A395="","",IF($B$10="Sí",interpolar_alamb(L395,OFFSET(Curvas_cupon_cero!$A$1,1,0,COUNT(Curvas_cupon_cero!$A:$A)-2,1),OFFSET(Curvas_cupon_cero!$A$1,1,MATCH($B$6,Curvas_cupon_cero!$1:$1,0)-1,COUNT(Curvas_cupon_cero!$A:$A)-2,1)),[1]!interpolar(L395,OFFSET(Curvas_cupon_cero!$A$1,1,0,COUNT(Curvas_cupon_cero!$A:$A)-2,1),OFFSET(Curvas_cupon_cero!$A$1,1,MATCH($B$6,Curvas_cupon_cero!$1:$1,0)-1,COUNT(Curvas_cupon_cero!$A:$A)-2,1))))</f>
        <v/>
      </c>
      <c r="N395" s="23"/>
      <c r="O395" s="19" t="str">
        <f t="shared" si="58"/>
        <v/>
      </c>
    </row>
    <row r="396" spans="1:15" x14ac:dyDescent="0.2">
      <c r="A396" s="12" t="str">
        <f t="shared" si="52"/>
        <v/>
      </c>
      <c r="B396" t="str">
        <f t="shared" si="50"/>
        <v/>
      </c>
      <c r="C396" s="21" t="str">
        <f ca="1">IF(A396="","",IF($B$10="Sí",interpolar_alamb(B396,OFFSET(Curvas_cupon_cero!$A$1,1,0,COUNT(Curvas_cupon_cero!$A:$A)-2,1),OFFSET(Curvas_cupon_cero!$A$1,1,MATCH($B$8,Curvas_cupon_cero!$1:$1,0)-1,COUNT(Curvas_cupon_cero!$A:$A)-2,1)),[1]!interpolar(B396,OFFSET(Curvas_cupon_cero!$A$1,1,0,COUNT(Curvas_cupon_cero!$A:$A)-2,1),OFFSET(Curvas_cupon_cero!$A$1,1,MATCH($B$8,Curvas_cupon_cero!$1:$1,0)-1,COUNT(Curvas_cupon_cero!$A:$A)-2,1))))</f>
        <v/>
      </c>
      <c r="D396" s="23" t="str">
        <f ca="1">IF(A396="","",IF($B$10="Sí",interpolar_alamb(L396,OFFSET(Curvas_cupon_cero!$A$1,1,0,COUNT(Curvas_cupon_cero!$A:$A)-2,1),OFFSET(Curvas_cupon_cero!$A$1,1,MATCH($B$8,Curvas_cupon_cero!$1:$1,0)-1,COUNT(Curvas_cupon_cero!$A:$A)-2,1)),[1]!interpolar(L396,OFFSET(Curvas_cupon_cero!$A$1,1,0,COUNT(Curvas_cupon_cero!$A:$A)-2,1),OFFSET(Curvas_cupon_cero!$A$1,1,MATCH($B$8,Curvas_cupon_cero!$1:$1,0)-1,COUNT(Curvas_cupon_cero!$A:$A)-2,1))))</f>
        <v/>
      </c>
      <c r="E396" s="23" t="str">
        <f t="shared" si="53"/>
        <v/>
      </c>
      <c r="F396" s="23" t="str">
        <f ca="1">IF(A396="","",IF($B$10="Sí",interpolar_alamb(B396,OFFSET(Curvas_cupon_cero!$A$1,1,0,COUNT(Curvas_cupon_cero!$A:$A)-2,1),OFFSET(Curvas_cupon_cero!$A$1,1,MATCH($B$9,Curvas_cupon_cero!$1:$1,0)-1,COUNT(Curvas_cupon_cero!$A:$A)-2,1)),[1]!interpolar(B396,OFFSET(Curvas_cupon_cero!$A$1,1,0,COUNT(Curvas_cupon_cero!$A:$A)-2,1),OFFSET(Curvas_cupon_cero!$A$1,1,MATCH($B$9,Curvas_cupon_cero!$1:$1,0)-1,COUNT(Curvas_cupon_cero!$A:$A)-2,1))))</f>
        <v/>
      </c>
      <c r="G396" s="23" t="str">
        <f t="shared" si="54"/>
        <v/>
      </c>
      <c r="H396" s="20" t="str">
        <f t="shared" si="59"/>
        <v/>
      </c>
      <c r="I396" t="str">
        <f t="shared" si="55"/>
        <v/>
      </c>
      <c r="J396" s="17" t="str">
        <f t="shared" si="51"/>
        <v/>
      </c>
      <c r="K396" s="18" t="str">
        <f t="shared" si="56"/>
        <v/>
      </c>
      <c r="L396" t="str">
        <f t="shared" si="57"/>
        <v/>
      </c>
      <c r="M396" s="23" t="str">
        <f ca="1">IF(A396="","",IF($B$10="Sí",interpolar_alamb(L396,OFFSET(Curvas_cupon_cero!$A$1,1,0,COUNT(Curvas_cupon_cero!$A:$A)-2,1),OFFSET(Curvas_cupon_cero!$A$1,1,MATCH($B$6,Curvas_cupon_cero!$1:$1,0)-1,COUNT(Curvas_cupon_cero!$A:$A)-2,1)),[1]!interpolar(L396,OFFSET(Curvas_cupon_cero!$A$1,1,0,COUNT(Curvas_cupon_cero!$A:$A)-2,1),OFFSET(Curvas_cupon_cero!$A$1,1,MATCH($B$6,Curvas_cupon_cero!$1:$1,0)-1,COUNT(Curvas_cupon_cero!$A:$A)-2,1))))</f>
        <v/>
      </c>
      <c r="N396" s="23"/>
      <c r="O396" s="19" t="str">
        <f t="shared" si="58"/>
        <v/>
      </c>
    </row>
    <row r="397" spans="1:15" x14ac:dyDescent="0.2">
      <c r="A397" s="12" t="str">
        <f t="shared" si="52"/>
        <v/>
      </c>
      <c r="B397" t="str">
        <f t="shared" si="50"/>
        <v/>
      </c>
      <c r="C397" s="21" t="str">
        <f ca="1">IF(A397="","",IF($B$10="Sí",interpolar_alamb(B397,OFFSET(Curvas_cupon_cero!$A$1,1,0,COUNT(Curvas_cupon_cero!$A:$A)-2,1),OFFSET(Curvas_cupon_cero!$A$1,1,MATCH($B$8,Curvas_cupon_cero!$1:$1,0)-1,COUNT(Curvas_cupon_cero!$A:$A)-2,1)),[1]!interpolar(B397,OFFSET(Curvas_cupon_cero!$A$1,1,0,COUNT(Curvas_cupon_cero!$A:$A)-2,1),OFFSET(Curvas_cupon_cero!$A$1,1,MATCH($B$8,Curvas_cupon_cero!$1:$1,0)-1,COUNT(Curvas_cupon_cero!$A:$A)-2,1))))</f>
        <v/>
      </c>
      <c r="D397" s="23" t="str">
        <f ca="1">IF(A397="","",IF($B$10="Sí",interpolar_alamb(L397,OFFSET(Curvas_cupon_cero!$A$1,1,0,COUNT(Curvas_cupon_cero!$A:$A)-2,1),OFFSET(Curvas_cupon_cero!$A$1,1,MATCH($B$8,Curvas_cupon_cero!$1:$1,0)-1,COUNT(Curvas_cupon_cero!$A:$A)-2,1)),[1]!interpolar(L397,OFFSET(Curvas_cupon_cero!$A$1,1,0,COUNT(Curvas_cupon_cero!$A:$A)-2,1),OFFSET(Curvas_cupon_cero!$A$1,1,MATCH($B$8,Curvas_cupon_cero!$1:$1,0)-1,COUNT(Curvas_cupon_cero!$A:$A)-2,1))))</f>
        <v/>
      </c>
      <c r="E397" s="23" t="str">
        <f t="shared" si="53"/>
        <v/>
      </c>
      <c r="F397" s="23" t="str">
        <f ca="1">IF(A397="","",IF($B$10="Sí",interpolar_alamb(B397,OFFSET(Curvas_cupon_cero!$A$1,1,0,COUNT(Curvas_cupon_cero!$A:$A)-2,1),OFFSET(Curvas_cupon_cero!$A$1,1,MATCH($B$9,Curvas_cupon_cero!$1:$1,0)-1,COUNT(Curvas_cupon_cero!$A:$A)-2,1)),[1]!interpolar(B397,OFFSET(Curvas_cupon_cero!$A$1,1,0,COUNT(Curvas_cupon_cero!$A:$A)-2,1),OFFSET(Curvas_cupon_cero!$A$1,1,MATCH($B$9,Curvas_cupon_cero!$1:$1,0)-1,COUNT(Curvas_cupon_cero!$A:$A)-2,1))))</f>
        <v/>
      </c>
      <c r="G397" s="23" t="str">
        <f t="shared" si="54"/>
        <v/>
      </c>
      <c r="H397" s="20" t="str">
        <f t="shared" si="59"/>
        <v/>
      </c>
      <c r="I397" t="str">
        <f t="shared" si="55"/>
        <v/>
      </c>
      <c r="J397" s="17" t="str">
        <f t="shared" si="51"/>
        <v/>
      </c>
      <c r="K397" s="18" t="str">
        <f t="shared" si="56"/>
        <v/>
      </c>
      <c r="L397" t="str">
        <f t="shared" si="57"/>
        <v/>
      </c>
      <c r="M397" s="23" t="str">
        <f ca="1">IF(A397="","",IF($B$10="Sí",interpolar_alamb(L397,OFFSET(Curvas_cupon_cero!$A$1,1,0,COUNT(Curvas_cupon_cero!$A:$A)-2,1),OFFSET(Curvas_cupon_cero!$A$1,1,MATCH($B$6,Curvas_cupon_cero!$1:$1,0)-1,COUNT(Curvas_cupon_cero!$A:$A)-2,1)),[1]!interpolar(L397,OFFSET(Curvas_cupon_cero!$A$1,1,0,COUNT(Curvas_cupon_cero!$A:$A)-2,1),OFFSET(Curvas_cupon_cero!$A$1,1,MATCH($B$6,Curvas_cupon_cero!$1:$1,0)-1,COUNT(Curvas_cupon_cero!$A:$A)-2,1))))</f>
        <v/>
      </c>
      <c r="N397" s="23"/>
      <c r="O397" s="19" t="str">
        <f t="shared" si="58"/>
        <v/>
      </c>
    </row>
    <row r="398" spans="1:15" x14ac:dyDescent="0.2">
      <c r="A398" s="12" t="str">
        <f t="shared" si="52"/>
        <v/>
      </c>
      <c r="B398" t="str">
        <f t="shared" si="50"/>
        <v/>
      </c>
      <c r="C398" s="21" t="str">
        <f ca="1">IF(A398="","",IF($B$10="Sí",interpolar_alamb(B398,OFFSET(Curvas_cupon_cero!$A$1,1,0,COUNT(Curvas_cupon_cero!$A:$A)-2,1),OFFSET(Curvas_cupon_cero!$A$1,1,MATCH($B$8,Curvas_cupon_cero!$1:$1,0)-1,COUNT(Curvas_cupon_cero!$A:$A)-2,1)),[1]!interpolar(B398,OFFSET(Curvas_cupon_cero!$A$1,1,0,COUNT(Curvas_cupon_cero!$A:$A)-2,1),OFFSET(Curvas_cupon_cero!$A$1,1,MATCH($B$8,Curvas_cupon_cero!$1:$1,0)-1,COUNT(Curvas_cupon_cero!$A:$A)-2,1))))</f>
        <v/>
      </c>
      <c r="D398" s="23" t="str">
        <f ca="1">IF(A398="","",IF($B$10="Sí",interpolar_alamb(L398,OFFSET(Curvas_cupon_cero!$A$1,1,0,COUNT(Curvas_cupon_cero!$A:$A)-2,1),OFFSET(Curvas_cupon_cero!$A$1,1,MATCH($B$8,Curvas_cupon_cero!$1:$1,0)-1,COUNT(Curvas_cupon_cero!$A:$A)-2,1)),[1]!interpolar(L398,OFFSET(Curvas_cupon_cero!$A$1,1,0,COUNT(Curvas_cupon_cero!$A:$A)-2,1),OFFSET(Curvas_cupon_cero!$A$1,1,MATCH($B$8,Curvas_cupon_cero!$1:$1,0)-1,COUNT(Curvas_cupon_cero!$A:$A)-2,1))))</f>
        <v/>
      </c>
      <c r="E398" s="23" t="str">
        <f t="shared" si="53"/>
        <v/>
      </c>
      <c r="F398" s="23" t="str">
        <f ca="1">IF(A398="","",IF($B$10="Sí",interpolar_alamb(B398,OFFSET(Curvas_cupon_cero!$A$1,1,0,COUNT(Curvas_cupon_cero!$A:$A)-2,1),OFFSET(Curvas_cupon_cero!$A$1,1,MATCH($B$9,Curvas_cupon_cero!$1:$1,0)-1,COUNT(Curvas_cupon_cero!$A:$A)-2,1)),[1]!interpolar(B398,OFFSET(Curvas_cupon_cero!$A$1,1,0,COUNT(Curvas_cupon_cero!$A:$A)-2,1),OFFSET(Curvas_cupon_cero!$A$1,1,MATCH($B$9,Curvas_cupon_cero!$1:$1,0)-1,COUNT(Curvas_cupon_cero!$A:$A)-2,1))))</f>
        <v/>
      </c>
      <c r="G398" s="23" t="str">
        <f t="shared" si="54"/>
        <v/>
      </c>
      <c r="H398" s="20" t="str">
        <f t="shared" si="59"/>
        <v/>
      </c>
      <c r="I398" t="str">
        <f t="shared" si="55"/>
        <v/>
      </c>
      <c r="J398" s="17" t="str">
        <f t="shared" si="51"/>
        <v/>
      </c>
      <c r="K398" s="18" t="str">
        <f t="shared" si="56"/>
        <v/>
      </c>
      <c r="L398" t="str">
        <f t="shared" si="57"/>
        <v/>
      </c>
      <c r="M398" s="23" t="str">
        <f ca="1">IF(A398="","",IF($B$10="Sí",interpolar_alamb(L398,OFFSET(Curvas_cupon_cero!$A$1,1,0,COUNT(Curvas_cupon_cero!$A:$A)-2,1),OFFSET(Curvas_cupon_cero!$A$1,1,MATCH($B$6,Curvas_cupon_cero!$1:$1,0)-1,COUNT(Curvas_cupon_cero!$A:$A)-2,1)),[1]!interpolar(L398,OFFSET(Curvas_cupon_cero!$A$1,1,0,COUNT(Curvas_cupon_cero!$A:$A)-2,1),OFFSET(Curvas_cupon_cero!$A$1,1,MATCH($B$6,Curvas_cupon_cero!$1:$1,0)-1,COUNT(Curvas_cupon_cero!$A:$A)-2,1))))</f>
        <v/>
      </c>
      <c r="N398" s="23"/>
      <c r="O398" s="19" t="str">
        <f t="shared" si="58"/>
        <v/>
      </c>
    </row>
    <row r="399" spans="1:15" x14ac:dyDescent="0.2">
      <c r="A399" s="12" t="str">
        <f t="shared" si="52"/>
        <v/>
      </c>
      <c r="B399" t="str">
        <f t="shared" si="50"/>
        <v/>
      </c>
      <c r="C399" s="21" t="str">
        <f ca="1">IF(A399="","",IF($B$10="Sí",interpolar_alamb(B399,OFFSET(Curvas_cupon_cero!$A$1,1,0,COUNT(Curvas_cupon_cero!$A:$A)-2,1),OFFSET(Curvas_cupon_cero!$A$1,1,MATCH($B$8,Curvas_cupon_cero!$1:$1,0)-1,COUNT(Curvas_cupon_cero!$A:$A)-2,1)),[1]!interpolar(B399,OFFSET(Curvas_cupon_cero!$A$1,1,0,COUNT(Curvas_cupon_cero!$A:$A)-2,1),OFFSET(Curvas_cupon_cero!$A$1,1,MATCH($B$8,Curvas_cupon_cero!$1:$1,0)-1,COUNT(Curvas_cupon_cero!$A:$A)-2,1))))</f>
        <v/>
      </c>
      <c r="D399" s="23" t="str">
        <f ca="1">IF(A399="","",IF($B$10="Sí",interpolar_alamb(L399,OFFSET(Curvas_cupon_cero!$A$1,1,0,COUNT(Curvas_cupon_cero!$A:$A)-2,1),OFFSET(Curvas_cupon_cero!$A$1,1,MATCH($B$8,Curvas_cupon_cero!$1:$1,0)-1,COUNT(Curvas_cupon_cero!$A:$A)-2,1)),[1]!interpolar(L399,OFFSET(Curvas_cupon_cero!$A$1,1,0,COUNT(Curvas_cupon_cero!$A:$A)-2,1),OFFSET(Curvas_cupon_cero!$A$1,1,MATCH($B$8,Curvas_cupon_cero!$1:$1,0)-1,COUNT(Curvas_cupon_cero!$A:$A)-2,1))))</f>
        <v/>
      </c>
      <c r="E399" s="23" t="str">
        <f t="shared" si="53"/>
        <v/>
      </c>
      <c r="F399" s="23" t="str">
        <f ca="1">IF(A399="","",IF($B$10="Sí",interpolar_alamb(B399,OFFSET(Curvas_cupon_cero!$A$1,1,0,COUNT(Curvas_cupon_cero!$A:$A)-2,1),OFFSET(Curvas_cupon_cero!$A$1,1,MATCH($B$9,Curvas_cupon_cero!$1:$1,0)-1,COUNT(Curvas_cupon_cero!$A:$A)-2,1)),[1]!interpolar(B399,OFFSET(Curvas_cupon_cero!$A$1,1,0,COUNT(Curvas_cupon_cero!$A:$A)-2,1),OFFSET(Curvas_cupon_cero!$A$1,1,MATCH($B$9,Curvas_cupon_cero!$1:$1,0)-1,COUNT(Curvas_cupon_cero!$A:$A)-2,1))))</f>
        <v/>
      </c>
      <c r="G399" s="23" t="str">
        <f t="shared" si="54"/>
        <v/>
      </c>
      <c r="H399" s="20" t="str">
        <f t="shared" si="59"/>
        <v/>
      </c>
      <c r="I399" t="str">
        <f t="shared" si="55"/>
        <v/>
      </c>
      <c r="J399" s="17" t="str">
        <f t="shared" si="51"/>
        <v/>
      </c>
      <c r="K399" s="18" t="str">
        <f t="shared" si="56"/>
        <v/>
      </c>
      <c r="L399" t="str">
        <f t="shared" si="57"/>
        <v/>
      </c>
      <c r="M399" s="23" t="str">
        <f ca="1">IF(A399="","",IF($B$10="Sí",interpolar_alamb(L399,OFFSET(Curvas_cupon_cero!$A$1,1,0,COUNT(Curvas_cupon_cero!$A:$A)-2,1),OFFSET(Curvas_cupon_cero!$A$1,1,MATCH($B$6,Curvas_cupon_cero!$1:$1,0)-1,COUNT(Curvas_cupon_cero!$A:$A)-2,1)),[1]!interpolar(L399,OFFSET(Curvas_cupon_cero!$A$1,1,0,COUNT(Curvas_cupon_cero!$A:$A)-2,1),OFFSET(Curvas_cupon_cero!$A$1,1,MATCH($B$6,Curvas_cupon_cero!$1:$1,0)-1,COUNT(Curvas_cupon_cero!$A:$A)-2,1))))</f>
        <v/>
      </c>
      <c r="N399" s="23"/>
      <c r="O399" s="19" t="str">
        <f t="shared" si="58"/>
        <v/>
      </c>
    </row>
    <row r="400" spans="1:15" x14ac:dyDescent="0.2">
      <c r="A400" s="12" t="str">
        <f t="shared" si="52"/>
        <v/>
      </c>
      <c r="B400" t="str">
        <f t="shared" si="50"/>
        <v/>
      </c>
      <c r="C400" s="21" t="str">
        <f ca="1">IF(A400="","",IF($B$10="Sí",interpolar_alamb(B400,OFFSET(Curvas_cupon_cero!$A$1,1,0,COUNT(Curvas_cupon_cero!$A:$A)-2,1),OFFSET(Curvas_cupon_cero!$A$1,1,MATCH($B$8,Curvas_cupon_cero!$1:$1,0)-1,COUNT(Curvas_cupon_cero!$A:$A)-2,1)),[1]!interpolar(B400,OFFSET(Curvas_cupon_cero!$A$1,1,0,COUNT(Curvas_cupon_cero!$A:$A)-2,1),OFFSET(Curvas_cupon_cero!$A$1,1,MATCH($B$8,Curvas_cupon_cero!$1:$1,0)-1,COUNT(Curvas_cupon_cero!$A:$A)-2,1))))</f>
        <v/>
      </c>
      <c r="D400" s="23" t="str">
        <f ca="1">IF(A400="","",IF($B$10="Sí",interpolar_alamb(L400,OFFSET(Curvas_cupon_cero!$A$1,1,0,COUNT(Curvas_cupon_cero!$A:$A)-2,1),OFFSET(Curvas_cupon_cero!$A$1,1,MATCH($B$8,Curvas_cupon_cero!$1:$1,0)-1,COUNT(Curvas_cupon_cero!$A:$A)-2,1)),[1]!interpolar(L400,OFFSET(Curvas_cupon_cero!$A$1,1,0,COUNT(Curvas_cupon_cero!$A:$A)-2,1),OFFSET(Curvas_cupon_cero!$A$1,1,MATCH($B$8,Curvas_cupon_cero!$1:$1,0)-1,COUNT(Curvas_cupon_cero!$A:$A)-2,1))))</f>
        <v/>
      </c>
      <c r="E400" s="23" t="str">
        <f t="shared" si="53"/>
        <v/>
      </c>
      <c r="F400" s="23" t="str">
        <f ca="1">IF(A400="","",IF($B$10="Sí",interpolar_alamb(B400,OFFSET(Curvas_cupon_cero!$A$1,1,0,COUNT(Curvas_cupon_cero!$A:$A)-2,1),OFFSET(Curvas_cupon_cero!$A$1,1,MATCH($B$9,Curvas_cupon_cero!$1:$1,0)-1,COUNT(Curvas_cupon_cero!$A:$A)-2,1)),[1]!interpolar(B400,OFFSET(Curvas_cupon_cero!$A$1,1,0,COUNT(Curvas_cupon_cero!$A:$A)-2,1),OFFSET(Curvas_cupon_cero!$A$1,1,MATCH($B$9,Curvas_cupon_cero!$1:$1,0)-1,COUNT(Curvas_cupon_cero!$A:$A)-2,1))))</f>
        <v/>
      </c>
      <c r="G400" s="23" t="str">
        <f t="shared" si="54"/>
        <v/>
      </c>
      <c r="H400" s="20" t="str">
        <f t="shared" si="59"/>
        <v/>
      </c>
      <c r="I400" t="str">
        <f t="shared" si="55"/>
        <v/>
      </c>
      <c r="J400" s="17" t="str">
        <f t="shared" si="51"/>
        <v/>
      </c>
      <c r="K400" s="18" t="str">
        <f t="shared" si="56"/>
        <v/>
      </c>
      <c r="L400" t="str">
        <f t="shared" si="57"/>
        <v/>
      </c>
      <c r="M400" s="23" t="str">
        <f ca="1">IF(A400="","",IF($B$10="Sí",interpolar_alamb(L400,OFFSET(Curvas_cupon_cero!$A$1,1,0,COUNT(Curvas_cupon_cero!$A:$A)-2,1),OFFSET(Curvas_cupon_cero!$A$1,1,MATCH($B$6,Curvas_cupon_cero!$1:$1,0)-1,COUNT(Curvas_cupon_cero!$A:$A)-2,1)),[1]!interpolar(L400,OFFSET(Curvas_cupon_cero!$A$1,1,0,COUNT(Curvas_cupon_cero!$A:$A)-2,1),OFFSET(Curvas_cupon_cero!$A$1,1,MATCH($B$6,Curvas_cupon_cero!$1:$1,0)-1,COUNT(Curvas_cupon_cero!$A:$A)-2,1))))</f>
        <v/>
      </c>
      <c r="N400" s="23"/>
      <c r="O400" s="19" t="str">
        <f t="shared" si="58"/>
        <v/>
      </c>
    </row>
    <row r="401" spans="1:15" x14ac:dyDescent="0.2">
      <c r="A401" s="12" t="str">
        <f t="shared" si="52"/>
        <v/>
      </c>
      <c r="B401" t="str">
        <f t="shared" ref="B401:B464" si="60">IF(A401="","",MAX(L401-$B$5,0))</f>
        <v/>
      </c>
      <c r="C401" s="21" t="str">
        <f ca="1">IF(A401="","",IF($B$10="Sí",interpolar_alamb(B401,OFFSET(Curvas_cupon_cero!$A$1,1,0,COUNT(Curvas_cupon_cero!$A:$A)-2,1),OFFSET(Curvas_cupon_cero!$A$1,1,MATCH($B$8,Curvas_cupon_cero!$1:$1,0)-1,COUNT(Curvas_cupon_cero!$A:$A)-2,1)),[1]!interpolar(B401,OFFSET(Curvas_cupon_cero!$A$1,1,0,COUNT(Curvas_cupon_cero!$A:$A)-2,1),OFFSET(Curvas_cupon_cero!$A$1,1,MATCH($B$8,Curvas_cupon_cero!$1:$1,0)-1,COUNT(Curvas_cupon_cero!$A:$A)-2,1))))</f>
        <v/>
      </c>
      <c r="D401" s="23" t="str">
        <f ca="1">IF(A401="","",IF($B$10="Sí",interpolar_alamb(L401,OFFSET(Curvas_cupon_cero!$A$1,1,0,COUNT(Curvas_cupon_cero!$A:$A)-2,1),OFFSET(Curvas_cupon_cero!$A$1,1,MATCH($B$8,Curvas_cupon_cero!$1:$1,0)-1,COUNT(Curvas_cupon_cero!$A:$A)-2,1)),[1]!interpolar(L401,OFFSET(Curvas_cupon_cero!$A$1,1,0,COUNT(Curvas_cupon_cero!$A:$A)-2,1),OFFSET(Curvas_cupon_cero!$A$1,1,MATCH($B$8,Curvas_cupon_cero!$1:$1,0)-1,COUNT(Curvas_cupon_cero!$A:$A)-2,1))))</f>
        <v/>
      </c>
      <c r="E401" s="23" t="str">
        <f t="shared" si="53"/>
        <v/>
      </c>
      <c r="F401" s="23" t="str">
        <f ca="1">IF(A401="","",IF($B$10="Sí",interpolar_alamb(B401,OFFSET(Curvas_cupon_cero!$A$1,1,0,COUNT(Curvas_cupon_cero!$A:$A)-2,1),OFFSET(Curvas_cupon_cero!$A$1,1,MATCH($B$9,Curvas_cupon_cero!$1:$1,0)-1,COUNT(Curvas_cupon_cero!$A:$A)-2,1)),[1]!interpolar(B401,OFFSET(Curvas_cupon_cero!$A$1,1,0,COUNT(Curvas_cupon_cero!$A:$A)-2,1),OFFSET(Curvas_cupon_cero!$A$1,1,MATCH($B$9,Curvas_cupon_cero!$1:$1,0)-1,COUNT(Curvas_cupon_cero!$A:$A)-2,1))))</f>
        <v/>
      </c>
      <c r="G401" s="23" t="str">
        <f t="shared" si="54"/>
        <v/>
      </c>
      <c r="H401" s="20" t="str">
        <f t="shared" si="59"/>
        <v/>
      </c>
      <c r="I401" t="str">
        <f t="shared" si="55"/>
        <v/>
      </c>
      <c r="J401" s="17" t="str">
        <f t="shared" ref="J401:J464" si="61">IF(A401="","",IF(A401=$B$4,$B$1*$B$2+$B$1*$B$5/360*$B$2*(E401*(1-I401)+H401*I401), $B$1*$B$5/360*$B$2*(E401*(1-I401)+H401*I401)))</f>
        <v/>
      </c>
      <c r="K401" s="18" t="str">
        <f t="shared" si="56"/>
        <v/>
      </c>
      <c r="L401" t="str">
        <f t="shared" si="57"/>
        <v/>
      </c>
      <c r="M401" s="23" t="str">
        <f ca="1">IF(A401="","",IF($B$10="Sí",interpolar_alamb(L401,OFFSET(Curvas_cupon_cero!$A$1,1,0,COUNT(Curvas_cupon_cero!$A:$A)-2,1),OFFSET(Curvas_cupon_cero!$A$1,1,MATCH($B$6,Curvas_cupon_cero!$1:$1,0)-1,COUNT(Curvas_cupon_cero!$A:$A)-2,1)),[1]!interpolar(L401,OFFSET(Curvas_cupon_cero!$A$1,1,0,COUNT(Curvas_cupon_cero!$A:$A)-2,1),OFFSET(Curvas_cupon_cero!$A$1,1,MATCH($B$6,Curvas_cupon_cero!$1:$1,0)-1,COUNT(Curvas_cupon_cero!$A:$A)-2,1))))</f>
        <v/>
      </c>
      <c r="N401" s="23"/>
      <c r="O401" s="19" t="str">
        <f t="shared" si="58"/>
        <v/>
      </c>
    </row>
    <row r="402" spans="1:15" x14ac:dyDescent="0.2">
      <c r="A402" s="12" t="str">
        <f t="shared" ref="A402:A465" si="62">IF(A401="","",IF((A401+$B$5)&gt;$B$4,"",(A401+$B$5)))</f>
        <v/>
      </c>
      <c r="B402" t="str">
        <f t="shared" si="60"/>
        <v/>
      </c>
      <c r="C402" s="21" t="str">
        <f ca="1">IF(A402="","",IF($B$10="Sí",interpolar_alamb(B402,OFFSET(Curvas_cupon_cero!$A$1,1,0,COUNT(Curvas_cupon_cero!$A:$A)-2,1),OFFSET(Curvas_cupon_cero!$A$1,1,MATCH($B$8,Curvas_cupon_cero!$1:$1,0)-1,COUNT(Curvas_cupon_cero!$A:$A)-2,1)),[1]!interpolar(B402,OFFSET(Curvas_cupon_cero!$A$1,1,0,COUNT(Curvas_cupon_cero!$A:$A)-2,1),OFFSET(Curvas_cupon_cero!$A$1,1,MATCH($B$8,Curvas_cupon_cero!$1:$1,0)-1,COUNT(Curvas_cupon_cero!$A:$A)-2,1))))</f>
        <v/>
      </c>
      <c r="D402" s="23" t="str">
        <f ca="1">IF(A402="","",IF($B$10="Sí",interpolar_alamb(L402,OFFSET(Curvas_cupon_cero!$A$1,1,0,COUNT(Curvas_cupon_cero!$A:$A)-2,1),OFFSET(Curvas_cupon_cero!$A$1,1,MATCH($B$8,Curvas_cupon_cero!$1:$1,0)-1,COUNT(Curvas_cupon_cero!$A:$A)-2,1)),[1]!interpolar(L402,OFFSET(Curvas_cupon_cero!$A$1,1,0,COUNT(Curvas_cupon_cero!$A:$A)-2,1),OFFSET(Curvas_cupon_cero!$A$1,1,MATCH($B$8,Curvas_cupon_cero!$1:$1,0)-1,COUNT(Curvas_cupon_cero!$A:$A)-2,1))))</f>
        <v/>
      </c>
      <c r="E402" s="23" t="str">
        <f t="shared" ref="E402:E465" si="63">IF(A402="","",((1+D402*L402/360)/(1+C402*B402/360)-1)*(360/(L402-B402)))</f>
        <v/>
      </c>
      <c r="F402" s="23" t="str">
        <f ca="1">IF(A402="","",IF($B$10="Sí",interpolar_alamb(B402,OFFSET(Curvas_cupon_cero!$A$1,1,0,COUNT(Curvas_cupon_cero!$A:$A)-2,1),OFFSET(Curvas_cupon_cero!$A$1,1,MATCH($B$9,Curvas_cupon_cero!$1:$1,0)-1,COUNT(Curvas_cupon_cero!$A:$A)-2,1)),[1]!interpolar(B402,OFFSET(Curvas_cupon_cero!$A$1,1,0,COUNT(Curvas_cupon_cero!$A:$A)-2,1),OFFSET(Curvas_cupon_cero!$A$1,1,MATCH($B$9,Curvas_cupon_cero!$1:$1,0)-1,COUNT(Curvas_cupon_cero!$A:$A)-2,1))))</f>
        <v/>
      </c>
      <c r="G402" s="23" t="str">
        <f t="shared" ref="G402:G465" si="64">IF(A402="","",$B$11*(1+M402*L402/360)/(1+F402*L402/360))</f>
        <v/>
      </c>
      <c r="H402" s="20" t="str">
        <f t="shared" si="59"/>
        <v/>
      </c>
      <c r="I402" t="str">
        <f t="shared" ref="I402:I465" si="65">IF(A402="","",IF(H402&gt;E402,1,0))</f>
        <v/>
      </c>
      <c r="J402" s="17" t="str">
        <f t="shared" si="61"/>
        <v/>
      </c>
      <c r="K402" s="18" t="str">
        <f t="shared" ref="K402:K465" si="66">IF(A402="","",$B$5)</f>
        <v/>
      </c>
      <c r="L402" t="str">
        <f t="shared" ref="L402:L465" si="67">IF(A402="","",L401+K402)</f>
        <v/>
      </c>
      <c r="M402" s="23" t="str">
        <f ca="1">IF(A402="","",IF($B$10="Sí",interpolar_alamb(L402,OFFSET(Curvas_cupon_cero!$A$1,1,0,COUNT(Curvas_cupon_cero!$A:$A)-2,1),OFFSET(Curvas_cupon_cero!$A$1,1,MATCH($B$6,Curvas_cupon_cero!$1:$1,0)-1,COUNT(Curvas_cupon_cero!$A:$A)-2,1)),[1]!interpolar(L402,OFFSET(Curvas_cupon_cero!$A$1,1,0,COUNT(Curvas_cupon_cero!$A:$A)-2,1),OFFSET(Curvas_cupon_cero!$A$1,1,MATCH($B$6,Curvas_cupon_cero!$1:$1,0)-1,COUNT(Curvas_cupon_cero!$A:$A)-2,1))))</f>
        <v/>
      </c>
      <c r="N402" s="23"/>
      <c r="O402" s="19" t="str">
        <f t="shared" ref="O402:O465" si="68">IF(A402="","",J402/(1+(M402+N402)*L402/360))</f>
        <v/>
      </c>
    </row>
    <row r="403" spans="1:15" x14ac:dyDescent="0.2">
      <c r="A403" s="12" t="str">
        <f t="shared" si="62"/>
        <v/>
      </c>
      <c r="B403" t="str">
        <f t="shared" si="60"/>
        <v/>
      </c>
      <c r="C403" s="21" t="str">
        <f ca="1">IF(A403="","",IF($B$10="Sí",interpolar_alamb(B403,OFFSET(Curvas_cupon_cero!$A$1,1,0,COUNT(Curvas_cupon_cero!$A:$A)-2,1),OFFSET(Curvas_cupon_cero!$A$1,1,MATCH($B$8,Curvas_cupon_cero!$1:$1,0)-1,COUNT(Curvas_cupon_cero!$A:$A)-2,1)),[1]!interpolar(B403,OFFSET(Curvas_cupon_cero!$A$1,1,0,COUNT(Curvas_cupon_cero!$A:$A)-2,1),OFFSET(Curvas_cupon_cero!$A$1,1,MATCH($B$8,Curvas_cupon_cero!$1:$1,0)-1,COUNT(Curvas_cupon_cero!$A:$A)-2,1))))</f>
        <v/>
      </c>
      <c r="D403" s="23" t="str">
        <f ca="1">IF(A403="","",IF($B$10="Sí",interpolar_alamb(L403,OFFSET(Curvas_cupon_cero!$A$1,1,0,COUNT(Curvas_cupon_cero!$A:$A)-2,1),OFFSET(Curvas_cupon_cero!$A$1,1,MATCH($B$8,Curvas_cupon_cero!$1:$1,0)-1,COUNT(Curvas_cupon_cero!$A:$A)-2,1)),[1]!interpolar(L403,OFFSET(Curvas_cupon_cero!$A$1,1,0,COUNT(Curvas_cupon_cero!$A:$A)-2,1),OFFSET(Curvas_cupon_cero!$A$1,1,MATCH($B$8,Curvas_cupon_cero!$1:$1,0)-1,COUNT(Curvas_cupon_cero!$A:$A)-2,1))))</f>
        <v/>
      </c>
      <c r="E403" s="23" t="str">
        <f t="shared" si="63"/>
        <v/>
      </c>
      <c r="F403" s="23" t="str">
        <f ca="1">IF(A403="","",IF($B$10="Sí",interpolar_alamb(B403,OFFSET(Curvas_cupon_cero!$A$1,1,0,COUNT(Curvas_cupon_cero!$A:$A)-2,1),OFFSET(Curvas_cupon_cero!$A$1,1,MATCH($B$9,Curvas_cupon_cero!$1:$1,0)-1,COUNT(Curvas_cupon_cero!$A:$A)-2,1)),[1]!interpolar(B403,OFFSET(Curvas_cupon_cero!$A$1,1,0,COUNT(Curvas_cupon_cero!$A:$A)-2,1),OFFSET(Curvas_cupon_cero!$A$1,1,MATCH($B$9,Curvas_cupon_cero!$1:$1,0)-1,COUNT(Curvas_cupon_cero!$A:$A)-2,1))))</f>
        <v/>
      </c>
      <c r="G403" s="23" t="str">
        <f t="shared" si="64"/>
        <v/>
      </c>
      <c r="H403" s="20" t="str">
        <f t="shared" ref="H403:H466" si="69">IF(A403="","",(G403/G402-1)*360/$B$5)</f>
        <v/>
      </c>
      <c r="I403" t="str">
        <f t="shared" si="65"/>
        <v/>
      </c>
      <c r="J403" s="17" t="str">
        <f t="shared" si="61"/>
        <v/>
      </c>
      <c r="K403" s="18" t="str">
        <f t="shared" si="66"/>
        <v/>
      </c>
      <c r="L403" t="str">
        <f t="shared" si="67"/>
        <v/>
      </c>
      <c r="M403" s="23" t="str">
        <f ca="1">IF(A403="","",IF($B$10="Sí",interpolar_alamb(L403,OFFSET(Curvas_cupon_cero!$A$1,1,0,COUNT(Curvas_cupon_cero!$A:$A)-2,1),OFFSET(Curvas_cupon_cero!$A$1,1,MATCH($B$6,Curvas_cupon_cero!$1:$1,0)-1,COUNT(Curvas_cupon_cero!$A:$A)-2,1)),[1]!interpolar(L403,OFFSET(Curvas_cupon_cero!$A$1,1,0,COUNT(Curvas_cupon_cero!$A:$A)-2,1),OFFSET(Curvas_cupon_cero!$A$1,1,MATCH($B$6,Curvas_cupon_cero!$1:$1,0)-1,COUNT(Curvas_cupon_cero!$A:$A)-2,1))))</f>
        <v/>
      </c>
      <c r="N403" s="23"/>
      <c r="O403" s="19" t="str">
        <f t="shared" si="68"/>
        <v/>
      </c>
    </row>
    <row r="404" spans="1:15" x14ac:dyDescent="0.2">
      <c r="A404" s="12" t="str">
        <f t="shared" si="62"/>
        <v/>
      </c>
      <c r="B404" t="str">
        <f t="shared" si="60"/>
        <v/>
      </c>
      <c r="C404" s="21" t="str">
        <f ca="1">IF(A404="","",IF($B$10="Sí",interpolar_alamb(B404,OFFSET(Curvas_cupon_cero!$A$1,1,0,COUNT(Curvas_cupon_cero!$A:$A)-2,1),OFFSET(Curvas_cupon_cero!$A$1,1,MATCH($B$8,Curvas_cupon_cero!$1:$1,0)-1,COUNT(Curvas_cupon_cero!$A:$A)-2,1)),[1]!interpolar(B404,OFFSET(Curvas_cupon_cero!$A$1,1,0,COUNT(Curvas_cupon_cero!$A:$A)-2,1),OFFSET(Curvas_cupon_cero!$A$1,1,MATCH($B$8,Curvas_cupon_cero!$1:$1,0)-1,COUNT(Curvas_cupon_cero!$A:$A)-2,1))))</f>
        <v/>
      </c>
      <c r="D404" s="23" t="str">
        <f ca="1">IF(A404="","",IF($B$10="Sí",interpolar_alamb(L404,OFFSET(Curvas_cupon_cero!$A$1,1,0,COUNT(Curvas_cupon_cero!$A:$A)-2,1),OFFSET(Curvas_cupon_cero!$A$1,1,MATCH($B$8,Curvas_cupon_cero!$1:$1,0)-1,COUNT(Curvas_cupon_cero!$A:$A)-2,1)),[1]!interpolar(L404,OFFSET(Curvas_cupon_cero!$A$1,1,0,COUNT(Curvas_cupon_cero!$A:$A)-2,1),OFFSET(Curvas_cupon_cero!$A$1,1,MATCH($B$8,Curvas_cupon_cero!$1:$1,0)-1,COUNT(Curvas_cupon_cero!$A:$A)-2,1))))</f>
        <v/>
      </c>
      <c r="E404" s="23" t="str">
        <f t="shared" si="63"/>
        <v/>
      </c>
      <c r="F404" s="23" t="str">
        <f ca="1">IF(A404="","",IF($B$10="Sí",interpolar_alamb(B404,OFFSET(Curvas_cupon_cero!$A$1,1,0,COUNT(Curvas_cupon_cero!$A:$A)-2,1),OFFSET(Curvas_cupon_cero!$A$1,1,MATCH($B$9,Curvas_cupon_cero!$1:$1,0)-1,COUNT(Curvas_cupon_cero!$A:$A)-2,1)),[1]!interpolar(B404,OFFSET(Curvas_cupon_cero!$A$1,1,0,COUNT(Curvas_cupon_cero!$A:$A)-2,1),OFFSET(Curvas_cupon_cero!$A$1,1,MATCH($B$9,Curvas_cupon_cero!$1:$1,0)-1,COUNT(Curvas_cupon_cero!$A:$A)-2,1))))</f>
        <v/>
      </c>
      <c r="G404" s="23" t="str">
        <f t="shared" si="64"/>
        <v/>
      </c>
      <c r="H404" s="20" t="str">
        <f t="shared" si="69"/>
        <v/>
      </c>
      <c r="I404" t="str">
        <f t="shared" si="65"/>
        <v/>
      </c>
      <c r="J404" s="17" t="str">
        <f t="shared" si="61"/>
        <v/>
      </c>
      <c r="K404" s="18" t="str">
        <f t="shared" si="66"/>
        <v/>
      </c>
      <c r="L404" t="str">
        <f t="shared" si="67"/>
        <v/>
      </c>
      <c r="M404" s="23" t="str">
        <f ca="1">IF(A404="","",IF($B$10="Sí",interpolar_alamb(L404,OFFSET(Curvas_cupon_cero!$A$1,1,0,COUNT(Curvas_cupon_cero!$A:$A)-2,1),OFFSET(Curvas_cupon_cero!$A$1,1,MATCH($B$6,Curvas_cupon_cero!$1:$1,0)-1,COUNT(Curvas_cupon_cero!$A:$A)-2,1)),[1]!interpolar(L404,OFFSET(Curvas_cupon_cero!$A$1,1,0,COUNT(Curvas_cupon_cero!$A:$A)-2,1),OFFSET(Curvas_cupon_cero!$A$1,1,MATCH($B$6,Curvas_cupon_cero!$1:$1,0)-1,COUNT(Curvas_cupon_cero!$A:$A)-2,1))))</f>
        <v/>
      </c>
      <c r="N404" s="23"/>
      <c r="O404" s="19" t="str">
        <f t="shared" si="68"/>
        <v/>
      </c>
    </row>
    <row r="405" spans="1:15" x14ac:dyDescent="0.2">
      <c r="A405" s="12" t="str">
        <f t="shared" si="62"/>
        <v/>
      </c>
      <c r="B405" t="str">
        <f t="shared" si="60"/>
        <v/>
      </c>
      <c r="C405" s="21" t="str">
        <f ca="1">IF(A405="","",IF($B$10="Sí",interpolar_alamb(B405,OFFSET(Curvas_cupon_cero!$A$1,1,0,COUNT(Curvas_cupon_cero!$A:$A)-2,1),OFFSET(Curvas_cupon_cero!$A$1,1,MATCH($B$8,Curvas_cupon_cero!$1:$1,0)-1,COUNT(Curvas_cupon_cero!$A:$A)-2,1)),[1]!interpolar(B405,OFFSET(Curvas_cupon_cero!$A$1,1,0,COUNT(Curvas_cupon_cero!$A:$A)-2,1),OFFSET(Curvas_cupon_cero!$A$1,1,MATCH($B$8,Curvas_cupon_cero!$1:$1,0)-1,COUNT(Curvas_cupon_cero!$A:$A)-2,1))))</f>
        <v/>
      </c>
      <c r="D405" s="23" t="str">
        <f ca="1">IF(A405="","",IF($B$10="Sí",interpolar_alamb(L405,OFFSET(Curvas_cupon_cero!$A$1,1,0,COUNT(Curvas_cupon_cero!$A:$A)-2,1),OFFSET(Curvas_cupon_cero!$A$1,1,MATCH($B$8,Curvas_cupon_cero!$1:$1,0)-1,COUNT(Curvas_cupon_cero!$A:$A)-2,1)),[1]!interpolar(L405,OFFSET(Curvas_cupon_cero!$A$1,1,0,COUNT(Curvas_cupon_cero!$A:$A)-2,1),OFFSET(Curvas_cupon_cero!$A$1,1,MATCH($B$8,Curvas_cupon_cero!$1:$1,0)-1,COUNT(Curvas_cupon_cero!$A:$A)-2,1))))</f>
        <v/>
      </c>
      <c r="E405" s="23" t="str">
        <f t="shared" si="63"/>
        <v/>
      </c>
      <c r="F405" s="23" t="str">
        <f ca="1">IF(A405="","",IF($B$10="Sí",interpolar_alamb(B405,OFFSET(Curvas_cupon_cero!$A$1,1,0,COUNT(Curvas_cupon_cero!$A:$A)-2,1),OFFSET(Curvas_cupon_cero!$A$1,1,MATCH($B$9,Curvas_cupon_cero!$1:$1,0)-1,COUNT(Curvas_cupon_cero!$A:$A)-2,1)),[1]!interpolar(B405,OFFSET(Curvas_cupon_cero!$A$1,1,0,COUNT(Curvas_cupon_cero!$A:$A)-2,1),OFFSET(Curvas_cupon_cero!$A$1,1,MATCH($B$9,Curvas_cupon_cero!$1:$1,0)-1,COUNT(Curvas_cupon_cero!$A:$A)-2,1))))</f>
        <v/>
      </c>
      <c r="G405" s="23" t="str">
        <f t="shared" si="64"/>
        <v/>
      </c>
      <c r="H405" s="20" t="str">
        <f t="shared" si="69"/>
        <v/>
      </c>
      <c r="I405" t="str">
        <f t="shared" si="65"/>
        <v/>
      </c>
      <c r="J405" s="17" t="str">
        <f t="shared" si="61"/>
        <v/>
      </c>
      <c r="K405" s="18" t="str">
        <f t="shared" si="66"/>
        <v/>
      </c>
      <c r="L405" t="str">
        <f t="shared" si="67"/>
        <v/>
      </c>
      <c r="M405" s="23" t="str">
        <f ca="1">IF(A405="","",IF($B$10="Sí",interpolar_alamb(L405,OFFSET(Curvas_cupon_cero!$A$1,1,0,COUNT(Curvas_cupon_cero!$A:$A)-2,1),OFFSET(Curvas_cupon_cero!$A$1,1,MATCH($B$6,Curvas_cupon_cero!$1:$1,0)-1,COUNT(Curvas_cupon_cero!$A:$A)-2,1)),[1]!interpolar(L405,OFFSET(Curvas_cupon_cero!$A$1,1,0,COUNT(Curvas_cupon_cero!$A:$A)-2,1),OFFSET(Curvas_cupon_cero!$A$1,1,MATCH($B$6,Curvas_cupon_cero!$1:$1,0)-1,COUNT(Curvas_cupon_cero!$A:$A)-2,1))))</f>
        <v/>
      </c>
      <c r="N405" s="23"/>
      <c r="O405" s="19" t="str">
        <f t="shared" si="68"/>
        <v/>
      </c>
    </row>
    <row r="406" spans="1:15" x14ac:dyDescent="0.2">
      <c r="A406" s="12" t="str">
        <f t="shared" si="62"/>
        <v/>
      </c>
      <c r="B406" t="str">
        <f t="shared" si="60"/>
        <v/>
      </c>
      <c r="C406" s="21" t="str">
        <f ca="1">IF(A406="","",IF($B$10="Sí",interpolar_alamb(B406,OFFSET(Curvas_cupon_cero!$A$1,1,0,COUNT(Curvas_cupon_cero!$A:$A)-2,1),OFFSET(Curvas_cupon_cero!$A$1,1,MATCH($B$8,Curvas_cupon_cero!$1:$1,0)-1,COUNT(Curvas_cupon_cero!$A:$A)-2,1)),[1]!interpolar(B406,OFFSET(Curvas_cupon_cero!$A$1,1,0,COUNT(Curvas_cupon_cero!$A:$A)-2,1),OFFSET(Curvas_cupon_cero!$A$1,1,MATCH($B$8,Curvas_cupon_cero!$1:$1,0)-1,COUNT(Curvas_cupon_cero!$A:$A)-2,1))))</f>
        <v/>
      </c>
      <c r="D406" s="23" t="str">
        <f ca="1">IF(A406="","",IF($B$10="Sí",interpolar_alamb(L406,OFFSET(Curvas_cupon_cero!$A$1,1,0,COUNT(Curvas_cupon_cero!$A:$A)-2,1),OFFSET(Curvas_cupon_cero!$A$1,1,MATCH($B$8,Curvas_cupon_cero!$1:$1,0)-1,COUNT(Curvas_cupon_cero!$A:$A)-2,1)),[1]!interpolar(L406,OFFSET(Curvas_cupon_cero!$A$1,1,0,COUNT(Curvas_cupon_cero!$A:$A)-2,1),OFFSET(Curvas_cupon_cero!$A$1,1,MATCH($B$8,Curvas_cupon_cero!$1:$1,0)-1,COUNT(Curvas_cupon_cero!$A:$A)-2,1))))</f>
        <v/>
      </c>
      <c r="E406" s="23" t="str">
        <f t="shared" si="63"/>
        <v/>
      </c>
      <c r="F406" s="23" t="str">
        <f ca="1">IF(A406="","",IF($B$10="Sí",interpolar_alamb(B406,OFFSET(Curvas_cupon_cero!$A$1,1,0,COUNT(Curvas_cupon_cero!$A:$A)-2,1),OFFSET(Curvas_cupon_cero!$A$1,1,MATCH($B$9,Curvas_cupon_cero!$1:$1,0)-1,COUNT(Curvas_cupon_cero!$A:$A)-2,1)),[1]!interpolar(B406,OFFSET(Curvas_cupon_cero!$A$1,1,0,COUNT(Curvas_cupon_cero!$A:$A)-2,1),OFFSET(Curvas_cupon_cero!$A$1,1,MATCH($B$9,Curvas_cupon_cero!$1:$1,0)-1,COUNT(Curvas_cupon_cero!$A:$A)-2,1))))</f>
        <v/>
      </c>
      <c r="G406" s="23" t="str">
        <f t="shared" si="64"/>
        <v/>
      </c>
      <c r="H406" s="20" t="str">
        <f t="shared" si="69"/>
        <v/>
      </c>
      <c r="I406" t="str">
        <f t="shared" si="65"/>
        <v/>
      </c>
      <c r="J406" s="17" t="str">
        <f t="shared" si="61"/>
        <v/>
      </c>
      <c r="K406" s="18" t="str">
        <f t="shared" si="66"/>
        <v/>
      </c>
      <c r="L406" t="str">
        <f t="shared" si="67"/>
        <v/>
      </c>
      <c r="M406" s="23" t="str">
        <f ca="1">IF(A406="","",IF($B$10="Sí",interpolar_alamb(L406,OFFSET(Curvas_cupon_cero!$A$1,1,0,COUNT(Curvas_cupon_cero!$A:$A)-2,1),OFFSET(Curvas_cupon_cero!$A$1,1,MATCH($B$6,Curvas_cupon_cero!$1:$1,0)-1,COUNT(Curvas_cupon_cero!$A:$A)-2,1)),[1]!interpolar(L406,OFFSET(Curvas_cupon_cero!$A$1,1,0,COUNT(Curvas_cupon_cero!$A:$A)-2,1),OFFSET(Curvas_cupon_cero!$A$1,1,MATCH($B$6,Curvas_cupon_cero!$1:$1,0)-1,COUNT(Curvas_cupon_cero!$A:$A)-2,1))))</f>
        <v/>
      </c>
      <c r="N406" s="23"/>
      <c r="O406" s="19" t="str">
        <f t="shared" si="68"/>
        <v/>
      </c>
    </row>
    <row r="407" spans="1:15" x14ac:dyDescent="0.2">
      <c r="A407" s="12" t="str">
        <f t="shared" si="62"/>
        <v/>
      </c>
      <c r="B407" t="str">
        <f t="shared" si="60"/>
        <v/>
      </c>
      <c r="C407" s="21" t="str">
        <f ca="1">IF(A407="","",IF($B$10="Sí",interpolar_alamb(B407,OFFSET(Curvas_cupon_cero!$A$1,1,0,COUNT(Curvas_cupon_cero!$A:$A)-2,1),OFFSET(Curvas_cupon_cero!$A$1,1,MATCH($B$8,Curvas_cupon_cero!$1:$1,0)-1,COUNT(Curvas_cupon_cero!$A:$A)-2,1)),[1]!interpolar(B407,OFFSET(Curvas_cupon_cero!$A$1,1,0,COUNT(Curvas_cupon_cero!$A:$A)-2,1),OFFSET(Curvas_cupon_cero!$A$1,1,MATCH($B$8,Curvas_cupon_cero!$1:$1,0)-1,COUNT(Curvas_cupon_cero!$A:$A)-2,1))))</f>
        <v/>
      </c>
      <c r="D407" s="23" t="str">
        <f ca="1">IF(A407="","",IF($B$10="Sí",interpolar_alamb(L407,OFFSET(Curvas_cupon_cero!$A$1,1,0,COUNT(Curvas_cupon_cero!$A:$A)-2,1),OFFSET(Curvas_cupon_cero!$A$1,1,MATCH($B$8,Curvas_cupon_cero!$1:$1,0)-1,COUNT(Curvas_cupon_cero!$A:$A)-2,1)),[1]!interpolar(L407,OFFSET(Curvas_cupon_cero!$A$1,1,0,COUNT(Curvas_cupon_cero!$A:$A)-2,1),OFFSET(Curvas_cupon_cero!$A$1,1,MATCH($B$8,Curvas_cupon_cero!$1:$1,0)-1,COUNT(Curvas_cupon_cero!$A:$A)-2,1))))</f>
        <v/>
      </c>
      <c r="E407" s="23" t="str">
        <f t="shared" si="63"/>
        <v/>
      </c>
      <c r="F407" s="23" t="str">
        <f ca="1">IF(A407="","",IF($B$10="Sí",interpolar_alamb(B407,OFFSET(Curvas_cupon_cero!$A$1,1,0,COUNT(Curvas_cupon_cero!$A:$A)-2,1),OFFSET(Curvas_cupon_cero!$A$1,1,MATCH($B$9,Curvas_cupon_cero!$1:$1,0)-1,COUNT(Curvas_cupon_cero!$A:$A)-2,1)),[1]!interpolar(B407,OFFSET(Curvas_cupon_cero!$A$1,1,0,COUNT(Curvas_cupon_cero!$A:$A)-2,1),OFFSET(Curvas_cupon_cero!$A$1,1,MATCH($B$9,Curvas_cupon_cero!$1:$1,0)-1,COUNT(Curvas_cupon_cero!$A:$A)-2,1))))</f>
        <v/>
      </c>
      <c r="G407" s="23" t="str">
        <f t="shared" si="64"/>
        <v/>
      </c>
      <c r="H407" s="20" t="str">
        <f t="shared" si="69"/>
        <v/>
      </c>
      <c r="I407" t="str">
        <f t="shared" si="65"/>
        <v/>
      </c>
      <c r="J407" s="17" t="str">
        <f t="shared" si="61"/>
        <v/>
      </c>
      <c r="K407" s="18" t="str">
        <f t="shared" si="66"/>
        <v/>
      </c>
      <c r="L407" t="str">
        <f t="shared" si="67"/>
        <v/>
      </c>
      <c r="M407" s="23" t="str">
        <f ca="1">IF(A407="","",IF($B$10="Sí",interpolar_alamb(L407,OFFSET(Curvas_cupon_cero!$A$1,1,0,COUNT(Curvas_cupon_cero!$A:$A)-2,1),OFFSET(Curvas_cupon_cero!$A$1,1,MATCH($B$6,Curvas_cupon_cero!$1:$1,0)-1,COUNT(Curvas_cupon_cero!$A:$A)-2,1)),[1]!interpolar(L407,OFFSET(Curvas_cupon_cero!$A$1,1,0,COUNT(Curvas_cupon_cero!$A:$A)-2,1),OFFSET(Curvas_cupon_cero!$A$1,1,MATCH($B$6,Curvas_cupon_cero!$1:$1,0)-1,COUNT(Curvas_cupon_cero!$A:$A)-2,1))))</f>
        <v/>
      </c>
      <c r="N407" s="23"/>
      <c r="O407" s="19" t="str">
        <f t="shared" si="68"/>
        <v/>
      </c>
    </row>
    <row r="408" spans="1:15" x14ac:dyDescent="0.2">
      <c r="A408" s="12" t="str">
        <f t="shared" si="62"/>
        <v/>
      </c>
      <c r="B408" t="str">
        <f t="shared" si="60"/>
        <v/>
      </c>
      <c r="C408" s="21" t="str">
        <f ca="1">IF(A408="","",IF($B$10="Sí",interpolar_alamb(B408,OFFSET(Curvas_cupon_cero!$A$1,1,0,COUNT(Curvas_cupon_cero!$A:$A)-2,1),OFFSET(Curvas_cupon_cero!$A$1,1,MATCH($B$8,Curvas_cupon_cero!$1:$1,0)-1,COUNT(Curvas_cupon_cero!$A:$A)-2,1)),[1]!interpolar(B408,OFFSET(Curvas_cupon_cero!$A$1,1,0,COUNT(Curvas_cupon_cero!$A:$A)-2,1),OFFSET(Curvas_cupon_cero!$A$1,1,MATCH($B$8,Curvas_cupon_cero!$1:$1,0)-1,COUNT(Curvas_cupon_cero!$A:$A)-2,1))))</f>
        <v/>
      </c>
      <c r="D408" s="23" t="str">
        <f ca="1">IF(A408="","",IF($B$10="Sí",interpolar_alamb(L408,OFFSET(Curvas_cupon_cero!$A$1,1,0,COUNT(Curvas_cupon_cero!$A:$A)-2,1),OFFSET(Curvas_cupon_cero!$A$1,1,MATCH($B$8,Curvas_cupon_cero!$1:$1,0)-1,COUNT(Curvas_cupon_cero!$A:$A)-2,1)),[1]!interpolar(L408,OFFSET(Curvas_cupon_cero!$A$1,1,0,COUNT(Curvas_cupon_cero!$A:$A)-2,1),OFFSET(Curvas_cupon_cero!$A$1,1,MATCH($B$8,Curvas_cupon_cero!$1:$1,0)-1,COUNT(Curvas_cupon_cero!$A:$A)-2,1))))</f>
        <v/>
      </c>
      <c r="E408" s="23" t="str">
        <f t="shared" si="63"/>
        <v/>
      </c>
      <c r="F408" s="23" t="str">
        <f ca="1">IF(A408="","",IF($B$10="Sí",interpolar_alamb(B408,OFFSET(Curvas_cupon_cero!$A$1,1,0,COUNT(Curvas_cupon_cero!$A:$A)-2,1),OFFSET(Curvas_cupon_cero!$A$1,1,MATCH($B$9,Curvas_cupon_cero!$1:$1,0)-1,COUNT(Curvas_cupon_cero!$A:$A)-2,1)),[1]!interpolar(B408,OFFSET(Curvas_cupon_cero!$A$1,1,0,COUNT(Curvas_cupon_cero!$A:$A)-2,1),OFFSET(Curvas_cupon_cero!$A$1,1,MATCH($B$9,Curvas_cupon_cero!$1:$1,0)-1,COUNT(Curvas_cupon_cero!$A:$A)-2,1))))</f>
        <v/>
      </c>
      <c r="G408" s="23" t="str">
        <f t="shared" si="64"/>
        <v/>
      </c>
      <c r="H408" s="20" t="str">
        <f t="shared" si="69"/>
        <v/>
      </c>
      <c r="I408" t="str">
        <f t="shared" si="65"/>
        <v/>
      </c>
      <c r="J408" s="17" t="str">
        <f t="shared" si="61"/>
        <v/>
      </c>
      <c r="K408" s="18" t="str">
        <f t="shared" si="66"/>
        <v/>
      </c>
      <c r="L408" t="str">
        <f t="shared" si="67"/>
        <v/>
      </c>
      <c r="M408" s="23" t="str">
        <f ca="1">IF(A408="","",IF($B$10="Sí",interpolar_alamb(L408,OFFSET(Curvas_cupon_cero!$A$1,1,0,COUNT(Curvas_cupon_cero!$A:$A)-2,1),OFFSET(Curvas_cupon_cero!$A$1,1,MATCH($B$6,Curvas_cupon_cero!$1:$1,0)-1,COUNT(Curvas_cupon_cero!$A:$A)-2,1)),[1]!interpolar(L408,OFFSET(Curvas_cupon_cero!$A$1,1,0,COUNT(Curvas_cupon_cero!$A:$A)-2,1),OFFSET(Curvas_cupon_cero!$A$1,1,MATCH($B$6,Curvas_cupon_cero!$1:$1,0)-1,COUNT(Curvas_cupon_cero!$A:$A)-2,1))))</f>
        <v/>
      </c>
      <c r="N408" s="23"/>
      <c r="O408" s="19" t="str">
        <f t="shared" si="68"/>
        <v/>
      </c>
    </row>
    <row r="409" spans="1:15" x14ac:dyDescent="0.2">
      <c r="A409" s="12" t="str">
        <f t="shared" si="62"/>
        <v/>
      </c>
      <c r="B409" t="str">
        <f t="shared" si="60"/>
        <v/>
      </c>
      <c r="C409" s="21" t="str">
        <f ca="1">IF(A409="","",IF($B$10="Sí",interpolar_alamb(B409,OFFSET(Curvas_cupon_cero!$A$1,1,0,COUNT(Curvas_cupon_cero!$A:$A)-2,1),OFFSET(Curvas_cupon_cero!$A$1,1,MATCH($B$8,Curvas_cupon_cero!$1:$1,0)-1,COUNT(Curvas_cupon_cero!$A:$A)-2,1)),[1]!interpolar(B409,OFFSET(Curvas_cupon_cero!$A$1,1,0,COUNT(Curvas_cupon_cero!$A:$A)-2,1),OFFSET(Curvas_cupon_cero!$A$1,1,MATCH($B$8,Curvas_cupon_cero!$1:$1,0)-1,COUNT(Curvas_cupon_cero!$A:$A)-2,1))))</f>
        <v/>
      </c>
      <c r="D409" s="23" t="str">
        <f ca="1">IF(A409="","",IF($B$10="Sí",interpolar_alamb(L409,OFFSET(Curvas_cupon_cero!$A$1,1,0,COUNT(Curvas_cupon_cero!$A:$A)-2,1),OFFSET(Curvas_cupon_cero!$A$1,1,MATCH($B$8,Curvas_cupon_cero!$1:$1,0)-1,COUNT(Curvas_cupon_cero!$A:$A)-2,1)),[1]!interpolar(L409,OFFSET(Curvas_cupon_cero!$A$1,1,0,COUNT(Curvas_cupon_cero!$A:$A)-2,1),OFFSET(Curvas_cupon_cero!$A$1,1,MATCH($B$8,Curvas_cupon_cero!$1:$1,0)-1,COUNT(Curvas_cupon_cero!$A:$A)-2,1))))</f>
        <v/>
      </c>
      <c r="E409" s="23" t="str">
        <f t="shared" si="63"/>
        <v/>
      </c>
      <c r="F409" s="23" t="str">
        <f ca="1">IF(A409="","",IF($B$10="Sí",interpolar_alamb(B409,OFFSET(Curvas_cupon_cero!$A$1,1,0,COUNT(Curvas_cupon_cero!$A:$A)-2,1),OFFSET(Curvas_cupon_cero!$A$1,1,MATCH($B$9,Curvas_cupon_cero!$1:$1,0)-1,COUNT(Curvas_cupon_cero!$A:$A)-2,1)),[1]!interpolar(B409,OFFSET(Curvas_cupon_cero!$A$1,1,0,COUNT(Curvas_cupon_cero!$A:$A)-2,1),OFFSET(Curvas_cupon_cero!$A$1,1,MATCH($B$9,Curvas_cupon_cero!$1:$1,0)-1,COUNT(Curvas_cupon_cero!$A:$A)-2,1))))</f>
        <v/>
      </c>
      <c r="G409" s="23" t="str">
        <f t="shared" si="64"/>
        <v/>
      </c>
      <c r="H409" s="20" t="str">
        <f t="shared" si="69"/>
        <v/>
      </c>
      <c r="I409" t="str">
        <f t="shared" si="65"/>
        <v/>
      </c>
      <c r="J409" s="17" t="str">
        <f t="shared" si="61"/>
        <v/>
      </c>
      <c r="K409" s="18" t="str">
        <f t="shared" si="66"/>
        <v/>
      </c>
      <c r="L409" t="str">
        <f t="shared" si="67"/>
        <v/>
      </c>
      <c r="M409" s="23" t="str">
        <f ca="1">IF(A409="","",IF($B$10="Sí",interpolar_alamb(L409,OFFSET(Curvas_cupon_cero!$A$1,1,0,COUNT(Curvas_cupon_cero!$A:$A)-2,1),OFFSET(Curvas_cupon_cero!$A$1,1,MATCH($B$6,Curvas_cupon_cero!$1:$1,0)-1,COUNT(Curvas_cupon_cero!$A:$A)-2,1)),[1]!interpolar(L409,OFFSET(Curvas_cupon_cero!$A$1,1,0,COUNT(Curvas_cupon_cero!$A:$A)-2,1),OFFSET(Curvas_cupon_cero!$A$1,1,MATCH($B$6,Curvas_cupon_cero!$1:$1,0)-1,COUNT(Curvas_cupon_cero!$A:$A)-2,1))))</f>
        <v/>
      </c>
      <c r="N409" s="23"/>
      <c r="O409" s="19" t="str">
        <f t="shared" si="68"/>
        <v/>
      </c>
    </row>
    <row r="410" spans="1:15" x14ac:dyDescent="0.2">
      <c r="A410" s="12" t="str">
        <f t="shared" si="62"/>
        <v/>
      </c>
      <c r="B410" t="str">
        <f t="shared" si="60"/>
        <v/>
      </c>
      <c r="C410" s="21" t="str">
        <f ca="1">IF(A410="","",IF($B$10="Sí",interpolar_alamb(B410,OFFSET(Curvas_cupon_cero!$A$1,1,0,COUNT(Curvas_cupon_cero!$A:$A)-2,1),OFFSET(Curvas_cupon_cero!$A$1,1,MATCH($B$8,Curvas_cupon_cero!$1:$1,0)-1,COUNT(Curvas_cupon_cero!$A:$A)-2,1)),[1]!interpolar(B410,OFFSET(Curvas_cupon_cero!$A$1,1,0,COUNT(Curvas_cupon_cero!$A:$A)-2,1),OFFSET(Curvas_cupon_cero!$A$1,1,MATCH($B$8,Curvas_cupon_cero!$1:$1,0)-1,COUNT(Curvas_cupon_cero!$A:$A)-2,1))))</f>
        <v/>
      </c>
      <c r="D410" s="23" t="str">
        <f ca="1">IF(A410="","",IF($B$10="Sí",interpolar_alamb(L410,OFFSET(Curvas_cupon_cero!$A$1,1,0,COUNT(Curvas_cupon_cero!$A:$A)-2,1),OFFSET(Curvas_cupon_cero!$A$1,1,MATCH($B$8,Curvas_cupon_cero!$1:$1,0)-1,COUNT(Curvas_cupon_cero!$A:$A)-2,1)),[1]!interpolar(L410,OFFSET(Curvas_cupon_cero!$A$1,1,0,COUNT(Curvas_cupon_cero!$A:$A)-2,1),OFFSET(Curvas_cupon_cero!$A$1,1,MATCH($B$8,Curvas_cupon_cero!$1:$1,0)-1,COUNT(Curvas_cupon_cero!$A:$A)-2,1))))</f>
        <v/>
      </c>
      <c r="E410" s="23" t="str">
        <f t="shared" si="63"/>
        <v/>
      </c>
      <c r="F410" s="23" t="str">
        <f ca="1">IF(A410="","",IF($B$10="Sí",interpolar_alamb(B410,OFFSET(Curvas_cupon_cero!$A$1,1,0,COUNT(Curvas_cupon_cero!$A:$A)-2,1),OFFSET(Curvas_cupon_cero!$A$1,1,MATCH($B$9,Curvas_cupon_cero!$1:$1,0)-1,COUNT(Curvas_cupon_cero!$A:$A)-2,1)),[1]!interpolar(B410,OFFSET(Curvas_cupon_cero!$A$1,1,0,COUNT(Curvas_cupon_cero!$A:$A)-2,1),OFFSET(Curvas_cupon_cero!$A$1,1,MATCH($B$9,Curvas_cupon_cero!$1:$1,0)-1,COUNT(Curvas_cupon_cero!$A:$A)-2,1))))</f>
        <v/>
      </c>
      <c r="G410" s="23" t="str">
        <f t="shared" si="64"/>
        <v/>
      </c>
      <c r="H410" s="20" t="str">
        <f t="shared" si="69"/>
        <v/>
      </c>
      <c r="I410" t="str">
        <f t="shared" si="65"/>
        <v/>
      </c>
      <c r="J410" s="17" t="str">
        <f t="shared" si="61"/>
        <v/>
      </c>
      <c r="K410" s="18" t="str">
        <f t="shared" si="66"/>
        <v/>
      </c>
      <c r="L410" t="str">
        <f t="shared" si="67"/>
        <v/>
      </c>
      <c r="M410" s="23" t="str">
        <f ca="1">IF(A410="","",IF($B$10="Sí",interpolar_alamb(L410,OFFSET(Curvas_cupon_cero!$A$1,1,0,COUNT(Curvas_cupon_cero!$A:$A)-2,1),OFFSET(Curvas_cupon_cero!$A$1,1,MATCH($B$6,Curvas_cupon_cero!$1:$1,0)-1,COUNT(Curvas_cupon_cero!$A:$A)-2,1)),[1]!interpolar(L410,OFFSET(Curvas_cupon_cero!$A$1,1,0,COUNT(Curvas_cupon_cero!$A:$A)-2,1),OFFSET(Curvas_cupon_cero!$A$1,1,MATCH($B$6,Curvas_cupon_cero!$1:$1,0)-1,COUNT(Curvas_cupon_cero!$A:$A)-2,1))))</f>
        <v/>
      </c>
      <c r="N410" s="23"/>
      <c r="O410" s="19" t="str">
        <f t="shared" si="68"/>
        <v/>
      </c>
    </row>
    <row r="411" spans="1:15" x14ac:dyDescent="0.2">
      <c r="A411" s="12" t="str">
        <f t="shared" si="62"/>
        <v/>
      </c>
      <c r="B411" t="str">
        <f t="shared" si="60"/>
        <v/>
      </c>
      <c r="C411" s="21" t="str">
        <f ca="1">IF(A411="","",IF($B$10="Sí",interpolar_alamb(B411,OFFSET(Curvas_cupon_cero!$A$1,1,0,COUNT(Curvas_cupon_cero!$A:$A)-2,1),OFFSET(Curvas_cupon_cero!$A$1,1,MATCH($B$8,Curvas_cupon_cero!$1:$1,0)-1,COUNT(Curvas_cupon_cero!$A:$A)-2,1)),[1]!interpolar(B411,OFFSET(Curvas_cupon_cero!$A$1,1,0,COUNT(Curvas_cupon_cero!$A:$A)-2,1),OFFSET(Curvas_cupon_cero!$A$1,1,MATCH($B$8,Curvas_cupon_cero!$1:$1,0)-1,COUNT(Curvas_cupon_cero!$A:$A)-2,1))))</f>
        <v/>
      </c>
      <c r="D411" s="23" t="str">
        <f ca="1">IF(A411="","",IF($B$10="Sí",interpolar_alamb(L411,OFFSET(Curvas_cupon_cero!$A$1,1,0,COUNT(Curvas_cupon_cero!$A:$A)-2,1),OFFSET(Curvas_cupon_cero!$A$1,1,MATCH($B$8,Curvas_cupon_cero!$1:$1,0)-1,COUNT(Curvas_cupon_cero!$A:$A)-2,1)),[1]!interpolar(L411,OFFSET(Curvas_cupon_cero!$A$1,1,0,COUNT(Curvas_cupon_cero!$A:$A)-2,1),OFFSET(Curvas_cupon_cero!$A$1,1,MATCH($B$8,Curvas_cupon_cero!$1:$1,0)-1,COUNT(Curvas_cupon_cero!$A:$A)-2,1))))</f>
        <v/>
      </c>
      <c r="E411" s="23" t="str">
        <f t="shared" si="63"/>
        <v/>
      </c>
      <c r="F411" s="23" t="str">
        <f ca="1">IF(A411="","",IF($B$10="Sí",interpolar_alamb(B411,OFFSET(Curvas_cupon_cero!$A$1,1,0,COUNT(Curvas_cupon_cero!$A:$A)-2,1),OFFSET(Curvas_cupon_cero!$A$1,1,MATCH($B$9,Curvas_cupon_cero!$1:$1,0)-1,COUNT(Curvas_cupon_cero!$A:$A)-2,1)),[1]!interpolar(B411,OFFSET(Curvas_cupon_cero!$A$1,1,0,COUNT(Curvas_cupon_cero!$A:$A)-2,1),OFFSET(Curvas_cupon_cero!$A$1,1,MATCH($B$9,Curvas_cupon_cero!$1:$1,0)-1,COUNT(Curvas_cupon_cero!$A:$A)-2,1))))</f>
        <v/>
      </c>
      <c r="G411" s="23" t="str">
        <f t="shared" si="64"/>
        <v/>
      </c>
      <c r="H411" s="20" t="str">
        <f t="shared" si="69"/>
        <v/>
      </c>
      <c r="I411" t="str">
        <f t="shared" si="65"/>
        <v/>
      </c>
      <c r="J411" s="17" t="str">
        <f t="shared" si="61"/>
        <v/>
      </c>
      <c r="K411" s="18" t="str">
        <f t="shared" si="66"/>
        <v/>
      </c>
      <c r="L411" t="str">
        <f t="shared" si="67"/>
        <v/>
      </c>
      <c r="M411" s="23" t="str">
        <f ca="1">IF(A411="","",IF($B$10="Sí",interpolar_alamb(L411,OFFSET(Curvas_cupon_cero!$A$1,1,0,COUNT(Curvas_cupon_cero!$A:$A)-2,1),OFFSET(Curvas_cupon_cero!$A$1,1,MATCH($B$6,Curvas_cupon_cero!$1:$1,0)-1,COUNT(Curvas_cupon_cero!$A:$A)-2,1)),[1]!interpolar(L411,OFFSET(Curvas_cupon_cero!$A$1,1,0,COUNT(Curvas_cupon_cero!$A:$A)-2,1),OFFSET(Curvas_cupon_cero!$A$1,1,MATCH($B$6,Curvas_cupon_cero!$1:$1,0)-1,COUNT(Curvas_cupon_cero!$A:$A)-2,1))))</f>
        <v/>
      </c>
      <c r="N411" s="23"/>
      <c r="O411" s="19" t="str">
        <f t="shared" si="68"/>
        <v/>
      </c>
    </row>
    <row r="412" spans="1:15" x14ac:dyDescent="0.2">
      <c r="A412" s="12" t="str">
        <f t="shared" si="62"/>
        <v/>
      </c>
      <c r="B412" t="str">
        <f t="shared" si="60"/>
        <v/>
      </c>
      <c r="C412" s="21" t="str">
        <f ca="1">IF(A412="","",IF($B$10="Sí",interpolar_alamb(B412,OFFSET(Curvas_cupon_cero!$A$1,1,0,COUNT(Curvas_cupon_cero!$A:$A)-2,1),OFFSET(Curvas_cupon_cero!$A$1,1,MATCH($B$8,Curvas_cupon_cero!$1:$1,0)-1,COUNT(Curvas_cupon_cero!$A:$A)-2,1)),[1]!interpolar(B412,OFFSET(Curvas_cupon_cero!$A$1,1,0,COUNT(Curvas_cupon_cero!$A:$A)-2,1),OFFSET(Curvas_cupon_cero!$A$1,1,MATCH($B$8,Curvas_cupon_cero!$1:$1,0)-1,COUNT(Curvas_cupon_cero!$A:$A)-2,1))))</f>
        <v/>
      </c>
      <c r="D412" s="23" t="str">
        <f ca="1">IF(A412="","",IF($B$10="Sí",interpolar_alamb(L412,OFFSET(Curvas_cupon_cero!$A$1,1,0,COUNT(Curvas_cupon_cero!$A:$A)-2,1),OFFSET(Curvas_cupon_cero!$A$1,1,MATCH($B$8,Curvas_cupon_cero!$1:$1,0)-1,COUNT(Curvas_cupon_cero!$A:$A)-2,1)),[1]!interpolar(L412,OFFSET(Curvas_cupon_cero!$A$1,1,0,COUNT(Curvas_cupon_cero!$A:$A)-2,1),OFFSET(Curvas_cupon_cero!$A$1,1,MATCH($B$8,Curvas_cupon_cero!$1:$1,0)-1,COUNT(Curvas_cupon_cero!$A:$A)-2,1))))</f>
        <v/>
      </c>
      <c r="E412" s="23" t="str">
        <f t="shared" si="63"/>
        <v/>
      </c>
      <c r="F412" s="23" t="str">
        <f ca="1">IF(A412="","",IF($B$10="Sí",interpolar_alamb(B412,OFFSET(Curvas_cupon_cero!$A$1,1,0,COUNT(Curvas_cupon_cero!$A:$A)-2,1),OFFSET(Curvas_cupon_cero!$A$1,1,MATCH($B$9,Curvas_cupon_cero!$1:$1,0)-1,COUNT(Curvas_cupon_cero!$A:$A)-2,1)),[1]!interpolar(B412,OFFSET(Curvas_cupon_cero!$A$1,1,0,COUNT(Curvas_cupon_cero!$A:$A)-2,1),OFFSET(Curvas_cupon_cero!$A$1,1,MATCH($B$9,Curvas_cupon_cero!$1:$1,0)-1,COUNT(Curvas_cupon_cero!$A:$A)-2,1))))</f>
        <v/>
      </c>
      <c r="G412" s="23" t="str">
        <f t="shared" si="64"/>
        <v/>
      </c>
      <c r="H412" s="20" t="str">
        <f t="shared" si="69"/>
        <v/>
      </c>
      <c r="I412" t="str">
        <f t="shared" si="65"/>
        <v/>
      </c>
      <c r="J412" s="17" t="str">
        <f t="shared" si="61"/>
        <v/>
      </c>
      <c r="K412" s="18" t="str">
        <f t="shared" si="66"/>
        <v/>
      </c>
      <c r="L412" t="str">
        <f t="shared" si="67"/>
        <v/>
      </c>
      <c r="M412" s="23" t="str">
        <f ca="1">IF(A412="","",IF($B$10="Sí",interpolar_alamb(L412,OFFSET(Curvas_cupon_cero!$A$1,1,0,COUNT(Curvas_cupon_cero!$A:$A)-2,1),OFFSET(Curvas_cupon_cero!$A$1,1,MATCH($B$6,Curvas_cupon_cero!$1:$1,0)-1,COUNT(Curvas_cupon_cero!$A:$A)-2,1)),[1]!interpolar(L412,OFFSET(Curvas_cupon_cero!$A$1,1,0,COUNT(Curvas_cupon_cero!$A:$A)-2,1),OFFSET(Curvas_cupon_cero!$A$1,1,MATCH($B$6,Curvas_cupon_cero!$1:$1,0)-1,COUNT(Curvas_cupon_cero!$A:$A)-2,1))))</f>
        <v/>
      </c>
      <c r="N412" s="23"/>
      <c r="O412" s="19" t="str">
        <f t="shared" si="68"/>
        <v/>
      </c>
    </row>
    <row r="413" spans="1:15" x14ac:dyDescent="0.2">
      <c r="A413" s="12" t="str">
        <f t="shared" si="62"/>
        <v/>
      </c>
      <c r="B413" t="str">
        <f t="shared" si="60"/>
        <v/>
      </c>
      <c r="C413" s="21" t="str">
        <f ca="1">IF(A413="","",IF($B$10="Sí",interpolar_alamb(B413,OFFSET(Curvas_cupon_cero!$A$1,1,0,COUNT(Curvas_cupon_cero!$A:$A)-2,1),OFFSET(Curvas_cupon_cero!$A$1,1,MATCH($B$8,Curvas_cupon_cero!$1:$1,0)-1,COUNT(Curvas_cupon_cero!$A:$A)-2,1)),[1]!interpolar(B413,OFFSET(Curvas_cupon_cero!$A$1,1,0,COUNT(Curvas_cupon_cero!$A:$A)-2,1),OFFSET(Curvas_cupon_cero!$A$1,1,MATCH($B$8,Curvas_cupon_cero!$1:$1,0)-1,COUNT(Curvas_cupon_cero!$A:$A)-2,1))))</f>
        <v/>
      </c>
      <c r="D413" s="23" t="str">
        <f ca="1">IF(A413="","",IF($B$10="Sí",interpolar_alamb(L413,OFFSET(Curvas_cupon_cero!$A$1,1,0,COUNT(Curvas_cupon_cero!$A:$A)-2,1),OFFSET(Curvas_cupon_cero!$A$1,1,MATCH($B$8,Curvas_cupon_cero!$1:$1,0)-1,COUNT(Curvas_cupon_cero!$A:$A)-2,1)),[1]!interpolar(L413,OFFSET(Curvas_cupon_cero!$A$1,1,0,COUNT(Curvas_cupon_cero!$A:$A)-2,1),OFFSET(Curvas_cupon_cero!$A$1,1,MATCH($B$8,Curvas_cupon_cero!$1:$1,0)-1,COUNT(Curvas_cupon_cero!$A:$A)-2,1))))</f>
        <v/>
      </c>
      <c r="E413" s="23" t="str">
        <f t="shared" si="63"/>
        <v/>
      </c>
      <c r="F413" s="23" t="str">
        <f ca="1">IF(A413="","",IF($B$10="Sí",interpolar_alamb(B413,OFFSET(Curvas_cupon_cero!$A$1,1,0,COUNT(Curvas_cupon_cero!$A:$A)-2,1),OFFSET(Curvas_cupon_cero!$A$1,1,MATCH($B$9,Curvas_cupon_cero!$1:$1,0)-1,COUNT(Curvas_cupon_cero!$A:$A)-2,1)),[1]!interpolar(B413,OFFSET(Curvas_cupon_cero!$A$1,1,0,COUNT(Curvas_cupon_cero!$A:$A)-2,1),OFFSET(Curvas_cupon_cero!$A$1,1,MATCH($B$9,Curvas_cupon_cero!$1:$1,0)-1,COUNT(Curvas_cupon_cero!$A:$A)-2,1))))</f>
        <v/>
      </c>
      <c r="G413" s="23" t="str">
        <f t="shared" si="64"/>
        <v/>
      </c>
      <c r="H413" s="20" t="str">
        <f t="shared" si="69"/>
        <v/>
      </c>
      <c r="I413" t="str">
        <f t="shared" si="65"/>
        <v/>
      </c>
      <c r="J413" s="17" t="str">
        <f t="shared" si="61"/>
        <v/>
      </c>
      <c r="K413" s="18" t="str">
        <f t="shared" si="66"/>
        <v/>
      </c>
      <c r="L413" t="str">
        <f t="shared" si="67"/>
        <v/>
      </c>
      <c r="M413" s="23" t="str">
        <f ca="1">IF(A413="","",IF($B$10="Sí",interpolar_alamb(L413,OFFSET(Curvas_cupon_cero!$A$1,1,0,COUNT(Curvas_cupon_cero!$A:$A)-2,1),OFFSET(Curvas_cupon_cero!$A$1,1,MATCH($B$6,Curvas_cupon_cero!$1:$1,0)-1,COUNT(Curvas_cupon_cero!$A:$A)-2,1)),[1]!interpolar(L413,OFFSET(Curvas_cupon_cero!$A$1,1,0,COUNT(Curvas_cupon_cero!$A:$A)-2,1),OFFSET(Curvas_cupon_cero!$A$1,1,MATCH($B$6,Curvas_cupon_cero!$1:$1,0)-1,COUNT(Curvas_cupon_cero!$A:$A)-2,1))))</f>
        <v/>
      </c>
      <c r="N413" s="23"/>
      <c r="O413" s="19" t="str">
        <f t="shared" si="68"/>
        <v/>
      </c>
    </row>
    <row r="414" spans="1:15" x14ac:dyDescent="0.2">
      <c r="A414" s="12" t="str">
        <f t="shared" si="62"/>
        <v/>
      </c>
      <c r="B414" t="str">
        <f t="shared" si="60"/>
        <v/>
      </c>
      <c r="C414" s="21" t="str">
        <f ca="1">IF(A414="","",IF($B$10="Sí",interpolar_alamb(B414,OFFSET(Curvas_cupon_cero!$A$1,1,0,COUNT(Curvas_cupon_cero!$A:$A)-2,1),OFFSET(Curvas_cupon_cero!$A$1,1,MATCH($B$8,Curvas_cupon_cero!$1:$1,0)-1,COUNT(Curvas_cupon_cero!$A:$A)-2,1)),[1]!interpolar(B414,OFFSET(Curvas_cupon_cero!$A$1,1,0,COUNT(Curvas_cupon_cero!$A:$A)-2,1),OFFSET(Curvas_cupon_cero!$A$1,1,MATCH($B$8,Curvas_cupon_cero!$1:$1,0)-1,COUNT(Curvas_cupon_cero!$A:$A)-2,1))))</f>
        <v/>
      </c>
      <c r="D414" s="23" t="str">
        <f ca="1">IF(A414="","",IF($B$10="Sí",interpolar_alamb(L414,OFFSET(Curvas_cupon_cero!$A$1,1,0,COUNT(Curvas_cupon_cero!$A:$A)-2,1),OFFSET(Curvas_cupon_cero!$A$1,1,MATCH($B$8,Curvas_cupon_cero!$1:$1,0)-1,COUNT(Curvas_cupon_cero!$A:$A)-2,1)),[1]!interpolar(L414,OFFSET(Curvas_cupon_cero!$A$1,1,0,COUNT(Curvas_cupon_cero!$A:$A)-2,1),OFFSET(Curvas_cupon_cero!$A$1,1,MATCH($B$8,Curvas_cupon_cero!$1:$1,0)-1,COUNT(Curvas_cupon_cero!$A:$A)-2,1))))</f>
        <v/>
      </c>
      <c r="E414" s="23" t="str">
        <f t="shared" si="63"/>
        <v/>
      </c>
      <c r="F414" s="23" t="str">
        <f ca="1">IF(A414="","",IF($B$10="Sí",interpolar_alamb(B414,OFFSET(Curvas_cupon_cero!$A$1,1,0,COUNT(Curvas_cupon_cero!$A:$A)-2,1),OFFSET(Curvas_cupon_cero!$A$1,1,MATCH($B$9,Curvas_cupon_cero!$1:$1,0)-1,COUNT(Curvas_cupon_cero!$A:$A)-2,1)),[1]!interpolar(B414,OFFSET(Curvas_cupon_cero!$A$1,1,0,COUNT(Curvas_cupon_cero!$A:$A)-2,1),OFFSET(Curvas_cupon_cero!$A$1,1,MATCH($B$9,Curvas_cupon_cero!$1:$1,0)-1,COUNT(Curvas_cupon_cero!$A:$A)-2,1))))</f>
        <v/>
      </c>
      <c r="G414" s="23" t="str">
        <f t="shared" si="64"/>
        <v/>
      </c>
      <c r="H414" s="20" t="str">
        <f t="shared" si="69"/>
        <v/>
      </c>
      <c r="I414" t="str">
        <f t="shared" si="65"/>
        <v/>
      </c>
      <c r="J414" s="17" t="str">
        <f t="shared" si="61"/>
        <v/>
      </c>
      <c r="K414" s="18" t="str">
        <f t="shared" si="66"/>
        <v/>
      </c>
      <c r="L414" t="str">
        <f t="shared" si="67"/>
        <v/>
      </c>
      <c r="M414" s="23" t="str">
        <f ca="1">IF(A414="","",IF($B$10="Sí",interpolar_alamb(L414,OFFSET(Curvas_cupon_cero!$A$1,1,0,COUNT(Curvas_cupon_cero!$A:$A)-2,1),OFFSET(Curvas_cupon_cero!$A$1,1,MATCH($B$6,Curvas_cupon_cero!$1:$1,0)-1,COUNT(Curvas_cupon_cero!$A:$A)-2,1)),[1]!interpolar(L414,OFFSET(Curvas_cupon_cero!$A$1,1,0,COUNT(Curvas_cupon_cero!$A:$A)-2,1),OFFSET(Curvas_cupon_cero!$A$1,1,MATCH($B$6,Curvas_cupon_cero!$1:$1,0)-1,COUNT(Curvas_cupon_cero!$A:$A)-2,1))))</f>
        <v/>
      </c>
      <c r="N414" s="23"/>
      <c r="O414" s="19" t="str">
        <f t="shared" si="68"/>
        <v/>
      </c>
    </row>
    <row r="415" spans="1:15" x14ac:dyDescent="0.2">
      <c r="A415" s="12" t="str">
        <f t="shared" si="62"/>
        <v/>
      </c>
      <c r="B415" t="str">
        <f t="shared" si="60"/>
        <v/>
      </c>
      <c r="C415" s="21" t="str">
        <f ca="1">IF(A415="","",IF($B$10="Sí",interpolar_alamb(B415,OFFSET(Curvas_cupon_cero!$A$1,1,0,COUNT(Curvas_cupon_cero!$A:$A)-2,1),OFFSET(Curvas_cupon_cero!$A$1,1,MATCH($B$8,Curvas_cupon_cero!$1:$1,0)-1,COUNT(Curvas_cupon_cero!$A:$A)-2,1)),[1]!interpolar(B415,OFFSET(Curvas_cupon_cero!$A$1,1,0,COUNT(Curvas_cupon_cero!$A:$A)-2,1),OFFSET(Curvas_cupon_cero!$A$1,1,MATCH($B$8,Curvas_cupon_cero!$1:$1,0)-1,COUNT(Curvas_cupon_cero!$A:$A)-2,1))))</f>
        <v/>
      </c>
      <c r="D415" s="23" t="str">
        <f ca="1">IF(A415="","",IF($B$10="Sí",interpolar_alamb(L415,OFFSET(Curvas_cupon_cero!$A$1,1,0,COUNT(Curvas_cupon_cero!$A:$A)-2,1),OFFSET(Curvas_cupon_cero!$A$1,1,MATCH($B$8,Curvas_cupon_cero!$1:$1,0)-1,COUNT(Curvas_cupon_cero!$A:$A)-2,1)),[1]!interpolar(L415,OFFSET(Curvas_cupon_cero!$A$1,1,0,COUNT(Curvas_cupon_cero!$A:$A)-2,1),OFFSET(Curvas_cupon_cero!$A$1,1,MATCH($B$8,Curvas_cupon_cero!$1:$1,0)-1,COUNT(Curvas_cupon_cero!$A:$A)-2,1))))</f>
        <v/>
      </c>
      <c r="E415" s="23" t="str">
        <f t="shared" si="63"/>
        <v/>
      </c>
      <c r="F415" s="23" t="str">
        <f ca="1">IF(A415="","",IF($B$10="Sí",interpolar_alamb(B415,OFFSET(Curvas_cupon_cero!$A$1,1,0,COUNT(Curvas_cupon_cero!$A:$A)-2,1),OFFSET(Curvas_cupon_cero!$A$1,1,MATCH($B$9,Curvas_cupon_cero!$1:$1,0)-1,COUNT(Curvas_cupon_cero!$A:$A)-2,1)),[1]!interpolar(B415,OFFSET(Curvas_cupon_cero!$A$1,1,0,COUNT(Curvas_cupon_cero!$A:$A)-2,1),OFFSET(Curvas_cupon_cero!$A$1,1,MATCH($B$9,Curvas_cupon_cero!$1:$1,0)-1,COUNT(Curvas_cupon_cero!$A:$A)-2,1))))</f>
        <v/>
      </c>
      <c r="G415" s="23" t="str">
        <f t="shared" si="64"/>
        <v/>
      </c>
      <c r="H415" s="20" t="str">
        <f t="shared" si="69"/>
        <v/>
      </c>
      <c r="I415" t="str">
        <f t="shared" si="65"/>
        <v/>
      </c>
      <c r="J415" s="17" t="str">
        <f t="shared" si="61"/>
        <v/>
      </c>
      <c r="K415" s="18" t="str">
        <f t="shared" si="66"/>
        <v/>
      </c>
      <c r="L415" t="str">
        <f t="shared" si="67"/>
        <v/>
      </c>
      <c r="M415" s="23" t="str">
        <f ca="1">IF(A415="","",IF($B$10="Sí",interpolar_alamb(L415,OFFSET(Curvas_cupon_cero!$A$1,1,0,COUNT(Curvas_cupon_cero!$A:$A)-2,1),OFFSET(Curvas_cupon_cero!$A$1,1,MATCH($B$6,Curvas_cupon_cero!$1:$1,0)-1,COUNT(Curvas_cupon_cero!$A:$A)-2,1)),[1]!interpolar(L415,OFFSET(Curvas_cupon_cero!$A$1,1,0,COUNT(Curvas_cupon_cero!$A:$A)-2,1),OFFSET(Curvas_cupon_cero!$A$1,1,MATCH($B$6,Curvas_cupon_cero!$1:$1,0)-1,COUNT(Curvas_cupon_cero!$A:$A)-2,1))))</f>
        <v/>
      </c>
      <c r="N415" s="23"/>
      <c r="O415" s="19" t="str">
        <f t="shared" si="68"/>
        <v/>
      </c>
    </row>
    <row r="416" spans="1:15" x14ac:dyDescent="0.2">
      <c r="A416" s="12" t="str">
        <f t="shared" si="62"/>
        <v/>
      </c>
      <c r="B416" t="str">
        <f t="shared" si="60"/>
        <v/>
      </c>
      <c r="C416" s="21" t="str">
        <f ca="1">IF(A416="","",IF($B$10="Sí",interpolar_alamb(B416,OFFSET(Curvas_cupon_cero!$A$1,1,0,COUNT(Curvas_cupon_cero!$A:$A)-2,1),OFFSET(Curvas_cupon_cero!$A$1,1,MATCH($B$8,Curvas_cupon_cero!$1:$1,0)-1,COUNT(Curvas_cupon_cero!$A:$A)-2,1)),[1]!interpolar(B416,OFFSET(Curvas_cupon_cero!$A$1,1,0,COUNT(Curvas_cupon_cero!$A:$A)-2,1),OFFSET(Curvas_cupon_cero!$A$1,1,MATCH($B$8,Curvas_cupon_cero!$1:$1,0)-1,COUNT(Curvas_cupon_cero!$A:$A)-2,1))))</f>
        <v/>
      </c>
      <c r="D416" s="23" t="str">
        <f ca="1">IF(A416="","",IF($B$10="Sí",interpolar_alamb(L416,OFFSET(Curvas_cupon_cero!$A$1,1,0,COUNT(Curvas_cupon_cero!$A:$A)-2,1),OFFSET(Curvas_cupon_cero!$A$1,1,MATCH($B$8,Curvas_cupon_cero!$1:$1,0)-1,COUNT(Curvas_cupon_cero!$A:$A)-2,1)),[1]!interpolar(L416,OFFSET(Curvas_cupon_cero!$A$1,1,0,COUNT(Curvas_cupon_cero!$A:$A)-2,1),OFFSET(Curvas_cupon_cero!$A$1,1,MATCH($B$8,Curvas_cupon_cero!$1:$1,0)-1,COUNT(Curvas_cupon_cero!$A:$A)-2,1))))</f>
        <v/>
      </c>
      <c r="E416" s="23" t="str">
        <f t="shared" si="63"/>
        <v/>
      </c>
      <c r="F416" s="23" t="str">
        <f ca="1">IF(A416="","",IF($B$10="Sí",interpolar_alamb(B416,OFFSET(Curvas_cupon_cero!$A$1,1,0,COUNT(Curvas_cupon_cero!$A:$A)-2,1),OFFSET(Curvas_cupon_cero!$A$1,1,MATCH($B$9,Curvas_cupon_cero!$1:$1,0)-1,COUNT(Curvas_cupon_cero!$A:$A)-2,1)),[1]!interpolar(B416,OFFSET(Curvas_cupon_cero!$A$1,1,0,COUNT(Curvas_cupon_cero!$A:$A)-2,1),OFFSET(Curvas_cupon_cero!$A$1,1,MATCH($B$9,Curvas_cupon_cero!$1:$1,0)-1,COUNT(Curvas_cupon_cero!$A:$A)-2,1))))</f>
        <v/>
      </c>
      <c r="G416" s="23" t="str">
        <f t="shared" si="64"/>
        <v/>
      </c>
      <c r="H416" s="20" t="str">
        <f t="shared" si="69"/>
        <v/>
      </c>
      <c r="I416" t="str">
        <f t="shared" si="65"/>
        <v/>
      </c>
      <c r="J416" s="17" t="str">
        <f t="shared" si="61"/>
        <v/>
      </c>
      <c r="K416" s="18" t="str">
        <f t="shared" si="66"/>
        <v/>
      </c>
      <c r="L416" t="str">
        <f t="shared" si="67"/>
        <v/>
      </c>
      <c r="M416" s="23" t="str">
        <f ca="1">IF(A416="","",IF($B$10="Sí",interpolar_alamb(L416,OFFSET(Curvas_cupon_cero!$A$1,1,0,COUNT(Curvas_cupon_cero!$A:$A)-2,1),OFFSET(Curvas_cupon_cero!$A$1,1,MATCH($B$6,Curvas_cupon_cero!$1:$1,0)-1,COUNT(Curvas_cupon_cero!$A:$A)-2,1)),[1]!interpolar(L416,OFFSET(Curvas_cupon_cero!$A$1,1,0,COUNT(Curvas_cupon_cero!$A:$A)-2,1),OFFSET(Curvas_cupon_cero!$A$1,1,MATCH($B$6,Curvas_cupon_cero!$1:$1,0)-1,COUNT(Curvas_cupon_cero!$A:$A)-2,1))))</f>
        <v/>
      </c>
      <c r="N416" s="23"/>
      <c r="O416" s="19" t="str">
        <f t="shared" si="68"/>
        <v/>
      </c>
    </row>
    <row r="417" spans="1:15" x14ac:dyDescent="0.2">
      <c r="A417" s="12" t="str">
        <f t="shared" si="62"/>
        <v/>
      </c>
      <c r="B417" t="str">
        <f t="shared" si="60"/>
        <v/>
      </c>
      <c r="C417" s="21" t="str">
        <f ca="1">IF(A417="","",IF($B$10="Sí",interpolar_alamb(B417,OFFSET(Curvas_cupon_cero!$A$1,1,0,COUNT(Curvas_cupon_cero!$A:$A)-2,1),OFFSET(Curvas_cupon_cero!$A$1,1,MATCH($B$8,Curvas_cupon_cero!$1:$1,0)-1,COUNT(Curvas_cupon_cero!$A:$A)-2,1)),[1]!interpolar(B417,OFFSET(Curvas_cupon_cero!$A$1,1,0,COUNT(Curvas_cupon_cero!$A:$A)-2,1),OFFSET(Curvas_cupon_cero!$A$1,1,MATCH($B$8,Curvas_cupon_cero!$1:$1,0)-1,COUNT(Curvas_cupon_cero!$A:$A)-2,1))))</f>
        <v/>
      </c>
      <c r="D417" s="23" t="str">
        <f ca="1">IF(A417="","",IF($B$10="Sí",interpolar_alamb(L417,OFFSET(Curvas_cupon_cero!$A$1,1,0,COUNT(Curvas_cupon_cero!$A:$A)-2,1),OFFSET(Curvas_cupon_cero!$A$1,1,MATCH($B$8,Curvas_cupon_cero!$1:$1,0)-1,COUNT(Curvas_cupon_cero!$A:$A)-2,1)),[1]!interpolar(L417,OFFSET(Curvas_cupon_cero!$A$1,1,0,COUNT(Curvas_cupon_cero!$A:$A)-2,1),OFFSET(Curvas_cupon_cero!$A$1,1,MATCH($B$8,Curvas_cupon_cero!$1:$1,0)-1,COUNT(Curvas_cupon_cero!$A:$A)-2,1))))</f>
        <v/>
      </c>
      <c r="E417" s="23" t="str">
        <f t="shared" si="63"/>
        <v/>
      </c>
      <c r="F417" s="23" t="str">
        <f ca="1">IF(A417="","",IF($B$10="Sí",interpolar_alamb(B417,OFFSET(Curvas_cupon_cero!$A$1,1,0,COUNT(Curvas_cupon_cero!$A:$A)-2,1),OFFSET(Curvas_cupon_cero!$A$1,1,MATCH($B$9,Curvas_cupon_cero!$1:$1,0)-1,COUNT(Curvas_cupon_cero!$A:$A)-2,1)),[1]!interpolar(B417,OFFSET(Curvas_cupon_cero!$A$1,1,0,COUNT(Curvas_cupon_cero!$A:$A)-2,1),OFFSET(Curvas_cupon_cero!$A$1,1,MATCH($B$9,Curvas_cupon_cero!$1:$1,0)-1,COUNT(Curvas_cupon_cero!$A:$A)-2,1))))</f>
        <v/>
      </c>
      <c r="G417" s="23" t="str">
        <f t="shared" si="64"/>
        <v/>
      </c>
      <c r="H417" s="20" t="str">
        <f t="shared" si="69"/>
        <v/>
      </c>
      <c r="I417" t="str">
        <f t="shared" si="65"/>
        <v/>
      </c>
      <c r="J417" s="17" t="str">
        <f t="shared" si="61"/>
        <v/>
      </c>
      <c r="K417" s="18" t="str">
        <f t="shared" si="66"/>
        <v/>
      </c>
      <c r="L417" t="str">
        <f t="shared" si="67"/>
        <v/>
      </c>
      <c r="M417" s="23" t="str">
        <f ca="1">IF(A417="","",IF($B$10="Sí",interpolar_alamb(L417,OFFSET(Curvas_cupon_cero!$A$1,1,0,COUNT(Curvas_cupon_cero!$A:$A)-2,1),OFFSET(Curvas_cupon_cero!$A$1,1,MATCH($B$6,Curvas_cupon_cero!$1:$1,0)-1,COUNT(Curvas_cupon_cero!$A:$A)-2,1)),[1]!interpolar(L417,OFFSET(Curvas_cupon_cero!$A$1,1,0,COUNT(Curvas_cupon_cero!$A:$A)-2,1),OFFSET(Curvas_cupon_cero!$A$1,1,MATCH($B$6,Curvas_cupon_cero!$1:$1,0)-1,COUNT(Curvas_cupon_cero!$A:$A)-2,1))))</f>
        <v/>
      </c>
      <c r="N417" s="23"/>
      <c r="O417" s="19" t="str">
        <f t="shared" si="68"/>
        <v/>
      </c>
    </row>
    <row r="418" spans="1:15" x14ac:dyDescent="0.2">
      <c r="A418" s="12" t="str">
        <f t="shared" si="62"/>
        <v/>
      </c>
      <c r="B418" t="str">
        <f t="shared" si="60"/>
        <v/>
      </c>
      <c r="C418" s="21" t="str">
        <f ca="1">IF(A418="","",IF($B$10="Sí",interpolar_alamb(B418,OFFSET(Curvas_cupon_cero!$A$1,1,0,COUNT(Curvas_cupon_cero!$A:$A)-2,1),OFFSET(Curvas_cupon_cero!$A$1,1,MATCH($B$8,Curvas_cupon_cero!$1:$1,0)-1,COUNT(Curvas_cupon_cero!$A:$A)-2,1)),[1]!interpolar(B418,OFFSET(Curvas_cupon_cero!$A$1,1,0,COUNT(Curvas_cupon_cero!$A:$A)-2,1),OFFSET(Curvas_cupon_cero!$A$1,1,MATCH($B$8,Curvas_cupon_cero!$1:$1,0)-1,COUNT(Curvas_cupon_cero!$A:$A)-2,1))))</f>
        <v/>
      </c>
      <c r="D418" s="23" t="str">
        <f ca="1">IF(A418="","",IF($B$10="Sí",interpolar_alamb(L418,OFFSET(Curvas_cupon_cero!$A$1,1,0,COUNT(Curvas_cupon_cero!$A:$A)-2,1),OFFSET(Curvas_cupon_cero!$A$1,1,MATCH($B$8,Curvas_cupon_cero!$1:$1,0)-1,COUNT(Curvas_cupon_cero!$A:$A)-2,1)),[1]!interpolar(L418,OFFSET(Curvas_cupon_cero!$A$1,1,0,COUNT(Curvas_cupon_cero!$A:$A)-2,1),OFFSET(Curvas_cupon_cero!$A$1,1,MATCH($B$8,Curvas_cupon_cero!$1:$1,0)-1,COUNT(Curvas_cupon_cero!$A:$A)-2,1))))</f>
        <v/>
      </c>
      <c r="E418" s="23" t="str">
        <f t="shared" si="63"/>
        <v/>
      </c>
      <c r="F418" s="23" t="str">
        <f ca="1">IF(A418="","",IF($B$10="Sí",interpolar_alamb(B418,OFFSET(Curvas_cupon_cero!$A$1,1,0,COUNT(Curvas_cupon_cero!$A:$A)-2,1),OFFSET(Curvas_cupon_cero!$A$1,1,MATCH($B$9,Curvas_cupon_cero!$1:$1,0)-1,COUNT(Curvas_cupon_cero!$A:$A)-2,1)),[1]!interpolar(B418,OFFSET(Curvas_cupon_cero!$A$1,1,0,COUNT(Curvas_cupon_cero!$A:$A)-2,1),OFFSET(Curvas_cupon_cero!$A$1,1,MATCH($B$9,Curvas_cupon_cero!$1:$1,0)-1,COUNT(Curvas_cupon_cero!$A:$A)-2,1))))</f>
        <v/>
      </c>
      <c r="G418" s="23" t="str">
        <f t="shared" si="64"/>
        <v/>
      </c>
      <c r="H418" s="20" t="str">
        <f t="shared" si="69"/>
        <v/>
      </c>
      <c r="I418" t="str">
        <f t="shared" si="65"/>
        <v/>
      </c>
      <c r="J418" s="17" t="str">
        <f t="shared" si="61"/>
        <v/>
      </c>
      <c r="K418" s="18" t="str">
        <f t="shared" si="66"/>
        <v/>
      </c>
      <c r="L418" t="str">
        <f t="shared" si="67"/>
        <v/>
      </c>
      <c r="M418" s="23" t="str">
        <f ca="1">IF(A418="","",IF($B$10="Sí",interpolar_alamb(L418,OFFSET(Curvas_cupon_cero!$A$1,1,0,COUNT(Curvas_cupon_cero!$A:$A)-2,1),OFFSET(Curvas_cupon_cero!$A$1,1,MATCH($B$6,Curvas_cupon_cero!$1:$1,0)-1,COUNT(Curvas_cupon_cero!$A:$A)-2,1)),[1]!interpolar(L418,OFFSET(Curvas_cupon_cero!$A$1,1,0,COUNT(Curvas_cupon_cero!$A:$A)-2,1),OFFSET(Curvas_cupon_cero!$A$1,1,MATCH($B$6,Curvas_cupon_cero!$1:$1,0)-1,COUNT(Curvas_cupon_cero!$A:$A)-2,1))))</f>
        <v/>
      </c>
      <c r="N418" s="23"/>
      <c r="O418" s="19" t="str">
        <f t="shared" si="68"/>
        <v/>
      </c>
    </row>
    <row r="419" spans="1:15" x14ac:dyDescent="0.2">
      <c r="A419" s="12" t="str">
        <f t="shared" si="62"/>
        <v/>
      </c>
      <c r="B419" t="str">
        <f t="shared" si="60"/>
        <v/>
      </c>
      <c r="C419" s="21" t="str">
        <f ca="1">IF(A419="","",IF($B$10="Sí",interpolar_alamb(B419,OFFSET(Curvas_cupon_cero!$A$1,1,0,COUNT(Curvas_cupon_cero!$A:$A)-2,1),OFFSET(Curvas_cupon_cero!$A$1,1,MATCH($B$8,Curvas_cupon_cero!$1:$1,0)-1,COUNT(Curvas_cupon_cero!$A:$A)-2,1)),[1]!interpolar(B419,OFFSET(Curvas_cupon_cero!$A$1,1,0,COUNT(Curvas_cupon_cero!$A:$A)-2,1),OFFSET(Curvas_cupon_cero!$A$1,1,MATCH($B$8,Curvas_cupon_cero!$1:$1,0)-1,COUNT(Curvas_cupon_cero!$A:$A)-2,1))))</f>
        <v/>
      </c>
      <c r="D419" s="23" t="str">
        <f ca="1">IF(A419="","",IF($B$10="Sí",interpolar_alamb(L419,OFFSET(Curvas_cupon_cero!$A$1,1,0,COUNT(Curvas_cupon_cero!$A:$A)-2,1),OFFSET(Curvas_cupon_cero!$A$1,1,MATCH($B$8,Curvas_cupon_cero!$1:$1,0)-1,COUNT(Curvas_cupon_cero!$A:$A)-2,1)),[1]!interpolar(L419,OFFSET(Curvas_cupon_cero!$A$1,1,0,COUNT(Curvas_cupon_cero!$A:$A)-2,1),OFFSET(Curvas_cupon_cero!$A$1,1,MATCH($B$8,Curvas_cupon_cero!$1:$1,0)-1,COUNT(Curvas_cupon_cero!$A:$A)-2,1))))</f>
        <v/>
      </c>
      <c r="E419" s="23" t="str">
        <f t="shared" si="63"/>
        <v/>
      </c>
      <c r="F419" s="23" t="str">
        <f ca="1">IF(A419="","",IF($B$10="Sí",interpolar_alamb(B419,OFFSET(Curvas_cupon_cero!$A$1,1,0,COUNT(Curvas_cupon_cero!$A:$A)-2,1),OFFSET(Curvas_cupon_cero!$A$1,1,MATCH($B$9,Curvas_cupon_cero!$1:$1,0)-1,COUNT(Curvas_cupon_cero!$A:$A)-2,1)),[1]!interpolar(B419,OFFSET(Curvas_cupon_cero!$A$1,1,0,COUNT(Curvas_cupon_cero!$A:$A)-2,1),OFFSET(Curvas_cupon_cero!$A$1,1,MATCH($B$9,Curvas_cupon_cero!$1:$1,0)-1,COUNT(Curvas_cupon_cero!$A:$A)-2,1))))</f>
        <v/>
      </c>
      <c r="G419" s="23" t="str">
        <f t="shared" si="64"/>
        <v/>
      </c>
      <c r="H419" s="20" t="str">
        <f t="shared" si="69"/>
        <v/>
      </c>
      <c r="I419" t="str">
        <f t="shared" si="65"/>
        <v/>
      </c>
      <c r="J419" s="17" t="str">
        <f t="shared" si="61"/>
        <v/>
      </c>
      <c r="K419" s="18" t="str">
        <f t="shared" si="66"/>
        <v/>
      </c>
      <c r="L419" t="str">
        <f t="shared" si="67"/>
        <v/>
      </c>
      <c r="M419" s="23" t="str">
        <f ca="1">IF(A419="","",IF($B$10="Sí",interpolar_alamb(L419,OFFSET(Curvas_cupon_cero!$A$1,1,0,COUNT(Curvas_cupon_cero!$A:$A)-2,1),OFFSET(Curvas_cupon_cero!$A$1,1,MATCH($B$6,Curvas_cupon_cero!$1:$1,0)-1,COUNT(Curvas_cupon_cero!$A:$A)-2,1)),[1]!interpolar(L419,OFFSET(Curvas_cupon_cero!$A$1,1,0,COUNT(Curvas_cupon_cero!$A:$A)-2,1),OFFSET(Curvas_cupon_cero!$A$1,1,MATCH($B$6,Curvas_cupon_cero!$1:$1,0)-1,COUNT(Curvas_cupon_cero!$A:$A)-2,1))))</f>
        <v/>
      </c>
      <c r="N419" s="23"/>
      <c r="O419" s="19" t="str">
        <f t="shared" si="68"/>
        <v/>
      </c>
    </row>
    <row r="420" spans="1:15" x14ac:dyDescent="0.2">
      <c r="A420" s="12" t="str">
        <f t="shared" si="62"/>
        <v/>
      </c>
      <c r="B420" t="str">
        <f t="shared" si="60"/>
        <v/>
      </c>
      <c r="C420" s="21" t="str">
        <f ca="1">IF(A420="","",IF($B$10="Sí",interpolar_alamb(B420,OFFSET(Curvas_cupon_cero!$A$1,1,0,COUNT(Curvas_cupon_cero!$A:$A)-2,1),OFFSET(Curvas_cupon_cero!$A$1,1,MATCH($B$8,Curvas_cupon_cero!$1:$1,0)-1,COUNT(Curvas_cupon_cero!$A:$A)-2,1)),[1]!interpolar(B420,OFFSET(Curvas_cupon_cero!$A$1,1,0,COUNT(Curvas_cupon_cero!$A:$A)-2,1),OFFSET(Curvas_cupon_cero!$A$1,1,MATCH($B$8,Curvas_cupon_cero!$1:$1,0)-1,COUNT(Curvas_cupon_cero!$A:$A)-2,1))))</f>
        <v/>
      </c>
      <c r="D420" s="23" t="str">
        <f ca="1">IF(A420="","",IF($B$10="Sí",interpolar_alamb(L420,OFFSET(Curvas_cupon_cero!$A$1,1,0,COUNT(Curvas_cupon_cero!$A:$A)-2,1),OFFSET(Curvas_cupon_cero!$A$1,1,MATCH($B$8,Curvas_cupon_cero!$1:$1,0)-1,COUNT(Curvas_cupon_cero!$A:$A)-2,1)),[1]!interpolar(L420,OFFSET(Curvas_cupon_cero!$A$1,1,0,COUNT(Curvas_cupon_cero!$A:$A)-2,1),OFFSET(Curvas_cupon_cero!$A$1,1,MATCH($B$8,Curvas_cupon_cero!$1:$1,0)-1,COUNT(Curvas_cupon_cero!$A:$A)-2,1))))</f>
        <v/>
      </c>
      <c r="E420" s="23" t="str">
        <f t="shared" si="63"/>
        <v/>
      </c>
      <c r="F420" s="23" t="str">
        <f ca="1">IF(A420="","",IF($B$10="Sí",interpolar_alamb(B420,OFFSET(Curvas_cupon_cero!$A$1,1,0,COUNT(Curvas_cupon_cero!$A:$A)-2,1),OFFSET(Curvas_cupon_cero!$A$1,1,MATCH($B$9,Curvas_cupon_cero!$1:$1,0)-1,COUNT(Curvas_cupon_cero!$A:$A)-2,1)),[1]!interpolar(B420,OFFSET(Curvas_cupon_cero!$A$1,1,0,COUNT(Curvas_cupon_cero!$A:$A)-2,1),OFFSET(Curvas_cupon_cero!$A$1,1,MATCH($B$9,Curvas_cupon_cero!$1:$1,0)-1,COUNT(Curvas_cupon_cero!$A:$A)-2,1))))</f>
        <v/>
      </c>
      <c r="G420" s="23" t="str">
        <f t="shared" si="64"/>
        <v/>
      </c>
      <c r="H420" s="20" t="str">
        <f t="shared" si="69"/>
        <v/>
      </c>
      <c r="I420" t="str">
        <f t="shared" si="65"/>
        <v/>
      </c>
      <c r="J420" s="17" t="str">
        <f t="shared" si="61"/>
        <v/>
      </c>
      <c r="K420" s="18" t="str">
        <f t="shared" si="66"/>
        <v/>
      </c>
      <c r="L420" t="str">
        <f t="shared" si="67"/>
        <v/>
      </c>
      <c r="M420" s="23" t="str">
        <f ca="1">IF(A420="","",IF($B$10="Sí",interpolar_alamb(L420,OFFSET(Curvas_cupon_cero!$A$1,1,0,COUNT(Curvas_cupon_cero!$A:$A)-2,1),OFFSET(Curvas_cupon_cero!$A$1,1,MATCH($B$6,Curvas_cupon_cero!$1:$1,0)-1,COUNT(Curvas_cupon_cero!$A:$A)-2,1)),[1]!interpolar(L420,OFFSET(Curvas_cupon_cero!$A$1,1,0,COUNT(Curvas_cupon_cero!$A:$A)-2,1),OFFSET(Curvas_cupon_cero!$A$1,1,MATCH($B$6,Curvas_cupon_cero!$1:$1,0)-1,COUNT(Curvas_cupon_cero!$A:$A)-2,1))))</f>
        <v/>
      </c>
      <c r="N420" s="23"/>
      <c r="O420" s="19" t="str">
        <f t="shared" si="68"/>
        <v/>
      </c>
    </row>
    <row r="421" spans="1:15" x14ac:dyDescent="0.2">
      <c r="A421" s="12" t="str">
        <f t="shared" si="62"/>
        <v/>
      </c>
      <c r="B421" t="str">
        <f t="shared" si="60"/>
        <v/>
      </c>
      <c r="C421" s="21" t="str">
        <f ca="1">IF(A421="","",IF($B$10="Sí",interpolar_alamb(B421,OFFSET(Curvas_cupon_cero!$A$1,1,0,COUNT(Curvas_cupon_cero!$A:$A)-2,1),OFFSET(Curvas_cupon_cero!$A$1,1,MATCH($B$8,Curvas_cupon_cero!$1:$1,0)-1,COUNT(Curvas_cupon_cero!$A:$A)-2,1)),[1]!interpolar(B421,OFFSET(Curvas_cupon_cero!$A$1,1,0,COUNT(Curvas_cupon_cero!$A:$A)-2,1),OFFSET(Curvas_cupon_cero!$A$1,1,MATCH($B$8,Curvas_cupon_cero!$1:$1,0)-1,COUNT(Curvas_cupon_cero!$A:$A)-2,1))))</f>
        <v/>
      </c>
      <c r="D421" s="23" t="str">
        <f ca="1">IF(A421="","",IF($B$10="Sí",interpolar_alamb(L421,OFFSET(Curvas_cupon_cero!$A$1,1,0,COUNT(Curvas_cupon_cero!$A:$A)-2,1),OFFSET(Curvas_cupon_cero!$A$1,1,MATCH($B$8,Curvas_cupon_cero!$1:$1,0)-1,COUNT(Curvas_cupon_cero!$A:$A)-2,1)),[1]!interpolar(L421,OFFSET(Curvas_cupon_cero!$A$1,1,0,COUNT(Curvas_cupon_cero!$A:$A)-2,1),OFFSET(Curvas_cupon_cero!$A$1,1,MATCH($B$8,Curvas_cupon_cero!$1:$1,0)-1,COUNT(Curvas_cupon_cero!$A:$A)-2,1))))</f>
        <v/>
      </c>
      <c r="E421" s="23" t="str">
        <f t="shared" si="63"/>
        <v/>
      </c>
      <c r="F421" s="23" t="str">
        <f ca="1">IF(A421="","",IF($B$10="Sí",interpolar_alamb(B421,OFFSET(Curvas_cupon_cero!$A$1,1,0,COUNT(Curvas_cupon_cero!$A:$A)-2,1),OFFSET(Curvas_cupon_cero!$A$1,1,MATCH($B$9,Curvas_cupon_cero!$1:$1,0)-1,COUNT(Curvas_cupon_cero!$A:$A)-2,1)),[1]!interpolar(B421,OFFSET(Curvas_cupon_cero!$A$1,1,0,COUNT(Curvas_cupon_cero!$A:$A)-2,1),OFFSET(Curvas_cupon_cero!$A$1,1,MATCH($B$9,Curvas_cupon_cero!$1:$1,0)-1,COUNT(Curvas_cupon_cero!$A:$A)-2,1))))</f>
        <v/>
      </c>
      <c r="G421" s="23" t="str">
        <f t="shared" si="64"/>
        <v/>
      </c>
      <c r="H421" s="20" t="str">
        <f t="shared" si="69"/>
        <v/>
      </c>
      <c r="I421" t="str">
        <f t="shared" si="65"/>
        <v/>
      </c>
      <c r="J421" s="17" t="str">
        <f t="shared" si="61"/>
        <v/>
      </c>
      <c r="K421" s="18" t="str">
        <f t="shared" si="66"/>
        <v/>
      </c>
      <c r="L421" t="str">
        <f t="shared" si="67"/>
        <v/>
      </c>
      <c r="M421" s="23" t="str">
        <f ca="1">IF(A421="","",IF($B$10="Sí",interpolar_alamb(L421,OFFSET(Curvas_cupon_cero!$A$1,1,0,COUNT(Curvas_cupon_cero!$A:$A)-2,1),OFFSET(Curvas_cupon_cero!$A$1,1,MATCH($B$6,Curvas_cupon_cero!$1:$1,0)-1,COUNT(Curvas_cupon_cero!$A:$A)-2,1)),[1]!interpolar(L421,OFFSET(Curvas_cupon_cero!$A$1,1,0,COUNT(Curvas_cupon_cero!$A:$A)-2,1),OFFSET(Curvas_cupon_cero!$A$1,1,MATCH($B$6,Curvas_cupon_cero!$1:$1,0)-1,COUNT(Curvas_cupon_cero!$A:$A)-2,1))))</f>
        <v/>
      </c>
      <c r="N421" s="23"/>
      <c r="O421" s="19" t="str">
        <f t="shared" si="68"/>
        <v/>
      </c>
    </row>
    <row r="422" spans="1:15" x14ac:dyDescent="0.2">
      <c r="A422" s="12" t="str">
        <f t="shared" si="62"/>
        <v/>
      </c>
      <c r="B422" t="str">
        <f t="shared" si="60"/>
        <v/>
      </c>
      <c r="C422" s="21" t="str">
        <f ca="1">IF(A422="","",IF($B$10="Sí",interpolar_alamb(B422,OFFSET(Curvas_cupon_cero!$A$1,1,0,COUNT(Curvas_cupon_cero!$A:$A)-2,1),OFFSET(Curvas_cupon_cero!$A$1,1,MATCH($B$8,Curvas_cupon_cero!$1:$1,0)-1,COUNT(Curvas_cupon_cero!$A:$A)-2,1)),[1]!interpolar(B422,OFFSET(Curvas_cupon_cero!$A$1,1,0,COUNT(Curvas_cupon_cero!$A:$A)-2,1),OFFSET(Curvas_cupon_cero!$A$1,1,MATCH($B$8,Curvas_cupon_cero!$1:$1,0)-1,COUNT(Curvas_cupon_cero!$A:$A)-2,1))))</f>
        <v/>
      </c>
      <c r="D422" s="23" t="str">
        <f ca="1">IF(A422="","",IF($B$10="Sí",interpolar_alamb(L422,OFFSET(Curvas_cupon_cero!$A$1,1,0,COUNT(Curvas_cupon_cero!$A:$A)-2,1),OFFSET(Curvas_cupon_cero!$A$1,1,MATCH($B$8,Curvas_cupon_cero!$1:$1,0)-1,COUNT(Curvas_cupon_cero!$A:$A)-2,1)),[1]!interpolar(L422,OFFSET(Curvas_cupon_cero!$A$1,1,0,COUNT(Curvas_cupon_cero!$A:$A)-2,1),OFFSET(Curvas_cupon_cero!$A$1,1,MATCH($B$8,Curvas_cupon_cero!$1:$1,0)-1,COUNT(Curvas_cupon_cero!$A:$A)-2,1))))</f>
        <v/>
      </c>
      <c r="E422" s="23" t="str">
        <f t="shared" si="63"/>
        <v/>
      </c>
      <c r="F422" s="23" t="str">
        <f ca="1">IF(A422="","",IF($B$10="Sí",interpolar_alamb(B422,OFFSET(Curvas_cupon_cero!$A$1,1,0,COUNT(Curvas_cupon_cero!$A:$A)-2,1),OFFSET(Curvas_cupon_cero!$A$1,1,MATCH($B$9,Curvas_cupon_cero!$1:$1,0)-1,COUNT(Curvas_cupon_cero!$A:$A)-2,1)),[1]!interpolar(B422,OFFSET(Curvas_cupon_cero!$A$1,1,0,COUNT(Curvas_cupon_cero!$A:$A)-2,1),OFFSET(Curvas_cupon_cero!$A$1,1,MATCH($B$9,Curvas_cupon_cero!$1:$1,0)-1,COUNT(Curvas_cupon_cero!$A:$A)-2,1))))</f>
        <v/>
      </c>
      <c r="G422" s="23" t="str">
        <f t="shared" si="64"/>
        <v/>
      </c>
      <c r="H422" s="20" t="str">
        <f t="shared" si="69"/>
        <v/>
      </c>
      <c r="I422" t="str">
        <f t="shared" si="65"/>
        <v/>
      </c>
      <c r="J422" s="17" t="str">
        <f t="shared" si="61"/>
        <v/>
      </c>
      <c r="K422" s="18" t="str">
        <f t="shared" si="66"/>
        <v/>
      </c>
      <c r="L422" t="str">
        <f t="shared" si="67"/>
        <v/>
      </c>
      <c r="M422" s="23" t="str">
        <f ca="1">IF(A422="","",IF($B$10="Sí",interpolar_alamb(L422,OFFSET(Curvas_cupon_cero!$A$1,1,0,COUNT(Curvas_cupon_cero!$A:$A)-2,1),OFFSET(Curvas_cupon_cero!$A$1,1,MATCH($B$6,Curvas_cupon_cero!$1:$1,0)-1,COUNT(Curvas_cupon_cero!$A:$A)-2,1)),[1]!interpolar(L422,OFFSET(Curvas_cupon_cero!$A$1,1,0,COUNT(Curvas_cupon_cero!$A:$A)-2,1),OFFSET(Curvas_cupon_cero!$A$1,1,MATCH($B$6,Curvas_cupon_cero!$1:$1,0)-1,COUNT(Curvas_cupon_cero!$A:$A)-2,1))))</f>
        <v/>
      </c>
      <c r="N422" s="23"/>
      <c r="O422" s="19" t="str">
        <f t="shared" si="68"/>
        <v/>
      </c>
    </row>
    <row r="423" spans="1:15" x14ac:dyDescent="0.2">
      <c r="A423" s="12" t="str">
        <f t="shared" si="62"/>
        <v/>
      </c>
      <c r="B423" t="str">
        <f t="shared" si="60"/>
        <v/>
      </c>
      <c r="C423" s="21" t="str">
        <f ca="1">IF(A423="","",IF($B$10="Sí",interpolar_alamb(B423,OFFSET(Curvas_cupon_cero!$A$1,1,0,COUNT(Curvas_cupon_cero!$A:$A)-2,1),OFFSET(Curvas_cupon_cero!$A$1,1,MATCH($B$8,Curvas_cupon_cero!$1:$1,0)-1,COUNT(Curvas_cupon_cero!$A:$A)-2,1)),[1]!interpolar(B423,OFFSET(Curvas_cupon_cero!$A$1,1,0,COUNT(Curvas_cupon_cero!$A:$A)-2,1),OFFSET(Curvas_cupon_cero!$A$1,1,MATCH($B$8,Curvas_cupon_cero!$1:$1,0)-1,COUNT(Curvas_cupon_cero!$A:$A)-2,1))))</f>
        <v/>
      </c>
      <c r="D423" s="23" t="str">
        <f ca="1">IF(A423="","",IF($B$10="Sí",interpolar_alamb(L423,OFFSET(Curvas_cupon_cero!$A$1,1,0,COUNT(Curvas_cupon_cero!$A:$A)-2,1),OFFSET(Curvas_cupon_cero!$A$1,1,MATCH($B$8,Curvas_cupon_cero!$1:$1,0)-1,COUNT(Curvas_cupon_cero!$A:$A)-2,1)),[1]!interpolar(L423,OFFSET(Curvas_cupon_cero!$A$1,1,0,COUNT(Curvas_cupon_cero!$A:$A)-2,1),OFFSET(Curvas_cupon_cero!$A$1,1,MATCH($B$8,Curvas_cupon_cero!$1:$1,0)-1,COUNT(Curvas_cupon_cero!$A:$A)-2,1))))</f>
        <v/>
      </c>
      <c r="E423" s="23" t="str">
        <f t="shared" si="63"/>
        <v/>
      </c>
      <c r="F423" s="23" t="str">
        <f ca="1">IF(A423="","",IF($B$10="Sí",interpolar_alamb(B423,OFFSET(Curvas_cupon_cero!$A$1,1,0,COUNT(Curvas_cupon_cero!$A:$A)-2,1),OFFSET(Curvas_cupon_cero!$A$1,1,MATCH($B$9,Curvas_cupon_cero!$1:$1,0)-1,COUNT(Curvas_cupon_cero!$A:$A)-2,1)),[1]!interpolar(B423,OFFSET(Curvas_cupon_cero!$A$1,1,0,COUNT(Curvas_cupon_cero!$A:$A)-2,1),OFFSET(Curvas_cupon_cero!$A$1,1,MATCH($B$9,Curvas_cupon_cero!$1:$1,0)-1,COUNT(Curvas_cupon_cero!$A:$A)-2,1))))</f>
        <v/>
      </c>
      <c r="G423" s="23" t="str">
        <f t="shared" si="64"/>
        <v/>
      </c>
      <c r="H423" s="20" t="str">
        <f t="shared" si="69"/>
        <v/>
      </c>
      <c r="I423" t="str">
        <f t="shared" si="65"/>
        <v/>
      </c>
      <c r="J423" s="17" t="str">
        <f t="shared" si="61"/>
        <v/>
      </c>
      <c r="K423" s="18" t="str">
        <f t="shared" si="66"/>
        <v/>
      </c>
      <c r="L423" t="str">
        <f t="shared" si="67"/>
        <v/>
      </c>
      <c r="M423" s="23" t="str">
        <f ca="1">IF(A423="","",IF($B$10="Sí",interpolar_alamb(L423,OFFSET(Curvas_cupon_cero!$A$1,1,0,COUNT(Curvas_cupon_cero!$A:$A)-2,1),OFFSET(Curvas_cupon_cero!$A$1,1,MATCH($B$6,Curvas_cupon_cero!$1:$1,0)-1,COUNT(Curvas_cupon_cero!$A:$A)-2,1)),[1]!interpolar(L423,OFFSET(Curvas_cupon_cero!$A$1,1,0,COUNT(Curvas_cupon_cero!$A:$A)-2,1),OFFSET(Curvas_cupon_cero!$A$1,1,MATCH($B$6,Curvas_cupon_cero!$1:$1,0)-1,COUNT(Curvas_cupon_cero!$A:$A)-2,1))))</f>
        <v/>
      </c>
      <c r="N423" s="23"/>
      <c r="O423" s="19" t="str">
        <f t="shared" si="68"/>
        <v/>
      </c>
    </row>
    <row r="424" spans="1:15" x14ac:dyDescent="0.2">
      <c r="A424" s="12" t="str">
        <f t="shared" si="62"/>
        <v/>
      </c>
      <c r="B424" t="str">
        <f t="shared" si="60"/>
        <v/>
      </c>
      <c r="C424" s="21" t="str">
        <f ca="1">IF(A424="","",IF($B$10="Sí",interpolar_alamb(B424,OFFSET(Curvas_cupon_cero!$A$1,1,0,COUNT(Curvas_cupon_cero!$A:$A)-2,1),OFFSET(Curvas_cupon_cero!$A$1,1,MATCH($B$8,Curvas_cupon_cero!$1:$1,0)-1,COUNT(Curvas_cupon_cero!$A:$A)-2,1)),[1]!interpolar(B424,OFFSET(Curvas_cupon_cero!$A$1,1,0,COUNT(Curvas_cupon_cero!$A:$A)-2,1),OFFSET(Curvas_cupon_cero!$A$1,1,MATCH($B$8,Curvas_cupon_cero!$1:$1,0)-1,COUNT(Curvas_cupon_cero!$A:$A)-2,1))))</f>
        <v/>
      </c>
      <c r="D424" s="23" t="str">
        <f ca="1">IF(A424="","",IF($B$10="Sí",interpolar_alamb(L424,OFFSET(Curvas_cupon_cero!$A$1,1,0,COUNT(Curvas_cupon_cero!$A:$A)-2,1),OFFSET(Curvas_cupon_cero!$A$1,1,MATCH($B$8,Curvas_cupon_cero!$1:$1,0)-1,COUNT(Curvas_cupon_cero!$A:$A)-2,1)),[1]!interpolar(L424,OFFSET(Curvas_cupon_cero!$A$1,1,0,COUNT(Curvas_cupon_cero!$A:$A)-2,1),OFFSET(Curvas_cupon_cero!$A$1,1,MATCH($B$8,Curvas_cupon_cero!$1:$1,0)-1,COUNT(Curvas_cupon_cero!$A:$A)-2,1))))</f>
        <v/>
      </c>
      <c r="E424" s="23" t="str">
        <f t="shared" si="63"/>
        <v/>
      </c>
      <c r="F424" s="23" t="str">
        <f ca="1">IF(A424="","",IF($B$10="Sí",interpolar_alamb(B424,OFFSET(Curvas_cupon_cero!$A$1,1,0,COUNT(Curvas_cupon_cero!$A:$A)-2,1),OFFSET(Curvas_cupon_cero!$A$1,1,MATCH($B$9,Curvas_cupon_cero!$1:$1,0)-1,COUNT(Curvas_cupon_cero!$A:$A)-2,1)),[1]!interpolar(B424,OFFSET(Curvas_cupon_cero!$A$1,1,0,COUNT(Curvas_cupon_cero!$A:$A)-2,1),OFFSET(Curvas_cupon_cero!$A$1,1,MATCH($B$9,Curvas_cupon_cero!$1:$1,0)-1,COUNT(Curvas_cupon_cero!$A:$A)-2,1))))</f>
        <v/>
      </c>
      <c r="G424" s="23" t="str">
        <f t="shared" si="64"/>
        <v/>
      </c>
      <c r="H424" s="20" t="str">
        <f t="shared" si="69"/>
        <v/>
      </c>
      <c r="I424" t="str">
        <f t="shared" si="65"/>
        <v/>
      </c>
      <c r="J424" s="17" t="str">
        <f t="shared" si="61"/>
        <v/>
      </c>
      <c r="K424" s="18" t="str">
        <f t="shared" si="66"/>
        <v/>
      </c>
      <c r="L424" t="str">
        <f t="shared" si="67"/>
        <v/>
      </c>
      <c r="M424" s="23" t="str">
        <f ca="1">IF(A424="","",IF($B$10="Sí",interpolar_alamb(L424,OFFSET(Curvas_cupon_cero!$A$1,1,0,COUNT(Curvas_cupon_cero!$A:$A)-2,1),OFFSET(Curvas_cupon_cero!$A$1,1,MATCH($B$6,Curvas_cupon_cero!$1:$1,0)-1,COUNT(Curvas_cupon_cero!$A:$A)-2,1)),[1]!interpolar(L424,OFFSET(Curvas_cupon_cero!$A$1,1,0,COUNT(Curvas_cupon_cero!$A:$A)-2,1),OFFSET(Curvas_cupon_cero!$A$1,1,MATCH($B$6,Curvas_cupon_cero!$1:$1,0)-1,COUNT(Curvas_cupon_cero!$A:$A)-2,1))))</f>
        <v/>
      </c>
      <c r="N424" s="23"/>
      <c r="O424" s="19" t="str">
        <f t="shared" si="68"/>
        <v/>
      </c>
    </row>
    <row r="425" spans="1:15" x14ac:dyDescent="0.2">
      <c r="A425" s="12" t="str">
        <f t="shared" si="62"/>
        <v/>
      </c>
      <c r="B425" t="str">
        <f t="shared" si="60"/>
        <v/>
      </c>
      <c r="C425" s="21" t="str">
        <f ca="1">IF(A425="","",IF($B$10="Sí",interpolar_alamb(B425,OFFSET(Curvas_cupon_cero!$A$1,1,0,COUNT(Curvas_cupon_cero!$A:$A)-2,1),OFFSET(Curvas_cupon_cero!$A$1,1,MATCH($B$8,Curvas_cupon_cero!$1:$1,0)-1,COUNT(Curvas_cupon_cero!$A:$A)-2,1)),[1]!interpolar(B425,OFFSET(Curvas_cupon_cero!$A$1,1,0,COUNT(Curvas_cupon_cero!$A:$A)-2,1),OFFSET(Curvas_cupon_cero!$A$1,1,MATCH($B$8,Curvas_cupon_cero!$1:$1,0)-1,COUNT(Curvas_cupon_cero!$A:$A)-2,1))))</f>
        <v/>
      </c>
      <c r="D425" s="23" t="str">
        <f ca="1">IF(A425="","",IF($B$10="Sí",interpolar_alamb(L425,OFFSET(Curvas_cupon_cero!$A$1,1,0,COUNT(Curvas_cupon_cero!$A:$A)-2,1),OFFSET(Curvas_cupon_cero!$A$1,1,MATCH($B$8,Curvas_cupon_cero!$1:$1,0)-1,COUNT(Curvas_cupon_cero!$A:$A)-2,1)),[1]!interpolar(L425,OFFSET(Curvas_cupon_cero!$A$1,1,0,COUNT(Curvas_cupon_cero!$A:$A)-2,1),OFFSET(Curvas_cupon_cero!$A$1,1,MATCH($B$8,Curvas_cupon_cero!$1:$1,0)-1,COUNT(Curvas_cupon_cero!$A:$A)-2,1))))</f>
        <v/>
      </c>
      <c r="E425" s="23" t="str">
        <f t="shared" si="63"/>
        <v/>
      </c>
      <c r="F425" s="23" t="str">
        <f ca="1">IF(A425="","",IF($B$10="Sí",interpolar_alamb(B425,OFFSET(Curvas_cupon_cero!$A$1,1,0,COUNT(Curvas_cupon_cero!$A:$A)-2,1),OFFSET(Curvas_cupon_cero!$A$1,1,MATCH($B$9,Curvas_cupon_cero!$1:$1,0)-1,COUNT(Curvas_cupon_cero!$A:$A)-2,1)),[1]!interpolar(B425,OFFSET(Curvas_cupon_cero!$A$1,1,0,COUNT(Curvas_cupon_cero!$A:$A)-2,1),OFFSET(Curvas_cupon_cero!$A$1,1,MATCH($B$9,Curvas_cupon_cero!$1:$1,0)-1,COUNT(Curvas_cupon_cero!$A:$A)-2,1))))</f>
        <v/>
      </c>
      <c r="G425" s="23" t="str">
        <f t="shared" si="64"/>
        <v/>
      </c>
      <c r="H425" s="20" t="str">
        <f t="shared" si="69"/>
        <v/>
      </c>
      <c r="I425" t="str">
        <f t="shared" si="65"/>
        <v/>
      </c>
      <c r="J425" s="17" t="str">
        <f t="shared" si="61"/>
        <v/>
      </c>
      <c r="K425" s="18" t="str">
        <f t="shared" si="66"/>
        <v/>
      </c>
      <c r="L425" t="str">
        <f t="shared" si="67"/>
        <v/>
      </c>
      <c r="M425" s="23" t="str">
        <f ca="1">IF(A425="","",IF($B$10="Sí",interpolar_alamb(L425,OFFSET(Curvas_cupon_cero!$A$1,1,0,COUNT(Curvas_cupon_cero!$A:$A)-2,1),OFFSET(Curvas_cupon_cero!$A$1,1,MATCH($B$6,Curvas_cupon_cero!$1:$1,0)-1,COUNT(Curvas_cupon_cero!$A:$A)-2,1)),[1]!interpolar(L425,OFFSET(Curvas_cupon_cero!$A$1,1,0,COUNT(Curvas_cupon_cero!$A:$A)-2,1),OFFSET(Curvas_cupon_cero!$A$1,1,MATCH($B$6,Curvas_cupon_cero!$1:$1,0)-1,COUNT(Curvas_cupon_cero!$A:$A)-2,1))))</f>
        <v/>
      </c>
      <c r="N425" s="23"/>
      <c r="O425" s="19" t="str">
        <f t="shared" si="68"/>
        <v/>
      </c>
    </row>
    <row r="426" spans="1:15" x14ac:dyDescent="0.2">
      <c r="A426" s="12" t="str">
        <f t="shared" si="62"/>
        <v/>
      </c>
      <c r="B426" t="str">
        <f t="shared" si="60"/>
        <v/>
      </c>
      <c r="C426" s="21" t="str">
        <f ca="1">IF(A426="","",IF($B$10="Sí",interpolar_alamb(B426,OFFSET(Curvas_cupon_cero!$A$1,1,0,COUNT(Curvas_cupon_cero!$A:$A)-2,1),OFFSET(Curvas_cupon_cero!$A$1,1,MATCH($B$8,Curvas_cupon_cero!$1:$1,0)-1,COUNT(Curvas_cupon_cero!$A:$A)-2,1)),[1]!interpolar(B426,OFFSET(Curvas_cupon_cero!$A$1,1,0,COUNT(Curvas_cupon_cero!$A:$A)-2,1),OFFSET(Curvas_cupon_cero!$A$1,1,MATCH($B$8,Curvas_cupon_cero!$1:$1,0)-1,COUNT(Curvas_cupon_cero!$A:$A)-2,1))))</f>
        <v/>
      </c>
      <c r="D426" s="23" t="str">
        <f ca="1">IF(A426="","",IF($B$10="Sí",interpolar_alamb(L426,OFFSET(Curvas_cupon_cero!$A$1,1,0,COUNT(Curvas_cupon_cero!$A:$A)-2,1),OFFSET(Curvas_cupon_cero!$A$1,1,MATCH($B$8,Curvas_cupon_cero!$1:$1,0)-1,COUNT(Curvas_cupon_cero!$A:$A)-2,1)),[1]!interpolar(L426,OFFSET(Curvas_cupon_cero!$A$1,1,0,COUNT(Curvas_cupon_cero!$A:$A)-2,1),OFFSET(Curvas_cupon_cero!$A$1,1,MATCH($B$8,Curvas_cupon_cero!$1:$1,0)-1,COUNT(Curvas_cupon_cero!$A:$A)-2,1))))</f>
        <v/>
      </c>
      <c r="E426" s="23" t="str">
        <f t="shared" si="63"/>
        <v/>
      </c>
      <c r="F426" s="23" t="str">
        <f ca="1">IF(A426="","",IF($B$10="Sí",interpolar_alamb(B426,OFFSET(Curvas_cupon_cero!$A$1,1,0,COUNT(Curvas_cupon_cero!$A:$A)-2,1),OFFSET(Curvas_cupon_cero!$A$1,1,MATCH($B$9,Curvas_cupon_cero!$1:$1,0)-1,COUNT(Curvas_cupon_cero!$A:$A)-2,1)),[1]!interpolar(B426,OFFSET(Curvas_cupon_cero!$A$1,1,0,COUNT(Curvas_cupon_cero!$A:$A)-2,1),OFFSET(Curvas_cupon_cero!$A$1,1,MATCH($B$9,Curvas_cupon_cero!$1:$1,0)-1,COUNT(Curvas_cupon_cero!$A:$A)-2,1))))</f>
        <v/>
      </c>
      <c r="G426" s="23" t="str">
        <f t="shared" si="64"/>
        <v/>
      </c>
      <c r="H426" s="20" t="str">
        <f t="shared" si="69"/>
        <v/>
      </c>
      <c r="I426" t="str">
        <f t="shared" si="65"/>
        <v/>
      </c>
      <c r="J426" s="17" t="str">
        <f t="shared" si="61"/>
        <v/>
      </c>
      <c r="K426" s="18" t="str">
        <f t="shared" si="66"/>
        <v/>
      </c>
      <c r="L426" t="str">
        <f t="shared" si="67"/>
        <v/>
      </c>
      <c r="M426" s="23" t="str">
        <f ca="1">IF(A426="","",IF($B$10="Sí",interpolar_alamb(L426,OFFSET(Curvas_cupon_cero!$A$1,1,0,COUNT(Curvas_cupon_cero!$A:$A)-2,1),OFFSET(Curvas_cupon_cero!$A$1,1,MATCH($B$6,Curvas_cupon_cero!$1:$1,0)-1,COUNT(Curvas_cupon_cero!$A:$A)-2,1)),[1]!interpolar(L426,OFFSET(Curvas_cupon_cero!$A$1,1,0,COUNT(Curvas_cupon_cero!$A:$A)-2,1),OFFSET(Curvas_cupon_cero!$A$1,1,MATCH($B$6,Curvas_cupon_cero!$1:$1,0)-1,COUNT(Curvas_cupon_cero!$A:$A)-2,1))))</f>
        <v/>
      </c>
      <c r="N426" s="23"/>
      <c r="O426" s="19" t="str">
        <f t="shared" si="68"/>
        <v/>
      </c>
    </row>
    <row r="427" spans="1:15" x14ac:dyDescent="0.2">
      <c r="A427" s="12" t="str">
        <f t="shared" si="62"/>
        <v/>
      </c>
      <c r="B427" t="str">
        <f t="shared" si="60"/>
        <v/>
      </c>
      <c r="C427" s="21" t="str">
        <f ca="1">IF(A427="","",IF($B$10="Sí",interpolar_alamb(B427,OFFSET(Curvas_cupon_cero!$A$1,1,0,COUNT(Curvas_cupon_cero!$A:$A)-2,1),OFFSET(Curvas_cupon_cero!$A$1,1,MATCH($B$8,Curvas_cupon_cero!$1:$1,0)-1,COUNT(Curvas_cupon_cero!$A:$A)-2,1)),[1]!interpolar(B427,OFFSET(Curvas_cupon_cero!$A$1,1,0,COUNT(Curvas_cupon_cero!$A:$A)-2,1),OFFSET(Curvas_cupon_cero!$A$1,1,MATCH($B$8,Curvas_cupon_cero!$1:$1,0)-1,COUNT(Curvas_cupon_cero!$A:$A)-2,1))))</f>
        <v/>
      </c>
      <c r="D427" s="23" t="str">
        <f ca="1">IF(A427="","",IF($B$10="Sí",interpolar_alamb(L427,OFFSET(Curvas_cupon_cero!$A$1,1,0,COUNT(Curvas_cupon_cero!$A:$A)-2,1),OFFSET(Curvas_cupon_cero!$A$1,1,MATCH($B$8,Curvas_cupon_cero!$1:$1,0)-1,COUNT(Curvas_cupon_cero!$A:$A)-2,1)),[1]!interpolar(L427,OFFSET(Curvas_cupon_cero!$A$1,1,0,COUNT(Curvas_cupon_cero!$A:$A)-2,1),OFFSET(Curvas_cupon_cero!$A$1,1,MATCH($B$8,Curvas_cupon_cero!$1:$1,0)-1,COUNT(Curvas_cupon_cero!$A:$A)-2,1))))</f>
        <v/>
      </c>
      <c r="E427" s="23" t="str">
        <f t="shared" si="63"/>
        <v/>
      </c>
      <c r="F427" s="23" t="str">
        <f ca="1">IF(A427="","",IF($B$10="Sí",interpolar_alamb(B427,OFFSET(Curvas_cupon_cero!$A$1,1,0,COUNT(Curvas_cupon_cero!$A:$A)-2,1),OFFSET(Curvas_cupon_cero!$A$1,1,MATCH($B$9,Curvas_cupon_cero!$1:$1,0)-1,COUNT(Curvas_cupon_cero!$A:$A)-2,1)),[1]!interpolar(B427,OFFSET(Curvas_cupon_cero!$A$1,1,0,COUNT(Curvas_cupon_cero!$A:$A)-2,1),OFFSET(Curvas_cupon_cero!$A$1,1,MATCH($B$9,Curvas_cupon_cero!$1:$1,0)-1,COUNT(Curvas_cupon_cero!$A:$A)-2,1))))</f>
        <v/>
      </c>
      <c r="G427" s="23" t="str">
        <f t="shared" si="64"/>
        <v/>
      </c>
      <c r="H427" s="20" t="str">
        <f t="shared" si="69"/>
        <v/>
      </c>
      <c r="I427" t="str">
        <f t="shared" si="65"/>
        <v/>
      </c>
      <c r="J427" s="17" t="str">
        <f t="shared" si="61"/>
        <v/>
      </c>
      <c r="K427" s="18" t="str">
        <f t="shared" si="66"/>
        <v/>
      </c>
      <c r="L427" t="str">
        <f t="shared" si="67"/>
        <v/>
      </c>
      <c r="M427" s="23" t="str">
        <f ca="1">IF(A427="","",IF($B$10="Sí",interpolar_alamb(L427,OFFSET(Curvas_cupon_cero!$A$1,1,0,COUNT(Curvas_cupon_cero!$A:$A)-2,1),OFFSET(Curvas_cupon_cero!$A$1,1,MATCH($B$6,Curvas_cupon_cero!$1:$1,0)-1,COUNT(Curvas_cupon_cero!$A:$A)-2,1)),[1]!interpolar(L427,OFFSET(Curvas_cupon_cero!$A$1,1,0,COUNT(Curvas_cupon_cero!$A:$A)-2,1),OFFSET(Curvas_cupon_cero!$A$1,1,MATCH($B$6,Curvas_cupon_cero!$1:$1,0)-1,COUNT(Curvas_cupon_cero!$A:$A)-2,1))))</f>
        <v/>
      </c>
      <c r="N427" s="23"/>
      <c r="O427" s="19" t="str">
        <f t="shared" si="68"/>
        <v/>
      </c>
    </row>
    <row r="428" spans="1:15" x14ac:dyDescent="0.2">
      <c r="A428" s="12" t="str">
        <f t="shared" si="62"/>
        <v/>
      </c>
      <c r="B428" t="str">
        <f t="shared" si="60"/>
        <v/>
      </c>
      <c r="C428" s="21" t="str">
        <f ca="1">IF(A428="","",IF($B$10="Sí",interpolar_alamb(B428,OFFSET(Curvas_cupon_cero!$A$1,1,0,COUNT(Curvas_cupon_cero!$A:$A)-2,1),OFFSET(Curvas_cupon_cero!$A$1,1,MATCH($B$8,Curvas_cupon_cero!$1:$1,0)-1,COUNT(Curvas_cupon_cero!$A:$A)-2,1)),[1]!interpolar(B428,OFFSET(Curvas_cupon_cero!$A$1,1,0,COUNT(Curvas_cupon_cero!$A:$A)-2,1),OFFSET(Curvas_cupon_cero!$A$1,1,MATCH($B$8,Curvas_cupon_cero!$1:$1,0)-1,COUNT(Curvas_cupon_cero!$A:$A)-2,1))))</f>
        <v/>
      </c>
      <c r="D428" s="23" t="str">
        <f ca="1">IF(A428="","",IF($B$10="Sí",interpolar_alamb(L428,OFFSET(Curvas_cupon_cero!$A$1,1,0,COUNT(Curvas_cupon_cero!$A:$A)-2,1),OFFSET(Curvas_cupon_cero!$A$1,1,MATCH($B$8,Curvas_cupon_cero!$1:$1,0)-1,COUNT(Curvas_cupon_cero!$A:$A)-2,1)),[1]!interpolar(L428,OFFSET(Curvas_cupon_cero!$A$1,1,0,COUNT(Curvas_cupon_cero!$A:$A)-2,1),OFFSET(Curvas_cupon_cero!$A$1,1,MATCH($B$8,Curvas_cupon_cero!$1:$1,0)-1,COUNT(Curvas_cupon_cero!$A:$A)-2,1))))</f>
        <v/>
      </c>
      <c r="E428" s="23" t="str">
        <f t="shared" si="63"/>
        <v/>
      </c>
      <c r="F428" s="23" t="str">
        <f ca="1">IF(A428="","",IF($B$10="Sí",interpolar_alamb(B428,OFFSET(Curvas_cupon_cero!$A$1,1,0,COUNT(Curvas_cupon_cero!$A:$A)-2,1),OFFSET(Curvas_cupon_cero!$A$1,1,MATCH($B$9,Curvas_cupon_cero!$1:$1,0)-1,COUNT(Curvas_cupon_cero!$A:$A)-2,1)),[1]!interpolar(B428,OFFSET(Curvas_cupon_cero!$A$1,1,0,COUNT(Curvas_cupon_cero!$A:$A)-2,1),OFFSET(Curvas_cupon_cero!$A$1,1,MATCH($B$9,Curvas_cupon_cero!$1:$1,0)-1,COUNT(Curvas_cupon_cero!$A:$A)-2,1))))</f>
        <v/>
      </c>
      <c r="G428" s="23" t="str">
        <f t="shared" si="64"/>
        <v/>
      </c>
      <c r="H428" s="20" t="str">
        <f t="shared" si="69"/>
        <v/>
      </c>
      <c r="I428" t="str">
        <f t="shared" si="65"/>
        <v/>
      </c>
      <c r="J428" s="17" t="str">
        <f t="shared" si="61"/>
        <v/>
      </c>
      <c r="K428" s="18" t="str">
        <f t="shared" si="66"/>
        <v/>
      </c>
      <c r="L428" t="str">
        <f t="shared" si="67"/>
        <v/>
      </c>
      <c r="M428" s="23" t="str">
        <f ca="1">IF(A428="","",IF($B$10="Sí",interpolar_alamb(L428,OFFSET(Curvas_cupon_cero!$A$1,1,0,COUNT(Curvas_cupon_cero!$A:$A)-2,1),OFFSET(Curvas_cupon_cero!$A$1,1,MATCH($B$6,Curvas_cupon_cero!$1:$1,0)-1,COUNT(Curvas_cupon_cero!$A:$A)-2,1)),[1]!interpolar(L428,OFFSET(Curvas_cupon_cero!$A$1,1,0,COUNT(Curvas_cupon_cero!$A:$A)-2,1),OFFSET(Curvas_cupon_cero!$A$1,1,MATCH($B$6,Curvas_cupon_cero!$1:$1,0)-1,COUNT(Curvas_cupon_cero!$A:$A)-2,1))))</f>
        <v/>
      </c>
      <c r="N428" s="23"/>
      <c r="O428" s="19" t="str">
        <f t="shared" si="68"/>
        <v/>
      </c>
    </row>
    <row r="429" spans="1:15" x14ac:dyDescent="0.2">
      <c r="A429" s="12" t="str">
        <f t="shared" si="62"/>
        <v/>
      </c>
      <c r="B429" t="str">
        <f t="shared" si="60"/>
        <v/>
      </c>
      <c r="C429" s="21" t="str">
        <f ca="1">IF(A429="","",IF($B$10="Sí",interpolar_alamb(B429,OFFSET(Curvas_cupon_cero!$A$1,1,0,COUNT(Curvas_cupon_cero!$A:$A)-2,1),OFFSET(Curvas_cupon_cero!$A$1,1,MATCH($B$8,Curvas_cupon_cero!$1:$1,0)-1,COUNT(Curvas_cupon_cero!$A:$A)-2,1)),[1]!interpolar(B429,OFFSET(Curvas_cupon_cero!$A$1,1,0,COUNT(Curvas_cupon_cero!$A:$A)-2,1),OFFSET(Curvas_cupon_cero!$A$1,1,MATCH($B$8,Curvas_cupon_cero!$1:$1,0)-1,COUNT(Curvas_cupon_cero!$A:$A)-2,1))))</f>
        <v/>
      </c>
      <c r="D429" s="23" t="str">
        <f ca="1">IF(A429="","",IF($B$10="Sí",interpolar_alamb(L429,OFFSET(Curvas_cupon_cero!$A$1,1,0,COUNT(Curvas_cupon_cero!$A:$A)-2,1),OFFSET(Curvas_cupon_cero!$A$1,1,MATCH($B$8,Curvas_cupon_cero!$1:$1,0)-1,COUNT(Curvas_cupon_cero!$A:$A)-2,1)),[1]!interpolar(L429,OFFSET(Curvas_cupon_cero!$A$1,1,0,COUNT(Curvas_cupon_cero!$A:$A)-2,1),OFFSET(Curvas_cupon_cero!$A$1,1,MATCH($B$8,Curvas_cupon_cero!$1:$1,0)-1,COUNT(Curvas_cupon_cero!$A:$A)-2,1))))</f>
        <v/>
      </c>
      <c r="E429" s="23" t="str">
        <f t="shared" si="63"/>
        <v/>
      </c>
      <c r="F429" s="23" t="str">
        <f ca="1">IF(A429="","",IF($B$10="Sí",interpolar_alamb(B429,OFFSET(Curvas_cupon_cero!$A$1,1,0,COUNT(Curvas_cupon_cero!$A:$A)-2,1),OFFSET(Curvas_cupon_cero!$A$1,1,MATCH($B$9,Curvas_cupon_cero!$1:$1,0)-1,COUNT(Curvas_cupon_cero!$A:$A)-2,1)),[1]!interpolar(B429,OFFSET(Curvas_cupon_cero!$A$1,1,0,COUNT(Curvas_cupon_cero!$A:$A)-2,1),OFFSET(Curvas_cupon_cero!$A$1,1,MATCH($B$9,Curvas_cupon_cero!$1:$1,0)-1,COUNT(Curvas_cupon_cero!$A:$A)-2,1))))</f>
        <v/>
      </c>
      <c r="G429" s="23" t="str">
        <f t="shared" si="64"/>
        <v/>
      </c>
      <c r="H429" s="20" t="str">
        <f t="shared" si="69"/>
        <v/>
      </c>
      <c r="I429" t="str">
        <f t="shared" si="65"/>
        <v/>
      </c>
      <c r="J429" s="17" t="str">
        <f t="shared" si="61"/>
        <v/>
      </c>
      <c r="K429" s="18" t="str">
        <f t="shared" si="66"/>
        <v/>
      </c>
      <c r="L429" t="str">
        <f t="shared" si="67"/>
        <v/>
      </c>
      <c r="M429" s="23" t="str">
        <f ca="1">IF(A429="","",IF($B$10="Sí",interpolar_alamb(L429,OFFSET(Curvas_cupon_cero!$A$1,1,0,COUNT(Curvas_cupon_cero!$A:$A)-2,1),OFFSET(Curvas_cupon_cero!$A$1,1,MATCH($B$6,Curvas_cupon_cero!$1:$1,0)-1,COUNT(Curvas_cupon_cero!$A:$A)-2,1)),[1]!interpolar(L429,OFFSET(Curvas_cupon_cero!$A$1,1,0,COUNT(Curvas_cupon_cero!$A:$A)-2,1),OFFSET(Curvas_cupon_cero!$A$1,1,MATCH($B$6,Curvas_cupon_cero!$1:$1,0)-1,COUNT(Curvas_cupon_cero!$A:$A)-2,1))))</f>
        <v/>
      </c>
      <c r="N429" s="23"/>
      <c r="O429" s="19" t="str">
        <f t="shared" si="68"/>
        <v/>
      </c>
    </row>
    <row r="430" spans="1:15" x14ac:dyDescent="0.2">
      <c r="A430" s="12" t="str">
        <f t="shared" si="62"/>
        <v/>
      </c>
      <c r="B430" t="str">
        <f t="shared" si="60"/>
        <v/>
      </c>
      <c r="C430" s="21" t="str">
        <f ca="1">IF(A430="","",IF($B$10="Sí",interpolar_alamb(B430,OFFSET(Curvas_cupon_cero!$A$1,1,0,COUNT(Curvas_cupon_cero!$A:$A)-2,1),OFFSET(Curvas_cupon_cero!$A$1,1,MATCH($B$8,Curvas_cupon_cero!$1:$1,0)-1,COUNT(Curvas_cupon_cero!$A:$A)-2,1)),[1]!interpolar(B430,OFFSET(Curvas_cupon_cero!$A$1,1,0,COUNT(Curvas_cupon_cero!$A:$A)-2,1),OFFSET(Curvas_cupon_cero!$A$1,1,MATCH($B$8,Curvas_cupon_cero!$1:$1,0)-1,COUNT(Curvas_cupon_cero!$A:$A)-2,1))))</f>
        <v/>
      </c>
      <c r="D430" s="23" t="str">
        <f ca="1">IF(A430="","",IF($B$10="Sí",interpolar_alamb(L430,OFFSET(Curvas_cupon_cero!$A$1,1,0,COUNT(Curvas_cupon_cero!$A:$A)-2,1),OFFSET(Curvas_cupon_cero!$A$1,1,MATCH($B$8,Curvas_cupon_cero!$1:$1,0)-1,COUNT(Curvas_cupon_cero!$A:$A)-2,1)),[1]!interpolar(L430,OFFSET(Curvas_cupon_cero!$A$1,1,0,COUNT(Curvas_cupon_cero!$A:$A)-2,1),OFFSET(Curvas_cupon_cero!$A$1,1,MATCH($B$8,Curvas_cupon_cero!$1:$1,0)-1,COUNT(Curvas_cupon_cero!$A:$A)-2,1))))</f>
        <v/>
      </c>
      <c r="E430" s="23" t="str">
        <f t="shared" si="63"/>
        <v/>
      </c>
      <c r="F430" s="23" t="str">
        <f ca="1">IF(A430="","",IF($B$10="Sí",interpolar_alamb(B430,OFFSET(Curvas_cupon_cero!$A$1,1,0,COUNT(Curvas_cupon_cero!$A:$A)-2,1),OFFSET(Curvas_cupon_cero!$A$1,1,MATCH($B$9,Curvas_cupon_cero!$1:$1,0)-1,COUNT(Curvas_cupon_cero!$A:$A)-2,1)),[1]!interpolar(B430,OFFSET(Curvas_cupon_cero!$A$1,1,0,COUNT(Curvas_cupon_cero!$A:$A)-2,1),OFFSET(Curvas_cupon_cero!$A$1,1,MATCH($B$9,Curvas_cupon_cero!$1:$1,0)-1,COUNT(Curvas_cupon_cero!$A:$A)-2,1))))</f>
        <v/>
      </c>
      <c r="G430" s="23" t="str">
        <f t="shared" si="64"/>
        <v/>
      </c>
      <c r="H430" s="20" t="str">
        <f t="shared" si="69"/>
        <v/>
      </c>
      <c r="I430" t="str">
        <f t="shared" si="65"/>
        <v/>
      </c>
      <c r="J430" s="17" t="str">
        <f t="shared" si="61"/>
        <v/>
      </c>
      <c r="K430" s="18" t="str">
        <f t="shared" si="66"/>
        <v/>
      </c>
      <c r="L430" t="str">
        <f t="shared" si="67"/>
        <v/>
      </c>
      <c r="M430" s="23" t="str">
        <f ca="1">IF(A430="","",IF($B$10="Sí",interpolar_alamb(L430,OFFSET(Curvas_cupon_cero!$A$1,1,0,COUNT(Curvas_cupon_cero!$A:$A)-2,1),OFFSET(Curvas_cupon_cero!$A$1,1,MATCH($B$6,Curvas_cupon_cero!$1:$1,0)-1,COUNT(Curvas_cupon_cero!$A:$A)-2,1)),[1]!interpolar(L430,OFFSET(Curvas_cupon_cero!$A$1,1,0,COUNT(Curvas_cupon_cero!$A:$A)-2,1),OFFSET(Curvas_cupon_cero!$A$1,1,MATCH($B$6,Curvas_cupon_cero!$1:$1,0)-1,COUNT(Curvas_cupon_cero!$A:$A)-2,1))))</f>
        <v/>
      </c>
      <c r="N430" s="23"/>
      <c r="O430" s="19" t="str">
        <f t="shared" si="68"/>
        <v/>
      </c>
    </row>
    <row r="431" spans="1:15" x14ac:dyDescent="0.2">
      <c r="A431" s="12" t="str">
        <f t="shared" si="62"/>
        <v/>
      </c>
      <c r="B431" t="str">
        <f t="shared" si="60"/>
        <v/>
      </c>
      <c r="C431" s="21" t="str">
        <f ca="1">IF(A431="","",IF($B$10="Sí",interpolar_alamb(B431,OFFSET(Curvas_cupon_cero!$A$1,1,0,COUNT(Curvas_cupon_cero!$A:$A)-2,1),OFFSET(Curvas_cupon_cero!$A$1,1,MATCH($B$8,Curvas_cupon_cero!$1:$1,0)-1,COUNT(Curvas_cupon_cero!$A:$A)-2,1)),[1]!interpolar(B431,OFFSET(Curvas_cupon_cero!$A$1,1,0,COUNT(Curvas_cupon_cero!$A:$A)-2,1),OFFSET(Curvas_cupon_cero!$A$1,1,MATCH($B$8,Curvas_cupon_cero!$1:$1,0)-1,COUNT(Curvas_cupon_cero!$A:$A)-2,1))))</f>
        <v/>
      </c>
      <c r="D431" s="23" t="str">
        <f ca="1">IF(A431="","",IF($B$10="Sí",interpolar_alamb(L431,OFFSET(Curvas_cupon_cero!$A$1,1,0,COUNT(Curvas_cupon_cero!$A:$A)-2,1),OFFSET(Curvas_cupon_cero!$A$1,1,MATCH($B$8,Curvas_cupon_cero!$1:$1,0)-1,COUNT(Curvas_cupon_cero!$A:$A)-2,1)),[1]!interpolar(L431,OFFSET(Curvas_cupon_cero!$A$1,1,0,COUNT(Curvas_cupon_cero!$A:$A)-2,1),OFFSET(Curvas_cupon_cero!$A$1,1,MATCH($B$8,Curvas_cupon_cero!$1:$1,0)-1,COUNT(Curvas_cupon_cero!$A:$A)-2,1))))</f>
        <v/>
      </c>
      <c r="E431" s="23" t="str">
        <f t="shared" si="63"/>
        <v/>
      </c>
      <c r="F431" s="23" t="str">
        <f ca="1">IF(A431="","",IF($B$10="Sí",interpolar_alamb(B431,OFFSET(Curvas_cupon_cero!$A$1,1,0,COUNT(Curvas_cupon_cero!$A:$A)-2,1),OFFSET(Curvas_cupon_cero!$A$1,1,MATCH($B$9,Curvas_cupon_cero!$1:$1,0)-1,COUNT(Curvas_cupon_cero!$A:$A)-2,1)),[1]!interpolar(B431,OFFSET(Curvas_cupon_cero!$A$1,1,0,COUNT(Curvas_cupon_cero!$A:$A)-2,1),OFFSET(Curvas_cupon_cero!$A$1,1,MATCH($B$9,Curvas_cupon_cero!$1:$1,0)-1,COUNT(Curvas_cupon_cero!$A:$A)-2,1))))</f>
        <v/>
      </c>
      <c r="G431" s="23" t="str">
        <f t="shared" si="64"/>
        <v/>
      </c>
      <c r="H431" s="20" t="str">
        <f t="shared" si="69"/>
        <v/>
      </c>
      <c r="I431" t="str">
        <f t="shared" si="65"/>
        <v/>
      </c>
      <c r="J431" s="17" t="str">
        <f t="shared" si="61"/>
        <v/>
      </c>
      <c r="K431" s="18" t="str">
        <f t="shared" si="66"/>
        <v/>
      </c>
      <c r="L431" t="str">
        <f t="shared" si="67"/>
        <v/>
      </c>
      <c r="M431" s="23" t="str">
        <f ca="1">IF(A431="","",IF($B$10="Sí",interpolar_alamb(L431,OFFSET(Curvas_cupon_cero!$A$1,1,0,COUNT(Curvas_cupon_cero!$A:$A)-2,1),OFFSET(Curvas_cupon_cero!$A$1,1,MATCH($B$6,Curvas_cupon_cero!$1:$1,0)-1,COUNT(Curvas_cupon_cero!$A:$A)-2,1)),[1]!interpolar(L431,OFFSET(Curvas_cupon_cero!$A$1,1,0,COUNT(Curvas_cupon_cero!$A:$A)-2,1),OFFSET(Curvas_cupon_cero!$A$1,1,MATCH($B$6,Curvas_cupon_cero!$1:$1,0)-1,COUNT(Curvas_cupon_cero!$A:$A)-2,1))))</f>
        <v/>
      </c>
      <c r="N431" s="23"/>
      <c r="O431" s="19" t="str">
        <f t="shared" si="68"/>
        <v/>
      </c>
    </row>
    <row r="432" spans="1:15" x14ac:dyDescent="0.2">
      <c r="A432" s="12" t="str">
        <f t="shared" si="62"/>
        <v/>
      </c>
      <c r="B432" t="str">
        <f t="shared" si="60"/>
        <v/>
      </c>
      <c r="C432" s="21" t="str">
        <f ca="1">IF(A432="","",IF($B$10="Sí",interpolar_alamb(B432,OFFSET(Curvas_cupon_cero!$A$1,1,0,COUNT(Curvas_cupon_cero!$A:$A)-2,1),OFFSET(Curvas_cupon_cero!$A$1,1,MATCH($B$8,Curvas_cupon_cero!$1:$1,0)-1,COUNT(Curvas_cupon_cero!$A:$A)-2,1)),[1]!interpolar(B432,OFFSET(Curvas_cupon_cero!$A$1,1,0,COUNT(Curvas_cupon_cero!$A:$A)-2,1),OFFSET(Curvas_cupon_cero!$A$1,1,MATCH($B$8,Curvas_cupon_cero!$1:$1,0)-1,COUNT(Curvas_cupon_cero!$A:$A)-2,1))))</f>
        <v/>
      </c>
      <c r="D432" s="23" t="str">
        <f ca="1">IF(A432="","",IF($B$10="Sí",interpolar_alamb(L432,OFFSET(Curvas_cupon_cero!$A$1,1,0,COUNT(Curvas_cupon_cero!$A:$A)-2,1),OFFSET(Curvas_cupon_cero!$A$1,1,MATCH($B$8,Curvas_cupon_cero!$1:$1,0)-1,COUNT(Curvas_cupon_cero!$A:$A)-2,1)),[1]!interpolar(L432,OFFSET(Curvas_cupon_cero!$A$1,1,0,COUNT(Curvas_cupon_cero!$A:$A)-2,1),OFFSET(Curvas_cupon_cero!$A$1,1,MATCH($B$8,Curvas_cupon_cero!$1:$1,0)-1,COUNT(Curvas_cupon_cero!$A:$A)-2,1))))</f>
        <v/>
      </c>
      <c r="E432" s="23" t="str">
        <f t="shared" si="63"/>
        <v/>
      </c>
      <c r="F432" s="23" t="str">
        <f ca="1">IF(A432="","",IF($B$10="Sí",interpolar_alamb(B432,OFFSET(Curvas_cupon_cero!$A$1,1,0,COUNT(Curvas_cupon_cero!$A:$A)-2,1),OFFSET(Curvas_cupon_cero!$A$1,1,MATCH($B$9,Curvas_cupon_cero!$1:$1,0)-1,COUNT(Curvas_cupon_cero!$A:$A)-2,1)),[1]!interpolar(B432,OFFSET(Curvas_cupon_cero!$A$1,1,0,COUNT(Curvas_cupon_cero!$A:$A)-2,1),OFFSET(Curvas_cupon_cero!$A$1,1,MATCH($B$9,Curvas_cupon_cero!$1:$1,0)-1,COUNT(Curvas_cupon_cero!$A:$A)-2,1))))</f>
        <v/>
      </c>
      <c r="G432" s="23" t="str">
        <f t="shared" si="64"/>
        <v/>
      </c>
      <c r="H432" s="20" t="str">
        <f t="shared" si="69"/>
        <v/>
      </c>
      <c r="I432" t="str">
        <f t="shared" si="65"/>
        <v/>
      </c>
      <c r="J432" s="17" t="str">
        <f t="shared" si="61"/>
        <v/>
      </c>
      <c r="K432" s="18" t="str">
        <f t="shared" si="66"/>
        <v/>
      </c>
      <c r="L432" t="str">
        <f t="shared" si="67"/>
        <v/>
      </c>
      <c r="M432" s="23" t="str">
        <f ca="1">IF(A432="","",IF($B$10="Sí",interpolar_alamb(L432,OFFSET(Curvas_cupon_cero!$A$1,1,0,COUNT(Curvas_cupon_cero!$A:$A)-2,1),OFFSET(Curvas_cupon_cero!$A$1,1,MATCH($B$6,Curvas_cupon_cero!$1:$1,0)-1,COUNT(Curvas_cupon_cero!$A:$A)-2,1)),[1]!interpolar(L432,OFFSET(Curvas_cupon_cero!$A$1,1,0,COUNT(Curvas_cupon_cero!$A:$A)-2,1),OFFSET(Curvas_cupon_cero!$A$1,1,MATCH($B$6,Curvas_cupon_cero!$1:$1,0)-1,COUNT(Curvas_cupon_cero!$A:$A)-2,1))))</f>
        <v/>
      </c>
      <c r="N432" s="23"/>
      <c r="O432" s="19" t="str">
        <f t="shared" si="68"/>
        <v/>
      </c>
    </row>
    <row r="433" spans="1:15" x14ac:dyDescent="0.2">
      <c r="A433" s="12" t="str">
        <f t="shared" si="62"/>
        <v/>
      </c>
      <c r="B433" t="str">
        <f t="shared" si="60"/>
        <v/>
      </c>
      <c r="C433" s="21" t="str">
        <f ca="1">IF(A433="","",IF($B$10="Sí",interpolar_alamb(B433,OFFSET(Curvas_cupon_cero!$A$1,1,0,COUNT(Curvas_cupon_cero!$A:$A)-2,1),OFFSET(Curvas_cupon_cero!$A$1,1,MATCH($B$8,Curvas_cupon_cero!$1:$1,0)-1,COUNT(Curvas_cupon_cero!$A:$A)-2,1)),[1]!interpolar(B433,OFFSET(Curvas_cupon_cero!$A$1,1,0,COUNT(Curvas_cupon_cero!$A:$A)-2,1),OFFSET(Curvas_cupon_cero!$A$1,1,MATCH($B$8,Curvas_cupon_cero!$1:$1,0)-1,COUNT(Curvas_cupon_cero!$A:$A)-2,1))))</f>
        <v/>
      </c>
      <c r="D433" s="23" t="str">
        <f ca="1">IF(A433="","",IF($B$10="Sí",interpolar_alamb(L433,OFFSET(Curvas_cupon_cero!$A$1,1,0,COUNT(Curvas_cupon_cero!$A:$A)-2,1),OFFSET(Curvas_cupon_cero!$A$1,1,MATCH($B$8,Curvas_cupon_cero!$1:$1,0)-1,COUNT(Curvas_cupon_cero!$A:$A)-2,1)),[1]!interpolar(L433,OFFSET(Curvas_cupon_cero!$A$1,1,0,COUNT(Curvas_cupon_cero!$A:$A)-2,1),OFFSET(Curvas_cupon_cero!$A$1,1,MATCH($B$8,Curvas_cupon_cero!$1:$1,0)-1,COUNT(Curvas_cupon_cero!$A:$A)-2,1))))</f>
        <v/>
      </c>
      <c r="E433" s="23" t="str">
        <f t="shared" si="63"/>
        <v/>
      </c>
      <c r="F433" s="23" t="str">
        <f ca="1">IF(A433="","",IF($B$10="Sí",interpolar_alamb(B433,OFFSET(Curvas_cupon_cero!$A$1,1,0,COUNT(Curvas_cupon_cero!$A:$A)-2,1),OFFSET(Curvas_cupon_cero!$A$1,1,MATCH($B$9,Curvas_cupon_cero!$1:$1,0)-1,COUNT(Curvas_cupon_cero!$A:$A)-2,1)),[1]!interpolar(B433,OFFSET(Curvas_cupon_cero!$A$1,1,0,COUNT(Curvas_cupon_cero!$A:$A)-2,1),OFFSET(Curvas_cupon_cero!$A$1,1,MATCH($B$9,Curvas_cupon_cero!$1:$1,0)-1,COUNT(Curvas_cupon_cero!$A:$A)-2,1))))</f>
        <v/>
      </c>
      <c r="G433" s="23" t="str">
        <f t="shared" si="64"/>
        <v/>
      </c>
      <c r="H433" s="20" t="str">
        <f t="shared" si="69"/>
        <v/>
      </c>
      <c r="I433" t="str">
        <f t="shared" si="65"/>
        <v/>
      </c>
      <c r="J433" s="17" t="str">
        <f t="shared" si="61"/>
        <v/>
      </c>
      <c r="K433" s="18" t="str">
        <f t="shared" si="66"/>
        <v/>
      </c>
      <c r="L433" t="str">
        <f t="shared" si="67"/>
        <v/>
      </c>
      <c r="M433" s="23" t="str">
        <f ca="1">IF(A433="","",IF($B$10="Sí",interpolar_alamb(L433,OFFSET(Curvas_cupon_cero!$A$1,1,0,COUNT(Curvas_cupon_cero!$A:$A)-2,1),OFFSET(Curvas_cupon_cero!$A$1,1,MATCH($B$6,Curvas_cupon_cero!$1:$1,0)-1,COUNT(Curvas_cupon_cero!$A:$A)-2,1)),[1]!interpolar(L433,OFFSET(Curvas_cupon_cero!$A$1,1,0,COUNT(Curvas_cupon_cero!$A:$A)-2,1),OFFSET(Curvas_cupon_cero!$A$1,1,MATCH($B$6,Curvas_cupon_cero!$1:$1,0)-1,COUNT(Curvas_cupon_cero!$A:$A)-2,1))))</f>
        <v/>
      </c>
      <c r="N433" s="23"/>
      <c r="O433" s="19" t="str">
        <f t="shared" si="68"/>
        <v/>
      </c>
    </row>
    <row r="434" spans="1:15" x14ac:dyDescent="0.2">
      <c r="A434" s="12" t="str">
        <f t="shared" si="62"/>
        <v/>
      </c>
      <c r="B434" t="str">
        <f t="shared" si="60"/>
        <v/>
      </c>
      <c r="C434" s="21" t="str">
        <f ca="1">IF(A434="","",IF($B$10="Sí",interpolar_alamb(B434,OFFSET(Curvas_cupon_cero!$A$1,1,0,COUNT(Curvas_cupon_cero!$A:$A)-2,1),OFFSET(Curvas_cupon_cero!$A$1,1,MATCH($B$8,Curvas_cupon_cero!$1:$1,0)-1,COUNT(Curvas_cupon_cero!$A:$A)-2,1)),[1]!interpolar(B434,OFFSET(Curvas_cupon_cero!$A$1,1,0,COUNT(Curvas_cupon_cero!$A:$A)-2,1),OFFSET(Curvas_cupon_cero!$A$1,1,MATCH($B$8,Curvas_cupon_cero!$1:$1,0)-1,COUNT(Curvas_cupon_cero!$A:$A)-2,1))))</f>
        <v/>
      </c>
      <c r="D434" s="23" t="str">
        <f ca="1">IF(A434="","",IF($B$10="Sí",interpolar_alamb(L434,OFFSET(Curvas_cupon_cero!$A$1,1,0,COUNT(Curvas_cupon_cero!$A:$A)-2,1),OFFSET(Curvas_cupon_cero!$A$1,1,MATCH($B$8,Curvas_cupon_cero!$1:$1,0)-1,COUNT(Curvas_cupon_cero!$A:$A)-2,1)),[1]!interpolar(L434,OFFSET(Curvas_cupon_cero!$A$1,1,0,COUNT(Curvas_cupon_cero!$A:$A)-2,1),OFFSET(Curvas_cupon_cero!$A$1,1,MATCH($B$8,Curvas_cupon_cero!$1:$1,0)-1,COUNT(Curvas_cupon_cero!$A:$A)-2,1))))</f>
        <v/>
      </c>
      <c r="E434" s="23" t="str">
        <f t="shared" si="63"/>
        <v/>
      </c>
      <c r="F434" s="23" t="str">
        <f ca="1">IF(A434="","",IF($B$10="Sí",interpolar_alamb(B434,OFFSET(Curvas_cupon_cero!$A$1,1,0,COUNT(Curvas_cupon_cero!$A:$A)-2,1),OFFSET(Curvas_cupon_cero!$A$1,1,MATCH($B$9,Curvas_cupon_cero!$1:$1,0)-1,COUNT(Curvas_cupon_cero!$A:$A)-2,1)),[1]!interpolar(B434,OFFSET(Curvas_cupon_cero!$A$1,1,0,COUNT(Curvas_cupon_cero!$A:$A)-2,1),OFFSET(Curvas_cupon_cero!$A$1,1,MATCH($B$9,Curvas_cupon_cero!$1:$1,0)-1,COUNT(Curvas_cupon_cero!$A:$A)-2,1))))</f>
        <v/>
      </c>
      <c r="G434" s="23" t="str">
        <f t="shared" si="64"/>
        <v/>
      </c>
      <c r="H434" s="20" t="str">
        <f t="shared" si="69"/>
        <v/>
      </c>
      <c r="I434" t="str">
        <f t="shared" si="65"/>
        <v/>
      </c>
      <c r="J434" s="17" t="str">
        <f t="shared" si="61"/>
        <v/>
      </c>
      <c r="K434" s="18" t="str">
        <f t="shared" si="66"/>
        <v/>
      </c>
      <c r="L434" t="str">
        <f t="shared" si="67"/>
        <v/>
      </c>
      <c r="M434" s="23" t="str">
        <f ca="1">IF(A434="","",IF($B$10="Sí",interpolar_alamb(L434,OFFSET(Curvas_cupon_cero!$A$1,1,0,COUNT(Curvas_cupon_cero!$A:$A)-2,1),OFFSET(Curvas_cupon_cero!$A$1,1,MATCH($B$6,Curvas_cupon_cero!$1:$1,0)-1,COUNT(Curvas_cupon_cero!$A:$A)-2,1)),[1]!interpolar(L434,OFFSET(Curvas_cupon_cero!$A$1,1,0,COUNT(Curvas_cupon_cero!$A:$A)-2,1),OFFSET(Curvas_cupon_cero!$A$1,1,MATCH($B$6,Curvas_cupon_cero!$1:$1,0)-1,COUNT(Curvas_cupon_cero!$A:$A)-2,1))))</f>
        <v/>
      </c>
      <c r="N434" s="23"/>
      <c r="O434" s="19" t="str">
        <f t="shared" si="68"/>
        <v/>
      </c>
    </row>
    <row r="435" spans="1:15" x14ac:dyDescent="0.2">
      <c r="A435" s="12" t="str">
        <f t="shared" si="62"/>
        <v/>
      </c>
      <c r="B435" t="str">
        <f t="shared" si="60"/>
        <v/>
      </c>
      <c r="C435" s="21" t="str">
        <f ca="1">IF(A435="","",IF($B$10="Sí",interpolar_alamb(B435,OFFSET(Curvas_cupon_cero!$A$1,1,0,COUNT(Curvas_cupon_cero!$A:$A)-2,1),OFFSET(Curvas_cupon_cero!$A$1,1,MATCH($B$8,Curvas_cupon_cero!$1:$1,0)-1,COUNT(Curvas_cupon_cero!$A:$A)-2,1)),[1]!interpolar(B435,OFFSET(Curvas_cupon_cero!$A$1,1,0,COUNT(Curvas_cupon_cero!$A:$A)-2,1),OFFSET(Curvas_cupon_cero!$A$1,1,MATCH($B$8,Curvas_cupon_cero!$1:$1,0)-1,COUNT(Curvas_cupon_cero!$A:$A)-2,1))))</f>
        <v/>
      </c>
      <c r="D435" s="23" t="str">
        <f ca="1">IF(A435="","",IF($B$10="Sí",interpolar_alamb(L435,OFFSET(Curvas_cupon_cero!$A$1,1,0,COUNT(Curvas_cupon_cero!$A:$A)-2,1),OFFSET(Curvas_cupon_cero!$A$1,1,MATCH($B$8,Curvas_cupon_cero!$1:$1,0)-1,COUNT(Curvas_cupon_cero!$A:$A)-2,1)),[1]!interpolar(L435,OFFSET(Curvas_cupon_cero!$A$1,1,0,COUNT(Curvas_cupon_cero!$A:$A)-2,1),OFFSET(Curvas_cupon_cero!$A$1,1,MATCH($B$8,Curvas_cupon_cero!$1:$1,0)-1,COUNT(Curvas_cupon_cero!$A:$A)-2,1))))</f>
        <v/>
      </c>
      <c r="E435" s="23" t="str">
        <f t="shared" si="63"/>
        <v/>
      </c>
      <c r="F435" s="23" t="str">
        <f ca="1">IF(A435="","",IF($B$10="Sí",interpolar_alamb(B435,OFFSET(Curvas_cupon_cero!$A$1,1,0,COUNT(Curvas_cupon_cero!$A:$A)-2,1),OFFSET(Curvas_cupon_cero!$A$1,1,MATCH($B$9,Curvas_cupon_cero!$1:$1,0)-1,COUNT(Curvas_cupon_cero!$A:$A)-2,1)),[1]!interpolar(B435,OFFSET(Curvas_cupon_cero!$A$1,1,0,COUNT(Curvas_cupon_cero!$A:$A)-2,1),OFFSET(Curvas_cupon_cero!$A$1,1,MATCH($B$9,Curvas_cupon_cero!$1:$1,0)-1,COUNT(Curvas_cupon_cero!$A:$A)-2,1))))</f>
        <v/>
      </c>
      <c r="G435" s="23" t="str">
        <f t="shared" si="64"/>
        <v/>
      </c>
      <c r="H435" s="20" t="str">
        <f t="shared" si="69"/>
        <v/>
      </c>
      <c r="I435" t="str">
        <f t="shared" si="65"/>
        <v/>
      </c>
      <c r="J435" s="17" t="str">
        <f t="shared" si="61"/>
        <v/>
      </c>
      <c r="K435" s="18" t="str">
        <f t="shared" si="66"/>
        <v/>
      </c>
      <c r="L435" t="str">
        <f t="shared" si="67"/>
        <v/>
      </c>
      <c r="M435" s="23" t="str">
        <f ca="1">IF(A435="","",IF($B$10="Sí",interpolar_alamb(L435,OFFSET(Curvas_cupon_cero!$A$1,1,0,COUNT(Curvas_cupon_cero!$A:$A)-2,1),OFFSET(Curvas_cupon_cero!$A$1,1,MATCH($B$6,Curvas_cupon_cero!$1:$1,0)-1,COUNT(Curvas_cupon_cero!$A:$A)-2,1)),[1]!interpolar(L435,OFFSET(Curvas_cupon_cero!$A$1,1,0,COUNT(Curvas_cupon_cero!$A:$A)-2,1),OFFSET(Curvas_cupon_cero!$A$1,1,MATCH($B$6,Curvas_cupon_cero!$1:$1,0)-1,COUNT(Curvas_cupon_cero!$A:$A)-2,1))))</f>
        <v/>
      </c>
      <c r="N435" s="23"/>
      <c r="O435" s="19" t="str">
        <f t="shared" si="68"/>
        <v/>
      </c>
    </row>
    <row r="436" spans="1:15" x14ac:dyDescent="0.2">
      <c r="A436" s="12" t="str">
        <f t="shared" si="62"/>
        <v/>
      </c>
      <c r="B436" t="str">
        <f t="shared" si="60"/>
        <v/>
      </c>
      <c r="C436" s="21" t="str">
        <f ca="1">IF(A436="","",IF($B$10="Sí",interpolar_alamb(B436,OFFSET(Curvas_cupon_cero!$A$1,1,0,COUNT(Curvas_cupon_cero!$A:$A)-2,1),OFFSET(Curvas_cupon_cero!$A$1,1,MATCH($B$8,Curvas_cupon_cero!$1:$1,0)-1,COUNT(Curvas_cupon_cero!$A:$A)-2,1)),[1]!interpolar(B436,OFFSET(Curvas_cupon_cero!$A$1,1,0,COUNT(Curvas_cupon_cero!$A:$A)-2,1),OFFSET(Curvas_cupon_cero!$A$1,1,MATCH($B$8,Curvas_cupon_cero!$1:$1,0)-1,COUNT(Curvas_cupon_cero!$A:$A)-2,1))))</f>
        <v/>
      </c>
      <c r="D436" s="23" t="str">
        <f ca="1">IF(A436="","",IF($B$10="Sí",interpolar_alamb(L436,OFFSET(Curvas_cupon_cero!$A$1,1,0,COUNT(Curvas_cupon_cero!$A:$A)-2,1),OFFSET(Curvas_cupon_cero!$A$1,1,MATCH($B$8,Curvas_cupon_cero!$1:$1,0)-1,COUNT(Curvas_cupon_cero!$A:$A)-2,1)),[1]!interpolar(L436,OFFSET(Curvas_cupon_cero!$A$1,1,0,COUNT(Curvas_cupon_cero!$A:$A)-2,1),OFFSET(Curvas_cupon_cero!$A$1,1,MATCH($B$8,Curvas_cupon_cero!$1:$1,0)-1,COUNT(Curvas_cupon_cero!$A:$A)-2,1))))</f>
        <v/>
      </c>
      <c r="E436" s="23" t="str">
        <f t="shared" si="63"/>
        <v/>
      </c>
      <c r="F436" s="23" t="str">
        <f ca="1">IF(A436="","",IF($B$10="Sí",interpolar_alamb(B436,OFFSET(Curvas_cupon_cero!$A$1,1,0,COUNT(Curvas_cupon_cero!$A:$A)-2,1),OFFSET(Curvas_cupon_cero!$A$1,1,MATCH($B$9,Curvas_cupon_cero!$1:$1,0)-1,COUNT(Curvas_cupon_cero!$A:$A)-2,1)),[1]!interpolar(B436,OFFSET(Curvas_cupon_cero!$A$1,1,0,COUNT(Curvas_cupon_cero!$A:$A)-2,1),OFFSET(Curvas_cupon_cero!$A$1,1,MATCH($B$9,Curvas_cupon_cero!$1:$1,0)-1,COUNT(Curvas_cupon_cero!$A:$A)-2,1))))</f>
        <v/>
      </c>
      <c r="G436" s="23" t="str">
        <f t="shared" si="64"/>
        <v/>
      </c>
      <c r="H436" s="20" t="str">
        <f t="shared" si="69"/>
        <v/>
      </c>
      <c r="I436" t="str">
        <f t="shared" si="65"/>
        <v/>
      </c>
      <c r="J436" s="17" t="str">
        <f t="shared" si="61"/>
        <v/>
      </c>
      <c r="K436" s="18" t="str">
        <f t="shared" si="66"/>
        <v/>
      </c>
      <c r="L436" t="str">
        <f t="shared" si="67"/>
        <v/>
      </c>
      <c r="M436" s="23" t="str">
        <f ca="1">IF(A436="","",IF($B$10="Sí",interpolar_alamb(L436,OFFSET(Curvas_cupon_cero!$A$1,1,0,COUNT(Curvas_cupon_cero!$A:$A)-2,1),OFFSET(Curvas_cupon_cero!$A$1,1,MATCH($B$6,Curvas_cupon_cero!$1:$1,0)-1,COUNT(Curvas_cupon_cero!$A:$A)-2,1)),[1]!interpolar(L436,OFFSET(Curvas_cupon_cero!$A$1,1,0,COUNT(Curvas_cupon_cero!$A:$A)-2,1),OFFSET(Curvas_cupon_cero!$A$1,1,MATCH($B$6,Curvas_cupon_cero!$1:$1,0)-1,COUNT(Curvas_cupon_cero!$A:$A)-2,1))))</f>
        <v/>
      </c>
      <c r="N436" s="23"/>
      <c r="O436" s="19" t="str">
        <f t="shared" si="68"/>
        <v/>
      </c>
    </row>
    <row r="437" spans="1:15" x14ac:dyDescent="0.2">
      <c r="A437" s="12" t="str">
        <f t="shared" si="62"/>
        <v/>
      </c>
      <c r="B437" t="str">
        <f t="shared" si="60"/>
        <v/>
      </c>
      <c r="C437" s="21" t="str">
        <f ca="1">IF(A437="","",IF($B$10="Sí",interpolar_alamb(B437,OFFSET(Curvas_cupon_cero!$A$1,1,0,COUNT(Curvas_cupon_cero!$A:$A)-2,1),OFFSET(Curvas_cupon_cero!$A$1,1,MATCH($B$8,Curvas_cupon_cero!$1:$1,0)-1,COUNT(Curvas_cupon_cero!$A:$A)-2,1)),[1]!interpolar(B437,OFFSET(Curvas_cupon_cero!$A$1,1,0,COUNT(Curvas_cupon_cero!$A:$A)-2,1),OFFSET(Curvas_cupon_cero!$A$1,1,MATCH($B$8,Curvas_cupon_cero!$1:$1,0)-1,COUNT(Curvas_cupon_cero!$A:$A)-2,1))))</f>
        <v/>
      </c>
      <c r="D437" s="23" t="str">
        <f ca="1">IF(A437="","",IF($B$10="Sí",interpolar_alamb(L437,OFFSET(Curvas_cupon_cero!$A$1,1,0,COUNT(Curvas_cupon_cero!$A:$A)-2,1),OFFSET(Curvas_cupon_cero!$A$1,1,MATCH($B$8,Curvas_cupon_cero!$1:$1,0)-1,COUNT(Curvas_cupon_cero!$A:$A)-2,1)),[1]!interpolar(L437,OFFSET(Curvas_cupon_cero!$A$1,1,0,COUNT(Curvas_cupon_cero!$A:$A)-2,1),OFFSET(Curvas_cupon_cero!$A$1,1,MATCH($B$8,Curvas_cupon_cero!$1:$1,0)-1,COUNT(Curvas_cupon_cero!$A:$A)-2,1))))</f>
        <v/>
      </c>
      <c r="E437" s="23" t="str">
        <f t="shared" si="63"/>
        <v/>
      </c>
      <c r="F437" s="23" t="str">
        <f ca="1">IF(A437="","",IF($B$10="Sí",interpolar_alamb(B437,OFFSET(Curvas_cupon_cero!$A$1,1,0,COUNT(Curvas_cupon_cero!$A:$A)-2,1),OFFSET(Curvas_cupon_cero!$A$1,1,MATCH($B$9,Curvas_cupon_cero!$1:$1,0)-1,COUNT(Curvas_cupon_cero!$A:$A)-2,1)),[1]!interpolar(B437,OFFSET(Curvas_cupon_cero!$A$1,1,0,COUNT(Curvas_cupon_cero!$A:$A)-2,1),OFFSET(Curvas_cupon_cero!$A$1,1,MATCH($B$9,Curvas_cupon_cero!$1:$1,0)-1,COUNT(Curvas_cupon_cero!$A:$A)-2,1))))</f>
        <v/>
      </c>
      <c r="G437" s="23" t="str">
        <f t="shared" si="64"/>
        <v/>
      </c>
      <c r="H437" s="20" t="str">
        <f t="shared" si="69"/>
        <v/>
      </c>
      <c r="I437" t="str">
        <f t="shared" si="65"/>
        <v/>
      </c>
      <c r="J437" s="17" t="str">
        <f t="shared" si="61"/>
        <v/>
      </c>
      <c r="K437" s="18" t="str">
        <f t="shared" si="66"/>
        <v/>
      </c>
      <c r="L437" t="str">
        <f t="shared" si="67"/>
        <v/>
      </c>
      <c r="M437" s="23" t="str">
        <f ca="1">IF(A437="","",IF($B$10="Sí",interpolar_alamb(L437,OFFSET(Curvas_cupon_cero!$A$1,1,0,COUNT(Curvas_cupon_cero!$A:$A)-2,1),OFFSET(Curvas_cupon_cero!$A$1,1,MATCH($B$6,Curvas_cupon_cero!$1:$1,0)-1,COUNT(Curvas_cupon_cero!$A:$A)-2,1)),[1]!interpolar(L437,OFFSET(Curvas_cupon_cero!$A$1,1,0,COUNT(Curvas_cupon_cero!$A:$A)-2,1),OFFSET(Curvas_cupon_cero!$A$1,1,MATCH($B$6,Curvas_cupon_cero!$1:$1,0)-1,COUNT(Curvas_cupon_cero!$A:$A)-2,1))))</f>
        <v/>
      </c>
      <c r="N437" s="23"/>
      <c r="O437" s="19" t="str">
        <f t="shared" si="68"/>
        <v/>
      </c>
    </row>
    <row r="438" spans="1:15" x14ac:dyDescent="0.2">
      <c r="A438" s="12" t="str">
        <f t="shared" si="62"/>
        <v/>
      </c>
      <c r="B438" t="str">
        <f t="shared" si="60"/>
        <v/>
      </c>
      <c r="C438" s="21" t="str">
        <f ca="1">IF(A438="","",IF($B$10="Sí",interpolar_alamb(B438,OFFSET(Curvas_cupon_cero!$A$1,1,0,COUNT(Curvas_cupon_cero!$A:$A)-2,1),OFFSET(Curvas_cupon_cero!$A$1,1,MATCH($B$8,Curvas_cupon_cero!$1:$1,0)-1,COUNT(Curvas_cupon_cero!$A:$A)-2,1)),[1]!interpolar(B438,OFFSET(Curvas_cupon_cero!$A$1,1,0,COUNT(Curvas_cupon_cero!$A:$A)-2,1),OFFSET(Curvas_cupon_cero!$A$1,1,MATCH($B$8,Curvas_cupon_cero!$1:$1,0)-1,COUNT(Curvas_cupon_cero!$A:$A)-2,1))))</f>
        <v/>
      </c>
      <c r="D438" s="23" t="str">
        <f ca="1">IF(A438="","",IF($B$10="Sí",interpolar_alamb(L438,OFFSET(Curvas_cupon_cero!$A$1,1,0,COUNT(Curvas_cupon_cero!$A:$A)-2,1),OFFSET(Curvas_cupon_cero!$A$1,1,MATCH($B$8,Curvas_cupon_cero!$1:$1,0)-1,COUNT(Curvas_cupon_cero!$A:$A)-2,1)),[1]!interpolar(L438,OFFSET(Curvas_cupon_cero!$A$1,1,0,COUNT(Curvas_cupon_cero!$A:$A)-2,1),OFFSET(Curvas_cupon_cero!$A$1,1,MATCH($B$8,Curvas_cupon_cero!$1:$1,0)-1,COUNT(Curvas_cupon_cero!$A:$A)-2,1))))</f>
        <v/>
      </c>
      <c r="E438" s="23" t="str">
        <f t="shared" si="63"/>
        <v/>
      </c>
      <c r="F438" s="23" t="str">
        <f ca="1">IF(A438="","",IF($B$10="Sí",interpolar_alamb(B438,OFFSET(Curvas_cupon_cero!$A$1,1,0,COUNT(Curvas_cupon_cero!$A:$A)-2,1),OFFSET(Curvas_cupon_cero!$A$1,1,MATCH($B$9,Curvas_cupon_cero!$1:$1,0)-1,COUNT(Curvas_cupon_cero!$A:$A)-2,1)),[1]!interpolar(B438,OFFSET(Curvas_cupon_cero!$A$1,1,0,COUNT(Curvas_cupon_cero!$A:$A)-2,1),OFFSET(Curvas_cupon_cero!$A$1,1,MATCH($B$9,Curvas_cupon_cero!$1:$1,0)-1,COUNT(Curvas_cupon_cero!$A:$A)-2,1))))</f>
        <v/>
      </c>
      <c r="G438" s="23" t="str">
        <f t="shared" si="64"/>
        <v/>
      </c>
      <c r="H438" s="20" t="str">
        <f t="shared" si="69"/>
        <v/>
      </c>
      <c r="I438" t="str">
        <f t="shared" si="65"/>
        <v/>
      </c>
      <c r="J438" s="17" t="str">
        <f t="shared" si="61"/>
        <v/>
      </c>
      <c r="K438" s="18" t="str">
        <f t="shared" si="66"/>
        <v/>
      </c>
      <c r="L438" t="str">
        <f t="shared" si="67"/>
        <v/>
      </c>
      <c r="M438" s="23" t="str">
        <f ca="1">IF(A438="","",IF($B$10="Sí",interpolar_alamb(L438,OFFSET(Curvas_cupon_cero!$A$1,1,0,COUNT(Curvas_cupon_cero!$A:$A)-2,1),OFFSET(Curvas_cupon_cero!$A$1,1,MATCH($B$6,Curvas_cupon_cero!$1:$1,0)-1,COUNT(Curvas_cupon_cero!$A:$A)-2,1)),[1]!interpolar(L438,OFFSET(Curvas_cupon_cero!$A$1,1,0,COUNT(Curvas_cupon_cero!$A:$A)-2,1),OFFSET(Curvas_cupon_cero!$A$1,1,MATCH($B$6,Curvas_cupon_cero!$1:$1,0)-1,COUNT(Curvas_cupon_cero!$A:$A)-2,1))))</f>
        <v/>
      </c>
      <c r="N438" s="23"/>
      <c r="O438" s="19" t="str">
        <f t="shared" si="68"/>
        <v/>
      </c>
    </row>
    <row r="439" spans="1:15" x14ac:dyDescent="0.2">
      <c r="A439" s="12" t="str">
        <f t="shared" si="62"/>
        <v/>
      </c>
      <c r="B439" t="str">
        <f t="shared" si="60"/>
        <v/>
      </c>
      <c r="C439" s="21" t="str">
        <f ca="1">IF(A439="","",IF($B$10="Sí",interpolar_alamb(B439,OFFSET(Curvas_cupon_cero!$A$1,1,0,COUNT(Curvas_cupon_cero!$A:$A)-2,1),OFFSET(Curvas_cupon_cero!$A$1,1,MATCH($B$8,Curvas_cupon_cero!$1:$1,0)-1,COUNT(Curvas_cupon_cero!$A:$A)-2,1)),[1]!interpolar(B439,OFFSET(Curvas_cupon_cero!$A$1,1,0,COUNT(Curvas_cupon_cero!$A:$A)-2,1),OFFSET(Curvas_cupon_cero!$A$1,1,MATCH($B$8,Curvas_cupon_cero!$1:$1,0)-1,COUNT(Curvas_cupon_cero!$A:$A)-2,1))))</f>
        <v/>
      </c>
      <c r="D439" s="23" t="str">
        <f ca="1">IF(A439="","",IF($B$10="Sí",interpolar_alamb(L439,OFFSET(Curvas_cupon_cero!$A$1,1,0,COUNT(Curvas_cupon_cero!$A:$A)-2,1),OFFSET(Curvas_cupon_cero!$A$1,1,MATCH($B$8,Curvas_cupon_cero!$1:$1,0)-1,COUNT(Curvas_cupon_cero!$A:$A)-2,1)),[1]!interpolar(L439,OFFSET(Curvas_cupon_cero!$A$1,1,0,COUNT(Curvas_cupon_cero!$A:$A)-2,1),OFFSET(Curvas_cupon_cero!$A$1,1,MATCH($B$8,Curvas_cupon_cero!$1:$1,0)-1,COUNT(Curvas_cupon_cero!$A:$A)-2,1))))</f>
        <v/>
      </c>
      <c r="E439" s="23" t="str">
        <f t="shared" si="63"/>
        <v/>
      </c>
      <c r="F439" s="23" t="str">
        <f ca="1">IF(A439="","",IF($B$10="Sí",interpolar_alamb(B439,OFFSET(Curvas_cupon_cero!$A$1,1,0,COUNT(Curvas_cupon_cero!$A:$A)-2,1),OFFSET(Curvas_cupon_cero!$A$1,1,MATCH($B$9,Curvas_cupon_cero!$1:$1,0)-1,COUNT(Curvas_cupon_cero!$A:$A)-2,1)),[1]!interpolar(B439,OFFSET(Curvas_cupon_cero!$A$1,1,0,COUNT(Curvas_cupon_cero!$A:$A)-2,1),OFFSET(Curvas_cupon_cero!$A$1,1,MATCH($B$9,Curvas_cupon_cero!$1:$1,0)-1,COUNT(Curvas_cupon_cero!$A:$A)-2,1))))</f>
        <v/>
      </c>
      <c r="G439" s="23" t="str">
        <f t="shared" si="64"/>
        <v/>
      </c>
      <c r="H439" s="20" t="str">
        <f t="shared" si="69"/>
        <v/>
      </c>
      <c r="I439" t="str">
        <f t="shared" si="65"/>
        <v/>
      </c>
      <c r="J439" s="17" t="str">
        <f t="shared" si="61"/>
        <v/>
      </c>
      <c r="K439" s="18" t="str">
        <f t="shared" si="66"/>
        <v/>
      </c>
      <c r="L439" t="str">
        <f t="shared" si="67"/>
        <v/>
      </c>
      <c r="M439" s="23" t="str">
        <f ca="1">IF(A439="","",IF($B$10="Sí",interpolar_alamb(L439,OFFSET(Curvas_cupon_cero!$A$1,1,0,COUNT(Curvas_cupon_cero!$A:$A)-2,1),OFFSET(Curvas_cupon_cero!$A$1,1,MATCH($B$6,Curvas_cupon_cero!$1:$1,0)-1,COUNT(Curvas_cupon_cero!$A:$A)-2,1)),[1]!interpolar(L439,OFFSET(Curvas_cupon_cero!$A$1,1,0,COUNT(Curvas_cupon_cero!$A:$A)-2,1),OFFSET(Curvas_cupon_cero!$A$1,1,MATCH($B$6,Curvas_cupon_cero!$1:$1,0)-1,COUNT(Curvas_cupon_cero!$A:$A)-2,1))))</f>
        <v/>
      </c>
      <c r="N439" s="23"/>
      <c r="O439" s="19" t="str">
        <f t="shared" si="68"/>
        <v/>
      </c>
    </row>
    <row r="440" spans="1:15" x14ac:dyDescent="0.2">
      <c r="A440" s="12" t="str">
        <f t="shared" si="62"/>
        <v/>
      </c>
      <c r="B440" t="str">
        <f t="shared" si="60"/>
        <v/>
      </c>
      <c r="C440" s="21" t="str">
        <f ca="1">IF(A440="","",IF($B$10="Sí",interpolar_alamb(B440,OFFSET(Curvas_cupon_cero!$A$1,1,0,COUNT(Curvas_cupon_cero!$A:$A)-2,1),OFFSET(Curvas_cupon_cero!$A$1,1,MATCH($B$8,Curvas_cupon_cero!$1:$1,0)-1,COUNT(Curvas_cupon_cero!$A:$A)-2,1)),[1]!interpolar(B440,OFFSET(Curvas_cupon_cero!$A$1,1,0,COUNT(Curvas_cupon_cero!$A:$A)-2,1),OFFSET(Curvas_cupon_cero!$A$1,1,MATCH($B$8,Curvas_cupon_cero!$1:$1,0)-1,COUNT(Curvas_cupon_cero!$A:$A)-2,1))))</f>
        <v/>
      </c>
      <c r="D440" s="23" t="str">
        <f ca="1">IF(A440="","",IF($B$10="Sí",interpolar_alamb(L440,OFFSET(Curvas_cupon_cero!$A$1,1,0,COUNT(Curvas_cupon_cero!$A:$A)-2,1),OFFSET(Curvas_cupon_cero!$A$1,1,MATCH($B$8,Curvas_cupon_cero!$1:$1,0)-1,COUNT(Curvas_cupon_cero!$A:$A)-2,1)),[1]!interpolar(L440,OFFSET(Curvas_cupon_cero!$A$1,1,0,COUNT(Curvas_cupon_cero!$A:$A)-2,1),OFFSET(Curvas_cupon_cero!$A$1,1,MATCH($B$8,Curvas_cupon_cero!$1:$1,0)-1,COUNT(Curvas_cupon_cero!$A:$A)-2,1))))</f>
        <v/>
      </c>
      <c r="E440" s="23" t="str">
        <f t="shared" si="63"/>
        <v/>
      </c>
      <c r="F440" s="23" t="str">
        <f ca="1">IF(A440="","",IF($B$10="Sí",interpolar_alamb(B440,OFFSET(Curvas_cupon_cero!$A$1,1,0,COUNT(Curvas_cupon_cero!$A:$A)-2,1),OFFSET(Curvas_cupon_cero!$A$1,1,MATCH($B$9,Curvas_cupon_cero!$1:$1,0)-1,COUNT(Curvas_cupon_cero!$A:$A)-2,1)),[1]!interpolar(B440,OFFSET(Curvas_cupon_cero!$A$1,1,0,COUNT(Curvas_cupon_cero!$A:$A)-2,1),OFFSET(Curvas_cupon_cero!$A$1,1,MATCH($B$9,Curvas_cupon_cero!$1:$1,0)-1,COUNT(Curvas_cupon_cero!$A:$A)-2,1))))</f>
        <v/>
      </c>
      <c r="G440" s="23" t="str">
        <f t="shared" si="64"/>
        <v/>
      </c>
      <c r="H440" s="20" t="str">
        <f t="shared" si="69"/>
        <v/>
      </c>
      <c r="I440" t="str">
        <f t="shared" si="65"/>
        <v/>
      </c>
      <c r="J440" s="17" t="str">
        <f t="shared" si="61"/>
        <v/>
      </c>
      <c r="K440" s="18" t="str">
        <f t="shared" si="66"/>
        <v/>
      </c>
      <c r="L440" t="str">
        <f t="shared" si="67"/>
        <v/>
      </c>
      <c r="M440" s="23" t="str">
        <f ca="1">IF(A440="","",IF($B$10="Sí",interpolar_alamb(L440,OFFSET(Curvas_cupon_cero!$A$1,1,0,COUNT(Curvas_cupon_cero!$A:$A)-2,1),OFFSET(Curvas_cupon_cero!$A$1,1,MATCH($B$6,Curvas_cupon_cero!$1:$1,0)-1,COUNT(Curvas_cupon_cero!$A:$A)-2,1)),[1]!interpolar(L440,OFFSET(Curvas_cupon_cero!$A$1,1,0,COUNT(Curvas_cupon_cero!$A:$A)-2,1),OFFSET(Curvas_cupon_cero!$A$1,1,MATCH($B$6,Curvas_cupon_cero!$1:$1,0)-1,COUNT(Curvas_cupon_cero!$A:$A)-2,1))))</f>
        <v/>
      </c>
      <c r="N440" s="23"/>
      <c r="O440" s="19" t="str">
        <f t="shared" si="68"/>
        <v/>
      </c>
    </row>
    <row r="441" spans="1:15" x14ac:dyDescent="0.2">
      <c r="A441" s="12" t="str">
        <f t="shared" si="62"/>
        <v/>
      </c>
      <c r="B441" t="str">
        <f t="shared" si="60"/>
        <v/>
      </c>
      <c r="C441" s="21" t="str">
        <f ca="1">IF(A441="","",IF($B$10="Sí",interpolar_alamb(B441,OFFSET(Curvas_cupon_cero!$A$1,1,0,COUNT(Curvas_cupon_cero!$A:$A)-2,1),OFFSET(Curvas_cupon_cero!$A$1,1,MATCH($B$8,Curvas_cupon_cero!$1:$1,0)-1,COUNT(Curvas_cupon_cero!$A:$A)-2,1)),[1]!interpolar(B441,OFFSET(Curvas_cupon_cero!$A$1,1,0,COUNT(Curvas_cupon_cero!$A:$A)-2,1),OFFSET(Curvas_cupon_cero!$A$1,1,MATCH($B$8,Curvas_cupon_cero!$1:$1,0)-1,COUNT(Curvas_cupon_cero!$A:$A)-2,1))))</f>
        <v/>
      </c>
      <c r="D441" s="23" t="str">
        <f ca="1">IF(A441="","",IF($B$10="Sí",interpolar_alamb(L441,OFFSET(Curvas_cupon_cero!$A$1,1,0,COUNT(Curvas_cupon_cero!$A:$A)-2,1),OFFSET(Curvas_cupon_cero!$A$1,1,MATCH($B$8,Curvas_cupon_cero!$1:$1,0)-1,COUNT(Curvas_cupon_cero!$A:$A)-2,1)),[1]!interpolar(L441,OFFSET(Curvas_cupon_cero!$A$1,1,0,COUNT(Curvas_cupon_cero!$A:$A)-2,1),OFFSET(Curvas_cupon_cero!$A$1,1,MATCH($B$8,Curvas_cupon_cero!$1:$1,0)-1,COUNT(Curvas_cupon_cero!$A:$A)-2,1))))</f>
        <v/>
      </c>
      <c r="E441" s="23" t="str">
        <f t="shared" si="63"/>
        <v/>
      </c>
      <c r="F441" s="23" t="str">
        <f ca="1">IF(A441="","",IF($B$10="Sí",interpolar_alamb(B441,OFFSET(Curvas_cupon_cero!$A$1,1,0,COUNT(Curvas_cupon_cero!$A:$A)-2,1),OFFSET(Curvas_cupon_cero!$A$1,1,MATCH($B$9,Curvas_cupon_cero!$1:$1,0)-1,COUNT(Curvas_cupon_cero!$A:$A)-2,1)),[1]!interpolar(B441,OFFSET(Curvas_cupon_cero!$A$1,1,0,COUNT(Curvas_cupon_cero!$A:$A)-2,1),OFFSET(Curvas_cupon_cero!$A$1,1,MATCH($B$9,Curvas_cupon_cero!$1:$1,0)-1,COUNT(Curvas_cupon_cero!$A:$A)-2,1))))</f>
        <v/>
      </c>
      <c r="G441" s="23" t="str">
        <f t="shared" si="64"/>
        <v/>
      </c>
      <c r="H441" s="20" t="str">
        <f t="shared" si="69"/>
        <v/>
      </c>
      <c r="I441" t="str">
        <f t="shared" si="65"/>
        <v/>
      </c>
      <c r="J441" s="17" t="str">
        <f t="shared" si="61"/>
        <v/>
      </c>
      <c r="K441" s="18" t="str">
        <f t="shared" si="66"/>
        <v/>
      </c>
      <c r="L441" t="str">
        <f t="shared" si="67"/>
        <v/>
      </c>
      <c r="M441" s="23" t="str">
        <f ca="1">IF(A441="","",IF($B$10="Sí",interpolar_alamb(L441,OFFSET(Curvas_cupon_cero!$A$1,1,0,COUNT(Curvas_cupon_cero!$A:$A)-2,1),OFFSET(Curvas_cupon_cero!$A$1,1,MATCH($B$6,Curvas_cupon_cero!$1:$1,0)-1,COUNT(Curvas_cupon_cero!$A:$A)-2,1)),[1]!interpolar(L441,OFFSET(Curvas_cupon_cero!$A$1,1,0,COUNT(Curvas_cupon_cero!$A:$A)-2,1),OFFSET(Curvas_cupon_cero!$A$1,1,MATCH($B$6,Curvas_cupon_cero!$1:$1,0)-1,COUNT(Curvas_cupon_cero!$A:$A)-2,1))))</f>
        <v/>
      </c>
      <c r="N441" s="23"/>
      <c r="O441" s="19" t="str">
        <f t="shared" si="68"/>
        <v/>
      </c>
    </row>
    <row r="442" spans="1:15" x14ac:dyDescent="0.2">
      <c r="A442" s="12" t="str">
        <f t="shared" si="62"/>
        <v/>
      </c>
      <c r="B442" t="str">
        <f t="shared" si="60"/>
        <v/>
      </c>
      <c r="C442" s="21" t="str">
        <f ca="1">IF(A442="","",IF($B$10="Sí",interpolar_alamb(B442,OFFSET(Curvas_cupon_cero!$A$1,1,0,COUNT(Curvas_cupon_cero!$A:$A)-2,1),OFFSET(Curvas_cupon_cero!$A$1,1,MATCH($B$8,Curvas_cupon_cero!$1:$1,0)-1,COUNT(Curvas_cupon_cero!$A:$A)-2,1)),[1]!interpolar(B442,OFFSET(Curvas_cupon_cero!$A$1,1,0,COUNT(Curvas_cupon_cero!$A:$A)-2,1),OFFSET(Curvas_cupon_cero!$A$1,1,MATCH($B$8,Curvas_cupon_cero!$1:$1,0)-1,COUNT(Curvas_cupon_cero!$A:$A)-2,1))))</f>
        <v/>
      </c>
      <c r="D442" s="23" t="str">
        <f ca="1">IF(A442="","",IF($B$10="Sí",interpolar_alamb(L442,OFFSET(Curvas_cupon_cero!$A$1,1,0,COUNT(Curvas_cupon_cero!$A:$A)-2,1),OFFSET(Curvas_cupon_cero!$A$1,1,MATCH($B$8,Curvas_cupon_cero!$1:$1,0)-1,COUNT(Curvas_cupon_cero!$A:$A)-2,1)),[1]!interpolar(L442,OFFSET(Curvas_cupon_cero!$A$1,1,0,COUNT(Curvas_cupon_cero!$A:$A)-2,1),OFFSET(Curvas_cupon_cero!$A$1,1,MATCH($B$8,Curvas_cupon_cero!$1:$1,0)-1,COUNT(Curvas_cupon_cero!$A:$A)-2,1))))</f>
        <v/>
      </c>
      <c r="E442" s="23" t="str">
        <f t="shared" si="63"/>
        <v/>
      </c>
      <c r="F442" s="23" t="str">
        <f ca="1">IF(A442="","",IF($B$10="Sí",interpolar_alamb(B442,OFFSET(Curvas_cupon_cero!$A$1,1,0,COUNT(Curvas_cupon_cero!$A:$A)-2,1),OFFSET(Curvas_cupon_cero!$A$1,1,MATCH($B$9,Curvas_cupon_cero!$1:$1,0)-1,COUNT(Curvas_cupon_cero!$A:$A)-2,1)),[1]!interpolar(B442,OFFSET(Curvas_cupon_cero!$A$1,1,0,COUNT(Curvas_cupon_cero!$A:$A)-2,1),OFFSET(Curvas_cupon_cero!$A$1,1,MATCH($B$9,Curvas_cupon_cero!$1:$1,0)-1,COUNT(Curvas_cupon_cero!$A:$A)-2,1))))</f>
        <v/>
      </c>
      <c r="G442" s="23" t="str">
        <f t="shared" si="64"/>
        <v/>
      </c>
      <c r="H442" s="20" t="str">
        <f t="shared" si="69"/>
        <v/>
      </c>
      <c r="I442" t="str">
        <f t="shared" si="65"/>
        <v/>
      </c>
      <c r="J442" s="17" t="str">
        <f t="shared" si="61"/>
        <v/>
      </c>
      <c r="K442" s="18" t="str">
        <f t="shared" si="66"/>
        <v/>
      </c>
      <c r="L442" t="str">
        <f t="shared" si="67"/>
        <v/>
      </c>
      <c r="M442" s="23" t="str">
        <f ca="1">IF(A442="","",IF($B$10="Sí",interpolar_alamb(L442,OFFSET(Curvas_cupon_cero!$A$1,1,0,COUNT(Curvas_cupon_cero!$A:$A)-2,1),OFFSET(Curvas_cupon_cero!$A$1,1,MATCH($B$6,Curvas_cupon_cero!$1:$1,0)-1,COUNT(Curvas_cupon_cero!$A:$A)-2,1)),[1]!interpolar(L442,OFFSET(Curvas_cupon_cero!$A$1,1,0,COUNT(Curvas_cupon_cero!$A:$A)-2,1),OFFSET(Curvas_cupon_cero!$A$1,1,MATCH($B$6,Curvas_cupon_cero!$1:$1,0)-1,COUNT(Curvas_cupon_cero!$A:$A)-2,1))))</f>
        <v/>
      </c>
      <c r="N442" s="23"/>
      <c r="O442" s="19" t="str">
        <f t="shared" si="68"/>
        <v/>
      </c>
    </row>
    <row r="443" spans="1:15" x14ac:dyDescent="0.2">
      <c r="A443" s="12" t="str">
        <f t="shared" si="62"/>
        <v/>
      </c>
      <c r="B443" t="str">
        <f t="shared" si="60"/>
        <v/>
      </c>
      <c r="C443" s="21" t="str">
        <f ca="1">IF(A443="","",IF($B$10="Sí",interpolar_alamb(B443,OFFSET(Curvas_cupon_cero!$A$1,1,0,COUNT(Curvas_cupon_cero!$A:$A)-2,1),OFFSET(Curvas_cupon_cero!$A$1,1,MATCH($B$8,Curvas_cupon_cero!$1:$1,0)-1,COUNT(Curvas_cupon_cero!$A:$A)-2,1)),[1]!interpolar(B443,OFFSET(Curvas_cupon_cero!$A$1,1,0,COUNT(Curvas_cupon_cero!$A:$A)-2,1),OFFSET(Curvas_cupon_cero!$A$1,1,MATCH($B$8,Curvas_cupon_cero!$1:$1,0)-1,COUNT(Curvas_cupon_cero!$A:$A)-2,1))))</f>
        <v/>
      </c>
      <c r="D443" s="23" t="str">
        <f ca="1">IF(A443="","",IF($B$10="Sí",interpolar_alamb(L443,OFFSET(Curvas_cupon_cero!$A$1,1,0,COUNT(Curvas_cupon_cero!$A:$A)-2,1),OFFSET(Curvas_cupon_cero!$A$1,1,MATCH($B$8,Curvas_cupon_cero!$1:$1,0)-1,COUNT(Curvas_cupon_cero!$A:$A)-2,1)),[1]!interpolar(L443,OFFSET(Curvas_cupon_cero!$A$1,1,0,COUNT(Curvas_cupon_cero!$A:$A)-2,1),OFFSET(Curvas_cupon_cero!$A$1,1,MATCH($B$8,Curvas_cupon_cero!$1:$1,0)-1,COUNT(Curvas_cupon_cero!$A:$A)-2,1))))</f>
        <v/>
      </c>
      <c r="E443" s="23" t="str">
        <f t="shared" si="63"/>
        <v/>
      </c>
      <c r="F443" s="23" t="str">
        <f ca="1">IF(A443="","",IF($B$10="Sí",interpolar_alamb(B443,OFFSET(Curvas_cupon_cero!$A$1,1,0,COUNT(Curvas_cupon_cero!$A:$A)-2,1),OFFSET(Curvas_cupon_cero!$A$1,1,MATCH($B$9,Curvas_cupon_cero!$1:$1,0)-1,COUNT(Curvas_cupon_cero!$A:$A)-2,1)),[1]!interpolar(B443,OFFSET(Curvas_cupon_cero!$A$1,1,0,COUNT(Curvas_cupon_cero!$A:$A)-2,1),OFFSET(Curvas_cupon_cero!$A$1,1,MATCH($B$9,Curvas_cupon_cero!$1:$1,0)-1,COUNT(Curvas_cupon_cero!$A:$A)-2,1))))</f>
        <v/>
      </c>
      <c r="G443" s="23" t="str">
        <f t="shared" si="64"/>
        <v/>
      </c>
      <c r="H443" s="20" t="str">
        <f t="shared" si="69"/>
        <v/>
      </c>
      <c r="I443" t="str">
        <f t="shared" si="65"/>
        <v/>
      </c>
      <c r="J443" s="17" t="str">
        <f t="shared" si="61"/>
        <v/>
      </c>
      <c r="K443" s="18" t="str">
        <f t="shared" si="66"/>
        <v/>
      </c>
      <c r="L443" t="str">
        <f t="shared" si="67"/>
        <v/>
      </c>
      <c r="M443" s="23" t="str">
        <f ca="1">IF(A443="","",IF($B$10="Sí",interpolar_alamb(L443,OFFSET(Curvas_cupon_cero!$A$1,1,0,COUNT(Curvas_cupon_cero!$A:$A)-2,1),OFFSET(Curvas_cupon_cero!$A$1,1,MATCH($B$6,Curvas_cupon_cero!$1:$1,0)-1,COUNT(Curvas_cupon_cero!$A:$A)-2,1)),[1]!interpolar(L443,OFFSET(Curvas_cupon_cero!$A$1,1,0,COUNT(Curvas_cupon_cero!$A:$A)-2,1),OFFSET(Curvas_cupon_cero!$A$1,1,MATCH($B$6,Curvas_cupon_cero!$1:$1,0)-1,COUNT(Curvas_cupon_cero!$A:$A)-2,1))))</f>
        <v/>
      </c>
      <c r="N443" s="23"/>
      <c r="O443" s="19" t="str">
        <f t="shared" si="68"/>
        <v/>
      </c>
    </row>
    <row r="444" spans="1:15" x14ac:dyDescent="0.2">
      <c r="A444" s="12" t="str">
        <f t="shared" si="62"/>
        <v/>
      </c>
      <c r="B444" t="str">
        <f t="shared" si="60"/>
        <v/>
      </c>
      <c r="C444" s="21" t="str">
        <f ca="1">IF(A444="","",IF($B$10="Sí",interpolar_alamb(B444,OFFSET(Curvas_cupon_cero!$A$1,1,0,COUNT(Curvas_cupon_cero!$A:$A)-2,1),OFFSET(Curvas_cupon_cero!$A$1,1,MATCH($B$8,Curvas_cupon_cero!$1:$1,0)-1,COUNT(Curvas_cupon_cero!$A:$A)-2,1)),[1]!interpolar(B444,OFFSET(Curvas_cupon_cero!$A$1,1,0,COUNT(Curvas_cupon_cero!$A:$A)-2,1),OFFSET(Curvas_cupon_cero!$A$1,1,MATCH($B$8,Curvas_cupon_cero!$1:$1,0)-1,COUNT(Curvas_cupon_cero!$A:$A)-2,1))))</f>
        <v/>
      </c>
      <c r="D444" s="23" t="str">
        <f ca="1">IF(A444="","",IF($B$10="Sí",interpolar_alamb(L444,OFFSET(Curvas_cupon_cero!$A$1,1,0,COUNT(Curvas_cupon_cero!$A:$A)-2,1),OFFSET(Curvas_cupon_cero!$A$1,1,MATCH($B$8,Curvas_cupon_cero!$1:$1,0)-1,COUNT(Curvas_cupon_cero!$A:$A)-2,1)),[1]!interpolar(L444,OFFSET(Curvas_cupon_cero!$A$1,1,0,COUNT(Curvas_cupon_cero!$A:$A)-2,1),OFFSET(Curvas_cupon_cero!$A$1,1,MATCH($B$8,Curvas_cupon_cero!$1:$1,0)-1,COUNT(Curvas_cupon_cero!$A:$A)-2,1))))</f>
        <v/>
      </c>
      <c r="E444" s="23" t="str">
        <f t="shared" si="63"/>
        <v/>
      </c>
      <c r="F444" s="23" t="str">
        <f ca="1">IF(A444="","",IF($B$10="Sí",interpolar_alamb(B444,OFFSET(Curvas_cupon_cero!$A$1,1,0,COUNT(Curvas_cupon_cero!$A:$A)-2,1),OFFSET(Curvas_cupon_cero!$A$1,1,MATCH($B$9,Curvas_cupon_cero!$1:$1,0)-1,COUNT(Curvas_cupon_cero!$A:$A)-2,1)),[1]!interpolar(B444,OFFSET(Curvas_cupon_cero!$A$1,1,0,COUNT(Curvas_cupon_cero!$A:$A)-2,1),OFFSET(Curvas_cupon_cero!$A$1,1,MATCH($B$9,Curvas_cupon_cero!$1:$1,0)-1,COUNT(Curvas_cupon_cero!$A:$A)-2,1))))</f>
        <v/>
      </c>
      <c r="G444" s="23" t="str">
        <f t="shared" si="64"/>
        <v/>
      </c>
      <c r="H444" s="20" t="str">
        <f t="shared" si="69"/>
        <v/>
      </c>
      <c r="I444" t="str">
        <f t="shared" si="65"/>
        <v/>
      </c>
      <c r="J444" s="17" t="str">
        <f t="shared" si="61"/>
        <v/>
      </c>
      <c r="K444" s="18" t="str">
        <f t="shared" si="66"/>
        <v/>
      </c>
      <c r="L444" t="str">
        <f t="shared" si="67"/>
        <v/>
      </c>
      <c r="M444" s="23" t="str">
        <f ca="1">IF(A444="","",IF($B$10="Sí",interpolar_alamb(L444,OFFSET(Curvas_cupon_cero!$A$1,1,0,COUNT(Curvas_cupon_cero!$A:$A)-2,1),OFFSET(Curvas_cupon_cero!$A$1,1,MATCH($B$6,Curvas_cupon_cero!$1:$1,0)-1,COUNT(Curvas_cupon_cero!$A:$A)-2,1)),[1]!interpolar(L444,OFFSET(Curvas_cupon_cero!$A$1,1,0,COUNT(Curvas_cupon_cero!$A:$A)-2,1),OFFSET(Curvas_cupon_cero!$A$1,1,MATCH($B$6,Curvas_cupon_cero!$1:$1,0)-1,COUNT(Curvas_cupon_cero!$A:$A)-2,1))))</f>
        <v/>
      </c>
      <c r="N444" s="23"/>
      <c r="O444" s="19" t="str">
        <f t="shared" si="68"/>
        <v/>
      </c>
    </row>
    <row r="445" spans="1:15" x14ac:dyDescent="0.2">
      <c r="A445" s="12" t="str">
        <f t="shared" si="62"/>
        <v/>
      </c>
      <c r="B445" t="str">
        <f t="shared" si="60"/>
        <v/>
      </c>
      <c r="C445" s="21" t="str">
        <f ca="1">IF(A445="","",IF($B$10="Sí",interpolar_alamb(B445,OFFSET(Curvas_cupon_cero!$A$1,1,0,COUNT(Curvas_cupon_cero!$A:$A)-2,1),OFFSET(Curvas_cupon_cero!$A$1,1,MATCH($B$8,Curvas_cupon_cero!$1:$1,0)-1,COUNT(Curvas_cupon_cero!$A:$A)-2,1)),[1]!interpolar(B445,OFFSET(Curvas_cupon_cero!$A$1,1,0,COUNT(Curvas_cupon_cero!$A:$A)-2,1),OFFSET(Curvas_cupon_cero!$A$1,1,MATCH($B$8,Curvas_cupon_cero!$1:$1,0)-1,COUNT(Curvas_cupon_cero!$A:$A)-2,1))))</f>
        <v/>
      </c>
      <c r="D445" s="23" t="str">
        <f ca="1">IF(A445="","",IF($B$10="Sí",interpolar_alamb(L445,OFFSET(Curvas_cupon_cero!$A$1,1,0,COUNT(Curvas_cupon_cero!$A:$A)-2,1),OFFSET(Curvas_cupon_cero!$A$1,1,MATCH($B$8,Curvas_cupon_cero!$1:$1,0)-1,COUNT(Curvas_cupon_cero!$A:$A)-2,1)),[1]!interpolar(L445,OFFSET(Curvas_cupon_cero!$A$1,1,0,COUNT(Curvas_cupon_cero!$A:$A)-2,1),OFFSET(Curvas_cupon_cero!$A$1,1,MATCH($B$8,Curvas_cupon_cero!$1:$1,0)-1,COUNT(Curvas_cupon_cero!$A:$A)-2,1))))</f>
        <v/>
      </c>
      <c r="E445" s="23" t="str">
        <f t="shared" si="63"/>
        <v/>
      </c>
      <c r="F445" s="23" t="str">
        <f ca="1">IF(A445="","",IF($B$10="Sí",interpolar_alamb(B445,OFFSET(Curvas_cupon_cero!$A$1,1,0,COUNT(Curvas_cupon_cero!$A:$A)-2,1),OFFSET(Curvas_cupon_cero!$A$1,1,MATCH($B$9,Curvas_cupon_cero!$1:$1,0)-1,COUNT(Curvas_cupon_cero!$A:$A)-2,1)),[1]!interpolar(B445,OFFSET(Curvas_cupon_cero!$A$1,1,0,COUNT(Curvas_cupon_cero!$A:$A)-2,1),OFFSET(Curvas_cupon_cero!$A$1,1,MATCH($B$9,Curvas_cupon_cero!$1:$1,0)-1,COUNT(Curvas_cupon_cero!$A:$A)-2,1))))</f>
        <v/>
      </c>
      <c r="G445" s="23" t="str">
        <f t="shared" si="64"/>
        <v/>
      </c>
      <c r="H445" s="20" t="str">
        <f t="shared" si="69"/>
        <v/>
      </c>
      <c r="I445" t="str">
        <f t="shared" si="65"/>
        <v/>
      </c>
      <c r="J445" s="17" t="str">
        <f t="shared" si="61"/>
        <v/>
      </c>
      <c r="K445" s="18" t="str">
        <f t="shared" si="66"/>
        <v/>
      </c>
      <c r="L445" t="str">
        <f t="shared" si="67"/>
        <v/>
      </c>
      <c r="M445" s="23" t="str">
        <f ca="1">IF(A445="","",IF($B$10="Sí",interpolar_alamb(L445,OFFSET(Curvas_cupon_cero!$A$1,1,0,COUNT(Curvas_cupon_cero!$A:$A)-2,1),OFFSET(Curvas_cupon_cero!$A$1,1,MATCH($B$6,Curvas_cupon_cero!$1:$1,0)-1,COUNT(Curvas_cupon_cero!$A:$A)-2,1)),[1]!interpolar(L445,OFFSET(Curvas_cupon_cero!$A$1,1,0,COUNT(Curvas_cupon_cero!$A:$A)-2,1),OFFSET(Curvas_cupon_cero!$A$1,1,MATCH($B$6,Curvas_cupon_cero!$1:$1,0)-1,COUNT(Curvas_cupon_cero!$A:$A)-2,1))))</f>
        <v/>
      </c>
      <c r="N445" s="23"/>
      <c r="O445" s="19" t="str">
        <f t="shared" si="68"/>
        <v/>
      </c>
    </row>
    <row r="446" spans="1:15" x14ac:dyDescent="0.2">
      <c r="A446" s="12" t="str">
        <f t="shared" si="62"/>
        <v/>
      </c>
      <c r="B446" t="str">
        <f t="shared" si="60"/>
        <v/>
      </c>
      <c r="C446" s="21" t="str">
        <f ca="1">IF(A446="","",IF($B$10="Sí",interpolar_alamb(B446,OFFSET(Curvas_cupon_cero!$A$1,1,0,COUNT(Curvas_cupon_cero!$A:$A)-2,1),OFFSET(Curvas_cupon_cero!$A$1,1,MATCH($B$8,Curvas_cupon_cero!$1:$1,0)-1,COUNT(Curvas_cupon_cero!$A:$A)-2,1)),[1]!interpolar(B446,OFFSET(Curvas_cupon_cero!$A$1,1,0,COUNT(Curvas_cupon_cero!$A:$A)-2,1),OFFSET(Curvas_cupon_cero!$A$1,1,MATCH($B$8,Curvas_cupon_cero!$1:$1,0)-1,COUNT(Curvas_cupon_cero!$A:$A)-2,1))))</f>
        <v/>
      </c>
      <c r="D446" s="23" t="str">
        <f ca="1">IF(A446="","",IF($B$10="Sí",interpolar_alamb(L446,OFFSET(Curvas_cupon_cero!$A$1,1,0,COUNT(Curvas_cupon_cero!$A:$A)-2,1),OFFSET(Curvas_cupon_cero!$A$1,1,MATCH($B$8,Curvas_cupon_cero!$1:$1,0)-1,COUNT(Curvas_cupon_cero!$A:$A)-2,1)),[1]!interpolar(L446,OFFSET(Curvas_cupon_cero!$A$1,1,0,COUNT(Curvas_cupon_cero!$A:$A)-2,1),OFFSET(Curvas_cupon_cero!$A$1,1,MATCH($B$8,Curvas_cupon_cero!$1:$1,0)-1,COUNT(Curvas_cupon_cero!$A:$A)-2,1))))</f>
        <v/>
      </c>
      <c r="E446" s="23" t="str">
        <f t="shared" si="63"/>
        <v/>
      </c>
      <c r="F446" s="23" t="str">
        <f ca="1">IF(A446="","",IF($B$10="Sí",interpolar_alamb(B446,OFFSET(Curvas_cupon_cero!$A$1,1,0,COUNT(Curvas_cupon_cero!$A:$A)-2,1),OFFSET(Curvas_cupon_cero!$A$1,1,MATCH($B$9,Curvas_cupon_cero!$1:$1,0)-1,COUNT(Curvas_cupon_cero!$A:$A)-2,1)),[1]!interpolar(B446,OFFSET(Curvas_cupon_cero!$A$1,1,0,COUNT(Curvas_cupon_cero!$A:$A)-2,1),OFFSET(Curvas_cupon_cero!$A$1,1,MATCH($B$9,Curvas_cupon_cero!$1:$1,0)-1,COUNT(Curvas_cupon_cero!$A:$A)-2,1))))</f>
        <v/>
      </c>
      <c r="G446" s="23" t="str">
        <f t="shared" si="64"/>
        <v/>
      </c>
      <c r="H446" s="20" t="str">
        <f t="shared" si="69"/>
        <v/>
      </c>
      <c r="I446" t="str">
        <f t="shared" si="65"/>
        <v/>
      </c>
      <c r="J446" s="17" t="str">
        <f t="shared" si="61"/>
        <v/>
      </c>
      <c r="K446" s="18" t="str">
        <f t="shared" si="66"/>
        <v/>
      </c>
      <c r="L446" t="str">
        <f t="shared" si="67"/>
        <v/>
      </c>
      <c r="M446" s="23" t="str">
        <f ca="1">IF(A446="","",IF($B$10="Sí",interpolar_alamb(L446,OFFSET(Curvas_cupon_cero!$A$1,1,0,COUNT(Curvas_cupon_cero!$A:$A)-2,1),OFFSET(Curvas_cupon_cero!$A$1,1,MATCH($B$6,Curvas_cupon_cero!$1:$1,0)-1,COUNT(Curvas_cupon_cero!$A:$A)-2,1)),[1]!interpolar(L446,OFFSET(Curvas_cupon_cero!$A$1,1,0,COUNT(Curvas_cupon_cero!$A:$A)-2,1),OFFSET(Curvas_cupon_cero!$A$1,1,MATCH($B$6,Curvas_cupon_cero!$1:$1,0)-1,COUNT(Curvas_cupon_cero!$A:$A)-2,1))))</f>
        <v/>
      </c>
      <c r="N446" s="23"/>
      <c r="O446" s="19" t="str">
        <f t="shared" si="68"/>
        <v/>
      </c>
    </row>
    <row r="447" spans="1:15" x14ac:dyDescent="0.2">
      <c r="A447" s="12" t="str">
        <f t="shared" si="62"/>
        <v/>
      </c>
      <c r="B447" t="str">
        <f t="shared" si="60"/>
        <v/>
      </c>
      <c r="C447" s="21" t="str">
        <f ca="1">IF(A447="","",IF($B$10="Sí",interpolar_alamb(B447,OFFSET(Curvas_cupon_cero!$A$1,1,0,COUNT(Curvas_cupon_cero!$A:$A)-2,1),OFFSET(Curvas_cupon_cero!$A$1,1,MATCH($B$8,Curvas_cupon_cero!$1:$1,0)-1,COUNT(Curvas_cupon_cero!$A:$A)-2,1)),[1]!interpolar(B447,OFFSET(Curvas_cupon_cero!$A$1,1,0,COUNT(Curvas_cupon_cero!$A:$A)-2,1),OFFSET(Curvas_cupon_cero!$A$1,1,MATCH($B$8,Curvas_cupon_cero!$1:$1,0)-1,COUNT(Curvas_cupon_cero!$A:$A)-2,1))))</f>
        <v/>
      </c>
      <c r="D447" s="23" t="str">
        <f ca="1">IF(A447="","",IF($B$10="Sí",interpolar_alamb(L447,OFFSET(Curvas_cupon_cero!$A$1,1,0,COUNT(Curvas_cupon_cero!$A:$A)-2,1),OFFSET(Curvas_cupon_cero!$A$1,1,MATCH($B$8,Curvas_cupon_cero!$1:$1,0)-1,COUNT(Curvas_cupon_cero!$A:$A)-2,1)),[1]!interpolar(L447,OFFSET(Curvas_cupon_cero!$A$1,1,0,COUNT(Curvas_cupon_cero!$A:$A)-2,1),OFFSET(Curvas_cupon_cero!$A$1,1,MATCH($B$8,Curvas_cupon_cero!$1:$1,0)-1,COUNT(Curvas_cupon_cero!$A:$A)-2,1))))</f>
        <v/>
      </c>
      <c r="E447" s="23" t="str">
        <f t="shared" si="63"/>
        <v/>
      </c>
      <c r="F447" s="23" t="str">
        <f ca="1">IF(A447="","",IF($B$10="Sí",interpolar_alamb(B447,OFFSET(Curvas_cupon_cero!$A$1,1,0,COUNT(Curvas_cupon_cero!$A:$A)-2,1),OFFSET(Curvas_cupon_cero!$A$1,1,MATCH($B$9,Curvas_cupon_cero!$1:$1,0)-1,COUNT(Curvas_cupon_cero!$A:$A)-2,1)),[1]!interpolar(B447,OFFSET(Curvas_cupon_cero!$A$1,1,0,COUNT(Curvas_cupon_cero!$A:$A)-2,1),OFFSET(Curvas_cupon_cero!$A$1,1,MATCH($B$9,Curvas_cupon_cero!$1:$1,0)-1,COUNT(Curvas_cupon_cero!$A:$A)-2,1))))</f>
        <v/>
      </c>
      <c r="G447" s="23" t="str">
        <f t="shared" si="64"/>
        <v/>
      </c>
      <c r="H447" s="20" t="str">
        <f t="shared" si="69"/>
        <v/>
      </c>
      <c r="I447" t="str">
        <f t="shared" si="65"/>
        <v/>
      </c>
      <c r="J447" s="17" t="str">
        <f t="shared" si="61"/>
        <v/>
      </c>
      <c r="K447" s="18" t="str">
        <f t="shared" si="66"/>
        <v/>
      </c>
      <c r="L447" t="str">
        <f t="shared" si="67"/>
        <v/>
      </c>
      <c r="M447" s="23" t="str">
        <f ca="1">IF(A447="","",IF($B$10="Sí",interpolar_alamb(L447,OFFSET(Curvas_cupon_cero!$A$1,1,0,COUNT(Curvas_cupon_cero!$A:$A)-2,1),OFFSET(Curvas_cupon_cero!$A$1,1,MATCH($B$6,Curvas_cupon_cero!$1:$1,0)-1,COUNT(Curvas_cupon_cero!$A:$A)-2,1)),[1]!interpolar(L447,OFFSET(Curvas_cupon_cero!$A$1,1,0,COUNT(Curvas_cupon_cero!$A:$A)-2,1),OFFSET(Curvas_cupon_cero!$A$1,1,MATCH($B$6,Curvas_cupon_cero!$1:$1,0)-1,COUNT(Curvas_cupon_cero!$A:$A)-2,1))))</f>
        <v/>
      </c>
      <c r="N447" s="23"/>
      <c r="O447" s="19" t="str">
        <f t="shared" si="68"/>
        <v/>
      </c>
    </row>
    <row r="448" spans="1:15" x14ac:dyDescent="0.2">
      <c r="A448" s="12" t="str">
        <f t="shared" si="62"/>
        <v/>
      </c>
      <c r="B448" t="str">
        <f t="shared" si="60"/>
        <v/>
      </c>
      <c r="C448" s="21" t="str">
        <f ca="1">IF(A448="","",IF($B$10="Sí",interpolar_alamb(B448,OFFSET(Curvas_cupon_cero!$A$1,1,0,COUNT(Curvas_cupon_cero!$A:$A)-2,1),OFFSET(Curvas_cupon_cero!$A$1,1,MATCH($B$8,Curvas_cupon_cero!$1:$1,0)-1,COUNT(Curvas_cupon_cero!$A:$A)-2,1)),[1]!interpolar(B448,OFFSET(Curvas_cupon_cero!$A$1,1,0,COUNT(Curvas_cupon_cero!$A:$A)-2,1),OFFSET(Curvas_cupon_cero!$A$1,1,MATCH($B$8,Curvas_cupon_cero!$1:$1,0)-1,COUNT(Curvas_cupon_cero!$A:$A)-2,1))))</f>
        <v/>
      </c>
      <c r="D448" s="23" t="str">
        <f ca="1">IF(A448="","",IF($B$10="Sí",interpolar_alamb(L448,OFFSET(Curvas_cupon_cero!$A$1,1,0,COUNT(Curvas_cupon_cero!$A:$A)-2,1),OFFSET(Curvas_cupon_cero!$A$1,1,MATCH($B$8,Curvas_cupon_cero!$1:$1,0)-1,COUNT(Curvas_cupon_cero!$A:$A)-2,1)),[1]!interpolar(L448,OFFSET(Curvas_cupon_cero!$A$1,1,0,COUNT(Curvas_cupon_cero!$A:$A)-2,1),OFFSET(Curvas_cupon_cero!$A$1,1,MATCH($B$8,Curvas_cupon_cero!$1:$1,0)-1,COUNT(Curvas_cupon_cero!$A:$A)-2,1))))</f>
        <v/>
      </c>
      <c r="E448" s="23" t="str">
        <f t="shared" si="63"/>
        <v/>
      </c>
      <c r="F448" s="23" t="str">
        <f ca="1">IF(A448="","",IF($B$10="Sí",interpolar_alamb(B448,OFFSET(Curvas_cupon_cero!$A$1,1,0,COUNT(Curvas_cupon_cero!$A:$A)-2,1),OFFSET(Curvas_cupon_cero!$A$1,1,MATCH($B$9,Curvas_cupon_cero!$1:$1,0)-1,COUNT(Curvas_cupon_cero!$A:$A)-2,1)),[1]!interpolar(B448,OFFSET(Curvas_cupon_cero!$A$1,1,0,COUNT(Curvas_cupon_cero!$A:$A)-2,1),OFFSET(Curvas_cupon_cero!$A$1,1,MATCH($B$9,Curvas_cupon_cero!$1:$1,0)-1,COUNT(Curvas_cupon_cero!$A:$A)-2,1))))</f>
        <v/>
      </c>
      <c r="G448" s="23" t="str">
        <f t="shared" si="64"/>
        <v/>
      </c>
      <c r="H448" s="20" t="str">
        <f t="shared" si="69"/>
        <v/>
      </c>
      <c r="I448" t="str">
        <f t="shared" si="65"/>
        <v/>
      </c>
      <c r="J448" s="17" t="str">
        <f t="shared" si="61"/>
        <v/>
      </c>
      <c r="K448" s="18" t="str">
        <f t="shared" si="66"/>
        <v/>
      </c>
      <c r="L448" t="str">
        <f t="shared" si="67"/>
        <v/>
      </c>
      <c r="M448" s="23" t="str">
        <f ca="1">IF(A448="","",IF($B$10="Sí",interpolar_alamb(L448,OFFSET(Curvas_cupon_cero!$A$1,1,0,COUNT(Curvas_cupon_cero!$A:$A)-2,1),OFFSET(Curvas_cupon_cero!$A$1,1,MATCH($B$6,Curvas_cupon_cero!$1:$1,0)-1,COUNT(Curvas_cupon_cero!$A:$A)-2,1)),[1]!interpolar(L448,OFFSET(Curvas_cupon_cero!$A$1,1,0,COUNT(Curvas_cupon_cero!$A:$A)-2,1),OFFSET(Curvas_cupon_cero!$A$1,1,MATCH($B$6,Curvas_cupon_cero!$1:$1,0)-1,COUNT(Curvas_cupon_cero!$A:$A)-2,1))))</f>
        <v/>
      </c>
      <c r="N448" s="23"/>
      <c r="O448" s="19" t="str">
        <f t="shared" si="68"/>
        <v/>
      </c>
    </row>
    <row r="449" spans="1:15" x14ac:dyDescent="0.2">
      <c r="A449" s="12" t="str">
        <f t="shared" si="62"/>
        <v/>
      </c>
      <c r="B449" t="str">
        <f t="shared" si="60"/>
        <v/>
      </c>
      <c r="C449" s="21" t="str">
        <f ca="1">IF(A449="","",IF($B$10="Sí",interpolar_alamb(B449,OFFSET(Curvas_cupon_cero!$A$1,1,0,COUNT(Curvas_cupon_cero!$A:$A)-2,1),OFFSET(Curvas_cupon_cero!$A$1,1,MATCH($B$8,Curvas_cupon_cero!$1:$1,0)-1,COUNT(Curvas_cupon_cero!$A:$A)-2,1)),[1]!interpolar(B449,OFFSET(Curvas_cupon_cero!$A$1,1,0,COUNT(Curvas_cupon_cero!$A:$A)-2,1),OFFSET(Curvas_cupon_cero!$A$1,1,MATCH($B$8,Curvas_cupon_cero!$1:$1,0)-1,COUNT(Curvas_cupon_cero!$A:$A)-2,1))))</f>
        <v/>
      </c>
      <c r="D449" s="23" t="str">
        <f ca="1">IF(A449="","",IF($B$10="Sí",interpolar_alamb(L449,OFFSET(Curvas_cupon_cero!$A$1,1,0,COUNT(Curvas_cupon_cero!$A:$A)-2,1),OFFSET(Curvas_cupon_cero!$A$1,1,MATCH($B$8,Curvas_cupon_cero!$1:$1,0)-1,COUNT(Curvas_cupon_cero!$A:$A)-2,1)),[1]!interpolar(L449,OFFSET(Curvas_cupon_cero!$A$1,1,0,COUNT(Curvas_cupon_cero!$A:$A)-2,1),OFFSET(Curvas_cupon_cero!$A$1,1,MATCH($B$8,Curvas_cupon_cero!$1:$1,0)-1,COUNT(Curvas_cupon_cero!$A:$A)-2,1))))</f>
        <v/>
      </c>
      <c r="E449" s="23" t="str">
        <f t="shared" si="63"/>
        <v/>
      </c>
      <c r="F449" s="23" t="str">
        <f ca="1">IF(A449="","",IF($B$10="Sí",interpolar_alamb(B449,OFFSET(Curvas_cupon_cero!$A$1,1,0,COUNT(Curvas_cupon_cero!$A:$A)-2,1),OFFSET(Curvas_cupon_cero!$A$1,1,MATCH($B$9,Curvas_cupon_cero!$1:$1,0)-1,COUNT(Curvas_cupon_cero!$A:$A)-2,1)),[1]!interpolar(B449,OFFSET(Curvas_cupon_cero!$A$1,1,0,COUNT(Curvas_cupon_cero!$A:$A)-2,1),OFFSET(Curvas_cupon_cero!$A$1,1,MATCH($B$9,Curvas_cupon_cero!$1:$1,0)-1,COUNT(Curvas_cupon_cero!$A:$A)-2,1))))</f>
        <v/>
      </c>
      <c r="G449" s="23" t="str">
        <f t="shared" si="64"/>
        <v/>
      </c>
      <c r="H449" s="20" t="str">
        <f t="shared" si="69"/>
        <v/>
      </c>
      <c r="I449" t="str">
        <f t="shared" si="65"/>
        <v/>
      </c>
      <c r="J449" s="17" t="str">
        <f t="shared" si="61"/>
        <v/>
      </c>
      <c r="K449" s="18" t="str">
        <f t="shared" si="66"/>
        <v/>
      </c>
      <c r="L449" t="str">
        <f t="shared" si="67"/>
        <v/>
      </c>
      <c r="M449" s="23" t="str">
        <f ca="1">IF(A449="","",IF($B$10="Sí",interpolar_alamb(L449,OFFSET(Curvas_cupon_cero!$A$1,1,0,COUNT(Curvas_cupon_cero!$A:$A)-2,1),OFFSET(Curvas_cupon_cero!$A$1,1,MATCH($B$6,Curvas_cupon_cero!$1:$1,0)-1,COUNT(Curvas_cupon_cero!$A:$A)-2,1)),[1]!interpolar(L449,OFFSET(Curvas_cupon_cero!$A$1,1,0,COUNT(Curvas_cupon_cero!$A:$A)-2,1),OFFSET(Curvas_cupon_cero!$A$1,1,MATCH($B$6,Curvas_cupon_cero!$1:$1,0)-1,COUNT(Curvas_cupon_cero!$A:$A)-2,1))))</f>
        <v/>
      </c>
      <c r="N449" s="23"/>
      <c r="O449" s="19" t="str">
        <f t="shared" si="68"/>
        <v/>
      </c>
    </row>
    <row r="450" spans="1:15" x14ac:dyDescent="0.2">
      <c r="A450" s="12" t="str">
        <f t="shared" si="62"/>
        <v/>
      </c>
      <c r="B450" t="str">
        <f t="shared" si="60"/>
        <v/>
      </c>
      <c r="C450" s="21" t="str">
        <f ca="1">IF(A450="","",IF($B$10="Sí",interpolar_alamb(B450,OFFSET(Curvas_cupon_cero!$A$1,1,0,COUNT(Curvas_cupon_cero!$A:$A)-2,1),OFFSET(Curvas_cupon_cero!$A$1,1,MATCH($B$8,Curvas_cupon_cero!$1:$1,0)-1,COUNT(Curvas_cupon_cero!$A:$A)-2,1)),[1]!interpolar(B450,OFFSET(Curvas_cupon_cero!$A$1,1,0,COUNT(Curvas_cupon_cero!$A:$A)-2,1),OFFSET(Curvas_cupon_cero!$A$1,1,MATCH($B$8,Curvas_cupon_cero!$1:$1,0)-1,COUNT(Curvas_cupon_cero!$A:$A)-2,1))))</f>
        <v/>
      </c>
      <c r="D450" s="23" t="str">
        <f ca="1">IF(A450="","",IF($B$10="Sí",interpolar_alamb(L450,OFFSET(Curvas_cupon_cero!$A$1,1,0,COUNT(Curvas_cupon_cero!$A:$A)-2,1),OFFSET(Curvas_cupon_cero!$A$1,1,MATCH($B$8,Curvas_cupon_cero!$1:$1,0)-1,COUNT(Curvas_cupon_cero!$A:$A)-2,1)),[1]!interpolar(L450,OFFSET(Curvas_cupon_cero!$A$1,1,0,COUNT(Curvas_cupon_cero!$A:$A)-2,1),OFFSET(Curvas_cupon_cero!$A$1,1,MATCH($B$8,Curvas_cupon_cero!$1:$1,0)-1,COUNT(Curvas_cupon_cero!$A:$A)-2,1))))</f>
        <v/>
      </c>
      <c r="E450" s="23" t="str">
        <f t="shared" si="63"/>
        <v/>
      </c>
      <c r="F450" s="23" t="str">
        <f ca="1">IF(A450="","",IF($B$10="Sí",interpolar_alamb(B450,OFFSET(Curvas_cupon_cero!$A$1,1,0,COUNT(Curvas_cupon_cero!$A:$A)-2,1),OFFSET(Curvas_cupon_cero!$A$1,1,MATCH($B$9,Curvas_cupon_cero!$1:$1,0)-1,COUNT(Curvas_cupon_cero!$A:$A)-2,1)),[1]!interpolar(B450,OFFSET(Curvas_cupon_cero!$A$1,1,0,COUNT(Curvas_cupon_cero!$A:$A)-2,1),OFFSET(Curvas_cupon_cero!$A$1,1,MATCH($B$9,Curvas_cupon_cero!$1:$1,0)-1,COUNT(Curvas_cupon_cero!$A:$A)-2,1))))</f>
        <v/>
      </c>
      <c r="G450" s="23" t="str">
        <f t="shared" si="64"/>
        <v/>
      </c>
      <c r="H450" s="20" t="str">
        <f t="shared" si="69"/>
        <v/>
      </c>
      <c r="I450" t="str">
        <f t="shared" si="65"/>
        <v/>
      </c>
      <c r="J450" s="17" t="str">
        <f t="shared" si="61"/>
        <v/>
      </c>
      <c r="K450" s="18" t="str">
        <f t="shared" si="66"/>
        <v/>
      </c>
      <c r="L450" t="str">
        <f t="shared" si="67"/>
        <v/>
      </c>
      <c r="M450" s="23" t="str">
        <f ca="1">IF(A450="","",IF($B$10="Sí",interpolar_alamb(L450,OFFSET(Curvas_cupon_cero!$A$1,1,0,COUNT(Curvas_cupon_cero!$A:$A)-2,1),OFFSET(Curvas_cupon_cero!$A$1,1,MATCH($B$6,Curvas_cupon_cero!$1:$1,0)-1,COUNT(Curvas_cupon_cero!$A:$A)-2,1)),[1]!interpolar(L450,OFFSET(Curvas_cupon_cero!$A$1,1,0,COUNT(Curvas_cupon_cero!$A:$A)-2,1),OFFSET(Curvas_cupon_cero!$A$1,1,MATCH($B$6,Curvas_cupon_cero!$1:$1,0)-1,COUNT(Curvas_cupon_cero!$A:$A)-2,1))))</f>
        <v/>
      </c>
      <c r="N450" s="23"/>
      <c r="O450" s="19" t="str">
        <f t="shared" si="68"/>
        <v/>
      </c>
    </row>
    <row r="451" spans="1:15" x14ac:dyDescent="0.2">
      <c r="A451" s="12" t="str">
        <f t="shared" si="62"/>
        <v/>
      </c>
      <c r="B451" t="str">
        <f t="shared" si="60"/>
        <v/>
      </c>
      <c r="C451" s="21" t="str">
        <f ca="1">IF(A451="","",IF($B$10="Sí",interpolar_alamb(B451,OFFSET(Curvas_cupon_cero!$A$1,1,0,COUNT(Curvas_cupon_cero!$A:$A)-2,1),OFFSET(Curvas_cupon_cero!$A$1,1,MATCH($B$8,Curvas_cupon_cero!$1:$1,0)-1,COUNT(Curvas_cupon_cero!$A:$A)-2,1)),[1]!interpolar(B451,OFFSET(Curvas_cupon_cero!$A$1,1,0,COUNT(Curvas_cupon_cero!$A:$A)-2,1),OFFSET(Curvas_cupon_cero!$A$1,1,MATCH($B$8,Curvas_cupon_cero!$1:$1,0)-1,COUNT(Curvas_cupon_cero!$A:$A)-2,1))))</f>
        <v/>
      </c>
      <c r="D451" s="23" t="str">
        <f ca="1">IF(A451="","",IF($B$10="Sí",interpolar_alamb(L451,OFFSET(Curvas_cupon_cero!$A$1,1,0,COUNT(Curvas_cupon_cero!$A:$A)-2,1),OFFSET(Curvas_cupon_cero!$A$1,1,MATCH($B$8,Curvas_cupon_cero!$1:$1,0)-1,COUNT(Curvas_cupon_cero!$A:$A)-2,1)),[1]!interpolar(L451,OFFSET(Curvas_cupon_cero!$A$1,1,0,COUNT(Curvas_cupon_cero!$A:$A)-2,1),OFFSET(Curvas_cupon_cero!$A$1,1,MATCH($B$8,Curvas_cupon_cero!$1:$1,0)-1,COUNT(Curvas_cupon_cero!$A:$A)-2,1))))</f>
        <v/>
      </c>
      <c r="E451" s="23" t="str">
        <f t="shared" si="63"/>
        <v/>
      </c>
      <c r="F451" s="23" t="str">
        <f ca="1">IF(A451="","",IF($B$10="Sí",interpolar_alamb(B451,OFFSET(Curvas_cupon_cero!$A$1,1,0,COUNT(Curvas_cupon_cero!$A:$A)-2,1),OFFSET(Curvas_cupon_cero!$A$1,1,MATCH($B$9,Curvas_cupon_cero!$1:$1,0)-1,COUNT(Curvas_cupon_cero!$A:$A)-2,1)),[1]!interpolar(B451,OFFSET(Curvas_cupon_cero!$A$1,1,0,COUNT(Curvas_cupon_cero!$A:$A)-2,1),OFFSET(Curvas_cupon_cero!$A$1,1,MATCH($B$9,Curvas_cupon_cero!$1:$1,0)-1,COUNT(Curvas_cupon_cero!$A:$A)-2,1))))</f>
        <v/>
      </c>
      <c r="G451" s="23" t="str">
        <f t="shared" si="64"/>
        <v/>
      </c>
      <c r="H451" s="20" t="str">
        <f t="shared" si="69"/>
        <v/>
      </c>
      <c r="I451" t="str">
        <f t="shared" si="65"/>
        <v/>
      </c>
      <c r="J451" s="17" t="str">
        <f t="shared" si="61"/>
        <v/>
      </c>
      <c r="K451" s="18" t="str">
        <f t="shared" si="66"/>
        <v/>
      </c>
      <c r="L451" t="str">
        <f t="shared" si="67"/>
        <v/>
      </c>
      <c r="M451" s="23" t="str">
        <f ca="1">IF(A451="","",IF($B$10="Sí",interpolar_alamb(L451,OFFSET(Curvas_cupon_cero!$A$1,1,0,COUNT(Curvas_cupon_cero!$A:$A)-2,1),OFFSET(Curvas_cupon_cero!$A$1,1,MATCH($B$6,Curvas_cupon_cero!$1:$1,0)-1,COUNT(Curvas_cupon_cero!$A:$A)-2,1)),[1]!interpolar(L451,OFFSET(Curvas_cupon_cero!$A$1,1,0,COUNT(Curvas_cupon_cero!$A:$A)-2,1),OFFSET(Curvas_cupon_cero!$A$1,1,MATCH($B$6,Curvas_cupon_cero!$1:$1,0)-1,COUNT(Curvas_cupon_cero!$A:$A)-2,1))))</f>
        <v/>
      </c>
      <c r="N451" s="23"/>
      <c r="O451" s="19" t="str">
        <f t="shared" si="68"/>
        <v/>
      </c>
    </row>
    <row r="452" spans="1:15" x14ac:dyDescent="0.2">
      <c r="A452" s="12" t="str">
        <f t="shared" si="62"/>
        <v/>
      </c>
      <c r="B452" t="str">
        <f t="shared" si="60"/>
        <v/>
      </c>
      <c r="C452" s="21" t="str">
        <f ca="1">IF(A452="","",IF($B$10="Sí",interpolar_alamb(B452,OFFSET(Curvas_cupon_cero!$A$1,1,0,COUNT(Curvas_cupon_cero!$A:$A)-2,1),OFFSET(Curvas_cupon_cero!$A$1,1,MATCH($B$8,Curvas_cupon_cero!$1:$1,0)-1,COUNT(Curvas_cupon_cero!$A:$A)-2,1)),[1]!interpolar(B452,OFFSET(Curvas_cupon_cero!$A$1,1,0,COUNT(Curvas_cupon_cero!$A:$A)-2,1),OFFSET(Curvas_cupon_cero!$A$1,1,MATCH($B$8,Curvas_cupon_cero!$1:$1,0)-1,COUNT(Curvas_cupon_cero!$A:$A)-2,1))))</f>
        <v/>
      </c>
      <c r="D452" s="23" t="str">
        <f ca="1">IF(A452="","",IF($B$10="Sí",interpolar_alamb(L452,OFFSET(Curvas_cupon_cero!$A$1,1,0,COUNT(Curvas_cupon_cero!$A:$A)-2,1),OFFSET(Curvas_cupon_cero!$A$1,1,MATCH($B$8,Curvas_cupon_cero!$1:$1,0)-1,COUNT(Curvas_cupon_cero!$A:$A)-2,1)),[1]!interpolar(L452,OFFSET(Curvas_cupon_cero!$A$1,1,0,COUNT(Curvas_cupon_cero!$A:$A)-2,1),OFFSET(Curvas_cupon_cero!$A$1,1,MATCH($B$8,Curvas_cupon_cero!$1:$1,0)-1,COUNT(Curvas_cupon_cero!$A:$A)-2,1))))</f>
        <v/>
      </c>
      <c r="E452" s="23" t="str">
        <f t="shared" si="63"/>
        <v/>
      </c>
      <c r="F452" s="23" t="str">
        <f ca="1">IF(A452="","",IF($B$10="Sí",interpolar_alamb(B452,OFFSET(Curvas_cupon_cero!$A$1,1,0,COUNT(Curvas_cupon_cero!$A:$A)-2,1),OFFSET(Curvas_cupon_cero!$A$1,1,MATCH($B$9,Curvas_cupon_cero!$1:$1,0)-1,COUNT(Curvas_cupon_cero!$A:$A)-2,1)),[1]!interpolar(B452,OFFSET(Curvas_cupon_cero!$A$1,1,0,COUNT(Curvas_cupon_cero!$A:$A)-2,1),OFFSET(Curvas_cupon_cero!$A$1,1,MATCH($B$9,Curvas_cupon_cero!$1:$1,0)-1,COUNT(Curvas_cupon_cero!$A:$A)-2,1))))</f>
        <v/>
      </c>
      <c r="G452" s="23" t="str">
        <f t="shared" si="64"/>
        <v/>
      </c>
      <c r="H452" s="20" t="str">
        <f t="shared" si="69"/>
        <v/>
      </c>
      <c r="I452" t="str">
        <f t="shared" si="65"/>
        <v/>
      </c>
      <c r="J452" s="17" t="str">
        <f t="shared" si="61"/>
        <v/>
      </c>
      <c r="K452" s="18" t="str">
        <f t="shared" si="66"/>
        <v/>
      </c>
      <c r="L452" t="str">
        <f t="shared" si="67"/>
        <v/>
      </c>
      <c r="M452" s="23" t="str">
        <f ca="1">IF(A452="","",IF($B$10="Sí",interpolar_alamb(L452,OFFSET(Curvas_cupon_cero!$A$1,1,0,COUNT(Curvas_cupon_cero!$A:$A)-2,1),OFFSET(Curvas_cupon_cero!$A$1,1,MATCH($B$6,Curvas_cupon_cero!$1:$1,0)-1,COUNT(Curvas_cupon_cero!$A:$A)-2,1)),[1]!interpolar(L452,OFFSET(Curvas_cupon_cero!$A$1,1,0,COUNT(Curvas_cupon_cero!$A:$A)-2,1),OFFSET(Curvas_cupon_cero!$A$1,1,MATCH($B$6,Curvas_cupon_cero!$1:$1,0)-1,COUNT(Curvas_cupon_cero!$A:$A)-2,1))))</f>
        <v/>
      </c>
      <c r="N452" s="23"/>
      <c r="O452" s="19" t="str">
        <f t="shared" si="68"/>
        <v/>
      </c>
    </row>
    <row r="453" spans="1:15" x14ac:dyDescent="0.2">
      <c r="A453" s="12" t="str">
        <f t="shared" si="62"/>
        <v/>
      </c>
      <c r="B453" t="str">
        <f t="shared" si="60"/>
        <v/>
      </c>
      <c r="C453" s="21" t="str">
        <f ca="1">IF(A453="","",IF($B$10="Sí",interpolar_alamb(B453,OFFSET(Curvas_cupon_cero!$A$1,1,0,COUNT(Curvas_cupon_cero!$A:$A)-2,1),OFFSET(Curvas_cupon_cero!$A$1,1,MATCH($B$8,Curvas_cupon_cero!$1:$1,0)-1,COUNT(Curvas_cupon_cero!$A:$A)-2,1)),[1]!interpolar(B453,OFFSET(Curvas_cupon_cero!$A$1,1,0,COUNT(Curvas_cupon_cero!$A:$A)-2,1),OFFSET(Curvas_cupon_cero!$A$1,1,MATCH($B$8,Curvas_cupon_cero!$1:$1,0)-1,COUNT(Curvas_cupon_cero!$A:$A)-2,1))))</f>
        <v/>
      </c>
      <c r="D453" s="23" t="str">
        <f ca="1">IF(A453="","",IF($B$10="Sí",interpolar_alamb(L453,OFFSET(Curvas_cupon_cero!$A$1,1,0,COUNT(Curvas_cupon_cero!$A:$A)-2,1),OFFSET(Curvas_cupon_cero!$A$1,1,MATCH($B$8,Curvas_cupon_cero!$1:$1,0)-1,COUNT(Curvas_cupon_cero!$A:$A)-2,1)),[1]!interpolar(L453,OFFSET(Curvas_cupon_cero!$A$1,1,0,COUNT(Curvas_cupon_cero!$A:$A)-2,1),OFFSET(Curvas_cupon_cero!$A$1,1,MATCH($B$8,Curvas_cupon_cero!$1:$1,0)-1,COUNT(Curvas_cupon_cero!$A:$A)-2,1))))</f>
        <v/>
      </c>
      <c r="E453" s="23" t="str">
        <f t="shared" si="63"/>
        <v/>
      </c>
      <c r="F453" s="23" t="str">
        <f ca="1">IF(A453="","",IF($B$10="Sí",interpolar_alamb(B453,OFFSET(Curvas_cupon_cero!$A$1,1,0,COUNT(Curvas_cupon_cero!$A:$A)-2,1),OFFSET(Curvas_cupon_cero!$A$1,1,MATCH($B$9,Curvas_cupon_cero!$1:$1,0)-1,COUNT(Curvas_cupon_cero!$A:$A)-2,1)),[1]!interpolar(B453,OFFSET(Curvas_cupon_cero!$A$1,1,0,COUNT(Curvas_cupon_cero!$A:$A)-2,1),OFFSET(Curvas_cupon_cero!$A$1,1,MATCH($B$9,Curvas_cupon_cero!$1:$1,0)-1,COUNT(Curvas_cupon_cero!$A:$A)-2,1))))</f>
        <v/>
      </c>
      <c r="G453" s="23" t="str">
        <f t="shared" si="64"/>
        <v/>
      </c>
      <c r="H453" s="20" t="str">
        <f t="shared" si="69"/>
        <v/>
      </c>
      <c r="I453" t="str">
        <f t="shared" si="65"/>
        <v/>
      </c>
      <c r="J453" s="17" t="str">
        <f t="shared" si="61"/>
        <v/>
      </c>
      <c r="K453" s="18" t="str">
        <f t="shared" si="66"/>
        <v/>
      </c>
      <c r="L453" t="str">
        <f t="shared" si="67"/>
        <v/>
      </c>
      <c r="M453" s="23" t="str">
        <f ca="1">IF(A453="","",IF($B$10="Sí",interpolar_alamb(L453,OFFSET(Curvas_cupon_cero!$A$1,1,0,COUNT(Curvas_cupon_cero!$A:$A)-2,1),OFFSET(Curvas_cupon_cero!$A$1,1,MATCH($B$6,Curvas_cupon_cero!$1:$1,0)-1,COUNT(Curvas_cupon_cero!$A:$A)-2,1)),[1]!interpolar(L453,OFFSET(Curvas_cupon_cero!$A$1,1,0,COUNT(Curvas_cupon_cero!$A:$A)-2,1),OFFSET(Curvas_cupon_cero!$A$1,1,MATCH($B$6,Curvas_cupon_cero!$1:$1,0)-1,COUNT(Curvas_cupon_cero!$A:$A)-2,1))))</f>
        <v/>
      </c>
      <c r="N453" s="23"/>
      <c r="O453" s="19" t="str">
        <f t="shared" si="68"/>
        <v/>
      </c>
    </row>
    <row r="454" spans="1:15" x14ac:dyDescent="0.2">
      <c r="A454" s="12" t="str">
        <f t="shared" si="62"/>
        <v/>
      </c>
      <c r="B454" t="str">
        <f t="shared" si="60"/>
        <v/>
      </c>
      <c r="C454" s="21" t="str">
        <f ca="1">IF(A454="","",IF($B$10="Sí",interpolar_alamb(B454,OFFSET(Curvas_cupon_cero!$A$1,1,0,COUNT(Curvas_cupon_cero!$A:$A)-2,1),OFFSET(Curvas_cupon_cero!$A$1,1,MATCH($B$8,Curvas_cupon_cero!$1:$1,0)-1,COUNT(Curvas_cupon_cero!$A:$A)-2,1)),[1]!interpolar(B454,OFFSET(Curvas_cupon_cero!$A$1,1,0,COUNT(Curvas_cupon_cero!$A:$A)-2,1),OFFSET(Curvas_cupon_cero!$A$1,1,MATCH($B$8,Curvas_cupon_cero!$1:$1,0)-1,COUNT(Curvas_cupon_cero!$A:$A)-2,1))))</f>
        <v/>
      </c>
      <c r="D454" s="23" t="str">
        <f ca="1">IF(A454="","",IF($B$10="Sí",interpolar_alamb(L454,OFFSET(Curvas_cupon_cero!$A$1,1,0,COUNT(Curvas_cupon_cero!$A:$A)-2,1),OFFSET(Curvas_cupon_cero!$A$1,1,MATCH($B$8,Curvas_cupon_cero!$1:$1,0)-1,COUNT(Curvas_cupon_cero!$A:$A)-2,1)),[1]!interpolar(L454,OFFSET(Curvas_cupon_cero!$A$1,1,0,COUNT(Curvas_cupon_cero!$A:$A)-2,1),OFFSET(Curvas_cupon_cero!$A$1,1,MATCH($B$8,Curvas_cupon_cero!$1:$1,0)-1,COUNT(Curvas_cupon_cero!$A:$A)-2,1))))</f>
        <v/>
      </c>
      <c r="E454" s="23" t="str">
        <f t="shared" si="63"/>
        <v/>
      </c>
      <c r="F454" s="23" t="str">
        <f ca="1">IF(A454="","",IF($B$10="Sí",interpolar_alamb(B454,OFFSET(Curvas_cupon_cero!$A$1,1,0,COUNT(Curvas_cupon_cero!$A:$A)-2,1),OFFSET(Curvas_cupon_cero!$A$1,1,MATCH($B$9,Curvas_cupon_cero!$1:$1,0)-1,COUNT(Curvas_cupon_cero!$A:$A)-2,1)),[1]!interpolar(B454,OFFSET(Curvas_cupon_cero!$A$1,1,0,COUNT(Curvas_cupon_cero!$A:$A)-2,1),OFFSET(Curvas_cupon_cero!$A$1,1,MATCH($B$9,Curvas_cupon_cero!$1:$1,0)-1,COUNT(Curvas_cupon_cero!$A:$A)-2,1))))</f>
        <v/>
      </c>
      <c r="G454" s="23" t="str">
        <f t="shared" si="64"/>
        <v/>
      </c>
      <c r="H454" s="20" t="str">
        <f t="shared" si="69"/>
        <v/>
      </c>
      <c r="I454" t="str">
        <f t="shared" si="65"/>
        <v/>
      </c>
      <c r="J454" s="17" t="str">
        <f t="shared" si="61"/>
        <v/>
      </c>
      <c r="K454" s="18" t="str">
        <f t="shared" si="66"/>
        <v/>
      </c>
      <c r="L454" t="str">
        <f t="shared" si="67"/>
        <v/>
      </c>
      <c r="M454" s="23" t="str">
        <f ca="1">IF(A454="","",IF($B$10="Sí",interpolar_alamb(L454,OFFSET(Curvas_cupon_cero!$A$1,1,0,COUNT(Curvas_cupon_cero!$A:$A)-2,1),OFFSET(Curvas_cupon_cero!$A$1,1,MATCH($B$6,Curvas_cupon_cero!$1:$1,0)-1,COUNT(Curvas_cupon_cero!$A:$A)-2,1)),[1]!interpolar(L454,OFFSET(Curvas_cupon_cero!$A$1,1,0,COUNT(Curvas_cupon_cero!$A:$A)-2,1),OFFSET(Curvas_cupon_cero!$A$1,1,MATCH($B$6,Curvas_cupon_cero!$1:$1,0)-1,COUNT(Curvas_cupon_cero!$A:$A)-2,1))))</f>
        <v/>
      </c>
      <c r="N454" s="23"/>
      <c r="O454" s="19" t="str">
        <f t="shared" si="68"/>
        <v/>
      </c>
    </row>
    <row r="455" spans="1:15" x14ac:dyDescent="0.2">
      <c r="A455" s="12" t="str">
        <f t="shared" si="62"/>
        <v/>
      </c>
      <c r="B455" t="str">
        <f t="shared" si="60"/>
        <v/>
      </c>
      <c r="C455" s="21" t="str">
        <f ca="1">IF(A455="","",IF($B$10="Sí",interpolar_alamb(B455,OFFSET(Curvas_cupon_cero!$A$1,1,0,COUNT(Curvas_cupon_cero!$A:$A)-2,1),OFFSET(Curvas_cupon_cero!$A$1,1,MATCH($B$8,Curvas_cupon_cero!$1:$1,0)-1,COUNT(Curvas_cupon_cero!$A:$A)-2,1)),[1]!interpolar(B455,OFFSET(Curvas_cupon_cero!$A$1,1,0,COUNT(Curvas_cupon_cero!$A:$A)-2,1),OFFSET(Curvas_cupon_cero!$A$1,1,MATCH($B$8,Curvas_cupon_cero!$1:$1,0)-1,COUNT(Curvas_cupon_cero!$A:$A)-2,1))))</f>
        <v/>
      </c>
      <c r="D455" s="23" t="str">
        <f ca="1">IF(A455="","",IF($B$10="Sí",interpolar_alamb(L455,OFFSET(Curvas_cupon_cero!$A$1,1,0,COUNT(Curvas_cupon_cero!$A:$A)-2,1),OFFSET(Curvas_cupon_cero!$A$1,1,MATCH($B$8,Curvas_cupon_cero!$1:$1,0)-1,COUNT(Curvas_cupon_cero!$A:$A)-2,1)),[1]!interpolar(L455,OFFSET(Curvas_cupon_cero!$A$1,1,0,COUNT(Curvas_cupon_cero!$A:$A)-2,1),OFFSET(Curvas_cupon_cero!$A$1,1,MATCH($B$8,Curvas_cupon_cero!$1:$1,0)-1,COUNT(Curvas_cupon_cero!$A:$A)-2,1))))</f>
        <v/>
      </c>
      <c r="E455" s="23" t="str">
        <f t="shared" si="63"/>
        <v/>
      </c>
      <c r="F455" s="23" t="str">
        <f ca="1">IF(A455="","",IF($B$10="Sí",interpolar_alamb(B455,OFFSET(Curvas_cupon_cero!$A$1,1,0,COUNT(Curvas_cupon_cero!$A:$A)-2,1),OFFSET(Curvas_cupon_cero!$A$1,1,MATCH($B$9,Curvas_cupon_cero!$1:$1,0)-1,COUNT(Curvas_cupon_cero!$A:$A)-2,1)),[1]!interpolar(B455,OFFSET(Curvas_cupon_cero!$A$1,1,0,COUNT(Curvas_cupon_cero!$A:$A)-2,1),OFFSET(Curvas_cupon_cero!$A$1,1,MATCH($B$9,Curvas_cupon_cero!$1:$1,0)-1,COUNT(Curvas_cupon_cero!$A:$A)-2,1))))</f>
        <v/>
      </c>
      <c r="G455" s="23" t="str">
        <f t="shared" si="64"/>
        <v/>
      </c>
      <c r="H455" s="20" t="str">
        <f t="shared" si="69"/>
        <v/>
      </c>
      <c r="I455" t="str">
        <f t="shared" si="65"/>
        <v/>
      </c>
      <c r="J455" s="17" t="str">
        <f t="shared" si="61"/>
        <v/>
      </c>
      <c r="K455" s="18" t="str">
        <f t="shared" si="66"/>
        <v/>
      </c>
      <c r="L455" t="str">
        <f t="shared" si="67"/>
        <v/>
      </c>
      <c r="M455" s="23" t="str">
        <f ca="1">IF(A455="","",IF($B$10="Sí",interpolar_alamb(L455,OFFSET(Curvas_cupon_cero!$A$1,1,0,COUNT(Curvas_cupon_cero!$A:$A)-2,1),OFFSET(Curvas_cupon_cero!$A$1,1,MATCH($B$6,Curvas_cupon_cero!$1:$1,0)-1,COUNT(Curvas_cupon_cero!$A:$A)-2,1)),[1]!interpolar(L455,OFFSET(Curvas_cupon_cero!$A$1,1,0,COUNT(Curvas_cupon_cero!$A:$A)-2,1),OFFSET(Curvas_cupon_cero!$A$1,1,MATCH($B$6,Curvas_cupon_cero!$1:$1,0)-1,COUNT(Curvas_cupon_cero!$A:$A)-2,1))))</f>
        <v/>
      </c>
      <c r="N455" s="23"/>
      <c r="O455" s="19" t="str">
        <f t="shared" si="68"/>
        <v/>
      </c>
    </row>
    <row r="456" spans="1:15" x14ac:dyDescent="0.2">
      <c r="A456" s="12" t="str">
        <f t="shared" si="62"/>
        <v/>
      </c>
      <c r="B456" t="str">
        <f t="shared" si="60"/>
        <v/>
      </c>
      <c r="C456" s="21" t="str">
        <f ca="1">IF(A456="","",IF($B$10="Sí",interpolar_alamb(B456,OFFSET(Curvas_cupon_cero!$A$1,1,0,COUNT(Curvas_cupon_cero!$A:$A)-2,1),OFFSET(Curvas_cupon_cero!$A$1,1,MATCH($B$8,Curvas_cupon_cero!$1:$1,0)-1,COUNT(Curvas_cupon_cero!$A:$A)-2,1)),[1]!interpolar(B456,OFFSET(Curvas_cupon_cero!$A$1,1,0,COUNT(Curvas_cupon_cero!$A:$A)-2,1),OFFSET(Curvas_cupon_cero!$A$1,1,MATCH($B$8,Curvas_cupon_cero!$1:$1,0)-1,COUNT(Curvas_cupon_cero!$A:$A)-2,1))))</f>
        <v/>
      </c>
      <c r="D456" s="23" t="str">
        <f ca="1">IF(A456="","",IF($B$10="Sí",interpolar_alamb(L456,OFFSET(Curvas_cupon_cero!$A$1,1,0,COUNT(Curvas_cupon_cero!$A:$A)-2,1),OFFSET(Curvas_cupon_cero!$A$1,1,MATCH($B$8,Curvas_cupon_cero!$1:$1,0)-1,COUNT(Curvas_cupon_cero!$A:$A)-2,1)),[1]!interpolar(L456,OFFSET(Curvas_cupon_cero!$A$1,1,0,COUNT(Curvas_cupon_cero!$A:$A)-2,1),OFFSET(Curvas_cupon_cero!$A$1,1,MATCH($B$8,Curvas_cupon_cero!$1:$1,0)-1,COUNT(Curvas_cupon_cero!$A:$A)-2,1))))</f>
        <v/>
      </c>
      <c r="E456" s="23" t="str">
        <f t="shared" si="63"/>
        <v/>
      </c>
      <c r="F456" s="23" t="str">
        <f ca="1">IF(A456="","",IF($B$10="Sí",interpolar_alamb(B456,OFFSET(Curvas_cupon_cero!$A$1,1,0,COUNT(Curvas_cupon_cero!$A:$A)-2,1),OFFSET(Curvas_cupon_cero!$A$1,1,MATCH($B$9,Curvas_cupon_cero!$1:$1,0)-1,COUNT(Curvas_cupon_cero!$A:$A)-2,1)),[1]!interpolar(B456,OFFSET(Curvas_cupon_cero!$A$1,1,0,COUNT(Curvas_cupon_cero!$A:$A)-2,1),OFFSET(Curvas_cupon_cero!$A$1,1,MATCH($B$9,Curvas_cupon_cero!$1:$1,0)-1,COUNT(Curvas_cupon_cero!$A:$A)-2,1))))</f>
        <v/>
      </c>
      <c r="G456" s="23" t="str">
        <f t="shared" si="64"/>
        <v/>
      </c>
      <c r="H456" s="20" t="str">
        <f t="shared" si="69"/>
        <v/>
      </c>
      <c r="I456" t="str">
        <f t="shared" si="65"/>
        <v/>
      </c>
      <c r="J456" s="17" t="str">
        <f t="shared" si="61"/>
        <v/>
      </c>
      <c r="K456" s="18" t="str">
        <f t="shared" si="66"/>
        <v/>
      </c>
      <c r="L456" t="str">
        <f t="shared" si="67"/>
        <v/>
      </c>
      <c r="M456" s="23" t="str">
        <f ca="1">IF(A456="","",IF($B$10="Sí",interpolar_alamb(L456,OFFSET(Curvas_cupon_cero!$A$1,1,0,COUNT(Curvas_cupon_cero!$A:$A)-2,1),OFFSET(Curvas_cupon_cero!$A$1,1,MATCH($B$6,Curvas_cupon_cero!$1:$1,0)-1,COUNT(Curvas_cupon_cero!$A:$A)-2,1)),[1]!interpolar(L456,OFFSET(Curvas_cupon_cero!$A$1,1,0,COUNT(Curvas_cupon_cero!$A:$A)-2,1),OFFSET(Curvas_cupon_cero!$A$1,1,MATCH($B$6,Curvas_cupon_cero!$1:$1,0)-1,COUNT(Curvas_cupon_cero!$A:$A)-2,1))))</f>
        <v/>
      </c>
      <c r="N456" s="23"/>
      <c r="O456" s="19" t="str">
        <f t="shared" si="68"/>
        <v/>
      </c>
    </row>
    <row r="457" spans="1:15" x14ac:dyDescent="0.2">
      <c r="A457" s="12" t="str">
        <f t="shared" si="62"/>
        <v/>
      </c>
      <c r="B457" t="str">
        <f t="shared" si="60"/>
        <v/>
      </c>
      <c r="C457" s="21" t="str">
        <f ca="1">IF(A457="","",IF($B$10="Sí",interpolar_alamb(B457,OFFSET(Curvas_cupon_cero!$A$1,1,0,COUNT(Curvas_cupon_cero!$A:$A)-2,1),OFFSET(Curvas_cupon_cero!$A$1,1,MATCH($B$8,Curvas_cupon_cero!$1:$1,0)-1,COUNT(Curvas_cupon_cero!$A:$A)-2,1)),[1]!interpolar(B457,OFFSET(Curvas_cupon_cero!$A$1,1,0,COUNT(Curvas_cupon_cero!$A:$A)-2,1),OFFSET(Curvas_cupon_cero!$A$1,1,MATCH($B$8,Curvas_cupon_cero!$1:$1,0)-1,COUNT(Curvas_cupon_cero!$A:$A)-2,1))))</f>
        <v/>
      </c>
      <c r="D457" s="23" t="str">
        <f ca="1">IF(A457="","",IF($B$10="Sí",interpolar_alamb(L457,OFFSET(Curvas_cupon_cero!$A$1,1,0,COUNT(Curvas_cupon_cero!$A:$A)-2,1),OFFSET(Curvas_cupon_cero!$A$1,1,MATCH($B$8,Curvas_cupon_cero!$1:$1,0)-1,COUNT(Curvas_cupon_cero!$A:$A)-2,1)),[1]!interpolar(L457,OFFSET(Curvas_cupon_cero!$A$1,1,0,COUNT(Curvas_cupon_cero!$A:$A)-2,1),OFFSET(Curvas_cupon_cero!$A$1,1,MATCH($B$8,Curvas_cupon_cero!$1:$1,0)-1,COUNT(Curvas_cupon_cero!$A:$A)-2,1))))</f>
        <v/>
      </c>
      <c r="E457" s="23" t="str">
        <f t="shared" si="63"/>
        <v/>
      </c>
      <c r="F457" s="23" t="str">
        <f ca="1">IF(A457="","",IF($B$10="Sí",interpolar_alamb(B457,OFFSET(Curvas_cupon_cero!$A$1,1,0,COUNT(Curvas_cupon_cero!$A:$A)-2,1),OFFSET(Curvas_cupon_cero!$A$1,1,MATCH($B$9,Curvas_cupon_cero!$1:$1,0)-1,COUNT(Curvas_cupon_cero!$A:$A)-2,1)),[1]!interpolar(B457,OFFSET(Curvas_cupon_cero!$A$1,1,0,COUNT(Curvas_cupon_cero!$A:$A)-2,1),OFFSET(Curvas_cupon_cero!$A$1,1,MATCH($B$9,Curvas_cupon_cero!$1:$1,0)-1,COUNT(Curvas_cupon_cero!$A:$A)-2,1))))</f>
        <v/>
      </c>
      <c r="G457" s="23" t="str">
        <f t="shared" si="64"/>
        <v/>
      </c>
      <c r="H457" s="20" t="str">
        <f t="shared" si="69"/>
        <v/>
      </c>
      <c r="I457" t="str">
        <f t="shared" si="65"/>
        <v/>
      </c>
      <c r="J457" s="17" t="str">
        <f t="shared" si="61"/>
        <v/>
      </c>
      <c r="K457" s="18" t="str">
        <f t="shared" si="66"/>
        <v/>
      </c>
      <c r="L457" t="str">
        <f t="shared" si="67"/>
        <v/>
      </c>
      <c r="M457" s="23" t="str">
        <f ca="1">IF(A457="","",IF($B$10="Sí",interpolar_alamb(L457,OFFSET(Curvas_cupon_cero!$A$1,1,0,COUNT(Curvas_cupon_cero!$A:$A)-2,1),OFFSET(Curvas_cupon_cero!$A$1,1,MATCH($B$6,Curvas_cupon_cero!$1:$1,0)-1,COUNT(Curvas_cupon_cero!$A:$A)-2,1)),[1]!interpolar(L457,OFFSET(Curvas_cupon_cero!$A$1,1,0,COUNT(Curvas_cupon_cero!$A:$A)-2,1),OFFSET(Curvas_cupon_cero!$A$1,1,MATCH($B$6,Curvas_cupon_cero!$1:$1,0)-1,COUNT(Curvas_cupon_cero!$A:$A)-2,1))))</f>
        <v/>
      </c>
      <c r="N457" s="23"/>
      <c r="O457" s="19" t="str">
        <f t="shared" si="68"/>
        <v/>
      </c>
    </row>
    <row r="458" spans="1:15" x14ac:dyDescent="0.2">
      <c r="A458" s="12" t="str">
        <f t="shared" si="62"/>
        <v/>
      </c>
      <c r="B458" t="str">
        <f t="shared" si="60"/>
        <v/>
      </c>
      <c r="C458" s="21" t="str">
        <f ca="1">IF(A458="","",IF($B$10="Sí",interpolar_alamb(B458,OFFSET(Curvas_cupon_cero!$A$1,1,0,COUNT(Curvas_cupon_cero!$A:$A)-2,1),OFFSET(Curvas_cupon_cero!$A$1,1,MATCH($B$8,Curvas_cupon_cero!$1:$1,0)-1,COUNT(Curvas_cupon_cero!$A:$A)-2,1)),[1]!interpolar(B458,OFFSET(Curvas_cupon_cero!$A$1,1,0,COUNT(Curvas_cupon_cero!$A:$A)-2,1),OFFSET(Curvas_cupon_cero!$A$1,1,MATCH($B$8,Curvas_cupon_cero!$1:$1,0)-1,COUNT(Curvas_cupon_cero!$A:$A)-2,1))))</f>
        <v/>
      </c>
      <c r="D458" s="23" t="str">
        <f ca="1">IF(A458="","",IF($B$10="Sí",interpolar_alamb(L458,OFFSET(Curvas_cupon_cero!$A$1,1,0,COUNT(Curvas_cupon_cero!$A:$A)-2,1),OFFSET(Curvas_cupon_cero!$A$1,1,MATCH($B$8,Curvas_cupon_cero!$1:$1,0)-1,COUNT(Curvas_cupon_cero!$A:$A)-2,1)),[1]!interpolar(L458,OFFSET(Curvas_cupon_cero!$A$1,1,0,COUNT(Curvas_cupon_cero!$A:$A)-2,1),OFFSET(Curvas_cupon_cero!$A$1,1,MATCH($B$8,Curvas_cupon_cero!$1:$1,0)-1,COUNT(Curvas_cupon_cero!$A:$A)-2,1))))</f>
        <v/>
      </c>
      <c r="E458" s="23" t="str">
        <f t="shared" si="63"/>
        <v/>
      </c>
      <c r="F458" s="23" t="str">
        <f ca="1">IF(A458="","",IF($B$10="Sí",interpolar_alamb(B458,OFFSET(Curvas_cupon_cero!$A$1,1,0,COUNT(Curvas_cupon_cero!$A:$A)-2,1),OFFSET(Curvas_cupon_cero!$A$1,1,MATCH($B$9,Curvas_cupon_cero!$1:$1,0)-1,COUNT(Curvas_cupon_cero!$A:$A)-2,1)),[1]!interpolar(B458,OFFSET(Curvas_cupon_cero!$A$1,1,0,COUNT(Curvas_cupon_cero!$A:$A)-2,1),OFFSET(Curvas_cupon_cero!$A$1,1,MATCH($B$9,Curvas_cupon_cero!$1:$1,0)-1,COUNT(Curvas_cupon_cero!$A:$A)-2,1))))</f>
        <v/>
      </c>
      <c r="G458" s="23" t="str">
        <f t="shared" si="64"/>
        <v/>
      </c>
      <c r="H458" s="20" t="str">
        <f t="shared" si="69"/>
        <v/>
      </c>
      <c r="I458" t="str">
        <f t="shared" si="65"/>
        <v/>
      </c>
      <c r="J458" s="17" t="str">
        <f t="shared" si="61"/>
        <v/>
      </c>
      <c r="K458" s="18" t="str">
        <f t="shared" si="66"/>
        <v/>
      </c>
      <c r="L458" t="str">
        <f t="shared" si="67"/>
        <v/>
      </c>
      <c r="M458" s="23" t="str">
        <f ca="1">IF(A458="","",IF($B$10="Sí",interpolar_alamb(L458,OFFSET(Curvas_cupon_cero!$A$1,1,0,COUNT(Curvas_cupon_cero!$A:$A)-2,1),OFFSET(Curvas_cupon_cero!$A$1,1,MATCH($B$6,Curvas_cupon_cero!$1:$1,0)-1,COUNT(Curvas_cupon_cero!$A:$A)-2,1)),[1]!interpolar(L458,OFFSET(Curvas_cupon_cero!$A$1,1,0,COUNT(Curvas_cupon_cero!$A:$A)-2,1),OFFSET(Curvas_cupon_cero!$A$1,1,MATCH($B$6,Curvas_cupon_cero!$1:$1,0)-1,COUNT(Curvas_cupon_cero!$A:$A)-2,1))))</f>
        <v/>
      </c>
      <c r="N458" s="23"/>
      <c r="O458" s="19" t="str">
        <f t="shared" si="68"/>
        <v/>
      </c>
    </row>
    <row r="459" spans="1:15" x14ac:dyDescent="0.2">
      <c r="A459" s="12" t="str">
        <f t="shared" si="62"/>
        <v/>
      </c>
      <c r="B459" t="str">
        <f t="shared" si="60"/>
        <v/>
      </c>
      <c r="C459" s="21" t="str">
        <f ca="1">IF(A459="","",IF($B$10="Sí",interpolar_alamb(B459,OFFSET(Curvas_cupon_cero!$A$1,1,0,COUNT(Curvas_cupon_cero!$A:$A)-2,1),OFFSET(Curvas_cupon_cero!$A$1,1,MATCH($B$8,Curvas_cupon_cero!$1:$1,0)-1,COUNT(Curvas_cupon_cero!$A:$A)-2,1)),[1]!interpolar(B459,OFFSET(Curvas_cupon_cero!$A$1,1,0,COUNT(Curvas_cupon_cero!$A:$A)-2,1),OFFSET(Curvas_cupon_cero!$A$1,1,MATCH($B$8,Curvas_cupon_cero!$1:$1,0)-1,COUNT(Curvas_cupon_cero!$A:$A)-2,1))))</f>
        <v/>
      </c>
      <c r="D459" s="23" t="str">
        <f ca="1">IF(A459="","",IF($B$10="Sí",interpolar_alamb(L459,OFFSET(Curvas_cupon_cero!$A$1,1,0,COUNT(Curvas_cupon_cero!$A:$A)-2,1),OFFSET(Curvas_cupon_cero!$A$1,1,MATCH($B$8,Curvas_cupon_cero!$1:$1,0)-1,COUNT(Curvas_cupon_cero!$A:$A)-2,1)),[1]!interpolar(L459,OFFSET(Curvas_cupon_cero!$A$1,1,0,COUNT(Curvas_cupon_cero!$A:$A)-2,1),OFFSET(Curvas_cupon_cero!$A$1,1,MATCH($B$8,Curvas_cupon_cero!$1:$1,0)-1,COUNT(Curvas_cupon_cero!$A:$A)-2,1))))</f>
        <v/>
      </c>
      <c r="E459" s="23" t="str">
        <f t="shared" si="63"/>
        <v/>
      </c>
      <c r="F459" s="23" t="str">
        <f ca="1">IF(A459="","",IF($B$10="Sí",interpolar_alamb(B459,OFFSET(Curvas_cupon_cero!$A$1,1,0,COUNT(Curvas_cupon_cero!$A:$A)-2,1),OFFSET(Curvas_cupon_cero!$A$1,1,MATCH($B$9,Curvas_cupon_cero!$1:$1,0)-1,COUNT(Curvas_cupon_cero!$A:$A)-2,1)),[1]!interpolar(B459,OFFSET(Curvas_cupon_cero!$A$1,1,0,COUNT(Curvas_cupon_cero!$A:$A)-2,1),OFFSET(Curvas_cupon_cero!$A$1,1,MATCH($B$9,Curvas_cupon_cero!$1:$1,0)-1,COUNT(Curvas_cupon_cero!$A:$A)-2,1))))</f>
        <v/>
      </c>
      <c r="G459" s="23" t="str">
        <f t="shared" si="64"/>
        <v/>
      </c>
      <c r="H459" s="20" t="str">
        <f t="shared" si="69"/>
        <v/>
      </c>
      <c r="I459" t="str">
        <f t="shared" si="65"/>
        <v/>
      </c>
      <c r="J459" s="17" t="str">
        <f t="shared" si="61"/>
        <v/>
      </c>
      <c r="K459" s="18" t="str">
        <f t="shared" si="66"/>
        <v/>
      </c>
      <c r="L459" t="str">
        <f t="shared" si="67"/>
        <v/>
      </c>
      <c r="M459" s="23" t="str">
        <f ca="1">IF(A459="","",IF($B$10="Sí",interpolar_alamb(L459,OFFSET(Curvas_cupon_cero!$A$1,1,0,COUNT(Curvas_cupon_cero!$A:$A)-2,1),OFFSET(Curvas_cupon_cero!$A$1,1,MATCH($B$6,Curvas_cupon_cero!$1:$1,0)-1,COUNT(Curvas_cupon_cero!$A:$A)-2,1)),[1]!interpolar(L459,OFFSET(Curvas_cupon_cero!$A$1,1,0,COUNT(Curvas_cupon_cero!$A:$A)-2,1),OFFSET(Curvas_cupon_cero!$A$1,1,MATCH($B$6,Curvas_cupon_cero!$1:$1,0)-1,COUNT(Curvas_cupon_cero!$A:$A)-2,1))))</f>
        <v/>
      </c>
      <c r="N459" s="23"/>
      <c r="O459" s="19" t="str">
        <f t="shared" si="68"/>
        <v/>
      </c>
    </row>
    <row r="460" spans="1:15" x14ac:dyDescent="0.2">
      <c r="A460" s="12" t="str">
        <f t="shared" si="62"/>
        <v/>
      </c>
      <c r="B460" t="str">
        <f t="shared" si="60"/>
        <v/>
      </c>
      <c r="C460" s="21" t="str">
        <f ca="1">IF(A460="","",IF($B$10="Sí",interpolar_alamb(B460,OFFSET(Curvas_cupon_cero!$A$1,1,0,COUNT(Curvas_cupon_cero!$A:$A)-2,1),OFFSET(Curvas_cupon_cero!$A$1,1,MATCH($B$8,Curvas_cupon_cero!$1:$1,0)-1,COUNT(Curvas_cupon_cero!$A:$A)-2,1)),[1]!interpolar(B460,OFFSET(Curvas_cupon_cero!$A$1,1,0,COUNT(Curvas_cupon_cero!$A:$A)-2,1),OFFSET(Curvas_cupon_cero!$A$1,1,MATCH($B$8,Curvas_cupon_cero!$1:$1,0)-1,COUNT(Curvas_cupon_cero!$A:$A)-2,1))))</f>
        <v/>
      </c>
      <c r="D460" s="23" t="str">
        <f ca="1">IF(A460="","",IF($B$10="Sí",interpolar_alamb(L460,OFFSET(Curvas_cupon_cero!$A$1,1,0,COUNT(Curvas_cupon_cero!$A:$A)-2,1),OFFSET(Curvas_cupon_cero!$A$1,1,MATCH($B$8,Curvas_cupon_cero!$1:$1,0)-1,COUNT(Curvas_cupon_cero!$A:$A)-2,1)),[1]!interpolar(L460,OFFSET(Curvas_cupon_cero!$A$1,1,0,COUNT(Curvas_cupon_cero!$A:$A)-2,1),OFFSET(Curvas_cupon_cero!$A$1,1,MATCH($B$8,Curvas_cupon_cero!$1:$1,0)-1,COUNT(Curvas_cupon_cero!$A:$A)-2,1))))</f>
        <v/>
      </c>
      <c r="E460" s="23" t="str">
        <f t="shared" si="63"/>
        <v/>
      </c>
      <c r="F460" s="23" t="str">
        <f ca="1">IF(A460="","",IF($B$10="Sí",interpolar_alamb(B460,OFFSET(Curvas_cupon_cero!$A$1,1,0,COUNT(Curvas_cupon_cero!$A:$A)-2,1),OFFSET(Curvas_cupon_cero!$A$1,1,MATCH($B$9,Curvas_cupon_cero!$1:$1,0)-1,COUNT(Curvas_cupon_cero!$A:$A)-2,1)),[1]!interpolar(B460,OFFSET(Curvas_cupon_cero!$A$1,1,0,COUNT(Curvas_cupon_cero!$A:$A)-2,1),OFFSET(Curvas_cupon_cero!$A$1,1,MATCH($B$9,Curvas_cupon_cero!$1:$1,0)-1,COUNT(Curvas_cupon_cero!$A:$A)-2,1))))</f>
        <v/>
      </c>
      <c r="G460" s="23" t="str">
        <f t="shared" si="64"/>
        <v/>
      </c>
      <c r="H460" s="20" t="str">
        <f t="shared" si="69"/>
        <v/>
      </c>
      <c r="I460" t="str">
        <f t="shared" si="65"/>
        <v/>
      </c>
      <c r="J460" s="17" t="str">
        <f t="shared" si="61"/>
        <v/>
      </c>
      <c r="K460" s="18" t="str">
        <f t="shared" si="66"/>
        <v/>
      </c>
      <c r="L460" t="str">
        <f t="shared" si="67"/>
        <v/>
      </c>
      <c r="M460" s="23" t="str">
        <f ca="1">IF(A460="","",IF($B$10="Sí",interpolar_alamb(L460,OFFSET(Curvas_cupon_cero!$A$1,1,0,COUNT(Curvas_cupon_cero!$A:$A)-2,1),OFFSET(Curvas_cupon_cero!$A$1,1,MATCH($B$6,Curvas_cupon_cero!$1:$1,0)-1,COUNT(Curvas_cupon_cero!$A:$A)-2,1)),[1]!interpolar(L460,OFFSET(Curvas_cupon_cero!$A$1,1,0,COUNT(Curvas_cupon_cero!$A:$A)-2,1),OFFSET(Curvas_cupon_cero!$A$1,1,MATCH($B$6,Curvas_cupon_cero!$1:$1,0)-1,COUNT(Curvas_cupon_cero!$A:$A)-2,1))))</f>
        <v/>
      </c>
      <c r="N460" s="23"/>
      <c r="O460" s="19" t="str">
        <f t="shared" si="68"/>
        <v/>
      </c>
    </row>
    <row r="461" spans="1:15" x14ac:dyDescent="0.2">
      <c r="A461" s="12" t="str">
        <f t="shared" si="62"/>
        <v/>
      </c>
      <c r="B461" t="str">
        <f t="shared" si="60"/>
        <v/>
      </c>
      <c r="C461" s="21" t="str">
        <f ca="1">IF(A461="","",IF($B$10="Sí",interpolar_alamb(B461,OFFSET(Curvas_cupon_cero!$A$1,1,0,COUNT(Curvas_cupon_cero!$A:$A)-2,1),OFFSET(Curvas_cupon_cero!$A$1,1,MATCH($B$8,Curvas_cupon_cero!$1:$1,0)-1,COUNT(Curvas_cupon_cero!$A:$A)-2,1)),[1]!interpolar(B461,OFFSET(Curvas_cupon_cero!$A$1,1,0,COUNT(Curvas_cupon_cero!$A:$A)-2,1),OFFSET(Curvas_cupon_cero!$A$1,1,MATCH($B$8,Curvas_cupon_cero!$1:$1,0)-1,COUNT(Curvas_cupon_cero!$A:$A)-2,1))))</f>
        <v/>
      </c>
      <c r="D461" s="23" t="str">
        <f ca="1">IF(A461="","",IF($B$10="Sí",interpolar_alamb(L461,OFFSET(Curvas_cupon_cero!$A$1,1,0,COUNT(Curvas_cupon_cero!$A:$A)-2,1),OFFSET(Curvas_cupon_cero!$A$1,1,MATCH($B$8,Curvas_cupon_cero!$1:$1,0)-1,COUNT(Curvas_cupon_cero!$A:$A)-2,1)),[1]!interpolar(L461,OFFSET(Curvas_cupon_cero!$A$1,1,0,COUNT(Curvas_cupon_cero!$A:$A)-2,1),OFFSET(Curvas_cupon_cero!$A$1,1,MATCH($B$8,Curvas_cupon_cero!$1:$1,0)-1,COUNT(Curvas_cupon_cero!$A:$A)-2,1))))</f>
        <v/>
      </c>
      <c r="E461" s="23" t="str">
        <f t="shared" si="63"/>
        <v/>
      </c>
      <c r="F461" s="23" t="str">
        <f ca="1">IF(A461="","",IF($B$10="Sí",interpolar_alamb(B461,OFFSET(Curvas_cupon_cero!$A$1,1,0,COUNT(Curvas_cupon_cero!$A:$A)-2,1),OFFSET(Curvas_cupon_cero!$A$1,1,MATCH($B$9,Curvas_cupon_cero!$1:$1,0)-1,COUNT(Curvas_cupon_cero!$A:$A)-2,1)),[1]!interpolar(B461,OFFSET(Curvas_cupon_cero!$A$1,1,0,COUNT(Curvas_cupon_cero!$A:$A)-2,1),OFFSET(Curvas_cupon_cero!$A$1,1,MATCH($B$9,Curvas_cupon_cero!$1:$1,0)-1,COUNT(Curvas_cupon_cero!$A:$A)-2,1))))</f>
        <v/>
      </c>
      <c r="G461" s="23" t="str">
        <f t="shared" si="64"/>
        <v/>
      </c>
      <c r="H461" s="20" t="str">
        <f t="shared" si="69"/>
        <v/>
      </c>
      <c r="I461" t="str">
        <f t="shared" si="65"/>
        <v/>
      </c>
      <c r="J461" s="17" t="str">
        <f t="shared" si="61"/>
        <v/>
      </c>
      <c r="K461" s="18" t="str">
        <f t="shared" si="66"/>
        <v/>
      </c>
      <c r="L461" t="str">
        <f t="shared" si="67"/>
        <v/>
      </c>
      <c r="M461" s="23" t="str">
        <f ca="1">IF(A461="","",IF($B$10="Sí",interpolar_alamb(L461,OFFSET(Curvas_cupon_cero!$A$1,1,0,COUNT(Curvas_cupon_cero!$A:$A)-2,1),OFFSET(Curvas_cupon_cero!$A$1,1,MATCH($B$6,Curvas_cupon_cero!$1:$1,0)-1,COUNT(Curvas_cupon_cero!$A:$A)-2,1)),[1]!interpolar(L461,OFFSET(Curvas_cupon_cero!$A$1,1,0,COUNT(Curvas_cupon_cero!$A:$A)-2,1),OFFSET(Curvas_cupon_cero!$A$1,1,MATCH($B$6,Curvas_cupon_cero!$1:$1,0)-1,COUNT(Curvas_cupon_cero!$A:$A)-2,1))))</f>
        <v/>
      </c>
      <c r="N461" s="23"/>
      <c r="O461" s="19" t="str">
        <f t="shared" si="68"/>
        <v/>
      </c>
    </row>
    <row r="462" spans="1:15" x14ac:dyDescent="0.2">
      <c r="A462" s="12" t="str">
        <f t="shared" si="62"/>
        <v/>
      </c>
      <c r="B462" t="str">
        <f t="shared" si="60"/>
        <v/>
      </c>
      <c r="C462" s="21" t="str">
        <f ca="1">IF(A462="","",IF($B$10="Sí",interpolar_alamb(B462,OFFSET(Curvas_cupon_cero!$A$1,1,0,COUNT(Curvas_cupon_cero!$A:$A)-2,1),OFFSET(Curvas_cupon_cero!$A$1,1,MATCH($B$8,Curvas_cupon_cero!$1:$1,0)-1,COUNT(Curvas_cupon_cero!$A:$A)-2,1)),[1]!interpolar(B462,OFFSET(Curvas_cupon_cero!$A$1,1,0,COUNT(Curvas_cupon_cero!$A:$A)-2,1),OFFSET(Curvas_cupon_cero!$A$1,1,MATCH($B$8,Curvas_cupon_cero!$1:$1,0)-1,COUNT(Curvas_cupon_cero!$A:$A)-2,1))))</f>
        <v/>
      </c>
      <c r="D462" s="23" t="str">
        <f ca="1">IF(A462="","",IF($B$10="Sí",interpolar_alamb(L462,OFFSET(Curvas_cupon_cero!$A$1,1,0,COUNT(Curvas_cupon_cero!$A:$A)-2,1),OFFSET(Curvas_cupon_cero!$A$1,1,MATCH($B$8,Curvas_cupon_cero!$1:$1,0)-1,COUNT(Curvas_cupon_cero!$A:$A)-2,1)),[1]!interpolar(L462,OFFSET(Curvas_cupon_cero!$A$1,1,0,COUNT(Curvas_cupon_cero!$A:$A)-2,1),OFFSET(Curvas_cupon_cero!$A$1,1,MATCH($B$8,Curvas_cupon_cero!$1:$1,0)-1,COUNT(Curvas_cupon_cero!$A:$A)-2,1))))</f>
        <v/>
      </c>
      <c r="E462" s="23" t="str">
        <f t="shared" si="63"/>
        <v/>
      </c>
      <c r="F462" s="23" t="str">
        <f ca="1">IF(A462="","",IF($B$10="Sí",interpolar_alamb(B462,OFFSET(Curvas_cupon_cero!$A$1,1,0,COUNT(Curvas_cupon_cero!$A:$A)-2,1),OFFSET(Curvas_cupon_cero!$A$1,1,MATCH($B$9,Curvas_cupon_cero!$1:$1,0)-1,COUNT(Curvas_cupon_cero!$A:$A)-2,1)),[1]!interpolar(B462,OFFSET(Curvas_cupon_cero!$A$1,1,0,COUNT(Curvas_cupon_cero!$A:$A)-2,1),OFFSET(Curvas_cupon_cero!$A$1,1,MATCH($B$9,Curvas_cupon_cero!$1:$1,0)-1,COUNT(Curvas_cupon_cero!$A:$A)-2,1))))</f>
        <v/>
      </c>
      <c r="G462" s="23" t="str">
        <f t="shared" si="64"/>
        <v/>
      </c>
      <c r="H462" s="20" t="str">
        <f t="shared" si="69"/>
        <v/>
      </c>
      <c r="I462" t="str">
        <f t="shared" si="65"/>
        <v/>
      </c>
      <c r="J462" s="17" t="str">
        <f t="shared" si="61"/>
        <v/>
      </c>
      <c r="K462" s="18" t="str">
        <f t="shared" si="66"/>
        <v/>
      </c>
      <c r="L462" t="str">
        <f t="shared" si="67"/>
        <v/>
      </c>
      <c r="M462" s="23" t="str">
        <f ca="1">IF(A462="","",IF($B$10="Sí",interpolar_alamb(L462,OFFSET(Curvas_cupon_cero!$A$1,1,0,COUNT(Curvas_cupon_cero!$A:$A)-2,1),OFFSET(Curvas_cupon_cero!$A$1,1,MATCH($B$6,Curvas_cupon_cero!$1:$1,0)-1,COUNT(Curvas_cupon_cero!$A:$A)-2,1)),[1]!interpolar(L462,OFFSET(Curvas_cupon_cero!$A$1,1,0,COUNT(Curvas_cupon_cero!$A:$A)-2,1),OFFSET(Curvas_cupon_cero!$A$1,1,MATCH($B$6,Curvas_cupon_cero!$1:$1,0)-1,COUNT(Curvas_cupon_cero!$A:$A)-2,1))))</f>
        <v/>
      </c>
      <c r="N462" s="23"/>
      <c r="O462" s="19" t="str">
        <f t="shared" si="68"/>
        <v/>
      </c>
    </row>
    <row r="463" spans="1:15" x14ac:dyDescent="0.2">
      <c r="A463" s="12" t="str">
        <f t="shared" si="62"/>
        <v/>
      </c>
      <c r="B463" t="str">
        <f t="shared" si="60"/>
        <v/>
      </c>
      <c r="C463" s="21" t="str">
        <f ca="1">IF(A463="","",IF($B$10="Sí",interpolar_alamb(B463,OFFSET(Curvas_cupon_cero!$A$1,1,0,COUNT(Curvas_cupon_cero!$A:$A)-2,1),OFFSET(Curvas_cupon_cero!$A$1,1,MATCH($B$8,Curvas_cupon_cero!$1:$1,0)-1,COUNT(Curvas_cupon_cero!$A:$A)-2,1)),[1]!interpolar(B463,OFFSET(Curvas_cupon_cero!$A$1,1,0,COUNT(Curvas_cupon_cero!$A:$A)-2,1),OFFSET(Curvas_cupon_cero!$A$1,1,MATCH($B$8,Curvas_cupon_cero!$1:$1,0)-1,COUNT(Curvas_cupon_cero!$A:$A)-2,1))))</f>
        <v/>
      </c>
      <c r="D463" s="23" t="str">
        <f ca="1">IF(A463="","",IF($B$10="Sí",interpolar_alamb(L463,OFFSET(Curvas_cupon_cero!$A$1,1,0,COUNT(Curvas_cupon_cero!$A:$A)-2,1),OFFSET(Curvas_cupon_cero!$A$1,1,MATCH($B$8,Curvas_cupon_cero!$1:$1,0)-1,COUNT(Curvas_cupon_cero!$A:$A)-2,1)),[1]!interpolar(L463,OFFSET(Curvas_cupon_cero!$A$1,1,0,COUNT(Curvas_cupon_cero!$A:$A)-2,1),OFFSET(Curvas_cupon_cero!$A$1,1,MATCH($B$8,Curvas_cupon_cero!$1:$1,0)-1,COUNT(Curvas_cupon_cero!$A:$A)-2,1))))</f>
        <v/>
      </c>
      <c r="E463" s="23" t="str">
        <f t="shared" si="63"/>
        <v/>
      </c>
      <c r="F463" s="23" t="str">
        <f ca="1">IF(A463="","",IF($B$10="Sí",interpolar_alamb(B463,OFFSET(Curvas_cupon_cero!$A$1,1,0,COUNT(Curvas_cupon_cero!$A:$A)-2,1),OFFSET(Curvas_cupon_cero!$A$1,1,MATCH($B$9,Curvas_cupon_cero!$1:$1,0)-1,COUNT(Curvas_cupon_cero!$A:$A)-2,1)),[1]!interpolar(B463,OFFSET(Curvas_cupon_cero!$A$1,1,0,COUNT(Curvas_cupon_cero!$A:$A)-2,1),OFFSET(Curvas_cupon_cero!$A$1,1,MATCH($B$9,Curvas_cupon_cero!$1:$1,0)-1,COUNT(Curvas_cupon_cero!$A:$A)-2,1))))</f>
        <v/>
      </c>
      <c r="G463" s="23" t="str">
        <f t="shared" si="64"/>
        <v/>
      </c>
      <c r="H463" s="20" t="str">
        <f t="shared" si="69"/>
        <v/>
      </c>
      <c r="I463" t="str">
        <f t="shared" si="65"/>
        <v/>
      </c>
      <c r="J463" s="17" t="str">
        <f t="shared" si="61"/>
        <v/>
      </c>
      <c r="K463" s="18" t="str">
        <f t="shared" si="66"/>
        <v/>
      </c>
      <c r="L463" t="str">
        <f t="shared" si="67"/>
        <v/>
      </c>
      <c r="M463" s="23" t="str">
        <f ca="1">IF(A463="","",IF($B$10="Sí",interpolar_alamb(L463,OFFSET(Curvas_cupon_cero!$A$1,1,0,COUNT(Curvas_cupon_cero!$A:$A)-2,1),OFFSET(Curvas_cupon_cero!$A$1,1,MATCH($B$6,Curvas_cupon_cero!$1:$1,0)-1,COUNT(Curvas_cupon_cero!$A:$A)-2,1)),[1]!interpolar(L463,OFFSET(Curvas_cupon_cero!$A$1,1,0,COUNT(Curvas_cupon_cero!$A:$A)-2,1),OFFSET(Curvas_cupon_cero!$A$1,1,MATCH($B$6,Curvas_cupon_cero!$1:$1,0)-1,COUNT(Curvas_cupon_cero!$A:$A)-2,1))))</f>
        <v/>
      </c>
      <c r="N463" s="23"/>
      <c r="O463" s="19" t="str">
        <f t="shared" si="68"/>
        <v/>
      </c>
    </row>
    <row r="464" spans="1:15" x14ac:dyDescent="0.2">
      <c r="A464" s="12" t="str">
        <f t="shared" si="62"/>
        <v/>
      </c>
      <c r="B464" t="str">
        <f t="shared" si="60"/>
        <v/>
      </c>
      <c r="C464" s="21" t="str">
        <f ca="1">IF(A464="","",IF($B$10="Sí",interpolar_alamb(B464,OFFSET(Curvas_cupon_cero!$A$1,1,0,COUNT(Curvas_cupon_cero!$A:$A)-2,1),OFFSET(Curvas_cupon_cero!$A$1,1,MATCH($B$8,Curvas_cupon_cero!$1:$1,0)-1,COUNT(Curvas_cupon_cero!$A:$A)-2,1)),[1]!interpolar(B464,OFFSET(Curvas_cupon_cero!$A$1,1,0,COUNT(Curvas_cupon_cero!$A:$A)-2,1),OFFSET(Curvas_cupon_cero!$A$1,1,MATCH($B$8,Curvas_cupon_cero!$1:$1,0)-1,COUNT(Curvas_cupon_cero!$A:$A)-2,1))))</f>
        <v/>
      </c>
      <c r="D464" s="23" t="str">
        <f ca="1">IF(A464="","",IF($B$10="Sí",interpolar_alamb(L464,OFFSET(Curvas_cupon_cero!$A$1,1,0,COUNT(Curvas_cupon_cero!$A:$A)-2,1),OFFSET(Curvas_cupon_cero!$A$1,1,MATCH($B$8,Curvas_cupon_cero!$1:$1,0)-1,COUNT(Curvas_cupon_cero!$A:$A)-2,1)),[1]!interpolar(L464,OFFSET(Curvas_cupon_cero!$A$1,1,0,COUNT(Curvas_cupon_cero!$A:$A)-2,1),OFFSET(Curvas_cupon_cero!$A$1,1,MATCH($B$8,Curvas_cupon_cero!$1:$1,0)-1,COUNT(Curvas_cupon_cero!$A:$A)-2,1))))</f>
        <v/>
      </c>
      <c r="E464" s="23" t="str">
        <f t="shared" si="63"/>
        <v/>
      </c>
      <c r="F464" s="23" t="str">
        <f ca="1">IF(A464="","",IF($B$10="Sí",interpolar_alamb(B464,OFFSET(Curvas_cupon_cero!$A$1,1,0,COUNT(Curvas_cupon_cero!$A:$A)-2,1),OFFSET(Curvas_cupon_cero!$A$1,1,MATCH($B$9,Curvas_cupon_cero!$1:$1,0)-1,COUNT(Curvas_cupon_cero!$A:$A)-2,1)),[1]!interpolar(B464,OFFSET(Curvas_cupon_cero!$A$1,1,0,COUNT(Curvas_cupon_cero!$A:$A)-2,1),OFFSET(Curvas_cupon_cero!$A$1,1,MATCH($B$9,Curvas_cupon_cero!$1:$1,0)-1,COUNT(Curvas_cupon_cero!$A:$A)-2,1))))</f>
        <v/>
      </c>
      <c r="G464" s="23" t="str">
        <f t="shared" si="64"/>
        <v/>
      </c>
      <c r="H464" s="20" t="str">
        <f t="shared" si="69"/>
        <v/>
      </c>
      <c r="I464" t="str">
        <f t="shared" si="65"/>
        <v/>
      </c>
      <c r="J464" s="17" t="str">
        <f t="shared" si="61"/>
        <v/>
      </c>
      <c r="K464" s="18" t="str">
        <f t="shared" si="66"/>
        <v/>
      </c>
      <c r="L464" t="str">
        <f t="shared" si="67"/>
        <v/>
      </c>
      <c r="M464" s="23" t="str">
        <f ca="1">IF(A464="","",IF($B$10="Sí",interpolar_alamb(L464,OFFSET(Curvas_cupon_cero!$A$1,1,0,COUNT(Curvas_cupon_cero!$A:$A)-2,1),OFFSET(Curvas_cupon_cero!$A$1,1,MATCH($B$6,Curvas_cupon_cero!$1:$1,0)-1,COUNT(Curvas_cupon_cero!$A:$A)-2,1)),[1]!interpolar(L464,OFFSET(Curvas_cupon_cero!$A$1,1,0,COUNT(Curvas_cupon_cero!$A:$A)-2,1),OFFSET(Curvas_cupon_cero!$A$1,1,MATCH($B$6,Curvas_cupon_cero!$1:$1,0)-1,COUNT(Curvas_cupon_cero!$A:$A)-2,1))))</f>
        <v/>
      </c>
      <c r="N464" s="23"/>
      <c r="O464" s="19" t="str">
        <f t="shared" si="68"/>
        <v/>
      </c>
    </row>
    <row r="465" spans="1:15" x14ac:dyDescent="0.2">
      <c r="A465" s="12" t="str">
        <f t="shared" si="62"/>
        <v/>
      </c>
      <c r="B465" t="str">
        <f t="shared" ref="B465:B528" si="70">IF(A465="","",MAX(L465-$B$5,0))</f>
        <v/>
      </c>
      <c r="C465" s="21" t="str">
        <f ca="1">IF(A465="","",IF($B$10="Sí",interpolar_alamb(B465,OFFSET(Curvas_cupon_cero!$A$1,1,0,COUNT(Curvas_cupon_cero!$A:$A)-2,1),OFFSET(Curvas_cupon_cero!$A$1,1,MATCH($B$8,Curvas_cupon_cero!$1:$1,0)-1,COUNT(Curvas_cupon_cero!$A:$A)-2,1)),[1]!interpolar(B465,OFFSET(Curvas_cupon_cero!$A$1,1,0,COUNT(Curvas_cupon_cero!$A:$A)-2,1),OFFSET(Curvas_cupon_cero!$A$1,1,MATCH($B$8,Curvas_cupon_cero!$1:$1,0)-1,COUNT(Curvas_cupon_cero!$A:$A)-2,1))))</f>
        <v/>
      </c>
      <c r="D465" s="23" t="str">
        <f ca="1">IF(A465="","",IF($B$10="Sí",interpolar_alamb(L465,OFFSET(Curvas_cupon_cero!$A$1,1,0,COUNT(Curvas_cupon_cero!$A:$A)-2,1),OFFSET(Curvas_cupon_cero!$A$1,1,MATCH($B$8,Curvas_cupon_cero!$1:$1,0)-1,COUNT(Curvas_cupon_cero!$A:$A)-2,1)),[1]!interpolar(L465,OFFSET(Curvas_cupon_cero!$A$1,1,0,COUNT(Curvas_cupon_cero!$A:$A)-2,1),OFFSET(Curvas_cupon_cero!$A$1,1,MATCH($B$8,Curvas_cupon_cero!$1:$1,0)-1,COUNT(Curvas_cupon_cero!$A:$A)-2,1))))</f>
        <v/>
      </c>
      <c r="E465" s="23" t="str">
        <f t="shared" si="63"/>
        <v/>
      </c>
      <c r="F465" s="23" t="str">
        <f ca="1">IF(A465="","",IF($B$10="Sí",interpolar_alamb(B465,OFFSET(Curvas_cupon_cero!$A$1,1,0,COUNT(Curvas_cupon_cero!$A:$A)-2,1),OFFSET(Curvas_cupon_cero!$A$1,1,MATCH($B$9,Curvas_cupon_cero!$1:$1,0)-1,COUNT(Curvas_cupon_cero!$A:$A)-2,1)),[1]!interpolar(B465,OFFSET(Curvas_cupon_cero!$A$1,1,0,COUNT(Curvas_cupon_cero!$A:$A)-2,1),OFFSET(Curvas_cupon_cero!$A$1,1,MATCH($B$9,Curvas_cupon_cero!$1:$1,0)-1,COUNT(Curvas_cupon_cero!$A:$A)-2,1))))</f>
        <v/>
      </c>
      <c r="G465" s="23" t="str">
        <f t="shared" si="64"/>
        <v/>
      </c>
      <c r="H465" s="20" t="str">
        <f t="shared" si="69"/>
        <v/>
      </c>
      <c r="I465" t="str">
        <f t="shared" si="65"/>
        <v/>
      </c>
      <c r="J465" s="17" t="str">
        <f t="shared" ref="J465:J528" si="71">IF(A465="","",IF(A465=$B$4,$B$1*$B$2+$B$1*$B$5/360*$B$2*(E465*(1-I465)+H465*I465), $B$1*$B$5/360*$B$2*(E465*(1-I465)+H465*I465)))</f>
        <v/>
      </c>
      <c r="K465" s="18" t="str">
        <f t="shared" si="66"/>
        <v/>
      </c>
      <c r="L465" t="str">
        <f t="shared" si="67"/>
        <v/>
      </c>
      <c r="M465" s="23" t="str">
        <f ca="1">IF(A465="","",IF($B$10="Sí",interpolar_alamb(L465,OFFSET(Curvas_cupon_cero!$A$1,1,0,COUNT(Curvas_cupon_cero!$A:$A)-2,1),OFFSET(Curvas_cupon_cero!$A$1,1,MATCH($B$6,Curvas_cupon_cero!$1:$1,0)-1,COUNT(Curvas_cupon_cero!$A:$A)-2,1)),[1]!interpolar(L465,OFFSET(Curvas_cupon_cero!$A$1,1,0,COUNT(Curvas_cupon_cero!$A:$A)-2,1),OFFSET(Curvas_cupon_cero!$A$1,1,MATCH($B$6,Curvas_cupon_cero!$1:$1,0)-1,COUNT(Curvas_cupon_cero!$A:$A)-2,1))))</f>
        <v/>
      </c>
      <c r="N465" s="23"/>
      <c r="O465" s="19" t="str">
        <f t="shared" si="68"/>
        <v/>
      </c>
    </row>
    <row r="466" spans="1:15" x14ac:dyDescent="0.2">
      <c r="A466" s="12" t="str">
        <f t="shared" ref="A466:A529" si="72">IF(A465="","",IF((A465+$B$5)&gt;$B$4,"",(A465+$B$5)))</f>
        <v/>
      </c>
      <c r="B466" t="str">
        <f t="shared" si="70"/>
        <v/>
      </c>
      <c r="C466" s="21" t="str">
        <f ca="1">IF(A466="","",IF($B$10="Sí",interpolar_alamb(B466,OFFSET(Curvas_cupon_cero!$A$1,1,0,COUNT(Curvas_cupon_cero!$A:$A)-2,1),OFFSET(Curvas_cupon_cero!$A$1,1,MATCH($B$8,Curvas_cupon_cero!$1:$1,0)-1,COUNT(Curvas_cupon_cero!$A:$A)-2,1)),[1]!interpolar(B466,OFFSET(Curvas_cupon_cero!$A$1,1,0,COUNT(Curvas_cupon_cero!$A:$A)-2,1),OFFSET(Curvas_cupon_cero!$A$1,1,MATCH($B$8,Curvas_cupon_cero!$1:$1,0)-1,COUNT(Curvas_cupon_cero!$A:$A)-2,1))))</f>
        <v/>
      </c>
      <c r="D466" s="23" t="str">
        <f ca="1">IF(A466="","",IF($B$10="Sí",interpolar_alamb(L466,OFFSET(Curvas_cupon_cero!$A$1,1,0,COUNT(Curvas_cupon_cero!$A:$A)-2,1),OFFSET(Curvas_cupon_cero!$A$1,1,MATCH($B$8,Curvas_cupon_cero!$1:$1,0)-1,COUNT(Curvas_cupon_cero!$A:$A)-2,1)),[1]!interpolar(L466,OFFSET(Curvas_cupon_cero!$A$1,1,0,COUNT(Curvas_cupon_cero!$A:$A)-2,1),OFFSET(Curvas_cupon_cero!$A$1,1,MATCH($B$8,Curvas_cupon_cero!$1:$1,0)-1,COUNT(Curvas_cupon_cero!$A:$A)-2,1))))</f>
        <v/>
      </c>
      <c r="E466" s="23" t="str">
        <f t="shared" ref="E466:E529" si="73">IF(A466="","",((1+D466*L466/360)/(1+C466*B466/360)-1)*(360/(L466-B466)))</f>
        <v/>
      </c>
      <c r="F466" s="23" t="str">
        <f ca="1">IF(A466="","",IF($B$10="Sí",interpolar_alamb(B466,OFFSET(Curvas_cupon_cero!$A$1,1,0,COUNT(Curvas_cupon_cero!$A:$A)-2,1),OFFSET(Curvas_cupon_cero!$A$1,1,MATCH($B$9,Curvas_cupon_cero!$1:$1,0)-1,COUNT(Curvas_cupon_cero!$A:$A)-2,1)),[1]!interpolar(B466,OFFSET(Curvas_cupon_cero!$A$1,1,0,COUNT(Curvas_cupon_cero!$A:$A)-2,1),OFFSET(Curvas_cupon_cero!$A$1,1,MATCH($B$9,Curvas_cupon_cero!$1:$1,0)-1,COUNT(Curvas_cupon_cero!$A:$A)-2,1))))</f>
        <v/>
      </c>
      <c r="G466" s="23" t="str">
        <f t="shared" ref="G466:G529" si="74">IF(A466="","",$B$11*(1+M466*L466/360)/(1+F466*L466/360))</f>
        <v/>
      </c>
      <c r="H466" s="20" t="str">
        <f t="shared" si="69"/>
        <v/>
      </c>
      <c r="I466" t="str">
        <f t="shared" ref="I466:I529" si="75">IF(A466="","",IF(H466&gt;E466,1,0))</f>
        <v/>
      </c>
      <c r="J466" s="17" t="str">
        <f t="shared" si="71"/>
        <v/>
      </c>
      <c r="K466" s="18" t="str">
        <f t="shared" ref="K466:K529" si="76">IF(A466="","",$B$5)</f>
        <v/>
      </c>
      <c r="L466" t="str">
        <f t="shared" ref="L466:L529" si="77">IF(A466="","",L465+K466)</f>
        <v/>
      </c>
      <c r="M466" s="23" t="str">
        <f ca="1">IF(A466="","",IF($B$10="Sí",interpolar_alamb(L466,OFFSET(Curvas_cupon_cero!$A$1,1,0,COUNT(Curvas_cupon_cero!$A:$A)-2,1),OFFSET(Curvas_cupon_cero!$A$1,1,MATCH($B$6,Curvas_cupon_cero!$1:$1,0)-1,COUNT(Curvas_cupon_cero!$A:$A)-2,1)),[1]!interpolar(L466,OFFSET(Curvas_cupon_cero!$A$1,1,0,COUNT(Curvas_cupon_cero!$A:$A)-2,1),OFFSET(Curvas_cupon_cero!$A$1,1,MATCH($B$6,Curvas_cupon_cero!$1:$1,0)-1,COUNT(Curvas_cupon_cero!$A:$A)-2,1))))</f>
        <v/>
      </c>
      <c r="N466" s="23"/>
      <c r="O466" s="19" t="str">
        <f t="shared" ref="O466:O529" si="78">IF(A466="","",J466/(1+(M466+N466)*L466/360))</f>
        <v/>
      </c>
    </row>
    <row r="467" spans="1:15" x14ac:dyDescent="0.2">
      <c r="A467" s="12" t="str">
        <f t="shared" si="72"/>
        <v/>
      </c>
      <c r="B467" t="str">
        <f t="shared" si="70"/>
        <v/>
      </c>
      <c r="C467" s="21" t="str">
        <f ca="1">IF(A467="","",IF($B$10="Sí",interpolar_alamb(B467,OFFSET(Curvas_cupon_cero!$A$1,1,0,COUNT(Curvas_cupon_cero!$A:$A)-2,1),OFFSET(Curvas_cupon_cero!$A$1,1,MATCH($B$8,Curvas_cupon_cero!$1:$1,0)-1,COUNT(Curvas_cupon_cero!$A:$A)-2,1)),[1]!interpolar(B467,OFFSET(Curvas_cupon_cero!$A$1,1,0,COUNT(Curvas_cupon_cero!$A:$A)-2,1),OFFSET(Curvas_cupon_cero!$A$1,1,MATCH($B$8,Curvas_cupon_cero!$1:$1,0)-1,COUNT(Curvas_cupon_cero!$A:$A)-2,1))))</f>
        <v/>
      </c>
      <c r="D467" s="23" t="str">
        <f ca="1">IF(A467="","",IF($B$10="Sí",interpolar_alamb(L467,OFFSET(Curvas_cupon_cero!$A$1,1,0,COUNT(Curvas_cupon_cero!$A:$A)-2,1),OFFSET(Curvas_cupon_cero!$A$1,1,MATCH($B$8,Curvas_cupon_cero!$1:$1,0)-1,COUNT(Curvas_cupon_cero!$A:$A)-2,1)),[1]!interpolar(L467,OFFSET(Curvas_cupon_cero!$A$1,1,0,COUNT(Curvas_cupon_cero!$A:$A)-2,1),OFFSET(Curvas_cupon_cero!$A$1,1,MATCH($B$8,Curvas_cupon_cero!$1:$1,0)-1,COUNT(Curvas_cupon_cero!$A:$A)-2,1))))</f>
        <v/>
      </c>
      <c r="E467" s="23" t="str">
        <f t="shared" si="73"/>
        <v/>
      </c>
      <c r="F467" s="23" t="str">
        <f ca="1">IF(A467="","",IF($B$10="Sí",interpolar_alamb(B467,OFFSET(Curvas_cupon_cero!$A$1,1,0,COUNT(Curvas_cupon_cero!$A:$A)-2,1),OFFSET(Curvas_cupon_cero!$A$1,1,MATCH($B$9,Curvas_cupon_cero!$1:$1,0)-1,COUNT(Curvas_cupon_cero!$A:$A)-2,1)),[1]!interpolar(B467,OFFSET(Curvas_cupon_cero!$A$1,1,0,COUNT(Curvas_cupon_cero!$A:$A)-2,1),OFFSET(Curvas_cupon_cero!$A$1,1,MATCH($B$9,Curvas_cupon_cero!$1:$1,0)-1,COUNT(Curvas_cupon_cero!$A:$A)-2,1))))</f>
        <v/>
      </c>
      <c r="G467" s="23" t="str">
        <f t="shared" si="74"/>
        <v/>
      </c>
      <c r="H467" s="20" t="str">
        <f t="shared" ref="H467:H530" si="79">IF(A467="","",(G467/G466-1)*360/$B$5)</f>
        <v/>
      </c>
      <c r="I467" t="str">
        <f t="shared" si="75"/>
        <v/>
      </c>
      <c r="J467" s="17" t="str">
        <f t="shared" si="71"/>
        <v/>
      </c>
      <c r="K467" s="18" t="str">
        <f t="shared" si="76"/>
        <v/>
      </c>
      <c r="L467" t="str">
        <f t="shared" si="77"/>
        <v/>
      </c>
      <c r="M467" s="23" t="str">
        <f ca="1">IF(A467="","",IF($B$10="Sí",interpolar_alamb(L467,OFFSET(Curvas_cupon_cero!$A$1,1,0,COUNT(Curvas_cupon_cero!$A:$A)-2,1),OFFSET(Curvas_cupon_cero!$A$1,1,MATCH($B$6,Curvas_cupon_cero!$1:$1,0)-1,COUNT(Curvas_cupon_cero!$A:$A)-2,1)),[1]!interpolar(L467,OFFSET(Curvas_cupon_cero!$A$1,1,0,COUNT(Curvas_cupon_cero!$A:$A)-2,1),OFFSET(Curvas_cupon_cero!$A$1,1,MATCH($B$6,Curvas_cupon_cero!$1:$1,0)-1,COUNT(Curvas_cupon_cero!$A:$A)-2,1))))</f>
        <v/>
      </c>
      <c r="N467" s="23"/>
      <c r="O467" s="19" t="str">
        <f t="shared" si="78"/>
        <v/>
      </c>
    </row>
    <row r="468" spans="1:15" x14ac:dyDescent="0.2">
      <c r="A468" s="12" t="str">
        <f t="shared" si="72"/>
        <v/>
      </c>
      <c r="B468" t="str">
        <f t="shared" si="70"/>
        <v/>
      </c>
      <c r="C468" s="21" t="str">
        <f ca="1">IF(A468="","",IF($B$10="Sí",interpolar_alamb(B468,OFFSET(Curvas_cupon_cero!$A$1,1,0,COUNT(Curvas_cupon_cero!$A:$A)-2,1),OFFSET(Curvas_cupon_cero!$A$1,1,MATCH($B$8,Curvas_cupon_cero!$1:$1,0)-1,COUNT(Curvas_cupon_cero!$A:$A)-2,1)),[1]!interpolar(B468,OFFSET(Curvas_cupon_cero!$A$1,1,0,COUNT(Curvas_cupon_cero!$A:$A)-2,1),OFFSET(Curvas_cupon_cero!$A$1,1,MATCH($B$8,Curvas_cupon_cero!$1:$1,0)-1,COUNT(Curvas_cupon_cero!$A:$A)-2,1))))</f>
        <v/>
      </c>
      <c r="D468" s="23" t="str">
        <f ca="1">IF(A468="","",IF($B$10="Sí",interpolar_alamb(L468,OFFSET(Curvas_cupon_cero!$A$1,1,0,COUNT(Curvas_cupon_cero!$A:$A)-2,1),OFFSET(Curvas_cupon_cero!$A$1,1,MATCH($B$8,Curvas_cupon_cero!$1:$1,0)-1,COUNT(Curvas_cupon_cero!$A:$A)-2,1)),[1]!interpolar(L468,OFFSET(Curvas_cupon_cero!$A$1,1,0,COUNT(Curvas_cupon_cero!$A:$A)-2,1),OFFSET(Curvas_cupon_cero!$A$1,1,MATCH($B$8,Curvas_cupon_cero!$1:$1,0)-1,COUNT(Curvas_cupon_cero!$A:$A)-2,1))))</f>
        <v/>
      </c>
      <c r="E468" s="23" t="str">
        <f t="shared" si="73"/>
        <v/>
      </c>
      <c r="F468" s="23" t="str">
        <f ca="1">IF(A468="","",IF($B$10="Sí",interpolar_alamb(B468,OFFSET(Curvas_cupon_cero!$A$1,1,0,COUNT(Curvas_cupon_cero!$A:$A)-2,1),OFFSET(Curvas_cupon_cero!$A$1,1,MATCH($B$9,Curvas_cupon_cero!$1:$1,0)-1,COUNT(Curvas_cupon_cero!$A:$A)-2,1)),[1]!interpolar(B468,OFFSET(Curvas_cupon_cero!$A$1,1,0,COUNT(Curvas_cupon_cero!$A:$A)-2,1),OFFSET(Curvas_cupon_cero!$A$1,1,MATCH($B$9,Curvas_cupon_cero!$1:$1,0)-1,COUNT(Curvas_cupon_cero!$A:$A)-2,1))))</f>
        <v/>
      </c>
      <c r="G468" s="23" t="str">
        <f t="shared" si="74"/>
        <v/>
      </c>
      <c r="H468" s="20" t="str">
        <f t="shared" si="79"/>
        <v/>
      </c>
      <c r="I468" t="str">
        <f t="shared" si="75"/>
        <v/>
      </c>
      <c r="J468" s="17" t="str">
        <f t="shared" si="71"/>
        <v/>
      </c>
      <c r="K468" s="18" t="str">
        <f t="shared" si="76"/>
        <v/>
      </c>
      <c r="L468" t="str">
        <f t="shared" si="77"/>
        <v/>
      </c>
      <c r="M468" s="23" t="str">
        <f ca="1">IF(A468="","",IF($B$10="Sí",interpolar_alamb(L468,OFFSET(Curvas_cupon_cero!$A$1,1,0,COUNT(Curvas_cupon_cero!$A:$A)-2,1),OFFSET(Curvas_cupon_cero!$A$1,1,MATCH($B$6,Curvas_cupon_cero!$1:$1,0)-1,COUNT(Curvas_cupon_cero!$A:$A)-2,1)),[1]!interpolar(L468,OFFSET(Curvas_cupon_cero!$A$1,1,0,COUNT(Curvas_cupon_cero!$A:$A)-2,1),OFFSET(Curvas_cupon_cero!$A$1,1,MATCH($B$6,Curvas_cupon_cero!$1:$1,0)-1,COUNT(Curvas_cupon_cero!$A:$A)-2,1))))</f>
        <v/>
      </c>
      <c r="N468" s="23"/>
      <c r="O468" s="19" t="str">
        <f t="shared" si="78"/>
        <v/>
      </c>
    </row>
    <row r="469" spans="1:15" x14ac:dyDescent="0.2">
      <c r="A469" s="12" t="str">
        <f t="shared" si="72"/>
        <v/>
      </c>
      <c r="B469" t="str">
        <f t="shared" si="70"/>
        <v/>
      </c>
      <c r="C469" s="21" t="str">
        <f ca="1">IF(A469="","",IF($B$10="Sí",interpolar_alamb(B469,OFFSET(Curvas_cupon_cero!$A$1,1,0,COUNT(Curvas_cupon_cero!$A:$A)-2,1),OFFSET(Curvas_cupon_cero!$A$1,1,MATCH($B$8,Curvas_cupon_cero!$1:$1,0)-1,COUNT(Curvas_cupon_cero!$A:$A)-2,1)),[1]!interpolar(B469,OFFSET(Curvas_cupon_cero!$A$1,1,0,COUNT(Curvas_cupon_cero!$A:$A)-2,1),OFFSET(Curvas_cupon_cero!$A$1,1,MATCH($B$8,Curvas_cupon_cero!$1:$1,0)-1,COUNT(Curvas_cupon_cero!$A:$A)-2,1))))</f>
        <v/>
      </c>
      <c r="D469" s="23" t="str">
        <f ca="1">IF(A469="","",IF($B$10="Sí",interpolar_alamb(L469,OFFSET(Curvas_cupon_cero!$A$1,1,0,COUNT(Curvas_cupon_cero!$A:$A)-2,1),OFFSET(Curvas_cupon_cero!$A$1,1,MATCH($B$8,Curvas_cupon_cero!$1:$1,0)-1,COUNT(Curvas_cupon_cero!$A:$A)-2,1)),[1]!interpolar(L469,OFFSET(Curvas_cupon_cero!$A$1,1,0,COUNT(Curvas_cupon_cero!$A:$A)-2,1),OFFSET(Curvas_cupon_cero!$A$1,1,MATCH($B$8,Curvas_cupon_cero!$1:$1,0)-1,COUNT(Curvas_cupon_cero!$A:$A)-2,1))))</f>
        <v/>
      </c>
      <c r="E469" s="23" t="str">
        <f t="shared" si="73"/>
        <v/>
      </c>
      <c r="F469" s="23" t="str">
        <f ca="1">IF(A469="","",IF($B$10="Sí",interpolar_alamb(B469,OFFSET(Curvas_cupon_cero!$A$1,1,0,COUNT(Curvas_cupon_cero!$A:$A)-2,1),OFFSET(Curvas_cupon_cero!$A$1,1,MATCH($B$9,Curvas_cupon_cero!$1:$1,0)-1,COUNT(Curvas_cupon_cero!$A:$A)-2,1)),[1]!interpolar(B469,OFFSET(Curvas_cupon_cero!$A$1,1,0,COUNT(Curvas_cupon_cero!$A:$A)-2,1),OFFSET(Curvas_cupon_cero!$A$1,1,MATCH($B$9,Curvas_cupon_cero!$1:$1,0)-1,COUNT(Curvas_cupon_cero!$A:$A)-2,1))))</f>
        <v/>
      </c>
      <c r="G469" s="23" t="str">
        <f t="shared" si="74"/>
        <v/>
      </c>
      <c r="H469" s="20" t="str">
        <f t="shared" si="79"/>
        <v/>
      </c>
      <c r="I469" t="str">
        <f t="shared" si="75"/>
        <v/>
      </c>
      <c r="J469" s="17" t="str">
        <f t="shared" si="71"/>
        <v/>
      </c>
      <c r="K469" s="18" t="str">
        <f t="shared" si="76"/>
        <v/>
      </c>
      <c r="L469" t="str">
        <f t="shared" si="77"/>
        <v/>
      </c>
      <c r="M469" s="23" t="str">
        <f ca="1">IF(A469="","",IF($B$10="Sí",interpolar_alamb(L469,OFFSET(Curvas_cupon_cero!$A$1,1,0,COUNT(Curvas_cupon_cero!$A:$A)-2,1),OFFSET(Curvas_cupon_cero!$A$1,1,MATCH($B$6,Curvas_cupon_cero!$1:$1,0)-1,COUNT(Curvas_cupon_cero!$A:$A)-2,1)),[1]!interpolar(L469,OFFSET(Curvas_cupon_cero!$A$1,1,0,COUNT(Curvas_cupon_cero!$A:$A)-2,1),OFFSET(Curvas_cupon_cero!$A$1,1,MATCH($B$6,Curvas_cupon_cero!$1:$1,0)-1,COUNT(Curvas_cupon_cero!$A:$A)-2,1))))</f>
        <v/>
      </c>
      <c r="N469" s="23"/>
      <c r="O469" s="19" t="str">
        <f t="shared" si="78"/>
        <v/>
      </c>
    </row>
    <row r="470" spans="1:15" x14ac:dyDescent="0.2">
      <c r="A470" s="12" t="str">
        <f t="shared" si="72"/>
        <v/>
      </c>
      <c r="B470" t="str">
        <f t="shared" si="70"/>
        <v/>
      </c>
      <c r="C470" s="21" t="str">
        <f ca="1">IF(A470="","",IF($B$10="Sí",interpolar_alamb(B470,OFFSET(Curvas_cupon_cero!$A$1,1,0,COUNT(Curvas_cupon_cero!$A:$A)-2,1),OFFSET(Curvas_cupon_cero!$A$1,1,MATCH($B$8,Curvas_cupon_cero!$1:$1,0)-1,COUNT(Curvas_cupon_cero!$A:$A)-2,1)),[1]!interpolar(B470,OFFSET(Curvas_cupon_cero!$A$1,1,0,COUNT(Curvas_cupon_cero!$A:$A)-2,1),OFFSET(Curvas_cupon_cero!$A$1,1,MATCH($B$8,Curvas_cupon_cero!$1:$1,0)-1,COUNT(Curvas_cupon_cero!$A:$A)-2,1))))</f>
        <v/>
      </c>
      <c r="D470" s="23" t="str">
        <f ca="1">IF(A470="","",IF($B$10="Sí",interpolar_alamb(L470,OFFSET(Curvas_cupon_cero!$A$1,1,0,COUNT(Curvas_cupon_cero!$A:$A)-2,1),OFFSET(Curvas_cupon_cero!$A$1,1,MATCH($B$8,Curvas_cupon_cero!$1:$1,0)-1,COUNT(Curvas_cupon_cero!$A:$A)-2,1)),[1]!interpolar(L470,OFFSET(Curvas_cupon_cero!$A$1,1,0,COUNT(Curvas_cupon_cero!$A:$A)-2,1),OFFSET(Curvas_cupon_cero!$A$1,1,MATCH($B$8,Curvas_cupon_cero!$1:$1,0)-1,COUNT(Curvas_cupon_cero!$A:$A)-2,1))))</f>
        <v/>
      </c>
      <c r="E470" s="23" t="str">
        <f t="shared" si="73"/>
        <v/>
      </c>
      <c r="F470" s="23" t="str">
        <f ca="1">IF(A470="","",IF($B$10="Sí",interpolar_alamb(B470,OFFSET(Curvas_cupon_cero!$A$1,1,0,COUNT(Curvas_cupon_cero!$A:$A)-2,1),OFFSET(Curvas_cupon_cero!$A$1,1,MATCH($B$9,Curvas_cupon_cero!$1:$1,0)-1,COUNT(Curvas_cupon_cero!$A:$A)-2,1)),[1]!interpolar(B470,OFFSET(Curvas_cupon_cero!$A$1,1,0,COUNT(Curvas_cupon_cero!$A:$A)-2,1),OFFSET(Curvas_cupon_cero!$A$1,1,MATCH($B$9,Curvas_cupon_cero!$1:$1,0)-1,COUNT(Curvas_cupon_cero!$A:$A)-2,1))))</f>
        <v/>
      </c>
      <c r="G470" s="23" t="str">
        <f t="shared" si="74"/>
        <v/>
      </c>
      <c r="H470" s="20" t="str">
        <f t="shared" si="79"/>
        <v/>
      </c>
      <c r="I470" t="str">
        <f t="shared" si="75"/>
        <v/>
      </c>
      <c r="J470" s="17" t="str">
        <f t="shared" si="71"/>
        <v/>
      </c>
      <c r="K470" s="18" t="str">
        <f t="shared" si="76"/>
        <v/>
      </c>
      <c r="L470" t="str">
        <f t="shared" si="77"/>
        <v/>
      </c>
      <c r="M470" s="23" t="str">
        <f ca="1">IF(A470="","",IF($B$10="Sí",interpolar_alamb(L470,OFFSET(Curvas_cupon_cero!$A$1,1,0,COUNT(Curvas_cupon_cero!$A:$A)-2,1),OFFSET(Curvas_cupon_cero!$A$1,1,MATCH($B$6,Curvas_cupon_cero!$1:$1,0)-1,COUNT(Curvas_cupon_cero!$A:$A)-2,1)),[1]!interpolar(L470,OFFSET(Curvas_cupon_cero!$A$1,1,0,COUNT(Curvas_cupon_cero!$A:$A)-2,1),OFFSET(Curvas_cupon_cero!$A$1,1,MATCH($B$6,Curvas_cupon_cero!$1:$1,0)-1,COUNT(Curvas_cupon_cero!$A:$A)-2,1))))</f>
        <v/>
      </c>
      <c r="N470" s="23"/>
      <c r="O470" s="19" t="str">
        <f t="shared" si="78"/>
        <v/>
      </c>
    </row>
    <row r="471" spans="1:15" x14ac:dyDescent="0.2">
      <c r="A471" s="12" t="str">
        <f t="shared" si="72"/>
        <v/>
      </c>
      <c r="B471" t="str">
        <f t="shared" si="70"/>
        <v/>
      </c>
      <c r="C471" s="21" t="str">
        <f ca="1">IF(A471="","",IF($B$10="Sí",interpolar_alamb(B471,OFFSET(Curvas_cupon_cero!$A$1,1,0,COUNT(Curvas_cupon_cero!$A:$A)-2,1),OFFSET(Curvas_cupon_cero!$A$1,1,MATCH($B$8,Curvas_cupon_cero!$1:$1,0)-1,COUNT(Curvas_cupon_cero!$A:$A)-2,1)),[1]!interpolar(B471,OFFSET(Curvas_cupon_cero!$A$1,1,0,COUNT(Curvas_cupon_cero!$A:$A)-2,1),OFFSET(Curvas_cupon_cero!$A$1,1,MATCH($B$8,Curvas_cupon_cero!$1:$1,0)-1,COUNT(Curvas_cupon_cero!$A:$A)-2,1))))</f>
        <v/>
      </c>
      <c r="D471" s="23" t="str">
        <f ca="1">IF(A471="","",IF($B$10="Sí",interpolar_alamb(L471,OFFSET(Curvas_cupon_cero!$A$1,1,0,COUNT(Curvas_cupon_cero!$A:$A)-2,1),OFFSET(Curvas_cupon_cero!$A$1,1,MATCH($B$8,Curvas_cupon_cero!$1:$1,0)-1,COUNT(Curvas_cupon_cero!$A:$A)-2,1)),[1]!interpolar(L471,OFFSET(Curvas_cupon_cero!$A$1,1,0,COUNT(Curvas_cupon_cero!$A:$A)-2,1),OFFSET(Curvas_cupon_cero!$A$1,1,MATCH($B$8,Curvas_cupon_cero!$1:$1,0)-1,COUNT(Curvas_cupon_cero!$A:$A)-2,1))))</f>
        <v/>
      </c>
      <c r="E471" s="23" t="str">
        <f t="shared" si="73"/>
        <v/>
      </c>
      <c r="F471" s="23" t="str">
        <f ca="1">IF(A471="","",IF($B$10="Sí",interpolar_alamb(B471,OFFSET(Curvas_cupon_cero!$A$1,1,0,COUNT(Curvas_cupon_cero!$A:$A)-2,1),OFFSET(Curvas_cupon_cero!$A$1,1,MATCH($B$9,Curvas_cupon_cero!$1:$1,0)-1,COUNT(Curvas_cupon_cero!$A:$A)-2,1)),[1]!interpolar(B471,OFFSET(Curvas_cupon_cero!$A$1,1,0,COUNT(Curvas_cupon_cero!$A:$A)-2,1),OFFSET(Curvas_cupon_cero!$A$1,1,MATCH($B$9,Curvas_cupon_cero!$1:$1,0)-1,COUNT(Curvas_cupon_cero!$A:$A)-2,1))))</f>
        <v/>
      </c>
      <c r="G471" s="23" t="str">
        <f t="shared" si="74"/>
        <v/>
      </c>
      <c r="H471" s="20" t="str">
        <f t="shared" si="79"/>
        <v/>
      </c>
      <c r="I471" t="str">
        <f t="shared" si="75"/>
        <v/>
      </c>
      <c r="J471" s="17" t="str">
        <f t="shared" si="71"/>
        <v/>
      </c>
      <c r="K471" s="18" t="str">
        <f t="shared" si="76"/>
        <v/>
      </c>
      <c r="L471" t="str">
        <f t="shared" si="77"/>
        <v/>
      </c>
      <c r="M471" s="23" t="str">
        <f ca="1">IF(A471="","",IF($B$10="Sí",interpolar_alamb(L471,OFFSET(Curvas_cupon_cero!$A$1,1,0,COUNT(Curvas_cupon_cero!$A:$A)-2,1),OFFSET(Curvas_cupon_cero!$A$1,1,MATCH($B$6,Curvas_cupon_cero!$1:$1,0)-1,COUNT(Curvas_cupon_cero!$A:$A)-2,1)),[1]!interpolar(L471,OFFSET(Curvas_cupon_cero!$A$1,1,0,COUNT(Curvas_cupon_cero!$A:$A)-2,1),OFFSET(Curvas_cupon_cero!$A$1,1,MATCH($B$6,Curvas_cupon_cero!$1:$1,0)-1,COUNT(Curvas_cupon_cero!$A:$A)-2,1))))</f>
        <v/>
      </c>
      <c r="N471" s="23"/>
      <c r="O471" s="19" t="str">
        <f t="shared" si="78"/>
        <v/>
      </c>
    </row>
    <row r="472" spans="1:15" x14ac:dyDescent="0.2">
      <c r="A472" s="12" t="str">
        <f t="shared" si="72"/>
        <v/>
      </c>
      <c r="B472" t="str">
        <f t="shared" si="70"/>
        <v/>
      </c>
      <c r="C472" s="21" t="str">
        <f ca="1">IF(A472="","",IF($B$10="Sí",interpolar_alamb(B472,OFFSET(Curvas_cupon_cero!$A$1,1,0,COUNT(Curvas_cupon_cero!$A:$A)-2,1),OFFSET(Curvas_cupon_cero!$A$1,1,MATCH($B$8,Curvas_cupon_cero!$1:$1,0)-1,COUNT(Curvas_cupon_cero!$A:$A)-2,1)),[1]!interpolar(B472,OFFSET(Curvas_cupon_cero!$A$1,1,0,COUNT(Curvas_cupon_cero!$A:$A)-2,1),OFFSET(Curvas_cupon_cero!$A$1,1,MATCH($B$8,Curvas_cupon_cero!$1:$1,0)-1,COUNT(Curvas_cupon_cero!$A:$A)-2,1))))</f>
        <v/>
      </c>
      <c r="D472" s="23" t="str">
        <f ca="1">IF(A472="","",IF($B$10="Sí",interpolar_alamb(L472,OFFSET(Curvas_cupon_cero!$A$1,1,0,COUNT(Curvas_cupon_cero!$A:$A)-2,1),OFFSET(Curvas_cupon_cero!$A$1,1,MATCH($B$8,Curvas_cupon_cero!$1:$1,0)-1,COUNT(Curvas_cupon_cero!$A:$A)-2,1)),[1]!interpolar(L472,OFFSET(Curvas_cupon_cero!$A$1,1,0,COUNT(Curvas_cupon_cero!$A:$A)-2,1),OFFSET(Curvas_cupon_cero!$A$1,1,MATCH($B$8,Curvas_cupon_cero!$1:$1,0)-1,COUNT(Curvas_cupon_cero!$A:$A)-2,1))))</f>
        <v/>
      </c>
      <c r="E472" s="23" t="str">
        <f t="shared" si="73"/>
        <v/>
      </c>
      <c r="F472" s="23" t="str">
        <f ca="1">IF(A472="","",IF($B$10="Sí",interpolar_alamb(B472,OFFSET(Curvas_cupon_cero!$A$1,1,0,COUNT(Curvas_cupon_cero!$A:$A)-2,1),OFFSET(Curvas_cupon_cero!$A$1,1,MATCH($B$9,Curvas_cupon_cero!$1:$1,0)-1,COUNT(Curvas_cupon_cero!$A:$A)-2,1)),[1]!interpolar(B472,OFFSET(Curvas_cupon_cero!$A$1,1,0,COUNT(Curvas_cupon_cero!$A:$A)-2,1),OFFSET(Curvas_cupon_cero!$A$1,1,MATCH($B$9,Curvas_cupon_cero!$1:$1,0)-1,COUNT(Curvas_cupon_cero!$A:$A)-2,1))))</f>
        <v/>
      </c>
      <c r="G472" s="23" t="str">
        <f t="shared" si="74"/>
        <v/>
      </c>
      <c r="H472" s="20" t="str">
        <f t="shared" si="79"/>
        <v/>
      </c>
      <c r="I472" t="str">
        <f t="shared" si="75"/>
        <v/>
      </c>
      <c r="J472" s="17" t="str">
        <f t="shared" si="71"/>
        <v/>
      </c>
      <c r="K472" s="18" t="str">
        <f t="shared" si="76"/>
        <v/>
      </c>
      <c r="L472" t="str">
        <f t="shared" si="77"/>
        <v/>
      </c>
      <c r="M472" s="23" t="str">
        <f ca="1">IF(A472="","",IF($B$10="Sí",interpolar_alamb(L472,OFFSET(Curvas_cupon_cero!$A$1,1,0,COUNT(Curvas_cupon_cero!$A:$A)-2,1),OFFSET(Curvas_cupon_cero!$A$1,1,MATCH($B$6,Curvas_cupon_cero!$1:$1,0)-1,COUNT(Curvas_cupon_cero!$A:$A)-2,1)),[1]!interpolar(L472,OFFSET(Curvas_cupon_cero!$A$1,1,0,COUNT(Curvas_cupon_cero!$A:$A)-2,1),OFFSET(Curvas_cupon_cero!$A$1,1,MATCH($B$6,Curvas_cupon_cero!$1:$1,0)-1,COUNT(Curvas_cupon_cero!$A:$A)-2,1))))</f>
        <v/>
      </c>
      <c r="N472" s="23"/>
      <c r="O472" s="19" t="str">
        <f t="shared" si="78"/>
        <v/>
      </c>
    </row>
    <row r="473" spans="1:15" x14ac:dyDescent="0.2">
      <c r="A473" s="12" t="str">
        <f t="shared" si="72"/>
        <v/>
      </c>
      <c r="B473" t="str">
        <f t="shared" si="70"/>
        <v/>
      </c>
      <c r="C473" s="21" t="str">
        <f ca="1">IF(A473="","",IF($B$10="Sí",interpolar_alamb(B473,OFFSET(Curvas_cupon_cero!$A$1,1,0,COUNT(Curvas_cupon_cero!$A:$A)-2,1),OFFSET(Curvas_cupon_cero!$A$1,1,MATCH($B$8,Curvas_cupon_cero!$1:$1,0)-1,COUNT(Curvas_cupon_cero!$A:$A)-2,1)),[1]!interpolar(B473,OFFSET(Curvas_cupon_cero!$A$1,1,0,COUNT(Curvas_cupon_cero!$A:$A)-2,1),OFFSET(Curvas_cupon_cero!$A$1,1,MATCH($B$8,Curvas_cupon_cero!$1:$1,0)-1,COUNT(Curvas_cupon_cero!$A:$A)-2,1))))</f>
        <v/>
      </c>
      <c r="D473" s="23" t="str">
        <f ca="1">IF(A473="","",IF($B$10="Sí",interpolar_alamb(L473,OFFSET(Curvas_cupon_cero!$A$1,1,0,COUNT(Curvas_cupon_cero!$A:$A)-2,1),OFFSET(Curvas_cupon_cero!$A$1,1,MATCH($B$8,Curvas_cupon_cero!$1:$1,0)-1,COUNT(Curvas_cupon_cero!$A:$A)-2,1)),[1]!interpolar(L473,OFFSET(Curvas_cupon_cero!$A$1,1,0,COUNT(Curvas_cupon_cero!$A:$A)-2,1),OFFSET(Curvas_cupon_cero!$A$1,1,MATCH($B$8,Curvas_cupon_cero!$1:$1,0)-1,COUNT(Curvas_cupon_cero!$A:$A)-2,1))))</f>
        <v/>
      </c>
      <c r="E473" s="23" t="str">
        <f t="shared" si="73"/>
        <v/>
      </c>
      <c r="F473" s="23" t="str">
        <f ca="1">IF(A473="","",IF($B$10="Sí",interpolar_alamb(B473,OFFSET(Curvas_cupon_cero!$A$1,1,0,COUNT(Curvas_cupon_cero!$A:$A)-2,1),OFFSET(Curvas_cupon_cero!$A$1,1,MATCH($B$9,Curvas_cupon_cero!$1:$1,0)-1,COUNT(Curvas_cupon_cero!$A:$A)-2,1)),[1]!interpolar(B473,OFFSET(Curvas_cupon_cero!$A$1,1,0,COUNT(Curvas_cupon_cero!$A:$A)-2,1),OFFSET(Curvas_cupon_cero!$A$1,1,MATCH($B$9,Curvas_cupon_cero!$1:$1,0)-1,COUNT(Curvas_cupon_cero!$A:$A)-2,1))))</f>
        <v/>
      </c>
      <c r="G473" s="23" t="str">
        <f t="shared" si="74"/>
        <v/>
      </c>
      <c r="H473" s="20" t="str">
        <f t="shared" si="79"/>
        <v/>
      </c>
      <c r="I473" t="str">
        <f t="shared" si="75"/>
        <v/>
      </c>
      <c r="J473" s="17" t="str">
        <f t="shared" si="71"/>
        <v/>
      </c>
      <c r="K473" s="18" t="str">
        <f t="shared" si="76"/>
        <v/>
      </c>
      <c r="L473" t="str">
        <f t="shared" si="77"/>
        <v/>
      </c>
      <c r="M473" s="23" t="str">
        <f ca="1">IF(A473="","",IF($B$10="Sí",interpolar_alamb(L473,OFFSET(Curvas_cupon_cero!$A$1,1,0,COUNT(Curvas_cupon_cero!$A:$A)-2,1),OFFSET(Curvas_cupon_cero!$A$1,1,MATCH($B$6,Curvas_cupon_cero!$1:$1,0)-1,COUNT(Curvas_cupon_cero!$A:$A)-2,1)),[1]!interpolar(L473,OFFSET(Curvas_cupon_cero!$A$1,1,0,COUNT(Curvas_cupon_cero!$A:$A)-2,1),OFFSET(Curvas_cupon_cero!$A$1,1,MATCH($B$6,Curvas_cupon_cero!$1:$1,0)-1,COUNT(Curvas_cupon_cero!$A:$A)-2,1))))</f>
        <v/>
      </c>
      <c r="N473" s="23"/>
      <c r="O473" s="19" t="str">
        <f t="shared" si="78"/>
        <v/>
      </c>
    </row>
    <row r="474" spans="1:15" x14ac:dyDescent="0.2">
      <c r="A474" s="12" t="str">
        <f t="shared" si="72"/>
        <v/>
      </c>
      <c r="B474" t="str">
        <f t="shared" si="70"/>
        <v/>
      </c>
      <c r="C474" s="21" t="str">
        <f ca="1">IF(A474="","",IF($B$10="Sí",interpolar_alamb(B474,OFFSET(Curvas_cupon_cero!$A$1,1,0,COUNT(Curvas_cupon_cero!$A:$A)-2,1),OFFSET(Curvas_cupon_cero!$A$1,1,MATCH($B$8,Curvas_cupon_cero!$1:$1,0)-1,COUNT(Curvas_cupon_cero!$A:$A)-2,1)),[1]!interpolar(B474,OFFSET(Curvas_cupon_cero!$A$1,1,0,COUNT(Curvas_cupon_cero!$A:$A)-2,1),OFFSET(Curvas_cupon_cero!$A$1,1,MATCH($B$8,Curvas_cupon_cero!$1:$1,0)-1,COUNT(Curvas_cupon_cero!$A:$A)-2,1))))</f>
        <v/>
      </c>
      <c r="D474" s="23" t="str">
        <f ca="1">IF(A474="","",IF($B$10="Sí",interpolar_alamb(L474,OFFSET(Curvas_cupon_cero!$A$1,1,0,COUNT(Curvas_cupon_cero!$A:$A)-2,1),OFFSET(Curvas_cupon_cero!$A$1,1,MATCH($B$8,Curvas_cupon_cero!$1:$1,0)-1,COUNT(Curvas_cupon_cero!$A:$A)-2,1)),[1]!interpolar(L474,OFFSET(Curvas_cupon_cero!$A$1,1,0,COUNT(Curvas_cupon_cero!$A:$A)-2,1),OFFSET(Curvas_cupon_cero!$A$1,1,MATCH($B$8,Curvas_cupon_cero!$1:$1,0)-1,COUNT(Curvas_cupon_cero!$A:$A)-2,1))))</f>
        <v/>
      </c>
      <c r="E474" s="23" t="str">
        <f t="shared" si="73"/>
        <v/>
      </c>
      <c r="F474" s="23" t="str">
        <f ca="1">IF(A474="","",IF($B$10="Sí",interpolar_alamb(B474,OFFSET(Curvas_cupon_cero!$A$1,1,0,COUNT(Curvas_cupon_cero!$A:$A)-2,1),OFFSET(Curvas_cupon_cero!$A$1,1,MATCH($B$9,Curvas_cupon_cero!$1:$1,0)-1,COUNT(Curvas_cupon_cero!$A:$A)-2,1)),[1]!interpolar(B474,OFFSET(Curvas_cupon_cero!$A$1,1,0,COUNT(Curvas_cupon_cero!$A:$A)-2,1),OFFSET(Curvas_cupon_cero!$A$1,1,MATCH($B$9,Curvas_cupon_cero!$1:$1,0)-1,COUNT(Curvas_cupon_cero!$A:$A)-2,1))))</f>
        <v/>
      </c>
      <c r="G474" s="23" t="str">
        <f t="shared" si="74"/>
        <v/>
      </c>
      <c r="H474" s="20" t="str">
        <f t="shared" si="79"/>
        <v/>
      </c>
      <c r="I474" t="str">
        <f t="shared" si="75"/>
        <v/>
      </c>
      <c r="J474" s="17" t="str">
        <f t="shared" si="71"/>
        <v/>
      </c>
      <c r="K474" s="18" t="str">
        <f t="shared" si="76"/>
        <v/>
      </c>
      <c r="L474" t="str">
        <f t="shared" si="77"/>
        <v/>
      </c>
      <c r="M474" s="23" t="str">
        <f ca="1">IF(A474="","",IF($B$10="Sí",interpolar_alamb(L474,OFFSET(Curvas_cupon_cero!$A$1,1,0,COUNT(Curvas_cupon_cero!$A:$A)-2,1),OFFSET(Curvas_cupon_cero!$A$1,1,MATCH($B$6,Curvas_cupon_cero!$1:$1,0)-1,COUNT(Curvas_cupon_cero!$A:$A)-2,1)),[1]!interpolar(L474,OFFSET(Curvas_cupon_cero!$A$1,1,0,COUNT(Curvas_cupon_cero!$A:$A)-2,1),OFFSET(Curvas_cupon_cero!$A$1,1,MATCH($B$6,Curvas_cupon_cero!$1:$1,0)-1,COUNT(Curvas_cupon_cero!$A:$A)-2,1))))</f>
        <v/>
      </c>
      <c r="N474" s="23"/>
      <c r="O474" s="19" t="str">
        <f t="shared" si="78"/>
        <v/>
      </c>
    </row>
    <row r="475" spans="1:15" x14ac:dyDescent="0.2">
      <c r="A475" s="12" t="str">
        <f t="shared" si="72"/>
        <v/>
      </c>
      <c r="B475" t="str">
        <f t="shared" si="70"/>
        <v/>
      </c>
      <c r="C475" s="21" t="str">
        <f ca="1">IF(A475="","",IF($B$10="Sí",interpolar_alamb(B475,OFFSET(Curvas_cupon_cero!$A$1,1,0,COUNT(Curvas_cupon_cero!$A:$A)-2,1),OFFSET(Curvas_cupon_cero!$A$1,1,MATCH($B$8,Curvas_cupon_cero!$1:$1,0)-1,COUNT(Curvas_cupon_cero!$A:$A)-2,1)),[1]!interpolar(B475,OFFSET(Curvas_cupon_cero!$A$1,1,0,COUNT(Curvas_cupon_cero!$A:$A)-2,1),OFFSET(Curvas_cupon_cero!$A$1,1,MATCH($B$8,Curvas_cupon_cero!$1:$1,0)-1,COUNT(Curvas_cupon_cero!$A:$A)-2,1))))</f>
        <v/>
      </c>
      <c r="D475" s="23" t="str">
        <f ca="1">IF(A475="","",IF($B$10="Sí",interpolar_alamb(L475,OFFSET(Curvas_cupon_cero!$A$1,1,0,COUNT(Curvas_cupon_cero!$A:$A)-2,1),OFFSET(Curvas_cupon_cero!$A$1,1,MATCH($B$8,Curvas_cupon_cero!$1:$1,0)-1,COUNT(Curvas_cupon_cero!$A:$A)-2,1)),[1]!interpolar(L475,OFFSET(Curvas_cupon_cero!$A$1,1,0,COUNT(Curvas_cupon_cero!$A:$A)-2,1),OFFSET(Curvas_cupon_cero!$A$1,1,MATCH($B$8,Curvas_cupon_cero!$1:$1,0)-1,COUNT(Curvas_cupon_cero!$A:$A)-2,1))))</f>
        <v/>
      </c>
      <c r="E475" s="23" t="str">
        <f t="shared" si="73"/>
        <v/>
      </c>
      <c r="F475" s="23" t="str">
        <f ca="1">IF(A475="","",IF($B$10="Sí",interpolar_alamb(B475,OFFSET(Curvas_cupon_cero!$A$1,1,0,COUNT(Curvas_cupon_cero!$A:$A)-2,1),OFFSET(Curvas_cupon_cero!$A$1,1,MATCH($B$9,Curvas_cupon_cero!$1:$1,0)-1,COUNT(Curvas_cupon_cero!$A:$A)-2,1)),[1]!interpolar(B475,OFFSET(Curvas_cupon_cero!$A$1,1,0,COUNT(Curvas_cupon_cero!$A:$A)-2,1),OFFSET(Curvas_cupon_cero!$A$1,1,MATCH($B$9,Curvas_cupon_cero!$1:$1,0)-1,COUNT(Curvas_cupon_cero!$A:$A)-2,1))))</f>
        <v/>
      </c>
      <c r="G475" s="23" t="str">
        <f t="shared" si="74"/>
        <v/>
      </c>
      <c r="H475" s="20" t="str">
        <f t="shared" si="79"/>
        <v/>
      </c>
      <c r="I475" t="str">
        <f t="shared" si="75"/>
        <v/>
      </c>
      <c r="J475" s="17" t="str">
        <f t="shared" si="71"/>
        <v/>
      </c>
      <c r="K475" s="18" t="str">
        <f t="shared" si="76"/>
        <v/>
      </c>
      <c r="L475" t="str">
        <f t="shared" si="77"/>
        <v/>
      </c>
      <c r="M475" s="23" t="str">
        <f ca="1">IF(A475="","",IF($B$10="Sí",interpolar_alamb(L475,OFFSET(Curvas_cupon_cero!$A$1,1,0,COUNT(Curvas_cupon_cero!$A:$A)-2,1),OFFSET(Curvas_cupon_cero!$A$1,1,MATCH($B$6,Curvas_cupon_cero!$1:$1,0)-1,COUNT(Curvas_cupon_cero!$A:$A)-2,1)),[1]!interpolar(L475,OFFSET(Curvas_cupon_cero!$A$1,1,0,COUNT(Curvas_cupon_cero!$A:$A)-2,1),OFFSET(Curvas_cupon_cero!$A$1,1,MATCH($B$6,Curvas_cupon_cero!$1:$1,0)-1,COUNT(Curvas_cupon_cero!$A:$A)-2,1))))</f>
        <v/>
      </c>
      <c r="N475" s="23"/>
      <c r="O475" s="19" t="str">
        <f t="shared" si="78"/>
        <v/>
      </c>
    </row>
    <row r="476" spans="1:15" x14ac:dyDescent="0.2">
      <c r="A476" s="12" t="str">
        <f t="shared" si="72"/>
        <v/>
      </c>
      <c r="B476" t="str">
        <f t="shared" si="70"/>
        <v/>
      </c>
      <c r="C476" s="21" t="str">
        <f ca="1">IF(A476="","",IF($B$10="Sí",interpolar_alamb(B476,OFFSET(Curvas_cupon_cero!$A$1,1,0,COUNT(Curvas_cupon_cero!$A:$A)-2,1),OFFSET(Curvas_cupon_cero!$A$1,1,MATCH($B$8,Curvas_cupon_cero!$1:$1,0)-1,COUNT(Curvas_cupon_cero!$A:$A)-2,1)),[1]!interpolar(B476,OFFSET(Curvas_cupon_cero!$A$1,1,0,COUNT(Curvas_cupon_cero!$A:$A)-2,1),OFFSET(Curvas_cupon_cero!$A$1,1,MATCH($B$8,Curvas_cupon_cero!$1:$1,0)-1,COUNT(Curvas_cupon_cero!$A:$A)-2,1))))</f>
        <v/>
      </c>
      <c r="D476" s="23" t="str">
        <f ca="1">IF(A476="","",IF($B$10="Sí",interpolar_alamb(L476,OFFSET(Curvas_cupon_cero!$A$1,1,0,COUNT(Curvas_cupon_cero!$A:$A)-2,1),OFFSET(Curvas_cupon_cero!$A$1,1,MATCH($B$8,Curvas_cupon_cero!$1:$1,0)-1,COUNT(Curvas_cupon_cero!$A:$A)-2,1)),[1]!interpolar(L476,OFFSET(Curvas_cupon_cero!$A$1,1,0,COUNT(Curvas_cupon_cero!$A:$A)-2,1),OFFSET(Curvas_cupon_cero!$A$1,1,MATCH($B$8,Curvas_cupon_cero!$1:$1,0)-1,COUNT(Curvas_cupon_cero!$A:$A)-2,1))))</f>
        <v/>
      </c>
      <c r="E476" s="23" t="str">
        <f t="shared" si="73"/>
        <v/>
      </c>
      <c r="F476" s="23" t="str">
        <f ca="1">IF(A476="","",IF($B$10="Sí",interpolar_alamb(B476,OFFSET(Curvas_cupon_cero!$A$1,1,0,COUNT(Curvas_cupon_cero!$A:$A)-2,1),OFFSET(Curvas_cupon_cero!$A$1,1,MATCH($B$9,Curvas_cupon_cero!$1:$1,0)-1,COUNT(Curvas_cupon_cero!$A:$A)-2,1)),[1]!interpolar(B476,OFFSET(Curvas_cupon_cero!$A$1,1,0,COUNT(Curvas_cupon_cero!$A:$A)-2,1),OFFSET(Curvas_cupon_cero!$A$1,1,MATCH($B$9,Curvas_cupon_cero!$1:$1,0)-1,COUNT(Curvas_cupon_cero!$A:$A)-2,1))))</f>
        <v/>
      </c>
      <c r="G476" s="23" t="str">
        <f t="shared" si="74"/>
        <v/>
      </c>
      <c r="H476" s="20" t="str">
        <f t="shared" si="79"/>
        <v/>
      </c>
      <c r="I476" t="str">
        <f t="shared" si="75"/>
        <v/>
      </c>
      <c r="J476" s="17" t="str">
        <f t="shared" si="71"/>
        <v/>
      </c>
      <c r="K476" s="18" t="str">
        <f t="shared" si="76"/>
        <v/>
      </c>
      <c r="L476" t="str">
        <f t="shared" si="77"/>
        <v/>
      </c>
      <c r="M476" s="23" t="str">
        <f ca="1">IF(A476="","",IF($B$10="Sí",interpolar_alamb(L476,OFFSET(Curvas_cupon_cero!$A$1,1,0,COUNT(Curvas_cupon_cero!$A:$A)-2,1),OFFSET(Curvas_cupon_cero!$A$1,1,MATCH($B$6,Curvas_cupon_cero!$1:$1,0)-1,COUNT(Curvas_cupon_cero!$A:$A)-2,1)),[1]!interpolar(L476,OFFSET(Curvas_cupon_cero!$A$1,1,0,COUNT(Curvas_cupon_cero!$A:$A)-2,1),OFFSET(Curvas_cupon_cero!$A$1,1,MATCH($B$6,Curvas_cupon_cero!$1:$1,0)-1,COUNT(Curvas_cupon_cero!$A:$A)-2,1))))</f>
        <v/>
      </c>
      <c r="N476" s="23"/>
      <c r="O476" s="19" t="str">
        <f t="shared" si="78"/>
        <v/>
      </c>
    </row>
    <row r="477" spans="1:15" x14ac:dyDescent="0.2">
      <c r="A477" s="12" t="str">
        <f t="shared" si="72"/>
        <v/>
      </c>
      <c r="B477" t="str">
        <f t="shared" si="70"/>
        <v/>
      </c>
      <c r="C477" s="21" t="str">
        <f ca="1">IF(A477="","",IF($B$10="Sí",interpolar_alamb(B477,OFFSET(Curvas_cupon_cero!$A$1,1,0,COUNT(Curvas_cupon_cero!$A:$A)-2,1),OFFSET(Curvas_cupon_cero!$A$1,1,MATCH($B$8,Curvas_cupon_cero!$1:$1,0)-1,COUNT(Curvas_cupon_cero!$A:$A)-2,1)),[1]!interpolar(B477,OFFSET(Curvas_cupon_cero!$A$1,1,0,COUNT(Curvas_cupon_cero!$A:$A)-2,1),OFFSET(Curvas_cupon_cero!$A$1,1,MATCH($B$8,Curvas_cupon_cero!$1:$1,0)-1,COUNT(Curvas_cupon_cero!$A:$A)-2,1))))</f>
        <v/>
      </c>
      <c r="D477" s="23" t="str">
        <f ca="1">IF(A477="","",IF($B$10="Sí",interpolar_alamb(L477,OFFSET(Curvas_cupon_cero!$A$1,1,0,COUNT(Curvas_cupon_cero!$A:$A)-2,1),OFFSET(Curvas_cupon_cero!$A$1,1,MATCH($B$8,Curvas_cupon_cero!$1:$1,0)-1,COUNT(Curvas_cupon_cero!$A:$A)-2,1)),[1]!interpolar(L477,OFFSET(Curvas_cupon_cero!$A$1,1,0,COUNT(Curvas_cupon_cero!$A:$A)-2,1),OFFSET(Curvas_cupon_cero!$A$1,1,MATCH($B$8,Curvas_cupon_cero!$1:$1,0)-1,COUNT(Curvas_cupon_cero!$A:$A)-2,1))))</f>
        <v/>
      </c>
      <c r="E477" s="23" t="str">
        <f t="shared" si="73"/>
        <v/>
      </c>
      <c r="F477" s="23" t="str">
        <f ca="1">IF(A477="","",IF($B$10="Sí",interpolar_alamb(B477,OFFSET(Curvas_cupon_cero!$A$1,1,0,COUNT(Curvas_cupon_cero!$A:$A)-2,1),OFFSET(Curvas_cupon_cero!$A$1,1,MATCH($B$9,Curvas_cupon_cero!$1:$1,0)-1,COUNT(Curvas_cupon_cero!$A:$A)-2,1)),[1]!interpolar(B477,OFFSET(Curvas_cupon_cero!$A$1,1,0,COUNT(Curvas_cupon_cero!$A:$A)-2,1),OFFSET(Curvas_cupon_cero!$A$1,1,MATCH($B$9,Curvas_cupon_cero!$1:$1,0)-1,COUNT(Curvas_cupon_cero!$A:$A)-2,1))))</f>
        <v/>
      </c>
      <c r="G477" s="23" t="str">
        <f t="shared" si="74"/>
        <v/>
      </c>
      <c r="H477" s="20" t="str">
        <f t="shared" si="79"/>
        <v/>
      </c>
      <c r="I477" t="str">
        <f t="shared" si="75"/>
        <v/>
      </c>
      <c r="J477" s="17" t="str">
        <f t="shared" si="71"/>
        <v/>
      </c>
      <c r="K477" s="18" t="str">
        <f t="shared" si="76"/>
        <v/>
      </c>
      <c r="L477" t="str">
        <f t="shared" si="77"/>
        <v/>
      </c>
      <c r="M477" s="23" t="str">
        <f ca="1">IF(A477="","",IF($B$10="Sí",interpolar_alamb(L477,OFFSET(Curvas_cupon_cero!$A$1,1,0,COUNT(Curvas_cupon_cero!$A:$A)-2,1),OFFSET(Curvas_cupon_cero!$A$1,1,MATCH($B$6,Curvas_cupon_cero!$1:$1,0)-1,COUNT(Curvas_cupon_cero!$A:$A)-2,1)),[1]!interpolar(L477,OFFSET(Curvas_cupon_cero!$A$1,1,0,COUNT(Curvas_cupon_cero!$A:$A)-2,1),OFFSET(Curvas_cupon_cero!$A$1,1,MATCH($B$6,Curvas_cupon_cero!$1:$1,0)-1,COUNT(Curvas_cupon_cero!$A:$A)-2,1))))</f>
        <v/>
      </c>
      <c r="N477" s="23"/>
      <c r="O477" s="19" t="str">
        <f t="shared" si="78"/>
        <v/>
      </c>
    </row>
    <row r="478" spans="1:15" x14ac:dyDescent="0.2">
      <c r="A478" s="12" t="str">
        <f t="shared" si="72"/>
        <v/>
      </c>
      <c r="B478" t="str">
        <f t="shared" si="70"/>
        <v/>
      </c>
      <c r="C478" s="21" t="str">
        <f ca="1">IF(A478="","",IF($B$10="Sí",interpolar_alamb(B478,OFFSET(Curvas_cupon_cero!$A$1,1,0,COUNT(Curvas_cupon_cero!$A:$A)-2,1),OFFSET(Curvas_cupon_cero!$A$1,1,MATCH($B$8,Curvas_cupon_cero!$1:$1,0)-1,COUNT(Curvas_cupon_cero!$A:$A)-2,1)),[1]!interpolar(B478,OFFSET(Curvas_cupon_cero!$A$1,1,0,COUNT(Curvas_cupon_cero!$A:$A)-2,1),OFFSET(Curvas_cupon_cero!$A$1,1,MATCH($B$8,Curvas_cupon_cero!$1:$1,0)-1,COUNT(Curvas_cupon_cero!$A:$A)-2,1))))</f>
        <v/>
      </c>
      <c r="D478" s="23" t="str">
        <f ca="1">IF(A478="","",IF($B$10="Sí",interpolar_alamb(L478,OFFSET(Curvas_cupon_cero!$A$1,1,0,COUNT(Curvas_cupon_cero!$A:$A)-2,1),OFFSET(Curvas_cupon_cero!$A$1,1,MATCH($B$8,Curvas_cupon_cero!$1:$1,0)-1,COUNT(Curvas_cupon_cero!$A:$A)-2,1)),[1]!interpolar(L478,OFFSET(Curvas_cupon_cero!$A$1,1,0,COUNT(Curvas_cupon_cero!$A:$A)-2,1),OFFSET(Curvas_cupon_cero!$A$1,1,MATCH($B$8,Curvas_cupon_cero!$1:$1,0)-1,COUNT(Curvas_cupon_cero!$A:$A)-2,1))))</f>
        <v/>
      </c>
      <c r="E478" s="23" t="str">
        <f t="shared" si="73"/>
        <v/>
      </c>
      <c r="F478" s="23" t="str">
        <f ca="1">IF(A478="","",IF($B$10="Sí",interpolar_alamb(B478,OFFSET(Curvas_cupon_cero!$A$1,1,0,COUNT(Curvas_cupon_cero!$A:$A)-2,1),OFFSET(Curvas_cupon_cero!$A$1,1,MATCH($B$9,Curvas_cupon_cero!$1:$1,0)-1,COUNT(Curvas_cupon_cero!$A:$A)-2,1)),[1]!interpolar(B478,OFFSET(Curvas_cupon_cero!$A$1,1,0,COUNT(Curvas_cupon_cero!$A:$A)-2,1),OFFSET(Curvas_cupon_cero!$A$1,1,MATCH($B$9,Curvas_cupon_cero!$1:$1,0)-1,COUNT(Curvas_cupon_cero!$A:$A)-2,1))))</f>
        <v/>
      </c>
      <c r="G478" s="23" t="str">
        <f t="shared" si="74"/>
        <v/>
      </c>
      <c r="H478" s="20" t="str">
        <f t="shared" si="79"/>
        <v/>
      </c>
      <c r="I478" t="str">
        <f t="shared" si="75"/>
        <v/>
      </c>
      <c r="J478" s="17" t="str">
        <f t="shared" si="71"/>
        <v/>
      </c>
      <c r="K478" s="18" t="str">
        <f t="shared" si="76"/>
        <v/>
      </c>
      <c r="L478" t="str">
        <f t="shared" si="77"/>
        <v/>
      </c>
      <c r="M478" s="23" t="str">
        <f ca="1">IF(A478="","",IF($B$10="Sí",interpolar_alamb(L478,OFFSET(Curvas_cupon_cero!$A$1,1,0,COUNT(Curvas_cupon_cero!$A:$A)-2,1),OFFSET(Curvas_cupon_cero!$A$1,1,MATCH($B$6,Curvas_cupon_cero!$1:$1,0)-1,COUNT(Curvas_cupon_cero!$A:$A)-2,1)),[1]!interpolar(L478,OFFSET(Curvas_cupon_cero!$A$1,1,0,COUNT(Curvas_cupon_cero!$A:$A)-2,1),OFFSET(Curvas_cupon_cero!$A$1,1,MATCH($B$6,Curvas_cupon_cero!$1:$1,0)-1,COUNT(Curvas_cupon_cero!$A:$A)-2,1))))</f>
        <v/>
      </c>
      <c r="N478" s="23"/>
      <c r="O478" s="19" t="str">
        <f t="shared" si="78"/>
        <v/>
      </c>
    </row>
    <row r="479" spans="1:15" x14ac:dyDescent="0.2">
      <c r="A479" s="12" t="str">
        <f t="shared" si="72"/>
        <v/>
      </c>
      <c r="B479" t="str">
        <f t="shared" si="70"/>
        <v/>
      </c>
      <c r="C479" s="21" t="str">
        <f ca="1">IF(A479="","",IF($B$10="Sí",interpolar_alamb(B479,OFFSET(Curvas_cupon_cero!$A$1,1,0,COUNT(Curvas_cupon_cero!$A:$A)-2,1),OFFSET(Curvas_cupon_cero!$A$1,1,MATCH($B$8,Curvas_cupon_cero!$1:$1,0)-1,COUNT(Curvas_cupon_cero!$A:$A)-2,1)),[1]!interpolar(B479,OFFSET(Curvas_cupon_cero!$A$1,1,0,COUNT(Curvas_cupon_cero!$A:$A)-2,1),OFFSET(Curvas_cupon_cero!$A$1,1,MATCH($B$8,Curvas_cupon_cero!$1:$1,0)-1,COUNT(Curvas_cupon_cero!$A:$A)-2,1))))</f>
        <v/>
      </c>
      <c r="D479" s="23" t="str">
        <f ca="1">IF(A479="","",IF($B$10="Sí",interpolar_alamb(L479,OFFSET(Curvas_cupon_cero!$A$1,1,0,COUNT(Curvas_cupon_cero!$A:$A)-2,1),OFFSET(Curvas_cupon_cero!$A$1,1,MATCH($B$8,Curvas_cupon_cero!$1:$1,0)-1,COUNT(Curvas_cupon_cero!$A:$A)-2,1)),[1]!interpolar(L479,OFFSET(Curvas_cupon_cero!$A$1,1,0,COUNT(Curvas_cupon_cero!$A:$A)-2,1),OFFSET(Curvas_cupon_cero!$A$1,1,MATCH($B$8,Curvas_cupon_cero!$1:$1,0)-1,COUNT(Curvas_cupon_cero!$A:$A)-2,1))))</f>
        <v/>
      </c>
      <c r="E479" s="23" t="str">
        <f t="shared" si="73"/>
        <v/>
      </c>
      <c r="F479" s="23" t="str">
        <f ca="1">IF(A479="","",IF($B$10="Sí",interpolar_alamb(B479,OFFSET(Curvas_cupon_cero!$A$1,1,0,COUNT(Curvas_cupon_cero!$A:$A)-2,1),OFFSET(Curvas_cupon_cero!$A$1,1,MATCH($B$9,Curvas_cupon_cero!$1:$1,0)-1,COUNT(Curvas_cupon_cero!$A:$A)-2,1)),[1]!interpolar(B479,OFFSET(Curvas_cupon_cero!$A$1,1,0,COUNT(Curvas_cupon_cero!$A:$A)-2,1),OFFSET(Curvas_cupon_cero!$A$1,1,MATCH($B$9,Curvas_cupon_cero!$1:$1,0)-1,COUNT(Curvas_cupon_cero!$A:$A)-2,1))))</f>
        <v/>
      </c>
      <c r="G479" s="23" t="str">
        <f t="shared" si="74"/>
        <v/>
      </c>
      <c r="H479" s="20" t="str">
        <f t="shared" si="79"/>
        <v/>
      </c>
      <c r="I479" t="str">
        <f t="shared" si="75"/>
        <v/>
      </c>
      <c r="J479" s="17" t="str">
        <f t="shared" si="71"/>
        <v/>
      </c>
      <c r="K479" s="18" t="str">
        <f t="shared" si="76"/>
        <v/>
      </c>
      <c r="L479" t="str">
        <f t="shared" si="77"/>
        <v/>
      </c>
      <c r="M479" s="23" t="str">
        <f ca="1">IF(A479="","",IF($B$10="Sí",interpolar_alamb(L479,OFFSET(Curvas_cupon_cero!$A$1,1,0,COUNT(Curvas_cupon_cero!$A:$A)-2,1),OFFSET(Curvas_cupon_cero!$A$1,1,MATCH($B$6,Curvas_cupon_cero!$1:$1,0)-1,COUNT(Curvas_cupon_cero!$A:$A)-2,1)),[1]!interpolar(L479,OFFSET(Curvas_cupon_cero!$A$1,1,0,COUNT(Curvas_cupon_cero!$A:$A)-2,1),OFFSET(Curvas_cupon_cero!$A$1,1,MATCH($B$6,Curvas_cupon_cero!$1:$1,0)-1,COUNT(Curvas_cupon_cero!$A:$A)-2,1))))</f>
        <v/>
      </c>
      <c r="N479" s="23"/>
      <c r="O479" s="19" t="str">
        <f t="shared" si="78"/>
        <v/>
      </c>
    </row>
    <row r="480" spans="1:15" x14ac:dyDescent="0.2">
      <c r="A480" s="12" t="str">
        <f t="shared" si="72"/>
        <v/>
      </c>
      <c r="B480" t="str">
        <f t="shared" si="70"/>
        <v/>
      </c>
      <c r="C480" s="21" t="str">
        <f ca="1">IF(A480="","",IF($B$10="Sí",interpolar_alamb(B480,OFFSET(Curvas_cupon_cero!$A$1,1,0,COUNT(Curvas_cupon_cero!$A:$A)-2,1),OFFSET(Curvas_cupon_cero!$A$1,1,MATCH($B$8,Curvas_cupon_cero!$1:$1,0)-1,COUNT(Curvas_cupon_cero!$A:$A)-2,1)),[1]!interpolar(B480,OFFSET(Curvas_cupon_cero!$A$1,1,0,COUNT(Curvas_cupon_cero!$A:$A)-2,1),OFFSET(Curvas_cupon_cero!$A$1,1,MATCH($B$8,Curvas_cupon_cero!$1:$1,0)-1,COUNT(Curvas_cupon_cero!$A:$A)-2,1))))</f>
        <v/>
      </c>
      <c r="D480" s="23" t="str">
        <f ca="1">IF(A480="","",IF($B$10="Sí",interpolar_alamb(L480,OFFSET(Curvas_cupon_cero!$A$1,1,0,COUNT(Curvas_cupon_cero!$A:$A)-2,1),OFFSET(Curvas_cupon_cero!$A$1,1,MATCH($B$8,Curvas_cupon_cero!$1:$1,0)-1,COUNT(Curvas_cupon_cero!$A:$A)-2,1)),[1]!interpolar(L480,OFFSET(Curvas_cupon_cero!$A$1,1,0,COUNT(Curvas_cupon_cero!$A:$A)-2,1),OFFSET(Curvas_cupon_cero!$A$1,1,MATCH($B$8,Curvas_cupon_cero!$1:$1,0)-1,COUNT(Curvas_cupon_cero!$A:$A)-2,1))))</f>
        <v/>
      </c>
      <c r="E480" s="23" t="str">
        <f t="shared" si="73"/>
        <v/>
      </c>
      <c r="F480" s="23" t="str">
        <f ca="1">IF(A480="","",IF($B$10="Sí",interpolar_alamb(B480,OFFSET(Curvas_cupon_cero!$A$1,1,0,COUNT(Curvas_cupon_cero!$A:$A)-2,1),OFFSET(Curvas_cupon_cero!$A$1,1,MATCH($B$9,Curvas_cupon_cero!$1:$1,0)-1,COUNT(Curvas_cupon_cero!$A:$A)-2,1)),[1]!interpolar(B480,OFFSET(Curvas_cupon_cero!$A$1,1,0,COUNT(Curvas_cupon_cero!$A:$A)-2,1),OFFSET(Curvas_cupon_cero!$A$1,1,MATCH($B$9,Curvas_cupon_cero!$1:$1,0)-1,COUNT(Curvas_cupon_cero!$A:$A)-2,1))))</f>
        <v/>
      </c>
      <c r="G480" s="23" t="str">
        <f t="shared" si="74"/>
        <v/>
      </c>
      <c r="H480" s="20" t="str">
        <f t="shared" si="79"/>
        <v/>
      </c>
      <c r="I480" t="str">
        <f t="shared" si="75"/>
        <v/>
      </c>
      <c r="J480" s="17" t="str">
        <f t="shared" si="71"/>
        <v/>
      </c>
      <c r="K480" s="18" t="str">
        <f t="shared" si="76"/>
        <v/>
      </c>
      <c r="L480" t="str">
        <f t="shared" si="77"/>
        <v/>
      </c>
      <c r="M480" s="23" t="str">
        <f ca="1">IF(A480="","",IF($B$10="Sí",interpolar_alamb(L480,OFFSET(Curvas_cupon_cero!$A$1,1,0,COUNT(Curvas_cupon_cero!$A:$A)-2,1),OFFSET(Curvas_cupon_cero!$A$1,1,MATCH($B$6,Curvas_cupon_cero!$1:$1,0)-1,COUNT(Curvas_cupon_cero!$A:$A)-2,1)),[1]!interpolar(L480,OFFSET(Curvas_cupon_cero!$A$1,1,0,COUNT(Curvas_cupon_cero!$A:$A)-2,1),OFFSET(Curvas_cupon_cero!$A$1,1,MATCH($B$6,Curvas_cupon_cero!$1:$1,0)-1,COUNT(Curvas_cupon_cero!$A:$A)-2,1))))</f>
        <v/>
      </c>
      <c r="N480" s="23"/>
      <c r="O480" s="19" t="str">
        <f t="shared" si="78"/>
        <v/>
      </c>
    </row>
    <row r="481" spans="1:15" x14ac:dyDescent="0.2">
      <c r="A481" s="12" t="str">
        <f t="shared" si="72"/>
        <v/>
      </c>
      <c r="B481" t="str">
        <f t="shared" si="70"/>
        <v/>
      </c>
      <c r="C481" s="21" t="str">
        <f ca="1">IF(A481="","",IF($B$10="Sí",interpolar_alamb(B481,OFFSET(Curvas_cupon_cero!$A$1,1,0,COUNT(Curvas_cupon_cero!$A:$A)-2,1),OFFSET(Curvas_cupon_cero!$A$1,1,MATCH($B$8,Curvas_cupon_cero!$1:$1,0)-1,COUNT(Curvas_cupon_cero!$A:$A)-2,1)),[1]!interpolar(B481,OFFSET(Curvas_cupon_cero!$A$1,1,0,COUNT(Curvas_cupon_cero!$A:$A)-2,1),OFFSET(Curvas_cupon_cero!$A$1,1,MATCH($B$8,Curvas_cupon_cero!$1:$1,0)-1,COUNT(Curvas_cupon_cero!$A:$A)-2,1))))</f>
        <v/>
      </c>
      <c r="D481" s="23" t="str">
        <f ca="1">IF(A481="","",IF($B$10="Sí",interpolar_alamb(L481,OFFSET(Curvas_cupon_cero!$A$1,1,0,COUNT(Curvas_cupon_cero!$A:$A)-2,1),OFFSET(Curvas_cupon_cero!$A$1,1,MATCH($B$8,Curvas_cupon_cero!$1:$1,0)-1,COUNT(Curvas_cupon_cero!$A:$A)-2,1)),[1]!interpolar(L481,OFFSET(Curvas_cupon_cero!$A$1,1,0,COUNT(Curvas_cupon_cero!$A:$A)-2,1),OFFSET(Curvas_cupon_cero!$A$1,1,MATCH($B$8,Curvas_cupon_cero!$1:$1,0)-1,COUNT(Curvas_cupon_cero!$A:$A)-2,1))))</f>
        <v/>
      </c>
      <c r="E481" s="23" t="str">
        <f t="shared" si="73"/>
        <v/>
      </c>
      <c r="F481" s="23" t="str">
        <f ca="1">IF(A481="","",IF($B$10="Sí",interpolar_alamb(B481,OFFSET(Curvas_cupon_cero!$A$1,1,0,COUNT(Curvas_cupon_cero!$A:$A)-2,1),OFFSET(Curvas_cupon_cero!$A$1,1,MATCH($B$9,Curvas_cupon_cero!$1:$1,0)-1,COUNT(Curvas_cupon_cero!$A:$A)-2,1)),[1]!interpolar(B481,OFFSET(Curvas_cupon_cero!$A$1,1,0,COUNT(Curvas_cupon_cero!$A:$A)-2,1),OFFSET(Curvas_cupon_cero!$A$1,1,MATCH($B$9,Curvas_cupon_cero!$1:$1,0)-1,COUNT(Curvas_cupon_cero!$A:$A)-2,1))))</f>
        <v/>
      </c>
      <c r="G481" s="23" t="str">
        <f t="shared" si="74"/>
        <v/>
      </c>
      <c r="H481" s="20" t="str">
        <f t="shared" si="79"/>
        <v/>
      </c>
      <c r="I481" t="str">
        <f t="shared" si="75"/>
        <v/>
      </c>
      <c r="J481" s="17" t="str">
        <f t="shared" si="71"/>
        <v/>
      </c>
      <c r="K481" s="18" t="str">
        <f t="shared" si="76"/>
        <v/>
      </c>
      <c r="L481" t="str">
        <f t="shared" si="77"/>
        <v/>
      </c>
      <c r="M481" s="23" t="str">
        <f ca="1">IF(A481="","",IF($B$10="Sí",interpolar_alamb(L481,OFFSET(Curvas_cupon_cero!$A$1,1,0,COUNT(Curvas_cupon_cero!$A:$A)-2,1),OFFSET(Curvas_cupon_cero!$A$1,1,MATCH($B$6,Curvas_cupon_cero!$1:$1,0)-1,COUNT(Curvas_cupon_cero!$A:$A)-2,1)),[1]!interpolar(L481,OFFSET(Curvas_cupon_cero!$A$1,1,0,COUNT(Curvas_cupon_cero!$A:$A)-2,1),OFFSET(Curvas_cupon_cero!$A$1,1,MATCH($B$6,Curvas_cupon_cero!$1:$1,0)-1,COUNT(Curvas_cupon_cero!$A:$A)-2,1))))</f>
        <v/>
      </c>
      <c r="N481" s="23"/>
      <c r="O481" s="19" t="str">
        <f t="shared" si="78"/>
        <v/>
      </c>
    </row>
    <row r="482" spans="1:15" x14ac:dyDescent="0.2">
      <c r="A482" s="12" t="str">
        <f t="shared" si="72"/>
        <v/>
      </c>
      <c r="B482" t="str">
        <f t="shared" si="70"/>
        <v/>
      </c>
      <c r="C482" s="21" t="str">
        <f ca="1">IF(A482="","",IF($B$10="Sí",interpolar_alamb(B482,OFFSET(Curvas_cupon_cero!$A$1,1,0,COUNT(Curvas_cupon_cero!$A:$A)-2,1),OFFSET(Curvas_cupon_cero!$A$1,1,MATCH($B$8,Curvas_cupon_cero!$1:$1,0)-1,COUNT(Curvas_cupon_cero!$A:$A)-2,1)),[1]!interpolar(B482,OFFSET(Curvas_cupon_cero!$A$1,1,0,COUNT(Curvas_cupon_cero!$A:$A)-2,1),OFFSET(Curvas_cupon_cero!$A$1,1,MATCH($B$8,Curvas_cupon_cero!$1:$1,0)-1,COUNT(Curvas_cupon_cero!$A:$A)-2,1))))</f>
        <v/>
      </c>
      <c r="D482" s="23" t="str">
        <f ca="1">IF(A482="","",IF($B$10="Sí",interpolar_alamb(L482,OFFSET(Curvas_cupon_cero!$A$1,1,0,COUNT(Curvas_cupon_cero!$A:$A)-2,1),OFFSET(Curvas_cupon_cero!$A$1,1,MATCH($B$8,Curvas_cupon_cero!$1:$1,0)-1,COUNT(Curvas_cupon_cero!$A:$A)-2,1)),[1]!interpolar(L482,OFFSET(Curvas_cupon_cero!$A$1,1,0,COUNT(Curvas_cupon_cero!$A:$A)-2,1),OFFSET(Curvas_cupon_cero!$A$1,1,MATCH($B$8,Curvas_cupon_cero!$1:$1,0)-1,COUNT(Curvas_cupon_cero!$A:$A)-2,1))))</f>
        <v/>
      </c>
      <c r="E482" s="23" t="str">
        <f t="shared" si="73"/>
        <v/>
      </c>
      <c r="F482" s="23" t="str">
        <f ca="1">IF(A482="","",IF($B$10="Sí",interpolar_alamb(B482,OFFSET(Curvas_cupon_cero!$A$1,1,0,COUNT(Curvas_cupon_cero!$A:$A)-2,1),OFFSET(Curvas_cupon_cero!$A$1,1,MATCH($B$9,Curvas_cupon_cero!$1:$1,0)-1,COUNT(Curvas_cupon_cero!$A:$A)-2,1)),[1]!interpolar(B482,OFFSET(Curvas_cupon_cero!$A$1,1,0,COUNT(Curvas_cupon_cero!$A:$A)-2,1),OFFSET(Curvas_cupon_cero!$A$1,1,MATCH($B$9,Curvas_cupon_cero!$1:$1,0)-1,COUNT(Curvas_cupon_cero!$A:$A)-2,1))))</f>
        <v/>
      </c>
      <c r="G482" s="23" t="str">
        <f t="shared" si="74"/>
        <v/>
      </c>
      <c r="H482" s="20" t="str">
        <f t="shared" si="79"/>
        <v/>
      </c>
      <c r="I482" t="str">
        <f t="shared" si="75"/>
        <v/>
      </c>
      <c r="J482" s="17" t="str">
        <f t="shared" si="71"/>
        <v/>
      </c>
      <c r="K482" s="18" t="str">
        <f t="shared" si="76"/>
        <v/>
      </c>
      <c r="L482" t="str">
        <f t="shared" si="77"/>
        <v/>
      </c>
      <c r="M482" s="23" t="str">
        <f ca="1">IF(A482="","",IF($B$10="Sí",interpolar_alamb(L482,OFFSET(Curvas_cupon_cero!$A$1,1,0,COUNT(Curvas_cupon_cero!$A:$A)-2,1),OFFSET(Curvas_cupon_cero!$A$1,1,MATCH($B$6,Curvas_cupon_cero!$1:$1,0)-1,COUNT(Curvas_cupon_cero!$A:$A)-2,1)),[1]!interpolar(L482,OFFSET(Curvas_cupon_cero!$A$1,1,0,COUNT(Curvas_cupon_cero!$A:$A)-2,1),OFFSET(Curvas_cupon_cero!$A$1,1,MATCH($B$6,Curvas_cupon_cero!$1:$1,0)-1,COUNT(Curvas_cupon_cero!$A:$A)-2,1))))</f>
        <v/>
      </c>
      <c r="N482" s="23"/>
      <c r="O482" s="19" t="str">
        <f t="shared" si="78"/>
        <v/>
      </c>
    </row>
    <row r="483" spans="1:15" x14ac:dyDescent="0.2">
      <c r="A483" s="12" t="str">
        <f t="shared" si="72"/>
        <v/>
      </c>
      <c r="B483" t="str">
        <f t="shared" si="70"/>
        <v/>
      </c>
      <c r="C483" s="21" t="str">
        <f ca="1">IF(A483="","",IF($B$10="Sí",interpolar_alamb(B483,OFFSET(Curvas_cupon_cero!$A$1,1,0,COUNT(Curvas_cupon_cero!$A:$A)-2,1),OFFSET(Curvas_cupon_cero!$A$1,1,MATCH($B$8,Curvas_cupon_cero!$1:$1,0)-1,COUNT(Curvas_cupon_cero!$A:$A)-2,1)),[1]!interpolar(B483,OFFSET(Curvas_cupon_cero!$A$1,1,0,COUNT(Curvas_cupon_cero!$A:$A)-2,1),OFFSET(Curvas_cupon_cero!$A$1,1,MATCH($B$8,Curvas_cupon_cero!$1:$1,0)-1,COUNT(Curvas_cupon_cero!$A:$A)-2,1))))</f>
        <v/>
      </c>
      <c r="D483" s="23" t="str">
        <f ca="1">IF(A483="","",IF($B$10="Sí",interpolar_alamb(L483,OFFSET(Curvas_cupon_cero!$A$1,1,0,COUNT(Curvas_cupon_cero!$A:$A)-2,1),OFFSET(Curvas_cupon_cero!$A$1,1,MATCH($B$8,Curvas_cupon_cero!$1:$1,0)-1,COUNT(Curvas_cupon_cero!$A:$A)-2,1)),[1]!interpolar(L483,OFFSET(Curvas_cupon_cero!$A$1,1,0,COUNT(Curvas_cupon_cero!$A:$A)-2,1),OFFSET(Curvas_cupon_cero!$A$1,1,MATCH($B$8,Curvas_cupon_cero!$1:$1,0)-1,COUNT(Curvas_cupon_cero!$A:$A)-2,1))))</f>
        <v/>
      </c>
      <c r="E483" s="23" t="str">
        <f t="shared" si="73"/>
        <v/>
      </c>
      <c r="F483" s="23" t="str">
        <f ca="1">IF(A483="","",IF($B$10="Sí",interpolar_alamb(B483,OFFSET(Curvas_cupon_cero!$A$1,1,0,COUNT(Curvas_cupon_cero!$A:$A)-2,1),OFFSET(Curvas_cupon_cero!$A$1,1,MATCH($B$9,Curvas_cupon_cero!$1:$1,0)-1,COUNT(Curvas_cupon_cero!$A:$A)-2,1)),[1]!interpolar(B483,OFFSET(Curvas_cupon_cero!$A$1,1,0,COUNT(Curvas_cupon_cero!$A:$A)-2,1),OFFSET(Curvas_cupon_cero!$A$1,1,MATCH($B$9,Curvas_cupon_cero!$1:$1,0)-1,COUNT(Curvas_cupon_cero!$A:$A)-2,1))))</f>
        <v/>
      </c>
      <c r="G483" s="23" t="str">
        <f t="shared" si="74"/>
        <v/>
      </c>
      <c r="H483" s="20" t="str">
        <f t="shared" si="79"/>
        <v/>
      </c>
      <c r="I483" t="str">
        <f t="shared" si="75"/>
        <v/>
      </c>
      <c r="J483" s="17" t="str">
        <f t="shared" si="71"/>
        <v/>
      </c>
      <c r="K483" s="18" t="str">
        <f t="shared" si="76"/>
        <v/>
      </c>
      <c r="L483" t="str">
        <f t="shared" si="77"/>
        <v/>
      </c>
      <c r="M483" s="23" t="str">
        <f ca="1">IF(A483="","",IF($B$10="Sí",interpolar_alamb(L483,OFFSET(Curvas_cupon_cero!$A$1,1,0,COUNT(Curvas_cupon_cero!$A:$A)-2,1),OFFSET(Curvas_cupon_cero!$A$1,1,MATCH($B$6,Curvas_cupon_cero!$1:$1,0)-1,COUNT(Curvas_cupon_cero!$A:$A)-2,1)),[1]!interpolar(L483,OFFSET(Curvas_cupon_cero!$A$1,1,0,COUNT(Curvas_cupon_cero!$A:$A)-2,1),OFFSET(Curvas_cupon_cero!$A$1,1,MATCH($B$6,Curvas_cupon_cero!$1:$1,0)-1,COUNT(Curvas_cupon_cero!$A:$A)-2,1))))</f>
        <v/>
      </c>
      <c r="N483" s="23"/>
      <c r="O483" s="19" t="str">
        <f t="shared" si="78"/>
        <v/>
      </c>
    </row>
    <row r="484" spans="1:15" x14ac:dyDescent="0.2">
      <c r="A484" s="12" t="str">
        <f t="shared" si="72"/>
        <v/>
      </c>
      <c r="B484" t="str">
        <f t="shared" si="70"/>
        <v/>
      </c>
      <c r="C484" s="21" t="str">
        <f ca="1">IF(A484="","",IF($B$10="Sí",interpolar_alamb(B484,OFFSET(Curvas_cupon_cero!$A$1,1,0,COUNT(Curvas_cupon_cero!$A:$A)-2,1),OFFSET(Curvas_cupon_cero!$A$1,1,MATCH($B$8,Curvas_cupon_cero!$1:$1,0)-1,COUNT(Curvas_cupon_cero!$A:$A)-2,1)),[1]!interpolar(B484,OFFSET(Curvas_cupon_cero!$A$1,1,0,COUNT(Curvas_cupon_cero!$A:$A)-2,1),OFFSET(Curvas_cupon_cero!$A$1,1,MATCH($B$8,Curvas_cupon_cero!$1:$1,0)-1,COUNT(Curvas_cupon_cero!$A:$A)-2,1))))</f>
        <v/>
      </c>
      <c r="D484" s="23" t="str">
        <f ca="1">IF(A484="","",IF($B$10="Sí",interpolar_alamb(L484,OFFSET(Curvas_cupon_cero!$A$1,1,0,COUNT(Curvas_cupon_cero!$A:$A)-2,1),OFFSET(Curvas_cupon_cero!$A$1,1,MATCH($B$8,Curvas_cupon_cero!$1:$1,0)-1,COUNT(Curvas_cupon_cero!$A:$A)-2,1)),[1]!interpolar(L484,OFFSET(Curvas_cupon_cero!$A$1,1,0,COUNT(Curvas_cupon_cero!$A:$A)-2,1),OFFSET(Curvas_cupon_cero!$A$1,1,MATCH($B$8,Curvas_cupon_cero!$1:$1,0)-1,COUNT(Curvas_cupon_cero!$A:$A)-2,1))))</f>
        <v/>
      </c>
      <c r="E484" s="23" t="str">
        <f t="shared" si="73"/>
        <v/>
      </c>
      <c r="F484" s="23" t="str">
        <f ca="1">IF(A484="","",IF($B$10="Sí",interpolar_alamb(B484,OFFSET(Curvas_cupon_cero!$A$1,1,0,COUNT(Curvas_cupon_cero!$A:$A)-2,1),OFFSET(Curvas_cupon_cero!$A$1,1,MATCH($B$9,Curvas_cupon_cero!$1:$1,0)-1,COUNT(Curvas_cupon_cero!$A:$A)-2,1)),[1]!interpolar(B484,OFFSET(Curvas_cupon_cero!$A$1,1,0,COUNT(Curvas_cupon_cero!$A:$A)-2,1),OFFSET(Curvas_cupon_cero!$A$1,1,MATCH($B$9,Curvas_cupon_cero!$1:$1,0)-1,COUNT(Curvas_cupon_cero!$A:$A)-2,1))))</f>
        <v/>
      </c>
      <c r="G484" s="23" t="str">
        <f t="shared" si="74"/>
        <v/>
      </c>
      <c r="H484" s="20" t="str">
        <f t="shared" si="79"/>
        <v/>
      </c>
      <c r="I484" t="str">
        <f t="shared" si="75"/>
        <v/>
      </c>
      <c r="J484" s="17" t="str">
        <f t="shared" si="71"/>
        <v/>
      </c>
      <c r="K484" s="18" t="str">
        <f t="shared" si="76"/>
        <v/>
      </c>
      <c r="L484" t="str">
        <f t="shared" si="77"/>
        <v/>
      </c>
      <c r="M484" s="23" t="str">
        <f ca="1">IF(A484="","",IF($B$10="Sí",interpolar_alamb(L484,OFFSET(Curvas_cupon_cero!$A$1,1,0,COUNT(Curvas_cupon_cero!$A:$A)-2,1),OFFSET(Curvas_cupon_cero!$A$1,1,MATCH($B$6,Curvas_cupon_cero!$1:$1,0)-1,COUNT(Curvas_cupon_cero!$A:$A)-2,1)),[1]!interpolar(L484,OFFSET(Curvas_cupon_cero!$A$1,1,0,COUNT(Curvas_cupon_cero!$A:$A)-2,1),OFFSET(Curvas_cupon_cero!$A$1,1,MATCH($B$6,Curvas_cupon_cero!$1:$1,0)-1,COUNT(Curvas_cupon_cero!$A:$A)-2,1))))</f>
        <v/>
      </c>
      <c r="N484" s="23"/>
      <c r="O484" s="19" t="str">
        <f t="shared" si="78"/>
        <v/>
      </c>
    </row>
    <row r="485" spans="1:15" x14ac:dyDescent="0.2">
      <c r="A485" s="12" t="str">
        <f t="shared" si="72"/>
        <v/>
      </c>
      <c r="B485" t="str">
        <f t="shared" si="70"/>
        <v/>
      </c>
      <c r="C485" s="21" t="str">
        <f ca="1">IF(A485="","",IF($B$10="Sí",interpolar_alamb(B485,OFFSET(Curvas_cupon_cero!$A$1,1,0,COUNT(Curvas_cupon_cero!$A:$A)-2,1),OFFSET(Curvas_cupon_cero!$A$1,1,MATCH($B$8,Curvas_cupon_cero!$1:$1,0)-1,COUNT(Curvas_cupon_cero!$A:$A)-2,1)),[1]!interpolar(B485,OFFSET(Curvas_cupon_cero!$A$1,1,0,COUNT(Curvas_cupon_cero!$A:$A)-2,1),OFFSET(Curvas_cupon_cero!$A$1,1,MATCH($B$8,Curvas_cupon_cero!$1:$1,0)-1,COUNT(Curvas_cupon_cero!$A:$A)-2,1))))</f>
        <v/>
      </c>
      <c r="D485" s="23" t="str">
        <f ca="1">IF(A485="","",IF($B$10="Sí",interpolar_alamb(L485,OFFSET(Curvas_cupon_cero!$A$1,1,0,COUNT(Curvas_cupon_cero!$A:$A)-2,1),OFFSET(Curvas_cupon_cero!$A$1,1,MATCH($B$8,Curvas_cupon_cero!$1:$1,0)-1,COUNT(Curvas_cupon_cero!$A:$A)-2,1)),[1]!interpolar(L485,OFFSET(Curvas_cupon_cero!$A$1,1,0,COUNT(Curvas_cupon_cero!$A:$A)-2,1),OFFSET(Curvas_cupon_cero!$A$1,1,MATCH($B$8,Curvas_cupon_cero!$1:$1,0)-1,COUNT(Curvas_cupon_cero!$A:$A)-2,1))))</f>
        <v/>
      </c>
      <c r="E485" s="23" t="str">
        <f t="shared" si="73"/>
        <v/>
      </c>
      <c r="F485" s="23" t="str">
        <f ca="1">IF(A485="","",IF($B$10="Sí",interpolar_alamb(B485,OFFSET(Curvas_cupon_cero!$A$1,1,0,COUNT(Curvas_cupon_cero!$A:$A)-2,1),OFFSET(Curvas_cupon_cero!$A$1,1,MATCH($B$9,Curvas_cupon_cero!$1:$1,0)-1,COUNT(Curvas_cupon_cero!$A:$A)-2,1)),[1]!interpolar(B485,OFFSET(Curvas_cupon_cero!$A$1,1,0,COUNT(Curvas_cupon_cero!$A:$A)-2,1),OFFSET(Curvas_cupon_cero!$A$1,1,MATCH($B$9,Curvas_cupon_cero!$1:$1,0)-1,COUNT(Curvas_cupon_cero!$A:$A)-2,1))))</f>
        <v/>
      </c>
      <c r="G485" s="23" t="str">
        <f t="shared" si="74"/>
        <v/>
      </c>
      <c r="H485" s="20" t="str">
        <f t="shared" si="79"/>
        <v/>
      </c>
      <c r="I485" t="str">
        <f t="shared" si="75"/>
        <v/>
      </c>
      <c r="J485" s="17" t="str">
        <f t="shared" si="71"/>
        <v/>
      </c>
      <c r="K485" s="18" t="str">
        <f t="shared" si="76"/>
        <v/>
      </c>
      <c r="L485" t="str">
        <f t="shared" si="77"/>
        <v/>
      </c>
      <c r="M485" s="23" t="str">
        <f ca="1">IF(A485="","",IF($B$10="Sí",interpolar_alamb(L485,OFFSET(Curvas_cupon_cero!$A$1,1,0,COUNT(Curvas_cupon_cero!$A:$A)-2,1),OFFSET(Curvas_cupon_cero!$A$1,1,MATCH($B$6,Curvas_cupon_cero!$1:$1,0)-1,COUNT(Curvas_cupon_cero!$A:$A)-2,1)),[1]!interpolar(L485,OFFSET(Curvas_cupon_cero!$A$1,1,0,COUNT(Curvas_cupon_cero!$A:$A)-2,1),OFFSET(Curvas_cupon_cero!$A$1,1,MATCH($B$6,Curvas_cupon_cero!$1:$1,0)-1,COUNT(Curvas_cupon_cero!$A:$A)-2,1))))</f>
        <v/>
      </c>
      <c r="N485" s="23"/>
      <c r="O485" s="19" t="str">
        <f t="shared" si="78"/>
        <v/>
      </c>
    </row>
    <row r="486" spans="1:15" x14ac:dyDescent="0.2">
      <c r="A486" s="12" t="str">
        <f t="shared" si="72"/>
        <v/>
      </c>
      <c r="B486" t="str">
        <f t="shared" si="70"/>
        <v/>
      </c>
      <c r="C486" s="21" t="str">
        <f ca="1">IF(A486="","",IF($B$10="Sí",interpolar_alamb(B486,OFFSET(Curvas_cupon_cero!$A$1,1,0,COUNT(Curvas_cupon_cero!$A:$A)-2,1),OFFSET(Curvas_cupon_cero!$A$1,1,MATCH($B$8,Curvas_cupon_cero!$1:$1,0)-1,COUNT(Curvas_cupon_cero!$A:$A)-2,1)),[1]!interpolar(B486,OFFSET(Curvas_cupon_cero!$A$1,1,0,COUNT(Curvas_cupon_cero!$A:$A)-2,1),OFFSET(Curvas_cupon_cero!$A$1,1,MATCH($B$8,Curvas_cupon_cero!$1:$1,0)-1,COUNT(Curvas_cupon_cero!$A:$A)-2,1))))</f>
        <v/>
      </c>
      <c r="D486" s="23" t="str">
        <f ca="1">IF(A486="","",IF($B$10="Sí",interpolar_alamb(L486,OFFSET(Curvas_cupon_cero!$A$1,1,0,COUNT(Curvas_cupon_cero!$A:$A)-2,1),OFFSET(Curvas_cupon_cero!$A$1,1,MATCH($B$8,Curvas_cupon_cero!$1:$1,0)-1,COUNT(Curvas_cupon_cero!$A:$A)-2,1)),[1]!interpolar(L486,OFFSET(Curvas_cupon_cero!$A$1,1,0,COUNT(Curvas_cupon_cero!$A:$A)-2,1),OFFSET(Curvas_cupon_cero!$A$1,1,MATCH($B$8,Curvas_cupon_cero!$1:$1,0)-1,COUNT(Curvas_cupon_cero!$A:$A)-2,1))))</f>
        <v/>
      </c>
      <c r="E486" s="23" t="str">
        <f t="shared" si="73"/>
        <v/>
      </c>
      <c r="F486" s="23" t="str">
        <f ca="1">IF(A486="","",IF($B$10="Sí",interpolar_alamb(B486,OFFSET(Curvas_cupon_cero!$A$1,1,0,COUNT(Curvas_cupon_cero!$A:$A)-2,1),OFFSET(Curvas_cupon_cero!$A$1,1,MATCH($B$9,Curvas_cupon_cero!$1:$1,0)-1,COUNT(Curvas_cupon_cero!$A:$A)-2,1)),[1]!interpolar(B486,OFFSET(Curvas_cupon_cero!$A$1,1,0,COUNT(Curvas_cupon_cero!$A:$A)-2,1),OFFSET(Curvas_cupon_cero!$A$1,1,MATCH($B$9,Curvas_cupon_cero!$1:$1,0)-1,COUNT(Curvas_cupon_cero!$A:$A)-2,1))))</f>
        <v/>
      </c>
      <c r="G486" s="23" t="str">
        <f t="shared" si="74"/>
        <v/>
      </c>
      <c r="H486" s="20" t="str">
        <f t="shared" si="79"/>
        <v/>
      </c>
      <c r="I486" t="str">
        <f t="shared" si="75"/>
        <v/>
      </c>
      <c r="J486" s="17" t="str">
        <f t="shared" si="71"/>
        <v/>
      </c>
      <c r="K486" s="18" t="str">
        <f t="shared" si="76"/>
        <v/>
      </c>
      <c r="L486" t="str">
        <f t="shared" si="77"/>
        <v/>
      </c>
      <c r="M486" s="23" t="str">
        <f ca="1">IF(A486="","",IF($B$10="Sí",interpolar_alamb(L486,OFFSET(Curvas_cupon_cero!$A$1,1,0,COUNT(Curvas_cupon_cero!$A:$A)-2,1),OFFSET(Curvas_cupon_cero!$A$1,1,MATCH($B$6,Curvas_cupon_cero!$1:$1,0)-1,COUNT(Curvas_cupon_cero!$A:$A)-2,1)),[1]!interpolar(L486,OFFSET(Curvas_cupon_cero!$A$1,1,0,COUNT(Curvas_cupon_cero!$A:$A)-2,1),OFFSET(Curvas_cupon_cero!$A$1,1,MATCH($B$6,Curvas_cupon_cero!$1:$1,0)-1,COUNT(Curvas_cupon_cero!$A:$A)-2,1))))</f>
        <v/>
      </c>
      <c r="N486" s="23"/>
      <c r="O486" s="19" t="str">
        <f t="shared" si="78"/>
        <v/>
      </c>
    </row>
    <row r="487" spans="1:15" x14ac:dyDescent="0.2">
      <c r="A487" s="12" t="str">
        <f t="shared" si="72"/>
        <v/>
      </c>
      <c r="B487" t="str">
        <f t="shared" si="70"/>
        <v/>
      </c>
      <c r="C487" s="21" t="str">
        <f ca="1">IF(A487="","",IF($B$10="Sí",interpolar_alamb(B487,OFFSET(Curvas_cupon_cero!$A$1,1,0,COUNT(Curvas_cupon_cero!$A:$A)-2,1),OFFSET(Curvas_cupon_cero!$A$1,1,MATCH($B$8,Curvas_cupon_cero!$1:$1,0)-1,COUNT(Curvas_cupon_cero!$A:$A)-2,1)),[1]!interpolar(B487,OFFSET(Curvas_cupon_cero!$A$1,1,0,COUNT(Curvas_cupon_cero!$A:$A)-2,1),OFFSET(Curvas_cupon_cero!$A$1,1,MATCH($B$8,Curvas_cupon_cero!$1:$1,0)-1,COUNT(Curvas_cupon_cero!$A:$A)-2,1))))</f>
        <v/>
      </c>
      <c r="D487" s="23" t="str">
        <f ca="1">IF(A487="","",IF($B$10="Sí",interpolar_alamb(L487,OFFSET(Curvas_cupon_cero!$A$1,1,0,COUNT(Curvas_cupon_cero!$A:$A)-2,1),OFFSET(Curvas_cupon_cero!$A$1,1,MATCH($B$8,Curvas_cupon_cero!$1:$1,0)-1,COUNT(Curvas_cupon_cero!$A:$A)-2,1)),[1]!interpolar(L487,OFFSET(Curvas_cupon_cero!$A$1,1,0,COUNT(Curvas_cupon_cero!$A:$A)-2,1),OFFSET(Curvas_cupon_cero!$A$1,1,MATCH($B$8,Curvas_cupon_cero!$1:$1,0)-1,COUNT(Curvas_cupon_cero!$A:$A)-2,1))))</f>
        <v/>
      </c>
      <c r="E487" s="23" t="str">
        <f t="shared" si="73"/>
        <v/>
      </c>
      <c r="F487" s="23" t="str">
        <f ca="1">IF(A487="","",IF($B$10="Sí",interpolar_alamb(B487,OFFSET(Curvas_cupon_cero!$A$1,1,0,COUNT(Curvas_cupon_cero!$A:$A)-2,1),OFFSET(Curvas_cupon_cero!$A$1,1,MATCH($B$9,Curvas_cupon_cero!$1:$1,0)-1,COUNT(Curvas_cupon_cero!$A:$A)-2,1)),[1]!interpolar(B487,OFFSET(Curvas_cupon_cero!$A$1,1,0,COUNT(Curvas_cupon_cero!$A:$A)-2,1),OFFSET(Curvas_cupon_cero!$A$1,1,MATCH($B$9,Curvas_cupon_cero!$1:$1,0)-1,COUNT(Curvas_cupon_cero!$A:$A)-2,1))))</f>
        <v/>
      </c>
      <c r="G487" s="23" t="str">
        <f t="shared" si="74"/>
        <v/>
      </c>
      <c r="H487" s="20" t="str">
        <f t="shared" si="79"/>
        <v/>
      </c>
      <c r="I487" t="str">
        <f t="shared" si="75"/>
        <v/>
      </c>
      <c r="J487" s="17" t="str">
        <f t="shared" si="71"/>
        <v/>
      </c>
      <c r="K487" s="18" t="str">
        <f t="shared" si="76"/>
        <v/>
      </c>
      <c r="L487" t="str">
        <f t="shared" si="77"/>
        <v/>
      </c>
      <c r="M487" s="23" t="str">
        <f ca="1">IF(A487="","",IF($B$10="Sí",interpolar_alamb(L487,OFFSET(Curvas_cupon_cero!$A$1,1,0,COUNT(Curvas_cupon_cero!$A:$A)-2,1),OFFSET(Curvas_cupon_cero!$A$1,1,MATCH($B$6,Curvas_cupon_cero!$1:$1,0)-1,COUNT(Curvas_cupon_cero!$A:$A)-2,1)),[1]!interpolar(L487,OFFSET(Curvas_cupon_cero!$A$1,1,0,COUNT(Curvas_cupon_cero!$A:$A)-2,1),OFFSET(Curvas_cupon_cero!$A$1,1,MATCH($B$6,Curvas_cupon_cero!$1:$1,0)-1,COUNT(Curvas_cupon_cero!$A:$A)-2,1))))</f>
        <v/>
      </c>
      <c r="N487" s="23"/>
      <c r="O487" s="19" t="str">
        <f t="shared" si="78"/>
        <v/>
      </c>
    </row>
    <row r="488" spans="1:15" x14ac:dyDescent="0.2">
      <c r="A488" s="12" t="str">
        <f t="shared" si="72"/>
        <v/>
      </c>
      <c r="B488" t="str">
        <f t="shared" si="70"/>
        <v/>
      </c>
      <c r="C488" s="21" t="str">
        <f ca="1">IF(A488="","",IF($B$10="Sí",interpolar_alamb(B488,OFFSET(Curvas_cupon_cero!$A$1,1,0,COUNT(Curvas_cupon_cero!$A:$A)-2,1),OFFSET(Curvas_cupon_cero!$A$1,1,MATCH($B$8,Curvas_cupon_cero!$1:$1,0)-1,COUNT(Curvas_cupon_cero!$A:$A)-2,1)),[1]!interpolar(B488,OFFSET(Curvas_cupon_cero!$A$1,1,0,COUNT(Curvas_cupon_cero!$A:$A)-2,1),OFFSET(Curvas_cupon_cero!$A$1,1,MATCH($B$8,Curvas_cupon_cero!$1:$1,0)-1,COUNT(Curvas_cupon_cero!$A:$A)-2,1))))</f>
        <v/>
      </c>
      <c r="D488" s="23" t="str">
        <f ca="1">IF(A488="","",IF($B$10="Sí",interpolar_alamb(L488,OFFSET(Curvas_cupon_cero!$A$1,1,0,COUNT(Curvas_cupon_cero!$A:$A)-2,1),OFFSET(Curvas_cupon_cero!$A$1,1,MATCH($B$8,Curvas_cupon_cero!$1:$1,0)-1,COUNT(Curvas_cupon_cero!$A:$A)-2,1)),[1]!interpolar(L488,OFFSET(Curvas_cupon_cero!$A$1,1,0,COUNT(Curvas_cupon_cero!$A:$A)-2,1),OFFSET(Curvas_cupon_cero!$A$1,1,MATCH($B$8,Curvas_cupon_cero!$1:$1,0)-1,COUNT(Curvas_cupon_cero!$A:$A)-2,1))))</f>
        <v/>
      </c>
      <c r="E488" s="23" t="str">
        <f t="shared" si="73"/>
        <v/>
      </c>
      <c r="F488" s="23" t="str">
        <f ca="1">IF(A488="","",IF($B$10="Sí",interpolar_alamb(B488,OFFSET(Curvas_cupon_cero!$A$1,1,0,COUNT(Curvas_cupon_cero!$A:$A)-2,1),OFFSET(Curvas_cupon_cero!$A$1,1,MATCH($B$9,Curvas_cupon_cero!$1:$1,0)-1,COUNT(Curvas_cupon_cero!$A:$A)-2,1)),[1]!interpolar(B488,OFFSET(Curvas_cupon_cero!$A$1,1,0,COUNT(Curvas_cupon_cero!$A:$A)-2,1),OFFSET(Curvas_cupon_cero!$A$1,1,MATCH($B$9,Curvas_cupon_cero!$1:$1,0)-1,COUNT(Curvas_cupon_cero!$A:$A)-2,1))))</f>
        <v/>
      </c>
      <c r="G488" s="23" t="str">
        <f t="shared" si="74"/>
        <v/>
      </c>
      <c r="H488" s="20" t="str">
        <f t="shared" si="79"/>
        <v/>
      </c>
      <c r="I488" t="str">
        <f t="shared" si="75"/>
        <v/>
      </c>
      <c r="J488" s="17" t="str">
        <f t="shared" si="71"/>
        <v/>
      </c>
      <c r="K488" s="18" t="str">
        <f t="shared" si="76"/>
        <v/>
      </c>
      <c r="L488" t="str">
        <f t="shared" si="77"/>
        <v/>
      </c>
      <c r="M488" s="23" t="str">
        <f ca="1">IF(A488="","",IF($B$10="Sí",interpolar_alamb(L488,OFFSET(Curvas_cupon_cero!$A$1,1,0,COUNT(Curvas_cupon_cero!$A:$A)-2,1),OFFSET(Curvas_cupon_cero!$A$1,1,MATCH($B$6,Curvas_cupon_cero!$1:$1,0)-1,COUNT(Curvas_cupon_cero!$A:$A)-2,1)),[1]!interpolar(L488,OFFSET(Curvas_cupon_cero!$A$1,1,0,COUNT(Curvas_cupon_cero!$A:$A)-2,1),OFFSET(Curvas_cupon_cero!$A$1,1,MATCH($B$6,Curvas_cupon_cero!$1:$1,0)-1,COUNT(Curvas_cupon_cero!$A:$A)-2,1))))</f>
        <v/>
      </c>
      <c r="N488" s="23"/>
      <c r="O488" s="19" t="str">
        <f t="shared" si="78"/>
        <v/>
      </c>
    </row>
    <row r="489" spans="1:15" x14ac:dyDescent="0.2">
      <c r="A489" s="12" t="str">
        <f t="shared" si="72"/>
        <v/>
      </c>
      <c r="B489" t="str">
        <f t="shared" si="70"/>
        <v/>
      </c>
      <c r="C489" s="21" t="str">
        <f ca="1">IF(A489="","",IF($B$10="Sí",interpolar_alamb(B489,OFFSET(Curvas_cupon_cero!$A$1,1,0,COUNT(Curvas_cupon_cero!$A:$A)-2,1),OFFSET(Curvas_cupon_cero!$A$1,1,MATCH($B$8,Curvas_cupon_cero!$1:$1,0)-1,COUNT(Curvas_cupon_cero!$A:$A)-2,1)),[1]!interpolar(B489,OFFSET(Curvas_cupon_cero!$A$1,1,0,COUNT(Curvas_cupon_cero!$A:$A)-2,1),OFFSET(Curvas_cupon_cero!$A$1,1,MATCH($B$8,Curvas_cupon_cero!$1:$1,0)-1,COUNT(Curvas_cupon_cero!$A:$A)-2,1))))</f>
        <v/>
      </c>
      <c r="D489" s="23" t="str">
        <f ca="1">IF(A489="","",IF($B$10="Sí",interpolar_alamb(L489,OFFSET(Curvas_cupon_cero!$A$1,1,0,COUNT(Curvas_cupon_cero!$A:$A)-2,1),OFFSET(Curvas_cupon_cero!$A$1,1,MATCH($B$8,Curvas_cupon_cero!$1:$1,0)-1,COUNT(Curvas_cupon_cero!$A:$A)-2,1)),[1]!interpolar(L489,OFFSET(Curvas_cupon_cero!$A$1,1,0,COUNT(Curvas_cupon_cero!$A:$A)-2,1),OFFSET(Curvas_cupon_cero!$A$1,1,MATCH($B$8,Curvas_cupon_cero!$1:$1,0)-1,COUNT(Curvas_cupon_cero!$A:$A)-2,1))))</f>
        <v/>
      </c>
      <c r="E489" s="23" t="str">
        <f t="shared" si="73"/>
        <v/>
      </c>
      <c r="F489" s="23" t="str">
        <f ca="1">IF(A489="","",IF($B$10="Sí",interpolar_alamb(B489,OFFSET(Curvas_cupon_cero!$A$1,1,0,COUNT(Curvas_cupon_cero!$A:$A)-2,1),OFFSET(Curvas_cupon_cero!$A$1,1,MATCH($B$9,Curvas_cupon_cero!$1:$1,0)-1,COUNT(Curvas_cupon_cero!$A:$A)-2,1)),[1]!interpolar(B489,OFFSET(Curvas_cupon_cero!$A$1,1,0,COUNT(Curvas_cupon_cero!$A:$A)-2,1),OFFSET(Curvas_cupon_cero!$A$1,1,MATCH($B$9,Curvas_cupon_cero!$1:$1,0)-1,COUNT(Curvas_cupon_cero!$A:$A)-2,1))))</f>
        <v/>
      </c>
      <c r="G489" s="23" t="str">
        <f t="shared" si="74"/>
        <v/>
      </c>
      <c r="H489" s="20" t="str">
        <f t="shared" si="79"/>
        <v/>
      </c>
      <c r="I489" t="str">
        <f t="shared" si="75"/>
        <v/>
      </c>
      <c r="J489" s="17" t="str">
        <f t="shared" si="71"/>
        <v/>
      </c>
      <c r="K489" s="18" t="str">
        <f t="shared" si="76"/>
        <v/>
      </c>
      <c r="L489" t="str">
        <f t="shared" si="77"/>
        <v/>
      </c>
      <c r="M489" s="23" t="str">
        <f ca="1">IF(A489="","",IF($B$10="Sí",interpolar_alamb(L489,OFFSET(Curvas_cupon_cero!$A$1,1,0,COUNT(Curvas_cupon_cero!$A:$A)-2,1),OFFSET(Curvas_cupon_cero!$A$1,1,MATCH($B$6,Curvas_cupon_cero!$1:$1,0)-1,COUNT(Curvas_cupon_cero!$A:$A)-2,1)),[1]!interpolar(L489,OFFSET(Curvas_cupon_cero!$A$1,1,0,COUNT(Curvas_cupon_cero!$A:$A)-2,1),OFFSET(Curvas_cupon_cero!$A$1,1,MATCH($B$6,Curvas_cupon_cero!$1:$1,0)-1,COUNT(Curvas_cupon_cero!$A:$A)-2,1))))</f>
        <v/>
      </c>
      <c r="N489" s="23"/>
      <c r="O489" s="19" t="str">
        <f t="shared" si="78"/>
        <v/>
      </c>
    </row>
    <row r="490" spans="1:15" x14ac:dyDescent="0.2">
      <c r="A490" s="12" t="str">
        <f t="shared" si="72"/>
        <v/>
      </c>
      <c r="B490" t="str">
        <f t="shared" si="70"/>
        <v/>
      </c>
      <c r="C490" s="21" t="str">
        <f ca="1">IF(A490="","",IF($B$10="Sí",interpolar_alamb(B490,OFFSET(Curvas_cupon_cero!$A$1,1,0,COUNT(Curvas_cupon_cero!$A:$A)-2,1),OFFSET(Curvas_cupon_cero!$A$1,1,MATCH($B$8,Curvas_cupon_cero!$1:$1,0)-1,COUNT(Curvas_cupon_cero!$A:$A)-2,1)),[1]!interpolar(B490,OFFSET(Curvas_cupon_cero!$A$1,1,0,COUNT(Curvas_cupon_cero!$A:$A)-2,1),OFFSET(Curvas_cupon_cero!$A$1,1,MATCH($B$8,Curvas_cupon_cero!$1:$1,0)-1,COUNT(Curvas_cupon_cero!$A:$A)-2,1))))</f>
        <v/>
      </c>
      <c r="D490" s="23" t="str">
        <f ca="1">IF(A490="","",IF($B$10="Sí",interpolar_alamb(L490,OFFSET(Curvas_cupon_cero!$A$1,1,0,COUNT(Curvas_cupon_cero!$A:$A)-2,1),OFFSET(Curvas_cupon_cero!$A$1,1,MATCH($B$8,Curvas_cupon_cero!$1:$1,0)-1,COUNT(Curvas_cupon_cero!$A:$A)-2,1)),[1]!interpolar(L490,OFFSET(Curvas_cupon_cero!$A$1,1,0,COUNT(Curvas_cupon_cero!$A:$A)-2,1),OFFSET(Curvas_cupon_cero!$A$1,1,MATCH($B$8,Curvas_cupon_cero!$1:$1,0)-1,COUNT(Curvas_cupon_cero!$A:$A)-2,1))))</f>
        <v/>
      </c>
      <c r="E490" s="23" t="str">
        <f t="shared" si="73"/>
        <v/>
      </c>
      <c r="F490" s="23" t="str">
        <f ca="1">IF(A490="","",IF($B$10="Sí",interpolar_alamb(B490,OFFSET(Curvas_cupon_cero!$A$1,1,0,COUNT(Curvas_cupon_cero!$A:$A)-2,1),OFFSET(Curvas_cupon_cero!$A$1,1,MATCH($B$9,Curvas_cupon_cero!$1:$1,0)-1,COUNT(Curvas_cupon_cero!$A:$A)-2,1)),[1]!interpolar(B490,OFFSET(Curvas_cupon_cero!$A$1,1,0,COUNT(Curvas_cupon_cero!$A:$A)-2,1),OFFSET(Curvas_cupon_cero!$A$1,1,MATCH($B$9,Curvas_cupon_cero!$1:$1,0)-1,COUNT(Curvas_cupon_cero!$A:$A)-2,1))))</f>
        <v/>
      </c>
      <c r="G490" s="23" t="str">
        <f t="shared" si="74"/>
        <v/>
      </c>
      <c r="H490" s="20" t="str">
        <f t="shared" si="79"/>
        <v/>
      </c>
      <c r="I490" t="str">
        <f t="shared" si="75"/>
        <v/>
      </c>
      <c r="J490" s="17" t="str">
        <f t="shared" si="71"/>
        <v/>
      </c>
      <c r="K490" s="18" t="str">
        <f t="shared" si="76"/>
        <v/>
      </c>
      <c r="L490" t="str">
        <f t="shared" si="77"/>
        <v/>
      </c>
      <c r="M490" s="23" t="str">
        <f ca="1">IF(A490="","",IF($B$10="Sí",interpolar_alamb(L490,OFFSET(Curvas_cupon_cero!$A$1,1,0,COUNT(Curvas_cupon_cero!$A:$A)-2,1),OFFSET(Curvas_cupon_cero!$A$1,1,MATCH($B$6,Curvas_cupon_cero!$1:$1,0)-1,COUNT(Curvas_cupon_cero!$A:$A)-2,1)),[1]!interpolar(L490,OFFSET(Curvas_cupon_cero!$A$1,1,0,COUNT(Curvas_cupon_cero!$A:$A)-2,1),OFFSET(Curvas_cupon_cero!$A$1,1,MATCH($B$6,Curvas_cupon_cero!$1:$1,0)-1,COUNT(Curvas_cupon_cero!$A:$A)-2,1))))</f>
        <v/>
      </c>
      <c r="N490" s="23"/>
      <c r="O490" s="19" t="str">
        <f t="shared" si="78"/>
        <v/>
      </c>
    </row>
    <row r="491" spans="1:15" x14ac:dyDescent="0.2">
      <c r="A491" s="12" t="str">
        <f t="shared" si="72"/>
        <v/>
      </c>
      <c r="B491" t="str">
        <f t="shared" si="70"/>
        <v/>
      </c>
      <c r="C491" s="21" t="str">
        <f ca="1">IF(A491="","",IF($B$10="Sí",interpolar_alamb(B491,OFFSET(Curvas_cupon_cero!$A$1,1,0,COUNT(Curvas_cupon_cero!$A:$A)-2,1),OFFSET(Curvas_cupon_cero!$A$1,1,MATCH($B$8,Curvas_cupon_cero!$1:$1,0)-1,COUNT(Curvas_cupon_cero!$A:$A)-2,1)),[1]!interpolar(B491,OFFSET(Curvas_cupon_cero!$A$1,1,0,COUNT(Curvas_cupon_cero!$A:$A)-2,1),OFFSET(Curvas_cupon_cero!$A$1,1,MATCH($B$8,Curvas_cupon_cero!$1:$1,0)-1,COUNT(Curvas_cupon_cero!$A:$A)-2,1))))</f>
        <v/>
      </c>
      <c r="D491" s="23" t="str">
        <f ca="1">IF(A491="","",IF($B$10="Sí",interpolar_alamb(L491,OFFSET(Curvas_cupon_cero!$A$1,1,0,COUNT(Curvas_cupon_cero!$A:$A)-2,1),OFFSET(Curvas_cupon_cero!$A$1,1,MATCH($B$8,Curvas_cupon_cero!$1:$1,0)-1,COUNT(Curvas_cupon_cero!$A:$A)-2,1)),[1]!interpolar(L491,OFFSET(Curvas_cupon_cero!$A$1,1,0,COUNT(Curvas_cupon_cero!$A:$A)-2,1),OFFSET(Curvas_cupon_cero!$A$1,1,MATCH($B$8,Curvas_cupon_cero!$1:$1,0)-1,COUNT(Curvas_cupon_cero!$A:$A)-2,1))))</f>
        <v/>
      </c>
      <c r="E491" s="23" t="str">
        <f t="shared" si="73"/>
        <v/>
      </c>
      <c r="F491" s="23" t="str">
        <f ca="1">IF(A491="","",IF($B$10="Sí",interpolar_alamb(B491,OFFSET(Curvas_cupon_cero!$A$1,1,0,COUNT(Curvas_cupon_cero!$A:$A)-2,1),OFFSET(Curvas_cupon_cero!$A$1,1,MATCH($B$9,Curvas_cupon_cero!$1:$1,0)-1,COUNT(Curvas_cupon_cero!$A:$A)-2,1)),[1]!interpolar(B491,OFFSET(Curvas_cupon_cero!$A$1,1,0,COUNT(Curvas_cupon_cero!$A:$A)-2,1),OFFSET(Curvas_cupon_cero!$A$1,1,MATCH($B$9,Curvas_cupon_cero!$1:$1,0)-1,COUNT(Curvas_cupon_cero!$A:$A)-2,1))))</f>
        <v/>
      </c>
      <c r="G491" s="23" t="str">
        <f t="shared" si="74"/>
        <v/>
      </c>
      <c r="H491" s="20" t="str">
        <f t="shared" si="79"/>
        <v/>
      </c>
      <c r="I491" t="str">
        <f t="shared" si="75"/>
        <v/>
      </c>
      <c r="J491" s="17" t="str">
        <f t="shared" si="71"/>
        <v/>
      </c>
      <c r="K491" s="18" t="str">
        <f t="shared" si="76"/>
        <v/>
      </c>
      <c r="L491" t="str">
        <f t="shared" si="77"/>
        <v/>
      </c>
      <c r="M491" s="23" t="str">
        <f ca="1">IF(A491="","",IF($B$10="Sí",interpolar_alamb(L491,OFFSET(Curvas_cupon_cero!$A$1,1,0,COUNT(Curvas_cupon_cero!$A:$A)-2,1),OFFSET(Curvas_cupon_cero!$A$1,1,MATCH($B$6,Curvas_cupon_cero!$1:$1,0)-1,COUNT(Curvas_cupon_cero!$A:$A)-2,1)),[1]!interpolar(L491,OFFSET(Curvas_cupon_cero!$A$1,1,0,COUNT(Curvas_cupon_cero!$A:$A)-2,1),OFFSET(Curvas_cupon_cero!$A$1,1,MATCH($B$6,Curvas_cupon_cero!$1:$1,0)-1,COUNT(Curvas_cupon_cero!$A:$A)-2,1))))</f>
        <v/>
      </c>
      <c r="N491" s="23"/>
      <c r="O491" s="19" t="str">
        <f t="shared" si="78"/>
        <v/>
      </c>
    </row>
    <row r="492" spans="1:15" x14ac:dyDescent="0.2">
      <c r="A492" s="12" t="str">
        <f t="shared" si="72"/>
        <v/>
      </c>
      <c r="B492" t="str">
        <f t="shared" si="70"/>
        <v/>
      </c>
      <c r="C492" s="21" t="str">
        <f ca="1">IF(A492="","",IF($B$10="Sí",interpolar_alamb(B492,OFFSET(Curvas_cupon_cero!$A$1,1,0,COUNT(Curvas_cupon_cero!$A:$A)-2,1),OFFSET(Curvas_cupon_cero!$A$1,1,MATCH($B$8,Curvas_cupon_cero!$1:$1,0)-1,COUNT(Curvas_cupon_cero!$A:$A)-2,1)),[1]!interpolar(B492,OFFSET(Curvas_cupon_cero!$A$1,1,0,COUNT(Curvas_cupon_cero!$A:$A)-2,1),OFFSET(Curvas_cupon_cero!$A$1,1,MATCH($B$8,Curvas_cupon_cero!$1:$1,0)-1,COUNT(Curvas_cupon_cero!$A:$A)-2,1))))</f>
        <v/>
      </c>
      <c r="D492" s="23" t="str">
        <f ca="1">IF(A492="","",IF($B$10="Sí",interpolar_alamb(L492,OFFSET(Curvas_cupon_cero!$A$1,1,0,COUNT(Curvas_cupon_cero!$A:$A)-2,1),OFFSET(Curvas_cupon_cero!$A$1,1,MATCH($B$8,Curvas_cupon_cero!$1:$1,0)-1,COUNT(Curvas_cupon_cero!$A:$A)-2,1)),[1]!interpolar(L492,OFFSET(Curvas_cupon_cero!$A$1,1,0,COUNT(Curvas_cupon_cero!$A:$A)-2,1),OFFSET(Curvas_cupon_cero!$A$1,1,MATCH($B$8,Curvas_cupon_cero!$1:$1,0)-1,COUNT(Curvas_cupon_cero!$A:$A)-2,1))))</f>
        <v/>
      </c>
      <c r="E492" s="23" t="str">
        <f t="shared" si="73"/>
        <v/>
      </c>
      <c r="F492" s="23" t="str">
        <f ca="1">IF(A492="","",IF($B$10="Sí",interpolar_alamb(B492,OFFSET(Curvas_cupon_cero!$A$1,1,0,COUNT(Curvas_cupon_cero!$A:$A)-2,1),OFFSET(Curvas_cupon_cero!$A$1,1,MATCH($B$9,Curvas_cupon_cero!$1:$1,0)-1,COUNT(Curvas_cupon_cero!$A:$A)-2,1)),[1]!interpolar(B492,OFFSET(Curvas_cupon_cero!$A$1,1,0,COUNT(Curvas_cupon_cero!$A:$A)-2,1),OFFSET(Curvas_cupon_cero!$A$1,1,MATCH($B$9,Curvas_cupon_cero!$1:$1,0)-1,COUNT(Curvas_cupon_cero!$A:$A)-2,1))))</f>
        <v/>
      </c>
      <c r="G492" s="23" t="str">
        <f t="shared" si="74"/>
        <v/>
      </c>
      <c r="H492" s="20" t="str">
        <f t="shared" si="79"/>
        <v/>
      </c>
      <c r="I492" t="str">
        <f t="shared" si="75"/>
        <v/>
      </c>
      <c r="J492" s="17" t="str">
        <f t="shared" si="71"/>
        <v/>
      </c>
      <c r="K492" s="18" t="str">
        <f t="shared" si="76"/>
        <v/>
      </c>
      <c r="L492" t="str">
        <f t="shared" si="77"/>
        <v/>
      </c>
      <c r="M492" s="23" t="str">
        <f ca="1">IF(A492="","",IF($B$10="Sí",interpolar_alamb(L492,OFFSET(Curvas_cupon_cero!$A$1,1,0,COUNT(Curvas_cupon_cero!$A:$A)-2,1),OFFSET(Curvas_cupon_cero!$A$1,1,MATCH($B$6,Curvas_cupon_cero!$1:$1,0)-1,COUNT(Curvas_cupon_cero!$A:$A)-2,1)),[1]!interpolar(L492,OFFSET(Curvas_cupon_cero!$A$1,1,0,COUNT(Curvas_cupon_cero!$A:$A)-2,1),OFFSET(Curvas_cupon_cero!$A$1,1,MATCH($B$6,Curvas_cupon_cero!$1:$1,0)-1,COUNT(Curvas_cupon_cero!$A:$A)-2,1))))</f>
        <v/>
      </c>
      <c r="N492" s="23"/>
      <c r="O492" s="19" t="str">
        <f t="shared" si="78"/>
        <v/>
      </c>
    </row>
    <row r="493" spans="1:15" x14ac:dyDescent="0.2">
      <c r="A493" s="12" t="str">
        <f t="shared" si="72"/>
        <v/>
      </c>
      <c r="B493" t="str">
        <f t="shared" si="70"/>
        <v/>
      </c>
      <c r="C493" s="21" t="str">
        <f ca="1">IF(A493="","",IF($B$10="Sí",interpolar_alamb(B493,OFFSET(Curvas_cupon_cero!$A$1,1,0,COUNT(Curvas_cupon_cero!$A:$A)-2,1),OFFSET(Curvas_cupon_cero!$A$1,1,MATCH($B$8,Curvas_cupon_cero!$1:$1,0)-1,COUNT(Curvas_cupon_cero!$A:$A)-2,1)),[1]!interpolar(B493,OFFSET(Curvas_cupon_cero!$A$1,1,0,COUNT(Curvas_cupon_cero!$A:$A)-2,1),OFFSET(Curvas_cupon_cero!$A$1,1,MATCH($B$8,Curvas_cupon_cero!$1:$1,0)-1,COUNT(Curvas_cupon_cero!$A:$A)-2,1))))</f>
        <v/>
      </c>
      <c r="D493" s="23" t="str">
        <f ca="1">IF(A493="","",IF($B$10="Sí",interpolar_alamb(L493,OFFSET(Curvas_cupon_cero!$A$1,1,0,COUNT(Curvas_cupon_cero!$A:$A)-2,1),OFFSET(Curvas_cupon_cero!$A$1,1,MATCH($B$8,Curvas_cupon_cero!$1:$1,0)-1,COUNT(Curvas_cupon_cero!$A:$A)-2,1)),[1]!interpolar(L493,OFFSET(Curvas_cupon_cero!$A$1,1,0,COUNT(Curvas_cupon_cero!$A:$A)-2,1),OFFSET(Curvas_cupon_cero!$A$1,1,MATCH($B$8,Curvas_cupon_cero!$1:$1,0)-1,COUNT(Curvas_cupon_cero!$A:$A)-2,1))))</f>
        <v/>
      </c>
      <c r="E493" s="23" t="str">
        <f t="shared" si="73"/>
        <v/>
      </c>
      <c r="F493" s="23" t="str">
        <f ca="1">IF(A493="","",IF($B$10="Sí",interpolar_alamb(B493,OFFSET(Curvas_cupon_cero!$A$1,1,0,COUNT(Curvas_cupon_cero!$A:$A)-2,1),OFFSET(Curvas_cupon_cero!$A$1,1,MATCH($B$9,Curvas_cupon_cero!$1:$1,0)-1,COUNT(Curvas_cupon_cero!$A:$A)-2,1)),[1]!interpolar(B493,OFFSET(Curvas_cupon_cero!$A$1,1,0,COUNT(Curvas_cupon_cero!$A:$A)-2,1),OFFSET(Curvas_cupon_cero!$A$1,1,MATCH($B$9,Curvas_cupon_cero!$1:$1,0)-1,COUNT(Curvas_cupon_cero!$A:$A)-2,1))))</f>
        <v/>
      </c>
      <c r="G493" s="23" t="str">
        <f t="shared" si="74"/>
        <v/>
      </c>
      <c r="H493" s="20" t="str">
        <f t="shared" si="79"/>
        <v/>
      </c>
      <c r="I493" t="str">
        <f t="shared" si="75"/>
        <v/>
      </c>
      <c r="J493" s="17" t="str">
        <f t="shared" si="71"/>
        <v/>
      </c>
      <c r="K493" s="18" t="str">
        <f t="shared" si="76"/>
        <v/>
      </c>
      <c r="L493" t="str">
        <f t="shared" si="77"/>
        <v/>
      </c>
      <c r="M493" s="23" t="str">
        <f ca="1">IF(A493="","",IF($B$10="Sí",interpolar_alamb(L493,OFFSET(Curvas_cupon_cero!$A$1,1,0,COUNT(Curvas_cupon_cero!$A:$A)-2,1),OFFSET(Curvas_cupon_cero!$A$1,1,MATCH($B$6,Curvas_cupon_cero!$1:$1,0)-1,COUNT(Curvas_cupon_cero!$A:$A)-2,1)),[1]!interpolar(L493,OFFSET(Curvas_cupon_cero!$A$1,1,0,COUNT(Curvas_cupon_cero!$A:$A)-2,1),OFFSET(Curvas_cupon_cero!$A$1,1,MATCH($B$6,Curvas_cupon_cero!$1:$1,0)-1,COUNT(Curvas_cupon_cero!$A:$A)-2,1))))</f>
        <v/>
      </c>
      <c r="N493" s="23"/>
      <c r="O493" s="19" t="str">
        <f t="shared" si="78"/>
        <v/>
      </c>
    </row>
    <row r="494" spans="1:15" x14ac:dyDescent="0.2">
      <c r="A494" s="12" t="str">
        <f t="shared" si="72"/>
        <v/>
      </c>
      <c r="B494" t="str">
        <f t="shared" si="70"/>
        <v/>
      </c>
      <c r="C494" s="21" t="str">
        <f ca="1">IF(A494="","",IF($B$10="Sí",interpolar_alamb(B494,OFFSET(Curvas_cupon_cero!$A$1,1,0,COUNT(Curvas_cupon_cero!$A:$A)-2,1),OFFSET(Curvas_cupon_cero!$A$1,1,MATCH($B$8,Curvas_cupon_cero!$1:$1,0)-1,COUNT(Curvas_cupon_cero!$A:$A)-2,1)),[1]!interpolar(B494,OFFSET(Curvas_cupon_cero!$A$1,1,0,COUNT(Curvas_cupon_cero!$A:$A)-2,1),OFFSET(Curvas_cupon_cero!$A$1,1,MATCH($B$8,Curvas_cupon_cero!$1:$1,0)-1,COUNT(Curvas_cupon_cero!$A:$A)-2,1))))</f>
        <v/>
      </c>
      <c r="D494" s="23" t="str">
        <f ca="1">IF(A494="","",IF($B$10="Sí",interpolar_alamb(L494,OFFSET(Curvas_cupon_cero!$A$1,1,0,COUNT(Curvas_cupon_cero!$A:$A)-2,1),OFFSET(Curvas_cupon_cero!$A$1,1,MATCH($B$8,Curvas_cupon_cero!$1:$1,0)-1,COUNT(Curvas_cupon_cero!$A:$A)-2,1)),[1]!interpolar(L494,OFFSET(Curvas_cupon_cero!$A$1,1,0,COUNT(Curvas_cupon_cero!$A:$A)-2,1),OFFSET(Curvas_cupon_cero!$A$1,1,MATCH($B$8,Curvas_cupon_cero!$1:$1,0)-1,COUNT(Curvas_cupon_cero!$A:$A)-2,1))))</f>
        <v/>
      </c>
      <c r="E494" s="23" t="str">
        <f t="shared" si="73"/>
        <v/>
      </c>
      <c r="F494" s="23" t="str">
        <f ca="1">IF(A494="","",IF($B$10="Sí",interpolar_alamb(B494,OFFSET(Curvas_cupon_cero!$A$1,1,0,COUNT(Curvas_cupon_cero!$A:$A)-2,1),OFFSET(Curvas_cupon_cero!$A$1,1,MATCH($B$9,Curvas_cupon_cero!$1:$1,0)-1,COUNT(Curvas_cupon_cero!$A:$A)-2,1)),[1]!interpolar(B494,OFFSET(Curvas_cupon_cero!$A$1,1,0,COUNT(Curvas_cupon_cero!$A:$A)-2,1),OFFSET(Curvas_cupon_cero!$A$1,1,MATCH($B$9,Curvas_cupon_cero!$1:$1,0)-1,COUNT(Curvas_cupon_cero!$A:$A)-2,1))))</f>
        <v/>
      </c>
      <c r="G494" s="23" t="str">
        <f t="shared" si="74"/>
        <v/>
      </c>
      <c r="H494" s="20" t="str">
        <f t="shared" si="79"/>
        <v/>
      </c>
      <c r="I494" t="str">
        <f t="shared" si="75"/>
        <v/>
      </c>
      <c r="J494" s="17" t="str">
        <f t="shared" si="71"/>
        <v/>
      </c>
      <c r="K494" s="18" t="str">
        <f t="shared" si="76"/>
        <v/>
      </c>
      <c r="L494" t="str">
        <f t="shared" si="77"/>
        <v/>
      </c>
      <c r="M494" s="23" t="str">
        <f ca="1">IF(A494="","",IF($B$10="Sí",interpolar_alamb(L494,OFFSET(Curvas_cupon_cero!$A$1,1,0,COUNT(Curvas_cupon_cero!$A:$A)-2,1),OFFSET(Curvas_cupon_cero!$A$1,1,MATCH($B$6,Curvas_cupon_cero!$1:$1,0)-1,COUNT(Curvas_cupon_cero!$A:$A)-2,1)),[1]!interpolar(L494,OFFSET(Curvas_cupon_cero!$A$1,1,0,COUNT(Curvas_cupon_cero!$A:$A)-2,1),OFFSET(Curvas_cupon_cero!$A$1,1,MATCH($B$6,Curvas_cupon_cero!$1:$1,0)-1,COUNT(Curvas_cupon_cero!$A:$A)-2,1))))</f>
        <v/>
      </c>
      <c r="N494" s="23"/>
      <c r="O494" s="19" t="str">
        <f t="shared" si="78"/>
        <v/>
      </c>
    </row>
    <row r="495" spans="1:15" x14ac:dyDescent="0.2">
      <c r="A495" s="12" t="str">
        <f t="shared" si="72"/>
        <v/>
      </c>
      <c r="B495" t="str">
        <f t="shared" si="70"/>
        <v/>
      </c>
      <c r="C495" s="21" t="str">
        <f ca="1">IF(A495="","",IF($B$10="Sí",interpolar_alamb(B495,OFFSET(Curvas_cupon_cero!$A$1,1,0,COUNT(Curvas_cupon_cero!$A:$A)-2,1),OFFSET(Curvas_cupon_cero!$A$1,1,MATCH($B$8,Curvas_cupon_cero!$1:$1,0)-1,COUNT(Curvas_cupon_cero!$A:$A)-2,1)),[1]!interpolar(B495,OFFSET(Curvas_cupon_cero!$A$1,1,0,COUNT(Curvas_cupon_cero!$A:$A)-2,1),OFFSET(Curvas_cupon_cero!$A$1,1,MATCH($B$8,Curvas_cupon_cero!$1:$1,0)-1,COUNT(Curvas_cupon_cero!$A:$A)-2,1))))</f>
        <v/>
      </c>
      <c r="D495" s="23" t="str">
        <f ca="1">IF(A495="","",IF($B$10="Sí",interpolar_alamb(L495,OFFSET(Curvas_cupon_cero!$A$1,1,0,COUNT(Curvas_cupon_cero!$A:$A)-2,1),OFFSET(Curvas_cupon_cero!$A$1,1,MATCH($B$8,Curvas_cupon_cero!$1:$1,0)-1,COUNT(Curvas_cupon_cero!$A:$A)-2,1)),[1]!interpolar(L495,OFFSET(Curvas_cupon_cero!$A$1,1,0,COUNT(Curvas_cupon_cero!$A:$A)-2,1),OFFSET(Curvas_cupon_cero!$A$1,1,MATCH($B$8,Curvas_cupon_cero!$1:$1,0)-1,COUNT(Curvas_cupon_cero!$A:$A)-2,1))))</f>
        <v/>
      </c>
      <c r="E495" s="23" t="str">
        <f t="shared" si="73"/>
        <v/>
      </c>
      <c r="F495" s="23" t="str">
        <f ca="1">IF(A495="","",IF($B$10="Sí",interpolar_alamb(B495,OFFSET(Curvas_cupon_cero!$A$1,1,0,COUNT(Curvas_cupon_cero!$A:$A)-2,1),OFFSET(Curvas_cupon_cero!$A$1,1,MATCH($B$9,Curvas_cupon_cero!$1:$1,0)-1,COUNT(Curvas_cupon_cero!$A:$A)-2,1)),[1]!interpolar(B495,OFFSET(Curvas_cupon_cero!$A$1,1,0,COUNT(Curvas_cupon_cero!$A:$A)-2,1),OFFSET(Curvas_cupon_cero!$A$1,1,MATCH($B$9,Curvas_cupon_cero!$1:$1,0)-1,COUNT(Curvas_cupon_cero!$A:$A)-2,1))))</f>
        <v/>
      </c>
      <c r="G495" s="23" t="str">
        <f t="shared" si="74"/>
        <v/>
      </c>
      <c r="H495" s="20" t="str">
        <f t="shared" si="79"/>
        <v/>
      </c>
      <c r="I495" t="str">
        <f t="shared" si="75"/>
        <v/>
      </c>
      <c r="J495" s="17" t="str">
        <f t="shared" si="71"/>
        <v/>
      </c>
      <c r="K495" s="18" t="str">
        <f t="shared" si="76"/>
        <v/>
      </c>
      <c r="L495" t="str">
        <f t="shared" si="77"/>
        <v/>
      </c>
      <c r="M495" s="23" t="str">
        <f ca="1">IF(A495="","",IF($B$10="Sí",interpolar_alamb(L495,OFFSET(Curvas_cupon_cero!$A$1,1,0,COUNT(Curvas_cupon_cero!$A:$A)-2,1),OFFSET(Curvas_cupon_cero!$A$1,1,MATCH($B$6,Curvas_cupon_cero!$1:$1,0)-1,COUNT(Curvas_cupon_cero!$A:$A)-2,1)),[1]!interpolar(L495,OFFSET(Curvas_cupon_cero!$A$1,1,0,COUNT(Curvas_cupon_cero!$A:$A)-2,1),OFFSET(Curvas_cupon_cero!$A$1,1,MATCH($B$6,Curvas_cupon_cero!$1:$1,0)-1,COUNT(Curvas_cupon_cero!$A:$A)-2,1))))</f>
        <v/>
      </c>
      <c r="N495" s="23"/>
      <c r="O495" s="19" t="str">
        <f t="shared" si="78"/>
        <v/>
      </c>
    </row>
    <row r="496" spans="1:15" x14ac:dyDescent="0.2">
      <c r="A496" s="12" t="str">
        <f t="shared" si="72"/>
        <v/>
      </c>
      <c r="B496" t="str">
        <f t="shared" si="70"/>
        <v/>
      </c>
      <c r="C496" s="21" t="str">
        <f ca="1">IF(A496="","",IF($B$10="Sí",interpolar_alamb(B496,OFFSET(Curvas_cupon_cero!$A$1,1,0,COUNT(Curvas_cupon_cero!$A:$A)-2,1),OFFSET(Curvas_cupon_cero!$A$1,1,MATCH($B$8,Curvas_cupon_cero!$1:$1,0)-1,COUNT(Curvas_cupon_cero!$A:$A)-2,1)),[1]!interpolar(B496,OFFSET(Curvas_cupon_cero!$A$1,1,0,COUNT(Curvas_cupon_cero!$A:$A)-2,1),OFFSET(Curvas_cupon_cero!$A$1,1,MATCH($B$8,Curvas_cupon_cero!$1:$1,0)-1,COUNT(Curvas_cupon_cero!$A:$A)-2,1))))</f>
        <v/>
      </c>
      <c r="D496" s="23" t="str">
        <f ca="1">IF(A496="","",IF($B$10="Sí",interpolar_alamb(L496,OFFSET(Curvas_cupon_cero!$A$1,1,0,COUNT(Curvas_cupon_cero!$A:$A)-2,1),OFFSET(Curvas_cupon_cero!$A$1,1,MATCH($B$8,Curvas_cupon_cero!$1:$1,0)-1,COUNT(Curvas_cupon_cero!$A:$A)-2,1)),[1]!interpolar(L496,OFFSET(Curvas_cupon_cero!$A$1,1,0,COUNT(Curvas_cupon_cero!$A:$A)-2,1),OFFSET(Curvas_cupon_cero!$A$1,1,MATCH($B$8,Curvas_cupon_cero!$1:$1,0)-1,COUNT(Curvas_cupon_cero!$A:$A)-2,1))))</f>
        <v/>
      </c>
      <c r="E496" s="23" t="str">
        <f t="shared" si="73"/>
        <v/>
      </c>
      <c r="F496" s="23" t="str">
        <f ca="1">IF(A496="","",IF($B$10="Sí",interpolar_alamb(B496,OFFSET(Curvas_cupon_cero!$A$1,1,0,COUNT(Curvas_cupon_cero!$A:$A)-2,1),OFFSET(Curvas_cupon_cero!$A$1,1,MATCH($B$9,Curvas_cupon_cero!$1:$1,0)-1,COUNT(Curvas_cupon_cero!$A:$A)-2,1)),[1]!interpolar(B496,OFFSET(Curvas_cupon_cero!$A$1,1,0,COUNT(Curvas_cupon_cero!$A:$A)-2,1),OFFSET(Curvas_cupon_cero!$A$1,1,MATCH($B$9,Curvas_cupon_cero!$1:$1,0)-1,COUNT(Curvas_cupon_cero!$A:$A)-2,1))))</f>
        <v/>
      </c>
      <c r="G496" s="23" t="str">
        <f t="shared" si="74"/>
        <v/>
      </c>
      <c r="H496" s="20" t="str">
        <f t="shared" si="79"/>
        <v/>
      </c>
      <c r="I496" t="str">
        <f t="shared" si="75"/>
        <v/>
      </c>
      <c r="J496" s="17" t="str">
        <f t="shared" si="71"/>
        <v/>
      </c>
      <c r="K496" s="18" t="str">
        <f t="shared" si="76"/>
        <v/>
      </c>
      <c r="L496" t="str">
        <f t="shared" si="77"/>
        <v/>
      </c>
      <c r="M496" s="23" t="str">
        <f ca="1">IF(A496="","",IF($B$10="Sí",interpolar_alamb(L496,OFFSET(Curvas_cupon_cero!$A$1,1,0,COUNT(Curvas_cupon_cero!$A:$A)-2,1),OFFSET(Curvas_cupon_cero!$A$1,1,MATCH($B$6,Curvas_cupon_cero!$1:$1,0)-1,COUNT(Curvas_cupon_cero!$A:$A)-2,1)),[1]!interpolar(L496,OFFSET(Curvas_cupon_cero!$A$1,1,0,COUNT(Curvas_cupon_cero!$A:$A)-2,1),OFFSET(Curvas_cupon_cero!$A$1,1,MATCH($B$6,Curvas_cupon_cero!$1:$1,0)-1,COUNT(Curvas_cupon_cero!$A:$A)-2,1))))</f>
        <v/>
      </c>
      <c r="N496" s="23"/>
      <c r="O496" s="19" t="str">
        <f t="shared" si="78"/>
        <v/>
      </c>
    </row>
    <row r="497" spans="1:15" x14ac:dyDescent="0.2">
      <c r="A497" s="12" t="str">
        <f t="shared" si="72"/>
        <v/>
      </c>
      <c r="B497" t="str">
        <f t="shared" si="70"/>
        <v/>
      </c>
      <c r="C497" s="21" t="str">
        <f ca="1">IF(A497="","",IF($B$10="Sí",interpolar_alamb(B497,OFFSET(Curvas_cupon_cero!$A$1,1,0,COUNT(Curvas_cupon_cero!$A:$A)-2,1),OFFSET(Curvas_cupon_cero!$A$1,1,MATCH($B$8,Curvas_cupon_cero!$1:$1,0)-1,COUNT(Curvas_cupon_cero!$A:$A)-2,1)),[1]!interpolar(B497,OFFSET(Curvas_cupon_cero!$A$1,1,0,COUNT(Curvas_cupon_cero!$A:$A)-2,1),OFFSET(Curvas_cupon_cero!$A$1,1,MATCH($B$8,Curvas_cupon_cero!$1:$1,0)-1,COUNT(Curvas_cupon_cero!$A:$A)-2,1))))</f>
        <v/>
      </c>
      <c r="D497" s="23" t="str">
        <f ca="1">IF(A497="","",IF($B$10="Sí",interpolar_alamb(L497,OFFSET(Curvas_cupon_cero!$A$1,1,0,COUNT(Curvas_cupon_cero!$A:$A)-2,1),OFFSET(Curvas_cupon_cero!$A$1,1,MATCH($B$8,Curvas_cupon_cero!$1:$1,0)-1,COUNT(Curvas_cupon_cero!$A:$A)-2,1)),[1]!interpolar(L497,OFFSET(Curvas_cupon_cero!$A$1,1,0,COUNT(Curvas_cupon_cero!$A:$A)-2,1),OFFSET(Curvas_cupon_cero!$A$1,1,MATCH($B$8,Curvas_cupon_cero!$1:$1,0)-1,COUNT(Curvas_cupon_cero!$A:$A)-2,1))))</f>
        <v/>
      </c>
      <c r="E497" s="23" t="str">
        <f t="shared" si="73"/>
        <v/>
      </c>
      <c r="F497" s="23" t="str">
        <f ca="1">IF(A497="","",IF($B$10="Sí",interpolar_alamb(B497,OFFSET(Curvas_cupon_cero!$A$1,1,0,COUNT(Curvas_cupon_cero!$A:$A)-2,1),OFFSET(Curvas_cupon_cero!$A$1,1,MATCH($B$9,Curvas_cupon_cero!$1:$1,0)-1,COUNT(Curvas_cupon_cero!$A:$A)-2,1)),[1]!interpolar(B497,OFFSET(Curvas_cupon_cero!$A$1,1,0,COUNT(Curvas_cupon_cero!$A:$A)-2,1),OFFSET(Curvas_cupon_cero!$A$1,1,MATCH($B$9,Curvas_cupon_cero!$1:$1,0)-1,COUNT(Curvas_cupon_cero!$A:$A)-2,1))))</f>
        <v/>
      </c>
      <c r="G497" s="23" t="str">
        <f t="shared" si="74"/>
        <v/>
      </c>
      <c r="H497" s="20" t="str">
        <f t="shared" si="79"/>
        <v/>
      </c>
      <c r="I497" t="str">
        <f t="shared" si="75"/>
        <v/>
      </c>
      <c r="J497" s="17" t="str">
        <f t="shared" si="71"/>
        <v/>
      </c>
      <c r="K497" s="18" t="str">
        <f t="shared" si="76"/>
        <v/>
      </c>
      <c r="L497" t="str">
        <f t="shared" si="77"/>
        <v/>
      </c>
      <c r="M497" s="23" t="str">
        <f ca="1">IF(A497="","",IF($B$10="Sí",interpolar_alamb(L497,OFFSET(Curvas_cupon_cero!$A$1,1,0,COUNT(Curvas_cupon_cero!$A:$A)-2,1),OFFSET(Curvas_cupon_cero!$A$1,1,MATCH($B$6,Curvas_cupon_cero!$1:$1,0)-1,COUNT(Curvas_cupon_cero!$A:$A)-2,1)),[1]!interpolar(L497,OFFSET(Curvas_cupon_cero!$A$1,1,0,COUNT(Curvas_cupon_cero!$A:$A)-2,1),OFFSET(Curvas_cupon_cero!$A$1,1,MATCH($B$6,Curvas_cupon_cero!$1:$1,0)-1,COUNT(Curvas_cupon_cero!$A:$A)-2,1))))</f>
        <v/>
      </c>
      <c r="N497" s="23"/>
      <c r="O497" s="19" t="str">
        <f t="shared" si="78"/>
        <v/>
      </c>
    </row>
    <row r="498" spans="1:15" x14ac:dyDescent="0.2">
      <c r="A498" s="12" t="str">
        <f t="shared" si="72"/>
        <v/>
      </c>
      <c r="B498" t="str">
        <f t="shared" si="70"/>
        <v/>
      </c>
      <c r="C498" s="21" t="str">
        <f ca="1">IF(A498="","",IF($B$10="Sí",interpolar_alamb(B498,OFFSET(Curvas_cupon_cero!$A$1,1,0,COUNT(Curvas_cupon_cero!$A:$A)-2,1),OFFSET(Curvas_cupon_cero!$A$1,1,MATCH($B$8,Curvas_cupon_cero!$1:$1,0)-1,COUNT(Curvas_cupon_cero!$A:$A)-2,1)),[1]!interpolar(B498,OFFSET(Curvas_cupon_cero!$A$1,1,0,COUNT(Curvas_cupon_cero!$A:$A)-2,1),OFFSET(Curvas_cupon_cero!$A$1,1,MATCH($B$8,Curvas_cupon_cero!$1:$1,0)-1,COUNT(Curvas_cupon_cero!$A:$A)-2,1))))</f>
        <v/>
      </c>
      <c r="D498" s="23" t="str">
        <f ca="1">IF(A498="","",IF($B$10="Sí",interpolar_alamb(L498,OFFSET(Curvas_cupon_cero!$A$1,1,0,COUNT(Curvas_cupon_cero!$A:$A)-2,1),OFFSET(Curvas_cupon_cero!$A$1,1,MATCH($B$8,Curvas_cupon_cero!$1:$1,0)-1,COUNT(Curvas_cupon_cero!$A:$A)-2,1)),[1]!interpolar(L498,OFFSET(Curvas_cupon_cero!$A$1,1,0,COUNT(Curvas_cupon_cero!$A:$A)-2,1),OFFSET(Curvas_cupon_cero!$A$1,1,MATCH($B$8,Curvas_cupon_cero!$1:$1,0)-1,COUNT(Curvas_cupon_cero!$A:$A)-2,1))))</f>
        <v/>
      </c>
      <c r="E498" s="23" t="str">
        <f t="shared" si="73"/>
        <v/>
      </c>
      <c r="F498" s="23" t="str">
        <f ca="1">IF(A498="","",IF($B$10="Sí",interpolar_alamb(B498,OFFSET(Curvas_cupon_cero!$A$1,1,0,COUNT(Curvas_cupon_cero!$A:$A)-2,1),OFFSET(Curvas_cupon_cero!$A$1,1,MATCH($B$9,Curvas_cupon_cero!$1:$1,0)-1,COUNT(Curvas_cupon_cero!$A:$A)-2,1)),[1]!interpolar(B498,OFFSET(Curvas_cupon_cero!$A$1,1,0,COUNT(Curvas_cupon_cero!$A:$A)-2,1),OFFSET(Curvas_cupon_cero!$A$1,1,MATCH($B$9,Curvas_cupon_cero!$1:$1,0)-1,COUNT(Curvas_cupon_cero!$A:$A)-2,1))))</f>
        <v/>
      </c>
      <c r="G498" s="23" t="str">
        <f t="shared" si="74"/>
        <v/>
      </c>
      <c r="H498" s="20" t="str">
        <f t="shared" si="79"/>
        <v/>
      </c>
      <c r="I498" t="str">
        <f t="shared" si="75"/>
        <v/>
      </c>
      <c r="J498" s="17" t="str">
        <f t="shared" si="71"/>
        <v/>
      </c>
      <c r="K498" s="18" t="str">
        <f t="shared" si="76"/>
        <v/>
      </c>
      <c r="L498" t="str">
        <f t="shared" si="77"/>
        <v/>
      </c>
      <c r="M498" s="23" t="str">
        <f ca="1">IF(A498="","",IF($B$10="Sí",interpolar_alamb(L498,OFFSET(Curvas_cupon_cero!$A$1,1,0,COUNT(Curvas_cupon_cero!$A:$A)-2,1),OFFSET(Curvas_cupon_cero!$A$1,1,MATCH($B$6,Curvas_cupon_cero!$1:$1,0)-1,COUNT(Curvas_cupon_cero!$A:$A)-2,1)),[1]!interpolar(L498,OFFSET(Curvas_cupon_cero!$A$1,1,0,COUNT(Curvas_cupon_cero!$A:$A)-2,1),OFFSET(Curvas_cupon_cero!$A$1,1,MATCH($B$6,Curvas_cupon_cero!$1:$1,0)-1,COUNT(Curvas_cupon_cero!$A:$A)-2,1))))</f>
        <v/>
      </c>
      <c r="N498" s="23"/>
      <c r="O498" s="19" t="str">
        <f t="shared" si="78"/>
        <v/>
      </c>
    </row>
    <row r="499" spans="1:15" x14ac:dyDescent="0.2">
      <c r="A499" s="12" t="str">
        <f t="shared" si="72"/>
        <v/>
      </c>
      <c r="B499" t="str">
        <f t="shared" si="70"/>
        <v/>
      </c>
      <c r="C499" s="21" t="str">
        <f ca="1">IF(A499="","",IF($B$10="Sí",interpolar_alamb(B499,OFFSET(Curvas_cupon_cero!$A$1,1,0,COUNT(Curvas_cupon_cero!$A:$A)-2,1),OFFSET(Curvas_cupon_cero!$A$1,1,MATCH($B$8,Curvas_cupon_cero!$1:$1,0)-1,COUNT(Curvas_cupon_cero!$A:$A)-2,1)),[1]!interpolar(B499,OFFSET(Curvas_cupon_cero!$A$1,1,0,COUNT(Curvas_cupon_cero!$A:$A)-2,1),OFFSET(Curvas_cupon_cero!$A$1,1,MATCH($B$8,Curvas_cupon_cero!$1:$1,0)-1,COUNT(Curvas_cupon_cero!$A:$A)-2,1))))</f>
        <v/>
      </c>
      <c r="D499" s="23" t="str">
        <f ca="1">IF(A499="","",IF($B$10="Sí",interpolar_alamb(L499,OFFSET(Curvas_cupon_cero!$A$1,1,0,COUNT(Curvas_cupon_cero!$A:$A)-2,1),OFFSET(Curvas_cupon_cero!$A$1,1,MATCH($B$8,Curvas_cupon_cero!$1:$1,0)-1,COUNT(Curvas_cupon_cero!$A:$A)-2,1)),[1]!interpolar(L499,OFFSET(Curvas_cupon_cero!$A$1,1,0,COUNT(Curvas_cupon_cero!$A:$A)-2,1),OFFSET(Curvas_cupon_cero!$A$1,1,MATCH($B$8,Curvas_cupon_cero!$1:$1,0)-1,COUNT(Curvas_cupon_cero!$A:$A)-2,1))))</f>
        <v/>
      </c>
      <c r="E499" s="23" t="str">
        <f t="shared" si="73"/>
        <v/>
      </c>
      <c r="F499" s="23" t="str">
        <f ca="1">IF(A499="","",IF($B$10="Sí",interpolar_alamb(B499,OFFSET(Curvas_cupon_cero!$A$1,1,0,COUNT(Curvas_cupon_cero!$A:$A)-2,1),OFFSET(Curvas_cupon_cero!$A$1,1,MATCH($B$9,Curvas_cupon_cero!$1:$1,0)-1,COUNT(Curvas_cupon_cero!$A:$A)-2,1)),[1]!interpolar(B499,OFFSET(Curvas_cupon_cero!$A$1,1,0,COUNT(Curvas_cupon_cero!$A:$A)-2,1),OFFSET(Curvas_cupon_cero!$A$1,1,MATCH($B$9,Curvas_cupon_cero!$1:$1,0)-1,COUNT(Curvas_cupon_cero!$A:$A)-2,1))))</f>
        <v/>
      </c>
      <c r="G499" s="23" t="str">
        <f t="shared" si="74"/>
        <v/>
      </c>
      <c r="H499" s="20" t="str">
        <f t="shared" si="79"/>
        <v/>
      </c>
      <c r="I499" t="str">
        <f t="shared" si="75"/>
        <v/>
      </c>
      <c r="J499" s="17" t="str">
        <f t="shared" si="71"/>
        <v/>
      </c>
      <c r="K499" s="18" t="str">
        <f t="shared" si="76"/>
        <v/>
      </c>
      <c r="L499" t="str">
        <f t="shared" si="77"/>
        <v/>
      </c>
      <c r="M499" s="23" t="str">
        <f ca="1">IF(A499="","",IF($B$10="Sí",interpolar_alamb(L499,OFFSET(Curvas_cupon_cero!$A$1,1,0,COUNT(Curvas_cupon_cero!$A:$A)-2,1),OFFSET(Curvas_cupon_cero!$A$1,1,MATCH($B$6,Curvas_cupon_cero!$1:$1,0)-1,COUNT(Curvas_cupon_cero!$A:$A)-2,1)),[1]!interpolar(L499,OFFSET(Curvas_cupon_cero!$A$1,1,0,COUNT(Curvas_cupon_cero!$A:$A)-2,1),OFFSET(Curvas_cupon_cero!$A$1,1,MATCH($B$6,Curvas_cupon_cero!$1:$1,0)-1,COUNT(Curvas_cupon_cero!$A:$A)-2,1))))</f>
        <v/>
      </c>
      <c r="N499" s="23"/>
      <c r="O499" s="19" t="str">
        <f t="shared" si="78"/>
        <v/>
      </c>
    </row>
    <row r="500" spans="1:15" x14ac:dyDescent="0.2">
      <c r="A500" s="12" t="str">
        <f t="shared" si="72"/>
        <v/>
      </c>
      <c r="B500" t="str">
        <f t="shared" si="70"/>
        <v/>
      </c>
      <c r="C500" s="21" t="str">
        <f ca="1">IF(A500="","",IF($B$10="Sí",interpolar_alamb(B500,OFFSET(Curvas_cupon_cero!$A$1,1,0,COUNT(Curvas_cupon_cero!$A:$A)-2,1),OFFSET(Curvas_cupon_cero!$A$1,1,MATCH($B$8,Curvas_cupon_cero!$1:$1,0)-1,COUNT(Curvas_cupon_cero!$A:$A)-2,1)),[1]!interpolar(B500,OFFSET(Curvas_cupon_cero!$A$1,1,0,COUNT(Curvas_cupon_cero!$A:$A)-2,1),OFFSET(Curvas_cupon_cero!$A$1,1,MATCH($B$8,Curvas_cupon_cero!$1:$1,0)-1,COUNT(Curvas_cupon_cero!$A:$A)-2,1))))</f>
        <v/>
      </c>
      <c r="D500" s="23" t="str">
        <f ca="1">IF(A500="","",IF($B$10="Sí",interpolar_alamb(L500,OFFSET(Curvas_cupon_cero!$A$1,1,0,COUNT(Curvas_cupon_cero!$A:$A)-2,1),OFFSET(Curvas_cupon_cero!$A$1,1,MATCH($B$8,Curvas_cupon_cero!$1:$1,0)-1,COUNT(Curvas_cupon_cero!$A:$A)-2,1)),[1]!interpolar(L500,OFFSET(Curvas_cupon_cero!$A$1,1,0,COUNT(Curvas_cupon_cero!$A:$A)-2,1),OFFSET(Curvas_cupon_cero!$A$1,1,MATCH($B$8,Curvas_cupon_cero!$1:$1,0)-1,COUNT(Curvas_cupon_cero!$A:$A)-2,1))))</f>
        <v/>
      </c>
      <c r="E500" s="23" t="str">
        <f t="shared" si="73"/>
        <v/>
      </c>
      <c r="F500" s="23" t="str">
        <f ca="1">IF(A500="","",IF($B$10="Sí",interpolar_alamb(B500,OFFSET(Curvas_cupon_cero!$A$1,1,0,COUNT(Curvas_cupon_cero!$A:$A)-2,1),OFFSET(Curvas_cupon_cero!$A$1,1,MATCH($B$9,Curvas_cupon_cero!$1:$1,0)-1,COUNT(Curvas_cupon_cero!$A:$A)-2,1)),[1]!interpolar(B500,OFFSET(Curvas_cupon_cero!$A$1,1,0,COUNT(Curvas_cupon_cero!$A:$A)-2,1),OFFSET(Curvas_cupon_cero!$A$1,1,MATCH($B$9,Curvas_cupon_cero!$1:$1,0)-1,COUNT(Curvas_cupon_cero!$A:$A)-2,1))))</f>
        <v/>
      </c>
      <c r="G500" s="23" t="str">
        <f t="shared" si="74"/>
        <v/>
      </c>
      <c r="H500" s="20" t="str">
        <f t="shared" si="79"/>
        <v/>
      </c>
      <c r="I500" t="str">
        <f t="shared" si="75"/>
        <v/>
      </c>
      <c r="J500" s="17" t="str">
        <f t="shared" si="71"/>
        <v/>
      </c>
      <c r="K500" s="18" t="str">
        <f t="shared" si="76"/>
        <v/>
      </c>
      <c r="L500" t="str">
        <f t="shared" si="77"/>
        <v/>
      </c>
      <c r="M500" s="23" t="str">
        <f ca="1">IF(A500="","",IF($B$10="Sí",interpolar_alamb(L500,OFFSET(Curvas_cupon_cero!$A$1,1,0,COUNT(Curvas_cupon_cero!$A:$A)-2,1),OFFSET(Curvas_cupon_cero!$A$1,1,MATCH($B$6,Curvas_cupon_cero!$1:$1,0)-1,COUNT(Curvas_cupon_cero!$A:$A)-2,1)),[1]!interpolar(L500,OFFSET(Curvas_cupon_cero!$A$1,1,0,COUNT(Curvas_cupon_cero!$A:$A)-2,1),OFFSET(Curvas_cupon_cero!$A$1,1,MATCH($B$6,Curvas_cupon_cero!$1:$1,0)-1,COUNT(Curvas_cupon_cero!$A:$A)-2,1))))</f>
        <v/>
      </c>
      <c r="N500" s="23"/>
      <c r="O500" s="19" t="str">
        <f t="shared" si="78"/>
        <v/>
      </c>
    </row>
    <row r="501" spans="1:15" x14ac:dyDescent="0.2">
      <c r="A501" s="12" t="str">
        <f t="shared" si="72"/>
        <v/>
      </c>
      <c r="B501" t="str">
        <f t="shared" si="70"/>
        <v/>
      </c>
      <c r="C501" s="21" t="str">
        <f ca="1">IF(A501="","",IF($B$10="Sí",interpolar_alamb(B501,OFFSET(Curvas_cupon_cero!$A$1,1,0,COUNT(Curvas_cupon_cero!$A:$A)-2,1),OFFSET(Curvas_cupon_cero!$A$1,1,MATCH($B$8,Curvas_cupon_cero!$1:$1,0)-1,COUNT(Curvas_cupon_cero!$A:$A)-2,1)),[1]!interpolar(B501,OFFSET(Curvas_cupon_cero!$A$1,1,0,COUNT(Curvas_cupon_cero!$A:$A)-2,1),OFFSET(Curvas_cupon_cero!$A$1,1,MATCH($B$8,Curvas_cupon_cero!$1:$1,0)-1,COUNT(Curvas_cupon_cero!$A:$A)-2,1))))</f>
        <v/>
      </c>
      <c r="D501" s="23" t="str">
        <f ca="1">IF(A501="","",IF($B$10="Sí",interpolar_alamb(L501,OFFSET(Curvas_cupon_cero!$A$1,1,0,COUNT(Curvas_cupon_cero!$A:$A)-2,1),OFFSET(Curvas_cupon_cero!$A$1,1,MATCH($B$8,Curvas_cupon_cero!$1:$1,0)-1,COUNT(Curvas_cupon_cero!$A:$A)-2,1)),[1]!interpolar(L501,OFFSET(Curvas_cupon_cero!$A$1,1,0,COUNT(Curvas_cupon_cero!$A:$A)-2,1),OFFSET(Curvas_cupon_cero!$A$1,1,MATCH($B$8,Curvas_cupon_cero!$1:$1,0)-1,COUNT(Curvas_cupon_cero!$A:$A)-2,1))))</f>
        <v/>
      </c>
      <c r="E501" s="23" t="str">
        <f t="shared" si="73"/>
        <v/>
      </c>
      <c r="F501" s="23" t="str">
        <f ca="1">IF(A501="","",IF($B$10="Sí",interpolar_alamb(B501,OFFSET(Curvas_cupon_cero!$A$1,1,0,COUNT(Curvas_cupon_cero!$A:$A)-2,1),OFFSET(Curvas_cupon_cero!$A$1,1,MATCH($B$9,Curvas_cupon_cero!$1:$1,0)-1,COUNT(Curvas_cupon_cero!$A:$A)-2,1)),[1]!interpolar(B501,OFFSET(Curvas_cupon_cero!$A$1,1,0,COUNT(Curvas_cupon_cero!$A:$A)-2,1),OFFSET(Curvas_cupon_cero!$A$1,1,MATCH($B$9,Curvas_cupon_cero!$1:$1,0)-1,COUNT(Curvas_cupon_cero!$A:$A)-2,1))))</f>
        <v/>
      </c>
      <c r="G501" s="23" t="str">
        <f t="shared" si="74"/>
        <v/>
      </c>
      <c r="H501" s="20" t="str">
        <f t="shared" si="79"/>
        <v/>
      </c>
      <c r="I501" t="str">
        <f t="shared" si="75"/>
        <v/>
      </c>
      <c r="J501" s="17" t="str">
        <f t="shared" si="71"/>
        <v/>
      </c>
      <c r="K501" s="18" t="str">
        <f t="shared" si="76"/>
        <v/>
      </c>
      <c r="L501" t="str">
        <f t="shared" si="77"/>
        <v/>
      </c>
      <c r="M501" s="23" t="str">
        <f ca="1">IF(A501="","",IF($B$10="Sí",interpolar_alamb(L501,OFFSET(Curvas_cupon_cero!$A$1,1,0,COUNT(Curvas_cupon_cero!$A:$A)-2,1),OFFSET(Curvas_cupon_cero!$A$1,1,MATCH($B$6,Curvas_cupon_cero!$1:$1,0)-1,COUNT(Curvas_cupon_cero!$A:$A)-2,1)),[1]!interpolar(L501,OFFSET(Curvas_cupon_cero!$A$1,1,0,COUNT(Curvas_cupon_cero!$A:$A)-2,1),OFFSET(Curvas_cupon_cero!$A$1,1,MATCH($B$6,Curvas_cupon_cero!$1:$1,0)-1,COUNT(Curvas_cupon_cero!$A:$A)-2,1))))</f>
        <v/>
      </c>
      <c r="N501" s="23"/>
      <c r="O501" s="19" t="str">
        <f t="shared" si="78"/>
        <v/>
      </c>
    </row>
    <row r="502" spans="1:15" x14ac:dyDescent="0.2">
      <c r="A502" s="12" t="str">
        <f t="shared" si="72"/>
        <v/>
      </c>
      <c r="B502" t="str">
        <f t="shared" si="70"/>
        <v/>
      </c>
      <c r="C502" s="21" t="str">
        <f ca="1">IF(A502="","",IF($B$10="Sí",interpolar_alamb(B502,OFFSET(Curvas_cupon_cero!$A$1,1,0,COUNT(Curvas_cupon_cero!$A:$A)-2,1),OFFSET(Curvas_cupon_cero!$A$1,1,MATCH($B$8,Curvas_cupon_cero!$1:$1,0)-1,COUNT(Curvas_cupon_cero!$A:$A)-2,1)),[1]!interpolar(B502,OFFSET(Curvas_cupon_cero!$A$1,1,0,COUNT(Curvas_cupon_cero!$A:$A)-2,1),OFFSET(Curvas_cupon_cero!$A$1,1,MATCH($B$8,Curvas_cupon_cero!$1:$1,0)-1,COUNT(Curvas_cupon_cero!$A:$A)-2,1))))</f>
        <v/>
      </c>
      <c r="D502" s="23" t="str">
        <f ca="1">IF(A502="","",IF($B$10="Sí",interpolar_alamb(L502,OFFSET(Curvas_cupon_cero!$A$1,1,0,COUNT(Curvas_cupon_cero!$A:$A)-2,1),OFFSET(Curvas_cupon_cero!$A$1,1,MATCH($B$8,Curvas_cupon_cero!$1:$1,0)-1,COUNT(Curvas_cupon_cero!$A:$A)-2,1)),[1]!interpolar(L502,OFFSET(Curvas_cupon_cero!$A$1,1,0,COUNT(Curvas_cupon_cero!$A:$A)-2,1),OFFSET(Curvas_cupon_cero!$A$1,1,MATCH($B$8,Curvas_cupon_cero!$1:$1,0)-1,COUNT(Curvas_cupon_cero!$A:$A)-2,1))))</f>
        <v/>
      </c>
      <c r="E502" s="23" t="str">
        <f t="shared" si="73"/>
        <v/>
      </c>
      <c r="F502" s="23" t="str">
        <f ca="1">IF(A502="","",IF($B$10="Sí",interpolar_alamb(B502,OFFSET(Curvas_cupon_cero!$A$1,1,0,COUNT(Curvas_cupon_cero!$A:$A)-2,1),OFFSET(Curvas_cupon_cero!$A$1,1,MATCH($B$9,Curvas_cupon_cero!$1:$1,0)-1,COUNT(Curvas_cupon_cero!$A:$A)-2,1)),[1]!interpolar(B502,OFFSET(Curvas_cupon_cero!$A$1,1,0,COUNT(Curvas_cupon_cero!$A:$A)-2,1),OFFSET(Curvas_cupon_cero!$A$1,1,MATCH($B$9,Curvas_cupon_cero!$1:$1,0)-1,COUNT(Curvas_cupon_cero!$A:$A)-2,1))))</f>
        <v/>
      </c>
      <c r="G502" s="23" t="str">
        <f t="shared" si="74"/>
        <v/>
      </c>
      <c r="H502" s="20" t="str">
        <f t="shared" si="79"/>
        <v/>
      </c>
      <c r="I502" t="str">
        <f t="shared" si="75"/>
        <v/>
      </c>
      <c r="J502" s="17" t="str">
        <f t="shared" si="71"/>
        <v/>
      </c>
      <c r="K502" s="18" t="str">
        <f t="shared" si="76"/>
        <v/>
      </c>
      <c r="L502" t="str">
        <f t="shared" si="77"/>
        <v/>
      </c>
      <c r="M502" s="23" t="str">
        <f ca="1">IF(A502="","",IF($B$10="Sí",interpolar_alamb(L502,OFFSET(Curvas_cupon_cero!$A$1,1,0,COUNT(Curvas_cupon_cero!$A:$A)-2,1),OFFSET(Curvas_cupon_cero!$A$1,1,MATCH($B$6,Curvas_cupon_cero!$1:$1,0)-1,COUNT(Curvas_cupon_cero!$A:$A)-2,1)),[1]!interpolar(L502,OFFSET(Curvas_cupon_cero!$A$1,1,0,COUNT(Curvas_cupon_cero!$A:$A)-2,1),OFFSET(Curvas_cupon_cero!$A$1,1,MATCH($B$6,Curvas_cupon_cero!$1:$1,0)-1,COUNT(Curvas_cupon_cero!$A:$A)-2,1))))</f>
        <v/>
      </c>
      <c r="N502" s="23"/>
      <c r="O502" s="19" t="str">
        <f t="shared" si="78"/>
        <v/>
      </c>
    </row>
    <row r="503" spans="1:15" x14ac:dyDescent="0.2">
      <c r="A503" s="12" t="str">
        <f t="shared" si="72"/>
        <v/>
      </c>
      <c r="B503" t="str">
        <f t="shared" si="70"/>
        <v/>
      </c>
      <c r="C503" s="21" t="str">
        <f ca="1">IF(A503="","",IF($B$10="Sí",interpolar_alamb(B503,OFFSET(Curvas_cupon_cero!$A$1,1,0,COUNT(Curvas_cupon_cero!$A:$A)-2,1),OFFSET(Curvas_cupon_cero!$A$1,1,MATCH($B$8,Curvas_cupon_cero!$1:$1,0)-1,COUNT(Curvas_cupon_cero!$A:$A)-2,1)),[1]!interpolar(B503,OFFSET(Curvas_cupon_cero!$A$1,1,0,COUNT(Curvas_cupon_cero!$A:$A)-2,1),OFFSET(Curvas_cupon_cero!$A$1,1,MATCH($B$8,Curvas_cupon_cero!$1:$1,0)-1,COUNT(Curvas_cupon_cero!$A:$A)-2,1))))</f>
        <v/>
      </c>
      <c r="D503" s="23" t="str">
        <f ca="1">IF(A503="","",IF($B$10="Sí",interpolar_alamb(L503,OFFSET(Curvas_cupon_cero!$A$1,1,0,COUNT(Curvas_cupon_cero!$A:$A)-2,1),OFFSET(Curvas_cupon_cero!$A$1,1,MATCH($B$8,Curvas_cupon_cero!$1:$1,0)-1,COUNT(Curvas_cupon_cero!$A:$A)-2,1)),[1]!interpolar(L503,OFFSET(Curvas_cupon_cero!$A$1,1,0,COUNT(Curvas_cupon_cero!$A:$A)-2,1),OFFSET(Curvas_cupon_cero!$A$1,1,MATCH($B$8,Curvas_cupon_cero!$1:$1,0)-1,COUNT(Curvas_cupon_cero!$A:$A)-2,1))))</f>
        <v/>
      </c>
      <c r="E503" s="23" t="str">
        <f t="shared" si="73"/>
        <v/>
      </c>
      <c r="F503" s="23" t="str">
        <f ca="1">IF(A503="","",IF($B$10="Sí",interpolar_alamb(B503,OFFSET(Curvas_cupon_cero!$A$1,1,0,COUNT(Curvas_cupon_cero!$A:$A)-2,1),OFFSET(Curvas_cupon_cero!$A$1,1,MATCH($B$9,Curvas_cupon_cero!$1:$1,0)-1,COUNT(Curvas_cupon_cero!$A:$A)-2,1)),[1]!interpolar(B503,OFFSET(Curvas_cupon_cero!$A$1,1,0,COUNT(Curvas_cupon_cero!$A:$A)-2,1),OFFSET(Curvas_cupon_cero!$A$1,1,MATCH($B$9,Curvas_cupon_cero!$1:$1,0)-1,COUNT(Curvas_cupon_cero!$A:$A)-2,1))))</f>
        <v/>
      </c>
      <c r="G503" s="23" t="str">
        <f t="shared" si="74"/>
        <v/>
      </c>
      <c r="H503" s="20" t="str">
        <f t="shared" si="79"/>
        <v/>
      </c>
      <c r="I503" t="str">
        <f t="shared" si="75"/>
        <v/>
      </c>
      <c r="J503" s="17" t="str">
        <f t="shared" si="71"/>
        <v/>
      </c>
      <c r="K503" s="18" t="str">
        <f t="shared" si="76"/>
        <v/>
      </c>
      <c r="L503" t="str">
        <f t="shared" si="77"/>
        <v/>
      </c>
      <c r="M503" s="23" t="str">
        <f ca="1">IF(A503="","",IF($B$10="Sí",interpolar_alamb(L503,OFFSET(Curvas_cupon_cero!$A$1,1,0,COUNT(Curvas_cupon_cero!$A:$A)-2,1),OFFSET(Curvas_cupon_cero!$A$1,1,MATCH($B$6,Curvas_cupon_cero!$1:$1,0)-1,COUNT(Curvas_cupon_cero!$A:$A)-2,1)),[1]!interpolar(L503,OFFSET(Curvas_cupon_cero!$A$1,1,0,COUNT(Curvas_cupon_cero!$A:$A)-2,1),OFFSET(Curvas_cupon_cero!$A$1,1,MATCH($B$6,Curvas_cupon_cero!$1:$1,0)-1,COUNT(Curvas_cupon_cero!$A:$A)-2,1))))</f>
        <v/>
      </c>
      <c r="N503" s="23"/>
      <c r="O503" s="19" t="str">
        <f t="shared" si="78"/>
        <v/>
      </c>
    </row>
    <row r="504" spans="1:15" x14ac:dyDescent="0.2">
      <c r="A504" s="12" t="str">
        <f t="shared" si="72"/>
        <v/>
      </c>
      <c r="B504" t="str">
        <f t="shared" si="70"/>
        <v/>
      </c>
      <c r="C504" s="21" t="str">
        <f ca="1">IF(A504="","",IF($B$10="Sí",interpolar_alamb(B504,OFFSET(Curvas_cupon_cero!$A$1,1,0,COUNT(Curvas_cupon_cero!$A:$A)-2,1),OFFSET(Curvas_cupon_cero!$A$1,1,MATCH($B$8,Curvas_cupon_cero!$1:$1,0)-1,COUNT(Curvas_cupon_cero!$A:$A)-2,1)),[1]!interpolar(B504,OFFSET(Curvas_cupon_cero!$A$1,1,0,COUNT(Curvas_cupon_cero!$A:$A)-2,1),OFFSET(Curvas_cupon_cero!$A$1,1,MATCH($B$8,Curvas_cupon_cero!$1:$1,0)-1,COUNT(Curvas_cupon_cero!$A:$A)-2,1))))</f>
        <v/>
      </c>
      <c r="D504" s="23" t="str">
        <f ca="1">IF(A504="","",IF($B$10="Sí",interpolar_alamb(L504,OFFSET(Curvas_cupon_cero!$A$1,1,0,COUNT(Curvas_cupon_cero!$A:$A)-2,1),OFFSET(Curvas_cupon_cero!$A$1,1,MATCH($B$8,Curvas_cupon_cero!$1:$1,0)-1,COUNT(Curvas_cupon_cero!$A:$A)-2,1)),[1]!interpolar(L504,OFFSET(Curvas_cupon_cero!$A$1,1,0,COUNT(Curvas_cupon_cero!$A:$A)-2,1),OFFSET(Curvas_cupon_cero!$A$1,1,MATCH($B$8,Curvas_cupon_cero!$1:$1,0)-1,COUNT(Curvas_cupon_cero!$A:$A)-2,1))))</f>
        <v/>
      </c>
      <c r="E504" s="23" t="str">
        <f t="shared" si="73"/>
        <v/>
      </c>
      <c r="F504" s="23" t="str">
        <f ca="1">IF(A504="","",IF($B$10="Sí",interpolar_alamb(B504,OFFSET(Curvas_cupon_cero!$A$1,1,0,COUNT(Curvas_cupon_cero!$A:$A)-2,1),OFFSET(Curvas_cupon_cero!$A$1,1,MATCH($B$9,Curvas_cupon_cero!$1:$1,0)-1,COUNT(Curvas_cupon_cero!$A:$A)-2,1)),[1]!interpolar(B504,OFFSET(Curvas_cupon_cero!$A$1,1,0,COUNT(Curvas_cupon_cero!$A:$A)-2,1),OFFSET(Curvas_cupon_cero!$A$1,1,MATCH($B$9,Curvas_cupon_cero!$1:$1,0)-1,COUNT(Curvas_cupon_cero!$A:$A)-2,1))))</f>
        <v/>
      </c>
      <c r="G504" s="23" t="str">
        <f t="shared" si="74"/>
        <v/>
      </c>
      <c r="H504" s="20" t="str">
        <f t="shared" si="79"/>
        <v/>
      </c>
      <c r="I504" t="str">
        <f t="shared" si="75"/>
        <v/>
      </c>
      <c r="J504" s="17" t="str">
        <f t="shared" si="71"/>
        <v/>
      </c>
      <c r="K504" s="18" t="str">
        <f t="shared" si="76"/>
        <v/>
      </c>
      <c r="L504" t="str">
        <f t="shared" si="77"/>
        <v/>
      </c>
      <c r="M504" s="23" t="str">
        <f ca="1">IF(A504="","",IF($B$10="Sí",interpolar_alamb(L504,OFFSET(Curvas_cupon_cero!$A$1,1,0,COUNT(Curvas_cupon_cero!$A:$A)-2,1),OFFSET(Curvas_cupon_cero!$A$1,1,MATCH($B$6,Curvas_cupon_cero!$1:$1,0)-1,COUNT(Curvas_cupon_cero!$A:$A)-2,1)),[1]!interpolar(L504,OFFSET(Curvas_cupon_cero!$A$1,1,0,COUNT(Curvas_cupon_cero!$A:$A)-2,1),OFFSET(Curvas_cupon_cero!$A$1,1,MATCH($B$6,Curvas_cupon_cero!$1:$1,0)-1,COUNT(Curvas_cupon_cero!$A:$A)-2,1))))</f>
        <v/>
      </c>
      <c r="N504" s="23"/>
      <c r="O504" s="19" t="str">
        <f t="shared" si="78"/>
        <v/>
      </c>
    </row>
    <row r="505" spans="1:15" x14ac:dyDescent="0.2">
      <c r="A505" s="12" t="str">
        <f t="shared" si="72"/>
        <v/>
      </c>
      <c r="B505" t="str">
        <f t="shared" si="70"/>
        <v/>
      </c>
      <c r="C505" s="21" t="str">
        <f ca="1">IF(A505="","",IF($B$10="Sí",interpolar_alamb(B505,OFFSET(Curvas_cupon_cero!$A$1,1,0,COUNT(Curvas_cupon_cero!$A:$A)-2,1),OFFSET(Curvas_cupon_cero!$A$1,1,MATCH($B$8,Curvas_cupon_cero!$1:$1,0)-1,COUNT(Curvas_cupon_cero!$A:$A)-2,1)),[1]!interpolar(B505,OFFSET(Curvas_cupon_cero!$A$1,1,0,COUNT(Curvas_cupon_cero!$A:$A)-2,1),OFFSET(Curvas_cupon_cero!$A$1,1,MATCH($B$8,Curvas_cupon_cero!$1:$1,0)-1,COUNT(Curvas_cupon_cero!$A:$A)-2,1))))</f>
        <v/>
      </c>
      <c r="D505" s="23" t="str">
        <f ca="1">IF(A505="","",IF($B$10="Sí",interpolar_alamb(L505,OFFSET(Curvas_cupon_cero!$A$1,1,0,COUNT(Curvas_cupon_cero!$A:$A)-2,1),OFFSET(Curvas_cupon_cero!$A$1,1,MATCH($B$8,Curvas_cupon_cero!$1:$1,0)-1,COUNT(Curvas_cupon_cero!$A:$A)-2,1)),[1]!interpolar(L505,OFFSET(Curvas_cupon_cero!$A$1,1,0,COUNT(Curvas_cupon_cero!$A:$A)-2,1),OFFSET(Curvas_cupon_cero!$A$1,1,MATCH($B$8,Curvas_cupon_cero!$1:$1,0)-1,COUNT(Curvas_cupon_cero!$A:$A)-2,1))))</f>
        <v/>
      </c>
      <c r="E505" s="23" t="str">
        <f t="shared" si="73"/>
        <v/>
      </c>
      <c r="F505" s="23" t="str">
        <f ca="1">IF(A505="","",IF($B$10="Sí",interpolar_alamb(B505,OFFSET(Curvas_cupon_cero!$A$1,1,0,COUNT(Curvas_cupon_cero!$A:$A)-2,1),OFFSET(Curvas_cupon_cero!$A$1,1,MATCH($B$9,Curvas_cupon_cero!$1:$1,0)-1,COUNT(Curvas_cupon_cero!$A:$A)-2,1)),[1]!interpolar(B505,OFFSET(Curvas_cupon_cero!$A$1,1,0,COUNT(Curvas_cupon_cero!$A:$A)-2,1),OFFSET(Curvas_cupon_cero!$A$1,1,MATCH($B$9,Curvas_cupon_cero!$1:$1,0)-1,COUNT(Curvas_cupon_cero!$A:$A)-2,1))))</f>
        <v/>
      </c>
      <c r="G505" s="23" t="str">
        <f t="shared" si="74"/>
        <v/>
      </c>
      <c r="H505" s="20" t="str">
        <f t="shared" si="79"/>
        <v/>
      </c>
      <c r="I505" t="str">
        <f t="shared" si="75"/>
        <v/>
      </c>
      <c r="J505" s="17" t="str">
        <f t="shared" si="71"/>
        <v/>
      </c>
      <c r="K505" s="18" t="str">
        <f t="shared" si="76"/>
        <v/>
      </c>
      <c r="L505" t="str">
        <f t="shared" si="77"/>
        <v/>
      </c>
      <c r="M505" s="23" t="str">
        <f ca="1">IF(A505="","",IF($B$10="Sí",interpolar_alamb(L505,OFFSET(Curvas_cupon_cero!$A$1,1,0,COUNT(Curvas_cupon_cero!$A:$A)-2,1),OFFSET(Curvas_cupon_cero!$A$1,1,MATCH($B$6,Curvas_cupon_cero!$1:$1,0)-1,COUNT(Curvas_cupon_cero!$A:$A)-2,1)),[1]!interpolar(L505,OFFSET(Curvas_cupon_cero!$A$1,1,0,COUNT(Curvas_cupon_cero!$A:$A)-2,1),OFFSET(Curvas_cupon_cero!$A$1,1,MATCH($B$6,Curvas_cupon_cero!$1:$1,0)-1,COUNT(Curvas_cupon_cero!$A:$A)-2,1))))</f>
        <v/>
      </c>
      <c r="N505" s="23"/>
      <c r="O505" s="19" t="str">
        <f t="shared" si="78"/>
        <v/>
      </c>
    </row>
    <row r="506" spans="1:15" x14ac:dyDescent="0.2">
      <c r="A506" s="12" t="str">
        <f t="shared" si="72"/>
        <v/>
      </c>
      <c r="B506" t="str">
        <f t="shared" si="70"/>
        <v/>
      </c>
      <c r="C506" s="21" t="str">
        <f ca="1">IF(A506="","",IF($B$10="Sí",interpolar_alamb(B506,OFFSET(Curvas_cupon_cero!$A$1,1,0,COUNT(Curvas_cupon_cero!$A:$A)-2,1),OFFSET(Curvas_cupon_cero!$A$1,1,MATCH($B$8,Curvas_cupon_cero!$1:$1,0)-1,COUNT(Curvas_cupon_cero!$A:$A)-2,1)),[1]!interpolar(B506,OFFSET(Curvas_cupon_cero!$A$1,1,0,COUNT(Curvas_cupon_cero!$A:$A)-2,1),OFFSET(Curvas_cupon_cero!$A$1,1,MATCH($B$8,Curvas_cupon_cero!$1:$1,0)-1,COUNT(Curvas_cupon_cero!$A:$A)-2,1))))</f>
        <v/>
      </c>
      <c r="D506" s="23" t="str">
        <f ca="1">IF(A506="","",IF($B$10="Sí",interpolar_alamb(L506,OFFSET(Curvas_cupon_cero!$A$1,1,0,COUNT(Curvas_cupon_cero!$A:$A)-2,1),OFFSET(Curvas_cupon_cero!$A$1,1,MATCH($B$8,Curvas_cupon_cero!$1:$1,0)-1,COUNT(Curvas_cupon_cero!$A:$A)-2,1)),[1]!interpolar(L506,OFFSET(Curvas_cupon_cero!$A$1,1,0,COUNT(Curvas_cupon_cero!$A:$A)-2,1),OFFSET(Curvas_cupon_cero!$A$1,1,MATCH($B$8,Curvas_cupon_cero!$1:$1,0)-1,COUNT(Curvas_cupon_cero!$A:$A)-2,1))))</f>
        <v/>
      </c>
      <c r="E506" s="23" t="str">
        <f t="shared" si="73"/>
        <v/>
      </c>
      <c r="F506" s="23" t="str">
        <f ca="1">IF(A506="","",IF($B$10="Sí",interpolar_alamb(B506,OFFSET(Curvas_cupon_cero!$A$1,1,0,COUNT(Curvas_cupon_cero!$A:$A)-2,1),OFFSET(Curvas_cupon_cero!$A$1,1,MATCH($B$9,Curvas_cupon_cero!$1:$1,0)-1,COUNT(Curvas_cupon_cero!$A:$A)-2,1)),[1]!interpolar(B506,OFFSET(Curvas_cupon_cero!$A$1,1,0,COUNT(Curvas_cupon_cero!$A:$A)-2,1),OFFSET(Curvas_cupon_cero!$A$1,1,MATCH($B$9,Curvas_cupon_cero!$1:$1,0)-1,COUNT(Curvas_cupon_cero!$A:$A)-2,1))))</f>
        <v/>
      </c>
      <c r="G506" s="23" t="str">
        <f t="shared" si="74"/>
        <v/>
      </c>
      <c r="H506" s="20" t="str">
        <f t="shared" si="79"/>
        <v/>
      </c>
      <c r="I506" t="str">
        <f t="shared" si="75"/>
        <v/>
      </c>
      <c r="J506" s="17" t="str">
        <f t="shared" si="71"/>
        <v/>
      </c>
      <c r="K506" s="18" t="str">
        <f t="shared" si="76"/>
        <v/>
      </c>
      <c r="L506" t="str">
        <f t="shared" si="77"/>
        <v/>
      </c>
      <c r="M506" s="23" t="str">
        <f ca="1">IF(A506="","",IF($B$10="Sí",interpolar_alamb(L506,OFFSET(Curvas_cupon_cero!$A$1,1,0,COUNT(Curvas_cupon_cero!$A:$A)-2,1),OFFSET(Curvas_cupon_cero!$A$1,1,MATCH($B$6,Curvas_cupon_cero!$1:$1,0)-1,COUNT(Curvas_cupon_cero!$A:$A)-2,1)),[1]!interpolar(L506,OFFSET(Curvas_cupon_cero!$A$1,1,0,COUNT(Curvas_cupon_cero!$A:$A)-2,1),OFFSET(Curvas_cupon_cero!$A$1,1,MATCH($B$6,Curvas_cupon_cero!$1:$1,0)-1,COUNT(Curvas_cupon_cero!$A:$A)-2,1))))</f>
        <v/>
      </c>
      <c r="N506" s="23"/>
      <c r="O506" s="19" t="str">
        <f t="shared" si="78"/>
        <v/>
      </c>
    </row>
    <row r="507" spans="1:15" x14ac:dyDescent="0.2">
      <c r="A507" s="12" t="str">
        <f t="shared" si="72"/>
        <v/>
      </c>
      <c r="B507" t="str">
        <f t="shared" si="70"/>
        <v/>
      </c>
      <c r="C507" s="21" t="str">
        <f ca="1">IF(A507="","",IF($B$10="Sí",interpolar_alamb(B507,OFFSET(Curvas_cupon_cero!$A$1,1,0,COUNT(Curvas_cupon_cero!$A:$A)-2,1),OFFSET(Curvas_cupon_cero!$A$1,1,MATCH($B$8,Curvas_cupon_cero!$1:$1,0)-1,COUNT(Curvas_cupon_cero!$A:$A)-2,1)),[1]!interpolar(B507,OFFSET(Curvas_cupon_cero!$A$1,1,0,COUNT(Curvas_cupon_cero!$A:$A)-2,1),OFFSET(Curvas_cupon_cero!$A$1,1,MATCH($B$8,Curvas_cupon_cero!$1:$1,0)-1,COUNT(Curvas_cupon_cero!$A:$A)-2,1))))</f>
        <v/>
      </c>
      <c r="D507" s="23" t="str">
        <f ca="1">IF(A507="","",IF($B$10="Sí",interpolar_alamb(L507,OFFSET(Curvas_cupon_cero!$A$1,1,0,COUNT(Curvas_cupon_cero!$A:$A)-2,1),OFFSET(Curvas_cupon_cero!$A$1,1,MATCH($B$8,Curvas_cupon_cero!$1:$1,0)-1,COUNT(Curvas_cupon_cero!$A:$A)-2,1)),[1]!interpolar(L507,OFFSET(Curvas_cupon_cero!$A$1,1,0,COUNT(Curvas_cupon_cero!$A:$A)-2,1),OFFSET(Curvas_cupon_cero!$A$1,1,MATCH($B$8,Curvas_cupon_cero!$1:$1,0)-1,COUNT(Curvas_cupon_cero!$A:$A)-2,1))))</f>
        <v/>
      </c>
      <c r="E507" s="23" t="str">
        <f t="shared" si="73"/>
        <v/>
      </c>
      <c r="F507" s="23" t="str">
        <f ca="1">IF(A507="","",IF($B$10="Sí",interpolar_alamb(B507,OFFSET(Curvas_cupon_cero!$A$1,1,0,COUNT(Curvas_cupon_cero!$A:$A)-2,1),OFFSET(Curvas_cupon_cero!$A$1,1,MATCH($B$9,Curvas_cupon_cero!$1:$1,0)-1,COUNT(Curvas_cupon_cero!$A:$A)-2,1)),[1]!interpolar(B507,OFFSET(Curvas_cupon_cero!$A$1,1,0,COUNT(Curvas_cupon_cero!$A:$A)-2,1),OFFSET(Curvas_cupon_cero!$A$1,1,MATCH($B$9,Curvas_cupon_cero!$1:$1,0)-1,COUNT(Curvas_cupon_cero!$A:$A)-2,1))))</f>
        <v/>
      </c>
      <c r="G507" s="23" t="str">
        <f t="shared" si="74"/>
        <v/>
      </c>
      <c r="H507" s="20" t="str">
        <f t="shared" si="79"/>
        <v/>
      </c>
      <c r="I507" t="str">
        <f t="shared" si="75"/>
        <v/>
      </c>
      <c r="J507" s="17" t="str">
        <f t="shared" si="71"/>
        <v/>
      </c>
      <c r="K507" s="18" t="str">
        <f t="shared" si="76"/>
        <v/>
      </c>
      <c r="L507" t="str">
        <f t="shared" si="77"/>
        <v/>
      </c>
      <c r="M507" s="23" t="str">
        <f ca="1">IF(A507="","",IF($B$10="Sí",interpolar_alamb(L507,OFFSET(Curvas_cupon_cero!$A$1,1,0,COUNT(Curvas_cupon_cero!$A:$A)-2,1),OFFSET(Curvas_cupon_cero!$A$1,1,MATCH($B$6,Curvas_cupon_cero!$1:$1,0)-1,COUNT(Curvas_cupon_cero!$A:$A)-2,1)),[1]!interpolar(L507,OFFSET(Curvas_cupon_cero!$A$1,1,0,COUNT(Curvas_cupon_cero!$A:$A)-2,1),OFFSET(Curvas_cupon_cero!$A$1,1,MATCH($B$6,Curvas_cupon_cero!$1:$1,0)-1,COUNT(Curvas_cupon_cero!$A:$A)-2,1))))</f>
        <v/>
      </c>
      <c r="N507" s="23"/>
      <c r="O507" s="19" t="str">
        <f t="shared" si="78"/>
        <v/>
      </c>
    </row>
    <row r="508" spans="1:15" x14ac:dyDescent="0.2">
      <c r="A508" s="12" t="str">
        <f t="shared" si="72"/>
        <v/>
      </c>
      <c r="B508" t="str">
        <f t="shared" si="70"/>
        <v/>
      </c>
      <c r="C508" s="21" t="str">
        <f ca="1">IF(A508="","",IF($B$10="Sí",interpolar_alamb(B508,OFFSET(Curvas_cupon_cero!$A$1,1,0,COUNT(Curvas_cupon_cero!$A:$A)-2,1),OFFSET(Curvas_cupon_cero!$A$1,1,MATCH($B$8,Curvas_cupon_cero!$1:$1,0)-1,COUNT(Curvas_cupon_cero!$A:$A)-2,1)),[1]!interpolar(B508,OFFSET(Curvas_cupon_cero!$A$1,1,0,COUNT(Curvas_cupon_cero!$A:$A)-2,1),OFFSET(Curvas_cupon_cero!$A$1,1,MATCH($B$8,Curvas_cupon_cero!$1:$1,0)-1,COUNT(Curvas_cupon_cero!$A:$A)-2,1))))</f>
        <v/>
      </c>
      <c r="D508" s="23" t="str">
        <f ca="1">IF(A508="","",IF($B$10="Sí",interpolar_alamb(L508,OFFSET(Curvas_cupon_cero!$A$1,1,0,COUNT(Curvas_cupon_cero!$A:$A)-2,1),OFFSET(Curvas_cupon_cero!$A$1,1,MATCH($B$8,Curvas_cupon_cero!$1:$1,0)-1,COUNT(Curvas_cupon_cero!$A:$A)-2,1)),[1]!interpolar(L508,OFFSET(Curvas_cupon_cero!$A$1,1,0,COUNT(Curvas_cupon_cero!$A:$A)-2,1),OFFSET(Curvas_cupon_cero!$A$1,1,MATCH($B$8,Curvas_cupon_cero!$1:$1,0)-1,COUNT(Curvas_cupon_cero!$A:$A)-2,1))))</f>
        <v/>
      </c>
      <c r="E508" s="23" t="str">
        <f t="shared" si="73"/>
        <v/>
      </c>
      <c r="F508" s="23" t="str">
        <f ca="1">IF(A508="","",IF($B$10="Sí",interpolar_alamb(B508,OFFSET(Curvas_cupon_cero!$A$1,1,0,COUNT(Curvas_cupon_cero!$A:$A)-2,1),OFFSET(Curvas_cupon_cero!$A$1,1,MATCH($B$9,Curvas_cupon_cero!$1:$1,0)-1,COUNT(Curvas_cupon_cero!$A:$A)-2,1)),[1]!interpolar(B508,OFFSET(Curvas_cupon_cero!$A$1,1,0,COUNT(Curvas_cupon_cero!$A:$A)-2,1),OFFSET(Curvas_cupon_cero!$A$1,1,MATCH($B$9,Curvas_cupon_cero!$1:$1,0)-1,COUNT(Curvas_cupon_cero!$A:$A)-2,1))))</f>
        <v/>
      </c>
      <c r="G508" s="23" t="str">
        <f t="shared" si="74"/>
        <v/>
      </c>
      <c r="H508" s="20" t="str">
        <f t="shared" si="79"/>
        <v/>
      </c>
      <c r="I508" t="str">
        <f t="shared" si="75"/>
        <v/>
      </c>
      <c r="J508" s="17" t="str">
        <f t="shared" si="71"/>
        <v/>
      </c>
      <c r="K508" s="18" t="str">
        <f t="shared" si="76"/>
        <v/>
      </c>
      <c r="L508" t="str">
        <f t="shared" si="77"/>
        <v/>
      </c>
      <c r="M508" s="23" t="str">
        <f ca="1">IF(A508="","",IF($B$10="Sí",interpolar_alamb(L508,OFFSET(Curvas_cupon_cero!$A$1,1,0,COUNT(Curvas_cupon_cero!$A:$A)-2,1),OFFSET(Curvas_cupon_cero!$A$1,1,MATCH($B$6,Curvas_cupon_cero!$1:$1,0)-1,COUNT(Curvas_cupon_cero!$A:$A)-2,1)),[1]!interpolar(L508,OFFSET(Curvas_cupon_cero!$A$1,1,0,COUNT(Curvas_cupon_cero!$A:$A)-2,1),OFFSET(Curvas_cupon_cero!$A$1,1,MATCH($B$6,Curvas_cupon_cero!$1:$1,0)-1,COUNT(Curvas_cupon_cero!$A:$A)-2,1))))</f>
        <v/>
      </c>
      <c r="N508" s="23"/>
      <c r="O508" s="19" t="str">
        <f t="shared" si="78"/>
        <v/>
      </c>
    </row>
    <row r="509" spans="1:15" x14ac:dyDescent="0.2">
      <c r="A509" s="12" t="str">
        <f t="shared" si="72"/>
        <v/>
      </c>
      <c r="B509" t="str">
        <f t="shared" si="70"/>
        <v/>
      </c>
      <c r="C509" s="21" t="str">
        <f ca="1">IF(A509="","",IF($B$10="Sí",interpolar_alamb(B509,OFFSET(Curvas_cupon_cero!$A$1,1,0,COUNT(Curvas_cupon_cero!$A:$A)-2,1),OFFSET(Curvas_cupon_cero!$A$1,1,MATCH($B$8,Curvas_cupon_cero!$1:$1,0)-1,COUNT(Curvas_cupon_cero!$A:$A)-2,1)),[1]!interpolar(B509,OFFSET(Curvas_cupon_cero!$A$1,1,0,COUNT(Curvas_cupon_cero!$A:$A)-2,1),OFFSET(Curvas_cupon_cero!$A$1,1,MATCH($B$8,Curvas_cupon_cero!$1:$1,0)-1,COUNT(Curvas_cupon_cero!$A:$A)-2,1))))</f>
        <v/>
      </c>
      <c r="D509" s="23" t="str">
        <f ca="1">IF(A509="","",IF($B$10="Sí",interpolar_alamb(L509,OFFSET(Curvas_cupon_cero!$A$1,1,0,COUNT(Curvas_cupon_cero!$A:$A)-2,1),OFFSET(Curvas_cupon_cero!$A$1,1,MATCH($B$8,Curvas_cupon_cero!$1:$1,0)-1,COUNT(Curvas_cupon_cero!$A:$A)-2,1)),[1]!interpolar(L509,OFFSET(Curvas_cupon_cero!$A$1,1,0,COUNT(Curvas_cupon_cero!$A:$A)-2,1),OFFSET(Curvas_cupon_cero!$A$1,1,MATCH($B$8,Curvas_cupon_cero!$1:$1,0)-1,COUNT(Curvas_cupon_cero!$A:$A)-2,1))))</f>
        <v/>
      </c>
      <c r="E509" s="23" t="str">
        <f t="shared" si="73"/>
        <v/>
      </c>
      <c r="F509" s="23" t="str">
        <f ca="1">IF(A509="","",IF($B$10="Sí",interpolar_alamb(B509,OFFSET(Curvas_cupon_cero!$A$1,1,0,COUNT(Curvas_cupon_cero!$A:$A)-2,1),OFFSET(Curvas_cupon_cero!$A$1,1,MATCH($B$9,Curvas_cupon_cero!$1:$1,0)-1,COUNT(Curvas_cupon_cero!$A:$A)-2,1)),[1]!interpolar(B509,OFFSET(Curvas_cupon_cero!$A$1,1,0,COUNT(Curvas_cupon_cero!$A:$A)-2,1),OFFSET(Curvas_cupon_cero!$A$1,1,MATCH($B$9,Curvas_cupon_cero!$1:$1,0)-1,COUNT(Curvas_cupon_cero!$A:$A)-2,1))))</f>
        <v/>
      </c>
      <c r="G509" s="23" t="str">
        <f t="shared" si="74"/>
        <v/>
      </c>
      <c r="H509" s="20" t="str">
        <f t="shared" si="79"/>
        <v/>
      </c>
      <c r="I509" t="str">
        <f t="shared" si="75"/>
        <v/>
      </c>
      <c r="J509" s="17" t="str">
        <f t="shared" si="71"/>
        <v/>
      </c>
      <c r="K509" s="18" t="str">
        <f t="shared" si="76"/>
        <v/>
      </c>
      <c r="L509" t="str">
        <f t="shared" si="77"/>
        <v/>
      </c>
      <c r="M509" s="23" t="str">
        <f ca="1">IF(A509="","",IF($B$10="Sí",interpolar_alamb(L509,OFFSET(Curvas_cupon_cero!$A$1,1,0,COUNT(Curvas_cupon_cero!$A:$A)-2,1),OFFSET(Curvas_cupon_cero!$A$1,1,MATCH($B$6,Curvas_cupon_cero!$1:$1,0)-1,COUNT(Curvas_cupon_cero!$A:$A)-2,1)),[1]!interpolar(L509,OFFSET(Curvas_cupon_cero!$A$1,1,0,COUNT(Curvas_cupon_cero!$A:$A)-2,1),OFFSET(Curvas_cupon_cero!$A$1,1,MATCH($B$6,Curvas_cupon_cero!$1:$1,0)-1,COUNT(Curvas_cupon_cero!$A:$A)-2,1))))</f>
        <v/>
      </c>
      <c r="N509" s="23"/>
      <c r="O509" s="19" t="str">
        <f t="shared" si="78"/>
        <v/>
      </c>
    </row>
    <row r="510" spans="1:15" x14ac:dyDescent="0.2">
      <c r="A510" s="12" t="str">
        <f t="shared" si="72"/>
        <v/>
      </c>
      <c r="B510" t="str">
        <f t="shared" si="70"/>
        <v/>
      </c>
      <c r="C510" s="21" t="str">
        <f ca="1">IF(A510="","",IF($B$10="Sí",interpolar_alamb(B510,OFFSET(Curvas_cupon_cero!$A$1,1,0,COUNT(Curvas_cupon_cero!$A:$A)-2,1),OFFSET(Curvas_cupon_cero!$A$1,1,MATCH($B$8,Curvas_cupon_cero!$1:$1,0)-1,COUNT(Curvas_cupon_cero!$A:$A)-2,1)),[1]!interpolar(B510,OFFSET(Curvas_cupon_cero!$A$1,1,0,COUNT(Curvas_cupon_cero!$A:$A)-2,1),OFFSET(Curvas_cupon_cero!$A$1,1,MATCH($B$8,Curvas_cupon_cero!$1:$1,0)-1,COUNT(Curvas_cupon_cero!$A:$A)-2,1))))</f>
        <v/>
      </c>
      <c r="D510" s="23" t="str">
        <f ca="1">IF(A510="","",IF($B$10="Sí",interpolar_alamb(L510,OFFSET(Curvas_cupon_cero!$A$1,1,0,COUNT(Curvas_cupon_cero!$A:$A)-2,1),OFFSET(Curvas_cupon_cero!$A$1,1,MATCH($B$8,Curvas_cupon_cero!$1:$1,0)-1,COUNT(Curvas_cupon_cero!$A:$A)-2,1)),[1]!interpolar(L510,OFFSET(Curvas_cupon_cero!$A$1,1,0,COUNT(Curvas_cupon_cero!$A:$A)-2,1),OFFSET(Curvas_cupon_cero!$A$1,1,MATCH($B$8,Curvas_cupon_cero!$1:$1,0)-1,COUNT(Curvas_cupon_cero!$A:$A)-2,1))))</f>
        <v/>
      </c>
      <c r="E510" s="23" t="str">
        <f t="shared" si="73"/>
        <v/>
      </c>
      <c r="F510" s="23" t="str">
        <f ca="1">IF(A510="","",IF($B$10="Sí",interpolar_alamb(B510,OFFSET(Curvas_cupon_cero!$A$1,1,0,COUNT(Curvas_cupon_cero!$A:$A)-2,1),OFFSET(Curvas_cupon_cero!$A$1,1,MATCH($B$9,Curvas_cupon_cero!$1:$1,0)-1,COUNT(Curvas_cupon_cero!$A:$A)-2,1)),[1]!interpolar(B510,OFFSET(Curvas_cupon_cero!$A$1,1,0,COUNT(Curvas_cupon_cero!$A:$A)-2,1),OFFSET(Curvas_cupon_cero!$A$1,1,MATCH($B$9,Curvas_cupon_cero!$1:$1,0)-1,COUNT(Curvas_cupon_cero!$A:$A)-2,1))))</f>
        <v/>
      </c>
      <c r="G510" s="23" t="str">
        <f t="shared" si="74"/>
        <v/>
      </c>
      <c r="H510" s="20" t="str">
        <f t="shared" si="79"/>
        <v/>
      </c>
      <c r="I510" t="str">
        <f t="shared" si="75"/>
        <v/>
      </c>
      <c r="J510" s="17" t="str">
        <f t="shared" si="71"/>
        <v/>
      </c>
      <c r="K510" s="18" t="str">
        <f t="shared" si="76"/>
        <v/>
      </c>
      <c r="L510" t="str">
        <f t="shared" si="77"/>
        <v/>
      </c>
      <c r="M510" s="23" t="str">
        <f ca="1">IF(A510="","",IF($B$10="Sí",interpolar_alamb(L510,OFFSET(Curvas_cupon_cero!$A$1,1,0,COUNT(Curvas_cupon_cero!$A:$A)-2,1),OFFSET(Curvas_cupon_cero!$A$1,1,MATCH($B$6,Curvas_cupon_cero!$1:$1,0)-1,COUNT(Curvas_cupon_cero!$A:$A)-2,1)),[1]!interpolar(L510,OFFSET(Curvas_cupon_cero!$A$1,1,0,COUNT(Curvas_cupon_cero!$A:$A)-2,1),OFFSET(Curvas_cupon_cero!$A$1,1,MATCH($B$6,Curvas_cupon_cero!$1:$1,0)-1,COUNT(Curvas_cupon_cero!$A:$A)-2,1))))</f>
        <v/>
      </c>
      <c r="N510" s="23"/>
      <c r="O510" s="19" t="str">
        <f t="shared" si="78"/>
        <v/>
      </c>
    </row>
    <row r="511" spans="1:15" x14ac:dyDescent="0.2">
      <c r="A511" s="12" t="str">
        <f t="shared" si="72"/>
        <v/>
      </c>
      <c r="B511" t="str">
        <f t="shared" si="70"/>
        <v/>
      </c>
      <c r="C511" s="21" t="str">
        <f ca="1">IF(A511="","",IF($B$10="Sí",interpolar_alamb(B511,OFFSET(Curvas_cupon_cero!$A$1,1,0,COUNT(Curvas_cupon_cero!$A:$A)-2,1),OFFSET(Curvas_cupon_cero!$A$1,1,MATCH($B$8,Curvas_cupon_cero!$1:$1,0)-1,COUNT(Curvas_cupon_cero!$A:$A)-2,1)),[1]!interpolar(B511,OFFSET(Curvas_cupon_cero!$A$1,1,0,COUNT(Curvas_cupon_cero!$A:$A)-2,1),OFFSET(Curvas_cupon_cero!$A$1,1,MATCH($B$8,Curvas_cupon_cero!$1:$1,0)-1,COUNT(Curvas_cupon_cero!$A:$A)-2,1))))</f>
        <v/>
      </c>
      <c r="D511" s="23" t="str">
        <f ca="1">IF(A511="","",IF($B$10="Sí",interpolar_alamb(L511,OFFSET(Curvas_cupon_cero!$A$1,1,0,COUNT(Curvas_cupon_cero!$A:$A)-2,1),OFFSET(Curvas_cupon_cero!$A$1,1,MATCH($B$8,Curvas_cupon_cero!$1:$1,0)-1,COUNT(Curvas_cupon_cero!$A:$A)-2,1)),[1]!interpolar(L511,OFFSET(Curvas_cupon_cero!$A$1,1,0,COUNT(Curvas_cupon_cero!$A:$A)-2,1),OFFSET(Curvas_cupon_cero!$A$1,1,MATCH($B$8,Curvas_cupon_cero!$1:$1,0)-1,COUNT(Curvas_cupon_cero!$A:$A)-2,1))))</f>
        <v/>
      </c>
      <c r="E511" s="23" t="str">
        <f t="shared" si="73"/>
        <v/>
      </c>
      <c r="F511" s="23" t="str">
        <f ca="1">IF(A511="","",IF($B$10="Sí",interpolar_alamb(B511,OFFSET(Curvas_cupon_cero!$A$1,1,0,COUNT(Curvas_cupon_cero!$A:$A)-2,1),OFFSET(Curvas_cupon_cero!$A$1,1,MATCH($B$9,Curvas_cupon_cero!$1:$1,0)-1,COUNT(Curvas_cupon_cero!$A:$A)-2,1)),[1]!interpolar(B511,OFFSET(Curvas_cupon_cero!$A$1,1,0,COUNT(Curvas_cupon_cero!$A:$A)-2,1),OFFSET(Curvas_cupon_cero!$A$1,1,MATCH($B$9,Curvas_cupon_cero!$1:$1,0)-1,COUNT(Curvas_cupon_cero!$A:$A)-2,1))))</f>
        <v/>
      </c>
      <c r="G511" s="23" t="str">
        <f t="shared" si="74"/>
        <v/>
      </c>
      <c r="H511" s="20" t="str">
        <f t="shared" si="79"/>
        <v/>
      </c>
      <c r="I511" t="str">
        <f t="shared" si="75"/>
        <v/>
      </c>
      <c r="J511" s="17" t="str">
        <f t="shared" si="71"/>
        <v/>
      </c>
      <c r="K511" s="18" t="str">
        <f t="shared" si="76"/>
        <v/>
      </c>
      <c r="L511" t="str">
        <f t="shared" si="77"/>
        <v/>
      </c>
      <c r="M511" s="23" t="str">
        <f ca="1">IF(A511="","",IF($B$10="Sí",interpolar_alamb(L511,OFFSET(Curvas_cupon_cero!$A$1,1,0,COUNT(Curvas_cupon_cero!$A:$A)-2,1),OFFSET(Curvas_cupon_cero!$A$1,1,MATCH($B$6,Curvas_cupon_cero!$1:$1,0)-1,COUNT(Curvas_cupon_cero!$A:$A)-2,1)),[1]!interpolar(L511,OFFSET(Curvas_cupon_cero!$A$1,1,0,COUNT(Curvas_cupon_cero!$A:$A)-2,1),OFFSET(Curvas_cupon_cero!$A$1,1,MATCH($B$6,Curvas_cupon_cero!$1:$1,0)-1,COUNT(Curvas_cupon_cero!$A:$A)-2,1))))</f>
        <v/>
      </c>
      <c r="N511" s="23"/>
      <c r="O511" s="19" t="str">
        <f t="shared" si="78"/>
        <v/>
      </c>
    </row>
    <row r="512" spans="1:15" x14ac:dyDescent="0.2">
      <c r="A512" s="12" t="str">
        <f t="shared" si="72"/>
        <v/>
      </c>
      <c r="B512" t="str">
        <f t="shared" si="70"/>
        <v/>
      </c>
      <c r="C512" s="21" t="str">
        <f ca="1">IF(A512="","",IF($B$10="Sí",interpolar_alamb(B512,OFFSET(Curvas_cupon_cero!$A$1,1,0,COUNT(Curvas_cupon_cero!$A:$A)-2,1),OFFSET(Curvas_cupon_cero!$A$1,1,MATCH($B$8,Curvas_cupon_cero!$1:$1,0)-1,COUNT(Curvas_cupon_cero!$A:$A)-2,1)),[1]!interpolar(B512,OFFSET(Curvas_cupon_cero!$A$1,1,0,COUNT(Curvas_cupon_cero!$A:$A)-2,1),OFFSET(Curvas_cupon_cero!$A$1,1,MATCH($B$8,Curvas_cupon_cero!$1:$1,0)-1,COUNT(Curvas_cupon_cero!$A:$A)-2,1))))</f>
        <v/>
      </c>
      <c r="D512" s="23" t="str">
        <f ca="1">IF(A512="","",IF($B$10="Sí",interpolar_alamb(L512,OFFSET(Curvas_cupon_cero!$A$1,1,0,COUNT(Curvas_cupon_cero!$A:$A)-2,1),OFFSET(Curvas_cupon_cero!$A$1,1,MATCH($B$8,Curvas_cupon_cero!$1:$1,0)-1,COUNT(Curvas_cupon_cero!$A:$A)-2,1)),[1]!interpolar(L512,OFFSET(Curvas_cupon_cero!$A$1,1,0,COUNT(Curvas_cupon_cero!$A:$A)-2,1),OFFSET(Curvas_cupon_cero!$A$1,1,MATCH($B$8,Curvas_cupon_cero!$1:$1,0)-1,COUNT(Curvas_cupon_cero!$A:$A)-2,1))))</f>
        <v/>
      </c>
      <c r="E512" s="23" t="str">
        <f t="shared" si="73"/>
        <v/>
      </c>
      <c r="F512" s="23" t="str">
        <f ca="1">IF(A512="","",IF($B$10="Sí",interpolar_alamb(B512,OFFSET(Curvas_cupon_cero!$A$1,1,0,COUNT(Curvas_cupon_cero!$A:$A)-2,1),OFFSET(Curvas_cupon_cero!$A$1,1,MATCH($B$9,Curvas_cupon_cero!$1:$1,0)-1,COUNT(Curvas_cupon_cero!$A:$A)-2,1)),[1]!interpolar(B512,OFFSET(Curvas_cupon_cero!$A$1,1,0,COUNT(Curvas_cupon_cero!$A:$A)-2,1),OFFSET(Curvas_cupon_cero!$A$1,1,MATCH($B$9,Curvas_cupon_cero!$1:$1,0)-1,COUNT(Curvas_cupon_cero!$A:$A)-2,1))))</f>
        <v/>
      </c>
      <c r="G512" s="23" t="str">
        <f t="shared" si="74"/>
        <v/>
      </c>
      <c r="H512" s="20" t="str">
        <f t="shared" si="79"/>
        <v/>
      </c>
      <c r="I512" t="str">
        <f t="shared" si="75"/>
        <v/>
      </c>
      <c r="J512" s="17" t="str">
        <f t="shared" si="71"/>
        <v/>
      </c>
      <c r="K512" s="18" t="str">
        <f t="shared" si="76"/>
        <v/>
      </c>
      <c r="L512" t="str">
        <f t="shared" si="77"/>
        <v/>
      </c>
      <c r="M512" s="23" t="str">
        <f ca="1">IF(A512="","",IF($B$10="Sí",interpolar_alamb(L512,OFFSET(Curvas_cupon_cero!$A$1,1,0,COUNT(Curvas_cupon_cero!$A:$A)-2,1),OFFSET(Curvas_cupon_cero!$A$1,1,MATCH($B$6,Curvas_cupon_cero!$1:$1,0)-1,COUNT(Curvas_cupon_cero!$A:$A)-2,1)),[1]!interpolar(L512,OFFSET(Curvas_cupon_cero!$A$1,1,0,COUNT(Curvas_cupon_cero!$A:$A)-2,1),OFFSET(Curvas_cupon_cero!$A$1,1,MATCH($B$6,Curvas_cupon_cero!$1:$1,0)-1,COUNT(Curvas_cupon_cero!$A:$A)-2,1))))</f>
        <v/>
      </c>
      <c r="N512" s="23"/>
      <c r="O512" s="19" t="str">
        <f t="shared" si="78"/>
        <v/>
      </c>
    </row>
    <row r="513" spans="1:15" x14ac:dyDescent="0.2">
      <c r="A513" s="12" t="str">
        <f t="shared" si="72"/>
        <v/>
      </c>
      <c r="B513" t="str">
        <f t="shared" si="70"/>
        <v/>
      </c>
      <c r="C513" s="21" t="str">
        <f ca="1">IF(A513="","",IF($B$10="Sí",interpolar_alamb(B513,OFFSET(Curvas_cupon_cero!$A$1,1,0,COUNT(Curvas_cupon_cero!$A:$A)-2,1),OFFSET(Curvas_cupon_cero!$A$1,1,MATCH($B$8,Curvas_cupon_cero!$1:$1,0)-1,COUNT(Curvas_cupon_cero!$A:$A)-2,1)),[1]!interpolar(B513,OFFSET(Curvas_cupon_cero!$A$1,1,0,COUNT(Curvas_cupon_cero!$A:$A)-2,1),OFFSET(Curvas_cupon_cero!$A$1,1,MATCH($B$8,Curvas_cupon_cero!$1:$1,0)-1,COUNT(Curvas_cupon_cero!$A:$A)-2,1))))</f>
        <v/>
      </c>
      <c r="D513" s="23" t="str">
        <f ca="1">IF(A513="","",IF($B$10="Sí",interpolar_alamb(L513,OFFSET(Curvas_cupon_cero!$A$1,1,0,COUNT(Curvas_cupon_cero!$A:$A)-2,1),OFFSET(Curvas_cupon_cero!$A$1,1,MATCH($B$8,Curvas_cupon_cero!$1:$1,0)-1,COUNT(Curvas_cupon_cero!$A:$A)-2,1)),[1]!interpolar(L513,OFFSET(Curvas_cupon_cero!$A$1,1,0,COUNT(Curvas_cupon_cero!$A:$A)-2,1),OFFSET(Curvas_cupon_cero!$A$1,1,MATCH($B$8,Curvas_cupon_cero!$1:$1,0)-1,COUNT(Curvas_cupon_cero!$A:$A)-2,1))))</f>
        <v/>
      </c>
      <c r="E513" s="23" t="str">
        <f t="shared" si="73"/>
        <v/>
      </c>
      <c r="F513" s="23" t="str">
        <f ca="1">IF(A513="","",IF($B$10="Sí",interpolar_alamb(B513,OFFSET(Curvas_cupon_cero!$A$1,1,0,COUNT(Curvas_cupon_cero!$A:$A)-2,1),OFFSET(Curvas_cupon_cero!$A$1,1,MATCH($B$9,Curvas_cupon_cero!$1:$1,0)-1,COUNT(Curvas_cupon_cero!$A:$A)-2,1)),[1]!interpolar(B513,OFFSET(Curvas_cupon_cero!$A$1,1,0,COUNT(Curvas_cupon_cero!$A:$A)-2,1),OFFSET(Curvas_cupon_cero!$A$1,1,MATCH($B$9,Curvas_cupon_cero!$1:$1,0)-1,COUNT(Curvas_cupon_cero!$A:$A)-2,1))))</f>
        <v/>
      </c>
      <c r="G513" s="23" t="str">
        <f t="shared" si="74"/>
        <v/>
      </c>
      <c r="H513" s="20" t="str">
        <f t="shared" si="79"/>
        <v/>
      </c>
      <c r="I513" t="str">
        <f t="shared" si="75"/>
        <v/>
      </c>
      <c r="J513" s="17" t="str">
        <f t="shared" si="71"/>
        <v/>
      </c>
      <c r="K513" s="18" t="str">
        <f t="shared" si="76"/>
        <v/>
      </c>
      <c r="L513" t="str">
        <f t="shared" si="77"/>
        <v/>
      </c>
      <c r="M513" s="23" t="str">
        <f ca="1">IF(A513="","",IF($B$10="Sí",interpolar_alamb(L513,OFFSET(Curvas_cupon_cero!$A$1,1,0,COUNT(Curvas_cupon_cero!$A:$A)-2,1),OFFSET(Curvas_cupon_cero!$A$1,1,MATCH($B$6,Curvas_cupon_cero!$1:$1,0)-1,COUNT(Curvas_cupon_cero!$A:$A)-2,1)),[1]!interpolar(L513,OFFSET(Curvas_cupon_cero!$A$1,1,0,COUNT(Curvas_cupon_cero!$A:$A)-2,1),OFFSET(Curvas_cupon_cero!$A$1,1,MATCH($B$6,Curvas_cupon_cero!$1:$1,0)-1,COUNT(Curvas_cupon_cero!$A:$A)-2,1))))</f>
        <v/>
      </c>
      <c r="N513" s="23"/>
      <c r="O513" s="19" t="str">
        <f t="shared" si="78"/>
        <v/>
      </c>
    </row>
    <row r="514" spans="1:15" x14ac:dyDescent="0.2">
      <c r="A514" s="12" t="str">
        <f t="shared" si="72"/>
        <v/>
      </c>
      <c r="B514" t="str">
        <f t="shared" si="70"/>
        <v/>
      </c>
      <c r="C514" s="21" t="str">
        <f ca="1">IF(A514="","",IF($B$10="Sí",interpolar_alamb(B514,OFFSET(Curvas_cupon_cero!$A$1,1,0,COUNT(Curvas_cupon_cero!$A:$A)-2,1),OFFSET(Curvas_cupon_cero!$A$1,1,MATCH($B$8,Curvas_cupon_cero!$1:$1,0)-1,COUNT(Curvas_cupon_cero!$A:$A)-2,1)),[1]!interpolar(B514,OFFSET(Curvas_cupon_cero!$A$1,1,0,COUNT(Curvas_cupon_cero!$A:$A)-2,1),OFFSET(Curvas_cupon_cero!$A$1,1,MATCH($B$8,Curvas_cupon_cero!$1:$1,0)-1,COUNT(Curvas_cupon_cero!$A:$A)-2,1))))</f>
        <v/>
      </c>
      <c r="D514" s="23" t="str">
        <f ca="1">IF(A514="","",IF($B$10="Sí",interpolar_alamb(L514,OFFSET(Curvas_cupon_cero!$A$1,1,0,COUNT(Curvas_cupon_cero!$A:$A)-2,1),OFFSET(Curvas_cupon_cero!$A$1,1,MATCH($B$8,Curvas_cupon_cero!$1:$1,0)-1,COUNT(Curvas_cupon_cero!$A:$A)-2,1)),[1]!interpolar(L514,OFFSET(Curvas_cupon_cero!$A$1,1,0,COUNT(Curvas_cupon_cero!$A:$A)-2,1),OFFSET(Curvas_cupon_cero!$A$1,1,MATCH($B$8,Curvas_cupon_cero!$1:$1,0)-1,COUNT(Curvas_cupon_cero!$A:$A)-2,1))))</f>
        <v/>
      </c>
      <c r="E514" s="23" t="str">
        <f t="shared" si="73"/>
        <v/>
      </c>
      <c r="F514" s="23" t="str">
        <f ca="1">IF(A514="","",IF($B$10="Sí",interpolar_alamb(B514,OFFSET(Curvas_cupon_cero!$A$1,1,0,COUNT(Curvas_cupon_cero!$A:$A)-2,1),OFFSET(Curvas_cupon_cero!$A$1,1,MATCH($B$9,Curvas_cupon_cero!$1:$1,0)-1,COUNT(Curvas_cupon_cero!$A:$A)-2,1)),[1]!interpolar(B514,OFFSET(Curvas_cupon_cero!$A$1,1,0,COUNT(Curvas_cupon_cero!$A:$A)-2,1),OFFSET(Curvas_cupon_cero!$A$1,1,MATCH($B$9,Curvas_cupon_cero!$1:$1,0)-1,COUNT(Curvas_cupon_cero!$A:$A)-2,1))))</f>
        <v/>
      </c>
      <c r="G514" s="23" t="str">
        <f t="shared" si="74"/>
        <v/>
      </c>
      <c r="H514" s="20" t="str">
        <f t="shared" si="79"/>
        <v/>
      </c>
      <c r="I514" t="str">
        <f t="shared" si="75"/>
        <v/>
      </c>
      <c r="J514" s="17" t="str">
        <f t="shared" si="71"/>
        <v/>
      </c>
      <c r="K514" s="18" t="str">
        <f t="shared" si="76"/>
        <v/>
      </c>
      <c r="L514" t="str">
        <f t="shared" si="77"/>
        <v/>
      </c>
      <c r="M514" s="23" t="str">
        <f ca="1">IF(A514="","",IF($B$10="Sí",interpolar_alamb(L514,OFFSET(Curvas_cupon_cero!$A$1,1,0,COUNT(Curvas_cupon_cero!$A:$A)-2,1),OFFSET(Curvas_cupon_cero!$A$1,1,MATCH($B$6,Curvas_cupon_cero!$1:$1,0)-1,COUNT(Curvas_cupon_cero!$A:$A)-2,1)),[1]!interpolar(L514,OFFSET(Curvas_cupon_cero!$A$1,1,0,COUNT(Curvas_cupon_cero!$A:$A)-2,1),OFFSET(Curvas_cupon_cero!$A$1,1,MATCH($B$6,Curvas_cupon_cero!$1:$1,0)-1,COUNT(Curvas_cupon_cero!$A:$A)-2,1))))</f>
        <v/>
      </c>
      <c r="N514" s="23"/>
      <c r="O514" s="19" t="str">
        <f t="shared" si="78"/>
        <v/>
      </c>
    </row>
    <row r="515" spans="1:15" x14ac:dyDescent="0.2">
      <c r="A515" s="12" t="str">
        <f t="shared" si="72"/>
        <v/>
      </c>
      <c r="B515" t="str">
        <f t="shared" si="70"/>
        <v/>
      </c>
      <c r="C515" s="21" t="str">
        <f ca="1">IF(A515="","",IF($B$10="Sí",interpolar_alamb(B515,OFFSET(Curvas_cupon_cero!$A$1,1,0,COUNT(Curvas_cupon_cero!$A:$A)-2,1),OFFSET(Curvas_cupon_cero!$A$1,1,MATCH($B$8,Curvas_cupon_cero!$1:$1,0)-1,COUNT(Curvas_cupon_cero!$A:$A)-2,1)),[1]!interpolar(B515,OFFSET(Curvas_cupon_cero!$A$1,1,0,COUNT(Curvas_cupon_cero!$A:$A)-2,1),OFFSET(Curvas_cupon_cero!$A$1,1,MATCH($B$8,Curvas_cupon_cero!$1:$1,0)-1,COUNT(Curvas_cupon_cero!$A:$A)-2,1))))</f>
        <v/>
      </c>
      <c r="D515" s="23" t="str">
        <f ca="1">IF(A515="","",IF($B$10="Sí",interpolar_alamb(L515,OFFSET(Curvas_cupon_cero!$A$1,1,0,COUNT(Curvas_cupon_cero!$A:$A)-2,1),OFFSET(Curvas_cupon_cero!$A$1,1,MATCH($B$8,Curvas_cupon_cero!$1:$1,0)-1,COUNT(Curvas_cupon_cero!$A:$A)-2,1)),[1]!interpolar(L515,OFFSET(Curvas_cupon_cero!$A$1,1,0,COUNT(Curvas_cupon_cero!$A:$A)-2,1),OFFSET(Curvas_cupon_cero!$A$1,1,MATCH($B$8,Curvas_cupon_cero!$1:$1,0)-1,COUNT(Curvas_cupon_cero!$A:$A)-2,1))))</f>
        <v/>
      </c>
      <c r="E515" s="23" t="str">
        <f t="shared" si="73"/>
        <v/>
      </c>
      <c r="F515" s="23" t="str">
        <f ca="1">IF(A515="","",IF($B$10="Sí",interpolar_alamb(B515,OFFSET(Curvas_cupon_cero!$A$1,1,0,COUNT(Curvas_cupon_cero!$A:$A)-2,1),OFFSET(Curvas_cupon_cero!$A$1,1,MATCH($B$9,Curvas_cupon_cero!$1:$1,0)-1,COUNT(Curvas_cupon_cero!$A:$A)-2,1)),[1]!interpolar(B515,OFFSET(Curvas_cupon_cero!$A$1,1,0,COUNT(Curvas_cupon_cero!$A:$A)-2,1),OFFSET(Curvas_cupon_cero!$A$1,1,MATCH($B$9,Curvas_cupon_cero!$1:$1,0)-1,COUNT(Curvas_cupon_cero!$A:$A)-2,1))))</f>
        <v/>
      </c>
      <c r="G515" s="23" t="str">
        <f t="shared" si="74"/>
        <v/>
      </c>
      <c r="H515" s="20" t="str">
        <f t="shared" si="79"/>
        <v/>
      </c>
      <c r="I515" t="str">
        <f t="shared" si="75"/>
        <v/>
      </c>
      <c r="J515" s="17" t="str">
        <f t="shared" si="71"/>
        <v/>
      </c>
      <c r="K515" s="18" t="str">
        <f t="shared" si="76"/>
        <v/>
      </c>
      <c r="L515" t="str">
        <f t="shared" si="77"/>
        <v/>
      </c>
      <c r="M515" s="23" t="str">
        <f ca="1">IF(A515="","",IF($B$10="Sí",interpolar_alamb(L515,OFFSET(Curvas_cupon_cero!$A$1,1,0,COUNT(Curvas_cupon_cero!$A:$A)-2,1),OFFSET(Curvas_cupon_cero!$A$1,1,MATCH($B$6,Curvas_cupon_cero!$1:$1,0)-1,COUNT(Curvas_cupon_cero!$A:$A)-2,1)),[1]!interpolar(L515,OFFSET(Curvas_cupon_cero!$A$1,1,0,COUNT(Curvas_cupon_cero!$A:$A)-2,1),OFFSET(Curvas_cupon_cero!$A$1,1,MATCH($B$6,Curvas_cupon_cero!$1:$1,0)-1,COUNT(Curvas_cupon_cero!$A:$A)-2,1))))</f>
        <v/>
      </c>
      <c r="N515" s="23"/>
      <c r="O515" s="19" t="str">
        <f t="shared" si="78"/>
        <v/>
      </c>
    </row>
    <row r="516" spans="1:15" x14ac:dyDescent="0.2">
      <c r="A516" s="12" t="str">
        <f t="shared" si="72"/>
        <v/>
      </c>
      <c r="B516" t="str">
        <f t="shared" si="70"/>
        <v/>
      </c>
      <c r="C516" s="21" t="str">
        <f ca="1">IF(A516="","",IF($B$10="Sí",interpolar_alamb(B516,OFFSET(Curvas_cupon_cero!$A$1,1,0,COUNT(Curvas_cupon_cero!$A:$A)-2,1),OFFSET(Curvas_cupon_cero!$A$1,1,MATCH($B$8,Curvas_cupon_cero!$1:$1,0)-1,COUNT(Curvas_cupon_cero!$A:$A)-2,1)),[1]!interpolar(B516,OFFSET(Curvas_cupon_cero!$A$1,1,0,COUNT(Curvas_cupon_cero!$A:$A)-2,1),OFFSET(Curvas_cupon_cero!$A$1,1,MATCH($B$8,Curvas_cupon_cero!$1:$1,0)-1,COUNT(Curvas_cupon_cero!$A:$A)-2,1))))</f>
        <v/>
      </c>
      <c r="D516" s="23" t="str">
        <f ca="1">IF(A516="","",IF($B$10="Sí",interpolar_alamb(L516,OFFSET(Curvas_cupon_cero!$A$1,1,0,COUNT(Curvas_cupon_cero!$A:$A)-2,1),OFFSET(Curvas_cupon_cero!$A$1,1,MATCH($B$8,Curvas_cupon_cero!$1:$1,0)-1,COUNT(Curvas_cupon_cero!$A:$A)-2,1)),[1]!interpolar(L516,OFFSET(Curvas_cupon_cero!$A$1,1,0,COUNT(Curvas_cupon_cero!$A:$A)-2,1),OFFSET(Curvas_cupon_cero!$A$1,1,MATCH($B$8,Curvas_cupon_cero!$1:$1,0)-1,COUNT(Curvas_cupon_cero!$A:$A)-2,1))))</f>
        <v/>
      </c>
      <c r="E516" s="23" t="str">
        <f t="shared" si="73"/>
        <v/>
      </c>
      <c r="F516" s="23" t="str">
        <f ca="1">IF(A516="","",IF($B$10="Sí",interpolar_alamb(B516,OFFSET(Curvas_cupon_cero!$A$1,1,0,COUNT(Curvas_cupon_cero!$A:$A)-2,1),OFFSET(Curvas_cupon_cero!$A$1,1,MATCH($B$9,Curvas_cupon_cero!$1:$1,0)-1,COUNT(Curvas_cupon_cero!$A:$A)-2,1)),[1]!interpolar(B516,OFFSET(Curvas_cupon_cero!$A$1,1,0,COUNT(Curvas_cupon_cero!$A:$A)-2,1),OFFSET(Curvas_cupon_cero!$A$1,1,MATCH($B$9,Curvas_cupon_cero!$1:$1,0)-1,COUNT(Curvas_cupon_cero!$A:$A)-2,1))))</f>
        <v/>
      </c>
      <c r="G516" s="23" t="str">
        <f t="shared" si="74"/>
        <v/>
      </c>
      <c r="H516" s="20" t="str">
        <f t="shared" si="79"/>
        <v/>
      </c>
      <c r="I516" t="str">
        <f t="shared" si="75"/>
        <v/>
      </c>
      <c r="J516" s="17" t="str">
        <f t="shared" si="71"/>
        <v/>
      </c>
      <c r="K516" s="18" t="str">
        <f t="shared" si="76"/>
        <v/>
      </c>
      <c r="L516" t="str">
        <f t="shared" si="77"/>
        <v/>
      </c>
      <c r="M516" s="23" t="str">
        <f ca="1">IF(A516="","",IF($B$10="Sí",interpolar_alamb(L516,OFFSET(Curvas_cupon_cero!$A$1,1,0,COUNT(Curvas_cupon_cero!$A:$A)-2,1),OFFSET(Curvas_cupon_cero!$A$1,1,MATCH($B$6,Curvas_cupon_cero!$1:$1,0)-1,COUNT(Curvas_cupon_cero!$A:$A)-2,1)),[1]!interpolar(L516,OFFSET(Curvas_cupon_cero!$A$1,1,0,COUNT(Curvas_cupon_cero!$A:$A)-2,1),OFFSET(Curvas_cupon_cero!$A$1,1,MATCH($B$6,Curvas_cupon_cero!$1:$1,0)-1,COUNT(Curvas_cupon_cero!$A:$A)-2,1))))</f>
        <v/>
      </c>
      <c r="N516" s="23"/>
      <c r="O516" s="19" t="str">
        <f t="shared" si="78"/>
        <v/>
      </c>
    </row>
    <row r="517" spans="1:15" x14ac:dyDescent="0.2">
      <c r="A517" s="12" t="str">
        <f t="shared" si="72"/>
        <v/>
      </c>
      <c r="B517" t="str">
        <f t="shared" si="70"/>
        <v/>
      </c>
      <c r="C517" s="21" t="str">
        <f ca="1">IF(A517="","",IF($B$10="Sí",interpolar_alamb(B517,OFFSET(Curvas_cupon_cero!$A$1,1,0,COUNT(Curvas_cupon_cero!$A:$A)-2,1),OFFSET(Curvas_cupon_cero!$A$1,1,MATCH($B$8,Curvas_cupon_cero!$1:$1,0)-1,COUNT(Curvas_cupon_cero!$A:$A)-2,1)),[1]!interpolar(B517,OFFSET(Curvas_cupon_cero!$A$1,1,0,COUNT(Curvas_cupon_cero!$A:$A)-2,1),OFFSET(Curvas_cupon_cero!$A$1,1,MATCH($B$8,Curvas_cupon_cero!$1:$1,0)-1,COUNT(Curvas_cupon_cero!$A:$A)-2,1))))</f>
        <v/>
      </c>
      <c r="D517" s="23" t="str">
        <f ca="1">IF(A517="","",IF($B$10="Sí",interpolar_alamb(L517,OFFSET(Curvas_cupon_cero!$A$1,1,0,COUNT(Curvas_cupon_cero!$A:$A)-2,1),OFFSET(Curvas_cupon_cero!$A$1,1,MATCH($B$8,Curvas_cupon_cero!$1:$1,0)-1,COUNT(Curvas_cupon_cero!$A:$A)-2,1)),[1]!interpolar(L517,OFFSET(Curvas_cupon_cero!$A$1,1,0,COUNT(Curvas_cupon_cero!$A:$A)-2,1),OFFSET(Curvas_cupon_cero!$A$1,1,MATCH($B$8,Curvas_cupon_cero!$1:$1,0)-1,COUNT(Curvas_cupon_cero!$A:$A)-2,1))))</f>
        <v/>
      </c>
      <c r="E517" s="23" t="str">
        <f t="shared" si="73"/>
        <v/>
      </c>
      <c r="F517" s="23" t="str">
        <f ca="1">IF(A517="","",IF($B$10="Sí",interpolar_alamb(B517,OFFSET(Curvas_cupon_cero!$A$1,1,0,COUNT(Curvas_cupon_cero!$A:$A)-2,1),OFFSET(Curvas_cupon_cero!$A$1,1,MATCH($B$9,Curvas_cupon_cero!$1:$1,0)-1,COUNT(Curvas_cupon_cero!$A:$A)-2,1)),[1]!interpolar(B517,OFFSET(Curvas_cupon_cero!$A$1,1,0,COUNT(Curvas_cupon_cero!$A:$A)-2,1),OFFSET(Curvas_cupon_cero!$A$1,1,MATCH($B$9,Curvas_cupon_cero!$1:$1,0)-1,COUNT(Curvas_cupon_cero!$A:$A)-2,1))))</f>
        <v/>
      </c>
      <c r="G517" s="23" t="str">
        <f t="shared" si="74"/>
        <v/>
      </c>
      <c r="H517" s="20" t="str">
        <f t="shared" si="79"/>
        <v/>
      </c>
      <c r="I517" t="str">
        <f t="shared" si="75"/>
        <v/>
      </c>
      <c r="J517" s="17" t="str">
        <f t="shared" si="71"/>
        <v/>
      </c>
      <c r="K517" s="18" t="str">
        <f t="shared" si="76"/>
        <v/>
      </c>
      <c r="L517" t="str">
        <f t="shared" si="77"/>
        <v/>
      </c>
      <c r="M517" s="23" t="str">
        <f ca="1">IF(A517="","",IF($B$10="Sí",interpolar_alamb(L517,OFFSET(Curvas_cupon_cero!$A$1,1,0,COUNT(Curvas_cupon_cero!$A:$A)-2,1),OFFSET(Curvas_cupon_cero!$A$1,1,MATCH($B$6,Curvas_cupon_cero!$1:$1,0)-1,COUNT(Curvas_cupon_cero!$A:$A)-2,1)),[1]!interpolar(L517,OFFSET(Curvas_cupon_cero!$A$1,1,0,COUNT(Curvas_cupon_cero!$A:$A)-2,1),OFFSET(Curvas_cupon_cero!$A$1,1,MATCH($B$6,Curvas_cupon_cero!$1:$1,0)-1,COUNT(Curvas_cupon_cero!$A:$A)-2,1))))</f>
        <v/>
      </c>
      <c r="N517" s="23"/>
      <c r="O517" s="19" t="str">
        <f t="shared" si="78"/>
        <v/>
      </c>
    </row>
    <row r="518" spans="1:15" x14ac:dyDescent="0.2">
      <c r="A518" s="12" t="str">
        <f t="shared" si="72"/>
        <v/>
      </c>
      <c r="B518" t="str">
        <f t="shared" si="70"/>
        <v/>
      </c>
      <c r="C518" s="21" t="str">
        <f ca="1">IF(A518="","",IF($B$10="Sí",interpolar_alamb(B518,OFFSET(Curvas_cupon_cero!$A$1,1,0,COUNT(Curvas_cupon_cero!$A:$A)-2,1),OFFSET(Curvas_cupon_cero!$A$1,1,MATCH($B$8,Curvas_cupon_cero!$1:$1,0)-1,COUNT(Curvas_cupon_cero!$A:$A)-2,1)),[1]!interpolar(B518,OFFSET(Curvas_cupon_cero!$A$1,1,0,COUNT(Curvas_cupon_cero!$A:$A)-2,1),OFFSET(Curvas_cupon_cero!$A$1,1,MATCH($B$8,Curvas_cupon_cero!$1:$1,0)-1,COUNT(Curvas_cupon_cero!$A:$A)-2,1))))</f>
        <v/>
      </c>
      <c r="D518" s="23" t="str">
        <f ca="1">IF(A518="","",IF($B$10="Sí",interpolar_alamb(L518,OFFSET(Curvas_cupon_cero!$A$1,1,0,COUNT(Curvas_cupon_cero!$A:$A)-2,1),OFFSET(Curvas_cupon_cero!$A$1,1,MATCH($B$8,Curvas_cupon_cero!$1:$1,0)-1,COUNT(Curvas_cupon_cero!$A:$A)-2,1)),[1]!interpolar(L518,OFFSET(Curvas_cupon_cero!$A$1,1,0,COUNT(Curvas_cupon_cero!$A:$A)-2,1),OFFSET(Curvas_cupon_cero!$A$1,1,MATCH($B$8,Curvas_cupon_cero!$1:$1,0)-1,COUNT(Curvas_cupon_cero!$A:$A)-2,1))))</f>
        <v/>
      </c>
      <c r="E518" s="23" t="str">
        <f t="shared" si="73"/>
        <v/>
      </c>
      <c r="F518" s="23" t="str">
        <f ca="1">IF(A518="","",IF($B$10="Sí",interpolar_alamb(B518,OFFSET(Curvas_cupon_cero!$A$1,1,0,COUNT(Curvas_cupon_cero!$A:$A)-2,1),OFFSET(Curvas_cupon_cero!$A$1,1,MATCH($B$9,Curvas_cupon_cero!$1:$1,0)-1,COUNT(Curvas_cupon_cero!$A:$A)-2,1)),[1]!interpolar(B518,OFFSET(Curvas_cupon_cero!$A$1,1,0,COUNT(Curvas_cupon_cero!$A:$A)-2,1),OFFSET(Curvas_cupon_cero!$A$1,1,MATCH($B$9,Curvas_cupon_cero!$1:$1,0)-1,COUNT(Curvas_cupon_cero!$A:$A)-2,1))))</f>
        <v/>
      </c>
      <c r="G518" s="23" t="str">
        <f t="shared" si="74"/>
        <v/>
      </c>
      <c r="H518" s="20" t="str">
        <f t="shared" si="79"/>
        <v/>
      </c>
      <c r="I518" t="str">
        <f t="shared" si="75"/>
        <v/>
      </c>
      <c r="J518" s="17" t="str">
        <f t="shared" si="71"/>
        <v/>
      </c>
      <c r="K518" s="18" t="str">
        <f t="shared" si="76"/>
        <v/>
      </c>
      <c r="L518" t="str">
        <f t="shared" si="77"/>
        <v/>
      </c>
      <c r="M518" s="23" t="str">
        <f ca="1">IF(A518="","",IF($B$10="Sí",interpolar_alamb(L518,OFFSET(Curvas_cupon_cero!$A$1,1,0,COUNT(Curvas_cupon_cero!$A:$A)-2,1),OFFSET(Curvas_cupon_cero!$A$1,1,MATCH($B$6,Curvas_cupon_cero!$1:$1,0)-1,COUNT(Curvas_cupon_cero!$A:$A)-2,1)),[1]!interpolar(L518,OFFSET(Curvas_cupon_cero!$A$1,1,0,COUNT(Curvas_cupon_cero!$A:$A)-2,1),OFFSET(Curvas_cupon_cero!$A$1,1,MATCH($B$6,Curvas_cupon_cero!$1:$1,0)-1,COUNT(Curvas_cupon_cero!$A:$A)-2,1))))</f>
        <v/>
      </c>
      <c r="N518" s="23"/>
      <c r="O518" s="19" t="str">
        <f t="shared" si="78"/>
        <v/>
      </c>
    </row>
    <row r="519" spans="1:15" x14ac:dyDescent="0.2">
      <c r="A519" s="12" t="str">
        <f t="shared" si="72"/>
        <v/>
      </c>
      <c r="B519" t="str">
        <f t="shared" si="70"/>
        <v/>
      </c>
      <c r="C519" s="21" t="str">
        <f ca="1">IF(A519="","",IF($B$10="Sí",interpolar_alamb(B519,OFFSET(Curvas_cupon_cero!$A$1,1,0,COUNT(Curvas_cupon_cero!$A:$A)-2,1),OFFSET(Curvas_cupon_cero!$A$1,1,MATCH($B$8,Curvas_cupon_cero!$1:$1,0)-1,COUNT(Curvas_cupon_cero!$A:$A)-2,1)),[1]!interpolar(B519,OFFSET(Curvas_cupon_cero!$A$1,1,0,COUNT(Curvas_cupon_cero!$A:$A)-2,1),OFFSET(Curvas_cupon_cero!$A$1,1,MATCH($B$8,Curvas_cupon_cero!$1:$1,0)-1,COUNT(Curvas_cupon_cero!$A:$A)-2,1))))</f>
        <v/>
      </c>
      <c r="D519" s="23" t="str">
        <f ca="1">IF(A519="","",IF($B$10="Sí",interpolar_alamb(L519,OFFSET(Curvas_cupon_cero!$A$1,1,0,COUNT(Curvas_cupon_cero!$A:$A)-2,1),OFFSET(Curvas_cupon_cero!$A$1,1,MATCH($B$8,Curvas_cupon_cero!$1:$1,0)-1,COUNT(Curvas_cupon_cero!$A:$A)-2,1)),[1]!interpolar(L519,OFFSET(Curvas_cupon_cero!$A$1,1,0,COUNT(Curvas_cupon_cero!$A:$A)-2,1),OFFSET(Curvas_cupon_cero!$A$1,1,MATCH($B$8,Curvas_cupon_cero!$1:$1,0)-1,COUNT(Curvas_cupon_cero!$A:$A)-2,1))))</f>
        <v/>
      </c>
      <c r="E519" s="23" t="str">
        <f t="shared" si="73"/>
        <v/>
      </c>
      <c r="F519" s="23" t="str">
        <f ca="1">IF(A519="","",IF($B$10="Sí",interpolar_alamb(B519,OFFSET(Curvas_cupon_cero!$A$1,1,0,COUNT(Curvas_cupon_cero!$A:$A)-2,1),OFFSET(Curvas_cupon_cero!$A$1,1,MATCH($B$9,Curvas_cupon_cero!$1:$1,0)-1,COUNT(Curvas_cupon_cero!$A:$A)-2,1)),[1]!interpolar(B519,OFFSET(Curvas_cupon_cero!$A$1,1,0,COUNT(Curvas_cupon_cero!$A:$A)-2,1),OFFSET(Curvas_cupon_cero!$A$1,1,MATCH($B$9,Curvas_cupon_cero!$1:$1,0)-1,COUNT(Curvas_cupon_cero!$A:$A)-2,1))))</f>
        <v/>
      </c>
      <c r="G519" s="23" t="str">
        <f t="shared" si="74"/>
        <v/>
      </c>
      <c r="H519" s="20" t="str">
        <f t="shared" si="79"/>
        <v/>
      </c>
      <c r="I519" t="str">
        <f t="shared" si="75"/>
        <v/>
      </c>
      <c r="J519" s="17" t="str">
        <f t="shared" si="71"/>
        <v/>
      </c>
      <c r="K519" s="18" t="str">
        <f t="shared" si="76"/>
        <v/>
      </c>
      <c r="L519" t="str">
        <f t="shared" si="77"/>
        <v/>
      </c>
      <c r="M519" s="23" t="str">
        <f ca="1">IF(A519="","",IF($B$10="Sí",interpolar_alamb(L519,OFFSET(Curvas_cupon_cero!$A$1,1,0,COUNT(Curvas_cupon_cero!$A:$A)-2,1),OFFSET(Curvas_cupon_cero!$A$1,1,MATCH($B$6,Curvas_cupon_cero!$1:$1,0)-1,COUNT(Curvas_cupon_cero!$A:$A)-2,1)),[1]!interpolar(L519,OFFSET(Curvas_cupon_cero!$A$1,1,0,COUNT(Curvas_cupon_cero!$A:$A)-2,1),OFFSET(Curvas_cupon_cero!$A$1,1,MATCH($B$6,Curvas_cupon_cero!$1:$1,0)-1,COUNT(Curvas_cupon_cero!$A:$A)-2,1))))</f>
        <v/>
      </c>
      <c r="N519" s="23"/>
      <c r="O519" s="19" t="str">
        <f t="shared" si="78"/>
        <v/>
      </c>
    </row>
    <row r="520" spans="1:15" x14ac:dyDescent="0.2">
      <c r="A520" s="12" t="str">
        <f t="shared" si="72"/>
        <v/>
      </c>
      <c r="B520" t="str">
        <f t="shared" si="70"/>
        <v/>
      </c>
      <c r="C520" s="21" t="str">
        <f ca="1">IF(A520="","",IF($B$10="Sí",interpolar_alamb(B520,OFFSET(Curvas_cupon_cero!$A$1,1,0,COUNT(Curvas_cupon_cero!$A:$A)-2,1),OFFSET(Curvas_cupon_cero!$A$1,1,MATCH($B$8,Curvas_cupon_cero!$1:$1,0)-1,COUNT(Curvas_cupon_cero!$A:$A)-2,1)),[1]!interpolar(B520,OFFSET(Curvas_cupon_cero!$A$1,1,0,COUNT(Curvas_cupon_cero!$A:$A)-2,1),OFFSET(Curvas_cupon_cero!$A$1,1,MATCH($B$8,Curvas_cupon_cero!$1:$1,0)-1,COUNT(Curvas_cupon_cero!$A:$A)-2,1))))</f>
        <v/>
      </c>
      <c r="D520" s="23" t="str">
        <f ca="1">IF(A520="","",IF($B$10="Sí",interpolar_alamb(L520,OFFSET(Curvas_cupon_cero!$A$1,1,0,COUNT(Curvas_cupon_cero!$A:$A)-2,1),OFFSET(Curvas_cupon_cero!$A$1,1,MATCH($B$8,Curvas_cupon_cero!$1:$1,0)-1,COUNT(Curvas_cupon_cero!$A:$A)-2,1)),[1]!interpolar(L520,OFFSET(Curvas_cupon_cero!$A$1,1,0,COUNT(Curvas_cupon_cero!$A:$A)-2,1),OFFSET(Curvas_cupon_cero!$A$1,1,MATCH($B$8,Curvas_cupon_cero!$1:$1,0)-1,COUNT(Curvas_cupon_cero!$A:$A)-2,1))))</f>
        <v/>
      </c>
      <c r="E520" s="23" t="str">
        <f t="shared" si="73"/>
        <v/>
      </c>
      <c r="F520" s="23" t="str">
        <f ca="1">IF(A520="","",IF($B$10="Sí",interpolar_alamb(B520,OFFSET(Curvas_cupon_cero!$A$1,1,0,COUNT(Curvas_cupon_cero!$A:$A)-2,1),OFFSET(Curvas_cupon_cero!$A$1,1,MATCH($B$9,Curvas_cupon_cero!$1:$1,0)-1,COUNT(Curvas_cupon_cero!$A:$A)-2,1)),[1]!interpolar(B520,OFFSET(Curvas_cupon_cero!$A$1,1,0,COUNT(Curvas_cupon_cero!$A:$A)-2,1),OFFSET(Curvas_cupon_cero!$A$1,1,MATCH($B$9,Curvas_cupon_cero!$1:$1,0)-1,COUNT(Curvas_cupon_cero!$A:$A)-2,1))))</f>
        <v/>
      </c>
      <c r="G520" s="23" t="str">
        <f t="shared" si="74"/>
        <v/>
      </c>
      <c r="H520" s="20" t="str">
        <f t="shared" si="79"/>
        <v/>
      </c>
      <c r="I520" t="str">
        <f t="shared" si="75"/>
        <v/>
      </c>
      <c r="J520" s="17" t="str">
        <f t="shared" si="71"/>
        <v/>
      </c>
      <c r="K520" s="18" t="str">
        <f t="shared" si="76"/>
        <v/>
      </c>
      <c r="L520" t="str">
        <f t="shared" si="77"/>
        <v/>
      </c>
      <c r="M520" s="23" t="str">
        <f ca="1">IF(A520="","",IF($B$10="Sí",interpolar_alamb(L520,OFFSET(Curvas_cupon_cero!$A$1,1,0,COUNT(Curvas_cupon_cero!$A:$A)-2,1),OFFSET(Curvas_cupon_cero!$A$1,1,MATCH($B$6,Curvas_cupon_cero!$1:$1,0)-1,COUNT(Curvas_cupon_cero!$A:$A)-2,1)),[1]!interpolar(L520,OFFSET(Curvas_cupon_cero!$A$1,1,0,COUNT(Curvas_cupon_cero!$A:$A)-2,1),OFFSET(Curvas_cupon_cero!$A$1,1,MATCH($B$6,Curvas_cupon_cero!$1:$1,0)-1,COUNT(Curvas_cupon_cero!$A:$A)-2,1))))</f>
        <v/>
      </c>
      <c r="N520" s="23"/>
      <c r="O520" s="19" t="str">
        <f t="shared" si="78"/>
        <v/>
      </c>
    </row>
    <row r="521" spans="1:15" x14ac:dyDescent="0.2">
      <c r="A521" s="12" t="str">
        <f t="shared" si="72"/>
        <v/>
      </c>
      <c r="B521" t="str">
        <f t="shared" si="70"/>
        <v/>
      </c>
      <c r="C521" s="21" t="str">
        <f ca="1">IF(A521="","",IF($B$10="Sí",interpolar_alamb(B521,OFFSET(Curvas_cupon_cero!$A$1,1,0,COUNT(Curvas_cupon_cero!$A:$A)-2,1),OFFSET(Curvas_cupon_cero!$A$1,1,MATCH($B$8,Curvas_cupon_cero!$1:$1,0)-1,COUNT(Curvas_cupon_cero!$A:$A)-2,1)),[1]!interpolar(B521,OFFSET(Curvas_cupon_cero!$A$1,1,0,COUNT(Curvas_cupon_cero!$A:$A)-2,1),OFFSET(Curvas_cupon_cero!$A$1,1,MATCH($B$8,Curvas_cupon_cero!$1:$1,0)-1,COUNT(Curvas_cupon_cero!$A:$A)-2,1))))</f>
        <v/>
      </c>
      <c r="D521" s="23" t="str">
        <f ca="1">IF(A521="","",IF($B$10="Sí",interpolar_alamb(L521,OFFSET(Curvas_cupon_cero!$A$1,1,0,COUNT(Curvas_cupon_cero!$A:$A)-2,1),OFFSET(Curvas_cupon_cero!$A$1,1,MATCH($B$8,Curvas_cupon_cero!$1:$1,0)-1,COUNT(Curvas_cupon_cero!$A:$A)-2,1)),[1]!interpolar(L521,OFFSET(Curvas_cupon_cero!$A$1,1,0,COUNT(Curvas_cupon_cero!$A:$A)-2,1),OFFSET(Curvas_cupon_cero!$A$1,1,MATCH($B$8,Curvas_cupon_cero!$1:$1,0)-1,COUNT(Curvas_cupon_cero!$A:$A)-2,1))))</f>
        <v/>
      </c>
      <c r="E521" s="23" t="str">
        <f t="shared" si="73"/>
        <v/>
      </c>
      <c r="F521" s="23" t="str">
        <f ca="1">IF(A521="","",IF($B$10="Sí",interpolar_alamb(B521,OFFSET(Curvas_cupon_cero!$A$1,1,0,COUNT(Curvas_cupon_cero!$A:$A)-2,1),OFFSET(Curvas_cupon_cero!$A$1,1,MATCH($B$9,Curvas_cupon_cero!$1:$1,0)-1,COUNT(Curvas_cupon_cero!$A:$A)-2,1)),[1]!interpolar(B521,OFFSET(Curvas_cupon_cero!$A$1,1,0,COUNT(Curvas_cupon_cero!$A:$A)-2,1),OFFSET(Curvas_cupon_cero!$A$1,1,MATCH($B$9,Curvas_cupon_cero!$1:$1,0)-1,COUNT(Curvas_cupon_cero!$A:$A)-2,1))))</f>
        <v/>
      </c>
      <c r="G521" s="23" t="str">
        <f t="shared" si="74"/>
        <v/>
      </c>
      <c r="H521" s="20" t="str">
        <f t="shared" si="79"/>
        <v/>
      </c>
      <c r="I521" t="str">
        <f t="shared" si="75"/>
        <v/>
      </c>
      <c r="J521" s="17" t="str">
        <f t="shared" si="71"/>
        <v/>
      </c>
      <c r="K521" s="18" t="str">
        <f t="shared" si="76"/>
        <v/>
      </c>
      <c r="L521" t="str">
        <f t="shared" si="77"/>
        <v/>
      </c>
      <c r="M521" s="23" t="str">
        <f ca="1">IF(A521="","",IF($B$10="Sí",interpolar_alamb(L521,OFFSET(Curvas_cupon_cero!$A$1,1,0,COUNT(Curvas_cupon_cero!$A:$A)-2,1),OFFSET(Curvas_cupon_cero!$A$1,1,MATCH($B$6,Curvas_cupon_cero!$1:$1,0)-1,COUNT(Curvas_cupon_cero!$A:$A)-2,1)),[1]!interpolar(L521,OFFSET(Curvas_cupon_cero!$A$1,1,0,COUNT(Curvas_cupon_cero!$A:$A)-2,1),OFFSET(Curvas_cupon_cero!$A$1,1,MATCH($B$6,Curvas_cupon_cero!$1:$1,0)-1,COUNT(Curvas_cupon_cero!$A:$A)-2,1))))</f>
        <v/>
      </c>
      <c r="N521" s="23"/>
      <c r="O521" s="19" t="str">
        <f t="shared" si="78"/>
        <v/>
      </c>
    </row>
    <row r="522" spans="1:15" x14ac:dyDescent="0.2">
      <c r="A522" s="12" t="str">
        <f t="shared" si="72"/>
        <v/>
      </c>
      <c r="B522" t="str">
        <f t="shared" si="70"/>
        <v/>
      </c>
      <c r="C522" s="21" t="str">
        <f ca="1">IF(A522="","",IF($B$10="Sí",interpolar_alamb(B522,OFFSET(Curvas_cupon_cero!$A$1,1,0,COUNT(Curvas_cupon_cero!$A:$A)-2,1),OFFSET(Curvas_cupon_cero!$A$1,1,MATCH($B$8,Curvas_cupon_cero!$1:$1,0)-1,COUNT(Curvas_cupon_cero!$A:$A)-2,1)),[1]!interpolar(B522,OFFSET(Curvas_cupon_cero!$A$1,1,0,COUNT(Curvas_cupon_cero!$A:$A)-2,1),OFFSET(Curvas_cupon_cero!$A$1,1,MATCH($B$8,Curvas_cupon_cero!$1:$1,0)-1,COUNT(Curvas_cupon_cero!$A:$A)-2,1))))</f>
        <v/>
      </c>
      <c r="D522" s="23" t="str">
        <f ca="1">IF(A522="","",IF($B$10="Sí",interpolar_alamb(L522,OFFSET(Curvas_cupon_cero!$A$1,1,0,COUNT(Curvas_cupon_cero!$A:$A)-2,1),OFFSET(Curvas_cupon_cero!$A$1,1,MATCH($B$8,Curvas_cupon_cero!$1:$1,0)-1,COUNT(Curvas_cupon_cero!$A:$A)-2,1)),[1]!interpolar(L522,OFFSET(Curvas_cupon_cero!$A$1,1,0,COUNT(Curvas_cupon_cero!$A:$A)-2,1),OFFSET(Curvas_cupon_cero!$A$1,1,MATCH($B$8,Curvas_cupon_cero!$1:$1,0)-1,COUNT(Curvas_cupon_cero!$A:$A)-2,1))))</f>
        <v/>
      </c>
      <c r="E522" s="23" t="str">
        <f t="shared" si="73"/>
        <v/>
      </c>
      <c r="F522" s="23" t="str">
        <f ca="1">IF(A522="","",IF($B$10="Sí",interpolar_alamb(B522,OFFSET(Curvas_cupon_cero!$A$1,1,0,COUNT(Curvas_cupon_cero!$A:$A)-2,1),OFFSET(Curvas_cupon_cero!$A$1,1,MATCH($B$9,Curvas_cupon_cero!$1:$1,0)-1,COUNT(Curvas_cupon_cero!$A:$A)-2,1)),[1]!interpolar(B522,OFFSET(Curvas_cupon_cero!$A$1,1,0,COUNT(Curvas_cupon_cero!$A:$A)-2,1),OFFSET(Curvas_cupon_cero!$A$1,1,MATCH($B$9,Curvas_cupon_cero!$1:$1,0)-1,COUNT(Curvas_cupon_cero!$A:$A)-2,1))))</f>
        <v/>
      </c>
      <c r="G522" s="23" t="str">
        <f t="shared" si="74"/>
        <v/>
      </c>
      <c r="H522" s="20" t="str">
        <f t="shared" si="79"/>
        <v/>
      </c>
      <c r="I522" t="str">
        <f t="shared" si="75"/>
        <v/>
      </c>
      <c r="J522" s="17" t="str">
        <f t="shared" si="71"/>
        <v/>
      </c>
      <c r="K522" s="18" t="str">
        <f t="shared" si="76"/>
        <v/>
      </c>
      <c r="L522" t="str">
        <f t="shared" si="77"/>
        <v/>
      </c>
      <c r="M522" s="23" t="str">
        <f ca="1">IF(A522="","",IF($B$10="Sí",interpolar_alamb(L522,OFFSET(Curvas_cupon_cero!$A$1,1,0,COUNT(Curvas_cupon_cero!$A:$A)-2,1),OFFSET(Curvas_cupon_cero!$A$1,1,MATCH($B$6,Curvas_cupon_cero!$1:$1,0)-1,COUNT(Curvas_cupon_cero!$A:$A)-2,1)),[1]!interpolar(L522,OFFSET(Curvas_cupon_cero!$A$1,1,0,COUNT(Curvas_cupon_cero!$A:$A)-2,1),OFFSET(Curvas_cupon_cero!$A$1,1,MATCH($B$6,Curvas_cupon_cero!$1:$1,0)-1,COUNT(Curvas_cupon_cero!$A:$A)-2,1))))</f>
        <v/>
      </c>
      <c r="N522" s="23"/>
      <c r="O522" s="19" t="str">
        <f t="shared" si="78"/>
        <v/>
      </c>
    </row>
    <row r="523" spans="1:15" x14ac:dyDescent="0.2">
      <c r="A523" s="12" t="str">
        <f t="shared" si="72"/>
        <v/>
      </c>
      <c r="B523" t="str">
        <f t="shared" si="70"/>
        <v/>
      </c>
      <c r="C523" s="21" t="str">
        <f ca="1">IF(A523="","",IF($B$10="Sí",interpolar_alamb(B523,OFFSET(Curvas_cupon_cero!$A$1,1,0,COUNT(Curvas_cupon_cero!$A:$A)-2,1),OFFSET(Curvas_cupon_cero!$A$1,1,MATCH($B$8,Curvas_cupon_cero!$1:$1,0)-1,COUNT(Curvas_cupon_cero!$A:$A)-2,1)),[1]!interpolar(B523,OFFSET(Curvas_cupon_cero!$A$1,1,0,COUNT(Curvas_cupon_cero!$A:$A)-2,1),OFFSET(Curvas_cupon_cero!$A$1,1,MATCH($B$8,Curvas_cupon_cero!$1:$1,0)-1,COUNT(Curvas_cupon_cero!$A:$A)-2,1))))</f>
        <v/>
      </c>
      <c r="D523" s="23" t="str">
        <f ca="1">IF(A523="","",IF($B$10="Sí",interpolar_alamb(L523,OFFSET(Curvas_cupon_cero!$A$1,1,0,COUNT(Curvas_cupon_cero!$A:$A)-2,1),OFFSET(Curvas_cupon_cero!$A$1,1,MATCH($B$8,Curvas_cupon_cero!$1:$1,0)-1,COUNT(Curvas_cupon_cero!$A:$A)-2,1)),[1]!interpolar(L523,OFFSET(Curvas_cupon_cero!$A$1,1,0,COUNT(Curvas_cupon_cero!$A:$A)-2,1),OFFSET(Curvas_cupon_cero!$A$1,1,MATCH($B$8,Curvas_cupon_cero!$1:$1,0)-1,COUNT(Curvas_cupon_cero!$A:$A)-2,1))))</f>
        <v/>
      </c>
      <c r="E523" s="23" t="str">
        <f t="shared" si="73"/>
        <v/>
      </c>
      <c r="F523" s="23" t="str">
        <f ca="1">IF(A523="","",IF($B$10="Sí",interpolar_alamb(B523,OFFSET(Curvas_cupon_cero!$A$1,1,0,COUNT(Curvas_cupon_cero!$A:$A)-2,1),OFFSET(Curvas_cupon_cero!$A$1,1,MATCH($B$9,Curvas_cupon_cero!$1:$1,0)-1,COUNT(Curvas_cupon_cero!$A:$A)-2,1)),[1]!interpolar(B523,OFFSET(Curvas_cupon_cero!$A$1,1,0,COUNT(Curvas_cupon_cero!$A:$A)-2,1),OFFSET(Curvas_cupon_cero!$A$1,1,MATCH($B$9,Curvas_cupon_cero!$1:$1,0)-1,COUNT(Curvas_cupon_cero!$A:$A)-2,1))))</f>
        <v/>
      </c>
      <c r="G523" s="23" t="str">
        <f t="shared" si="74"/>
        <v/>
      </c>
      <c r="H523" s="20" t="str">
        <f t="shared" si="79"/>
        <v/>
      </c>
      <c r="I523" t="str">
        <f t="shared" si="75"/>
        <v/>
      </c>
      <c r="J523" s="17" t="str">
        <f t="shared" si="71"/>
        <v/>
      </c>
      <c r="K523" s="18" t="str">
        <f t="shared" si="76"/>
        <v/>
      </c>
      <c r="L523" t="str">
        <f t="shared" si="77"/>
        <v/>
      </c>
      <c r="M523" s="23" t="str">
        <f ca="1">IF(A523="","",IF($B$10="Sí",interpolar_alamb(L523,OFFSET(Curvas_cupon_cero!$A$1,1,0,COUNT(Curvas_cupon_cero!$A:$A)-2,1),OFFSET(Curvas_cupon_cero!$A$1,1,MATCH($B$6,Curvas_cupon_cero!$1:$1,0)-1,COUNT(Curvas_cupon_cero!$A:$A)-2,1)),[1]!interpolar(L523,OFFSET(Curvas_cupon_cero!$A$1,1,0,COUNT(Curvas_cupon_cero!$A:$A)-2,1),OFFSET(Curvas_cupon_cero!$A$1,1,MATCH($B$6,Curvas_cupon_cero!$1:$1,0)-1,COUNT(Curvas_cupon_cero!$A:$A)-2,1))))</f>
        <v/>
      </c>
      <c r="N523" s="23"/>
      <c r="O523" s="19" t="str">
        <f t="shared" si="78"/>
        <v/>
      </c>
    </row>
    <row r="524" spans="1:15" x14ac:dyDescent="0.2">
      <c r="A524" s="12" t="str">
        <f t="shared" si="72"/>
        <v/>
      </c>
      <c r="B524" t="str">
        <f t="shared" si="70"/>
        <v/>
      </c>
      <c r="C524" s="21" t="str">
        <f ca="1">IF(A524="","",IF($B$10="Sí",interpolar_alamb(B524,OFFSET(Curvas_cupon_cero!$A$1,1,0,COUNT(Curvas_cupon_cero!$A:$A)-2,1),OFFSET(Curvas_cupon_cero!$A$1,1,MATCH($B$8,Curvas_cupon_cero!$1:$1,0)-1,COUNT(Curvas_cupon_cero!$A:$A)-2,1)),[1]!interpolar(B524,OFFSET(Curvas_cupon_cero!$A$1,1,0,COUNT(Curvas_cupon_cero!$A:$A)-2,1),OFFSET(Curvas_cupon_cero!$A$1,1,MATCH($B$8,Curvas_cupon_cero!$1:$1,0)-1,COUNT(Curvas_cupon_cero!$A:$A)-2,1))))</f>
        <v/>
      </c>
      <c r="D524" s="23" t="str">
        <f ca="1">IF(A524="","",IF($B$10="Sí",interpolar_alamb(L524,OFFSET(Curvas_cupon_cero!$A$1,1,0,COUNT(Curvas_cupon_cero!$A:$A)-2,1),OFFSET(Curvas_cupon_cero!$A$1,1,MATCH($B$8,Curvas_cupon_cero!$1:$1,0)-1,COUNT(Curvas_cupon_cero!$A:$A)-2,1)),[1]!interpolar(L524,OFFSET(Curvas_cupon_cero!$A$1,1,0,COUNT(Curvas_cupon_cero!$A:$A)-2,1),OFFSET(Curvas_cupon_cero!$A$1,1,MATCH($B$8,Curvas_cupon_cero!$1:$1,0)-1,COUNT(Curvas_cupon_cero!$A:$A)-2,1))))</f>
        <v/>
      </c>
      <c r="E524" s="23" t="str">
        <f t="shared" si="73"/>
        <v/>
      </c>
      <c r="F524" s="23" t="str">
        <f ca="1">IF(A524="","",IF($B$10="Sí",interpolar_alamb(B524,OFFSET(Curvas_cupon_cero!$A$1,1,0,COUNT(Curvas_cupon_cero!$A:$A)-2,1),OFFSET(Curvas_cupon_cero!$A$1,1,MATCH($B$9,Curvas_cupon_cero!$1:$1,0)-1,COUNT(Curvas_cupon_cero!$A:$A)-2,1)),[1]!interpolar(B524,OFFSET(Curvas_cupon_cero!$A$1,1,0,COUNT(Curvas_cupon_cero!$A:$A)-2,1),OFFSET(Curvas_cupon_cero!$A$1,1,MATCH($B$9,Curvas_cupon_cero!$1:$1,0)-1,COUNT(Curvas_cupon_cero!$A:$A)-2,1))))</f>
        <v/>
      </c>
      <c r="G524" s="23" t="str">
        <f t="shared" si="74"/>
        <v/>
      </c>
      <c r="H524" s="20" t="str">
        <f t="shared" si="79"/>
        <v/>
      </c>
      <c r="I524" t="str">
        <f t="shared" si="75"/>
        <v/>
      </c>
      <c r="J524" s="17" t="str">
        <f t="shared" si="71"/>
        <v/>
      </c>
      <c r="K524" s="18" t="str">
        <f t="shared" si="76"/>
        <v/>
      </c>
      <c r="L524" t="str">
        <f t="shared" si="77"/>
        <v/>
      </c>
      <c r="M524" s="23" t="str">
        <f ca="1">IF(A524="","",IF($B$10="Sí",interpolar_alamb(L524,OFFSET(Curvas_cupon_cero!$A$1,1,0,COUNT(Curvas_cupon_cero!$A:$A)-2,1),OFFSET(Curvas_cupon_cero!$A$1,1,MATCH($B$6,Curvas_cupon_cero!$1:$1,0)-1,COUNT(Curvas_cupon_cero!$A:$A)-2,1)),[1]!interpolar(L524,OFFSET(Curvas_cupon_cero!$A$1,1,0,COUNT(Curvas_cupon_cero!$A:$A)-2,1),OFFSET(Curvas_cupon_cero!$A$1,1,MATCH($B$6,Curvas_cupon_cero!$1:$1,0)-1,COUNT(Curvas_cupon_cero!$A:$A)-2,1))))</f>
        <v/>
      </c>
      <c r="N524" s="23"/>
      <c r="O524" s="19" t="str">
        <f t="shared" si="78"/>
        <v/>
      </c>
    </row>
    <row r="525" spans="1:15" x14ac:dyDescent="0.2">
      <c r="A525" s="12" t="str">
        <f t="shared" si="72"/>
        <v/>
      </c>
      <c r="B525" t="str">
        <f t="shared" si="70"/>
        <v/>
      </c>
      <c r="C525" s="21" t="str">
        <f ca="1">IF(A525="","",IF($B$10="Sí",interpolar_alamb(B525,OFFSET(Curvas_cupon_cero!$A$1,1,0,COUNT(Curvas_cupon_cero!$A:$A)-2,1),OFFSET(Curvas_cupon_cero!$A$1,1,MATCH($B$8,Curvas_cupon_cero!$1:$1,0)-1,COUNT(Curvas_cupon_cero!$A:$A)-2,1)),[1]!interpolar(B525,OFFSET(Curvas_cupon_cero!$A$1,1,0,COUNT(Curvas_cupon_cero!$A:$A)-2,1),OFFSET(Curvas_cupon_cero!$A$1,1,MATCH($B$8,Curvas_cupon_cero!$1:$1,0)-1,COUNT(Curvas_cupon_cero!$A:$A)-2,1))))</f>
        <v/>
      </c>
      <c r="D525" s="23" t="str">
        <f ca="1">IF(A525="","",IF($B$10="Sí",interpolar_alamb(L525,OFFSET(Curvas_cupon_cero!$A$1,1,0,COUNT(Curvas_cupon_cero!$A:$A)-2,1),OFFSET(Curvas_cupon_cero!$A$1,1,MATCH($B$8,Curvas_cupon_cero!$1:$1,0)-1,COUNT(Curvas_cupon_cero!$A:$A)-2,1)),[1]!interpolar(L525,OFFSET(Curvas_cupon_cero!$A$1,1,0,COUNT(Curvas_cupon_cero!$A:$A)-2,1),OFFSET(Curvas_cupon_cero!$A$1,1,MATCH($B$8,Curvas_cupon_cero!$1:$1,0)-1,COUNT(Curvas_cupon_cero!$A:$A)-2,1))))</f>
        <v/>
      </c>
      <c r="E525" s="23" t="str">
        <f t="shared" si="73"/>
        <v/>
      </c>
      <c r="F525" s="23" t="str">
        <f ca="1">IF(A525="","",IF($B$10="Sí",interpolar_alamb(B525,OFFSET(Curvas_cupon_cero!$A$1,1,0,COUNT(Curvas_cupon_cero!$A:$A)-2,1),OFFSET(Curvas_cupon_cero!$A$1,1,MATCH($B$9,Curvas_cupon_cero!$1:$1,0)-1,COUNT(Curvas_cupon_cero!$A:$A)-2,1)),[1]!interpolar(B525,OFFSET(Curvas_cupon_cero!$A$1,1,0,COUNT(Curvas_cupon_cero!$A:$A)-2,1),OFFSET(Curvas_cupon_cero!$A$1,1,MATCH($B$9,Curvas_cupon_cero!$1:$1,0)-1,COUNT(Curvas_cupon_cero!$A:$A)-2,1))))</f>
        <v/>
      </c>
      <c r="G525" s="23" t="str">
        <f t="shared" si="74"/>
        <v/>
      </c>
      <c r="H525" s="20" t="str">
        <f t="shared" si="79"/>
        <v/>
      </c>
      <c r="I525" t="str">
        <f t="shared" si="75"/>
        <v/>
      </c>
      <c r="J525" s="17" t="str">
        <f t="shared" si="71"/>
        <v/>
      </c>
      <c r="K525" s="18" t="str">
        <f t="shared" si="76"/>
        <v/>
      </c>
      <c r="L525" t="str">
        <f t="shared" si="77"/>
        <v/>
      </c>
      <c r="M525" s="23" t="str">
        <f ca="1">IF(A525="","",IF($B$10="Sí",interpolar_alamb(L525,OFFSET(Curvas_cupon_cero!$A$1,1,0,COUNT(Curvas_cupon_cero!$A:$A)-2,1),OFFSET(Curvas_cupon_cero!$A$1,1,MATCH($B$6,Curvas_cupon_cero!$1:$1,0)-1,COUNT(Curvas_cupon_cero!$A:$A)-2,1)),[1]!interpolar(L525,OFFSET(Curvas_cupon_cero!$A$1,1,0,COUNT(Curvas_cupon_cero!$A:$A)-2,1),OFFSET(Curvas_cupon_cero!$A$1,1,MATCH($B$6,Curvas_cupon_cero!$1:$1,0)-1,COUNT(Curvas_cupon_cero!$A:$A)-2,1))))</f>
        <v/>
      </c>
      <c r="N525" s="23"/>
      <c r="O525" s="19" t="str">
        <f t="shared" si="78"/>
        <v/>
      </c>
    </row>
    <row r="526" spans="1:15" x14ac:dyDescent="0.2">
      <c r="A526" s="12" t="str">
        <f t="shared" si="72"/>
        <v/>
      </c>
      <c r="B526" t="str">
        <f t="shared" si="70"/>
        <v/>
      </c>
      <c r="C526" s="21" t="str">
        <f ca="1">IF(A526="","",IF($B$10="Sí",interpolar_alamb(B526,OFFSET(Curvas_cupon_cero!$A$1,1,0,COUNT(Curvas_cupon_cero!$A:$A)-2,1),OFFSET(Curvas_cupon_cero!$A$1,1,MATCH($B$8,Curvas_cupon_cero!$1:$1,0)-1,COUNT(Curvas_cupon_cero!$A:$A)-2,1)),[1]!interpolar(B526,OFFSET(Curvas_cupon_cero!$A$1,1,0,COUNT(Curvas_cupon_cero!$A:$A)-2,1),OFFSET(Curvas_cupon_cero!$A$1,1,MATCH($B$8,Curvas_cupon_cero!$1:$1,0)-1,COUNT(Curvas_cupon_cero!$A:$A)-2,1))))</f>
        <v/>
      </c>
      <c r="D526" s="23" t="str">
        <f ca="1">IF(A526="","",IF($B$10="Sí",interpolar_alamb(L526,OFFSET(Curvas_cupon_cero!$A$1,1,0,COUNT(Curvas_cupon_cero!$A:$A)-2,1),OFFSET(Curvas_cupon_cero!$A$1,1,MATCH($B$8,Curvas_cupon_cero!$1:$1,0)-1,COUNT(Curvas_cupon_cero!$A:$A)-2,1)),[1]!interpolar(L526,OFFSET(Curvas_cupon_cero!$A$1,1,0,COUNT(Curvas_cupon_cero!$A:$A)-2,1),OFFSET(Curvas_cupon_cero!$A$1,1,MATCH($B$8,Curvas_cupon_cero!$1:$1,0)-1,COUNT(Curvas_cupon_cero!$A:$A)-2,1))))</f>
        <v/>
      </c>
      <c r="E526" s="23" t="str">
        <f t="shared" si="73"/>
        <v/>
      </c>
      <c r="F526" s="23" t="str">
        <f ca="1">IF(A526="","",IF($B$10="Sí",interpolar_alamb(B526,OFFSET(Curvas_cupon_cero!$A$1,1,0,COUNT(Curvas_cupon_cero!$A:$A)-2,1),OFFSET(Curvas_cupon_cero!$A$1,1,MATCH($B$9,Curvas_cupon_cero!$1:$1,0)-1,COUNT(Curvas_cupon_cero!$A:$A)-2,1)),[1]!interpolar(B526,OFFSET(Curvas_cupon_cero!$A$1,1,0,COUNT(Curvas_cupon_cero!$A:$A)-2,1),OFFSET(Curvas_cupon_cero!$A$1,1,MATCH($B$9,Curvas_cupon_cero!$1:$1,0)-1,COUNT(Curvas_cupon_cero!$A:$A)-2,1))))</f>
        <v/>
      </c>
      <c r="G526" s="23" t="str">
        <f t="shared" si="74"/>
        <v/>
      </c>
      <c r="H526" s="20" t="str">
        <f t="shared" si="79"/>
        <v/>
      </c>
      <c r="I526" t="str">
        <f t="shared" si="75"/>
        <v/>
      </c>
      <c r="J526" s="17" t="str">
        <f t="shared" si="71"/>
        <v/>
      </c>
      <c r="K526" s="18" t="str">
        <f t="shared" si="76"/>
        <v/>
      </c>
      <c r="L526" t="str">
        <f t="shared" si="77"/>
        <v/>
      </c>
      <c r="M526" s="23" t="str">
        <f ca="1">IF(A526="","",IF($B$10="Sí",interpolar_alamb(L526,OFFSET(Curvas_cupon_cero!$A$1,1,0,COUNT(Curvas_cupon_cero!$A:$A)-2,1),OFFSET(Curvas_cupon_cero!$A$1,1,MATCH($B$6,Curvas_cupon_cero!$1:$1,0)-1,COUNT(Curvas_cupon_cero!$A:$A)-2,1)),[1]!interpolar(L526,OFFSET(Curvas_cupon_cero!$A$1,1,0,COUNT(Curvas_cupon_cero!$A:$A)-2,1),OFFSET(Curvas_cupon_cero!$A$1,1,MATCH($B$6,Curvas_cupon_cero!$1:$1,0)-1,COUNT(Curvas_cupon_cero!$A:$A)-2,1))))</f>
        <v/>
      </c>
      <c r="N526" s="23"/>
      <c r="O526" s="19" t="str">
        <f t="shared" si="78"/>
        <v/>
      </c>
    </row>
    <row r="527" spans="1:15" x14ac:dyDescent="0.2">
      <c r="A527" s="12" t="str">
        <f t="shared" si="72"/>
        <v/>
      </c>
      <c r="B527" t="str">
        <f t="shared" si="70"/>
        <v/>
      </c>
      <c r="C527" s="21" t="str">
        <f ca="1">IF(A527="","",IF($B$10="Sí",interpolar_alamb(B527,OFFSET(Curvas_cupon_cero!$A$1,1,0,COUNT(Curvas_cupon_cero!$A:$A)-2,1),OFFSET(Curvas_cupon_cero!$A$1,1,MATCH($B$8,Curvas_cupon_cero!$1:$1,0)-1,COUNT(Curvas_cupon_cero!$A:$A)-2,1)),[1]!interpolar(B527,OFFSET(Curvas_cupon_cero!$A$1,1,0,COUNT(Curvas_cupon_cero!$A:$A)-2,1),OFFSET(Curvas_cupon_cero!$A$1,1,MATCH($B$8,Curvas_cupon_cero!$1:$1,0)-1,COUNT(Curvas_cupon_cero!$A:$A)-2,1))))</f>
        <v/>
      </c>
      <c r="D527" s="23" t="str">
        <f ca="1">IF(A527="","",IF($B$10="Sí",interpolar_alamb(L527,OFFSET(Curvas_cupon_cero!$A$1,1,0,COUNT(Curvas_cupon_cero!$A:$A)-2,1),OFFSET(Curvas_cupon_cero!$A$1,1,MATCH($B$8,Curvas_cupon_cero!$1:$1,0)-1,COUNT(Curvas_cupon_cero!$A:$A)-2,1)),[1]!interpolar(L527,OFFSET(Curvas_cupon_cero!$A$1,1,0,COUNT(Curvas_cupon_cero!$A:$A)-2,1),OFFSET(Curvas_cupon_cero!$A$1,1,MATCH($B$8,Curvas_cupon_cero!$1:$1,0)-1,COUNT(Curvas_cupon_cero!$A:$A)-2,1))))</f>
        <v/>
      </c>
      <c r="E527" s="23" t="str">
        <f t="shared" si="73"/>
        <v/>
      </c>
      <c r="F527" s="23" t="str">
        <f ca="1">IF(A527="","",IF($B$10="Sí",interpolar_alamb(B527,OFFSET(Curvas_cupon_cero!$A$1,1,0,COUNT(Curvas_cupon_cero!$A:$A)-2,1),OFFSET(Curvas_cupon_cero!$A$1,1,MATCH($B$9,Curvas_cupon_cero!$1:$1,0)-1,COUNT(Curvas_cupon_cero!$A:$A)-2,1)),[1]!interpolar(B527,OFFSET(Curvas_cupon_cero!$A$1,1,0,COUNT(Curvas_cupon_cero!$A:$A)-2,1),OFFSET(Curvas_cupon_cero!$A$1,1,MATCH($B$9,Curvas_cupon_cero!$1:$1,0)-1,COUNT(Curvas_cupon_cero!$A:$A)-2,1))))</f>
        <v/>
      </c>
      <c r="G527" s="23" t="str">
        <f t="shared" si="74"/>
        <v/>
      </c>
      <c r="H527" s="20" t="str">
        <f t="shared" si="79"/>
        <v/>
      </c>
      <c r="I527" t="str">
        <f t="shared" si="75"/>
        <v/>
      </c>
      <c r="J527" s="17" t="str">
        <f t="shared" si="71"/>
        <v/>
      </c>
      <c r="K527" s="18" t="str">
        <f t="shared" si="76"/>
        <v/>
      </c>
      <c r="L527" t="str">
        <f t="shared" si="77"/>
        <v/>
      </c>
      <c r="M527" s="23" t="str">
        <f ca="1">IF(A527="","",IF($B$10="Sí",interpolar_alamb(L527,OFFSET(Curvas_cupon_cero!$A$1,1,0,COUNT(Curvas_cupon_cero!$A:$A)-2,1),OFFSET(Curvas_cupon_cero!$A$1,1,MATCH($B$6,Curvas_cupon_cero!$1:$1,0)-1,COUNT(Curvas_cupon_cero!$A:$A)-2,1)),[1]!interpolar(L527,OFFSET(Curvas_cupon_cero!$A$1,1,0,COUNT(Curvas_cupon_cero!$A:$A)-2,1),OFFSET(Curvas_cupon_cero!$A$1,1,MATCH($B$6,Curvas_cupon_cero!$1:$1,0)-1,COUNT(Curvas_cupon_cero!$A:$A)-2,1))))</f>
        <v/>
      </c>
      <c r="N527" s="23"/>
      <c r="O527" s="19" t="str">
        <f t="shared" si="78"/>
        <v/>
      </c>
    </row>
    <row r="528" spans="1:15" x14ac:dyDescent="0.2">
      <c r="A528" s="12" t="str">
        <f t="shared" si="72"/>
        <v/>
      </c>
      <c r="B528" t="str">
        <f t="shared" si="70"/>
        <v/>
      </c>
      <c r="C528" s="21" t="str">
        <f ca="1">IF(A528="","",IF($B$10="Sí",interpolar_alamb(B528,OFFSET(Curvas_cupon_cero!$A$1,1,0,COUNT(Curvas_cupon_cero!$A:$A)-2,1),OFFSET(Curvas_cupon_cero!$A$1,1,MATCH($B$8,Curvas_cupon_cero!$1:$1,0)-1,COUNT(Curvas_cupon_cero!$A:$A)-2,1)),[1]!interpolar(B528,OFFSET(Curvas_cupon_cero!$A$1,1,0,COUNT(Curvas_cupon_cero!$A:$A)-2,1),OFFSET(Curvas_cupon_cero!$A$1,1,MATCH($B$8,Curvas_cupon_cero!$1:$1,0)-1,COUNT(Curvas_cupon_cero!$A:$A)-2,1))))</f>
        <v/>
      </c>
      <c r="D528" s="23" t="str">
        <f ca="1">IF(A528="","",IF($B$10="Sí",interpolar_alamb(L528,OFFSET(Curvas_cupon_cero!$A$1,1,0,COUNT(Curvas_cupon_cero!$A:$A)-2,1),OFFSET(Curvas_cupon_cero!$A$1,1,MATCH($B$8,Curvas_cupon_cero!$1:$1,0)-1,COUNT(Curvas_cupon_cero!$A:$A)-2,1)),[1]!interpolar(L528,OFFSET(Curvas_cupon_cero!$A$1,1,0,COUNT(Curvas_cupon_cero!$A:$A)-2,1),OFFSET(Curvas_cupon_cero!$A$1,1,MATCH($B$8,Curvas_cupon_cero!$1:$1,0)-1,COUNT(Curvas_cupon_cero!$A:$A)-2,1))))</f>
        <v/>
      </c>
      <c r="E528" s="23" t="str">
        <f t="shared" si="73"/>
        <v/>
      </c>
      <c r="F528" s="23" t="str">
        <f ca="1">IF(A528="","",IF($B$10="Sí",interpolar_alamb(B528,OFFSET(Curvas_cupon_cero!$A$1,1,0,COUNT(Curvas_cupon_cero!$A:$A)-2,1),OFFSET(Curvas_cupon_cero!$A$1,1,MATCH($B$9,Curvas_cupon_cero!$1:$1,0)-1,COUNT(Curvas_cupon_cero!$A:$A)-2,1)),[1]!interpolar(B528,OFFSET(Curvas_cupon_cero!$A$1,1,0,COUNT(Curvas_cupon_cero!$A:$A)-2,1),OFFSET(Curvas_cupon_cero!$A$1,1,MATCH($B$9,Curvas_cupon_cero!$1:$1,0)-1,COUNT(Curvas_cupon_cero!$A:$A)-2,1))))</f>
        <v/>
      </c>
      <c r="G528" s="23" t="str">
        <f t="shared" si="74"/>
        <v/>
      </c>
      <c r="H528" s="20" t="str">
        <f t="shared" si="79"/>
        <v/>
      </c>
      <c r="I528" t="str">
        <f t="shared" si="75"/>
        <v/>
      </c>
      <c r="J528" s="17" t="str">
        <f t="shared" si="71"/>
        <v/>
      </c>
      <c r="K528" s="18" t="str">
        <f t="shared" si="76"/>
        <v/>
      </c>
      <c r="L528" t="str">
        <f t="shared" si="77"/>
        <v/>
      </c>
      <c r="M528" s="23" t="str">
        <f ca="1">IF(A528="","",IF($B$10="Sí",interpolar_alamb(L528,OFFSET(Curvas_cupon_cero!$A$1,1,0,COUNT(Curvas_cupon_cero!$A:$A)-2,1),OFFSET(Curvas_cupon_cero!$A$1,1,MATCH($B$6,Curvas_cupon_cero!$1:$1,0)-1,COUNT(Curvas_cupon_cero!$A:$A)-2,1)),[1]!interpolar(L528,OFFSET(Curvas_cupon_cero!$A$1,1,0,COUNT(Curvas_cupon_cero!$A:$A)-2,1),OFFSET(Curvas_cupon_cero!$A$1,1,MATCH($B$6,Curvas_cupon_cero!$1:$1,0)-1,COUNT(Curvas_cupon_cero!$A:$A)-2,1))))</f>
        <v/>
      </c>
      <c r="N528" s="23"/>
      <c r="O528" s="19" t="str">
        <f t="shared" si="78"/>
        <v/>
      </c>
    </row>
    <row r="529" spans="1:15" x14ac:dyDescent="0.2">
      <c r="A529" s="12" t="str">
        <f t="shared" si="72"/>
        <v/>
      </c>
      <c r="B529" t="str">
        <f t="shared" ref="B529:B592" si="80">IF(A529="","",MAX(L529-$B$5,0))</f>
        <v/>
      </c>
      <c r="C529" s="21" t="str">
        <f ca="1">IF(A529="","",IF($B$10="Sí",interpolar_alamb(B529,OFFSET(Curvas_cupon_cero!$A$1,1,0,COUNT(Curvas_cupon_cero!$A:$A)-2,1),OFFSET(Curvas_cupon_cero!$A$1,1,MATCH($B$8,Curvas_cupon_cero!$1:$1,0)-1,COUNT(Curvas_cupon_cero!$A:$A)-2,1)),[1]!interpolar(B529,OFFSET(Curvas_cupon_cero!$A$1,1,0,COUNT(Curvas_cupon_cero!$A:$A)-2,1),OFFSET(Curvas_cupon_cero!$A$1,1,MATCH($B$8,Curvas_cupon_cero!$1:$1,0)-1,COUNT(Curvas_cupon_cero!$A:$A)-2,1))))</f>
        <v/>
      </c>
      <c r="D529" s="23" t="str">
        <f ca="1">IF(A529="","",IF($B$10="Sí",interpolar_alamb(L529,OFFSET(Curvas_cupon_cero!$A$1,1,0,COUNT(Curvas_cupon_cero!$A:$A)-2,1),OFFSET(Curvas_cupon_cero!$A$1,1,MATCH($B$8,Curvas_cupon_cero!$1:$1,0)-1,COUNT(Curvas_cupon_cero!$A:$A)-2,1)),[1]!interpolar(L529,OFFSET(Curvas_cupon_cero!$A$1,1,0,COUNT(Curvas_cupon_cero!$A:$A)-2,1),OFFSET(Curvas_cupon_cero!$A$1,1,MATCH($B$8,Curvas_cupon_cero!$1:$1,0)-1,COUNT(Curvas_cupon_cero!$A:$A)-2,1))))</f>
        <v/>
      </c>
      <c r="E529" s="23" t="str">
        <f t="shared" si="73"/>
        <v/>
      </c>
      <c r="F529" s="23" t="str">
        <f ca="1">IF(A529="","",IF($B$10="Sí",interpolar_alamb(B529,OFFSET(Curvas_cupon_cero!$A$1,1,0,COUNT(Curvas_cupon_cero!$A:$A)-2,1),OFFSET(Curvas_cupon_cero!$A$1,1,MATCH($B$9,Curvas_cupon_cero!$1:$1,0)-1,COUNT(Curvas_cupon_cero!$A:$A)-2,1)),[1]!interpolar(B529,OFFSET(Curvas_cupon_cero!$A$1,1,0,COUNT(Curvas_cupon_cero!$A:$A)-2,1),OFFSET(Curvas_cupon_cero!$A$1,1,MATCH($B$9,Curvas_cupon_cero!$1:$1,0)-1,COUNT(Curvas_cupon_cero!$A:$A)-2,1))))</f>
        <v/>
      </c>
      <c r="G529" s="23" t="str">
        <f t="shared" si="74"/>
        <v/>
      </c>
      <c r="H529" s="20" t="str">
        <f t="shared" si="79"/>
        <v/>
      </c>
      <c r="I529" t="str">
        <f t="shared" si="75"/>
        <v/>
      </c>
      <c r="J529" s="17" t="str">
        <f t="shared" ref="J529:J592" si="81">IF(A529="","",IF(A529=$B$4,$B$1*$B$2+$B$1*$B$5/360*$B$2*(E529*(1-I529)+H529*I529), $B$1*$B$5/360*$B$2*(E529*(1-I529)+H529*I529)))</f>
        <v/>
      </c>
      <c r="K529" s="18" t="str">
        <f t="shared" si="76"/>
        <v/>
      </c>
      <c r="L529" t="str">
        <f t="shared" si="77"/>
        <v/>
      </c>
      <c r="M529" s="23" t="str">
        <f ca="1">IF(A529="","",IF($B$10="Sí",interpolar_alamb(L529,OFFSET(Curvas_cupon_cero!$A$1,1,0,COUNT(Curvas_cupon_cero!$A:$A)-2,1),OFFSET(Curvas_cupon_cero!$A$1,1,MATCH($B$6,Curvas_cupon_cero!$1:$1,0)-1,COUNT(Curvas_cupon_cero!$A:$A)-2,1)),[1]!interpolar(L529,OFFSET(Curvas_cupon_cero!$A$1,1,0,COUNT(Curvas_cupon_cero!$A:$A)-2,1),OFFSET(Curvas_cupon_cero!$A$1,1,MATCH($B$6,Curvas_cupon_cero!$1:$1,0)-1,COUNT(Curvas_cupon_cero!$A:$A)-2,1))))</f>
        <v/>
      </c>
      <c r="N529" s="23"/>
      <c r="O529" s="19" t="str">
        <f t="shared" si="78"/>
        <v/>
      </c>
    </row>
    <row r="530" spans="1:15" x14ac:dyDescent="0.2">
      <c r="A530" s="12" t="str">
        <f t="shared" ref="A530:A593" si="82">IF(A529="","",IF((A529+$B$5)&gt;$B$4,"",(A529+$B$5)))</f>
        <v/>
      </c>
      <c r="B530" t="str">
        <f t="shared" si="80"/>
        <v/>
      </c>
      <c r="C530" s="21" t="str">
        <f ca="1">IF(A530="","",IF($B$10="Sí",interpolar_alamb(B530,OFFSET(Curvas_cupon_cero!$A$1,1,0,COUNT(Curvas_cupon_cero!$A:$A)-2,1),OFFSET(Curvas_cupon_cero!$A$1,1,MATCH($B$8,Curvas_cupon_cero!$1:$1,0)-1,COUNT(Curvas_cupon_cero!$A:$A)-2,1)),[1]!interpolar(B530,OFFSET(Curvas_cupon_cero!$A$1,1,0,COUNT(Curvas_cupon_cero!$A:$A)-2,1),OFFSET(Curvas_cupon_cero!$A$1,1,MATCH($B$8,Curvas_cupon_cero!$1:$1,0)-1,COUNT(Curvas_cupon_cero!$A:$A)-2,1))))</f>
        <v/>
      </c>
      <c r="D530" s="23" t="str">
        <f ca="1">IF(A530="","",IF($B$10="Sí",interpolar_alamb(L530,OFFSET(Curvas_cupon_cero!$A$1,1,0,COUNT(Curvas_cupon_cero!$A:$A)-2,1),OFFSET(Curvas_cupon_cero!$A$1,1,MATCH($B$8,Curvas_cupon_cero!$1:$1,0)-1,COUNT(Curvas_cupon_cero!$A:$A)-2,1)),[1]!interpolar(L530,OFFSET(Curvas_cupon_cero!$A$1,1,0,COUNT(Curvas_cupon_cero!$A:$A)-2,1),OFFSET(Curvas_cupon_cero!$A$1,1,MATCH($B$8,Curvas_cupon_cero!$1:$1,0)-1,COUNT(Curvas_cupon_cero!$A:$A)-2,1))))</f>
        <v/>
      </c>
      <c r="E530" s="23" t="str">
        <f t="shared" ref="E530:E593" si="83">IF(A530="","",((1+D530*L530/360)/(1+C530*B530/360)-1)*(360/(L530-B530)))</f>
        <v/>
      </c>
      <c r="F530" s="23" t="str">
        <f ca="1">IF(A530="","",IF($B$10="Sí",interpolar_alamb(B530,OFFSET(Curvas_cupon_cero!$A$1,1,0,COUNT(Curvas_cupon_cero!$A:$A)-2,1),OFFSET(Curvas_cupon_cero!$A$1,1,MATCH($B$9,Curvas_cupon_cero!$1:$1,0)-1,COUNT(Curvas_cupon_cero!$A:$A)-2,1)),[1]!interpolar(B530,OFFSET(Curvas_cupon_cero!$A$1,1,0,COUNT(Curvas_cupon_cero!$A:$A)-2,1),OFFSET(Curvas_cupon_cero!$A$1,1,MATCH($B$9,Curvas_cupon_cero!$1:$1,0)-1,COUNT(Curvas_cupon_cero!$A:$A)-2,1))))</f>
        <v/>
      </c>
      <c r="G530" s="23" t="str">
        <f t="shared" ref="G530:G593" si="84">IF(A530="","",$B$11*(1+M530*L530/360)/(1+F530*L530/360))</f>
        <v/>
      </c>
      <c r="H530" s="20" t="str">
        <f t="shared" si="79"/>
        <v/>
      </c>
      <c r="I530" t="str">
        <f t="shared" ref="I530:I593" si="85">IF(A530="","",IF(H530&gt;E530,1,0))</f>
        <v/>
      </c>
      <c r="J530" s="17" t="str">
        <f t="shared" si="81"/>
        <v/>
      </c>
      <c r="K530" s="18" t="str">
        <f t="shared" ref="K530:K593" si="86">IF(A530="","",$B$5)</f>
        <v/>
      </c>
      <c r="L530" t="str">
        <f t="shared" ref="L530:L593" si="87">IF(A530="","",L529+K530)</f>
        <v/>
      </c>
      <c r="M530" s="23" t="str">
        <f ca="1">IF(A530="","",IF($B$10="Sí",interpolar_alamb(L530,OFFSET(Curvas_cupon_cero!$A$1,1,0,COUNT(Curvas_cupon_cero!$A:$A)-2,1),OFFSET(Curvas_cupon_cero!$A$1,1,MATCH($B$6,Curvas_cupon_cero!$1:$1,0)-1,COUNT(Curvas_cupon_cero!$A:$A)-2,1)),[1]!interpolar(L530,OFFSET(Curvas_cupon_cero!$A$1,1,0,COUNT(Curvas_cupon_cero!$A:$A)-2,1),OFFSET(Curvas_cupon_cero!$A$1,1,MATCH($B$6,Curvas_cupon_cero!$1:$1,0)-1,COUNT(Curvas_cupon_cero!$A:$A)-2,1))))</f>
        <v/>
      </c>
      <c r="N530" s="23"/>
      <c r="O530" s="19" t="str">
        <f t="shared" ref="O530:O593" si="88">IF(A530="","",J530/(1+(M530+N530)*L530/360))</f>
        <v/>
      </c>
    </row>
    <row r="531" spans="1:15" x14ac:dyDescent="0.2">
      <c r="A531" s="12" t="str">
        <f t="shared" si="82"/>
        <v/>
      </c>
      <c r="B531" t="str">
        <f t="shared" si="80"/>
        <v/>
      </c>
      <c r="C531" s="21" t="str">
        <f ca="1">IF(A531="","",IF($B$10="Sí",interpolar_alamb(B531,OFFSET(Curvas_cupon_cero!$A$1,1,0,COUNT(Curvas_cupon_cero!$A:$A)-2,1),OFFSET(Curvas_cupon_cero!$A$1,1,MATCH($B$8,Curvas_cupon_cero!$1:$1,0)-1,COUNT(Curvas_cupon_cero!$A:$A)-2,1)),[1]!interpolar(B531,OFFSET(Curvas_cupon_cero!$A$1,1,0,COUNT(Curvas_cupon_cero!$A:$A)-2,1),OFFSET(Curvas_cupon_cero!$A$1,1,MATCH($B$8,Curvas_cupon_cero!$1:$1,0)-1,COUNT(Curvas_cupon_cero!$A:$A)-2,1))))</f>
        <v/>
      </c>
      <c r="D531" s="23" t="str">
        <f ca="1">IF(A531="","",IF($B$10="Sí",interpolar_alamb(L531,OFFSET(Curvas_cupon_cero!$A$1,1,0,COUNT(Curvas_cupon_cero!$A:$A)-2,1),OFFSET(Curvas_cupon_cero!$A$1,1,MATCH($B$8,Curvas_cupon_cero!$1:$1,0)-1,COUNT(Curvas_cupon_cero!$A:$A)-2,1)),[1]!interpolar(L531,OFFSET(Curvas_cupon_cero!$A$1,1,0,COUNT(Curvas_cupon_cero!$A:$A)-2,1),OFFSET(Curvas_cupon_cero!$A$1,1,MATCH($B$8,Curvas_cupon_cero!$1:$1,0)-1,COUNT(Curvas_cupon_cero!$A:$A)-2,1))))</f>
        <v/>
      </c>
      <c r="E531" s="23" t="str">
        <f t="shared" si="83"/>
        <v/>
      </c>
      <c r="F531" s="23" t="str">
        <f ca="1">IF(A531="","",IF($B$10="Sí",interpolar_alamb(B531,OFFSET(Curvas_cupon_cero!$A$1,1,0,COUNT(Curvas_cupon_cero!$A:$A)-2,1),OFFSET(Curvas_cupon_cero!$A$1,1,MATCH($B$9,Curvas_cupon_cero!$1:$1,0)-1,COUNT(Curvas_cupon_cero!$A:$A)-2,1)),[1]!interpolar(B531,OFFSET(Curvas_cupon_cero!$A$1,1,0,COUNT(Curvas_cupon_cero!$A:$A)-2,1),OFFSET(Curvas_cupon_cero!$A$1,1,MATCH($B$9,Curvas_cupon_cero!$1:$1,0)-1,COUNT(Curvas_cupon_cero!$A:$A)-2,1))))</f>
        <v/>
      </c>
      <c r="G531" s="23" t="str">
        <f t="shared" si="84"/>
        <v/>
      </c>
      <c r="H531" s="20" t="str">
        <f t="shared" ref="H531:H594" si="89">IF(A531="","",(G531/G530-1)*360/$B$5)</f>
        <v/>
      </c>
      <c r="I531" t="str">
        <f t="shared" si="85"/>
        <v/>
      </c>
      <c r="J531" s="17" t="str">
        <f t="shared" si="81"/>
        <v/>
      </c>
      <c r="K531" s="18" t="str">
        <f t="shared" si="86"/>
        <v/>
      </c>
      <c r="L531" t="str">
        <f t="shared" si="87"/>
        <v/>
      </c>
      <c r="M531" s="23" t="str">
        <f ca="1">IF(A531="","",IF($B$10="Sí",interpolar_alamb(L531,OFFSET(Curvas_cupon_cero!$A$1,1,0,COUNT(Curvas_cupon_cero!$A:$A)-2,1),OFFSET(Curvas_cupon_cero!$A$1,1,MATCH($B$6,Curvas_cupon_cero!$1:$1,0)-1,COUNT(Curvas_cupon_cero!$A:$A)-2,1)),[1]!interpolar(L531,OFFSET(Curvas_cupon_cero!$A$1,1,0,COUNT(Curvas_cupon_cero!$A:$A)-2,1),OFFSET(Curvas_cupon_cero!$A$1,1,MATCH($B$6,Curvas_cupon_cero!$1:$1,0)-1,COUNT(Curvas_cupon_cero!$A:$A)-2,1))))</f>
        <v/>
      </c>
      <c r="N531" s="23"/>
      <c r="O531" s="19" t="str">
        <f t="shared" si="88"/>
        <v/>
      </c>
    </row>
    <row r="532" spans="1:15" x14ac:dyDescent="0.2">
      <c r="A532" s="12" t="str">
        <f t="shared" si="82"/>
        <v/>
      </c>
      <c r="B532" t="str">
        <f t="shared" si="80"/>
        <v/>
      </c>
      <c r="C532" s="21" t="str">
        <f ca="1">IF(A532="","",IF($B$10="Sí",interpolar_alamb(B532,OFFSET(Curvas_cupon_cero!$A$1,1,0,COUNT(Curvas_cupon_cero!$A:$A)-2,1),OFFSET(Curvas_cupon_cero!$A$1,1,MATCH($B$8,Curvas_cupon_cero!$1:$1,0)-1,COUNT(Curvas_cupon_cero!$A:$A)-2,1)),[1]!interpolar(B532,OFFSET(Curvas_cupon_cero!$A$1,1,0,COUNT(Curvas_cupon_cero!$A:$A)-2,1),OFFSET(Curvas_cupon_cero!$A$1,1,MATCH($B$8,Curvas_cupon_cero!$1:$1,0)-1,COUNT(Curvas_cupon_cero!$A:$A)-2,1))))</f>
        <v/>
      </c>
      <c r="D532" s="23" t="str">
        <f ca="1">IF(A532="","",IF($B$10="Sí",interpolar_alamb(L532,OFFSET(Curvas_cupon_cero!$A$1,1,0,COUNT(Curvas_cupon_cero!$A:$A)-2,1),OFFSET(Curvas_cupon_cero!$A$1,1,MATCH($B$8,Curvas_cupon_cero!$1:$1,0)-1,COUNT(Curvas_cupon_cero!$A:$A)-2,1)),[1]!interpolar(L532,OFFSET(Curvas_cupon_cero!$A$1,1,0,COUNT(Curvas_cupon_cero!$A:$A)-2,1),OFFSET(Curvas_cupon_cero!$A$1,1,MATCH($B$8,Curvas_cupon_cero!$1:$1,0)-1,COUNT(Curvas_cupon_cero!$A:$A)-2,1))))</f>
        <v/>
      </c>
      <c r="E532" s="23" t="str">
        <f t="shared" si="83"/>
        <v/>
      </c>
      <c r="F532" s="23" t="str">
        <f ca="1">IF(A532="","",IF($B$10="Sí",interpolar_alamb(B532,OFFSET(Curvas_cupon_cero!$A$1,1,0,COUNT(Curvas_cupon_cero!$A:$A)-2,1),OFFSET(Curvas_cupon_cero!$A$1,1,MATCH($B$9,Curvas_cupon_cero!$1:$1,0)-1,COUNT(Curvas_cupon_cero!$A:$A)-2,1)),[1]!interpolar(B532,OFFSET(Curvas_cupon_cero!$A$1,1,0,COUNT(Curvas_cupon_cero!$A:$A)-2,1),OFFSET(Curvas_cupon_cero!$A$1,1,MATCH($B$9,Curvas_cupon_cero!$1:$1,0)-1,COUNT(Curvas_cupon_cero!$A:$A)-2,1))))</f>
        <v/>
      </c>
      <c r="G532" s="23" t="str">
        <f t="shared" si="84"/>
        <v/>
      </c>
      <c r="H532" s="20" t="str">
        <f t="shared" si="89"/>
        <v/>
      </c>
      <c r="I532" t="str">
        <f t="shared" si="85"/>
        <v/>
      </c>
      <c r="J532" s="17" t="str">
        <f t="shared" si="81"/>
        <v/>
      </c>
      <c r="K532" s="18" t="str">
        <f t="shared" si="86"/>
        <v/>
      </c>
      <c r="L532" t="str">
        <f t="shared" si="87"/>
        <v/>
      </c>
      <c r="M532" s="23" t="str">
        <f ca="1">IF(A532="","",IF($B$10="Sí",interpolar_alamb(L532,OFFSET(Curvas_cupon_cero!$A$1,1,0,COUNT(Curvas_cupon_cero!$A:$A)-2,1),OFFSET(Curvas_cupon_cero!$A$1,1,MATCH($B$6,Curvas_cupon_cero!$1:$1,0)-1,COUNT(Curvas_cupon_cero!$A:$A)-2,1)),[1]!interpolar(L532,OFFSET(Curvas_cupon_cero!$A$1,1,0,COUNT(Curvas_cupon_cero!$A:$A)-2,1),OFFSET(Curvas_cupon_cero!$A$1,1,MATCH($B$6,Curvas_cupon_cero!$1:$1,0)-1,COUNT(Curvas_cupon_cero!$A:$A)-2,1))))</f>
        <v/>
      </c>
      <c r="N532" s="23"/>
      <c r="O532" s="19" t="str">
        <f t="shared" si="88"/>
        <v/>
      </c>
    </row>
    <row r="533" spans="1:15" x14ac:dyDescent="0.2">
      <c r="A533" s="12" t="str">
        <f t="shared" si="82"/>
        <v/>
      </c>
      <c r="B533" t="str">
        <f t="shared" si="80"/>
        <v/>
      </c>
      <c r="C533" s="21" t="str">
        <f ca="1">IF(A533="","",IF($B$10="Sí",interpolar_alamb(B533,OFFSET(Curvas_cupon_cero!$A$1,1,0,COUNT(Curvas_cupon_cero!$A:$A)-2,1),OFFSET(Curvas_cupon_cero!$A$1,1,MATCH($B$8,Curvas_cupon_cero!$1:$1,0)-1,COUNT(Curvas_cupon_cero!$A:$A)-2,1)),[1]!interpolar(B533,OFFSET(Curvas_cupon_cero!$A$1,1,0,COUNT(Curvas_cupon_cero!$A:$A)-2,1),OFFSET(Curvas_cupon_cero!$A$1,1,MATCH($B$8,Curvas_cupon_cero!$1:$1,0)-1,COUNT(Curvas_cupon_cero!$A:$A)-2,1))))</f>
        <v/>
      </c>
      <c r="D533" s="23" t="str">
        <f ca="1">IF(A533="","",IF($B$10="Sí",interpolar_alamb(L533,OFFSET(Curvas_cupon_cero!$A$1,1,0,COUNT(Curvas_cupon_cero!$A:$A)-2,1),OFFSET(Curvas_cupon_cero!$A$1,1,MATCH($B$8,Curvas_cupon_cero!$1:$1,0)-1,COUNT(Curvas_cupon_cero!$A:$A)-2,1)),[1]!interpolar(L533,OFFSET(Curvas_cupon_cero!$A$1,1,0,COUNT(Curvas_cupon_cero!$A:$A)-2,1),OFFSET(Curvas_cupon_cero!$A$1,1,MATCH($B$8,Curvas_cupon_cero!$1:$1,0)-1,COUNT(Curvas_cupon_cero!$A:$A)-2,1))))</f>
        <v/>
      </c>
      <c r="E533" s="23" t="str">
        <f t="shared" si="83"/>
        <v/>
      </c>
      <c r="F533" s="23" t="str">
        <f ca="1">IF(A533="","",IF($B$10="Sí",interpolar_alamb(B533,OFFSET(Curvas_cupon_cero!$A$1,1,0,COUNT(Curvas_cupon_cero!$A:$A)-2,1),OFFSET(Curvas_cupon_cero!$A$1,1,MATCH($B$9,Curvas_cupon_cero!$1:$1,0)-1,COUNT(Curvas_cupon_cero!$A:$A)-2,1)),[1]!interpolar(B533,OFFSET(Curvas_cupon_cero!$A$1,1,0,COUNT(Curvas_cupon_cero!$A:$A)-2,1),OFFSET(Curvas_cupon_cero!$A$1,1,MATCH($B$9,Curvas_cupon_cero!$1:$1,0)-1,COUNT(Curvas_cupon_cero!$A:$A)-2,1))))</f>
        <v/>
      </c>
      <c r="G533" s="23" t="str">
        <f t="shared" si="84"/>
        <v/>
      </c>
      <c r="H533" s="20" t="str">
        <f t="shared" si="89"/>
        <v/>
      </c>
      <c r="I533" t="str">
        <f t="shared" si="85"/>
        <v/>
      </c>
      <c r="J533" s="17" t="str">
        <f t="shared" si="81"/>
        <v/>
      </c>
      <c r="K533" s="18" t="str">
        <f t="shared" si="86"/>
        <v/>
      </c>
      <c r="L533" t="str">
        <f t="shared" si="87"/>
        <v/>
      </c>
      <c r="M533" s="23" t="str">
        <f ca="1">IF(A533="","",IF($B$10="Sí",interpolar_alamb(L533,OFFSET(Curvas_cupon_cero!$A$1,1,0,COUNT(Curvas_cupon_cero!$A:$A)-2,1),OFFSET(Curvas_cupon_cero!$A$1,1,MATCH($B$6,Curvas_cupon_cero!$1:$1,0)-1,COUNT(Curvas_cupon_cero!$A:$A)-2,1)),[1]!interpolar(L533,OFFSET(Curvas_cupon_cero!$A$1,1,0,COUNT(Curvas_cupon_cero!$A:$A)-2,1),OFFSET(Curvas_cupon_cero!$A$1,1,MATCH($B$6,Curvas_cupon_cero!$1:$1,0)-1,COUNT(Curvas_cupon_cero!$A:$A)-2,1))))</f>
        <v/>
      </c>
      <c r="N533" s="23"/>
      <c r="O533" s="19" t="str">
        <f t="shared" si="88"/>
        <v/>
      </c>
    </row>
    <row r="534" spans="1:15" x14ac:dyDescent="0.2">
      <c r="A534" s="12" t="str">
        <f t="shared" si="82"/>
        <v/>
      </c>
      <c r="B534" t="str">
        <f t="shared" si="80"/>
        <v/>
      </c>
      <c r="C534" s="21" t="str">
        <f ca="1">IF(A534="","",IF($B$10="Sí",interpolar_alamb(B534,OFFSET(Curvas_cupon_cero!$A$1,1,0,COUNT(Curvas_cupon_cero!$A:$A)-2,1),OFFSET(Curvas_cupon_cero!$A$1,1,MATCH($B$8,Curvas_cupon_cero!$1:$1,0)-1,COUNT(Curvas_cupon_cero!$A:$A)-2,1)),[1]!interpolar(B534,OFFSET(Curvas_cupon_cero!$A$1,1,0,COUNT(Curvas_cupon_cero!$A:$A)-2,1),OFFSET(Curvas_cupon_cero!$A$1,1,MATCH($B$8,Curvas_cupon_cero!$1:$1,0)-1,COUNT(Curvas_cupon_cero!$A:$A)-2,1))))</f>
        <v/>
      </c>
      <c r="D534" s="23" t="str">
        <f ca="1">IF(A534="","",IF($B$10="Sí",interpolar_alamb(L534,OFFSET(Curvas_cupon_cero!$A$1,1,0,COUNT(Curvas_cupon_cero!$A:$A)-2,1),OFFSET(Curvas_cupon_cero!$A$1,1,MATCH($B$8,Curvas_cupon_cero!$1:$1,0)-1,COUNT(Curvas_cupon_cero!$A:$A)-2,1)),[1]!interpolar(L534,OFFSET(Curvas_cupon_cero!$A$1,1,0,COUNT(Curvas_cupon_cero!$A:$A)-2,1),OFFSET(Curvas_cupon_cero!$A$1,1,MATCH($B$8,Curvas_cupon_cero!$1:$1,0)-1,COUNT(Curvas_cupon_cero!$A:$A)-2,1))))</f>
        <v/>
      </c>
      <c r="E534" s="23" t="str">
        <f t="shared" si="83"/>
        <v/>
      </c>
      <c r="F534" s="23" t="str">
        <f ca="1">IF(A534="","",IF($B$10="Sí",interpolar_alamb(B534,OFFSET(Curvas_cupon_cero!$A$1,1,0,COUNT(Curvas_cupon_cero!$A:$A)-2,1),OFFSET(Curvas_cupon_cero!$A$1,1,MATCH($B$9,Curvas_cupon_cero!$1:$1,0)-1,COUNT(Curvas_cupon_cero!$A:$A)-2,1)),[1]!interpolar(B534,OFFSET(Curvas_cupon_cero!$A$1,1,0,COUNT(Curvas_cupon_cero!$A:$A)-2,1),OFFSET(Curvas_cupon_cero!$A$1,1,MATCH($B$9,Curvas_cupon_cero!$1:$1,0)-1,COUNT(Curvas_cupon_cero!$A:$A)-2,1))))</f>
        <v/>
      </c>
      <c r="G534" s="23" t="str">
        <f t="shared" si="84"/>
        <v/>
      </c>
      <c r="H534" s="20" t="str">
        <f t="shared" si="89"/>
        <v/>
      </c>
      <c r="I534" t="str">
        <f t="shared" si="85"/>
        <v/>
      </c>
      <c r="J534" s="17" t="str">
        <f t="shared" si="81"/>
        <v/>
      </c>
      <c r="K534" s="18" t="str">
        <f t="shared" si="86"/>
        <v/>
      </c>
      <c r="L534" t="str">
        <f t="shared" si="87"/>
        <v/>
      </c>
      <c r="M534" s="23" t="str">
        <f ca="1">IF(A534="","",IF($B$10="Sí",interpolar_alamb(L534,OFFSET(Curvas_cupon_cero!$A$1,1,0,COUNT(Curvas_cupon_cero!$A:$A)-2,1),OFFSET(Curvas_cupon_cero!$A$1,1,MATCH($B$6,Curvas_cupon_cero!$1:$1,0)-1,COUNT(Curvas_cupon_cero!$A:$A)-2,1)),[1]!interpolar(L534,OFFSET(Curvas_cupon_cero!$A$1,1,0,COUNT(Curvas_cupon_cero!$A:$A)-2,1),OFFSET(Curvas_cupon_cero!$A$1,1,MATCH($B$6,Curvas_cupon_cero!$1:$1,0)-1,COUNT(Curvas_cupon_cero!$A:$A)-2,1))))</f>
        <v/>
      </c>
      <c r="N534" s="23"/>
      <c r="O534" s="19" t="str">
        <f t="shared" si="88"/>
        <v/>
      </c>
    </row>
    <row r="535" spans="1:15" x14ac:dyDescent="0.2">
      <c r="A535" s="12" t="str">
        <f t="shared" si="82"/>
        <v/>
      </c>
      <c r="B535" t="str">
        <f t="shared" si="80"/>
        <v/>
      </c>
      <c r="C535" s="21" t="str">
        <f ca="1">IF(A535="","",IF($B$10="Sí",interpolar_alamb(B535,OFFSET(Curvas_cupon_cero!$A$1,1,0,COUNT(Curvas_cupon_cero!$A:$A)-2,1),OFFSET(Curvas_cupon_cero!$A$1,1,MATCH($B$8,Curvas_cupon_cero!$1:$1,0)-1,COUNT(Curvas_cupon_cero!$A:$A)-2,1)),[1]!interpolar(B535,OFFSET(Curvas_cupon_cero!$A$1,1,0,COUNT(Curvas_cupon_cero!$A:$A)-2,1),OFFSET(Curvas_cupon_cero!$A$1,1,MATCH($B$8,Curvas_cupon_cero!$1:$1,0)-1,COUNT(Curvas_cupon_cero!$A:$A)-2,1))))</f>
        <v/>
      </c>
      <c r="D535" s="23" t="str">
        <f ca="1">IF(A535="","",IF($B$10="Sí",interpolar_alamb(L535,OFFSET(Curvas_cupon_cero!$A$1,1,0,COUNT(Curvas_cupon_cero!$A:$A)-2,1),OFFSET(Curvas_cupon_cero!$A$1,1,MATCH($B$8,Curvas_cupon_cero!$1:$1,0)-1,COUNT(Curvas_cupon_cero!$A:$A)-2,1)),[1]!interpolar(L535,OFFSET(Curvas_cupon_cero!$A$1,1,0,COUNT(Curvas_cupon_cero!$A:$A)-2,1),OFFSET(Curvas_cupon_cero!$A$1,1,MATCH($B$8,Curvas_cupon_cero!$1:$1,0)-1,COUNT(Curvas_cupon_cero!$A:$A)-2,1))))</f>
        <v/>
      </c>
      <c r="E535" s="23" t="str">
        <f t="shared" si="83"/>
        <v/>
      </c>
      <c r="F535" s="23" t="str">
        <f ca="1">IF(A535="","",IF($B$10="Sí",interpolar_alamb(B535,OFFSET(Curvas_cupon_cero!$A$1,1,0,COUNT(Curvas_cupon_cero!$A:$A)-2,1),OFFSET(Curvas_cupon_cero!$A$1,1,MATCH($B$9,Curvas_cupon_cero!$1:$1,0)-1,COUNT(Curvas_cupon_cero!$A:$A)-2,1)),[1]!interpolar(B535,OFFSET(Curvas_cupon_cero!$A$1,1,0,COUNT(Curvas_cupon_cero!$A:$A)-2,1),OFFSET(Curvas_cupon_cero!$A$1,1,MATCH($B$9,Curvas_cupon_cero!$1:$1,0)-1,COUNT(Curvas_cupon_cero!$A:$A)-2,1))))</f>
        <v/>
      </c>
      <c r="G535" s="23" t="str">
        <f t="shared" si="84"/>
        <v/>
      </c>
      <c r="H535" s="20" t="str">
        <f t="shared" si="89"/>
        <v/>
      </c>
      <c r="I535" t="str">
        <f t="shared" si="85"/>
        <v/>
      </c>
      <c r="J535" s="17" t="str">
        <f t="shared" si="81"/>
        <v/>
      </c>
      <c r="K535" s="18" t="str">
        <f t="shared" si="86"/>
        <v/>
      </c>
      <c r="L535" t="str">
        <f t="shared" si="87"/>
        <v/>
      </c>
      <c r="M535" s="23" t="str">
        <f ca="1">IF(A535="","",IF($B$10="Sí",interpolar_alamb(L535,OFFSET(Curvas_cupon_cero!$A$1,1,0,COUNT(Curvas_cupon_cero!$A:$A)-2,1),OFFSET(Curvas_cupon_cero!$A$1,1,MATCH($B$6,Curvas_cupon_cero!$1:$1,0)-1,COUNT(Curvas_cupon_cero!$A:$A)-2,1)),[1]!interpolar(L535,OFFSET(Curvas_cupon_cero!$A$1,1,0,COUNT(Curvas_cupon_cero!$A:$A)-2,1),OFFSET(Curvas_cupon_cero!$A$1,1,MATCH($B$6,Curvas_cupon_cero!$1:$1,0)-1,COUNT(Curvas_cupon_cero!$A:$A)-2,1))))</f>
        <v/>
      </c>
      <c r="N535" s="23"/>
      <c r="O535" s="19" t="str">
        <f t="shared" si="88"/>
        <v/>
      </c>
    </row>
    <row r="536" spans="1:15" x14ac:dyDescent="0.2">
      <c r="A536" s="12" t="str">
        <f t="shared" si="82"/>
        <v/>
      </c>
      <c r="B536" t="str">
        <f t="shared" si="80"/>
        <v/>
      </c>
      <c r="C536" s="21" t="str">
        <f ca="1">IF(A536="","",IF($B$10="Sí",interpolar_alamb(B536,OFFSET(Curvas_cupon_cero!$A$1,1,0,COUNT(Curvas_cupon_cero!$A:$A)-2,1),OFFSET(Curvas_cupon_cero!$A$1,1,MATCH($B$8,Curvas_cupon_cero!$1:$1,0)-1,COUNT(Curvas_cupon_cero!$A:$A)-2,1)),[1]!interpolar(B536,OFFSET(Curvas_cupon_cero!$A$1,1,0,COUNT(Curvas_cupon_cero!$A:$A)-2,1),OFFSET(Curvas_cupon_cero!$A$1,1,MATCH($B$8,Curvas_cupon_cero!$1:$1,0)-1,COUNT(Curvas_cupon_cero!$A:$A)-2,1))))</f>
        <v/>
      </c>
      <c r="D536" s="23" t="str">
        <f ca="1">IF(A536="","",IF($B$10="Sí",interpolar_alamb(L536,OFFSET(Curvas_cupon_cero!$A$1,1,0,COUNT(Curvas_cupon_cero!$A:$A)-2,1),OFFSET(Curvas_cupon_cero!$A$1,1,MATCH($B$8,Curvas_cupon_cero!$1:$1,0)-1,COUNT(Curvas_cupon_cero!$A:$A)-2,1)),[1]!interpolar(L536,OFFSET(Curvas_cupon_cero!$A$1,1,0,COUNT(Curvas_cupon_cero!$A:$A)-2,1),OFFSET(Curvas_cupon_cero!$A$1,1,MATCH($B$8,Curvas_cupon_cero!$1:$1,0)-1,COUNT(Curvas_cupon_cero!$A:$A)-2,1))))</f>
        <v/>
      </c>
      <c r="E536" s="23" t="str">
        <f t="shared" si="83"/>
        <v/>
      </c>
      <c r="F536" s="23" t="str">
        <f ca="1">IF(A536="","",IF($B$10="Sí",interpolar_alamb(B536,OFFSET(Curvas_cupon_cero!$A$1,1,0,COUNT(Curvas_cupon_cero!$A:$A)-2,1),OFFSET(Curvas_cupon_cero!$A$1,1,MATCH($B$9,Curvas_cupon_cero!$1:$1,0)-1,COUNT(Curvas_cupon_cero!$A:$A)-2,1)),[1]!interpolar(B536,OFFSET(Curvas_cupon_cero!$A$1,1,0,COUNT(Curvas_cupon_cero!$A:$A)-2,1),OFFSET(Curvas_cupon_cero!$A$1,1,MATCH($B$9,Curvas_cupon_cero!$1:$1,0)-1,COUNT(Curvas_cupon_cero!$A:$A)-2,1))))</f>
        <v/>
      </c>
      <c r="G536" s="23" t="str">
        <f t="shared" si="84"/>
        <v/>
      </c>
      <c r="H536" s="20" t="str">
        <f t="shared" si="89"/>
        <v/>
      </c>
      <c r="I536" t="str">
        <f t="shared" si="85"/>
        <v/>
      </c>
      <c r="J536" s="17" t="str">
        <f t="shared" si="81"/>
        <v/>
      </c>
      <c r="K536" s="18" t="str">
        <f t="shared" si="86"/>
        <v/>
      </c>
      <c r="L536" t="str">
        <f t="shared" si="87"/>
        <v/>
      </c>
      <c r="M536" s="23" t="str">
        <f ca="1">IF(A536="","",IF($B$10="Sí",interpolar_alamb(L536,OFFSET(Curvas_cupon_cero!$A$1,1,0,COUNT(Curvas_cupon_cero!$A:$A)-2,1),OFFSET(Curvas_cupon_cero!$A$1,1,MATCH($B$6,Curvas_cupon_cero!$1:$1,0)-1,COUNT(Curvas_cupon_cero!$A:$A)-2,1)),[1]!interpolar(L536,OFFSET(Curvas_cupon_cero!$A$1,1,0,COUNT(Curvas_cupon_cero!$A:$A)-2,1),OFFSET(Curvas_cupon_cero!$A$1,1,MATCH($B$6,Curvas_cupon_cero!$1:$1,0)-1,COUNT(Curvas_cupon_cero!$A:$A)-2,1))))</f>
        <v/>
      </c>
      <c r="N536" s="23"/>
      <c r="O536" s="19" t="str">
        <f t="shared" si="88"/>
        <v/>
      </c>
    </row>
    <row r="537" spans="1:15" x14ac:dyDescent="0.2">
      <c r="A537" s="12" t="str">
        <f t="shared" si="82"/>
        <v/>
      </c>
      <c r="B537" t="str">
        <f t="shared" si="80"/>
        <v/>
      </c>
      <c r="C537" s="21" t="str">
        <f ca="1">IF(A537="","",IF($B$10="Sí",interpolar_alamb(B537,OFFSET(Curvas_cupon_cero!$A$1,1,0,COUNT(Curvas_cupon_cero!$A:$A)-2,1),OFFSET(Curvas_cupon_cero!$A$1,1,MATCH($B$8,Curvas_cupon_cero!$1:$1,0)-1,COUNT(Curvas_cupon_cero!$A:$A)-2,1)),[1]!interpolar(B537,OFFSET(Curvas_cupon_cero!$A$1,1,0,COUNT(Curvas_cupon_cero!$A:$A)-2,1),OFFSET(Curvas_cupon_cero!$A$1,1,MATCH($B$8,Curvas_cupon_cero!$1:$1,0)-1,COUNT(Curvas_cupon_cero!$A:$A)-2,1))))</f>
        <v/>
      </c>
      <c r="D537" s="23" t="str">
        <f ca="1">IF(A537="","",IF($B$10="Sí",interpolar_alamb(L537,OFFSET(Curvas_cupon_cero!$A$1,1,0,COUNT(Curvas_cupon_cero!$A:$A)-2,1),OFFSET(Curvas_cupon_cero!$A$1,1,MATCH($B$8,Curvas_cupon_cero!$1:$1,0)-1,COUNT(Curvas_cupon_cero!$A:$A)-2,1)),[1]!interpolar(L537,OFFSET(Curvas_cupon_cero!$A$1,1,0,COUNT(Curvas_cupon_cero!$A:$A)-2,1),OFFSET(Curvas_cupon_cero!$A$1,1,MATCH($B$8,Curvas_cupon_cero!$1:$1,0)-1,COUNT(Curvas_cupon_cero!$A:$A)-2,1))))</f>
        <v/>
      </c>
      <c r="E537" s="23" t="str">
        <f t="shared" si="83"/>
        <v/>
      </c>
      <c r="F537" s="23" t="str">
        <f ca="1">IF(A537="","",IF($B$10="Sí",interpolar_alamb(B537,OFFSET(Curvas_cupon_cero!$A$1,1,0,COUNT(Curvas_cupon_cero!$A:$A)-2,1),OFFSET(Curvas_cupon_cero!$A$1,1,MATCH($B$9,Curvas_cupon_cero!$1:$1,0)-1,COUNT(Curvas_cupon_cero!$A:$A)-2,1)),[1]!interpolar(B537,OFFSET(Curvas_cupon_cero!$A$1,1,0,COUNT(Curvas_cupon_cero!$A:$A)-2,1),OFFSET(Curvas_cupon_cero!$A$1,1,MATCH($B$9,Curvas_cupon_cero!$1:$1,0)-1,COUNT(Curvas_cupon_cero!$A:$A)-2,1))))</f>
        <v/>
      </c>
      <c r="G537" s="23" t="str">
        <f t="shared" si="84"/>
        <v/>
      </c>
      <c r="H537" s="20" t="str">
        <f t="shared" si="89"/>
        <v/>
      </c>
      <c r="I537" t="str">
        <f t="shared" si="85"/>
        <v/>
      </c>
      <c r="J537" s="17" t="str">
        <f t="shared" si="81"/>
        <v/>
      </c>
      <c r="K537" s="18" t="str">
        <f t="shared" si="86"/>
        <v/>
      </c>
      <c r="L537" t="str">
        <f t="shared" si="87"/>
        <v/>
      </c>
      <c r="M537" s="23" t="str">
        <f ca="1">IF(A537="","",IF($B$10="Sí",interpolar_alamb(L537,OFFSET(Curvas_cupon_cero!$A$1,1,0,COUNT(Curvas_cupon_cero!$A:$A)-2,1),OFFSET(Curvas_cupon_cero!$A$1,1,MATCH($B$6,Curvas_cupon_cero!$1:$1,0)-1,COUNT(Curvas_cupon_cero!$A:$A)-2,1)),[1]!interpolar(L537,OFFSET(Curvas_cupon_cero!$A$1,1,0,COUNT(Curvas_cupon_cero!$A:$A)-2,1),OFFSET(Curvas_cupon_cero!$A$1,1,MATCH($B$6,Curvas_cupon_cero!$1:$1,0)-1,COUNT(Curvas_cupon_cero!$A:$A)-2,1))))</f>
        <v/>
      </c>
      <c r="N537" s="23"/>
      <c r="O537" s="19" t="str">
        <f t="shared" si="88"/>
        <v/>
      </c>
    </row>
    <row r="538" spans="1:15" x14ac:dyDescent="0.2">
      <c r="A538" s="12" t="str">
        <f t="shared" si="82"/>
        <v/>
      </c>
      <c r="B538" t="str">
        <f t="shared" si="80"/>
        <v/>
      </c>
      <c r="C538" s="21" t="str">
        <f ca="1">IF(A538="","",IF($B$10="Sí",interpolar_alamb(B538,OFFSET(Curvas_cupon_cero!$A$1,1,0,COUNT(Curvas_cupon_cero!$A:$A)-2,1),OFFSET(Curvas_cupon_cero!$A$1,1,MATCH($B$8,Curvas_cupon_cero!$1:$1,0)-1,COUNT(Curvas_cupon_cero!$A:$A)-2,1)),[1]!interpolar(B538,OFFSET(Curvas_cupon_cero!$A$1,1,0,COUNT(Curvas_cupon_cero!$A:$A)-2,1),OFFSET(Curvas_cupon_cero!$A$1,1,MATCH($B$8,Curvas_cupon_cero!$1:$1,0)-1,COUNT(Curvas_cupon_cero!$A:$A)-2,1))))</f>
        <v/>
      </c>
      <c r="D538" s="23" t="str">
        <f ca="1">IF(A538="","",IF($B$10="Sí",interpolar_alamb(L538,OFFSET(Curvas_cupon_cero!$A$1,1,0,COUNT(Curvas_cupon_cero!$A:$A)-2,1),OFFSET(Curvas_cupon_cero!$A$1,1,MATCH($B$8,Curvas_cupon_cero!$1:$1,0)-1,COUNT(Curvas_cupon_cero!$A:$A)-2,1)),[1]!interpolar(L538,OFFSET(Curvas_cupon_cero!$A$1,1,0,COUNT(Curvas_cupon_cero!$A:$A)-2,1),OFFSET(Curvas_cupon_cero!$A$1,1,MATCH($B$8,Curvas_cupon_cero!$1:$1,0)-1,COUNT(Curvas_cupon_cero!$A:$A)-2,1))))</f>
        <v/>
      </c>
      <c r="E538" s="23" t="str">
        <f t="shared" si="83"/>
        <v/>
      </c>
      <c r="F538" s="23" t="str">
        <f ca="1">IF(A538="","",IF($B$10="Sí",interpolar_alamb(B538,OFFSET(Curvas_cupon_cero!$A$1,1,0,COUNT(Curvas_cupon_cero!$A:$A)-2,1),OFFSET(Curvas_cupon_cero!$A$1,1,MATCH($B$9,Curvas_cupon_cero!$1:$1,0)-1,COUNT(Curvas_cupon_cero!$A:$A)-2,1)),[1]!interpolar(B538,OFFSET(Curvas_cupon_cero!$A$1,1,0,COUNT(Curvas_cupon_cero!$A:$A)-2,1),OFFSET(Curvas_cupon_cero!$A$1,1,MATCH($B$9,Curvas_cupon_cero!$1:$1,0)-1,COUNT(Curvas_cupon_cero!$A:$A)-2,1))))</f>
        <v/>
      </c>
      <c r="G538" s="23" t="str">
        <f t="shared" si="84"/>
        <v/>
      </c>
      <c r="H538" s="20" t="str">
        <f t="shared" si="89"/>
        <v/>
      </c>
      <c r="I538" t="str">
        <f t="shared" si="85"/>
        <v/>
      </c>
      <c r="J538" s="17" t="str">
        <f t="shared" si="81"/>
        <v/>
      </c>
      <c r="K538" s="18" t="str">
        <f t="shared" si="86"/>
        <v/>
      </c>
      <c r="L538" t="str">
        <f t="shared" si="87"/>
        <v/>
      </c>
      <c r="M538" s="23" t="str">
        <f ca="1">IF(A538="","",IF($B$10="Sí",interpolar_alamb(L538,OFFSET(Curvas_cupon_cero!$A$1,1,0,COUNT(Curvas_cupon_cero!$A:$A)-2,1),OFFSET(Curvas_cupon_cero!$A$1,1,MATCH($B$6,Curvas_cupon_cero!$1:$1,0)-1,COUNT(Curvas_cupon_cero!$A:$A)-2,1)),[1]!interpolar(L538,OFFSET(Curvas_cupon_cero!$A$1,1,0,COUNT(Curvas_cupon_cero!$A:$A)-2,1),OFFSET(Curvas_cupon_cero!$A$1,1,MATCH($B$6,Curvas_cupon_cero!$1:$1,0)-1,COUNT(Curvas_cupon_cero!$A:$A)-2,1))))</f>
        <v/>
      </c>
      <c r="N538" s="23"/>
      <c r="O538" s="19" t="str">
        <f t="shared" si="88"/>
        <v/>
      </c>
    </row>
    <row r="539" spans="1:15" x14ac:dyDescent="0.2">
      <c r="A539" s="12" t="str">
        <f t="shared" si="82"/>
        <v/>
      </c>
      <c r="B539" t="str">
        <f t="shared" si="80"/>
        <v/>
      </c>
      <c r="C539" s="21" t="str">
        <f ca="1">IF(A539="","",IF($B$10="Sí",interpolar_alamb(B539,OFFSET(Curvas_cupon_cero!$A$1,1,0,COUNT(Curvas_cupon_cero!$A:$A)-2,1),OFFSET(Curvas_cupon_cero!$A$1,1,MATCH($B$8,Curvas_cupon_cero!$1:$1,0)-1,COUNT(Curvas_cupon_cero!$A:$A)-2,1)),[1]!interpolar(B539,OFFSET(Curvas_cupon_cero!$A$1,1,0,COUNT(Curvas_cupon_cero!$A:$A)-2,1),OFFSET(Curvas_cupon_cero!$A$1,1,MATCH($B$8,Curvas_cupon_cero!$1:$1,0)-1,COUNT(Curvas_cupon_cero!$A:$A)-2,1))))</f>
        <v/>
      </c>
      <c r="D539" s="23" t="str">
        <f ca="1">IF(A539="","",IF($B$10="Sí",interpolar_alamb(L539,OFFSET(Curvas_cupon_cero!$A$1,1,0,COUNT(Curvas_cupon_cero!$A:$A)-2,1),OFFSET(Curvas_cupon_cero!$A$1,1,MATCH($B$8,Curvas_cupon_cero!$1:$1,0)-1,COUNT(Curvas_cupon_cero!$A:$A)-2,1)),[1]!interpolar(L539,OFFSET(Curvas_cupon_cero!$A$1,1,0,COUNT(Curvas_cupon_cero!$A:$A)-2,1),OFFSET(Curvas_cupon_cero!$A$1,1,MATCH($B$8,Curvas_cupon_cero!$1:$1,0)-1,COUNT(Curvas_cupon_cero!$A:$A)-2,1))))</f>
        <v/>
      </c>
      <c r="E539" s="23" t="str">
        <f t="shared" si="83"/>
        <v/>
      </c>
      <c r="F539" s="23" t="str">
        <f ca="1">IF(A539="","",IF($B$10="Sí",interpolar_alamb(B539,OFFSET(Curvas_cupon_cero!$A$1,1,0,COUNT(Curvas_cupon_cero!$A:$A)-2,1),OFFSET(Curvas_cupon_cero!$A$1,1,MATCH($B$9,Curvas_cupon_cero!$1:$1,0)-1,COUNT(Curvas_cupon_cero!$A:$A)-2,1)),[1]!interpolar(B539,OFFSET(Curvas_cupon_cero!$A$1,1,0,COUNT(Curvas_cupon_cero!$A:$A)-2,1),OFFSET(Curvas_cupon_cero!$A$1,1,MATCH($B$9,Curvas_cupon_cero!$1:$1,0)-1,COUNT(Curvas_cupon_cero!$A:$A)-2,1))))</f>
        <v/>
      </c>
      <c r="G539" s="23" t="str">
        <f t="shared" si="84"/>
        <v/>
      </c>
      <c r="H539" s="20" t="str">
        <f t="shared" si="89"/>
        <v/>
      </c>
      <c r="I539" t="str">
        <f t="shared" si="85"/>
        <v/>
      </c>
      <c r="J539" s="17" t="str">
        <f t="shared" si="81"/>
        <v/>
      </c>
      <c r="K539" s="18" t="str">
        <f t="shared" si="86"/>
        <v/>
      </c>
      <c r="L539" t="str">
        <f t="shared" si="87"/>
        <v/>
      </c>
      <c r="M539" s="23" t="str">
        <f ca="1">IF(A539="","",IF($B$10="Sí",interpolar_alamb(L539,OFFSET(Curvas_cupon_cero!$A$1,1,0,COUNT(Curvas_cupon_cero!$A:$A)-2,1),OFFSET(Curvas_cupon_cero!$A$1,1,MATCH($B$6,Curvas_cupon_cero!$1:$1,0)-1,COUNT(Curvas_cupon_cero!$A:$A)-2,1)),[1]!interpolar(L539,OFFSET(Curvas_cupon_cero!$A$1,1,0,COUNT(Curvas_cupon_cero!$A:$A)-2,1),OFFSET(Curvas_cupon_cero!$A$1,1,MATCH($B$6,Curvas_cupon_cero!$1:$1,0)-1,COUNT(Curvas_cupon_cero!$A:$A)-2,1))))</f>
        <v/>
      </c>
      <c r="N539" s="23"/>
      <c r="O539" s="19" t="str">
        <f t="shared" si="88"/>
        <v/>
      </c>
    </row>
    <row r="540" spans="1:15" x14ac:dyDescent="0.2">
      <c r="A540" s="12" t="str">
        <f t="shared" si="82"/>
        <v/>
      </c>
      <c r="B540" t="str">
        <f t="shared" si="80"/>
        <v/>
      </c>
      <c r="C540" s="21" t="str">
        <f ca="1">IF(A540="","",IF($B$10="Sí",interpolar_alamb(B540,OFFSET(Curvas_cupon_cero!$A$1,1,0,COUNT(Curvas_cupon_cero!$A:$A)-2,1),OFFSET(Curvas_cupon_cero!$A$1,1,MATCH($B$8,Curvas_cupon_cero!$1:$1,0)-1,COUNT(Curvas_cupon_cero!$A:$A)-2,1)),[1]!interpolar(B540,OFFSET(Curvas_cupon_cero!$A$1,1,0,COUNT(Curvas_cupon_cero!$A:$A)-2,1),OFFSET(Curvas_cupon_cero!$A$1,1,MATCH($B$8,Curvas_cupon_cero!$1:$1,0)-1,COUNT(Curvas_cupon_cero!$A:$A)-2,1))))</f>
        <v/>
      </c>
      <c r="D540" s="23" t="str">
        <f ca="1">IF(A540="","",IF($B$10="Sí",interpolar_alamb(L540,OFFSET(Curvas_cupon_cero!$A$1,1,0,COUNT(Curvas_cupon_cero!$A:$A)-2,1),OFFSET(Curvas_cupon_cero!$A$1,1,MATCH($B$8,Curvas_cupon_cero!$1:$1,0)-1,COUNT(Curvas_cupon_cero!$A:$A)-2,1)),[1]!interpolar(L540,OFFSET(Curvas_cupon_cero!$A$1,1,0,COUNT(Curvas_cupon_cero!$A:$A)-2,1),OFFSET(Curvas_cupon_cero!$A$1,1,MATCH($B$8,Curvas_cupon_cero!$1:$1,0)-1,COUNT(Curvas_cupon_cero!$A:$A)-2,1))))</f>
        <v/>
      </c>
      <c r="E540" s="23" t="str">
        <f t="shared" si="83"/>
        <v/>
      </c>
      <c r="F540" s="23" t="str">
        <f ca="1">IF(A540="","",IF($B$10="Sí",interpolar_alamb(B540,OFFSET(Curvas_cupon_cero!$A$1,1,0,COUNT(Curvas_cupon_cero!$A:$A)-2,1),OFFSET(Curvas_cupon_cero!$A$1,1,MATCH($B$9,Curvas_cupon_cero!$1:$1,0)-1,COUNT(Curvas_cupon_cero!$A:$A)-2,1)),[1]!interpolar(B540,OFFSET(Curvas_cupon_cero!$A$1,1,0,COUNT(Curvas_cupon_cero!$A:$A)-2,1),OFFSET(Curvas_cupon_cero!$A$1,1,MATCH($B$9,Curvas_cupon_cero!$1:$1,0)-1,COUNT(Curvas_cupon_cero!$A:$A)-2,1))))</f>
        <v/>
      </c>
      <c r="G540" s="23" t="str">
        <f t="shared" si="84"/>
        <v/>
      </c>
      <c r="H540" s="20" t="str">
        <f t="shared" si="89"/>
        <v/>
      </c>
      <c r="I540" t="str">
        <f t="shared" si="85"/>
        <v/>
      </c>
      <c r="J540" s="17" t="str">
        <f t="shared" si="81"/>
        <v/>
      </c>
      <c r="K540" s="18" t="str">
        <f t="shared" si="86"/>
        <v/>
      </c>
      <c r="L540" t="str">
        <f t="shared" si="87"/>
        <v/>
      </c>
      <c r="M540" s="23" t="str">
        <f ca="1">IF(A540="","",IF($B$10="Sí",interpolar_alamb(L540,OFFSET(Curvas_cupon_cero!$A$1,1,0,COUNT(Curvas_cupon_cero!$A:$A)-2,1),OFFSET(Curvas_cupon_cero!$A$1,1,MATCH($B$6,Curvas_cupon_cero!$1:$1,0)-1,COUNT(Curvas_cupon_cero!$A:$A)-2,1)),[1]!interpolar(L540,OFFSET(Curvas_cupon_cero!$A$1,1,0,COUNT(Curvas_cupon_cero!$A:$A)-2,1),OFFSET(Curvas_cupon_cero!$A$1,1,MATCH($B$6,Curvas_cupon_cero!$1:$1,0)-1,COUNT(Curvas_cupon_cero!$A:$A)-2,1))))</f>
        <v/>
      </c>
      <c r="N540" s="23"/>
      <c r="O540" s="19" t="str">
        <f t="shared" si="88"/>
        <v/>
      </c>
    </row>
    <row r="541" spans="1:15" x14ac:dyDescent="0.2">
      <c r="A541" s="12" t="str">
        <f t="shared" si="82"/>
        <v/>
      </c>
      <c r="B541" t="str">
        <f t="shared" si="80"/>
        <v/>
      </c>
      <c r="C541" s="21" t="str">
        <f ca="1">IF(A541="","",IF($B$10="Sí",interpolar_alamb(B541,OFFSET(Curvas_cupon_cero!$A$1,1,0,COUNT(Curvas_cupon_cero!$A:$A)-2,1),OFFSET(Curvas_cupon_cero!$A$1,1,MATCH($B$8,Curvas_cupon_cero!$1:$1,0)-1,COUNT(Curvas_cupon_cero!$A:$A)-2,1)),[1]!interpolar(B541,OFFSET(Curvas_cupon_cero!$A$1,1,0,COUNT(Curvas_cupon_cero!$A:$A)-2,1),OFFSET(Curvas_cupon_cero!$A$1,1,MATCH($B$8,Curvas_cupon_cero!$1:$1,0)-1,COUNT(Curvas_cupon_cero!$A:$A)-2,1))))</f>
        <v/>
      </c>
      <c r="D541" s="23" t="str">
        <f ca="1">IF(A541="","",IF($B$10="Sí",interpolar_alamb(L541,OFFSET(Curvas_cupon_cero!$A$1,1,0,COUNT(Curvas_cupon_cero!$A:$A)-2,1),OFFSET(Curvas_cupon_cero!$A$1,1,MATCH($B$8,Curvas_cupon_cero!$1:$1,0)-1,COUNT(Curvas_cupon_cero!$A:$A)-2,1)),[1]!interpolar(L541,OFFSET(Curvas_cupon_cero!$A$1,1,0,COUNT(Curvas_cupon_cero!$A:$A)-2,1),OFFSET(Curvas_cupon_cero!$A$1,1,MATCH($B$8,Curvas_cupon_cero!$1:$1,0)-1,COUNT(Curvas_cupon_cero!$A:$A)-2,1))))</f>
        <v/>
      </c>
      <c r="E541" s="23" t="str">
        <f t="shared" si="83"/>
        <v/>
      </c>
      <c r="F541" s="23" t="str">
        <f ca="1">IF(A541="","",IF($B$10="Sí",interpolar_alamb(B541,OFFSET(Curvas_cupon_cero!$A$1,1,0,COUNT(Curvas_cupon_cero!$A:$A)-2,1),OFFSET(Curvas_cupon_cero!$A$1,1,MATCH($B$9,Curvas_cupon_cero!$1:$1,0)-1,COUNT(Curvas_cupon_cero!$A:$A)-2,1)),[1]!interpolar(B541,OFFSET(Curvas_cupon_cero!$A$1,1,0,COUNT(Curvas_cupon_cero!$A:$A)-2,1),OFFSET(Curvas_cupon_cero!$A$1,1,MATCH($B$9,Curvas_cupon_cero!$1:$1,0)-1,COUNT(Curvas_cupon_cero!$A:$A)-2,1))))</f>
        <v/>
      </c>
      <c r="G541" s="23" t="str">
        <f t="shared" si="84"/>
        <v/>
      </c>
      <c r="H541" s="20" t="str">
        <f t="shared" si="89"/>
        <v/>
      </c>
      <c r="I541" t="str">
        <f t="shared" si="85"/>
        <v/>
      </c>
      <c r="J541" s="17" t="str">
        <f t="shared" si="81"/>
        <v/>
      </c>
      <c r="K541" s="18" t="str">
        <f t="shared" si="86"/>
        <v/>
      </c>
      <c r="L541" t="str">
        <f t="shared" si="87"/>
        <v/>
      </c>
      <c r="M541" s="23" t="str">
        <f ca="1">IF(A541="","",IF($B$10="Sí",interpolar_alamb(L541,OFFSET(Curvas_cupon_cero!$A$1,1,0,COUNT(Curvas_cupon_cero!$A:$A)-2,1),OFFSET(Curvas_cupon_cero!$A$1,1,MATCH($B$6,Curvas_cupon_cero!$1:$1,0)-1,COUNT(Curvas_cupon_cero!$A:$A)-2,1)),[1]!interpolar(L541,OFFSET(Curvas_cupon_cero!$A$1,1,0,COUNT(Curvas_cupon_cero!$A:$A)-2,1),OFFSET(Curvas_cupon_cero!$A$1,1,MATCH($B$6,Curvas_cupon_cero!$1:$1,0)-1,COUNT(Curvas_cupon_cero!$A:$A)-2,1))))</f>
        <v/>
      </c>
      <c r="N541" s="23"/>
      <c r="O541" s="19" t="str">
        <f t="shared" si="88"/>
        <v/>
      </c>
    </row>
    <row r="542" spans="1:15" x14ac:dyDescent="0.2">
      <c r="A542" s="12" t="str">
        <f t="shared" si="82"/>
        <v/>
      </c>
      <c r="B542" t="str">
        <f t="shared" si="80"/>
        <v/>
      </c>
      <c r="C542" s="21" t="str">
        <f ca="1">IF(A542="","",IF($B$10="Sí",interpolar_alamb(B542,OFFSET(Curvas_cupon_cero!$A$1,1,0,COUNT(Curvas_cupon_cero!$A:$A)-2,1),OFFSET(Curvas_cupon_cero!$A$1,1,MATCH($B$8,Curvas_cupon_cero!$1:$1,0)-1,COUNT(Curvas_cupon_cero!$A:$A)-2,1)),[1]!interpolar(B542,OFFSET(Curvas_cupon_cero!$A$1,1,0,COUNT(Curvas_cupon_cero!$A:$A)-2,1),OFFSET(Curvas_cupon_cero!$A$1,1,MATCH($B$8,Curvas_cupon_cero!$1:$1,0)-1,COUNT(Curvas_cupon_cero!$A:$A)-2,1))))</f>
        <v/>
      </c>
      <c r="D542" s="23" t="str">
        <f ca="1">IF(A542="","",IF($B$10="Sí",interpolar_alamb(L542,OFFSET(Curvas_cupon_cero!$A$1,1,0,COUNT(Curvas_cupon_cero!$A:$A)-2,1),OFFSET(Curvas_cupon_cero!$A$1,1,MATCH($B$8,Curvas_cupon_cero!$1:$1,0)-1,COUNT(Curvas_cupon_cero!$A:$A)-2,1)),[1]!interpolar(L542,OFFSET(Curvas_cupon_cero!$A$1,1,0,COUNT(Curvas_cupon_cero!$A:$A)-2,1),OFFSET(Curvas_cupon_cero!$A$1,1,MATCH($B$8,Curvas_cupon_cero!$1:$1,0)-1,COUNT(Curvas_cupon_cero!$A:$A)-2,1))))</f>
        <v/>
      </c>
      <c r="E542" s="23" t="str">
        <f t="shared" si="83"/>
        <v/>
      </c>
      <c r="F542" s="23" t="str">
        <f ca="1">IF(A542="","",IF($B$10="Sí",interpolar_alamb(B542,OFFSET(Curvas_cupon_cero!$A$1,1,0,COUNT(Curvas_cupon_cero!$A:$A)-2,1),OFFSET(Curvas_cupon_cero!$A$1,1,MATCH($B$9,Curvas_cupon_cero!$1:$1,0)-1,COUNT(Curvas_cupon_cero!$A:$A)-2,1)),[1]!interpolar(B542,OFFSET(Curvas_cupon_cero!$A$1,1,0,COUNT(Curvas_cupon_cero!$A:$A)-2,1),OFFSET(Curvas_cupon_cero!$A$1,1,MATCH($B$9,Curvas_cupon_cero!$1:$1,0)-1,COUNT(Curvas_cupon_cero!$A:$A)-2,1))))</f>
        <v/>
      </c>
      <c r="G542" s="23" t="str">
        <f t="shared" si="84"/>
        <v/>
      </c>
      <c r="H542" s="20" t="str">
        <f t="shared" si="89"/>
        <v/>
      </c>
      <c r="I542" t="str">
        <f t="shared" si="85"/>
        <v/>
      </c>
      <c r="J542" s="17" t="str">
        <f t="shared" si="81"/>
        <v/>
      </c>
      <c r="K542" s="18" t="str">
        <f t="shared" si="86"/>
        <v/>
      </c>
      <c r="L542" t="str">
        <f t="shared" si="87"/>
        <v/>
      </c>
      <c r="M542" s="23" t="str">
        <f ca="1">IF(A542="","",IF($B$10="Sí",interpolar_alamb(L542,OFFSET(Curvas_cupon_cero!$A$1,1,0,COUNT(Curvas_cupon_cero!$A:$A)-2,1),OFFSET(Curvas_cupon_cero!$A$1,1,MATCH($B$6,Curvas_cupon_cero!$1:$1,0)-1,COUNT(Curvas_cupon_cero!$A:$A)-2,1)),[1]!interpolar(L542,OFFSET(Curvas_cupon_cero!$A$1,1,0,COUNT(Curvas_cupon_cero!$A:$A)-2,1),OFFSET(Curvas_cupon_cero!$A$1,1,MATCH($B$6,Curvas_cupon_cero!$1:$1,0)-1,COUNT(Curvas_cupon_cero!$A:$A)-2,1))))</f>
        <v/>
      </c>
      <c r="N542" s="23"/>
      <c r="O542" s="19" t="str">
        <f t="shared" si="88"/>
        <v/>
      </c>
    </row>
    <row r="543" spans="1:15" x14ac:dyDescent="0.2">
      <c r="A543" s="12" t="str">
        <f t="shared" si="82"/>
        <v/>
      </c>
      <c r="B543" t="str">
        <f t="shared" si="80"/>
        <v/>
      </c>
      <c r="C543" s="21" t="str">
        <f ca="1">IF(A543="","",IF($B$10="Sí",interpolar_alamb(B543,OFFSET(Curvas_cupon_cero!$A$1,1,0,COUNT(Curvas_cupon_cero!$A:$A)-2,1),OFFSET(Curvas_cupon_cero!$A$1,1,MATCH($B$8,Curvas_cupon_cero!$1:$1,0)-1,COUNT(Curvas_cupon_cero!$A:$A)-2,1)),[1]!interpolar(B543,OFFSET(Curvas_cupon_cero!$A$1,1,0,COUNT(Curvas_cupon_cero!$A:$A)-2,1),OFFSET(Curvas_cupon_cero!$A$1,1,MATCH($B$8,Curvas_cupon_cero!$1:$1,0)-1,COUNT(Curvas_cupon_cero!$A:$A)-2,1))))</f>
        <v/>
      </c>
      <c r="D543" s="23" t="str">
        <f ca="1">IF(A543="","",IF($B$10="Sí",interpolar_alamb(L543,OFFSET(Curvas_cupon_cero!$A$1,1,0,COUNT(Curvas_cupon_cero!$A:$A)-2,1),OFFSET(Curvas_cupon_cero!$A$1,1,MATCH($B$8,Curvas_cupon_cero!$1:$1,0)-1,COUNT(Curvas_cupon_cero!$A:$A)-2,1)),[1]!interpolar(L543,OFFSET(Curvas_cupon_cero!$A$1,1,0,COUNT(Curvas_cupon_cero!$A:$A)-2,1),OFFSET(Curvas_cupon_cero!$A$1,1,MATCH($B$8,Curvas_cupon_cero!$1:$1,0)-1,COUNT(Curvas_cupon_cero!$A:$A)-2,1))))</f>
        <v/>
      </c>
      <c r="E543" s="23" t="str">
        <f t="shared" si="83"/>
        <v/>
      </c>
      <c r="F543" s="23" t="str">
        <f ca="1">IF(A543="","",IF($B$10="Sí",interpolar_alamb(B543,OFFSET(Curvas_cupon_cero!$A$1,1,0,COUNT(Curvas_cupon_cero!$A:$A)-2,1),OFFSET(Curvas_cupon_cero!$A$1,1,MATCH($B$9,Curvas_cupon_cero!$1:$1,0)-1,COUNT(Curvas_cupon_cero!$A:$A)-2,1)),[1]!interpolar(B543,OFFSET(Curvas_cupon_cero!$A$1,1,0,COUNT(Curvas_cupon_cero!$A:$A)-2,1),OFFSET(Curvas_cupon_cero!$A$1,1,MATCH($B$9,Curvas_cupon_cero!$1:$1,0)-1,COUNT(Curvas_cupon_cero!$A:$A)-2,1))))</f>
        <v/>
      </c>
      <c r="G543" s="23" t="str">
        <f t="shared" si="84"/>
        <v/>
      </c>
      <c r="H543" s="20" t="str">
        <f t="shared" si="89"/>
        <v/>
      </c>
      <c r="I543" t="str">
        <f t="shared" si="85"/>
        <v/>
      </c>
      <c r="J543" s="17" t="str">
        <f t="shared" si="81"/>
        <v/>
      </c>
      <c r="K543" s="18" t="str">
        <f t="shared" si="86"/>
        <v/>
      </c>
      <c r="L543" t="str">
        <f t="shared" si="87"/>
        <v/>
      </c>
      <c r="M543" s="23" t="str">
        <f ca="1">IF(A543="","",IF($B$10="Sí",interpolar_alamb(L543,OFFSET(Curvas_cupon_cero!$A$1,1,0,COUNT(Curvas_cupon_cero!$A:$A)-2,1),OFFSET(Curvas_cupon_cero!$A$1,1,MATCH($B$6,Curvas_cupon_cero!$1:$1,0)-1,COUNT(Curvas_cupon_cero!$A:$A)-2,1)),[1]!interpolar(L543,OFFSET(Curvas_cupon_cero!$A$1,1,0,COUNT(Curvas_cupon_cero!$A:$A)-2,1),OFFSET(Curvas_cupon_cero!$A$1,1,MATCH($B$6,Curvas_cupon_cero!$1:$1,0)-1,COUNT(Curvas_cupon_cero!$A:$A)-2,1))))</f>
        <v/>
      </c>
      <c r="N543" s="23"/>
      <c r="O543" s="19" t="str">
        <f t="shared" si="88"/>
        <v/>
      </c>
    </row>
    <row r="544" spans="1:15" x14ac:dyDescent="0.2">
      <c r="A544" s="12" t="str">
        <f t="shared" si="82"/>
        <v/>
      </c>
      <c r="B544" t="str">
        <f t="shared" si="80"/>
        <v/>
      </c>
      <c r="C544" s="21" t="str">
        <f ca="1">IF(A544="","",IF($B$10="Sí",interpolar_alamb(B544,OFFSET(Curvas_cupon_cero!$A$1,1,0,COUNT(Curvas_cupon_cero!$A:$A)-2,1),OFFSET(Curvas_cupon_cero!$A$1,1,MATCH($B$8,Curvas_cupon_cero!$1:$1,0)-1,COUNT(Curvas_cupon_cero!$A:$A)-2,1)),[1]!interpolar(B544,OFFSET(Curvas_cupon_cero!$A$1,1,0,COUNT(Curvas_cupon_cero!$A:$A)-2,1),OFFSET(Curvas_cupon_cero!$A$1,1,MATCH($B$8,Curvas_cupon_cero!$1:$1,0)-1,COUNT(Curvas_cupon_cero!$A:$A)-2,1))))</f>
        <v/>
      </c>
      <c r="D544" s="23" t="str">
        <f ca="1">IF(A544="","",IF($B$10="Sí",interpolar_alamb(L544,OFFSET(Curvas_cupon_cero!$A$1,1,0,COUNT(Curvas_cupon_cero!$A:$A)-2,1),OFFSET(Curvas_cupon_cero!$A$1,1,MATCH($B$8,Curvas_cupon_cero!$1:$1,0)-1,COUNT(Curvas_cupon_cero!$A:$A)-2,1)),[1]!interpolar(L544,OFFSET(Curvas_cupon_cero!$A$1,1,0,COUNT(Curvas_cupon_cero!$A:$A)-2,1),OFFSET(Curvas_cupon_cero!$A$1,1,MATCH($B$8,Curvas_cupon_cero!$1:$1,0)-1,COUNT(Curvas_cupon_cero!$A:$A)-2,1))))</f>
        <v/>
      </c>
      <c r="E544" s="23" t="str">
        <f t="shared" si="83"/>
        <v/>
      </c>
      <c r="F544" s="23" t="str">
        <f ca="1">IF(A544="","",IF($B$10="Sí",interpolar_alamb(B544,OFFSET(Curvas_cupon_cero!$A$1,1,0,COUNT(Curvas_cupon_cero!$A:$A)-2,1),OFFSET(Curvas_cupon_cero!$A$1,1,MATCH($B$9,Curvas_cupon_cero!$1:$1,0)-1,COUNT(Curvas_cupon_cero!$A:$A)-2,1)),[1]!interpolar(B544,OFFSET(Curvas_cupon_cero!$A$1,1,0,COUNT(Curvas_cupon_cero!$A:$A)-2,1),OFFSET(Curvas_cupon_cero!$A$1,1,MATCH($B$9,Curvas_cupon_cero!$1:$1,0)-1,COUNT(Curvas_cupon_cero!$A:$A)-2,1))))</f>
        <v/>
      </c>
      <c r="G544" s="23" t="str">
        <f t="shared" si="84"/>
        <v/>
      </c>
      <c r="H544" s="20" t="str">
        <f t="shared" si="89"/>
        <v/>
      </c>
      <c r="I544" t="str">
        <f t="shared" si="85"/>
        <v/>
      </c>
      <c r="J544" s="17" t="str">
        <f t="shared" si="81"/>
        <v/>
      </c>
      <c r="K544" s="18" t="str">
        <f t="shared" si="86"/>
        <v/>
      </c>
      <c r="L544" t="str">
        <f t="shared" si="87"/>
        <v/>
      </c>
      <c r="M544" s="23" t="str">
        <f ca="1">IF(A544="","",IF($B$10="Sí",interpolar_alamb(L544,OFFSET(Curvas_cupon_cero!$A$1,1,0,COUNT(Curvas_cupon_cero!$A:$A)-2,1),OFFSET(Curvas_cupon_cero!$A$1,1,MATCH($B$6,Curvas_cupon_cero!$1:$1,0)-1,COUNT(Curvas_cupon_cero!$A:$A)-2,1)),[1]!interpolar(L544,OFFSET(Curvas_cupon_cero!$A$1,1,0,COUNT(Curvas_cupon_cero!$A:$A)-2,1),OFFSET(Curvas_cupon_cero!$A$1,1,MATCH($B$6,Curvas_cupon_cero!$1:$1,0)-1,COUNT(Curvas_cupon_cero!$A:$A)-2,1))))</f>
        <v/>
      </c>
      <c r="N544" s="23"/>
      <c r="O544" s="19" t="str">
        <f t="shared" si="88"/>
        <v/>
      </c>
    </row>
    <row r="545" spans="1:15" x14ac:dyDescent="0.2">
      <c r="A545" s="12" t="str">
        <f t="shared" si="82"/>
        <v/>
      </c>
      <c r="B545" t="str">
        <f t="shared" si="80"/>
        <v/>
      </c>
      <c r="C545" s="21" t="str">
        <f ca="1">IF(A545="","",IF($B$10="Sí",interpolar_alamb(B545,OFFSET(Curvas_cupon_cero!$A$1,1,0,COUNT(Curvas_cupon_cero!$A:$A)-2,1),OFFSET(Curvas_cupon_cero!$A$1,1,MATCH($B$8,Curvas_cupon_cero!$1:$1,0)-1,COUNT(Curvas_cupon_cero!$A:$A)-2,1)),[1]!interpolar(B545,OFFSET(Curvas_cupon_cero!$A$1,1,0,COUNT(Curvas_cupon_cero!$A:$A)-2,1),OFFSET(Curvas_cupon_cero!$A$1,1,MATCH($B$8,Curvas_cupon_cero!$1:$1,0)-1,COUNT(Curvas_cupon_cero!$A:$A)-2,1))))</f>
        <v/>
      </c>
      <c r="D545" s="23" t="str">
        <f ca="1">IF(A545="","",IF($B$10="Sí",interpolar_alamb(L545,OFFSET(Curvas_cupon_cero!$A$1,1,0,COUNT(Curvas_cupon_cero!$A:$A)-2,1),OFFSET(Curvas_cupon_cero!$A$1,1,MATCH($B$8,Curvas_cupon_cero!$1:$1,0)-1,COUNT(Curvas_cupon_cero!$A:$A)-2,1)),[1]!interpolar(L545,OFFSET(Curvas_cupon_cero!$A$1,1,0,COUNT(Curvas_cupon_cero!$A:$A)-2,1),OFFSET(Curvas_cupon_cero!$A$1,1,MATCH($B$8,Curvas_cupon_cero!$1:$1,0)-1,COUNT(Curvas_cupon_cero!$A:$A)-2,1))))</f>
        <v/>
      </c>
      <c r="E545" s="23" t="str">
        <f t="shared" si="83"/>
        <v/>
      </c>
      <c r="F545" s="23" t="str">
        <f ca="1">IF(A545="","",IF($B$10="Sí",interpolar_alamb(B545,OFFSET(Curvas_cupon_cero!$A$1,1,0,COUNT(Curvas_cupon_cero!$A:$A)-2,1),OFFSET(Curvas_cupon_cero!$A$1,1,MATCH($B$9,Curvas_cupon_cero!$1:$1,0)-1,COUNT(Curvas_cupon_cero!$A:$A)-2,1)),[1]!interpolar(B545,OFFSET(Curvas_cupon_cero!$A$1,1,0,COUNT(Curvas_cupon_cero!$A:$A)-2,1),OFFSET(Curvas_cupon_cero!$A$1,1,MATCH($B$9,Curvas_cupon_cero!$1:$1,0)-1,COUNT(Curvas_cupon_cero!$A:$A)-2,1))))</f>
        <v/>
      </c>
      <c r="G545" s="23" t="str">
        <f t="shared" si="84"/>
        <v/>
      </c>
      <c r="H545" s="20" t="str">
        <f t="shared" si="89"/>
        <v/>
      </c>
      <c r="I545" t="str">
        <f t="shared" si="85"/>
        <v/>
      </c>
      <c r="J545" s="17" t="str">
        <f t="shared" si="81"/>
        <v/>
      </c>
      <c r="K545" s="18" t="str">
        <f t="shared" si="86"/>
        <v/>
      </c>
      <c r="L545" t="str">
        <f t="shared" si="87"/>
        <v/>
      </c>
      <c r="M545" s="23" t="str">
        <f ca="1">IF(A545="","",IF($B$10="Sí",interpolar_alamb(L545,OFFSET(Curvas_cupon_cero!$A$1,1,0,COUNT(Curvas_cupon_cero!$A:$A)-2,1),OFFSET(Curvas_cupon_cero!$A$1,1,MATCH($B$6,Curvas_cupon_cero!$1:$1,0)-1,COUNT(Curvas_cupon_cero!$A:$A)-2,1)),[1]!interpolar(L545,OFFSET(Curvas_cupon_cero!$A$1,1,0,COUNT(Curvas_cupon_cero!$A:$A)-2,1),OFFSET(Curvas_cupon_cero!$A$1,1,MATCH($B$6,Curvas_cupon_cero!$1:$1,0)-1,COUNT(Curvas_cupon_cero!$A:$A)-2,1))))</f>
        <v/>
      </c>
      <c r="N545" s="23"/>
      <c r="O545" s="19" t="str">
        <f t="shared" si="88"/>
        <v/>
      </c>
    </row>
    <row r="546" spans="1:15" x14ac:dyDescent="0.2">
      <c r="A546" s="12" t="str">
        <f t="shared" si="82"/>
        <v/>
      </c>
      <c r="B546" t="str">
        <f t="shared" si="80"/>
        <v/>
      </c>
      <c r="C546" s="21" t="str">
        <f ca="1">IF(A546="","",IF($B$10="Sí",interpolar_alamb(B546,OFFSET(Curvas_cupon_cero!$A$1,1,0,COUNT(Curvas_cupon_cero!$A:$A)-2,1),OFFSET(Curvas_cupon_cero!$A$1,1,MATCH($B$8,Curvas_cupon_cero!$1:$1,0)-1,COUNT(Curvas_cupon_cero!$A:$A)-2,1)),[1]!interpolar(B546,OFFSET(Curvas_cupon_cero!$A$1,1,0,COUNT(Curvas_cupon_cero!$A:$A)-2,1),OFFSET(Curvas_cupon_cero!$A$1,1,MATCH($B$8,Curvas_cupon_cero!$1:$1,0)-1,COUNT(Curvas_cupon_cero!$A:$A)-2,1))))</f>
        <v/>
      </c>
      <c r="D546" s="23" t="str">
        <f ca="1">IF(A546="","",IF($B$10="Sí",interpolar_alamb(L546,OFFSET(Curvas_cupon_cero!$A$1,1,0,COUNT(Curvas_cupon_cero!$A:$A)-2,1),OFFSET(Curvas_cupon_cero!$A$1,1,MATCH($B$8,Curvas_cupon_cero!$1:$1,0)-1,COUNT(Curvas_cupon_cero!$A:$A)-2,1)),[1]!interpolar(L546,OFFSET(Curvas_cupon_cero!$A$1,1,0,COUNT(Curvas_cupon_cero!$A:$A)-2,1),OFFSET(Curvas_cupon_cero!$A$1,1,MATCH($B$8,Curvas_cupon_cero!$1:$1,0)-1,COUNT(Curvas_cupon_cero!$A:$A)-2,1))))</f>
        <v/>
      </c>
      <c r="E546" s="23" t="str">
        <f t="shared" si="83"/>
        <v/>
      </c>
      <c r="F546" s="23" t="str">
        <f ca="1">IF(A546="","",IF($B$10="Sí",interpolar_alamb(B546,OFFSET(Curvas_cupon_cero!$A$1,1,0,COUNT(Curvas_cupon_cero!$A:$A)-2,1),OFFSET(Curvas_cupon_cero!$A$1,1,MATCH($B$9,Curvas_cupon_cero!$1:$1,0)-1,COUNT(Curvas_cupon_cero!$A:$A)-2,1)),[1]!interpolar(B546,OFFSET(Curvas_cupon_cero!$A$1,1,0,COUNT(Curvas_cupon_cero!$A:$A)-2,1),OFFSET(Curvas_cupon_cero!$A$1,1,MATCH($B$9,Curvas_cupon_cero!$1:$1,0)-1,COUNT(Curvas_cupon_cero!$A:$A)-2,1))))</f>
        <v/>
      </c>
      <c r="G546" s="23" t="str">
        <f t="shared" si="84"/>
        <v/>
      </c>
      <c r="H546" s="20" t="str">
        <f t="shared" si="89"/>
        <v/>
      </c>
      <c r="I546" t="str">
        <f t="shared" si="85"/>
        <v/>
      </c>
      <c r="J546" s="17" t="str">
        <f t="shared" si="81"/>
        <v/>
      </c>
      <c r="K546" s="18" t="str">
        <f t="shared" si="86"/>
        <v/>
      </c>
      <c r="L546" t="str">
        <f t="shared" si="87"/>
        <v/>
      </c>
      <c r="M546" s="23" t="str">
        <f ca="1">IF(A546="","",IF($B$10="Sí",interpolar_alamb(L546,OFFSET(Curvas_cupon_cero!$A$1,1,0,COUNT(Curvas_cupon_cero!$A:$A)-2,1),OFFSET(Curvas_cupon_cero!$A$1,1,MATCH($B$6,Curvas_cupon_cero!$1:$1,0)-1,COUNT(Curvas_cupon_cero!$A:$A)-2,1)),[1]!interpolar(L546,OFFSET(Curvas_cupon_cero!$A$1,1,0,COUNT(Curvas_cupon_cero!$A:$A)-2,1),OFFSET(Curvas_cupon_cero!$A$1,1,MATCH($B$6,Curvas_cupon_cero!$1:$1,0)-1,COUNT(Curvas_cupon_cero!$A:$A)-2,1))))</f>
        <v/>
      </c>
      <c r="N546" s="23"/>
      <c r="O546" s="19" t="str">
        <f t="shared" si="88"/>
        <v/>
      </c>
    </row>
    <row r="547" spans="1:15" x14ac:dyDescent="0.2">
      <c r="A547" s="12" t="str">
        <f t="shared" si="82"/>
        <v/>
      </c>
      <c r="B547" t="str">
        <f t="shared" si="80"/>
        <v/>
      </c>
      <c r="C547" s="21" t="str">
        <f ca="1">IF(A547="","",IF($B$10="Sí",interpolar_alamb(B547,OFFSET(Curvas_cupon_cero!$A$1,1,0,COUNT(Curvas_cupon_cero!$A:$A)-2,1),OFFSET(Curvas_cupon_cero!$A$1,1,MATCH($B$8,Curvas_cupon_cero!$1:$1,0)-1,COUNT(Curvas_cupon_cero!$A:$A)-2,1)),[1]!interpolar(B547,OFFSET(Curvas_cupon_cero!$A$1,1,0,COUNT(Curvas_cupon_cero!$A:$A)-2,1),OFFSET(Curvas_cupon_cero!$A$1,1,MATCH($B$8,Curvas_cupon_cero!$1:$1,0)-1,COUNT(Curvas_cupon_cero!$A:$A)-2,1))))</f>
        <v/>
      </c>
      <c r="D547" s="23" t="str">
        <f ca="1">IF(A547="","",IF($B$10="Sí",interpolar_alamb(L547,OFFSET(Curvas_cupon_cero!$A$1,1,0,COUNT(Curvas_cupon_cero!$A:$A)-2,1),OFFSET(Curvas_cupon_cero!$A$1,1,MATCH($B$8,Curvas_cupon_cero!$1:$1,0)-1,COUNT(Curvas_cupon_cero!$A:$A)-2,1)),[1]!interpolar(L547,OFFSET(Curvas_cupon_cero!$A$1,1,0,COUNT(Curvas_cupon_cero!$A:$A)-2,1),OFFSET(Curvas_cupon_cero!$A$1,1,MATCH($B$8,Curvas_cupon_cero!$1:$1,0)-1,COUNT(Curvas_cupon_cero!$A:$A)-2,1))))</f>
        <v/>
      </c>
      <c r="E547" s="23" t="str">
        <f t="shared" si="83"/>
        <v/>
      </c>
      <c r="F547" s="23" t="str">
        <f ca="1">IF(A547="","",IF($B$10="Sí",interpolar_alamb(B547,OFFSET(Curvas_cupon_cero!$A$1,1,0,COUNT(Curvas_cupon_cero!$A:$A)-2,1),OFFSET(Curvas_cupon_cero!$A$1,1,MATCH($B$9,Curvas_cupon_cero!$1:$1,0)-1,COUNT(Curvas_cupon_cero!$A:$A)-2,1)),[1]!interpolar(B547,OFFSET(Curvas_cupon_cero!$A$1,1,0,COUNT(Curvas_cupon_cero!$A:$A)-2,1),OFFSET(Curvas_cupon_cero!$A$1,1,MATCH($B$9,Curvas_cupon_cero!$1:$1,0)-1,COUNT(Curvas_cupon_cero!$A:$A)-2,1))))</f>
        <v/>
      </c>
      <c r="G547" s="23" t="str">
        <f t="shared" si="84"/>
        <v/>
      </c>
      <c r="H547" s="20" t="str">
        <f t="shared" si="89"/>
        <v/>
      </c>
      <c r="I547" t="str">
        <f t="shared" si="85"/>
        <v/>
      </c>
      <c r="J547" s="17" t="str">
        <f t="shared" si="81"/>
        <v/>
      </c>
      <c r="K547" s="18" t="str">
        <f t="shared" si="86"/>
        <v/>
      </c>
      <c r="L547" t="str">
        <f t="shared" si="87"/>
        <v/>
      </c>
      <c r="M547" s="23" t="str">
        <f ca="1">IF(A547="","",IF($B$10="Sí",interpolar_alamb(L547,OFFSET(Curvas_cupon_cero!$A$1,1,0,COUNT(Curvas_cupon_cero!$A:$A)-2,1),OFFSET(Curvas_cupon_cero!$A$1,1,MATCH($B$6,Curvas_cupon_cero!$1:$1,0)-1,COUNT(Curvas_cupon_cero!$A:$A)-2,1)),[1]!interpolar(L547,OFFSET(Curvas_cupon_cero!$A$1,1,0,COUNT(Curvas_cupon_cero!$A:$A)-2,1),OFFSET(Curvas_cupon_cero!$A$1,1,MATCH($B$6,Curvas_cupon_cero!$1:$1,0)-1,COUNT(Curvas_cupon_cero!$A:$A)-2,1))))</f>
        <v/>
      </c>
      <c r="N547" s="23"/>
      <c r="O547" s="19" t="str">
        <f t="shared" si="88"/>
        <v/>
      </c>
    </row>
    <row r="548" spans="1:15" x14ac:dyDescent="0.2">
      <c r="A548" s="12" t="str">
        <f t="shared" si="82"/>
        <v/>
      </c>
      <c r="B548" t="str">
        <f t="shared" si="80"/>
        <v/>
      </c>
      <c r="C548" s="21" t="str">
        <f ca="1">IF(A548="","",IF($B$10="Sí",interpolar_alamb(B548,OFFSET(Curvas_cupon_cero!$A$1,1,0,COUNT(Curvas_cupon_cero!$A:$A)-2,1),OFFSET(Curvas_cupon_cero!$A$1,1,MATCH($B$8,Curvas_cupon_cero!$1:$1,0)-1,COUNT(Curvas_cupon_cero!$A:$A)-2,1)),[1]!interpolar(B548,OFFSET(Curvas_cupon_cero!$A$1,1,0,COUNT(Curvas_cupon_cero!$A:$A)-2,1),OFFSET(Curvas_cupon_cero!$A$1,1,MATCH($B$8,Curvas_cupon_cero!$1:$1,0)-1,COUNT(Curvas_cupon_cero!$A:$A)-2,1))))</f>
        <v/>
      </c>
      <c r="D548" s="23" t="str">
        <f ca="1">IF(A548="","",IF($B$10="Sí",interpolar_alamb(L548,OFFSET(Curvas_cupon_cero!$A$1,1,0,COUNT(Curvas_cupon_cero!$A:$A)-2,1),OFFSET(Curvas_cupon_cero!$A$1,1,MATCH($B$8,Curvas_cupon_cero!$1:$1,0)-1,COUNT(Curvas_cupon_cero!$A:$A)-2,1)),[1]!interpolar(L548,OFFSET(Curvas_cupon_cero!$A$1,1,0,COUNT(Curvas_cupon_cero!$A:$A)-2,1),OFFSET(Curvas_cupon_cero!$A$1,1,MATCH($B$8,Curvas_cupon_cero!$1:$1,0)-1,COUNT(Curvas_cupon_cero!$A:$A)-2,1))))</f>
        <v/>
      </c>
      <c r="E548" s="23" t="str">
        <f t="shared" si="83"/>
        <v/>
      </c>
      <c r="F548" s="23" t="str">
        <f ca="1">IF(A548="","",IF($B$10="Sí",interpolar_alamb(B548,OFFSET(Curvas_cupon_cero!$A$1,1,0,COUNT(Curvas_cupon_cero!$A:$A)-2,1),OFFSET(Curvas_cupon_cero!$A$1,1,MATCH($B$9,Curvas_cupon_cero!$1:$1,0)-1,COUNT(Curvas_cupon_cero!$A:$A)-2,1)),[1]!interpolar(B548,OFFSET(Curvas_cupon_cero!$A$1,1,0,COUNT(Curvas_cupon_cero!$A:$A)-2,1),OFFSET(Curvas_cupon_cero!$A$1,1,MATCH($B$9,Curvas_cupon_cero!$1:$1,0)-1,COUNT(Curvas_cupon_cero!$A:$A)-2,1))))</f>
        <v/>
      </c>
      <c r="G548" s="23" t="str">
        <f t="shared" si="84"/>
        <v/>
      </c>
      <c r="H548" s="20" t="str">
        <f t="shared" si="89"/>
        <v/>
      </c>
      <c r="I548" t="str">
        <f t="shared" si="85"/>
        <v/>
      </c>
      <c r="J548" s="17" t="str">
        <f t="shared" si="81"/>
        <v/>
      </c>
      <c r="K548" s="18" t="str">
        <f t="shared" si="86"/>
        <v/>
      </c>
      <c r="L548" t="str">
        <f t="shared" si="87"/>
        <v/>
      </c>
      <c r="M548" s="23" t="str">
        <f ca="1">IF(A548="","",IF($B$10="Sí",interpolar_alamb(L548,OFFSET(Curvas_cupon_cero!$A$1,1,0,COUNT(Curvas_cupon_cero!$A:$A)-2,1),OFFSET(Curvas_cupon_cero!$A$1,1,MATCH($B$6,Curvas_cupon_cero!$1:$1,0)-1,COUNT(Curvas_cupon_cero!$A:$A)-2,1)),[1]!interpolar(L548,OFFSET(Curvas_cupon_cero!$A$1,1,0,COUNT(Curvas_cupon_cero!$A:$A)-2,1),OFFSET(Curvas_cupon_cero!$A$1,1,MATCH($B$6,Curvas_cupon_cero!$1:$1,0)-1,COUNT(Curvas_cupon_cero!$A:$A)-2,1))))</f>
        <v/>
      </c>
      <c r="N548" s="23"/>
      <c r="O548" s="19" t="str">
        <f t="shared" si="88"/>
        <v/>
      </c>
    </row>
    <row r="549" spans="1:15" x14ac:dyDescent="0.2">
      <c r="A549" s="12" t="str">
        <f t="shared" si="82"/>
        <v/>
      </c>
      <c r="B549" t="str">
        <f t="shared" si="80"/>
        <v/>
      </c>
      <c r="C549" s="21" t="str">
        <f ca="1">IF(A549="","",IF($B$10="Sí",interpolar_alamb(B549,OFFSET(Curvas_cupon_cero!$A$1,1,0,COUNT(Curvas_cupon_cero!$A:$A)-2,1),OFFSET(Curvas_cupon_cero!$A$1,1,MATCH($B$8,Curvas_cupon_cero!$1:$1,0)-1,COUNT(Curvas_cupon_cero!$A:$A)-2,1)),[1]!interpolar(B549,OFFSET(Curvas_cupon_cero!$A$1,1,0,COUNT(Curvas_cupon_cero!$A:$A)-2,1),OFFSET(Curvas_cupon_cero!$A$1,1,MATCH($B$8,Curvas_cupon_cero!$1:$1,0)-1,COUNT(Curvas_cupon_cero!$A:$A)-2,1))))</f>
        <v/>
      </c>
      <c r="D549" s="23" t="str">
        <f ca="1">IF(A549="","",IF($B$10="Sí",interpolar_alamb(L549,OFFSET(Curvas_cupon_cero!$A$1,1,0,COUNT(Curvas_cupon_cero!$A:$A)-2,1),OFFSET(Curvas_cupon_cero!$A$1,1,MATCH($B$8,Curvas_cupon_cero!$1:$1,0)-1,COUNT(Curvas_cupon_cero!$A:$A)-2,1)),[1]!interpolar(L549,OFFSET(Curvas_cupon_cero!$A$1,1,0,COUNT(Curvas_cupon_cero!$A:$A)-2,1),OFFSET(Curvas_cupon_cero!$A$1,1,MATCH($B$8,Curvas_cupon_cero!$1:$1,0)-1,COUNT(Curvas_cupon_cero!$A:$A)-2,1))))</f>
        <v/>
      </c>
      <c r="E549" s="23" t="str">
        <f t="shared" si="83"/>
        <v/>
      </c>
      <c r="F549" s="23" t="str">
        <f ca="1">IF(A549="","",IF($B$10="Sí",interpolar_alamb(B549,OFFSET(Curvas_cupon_cero!$A$1,1,0,COUNT(Curvas_cupon_cero!$A:$A)-2,1),OFFSET(Curvas_cupon_cero!$A$1,1,MATCH($B$9,Curvas_cupon_cero!$1:$1,0)-1,COUNT(Curvas_cupon_cero!$A:$A)-2,1)),[1]!interpolar(B549,OFFSET(Curvas_cupon_cero!$A$1,1,0,COUNT(Curvas_cupon_cero!$A:$A)-2,1),OFFSET(Curvas_cupon_cero!$A$1,1,MATCH($B$9,Curvas_cupon_cero!$1:$1,0)-1,COUNT(Curvas_cupon_cero!$A:$A)-2,1))))</f>
        <v/>
      </c>
      <c r="G549" s="23" t="str">
        <f t="shared" si="84"/>
        <v/>
      </c>
      <c r="H549" s="20" t="str">
        <f t="shared" si="89"/>
        <v/>
      </c>
      <c r="I549" t="str">
        <f t="shared" si="85"/>
        <v/>
      </c>
      <c r="J549" s="17" t="str">
        <f t="shared" si="81"/>
        <v/>
      </c>
      <c r="K549" s="18" t="str">
        <f t="shared" si="86"/>
        <v/>
      </c>
      <c r="L549" t="str">
        <f t="shared" si="87"/>
        <v/>
      </c>
      <c r="M549" s="23" t="str">
        <f ca="1">IF(A549="","",IF($B$10="Sí",interpolar_alamb(L549,OFFSET(Curvas_cupon_cero!$A$1,1,0,COUNT(Curvas_cupon_cero!$A:$A)-2,1),OFFSET(Curvas_cupon_cero!$A$1,1,MATCH($B$6,Curvas_cupon_cero!$1:$1,0)-1,COUNT(Curvas_cupon_cero!$A:$A)-2,1)),[1]!interpolar(L549,OFFSET(Curvas_cupon_cero!$A$1,1,0,COUNT(Curvas_cupon_cero!$A:$A)-2,1),OFFSET(Curvas_cupon_cero!$A$1,1,MATCH($B$6,Curvas_cupon_cero!$1:$1,0)-1,COUNT(Curvas_cupon_cero!$A:$A)-2,1))))</f>
        <v/>
      </c>
      <c r="N549" s="23"/>
      <c r="O549" s="19" t="str">
        <f t="shared" si="88"/>
        <v/>
      </c>
    </row>
    <row r="550" spans="1:15" x14ac:dyDescent="0.2">
      <c r="A550" s="12" t="str">
        <f t="shared" si="82"/>
        <v/>
      </c>
      <c r="B550" t="str">
        <f t="shared" si="80"/>
        <v/>
      </c>
      <c r="C550" s="21" t="str">
        <f ca="1">IF(A550="","",IF($B$10="Sí",interpolar_alamb(B550,OFFSET(Curvas_cupon_cero!$A$1,1,0,COUNT(Curvas_cupon_cero!$A:$A)-2,1),OFFSET(Curvas_cupon_cero!$A$1,1,MATCH($B$8,Curvas_cupon_cero!$1:$1,0)-1,COUNT(Curvas_cupon_cero!$A:$A)-2,1)),[1]!interpolar(B550,OFFSET(Curvas_cupon_cero!$A$1,1,0,COUNT(Curvas_cupon_cero!$A:$A)-2,1),OFFSET(Curvas_cupon_cero!$A$1,1,MATCH($B$8,Curvas_cupon_cero!$1:$1,0)-1,COUNT(Curvas_cupon_cero!$A:$A)-2,1))))</f>
        <v/>
      </c>
      <c r="D550" s="23" t="str">
        <f ca="1">IF(A550="","",IF($B$10="Sí",interpolar_alamb(L550,OFFSET(Curvas_cupon_cero!$A$1,1,0,COUNT(Curvas_cupon_cero!$A:$A)-2,1),OFFSET(Curvas_cupon_cero!$A$1,1,MATCH($B$8,Curvas_cupon_cero!$1:$1,0)-1,COUNT(Curvas_cupon_cero!$A:$A)-2,1)),[1]!interpolar(L550,OFFSET(Curvas_cupon_cero!$A$1,1,0,COUNT(Curvas_cupon_cero!$A:$A)-2,1),OFFSET(Curvas_cupon_cero!$A$1,1,MATCH($B$8,Curvas_cupon_cero!$1:$1,0)-1,COUNT(Curvas_cupon_cero!$A:$A)-2,1))))</f>
        <v/>
      </c>
      <c r="E550" s="23" t="str">
        <f t="shared" si="83"/>
        <v/>
      </c>
      <c r="F550" s="23" t="str">
        <f ca="1">IF(A550="","",IF($B$10="Sí",interpolar_alamb(B550,OFFSET(Curvas_cupon_cero!$A$1,1,0,COUNT(Curvas_cupon_cero!$A:$A)-2,1),OFFSET(Curvas_cupon_cero!$A$1,1,MATCH($B$9,Curvas_cupon_cero!$1:$1,0)-1,COUNT(Curvas_cupon_cero!$A:$A)-2,1)),[1]!interpolar(B550,OFFSET(Curvas_cupon_cero!$A$1,1,0,COUNT(Curvas_cupon_cero!$A:$A)-2,1),OFFSET(Curvas_cupon_cero!$A$1,1,MATCH($B$9,Curvas_cupon_cero!$1:$1,0)-1,COUNT(Curvas_cupon_cero!$A:$A)-2,1))))</f>
        <v/>
      </c>
      <c r="G550" s="23" t="str">
        <f t="shared" si="84"/>
        <v/>
      </c>
      <c r="H550" s="20" t="str">
        <f t="shared" si="89"/>
        <v/>
      </c>
      <c r="I550" t="str">
        <f t="shared" si="85"/>
        <v/>
      </c>
      <c r="J550" s="17" t="str">
        <f t="shared" si="81"/>
        <v/>
      </c>
      <c r="K550" s="18" t="str">
        <f t="shared" si="86"/>
        <v/>
      </c>
      <c r="L550" t="str">
        <f t="shared" si="87"/>
        <v/>
      </c>
      <c r="M550" s="23" t="str">
        <f ca="1">IF(A550="","",IF($B$10="Sí",interpolar_alamb(L550,OFFSET(Curvas_cupon_cero!$A$1,1,0,COUNT(Curvas_cupon_cero!$A:$A)-2,1),OFFSET(Curvas_cupon_cero!$A$1,1,MATCH($B$6,Curvas_cupon_cero!$1:$1,0)-1,COUNT(Curvas_cupon_cero!$A:$A)-2,1)),[1]!interpolar(L550,OFFSET(Curvas_cupon_cero!$A$1,1,0,COUNT(Curvas_cupon_cero!$A:$A)-2,1),OFFSET(Curvas_cupon_cero!$A$1,1,MATCH($B$6,Curvas_cupon_cero!$1:$1,0)-1,COUNT(Curvas_cupon_cero!$A:$A)-2,1))))</f>
        <v/>
      </c>
      <c r="N550" s="23"/>
      <c r="O550" s="19" t="str">
        <f t="shared" si="88"/>
        <v/>
      </c>
    </row>
    <row r="551" spans="1:15" x14ac:dyDescent="0.2">
      <c r="A551" s="12" t="str">
        <f t="shared" si="82"/>
        <v/>
      </c>
      <c r="B551" t="str">
        <f t="shared" si="80"/>
        <v/>
      </c>
      <c r="C551" s="21" t="str">
        <f ca="1">IF(A551="","",IF($B$10="Sí",interpolar_alamb(B551,OFFSET(Curvas_cupon_cero!$A$1,1,0,COUNT(Curvas_cupon_cero!$A:$A)-2,1),OFFSET(Curvas_cupon_cero!$A$1,1,MATCH($B$8,Curvas_cupon_cero!$1:$1,0)-1,COUNT(Curvas_cupon_cero!$A:$A)-2,1)),[1]!interpolar(B551,OFFSET(Curvas_cupon_cero!$A$1,1,0,COUNT(Curvas_cupon_cero!$A:$A)-2,1),OFFSET(Curvas_cupon_cero!$A$1,1,MATCH($B$8,Curvas_cupon_cero!$1:$1,0)-1,COUNT(Curvas_cupon_cero!$A:$A)-2,1))))</f>
        <v/>
      </c>
      <c r="D551" s="23" t="str">
        <f ca="1">IF(A551="","",IF($B$10="Sí",interpolar_alamb(L551,OFFSET(Curvas_cupon_cero!$A$1,1,0,COUNT(Curvas_cupon_cero!$A:$A)-2,1),OFFSET(Curvas_cupon_cero!$A$1,1,MATCH($B$8,Curvas_cupon_cero!$1:$1,0)-1,COUNT(Curvas_cupon_cero!$A:$A)-2,1)),[1]!interpolar(L551,OFFSET(Curvas_cupon_cero!$A$1,1,0,COUNT(Curvas_cupon_cero!$A:$A)-2,1),OFFSET(Curvas_cupon_cero!$A$1,1,MATCH($B$8,Curvas_cupon_cero!$1:$1,0)-1,COUNT(Curvas_cupon_cero!$A:$A)-2,1))))</f>
        <v/>
      </c>
      <c r="E551" s="23" t="str">
        <f t="shared" si="83"/>
        <v/>
      </c>
      <c r="F551" s="23" t="str">
        <f ca="1">IF(A551="","",IF($B$10="Sí",interpolar_alamb(B551,OFFSET(Curvas_cupon_cero!$A$1,1,0,COUNT(Curvas_cupon_cero!$A:$A)-2,1),OFFSET(Curvas_cupon_cero!$A$1,1,MATCH($B$9,Curvas_cupon_cero!$1:$1,0)-1,COUNT(Curvas_cupon_cero!$A:$A)-2,1)),[1]!interpolar(B551,OFFSET(Curvas_cupon_cero!$A$1,1,0,COUNT(Curvas_cupon_cero!$A:$A)-2,1),OFFSET(Curvas_cupon_cero!$A$1,1,MATCH($B$9,Curvas_cupon_cero!$1:$1,0)-1,COUNT(Curvas_cupon_cero!$A:$A)-2,1))))</f>
        <v/>
      </c>
      <c r="G551" s="23" t="str">
        <f t="shared" si="84"/>
        <v/>
      </c>
      <c r="H551" s="20" t="str">
        <f t="shared" si="89"/>
        <v/>
      </c>
      <c r="I551" t="str">
        <f t="shared" si="85"/>
        <v/>
      </c>
      <c r="J551" s="17" t="str">
        <f t="shared" si="81"/>
        <v/>
      </c>
      <c r="K551" s="18" t="str">
        <f t="shared" si="86"/>
        <v/>
      </c>
      <c r="L551" t="str">
        <f t="shared" si="87"/>
        <v/>
      </c>
      <c r="M551" s="23" t="str">
        <f ca="1">IF(A551="","",IF($B$10="Sí",interpolar_alamb(L551,OFFSET(Curvas_cupon_cero!$A$1,1,0,COUNT(Curvas_cupon_cero!$A:$A)-2,1),OFFSET(Curvas_cupon_cero!$A$1,1,MATCH($B$6,Curvas_cupon_cero!$1:$1,0)-1,COUNT(Curvas_cupon_cero!$A:$A)-2,1)),[1]!interpolar(L551,OFFSET(Curvas_cupon_cero!$A$1,1,0,COUNT(Curvas_cupon_cero!$A:$A)-2,1),OFFSET(Curvas_cupon_cero!$A$1,1,MATCH($B$6,Curvas_cupon_cero!$1:$1,0)-1,COUNT(Curvas_cupon_cero!$A:$A)-2,1))))</f>
        <v/>
      </c>
      <c r="N551" s="23"/>
      <c r="O551" s="19" t="str">
        <f t="shared" si="88"/>
        <v/>
      </c>
    </row>
    <row r="552" spans="1:15" x14ac:dyDescent="0.2">
      <c r="A552" s="12" t="str">
        <f t="shared" si="82"/>
        <v/>
      </c>
      <c r="B552" t="str">
        <f t="shared" si="80"/>
        <v/>
      </c>
      <c r="C552" s="21" t="str">
        <f ca="1">IF(A552="","",IF($B$10="Sí",interpolar_alamb(B552,OFFSET(Curvas_cupon_cero!$A$1,1,0,COUNT(Curvas_cupon_cero!$A:$A)-2,1),OFFSET(Curvas_cupon_cero!$A$1,1,MATCH($B$8,Curvas_cupon_cero!$1:$1,0)-1,COUNT(Curvas_cupon_cero!$A:$A)-2,1)),[1]!interpolar(B552,OFFSET(Curvas_cupon_cero!$A$1,1,0,COUNT(Curvas_cupon_cero!$A:$A)-2,1),OFFSET(Curvas_cupon_cero!$A$1,1,MATCH($B$8,Curvas_cupon_cero!$1:$1,0)-1,COUNT(Curvas_cupon_cero!$A:$A)-2,1))))</f>
        <v/>
      </c>
      <c r="D552" s="23" t="str">
        <f ca="1">IF(A552="","",IF($B$10="Sí",interpolar_alamb(L552,OFFSET(Curvas_cupon_cero!$A$1,1,0,COUNT(Curvas_cupon_cero!$A:$A)-2,1),OFFSET(Curvas_cupon_cero!$A$1,1,MATCH($B$8,Curvas_cupon_cero!$1:$1,0)-1,COUNT(Curvas_cupon_cero!$A:$A)-2,1)),[1]!interpolar(L552,OFFSET(Curvas_cupon_cero!$A$1,1,0,COUNT(Curvas_cupon_cero!$A:$A)-2,1),OFFSET(Curvas_cupon_cero!$A$1,1,MATCH($B$8,Curvas_cupon_cero!$1:$1,0)-1,COUNT(Curvas_cupon_cero!$A:$A)-2,1))))</f>
        <v/>
      </c>
      <c r="E552" s="23" t="str">
        <f t="shared" si="83"/>
        <v/>
      </c>
      <c r="F552" s="23" t="str">
        <f ca="1">IF(A552="","",IF($B$10="Sí",interpolar_alamb(B552,OFFSET(Curvas_cupon_cero!$A$1,1,0,COUNT(Curvas_cupon_cero!$A:$A)-2,1),OFFSET(Curvas_cupon_cero!$A$1,1,MATCH($B$9,Curvas_cupon_cero!$1:$1,0)-1,COUNT(Curvas_cupon_cero!$A:$A)-2,1)),[1]!interpolar(B552,OFFSET(Curvas_cupon_cero!$A$1,1,0,COUNT(Curvas_cupon_cero!$A:$A)-2,1),OFFSET(Curvas_cupon_cero!$A$1,1,MATCH($B$9,Curvas_cupon_cero!$1:$1,0)-1,COUNT(Curvas_cupon_cero!$A:$A)-2,1))))</f>
        <v/>
      </c>
      <c r="G552" s="23" t="str">
        <f t="shared" si="84"/>
        <v/>
      </c>
      <c r="H552" s="20" t="str">
        <f t="shared" si="89"/>
        <v/>
      </c>
      <c r="I552" t="str">
        <f t="shared" si="85"/>
        <v/>
      </c>
      <c r="J552" s="17" t="str">
        <f t="shared" si="81"/>
        <v/>
      </c>
      <c r="K552" s="18" t="str">
        <f t="shared" si="86"/>
        <v/>
      </c>
      <c r="L552" t="str">
        <f t="shared" si="87"/>
        <v/>
      </c>
      <c r="M552" s="23" t="str">
        <f ca="1">IF(A552="","",IF($B$10="Sí",interpolar_alamb(L552,OFFSET(Curvas_cupon_cero!$A$1,1,0,COUNT(Curvas_cupon_cero!$A:$A)-2,1),OFFSET(Curvas_cupon_cero!$A$1,1,MATCH($B$6,Curvas_cupon_cero!$1:$1,0)-1,COUNT(Curvas_cupon_cero!$A:$A)-2,1)),[1]!interpolar(L552,OFFSET(Curvas_cupon_cero!$A$1,1,0,COUNT(Curvas_cupon_cero!$A:$A)-2,1),OFFSET(Curvas_cupon_cero!$A$1,1,MATCH($B$6,Curvas_cupon_cero!$1:$1,0)-1,COUNT(Curvas_cupon_cero!$A:$A)-2,1))))</f>
        <v/>
      </c>
      <c r="N552" s="23"/>
      <c r="O552" s="19" t="str">
        <f t="shared" si="88"/>
        <v/>
      </c>
    </row>
    <row r="553" spans="1:15" x14ac:dyDescent="0.2">
      <c r="A553" s="12" t="str">
        <f t="shared" si="82"/>
        <v/>
      </c>
      <c r="B553" t="str">
        <f t="shared" si="80"/>
        <v/>
      </c>
      <c r="C553" s="21" t="str">
        <f ca="1">IF(A553="","",IF($B$10="Sí",interpolar_alamb(B553,OFFSET(Curvas_cupon_cero!$A$1,1,0,COUNT(Curvas_cupon_cero!$A:$A)-2,1),OFFSET(Curvas_cupon_cero!$A$1,1,MATCH($B$8,Curvas_cupon_cero!$1:$1,0)-1,COUNT(Curvas_cupon_cero!$A:$A)-2,1)),[1]!interpolar(B553,OFFSET(Curvas_cupon_cero!$A$1,1,0,COUNT(Curvas_cupon_cero!$A:$A)-2,1),OFFSET(Curvas_cupon_cero!$A$1,1,MATCH($B$8,Curvas_cupon_cero!$1:$1,0)-1,COUNT(Curvas_cupon_cero!$A:$A)-2,1))))</f>
        <v/>
      </c>
      <c r="D553" s="23" t="str">
        <f ca="1">IF(A553="","",IF($B$10="Sí",interpolar_alamb(L553,OFFSET(Curvas_cupon_cero!$A$1,1,0,COUNT(Curvas_cupon_cero!$A:$A)-2,1),OFFSET(Curvas_cupon_cero!$A$1,1,MATCH($B$8,Curvas_cupon_cero!$1:$1,0)-1,COUNT(Curvas_cupon_cero!$A:$A)-2,1)),[1]!interpolar(L553,OFFSET(Curvas_cupon_cero!$A$1,1,0,COUNT(Curvas_cupon_cero!$A:$A)-2,1),OFFSET(Curvas_cupon_cero!$A$1,1,MATCH($B$8,Curvas_cupon_cero!$1:$1,0)-1,COUNT(Curvas_cupon_cero!$A:$A)-2,1))))</f>
        <v/>
      </c>
      <c r="E553" s="23" t="str">
        <f t="shared" si="83"/>
        <v/>
      </c>
      <c r="F553" s="23" t="str">
        <f ca="1">IF(A553="","",IF($B$10="Sí",interpolar_alamb(B553,OFFSET(Curvas_cupon_cero!$A$1,1,0,COUNT(Curvas_cupon_cero!$A:$A)-2,1),OFFSET(Curvas_cupon_cero!$A$1,1,MATCH($B$9,Curvas_cupon_cero!$1:$1,0)-1,COUNT(Curvas_cupon_cero!$A:$A)-2,1)),[1]!interpolar(B553,OFFSET(Curvas_cupon_cero!$A$1,1,0,COUNT(Curvas_cupon_cero!$A:$A)-2,1),OFFSET(Curvas_cupon_cero!$A$1,1,MATCH($B$9,Curvas_cupon_cero!$1:$1,0)-1,COUNT(Curvas_cupon_cero!$A:$A)-2,1))))</f>
        <v/>
      </c>
      <c r="G553" s="23" t="str">
        <f t="shared" si="84"/>
        <v/>
      </c>
      <c r="H553" s="20" t="str">
        <f t="shared" si="89"/>
        <v/>
      </c>
      <c r="I553" t="str">
        <f t="shared" si="85"/>
        <v/>
      </c>
      <c r="J553" s="17" t="str">
        <f t="shared" si="81"/>
        <v/>
      </c>
      <c r="K553" s="18" t="str">
        <f t="shared" si="86"/>
        <v/>
      </c>
      <c r="L553" t="str">
        <f t="shared" si="87"/>
        <v/>
      </c>
      <c r="M553" s="23" t="str">
        <f ca="1">IF(A553="","",IF($B$10="Sí",interpolar_alamb(L553,OFFSET(Curvas_cupon_cero!$A$1,1,0,COUNT(Curvas_cupon_cero!$A:$A)-2,1),OFFSET(Curvas_cupon_cero!$A$1,1,MATCH($B$6,Curvas_cupon_cero!$1:$1,0)-1,COUNT(Curvas_cupon_cero!$A:$A)-2,1)),[1]!interpolar(L553,OFFSET(Curvas_cupon_cero!$A$1,1,0,COUNT(Curvas_cupon_cero!$A:$A)-2,1),OFFSET(Curvas_cupon_cero!$A$1,1,MATCH($B$6,Curvas_cupon_cero!$1:$1,0)-1,COUNT(Curvas_cupon_cero!$A:$A)-2,1))))</f>
        <v/>
      </c>
      <c r="N553" s="23"/>
      <c r="O553" s="19" t="str">
        <f t="shared" si="88"/>
        <v/>
      </c>
    </row>
    <row r="554" spans="1:15" x14ac:dyDescent="0.2">
      <c r="A554" s="12" t="str">
        <f t="shared" si="82"/>
        <v/>
      </c>
      <c r="B554" t="str">
        <f t="shared" si="80"/>
        <v/>
      </c>
      <c r="C554" s="21" t="str">
        <f ca="1">IF(A554="","",IF($B$10="Sí",interpolar_alamb(B554,OFFSET(Curvas_cupon_cero!$A$1,1,0,COUNT(Curvas_cupon_cero!$A:$A)-2,1),OFFSET(Curvas_cupon_cero!$A$1,1,MATCH($B$8,Curvas_cupon_cero!$1:$1,0)-1,COUNT(Curvas_cupon_cero!$A:$A)-2,1)),[1]!interpolar(B554,OFFSET(Curvas_cupon_cero!$A$1,1,0,COUNT(Curvas_cupon_cero!$A:$A)-2,1),OFFSET(Curvas_cupon_cero!$A$1,1,MATCH($B$8,Curvas_cupon_cero!$1:$1,0)-1,COUNT(Curvas_cupon_cero!$A:$A)-2,1))))</f>
        <v/>
      </c>
      <c r="D554" s="23" t="str">
        <f ca="1">IF(A554="","",IF($B$10="Sí",interpolar_alamb(L554,OFFSET(Curvas_cupon_cero!$A$1,1,0,COUNT(Curvas_cupon_cero!$A:$A)-2,1),OFFSET(Curvas_cupon_cero!$A$1,1,MATCH($B$8,Curvas_cupon_cero!$1:$1,0)-1,COUNT(Curvas_cupon_cero!$A:$A)-2,1)),[1]!interpolar(L554,OFFSET(Curvas_cupon_cero!$A$1,1,0,COUNT(Curvas_cupon_cero!$A:$A)-2,1),OFFSET(Curvas_cupon_cero!$A$1,1,MATCH($B$8,Curvas_cupon_cero!$1:$1,0)-1,COUNT(Curvas_cupon_cero!$A:$A)-2,1))))</f>
        <v/>
      </c>
      <c r="E554" s="23" t="str">
        <f t="shared" si="83"/>
        <v/>
      </c>
      <c r="F554" s="23" t="str">
        <f ca="1">IF(A554="","",IF($B$10="Sí",interpolar_alamb(B554,OFFSET(Curvas_cupon_cero!$A$1,1,0,COUNT(Curvas_cupon_cero!$A:$A)-2,1),OFFSET(Curvas_cupon_cero!$A$1,1,MATCH($B$9,Curvas_cupon_cero!$1:$1,0)-1,COUNT(Curvas_cupon_cero!$A:$A)-2,1)),[1]!interpolar(B554,OFFSET(Curvas_cupon_cero!$A$1,1,0,COUNT(Curvas_cupon_cero!$A:$A)-2,1),OFFSET(Curvas_cupon_cero!$A$1,1,MATCH($B$9,Curvas_cupon_cero!$1:$1,0)-1,COUNT(Curvas_cupon_cero!$A:$A)-2,1))))</f>
        <v/>
      </c>
      <c r="G554" s="23" t="str">
        <f t="shared" si="84"/>
        <v/>
      </c>
      <c r="H554" s="20" t="str">
        <f t="shared" si="89"/>
        <v/>
      </c>
      <c r="I554" t="str">
        <f t="shared" si="85"/>
        <v/>
      </c>
      <c r="J554" s="17" t="str">
        <f t="shared" si="81"/>
        <v/>
      </c>
      <c r="K554" s="18" t="str">
        <f t="shared" si="86"/>
        <v/>
      </c>
      <c r="L554" t="str">
        <f t="shared" si="87"/>
        <v/>
      </c>
      <c r="M554" s="23" t="str">
        <f ca="1">IF(A554="","",IF($B$10="Sí",interpolar_alamb(L554,OFFSET(Curvas_cupon_cero!$A$1,1,0,COUNT(Curvas_cupon_cero!$A:$A)-2,1),OFFSET(Curvas_cupon_cero!$A$1,1,MATCH($B$6,Curvas_cupon_cero!$1:$1,0)-1,COUNT(Curvas_cupon_cero!$A:$A)-2,1)),[1]!interpolar(L554,OFFSET(Curvas_cupon_cero!$A$1,1,0,COUNT(Curvas_cupon_cero!$A:$A)-2,1),OFFSET(Curvas_cupon_cero!$A$1,1,MATCH($B$6,Curvas_cupon_cero!$1:$1,0)-1,COUNT(Curvas_cupon_cero!$A:$A)-2,1))))</f>
        <v/>
      </c>
      <c r="N554" s="23"/>
      <c r="O554" s="19" t="str">
        <f t="shared" si="88"/>
        <v/>
      </c>
    </row>
    <row r="555" spans="1:15" x14ac:dyDescent="0.2">
      <c r="A555" s="12" t="str">
        <f t="shared" si="82"/>
        <v/>
      </c>
      <c r="B555" t="str">
        <f t="shared" si="80"/>
        <v/>
      </c>
      <c r="C555" s="21" t="str">
        <f ca="1">IF(A555="","",IF($B$10="Sí",interpolar_alamb(B555,OFFSET(Curvas_cupon_cero!$A$1,1,0,COUNT(Curvas_cupon_cero!$A:$A)-2,1),OFFSET(Curvas_cupon_cero!$A$1,1,MATCH($B$8,Curvas_cupon_cero!$1:$1,0)-1,COUNT(Curvas_cupon_cero!$A:$A)-2,1)),[1]!interpolar(B555,OFFSET(Curvas_cupon_cero!$A$1,1,0,COUNT(Curvas_cupon_cero!$A:$A)-2,1),OFFSET(Curvas_cupon_cero!$A$1,1,MATCH($B$8,Curvas_cupon_cero!$1:$1,0)-1,COUNT(Curvas_cupon_cero!$A:$A)-2,1))))</f>
        <v/>
      </c>
      <c r="D555" s="23" t="str">
        <f ca="1">IF(A555="","",IF($B$10="Sí",interpolar_alamb(L555,OFFSET(Curvas_cupon_cero!$A$1,1,0,COUNT(Curvas_cupon_cero!$A:$A)-2,1),OFFSET(Curvas_cupon_cero!$A$1,1,MATCH($B$8,Curvas_cupon_cero!$1:$1,0)-1,COUNT(Curvas_cupon_cero!$A:$A)-2,1)),[1]!interpolar(L555,OFFSET(Curvas_cupon_cero!$A$1,1,0,COUNT(Curvas_cupon_cero!$A:$A)-2,1),OFFSET(Curvas_cupon_cero!$A$1,1,MATCH($B$8,Curvas_cupon_cero!$1:$1,0)-1,COUNT(Curvas_cupon_cero!$A:$A)-2,1))))</f>
        <v/>
      </c>
      <c r="E555" s="23" t="str">
        <f t="shared" si="83"/>
        <v/>
      </c>
      <c r="F555" s="23" t="str">
        <f ca="1">IF(A555="","",IF($B$10="Sí",interpolar_alamb(B555,OFFSET(Curvas_cupon_cero!$A$1,1,0,COUNT(Curvas_cupon_cero!$A:$A)-2,1),OFFSET(Curvas_cupon_cero!$A$1,1,MATCH($B$9,Curvas_cupon_cero!$1:$1,0)-1,COUNT(Curvas_cupon_cero!$A:$A)-2,1)),[1]!interpolar(B555,OFFSET(Curvas_cupon_cero!$A$1,1,0,COUNT(Curvas_cupon_cero!$A:$A)-2,1),OFFSET(Curvas_cupon_cero!$A$1,1,MATCH($B$9,Curvas_cupon_cero!$1:$1,0)-1,COUNT(Curvas_cupon_cero!$A:$A)-2,1))))</f>
        <v/>
      </c>
      <c r="G555" s="23" t="str">
        <f t="shared" si="84"/>
        <v/>
      </c>
      <c r="H555" s="20" t="str">
        <f t="shared" si="89"/>
        <v/>
      </c>
      <c r="I555" t="str">
        <f t="shared" si="85"/>
        <v/>
      </c>
      <c r="J555" s="17" t="str">
        <f t="shared" si="81"/>
        <v/>
      </c>
      <c r="K555" s="18" t="str">
        <f t="shared" si="86"/>
        <v/>
      </c>
      <c r="L555" t="str">
        <f t="shared" si="87"/>
        <v/>
      </c>
      <c r="M555" s="23" t="str">
        <f ca="1">IF(A555="","",IF($B$10="Sí",interpolar_alamb(L555,OFFSET(Curvas_cupon_cero!$A$1,1,0,COUNT(Curvas_cupon_cero!$A:$A)-2,1),OFFSET(Curvas_cupon_cero!$A$1,1,MATCH($B$6,Curvas_cupon_cero!$1:$1,0)-1,COUNT(Curvas_cupon_cero!$A:$A)-2,1)),[1]!interpolar(L555,OFFSET(Curvas_cupon_cero!$A$1,1,0,COUNT(Curvas_cupon_cero!$A:$A)-2,1),OFFSET(Curvas_cupon_cero!$A$1,1,MATCH($B$6,Curvas_cupon_cero!$1:$1,0)-1,COUNT(Curvas_cupon_cero!$A:$A)-2,1))))</f>
        <v/>
      </c>
      <c r="N555" s="23"/>
      <c r="O555" s="19" t="str">
        <f t="shared" si="88"/>
        <v/>
      </c>
    </row>
    <row r="556" spans="1:15" x14ac:dyDescent="0.2">
      <c r="A556" s="12" t="str">
        <f t="shared" si="82"/>
        <v/>
      </c>
      <c r="B556" t="str">
        <f t="shared" si="80"/>
        <v/>
      </c>
      <c r="C556" s="21" t="str">
        <f ca="1">IF(A556="","",IF($B$10="Sí",interpolar_alamb(B556,OFFSET(Curvas_cupon_cero!$A$1,1,0,COUNT(Curvas_cupon_cero!$A:$A)-2,1),OFFSET(Curvas_cupon_cero!$A$1,1,MATCH($B$8,Curvas_cupon_cero!$1:$1,0)-1,COUNT(Curvas_cupon_cero!$A:$A)-2,1)),[1]!interpolar(B556,OFFSET(Curvas_cupon_cero!$A$1,1,0,COUNT(Curvas_cupon_cero!$A:$A)-2,1),OFFSET(Curvas_cupon_cero!$A$1,1,MATCH($B$8,Curvas_cupon_cero!$1:$1,0)-1,COUNT(Curvas_cupon_cero!$A:$A)-2,1))))</f>
        <v/>
      </c>
      <c r="D556" s="23" t="str">
        <f ca="1">IF(A556="","",IF($B$10="Sí",interpolar_alamb(L556,OFFSET(Curvas_cupon_cero!$A$1,1,0,COUNT(Curvas_cupon_cero!$A:$A)-2,1),OFFSET(Curvas_cupon_cero!$A$1,1,MATCH($B$8,Curvas_cupon_cero!$1:$1,0)-1,COUNT(Curvas_cupon_cero!$A:$A)-2,1)),[1]!interpolar(L556,OFFSET(Curvas_cupon_cero!$A$1,1,0,COUNT(Curvas_cupon_cero!$A:$A)-2,1),OFFSET(Curvas_cupon_cero!$A$1,1,MATCH($B$8,Curvas_cupon_cero!$1:$1,0)-1,COUNT(Curvas_cupon_cero!$A:$A)-2,1))))</f>
        <v/>
      </c>
      <c r="E556" s="23" t="str">
        <f t="shared" si="83"/>
        <v/>
      </c>
      <c r="F556" s="23" t="str">
        <f ca="1">IF(A556="","",IF($B$10="Sí",interpolar_alamb(B556,OFFSET(Curvas_cupon_cero!$A$1,1,0,COUNT(Curvas_cupon_cero!$A:$A)-2,1),OFFSET(Curvas_cupon_cero!$A$1,1,MATCH($B$9,Curvas_cupon_cero!$1:$1,0)-1,COUNT(Curvas_cupon_cero!$A:$A)-2,1)),[1]!interpolar(B556,OFFSET(Curvas_cupon_cero!$A$1,1,0,COUNT(Curvas_cupon_cero!$A:$A)-2,1),OFFSET(Curvas_cupon_cero!$A$1,1,MATCH($B$9,Curvas_cupon_cero!$1:$1,0)-1,COUNT(Curvas_cupon_cero!$A:$A)-2,1))))</f>
        <v/>
      </c>
      <c r="G556" s="23" t="str">
        <f t="shared" si="84"/>
        <v/>
      </c>
      <c r="H556" s="20" t="str">
        <f t="shared" si="89"/>
        <v/>
      </c>
      <c r="I556" t="str">
        <f t="shared" si="85"/>
        <v/>
      </c>
      <c r="J556" s="17" t="str">
        <f t="shared" si="81"/>
        <v/>
      </c>
      <c r="K556" s="18" t="str">
        <f t="shared" si="86"/>
        <v/>
      </c>
      <c r="L556" t="str">
        <f t="shared" si="87"/>
        <v/>
      </c>
      <c r="M556" s="23" t="str">
        <f ca="1">IF(A556="","",IF($B$10="Sí",interpolar_alamb(L556,OFFSET(Curvas_cupon_cero!$A$1,1,0,COUNT(Curvas_cupon_cero!$A:$A)-2,1),OFFSET(Curvas_cupon_cero!$A$1,1,MATCH($B$6,Curvas_cupon_cero!$1:$1,0)-1,COUNT(Curvas_cupon_cero!$A:$A)-2,1)),[1]!interpolar(L556,OFFSET(Curvas_cupon_cero!$A$1,1,0,COUNT(Curvas_cupon_cero!$A:$A)-2,1),OFFSET(Curvas_cupon_cero!$A$1,1,MATCH($B$6,Curvas_cupon_cero!$1:$1,0)-1,COUNT(Curvas_cupon_cero!$A:$A)-2,1))))</f>
        <v/>
      </c>
      <c r="N556" s="23"/>
      <c r="O556" s="19" t="str">
        <f t="shared" si="88"/>
        <v/>
      </c>
    </row>
    <row r="557" spans="1:15" x14ac:dyDescent="0.2">
      <c r="A557" s="12" t="str">
        <f t="shared" si="82"/>
        <v/>
      </c>
      <c r="B557" t="str">
        <f t="shared" si="80"/>
        <v/>
      </c>
      <c r="C557" s="21" t="str">
        <f ca="1">IF(A557="","",IF($B$10="Sí",interpolar_alamb(B557,OFFSET(Curvas_cupon_cero!$A$1,1,0,COUNT(Curvas_cupon_cero!$A:$A)-2,1),OFFSET(Curvas_cupon_cero!$A$1,1,MATCH($B$8,Curvas_cupon_cero!$1:$1,0)-1,COUNT(Curvas_cupon_cero!$A:$A)-2,1)),[1]!interpolar(B557,OFFSET(Curvas_cupon_cero!$A$1,1,0,COUNT(Curvas_cupon_cero!$A:$A)-2,1),OFFSET(Curvas_cupon_cero!$A$1,1,MATCH($B$8,Curvas_cupon_cero!$1:$1,0)-1,COUNT(Curvas_cupon_cero!$A:$A)-2,1))))</f>
        <v/>
      </c>
      <c r="D557" s="23" t="str">
        <f ca="1">IF(A557="","",IF($B$10="Sí",interpolar_alamb(L557,OFFSET(Curvas_cupon_cero!$A$1,1,0,COUNT(Curvas_cupon_cero!$A:$A)-2,1),OFFSET(Curvas_cupon_cero!$A$1,1,MATCH($B$8,Curvas_cupon_cero!$1:$1,0)-1,COUNT(Curvas_cupon_cero!$A:$A)-2,1)),[1]!interpolar(L557,OFFSET(Curvas_cupon_cero!$A$1,1,0,COUNT(Curvas_cupon_cero!$A:$A)-2,1),OFFSET(Curvas_cupon_cero!$A$1,1,MATCH($B$8,Curvas_cupon_cero!$1:$1,0)-1,COUNT(Curvas_cupon_cero!$A:$A)-2,1))))</f>
        <v/>
      </c>
      <c r="E557" s="23" t="str">
        <f t="shared" si="83"/>
        <v/>
      </c>
      <c r="F557" s="23" t="str">
        <f ca="1">IF(A557="","",IF($B$10="Sí",interpolar_alamb(B557,OFFSET(Curvas_cupon_cero!$A$1,1,0,COUNT(Curvas_cupon_cero!$A:$A)-2,1),OFFSET(Curvas_cupon_cero!$A$1,1,MATCH($B$9,Curvas_cupon_cero!$1:$1,0)-1,COUNT(Curvas_cupon_cero!$A:$A)-2,1)),[1]!interpolar(B557,OFFSET(Curvas_cupon_cero!$A$1,1,0,COUNT(Curvas_cupon_cero!$A:$A)-2,1),OFFSET(Curvas_cupon_cero!$A$1,1,MATCH($B$9,Curvas_cupon_cero!$1:$1,0)-1,COUNT(Curvas_cupon_cero!$A:$A)-2,1))))</f>
        <v/>
      </c>
      <c r="G557" s="23" t="str">
        <f t="shared" si="84"/>
        <v/>
      </c>
      <c r="H557" s="20" t="str">
        <f t="shared" si="89"/>
        <v/>
      </c>
      <c r="I557" t="str">
        <f t="shared" si="85"/>
        <v/>
      </c>
      <c r="J557" s="17" t="str">
        <f t="shared" si="81"/>
        <v/>
      </c>
      <c r="K557" s="18" t="str">
        <f t="shared" si="86"/>
        <v/>
      </c>
      <c r="L557" t="str">
        <f t="shared" si="87"/>
        <v/>
      </c>
      <c r="M557" s="23" t="str">
        <f ca="1">IF(A557="","",IF($B$10="Sí",interpolar_alamb(L557,OFFSET(Curvas_cupon_cero!$A$1,1,0,COUNT(Curvas_cupon_cero!$A:$A)-2,1),OFFSET(Curvas_cupon_cero!$A$1,1,MATCH($B$6,Curvas_cupon_cero!$1:$1,0)-1,COUNT(Curvas_cupon_cero!$A:$A)-2,1)),[1]!interpolar(L557,OFFSET(Curvas_cupon_cero!$A$1,1,0,COUNT(Curvas_cupon_cero!$A:$A)-2,1),OFFSET(Curvas_cupon_cero!$A$1,1,MATCH($B$6,Curvas_cupon_cero!$1:$1,0)-1,COUNT(Curvas_cupon_cero!$A:$A)-2,1))))</f>
        <v/>
      </c>
      <c r="N557" s="23"/>
      <c r="O557" s="19" t="str">
        <f t="shared" si="88"/>
        <v/>
      </c>
    </row>
    <row r="558" spans="1:15" x14ac:dyDescent="0.2">
      <c r="A558" s="12" t="str">
        <f t="shared" si="82"/>
        <v/>
      </c>
      <c r="B558" t="str">
        <f t="shared" si="80"/>
        <v/>
      </c>
      <c r="C558" s="21" t="str">
        <f ca="1">IF(A558="","",IF($B$10="Sí",interpolar_alamb(B558,OFFSET(Curvas_cupon_cero!$A$1,1,0,COUNT(Curvas_cupon_cero!$A:$A)-2,1),OFFSET(Curvas_cupon_cero!$A$1,1,MATCH($B$8,Curvas_cupon_cero!$1:$1,0)-1,COUNT(Curvas_cupon_cero!$A:$A)-2,1)),[1]!interpolar(B558,OFFSET(Curvas_cupon_cero!$A$1,1,0,COUNT(Curvas_cupon_cero!$A:$A)-2,1),OFFSET(Curvas_cupon_cero!$A$1,1,MATCH($B$8,Curvas_cupon_cero!$1:$1,0)-1,COUNT(Curvas_cupon_cero!$A:$A)-2,1))))</f>
        <v/>
      </c>
      <c r="D558" s="23" t="str">
        <f ca="1">IF(A558="","",IF($B$10="Sí",interpolar_alamb(L558,OFFSET(Curvas_cupon_cero!$A$1,1,0,COUNT(Curvas_cupon_cero!$A:$A)-2,1),OFFSET(Curvas_cupon_cero!$A$1,1,MATCH($B$8,Curvas_cupon_cero!$1:$1,0)-1,COUNT(Curvas_cupon_cero!$A:$A)-2,1)),[1]!interpolar(L558,OFFSET(Curvas_cupon_cero!$A$1,1,0,COUNT(Curvas_cupon_cero!$A:$A)-2,1),OFFSET(Curvas_cupon_cero!$A$1,1,MATCH($B$8,Curvas_cupon_cero!$1:$1,0)-1,COUNT(Curvas_cupon_cero!$A:$A)-2,1))))</f>
        <v/>
      </c>
      <c r="E558" s="23" t="str">
        <f t="shared" si="83"/>
        <v/>
      </c>
      <c r="F558" s="23" t="str">
        <f ca="1">IF(A558="","",IF($B$10="Sí",interpolar_alamb(B558,OFFSET(Curvas_cupon_cero!$A$1,1,0,COUNT(Curvas_cupon_cero!$A:$A)-2,1),OFFSET(Curvas_cupon_cero!$A$1,1,MATCH($B$9,Curvas_cupon_cero!$1:$1,0)-1,COUNT(Curvas_cupon_cero!$A:$A)-2,1)),[1]!interpolar(B558,OFFSET(Curvas_cupon_cero!$A$1,1,0,COUNT(Curvas_cupon_cero!$A:$A)-2,1),OFFSET(Curvas_cupon_cero!$A$1,1,MATCH($B$9,Curvas_cupon_cero!$1:$1,0)-1,COUNT(Curvas_cupon_cero!$A:$A)-2,1))))</f>
        <v/>
      </c>
      <c r="G558" s="23" t="str">
        <f t="shared" si="84"/>
        <v/>
      </c>
      <c r="H558" s="20" t="str">
        <f t="shared" si="89"/>
        <v/>
      </c>
      <c r="I558" t="str">
        <f t="shared" si="85"/>
        <v/>
      </c>
      <c r="J558" s="17" t="str">
        <f t="shared" si="81"/>
        <v/>
      </c>
      <c r="K558" s="18" t="str">
        <f t="shared" si="86"/>
        <v/>
      </c>
      <c r="L558" t="str">
        <f t="shared" si="87"/>
        <v/>
      </c>
      <c r="M558" s="23" t="str">
        <f ca="1">IF(A558="","",IF($B$10="Sí",interpolar_alamb(L558,OFFSET(Curvas_cupon_cero!$A$1,1,0,COUNT(Curvas_cupon_cero!$A:$A)-2,1),OFFSET(Curvas_cupon_cero!$A$1,1,MATCH($B$6,Curvas_cupon_cero!$1:$1,0)-1,COUNT(Curvas_cupon_cero!$A:$A)-2,1)),[1]!interpolar(L558,OFFSET(Curvas_cupon_cero!$A$1,1,0,COUNT(Curvas_cupon_cero!$A:$A)-2,1),OFFSET(Curvas_cupon_cero!$A$1,1,MATCH($B$6,Curvas_cupon_cero!$1:$1,0)-1,COUNT(Curvas_cupon_cero!$A:$A)-2,1))))</f>
        <v/>
      </c>
      <c r="N558" s="23"/>
      <c r="O558" s="19" t="str">
        <f t="shared" si="88"/>
        <v/>
      </c>
    </row>
    <row r="559" spans="1:15" x14ac:dyDescent="0.2">
      <c r="A559" s="12" t="str">
        <f t="shared" si="82"/>
        <v/>
      </c>
      <c r="B559" t="str">
        <f t="shared" si="80"/>
        <v/>
      </c>
      <c r="C559" s="21" t="str">
        <f ca="1">IF(A559="","",IF($B$10="Sí",interpolar_alamb(B559,OFFSET(Curvas_cupon_cero!$A$1,1,0,COUNT(Curvas_cupon_cero!$A:$A)-2,1),OFFSET(Curvas_cupon_cero!$A$1,1,MATCH($B$8,Curvas_cupon_cero!$1:$1,0)-1,COUNT(Curvas_cupon_cero!$A:$A)-2,1)),[1]!interpolar(B559,OFFSET(Curvas_cupon_cero!$A$1,1,0,COUNT(Curvas_cupon_cero!$A:$A)-2,1),OFFSET(Curvas_cupon_cero!$A$1,1,MATCH($B$8,Curvas_cupon_cero!$1:$1,0)-1,COUNT(Curvas_cupon_cero!$A:$A)-2,1))))</f>
        <v/>
      </c>
      <c r="D559" s="23" t="str">
        <f ca="1">IF(A559="","",IF($B$10="Sí",interpolar_alamb(L559,OFFSET(Curvas_cupon_cero!$A$1,1,0,COUNT(Curvas_cupon_cero!$A:$A)-2,1),OFFSET(Curvas_cupon_cero!$A$1,1,MATCH($B$8,Curvas_cupon_cero!$1:$1,0)-1,COUNT(Curvas_cupon_cero!$A:$A)-2,1)),[1]!interpolar(L559,OFFSET(Curvas_cupon_cero!$A$1,1,0,COUNT(Curvas_cupon_cero!$A:$A)-2,1),OFFSET(Curvas_cupon_cero!$A$1,1,MATCH($B$8,Curvas_cupon_cero!$1:$1,0)-1,COUNT(Curvas_cupon_cero!$A:$A)-2,1))))</f>
        <v/>
      </c>
      <c r="E559" s="23" t="str">
        <f t="shared" si="83"/>
        <v/>
      </c>
      <c r="F559" s="23" t="str">
        <f ca="1">IF(A559="","",IF($B$10="Sí",interpolar_alamb(B559,OFFSET(Curvas_cupon_cero!$A$1,1,0,COUNT(Curvas_cupon_cero!$A:$A)-2,1),OFFSET(Curvas_cupon_cero!$A$1,1,MATCH($B$9,Curvas_cupon_cero!$1:$1,0)-1,COUNT(Curvas_cupon_cero!$A:$A)-2,1)),[1]!interpolar(B559,OFFSET(Curvas_cupon_cero!$A$1,1,0,COUNT(Curvas_cupon_cero!$A:$A)-2,1),OFFSET(Curvas_cupon_cero!$A$1,1,MATCH($B$9,Curvas_cupon_cero!$1:$1,0)-1,COUNT(Curvas_cupon_cero!$A:$A)-2,1))))</f>
        <v/>
      </c>
      <c r="G559" s="23" t="str">
        <f t="shared" si="84"/>
        <v/>
      </c>
      <c r="H559" s="20" t="str">
        <f t="shared" si="89"/>
        <v/>
      </c>
      <c r="I559" t="str">
        <f t="shared" si="85"/>
        <v/>
      </c>
      <c r="J559" s="17" t="str">
        <f t="shared" si="81"/>
        <v/>
      </c>
      <c r="K559" s="18" t="str">
        <f t="shared" si="86"/>
        <v/>
      </c>
      <c r="L559" t="str">
        <f t="shared" si="87"/>
        <v/>
      </c>
      <c r="M559" s="23" t="str">
        <f ca="1">IF(A559="","",IF($B$10="Sí",interpolar_alamb(L559,OFFSET(Curvas_cupon_cero!$A$1,1,0,COUNT(Curvas_cupon_cero!$A:$A)-2,1),OFFSET(Curvas_cupon_cero!$A$1,1,MATCH($B$6,Curvas_cupon_cero!$1:$1,0)-1,COUNT(Curvas_cupon_cero!$A:$A)-2,1)),[1]!interpolar(L559,OFFSET(Curvas_cupon_cero!$A$1,1,0,COUNT(Curvas_cupon_cero!$A:$A)-2,1),OFFSET(Curvas_cupon_cero!$A$1,1,MATCH($B$6,Curvas_cupon_cero!$1:$1,0)-1,COUNT(Curvas_cupon_cero!$A:$A)-2,1))))</f>
        <v/>
      </c>
      <c r="N559" s="23"/>
      <c r="O559" s="19" t="str">
        <f t="shared" si="88"/>
        <v/>
      </c>
    </row>
    <row r="560" spans="1:15" x14ac:dyDescent="0.2">
      <c r="A560" s="12" t="str">
        <f t="shared" si="82"/>
        <v/>
      </c>
      <c r="B560" t="str">
        <f t="shared" si="80"/>
        <v/>
      </c>
      <c r="C560" s="21" t="str">
        <f ca="1">IF(A560="","",IF($B$10="Sí",interpolar_alamb(B560,OFFSET(Curvas_cupon_cero!$A$1,1,0,COUNT(Curvas_cupon_cero!$A:$A)-2,1),OFFSET(Curvas_cupon_cero!$A$1,1,MATCH($B$8,Curvas_cupon_cero!$1:$1,0)-1,COUNT(Curvas_cupon_cero!$A:$A)-2,1)),[1]!interpolar(B560,OFFSET(Curvas_cupon_cero!$A$1,1,0,COUNT(Curvas_cupon_cero!$A:$A)-2,1),OFFSET(Curvas_cupon_cero!$A$1,1,MATCH($B$8,Curvas_cupon_cero!$1:$1,0)-1,COUNT(Curvas_cupon_cero!$A:$A)-2,1))))</f>
        <v/>
      </c>
      <c r="D560" s="23" t="str">
        <f ca="1">IF(A560="","",IF($B$10="Sí",interpolar_alamb(L560,OFFSET(Curvas_cupon_cero!$A$1,1,0,COUNT(Curvas_cupon_cero!$A:$A)-2,1),OFFSET(Curvas_cupon_cero!$A$1,1,MATCH($B$8,Curvas_cupon_cero!$1:$1,0)-1,COUNT(Curvas_cupon_cero!$A:$A)-2,1)),[1]!interpolar(L560,OFFSET(Curvas_cupon_cero!$A$1,1,0,COUNT(Curvas_cupon_cero!$A:$A)-2,1),OFFSET(Curvas_cupon_cero!$A$1,1,MATCH($B$8,Curvas_cupon_cero!$1:$1,0)-1,COUNT(Curvas_cupon_cero!$A:$A)-2,1))))</f>
        <v/>
      </c>
      <c r="E560" s="23" t="str">
        <f t="shared" si="83"/>
        <v/>
      </c>
      <c r="F560" s="23" t="str">
        <f ca="1">IF(A560="","",IF($B$10="Sí",interpolar_alamb(B560,OFFSET(Curvas_cupon_cero!$A$1,1,0,COUNT(Curvas_cupon_cero!$A:$A)-2,1),OFFSET(Curvas_cupon_cero!$A$1,1,MATCH($B$9,Curvas_cupon_cero!$1:$1,0)-1,COUNT(Curvas_cupon_cero!$A:$A)-2,1)),[1]!interpolar(B560,OFFSET(Curvas_cupon_cero!$A$1,1,0,COUNT(Curvas_cupon_cero!$A:$A)-2,1),OFFSET(Curvas_cupon_cero!$A$1,1,MATCH($B$9,Curvas_cupon_cero!$1:$1,0)-1,COUNT(Curvas_cupon_cero!$A:$A)-2,1))))</f>
        <v/>
      </c>
      <c r="G560" s="23" t="str">
        <f t="shared" si="84"/>
        <v/>
      </c>
      <c r="H560" s="20" t="str">
        <f t="shared" si="89"/>
        <v/>
      </c>
      <c r="I560" t="str">
        <f t="shared" si="85"/>
        <v/>
      </c>
      <c r="J560" s="17" t="str">
        <f t="shared" si="81"/>
        <v/>
      </c>
      <c r="K560" s="18" t="str">
        <f t="shared" si="86"/>
        <v/>
      </c>
      <c r="L560" t="str">
        <f t="shared" si="87"/>
        <v/>
      </c>
      <c r="M560" s="23" t="str">
        <f ca="1">IF(A560="","",IF($B$10="Sí",interpolar_alamb(L560,OFFSET(Curvas_cupon_cero!$A$1,1,0,COUNT(Curvas_cupon_cero!$A:$A)-2,1),OFFSET(Curvas_cupon_cero!$A$1,1,MATCH($B$6,Curvas_cupon_cero!$1:$1,0)-1,COUNT(Curvas_cupon_cero!$A:$A)-2,1)),[1]!interpolar(L560,OFFSET(Curvas_cupon_cero!$A$1,1,0,COUNT(Curvas_cupon_cero!$A:$A)-2,1),OFFSET(Curvas_cupon_cero!$A$1,1,MATCH($B$6,Curvas_cupon_cero!$1:$1,0)-1,COUNT(Curvas_cupon_cero!$A:$A)-2,1))))</f>
        <v/>
      </c>
      <c r="N560" s="23"/>
      <c r="O560" s="19" t="str">
        <f t="shared" si="88"/>
        <v/>
      </c>
    </row>
    <row r="561" spans="1:15" x14ac:dyDescent="0.2">
      <c r="A561" s="12" t="str">
        <f t="shared" si="82"/>
        <v/>
      </c>
      <c r="B561" t="str">
        <f t="shared" si="80"/>
        <v/>
      </c>
      <c r="C561" s="21" t="str">
        <f ca="1">IF(A561="","",IF($B$10="Sí",interpolar_alamb(B561,OFFSET(Curvas_cupon_cero!$A$1,1,0,COUNT(Curvas_cupon_cero!$A:$A)-2,1),OFFSET(Curvas_cupon_cero!$A$1,1,MATCH($B$8,Curvas_cupon_cero!$1:$1,0)-1,COUNT(Curvas_cupon_cero!$A:$A)-2,1)),[1]!interpolar(B561,OFFSET(Curvas_cupon_cero!$A$1,1,0,COUNT(Curvas_cupon_cero!$A:$A)-2,1),OFFSET(Curvas_cupon_cero!$A$1,1,MATCH($B$8,Curvas_cupon_cero!$1:$1,0)-1,COUNT(Curvas_cupon_cero!$A:$A)-2,1))))</f>
        <v/>
      </c>
      <c r="D561" s="23" t="str">
        <f ca="1">IF(A561="","",IF($B$10="Sí",interpolar_alamb(L561,OFFSET(Curvas_cupon_cero!$A$1,1,0,COUNT(Curvas_cupon_cero!$A:$A)-2,1),OFFSET(Curvas_cupon_cero!$A$1,1,MATCH($B$8,Curvas_cupon_cero!$1:$1,0)-1,COUNT(Curvas_cupon_cero!$A:$A)-2,1)),[1]!interpolar(L561,OFFSET(Curvas_cupon_cero!$A$1,1,0,COUNT(Curvas_cupon_cero!$A:$A)-2,1),OFFSET(Curvas_cupon_cero!$A$1,1,MATCH($B$8,Curvas_cupon_cero!$1:$1,0)-1,COUNT(Curvas_cupon_cero!$A:$A)-2,1))))</f>
        <v/>
      </c>
      <c r="E561" s="23" t="str">
        <f t="shared" si="83"/>
        <v/>
      </c>
      <c r="F561" s="23" t="str">
        <f ca="1">IF(A561="","",IF($B$10="Sí",interpolar_alamb(B561,OFFSET(Curvas_cupon_cero!$A$1,1,0,COUNT(Curvas_cupon_cero!$A:$A)-2,1),OFFSET(Curvas_cupon_cero!$A$1,1,MATCH($B$9,Curvas_cupon_cero!$1:$1,0)-1,COUNT(Curvas_cupon_cero!$A:$A)-2,1)),[1]!interpolar(B561,OFFSET(Curvas_cupon_cero!$A$1,1,0,COUNT(Curvas_cupon_cero!$A:$A)-2,1),OFFSET(Curvas_cupon_cero!$A$1,1,MATCH($B$9,Curvas_cupon_cero!$1:$1,0)-1,COUNT(Curvas_cupon_cero!$A:$A)-2,1))))</f>
        <v/>
      </c>
      <c r="G561" s="23" t="str">
        <f t="shared" si="84"/>
        <v/>
      </c>
      <c r="H561" s="20" t="str">
        <f t="shared" si="89"/>
        <v/>
      </c>
      <c r="I561" t="str">
        <f t="shared" si="85"/>
        <v/>
      </c>
      <c r="J561" s="17" t="str">
        <f t="shared" si="81"/>
        <v/>
      </c>
      <c r="K561" s="18" t="str">
        <f t="shared" si="86"/>
        <v/>
      </c>
      <c r="L561" t="str">
        <f t="shared" si="87"/>
        <v/>
      </c>
      <c r="M561" s="23" t="str">
        <f ca="1">IF(A561="","",IF($B$10="Sí",interpolar_alamb(L561,OFFSET(Curvas_cupon_cero!$A$1,1,0,COUNT(Curvas_cupon_cero!$A:$A)-2,1),OFFSET(Curvas_cupon_cero!$A$1,1,MATCH($B$6,Curvas_cupon_cero!$1:$1,0)-1,COUNT(Curvas_cupon_cero!$A:$A)-2,1)),[1]!interpolar(L561,OFFSET(Curvas_cupon_cero!$A$1,1,0,COUNT(Curvas_cupon_cero!$A:$A)-2,1),OFFSET(Curvas_cupon_cero!$A$1,1,MATCH($B$6,Curvas_cupon_cero!$1:$1,0)-1,COUNT(Curvas_cupon_cero!$A:$A)-2,1))))</f>
        <v/>
      </c>
      <c r="N561" s="23"/>
      <c r="O561" s="19" t="str">
        <f t="shared" si="88"/>
        <v/>
      </c>
    </row>
    <row r="562" spans="1:15" x14ac:dyDescent="0.2">
      <c r="A562" s="12" t="str">
        <f t="shared" si="82"/>
        <v/>
      </c>
      <c r="B562" t="str">
        <f t="shared" si="80"/>
        <v/>
      </c>
      <c r="C562" s="21" t="str">
        <f ca="1">IF(A562="","",IF($B$10="Sí",interpolar_alamb(B562,OFFSET(Curvas_cupon_cero!$A$1,1,0,COUNT(Curvas_cupon_cero!$A:$A)-2,1),OFFSET(Curvas_cupon_cero!$A$1,1,MATCH($B$8,Curvas_cupon_cero!$1:$1,0)-1,COUNT(Curvas_cupon_cero!$A:$A)-2,1)),[1]!interpolar(B562,OFFSET(Curvas_cupon_cero!$A$1,1,0,COUNT(Curvas_cupon_cero!$A:$A)-2,1),OFFSET(Curvas_cupon_cero!$A$1,1,MATCH($B$8,Curvas_cupon_cero!$1:$1,0)-1,COUNT(Curvas_cupon_cero!$A:$A)-2,1))))</f>
        <v/>
      </c>
      <c r="D562" s="23" t="str">
        <f ca="1">IF(A562="","",IF($B$10="Sí",interpolar_alamb(L562,OFFSET(Curvas_cupon_cero!$A$1,1,0,COUNT(Curvas_cupon_cero!$A:$A)-2,1),OFFSET(Curvas_cupon_cero!$A$1,1,MATCH($B$8,Curvas_cupon_cero!$1:$1,0)-1,COUNT(Curvas_cupon_cero!$A:$A)-2,1)),[1]!interpolar(L562,OFFSET(Curvas_cupon_cero!$A$1,1,0,COUNT(Curvas_cupon_cero!$A:$A)-2,1),OFFSET(Curvas_cupon_cero!$A$1,1,MATCH($B$8,Curvas_cupon_cero!$1:$1,0)-1,COUNT(Curvas_cupon_cero!$A:$A)-2,1))))</f>
        <v/>
      </c>
      <c r="E562" s="23" t="str">
        <f t="shared" si="83"/>
        <v/>
      </c>
      <c r="F562" s="23" t="str">
        <f ca="1">IF(A562="","",IF($B$10="Sí",interpolar_alamb(B562,OFFSET(Curvas_cupon_cero!$A$1,1,0,COUNT(Curvas_cupon_cero!$A:$A)-2,1),OFFSET(Curvas_cupon_cero!$A$1,1,MATCH($B$9,Curvas_cupon_cero!$1:$1,0)-1,COUNT(Curvas_cupon_cero!$A:$A)-2,1)),[1]!interpolar(B562,OFFSET(Curvas_cupon_cero!$A$1,1,0,COUNT(Curvas_cupon_cero!$A:$A)-2,1),OFFSET(Curvas_cupon_cero!$A$1,1,MATCH($B$9,Curvas_cupon_cero!$1:$1,0)-1,COUNT(Curvas_cupon_cero!$A:$A)-2,1))))</f>
        <v/>
      </c>
      <c r="G562" s="23" t="str">
        <f t="shared" si="84"/>
        <v/>
      </c>
      <c r="H562" s="20" t="str">
        <f t="shared" si="89"/>
        <v/>
      </c>
      <c r="I562" t="str">
        <f t="shared" si="85"/>
        <v/>
      </c>
      <c r="J562" s="17" t="str">
        <f t="shared" si="81"/>
        <v/>
      </c>
      <c r="K562" s="18" t="str">
        <f t="shared" si="86"/>
        <v/>
      </c>
      <c r="L562" t="str">
        <f t="shared" si="87"/>
        <v/>
      </c>
      <c r="M562" s="23" t="str">
        <f ca="1">IF(A562="","",IF($B$10="Sí",interpolar_alamb(L562,OFFSET(Curvas_cupon_cero!$A$1,1,0,COUNT(Curvas_cupon_cero!$A:$A)-2,1),OFFSET(Curvas_cupon_cero!$A$1,1,MATCH($B$6,Curvas_cupon_cero!$1:$1,0)-1,COUNT(Curvas_cupon_cero!$A:$A)-2,1)),[1]!interpolar(L562,OFFSET(Curvas_cupon_cero!$A$1,1,0,COUNT(Curvas_cupon_cero!$A:$A)-2,1),OFFSET(Curvas_cupon_cero!$A$1,1,MATCH($B$6,Curvas_cupon_cero!$1:$1,0)-1,COUNT(Curvas_cupon_cero!$A:$A)-2,1))))</f>
        <v/>
      </c>
      <c r="N562" s="23"/>
      <c r="O562" s="19" t="str">
        <f t="shared" si="88"/>
        <v/>
      </c>
    </row>
    <row r="563" spans="1:15" x14ac:dyDescent="0.2">
      <c r="A563" s="12" t="str">
        <f t="shared" si="82"/>
        <v/>
      </c>
      <c r="B563" t="str">
        <f t="shared" si="80"/>
        <v/>
      </c>
      <c r="C563" s="21" t="str">
        <f ca="1">IF(A563="","",IF($B$10="Sí",interpolar_alamb(B563,OFFSET(Curvas_cupon_cero!$A$1,1,0,COUNT(Curvas_cupon_cero!$A:$A)-2,1),OFFSET(Curvas_cupon_cero!$A$1,1,MATCH($B$8,Curvas_cupon_cero!$1:$1,0)-1,COUNT(Curvas_cupon_cero!$A:$A)-2,1)),[1]!interpolar(B563,OFFSET(Curvas_cupon_cero!$A$1,1,0,COUNT(Curvas_cupon_cero!$A:$A)-2,1),OFFSET(Curvas_cupon_cero!$A$1,1,MATCH($B$8,Curvas_cupon_cero!$1:$1,0)-1,COUNT(Curvas_cupon_cero!$A:$A)-2,1))))</f>
        <v/>
      </c>
      <c r="D563" s="23" t="str">
        <f ca="1">IF(A563="","",IF($B$10="Sí",interpolar_alamb(L563,OFFSET(Curvas_cupon_cero!$A$1,1,0,COUNT(Curvas_cupon_cero!$A:$A)-2,1),OFFSET(Curvas_cupon_cero!$A$1,1,MATCH($B$8,Curvas_cupon_cero!$1:$1,0)-1,COUNT(Curvas_cupon_cero!$A:$A)-2,1)),[1]!interpolar(L563,OFFSET(Curvas_cupon_cero!$A$1,1,0,COUNT(Curvas_cupon_cero!$A:$A)-2,1),OFFSET(Curvas_cupon_cero!$A$1,1,MATCH($B$8,Curvas_cupon_cero!$1:$1,0)-1,COUNT(Curvas_cupon_cero!$A:$A)-2,1))))</f>
        <v/>
      </c>
      <c r="E563" s="23" t="str">
        <f t="shared" si="83"/>
        <v/>
      </c>
      <c r="F563" s="23" t="str">
        <f ca="1">IF(A563="","",IF($B$10="Sí",interpolar_alamb(B563,OFFSET(Curvas_cupon_cero!$A$1,1,0,COUNT(Curvas_cupon_cero!$A:$A)-2,1),OFFSET(Curvas_cupon_cero!$A$1,1,MATCH($B$9,Curvas_cupon_cero!$1:$1,0)-1,COUNT(Curvas_cupon_cero!$A:$A)-2,1)),[1]!interpolar(B563,OFFSET(Curvas_cupon_cero!$A$1,1,0,COUNT(Curvas_cupon_cero!$A:$A)-2,1),OFFSET(Curvas_cupon_cero!$A$1,1,MATCH($B$9,Curvas_cupon_cero!$1:$1,0)-1,COUNT(Curvas_cupon_cero!$A:$A)-2,1))))</f>
        <v/>
      </c>
      <c r="G563" s="23" t="str">
        <f t="shared" si="84"/>
        <v/>
      </c>
      <c r="H563" s="20" t="str">
        <f t="shared" si="89"/>
        <v/>
      </c>
      <c r="I563" t="str">
        <f t="shared" si="85"/>
        <v/>
      </c>
      <c r="J563" s="17" t="str">
        <f t="shared" si="81"/>
        <v/>
      </c>
      <c r="K563" s="18" t="str">
        <f t="shared" si="86"/>
        <v/>
      </c>
      <c r="L563" t="str">
        <f t="shared" si="87"/>
        <v/>
      </c>
      <c r="M563" s="23" t="str">
        <f ca="1">IF(A563="","",IF($B$10="Sí",interpolar_alamb(L563,OFFSET(Curvas_cupon_cero!$A$1,1,0,COUNT(Curvas_cupon_cero!$A:$A)-2,1),OFFSET(Curvas_cupon_cero!$A$1,1,MATCH($B$6,Curvas_cupon_cero!$1:$1,0)-1,COUNT(Curvas_cupon_cero!$A:$A)-2,1)),[1]!interpolar(L563,OFFSET(Curvas_cupon_cero!$A$1,1,0,COUNT(Curvas_cupon_cero!$A:$A)-2,1),OFFSET(Curvas_cupon_cero!$A$1,1,MATCH($B$6,Curvas_cupon_cero!$1:$1,0)-1,COUNT(Curvas_cupon_cero!$A:$A)-2,1))))</f>
        <v/>
      </c>
      <c r="N563" s="23"/>
      <c r="O563" s="19" t="str">
        <f t="shared" si="88"/>
        <v/>
      </c>
    </row>
    <row r="564" spans="1:15" x14ac:dyDescent="0.2">
      <c r="A564" s="12" t="str">
        <f t="shared" si="82"/>
        <v/>
      </c>
      <c r="B564" t="str">
        <f t="shared" si="80"/>
        <v/>
      </c>
      <c r="C564" s="21" t="str">
        <f ca="1">IF(A564="","",IF($B$10="Sí",interpolar_alamb(B564,OFFSET(Curvas_cupon_cero!$A$1,1,0,COUNT(Curvas_cupon_cero!$A:$A)-2,1),OFFSET(Curvas_cupon_cero!$A$1,1,MATCH($B$8,Curvas_cupon_cero!$1:$1,0)-1,COUNT(Curvas_cupon_cero!$A:$A)-2,1)),[1]!interpolar(B564,OFFSET(Curvas_cupon_cero!$A$1,1,0,COUNT(Curvas_cupon_cero!$A:$A)-2,1),OFFSET(Curvas_cupon_cero!$A$1,1,MATCH($B$8,Curvas_cupon_cero!$1:$1,0)-1,COUNT(Curvas_cupon_cero!$A:$A)-2,1))))</f>
        <v/>
      </c>
      <c r="D564" s="23" t="str">
        <f ca="1">IF(A564="","",IF($B$10="Sí",interpolar_alamb(L564,OFFSET(Curvas_cupon_cero!$A$1,1,0,COUNT(Curvas_cupon_cero!$A:$A)-2,1),OFFSET(Curvas_cupon_cero!$A$1,1,MATCH($B$8,Curvas_cupon_cero!$1:$1,0)-1,COUNT(Curvas_cupon_cero!$A:$A)-2,1)),[1]!interpolar(L564,OFFSET(Curvas_cupon_cero!$A$1,1,0,COUNT(Curvas_cupon_cero!$A:$A)-2,1),OFFSET(Curvas_cupon_cero!$A$1,1,MATCH($B$8,Curvas_cupon_cero!$1:$1,0)-1,COUNT(Curvas_cupon_cero!$A:$A)-2,1))))</f>
        <v/>
      </c>
      <c r="E564" s="23" t="str">
        <f t="shared" si="83"/>
        <v/>
      </c>
      <c r="F564" s="23" t="str">
        <f ca="1">IF(A564="","",IF($B$10="Sí",interpolar_alamb(B564,OFFSET(Curvas_cupon_cero!$A$1,1,0,COUNT(Curvas_cupon_cero!$A:$A)-2,1),OFFSET(Curvas_cupon_cero!$A$1,1,MATCH($B$9,Curvas_cupon_cero!$1:$1,0)-1,COUNT(Curvas_cupon_cero!$A:$A)-2,1)),[1]!interpolar(B564,OFFSET(Curvas_cupon_cero!$A$1,1,0,COUNT(Curvas_cupon_cero!$A:$A)-2,1),OFFSET(Curvas_cupon_cero!$A$1,1,MATCH($B$9,Curvas_cupon_cero!$1:$1,0)-1,COUNT(Curvas_cupon_cero!$A:$A)-2,1))))</f>
        <v/>
      </c>
      <c r="G564" s="23" t="str">
        <f t="shared" si="84"/>
        <v/>
      </c>
      <c r="H564" s="20" t="str">
        <f t="shared" si="89"/>
        <v/>
      </c>
      <c r="I564" t="str">
        <f t="shared" si="85"/>
        <v/>
      </c>
      <c r="J564" s="17" t="str">
        <f t="shared" si="81"/>
        <v/>
      </c>
      <c r="K564" s="18" t="str">
        <f t="shared" si="86"/>
        <v/>
      </c>
      <c r="L564" t="str">
        <f t="shared" si="87"/>
        <v/>
      </c>
      <c r="M564" s="23" t="str">
        <f ca="1">IF(A564="","",IF($B$10="Sí",interpolar_alamb(L564,OFFSET(Curvas_cupon_cero!$A$1,1,0,COUNT(Curvas_cupon_cero!$A:$A)-2,1),OFFSET(Curvas_cupon_cero!$A$1,1,MATCH($B$6,Curvas_cupon_cero!$1:$1,0)-1,COUNT(Curvas_cupon_cero!$A:$A)-2,1)),[1]!interpolar(L564,OFFSET(Curvas_cupon_cero!$A$1,1,0,COUNT(Curvas_cupon_cero!$A:$A)-2,1),OFFSET(Curvas_cupon_cero!$A$1,1,MATCH($B$6,Curvas_cupon_cero!$1:$1,0)-1,COUNT(Curvas_cupon_cero!$A:$A)-2,1))))</f>
        <v/>
      </c>
      <c r="N564" s="23"/>
      <c r="O564" s="19" t="str">
        <f t="shared" si="88"/>
        <v/>
      </c>
    </row>
    <row r="565" spans="1:15" x14ac:dyDescent="0.2">
      <c r="A565" s="12" t="str">
        <f t="shared" si="82"/>
        <v/>
      </c>
      <c r="B565" t="str">
        <f t="shared" si="80"/>
        <v/>
      </c>
      <c r="C565" s="21" t="str">
        <f ca="1">IF(A565="","",IF($B$10="Sí",interpolar_alamb(B565,OFFSET(Curvas_cupon_cero!$A$1,1,0,COUNT(Curvas_cupon_cero!$A:$A)-2,1),OFFSET(Curvas_cupon_cero!$A$1,1,MATCH($B$8,Curvas_cupon_cero!$1:$1,0)-1,COUNT(Curvas_cupon_cero!$A:$A)-2,1)),[1]!interpolar(B565,OFFSET(Curvas_cupon_cero!$A$1,1,0,COUNT(Curvas_cupon_cero!$A:$A)-2,1),OFFSET(Curvas_cupon_cero!$A$1,1,MATCH($B$8,Curvas_cupon_cero!$1:$1,0)-1,COUNT(Curvas_cupon_cero!$A:$A)-2,1))))</f>
        <v/>
      </c>
      <c r="D565" s="23" t="str">
        <f ca="1">IF(A565="","",IF($B$10="Sí",interpolar_alamb(L565,OFFSET(Curvas_cupon_cero!$A$1,1,0,COUNT(Curvas_cupon_cero!$A:$A)-2,1),OFFSET(Curvas_cupon_cero!$A$1,1,MATCH($B$8,Curvas_cupon_cero!$1:$1,0)-1,COUNT(Curvas_cupon_cero!$A:$A)-2,1)),[1]!interpolar(L565,OFFSET(Curvas_cupon_cero!$A$1,1,0,COUNT(Curvas_cupon_cero!$A:$A)-2,1),OFFSET(Curvas_cupon_cero!$A$1,1,MATCH($B$8,Curvas_cupon_cero!$1:$1,0)-1,COUNT(Curvas_cupon_cero!$A:$A)-2,1))))</f>
        <v/>
      </c>
      <c r="E565" s="23" t="str">
        <f t="shared" si="83"/>
        <v/>
      </c>
      <c r="F565" s="23" t="str">
        <f ca="1">IF(A565="","",IF($B$10="Sí",interpolar_alamb(B565,OFFSET(Curvas_cupon_cero!$A$1,1,0,COUNT(Curvas_cupon_cero!$A:$A)-2,1),OFFSET(Curvas_cupon_cero!$A$1,1,MATCH($B$9,Curvas_cupon_cero!$1:$1,0)-1,COUNT(Curvas_cupon_cero!$A:$A)-2,1)),[1]!interpolar(B565,OFFSET(Curvas_cupon_cero!$A$1,1,0,COUNT(Curvas_cupon_cero!$A:$A)-2,1),OFFSET(Curvas_cupon_cero!$A$1,1,MATCH($B$9,Curvas_cupon_cero!$1:$1,0)-1,COUNT(Curvas_cupon_cero!$A:$A)-2,1))))</f>
        <v/>
      </c>
      <c r="G565" s="23" t="str">
        <f t="shared" si="84"/>
        <v/>
      </c>
      <c r="H565" s="20" t="str">
        <f t="shared" si="89"/>
        <v/>
      </c>
      <c r="I565" t="str">
        <f t="shared" si="85"/>
        <v/>
      </c>
      <c r="J565" s="17" t="str">
        <f t="shared" si="81"/>
        <v/>
      </c>
      <c r="K565" s="18" t="str">
        <f t="shared" si="86"/>
        <v/>
      </c>
      <c r="L565" t="str">
        <f t="shared" si="87"/>
        <v/>
      </c>
      <c r="M565" s="23" t="str">
        <f ca="1">IF(A565="","",IF($B$10="Sí",interpolar_alamb(L565,OFFSET(Curvas_cupon_cero!$A$1,1,0,COUNT(Curvas_cupon_cero!$A:$A)-2,1),OFFSET(Curvas_cupon_cero!$A$1,1,MATCH($B$6,Curvas_cupon_cero!$1:$1,0)-1,COUNT(Curvas_cupon_cero!$A:$A)-2,1)),[1]!interpolar(L565,OFFSET(Curvas_cupon_cero!$A$1,1,0,COUNT(Curvas_cupon_cero!$A:$A)-2,1),OFFSET(Curvas_cupon_cero!$A$1,1,MATCH($B$6,Curvas_cupon_cero!$1:$1,0)-1,COUNT(Curvas_cupon_cero!$A:$A)-2,1))))</f>
        <v/>
      </c>
      <c r="N565" s="23"/>
      <c r="O565" s="19" t="str">
        <f t="shared" si="88"/>
        <v/>
      </c>
    </row>
    <row r="566" spans="1:15" x14ac:dyDescent="0.2">
      <c r="A566" s="12" t="str">
        <f t="shared" si="82"/>
        <v/>
      </c>
      <c r="B566" t="str">
        <f t="shared" si="80"/>
        <v/>
      </c>
      <c r="C566" s="21" t="str">
        <f ca="1">IF(A566="","",IF($B$10="Sí",interpolar_alamb(B566,OFFSET(Curvas_cupon_cero!$A$1,1,0,COUNT(Curvas_cupon_cero!$A:$A)-2,1),OFFSET(Curvas_cupon_cero!$A$1,1,MATCH($B$8,Curvas_cupon_cero!$1:$1,0)-1,COUNT(Curvas_cupon_cero!$A:$A)-2,1)),[1]!interpolar(B566,OFFSET(Curvas_cupon_cero!$A$1,1,0,COUNT(Curvas_cupon_cero!$A:$A)-2,1),OFFSET(Curvas_cupon_cero!$A$1,1,MATCH($B$8,Curvas_cupon_cero!$1:$1,0)-1,COUNT(Curvas_cupon_cero!$A:$A)-2,1))))</f>
        <v/>
      </c>
      <c r="D566" s="23" t="str">
        <f ca="1">IF(A566="","",IF($B$10="Sí",interpolar_alamb(L566,OFFSET(Curvas_cupon_cero!$A$1,1,0,COUNT(Curvas_cupon_cero!$A:$A)-2,1),OFFSET(Curvas_cupon_cero!$A$1,1,MATCH($B$8,Curvas_cupon_cero!$1:$1,0)-1,COUNT(Curvas_cupon_cero!$A:$A)-2,1)),[1]!interpolar(L566,OFFSET(Curvas_cupon_cero!$A$1,1,0,COUNT(Curvas_cupon_cero!$A:$A)-2,1),OFFSET(Curvas_cupon_cero!$A$1,1,MATCH($B$8,Curvas_cupon_cero!$1:$1,0)-1,COUNT(Curvas_cupon_cero!$A:$A)-2,1))))</f>
        <v/>
      </c>
      <c r="E566" s="23" t="str">
        <f t="shared" si="83"/>
        <v/>
      </c>
      <c r="F566" s="23" t="str">
        <f ca="1">IF(A566="","",IF($B$10="Sí",interpolar_alamb(B566,OFFSET(Curvas_cupon_cero!$A$1,1,0,COUNT(Curvas_cupon_cero!$A:$A)-2,1),OFFSET(Curvas_cupon_cero!$A$1,1,MATCH($B$9,Curvas_cupon_cero!$1:$1,0)-1,COUNT(Curvas_cupon_cero!$A:$A)-2,1)),[1]!interpolar(B566,OFFSET(Curvas_cupon_cero!$A$1,1,0,COUNT(Curvas_cupon_cero!$A:$A)-2,1),OFFSET(Curvas_cupon_cero!$A$1,1,MATCH($B$9,Curvas_cupon_cero!$1:$1,0)-1,COUNT(Curvas_cupon_cero!$A:$A)-2,1))))</f>
        <v/>
      </c>
      <c r="G566" s="23" t="str">
        <f t="shared" si="84"/>
        <v/>
      </c>
      <c r="H566" s="20" t="str">
        <f t="shared" si="89"/>
        <v/>
      </c>
      <c r="I566" t="str">
        <f t="shared" si="85"/>
        <v/>
      </c>
      <c r="J566" s="17" t="str">
        <f t="shared" si="81"/>
        <v/>
      </c>
      <c r="K566" s="18" t="str">
        <f t="shared" si="86"/>
        <v/>
      </c>
      <c r="L566" t="str">
        <f t="shared" si="87"/>
        <v/>
      </c>
      <c r="M566" s="23" t="str">
        <f ca="1">IF(A566="","",IF($B$10="Sí",interpolar_alamb(L566,OFFSET(Curvas_cupon_cero!$A$1,1,0,COUNT(Curvas_cupon_cero!$A:$A)-2,1),OFFSET(Curvas_cupon_cero!$A$1,1,MATCH($B$6,Curvas_cupon_cero!$1:$1,0)-1,COUNT(Curvas_cupon_cero!$A:$A)-2,1)),[1]!interpolar(L566,OFFSET(Curvas_cupon_cero!$A$1,1,0,COUNT(Curvas_cupon_cero!$A:$A)-2,1),OFFSET(Curvas_cupon_cero!$A$1,1,MATCH($B$6,Curvas_cupon_cero!$1:$1,0)-1,COUNT(Curvas_cupon_cero!$A:$A)-2,1))))</f>
        <v/>
      </c>
      <c r="N566" s="23"/>
      <c r="O566" s="19" t="str">
        <f t="shared" si="88"/>
        <v/>
      </c>
    </row>
    <row r="567" spans="1:15" x14ac:dyDescent="0.2">
      <c r="A567" s="12" t="str">
        <f t="shared" si="82"/>
        <v/>
      </c>
      <c r="B567" t="str">
        <f t="shared" si="80"/>
        <v/>
      </c>
      <c r="C567" s="21" t="str">
        <f ca="1">IF(A567="","",IF($B$10="Sí",interpolar_alamb(B567,OFFSET(Curvas_cupon_cero!$A$1,1,0,COUNT(Curvas_cupon_cero!$A:$A)-2,1),OFFSET(Curvas_cupon_cero!$A$1,1,MATCH($B$8,Curvas_cupon_cero!$1:$1,0)-1,COUNT(Curvas_cupon_cero!$A:$A)-2,1)),[1]!interpolar(B567,OFFSET(Curvas_cupon_cero!$A$1,1,0,COUNT(Curvas_cupon_cero!$A:$A)-2,1),OFFSET(Curvas_cupon_cero!$A$1,1,MATCH($B$8,Curvas_cupon_cero!$1:$1,0)-1,COUNT(Curvas_cupon_cero!$A:$A)-2,1))))</f>
        <v/>
      </c>
      <c r="D567" s="23" t="str">
        <f ca="1">IF(A567="","",IF($B$10="Sí",interpolar_alamb(L567,OFFSET(Curvas_cupon_cero!$A$1,1,0,COUNT(Curvas_cupon_cero!$A:$A)-2,1),OFFSET(Curvas_cupon_cero!$A$1,1,MATCH($B$8,Curvas_cupon_cero!$1:$1,0)-1,COUNT(Curvas_cupon_cero!$A:$A)-2,1)),[1]!interpolar(L567,OFFSET(Curvas_cupon_cero!$A$1,1,0,COUNT(Curvas_cupon_cero!$A:$A)-2,1),OFFSET(Curvas_cupon_cero!$A$1,1,MATCH($B$8,Curvas_cupon_cero!$1:$1,0)-1,COUNT(Curvas_cupon_cero!$A:$A)-2,1))))</f>
        <v/>
      </c>
      <c r="E567" s="23" t="str">
        <f t="shared" si="83"/>
        <v/>
      </c>
      <c r="F567" s="23" t="str">
        <f ca="1">IF(A567="","",IF($B$10="Sí",interpolar_alamb(B567,OFFSET(Curvas_cupon_cero!$A$1,1,0,COUNT(Curvas_cupon_cero!$A:$A)-2,1),OFFSET(Curvas_cupon_cero!$A$1,1,MATCH($B$9,Curvas_cupon_cero!$1:$1,0)-1,COUNT(Curvas_cupon_cero!$A:$A)-2,1)),[1]!interpolar(B567,OFFSET(Curvas_cupon_cero!$A$1,1,0,COUNT(Curvas_cupon_cero!$A:$A)-2,1),OFFSET(Curvas_cupon_cero!$A$1,1,MATCH($B$9,Curvas_cupon_cero!$1:$1,0)-1,COUNT(Curvas_cupon_cero!$A:$A)-2,1))))</f>
        <v/>
      </c>
      <c r="G567" s="23" t="str">
        <f t="shared" si="84"/>
        <v/>
      </c>
      <c r="H567" s="20" t="str">
        <f t="shared" si="89"/>
        <v/>
      </c>
      <c r="I567" t="str">
        <f t="shared" si="85"/>
        <v/>
      </c>
      <c r="J567" s="17" t="str">
        <f t="shared" si="81"/>
        <v/>
      </c>
      <c r="K567" s="18" t="str">
        <f t="shared" si="86"/>
        <v/>
      </c>
      <c r="L567" t="str">
        <f t="shared" si="87"/>
        <v/>
      </c>
      <c r="M567" s="23" t="str">
        <f ca="1">IF(A567="","",IF($B$10="Sí",interpolar_alamb(L567,OFFSET(Curvas_cupon_cero!$A$1,1,0,COUNT(Curvas_cupon_cero!$A:$A)-2,1),OFFSET(Curvas_cupon_cero!$A$1,1,MATCH($B$6,Curvas_cupon_cero!$1:$1,0)-1,COUNT(Curvas_cupon_cero!$A:$A)-2,1)),[1]!interpolar(L567,OFFSET(Curvas_cupon_cero!$A$1,1,0,COUNT(Curvas_cupon_cero!$A:$A)-2,1),OFFSET(Curvas_cupon_cero!$A$1,1,MATCH($B$6,Curvas_cupon_cero!$1:$1,0)-1,COUNT(Curvas_cupon_cero!$A:$A)-2,1))))</f>
        <v/>
      </c>
      <c r="N567" s="23"/>
      <c r="O567" s="19" t="str">
        <f t="shared" si="88"/>
        <v/>
      </c>
    </row>
    <row r="568" spans="1:15" x14ac:dyDescent="0.2">
      <c r="A568" s="12" t="str">
        <f t="shared" si="82"/>
        <v/>
      </c>
      <c r="B568" t="str">
        <f t="shared" si="80"/>
        <v/>
      </c>
      <c r="C568" s="21" t="str">
        <f ca="1">IF(A568="","",IF($B$10="Sí",interpolar_alamb(B568,OFFSET(Curvas_cupon_cero!$A$1,1,0,COUNT(Curvas_cupon_cero!$A:$A)-2,1),OFFSET(Curvas_cupon_cero!$A$1,1,MATCH($B$8,Curvas_cupon_cero!$1:$1,0)-1,COUNT(Curvas_cupon_cero!$A:$A)-2,1)),[1]!interpolar(B568,OFFSET(Curvas_cupon_cero!$A$1,1,0,COUNT(Curvas_cupon_cero!$A:$A)-2,1),OFFSET(Curvas_cupon_cero!$A$1,1,MATCH($B$8,Curvas_cupon_cero!$1:$1,0)-1,COUNT(Curvas_cupon_cero!$A:$A)-2,1))))</f>
        <v/>
      </c>
      <c r="D568" s="23" t="str">
        <f ca="1">IF(A568="","",IF($B$10="Sí",interpolar_alamb(L568,OFFSET(Curvas_cupon_cero!$A$1,1,0,COUNT(Curvas_cupon_cero!$A:$A)-2,1),OFFSET(Curvas_cupon_cero!$A$1,1,MATCH($B$8,Curvas_cupon_cero!$1:$1,0)-1,COUNT(Curvas_cupon_cero!$A:$A)-2,1)),[1]!interpolar(L568,OFFSET(Curvas_cupon_cero!$A$1,1,0,COUNT(Curvas_cupon_cero!$A:$A)-2,1),OFFSET(Curvas_cupon_cero!$A$1,1,MATCH($B$8,Curvas_cupon_cero!$1:$1,0)-1,COUNT(Curvas_cupon_cero!$A:$A)-2,1))))</f>
        <v/>
      </c>
      <c r="E568" s="23" t="str">
        <f t="shared" si="83"/>
        <v/>
      </c>
      <c r="F568" s="23" t="str">
        <f ca="1">IF(A568="","",IF($B$10="Sí",interpolar_alamb(B568,OFFSET(Curvas_cupon_cero!$A$1,1,0,COUNT(Curvas_cupon_cero!$A:$A)-2,1),OFFSET(Curvas_cupon_cero!$A$1,1,MATCH($B$9,Curvas_cupon_cero!$1:$1,0)-1,COUNT(Curvas_cupon_cero!$A:$A)-2,1)),[1]!interpolar(B568,OFFSET(Curvas_cupon_cero!$A$1,1,0,COUNT(Curvas_cupon_cero!$A:$A)-2,1),OFFSET(Curvas_cupon_cero!$A$1,1,MATCH($B$9,Curvas_cupon_cero!$1:$1,0)-1,COUNT(Curvas_cupon_cero!$A:$A)-2,1))))</f>
        <v/>
      </c>
      <c r="G568" s="23" t="str">
        <f t="shared" si="84"/>
        <v/>
      </c>
      <c r="H568" s="20" t="str">
        <f t="shared" si="89"/>
        <v/>
      </c>
      <c r="I568" t="str">
        <f t="shared" si="85"/>
        <v/>
      </c>
      <c r="J568" s="17" t="str">
        <f t="shared" si="81"/>
        <v/>
      </c>
      <c r="K568" s="18" t="str">
        <f t="shared" si="86"/>
        <v/>
      </c>
      <c r="L568" t="str">
        <f t="shared" si="87"/>
        <v/>
      </c>
      <c r="M568" s="23" t="str">
        <f ca="1">IF(A568="","",IF($B$10="Sí",interpolar_alamb(L568,OFFSET(Curvas_cupon_cero!$A$1,1,0,COUNT(Curvas_cupon_cero!$A:$A)-2,1),OFFSET(Curvas_cupon_cero!$A$1,1,MATCH($B$6,Curvas_cupon_cero!$1:$1,0)-1,COUNT(Curvas_cupon_cero!$A:$A)-2,1)),[1]!interpolar(L568,OFFSET(Curvas_cupon_cero!$A$1,1,0,COUNT(Curvas_cupon_cero!$A:$A)-2,1),OFFSET(Curvas_cupon_cero!$A$1,1,MATCH($B$6,Curvas_cupon_cero!$1:$1,0)-1,COUNT(Curvas_cupon_cero!$A:$A)-2,1))))</f>
        <v/>
      </c>
      <c r="N568" s="23"/>
      <c r="O568" s="19" t="str">
        <f t="shared" si="88"/>
        <v/>
      </c>
    </row>
    <row r="569" spans="1:15" x14ac:dyDescent="0.2">
      <c r="A569" s="12" t="str">
        <f t="shared" si="82"/>
        <v/>
      </c>
      <c r="B569" t="str">
        <f t="shared" si="80"/>
        <v/>
      </c>
      <c r="C569" s="21" t="str">
        <f ca="1">IF(A569="","",IF($B$10="Sí",interpolar_alamb(B569,OFFSET(Curvas_cupon_cero!$A$1,1,0,COUNT(Curvas_cupon_cero!$A:$A)-2,1),OFFSET(Curvas_cupon_cero!$A$1,1,MATCH($B$8,Curvas_cupon_cero!$1:$1,0)-1,COUNT(Curvas_cupon_cero!$A:$A)-2,1)),[1]!interpolar(B569,OFFSET(Curvas_cupon_cero!$A$1,1,0,COUNT(Curvas_cupon_cero!$A:$A)-2,1),OFFSET(Curvas_cupon_cero!$A$1,1,MATCH($B$8,Curvas_cupon_cero!$1:$1,0)-1,COUNT(Curvas_cupon_cero!$A:$A)-2,1))))</f>
        <v/>
      </c>
      <c r="D569" s="23" t="str">
        <f ca="1">IF(A569="","",IF($B$10="Sí",interpolar_alamb(L569,OFFSET(Curvas_cupon_cero!$A$1,1,0,COUNT(Curvas_cupon_cero!$A:$A)-2,1),OFFSET(Curvas_cupon_cero!$A$1,1,MATCH($B$8,Curvas_cupon_cero!$1:$1,0)-1,COUNT(Curvas_cupon_cero!$A:$A)-2,1)),[1]!interpolar(L569,OFFSET(Curvas_cupon_cero!$A$1,1,0,COUNT(Curvas_cupon_cero!$A:$A)-2,1),OFFSET(Curvas_cupon_cero!$A$1,1,MATCH($B$8,Curvas_cupon_cero!$1:$1,0)-1,COUNT(Curvas_cupon_cero!$A:$A)-2,1))))</f>
        <v/>
      </c>
      <c r="E569" s="23" t="str">
        <f t="shared" si="83"/>
        <v/>
      </c>
      <c r="F569" s="23" t="str">
        <f ca="1">IF(A569="","",IF($B$10="Sí",interpolar_alamb(B569,OFFSET(Curvas_cupon_cero!$A$1,1,0,COUNT(Curvas_cupon_cero!$A:$A)-2,1),OFFSET(Curvas_cupon_cero!$A$1,1,MATCH($B$9,Curvas_cupon_cero!$1:$1,0)-1,COUNT(Curvas_cupon_cero!$A:$A)-2,1)),[1]!interpolar(B569,OFFSET(Curvas_cupon_cero!$A$1,1,0,COUNT(Curvas_cupon_cero!$A:$A)-2,1),OFFSET(Curvas_cupon_cero!$A$1,1,MATCH($B$9,Curvas_cupon_cero!$1:$1,0)-1,COUNT(Curvas_cupon_cero!$A:$A)-2,1))))</f>
        <v/>
      </c>
      <c r="G569" s="23" t="str">
        <f t="shared" si="84"/>
        <v/>
      </c>
      <c r="H569" s="20" t="str">
        <f t="shared" si="89"/>
        <v/>
      </c>
      <c r="I569" t="str">
        <f t="shared" si="85"/>
        <v/>
      </c>
      <c r="J569" s="17" t="str">
        <f t="shared" si="81"/>
        <v/>
      </c>
      <c r="K569" s="18" t="str">
        <f t="shared" si="86"/>
        <v/>
      </c>
      <c r="L569" t="str">
        <f t="shared" si="87"/>
        <v/>
      </c>
      <c r="M569" s="23" t="str">
        <f ca="1">IF(A569="","",IF($B$10="Sí",interpolar_alamb(L569,OFFSET(Curvas_cupon_cero!$A$1,1,0,COUNT(Curvas_cupon_cero!$A:$A)-2,1),OFFSET(Curvas_cupon_cero!$A$1,1,MATCH($B$6,Curvas_cupon_cero!$1:$1,0)-1,COUNT(Curvas_cupon_cero!$A:$A)-2,1)),[1]!interpolar(L569,OFFSET(Curvas_cupon_cero!$A$1,1,0,COUNT(Curvas_cupon_cero!$A:$A)-2,1),OFFSET(Curvas_cupon_cero!$A$1,1,MATCH($B$6,Curvas_cupon_cero!$1:$1,0)-1,COUNT(Curvas_cupon_cero!$A:$A)-2,1))))</f>
        <v/>
      </c>
      <c r="N569" s="23"/>
      <c r="O569" s="19" t="str">
        <f t="shared" si="88"/>
        <v/>
      </c>
    </row>
    <row r="570" spans="1:15" x14ac:dyDescent="0.2">
      <c r="A570" s="12" t="str">
        <f t="shared" si="82"/>
        <v/>
      </c>
      <c r="B570" t="str">
        <f t="shared" si="80"/>
        <v/>
      </c>
      <c r="C570" s="21" t="str">
        <f ca="1">IF(A570="","",IF($B$10="Sí",interpolar_alamb(B570,OFFSET(Curvas_cupon_cero!$A$1,1,0,COUNT(Curvas_cupon_cero!$A:$A)-2,1),OFFSET(Curvas_cupon_cero!$A$1,1,MATCH($B$8,Curvas_cupon_cero!$1:$1,0)-1,COUNT(Curvas_cupon_cero!$A:$A)-2,1)),[1]!interpolar(B570,OFFSET(Curvas_cupon_cero!$A$1,1,0,COUNT(Curvas_cupon_cero!$A:$A)-2,1),OFFSET(Curvas_cupon_cero!$A$1,1,MATCH($B$8,Curvas_cupon_cero!$1:$1,0)-1,COUNT(Curvas_cupon_cero!$A:$A)-2,1))))</f>
        <v/>
      </c>
      <c r="D570" s="23" t="str">
        <f ca="1">IF(A570="","",IF($B$10="Sí",interpolar_alamb(L570,OFFSET(Curvas_cupon_cero!$A$1,1,0,COUNT(Curvas_cupon_cero!$A:$A)-2,1),OFFSET(Curvas_cupon_cero!$A$1,1,MATCH($B$8,Curvas_cupon_cero!$1:$1,0)-1,COUNT(Curvas_cupon_cero!$A:$A)-2,1)),[1]!interpolar(L570,OFFSET(Curvas_cupon_cero!$A$1,1,0,COUNT(Curvas_cupon_cero!$A:$A)-2,1),OFFSET(Curvas_cupon_cero!$A$1,1,MATCH($B$8,Curvas_cupon_cero!$1:$1,0)-1,COUNT(Curvas_cupon_cero!$A:$A)-2,1))))</f>
        <v/>
      </c>
      <c r="E570" s="23" t="str">
        <f t="shared" si="83"/>
        <v/>
      </c>
      <c r="F570" s="23" t="str">
        <f ca="1">IF(A570="","",IF($B$10="Sí",interpolar_alamb(B570,OFFSET(Curvas_cupon_cero!$A$1,1,0,COUNT(Curvas_cupon_cero!$A:$A)-2,1),OFFSET(Curvas_cupon_cero!$A$1,1,MATCH($B$9,Curvas_cupon_cero!$1:$1,0)-1,COUNT(Curvas_cupon_cero!$A:$A)-2,1)),[1]!interpolar(B570,OFFSET(Curvas_cupon_cero!$A$1,1,0,COUNT(Curvas_cupon_cero!$A:$A)-2,1),OFFSET(Curvas_cupon_cero!$A$1,1,MATCH($B$9,Curvas_cupon_cero!$1:$1,0)-1,COUNT(Curvas_cupon_cero!$A:$A)-2,1))))</f>
        <v/>
      </c>
      <c r="G570" s="23" t="str">
        <f t="shared" si="84"/>
        <v/>
      </c>
      <c r="H570" s="20" t="str">
        <f t="shared" si="89"/>
        <v/>
      </c>
      <c r="I570" t="str">
        <f t="shared" si="85"/>
        <v/>
      </c>
      <c r="J570" s="17" t="str">
        <f t="shared" si="81"/>
        <v/>
      </c>
      <c r="K570" s="18" t="str">
        <f t="shared" si="86"/>
        <v/>
      </c>
      <c r="L570" t="str">
        <f t="shared" si="87"/>
        <v/>
      </c>
      <c r="M570" s="23" t="str">
        <f ca="1">IF(A570="","",IF($B$10="Sí",interpolar_alamb(L570,OFFSET(Curvas_cupon_cero!$A$1,1,0,COUNT(Curvas_cupon_cero!$A:$A)-2,1),OFFSET(Curvas_cupon_cero!$A$1,1,MATCH($B$6,Curvas_cupon_cero!$1:$1,0)-1,COUNT(Curvas_cupon_cero!$A:$A)-2,1)),[1]!interpolar(L570,OFFSET(Curvas_cupon_cero!$A$1,1,0,COUNT(Curvas_cupon_cero!$A:$A)-2,1),OFFSET(Curvas_cupon_cero!$A$1,1,MATCH($B$6,Curvas_cupon_cero!$1:$1,0)-1,COUNT(Curvas_cupon_cero!$A:$A)-2,1))))</f>
        <v/>
      </c>
      <c r="N570" s="23"/>
      <c r="O570" s="19" t="str">
        <f t="shared" si="88"/>
        <v/>
      </c>
    </row>
    <row r="571" spans="1:15" x14ac:dyDescent="0.2">
      <c r="A571" s="12" t="str">
        <f t="shared" si="82"/>
        <v/>
      </c>
      <c r="B571" t="str">
        <f t="shared" si="80"/>
        <v/>
      </c>
      <c r="C571" s="21" t="str">
        <f ca="1">IF(A571="","",IF($B$10="Sí",interpolar_alamb(B571,OFFSET(Curvas_cupon_cero!$A$1,1,0,COUNT(Curvas_cupon_cero!$A:$A)-2,1),OFFSET(Curvas_cupon_cero!$A$1,1,MATCH($B$8,Curvas_cupon_cero!$1:$1,0)-1,COUNT(Curvas_cupon_cero!$A:$A)-2,1)),[1]!interpolar(B571,OFFSET(Curvas_cupon_cero!$A$1,1,0,COUNT(Curvas_cupon_cero!$A:$A)-2,1),OFFSET(Curvas_cupon_cero!$A$1,1,MATCH($B$8,Curvas_cupon_cero!$1:$1,0)-1,COUNT(Curvas_cupon_cero!$A:$A)-2,1))))</f>
        <v/>
      </c>
      <c r="D571" s="23" t="str">
        <f ca="1">IF(A571="","",IF($B$10="Sí",interpolar_alamb(L571,OFFSET(Curvas_cupon_cero!$A$1,1,0,COUNT(Curvas_cupon_cero!$A:$A)-2,1),OFFSET(Curvas_cupon_cero!$A$1,1,MATCH($B$8,Curvas_cupon_cero!$1:$1,0)-1,COUNT(Curvas_cupon_cero!$A:$A)-2,1)),[1]!interpolar(L571,OFFSET(Curvas_cupon_cero!$A$1,1,0,COUNT(Curvas_cupon_cero!$A:$A)-2,1),OFFSET(Curvas_cupon_cero!$A$1,1,MATCH($B$8,Curvas_cupon_cero!$1:$1,0)-1,COUNT(Curvas_cupon_cero!$A:$A)-2,1))))</f>
        <v/>
      </c>
      <c r="E571" s="23" t="str">
        <f t="shared" si="83"/>
        <v/>
      </c>
      <c r="F571" s="23" t="str">
        <f ca="1">IF(A571="","",IF($B$10="Sí",interpolar_alamb(B571,OFFSET(Curvas_cupon_cero!$A$1,1,0,COUNT(Curvas_cupon_cero!$A:$A)-2,1),OFFSET(Curvas_cupon_cero!$A$1,1,MATCH($B$9,Curvas_cupon_cero!$1:$1,0)-1,COUNT(Curvas_cupon_cero!$A:$A)-2,1)),[1]!interpolar(B571,OFFSET(Curvas_cupon_cero!$A$1,1,0,COUNT(Curvas_cupon_cero!$A:$A)-2,1),OFFSET(Curvas_cupon_cero!$A$1,1,MATCH($B$9,Curvas_cupon_cero!$1:$1,0)-1,COUNT(Curvas_cupon_cero!$A:$A)-2,1))))</f>
        <v/>
      </c>
      <c r="G571" s="23" t="str">
        <f t="shared" si="84"/>
        <v/>
      </c>
      <c r="H571" s="20" t="str">
        <f t="shared" si="89"/>
        <v/>
      </c>
      <c r="I571" t="str">
        <f t="shared" si="85"/>
        <v/>
      </c>
      <c r="J571" s="17" t="str">
        <f t="shared" si="81"/>
        <v/>
      </c>
      <c r="K571" s="18" t="str">
        <f t="shared" si="86"/>
        <v/>
      </c>
      <c r="L571" t="str">
        <f t="shared" si="87"/>
        <v/>
      </c>
      <c r="M571" s="23" t="str">
        <f ca="1">IF(A571="","",IF($B$10="Sí",interpolar_alamb(L571,OFFSET(Curvas_cupon_cero!$A$1,1,0,COUNT(Curvas_cupon_cero!$A:$A)-2,1),OFFSET(Curvas_cupon_cero!$A$1,1,MATCH($B$6,Curvas_cupon_cero!$1:$1,0)-1,COUNT(Curvas_cupon_cero!$A:$A)-2,1)),[1]!interpolar(L571,OFFSET(Curvas_cupon_cero!$A$1,1,0,COUNT(Curvas_cupon_cero!$A:$A)-2,1),OFFSET(Curvas_cupon_cero!$A$1,1,MATCH($B$6,Curvas_cupon_cero!$1:$1,0)-1,COUNT(Curvas_cupon_cero!$A:$A)-2,1))))</f>
        <v/>
      </c>
      <c r="N571" s="23"/>
      <c r="O571" s="19" t="str">
        <f t="shared" si="88"/>
        <v/>
      </c>
    </row>
    <row r="572" spans="1:15" x14ac:dyDescent="0.2">
      <c r="A572" s="12" t="str">
        <f t="shared" si="82"/>
        <v/>
      </c>
      <c r="B572" t="str">
        <f t="shared" si="80"/>
        <v/>
      </c>
      <c r="C572" s="21" t="str">
        <f ca="1">IF(A572="","",IF($B$10="Sí",interpolar_alamb(B572,OFFSET(Curvas_cupon_cero!$A$1,1,0,COUNT(Curvas_cupon_cero!$A:$A)-2,1),OFFSET(Curvas_cupon_cero!$A$1,1,MATCH($B$8,Curvas_cupon_cero!$1:$1,0)-1,COUNT(Curvas_cupon_cero!$A:$A)-2,1)),[1]!interpolar(B572,OFFSET(Curvas_cupon_cero!$A$1,1,0,COUNT(Curvas_cupon_cero!$A:$A)-2,1),OFFSET(Curvas_cupon_cero!$A$1,1,MATCH($B$8,Curvas_cupon_cero!$1:$1,0)-1,COUNT(Curvas_cupon_cero!$A:$A)-2,1))))</f>
        <v/>
      </c>
      <c r="D572" s="23" t="str">
        <f ca="1">IF(A572="","",IF($B$10="Sí",interpolar_alamb(L572,OFFSET(Curvas_cupon_cero!$A$1,1,0,COUNT(Curvas_cupon_cero!$A:$A)-2,1),OFFSET(Curvas_cupon_cero!$A$1,1,MATCH($B$8,Curvas_cupon_cero!$1:$1,0)-1,COUNT(Curvas_cupon_cero!$A:$A)-2,1)),[1]!interpolar(L572,OFFSET(Curvas_cupon_cero!$A$1,1,0,COUNT(Curvas_cupon_cero!$A:$A)-2,1),OFFSET(Curvas_cupon_cero!$A$1,1,MATCH($B$8,Curvas_cupon_cero!$1:$1,0)-1,COUNT(Curvas_cupon_cero!$A:$A)-2,1))))</f>
        <v/>
      </c>
      <c r="E572" s="23" t="str">
        <f t="shared" si="83"/>
        <v/>
      </c>
      <c r="F572" s="23" t="str">
        <f ca="1">IF(A572="","",IF($B$10="Sí",interpolar_alamb(B572,OFFSET(Curvas_cupon_cero!$A$1,1,0,COUNT(Curvas_cupon_cero!$A:$A)-2,1),OFFSET(Curvas_cupon_cero!$A$1,1,MATCH($B$9,Curvas_cupon_cero!$1:$1,0)-1,COUNT(Curvas_cupon_cero!$A:$A)-2,1)),[1]!interpolar(B572,OFFSET(Curvas_cupon_cero!$A$1,1,0,COUNT(Curvas_cupon_cero!$A:$A)-2,1),OFFSET(Curvas_cupon_cero!$A$1,1,MATCH($B$9,Curvas_cupon_cero!$1:$1,0)-1,COUNT(Curvas_cupon_cero!$A:$A)-2,1))))</f>
        <v/>
      </c>
      <c r="G572" s="23" t="str">
        <f t="shared" si="84"/>
        <v/>
      </c>
      <c r="H572" s="20" t="str">
        <f t="shared" si="89"/>
        <v/>
      </c>
      <c r="I572" t="str">
        <f t="shared" si="85"/>
        <v/>
      </c>
      <c r="J572" s="17" t="str">
        <f t="shared" si="81"/>
        <v/>
      </c>
      <c r="K572" s="18" t="str">
        <f t="shared" si="86"/>
        <v/>
      </c>
      <c r="L572" t="str">
        <f t="shared" si="87"/>
        <v/>
      </c>
      <c r="M572" s="23" t="str">
        <f ca="1">IF(A572="","",IF($B$10="Sí",interpolar_alamb(L572,OFFSET(Curvas_cupon_cero!$A$1,1,0,COUNT(Curvas_cupon_cero!$A:$A)-2,1),OFFSET(Curvas_cupon_cero!$A$1,1,MATCH($B$6,Curvas_cupon_cero!$1:$1,0)-1,COUNT(Curvas_cupon_cero!$A:$A)-2,1)),[1]!interpolar(L572,OFFSET(Curvas_cupon_cero!$A$1,1,0,COUNT(Curvas_cupon_cero!$A:$A)-2,1),OFFSET(Curvas_cupon_cero!$A$1,1,MATCH($B$6,Curvas_cupon_cero!$1:$1,0)-1,COUNT(Curvas_cupon_cero!$A:$A)-2,1))))</f>
        <v/>
      </c>
      <c r="N572" s="23"/>
      <c r="O572" s="19" t="str">
        <f t="shared" si="88"/>
        <v/>
      </c>
    </row>
    <row r="573" spans="1:15" x14ac:dyDescent="0.2">
      <c r="A573" s="12" t="str">
        <f t="shared" si="82"/>
        <v/>
      </c>
      <c r="B573" t="str">
        <f t="shared" si="80"/>
        <v/>
      </c>
      <c r="C573" s="21" t="str">
        <f ca="1">IF(A573="","",IF($B$10="Sí",interpolar_alamb(B573,OFFSET(Curvas_cupon_cero!$A$1,1,0,COUNT(Curvas_cupon_cero!$A:$A)-2,1),OFFSET(Curvas_cupon_cero!$A$1,1,MATCH($B$8,Curvas_cupon_cero!$1:$1,0)-1,COUNT(Curvas_cupon_cero!$A:$A)-2,1)),[1]!interpolar(B573,OFFSET(Curvas_cupon_cero!$A$1,1,0,COUNT(Curvas_cupon_cero!$A:$A)-2,1),OFFSET(Curvas_cupon_cero!$A$1,1,MATCH($B$8,Curvas_cupon_cero!$1:$1,0)-1,COUNT(Curvas_cupon_cero!$A:$A)-2,1))))</f>
        <v/>
      </c>
      <c r="D573" s="23" t="str">
        <f ca="1">IF(A573="","",IF($B$10="Sí",interpolar_alamb(L573,OFFSET(Curvas_cupon_cero!$A$1,1,0,COUNT(Curvas_cupon_cero!$A:$A)-2,1),OFFSET(Curvas_cupon_cero!$A$1,1,MATCH($B$8,Curvas_cupon_cero!$1:$1,0)-1,COUNT(Curvas_cupon_cero!$A:$A)-2,1)),[1]!interpolar(L573,OFFSET(Curvas_cupon_cero!$A$1,1,0,COUNT(Curvas_cupon_cero!$A:$A)-2,1),OFFSET(Curvas_cupon_cero!$A$1,1,MATCH($B$8,Curvas_cupon_cero!$1:$1,0)-1,COUNT(Curvas_cupon_cero!$A:$A)-2,1))))</f>
        <v/>
      </c>
      <c r="E573" s="23" t="str">
        <f t="shared" si="83"/>
        <v/>
      </c>
      <c r="F573" s="23" t="str">
        <f ca="1">IF(A573="","",IF($B$10="Sí",interpolar_alamb(B573,OFFSET(Curvas_cupon_cero!$A$1,1,0,COUNT(Curvas_cupon_cero!$A:$A)-2,1),OFFSET(Curvas_cupon_cero!$A$1,1,MATCH($B$9,Curvas_cupon_cero!$1:$1,0)-1,COUNT(Curvas_cupon_cero!$A:$A)-2,1)),[1]!interpolar(B573,OFFSET(Curvas_cupon_cero!$A$1,1,0,COUNT(Curvas_cupon_cero!$A:$A)-2,1),OFFSET(Curvas_cupon_cero!$A$1,1,MATCH($B$9,Curvas_cupon_cero!$1:$1,0)-1,COUNT(Curvas_cupon_cero!$A:$A)-2,1))))</f>
        <v/>
      </c>
      <c r="G573" s="23" t="str">
        <f t="shared" si="84"/>
        <v/>
      </c>
      <c r="H573" s="20" t="str">
        <f t="shared" si="89"/>
        <v/>
      </c>
      <c r="I573" t="str">
        <f t="shared" si="85"/>
        <v/>
      </c>
      <c r="J573" s="17" t="str">
        <f t="shared" si="81"/>
        <v/>
      </c>
      <c r="K573" s="18" t="str">
        <f t="shared" si="86"/>
        <v/>
      </c>
      <c r="L573" t="str">
        <f t="shared" si="87"/>
        <v/>
      </c>
      <c r="M573" s="23" t="str">
        <f ca="1">IF(A573="","",IF($B$10="Sí",interpolar_alamb(L573,OFFSET(Curvas_cupon_cero!$A$1,1,0,COUNT(Curvas_cupon_cero!$A:$A)-2,1),OFFSET(Curvas_cupon_cero!$A$1,1,MATCH($B$6,Curvas_cupon_cero!$1:$1,0)-1,COUNT(Curvas_cupon_cero!$A:$A)-2,1)),[1]!interpolar(L573,OFFSET(Curvas_cupon_cero!$A$1,1,0,COUNT(Curvas_cupon_cero!$A:$A)-2,1),OFFSET(Curvas_cupon_cero!$A$1,1,MATCH($B$6,Curvas_cupon_cero!$1:$1,0)-1,COUNT(Curvas_cupon_cero!$A:$A)-2,1))))</f>
        <v/>
      </c>
      <c r="N573" s="23"/>
      <c r="O573" s="19" t="str">
        <f t="shared" si="88"/>
        <v/>
      </c>
    </row>
    <row r="574" spans="1:15" x14ac:dyDescent="0.2">
      <c r="A574" s="12" t="str">
        <f t="shared" si="82"/>
        <v/>
      </c>
      <c r="B574" t="str">
        <f t="shared" si="80"/>
        <v/>
      </c>
      <c r="C574" s="21" t="str">
        <f ca="1">IF(A574="","",IF($B$10="Sí",interpolar_alamb(B574,OFFSET(Curvas_cupon_cero!$A$1,1,0,COUNT(Curvas_cupon_cero!$A:$A)-2,1),OFFSET(Curvas_cupon_cero!$A$1,1,MATCH($B$8,Curvas_cupon_cero!$1:$1,0)-1,COUNT(Curvas_cupon_cero!$A:$A)-2,1)),[1]!interpolar(B574,OFFSET(Curvas_cupon_cero!$A$1,1,0,COUNT(Curvas_cupon_cero!$A:$A)-2,1),OFFSET(Curvas_cupon_cero!$A$1,1,MATCH($B$8,Curvas_cupon_cero!$1:$1,0)-1,COUNT(Curvas_cupon_cero!$A:$A)-2,1))))</f>
        <v/>
      </c>
      <c r="D574" s="23" t="str">
        <f ca="1">IF(A574="","",IF($B$10="Sí",interpolar_alamb(L574,OFFSET(Curvas_cupon_cero!$A$1,1,0,COUNT(Curvas_cupon_cero!$A:$A)-2,1),OFFSET(Curvas_cupon_cero!$A$1,1,MATCH($B$8,Curvas_cupon_cero!$1:$1,0)-1,COUNT(Curvas_cupon_cero!$A:$A)-2,1)),[1]!interpolar(L574,OFFSET(Curvas_cupon_cero!$A$1,1,0,COUNT(Curvas_cupon_cero!$A:$A)-2,1),OFFSET(Curvas_cupon_cero!$A$1,1,MATCH($B$8,Curvas_cupon_cero!$1:$1,0)-1,COUNT(Curvas_cupon_cero!$A:$A)-2,1))))</f>
        <v/>
      </c>
      <c r="E574" s="23" t="str">
        <f t="shared" si="83"/>
        <v/>
      </c>
      <c r="F574" s="23" t="str">
        <f ca="1">IF(A574="","",IF($B$10="Sí",interpolar_alamb(B574,OFFSET(Curvas_cupon_cero!$A$1,1,0,COUNT(Curvas_cupon_cero!$A:$A)-2,1),OFFSET(Curvas_cupon_cero!$A$1,1,MATCH($B$9,Curvas_cupon_cero!$1:$1,0)-1,COUNT(Curvas_cupon_cero!$A:$A)-2,1)),[1]!interpolar(B574,OFFSET(Curvas_cupon_cero!$A$1,1,0,COUNT(Curvas_cupon_cero!$A:$A)-2,1),OFFSET(Curvas_cupon_cero!$A$1,1,MATCH($B$9,Curvas_cupon_cero!$1:$1,0)-1,COUNT(Curvas_cupon_cero!$A:$A)-2,1))))</f>
        <v/>
      </c>
      <c r="G574" s="23" t="str">
        <f t="shared" si="84"/>
        <v/>
      </c>
      <c r="H574" s="20" t="str">
        <f t="shared" si="89"/>
        <v/>
      </c>
      <c r="I574" t="str">
        <f t="shared" si="85"/>
        <v/>
      </c>
      <c r="J574" s="17" t="str">
        <f t="shared" si="81"/>
        <v/>
      </c>
      <c r="K574" s="18" t="str">
        <f t="shared" si="86"/>
        <v/>
      </c>
      <c r="L574" t="str">
        <f t="shared" si="87"/>
        <v/>
      </c>
      <c r="M574" s="23" t="str">
        <f ca="1">IF(A574="","",IF($B$10="Sí",interpolar_alamb(L574,OFFSET(Curvas_cupon_cero!$A$1,1,0,COUNT(Curvas_cupon_cero!$A:$A)-2,1),OFFSET(Curvas_cupon_cero!$A$1,1,MATCH($B$6,Curvas_cupon_cero!$1:$1,0)-1,COUNT(Curvas_cupon_cero!$A:$A)-2,1)),[1]!interpolar(L574,OFFSET(Curvas_cupon_cero!$A$1,1,0,COUNT(Curvas_cupon_cero!$A:$A)-2,1),OFFSET(Curvas_cupon_cero!$A$1,1,MATCH($B$6,Curvas_cupon_cero!$1:$1,0)-1,COUNT(Curvas_cupon_cero!$A:$A)-2,1))))</f>
        <v/>
      </c>
      <c r="N574" s="23"/>
      <c r="O574" s="19" t="str">
        <f t="shared" si="88"/>
        <v/>
      </c>
    </row>
    <row r="575" spans="1:15" x14ac:dyDescent="0.2">
      <c r="A575" s="12" t="str">
        <f t="shared" si="82"/>
        <v/>
      </c>
      <c r="B575" t="str">
        <f t="shared" si="80"/>
        <v/>
      </c>
      <c r="C575" s="21" t="str">
        <f ca="1">IF(A575="","",IF($B$10="Sí",interpolar_alamb(B575,OFFSET(Curvas_cupon_cero!$A$1,1,0,COUNT(Curvas_cupon_cero!$A:$A)-2,1),OFFSET(Curvas_cupon_cero!$A$1,1,MATCH($B$8,Curvas_cupon_cero!$1:$1,0)-1,COUNT(Curvas_cupon_cero!$A:$A)-2,1)),[1]!interpolar(B575,OFFSET(Curvas_cupon_cero!$A$1,1,0,COUNT(Curvas_cupon_cero!$A:$A)-2,1),OFFSET(Curvas_cupon_cero!$A$1,1,MATCH($B$8,Curvas_cupon_cero!$1:$1,0)-1,COUNT(Curvas_cupon_cero!$A:$A)-2,1))))</f>
        <v/>
      </c>
      <c r="D575" s="23" t="str">
        <f ca="1">IF(A575="","",IF($B$10="Sí",interpolar_alamb(L575,OFFSET(Curvas_cupon_cero!$A$1,1,0,COUNT(Curvas_cupon_cero!$A:$A)-2,1),OFFSET(Curvas_cupon_cero!$A$1,1,MATCH($B$8,Curvas_cupon_cero!$1:$1,0)-1,COUNT(Curvas_cupon_cero!$A:$A)-2,1)),[1]!interpolar(L575,OFFSET(Curvas_cupon_cero!$A$1,1,0,COUNT(Curvas_cupon_cero!$A:$A)-2,1),OFFSET(Curvas_cupon_cero!$A$1,1,MATCH($B$8,Curvas_cupon_cero!$1:$1,0)-1,COUNT(Curvas_cupon_cero!$A:$A)-2,1))))</f>
        <v/>
      </c>
      <c r="E575" s="23" t="str">
        <f t="shared" si="83"/>
        <v/>
      </c>
      <c r="F575" s="23" t="str">
        <f ca="1">IF(A575="","",IF($B$10="Sí",interpolar_alamb(B575,OFFSET(Curvas_cupon_cero!$A$1,1,0,COUNT(Curvas_cupon_cero!$A:$A)-2,1),OFFSET(Curvas_cupon_cero!$A$1,1,MATCH($B$9,Curvas_cupon_cero!$1:$1,0)-1,COUNT(Curvas_cupon_cero!$A:$A)-2,1)),[1]!interpolar(B575,OFFSET(Curvas_cupon_cero!$A$1,1,0,COUNT(Curvas_cupon_cero!$A:$A)-2,1),OFFSET(Curvas_cupon_cero!$A$1,1,MATCH($B$9,Curvas_cupon_cero!$1:$1,0)-1,COUNT(Curvas_cupon_cero!$A:$A)-2,1))))</f>
        <v/>
      </c>
      <c r="G575" s="23" t="str">
        <f t="shared" si="84"/>
        <v/>
      </c>
      <c r="H575" s="20" t="str">
        <f t="shared" si="89"/>
        <v/>
      </c>
      <c r="I575" t="str">
        <f t="shared" si="85"/>
        <v/>
      </c>
      <c r="J575" s="17" t="str">
        <f t="shared" si="81"/>
        <v/>
      </c>
      <c r="K575" s="18" t="str">
        <f t="shared" si="86"/>
        <v/>
      </c>
      <c r="L575" t="str">
        <f t="shared" si="87"/>
        <v/>
      </c>
      <c r="M575" s="23" t="str">
        <f ca="1">IF(A575="","",IF($B$10="Sí",interpolar_alamb(L575,OFFSET(Curvas_cupon_cero!$A$1,1,0,COUNT(Curvas_cupon_cero!$A:$A)-2,1),OFFSET(Curvas_cupon_cero!$A$1,1,MATCH($B$6,Curvas_cupon_cero!$1:$1,0)-1,COUNT(Curvas_cupon_cero!$A:$A)-2,1)),[1]!interpolar(L575,OFFSET(Curvas_cupon_cero!$A$1,1,0,COUNT(Curvas_cupon_cero!$A:$A)-2,1),OFFSET(Curvas_cupon_cero!$A$1,1,MATCH($B$6,Curvas_cupon_cero!$1:$1,0)-1,COUNT(Curvas_cupon_cero!$A:$A)-2,1))))</f>
        <v/>
      </c>
      <c r="N575" s="23"/>
      <c r="O575" s="19" t="str">
        <f t="shared" si="88"/>
        <v/>
      </c>
    </row>
    <row r="576" spans="1:15" x14ac:dyDescent="0.2">
      <c r="A576" s="12" t="str">
        <f t="shared" si="82"/>
        <v/>
      </c>
      <c r="B576" t="str">
        <f t="shared" si="80"/>
        <v/>
      </c>
      <c r="C576" s="21" t="str">
        <f ca="1">IF(A576="","",IF($B$10="Sí",interpolar_alamb(B576,OFFSET(Curvas_cupon_cero!$A$1,1,0,COUNT(Curvas_cupon_cero!$A:$A)-2,1),OFFSET(Curvas_cupon_cero!$A$1,1,MATCH($B$8,Curvas_cupon_cero!$1:$1,0)-1,COUNT(Curvas_cupon_cero!$A:$A)-2,1)),[1]!interpolar(B576,OFFSET(Curvas_cupon_cero!$A$1,1,0,COUNT(Curvas_cupon_cero!$A:$A)-2,1),OFFSET(Curvas_cupon_cero!$A$1,1,MATCH($B$8,Curvas_cupon_cero!$1:$1,0)-1,COUNT(Curvas_cupon_cero!$A:$A)-2,1))))</f>
        <v/>
      </c>
      <c r="D576" s="23" t="str">
        <f ca="1">IF(A576="","",IF($B$10="Sí",interpolar_alamb(L576,OFFSET(Curvas_cupon_cero!$A$1,1,0,COUNT(Curvas_cupon_cero!$A:$A)-2,1),OFFSET(Curvas_cupon_cero!$A$1,1,MATCH($B$8,Curvas_cupon_cero!$1:$1,0)-1,COUNT(Curvas_cupon_cero!$A:$A)-2,1)),[1]!interpolar(L576,OFFSET(Curvas_cupon_cero!$A$1,1,0,COUNT(Curvas_cupon_cero!$A:$A)-2,1),OFFSET(Curvas_cupon_cero!$A$1,1,MATCH($B$8,Curvas_cupon_cero!$1:$1,0)-1,COUNT(Curvas_cupon_cero!$A:$A)-2,1))))</f>
        <v/>
      </c>
      <c r="E576" s="23" t="str">
        <f t="shared" si="83"/>
        <v/>
      </c>
      <c r="F576" s="23" t="str">
        <f ca="1">IF(A576="","",IF($B$10="Sí",interpolar_alamb(B576,OFFSET(Curvas_cupon_cero!$A$1,1,0,COUNT(Curvas_cupon_cero!$A:$A)-2,1),OFFSET(Curvas_cupon_cero!$A$1,1,MATCH($B$9,Curvas_cupon_cero!$1:$1,0)-1,COUNT(Curvas_cupon_cero!$A:$A)-2,1)),[1]!interpolar(B576,OFFSET(Curvas_cupon_cero!$A$1,1,0,COUNT(Curvas_cupon_cero!$A:$A)-2,1),OFFSET(Curvas_cupon_cero!$A$1,1,MATCH($B$9,Curvas_cupon_cero!$1:$1,0)-1,COUNT(Curvas_cupon_cero!$A:$A)-2,1))))</f>
        <v/>
      </c>
      <c r="G576" s="23" t="str">
        <f t="shared" si="84"/>
        <v/>
      </c>
      <c r="H576" s="20" t="str">
        <f t="shared" si="89"/>
        <v/>
      </c>
      <c r="I576" t="str">
        <f t="shared" si="85"/>
        <v/>
      </c>
      <c r="J576" s="17" t="str">
        <f t="shared" si="81"/>
        <v/>
      </c>
      <c r="K576" s="18" t="str">
        <f t="shared" si="86"/>
        <v/>
      </c>
      <c r="L576" t="str">
        <f t="shared" si="87"/>
        <v/>
      </c>
      <c r="M576" s="23" t="str">
        <f ca="1">IF(A576="","",IF($B$10="Sí",interpolar_alamb(L576,OFFSET(Curvas_cupon_cero!$A$1,1,0,COUNT(Curvas_cupon_cero!$A:$A)-2,1),OFFSET(Curvas_cupon_cero!$A$1,1,MATCH($B$6,Curvas_cupon_cero!$1:$1,0)-1,COUNT(Curvas_cupon_cero!$A:$A)-2,1)),[1]!interpolar(L576,OFFSET(Curvas_cupon_cero!$A$1,1,0,COUNT(Curvas_cupon_cero!$A:$A)-2,1),OFFSET(Curvas_cupon_cero!$A$1,1,MATCH($B$6,Curvas_cupon_cero!$1:$1,0)-1,COUNT(Curvas_cupon_cero!$A:$A)-2,1))))</f>
        <v/>
      </c>
      <c r="N576" s="23"/>
      <c r="O576" s="19" t="str">
        <f t="shared" si="88"/>
        <v/>
      </c>
    </row>
    <row r="577" spans="1:15" x14ac:dyDescent="0.2">
      <c r="A577" s="12" t="str">
        <f t="shared" si="82"/>
        <v/>
      </c>
      <c r="B577" t="str">
        <f t="shared" si="80"/>
        <v/>
      </c>
      <c r="C577" s="21" t="str">
        <f ca="1">IF(A577="","",IF($B$10="Sí",interpolar_alamb(B577,OFFSET(Curvas_cupon_cero!$A$1,1,0,COUNT(Curvas_cupon_cero!$A:$A)-2,1),OFFSET(Curvas_cupon_cero!$A$1,1,MATCH($B$8,Curvas_cupon_cero!$1:$1,0)-1,COUNT(Curvas_cupon_cero!$A:$A)-2,1)),[1]!interpolar(B577,OFFSET(Curvas_cupon_cero!$A$1,1,0,COUNT(Curvas_cupon_cero!$A:$A)-2,1),OFFSET(Curvas_cupon_cero!$A$1,1,MATCH($B$8,Curvas_cupon_cero!$1:$1,0)-1,COUNT(Curvas_cupon_cero!$A:$A)-2,1))))</f>
        <v/>
      </c>
      <c r="D577" s="23" t="str">
        <f ca="1">IF(A577="","",IF($B$10="Sí",interpolar_alamb(L577,OFFSET(Curvas_cupon_cero!$A$1,1,0,COUNT(Curvas_cupon_cero!$A:$A)-2,1),OFFSET(Curvas_cupon_cero!$A$1,1,MATCH($B$8,Curvas_cupon_cero!$1:$1,0)-1,COUNT(Curvas_cupon_cero!$A:$A)-2,1)),[1]!interpolar(L577,OFFSET(Curvas_cupon_cero!$A$1,1,0,COUNT(Curvas_cupon_cero!$A:$A)-2,1),OFFSET(Curvas_cupon_cero!$A$1,1,MATCH($B$8,Curvas_cupon_cero!$1:$1,0)-1,COUNT(Curvas_cupon_cero!$A:$A)-2,1))))</f>
        <v/>
      </c>
      <c r="E577" s="23" t="str">
        <f t="shared" si="83"/>
        <v/>
      </c>
      <c r="F577" s="23" t="str">
        <f ca="1">IF(A577="","",IF($B$10="Sí",interpolar_alamb(B577,OFFSET(Curvas_cupon_cero!$A$1,1,0,COUNT(Curvas_cupon_cero!$A:$A)-2,1),OFFSET(Curvas_cupon_cero!$A$1,1,MATCH($B$9,Curvas_cupon_cero!$1:$1,0)-1,COUNT(Curvas_cupon_cero!$A:$A)-2,1)),[1]!interpolar(B577,OFFSET(Curvas_cupon_cero!$A$1,1,0,COUNT(Curvas_cupon_cero!$A:$A)-2,1),OFFSET(Curvas_cupon_cero!$A$1,1,MATCH($B$9,Curvas_cupon_cero!$1:$1,0)-1,COUNT(Curvas_cupon_cero!$A:$A)-2,1))))</f>
        <v/>
      </c>
      <c r="G577" s="23" t="str">
        <f t="shared" si="84"/>
        <v/>
      </c>
      <c r="H577" s="20" t="str">
        <f t="shared" si="89"/>
        <v/>
      </c>
      <c r="I577" t="str">
        <f t="shared" si="85"/>
        <v/>
      </c>
      <c r="J577" s="17" t="str">
        <f t="shared" si="81"/>
        <v/>
      </c>
      <c r="K577" s="18" t="str">
        <f t="shared" si="86"/>
        <v/>
      </c>
      <c r="L577" t="str">
        <f t="shared" si="87"/>
        <v/>
      </c>
      <c r="M577" s="23" t="str">
        <f ca="1">IF(A577="","",IF($B$10="Sí",interpolar_alamb(L577,OFFSET(Curvas_cupon_cero!$A$1,1,0,COUNT(Curvas_cupon_cero!$A:$A)-2,1),OFFSET(Curvas_cupon_cero!$A$1,1,MATCH($B$6,Curvas_cupon_cero!$1:$1,0)-1,COUNT(Curvas_cupon_cero!$A:$A)-2,1)),[1]!interpolar(L577,OFFSET(Curvas_cupon_cero!$A$1,1,0,COUNT(Curvas_cupon_cero!$A:$A)-2,1),OFFSET(Curvas_cupon_cero!$A$1,1,MATCH($B$6,Curvas_cupon_cero!$1:$1,0)-1,COUNT(Curvas_cupon_cero!$A:$A)-2,1))))</f>
        <v/>
      </c>
      <c r="N577" s="23"/>
      <c r="O577" s="19" t="str">
        <f t="shared" si="88"/>
        <v/>
      </c>
    </row>
    <row r="578" spans="1:15" x14ac:dyDescent="0.2">
      <c r="A578" s="12" t="str">
        <f t="shared" si="82"/>
        <v/>
      </c>
      <c r="B578" t="str">
        <f t="shared" si="80"/>
        <v/>
      </c>
      <c r="C578" s="21" t="str">
        <f ca="1">IF(A578="","",IF($B$10="Sí",interpolar_alamb(B578,OFFSET(Curvas_cupon_cero!$A$1,1,0,COUNT(Curvas_cupon_cero!$A:$A)-2,1),OFFSET(Curvas_cupon_cero!$A$1,1,MATCH($B$8,Curvas_cupon_cero!$1:$1,0)-1,COUNT(Curvas_cupon_cero!$A:$A)-2,1)),[1]!interpolar(B578,OFFSET(Curvas_cupon_cero!$A$1,1,0,COUNT(Curvas_cupon_cero!$A:$A)-2,1),OFFSET(Curvas_cupon_cero!$A$1,1,MATCH($B$8,Curvas_cupon_cero!$1:$1,0)-1,COUNT(Curvas_cupon_cero!$A:$A)-2,1))))</f>
        <v/>
      </c>
      <c r="D578" s="23" t="str">
        <f ca="1">IF(A578="","",IF($B$10="Sí",interpolar_alamb(L578,OFFSET(Curvas_cupon_cero!$A$1,1,0,COUNT(Curvas_cupon_cero!$A:$A)-2,1),OFFSET(Curvas_cupon_cero!$A$1,1,MATCH($B$8,Curvas_cupon_cero!$1:$1,0)-1,COUNT(Curvas_cupon_cero!$A:$A)-2,1)),[1]!interpolar(L578,OFFSET(Curvas_cupon_cero!$A$1,1,0,COUNT(Curvas_cupon_cero!$A:$A)-2,1),OFFSET(Curvas_cupon_cero!$A$1,1,MATCH($B$8,Curvas_cupon_cero!$1:$1,0)-1,COUNT(Curvas_cupon_cero!$A:$A)-2,1))))</f>
        <v/>
      </c>
      <c r="E578" s="23" t="str">
        <f t="shared" si="83"/>
        <v/>
      </c>
      <c r="F578" s="23" t="str">
        <f ca="1">IF(A578="","",IF($B$10="Sí",interpolar_alamb(B578,OFFSET(Curvas_cupon_cero!$A$1,1,0,COUNT(Curvas_cupon_cero!$A:$A)-2,1),OFFSET(Curvas_cupon_cero!$A$1,1,MATCH($B$9,Curvas_cupon_cero!$1:$1,0)-1,COUNT(Curvas_cupon_cero!$A:$A)-2,1)),[1]!interpolar(B578,OFFSET(Curvas_cupon_cero!$A$1,1,0,COUNT(Curvas_cupon_cero!$A:$A)-2,1),OFFSET(Curvas_cupon_cero!$A$1,1,MATCH($B$9,Curvas_cupon_cero!$1:$1,0)-1,COUNT(Curvas_cupon_cero!$A:$A)-2,1))))</f>
        <v/>
      </c>
      <c r="G578" s="23" t="str">
        <f t="shared" si="84"/>
        <v/>
      </c>
      <c r="H578" s="20" t="str">
        <f t="shared" si="89"/>
        <v/>
      </c>
      <c r="I578" t="str">
        <f t="shared" si="85"/>
        <v/>
      </c>
      <c r="J578" s="17" t="str">
        <f t="shared" si="81"/>
        <v/>
      </c>
      <c r="K578" s="18" t="str">
        <f t="shared" si="86"/>
        <v/>
      </c>
      <c r="L578" t="str">
        <f t="shared" si="87"/>
        <v/>
      </c>
      <c r="M578" s="23" t="str">
        <f ca="1">IF(A578="","",IF($B$10="Sí",interpolar_alamb(L578,OFFSET(Curvas_cupon_cero!$A$1,1,0,COUNT(Curvas_cupon_cero!$A:$A)-2,1),OFFSET(Curvas_cupon_cero!$A$1,1,MATCH($B$6,Curvas_cupon_cero!$1:$1,0)-1,COUNT(Curvas_cupon_cero!$A:$A)-2,1)),[1]!interpolar(L578,OFFSET(Curvas_cupon_cero!$A$1,1,0,COUNT(Curvas_cupon_cero!$A:$A)-2,1),OFFSET(Curvas_cupon_cero!$A$1,1,MATCH($B$6,Curvas_cupon_cero!$1:$1,0)-1,COUNT(Curvas_cupon_cero!$A:$A)-2,1))))</f>
        <v/>
      </c>
      <c r="N578" s="23"/>
      <c r="O578" s="19" t="str">
        <f t="shared" si="88"/>
        <v/>
      </c>
    </row>
    <row r="579" spans="1:15" x14ac:dyDescent="0.2">
      <c r="A579" s="12" t="str">
        <f t="shared" si="82"/>
        <v/>
      </c>
      <c r="B579" t="str">
        <f t="shared" si="80"/>
        <v/>
      </c>
      <c r="C579" s="21" t="str">
        <f ca="1">IF(A579="","",IF($B$10="Sí",interpolar_alamb(B579,OFFSET(Curvas_cupon_cero!$A$1,1,0,COUNT(Curvas_cupon_cero!$A:$A)-2,1),OFFSET(Curvas_cupon_cero!$A$1,1,MATCH($B$8,Curvas_cupon_cero!$1:$1,0)-1,COUNT(Curvas_cupon_cero!$A:$A)-2,1)),[1]!interpolar(B579,OFFSET(Curvas_cupon_cero!$A$1,1,0,COUNT(Curvas_cupon_cero!$A:$A)-2,1),OFFSET(Curvas_cupon_cero!$A$1,1,MATCH($B$8,Curvas_cupon_cero!$1:$1,0)-1,COUNT(Curvas_cupon_cero!$A:$A)-2,1))))</f>
        <v/>
      </c>
      <c r="D579" s="23" t="str">
        <f ca="1">IF(A579="","",IF($B$10="Sí",interpolar_alamb(L579,OFFSET(Curvas_cupon_cero!$A$1,1,0,COUNT(Curvas_cupon_cero!$A:$A)-2,1),OFFSET(Curvas_cupon_cero!$A$1,1,MATCH($B$8,Curvas_cupon_cero!$1:$1,0)-1,COUNT(Curvas_cupon_cero!$A:$A)-2,1)),[1]!interpolar(L579,OFFSET(Curvas_cupon_cero!$A$1,1,0,COUNT(Curvas_cupon_cero!$A:$A)-2,1),OFFSET(Curvas_cupon_cero!$A$1,1,MATCH($B$8,Curvas_cupon_cero!$1:$1,0)-1,COUNT(Curvas_cupon_cero!$A:$A)-2,1))))</f>
        <v/>
      </c>
      <c r="E579" s="23" t="str">
        <f t="shared" si="83"/>
        <v/>
      </c>
      <c r="F579" s="23" t="str">
        <f ca="1">IF(A579="","",IF($B$10="Sí",interpolar_alamb(B579,OFFSET(Curvas_cupon_cero!$A$1,1,0,COUNT(Curvas_cupon_cero!$A:$A)-2,1),OFFSET(Curvas_cupon_cero!$A$1,1,MATCH($B$9,Curvas_cupon_cero!$1:$1,0)-1,COUNT(Curvas_cupon_cero!$A:$A)-2,1)),[1]!interpolar(B579,OFFSET(Curvas_cupon_cero!$A$1,1,0,COUNT(Curvas_cupon_cero!$A:$A)-2,1),OFFSET(Curvas_cupon_cero!$A$1,1,MATCH($B$9,Curvas_cupon_cero!$1:$1,0)-1,COUNT(Curvas_cupon_cero!$A:$A)-2,1))))</f>
        <v/>
      </c>
      <c r="G579" s="23" t="str">
        <f t="shared" si="84"/>
        <v/>
      </c>
      <c r="H579" s="20" t="str">
        <f t="shared" si="89"/>
        <v/>
      </c>
      <c r="I579" t="str">
        <f t="shared" si="85"/>
        <v/>
      </c>
      <c r="J579" s="17" t="str">
        <f t="shared" si="81"/>
        <v/>
      </c>
      <c r="K579" s="18" t="str">
        <f t="shared" si="86"/>
        <v/>
      </c>
      <c r="L579" t="str">
        <f t="shared" si="87"/>
        <v/>
      </c>
      <c r="M579" s="23" t="str">
        <f ca="1">IF(A579="","",IF($B$10="Sí",interpolar_alamb(L579,OFFSET(Curvas_cupon_cero!$A$1,1,0,COUNT(Curvas_cupon_cero!$A:$A)-2,1),OFFSET(Curvas_cupon_cero!$A$1,1,MATCH($B$6,Curvas_cupon_cero!$1:$1,0)-1,COUNT(Curvas_cupon_cero!$A:$A)-2,1)),[1]!interpolar(L579,OFFSET(Curvas_cupon_cero!$A$1,1,0,COUNT(Curvas_cupon_cero!$A:$A)-2,1),OFFSET(Curvas_cupon_cero!$A$1,1,MATCH($B$6,Curvas_cupon_cero!$1:$1,0)-1,COUNT(Curvas_cupon_cero!$A:$A)-2,1))))</f>
        <v/>
      </c>
      <c r="N579" s="23"/>
      <c r="O579" s="19" t="str">
        <f t="shared" si="88"/>
        <v/>
      </c>
    </row>
    <row r="580" spans="1:15" x14ac:dyDescent="0.2">
      <c r="A580" s="12" t="str">
        <f t="shared" si="82"/>
        <v/>
      </c>
      <c r="B580" t="str">
        <f t="shared" si="80"/>
        <v/>
      </c>
      <c r="C580" s="21" t="str">
        <f ca="1">IF(A580="","",IF($B$10="Sí",interpolar_alamb(B580,OFFSET(Curvas_cupon_cero!$A$1,1,0,COUNT(Curvas_cupon_cero!$A:$A)-2,1),OFFSET(Curvas_cupon_cero!$A$1,1,MATCH($B$8,Curvas_cupon_cero!$1:$1,0)-1,COUNT(Curvas_cupon_cero!$A:$A)-2,1)),[1]!interpolar(B580,OFFSET(Curvas_cupon_cero!$A$1,1,0,COUNT(Curvas_cupon_cero!$A:$A)-2,1),OFFSET(Curvas_cupon_cero!$A$1,1,MATCH($B$8,Curvas_cupon_cero!$1:$1,0)-1,COUNT(Curvas_cupon_cero!$A:$A)-2,1))))</f>
        <v/>
      </c>
      <c r="D580" s="23" t="str">
        <f ca="1">IF(A580="","",IF($B$10="Sí",interpolar_alamb(L580,OFFSET(Curvas_cupon_cero!$A$1,1,0,COUNT(Curvas_cupon_cero!$A:$A)-2,1),OFFSET(Curvas_cupon_cero!$A$1,1,MATCH($B$8,Curvas_cupon_cero!$1:$1,0)-1,COUNT(Curvas_cupon_cero!$A:$A)-2,1)),[1]!interpolar(L580,OFFSET(Curvas_cupon_cero!$A$1,1,0,COUNT(Curvas_cupon_cero!$A:$A)-2,1),OFFSET(Curvas_cupon_cero!$A$1,1,MATCH($B$8,Curvas_cupon_cero!$1:$1,0)-1,COUNT(Curvas_cupon_cero!$A:$A)-2,1))))</f>
        <v/>
      </c>
      <c r="E580" s="23" t="str">
        <f t="shared" si="83"/>
        <v/>
      </c>
      <c r="F580" s="23" t="str">
        <f ca="1">IF(A580="","",IF($B$10="Sí",interpolar_alamb(B580,OFFSET(Curvas_cupon_cero!$A$1,1,0,COUNT(Curvas_cupon_cero!$A:$A)-2,1),OFFSET(Curvas_cupon_cero!$A$1,1,MATCH($B$9,Curvas_cupon_cero!$1:$1,0)-1,COUNT(Curvas_cupon_cero!$A:$A)-2,1)),[1]!interpolar(B580,OFFSET(Curvas_cupon_cero!$A$1,1,0,COUNT(Curvas_cupon_cero!$A:$A)-2,1),OFFSET(Curvas_cupon_cero!$A$1,1,MATCH($B$9,Curvas_cupon_cero!$1:$1,0)-1,COUNT(Curvas_cupon_cero!$A:$A)-2,1))))</f>
        <v/>
      </c>
      <c r="G580" s="23" t="str">
        <f t="shared" si="84"/>
        <v/>
      </c>
      <c r="H580" s="20" t="str">
        <f t="shared" si="89"/>
        <v/>
      </c>
      <c r="I580" t="str">
        <f t="shared" si="85"/>
        <v/>
      </c>
      <c r="J580" s="17" t="str">
        <f t="shared" si="81"/>
        <v/>
      </c>
      <c r="K580" s="18" t="str">
        <f t="shared" si="86"/>
        <v/>
      </c>
      <c r="L580" t="str">
        <f t="shared" si="87"/>
        <v/>
      </c>
      <c r="M580" s="23" t="str">
        <f ca="1">IF(A580="","",IF($B$10="Sí",interpolar_alamb(L580,OFFSET(Curvas_cupon_cero!$A$1,1,0,COUNT(Curvas_cupon_cero!$A:$A)-2,1),OFFSET(Curvas_cupon_cero!$A$1,1,MATCH($B$6,Curvas_cupon_cero!$1:$1,0)-1,COUNT(Curvas_cupon_cero!$A:$A)-2,1)),[1]!interpolar(L580,OFFSET(Curvas_cupon_cero!$A$1,1,0,COUNT(Curvas_cupon_cero!$A:$A)-2,1),OFFSET(Curvas_cupon_cero!$A$1,1,MATCH($B$6,Curvas_cupon_cero!$1:$1,0)-1,COUNT(Curvas_cupon_cero!$A:$A)-2,1))))</f>
        <v/>
      </c>
      <c r="N580" s="23"/>
      <c r="O580" s="19" t="str">
        <f t="shared" si="88"/>
        <v/>
      </c>
    </row>
    <row r="581" spans="1:15" x14ac:dyDescent="0.2">
      <c r="A581" s="12" t="str">
        <f t="shared" si="82"/>
        <v/>
      </c>
      <c r="B581" t="str">
        <f t="shared" si="80"/>
        <v/>
      </c>
      <c r="C581" s="21" t="str">
        <f ca="1">IF(A581="","",IF($B$10="Sí",interpolar_alamb(B581,OFFSET(Curvas_cupon_cero!$A$1,1,0,COUNT(Curvas_cupon_cero!$A:$A)-2,1),OFFSET(Curvas_cupon_cero!$A$1,1,MATCH($B$8,Curvas_cupon_cero!$1:$1,0)-1,COUNT(Curvas_cupon_cero!$A:$A)-2,1)),[1]!interpolar(B581,OFFSET(Curvas_cupon_cero!$A$1,1,0,COUNT(Curvas_cupon_cero!$A:$A)-2,1),OFFSET(Curvas_cupon_cero!$A$1,1,MATCH($B$8,Curvas_cupon_cero!$1:$1,0)-1,COUNT(Curvas_cupon_cero!$A:$A)-2,1))))</f>
        <v/>
      </c>
      <c r="D581" s="23" t="str">
        <f ca="1">IF(A581="","",IF($B$10="Sí",interpolar_alamb(L581,OFFSET(Curvas_cupon_cero!$A$1,1,0,COUNT(Curvas_cupon_cero!$A:$A)-2,1),OFFSET(Curvas_cupon_cero!$A$1,1,MATCH($B$8,Curvas_cupon_cero!$1:$1,0)-1,COUNT(Curvas_cupon_cero!$A:$A)-2,1)),[1]!interpolar(L581,OFFSET(Curvas_cupon_cero!$A$1,1,0,COUNT(Curvas_cupon_cero!$A:$A)-2,1),OFFSET(Curvas_cupon_cero!$A$1,1,MATCH($B$8,Curvas_cupon_cero!$1:$1,0)-1,COUNT(Curvas_cupon_cero!$A:$A)-2,1))))</f>
        <v/>
      </c>
      <c r="E581" s="23" t="str">
        <f t="shared" si="83"/>
        <v/>
      </c>
      <c r="F581" s="23" t="str">
        <f ca="1">IF(A581="","",IF($B$10="Sí",interpolar_alamb(B581,OFFSET(Curvas_cupon_cero!$A$1,1,0,COUNT(Curvas_cupon_cero!$A:$A)-2,1),OFFSET(Curvas_cupon_cero!$A$1,1,MATCH($B$9,Curvas_cupon_cero!$1:$1,0)-1,COUNT(Curvas_cupon_cero!$A:$A)-2,1)),[1]!interpolar(B581,OFFSET(Curvas_cupon_cero!$A$1,1,0,COUNT(Curvas_cupon_cero!$A:$A)-2,1),OFFSET(Curvas_cupon_cero!$A$1,1,MATCH($B$9,Curvas_cupon_cero!$1:$1,0)-1,COUNT(Curvas_cupon_cero!$A:$A)-2,1))))</f>
        <v/>
      </c>
      <c r="G581" s="23" t="str">
        <f t="shared" si="84"/>
        <v/>
      </c>
      <c r="H581" s="20" t="str">
        <f t="shared" si="89"/>
        <v/>
      </c>
      <c r="I581" t="str">
        <f t="shared" si="85"/>
        <v/>
      </c>
      <c r="J581" s="17" t="str">
        <f t="shared" si="81"/>
        <v/>
      </c>
      <c r="K581" s="18" t="str">
        <f t="shared" si="86"/>
        <v/>
      </c>
      <c r="L581" t="str">
        <f t="shared" si="87"/>
        <v/>
      </c>
      <c r="M581" s="23" t="str">
        <f ca="1">IF(A581="","",IF($B$10="Sí",interpolar_alamb(L581,OFFSET(Curvas_cupon_cero!$A$1,1,0,COUNT(Curvas_cupon_cero!$A:$A)-2,1),OFFSET(Curvas_cupon_cero!$A$1,1,MATCH($B$6,Curvas_cupon_cero!$1:$1,0)-1,COUNT(Curvas_cupon_cero!$A:$A)-2,1)),[1]!interpolar(L581,OFFSET(Curvas_cupon_cero!$A$1,1,0,COUNT(Curvas_cupon_cero!$A:$A)-2,1),OFFSET(Curvas_cupon_cero!$A$1,1,MATCH($B$6,Curvas_cupon_cero!$1:$1,0)-1,COUNT(Curvas_cupon_cero!$A:$A)-2,1))))</f>
        <v/>
      </c>
      <c r="N581" s="23"/>
      <c r="O581" s="19" t="str">
        <f t="shared" si="88"/>
        <v/>
      </c>
    </row>
    <row r="582" spans="1:15" x14ac:dyDescent="0.2">
      <c r="A582" s="12" t="str">
        <f t="shared" si="82"/>
        <v/>
      </c>
      <c r="B582" t="str">
        <f t="shared" si="80"/>
        <v/>
      </c>
      <c r="C582" s="21" t="str">
        <f ca="1">IF(A582="","",IF($B$10="Sí",interpolar_alamb(B582,OFFSET(Curvas_cupon_cero!$A$1,1,0,COUNT(Curvas_cupon_cero!$A:$A)-2,1),OFFSET(Curvas_cupon_cero!$A$1,1,MATCH($B$8,Curvas_cupon_cero!$1:$1,0)-1,COUNT(Curvas_cupon_cero!$A:$A)-2,1)),[1]!interpolar(B582,OFFSET(Curvas_cupon_cero!$A$1,1,0,COUNT(Curvas_cupon_cero!$A:$A)-2,1),OFFSET(Curvas_cupon_cero!$A$1,1,MATCH($B$8,Curvas_cupon_cero!$1:$1,0)-1,COUNT(Curvas_cupon_cero!$A:$A)-2,1))))</f>
        <v/>
      </c>
      <c r="D582" s="23" t="str">
        <f ca="1">IF(A582="","",IF($B$10="Sí",interpolar_alamb(L582,OFFSET(Curvas_cupon_cero!$A$1,1,0,COUNT(Curvas_cupon_cero!$A:$A)-2,1),OFFSET(Curvas_cupon_cero!$A$1,1,MATCH($B$8,Curvas_cupon_cero!$1:$1,0)-1,COUNT(Curvas_cupon_cero!$A:$A)-2,1)),[1]!interpolar(L582,OFFSET(Curvas_cupon_cero!$A$1,1,0,COUNT(Curvas_cupon_cero!$A:$A)-2,1),OFFSET(Curvas_cupon_cero!$A$1,1,MATCH($B$8,Curvas_cupon_cero!$1:$1,0)-1,COUNT(Curvas_cupon_cero!$A:$A)-2,1))))</f>
        <v/>
      </c>
      <c r="E582" s="23" t="str">
        <f t="shared" si="83"/>
        <v/>
      </c>
      <c r="F582" s="23" t="str">
        <f ca="1">IF(A582="","",IF($B$10="Sí",interpolar_alamb(B582,OFFSET(Curvas_cupon_cero!$A$1,1,0,COUNT(Curvas_cupon_cero!$A:$A)-2,1),OFFSET(Curvas_cupon_cero!$A$1,1,MATCH($B$9,Curvas_cupon_cero!$1:$1,0)-1,COUNT(Curvas_cupon_cero!$A:$A)-2,1)),[1]!interpolar(B582,OFFSET(Curvas_cupon_cero!$A$1,1,0,COUNT(Curvas_cupon_cero!$A:$A)-2,1),OFFSET(Curvas_cupon_cero!$A$1,1,MATCH($B$9,Curvas_cupon_cero!$1:$1,0)-1,COUNT(Curvas_cupon_cero!$A:$A)-2,1))))</f>
        <v/>
      </c>
      <c r="G582" s="23" t="str">
        <f t="shared" si="84"/>
        <v/>
      </c>
      <c r="H582" s="20" t="str">
        <f t="shared" si="89"/>
        <v/>
      </c>
      <c r="I582" t="str">
        <f t="shared" si="85"/>
        <v/>
      </c>
      <c r="J582" s="17" t="str">
        <f t="shared" si="81"/>
        <v/>
      </c>
      <c r="K582" s="18" t="str">
        <f t="shared" si="86"/>
        <v/>
      </c>
      <c r="L582" t="str">
        <f t="shared" si="87"/>
        <v/>
      </c>
      <c r="M582" s="23" t="str">
        <f ca="1">IF(A582="","",IF($B$10="Sí",interpolar_alamb(L582,OFFSET(Curvas_cupon_cero!$A$1,1,0,COUNT(Curvas_cupon_cero!$A:$A)-2,1),OFFSET(Curvas_cupon_cero!$A$1,1,MATCH($B$6,Curvas_cupon_cero!$1:$1,0)-1,COUNT(Curvas_cupon_cero!$A:$A)-2,1)),[1]!interpolar(L582,OFFSET(Curvas_cupon_cero!$A$1,1,0,COUNT(Curvas_cupon_cero!$A:$A)-2,1),OFFSET(Curvas_cupon_cero!$A$1,1,MATCH($B$6,Curvas_cupon_cero!$1:$1,0)-1,COUNT(Curvas_cupon_cero!$A:$A)-2,1))))</f>
        <v/>
      </c>
      <c r="N582" s="23"/>
      <c r="O582" s="19" t="str">
        <f t="shared" si="88"/>
        <v/>
      </c>
    </row>
    <row r="583" spans="1:15" x14ac:dyDescent="0.2">
      <c r="A583" s="12" t="str">
        <f t="shared" si="82"/>
        <v/>
      </c>
      <c r="B583" t="str">
        <f t="shared" si="80"/>
        <v/>
      </c>
      <c r="C583" s="21" t="str">
        <f ca="1">IF(A583="","",IF($B$10="Sí",interpolar_alamb(B583,OFFSET(Curvas_cupon_cero!$A$1,1,0,COUNT(Curvas_cupon_cero!$A:$A)-2,1),OFFSET(Curvas_cupon_cero!$A$1,1,MATCH($B$8,Curvas_cupon_cero!$1:$1,0)-1,COUNT(Curvas_cupon_cero!$A:$A)-2,1)),[1]!interpolar(B583,OFFSET(Curvas_cupon_cero!$A$1,1,0,COUNT(Curvas_cupon_cero!$A:$A)-2,1),OFFSET(Curvas_cupon_cero!$A$1,1,MATCH($B$8,Curvas_cupon_cero!$1:$1,0)-1,COUNT(Curvas_cupon_cero!$A:$A)-2,1))))</f>
        <v/>
      </c>
      <c r="D583" s="23" t="str">
        <f ca="1">IF(A583="","",IF($B$10="Sí",interpolar_alamb(L583,OFFSET(Curvas_cupon_cero!$A$1,1,0,COUNT(Curvas_cupon_cero!$A:$A)-2,1),OFFSET(Curvas_cupon_cero!$A$1,1,MATCH($B$8,Curvas_cupon_cero!$1:$1,0)-1,COUNT(Curvas_cupon_cero!$A:$A)-2,1)),[1]!interpolar(L583,OFFSET(Curvas_cupon_cero!$A$1,1,0,COUNT(Curvas_cupon_cero!$A:$A)-2,1),OFFSET(Curvas_cupon_cero!$A$1,1,MATCH($B$8,Curvas_cupon_cero!$1:$1,0)-1,COUNT(Curvas_cupon_cero!$A:$A)-2,1))))</f>
        <v/>
      </c>
      <c r="E583" s="23" t="str">
        <f t="shared" si="83"/>
        <v/>
      </c>
      <c r="F583" s="23" t="str">
        <f ca="1">IF(A583="","",IF($B$10="Sí",interpolar_alamb(B583,OFFSET(Curvas_cupon_cero!$A$1,1,0,COUNT(Curvas_cupon_cero!$A:$A)-2,1),OFFSET(Curvas_cupon_cero!$A$1,1,MATCH($B$9,Curvas_cupon_cero!$1:$1,0)-1,COUNT(Curvas_cupon_cero!$A:$A)-2,1)),[1]!interpolar(B583,OFFSET(Curvas_cupon_cero!$A$1,1,0,COUNT(Curvas_cupon_cero!$A:$A)-2,1),OFFSET(Curvas_cupon_cero!$A$1,1,MATCH($B$9,Curvas_cupon_cero!$1:$1,0)-1,COUNT(Curvas_cupon_cero!$A:$A)-2,1))))</f>
        <v/>
      </c>
      <c r="G583" s="23" t="str">
        <f t="shared" si="84"/>
        <v/>
      </c>
      <c r="H583" s="20" t="str">
        <f t="shared" si="89"/>
        <v/>
      </c>
      <c r="I583" t="str">
        <f t="shared" si="85"/>
        <v/>
      </c>
      <c r="J583" s="17" t="str">
        <f t="shared" si="81"/>
        <v/>
      </c>
      <c r="K583" s="18" t="str">
        <f t="shared" si="86"/>
        <v/>
      </c>
      <c r="L583" t="str">
        <f t="shared" si="87"/>
        <v/>
      </c>
      <c r="M583" s="23" t="str">
        <f ca="1">IF(A583="","",IF($B$10="Sí",interpolar_alamb(L583,OFFSET(Curvas_cupon_cero!$A$1,1,0,COUNT(Curvas_cupon_cero!$A:$A)-2,1),OFFSET(Curvas_cupon_cero!$A$1,1,MATCH($B$6,Curvas_cupon_cero!$1:$1,0)-1,COUNT(Curvas_cupon_cero!$A:$A)-2,1)),[1]!interpolar(L583,OFFSET(Curvas_cupon_cero!$A$1,1,0,COUNT(Curvas_cupon_cero!$A:$A)-2,1),OFFSET(Curvas_cupon_cero!$A$1,1,MATCH($B$6,Curvas_cupon_cero!$1:$1,0)-1,COUNT(Curvas_cupon_cero!$A:$A)-2,1))))</f>
        <v/>
      </c>
      <c r="N583" s="23"/>
      <c r="O583" s="19" t="str">
        <f t="shared" si="88"/>
        <v/>
      </c>
    </row>
    <row r="584" spans="1:15" x14ac:dyDescent="0.2">
      <c r="A584" s="12" t="str">
        <f t="shared" si="82"/>
        <v/>
      </c>
      <c r="B584" t="str">
        <f t="shared" si="80"/>
        <v/>
      </c>
      <c r="C584" s="21" t="str">
        <f ca="1">IF(A584="","",IF($B$10="Sí",interpolar_alamb(B584,OFFSET(Curvas_cupon_cero!$A$1,1,0,COUNT(Curvas_cupon_cero!$A:$A)-2,1),OFFSET(Curvas_cupon_cero!$A$1,1,MATCH($B$8,Curvas_cupon_cero!$1:$1,0)-1,COUNT(Curvas_cupon_cero!$A:$A)-2,1)),[1]!interpolar(B584,OFFSET(Curvas_cupon_cero!$A$1,1,0,COUNT(Curvas_cupon_cero!$A:$A)-2,1),OFFSET(Curvas_cupon_cero!$A$1,1,MATCH($B$8,Curvas_cupon_cero!$1:$1,0)-1,COUNT(Curvas_cupon_cero!$A:$A)-2,1))))</f>
        <v/>
      </c>
      <c r="D584" s="23" t="str">
        <f ca="1">IF(A584="","",IF($B$10="Sí",interpolar_alamb(L584,OFFSET(Curvas_cupon_cero!$A$1,1,0,COUNT(Curvas_cupon_cero!$A:$A)-2,1),OFFSET(Curvas_cupon_cero!$A$1,1,MATCH($B$8,Curvas_cupon_cero!$1:$1,0)-1,COUNT(Curvas_cupon_cero!$A:$A)-2,1)),[1]!interpolar(L584,OFFSET(Curvas_cupon_cero!$A$1,1,0,COUNT(Curvas_cupon_cero!$A:$A)-2,1),OFFSET(Curvas_cupon_cero!$A$1,1,MATCH($B$8,Curvas_cupon_cero!$1:$1,0)-1,COUNT(Curvas_cupon_cero!$A:$A)-2,1))))</f>
        <v/>
      </c>
      <c r="E584" s="23" t="str">
        <f t="shared" si="83"/>
        <v/>
      </c>
      <c r="F584" s="23" t="str">
        <f ca="1">IF(A584="","",IF($B$10="Sí",interpolar_alamb(B584,OFFSET(Curvas_cupon_cero!$A$1,1,0,COUNT(Curvas_cupon_cero!$A:$A)-2,1),OFFSET(Curvas_cupon_cero!$A$1,1,MATCH($B$9,Curvas_cupon_cero!$1:$1,0)-1,COUNT(Curvas_cupon_cero!$A:$A)-2,1)),[1]!interpolar(B584,OFFSET(Curvas_cupon_cero!$A$1,1,0,COUNT(Curvas_cupon_cero!$A:$A)-2,1),OFFSET(Curvas_cupon_cero!$A$1,1,MATCH($B$9,Curvas_cupon_cero!$1:$1,0)-1,COUNT(Curvas_cupon_cero!$A:$A)-2,1))))</f>
        <v/>
      </c>
      <c r="G584" s="23" t="str">
        <f t="shared" si="84"/>
        <v/>
      </c>
      <c r="H584" s="20" t="str">
        <f t="shared" si="89"/>
        <v/>
      </c>
      <c r="I584" t="str">
        <f t="shared" si="85"/>
        <v/>
      </c>
      <c r="J584" s="17" t="str">
        <f t="shared" si="81"/>
        <v/>
      </c>
      <c r="K584" s="18" t="str">
        <f t="shared" si="86"/>
        <v/>
      </c>
      <c r="L584" t="str">
        <f t="shared" si="87"/>
        <v/>
      </c>
      <c r="M584" s="23" t="str">
        <f ca="1">IF(A584="","",IF($B$10="Sí",interpolar_alamb(L584,OFFSET(Curvas_cupon_cero!$A$1,1,0,COUNT(Curvas_cupon_cero!$A:$A)-2,1),OFFSET(Curvas_cupon_cero!$A$1,1,MATCH($B$6,Curvas_cupon_cero!$1:$1,0)-1,COUNT(Curvas_cupon_cero!$A:$A)-2,1)),[1]!interpolar(L584,OFFSET(Curvas_cupon_cero!$A$1,1,0,COUNT(Curvas_cupon_cero!$A:$A)-2,1),OFFSET(Curvas_cupon_cero!$A$1,1,MATCH($B$6,Curvas_cupon_cero!$1:$1,0)-1,COUNT(Curvas_cupon_cero!$A:$A)-2,1))))</f>
        <v/>
      </c>
      <c r="N584" s="23"/>
      <c r="O584" s="19" t="str">
        <f t="shared" si="88"/>
        <v/>
      </c>
    </row>
    <row r="585" spans="1:15" x14ac:dyDescent="0.2">
      <c r="A585" s="12" t="str">
        <f t="shared" si="82"/>
        <v/>
      </c>
      <c r="B585" t="str">
        <f t="shared" si="80"/>
        <v/>
      </c>
      <c r="C585" s="21" t="str">
        <f ca="1">IF(A585="","",IF($B$10="Sí",interpolar_alamb(B585,OFFSET(Curvas_cupon_cero!$A$1,1,0,COUNT(Curvas_cupon_cero!$A:$A)-2,1),OFFSET(Curvas_cupon_cero!$A$1,1,MATCH($B$8,Curvas_cupon_cero!$1:$1,0)-1,COUNT(Curvas_cupon_cero!$A:$A)-2,1)),[1]!interpolar(B585,OFFSET(Curvas_cupon_cero!$A$1,1,0,COUNT(Curvas_cupon_cero!$A:$A)-2,1),OFFSET(Curvas_cupon_cero!$A$1,1,MATCH($B$8,Curvas_cupon_cero!$1:$1,0)-1,COUNT(Curvas_cupon_cero!$A:$A)-2,1))))</f>
        <v/>
      </c>
      <c r="D585" s="23" t="str">
        <f ca="1">IF(A585="","",IF($B$10="Sí",interpolar_alamb(L585,OFFSET(Curvas_cupon_cero!$A$1,1,0,COUNT(Curvas_cupon_cero!$A:$A)-2,1),OFFSET(Curvas_cupon_cero!$A$1,1,MATCH($B$8,Curvas_cupon_cero!$1:$1,0)-1,COUNT(Curvas_cupon_cero!$A:$A)-2,1)),[1]!interpolar(L585,OFFSET(Curvas_cupon_cero!$A$1,1,0,COUNT(Curvas_cupon_cero!$A:$A)-2,1),OFFSET(Curvas_cupon_cero!$A$1,1,MATCH($B$8,Curvas_cupon_cero!$1:$1,0)-1,COUNT(Curvas_cupon_cero!$A:$A)-2,1))))</f>
        <v/>
      </c>
      <c r="E585" s="23" t="str">
        <f t="shared" si="83"/>
        <v/>
      </c>
      <c r="F585" s="23" t="str">
        <f ca="1">IF(A585="","",IF($B$10="Sí",interpolar_alamb(B585,OFFSET(Curvas_cupon_cero!$A$1,1,0,COUNT(Curvas_cupon_cero!$A:$A)-2,1),OFFSET(Curvas_cupon_cero!$A$1,1,MATCH($B$9,Curvas_cupon_cero!$1:$1,0)-1,COUNT(Curvas_cupon_cero!$A:$A)-2,1)),[1]!interpolar(B585,OFFSET(Curvas_cupon_cero!$A$1,1,0,COUNT(Curvas_cupon_cero!$A:$A)-2,1),OFFSET(Curvas_cupon_cero!$A$1,1,MATCH($B$9,Curvas_cupon_cero!$1:$1,0)-1,COUNT(Curvas_cupon_cero!$A:$A)-2,1))))</f>
        <v/>
      </c>
      <c r="G585" s="23" t="str">
        <f t="shared" si="84"/>
        <v/>
      </c>
      <c r="H585" s="20" t="str">
        <f t="shared" si="89"/>
        <v/>
      </c>
      <c r="I585" t="str">
        <f t="shared" si="85"/>
        <v/>
      </c>
      <c r="J585" s="17" t="str">
        <f t="shared" si="81"/>
        <v/>
      </c>
      <c r="K585" s="18" t="str">
        <f t="shared" si="86"/>
        <v/>
      </c>
      <c r="L585" t="str">
        <f t="shared" si="87"/>
        <v/>
      </c>
      <c r="M585" s="23" t="str">
        <f ca="1">IF(A585="","",IF($B$10="Sí",interpolar_alamb(L585,OFFSET(Curvas_cupon_cero!$A$1,1,0,COUNT(Curvas_cupon_cero!$A:$A)-2,1),OFFSET(Curvas_cupon_cero!$A$1,1,MATCH($B$6,Curvas_cupon_cero!$1:$1,0)-1,COUNT(Curvas_cupon_cero!$A:$A)-2,1)),[1]!interpolar(L585,OFFSET(Curvas_cupon_cero!$A$1,1,0,COUNT(Curvas_cupon_cero!$A:$A)-2,1),OFFSET(Curvas_cupon_cero!$A$1,1,MATCH($B$6,Curvas_cupon_cero!$1:$1,0)-1,COUNT(Curvas_cupon_cero!$A:$A)-2,1))))</f>
        <v/>
      </c>
      <c r="N585" s="23"/>
      <c r="O585" s="19" t="str">
        <f t="shared" si="88"/>
        <v/>
      </c>
    </row>
    <row r="586" spans="1:15" x14ac:dyDescent="0.2">
      <c r="A586" s="12" t="str">
        <f t="shared" si="82"/>
        <v/>
      </c>
      <c r="B586" t="str">
        <f t="shared" si="80"/>
        <v/>
      </c>
      <c r="C586" s="21" t="str">
        <f ca="1">IF(A586="","",IF($B$10="Sí",interpolar_alamb(B586,OFFSET(Curvas_cupon_cero!$A$1,1,0,COUNT(Curvas_cupon_cero!$A:$A)-2,1),OFFSET(Curvas_cupon_cero!$A$1,1,MATCH($B$8,Curvas_cupon_cero!$1:$1,0)-1,COUNT(Curvas_cupon_cero!$A:$A)-2,1)),[1]!interpolar(B586,OFFSET(Curvas_cupon_cero!$A$1,1,0,COUNT(Curvas_cupon_cero!$A:$A)-2,1),OFFSET(Curvas_cupon_cero!$A$1,1,MATCH($B$8,Curvas_cupon_cero!$1:$1,0)-1,COUNT(Curvas_cupon_cero!$A:$A)-2,1))))</f>
        <v/>
      </c>
      <c r="D586" s="23" t="str">
        <f ca="1">IF(A586="","",IF($B$10="Sí",interpolar_alamb(L586,OFFSET(Curvas_cupon_cero!$A$1,1,0,COUNT(Curvas_cupon_cero!$A:$A)-2,1),OFFSET(Curvas_cupon_cero!$A$1,1,MATCH($B$8,Curvas_cupon_cero!$1:$1,0)-1,COUNT(Curvas_cupon_cero!$A:$A)-2,1)),[1]!interpolar(L586,OFFSET(Curvas_cupon_cero!$A$1,1,0,COUNT(Curvas_cupon_cero!$A:$A)-2,1),OFFSET(Curvas_cupon_cero!$A$1,1,MATCH($B$8,Curvas_cupon_cero!$1:$1,0)-1,COUNT(Curvas_cupon_cero!$A:$A)-2,1))))</f>
        <v/>
      </c>
      <c r="E586" s="23" t="str">
        <f t="shared" si="83"/>
        <v/>
      </c>
      <c r="F586" s="23" t="str">
        <f ca="1">IF(A586="","",IF($B$10="Sí",interpolar_alamb(B586,OFFSET(Curvas_cupon_cero!$A$1,1,0,COUNT(Curvas_cupon_cero!$A:$A)-2,1),OFFSET(Curvas_cupon_cero!$A$1,1,MATCH($B$9,Curvas_cupon_cero!$1:$1,0)-1,COUNT(Curvas_cupon_cero!$A:$A)-2,1)),[1]!interpolar(B586,OFFSET(Curvas_cupon_cero!$A$1,1,0,COUNT(Curvas_cupon_cero!$A:$A)-2,1),OFFSET(Curvas_cupon_cero!$A$1,1,MATCH($B$9,Curvas_cupon_cero!$1:$1,0)-1,COUNT(Curvas_cupon_cero!$A:$A)-2,1))))</f>
        <v/>
      </c>
      <c r="G586" s="23" t="str">
        <f t="shared" si="84"/>
        <v/>
      </c>
      <c r="H586" s="20" t="str">
        <f t="shared" si="89"/>
        <v/>
      </c>
      <c r="I586" t="str">
        <f t="shared" si="85"/>
        <v/>
      </c>
      <c r="J586" s="17" t="str">
        <f t="shared" si="81"/>
        <v/>
      </c>
      <c r="K586" s="18" t="str">
        <f t="shared" si="86"/>
        <v/>
      </c>
      <c r="L586" t="str">
        <f t="shared" si="87"/>
        <v/>
      </c>
      <c r="M586" s="23" t="str">
        <f ca="1">IF(A586="","",IF($B$10="Sí",interpolar_alamb(L586,OFFSET(Curvas_cupon_cero!$A$1,1,0,COUNT(Curvas_cupon_cero!$A:$A)-2,1),OFFSET(Curvas_cupon_cero!$A$1,1,MATCH($B$6,Curvas_cupon_cero!$1:$1,0)-1,COUNT(Curvas_cupon_cero!$A:$A)-2,1)),[1]!interpolar(L586,OFFSET(Curvas_cupon_cero!$A$1,1,0,COUNT(Curvas_cupon_cero!$A:$A)-2,1),OFFSET(Curvas_cupon_cero!$A$1,1,MATCH($B$6,Curvas_cupon_cero!$1:$1,0)-1,COUNT(Curvas_cupon_cero!$A:$A)-2,1))))</f>
        <v/>
      </c>
      <c r="N586" s="23"/>
      <c r="O586" s="19" t="str">
        <f t="shared" si="88"/>
        <v/>
      </c>
    </row>
    <row r="587" spans="1:15" x14ac:dyDescent="0.2">
      <c r="A587" s="12" t="str">
        <f t="shared" si="82"/>
        <v/>
      </c>
      <c r="B587" t="str">
        <f t="shared" si="80"/>
        <v/>
      </c>
      <c r="C587" s="21" t="str">
        <f ca="1">IF(A587="","",IF($B$10="Sí",interpolar_alamb(B587,OFFSET(Curvas_cupon_cero!$A$1,1,0,COUNT(Curvas_cupon_cero!$A:$A)-2,1),OFFSET(Curvas_cupon_cero!$A$1,1,MATCH($B$8,Curvas_cupon_cero!$1:$1,0)-1,COUNT(Curvas_cupon_cero!$A:$A)-2,1)),[1]!interpolar(B587,OFFSET(Curvas_cupon_cero!$A$1,1,0,COUNT(Curvas_cupon_cero!$A:$A)-2,1),OFFSET(Curvas_cupon_cero!$A$1,1,MATCH($B$8,Curvas_cupon_cero!$1:$1,0)-1,COUNT(Curvas_cupon_cero!$A:$A)-2,1))))</f>
        <v/>
      </c>
      <c r="D587" s="23" t="str">
        <f ca="1">IF(A587="","",IF($B$10="Sí",interpolar_alamb(L587,OFFSET(Curvas_cupon_cero!$A$1,1,0,COUNT(Curvas_cupon_cero!$A:$A)-2,1),OFFSET(Curvas_cupon_cero!$A$1,1,MATCH($B$8,Curvas_cupon_cero!$1:$1,0)-1,COUNT(Curvas_cupon_cero!$A:$A)-2,1)),[1]!interpolar(L587,OFFSET(Curvas_cupon_cero!$A$1,1,0,COUNT(Curvas_cupon_cero!$A:$A)-2,1),OFFSET(Curvas_cupon_cero!$A$1,1,MATCH($B$8,Curvas_cupon_cero!$1:$1,0)-1,COUNT(Curvas_cupon_cero!$A:$A)-2,1))))</f>
        <v/>
      </c>
      <c r="E587" s="23" t="str">
        <f t="shared" si="83"/>
        <v/>
      </c>
      <c r="F587" s="23" t="str">
        <f ca="1">IF(A587="","",IF($B$10="Sí",interpolar_alamb(B587,OFFSET(Curvas_cupon_cero!$A$1,1,0,COUNT(Curvas_cupon_cero!$A:$A)-2,1),OFFSET(Curvas_cupon_cero!$A$1,1,MATCH($B$9,Curvas_cupon_cero!$1:$1,0)-1,COUNT(Curvas_cupon_cero!$A:$A)-2,1)),[1]!interpolar(B587,OFFSET(Curvas_cupon_cero!$A$1,1,0,COUNT(Curvas_cupon_cero!$A:$A)-2,1),OFFSET(Curvas_cupon_cero!$A$1,1,MATCH($B$9,Curvas_cupon_cero!$1:$1,0)-1,COUNT(Curvas_cupon_cero!$A:$A)-2,1))))</f>
        <v/>
      </c>
      <c r="G587" s="23" t="str">
        <f t="shared" si="84"/>
        <v/>
      </c>
      <c r="H587" s="20" t="str">
        <f t="shared" si="89"/>
        <v/>
      </c>
      <c r="I587" t="str">
        <f t="shared" si="85"/>
        <v/>
      </c>
      <c r="J587" s="17" t="str">
        <f t="shared" si="81"/>
        <v/>
      </c>
      <c r="K587" s="18" t="str">
        <f t="shared" si="86"/>
        <v/>
      </c>
      <c r="L587" t="str">
        <f t="shared" si="87"/>
        <v/>
      </c>
      <c r="M587" s="23" t="str">
        <f ca="1">IF(A587="","",IF($B$10="Sí",interpolar_alamb(L587,OFFSET(Curvas_cupon_cero!$A$1,1,0,COUNT(Curvas_cupon_cero!$A:$A)-2,1),OFFSET(Curvas_cupon_cero!$A$1,1,MATCH($B$6,Curvas_cupon_cero!$1:$1,0)-1,COUNT(Curvas_cupon_cero!$A:$A)-2,1)),[1]!interpolar(L587,OFFSET(Curvas_cupon_cero!$A$1,1,0,COUNT(Curvas_cupon_cero!$A:$A)-2,1),OFFSET(Curvas_cupon_cero!$A$1,1,MATCH($B$6,Curvas_cupon_cero!$1:$1,0)-1,COUNT(Curvas_cupon_cero!$A:$A)-2,1))))</f>
        <v/>
      </c>
      <c r="N587" s="23"/>
      <c r="O587" s="19" t="str">
        <f t="shared" si="88"/>
        <v/>
      </c>
    </row>
    <row r="588" spans="1:15" x14ac:dyDescent="0.2">
      <c r="A588" s="12" t="str">
        <f t="shared" si="82"/>
        <v/>
      </c>
      <c r="B588" t="str">
        <f t="shared" si="80"/>
        <v/>
      </c>
      <c r="C588" s="21" t="str">
        <f ca="1">IF(A588="","",IF($B$10="Sí",interpolar_alamb(B588,OFFSET(Curvas_cupon_cero!$A$1,1,0,COUNT(Curvas_cupon_cero!$A:$A)-2,1),OFFSET(Curvas_cupon_cero!$A$1,1,MATCH($B$8,Curvas_cupon_cero!$1:$1,0)-1,COUNT(Curvas_cupon_cero!$A:$A)-2,1)),[1]!interpolar(B588,OFFSET(Curvas_cupon_cero!$A$1,1,0,COUNT(Curvas_cupon_cero!$A:$A)-2,1),OFFSET(Curvas_cupon_cero!$A$1,1,MATCH($B$8,Curvas_cupon_cero!$1:$1,0)-1,COUNT(Curvas_cupon_cero!$A:$A)-2,1))))</f>
        <v/>
      </c>
      <c r="D588" s="23" t="str">
        <f ca="1">IF(A588="","",IF($B$10="Sí",interpolar_alamb(L588,OFFSET(Curvas_cupon_cero!$A$1,1,0,COUNT(Curvas_cupon_cero!$A:$A)-2,1),OFFSET(Curvas_cupon_cero!$A$1,1,MATCH($B$8,Curvas_cupon_cero!$1:$1,0)-1,COUNT(Curvas_cupon_cero!$A:$A)-2,1)),[1]!interpolar(L588,OFFSET(Curvas_cupon_cero!$A$1,1,0,COUNT(Curvas_cupon_cero!$A:$A)-2,1),OFFSET(Curvas_cupon_cero!$A$1,1,MATCH($B$8,Curvas_cupon_cero!$1:$1,0)-1,COUNT(Curvas_cupon_cero!$A:$A)-2,1))))</f>
        <v/>
      </c>
      <c r="E588" s="23" t="str">
        <f t="shared" si="83"/>
        <v/>
      </c>
      <c r="F588" s="23" t="str">
        <f ca="1">IF(A588="","",IF($B$10="Sí",interpolar_alamb(B588,OFFSET(Curvas_cupon_cero!$A$1,1,0,COUNT(Curvas_cupon_cero!$A:$A)-2,1),OFFSET(Curvas_cupon_cero!$A$1,1,MATCH($B$9,Curvas_cupon_cero!$1:$1,0)-1,COUNT(Curvas_cupon_cero!$A:$A)-2,1)),[1]!interpolar(B588,OFFSET(Curvas_cupon_cero!$A$1,1,0,COUNT(Curvas_cupon_cero!$A:$A)-2,1),OFFSET(Curvas_cupon_cero!$A$1,1,MATCH($B$9,Curvas_cupon_cero!$1:$1,0)-1,COUNT(Curvas_cupon_cero!$A:$A)-2,1))))</f>
        <v/>
      </c>
      <c r="G588" s="23" t="str">
        <f t="shared" si="84"/>
        <v/>
      </c>
      <c r="H588" s="20" t="str">
        <f t="shared" si="89"/>
        <v/>
      </c>
      <c r="I588" t="str">
        <f t="shared" si="85"/>
        <v/>
      </c>
      <c r="J588" s="17" t="str">
        <f t="shared" si="81"/>
        <v/>
      </c>
      <c r="K588" s="18" t="str">
        <f t="shared" si="86"/>
        <v/>
      </c>
      <c r="L588" t="str">
        <f t="shared" si="87"/>
        <v/>
      </c>
      <c r="M588" s="23" t="str">
        <f ca="1">IF(A588="","",IF($B$10="Sí",interpolar_alamb(L588,OFFSET(Curvas_cupon_cero!$A$1,1,0,COUNT(Curvas_cupon_cero!$A:$A)-2,1),OFFSET(Curvas_cupon_cero!$A$1,1,MATCH($B$6,Curvas_cupon_cero!$1:$1,0)-1,COUNT(Curvas_cupon_cero!$A:$A)-2,1)),[1]!interpolar(L588,OFFSET(Curvas_cupon_cero!$A$1,1,0,COUNT(Curvas_cupon_cero!$A:$A)-2,1),OFFSET(Curvas_cupon_cero!$A$1,1,MATCH($B$6,Curvas_cupon_cero!$1:$1,0)-1,COUNT(Curvas_cupon_cero!$A:$A)-2,1))))</f>
        <v/>
      </c>
      <c r="N588" s="23"/>
      <c r="O588" s="19" t="str">
        <f t="shared" si="88"/>
        <v/>
      </c>
    </row>
    <row r="589" spans="1:15" x14ac:dyDescent="0.2">
      <c r="A589" s="12" t="str">
        <f t="shared" si="82"/>
        <v/>
      </c>
      <c r="B589" t="str">
        <f t="shared" si="80"/>
        <v/>
      </c>
      <c r="C589" s="21" t="str">
        <f ca="1">IF(A589="","",IF($B$10="Sí",interpolar_alamb(B589,OFFSET(Curvas_cupon_cero!$A$1,1,0,COUNT(Curvas_cupon_cero!$A:$A)-2,1),OFFSET(Curvas_cupon_cero!$A$1,1,MATCH($B$8,Curvas_cupon_cero!$1:$1,0)-1,COUNT(Curvas_cupon_cero!$A:$A)-2,1)),[1]!interpolar(B589,OFFSET(Curvas_cupon_cero!$A$1,1,0,COUNT(Curvas_cupon_cero!$A:$A)-2,1),OFFSET(Curvas_cupon_cero!$A$1,1,MATCH($B$8,Curvas_cupon_cero!$1:$1,0)-1,COUNT(Curvas_cupon_cero!$A:$A)-2,1))))</f>
        <v/>
      </c>
      <c r="D589" s="23" t="str">
        <f ca="1">IF(A589="","",IF($B$10="Sí",interpolar_alamb(L589,OFFSET(Curvas_cupon_cero!$A$1,1,0,COUNT(Curvas_cupon_cero!$A:$A)-2,1),OFFSET(Curvas_cupon_cero!$A$1,1,MATCH($B$8,Curvas_cupon_cero!$1:$1,0)-1,COUNT(Curvas_cupon_cero!$A:$A)-2,1)),[1]!interpolar(L589,OFFSET(Curvas_cupon_cero!$A$1,1,0,COUNT(Curvas_cupon_cero!$A:$A)-2,1),OFFSET(Curvas_cupon_cero!$A$1,1,MATCH($B$8,Curvas_cupon_cero!$1:$1,0)-1,COUNT(Curvas_cupon_cero!$A:$A)-2,1))))</f>
        <v/>
      </c>
      <c r="E589" s="23" t="str">
        <f t="shared" si="83"/>
        <v/>
      </c>
      <c r="F589" s="23" t="str">
        <f ca="1">IF(A589="","",IF($B$10="Sí",interpolar_alamb(B589,OFFSET(Curvas_cupon_cero!$A$1,1,0,COUNT(Curvas_cupon_cero!$A:$A)-2,1),OFFSET(Curvas_cupon_cero!$A$1,1,MATCH($B$9,Curvas_cupon_cero!$1:$1,0)-1,COUNT(Curvas_cupon_cero!$A:$A)-2,1)),[1]!interpolar(B589,OFFSET(Curvas_cupon_cero!$A$1,1,0,COUNT(Curvas_cupon_cero!$A:$A)-2,1),OFFSET(Curvas_cupon_cero!$A$1,1,MATCH($B$9,Curvas_cupon_cero!$1:$1,0)-1,COUNT(Curvas_cupon_cero!$A:$A)-2,1))))</f>
        <v/>
      </c>
      <c r="G589" s="23" t="str">
        <f t="shared" si="84"/>
        <v/>
      </c>
      <c r="H589" s="20" t="str">
        <f t="shared" si="89"/>
        <v/>
      </c>
      <c r="I589" t="str">
        <f t="shared" si="85"/>
        <v/>
      </c>
      <c r="J589" s="17" t="str">
        <f t="shared" si="81"/>
        <v/>
      </c>
      <c r="K589" s="18" t="str">
        <f t="shared" si="86"/>
        <v/>
      </c>
      <c r="L589" t="str">
        <f t="shared" si="87"/>
        <v/>
      </c>
      <c r="M589" s="23" t="str">
        <f ca="1">IF(A589="","",IF($B$10="Sí",interpolar_alamb(L589,OFFSET(Curvas_cupon_cero!$A$1,1,0,COUNT(Curvas_cupon_cero!$A:$A)-2,1),OFFSET(Curvas_cupon_cero!$A$1,1,MATCH($B$6,Curvas_cupon_cero!$1:$1,0)-1,COUNT(Curvas_cupon_cero!$A:$A)-2,1)),[1]!interpolar(L589,OFFSET(Curvas_cupon_cero!$A$1,1,0,COUNT(Curvas_cupon_cero!$A:$A)-2,1),OFFSET(Curvas_cupon_cero!$A$1,1,MATCH($B$6,Curvas_cupon_cero!$1:$1,0)-1,COUNT(Curvas_cupon_cero!$A:$A)-2,1))))</f>
        <v/>
      </c>
      <c r="N589" s="23"/>
      <c r="O589" s="19" t="str">
        <f t="shared" si="88"/>
        <v/>
      </c>
    </row>
    <row r="590" spans="1:15" x14ac:dyDescent="0.2">
      <c r="A590" s="12" t="str">
        <f t="shared" si="82"/>
        <v/>
      </c>
      <c r="B590" t="str">
        <f t="shared" si="80"/>
        <v/>
      </c>
      <c r="C590" s="21" t="str">
        <f ca="1">IF(A590="","",IF($B$10="Sí",interpolar_alamb(B590,OFFSET(Curvas_cupon_cero!$A$1,1,0,COUNT(Curvas_cupon_cero!$A:$A)-2,1),OFFSET(Curvas_cupon_cero!$A$1,1,MATCH($B$8,Curvas_cupon_cero!$1:$1,0)-1,COUNT(Curvas_cupon_cero!$A:$A)-2,1)),[1]!interpolar(B590,OFFSET(Curvas_cupon_cero!$A$1,1,0,COUNT(Curvas_cupon_cero!$A:$A)-2,1),OFFSET(Curvas_cupon_cero!$A$1,1,MATCH($B$8,Curvas_cupon_cero!$1:$1,0)-1,COUNT(Curvas_cupon_cero!$A:$A)-2,1))))</f>
        <v/>
      </c>
      <c r="D590" s="23" t="str">
        <f ca="1">IF(A590="","",IF($B$10="Sí",interpolar_alamb(L590,OFFSET(Curvas_cupon_cero!$A$1,1,0,COUNT(Curvas_cupon_cero!$A:$A)-2,1),OFFSET(Curvas_cupon_cero!$A$1,1,MATCH($B$8,Curvas_cupon_cero!$1:$1,0)-1,COUNT(Curvas_cupon_cero!$A:$A)-2,1)),[1]!interpolar(L590,OFFSET(Curvas_cupon_cero!$A$1,1,0,COUNT(Curvas_cupon_cero!$A:$A)-2,1),OFFSET(Curvas_cupon_cero!$A$1,1,MATCH($B$8,Curvas_cupon_cero!$1:$1,0)-1,COUNT(Curvas_cupon_cero!$A:$A)-2,1))))</f>
        <v/>
      </c>
      <c r="E590" s="23" t="str">
        <f t="shared" si="83"/>
        <v/>
      </c>
      <c r="F590" s="23" t="str">
        <f ca="1">IF(A590="","",IF($B$10="Sí",interpolar_alamb(B590,OFFSET(Curvas_cupon_cero!$A$1,1,0,COUNT(Curvas_cupon_cero!$A:$A)-2,1),OFFSET(Curvas_cupon_cero!$A$1,1,MATCH($B$9,Curvas_cupon_cero!$1:$1,0)-1,COUNT(Curvas_cupon_cero!$A:$A)-2,1)),[1]!interpolar(B590,OFFSET(Curvas_cupon_cero!$A$1,1,0,COUNT(Curvas_cupon_cero!$A:$A)-2,1),OFFSET(Curvas_cupon_cero!$A$1,1,MATCH($B$9,Curvas_cupon_cero!$1:$1,0)-1,COUNT(Curvas_cupon_cero!$A:$A)-2,1))))</f>
        <v/>
      </c>
      <c r="G590" s="23" t="str">
        <f t="shared" si="84"/>
        <v/>
      </c>
      <c r="H590" s="20" t="str">
        <f t="shared" si="89"/>
        <v/>
      </c>
      <c r="I590" t="str">
        <f t="shared" si="85"/>
        <v/>
      </c>
      <c r="J590" s="17" t="str">
        <f t="shared" si="81"/>
        <v/>
      </c>
      <c r="K590" s="18" t="str">
        <f t="shared" si="86"/>
        <v/>
      </c>
      <c r="L590" t="str">
        <f t="shared" si="87"/>
        <v/>
      </c>
      <c r="M590" s="23" t="str">
        <f ca="1">IF(A590="","",IF($B$10="Sí",interpolar_alamb(L590,OFFSET(Curvas_cupon_cero!$A$1,1,0,COUNT(Curvas_cupon_cero!$A:$A)-2,1),OFFSET(Curvas_cupon_cero!$A$1,1,MATCH($B$6,Curvas_cupon_cero!$1:$1,0)-1,COUNT(Curvas_cupon_cero!$A:$A)-2,1)),[1]!interpolar(L590,OFFSET(Curvas_cupon_cero!$A$1,1,0,COUNT(Curvas_cupon_cero!$A:$A)-2,1),OFFSET(Curvas_cupon_cero!$A$1,1,MATCH($B$6,Curvas_cupon_cero!$1:$1,0)-1,COUNT(Curvas_cupon_cero!$A:$A)-2,1))))</f>
        <v/>
      </c>
      <c r="N590" s="23"/>
      <c r="O590" s="19" t="str">
        <f t="shared" si="88"/>
        <v/>
      </c>
    </row>
    <row r="591" spans="1:15" x14ac:dyDescent="0.2">
      <c r="A591" s="12" t="str">
        <f t="shared" si="82"/>
        <v/>
      </c>
      <c r="B591" t="str">
        <f t="shared" si="80"/>
        <v/>
      </c>
      <c r="C591" s="21" t="str">
        <f ca="1">IF(A591="","",IF($B$10="Sí",interpolar_alamb(B591,OFFSET(Curvas_cupon_cero!$A$1,1,0,COUNT(Curvas_cupon_cero!$A:$A)-2,1),OFFSET(Curvas_cupon_cero!$A$1,1,MATCH($B$8,Curvas_cupon_cero!$1:$1,0)-1,COUNT(Curvas_cupon_cero!$A:$A)-2,1)),[1]!interpolar(B591,OFFSET(Curvas_cupon_cero!$A$1,1,0,COUNT(Curvas_cupon_cero!$A:$A)-2,1),OFFSET(Curvas_cupon_cero!$A$1,1,MATCH($B$8,Curvas_cupon_cero!$1:$1,0)-1,COUNT(Curvas_cupon_cero!$A:$A)-2,1))))</f>
        <v/>
      </c>
      <c r="D591" s="23" t="str">
        <f ca="1">IF(A591="","",IF($B$10="Sí",interpolar_alamb(L591,OFFSET(Curvas_cupon_cero!$A$1,1,0,COUNT(Curvas_cupon_cero!$A:$A)-2,1),OFFSET(Curvas_cupon_cero!$A$1,1,MATCH($B$8,Curvas_cupon_cero!$1:$1,0)-1,COUNT(Curvas_cupon_cero!$A:$A)-2,1)),[1]!interpolar(L591,OFFSET(Curvas_cupon_cero!$A$1,1,0,COUNT(Curvas_cupon_cero!$A:$A)-2,1),OFFSET(Curvas_cupon_cero!$A$1,1,MATCH($B$8,Curvas_cupon_cero!$1:$1,0)-1,COUNT(Curvas_cupon_cero!$A:$A)-2,1))))</f>
        <v/>
      </c>
      <c r="E591" s="23" t="str">
        <f t="shared" si="83"/>
        <v/>
      </c>
      <c r="F591" s="23" t="str">
        <f ca="1">IF(A591="","",IF($B$10="Sí",interpolar_alamb(B591,OFFSET(Curvas_cupon_cero!$A$1,1,0,COUNT(Curvas_cupon_cero!$A:$A)-2,1),OFFSET(Curvas_cupon_cero!$A$1,1,MATCH($B$9,Curvas_cupon_cero!$1:$1,0)-1,COUNT(Curvas_cupon_cero!$A:$A)-2,1)),[1]!interpolar(B591,OFFSET(Curvas_cupon_cero!$A$1,1,0,COUNT(Curvas_cupon_cero!$A:$A)-2,1),OFFSET(Curvas_cupon_cero!$A$1,1,MATCH($B$9,Curvas_cupon_cero!$1:$1,0)-1,COUNT(Curvas_cupon_cero!$A:$A)-2,1))))</f>
        <v/>
      </c>
      <c r="G591" s="23" t="str">
        <f t="shared" si="84"/>
        <v/>
      </c>
      <c r="H591" s="20" t="str">
        <f t="shared" si="89"/>
        <v/>
      </c>
      <c r="I591" t="str">
        <f t="shared" si="85"/>
        <v/>
      </c>
      <c r="J591" s="17" t="str">
        <f t="shared" si="81"/>
        <v/>
      </c>
      <c r="K591" s="18" t="str">
        <f t="shared" si="86"/>
        <v/>
      </c>
      <c r="L591" t="str">
        <f t="shared" si="87"/>
        <v/>
      </c>
      <c r="M591" s="23" t="str">
        <f ca="1">IF(A591="","",IF($B$10="Sí",interpolar_alamb(L591,OFFSET(Curvas_cupon_cero!$A$1,1,0,COUNT(Curvas_cupon_cero!$A:$A)-2,1),OFFSET(Curvas_cupon_cero!$A$1,1,MATCH($B$6,Curvas_cupon_cero!$1:$1,0)-1,COUNT(Curvas_cupon_cero!$A:$A)-2,1)),[1]!interpolar(L591,OFFSET(Curvas_cupon_cero!$A$1,1,0,COUNT(Curvas_cupon_cero!$A:$A)-2,1),OFFSET(Curvas_cupon_cero!$A$1,1,MATCH($B$6,Curvas_cupon_cero!$1:$1,0)-1,COUNT(Curvas_cupon_cero!$A:$A)-2,1))))</f>
        <v/>
      </c>
      <c r="N591" s="23"/>
      <c r="O591" s="19" t="str">
        <f t="shared" si="88"/>
        <v/>
      </c>
    </row>
    <row r="592" spans="1:15" x14ac:dyDescent="0.2">
      <c r="A592" s="12" t="str">
        <f t="shared" si="82"/>
        <v/>
      </c>
      <c r="B592" t="str">
        <f t="shared" si="80"/>
        <v/>
      </c>
      <c r="C592" s="21" t="str">
        <f ca="1">IF(A592="","",IF($B$10="Sí",interpolar_alamb(B592,OFFSET(Curvas_cupon_cero!$A$1,1,0,COUNT(Curvas_cupon_cero!$A:$A)-2,1),OFFSET(Curvas_cupon_cero!$A$1,1,MATCH($B$8,Curvas_cupon_cero!$1:$1,0)-1,COUNT(Curvas_cupon_cero!$A:$A)-2,1)),[1]!interpolar(B592,OFFSET(Curvas_cupon_cero!$A$1,1,0,COUNT(Curvas_cupon_cero!$A:$A)-2,1),OFFSET(Curvas_cupon_cero!$A$1,1,MATCH($B$8,Curvas_cupon_cero!$1:$1,0)-1,COUNT(Curvas_cupon_cero!$A:$A)-2,1))))</f>
        <v/>
      </c>
      <c r="D592" s="23" t="str">
        <f ca="1">IF(A592="","",IF($B$10="Sí",interpolar_alamb(L592,OFFSET(Curvas_cupon_cero!$A$1,1,0,COUNT(Curvas_cupon_cero!$A:$A)-2,1),OFFSET(Curvas_cupon_cero!$A$1,1,MATCH($B$8,Curvas_cupon_cero!$1:$1,0)-1,COUNT(Curvas_cupon_cero!$A:$A)-2,1)),[1]!interpolar(L592,OFFSET(Curvas_cupon_cero!$A$1,1,0,COUNT(Curvas_cupon_cero!$A:$A)-2,1),OFFSET(Curvas_cupon_cero!$A$1,1,MATCH($B$8,Curvas_cupon_cero!$1:$1,0)-1,COUNT(Curvas_cupon_cero!$A:$A)-2,1))))</f>
        <v/>
      </c>
      <c r="E592" s="23" t="str">
        <f t="shared" si="83"/>
        <v/>
      </c>
      <c r="F592" s="23" t="str">
        <f ca="1">IF(A592="","",IF($B$10="Sí",interpolar_alamb(B592,OFFSET(Curvas_cupon_cero!$A$1,1,0,COUNT(Curvas_cupon_cero!$A:$A)-2,1),OFFSET(Curvas_cupon_cero!$A$1,1,MATCH($B$9,Curvas_cupon_cero!$1:$1,0)-1,COUNT(Curvas_cupon_cero!$A:$A)-2,1)),[1]!interpolar(B592,OFFSET(Curvas_cupon_cero!$A$1,1,0,COUNT(Curvas_cupon_cero!$A:$A)-2,1),OFFSET(Curvas_cupon_cero!$A$1,1,MATCH($B$9,Curvas_cupon_cero!$1:$1,0)-1,COUNT(Curvas_cupon_cero!$A:$A)-2,1))))</f>
        <v/>
      </c>
      <c r="G592" s="23" t="str">
        <f t="shared" si="84"/>
        <v/>
      </c>
      <c r="H592" s="20" t="str">
        <f t="shared" si="89"/>
        <v/>
      </c>
      <c r="I592" t="str">
        <f t="shared" si="85"/>
        <v/>
      </c>
      <c r="J592" s="17" t="str">
        <f t="shared" si="81"/>
        <v/>
      </c>
      <c r="K592" s="18" t="str">
        <f t="shared" si="86"/>
        <v/>
      </c>
      <c r="L592" t="str">
        <f t="shared" si="87"/>
        <v/>
      </c>
      <c r="M592" s="23" t="str">
        <f ca="1">IF(A592="","",IF($B$10="Sí",interpolar_alamb(L592,OFFSET(Curvas_cupon_cero!$A$1,1,0,COUNT(Curvas_cupon_cero!$A:$A)-2,1),OFFSET(Curvas_cupon_cero!$A$1,1,MATCH($B$6,Curvas_cupon_cero!$1:$1,0)-1,COUNT(Curvas_cupon_cero!$A:$A)-2,1)),[1]!interpolar(L592,OFFSET(Curvas_cupon_cero!$A$1,1,0,COUNT(Curvas_cupon_cero!$A:$A)-2,1),OFFSET(Curvas_cupon_cero!$A$1,1,MATCH($B$6,Curvas_cupon_cero!$1:$1,0)-1,COUNT(Curvas_cupon_cero!$A:$A)-2,1))))</f>
        <v/>
      </c>
      <c r="N592" s="23"/>
      <c r="O592" s="19" t="str">
        <f t="shared" si="88"/>
        <v/>
      </c>
    </row>
    <row r="593" spans="1:15" x14ac:dyDescent="0.2">
      <c r="A593" s="12" t="str">
        <f t="shared" si="82"/>
        <v/>
      </c>
      <c r="B593" t="str">
        <f t="shared" ref="B593:B656" si="90">IF(A593="","",MAX(L593-$B$5,0))</f>
        <v/>
      </c>
      <c r="C593" s="21" t="str">
        <f ca="1">IF(A593="","",IF($B$10="Sí",interpolar_alamb(B593,OFFSET(Curvas_cupon_cero!$A$1,1,0,COUNT(Curvas_cupon_cero!$A:$A)-2,1),OFFSET(Curvas_cupon_cero!$A$1,1,MATCH($B$8,Curvas_cupon_cero!$1:$1,0)-1,COUNT(Curvas_cupon_cero!$A:$A)-2,1)),[1]!interpolar(B593,OFFSET(Curvas_cupon_cero!$A$1,1,0,COUNT(Curvas_cupon_cero!$A:$A)-2,1),OFFSET(Curvas_cupon_cero!$A$1,1,MATCH($B$8,Curvas_cupon_cero!$1:$1,0)-1,COUNT(Curvas_cupon_cero!$A:$A)-2,1))))</f>
        <v/>
      </c>
      <c r="D593" s="23" t="str">
        <f ca="1">IF(A593="","",IF($B$10="Sí",interpolar_alamb(L593,OFFSET(Curvas_cupon_cero!$A$1,1,0,COUNT(Curvas_cupon_cero!$A:$A)-2,1),OFFSET(Curvas_cupon_cero!$A$1,1,MATCH($B$8,Curvas_cupon_cero!$1:$1,0)-1,COUNT(Curvas_cupon_cero!$A:$A)-2,1)),[1]!interpolar(L593,OFFSET(Curvas_cupon_cero!$A$1,1,0,COUNT(Curvas_cupon_cero!$A:$A)-2,1),OFFSET(Curvas_cupon_cero!$A$1,1,MATCH($B$8,Curvas_cupon_cero!$1:$1,0)-1,COUNT(Curvas_cupon_cero!$A:$A)-2,1))))</f>
        <v/>
      </c>
      <c r="E593" s="23" t="str">
        <f t="shared" si="83"/>
        <v/>
      </c>
      <c r="F593" s="23" t="str">
        <f ca="1">IF(A593="","",IF($B$10="Sí",interpolar_alamb(B593,OFFSET(Curvas_cupon_cero!$A$1,1,0,COUNT(Curvas_cupon_cero!$A:$A)-2,1),OFFSET(Curvas_cupon_cero!$A$1,1,MATCH($B$9,Curvas_cupon_cero!$1:$1,0)-1,COUNT(Curvas_cupon_cero!$A:$A)-2,1)),[1]!interpolar(B593,OFFSET(Curvas_cupon_cero!$A$1,1,0,COUNT(Curvas_cupon_cero!$A:$A)-2,1),OFFSET(Curvas_cupon_cero!$A$1,1,MATCH($B$9,Curvas_cupon_cero!$1:$1,0)-1,COUNT(Curvas_cupon_cero!$A:$A)-2,1))))</f>
        <v/>
      </c>
      <c r="G593" s="23" t="str">
        <f t="shared" si="84"/>
        <v/>
      </c>
      <c r="H593" s="20" t="str">
        <f t="shared" si="89"/>
        <v/>
      </c>
      <c r="I593" t="str">
        <f t="shared" si="85"/>
        <v/>
      </c>
      <c r="J593" s="17" t="str">
        <f t="shared" ref="J593:J656" si="91">IF(A593="","",IF(A593=$B$4,$B$1*$B$2+$B$1*$B$5/360*$B$2*(E593*(1-I593)+H593*I593), $B$1*$B$5/360*$B$2*(E593*(1-I593)+H593*I593)))</f>
        <v/>
      </c>
      <c r="K593" s="18" t="str">
        <f t="shared" si="86"/>
        <v/>
      </c>
      <c r="L593" t="str">
        <f t="shared" si="87"/>
        <v/>
      </c>
      <c r="M593" s="23" t="str">
        <f ca="1">IF(A593="","",IF($B$10="Sí",interpolar_alamb(L593,OFFSET(Curvas_cupon_cero!$A$1,1,0,COUNT(Curvas_cupon_cero!$A:$A)-2,1),OFFSET(Curvas_cupon_cero!$A$1,1,MATCH($B$6,Curvas_cupon_cero!$1:$1,0)-1,COUNT(Curvas_cupon_cero!$A:$A)-2,1)),[1]!interpolar(L593,OFFSET(Curvas_cupon_cero!$A$1,1,0,COUNT(Curvas_cupon_cero!$A:$A)-2,1),OFFSET(Curvas_cupon_cero!$A$1,1,MATCH($B$6,Curvas_cupon_cero!$1:$1,0)-1,COUNT(Curvas_cupon_cero!$A:$A)-2,1))))</f>
        <v/>
      </c>
      <c r="N593" s="23"/>
      <c r="O593" s="19" t="str">
        <f t="shared" si="88"/>
        <v/>
      </c>
    </row>
    <row r="594" spans="1:15" x14ac:dyDescent="0.2">
      <c r="A594" s="12" t="str">
        <f t="shared" ref="A594:A657" si="92">IF(A593="","",IF((A593+$B$5)&gt;$B$4,"",(A593+$B$5)))</f>
        <v/>
      </c>
      <c r="B594" t="str">
        <f t="shared" si="90"/>
        <v/>
      </c>
      <c r="C594" s="21" t="str">
        <f ca="1">IF(A594="","",IF($B$10="Sí",interpolar_alamb(B594,OFFSET(Curvas_cupon_cero!$A$1,1,0,COUNT(Curvas_cupon_cero!$A:$A)-2,1),OFFSET(Curvas_cupon_cero!$A$1,1,MATCH($B$8,Curvas_cupon_cero!$1:$1,0)-1,COUNT(Curvas_cupon_cero!$A:$A)-2,1)),[1]!interpolar(B594,OFFSET(Curvas_cupon_cero!$A$1,1,0,COUNT(Curvas_cupon_cero!$A:$A)-2,1),OFFSET(Curvas_cupon_cero!$A$1,1,MATCH($B$8,Curvas_cupon_cero!$1:$1,0)-1,COUNT(Curvas_cupon_cero!$A:$A)-2,1))))</f>
        <v/>
      </c>
      <c r="D594" s="23" t="str">
        <f ca="1">IF(A594="","",IF($B$10="Sí",interpolar_alamb(L594,OFFSET(Curvas_cupon_cero!$A$1,1,0,COUNT(Curvas_cupon_cero!$A:$A)-2,1),OFFSET(Curvas_cupon_cero!$A$1,1,MATCH($B$8,Curvas_cupon_cero!$1:$1,0)-1,COUNT(Curvas_cupon_cero!$A:$A)-2,1)),[1]!interpolar(L594,OFFSET(Curvas_cupon_cero!$A$1,1,0,COUNT(Curvas_cupon_cero!$A:$A)-2,1),OFFSET(Curvas_cupon_cero!$A$1,1,MATCH($B$8,Curvas_cupon_cero!$1:$1,0)-1,COUNT(Curvas_cupon_cero!$A:$A)-2,1))))</f>
        <v/>
      </c>
      <c r="E594" s="23" t="str">
        <f t="shared" ref="E594:E657" si="93">IF(A594="","",((1+D594*L594/360)/(1+C594*B594/360)-1)*(360/(L594-B594)))</f>
        <v/>
      </c>
      <c r="F594" s="23" t="str">
        <f ca="1">IF(A594="","",IF($B$10="Sí",interpolar_alamb(B594,OFFSET(Curvas_cupon_cero!$A$1,1,0,COUNT(Curvas_cupon_cero!$A:$A)-2,1),OFFSET(Curvas_cupon_cero!$A$1,1,MATCH($B$9,Curvas_cupon_cero!$1:$1,0)-1,COUNT(Curvas_cupon_cero!$A:$A)-2,1)),[1]!interpolar(B594,OFFSET(Curvas_cupon_cero!$A$1,1,0,COUNT(Curvas_cupon_cero!$A:$A)-2,1),OFFSET(Curvas_cupon_cero!$A$1,1,MATCH($B$9,Curvas_cupon_cero!$1:$1,0)-1,COUNT(Curvas_cupon_cero!$A:$A)-2,1))))</f>
        <v/>
      </c>
      <c r="G594" s="23" t="str">
        <f t="shared" ref="G594:G657" si="94">IF(A594="","",$B$11*(1+M594*L594/360)/(1+F594*L594/360))</f>
        <v/>
      </c>
      <c r="H594" s="20" t="str">
        <f t="shared" si="89"/>
        <v/>
      </c>
      <c r="I594" t="str">
        <f t="shared" ref="I594:I657" si="95">IF(A594="","",IF(H594&gt;E594,1,0))</f>
        <v/>
      </c>
      <c r="J594" s="17" t="str">
        <f t="shared" si="91"/>
        <v/>
      </c>
      <c r="K594" s="18" t="str">
        <f t="shared" ref="K594:K657" si="96">IF(A594="","",$B$5)</f>
        <v/>
      </c>
      <c r="L594" t="str">
        <f t="shared" ref="L594:L657" si="97">IF(A594="","",L593+K594)</f>
        <v/>
      </c>
      <c r="M594" s="23" t="str">
        <f ca="1">IF(A594="","",IF($B$10="Sí",interpolar_alamb(L594,OFFSET(Curvas_cupon_cero!$A$1,1,0,COUNT(Curvas_cupon_cero!$A:$A)-2,1),OFFSET(Curvas_cupon_cero!$A$1,1,MATCH($B$6,Curvas_cupon_cero!$1:$1,0)-1,COUNT(Curvas_cupon_cero!$A:$A)-2,1)),[1]!interpolar(L594,OFFSET(Curvas_cupon_cero!$A$1,1,0,COUNT(Curvas_cupon_cero!$A:$A)-2,1),OFFSET(Curvas_cupon_cero!$A$1,1,MATCH($B$6,Curvas_cupon_cero!$1:$1,0)-1,COUNT(Curvas_cupon_cero!$A:$A)-2,1))))</f>
        <v/>
      </c>
      <c r="N594" s="23"/>
      <c r="O594" s="19" t="str">
        <f t="shared" ref="O594:O657" si="98">IF(A594="","",J594/(1+(M594+N594)*L594/360))</f>
        <v/>
      </c>
    </row>
    <row r="595" spans="1:15" x14ac:dyDescent="0.2">
      <c r="A595" s="12" t="str">
        <f t="shared" si="92"/>
        <v/>
      </c>
      <c r="B595" t="str">
        <f t="shared" si="90"/>
        <v/>
      </c>
      <c r="C595" s="21" t="str">
        <f ca="1">IF(A595="","",IF($B$10="Sí",interpolar_alamb(B595,OFFSET(Curvas_cupon_cero!$A$1,1,0,COUNT(Curvas_cupon_cero!$A:$A)-2,1),OFFSET(Curvas_cupon_cero!$A$1,1,MATCH($B$8,Curvas_cupon_cero!$1:$1,0)-1,COUNT(Curvas_cupon_cero!$A:$A)-2,1)),[1]!interpolar(B595,OFFSET(Curvas_cupon_cero!$A$1,1,0,COUNT(Curvas_cupon_cero!$A:$A)-2,1),OFFSET(Curvas_cupon_cero!$A$1,1,MATCH($B$8,Curvas_cupon_cero!$1:$1,0)-1,COUNT(Curvas_cupon_cero!$A:$A)-2,1))))</f>
        <v/>
      </c>
      <c r="D595" s="23" t="str">
        <f ca="1">IF(A595="","",IF($B$10="Sí",interpolar_alamb(L595,OFFSET(Curvas_cupon_cero!$A$1,1,0,COUNT(Curvas_cupon_cero!$A:$A)-2,1),OFFSET(Curvas_cupon_cero!$A$1,1,MATCH($B$8,Curvas_cupon_cero!$1:$1,0)-1,COUNT(Curvas_cupon_cero!$A:$A)-2,1)),[1]!interpolar(L595,OFFSET(Curvas_cupon_cero!$A$1,1,0,COUNT(Curvas_cupon_cero!$A:$A)-2,1),OFFSET(Curvas_cupon_cero!$A$1,1,MATCH($B$8,Curvas_cupon_cero!$1:$1,0)-1,COUNT(Curvas_cupon_cero!$A:$A)-2,1))))</f>
        <v/>
      </c>
      <c r="E595" s="23" t="str">
        <f t="shared" si="93"/>
        <v/>
      </c>
      <c r="F595" s="23" t="str">
        <f ca="1">IF(A595="","",IF($B$10="Sí",interpolar_alamb(B595,OFFSET(Curvas_cupon_cero!$A$1,1,0,COUNT(Curvas_cupon_cero!$A:$A)-2,1),OFFSET(Curvas_cupon_cero!$A$1,1,MATCH($B$9,Curvas_cupon_cero!$1:$1,0)-1,COUNT(Curvas_cupon_cero!$A:$A)-2,1)),[1]!interpolar(B595,OFFSET(Curvas_cupon_cero!$A$1,1,0,COUNT(Curvas_cupon_cero!$A:$A)-2,1),OFFSET(Curvas_cupon_cero!$A$1,1,MATCH($B$9,Curvas_cupon_cero!$1:$1,0)-1,COUNT(Curvas_cupon_cero!$A:$A)-2,1))))</f>
        <v/>
      </c>
      <c r="G595" s="23" t="str">
        <f t="shared" si="94"/>
        <v/>
      </c>
      <c r="H595" s="20" t="str">
        <f t="shared" ref="H595:H658" si="99">IF(A595="","",(G595/G594-1)*360/$B$5)</f>
        <v/>
      </c>
      <c r="I595" t="str">
        <f t="shared" si="95"/>
        <v/>
      </c>
      <c r="J595" s="17" t="str">
        <f t="shared" si="91"/>
        <v/>
      </c>
      <c r="K595" s="18" t="str">
        <f t="shared" si="96"/>
        <v/>
      </c>
      <c r="L595" t="str">
        <f t="shared" si="97"/>
        <v/>
      </c>
      <c r="M595" s="23" t="str">
        <f ca="1">IF(A595="","",IF($B$10="Sí",interpolar_alamb(L595,OFFSET(Curvas_cupon_cero!$A$1,1,0,COUNT(Curvas_cupon_cero!$A:$A)-2,1),OFFSET(Curvas_cupon_cero!$A$1,1,MATCH($B$6,Curvas_cupon_cero!$1:$1,0)-1,COUNT(Curvas_cupon_cero!$A:$A)-2,1)),[1]!interpolar(L595,OFFSET(Curvas_cupon_cero!$A$1,1,0,COUNT(Curvas_cupon_cero!$A:$A)-2,1),OFFSET(Curvas_cupon_cero!$A$1,1,MATCH($B$6,Curvas_cupon_cero!$1:$1,0)-1,COUNT(Curvas_cupon_cero!$A:$A)-2,1))))</f>
        <v/>
      </c>
      <c r="N595" s="23"/>
      <c r="O595" s="19" t="str">
        <f t="shared" si="98"/>
        <v/>
      </c>
    </row>
    <row r="596" spans="1:15" x14ac:dyDescent="0.2">
      <c r="A596" s="12" t="str">
        <f t="shared" si="92"/>
        <v/>
      </c>
      <c r="B596" t="str">
        <f t="shared" si="90"/>
        <v/>
      </c>
      <c r="C596" s="21" t="str">
        <f ca="1">IF(A596="","",IF($B$10="Sí",interpolar_alamb(B596,OFFSET(Curvas_cupon_cero!$A$1,1,0,COUNT(Curvas_cupon_cero!$A:$A)-2,1),OFFSET(Curvas_cupon_cero!$A$1,1,MATCH($B$8,Curvas_cupon_cero!$1:$1,0)-1,COUNT(Curvas_cupon_cero!$A:$A)-2,1)),[1]!interpolar(B596,OFFSET(Curvas_cupon_cero!$A$1,1,0,COUNT(Curvas_cupon_cero!$A:$A)-2,1),OFFSET(Curvas_cupon_cero!$A$1,1,MATCH($B$8,Curvas_cupon_cero!$1:$1,0)-1,COUNT(Curvas_cupon_cero!$A:$A)-2,1))))</f>
        <v/>
      </c>
      <c r="D596" s="23" t="str">
        <f ca="1">IF(A596="","",IF($B$10="Sí",interpolar_alamb(L596,OFFSET(Curvas_cupon_cero!$A$1,1,0,COUNT(Curvas_cupon_cero!$A:$A)-2,1),OFFSET(Curvas_cupon_cero!$A$1,1,MATCH($B$8,Curvas_cupon_cero!$1:$1,0)-1,COUNT(Curvas_cupon_cero!$A:$A)-2,1)),[1]!interpolar(L596,OFFSET(Curvas_cupon_cero!$A$1,1,0,COUNT(Curvas_cupon_cero!$A:$A)-2,1),OFFSET(Curvas_cupon_cero!$A$1,1,MATCH($B$8,Curvas_cupon_cero!$1:$1,0)-1,COUNT(Curvas_cupon_cero!$A:$A)-2,1))))</f>
        <v/>
      </c>
      <c r="E596" s="23" t="str">
        <f t="shared" si="93"/>
        <v/>
      </c>
      <c r="F596" s="23" t="str">
        <f ca="1">IF(A596="","",IF($B$10="Sí",interpolar_alamb(B596,OFFSET(Curvas_cupon_cero!$A$1,1,0,COUNT(Curvas_cupon_cero!$A:$A)-2,1),OFFSET(Curvas_cupon_cero!$A$1,1,MATCH($B$9,Curvas_cupon_cero!$1:$1,0)-1,COUNT(Curvas_cupon_cero!$A:$A)-2,1)),[1]!interpolar(B596,OFFSET(Curvas_cupon_cero!$A$1,1,0,COUNT(Curvas_cupon_cero!$A:$A)-2,1),OFFSET(Curvas_cupon_cero!$A$1,1,MATCH($B$9,Curvas_cupon_cero!$1:$1,0)-1,COUNT(Curvas_cupon_cero!$A:$A)-2,1))))</f>
        <v/>
      </c>
      <c r="G596" s="23" t="str">
        <f t="shared" si="94"/>
        <v/>
      </c>
      <c r="H596" s="20" t="str">
        <f t="shared" si="99"/>
        <v/>
      </c>
      <c r="I596" t="str">
        <f t="shared" si="95"/>
        <v/>
      </c>
      <c r="J596" s="17" t="str">
        <f t="shared" si="91"/>
        <v/>
      </c>
      <c r="K596" s="18" t="str">
        <f t="shared" si="96"/>
        <v/>
      </c>
      <c r="L596" t="str">
        <f t="shared" si="97"/>
        <v/>
      </c>
      <c r="M596" s="23" t="str">
        <f ca="1">IF(A596="","",IF($B$10="Sí",interpolar_alamb(L596,OFFSET(Curvas_cupon_cero!$A$1,1,0,COUNT(Curvas_cupon_cero!$A:$A)-2,1),OFFSET(Curvas_cupon_cero!$A$1,1,MATCH($B$6,Curvas_cupon_cero!$1:$1,0)-1,COUNT(Curvas_cupon_cero!$A:$A)-2,1)),[1]!interpolar(L596,OFFSET(Curvas_cupon_cero!$A$1,1,0,COUNT(Curvas_cupon_cero!$A:$A)-2,1),OFFSET(Curvas_cupon_cero!$A$1,1,MATCH($B$6,Curvas_cupon_cero!$1:$1,0)-1,COUNT(Curvas_cupon_cero!$A:$A)-2,1))))</f>
        <v/>
      </c>
      <c r="N596" s="23"/>
      <c r="O596" s="19" t="str">
        <f t="shared" si="98"/>
        <v/>
      </c>
    </row>
    <row r="597" spans="1:15" x14ac:dyDescent="0.2">
      <c r="A597" s="12" t="str">
        <f t="shared" si="92"/>
        <v/>
      </c>
      <c r="B597" t="str">
        <f t="shared" si="90"/>
        <v/>
      </c>
      <c r="C597" s="21" t="str">
        <f ca="1">IF(A597="","",IF($B$10="Sí",interpolar_alamb(B597,OFFSET(Curvas_cupon_cero!$A$1,1,0,COUNT(Curvas_cupon_cero!$A:$A)-2,1),OFFSET(Curvas_cupon_cero!$A$1,1,MATCH($B$8,Curvas_cupon_cero!$1:$1,0)-1,COUNT(Curvas_cupon_cero!$A:$A)-2,1)),[1]!interpolar(B597,OFFSET(Curvas_cupon_cero!$A$1,1,0,COUNT(Curvas_cupon_cero!$A:$A)-2,1),OFFSET(Curvas_cupon_cero!$A$1,1,MATCH($B$8,Curvas_cupon_cero!$1:$1,0)-1,COUNT(Curvas_cupon_cero!$A:$A)-2,1))))</f>
        <v/>
      </c>
      <c r="D597" s="23" t="str">
        <f ca="1">IF(A597="","",IF($B$10="Sí",interpolar_alamb(L597,OFFSET(Curvas_cupon_cero!$A$1,1,0,COUNT(Curvas_cupon_cero!$A:$A)-2,1),OFFSET(Curvas_cupon_cero!$A$1,1,MATCH($B$8,Curvas_cupon_cero!$1:$1,0)-1,COUNT(Curvas_cupon_cero!$A:$A)-2,1)),[1]!interpolar(L597,OFFSET(Curvas_cupon_cero!$A$1,1,0,COUNT(Curvas_cupon_cero!$A:$A)-2,1),OFFSET(Curvas_cupon_cero!$A$1,1,MATCH($B$8,Curvas_cupon_cero!$1:$1,0)-1,COUNT(Curvas_cupon_cero!$A:$A)-2,1))))</f>
        <v/>
      </c>
      <c r="E597" s="23" t="str">
        <f t="shared" si="93"/>
        <v/>
      </c>
      <c r="F597" s="23" t="str">
        <f ca="1">IF(A597="","",IF($B$10="Sí",interpolar_alamb(B597,OFFSET(Curvas_cupon_cero!$A$1,1,0,COUNT(Curvas_cupon_cero!$A:$A)-2,1),OFFSET(Curvas_cupon_cero!$A$1,1,MATCH($B$9,Curvas_cupon_cero!$1:$1,0)-1,COUNT(Curvas_cupon_cero!$A:$A)-2,1)),[1]!interpolar(B597,OFFSET(Curvas_cupon_cero!$A$1,1,0,COUNT(Curvas_cupon_cero!$A:$A)-2,1),OFFSET(Curvas_cupon_cero!$A$1,1,MATCH($B$9,Curvas_cupon_cero!$1:$1,0)-1,COUNT(Curvas_cupon_cero!$A:$A)-2,1))))</f>
        <v/>
      </c>
      <c r="G597" s="23" t="str">
        <f t="shared" si="94"/>
        <v/>
      </c>
      <c r="H597" s="20" t="str">
        <f t="shared" si="99"/>
        <v/>
      </c>
      <c r="I597" t="str">
        <f t="shared" si="95"/>
        <v/>
      </c>
      <c r="J597" s="17" t="str">
        <f t="shared" si="91"/>
        <v/>
      </c>
      <c r="K597" s="18" t="str">
        <f t="shared" si="96"/>
        <v/>
      </c>
      <c r="L597" t="str">
        <f t="shared" si="97"/>
        <v/>
      </c>
      <c r="M597" s="23" t="str">
        <f ca="1">IF(A597="","",IF($B$10="Sí",interpolar_alamb(L597,OFFSET(Curvas_cupon_cero!$A$1,1,0,COUNT(Curvas_cupon_cero!$A:$A)-2,1),OFFSET(Curvas_cupon_cero!$A$1,1,MATCH($B$6,Curvas_cupon_cero!$1:$1,0)-1,COUNT(Curvas_cupon_cero!$A:$A)-2,1)),[1]!interpolar(L597,OFFSET(Curvas_cupon_cero!$A$1,1,0,COUNT(Curvas_cupon_cero!$A:$A)-2,1),OFFSET(Curvas_cupon_cero!$A$1,1,MATCH($B$6,Curvas_cupon_cero!$1:$1,0)-1,COUNT(Curvas_cupon_cero!$A:$A)-2,1))))</f>
        <v/>
      </c>
      <c r="N597" s="23"/>
      <c r="O597" s="19" t="str">
        <f t="shared" si="98"/>
        <v/>
      </c>
    </row>
    <row r="598" spans="1:15" x14ac:dyDescent="0.2">
      <c r="A598" s="12" t="str">
        <f t="shared" si="92"/>
        <v/>
      </c>
      <c r="B598" t="str">
        <f t="shared" si="90"/>
        <v/>
      </c>
      <c r="C598" s="21" t="str">
        <f ca="1">IF(A598="","",IF($B$10="Sí",interpolar_alamb(B598,OFFSET(Curvas_cupon_cero!$A$1,1,0,COUNT(Curvas_cupon_cero!$A:$A)-2,1),OFFSET(Curvas_cupon_cero!$A$1,1,MATCH($B$8,Curvas_cupon_cero!$1:$1,0)-1,COUNT(Curvas_cupon_cero!$A:$A)-2,1)),[1]!interpolar(B598,OFFSET(Curvas_cupon_cero!$A$1,1,0,COUNT(Curvas_cupon_cero!$A:$A)-2,1),OFFSET(Curvas_cupon_cero!$A$1,1,MATCH($B$8,Curvas_cupon_cero!$1:$1,0)-1,COUNT(Curvas_cupon_cero!$A:$A)-2,1))))</f>
        <v/>
      </c>
      <c r="D598" s="23" t="str">
        <f ca="1">IF(A598="","",IF($B$10="Sí",interpolar_alamb(L598,OFFSET(Curvas_cupon_cero!$A$1,1,0,COUNT(Curvas_cupon_cero!$A:$A)-2,1),OFFSET(Curvas_cupon_cero!$A$1,1,MATCH($B$8,Curvas_cupon_cero!$1:$1,0)-1,COUNT(Curvas_cupon_cero!$A:$A)-2,1)),[1]!interpolar(L598,OFFSET(Curvas_cupon_cero!$A$1,1,0,COUNT(Curvas_cupon_cero!$A:$A)-2,1),OFFSET(Curvas_cupon_cero!$A$1,1,MATCH($B$8,Curvas_cupon_cero!$1:$1,0)-1,COUNT(Curvas_cupon_cero!$A:$A)-2,1))))</f>
        <v/>
      </c>
      <c r="E598" s="23" t="str">
        <f t="shared" si="93"/>
        <v/>
      </c>
      <c r="F598" s="23" t="str">
        <f ca="1">IF(A598="","",IF($B$10="Sí",interpolar_alamb(B598,OFFSET(Curvas_cupon_cero!$A$1,1,0,COUNT(Curvas_cupon_cero!$A:$A)-2,1),OFFSET(Curvas_cupon_cero!$A$1,1,MATCH($B$9,Curvas_cupon_cero!$1:$1,0)-1,COUNT(Curvas_cupon_cero!$A:$A)-2,1)),[1]!interpolar(B598,OFFSET(Curvas_cupon_cero!$A$1,1,0,COUNT(Curvas_cupon_cero!$A:$A)-2,1),OFFSET(Curvas_cupon_cero!$A$1,1,MATCH($B$9,Curvas_cupon_cero!$1:$1,0)-1,COUNT(Curvas_cupon_cero!$A:$A)-2,1))))</f>
        <v/>
      </c>
      <c r="G598" s="23" t="str">
        <f t="shared" si="94"/>
        <v/>
      </c>
      <c r="H598" s="20" t="str">
        <f t="shared" si="99"/>
        <v/>
      </c>
      <c r="I598" t="str">
        <f t="shared" si="95"/>
        <v/>
      </c>
      <c r="J598" s="17" t="str">
        <f t="shared" si="91"/>
        <v/>
      </c>
      <c r="K598" s="18" t="str">
        <f t="shared" si="96"/>
        <v/>
      </c>
      <c r="L598" t="str">
        <f t="shared" si="97"/>
        <v/>
      </c>
      <c r="M598" s="23" t="str">
        <f ca="1">IF(A598="","",IF($B$10="Sí",interpolar_alamb(L598,OFFSET(Curvas_cupon_cero!$A$1,1,0,COUNT(Curvas_cupon_cero!$A:$A)-2,1),OFFSET(Curvas_cupon_cero!$A$1,1,MATCH($B$6,Curvas_cupon_cero!$1:$1,0)-1,COUNT(Curvas_cupon_cero!$A:$A)-2,1)),[1]!interpolar(L598,OFFSET(Curvas_cupon_cero!$A$1,1,0,COUNT(Curvas_cupon_cero!$A:$A)-2,1),OFFSET(Curvas_cupon_cero!$A$1,1,MATCH($B$6,Curvas_cupon_cero!$1:$1,0)-1,COUNT(Curvas_cupon_cero!$A:$A)-2,1))))</f>
        <v/>
      </c>
      <c r="N598" s="23"/>
      <c r="O598" s="19" t="str">
        <f t="shared" si="98"/>
        <v/>
      </c>
    </row>
    <row r="599" spans="1:15" x14ac:dyDescent="0.2">
      <c r="A599" s="12" t="str">
        <f t="shared" si="92"/>
        <v/>
      </c>
      <c r="B599" t="str">
        <f t="shared" si="90"/>
        <v/>
      </c>
      <c r="C599" s="21" t="str">
        <f ca="1">IF(A599="","",IF($B$10="Sí",interpolar_alamb(B599,OFFSET(Curvas_cupon_cero!$A$1,1,0,COUNT(Curvas_cupon_cero!$A:$A)-2,1),OFFSET(Curvas_cupon_cero!$A$1,1,MATCH($B$8,Curvas_cupon_cero!$1:$1,0)-1,COUNT(Curvas_cupon_cero!$A:$A)-2,1)),[1]!interpolar(B599,OFFSET(Curvas_cupon_cero!$A$1,1,0,COUNT(Curvas_cupon_cero!$A:$A)-2,1),OFFSET(Curvas_cupon_cero!$A$1,1,MATCH($B$8,Curvas_cupon_cero!$1:$1,0)-1,COUNT(Curvas_cupon_cero!$A:$A)-2,1))))</f>
        <v/>
      </c>
      <c r="D599" s="23" t="str">
        <f ca="1">IF(A599="","",IF($B$10="Sí",interpolar_alamb(L599,OFFSET(Curvas_cupon_cero!$A$1,1,0,COUNT(Curvas_cupon_cero!$A:$A)-2,1),OFFSET(Curvas_cupon_cero!$A$1,1,MATCH($B$8,Curvas_cupon_cero!$1:$1,0)-1,COUNT(Curvas_cupon_cero!$A:$A)-2,1)),[1]!interpolar(L599,OFFSET(Curvas_cupon_cero!$A$1,1,0,COUNT(Curvas_cupon_cero!$A:$A)-2,1),OFFSET(Curvas_cupon_cero!$A$1,1,MATCH($B$8,Curvas_cupon_cero!$1:$1,0)-1,COUNT(Curvas_cupon_cero!$A:$A)-2,1))))</f>
        <v/>
      </c>
      <c r="E599" s="23" t="str">
        <f t="shared" si="93"/>
        <v/>
      </c>
      <c r="F599" s="23" t="str">
        <f ca="1">IF(A599="","",IF($B$10="Sí",interpolar_alamb(B599,OFFSET(Curvas_cupon_cero!$A$1,1,0,COUNT(Curvas_cupon_cero!$A:$A)-2,1),OFFSET(Curvas_cupon_cero!$A$1,1,MATCH($B$9,Curvas_cupon_cero!$1:$1,0)-1,COUNT(Curvas_cupon_cero!$A:$A)-2,1)),[1]!interpolar(B599,OFFSET(Curvas_cupon_cero!$A$1,1,0,COUNT(Curvas_cupon_cero!$A:$A)-2,1),OFFSET(Curvas_cupon_cero!$A$1,1,MATCH($B$9,Curvas_cupon_cero!$1:$1,0)-1,COUNT(Curvas_cupon_cero!$A:$A)-2,1))))</f>
        <v/>
      </c>
      <c r="G599" s="23" t="str">
        <f t="shared" si="94"/>
        <v/>
      </c>
      <c r="H599" s="20" t="str">
        <f t="shared" si="99"/>
        <v/>
      </c>
      <c r="I599" t="str">
        <f t="shared" si="95"/>
        <v/>
      </c>
      <c r="J599" s="17" t="str">
        <f t="shared" si="91"/>
        <v/>
      </c>
      <c r="K599" s="18" t="str">
        <f t="shared" si="96"/>
        <v/>
      </c>
      <c r="L599" t="str">
        <f t="shared" si="97"/>
        <v/>
      </c>
      <c r="M599" s="23" t="str">
        <f ca="1">IF(A599="","",IF($B$10="Sí",interpolar_alamb(L599,OFFSET(Curvas_cupon_cero!$A$1,1,0,COUNT(Curvas_cupon_cero!$A:$A)-2,1),OFFSET(Curvas_cupon_cero!$A$1,1,MATCH($B$6,Curvas_cupon_cero!$1:$1,0)-1,COUNT(Curvas_cupon_cero!$A:$A)-2,1)),[1]!interpolar(L599,OFFSET(Curvas_cupon_cero!$A$1,1,0,COUNT(Curvas_cupon_cero!$A:$A)-2,1),OFFSET(Curvas_cupon_cero!$A$1,1,MATCH($B$6,Curvas_cupon_cero!$1:$1,0)-1,COUNT(Curvas_cupon_cero!$A:$A)-2,1))))</f>
        <v/>
      </c>
      <c r="N599" s="23"/>
      <c r="O599" s="19" t="str">
        <f t="shared" si="98"/>
        <v/>
      </c>
    </row>
    <row r="600" spans="1:15" x14ac:dyDescent="0.2">
      <c r="A600" s="12" t="str">
        <f t="shared" si="92"/>
        <v/>
      </c>
      <c r="B600" t="str">
        <f t="shared" si="90"/>
        <v/>
      </c>
      <c r="C600" s="21" t="str">
        <f ca="1">IF(A600="","",IF($B$10="Sí",interpolar_alamb(B600,OFFSET(Curvas_cupon_cero!$A$1,1,0,COUNT(Curvas_cupon_cero!$A:$A)-2,1),OFFSET(Curvas_cupon_cero!$A$1,1,MATCH($B$8,Curvas_cupon_cero!$1:$1,0)-1,COUNT(Curvas_cupon_cero!$A:$A)-2,1)),[1]!interpolar(B600,OFFSET(Curvas_cupon_cero!$A$1,1,0,COUNT(Curvas_cupon_cero!$A:$A)-2,1),OFFSET(Curvas_cupon_cero!$A$1,1,MATCH($B$8,Curvas_cupon_cero!$1:$1,0)-1,COUNT(Curvas_cupon_cero!$A:$A)-2,1))))</f>
        <v/>
      </c>
      <c r="D600" s="23" t="str">
        <f ca="1">IF(A600="","",IF($B$10="Sí",interpolar_alamb(L600,OFFSET(Curvas_cupon_cero!$A$1,1,0,COUNT(Curvas_cupon_cero!$A:$A)-2,1),OFFSET(Curvas_cupon_cero!$A$1,1,MATCH($B$8,Curvas_cupon_cero!$1:$1,0)-1,COUNT(Curvas_cupon_cero!$A:$A)-2,1)),[1]!interpolar(L600,OFFSET(Curvas_cupon_cero!$A$1,1,0,COUNT(Curvas_cupon_cero!$A:$A)-2,1),OFFSET(Curvas_cupon_cero!$A$1,1,MATCH($B$8,Curvas_cupon_cero!$1:$1,0)-1,COUNT(Curvas_cupon_cero!$A:$A)-2,1))))</f>
        <v/>
      </c>
      <c r="E600" s="23" t="str">
        <f t="shared" si="93"/>
        <v/>
      </c>
      <c r="F600" s="23" t="str">
        <f ca="1">IF(A600="","",IF($B$10="Sí",interpolar_alamb(B600,OFFSET(Curvas_cupon_cero!$A$1,1,0,COUNT(Curvas_cupon_cero!$A:$A)-2,1),OFFSET(Curvas_cupon_cero!$A$1,1,MATCH($B$9,Curvas_cupon_cero!$1:$1,0)-1,COUNT(Curvas_cupon_cero!$A:$A)-2,1)),[1]!interpolar(B600,OFFSET(Curvas_cupon_cero!$A$1,1,0,COUNT(Curvas_cupon_cero!$A:$A)-2,1),OFFSET(Curvas_cupon_cero!$A$1,1,MATCH($B$9,Curvas_cupon_cero!$1:$1,0)-1,COUNT(Curvas_cupon_cero!$A:$A)-2,1))))</f>
        <v/>
      </c>
      <c r="G600" s="23" t="str">
        <f t="shared" si="94"/>
        <v/>
      </c>
      <c r="H600" s="20" t="str">
        <f t="shared" si="99"/>
        <v/>
      </c>
      <c r="I600" t="str">
        <f t="shared" si="95"/>
        <v/>
      </c>
      <c r="J600" s="17" t="str">
        <f t="shared" si="91"/>
        <v/>
      </c>
      <c r="K600" s="18" t="str">
        <f t="shared" si="96"/>
        <v/>
      </c>
      <c r="L600" t="str">
        <f t="shared" si="97"/>
        <v/>
      </c>
      <c r="M600" s="23" t="str">
        <f ca="1">IF(A600="","",IF($B$10="Sí",interpolar_alamb(L600,OFFSET(Curvas_cupon_cero!$A$1,1,0,COUNT(Curvas_cupon_cero!$A:$A)-2,1),OFFSET(Curvas_cupon_cero!$A$1,1,MATCH($B$6,Curvas_cupon_cero!$1:$1,0)-1,COUNT(Curvas_cupon_cero!$A:$A)-2,1)),[1]!interpolar(L600,OFFSET(Curvas_cupon_cero!$A$1,1,0,COUNT(Curvas_cupon_cero!$A:$A)-2,1),OFFSET(Curvas_cupon_cero!$A$1,1,MATCH($B$6,Curvas_cupon_cero!$1:$1,0)-1,COUNT(Curvas_cupon_cero!$A:$A)-2,1))))</f>
        <v/>
      </c>
      <c r="N600" s="23"/>
      <c r="O600" s="19" t="str">
        <f t="shared" si="98"/>
        <v/>
      </c>
    </row>
    <row r="601" spans="1:15" x14ac:dyDescent="0.2">
      <c r="A601" s="12" t="str">
        <f t="shared" si="92"/>
        <v/>
      </c>
      <c r="B601" t="str">
        <f t="shared" si="90"/>
        <v/>
      </c>
      <c r="C601" s="21" t="str">
        <f ca="1">IF(A601="","",IF($B$10="Sí",interpolar_alamb(B601,OFFSET(Curvas_cupon_cero!$A$1,1,0,COUNT(Curvas_cupon_cero!$A:$A)-2,1),OFFSET(Curvas_cupon_cero!$A$1,1,MATCH($B$8,Curvas_cupon_cero!$1:$1,0)-1,COUNT(Curvas_cupon_cero!$A:$A)-2,1)),[1]!interpolar(B601,OFFSET(Curvas_cupon_cero!$A$1,1,0,COUNT(Curvas_cupon_cero!$A:$A)-2,1),OFFSET(Curvas_cupon_cero!$A$1,1,MATCH($B$8,Curvas_cupon_cero!$1:$1,0)-1,COUNT(Curvas_cupon_cero!$A:$A)-2,1))))</f>
        <v/>
      </c>
      <c r="D601" s="23" t="str">
        <f ca="1">IF(A601="","",IF($B$10="Sí",interpolar_alamb(L601,OFFSET(Curvas_cupon_cero!$A$1,1,0,COUNT(Curvas_cupon_cero!$A:$A)-2,1),OFFSET(Curvas_cupon_cero!$A$1,1,MATCH($B$8,Curvas_cupon_cero!$1:$1,0)-1,COUNT(Curvas_cupon_cero!$A:$A)-2,1)),[1]!interpolar(L601,OFFSET(Curvas_cupon_cero!$A$1,1,0,COUNT(Curvas_cupon_cero!$A:$A)-2,1),OFFSET(Curvas_cupon_cero!$A$1,1,MATCH($B$8,Curvas_cupon_cero!$1:$1,0)-1,COUNT(Curvas_cupon_cero!$A:$A)-2,1))))</f>
        <v/>
      </c>
      <c r="E601" s="23" t="str">
        <f t="shared" si="93"/>
        <v/>
      </c>
      <c r="F601" s="23" t="str">
        <f ca="1">IF(A601="","",IF($B$10="Sí",interpolar_alamb(B601,OFFSET(Curvas_cupon_cero!$A$1,1,0,COUNT(Curvas_cupon_cero!$A:$A)-2,1),OFFSET(Curvas_cupon_cero!$A$1,1,MATCH($B$9,Curvas_cupon_cero!$1:$1,0)-1,COUNT(Curvas_cupon_cero!$A:$A)-2,1)),[1]!interpolar(B601,OFFSET(Curvas_cupon_cero!$A$1,1,0,COUNT(Curvas_cupon_cero!$A:$A)-2,1),OFFSET(Curvas_cupon_cero!$A$1,1,MATCH($B$9,Curvas_cupon_cero!$1:$1,0)-1,COUNT(Curvas_cupon_cero!$A:$A)-2,1))))</f>
        <v/>
      </c>
      <c r="G601" s="23" t="str">
        <f t="shared" si="94"/>
        <v/>
      </c>
      <c r="H601" s="20" t="str">
        <f t="shared" si="99"/>
        <v/>
      </c>
      <c r="I601" t="str">
        <f t="shared" si="95"/>
        <v/>
      </c>
      <c r="J601" s="17" t="str">
        <f t="shared" si="91"/>
        <v/>
      </c>
      <c r="K601" s="18" t="str">
        <f t="shared" si="96"/>
        <v/>
      </c>
      <c r="L601" t="str">
        <f t="shared" si="97"/>
        <v/>
      </c>
      <c r="M601" s="23" t="str">
        <f ca="1">IF(A601="","",IF($B$10="Sí",interpolar_alamb(L601,OFFSET(Curvas_cupon_cero!$A$1,1,0,COUNT(Curvas_cupon_cero!$A:$A)-2,1),OFFSET(Curvas_cupon_cero!$A$1,1,MATCH($B$6,Curvas_cupon_cero!$1:$1,0)-1,COUNT(Curvas_cupon_cero!$A:$A)-2,1)),[1]!interpolar(L601,OFFSET(Curvas_cupon_cero!$A$1,1,0,COUNT(Curvas_cupon_cero!$A:$A)-2,1),OFFSET(Curvas_cupon_cero!$A$1,1,MATCH($B$6,Curvas_cupon_cero!$1:$1,0)-1,COUNT(Curvas_cupon_cero!$A:$A)-2,1))))</f>
        <v/>
      </c>
      <c r="N601" s="23"/>
      <c r="O601" s="19" t="str">
        <f t="shared" si="98"/>
        <v/>
      </c>
    </row>
    <row r="602" spans="1:15" x14ac:dyDescent="0.2">
      <c r="A602" s="12" t="str">
        <f t="shared" si="92"/>
        <v/>
      </c>
      <c r="B602" t="str">
        <f t="shared" si="90"/>
        <v/>
      </c>
      <c r="C602" s="21" t="str">
        <f ca="1">IF(A602="","",IF($B$10="Sí",interpolar_alamb(B602,OFFSET(Curvas_cupon_cero!$A$1,1,0,COUNT(Curvas_cupon_cero!$A:$A)-2,1),OFFSET(Curvas_cupon_cero!$A$1,1,MATCH($B$8,Curvas_cupon_cero!$1:$1,0)-1,COUNT(Curvas_cupon_cero!$A:$A)-2,1)),[1]!interpolar(B602,OFFSET(Curvas_cupon_cero!$A$1,1,0,COUNT(Curvas_cupon_cero!$A:$A)-2,1),OFFSET(Curvas_cupon_cero!$A$1,1,MATCH($B$8,Curvas_cupon_cero!$1:$1,0)-1,COUNT(Curvas_cupon_cero!$A:$A)-2,1))))</f>
        <v/>
      </c>
      <c r="D602" s="23" t="str">
        <f ca="1">IF(A602="","",IF($B$10="Sí",interpolar_alamb(L602,OFFSET(Curvas_cupon_cero!$A$1,1,0,COUNT(Curvas_cupon_cero!$A:$A)-2,1),OFFSET(Curvas_cupon_cero!$A$1,1,MATCH($B$8,Curvas_cupon_cero!$1:$1,0)-1,COUNT(Curvas_cupon_cero!$A:$A)-2,1)),[1]!interpolar(L602,OFFSET(Curvas_cupon_cero!$A$1,1,0,COUNT(Curvas_cupon_cero!$A:$A)-2,1),OFFSET(Curvas_cupon_cero!$A$1,1,MATCH($B$8,Curvas_cupon_cero!$1:$1,0)-1,COUNT(Curvas_cupon_cero!$A:$A)-2,1))))</f>
        <v/>
      </c>
      <c r="E602" s="23" t="str">
        <f t="shared" si="93"/>
        <v/>
      </c>
      <c r="F602" s="23" t="str">
        <f ca="1">IF(A602="","",IF($B$10="Sí",interpolar_alamb(B602,OFFSET(Curvas_cupon_cero!$A$1,1,0,COUNT(Curvas_cupon_cero!$A:$A)-2,1),OFFSET(Curvas_cupon_cero!$A$1,1,MATCH($B$9,Curvas_cupon_cero!$1:$1,0)-1,COUNT(Curvas_cupon_cero!$A:$A)-2,1)),[1]!interpolar(B602,OFFSET(Curvas_cupon_cero!$A$1,1,0,COUNT(Curvas_cupon_cero!$A:$A)-2,1),OFFSET(Curvas_cupon_cero!$A$1,1,MATCH($B$9,Curvas_cupon_cero!$1:$1,0)-1,COUNT(Curvas_cupon_cero!$A:$A)-2,1))))</f>
        <v/>
      </c>
      <c r="G602" s="23" t="str">
        <f t="shared" si="94"/>
        <v/>
      </c>
      <c r="H602" s="20" t="str">
        <f t="shared" si="99"/>
        <v/>
      </c>
      <c r="I602" t="str">
        <f t="shared" si="95"/>
        <v/>
      </c>
      <c r="J602" s="17" t="str">
        <f t="shared" si="91"/>
        <v/>
      </c>
      <c r="K602" s="18" t="str">
        <f t="shared" si="96"/>
        <v/>
      </c>
      <c r="L602" t="str">
        <f t="shared" si="97"/>
        <v/>
      </c>
      <c r="M602" s="23" t="str">
        <f ca="1">IF(A602="","",IF($B$10="Sí",interpolar_alamb(L602,OFFSET(Curvas_cupon_cero!$A$1,1,0,COUNT(Curvas_cupon_cero!$A:$A)-2,1),OFFSET(Curvas_cupon_cero!$A$1,1,MATCH($B$6,Curvas_cupon_cero!$1:$1,0)-1,COUNT(Curvas_cupon_cero!$A:$A)-2,1)),[1]!interpolar(L602,OFFSET(Curvas_cupon_cero!$A$1,1,0,COUNT(Curvas_cupon_cero!$A:$A)-2,1),OFFSET(Curvas_cupon_cero!$A$1,1,MATCH($B$6,Curvas_cupon_cero!$1:$1,0)-1,COUNT(Curvas_cupon_cero!$A:$A)-2,1))))</f>
        <v/>
      </c>
      <c r="N602" s="23"/>
      <c r="O602" s="19" t="str">
        <f t="shared" si="98"/>
        <v/>
      </c>
    </row>
    <row r="603" spans="1:15" x14ac:dyDescent="0.2">
      <c r="A603" s="12" t="str">
        <f t="shared" si="92"/>
        <v/>
      </c>
      <c r="B603" t="str">
        <f t="shared" si="90"/>
        <v/>
      </c>
      <c r="C603" s="21" t="str">
        <f ca="1">IF(A603="","",IF($B$10="Sí",interpolar_alamb(B603,OFFSET(Curvas_cupon_cero!$A$1,1,0,COUNT(Curvas_cupon_cero!$A:$A)-2,1),OFFSET(Curvas_cupon_cero!$A$1,1,MATCH($B$8,Curvas_cupon_cero!$1:$1,0)-1,COUNT(Curvas_cupon_cero!$A:$A)-2,1)),[1]!interpolar(B603,OFFSET(Curvas_cupon_cero!$A$1,1,0,COUNT(Curvas_cupon_cero!$A:$A)-2,1),OFFSET(Curvas_cupon_cero!$A$1,1,MATCH($B$8,Curvas_cupon_cero!$1:$1,0)-1,COUNT(Curvas_cupon_cero!$A:$A)-2,1))))</f>
        <v/>
      </c>
      <c r="D603" s="23" t="str">
        <f ca="1">IF(A603="","",IF($B$10="Sí",interpolar_alamb(L603,OFFSET(Curvas_cupon_cero!$A$1,1,0,COUNT(Curvas_cupon_cero!$A:$A)-2,1),OFFSET(Curvas_cupon_cero!$A$1,1,MATCH($B$8,Curvas_cupon_cero!$1:$1,0)-1,COUNT(Curvas_cupon_cero!$A:$A)-2,1)),[1]!interpolar(L603,OFFSET(Curvas_cupon_cero!$A$1,1,0,COUNT(Curvas_cupon_cero!$A:$A)-2,1),OFFSET(Curvas_cupon_cero!$A$1,1,MATCH($B$8,Curvas_cupon_cero!$1:$1,0)-1,COUNT(Curvas_cupon_cero!$A:$A)-2,1))))</f>
        <v/>
      </c>
      <c r="E603" s="23" t="str">
        <f t="shared" si="93"/>
        <v/>
      </c>
      <c r="F603" s="23" t="str">
        <f ca="1">IF(A603="","",IF($B$10="Sí",interpolar_alamb(B603,OFFSET(Curvas_cupon_cero!$A$1,1,0,COUNT(Curvas_cupon_cero!$A:$A)-2,1),OFFSET(Curvas_cupon_cero!$A$1,1,MATCH($B$9,Curvas_cupon_cero!$1:$1,0)-1,COUNT(Curvas_cupon_cero!$A:$A)-2,1)),[1]!interpolar(B603,OFFSET(Curvas_cupon_cero!$A$1,1,0,COUNT(Curvas_cupon_cero!$A:$A)-2,1),OFFSET(Curvas_cupon_cero!$A$1,1,MATCH($B$9,Curvas_cupon_cero!$1:$1,0)-1,COUNT(Curvas_cupon_cero!$A:$A)-2,1))))</f>
        <v/>
      </c>
      <c r="G603" s="23" t="str">
        <f t="shared" si="94"/>
        <v/>
      </c>
      <c r="H603" s="20" t="str">
        <f t="shared" si="99"/>
        <v/>
      </c>
      <c r="I603" t="str">
        <f t="shared" si="95"/>
        <v/>
      </c>
      <c r="J603" s="17" t="str">
        <f t="shared" si="91"/>
        <v/>
      </c>
      <c r="K603" s="18" t="str">
        <f t="shared" si="96"/>
        <v/>
      </c>
      <c r="L603" t="str">
        <f t="shared" si="97"/>
        <v/>
      </c>
      <c r="M603" s="23" t="str">
        <f ca="1">IF(A603="","",IF($B$10="Sí",interpolar_alamb(L603,OFFSET(Curvas_cupon_cero!$A$1,1,0,COUNT(Curvas_cupon_cero!$A:$A)-2,1),OFFSET(Curvas_cupon_cero!$A$1,1,MATCH($B$6,Curvas_cupon_cero!$1:$1,0)-1,COUNT(Curvas_cupon_cero!$A:$A)-2,1)),[1]!interpolar(L603,OFFSET(Curvas_cupon_cero!$A$1,1,0,COUNT(Curvas_cupon_cero!$A:$A)-2,1),OFFSET(Curvas_cupon_cero!$A$1,1,MATCH($B$6,Curvas_cupon_cero!$1:$1,0)-1,COUNT(Curvas_cupon_cero!$A:$A)-2,1))))</f>
        <v/>
      </c>
      <c r="N603" s="23"/>
      <c r="O603" s="19" t="str">
        <f t="shared" si="98"/>
        <v/>
      </c>
    </row>
    <row r="604" spans="1:15" x14ac:dyDescent="0.2">
      <c r="A604" s="12" t="str">
        <f t="shared" si="92"/>
        <v/>
      </c>
      <c r="B604" t="str">
        <f t="shared" si="90"/>
        <v/>
      </c>
      <c r="C604" s="21" t="str">
        <f ca="1">IF(A604="","",IF($B$10="Sí",interpolar_alamb(B604,OFFSET(Curvas_cupon_cero!$A$1,1,0,COUNT(Curvas_cupon_cero!$A:$A)-2,1),OFFSET(Curvas_cupon_cero!$A$1,1,MATCH($B$8,Curvas_cupon_cero!$1:$1,0)-1,COUNT(Curvas_cupon_cero!$A:$A)-2,1)),[1]!interpolar(B604,OFFSET(Curvas_cupon_cero!$A$1,1,0,COUNT(Curvas_cupon_cero!$A:$A)-2,1),OFFSET(Curvas_cupon_cero!$A$1,1,MATCH($B$8,Curvas_cupon_cero!$1:$1,0)-1,COUNT(Curvas_cupon_cero!$A:$A)-2,1))))</f>
        <v/>
      </c>
      <c r="D604" s="23" t="str">
        <f ca="1">IF(A604="","",IF($B$10="Sí",interpolar_alamb(L604,OFFSET(Curvas_cupon_cero!$A$1,1,0,COUNT(Curvas_cupon_cero!$A:$A)-2,1),OFFSET(Curvas_cupon_cero!$A$1,1,MATCH($B$8,Curvas_cupon_cero!$1:$1,0)-1,COUNT(Curvas_cupon_cero!$A:$A)-2,1)),[1]!interpolar(L604,OFFSET(Curvas_cupon_cero!$A$1,1,0,COUNT(Curvas_cupon_cero!$A:$A)-2,1),OFFSET(Curvas_cupon_cero!$A$1,1,MATCH($B$8,Curvas_cupon_cero!$1:$1,0)-1,COUNT(Curvas_cupon_cero!$A:$A)-2,1))))</f>
        <v/>
      </c>
      <c r="E604" s="23" t="str">
        <f t="shared" si="93"/>
        <v/>
      </c>
      <c r="F604" s="23" t="str">
        <f ca="1">IF(A604="","",IF($B$10="Sí",interpolar_alamb(B604,OFFSET(Curvas_cupon_cero!$A$1,1,0,COUNT(Curvas_cupon_cero!$A:$A)-2,1),OFFSET(Curvas_cupon_cero!$A$1,1,MATCH($B$9,Curvas_cupon_cero!$1:$1,0)-1,COUNT(Curvas_cupon_cero!$A:$A)-2,1)),[1]!interpolar(B604,OFFSET(Curvas_cupon_cero!$A$1,1,0,COUNT(Curvas_cupon_cero!$A:$A)-2,1),OFFSET(Curvas_cupon_cero!$A$1,1,MATCH($B$9,Curvas_cupon_cero!$1:$1,0)-1,COUNT(Curvas_cupon_cero!$A:$A)-2,1))))</f>
        <v/>
      </c>
      <c r="G604" s="23" t="str">
        <f t="shared" si="94"/>
        <v/>
      </c>
      <c r="H604" s="20" t="str">
        <f t="shared" si="99"/>
        <v/>
      </c>
      <c r="I604" t="str">
        <f t="shared" si="95"/>
        <v/>
      </c>
      <c r="J604" s="17" t="str">
        <f t="shared" si="91"/>
        <v/>
      </c>
      <c r="K604" s="18" t="str">
        <f t="shared" si="96"/>
        <v/>
      </c>
      <c r="L604" t="str">
        <f t="shared" si="97"/>
        <v/>
      </c>
      <c r="M604" s="23" t="str">
        <f ca="1">IF(A604="","",IF($B$10="Sí",interpolar_alamb(L604,OFFSET(Curvas_cupon_cero!$A$1,1,0,COUNT(Curvas_cupon_cero!$A:$A)-2,1),OFFSET(Curvas_cupon_cero!$A$1,1,MATCH($B$6,Curvas_cupon_cero!$1:$1,0)-1,COUNT(Curvas_cupon_cero!$A:$A)-2,1)),[1]!interpolar(L604,OFFSET(Curvas_cupon_cero!$A$1,1,0,COUNT(Curvas_cupon_cero!$A:$A)-2,1),OFFSET(Curvas_cupon_cero!$A$1,1,MATCH($B$6,Curvas_cupon_cero!$1:$1,0)-1,COUNT(Curvas_cupon_cero!$A:$A)-2,1))))</f>
        <v/>
      </c>
      <c r="N604" s="23"/>
      <c r="O604" s="19" t="str">
        <f t="shared" si="98"/>
        <v/>
      </c>
    </row>
    <row r="605" spans="1:15" x14ac:dyDescent="0.2">
      <c r="A605" s="12" t="str">
        <f t="shared" si="92"/>
        <v/>
      </c>
      <c r="B605" t="str">
        <f t="shared" si="90"/>
        <v/>
      </c>
      <c r="C605" s="21" t="str">
        <f ca="1">IF(A605="","",IF($B$10="Sí",interpolar_alamb(B605,OFFSET(Curvas_cupon_cero!$A$1,1,0,COUNT(Curvas_cupon_cero!$A:$A)-2,1),OFFSET(Curvas_cupon_cero!$A$1,1,MATCH($B$8,Curvas_cupon_cero!$1:$1,0)-1,COUNT(Curvas_cupon_cero!$A:$A)-2,1)),[1]!interpolar(B605,OFFSET(Curvas_cupon_cero!$A$1,1,0,COUNT(Curvas_cupon_cero!$A:$A)-2,1),OFFSET(Curvas_cupon_cero!$A$1,1,MATCH($B$8,Curvas_cupon_cero!$1:$1,0)-1,COUNT(Curvas_cupon_cero!$A:$A)-2,1))))</f>
        <v/>
      </c>
      <c r="D605" s="23" t="str">
        <f ca="1">IF(A605="","",IF($B$10="Sí",interpolar_alamb(L605,OFFSET(Curvas_cupon_cero!$A$1,1,0,COUNT(Curvas_cupon_cero!$A:$A)-2,1),OFFSET(Curvas_cupon_cero!$A$1,1,MATCH($B$8,Curvas_cupon_cero!$1:$1,0)-1,COUNT(Curvas_cupon_cero!$A:$A)-2,1)),[1]!interpolar(L605,OFFSET(Curvas_cupon_cero!$A$1,1,0,COUNT(Curvas_cupon_cero!$A:$A)-2,1),OFFSET(Curvas_cupon_cero!$A$1,1,MATCH($B$8,Curvas_cupon_cero!$1:$1,0)-1,COUNT(Curvas_cupon_cero!$A:$A)-2,1))))</f>
        <v/>
      </c>
      <c r="E605" s="23" t="str">
        <f t="shared" si="93"/>
        <v/>
      </c>
      <c r="F605" s="23" t="str">
        <f ca="1">IF(A605="","",IF($B$10="Sí",interpolar_alamb(B605,OFFSET(Curvas_cupon_cero!$A$1,1,0,COUNT(Curvas_cupon_cero!$A:$A)-2,1),OFFSET(Curvas_cupon_cero!$A$1,1,MATCH($B$9,Curvas_cupon_cero!$1:$1,0)-1,COUNT(Curvas_cupon_cero!$A:$A)-2,1)),[1]!interpolar(B605,OFFSET(Curvas_cupon_cero!$A$1,1,0,COUNT(Curvas_cupon_cero!$A:$A)-2,1),OFFSET(Curvas_cupon_cero!$A$1,1,MATCH($B$9,Curvas_cupon_cero!$1:$1,0)-1,COUNT(Curvas_cupon_cero!$A:$A)-2,1))))</f>
        <v/>
      </c>
      <c r="G605" s="23" t="str">
        <f t="shared" si="94"/>
        <v/>
      </c>
      <c r="H605" s="20" t="str">
        <f t="shared" si="99"/>
        <v/>
      </c>
      <c r="I605" t="str">
        <f t="shared" si="95"/>
        <v/>
      </c>
      <c r="J605" s="17" t="str">
        <f t="shared" si="91"/>
        <v/>
      </c>
      <c r="K605" s="18" t="str">
        <f t="shared" si="96"/>
        <v/>
      </c>
      <c r="L605" t="str">
        <f t="shared" si="97"/>
        <v/>
      </c>
      <c r="M605" s="23" t="str">
        <f ca="1">IF(A605="","",IF($B$10="Sí",interpolar_alamb(L605,OFFSET(Curvas_cupon_cero!$A$1,1,0,COUNT(Curvas_cupon_cero!$A:$A)-2,1),OFFSET(Curvas_cupon_cero!$A$1,1,MATCH($B$6,Curvas_cupon_cero!$1:$1,0)-1,COUNT(Curvas_cupon_cero!$A:$A)-2,1)),[1]!interpolar(L605,OFFSET(Curvas_cupon_cero!$A$1,1,0,COUNT(Curvas_cupon_cero!$A:$A)-2,1),OFFSET(Curvas_cupon_cero!$A$1,1,MATCH($B$6,Curvas_cupon_cero!$1:$1,0)-1,COUNT(Curvas_cupon_cero!$A:$A)-2,1))))</f>
        <v/>
      </c>
      <c r="N605" s="23"/>
      <c r="O605" s="19" t="str">
        <f t="shared" si="98"/>
        <v/>
      </c>
    </row>
    <row r="606" spans="1:15" x14ac:dyDescent="0.2">
      <c r="A606" s="12" t="str">
        <f t="shared" si="92"/>
        <v/>
      </c>
      <c r="B606" t="str">
        <f t="shared" si="90"/>
        <v/>
      </c>
      <c r="C606" s="21" t="str">
        <f ca="1">IF(A606="","",IF($B$10="Sí",interpolar_alamb(B606,OFFSET(Curvas_cupon_cero!$A$1,1,0,COUNT(Curvas_cupon_cero!$A:$A)-2,1),OFFSET(Curvas_cupon_cero!$A$1,1,MATCH($B$8,Curvas_cupon_cero!$1:$1,0)-1,COUNT(Curvas_cupon_cero!$A:$A)-2,1)),[1]!interpolar(B606,OFFSET(Curvas_cupon_cero!$A$1,1,0,COUNT(Curvas_cupon_cero!$A:$A)-2,1),OFFSET(Curvas_cupon_cero!$A$1,1,MATCH($B$8,Curvas_cupon_cero!$1:$1,0)-1,COUNT(Curvas_cupon_cero!$A:$A)-2,1))))</f>
        <v/>
      </c>
      <c r="D606" s="23" t="str">
        <f ca="1">IF(A606="","",IF($B$10="Sí",interpolar_alamb(L606,OFFSET(Curvas_cupon_cero!$A$1,1,0,COUNT(Curvas_cupon_cero!$A:$A)-2,1),OFFSET(Curvas_cupon_cero!$A$1,1,MATCH($B$8,Curvas_cupon_cero!$1:$1,0)-1,COUNT(Curvas_cupon_cero!$A:$A)-2,1)),[1]!interpolar(L606,OFFSET(Curvas_cupon_cero!$A$1,1,0,COUNT(Curvas_cupon_cero!$A:$A)-2,1),OFFSET(Curvas_cupon_cero!$A$1,1,MATCH($B$8,Curvas_cupon_cero!$1:$1,0)-1,COUNT(Curvas_cupon_cero!$A:$A)-2,1))))</f>
        <v/>
      </c>
      <c r="E606" s="23" t="str">
        <f t="shared" si="93"/>
        <v/>
      </c>
      <c r="F606" s="23" t="str">
        <f ca="1">IF(A606="","",IF($B$10="Sí",interpolar_alamb(B606,OFFSET(Curvas_cupon_cero!$A$1,1,0,COUNT(Curvas_cupon_cero!$A:$A)-2,1),OFFSET(Curvas_cupon_cero!$A$1,1,MATCH($B$9,Curvas_cupon_cero!$1:$1,0)-1,COUNT(Curvas_cupon_cero!$A:$A)-2,1)),[1]!interpolar(B606,OFFSET(Curvas_cupon_cero!$A$1,1,0,COUNT(Curvas_cupon_cero!$A:$A)-2,1),OFFSET(Curvas_cupon_cero!$A$1,1,MATCH($B$9,Curvas_cupon_cero!$1:$1,0)-1,COUNT(Curvas_cupon_cero!$A:$A)-2,1))))</f>
        <v/>
      </c>
      <c r="G606" s="23" t="str">
        <f t="shared" si="94"/>
        <v/>
      </c>
      <c r="H606" s="20" t="str">
        <f t="shared" si="99"/>
        <v/>
      </c>
      <c r="I606" t="str">
        <f t="shared" si="95"/>
        <v/>
      </c>
      <c r="J606" s="17" t="str">
        <f t="shared" si="91"/>
        <v/>
      </c>
      <c r="K606" s="18" t="str">
        <f t="shared" si="96"/>
        <v/>
      </c>
      <c r="L606" t="str">
        <f t="shared" si="97"/>
        <v/>
      </c>
      <c r="M606" s="23" t="str">
        <f ca="1">IF(A606="","",IF($B$10="Sí",interpolar_alamb(L606,OFFSET(Curvas_cupon_cero!$A$1,1,0,COUNT(Curvas_cupon_cero!$A:$A)-2,1),OFFSET(Curvas_cupon_cero!$A$1,1,MATCH($B$6,Curvas_cupon_cero!$1:$1,0)-1,COUNT(Curvas_cupon_cero!$A:$A)-2,1)),[1]!interpolar(L606,OFFSET(Curvas_cupon_cero!$A$1,1,0,COUNT(Curvas_cupon_cero!$A:$A)-2,1),OFFSET(Curvas_cupon_cero!$A$1,1,MATCH($B$6,Curvas_cupon_cero!$1:$1,0)-1,COUNT(Curvas_cupon_cero!$A:$A)-2,1))))</f>
        <v/>
      </c>
      <c r="N606" s="23"/>
      <c r="O606" s="19" t="str">
        <f t="shared" si="98"/>
        <v/>
      </c>
    </row>
    <row r="607" spans="1:15" x14ac:dyDescent="0.2">
      <c r="A607" s="12" t="str">
        <f t="shared" si="92"/>
        <v/>
      </c>
      <c r="B607" t="str">
        <f t="shared" si="90"/>
        <v/>
      </c>
      <c r="C607" s="21" t="str">
        <f ca="1">IF(A607="","",IF($B$10="Sí",interpolar_alamb(B607,OFFSET(Curvas_cupon_cero!$A$1,1,0,COUNT(Curvas_cupon_cero!$A:$A)-2,1),OFFSET(Curvas_cupon_cero!$A$1,1,MATCH($B$8,Curvas_cupon_cero!$1:$1,0)-1,COUNT(Curvas_cupon_cero!$A:$A)-2,1)),[1]!interpolar(B607,OFFSET(Curvas_cupon_cero!$A$1,1,0,COUNT(Curvas_cupon_cero!$A:$A)-2,1),OFFSET(Curvas_cupon_cero!$A$1,1,MATCH($B$8,Curvas_cupon_cero!$1:$1,0)-1,COUNT(Curvas_cupon_cero!$A:$A)-2,1))))</f>
        <v/>
      </c>
      <c r="D607" s="23" t="str">
        <f ca="1">IF(A607="","",IF($B$10="Sí",interpolar_alamb(L607,OFFSET(Curvas_cupon_cero!$A$1,1,0,COUNT(Curvas_cupon_cero!$A:$A)-2,1),OFFSET(Curvas_cupon_cero!$A$1,1,MATCH($B$8,Curvas_cupon_cero!$1:$1,0)-1,COUNT(Curvas_cupon_cero!$A:$A)-2,1)),[1]!interpolar(L607,OFFSET(Curvas_cupon_cero!$A$1,1,0,COUNT(Curvas_cupon_cero!$A:$A)-2,1),OFFSET(Curvas_cupon_cero!$A$1,1,MATCH($B$8,Curvas_cupon_cero!$1:$1,0)-1,COUNT(Curvas_cupon_cero!$A:$A)-2,1))))</f>
        <v/>
      </c>
      <c r="E607" s="23" t="str">
        <f t="shared" si="93"/>
        <v/>
      </c>
      <c r="F607" s="23" t="str">
        <f ca="1">IF(A607="","",IF($B$10="Sí",interpolar_alamb(B607,OFFSET(Curvas_cupon_cero!$A$1,1,0,COUNT(Curvas_cupon_cero!$A:$A)-2,1),OFFSET(Curvas_cupon_cero!$A$1,1,MATCH($B$9,Curvas_cupon_cero!$1:$1,0)-1,COUNT(Curvas_cupon_cero!$A:$A)-2,1)),[1]!interpolar(B607,OFFSET(Curvas_cupon_cero!$A$1,1,0,COUNT(Curvas_cupon_cero!$A:$A)-2,1),OFFSET(Curvas_cupon_cero!$A$1,1,MATCH($B$9,Curvas_cupon_cero!$1:$1,0)-1,COUNT(Curvas_cupon_cero!$A:$A)-2,1))))</f>
        <v/>
      </c>
      <c r="G607" s="23" t="str">
        <f t="shared" si="94"/>
        <v/>
      </c>
      <c r="H607" s="20" t="str">
        <f t="shared" si="99"/>
        <v/>
      </c>
      <c r="I607" t="str">
        <f t="shared" si="95"/>
        <v/>
      </c>
      <c r="J607" s="17" t="str">
        <f t="shared" si="91"/>
        <v/>
      </c>
      <c r="K607" s="18" t="str">
        <f t="shared" si="96"/>
        <v/>
      </c>
      <c r="L607" t="str">
        <f t="shared" si="97"/>
        <v/>
      </c>
      <c r="M607" s="23" t="str">
        <f ca="1">IF(A607="","",IF($B$10="Sí",interpolar_alamb(L607,OFFSET(Curvas_cupon_cero!$A$1,1,0,COUNT(Curvas_cupon_cero!$A:$A)-2,1),OFFSET(Curvas_cupon_cero!$A$1,1,MATCH($B$6,Curvas_cupon_cero!$1:$1,0)-1,COUNT(Curvas_cupon_cero!$A:$A)-2,1)),[1]!interpolar(L607,OFFSET(Curvas_cupon_cero!$A$1,1,0,COUNT(Curvas_cupon_cero!$A:$A)-2,1),OFFSET(Curvas_cupon_cero!$A$1,1,MATCH($B$6,Curvas_cupon_cero!$1:$1,0)-1,COUNT(Curvas_cupon_cero!$A:$A)-2,1))))</f>
        <v/>
      </c>
      <c r="N607" s="23"/>
      <c r="O607" s="19" t="str">
        <f t="shared" si="98"/>
        <v/>
      </c>
    </row>
    <row r="608" spans="1:15" x14ac:dyDescent="0.2">
      <c r="A608" s="12" t="str">
        <f t="shared" si="92"/>
        <v/>
      </c>
      <c r="B608" t="str">
        <f t="shared" si="90"/>
        <v/>
      </c>
      <c r="C608" s="21" t="str">
        <f ca="1">IF(A608="","",IF($B$10="Sí",interpolar_alamb(B608,OFFSET(Curvas_cupon_cero!$A$1,1,0,COUNT(Curvas_cupon_cero!$A:$A)-2,1),OFFSET(Curvas_cupon_cero!$A$1,1,MATCH($B$8,Curvas_cupon_cero!$1:$1,0)-1,COUNT(Curvas_cupon_cero!$A:$A)-2,1)),[1]!interpolar(B608,OFFSET(Curvas_cupon_cero!$A$1,1,0,COUNT(Curvas_cupon_cero!$A:$A)-2,1),OFFSET(Curvas_cupon_cero!$A$1,1,MATCH($B$8,Curvas_cupon_cero!$1:$1,0)-1,COUNT(Curvas_cupon_cero!$A:$A)-2,1))))</f>
        <v/>
      </c>
      <c r="D608" s="23" t="str">
        <f ca="1">IF(A608="","",IF($B$10="Sí",interpolar_alamb(L608,OFFSET(Curvas_cupon_cero!$A$1,1,0,COUNT(Curvas_cupon_cero!$A:$A)-2,1),OFFSET(Curvas_cupon_cero!$A$1,1,MATCH($B$8,Curvas_cupon_cero!$1:$1,0)-1,COUNT(Curvas_cupon_cero!$A:$A)-2,1)),[1]!interpolar(L608,OFFSET(Curvas_cupon_cero!$A$1,1,0,COUNT(Curvas_cupon_cero!$A:$A)-2,1),OFFSET(Curvas_cupon_cero!$A$1,1,MATCH($B$8,Curvas_cupon_cero!$1:$1,0)-1,COUNT(Curvas_cupon_cero!$A:$A)-2,1))))</f>
        <v/>
      </c>
      <c r="E608" s="23" t="str">
        <f t="shared" si="93"/>
        <v/>
      </c>
      <c r="F608" s="23" t="str">
        <f ca="1">IF(A608="","",IF($B$10="Sí",interpolar_alamb(B608,OFFSET(Curvas_cupon_cero!$A$1,1,0,COUNT(Curvas_cupon_cero!$A:$A)-2,1),OFFSET(Curvas_cupon_cero!$A$1,1,MATCH($B$9,Curvas_cupon_cero!$1:$1,0)-1,COUNT(Curvas_cupon_cero!$A:$A)-2,1)),[1]!interpolar(B608,OFFSET(Curvas_cupon_cero!$A$1,1,0,COUNT(Curvas_cupon_cero!$A:$A)-2,1),OFFSET(Curvas_cupon_cero!$A$1,1,MATCH($B$9,Curvas_cupon_cero!$1:$1,0)-1,COUNT(Curvas_cupon_cero!$A:$A)-2,1))))</f>
        <v/>
      </c>
      <c r="G608" s="23" t="str">
        <f t="shared" si="94"/>
        <v/>
      </c>
      <c r="H608" s="20" t="str">
        <f t="shared" si="99"/>
        <v/>
      </c>
      <c r="I608" t="str">
        <f t="shared" si="95"/>
        <v/>
      </c>
      <c r="J608" s="17" t="str">
        <f t="shared" si="91"/>
        <v/>
      </c>
      <c r="K608" s="18" t="str">
        <f t="shared" si="96"/>
        <v/>
      </c>
      <c r="L608" t="str">
        <f t="shared" si="97"/>
        <v/>
      </c>
      <c r="M608" s="23" t="str">
        <f ca="1">IF(A608="","",IF($B$10="Sí",interpolar_alamb(L608,OFFSET(Curvas_cupon_cero!$A$1,1,0,COUNT(Curvas_cupon_cero!$A:$A)-2,1),OFFSET(Curvas_cupon_cero!$A$1,1,MATCH($B$6,Curvas_cupon_cero!$1:$1,0)-1,COUNT(Curvas_cupon_cero!$A:$A)-2,1)),[1]!interpolar(L608,OFFSET(Curvas_cupon_cero!$A$1,1,0,COUNT(Curvas_cupon_cero!$A:$A)-2,1),OFFSET(Curvas_cupon_cero!$A$1,1,MATCH($B$6,Curvas_cupon_cero!$1:$1,0)-1,COUNT(Curvas_cupon_cero!$A:$A)-2,1))))</f>
        <v/>
      </c>
      <c r="N608" s="23"/>
      <c r="O608" s="19" t="str">
        <f t="shared" si="98"/>
        <v/>
      </c>
    </row>
    <row r="609" spans="1:15" x14ac:dyDescent="0.2">
      <c r="A609" s="12" t="str">
        <f t="shared" si="92"/>
        <v/>
      </c>
      <c r="B609" t="str">
        <f t="shared" si="90"/>
        <v/>
      </c>
      <c r="C609" s="21" t="str">
        <f ca="1">IF(A609="","",IF($B$10="Sí",interpolar_alamb(B609,OFFSET(Curvas_cupon_cero!$A$1,1,0,COUNT(Curvas_cupon_cero!$A:$A)-2,1),OFFSET(Curvas_cupon_cero!$A$1,1,MATCH($B$8,Curvas_cupon_cero!$1:$1,0)-1,COUNT(Curvas_cupon_cero!$A:$A)-2,1)),[1]!interpolar(B609,OFFSET(Curvas_cupon_cero!$A$1,1,0,COUNT(Curvas_cupon_cero!$A:$A)-2,1),OFFSET(Curvas_cupon_cero!$A$1,1,MATCH($B$8,Curvas_cupon_cero!$1:$1,0)-1,COUNT(Curvas_cupon_cero!$A:$A)-2,1))))</f>
        <v/>
      </c>
      <c r="D609" s="23" t="str">
        <f ca="1">IF(A609="","",IF($B$10="Sí",interpolar_alamb(L609,OFFSET(Curvas_cupon_cero!$A$1,1,0,COUNT(Curvas_cupon_cero!$A:$A)-2,1),OFFSET(Curvas_cupon_cero!$A$1,1,MATCH($B$8,Curvas_cupon_cero!$1:$1,0)-1,COUNT(Curvas_cupon_cero!$A:$A)-2,1)),[1]!interpolar(L609,OFFSET(Curvas_cupon_cero!$A$1,1,0,COUNT(Curvas_cupon_cero!$A:$A)-2,1),OFFSET(Curvas_cupon_cero!$A$1,1,MATCH($B$8,Curvas_cupon_cero!$1:$1,0)-1,COUNT(Curvas_cupon_cero!$A:$A)-2,1))))</f>
        <v/>
      </c>
      <c r="E609" s="23" t="str">
        <f t="shared" si="93"/>
        <v/>
      </c>
      <c r="F609" s="23" t="str">
        <f ca="1">IF(A609="","",IF($B$10="Sí",interpolar_alamb(B609,OFFSET(Curvas_cupon_cero!$A$1,1,0,COUNT(Curvas_cupon_cero!$A:$A)-2,1),OFFSET(Curvas_cupon_cero!$A$1,1,MATCH($B$9,Curvas_cupon_cero!$1:$1,0)-1,COUNT(Curvas_cupon_cero!$A:$A)-2,1)),[1]!interpolar(B609,OFFSET(Curvas_cupon_cero!$A$1,1,0,COUNT(Curvas_cupon_cero!$A:$A)-2,1),OFFSET(Curvas_cupon_cero!$A$1,1,MATCH($B$9,Curvas_cupon_cero!$1:$1,0)-1,COUNT(Curvas_cupon_cero!$A:$A)-2,1))))</f>
        <v/>
      </c>
      <c r="G609" s="23" t="str">
        <f t="shared" si="94"/>
        <v/>
      </c>
      <c r="H609" s="20" t="str">
        <f t="shared" si="99"/>
        <v/>
      </c>
      <c r="I609" t="str">
        <f t="shared" si="95"/>
        <v/>
      </c>
      <c r="J609" s="17" t="str">
        <f t="shared" si="91"/>
        <v/>
      </c>
      <c r="K609" s="18" t="str">
        <f t="shared" si="96"/>
        <v/>
      </c>
      <c r="L609" t="str">
        <f t="shared" si="97"/>
        <v/>
      </c>
      <c r="M609" s="23" t="str">
        <f ca="1">IF(A609="","",IF($B$10="Sí",interpolar_alamb(L609,OFFSET(Curvas_cupon_cero!$A$1,1,0,COUNT(Curvas_cupon_cero!$A:$A)-2,1),OFFSET(Curvas_cupon_cero!$A$1,1,MATCH($B$6,Curvas_cupon_cero!$1:$1,0)-1,COUNT(Curvas_cupon_cero!$A:$A)-2,1)),[1]!interpolar(L609,OFFSET(Curvas_cupon_cero!$A$1,1,0,COUNT(Curvas_cupon_cero!$A:$A)-2,1),OFFSET(Curvas_cupon_cero!$A$1,1,MATCH($B$6,Curvas_cupon_cero!$1:$1,0)-1,COUNT(Curvas_cupon_cero!$A:$A)-2,1))))</f>
        <v/>
      </c>
      <c r="N609" s="23"/>
      <c r="O609" s="19" t="str">
        <f t="shared" si="98"/>
        <v/>
      </c>
    </row>
    <row r="610" spans="1:15" x14ac:dyDescent="0.2">
      <c r="A610" s="12" t="str">
        <f t="shared" si="92"/>
        <v/>
      </c>
      <c r="B610" t="str">
        <f t="shared" si="90"/>
        <v/>
      </c>
      <c r="C610" s="21" t="str">
        <f ca="1">IF(A610="","",IF($B$10="Sí",interpolar_alamb(B610,OFFSET(Curvas_cupon_cero!$A$1,1,0,COUNT(Curvas_cupon_cero!$A:$A)-2,1),OFFSET(Curvas_cupon_cero!$A$1,1,MATCH($B$8,Curvas_cupon_cero!$1:$1,0)-1,COUNT(Curvas_cupon_cero!$A:$A)-2,1)),[1]!interpolar(B610,OFFSET(Curvas_cupon_cero!$A$1,1,0,COUNT(Curvas_cupon_cero!$A:$A)-2,1),OFFSET(Curvas_cupon_cero!$A$1,1,MATCH($B$8,Curvas_cupon_cero!$1:$1,0)-1,COUNT(Curvas_cupon_cero!$A:$A)-2,1))))</f>
        <v/>
      </c>
      <c r="D610" s="23" t="str">
        <f ca="1">IF(A610="","",IF($B$10="Sí",interpolar_alamb(L610,OFFSET(Curvas_cupon_cero!$A$1,1,0,COUNT(Curvas_cupon_cero!$A:$A)-2,1),OFFSET(Curvas_cupon_cero!$A$1,1,MATCH($B$8,Curvas_cupon_cero!$1:$1,0)-1,COUNT(Curvas_cupon_cero!$A:$A)-2,1)),[1]!interpolar(L610,OFFSET(Curvas_cupon_cero!$A$1,1,0,COUNT(Curvas_cupon_cero!$A:$A)-2,1),OFFSET(Curvas_cupon_cero!$A$1,1,MATCH($B$8,Curvas_cupon_cero!$1:$1,0)-1,COUNT(Curvas_cupon_cero!$A:$A)-2,1))))</f>
        <v/>
      </c>
      <c r="E610" s="23" t="str">
        <f t="shared" si="93"/>
        <v/>
      </c>
      <c r="F610" s="23" t="str">
        <f ca="1">IF(A610="","",IF($B$10="Sí",interpolar_alamb(B610,OFFSET(Curvas_cupon_cero!$A$1,1,0,COUNT(Curvas_cupon_cero!$A:$A)-2,1),OFFSET(Curvas_cupon_cero!$A$1,1,MATCH($B$9,Curvas_cupon_cero!$1:$1,0)-1,COUNT(Curvas_cupon_cero!$A:$A)-2,1)),[1]!interpolar(B610,OFFSET(Curvas_cupon_cero!$A$1,1,0,COUNT(Curvas_cupon_cero!$A:$A)-2,1),OFFSET(Curvas_cupon_cero!$A$1,1,MATCH($B$9,Curvas_cupon_cero!$1:$1,0)-1,COUNT(Curvas_cupon_cero!$A:$A)-2,1))))</f>
        <v/>
      </c>
      <c r="G610" s="23" t="str">
        <f t="shared" si="94"/>
        <v/>
      </c>
      <c r="H610" s="20" t="str">
        <f t="shared" si="99"/>
        <v/>
      </c>
      <c r="I610" t="str">
        <f t="shared" si="95"/>
        <v/>
      </c>
      <c r="J610" s="17" t="str">
        <f t="shared" si="91"/>
        <v/>
      </c>
      <c r="K610" s="18" t="str">
        <f t="shared" si="96"/>
        <v/>
      </c>
      <c r="L610" t="str">
        <f t="shared" si="97"/>
        <v/>
      </c>
      <c r="M610" s="23" t="str">
        <f ca="1">IF(A610="","",IF($B$10="Sí",interpolar_alamb(L610,OFFSET(Curvas_cupon_cero!$A$1,1,0,COUNT(Curvas_cupon_cero!$A:$A)-2,1),OFFSET(Curvas_cupon_cero!$A$1,1,MATCH($B$6,Curvas_cupon_cero!$1:$1,0)-1,COUNT(Curvas_cupon_cero!$A:$A)-2,1)),[1]!interpolar(L610,OFFSET(Curvas_cupon_cero!$A$1,1,0,COUNT(Curvas_cupon_cero!$A:$A)-2,1),OFFSET(Curvas_cupon_cero!$A$1,1,MATCH($B$6,Curvas_cupon_cero!$1:$1,0)-1,COUNT(Curvas_cupon_cero!$A:$A)-2,1))))</f>
        <v/>
      </c>
      <c r="N610" s="23"/>
      <c r="O610" s="19" t="str">
        <f t="shared" si="98"/>
        <v/>
      </c>
    </row>
    <row r="611" spans="1:15" x14ac:dyDescent="0.2">
      <c r="A611" s="12" t="str">
        <f t="shared" si="92"/>
        <v/>
      </c>
      <c r="B611" t="str">
        <f t="shared" si="90"/>
        <v/>
      </c>
      <c r="C611" s="21" t="str">
        <f ca="1">IF(A611="","",IF($B$10="Sí",interpolar_alamb(B611,OFFSET(Curvas_cupon_cero!$A$1,1,0,COUNT(Curvas_cupon_cero!$A:$A)-2,1),OFFSET(Curvas_cupon_cero!$A$1,1,MATCH($B$8,Curvas_cupon_cero!$1:$1,0)-1,COUNT(Curvas_cupon_cero!$A:$A)-2,1)),[1]!interpolar(B611,OFFSET(Curvas_cupon_cero!$A$1,1,0,COUNT(Curvas_cupon_cero!$A:$A)-2,1),OFFSET(Curvas_cupon_cero!$A$1,1,MATCH($B$8,Curvas_cupon_cero!$1:$1,0)-1,COUNT(Curvas_cupon_cero!$A:$A)-2,1))))</f>
        <v/>
      </c>
      <c r="D611" s="23" t="str">
        <f ca="1">IF(A611="","",IF($B$10="Sí",interpolar_alamb(L611,OFFSET(Curvas_cupon_cero!$A$1,1,0,COUNT(Curvas_cupon_cero!$A:$A)-2,1),OFFSET(Curvas_cupon_cero!$A$1,1,MATCH($B$8,Curvas_cupon_cero!$1:$1,0)-1,COUNT(Curvas_cupon_cero!$A:$A)-2,1)),[1]!interpolar(L611,OFFSET(Curvas_cupon_cero!$A$1,1,0,COUNT(Curvas_cupon_cero!$A:$A)-2,1),OFFSET(Curvas_cupon_cero!$A$1,1,MATCH($B$8,Curvas_cupon_cero!$1:$1,0)-1,COUNT(Curvas_cupon_cero!$A:$A)-2,1))))</f>
        <v/>
      </c>
      <c r="E611" s="23" t="str">
        <f t="shared" si="93"/>
        <v/>
      </c>
      <c r="F611" s="23" t="str">
        <f ca="1">IF(A611="","",IF($B$10="Sí",interpolar_alamb(B611,OFFSET(Curvas_cupon_cero!$A$1,1,0,COUNT(Curvas_cupon_cero!$A:$A)-2,1),OFFSET(Curvas_cupon_cero!$A$1,1,MATCH($B$9,Curvas_cupon_cero!$1:$1,0)-1,COUNT(Curvas_cupon_cero!$A:$A)-2,1)),[1]!interpolar(B611,OFFSET(Curvas_cupon_cero!$A$1,1,0,COUNT(Curvas_cupon_cero!$A:$A)-2,1),OFFSET(Curvas_cupon_cero!$A$1,1,MATCH($B$9,Curvas_cupon_cero!$1:$1,0)-1,COUNT(Curvas_cupon_cero!$A:$A)-2,1))))</f>
        <v/>
      </c>
      <c r="G611" s="23" t="str">
        <f t="shared" si="94"/>
        <v/>
      </c>
      <c r="H611" s="20" t="str">
        <f t="shared" si="99"/>
        <v/>
      </c>
      <c r="I611" t="str">
        <f t="shared" si="95"/>
        <v/>
      </c>
      <c r="J611" s="17" t="str">
        <f t="shared" si="91"/>
        <v/>
      </c>
      <c r="K611" s="18" t="str">
        <f t="shared" si="96"/>
        <v/>
      </c>
      <c r="L611" t="str">
        <f t="shared" si="97"/>
        <v/>
      </c>
      <c r="M611" s="23" t="str">
        <f ca="1">IF(A611="","",IF($B$10="Sí",interpolar_alamb(L611,OFFSET(Curvas_cupon_cero!$A$1,1,0,COUNT(Curvas_cupon_cero!$A:$A)-2,1),OFFSET(Curvas_cupon_cero!$A$1,1,MATCH($B$6,Curvas_cupon_cero!$1:$1,0)-1,COUNT(Curvas_cupon_cero!$A:$A)-2,1)),[1]!interpolar(L611,OFFSET(Curvas_cupon_cero!$A$1,1,0,COUNT(Curvas_cupon_cero!$A:$A)-2,1),OFFSET(Curvas_cupon_cero!$A$1,1,MATCH($B$6,Curvas_cupon_cero!$1:$1,0)-1,COUNT(Curvas_cupon_cero!$A:$A)-2,1))))</f>
        <v/>
      </c>
      <c r="N611" s="23"/>
      <c r="O611" s="19" t="str">
        <f t="shared" si="98"/>
        <v/>
      </c>
    </row>
    <row r="612" spans="1:15" x14ac:dyDescent="0.2">
      <c r="A612" s="12" t="str">
        <f t="shared" si="92"/>
        <v/>
      </c>
      <c r="B612" t="str">
        <f t="shared" si="90"/>
        <v/>
      </c>
      <c r="C612" s="21" t="str">
        <f ca="1">IF(A612="","",IF($B$10="Sí",interpolar_alamb(B612,OFFSET(Curvas_cupon_cero!$A$1,1,0,COUNT(Curvas_cupon_cero!$A:$A)-2,1),OFFSET(Curvas_cupon_cero!$A$1,1,MATCH($B$8,Curvas_cupon_cero!$1:$1,0)-1,COUNT(Curvas_cupon_cero!$A:$A)-2,1)),[1]!interpolar(B612,OFFSET(Curvas_cupon_cero!$A$1,1,0,COUNT(Curvas_cupon_cero!$A:$A)-2,1),OFFSET(Curvas_cupon_cero!$A$1,1,MATCH($B$8,Curvas_cupon_cero!$1:$1,0)-1,COUNT(Curvas_cupon_cero!$A:$A)-2,1))))</f>
        <v/>
      </c>
      <c r="D612" s="23" t="str">
        <f ca="1">IF(A612="","",IF($B$10="Sí",interpolar_alamb(L612,OFFSET(Curvas_cupon_cero!$A$1,1,0,COUNT(Curvas_cupon_cero!$A:$A)-2,1),OFFSET(Curvas_cupon_cero!$A$1,1,MATCH($B$8,Curvas_cupon_cero!$1:$1,0)-1,COUNT(Curvas_cupon_cero!$A:$A)-2,1)),[1]!interpolar(L612,OFFSET(Curvas_cupon_cero!$A$1,1,0,COUNT(Curvas_cupon_cero!$A:$A)-2,1),OFFSET(Curvas_cupon_cero!$A$1,1,MATCH($B$8,Curvas_cupon_cero!$1:$1,0)-1,COUNT(Curvas_cupon_cero!$A:$A)-2,1))))</f>
        <v/>
      </c>
      <c r="E612" s="23" t="str">
        <f t="shared" si="93"/>
        <v/>
      </c>
      <c r="F612" s="23" t="str">
        <f ca="1">IF(A612="","",IF($B$10="Sí",interpolar_alamb(B612,OFFSET(Curvas_cupon_cero!$A$1,1,0,COUNT(Curvas_cupon_cero!$A:$A)-2,1),OFFSET(Curvas_cupon_cero!$A$1,1,MATCH($B$9,Curvas_cupon_cero!$1:$1,0)-1,COUNT(Curvas_cupon_cero!$A:$A)-2,1)),[1]!interpolar(B612,OFFSET(Curvas_cupon_cero!$A$1,1,0,COUNT(Curvas_cupon_cero!$A:$A)-2,1),OFFSET(Curvas_cupon_cero!$A$1,1,MATCH($B$9,Curvas_cupon_cero!$1:$1,0)-1,COUNT(Curvas_cupon_cero!$A:$A)-2,1))))</f>
        <v/>
      </c>
      <c r="G612" s="23" t="str">
        <f t="shared" si="94"/>
        <v/>
      </c>
      <c r="H612" s="20" t="str">
        <f t="shared" si="99"/>
        <v/>
      </c>
      <c r="I612" t="str">
        <f t="shared" si="95"/>
        <v/>
      </c>
      <c r="J612" s="17" t="str">
        <f t="shared" si="91"/>
        <v/>
      </c>
      <c r="K612" s="18" t="str">
        <f t="shared" si="96"/>
        <v/>
      </c>
      <c r="L612" t="str">
        <f t="shared" si="97"/>
        <v/>
      </c>
      <c r="M612" s="23" t="str">
        <f ca="1">IF(A612="","",IF($B$10="Sí",interpolar_alamb(L612,OFFSET(Curvas_cupon_cero!$A$1,1,0,COUNT(Curvas_cupon_cero!$A:$A)-2,1),OFFSET(Curvas_cupon_cero!$A$1,1,MATCH($B$6,Curvas_cupon_cero!$1:$1,0)-1,COUNT(Curvas_cupon_cero!$A:$A)-2,1)),[1]!interpolar(L612,OFFSET(Curvas_cupon_cero!$A$1,1,0,COUNT(Curvas_cupon_cero!$A:$A)-2,1),OFFSET(Curvas_cupon_cero!$A$1,1,MATCH($B$6,Curvas_cupon_cero!$1:$1,0)-1,COUNT(Curvas_cupon_cero!$A:$A)-2,1))))</f>
        <v/>
      </c>
      <c r="N612" s="23"/>
      <c r="O612" s="19" t="str">
        <f t="shared" si="98"/>
        <v/>
      </c>
    </row>
    <row r="613" spans="1:15" x14ac:dyDescent="0.2">
      <c r="A613" s="12" t="str">
        <f t="shared" si="92"/>
        <v/>
      </c>
      <c r="B613" t="str">
        <f t="shared" si="90"/>
        <v/>
      </c>
      <c r="C613" s="21" t="str">
        <f ca="1">IF(A613="","",IF($B$10="Sí",interpolar_alamb(B613,OFFSET(Curvas_cupon_cero!$A$1,1,0,COUNT(Curvas_cupon_cero!$A:$A)-2,1),OFFSET(Curvas_cupon_cero!$A$1,1,MATCH($B$8,Curvas_cupon_cero!$1:$1,0)-1,COUNT(Curvas_cupon_cero!$A:$A)-2,1)),[1]!interpolar(B613,OFFSET(Curvas_cupon_cero!$A$1,1,0,COUNT(Curvas_cupon_cero!$A:$A)-2,1),OFFSET(Curvas_cupon_cero!$A$1,1,MATCH($B$8,Curvas_cupon_cero!$1:$1,0)-1,COUNT(Curvas_cupon_cero!$A:$A)-2,1))))</f>
        <v/>
      </c>
      <c r="D613" s="23" t="str">
        <f ca="1">IF(A613="","",IF($B$10="Sí",interpolar_alamb(L613,OFFSET(Curvas_cupon_cero!$A$1,1,0,COUNT(Curvas_cupon_cero!$A:$A)-2,1),OFFSET(Curvas_cupon_cero!$A$1,1,MATCH($B$8,Curvas_cupon_cero!$1:$1,0)-1,COUNT(Curvas_cupon_cero!$A:$A)-2,1)),[1]!interpolar(L613,OFFSET(Curvas_cupon_cero!$A$1,1,0,COUNT(Curvas_cupon_cero!$A:$A)-2,1),OFFSET(Curvas_cupon_cero!$A$1,1,MATCH($B$8,Curvas_cupon_cero!$1:$1,0)-1,COUNT(Curvas_cupon_cero!$A:$A)-2,1))))</f>
        <v/>
      </c>
      <c r="E613" s="23" t="str">
        <f t="shared" si="93"/>
        <v/>
      </c>
      <c r="F613" s="23" t="str">
        <f ca="1">IF(A613="","",IF($B$10="Sí",interpolar_alamb(B613,OFFSET(Curvas_cupon_cero!$A$1,1,0,COUNT(Curvas_cupon_cero!$A:$A)-2,1),OFFSET(Curvas_cupon_cero!$A$1,1,MATCH($B$9,Curvas_cupon_cero!$1:$1,0)-1,COUNT(Curvas_cupon_cero!$A:$A)-2,1)),[1]!interpolar(B613,OFFSET(Curvas_cupon_cero!$A$1,1,0,COUNT(Curvas_cupon_cero!$A:$A)-2,1),OFFSET(Curvas_cupon_cero!$A$1,1,MATCH($B$9,Curvas_cupon_cero!$1:$1,0)-1,COUNT(Curvas_cupon_cero!$A:$A)-2,1))))</f>
        <v/>
      </c>
      <c r="G613" s="23" t="str">
        <f t="shared" si="94"/>
        <v/>
      </c>
      <c r="H613" s="20" t="str">
        <f t="shared" si="99"/>
        <v/>
      </c>
      <c r="I613" t="str">
        <f t="shared" si="95"/>
        <v/>
      </c>
      <c r="J613" s="17" t="str">
        <f t="shared" si="91"/>
        <v/>
      </c>
      <c r="K613" s="18" t="str">
        <f t="shared" si="96"/>
        <v/>
      </c>
      <c r="L613" t="str">
        <f t="shared" si="97"/>
        <v/>
      </c>
      <c r="M613" s="23" t="str">
        <f ca="1">IF(A613="","",IF($B$10="Sí",interpolar_alamb(L613,OFFSET(Curvas_cupon_cero!$A$1,1,0,COUNT(Curvas_cupon_cero!$A:$A)-2,1),OFFSET(Curvas_cupon_cero!$A$1,1,MATCH($B$6,Curvas_cupon_cero!$1:$1,0)-1,COUNT(Curvas_cupon_cero!$A:$A)-2,1)),[1]!interpolar(L613,OFFSET(Curvas_cupon_cero!$A$1,1,0,COUNT(Curvas_cupon_cero!$A:$A)-2,1),OFFSET(Curvas_cupon_cero!$A$1,1,MATCH($B$6,Curvas_cupon_cero!$1:$1,0)-1,COUNT(Curvas_cupon_cero!$A:$A)-2,1))))</f>
        <v/>
      </c>
      <c r="N613" s="23"/>
      <c r="O613" s="19" t="str">
        <f t="shared" si="98"/>
        <v/>
      </c>
    </row>
    <row r="614" spans="1:15" x14ac:dyDescent="0.2">
      <c r="A614" s="12" t="str">
        <f t="shared" si="92"/>
        <v/>
      </c>
      <c r="B614" t="str">
        <f t="shared" si="90"/>
        <v/>
      </c>
      <c r="C614" s="21" t="str">
        <f ca="1">IF(A614="","",IF($B$10="Sí",interpolar_alamb(B614,OFFSET(Curvas_cupon_cero!$A$1,1,0,COUNT(Curvas_cupon_cero!$A:$A)-2,1),OFFSET(Curvas_cupon_cero!$A$1,1,MATCH($B$8,Curvas_cupon_cero!$1:$1,0)-1,COUNT(Curvas_cupon_cero!$A:$A)-2,1)),[1]!interpolar(B614,OFFSET(Curvas_cupon_cero!$A$1,1,0,COUNT(Curvas_cupon_cero!$A:$A)-2,1),OFFSET(Curvas_cupon_cero!$A$1,1,MATCH($B$8,Curvas_cupon_cero!$1:$1,0)-1,COUNT(Curvas_cupon_cero!$A:$A)-2,1))))</f>
        <v/>
      </c>
      <c r="D614" s="23" t="str">
        <f ca="1">IF(A614="","",IF($B$10="Sí",interpolar_alamb(L614,OFFSET(Curvas_cupon_cero!$A$1,1,0,COUNT(Curvas_cupon_cero!$A:$A)-2,1),OFFSET(Curvas_cupon_cero!$A$1,1,MATCH($B$8,Curvas_cupon_cero!$1:$1,0)-1,COUNT(Curvas_cupon_cero!$A:$A)-2,1)),[1]!interpolar(L614,OFFSET(Curvas_cupon_cero!$A$1,1,0,COUNT(Curvas_cupon_cero!$A:$A)-2,1),OFFSET(Curvas_cupon_cero!$A$1,1,MATCH($B$8,Curvas_cupon_cero!$1:$1,0)-1,COUNT(Curvas_cupon_cero!$A:$A)-2,1))))</f>
        <v/>
      </c>
      <c r="E614" s="23" t="str">
        <f t="shared" si="93"/>
        <v/>
      </c>
      <c r="F614" s="23" t="str">
        <f ca="1">IF(A614="","",IF($B$10="Sí",interpolar_alamb(B614,OFFSET(Curvas_cupon_cero!$A$1,1,0,COUNT(Curvas_cupon_cero!$A:$A)-2,1),OFFSET(Curvas_cupon_cero!$A$1,1,MATCH($B$9,Curvas_cupon_cero!$1:$1,0)-1,COUNT(Curvas_cupon_cero!$A:$A)-2,1)),[1]!interpolar(B614,OFFSET(Curvas_cupon_cero!$A$1,1,0,COUNT(Curvas_cupon_cero!$A:$A)-2,1),OFFSET(Curvas_cupon_cero!$A$1,1,MATCH($B$9,Curvas_cupon_cero!$1:$1,0)-1,COUNT(Curvas_cupon_cero!$A:$A)-2,1))))</f>
        <v/>
      </c>
      <c r="G614" s="23" t="str">
        <f t="shared" si="94"/>
        <v/>
      </c>
      <c r="H614" s="20" t="str">
        <f t="shared" si="99"/>
        <v/>
      </c>
      <c r="I614" t="str">
        <f t="shared" si="95"/>
        <v/>
      </c>
      <c r="J614" s="17" t="str">
        <f t="shared" si="91"/>
        <v/>
      </c>
      <c r="K614" s="18" t="str">
        <f t="shared" si="96"/>
        <v/>
      </c>
      <c r="L614" t="str">
        <f t="shared" si="97"/>
        <v/>
      </c>
      <c r="M614" s="23" t="str">
        <f ca="1">IF(A614="","",IF($B$10="Sí",interpolar_alamb(L614,OFFSET(Curvas_cupon_cero!$A$1,1,0,COUNT(Curvas_cupon_cero!$A:$A)-2,1),OFFSET(Curvas_cupon_cero!$A$1,1,MATCH($B$6,Curvas_cupon_cero!$1:$1,0)-1,COUNT(Curvas_cupon_cero!$A:$A)-2,1)),[1]!interpolar(L614,OFFSET(Curvas_cupon_cero!$A$1,1,0,COUNT(Curvas_cupon_cero!$A:$A)-2,1),OFFSET(Curvas_cupon_cero!$A$1,1,MATCH($B$6,Curvas_cupon_cero!$1:$1,0)-1,COUNT(Curvas_cupon_cero!$A:$A)-2,1))))</f>
        <v/>
      </c>
      <c r="N614" s="23"/>
      <c r="O614" s="19" t="str">
        <f t="shared" si="98"/>
        <v/>
      </c>
    </row>
    <row r="615" spans="1:15" x14ac:dyDescent="0.2">
      <c r="A615" s="12" t="str">
        <f t="shared" si="92"/>
        <v/>
      </c>
      <c r="B615" t="str">
        <f t="shared" si="90"/>
        <v/>
      </c>
      <c r="C615" s="21" t="str">
        <f ca="1">IF(A615="","",IF($B$10="Sí",interpolar_alamb(B615,OFFSET(Curvas_cupon_cero!$A$1,1,0,COUNT(Curvas_cupon_cero!$A:$A)-2,1),OFFSET(Curvas_cupon_cero!$A$1,1,MATCH($B$8,Curvas_cupon_cero!$1:$1,0)-1,COUNT(Curvas_cupon_cero!$A:$A)-2,1)),[1]!interpolar(B615,OFFSET(Curvas_cupon_cero!$A$1,1,0,COUNT(Curvas_cupon_cero!$A:$A)-2,1),OFFSET(Curvas_cupon_cero!$A$1,1,MATCH($B$8,Curvas_cupon_cero!$1:$1,0)-1,COUNT(Curvas_cupon_cero!$A:$A)-2,1))))</f>
        <v/>
      </c>
      <c r="D615" s="23" t="str">
        <f ca="1">IF(A615="","",IF($B$10="Sí",interpolar_alamb(L615,OFFSET(Curvas_cupon_cero!$A$1,1,0,COUNT(Curvas_cupon_cero!$A:$A)-2,1),OFFSET(Curvas_cupon_cero!$A$1,1,MATCH($B$8,Curvas_cupon_cero!$1:$1,0)-1,COUNT(Curvas_cupon_cero!$A:$A)-2,1)),[1]!interpolar(L615,OFFSET(Curvas_cupon_cero!$A$1,1,0,COUNT(Curvas_cupon_cero!$A:$A)-2,1),OFFSET(Curvas_cupon_cero!$A$1,1,MATCH($B$8,Curvas_cupon_cero!$1:$1,0)-1,COUNT(Curvas_cupon_cero!$A:$A)-2,1))))</f>
        <v/>
      </c>
      <c r="E615" s="23" t="str">
        <f t="shared" si="93"/>
        <v/>
      </c>
      <c r="F615" s="23" t="str">
        <f ca="1">IF(A615="","",IF($B$10="Sí",interpolar_alamb(B615,OFFSET(Curvas_cupon_cero!$A$1,1,0,COUNT(Curvas_cupon_cero!$A:$A)-2,1),OFFSET(Curvas_cupon_cero!$A$1,1,MATCH($B$9,Curvas_cupon_cero!$1:$1,0)-1,COUNT(Curvas_cupon_cero!$A:$A)-2,1)),[1]!interpolar(B615,OFFSET(Curvas_cupon_cero!$A$1,1,0,COUNT(Curvas_cupon_cero!$A:$A)-2,1),OFFSET(Curvas_cupon_cero!$A$1,1,MATCH($B$9,Curvas_cupon_cero!$1:$1,0)-1,COUNT(Curvas_cupon_cero!$A:$A)-2,1))))</f>
        <v/>
      </c>
      <c r="G615" s="23" t="str">
        <f t="shared" si="94"/>
        <v/>
      </c>
      <c r="H615" s="20" t="str">
        <f t="shared" si="99"/>
        <v/>
      </c>
      <c r="I615" t="str">
        <f t="shared" si="95"/>
        <v/>
      </c>
      <c r="J615" s="17" t="str">
        <f t="shared" si="91"/>
        <v/>
      </c>
      <c r="K615" s="18" t="str">
        <f t="shared" si="96"/>
        <v/>
      </c>
      <c r="L615" t="str">
        <f t="shared" si="97"/>
        <v/>
      </c>
      <c r="M615" s="23" t="str">
        <f ca="1">IF(A615="","",IF($B$10="Sí",interpolar_alamb(L615,OFFSET(Curvas_cupon_cero!$A$1,1,0,COUNT(Curvas_cupon_cero!$A:$A)-2,1),OFFSET(Curvas_cupon_cero!$A$1,1,MATCH($B$6,Curvas_cupon_cero!$1:$1,0)-1,COUNT(Curvas_cupon_cero!$A:$A)-2,1)),[1]!interpolar(L615,OFFSET(Curvas_cupon_cero!$A$1,1,0,COUNT(Curvas_cupon_cero!$A:$A)-2,1),OFFSET(Curvas_cupon_cero!$A$1,1,MATCH($B$6,Curvas_cupon_cero!$1:$1,0)-1,COUNT(Curvas_cupon_cero!$A:$A)-2,1))))</f>
        <v/>
      </c>
      <c r="N615" s="23"/>
      <c r="O615" s="19" t="str">
        <f t="shared" si="98"/>
        <v/>
      </c>
    </row>
    <row r="616" spans="1:15" x14ac:dyDescent="0.2">
      <c r="A616" s="12" t="str">
        <f t="shared" si="92"/>
        <v/>
      </c>
      <c r="B616" t="str">
        <f t="shared" si="90"/>
        <v/>
      </c>
      <c r="C616" s="21" t="str">
        <f ca="1">IF(A616="","",IF($B$10="Sí",interpolar_alamb(B616,OFFSET(Curvas_cupon_cero!$A$1,1,0,COUNT(Curvas_cupon_cero!$A:$A)-2,1),OFFSET(Curvas_cupon_cero!$A$1,1,MATCH($B$8,Curvas_cupon_cero!$1:$1,0)-1,COUNT(Curvas_cupon_cero!$A:$A)-2,1)),[1]!interpolar(B616,OFFSET(Curvas_cupon_cero!$A$1,1,0,COUNT(Curvas_cupon_cero!$A:$A)-2,1),OFFSET(Curvas_cupon_cero!$A$1,1,MATCH($B$8,Curvas_cupon_cero!$1:$1,0)-1,COUNT(Curvas_cupon_cero!$A:$A)-2,1))))</f>
        <v/>
      </c>
      <c r="D616" s="23" t="str">
        <f ca="1">IF(A616="","",IF($B$10="Sí",interpolar_alamb(L616,OFFSET(Curvas_cupon_cero!$A$1,1,0,COUNT(Curvas_cupon_cero!$A:$A)-2,1),OFFSET(Curvas_cupon_cero!$A$1,1,MATCH($B$8,Curvas_cupon_cero!$1:$1,0)-1,COUNT(Curvas_cupon_cero!$A:$A)-2,1)),[1]!interpolar(L616,OFFSET(Curvas_cupon_cero!$A$1,1,0,COUNT(Curvas_cupon_cero!$A:$A)-2,1),OFFSET(Curvas_cupon_cero!$A$1,1,MATCH($B$8,Curvas_cupon_cero!$1:$1,0)-1,COUNT(Curvas_cupon_cero!$A:$A)-2,1))))</f>
        <v/>
      </c>
      <c r="E616" s="23" t="str">
        <f t="shared" si="93"/>
        <v/>
      </c>
      <c r="F616" s="23" t="str">
        <f ca="1">IF(A616="","",IF($B$10="Sí",interpolar_alamb(B616,OFFSET(Curvas_cupon_cero!$A$1,1,0,COUNT(Curvas_cupon_cero!$A:$A)-2,1),OFFSET(Curvas_cupon_cero!$A$1,1,MATCH($B$9,Curvas_cupon_cero!$1:$1,0)-1,COUNT(Curvas_cupon_cero!$A:$A)-2,1)),[1]!interpolar(B616,OFFSET(Curvas_cupon_cero!$A$1,1,0,COUNT(Curvas_cupon_cero!$A:$A)-2,1),OFFSET(Curvas_cupon_cero!$A$1,1,MATCH($B$9,Curvas_cupon_cero!$1:$1,0)-1,COUNT(Curvas_cupon_cero!$A:$A)-2,1))))</f>
        <v/>
      </c>
      <c r="G616" s="23" t="str">
        <f t="shared" si="94"/>
        <v/>
      </c>
      <c r="H616" s="20" t="str">
        <f t="shared" si="99"/>
        <v/>
      </c>
      <c r="I616" t="str">
        <f t="shared" si="95"/>
        <v/>
      </c>
      <c r="J616" s="17" t="str">
        <f t="shared" si="91"/>
        <v/>
      </c>
      <c r="K616" s="18" t="str">
        <f t="shared" si="96"/>
        <v/>
      </c>
      <c r="L616" t="str">
        <f t="shared" si="97"/>
        <v/>
      </c>
      <c r="M616" s="23" t="str">
        <f ca="1">IF(A616="","",IF($B$10="Sí",interpolar_alamb(L616,OFFSET(Curvas_cupon_cero!$A$1,1,0,COUNT(Curvas_cupon_cero!$A:$A)-2,1),OFFSET(Curvas_cupon_cero!$A$1,1,MATCH($B$6,Curvas_cupon_cero!$1:$1,0)-1,COUNT(Curvas_cupon_cero!$A:$A)-2,1)),[1]!interpolar(L616,OFFSET(Curvas_cupon_cero!$A$1,1,0,COUNT(Curvas_cupon_cero!$A:$A)-2,1),OFFSET(Curvas_cupon_cero!$A$1,1,MATCH($B$6,Curvas_cupon_cero!$1:$1,0)-1,COUNT(Curvas_cupon_cero!$A:$A)-2,1))))</f>
        <v/>
      </c>
      <c r="N616" s="23"/>
      <c r="O616" s="19" t="str">
        <f t="shared" si="98"/>
        <v/>
      </c>
    </row>
    <row r="617" spans="1:15" x14ac:dyDescent="0.2">
      <c r="A617" s="12" t="str">
        <f t="shared" si="92"/>
        <v/>
      </c>
      <c r="B617" t="str">
        <f t="shared" si="90"/>
        <v/>
      </c>
      <c r="C617" s="21" t="str">
        <f ca="1">IF(A617="","",IF($B$10="Sí",interpolar_alamb(B617,OFFSET(Curvas_cupon_cero!$A$1,1,0,COUNT(Curvas_cupon_cero!$A:$A)-2,1),OFFSET(Curvas_cupon_cero!$A$1,1,MATCH($B$8,Curvas_cupon_cero!$1:$1,0)-1,COUNT(Curvas_cupon_cero!$A:$A)-2,1)),[1]!interpolar(B617,OFFSET(Curvas_cupon_cero!$A$1,1,0,COUNT(Curvas_cupon_cero!$A:$A)-2,1),OFFSET(Curvas_cupon_cero!$A$1,1,MATCH($B$8,Curvas_cupon_cero!$1:$1,0)-1,COUNT(Curvas_cupon_cero!$A:$A)-2,1))))</f>
        <v/>
      </c>
      <c r="D617" s="23" t="str">
        <f ca="1">IF(A617="","",IF($B$10="Sí",interpolar_alamb(L617,OFFSET(Curvas_cupon_cero!$A$1,1,0,COUNT(Curvas_cupon_cero!$A:$A)-2,1),OFFSET(Curvas_cupon_cero!$A$1,1,MATCH($B$8,Curvas_cupon_cero!$1:$1,0)-1,COUNT(Curvas_cupon_cero!$A:$A)-2,1)),[1]!interpolar(L617,OFFSET(Curvas_cupon_cero!$A$1,1,0,COUNT(Curvas_cupon_cero!$A:$A)-2,1),OFFSET(Curvas_cupon_cero!$A$1,1,MATCH($B$8,Curvas_cupon_cero!$1:$1,0)-1,COUNT(Curvas_cupon_cero!$A:$A)-2,1))))</f>
        <v/>
      </c>
      <c r="E617" s="23" t="str">
        <f t="shared" si="93"/>
        <v/>
      </c>
      <c r="F617" s="23" t="str">
        <f ca="1">IF(A617="","",IF($B$10="Sí",interpolar_alamb(B617,OFFSET(Curvas_cupon_cero!$A$1,1,0,COUNT(Curvas_cupon_cero!$A:$A)-2,1),OFFSET(Curvas_cupon_cero!$A$1,1,MATCH($B$9,Curvas_cupon_cero!$1:$1,0)-1,COUNT(Curvas_cupon_cero!$A:$A)-2,1)),[1]!interpolar(B617,OFFSET(Curvas_cupon_cero!$A$1,1,0,COUNT(Curvas_cupon_cero!$A:$A)-2,1),OFFSET(Curvas_cupon_cero!$A$1,1,MATCH($B$9,Curvas_cupon_cero!$1:$1,0)-1,COUNT(Curvas_cupon_cero!$A:$A)-2,1))))</f>
        <v/>
      </c>
      <c r="G617" s="23" t="str">
        <f t="shared" si="94"/>
        <v/>
      </c>
      <c r="H617" s="20" t="str">
        <f t="shared" si="99"/>
        <v/>
      </c>
      <c r="I617" t="str">
        <f t="shared" si="95"/>
        <v/>
      </c>
      <c r="J617" s="17" t="str">
        <f t="shared" si="91"/>
        <v/>
      </c>
      <c r="K617" s="18" t="str">
        <f t="shared" si="96"/>
        <v/>
      </c>
      <c r="L617" t="str">
        <f t="shared" si="97"/>
        <v/>
      </c>
      <c r="M617" s="23" t="str">
        <f ca="1">IF(A617="","",IF($B$10="Sí",interpolar_alamb(L617,OFFSET(Curvas_cupon_cero!$A$1,1,0,COUNT(Curvas_cupon_cero!$A:$A)-2,1),OFFSET(Curvas_cupon_cero!$A$1,1,MATCH($B$6,Curvas_cupon_cero!$1:$1,0)-1,COUNT(Curvas_cupon_cero!$A:$A)-2,1)),[1]!interpolar(L617,OFFSET(Curvas_cupon_cero!$A$1,1,0,COUNT(Curvas_cupon_cero!$A:$A)-2,1),OFFSET(Curvas_cupon_cero!$A$1,1,MATCH($B$6,Curvas_cupon_cero!$1:$1,0)-1,COUNT(Curvas_cupon_cero!$A:$A)-2,1))))</f>
        <v/>
      </c>
      <c r="N617" s="23"/>
      <c r="O617" s="19" t="str">
        <f t="shared" si="98"/>
        <v/>
      </c>
    </row>
    <row r="618" spans="1:15" x14ac:dyDescent="0.2">
      <c r="A618" s="12" t="str">
        <f t="shared" si="92"/>
        <v/>
      </c>
      <c r="B618" t="str">
        <f t="shared" si="90"/>
        <v/>
      </c>
      <c r="C618" s="21" t="str">
        <f ca="1">IF(A618="","",IF($B$10="Sí",interpolar_alamb(B618,OFFSET(Curvas_cupon_cero!$A$1,1,0,COUNT(Curvas_cupon_cero!$A:$A)-2,1),OFFSET(Curvas_cupon_cero!$A$1,1,MATCH($B$8,Curvas_cupon_cero!$1:$1,0)-1,COUNT(Curvas_cupon_cero!$A:$A)-2,1)),[1]!interpolar(B618,OFFSET(Curvas_cupon_cero!$A$1,1,0,COUNT(Curvas_cupon_cero!$A:$A)-2,1),OFFSET(Curvas_cupon_cero!$A$1,1,MATCH($B$8,Curvas_cupon_cero!$1:$1,0)-1,COUNT(Curvas_cupon_cero!$A:$A)-2,1))))</f>
        <v/>
      </c>
      <c r="D618" s="23" t="str">
        <f ca="1">IF(A618="","",IF($B$10="Sí",interpolar_alamb(L618,OFFSET(Curvas_cupon_cero!$A$1,1,0,COUNT(Curvas_cupon_cero!$A:$A)-2,1),OFFSET(Curvas_cupon_cero!$A$1,1,MATCH($B$8,Curvas_cupon_cero!$1:$1,0)-1,COUNT(Curvas_cupon_cero!$A:$A)-2,1)),[1]!interpolar(L618,OFFSET(Curvas_cupon_cero!$A$1,1,0,COUNT(Curvas_cupon_cero!$A:$A)-2,1),OFFSET(Curvas_cupon_cero!$A$1,1,MATCH($B$8,Curvas_cupon_cero!$1:$1,0)-1,COUNT(Curvas_cupon_cero!$A:$A)-2,1))))</f>
        <v/>
      </c>
      <c r="E618" s="23" t="str">
        <f t="shared" si="93"/>
        <v/>
      </c>
      <c r="F618" s="23" t="str">
        <f ca="1">IF(A618="","",IF($B$10="Sí",interpolar_alamb(B618,OFFSET(Curvas_cupon_cero!$A$1,1,0,COUNT(Curvas_cupon_cero!$A:$A)-2,1),OFFSET(Curvas_cupon_cero!$A$1,1,MATCH($B$9,Curvas_cupon_cero!$1:$1,0)-1,COUNT(Curvas_cupon_cero!$A:$A)-2,1)),[1]!interpolar(B618,OFFSET(Curvas_cupon_cero!$A$1,1,0,COUNT(Curvas_cupon_cero!$A:$A)-2,1),OFFSET(Curvas_cupon_cero!$A$1,1,MATCH($B$9,Curvas_cupon_cero!$1:$1,0)-1,COUNT(Curvas_cupon_cero!$A:$A)-2,1))))</f>
        <v/>
      </c>
      <c r="G618" s="23" t="str">
        <f t="shared" si="94"/>
        <v/>
      </c>
      <c r="H618" s="20" t="str">
        <f t="shared" si="99"/>
        <v/>
      </c>
      <c r="I618" t="str">
        <f t="shared" si="95"/>
        <v/>
      </c>
      <c r="J618" s="17" t="str">
        <f t="shared" si="91"/>
        <v/>
      </c>
      <c r="K618" s="18" t="str">
        <f t="shared" si="96"/>
        <v/>
      </c>
      <c r="L618" t="str">
        <f t="shared" si="97"/>
        <v/>
      </c>
      <c r="M618" s="23" t="str">
        <f ca="1">IF(A618="","",IF($B$10="Sí",interpolar_alamb(L618,OFFSET(Curvas_cupon_cero!$A$1,1,0,COUNT(Curvas_cupon_cero!$A:$A)-2,1),OFFSET(Curvas_cupon_cero!$A$1,1,MATCH($B$6,Curvas_cupon_cero!$1:$1,0)-1,COUNT(Curvas_cupon_cero!$A:$A)-2,1)),[1]!interpolar(L618,OFFSET(Curvas_cupon_cero!$A$1,1,0,COUNT(Curvas_cupon_cero!$A:$A)-2,1),OFFSET(Curvas_cupon_cero!$A$1,1,MATCH($B$6,Curvas_cupon_cero!$1:$1,0)-1,COUNT(Curvas_cupon_cero!$A:$A)-2,1))))</f>
        <v/>
      </c>
      <c r="N618" s="23"/>
      <c r="O618" s="19" t="str">
        <f t="shared" si="98"/>
        <v/>
      </c>
    </row>
    <row r="619" spans="1:15" x14ac:dyDescent="0.2">
      <c r="A619" s="12" t="str">
        <f t="shared" si="92"/>
        <v/>
      </c>
      <c r="B619" t="str">
        <f t="shared" si="90"/>
        <v/>
      </c>
      <c r="C619" s="21" t="str">
        <f ca="1">IF(A619="","",IF($B$10="Sí",interpolar_alamb(B619,OFFSET(Curvas_cupon_cero!$A$1,1,0,COUNT(Curvas_cupon_cero!$A:$A)-2,1),OFFSET(Curvas_cupon_cero!$A$1,1,MATCH($B$8,Curvas_cupon_cero!$1:$1,0)-1,COUNT(Curvas_cupon_cero!$A:$A)-2,1)),[1]!interpolar(B619,OFFSET(Curvas_cupon_cero!$A$1,1,0,COUNT(Curvas_cupon_cero!$A:$A)-2,1),OFFSET(Curvas_cupon_cero!$A$1,1,MATCH($B$8,Curvas_cupon_cero!$1:$1,0)-1,COUNT(Curvas_cupon_cero!$A:$A)-2,1))))</f>
        <v/>
      </c>
      <c r="D619" s="23" t="str">
        <f ca="1">IF(A619="","",IF($B$10="Sí",interpolar_alamb(L619,OFFSET(Curvas_cupon_cero!$A$1,1,0,COUNT(Curvas_cupon_cero!$A:$A)-2,1),OFFSET(Curvas_cupon_cero!$A$1,1,MATCH($B$8,Curvas_cupon_cero!$1:$1,0)-1,COUNT(Curvas_cupon_cero!$A:$A)-2,1)),[1]!interpolar(L619,OFFSET(Curvas_cupon_cero!$A$1,1,0,COUNT(Curvas_cupon_cero!$A:$A)-2,1),OFFSET(Curvas_cupon_cero!$A$1,1,MATCH($B$8,Curvas_cupon_cero!$1:$1,0)-1,COUNT(Curvas_cupon_cero!$A:$A)-2,1))))</f>
        <v/>
      </c>
      <c r="E619" s="23" t="str">
        <f t="shared" si="93"/>
        <v/>
      </c>
      <c r="F619" s="23" t="str">
        <f ca="1">IF(A619="","",IF($B$10="Sí",interpolar_alamb(B619,OFFSET(Curvas_cupon_cero!$A$1,1,0,COUNT(Curvas_cupon_cero!$A:$A)-2,1),OFFSET(Curvas_cupon_cero!$A$1,1,MATCH($B$9,Curvas_cupon_cero!$1:$1,0)-1,COUNT(Curvas_cupon_cero!$A:$A)-2,1)),[1]!interpolar(B619,OFFSET(Curvas_cupon_cero!$A$1,1,0,COUNT(Curvas_cupon_cero!$A:$A)-2,1),OFFSET(Curvas_cupon_cero!$A$1,1,MATCH($B$9,Curvas_cupon_cero!$1:$1,0)-1,COUNT(Curvas_cupon_cero!$A:$A)-2,1))))</f>
        <v/>
      </c>
      <c r="G619" s="23" t="str">
        <f t="shared" si="94"/>
        <v/>
      </c>
      <c r="H619" s="20" t="str">
        <f t="shared" si="99"/>
        <v/>
      </c>
      <c r="I619" t="str">
        <f t="shared" si="95"/>
        <v/>
      </c>
      <c r="J619" s="17" t="str">
        <f t="shared" si="91"/>
        <v/>
      </c>
      <c r="K619" s="18" t="str">
        <f t="shared" si="96"/>
        <v/>
      </c>
      <c r="L619" t="str">
        <f t="shared" si="97"/>
        <v/>
      </c>
      <c r="M619" s="23" t="str">
        <f ca="1">IF(A619="","",IF($B$10="Sí",interpolar_alamb(L619,OFFSET(Curvas_cupon_cero!$A$1,1,0,COUNT(Curvas_cupon_cero!$A:$A)-2,1),OFFSET(Curvas_cupon_cero!$A$1,1,MATCH($B$6,Curvas_cupon_cero!$1:$1,0)-1,COUNT(Curvas_cupon_cero!$A:$A)-2,1)),[1]!interpolar(L619,OFFSET(Curvas_cupon_cero!$A$1,1,0,COUNT(Curvas_cupon_cero!$A:$A)-2,1),OFFSET(Curvas_cupon_cero!$A$1,1,MATCH($B$6,Curvas_cupon_cero!$1:$1,0)-1,COUNT(Curvas_cupon_cero!$A:$A)-2,1))))</f>
        <v/>
      </c>
      <c r="N619" s="23"/>
      <c r="O619" s="19" t="str">
        <f t="shared" si="98"/>
        <v/>
      </c>
    </row>
    <row r="620" spans="1:15" x14ac:dyDescent="0.2">
      <c r="A620" s="12" t="str">
        <f t="shared" si="92"/>
        <v/>
      </c>
      <c r="B620" t="str">
        <f t="shared" si="90"/>
        <v/>
      </c>
      <c r="C620" s="21" t="str">
        <f ca="1">IF(A620="","",IF($B$10="Sí",interpolar_alamb(B620,OFFSET(Curvas_cupon_cero!$A$1,1,0,COUNT(Curvas_cupon_cero!$A:$A)-2,1),OFFSET(Curvas_cupon_cero!$A$1,1,MATCH($B$8,Curvas_cupon_cero!$1:$1,0)-1,COUNT(Curvas_cupon_cero!$A:$A)-2,1)),[1]!interpolar(B620,OFFSET(Curvas_cupon_cero!$A$1,1,0,COUNT(Curvas_cupon_cero!$A:$A)-2,1),OFFSET(Curvas_cupon_cero!$A$1,1,MATCH($B$8,Curvas_cupon_cero!$1:$1,0)-1,COUNT(Curvas_cupon_cero!$A:$A)-2,1))))</f>
        <v/>
      </c>
      <c r="D620" s="23" t="str">
        <f ca="1">IF(A620="","",IF($B$10="Sí",interpolar_alamb(L620,OFFSET(Curvas_cupon_cero!$A$1,1,0,COUNT(Curvas_cupon_cero!$A:$A)-2,1),OFFSET(Curvas_cupon_cero!$A$1,1,MATCH($B$8,Curvas_cupon_cero!$1:$1,0)-1,COUNT(Curvas_cupon_cero!$A:$A)-2,1)),[1]!interpolar(L620,OFFSET(Curvas_cupon_cero!$A$1,1,0,COUNT(Curvas_cupon_cero!$A:$A)-2,1),OFFSET(Curvas_cupon_cero!$A$1,1,MATCH($B$8,Curvas_cupon_cero!$1:$1,0)-1,COUNT(Curvas_cupon_cero!$A:$A)-2,1))))</f>
        <v/>
      </c>
      <c r="E620" s="23" t="str">
        <f t="shared" si="93"/>
        <v/>
      </c>
      <c r="F620" s="23" t="str">
        <f ca="1">IF(A620="","",IF($B$10="Sí",interpolar_alamb(B620,OFFSET(Curvas_cupon_cero!$A$1,1,0,COUNT(Curvas_cupon_cero!$A:$A)-2,1),OFFSET(Curvas_cupon_cero!$A$1,1,MATCH($B$9,Curvas_cupon_cero!$1:$1,0)-1,COUNT(Curvas_cupon_cero!$A:$A)-2,1)),[1]!interpolar(B620,OFFSET(Curvas_cupon_cero!$A$1,1,0,COUNT(Curvas_cupon_cero!$A:$A)-2,1),OFFSET(Curvas_cupon_cero!$A$1,1,MATCH($B$9,Curvas_cupon_cero!$1:$1,0)-1,COUNT(Curvas_cupon_cero!$A:$A)-2,1))))</f>
        <v/>
      </c>
      <c r="G620" s="23" t="str">
        <f t="shared" si="94"/>
        <v/>
      </c>
      <c r="H620" s="20" t="str">
        <f t="shared" si="99"/>
        <v/>
      </c>
      <c r="I620" t="str">
        <f t="shared" si="95"/>
        <v/>
      </c>
      <c r="J620" s="17" t="str">
        <f t="shared" si="91"/>
        <v/>
      </c>
      <c r="K620" s="18" t="str">
        <f t="shared" si="96"/>
        <v/>
      </c>
      <c r="L620" t="str">
        <f t="shared" si="97"/>
        <v/>
      </c>
      <c r="M620" s="23" t="str">
        <f ca="1">IF(A620="","",IF($B$10="Sí",interpolar_alamb(L620,OFFSET(Curvas_cupon_cero!$A$1,1,0,COUNT(Curvas_cupon_cero!$A:$A)-2,1),OFFSET(Curvas_cupon_cero!$A$1,1,MATCH($B$6,Curvas_cupon_cero!$1:$1,0)-1,COUNT(Curvas_cupon_cero!$A:$A)-2,1)),[1]!interpolar(L620,OFFSET(Curvas_cupon_cero!$A$1,1,0,COUNT(Curvas_cupon_cero!$A:$A)-2,1),OFFSET(Curvas_cupon_cero!$A$1,1,MATCH($B$6,Curvas_cupon_cero!$1:$1,0)-1,COUNT(Curvas_cupon_cero!$A:$A)-2,1))))</f>
        <v/>
      </c>
      <c r="N620" s="23"/>
      <c r="O620" s="19" t="str">
        <f t="shared" si="98"/>
        <v/>
      </c>
    </row>
    <row r="621" spans="1:15" x14ac:dyDescent="0.2">
      <c r="A621" s="12" t="str">
        <f t="shared" si="92"/>
        <v/>
      </c>
      <c r="B621" t="str">
        <f t="shared" si="90"/>
        <v/>
      </c>
      <c r="C621" s="21" t="str">
        <f ca="1">IF(A621="","",IF($B$10="Sí",interpolar_alamb(B621,OFFSET(Curvas_cupon_cero!$A$1,1,0,COUNT(Curvas_cupon_cero!$A:$A)-2,1),OFFSET(Curvas_cupon_cero!$A$1,1,MATCH($B$8,Curvas_cupon_cero!$1:$1,0)-1,COUNT(Curvas_cupon_cero!$A:$A)-2,1)),[1]!interpolar(B621,OFFSET(Curvas_cupon_cero!$A$1,1,0,COUNT(Curvas_cupon_cero!$A:$A)-2,1),OFFSET(Curvas_cupon_cero!$A$1,1,MATCH($B$8,Curvas_cupon_cero!$1:$1,0)-1,COUNT(Curvas_cupon_cero!$A:$A)-2,1))))</f>
        <v/>
      </c>
      <c r="D621" s="23" t="str">
        <f ca="1">IF(A621="","",IF($B$10="Sí",interpolar_alamb(L621,OFFSET(Curvas_cupon_cero!$A$1,1,0,COUNT(Curvas_cupon_cero!$A:$A)-2,1),OFFSET(Curvas_cupon_cero!$A$1,1,MATCH($B$8,Curvas_cupon_cero!$1:$1,0)-1,COUNT(Curvas_cupon_cero!$A:$A)-2,1)),[1]!interpolar(L621,OFFSET(Curvas_cupon_cero!$A$1,1,0,COUNT(Curvas_cupon_cero!$A:$A)-2,1),OFFSET(Curvas_cupon_cero!$A$1,1,MATCH($B$8,Curvas_cupon_cero!$1:$1,0)-1,COUNT(Curvas_cupon_cero!$A:$A)-2,1))))</f>
        <v/>
      </c>
      <c r="E621" s="23" t="str">
        <f t="shared" si="93"/>
        <v/>
      </c>
      <c r="F621" s="23" t="str">
        <f ca="1">IF(A621="","",IF($B$10="Sí",interpolar_alamb(B621,OFFSET(Curvas_cupon_cero!$A$1,1,0,COUNT(Curvas_cupon_cero!$A:$A)-2,1),OFFSET(Curvas_cupon_cero!$A$1,1,MATCH($B$9,Curvas_cupon_cero!$1:$1,0)-1,COUNT(Curvas_cupon_cero!$A:$A)-2,1)),[1]!interpolar(B621,OFFSET(Curvas_cupon_cero!$A$1,1,0,COUNT(Curvas_cupon_cero!$A:$A)-2,1),OFFSET(Curvas_cupon_cero!$A$1,1,MATCH($B$9,Curvas_cupon_cero!$1:$1,0)-1,COUNT(Curvas_cupon_cero!$A:$A)-2,1))))</f>
        <v/>
      </c>
      <c r="G621" s="23" t="str">
        <f t="shared" si="94"/>
        <v/>
      </c>
      <c r="H621" s="20" t="str">
        <f t="shared" si="99"/>
        <v/>
      </c>
      <c r="I621" t="str">
        <f t="shared" si="95"/>
        <v/>
      </c>
      <c r="J621" s="17" t="str">
        <f t="shared" si="91"/>
        <v/>
      </c>
      <c r="K621" s="18" t="str">
        <f t="shared" si="96"/>
        <v/>
      </c>
      <c r="L621" t="str">
        <f t="shared" si="97"/>
        <v/>
      </c>
      <c r="M621" s="23" t="str">
        <f ca="1">IF(A621="","",IF($B$10="Sí",interpolar_alamb(L621,OFFSET(Curvas_cupon_cero!$A$1,1,0,COUNT(Curvas_cupon_cero!$A:$A)-2,1),OFFSET(Curvas_cupon_cero!$A$1,1,MATCH($B$6,Curvas_cupon_cero!$1:$1,0)-1,COUNT(Curvas_cupon_cero!$A:$A)-2,1)),[1]!interpolar(L621,OFFSET(Curvas_cupon_cero!$A$1,1,0,COUNT(Curvas_cupon_cero!$A:$A)-2,1),OFFSET(Curvas_cupon_cero!$A$1,1,MATCH($B$6,Curvas_cupon_cero!$1:$1,0)-1,COUNT(Curvas_cupon_cero!$A:$A)-2,1))))</f>
        <v/>
      </c>
      <c r="N621" s="23"/>
      <c r="O621" s="19" t="str">
        <f t="shared" si="98"/>
        <v/>
      </c>
    </row>
    <row r="622" spans="1:15" x14ac:dyDescent="0.2">
      <c r="A622" s="12" t="str">
        <f t="shared" si="92"/>
        <v/>
      </c>
      <c r="B622" t="str">
        <f t="shared" si="90"/>
        <v/>
      </c>
      <c r="C622" s="21" t="str">
        <f ca="1">IF(A622="","",IF($B$10="Sí",interpolar_alamb(B622,OFFSET(Curvas_cupon_cero!$A$1,1,0,COUNT(Curvas_cupon_cero!$A:$A)-2,1),OFFSET(Curvas_cupon_cero!$A$1,1,MATCH($B$8,Curvas_cupon_cero!$1:$1,0)-1,COUNT(Curvas_cupon_cero!$A:$A)-2,1)),[1]!interpolar(B622,OFFSET(Curvas_cupon_cero!$A$1,1,0,COUNT(Curvas_cupon_cero!$A:$A)-2,1),OFFSET(Curvas_cupon_cero!$A$1,1,MATCH($B$8,Curvas_cupon_cero!$1:$1,0)-1,COUNT(Curvas_cupon_cero!$A:$A)-2,1))))</f>
        <v/>
      </c>
      <c r="D622" s="23" t="str">
        <f ca="1">IF(A622="","",IF($B$10="Sí",interpolar_alamb(L622,OFFSET(Curvas_cupon_cero!$A$1,1,0,COUNT(Curvas_cupon_cero!$A:$A)-2,1),OFFSET(Curvas_cupon_cero!$A$1,1,MATCH($B$8,Curvas_cupon_cero!$1:$1,0)-1,COUNT(Curvas_cupon_cero!$A:$A)-2,1)),[1]!interpolar(L622,OFFSET(Curvas_cupon_cero!$A$1,1,0,COUNT(Curvas_cupon_cero!$A:$A)-2,1),OFFSET(Curvas_cupon_cero!$A$1,1,MATCH($B$8,Curvas_cupon_cero!$1:$1,0)-1,COUNT(Curvas_cupon_cero!$A:$A)-2,1))))</f>
        <v/>
      </c>
      <c r="E622" s="23" t="str">
        <f t="shared" si="93"/>
        <v/>
      </c>
      <c r="F622" s="23" t="str">
        <f ca="1">IF(A622="","",IF($B$10="Sí",interpolar_alamb(B622,OFFSET(Curvas_cupon_cero!$A$1,1,0,COUNT(Curvas_cupon_cero!$A:$A)-2,1),OFFSET(Curvas_cupon_cero!$A$1,1,MATCH($B$9,Curvas_cupon_cero!$1:$1,0)-1,COUNT(Curvas_cupon_cero!$A:$A)-2,1)),[1]!interpolar(B622,OFFSET(Curvas_cupon_cero!$A$1,1,0,COUNT(Curvas_cupon_cero!$A:$A)-2,1),OFFSET(Curvas_cupon_cero!$A$1,1,MATCH($B$9,Curvas_cupon_cero!$1:$1,0)-1,COUNT(Curvas_cupon_cero!$A:$A)-2,1))))</f>
        <v/>
      </c>
      <c r="G622" s="23" t="str">
        <f t="shared" si="94"/>
        <v/>
      </c>
      <c r="H622" s="20" t="str">
        <f t="shared" si="99"/>
        <v/>
      </c>
      <c r="I622" t="str">
        <f t="shared" si="95"/>
        <v/>
      </c>
      <c r="J622" s="17" t="str">
        <f t="shared" si="91"/>
        <v/>
      </c>
      <c r="K622" s="18" t="str">
        <f t="shared" si="96"/>
        <v/>
      </c>
      <c r="L622" t="str">
        <f t="shared" si="97"/>
        <v/>
      </c>
      <c r="M622" s="23" t="str">
        <f ca="1">IF(A622="","",IF($B$10="Sí",interpolar_alamb(L622,OFFSET(Curvas_cupon_cero!$A$1,1,0,COUNT(Curvas_cupon_cero!$A:$A)-2,1),OFFSET(Curvas_cupon_cero!$A$1,1,MATCH($B$6,Curvas_cupon_cero!$1:$1,0)-1,COUNT(Curvas_cupon_cero!$A:$A)-2,1)),[1]!interpolar(L622,OFFSET(Curvas_cupon_cero!$A$1,1,0,COUNT(Curvas_cupon_cero!$A:$A)-2,1),OFFSET(Curvas_cupon_cero!$A$1,1,MATCH($B$6,Curvas_cupon_cero!$1:$1,0)-1,COUNT(Curvas_cupon_cero!$A:$A)-2,1))))</f>
        <v/>
      </c>
      <c r="N622" s="23"/>
      <c r="O622" s="19" t="str">
        <f t="shared" si="98"/>
        <v/>
      </c>
    </row>
    <row r="623" spans="1:15" x14ac:dyDescent="0.2">
      <c r="A623" s="12" t="str">
        <f t="shared" si="92"/>
        <v/>
      </c>
      <c r="B623" t="str">
        <f t="shared" si="90"/>
        <v/>
      </c>
      <c r="C623" s="21" t="str">
        <f ca="1">IF(A623="","",IF($B$10="Sí",interpolar_alamb(B623,OFFSET(Curvas_cupon_cero!$A$1,1,0,COUNT(Curvas_cupon_cero!$A:$A)-2,1),OFFSET(Curvas_cupon_cero!$A$1,1,MATCH($B$8,Curvas_cupon_cero!$1:$1,0)-1,COUNT(Curvas_cupon_cero!$A:$A)-2,1)),[1]!interpolar(B623,OFFSET(Curvas_cupon_cero!$A$1,1,0,COUNT(Curvas_cupon_cero!$A:$A)-2,1),OFFSET(Curvas_cupon_cero!$A$1,1,MATCH($B$8,Curvas_cupon_cero!$1:$1,0)-1,COUNT(Curvas_cupon_cero!$A:$A)-2,1))))</f>
        <v/>
      </c>
      <c r="D623" s="23" t="str">
        <f ca="1">IF(A623="","",IF($B$10="Sí",interpolar_alamb(L623,OFFSET(Curvas_cupon_cero!$A$1,1,0,COUNT(Curvas_cupon_cero!$A:$A)-2,1),OFFSET(Curvas_cupon_cero!$A$1,1,MATCH($B$8,Curvas_cupon_cero!$1:$1,0)-1,COUNT(Curvas_cupon_cero!$A:$A)-2,1)),[1]!interpolar(L623,OFFSET(Curvas_cupon_cero!$A$1,1,0,COUNT(Curvas_cupon_cero!$A:$A)-2,1),OFFSET(Curvas_cupon_cero!$A$1,1,MATCH($B$8,Curvas_cupon_cero!$1:$1,0)-1,COUNT(Curvas_cupon_cero!$A:$A)-2,1))))</f>
        <v/>
      </c>
      <c r="E623" s="23" t="str">
        <f t="shared" si="93"/>
        <v/>
      </c>
      <c r="F623" s="23" t="str">
        <f ca="1">IF(A623="","",IF($B$10="Sí",interpolar_alamb(B623,OFFSET(Curvas_cupon_cero!$A$1,1,0,COUNT(Curvas_cupon_cero!$A:$A)-2,1),OFFSET(Curvas_cupon_cero!$A$1,1,MATCH($B$9,Curvas_cupon_cero!$1:$1,0)-1,COUNT(Curvas_cupon_cero!$A:$A)-2,1)),[1]!interpolar(B623,OFFSET(Curvas_cupon_cero!$A$1,1,0,COUNT(Curvas_cupon_cero!$A:$A)-2,1),OFFSET(Curvas_cupon_cero!$A$1,1,MATCH($B$9,Curvas_cupon_cero!$1:$1,0)-1,COUNT(Curvas_cupon_cero!$A:$A)-2,1))))</f>
        <v/>
      </c>
      <c r="G623" s="23" t="str">
        <f t="shared" si="94"/>
        <v/>
      </c>
      <c r="H623" s="20" t="str">
        <f t="shared" si="99"/>
        <v/>
      </c>
      <c r="I623" t="str">
        <f t="shared" si="95"/>
        <v/>
      </c>
      <c r="J623" s="17" t="str">
        <f t="shared" si="91"/>
        <v/>
      </c>
      <c r="K623" s="18" t="str">
        <f t="shared" si="96"/>
        <v/>
      </c>
      <c r="L623" t="str">
        <f t="shared" si="97"/>
        <v/>
      </c>
      <c r="M623" s="23" t="str">
        <f ca="1">IF(A623="","",IF($B$10="Sí",interpolar_alamb(L623,OFFSET(Curvas_cupon_cero!$A$1,1,0,COUNT(Curvas_cupon_cero!$A:$A)-2,1),OFFSET(Curvas_cupon_cero!$A$1,1,MATCH($B$6,Curvas_cupon_cero!$1:$1,0)-1,COUNT(Curvas_cupon_cero!$A:$A)-2,1)),[1]!interpolar(L623,OFFSET(Curvas_cupon_cero!$A$1,1,0,COUNT(Curvas_cupon_cero!$A:$A)-2,1),OFFSET(Curvas_cupon_cero!$A$1,1,MATCH($B$6,Curvas_cupon_cero!$1:$1,0)-1,COUNT(Curvas_cupon_cero!$A:$A)-2,1))))</f>
        <v/>
      </c>
      <c r="N623" s="23"/>
      <c r="O623" s="19" t="str">
        <f t="shared" si="98"/>
        <v/>
      </c>
    </row>
    <row r="624" spans="1:15" x14ac:dyDescent="0.2">
      <c r="A624" s="12" t="str">
        <f t="shared" si="92"/>
        <v/>
      </c>
      <c r="B624" t="str">
        <f t="shared" si="90"/>
        <v/>
      </c>
      <c r="C624" s="21" t="str">
        <f ca="1">IF(A624="","",IF($B$10="Sí",interpolar_alamb(B624,OFFSET(Curvas_cupon_cero!$A$1,1,0,COUNT(Curvas_cupon_cero!$A:$A)-2,1),OFFSET(Curvas_cupon_cero!$A$1,1,MATCH($B$8,Curvas_cupon_cero!$1:$1,0)-1,COUNT(Curvas_cupon_cero!$A:$A)-2,1)),[1]!interpolar(B624,OFFSET(Curvas_cupon_cero!$A$1,1,0,COUNT(Curvas_cupon_cero!$A:$A)-2,1),OFFSET(Curvas_cupon_cero!$A$1,1,MATCH($B$8,Curvas_cupon_cero!$1:$1,0)-1,COUNT(Curvas_cupon_cero!$A:$A)-2,1))))</f>
        <v/>
      </c>
      <c r="D624" s="23" t="str">
        <f ca="1">IF(A624="","",IF($B$10="Sí",interpolar_alamb(L624,OFFSET(Curvas_cupon_cero!$A$1,1,0,COUNT(Curvas_cupon_cero!$A:$A)-2,1),OFFSET(Curvas_cupon_cero!$A$1,1,MATCH($B$8,Curvas_cupon_cero!$1:$1,0)-1,COUNT(Curvas_cupon_cero!$A:$A)-2,1)),[1]!interpolar(L624,OFFSET(Curvas_cupon_cero!$A$1,1,0,COUNT(Curvas_cupon_cero!$A:$A)-2,1),OFFSET(Curvas_cupon_cero!$A$1,1,MATCH($B$8,Curvas_cupon_cero!$1:$1,0)-1,COUNT(Curvas_cupon_cero!$A:$A)-2,1))))</f>
        <v/>
      </c>
      <c r="E624" s="23" t="str">
        <f t="shared" si="93"/>
        <v/>
      </c>
      <c r="F624" s="23" t="str">
        <f ca="1">IF(A624="","",IF($B$10="Sí",interpolar_alamb(B624,OFFSET(Curvas_cupon_cero!$A$1,1,0,COUNT(Curvas_cupon_cero!$A:$A)-2,1),OFFSET(Curvas_cupon_cero!$A$1,1,MATCH($B$9,Curvas_cupon_cero!$1:$1,0)-1,COUNT(Curvas_cupon_cero!$A:$A)-2,1)),[1]!interpolar(B624,OFFSET(Curvas_cupon_cero!$A$1,1,0,COUNT(Curvas_cupon_cero!$A:$A)-2,1),OFFSET(Curvas_cupon_cero!$A$1,1,MATCH($B$9,Curvas_cupon_cero!$1:$1,0)-1,COUNT(Curvas_cupon_cero!$A:$A)-2,1))))</f>
        <v/>
      </c>
      <c r="G624" s="23" t="str">
        <f t="shared" si="94"/>
        <v/>
      </c>
      <c r="H624" s="20" t="str">
        <f t="shared" si="99"/>
        <v/>
      </c>
      <c r="I624" t="str">
        <f t="shared" si="95"/>
        <v/>
      </c>
      <c r="J624" s="17" t="str">
        <f t="shared" si="91"/>
        <v/>
      </c>
      <c r="K624" s="18" t="str">
        <f t="shared" si="96"/>
        <v/>
      </c>
      <c r="L624" t="str">
        <f t="shared" si="97"/>
        <v/>
      </c>
      <c r="M624" s="23" t="str">
        <f ca="1">IF(A624="","",IF($B$10="Sí",interpolar_alamb(L624,OFFSET(Curvas_cupon_cero!$A$1,1,0,COUNT(Curvas_cupon_cero!$A:$A)-2,1),OFFSET(Curvas_cupon_cero!$A$1,1,MATCH($B$6,Curvas_cupon_cero!$1:$1,0)-1,COUNT(Curvas_cupon_cero!$A:$A)-2,1)),[1]!interpolar(L624,OFFSET(Curvas_cupon_cero!$A$1,1,0,COUNT(Curvas_cupon_cero!$A:$A)-2,1),OFFSET(Curvas_cupon_cero!$A$1,1,MATCH($B$6,Curvas_cupon_cero!$1:$1,0)-1,COUNT(Curvas_cupon_cero!$A:$A)-2,1))))</f>
        <v/>
      </c>
      <c r="N624" s="23"/>
      <c r="O624" s="19" t="str">
        <f t="shared" si="98"/>
        <v/>
      </c>
    </row>
    <row r="625" spans="1:15" x14ac:dyDescent="0.2">
      <c r="A625" s="12" t="str">
        <f t="shared" si="92"/>
        <v/>
      </c>
      <c r="B625" t="str">
        <f t="shared" si="90"/>
        <v/>
      </c>
      <c r="C625" s="21" t="str">
        <f ca="1">IF(A625="","",IF($B$10="Sí",interpolar_alamb(B625,OFFSET(Curvas_cupon_cero!$A$1,1,0,COUNT(Curvas_cupon_cero!$A:$A)-2,1),OFFSET(Curvas_cupon_cero!$A$1,1,MATCH($B$8,Curvas_cupon_cero!$1:$1,0)-1,COUNT(Curvas_cupon_cero!$A:$A)-2,1)),[1]!interpolar(B625,OFFSET(Curvas_cupon_cero!$A$1,1,0,COUNT(Curvas_cupon_cero!$A:$A)-2,1),OFFSET(Curvas_cupon_cero!$A$1,1,MATCH($B$8,Curvas_cupon_cero!$1:$1,0)-1,COUNT(Curvas_cupon_cero!$A:$A)-2,1))))</f>
        <v/>
      </c>
      <c r="D625" s="23" t="str">
        <f ca="1">IF(A625="","",IF($B$10="Sí",interpolar_alamb(L625,OFFSET(Curvas_cupon_cero!$A$1,1,0,COUNT(Curvas_cupon_cero!$A:$A)-2,1),OFFSET(Curvas_cupon_cero!$A$1,1,MATCH($B$8,Curvas_cupon_cero!$1:$1,0)-1,COUNT(Curvas_cupon_cero!$A:$A)-2,1)),[1]!interpolar(L625,OFFSET(Curvas_cupon_cero!$A$1,1,0,COUNT(Curvas_cupon_cero!$A:$A)-2,1),OFFSET(Curvas_cupon_cero!$A$1,1,MATCH($B$8,Curvas_cupon_cero!$1:$1,0)-1,COUNT(Curvas_cupon_cero!$A:$A)-2,1))))</f>
        <v/>
      </c>
      <c r="E625" s="23" t="str">
        <f t="shared" si="93"/>
        <v/>
      </c>
      <c r="F625" s="23" t="str">
        <f ca="1">IF(A625="","",IF($B$10="Sí",interpolar_alamb(B625,OFFSET(Curvas_cupon_cero!$A$1,1,0,COUNT(Curvas_cupon_cero!$A:$A)-2,1),OFFSET(Curvas_cupon_cero!$A$1,1,MATCH($B$9,Curvas_cupon_cero!$1:$1,0)-1,COUNT(Curvas_cupon_cero!$A:$A)-2,1)),[1]!interpolar(B625,OFFSET(Curvas_cupon_cero!$A$1,1,0,COUNT(Curvas_cupon_cero!$A:$A)-2,1),OFFSET(Curvas_cupon_cero!$A$1,1,MATCH($B$9,Curvas_cupon_cero!$1:$1,0)-1,COUNT(Curvas_cupon_cero!$A:$A)-2,1))))</f>
        <v/>
      </c>
      <c r="G625" s="23" t="str">
        <f t="shared" si="94"/>
        <v/>
      </c>
      <c r="H625" s="20" t="str">
        <f t="shared" si="99"/>
        <v/>
      </c>
      <c r="I625" t="str">
        <f t="shared" si="95"/>
        <v/>
      </c>
      <c r="J625" s="17" t="str">
        <f t="shared" si="91"/>
        <v/>
      </c>
      <c r="K625" s="18" t="str">
        <f t="shared" si="96"/>
        <v/>
      </c>
      <c r="L625" t="str">
        <f t="shared" si="97"/>
        <v/>
      </c>
      <c r="M625" s="23" t="str">
        <f ca="1">IF(A625="","",IF($B$10="Sí",interpolar_alamb(L625,OFFSET(Curvas_cupon_cero!$A$1,1,0,COUNT(Curvas_cupon_cero!$A:$A)-2,1),OFFSET(Curvas_cupon_cero!$A$1,1,MATCH($B$6,Curvas_cupon_cero!$1:$1,0)-1,COUNT(Curvas_cupon_cero!$A:$A)-2,1)),[1]!interpolar(L625,OFFSET(Curvas_cupon_cero!$A$1,1,0,COUNT(Curvas_cupon_cero!$A:$A)-2,1),OFFSET(Curvas_cupon_cero!$A$1,1,MATCH($B$6,Curvas_cupon_cero!$1:$1,0)-1,COUNT(Curvas_cupon_cero!$A:$A)-2,1))))</f>
        <v/>
      </c>
      <c r="N625" s="23"/>
      <c r="O625" s="19" t="str">
        <f t="shared" si="98"/>
        <v/>
      </c>
    </row>
    <row r="626" spans="1:15" x14ac:dyDescent="0.2">
      <c r="A626" s="12" t="str">
        <f t="shared" si="92"/>
        <v/>
      </c>
      <c r="B626" t="str">
        <f t="shared" si="90"/>
        <v/>
      </c>
      <c r="C626" s="21" t="str">
        <f ca="1">IF(A626="","",IF($B$10="Sí",interpolar_alamb(B626,OFFSET(Curvas_cupon_cero!$A$1,1,0,COUNT(Curvas_cupon_cero!$A:$A)-2,1),OFFSET(Curvas_cupon_cero!$A$1,1,MATCH($B$8,Curvas_cupon_cero!$1:$1,0)-1,COUNT(Curvas_cupon_cero!$A:$A)-2,1)),[1]!interpolar(B626,OFFSET(Curvas_cupon_cero!$A$1,1,0,COUNT(Curvas_cupon_cero!$A:$A)-2,1),OFFSET(Curvas_cupon_cero!$A$1,1,MATCH($B$8,Curvas_cupon_cero!$1:$1,0)-1,COUNT(Curvas_cupon_cero!$A:$A)-2,1))))</f>
        <v/>
      </c>
      <c r="D626" s="23" t="str">
        <f ca="1">IF(A626="","",IF($B$10="Sí",interpolar_alamb(L626,OFFSET(Curvas_cupon_cero!$A$1,1,0,COUNT(Curvas_cupon_cero!$A:$A)-2,1),OFFSET(Curvas_cupon_cero!$A$1,1,MATCH($B$8,Curvas_cupon_cero!$1:$1,0)-1,COUNT(Curvas_cupon_cero!$A:$A)-2,1)),[1]!interpolar(L626,OFFSET(Curvas_cupon_cero!$A$1,1,0,COUNT(Curvas_cupon_cero!$A:$A)-2,1),OFFSET(Curvas_cupon_cero!$A$1,1,MATCH($B$8,Curvas_cupon_cero!$1:$1,0)-1,COUNT(Curvas_cupon_cero!$A:$A)-2,1))))</f>
        <v/>
      </c>
      <c r="E626" s="23" t="str">
        <f t="shared" si="93"/>
        <v/>
      </c>
      <c r="F626" s="23" t="str">
        <f ca="1">IF(A626="","",IF($B$10="Sí",interpolar_alamb(B626,OFFSET(Curvas_cupon_cero!$A$1,1,0,COUNT(Curvas_cupon_cero!$A:$A)-2,1),OFFSET(Curvas_cupon_cero!$A$1,1,MATCH($B$9,Curvas_cupon_cero!$1:$1,0)-1,COUNT(Curvas_cupon_cero!$A:$A)-2,1)),[1]!interpolar(B626,OFFSET(Curvas_cupon_cero!$A$1,1,0,COUNT(Curvas_cupon_cero!$A:$A)-2,1),OFFSET(Curvas_cupon_cero!$A$1,1,MATCH($B$9,Curvas_cupon_cero!$1:$1,0)-1,COUNT(Curvas_cupon_cero!$A:$A)-2,1))))</f>
        <v/>
      </c>
      <c r="G626" s="23" t="str">
        <f t="shared" si="94"/>
        <v/>
      </c>
      <c r="H626" s="20" t="str">
        <f t="shared" si="99"/>
        <v/>
      </c>
      <c r="I626" t="str">
        <f t="shared" si="95"/>
        <v/>
      </c>
      <c r="J626" s="17" t="str">
        <f t="shared" si="91"/>
        <v/>
      </c>
      <c r="K626" s="18" t="str">
        <f t="shared" si="96"/>
        <v/>
      </c>
      <c r="L626" t="str">
        <f t="shared" si="97"/>
        <v/>
      </c>
      <c r="M626" s="23" t="str">
        <f ca="1">IF(A626="","",IF($B$10="Sí",interpolar_alamb(L626,OFFSET(Curvas_cupon_cero!$A$1,1,0,COUNT(Curvas_cupon_cero!$A:$A)-2,1),OFFSET(Curvas_cupon_cero!$A$1,1,MATCH($B$6,Curvas_cupon_cero!$1:$1,0)-1,COUNT(Curvas_cupon_cero!$A:$A)-2,1)),[1]!interpolar(L626,OFFSET(Curvas_cupon_cero!$A$1,1,0,COUNT(Curvas_cupon_cero!$A:$A)-2,1),OFFSET(Curvas_cupon_cero!$A$1,1,MATCH($B$6,Curvas_cupon_cero!$1:$1,0)-1,COUNT(Curvas_cupon_cero!$A:$A)-2,1))))</f>
        <v/>
      </c>
      <c r="N626" s="23"/>
      <c r="O626" s="19" t="str">
        <f t="shared" si="98"/>
        <v/>
      </c>
    </row>
    <row r="627" spans="1:15" x14ac:dyDescent="0.2">
      <c r="A627" s="12" t="str">
        <f t="shared" si="92"/>
        <v/>
      </c>
      <c r="B627" t="str">
        <f t="shared" si="90"/>
        <v/>
      </c>
      <c r="C627" s="21" t="str">
        <f ca="1">IF(A627="","",IF($B$10="Sí",interpolar_alamb(B627,OFFSET(Curvas_cupon_cero!$A$1,1,0,COUNT(Curvas_cupon_cero!$A:$A)-2,1),OFFSET(Curvas_cupon_cero!$A$1,1,MATCH($B$8,Curvas_cupon_cero!$1:$1,0)-1,COUNT(Curvas_cupon_cero!$A:$A)-2,1)),[1]!interpolar(B627,OFFSET(Curvas_cupon_cero!$A$1,1,0,COUNT(Curvas_cupon_cero!$A:$A)-2,1),OFFSET(Curvas_cupon_cero!$A$1,1,MATCH($B$8,Curvas_cupon_cero!$1:$1,0)-1,COUNT(Curvas_cupon_cero!$A:$A)-2,1))))</f>
        <v/>
      </c>
      <c r="D627" s="23" t="str">
        <f ca="1">IF(A627="","",IF($B$10="Sí",interpolar_alamb(L627,OFFSET(Curvas_cupon_cero!$A$1,1,0,COUNT(Curvas_cupon_cero!$A:$A)-2,1),OFFSET(Curvas_cupon_cero!$A$1,1,MATCH($B$8,Curvas_cupon_cero!$1:$1,0)-1,COUNT(Curvas_cupon_cero!$A:$A)-2,1)),[1]!interpolar(L627,OFFSET(Curvas_cupon_cero!$A$1,1,0,COUNT(Curvas_cupon_cero!$A:$A)-2,1),OFFSET(Curvas_cupon_cero!$A$1,1,MATCH($B$8,Curvas_cupon_cero!$1:$1,0)-1,COUNT(Curvas_cupon_cero!$A:$A)-2,1))))</f>
        <v/>
      </c>
      <c r="E627" s="23" t="str">
        <f t="shared" si="93"/>
        <v/>
      </c>
      <c r="F627" s="23" t="str">
        <f ca="1">IF(A627="","",IF($B$10="Sí",interpolar_alamb(B627,OFFSET(Curvas_cupon_cero!$A$1,1,0,COUNT(Curvas_cupon_cero!$A:$A)-2,1),OFFSET(Curvas_cupon_cero!$A$1,1,MATCH($B$9,Curvas_cupon_cero!$1:$1,0)-1,COUNT(Curvas_cupon_cero!$A:$A)-2,1)),[1]!interpolar(B627,OFFSET(Curvas_cupon_cero!$A$1,1,0,COUNT(Curvas_cupon_cero!$A:$A)-2,1),OFFSET(Curvas_cupon_cero!$A$1,1,MATCH($B$9,Curvas_cupon_cero!$1:$1,0)-1,COUNT(Curvas_cupon_cero!$A:$A)-2,1))))</f>
        <v/>
      </c>
      <c r="G627" s="23" t="str">
        <f t="shared" si="94"/>
        <v/>
      </c>
      <c r="H627" s="20" t="str">
        <f t="shared" si="99"/>
        <v/>
      </c>
      <c r="I627" t="str">
        <f t="shared" si="95"/>
        <v/>
      </c>
      <c r="J627" s="17" t="str">
        <f t="shared" si="91"/>
        <v/>
      </c>
      <c r="K627" s="18" t="str">
        <f t="shared" si="96"/>
        <v/>
      </c>
      <c r="L627" t="str">
        <f t="shared" si="97"/>
        <v/>
      </c>
      <c r="M627" s="23" t="str">
        <f ca="1">IF(A627="","",IF($B$10="Sí",interpolar_alamb(L627,OFFSET(Curvas_cupon_cero!$A$1,1,0,COUNT(Curvas_cupon_cero!$A:$A)-2,1),OFFSET(Curvas_cupon_cero!$A$1,1,MATCH($B$6,Curvas_cupon_cero!$1:$1,0)-1,COUNT(Curvas_cupon_cero!$A:$A)-2,1)),[1]!interpolar(L627,OFFSET(Curvas_cupon_cero!$A$1,1,0,COUNT(Curvas_cupon_cero!$A:$A)-2,1),OFFSET(Curvas_cupon_cero!$A$1,1,MATCH($B$6,Curvas_cupon_cero!$1:$1,0)-1,COUNT(Curvas_cupon_cero!$A:$A)-2,1))))</f>
        <v/>
      </c>
      <c r="N627" s="23"/>
      <c r="O627" s="19" t="str">
        <f t="shared" si="98"/>
        <v/>
      </c>
    </row>
    <row r="628" spans="1:15" x14ac:dyDescent="0.2">
      <c r="A628" s="12" t="str">
        <f t="shared" si="92"/>
        <v/>
      </c>
      <c r="B628" t="str">
        <f t="shared" si="90"/>
        <v/>
      </c>
      <c r="C628" s="21" t="str">
        <f ca="1">IF(A628="","",IF($B$10="Sí",interpolar_alamb(B628,OFFSET(Curvas_cupon_cero!$A$1,1,0,COUNT(Curvas_cupon_cero!$A:$A)-2,1),OFFSET(Curvas_cupon_cero!$A$1,1,MATCH($B$8,Curvas_cupon_cero!$1:$1,0)-1,COUNT(Curvas_cupon_cero!$A:$A)-2,1)),[1]!interpolar(B628,OFFSET(Curvas_cupon_cero!$A$1,1,0,COUNT(Curvas_cupon_cero!$A:$A)-2,1),OFFSET(Curvas_cupon_cero!$A$1,1,MATCH($B$8,Curvas_cupon_cero!$1:$1,0)-1,COUNT(Curvas_cupon_cero!$A:$A)-2,1))))</f>
        <v/>
      </c>
      <c r="D628" s="23" t="str">
        <f ca="1">IF(A628="","",IF($B$10="Sí",interpolar_alamb(L628,OFFSET(Curvas_cupon_cero!$A$1,1,0,COUNT(Curvas_cupon_cero!$A:$A)-2,1),OFFSET(Curvas_cupon_cero!$A$1,1,MATCH($B$8,Curvas_cupon_cero!$1:$1,0)-1,COUNT(Curvas_cupon_cero!$A:$A)-2,1)),[1]!interpolar(L628,OFFSET(Curvas_cupon_cero!$A$1,1,0,COUNT(Curvas_cupon_cero!$A:$A)-2,1),OFFSET(Curvas_cupon_cero!$A$1,1,MATCH($B$8,Curvas_cupon_cero!$1:$1,0)-1,COUNT(Curvas_cupon_cero!$A:$A)-2,1))))</f>
        <v/>
      </c>
      <c r="E628" s="23" t="str">
        <f t="shared" si="93"/>
        <v/>
      </c>
      <c r="F628" s="23" t="str">
        <f ca="1">IF(A628="","",IF($B$10="Sí",interpolar_alamb(B628,OFFSET(Curvas_cupon_cero!$A$1,1,0,COUNT(Curvas_cupon_cero!$A:$A)-2,1),OFFSET(Curvas_cupon_cero!$A$1,1,MATCH($B$9,Curvas_cupon_cero!$1:$1,0)-1,COUNT(Curvas_cupon_cero!$A:$A)-2,1)),[1]!interpolar(B628,OFFSET(Curvas_cupon_cero!$A$1,1,0,COUNT(Curvas_cupon_cero!$A:$A)-2,1),OFFSET(Curvas_cupon_cero!$A$1,1,MATCH($B$9,Curvas_cupon_cero!$1:$1,0)-1,COUNT(Curvas_cupon_cero!$A:$A)-2,1))))</f>
        <v/>
      </c>
      <c r="G628" s="23" t="str">
        <f t="shared" si="94"/>
        <v/>
      </c>
      <c r="H628" s="20" t="str">
        <f t="shared" si="99"/>
        <v/>
      </c>
      <c r="I628" t="str">
        <f t="shared" si="95"/>
        <v/>
      </c>
      <c r="J628" s="17" t="str">
        <f t="shared" si="91"/>
        <v/>
      </c>
      <c r="K628" s="18" t="str">
        <f t="shared" si="96"/>
        <v/>
      </c>
      <c r="L628" t="str">
        <f t="shared" si="97"/>
        <v/>
      </c>
      <c r="M628" s="23" t="str">
        <f ca="1">IF(A628="","",IF($B$10="Sí",interpolar_alamb(L628,OFFSET(Curvas_cupon_cero!$A$1,1,0,COUNT(Curvas_cupon_cero!$A:$A)-2,1),OFFSET(Curvas_cupon_cero!$A$1,1,MATCH($B$6,Curvas_cupon_cero!$1:$1,0)-1,COUNT(Curvas_cupon_cero!$A:$A)-2,1)),[1]!interpolar(L628,OFFSET(Curvas_cupon_cero!$A$1,1,0,COUNT(Curvas_cupon_cero!$A:$A)-2,1),OFFSET(Curvas_cupon_cero!$A$1,1,MATCH($B$6,Curvas_cupon_cero!$1:$1,0)-1,COUNT(Curvas_cupon_cero!$A:$A)-2,1))))</f>
        <v/>
      </c>
      <c r="N628" s="23"/>
      <c r="O628" s="19" t="str">
        <f t="shared" si="98"/>
        <v/>
      </c>
    </row>
    <row r="629" spans="1:15" x14ac:dyDescent="0.2">
      <c r="A629" s="12" t="str">
        <f t="shared" si="92"/>
        <v/>
      </c>
      <c r="B629" t="str">
        <f t="shared" si="90"/>
        <v/>
      </c>
      <c r="C629" s="21" t="str">
        <f ca="1">IF(A629="","",IF($B$10="Sí",interpolar_alamb(B629,OFFSET(Curvas_cupon_cero!$A$1,1,0,COUNT(Curvas_cupon_cero!$A:$A)-2,1),OFFSET(Curvas_cupon_cero!$A$1,1,MATCH($B$8,Curvas_cupon_cero!$1:$1,0)-1,COUNT(Curvas_cupon_cero!$A:$A)-2,1)),[1]!interpolar(B629,OFFSET(Curvas_cupon_cero!$A$1,1,0,COUNT(Curvas_cupon_cero!$A:$A)-2,1),OFFSET(Curvas_cupon_cero!$A$1,1,MATCH($B$8,Curvas_cupon_cero!$1:$1,0)-1,COUNT(Curvas_cupon_cero!$A:$A)-2,1))))</f>
        <v/>
      </c>
      <c r="D629" s="23" t="str">
        <f ca="1">IF(A629="","",IF($B$10="Sí",interpolar_alamb(L629,OFFSET(Curvas_cupon_cero!$A$1,1,0,COUNT(Curvas_cupon_cero!$A:$A)-2,1),OFFSET(Curvas_cupon_cero!$A$1,1,MATCH($B$8,Curvas_cupon_cero!$1:$1,0)-1,COUNT(Curvas_cupon_cero!$A:$A)-2,1)),[1]!interpolar(L629,OFFSET(Curvas_cupon_cero!$A$1,1,0,COUNT(Curvas_cupon_cero!$A:$A)-2,1),OFFSET(Curvas_cupon_cero!$A$1,1,MATCH($B$8,Curvas_cupon_cero!$1:$1,0)-1,COUNT(Curvas_cupon_cero!$A:$A)-2,1))))</f>
        <v/>
      </c>
      <c r="E629" s="23" t="str">
        <f t="shared" si="93"/>
        <v/>
      </c>
      <c r="F629" s="23" t="str">
        <f ca="1">IF(A629="","",IF($B$10="Sí",interpolar_alamb(B629,OFFSET(Curvas_cupon_cero!$A$1,1,0,COUNT(Curvas_cupon_cero!$A:$A)-2,1),OFFSET(Curvas_cupon_cero!$A$1,1,MATCH($B$9,Curvas_cupon_cero!$1:$1,0)-1,COUNT(Curvas_cupon_cero!$A:$A)-2,1)),[1]!interpolar(B629,OFFSET(Curvas_cupon_cero!$A$1,1,0,COUNT(Curvas_cupon_cero!$A:$A)-2,1),OFFSET(Curvas_cupon_cero!$A$1,1,MATCH($B$9,Curvas_cupon_cero!$1:$1,0)-1,COUNT(Curvas_cupon_cero!$A:$A)-2,1))))</f>
        <v/>
      </c>
      <c r="G629" s="23" t="str">
        <f t="shared" si="94"/>
        <v/>
      </c>
      <c r="H629" s="20" t="str">
        <f t="shared" si="99"/>
        <v/>
      </c>
      <c r="I629" t="str">
        <f t="shared" si="95"/>
        <v/>
      </c>
      <c r="J629" s="17" t="str">
        <f t="shared" si="91"/>
        <v/>
      </c>
      <c r="K629" s="18" t="str">
        <f t="shared" si="96"/>
        <v/>
      </c>
      <c r="L629" t="str">
        <f t="shared" si="97"/>
        <v/>
      </c>
      <c r="M629" s="23" t="str">
        <f ca="1">IF(A629="","",IF($B$10="Sí",interpolar_alamb(L629,OFFSET(Curvas_cupon_cero!$A$1,1,0,COUNT(Curvas_cupon_cero!$A:$A)-2,1),OFFSET(Curvas_cupon_cero!$A$1,1,MATCH($B$6,Curvas_cupon_cero!$1:$1,0)-1,COUNT(Curvas_cupon_cero!$A:$A)-2,1)),[1]!interpolar(L629,OFFSET(Curvas_cupon_cero!$A$1,1,0,COUNT(Curvas_cupon_cero!$A:$A)-2,1),OFFSET(Curvas_cupon_cero!$A$1,1,MATCH($B$6,Curvas_cupon_cero!$1:$1,0)-1,COUNT(Curvas_cupon_cero!$A:$A)-2,1))))</f>
        <v/>
      </c>
      <c r="N629" s="23"/>
      <c r="O629" s="19" t="str">
        <f t="shared" si="98"/>
        <v/>
      </c>
    </row>
    <row r="630" spans="1:15" x14ac:dyDescent="0.2">
      <c r="A630" s="12" t="str">
        <f t="shared" si="92"/>
        <v/>
      </c>
      <c r="B630" t="str">
        <f t="shared" si="90"/>
        <v/>
      </c>
      <c r="C630" s="21" t="str">
        <f ca="1">IF(A630="","",IF($B$10="Sí",interpolar_alamb(B630,OFFSET(Curvas_cupon_cero!$A$1,1,0,COUNT(Curvas_cupon_cero!$A:$A)-2,1),OFFSET(Curvas_cupon_cero!$A$1,1,MATCH($B$8,Curvas_cupon_cero!$1:$1,0)-1,COUNT(Curvas_cupon_cero!$A:$A)-2,1)),[1]!interpolar(B630,OFFSET(Curvas_cupon_cero!$A$1,1,0,COUNT(Curvas_cupon_cero!$A:$A)-2,1),OFFSET(Curvas_cupon_cero!$A$1,1,MATCH($B$8,Curvas_cupon_cero!$1:$1,0)-1,COUNT(Curvas_cupon_cero!$A:$A)-2,1))))</f>
        <v/>
      </c>
      <c r="D630" s="23" t="str">
        <f ca="1">IF(A630="","",IF($B$10="Sí",interpolar_alamb(L630,OFFSET(Curvas_cupon_cero!$A$1,1,0,COUNT(Curvas_cupon_cero!$A:$A)-2,1),OFFSET(Curvas_cupon_cero!$A$1,1,MATCH($B$8,Curvas_cupon_cero!$1:$1,0)-1,COUNT(Curvas_cupon_cero!$A:$A)-2,1)),[1]!interpolar(L630,OFFSET(Curvas_cupon_cero!$A$1,1,0,COUNT(Curvas_cupon_cero!$A:$A)-2,1),OFFSET(Curvas_cupon_cero!$A$1,1,MATCH($B$8,Curvas_cupon_cero!$1:$1,0)-1,COUNT(Curvas_cupon_cero!$A:$A)-2,1))))</f>
        <v/>
      </c>
      <c r="E630" s="23" t="str">
        <f t="shared" si="93"/>
        <v/>
      </c>
      <c r="F630" s="23" t="str">
        <f ca="1">IF(A630="","",IF($B$10="Sí",interpolar_alamb(B630,OFFSET(Curvas_cupon_cero!$A$1,1,0,COUNT(Curvas_cupon_cero!$A:$A)-2,1),OFFSET(Curvas_cupon_cero!$A$1,1,MATCH($B$9,Curvas_cupon_cero!$1:$1,0)-1,COUNT(Curvas_cupon_cero!$A:$A)-2,1)),[1]!interpolar(B630,OFFSET(Curvas_cupon_cero!$A$1,1,0,COUNT(Curvas_cupon_cero!$A:$A)-2,1),OFFSET(Curvas_cupon_cero!$A$1,1,MATCH($B$9,Curvas_cupon_cero!$1:$1,0)-1,COUNT(Curvas_cupon_cero!$A:$A)-2,1))))</f>
        <v/>
      </c>
      <c r="G630" s="23" t="str">
        <f t="shared" si="94"/>
        <v/>
      </c>
      <c r="H630" s="20" t="str">
        <f t="shared" si="99"/>
        <v/>
      </c>
      <c r="I630" t="str">
        <f t="shared" si="95"/>
        <v/>
      </c>
      <c r="J630" s="17" t="str">
        <f t="shared" si="91"/>
        <v/>
      </c>
      <c r="K630" s="18" t="str">
        <f t="shared" si="96"/>
        <v/>
      </c>
      <c r="L630" t="str">
        <f t="shared" si="97"/>
        <v/>
      </c>
      <c r="M630" s="23" t="str">
        <f ca="1">IF(A630="","",IF($B$10="Sí",interpolar_alamb(L630,OFFSET(Curvas_cupon_cero!$A$1,1,0,COUNT(Curvas_cupon_cero!$A:$A)-2,1),OFFSET(Curvas_cupon_cero!$A$1,1,MATCH($B$6,Curvas_cupon_cero!$1:$1,0)-1,COUNT(Curvas_cupon_cero!$A:$A)-2,1)),[1]!interpolar(L630,OFFSET(Curvas_cupon_cero!$A$1,1,0,COUNT(Curvas_cupon_cero!$A:$A)-2,1),OFFSET(Curvas_cupon_cero!$A$1,1,MATCH($B$6,Curvas_cupon_cero!$1:$1,0)-1,COUNT(Curvas_cupon_cero!$A:$A)-2,1))))</f>
        <v/>
      </c>
      <c r="N630" s="23"/>
      <c r="O630" s="19" t="str">
        <f t="shared" si="98"/>
        <v/>
      </c>
    </row>
    <row r="631" spans="1:15" x14ac:dyDescent="0.2">
      <c r="A631" s="12" t="str">
        <f t="shared" si="92"/>
        <v/>
      </c>
      <c r="B631" t="str">
        <f t="shared" si="90"/>
        <v/>
      </c>
      <c r="C631" s="21" t="str">
        <f ca="1">IF(A631="","",IF($B$10="Sí",interpolar_alamb(B631,OFFSET(Curvas_cupon_cero!$A$1,1,0,COUNT(Curvas_cupon_cero!$A:$A)-2,1),OFFSET(Curvas_cupon_cero!$A$1,1,MATCH($B$8,Curvas_cupon_cero!$1:$1,0)-1,COUNT(Curvas_cupon_cero!$A:$A)-2,1)),[1]!interpolar(B631,OFFSET(Curvas_cupon_cero!$A$1,1,0,COUNT(Curvas_cupon_cero!$A:$A)-2,1),OFFSET(Curvas_cupon_cero!$A$1,1,MATCH($B$8,Curvas_cupon_cero!$1:$1,0)-1,COUNT(Curvas_cupon_cero!$A:$A)-2,1))))</f>
        <v/>
      </c>
      <c r="D631" s="23" t="str">
        <f ca="1">IF(A631="","",IF($B$10="Sí",interpolar_alamb(L631,OFFSET(Curvas_cupon_cero!$A$1,1,0,COUNT(Curvas_cupon_cero!$A:$A)-2,1),OFFSET(Curvas_cupon_cero!$A$1,1,MATCH($B$8,Curvas_cupon_cero!$1:$1,0)-1,COUNT(Curvas_cupon_cero!$A:$A)-2,1)),[1]!interpolar(L631,OFFSET(Curvas_cupon_cero!$A$1,1,0,COUNT(Curvas_cupon_cero!$A:$A)-2,1),OFFSET(Curvas_cupon_cero!$A$1,1,MATCH($B$8,Curvas_cupon_cero!$1:$1,0)-1,COUNT(Curvas_cupon_cero!$A:$A)-2,1))))</f>
        <v/>
      </c>
      <c r="E631" s="23" t="str">
        <f t="shared" si="93"/>
        <v/>
      </c>
      <c r="F631" s="23" t="str">
        <f ca="1">IF(A631="","",IF($B$10="Sí",interpolar_alamb(B631,OFFSET(Curvas_cupon_cero!$A$1,1,0,COUNT(Curvas_cupon_cero!$A:$A)-2,1),OFFSET(Curvas_cupon_cero!$A$1,1,MATCH($B$9,Curvas_cupon_cero!$1:$1,0)-1,COUNT(Curvas_cupon_cero!$A:$A)-2,1)),[1]!interpolar(B631,OFFSET(Curvas_cupon_cero!$A$1,1,0,COUNT(Curvas_cupon_cero!$A:$A)-2,1),OFFSET(Curvas_cupon_cero!$A$1,1,MATCH($B$9,Curvas_cupon_cero!$1:$1,0)-1,COUNT(Curvas_cupon_cero!$A:$A)-2,1))))</f>
        <v/>
      </c>
      <c r="G631" s="23" t="str">
        <f t="shared" si="94"/>
        <v/>
      </c>
      <c r="H631" s="20" t="str">
        <f t="shared" si="99"/>
        <v/>
      </c>
      <c r="I631" t="str">
        <f t="shared" si="95"/>
        <v/>
      </c>
      <c r="J631" s="17" t="str">
        <f t="shared" si="91"/>
        <v/>
      </c>
      <c r="K631" s="18" t="str">
        <f t="shared" si="96"/>
        <v/>
      </c>
      <c r="L631" t="str">
        <f t="shared" si="97"/>
        <v/>
      </c>
      <c r="M631" s="23" t="str">
        <f ca="1">IF(A631="","",IF($B$10="Sí",interpolar_alamb(L631,OFFSET(Curvas_cupon_cero!$A$1,1,0,COUNT(Curvas_cupon_cero!$A:$A)-2,1),OFFSET(Curvas_cupon_cero!$A$1,1,MATCH($B$6,Curvas_cupon_cero!$1:$1,0)-1,COUNT(Curvas_cupon_cero!$A:$A)-2,1)),[1]!interpolar(L631,OFFSET(Curvas_cupon_cero!$A$1,1,0,COUNT(Curvas_cupon_cero!$A:$A)-2,1),OFFSET(Curvas_cupon_cero!$A$1,1,MATCH($B$6,Curvas_cupon_cero!$1:$1,0)-1,COUNT(Curvas_cupon_cero!$A:$A)-2,1))))</f>
        <v/>
      </c>
      <c r="N631" s="23"/>
      <c r="O631" s="19" t="str">
        <f t="shared" si="98"/>
        <v/>
      </c>
    </row>
    <row r="632" spans="1:15" x14ac:dyDescent="0.2">
      <c r="A632" s="12" t="str">
        <f t="shared" si="92"/>
        <v/>
      </c>
      <c r="B632" t="str">
        <f t="shared" si="90"/>
        <v/>
      </c>
      <c r="C632" s="21" t="str">
        <f ca="1">IF(A632="","",IF($B$10="Sí",interpolar_alamb(B632,OFFSET(Curvas_cupon_cero!$A$1,1,0,COUNT(Curvas_cupon_cero!$A:$A)-2,1),OFFSET(Curvas_cupon_cero!$A$1,1,MATCH($B$8,Curvas_cupon_cero!$1:$1,0)-1,COUNT(Curvas_cupon_cero!$A:$A)-2,1)),[1]!interpolar(B632,OFFSET(Curvas_cupon_cero!$A$1,1,0,COUNT(Curvas_cupon_cero!$A:$A)-2,1),OFFSET(Curvas_cupon_cero!$A$1,1,MATCH($B$8,Curvas_cupon_cero!$1:$1,0)-1,COUNT(Curvas_cupon_cero!$A:$A)-2,1))))</f>
        <v/>
      </c>
      <c r="D632" s="23" t="str">
        <f ca="1">IF(A632="","",IF($B$10="Sí",interpolar_alamb(L632,OFFSET(Curvas_cupon_cero!$A$1,1,0,COUNT(Curvas_cupon_cero!$A:$A)-2,1),OFFSET(Curvas_cupon_cero!$A$1,1,MATCH($B$8,Curvas_cupon_cero!$1:$1,0)-1,COUNT(Curvas_cupon_cero!$A:$A)-2,1)),[1]!interpolar(L632,OFFSET(Curvas_cupon_cero!$A$1,1,0,COUNT(Curvas_cupon_cero!$A:$A)-2,1),OFFSET(Curvas_cupon_cero!$A$1,1,MATCH($B$8,Curvas_cupon_cero!$1:$1,0)-1,COUNT(Curvas_cupon_cero!$A:$A)-2,1))))</f>
        <v/>
      </c>
      <c r="E632" s="23" t="str">
        <f t="shared" si="93"/>
        <v/>
      </c>
      <c r="F632" s="23" t="str">
        <f ca="1">IF(A632="","",IF($B$10="Sí",interpolar_alamb(B632,OFFSET(Curvas_cupon_cero!$A$1,1,0,COUNT(Curvas_cupon_cero!$A:$A)-2,1),OFFSET(Curvas_cupon_cero!$A$1,1,MATCH($B$9,Curvas_cupon_cero!$1:$1,0)-1,COUNT(Curvas_cupon_cero!$A:$A)-2,1)),[1]!interpolar(B632,OFFSET(Curvas_cupon_cero!$A$1,1,0,COUNT(Curvas_cupon_cero!$A:$A)-2,1),OFFSET(Curvas_cupon_cero!$A$1,1,MATCH($B$9,Curvas_cupon_cero!$1:$1,0)-1,COUNT(Curvas_cupon_cero!$A:$A)-2,1))))</f>
        <v/>
      </c>
      <c r="G632" s="23" t="str">
        <f t="shared" si="94"/>
        <v/>
      </c>
      <c r="H632" s="20" t="str">
        <f t="shared" si="99"/>
        <v/>
      </c>
      <c r="I632" t="str">
        <f t="shared" si="95"/>
        <v/>
      </c>
      <c r="J632" s="17" t="str">
        <f t="shared" si="91"/>
        <v/>
      </c>
      <c r="K632" s="18" t="str">
        <f t="shared" si="96"/>
        <v/>
      </c>
      <c r="L632" t="str">
        <f t="shared" si="97"/>
        <v/>
      </c>
      <c r="M632" s="23" t="str">
        <f ca="1">IF(A632="","",IF($B$10="Sí",interpolar_alamb(L632,OFFSET(Curvas_cupon_cero!$A$1,1,0,COUNT(Curvas_cupon_cero!$A:$A)-2,1),OFFSET(Curvas_cupon_cero!$A$1,1,MATCH($B$6,Curvas_cupon_cero!$1:$1,0)-1,COUNT(Curvas_cupon_cero!$A:$A)-2,1)),[1]!interpolar(L632,OFFSET(Curvas_cupon_cero!$A$1,1,0,COUNT(Curvas_cupon_cero!$A:$A)-2,1),OFFSET(Curvas_cupon_cero!$A$1,1,MATCH($B$6,Curvas_cupon_cero!$1:$1,0)-1,COUNT(Curvas_cupon_cero!$A:$A)-2,1))))</f>
        <v/>
      </c>
      <c r="N632" s="23"/>
      <c r="O632" s="19" t="str">
        <f t="shared" si="98"/>
        <v/>
      </c>
    </row>
    <row r="633" spans="1:15" x14ac:dyDescent="0.2">
      <c r="A633" s="12" t="str">
        <f t="shared" si="92"/>
        <v/>
      </c>
      <c r="B633" t="str">
        <f t="shared" si="90"/>
        <v/>
      </c>
      <c r="C633" s="21" t="str">
        <f ca="1">IF(A633="","",IF($B$10="Sí",interpolar_alamb(B633,OFFSET(Curvas_cupon_cero!$A$1,1,0,COUNT(Curvas_cupon_cero!$A:$A)-2,1),OFFSET(Curvas_cupon_cero!$A$1,1,MATCH($B$8,Curvas_cupon_cero!$1:$1,0)-1,COUNT(Curvas_cupon_cero!$A:$A)-2,1)),[1]!interpolar(B633,OFFSET(Curvas_cupon_cero!$A$1,1,0,COUNT(Curvas_cupon_cero!$A:$A)-2,1),OFFSET(Curvas_cupon_cero!$A$1,1,MATCH($B$8,Curvas_cupon_cero!$1:$1,0)-1,COUNT(Curvas_cupon_cero!$A:$A)-2,1))))</f>
        <v/>
      </c>
      <c r="D633" s="23" t="str">
        <f ca="1">IF(A633="","",IF($B$10="Sí",interpolar_alamb(L633,OFFSET(Curvas_cupon_cero!$A$1,1,0,COUNT(Curvas_cupon_cero!$A:$A)-2,1),OFFSET(Curvas_cupon_cero!$A$1,1,MATCH($B$8,Curvas_cupon_cero!$1:$1,0)-1,COUNT(Curvas_cupon_cero!$A:$A)-2,1)),[1]!interpolar(L633,OFFSET(Curvas_cupon_cero!$A$1,1,0,COUNT(Curvas_cupon_cero!$A:$A)-2,1),OFFSET(Curvas_cupon_cero!$A$1,1,MATCH($B$8,Curvas_cupon_cero!$1:$1,0)-1,COUNT(Curvas_cupon_cero!$A:$A)-2,1))))</f>
        <v/>
      </c>
      <c r="E633" s="23" t="str">
        <f t="shared" si="93"/>
        <v/>
      </c>
      <c r="F633" s="23" t="str">
        <f ca="1">IF(A633="","",IF($B$10="Sí",interpolar_alamb(B633,OFFSET(Curvas_cupon_cero!$A$1,1,0,COUNT(Curvas_cupon_cero!$A:$A)-2,1),OFFSET(Curvas_cupon_cero!$A$1,1,MATCH($B$9,Curvas_cupon_cero!$1:$1,0)-1,COUNT(Curvas_cupon_cero!$A:$A)-2,1)),[1]!interpolar(B633,OFFSET(Curvas_cupon_cero!$A$1,1,0,COUNT(Curvas_cupon_cero!$A:$A)-2,1),OFFSET(Curvas_cupon_cero!$A$1,1,MATCH($B$9,Curvas_cupon_cero!$1:$1,0)-1,COUNT(Curvas_cupon_cero!$A:$A)-2,1))))</f>
        <v/>
      </c>
      <c r="G633" s="23" t="str">
        <f t="shared" si="94"/>
        <v/>
      </c>
      <c r="H633" s="20" t="str">
        <f t="shared" si="99"/>
        <v/>
      </c>
      <c r="I633" t="str">
        <f t="shared" si="95"/>
        <v/>
      </c>
      <c r="J633" s="17" t="str">
        <f t="shared" si="91"/>
        <v/>
      </c>
      <c r="K633" s="18" t="str">
        <f t="shared" si="96"/>
        <v/>
      </c>
      <c r="L633" t="str">
        <f t="shared" si="97"/>
        <v/>
      </c>
      <c r="M633" s="23" t="str">
        <f ca="1">IF(A633="","",IF($B$10="Sí",interpolar_alamb(L633,OFFSET(Curvas_cupon_cero!$A$1,1,0,COUNT(Curvas_cupon_cero!$A:$A)-2,1),OFFSET(Curvas_cupon_cero!$A$1,1,MATCH($B$6,Curvas_cupon_cero!$1:$1,0)-1,COUNT(Curvas_cupon_cero!$A:$A)-2,1)),[1]!interpolar(L633,OFFSET(Curvas_cupon_cero!$A$1,1,0,COUNT(Curvas_cupon_cero!$A:$A)-2,1),OFFSET(Curvas_cupon_cero!$A$1,1,MATCH($B$6,Curvas_cupon_cero!$1:$1,0)-1,COUNT(Curvas_cupon_cero!$A:$A)-2,1))))</f>
        <v/>
      </c>
      <c r="N633" s="23"/>
      <c r="O633" s="19" t="str">
        <f t="shared" si="98"/>
        <v/>
      </c>
    </row>
    <row r="634" spans="1:15" x14ac:dyDescent="0.2">
      <c r="A634" s="12" t="str">
        <f t="shared" si="92"/>
        <v/>
      </c>
      <c r="B634" t="str">
        <f t="shared" si="90"/>
        <v/>
      </c>
      <c r="C634" s="21" t="str">
        <f ca="1">IF(A634="","",IF($B$10="Sí",interpolar_alamb(B634,OFFSET(Curvas_cupon_cero!$A$1,1,0,COUNT(Curvas_cupon_cero!$A:$A)-2,1),OFFSET(Curvas_cupon_cero!$A$1,1,MATCH($B$8,Curvas_cupon_cero!$1:$1,0)-1,COUNT(Curvas_cupon_cero!$A:$A)-2,1)),[1]!interpolar(B634,OFFSET(Curvas_cupon_cero!$A$1,1,0,COUNT(Curvas_cupon_cero!$A:$A)-2,1),OFFSET(Curvas_cupon_cero!$A$1,1,MATCH($B$8,Curvas_cupon_cero!$1:$1,0)-1,COUNT(Curvas_cupon_cero!$A:$A)-2,1))))</f>
        <v/>
      </c>
      <c r="D634" s="23" t="str">
        <f ca="1">IF(A634="","",IF($B$10="Sí",interpolar_alamb(L634,OFFSET(Curvas_cupon_cero!$A$1,1,0,COUNT(Curvas_cupon_cero!$A:$A)-2,1),OFFSET(Curvas_cupon_cero!$A$1,1,MATCH($B$8,Curvas_cupon_cero!$1:$1,0)-1,COUNT(Curvas_cupon_cero!$A:$A)-2,1)),[1]!interpolar(L634,OFFSET(Curvas_cupon_cero!$A$1,1,0,COUNT(Curvas_cupon_cero!$A:$A)-2,1),OFFSET(Curvas_cupon_cero!$A$1,1,MATCH($B$8,Curvas_cupon_cero!$1:$1,0)-1,COUNT(Curvas_cupon_cero!$A:$A)-2,1))))</f>
        <v/>
      </c>
      <c r="E634" s="23" t="str">
        <f t="shared" si="93"/>
        <v/>
      </c>
      <c r="F634" s="23" t="str">
        <f ca="1">IF(A634="","",IF($B$10="Sí",interpolar_alamb(B634,OFFSET(Curvas_cupon_cero!$A$1,1,0,COUNT(Curvas_cupon_cero!$A:$A)-2,1),OFFSET(Curvas_cupon_cero!$A$1,1,MATCH($B$9,Curvas_cupon_cero!$1:$1,0)-1,COUNT(Curvas_cupon_cero!$A:$A)-2,1)),[1]!interpolar(B634,OFFSET(Curvas_cupon_cero!$A$1,1,0,COUNT(Curvas_cupon_cero!$A:$A)-2,1),OFFSET(Curvas_cupon_cero!$A$1,1,MATCH($B$9,Curvas_cupon_cero!$1:$1,0)-1,COUNT(Curvas_cupon_cero!$A:$A)-2,1))))</f>
        <v/>
      </c>
      <c r="G634" s="23" t="str">
        <f t="shared" si="94"/>
        <v/>
      </c>
      <c r="H634" s="20" t="str">
        <f t="shared" si="99"/>
        <v/>
      </c>
      <c r="I634" t="str">
        <f t="shared" si="95"/>
        <v/>
      </c>
      <c r="J634" s="17" t="str">
        <f t="shared" si="91"/>
        <v/>
      </c>
      <c r="K634" s="18" t="str">
        <f t="shared" si="96"/>
        <v/>
      </c>
      <c r="L634" t="str">
        <f t="shared" si="97"/>
        <v/>
      </c>
      <c r="M634" s="23" t="str">
        <f ca="1">IF(A634="","",IF($B$10="Sí",interpolar_alamb(L634,OFFSET(Curvas_cupon_cero!$A$1,1,0,COUNT(Curvas_cupon_cero!$A:$A)-2,1),OFFSET(Curvas_cupon_cero!$A$1,1,MATCH($B$6,Curvas_cupon_cero!$1:$1,0)-1,COUNT(Curvas_cupon_cero!$A:$A)-2,1)),[1]!interpolar(L634,OFFSET(Curvas_cupon_cero!$A$1,1,0,COUNT(Curvas_cupon_cero!$A:$A)-2,1),OFFSET(Curvas_cupon_cero!$A$1,1,MATCH($B$6,Curvas_cupon_cero!$1:$1,0)-1,COUNT(Curvas_cupon_cero!$A:$A)-2,1))))</f>
        <v/>
      </c>
      <c r="N634" s="23"/>
      <c r="O634" s="19" t="str">
        <f t="shared" si="98"/>
        <v/>
      </c>
    </row>
    <row r="635" spans="1:15" x14ac:dyDescent="0.2">
      <c r="A635" s="12" t="str">
        <f t="shared" si="92"/>
        <v/>
      </c>
      <c r="B635" t="str">
        <f t="shared" si="90"/>
        <v/>
      </c>
      <c r="C635" s="21" t="str">
        <f ca="1">IF(A635="","",IF($B$10="Sí",interpolar_alamb(B635,OFFSET(Curvas_cupon_cero!$A$1,1,0,COUNT(Curvas_cupon_cero!$A:$A)-2,1),OFFSET(Curvas_cupon_cero!$A$1,1,MATCH($B$8,Curvas_cupon_cero!$1:$1,0)-1,COUNT(Curvas_cupon_cero!$A:$A)-2,1)),[1]!interpolar(B635,OFFSET(Curvas_cupon_cero!$A$1,1,0,COUNT(Curvas_cupon_cero!$A:$A)-2,1),OFFSET(Curvas_cupon_cero!$A$1,1,MATCH($B$8,Curvas_cupon_cero!$1:$1,0)-1,COUNT(Curvas_cupon_cero!$A:$A)-2,1))))</f>
        <v/>
      </c>
      <c r="D635" s="23" t="str">
        <f ca="1">IF(A635="","",IF($B$10="Sí",interpolar_alamb(L635,OFFSET(Curvas_cupon_cero!$A$1,1,0,COUNT(Curvas_cupon_cero!$A:$A)-2,1),OFFSET(Curvas_cupon_cero!$A$1,1,MATCH($B$8,Curvas_cupon_cero!$1:$1,0)-1,COUNT(Curvas_cupon_cero!$A:$A)-2,1)),[1]!interpolar(L635,OFFSET(Curvas_cupon_cero!$A$1,1,0,COUNT(Curvas_cupon_cero!$A:$A)-2,1),OFFSET(Curvas_cupon_cero!$A$1,1,MATCH($B$8,Curvas_cupon_cero!$1:$1,0)-1,COUNT(Curvas_cupon_cero!$A:$A)-2,1))))</f>
        <v/>
      </c>
      <c r="E635" s="23" t="str">
        <f t="shared" si="93"/>
        <v/>
      </c>
      <c r="F635" s="23" t="str">
        <f ca="1">IF(A635="","",IF($B$10="Sí",interpolar_alamb(B635,OFFSET(Curvas_cupon_cero!$A$1,1,0,COUNT(Curvas_cupon_cero!$A:$A)-2,1),OFFSET(Curvas_cupon_cero!$A$1,1,MATCH($B$9,Curvas_cupon_cero!$1:$1,0)-1,COUNT(Curvas_cupon_cero!$A:$A)-2,1)),[1]!interpolar(B635,OFFSET(Curvas_cupon_cero!$A$1,1,0,COUNT(Curvas_cupon_cero!$A:$A)-2,1),OFFSET(Curvas_cupon_cero!$A$1,1,MATCH($B$9,Curvas_cupon_cero!$1:$1,0)-1,COUNT(Curvas_cupon_cero!$A:$A)-2,1))))</f>
        <v/>
      </c>
      <c r="G635" s="23" t="str">
        <f t="shared" si="94"/>
        <v/>
      </c>
      <c r="H635" s="20" t="str">
        <f t="shared" si="99"/>
        <v/>
      </c>
      <c r="I635" t="str">
        <f t="shared" si="95"/>
        <v/>
      </c>
      <c r="J635" s="17" t="str">
        <f t="shared" si="91"/>
        <v/>
      </c>
      <c r="K635" s="18" t="str">
        <f t="shared" si="96"/>
        <v/>
      </c>
      <c r="L635" t="str">
        <f t="shared" si="97"/>
        <v/>
      </c>
      <c r="M635" s="23" t="str">
        <f ca="1">IF(A635="","",IF($B$10="Sí",interpolar_alamb(L635,OFFSET(Curvas_cupon_cero!$A$1,1,0,COUNT(Curvas_cupon_cero!$A:$A)-2,1),OFFSET(Curvas_cupon_cero!$A$1,1,MATCH($B$6,Curvas_cupon_cero!$1:$1,0)-1,COUNT(Curvas_cupon_cero!$A:$A)-2,1)),[1]!interpolar(L635,OFFSET(Curvas_cupon_cero!$A$1,1,0,COUNT(Curvas_cupon_cero!$A:$A)-2,1),OFFSET(Curvas_cupon_cero!$A$1,1,MATCH($B$6,Curvas_cupon_cero!$1:$1,0)-1,COUNT(Curvas_cupon_cero!$A:$A)-2,1))))</f>
        <v/>
      </c>
      <c r="N635" s="23"/>
      <c r="O635" s="19" t="str">
        <f t="shared" si="98"/>
        <v/>
      </c>
    </row>
    <row r="636" spans="1:15" x14ac:dyDescent="0.2">
      <c r="A636" s="12" t="str">
        <f t="shared" si="92"/>
        <v/>
      </c>
      <c r="B636" t="str">
        <f t="shared" si="90"/>
        <v/>
      </c>
      <c r="C636" s="21" t="str">
        <f ca="1">IF(A636="","",IF($B$10="Sí",interpolar_alamb(B636,OFFSET(Curvas_cupon_cero!$A$1,1,0,COUNT(Curvas_cupon_cero!$A:$A)-2,1),OFFSET(Curvas_cupon_cero!$A$1,1,MATCH($B$8,Curvas_cupon_cero!$1:$1,0)-1,COUNT(Curvas_cupon_cero!$A:$A)-2,1)),[1]!interpolar(B636,OFFSET(Curvas_cupon_cero!$A$1,1,0,COUNT(Curvas_cupon_cero!$A:$A)-2,1),OFFSET(Curvas_cupon_cero!$A$1,1,MATCH($B$8,Curvas_cupon_cero!$1:$1,0)-1,COUNT(Curvas_cupon_cero!$A:$A)-2,1))))</f>
        <v/>
      </c>
      <c r="D636" s="23" t="str">
        <f ca="1">IF(A636="","",IF($B$10="Sí",interpolar_alamb(L636,OFFSET(Curvas_cupon_cero!$A$1,1,0,COUNT(Curvas_cupon_cero!$A:$A)-2,1),OFFSET(Curvas_cupon_cero!$A$1,1,MATCH($B$8,Curvas_cupon_cero!$1:$1,0)-1,COUNT(Curvas_cupon_cero!$A:$A)-2,1)),[1]!interpolar(L636,OFFSET(Curvas_cupon_cero!$A$1,1,0,COUNT(Curvas_cupon_cero!$A:$A)-2,1),OFFSET(Curvas_cupon_cero!$A$1,1,MATCH($B$8,Curvas_cupon_cero!$1:$1,0)-1,COUNT(Curvas_cupon_cero!$A:$A)-2,1))))</f>
        <v/>
      </c>
      <c r="E636" s="23" t="str">
        <f t="shared" si="93"/>
        <v/>
      </c>
      <c r="F636" s="23" t="str">
        <f ca="1">IF(A636="","",IF($B$10="Sí",interpolar_alamb(B636,OFFSET(Curvas_cupon_cero!$A$1,1,0,COUNT(Curvas_cupon_cero!$A:$A)-2,1),OFFSET(Curvas_cupon_cero!$A$1,1,MATCH($B$9,Curvas_cupon_cero!$1:$1,0)-1,COUNT(Curvas_cupon_cero!$A:$A)-2,1)),[1]!interpolar(B636,OFFSET(Curvas_cupon_cero!$A$1,1,0,COUNT(Curvas_cupon_cero!$A:$A)-2,1),OFFSET(Curvas_cupon_cero!$A$1,1,MATCH($B$9,Curvas_cupon_cero!$1:$1,0)-1,COUNT(Curvas_cupon_cero!$A:$A)-2,1))))</f>
        <v/>
      </c>
      <c r="G636" s="23" t="str">
        <f t="shared" si="94"/>
        <v/>
      </c>
      <c r="H636" s="20" t="str">
        <f t="shared" si="99"/>
        <v/>
      </c>
      <c r="I636" t="str">
        <f t="shared" si="95"/>
        <v/>
      </c>
      <c r="J636" s="17" t="str">
        <f t="shared" si="91"/>
        <v/>
      </c>
      <c r="K636" s="18" t="str">
        <f t="shared" si="96"/>
        <v/>
      </c>
      <c r="L636" t="str">
        <f t="shared" si="97"/>
        <v/>
      </c>
      <c r="M636" s="23" t="str">
        <f ca="1">IF(A636="","",IF($B$10="Sí",interpolar_alamb(L636,OFFSET(Curvas_cupon_cero!$A$1,1,0,COUNT(Curvas_cupon_cero!$A:$A)-2,1),OFFSET(Curvas_cupon_cero!$A$1,1,MATCH($B$6,Curvas_cupon_cero!$1:$1,0)-1,COUNT(Curvas_cupon_cero!$A:$A)-2,1)),[1]!interpolar(L636,OFFSET(Curvas_cupon_cero!$A$1,1,0,COUNT(Curvas_cupon_cero!$A:$A)-2,1),OFFSET(Curvas_cupon_cero!$A$1,1,MATCH($B$6,Curvas_cupon_cero!$1:$1,0)-1,COUNT(Curvas_cupon_cero!$A:$A)-2,1))))</f>
        <v/>
      </c>
      <c r="N636" s="23"/>
      <c r="O636" s="19" t="str">
        <f t="shared" si="98"/>
        <v/>
      </c>
    </row>
    <row r="637" spans="1:15" x14ac:dyDescent="0.2">
      <c r="A637" s="12" t="str">
        <f t="shared" si="92"/>
        <v/>
      </c>
      <c r="B637" t="str">
        <f t="shared" si="90"/>
        <v/>
      </c>
      <c r="C637" s="21" t="str">
        <f ca="1">IF(A637="","",IF($B$10="Sí",interpolar_alamb(B637,OFFSET(Curvas_cupon_cero!$A$1,1,0,COUNT(Curvas_cupon_cero!$A:$A)-2,1),OFFSET(Curvas_cupon_cero!$A$1,1,MATCH($B$8,Curvas_cupon_cero!$1:$1,0)-1,COUNT(Curvas_cupon_cero!$A:$A)-2,1)),[1]!interpolar(B637,OFFSET(Curvas_cupon_cero!$A$1,1,0,COUNT(Curvas_cupon_cero!$A:$A)-2,1),OFFSET(Curvas_cupon_cero!$A$1,1,MATCH($B$8,Curvas_cupon_cero!$1:$1,0)-1,COUNT(Curvas_cupon_cero!$A:$A)-2,1))))</f>
        <v/>
      </c>
      <c r="D637" s="23" t="str">
        <f ca="1">IF(A637="","",IF($B$10="Sí",interpolar_alamb(L637,OFFSET(Curvas_cupon_cero!$A$1,1,0,COUNT(Curvas_cupon_cero!$A:$A)-2,1),OFFSET(Curvas_cupon_cero!$A$1,1,MATCH($B$8,Curvas_cupon_cero!$1:$1,0)-1,COUNT(Curvas_cupon_cero!$A:$A)-2,1)),[1]!interpolar(L637,OFFSET(Curvas_cupon_cero!$A$1,1,0,COUNT(Curvas_cupon_cero!$A:$A)-2,1),OFFSET(Curvas_cupon_cero!$A$1,1,MATCH($B$8,Curvas_cupon_cero!$1:$1,0)-1,COUNT(Curvas_cupon_cero!$A:$A)-2,1))))</f>
        <v/>
      </c>
      <c r="E637" s="23" t="str">
        <f t="shared" si="93"/>
        <v/>
      </c>
      <c r="F637" s="23" t="str">
        <f ca="1">IF(A637="","",IF($B$10="Sí",interpolar_alamb(B637,OFFSET(Curvas_cupon_cero!$A$1,1,0,COUNT(Curvas_cupon_cero!$A:$A)-2,1),OFFSET(Curvas_cupon_cero!$A$1,1,MATCH($B$9,Curvas_cupon_cero!$1:$1,0)-1,COUNT(Curvas_cupon_cero!$A:$A)-2,1)),[1]!interpolar(B637,OFFSET(Curvas_cupon_cero!$A$1,1,0,COUNT(Curvas_cupon_cero!$A:$A)-2,1),OFFSET(Curvas_cupon_cero!$A$1,1,MATCH($B$9,Curvas_cupon_cero!$1:$1,0)-1,COUNT(Curvas_cupon_cero!$A:$A)-2,1))))</f>
        <v/>
      </c>
      <c r="G637" s="23" t="str">
        <f t="shared" si="94"/>
        <v/>
      </c>
      <c r="H637" s="20" t="str">
        <f t="shared" si="99"/>
        <v/>
      </c>
      <c r="I637" t="str">
        <f t="shared" si="95"/>
        <v/>
      </c>
      <c r="J637" s="17" t="str">
        <f t="shared" si="91"/>
        <v/>
      </c>
      <c r="K637" s="18" t="str">
        <f t="shared" si="96"/>
        <v/>
      </c>
      <c r="L637" t="str">
        <f t="shared" si="97"/>
        <v/>
      </c>
      <c r="M637" s="23" t="str">
        <f ca="1">IF(A637="","",IF($B$10="Sí",interpolar_alamb(L637,OFFSET(Curvas_cupon_cero!$A$1,1,0,COUNT(Curvas_cupon_cero!$A:$A)-2,1),OFFSET(Curvas_cupon_cero!$A$1,1,MATCH($B$6,Curvas_cupon_cero!$1:$1,0)-1,COUNT(Curvas_cupon_cero!$A:$A)-2,1)),[1]!interpolar(L637,OFFSET(Curvas_cupon_cero!$A$1,1,0,COUNT(Curvas_cupon_cero!$A:$A)-2,1),OFFSET(Curvas_cupon_cero!$A$1,1,MATCH($B$6,Curvas_cupon_cero!$1:$1,0)-1,COUNT(Curvas_cupon_cero!$A:$A)-2,1))))</f>
        <v/>
      </c>
      <c r="N637" s="23"/>
      <c r="O637" s="19" t="str">
        <f t="shared" si="98"/>
        <v/>
      </c>
    </row>
    <row r="638" spans="1:15" x14ac:dyDescent="0.2">
      <c r="A638" s="12" t="str">
        <f t="shared" si="92"/>
        <v/>
      </c>
      <c r="B638" t="str">
        <f t="shared" si="90"/>
        <v/>
      </c>
      <c r="C638" s="21" t="str">
        <f ca="1">IF(A638="","",IF($B$10="Sí",interpolar_alamb(B638,OFFSET(Curvas_cupon_cero!$A$1,1,0,COUNT(Curvas_cupon_cero!$A:$A)-2,1),OFFSET(Curvas_cupon_cero!$A$1,1,MATCH($B$8,Curvas_cupon_cero!$1:$1,0)-1,COUNT(Curvas_cupon_cero!$A:$A)-2,1)),[1]!interpolar(B638,OFFSET(Curvas_cupon_cero!$A$1,1,0,COUNT(Curvas_cupon_cero!$A:$A)-2,1),OFFSET(Curvas_cupon_cero!$A$1,1,MATCH($B$8,Curvas_cupon_cero!$1:$1,0)-1,COUNT(Curvas_cupon_cero!$A:$A)-2,1))))</f>
        <v/>
      </c>
      <c r="D638" s="23" t="str">
        <f ca="1">IF(A638="","",IF($B$10="Sí",interpolar_alamb(L638,OFFSET(Curvas_cupon_cero!$A$1,1,0,COUNT(Curvas_cupon_cero!$A:$A)-2,1),OFFSET(Curvas_cupon_cero!$A$1,1,MATCH($B$8,Curvas_cupon_cero!$1:$1,0)-1,COUNT(Curvas_cupon_cero!$A:$A)-2,1)),[1]!interpolar(L638,OFFSET(Curvas_cupon_cero!$A$1,1,0,COUNT(Curvas_cupon_cero!$A:$A)-2,1),OFFSET(Curvas_cupon_cero!$A$1,1,MATCH($B$8,Curvas_cupon_cero!$1:$1,0)-1,COUNT(Curvas_cupon_cero!$A:$A)-2,1))))</f>
        <v/>
      </c>
      <c r="E638" s="23" t="str">
        <f t="shared" si="93"/>
        <v/>
      </c>
      <c r="F638" s="23" t="str">
        <f ca="1">IF(A638="","",IF($B$10="Sí",interpolar_alamb(B638,OFFSET(Curvas_cupon_cero!$A$1,1,0,COUNT(Curvas_cupon_cero!$A:$A)-2,1),OFFSET(Curvas_cupon_cero!$A$1,1,MATCH($B$9,Curvas_cupon_cero!$1:$1,0)-1,COUNT(Curvas_cupon_cero!$A:$A)-2,1)),[1]!interpolar(B638,OFFSET(Curvas_cupon_cero!$A$1,1,0,COUNT(Curvas_cupon_cero!$A:$A)-2,1),OFFSET(Curvas_cupon_cero!$A$1,1,MATCH($B$9,Curvas_cupon_cero!$1:$1,0)-1,COUNT(Curvas_cupon_cero!$A:$A)-2,1))))</f>
        <v/>
      </c>
      <c r="G638" s="23" t="str">
        <f t="shared" si="94"/>
        <v/>
      </c>
      <c r="H638" s="20" t="str">
        <f t="shared" si="99"/>
        <v/>
      </c>
      <c r="I638" t="str">
        <f t="shared" si="95"/>
        <v/>
      </c>
      <c r="J638" s="17" t="str">
        <f t="shared" si="91"/>
        <v/>
      </c>
      <c r="K638" s="18" t="str">
        <f t="shared" si="96"/>
        <v/>
      </c>
      <c r="L638" t="str">
        <f t="shared" si="97"/>
        <v/>
      </c>
      <c r="M638" s="23" t="str">
        <f ca="1">IF(A638="","",IF($B$10="Sí",interpolar_alamb(L638,OFFSET(Curvas_cupon_cero!$A$1,1,0,COUNT(Curvas_cupon_cero!$A:$A)-2,1),OFFSET(Curvas_cupon_cero!$A$1,1,MATCH($B$6,Curvas_cupon_cero!$1:$1,0)-1,COUNT(Curvas_cupon_cero!$A:$A)-2,1)),[1]!interpolar(L638,OFFSET(Curvas_cupon_cero!$A$1,1,0,COUNT(Curvas_cupon_cero!$A:$A)-2,1),OFFSET(Curvas_cupon_cero!$A$1,1,MATCH($B$6,Curvas_cupon_cero!$1:$1,0)-1,COUNT(Curvas_cupon_cero!$A:$A)-2,1))))</f>
        <v/>
      </c>
      <c r="N638" s="23"/>
      <c r="O638" s="19" t="str">
        <f t="shared" si="98"/>
        <v/>
      </c>
    </row>
    <row r="639" spans="1:15" x14ac:dyDescent="0.2">
      <c r="A639" s="12" t="str">
        <f t="shared" si="92"/>
        <v/>
      </c>
      <c r="B639" t="str">
        <f t="shared" si="90"/>
        <v/>
      </c>
      <c r="C639" s="21" t="str">
        <f ca="1">IF(A639="","",IF($B$10="Sí",interpolar_alamb(B639,OFFSET(Curvas_cupon_cero!$A$1,1,0,COUNT(Curvas_cupon_cero!$A:$A)-2,1),OFFSET(Curvas_cupon_cero!$A$1,1,MATCH($B$8,Curvas_cupon_cero!$1:$1,0)-1,COUNT(Curvas_cupon_cero!$A:$A)-2,1)),[1]!interpolar(B639,OFFSET(Curvas_cupon_cero!$A$1,1,0,COUNT(Curvas_cupon_cero!$A:$A)-2,1),OFFSET(Curvas_cupon_cero!$A$1,1,MATCH($B$8,Curvas_cupon_cero!$1:$1,0)-1,COUNT(Curvas_cupon_cero!$A:$A)-2,1))))</f>
        <v/>
      </c>
      <c r="D639" s="23" t="str">
        <f ca="1">IF(A639="","",IF($B$10="Sí",interpolar_alamb(L639,OFFSET(Curvas_cupon_cero!$A$1,1,0,COUNT(Curvas_cupon_cero!$A:$A)-2,1),OFFSET(Curvas_cupon_cero!$A$1,1,MATCH($B$8,Curvas_cupon_cero!$1:$1,0)-1,COUNT(Curvas_cupon_cero!$A:$A)-2,1)),[1]!interpolar(L639,OFFSET(Curvas_cupon_cero!$A$1,1,0,COUNT(Curvas_cupon_cero!$A:$A)-2,1),OFFSET(Curvas_cupon_cero!$A$1,1,MATCH($B$8,Curvas_cupon_cero!$1:$1,0)-1,COUNT(Curvas_cupon_cero!$A:$A)-2,1))))</f>
        <v/>
      </c>
      <c r="E639" s="23" t="str">
        <f t="shared" si="93"/>
        <v/>
      </c>
      <c r="F639" s="23" t="str">
        <f ca="1">IF(A639="","",IF($B$10="Sí",interpolar_alamb(B639,OFFSET(Curvas_cupon_cero!$A$1,1,0,COUNT(Curvas_cupon_cero!$A:$A)-2,1),OFFSET(Curvas_cupon_cero!$A$1,1,MATCH($B$9,Curvas_cupon_cero!$1:$1,0)-1,COUNT(Curvas_cupon_cero!$A:$A)-2,1)),[1]!interpolar(B639,OFFSET(Curvas_cupon_cero!$A$1,1,0,COUNT(Curvas_cupon_cero!$A:$A)-2,1),OFFSET(Curvas_cupon_cero!$A$1,1,MATCH($B$9,Curvas_cupon_cero!$1:$1,0)-1,COUNT(Curvas_cupon_cero!$A:$A)-2,1))))</f>
        <v/>
      </c>
      <c r="G639" s="23" t="str">
        <f t="shared" si="94"/>
        <v/>
      </c>
      <c r="H639" s="20" t="str">
        <f t="shared" si="99"/>
        <v/>
      </c>
      <c r="I639" t="str">
        <f t="shared" si="95"/>
        <v/>
      </c>
      <c r="J639" s="17" t="str">
        <f t="shared" si="91"/>
        <v/>
      </c>
      <c r="K639" s="18" t="str">
        <f t="shared" si="96"/>
        <v/>
      </c>
      <c r="L639" t="str">
        <f t="shared" si="97"/>
        <v/>
      </c>
      <c r="M639" s="23" t="str">
        <f ca="1">IF(A639="","",IF($B$10="Sí",interpolar_alamb(L639,OFFSET(Curvas_cupon_cero!$A$1,1,0,COUNT(Curvas_cupon_cero!$A:$A)-2,1),OFFSET(Curvas_cupon_cero!$A$1,1,MATCH($B$6,Curvas_cupon_cero!$1:$1,0)-1,COUNT(Curvas_cupon_cero!$A:$A)-2,1)),[1]!interpolar(L639,OFFSET(Curvas_cupon_cero!$A$1,1,0,COUNT(Curvas_cupon_cero!$A:$A)-2,1),OFFSET(Curvas_cupon_cero!$A$1,1,MATCH($B$6,Curvas_cupon_cero!$1:$1,0)-1,COUNT(Curvas_cupon_cero!$A:$A)-2,1))))</f>
        <v/>
      </c>
      <c r="N639" s="23"/>
      <c r="O639" s="19" t="str">
        <f t="shared" si="98"/>
        <v/>
      </c>
    </row>
    <row r="640" spans="1:15" x14ac:dyDescent="0.2">
      <c r="A640" s="12" t="str">
        <f t="shared" si="92"/>
        <v/>
      </c>
      <c r="B640" t="str">
        <f t="shared" si="90"/>
        <v/>
      </c>
      <c r="C640" s="21" t="str">
        <f ca="1">IF(A640="","",IF($B$10="Sí",interpolar_alamb(B640,OFFSET(Curvas_cupon_cero!$A$1,1,0,COUNT(Curvas_cupon_cero!$A:$A)-2,1),OFFSET(Curvas_cupon_cero!$A$1,1,MATCH($B$8,Curvas_cupon_cero!$1:$1,0)-1,COUNT(Curvas_cupon_cero!$A:$A)-2,1)),[1]!interpolar(B640,OFFSET(Curvas_cupon_cero!$A$1,1,0,COUNT(Curvas_cupon_cero!$A:$A)-2,1),OFFSET(Curvas_cupon_cero!$A$1,1,MATCH($B$8,Curvas_cupon_cero!$1:$1,0)-1,COUNT(Curvas_cupon_cero!$A:$A)-2,1))))</f>
        <v/>
      </c>
      <c r="D640" s="23" t="str">
        <f ca="1">IF(A640="","",IF($B$10="Sí",interpolar_alamb(L640,OFFSET(Curvas_cupon_cero!$A$1,1,0,COUNT(Curvas_cupon_cero!$A:$A)-2,1),OFFSET(Curvas_cupon_cero!$A$1,1,MATCH($B$8,Curvas_cupon_cero!$1:$1,0)-1,COUNT(Curvas_cupon_cero!$A:$A)-2,1)),[1]!interpolar(L640,OFFSET(Curvas_cupon_cero!$A$1,1,0,COUNT(Curvas_cupon_cero!$A:$A)-2,1),OFFSET(Curvas_cupon_cero!$A$1,1,MATCH($B$8,Curvas_cupon_cero!$1:$1,0)-1,COUNT(Curvas_cupon_cero!$A:$A)-2,1))))</f>
        <v/>
      </c>
      <c r="E640" s="23" t="str">
        <f t="shared" si="93"/>
        <v/>
      </c>
      <c r="F640" s="23" t="str">
        <f ca="1">IF(A640="","",IF($B$10="Sí",interpolar_alamb(B640,OFFSET(Curvas_cupon_cero!$A$1,1,0,COUNT(Curvas_cupon_cero!$A:$A)-2,1),OFFSET(Curvas_cupon_cero!$A$1,1,MATCH($B$9,Curvas_cupon_cero!$1:$1,0)-1,COUNT(Curvas_cupon_cero!$A:$A)-2,1)),[1]!interpolar(B640,OFFSET(Curvas_cupon_cero!$A$1,1,0,COUNT(Curvas_cupon_cero!$A:$A)-2,1),OFFSET(Curvas_cupon_cero!$A$1,1,MATCH($B$9,Curvas_cupon_cero!$1:$1,0)-1,COUNT(Curvas_cupon_cero!$A:$A)-2,1))))</f>
        <v/>
      </c>
      <c r="G640" s="23" t="str">
        <f t="shared" si="94"/>
        <v/>
      </c>
      <c r="H640" s="20" t="str">
        <f t="shared" si="99"/>
        <v/>
      </c>
      <c r="I640" t="str">
        <f t="shared" si="95"/>
        <v/>
      </c>
      <c r="J640" s="17" t="str">
        <f t="shared" si="91"/>
        <v/>
      </c>
      <c r="K640" s="18" t="str">
        <f t="shared" si="96"/>
        <v/>
      </c>
      <c r="L640" t="str">
        <f t="shared" si="97"/>
        <v/>
      </c>
      <c r="M640" s="23" t="str">
        <f ca="1">IF(A640="","",IF($B$10="Sí",interpolar_alamb(L640,OFFSET(Curvas_cupon_cero!$A$1,1,0,COUNT(Curvas_cupon_cero!$A:$A)-2,1),OFFSET(Curvas_cupon_cero!$A$1,1,MATCH($B$6,Curvas_cupon_cero!$1:$1,0)-1,COUNT(Curvas_cupon_cero!$A:$A)-2,1)),[1]!interpolar(L640,OFFSET(Curvas_cupon_cero!$A$1,1,0,COUNT(Curvas_cupon_cero!$A:$A)-2,1),OFFSET(Curvas_cupon_cero!$A$1,1,MATCH($B$6,Curvas_cupon_cero!$1:$1,0)-1,COUNT(Curvas_cupon_cero!$A:$A)-2,1))))</f>
        <v/>
      </c>
      <c r="N640" s="23"/>
      <c r="O640" s="19" t="str">
        <f t="shared" si="98"/>
        <v/>
      </c>
    </row>
    <row r="641" spans="1:15" x14ac:dyDescent="0.2">
      <c r="A641" s="12" t="str">
        <f t="shared" si="92"/>
        <v/>
      </c>
      <c r="B641" t="str">
        <f t="shared" si="90"/>
        <v/>
      </c>
      <c r="C641" s="21" t="str">
        <f ca="1">IF(A641="","",IF($B$10="Sí",interpolar_alamb(B641,OFFSET(Curvas_cupon_cero!$A$1,1,0,COUNT(Curvas_cupon_cero!$A:$A)-2,1),OFFSET(Curvas_cupon_cero!$A$1,1,MATCH($B$8,Curvas_cupon_cero!$1:$1,0)-1,COUNT(Curvas_cupon_cero!$A:$A)-2,1)),[1]!interpolar(B641,OFFSET(Curvas_cupon_cero!$A$1,1,0,COUNT(Curvas_cupon_cero!$A:$A)-2,1),OFFSET(Curvas_cupon_cero!$A$1,1,MATCH($B$8,Curvas_cupon_cero!$1:$1,0)-1,COUNT(Curvas_cupon_cero!$A:$A)-2,1))))</f>
        <v/>
      </c>
      <c r="D641" s="23" t="str">
        <f ca="1">IF(A641="","",IF($B$10="Sí",interpolar_alamb(L641,OFFSET(Curvas_cupon_cero!$A$1,1,0,COUNT(Curvas_cupon_cero!$A:$A)-2,1),OFFSET(Curvas_cupon_cero!$A$1,1,MATCH($B$8,Curvas_cupon_cero!$1:$1,0)-1,COUNT(Curvas_cupon_cero!$A:$A)-2,1)),[1]!interpolar(L641,OFFSET(Curvas_cupon_cero!$A$1,1,0,COUNT(Curvas_cupon_cero!$A:$A)-2,1),OFFSET(Curvas_cupon_cero!$A$1,1,MATCH($B$8,Curvas_cupon_cero!$1:$1,0)-1,COUNT(Curvas_cupon_cero!$A:$A)-2,1))))</f>
        <v/>
      </c>
      <c r="E641" s="23" t="str">
        <f t="shared" si="93"/>
        <v/>
      </c>
      <c r="F641" s="23" t="str">
        <f ca="1">IF(A641="","",IF($B$10="Sí",interpolar_alamb(B641,OFFSET(Curvas_cupon_cero!$A$1,1,0,COUNT(Curvas_cupon_cero!$A:$A)-2,1),OFFSET(Curvas_cupon_cero!$A$1,1,MATCH($B$9,Curvas_cupon_cero!$1:$1,0)-1,COUNT(Curvas_cupon_cero!$A:$A)-2,1)),[1]!interpolar(B641,OFFSET(Curvas_cupon_cero!$A$1,1,0,COUNT(Curvas_cupon_cero!$A:$A)-2,1),OFFSET(Curvas_cupon_cero!$A$1,1,MATCH($B$9,Curvas_cupon_cero!$1:$1,0)-1,COUNT(Curvas_cupon_cero!$A:$A)-2,1))))</f>
        <v/>
      </c>
      <c r="G641" s="23" t="str">
        <f t="shared" si="94"/>
        <v/>
      </c>
      <c r="H641" s="20" t="str">
        <f t="shared" si="99"/>
        <v/>
      </c>
      <c r="I641" t="str">
        <f t="shared" si="95"/>
        <v/>
      </c>
      <c r="J641" s="17" t="str">
        <f t="shared" si="91"/>
        <v/>
      </c>
      <c r="K641" s="18" t="str">
        <f t="shared" si="96"/>
        <v/>
      </c>
      <c r="L641" t="str">
        <f t="shared" si="97"/>
        <v/>
      </c>
      <c r="M641" s="23" t="str">
        <f ca="1">IF(A641="","",IF($B$10="Sí",interpolar_alamb(L641,OFFSET(Curvas_cupon_cero!$A$1,1,0,COUNT(Curvas_cupon_cero!$A:$A)-2,1),OFFSET(Curvas_cupon_cero!$A$1,1,MATCH($B$6,Curvas_cupon_cero!$1:$1,0)-1,COUNT(Curvas_cupon_cero!$A:$A)-2,1)),[1]!interpolar(L641,OFFSET(Curvas_cupon_cero!$A$1,1,0,COUNT(Curvas_cupon_cero!$A:$A)-2,1),OFFSET(Curvas_cupon_cero!$A$1,1,MATCH($B$6,Curvas_cupon_cero!$1:$1,0)-1,COUNT(Curvas_cupon_cero!$A:$A)-2,1))))</f>
        <v/>
      </c>
      <c r="N641" s="23"/>
      <c r="O641" s="19" t="str">
        <f t="shared" si="98"/>
        <v/>
      </c>
    </row>
    <row r="642" spans="1:15" x14ac:dyDescent="0.2">
      <c r="A642" s="12" t="str">
        <f t="shared" si="92"/>
        <v/>
      </c>
      <c r="B642" t="str">
        <f t="shared" si="90"/>
        <v/>
      </c>
      <c r="C642" s="21" t="str">
        <f ca="1">IF(A642="","",IF($B$10="Sí",interpolar_alamb(B642,OFFSET(Curvas_cupon_cero!$A$1,1,0,COUNT(Curvas_cupon_cero!$A:$A)-2,1),OFFSET(Curvas_cupon_cero!$A$1,1,MATCH($B$8,Curvas_cupon_cero!$1:$1,0)-1,COUNT(Curvas_cupon_cero!$A:$A)-2,1)),[1]!interpolar(B642,OFFSET(Curvas_cupon_cero!$A$1,1,0,COUNT(Curvas_cupon_cero!$A:$A)-2,1),OFFSET(Curvas_cupon_cero!$A$1,1,MATCH($B$8,Curvas_cupon_cero!$1:$1,0)-1,COUNT(Curvas_cupon_cero!$A:$A)-2,1))))</f>
        <v/>
      </c>
      <c r="D642" s="23" t="str">
        <f ca="1">IF(A642="","",IF($B$10="Sí",interpolar_alamb(L642,OFFSET(Curvas_cupon_cero!$A$1,1,0,COUNT(Curvas_cupon_cero!$A:$A)-2,1),OFFSET(Curvas_cupon_cero!$A$1,1,MATCH($B$8,Curvas_cupon_cero!$1:$1,0)-1,COUNT(Curvas_cupon_cero!$A:$A)-2,1)),[1]!interpolar(L642,OFFSET(Curvas_cupon_cero!$A$1,1,0,COUNT(Curvas_cupon_cero!$A:$A)-2,1),OFFSET(Curvas_cupon_cero!$A$1,1,MATCH($B$8,Curvas_cupon_cero!$1:$1,0)-1,COUNT(Curvas_cupon_cero!$A:$A)-2,1))))</f>
        <v/>
      </c>
      <c r="E642" s="23" t="str">
        <f t="shared" si="93"/>
        <v/>
      </c>
      <c r="F642" s="23" t="str">
        <f ca="1">IF(A642="","",IF($B$10="Sí",interpolar_alamb(B642,OFFSET(Curvas_cupon_cero!$A$1,1,0,COUNT(Curvas_cupon_cero!$A:$A)-2,1),OFFSET(Curvas_cupon_cero!$A$1,1,MATCH($B$9,Curvas_cupon_cero!$1:$1,0)-1,COUNT(Curvas_cupon_cero!$A:$A)-2,1)),[1]!interpolar(B642,OFFSET(Curvas_cupon_cero!$A$1,1,0,COUNT(Curvas_cupon_cero!$A:$A)-2,1),OFFSET(Curvas_cupon_cero!$A$1,1,MATCH($B$9,Curvas_cupon_cero!$1:$1,0)-1,COUNT(Curvas_cupon_cero!$A:$A)-2,1))))</f>
        <v/>
      </c>
      <c r="G642" s="23" t="str">
        <f t="shared" si="94"/>
        <v/>
      </c>
      <c r="H642" s="20" t="str">
        <f t="shared" si="99"/>
        <v/>
      </c>
      <c r="I642" t="str">
        <f t="shared" si="95"/>
        <v/>
      </c>
      <c r="J642" s="17" t="str">
        <f t="shared" si="91"/>
        <v/>
      </c>
      <c r="K642" s="18" t="str">
        <f t="shared" si="96"/>
        <v/>
      </c>
      <c r="L642" t="str">
        <f t="shared" si="97"/>
        <v/>
      </c>
      <c r="M642" s="23" t="str">
        <f ca="1">IF(A642="","",IF($B$10="Sí",interpolar_alamb(L642,OFFSET(Curvas_cupon_cero!$A$1,1,0,COUNT(Curvas_cupon_cero!$A:$A)-2,1),OFFSET(Curvas_cupon_cero!$A$1,1,MATCH($B$6,Curvas_cupon_cero!$1:$1,0)-1,COUNT(Curvas_cupon_cero!$A:$A)-2,1)),[1]!interpolar(L642,OFFSET(Curvas_cupon_cero!$A$1,1,0,COUNT(Curvas_cupon_cero!$A:$A)-2,1),OFFSET(Curvas_cupon_cero!$A$1,1,MATCH($B$6,Curvas_cupon_cero!$1:$1,0)-1,COUNT(Curvas_cupon_cero!$A:$A)-2,1))))</f>
        <v/>
      </c>
      <c r="N642" s="23"/>
      <c r="O642" s="19" t="str">
        <f t="shared" si="98"/>
        <v/>
      </c>
    </row>
    <row r="643" spans="1:15" x14ac:dyDescent="0.2">
      <c r="A643" s="12" t="str">
        <f t="shared" si="92"/>
        <v/>
      </c>
      <c r="B643" t="str">
        <f t="shared" si="90"/>
        <v/>
      </c>
      <c r="C643" s="21" t="str">
        <f ca="1">IF(A643="","",IF($B$10="Sí",interpolar_alamb(B643,OFFSET(Curvas_cupon_cero!$A$1,1,0,COUNT(Curvas_cupon_cero!$A:$A)-2,1),OFFSET(Curvas_cupon_cero!$A$1,1,MATCH($B$8,Curvas_cupon_cero!$1:$1,0)-1,COUNT(Curvas_cupon_cero!$A:$A)-2,1)),[1]!interpolar(B643,OFFSET(Curvas_cupon_cero!$A$1,1,0,COUNT(Curvas_cupon_cero!$A:$A)-2,1),OFFSET(Curvas_cupon_cero!$A$1,1,MATCH($B$8,Curvas_cupon_cero!$1:$1,0)-1,COUNT(Curvas_cupon_cero!$A:$A)-2,1))))</f>
        <v/>
      </c>
      <c r="D643" s="23" t="str">
        <f ca="1">IF(A643="","",IF($B$10="Sí",interpolar_alamb(L643,OFFSET(Curvas_cupon_cero!$A$1,1,0,COUNT(Curvas_cupon_cero!$A:$A)-2,1),OFFSET(Curvas_cupon_cero!$A$1,1,MATCH($B$8,Curvas_cupon_cero!$1:$1,0)-1,COUNT(Curvas_cupon_cero!$A:$A)-2,1)),[1]!interpolar(L643,OFFSET(Curvas_cupon_cero!$A$1,1,0,COUNT(Curvas_cupon_cero!$A:$A)-2,1),OFFSET(Curvas_cupon_cero!$A$1,1,MATCH($B$8,Curvas_cupon_cero!$1:$1,0)-1,COUNT(Curvas_cupon_cero!$A:$A)-2,1))))</f>
        <v/>
      </c>
      <c r="E643" s="23" t="str">
        <f t="shared" si="93"/>
        <v/>
      </c>
      <c r="F643" s="23" t="str">
        <f ca="1">IF(A643="","",IF($B$10="Sí",interpolar_alamb(B643,OFFSET(Curvas_cupon_cero!$A$1,1,0,COUNT(Curvas_cupon_cero!$A:$A)-2,1),OFFSET(Curvas_cupon_cero!$A$1,1,MATCH($B$9,Curvas_cupon_cero!$1:$1,0)-1,COUNT(Curvas_cupon_cero!$A:$A)-2,1)),[1]!interpolar(B643,OFFSET(Curvas_cupon_cero!$A$1,1,0,COUNT(Curvas_cupon_cero!$A:$A)-2,1),OFFSET(Curvas_cupon_cero!$A$1,1,MATCH($B$9,Curvas_cupon_cero!$1:$1,0)-1,COUNT(Curvas_cupon_cero!$A:$A)-2,1))))</f>
        <v/>
      </c>
      <c r="G643" s="23" t="str">
        <f t="shared" si="94"/>
        <v/>
      </c>
      <c r="H643" s="20" t="str">
        <f t="shared" si="99"/>
        <v/>
      </c>
      <c r="I643" t="str">
        <f t="shared" si="95"/>
        <v/>
      </c>
      <c r="J643" s="17" t="str">
        <f t="shared" si="91"/>
        <v/>
      </c>
      <c r="K643" s="18" t="str">
        <f t="shared" si="96"/>
        <v/>
      </c>
      <c r="L643" t="str">
        <f t="shared" si="97"/>
        <v/>
      </c>
      <c r="M643" s="23" t="str">
        <f ca="1">IF(A643="","",IF($B$10="Sí",interpolar_alamb(L643,OFFSET(Curvas_cupon_cero!$A$1,1,0,COUNT(Curvas_cupon_cero!$A:$A)-2,1),OFFSET(Curvas_cupon_cero!$A$1,1,MATCH($B$6,Curvas_cupon_cero!$1:$1,0)-1,COUNT(Curvas_cupon_cero!$A:$A)-2,1)),[1]!interpolar(L643,OFFSET(Curvas_cupon_cero!$A$1,1,0,COUNT(Curvas_cupon_cero!$A:$A)-2,1),OFFSET(Curvas_cupon_cero!$A$1,1,MATCH($B$6,Curvas_cupon_cero!$1:$1,0)-1,COUNT(Curvas_cupon_cero!$A:$A)-2,1))))</f>
        <v/>
      </c>
      <c r="N643" s="23"/>
      <c r="O643" s="19" t="str">
        <f t="shared" si="98"/>
        <v/>
      </c>
    </row>
    <row r="644" spans="1:15" x14ac:dyDescent="0.2">
      <c r="A644" s="12" t="str">
        <f t="shared" si="92"/>
        <v/>
      </c>
      <c r="B644" t="str">
        <f t="shared" si="90"/>
        <v/>
      </c>
      <c r="C644" s="21" t="str">
        <f ca="1">IF(A644="","",IF($B$10="Sí",interpolar_alamb(B644,OFFSET(Curvas_cupon_cero!$A$1,1,0,COUNT(Curvas_cupon_cero!$A:$A)-2,1),OFFSET(Curvas_cupon_cero!$A$1,1,MATCH($B$8,Curvas_cupon_cero!$1:$1,0)-1,COUNT(Curvas_cupon_cero!$A:$A)-2,1)),[1]!interpolar(B644,OFFSET(Curvas_cupon_cero!$A$1,1,0,COUNT(Curvas_cupon_cero!$A:$A)-2,1),OFFSET(Curvas_cupon_cero!$A$1,1,MATCH($B$8,Curvas_cupon_cero!$1:$1,0)-1,COUNT(Curvas_cupon_cero!$A:$A)-2,1))))</f>
        <v/>
      </c>
      <c r="D644" s="23" t="str">
        <f ca="1">IF(A644="","",IF($B$10="Sí",interpolar_alamb(L644,OFFSET(Curvas_cupon_cero!$A$1,1,0,COUNT(Curvas_cupon_cero!$A:$A)-2,1),OFFSET(Curvas_cupon_cero!$A$1,1,MATCH($B$8,Curvas_cupon_cero!$1:$1,0)-1,COUNT(Curvas_cupon_cero!$A:$A)-2,1)),[1]!interpolar(L644,OFFSET(Curvas_cupon_cero!$A$1,1,0,COUNT(Curvas_cupon_cero!$A:$A)-2,1),OFFSET(Curvas_cupon_cero!$A$1,1,MATCH($B$8,Curvas_cupon_cero!$1:$1,0)-1,COUNT(Curvas_cupon_cero!$A:$A)-2,1))))</f>
        <v/>
      </c>
      <c r="E644" s="23" t="str">
        <f t="shared" si="93"/>
        <v/>
      </c>
      <c r="F644" s="23" t="str">
        <f ca="1">IF(A644="","",IF($B$10="Sí",interpolar_alamb(B644,OFFSET(Curvas_cupon_cero!$A$1,1,0,COUNT(Curvas_cupon_cero!$A:$A)-2,1),OFFSET(Curvas_cupon_cero!$A$1,1,MATCH($B$9,Curvas_cupon_cero!$1:$1,0)-1,COUNT(Curvas_cupon_cero!$A:$A)-2,1)),[1]!interpolar(B644,OFFSET(Curvas_cupon_cero!$A$1,1,0,COUNT(Curvas_cupon_cero!$A:$A)-2,1),OFFSET(Curvas_cupon_cero!$A$1,1,MATCH($B$9,Curvas_cupon_cero!$1:$1,0)-1,COUNT(Curvas_cupon_cero!$A:$A)-2,1))))</f>
        <v/>
      </c>
      <c r="G644" s="23" t="str">
        <f t="shared" si="94"/>
        <v/>
      </c>
      <c r="H644" s="20" t="str">
        <f t="shared" si="99"/>
        <v/>
      </c>
      <c r="I644" t="str">
        <f t="shared" si="95"/>
        <v/>
      </c>
      <c r="J644" s="17" t="str">
        <f t="shared" si="91"/>
        <v/>
      </c>
      <c r="K644" s="18" t="str">
        <f t="shared" si="96"/>
        <v/>
      </c>
      <c r="L644" t="str">
        <f t="shared" si="97"/>
        <v/>
      </c>
      <c r="M644" s="23" t="str">
        <f ca="1">IF(A644="","",IF($B$10="Sí",interpolar_alamb(L644,OFFSET(Curvas_cupon_cero!$A$1,1,0,COUNT(Curvas_cupon_cero!$A:$A)-2,1),OFFSET(Curvas_cupon_cero!$A$1,1,MATCH($B$6,Curvas_cupon_cero!$1:$1,0)-1,COUNT(Curvas_cupon_cero!$A:$A)-2,1)),[1]!interpolar(L644,OFFSET(Curvas_cupon_cero!$A$1,1,0,COUNT(Curvas_cupon_cero!$A:$A)-2,1),OFFSET(Curvas_cupon_cero!$A$1,1,MATCH($B$6,Curvas_cupon_cero!$1:$1,0)-1,COUNT(Curvas_cupon_cero!$A:$A)-2,1))))</f>
        <v/>
      </c>
      <c r="N644" s="23"/>
      <c r="O644" s="19" t="str">
        <f t="shared" si="98"/>
        <v/>
      </c>
    </row>
    <row r="645" spans="1:15" x14ac:dyDescent="0.2">
      <c r="A645" s="12" t="str">
        <f t="shared" si="92"/>
        <v/>
      </c>
      <c r="B645" t="str">
        <f t="shared" si="90"/>
        <v/>
      </c>
      <c r="C645" s="21" t="str">
        <f ca="1">IF(A645="","",IF($B$10="Sí",interpolar_alamb(B645,OFFSET(Curvas_cupon_cero!$A$1,1,0,COUNT(Curvas_cupon_cero!$A:$A)-2,1),OFFSET(Curvas_cupon_cero!$A$1,1,MATCH($B$8,Curvas_cupon_cero!$1:$1,0)-1,COUNT(Curvas_cupon_cero!$A:$A)-2,1)),[1]!interpolar(B645,OFFSET(Curvas_cupon_cero!$A$1,1,0,COUNT(Curvas_cupon_cero!$A:$A)-2,1),OFFSET(Curvas_cupon_cero!$A$1,1,MATCH($B$8,Curvas_cupon_cero!$1:$1,0)-1,COUNT(Curvas_cupon_cero!$A:$A)-2,1))))</f>
        <v/>
      </c>
      <c r="D645" s="23" t="str">
        <f ca="1">IF(A645="","",IF($B$10="Sí",interpolar_alamb(L645,OFFSET(Curvas_cupon_cero!$A$1,1,0,COUNT(Curvas_cupon_cero!$A:$A)-2,1),OFFSET(Curvas_cupon_cero!$A$1,1,MATCH($B$8,Curvas_cupon_cero!$1:$1,0)-1,COUNT(Curvas_cupon_cero!$A:$A)-2,1)),[1]!interpolar(L645,OFFSET(Curvas_cupon_cero!$A$1,1,0,COUNT(Curvas_cupon_cero!$A:$A)-2,1),OFFSET(Curvas_cupon_cero!$A$1,1,MATCH($B$8,Curvas_cupon_cero!$1:$1,0)-1,COUNT(Curvas_cupon_cero!$A:$A)-2,1))))</f>
        <v/>
      </c>
      <c r="E645" s="23" t="str">
        <f t="shared" si="93"/>
        <v/>
      </c>
      <c r="F645" s="23" t="str">
        <f ca="1">IF(A645="","",IF($B$10="Sí",interpolar_alamb(B645,OFFSET(Curvas_cupon_cero!$A$1,1,0,COUNT(Curvas_cupon_cero!$A:$A)-2,1),OFFSET(Curvas_cupon_cero!$A$1,1,MATCH($B$9,Curvas_cupon_cero!$1:$1,0)-1,COUNT(Curvas_cupon_cero!$A:$A)-2,1)),[1]!interpolar(B645,OFFSET(Curvas_cupon_cero!$A$1,1,0,COUNT(Curvas_cupon_cero!$A:$A)-2,1),OFFSET(Curvas_cupon_cero!$A$1,1,MATCH($B$9,Curvas_cupon_cero!$1:$1,0)-1,COUNT(Curvas_cupon_cero!$A:$A)-2,1))))</f>
        <v/>
      </c>
      <c r="G645" s="23" t="str">
        <f t="shared" si="94"/>
        <v/>
      </c>
      <c r="H645" s="20" t="str">
        <f t="shared" si="99"/>
        <v/>
      </c>
      <c r="I645" t="str">
        <f t="shared" si="95"/>
        <v/>
      </c>
      <c r="J645" s="17" t="str">
        <f t="shared" si="91"/>
        <v/>
      </c>
      <c r="K645" s="18" t="str">
        <f t="shared" si="96"/>
        <v/>
      </c>
      <c r="L645" t="str">
        <f t="shared" si="97"/>
        <v/>
      </c>
      <c r="M645" s="23" t="str">
        <f ca="1">IF(A645="","",IF($B$10="Sí",interpolar_alamb(L645,OFFSET(Curvas_cupon_cero!$A$1,1,0,COUNT(Curvas_cupon_cero!$A:$A)-2,1),OFFSET(Curvas_cupon_cero!$A$1,1,MATCH($B$6,Curvas_cupon_cero!$1:$1,0)-1,COUNT(Curvas_cupon_cero!$A:$A)-2,1)),[1]!interpolar(L645,OFFSET(Curvas_cupon_cero!$A$1,1,0,COUNT(Curvas_cupon_cero!$A:$A)-2,1),OFFSET(Curvas_cupon_cero!$A$1,1,MATCH($B$6,Curvas_cupon_cero!$1:$1,0)-1,COUNT(Curvas_cupon_cero!$A:$A)-2,1))))</f>
        <v/>
      </c>
      <c r="N645" s="23"/>
      <c r="O645" s="19" t="str">
        <f t="shared" si="98"/>
        <v/>
      </c>
    </row>
    <row r="646" spans="1:15" x14ac:dyDescent="0.2">
      <c r="A646" s="12" t="str">
        <f t="shared" si="92"/>
        <v/>
      </c>
      <c r="B646" t="str">
        <f t="shared" si="90"/>
        <v/>
      </c>
      <c r="C646" s="21" t="str">
        <f ca="1">IF(A646="","",IF($B$10="Sí",interpolar_alamb(B646,OFFSET(Curvas_cupon_cero!$A$1,1,0,COUNT(Curvas_cupon_cero!$A:$A)-2,1),OFFSET(Curvas_cupon_cero!$A$1,1,MATCH($B$8,Curvas_cupon_cero!$1:$1,0)-1,COUNT(Curvas_cupon_cero!$A:$A)-2,1)),[1]!interpolar(B646,OFFSET(Curvas_cupon_cero!$A$1,1,0,COUNT(Curvas_cupon_cero!$A:$A)-2,1),OFFSET(Curvas_cupon_cero!$A$1,1,MATCH($B$8,Curvas_cupon_cero!$1:$1,0)-1,COUNT(Curvas_cupon_cero!$A:$A)-2,1))))</f>
        <v/>
      </c>
      <c r="D646" s="23" t="str">
        <f ca="1">IF(A646="","",IF($B$10="Sí",interpolar_alamb(L646,OFFSET(Curvas_cupon_cero!$A$1,1,0,COUNT(Curvas_cupon_cero!$A:$A)-2,1),OFFSET(Curvas_cupon_cero!$A$1,1,MATCH($B$8,Curvas_cupon_cero!$1:$1,0)-1,COUNT(Curvas_cupon_cero!$A:$A)-2,1)),[1]!interpolar(L646,OFFSET(Curvas_cupon_cero!$A$1,1,0,COUNT(Curvas_cupon_cero!$A:$A)-2,1),OFFSET(Curvas_cupon_cero!$A$1,1,MATCH($B$8,Curvas_cupon_cero!$1:$1,0)-1,COUNT(Curvas_cupon_cero!$A:$A)-2,1))))</f>
        <v/>
      </c>
      <c r="E646" s="23" t="str">
        <f t="shared" si="93"/>
        <v/>
      </c>
      <c r="F646" s="23" t="str">
        <f ca="1">IF(A646="","",IF($B$10="Sí",interpolar_alamb(B646,OFFSET(Curvas_cupon_cero!$A$1,1,0,COUNT(Curvas_cupon_cero!$A:$A)-2,1),OFFSET(Curvas_cupon_cero!$A$1,1,MATCH($B$9,Curvas_cupon_cero!$1:$1,0)-1,COUNT(Curvas_cupon_cero!$A:$A)-2,1)),[1]!interpolar(B646,OFFSET(Curvas_cupon_cero!$A$1,1,0,COUNT(Curvas_cupon_cero!$A:$A)-2,1),OFFSET(Curvas_cupon_cero!$A$1,1,MATCH($B$9,Curvas_cupon_cero!$1:$1,0)-1,COUNT(Curvas_cupon_cero!$A:$A)-2,1))))</f>
        <v/>
      </c>
      <c r="G646" s="23" t="str">
        <f t="shared" si="94"/>
        <v/>
      </c>
      <c r="H646" s="20" t="str">
        <f t="shared" si="99"/>
        <v/>
      </c>
      <c r="I646" t="str">
        <f t="shared" si="95"/>
        <v/>
      </c>
      <c r="J646" s="17" t="str">
        <f t="shared" si="91"/>
        <v/>
      </c>
      <c r="K646" s="18" t="str">
        <f t="shared" si="96"/>
        <v/>
      </c>
      <c r="L646" t="str">
        <f t="shared" si="97"/>
        <v/>
      </c>
      <c r="M646" s="23" t="str">
        <f ca="1">IF(A646="","",IF($B$10="Sí",interpolar_alamb(L646,OFFSET(Curvas_cupon_cero!$A$1,1,0,COUNT(Curvas_cupon_cero!$A:$A)-2,1),OFFSET(Curvas_cupon_cero!$A$1,1,MATCH($B$6,Curvas_cupon_cero!$1:$1,0)-1,COUNT(Curvas_cupon_cero!$A:$A)-2,1)),[1]!interpolar(L646,OFFSET(Curvas_cupon_cero!$A$1,1,0,COUNT(Curvas_cupon_cero!$A:$A)-2,1),OFFSET(Curvas_cupon_cero!$A$1,1,MATCH($B$6,Curvas_cupon_cero!$1:$1,0)-1,COUNT(Curvas_cupon_cero!$A:$A)-2,1))))</f>
        <v/>
      </c>
      <c r="N646" s="23"/>
      <c r="O646" s="19" t="str">
        <f t="shared" si="98"/>
        <v/>
      </c>
    </row>
    <row r="647" spans="1:15" x14ac:dyDescent="0.2">
      <c r="A647" s="12" t="str">
        <f t="shared" si="92"/>
        <v/>
      </c>
      <c r="B647" t="str">
        <f t="shared" si="90"/>
        <v/>
      </c>
      <c r="C647" s="21" t="str">
        <f ca="1">IF(A647="","",IF($B$10="Sí",interpolar_alamb(B647,OFFSET(Curvas_cupon_cero!$A$1,1,0,COUNT(Curvas_cupon_cero!$A:$A)-2,1),OFFSET(Curvas_cupon_cero!$A$1,1,MATCH($B$8,Curvas_cupon_cero!$1:$1,0)-1,COUNT(Curvas_cupon_cero!$A:$A)-2,1)),[1]!interpolar(B647,OFFSET(Curvas_cupon_cero!$A$1,1,0,COUNT(Curvas_cupon_cero!$A:$A)-2,1),OFFSET(Curvas_cupon_cero!$A$1,1,MATCH($B$8,Curvas_cupon_cero!$1:$1,0)-1,COUNT(Curvas_cupon_cero!$A:$A)-2,1))))</f>
        <v/>
      </c>
      <c r="D647" s="23" t="str">
        <f ca="1">IF(A647="","",IF($B$10="Sí",interpolar_alamb(L647,OFFSET(Curvas_cupon_cero!$A$1,1,0,COUNT(Curvas_cupon_cero!$A:$A)-2,1),OFFSET(Curvas_cupon_cero!$A$1,1,MATCH($B$8,Curvas_cupon_cero!$1:$1,0)-1,COUNT(Curvas_cupon_cero!$A:$A)-2,1)),[1]!interpolar(L647,OFFSET(Curvas_cupon_cero!$A$1,1,0,COUNT(Curvas_cupon_cero!$A:$A)-2,1),OFFSET(Curvas_cupon_cero!$A$1,1,MATCH($B$8,Curvas_cupon_cero!$1:$1,0)-1,COUNT(Curvas_cupon_cero!$A:$A)-2,1))))</f>
        <v/>
      </c>
      <c r="E647" s="23" t="str">
        <f t="shared" si="93"/>
        <v/>
      </c>
      <c r="F647" s="23" t="str">
        <f ca="1">IF(A647="","",IF($B$10="Sí",interpolar_alamb(B647,OFFSET(Curvas_cupon_cero!$A$1,1,0,COUNT(Curvas_cupon_cero!$A:$A)-2,1),OFFSET(Curvas_cupon_cero!$A$1,1,MATCH($B$9,Curvas_cupon_cero!$1:$1,0)-1,COUNT(Curvas_cupon_cero!$A:$A)-2,1)),[1]!interpolar(B647,OFFSET(Curvas_cupon_cero!$A$1,1,0,COUNT(Curvas_cupon_cero!$A:$A)-2,1),OFFSET(Curvas_cupon_cero!$A$1,1,MATCH($B$9,Curvas_cupon_cero!$1:$1,0)-1,COUNT(Curvas_cupon_cero!$A:$A)-2,1))))</f>
        <v/>
      </c>
      <c r="G647" s="23" t="str">
        <f t="shared" si="94"/>
        <v/>
      </c>
      <c r="H647" s="20" t="str">
        <f t="shared" si="99"/>
        <v/>
      </c>
      <c r="I647" t="str">
        <f t="shared" si="95"/>
        <v/>
      </c>
      <c r="J647" s="17" t="str">
        <f t="shared" si="91"/>
        <v/>
      </c>
      <c r="K647" s="18" t="str">
        <f t="shared" si="96"/>
        <v/>
      </c>
      <c r="L647" t="str">
        <f t="shared" si="97"/>
        <v/>
      </c>
      <c r="M647" s="23" t="str">
        <f ca="1">IF(A647="","",IF($B$10="Sí",interpolar_alamb(L647,OFFSET(Curvas_cupon_cero!$A$1,1,0,COUNT(Curvas_cupon_cero!$A:$A)-2,1),OFFSET(Curvas_cupon_cero!$A$1,1,MATCH($B$6,Curvas_cupon_cero!$1:$1,0)-1,COUNT(Curvas_cupon_cero!$A:$A)-2,1)),[1]!interpolar(L647,OFFSET(Curvas_cupon_cero!$A$1,1,0,COUNT(Curvas_cupon_cero!$A:$A)-2,1),OFFSET(Curvas_cupon_cero!$A$1,1,MATCH($B$6,Curvas_cupon_cero!$1:$1,0)-1,COUNT(Curvas_cupon_cero!$A:$A)-2,1))))</f>
        <v/>
      </c>
      <c r="N647" s="23"/>
      <c r="O647" s="19" t="str">
        <f t="shared" si="98"/>
        <v/>
      </c>
    </row>
    <row r="648" spans="1:15" x14ac:dyDescent="0.2">
      <c r="A648" s="12" t="str">
        <f t="shared" si="92"/>
        <v/>
      </c>
      <c r="B648" t="str">
        <f t="shared" si="90"/>
        <v/>
      </c>
      <c r="C648" s="21" t="str">
        <f ca="1">IF(A648="","",IF($B$10="Sí",interpolar_alamb(B648,OFFSET(Curvas_cupon_cero!$A$1,1,0,COUNT(Curvas_cupon_cero!$A:$A)-2,1),OFFSET(Curvas_cupon_cero!$A$1,1,MATCH($B$8,Curvas_cupon_cero!$1:$1,0)-1,COUNT(Curvas_cupon_cero!$A:$A)-2,1)),[1]!interpolar(B648,OFFSET(Curvas_cupon_cero!$A$1,1,0,COUNT(Curvas_cupon_cero!$A:$A)-2,1),OFFSET(Curvas_cupon_cero!$A$1,1,MATCH($B$8,Curvas_cupon_cero!$1:$1,0)-1,COUNT(Curvas_cupon_cero!$A:$A)-2,1))))</f>
        <v/>
      </c>
      <c r="D648" s="23" t="str">
        <f ca="1">IF(A648="","",IF($B$10="Sí",interpolar_alamb(L648,OFFSET(Curvas_cupon_cero!$A$1,1,0,COUNT(Curvas_cupon_cero!$A:$A)-2,1),OFFSET(Curvas_cupon_cero!$A$1,1,MATCH($B$8,Curvas_cupon_cero!$1:$1,0)-1,COUNT(Curvas_cupon_cero!$A:$A)-2,1)),[1]!interpolar(L648,OFFSET(Curvas_cupon_cero!$A$1,1,0,COUNT(Curvas_cupon_cero!$A:$A)-2,1),OFFSET(Curvas_cupon_cero!$A$1,1,MATCH($B$8,Curvas_cupon_cero!$1:$1,0)-1,COUNT(Curvas_cupon_cero!$A:$A)-2,1))))</f>
        <v/>
      </c>
      <c r="E648" s="23" t="str">
        <f t="shared" si="93"/>
        <v/>
      </c>
      <c r="F648" s="23" t="str">
        <f ca="1">IF(A648="","",IF($B$10="Sí",interpolar_alamb(B648,OFFSET(Curvas_cupon_cero!$A$1,1,0,COUNT(Curvas_cupon_cero!$A:$A)-2,1),OFFSET(Curvas_cupon_cero!$A$1,1,MATCH($B$9,Curvas_cupon_cero!$1:$1,0)-1,COUNT(Curvas_cupon_cero!$A:$A)-2,1)),[1]!interpolar(B648,OFFSET(Curvas_cupon_cero!$A$1,1,0,COUNT(Curvas_cupon_cero!$A:$A)-2,1),OFFSET(Curvas_cupon_cero!$A$1,1,MATCH($B$9,Curvas_cupon_cero!$1:$1,0)-1,COUNT(Curvas_cupon_cero!$A:$A)-2,1))))</f>
        <v/>
      </c>
      <c r="G648" s="23" t="str">
        <f t="shared" si="94"/>
        <v/>
      </c>
      <c r="H648" s="20" t="str">
        <f t="shared" si="99"/>
        <v/>
      </c>
      <c r="I648" t="str">
        <f t="shared" si="95"/>
        <v/>
      </c>
      <c r="J648" s="17" t="str">
        <f t="shared" si="91"/>
        <v/>
      </c>
      <c r="K648" s="18" t="str">
        <f t="shared" si="96"/>
        <v/>
      </c>
      <c r="L648" t="str">
        <f t="shared" si="97"/>
        <v/>
      </c>
      <c r="M648" s="23" t="str">
        <f ca="1">IF(A648="","",IF($B$10="Sí",interpolar_alamb(L648,OFFSET(Curvas_cupon_cero!$A$1,1,0,COUNT(Curvas_cupon_cero!$A:$A)-2,1),OFFSET(Curvas_cupon_cero!$A$1,1,MATCH($B$6,Curvas_cupon_cero!$1:$1,0)-1,COUNT(Curvas_cupon_cero!$A:$A)-2,1)),[1]!interpolar(L648,OFFSET(Curvas_cupon_cero!$A$1,1,0,COUNT(Curvas_cupon_cero!$A:$A)-2,1),OFFSET(Curvas_cupon_cero!$A$1,1,MATCH($B$6,Curvas_cupon_cero!$1:$1,0)-1,COUNT(Curvas_cupon_cero!$A:$A)-2,1))))</f>
        <v/>
      </c>
      <c r="N648" s="23"/>
      <c r="O648" s="19" t="str">
        <f t="shared" si="98"/>
        <v/>
      </c>
    </row>
    <row r="649" spans="1:15" x14ac:dyDescent="0.2">
      <c r="A649" s="12" t="str">
        <f t="shared" si="92"/>
        <v/>
      </c>
      <c r="B649" t="str">
        <f t="shared" si="90"/>
        <v/>
      </c>
      <c r="C649" s="21" t="str">
        <f ca="1">IF(A649="","",IF($B$10="Sí",interpolar_alamb(B649,OFFSET(Curvas_cupon_cero!$A$1,1,0,COUNT(Curvas_cupon_cero!$A:$A)-2,1),OFFSET(Curvas_cupon_cero!$A$1,1,MATCH($B$8,Curvas_cupon_cero!$1:$1,0)-1,COUNT(Curvas_cupon_cero!$A:$A)-2,1)),[1]!interpolar(B649,OFFSET(Curvas_cupon_cero!$A$1,1,0,COUNT(Curvas_cupon_cero!$A:$A)-2,1),OFFSET(Curvas_cupon_cero!$A$1,1,MATCH($B$8,Curvas_cupon_cero!$1:$1,0)-1,COUNT(Curvas_cupon_cero!$A:$A)-2,1))))</f>
        <v/>
      </c>
      <c r="D649" s="23" t="str">
        <f ca="1">IF(A649="","",IF($B$10="Sí",interpolar_alamb(L649,OFFSET(Curvas_cupon_cero!$A$1,1,0,COUNT(Curvas_cupon_cero!$A:$A)-2,1),OFFSET(Curvas_cupon_cero!$A$1,1,MATCH($B$8,Curvas_cupon_cero!$1:$1,0)-1,COUNT(Curvas_cupon_cero!$A:$A)-2,1)),[1]!interpolar(L649,OFFSET(Curvas_cupon_cero!$A$1,1,0,COUNT(Curvas_cupon_cero!$A:$A)-2,1),OFFSET(Curvas_cupon_cero!$A$1,1,MATCH($B$8,Curvas_cupon_cero!$1:$1,0)-1,COUNT(Curvas_cupon_cero!$A:$A)-2,1))))</f>
        <v/>
      </c>
      <c r="E649" s="23" t="str">
        <f t="shared" si="93"/>
        <v/>
      </c>
      <c r="F649" s="23" t="str">
        <f ca="1">IF(A649="","",IF($B$10="Sí",interpolar_alamb(B649,OFFSET(Curvas_cupon_cero!$A$1,1,0,COUNT(Curvas_cupon_cero!$A:$A)-2,1),OFFSET(Curvas_cupon_cero!$A$1,1,MATCH($B$9,Curvas_cupon_cero!$1:$1,0)-1,COUNT(Curvas_cupon_cero!$A:$A)-2,1)),[1]!interpolar(B649,OFFSET(Curvas_cupon_cero!$A$1,1,0,COUNT(Curvas_cupon_cero!$A:$A)-2,1),OFFSET(Curvas_cupon_cero!$A$1,1,MATCH($B$9,Curvas_cupon_cero!$1:$1,0)-1,COUNT(Curvas_cupon_cero!$A:$A)-2,1))))</f>
        <v/>
      </c>
      <c r="G649" s="23" t="str">
        <f t="shared" si="94"/>
        <v/>
      </c>
      <c r="H649" s="20" t="str">
        <f t="shared" si="99"/>
        <v/>
      </c>
      <c r="I649" t="str">
        <f t="shared" si="95"/>
        <v/>
      </c>
      <c r="J649" s="17" t="str">
        <f t="shared" si="91"/>
        <v/>
      </c>
      <c r="K649" s="18" t="str">
        <f t="shared" si="96"/>
        <v/>
      </c>
      <c r="L649" t="str">
        <f t="shared" si="97"/>
        <v/>
      </c>
      <c r="M649" s="23" t="str">
        <f ca="1">IF(A649="","",IF($B$10="Sí",interpolar_alamb(L649,OFFSET(Curvas_cupon_cero!$A$1,1,0,COUNT(Curvas_cupon_cero!$A:$A)-2,1),OFFSET(Curvas_cupon_cero!$A$1,1,MATCH($B$6,Curvas_cupon_cero!$1:$1,0)-1,COUNT(Curvas_cupon_cero!$A:$A)-2,1)),[1]!interpolar(L649,OFFSET(Curvas_cupon_cero!$A$1,1,0,COUNT(Curvas_cupon_cero!$A:$A)-2,1),OFFSET(Curvas_cupon_cero!$A$1,1,MATCH($B$6,Curvas_cupon_cero!$1:$1,0)-1,COUNT(Curvas_cupon_cero!$A:$A)-2,1))))</f>
        <v/>
      </c>
      <c r="N649" s="23"/>
      <c r="O649" s="19" t="str">
        <f t="shared" si="98"/>
        <v/>
      </c>
    </row>
    <row r="650" spans="1:15" x14ac:dyDescent="0.2">
      <c r="A650" s="12" t="str">
        <f t="shared" si="92"/>
        <v/>
      </c>
      <c r="B650" t="str">
        <f t="shared" si="90"/>
        <v/>
      </c>
      <c r="C650" s="21" t="str">
        <f ca="1">IF(A650="","",IF($B$10="Sí",interpolar_alamb(B650,OFFSET(Curvas_cupon_cero!$A$1,1,0,COUNT(Curvas_cupon_cero!$A:$A)-2,1),OFFSET(Curvas_cupon_cero!$A$1,1,MATCH($B$8,Curvas_cupon_cero!$1:$1,0)-1,COUNT(Curvas_cupon_cero!$A:$A)-2,1)),[1]!interpolar(B650,OFFSET(Curvas_cupon_cero!$A$1,1,0,COUNT(Curvas_cupon_cero!$A:$A)-2,1),OFFSET(Curvas_cupon_cero!$A$1,1,MATCH($B$8,Curvas_cupon_cero!$1:$1,0)-1,COUNT(Curvas_cupon_cero!$A:$A)-2,1))))</f>
        <v/>
      </c>
      <c r="D650" s="23" t="str">
        <f ca="1">IF(A650="","",IF($B$10="Sí",interpolar_alamb(L650,OFFSET(Curvas_cupon_cero!$A$1,1,0,COUNT(Curvas_cupon_cero!$A:$A)-2,1),OFFSET(Curvas_cupon_cero!$A$1,1,MATCH($B$8,Curvas_cupon_cero!$1:$1,0)-1,COUNT(Curvas_cupon_cero!$A:$A)-2,1)),[1]!interpolar(L650,OFFSET(Curvas_cupon_cero!$A$1,1,0,COUNT(Curvas_cupon_cero!$A:$A)-2,1),OFFSET(Curvas_cupon_cero!$A$1,1,MATCH($B$8,Curvas_cupon_cero!$1:$1,0)-1,COUNT(Curvas_cupon_cero!$A:$A)-2,1))))</f>
        <v/>
      </c>
      <c r="E650" s="23" t="str">
        <f t="shared" si="93"/>
        <v/>
      </c>
      <c r="F650" s="23" t="str">
        <f ca="1">IF(A650="","",IF($B$10="Sí",interpolar_alamb(B650,OFFSET(Curvas_cupon_cero!$A$1,1,0,COUNT(Curvas_cupon_cero!$A:$A)-2,1),OFFSET(Curvas_cupon_cero!$A$1,1,MATCH($B$9,Curvas_cupon_cero!$1:$1,0)-1,COUNT(Curvas_cupon_cero!$A:$A)-2,1)),[1]!interpolar(B650,OFFSET(Curvas_cupon_cero!$A$1,1,0,COUNT(Curvas_cupon_cero!$A:$A)-2,1),OFFSET(Curvas_cupon_cero!$A$1,1,MATCH($B$9,Curvas_cupon_cero!$1:$1,0)-1,COUNT(Curvas_cupon_cero!$A:$A)-2,1))))</f>
        <v/>
      </c>
      <c r="G650" s="23" t="str">
        <f t="shared" si="94"/>
        <v/>
      </c>
      <c r="H650" s="20" t="str">
        <f t="shared" si="99"/>
        <v/>
      </c>
      <c r="I650" t="str">
        <f t="shared" si="95"/>
        <v/>
      </c>
      <c r="J650" s="17" t="str">
        <f t="shared" si="91"/>
        <v/>
      </c>
      <c r="K650" s="18" t="str">
        <f t="shared" si="96"/>
        <v/>
      </c>
      <c r="L650" t="str">
        <f t="shared" si="97"/>
        <v/>
      </c>
      <c r="M650" s="23" t="str">
        <f ca="1">IF(A650="","",IF($B$10="Sí",interpolar_alamb(L650,OFFSET(Curvas_cupon_cero!$A$1,1,0,COUNT(Curvas_cupon_cero!$A:$A)-2,1),OFFSET(Curvas_cupon_cero!$A$1,1,MATCH($B$6,Curvas_cupon_cero!$1:$1,0)-1,COUNT(Curvas_cupon_cero!$A:$A)-2,1)),[1]!interpolar(L650,OFFSET(Curvas_cupon_cero!$A$1,1,0,COUNT(Curvas_cupon_cero!$A:$A)-2,1),OFFSET(Curvas_cupon_cero!$A$1,1,MATCH($B$6,Curvas_cupon_cero!$1:$1,0)-1,COUNT(Curvas_cupon_cero!$A:$A)-2,1))))</f>
        <v/>
      </c>
      <c r="N650" s="23"/>
      <c r="O650" s="19" t="str">
        <f t="shared" si="98"/>
        <v/>
      </c>
    </row>
    <row r="651" spans="1:15" x14ac:dyDescent="0.2">
      <c r="A651" s="12" t="str">
        <f t="shared" si="92"/>
        <v/>
      </c>
      <c r="B651" t="str">
        <f t="shared" si="90"/>
        <v/>
      </c>
      <c r="C651" s="21" t="str">
        <f ca="1">IF(A651="","",IF($B$10="Sí",interpolar_alamb(B651,OFFSET(Curvas_cupon_cero!$A$1,1,0,COUNT(Curvas_cupon_cero!$A:$A)-2,1),OFFSET(Curvas_cupon_cero!$A$1,1,MATCH($B$8,Curvas_cupon_cero!$1:$1,0)-1,COUNT(Curvas_cupon_cero!$A:$A)-2,1)),[1]!interpolar(B651,OFFSET(Curvas_cupon_cero!$A$1,1,0,COUNT(Curvas_cupon_cero!$A:$A)-2,1),OFFSET(Curvas_cupon_cero!$A$1,1,MATCH($B$8,Curvas_cupon_cero!$1:$1,0)-1,COUNT(Curvas_cupon_cero!$A:$A)-2,1))))</f>
        <v/>
      </c>
      <c r="D651" s="23" t="str">
        <f ca="1">IF(A651="","",IF($B$10="Sí",interpolar_alamb(L651,OFFSET(Curvas_cupon_cero!$A$1,1,0,COUNT(Curvas_cupon_cero!$A:$A)-2,1),OFFSET(Curvas_cupon_cero!$A$1,1,MATCH($B$8,Curvas_cupon_cero!$1:$1,0)-1,COUNT(Curvas_cupon_cero!$A:$A)-2,1)),[1]!interpolar(L651,OFFSET(Curvas_cupon_cero!$A$1,1,0,COUNT(Curvas_cupon_cero!$A:$A)-2,1),OFFSET(Curvas_cupon_cero!$A$1,1,MATCH($B$8,Curvas_cupon_cero!$1:$1,0)-1,COUNT(Curvas_cupon_cero!$A:$A)-2,1))))</f>
        <v/>
      </c>
      <c r="E651" s="23" t="str">
        <f t="shared" si="93"/>
        <v/>
      </c>
      <c r="F651" s="23" t="str">
        <f ca="1">IF(A651="","",IF($B$10="Sí",interpolar_alamb(B651,OFFSET(Curvas_cupon_cero!$A$1,1,0,COUNT(Curvas_cupon_cero!$A:$A)-2,1),OFFSET(Curvas_cupon_cero!$A$1,1,MATCH($B$9,Curvas_cupon_cero!$1:$1,0)-1,COUNT(Curvas_cupon_cero!$A:$A)-2,1)),[1]!interpolar(B651,OFFSET(Curvas_cupon_cero!$A$1,1,0,COUNT(Curvas_cupon_cero!$A:$A)-2,1),OFFSET(Curvas_cupon_cero!$A$1,1,MATCH($B$9,Curvas_cupon_cero!$1:$1,0)-1,COUNT(Curvas_cupon_cero!$A:$A)-2,1))))</f>
        <v/>
      </c>
      <c r="G651" s="23" t="str">
        <f t="shared" si="94"/>
        <v/>
      </c>
      <c r="H651" s="20" t="str">
        <f t="shared" si="99"/>
        <v/>
      </c>
      <c r="I651" t="str">
        <f t="shared" si="95"/>
        <v/>
      </c>
      <c r="J651" s="17" t="str">
        <f t="shared" si="91"/>
        <v/>
      </c>
      <c r="K651" s="18" t="str">
        <f t="shared" si="96"/>
        <v/>
      </c>
      <c r="L651" t="str">
        <f t="shared" si="97"/>
        <v/>
      </c>
      <c r="M651" s="23" t="str">
        <f ca="1">IF(A651="","",IF($B$10="Sí",interpolar_alamb(L651,OFFSET(Curvas_cupon_cero!$A$1,1,0,COUNT(Curvas_cupon_cero!$A:$A)-2,1),OFFSET(Curvas_cupon_cero!$A$1,1,MATCH($B$6,Curvas_cupon_cero!$1:$1,0)-1,COUNT(Curvas_cupon_cero!$A:$A)-2,1)),[1]!interpolar(L651,OFFSET(Curvas_cupon_cero!$A$1,1,0,COUNT(Curvas_cupon_cero!$A:$A)-2,1),OFFSET(Curvas_cupon_cero!$A$1,1,MATCH($B$6,Curvas_cupon_cero!$1:$1,0)-1,COUNT(Curvas_cupon_cero!$A:$A)-2,1))))</f>
        <v/>
      </c>
      <c r="N651" s="23"/>
      <c r="O651" s="19" t="str">
        <f t="shared" si="98"/>
        <v/>
      </c>
    </row>
    <row r="652" spans="1:15" x14ac:dyDescent="0.2">
      <c r="A652" s="12" t="str">
        <f t="shared" si="92"/>
        <v/>
      </c>
      <c r="B652" t="str">
        <f t="shared" si="90"/>
        <v/>
      </c>
      <c r="C652" s="21" t="str">
        <f ca="1">IF(A652="","",IF($B$10="Sí",interpolar_alamb(B652,OFFSET(Curvas_cupon_cero!$A$1,1,0,COUNT(Curvas_cupon_cero!$A:$A)-2,1),OFFSET(Curvas_cupon_cero!$A$1,1,MATCH($B$8,Curvas_cupon_cero!$1:$1,0)-1,COUNT(Curvas_cupon_cero!$A:$A)-2,1)),[1]!interpolar(B652,OFFSET(Curvas_cupon_cero!$A$1,1,0,COUNT(Curvas_cupon_cero!$A:$A)-2,1),OFFSET(Curvas_cupon_cero!$A$1,1,MATCH($B$8,Curvas_cupon_cero!$1:$1,0)-1,COUNT(Curvas_cupon_cero!$A:$A)-2,1))))</f>
        <v/>
      </c>
      <c r="D652" s="23" t="str">
        <f ca="1">IF(A652="","",IF($B$10="Sí",interpolar_alamb(L652,OFFSET(Curvas_cupon_cero!$A$1,1,0,COUNT(Curvas_cupon_cero!$A:$A)-2,1),OFFSET(Curvas_cupon_cero!$A$1,1,MATCH($B$8,Curvas_cupon_cero!$1:$1,0)-1,COUNT(Curvas_cupon_cero!$A:$A)-2,1)),[1]!interpolar(L652,OFFSET(Curvas_cupon_cero!$A$1,1,0,COUNT(Curvas_cupon_cero!$A:$A)-2,1),OFFSET(Curvas_cupon_cero!$A$1,1,MATCH($B$8,Curvas_cupon_cero!$1:$1,0)-1,COUNT(Curvas_cupon_cero!$A:$A)-2,1))))</f>
        <v/>
      </c>
      <c r="E652" s="23" t="str">
        <f t="shared" si="93"/>
        <v/>
      </c>
      <c r="F652" s="23" t="str">
        <f ca="1">IF(A652="","",IF($B$10="Sí",interpolar_alamb(B652,OFFSET(Curvas_cupon_cero!$A$1,1,0,COUNT(Curvas_cupon_cero!$A:$A)-2,1),OFFSET(Curvas_cupon_cero!$A$1,1,MATCH($B$9,Curvas_cupon_cero!$1:$1,0)-1,COUNT(Curvas_cupon_cero!$A:$A)-2,1)),[1]!interpolar(B652,OFFSET(Curvas_cupon_cero!$A$1,1,0,COUNT(Curvas_cupon_cero!$A:$A)-2,1),OFFSET(Curvas_cupon_cero!$A$1,1,MATCH($B$9,Curvas_cupon_cero!$1:$1,0)-1,COUNT(Curvas_cupon_cero!$A:$A)-2,1))))</f>
        <v/>
      </c>
      <c r="G652" s="23" t="str">
        <f t="shared" si="94"/>
        <v/>
      </c>
      <c r="H652" s="20" t="str">
        <f t="shared" si="99"/>
        <v/>
      </c>
      <c r="I652" t="str">
        <f t="shared" si="95"/>
        <v/>
      </c>
      <c r="J652" s="17" t="str">
        <f t="shared" si="91"/>
        <v/>
      </c>
      <c r="K652" s="18" t="str">
        <f t="shared" si="96"/>
        <v/>
      </c>
      <c r="L652" t="str">
        <f t="shared" si="97"/>
        <v/>
      </c>
      <c r="M652" s="23" t="str">
        <f ca="1">IF(A652="","",IF($B$10="Sí",interpolar_alamb(L652,OFFSET(Curvas_cupon_cero!$A$1,1,0,COUNT(Curvas_cupon_cero!$A:$A)-2,1),OFFSET(Curvas_cupon_cero!$A$1,1,MATCH($B$6,Curvas_cupon_cero!$1:$1,0)-1,COUNT(Curvas_cupon_cero!$A:$A)-2,1)),[1]!interpolar(L652,OFFSET(Curvas_cupon_cero!$A$1,1,0,COUNT(Curvas_cupon_cero!$A:$A)-2,1),OFFSET(Curvas_cupon_cero!$A$1,1,MATCH($B$6,Curvas_cupon_cero!$1:$1,0)-1,COUNT(Curvas_cupon_cero!$A:$A)-2,1))))</f>
        <v/>
      </c>
      <c r="N652" s="23"/>
      <c r="O652" s="19" t="str">
        <f t="shared" si="98"/>
        <v/>
      </c>
    </row>
    <row r="653" spans="1:15" x14ac:dyDescent="0.2">
      <c r="A653" s="12" t="str">
        <f t="shared" si="92"/>
        <v/>
      </c>
      <c r="B653" t="str">
        <f t="shared" si="90"/>
        <v/>
      </c>
      <c r="C653" s="21" t="str">
        <f ca="1">IF(A653="","",IF($B$10="Sí",interpolar_alamb(B653,OFFSET(Curvas_cupon_cero!$A$1,1,0,COUNT(Curvas_cupon_cero!$A:$A)-2,1),OFFSET(Curvas_cupon_cero!$A$1,1,MATCH($B$8,Curvas_cupon_cero!$1:$1,0)-1,COUNT(Curvas_cupon_cero!$A:$A)-2,1)),[1]!interpolar(B653,OFFSET(Curvas_cupon_cero!$A$1,1,0,COUNT(Curvas_cupon_cero!$A:$A)-2,1),OFFSET(Curvas_cupon_cero!$A$1,1,MATCH($B$8,Curvas_cupon_cero!$1:$1,0)-1,COUNT(Curvas_cupon_cero!$A:$A)-2,1))))</f>
        <v/>
      </c>
      <c r="D653" s="23" t="str">
        <f ca="1">IF(A653="","",IF($B$10="Sí",interpolar_alamb(L653,OFFSET(Curvas_cupon_cero!$A$1,1,0,COUNT(Curvas_cupon_cero!$A:$A)-2,1),OFFSET(Curvas_cupon_cero!$A$1,1,MATCH($B$8,Curvas_cupon_cero!$1:$1,0)-1,COUNT(Curvas_cupon_cero!$A:$A)-2,1)),[1]!interpolar(L653,OFFSET(Curvas_cupon_cero!$A$1,1,0,COUNT(Curvas_cupon_cero!$A:$A)-2,1),OFFSET(Curvas_cupon_cero!$A$1,1,MATCH($B$8,Curvas_cupon_cero!$1:$1,0)-1,COUNT(Curvas_cupon_cero!$A:$A)-2,1))))</f>
        <v/>
      </c>
      <c r="E653" s="23" t="str">
        <f t="shared" si="93"/>
        <v/>
      </c>
      <c r="F653" s="23" t="str">
        <f ca="1">IF(A653="","",IF($B$10="Sí",interpolar_alamb(B653,OFFSET(Curvas_cupon_cero!$A$1,1,0,COUNT(Curvas_cupon_cero!$A:$A)-2,1),OFFSET(Curvas_cupon_cero!$A$1,1,MATCH($B$9,Curvas_cupon_cero!$1:$1,0)-1,COUNT(Curvas_cupon_cero!$A:$A)-2,1)),[1]!interpolar(B653,OFFSET(Curvas_cupon_cero!$A$1,1,0,COUNT(Curvas_cupon_cero!$A:$A)-2,1),OFFSET(Curvas_cupon_cero!$A$1,1,MATCH($B$9,Curvas_cupon_cero!$1:$1,0)-1,COUNT(Curvas_cupon_cero!$A:$A)-2,1))))</f>
        <v/>
      </c>
      <c r="G653" s="23" t="str">
        <f t="shared" si="94"/>
        <v/>
      </c>
      <c r="H653" s="20" t="str">
        <f t="shared" si="99"/>
        <v/>
      </c>
      <c r="I653" t="str">
        <f t="shared" si="95"/>
        <v/>
      </c>
      <c r="J653" s="17" t="str">
        <f t="shared" si="91"/>
        <v/>
      </c>
      <c r="K653" s="18" t="str">
        <f t="shared" si="96"/>
        <v/>
      </c>
      <c r="L653" t="str">
        <f t="shared" si="97"/>
        <v/>
      </c>
      <c r="M653" s="23" t="str">
        <f ca="1">IF(A653="","",IF($B$10="Sí",interpolar_alamb(L653,OFFSET(Curvas_cupon_cero!$A$1,1,0,COUNT(Curvas_cupon_cero!$A:$A)-2,1),OFFSET(Curvas_cupon_cero!$A$1,1,MATCH($B$6,Curvas_cupon_cero!$1:$1,0)-1,COUNT(Curvas_cupon_cero!$A:$A)-2,1)),[1]!interpolar(L653,OFFSET(Curvas_cupon_cero!$A$1,1,0,COUNT(Curvas_cupon_cero!$A:$A)-2,1),OFFSET(Curvas_cupon_cero!$A$1,1,MATCH($B$6,Curvas_cupon_cero!$1:$1,0)-1,COUNT(Curvas_cupon_cero!$A:$A)-2,1))))</f>
        <v/>
      </c>
      <c r="N653" s="23"/>
      <c r="O653" s="19" t="str">
        <f t="shared" si="98"/>
        <v/>
      </c>
    </row>
    <row r="654" spans="1:15" x14ac:dyDescent="0.2">
      <c r="A654" s="12" t="str">
        <f t="shared" si="92"/>
        <v/>
      </c>
      <c r="B654" t="str">
        <f t="shared" si="90"/>
        <v/>
      </c>
      <c r="C654" s="21" t="str">
        <f ca="1">IF(A654="","",IF($B$10="Sí",interpolar_alamb(B654,OFFSET(Curvas_cupon_cero!$A$1,1,0,COUNT(Curvas_cupon_cero!$A:$A)-2,1),OFFSET(Curvas_cupon_cero!$A$1,1,MATCH($B$8,Curvas_cupon_cero!$1:$1,0)-1,COUNT(Curvas_cupon_cero!$A:$A)-2,1)),[1]!interpolar(B654,OFFSET(Curvas_cupon_cero!$A$1,1,0,COUNT(Curvas_cupon_cero!$A:$A)-2,1),OFFSET(Curvas_cupon_cero!$A$1,1,MATCH($B$8,Curvas_cupon_cero!$1:$1,0)-1,COUNT(Curvas_cupon_cero!$A:$A)-2,1))))</f>
        <v/>
      </c>
      <c r="D654" s="23" t="str">
        <f ca="1">IF(A654="","",IF($B$10="Sí",interpolar_alamb(L654,OFFSET(Curvas_cupon_cero!$A$1,1,0,COUNT(Curvas_cupon_cero!$A:$A)-2,1),OFFSET(Curvas_cupon_cero!$A$1,1,MATCH($B$8,Curvas_cupon_cero!$1:$1,0)-1,COUNT(Curvas_cupon_cero!$A:$A)-2,1)),[1]!interpolar(L654,OFFSET(Curvas_cupon_cero!$A$1,1,0,COUNT(Curvas_cupon_cero!$A:$A)-2,1),OFFSET(Curvas_cupon_cero!$A$1,1,MATCH($B$8,Curvas_cupon_cero!$1:$1,0)-1,COUNT(Curvas_cupon_cero!$A:$A)-2,1))))</f>
        <v/>
      </c>
      <c r="E654" s="23" t="str">
        <f t="shared" si="93"/>
        <v/>
      </c>
      <c r="F654" s="23" t="str">
        <f ca="1">IF(A654="","",IF($B$10="Sí",interpolar_alamb(B654,OFFSET(Curvas_cupon_cero!$A$1,1,0,COUNT(Curvas_cupon_cero!$A:$A)-2,1),OFFSET(Curvas_cupon_cero!$A$1,1,MATCH($B$9,Curvas_cupon_cero!$1:$1,0)-1,COUNT(Curvas_cupon_cero!$A:$A)-2,1)),[1]!interpolar(B654,OFFSET(Curvas_cupon_cero!$A$1,1,0,COUNT(Curvas_cupon_cero!$A:$A)-2,1),OFFSET(Curvas_cupon_cero!$A$1,1,MATCH($B$9,Curvas_cupon_cero!$1:$1,0)-1,COUNT(Curvas_cupon_cero!$A:$A)-2,1))))</f>
        <v/>
      </c>
      <c r="G654" s="23" t="str">
        <f t="shared" si="94"/>
        <v/>
      </c>
      <c r="H654" s="20" t="str">
        <f t="shared" si="99"/>
        <v/>
      </c>
      <c r="I654" t="str">
        <f t="shared" si="95"/>
        <v/>
      </c>
      <c r="J654" s="17" t="str">
        <f t="shared" si="91"/>
        <v/>
      </c>
      <c r="K654" s="18" t="str">
        <f t="shared" si="96"/>
        <v/>
      </c>
      <c r="L654" t="str">
        <f t="shared" si="97"/>
        <v/>
      </c>
      <c r="M654" s="23" t="str">
        <f ca="1">IF(A654="","",IF($B$10="Sí",interpolar_alamb(L654,OFFSET(Curvas_cupon_cero!$A$1,1,0,COUNT(Curvas_cupon_cero!$A:$A)-2,1),OFFSET(Curvas_cupon_cero!$A$1,1,MATCH($B$6,Curvas_cupon_cero!$1:$1,0)-1,COUNT(Curvas_cupon_cero!$A:$A)-2,1)),[1]!interpolar(L654,OFFSET(Curvas_cupon_cero!$A$1,1,0,COUNT(Curvas_cupon_cero!$A:$A)-2,1),OFFSET(Curvas_cupon_cero!$A$1,1,MATCH($B$6,Curvas_cupon_cero!$1:$1,0)-1,COUNT(Curvas_cupon_cero!$A:$A)-2,1))))</f>
        <v/>
      </c>
      <c r="N654" s="23"/>
      <c r="O654" s="19" t="str">
        <f t="shared" si="98"/>
        <v/>
      </c>
    </row>
    <row r="655" spans="1:15" x14ac:dyDescent="0.2">
      <c r="A655" s="12" t="str">
        <f t="shared" si="92"/>
        <v/>
      </c>
      <c r="B655" t="str">
        <f t="shared" si="90"/>
        <v/>
      </c>
      <c r="C655" s="21" t="str">
        <f ca="1">IF(A655="","",IF($B$10="Sí",interpolar_alamb(B655,OFFSET(Curvas_cupon_cero!$A$1,1,0,COUNT(Curvas_cupon_cero!$A:$A)-2,1),OFFSET(Curvas_cupon_cero!$A$1,1,MATCH($B$8,Curvas_cupon_cero!$1:$1,0)-1,COUNT(Curvas_cupon_cero!$A:$A)-2,1)),[1]!interpolar(B655,OFFSET(Curvas_cupon_cero!$A$1,1,0,COUNT(Curvas_cupon_cero!$A:$A)-2,1),OFFSET(Curvas_cupon_cero!$A$1,1,MATCH($B$8,Curvas_cupon_cero!$1:$1,0)-1,COUNT(Curvas_cupon_cero!$A:$A)-2,1))))</f>
        <v/>
      </c>
      <c r="D655" s="23" t="str">
        <f ca="1">IF(A655="","",IF($B$10="Sí",interpolar_alamb(L655,OFFSET(Curvas_cupon_cero!$A$1,1,0,COUNT(Curvas_cupon_cero!$A:$A)-2,1),OFFSET(Curvas_cupon_cero!$A$1,1,MATCH($B$8,Curvas_cupon_cero!$1:$1,0)-1,COUNT(Curvas_cupon_cero!$A:$A)-2,1)),[1]!interpolar(L655,OFFSET(Curvas_cupon_cero!$A$1,1,0,COUNT(Curvas_cupon_cero!$A:$A)-2,1),OFFSET(Curvas_cupon_cero!$A$1,1,MATCH($B$8,Curvas_cupon_cero!$1:$1,0)-1,COUNT(Curvas_cupon_cero!$A:$A)-2,1))))</f>
        <v/>
      </c>
      <c r="E655" s="23" t="str">
        <f t="shared" si="93"/>
        <v/>
      </c>
      <c r="F655" s="23" t="str">
        <f ca="1">IF(A655="","",IF($B$10="Sí",interpolar_alamb(B655,OFFSET(Curvas_cupon_cero!$A$1,1,0,COUNT(Curvas_cupon_cero!$A:$A)-2,1),OFFSET(Curvas_cupon_cero!$A$1,1,MATCH($B$9,Curvas_cupon_cero!$1:$1,0)-1,COUNT(Curvas_cupon_cero!$A:$A)-2,1)),[1]!interpolar(B655,OFFSET(Curvas_cupon_cero!$A$1,1,0,COUNT(Curvas_cupon_cero!$A:$A)-2,1),OFFSET(Curvas_cupon_cero!$A$1,1,MATCH($B$9,Curvas_cupon_cero!$1:$1,0)-1,COUNT(Curvas_cupon_cero!$A:$A)-2,1))))</f>
        <v/>
      </c>
      <c r="G655" s="23" t="str">
        <f t="shared" si="94"/>
        <v/>
      </c>
      <c r="H655" s="20" t="str">
        <f t="shared" si="99"/>
        <v/>
      </c>
      <c r="I655" t="str">
        <f t="shared" si="95"/>
        <v/>
      </c>
      <c r="J655" s="17" t="str">
        <f t="shared" si="91"/>
        <v/>
      </c>
      <c r="K655" s="18" t="str">
        <f t="shared" si="96"/>
        <v/>
      </c>
      <c r="L655" t="str">
        <f t="shared" si="97"/>
        <v/>
      </c>
      <c r="M655" s="23" t="str">
        <f ca="1">IF(A655="","",IF($B$10="Sí",interpolar_alamb(L655,OFFSET(Curvas_cupon_cero!$A$1,1,0,COUNT(Curvas_cupon_cero!$A:$A)-2,1),OFFSET(Curvas_cupon_cero!$A$1,1,MATCH($B$6,Curvas_cupon_cero!$1:$1,0)-1,COUNT(Curvas_cupon_cero!$A:$A)-2,1)),[1]!interpolar(L655,OFFSET(Curvas_cupon_cero!$A$1,1,0,COUNT(Curvas_cupon_cero!$A:$A)-2,1),OFFSET(Curvas_cupon_cero!$A$1,1,MATCH($B$6,Curvas_cupon_cero!$1:$1,0)-1,COUNT(Curvas_cupon_cero!$A:$A)-2,1))))</f>
        <v/>
      </c>
      <c r="N655" s="23"/>
      <c r="O655" s="19" t="str">
        <f t="shared" si="98"/>
        <v/>
      </c>
    </row>
    <row r="656" spans="1:15" x14ac:dyDescent="0.2">
      <c r="A656" s="12" t="str">
        <f t="shared" si="92"/>
        <v/>
      </c>
      <c r="B656" t="str">
        <f t="shared" si="90"/>
        <v/>
      </c>
      <c r="C656" s="21" t="str">
        <f ca="1">IF(A656="","",IF($B$10="Sí",interpolar_alamb(B656,OFFSET(Curvas_cupon_cero!$A$1,1,0,COUNT(Curvas_cupon_cero!$A:$A)-2,1),OFFSET(Curvas_cupon_cero!$A$1,1,MATCH($B$8,Curvas_cupon_cero!$1:$1,0)-1,COUNT(Curvas_cupon_cero!$A:$A)-2,1)),[1]!interpolar(B656,OFFSET(Curvas_cupon_cero!$A$1,1,0,COUNT(Curvas_cupon_cero!$A:$A)-2,1),OFFSET(Curvas_cupon_cero!$A$1,1,MATCH($B$8,Curvas_cupon_cero!$1:$1,0)-1,COUNT(Curvas_cupon_cero!$A:$A)-2,1))))</f>
        <v/>
      </c>
      <c r="D656" s="23" t="str">
        <f ca="1">IF(A656="","",IF($B$10="Sí",interpolar_alamb(L656,OFFSET(Curvas_cupon_cero!$A$1,1,0,COUNT(Curvas_cupon_cero!$A:$A)-2,1),OFFSET(Curvas_cupon_cero!$A$1,1,MATCH($B$8,Curvas_cupon_cero!$1:$1,0)-1,COUNT(Curvas_cupon_cero!$A:$A)-2,1)),[1]!interpolar(L656,OFFSET(Curvas_cupon_cero!$A$1,1,0,COUNT(Curvas_cupon_cero!$A:$A)-2,1),OFFSET(Curvas_cupon_cero!$A$1,1,MATCH($B$8,Curvas_cupon_cero!$1:$1,0)-1,COUNT(Curvas_cupon_cero!$A:$A)-2,1))))</f>
        <v/>
      </c>
      <c r="E656" s="23" t="str">
        <f t="shared" si="93"/>
        <v/>
      </c>
      <c r="F656" s="23" t="str">
        <f ca="1">IF(A656="","",IF($B$10="Sí",interpolar_alamb(B656,OFFSET(Curvas_cupon_cero!$A$1,1,0,COUNT(Curvas_cupon_cero!$A:$A)-2,1),OFFSET(Curvas_cupon_cero!$A$1,1,MATCH($B$9,Curvas_cupon_cero!$1:$1,0)-1,COUNT(Curvas_cupon_cero!$A:$A)-2,1)),[1]!interpolar(B656,OFFSET(Curvas_cupon_cero!$A$1,1,0,COUNT(Curvas_cupon_cero!$A:$A)-2,1),OFFSET(Curvas_cupon_cero!$A$1,1,MATCH($B$9,Curvas_cupon_cero!$1:$1,0)-1,COUNT(Curvas_cupon_cero!$A:$A)-2,1))))</f>
        <v/>
      </c>
      <c r="G656" s="23" t="str">
        <f t="shared" si="94"/>
        <v/>
      </c>
      <c r="H656" s="20" t="str">
        <f t="shared" si="99"/>
        <v/>
      </c>
      <c r="I656" t="str">
        <f t="shared" si="95"/>
        <v/>
      </c>
      <c r="J656" s="17" t="str">
        <f t="shared" si="91"/>
        <v/>
      </c>
      <c r="K656" s="18" t="str">
        <f t="shared" si="96"/>
        <v/>
      </c>
      <c r="L656" t="str">
        <f t="shared" si="97"/>
        <v/>
      </c>
      <c r="M656" s="23" t="str">
        <f ca="1">IF(A656="","",IF($B$10="Sí",interpolar_alamb(L656,OFFSET(Curvas_cupon_cero!$A$1,1,0,COUNT(Curvas_cupon_cero!$A:$A)-2,1),OFFSET(Curvas_cupon_cero!$A$1,1,MATCH($B$6,Curvas_cupon_cero!$1:$1,0)-1,COUNT(Curvas_cupon_cero!$A:$A)-2,1)),[1]!interpolar(L656,OFFSET(Curvas_cupon_cero!$A$1,1,0,COUNT(Curvas_cupon_cero!$A:$A)-2,1),OFFSET(Curvas_cupon_cero!$A$1,1,MATCH($B$6,Curvas_cupon_cero!$1:$1,0)-1,COUNT(Curvas_cupon_cero!$A:$A)-2,1))))</f>
        <v/>
      </c>
      <c r="N656" s="23"/>
      <c r="O656" s="19" t="str">
        <f t="shared" si="98"/>
        <v/>
      </c>
    </row>
    <row r="657" spans="1:15" x14ac:dyDescent="0.2">
      <c r="A657" s="12" t="str">
        <f t="shared" si="92"/>
        <v/>
      </c>
      <c r="B657" t="str">
        <f t="shared" ref="B657:B690" si="100">IF(A657="","",MAX(L657-$B$5,0))</f>
        <v/>
      </c>
      <c r="C657" s="21" t="str">
        <f ca="1">IF(A657="","",IF($B$10="Sí",interpolar_alamb(B657,OFFSET(Curvas_cupon_cero!$A$1,1,0,COUNT(Curvas_cupon_cero!$A:$A)-2,1),OFFSET(Curvas_cupon_cero!$A$1,1,MATCH($B$8,Curvas_cupon_cero!$1:$1,0)-1,COUNT(Curvas_cupon_cero!$A:$A)-2,1)),[1]!interpolar(B657,OFFSET(Curvas_cupon_cero!$A$1,1,0,COUNT(Curvas_cupon_cero!$A:$A)-2,1),OFFSET(Curvas_cupon_cero!$A$1,1,MATCH($B$8,Curvas_cupon_cero!$1:$1,0)-1,COUNT(Curvas_cupon_cero!$A:$A)-2,1))))</f>
        <v/>
      </c>
      <c r="D657" s="23" t="str">
        <f ca="1">IF(A657="","",IF($B$10="Sí",interpolar_alamb(L657,OFFSET(Curvas_cupon_cero!$A$1,1,0,COUNT(Curvas_cupon_cero!$A:$A)-2,1),OFFSET(Curvas_cupon_cero!$A$1,1,MATCH($B$8,Curvas_cupon_cero!$1:$1,0)-1,COUNT(Curvas_cupon_cero!$A:$A)-2,1)),[1]!interpolar(L657,OFFSET(Curvas_cupon_cero!$A$1,1,0,COUNT(Curvas_cupon_cero!$A:$A)-2,1),OFFSET(Curvas_cupon_cero!$A$1,1,MATCH($B$8,Curvas_cupon_cero!$1:$1,0)-1,COUNT(Curvas_cupon_cero!$A:$A)-2,1))))</f>
        <v/>
      </c>
      <c r="E657" s="23" t="str">
        <f t="shared" si="93"/>
        <v/>
      </c>
      <c r="F657" s="23" t="str">
        <f ca="1">IF(A657="","",IF($B$10="Sí",interpolar_alamb(B657,OFFSET(Curvas_cupon_cero!$A$1,1,0,COUNT(Curvas_cupon_cero!$A:$A)-2,1),OFFSET(Curvas_cupon_cero!$A$1,1,MATCH($B$9,Curvas_cupon_cero!$1:$1,0)-1,COUNT(Curvas_cupon_cero!$A:$A)-2,1)),[1]!interpolar(B657,OFFSET(Curvas_cupon_cero!$A$1,1,0,COUNT(Curvas_cupon_cero!$A:$A)-2,1),OFFSET(Curvas_cupon_cero!$A$1,1,MATCH($B$9,Curvas_cupon_cero!$1:$1,0)-1,COUNT(Curvas_cupon_cero!$A:$A)-2,1))))</f>
        <v/>
      </c>
      <c r="G657" s="23" t="str">
        <f t="shared" si="94"/>
        <v/>
      </c>
      <c r="H657" s="20" t="str">
        <f t="shared" si="99"/>
        <v/>
      </c>
      <c r="I657" t="str">
        <f t="shared" si="95"/>
        <v/>
      </c>
      <c r="J657" s="17" t="str">
        <f t="shared" ref="J657:J690" si="101">IF(A657="","",IF(A657=$B$4,$B$1*$B$2+$B$1*$B$5/360*$B$2*(E657*(1-I657)+H657*I657), $B$1*$B$5/360*$B$2*(E657*(1-I657)+H657*I657)))</f>
        <v/>
      </c>
      <c r="K657" s="18" t="str">
        <f t="shared" si="96"/>
        <v/>
      </c>
      <c r="L657" t="str">
        <f t="shared" si="97"/>
        <v/>
      </c>
      <c r="M657" s="23" t="str">
        <f ca="1">IF(A657="","",IF($B$10="Sí",interpolar_alamb(L657,OFFSET(Curvas_cupon_cero!$A$1,1,0,COUNT(Curvas_cupon_cero!$A:$A)-2,1),OFFSET(Curvas_cupon_cero!$A$1,1,MATCH($B$6,Curvas_cupon_cero!$1:$1,0)-1,COUNT(Curvas_cupon_cero!$A:$A)-2,1)),[1]!interpolar(L657,OFFSET(Curvas_cupon_cero!$A$1,1,0,COUNT(Curvas_cupon_cero!$A:$A)-2,1),OFFSET(Curvas_cupon_cero!$A$1,1,MATCH($B$6,Curvas_cupon_cero!$1:$1,0)-1,COUNT(Curvas_cupon_cero!$A:$A)-2,1))))</f>
        <v/>
      </c>
      <c r="N657" s="23"/>
      <c r="O657" s="19" t="str">
        <f t="shared" si="98"/>
        <v/>
      </c>
    </row>
    <row r="658" spans="1:15" x14ac:dyDescent="0.2">
      <c r="A658" s="12" t="str">
        <f t="shared" ref="A658:A690" si="102">IF(A657="","",IF((A657+$B$5)&gt;$B$4,"",(A657+$B$5)))</f>
        <v/>
      </c>
      <c r="B658" t="str">
        <f t="shared" si="100"/>
        <v/>
      </c>
      <c r="C658" s="21" t="str">
        <f ca="1">IF(A658="","",IF($B$10="Sí",interpolar_alamb(B658,OFFSET(Curvas_cupon_cero!$A$1,1,0,COUNT(Curvas_cupon_cero!$A:$A)-2,1),OFFSET(Curvas_cupon_cero!$A$1,1,MATCH($B$8,Curvas_cupon_cero!$1:$1,0)-1,COUNT(Curvas_cupon_cero!$A:$A)-2,1)),[1]!interpolar(B658,OFFSET(Curvas_cupon_cero!$A$1,1,0,COUNT(Curvas_cupon_cero!$A:$A)-2,1),OFFSET(Curvas_cupon_cero!$A$1,1,MATCH($B$8,Curvas_cupon_cero!$1:$1,0)-1,COUNT(Curvas_cupon_cero!$A:$A)-2,1))))</f>
        <v/>
      </c>
      <c r="D658" s="23" t="str">
        <f ca="1">IF(A658="","",IF($B$10="Sí",interpolar_alamb(L658,OFFSET(Curvas_cupon_cero!$A$1,1,0,COUNT(Curvas_cupon_cero!$A:$A)-2,1),OFFSET(Curvas_cupon_cero!$A$1,1,MATCH($B$8,Curvas_cupon_cero!$1:$1,0)-1,COUNT(Curvas_cupon_cero!$A:$A)-2,1)),[1]!interpolar(L658,OFFSET(Curvas_cupon_cero!$A$1,1,0,COUNT(Curvas_cupon_cero!$A:$A)-2,1),OFFSET(Curvas_cupon_cero!$A$1,1,MATCH($B$8,Curvas_cupon_cero!$1:$1,0)-1,COUNT(Curvas_cupon_cero!$A:$A)-2,1))))</f>
        <v/>
      </c>
      <c r="E658" s="23" t="str">
        <f t="shared" ref="E658:E690" si="103">IF(A658="","",((1+D658*L658/360)/(1+C658*B658/360)-1)*(360/(L658-B658)))</f>
        <v/>
      </c>
      <c r="F658" s="23" t="str">
        <f ca="1">IF(A658="","",IF($B$10="Sí",interpolar_alamb(B658,OFFSET(Curvas_cupon_cero!$A$1,1,0,COUNT(Curvas_cupon_cero!$A:$A)-2,1),OFFSET(Curvas_cupon_cero!$A$1,1,MATCH($B$9,Curvas_cupon_cero!$1:$1,0)-1,COUNT(Curvas_cupon_cero!$A:$A)-2,1)),[1]!interpolar(B658,OFFSET(Curvas_cupon_cero!$A$1,1,0,COUNT(Curvas_cupon_cero!$A:$A)-2,1),OFFSET(Curvas_cupon_cero!$A$1,1,MATCH($B$9,Curvas_cupon_cero!$1:$1,0)-1,COUNT(Curvas_cupon_cero!$A:$A)-2,1))))</f>
        <v/>
      </c>
      <c r="G658" s="23" t="str">
        <f t="shared" ref="G658:G690" si="104">IF(A658="","",$B$11*(1+M658*L658/360)/(1+F658*L658/360))</f>
        <v/>
      </c>
      <c r="H658" s="20" t="str">
        <f t="shared" si="99"/>
        <v/>
      </c>
      <c r="I658" t="str">
        <f t="shared" ref="I658:I690" si="105">IF(A658="","",IF(H658&gt;E658,1,0))</f>
        <v/>
      </c>
      <c r="J658" s="17" t="str">
        <f t="shared" si="101"/>
        <v/>
      </c>
      <c r="K658" s="18" t="str">
        <f t="shared" ref="K658:K690" si="106">IF(A658="","",$B$5)</f>
        <v/>
      </c>
      <c r="L658" t="str">
        <f t="shared" ref="L658:L690" si="107">IF(A658="","",L657+K658)</f>
        <v/>
      </c>
      <c r="M658" s="23" t="str">
        <f ca="1">IF(A658="","",IF($B$10="Sí",interpolar_alamb(L658,OFFSET(Curvas_cupon_cero!$A$1,1,0,COUNT(Curvas_cupon_cero!$A:$A)-2,1),OFFSET(Curvas_cupon_cero!$A$1,1,MATCH($B$6,Curvas_cupon_cero!$1:$1,0)-1,COUNT(Curvas_cupon_cero!$A:$A)-2,1)),[1]!interpolar(L658,OFFSET(Curvas_cupon_cero!$A$1,1,0,COUNT(Curvas_cupon_cero!$A:$A)-2,1),OFFSET(Curvas_cupon_cero!$A$1,1,MATCH($B$6,Curvas_cupon_cero!$1:$1,0)-1,COUNT(Curvas_cupon_cero!$A:$A)-2,1))))</f>
        <v/>
      </c>
      <c r="N658" s="23"/>
      <c r="O658" s="19" t="str">
        <f t="shared" ref="O658:O690" si="108">IF(A658="","",J658/(1+(M658+N658)*L658/360))</f>
        <v/>
      </c>
    </row>
    <row r="659" spans="1:15" x14ac:dyDescent="0.2">
      <c r="A659" s="12" t="str">
        <f t="shared" si="102"/>
        <v/>
      </c>
      <c r="B659" t="str">
        <f t="shared" si="100"/>
        <v/>
      </c>
      <c r="C659" s="21" t="str">
        <f ca="1">IF(A659="","",IF($B$10="Sí",interpolar_alamb(B659,OFFSET(Curvas_cupon_cero!$A$1,1,0,COUNT(Curvas_cupon_cero!$A:$A)-2,1),OFFSET(Curvas_cupon_cero!$A$1,1,MATCH($B$8,Curvas_cupon_cero!$1:$1,0)-1,COUNT(Curvas_cupon_cero!$A:$A)-2,1)),[1]!interpolar(B659,OFFSET(Curvas_cupon_cero!$A$1,1,0,COUNT(Curvas_cupon_cero!$A:$A)-2,1),OFFSET(Curvas_cupon_cero!$A$1,1,MATCH($B$8,Curvas_cupon_cero!$1:$1,0)-1,COUNT(Curvas_cupon_cero!$A:$A)-2,1))))</f>
        <v/>
      </c>
      <c r="D659" s="23" t="str">
        <f ca="1">IF(A659="","",IF($B$10="Sí",interpolar_alamb(L659,OFFSET(Curvas_cupon_cero!$A$1,1,0,COUNT(Curvas_cupon_cero!$A:$A)-2,1),OFFSET(Curvas_cupon_cero!$A$1,1,MATCH($B$8,Curvas_cupon_cero!$1:$1,0)-1,COUNT(Curvas_cupon_cero!$A:$A)-2,1)),[1]!interpolar(L659,OFFSET(Curvas_cupon_cero!$A$1,1,0,COUNT(Curvas_cupon_cero!$A:$A)-2,1),OFFSET(Curvas_cupon_cero!$A$1,1,MATCH($B$8,Curvas_cupon_cero!$1:$1,0)-1,COUNT(Curvas_cupon_cero!$A:$A)-2,1))))</f>
        <v/>
      </c>
      <c r="E659" s="23" t="str">
        <f t="shared" si="103"/>
        <v/>
      </c>
      <c r="F659" s="23" t="str">
        <f ca="1">IF(A659="","",IF($B$10="Sí",interpolar_alamb(B659,OFFSET(Curvas_cupon_cero!$A$1,1,0,COUNT(Curvas_cupon_cero!$A:$A)-2,1),OFFSET(Curvas_cupon_cero!$A$1,1,MATCH($B$9,Curvas_cupon_cero!$1:$1,0)-1,COUNT(Curvas_cupon_cero!$A:$A)-2,1)),[1]!interpolar(B659,OFFSET(Curvas_cupon_cero!$A$1,1,0,COUNT(Curvas_cupon_cero!$A:$A)-2,1),OFFSET(Curvas_cupon_cero!$A$1,1,MATCH($B$9,Curvas_cupon_cero!$1:$1,0)-1,COUNT(Curvas_cupon_cero!$A:$A)-2,1))))</f>
        <v/>
      </c>
      <c r="G659" s="23" t="str">
        <f t="shared" si="104"/>
        <v/>
      </c>
      <c r="H659" s="20" t="str">
        <f t="shared" ref="H659:H690" si="109">IF(A659="","",(G659/G658-1)*360/$B$5)</f>
        <v/>
      </c>
      <c r="I659" t="str">
        <f t="shared" si="105"/>
        <v/>
      </c>
      <c r="J659" s="17" t="str">
        <f t="shared" si="101"/>
        <v/>
      </c>
      <c r="K659" s="18" t="str">
        <f t="shared" si="106"/>
        <v/>
      </c>
      <c r="L659" t="str">
        <f t="shared" si="107"/>
        <v/>
      </c>
      <c r="M659" s="23" t="str">
        <f ca="1">IF(A659="","",IF($B$10="Sí",interpolar_alamb(L659,OFFSET(Curvas_cupon_cero!$A$1,1,0,COUNT(Curvas_cupon_cero!$A:$A)-2,1),OFFSET(Curvas_cupon_cero!$A$1,1,MATCH($B$6,Curvas_cupon_cero!$1:$1,0)-1,COUNT(Curvas_cupon_cero!$A:$A)-2,1)),[1]!interpolar(L659,OFFSET(Curvas_cupon_cero!$A$1,1,0,COUNT(Curvas_cupon_cero!$A:$A)-2,1),OFFSET(Curvas_cupon_cero!$A$1,1,MATCH($B$6,Curvas_cupon_cero!$1:$1,0)-1,COUNT(Curvas_cupon_cero!$A:$A)-2,1))))</f>
        <v/>
      </c>
      <c r="N659" s="23"/>
      <c r="O659" s="19" t="str">
        <f t="shared" si="108"/>
        <v/>
      </c>
    </row>
    <row r="660" spans="1:15" x14ac:dyDescent="0.2">
      <c r="A660" s="12" t="str">
        <f t="shared" si="102"/>
        <v/>
      </c>
      <c r="B660" t="str">
        <f t="shared" si="100"/>
        <v/>
      </c>
      <c r="C660" s="21" t="str">
        <f ca="1">IF(A660="","",IF($B$10="Sí",interpolar_alamb(B660,OFFSET(Curvas_cupon_cero!$A$1,1,0,COUNT(Curvas_cupon_cero!$A:$A)-2,1),OFFSET(Curvas_cupon_cero!$A$1,1,MATCH($B$8,Curvas_cupon_cero!$1:$1,0)-1,COUNT(Curvas_cupon_cero!$A:$A)-2,1)),[1]!interpolar(B660,OFFSET(Curvas_cupon_cero!$A$1,1,0,COUNT(Curvas_cupon_cero!$A:$A)-2,1),OFFSET(Curvas_cupon_cero!$A$1,1,MATCH($B$8,Curvas_cupon_cero!$1:$1,0)-1,COUNT(Curvas_cupon_cero!$A:$A)-2,1))))</f>
        <v/>
      </c>
      <c r="D660" s="23" t="str">
        <f ca="1">IF(A660="","",IF($B$10="Sí",interpolar_alamb(L660,OFFSET(Curvas_cupon_cero!$A$1,1,0,COUNT(Curvas_cupon_cero!$A:$A)-2,1),OFFSET(Curvas_cupon_cero!$A$1,1,MATCH($B$8,Curvas_cupon_cero!$1:$1,0)-1,COUNT(Curvas_cupon_cero!$A:$A)-2,1)),[1]!interpolar(L660,OFFSET(Curvas_cupon_cero!$A$1,1,0,COUNT(Curvas_cupon_cero!$A:$A)-2,1),OFFSET(Curvas_cupon_cero!$A$1,1,MATCH($B$8,Curvas_cupon_cero!$1:$1,0)-1,COUNT(Curvas_cupon_cero!$A:$A)-2,1))))</f>
        <v/>
      </c>
      <c r="E660" s="23" t="str">
        <f t="shared" si="103"/>
        <v/>
      </c>
      <c r="F660" s="23" t="str">
        <f ca="1">IF(A660="","",IF($B$10="Sí",interpolar_alamb(B660,OFFSET(Curvas_cupon_cero!$A$1,1,0,COUNT(Curvas_cupon_cero!$A:$A)-2,1),OFFSET(Curvas_cupon_cero!$A$1,1,MATCH($B$9,Curvas_cupon_cero!$1:$1,0)-1,COUNT(Curvas_cupon_cero!$A:$A)-2,1)),[1]!interpolar(B660,OFFSET(Curvas_cupon_cero!$A$1,1,0,COUNT(Curvas_cupon_cero!$A:$A)-2,1),OFFSET(Curvas_cupon_cero!$A$1,1,MATCH($B$9,Curvas_cupon_cero!$1:$1,0)-1,COUNT(Curvas_cupon_cero!$A:$A)-2,1))))</f>
        <v/>
      </c>
      <c r="G660" s="23" t="str">
        <f t="shared" si="104"/>
        <v/>
      </c>
      <c r="H660" s="20" t="str">
        <f t="shared" si="109"/>
        <v/>
      </c>
      <c r="I660" t="str">
        <f t="shared" si="105"/>
        <v/>
      </c>
      <c r="J660" s="17" t="str">
        <f t="shared" si="101"/>
        <v/>
      </c>
      <c r="K660" s="18" t="str">
        <f t="shared" si="106"/>
        <v/>
      </c>
      <c r="L660" t="str">
        <f t="shared" si="107"/>
        <v/>
      </c>
      <c r="M660" s="23" t="str">
        <f ca="1">IF(A660="","",IF($B$10="Sí",interpolar_alamb(L660,OFFSET(Curvas_cupon_cero!$A$1,1,0,COUNT(Curvas_cupon_cero!$A:$A)-2,1),OFFSET(Curvas_cupon_cero!$A$1,1,MATCH($B$6,Curvas_cupon_cero!$1:$1,0)-1,COUNT(Curvas_cupon_cero!$A:$A)-2,1)),[1]!interpolar(L660,OFFSET(Curvas_cupon_cero!$A$1,1,0,COUNT(Curvas_cupon_cero!$A:$A)-2,1),OFFSET(Curvas_cupon_cero!$A$1,1,MATCH($B$6,Curvas_cupon_cero!$1:$1,0)-1,COUNT(Curvas_cupon_cero!$A:$A)-2,1))))</f>
        <v/>
      </c>
      <c r="N660" s="23"/>
      <c r="O660" s="19" t="str">
        <f t="shared" si="108"/>
        <v/>
      </c>
    </row>
    <row r="661" spans="1:15" x14ac:dyDescent="0.2">
      <c r="A661" s="12" t="str">
        <f t="shared" si="102"/>
        <v/>
      </c>
      <c r="B661" t="str">
        <f t="shared" si="100"/>
        <v/>
      </c>
      <c r="C661" s="21" t="str">
        <f ca="1">IF(A661="","",IF($B$10="Sí",interpolar_alamb(B661,OFFSET(Curvas_cupon_cero!$A$1,1,0,COUNT(Curvas_cupon_cero!$A:$A)-2,1),OFFSET(Curvas_cupon_cero!$A$1,1,MATCH($B$8,Curvas_cupon_cero!$1:$1,0)-1,COUNT(Curvas_cupon_cero!$A:$A)-2,1)),[1]!interpolar(B661,OFFSET(Curvas_cupon_cero!$A$1,1,0,COUNT(Curvas_cupon_cero!$A:$A)-2,1),OFFSET(Curvas_cupon_cero!$A$1,1,MATCH($B$8,Curvas_cupon_cero!$1:$1,0)-1,COUNT(Curvas_cupon_cero!$A:$A)-2,1))))</f>
        <v/>
      </c>
      <c r="D661" s="23" t="str">
        <f ca="1">IF(A661="","",IF($B$10="Sí",interpolar_alamb(L661,OFFSET(Curvas_cupon_cero!$A$1,1,0,COUNT(Curvas_cupon_cero!$A:$A)-2,1),OFFSET(Curvas_cupon_cero!$A$1,1,MATCH($B$8,Curvas_cupon_cero!$1:$1,0)-1,COUNT(Curvas_cupon_cero!$A:$A)-2,1)),[1]!interpolar(L661,OFFSET(Curvas_cupon_cero!$A$1,1,0,COUNT(Curvas_cupon_cero!$A:$A)-2,1),OFFSET(Curvas_cupon_cero!$A$1,1,MATCH($B$8,Curvas_cupon_cero!$1:$1,0)-1,COUNT(Curvas_cupon_cero!$A:$A)-2,1))))</f>
        <v/>
      </c>
      <c r="E661" s="23" t="str">
        <f t="shared" si="103"/>
        <v/>
      </c>
      <c r="F661" s="23" t="str">
        <f ca="1">IF(A661="","",IF($B$10="Sí",interpolar_alamb(B661,OFFSET(Curvas_cupon_cero!$A$1,1,0,COUNT(Curvas_cupon_cero!$A:$A)-2,1),OFFSET(Curvas_cupon_cero!$A$1,1,MATCH($B$9,Curvas_cupon_cero!$1:$1,0)-1,COUNT(Curvas_cupon_cero!$A:$A)-2,1)),[1]!interpolar(B661,OFFSET(Curvas_cupon_cero!$A$1,1,0,COUNT(Curvas_cupon_cero!$A:$A)-2,1),OFFSET(Curvas_cupon_cero!$A$1,1,MATCH($B$9,Curvas_cupon_cero!$1:$1,0)-1,COUNT(Curvas_cupon_cero!$A:$A)-2,1))))</f>
        <v/>
      </c>
      <c r="G661" s="23" t="str">
        <f t="shared" si="104"/>
        <v/>
      </c>
      <c r="H661" s="20" t="str">
        <f t="shared" si="109"/>
        <v/>
      </c>
      <c r="I661" t="str">
        <f t="shared" si="105"/>
        <v/>
      </c>
      <c r="J661" s="17" t="str">
        <f t="shared" si="101"/>
        <v/>
      </c>
      <c r="K661" s="18" t="str">
        <f t="shared" si="106"/>
        <v/>
      </c>
      <c r="L661" t="str">
        <f t="shared" si="107"/>
        <v/>
      </c>
      <c r="M661" s="23" t="str">
        <f ca="1">IF(A661="","",IF($B$10="Sí",interpolar_alamb(L661,OFFSET(Curvas_cupon_cero!$A$1,1,0,COUNT(Curvas_cupon_cero!$A:$A)-2,1),OFFSET(Curvas_cupon_cero!$A$1,1,MATCH($B$6,Curvas_cupon_cero!$1:$1,0)-1,COUNT(Curvas_cupon_cero!$A:$A)-2,1)),[1]!interpolar(L661,OFFSET(Curvas_cupon_cero!$A$1,1,0,COUNT(Curvas_cupon_cero!$A:$A)-2,1),OFFSET(Curvas_cupon_cero!$A$1,1,MATCH($B$6,Curvas_cupon_cero!$1:$1,0)-1,COUNT(Curvas_cupon_cero!$A:$A)-2,1))))</f>
        <v/>
      </c>
      <c r="N661" s="23"/>
      <c r="O661" s="19" t="str">
        <f t="shared" si="108"/>
        <v/>
      </c>
    </row>
    <row r="662" spans="1:15" x14ac:dyDescent="0.2">
      <c r="A662" s="12" t="str">
        <f t="shared" si="102"/>
        <v/>
      </c>
      <c r="B662" t="str">
        <f t="shared" si="100"/>
        <v/>
      </c>
      <c r="C662" s="21" t="str">
        <f ca="1">IF(A662="","",IF($B$10="Sí",interpolar_alamb(B662,OFFSET(Curvas_cupon_cero!$A$1,1,0,COUNT(Curvas_cupon_cero!$A:$A)-2,1),OFFSET(Curvas_cupon_cero!$A$1,1,MATCH($B$8,Curvas_cupon_cero!$1:$1,0)-1,COUNT(Curvas_cupon_cero!$A:$A)-2,1)),[1]!interpolar(B662,OFFSET(Curvas_cupon_cero!$A$1,1,0,COUNT(Curvas_cupon_cero!$A:$A)-2,1),OFFSET(Curvas_cupon_cero!$A$1,1,MATCH($B$8,Curvas_cupon_cero!$1:$1,0)-1,COUNT(Curvas_cupon_cero!$A:$A)-2,1))))</f>
        <v/>
      </c>
      <c r="D662" s="23" t="str">
        <f ca="1">IF(A662="","",IF($B$10="Sí",interpolar_alamb(L662,OFFSET(Curvas_cupon_cero!$A$1,1,0,COUNT(Curvas_cupon_cero!$A:$A)-2,1),OFFSET(Curvas_cupon_cero!$A$1,1,MATCH($B$8,Curvas_cupon_cero!$1:$1,0)-1,COUNT(Curvas_cupon_cero!$A:$A)-2,1)),[1]!interpolar(L662,OFFSET(Curvas_cupon_cero!$A$1,1,0,COUNT(Curvas_cupon_cero!$A:$A)-2,1),OFFSET(Curvas_cupon_cero!$A$1,1,MATCH($B$8,Curvas_cupon_cero!$1:$1,0)-1,COUNT(Curvas_cupon_cero!$A:$A)-2,1))))</f>
        <v/>
      </c>
      <c r="E662" s="23" t="str">
        <f t="shared" si="103"/>
        <v/>
      </c>
      <c r="F662" s="23" t="str">
        <f ca="1">IF(A662="","",IF($B$10="Sí",interpolar_alamb(B662,OFFSET(Curvas_cupon_cero!$A$1,1,0,COUNT(Curvas_cupon_cero!$A:$A)-2,1),OFFSET(Curvas_cupon_cero!$A$1,1,MATCH($B$9,Curvas_cupon_cero!$1:$1,0)-1,COUNT(Curvas_cupon_cero!$A:$A)-2,1)),[1]!interpolar(B662,OFFSET(Curvas_cupon_cero!$A$1,1,0,COUNT(Curvas_cupon_cero!$A:$A)-2,1),OFFSET(Curvas_cupon_cero!$A$1,1,MATCH($B$9,Curvas_cupon_cero!$1:$1,0)-1,COUNT(Curvas_cupon_cero!$A:$A)-2,1))))</f>
        <v/>
      </c>
      <c r="G662" s="23" t="str">
        <f t="shared" si="104"/>
        <v/>
      </c>
      <c r="H662" s="20" t="str">
        <f t="shared" si="109"/>
        <v/>
      </c>
      <c r="I662" t="str">
        <f t="shared" si="105"/>
        <v/>
      </c>
      <c r="J662" s="17" t="str">
        <f t="shared" si="101"/>
        <v/>
      </c>
      <c r="K662" s="18" t="str">
        <f t="shared" si="106"/>
        <v/>
      </c>
      <c r="L662" t="str">
        <f t="shared" si="107"/>
        <v/>
      </c>
      <c r="M662" s="23" t="str">
        <f ca="1">IF(A662="","",IF($B$10="Sí",interpolar_alamb(L662,OFFSET(Curvas_cupon_cero!$A$1,1,0,COUNT(Curvas_cupon_cero!$A:$A)-2,1),OFFSET(Curvas_cupon_cero!$A$1,1,MATCH($B$6,Curvas_cupon_cero!$1:$1,0)-1,COUNT(Curvas_cupon_cero!$A:$A)-2,1)),[1]!interpolar(L662,OFFSET(Curvas_cupon_cero!$A$1,1,0,COUNT(Curvas_cupon_cero!$A:$A)-2,1),OFFSET(Curvas_cupon_cero!$A$1,1,MATCH($B$6,Curvas_cupon_cero!$1:$1,0)-1,COUNT(Curvas_cupon_cero!$A:$A)-2,1))))</f>
        <v/>
      </c>
      <c r="N662" s="23"/>
      <c r="O662" s="19" t="str">
        <f t="shared" si="108"/>
        <v/>
      </c>
    </row>
    <row r="663" spans="1:15" x14ac:dyDescent="0.2">
      <c r="A663" s="12" t="str">
        <f t="shared" si="102"/>
        <v/>
      </c>
      <c r="B663" t="str">
        <f t="shared" si="100"/>
        <v/>
      </c>
      <c r="C663" s="21" t="str">
        <f ca="1">IF(A663="","",IF($B$10="Sí",interpolar_alamb(B663,OFFSET(Curvas_cupon_cero!$A$1,1,0,COUNT(Curvas_cupon_cero!$A:$A)-2,1),OFFSET(Curvas_cupon_cero!$A$1,1,MATCH($B$8,Curvas_cupon_cero!$1:$1,0)-1,COUNT(Curvas_cupon_cero!$A:$A)-2,1)),[1]!interpolar(B663,OFFSET(Curvas_cupon_cero!$A$1,1,0,COUNT(Curvas_cupon_cero!$A:$A)-2,1),OFFSET(Curvas_cupon_cero!$A$1,1,MATCH($B$8,Curvas_cupon_cero!$1:$1,0)-1,COUNT(Curvas_cupon_cero!$A:$A)-2,1))))</f>
        <v/>
      </c>
      <c r="D663" s="23" t="str">
        <f ca="1">IF(A663="","",IF($B$10="Sí",interpolar_alamb(L663,OFFSET(Curvas_cupon_cero!$A$1,1,0,COUNT(Curvas_cupon_cero!$A:$A)-2,1),OFFSET(Curvas_cupon_cero!$A$1,1,MATCH($B$8,Curvas_cupon_cero!$1:$1,0)-1,COUNT(Curvas_cupon_cero!$A:$A)-2,1)),[1]!interpolar(L663,OFFSET(Curvas_cupon_cero!$A$1,1,0,COUNT(Curvas_cupon_cero!$A:$A)-2,1),OFFSET(Curvas_cupon_cero!$A$1,1,MATCH($B$8,Curvas_cupon_cero!$1:$1,0)-1,COUNT(Curvas_cupon_cero!$A:$A)-2,1))))</f>
        <v/>
      </c>
      <c r="E663" s="23" t="str">
        <f t="shared" si="103"/>
        <v/>
      </c>
      <c r="F663" s="23" t="str">
        <f ca="1">IF(A663="","",IF($B$10="Sí",interpolar_alamb(B663,OFFSET(Curvas_cupon_cero!$A$1,1,0,COUNT(Curvas_cupon_cero!$A:$A)-2,1),OFFSET(Curvas_cupon_cero!$A$1,1,MATCH($B$9,Curvas_cupon_cero!$1:$1,0)-1,COUNT(Curvas_cupon_cero!$A:$A)-2,1)),[1]!interpolar(B663,OFFSET(Curvas_cupon_cero!$A$1,1,0,COUNT(Curvas_cupon_cero!$A:$A)-2,1),OFFSET(Curvas_cupon_cero!$A$1,1,MATCH($B$9,Curvas_cupon_cero!$1:$1,0)-1,COUNT(Curvas_cupon_cero!$A:$A)-2,1))))</f>
        <v/>
      </c>
      <c r="G663" s="23" t="str">
        <f t="shared" si="104"/>
        <v/>
      </c>
      <c r="H663" s="20" t="str">
        <f t="shared" si="109"/>
        <v/>
      </c>
      <c r="I663" t="str">
        <f t="shared" si="105"/>
        <v/>
      </c>
      <c r="J663" s="17" t="str">
        <f t="shared" si="101"/>
        <v/>
      </c>
      <c r="K663" s="18" t="str">
        <f t="shared" si="106"/>
        <v/>
      </c>
      <c r="L663" t="str">
        <f t="shared" si="107"/>
        <v/>
      </c>
      <c r="M663" s="23" t="str">
        <f ca="1">IF(A663="","",IF($B$10="Sí",interpolar_alamb(L663,OFFSET(Curvas_cupon_cero!$A$1,1,0,COUNT(Curvas_cupon_cero!$A:$A)-2,1),OFFSET(Curvas_cupon_cero!$A$1,1,MATCH($B$6,Curvas_cupon_cero!$1:$1,0)-1,COUNT(Curvas_cupon_cero!$A:$A)-2,1)),[1]!interpolar(L663,OFFSET(Curvas_cupon_cero!$A$1,1,0,COUNT(Curvas_cupon_cero!$A:$A)-2,1),OFFSET(Curvas_cupon_cero!$A$1,1,MATCH($B$6,Curvas_cupon_cero!$1:$1,0)-1,COUNT(Curvas_cupon_cero!$A:$A)-2,1))))</f>
        <v/>
      </c>
      <c r="N663" s="23"/>
      <c r="O663" s="19" t="str">
        <f t="shared" si="108"/>
        <v/>
      </c>
    </row>
    <row r="664" spans="1:15" x14ac:dyDescent="0.2">
      <c r="A664" s="12" t="str">
        <f t="shared" si="102"/>
        <v/>
      </c>
      <c r="B664" t="str">
        <f t="shared" si="100"/>
        <v/>
      </c>
      <c r="C664" s="21" t="str">
        <f ca="1">IF(A664="","",IF($B$10="Sí",interpolar_alamb(B664,OFFSET(Curvas_cupon_cero!$A$1,1,0,COUNT(Curvas_cupon_cero!$A:$A)-2,1),OFFSET(Curvas_cupon_cero!$A$1,1,MATCH($B$8,Curvas_cupon_cero!$1:$1,0)-1,COUNT(Curvas_cupon_cero!$A:$A)-2,1)),[1]!interpolar(B664,OFFSET(Curvas_cupon_cero!$A$1,1,0,COUNT(Curvas_cupon_cero!$A:$A)-2,1),OFFSET(Curvas_cupon_cero!$A$1,1,MATCH($B$8,Curvas_cupon_cero!$1:$1,0)-1,COUNT(Curvas_cupon_cero!$A:$A)-2,1))))</f>
        <v/>
      </c>
      <c r="D664" s="23" t="str">
        <f ca="1">IF(A664="","",IF($B$10="Sí",interpolar_alamb(L664,OFFSET(Curvas_cupon_cero!$A$1,1,0,COUNT(Curvas_cupon_cero!$A:$A)-2,1),OFFSET(Curvas_cupon_cero!$A$1,1,MATCH($B$8,Curvas_cupon_cero!$1:$1,0)-1,COUNT(Curvas_cupon_cero!$A:$A)-2,1)),[1]!interpolar(L664,OFFSET(Curvas_cupon_cero!$A$1,1,0,COUNT(Curvas_cupon_cero!$A:$A)-2,1),OFFSET(Curvas_cupon_cero!$A$1,1,MATCH($B$8,Curvas_cupon_cero!$1:$1,0)-1,COUNT(Curvas_cupon_cero!$A:$A)-2,1))))</f>
        <v/>
      </c>
      <c r="E664" s="23" t="str">
        <f t="shared" si="103"/>
        <v/>
      </c>
      <c r="F664" s="23" t="str">
        <f ca="1">IF(A664="","",IF($B$10="Sí",interpolar_alamb(B664,OFFSET(Curvas_cupon_cero!$A$1,1,0,COUNT(Curvas_cupon_cero!$A:$A)-2,1),OFFSET(Curvas_cupon_cero!$A$1,1,MATCH($B$9,Curvas_cupon_cero!$1:$1,0)-1,COUNT(Curvas_cupon_cero!$A:$A)-2,1)),[1]!interpolar(B664,OFFSET(Curvas_cupon_cero!$A$1,1,0,COUNT(Curvas_cupon_cero!$A:$A)-2,1),OFFSET(Curvas_cupon_cero!$A$1,1,MATCH($B$9,Curvas_cupon_cero!$1:$1,0)-1,COUNT(Curvas_cupon_cero!$A:$A)-2,1))))</f>
        <v/>
      </c>
      <c r="G664" s="23" t="str">
        <f t="shared" si="104"/>
        <v/>
      </c>
      <c r="H664" s="20" t="str">
        <f t="shared" si="109"/>
        <v/>
      </c>
      <c r="I664" t="str">
        <f t="shared" si="105"/>
        <v/>
      </c>
      <c r="J664" s="17" t="str">
        <f t="shared" si="101"/>
        <v/>
      </c>
      <c r="K664" s="18" t="str">
        <f t="shared" si="106"/>
        <v/>
      </c>
      <c r="L664" t="str">
        <f t="shared" si="107"/>
        <v/>
      </c>
      <c r="M664" s="23" t="str">
        <f ca="1">IF(A664="","",IF($B$10="Sí",interpolar_alamb(L664,OFFSET(Curvas_cupon_cero!$A$1,1,0,COUNT(Curvas_cupon_cero!$A:$A)-2,1),OFFSET(Curvas_cupon_cero!$A$1,1,MATCH($B$6,Curvas_cupon_cero!$1:$1,0)-1,COUNT(Curvas_cupon_cero!$A:$A)-2,1)),[1]!interpolar(L664,OFFSET(Curvas_cupon_cero!$A$1,1,0,COUNT(Curvas_cupon_cero!$A:$A)-2,1),OFFSET(Curvas_cupon_cero!$A$1,1,MATCH($B$6,Curvas_cupon_cero!$1:$1,0)-1,COUNT(Curvas_cupon_cero!$A:$A)-2,1))))</f>
        <v/>
      </c>
      <c r="N664" s="23"/>
      <c r="O664" s="19" t="str">
        <f t="shared" si="108"/>
        <v/>
      </c>
    </row>
    <row r="665" spans="1:15" x14ac:dyDescent="0.2">
      <c r="A665" s="12" t="str">
        <f t="shared" si="102"/>
        <v/>
      </c>
      <c r="B665" t="str">
        <f t="shared" si="100"/>
        <v/>
      </c>
      <c r="C665" s="21" t="str">
        <f ca="1">IF(A665="","",IF($B$10="Sí",interpolar_alamb(B665,OFFSET(Curvas_cupon_cero!$A$1,1,0,COUNT(Curvas_cupon_cero!$A:$A)-2,1),OFFSET(Curvas_cupon_cero!$A$1,1,MATCH($B$8,Curvas_cupon_cero!$1:$1,0)-1,COUNT(Curvas_cupon_cero!$A:$A)-2,1)),[1]!interpolar(B665,OFFSET(Curvas_cupon_cero!$A$1,1,0,COUNT(Curvas_cupon_cero!$A:$A)-2,1),OFFSET(Curvas_cupon_cero!$A$1,1,MATCH($B$8,Curvas_cupon_cero!$1:$1,0)-1,COUNT(Curvas_cupon_cero!$A:$A)-2,1))))</f>
        <v/>
      </c>
      <c r="D665" s="23" t="str">
        <f ca="1">IF(A665="","",IF($B$10="Sí",interpolar_alamb(L665,OFFSET(Curvas_cupon_cero!$A$1,1,0,COUNT(Curvas_cupon_cero!$A:$A)-2,1),OFFSET(Curvas_cupon_cero!$A$1,1,MATCH($B$8,Curvas_cupon_cero!$1:$1,0)-1,COUNT(Curvas_cupon_cero!$A:$A)-2,1)),[1]!interpolar(L665,OFFSET(Curvas_cupon_cero!$A$1,1,0,COUNT(Curvas_cupon_cero!$A:$A)-2,1),OFFSET(Curvas_cupon_cero!$A$1,1,MATCH($B$8,Curvas_cupon_cero!$1:$1,0)-1,COUNT(Curvas_cupon_cero!$A:$A)-2,1))))</f>
        <v/>
      </c>
      <c r="E665" s="23" t="str">
        <f t="shared" si="103"/>
        <v/>
      </c>
      <c r="F665" s="23" t="str">
        <f ca="1">IF(A665="","",IF($B$10="Sí",interpolar_alamb(B665,OFFSET(Curvas_cupon_cero!$A$1,1,0,COUNT(Curvas_cupon_cero!$A:$A)-2,1),OFFSET(Curvas_cupon_cero!$A$1,1,MATCH($B$9,Curvas_cupon_cero!$1:$1,0)-1,COUNT(Curvas_cupon_cero!$A:$A)-2,1)),[1]!interpolar(B665,OFFSET(Curvas_cupon_cero!$A$1,1,0,COUNT(Curvas_cupon_cero!$A:$A)-2,1),OFFSET(Curvas_cupon_cero!$A$1,1,MATCH($B$9,Curvas_cupon_cero!$1:$1,0)-1,COUNT(Curvas_cupon_cero!$A:$A)-2,1))))</f>
        <v/>
      </c>
      <c r="G665" s="23" t="str">
        <f t="shared" si="104"/>
        <v/>
      </c>
      <c r="H665" s="20" t="str">
        <f t="shared" si="109"/>
        <v/>
      </c>
      <c r="I665" t="str">
        <f t="shared" si="105"/>
        <v/>
      </c>
      <c r="J665" s="17" t="str">
        <f t="shared" si="101"/>
        <v/>
      </c>
      <c r="K665" s="18" t="str">
        <f t="shared" si="106"/>
        <v/>
      </c>
      <c r="L665" t="str">
        <f t="shared" si="107"/>
        <v/>
      </c>
      <c r="M665" s="23" t="str">
        <f ca="1">IF(A665="","",IF($B$10="Sí",interpolar_alamb(L665,OFFSET(Curvas_cupon_cero!$A$1,1,0,COUNT(Curvas_cupon_cero!$A:$A)-2,1),OFFSET(Curvas_cupon_cero!$A$1,1,MATCH($B$6,Curvas_cupon_cero!$1:$1,0)-1,COUNT(Curvas_cupon_cero!$A:$A)-2,1)),[1]!interpolar(L665,OFFSET(Curvas_cupon_cero!$A$1,1,0,COUNT(Curvas_cupon_cero!$A:$A)-2,1),OFFSET(Curvas_cupon_cero!$A$1,1,MATCH($B$6,Curvas_cupon_cero!$1:$1,0)-1,COUNT(Curvas_cupon_cero!$A:$A)-2,1))))</f>
        <v/>
      </c>
      <c r="N665" s="23"/>
      <c r="O665" s="19" t="str">
        <f t="shared" si="108"/>
        <v/>
      </c>
    </row>
    <row r="666" spans="1:15" x14ac:dyDescent="0.2">
      <c r="A666" s="12" t="str">
        <f t="shared" si="102"/>
        <v/>
      </c>
      <c r="B666" t="str">
        <f t="shared" si="100"/>
        <v/>
      </c>
      <c r="C666" s="21" t="str">
        <f ca="1">IF(A666="","",IF($B$10="Sí",interpolar_alamb(B666,OFFSET(Curvas_cupon_cero!$A$1,1,0,COUNT(Curvas_cupon_cero!$A:$A)-2,1),OFFSET(Curvas_cupon_cero!$A$1,1,MATCH($B$8,Curvas_cupon_cero!$1:$1,0)-1,COUNT(Curvas_cupon_cero!$A:$A)-2,1)),[1]!interpolar(B666,OFFSET(Curvas_cupon_cero!$A$1,1,0,COUNT(Curvas_cupon_cero!$A:$A)-2,1),OFFSET(Curvas_cupon_cero!$A$1,1,MATCH($B$8,Curvas_cupon_cero!$1:$1,0)-1,COUNT(Curvas_cupon_cero!$A:$A)-2,1))))</f>
        <v/>
      </c>
      <c r="D666" s="23" t="str">
        <f ca="1">IF(A666="","",IF($B$10="Sí",interpolar_alamb(L666,OFFSET(Curvas_cupon_cero!$A$1,1,0,COUNT(Curvas_cupon_cero!$A:$A)-2,1),OFFSET(Curvas_cupon_cero!$A$1,1,MATCH($B$8,Curvas_cupon_cero!$1:$1,0)-1,COUNT(Curvas_cupon_cero!$A:$A)-2,1)),[1]!interpolar(L666,OFFSET(Curvas_cupon_cero!$A$1,1,0,COUNT(Curvas_cupon_cero!$A:$A)-2,1),OFFSET(Curvas_cupon_cero!$A$1,1,MATCH($B$8,Curvas_cupon_cero!$1:$1,0)-1,COUNT(Curvas_cupon_cero!$A:$A)-2,1))))</f>
        <v/>
      </c>
      <c r="E666" s="23" t="str">
        <f t="shared" si="103"/>
        <v/>
      </c>
      <c r="F666" s="23" t="str">
        <f ca="1">IF(A666="","",IF($B$10="Sí",interpolar_alamb(B666,OFFSET(Curvas_cupon_cero!$A$1,1,0,COUNT(Curvas_cupon_cero!$A:$A)-2,1),OFFSET(Curvas_cupon_cero!$A$1,1,MATCH($B$9,Curvas_cupon_cero!$1:$1,0)-1,COUNT(Curvas_cupon_cero!$A:$A)-2,1)),[1]!interpolar(B666,OFFSET(Curvas_cupon_cero!$A$1,1,0,COUNT(Curvas_cupon_cero!$A:$A)-2,1),OFFSET(Curvas_cupon_cero!$A$1,1,MATCH($B$9,Curvas_cupon_cero!$1:$1,0)-1,COUNT(Curvas_cupon_cero!$A:$A)-2,1))))</f>
        <v/>
      </c>
      <c r="G666" s="23" t="str">
        <f t="shared" si="104"/>
        <v/>
      </c>
      <c r="H666" s="20" t="str">
        <f t="shared" si="109"/>
        <v/>
      </c>
      <c r="I666" t="str">
        <f t="shared" si="105"/>
        <v/>
      </c>
      <c r="J666" s="17" t="str">
        <f t="shared" si="101"/>
        <v/>
      </c>
      <c r="K666" s="18" t="str">
        <f t="shared" si="106"/>
        <v/>
      </c>
      <c r="L666" t="str">
        <f t="shared" si="107"/>
        <v/>
      </c>
      <c r="M666" s="23" t="str">
        <f ca="1">IF(A666="","",IF($B$10="Sí",interpolar_alamb(L666,OFFSET(Curvas_cupon_cero!$A$1,1,0,COUNT(Curvas_cupon_cero!$A:$A)-2,1),OFFSET(Curvas_cupon_cero!$A$1,1,MATCH($B$6,Curvas_cupon_cero!$1:$1,0)-1,COUNT(Curvas_cupon_cero!$A:$A)-2,1)),[1]!interpolar(L666,OFFSET(Curvas_cupon_cero!$A$1,1,0,COUNT(Curvas_cupon_cero!$A:$A)-2,1),OFFSET(Curvas_cupon_cero!$A$1,1,MATCH($B$6,Curvas_cupon_cero!$1:$1,0)-1,COUNT(Curvas_cupon_cero!$A:$A)-2,1))))</f>
        <v/>
      </c>
      <c r="N666" s="23"/>
      <c r="O666" s="19" t="str">
        <f t="shared" si="108"/>
        <v/>
      </c>
    </row>
    <row r="667" spans="1:15" x14ac:dyDescent="0.2">
      <c r="A667" s="12" t="str">
        <f t="shared" si="102"/>
        <v/>
      </c>
      <c r="B667" t="str">
        <f t="shared" si="100"/>
        <v/>
      </c>
      <c r="C667" s="21" t="str">
        <f ca="1">IF(A667="","",IF($B$10="Sí",interpolar_alamb(B667,OFFSET(Curvas_cupon_cero!$A$1,1,0,COUNT(Curvas_cupon_cero!$A:$A)-2,1),OFFSET(Curvas_cupon_cero!$A$1,1,MATCH($B$8,Curvas_cupon_cero!$1:$1,0)-1,COUNT(Curvas_cupon_cero!$A:$A)-2,1)),[1]!interpolar(B667,OFFSET(Curvas_cupon_cero!$A$1,1,0,COUNT(Curvas_cupon_cero!$A:$A)-2,1),OFFSET(Curvas_cupon_cero!$A$1,1,MATCH($B$8,Curvas_cupon_cero!$1:$1,0)-1,COUNT(Curvas_cupon_cero!$A:$A)-2,1))))</f>
        <v/>
      </c>
      <c r="D667" s="23" t="str">
        <f ca="1">IF(A667="","",IF($B$10="Sí",interpolar_alamb(L667,OFFSET(Curvas_cupon_cero!$A$1,1,0,COUNT(Curvas_cupon_cero!$A:$A)-2,1),OFFSET(Curvas_cupon_cero!$A$1,1,MATCH($B$8,Curvas_cupon_cero!$1:$1,0)-1,COUNT(Curvas_cupon_cero!$A:$A)-2,1)),[1]!interpolar(L667,OFFSET(Curvas_cupon_cero!$A$1,1,0,COUNT(Curvas_cupon_cero!$A:$A)-2,1),OFFSET(Curvas_cupon_cero!$A$1,1,MATCH($B$8,Curvas_cupon_cero!$1:$1,0)-1,COUNT(Curvas_cupon_cero!$A:$A)-2,1))))</f>
        <v/>
      </c>
      <c r="E667" s="23" t="str">
        <f t="shared" si="103"/>
        <v/>
      </c>
      <c r="F667" s="23" t="str">
        <f ca="1">IF(A667="","",IF($B$10="Sí",interpolar_alamb(B667,OFFSET(Curvas_cupon_cero!$A$1,1,0,COUNT(Curvas_cupon_cero!$A:$A)-2,1),OFFSET(Curvas_cupon_cero!$A$1,1,MATCH($B$9,Curvas_cupon_cero!$1:$1,0)-1,COUNT(Curvas_cupon_cero!$A:$A)-2,1)),[1]!interpolar(B667,OFFSET(Curvas_cupon_cero!$A$1,1,0,COUNT(Curvas_cupon_cero!$A:$A)-2,1),OFFSET(Curvas_cupon_cero!$A$1,1,MATCH($B$9,Curvas_cupon_cero!$1:$1,0)-1,COUNT(Curvas_cupon_cero!$A:$A)-2,1))))</f>
        <v/>
      </c>
      <c r="G667" s="23" t="str">
        <f t="shared" si="104"/>
        <v/>
      </c>
      <c r="H667" s="20" t="str">
        <f t="shared" si="109"/>
        <v/>
      </c>
      <c r="I667" t="str">
        <f t="shared" si="105"/>
        <v/>
      </c>
      <c r="J667" s="17" t="str">
        <f t="shared" si="101"/>
        <v/>
      </c>
      <c r="K667" s="18" t="str">
        <f t="shared" si="106"/>
        <v/>
      </c>
      <c r="L667" t="str">
        <f t="shared" si="107"/>
        <v/>
      </c>
      <c r="M667" s="23" t="str">
        <f ca="1">IF(A667="","",IF($B$10="Sí",interpolar_alamb(L667,OFFSET(Curvas_cupon_cero!$A$1,1,0,COUNT(Curvas_cupon_cero!$A:$A)-2,1),OFFSET(Curvas_cupon_cero!$A$1,1,MATCH($B$6,Curvas_cupon_cero!$1:$1,0)-1,COUNT(Curvas_cupon_cero!$A:$A)-2,1)),[1]!interpolar(L667,OFFSET(Curvas_cupon_cero!$A$1,1,0,COUNT(Curvas_cupon_cero!$A:$A)-2,1),OFFSET(Curvas_cupon_cero!$A$1,1,MATCH($B$6,Curvas_cupon_cero!$1:$1,0)-1,COUNT(Curvas_cupon_cero!$A:$A)-2,1))))</f>
        <v/>
      </c>
      <c r="N667" s="23"/>
      <c r="O667" s="19" t="str">
        <f t="shared" si="108"/>
        <v/>
      </c>
    </row>
    <row r="668" spans="1:15" x14ac:dyDescent="0.2">
      <c r="A668" s="12" t="str">
        <f t="shared" si="102"/>
        <v/>
      </c>
      <c r="B668" t="str">
        <f t="shared" si="100"/>
        <v/>
      </c>
      <c r="C668" s="21" t="str">
        <f ca="1">IF(A668="","",IF($B$10="Sí",interpolar_alamb(B668,OFFSET(Curvas_cupon_cero!$A$1,1,0,COUNT(Curvas_cupon_cero!$A:$A)-2,1),OFFSET(Curvas_cupon_cero!$A$1,1,MATCH($B$8,Curvas_cupon_cero!$1:$1,0)-1,COUNT(Curvas_cupon_cero!$A:$A)-2,1)),[1]!interpolar(B668,OFFSET(Curvas_cupon_cero!$A$1,1,0,COUNT(Curvas_cupon_cero!$A:$A)-2,1),OFFSET(Curvas_cupon_cero!$A$1,1,MATCH($B$8,Curvas_cupon_cero!$1:$1,0)-1,COUNT(Curvas_cupon_cero!$A:$A)-2,1))))</f>
        <v/>
      </c>
      <c r="D668" s="23" t="str">
        <f ca="1">IF(A668="","",IF($B$10="Sí",interpolar_alamb(L668,OFFSET(Curvas_cupon_cero!$A$1,1,0,COUNT(Curvas_cupon_cero!$A:$A)-2,1),OFFSET(Curvas_cupon_cero!$A$1,1,MATCH($B$8,Curvas_cupon_cero!$1:$1,0)-1,COUNT(Curvas_cupon_cero!$A:$A)-2,1)),[1]!interpolar(L668,OFFSET(Curvas_cupon_cero!$A$1,1,0,COUNT(Curvas_cupon_cero!$A:$A)-2,1),OFFSET(Curvas_cupon_cero!$A$1,1,MATCH($B$8,Curvas_cupon_cero!$1:$1,0)-1,COUNT(Curvas_cupon_cero!$A:$A)-2,1))))</f>
        <v/>
      </c>
      <c r="E668" s="23" t="str">
        <f t="shared" si="103"/>
        <v/>
      </c>
      <c r="F668" s="23" t="str">
        <f ca="1">IF(A668="","",IF($B$10="Sí",interpolar_alamb(B668,OFFSET(Curvas_cupon_cero!$A$1,1,0,COUNT(Curvas_cupon_cero!$A:$A)-2,1),OFFSET(Curvas_cupon_cero!$A$1,1,MATCH($B$9,Curvas_cupon_cero!$1:$1,0)-1,COUNT(Curvas_cupon_cero!$A:$A)-2,1)),[1]!interpolar(B668,OFFSET(Curvas_cupon_cero!$A$1,1,0,COUNT(Curvas_cupon_cero!$A:$A)-2,1),OFFSET(Curvas_cupon_cero!$A$1,1,MATCH($B$9,Curvas_cupon_cero!$1:$1,0)-1,COUNT(Curvas_cupon_cero!$A:$A)-2,1))))</f>
        <v/>
      </c>
      <c r="G668" s="23" t="str">
        <f t="shared" si="104"/>
        <v/>
      </c>
      <c r="H668" s="20" t="str">
        <f t="shared" si="109"/>
        <v/>
      </c>
      <c r="I668" t="str">
        <f t="shared" si="105"/>
        <v/>
      </c>
      <c r="J668" s="17" t="str">
        <f t="shared" si="101"/>
        <v/>
      </c>
      <c r="K668" s="18" t="str">
        <f t="shared" si="106"/>
        <v/>
      </c>
      <c r="L668" t="str">
        <f t="shared" si="107"/>
        <v/>
      </c>
      <c r="M668" s="23" t="str">
        <f ca="1">IF(A668="","",IF($B$10="Sí",interpolar_alamb(L668,OFFSET(Curvas_cupon_cero!$A$1,1,0,COUNT(Curvas_cupon_cero!$A:$A)-2,1),OFFSET(Curvas_cupon_cero!$A$1,1,MATCH($B$6,Curvas_cupon_cero!$1:$1,0)-1,COUNT(Curvas_cupon_cero!$A:$A)-2,1)),[1]!interpolar(L668,OFFSET(Curvas_cupon_cero!$A$1,1,0,COUNT(Curvas_cupon_cero!$A:$A)-2,1),OFFSET(Curvas_cupon_cero!$A$1,1,MATCH($B$6,Curvas_cupon_cero!$1:$1,0)-1,COUNT(Curvas_cupon_cero!$A:$A)-2,1))))</f>
        <v/>
      </c>
      <c r="N668" s="23"/>
      <c r="O668" s="19" t="str">
        <f t="shared" si="108"/>
        <v/>
      </c>
    </row>
    <row r="669" spans="1:15" x14ac:dyDescent="0.2">
      <c r="A669" s="12" t="str">
        <f t="shared" si="102"/>
        <v/>
      </c>
      <c r="B669" t="str">
        <f t="shared" si="100"/>
        <v/>
      </c>
      <c r="C669" s="21" t="str">
        <f ca="1">IF(A669="","",IF($B$10="Sí",interpolar_alamb(B669,OFFSET(Curvas_cupon_cero!$A$1,1,0,COUNT(Curvas_cupon_cero!$A:$A)-2,1),OFFSET(Curvas_cupon_cero!$A$1,1,MATCH($B$8,Curvas_cupon_cero!$1:$1,0)-1,COUNT(Curvas_cupon_cero!$A:$A)-2,1)),[1]!interpolar(B669,OFFSET(Curvas_cupon_cero!$A$1,1,0,COUNT(Curvas_cupon_cero!$A:$A)-2,1),OFFSET(Curvas_cupon_cero!$A$1,1,MATCH($B$8,Curvas_cupon_cero!$1:$1,0)-1,COUNT(Curvas_cupon_cero!$A:$A)-2,1))))</f>
        <v/>
      </c>
      <c r="D669" s="23" t="str">
        <f ca="1">IF(A669="","",IF($B$10="Sí",interpolar_alamb(L669,OFFSET(Curvas_cupon_cero!$A$1,1,0,COUNT(Curvas_cupon_cero!$A:$A)-2,1),OFFSET(Curvas_cupon_cero!$A$1,1,MATCH($B$8,Curvas_cupon_cero!$1:$1,0)-1,COUNT(Curvas_cupon_cero!$A:$A)-2,1)),[1]!interpolar(L669,OFFSET(Curvas_cupon_cero!$A$1,1,0,COUNT(Curvas_cupon_cero!$A:$A)-2,1),OFFSET(Curvas_cupon_cero!$A$1,1,MATCH($B$8,Curvas_cupon_cero!$1:$1,0)-1,COUNT(Curvas_cupon_cero!$A:$A)-2,1))))</f>
        <v/>
      </c>
      <c r="E669" s="23" t="str">
        <f t="shared" si="103"/>
        <v/>
      </c>
      <c r="F669" s="23" t="str">
        <f ca="1">IF(A669="","",IF($B$10="Sí",interpolar_alamb(B669,OFFSET(Curvas_cupon_cero!$A$1,1,0,COUNT(Curvas_cupon_cero!$A:$A)-2,1),OFFSET(Curvas_cupon_cero!$A$1,1,MATCH($B$9,Curvas_cupon_cero!$1:$1,0)-1,COUNT(Curvas_cupon_cero!$A:$A)-2,1)),[1]!interpolar(B669,OFFSET(Curvas_cupon_cero!$A$1,1,0,COUNT(Curvas_cupon_cero!$A:$A)-2,1),OFFSET(Curvas_cupon_cero!$A$1,1,MATCH($B$9,Curvas_cupon_cero!$1:$1,0)-1,COUNT(Curvas_cupon_cero!$A:$A)-2,1))))</f>
        <v/>
      </c>
      <c r="G669" s="23" t="str">
        <f t="shared" si="104"/>
        <v/>
      </c>
      <c r="H669" s="20" t="str">
        <f t="shared" si="109"/>
        <v/>
      </c>
      <c r="I669" t="str">
        <f t="shared" si="105"/>
        <v/>
      </c>
      <c r="J669" s="17" t="str">
        <f t="shared" si="101"/>
        <v/>
      </c>
      <c r="K669" s="18" t="str">
        <f t="shared" si="106"/>
        <v/>
      </c>
      <c r="L669" t="str">
        <f t="shared" si="107"/>
        <v/>
      </c>
      <c r="M669" s="23" t="str">
        <f ca="1">IF(A669="","",IF($B$10="Sí",interpolar_alamb(L669,OFFSET(Curvas_cupon_cero!$A$1,1,0,COUNT(Curvas_cupon_cero!$A:$A)-2,1),OFFSET(Curvas_cupon_cero!$A$1,1,MATCH($B$6,Curvas_cupon_cero!$1:$1,0)-1,COUNT(Curvas_cupon_cero!$A:$A)-2,1)),[1]!interpolar(L669,OFFSET(Curvas_cupon_cero!$A$1,1,0,COUNT(Curvas_cupon_cero!$A:$A)-2,1),OFFSET(Curvas_cupon_cero!$A$1,1,MATCH($B$6,Curvas_cupon_cero!$1:$1,0)-1,COUNT(Curvas_cupon_cero!$A:$A)-2,1))))</f>
        <v/>
      </c>
      <c r="N669" s="23"/>
      <c r="O669" s="19" t="str">
        <f t="shared" si="108"/>
        <v/>
      </c>
    </row>
    <row r="670" spans="1:15" x14ac:dyDescent="0.2">
      <c r="A670" s="12" t="str">
        <f t="shared" si="102"/>
        <v/>
      </c>
      <c r="B670" t="str">
        <f t="shared" si="100"/>
        <v/>
      </c>
      <c r="C670" s="21" t="str">
        <f ca="1">IF(A670="","",IF($B$10="Sí",interpolar_alamb(B670,OFFSET(Curvas_cupon_cero!$A$1,1,0,COUNT(Curvas_cupon_cero!$A:$A)-2,1),OFFSET(Curvas_cupon_cero!$A$1,1,MATCH($B$8,Curvas_cupon_cero!$1:$1,0)-1,COUNT(Curvas_cupon_cero!$A:$A)-2,1)),[1]!interpolar(B670,OFFSET(Curvas_cupon_cero!$A$1,1,0,COUNT(Curvas_cupon_cero!$A:$A)-2,1),OFFSET(Curvas_cupon_cero!$A$1,1,MATCH($B$8,Curvas_cupon_cero!$1:$1,0)-1,COUNT(Curvas_cupon_cero!$A:$A)-2,1))))</f>
        <v/>
      </c>
      <c r="D670" s="23" t="str">
        <f ca="1">IF(A670="","",IF($B$10="Sí",interpolar_alamb(L670,OFFSET(Curvas_cupon_cero!$A$1,1,0,COUNT(Curvas_cupon_cero!$A:$A)-2,1),OFFSET(Curvas_cupon_cero!$A$1,1,MATCH($B$8,Curvas_cupon_cero!$1:$1,0)-1,COUNT(Curvas_cupon_cero!$A:$A)-2,1)),[1]!interpolar(L670,OFFSET(Curvas_cupon_cero!$A$1,1,0,COUNT(Curvas_cupon_cero!$A:$A)-2,1),OFFSET(Curvas_cupon_cero!$A$1,1,MATCH($B$8,Curvas_cupon_cero!$1:$1,0)-1,COUNT(Curvas_cupon_cero!$A:$A)-2,1))))</f>
        <v/>
      </c>
      <c r="E670" s="23" t="str">
        <f t="shared" si="103"/>
        <v/>
      </c>
      <c r="F670" s="23" t="str">
        <f ca="1">IF(A670="","",IF($B$10="Sí",interpolar_alamb(B670,OFFSET(Curvas_cupon_cero!$A$1,1,0,COUNT(Curvas_cupon_cero!$A:$A)-2,1),OFFSET(Curvas_cupon_cero!$A$1,1,MATCH($B$9,Curvas_cupon_cero!$1:$1,0)-1,COUNT(Curvas_cupon_cero!$A:$A)-2,1)),[1]!interpolar(B670,OFFSET(Curvas_cupon_cero!$A$1,1,0,COUNT(Curvas_cupon_cero!$A:$A)-2,1),OFFSET(Curvas_cupon_cero!$A$1,1,MATCH($B$9,Curvas_cupon_cero!$1:$1,0)-1,COUNT(Curvas_cupon_cero!$A:$A)-2,1))))</f>
        <v/>
      </c>
      <c r="G670" s="23" t="str">
        <f t="shared" si="104"/>
        <v/>
      </c>
      <c r="H670" s="20" t="str">
        <f t="shared" si="109"/>
        <v/>
      </c>
      <c r="I670" t="str">
        <f t="shared" si="105"/>
        <v/>
      </c>
      <c r="J670" s="17" t="str">
        <f t="shared" si="101"/>
        <v/>
      </c>
      <c r="K670" s="18" t="str">
        <f t="shared" si="106"/>
        <v/>
      </c>
      <c r="L670" t="str">
        <f t="shared" si="107"/>
        <v/>
      </c>
      <c r="M670" s="23" t="str">
        <f ca="1">IF(A670="","",IF($B$10="Sí",interpolar_alamb(L670,OFFSET(Curvas_cupon_cero!$A$1,1,0,COUNT(Curvas_cupon_cero!$A:$A)-2,1),OFFSET(Curvas_cupon_cero!$A$1,1,MATCH($B$6,Curvas_cupon_cero!$1:$1,0)-1,COUNT(Curvas_cupon_cero!$A:$A)-2,1)),[1]!interpolar(L670,OFFSET(Curvas_cupon_cero!$A$1,1,0,COUNT(Curvas_cupon_cero!$A:$A)-2,1),OFFSET(Curvas_cupon_cero!$A$1,1,MATCH($B$6,Curvas_cupon_cero!$1:$1,0)-1,COUNT(Curvas_cupon_cero!$A:$A)-2,1))))</f>
        <v/>
      </c>
      <c r="N670" s="23"/>
      <c r="O670" s="19" t="str">
        <f t="shared" si="108"/>
        <v/>
      </c>
    </row>
    <row r="671" spans="1:15" x14ac:dyDescent="0.2">
      <c r="A671" s="12" t="str">
        <f t="shared" si="102"/>
        <v/>
      </c>
      <c r="B671" t="str">
        <f t="shared" si="100"/>
        <v/>
      </c>
      <c r="C671" s="21" t="str">
        <f ca="1">IF(A671="","",IF($B$10="Sí",interpolar_alamb(B671,OFFSET(Curvas_cupon_cero!$A$1,1,0,COUNT(Curvas_cupon_cero!$A:$A)-2,1),OFFSET(Curvas_cupon_cero!$A$1,1,MATCH($B$8,Curvas_cupon_cero!$1:$1,0)-1,COUNT(Curvas_cupon_cero!$A:$A)-2,1)),[1]!interpolar(B671,OFFSET(Curvas_cupon_cero!$A$1,1,0,COUNT(Curvas_cupon_cero!$A:$A)-2,1),OFFSET(Curvas_cupon_cero!$A$1,1,MATCH($B$8,Curvas_cupon_cero!$1:$1,0)-1,COUNT(Curvas_cupon_cero!$A:$A)-2,1))))</f>
        <v/>
      </c>
      <c r="D671" s="23" t="str">
        <f ca="1">IF(A671="","",IF($B$10="Sí",interpolar_alamb(L671,OFFSET(Curvas_cupon_cero!$A$1,1,0,COUNT(Curvas_cupon_cero!$A:$A)-2,1),OFFSET(Curvas_cupon_cero!$A$1,1,MATCH($B$8,Curvas_cupon_cero!$1:$1,0)-1,COUNT(Curvas_cupon_cero!$A:$A)-2,1)),[1]!interpolar(L671,OFFSET(Curvas_cupon_cero!$A$1,1,0,COUNT(Curvas_cupon_cero!$A:$A)-2,1),OFFSET(Curvas_cupon_cero!$A$1,1,MATCH($B$8,Curvas_cupon_cero!$1:$1,0)-1,COUNT(Curvas_cupon_cero!$A:$A)-2,1))))</f>
        <v/>
      </c>
      <c r="E671" s="23" t="str">
        <f t="shared" si="103"/>
        <v/>
      </c>
      <c r="F671" s="23" t="str">
        <f ca="1">IF(A671="","",IF($B$10="Sí",interpolar_alamb(B671,OFFSET(Curvas_cupon_cero!$A$1,1,0,COUNT(Curvas_cupon_cero!$A:$A)-2,1),OFFSET(Curvas_cupon_cero!$A$1,1,MATCH($B$9,Curvas_cupon_cero!$1:$1,0)-1,COUNT(Curvas_cupon_cero!$A:$A)-2,1)),[1]!interpolar(B671,OFFSET(Curvas_cupon_cero!$A$1,1,0,COUNT(Curvas_cupon_cero!$A:$A)-2,1),OFFSET(Curvas_cupon_cero!$A$1,1,MATCH($B$9,Curvas_cupon_cero!$1:$1,0)-1,COUNT(Curvas_cupon_cero!$A:$A)-2,1))))</f>
        <v/>
      </c>
      <c r="G671" s="23" t="str">
        <f t="shared" si="104"/>
        <v/>
      </c>
      <c r="H671" s="20" t="str">
        <f t="shared" si="109"/>
        <v/>
      </c>
      <c r="I671" t="str">
        <f t="shared" si="105"/>
        <v/>
      </c>
      <c r="J671" s="17" t="str">
        <f t="shared" si="101"/>
        <v/>
      </c>
      <c r="K671" s="18" t="str">
        <f t="shared" si="106"/>
        <v/>
      </c>
      <c r="L671" t="str">
        <f t="shared" si="107"/>
        <v/>
      </c>
      <c r="M671" s="23" t="str">
        <f ca="1">IF(A671="","",IF($B$10="Sí",interpolar_alamb(L671,OFFSET(Curvas_cupon_cero!$A$1,1,0,COUNT(Curvas_cupon_cero!$A:$A)-2,1),OFFSET(Curvas_cupon_cero!$A$1,1,MATCH($B$6,Curvas_cupon_cero!$1:$1,0)-1,COUNT(Curvas_cupon_cero!$A:$A)-2,1)),[1]!interpolar(L671,OFFSET(Curvas_cupon_cero!$A$1,1,0,COUNT(Curvas_cupon_cero!$A:$A)-2,1),OFFSET(Curvas_cupon_cero!$A$1,1,MATCH($B$6,Curvas_cupon_cero!$1:$1,0)-1,COUNT(Curvas_cupon_cero!$A:$A)-2,1))))</f>
        <v/>
      </c>
      <c r="N671" s="23"/>
      <c r="O671" s="19" t="str">
        <f t="shared" si="108"/>
        <v/>
      </c>
    </row>
    <row r="672" spans="1:15" x14ac:dyDescent="0.2">
      <c r="A672" s="12" t="str">
        <f t="shared" si="102"/>
        <v/>
      </c>
      <c r="B672" t="str">
        <f t="shared" si="100"/>
        <v/>
      </c>
      <c r="C672" s="21" t="str">
        <f ca="1">IF(A672="","",IF($B$10="Sí",interpolar_alamb(B672,OFFSET(Curvas_cupon_cero!$A$1,1,0,COUNT(Curvas_cupon_cero!$A:$A)-2,1),OFFSET(Curvas_cupon_cero!$A$1,1,MATCH($B$8,Curvas_cupon_cero!$1:$1,0)-1,COUNT(Curvas_cupon_cero!$A:$A)-2,1)),[1]!interpolar(B672,OFFSET(Curvas_cupon_cero!$A$1,1,0,COUNT(Curvas_cupon_cero!$A:$A)-2,1),OFFSET(Curvas_cupon_cero!$A$1,1,MATCH($B$8,Curvas_cupon_cero!$1:$1,0)-1,COUNT(Curvas_cupon_cero!$A:$A)-2,1))))</f>
        <v/>
      </c>
      <c r="D672" s="23" t="str">
        <f ca="1">IF(A672="","",IF($B$10="Sí",interpolar_alamb(L672,OFFSET(Curvas_cupon_cero!$A$1,1,0,COUNT(Curvas_cupon_cero!$A:$A)-2,1),OFFSET(Curvas_cupon_cero!$A$1,1,MATCH($B$8,Curvas_cupon_cero!$1:$1,0)-1,COUNT(Curvas_cupon_cero!$A:$A)-2,1)),[1]!interpolar(L672,OFFSET(Curvas_cupon_cero!$A$1,1,0,COUNT(Curvas_cupon_cero!$A:$A)-2,1),OFFSET(Curvas_cupon_cero!$A$1,1,MATCH($B$8,Curvas_cupon_cero!$1:$1,0)-1,COUNT(Curvas_cupon_cero!$A:$A)-2,1))))</f>
        <v/>
      </c>
      <c r="E672" s="23" t="str">
        <f t="shared" si="103"/>
        <v/>
      </c>
      <c r="F672" s="23" t="str">
        <f ca="1">IF(A672="","",IF($B$10="Sí",interpolar_alamb(B672,OFFSET(Curvas_cupon_cero!$A$1,1,0,COUNT(Curvas_cupon_cero!$A:$A)-2,1),OFFSET(Curvas_cupon_cero!$A$1,1,MATCH($B$9,Curvas_cupon_cero!$1:$1,0)-1,COUNT(Curvas_cupon_cero!$A:$A)-2,1)),[1]!interpolar(B672,OFFSET(Curvas_cupon_cero!$A$1,1,0,COUNT(Curvas_cupon_cero!$A:$A)-2,1),OFFSET(Curvas_cupon_cero!$A$1,1,MATCH($B$9,Curvas_cupon_cero!$1:$1,0)-1,COUNT(Curvas_cupon_cero!$A:$A)-2,1))))</f>
        <v/>
      </c>
      <c r="G672" s="23" t="str">
        <f t="shared" si="104"/>
        <v/>
      </c>
      <c r="H672" s="20" t="str">
        <f t="shared" si="109"/>
        <v/>
      </c>
      <c r="I672" t="str">
        <f t="shared" si="105"/>
        <v/>
      </c>
      <c r="J672" s="17" t="str">
        <f t="shared" si="101"/>
        <v/>
      </c>
      <c r="K672" s="18" t="str">
        <f t="shared" si="106"/>
        <v/>
      </c>
      <c r="L672" t="str">
        <f t="shared" si="107"/>
        <v/>
      </c>
      <c r="M672" s="23" t="str">
        <f ca="1">IF(A672="","",IF($B$10="Sí",interpolar_alamb(L672,OFFSET(Curvas_cupon_cero!$A$1,1,0,COUNT(Curvas_cupon_cero!$A:$A)-2,1),OFFSET(Curvas_cupon_cero!$A$1,1,MATCH($B$6,Curvas_cupon_cero!$1:$1,0)-1,COUNT(Curvas_cupon_cero!$A:$A)-2,1)),[1]!interpolar(L672,OFFSET(Curvas_cupon_cero!$A$1,1,0,COUNT(Curvas_cupon_cero!$A:$A)-2,1),OFFSET(Curvas_cupon_cero!$A$1,1,MATCH($B$6,Curvas_cupon_cero!$1:$1,0)-1,COUNT(Curvas_cupon_cero!$A:$A)-2,1))))</f>
        <v/>
      </c>
      <c r="N672" s="23"/>
      <c r="O672" s="19" t="str">
        <f t="shared" si="108"/>
        <v/>
      </c>
    </row>
    <row r="673" spans="1:15" x14ac:dyDescent="0.2">
      <c r="A673" s="12" t="str">
        <f t="shared" si="102"/>
        <v/>
      </c>
      <c r="B673" t="str">
        <f t="shared" si="100"/>
        <v/>
      </c>
      <c r="C673" s="21" t="str">
        <f ca="1">IF(A673="","",IF($B$10="Sí",interpolar_alamb(B673,OFFSET(Curvas_cupon_cero!$A$1,1,0,COUNT(Curvas_cupon_cero!$A:$A)-2,1),OFFSET(Curvas_cupon_cero!$A$1,1,MATCH($B$8,Curvas_cupon_cero!$1:$1,0)-1,COUNT(Curvas_cupon_cero!$A:$A)-2,1)),[1]!interpolar(B673,OFFSET(Curvas_cupon_cero!$A$1,1,0,COUNT(Curvas_cupon_cero!$A:$A)-2,1),OFFSET(Curvas_cupon_cero!$A$1,1,MATCH($B$8,Curvas_cupon_cero!$1:$1,0)-1,COUNT(Curvas_cupon_cero!$A:$A)-2,1))))</f>
        <v/>
      </c>
      <c r="D673" s="23" t="str">
        <f ca="1">IF(A673="","",IF($B$10="Sí",interpolar_alamb(L673,OFFSET(Curvas_cupon_cero!$A$1,1,0,COUNT(Curvas_cupon_cero!$A:$A)-2,1),OFFSET(Curvas_cupon_cero!$A$1,1,MATCH($B$8,Curvas_cupon_cero!$1:$1,0)-1,COUNT(Curvas_cupon_cero!$A:$A)-2,1)),[1]!interpolar(L673,OFFSET(Curvas_cupon_cero!$A$1,1,0,COUNT(Curvas_cupon_cero!$A:$A)-2,1),OFFSET(Curvas_cupon_cero!$A$1,1,MATCH($B$8,Curvas_cupon_cero!$1:$1,0)-1,COUNT(Curvas_cupon_cero!$A:$A)-2,1))))</f>
        <v/>
      </c>
      <c r="E673" s="23" t="str">
        <f t="shared" si="103"/>
        <v/>
      </c>
      <c r="F673" s="23" t="str">
        <f ca="1">IF(A673="","",IF($B$10="Sí",interpolar_alamb(B673,OFFSET(Curvas_cupon_cero!$A$1,1,0,COUNT(Curvas_cupon_cero!$A:$A)-2,1),OFFSET(Curvas_cupon_cero!$A$1,1,MATCH($B$9,Curvas_cupon_cero!$1:$1,0)-1,COUNT(Curvas_cupon_cero!$A:$A)-2,1)),[1]!interpolar(B673,OFFSET(Curvas_cupon_cero!$A$1,1,0,COUNT(Curvas_cupon_cero!$A:$A)-2,1),OFFSET(Curvas_cupon_cero!$A$1,1,MATCH($B$9,Curvas_cupon_cero!$1:$1,0)-1,COUNT(Curvas_cupon_cero!$A:$A)-2,1))))</f>
        <v/>
      </c>
      <c r="G673" s="23" t="str">
        <f t="shared" si="104"/>
        <v/>
      </c>
      <c r="H673" s="20" t="str">
        <f t="shared" si="109"/>
        <v/>
      </c>
      <c r="I673" t="str">
        <f t="shared" si="105"/>
        <v/>
      </c>
      <c r="J673" s="17" t="str">
        <f t="shared" si="101"/>
        <v/>
      </c>
      <c r="K673" s="18" t="str">
        <f t="shared" si="106"/>
        <v/>
      </c>
      <c r="L673" t="str">
        <f t="shared" si="107"/>
        <v/>
      </c>
      <c r="M673" s="23" t="str">
        <f ca="1">IF(A673="","",IF($B$10="Sí",interpolar_alamb(L673,OFFSET(Curvas_cupon_cero!$A$1,1,0,COUNT(Curvas_cupon_cero!$A:$A)-2,1),OFFSET(Curvas_cupon_cero!$A$1,1,MATCH($B$6,Curvas_cupon_cero!$1:$1,0)-1,COUNT(Curvas_cupon_cero!$A:$A)-2,1)),[1]!interpolar(L673,OFFSET(Curvas_cupon_cero!$A$1,1,0,COUNT(Curvas_cupon_cero!$A:$A)-2,1),OFFSET(Curvas_cupon_cero!$A$1,1,MATCH($B$6,Curvas_cupon_cero!$1:$1,0)-1,COUNT(Curvas_cupon_cero!$A:$A)-2,1))))</f>
        <v/>
      </c>
      <c r="N673" s="23"/>
      <c r="O673" s="19" t="str">
        <f t="shared" si="108"/>
        <v/>
      </c>
    </row>
    <row r="674" spans="1:15" x14ac:dyDescent="0.2">
      <c r="A674" s="12" t="str">
        <f t="shared" si="102"/>
        <v/>
      </c>
      <c r="B674" t="str">
        <f t="shared" si="100"/>
        <v/>
      </c>
      <c r="C674" s="21" t="str">
        <f ca="1">IF(A674="","",IF($B$10="Sí",interpolar_alamb(B674,OFFSET(Curvas_cupon_cero!$A$1,1,0,COUNT(Curvas_cupon_cero!$A:$A)-2,1),OFFSET(Curvas_cupon_cero!$A$1,1,MATCH($B$8,Curvas_cupon_cero!$1:$1,0)-1,COUNT(Curvas_cupon_cero!$A:$A)-2,1)),[1]!interpolar(B674,OFFSET(Curvas_cupon_cero!$A$1,1,0,COUNT(Curvas_cupon_cero!$A:$A)-2,1),OFFSET(Curvas_cupon_cero!$A$1,1,MATCH($B$8,Curvas_cupon_cero!$1:$1,0)-1,COUNT(Curvas_cupon_cero!$A:$A)-2,1))))</f>
        <v/>
      </c>
      <c r="D674" s="23" t="str">
        <f ca="1">IF(A674="","",IF($B$10="Sí",interpolar_alamb(L674,OFFSET(Curvas_cupon_cero!$A$1,1,0,COUNT(Curvas_cupon_cero!$A:$A)-2,1),OFFSET(Curvas_cupon_cero!$A$1,1,MATCH($B$8,Curvas_cupon_cero!$1:$1,0)-1,COUNT(Curvas_cupon_cero!$A:$A)-2,1)),[1]!interpolar(L674,OFFSET(Curvas_cupon_cero!$A$1,1,0,COUNT(Curvas_cupon_cero!$A:$A)-2,1),OFFSET(Curvas_cupon_cero!$A$1,1,MATCH($B$8,Curvas_cupon_cero!$1:$1,0)-1,COUNT(Curvas_cupon_cero!$A:$A)-2,1))))</f>
        <v/>
      </c>
      <c r="E674" s="23" t="str">
        <f t="shared" si="103"/>
        <v/>
      </c>
      <c r="F674" s="23" t="str">
        <f ca="1">IF(A674="","",IF($B$10="Sí",interpolar_alamb(B674,OFFSET(Curvas_cupon_cero!$A$1,1,0,COUNT(Curvas_cupon_cero!$A:$A)-2,1),OFFSET(Curvas_cupon_cero!$A$1,1,MATCH($B$9,Curvas_cupon_cero!$1:$1,0)-1,COUNT(Curvas_cupon_cero!$A:$A)-2,1)),[1]!interpolar(B674,OFFSET(Curvas_cupon_cero!$A$1,1,0,COUNT(Curvas_cupon_cero!$A:$A)-2,1),OFFSET(Curvas_cupon_cero!$A$1,1,MATCH($B$9,Curvas_cupon_cero!$1:$1,0)-1,COUNT(Curvas_cupon_cero!$A:$A)-2,1))))</f>
        <v/>
      </c>
      <c r="G674" s="23" t="str">
        <f t="shared" si="104"/>
        <v/>
      </c>
      <c r="H674" s="20" t="str">
        <f t="shared" si="109"/>
        <v/>
      </c>
      <c r="I674" t="str">
        <f t="shared" si="105"/>
        <v/>
      </c>
      <c r="J674" s="17" t="str">
        <f t="shared" si="101"/>
        <v/>
      </c>
      <c r="K674" s="18" t="str">
        <f t="shared" si="106"/>
        <v/>
      </c>
      <c r="L674" t="str">
        <f t="shared" si="107"/>
        <v/>
      </c>
      <c r="M674" s="23" t="str">
        <f ca="1">IF(A674="","",IF($B$10="Sí",interpolar_alamb(L674,OFFSET(Curvas_cupon_cero!$A$1,1,0,COUNT(Curvas_cupon_cero!$A:$A)-2,1),OFFSET(Curvas_cupon_cero!$A$1,1,MATCH($B$6,Curvas_cupon_cero!$1:$1,0)-1,COUNT(Curvas_cupon_cero!$A:$A)-2,1)),[1]!interpolar(L674,OFFSET(Curvas_cupon_cero!$A$1,1,0,COUNT(Curvas_cupon_cero!$A:$A)-2,1),OFFSET(Curvas_cupon_cero!$A$1,1,MATCH($B$6,Curvas_cupon_cero!$1:$1,0)-1,COUNT(Curvas_cupon_cero!$A:$A)-2,1))))</f>
        <v/>
      </c>
      <c r="N674" s="23"/>
      <c r="O674" s="19" t="str">
        <f t="shared" si="108"/>
        <v/>
      </c>
    </row>
    <row r="675" spans="1:15" x14ac:dyDescent="0.2">
      <c r="A675" s="12" t="str">
        <f t="shared" si="102"/>
        <v/>
      </c>
      <c r="B675" t="str">
        <f t="shared" si="100"/>
        <v/>
      </c>
      <c r="C675" s="21" t="str">
        <f ca="1">IF(A675="","",IF($B$10="Sí",interpolar_alamb(B675,OFFSET(Curvas_cupon_cero!$A$1,1,0,COUNT(Curvas_cupon_cero!$A:$A)-2,1),OFFSET(Curvas_cupon_cero!$A$1,1,MATCH($B$8,Curvas_cupon_cero!$1:$1,0)-1,COUNT(Curvas_cupon_cero!$A:$A)-2,1)),[1]!interpolar(B675,OFFSET(Curvas_cupon_cero!$A$1,1,0,COUNT(Curvas_cupon_cero!$A:$A)-2,1),OFFSET(Curvas_cupon_cero!$A$1,1,MATCH($B$8,Curvas_cupon_cero!$1:$1,0)-1,COUNT(Curvas_cupon_cero!$A:$A)-2,1))))</f>
        <v/>
      </c>
      <c r="D675" s="23" t="str">
        <f ca="1">IF(A675="","",IF($B$10="Sí",interpolar_alamb(L675,OFFSET(Curvas_cupon_cero!$A$1,1,0,COUNT(Curvas_cupon_cero!$A:$A)-2,1),OFFSET(Curvas_cupon_cero!$A$1,1,MATCH($B$8,Curvas_cupon_cero!$1:$1,0)-1,COUNT(Curvas_cupon_cero!$A:$A)-2,1)),[1]!interpolar(L675,OFFSET(Curvas_cupon_cero!$A$1,1,0,COUNT(Curvas_cupon_cero!$A:$A)-2,1),OFFSET(Curvas_cupon_cero!$A$1,1,MATCH($B$8,Curvas_cupon_cero!$1:$1,0)-1,COUNT(Curvas_cupon_cero!$A:$A)-2,1))))</f>
        <v/>
      </c>
      <c r="E675" s="23" t="str">
        <f t="shared" si="103"/>
        <v/>
      </c>
      <c r="F675" s="23" t="str">
        <f ca="1">IF(A675="","",IF($B$10="Sí",interpolar_alamb(B675,OFFSET(Curvas_cupon_cero!$A$1,1,0,COUNT(Curvas_cupon_cero!$A:$A)-2,1),OFFSET(Curvas_cupon_cero!$A$1,1,MATCH($B$9,Curvas_cupon_cero!$1:$1,0)-1,COUNT(Curvas_cupon_cero!$A:$A)-2,1)),[1]!interpolar(B675,OFFSET(Curvas_cupon_cero!$A$1,1,0,COUNT(Curvas_cupon_cero!$A:$A)-2,1),OFFSET(Curvas_cupon_cero!$A$1,1,MATCH($B$9,Curvas_cupon_cero!$1:$1,0)-1,COUNT(Curvas_cupon_cero!$A:$A)-2,1))))</f>
        <v/>
      </c>
      <c r="G675" s="23" t="str">
        <f t="shared" si="104"/>
        <v/>
      </c>
      <c r="H675" s="20" t="str">
        <f t="shared" si="109"/>
        <v/>
      </c>
      <c r="I675" t="str">
        <f t="shared" si="105"/>
        <v/>
      </c>
      <c r="J675" s="17" t="str">
        <f t="shared" si="101"/>
        <v/>
      </c>
      <c r="K675" s="18" t="str">
        <f t="shared" si="106"/>
        <v/>
      </c>
      <c r="L675" t="str">
        <f t="shared" si="107"/>
        <v/>
      </c>
      <c r="M675" s="23" t="str">
        <f ca="1">IF(A675="","",IF($B$10="Sí",interpolar_alamb(L675,OFFSET(Curvas_cupon_cero!$A$1,1,0,COUNT(Curvas_cupon_cero!$A:$A)-2,1),OFFSET(Curvas_cupon_cero!$A$1,1,MATCH($B$6,Curvas_cupon_cero!$1:$1,0)-1,COUNT(Curvas_cupon_cero!$A:$A)-2,1)),[1]!interpolar(L675,OFFSET(Curvas_cupon_cero!$A$1,1,0,COUNT(Curvas_cupon_cero!$A:$A)-2,1),OFFSET(Curvas_cupon_cero!$A$1,1,MATCH($B$6,Curvas_cupon_cero!$1:$1,0)-1,COUNT(Curvas_cupon_cero!$A:$A)-2,1))))</f>
        <v/>
      </c>
      <c r="N675" s="23"/>
      <c r="O675" s="19" t="str">
        <f t="shared" si="108"/>
        <v/>
      </c>
    </row>
    <row r="676" spans="1:15" x14ac:dyDescent="0.2">
      <c r="A676" s="12" t="str">
        <f t="shared" si="102"/>
        <v/>
      </c>
      <c r="B676" t="str">
        <f t="shared" si="100"/>
        <v/>
      </c>
      <c r="C676" s="21" t="str">
        <f ca="1">IF(A676="","",IF($B$10="Sí",interpolar_alamb(B676,OFFSET(Curvas_cupon_cero!$A$1,1,0,COUNT(Curvas_cupon_cero!$A:$A)-2,1),OFFSET(Curvas_cupon_cero!$A$1,1,MATCH($B$8,Curvas_cupon_cero!$1:$1,0)-1,COUNT(Curvas_cupon_cero!$A:$A)-2,1)),[1]!interpolar(B676,OFFSET(Curvas_cupon_cero!$A$1,1,0,COUNT(Curvas_cupon_cero!$A:$A)-2,1),OFFSET(Curvas_cupon_cero!$A$1,1,MATCH($B$8,Curvas_cupon_cero!$1:$1,0)-1,COUNT(Curvas_cupon_cero!$A:$A)-2,1))))</f>
        <v/>
      </c>
      <c r="D676" s="23" t="str">
        <f ca="1">IF(A676="","",IF($B$10="Sí",interpolar_alamb(L676,OFFSET(Curvas_cupon_cero!$A$1,1,0,COUNT(Curvas_cupon_cero!$A:$A)-2,1),OFFSET(Curvas_cupon_cero!$A$1,1,MATCH($B$8,Curvas_cupon_cero!$1:$1,0)-1,COUNT(Curvas_cupon_cero!$A:$A)-2,1)),[1]!interpolar(L676,OFFSET(Curvas_cupon_cero!$A$1,1,0,COUNT(Curvas_cupon_cero!$A:$A)-2,1),OFFSET(Curvas_cupon_cero!$A$1,1,MATCH($B$8,Curvas_cupon_cero!$1:$1,0)-1,COUNT(Curvas_cupon_cero!$A:$A)-2,1))))</f>
        <v/>
      </c>
      <c r="E676" s="23" t="str">
        <f t="shared" si="103"/>
        <v/>
      </c>
      <c r="F676" s="23" t="str">
        <f ca="1">IF(A676="","",IF($B$10="Sí",interpolar_alamb(B676,OFFSET(Curvas_cupon_cero!$A$1,1,0,COUNT(Curvas_cupon_cero!$A:$A)-2,1),OFFSET(Curvas_cupon_cero!$A$1,1,MATCH($B$9,Curvas_cupon_cero!$1:$1,0)-1,COUNT(Curvas_cupon_cero!$A:$A)-2,1)),[1]!interpolar(B676,OFFSET(Curvas_cupon_cero!$A$1,1,0,COUNT(Curvas_cupon_cero!$A:$A)-2,1),OFFSET(Curvas_cupon_cero!$A$1,1,MATCH($B$9,Curvas_cupon_cero!$1:$1,0)-1,COUNT(Curvas_cupon_cero!$A:$A)-2,1))))</f>
        <v/>
      </c>
      <c r="G676" s="23" t="str">
        <f t="shared" si="104"/>
        <v/>
      </c>
      <c r="H676" s="20" t="str">
        <f t="shared" si="109"/>
        <v/>
      </c>
      <c r="I676" t="str">
        <f t="shared" si="105"/>
        <v/>
      </c>
      <c r="J676" s="17" t="str">
        <f t="shared" si="101"/>
        <v/>
      </c>
      <c r="K676" s="18" t="str">
        <f t="shared" si="106"/>
        <v/>
      </c>
      <c r="L676" t="str">
        <f t="shared" si="107"/>
        <v/>
      </c>
      <c r="M676" s="23" t="str">
        <f ca="1">IF(A676="","",IF($B$10="Sí",interpolar_alamb(L676,OFFSET(Curvas_cupon_cero!$A$1,1,0,COUNT(Curvas_cupon_cero!$A:$A)-2,1),OFFSET(Curvas_cupon_cero!$A$1,1,MATCH($B$6,Curvas_cupon_cero!$1:$1,0)-1,COUNT(Curvas_cupon_cero!$A:$A)-2,1)),[1]!interpolar(L676,OFFSET(Curvas_cupon_cero!$A$1,1,0,COUNT(Curvas_cupon_cero!$A:$A)-2,1),OFFSET(Curvas_cupon_cero!$A$1,1,MATCH($B$6,Curvas_cupon_cero!$1:$1,0)-1,COUNT(Curvas_cupon_cero!$A:$A)-2,1))))</f>
        <v/>
      </c>
      <c r="N676" s="23"/>
      <c r="O676" s="19" t="str">
        <f t="shared" si="108"/>
        <v/>
      </c>
    </row>
    <row r="677" spans="1:15" x14ac:dyDescent="0.2">
      <c r="A677" s="12" t="str">
        <f t="shared" si="102"/>
        <v/>
      </c>
      <c r="B677" t="str">
        <f t="shared" si="100"/>
        <v/>
      </c>
      <c r="C677" s="21" t="str">
        <f ca="1">IF(A677="","",IF($B$10="Sí",interpolar_alamb(B677,OFFSET(Curvas_cupon_cero!$A$1,1,0,COUNT(Curvas_cupon_cero!$A:$A)-2,1),OFFSET(Curvas_cupon_cero!$A$1,1,MATCH($B$8,Curvas_cupon_cero!$1:$1,0)-1,COUNT(Curvas_cupon_cero!$A:$A)-2,1)),[1]!interpolar(B677,OFFSET(Curvas_cupon_cero!$A$1,1,0,COUNT(Curvas_cupon_cero!$A:$A)-2,1),OFFSET(Curvas_cupon_cero!$A$1,1,MATCH($B$8,Curvas_cupon_cero!$1:$1,0)-1,COUNT(Curvas_cupon_cero!$A:$A)-2,1))))</f>
        <v/>
      </c>
      <c r="D677" s="23" t="str">
        <f ca="1">IF(A677="","",IF($B$10="Sí",interpolar_alamb(L677,OFFSET(Curvas_cupon_cero!$A$1,1,0,COUNT(Curvas_cupon_cero!$A:$A)-2,1),OFFSET(Curvas_cupon_cero!$A$1,1,MATCH($B$8,Curvas_cupon_cero!$1:$1,0)-1,COUNT(Curvas_cupon_cero!$A:$A)-2,1)),[1]!interpolar(L677,OFFSET(Curvas_cupon_cero!$A$1,1,0,COUNT(Curvas_cupon_cero!$A:$A)-2,1),OFFSET(Curvas_cupon_cero!$A$1,1,MATCH($B$8,Curvas_cupon_cero!$1:$1,0)-1,COUNT(Curvas_cupon_cero!$A:$A)-2,1))))</f>
        <v/>
      </c>
      <c r="E677" s="23" t="str">
        <f t="shared" si="103"/>
        <v/>
      </c>
      <c r="F677" s="23" t="str">
        <f ca="1">IF(A677="","",IF($B$10="Sí",interpolar_alamb(B677,OFFSET(Curvas_cupon_cero!$A$1,1,0,COUNT(Curvas_cupon_cero!$A:$A)-2,1),OFFSET(Curvas_cupon_cero!$A$1,1,MATCH($B$9,Curvas_cupon_cero!$1:$1,0)-1,COUNT(Curvas_cupon_cero!$A:$A)-2,1)),[1]!interpolar(B677,OFFSET(Curvas_cupon_cero!$A$1,1,0,COUNT(Curvas_cupon_cero!$A:$A)-2,1),OFFSET(Curvas_cupon_cero!$A$1,1,MATCH($B$9,Curvas_cupon_cero!$1:$1,0)-1,COUNT(Curvas_cupon_cero!$A:$A)-2,1))))</f>
        <v/>
      </c>
      <c r="G677" s="23" t="str">
        <f t="shared" si="104"/>
        <v/>
      </c>
      <c r="H677" s="20" t="str">
        <f t="shared" si="109"/>
        <v/>
      </c>
      <c r="I677" t="str">
        <f t="shared" si="105"/>
        <v/>
      </c>
      <c r="J677" s="17" t="str">
        <f t="shared" si="101"/>
        <v/>
      </c>
      <c r="K677" s="18" t="str">
        <f t="shared" si="106"/>
        <v/>
      </c>
      <c r="L677" t="str">
        <f t="shared" si="107"/>
        <v/>
      </c>
      <c r="M677" s="23" t="str">
        <f ca="1">IF(A677="","",IF($B$10="Sí",interpolar_alamb(L677,OFFSET(Curvas_cupon_cero!$A$1,1,0,COUNT(Curvas_cupon_cero!$A:$A)-2,1),OFFSET(Curvas_cupon_cero!$A$1,1,MATCH($B$6,Curvas_cupon_cero!$1:$1,0)-1,COUNT(Curvas_cupon_cero!$A:$A)-2,1)),[1]!interpolar(L677,OFFSET(Curvas_cupon_cero!$A$1,1,0,COUNT(Curvas_cupon_cero!$A:$A)-2,1),OFFSET(Curvas_cupon_cero!$A$1,1,MATCH($B$6,Curvas_cupon_cero!$1:$1,0)-1,COUNT(Curvas_cupon_cero!$A:$A)-2,1))))</f>
        <v/>
      </c>
      <c r="N677" s="23"/>
      <c r="O677" s="19" t="str">
        <f t="shared" si="108"/>
        <v/>
      </c>
    </row>
    <row r="678" spans="1:15" x14ac:dyDescent="0.2">
      <c r="A678" s="12" t="str">
        <f t="shared" si="102"/>
        <v/>
      </c>
      <c r="B678" t="str">
        <f t="shared" si="100"/>
        <v/>
      </c>
      <c r="C678" s="21" t="str">
        <f ca="1">IF(A678="","",IF($B$10="Sí",interpolar_alamb(B678,OFFSET(Curvas_cupon_cero!$A$1,1,0,COUNT(Curvas_cupon_cero!$A:$A)-2,1),OFFSET(Curvas_cupon_cero!$A$1,1,MATCH($B$8,Curvas_cupon_cero!$1:$1,0)-1,COUNT(Curvas_cupon_cero!$A:$A)-2,1)),[1]!interpolar(B678,OFFSET(Curvas_cupon_cero!$A$1,1,0,COUNT(Curvas_cupon_cero!$A:$A)-2,1),OFFSET(Curvas_cupon_cero!$A$1,1,MATCH($B$8,Curvas_cupon_cero!$1:$1,0)-1,COUNT(Curvas_cupon_cero!$A:$A)-2,1))))</f>
        <v/>
      </c>
      <c r="D678" s="23" t="str">
        <f ca="1">IF(A678="","",IF($B$10="Sí",interpolar_alamb(L678,OFFSET(Curvas_cupon_cero!$A$1,1,0,COUNT(Curvas_cupon_cero!$A:$A)-2,1),OFFSET(Curvas_cupon_cero!$A$1,1,MATCH($B$8,Curvas_cupon_cero!$1:$1,0)-1,COUNT(Curvas_cupon_cero!$A:$A)-2,1)),[1]!interpolar(L678,OFFSET(Curvas_cupon_cero!$A$1,1,0,COUNT(Curvas_cupon_cero!$A:$A)-2,1),OFFSET(Curvas_cupon_cero!$A$1,1,MATCH($B$8,Curvas_cupon_cero!$1:$1,0)-1,COUNT(Curvas_cupon_cero!$A:$A)-2,1))))</f>
        <v/>
      </c>
      <c r="E678" s="23" t="str">
        <f t="shared" si="103"/>
        <v/>
      </c>
      <c r="F678" s="23" t="str">
        <f ca="1">IF(A678="","",IF($B$10="Sí",interpolar_alamb(B678,OFFSET(Curvas_cupon_cero!$A$1,1,0,COUNT(Curvas_cupon_cero!$A:$A)-2,1),OFFSET(Curvas_cupon_cero!$A$1,1,MATCH($B$9,Curvas_cupon_cero!$1:$1,0)-1,COUNT(Curvas_cupon_cero!$A:$A)-2,1)),[1]!interpolar(B678,OFFSET(Curvas_cupon_cero!$A$1,1,0,COUNT(Curvas_cupon_cero!$A:$A)-2,1),OFFSET(Curvas_cupon_cero!$A$1,1,MATCH($B$9,Curvas_cupon_cero!$1:$1,0)-1,COUNT(Curvas_cupon_cero!$A:$A)-2,1))))</f>
        <v/>
      </c>
      <c r="G678" s="23" t="str">
        <f t="shared" si="104"/>
        <v/>
      </c>
      <c r="H678" s="20" t="str">
        <f t="shared" si="109"/>
        <v/>
      </c>
      <c r="I678" t="str">
        <f t="shared" si="105"/>
        <v/>
      </c>
      <c r="J678" s="17" t="str">
        <f t="shared" si="101"/>
        <v/>
      </c>
      <c r="K678" s="18" t="str">
        <f t="shared" si="106"/>
        <v/>
      </c>
      <c r="L678" t="str">
        <f t="shared" si="107"/>
        <v/>
      </c>
      <c r="M678" s="23" t="str">
        <f ca="1">IF(A678="","",IF($B$10="Sí",interpolar_alamb(L678,OFFSET(Curvas_cupon_cero!$A$1,1,0,COUNT(Curvas_cupon_cero!$A:$A)-2,1),OFFSET(Curvas_cupon_cero!$A$1,1,MATCH($B$6,Curvas_cupon_cero!$1:$1,0)-1,COUNT(Curvas_cupon_cero!$A:$A)-2,1)),[1]!interpolar(L678,OFFSET(Curvas_cupon_cero!$A$1,1,0,COUNT(Curvas_cupon_cero!$A:$A)-2,1),OFFSET(Curvas_cupon_cero!$A$1,1,MATCH($B$6,Curvas_cupon_cero!$1:$1,0)-1,COUNT(Curvas_cupon_cero!$A:$A)-2,1))))</f>
        <v/>
      </c>
      <c r="N678" s="23"/>
      <c r="O678" s="19" t="str">
        <f t="shared" si="108"/>
        <v/>
      </c>
    </row>
    <row r="679" spans="1:15" x14ac:dyDescent="0.2">
      <c r="A679" s="12" t="str">
        <f t="shared" si="102"/>
        <v/>
      </c>
      <c r="B679" t="str">
        <f t="shared" si="100"/>
        <v/>
      </c>
      <c r="C679" s="21" t="str">
        <f ca="1">IF(A679="","",IF($B$10="Sí",interpolar_alamb(B679,OFFSET(Curvas_cupon_cero!$A$1,1,0,COUNT(Curvas_cupon_cero!$A:$A)-2,1),OFFSET(Curvas_cupon_cero!$A$1,1,MATCH($B$8,Curvas_cupon_cero!$1:$1,0)-1,COUNT(Curvas_cupon_cero!$A:$A)-2,1)),[1]!interpolar(B679,OFFSET(Curvas_cupon_cero!$A$1,1,0,COUNT(Curvas_cupon_cero!$A:$A)-2,1),OFFSET(Curvas_cupon_cero!$A$1,1,MATCH($B$8,Curvas_cupon_cero!$1:$1,0)-1,COUNT(Curvas_cupon_cero!$A:$A)-2,1))))</f>
        <v/>
      </c>
      <c r="D679" s="23" t="str">
        <f ca="1">IF(A679="","",IF($B$10="Sí",interpolar_alamb(L679,OFFSET(Curvas_cupon_cero!$A$1,1,0,COUNT(Curvas_cupon_cero!$A:$A)-2,1),OFFSET(Curvas_cupon_cero!$A$1,1,MATCH($B$8,Curvas_cupon_cero!$1:$1,0)-1,COUNT(Curvas_cupon_cero!$A:$A)-2,1)),[1]!interpolar(L679,OFFSET(Curvas_cupon_cero!$A$1,1,0,COUNT(Curvas_cupon_cero!$A:$A)-2,1),OFFSET(Curvas_cupon_cero!$A$1,1,MATCH($B$8,Curvas_cupon_cero!$1:$1,0)-1,COUNT(Curvas_cupon_cero!$A:$A)-2,1))))</f>
        <v/>
      </c>
      <c r="E679" s="23" t="str">
        <f t="shared" si="103"/>
        <v/>
      </c>
      <c r="F679" s="23" t="str">
        <f ca="1">IF(A679="","",IF($B$10="Sí",interpolar_alamb(B679,OFFSET(Curvas_cupon_cero!$A$1,1,0,COUNT(Curvas_cupon_cero!$A:$A)-2,1),OFFSET(Curvas_cupon_cero!$A$1,1,MATCH($B$9,Curvas_cupon_cero!$1:$1,0)-1,COUNT(Curvas_cupon_cero!$A:$A)-2,1)),[1]!interpolar(B679,OFFSET(Curvas_cupon_cero!$A$1,1,0,COUNT(Curvas_cupon_cero!$A:$A)-2,1),OFFSET(Curvas_cupon_cero!$A$1,1,MATCH($B$9,Curvas_cupon_cero!$1:$1,0)-1,COUNT(Curvas_cupon_cero!$A:$A)-2,1))))</f>
        <v/>
      </c>
      <c r="G679" s="23" t="str">
        <f t="shared" si="104"/>
        <v/>
      </c>
      <c r="H679" s="20" t="str">
        <f t="shared" si="109"/>
        <v/>
      </c>
      <c r="I679" t="str">
        <f t="shared" si="105"/>
        <v/>
      </c>
      <c r="J679" s="17" t="str">
        <f t="shared" si="101"/>
        <v/>
      </c>
      <c r="K679" s="18" t="str">
        <f t="shared" si="106"/>
        <v/>
      </c>
      <c r="L679" t="str">
        <f t="shared" si="107"/>
        <v/>
      </c>
      <c r="M679" s="23" t="str">
        <f ca="1">IF(A679="","",IF($B$10="Sí",interpolar_alamb(L679,OFFSET(Curvas_cupon_cero!$A$1,1,0,COUNT(Curvas_cupon_cero!$A:$A)-2,1),OFFSET(Curvas_cupon_cero!$A$1,1,MATCH($B$6,Curvas_cupon_cero!$1:$1,0)-1,COUNT(Curvas_cupon_cero!$A:$A)-2,1)),[1]!interpolar(L679,OFFSET(Curvas_cupon_cero!$A$1,1,0,COUNT(Curvas_cupon_cero!$A:$A)-2,1),OFFSET(Curvas_cupon_cero!$A$1,1,MATCH($B$6,Curvas_cupon_cero!$1:$1,0)-1,COUNT(Curvas_cupon_cero!$A:$A)-2,1))))</f>
        <v/>
      </c>
      <c r="N679" s="23"/>
      <c r="O679" s="19" t="str">
        <f t="shared" si="108"/>
        <v/>
      </c>
    </row>
    <row r="680" spans="1:15" x14ac:dyDescent="0.2">
      <c r="A680" s="12" t="str">
        <f t="shared" si="102"/>
        <v/>
      </c>
      <c r="B680" t="str">
        <f t="shared" si="100"/>
        <v/>
      </c>
      <c r="C680" s="21" t="str">
        <f ca="1">IF(A680="","",IF($B$10="Sí",interpolar_alamb(B680,OFFSET(Curvas_cupon_cero!$A$1,1,0,COUNT(Curvas_cupon_cero!$A:$A)-2,1),OFFSET(Curvas_cupon_cero!$A$1,1,MATCH($B$8,Curvas_cupon_cero!$1:$1,0)-1,COUNT(Curvas_cupon_cero!$A:$A)-2,1)),[1]!interpolar(B680,OFFSET(Curvas_cupon_cero!$A$1,1,0,COUNT(Curvas_cupon_cero!$A:$A)-2,1),OFFSET(Curvas_cupon_cero!$A$1,1,MATCH($B$8,Curvas_cupon_cero!$1:$1,0)-1,COUNT(Curvas_cupon_cero!$A:$A)-2,1))))</f>
        <v/>
      </c>
      <c r="D680" s="23" t="str">
        <f ca="1">IF(A680="","",IF($B$10="Sí",interpolar_alamb(L680,OFFSET(Curvas_cupon_cero!$A$1,1,0,COUNT(Curvas_cupon_cero!$A:$A)-2,1),OFFSET(Curvas_cupon_cero!$A$1,1,MATCH($B$8,Curvas_cupon_cero!$1:$1,0)-1,COUNT(Curvas_cupon_cero!$A:$A)-2,1)),[1]!interpolar(L680,OFFSET(Curvas_cupon_cero!$A$1,1,0,COUNT(Curvas_cupon_cero!$A:$A)-2,1),OFFSET(Curvas_cupon_cero!$A$1,1,MATCH($B$8,Curvas_cupon_cero!$1:$1,0)-1,COUNT(Curvas_cupon_cero!$A:$A)-2,1))))</f>
        <v/>
      </c>
      <c r="E680" s="23" t="str">
        <f t="shared" si="103"/>
        <v/>
      </c>
      <c r="F680" s="23" t="str">
        <f ca="1">IF(A680="","",IF($B$10="Sí",interpolar_alamb(B680,OFFSET(Curvas_cupon_cero!$A$1,1,0,COUNT(Curvas_cupon_cero!$A:$A)-2,1),OFFSET(Curvas_cupon_cero!$A$1,1,MATCH($B$9,Curvas_cupon_cero!$1:$1,0)-1,COUNT(Curvas_cupon_cero!$A:$A)-2,1)),[1]!interpolar(B680,OFFSET(Curvas_cupon_cero!$A$1,1,0,COUNT(Curvas_cupon_cero!$A:$A)-2,1),OFFSET(Curvas_cupon_cero!$A$1,1,MATCH($B$9,Curvas_cupon_cero!$1:$1,0)-1,COUNT(Curvas_cupon_cero!$A:$A)-2,1))))</f>
        <v/>
      </c>
      <c r="G680" s="23" t="str">
        <f t="shared" si="104"/>
        <v/>
      </c>
      <c r="H680" s="20" t="str">
        <f t="shared" si="109"/>
        <v/>
      </c>
      <c r="I680" t="str">
        <f t="shared" si="105"/>
        <v/>
      </c>
      <c r="J680" s="17" t="str">
        <f t="shared" si="101"/>
        <v/>
      </c>
      <c r="K680" s="18" t="str">
        <f t="shared" si="106"/>
        <v/>
      </c>
      <c r="L680" t="str">
        <f t="shared" si="107"/>
        <v/>
      </c>
      <c r="M680" s="23" t="str">
        <f ca="1">IF(A680="","",IF($B$10="Sí",interpolar_alamb(L680,OFFSET(Curvas_cupon_cero!$A$1,1,0,COUNT(Curvas_cupon_cero!$A:$A)-2,1),OFFSET(Curvas_cupon_cero!$A$1,1,MATCH($B$6,Curvas_cupon_cero!$1:$1,0)-1,COUNT(Curvas_cupon_cero!$A:$A)-2,1)),[1]!interpolar(L680,OFFSET(Curvas_cupon_cero!$A$1,1,0,COUNT(Curvas_cupon_cero!$A:$A)-2,1),OFFSET(Curvas_cupon_cero!$A$1,1,MATCH($B$6,Curvas_cupon_cero!$1:$1,0)-1,COUNT(Curvas_cupon_cero!$A:$A)-2,1))))</f>
        <v/>
      </c>
      <c r="N680" s="23"/>
      <c r="O680" s="19" t="str">
        <f t="shared" si="108"/>
        <v/>
      </c>
    </row>
    <row r="681" spans="1:15" x14ac:dyDescent="0.2">
      <c r="A681" s="12" t="str">
        <f t="shared" si="102"/>
        <v/>
      </c>
      <c r="B681" t="str">
        <f t="shared" si="100"/>
        <v/>
      </c>
      <c r="C681" s="21" t="str">
        <f ca="1">IF(A681="","",IF($B$10="Sí",interpolar_alamb(B681,OFFSET(Curvas_cupon_cero!$A$1,1,0,COUNT(Curvas_cupon_cero!$A:$A)-2,1),OFFSET(Curvas_cupon_cero!$A$1,1,MATCH($B$8,Curvas_cupon_cero!$1:$1,0)-1,COUNT(Curvas_cupon_cero!$A:$A)-2,1)),[1]!interpolar(B681,OFFSET(Curvas_cupon_cero!$A$1,1,0,COUNT(Curvas_cupon_cero!$A:$A)-2,1),OFFSET(Curvas_cupon_cero!$A$1,1,MATCH($B$8,Curvas_cupon_cero!$1:$1,0)-1,COUNT(Curvas_cupon_cero!$A:$A)-2,1))))</f>
        <v/>
      </c>
      <c r="D681" s="23" t="str">
        <f ca="1">IF(A681="","",IF($B$10="Sí",interpolar_alamb(L681,OFFSET(Curvas_cupon_cero!$A$1,1,0,COUNT(Curvas_cupon_cero!$A:$A)-2,1),OFFSET(Curvas_cupon_cero!$A$1,1,MATCH($B$8,Curvas_cupon_cero!$1:$1,0)-1,COUNT(Curvas_cupon_cero!$A:$A)-2,1)),[1]!interpolar(L681,OFFSET(Curvas_cupon_cero!$A$1,1,0,COUNT(Curvas_cupon_cero!$A:$A)-2,1),OFFSET(Curvas_cupon_cero!$A$1,1,MATCH($B$8,Curvas_cupon_cero!$1:$1,0)-1,COUNT(Curvas_cupon_cero!$A:$A)-2,1))))</f>
        <v/>
      </c>
      <c r="E681" s="23" t="str">
        <f t="shared" si="103"/>
        <v/>
      </c>
      <c r="F681" s="23" t="str">
        <f ca="1">IF(A681="","",IF($B$10="Sí",interpolar_alamb(B681,OFFSET(Curvas_cupon_cero!$A$1,1,0,COUNT(Curvas_cupon_cero!$A:$A)-2,1),OFFSET(Curvas_cupon_cero!$A$1,1,MATCH($B$9,Curvas_cupon_cero!$1:$1,0)-1,COUNT(Curvas_cupon_cero!$A:$A)-2,1)),[1]!interpolar(B681,OFFSET(Curvas_cupon_cero!$A$1,1,0,COUNT(Curvas_cupon_cero!$A:$A)-2,1),OFFSET(Curvas_cupon_cero!$A$1,1,MATCH($B$9,Curvas_cupon_cero!$1:$1,0)-1,COUNT(Curvas_cupon_cero!$A:$A)-2,1))))</f>
        <v/>
      </c>
      <c r="G681" s="23" t="str">
        <f t="shared" si="104"/>
        <v/>
      </c>
      <c r="H681" s="20" t="str">
        <f t="shared" si="109"/>
        <v/>
      </c>
      <c r="I681" t="str">
        <f t="shared" si="105"/>
        <v/>
      </c>
      <c r="J681" s="17" t="str">
        <f t="shared" si="101"/>
        <v/>
      </c>
      <c r="K681" s="18" t="str">
        <f t="shared" si="106"/>
        <v/>
      </c>
      <c r="L681" t="str">
        <f t="shared" si="107"/>
        <v/>
      </c>
      <c r="M681" s="23" t="str">
        <f ca="1">IF(A681="","",IF($B$10="Sí",interpolar_alamb(L681,OFFSET(Curvas_cupon_cero!$A$1,1,0,COUNT(Curvas_cupon_cero!$A:$A)-2,1),OFFSET(Curvas_cupon_cero!$A$1,1,MATCH($B$6,Curvas_cupon_cero!$1:$1,0)-1,COUNT(Curvas_cupon_cero!$A:$A)-2,1)),[1]!interpolar(L681,OFFSET(Curvas_cupon_cero!$A$1,1,0,COUNT(Curvas_cupon_cero!$A:$A)-2,1),OFFSET(Curvas_cupon_cero!$A$1,1,MATCH($B$6,Curvas_cupon_cero!$1:$1,0)-1,COUNT(Curvas_cupon_cero!$A:$A)-2,1))))</f>
        <v/>
      </c>
      <c r="N681" s="23"/>
      <c r="O681" s="19" t="str">
        <f t="shared" si="108"/>
        <v/>
      </c>
    </row>
    <row r="682" spans="1:15" x14ac:dyDescent="0.2">
      <c r="A682" s="12" t="str">
        <f t="shared" si="102"/>
        <v/>
      </c>
      <c r="B682" t="str">
        <f t="shared" si="100"/>
        <v/>
      </c>
      <c r="C682" s="21" t="str">
        <f ca="1">IF(A682="","",IF($B$10="Sí",interpolar_alamb(B682,OFFSET(Curvas_cupon_cero!$A$1,1,0,COUNT(Curvas_cupon_cero!$A:$A)-2,1),OFFSET(Curvas_cupon_cero!$A$1,1,MATCH($B$8,Curvas_cupon_cero!$1:$1,0)-1,COUNT(Curvas_cupon_cero!$A:$A)-2,1)),[1]!interpolar(B682,OFFSET(Curvas_cupon_cero!$A$1,1,0,COUNT(Curvas_cupon_cero!$A:$A)-2,1),OFFSET(Curvas_cupon_cero!$A$1,1,MATCH($B$8,Curvas_cupon_cero!$1:$1,0)-1,COUNT(Curvas_cupon_cero!$A:$A)-2,1))))</f>
        <v/>
      </c>
      <c r="D682" s="23" t="str">
        <f ca="1">IF(A682="","",IF($B$10="Sí",interpolar_alamb(L682,OFFSET(Curvas_cupon_cero!$A$1,1,0,COUNT(Curvas_cupon_cero!$A:$A)-2,1),OFFSET(Curvas_cupon_cero!$A$1,1,MATCH($B$8,Curvas_cupon_cero!$1:$1,0)-1,COUNT(Curvas_cupon_cero!$A:$A)-2,1)),[1]!interpolar(L682,OFFSET(Curvas_cupon_cero!$A$1,1,0,COUNT(Curvas_cupon_cero!$A:$A)-2,1),OFFSET(Curvas_cupon_cero!$A$1,1,MATCH($B$8,Curvas_cupon_cero!$1:$1,0)-1,COUNT(Curvas_cupon_cero!$A:$A)-2,1))))</f>
        <v/>
      </c>
      <c r="E682" s="23" t="str">
        <f t="shared" si="103"/>
        <v/>
      </c>
      <c r="F682" s="23" t="str">
        <f ca="1">IF(A682="","",IF($B$10="Sí",interpolar_alamb(B682,OFFSET(Curvas_cupon_cero!$A$1,1,0,COUNT(Curvas_cupon_cero!$A:$A)-2,1),OFFSET(Curvas_cupon_cero!$A$1,1,MATCH($B$9,Curvas_cupon_cero!$1:$1,0)-1,COUNT(Curvas_cupon_cero!$A:$A)-2,1)),[1]!interpolar(B682,OFFSET(Curvas_cupon_cero!$A$1,1,0,COUNT(Curvas_cupon_cero!$A:$A)-2,1),OFFSET(Curvas_cupon_cero!$A$1,1,MATCH($B$9,Curvas_cupon_cero!$1:$1,0)-1,COUNT(Curvas_cupon_cero!$A:$A)-2,1))))</f>
        <v/>
      </c>
      <c r="G682" s="23" t="str">
        <f t="shared" si="104"/>
        <v/>
      </c>
      <c r="H682" s="20" t="str">
        <f t="shared" si="109"/>
        <v/>
      </c>
      <c r="I682" t="str">
        <f t="shared" si="105"/>
        <v/>
      </c>
      <c r="J682" s="17" t="str">
        <f t="shared" si="101"/>
        <v/>
      </c>
      <c r="K682" s="18" t="str">
        <f t="shared" si="106"/>
        <v/>
      </c>
      <c r="L682" t="str">
        <f t="shared" si="107"/>
        <v/>
      </c>
      <c r="M682" s="23" t="str">
        <f ca="1">IF(A682="","",IF($B$10="Sí",interpolar_alamb(L682,OFFSET(Curvas_cupon_cero!$A$1,1,0,COUNT(Curvas_cupon_cero!$A:$A)-2,1),OFFSET(Curvas_cupon_cero!$A$1,1,MATCH($B$6,Curvas_cupon_cero!$1:$1,0)-1,COUNT(Curvas_cupon_cero!$A:$A)-2,1)),[1]!interpolar(L682,OFFSET(Curvas_cupon_cero!$A$1,1,0,COUNT(Curvas_cupon_cero!$A:$A)-2,1),OFFSET(Curvas_cupon_cero!$A$1,1,MATCH($B$6,Curvas_cupon_cero!$1:$1,0)-1,COUNT(Curvas_cupon_cero!$A:$A)-2,1))))</f>
        <v/>
      </c>
      <c r="N682" s="23"/>
      <c r="O682" s="19" t="str">
        <f t="shared" si="108"/>
        <v/>
      </c>
    </row>
    <row r="683" spans="1:15" x14ac:dyDescent="0.2">
      <c r="A683" s="12" t="str">
        <f t="shared" si="102"/>
        <v/>
      </c>
      <c r="B683" t="str">
        <f t="shared" si="100"/>
        <v/>
      </c>
      <c r="C683" s="21" t="str">
        <f ca="1">IF(A683="","",IF($B$10="Sí",interpolar_alamb(B683,OFFSET(Curvas_cupon_cero!$A$1,1,0,COUNT(Curvas_cupon_cero!$A:$A)-2,1),OFFSET(Curvas_cupon_cero!$A$1,1,MATCH($B$8,Curvas_cupon_cero!$1:$1,0)-1,COUNT(Curvas_cupon_cero!$A:$A)-2,1)),[1]!interpolar(B683,OFFSET(Curvas_cupon_cero!$A$1,1,0,COUNT(Curvas_cupon_cero!$A:$A)-2,1),OFFSET(Curvas_cupon_cero!$A$1,1,MATCH($B$8,Curvas_cupon_cero!$1:$1,0)-1,COUNT(Curvas_cupon_cero!$A:$A)-2,1))))</f>
        <v/>
      </c>
      <c r="D683" s="23" t="str">
        <f ca="1">IF(A683="","",IF($B$10="Sí",interpolar_alamb(L683,OFFSET(Curvas_cupon_cero!$A$1,1,0,COUNT(Curvas_cupon_cero!$A:$A)-2,1),OFFSET(Curvas_cupon_cero!$A$1,1,MATCH($B$8,Curvas_cupon_cero!$1:$1,0)-1,COUNT(Curvas_cupon_cero!$A:$A)-2,1)),[1]!interpolar(L683,OFFSET(Curvas_cupon_cero!$A$1,1,0,COUNT(Curvas_cupon_cero!$A:$A)-2,1),OFFSET(Curvas_cupon_cero!$A$1,1,MATCH($B$8,Curvas_cupon_cero!$1:$1,0)-1,COUNT(Curvas_cupon_cero!$A:$A)-2,1))))</f>
        <v/>
      </c>
      <c r="E683" s="23" t="str">
        <f t="shared" si="103"/>
        <v/>
      </c>
      <c r="F683" s="23" t="str">
        <f ca="1">IF(A683="","",IF($B$10="Sí",interpolar_alamb(B683,OFFSET(Curvas_cupon_cero!$A$1,1,0,COUNT(Curvas_cupon_cero!$A:$A)-2,1),OFFSET(Curvas_cupon_cero!$A$1,1,MATCH($B$9,Curvas_cupon_cero!$1:$1,0)-1,COUNT(Curvas_cupon_cero!$A:$A)-2,1)),[1]!interpolar(B683,OFFSET(Curvas_cupon_cero!$A$1,1,0,COUNT(Curvas_cupon_cero!$A:$A)-2,1),OFFSET(Curvas_cupon_cero!$A$1,1,MATCH($B$9,Curvas_cupon_cero!$1:$1,0)-1,COUNT(Curvas_cupon_cero!$A:$A)-2,1))))</f>
        <v/>
      </c>
      <c r="G683" s="23" t="str">
        <f t="shared" si="104"/>
        <v/>
      </c>
      <c r="H683" s="20" t="str">
        <f t="shared" si="109"/>
        <v/>
      </c>
      <c r="I683" t="str">
        <f t="shared" si="105"/>
        <v/>
      </c>
      <c r="J683" s="17" t="str">
        <f t="shared" si="101"/>
        <v/>
      </c>
      <c r="K683" s="18" t="str">
        <f t="shared" si="106"/>
        <v/>
      </c>
      <c r="L683" t="str">
        <f t="shared" si="107"/>
        <v/>
      </c>
      <c r="M683" s="23" t="str">
        <f ca="1">IF(A683="","",IF($B$10="Sí",interpolar_alamb(L683,OFFSET(Curvas_cupon_cero!$A$1,1,0,COUNT(Curvas_cupon_cero!$A:$A)-2,1),OFFSET(Curvas_cupon_cero!$A$1,1,MATCH($B$6,Curvas_cupon_cero!$1:$1,0)-1,COUNT(Curvas_cupon_cero!$A:$A)-2,1)),[1]!interpolar(L683,OFFSET(Curvas_cupon_cero!$A$1,1,0,COUNT(Curvas_cupon_cero!$A:$A)-2,1),OFFSET(Curvas_cupon_cero!$A$1,1,MATCH($B$6,Curvas_cupon_cero!$1:$1,0)-1,COUNT(Curvas_cupon_cero!$A:$A)-2,1))))</f>
        <v/>
      </c>
      <c r="N683" s="23"/>
      <c r="O683" s="19" t="str">
        <f t="shared" si="108"/>
        <v/>
      </c>
    </row>
    <row r="684" spans="1:15" x14ac:dyDescent="0.2">
      <c r="A684" s="12" t="str">
        <f t="shared" si="102"/>
        <v/>
      </c>
      <c r="B684" t="str">
        <f t="shared" si="100"/>
        <v/>
      </c>
      <c r="C684" s="21" t="str">
        <f ca="1">IF(A684="","",IF($B$10="Sí",interpolar_alamb(B684,OFFSET(Curvas_cupon_cero!$A$1,1,0,COUNT(Curvas_cupon_cero!$A:$A)-2,1),OFFSET(Curvas_cupon_cero!$A$1,1,MATCH($B$8,Curvas_cupon_cero!$1:$1,0)-1,COUNT(Curvas_cupon_cero!$A:$A)-2,1)),[1]!interpolar(B684,OFFSET(Curvas_cupon_cero!$A$1,1,0,COUNT(Curvas_cupon_cero!$A:$A)-2,1),OFFSET(Curvas_cupon_cero!$A$1,1,MATCH($B$8,Curvas_cupon_cero!$1:$1,0)-1,COUNT(Curvas_cupon_cero!$A:$A)-2,1))))</f>
        <v/>
      </c>
      <c r="D684" s="23" t="str">
        <f ca="1">IF(A684="","",IF($B$10="Sí",interpolar_alamb(L684,OFFSET(Curvas_cupon_cero!$A$1,1,0,COUNT(Curvas_cupon_cero!$A:$A)-2,1),OFFSET(Curvas_cupon_cero!$A$1,1,MATCH($B$8,Curvas_cupon_cero!$1:$1,0)-1,COUNT(Curvas_cupon_cero!$A:$A)-2,1)),[1]!interpolar(L684,OFFSET(Curvas_cupon_cero!$A$1,1,0,COUNT(Curvas_cupon_cero!$A:$A)-2,1),OFFSET(Curvas_cupon_cero!$A$1,1,MATCH($B$8,Curvas_cupon_cero!$1:$1,0)-1,COUNT(Curvas_cupon_cero!$A:$A)-2,1))))</f>
        <v/>
      </c>
      <c r="E684" s="23" t="str">
        <f t="shared" si="103"/>
        <v/>
      </c>
      <c r="F684" s="23" t="str">
        <f ca="1">IF(A684="","",IF($B$10="Sí",interpolar_alamb(B684,OFFSET(Curvas_cupon_cero!$A$1,1,0,COUNT(Curvas_cupon_cero!$A:$A)-2,1),OFFSET(Curvas_cupon_cero!$A$1,1,MATCH($B$9,Curvas_cupon_cero!$1:$1,0)-1,COUNT(Curvas_cupon_cero!$A:$A)-2,1)),[1]!interpolar(B684,OFFSET(Curvas_cupon_cero!$A$1,1,0,COUNT(Curvas_cupon_cero!$A:$A)-2,1),OFFSET(Curvas_cupon_cero!$A$1,1,MATCH($B$9,Curvas_cupon_cero!$1:$1,0)-1,COUNT(Curvas_cupon_cero!$A:$A)-2,1))))</f>
        <v/>
      </c>
      <c r="G684" s="23" t="str">
        <f t="shared" si="104"/>
        <v/>
      </c>
      <c r="H684" s="20" t="str">
        <f t="shared" si="109"/>
        <v/>
      </c>
      <c r="I684" t="str">
        <f t="shared" si="105"/>
        <v/>
      </c>
      <c r="J684" s="17" t="str">
        <f t="shared" si="101"/>
        <v/>
      </c>
      <c r="K684" s="18" t="str">
        <f t="shared" si="106"/>
        <v/>
      </c>
      <c r="L684" t="str">
        <f t="shared" si="107"/>
        <v/>
      </c>
      <c r="M684" s="23" t="str">
        <f ca="1">IF(A684="","",IF($B$10="Sí",interpolar_alamb(L684,OFFSET(Curvas_cupon_cero!$A$1,1,0,COUNT(Curvas_cupon_cero!$A:$A)-2,1),OFFSET(Curvas_cupon_cero!$A$1,1,MATCH($B$6,Curvas_cupon_cero!$1:$1,0)-1,COUNT(Curvas_cupon_cero!$A:$A)-2,1)),[1]!interpolar(L684,OFFSET(Curvas_cupon_cero!$A$1,1,0,COUNT(Curvas_cupon_cero!$A:$A)-2,1),OFFSET(Curvas_cupon_cero!$A$1,1,MATCH($B$6,Curvas_cupon_cero!$1:$1,0)-1,COUNT(Curvas_cupon_cero!$A:$A)-2,1))))</f>
        <v/>
      </c>
      <c r="N684" s="23"/>
      <c r="O684" s="19" t="str">
        <f t="shared" si="108"/>
        <v/>
      </c>
    </row>
    <row r="685" spans="1:15" x14ac:dyDescent="0.2">
      <c r="A685" s="12" t="str">
        <f t="shared" si="102"/>
        <v/>
      </c>
      <c r="B685" t="str">
        <f t="shared" si="100"/>
        <v/>
      </c>
      <c r="C685" s="21" t="str">
        <f ca="1">IF(A685="","",IF($B$10="Sí",interpolar_alamb(B685,OFFSET(Curvas_cupon_cero!$A$1,1,0,COUNT(Curvas_cupon_cero!$A:$A)-2,1),OFFSET(Curvas_cupon_cero!$A$1,1,MATCH($B$8,Curvas_cupon_cero!$1:$1,0)-1,COUNT(Curvas_cupon_cero!$A:$A)-2,1)),[1]!interpolar(B685,OFFSET(Curvas_cupon_cero!$A$1,1,0,COUNT(Curvas_cupon_cero!$A:$A)-2,1),OFFSET(Curvas_cupon_cero!$A$1,1,MATCH($B$8,Curvas_cupon_cero!$1:$1,0)-1,COUNT(Curvas_cupon_cero!$A:$A)-2,1))))</f>
        <v/>
      </c>
      <c r="D685" s="23" t="str">
        <f ca="1">IF(A685="","",IF($B$10="Sí",interpolar_alamb(L685,OFFSET(Curvas_cupon_cero!$A$1,1,0,COUNT(Curvas_cupon_cero!$A:$A)-2,1),OFFSET(Curvas_cupon_cero!$A$1,1,MATCH($B$8,Curvas_cupon_cero!$1:$1,0)-1,COUNT(Curvas_cupon_cero!$A:$A)-2,1)),[1]!interpolar(L685,OFFSET(Curvas_cupon_cero!$A$1,1,0,COUNT(Curvas_cupon_cero!$A:$A)-2,1),OFFSET(Curvas_cupon_cero!$A$1,1,MATCH($B$8,Curvas_cupon_cero!$1:$1,0)-1,COUNT(Curvas_cupon_cero!$A:$A)-2,1))))</f>
        <v/>
      </c>
      <c r="E685" s="23" t="str">
        <f t="shared" si="103"/>
        <v/>
      </c>
      <c r="F685" s="23" t="str">
        <f ca="1">IF(A685="","",IF($B$10="Sí",interpolar_alamb(B685,OFFSET(Curvas_cupon_cero!$A$1,1,0,COUNT(Curvas_cupon_cero!$A:$A)-2,1),OFFSET(Curvas_cupon_cero!$A$1,1,MATCH($B$9,Curvas_cupon_cero!$1:$1,0)-1,COUNT(Curvas_cupon_cero!$A:$A)-2,1)),[1]!interpolar(B685,OFFSET(Curvas_cupon_cero!$A$1,1,0,COUNT(Curvas_cupon_cero!$A:$A)-2,1),OFFSET(Curvas_cupon_cero!$A$1,1,MATCH($B$9,Curvas_cupon_cero!$1:$1,0)-1,COUNT(Curvas_cupon_cero!$A:$A)-2,1))))</f>
        <v/>
      </c>
      <c r="G685" s="23" t="str">
        <f t="shared" si="104"/>
        <v/>
      </c>
      <c r="H685" s="20" t="str">
        <f t="shared" si="109"/>
        <v/>
      </c>
      <c r="I685" t="str">
        <f t="shared" si="105"/>
        <v/>
      </c>
      <c r="J685" s="17" t="str">
        <f t="shared" si="101"/>
        <v/>
      </c>
      <c r="K685" s="18" t="str">
        <f t="shared" si="106"/>
        <v/>
      </c>
      <c r="L685" t="str">
        <f t="shared" si="107"/>
        <v/>
      </c>
      <c r="M685" s="23" t="str">
        <f ca="1">IF(A685="","",IF($B$10="Sí",interpolar_alamb(L685,OFFSET(Curvas_cupon_cero!$A$1,1,0,COUNT(Curvas_cupon_cero!$A:$A)-2,1),OFFSET(Curvas_cupon_cero!$A$1,1,MATCH($B$6,Curvas_cupon_cero!$1:$1,0)-1,COUNT(Curvas_cupon_cero!$A:$A)-2,1)),[1]!interpolar(L685,OFFSET(Curvas_cupon_cero!$A$1,1,0,COUNT(Curvas_cupon_cero!$A:$A)-2,1),OFFSET(Curvas_cupon_cero!$A$1,1,MATCH($B$6,Curvas_cupon_cero!$1:$1,0)-1,COUNT(Curvas_cupon_cero!$A:$A)-2,1))))</f>
        <v/>
      </c>
      <c r="N685" s="23"/>
      <c r="O685" s="19" t="str">
        <f t="shared" si="108"/>
        <v/>
      </c>
    </row>
    <row r="686" spans="1:15" x14ac:dyDescent="0.2">
      <c r="A686" s="12" t="str">
        <f t="shared" si="102"/>
        <v/>
      </c>
      <c r="B686" t="str">
        <f t="shared" si="100"/>
        <v/>
      </c>
      <c r="C686" s="21" t="str">
        <f ca="1">IF(A686="","",IF($B$10="Sí",interpolar_alamb(B686,OFFSET(Curvas_cupon_cero!$A$1,1,0,COUNT(Curvas_cupon_cero!$A:$A)-2,1),OFFSET(Curvas_cupon_cero!$A$1,1,MATCH($B$8,Curvas_cupon_cero!$1:$1,0)-1,COUNT(Curvas_cupon_cero!$A:$A)-2,1)),[1]!interpolar(B686,OFFSET(Curvas_cupon_cero!$A$1,1,0,COUNT(Curvas_cupon_cero!$A:$A)-2,1),OFFSET(Curvas_cupon_cero!$A$1,1,MATCH($B$8,Curvas_cupon_cero!$1:$1,0)-1,COUNT(Curvas_cupon_cero!$A:$A)-2,1))))</f>
        <v/>
      </c>
      <c r="D686" s="23" t="str">
        <f ca="1">IF(A686="","",IF($B$10="Sí",interpolar_alamb(L686,OFFSET(Curvas_cupon_cero!$A$1,1,0,COUNT(Curvas_cupon_cero!$A:$A)-2,1),OFFSET(Curvas_cupon_cero!$A$1,1,MATCH($B$8,Curvas_cupon_cero!$1:$1,0)-1,COUNT(Curvas_cupon_cero!$A:$A)-2,1)),[1]!interpolar(L686,OFFSET(Curvas_cupon_cero!$A$1,1,0,COUNT(Curvas_cupon_cero!$A:$A)-2,1),OFFSET(Curvas_cupon_cero!$A$1,1,MATCH($B$8,Curvas_cupon_cero!$1:$1,0)-1,COUNT(Curvas_cupon_cero!$A:$A)-2,1))))</f>
        <v/>
      </c>
      <c r="E686" s="23" t="str">
        <f t="shared" si="103"/>
        <v/>
      </c>
      <c r="F686" s="23" t="str">
        <f ca="1">IF(A686="","",IF($B$10="Sí",interpolar_alamb(B686,OFFSET(Curvas_cupon_cero!$A$1,1,0,COUNT(Curvas_cupon_cero!$A:$A)-2,1),OFFSET(Curvas_cupon_cero!$A$1,1,MATCH($B$9,Curvas_cupon_cero!$1:$1,0)-1,COUNT(Curvas_cupon_cero!$A:$A)-2,1)),[1]!interpolar(B686,OFFSET(Curvas_cupon_cero!$A$1,1,0,COUNT(Curvas_cupon_cero!$A:$A)-2,1),OFFSET(Curvas_cupon_cero!$A$1,1,MATCH($B$9,Curvas_cupon_cero!$1:$1,0)-1,COUNT(Curvas_cupon_cero!$A:$A)-2,1))))</f>
        <v/>
      </c>
      <c r="G686" s="23" t="str">
        <f t="shared" si="104"/>
        <v/>
      </c>
      <c r="H686" s="20" t="str">
        <f t="shared" si="109"/>
        <v/>
      </c>
      <c r="I686" t="str">
        <f t="shared" si="105"/>
        <v/>
      </c>
      <c r="J686" s="17" t="str">
        <f t="shared" si="101"/>
        <v/>
      </c>
      <c r="K686" s="18" t="str">
        <f t="shared" si="106"/>
        <v/>
      </c>
      <c r="L686" t="str">
        <f t="shared" si="107"/>
        <v/>
      </c>
      <c r="M686" s="23" t="str">
        <f ca="1">IF(A686="","",IF($B$10="Sí",interpolar_alamb(L686,OFFSET(Curvas_cupon_cero!$A$1,1,0,COUNT(Curvas_cupon_cero!$A:$A)-2,1),OFFSET(Curvas_cupon_cero!$A$1,1,MATCH($B$6,Curvas_cupon_cero!$1:$1,0)-1,COUNT(Curvas_cupon_cero!$A:$A)-2,1)),[1]!interpolar(L686,OFFSET(Curvas_cupon_cero!$A$1,1,0,COUNT(Curvas_cupon_cero!$A:$A)-2,1),OFFSET(Curvas_cupon_cero!$A$1,1,MATCH($B$6,Curvas_cupon_cero!$1:$1,0)-1,COUNT(Curvas_cupon_cero!$A:$A)-2,1))))</f>
        <v/>
      </c>
      <c r="N686" s="23"/>
      <c r="O686" s="19" t="str">
        <f t="shared" si="108"/>
        <v/>
      </c>
    </row>
    <row r="687" spans="1:15" x14ac:dyDescent="0.2">
      <c r="A687" s="12" t="str">
        <f t="shared" si="102"/>
        <v/>
      </c>
      <c r="B687" t="str">
        <f t="shared" si="100"/>
        <v/>
      </c>
      <c r="C687" s="21" t="str">
        <f ca="1">IF(A687="","",IF($B$10="Sí",interpolar_alamb(B687,OFFSET(Curvas_cupon_cero!$A$1,1,0,COUNT(Curvas_cupon_cero!$A:$A)-2,1),OFFSET(Curvas_cupon_cero!$A$1,1,MATCH($B$8,Curvas_cupon_cero!$1:$1,0)-1,COUNT(Curvas_cupon_cero!$A:$A)-2,1)),[1]!interpolar(B687,OFFSET(Curvas_cupon_cero!$A$1,1,0,COUNT(Curvas_cupon_cero!$A:$A)-2,1),OFFSET(Curvas_cupon_cero!$A$1,1,MATCH($B$8,Curvas_cupon_cero!$1:$1,0)-1,COUNT(Curvas_cupon_cero!$A:$A)-2,1))))</f>
        <v/>
      </c>
      <c r="D687" s="23" t="str">
        <f ca="1">IF(A687="","",IF($B$10="Sí",interpolar_alamb(L687,OFFSET(Curvas_cupon_cero!$A$1,1,0,COUNT(Curvas_cupon_cero!$A:$A)-2,1),OFFSET(Curvas_cupon_cero!$A$1,1,MATCH($B$8,Curvas_cupon_cero!$1:$1,0)-1,COUNT(Curvas_cupon_cero!$A:$A)-2,1)),[1]!interpolar(L687,OFFSET(Curvas_cupon_cero!$A$1,1,0,COUNT(Curvas_cupon_cero!$A:$A)-2,1),OFFSET(Curvas_cupon_cero!$A$1,1,MATCH($B$8,Curvas_cupon_cero!$1:$1,0)-1,COUNT(Curvas_cupon_cero!$A:$A)-2,1))))</f>
        <v/>
      </c>
      <c r="E687" s="23" t="str">
        <f t="shared" si="103"/>
        <v/>
      </c>
      <c r="F687" s="23" t="str">
        <f ca="1">IF(A687="","",IF($B$10="Sí",interpolar_alamb(B687,OFFSET(Curvas_cupon_cero!$A$1,1,0,COUNT(Curvas_cupon_cero!$A:$A)-2,1),OFFSET(Curvas_cupon_cero!$A$1,1,MATCH($B$9,Curvas_cupon_cero!$1:$1,0)-1,COUNT(Curvas_cupon_cero!$A:$A)-2,1)),[1]!interpolar(B687,OFFSET(Curvas_cupon_cero!$A$1,1,0,COUNT(Curvas_cupon_cero!$A:$A)-2,1),OFFSET(Curvas_cupon_cero!$A$1,1,MATCH($B$9,Curvas_cupon_cero!$1:$1,0)-1,COUNT(Curvas_cupon_cero!$A:$A)-2,1))))</f>
        <v/>
      </c>
      <c r="G687" s="23" t="str">
        <f t="shared" si="104"/>
        <v/>
      </c>
      <c r="H687" s="20" t="str">
        <f t="shared" si="109"/>
        <v/>
      </c>
      <c r="I687" t="str">
        <f t="shared" si="105"/>
        <v/>
      </c>
      <c r="J687" s="17" t="str">
        <f t="shared" si="101"/>
        <v/>
      </c>
      <c r="K687" s="18" t="str">
        <f t="shared" si="106"/>
        <v/>
      </c>
      <c r="L687" t="str">
        <f t="shared" si="107"/>
        <v/>
      </c>
      <c r="M687" s="23" t="str">
        <f ca="1">IF(A687="","",IF($B$10="Sí",interpolar_alamb(L687,OFFSET(Curvas_cupon_cero!$A$1,1,0,COUNT(Curvas_cupon_cero!$A:$A)-2,1),OFFSET(Curvas_cupon_cero!$A$1,1,MATCH($B$6,Curvas_cupon_cero!$1:$1,0)-1,COUNT(Curvas_cupon_cero!$A:$A)-2,1)),[1]!interpolar(L687,OFFSET(Curvas_cupon_cero!$A$1,1,0,COUNT(Curvas_cupon_cero!$A:$A)-2,1),OFFSET(Curvas_cupon_cero!$A$1,1,MATCH($B$6,Curvas_cupon_cero!$1:$1,0)-1,COUNT(Curvas_cupon_cero!$A:$A)-2,1))))</f>
        <v/>
      </c>
      <c r="N687" s="23"/>
      <c r="O687" s="19" t="str">
        <f t="shared" si="108"/>
        <v/>
      </c>
    </row>
    <row r="688" spans="1:15" x14ac:dyDescent="0.2">
      <c r="A688" s="12" t="str">
        <f t="shared" si="102"/>
        <v/>
      </c>
      <c r="B688" t="str">
        <f t="shared" si="100"/>
        <v/>
      </c>
      <c r="C688" s="21" t="str">
        <f ca="1">IF(A688="","",IF($B$10="Sí",interpolar_alamb(B688,OFFSET(Curvas_cupon_cero!$A$1,1,0,COUNT(Curvas_cupon_cero!$A:$A)-2,1),OFFSET(Curvas_cupon_cero!$A$1,1,MATCH($B$8,Curvas_cupon_cero!$1:$1,0)-1,COUNT(Curvas_cupon_cero!$A:$A)-2,1)),[1]!interpolar(B688,OFFSET(Curvas_cupon_cero!$A$1,1,0,COUNT(Curvas_cupon_cero!$A:$A)-2,1),OFFSET(Curvas_cupon_cero!$A$1,1,MATCH($B$8,Curvas_cupon_cero!$1:$1,0)-1,COUNT(Curvas_cupon_cero!$A:$A)-2,1))))</f>
        <v/>
      </c>
      <c r="D688" s="23" t="str">
        <f ca="1">IF(A688="","",IF($B$10="Sí",interpolar_alamb(L688,OFFSET(Curvas_cupon_cero!$A$1,1,0,COUNT(Curvas_cupon_cero!$A:$A)-2,1),OFFSET(Curvas_cupon_cero!$A$1,1,MATCH($B$8,Curvas_cupon_cero!$1:$1,0)-1,COUNT(Curvas_cupon_cero!$A:$A)-2,1)),[1]!interpolar(L688,OFFSET(Curvas_cupon_cero!$A$1,1,0,COUNT(Curvas_cupon_cero!$A:$A)-2,1),OFFSET(Curvas_cupon_cero!$A$1,1,MATCH($B$8,Curvas_cupon_cero!$1:$1,0)-1,COUNT(Curvas_cupon_cero!$A:$A)-2,1))))</f>
        <v/>
      </c>
      <c r="E688" s="23" t="str">
        <f t="shared" si="103"/>
        <v/>
      </c>
      <c r="F688" s="23" t="str">
        <f ca="1">IF(A688="","",IF($B$10="Sí",interpolar_alamb(B688,OFFSET(Curvas_cupon_cero!$A$1,1,0,COUNT(Curvas_cupon_cero!$A:$A)-2,1),OFFSET(Curvas_cupon_cero!$A$1,1,MATCH($B$9,Curvas_cupon_cero!$1:$1,0)-1,COUNT(Curvas_cupon_cero!$A:$A)-2,1)),[1]!interpolar(B688,OFFSET(Curvas_cupon_cero!$A$1,1,0,COUNT(Curvas_cupon_cero!$A:$A)-2,1),OFFSET(Curvas_cupon_cero!$A$1,1,MATCH($B$9,Curvas_cupon_cero!$1:$1,0)-1,COUNT(Curvas_cupon_cero!$A:$A)-2,1))))</f>
        <v/>
      </c>
      <c r="G688" s="23" t="str">
        <f t="shared" si="104"/>
        <v/>
      </c>
      <c r="H688" s="20" t="str">
        <f t="shared" si="109"/>
        <v/>
      </c>
      <c r="I688" t="str">
        <f t="shared" si="105"/>
        <v/>
      </c>
      <c r="J688" s="17" t="str">
        <f t="shared" si="101"/>
        <v/>
      </c>
      <c r="K688" s="18" t="str">
        <f t="shared" si="106"/>
        <v/>
      </c>
      <c r="L688" t="str">
        <f t="shared" si="107"/>
        <v/>
      </c>
      <c r="M688" s="23" t="str">
        <f ca="1">IF(A688="","",IF($B$10="Sí",interpolar_alamb(L688,OFFSET(Curvas_cupon_cero!$A$1,1,0,COUNT(Curvas_cupon_cero!$A:$A)-2,1),OFFSET(Curvas_cupon_cero!$A$1,1,MATCH($B$6,Curvas_cupon_cero!$1:$1,0)-1,COUNT(Curvas_cupon_cero!$A:$A)-2,1)),[1]!interpolar(L688,OFFSET(Curvas_cupon_cero!$A$1,1,0,COUNT(Curvas_cupon_cero!$A:$A)-2,1),OFFSET(Curvas_cupon_cero!$A$1,1,MATCH($B$6,Curvas_cupon_cero!$1:$1,0)-1,COUNT(Curvas_cupon_cero!$A:$A)-2,1))))</f>
        <v/>
      </c>
      <c r="N688" s="23"/>
      <c r="O688" s="19" t="str">
        <f t="shared" si="108"/>
        <v/>
      </c>
    </row>
    <row r="689" spans="1:15" x14ac:dyDescent="0.2">
      <c r="A689" s="12" t="str">
        <f t="shared" si="102"/>
        <v/>
      </c>
      <c r="B689" t="str">
        <f t="shared" si="100"/>
        <v/>
      </c>
      <c r="C689" s="21" t="str">
        <f ca="1">IF(A689="","",IF($B$10="Sí",interpolar_alamb(B689,OFFSET(Curvas_cupon_cero!$A$1,1,0,COUNT(Curvas_cupon_cero!$A:$A)-2,1),OFFSET(Curvas_cupon_cero!$A$1,1,MATCH($B$8,Curvas_cupon_cero!$1:$1,0)-1,COUNT(Curvas_cupon_cero!$A:$A)-2,1)),[1]!interpolar(B689,OFFSET(Curvas_cupon_cero!$A$1,1,0,COUNT(Curvas_cupon_cero!$A:$A)-2,1),OFFSET(Curvas_cupon_cero!$A$1,1,MATCH($B$8,Curvas_cupon_cero!$1:$1,0)-1,COUNT(Curvas_cupon_cero!$A:$A)-2,1))))</f>
        <v/>
      </c>
      <c r="D689" s="23" t="str">
        <f ca="1">IF(A689="","",IF($B$10="Sí",interpolar_alamb(L689,OFFSET(Curvas_cupon_cero!$A$1,1,0,COUNT(Curvas_cupon_cero!$A:$A)-2,1),OFFSET(Curvas_cupon_cero!$A$1,1,MATCH($B$8,Curvas_cupon_cero!$1:$1,0)-1,COUNT(Curvas_cupon_cero!$A:$A)-2,1)),[1]!interpolar(L689,OFFSET(Curvas_cupon_cero!$A$1,1,0,COUNT(Curvas_cupon_cero!$A:$A)-2,1),OFFSET(Curvas_cupon_cero!$A$1,1,MATCH($B$8,Curvas_cupon_cero!$1:$1,0)-1,COUNT(Curvas_cupon_cero!$A:$A)-2,1))))</f>
        <v/>
      </c>
      <c r="E689" s="23" t="str">
        <f t="shared" si="103"/>
        <v/>
      </c>
      <c r="F689" s="23" t="str">
        <f ca="1">IF(A689="","",IF($B$10="Sí",interpolar_alamb(B689,OFFSET(Curvas_cupon_cero!$A$1,1,0,COUNT(Curvas_cupon_cero!$A:$A)-2,1),OFFSET(Curvas_cupon_cero!$A$1,1,MATCH($B$9,Curvas_cupon_cero!$1:$1,0)-1,COUNT(Curvas_cupon_cero!$A:$A)-2,1)),[1]!interpolar(B689,OFFSET(Curvas_cupon_cero!$A$1,1,0,COUNT(Curvas_cupon_cero!$A:$A)-2,1),OFFSET(Curvas_cupon_cero!$A$1,1,MATCH($B$9,Curvas_cupon_cero!$1:$1,0)-1,COUNT(Curvas_cupon_cero!$A:$A)-2,1))))</f>
        <v/>
      </c>
      <c r="G689" s="23" t="str">
        <f t="shared" si="104"/>
        <v/>
      </c>
      <c r="H689" s="20" t="str">
        <f t="shared" si="109"/>
        <v/>
      </c>
      <c r="I689" t="str">
        <f t="shared" si="105"/>
        <v/>
      </c>
      <c r="J689" s="17" t="str">
        <f t="shared" si="101"/>
        <v/>
      </c>
      <c r="K689" s="18" t="str">
        <f t="shared" si="106"/>
        <v/>
      </c>
      <c r="L689" t="str">
        <f t="shared" si="107"/>
        <v/>
      </c>
      <c r="M689" s="23" t="str">
        <f ca="1">IF(A689="","",IF($B$10="Sí",interpolar_alamb(L689,OFFSET(Curvas_cupon_cero!$A$1,1,0,COUNT(Curvas_cupon_cero!$A:$A)-2,1),OFFSET(Curvas_cupon_cero!$A$1,1,MATCH($B$6,Curvas_cupon_cero!$1:$1,0)-1,COUNT(Curvas_cupon_cero!$A:$A)-2,1)),[1]!interpolar(L689,OFFSET(Curvas_cupon_cero!$A$1,1,0,COUNT(Curvas_cupon_cero!$A:$A)-2,1),OFFSET(Curvas_cupon_cero!$A$1,1,MATCH($B$6,Curvas_cupon_cero!$1:$1,0)-1,COUNT(Curvas_cupon_cero!$A:$A)-2,1))))</f>
        <v/>
      </c>
      <c r="N689" s="23"/>
      <c r="O689" s="19" t="str">
        <f t="shared" si="108"/>
        <v/>
      </c>
    </row>
    <row r="690" spans="1:15" x14ac:dyDescent="0.2">
      <c r="A690" s="12" t="str">
        <f t="shared" si="102"/>
        <v/>
      </c>
      <c r="B690" t="str">
        <f t="shared" si="100"/>
        <v/>
      </c>
      <c r="C690" s="21" t="str">
        <f ca="1">IF(A690="","",IF($B$10="Sí",interpolar_alamb(B690,OFFSET(Curvas_cupon_cero!$A$1,1,0,COUNT(Curvas_cupon_cero!$A:$A)-2,1),OFFSET(Curvas_cupon_cero!$A$1,1,MATCH($B$8,Curvas_cupon_cero!$1:$1,0)-1,COUNT(Curvas_cupon_cero!$A:$A)-2,1)),[1]!interpolar(B690,OFFSET(Curvas_cupon_cero!$A$1,1,0,COUNT(Curvas_cupon_cero!$A:$A)-2,1),OFFSET(Curvas_cupon_cero!$A$1,1,MATCH($B$8,Curvas_cupon_cero!$1:$1,0)-1,COUNT(Curvas_cupon_cero!$A:$A)-2,1))))</f>
        <v/>
      </c>
      <c r="D690" s="23" t="str">
        <f ca="1">IF(A690="","",IF($B$10="Sí",interpolar_alamb(L690,OFFSET(Curvas_cupon_cero!$A$1,1,0,COUNT(Curvas_cupon_cero!$A:$A)-2,1),OFFSET(Curvas_cupon_cero!$A$1,1,MATCH($B$8,Curvas_cupon_cero!$1:$1,0)-1,COUNT(Curvas_cupon_cero!$A:$A)-2,1)),[1]!interpolar(L690,OFFSET(Curvas_cupon_cero!$A$1,1,0,COUNT(Curvas_cupon_cero!$A:$A)-2,1),OFFSET(Curvas_cupon_cero!$A$1,1,MATCH($B$8,Curvas_cupon_cero!$1:$1,0)-1,COUNT(Curvas_cupon_cero!$A:$A)-2,1))))</f>
        <v/>
      </c>
      <c r="E690" s="23" t="str">
        <f t="shared" si="103"/>
        <v/>
      </c>
      <c r="F690" s="23" t="str">
        <f ca="1">IF(A690="","",IF($B$10="Sí",interpolar_alamb(B690,OFFSET(Curvas_cupon_cero!$A$1,1,0,COUNT(Curvas_cupon_cero!$A:$A)-2,1),OFFSET(Curvas_cupon_cero!$A$1,1,MATCH($B$9,Curvas_cupon_cero!$1:$1,0)-1,COUNT(Curvas_cupon_cero!$A:$A)-2,1)),[1]!interpolar(B690,OFFSET(Curvas_cupon_cero!$A$1,1,0,COUNT(Curvas_cupon_cero!$A:$A)-2,1),OFFSET(Curvas_cupon_cero!$A$1,1,MATCH($B$9,Curvas_cupon_cero!$1:$1,0)-1,COUNT(Curvas_cupon_cero!$A:$A)-2,1))))</f>
        <v/>
      </c>
      <c r="G690" s="23" t="str">
        <f t="shared" si="104"/>
        <v/>
      </c>
      <c r="H690" s="20" t="str">
        <f t="shared" si="109"/>
        <v/>
      </c>
      <c r="I690" t="str">
        <f t="shared" si="105"/>
        <v/>
      </c>
      <c r="J690" s="17" t="str">
        <f t="shared" si="101"/>
        <v/>
      </c>
      <c r="K690" s="18" t="str">
        <f t="shared" si="106"/>
        <v/>
      </c>
      <c r="L690" t="str">
        <f t="shared" si="107"/>
        <v/>
      </c>
      <c r="M690" s="23" t="str">
        <f ca="1">IF(A690="","",IF($B$10="Sí",interpolar_alamb(L690,OFFSET(Curvas_cupon_cero!$A$1,1,0,COUNT(Curvas_cupon_cero!$A:$A)-2,1),OFFSET(Curvas_cupon_cero!$A$1,1,MATCH($B$6,Curvas_cupon_cero!$1:$1,0)-1,COUNT(Curvas_cupon_cero!$A:$A)-2,1)),[1]!interpolar(L690,OFFSET(Curvas_cupon_cero!$A$1,1,0,COUNT(Curvas_cupon_cero!$A:$A)-2,1),OFFSET(Curvas_cupon_cero!$A$1,1,MATCH($B$6,Curvas_cupon_cero!$1:$1,0)-1,COUNT(Curvas_cupon_cero!$A:$A)-2,1))))</f>
        <v/>
      </c>
      <c r="N690" s="23"/>
      <c r="O690" s="19" t="str">
        <f t="shared" si="108"/>
        <v/>
      </c>
    </row>
  </sheetData>
  <dataValidations count="1">
    <dataValidation type="list" allowBlank="1" showInputMessage="1" showErrorMessage="1" sqref="B10">
      <formula1>Bin</formula1>
    </dataValidation>
  </dataValidations>
  <pageMargins left="0.75" right="0.75" top="1" bottom="1" header="0.5" footer="0.5"/>
  <pageSetup orientation="portrait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Curvas_cupon_cero!$C$1:$CK$1</xm:f>
          </x14:formula1>
          <xm:sqref>B6:B9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L689"/>
  <sheetViews>
    <sheetView tabSelected="1" zoomScale="150" zoomScaleNormal="150" workbookViewId="0">
      <selection activeCell="J14" sqref="J14"/>
    </sheetView>
  </sheetViews>
  <sheetFormatPr baseColWidth="10" defaultColWidth="9.140625" defaultRowHeight="12.75" x14ac:dyDescent="0.2"/>
  <cols>
    <col min="1" max="1" width="25" bestFit="1" customWidth="1"/>
    <col min="2" max="2" width="14.140625" bestFit="1" customWidth="1"/>
    <col min="3" max="3" width="11" customWidth="1"/>
    <col min="4" max="4" width="12.28515625" customWidth="1"/>
    <col min="5" max="5" width="10.42578125" bestFit="1" customWidth="1"/>
    <col min="6" max="6" width="11" customWidth="1"/>
    <col min="7" max="7" width="9.85546875" customWidth="1"/>
    <col min="8" max="8" width="12.140625" customWidth="1"/>
    <col min="9" max="9" width="12.28515625" customWidth="1"/>
    <col min="10" max="10" width="11.7109375" customWidth="1"/>
    <col min="15" max="15" width="11.42578125" bestFit="1" customWidth="1"/>
    <col min="16" max="16" width="11.42578125" customWidth="1"/>
  </cols>
  <sheetData>
    <row r="1" spans="1:220" x14ac:dyDescent="0.2">
      <c r="A1" s="3" t="s">
        <v>91</v>
      </c>
      <c r="B1" s="6">
        <v>10000</v>
      </c>
      <c r="HL1" t="s">
        <v>97</v>
      </c>
    </row>
    <row r="2" spans="1:220" x14ac:dyDescent="0.2">
      <c r="A2" s="3" t="s">
        <v>87</v>
      </c>
      <c r="B2" s="11">
        <v>100</v>
      </c>
      <c r="F2" s="2"/>
      <c r="G2" t="s">
        <v>94</v>
      </c>
      <c r="HL2" t="s">
        <v>98</v>
      </c>
    </row>
    <row r="3" spans="1:220" x14ac:dyDescent="0.2">
      <c r="A3" s="3" t="s">
        <v>88</v>
      </c>
      <c r="B3" s="12">
        <v>43280</v>
      </c>
      <c r="F3" s="4"/>
      <c r="G3" t="s">
        <v>95</v>
      </c>
    </row>
    <row r="4" spans="1:220" x14ac:dyDescent="0.2">
      <c r="A4" s="3" t="s">
        <v>89</v>
      </c>
      <c r="B4" s="12">
        <f>B3+360*5</f>
        <v>45080</v>
      </c>
    </row>
    <row r="5" spans="1:220" x14ac:dyDescent="0.2">
      <c r="A5" s="14" t="s">
        <v>105</v>
      </c>
      <c r="B5" s="6">
        <v>28</v>
      </c>
    </row>
    <row r="6" spans="1:220" x14ac:dyDescent="0.2">
      <c r="A6" s="14" t="s">
        <v>126</v>
      </c>
      <c r="B6" s="7" t="s">
        <v>2</v>
      </c>
    </row>
    <row r="7" spans="1:220" x14ac:dyDescent="0.2">
      <c r="A7" s="14" t="s">
        <v>125</v>
      </c>
      <c r="B7" s="7" t="s">
        <v>131</v>
      </c>
    </row>
    <row r="8" spans="1:220" x14ac:dyDescent="0.2">
      <c r="A8" s="3" t="s">
        <v>99</v>
      </c>
      <c r="B8" s="7" t="s">
        <v>98</v>
      </c>
    </row>
    <row r="9" spans="1:220" x14ac:dyDescent="0.2">
      <c r="A9" s="13" t="s">
        <v>147</v>
      </c>
      <c r="B9" s="37">
        <f>VLOOKUP(B3,Hist!$A$1:$C$8548,3,0)/100</f>
        <v>7.9500000000000001E-2</v>
      </c>
    </row>
    <row r="10" spans="1:220" x14ac:dyDescent="0.2">
      <c r="A10" s="13" t="s">
        <v>145</v>
      </c>
      <c r="B10" s="37">
        <f t="array" aca="1" ref="B10" ca="1">(PRODUCT(1+OFFSET(Hist!$A$1,MATCH(Bono_C_Cupon_var_BONDED!B$3,Hist!$A:$A,0)-1,2,Bono_C_Cupon_var_BONDED!$B$5-Bono_C_Cupon_var_BONDED!$D$16,1)/36000)-1)*360/($B$5-$D$16)</f>
        <v>7.661948751329728E-2</v>
      </c>
    </row>
    <row r="11" spans="1:220" x14ac:dyDescent="0.2">
      <c r="A11" s="4" t="s">
        <v>90</v>
      </c>
      <c r="B11" s="8">
        <f>B4-B3</f>
        <v>1800</v>
      </c>
    </row>
    <row r="12" spans="1:220" x14ac:dyDescent="0.2">
      <c r="A12" s="13" t="s">
        <v>144</v>
      </c>
      <c r="B12" s="10">
        <f ca="1">SUM(H16:H689)</f>
        <v>933070.26189900527</v>
      </c>
    </row>
    <row r="13" spans="1:220" x14ac:dyDescent="0.2">
      <c r="A13" s="13" t="s">
        <v>143</v>
      </c>
      <c r="B13" s="10">
        <f ca="1">B12-B10*(B5-D16)*B1*B2/360</f>
        <v>928813.62370382214</v>
      </c>
      <c r="J13">
        <f>72-8*4</f>
        <v>40</v>
      </c>
    </row>
    <row r="14" spans="1:220" x14ac:dyDescent="0.2">
      <c r="J14">
        <f>32*2/72</f>
        <v>0.88888888888888884</v>
      </c>
    </row>
    <row r="15" spans="1:220" ht="38.450000000000003" customHeight="1" x14ac:dyDescent="0.2">
      <c r="A15" s="22" t="s">
        <v>101</v>
      </c>
      <c r="B15" s="22" t="s">
        <v>146</v>
      </c>
      <c r="C15" s="22" t="s">
        <v>102</v>
      </c>
      <c r="D15" s="22" t="s">
        <v>106</v>
      </c>
      <c r="E15" s="22" t="s">
        <v>107</v>
      </c>
      <c r="F15" s="22" t="s">
        <v>140</v>
      </c>
      <c r="G15" s="22" t="s">
        <v>148</v>
      </c>
      <c r="H15" s="22" t="s">
        <v>103</v>
      </c>
    </row>
    <row r="16" spans="1:220" x14ac:dyDescent="0.2">
      <c r="A16" s="12">
        <f>$B$3+$B$11-(INT($B$11/B5))*$B$5</f>
        <v>43288</v>
      </c>
      <c r="B16" s="21">
        <f ca="1">IF(A16="","",((1+$B$10*($B$5-$D$16)/360)*(1+$B$9/360)^($D$16)-1)*360/$B$5)</f>
        <v>7.7556816346841126E-2</v>
      </c>
      <c r="C16" s="17">
        <f t="shared" ref="C16:C79" ca="1" si="0">IF(A16="","",IF(A16=$B$4,$B$1*$B$2+$B$1*$B$5/360*$B$2*B16, $B$1*$B$5/360*$B$2*B16))</f>
        <v>6032.1968269765321</v>
      </c>
      <c r="D16" s="18">
        <f>$B$11-(INT($B$11/B5))*$B$5</f>
        <v>8</v>
      </c>
      <c r="E16" s="17">
        <f>D16</f>
        <v>8</v>
      </c>
      <c r="F16" s="23">
        <f ca="1">IF(A16="","",IF($B$8="Sí",interpolar_alamb(E16,OFFSET(Curvas_cupon_cero!$A$1,1,0,COUNT(Curvas_cupon_cero!$A:$A)-2,1),OFFSET(Curvas_cupon_cero!$A$1,1,MATCH($B$6,Curvas_cupon_cero!$1:$1,0)-1,COUNT(Curvas_cupon_cero!$A:$A)-2,1)),interpolar(E16,OFFSET(Curvas_cupon_cero!$A$1,1,0,COUNT(Curvas_cupon_cero!$A:$A)-2,1),OFFSET(Curvas_cupon_cero!$A$1,1,MATCH($B$6,Curvas_cupon_cero!$1:$1,0)-1,COUNT(Curvas_cupon_cero!$A:$A)-2,1))))</f>
        <v>7.8045555652173915E-2</v>
      </c>
      <c r="G16" s="23">
        <f ca="1">IF(A16="","",IF($B$8="Sí",interpolar_alamb(E16,OFFSET(Curvas_cupon_cero!$A$1,1,0,COUNT(Curvas_cupon_cero!$A:$A)-2,1),OFFSET(Curvas_cupon_cero!$A$1,1,MATCH($B$7,Curvas_cupon_cero!$1:$1,0)-1,COUNT(Curvas_cupon_cero!$A:$A)-2,1)),interpolar(E16,OFFSET(Curvas_cupon_cero!$A$1,1,0,COUNT(Curvas_cupon_cero!$A:$A)-2,1),OFFSET(Curvas_cupon_cero!$A$1,1,MATCH($B$7,Curvas_cupon_cero!$1:$1,0)-1,COUNT(Curvas_cupon_cero!$A:$A)-2,1))))</f>
        <v>2.4114061304347827E-2</v>
      </c>
      <c r="H16" s="19">
        <f t="shared" ref="H16:H79" ca="1" si="1">IF(A16="","",C16/(1+(F16+G16)*E16/360))</f>
        <v>6018.5334697784747</v>
      </c>
    </row>
    <row r="17" spans="1:8" x14ac:dyDescent="0.2">
      <c r="A17" s="12">
        <f t="shared" ref="A17:A80" si="2">IF(A16="","",IF((A16+$B$5)&gt;$B$4,"",(A16+$B$5)))</f>
        <v>43316</v>
      </c>
      <c r="B17" s="21">
        <f t="shared" ref="B17:B80" si="3">IF(A17="","",((1+$B$9/360)^$B$5-1)*360/$B$5)</f>
        <v>7.9737463611332854E-2</v>
      </c>
      <c r="C17" s="17">
        <f t="shared" si="0"/>
        <v>6201.8027253258888</v>
      </c>
      <c r="D17" s="18">
        <f t="shared" ref="D17:D80" si="4">IF(A17="","",$B$5)</f>
        <v>28</v>
      </c>
      <c r="E17">
        <f t="shared" ref="E17:E80" si="5">IF(A17="","",E16+D17)</f>
        <v>36</v>
      </c>
      <c r="F17" s="23">
        <f ca="1">IF(A17="","",IF($B$8="Sí",interpolar_alamb(E17,OFFSET(Curvas_cupon_cero!$A$1,1,0,COUNT(Curvas_cupon_cero!$A:$A)-2,1),OFFSET(Curvas_cupon_cero!$A$1,1,MATCH($B$6,Curvas_cupon_cero!$1:$1,0)-1,COUNT(Curvas_cupon_cero!$A:$A)-2,1)),interpolar(E17,OFFSET(Curvas_cupon_cero!$A$1,1,0,COUNT(Curvas_cupon_cero!$A:$A)-2,1),OFFSET(Curvas_cupon_cero!$A$1,1,MATCH($B$6,Curvas_cupon_cero!$1:$1,0)-1,COUNT(Curvas_cupon_cero!$A:$A)-2,1))))</f>
        <v>7.726297E-2</v>
      </c>
      <c r="G17" s="23">
        <f ca="1">IF(A17="","",IF($B$8="Sí",interpolar_alamb(E17,OFFSET(Curvas_cupon_cero!$A$1,1,0,COUNT(Curvas_cupon_cero!$A:$A)-2,1),OFFSET(Curvas_cupon_cero!$A$1,1,MATCH($B$7,Curvas_cupon_cero!$1:$1,0)-1,COUNT(Curvas_cupon_cero!$A:$A)-2,1)),interpolar(E17,OFFSET(Curvas_cupon_cero!$A$1,1,0,COUNT(Curvas_cupon_cero!$A:$A)-2,1),OFFSET(Curvas_cupon_cero!$A$1,1,MATCH($B$7,Curvas_cupon_cero!$1:$1,0)-1,COUNT(Curvas_cupon_cero!$A:$A)-2,1))))</f>
        <v>2.4211570000000002E-2</v>
      </c>
      <c r="H17" s="19">
        <f t="shared" ca="1" si="1"/>
        <v>6139.5024070672844</v>
      </c>
    </row>
    <row r="18" spans="1:8" x14ac:dyDescent="0.2">
      <c r="A18" s="12">
        <f t="shared" si="2"/>
        <v>43344</v>
      </c>
      <c r="B18" s="21">
        <f t="shared" si="3"/>
        <v>7.9737463611332854E-2</v>
      </c>
      <c r="C18" s="17">
        <f t="shared" si="0"/>
        <v>6201.8027253258888</v>
      </c>
      <c r="D18" s="18">
        <f t="shared" si="4"/>
        <v>28</v>
      </c>
      <c r="E18">
        <f t="shared" si="5"/>
        <v>64</v>
      </c>
      <c r="F18" s="23">
        <f ca="1">IF(A18="","",IF($B$8="Sí",interpolar_alamb(E18,OFFSET(Curvas_cupon_cero!$A$1,1,0,COUNT(Curvas_cupon_cero!$A:$A)-2,1),OFFSET(Curvas_cupon_cero!$A$1,1,MATCH($B$6,Curvas_cupon_cero!$1:$1,0)-1,COUNT(Curvas_cupon_cero!$A:$A)-2,1)),interpolar(E18,OFFSET(Curvas_cupon_cero!$A$1,1,0,COUNT(Curvas_cupon_cero!$A:$A)-2,1),OFFSET(Curvas_cupon_cero!$A$1,1,MATCH($B$6,Curvas_cupon_cero!$1:$1,0)-1,COUNT(Curvas_cupon_cero!$A:$A)-2,1))))</f>
        <v>7.8081051333333332E-2</v>
      </c>
      <c r="G18" s="23">
        <f ca="1">IF(A18="","",IF($B$8="Sí",interpolar_alamb(E18,OFFSET(Curvas_cupon_cero!$A$1,1,0,COUNT(Curvas_cupon_cero!$A:$A)-2,1),OFFSET(Curvas_cupon_cero!$A$1,1,MATCH($B$7,Curvas_cupon_cero!$1:$1,0)-1,COUNT(Curvas_cupon_cero!$A:$A)-2,1)),interpolar(E18,OFFSET(Curvas_cupon_cero!$A$1,1,0,COUNT(Curvas_cupon_cero!$A:$A)-2,1),OFFSET(Curvas_cupon_cero!$A$1,1,MATCH($B$7,Curvas_cupon_cero!$1:$1,0)-1,COUNT(Curvas_cupon_cero!$A:$A)-2,1))))</f>
        <v>2.4494162E-2</v>
      </c>
      <c r="H18" s="19">
        <f t="shared" ca="1" si="1"/>
        <v>6090.7345657807036</v>
      </c>
    </row>
    <row r="19" spans="1:8" x14ac:dyDescent="0.2">
      <c r="A19" s="12">
        <f t="shared" si="2"/>
        <v>43372</v>
      </c>
      <c r="B19" s="21">
        <f t="shared" si="3"/>
        <v>7.9737463611332854E-2</v>
      </c>
      <c r="C19" s="17">
        <f t="shared" si="0"/>
        <v>6201.8027253258888</v>
      </c>
      <c r="D19" s="18">
        <f t="shared" si="4"/>
        <v>28</v>
      </c>
      <c r="E19">
        <f t="shared" si="5"/>
        <v>92</v>
      </c>
      <c r="F19" s="23">
        <f ca="1">IF(A19="","",IF($B$8="Sí",interpolar_alamb(E19,OFFSET(Curvas_cupon_cero!$A$1,1,0,COUNT(Curvas_cupon_cero!$A:$A)-2,1),OFFSET(Curvas_cupon_cero!$A$1,1,MATCH($B$6,Curvas_cupon_cero!$1:$1,0)-1,COUNT(Curvas_cupon_cero!$A:$A)-2,1)),interpolar(E19,OFFSET(Curvas_cupon_cero!$A$1,1,0,COUNT(Curvas_cupon_cero!$A:$A)-2,1),OFFSET(Curvas_cupon_cero!$A$1,1,MATCH($B$6,Curvas_cupon_cero!$1:$1,0)-1,COUNT(Curvas_cupon_cero!$A:$A)-2,1))))</f>
        <v>7.8985235333333334E-2</v>
      </c>
      <c r="G19" s="23">
        <f ca="1">IF(A19="","",IF($B$8="Sí",interpolar_alamb(E19,OFFSET(Curvas_cupon_cero!$A$1,1,0,COUNT(Curvas_cupon_cero!$A:$A)-2,1),OFFSET(Curvas_cupon_cero!$A$1,1,MATCH($B$7,Curvas_cupon_cero!$1:$1,0)-1,COUNT(Curvas_cupon_cero!$A:$A)-2,1)),interpolar(E19,OFFSET(Curvas_cupon_cero!$A$1,1,0,COUNT(Curvas_cupon_cero!$A:$A)-2,1),OFFSET(Curvas_cupon_cero!$A$1,1,MATCH($B$7,Curvas_cupon_cero!$1:$1,0)-1,COUNT(Curvas_cupon_cero!$A:$A)-2,1))))</f>
        <v>2.4767299333333333E-2</v>
      </c>
      <c r="H19" s="19">
        <f t="shared" ca="1" si="1"/>
        <v>6041.6121778884954</v>
      </c>
    </row>
    <row r="20" spans="1:8" x14ac:dyDescent="0.2">
      <c r="A20" s="12">
        <f t="shared" si="2"/>
        <v>43400</v>
      </c>
      <c r="B20" s="21">
        <f t="shared" si="3"/>
        <v>7.9737463611332854E-2</v>
      </c>
      <c r="C20" s="17">
        <f t="shared" si="0"/>
        <v>6201.8027253258888</v>
      </c>
      <c r="D20" s="18">
        <f t="shared" si="4"/>
        <v>28</v>
      </c>
      <c r="E20">
        <f t="shared" si="5"/>
        <v>120</v>
      </c>
      <c r="F20" s="23">
        <f ca="1">IF(A20="","",IF($B$8="Sí",interpolar_alamb(E20,OFFSET(Curvas_cupon_cero!$A$1,1,0,COUNT(Curvas_cupon_cero!$A:$A)-2,1),OFFSET(Curvas_cupon_cero!$A$1,1,MATCH($B$6,Curvas_cupon_cero!$1:$1,0)-1,COUNT(Curvas_cupon_cero!$A:$A)-2,1)),interpolar(E20,OFFSET(Curvas_cupon_cero!$A$1,1,0,COUNT(Curvas_cupon_cero!$A:$A)-2,1),OFFSET(Curvas_cupon_cero!$A$1,1,MATCH($B$6,Curvas_cupon_cero!$1:$1,0)-1,COUNT(Curvas_cupon_cero!$A:$A)-2,1))))</f>
        <v>7.9198530000000003E-2</v>
      </c>
      <c r="G20" s="23">
        <f ca="1">IF(A20="","",IF($B$8="Sí",interpolar_alamb(E20,OFFSET(Curvas_cupon_cero!$A$1,1,0,COUNT(Curvas_cupon_cero!$A:$A)-2,1),OFFSET(Curvas_cupon_cero!$A$1,1,MATCH($B$7,Curvas_cupon_cero!$1:$1,0)-1,COUNT(Curvas_cupon_cero!$A:$A)-2,1)),interpolar(E20,OFFSET(Curvas_cupon_cero!$A$1,1,0,COUNT(Curvas_cupon_cero!$A:$A)-2,1),OFFSET(Curvas_cupon_cero!$A$1,1,MATCH($B$7,Curvas_cupon_cero!$1:$1,0)-1,COUNT(Curvas_cupon_cero!$A:$A)-2,1))))</f>
        <v>2.498471E-2</v>
      </c>
      <c r="H20" s="19">
        <f t="shared" ca="1" si="1"/>
        <v>5993.6565394179715</v>
      </c>
    </row>
    <row r="21" spans="1:8" x14ac:dyDescent="0.2">
      <c r="A21" s="12">
        <f t="shared" si="2"/>
        <v>43428</v>
      </c>
      <c r="B21" s="21">
        <f t="shared" si="3"/>
        <v>7.9737463611332854E-2</v>
      </c>
      <c r="C21" s="17">
        <f t="shared" si="0"/>
        <v>6201.8027253258888</v>
      </c>
      <c r="D21" s="18">
        <f t="shared" si="4"/>
        <v>28</v>
      </c>
      <c r="E21">
        <f t="shared" si="5"/>
        <v>148</v>
      </c>
      <c r="F21" s="23">
        <f ca="1">IF(A21="","",IF($B$8="Sí",interpolar_alamb(E21,OFFSET(Curvas_cupon_cero!$A$1,1,0,COUNT(Curvas_cupon_cero!$A:$A)-2,1),OFFSET(Curvas_cupon_cero!$A$1,1,MATCH($B$6,Curvas_cupon_cero!$1:$1,0)-1,COUNT(Curvas_cupon_cero!$A:$A)-2,1)),interpolar(E21,OFFSET(Curvas_cupon_cero!$A$1,1,0,COUNT(Curvas_cupon_cero!$A:$A)-2,1),OFFSET(Curvas_cupon_cero!$A$1,1,MATCH($B$6,Curvas_cupon_cero!$1:$1,0)-1,COUNT(Curvas_cupon_cero!$A:$A)-2,1))))</f>
        <v>7.9543807333333341E-2</v>
      </c>
      <c r="G21" s="23">
        <f ca="1">IF(A21="","",IF($B$8="Sí",interpolar_alamb(E21,OFFSET(Curvas_cupon_cero!$A$1,1,0,COUNT(Curvas_cupon_cero!$A:$A)-2,1),OFFSET(Curvas_cupon_cero!$A$1,1,MATCH($B$7,Curvas_cupon_cero!$1:$1,0)-1,COUNT(Curvas_cupon_cero!$A:$A)-2,1)),interpolar(E21,OFFSET(Curvas_cupon_cero!$A$1,1,0,COUNT(Curvas_cupon_cero!$A:$A)-2,1),OFFSET(Curvas_cupon_cero!$A$1,1,MATCH($B$7,Curvas_cupon_cero!$1:$1,0)-1,COUNT(Curvas_cupon_cero!$A:$A)-2,1))))</f>
        <v>2.5202932666666667E-2</v>
      </c>
      <c r="H21" s="19">
        <f t="shared" ca="1" si="1"/>
        <v>5945.7630160852505</v>
      </c>
    </row>
    <row r="22" spans="1:8" x14ac:dyDescent="0.2">
      <c r="A22" s="12">
        <f t="shared" si="2"/>
        <v>43456</v>
      </c>
      <c r="B22" s="21">
        <f t="shared" si="3"/>
        <v>7.9737463611332854E-2</v>
      </c>
      <c r="C22" s="17">
        <f t="shared" si="0"/>
        <v>6201.8027253258888</v>
      </c>
      <c r="D22" s="18">
        <f t="shared" si="4"/>
        <v>28</v>
      </c>
      <c r="E22">
        <f t="shared" si="5"/>
        <v>176</v>
      </c>
      <c r="F22" s="23">
        <f ca="1">IF(A22="","",IF($B$8="Sí",interpolar_alamb(E22,OFFSET(Curvas_cupon_cero!$A$1,1,0,COUNT(Curvas_cupon_cero!$A:$A)-2,1),OFFSET(Curvas_cupon_cero!$A$1,1,MATCH($B$6,Curvas_cupon_cero!$1:$1,0)-1,COUNT(Curvas_cupon_cero!$A:$A)-2,1)),interpolar(E22,OFFSET(Curvas_cupon_cero!$A$1,1,0,COUNT(Curvas_cupon_cero!$A:$A)-2,1),OFFSET(Curvas_cupon_cero!$A$1,1,MATCH($B$6,Curvas_cupon_cero!$1:$1,0)-1,COUNT(Curvas_cupon_cero!$A:$A)-2,1))))</f>
        <v>7.9840750666666668E-2</v>
      </c>
      <c r="G22" s="23">
        <f ca="1">IF(A22="","",IF($B$8="Sí",interpolar_alamb(E22,OFFSET(Curvas_cupon_cero!$A$1,1,0,COUNT(Curvas_cupon_cero!$A:$A)-2,1),OFFSET(Curvas_cupon_cero!$A$1,1,MATCH($B$7,Curvas_cupon_cero!$1:$1,0)-1,COUNT(Curvas_cupon_cero!$A:$A)-2,1)),interpolar(E22,OFFSET(Curvas_cupon_cero!$A$1,1,0,COUNT(Curvas_cupon_cero!$A:$A)-2,1),OFFSET(Curvas_cupon_cero!$A$1,1,MATCH($B$7,Curvas_cupon_cero!$1:$1,0)-1,COUNT(Curvas_cupon_cero!$A:$A)-2,1))))</f>
        <v>2.5429917333333333E-2</v>
      </c>
      <c r="H22" s="19">
        <f t="shared" ca="1" si="1"/>
        <v>5898.2456220683198</v>
      </c>
    </row>
    <row r="23" spans="1:8" x14ac:dyDescent="0.2">
      <c r="A23" s="12">
        <f t="shared" si="2"/>
        <v>43484</v>
      </c>
      <c r="B23" s="21">
        <f t="shared" si="3"/>
        <v>7.9737463611332854E-2</v>
      </c>
      <c r="C23" s="17">
        <f t="shared" si="0"/>
        <v>6201.8027253258888</v>
      </c>
      <c r="D23" s="18">
        <f t="shared" si="4"/>
        <v>28</v>
      </c>
      <c r="E23">
        <f t="shared" si="5"/>
        <v>204</v>
      </c>
      <c r="F23" s="23">
        <f ca="1">IF(A23="","",IF($B$8="Sí",interpolar_alamb(E23,OFFSET(Curvas_cupon_cero!$A$1,1,0,COUNT(Curvas_cupon_cero!$A:$A)-2,1),OFFSET(Curvas_cupon_cero!$A$1,1,MATCH($B$6,Curvas_cupon_cero!$1:$1,0)-1,COUNT(Curvas_cupon_cero!$A:$A)-2,1)),interpolar(E23,OFFSET(Curvas_cupon_cero!$A$1,1,0,COUNT(Curvas_cupon_cero!$A:$A)-2,1),OFFSET(Curvas_cupon_cero!$A$1,1,MATCH($B$6,Curvas_cupon_cero!$1:$1,0)-1,COUNT(Curvas_cupon_cero!$A:$A)-2,1))))</f>
        <v>8.0134064000000005E-2</v>
      </c>
      <c r="G23" s="23">
        <f ca="1">IF(A23="","",IF($B$8="Sí",interpolar_alamb(E23,OFFSET(Curvas_cupon_cero!$A$1,1,0,COUNT(Curvas_cupon_cero!$A:$A)-2,1),OFFSET(Curvas_cupon_cero!$A$1,1,MATCH($B$7,Curvas_cupon_cero!$1:$1,0)-1,COUNT(Curvas_cupon_cero!$A:$A)-2,1)),interpolar(E23,OFFSET(Curvas_cupon_cero!$A$1,1,0,COUNT(Curvas_cupon_cero!$A:$A)-2,1),OFFSET(Curvas_cupon_cero!$A$1,1,MATCH($B$7,Curvas_cupon_cero!$1:$1,0)-1,COUNT(Curvas_cupon_cero!$A:$A)-2,1))))</f>
        <v>2.5669416E-2</v>
      </c>
      <c r="H23" s="19">
        <f t="shared" ca="1" si="1"/>
        <v>5851.0039943387565</v>
      </c>
    </row>
    <row r="24" spans="1:8" x14ac:dyDescent="0.2">
      <c r="A24" s="12">
        <f t="shared" si="2"/>
        <v>43512</v>
      </c>
      <c r="B24" s="21">
        <f t="shared" si="3"/>
        <v>7.9737463611332854E-2</v>
      </c>
      <c r="C24" s="17">
        <f t="shared" si="0"/>
        <v>6201.8027253258888</v>
      </c>
      <c r="D24" s="18">
        <f t="shared" si="4"/>
        <v>28</v>
      </c>
      <c r="E24">
        <f t="shared" si="5"/>
        <v>232</v>
      </c>
      <c r="F24" s="23">
        <f ca="1">IF(A24="","",IF($B$8="Sí",interpolar_alamb(E24,OFFSET(Curvas_cupon_cero!$A$1,1,0,COUNT(Curvas_cupon_cero!$A:$A)-2,1),OFFSET(Curvas_cupon_cero!$A$1,1,MATCH($B$6,Curvas_cupon_cero!$1:$1,0)-1,COUNT(Curvas_cupon_cero!$A:$A)-2,1)),interpolar(E24,OFFSET(Curvas_cupon_cero!$A$1,1,0,COUNT(Curvas_cupon_cero!$A:$A)-2,1),OFFSET(Curvas_cupon_cero!$A$1,1,MATCH($B$6,Curvas_cupon_cero!$1:$1,0)-1,COUNT(Curvas_cupon_cero!$A:$A)-2,1))))</f>
        <v>8.0296954000000004E-2</v>
      </c>
      <c r="G24" s="23">
        <f ca="1">IF(A24="","",IF($B$8="Sí",interpolar_alamb(E24,OFFSET(Curvas_cupon_cero!$A$1,1,0,COUNT(Curvas_cupon_cero!$A:$A)-2,1),OFFSET(Curvas_cupon_cero!$A$1,1,MATCH($B$7,Curvas_cupon_cero!$1:$1,0)-1,COUNT(Curvas_cupon_cero!$A:$A)-2,1)),interpolar(E24,OFFSET(Curvas_cupon_cero!$A$1,1,0,COUNT(Curvas_cupon_cero!$A:$A)-2,1),OFFSET(Curvas_cupon_cero!$A$1,1,MATCH($B$7,Curvas_cupon_cero!$1:$1,0)-1,COUNT(Curvas_cupon_cero!$A:$A)-2,1))))</f>
        <v>2.5911621333333336E-2</v>
      </c>
      <c r="H24" s="19">
        <f t="shared" ca="1" si="1"/>
        <v>5804.5099843808503</v>
      </c>
    </row>
    <row r="25" spans="1:8" x14ac:dyDescent="0.2">
      <c r="A25" s="12">
        <f t="shared" si="2"/>
        <v>43540</v>
      </c>
      <c r="B25" s="21">
        <f t="shared" si="3"/>
        <v>7.9737463611332854E-2</v>
      </c>
      <c r="C25" s="17">
        <f t="shared" si="0"/>
        <v>6201.8027253258888</v>
      </c>
      <c r="D25" s="18">
        <f t="shared" si="4"/>
        <v>28</v>
      </c>
      <c r="E25">
        <f t="shared" si="5"/>
        <v>260</v>
      </c>
      <c r="F25" s="23">
        <f ca="1">IF(A25="","",IF($B$8="Sí",interpolar_alamb(E25,OFFSET(Curvas_cupon_cero!$A$1,1,0,COUNT(Curvas_cupon_cero!$A:$A)-2,1),OFFSET(Curvas_cupon_cero!$A$1,1,MATCH($B$6,Curvas_cupon_cero!$1:$1,0)-1,COUNT(Curvas_cupon_cero!$A:$A)-2,1)),interpolar(E25,OFFSET(Curvas_cupon_cero!$A$1,1,0,COUNT(Curvas_cupon_cero!$A:$A)-2,1),OFFSET(Curvas_cupon_cero!$A$1,1,MATCH($B$6,Curvas_cupon_cero!$1:$1,0)-1,COUNT(Curvas_cupon_cero!$A:$A)-2,1))))</f>
        <v>8.0393776666666666E-2</v>
      </c>
      <c r="G25" s="23">
        <f ca="1">IF(A25="","",IF($B$8="Sí",interpolar_alamb(E25,OFFSET(Curvas_cupon_cero!$A$1,1,0,COUNT(Curvas_cupon_cero!$A:$A)-2,1),OFFSET(Curvas_cupon_cero!$A$1,1,MATCH($B$7,Curvas_cupon_cero!$1:$1,0)-1,COUNT(Curvas_cupon_cero!$A:$A)-2,1)),interpolar(E25,OFFSET(Curvas_cupon_cero!$A$1,1,0,COUNT(Curvas_cupon_cero!$A:$A)-2,1),OFFSET(Curvas_cupon_cero!$A$1,1,MATCH($B$7,Curvas_cupon_cero!$1:$1,0)-1,COUNT(Curvas_cupon_cero!$A:$A)-2,1))))</f>
        <v>2.6140793333333336E-2</v>
      </c>
      <c r="H25" s="19">
        <f t="shared" ca="1" si="1"/>
        <v>5758.7175852147866</v>
      </c>
    </row>
    <row r="26" spans="1:8" x14ac:dyDescent="0.2">
      <c r="A26" s="12">
        <f t="shared" si="2"/>
        <v>43568</v>
      </c>
      <c r="B26" s="21">
        <f t="shared" si="3"/>
        <v>7.9737463611332854E-2</v>
      </c>
      <c r="C26" s="17">
        <f t="shared" si="0"/>
        <v>6201.8027253258888</v>
      </c>
      <c r="D26" s="18">
        <f t="shared" si="4"/>
        <v>28</v>
      </c>
      <c r="E26">
        <f t="shared" si="5"/>
        <v>288</v>
      </c>
      <c r="F26" s="23">
        <f ca="1">IF(A26="","",IF($B$8="Sí",interpolar_alamb(E26,OFFSET(Curvas_cupon_cero!$A$1,1,0,COUNT(Curvas_cupon_cero!$A:$A)-2,1),OFFSET(Curvas_cupon_cero!$A$1,1,MATCH($B$6,Curvas_cupon_cero!$1:$1,0)-1,COUNT(Curvas_cupon_cero!$A:$A)-2,1)),interpolar(E26,OFFSET(Curvas_cupon_cero!$A$1,1,0,COUNT(Curvas_cupon_cero!$A:$A)-2,1),OFFSET(Curvas_cupon_cero!$A$1,1,MATCH($B$6,Curvas_cupon_cero!$1:$1,0)-1,COUNT(Curvas_cupon_cero!$A:$A)-2,1))))</f>
        <v>8.0481869999999997E-2</v>
      </c>
      <c r="G26" s="23">
        <f ca="1">IF(A26="","",IF($B$8="Sí",interpolar_alamb(E26,OFFSET(Curvas_cupon_cero!$A$1,1,0,COUNT(Curvas_cupon_cero!$A:$A)-2,1),OFFSET(Curvas_cupon_cero!$A$1,1,MATCH($B$7,Curvas_cupon_cero!$1:$1,0)-1,COUNT(Curvas_cupon_cero!$A:$A)-2,1)),interpolar(E26,OFFSET(Curvas_cupon_cero!$A$1,1,0,COUNT(Curvas_cupon_cero!$A:$A)-2,1),OFFSET(Curvas_cupon_cero!$A$1,1,MATCH($B$7,Curvas_cupon_cero!$1:$1,0)-1,COUNT(Curvas_cupon_cero!$A:$A)-2,1))))</f>
        <v>2.6356884000000001E-2</v>
      </c>
      <c r="H26" s="19">
        <f t="shared" ca="1" si="1"/>
        <v>5713.4669715200089</v>
      </c>
    </row>
    <row r="27" spans="1:8" x14ac:dyDescent="0.2">
      <c r="A27" s="12">
        <f t="shared" si="2"/>
        <v>43596</v>
      </c>
      <c r="B27" s="21">
        <f t="shared" si="3"/>
        <v>7.9737463611332854E-2</v>
      </c>
      <c r="C27" s="17">
        <f t="shared" si="0"/>
        <v>6201.8027253258888</v>
      </c>
      <c r="D27" s="18">
        <f t="shared" si="4"/>
        <v>28</v>
      </c>
      <c r="E27">
        <f t="shared" si="5"/>
        <v>316</v>
      </c>
      <c r="F27" s="23">
        <f ca="1">IF(A27="","",IF($B$8="Sí",interpolar_alamb(E27,OFFSET(Curvas_cupon_cero!$A$1,1,0,COUNT(Curvas_cupon_cero!$A:$A)-2,1),OFFSET(Curvas_cupon_cero!$A$1,1,MATCH($B$6,Curvas_cupon_cero!$1:$1,0)-1,COUNT(Curvas_cupon_cero!$A:$A)-2,1)),interpolar(E27,OFFSET(Curvas_cupon_cero!$A$1,1,0,COUNT(Curvas_cupon_cero!$A:$A)-2,1),OFFSET(Curvas_cupon_cero!$A$1,1,MATCH($B$6,Curvas_cupon_cero!$1:$1,0)-1,COUNT(Curvas_cupon_cero!$A:$A)-2,1))))</f>
        <v>8.0569121999999993E-2</v>
      </c>
      <c r="G27" s="23">
        <f ca="1">IF(A27="","",IF($B$8="Sí",interpolar_alamb(E27,OFFSET(Curvas_cupon_cero!$A$1,1,0,COUNT(Curvas_cupon_cero!$A:$A)-2,1),OFFSET(Curvas_cupon_cero!$A$1,1,MATCH($B$7,Curvas_cupon_cero!$1:$1,0)-1,COUNT(Curvas_cupon_cero!$A:$A)-2,1)),interpolar(E27,OFFSET(Curvas_cupon_cero!$A$1,1,0,COUNT(Curvas_cupon_cero!$A:$A)-2,1),OFFSET(Curvas_cupon_cero!$A$1,1,MATCH($B$7,Curvas_cupon_cero!$1:$1,0)-1,COUNT(Curvas_cupon_cero!$A:$A)-2,1))))</f>
        <v>2.6569128000000001E-2</v>
      </c>
      <c r="H27" s="19">
        <f t="shared" ca="1" si="1"/>
        <v>5668.6980912308627</v>
      </c>
    </row>
    <row r="28" spans="1:8" x14ac:dyDescent="0.2">
      <c r="A28" s="12">
        <f t="shared" si="2"/>
        <v>43624</v>
      </c>
      <c r="B28" s="21">
        <f t="shared" si="3"/>
        <v>7.9737463611332854E-2</v>
      </c>
      <c r="C28" s="17">
        <f t="shared" si="0"/>
        <v>6201.8027253258888</v>
      </c>
      <c r="D28" s="18">
        <f t="shared" si="4"/>
        <v>28</v>
      </c>
      <c r="E28">
        <f t="shared" si="5"/>
        <v>344</v>
      </c>
      <c r="F28" s="23">
        <f ca="1">IF(A28="","",IF($B$8="Sí",interpolar_alamb(E28,OFFSET(Curvas_cupon_cero!$A$1,1,0,COUNT(Curvas_cupon_cero!$A:$A)-2,1),OFFSET(Curvas_cupon_cero!$A$1,1,MATCH($B$6,Curvas_cupon_cero!$1:$1,0)-1,COUNT(Curvas_cupon_cero!$A:$A)-2,1)),interpolar(E28,OFFSET(Curvas_cupon_cero!$A$1,1,0,COUNT(Curvas_cupon_cero!$A:$A)-2,1),OFFSET(Curvas_cupon_cero!$A$1,1,MATCH($B$6,Curvas_cupon_cero!$1:$1,0)-1,COUNT(Curvas_cupon_cero!$A:$A)-2,1))))</f>
        <v>8.0623204000000004E-2</v>
      </c>
      <c r="G28" s="23">
        <f ca="1">IF(A28="","",IF($B$8="Sí",interpolar_alamb(E28,OFFSET(Curvas_cupon_cero!$A$1,1,0,COUNT(Curvas_cupon_cero!$A:$A)-2,1),OFFSET(Curvas_cupon_cero!$A$1,1,MATCH($B$7,Curvas_cupon_cero!$1:$1,0)-1,COUNT(Curvas_cupon_cero!$A:$A)-2,1)),interpolar(E28,OFFSET(Curvas_cupon_cero!$A$1,1,0,COUNT(Curvas_cupon_cero!$A:$A)-2,1),OFFSET(Curvas_cupon_cero!$A$1,1,MATCH($B$7,Curvas_cupon_cero!$1:$1,0)-1,COUNT(Curvas_cupon_cero!$A:$A)-2,1))))</f>
        <v>2.6782156666666664E-2</v>
      </c>
      <c r="H28" s="19">
        <f t="shared" ca="1" si="1"/>
        <v>5624.5455525022899</v>
      </c>
    </row>
    <row r="29" spans="1:8" x14ac:dyDescent="0.2">
      <c r="A29" s="12">
        <f t="shared" si="2"/>
        <v>43652</v>
      </c>
      <c r="B29" s="21">
        <f t="shared" si="3"/>
        <v>7.9737463611332854E-2</v>
      </c>
      <c r="C29" s="17">
        <f t="shared" si="0"/>
        <v>6201.8027253258888</v>
      </c>
      <c r="D29" s="18">
        <f t="shared" si="4"/>
        <v>28</v>
      </c>
      <c r="E29">
        <f t="shared" si="5"/>
        <v>372</v>
      </c>
      <c r="F29" s="23">
        <f ca="1">IF(A29="","",IF($B$8="Sí",interpolar_alamb(E29,OFFSET(Curvas_cupon_cero!$A$1,1,0,COUNT(Curvas_cupon_cero!$A:$A)-2,1),OFFSET(Curvas_cupon_cero!$A$1,1,MATCH($B$6,Curvas_cupon_cero!$1:$1,0)-1,COUNT(Curvas_cupon_cero!$A:$A)-2,1)),interpolar(E29,OFFSET(Curvas_cupon_cero!$A$1,1,0,COUNT(Curvas_cupon_cero!$A:$A)-2,1),OFFSET(Curvas_cupon_cero!$A$1,1,MATCH($B$6,Curvas_cupon_cero!$1:$1,0)-1,COUNT(Curvas_cupon_cero!$A:$A)-2,1))))</f>
        <v>8.0652134333333333E-2</v>
      </c>
      <c r="G29" s="23">
        <f ca="1">IF(A29="","",IF($B$8="Sí",interpolar_alamb(E29,OFFSET(Curvas_cupon_cero!$A$1,1,0,COUNT(Curvas_cupon_cero!$A:$A)-2,1),OFFSET(Curvas_cupon_cero!$A$1,1,MATCH($B$7,Curvas_cupon_cero!$1:$1,0)-1,COUNT(Curvas_cupon_cero!$A:$A)-2,1)),interpolar(E29,OFFSET(Curvas_cupon_cero!$A$1,1,0,COUNT(Curvas_cupon_cero!$A:$A)-2,1),OFFSET(Curvas_cupon_cero!$A$1,1,MATCH($B$7,Curvas_cupon_cero!$1:$1,0)-1,COUNT(Curvas_cupon_cero!$A:$A)-2,1))))</f>
        <v>2.6986396999999999E-2</v>
      </c>
      <c r="H29" s="19">
        <f t="shared" ca="1" si="1"/>
        <v>5581.0429499982838</v>
      </c>
    </row>
    <row r="30" spans="1:8" x14ac:dyDescent="0.2">
      <c r="A30" s="12">
        <f t="shared" si="2"/>
        <v>43680</v>
      </c>
      <c r="B30" s="21">
        <f t="shared" si="3"/>
        <v>7.9737463611332854E-2</v>
      </c>
      <c r="C30" s="17">
        <f t="shared" si="0"/>
        <v>6201.8027253258888</v>
      </c>
      <c r="D30" s="18">
        <f t="shared" si="4"/>
        <v>28</v>
      </c>
      <c r="E30">
        <f t="shared" si="5"/>
        <v>400</v>
      </c>
      <c r="F30" s="23">
        <f ca="1">IF(A30="","",IF($B$8="Sí",interpolar_alamb(E30,OFFSET(Curvas_cupon_cero!$A$1,1,0,COUNT(Curvas_cupon_cero!$A:$A)-2,1),OFFSET(Curvas_cupon_cero!$A$1,1,MATCH($B$6,Curvas_cupon_cero!$1:$1,0)-1,COUNT(Curvas_cupon_cero!$A:$A)-2,1)),interpolar(E30,OFFSET(Curvas_cupon_cero!$A$1,1,0,COUNT(Curvas_cupon_cero!$A:$A)-2,1),OFFSET(Curvas_cupon_cero!$A$1,1,MATCH($B$6,Curvas_cupon_cero!$1:$1,0)-1,COUNT(Curvas_cupon_cero!$A:$A)-2,1))))</f>
        <v>8.0688987777777776E-2</v>
      </c>
      <c r="G30" s="23">
        <f ca="1">IF(A30="","",IF($B$8="Sí",interpolar_alamb(E30,OFFSET(Curvas_cupon_cero!$A$1,1,0,COUNT(Curvas_cupon_cero!$A:$A)-2,1),OFFSET(Curvas_cupon_cero!$A$1,1,MATCH($B$7,Curvas_cupon_cero!$1:$1,0)-1,COUNT(Curvas_cupon_cero!$A:$A)-2,1)),interpolar(E30,OFFSET(Curvas_cupon_cero!$A$1,1,0,COUNT(Curvas_cupon_cero!$A:$A)-2,1),OFFSET(Curvas_cupon_cero!$A$1,1,MATCH($B$7,Curvas_cupon_cero!$1:$1,0)-1,COUNT(Curvas_cupon_cero!$A:$A)-2,1))))</f>
        <v>2.7178353333333332E-2</v>
      </c>
      <c r="H30" s="19">
        <f t="shared" ca="1" si="1"/>
        <v>5538.0527030868043</v>
      </c>
    </row>
    <row r="31" spans="1:8" x14ac:dyDescent="0.2">
      <c r="A31" s="12">
        <f t="shared" si="2"/>
        <v>43708</v>
      </c>
      <c r="B31" s="21">
        <f t="shared" si="3"/>
        <v>7.9737463611332854E-2</v>
      </c>
      <c r="C31" s="17">
        <f t="shared" si="0"/>
        <v>6201.8027253258888</v>
      </c>
      <c r="D31" s="18">
        <f t="shared" si="4"/>
        <v>28</v>
      </c>
      <c r="E31">
        <f t="shared" si="5"/>
        <v>428</v>
      </c>
      <c r="F31" s="23">
        <f ca="1">IF(A31="","",IF($B$8="Sí",interpolar_alamb(E31,OFFSET(Curvas_cupon_cero!$A$1,1,0,COUNT(Curvas_cupon_cero!$A:$A)-2,1),OFFSET(Curvas_cupon_cero!$A$1,1,MATCH($B$6,Curvas_cupon_cero!$1:$1,0)-1,COUNT(Curvas_cupon_cero!$A:$A)-2,1)),interpolar(E31,OFFSET(Curvas_cupon_cero!$A$1,1,0,COUNT(Curvas_cupon_cero!$A:$A)-2,1),OFFSET(Curvas_cupon_cero!$A$1,1,MATCH($B$6,Curvas_cupon_cero!$1:$1,0)-1,COUNT(Curvas_cupon_cero!$A:$A)-2,1))))</f>
        <v>8.0725841222222219E-2</v>
      </c>
      <c r="G31" s="23">
        <f ca="1">IF(A31="","",IF($B$8="Sí",interpolar_alamb(E31,OFFSET(Curvas_cupon_cero!$A$1,1,0,COUNT(Curvas_cupon_cero!$A:$A)-2,1),OFFSET(Curvas_cupon_cero!$A$1,1,MATCH($B$7,Curvas_cupon_cero!$1:$1,0)-1,COUNT(Curvas_cupon_cero!$A:$A)-2,1)),interpolar(E31,OFFSET(Curvas_cupon_cero!$A$1,1,0,COUNT(Curvas_cupon_cero!$A:$A)-2,1),OFFSET(Curvas_cupon_cero!$A$1,1,MATCH($B$7,Curvas_cupon_cero!$1:$1,0)-1,COUNT(Curvas_cupon_cero!$A:$A)-2,1))))</f>
        <v>2.7370309666666665E-2</v>
      </c>
      <c r="H31" s="19">
        <f t="shared" ca="1" si="1"/>
        <v>5495.5463616221277</v>
      </c>
    </row>
    <row r="32" spans="1:8" x14ac:dyDescent="0.2">
      <c r="A32" s="12">
        <f t="shared" si="2"/>
        <v>43736</v>
      </c>
      <c r="B32" s="21">
        <f t="shared" si="3"/>
        <v>7.9737463611332854E-2</v>
      </c>
      <c r="C32" s="17">
        <f t="shared" si="0"/>
        <v>6201.8027253258888</v>
      </c>
      <c r="D32" s="18">
        <f t="shared" si="4"/>
        <v>28</v>
      </c>
      <c r="E32">
        <f t="shared" si="5"/>
        <v>456</v>
      </c>
      <c r="F32" s="23">
        <f ca="1">IF(A32="","",IF($B$8="Sí",interpolar_alamb(E32,OFFSET(Curvas_cupon_cero!$A$1,1,0,COUNT(Curvas_cupon_cero!$A:$A)-2,1),OFFSET(Curvas_cupon_cero!$A$1,1,MATCH($B$6,Curvas_cupon_cero!$1:$1,0)-1,COUNT(Curvas_cupon_cero!$A:$A)-2,1)),interpolar(E32,OFFSET(Curvas_cupon_cero!$A$1,1,0,COUNT(Curvas_cupon_cero!$A:$A)-2,1),OFFSET(Curvas_cupon_cero!$A$1,1,MATCH($B$6,Curvas_cupon_cero!$1:$1,0)-1,COUNT(Curvas_cupon_cero!$A:$A)-2,1))))</f>
        <v>8.0762694666666662E-2</v>
      </c>
      <c r="G32" s="23">
        <f ca="1">IF(A32="","",IF($B$8="Sí",interpolar_alamb(E32,OFFSET(Curvas_cupon_cero!$A$1,1,0,COUNT(Curvas_cupon_cero!$A:$A)-2,1),OFFSET(Curvas_cupon_cero!$A$1,1,MATCH($B$7,Curvas_cupon_cero!$1:$1,0)-1,COUNT(Curvas_cupon_cero!$A:$A)-2,1)),interpolar(E32,OFFSET(Curvas_cupon_cero!$A$1,1,0,COUNT(Curvas_cupon_cero!$A:$A)-2,1),OFFSET(Curvas_cupon_cero!$A$1,1,MATCH($B$7,Curvas_cupon_cero!$1:$1,0)-1,COUNT(Curvas_cupon_cero!$A:$A)-2,1))))</f>
        <v>2.7562265999999998E-2</v>
      </c>
      <c r="H32" s="19">
        <f t="shared" ca="1" si="1"/>
        <v>5453.5168595399728</v>
      </c>
    </row>
    <row r="33" spans="1:8" x14ac:dyDescent="0.2">
      <c r="A33" s="12">
        <f t="shared" si="2"/>
        <v>43764</v>
      </c>
      <c r="B33" s="21">
        <f t="shared" si="3"/>
        <v>7.9737463611332854E-2</v>
      </c>
      <c r="C33" s="17">
        <f t="shared" si="0"/>
        <v>6201.8027253258888</v>
      </c>
      <c r="D33" s="18">
        <f t="shared" si="4"/>
        <v>28</v>
      </c>
      <c r="E33">
        <f t="shared" si="5"/>
        <v>484</v>
      </c>
      <c r="F33" s="23">
        <f ca="1">IF(A33="","",IF($B$8="Sí",interpolar_alamb(E33,OFFSET(Curvas_cupon_cero!$A$1,1,0,COUNT(Curvas_cupon_cero!$A:$A)-2,1),OFFSET(Curvas_cupon_cero!$A$1,1,MATCH($B$6,Curvas_cupon_cero!$1:$1,0)-1,COUNT(Curvas_cupon_cero!$A:$A)-2,1)),interpolar(E33,OFFSET(Curvas_cupon_cero!$A$1,1,0,COUNT(Curvas_cupon_cero!$A:$A)-2,1),OFFSET(Curvas_cupon_cero!$A$1,1,MATCH($B$6,Curvas_cupon_cero!$1:$1,0)-1,COUNT(Curvas_cupon_cero!$A:$A)-2,1))))</f>
        <v>8.0799548111111105E-2</v>
      </c>
      <c r="G33" s="23">
        <f ca="1">IF(A33="","",IF($B$8="Sí",interpolar_alamb(E33,OFFSET(Curvas_cupon_cero!$A$1,1,0,COUNT(Curvas_cupon_cero!$A:$A)-2,1),OFFSET(Curvas_cupon_cero!$A$1,1,MATCH($B$7,Curvas_cupon_cero!$1:$1,0)-1,COUNT(Curvas_cupon_cero!$A:$A)-2,1)),interpolar(E33,OFFSET(Curvas_cupon_cero!$A$1,1,0,COUNT(Curvas_cupon_cero!$A:$A)-2,1),OFFSET(Curvas_cupon_cero!$A$1,1,MATCH($B$7,Curvas_cupon_cero!$1:$1,0)-1,COUNT(Curvas_cupon_cero!$A:$A)-2,1))))</f>
        <v>2.7754222333333332E-2</v>
      </c>
      <c r="H33" s="19">
        <f t="shared" ca="1" si="1"/>
        <v>5411.9572559898261</v>
      </c>
    </row>
    <row r="34" spans="1:8" x14ac:dyDescent="0.2">
      <c r="A34" s="12">
        <f t="shared" si="2"/>
        <v>43792</v>
      </c>
      <c r="B34" s="21">
        <f t="shared" si="3"/>
        <v>7.9737463611332854E-2</v>
      </c>
      <c r="C34" s="17">
        <f t="shared" si="0"/>
        <v>6201.8027253258888</v>
      </c>
      <c r="D34" s="18">
        <f t="shared" si="4"/>
        <v>28</v>
      </c>
      <c r="E34">
        <f t="shared" si="5"/>
        <v>512</v>
      </c>
      <c r="F34" s="23">
        <f ca="1">IF(A34="","",IF($B$8="Sí",interpolar_alamb(E34,OFFSET(Curvas_cupon_cero!$A$1,1,0,COUNT(Curvas_cupon_cero!$A:$A)-2,1),OFFSET(Curvas_cupon_cero!$A$1,1,MATCH($B$6,Curvas_cupon_cero!$1:$1,0)-1,COUNT(Curvas_cupon_cero!$A:$A)-2,1)),interpolar(E34,OFFSET(Curvas_cupon_cero!$A$1,1,0,COUNT(Curvas_cupon_cero!$A:$A)-2,1),OFFSET(Curvas_cupon_cero!$A$1,1,MATCH($B$6,Curvas_cupon_cero!$1:$1,0)-1,COUNT(Curvas_cupon_cero!$A:$A)-2,1))))</f>
        <v>8.0836401555555548E-2</v>
      </c>
      <c r="G34" s="23">
        <f ca="1">IF(A34="","",IF($B$8="Sí",interpolar_alamb(E34,OFFSET(Curvas_cupon_cero!$A$1,1,0,COUNT(Curvas_cupon_cero!$A:$A)-2,1),OFFSET(Curvas_cupon_cero!$A$1,1,MATCH($B$7,Curvas_cupon_cero!$1:$1,0)-1,COUNT(Curvas_cupon_cero!$A:$A)-2,1)),interpolar(E34,OFFSET(Curvas_cupon_cero!$A$1,1,0,COUNT(Curvas_cupon_cero!$A:$A)-2,1),OFFSET(Curvas_cupon_cero!$A$1,1,MATCH($B$7,Curvas_cupon_cero!$1:$1,0)-1,COUNT(Curvas_cupon_cero!$A:$A)-2,1))))</f>
        <v>2.7946178666666665E-2</v>
      </c>
      <c r="H34" s="19">
        <f t="shared" ca="1" si="1"/>
        <v>5370.8607327588215</v>
      </c>
    </row>
    <row r="35" spans="1:8" x14ac:dyDescent="0.2">
      <c r="A35" s="12">
        <f t="shared" si="2"/>
        <v>43820</v>
      </c>
      <c r="B35" s="21">
        <f t="shared" si="3"/>
        <v>7.9737463611332854E-2</v>
      </c>
      <c r="C35" s="17">
        <f t="shared" si="0"/>
        <v>6201.8027253258888</v>
      </c>
      <c r="D35" s="18">
        <f t="shared" si="4"/>
        <v>28</v>
      </c>
      <c r="E35">
        <f t="shared" si="5"/>
        <v>540</v>
      </c>
      <c r="F35" s="23">
        <f ca="1">IF(A35="","",IF($B$8="Sí",interpolar_alamb(E35,OFFSET(Curvas_cupon_cero!$A$1,1,0,COUNT(Curvas_cupon_cero!$A:$A)-2,1),OFFSET(Curvas_cupon_cero!$A$1,1,MATCH($B$6,Curvas_cupon_cero!$1:$1,0)-1,COUNT(Curvas_cupon_cero!$A:$A)-2,1)),interpolar(E35,OFFSET(Curvas_cupon_cero!$A$1,1,0,COUNT(Curvas_cupon_cero!$A:$A)-2,1),OFFSET(Curvas_cupon_cero!$A$1,1,MATCH($B$6,Curvas_cupon_cero!$1:$1,0)-1,COUNT(Curvas_cupon_cero!$A:$A)-2,1))))</f>
        <v>8.0873255000000005E-2</v>
      </c>
      <c r="G35" s="23">
        <f ca="1">IF(A35="","",IF($B$8="Sí",interpolar_alamb(E35,OFFSET(Curvas_cupon_cero!$A$1,1,0,COUNT(Curvas_cupon_cero!$A:$A)-2,1),OFFSET(Curvas_cupon_cero!$A$1,1,MATCH($B$7,Curvas_cupon_cero!$1:$1,0)-1,COUNT(Curvas_cupon_cero!$A:$A)-2,1)),interpolar(E35,OFFSET(Curvas_cupon_cero!$A$1,1,0,COUNT(Curvas_cupon_cero!$A:$A)-2,1),OFFSET(Curvas_cupon_cero!$A$1,1,MATCH($B$7,Curvas_cupon_cero!$1:$1,0)-1,COUNT(Curvas_cupon_cero!$A:$A)-2,1))))</f>
        <v>2.8138135000000002E-2</v>
      </c>
      <c r="H35" s="19">
        <f t="shared" ca="1" si="1"/>
        <v>5330.2205917551164</v>
      </c>
    </row>
    <row r="36" spans="1:8" x14ac:dyDescent="0.2">
      <c r="A36" s="12">
        <f t="shared" si="2"/>
        <v>43848</v>
      </c>
      <c r="B36" s="21">
        <f t="shared" si="3"/>
        <v>7.9737463611332854E-2</v>
      </c>
      <c r="C36" s="17">
        <f t="shared" si="0"/>
        <v>6201.8027253258888</v>
      </c>
      <c r="D36" s="18">
        <f t="shared" si="4"/>
        <v>28</v>
      </c>
      <c r="E36">
        <f t="shared" si="5"/>
        <v>568</v>
      </c>
      <c r="F36" s="23">
        <f ca="1">IF(A36="","",IF($B$8="Sí",interpolar_alamb(E36,OFFSET(Curvas_cupon_cero!$A$1,1,0,COUNT(Curvas_cupon_cero!$A:$A)-2,1),OFFSET(Curvas_cupon_cero!$A$1,1,MATCH($B$6,Curvas_cupon_cero!$1:$1,0)-1,COUNT(Curvas_cupon_cero!$A:$A)-2,1)),interpolar(E36,OFFSET(Curvas_cupon_cero!$A$1,1,0,COUNT(Curvas_cupon_cero!$A:$A)-2,1),OFFSET(Curvas_cupon_cero!$A$1,1,MATCH($B$6,Curvas_cupon_cero!$1:$1,0)-1,COUNT(Curvas_cupon_cero!$A:$A)-2,1))))</f>
        <v>8.0910108444444448E-2</v>
      </c>
      <c r="G36" s="23">
        <f ca="1">IF(A36="","",IF($B$8="Sí",interpolar_alamb(E36,OFFSET(Curvas_cupon_cero!$A$1,1,0,COUNT(Curvas_cupon_cero!$A:$A)-2,1),OFFSET(Curvas_cupon_cero!$A$1,1,MATCH($B$7,Curvas_cupon_cero!$1:$1,0)-1,COUNT(Curvas_cupon_cero!$A:$A)-2,1)),interpolar(E36,OFFSET(Curvas_cupon_cero!$A$1,1,0,COUNT(Curvas_cupon_cero!$A:$A)-2,1),OFFSET(Curvas_cupon_cero!$A$1,1,MATCH($B$7,Curvas_cupon_cero!$1:$1,0)-1,COUNT(Curvas_cupon_cero!$A:$A)-2,1))))</f>
        <v>2.8330091333333335E-2</v>
      </c>
      <c r="H36" s="19">
        <f t="shared" ca="1" si="1"/>
        <v>5290.030252549288</v>
      </c>
    </row>
    <row r="37" spans="1:8" x14ac:dyDescent="0.2">
      <c r="A37" s="12">
        <f t="shared" si="2"/>
        <v>43876</v>
      </c>
      <c r="B37" s="21">
        <f t="shared" si="3"/>
        <v>7.9737463611332854E-2</v>
      </c>
      <c r="C37" s="17">
        <f t="shared" si="0"/>
        <v>6201.8027253258888</v>
      </c>
      <c r="D37" s="18">
        <f t="shared" si="4"/>
        <v>28</v>
      </c>
      <c r="E37">
        <f t="shared" si="5"/>
        <v>596</v>
      </c>
      <c r="F37" s="23">
        <f ca="1">IF(A37="","",IF($B$8="Sí",interpolar_alamb(E37,OFFSET(Curvas_cupon_cero!$A$1,1,0,COUNT(Curvas_cupon_cero!$A:$A)-2,1),OFFSET(Curvas_cupon_cero!$A$1,1,MATCH($B$6,Curvas_cupon_cero!$1:$1,0)-1,COUNT(Curvas_cupon_cero!$A:$A)-2,1)),interpolar(E37,OFFSET(Curvas_cupon_cero!$A$1,1,0,COUNT(Curvas_cupon_cero!$A:$A)-2,1),OFFSET(Curvas_cupon_cero!$A$1,1,MATCH($B$6,Curvas_cupon_cero!$1:$1,0)-1,COUNT(Curvas_cupon_cero!$A:$A)-2,1))))</f>
        <v>8.0946961888888891E-2</v>
      </c>
      <c r="G37" s="23">
        <f ca="1">IF(A37="","",IF($B$8="Sí",interpolar_alamb(E37,OFFSET(Curvas_cupon_cero!$A$1,1,0,COUNT(Curvas_cupon_cero!$A:$A)-2,1),OFFSET(Curvas_cupon_cero!$A$1,1,MATCH($B$7,Curvas_cupon_cero!$1:$1,0)-1,COUNT(Curvas_cupon_cero!$A:$A)-2,1)),interpolar(E37,OFFSET(Curvas_cupon_cero!$A$1,1,0,COUNT(Curvas_cupon_cero!$A:$A)-2,1),OFFSET(Curvas_cupon_cero!$A$1,1,MATCH($B$7,Curvas_cupon_cero!$1:$1,0)-1,COUNT(Curvas_cupon_cero!$A:$A)-2,1))))</f>
        <v>2.8522047666666668E-2</v>
      </c>
      <c r="H37" s="19">
        <f t="shared" ca="1" si="1"/>
        <v>5250.2832499722517</v>
      </c>
    </row>
    <row r="38" spans="1:8" x14ac:dyDescent="0.2">
      <c r="A38" s="12">
        <f t="shared" si="2"/>
        <v>43904</v>
      </c>
      <c r="B38" s="21">
        <f t="shared" si="3"/>
        <v>7.9737463611332854E-2</v>
      </c>
      <c r="C38" s="17">
        <f t="shared" si="0"/>
        <v>6201.8027253258888</v>
      </c>
      <c r="D38" s="18">
        <f t="shared" si="4"/>
        <v>28</v>
      </c>
      <c r="E38">
        <f t="shared" si="5"/>
        <v>624</v>
      </c>
      <c r="F38" s="23">
        <f ca="1">IF(A38="","",IF($B$8="Sí",interpolar_alamb(E38,OFFSET(Curvas_cupon_cero!$A$1,1,0,COUNT(Curvas_cupon_cero!$A:$A)-2,1),OFFSET(Curvas_cupon_cero!$A$1,1,MATCH($B$6,Curvas_cupon_cero!$1:$1,0)-1,COUNT(Curvas_cupon_cero!$A:$A)-2,1)),interpolar(E38,OFFSET(Curvas_cupon_cero!$A$1,1,0,COUNT(Curvas_cupon_cero!$A:$A)-2,1),OFFSET(Curvas_cupon_cero!$A$1,1,MATCH($B$6,Curvas_cupon_cero!$1:$1,0)-1,COUNT(Curvas_cupon_cero!$A:$A)-2,1))))</f>
        <v>8.0983815333333334E-2</v>
      </c>
      <c r="G38" s="23">
        <f ca="1">IF(A38="","",IF($B$8="Sí",interpolar_alamb(E38,OFFSET(Curvas_cupon_cero!$A$1,1,0,COUNT(Curvas_cupon_cero!$A:$A)-2,1),OFFSET(Curvas_cupon_cero!$A$1,1,MATCH($B$7,Curvas_cupon_cero!$1:$1,0)-1,COUNT(Curvas_cupon_cero!$A:$A)-2,1)),interpolar(E38,OFFSET(Curvas_cupon_cero!$A$1,1,0,COUNT(Curvas_cupon_cero!$A:$A)-2,1),OFFSET(Curvas_cupon_cero!$A$1,1,MATCH($B$7,Curvas_cupon_cero!$1:$1,0)-1,COUNT(Curvas_cupon_cero!$A:$A)-2,1))))</f>
        <v>2.8714004000000001E-2</v>
      </c>
      <c r="H38" s="19">
        <f t="shared" ca="1" si="1"/>
        <v>5210.9732317683338</v>
      </c>
    </row>
    <row r="39" spans="1:8" x14ac:dyDescent="0.2">
      <c r="A39" s="12">
        <f t="shared" si="2"/>
        <v>43932</v>
      </c>
      <c r="B39" s="21">
        <f t="shared" si="3"/>
        <v>7.9737463611332854E-2</v>
      </c>
      <c r="C39" s="17">
        <f t="shared" si="0"/>
        <v>6201.8027253258888</v>
      </c>
      <c r="D39" s="18">
        <f t="shared" si="4"/>
        <v>28</v>
      </c>
      <c r="E39">
        <f t="shared" si="5"/>
        <v>652</v>
      </c>
      <c r="F39" s="23">
        <f ca="1">IF(A39="","",IF($B$8="Sí",interpolar_alamb(E39,OFFSET(Curvas_cupon_cero!$A$1,1,0,COUNT(Curvas_cupon_cero!$A:$A)-2,1),OFFSET(Curvas_cupon_cero!$A$1,1,MATCH($B$6,Curvas_cupon_cero!$1:$1,0)-1,COUNT(Curvas_cupon_cero!$A:$A)-2,1)),interpolar(E39,OFFSET(Curvas_cupon_cero!$A$1,1,0,COUNT(Curvas_cupon_cero!$A:$A)-2,1),OFFSET(Curvas_cupon_cero!$A$1,1,MATCH($B$6,Curvas_cupon_cero!$1:$1,0)-1,COUNT(Curvas_cupon_cero!$A:$A)-2,1))))</f>
        <v>8.1020668777777777E-2</v>
      </c>
      <c r="G39" s="23">
        <f ca="1">IF(A39="","",IF($B$8="Sí",interpolar_alamb(E39,OFFSET(Curvas_cupon_cero!$A$1,1,0,COUNT(Curvas_cupon_cero!$A:$A)-2,1),OFFSET(Curvas_cupon_cero!$A$1,1,MATCH($B$7,Curvas_cupon_cero!$1:$1,0)-1,COUNT(Curvas_cupon_cero!$A:$A)-2,1)),interpolar(E39,OFFSET(Curvas_cupon_cero!$A$1,1,0,COUNT(Curvas_cupon_cero!$A:$A)-2,1),OFFSET(Curvas_cupon_cero!$A$1,1,MATCH($B$7,Curvas_cupon_cero!$1:$1,0)-1,COUNT(Curvas_cupon_cero!$A:$A)-2,1))))</f>
        <v>2.8905960333333335E-2</v>
      </c>
      <c r="H39" s="19">
        <f t="shared" ca="1" si="1"/>
        <v>5172.0939563020611</v>
      </c>
    </row>
    <row r="40" spans="1:8" x14ac:dyDescent="0.2">
      <c r="A40" s="12">
        <f t="shared" si="2"/>
        <v>43960</v>
      </c>
      <c r="B40" s="21">
        <f t="shared" si="3"/>
        <v>7.9737463611332854E-2</v>
      </c>
      <c r="C40" s="17">
        <f t="shared" si="0"/>
        <v>6201.8027253258888</v>
      </c>
      <c r="D40" s="18">
        <f t="shared" si="4"/>
        <v>28</v>
      </c>
      <c r="E40">
        <f t="shared" si="5"/>
        <v>680</v>
      </c>
      <c r="F40" s="23">
        <f ca="1">IF(A40="","",IF($B$8="Sí",interpolar_alamb(E40,OFFSET(Curvas_cupon_cero!$A$1,1,0,COUNT(Curvas_cupon_cero!$A:$A)-2,1),OFFSET(Curvas_cupon_cero!$A$1,1,MATCH($B$6,Curvas_cupon_cero!$1:$1,0)-1,COUNT(Curvas_cupon_cero!$A:$A)-2,1)),interpolar(E40,OFFSET(Curvas_cupon_cero!$A$1,1,0,COUNT(Curvas_cupon_cero!$A:$A)-2,1),OFFSET(Curvas_cupon_cero!$A$1,1,MATCH($B$6,Curvas_cupon_cero!$1:$1,0)-1,COUNT(Curvas_cupon_cero!$A:$A)-2,1))))</f>
        <v>8.105752222222222E-2</v>
      </c>
      <c r="G40" s="23">
        <f ca="1">IF(A40="","",IF($B$8="Sí",interpolar_alamb(E40,OFFSET(Curvas_cupon_cero!$A$1,1,0,COUNT(Curvas_cupon_cero!$A:$A)-2,1),OFFSET(Curvas_cupon_cero!$A$1,1,MATCH($B$7,Curvas_cupon_cero!$1:$1,0)-1,COUNT(Curvas_cupon_cero!$A:$A)-2,1)),interpolar(E40,OFFSET(Curvas_cupon_cero!$A$1,1,0,COUNT(Curvas_cupon_cero!$A:$A)-2,1),OFFSET(Curvas_cupon_cero!$A$1,1,MATCH($B$7,Curvas_cupon_cero!$1:$1,0)-1,COUNT(Curvas_cupon_cero!$A:$A)-2,1))))</f>
        <v>2.9097916666666668E-2</v>
      </c>
      <c r="H40" s="19">
        <f t="shared" ca="1" si="1"/>
        <v>5133.6392903173746</v>
      </c>
    </row>
    <row r="41" spans="1:8" x14ac:dyDescent="0.2">
      <c r="A41" s="12">
        <f t="shared" si="2"/>
        <v>43988</v>
      </c>
      <c r="B41" s="21">
        <f t="shared" si="3"/>
        <v>7.9737463611332854E-2</v>
      </c>
      <c r="C41" s="17">
        <f t="shared" si="0"/>
        <v>6201.8027253258888</v>
      </c>
      <c r="D41" s="18">
        <f t="shared" si="4"/>
        <v>28</v>
      </c>
      <c r="E41">
        <f t="shared" si="5"/>
        <v>708</v>
      </c>
      <c r="F41" s="23">
        <f ca="1">IF(A41="","",IF($B$8="Sí",interpolar_alamb(E41,OFFSET(Curvas_cupon_cero!$A$1,1,0,COUNT(Curvas_cupon_cero!$A:$A)-2,1),OFFSET(Curvas_cupon_cero!$A$1,1,MATCH($B$6,Curvas_cupon_cero!$1:$1,0)-1,COUNT(Curvas_cupon_cero!$A:$A)-2,1)),interpolar(E41,OFFSET(Curvas_cupon_cero!$A$1,1,0,COUNT(Curvas_cupon_cero!$A:$A)-2,1),OFFSET(Curvas_cupon_cero!$A$1,1,MATCH($B$6,Curvas_cupon_cero!$1:$1,0)-1,COUNT(Curvas_cupon_cero!$A:$A)-2,1))))</f>
        <v>8.1094375666666663E-2</v>
      </c>
      <c r="G41" s="23">
        <f ca="1">IF(A41="","",IF($B$8="Sí",interpolar_alamb(E41,OFFSET(Curvas_cupon_cero!$A$1,1,0,COUNT(Curvas_cupon_cero!$A:$A)-2,1),OFFSET(Curvas_cupon_cero!$A$1,1,MATCH($B$7,Curvas_cupon_cero!$1:$1,0)-1,COUNT(Curvas_cupon_cero!$A:$A)-2,1)),interpolar(E41,OFFSET(Curvas_cupon_cero!$A$1,1,0,COUNT(Curvas_cupon_cero!$A:$A)-2,1),OFFSET(Curvas_cupon_cero!$A$1,1,MATCH($B$7,Curvas_cupon_cero!$1:$1,0)-1,COUNT(Curvas_cupon_cero!$A:$A)-2,1))))</f>
        <v>2.9289873000000001E-2</v>
      </c>
      <c r="H41" s="19">
        <f t="shared" ca="1" si="1"/>
        <v>5095.6032067479146</v>
      </c>
    </row>
    <row r="42" spans="1:8" x14ac:dyDescent="0.2">
      <c r="A42" s="12">
        <f t="shared" si="2"/>
        <v>44016</v>
      </c>
      <c r="B42" s="21">
        <f t="shared" si="3"/>
        <v>7.9737463611332854E-2</v>
      </c>
      <c r="C42" s="17">
        <f t="shared" si="0"/>
        <v>6201.8027253258888</v>
      </c>
      <c r="D42" s="18">
        <f t="shared" si="4"/>
        <v>28</v>
      </c>
      <c r="E42">
        <f t="shared" si="5"/>
        <v>736</v>
      </c>
      <c r="F42" s="23">
        <f ca="1">IF(A42="","",IF($B$8="Sí",interpolar_alamb(E42,OFFSET(Curvas_cupon_cero!$A$1,1,0,COUNT(Curvas_cupon_cero!$A:$A)-2,1),OFFSET(Curvas_cupon_cero!$A$1,1,MATCH($B$6,Curvas_cupon_cero!$1:$1,0)-1,COUNT(Curvas_cupon_cero!$A:$A)-2,1)),interpolar(E42,OFFSET(Curvas_cupon_cero!$A$1,1,0,COUNT(Curvas_cupon_cero!$A:$A)-2,1),OFFSET(Curvas_cupon_cero!$A$1,1,MATCH($B$6,Curvas_cupon_cero!$1:$1,0)-1,COUNT(Curvas_cupon_cero!$A:$A)-2,1))))</f>
        <v>8.1271964222222215E-2</v>
      </c>
      <c r="G42" s="23">
        <f ca="1">IF(A42="","",IF($B$8="Sí",interpolar_alamb(E42,OFFSET(Curvas_cupon_cero!$A$1,1,0,COUNT(Curvas_cupon_cero!$A:$A)-2,1),OFFSET(Curvas_cupon_cero!$A$1,1,MATCH($B$7,Curvas_cupon_cero!$1:$1,0)-1,COUNT(Curvas_cupon_cero!$A:$A)-2,1)),interpolar(E42,OFFSET(Curvas_cupon_cero!$A$1,1,0,COUNT(Curvas_cupon_cero!$A:$A)-2,1),OFFSET(Curvas_cupon_cero!$A$1,1,MATCH($B$7,Curvas_cupon_cero!$1:$1,0)-1,COUNT(Curvas_cupon_cero!$A:$A)-2,1))))</f>
        <v>2.9460645333333334E-2</v>
      </c>
      <c r="H42" s="19">
        <f t="shared" ca="1" si="1"/>
        <v>5056.9717406437403</v>
      </c>
    </row>
    <row r="43" spans="1:8" x14ac:dyDescent="0.2">
      <c r="A43" s="12">
        <f t="shared" si="2"/>
        <v>44044</v>
      </c>
      <c r="B43" s="21">
        <f t="shared" si="3"/>
        <v>7.9737463611332854E-2</v>
      </c>
      <c r="C43" s="17">
        <f t="shared" si="0"/>
        <v>6201.8027253258888</v>
      </c>
      <c r="D43" s="18">
        <f t="shared" si="4"/>
        <v>28</v>
      </c>
      <c r="E43">
        <f t="shared" si="5"/>
        <v>764</v>
      </c>
      <c r="F43" s="23">
        <f ca="1">IF(A43="","",IF($B$8="Sí",interpolar_alamb(E43,OFFSET(Curvas_cupon_cero!$A$1,1,0,COUNT(Curvas_cupon_cero!$A:$A)-2,1),OFFSET(Curvas_cupon_cero!$A$1,1,MATCH($B$6,Curvas_cupon_cero!$1:$1,0)-1,COUNT(Curvas_cupon_cero!$A:$A)-2,1)),interpolar(E43,OFFSET(Curvas_cupon_cero!$A$1,1,0,COUNT(Curvas_cupon_cero!$A:$A)-2,1),OFFSET(Curvas_cupon_cero!$A$1,1,MATCH($B$6,Curvas_cupon_cero!$1:$1,0)-1,COUNT(Curvas_cupon_cero!$A:$A)-2,1))))</f>
        <v>8.155510411111111E-2</v>
      </c>
      <c r="G43" s="23">
        <f ca="1">IF(A43="","",IF($B$8="Sí",interpolar_alamb(E43,OFFSET(Curvas_cupon_cero!$A$1,1,0,COUNT(Curvas_cupon_cero!$A:$A)-2,1),OFFSET(Curvas_cupon_cero!$A$1,1,MATCH($B$7,Curvas_cupon_cero!$1:$1,0)-1,COUNT(Curvas_cupon_cero!$A:$A)-2,1)),interpolar(E43,OFFSET(Curvas_cupon_cero!$A$1,1,0,COUNT(Curvas_cupon_cero!$A:$A)-2,1),OFFSET(Curvas_cupon_cero!$A$1,1,MATCH($B$7,Curvas_cupon_cero!$1:$1,0)-1,COUNT(Curvas_cupon_cero!$A:$A)-2,1))))</f>
        <v>2.9615529666666668E-2</v>
      </c>
      <c r="H43" s="19">
        <f t="shared" ca="1" si="1"/>
        <v>5017.9288468770901</v>
      </c>
    </row>
    <row r="44" spans="1:8" x14ac:dyDescent="0.2">
      <c r="A44" s="12">
        <f t="shared" si="2"/>
        <v>44072</v>
      </c>
      <c r="B44" s="21">
        <f t="shared" si="3"/>
        <v>7.9737463611332854E-2</v>
      </c>
      <c r="C44" s="17">
        <f t="shared" si="0"/>
        <v>6201.8027253258888</v>
      </c>
      <c r="D44" s="18">
        <f t="shared" si="4"/>
        <v>28</v>
      </c>
      <c r="E44">
        <f t="shared" si="5"/>
        <v>792</v>
      </c>
      <c r="F44" s="23">
        <f ca="1">IF(A44="","",IF($B$8="Sí",interpolar_alamb(E44,OFFSET(Curvas_cupon_cero!$A$1,1,0,COUNT(Curvas_cupon_cero!$A:$A)-2,1),OFFSET(Curvas_cupon_cero!$A$1,1,MATCH($B$6,Curvas_cupon_cero!$1:$1,0)-1,COUNT(Curvas_cupon_cero!$A:$A)-2,1)),interpolar(E44,OFFSET(Curvas_cupon_cero!$A$1,1,0,COUNT(Curvas_cupon_cero!$A:$A)-2,1),OFFSET(Curvas_cupon_cero!$A$1,1,MATCH($B$6,Curvas_cupon_cero!$1:$1,0)-1,COUNT(Curvas_cupon_cero!$A:$A)-2,1))))</f>
        <v>8.1838243999999991E-2</v>
      </c>
      <c r="G44" s="23">
        <f ca="1">IF(A44="","",IF($B$8="Sí",interpolar_alamb(E44,OFFSET(Curvas_cupon_cero!$A$1,1,0,COUNT(Curvas_cupon_cero!$A:$A)-2,1),OFFSET(Curvas_cupon_cero!$A$1,1,MATCH($B$7,Curvas_cupon_cero!$1:$1,0)-1,COUNT(Curvas_cupon_cero!$A:$A)-2,1)),interpolar(E44,OFFSET(Curvas_cupon_cero!$A$1,1,0,COUNT(Curvas_cupon_cero!$A:$A)-2,1),OFFSET(Curvas_cupon_cero!$A$1,1,MATCH($B$7,Curvas_cupon_cero!$1:$1,0)-1,COUNT(Curvas_cupon_cero!$A:$A)-2,1))))</f>
        <v>2.9770414000000002E-2</v>
      </c>
      <c r="H44" s="19">
        <f t="shared" ca="1" si="1"/>
        <v>4979.211801730341</v>
      </c>
    </row>
    <row r="45" spans="1:8" x14ac:dyDescent="0.2">
      <c r="A45" s="12">
        <f t="shared" si="2"/>
        <v>44100</v>
      </c>
      <c r="B45" s="21">
        <f t="shared" si="3"/>
        <v>7.9737463611332854E-2</v>
      </c>
      <c r="C45" s="17">
        <f t="shared" si="0"/>
        <v>6201.8027253258888</v>
      </c>
      <c r="D45" s="18">
        <f t="shared" si="4"/>
        <v>28</v>
      </c>
      <c r="E45">
        <f t="shared" si="5"/>
        <v>820</v>
      </c>
      <c r="F45" s="23">
        <f ca="1">IF(A45="","",IF($B$8="Sí",interpolar_alamb(E45,OFFSET(Curvas_cupon_cero!$A$1,1,0,COUNT(Curvas_cupon_cero!$A:$A)-2,1),OFFSET(Curvas_cupon_cero!$A$1,1,MATCH($B$6,Curvas_cupon_cero!$1:$1,0)-1,COUNT(Curvas_cupon_cero!$A:$A)-2,1)),interpolar(E45,OFFSET(Curvas_cupon_cero!$A$1,1,0,COUNT(Curvas_cupon_cero!$A:$A)-2,1),OFFSET(Curvas_cupon_cero!$A$1,1,MATCH($B$6,Curvas_cupon_cero!$1:$1,0)-1,COUNT(Curvas_cupon_cero!$A:$A)-2,1))))</f>
        <v>8.2121383888888885E-2</v>
      </c>
      <c r="G45" s="23">
        <f ca="1">IF(A45="","",IF($B$8="Sí",interpolar_alamb(E45,OFFSET(Curvas_cupon_cero!$A$1,1,0,COUNT(Curvas_cupon_cero!$A:$A)-2,1),OFFSET(Curvas_cupon_cero!$A$1,1,MATCH($B$7,Curvas_cupon_cero!$1:$1,0)-1,COUNT(Curvas_cupon_cero!$A:$A)-2,1)),interpolar(E45,OFFSET(Curvas_cupon_cero!$A$1,1,0,COUNT(Curvas_cupon_cero!$A:$A)-2,1),OFFSET(Curvas_cupon_cero!$A$1,1,MATCH($B$7,Curvas_cupon_cero!$1:$1,0)-1,COUNT(Curvas_cupon_cero!$A:$A)-2,1))))</f>
        <v>2.9925298333333333E-2</v>
      </c>
      <c r="H45" s="19">
        <f t="shared" ca="1" si="1"/>
        <v>4940.819425912694</v>
      </c>
    </row>
    <row r="46" spans="1:8" x14ac:dyDescent="0.2">
      <c r="A46" s="12">
        <f t="shared" si="2"/>
        <v>44128</v>
      </c>
      <c r="B46" s="21">
        <f t="shared" si="3"/>
        <v>7.9737463611332854E-2</v>
      </c>
      <c r="C46" s="17">
        <f t="shared" si="0"/>
        <v>6201.8027253258888</v>
      </c>
      <c r="D46" s="18">
        <f t="shared" si="4"/>
        <v>28</v>
      </c>
      <c r="E46">
        <f t="shared" si="5"/>
        <v>848</v>
      </c>
      <c r="F46" s="23">
        <f ca="1">IF(A46="","",IF($B$8="Sí",interpolar_alamb(E46,OFFSET(Curvas_cupon_cero!$A$1,1,0,COUNT(Curvas_cupon_cero!$A:$A)-2,1),OFFSET(Curvas_cupon_cero!$A$1,1,MATCH($B$6,Curvas_cupon_cero!$1:$1,0)-1,COUNT(Curvas_cupon_cero!$A:$A)-2,1)),interpolar(E46,OFFSET(Curvas_cupon_cero!$A$1,1,0,COUNT(Curvas_cupon_cero!$A:$A)-2,1),OFFSET(Curvas_cupon_cero!$A$1,1,MATCH($B$6,Curvas_cupon_cero!$1:$1,0)-1,COUNT(Curvas_cupon_cero!$A:$A)-2,1))))</f>
        <v>8.240452377777778E-2</v>
      </c>
      <c r="G46" s="23">
        <f ca="1">IF(A46="","",IF($B$8="Sí",interpolar_alamb(E46,OFFSET(Curvas_cupon_cero!$A$1,1,0,COUNT(Curvas_cupon_cero!$A:$A)-2,1),OFFSET(Curvas_cupon_cero!$A$1,1,MATCH($B$7,Curvas_cupon_cero!$1:$1,0)-1,COUNT(Curvas_cupon_cero!$A:$A)-2,1)),interpolar(E46,OFFSET(Curvas_cupon_cero!$A$1,1,0,COUNT(Curvas_cupon_cero!$A:$A)-2,1),OFFSET(Curvas_cupon_cero!$A$1,1,MATCH($B$7,Curvas_cupon_cero!$1:$1,0)-1,COUNT(Curvas_cupon_cero!$A:$A)-2,1))))</f>
        <v>3.0080182666666667E-2</v>
      </c>
      <c r="H46" s="19">
        <f t="shared" ca="1" si="1"/>
        <v>4902.7504711683059</v>
      </c>
    </row>
    <row r="47" spans="1:8" x14ac:dyDescent="0.2">
      <c r="A47" s="12">
        <f t="shared" si="2"/>
        <v>44156</v>
      </c>
      <c r="B47" s="21">
        <f t="shared" si="3"/>
        <v>7.9737463611332854E-2</v>
      </c>
      <c r="C47" s="17">
        <f t="shared" si="0"/>
        <v>6201.8027253258888</v>
      </c>
      <c r="D47" s="18">
        <f t="shared" si="4"/>
        <v>28</v>
      </c>
      <c r="E47">
        <f t="shared" si="5"/>
        <v>876</v>
      </c>
      <c r="F47" s="23">
        <f ca="1">IF(A47="","",IF($B$8="Sí",interpolar_alamb(E47,OFFSET(Curvas_cupon_cero!$A$1,1,0,COUNT(Curvas_cupon_cero!$A:$A)-2,1),OFFSET(Curvas_cupon_cero!$A$1,1,MATCH($B$6,Curvas_cupon_cero!$1:$1,0)-1,COUNT(Curvas_cupon_cero!$A:$A)-2,1)),interpolar(E47,OFFSET(Curvas_cupon_cero!$A$1,1,0,COUNT(Curvas_cupon_cero!$A:$A)-2,1),OFFSET(Curvas_cupon_cero!$A$1,1,MATCH($B$6,Curvas_cupon_cero!$1:$1,0)-1,COUNT(Curvas_cupon_cero!$A:$A)-2,1))))</f>
        <v>8.2687663666666661E-2</v>
      </c>
      <c r="G47" s="23">
        <f ca="1">IF(A47="","",IF($B$8="Sí",interpolar_alamb(E47,OFFSET(Curvas_cupon_cero!$A$1,1,0,COUNT(Curvas_cupon_cero!$A:$A)-2,1),OFFSET(Curvas_cupon_cero!$A$1,1,MATCH($B$7,Curvas_cupon_cero!$1:$1,0)-1,COUNT(Curvas_cupon_cero!$A:$A)-2,1)),interpolar(E47,OFFSET(Curvas_cupon_cero!$A$1,1,0,COUNT(Curvas_cupon_cero!$A:$A)-2,1),OFFSET(Curvas_cupon_cero!$A$1,1,MATCH($B$7,Curvas_cupon_cero!$1:$1,0)-1,COUNT(Curvas_cupon_cero!$A:$A)-2,1))))</f>
        <v>3.0235067000000001E-2</v>
      </c>
      <c r="H47" s="19">
        <f t="shared" ca="1" si="1"/>
        <v>4865.0036235614689</v>
      </c>
    </row>
    <row r="48" spans="1:8" x14ac:dyDescent="0.2">
      <c r="A48" s="12">
        <f t="shared" si="2"/>
        <v>44184</v>
      </c>
      <c r="B48" s="21">
        <f t="shared" si="3"/>
        <v>7.9737463611332854E-2</v>
      </c>
      <c r="C48" s="17">
        <f t="shared" si="0"/>
        <v>6201.8027253258888</v>
      </c>
      <c r="D48" s="18">
        <f t="shared" si="4"/>
        <v>28</v>
      </c>
      <c r="E48">
        <f t="shared" si="5"/>
        <v>904</v>
      </c>
      <c r="F48" s="23">
        <f ca="1">IF(A48="","",IF($B$8="Sí",interpolar_alamb(E48,OFFSET(Curvas_cupon_cero!$A$1,1,0,COUNT(Curvas_cupon_cero!$A:$A)-2,1),OFFSET(Curvas_cupon_cero!$A$1,1,MATCH($B$6,Curvas_cupon_cero!$1:$1,0)-1,COUNT(Curvas_cupon_cero!$A:$A)-2,1)),interpolar(E48,OFFSET(Curvas_cupon_cero!$A$1,1,0,COUNT(Curvas_cupon_cero!$A:$A)-2,1),OFFSET(Curvas_cupon_cero!$A$1,1,MATCH($B$6,Curvas_cupon_cero!$1:$1,0)-1,COUNT(Curvas_cupon_cero!$A:$A)-2,1))))</f>
        <v>8.2970803555555556E-2</v>
      </c>
      <c r="G48" s="23">
        <f ca="1">IF(A48="","",IF($B$8="Sí",interpolar_alamb(E48,OFFSET(Curvas_cupon_cero!$A$1,1,0,COUNT(Curvas_cupon_cero!$A:$A)-2,1),OFFSET(Curvas_cupon_cero!$A$1,1,MATCH($B$7,Curvas_cupon_cero!$1:$1,0)-1,COUNT(Curvas_cupon_cero!$A:$A)-2,1)),interpolar(E48,OFFSET(Curvas_cupon_cero!$A$1,1,0,COUNT(Curvas_cupon_cero!$A:$A)-2,1),OFFSET(Curvas_cupon_cero!$A$1,1,MATCH($B$7,Curvas_cupon_cero!$1:$1,0)-1,COUNT(Curvas_cupon_cero!$A:$A)-2,1))))</f>
        <v>3.0389951333333332E-2</v>
      </c>
      <c r="H48" s="19">
        <f t="shared" ca="1" si="1"/>
        <v>4827.577506665024</v>
      </c>
    </row>
    <row r="49" spans="1:8" x14ac:dyDescent="0.2">
      <c r="A49" s="12">
        <f t="shared" si="2"/>
        <v>44212</v>
      </c>
      <c r="B49" s="21">
        <f t="shared" si="3"/>
        <v>7.9737463611332854E-2</v>
      </c>
      <c r="C49" s="17">
        <f t="shared" si="0"/>
        <v>6201.8027253258888</v>
      </c>
      <c r="D49" s="18">
        <f t="shared" si="4"/>
        <v>28</v>
      </c>
      <c r="E49">
        <f t="shared" si="5"/>
        <v>932</v>
      </c>
      <c r="F49" s="23">
        <f ca="1">IF(A49="","",IF($B$8="Sí",interpolar_alamb(E49,OFFSET(Curvas_cupon_cero!$A$1,1,0,COUNT(Curvas_cupon_cero!$A:$A)-2,1),OFFSET(Curvas_cupon_cero!$A$1,1,MATCH($B$6,Curvas_cupon_cero!$1:$1,0)-1,COUNT(Curvas_cupon_cero!$A:$A)-2,1)),interpolar(E49,OFFSET(Curvas_cupon_cero!$A$1,1,0,COUNT(Curvas_cupon_cero!$A:$A)-2,1),OFFSET(Curvas_cupon_cero!$A$1,1,MATCH($B$6,Curvas_cupon_cero!$1:$1,0)-1,COUNT(Curvas_cupon_cero!$A:$A)-2,1))))</f>
        <v>8.3253943444444437E-2</v>
      </c>
      <c r="G49" s="23">
        <f ca="1">IF(A49="","",IF($B$8="Sí",interpolar_alamb(E49,OFFSET(Curvas_cupon_cero!$A$1,1,0,COUNT(Curvas_cupon_cero!$A:$A)-2,1),OFFSET(Curvas_cupon_cero!$A$1,1,MATCH($B$7,Curvas_cupon_cero!$1:$1,0)-1,COUNT(Curvas_cupon_cero!$A:$A)-2,1)),interpolar(E49,OFFSET(Curvas_cupon_cero!$A$1,1,0,COUNT(Curvas_cupon_cero!$A:$A)-2,1),OFFSET(Curvas_cupon_cero!$A$1,1,MATCH($B$7,Curvas_cupon_cero!$1:$1,0)-1,COUNT(Curvas_cupon_cero!$A:$A)-2,1))))</f>
        <v>3.0544835666666666E-2</v>
      </c>
      <c r="H49" s="19">
        <f t="shared" ca="1" si="1"/>
        <v>4790.4706846535864</v>
      </c>
    </row>
    <row r="50" spans="1:8" x14ac:dyDescent="0.2">
      <c r="A50" s="12">
        <f t="shared" si="2"/>
        <v>44240</v>
      </c>
      <c r="B50" s="21">
        <f t="shared" si="3"/>
        <v>7.9737463611332854E-2</v>
      </c>
      <c r="C50" s="17">
        <f t="shared" si="0"/>
        <v>6201.8027253258888</v>
      </c>
      <c r="D50" s="18">
        <f t="shared" si="4"/>
        <v>28</v>
      </c>
      <c r="E50">
        <f t="shared" si="5"/>
        <v>960</v>
      </c>
      <c r="F50" s="23">
        <f ca="1">IF(A50="","",IF($B$8="Sí",interpolar_alamb(E50,OFFSET(Curvas_cupon_cero!$A$1,1,0,COUNT(Curvas_cupon_cero!$A:$A)-2,1),OFFSET(Curvas_cupon_cero!$A$1,1,MATCH($B$6,Curvas_cupon_cero!$1:$1,0)-1,COUNT(Curvas_cupon_cero!$A:$A)-2,1)),interpolar(E50,OFFSET(Curvas_cupon_cero!$A$1,1,0,COUNT(Curvas_cupon_cero!$A:$A)-2,1),OFFSET(Curvas_cupon_cero!$A$1,1,MATCH($B$6,Curvas_cupon_cero!$1:$1,0)-1,COUNT(Curvas_cupon_cero!$A:$A)-2,1))))</f>
        <v>8.3537083333333331E-2</v>
      </c>
      <c r="G50" s="23">
        <f ca="1">IF(A50="","",IF($B$8="Sí",interpolar_alamb(E50,OFFSET(Curvas_cupon_cero!$A$1,1,0,COUNT(Curvas_cupon_cero!$A:$A)-2,1),OFFSET(Curvas_cupon_cero!$A$1,1,MATCH($B$7,Curvas_cupon_cero!$1:$1,0)-1,COUNT(Curvas_cupon_cero!$A:$A)-2,1)),interpolar(E50,OFFSET(Curvas_cupon_cero!$A$1,1,0,COUNT(Curvas_cupon_cero!$A:$A)-2,1),OFFSET(Curvas_cupon_cero!$A$1,1,MATCH($B$7,Curvas_cupon_cero!$1:$1,0)-1,COUNT(Curvas_cupon_cero!$A:$A)-2,1))))</f>
        <v>3.069972E-2</v>
      </c>
      <c r="H50" s="19">
        <f t="shared" ca="1" si="1"/>
        <v>4753.6816653031883</v>
      </c>
    </row>
    <row r="51" spans="1:8" x14ac:dyDescent="0.2">
      <c r="A51" s="12">
        <f t="shared" si="2"/>
        <v>44268</v>
      </c>
      <c r="B51" s="21">
        <f t="shared" si="3"/>
        <v>7.9737463611332854E-2</v>
      </c>
      <c r="C51" s="17">
        <f t="shared" si="0"/>
        <v>6201.8027253258888</v>
      </c>
      <c r="D51" s="18">
        <f t="shared" si="4"/>
        <v>28</v>
      </c>
      <c r="E51">
        <f t="shared" si="5"/>
        <v>988</v>
      </c>
      <c r="F51" s="23">
        <f ca="1">IF(A51="","",IF($B$8="Sí",interpolar_alamb(E51,OFFSET(Curvas_cupon_cero!$A$1,1,0,COUNT(Curvas_cupon_cero!$A:$A)-2,1),OFFSET(Curvas_cupon_cero!$A$1,1,MATCH($B$6,Curvas_cupon_cero!$1:$1,0)-1,COUNT(Curvas_cupon_cero!$A:$A)-2,1)),interpolar(E51,OFFSET(Curvas_cupon_cero!$A$1,1,0,COUNT(Curvas_cupon_cero!$A:$A)-2,1),OFFSET(Curvas_cupon_cero!$A$1,1,MATCH($B$6,Curvas_cupon_cero!$1:$1,0)-1,COUNT(Curvas_cupon_cero!$A:$A)-2,1))))</f>
        <v>8.3820223222222226E-2</v>
      </c>
      <c r="G51" s="23">
        <f ca="1">IF(A51="","",IF($B$8="Sí",interpolar_alamb(E51,OFFSET(Curvas_cupon_cero!$A$1,1,0,COUNT(Curvas_cupon_cero!$A:$A)-2,1),OFFSET(Curvas_cupon_cero!$A$1,1,MATCH($B$7,Curvas_cupon_cero!$1:$1,0)-1,COUNT(Curvas_cupon_cero!$A:$A)-2,1)),interpolar(E51,OFFSET(Curvas_cupon_cero!$A$1,1,0,COUNT(Curvas_cupon_cero!$A:$A)-2,1),OFFSET(Curvas_cupon_cero!$A$1,1,MATCH($B$7,Curvas_cupon_cero!$1:$1,0)-1,COUNT(Curvas_cupon_cero!$A:$A)-2,1))))</f>
        <v>3.085460433333333E-2</v>
      </c>
      <c r="H51" s="19">
        <f t="shared" ca="1" si="1"/>
        <v>4717.2089028990149</v>
      </c>
    </row>
    <row r="52" spans="1:8" x14ac:dyDescent="0.2">
      <c r="A52" s="12">
        <f t="shared" si="2"/>
        <v>44296</v>
      </c>
      <c r="B52" s="21">
        <f t="shared" si="3"/>
        <v>7.9737463611332854E-2</v>
      </c>
      <c r="C52" s="17">
        <f t="shared" si="0"/>
        <v>6201.8027253258888</v>
      </c>
      <c r="D52" s="18">
        <f t="shared" si="4"/>
        <v>28</v>
      </c>
      <c r="E52">
        <f t="shared" si="5"/>
        <v>1016</v>
      </c>
      <c r="F52" s="23">
        <f ca="1">IF(A52="","",IF($B$8="Sí",interpolar_alamb(E52,OFFSET(Curvas_cupon_cero!$A$1,1,0,COUNT(Curvas_cupon_cero!$A:$A)-2,1),OFFSET(Curvas_cupon_cero!$A$1,1,MATCH($B$6,Curvas_cupon_cero!$1:$1,0)-1,COUNT(Curvas_cupon_cero!$A:$A)-2,1)),interpolar(E52,OFFSET(Curvas_cupon_cero!$A$1,1,0,COUNT(Curvas_cupon_cero!$A:$A)-2,1),OFFSET(Curvas_cupon_cero!$A$1,1,MATCH($B$6,Curvas_cupon_cero!$1:$1,0)-1,COUNT(Curvas_cupon_cero!$A:$A)-2,1))))</f>
        <v>8.4103363111111107E-2</v>
      </c>
      <c r="G52" s="23">
        <f ca="1">IF(A52="","",IF($B$8="Sí",interpolar_alamb(E52,OFFSET(Curvas_cupon_cero!$A$1,1,0,COUNT(Curvas_cupon_cero!$A:$A)-2,1),OFFSET(Curvas_cupon_cero!$A$1,1,MATCH($B$7,Curvas_cupon_cero!$1:$1,0)-1,COUNT(Curvas_cupon_cero!$A:$A)-2,1)),interpolar(E52,OFFSET(Curvas_cupon_cero!$A$1,1,0,COUNT(Curvas_cupon_cero!$A:$A)-2,1),OFFSET(Curvas_cupon_cero!$A$1,1,MATCH($B$7,Curvas_cupon_cero!$1:$1,0)-1,COUNT(Curvas_cupon_cero!$A:$A)-2,1))))</f>
        <v>3.1009488666666665E-2</v>
      </c>
      <c r="H52" s="19">
        <f t="shared" ca="1" si="1"/>
        <v>4681.0508010529256</v>
      </c>
    </row>
    <row r="53" spans="1:8" x14ac:dyDescent="0.2">
      <c r="A53" s="12">
        <f t="shared" si="2"/>
        <v>44324</v>
      </c>
      <c r="B53" s="21">
        <f t="shared" si="3"/>
        <v>7.9737463611332854E-2</v>
      </c>
      <c r="C53" s="17">
        <f t="shared" si="0"/>
        <v>6201.8027253258888</v>
      </c>
      <c r="D53" s="18">
        <f t="shared" si="4"/>
        <v>28</v>
      </c>
      <c r="E53">
        <f t="shared" si="5"/>
        <v>1044</v>
      </c>
      <c r="F53" s="23">
        <f ca="1">IF(A53="","",IF($B$8="Sí",interpolar_alamb(E53,OFFSET(Curvas_cupon_cero!$A$1,1,0,COUNT(Curvas_cupon_cero!$A:$A)-2,1),OFFSET(Curvas_cupon_cero!$A$1,1,MATCH($B$6,Curvas_cupon_cero!$1:$1,0)-1,COUNT(Curvas_cupon_cero!$A:$A)-2,1)),interpolar(E53,OFFSET(Curvas_cupon_cero!$A$1,1,0,COUNT(Curvas_cupon_cero!$A:$A)-2,1),OFFSET(Curvas_cupon_cero!$A$1,1,MATCH($B$6,Curvas_cupon_cero!$1:$1,0)-1,COUNT(Curvas_cupon_cero!$A:$A)-2,1))))</f>
        <v>8.4386503000000002E-2</v>
      </c>
      <c r="G53" s="23">
        <f ca="1">IF(A53="","",IF($B$8="Sí",interpolar_alamb(E53,OFFSET(Curvas_cupon_cero!$A$1,1,0,COUNT(Curvas_cupon_cero!$A:$A)-2,1),OFFSET(Curvas_cupon_cero!$A$1,1,MATCH($B$7,Curvas_cupon_cero!$1:$1,0)-1,COUNT(Curvas_cupon_cero!$A:$A)-2,1)),interpolar(E53,OFFSET(Curvas_cupon_cero!$A$1,1,0,COUNT(Curvas_cupon_cero!$A:$A)-2,1),OFFSET(Curvas_cupon_cero!$A$1,1,MATCH($B$7,Curvas_cupon_cero!$1:$1,0)-1,COUNT(Curvas_cupon_cero!$A:$A)-2,1))))</f>
        <v>3.1164372999999999E-2</v>
      </c>
      <c r="H53" s="19">
        <f t="shared" ca="1" si="1"/>
        <v>4645.2057154324521</v>
      </c>
    </row>
    <row r="54" spans="1:8" x14ac:dyDescent="0.2">
      <c r="A54" s="12">
        <f t="shared" si="2"/>
        <v>44352</v>
      </c>
      <c r="B54" s="21">
        <f t="shared" si="3"/>
        <v>7.9737463611332854E-2</v>
      </c>
      <c r="C54" s="17">
        <f t="shared" si="0"/>
        <v>6201.8027253258888</v>
      </c>
      <c r="D54" s="18">
        <f t="shared" si="4"/>
        <v>28</v>
      </c>
      <c r="E54">
        <f t="shared" si="5"/>
        <v>1072</v>
      </c>
      <c r="F54" s="23">
        <f ca="1">IF(A54="","",IF($B$8="Sí",interpolar_alamb(E54,OFFSET(Curvas_cupon_cero!$A$1,1,0,COUNT(Curvas_cupon_cero!$A:$A)-2,1),OFFSET(Curvas_cupon_cero!$A$1,1,MATCH($B$6,Curvas_cupon_cero!$1:$1,0)-1,COUNT(Curvas_cupon_cero!$A:$A)-2,1)),interpolar(E54,OFFSET(Curvas_cupon_cero!$A$1,1,0,COUNT(Curvas_cupon_cero!$A:$A)-2,1),OFFSET(Curvas_cupon_cero!$A$1,1,MATCH($B$6,Curvas_cupon_cero!$1:$1,0)-1,COUNT(Curvas_cupon_cero!$A:$A)-2,1))))</f>
        <v>8.4669642888888882E-2</v>
      </c>
      <c r="G54" s="23">
        <f ca="1">IF(A54="","",IF($B$8="Sí",interpolar_alamb(E54,OFFSET(Curvas_cupon_cero!$A$1,1,0,COUNT(Curvas_cupon_cero!$A:$A)-2,1),OFFSET(Curvas_cupon_cero!$A$1,1,MATCH($B$7,Curvas_cupon_cero!$1:$1,0)-1,COUNT(Curvas_cupon_cero!$A:$A)-2,1)),interpolar(E54,OFFSET(Curvas_cupon_cero!$A$1,1,0,COUNT(Curvas_cupon_cero!$A:$A)-2,1),OFFSET(Curvas_cupon_cero!$A$1,1,MATCH($B$7,Curvas_cupon_cero!$1:$1,0)-1,COUNT(Curvas_cupon_cero!$A:$A)-2,1))))</f>
        <v>3.1319257333333329E-2</v>
      </c>
      <c r="H54" s="19">
        <f t="shared" ca="1" si="1"/>
        <v>4609.6719564030645</v>
      </c>
    </row>
    <row r="55" spans="1:8" x14ac:dyDescent="0.2">
      <c r="A55" s="12">
        <f t="shared" si="2"/>
        <v>44380</v>
      </c>
      <c r="B55" s="21">
        <f t="shared" si="3"/>
        <v>7.9737463611332854E-2</v>
      </c>
      <c r="C55" s="17">
        <f t="shared" si="0"/>
        <v>6201.8027253258888</v>
      </c>
      <c r="D55" s="18">
        <f t="shared" si="4"/>
        <v>28</v>
      </c>
      <c r="E55">
        <f t="shared" si="5"/>
        <v>1100</v>
      </c>
      <c r="F55" s="23">
        <f ca="1">IF(A55="","",IF($B$8="Sí",interpolar_alamb(E55,OFFSET(Curvas_cupon_cero!$A$1,1,0,COUNT(Curvas_cupon_cero!$A:$A)-2,1),OFFSET(Curvas_cupon_cero!$A$1,1,MATCH($B$6,Curvas_cupon_cero!$1:$1,0)-1,COUNT(Curvas_cupon_cero!$A:$A)-2,1)),interpolar(E55,OFFSET(Curvas_cupon_cero!$A$1,1,0,COUNT(Curvas_cupon_cero!$A:$A)-2,1),OFFSET(Curvas_cupon_cero!$A$1,1,MATCH($B$6,Curvas_cupon_cero!$1:$1,0)-1,COUNT(Curvas_cupon_cero!$A:$A)-2,1))))</f>
        <v>8.4930945555555554E-2</v>
      </c>
      <c r="G55" s="23">
        <f ca="1">IF(A55="","",IF($B$8="Sí",interpolar_alamb(E55,OFFSET(Curvas_cupon_cero!$A$1,1,0,COUNT(Curvas_cupon_cero!$A:$A)-2,1),OFFSET(Curvas_cupon_cero!$A$1,1,MATCH($B$7,Curvas_cupon_cero!$1:$1,0)-1,COUNT(Curvas_cupon_cero!$A:$A)-2,1)),interpolar(E55,OFFSET(Curvas_cupon_cero!$A$1,1,0,COUNT(Curvas_cupon_cero!$A:$A)-2,1),OFFSET(Curvas_cupon_cero!$A$1,1,MATCH($B$7,Curvas_cupon_cero!$1:$1,0)-1,COUNT(Curvas_cupon_cero!$A:$A)-2,1))))</f>
        <v>3.1448466111111108E-2</v>
      </c>
      <c r="H55" s="19">
        <f t="shared" ca="1" si="1"/>
        <v>4574.9376905452164</v>
      </c>
    </row>
    <row r="56" spans="1:8" x14ac:dyDescent="0.2">
      <c r="A56" s="12">
        <f t="shared" si="2"/>
        <v>44408</v>
      </c>
      <c r="B56" s="21">
        <f t="shared" si="3"/>
        <v>7.9737463611332854E-2</v>
      </c>
      <c r="C56" s="17">
        <f t="shared" si="0"/>
        <v>6201.8027253258888</v>
      </c>
      <c r="D56" s="18">
        <f t="shared" si="4"/>
        <v>28</v>
      </c>
      <c r="E56">
        <f t="shared" si="5"/>
        <v>1128</v>
      </c>
      <c r="F56" s="23">
        <f ca="1">IF(A56="","",IF($B$8="Sí",interpolar_alamb(E56,OFFSET(Curvas_cupon_cero!$A$1,1,0,COUNT(Curvas_cupon_cero!$A:$A)-2,1),OFFSET(Curvas_cupon_cero!$A$1,1,MATCH($B$6,Curvas_cupon_cero!$1:$1,0)-1,COUNT(Curvas_cupon_cero!$A:$A)-2,1)),interpolar(E56,OFFSET(Curvas_cupon_cero!$A$1,1,0,COUNT(Curvas_cupon_cero!$A:$A)-2,1),OFFSET(Curvas_cupon_cero!$A$1,1,MATCH($B$6,Curvas_cupon_cero!$1:$1,0)-1,COUNT(Curvas_cupon_cero!$A:$A)-2,1))))</f>
        <v>8.5183513333333336E-2</v>
      </c>
      <c r="G56" s="23">
        <f ca="1">IF(A56="","",IF($B$8="Sí",interpolar_alamb(E56,OFFSET(Curvas_cupon_cero!$A$1,1,0,COUNT(Curvas_cupon_cero!$A:$A)-2,1),OFFSET(Curvas_cupon_cero!$A$1,1,MATCH($B$7,Curvas_cupon_cero!$1:$1,0)-1,COUNT(Curvas_cupon_cero!$A:$A)-2,1)),interpolar(E56,OFFSET(Curvas_cupon_cero!$A$1,1,0,COUNT(Curvas_cupon_cero!$A:$A)-2,1),OFFSET(Curvas_cupon_cero!$A$1,1,MATCH($B$7,Curvas_cupon_cero!$1:$1,0)-1,COUNT(Curvas_cupon_cero!$A:$A)-2,1))))</f>
        <v>3.1567404666666667E-2</v>
      </c>
      <c r="H56" s="19">
        <f t="shared" ca="1" si="1"/>
        <v>4540.7189820999465</v>
      </c>
    </row>
    <row r="57" spans="1:8" x14ac:dyDescent="0.2">
      <c r="A57" s="12">
        <f t="shared" si="2"/>
        <v>44436</v>
      </c>
      <c r="B57" s="21">
        <f t="shared" si="3"/>
        <v>7.9737463611332854E-2</v>
      </c>
      <c r="C57" s="17">
        <f t="shared" si="0"/>
        <v>6201.8027253258888</v>
      </c>
      <c r="D57" s="18">
        <f t="shared" si="4"/>
        <v>28</v>
      </c>
      <c r="E57">
        <f t="shared" si="5"/>
        <v>1156</v>
      </c>
      <c r="F57" s="23">
        <f ca="1">IF(A57="","",IF($B$8="Sí",interpolar_alamb(E57,OFFSET(Curvas_cupon_cero!$A$1,1,0,COUNT(Curvas_cupon_cero!$A:$A)-2,1),OFFSET(Curvas_cupon_cero!$A$1,1,MATCH($B$6,Curvas_cupon_cero!$1:$1,0)-1,COUNT(Curvas_cupon_cero!$A:$A)-2,1)),interpolar(E57,OFFSET(Curvas_cupon_cero!$A$1,1,0,COUNT(Curvas_cupon_cero!$A:$A)-2,1),OFFSET(Curvas_cupon_cero!$A$1,1,MATCH($B$6,Curvas_cupon_cero!$1:$1,0)-1,COUNT(Curvas_cupon_cero!$A:$A)-2,1))))</f>
        <v>8.5436081111111103E-2</v>
      </c>
      <c r="G57" s="23">
        <f ca="1">IF(A57="","",IF($B$8="Sí",interpolar_alamb(E57,OFFSET(Curvas_cupon_cero!$A$1,1,0,COUNT(Curvas_cupon_cero!$A:$A)-2,1),OFFSET(Curvas_cupon_cero!$A$1,1,MATCH($B$7,Curvas_cupon_cero!$1:$1,0)-1,COUNT(Curvas_cupon_cero!$A:$A)-2,1)),interpolar(E57,OFFSET(Curvas_cupon_cero!$A$1,1,0,COUNT(Curvas_cupon_cero!$A:$A)-2,1),OFFSET(Curvas_cupon_cero!$A$1,1,MATCH($B$7,Curvas_cupon_cero!$1:$1,0)-1,COUNT(Curvas_cupon_cero!$A:$A)-2,1))))</f>
        <v>3.1686343222222219E-2</v>
      </c>
      <c r="H57" s="19">
        <f t="shared" ca="1" si="1"/>
        <v>4506.8190833785475</v>
      </c>
    </row>
    <row r="58" spans="1:8" x14ac:dyDescent="0.2">
      <c r="A58" s="12">
        <f t="shared" si="2"/>
        <v>44464</v>
      </c>
      <c r="B58" s="21">
        <f t="shared" si="3"/>
        <v>7.9737463611332854E-2</v>
      </c>
      <c r="C58" s="17">
        <f t="shared" si="0"/>
        <v>6201.8027253258888</v>
      </c>
      <c r="D58" s="18">
        <f t="shared" si="4"/>
        <v>28</v>
      </c>
      <c r="E58">
        <f t="shared" si="5"/>
        <v>1184</v>
      </c>
      <c r="F58" s="23">
        <f ca="1">IF(A58="","",IF($B$8="Sí",interpolar_alamb(E58,OFFSET(Curvas_cupon_cero!$A$1,1,0,COUNT(Curvas_cupon_cero!$A:$A)-2,1),OFFSET(Curvas_cupon_cero!$A$1,1,MATCH($B$6,Curvas_cupon_cero!$1:$1,0)-1,COUNT(Curvas_cupon_cero!$A:$A)-2,1)),interpolar(E58,OFFSET(Curvas_cupon_cero!$A$1,1,0,COUNT(Curvas_cupon_cero!$A:$A)-2,1),OFFSET(Curvas_cupon_cero!$A$1,1,MATCH($B$6,Curvas_cupon_cero!$1:$1,0)-1,COUNT(Curvas_cupon_cero!$A:$A)-2,1))))</f>
        <v>8.5688648888888885E-2</v>
      </c>
      <c r="G58" s="23">
        <f ca="1">IF(A58="","",IF($B$8="Sí",interpolar_alamb(E58,OFFSET(Curvas_cupon_cero!$A$1,1,0,COUNT(Curvas_cupon_cero!$A:$A)-2,1),OFFSET(Curvas_cupon_cero!$A$1,1,MATCH($B$7,Curvas_cupon_cero!$1:$1,0)-1,COUNT(Curvas_cupon_cero!$A:$A)-2,1)),interpolar(E58,OFFSET(Curvas_cupon_cero!$A$1,1,0,COUNT(Curvas_cupon_cero!$A:$A)-2,1),OFFSET(Curvas_cupon_cero!$A$1,1,MATCH($B$7,Curvas_cupon_cero!$1:$1,0)-1,COUNT(Curvas_cupon_cero!$A:$A)-2,1))))</f>
        <v>3.1805281777777777E-2</v>
      </c>
      <c r="H58" s="19">
        <f t="shared" ca="1" si="1"/>
        <v>4473.2351462386887</v>
      </c>
    </row>
    <row r="59" spans="1:8" x14ac:dyDescent="0.2">
      <c r="A59" s="12">
        <f t="shared" si="2"/>
        <v>44492</v>
      </c>
      <c r="B59" s="21">
        <f t="shared" si="3"/>
        <v>7.9737463611332854E-2</v>
      </c>
      <c r="C59" s="17">
        <f t="shared" si="0"/>
        <v>6201.8027253258888</v>
      </c>
      <c r="D59" s="18">
        <f t="shared" si="4"/>
        <v>28</v>
      </c>
      <c r="E59">
        <f t="shared" si="5"/>
        <v>1212</v>
      </c>
      <c r="F59" s="23">
        <f ca="1">IF(A59="","",IF($B$8="Sí",interpolar_alamb(E59,OFFSET(Curvas_cupon_cero!$A$1,1,0,COUNT(Curvas_cupon_cero!$A:$A)-2,1),OFFSET(Curvas_cupon_cero!$A$1,1,MATCH($B$6,Curvas_cupon_cero!$1:$1,0)-1,COUNT(Curvas_cupon_cero!$A:$A)-2,1)),interpolar(E59,OFFSET(Curvas_cupon_cero!$A$1,1,0,COUNT(Curvas_cupon_cero!$A:$A)-2,1),OFFSET(Curvas_cupon_cero!$A$1,1,MATCH($B$6,Curvas_cupon_cero!$1:$1,0)-1,COUNT(Curvas_cupon_cero!$A:$A)-2,1))))</f>
        <v>8.5941216666666667E-2</v>
      </c>
      <c r="G59" s="23">
        <f ca="1">IF(A59="","",IF($B$8="Sí",interpolar_alamb(E59,OFFSET(Curvas_cupon_cero!$A$1,1,0,COUNT(Curvas_cupon_cero!$A:$A)-2,1),OFFSET(Curvas_cupon_cero!$A$1,1,MATCH($B$7,Curvas_cupon_cero!$1:$1,0)-1,COUNT(Curvas_cupon_cero!$A:$A)-2,1)),interpolar(E59,OFFSET(Curvas_cupon_cero!$A$1,1,0,COUNT(Curvas_cupon_cero!$A:$A)-2,1),OFFSET(Curvas_cupon_cero!$A$1,1,MATCH($B$7,Curvas_cupon_cero!$1:$1,0)-1,COUNT(Curvas_cupon_cero!$A:$A)-2,1))))</f>
        <v>3.1924220333333329E-2</v>
      </c>
      <c r="H59" s="19">
        <f t="shared" ca="1" si="1"/>
        <v>4439.9643281331455</v>
      </c>
    </row>
    <row r="60" spans="1:8" x14ac:dyDescent="0.2">
      <c r="A60" s="12">
        <f t="shared" si="2"/>
        <v>44520</v>
      </c>
      <c r="B60" s="21">
        <f t="shared" si="3"/>
        <v>7.9737463611332854E-2</v>
      </c>
      <c r="C60" s="17">
        <f t="shared" si="0"/>
        <v>6201.8027253258888</v>
      </c>
      <c r="D60" s="18">
        <f t="shared" si="4"/>
        <v>28</v>
      </c>
      <c r="E60">
        <f t="shared" si="5"/>
        <v>1240</v>
      </c>
      <c r="F60" s="23">
        <f ca="1">IF(A60="","",IF($B$8="Sí",interpolar_alamb(E60,OFFSET(Curvas_cupon_cero!$A$1,1,0,COUNT(Curvas_cupon_cero!$A:$A)-2,1),OFFSET(Curvas_cupon_cero!$A$1,1,MATCH($B$6,Curvas_cupon_cero!$1:$1,0)-1,COUNT(Curvas_cupon_cero!$A:$A)-2,1)),interpolar(E60,OFFSET(Curvas_cupon_cero!$A$1,1,0,COUNT(Curvas_cupon_cero!$A:$A)-2,1),OFFSET(Curvas_cupon_cero!$A$1,1,MATCH($B$6,Curvas_cupon_cero!$1:$1,0)-1,COUNT(Curvas_cupon_cero!$A:$A)-2,1))))</f>
        <v>8.6193784444444435E-2</v>
      </c>
      <c r="G60" s="23">
        <f ca="1">IF(A60="","",IF($B$8="Sí",interpolar_alamb(E60,OFFSET(Curvas_cupon_cero!$A$1,1,0,COUNT(Curvas_cupon_cero!$A:$A)-2,1),OFFSET(Curvas_cupon_cero!$A$1,1,MATCH($B$7,Curvas_cupon_cero!$1:$1,0)-1,COUNT(Curvas_cupon_cero!$A:$A)-2,1)),interpolar(E60,OFFSET(Curvas_cupon_cero!$A$1,1,0,COUNT(Curvas_cupon_cero!$A:$A)-2,1),OFFSET(Curvas_cupon_cero!$A$1,1,MATCH($B$7,Curvas_cupon_cero!$1:$1,0)-1,COUNT(Curvas_cupon_cero!$A:$A)-2,1))))</f>
        <v>3.2043158888888888E-2</v>
      </c>
      <c r="H60" s="19">
        <f t="shared" ca="1" si="1"/>
        <v>4407.0037930717308</v>
      </c>
    </row>
    <row r="61" spans="1:8" x14ac:dyDescent="0.2">
      <c r="A61" s="12">
        <f t="shared" si="2"/>
        <v>44548</v>
      </c>
      <c r="B61" s="21">
        <f t="shared" si="3"/>
        <v>7.9737463611332854E-2</v>
      </c>
      <c r="C61" s="17">
        <f t="shared" si="0"/>
        <v>6201.8027253258888</v>
      </c>
      <c r="D61" s="18">
        <f t="shared" si="4"/>
        <v>28</v>
      </c>
      <c r="E61">
        <f t="shared" si="5"/>
        <v>1268</v>
      </c>
      <c r="F61" s="23">
        <f ca="1">IF(A61="","",IF($B$8="Sí",interpolar_alamb(E61,OFFSET(Curvas_cupon_cero!$A$1,1,0,COUNT(Curvas_cupon_cero!$A:$A)-2,1),OFFSET(Curvas_cupon_cero!$A$1,1,MATCH($B$6,Curvas_cupon_cero!$1:$1,0)-1,COUNT(Curvas_cupon_cero!$A:$A)-2,1)),interpolar(E61,OFFSET(Curvas_cupon_cero!$A$1,1,0,COUNT(Curvas_cupon_cero!$A:$A)-2,1),OFFSET(Curvas_cupon_cero!$A$1,1,MATCH($B$6,Curvas_cupon_cero!$1:$1,0)-1,COUNT(Curvas_cupon_cero!$A:$A)-2,1))))</f>
        <v>8.6446352222222217E-2</v>
      </c>
      <c r="G61" s="23">
        <f ca="1">IF(A61="","",IF($B$8="Sí",interpolar_alamb(E61,OFFSET(Curvas_cupon_cero!$A$1,1,0,COUNT(Curvas_cupon_cero!$A:$A)-2,1),OFFSET(Curvas_cupon_cero!$A$1,1,MATCH($B$7,Curvas_cupon_cero!$1:$1,0)-1,COUNT(Curvas_cupon_cero!$A:$A)-2,1)),interpolar(E61,OFFSET(Curvas_cupon_cero!$A$1,1,0,COUNT(Curvas_cupon_cero!$A:$A)-2,1),OFFSET(Curvas_cupon_cero!$A$1,1,MATCH($B$7,Curvas_cupon_cero!$1:$1,0)-1,COUNT(Curvas_cupon_cero!$A:$A)-2,1))))</f>
        <v>3.216209744444444E-2</v>
      </c>
      <c r="H61" s="19">
        <f t="shared" ca="1" si="1"/>
        <v>4374.3507125370261</v>
      </c>
    </row>
    <row r="62" spans="1:8" x14ac:dyDescent="0.2">
      <c r="A62" s="12">
        <f t="shared" si="2"/>
        <v>44576</v>
      </c>
      <c r="B62" s="21">
        <f t="shared" si="3"/>
        <v>7.9737463611332854E-2</v>
      </c>
      <c r="C62" s="17">
        <f t="shared" si="0"/>
        <v>6201.8027253258888</v>
      </c>
      <c r="D62" s="18">
        <f t="shared" si="4"/>
        <v>28</v>
      </c>
      <c r="E62">
        <f t="shared" si="5"/>
        <v>1296</v>
      </c>
      <c r="F62" s="23">
        <f ca="1">IF(A62="","",IF($B$8="Sí",interpolar_alamb(E62,OFFSET(Curvas_cupon_cero!$A$1,1,0,COUNT(Curvas_cupon_cero!$A:$A)-2,1),OFFSET(Curvas_cupon_cero!$A$1,1,MATCH($B$6,Curvas_cupon_cero!$1:$1,0)-1,COUNT(Curvas_cupon_cero!$A:$A)-2,1)),interpolar(E62,OFFSET(Curvas_cupon_cero!$A$1,1,0,COUNT(Curvas_cupon_cero!$A:$A)-2,1),OFFSET(Curvas_cupon_cero!$A$1,1,MATCH($B$6,Curvas_cupon_cero!$1:$1,0)-1,COUNT(Curvas_cupon_cero!$A:$A)-2,1))))</f>
        <v>8.6698919999999999E-2</v>
      </c>
      <c r="G62" s="23">
        <f ca="1">IF(A62="","",IF($B$8="Sí",interpolar_alamb(E62,OFFSET(Curvas_cupon_cero!$A$1,1,0,COUNT(Curvas_cupon_cero!$A:$A)-2,1),OFFSET(Curvas_cupon_cero!$A$1,1,MATCH($B$7,Curvas_cupon_cero!$1:$1,0)-1,COUNT(Curvas_cupon_cero!$A:$A)-2,1)),interpolar(E62,OFFSET(Curvas_cupon_cero!$A$1,1,0,COUNT(Curvas_cupon_cero!$A:$A)-2,1),OFFSET(Curvas_cupon_cero!$A$1,1,MATCH($B$7,Curvas_cupon_cero!$1:$1,0)-1,COUNT(Curvas_cupon_cero!$A:$A)-2,1))))</f>
        <v>3.2281035999999999E-2</v>
      </c>
      <c r="H62" s="19">
        <f t="shared" ca="1" si="1"/>
        <v>4342.0022663555201</v>
      </c>
    </row>
    <row r="63" spans="1:8" x14ac:dyDescent="0.2">
      <c r="A63" s="12">
        <f t="shared" si="2"/>
        <v>44604</v>
      </c>
      <c r="B63" s="21">
        <f t="shared" si="3"/>
        <v>7.9737463611332854E-2</v>
      </c>
      <c r="C63" s="17">
        <f t="shared" si="0"/>
        <v>6201.8027253258888</v>
      </c>
      <c r="D63" s="18">
        <f t="shared" si="4"/>
        <v>28</v>
      </c>
      <c r="E63">
        <f t="shared" si="5"/>
        <v>1324</v>
      </c>
      <c r="F63" s="23">
        <f ca="1">IF(A63="","",IF($B$8="Sí",interpolar_alamb(E63,OFFSET(Curvas_cupon_cero!$A$1,1,0,COUNT(Curvas_cupon_cero!$A:$A)-2,1),OFFSET(Curvas_cupon_cero!$A$1,1,MATCH($B$6,Curvas_cupon_cero!$1:$1,0)-1,COUNT(Curvas_cupon_cero!$A:$A)-2,1)),interpolar(E63,OFFSET(Curvas_cupon_cero!$A$1,1,0,COUNT(Curvas_cupon_cero!$A:$A)-2,1),OFFSET(Curvas_cupon_cero!$A$1,1,MATCH($B$6,Curvas_cupon_cero!$1:$1,0)-1,COUNT(Curvas_cupon_cero!$A:$A)-2,1))))</f>
        <v>8.6951487777777767E-2</v>
      </c>
      <c r="G63" s="23">
        <f ca="1">IF(A63="","",IF($B$8="Sí",interpolar_alamb(E63,OFFSET(Curvas_cupon_cero!$A$1,1,0,COUNT(Curvas_cupon_cero!$A:$A)-2,1),OFFSET(Curvas_cupon_cero!$A$1,1,MATCH($B$7,Curvas_cupon_cero!$1:$1,0)-1,COUNT(Curvas_cupon_cero!$A:$A)-2,1)),interpolar(E63,OFFSET(Curvas_cupon_cero!$A$1,1,0,COUNT(Curvas_cupon_cero!$A:$A)-2,1),OFFSET(Curvas_cupon_cero!$A$1,1,MATCH($B$7,Curvas_cupon_cero!$1:$1,0)-1,COUNT(Curvas_cupon_cero!$A:$A)-2,1))))</f>
        <v>3.2399974555555558E-2</v>
      </c>
      <c r="H63" s="19">
        <f t="shared" ca="1" si="1"/>
        <v>4309.9556435256545</v>
      </c>
    </row>
    <row r="64" spans="1:8" x14ac:dyDescent="0.2">
      <c r="A64" s="12">
        <f t="shared" si="2"/>
        <v>44632</v>
      </c>
      <c r="B64" s="21">
        <f t="shared" si="3"/>
        <v>7.9737463611332854E-2</v>
      </c>
      <c r="C64" s="17">
        <f t="shared" si="0"/>
        <v>6201.8027253258888</v>
      </c>
      <c r="D64" s="18">
        <f t="shared" si="4"/>
        <v>28</v>
      </c>
      <c r="E64">
        <f t="shared" si="5"/>
        <v>1352</v>
      </c>
      <c r="F64" s="23">
        <f ca="1">IF(A64="","",IF($B$8="Sí",interpolar_alamb(E64,OFFSET(Curvas_cupon_cero!$A$1,1,0,COUNT(Curvas_cupon_cero!$A:$A)-2,1),OFFSET(Curvas_cupon_cero!$A$1,1,MATCH($B$6,Curvas_cupon_cero!$1:$1,0)-1,COUNT(Curvas_cupon_cero!$A:$A)-2,1)),interpolar(E64,OFFSET(Curvas_cupon_cero!$A$1,1,0,COUNT(Curvas_cupon_cero!$A:$A)-2,1),OFFSET(Curvas_cupon_cero!$A$1,1,MATCH($B$6,Curvas_cupon_cero!$1:$1,0)-1,COUNT(Curvas_cupon_cero!$A:$A)-2,1))))</f>
        <v>8.7204055555555549E-2</v>
      </c>
      <c r="G64" s="23">
        <f ca="1">IF(A64="","",IF($B$8="Sí",interpolar_alamb(E64,OFFSET(Curvas_cupon_cero!$A$1,1,0,COUNT(Curvas_cupon_cero!$A:$A)-2,1),OFFSET(Curvas_cupon_cero!$A$1,1,MATCH($B$7,Curvas_cupon_cero!$1:$1,0)-1,COUNT(Curvas_cupon_cero!$A:$A)-2,1)),interpolar(E64,OFFSET(Curvas_cupon_cero!$A$1,1,0,COUNT(Curvas_cupon_cero!$A:$A)-2,1),OFFSET(Curvas_cupon_cero!$A$1,1,MATCH($B$7,Curvas_cupon_cero!$1:$1,0)-1,COUNT(Curvas_cupon_cero!$A:$A)-2,1))))</f>
        <v>3.251891311111111E-2</v>
      </c>
      <c r="H64" s="19">
        <f t="shared" ca="1" si="1"/>
        <v>4278.208043004287</v>
      </c>
    </row>
    <row r="65" spans="1:8" x14ac:dyDescent="0.2">
      <c r="A65" s="12">
        <f t="shared" si="2"/>
        <v>44660</v>
      </c>
      <c r="B65" s="21">
        <f t="shared" si="3"/>
        <v>7.9737463611332854E-2</v>
      </c>
      <c r="C65" s="17">
        <f t="shared" si="0"/>
        <v>6201.8027253258888</v>
      </c>
      <c r="D65" s="18">
        <f t="shared" si="4"/>
        <v>28</v>
      </c>
      <c r="E65">
        <f t="shared" si="5"/>
        <v>1380</v>
      </c>
      <c r="F65" s="23">
        <f ca="1">IF(A65="","",IF($B$8="Sí",interpolar_alamb(E65,OFFSET(Curvas_cupon_cero!$A$1,1,0,COUNT(Curvas_cupon_cero!$A:$A)-2,1),OFFSET(Curvas_cupon_cero!$A$1,1,MATCH($B$6,Curvas_cupon_cero!$1:$1,0)-1,COUNT(Curvas_cupon_cero!$A:$A)-2,1)),interpolar(E65,OFFSET(Curvas_cupon_cero!$A$1,1,0,COUNT(Curvas_cupon_cero!$A:$A)-2,1),OFFSET(Curvas_cupon_cero!$A$1,1,MATCH($B$6,Curvas_cupon_cero!$1:$1,0)-1,COUNT(Curvas_cupon_cero!$A:$A)-2,1))))</f>
        <v>8.745662333333333E-2</v>
      </c>
      <c r="G65" s="23">
        <f ca="1">IF(A65="","",IF($B$8="Sí",interpolar_alamb(E65,OFFSET(Curvas_cupon_cero!$A$1,1,0,COUNT(Curvas_cupon_cero!$A:$A)-2,1),OFFSET(Curvas_cupon_cero!$A$1,1,MATCH($B$7,Curvas_cupon_cero!$1:$1,0)-1,COUNT(Curvas_cupon_cero!$A:$A)-2,1)),interpolar(E65,OFFSET(Curvas_cupon_cero!$A$1,1,0,COUNT(Curvas_cupon_cero!$A:$A)-2,1),OFFSET(Curvas_cupon_cero!$A$1,1,MATCH($B$7,Curvas_cupon_cero!$1:$1,0)-1,COUNT(Curvas_cupon_cero!$A:$A)-2,1))))</f>
        <v>3.2637851666666669E-2</v>
      </c>
      <c r="H65" s="19">
        <f t="shared" ca="1" si="1"/>
        <v>4246.756674453025</v>
      </c>
    </row>
    <row r="66" spans="1:8" x14ac:dyDescent="0.2">
      <c r="A66" s="12">
        <f t="shared" si="2"/>
        <v>44688</v>
      </c>
      <c r="B66" s="21">
        <f t="shared" si="3"/>
        <v>7.9737463611332854E-2</v>
      </c>
      <c r="C66" s="17">
        <f t="shared" si="0"/>
        <v>6201.8027253258888</v>
      </c>
      <c r="D66" s="18">
        <f t="shared" si="4"/>
        <v>28</v>
      </c>
      <c r="E66">
        <f t="shared" si="5"/>
        <v>1408</v>
      </c>
      <c r="F66" s="23">
        <f ca="1">IF(A66="","",IF($B$8="Sí",interpolar_alamb(E66,OFFSET(Curvas_cupon_cero!$A$1,1,0,COUNT(Curvas_cupon_cero!$A:$A)-2,1),OFFSET(Curvas_cupon_cero!$A$1,1,MATCH($B$6,Curvas_cupon_cero!$1:$1,0)-1,COUNT(Curvas_cupon_cero!$A:$A)-2,1)),interpolar(E66,OFFSET(Curvas_cupon_cero!$A$1,1,0,COUNT(Curvas_cupon_cero!$A:$A)-2,1),OFFSET(Curvas_cupon_cero!$A$1,1,MATCH($B$6,Curvas_cupon_cero!$1:$1,0)-1,COUNT(Curvas_cupon_cero!$A:$A)-2,1))))</f>
        <v>8.7709191111111112E-2</v>
      </c>
      <c r="G66" s="23">
        <f ca="1">IF(A66="","",IF($B$8="Sí",interpolar_alamb(E66,OFFSET(Curvas_cupon_cero!$A$1,1,0,COUNT(Curvas_cupon_cero!$A:$A)-2,1),OFFSET(Curvas_cupon_cero!$A$1,1,MATCH($B$7,Curvas_cupon_cero!$1:$1,0)-1,COUNT(Curvas_cupon_cero!$A:$A)-2,1)),interpolar(E66,OFFSET(Curvas_cupon_cero!$A$1,1,0,COUNT(Curvas_cupon_cero!$A:$A)-2,1),OFFSET(Curvas_cupon_cero!$A$1,1,MATCH($B$7,Curvas_cupon_cero!$1:$1,0)-1,COUNT(Curvas_cupon_cero!$A:$A)-2,1))))</f>
        <v>3.2756790222222221E-2</v>
      </c>
      <c r="H66" s="19">
        <f t="shared" ca="1" si="1"/>
        <v>4215.5987589458318</v>
      </c>
    </row>
    <row r="67" spans="1:8" x14ac:dyDescent="0.2">
      <c r="A67" s="12">
        <f t="shared" si="2"/>
        <v>44716</v>
      </c>
      <c r="B67" s="21">
        <f t="shared" si="3"/>
        <v>7.9737463611332854E-2</v>
      </c>
      <c r="C67" s="17">
        <f t="shared" si="0"/>
        <v>6201.8027253258888</v>
      </c>
      <c r="D67" s="18">
        <f t="shared" si="4"/>
        <v>28</v>
      </c>
      <c r="E67">
        <f t="shared" si="5"/>
        <v>1436</v>
      </c>
      <c r="F67" s="23">
        <f ca="1">IF(A67="","",IF($B$8="Sí",interpolar_alamb(E67,OFFSET(Curvas_cupon_cero!$A$1,1,0,COUNT(Curvas_cupon_cero!$A:$A)-2,1),OFFSET(Curvas_cupon_cero!$A$1,1,MATCH($B$6,Curvas_cupon_cero!$1:$1,0)-1,COUNT(Curvas_cupon_cero!$A:$A)-2,1)),interpolar(E67,OFFSET(Curvas_cupon_cero!$A$1,1,0,COUNT(Curvas_cupon_cero!$A:$A)-2,1),OFFSET(Curvas_cupon_cero!$A$1,1,MATCH($B$6,Curvas_cupon_cero!$1:$1,0)-1,COUNT(Curvas_cupon_cero!$A:$A)-2,1))))</f>
        <v>8.796175888888888E-2</v>
      </c>
      <c r="G67" s="23">
        <f ca="1">IF(A67="","",IF($B$8="Sí",interpolar_alamb(E67,OFFSET(Curvas_cupon_cero!$A$1,1,0,COUNT(Curvas_cupon_cero!$A:$A)-2,1),OFFSET(Curvas_cupon_cero!$A$1,1,MATCH($B$7,Curvas_cupon_cero!$1:$1,0)-1,COUNT(Curvas_cupon_cero!$A:$A)-2,1)),interpolar(E67,OFFSET(Curvas_cupon_cero!$A$1,1,0,COUNT(Curvas_cupon_cero!$A:$A)-2,1),OFFSET(Curvas_cupon_cero!$A$1,1,MATCH($B$7,Curvas_cupon_cero!$1:$1,0)-1,COUNT(Curvas_cupon_cero!$A:$A)-2,1))))</f>
        <v>3.287572877777778E-2</v>
      </c>
      <c r="H67" s="19">
        <f t="shared" ca="1" si="1"/>
        <v>4184.7315296392862</v>
      </c>
    </row>
    <row r="68" spans="1:8" x14ac:dyDescent="0.2">
      <c r="A68" s="12">
        <f t="shared" si="2"/>
        <v>44744</v>
      </c>
      <c r="B68" s="21">
        <f t="shared" si="3"/>
        <v>7.9737463611332854E-2</v>
      </c>
      <c r="C68" s="17">
        <f t="shared" si="0"/>
        <v>6201.8027253258888</v>
      </c>
      <c r="D68" s="18">
        <f t="shared" si="4"/>
        <v>28</v>
      </c>
      <c r="E68">
        <f t="shared" si="5"/>
        <v>1464</v>
      </c>
      <c r="F68" s="23">
        <f ca="1">IF(A68="","",IF($B$8="Sí",interpolar_alamb(E68,OFFSET(Curvas_cupon_cero!$A$1,1,0,COUNT(Curvas_cupon_cero!$A:$A)-2,1),OFFSET(Curvas_cupon_cero!$A$1,1,MATCH($B$6,Curvas_cupon_cero!$1:$1,0)-1,COUNT(Curvas_cupon_cero!$A:$A)-2,1)),interpolar(E68,OFFSET(Curvas_cupon_cero!$A$1,1,0,COUNT(Curvas_cupon_cero!$A:$A)-2,1),OFFSET(Curvas_cupon_cero!$A$1,1,MATCH($B$6,Curvas_cupon_cero!$1:$1,0)-1,COUNT(Curvas_cupon_cero!$A:$A)-2,1))))</f>
        <v>8.8218879333333333E-2</v>
      </c>
      <c r="G68" s="23">
        <f ca="1">IF(A68="","",IF($B$8="Sí",interpolar_alamb(E68,OFFSET(Curvas_cupon_cero!$A$1,1,0,COUNT(Curvas_cupon_cero!$A:$A)-2,1),OFFSET(Curvas_cupon_cero!$A$1,1,MATCH($B$7,Curvas_cupon_cero!$1:$1,0)-1,COUNT(Curvas_cupon_cero!$A:$A)-2,1)),interpolar(E68,OFFSET(Curvas_cupon_cero!$A$1,1,0,COUNT(Curvas_cupon_cero!$A:$A)-2,1),OFFSET(Curvas_cupon_cero!$A$1,1,MATCH($B$7,Curvas_cupon_cero!$1:$1,0)-1,COUNT(Curvas_cupon_cero!$A:$A)-2,1))))</f>
        <v>3.2933919333333332E-2</v>
      </c>
      <c r="H68" s="19">
        <f t="shared" ca="1" si="1"/>
        <v>4154.7882251785832</v>
      </c>
    </row>
    <row r="69" spans="1:8" x14ac:dyDescent="0.2">
      <c r="A69" s="12">
        <f t="shared" si="2"/>
        <v>44772</v>
      </c>
      <c r="B69" s="21">
        <f t="shared" si="3"/>
        <v>7.9737463611332854E-2</v>
      </c>
      <c r="C69" s="17">
        <f t="shared" si="0"/>
        <v>6201.8027253258888</v>
      </c>
      <c r="D69" s="18">
        <f t="shared" si="4"/>
        <v>28</v>
      </c>
      <c r="E69">
        <f t="shared" si="5"/>
        <v>1492</v>
      </c>
      <c r="F69" s="23">
        <f ca="1">IF(A69="","",IF($B$8="Sí",interpolar_alamb(E69,OFFSET(Curvas_cupon_cero!$A$1,1,0,COUNT(Curvas_cupon_cero!$A:$A)-2,1),OFFSET(Curvas_cupon_cero!$A$1,1,MATCH($B$6,Curvas_cupon_cero!$1:$1,0)-1,COUNT(Curvas_cupon_cero!$A:$A)-2,1)),interpolar(E69,OFFSET(Curvas_cupon_cero!$A$1,1,0,COUNT(Curvas_cupon_cero!$A:$A)-2,1),OFFSET(Curvas_cupon_cero!$A$1,1,MATCH($B$6,Curvas_cupon_cero!$1:$1,0)-1,COUNT(Curvas_cupon_cero!$A:$A)-2,1))))</f>
        <v>8.8476758555555549E-2</v>
      </c>
      <c r="G69" s="23">
        <f ca="1">IF(A69="","",IF($B$8="Sí",interpolar_alamb(E69,OFFSET(Curvas_cupon_cero!$A$1,1,0,COUNT(Curvas_cupon_cero!$A:$A)-2,1),OFFSET(Curvas_cupon_cero!$A$1,1,MATCH($B$7,Curvas_cupon_cero!$1:$1,0)-1,COUNT(Curvas_cupon_cero!$A:$A)-2,1)),interpolar(E69,OFFSET(Curvas_cupon_cero!$A$1,1,0,COUNT(Curvas_cupon_cero!$A:$A)-2,1),OFFSET(Curvas_cupon_cero!$A$1,1,MATCH($B$7,Curvas_cupon_cero!$1:$1,0)-1,COUNT(Curvas_cupon_cero!$A:$A)-2,1))))</f>
        <v>3.2981985222222225E-2</v>
      </c>
      <c r="H69" s="19">
        <f t="shared" ca="1" si="1"/>
        <v>4125.2423107021687</v>
      </c>
    </row>
    <row r="70" spans="1:8" x14ac:dyDescent="0.2">
      <c r="A70" s="12">
        <f t="shared" si="2"/>
        <v>44800</v>
      </c>
      <c r="B70" s="21">
        <f t="shared" si="3"/>
        <v>7.9737463611332854E-2</v>
      </c>
      <c r="C70" s="17">
        <f t="shared" si="0"/>
        <v>6201.8027253258888</v>
      </c>
      <c r="D70" s="18">
        <f t="shared" si="4"/>
        <v>28</v>
      </c>
      <c r="E70">
        <f t="shared" si="5"/>
        <v>1520</v>
      </c>
      <c r="F70" s="23">
        <f ca="1">IF(A70="","",IF($B$8="Sí",interpolar_alamb(E70,OFFSET(Curvas_cupon_cero!$A$1,1,0,COUNT(Curvas_cupon_cero!$A:$A)-2,1),OFFSET(Curvas_cupon_cero!$A$1,1,MATCH($B$6,Curvas_cupon_cero!$1:$1,0)-1,COUNT(Curvas_cupon_cero!$A:$A)-2,1)),interpolar(E70,OFFSET(Curvas_cupon_cero!$A$1,1,0,COUNT(Curvas_cupon_cero!$A:$A)-2,1),OFFSET(Curvas_cupon_cero!$A$1,1,MATCH($B$6,Curvas_cupon_cero!$1:$1,0)-1,COUNT(Curvas_cupon_cero!$A:$A)-2,1))))</f>
        <v>8.8734637777777778E-2</v>
      </c>
      <c r="G70" s="23">
        <f ca="1">IF(A70="","",IF($B$8="Sí",interpolar_alamb(E70,OFFSET(Curvas_cupon_cero!$A$1,1,0,COUNT(Curvas_cupon_cero!$A:$A)-2,1),OFFSET(Curvas_cupon_cero!$A$1,1,MATCH($B$7,Curvas_cupon_cero!$1:$1,0)-1,COUNT(Curvas_cupon_cero!$A:$A)-2,1)),interpolar(E70,OFFSET(Curvas_cupon_cero!$A$1,1,0,COUNT(Curvas_cupon_cero!$A:$A)-2,1),OFFSET(Curvas_cupon_cero!$A$1,1,MATCH($B$7,Curvas_cupon_cero!$1:$1,0)-1,COUNT(Curvas_cupon_cero!$A:$A)-2,1))))</f>
        <v>3.3030051111111111E-2</v>
      </c>
      <c r="H70" s="19">
        <f t="shared" ca="1" si="1"/>
        <v>4095.9849000244885</v>
      </c>
    </row>
    <row r="71" spans="1:8" x14ac:dyDescent="0.2">
      <c r="A71" s="12">
        <f t="shared" si="2"/>
        <v>44828</v>
      </c>
      <c r="B71" s="21">
        <f t="shared" si="3"/>
        <v>7.9737463611332854E-2</v>
      </c>
      <c r="C71" s="17">
        <f t="shared" si="0"/>
        <v>6201.8027253258888</v>
      </c>
      <c r="D71" s="18">
        <f t="shared" si="4"/>
        <v>28</v>
      </c>
      <c r="E71">
        <f t="shared" si="5"/>
        <v>1548</v>
      </c>
      <c r="F71" s="23">
        <f ca="1">IF(A71="","",IF($B$8="Sí",interpolar_alamb(E71,OFFSET(Curvas_cupon_cero!$A$1,1,0,COUNT(Curvas_cupon_cero!$A:$A)-2,1),OFFSET(Curvas_cupon_cero!$A$1,1,MATCH($B$6,Curvas_cupon_cero!$1:$1,0)-1,COUNT(Curvas_cupon_cero!$A:$A)-2,1)),interpolar(E71,OFFSET(Curvas_cupon_cero!$A$1,1,0,COUNT(Curvas_cupon_cero!$A:$A)-2,1),OFFSET(Curvas_cupon_cero!$A$1,1,MATCH($B$6,Curvas_cupon_cero!$1:$1,0)-1,COUNT(Curvas_cupon_cero!$A:$A)-2,1))))</f>
        <v>8.8992516999999993E-2</v>
      </c>
      <c r="G71" s="23">
        <f ca="1">IF(A71="","",IF($B$8="Sí",interpolar_alamb(E71,OFFSET(Curvas_cupon_cero!$A$1,1,0,COUNT(Curvas_cupon_cero!$A:$A)-2,1),OFFSET(Curvas_cupon_cero!$A$1,1,MATCH($B$7,Curvas_cupon_cero!$1:$1,0)-1,COUNT(Curvas_cupon_cero!$A:$A)-2,1)),interpolar(E71,OFFSET(Curvas_cupon_cero!$A$1,1,0,COUNT(Curvas_cupon_cero!$A:$A)-2,1),OFFSET(Curvas_cupon_cero!$A$1,1,MATCH($B$7,Curvas_cupon_cero!$1:$1,0)-1,COUNT(Curvas_cupon_cero!$A:$A)-2,1))))</f>
        <v>3.3078116999999997E-2</v>
      </c>
      <c r="H71" s="19">
        <f t="shared" ca="1" si="1"/>
        <v>4067.0126374341926</v>
      </c>
    </row>
    <row r="72" spans="1:8" x14ac:dyDescent="0.2">
      <c r="A72" s="12">
        <f t="shared" si="2"/>
        <v>44856</v>
      </c>
      <c r="B72" s="21">
        <f t="shared" si="3"/>
        <v>7.9737463611332854E-2</v>
      </c>
      <c r="C72" s="17">
        <f t="shared" si="0"/>
        <v>6201.8027253258888</v>
      </c>
      <c r="D72" s="18">
        <f t="shared" si="4"/>
        <v>28</v>
      </c>
      <c r="E72">
        <f t="shared" si="5"/>
        <v>1576</v>
      </c>
      <c r="F72" s="23">
        <f ca="1">IF(A72="","",IF($B$8="Sí",interpolar_alamb(E72,OFFSET(Curvas_cupon_cero!$A$1,1,0,COUNT(Curvas_cupon_cero!$A:$A)-2,1),OFFSET(Curvas_cupon_cero!$A$1,1,MATCH($B$6,Curvas_cupon_cero!$1:$1,0)-1,COUNT(Curvas_cupon_cero!$A:$A)-2,1)),interpolar(E72,OFFSET(Curvas_cupon_cero!$A$1,1,0,COUNT(Curvas_cupon_cero!$A:$A)-2,1),OFFSET(Curvas_cupon_cero!$A$1,1,MATCH($B$6,Curvas_cupon_cero!$1:$1,0)-1,COUNT(Curvas_cupon_cero!$A:$A)-2,1))))</f>
        <v>8.9250396222222222E-2</v>
      </c>
      <c r="G72" s="23">
        <f ca="1">IF(A72="","",IF($B$8="Sí",interpolar_alamb(E72,OFFSET(Curvas_cupon_cero!$A$1,1,0,COUNT(Curvas_cupon_cero!$A:$A)-2,1),OFFSET(Curvas_cupon_cero!$A$1,1,MATCH($B$7,Curvas_cupon_cero!$1:$1,0)-1,COUNT(Curvas_cupon_cero!$A:$A)-2,1)),interpolar(E72,OFFSET(Curvas_cupon_cero!$A$1,1,0,COUNT(Curvas_cupon_cero!$A:$A)-2,1),OFFSET(Curvas_cupon_cero!$A$1,1,MATCH($B$7,Curvas_cupon_cero!$1:$1,0)-1,COUNT(Curvas_cupon_cero!$A:$A)-2,1))))</f>
        <v>3.312618288888889E-2</v>
      </c>
      <c r="H72" s="19">
        <f t="shared" ca="1" si="1"/>
        <v>4038.3222082671409</v>
      </c>
    </row>
    <row r="73" spans="1:8" x14ac:dyDescent="0.2">
      <c r="A73" s="12">
        <f t="shared" si="2"/>
        <v>44884</v>
      </c>
      <c r="B73" s="21">
        <f t="shared" si="3"/>
        <v>7.9737463611332854E-2</v>
      </c>
      <c r="C73" s="17">
        <f t="shared" si="0"/>
        <v>6201.8027253258888</v>
      </c>
      <c r="D73" s="18">
        <f t="shared" si="4"/>
        <v>28</v>
      </c>
      <c r="E73">
        <f t="shared" si="5"/>
        <v>1604</v>
      </c>
      <c r="F73" s="23">
        <f ca="1">IF(A73="","",IF($B$8="Sí",interpolar_alamb(E73,OFFSET(Curvas_cupon_cero!$A$1,1,0,COUNT(Curvas_cupon_cero!$A:$A)-2,1),OFFSET(Curvas_cupon_cero!$A$1,1,MATCH($B$6,Curvas_cupon_cero!$1:$1,0)-1,COUNT(Curvas_cupon_cero!$A:$A)-2,1)),interpolar(E73,OFFSET(Curvas_cupon_cero!$A$1,1,0,COUNT(Curvas_cupon_cero!$A:$A)-2,1),OFFSET(Curvas_cupon_cero!$A$1,1,MATCH($B$6,Curvas_cupon_cero!$1:$1,0)-1,COUNT(Curvas_cupon_cero!$A:$A)-2,1))))</f>
        <v>8.9508275444444438E-2</v>
      </c>
      <c r="G73" s="23">
        <f ca="1">IF(A73="","",IF($B$8="Sí",interpolar_alamb(E73,OFFSET(Curvas_cupon_cero!$A$1,1,0,COUNT(Curvas_cupon_cero!$A:$A)-2,1),OFFSET(Curvas_cupon_cero!$A$1,1,MATCH($B$7,Curvas_cupon_cero!$1:$1,0)-1,COUNT(Curvas_cupon_cero!$A:$A)-2,1)),interpolar(E73,OFFSET(Curvas_cupon_cero!$A$1,1,0,COUNT(Curvas_cupon_cero!$A:$A)-2,1),OFFSET(Curvas_cupon_cero!$A$1,1,MATCH($B$7,Curvas_cupon_cero!$1:$1,0)-1,COUNT(Curvas_cupon_cero!$A:$A)-2,1))))</f>
        <v>3.3174248777777776E-2</v>
      </c>
      <c r="H73" s="19">
        <f t="shared" ca="1" si="1"/>
        <v>4009.9103384950563</v>
      </c>
    </row>
    <row r="74" spans="1:8" x14ac:dyDescent="0.2">
      <c r="A74" s="12">
        <f t="shared" si="2"/>
        <v>44912</v>
      </c>
      <c r="B74" s="21">
        <f t="shared" si="3"/>
        <v>7.9737463611332854E-2</v>
      </c>
      <c r="C74" s="17">
        <f t="shared" si="0"/>
        <v>6201.8027253258888</v>
      </c>
      <c r="D74" s="18">
        <f t="shared" si="4"/>
        <v>28</v>
      </c>
      <c r="E74">
        <f t="shared" si="5"/>
        <v>1632</v>
      </c>
      <c r="F74" s="23">
        <f ca="1">IF(A74="","",IF($B$8="Sí",interpolar_alamb(E74,OFFSET(Curvas_cupon_cero!$A$1,1,0,COUNT(Curvas_cupon_cero!$A:$A)-2,1),OFFSET(Curvas_cupon_cero!$A$1,1,MATCH($B$6,Curvas_cupon_cero!$1:$1,0)-1,COUNT(Curvas_cupon_cero!$A:$A)-2,1)),interpolar(E74,OFFSET(Curvas_cupon_cero!$A$1,1,0,COUNT(Curvas_cupon_cero!$A:$A)-2,1),OFFSET(Curvas_cupon_cero!$A$1,1,MATCH($B$6,Curvas_cupon_cero!$1:$1,0)-1,COUNT(Curvas_cupon_cero!$A:$A)-2,1))))</f>
        <v>8.9766154666666667E-2</v>
      </c>
      <c r="G74" s="23">
        <f ca="1">IF(A74="","",IF($B$8="Sí",interpolar_alamb(E74,OFFSET(Curvas_cupon_cero!$A$1,1,0,COUNT(Curvas_cupon_cero!$A:$A)-2,1),OFFSET(Curvas_cupon_cero!$A$1,1,MATCH($B$7,Curvas_cupon_cero!$1:$1,0)-1,COUNT(Curvas_cupon_cero!$A:$A)-2,1)),interpolar(E74,OFFSET(Curvas_cupon_cero!$A$1,1,0,COUNT(Curvas_cupon_cero!$A:$A)-2,1),OFFSET(Curvas_cupon_cero!$A$1,1,MATCH($B$7,Curvas_cupon_cero!$1:$1,0)-1,COUNT(Curvas_cupon_cero!$A:$A)-2,1))))</f>
        <v>3.3222314666666669E-2</v>
      </c>
      <c r="H74" s="19">
        <f t="shared" ca="1" si="1"/>
        <v>3981.7737943126649</v>
      </c>
    </row>
    <row r="75" spans="1:8" x14ac:dyDescent="0.2">
      <c r="A75" s="12">
        <f t="shared" si="2"/>
        <v>44940</v>
      </c>
      <c r="B75" s="21">
        <f t="shared" si="3"/>
        <v>7.9737463611332854E-2</v>
      </c>
      <c r="C75" s="17">
        <f t="shared" si="0"/>
        <v>6201.8027253258888</v>
      </c>
      <c r="D75" s="18">
        <f t="shared" si="4"/>
        <v>28</v>
      </c>
      <c r="E75">
        <f t="shared" si="5"/>
        <v>1660</v>
      </c>
      <c r="F75" s="23">
        <f ca="1">IF(A75="","",IF($B$8="Sí",interpolar_alamb(E75,OFFSET(Curvas_cupon_cero!$A$1,1,0,COUNT(Curvas_cupon_cero!$A:$A)-2,1),OFFSET(Curvas_cupon_cero!$A$1,1,MATCH($B$6,Curvas_cupon_cero!$1:$1,0)-1,COUNT(Curvas_cupon_cero!$A:$A)-2,1)),interpolar(E75,OFFSET(Curvas_cupon_cero!$A$1,1,0,COUNT(Curvas_cupon_cero!$A:$A)-2,1),OFFSET(Curvas_cupon_cero!$A$1,1,MATCH($B$6,Curvas_cupon_cero!$1:$1,0)-1,COUNT(Curvas_cupon_cero!$A:$A)-2,1))))</f>
        <v>9.0024033888888882E-2</v>
      </c>
      <c r="G75" s="23">
        <f ca="1">IF(A75="","",IF($B$8="Sí",interpolar_alamb(E75,OFFSET(Curvas_cupon_cero!$A$1,1,0,COUNT(Curvas_cupon_cero!$A:$A)-2,1),OFFSET(Curvas_cupon_cero!$A$1,1,MATCH($B$7,Curvas_cupon_cero!$1:$1,0)-1,COUNT(Curvas_cupon_cero!$A:$A)-2,1)),interpolar(E75,OFFSET(Curvas_cupon_cero!$A$1,1,0,COUNT(Curvas_cupon_cero!$A:$A)-2,1),OFFSET(Curvas_cupon_cero!$A$1,1,MATCH($B$7,Curvas_cupon_cero!$1:$1,0)-1,COUNT(Curvas_cupon_cero!$A:$A)-2,1))))</f>
        <v>3.3270380555555555E-2</v>
      </c>
      <c r="H75" s="19">
        <f t="shared" ca="1" si="1"/>
        <v>3953.9093817236935</v>
      </c>
    </row>
    <row r="76" spans="1:8" x14ac:dyDescent="0.2">
      <c r="A76" s="12">
        <f t="shared" si="2"/>
        <v>44968</v>
      </c>
      <c r="B76" s="21">
        <f t="shared" si="3"/>
        <v>7.9737463611332854E-2</v>
      </c>
      <c r="C76" s="17">
        <f t="shared" si="0"/>
        <v>6201.8027253258888</v>
      </c>
      <c r="D76" s="18">
        <f t="shared" si="4"/>
        <v>28</v>
      </c>
      <c r="E76">
        <f t="shared" si="5"/>
        <v>1688</v>
      </c>
      <c r="F76" s="23">
        <f ca="1">IF(A76="","",IF($B$8="Sí",interpolar_alamb(E76,OFFSET(Curvas_cupon_cero!$A$1,1,0,COUNT(Curvas_cupon_cero!$A:$A)-2,1),OFFSET(Curvas_cupon_cero!$A$1,1,MATCH($B$6,Curvas_cupon_cero!$1:$1,0)-1,COUNT(Curvas_cupon_cero!$A:$A)-2,1)),interpolar(E76,OFFSET(Curvas_cupon_cero!$A$1,1,0,COUNT(Curvas_cupon_cero!$A:$A)-2,1),OFFSET(Curvas_cupon_cero!$A$1,1,MATCH($B$6,Curvas_cupon_cero!$1:$1,0)-1,COUNT(Curvas_cupon_cero!$A:$A)-2,1))))</f>
        <v>9.0281913111111112E-2</v>
      </c>
      <c r="G76" s="23">
        <f ca="1">IF(A76="","",IF($B$8="Sí",interpolar_alamb(E76,OFFSET(Curvas_cupon_cero!$A$1,1,0,COUNT(Curvas_cupon_cero!$A:$A)-2,1),OFFSET(Curvas_cupon_cero!$A$1,1,MATCH($B$7,Curvas_cupon_cero!$1:$1,0)-1,COUNT(Curvas_cupon_cero!$A:$A)-2,1)),interpolar(E76,OFFSET(Curvas_cupon_cero!$A$1,1,0,COUNT(Curvas_cupon_cero!$A:$A)-2,1),OFFSET(Curvas_cupon_cero!$A$1,1,MATCH($B$7,Curvas_cupon_cero!$1:$1,0)-1,COUNT(Curvas_cupon_cero!$A:$A)-2,1))))</f>
        <v>3.3318446444444441E-2</v>
      </c>
      <c r="H76" s="19">
        <f t="shared" ca="1" si="1"/>
        <v>3926.3139461260148</v>
      </c>
    </row>
    <row r="77" spans="1:8" x14ac:dyDescent="0.2">
      <c r="A77" s="12">
        <f t="shared" si="2"/>
        <v>44996</v>
      </c>
      <c r="B77" s="21">
        <f t="shared" si="3"/>
        <v>7.9737463611332854E-2</v>
      </c>
      <c r="C77" s="17">
        <f t="shared" si="0"/>
        <v>6201.8027253258888</v>
      </c>
      <c r="D77" s="18">
        <f t="shared" si="4"/>
        <v>28</v>
      </c>
      <c r="E77">
        <f t="shared" si="5"/>
        <v>1716</v>
      </c>
      <c r="F77" s="23">
        <f ca="1">IF(A77="","",IF($B$8="Sí",interpolar_alamb(E77,OFFSET(Curvas_cupon_cero!$A$1,1,0,COUNT(Curvas_cupon_cero!$A:$A)-2,1),OFFSET(Curvas_cupon_cero!$A$1,1,MATCH($B$6,Curvas_cupon_cero!$1:$1,0)-1,COUNT(Curvas_cupon_cero!$A:$A)-2,1)),interpolar(E77,OFFSET(Curvas_cupon_cero!$A$1,1,0,COUNT(Curvas_cupon_cero!$A:$A)-2,1),OFFSET(Curvas_cupon_cero!$A$1,1,MATCH($B$6,Curvas_cupon_cero!$1:$1,0)-1,COUNT(Curvas_cupon_cero!$A:$A)-2,1))))</f>
        <v>9.0539792333333327E-2</v>
      </c>
      <c r="G77" s="23">
        <f ca="1">IF(A77="","",IF($B$8="Sí",interpolar_alamb(E77,OFFSET(Curvas_cupon_cero!$A$1,1,0,COUNT(Curvas_cupon_cero!$A:$A)-2,1),OFFSET(Curvas_cupon_cero!$A$1,1,MATCH($B$7,Curvas_cupon_cero!$1:$1,0)-1,COUNT(Curvas_cupon_cero!$A:$A)-2,1)),interpolar(E77,OFFSET(Curvas_cupon_cero!$A$1,1,0,COUNT(Curvas_cupon_cero!$A:$A)-2,1),OFFSET(Curvas_cupon_cero!$A$1,1,MATCH($B$7,Curvas_cupon_cero!$1:$1,0)-1,COUNT(Curvas_cupon_cero!$A:$A)-2,1))))</f>
        <v>3.3366512333333334E-2</v>
      </c>
      <c r="H77" s="19">
        <f t="shared" ca="1" si="1"/>
        <v>3898.984371896252</v>
      </c>
    </row>
    <row r="78" spans="1:8" x14ac:dyDescent="0.2">
      <c r="A78" s="12">
        <f t="shared" si="2"/>
        <v>45024</v>
      </c>
      <c r="B78" s="21">
        <f t="shared" si="3"/>
        <v>7.9737463611332854E-2</v>
      </c>
      <c r="C78" s="17">
        <f t="shared" si="0"/>
        <v>6201.8027253258888</v>
      </c>
      <c r="D78" s="18">
        <f t="shared" si="4"/>
        <v>28</v>
      </c>
      <c r="E78">
        <f t="shared" si="5"/>
        <v>1744</v>
      </c>
      <c r="F78" s="23">
        <f ca="1">IF(A78="","",IF($B$8="Sí",interpolar_alamb(E78,OFFSET(Curvas_cupon_cero!$A$1,1,0,COUNT(Curvas_cupon_cero!$A:$A)-2,1),OFFSET(Curvas_cupon_cero!$A$1,1,MATCH($B$6,Curvas_cupon_cero!$1:$1,0)-1,COUNT(Curvas_cupon_cero!$A:$A)-2,1)),interpolar(E78,OFFSET(Curvas_cupon_cero!$A$1,1,0,COUNT(Curvas_cupon_cero!$A:$A)-2,1),OFFSET(Curvas_cupon_cero!$A$1,1,MATCH($B$6,Curvas_cupon_cero!$1:$1,0)-1,COUNT(Curvas_cupon_cero!$A:$A)-2,1))))</f>
        <v>9.0797671555555556E-2</v>
      </c>
      <c r="G78" s="23">
        <f ca="1">IF(A78="","",IF($B$8="Sí",interpolar_alamb(E78,OFFSET(Curvas_cupon_cero!$A$1,1,0,COUNT(Curvas_cupon_cero!$A:$A)-2,1),OFFSET(Curvas_cupon_cero!$A$1,1,MATCH($B$7,Curvas_cupon_cero!$1:$1,0)-1,COUNT(Curvas_cupon_cero!$A:$A)-2,1)),interpolar(E78,OFFSET(Curvas_cupon_cero!$A$1,1,0,COUNT(Curvas_cupon_cero!$A:$A)-2,1),OFFSET(Curvas_cupon_cero!$A$1,1,MATCH($B$7,Curvas_cupon_cero!$1:$1,0)-1,COUNT(Curvas_cupon_cero!$A:$A)-2,1))))</f>
        <v>3.341457822222222E-2</v>
      </c>
      <c r="H78" s="19">
        <f t="shared" ca="1" si="1"/>
        <v>3871.9175819741386</v>
      </c>
    </row>
    <row r="79" spans="1:8" x14ac:dyDescent="0.2">
      <c r="A79" s="12">
        <f t="shared" si="2"/>
        <v>45052</v>
      </c>
      <c r="B79" s="21">
        <f t="shared" si="3"/>
        <v>7.9737463611332854E-2</v>
      </c>
      <c r="C79" s="17">
        <f t="shared" si="0"/>
        <v>6201.8027253258888</v>
      </c>
      <c r="D79" s="18">
        <f t="shared" si="4"/>
        <v>28</v>
      </c>
      <c r="E79">
        <f t="shared" si="5"/>
        <v>1772</v>
      </c>
      <c r="F79" s="23">
        <f ca="1">IF(A79="","",IF($B$8="Sí",interpolar_alamb(E79,OFFSET(Curvas_cupon_cero!$A$1,1,0,COUNT(Curvas_cupon_cero!$A:$A)-2,1),OFFSET(Curvas_cupon_cero!$A$1,1,MATCH($B$6,Curvas_cupon_cero!$1:$1,0)-1,COUNT(Curvas_cupon_cero!$A:$A)-2,1)),interpolar(E79,OFFSET(Curvas_cupon_cero!$A$1,1,0,COUNT(Curvas_cupon_cero!$A:$A)-2,1),OFFSET(Curvas_cupon_cero!$A$1,1,MATCH($B$6,Curvas_cupon_cero!$1:$1,0)-1,COUNT(Curvas_cupon_cero!$A:$A)-2,1))))</f>
        <v>9.1055550777777772E-2</v>
      </c>
      <c r="G79" s="23">
        <f ca="1">IF(A79="","",IF($B$8="Sí",interpolar_alamb(E79,OFFSET(Curvas_cupon_cero!$A$1,1,0,COUNT(Curvas_cupon_cero!$A:$A)-2,1),OFFSET(Curvas_cupon_cero!$A$1,1,MATCH($B$7,Curvas_cupon_cero!$1:$1,0)-1,COUNT(Curvas_cupon_cero!$A:$A)-2,1)),interpolar(E79,OFFSET(Curvas_cupon_cero!$A$1,1,0,COUNT(Curvas_cupon_cero!$A:$A)-2,1),OFFSET(Curvas_cupon_cero!$A$1,1,MATCH($B$7,Curvas_cupon_cero!$1:$1,0)-1,COUNT(Curvas_cupon_cero!$A:$A)-2,1))))</f>
        <v>3.3462644111111113E-2</v>
      </c>
      <c r="H79" s="19">
        <f t="shared" ca="1" si="1"/>
        <v>3845.1105374468793</v>
      </c>
    </row>
    <row r="80" spans="1:8" x14ac:dyDescent="0.2">
      <c r="A80" s="12">
        <f t="shared" si="2"/>
        <v>45080</v>
      </c>
      <c r="B80" s="21">
        <f t="shared" si="3"/>
        <v>7.9737463611332854E-2</v>
      </c>
      <c r="C80" s="17">
        <f t="shared" ref="C80:C143" si="6">IF(A80="","",IF(A80=$B$4,$B$1*$B$2+$B$1*$B$5/360*$B$2*B80, $B$1*$B$5/360*$B$2*B80))</f>
        <v>1006201.8027253259</v>
      </c>
      <c r="D80" s="18">
        <f t="shared" si="4"/>
        <v>28</v>
      </c>
      <c r="E80">
        <f t="shared" si="5"/>
        <v>1800</v>
      </c>
      <c r="F80" s="23">
        <f ca="1">IF(A80="","",IF($B$8="Sí",interpolar_alamb(E80,OFFSET(Curvas_cupon_cero!$A$1,1,0,COUNT(Curvas_cupon_cero!$A:$A)-2,1),OFFSET(Curvas_cupon_cero!$A$1,1,MATCH($B$6,Curvas_cupon_cero!$1:$1,0)-1,COUNT(Curvas_cupon_cero!$A:$A)-2,1)),interpolar(E80,OFFSET(Curvas_cupon_cero!$A$1,1,0,COUNT(Curvas_cupon_cero!$A:$A)-2,1),OFFSET(Curvas_cupon_cero!$A$1,1,MATCH($B$6,Curvas_cupon_cero!$1:$1,0)-1,COUNT(Curvas_cupon_cero!$A:$A)-2,1))))</f>
        <v>9.1313430000000001E-2</v>
      </c>
      <c r="G80" s="23">
        <f ca="1">IF(A80="","",IF($B$8="Sí",interpolar_alamb(E80,OFFSET(Curvas_cupon_cero!$A$1,1,0,COUNT(Curvas_cupon_cero!$A:$A)-2,1),OFFSET(Curvas_cupon_cero!$A$1,1,MATCH($B$7,Curvas_cupon_cero!$1:$1,0)-1,COUNT(Curvas_cupon_cero!$A:$A)-2,1)),interpolar(E80,OFFSET(Curvas_cupon_cero!$A$1,1,0,COUNT(Curvas_cupon_cero!$A:$A)-2,1),OFFSET(Curvas_cupon_cero!$A$1,1,MATCH($B$7,Curvas_cupon_cero!$1:$1,0)-1,COUNT(Curvas_cupon_cero!$A:$A)-2,1))))</f>
        <v>3.3510709999999999E-2</v>
      </c>
      <c r="H80" s="19">
        <f t="shared" ref="H80:H143" ca="1" si="7">IF(A80="","",C80/(1+(F80+G80)*E80/360))</f>
        <v>619536.34525151108</v>
      </c>
    </row>
    <row r="81" spans="1:8" x14ac:dyDescent="0.2">
      <c r="A81" s="12" t="str">
        <f t="shared" ref="A81:A144" si="8">IF(A80="","",IF((A80+$B$5)&gt;$B$4,"",(A80+$B$5)))</f>
        <v/>
      </c>
      <c r="B81" s="21" t="str">
        <f t="shared" ref="B81:B144" si="9">IF(A81="","",((1+$B$9/360)^$B$5-1)*360/$B$5)</f>
        <v/>
      </c>
      <c r="C81" s="17" t="str">
        <f t="shared" si="6"/>
        <v/>
      </c>
      <c r="D81" s="18" t="str">
        <f t="shared" ref="D81:D144" si="10">IF(A81="","",$B$5)</f>
        <v/>
      </c>
      <c r="E81" t="str">
        <f t="shared" ref="E81:E144" si="11">IF(A81="","",E80+D81)</f>
        <v/>
      </c>
      <c r="F81" s="23" t="str">
        <f ca="1">IF(A81="","",IF($B$8="Sí",interpolar_alamb(E81,OFFSET(Curvas_cupon_cero!$A$1,1,0,COUNT(Curvas_cupon_cero!$A:$A)-2,1),OFFSET(Curvas_cupon_cero!$A$1,1,MATCH($B$6,Curvas_cupon_cero!$1:$1,0)-1,COUNT(Curvas_cupon_cero!$A:$A)-2,1)),interpolar(E81,OFFSET(Curvas_cupon_cero!$A$1,1,0,COUNT(Curvas_cupon_cero!$A:$A)-2,1),OFFSET(Curvas_cupon_cero!$A$1,1,MATCH($B$6,Curvas_cupon_cero!$1:$1,0)-1,COUNT(Curvas_cupon_cero!$A:$A)-2,1))))</f>
        <v/>
      </c>
      <c r="G81" s="23" t="str">
        <f ca="1">IF(A81="","",IF($B$8="Sí",interpolar_alamb(E81,OFFSET(Curvas_cupon_cero!$A$1,1,0,COUNT(Curvas_cupon_cero!$A:$A)-2,1),OFFSET(Curvas_cupon_cero!$A$1,1,MATCH($B$7,Curvas_cupon_cero!$1:$1,0)-1,COUNT(Curvas_cupon_cero!$A:$A)-2,1)),interpolar(E81,OFFSET(Curvas_cupon_cero!$A$1,1,0,COUNT(Curvas_cupon_cero!$A:$A)-2,1),OFFSET(Curvas_cupon_cero!$A$1,1,MATCH($B$7,Curvas_cupon_cero!$1:$1,0)-1,COUNT(Curvas_cupon_cero!$A:$A)-2,1))))</f>
        <v/>
      </c>
      <c r="H81" s="19" t="str">
        <f t="shared" si="7"/>
        <v/>
      </c>
    </row>
    <row r="82" spans="1:8" x14ac:dyDescent="0.2">
      <c r="A82" s="12" t="str">
        <f t="shared" si="8"/>
        <v/>
      </c>
      <c r="B82" s="21" t="str">
        <f t="shared" si="9"/>
        <v/>
      </c>
      <c r="C82" s="17" t="str">
        <f t="shared" si="6"/>
        <v/>
      </c>
      <c r="D82" s="18" t="str">
        <f t="shared" si="10"/>
        <v/>
      </c>
      <c r="E82" t="str">
        <f t="shared" si="11"/>
        <v/>
      </c>
      <c r="F82" s="23" t="str">
        <f ca="1">IF(A82="","",IF($B$8="Sí",interpolar_alamb(E82,OFFSET(Curvas_cupon_cero!$A$1,1,0,COUNT(Curvas_cupon_cero!$A:$A)-2,1),OFFSET(Curvas_cupon_cero!$A$1,1,MATCH($B$6,Curvas_cupon_cero!$1:$1,0)-1,COUNT(Curvas_cupon_cero!$A:$A)-2,1)),interpolar(E82,OFFSET(Curvas_cupon_cero!$A$1,1,0,COUNT(Curvas_cupon_cero!$A:$A)-2,1),OFFSET(Curvas_cupon_cero!$A$1,1,MATCH($B$6,Curvas_cupon_cero!$1:$1,0)-1,COUNT(Curvas_cupon_cero!$A:$A)-2,1))))</f>
        <v/>
      </c>
      <c r="G82" s="23" t="str">
        <f ca="1">IF(A82="","",IF($B$8="Sí",interpolar_alamb(E82,OFFSET(Curvas_cupon_cero!$A$1,1,0,COUNT(Curvas_cupon_cero!$A:$A)-2,1),OFFSET(Curvas_cupon_cero!$A$1,1,MATCH($B$7,Curvas_cupon_cero!$1:$1,0)-1,COUNT(Curvas_cupon_cero!$A:$A)-2,1)),interpolar(E82,OFFSET(Curvas_cupon_cero!$A$1,1,0,COUNT(Curvas_cupon_cero!$A:$A)-2,1),OFFSET(Curvas_cupon_cero!$A$1,1,MATCH($B$7,Curvas_cupon_cero!$1:$1,0)-1,COUNT(Curvas_cupon_cero!$A:$A)-2,1))))</f>
        <v/>
      </c>
      <c r="H82" s="19" t="str">
        <f t="shared" si="7"/>
        <v/>
      </c>
    </row>
    <row r="83" spans="1:8" x14ac:dyDescent="0.2">
      <c r="A83" s="12" t="str">
        <f t="shared" si="8"/>
        <v/>
      </c>
      <c r="B83" s="21" t="str">
        <f t="shared" si="9"/>
        <v/>
      </c>
      <c r="C83" s="17" t="str">
        <f t="shared" si="6"/>
        <v/>
      </c>
      <c r="D83" s="18" t="str">
        <f t="shared" si="10"/>
        <v/>
      </c>
      <c r="E83" t="str">
        <f t="shared" si="11"/>
        <v/>
      </c>
      <c r="F83" s="23" t="str">
        <f ca="1">IF(A83="","",IF($B$8="Sí",interpolar_alamb(E83,OFFSET(Curvas_cupon_cero!$A$1,1,0,COUNT(Curvas_cupon_cero!$A:$A)-2,1),OFFSET(Curvas_cupon_cero!$A$1,1,MATCH($B$6,Curvas_cupon_cero!$1:$1,0)-1,COUNT(Curvas_cupon_cero!$A:$A)-2,1)),interpolar(E83,OFFSET(Curvas_cupon_cero!$A$1,1,0,COUNT(Curvas_cupon_cero!$A:$A)-2,1),OFFSET(Curvas_cupon_cero!$A$1,1,MATCH($B$6,Curvas_cupon_cero!$1:$1,0)-1,COUNT(Curvas_cupon_cero!$A:$A)-2,1))))</f>
        <v/>
      </c>
      <c r="G83" s="23" t="str">
        <f ca="1">IF(A83="","",IF($B$8="Sí",interpolar_alamb(E83,OFFSET(Curvas_cupon_cero!$A$1,1,0,COUNT(Curvas_cupon_cero!$A:$A)-2,1),OFFSET(Curvas_cupon_cero!$A$1,1,MATCH($B$7,Curvas_cupon_cero!$1:$1,0)-1,COUNT(Curvas_cupon_cero!$A:$A)-2,1)),interpolar(E83,OFFSET(Curvas_cupon_cero!$A$1,1,0,COUNT(Curvas_cupon_cero!$A:$A)-2,1),OFFSET(Curvas_cupon_cero!$A$1,1,MATCH($B$7,Curvas_cupon_cero!$1:$1,0)-1,COUNT(Curvas_cupon_cero!$A:$A)-2,1))))</f>
        <v/>
      </c>
      <c r="H83" s="19" t="str">
        <f t="shared" si="7"/>
        <v/>
      </c>
    </row>
    <row r="84" spans="1:8" x14ac:dyDescent="0.2">
      <c r="A84" s="12" t="str">
        <f t="shared" si="8"/>
        <v/>
      </c>
      <c r="B84" s="21" t="str">
        <f t="shared" si="9"/>
        <v/>
      </c>
      <c r="C84" s="17" t="str">
        <f t="shared" si="6"/>
        <v/>
      </c>
      <c r="D84" s="18" t="str">
        <f t="shared" si="10"/>
        <v/>
      </c>
      <c r="E84" t="str">
        <f t="shared" si="11"/>
        <v/>
      </c>
      <c r="F84" s="23" t="str">
        <f ca="1">IF(A84="","",IF($B$8="Sí",interpolar_alamb(E84,OFFSET(Curvas_cupon_cero!$A$1,1,0,COUNT(Curvas_cupon_cero!$A:$A)-2,1),OFFSET(Curvas_cupon_cero!$A$1,1,MATCH($B$6,Curvas_cupon_cero!$1:$1,0)-1,COUNT(Curvas_cupon_cero!$A:$A)-2,1)),interpolar(E84,OFFSET(Curvas_cupon_cero!$A$1,1,0,COUNT(Curvas_cupon_cero!$A:$A)-2,1),OFFSET(Curvas_cupon_cero!$A$1,1,MATCH($B$6,Curvas_cupon_cero!$1:$1,0)-1,COUNT(Curvas_cupon_cero!$A:$A)-2,1))))</f>
        <v/>
      </c>
      <c r="G84" s="23" t="str">
        <f ca="1">IF(A84="","",IF($B$8="Sí",interpolar_alamb(E84,OFFSET(Curvas_cupon_cero!$A$1,1,0,COUNT(Curvas_cupon_cero!$A:$A)-2,1),OFFSET(Curvas_cupon_cero!$A$1,1,MATCH($B$7,Curvas_cupon_cero!$1:$1,0)-1,COUNT(Curvas_cupon_cero!$A:$A)-2,1)),interpolar(E84,OFFSET(Curvas_cupon_cero!$A$1,1,0,COUNT(Curvas_cupon_cero!$A:$A)-2,1),OFFSET(Curvas_cupon_cero!$A$1,1,MATCH($B$7,Curvas_cupon_cero!$1:$1,0)-1,COUNT(Curvas_cupon_cero!$A:$A)-2,1))))</f>
        <v/>
      </c>
      <c r="H84" s="19" t="str">
        <f t="shared" si="7"/>
        <v/>
      </c>
    </row>
    <row r="85" spans="1:8" x14ac:dyDescent="0.2">
      <c r="A85" s="12" t="str">
        <f t="shared" si="8"/>
        <v/>
      </c>
      <c r="B85" s="21" t="str">
        <f t="shared" si="9"/>
        <v/>
      </c>
      <c r="C85" s="17" t="str">
        <f t="shared" si="6"/>
        <v/>
      </c>
      <c r="D85" s="18" t="str">
        <f t="shared" si="10"/>
        <v/>
      </c>
      <c r="E85" t="str">
        <f t="shared" si="11"/>
        <v/>
      </c>
      <c r="F85" s="23" t="str">
        <f ca="1">IF(A85="","",IF($B$8="Sí",interpolar_alamb(E85,OFFSET(Curvas_cupon_cero!$A$1,1,0,COUNT(Curvas_cupon_cero!$A:$A)-2,1),OFFSET(Curvas_cupon_cero!$A$1,1,MATCH($B$6,Curvas_cupon_cero!$1:$1,0)-1,COUNT(Curvas_cupon_cero!$A:$A)-2,1)),interpolar(E85,OFFSET(Curvas_cupon_cero!$A$1,1,0,COUNT(Curvas_cupon_cero!$A:$A)-2,1),OFFSET(Curvas_cupon_cero!$A$1,1,MATCH($B$6,Curvas_cupon_cero!$1:$1,0)-1,COUNT(Curvas_cupon_cero!$A:$A)-2,1))))</f>
        <v/>
      </c>
      <c r="G85" s="23" t="str">
        <f ca="1">IF(A85="","",IF($B$8="Sí",interpolar_alamb(E85,OFFSET(Curvas_cupon_cero!$A$1,1,0,COUNT(Curvas_cupon_cero!$A:$A)-2,1),OFFSET(Curvas_cupon_cero!$A$1,1,MATCH($B$7,Curvas_cupon_cero!$1:$1,0)-1,COUNT(Curvas_cupon_cero!$A:$A)-2,1)),interpolar(E85,OFFSET(Curvas_cupon_cero!$A$1,1,0,COUNT(Curvas_cupon_cero!$A:$A)-2,1),OFFSET(Curvas_cupon_cero!$A$1,1,MATCH($B$7,Curvas_cupon_cero!$1:$1,0)-1,COUNT(Curvas_cupon_cero!$A:$A)-2,1))))</f>
        <v/>
      </c>
      <c r="H85" s="19" t="str">
        <f t="shared" si="7"/>
        <v/>
      </c>
    </row>
    <row r="86" spans="1:8" x14ac:dyDescent="0.2">
      <c r="A86" s="12" t="str">
        <f t="shared" si="8"/>
        <v/>
      </c>
      <c r="B86" s="21" t="str">
        <f t="shared" si="9"/>
        <v/>
      </c>
      <c r="C86" s="17" t="str">
        <f t="shared" si="6"/>
        <v/>
      </c>
      <c r="D86" s="18" t="str">
        <f t="shared" si="10"/>
        <v/>
      </c>
      <c r="E86" t="str">
        <f t="shared" si="11"/>
        <v/>
      </c>
      <c r="F86" s="23" t="str">
        <f ca="1">IF(A86="","",IF($B$8="Sí",interpolar_alamb(E86,OFFSET(Curvas_cupon_cero!$A$1,1,0,COUNT(Curvas_cupon_cero!$A:$A)-2,1),OFFSET(Curvas_cupon_cero!$A$1,1,MATCH($B$6,Curvas_cupon_cero!$1:$1,0)-1,COUNT(Curvas_cupon_cero!$A:$A)-2,1)),interpolar(E86,OFFSET(Curvas_cupon_cero!$A$1,1,0,COUNT(Curvas_cupon_cero!$A:$A)-2,1),OFFSET(Curvas_cupon_cero!$A$1,1,MATCH($B$6,Curvas_cupon_cero!$1:$1,0)-1,COUNT(Curvas_cupon_cero!$A:$A)-2,1))))</f>
        <v/>
      </c>
      <c r="G86" s="23" t="str">
        <f ca="1">IF(A86="","",IF($B$8="Sí",interpolar_alamb(E86,OFFSET(Curvas_cupon_cero!$A$1,1,0,COUNT(Curvas_cupon_cero!$A:$A)-2,1),OFFSET(Curvas_cupon_cero!$A$1,1,MATCH($B$7,Curvas_cupon_cero!$1:$1,0)-1,COUNT(Curvas_cupon_cero!$A:$A)-2,1)),interpolar(E86,OFFSET(Curvas_cupon_cero!$A$1,1,0,COUNT(Curvas_cupon_cero!$A:$A)-2,1),OFFSET(Curvas_cupon_cero!$A$1,1,MATCH($B$7,Curvas_cupon_cero!$1:$1,0)-1,COUNT(Curvas_cupon_cero!$A:$A)-2,1))))</f>
        <v/>
      </c>
      <c r="H86" s="19" t="str">
        <f t="shared" si="7"/>
        <v/>
      </c>
    </row>
    <row r="87" spans="1:8" x14ac:dyDescent="0.2">
      <c r="A87" s="12" t="str">
        <f t="shared" si="8"/>
        <v/>
      </c>
      <c r="B87" s="21" t="str">
        <f t="shared" si="9"/>
        <v/>
      </c>
      <c r="C87" s="17" t="str">
        <f t="shared" si="6"/>
        <v/>
      </c>
      <c r="D87" s="18" t="str">
        <f t="shared" si="10"/>
        <v/>
      </c>
      <c r="E87" t="str">
        <f t="shared" si="11"/>
        <v/>
      </c>
      <c r="F87" s="23" t="str">
        <f ca="1">IF(A87="","",IF($B$8="Sí",interpolar_alamb(E87,OFFSET(Curvas_cupon_cero!$A$1,1,0,COUNT(Curvas_cupon_cero!$A:$A)-2,1),OFFSET(Curvas_cupon_cero!$A$1,1,MATCH($B$6,Curvas_cupon_cero!$1:$1,0)-1,COUNT(Curvas_cupon_cero!$A:$A)-2,1)),interpolar(E87,OFFSET(Curvas_cupon_cero!$A$1,1,0,COUNT(Curvas_cupon_cero!$A:$A)-2,1),OFFSET(Curvas_cupon_cero!$A$1,1,MATCH($B$6,Curvas_cupon_cero!$1:$1,0)-1,COUNT(Curvas_cupon_cero!$A:$A)-2,1))))</f>
        <v/>
      </c>
      <c r="G87" s="23" t="str">
        <f ca="1">IF(A87="","",IF($B$8="Sí",interpolar_alamb(E87,OFFSET(Curvas_cupon_cero!$A$1,1,0,COUNT(Curvas_cupon_cero!$A:$A)-2,1),OFFSET(Curvas_cupon_cero!$A$1,1,MATCH($B$7,Curvas_cupon_cero!$1:$1,0)-1,COUNT(Curvas_cupon_cero!$A:$A)-2,1)),interpolar(E87,OFFSET(Curvas_cupon_cero!$A$1,1,0,COUNT(Curvas_cupon_cero!$A:$A)-2,1),OFFSET(Curvas_cupon_cero!$A$1,1,MATCH($B$7,Curvas_cupon_cero!$1:$1,0)-1,COUNT(Curvas_cupon_cero!$A:$A)-2,1))))</f>
        <v/>
      </c>
      <c r="H87" s="19" t="str">
        <f t="shared" si="7"/>
        <v/>
      </c>
    </row>
    <row r="88" spans="1:8" x14ac:dyDescent="0.2">
      <c r="A88" s="12" t="str">
        <f t="shared" si="8"/>
        <v/>
      </c>
      <c r="B88" s="21" t="str">
        <f t="shared" si="9"/>
        <v/>
      </c>
      <c r="C88" s="17" t="str">
        <f t="shared" si="6"/>
        <v/>
      </c>
      <c r="D88" s="18" t="str">
        <f t="shared" si="10"/>
        <v/>
      </c>
      <c r="E88" t="str">
        <f t="shared" si="11"/>
        <v/>
      </c>
      <c r="F88" s="23" t="str">
        <f ca="1">IF(A88="","",IF($B$8="Sí",interpolar_alamb(E88,OFFSET(Curvas_cupon_cero!$A$1,1,0,COUNT(Curvas_cupon_cero!$A:$A)-2,1),OFFSET(Curvas_cupon_cero!$A$1,1,MATCH($B$6,Curvas_cupon_cero!$1:$1,0)-1,COUNT(Curvas_cupon_cero!$A:$A)-2,1)),interpolar(E88,OFFSET(Curvas_cupon_cero!$A$1,1,0,COUNT(Curvas_cupon_cero!$A:$A)-2,1),OFFSET(Curvas_cupon_cero!$A$1,1,MATCH($B$6,Curvas_cupon_cero!$1:$1,0)-1,COUNT(Curvas_cupon_cero!$A:$A)-2,1))))</f>
        <v/>
      </c>
      <c r="G88" s="23" t="str">
        <f ca="1">IF(A88="","",IF($B$8="Sí",interpolar_alamb(E88,OFFSET(Curvas_cupon_cero!$A$1,1,0,COUNT(Curvas_cupon_cero!$A:$A)-2,1),OFFSET(Curvas_cupon_cero!$A$1,1,MATCH($B$7,Curvas_cupon_cero!$1:$1,0)-1,COUNT(Curvas_cupon_cero!$A:$A)-2,1)),interpolar(E88,OFFSET(Curvas_cupon_cero!$A$1,1,0,COUNT(Curvas_cupon_cero!$A:$A)-2,1),OFFSET(Curvas_cupon_cero!$A$1,1,MATCH($B$7,Curvas_cupon_cero!$1:$1,0)-1,COUNT(Curvas_cupon_cero!$A:$A)-2,1))))</f>
        <v/>
      </c>
      <c r="H88" s="19" t="str">
        <f t="shared" si="7"/>
        <v/>
      </c>
    </row>
    <row r="89" spans="1:8" x14ac:dyDescent="0.2">
      <c r="A89" s="12" t="str">
        <f t="shared" si="8"/>
        <v/>
      </c>
      <c r="B89" s="21" t="str">
        <f t="shared" si="9"/>
        <v/>
      </c>
      <c r="C89" s="17" t="str">
        <f t="shared" si="6"/>
        <v/>
      </c>
      <c r="D89" s="18" t="str">
        <f t="shared" si="10"/>
        <v/>
      </c>
      <c r="E89" t="str">
        <f t="shared" si="11"/>
        <v/>
      </c>
      <c r="F89" s="23" t="str">
        <f ca="1">IF(A89="","",IF($B$8="Sí",interpolar_alamb(E89,OFFSET(Curvas_cupon_cero!$A$1,1,0,COUNT(Curvas_cupon_cero!$A:$A)-2,1),OFFSET(Curvas_cupon_cero!$A$1,1,MATCH($B$6,Curvas_cupon_cero!$1:$1,0)-1,COUNT(Curvas_cupon_cero!$A:$A)-2,1)),interpolar(E89,OFFSET(Curvas_cupon_cero!$A$1,1,0,COUNT(Curvas_cupon_cero!$A:$A)-2,1),OFFSET(Curvas_cupon_cero!$A$1,1,MATCH($B$6,Curvas_cupon_cero!$1:$1,0)-1,COUNT(Curvas_cupon_cero!$A:$A)-2,1))))</f>
        <v/>
      </c>
      <c r="G89" s="23" t="str">
        <f ca="1">IF(A89="","",IF($B$8="Sí",interpolar_alamb(E89,OFFSET(Curvas_cupon_cero!$A$1,1,0,COUNT(Curvas_cupon_cero!$A:$A)-2,1),OFFSET(Curvas_cupon_cero!$A$1,1,MATCH($B$7,Curvas_cupon_cero!$1:$1,0)-1,COUNT(Curvas_cupon_cero!$A:$A)-2,1)),interpolar(E89,OFFSET(Curvas_cupon_cero!$A$1,1,0,COUNT(Curvas_cupon_cero!$A:$A)-2,1),OFFSET(Curvas_cupon_cero!$A$1,1,MATCH($B$7,Curvas_cupon_cero!$1:$1,0)-1,COUNT(Curvas_cupon_cero!$A:$A)-2,1))))</f>
        <v/>
      </c>
      <c r="H89" s="19" t="str">
        <f t="shared" si="7"/>
        <v/>
      </c>
    </row>
    <row r="90" spans="1:8" x14ac:dyDescent="0.2">
      <c r="A90" s="12" t="str">
        <f t="shared" si="8"/>
        <v/>
      </c>
      <c r="B90" s="21" t="str">
        <f t="shared" si="9"/>
        <v/>
      </c>
      <c r="C90" s="17" t="str">
        <f t="shared" si="6"/>
        <v/>
      </c>
      <c r="D90" s="18" t="str">
        <f t="shared" si="10"/>
        <v/>
      </c>
      <c r="E90" t="str">
        <f t="shared" si="11"/>
        <v/>
      </c>
      <c r="F90" s="23" t="str">
        <f ca="1">IF(A90="","",IF($B$8="Sí",interpolar_alamb(E90,OFFSET(Curvas_cupon_cero!$A$1,1,0,COUNT(Curvas_cupon_cero!$A:$A)-2,1),OFFSET(Curvas_cupon_cero!$A$1,1,MATCH($B$6,Curvas_cupon_cero!$1:$1,0)-1,COUNT(Curvas_cupon_cero!$A:$A)-2,1)),interpolar(E90,OFFSET(Curvas_cupon_cero!$A$1,1,0,COUNT(Curvas_cupon_cero!$A:$A)-2,1),OFFSET(Curvas_cupon_cero!$A$1,1,MATCH($B$6,Curvas_cupon_cero!$1:$1,0)-1,COUNT(Curvas_cupon_cero!$A:$A)-2,1))))</f>
        <v/>
      </c>
      <c r="G90" s="23" t="str">
        <f ca="1">IF(A90="","",IF($B$8="Sí",interpolar_alamb(E90,OFFSET(Curvas_cupon_cero!$A$1,1,0,COUNT(Curvas_cupon_cero!$A:$A)-2,1),OFFSET(Curvas_cupon_cero!$A$1,1,MATCH($B$7,Curvas_cupon_cero!$1:$1,0)-1,COUNT(Curvas_cupon_cero!$A:$A)-2,1)),interpolar(E90,OFFSET(Curvas_cupon_cero!$A$1,1,0,COUNT(Curvas_cupon_cero!$A:$A)-2,1),OFFSET(Curvas_cupon_cero!$A$1,1,MATCH($B$7,Curvas_cupon_cero!$1:$1,0)-1,COUNT(Curvas_cupon_cero!$A:$A)-2,1))))</f>
        <v/>
      </c>
      <c r="H90" s="19" t="str">
        <f t="shared" si="7"/>
        <v/>
      </c>
    </row>
    <row r="91" spans="1:8" x14ac:dyDescent="0.2">
      <c r="A91" s="12" t="str">
        <f t="shared" si="8"/>
        <v/>
      </c>
      <c r="B91" s="21" t="str">
        <f t="shared" si="9"/>
        <v/>
      </c>
      <c r="C91" s="17" t="str">
        <f t="shared" si="6"/>
        <v/>
      </c>
      <c r="D91" s="18" t="str">
        <f t="shared" si="10"/>
        <v/>
      </c>
      <c r="E91" t="str">
        <f t="shared" si="11"/>
        <v/>
      </c>
      <c r="F91" s="23" t="str">
        <f ca="1">IF(A91="","",IF($B$8="Sí",interpolar_alamb(E91,OFFSET(Curvas_cupon_cero!$A$1,1,0,COUNT(Curvas_cupon_cero!$A:$A)-2,1),OFFSET(Curvas_cupon_cero!$A$1,1,MATCH($B$6,Curvas_cupon_cero!$1:$1,0)-1,COUNT(Curvas_cupon_cero!$A:$A)-2,1)),interpolar(E91,OFFSET(Curvas_cupon_cero!$A$1,1,0,COUNT(Curvas_cupon_cero!$A:$A)-2,1),OFFSET(Curvas_cupon_cero!$A$1,1,MATCH($B$6,Curvas_cupon_cero!$1:$1,0)-1,COUNT(Curvas_cupon_cero!$A:$A)-2,1))))</f>
        <v/>
      </c>
      <c r="G91" s="23" t="str">
        <f ca="1">IF(A91="","",IF($B$8="Sí",interpolar_alamb(E91,OFFSET(Curvas_cupon_cero!$A$1,1,0,COUNT(Curvas_cupon_cero!$A:$A)-2,1),OFFSET(Curvas_cupon_cero!$A$1,1,MATCH($B$7,Curvas_cupon_cero!$1:$1,0)-1,COUNT(Curvas_cupon_cero!$A:$A)-2,1)),interpolar(E91,OFFSET(Curvas_cupon_cero!$A$1,1,0,COUNT(Curvas_cupon_cero!$A:$A)-2,1),OFFSET(Curvas_cupon_cero!$A$1,1,MATCH($B$7,Curvas_cupon_cero!$1:$1,0)-1,COUNT(Curvas_cupon_cero!$A:$A)-2,1))))</f>
        <v/>
      </c>
      <c r="H91" s="19" t="str">
        <f t="shared" si="7"/>
        <v/>
      </c>
    </row>
    <row r="92" spans="1:8" x14ac:dyDescent="0.2">
      <c r="A92" s="12" t="str">
        <f t="shared" si="8"/>
        <v/>
      </c>
      <c r="B92" s="21" t="str">
        <f t="shared" si="9"/>
        <v/>
      </c>
      <c r="C92" s="17" t="str">
        <f t="shared" si="6"/>
        <v/>
      </c>
      <c r="D92" s="18" t="str">
        <f t="shared" si="10"/>
        <v/>
      </c>
      <c r="E92" t="str">
        <f t="shared" si="11"/>
        <v/>
      </c>
      <c r="F92" s="23" t="str">
        <f ca="1">IF(A92="","",IF($B$8="Sí",interpolar_alamb(E92,OFFSET(Curvas_cupon_cero!$A$1,1,0,COUNT(Curvas_cupon_cero!$A:$A)-2,1),OFFSET(Curvas_cupon_cero!$A$1,1,MATCH($B$6,Curvas_cupon_cero!$1:$1,0)-1,COUNT(Curvas_cupon_cero!$A:$A)-2,1)),interpolar(E92,OFFSET(Curvas_cupon_cero!$A$1,1,0,COUNT(Curvas_cupon_cero!$A:$A)-2,1),OFFSET(Curvas_cupon_cero!$A$1,1,MATCH($B$6,Curvas_cupon_cero!$1:$1,0)-1,COUNT(Curvas_cupon_cero!$A:$A)-2,1))))</f>
        <v/>
      </c>
      <c r="G92" s="23" t="str">
        <f ca="1">IF(A92="","",IF($B$8="Sí",interpolar_alamb(E92,OFFSET(Curvas_cupon_cero!$A$1,1,0,COUNT(Curvas_cupon_cero!$A:$A)-2,1),OFFSET(Curvas_cupon_cero!$A$1,1,MATCH($B$7,Curvas_cupon_cero!$1:$1,0)-1,COUNT(Curvas_cupon_cero!$A:$A)-2,1)),interpolar(E92,OFFSET(Curvas_cupon_cero!$A$1,1,0,COUNT(Curvas_cupon_cero!$A:$A)-2,1),OFFSET(Curvas_cupon_cero!$A$1,1,MATCH($B$7,Curvas_cupon_cero!$1:$1,0)-1,COUNT(Curvas_cupon_cero!$A:$A)-2,1))))</f>
        <v/>
      </c>
      <c r="H92" s="19" t="str">
        <f t="shared" si="7"/>
        <v/>
      </c>
    </row>
    <row r="93" spans="1:8" x14ac:dyDescent="0.2">
      <c r="A93" s="12" t="str">
        <f t="shared" si="8"/>
        <v/>
      </c>
      <c r="B93" s="21" t="str">
        <f t="shared" si="9"/>
        <v/>
      </c>
      <c r="C93" s="17" t="str">
        <f t="shared" si="6"/>
        <v/>
      </c>
      <c r="D93" s="18" t="str">
        <f t="shared" si="10"/>
        <v/>
      </c>
      <c r="E93" t="str">
        <f t="shared" si="11"/>
        <v/>
      </c>
      <c r="F93" s="23" t="str">
        <f ca="1">IF(A93="","",IF($B$8="Sí",interpolar_alamb(E93,OFFSET(Curvas_cupon_cero!$A$1,1,0,COUNT(Curvas_cupon_cero!$A:$A)-2,1),OFFSET(Curvas_cupon_cero!$A$1,1,MATCH($B$6,Curvas_cupon_cero!$1:$1,0)-1,COUNT(Curvas_cupon_cero!$A:$A)-2,1)),interpolar(E93,OFFSET(Curvas_cupon_cero!$A$1,1,0,COUNT(Curvas_cupon_cero!$A:$A)-2,1),OFFSET(Curvas_cupon_cero!$A$1,1,MATCH($B$6,Curvas_cupon_cero!$1:$1,0)-1,COUNT(Curvas_cupon_cero!$A:$A)-2,1))))</f>
        <v/>
      </c>
      <c r="G93" s="23" t="str">
        <f ca="1">IF(A93="","",IF($B$8="Sí",interpolar_alamb(E93,OFFSET(Curvas_cupon_cero!$A$1,1,0,COUNT(Curvas_cupon_cero!$A:$A)-2,1),OFFSET(Curvas_cupon_cero!$A$1,1,MATCH($B$7,Curvas_cupon_cero!$1:$1,0)-1,COUNT(Curvas_cupon_cero!$A:$A)-2,1)),interpolar(E93,OFFSET(Curvas_cupon_cero!$A$1,1,0,COUNT(Curvas_cupon_cero!$A:$A)-2,1),OFFSET(Curvas_cupon_cero!$A$1,1,MATCH($B$7,Curvas_cupon_cero!$1:$1,0)-1,COUNT(Curvas_cupon_cero!$A:$A)-2,1))))</f>
        <v/>
      </c>
      <c r="H93" s="19" t="str">
        <f t="shared" si="7"/>
        <v/>
      </c>
    </row>
    <row r="94" spans="1:8" x14ac:dyDescent="0.2">
      <c r="A94" s="12" t="str">
        <f t="shared" si="8"/>
        <v/>
      </c>
      <c r="B94" s="21" t="str">
        <f t="shared" si="9"/>
        <v/>
      </c>
      <c r="C94" s="17" t="str">
        <f t="shared" si="6"/>
        <v/>
      </c>
      <c r="D94" s="18" t="str">
        <f t="shared" si="10"/>
        <v/>
      </c>
      <c r="E94" t="str">
        <f t="shared" si="11"/>
        <v/>
      </c>
      <c r="F94" s="23" t="str">
        <f ca="1">IF(A94="","",IF($B$8="Sí",interpolar_alamb(E94,OFFSET(Curvas_cupon_cero!$A$1,1,0,COUNT(Curvas_cupon_cero!$A:$A)-2,1),OFFSET(Curvas_cupon_cero!$A$1,1,MATCH($B$6,Curvas_cupon_cero!$1:$1,0)-1,COUNT(Curvas_cupon_cero!$A:$A)-2,1)),interpolar(E94,OFFSET(Curvas_cupon_cero!$A$1,1,0,COUNT(Curvas_cupon_cero!$A:$A)-2,1),OFFSET(Curvas_cupon_cero!$A$1,1,MATCH($B$6,Curvas_cupon_cero!$1:$1,0)-1,COUNT(Curvas_cupon_cero!$A:$A)-2,1))))</f>
        <v/>
      </c>
      <c r="G94" s="23" t="str">
        <f ca="1">IF(A94="","",IF($B$8="Sí",interpolar_alamb(E94,OFFSET(Curvas_cupon_cero!$A$1,1,0,COUNT(Curvas_cupon_cero!$A:$A)-2,1),OFFSET(Curvas_cupon_cero!$A$1,1,MATCH($B$7,Curvas_cupon_cero!$1:$1,0)-1,COUNT(Curvas_cupon_cero!$A:$A)-2,1)),interpolar(E94,OFFSET(Curvas_cupon_cero!$A$1,1,0,COUNT(Curvas_cupon_cero!$A:$A)-2,1),OFFSET(Curvas_cupon_cero!$A$1,1,MATCH($B$7,Curvas_cupon_cero!$1:$1,0)-1,COUNT(Curvas_cupon_cero!$A:$A)-2,1))))</f>
        <v/>
      </c>
      <c r="H94" s="19" t="str">
        <f t="shared" si="7"/>
        <v/>
      </c>
    </row>
    <row r="95" spans="1:8" x14ac:dyDescent="0.2">
      <c r="A95" s="12" t="str">
        <f t="shared" si="8"/>
        <v/>
      </c>
      <c r="B95" s="21" t="str">
        <f t="shared" si="9"/>
        <v/>
      </c>
      <c r="C95" s="17" t="str">
        <f t="shared" si="6"/>
        <v/>
      </c>
      <c r="D95" s="18" t="str">
        <f t="shared" si="10"/>
        <v/>
      </c>
      <c r="E95" t="str">
        <f t="shared" si="11"/>
        <v/>
      </c>
      <c r="F95" s="23" t="str">
        <f ca="1">IF(A95="","",IF($B$8="Sí",interpolar_alamb(E95,OFFSET(Curvas_cupon_cero!$A$1,1,0,COUNT(Curvas_cupon_cero!$A:$A)-2,1),OFFSET(Curvas_cupon_cero!$A$1,1,MATCH($B$6,Curvas_cupon_cero!$1:$1,0)-1,COUNT(Curvas_cupon_cero!$A:$A)-2,1)),interpolar(E95,OFFSET(Curvas_cupon_cero!$A$1,1,0,COUNT(Curvas_cupon_cero!$A:$A)-2,1),OFFSET(Curvas_cupon_cero!$A$1,1,MATCH($B$6,Curvas_cupon_cero!$1:$1,0)-1,COUNT(Curvas_cupon_cero!$A:$A)-2,1))))</f>
        <v/>
      </c>
      <c r="G95" s="23" t="str">
        <f ca="1">IF(A95="","",IF($B$8="Sí",interpolar_alamb(E95,OFFSET(Curvas_cupon_cero!$A$1,1,0,COUNT(Curvas_cupon_cero!$A:$A)-2,1),OFFSET(Curvas_cupon_cero!$A$1,1,MATCH($B$7,Curvas_cupon_cero!$1:$1,0)-1,COUNT(Curvas_cupon_cero!$A:$A)-2,1)),interpolar(E95,OFFSET(Curvas_cupon_cero!$A$1,1,0,COUNT(Curvas_cupon_cero!$A:$A)-2,1),OFFSET(Curvas_cupon_cero!$A$1,1,MATCH($B$7,Curvas_cupon_cero!$1:$1,0)-1,COUNT(Curvas_cupon_cero!$A:$A)-2,1))))</f>
        <v/>
      </c>
      <c r="H95" s="19" t="str">
        <f t="shared" si="7"/>
        <v/>
      </c>
    </row>
    <row r="96" spans="1:8" x14ac:dyDescent="0.2">
      <c r="A96" s="12" t="str">
        <f t="shared" si="8"/>
        <v/>
      </c>
      <c r="B96" s="21" t="str">
        <f t="shared" si="9"/>
        <v/>
      </c>
      <c r="C96" s="17" t="str">
        <f t="shared" si="6"/>
        <v/>
      </c>
      <c r="D96" s="18" t="str">
        <f t="shared" si="10"/>
        <v/>
      </c>
      <c r="E96" t="str">
        <f t="shared" si="11"/>
        <v/>
      </c>
      <c r="F96" s="23" t="str">
        <f ca="1">IF(A96="","",IF($B$8="Sí",interpolar_alamb(E96,OFFSET(Curvas_cupon_cero!$A$1,1,0,COUNT(Curvas_cupon_cero!$A:$A)-2,1),OFFSET(Curvas_cupon_cero!$A$1,1,MATCH($B$6,Curvas_cupon_cero!$1:$1,0)-1,COUNT(Curvas_cupon_cero!$A:$A)-2,1)),interpolar(E96,OFFSET(Curvas_cupon_cero!$A$1,1,0,COUNT(Curvas_cupon_cero!$A:$A)-2,1),OFFSET(Curvas_cupon_cero!$A$1,1,MATCH($B$6,Curvas_cupon_cero!$1:$1,0)-1,COUNT(Curvas_cupon_cero!$A:$A)-2,1))))</f>
        <v/>
      </c>
      <c r="G96" s="23" t="str">
        <f ca="1">IF(A96="","",IF($B$8="Sí",interpolar_alamb(E96,OFFSET(Curvas_cupon_cero!$A$1,1,0,COUNT(Curvas_cupon_cero!$A:$A)-2,1),OFFSET(Curvas_cupon_cero!$A$1,1,MATCH($B$7,Curvas_cupon_cero!$1:$1,0)-1,COUNT(Curvas_cupon_cero!$A:$A)-2,1)),interpolar(E96,OFFSET(Curvas_cupon_cero!$A$1,1,0,COUNT(Curvas_cupon_cero!$A:$A)-2,1),OFFSET(Curvas_cupon_cero!$A$1,1,MATCH($B$7,Curvas_cupon_cero!$1:$1,0)-1,COUNT(Curvas_cupon_cero!$A:$A)-2,1))))</f>
        <v/>
      </c>
      <c r="H96" s="19" t="str">
        <f t="shared" si="7"/>
        <v/>
      </c>
    </row>
    <row r="97" spans="1:8" x14ac:dyDescent="0.2">
      <c r="A97" s="12" t="str">
        <f t="shared" si="8"/>
        <v/>
      </c>
      <c r="B97" s="21" t="str">
        <f t="shared" si="9"/>
        <v/>
      </c>
      <c r="C97" s="17" t="str">
        <f t="shared" si="6"/>
        <v/>
      </c>
      <c r="D97" s="18" t="str">
        <f t="shared" si="10"/>
        <v/>
      </c>
      <c r="E97" t="str">
        <f t="shared" si="11"/>
        <v/>
      </c>
      <c r="F97" s="23" t="str">
        <f ca="1">IF(A97="","",IF($B$8="Sí",interpolar_alamb(E97,OFFSET(Curvas_cupon_cero!$A$1,1,0,COUNT(Curvas_cupon_cero!$A:$A)-2,1),OFFSET(Curvas_cupon_cero!$A$1,1,MATCH($B$6,Curvas_cupon_cero!$1:$1,0)-1,COUNT(Curvas_cupon_cero!$A:$A)-2,1)),interpolar(E97,OFFSET(Curvas_cupon_cero!$A$1,1,0,COUNT(Curvas_cupon_cero!$A:$A)-2,1),OFFSET(Curvas_cupon_cero!$A$1,1,MATCH($B$6,Curvas_cupon_cero!$1:$1,0)-1,COUNT(Curvas_cupon_cero!$A:$A)-2,1))))</f>
        <v/>
      </c>
      <c r="G97" s="23" t="str">
        <f ca="1">IF(A97="","",IF($B$8="Sí",interpolar_alamb(E97,OFFSET(Curvas_cupon_cero!$A$1,1,0,COUNT(Curvas_cupon_cero!$A:$A)-2,1),OFFSET(Curvas_cupon_cero!$A$1,1,MATCH($B$7,Curvas_cupon_cero!$1:$1,0)-1,COUNT(Curvas_cupon_cero!$A:$A)-2,1)),interpolar(E97,OFFSET(Curvas_cupon_cero!$A$1,1,0,COUNT(Curvas_cupon_cero!$A:$A)-2,1),OFFSET(Curvas_cupon_cero!$A$1,1,MATCH($B$7,Curvas_cupon_cero!$1:$1,0)-1,COUNT(Curvas_cupon_cero!$A:$A)-2,1))))</f>
        <v/>
      </c>
      <c r="H97" s="19" t="str">
        <f t="shared" si="7"/>
        <v/>
      </c>
    </row>
    <row r="98" spans="1:8" x14ac:dyDescent="0.2">
      <c r="A98" s="12" t="str">
        <f t="shared" si="8"/>
        <v/>
      </c>
      <c r="B98" s="21" t="str">
        <f t="shared" si="9"/>
        <v/>
      </c>
      <c r="C98" s="17" t="str">
        <f t="shared" si="6"/>
        <v/>
      </c>
      <c r="D98" s="18" t="str">
        <f t="shared" si="10"/>
        <v/>
      </c>
      <c r="E98" t="str">
        <f t="shared" si="11"/>
        <v/>
      </c>
      <c r="F98" s="23" t="str">
        <f ca="1">IF(A98="","",IF($B$8="Sí",interpolar_alamb(E98,OFFSET(Curvas_cupon_cero!$A$1,1,0,COUNT(Curvas_cupon_cero!$A:$A)-2,1),OFFSET(Curvas_cupon_cero!$A$1,1,MATCH($B$6,Curvas_cupon_cero!$1:$1,0)-1,COUNT(Curvas_cupon_cero!$A:$A)-2,1)),interpolar(E98,OFFSET(Curvas_cupon_cero!$A$1,1,0,COUNT(Curvas_cupon_cero!$A:$A)-2,1),OFFSET(Curvas_cupon_cero!$A$1,1,MATCH($B$6,Curvas_cupon_cero!$1:$1,0)-1,COUNT(Curvas_cupon_cero!$A:$A)-2,1))))</f>
        <v/>
      </c>
      <c r="G98" s="23" t="str">
        <f ca="1">IF(A98="","",IF($B$8="Sí",interpolar_alamb(E98,OFFSET(Curvas_cupon_cero!$A$1,1,0,COUNT(Curvas_cupon_cero!$A:$A)-2,1),OFFSET(Curvas_cupon_cero!$A$1,1,MATCH($B$7,Curvas_cupon_cero!$1:$1,0)-1,COUNT(Curvas_cupon_cero!$A:$A)-2,1)),interpolar(E98,OFFSET(Curvas_cupon_cero!$A$1,1,0,COUNT(Curvas_cupon_cero!$A:$A)-2,1),OFFSET(Curvas_cupon_cero!$A$1,1,MATCH($B$7,Curvas_cupon_cero!$1:$1,0)-1,COUNT(Curvas_cupon_cero!$A:$A)-2,1))))</f>
        <v/>
      </c>
      <c r="H98" s="19" t="str">
        <f t="shared" si="7"/>
        <v/>
      </c>
    </row>
    <row r="99" spans="1:8" x14ac:dyDescent="0.2">
      <c r="A99" s="12" t="str">
        <f t="shared" si="8"/>
        <v/>
      </c>
      <c r="B99" s="21" t="str">
        <f t="shared" si="9"/>
        <v/>
      </c>
      <c r="C99" s="17" t="str">
        <f t="shared" si="6"/>
        <v/>
      </c>
      <c r="D99" s="18" t="str">
        <f t="shared" si="10"/>
        <v/>
      </c>
      <c r="E99" t="str">
        <f t="shared" si="11"/>
        <v/>
      </c>
      <c r="F99" s="23" t="str">
        <f ca="1">IF(A99="","",IF($B$8="Sí",interpolar_alamb(E99,OFFSET(Curvas_cupon_cero!$A$1,1,0,COUNT(Curvas_cupon_cero!$A:$A)-2,1),OFFSET(Curvas_cupon_cero!$A$1,1,MATCH($B$6,Curvas_cupon_cero!$1:$1,0)-1,COUNT(Curvas_cupon_cero!$A:$A)-2,1)),interpolar(E99,OFFSET(Curvas_cupon_cero!$A$1,1,0,COUNT(Curvas_cupon_cero!$A:$A)-2,1),OFFSET(Curvas_cupon_cero!$A$1,1,MATCH($B$6,Curvas_cupon_cero!$1:$1,0)-1,COUNT(Curvas_cupon_cero!$A:$A)-2,1))))</f>
        <v/>
      </c>
      <c r="G99" s="23" t="str">
        <f ca="1">IF(A99="","",IF($B$8="Sí",interpolar_alamb(E99,OFFSET(Curvas_cupon_cero!$A$1,1,0,COUNT(Curvas_cupon_cero!$A:$A)-2,1),OFFSET(Curvas_cupon_cero!$A$1,1,MATCH($B$7,Curvas_cupon_cero!$1:$1,0)-1,COUNT(Curvas_cupon_cero!$A:$A)-2,1)),interpolar(E99,OFFSET(Curvas_cupon_cero!$A$1,1,0,COUNT(Curvas_cupon_cero!$A:$A)-2,1),OFFSET(Curvas_cupon_cero!$A$1,1,MATCH($B$7,Curvas_cupon_cero!$1:$1,0)-1,COUNT(Curvas_cupon_cero!$A:$A)-2,1))))</f>
        <v/>
      </c>
      <c r="H99" s="19" t="str">
        <f t="shared" si="7"/>
        <v/>
      </c>
    </row>
    <row r="100" spans="1:8" x14ac:dyDescent="0.2">
      <c r="A100" s="12" t="str">
        <f t="shared" si="8"/>
        <v/>
      </c>
      <c r="B100" s="21" t="str">
        <f t="shared" si="9"/>
        <v/>
      </c>
      <c r="C100" s="17" t="str">
        <f t="shared" si="6"/>
        <v/>
      </c>
      <c r="D100" s="18" t="str">
        <f t="shared" si="10"/>
        <v/>
      </c>
      <c r="E100" t="str">
        <f t="shared" si="11"/>
        <v/>
      </c>
      <c r="F100" s="23" t="str">
        <f ca="1">IF(A100="","",IF($B$8="Sí",interpolar_alamb(E100,OFFSET(Curvas_cupon_cero!$A$1,1,0,COUNT(Curvas_cupon_cero!$A:$A)-2,1),OFFSET(Curvas_cupon_cero!$A$1,1,MATCH($B$6,Curvas_cupon_cero!$1:$1,0)-1,COUNT(Curvas_cupon_cero!$A:$A)-2,1)),interpolar(E100,OFFSET(Curvas_cupon_cero!$A$1,1,0,COUNT(Curvas_cupon_cero!$A:$A)-2,1),OFFSET(Curvas_cupon_cero!$A$1,1,MATCH($B$6,Curvas_cupon_cero!$1:$1,0)-1,COUNT(Curvas_cupon_cero!$A:$A)-2,1))))</f>
        <v/>
      </c>
      <c r="G100" s="23" t="str">
        <f ca="1">IF(A100="","",IF($B$8="Sí",interpolar_alamb(E100,OFFSET(Curvas_cupon_cero!$A$1,1,0,COUNT(Curvas_cupon_cero!$A:$A)-2,1),OFFSET(Curvas_cupon_cero!$A$1,1,MATCH($B$7,Curvas_cupon_cero!$1:$1,0)-1,COUNT(Curvas_cupon_cero!$A:$A)-2,1)),interpolar(E100,OFFSET(Curvas_cupon_cero!$A$1,1,0,COUNT(Curvas_cupon_cero!$A:$A)-2,1),OFFSET(Curvas_cupon_cero!$A$1,1,MATCH($B$7,Curvas_cupon_cero!$1:$1,0)-1,COUNT(Curvas_cupon_cero!$A:$A)-2,1))))</f>
        <v/>
      </c>
      <c r="H100" s="19" t="str">
        <f t="shared" si="7"/>
        <v/>
      </c>
    </row>
    <row r="101" spans="1:8" x14ac:dyDescent="0.2">
      <c r="A101" s="12" t="str">
        <f t="shared" si="8"/>
        <v/>
      </c>
      <c r="B101" s="21" t="str">
        <f t="shared" si="9"/>
        <v/>
      </c>
      <c r="C101" s="17" t="str">
        <f t="shared" si="6"/>
        <v/>
      </c>
      <c r="D101" s="18" t="str">
        <f t="shared" si="10"/>
        <v/>
      </c>
      <c r="E101" t="str">
        <f t="shared" si="11"/>
        <v/>
      </c>
      <c r="F101" s="23" t="str">
        <f ca="1">IF(A101="","",IF($B$8="Sí",interpolar_alamb(E101,OFFSET(Curvas_cupon_cero!$A$1,1,0,COUNT(Curvas_cupon_cero!$A:$A)-2,1),OFFSET(Curvas_cupon_cero!$A$1,1,MATCH($B$6,Curvas_cupon_cero!$1:$1,0)-1,COUNT(Curvas_cupon_cero!$A:$A)-2,1)),interpolar(E101,OFFSET(Curvas_cupon_cero!$A$1,1,0,COUNT(Curvas_cupon_cero!$A:$A)-2,1),OFFSET(Curvas_cupon_cero!$A$1,1,MATCH($B$6,Curvas_cupon_cero!$1:$1,0)-1,COUNT(Curvas_cupon_cero!$A:$A)-2,1))))</f>
        <v/>
      </c>
      <c r="G101" s="23" t="str">
        <f ca="1">IF(A101="","",IF($B$8="Sí",interpolar_alamb(E101,OFFSET(Curvas_cupon_cero!$A$1,1,0,COUNT(Curvas_cupon_cero!$A:$A)-2,1),OFFSET(Curvas_cupon_cero!$A$1,1,MATCH($B$7,Curvas_cupon_cero!$1:$1,0)-1,COUNT(Curvas_cupon_cero!$A:$A)-2,1)),interpolar(E101,OFFSET(Curvas_cupon_cero!$A$1,1,0,COUNT(Curvas_cupon_cero!$A:$A)-2,1),OFFSET(Curvas_cupon_cero!$A$1,1,MATCH($B$7,Curvas_cupon_cero!$1:$1,0)-1,COUNT(Curvas_cupon_cero!$A:$A)-2,1))))</f>
        <v/>
      </c>
      <c r="H101" s="19" t="str">
        <f t="shared" si="7"/>
        <v/>
      </c>
    </row>
    <row r="102" spans="1:8" x14ac:dyDescent="0.2">
      <c r="A102" s="12" t="str">
        <f t="shared" si="8"/>
        <v/>
      </c>
      <c r="B102" s="21" t="str">
        <f t="shared" si="9"/>
        <v/>
      </c>
      <c r="C102" s="17" t="str">
        <f t="shared" si="6"/>
        <v/>
      </c>
      <c r="D102" s="18" t="str">
        <f t="shared" si="10"/>
        <v/>
      </c>
      <c r="E102" t="str">
        <f t="shared" si="11"/>
        <v/>
      </c>
      <c r="F102" s="23" t="str">
        <f ca="1">IF(A102="","",IF($B$8="Sí",interpolar_alamb(E102,OFFSET(Curvas_cupon_cero!$A$1,1,0,COUNT(Curvas_cupon_cero!$A:$A)-2,1),OFFSET(Curvas_cupon_cero!$A$1,1,MATCH($B$6,Curvas_cupon_cero!$1:$1,0)-1,COUNT(Curvas_cupon_cero!$A:$A)-2,1)),interpolar(E102,OFFSET(Curvas_cupon_cero!$A$1,1,0,COUNT(Curvas_cupon_cero!$A:$A)-2,1),OFFSET(Curvas_cupon_cero!$A$1,1,MATCH($B$6,Curvas_cupon_cero!$1:$1,0)-1,COUNT(Curvas_cupon_cero!$A:$A)-2,1))))</f>
        <v/>
      </c>
      <c r="G102" s="23" t="str">
        <f ca="1">IF(A102="","",IF($B$8="Sí",interpolar_alamb(E102,OFFSET(Curvas_cupon_cero!$A$1,1,0,COUNT(Curvas_cupon_cero!$A:$A)-2,1),OFFSET(Curvas_cupon_cero!$A$1,1,MATCH($B$7,Curvas_cupon_cero!$1:$1,0)-1,COUNT(Curvas_cupon_cero!$A:$A)-2,1)),interpolar(E102,OFFSET(Curvas_cupon_cero!$A$1,1,0,COUNT(Curvas_cupon_cero!$A:$A)-2,1),OFFSET(Curvas_cupon_cero!$A$1,1,MATCH($B$7,Curvas_cupon_cero!$1:$1,0)-1,COUNT(Curvas_cupon_cero!$A:$A)-2,1))))</f>
        <v/>
      </c>
      <c r="H102" s="19" t="str">
        <f t="shared" si="7"/>
        <v/>
      </c>
    </row>
    <row r="103" spans="1:8" x14ac:dyDescent="0.2">
      <c r="A103" s="12" t="str">
        <f t="shared" si="8"/>
        <v/>
      </c>
      <c r="B103" s="21" t="str">
        <f t="shared" si="9"/>
        <v/>
      </c>
      <c r="C103" s="17" t="str">
        <f t="shared" si="6"/>
        <v/>
      </c>
      <c r="D103" s="18" t="str">
        <f t="shared" si="10"/>
        <v/>
      </c>
      <c r="E103" t="str">
        <f t="shared" si="11"/>
        <v/>
      </c>
      <c r="F103" s="23" t="str">
        <f ca="1">IF(A103="","",IF($B$8="Sí",interpolar_alamb(E103,OFFSET(Curvas_cupon_cero!$A$1,1,0,COUNT(Curvas_cupon_cero!$A:$A)-2,1),OFFSET(Curvas_cupon_cero!$A$1,1,MATCH($B$6,Curvas_cupon_cero!$1:$1,0)-1,COUNT(Curvas_cupon_cero!$A:$A)-2,1)),interpolar(E103,OFFSET(Curvas_cupon_cero!$A$1,1,0,COUNT(Curvas_cupon_cero!$A:$A)-2,1),OFFSET(Curvas_cupon_cero!$A$1,1,MATCH($B$6,Curvas_cupon_cero!$1:$1,0)-1,COUNT(Curvas_cupon_cero!$A:$A)-2,1))))</f>
        <v/>
      </c>
      <c r="G103" s="23" t="str">
        <f ca="1">IF(A103="","",IF($B$8="Sí",interpolar_alamb(E103,OFFSET(Curvas_cupon_cero!$A$1,1,0,COUNT(Curvas_cupon_cero!$A:$A)-2,1),OFFSET(Curvas_cupon_cero!$A$1,1,MATCH($B$7,Curvas_cupon_cero!$1:$1,0)-1,COUNT(Curvas_cupon_cero!$A:$A)-2,1)),interpolar(E103,OFFSET(Curvas_cupon_cero!$A$1,1,0,COUNT(Curvas_cupon_cero!$A:$A)-2,1),OFFSET(Curvas_cupon_cero!$A$1,1,MATCH($B$7,Curvas_cupon_cero!$1:$1,0)-1,COUNT(Curvas_cupon_cero!$A:$A)-2,1))))</f>
        <v/>
      </c>
      <c r="H103" s="19" t="str">
        <f t="shared" si="7"/>
        <v/>
      </c>
    </row>
    <row r="104" spans="1:8" x14ac:dyDescent="0.2">
      <c r="A104" s="12" t="str">
        <f t="shared" si="8"/>
        <v/>
      </c>
      <c r="B104" s="21" t="str">
        <f t="shared" si="9"/>
        <v/>
      </c>
      <c r="C104" s="17" t="str">
        <f t="shared" si="6"/>
        <v/>
      </c>
      <c r="D104" s="18" t="str">
        <f t="shared" si="10"/>
        <v/>
      </c>
      <c r="E104" t="str">
        <f t="shared" si="11"/>
        <v/>
      </c>
      <c r="F104" s="23" t="str">
        <f ca="1">IF(A104="","",IF($B$8="Sí",interpolar_alamb(E104,OFFSET(Curvas_cupon_cero!$A$1,1,0,COUNT(Curvas_cupon_cero!$A:$A)-2,1),OFFSET(Curvas_cupon_cero!$A$1,1,MATCH($B$6,Curvas_cupon_cero!$1:$1,0)-1,COUNT(Curvas_cupon_cero!$A:$A)-2,1)),interpolar(E104,OFFSET(Curvas_cupon_cero!$A$1,1,0,COUNT(Curvas_cupon_cero!$A:$A)-2,1),OFFSET(Curvas_cupon_cero!$A$1,1,MATCH($B$6,Curvas_cupon_cero!$1:$1,0)-1,COUNT(Curvas_cupon_cero!$A:$A)-2,1))))</f>
        <v/>
      </c>
      <c r="G104" s="23" t="str">
        <f ca="1">IF(A104="","",IF($B$8="Sí",interpolar_alamb(E104,OFFSET(Curvas_cupon_cero!$A$1,1,0,COUNT(Curvas_cupon_cero!$A:$A)-2,1),OFFSET(Curvas_cupon_cero!$A$1,1,MATCH($B$7,Curvas_cupon_cero!$1:$1,0)-1,COUNT(Curvas_cupon_cero!$A:$A)-2,1)),interpolar(E104,OFFSET(Curvas_cupon_cero!$A$1,1,0,COUNT(Curvas_cupon_cero!$A:$A)-2,1),OFFSET(Curvas_cupon_cero!$A$1,1,MATCH($B$7,Curvas_cupon_cero!$1:$1,0)-1,COUNT(Curvas_cupon_cero!$A:$A)-2,1))))</f>
        <v/>
      </c>
      <c r="H104" s="19" t="str">
        <f t="shared" si="7"/>
        <v/>
      </c>
    </row>
    <row r="105" spans="1:8" x14ac:dyDescent="0.2">
      <c r="A105" s="12" t="str">
        <f t="shared" si="8"/>
        <v/>
      </c>
      <c r="B105" s="21" t="str">
        <f t="shared" si="9"/>
        <v/>
      </c>
      <c r="C105" s="17" t="str">
        <f t="shared" si="6"/>
        <v/>
      </c>
      <c r="D105" s="18" t="str">
        <f t="shared" si="10"/>
        <v/>
      </c>
      <c r="E105" t="str">
        <f t="shared" si="11"/>
        <v/>
      </c>
      <c r="F105" s="23" t="str">
        <f ca="1">IF(A105="","",IF($B$8="Sí",interpolar_alamb(E105,OFFSET(Curvas_cupon_cero!$A$1,1,0,COUNT(Curvas_cupon_cero!$A:$A)-2,1),OFFSET(Curvas_cupon_cero!$A$1,1,MATCH($B$6,Curvas_cupon_cero!$1:$1,0)-1,COUNT(Curvas_cupon_cero!$A:$A)-2,1)),interpolar(E105,OFFSET(Curvas_cupon_cero!$A$1,1,0,COUNT(Curvas_cupon_cero!$A:$A)-2,1),OFFSET(Curvas_cupon_cero!$A$1,1,MATCH($B$6,Curvas_cupon_cero!$1:$1,0)-1,COUNT(Curvas_cupon_cero!$A:$A)-2,1))))</f>
        <v/>
      </c>
      <c r="G105" s="23" t="str">
        <f ca="1">IF(A105="","",IF($B$8="Sí",interpolar_alamb(E105,OFFSET(Curvas_cupon_cero!$A$1,1,0,COUNT(Curvas_cupon_cero!$A:$A)-2,1),OFFSET(Curvas_cupon_cero!$A$1,1,MATCH($B$7,Curvas_cupon_cero!$1:$1,0)-1,COUNT(Curvas_cupon_cero!$A:$A)-2,1)),interpolar(E105,OFFSET(Curvas_cupon_cero!$A$1,1,0,COUNT(Curvas_cupon_cero!$A:$A)-2,1),OFFSET(Curvas_cupon_cero!$A$1,1,MATCH($B$7,Curvas_cupon_cero!$1:$1,0)-1,COUNT(Curvas_cupon_cero!$A:$A)-2,1))))</f>
        <v/>
      </c>
      <c r="H105" s="19" t="str">
        <f t="shared" si="7"/>
        <v/>
      </c>
    </row>
    <row r="106" spans="1:8" x14ac:dyDescent="0.2">
      <c r="A106" s="12" t="str">
        <f t="shared" si="8"/>
        <v/>
      </c>
      <c r="B106" s="21" t="str">
        <f t="shared" si="9"/>
        <v/>
      </c>
      <c r="C106" s="17" t="str">
        <f t="shared" si="6"/>
        <v/>
      </c>
      <c r="D106" s="18" t="str">
        <f t="shared" si="10"/>
        <v/>
      </c>
      <c r="E106" t="str">
        <f t="shared" si="11"/>
        <v/>
      </c>
      <c r="F106" s="23" t="str">
        <f ca="1">IF(A106="","",IF($B$8="Sí",interpolar_alamb(E106,OFFSET(Curvas_cupon_cero!$A$1,1,0,COUNT(Curvas_cupon_cero!$A:$A)-2,1),OFFSET(Curvas_cupon_cero!$A$1,1,MATCH($B$6,Curvas_cupon_cero!$1:$1,0)-1,COUNT(Curvas_cupon_cero!$A:$A)-2,1)),interpolar(E106,OFFSET(Curvas_cupon_cero!$A$1,1,0,COUNT(Curvas_cupon_cero!$A:$A)-2,1),OFFSET(Curvas_cupon_cero!$A$1,1,MATCH($B$6,Curvas_cupon_cero!$1:$1,0)-1,COUNT(Curvas_cupon_cero!$A:$A)-2,1))))</f>
        <v/>
      </c>
      <c r="G106" s="23" t="str">
        <f ca="1">IF(A106="","",IF($B$8="Sí",interpolar_alamb(E106,OFFSET(Curvas_cupon_cero!$A$1,1,0,COUNT(Curvas_cupon_cero!$A:$A)-2,1),OFFSET(Curvas_cupon_cero!$A$1,1,MATCH($B$7,Curvas_cupon_cero!$1:$1,0)-1,COUNT(Curvas_cupon_cero!$A:$A)-2,1)),interpolar(E106,OFFSET(Curvas_cupon_cero!$A$1,1,0,COUNT(Curvas_cupon_cero!$A:$A)-2,1),OFFSET(Curvas_cupon_cero!$A$1,1,MATCH($B$7,Curvas_cupon_cero!$1:$1,0)-1,COUNT(Curvas_cupon_cero!$A:$A)-2,1))))</f>
        <v/>
      </c>
      <c r="H106" s="19" t="str">
        <f t="shared" si="7"/>
        <v/>
      </c>
    </row>
    <row r="107" spans="1:8" x14ac:dyDescent="0.2">
      <c r="A107" s="12" t="str">
        <f t="shared" si="8"/>
        <v/>
      </c>
      <c r="B107" s="21" t="str">
        <f t="shared" si="9"/>
        <v/>
      </c>
      <c r="C107" s="17" t="str">
        <f t="shared" si="6"/>
        <v/>
      </c>
      <c r="D107" s="18" t="str">
        <f t="shared" si="10"/>
        <v/>
      </c>
      <c r="E107" t="str">
        <f t="shared" si="11"/>
        <v/>
      </c>
      <c r="F107" s="23" t="str">
        <f ca="1">IF(A107="","",IF($B$8="Sí",interpolar_alamb(E107,OFFSET(Curvas_cupon_cero!$A$1,1,0,COUNT(Curvas_cupon_cero!$A:$A)-2,1),OFFSET(Curvas_cupon_cero!$A$1,1,MATCH($B$6,Curvas_cupon_cero!$1:$1,0)-1,COUNT(Curvas_cupon_cero!$A:$A)-2,1)),interpolar(E107,OFFSET(Curvas_cupon_cero!$A$1,1,0,COUNT(Curvas_cupon_cero!$A:$A)-2,1),OFFSET(Curvas_cupon_cero!$A$1,1,MATCH($B$6,Curvas_cupon_cero!$1:$1,0)-1,COUNT(Curvas_cupon_cero!$A:$A)-2,1))))</f>
        <v/>
      </c>
      <c r="G107" s="23" t="str">
        <f ca="1">IF(A107="","",IF($B$8="Sí",interpolar_alamb(E107,OFFSET(Curvas_cupon_cero!$A$1,1,0,COUNT(Curvas_cupon_cero!$A:$A)-2,1),OFFSET(Curvas_cupon_cero!$A$1,1,MATCH($B$7,Curvas_cupon_cero!$1:$1,0)-1,COUNT(Curvas_cupon_cero!$A:$A)-2,1)),interpolar(E107,OFFSET(Curvas_cupon_cero!$A$1,1,0,COUNT(Curvas_cupon_cero!$A:$A)-2,1),OFFSET(Curvas_cupon_cero!$A$1,1,MATCH($B$7,Curvas_cupon_cero!$1:$1,0)-1,COUNT(Curvas_cupon_cero!$A:$A)-2,1))))</f>
        <v/>
      </c>
      <c r="H107" s="19" t="str">
        <f t="shared" si="7"/>
        <v/>
      </c>
    </row>
    <row r="108" spans="1:8" x14ac:dyDescent="0.2">
      <c r="A108" s="12" t="str">
        <f t="shared" si="8"/>
        <v/>
      </c>
      <c r="B108" s="21" t="str">
        <f t="shared" si="9"/>
        <v/>
      </c>
      <c r="C108" s="17" t="str">
        <f t="shared" si="6"/>
        <v/>
      </c>
      <c r="D108" s="18" t="str">
        <f t="shared" si="10"/>
        <v/>
      </c>
      <c r="E108" t="str">
        <f t="shared" si="11"/>
        <v/>
      </c>
      <c r="F108" s="23" t="str">
        <f ca="1">IF(A108="","",IF($B$8="Sí",interpolar_alamb(E108,OFFSET(Curvas_cupon_cero!$A$1,1,0,COUNT(Curvas_cupon_cero!$A:$A)-2,1),OFFSET(Curvas_cupon_cero!$A$1,1,MATCH($B$6,Curvas_cupon_cero!$1:$1,0)-1,COUNT(Curvas_cupon_cero!$A:$A)-2,1)),interpolar(E108,OFFSET(Curvas_cupon_cero!$A$1,1,0,COUNT(Curvas_cupon_cero!$A:$A)-2,1),OFFSET(Curvas_cupon_cero!$A$1,1,MATCH($B$6,Curvas_cupon_cero!$1:$1,0)-1,COUNT(Curvas_cupon_cero!$A:$A)-2,1))))</f>
        <v/>
      </c>
      <c r="G108" s="23" t="str">
        <f ca="1">IF(A108="","",IF($B$8="Sí",interpolar_alamb(E108,OFFSET(Curvas_cupon_cero!$A$1,1,0,COUNT(Curvas_cupon_cero!$A:$A)-2,1),OFFSET(Curvas_cupon_cero!$A$1,1,MATCH($B$7,Curvas_cupon_cero!$1:$1,0)-1,COUNT(Curvas_cupon_cero!$A:$A)-2,1)),interpolar(E108,OFFSET(Curvas_cupon_cero!$A$1,1,0,COUNT(Curvas_cupon_cero!$A:$A)-2,1),OFFSET(Curvas_cupon_cero!$A$1,1,MATCH($B$7,Curvas_cupon_cero!$1:$1,0)-1,COUNT(Curvas_cupon_cero!$A:$A)-2,1))))</f>
        <v/>
      </c>
      <c r="H108" s="19" t="str">
        <f t="shared" si="7"/>
        <v/>
      </c>
    </row>
    <row r="109" spans="1:8" x14ac:dyDescent="0.2">
      <c r="A109" s="12" t="str">
        <f t="shared" si="8"/>
        <v/>
      </c>
      <c r="B109" s="21" t="str">
        <f t="shared" si="9"/>
        <v/>
      </c>
      <c r="C109" s="17" t="str">
        <f t="shared" si="6"/>
        <v/>
      </c>
      <c r="D109" s="18" t="str">
        <f t="shared" si="10"/>
        <v/>
      </c>
      <c r="E109" t="str">
        <f t="shared" si="11"/>
        <v/>
      </c>
      <c r="F109" s="23" t="str">
        <f ca="1">IF(A109="","",IF($B$8="Sí",interpolar_alamb(E109,OFFSET(Curvas_cupon_cero!$A$1,1,0,COUNT(Curvas_cupon_cero!$A:$A)-2,1),OFFSET(Curvas_cupon_cero!$A$1,1,MATCH($B$6,Curvas_cupon_cero!$1:$1,0)-1,COUNT(Curvas_cupon_cero!$A:$A)-2,1)),interpolar(E109,OFFSET(Curvas_cupon_cero!$A$1,1,0,COUNT(Curvas_cupon_cero!$A:$A)-2,1),OFFSET(Curvas_cupon_cero!$A$1,1,MATCH($B$6,Curvas_cupon_cero!$1:$1,0)-1,COUNT(Curvas_cupon_cero!$A:$A)-2,1))))</f>
        <v/>
      </c>
      <c r="G109" s="23" t="str">
        <f ca="1">IF(A109="","",IF($B$8="Sí",interpolar_alamb(E109,OFFSET(Curvas_cupon_cero!$A$1,1,0,COUNT(Curvas_cupon_cero!$A:$A)-2,1),OFFSET(Curvas_cupon_cero!$A$1,1,MATCH($B$7,Curvas_cupon_cero!$1:$1,0)-1,COUNT(Curvas_cupon_cero!$A:$A)-2,1)),interpolar(E109,OFFSET(Curvas_cupon_cero!$A$1,1,0,COUNT(Curvas_cupon_cero!$A:$A)-2,1),OFFSET(Curvas_cupon_cero!$A$1,1,MATCH($B$7,Curvas_cupon_cero!$1:$1,0)-1,COUNT(Curvas_cupon_cero!$A:$A)-2,1))))</f>
        <v/>
      </c>
      <c r="H109" s="19" t="str">
        <f t="shared" si="7"/>
        <v/>
      </c>
    </row>
    <row r="110" spans="1:8" x14ac:dyDescent="0.2">
      <c r="A110" s="12" t="str">
        <f t="shared" si="8"/>
        <v/>
      </c>
      <c r="B110" s="21" t="str">
        <f t="shared" si="9"/>
        <v/>
      </c>
      <c r="C110" s="17" t="str">
        <f t="shared" si="6"/>
        <v/>
      </c>
      <c r="D110" s="18" t="str">
        <f t="shared" si="10"/>
        <v/>
      </c>
      <c r="E110" t="str">
        <f t="shared" si="11"/>
        <v/>
      </c>
      <c r="F110" s="23" t="str">
        <f ca="1">IF(A110="","",IF($B$8="Sí",interpolar_alamb(E110,OFFSET(Curvas_cupon_cero!$A$1,1,0,COUNT(Curvas_cupon_cero!$A:$A)-2,1),OFFSET(Curvas_cupon_cero!$A$1,1,MATCH($B$6,Curvas_cupon_cero!$1:$1,0)-1,COUNT(Curvas_cupon_cero!$A:$A)-2,1)),interpolar(E110,OFFSET(Curvas_cupon_cero!$A$1,1,0,COUNT(Curvas_cupon_cero!$A:$A)-2,1),OFFSET(Curvas_cupon_cero!$A$1,1,MATCH($B$6,Curvas_cupon_cero!$1:$1,0)-1,COUNT(Curvas_cupon_cero!$A:$A)-2,1))))</f>
        <v/>
      </c>
      <c r="G110" s="23" t="str">
        <f ca="1">IF(A110="","",IF($B$8="Sí",interpolar_alamb(E110,OFFSET(Curvas_cupon_cero!$A$1,1,0,COUNT(Curvas_cupon_cero!$A:$A)-2,1),OFFSET(Curvas_cupon_cero!$A$1,1,MATCH($B$7,Curvas_cupon_cero!$1:$1,0)-1,COUNT(Curvas_cupon_cero!$A:$A)-2,1)),interpolar(E110,OFFSET(Curvas_cupon_cero!$A$1,1,0,COUNT(Curvas_cupon_cero!$A:$A)-2,1),OFFSET(Curvas_cupon_cero!$A$1,1,MATCH($B$7,Curvas_cupon_cero!$1:$1,0)-1,COUNT(Curvas_cupon_cero!$A:$A)-2,1))))</f>
        <v/>
      </c>
      <c r="H110" s="19" t="str">
        <f t="shared" si="7"/>
        <v/>
      </c>
    </row>
    <row r="111" spans="1:8" x14ac:dyDescent="0.2">
      <c r="A111" s="12" t="str">
        <f t="shared" si="8"/>
        <v/>
      </c>
      <c r="B111" s="21" t="str">
        <f t="shared" si="9"/>
        <v/>
      </c>
      <c r="C111" s="17" t="str">
        <f t="shared" si="6"/>
        <v/>
      </c>
      <c r="D111" s="18" t="str">
        <f t="shared" si="10"/>
        <v/>
      </c>
      <c r="E111" t="str">
        <f t="shared" si="11"/>
        <v/>
      </c>
      <c r="F111" s="23" t="str">
        <f ca="1">IF(A111="","",IF($B$8="Sí",interpolar_alamb(E111,OFFSET(Curvas_cupon_cero!$A$1,1,0,COUNT(Curvas_cupon_cero!$A:$A)-2,1),OFFSET(Curvas_cupon_cero!$A$1,1,MATCH($B$6,Curvas_cupon_cero!$1:$1,0)-1,COUNT(Curvas_cupon_cero!$A:$A)-2,1)),interpolar(E111,OFFSET(Curvas_cupon_cero!$A$1,1,0,COUNT(Curvas_cupon_cero!$A:$A)-2,1),OFFSET(Curvas_cupon_cero!$A$1,1,MATCH($B$6,Curvas_cupon_cero!$1:$1,0)-1,COUNT(Curvas_cupon_cero!$A:$A)-2,1))))</f>
        <v/>
      </c>
      <c r="G111" s="23" t="str">
        <f ca="1">IF(A111="","",IF($B$8="Sí",interpolar_alamb(E111,OFFSET(Curvas_cupon_cero!$A$1,1,0,COUNT(Curvas_cupon_cero!$A:$A)-2,1),OFFSET(Curvas_cupon_cero!$A$1,1,MATCH($B$7,Curvas_cupon_cero!$1:$1,0)-1,COUNT(Curvas_cupon_cero!$A:$A)-2,1)),interpolar(E111,OFFSET(Curvas_cupon_cero!$A$1,1,0,COUNT(Curvas_cupon_cero!$A:$A)-2,1),OFFSET(Curvas_cupon_cero!$A$1,1,MATCH($B$7,Curvas_cupon_cero!$1:$1,0)-1,COUNT(Curvas_cupon_cero!$A:$A)-2,1))))</f>
        <v/>
      </c>
      <c r="H111" s="19" t="str">
        <f t="shared" si="7"/>
        <v/>
      </c>
    </row>
    <row r="112" spans="1:8" x14ac:dyDescent="0.2">
      <c r="A112" s="12" t="str">
        <f t="shared" si="8"/>
        <v/>
      </c>
      <c r="B112" s="21" t="str">
        <f t="shared" si="9"/>
        <v/>
      </c>
      <c r="C112" s="17" t="str">
        <f t="shared" si="6"/>
        <v/>
      </c>
      <c r="D112" s="18" t="str">
        <f t="shared" si="10"/>
        <v/>
      </c>
      <c r="E112" t="str">
        <f t="shared" si="11"/>
        <v/>
      </c>
      <c r="F112" s="23" t="str">
        <f ca="1">IF(A112="","",IF($B$8="Sí",interpolar_alamb(E112,OFFSET(Curvas_cupon_cero!$A$1,1,0,COUNT(Curvas_cupon_cero!$A:$A)-2,1),OFFSET(Curvas_cupon_cero!$A$1,1,MATCH($B$6,Curvas_cupon_cero!$1:$1,0)-1,COUNT(Curvas_cupon_cero!$A:$A)-2,1)),interpolar(E112,OFFSET(Curvas_cupon_cero!$A$1,1,0,COUNT(Curvas_cupon_cero!$A:$A)-2,1),OFFSET(Curvas_cupon_cero!$A$1,1,MATCH($B$6,Curvas_cupon_cero!$1:$1,0)-1,COUNT(Curvas_cupon_cero!$A:$A)-2,1))))</f>
        <v/>
      </c>
      <c r="G112" s="23" t="str">
        <f ca="1">IF(A112="","",IF($B$8="Sí",interpolar_alamb(E112,OFFSET(Curvas_cupon_cero!$A$1,1,0,COUNT(Curvas_cupon_cero!$A:$A)-2,1),OFFSET(Curvas_cupon_cero!$A$1,1,MATCH($B$7,Curvas_cupon_cero!$1:$1,0)-1,COUNT(Curvas_cupon_cero!$A:$A)-2,1)),interpolar(E112,OFFSET(Curvas_cupon_cero!$A$1,1,0,COUNT(Curvas_cupon_cero!$A:$A)-2,1),OFFSET(Curvas_cupon_cero!$A$1,1,MATCH($B$7,Curvas_cupon_cero!$1:$1,0)-1,COUNT(Curvas_cupon_cero!$A:$A)-2,1))))</f>
        <v/>
      </c>
      <c r="H112" s="19" t="str">
        <f t="shared" si="7"/>
        <v/>
      </c>
    </row>
    <row r="113" spans="1:8" x14ac:dyDescent="0.2">
      <c r="A113" s="12" t="str">
        <f t="shared" si="8"/>
        <v/>
      </c>
      <c r="B113" s="21" t="str">
        <f t="shared" si="9"/>
        <v/>
      </c>
      <c r="C113" s="17" t="str">
        <f t="shared" si="6"/>
        <v/>
      </c>
      <c r="D113" s="18" t="str">
        <f t="shared" si="10"/>
        <v/>
      </c>
      <c r="E113" t="str">
        <f t="shared" si="11"/>
        <v/>
      </c>
      <c r="F113" s="23" t="str">
        <f ca="1">IF(A113="","",IF($B$8="Sí",interpolar_alamb(E113,OFFSET(Curvas_cupon_cero!$A$1,1,0,COUNT(Curvas_cupon_cero!$A:$A)-2,1),OFFSET(Curvas_cupon_cero!$A$1,1,MATCH($B$6,Curvas_cupon_cero!$1:$1,0)-1,COUNT(Curvas_cupon_cero!$A:$A)-2,1)),interpolar(E113,OFFSET(Curvas_cupon_cero!$A$1,1,0,COUNT(Curvas_cupon_cero!$A:$A)-2,1),OFFSET(Curvas_cupon_cero!$A$1,1,MATCH($B$6,Curvas_cupon_cero!$1:$1,0)-1,COUNT(Curvas_cupon_cero!$A:$A)-2,1))))</f>
        <v/>
      </c>
      <c r="G113" s="23" t="str">
        <f ca="1">IF(A113="","",IF($B$8="Sí",interpolar_alamb(E113,OFFSET(Curvas_cupon_cero!$A$1,1,0,COUNT(Curvas_cupon_cero!$A:$A)-2,1),OFFSET(Curvas_cupon_cero!$A$1,1,MATCH($B$7,Curvas_cupon_cero!$1:$1,0)-1,COUNT(Curvas_cupon_cero!$A:$A)-2,1)),interpolar(E113,OFFSET(Curvas_cupon_cero!$A$1,1,0,COUNT(Curvas_cupon_cero!$A:$A)-2,1),OFFSET(Curvas_cupon_cero!$A$1,1,MATCH($B$7,Curvas_cupon_cero!$1:$1,0)-1,COUNT(Curvas_cupon_cero!$A:$A)-2,1))))</f>
        <v/>
      </c>
      <c r="H113" s="19" t="str">
        <f t="shared" si="7"/>
        <v/>
      </c>
    </row>
    <row r="114" spans="1:8" x14ac:dyDescent="0.2">
      <c r="A114" s="12" t="str">
        <f t="shared" si="8"/>
        <v/>
      </c>
      <c r="B114" s="21" t="str">
        <f t="shared" si="9"/>
        <v/>
      </c>
      <c r="C114" s="17" t="str">
        <f t="shared" si="6"/>
        <v/>
      </c>
      <c r="D114" s="18" t="str">
        <f t="shared" si="10"/>
        <v/>
      </c>
      <c r="E114" t="str">
        <f t="shared" si="11"/>
        <v/>
      </c>
      <c r="F114" s="23" t="str">
        <f ca="1">IF(A114="","",IF($B$8="Sí",interpolar_alamb(E114,OFFSET(Curvas_cupon_cero!$A$1,1,0,COUNT(Curvas_cupon_cero!$A:$A)-2,1),OFFSET(Curvas_cupon_cero!$A$1,1,MATCH($B$6,Curvas_cupon_cero!$1:$1,0)-1,COUNT(Curvas_cupon_cero!$A:$A)-2,1)),interpolar(E114,OFFSET(Curvas_cupon_cero!$A$1,1,0,COUNT(Curvas_cupon_cero!$A:$A)-2,1),OFFSET(Curvas_cupon_cero!$A$1,1,MATCH($B$6,Curvas_cupon_cero!$1:$1,0)-1,COUNT(Curvas_cupon_cero!$A:$A)-2,1))))</f>
        <v/>
      </c>
      <c r="G114" s="23" t="str">
        <f ca="1">IF(A114="","",IF($B$8="Sí",interpolar_alamb(E114,OFFSET(Curvas_cupon_cero!$A$1,1,0,COUNT(Curvas_cupon_cero!$A:$A)-2,1),OFFSET(Curvas_cupon_cero!$A$1,1,MATCH($B$7,Curvas_cupon_cero!$1:$1,0)-1,COUNT(Curvas_cupon_cero!$A:$A)-2,1)),interpolar(E114,OFFSET(Curvas_cupon_cero!$A$1,1,0,COUNT(Curvas_cupon_cero!$A:$A)-2,1),OFFSET(Curvas_cupon_cero!$A$1,1,MATCH($B$7,Curvas_cupon_cero!$1:$1,0)-1,COUNT(Curvas_cupon_cero!$A:$A)-2,1))))</f>
        <v/>
      </c>
      <c r="H114" s="19" t="str">
        <f t="shared" si="7"/>
        <v/>
      </c>
    </row>
    <row r="115" spans="1:8" x14ac:dyDescent="0.2">
      <c r="A115" s="12" t="str">
        <f t="shared" si="8"/>
        <v/>
      </c>
      <c r="B115" s="21" t="str">
        <f t="shared" si="9"/>
        <v/>
      </c>
      <c r="C115" s="17" t="str">
        <f t="shared" si="6"/>
        <v/>
      </c>
      <c r="D115" s="18" t="str">
        <f t="shared" si="10"/>
        <v/>
      </c>
      <c r="E115" t="str">
        <f t="shared" si="11"/>
        <v/>
      </c>
      <c r="F115" s="23" t="str">
        <f ca="1">IF(A115="","",IF($B$8="Sí",interpolar_alamb(E115,OFFSET(Curvas_cupon_cero!$A$1,1,0,COUNT(Curvas_cupon_cero!$A:$A)-2,1),OFFSET(Curvas_cupon_cero!$A$1,1,MATCH($B$6,Curvas_cupon_cero!$1:$1,0)-1,COUNT(Curvas_cupon_cero!$A:$A)-2,1)),interpolar(E115,OFFSET(Curvas_cupon_cero!$A$1,1,0,COUNT(Curvas_cupon_cero!$A:$A)-2,1),OFFSET(Curvas_cupon_cero!$A$1,1,MATCH($B$6,Curvas_cupon_cero!$1:$1,0)-1,COUNT(Curvas_cupon_cero!$A:$A)-2,1))))</f>
        <v/>
      </c>
      <c r="G115" s="23" t="str">
        <f ca="1">IF(A115="","",IF($B$8="Sí",interpolar_alamb(E115,OFFSET(Curvas_cupon_cero!$A$1,1,0,COUNT(Curvas_cupon_cero!$A:$A)-2,1),OFFSET(Curvas_cupon_cero!$A$1,1,MATCH($B$7,Curvas_cupon_cero!$1:$1,0)-1,COUNT(Curvas_cupon_cero!$A:$A)-2,1)),interpolar(E115,OFFSET(Curvas_cupon_cero!$A$1,1,0,COUNT(Curvas_cupon_cero!$A:$A)-2,1),OFFSET(Curvas_cupon_cero!$A$1,1,MATCH($B$7,Curvas_cupon_cero!$1:$1,0)-1,COUNT(Curvas_cupon_cero!$A:$A)-2,1))))</f>
        <v/>
      </c>
      <c r="H115" s="19" t="str">
        <f t="shared" si="7"/>
        <v/>
      </c>
    </row>
    <row r="116" spans="1:8" x14ac:dyDescent="0.2">
      <c r="A116" s="12" t="str">
        <f t="shared" si="8"/>
        <v/>
      </c>
      <c r="B116" s="21" t="str">
        <f t="shared" si="9"/>
        <v/>
      </c>
      <c r="C116" s="17" t="str">
        <f t="shared" si="6"/>
        <v/>
      </c>
      <c r="D116" s="18" t="str">
        <f t="shared" si="10"/>
        <v/>
      </c>
      <c r="E116" t="str">
        <f t="shared" si="11"/>
        <v/>
      </c>
      <c r="F116" s="23" t="str">
        <f ca="1">IF(A116="","",IF($B$8="Sí",interpolar_alamb(E116,OFFSET(Curvas_cupon_cero!$A$1,1,0,COUNT(Curvas_cupon_cero!$A:$A)-2,1),OFFSET(Curvas_cupon_cero!$A$1,1,MATCH($B$6,Curvas_cupon_cero!$1:$1,0)-1,COUNT(Curvas_cupon_cero!$A:$A)-2,1)),interpolar(E116,OFFSET(Curvas_cupon_cero!$A$1,1,0,COUNT(Curvas_cupon_cero!$A:$A)-2,1),OFFSET(Curvas_cupon_cero!$A$1,1,MATCH($B$6,Curvas_cupon_cero!$1:$1,0)-1,COUNT(Curvas_cupon_cero!$A:$A)-2,1))))</f>
        <v/>
      </c>
      <c r="G116" s="23" t="str">
        <f ca="1">IF(A116="","",IF($B$8="Sí",interpolar_alamb(E116,OFFSET(Curvas_cupon_cero!$A$1,1,0,COUNT(Curvas_cupon_cero!$A:$A)-2,1),OFFSET(Curvas_cupon_cero!$A$1,1,MATCH($B$7,Curvas_cupon_cero!$1:$1,0)-1,COUNT(Curvas_cupon_cero!$A:$A)-2,1)),interpolar(E116,OFFSET(Curvas_cupon_cero!$A$1,1,0,COUNT(Curvas_cupon_cero!$A:$A)-2,1),OFFSET(Curvas_cupon_cero!$A$1,1,MATCH($B$7,Curvas_cupon_cero!$1:$1,0)-1,COUNT(Curvas_cupon_cero!$A:$A)-2,1))))</f>
        <v/>
      </c>
      <c r="H116" s="19" t="str">
        <f t="shared" si="7"/>
        <v/>
      </c>
    </row>
    <row r="117" spans="1:8" x14ac:dyDescent="0.2">
      <c r="A117" s="12" t="str">
        <f t="shared" si="8"/>
        <v/>
      </c>
      <c r="B117" s="21" t="str">
        <f t="shared" si="9"/>
        <v/>
      </c>
      <c r="C117" s="17" t="str">
        <f t="shared" si="6"/>
        <v/>
      </c>
      <c r="D117" s="18" t="str">
        <f t="shared" si="10"/>
        <v/>
      </c>
      <c r="E117" t="str">
        <f t="shared" si="11"/>
        <v/>
      </c>
      <c r="F117" s="23" t="str">
        <f ca="1">IF(A117="","",IF($B$8="Sí",interpolar_alamb(E117,OFFSET(Curvas_cupon_cero!$A$1,1,0,COUNT(Curvas_cupon_cero!$A:$A)-2,1),OFFSET(Curvas_cupon_cero!$A$1,1,MATCH($B$6,Curvas_cupon_cero!$1:$1,0)-1,COUNT(Curvas_cupon_cero!$A:$A)-2,1)),interpolar(E117,OFFSET(Curvas_cupon_cero!$A$1,1,0,COUNT(Curvas_cupon_cero!$A:$A)-2,1),OFFSET(Curvas_cupon_cero!$A$1,1,MATCH($B$6,Curvas_cupon_cero!$1:$1,0)-1,COUNT(Curvas_cupon_cero!$A:$A)-2,1))))</f>
        <v/>
      </c>
      <c r="G117" s="23" t="str">
        <f ca="1">IF(A117="","",IF($B$8="Sí",interpolar_alamb(E117,OFFSET(Curvas_cupon_cero!$A$1,1,0,COUNT(Curvas_cupon_cero!$A:$A)-2,1),OFFSET(Curvas_cupon_cero!$A$1,1,MATCH($B$7,Curvas_cupon_cero!$1:$1,0)-1,COUNT(Curvas_cupon_cero!$A:$A)-2,1)),interpolar(E117,OFFSET(Curvas_cupon_cero!$A$1,1,0,COUNT(Curvas_cupon_cero!$A:$A)-2,1),OFFSET(Curvas_cupon_cero!$A$1,1,MATCH($B$7,Curvas_cupon_cero!$1:$1,0)-1,COUNT(Curvas_cupon_cero!$A:$A)-2,1))))</f>
        <v/>
      </c>
      <c r="H117" s="19" t="str">
        <f t="shared" si="7"/>
        <v/>
      </c>
    </row>
    <row r="118" spans="1:8" x14ac:dyDescent="0.2">
      <c r="A118" s="12" t="str">
        <f t="shared" si="8"/>
        <v/>
      </c>
      <c r="B118" s="21" t="str">
        <f t="shared" si="9"/>
        <v/>
      </c>
      <c r="C118" s="17" t="str">
        <f t="shared" si="6"/>
        <v/>
      </c>
      <c r="D118" s="18" t="str">
        <f t="shared" si="10"/>
        <v/>
      </c>
      <c r="E118" t="str">
        <f t="shared" si="11"/>
        <v/>
      </c>
      <c r="F118" s="23" t="str">
        <f ca="1">IF(A118="","",IF($B$8="Sí",interpolar_alamb(E118,OFFSET(Curvas_cupon_cero!$A$1,1,0,COUNT(Curvas_cupon_cero!$A:$A)-2,1),OFFSET(Curvas_cupon_cero!$A$1,1,MATCH($B$6,Curvas_cupon_cero!$1:$1,0)-1,COUNT(Curvas_cupon_cero!$A:$A)-2,1)),interpolar(E118,OFFSET(Curvas_cupon_cero!$A$1,1,0,COUNT(Curvas_cupon_cero!$A:$A)-2,1),OFFSET(Curvas_cupon_cero!$A$1,1,MATCH($B$6,Curvas_cupon_cero!$1:$1,0)-1,COUNT(Curvas_cupon_cero!$A:$A)-2,1))))</f>
        <v/>
      </c>
      <c r="G118" s="23" t="str">
        <f ca="1">IF(A118="","",IF($B$8="Sí",interpolar_alamb(E118,OFFSET(Curvas_cupon_cero!$A$1,1,0,COUNT(Curvas_cupon_cero!$A:$A)-2,1),OFFSET(Curvas_cupon_cero!$A$1,1,MATCH($B$7,Curvas_cupon_cero!$1:$1,0)-1,COUNT(Curvas_cupon_cero!$A:$A)-2,1)),interpolar(E118,OFFSET(Curvas_cupon_cero!$A$1,1,0,COUNT(Curvas_cupon_cero!$A:$A)-2,1),OFFSET(Curvas_cupon_cero!$A$1,1,MATCH($B$7,Curvas_cupon_cero!$1:$1,0)-1,COUNT(Curvas_cupon_cero!$A:$A)-2,1))))</f>
        <v/>
      </c>
      <c r="H118" s="19" t="str">
        <f t="shared" si="7"/>
        <v/>
      </c>
    </row>
    <row r="119" spans="1:8" x14ac:dyDescent="0.2">
      <c r="A119" s="12" t="str">
        <f t="shared" si="8"/>
        <v/>
      </c>
      <c r="B119" s="21" t="str">
        <f t="shared" si="9"/>
        <v/>
      </c>
      <c r="C119" s="17" t="str">
        <f t="shared" si="6"/>
        <v/>
      </c>
      <c r="D119" s="18" t="str">
        <f t="shared" si="10"/>
        <v/>
      </c>
      <c r="E119" t="str">
        <f t="shared" si="11"/>
        <v/>
      </c>
      <c r="F119" s="23" t="str">
        <f ca="1">IF(A119="","",IF($B$8="Sí",interpolar_alamb(E119,OFFSET(Curvas_cupon_cero!$A$1,1,0,COUNT(Curvas_cupon_cero!$A:$A)-2,1),OFFSET(Curvas_cupon_cero!$A$1,1,MATCH($B$6,Curvas_cupon_cero!$1:$1,0)-1,COUNT(Curvas_cupon_cero!$A:$A)-2,1)),interpolar(E119,OFFSET(Curvas_cupon_cero!$A$1,1,0,COUNT(Curvas_cupon_cero!$A:$A)-2,1),OFFSET(Curvas_cupon_cero!$A$1,1,MATCH($B$6,Curvas_cupon_cero!$1:$1,0)-1,COUNT(Curvas_cupon_cero!$A:$A)-2,1))))</f>
        <v/>
      </c>
      <c r="G119" s="23" t="str">
        <f ca="1">IF(A119="","",IF($B$8="Sí",interpolar_alamb(E119,OFFSET(Curvas_cupon_cero!$A$1,1,0,COUNT(Curvas_cupon_cero!$A:$A)-2,1),OFFSET(Curvas_cupon_cero!$A$1,1,MATCH($B$7,Curvas_cupon_cero!$1:$1,0)-1,COUNT(Curvas_cupon_cero!$A:$A)-2,1)),interpolar(E119,OFFSET(Curvas_cupon_cero!$A$1,1,0,COUNT(Curvas_cupon_cero!$A:$A)-2,1),OFFSET(Curvas_cupon_cero!$A$1,1,MATCH($B$7,Curvas_cupon_cero!$1:$1,0)-1,COUNT(Curvas_cupon_cero!$A:$A)-2,1))))</f>
        <v/>
      </c>
      <c r="H119" s="19" t="str">
        <f t="shared" si="7"/>
        <v/>
      </c>
    </row>
    <row r="120" spans="1:8" x14ac:dyDescent="0.2">
      <c r="A120" s="12" t="str">
        <f t="shared" si="8"/>
        <v/>
      </c>
      <c r="B120" s="21" t="str">
        <f t="shared" si="9"/>
        <v/>
      </c>
      <c r="C120" s="17" t="str">
        <f t="shared" si="6"/>
        <v/>
      </c>
      <c r="D120" s="18" t="str">
        <f t="shared" si="10"/>
        <v/>
      </c>
      <c r="E120" t="str">
        <f t="shared" si="11"/>
        <v/>
      </c>
      <c r="F120" s="23" t="str">
        <f ca="1">IF(A120="","",IF($B$8="Sí",interpolar_alamb(E120,OFFSET(Curvas_cupon_cero!$A$1,1,0,COUNT(Curvas_cupon_cero!$A:$A)-2,1),OFFSET(Curvas_cupon_cero!$A$1,1,MATCH($B$6,Curvas_cupon_cero!$1:$1,0)-1,COUNT(Curvas_cupon_cero!$A:$A)-2,1)),interpolar(E120,OFFSET(Curvas_cupon_cero!$A$1,1,0,COUNT(Curvas_cupon_cero!$A:$A)-2,1),OFFSET(Curvas_cupon_cero!$A$1,1,MATCH($B$6,Curvas_cupon_cero!$1:$1,0)-1,COUNT(Curvas_cupon_cero!$A:$A)-2,1))))</f>
        <v/>
      </c>
      <c r="G120" s="23" t="str">
        <f ca="1">IF(A120="","",IF($B$8="Sí",interpolar_alamb(E120,OFFSET(Curvas_cupon_cero!$A$1,1,0,COUNT(Curvas_cupon_cero!$A:$A)-2,1),OFFSET(Curvas_cupon_cero!$A$1,1,MATCH($B$7,Curvas_cupon_cero!$1:$1,0)-1,COUNT(Curvas_cupon_cero!$A:$A)-2,1)),interpolar(E120,OFFSET(Curvas_cupon_cero!$A$1,1,0,COUNT(Curvas_cupon_cero!$A:$A)-2,1),OFFSET(Curvas_cupon_cero!$A$1,1,MATCH($B$7,Curvas_cupon_cero!$1:$1,0)-1,COUNT(Curvas_cupon_cero!$A:$A)-2,1))))</f>
        <v/>
      </c>
      <c r="H120" s="19" t="str">
        <f t="shared" si="7"/>
        <v/>
      </c>
    </row>
    <row r="121" spans="1:8" x14ac:dyDescent="0.2">
      <c r="A121" s="12" t="str">
        <f t="shared" si="8"/>
        <v/>
      </c>
      <c r="B121" s="21" t="str">
        <f t="shared" si="9"/>
        <v/>
      </c>
      <c r="C121" s="17" t="str">
        <f t="shared" si="6"/>
        <v/>
      </c>
      <c r="D121" s="18" t="str">
        <f t="shared" si="10"/>
        <v/>
      </c>
      <c r="E121" t="str">
        <f t="shared" si="11"/>
        <v/>
      </c>
      <c r="F121" s="23" t="str">
        <f ca="1">IF(A121="","",IF($B$8="Sí",interpolar_alamb(E121,OFFSET(Curvas_cupon_cero!$A$1,1,0,COUNT(Curvas_cupon_cero!$A:$A)-2,1),OFFSET(Curvas_cupon_cero!$A$1,1,MATCH($B$6,Curvas_cupon_cero!$1:$1,0)-1,COUNT(Curvas_cupon_cero!$A:$A)-2,1)),interpolar(E121,OFFSET(Curvas_cupon_cero!$A$1,1,0,COUNT(Curvas_cupon_cero!$A:$A)-2,1),OFFSET(Curvas_cupon_cero!$A$1,1,MATCH($B$6,Curvas_cupon_cero!$1:$1,0)-1,COUNT(Curvas_cupon_cero!$A:$A)-2,1))))</f>
        <v/>
      </c>
      <c r="G121" s="23" t="str">
        <f ca="1">IF(A121="","",IF($B$8="Sí",interpolar_alamb(E121,OFFSET(Curvas_cupon_cero!$A$1,1,0,COUNT(Curvas_cupon_cero!$A:$A)-2,1),OFFSET(Curvas_cupon_cero!$A$1,1,MATCH($B$7,Curvas_cupon_cero!$1:$1,0)-1,COUNT(Curvas_cupon_cero!$A:$A)-2,1)),interpolar(E121,OFFSET(Curvas_cupon_cero!$A$1,1,0,COUNT(Curvas_cupon_cero!$A:$A)-2,1),OFFSET(Curvas_cupon_cero!$A$1,1,MATCH($B$7,Curvas_cupon_cero!$1:$1,0)-1,COUNT(Curvas_cupon_cero!$A:$A)-2,1))))</f>
        <v/>
      </c>
      <c r="H121" s="19" t="str">
        <f t="shared" si="7"/>
        <v/>
      </c>
    </row>
    <row r="122" spans="1:8" x14ac:dyDescent="0.2">
      <c r="A122" s="12" t="str">
        <f t="shared" si="8"/>
        <v/>
      </c>
      <c r="B122" s="21" t="str">
        <f t="shared" si="9"/>
        <v/>
      </c>
      <c r="C122" s="17" t="str">
        <f t="shared" si="6"/>
        <v/>
      </c>
      <c r="D122" s="18" t="str">
        <f t="shared" si="10"/>
        <v/>
      </c>
      <c r="E122" t="str">
        <f t="shared" si="11"/>
        <v/>
      </c>
      <c r="F122" s="23" t="str">
        <f ca="1">IF(A122="","",IF($B$8="Sí",interpolar_alamb(E122,OFFSET(Curvas_cupon_cero!$A$1,1,0,COUNT(Curvas_cupon_cero!$A:$A)-2,1),OFFSET(Curvas_cupon_cero!$A$1,1,MATCH($B$6,Curvas_cupon_cero!$1:$1,0)-1,COUNT(Curvas_cupon_cero!$A:$A)-2,1)),interpolar(E122,OFFSET(Curvas_cupon_cero!$A$1,1,0,COUNT(Curvas_cupon_cero!$A:$A)-2,1),OFFSET(Curvas_cupon_cero!$A$1,1,MATCH($B$6,Curvas_cupon_cero!$1:$1,0)-1,COUNT(Curvas_cupon_cero!$A:$A)-2,1))))</f>
        <v/>
      </c>
      <c r="G122" s="23" t="str">
        <f ca="1">IF(A122="","",IF($B$8="Sí",interpolar_alamb(E122,OFFSET(Curvas_cupon_cero!$A$1,1,0,COUNT(Curvas_cupon_cero!$A:$A)-2,1),OFFSET(Curvas_cupon_cero!$A$1,1,MATCH($B$7,Curvas_cupon_cero!$1:$1,0)-1,COUNT(Curvas_cupon_cero!$A:$A)-2,1)),interpolar(E122,OFFSET(Curvas_cupon_cero!$A$1,1,0,COUNT(Curvas_cupon_cero!$A:$A)-2,1),OFFSET(Curvas_cupon_cero!$A$1,1,MATCH($B$7,Curvas_cupon_cero!$1:$1,0)-1,COUNT(Curvas_cupon_cero!$A:$A)-2,1))))</f>
        <v/>
      </c>
      <c r="H122" s="19" t="str">
        <f t="shared" si="7"/>
        <v/>
      </c>
    </row>
    <row r="123" spans="1:8" x14ac:dyDescent="0.2">
      <c r="A123" s="12" t="str">
        <f t="shared" si="8"/>
        <v/>
      </c>
      <c r="B123" s="21" t="str">
        <f t="shared" si="9"/>
        <v/>
      </c>
      <c r="C123" s="17" t="str">
        <f t="shared" si="6"/>
        <v/>
      </c>
      <c r="D123" s="18" t="str">
        <f t="shared" si="10"/>
        <v/>
      </c>
      <c r="E123" t="str">
        <f t="shared" si="11"/>
        <v/>
      </c>
      <c r="F123" s="23" t="str">
        <f ca="1">IF(A123="","",IF($B$8="Sí",interpolar_alamb(E123,OFFSET(Curvas_cupon_cero!$A$1,1,0,COUNT(Curvas_cupon_cero!$A:$A)-2,1),OFFSET(Curvas_cupon_cero!$A$1,1,MATCH($B$6,Curvas_cupon_cero!$1:$1,0)-1,COUNT(Curvas_cupon_cero!$A:$A)-2,1)),interpolar(E123,OFFSET(Curvas_cupon_cero!$A$1,1,0,COUNT(Curvas_cupon_cero!$A:$A)-2,1),OFFSET(Curvas_cupon_cero!$A$1,1,MATCH($B$6,Curvas_cupon_cero!$1:$1,0)-1,COUNT(Curvas_cupon_cero!$A:$A)-2,1))))</f>
        <v/>
      </c>
      <c r="G123" s="23" t="str">
        <f ca="1">IF(A123="","",IF($B$8="Sí",interpolar_alamb(E123,OFFSET(Curvas_cupon_cero!$A$1,1,0,COUNT(Curvas_cupon_cero!$A:$A)-2,1),OFFSET(Curvas_cupon_cero!$A$1,1,MATCH($B$7,Curvas_cupon_cero!$1:$1,0)-1,COUNT(Curvas_cupon_cero!$A:$A)-2,1)),interpolar(E123,OFFSET(Curvas_cupon_cero!$A$1,1,0,COUNT(Curvas_cupon_cero!$A:$A)-2,1),OFFSET(Curvas_cupon_cero!$A$1,1,MATCH($B$7,Curvas_cupon_cero!$1:$1,0)-1,COUNT(Curvas_cupon_cero!$A:$A)-2,1))))</f>
        <v/>
      </c>
      <c r="H123" s="19" t="str">
        <f t="shared" si="7"/>
        <v/>
      </c>
    </row>
    <row r="124" spans="1:8" x14ac:dyDescent="0.2">
      <c r="A124" s="12" t="str">
        <f t="shared" si="8"/>
        <v/>
      </c>
      <c r="B124" s="21" t="str">
        <f t="shared" si="9"/>
        <v/>
      </c>
      <c r="C124" s="17" t="str">
        <f t="shared" si="6"/>
        <v/>
      </c>
      <c r="D124" s="18" t="str">
        <f t="shared" si="10"/>
        <v/>
      </c>
      <c r="E124" t="str">
        <f t="shared" si="11"/>
        <v/>
      </c>
      <c r="F124" s="23" t="str">
        <f ca="1">IF(A124="","",IF($B$8="Sí",interpolar_alamb(E124,OFFSET(Curvas_cupon_cero!$A$1,1,0,COUNT(Curvas_cupon_cero!$A:$A)-2,1),OFFSET(Curvas_cupon_cero!$A$1,1,MATCH($B$6,Curvas_cupon_cero!$1:$1,0)-1,COUNT(Curvas_cupon_cero!$A:$A)-2,1)),interpolar(E124,OFFSET(Curvas_cupon_cero!$A$1,1,0,COUNT(Curvas_cupon_cero!$A:$A)-2,1),OFFSET(Curvas_cupon_cero!$A$1,1,MATCH($B$6,Curvas_cupon_cero!$1:$1,0)-1,COUNT(Curvas_cupon_cero!$A:$A)-2,1))))</f>
        <v/>
      </c>
      <c r="G124" s="23" t="str">
        <f ca="1">IF(A124="","",IF($B$8="Sí",interpolar_alamb(E124,OFFSET(Curvas_cupon_cero!$A$1,1,0,COUNT(Curvas_cupon_cero!$A:$A)-2,1),OFFSET(Curvas_cupon_cero!$A$1,1,MATCH($B$7,Curvas_cupon_cero!$1:$1,0)-1,COUNT(Curvas_cupon_cero!$A:$A)-2,1)),interpolar(E124,OFFSET(Curvas_cupon_cero!$A$1,1,0,COUNT(Curvas_cupon_cero!$A:$A)-2,1),OFFSET(Curvas_cupon_cero!$A$1,1,MATCH($B$7,Curvas_cupon_cero!$1:$1,0)-1,COUNT(Curvas_cupon_cero!$A:$A)-2,1))))</f>
        <v/>
      </c>
      <c r="H124" s="19" t="str">
        <f t="shared" si="7"/>
        <v/>
      </c>
    </row>
    <row r="125" spans="1:8" x14ac:dyDescent="0.2">
      <c r="A125" s="12" t="str">
        <f t="shared" si="8"/>
        <v/>
      </c>
      <c r="B125" s="21" t="str">
        <f t="shared" si="9"/>
        <v/>
      </c>
      <c r="C125" s="17" t="str">
        <f t="shared" si="6"/>
        <v/>
      </c>
      <c r="D125" s="18" t="str">
        <f t="shared" si="10"/>
        <v/>
      </c>
      <c r="E125" t="str">
        <f t="shared" si="11"/>
        <v/>
      </c>
      <c r="F125" s="23" t="str">
        <f ca="1">IF(A125="","",IF($B$8="Sí",interpolar_alamb(E125,OFFSET(Curvas_cupon_cero!$A$1,1,0,COUNT(Curvas_cupon_cero!$A:$A)-2,1),OFFSET(Curvas_cupon_cero!$A$1,1,MATCH($B$6,Curvas_cupon_cero!$1:$1,0)-1,COUNT(Curvas_cupon_cero!$A:$A)-2,1)),interpolar(E125,OFFSET(Curvas_cupon_cero!$A$1,1,0,COUNT(Curvas_cupon_cero!$A:$A)-2,1),OFFSET(Curvas_cupon_cero!$A$1,1,MATCH($B$6,Curvas_cupon_cero!$1:$1,0)-1,COUNT(Curvas_cupon_cero!$A:$A)-2,1))))</f>
        <v/>
      </c>
      <c r="G125" s="23" t="str">
        <f ca="1">IF(A125="","",IF($B$8="Sí",interpolar_alamb(E125,OFFSET(Curvas_cupon_cero!$A$1,1,0,COUNT(Curvas_cupon_cero!$A:$A)-2,1),OFFSET(Curvas_cupon_cero!$A$1,1,MATCH($B$7,Curvas_cupon_cero!$1:$1,0)-1,COUNT(Curvas_cupon_cero!$A:$A)-2,1)),interpolar(E125,OFFSET(Curvas_cupon_cero!$A$1,1,0,COUNT(Curvas_cupon_cero!$A:$A)-2,1),OFFSET(Curvas_cupon_cero!$A$1,1,MATCH($B$7,Curvas_cupon_cero!$1:$1,0)-1,COUNT(Curvas_cupon_cero!$A:$A)-2,1))))</f>
        <v/>
      </c>
      <c r="H125" s="19" t="str">
        <f t="shared" si="7"/>
        <v/>
      </c>
    </row>
    <row r="126" spans="1:8" x14ac:dyDescent="0.2">
      <c r="A126" s="12" t="str">
        <f t="shared" si="8"/>
        <v/>
      </c>
      <c r="B126" s="21" t="str">
        <f t="shared" si="9"/>
        <v/>
      </c>
      <c r="C126" s="17" t="str">
        <f t="shared" si="6"/>
        <v/>
      </c>
      <c r="D126" s="18" t="str">
        <f t="shared" si="10"/>
        <v/>
      </c>
      <c r="E126" t="str">
        <f t="shared" si="11"/>
        <v/>
      </c>
      <c r="F126" s="23" t="str">
        <f ca="1">IF(A126="","",IF($B$8="Sí",interpolar_alamb(E126,OFFSET(Curvas_cupon_cero!$A$1,1,0,COUNT(Curvas_cupon_cero!$A:$A)-2,1),OFFSET(Curvas_cupon_cero!$A$1,1,MATCH($B$6,Curvas_cupon_cero!$1:$1,0)-1,COUNT(Curvas_cupon_cero!$A:$A)-2,1)),interpolar(E126,OFFSET(Curvas_cupon_cero!$A$1,1,0,COUNT(Curvas_cupon_cero!$A:$A)-2,1),OFFSET(Curvas_cupon_cero!$A$1,1,MATCH($B$6,Curvas_cupon_cero!$1:$1,0)-1,COUNT(Curvas_cupon_cero!$A:$A)-2,1))))</f>
        <v/>
      </c>
      <c r="G126" s="23" t="str">
        <f ca="1">IF(A126="","",IF($B$8="Sí",interpolar_alamb(E126,OFFSET(Curvas_cupon_cero!$A$1,1,0,COUNT(Curvas_cupon_cero!$A:$A)-2,1),OFFSET(Curvas_cupon_cero!$A$1,1,MATCH($B$7,Curvas_cupon_cero!$1:$1,0)-1,COUNT(Curvas_cupon_cero!$A:$A)-2,1)),interpolar(E126,OFFSET(Curvas_cupon_cero!$A$1,1,0,COUNT(Curvas_cupon_cero!$A:$A)-2,1),OFFSET(Curvas_cupon_cero!$A$1,1,MATCH($B$7,Curvas_cupon_cero!$1:$1,0)-1,COUNT(Curvas_cupon_cero!$A:$A)-2,1))))</f>
        <v/>
      </c>
      <c r="H126" s="19" t="str">
        <f t="shared" si="7"/>
        <v/>
      </c>
    </row>
    <row r="127" spans="1:8" x14ac:dyDescent="0.2">
      <c r="A127" s="12" t="str">
        <f t="shared" si="8"/>
        <v/>
      </c>
      <c r="B127" s="21" t="str">
        <f t="shared" si="9"/>
        <v/>
      </c>
      <c r="C127" s="17" t="str">
        <f t="shared" si="6"/>
        <v/>
      </c>
      <c r="D127" s="18" t="str">
        <f t="shared" si="10"/>
        <v/>
      </c>
      <c r="E127" t="str">
        <f t="shared" si="11"/>
        <v/>
      </c>
      <c r="F127" s="23" t="str">
        <f ca="1">IF(A127="","",IF($B$8="Sí",interpolar_alamb(E127,OFFSET(Curvas_cupon_cero!$A$1,1,0,COUNT(Curvas_cupon_cero!$A:$A)-2,1),OFFSET(Curvas_cupon_cero!$A$1,1,MATCH($B$6,Curvas_cupon_cero!$1:$1,0)-1,COUNT(Curvas_cupon_cero!$A:$A)-2,1)),interpolar(E127,OFFSET(Curvas_cupon_cero!$A$1,1,0,COUNT(Curvas_cupon_cero!$A:$A)-2,1),OFFSET(Curvas_cupon_cero!$A$1,1,MATCH($B$6,Curvas_cupon_cero!$1:$1,0)-1,COUNT(Curvas_cupon_cero!$A:$A)-2,1))))</f>
        <v/>
      </c>
      <c r="G127" s="23" t="str">
        <f ca="1">IF(A127="","",IF($B$8="Sí",interpolar_alamb(E127,OFFSET(Curvas_cupon_cero!$A$1,1,0,COUNT(Curvas_cupon_cero!$A:$A)-2,1),OFFSET(Curvas_cupon_cero!$A$1,1,MATCH($B$7,Curvas_cupon_cero!$1:$1,0)-1,COUNT(Curvas_cupon_cero!$A:$A)-2,1)),interpolar(E127,OFFSET(Curvas_cupon_cero!$A$1,1,0,COUNT(Curvas_cupon_cero!$A:$A)-2,1),OFFSET(Curvas_cupon_cero!$A$1,1,MATCH($B$7,Curvas_cupon_cero!$1:$1,0)-1,COUNT(Curvas_cupon_cero!$A:$A)-2,1))))</f>
        <v/>
      </c>
      <c r="H127" s="19" t="str">
        <f t="shared" si="7"/>
        <v/>
      </c>
    </row>
    <row r="128" spans="1:8" x14ac:dyDescent="0.2">
      <c r="A128" s="12" t="str">
        <f t="shared" si="8"/>
        <v/>
      </c>
      <c r="B128" s="21" t="str">
        <f t="shared" si="9"/>
        <v/>
      </c>
      <c r="C128" s="17" t="str">
        <f t="shared" si="6"/>
        <v/>
      </c>
      <c r="D128" s="18" t="str">
        <f t="shared" si="10"/>
        <v/>
      </c>
      <c r="E128" t="str">
        <f t="shared" si="11"/>
        <v/>
      </c>
      <c r="F128" s="23" t="str">
        <f ca="1">IF(A128="","",IF($B$8="Sí",interpolar_alamb(E128,OFFSET(Curvas_cupon_cero!$A$1,1,0,COUNT(Curvas_cupon_cero!$A:$A)-2,1),OFFSET(Curvas_cupon_cero!$A$1,1,MATCH($B$6,Curvas_cupon_cero!$1:$1,0)-1,COUNT(Curvas_cupon_cero!$A:$A)-2,1)),interpolar(E128,OFFSET(Curvas_cupon_cero!$A$1,1,0,COUNT(Curvas_cupon_cero!$A:$A)-2,1),OFFSET(Curvas_cupon_cero!$A$1,1,MATCH($B$6,Curvas_cupon_cero!$1:$1,0)-1,COUNT(Curvas_cupon_cero!$A:$A)-2,1))))</f>
        <v/>
      </c>
      <c r="G128" s="23" t="str">
        <f ca="1">IF(A128="","",IF($B$8="Sí",interpolar_alamb(E128,OFFSET(Curvas_cupon_cero!$A$1,1,0,COUNT(Curvas_cupon_cero!$A:$A)-2,1),OFFSET(Curvas_cupon_cero!$A$1,1,MATCH($B$7,Curvas_cupon_cero!$1:$1,0)-1,COUNT(Curvas_cupon_cero!$A:$A)-2,1)),interpolar(E128,OFFSET(Curvas_cupon_cero!$A$1,1,0,COUNT(Curvas_cupon_cero!$A:$A)-2,1),OFFSET(Curvas_cupon_cero!$A$1,1,MATCH($B$7,Curvas_cupon_cero!$1:$1,0)-1,COUNT(Curvas_cupon_cero!$A:$A)-2,1))))</f>
        <v/>
      </c>
      <c r="H128" s="19" t="str">
        <f t="shared" si="7"/>
        <v/>
      </c>
    </row>
    <row r="129" spans="1:8" x14ac:dyDescent="0.2">
      <c r="A129" s="12" t="str">
        <f t="shared" si="8"/>
        <v/>
      </c>
      <c r="B129" s="21" t="str">
        <f t="shared" si="9"/>
        <v/>
      </c>
      <c r="C129" s="17" t="str">
        <f t="shared" si="6"/>
        <v/>
      </c>
      <c r="D129" s="18" t="str">
        <f t="shared" si="10"/>
        <v/>
      </c>
      <c r="E129" t="str">
        <f t="shared" si="11"/>
        <v/>
      </c>
      <c r="F129" s="23" t="str">
        <f ca="1">IF(A129="","",IF($B$8="Sí",interpolar_alamb(E129,OFFSET(Curvas_cupon_cero!$A$1,1,0,COUNT(Curvas_cupon_cero!$A:$A)-2,1),OFFSET(Curvas_cupon_cero!$A$1,1,MATCH($B$6,Curvas_cupon_cero!$1:$1,0)-1,COUNT(Curvas_cupon_cero!$A:$A)-2,1)),interpolar(E129,OFFSET(Curvas_cupon_cero!$A$1,1,0,COUNT(Curvas_cupon_cero!$A:$A)-2,1),OFFSET(Curvas_cupon_cero!$A$1,1,MATCH($B$6,Curvas_cupon_cero!$1:$1,0)-1,COUNT(Curvas_cupon_cero!$A:$A)-2,1))))</f>
        <v/>
      </c>
      <c r="G129" s="23" t="str">
        <f ca="1">IF(A129="","",IF($B$8="Sí",interpolar_alamb(E129,OFFSET(Curvas_cupon_cero!$A$1,1,0,COUNT(Curvas_cupon_cero!$A:$A)-2,1),OFFSET(Curvas_cupon_cero!$A$1,1,MATCH($B$7,Curvas_cupon_cero!$1:$1,0)-1,COUNT(Curvas_cupon_cero!$A:$A)-2,1)),interpolar(E129,OFFSET(Curvas_cupon_cero!$A$1,1,0,COUNT(Curvas_cupon_cero!$A:$A)-2,1),OFFSET(Curvas_cupon_cero!$A$1,1,MATCH($B$7,Curvas_cupon_cero!$1:$1,0)-1,COUNT(Curvas_cupon_cero!$A:$A)-2,1))))</f>
        <v/>
      </c>
      <c r="H129" s="19" t="str">
        <f t="shared" si="7"/>
        <v/>
      </c>
    </row>
    <row r="130" spans="1:8" x14ac:dyDescent="0.2">
      <c r="A130" s="12" t="str">
        <f t="shared" si="8"/>
        <v/>
      </c>
      <c r="B130" s="21" t="str">
        <f t="shared" si="9"/>
        <v/>
      </c>
      <c r="C130" s="17" t="str">
        <f t="shared" si="6"/>
        <v/>
      </c>
      <c r="D130" s="18" t="str">
        <f t="shared" si="10"/>
        <v/>
      </c>
      <c r="E130" t="str">
        <f t="shared" si="11"/>
        <v/>
      </c>
      <c r="F130" s="23" t="str">
        <f ca="1">IF(A130="","",IF($B$8="Sí",interpolar_alamb(E130,OFFSET(Curvas_cupon_cero!$A$1,1,0,COUNT(Curvas_cupon_cero!$A:$A)-2,1),OFFSET(Curvas_cupon_cero!$A$1,1,MATCH($B$6,Curvas_cupon_cero!$1:$1,0)-1,COUNT(Curvas_cupon_cero!$A:$A)-2,1)),interpolar(E130,OFFSET(Curvas_cupon_cero!$A$1,1,0,COUNT(Curvas_cupon_cero!$A:$A)-2,1),OFFSET(Curvas_cupon_cero!$A$1,1,MATCH($B$6,Curvas_cupon_cero!$1:$1,0)-1,COUNT(Curvas_cupon_cero!$A:$A)-2,1))))</f>
        <v/>
      </c>
      <c r="G130" s="23" t="str">
        <f ca="1">IF(A130="","",IF($B$8="Sí",interpolar_alamb(E130,OFFSET(Curvas_cupon_cero!$A$1,1,0,COUNT(Curvas_cupon_cero!$A:$A)-2,1),OFFSET(Curvas_cupon_cero!$A$1,1,MATCH($B$7,Curvas_cupon_cero!$1:$1,0)-1,COUNT(Curvas_cupon_cero!$A:$A)-2,1)),interpolar(E130,OFFSET(Curvas_cupon_cero!$A$1,1,0,COUNT(Curvas_cupon_cero!$A:$A)-2,1),OFFSET(Curvas_cupon_cero!$A$1,1,MATCH($B$7,Curvas_cupon_cero!$1:$1,0)-1,COUNT(Curvas_cupon_cero!$A:$A)-2,1))))</f>
        <v/>
      </c>
      <c r="H130" s="19" t="str">
        <f t="shared" si="7"/>
        <v/>
      </c>
    </row>
    <row r="131" spans="1:8" x14ac:dyDescent="0.2">
      <c r="A131" s="12" t="str">
        <f t="shared" si="8"/>
        <v/>
      </c>
      <c r="B131" s="21" t="str">
        <f t="shared" si="9"/>
        <v/>
      </c>
      <c r="C131" s="17" t="str">
        <f t="shared" si="6"/>
        <v/>
      </c>
      <c r="D131" s="18" t="str">
        <f t="shared" si="10"/>
        <v/>
      </c>
      <c r="E131" t="str">
        <f t="shared" si="11"/>
        <v/>
      </c>
      <c r="F131" s="23" t="str">
        <f ca="1">IF(A131="","",IF($B$8="Sí",interpolar_alamb(E131,OFFSET(Curvas_cupon_cero!$A$1,1,0,COUNT(Curvas_cupon_cero!$A:$A)-2,1),OFFSET(Curvas_cupon_cero!$A$1,1,MATCH($B$6,Curvas_cupon_cero!$1:$1,0)-1,COUNT(Curvas_cupon_cero!$A:$A)-2,1)),interpolar(E131,OFFSET(Curvas_cupon_cero!$A$1,1,0,COUNT(Curvas_cupon_cero!$A:$A)-2,1),OFFSET(Curvas_cupon_cero!$A$1,1,MATCH($B$6,Curvas_cupon_cero!$1:$1,0)-1,COUNT(Curvas_cupon_cero!$A:$A)-2,1))))</f>
        <v/>
      </c>
      <c r="G131" s="23" t="str">
        <f ca="1">IF(A131="","",IF($B$8="Sí",interpolar_alamb(E131,OFFSET(Curvas_cupon_cero!$A$1,1,0,COUNT(Curvas_cupon_cero!$A:$A)-2,1),OFFSET(Curvas_cupon_cero!$A$1,1,MATCH($B$7,Curvas_cupon_cero!$1:$1,0)-1,COUNT(Curvas_cupon_cero!$A:$A)-2,1)),interpolar(E131,OFFSET(Curvas_cupon_cero!$A$1,1,0,COUNT(Curvas_cupon_cero!$A:$A)-2,1),OFFSET(Curvas_cupon_cero!$A$1,1,MATCH($B$7,Curvas_cupon_cero!$1:$1,0)-1,COUNT(Curvas_cupon_cero!$A:$A)-2,1))))</f>
        <v/>
      </c>
      <c r="H131" s="19" t="str">
        <f t="shared" si="7"/>
        <v/>
      </c>
    </row>
    <row r="132" spans="1:8" x14ac:dyDescent="0.2">
      <c r="A132" s="12" t="str">
        <f t="shared" si="8"/>
        <v/>
      </c>
      <c r="B132" s="21" t="str">
        <f t="shared" si="9"/>
        <v/>
      </c>
      <c r="C132" s="17" t="str">
        <f t="shared" si="6"/>
        <v/>
      </c>
      <c r="D132" s="18" t="str">
        <f t="shared" si="10"/>
        <v/>
      </c>
      <c r="E132" t="str">
        <f t="shared" si="11"/>
        <v/>
      </c>
      <c r="F132" s="23" t="str">
        <f ca="1">IF(A132="","",IF($B$8="Sí",interpolar_alamb(E132,OFFSET(Curvas_cupon_cero!$A$1,1,0,COUNT(Curvas_cupon_cero!$A:$A)-2,1),OFFSET(Curvas_cupon_cero!$A$1,1,MATCH($B$6,Curvas_cupon_cero!$1:$1,0)-1,COUNT(Curvas_cupon_cero!$A:$A)-2,1)),interpolar(E132,OFFSET(Curvas_cupon_cero!$A$1,1,0,COUNT(Curvas_cupon_cero!$A:$A)-2,1),OFFSET(Curvas_cupon_cero!$A$1,1,MATCH($B$6,Curvas_cupon_cero!$1:$1,0)-1,COUNT(Curvas_cupon_cero!$A:$A)-2,1))))</f>
        <v/>
      </c>
      <c r="G132" s="23" t="str">
        <f ca="1">IF(A132="","",IF($B$8="Sí",interpolar_alamb(E132,OFFSET(Curvas_cupon_cero!$A$1,1,0,COUNT(Curvas_cupon_cero!$A:$A)-2,1),OFFSET(Curvas_cupon_cero!$A$1,1,MATCH($B$7,Curvas_cupon_cero!$1:$1,0)-1,COUNT(Curvas_cupon_cero!$A:$A)-2,1)),interpolar(E132,OFFSET(Curvas_cupon_cero!$A$1,1,0,COUNT(Curvas_cupon_cero!$A:$A)-2,1),OFFSET(Curvas_cupon_cero!$A$1,1,MATCH($B$7,Curvas_cupon_cero!$1:$1,0)-1,COUNT(Curvas_cupon_cero!$A:$A)-2,1))))</f>
        <v/>
      </c>
      <c r="H132" s="19" t="str">
        <f t="shared" si="7"/>
        <v/>
      </c>
    </row>
    <row r="133" spans="1:8" x14ac:dyDescent="0.2">
      <c r="A133" s="12" t="str">
        <f t="shared" si="8"/>
        <v/>
      </c>
      <c r="B133" s="21" t="str">
        <f t="shared" si="9"/>
        <v/>
      </c>
      <c r="C133" s="17" t="str">
        <f t="shared" si="6"/>
        <v/>
      </c>
      <c r="D133" s="18" t="str">
        <f t="shared" si="10"/>
        <v/>
      </c>
      <c r="E133" t="str">
        <f t="shared" si="11"/>
        <v/>
      </c>
      <c r="F133" s="23" t="str">
        <f ca="1">IF(A133="","",IF($B$8="Sí",interpolar_alamb(E133,OFFSET(Curvas_cupon_cero!$A$1,1,0,COUNT(Curvas_cupon_cero!$A:$A)-2,1),OFFSET(Curvas_cupon_cero!$A$1,1,MATCH($B$6,Curvas_cupon_cero!$1:$1,0)-1,COUNT(Curvas_cupon_cero!$A:$A)-2,1)),interpolar(E133,OFFSET(Curvas_cupon_cero!$A$1,1,0,COUNT(Curvas_cupon_cero!$A:$A)-2,1),OFFSET(Curvas_cupon_cero!$A$1,1,MATCH($B$6,Curvas_cupon_cero!$1:$1,0)-1,COUNT(Curvas_cupon_cero!$A:$A)-2,1))))</f>
        <v/>
      </c>
      <c r="G133" s="23" t="str">
        <f ca="1">IF(A133="","",IF($B$8="Sí",interpolar_alamb(E133,OFFSET(Curvas_cupon_cero!$A$1,1,0,COUNT(Curvas_cupon_cero!$A:$A)-2,1),OFFSET(Curvas_cupon_cero!$A$1,1,MATCH($B$7,Curvas_cupon_cero!$1:$1,0)-1,COUNT(Curvas_cupon_cero!$A:$A)-2,1)),interpolar(E133,OFFSET(Curvas_cupon_cero!$A$1,1,0,COUNT(Curvas_cupon_cero!$A:$A)-2,1),OFFSET(Curvas_cupon_cero!$A$1,1,MATCH($B$7,Curvas_cupon_cero!$1:$1,0)-1,COUNT(Curvas_cupon_cero!$A:$A)-2,1))))</f>
        <v/>
      </c>
      <c r="H133" s="19" t="str">
        <f t="shared" si="7"/>
        <v/>
      </c>
    </row>
    <row r="134" spans="1:8" x14ac:dyDescent="0.2">
      <c r="A134" s="12" t="str">
        <f t="shared" si="8"/>
        <v/>
      </c>
      <c r="B134" s="21" t="str">
        <f t="shared" si="9"/>
        <v/>
      </c>
      <c r="C134" s="17" t="str">
        <f t="shared" si="6"/>
        <v/>
      </c>
      <c r="D134" s="18" t="str">
        <f t="shared" si="10"/>
        <v/>
      </c>
      <c r="E134" t="str">
        <f t="shared" si="11"/>
        <v/>
      </c>
      <c r="F134" s="23" t="str">
        <f ca="1">IF(A134="","",IF($B$8="Sí",interpolar_alamb(E134,OFFSET(Curvas_cupon_cero!$A$1,1,0,COUNT(Curvas_cupon_cero!$A:$A)-2,1),OFFSET(Curvas_cupon_cero!$A$1,1,MATCH($B$6,Curvas_cupon_cero!$1:$1,0)-1,COUNT(Curvas_cupon_cero!$A:$A)-2,1)),interpolar(E134,OFFSET(Curvas_cupon_cero!$A$1,1,0,COUNT(Curvas_cupon_cero!$A:$A)-2,1),OFFSET(Curvas_cupon_cero!$A$1,1,MATCH($B$6,Curvas_cupon_cero!$1:$1,0)-1,COUNT(Curvas_cupon_cero!$A:$A)-2,1))))</f>
        <v/>
      </c>
      <c r="G134" s="23" t="str">
        <f ca="1">IF(A134="","",IF($B$8="Sí",interpolar_alamb(E134,OFFSET(Curvas_cupon_cero!$A$1,1,0,COUNT(Curvas_cupon_cero!$A:$A)-2,1),OFFSET(Curvas_cupon_cero!$A$1,1,MATCH($B$7,Curvas_cupon_cero!$1:$1,0)-1,COUNT(Curvas_cupon_cero!$A:$A)-2,1)),interpolar(E134,OFFSET(Curvas_cupon_cero!$A$1,1,0,COUNT(Curvas_cupon_cero!$A:$A)-2,1),OFFSET(Curvas_cupon_cero!$A$1,1,MATCH($B$7,Curvas_cupon_cero!$1:$1,0)-1,COUNT(Curvas_cupon_cero!$A:$A)-2,1))))</f>
        <v/>
      </c>
      <c r="H134" s="19" t="str">
        <f t="shared" si="7"/>
        <v/>
      </c>
    </row>
    <row r="135" spans="1:8" x14ac:dyDescent="0.2">
      <c r="A135" s="12" t="str">
        <f t="shared" si="8"/>
        <v/>
      </c>
      <c r="B135" s="21" t="str">
        <f t="shared" si="9"/>
        <v/>
      </c>
      <c r="C135" s="17" t="str">
        <f t="shared" si="6"/>
        <v/>
      </c>
      <c r="D135" s="18" t="str">
        <f t="shared" si="10"/>
        <v/>
      </c>
      <c r="E135" t="str">
        <f t="shared" si="11"/>
        <v/>
      </c>
      <c r="F135" s="23" t="str">
        <f ca="1">IF(A135="","",IF($B$8="Sí",interpolar_alamb(E135,OFFSET(Curvas_cupon_cero!$A$1,1,0,COUNT(Curvas_cupon_cero!$A:$A)-2,1),OFFSET(Curvas_cupon_cero!$A$1,1,MATCH($B$6,Curvas_cupon_cero!$1:$1,0)-1,COUNT(Curvas_cupon_cero!$A:$A)-2,1)),interpolar(E135,OFFSET(Curvas_cupon_cero!$A$1,1,0,COUNT(Curvas_cupon_cero!$A:$A)-2,1),OFFSET(Curvas_cupon_cero!$A$1,1,MATCH($B$6,Curvas_cupon_cero!$1:$1,0)-1,COUNT(Curvas_cupon_cero!$A:$A)-2,1))))</f>
        <v/>
      </c>
      <c r="G135" s="23" t="str">
        <f ca="1">IF(A135="","",IF($B$8="Sí",interpolar_alamb(E135,OFFSET(Curvas_cupon_cero!$A$1,1,0,COUNT(Curvas_cupon_cero!$A:$A)-2,1),OFFSET(Curvas_cupon_cero!$A$1,1,MATCH($B$7,Curvas_cupon_cero!$1:$1,0)-1,COUNT(Curvas_cupon_cero!$A:$A)-2,1)),interpolar(E135,OFFSET(Curvas_cupon_cero!$A$1,1,0,COUNT(Curvas_cupon_cero!$A:$A)-2,1),OFFSET(Curvas_cupon_cero!$A$1,1,MATCH($B$7,Curvas_cupon_cero!$1:$1,0)-1,COUNT(Curvas_cupon_cero!$A:$A)-2,1))))</f>
        <v/>
      </c>
      <c r="H135" s="19" t="str">
        <f t="shared" si="7"/>
        <v/>
      </c>
    </row>
    <row r="136" spans="1:8" x14ac:dyDescent="0.2">
      <c r="A136" s="12" t="str">
        <f t="shared" si="8"/>
        <v/>
      </c>
      <c r="B136" s="21" t="str">
        <f t="shared" si="9"/>
        <v/>
      </c>
      <c r="C136" s="17" t="str">
        <f t="shared" si="6"/>
        <v/>
      </c>
      <c r="D136" s="18" t="str">
        <f t="shared" si="10"/>
        <v/>
      </c>
      <c r="E136" t="str">
        <f t="shared" si="11"/>
        <v/>
      </c>
      <c r="F136" s="23" t="str">
        <f ca="1">IF(A136="","",IF($B$8="Sí",interpolar_alamb(E136,OFFSET(Curvas_cupon_cero!$A$1,1,0,COUNT(Curvas_cupon_cero!$A:$A)-2,1),OFFSET(Curvas_cupon_cero!$A$1,1,MATCH($B$6,Curvas_cupon_cero!$1:$1,0)-1,COUNT(Curvas_cupon_cero!$A:$A)-2,1)),interpolar(E136,OFFSET(Curvas_cupon_cero!$A$1,1,0,COUNT(Curvas_cupon_cero!$A:$A)-2,1),OFFSET(Curvas_cupon_cero!$A$1,1,MATCH($B$6,Curvas_cupon_cero!$1:$1,0)-1,COUNT(Curvas_cupon_cero!$A:$A)-2,1))))</f>
        <v/>
      </c>
      <c r="G136" s="23" t="str">
        <f ca="1">IF(A136="","",IF($B$8="Sí",interpolar_alamb(E136,OFFSET(Curvas_cupon_cero!$A$1,1,0,COUNT(Curvas_cupon_cero!$A:$A)-2,1),OFFSET(Curvas_cupon_cero!$A$1,1,MATCH($B$7,Curvas_cupon_cero!$1:$1,0)-1,COUNT(Curvas_cupon_cero!$A:$A)-2,1)),interpolar(E136,OFFSET(Curvas_cupon_cero!$A$1,1,0,COUNT(Curvas_cupon_cero!$A:$A)-2,1),OFFSET(Curvas_cupon_cero!$A$1,1,MATCH($B$7,Curvas_cupon_cero!$1:$1,0)-1,COUNT(Curvas_cupon_cero!$A:$A)-2,1))))</f>
        <v/>
      </c>
      <c r="H136" s="19" t="str">
        <f t="shared" si="7"/>
        <v/>
      </c>
    </row>
    <row r="137" spans="1:8" x14ac:dyDescent="0.2">
      <c r="A137" s="12" t="str">
        <f t="shared" si="8"/>
        <v/>
      </c>
      <c r="B137" s="21" t="str">
        <f t="shared" si="9"/>
        <v/>
      </c>
      <c r="C137" s="17" t="str">
        <f t="shared" si="6"/>
        <v/>
      </c>
      <c r="D137" s="18" t="str">
        <f t="shared" si="10"/>
        <v/>
      </c>
      <c r="E137" t="str">
        <f t="shared" si="11"/>
        <v/>
      </c>
      <c r="F137" s="23" t="str">
        <f ca="1">IF(A137="","",IF($B$8="Sí",interpolar_alamb(E137,OFFSET(Curvas_cupon_cero!$A$1,1,0,COUNT(Curvas_cupon_cero!$A:$A)-2,1),OFFSET(Curvas_cupon_cero!$A$1,1,MATCH($B$6,Curvas_cupon_cero!$1:$1,0)-1,COUNT(Curvas_cupon_cero!$A:$A)-2,1)),interpolar(E137,OFFSET(Curvas_cupon_cero!$A$1,1,0,COUNT(Curvas_cupon_cero!$A:$A)-2,1),OFFSET(Curvas_cupon_cero!$A$1,1,MATCH($B$6,Curvas_cupon_cero!$1:$1,0)-1,COUNT(Curvas_cupon_cero!$A:$A)-2,1))))</f>
        <v/>
      </c>
      <c r="G137" s="23" t="str">
        <f ca="1">IF(A137="","",IF($B$8="Sí",interpolar_alamb(E137,OFFSET(Curvas_cupon_cero!$A$1,1,0,COUNT(Curvas_cupon_cero!$A:$A)-2,1),OFFSET(Curvas_cupon_cero!$A$1,1,MATCH($B$7,Curvas_cupon_cero!$1:$1,0)-1,COUNT(Curvas_cupon_cero!$A:$A)-2,1)),interpolar(E137,OFFSET(Curvas_cupon_cero!$A$1,1,0,COUNT(Curvas_cupon_cero!$A:$A)-2,1),OFFSET(Curvas_cupon_cero!$A$1,1,MATCH($B$7,Curvas_cupon_cero!$1:$1,0)-1,COUNT(Curvas_cupon_cero!$A:$A)-2,1))))</f>
        <v/>
      </c>
      <c r="H137" s="19" t="str">
        <f t="shared" si="7"/>
        <v/>
      </c>
    </row>
    <row r="138" spans="1:8" x14ac:dyDescent="0.2">
      <c r="A138" s="12" t="str">
        <f t="shared" si="8"/>
        <v/>
      </c>
      <c r="B138" s="21" t="str">
        <f t="shared" si="9"/>
        <v/>
      </c>
      <c r="C138" s="17" t="str">
        <f t="shared" si="6"/>
        <v/>
      </c>
      <c r="D138" s="18" t="str">
        <f t="shared" si="10"/>
        <v/>
      </c>
      <c r="E138" t="str">
        <f t="shared" si="11"/>
        <v/>
      </c>
      <c r="F138" s="23" t="str">
        <f ca="1">IF(A138="","",IF($B$8="Sí",interpolar_alamb(E138,OFFSET(Curvas_cupon_cero!$A$1,1,0,COUNT(Curvas_cupon_cero!$A:$A)-2,1),OFFSET(Curvas_cupon_cero!$A$1,1,MATCH($B$6,Curvas_cupon_cero!$1:$1,0)-1,COUNT(Curvas_cupon_cero!$A:$A)-2,1)),interpolar(E138,OFFSET(Curvas_cupon_cero!$A$1,1,0,COUNT(Curvas_cupon_cero!$A:$A)-2,1),OFFSET(Curvas_cupon_cero!$A$1,1,MATCH($B$6,Curvas_cupon_cero!$1:$1,0)-1,COUNT(Curvas_cupon_cero!$A:$A)-2,1))))</f>
        <v/>
      </c>
      <c r="G138" s="23" t="str">
        <f ca="1">IF(A138="","",IF($B$8="Sí",interpolar_alamb(E138,OFFSET(Curvas_cupon_cero!$A$1,1,0,COUNT(Curvas_cupon_cero!$A:$A)-2,1),OFFSET(Curvas_cupon_cero!$A$1,1,MATCH($B$7,Curvas_cupon_cero!$1:$1,0)-1,COUNT(Curvas_cupon_cero!$A:$A)-2,1)),interpolar(E138,OFFSET(Curvas_cupon_cero!$A$1,1,0,COUNT(Curvas_cupon_cero!$A:$A)-2,1),OFFSET(Curvas_cupon_cero!$A$1,1,MATCH($B$7,Curvas_cupon_cero!$1:$1,0)-1,COUNT(Curvas_cupon_cero!$A:$A)-2,1))))</f>
        <v/>
      </c>
      <c r="H138" s="19" t="str">
        <f t="shared" si="7"/>
        <v/>
      </c>
    </row>
    <row r="139" spans="1:8" x14ac:dyDescent="0.2">
      <c r="A139" s="12" t="str">
        <f t="shared" si="8"/>
        <v/>
      </c>
      <c r="B139" s="21" t="str">
        <f t="shared" si="9"/>
        <v/>
      </c>
      <c r="C139" s="17" t="str">
        <f t="shared" si="6"/>
        <v/>
      </c>
      <c r="D139" s="18" t="str">
        <f t="shared" si="10"/>
        <v/>
      </c>
      <c r="E139" t="str">
        <f t="shared" si="11"/>
        <v/>
      </c>
      <c r="F139" s="23" t="str">
        <f ca="1">IF(A139="","",IF($B$8="Sí",interpolar_alamb(E139,OFFSET(Curvas_cupon_cero!$A$1,1,0,COUNT(Curvas_cupon_cero!$A:$A)-2,1),OFFSET(Curvas_cupon_cero!$A$1,1,MATCH($B$6,Curvas_cupon_cero!$1:$1,0)-1,COUNT(Curvas_cupon_cero!$A:$A)-2,1)),interpolar(E139,OFFSET(Curvas_cupon_cero!$A$1,1,0,COUNT(Curvas_cupon_cero!$A:$A)-2,1),OFFSET(Curvas_cupon_cero!$A$1,1,MATCH($B$6,Curvas_cupon_cero!$1:$1,0)-1,COUNT(Curvas_cupon_cero!$A:$A)-2,1))))</f>
        <v/>
      </c>
      <c r="G139" s="23" t="str">
        <f ca="1">IF(A139="","",IF($B$8="Sí",interpolar_alamb(E139,OFFSET(Curvas_cupon_cero!$A$1,1,0,COUNT(Curvas_cupon_cero!$A:$A)-2,1),OFFSET(Curvas_cupon_cero!$A$1,1,MATCH($B$7,Curvas_cupon_cero!$1:$1,0)-1,COUNT(Curvas_cupon_cero!$A:$A)-2,1)),interpolar(E139,OFFSET(Curvas_cupon_cero!$A$1,1,0,COUNT(Curvas_cupon_cero!$A:$A)-2,1),OFFSET(Curvas_cupon_cero!$A$1,1,MATCH($B$7,Curvas_cupon_cero!$1:$1,0)-1,COUNT(Curvas_cupon_cero!$A:$A)-2,1))))</f>
        <v/>
      </c>
      <c r="H139" s="19" t="str">
        <f t="shared" si="7"/>
        <v/>
      </c>
    </row>
    <row r="140" spans="1:8" x14ac:dyDescent="0.2">
      <c r="A140" s="12" t="str">
        <f t="shared" si="8"/>
        <v/>
      </c>
      <c r="B140" s="21" t="str">
        <f t="shared" si="9"/>
        <v/>
      </c>
      <c r="C140" s="17" t="str">
        <f t="shared" si="6"/>
        <v/>
      </c>
      <c r="D140" s="18" t="str">
        <f t="shared" si="10"/>
        <v/>
      </c>
      <c r="E140" t="str">
        <f t="shared" si="11"/>
        <v/>
      </c>
      <c r="F140" s="23" t="str">
        <f ca="1">IF(A140="","",IF($B$8="Sí",interpolar_alamb(E140,OFFSET(Curvas_cupon_cero!$A$1,1,0,COUNT(Curvas_cupon_cero!$A:$A)-2,1),OFFSET(Curvas_cupon_cero!$A$1,1,MATCH($B$6,Curvas_cupon_cero!$1:$1,0)-1,COUNT(Curvas_cupon_cero!$A:$A)-2,1)),interpolar(E140,OFFSET(Curvas_cupon_cero!$A$1,1,0,COUNT(Curvas_cupon_cero!$A:$A)-2,1),OFFSET(Curvas_cupon_cero!$A$1,1,MATCH($B$6,Curvas_cupon_cero!$1:$1,0)-1,COUNT(Curvas_cupon_cero!$A:$A)-2,1))))</f>
        <v/>
      </c>
      <c r="G140" s="23" t="str">
        <f ca="1">IF(A140="","",IF($B$8="Sí",interpolar_alamb(E140,OFFSET(Curvas_cupon_cero!$A$1,1,0,COUNT(Curvas_cupon_cero!$A:$A)-2,1),OFFSET(Curvas_cupon_cero!$A$1,1,MATCH($B$7,Curvas_cupon_cero!$1:$1,0)-1,COUNT(Curvas_cupon_cero!$A:$A)-2,1)),interpolar(E140,OFFSET(Curvas_cupon_cero!$A$1,1,0,COUNT(Curvas_cupon_cero!$A:$A)-2,1),OFFSET(Curvas_cupon_cero!$A$1,1,MATCH($B$7,Curvas_cupon_cero!$1:$1,0)-1,COUNT(Curvas_cupon_cero!$A:$A)-2,1))))</f>
        <v/>
      </c>
      <c r="H140" s="19" t="str">
        <f t="shared" si="7"/>
        <v/>
      </c>
    </row>
    <row r="141" spans="1:8" x14ac:dyDescent="0.2">
      <c r="A141" s="12" t="str">
        <f t="shared" si="8"/>
        <v/>
      </c>
      <c r="B141" s="21" t="str">
        <f t="shared" si="9"/>
        <v/>
      </c>
      <c r="C141" s="17" t="str">
        <f t="shared" si="6"/>
        <v/>
      </c>
      <c r="D141" s="18" t="str">
        <f t="shared" si="10"/>
        <v/>
      </c>
      <c r="E141" t="str">
        <f t="shared" si="11"/>
        <v/>
      </c>
      <c r="F141" s="23" t="str">
        <f ca="1">IF(A141="","",IF($B$8="Sí",interpolar_alamb(E141,OFFSET(Curvas_cupon_cero!$A$1,1,0,COUNT(Curvas_cupon_cero!$A:$A)-2,1),OFFSET(Curvas_cupon_cero!$A$1,1,MATCH($B$6,Curvas_cupon_cero!$1:$1,0)-1,COUNT(Curvas_cupon_cero!$A:$A)-2,1)),interpolar(E141,OFFSET(Curvas_cupon_cero!$A$1,1,0,COUNT(Curvas_cupon_cero!$A:$A)-2,1),OFFSET(Curvas_cupon_cero!$A$1,1,MATCH($B$6,Curvas_cupon_cero!$1:$1,0)-1,COUNT(Curvas_cupon_cero!$A:$A)-2,1))))</f>
        <v/>
      </c>
      <c r="G141" s="23" t="str">
        <f ca="1">IF(A141="","",IF($B$8="Sí",interpolar_alamb(E141,OFFSET(Curvas_cupon_cero!$A$1,1,0,COUNT(Curvas_cupon_cero!$A:$A)-2,1),OFFSET(Curvas_cupon_cero!$A$1,1,MATCH($B$7,Curvas_cupon_cero!$1:$1,0)-1,COUNT(Curvas_cupon_cero!$A:$A)-2,1)),interpolar(E141,OFFSET(Curvas_cupon_cero!$A$1,1,0,COUNT(Curvas_cupon_cero!$A:$A)-2,1),OFFSET(Curvas_cupon_cero!$A$1,1,MATCH($B$7,Curvas_cupon_cero!$1:$1,0)-1,COUNT(Curvas_cupon_cero!$A:$A)-2,1))))</f>
        <v/>
      </c>
      <c r="H141" s="19" t="str">
        <f t="shared" si="7"/>
        <v/>
      </c>
    </row>
    <row r="142" spans="1:8" x14ac:dyDescent="0.2">
      <c r="A142" s="12" t="str">
        <f t="shared" si="8"/>
        <v/>
      </c>
      <c r="B142" s="21" t="str">
        <f t="shared" si="9"/>
        <v/>
      </c>
      <c r="C142" s="17" t="str">
        <f t="shared" si="6"/>
        <v/>
      </c>
      <c r="D142" s="18" t="str">
        <f t="shared" si="10"/>
        <v/>
      </c>
      <c r="E142" t="str">
        <f t="shared" si="11"/>
        <v/>
      </c>
      <c r="F142" s="23" t="str">
        <f ca="1">IF(A142="","",IF($B$8="Sí",interpolar_alamb(E142,OFFSET(Curvas_cupon_cero!$A$1,1,0,COUNT(Curvas_cupon_cero!$A:$A)-2,1),OFFSET(Curvas_cupon_cero!$A$1,1,MATCH($B$6,Curvas_cupon_cero!$1:$1,0)-1,COUNT(Curvas_cupon_cero!$A:$A)-2,1)),interpolar(E142,OFFSET(Curvas_cupon_cero!$A$1,1,0,COUNT(Curvas_cupon_cero!$A:$A)-2,1),OFFSET(Curvas_cupon_cero!$A$1,1,MATCH($B$6,Curvas_cupon_cero!$1:$1,0)-1,COUNT(Curvas_cupon_cero!$A:$A)-2,1))))</f>
        <v/>
      </c>
      <c r="G142" s="23" t="str">
        <f ca="1">IF(A142="","",IF($B$8="Sí",interpolar_alamb(E142,OFFSET(Curvas_cupon_cero!$A$1,1,0,COUNT(Curvas_cupon_cero!$A:$A)-2,1),OFFSET(Curvas_cupon_cero!$A$1,1,MATCH($B$7,Curvas_cupon_cero!$1:$1,0)-1,COUNT(Curvas_cupon_cero!$A:$A)-2,1)),interpolar(E142,OFFSET(Curvas_cupon_cero!$A$1,1,0,COUNT(Curvas_cupon_cero!$A:$A)-2,1),OFFSET(Curvas_cupon_cero!$A$1,1,MATCH($B$7,Curvas_cupon_cero!$1:$1,0)-1,COUNT(Curvas_cupon_cero!$A:$A)-2,1))))</f>
        <v/>
      </c>
      <c r="H142" s="19" t="str">
        <f t="shared" si="7"/>
        <v/>
      </c>
    </row>
    <row r="143" spans="1:8" x14ac:dyDescent="0.2">
      <c r="A143" s="12" t="str">
        <f t="shared" si="8"/>
        <v/>
      </c>
      <c r="B143" s="21" t="str">
        <f t="shared" si="9"/>
        <v/>
      </c>
      <c r="C143" s="17" t="str">
        <f t="shared" si="6"/>
        <v/>
      </c>
      <c r="D143" s="18" t="str">
        <f t="shared" si="10"/>
        <v/>
      </c>
      <c r="E143" t="str">
        <f t="shared" si="11"/>
        <v/>
      </c>
      <c r="F143" s="23" t="str">
        <f ca="1">IF(A143="","",IF($B$8="Sí",interpolar_alamb(E143,OFFSET(Curvas_cupon_cero!$A$1,1,0,COUNT(Curvas_cupon_cero!$A:$A)-2,1),OFFSET(Curvas_cupon_cero!$A$1,1,MATCH($B$6,Curvas_cupon_cero!$1:$1,0)-1,COUNT(Curvas_cupon_cero!$A:$A)-2,1)),interpolar(E143,OFFSET(Curvas_cupon_cero!$A$1,1,0,COUNT(Curvas_cupon_cero!$A:$A)-2,1),OFFSET(Curvas_cupon_cero!$A$1,1,MATCH($B$6,Curvas_cupon_cero!$1:$1,0)-1,COUNT(Curvas_cupon_cero!$A:$A)-2,1))))</f>
        <v/>
      </c>
      <c r="G143" s="23" t="str">
        <f ca="1">IF(A143="","",IF($B$8="Sí",interpolar_alamb(E143,OFFSET(Curvas_cupon_cero!$A$1,1,0,COUNT(Curvas_cupon_cero!$A:$A)-2,1),OFFSET(Curvas_cupon_cero!$A$1,1,MATCH($B$7,Curvas_cupon_cero!$1:$1,0)-1,COUNT(Curvas_cupon_cero!$A:$A)-2,1)),interpolar(E143,OFFSET(Curvas_cupon_cero!$A$1,1,0,COUNT(Curvas_cupon_cero!$A:$A)-2,1),OFFSET(Curvas_cupon_cero!$A$1,1,MATCH($B$7,Curvas_cupon_cero!$1:$1,0)-1,COUNT(Curvas_cupon_cero!$A:$A)-2,1))))</f>
        <v/>
      </c>
      <c r="H143" s="19" t="str">
        <f t="shared" si="7"/>
        <v/>
      </c>
    </row>
    <row r="144" spans="1:8" x14ac:dyDescent="0.2">
      <c r="A144" s="12" t="str">
        <f t="shared" si="8"/>
        <v/>
      </c>
      <c r="B144" s="21" t="str">
        <f t="shared" si="9"/>
        <v/>
      </c>
      <c r="C144" s="17" t="str">
        <f t="shared" ref="C144:C207" si="12">IF(A144="","",IF(A144=$B$4,$B$1*$B$2+$B$1*$B$5/360*$B$2*B144, $B$1*$B$5/360*$B$2*B144))</f>
        <v/>
      </c>
      <c r="D144" s="18" t="str">
        <f t="shared" si="10"/>
        <v/>
      </c>
      <c r="E144" t="str">
        <f t="shared" si="11"/>
        <v/>
      </c>
      <c r="F144" s="23" t="str">
        <f ca="1">IF(A144="","",IF($B$8="Sí",interpolar_alamb(E144,OFFSET(Curvas_cupon_cero!$A$1,1,0,COUNT(Curvas_cupon_cero!$A:$A)-2,1),OFFSET(Curvas_cupon_cero!$A$1,1,MATCH($B$6,Curvas_cupon_cero!$1:$1,0)-1,COUNT(Curvas_cupon_cero!$A:$A)-2,1)),interpolar(E144,OFFSET(Curvas_cupon_cero!$A$1,1,0,COUNT(Curvas_cupon_cero!$A:$A)-2,1),OFFSET(Curvas_cupon_cero!$A$1,1,MATCH($B$6,Curvas_cupon_cero!$1:$1,0)-1,COUNT(Curvas_cupon_cero!$A:$A)-2,1))))</f>
        <v/>
      </c>
      <c r="G144" s="23" t="str">
        <f ca="1">IF(A144="","",IF($B$8="Sí",interpolar_alamb(E144,OFFSET(Curvas_cupon_cero!$A$1,1,0,COUNT(Curvas_cupon_cero!$A:$A)-2,1),OFFSET(Curvas_cupon_cero!$A$1,1,MATCH($B$7,Curvas_cupon_cero!$1:$1,0)-1,COUNT(Curvas_cupon_cero!$A:$A)-2,1)),interpolar(E144,OFFSET(Curvas_cupon_cero!$A$1,1,0,COUNT(Curvas_cupon_cero!$A:$A)-2,1),OFFSET(Curvas_cupon_cero!$A$1,1,MATCH($B$7,Curvas_cupon_cero!$1:$1,0)-1,COUNT(Curvas_cupon_cero!$A:$A)-2,1))))</f>
        <v/>
      </c>
      <c r="H144" s="19" t="str">
        <f t="shared" ref="H144:H207" si="13">IF(A144="","",C144/(1+(F144+G144)*E144/360))</f>
        <v/>
      </c>
    </row>
    <row r="145" spans="1:8" x14ac:dyDescent="0.2">
      <c r="A145" s="12" t="str">
        <f t="shared" ref="A145:A208" si="14">IF(A144="","",IF((A144+$B$5)&gt;$B$4,"",(A144+$B$5)))</f>
        <v/>
      </c>
      <c r="B145" s="21" t="str">
        <f t="shared" ref="B145:B208" si="15">IF(A145="","",((1+$B$9/360)^$B$5-1)*360/$B$5)</f>
        <v/>
      </c>
      <c r="C145" s="17" t="str">
        <f t="shared" si="12"/>
        <v/>
      </c>
      <c r="D145" s="18" t="str">
        <f t="shared" ref="D145:D208" si="16">IF(A145="","",$B$5)</f>
        <v/>
      </c>
      <c r="E145" t="str">
        <f t="shared" ref="E145:E208" si="17">IF(A145="","",E144+D145)</f>
        <v/>
      </c>
      <c r="F145" s="23" t="str">
        <f ca="1">IF(A145="","",IF($B$8="Sí",interpolar_alamb(E145,OFFSET(Curvas_cupon_cero!$A$1,1,0,COUNT(Curvas_cupon_cero!$A:$A)-2,1),OFFSET(Curvas_cupon_cero!$A$1,1,MATCH($B$6,Curvas_cupon_cero!$1:$1,0)-1,COUNT(Curvas_cupon_cero!$A:$A)-2,1)),interpolar(E145,OFFSET(Curvas_cupon_cero!$A$1,1,0,COUNT(Curvas_cupon_cero!$A:$A)-2,1),OFFSET(Curvas_cupon_cero!$A$1,1,MATCH($B$6,Curvas_cupon_cero!$1:$1,0)-1,COUNT(Curvas_cupon_cero!$A:$A)-2,1))))</f>
        <v/>
      </c>
      <c r="G145" s="23" t="str">
        <f ca="1">IF(A145="","",IF($B$8="Sí",interpolar_alamb(E145,OFFSET(Curvas_cupon_cero!$A$1,1,0,COUNT(Curvas_cupon_cero!$A:$A)-2,1),OFFSET(Curvas_cupon_cero!$A$1,1,MATCH($B$7,Curvas_cupon_cero!$1:$1,0)-1,COUNT(Curvas_cupon_cero!$A:$A)-2,1)),interpolar(E145,OFFSET(Curvas_cupon_cero!$A$1,1,0,COUNT(Curvas_cupon_cero!$A:$A)-2,1),OFFSET(Curvas_cupon_cero!$A$1,1,MATCH($B$7,Curvas_cupon_cero!$1:$1,0)-1,COUNT(Curvas_cupon_cero!$A:$A)-2,1))))</f>
        <v/>
      </c>
      <c r="H145" s="19" t="str">
        <f t="shared" si="13"/>
        <v/>
      </c>
    </row>
    <row r="146" spans="1:8" x14ac:dyDescent="0.2">
      <c r="A146" s="12" t="str">
        <f t="shared" si="14"/>
        <v/>
      </c>
      <c r="B146" s="21" t="str">
        <f t="shared" si="15"/>
        <v/>
      </c>
      <c r="C146" s="17" t="str">
        <f t="shared" si="12"/>
        <v/>
      </c>
      <c r="D146" s="18" t="str">
        <f t="shared" si="16"/>
        <v/>
      </c>
      <c r="E146" t="str">
        <f t="shared" si="17"/>
        <v/>
      </c>
      <c r="F146" s="23" t="str">
        <f ca="1">IF(A146="","",IF($B$8="Sí",interpolar_alamb(E146,OFFSET(Curvas_cupon_cero!$A$1,1,0,COUNT(Curvas_cupon_cero!$A:$A)-2,1),OFFSET(Curvas_cupon_cero!$A$1,1,MATCH($B$6,Curvas_cupon_cero!$1:$1,0)-1,COUNT(Curvas_cupon_cero!$A:$A)-2,1)),interpolar(E146,OFFSET(Curvas_cupon_cero!$A$1,1,0,COUNT(Curvas_cupon_cero!$A:$A)-2,1),OFFSET(Curvas_cupon_cero!$A$1,1,MATCH($B$6,Curvas_cupon_cero!$1:$1,0)-1,COUNT(Curvas_cupon_cero!$A:$A)-2,1))))</f>
        <v/>
      </c>
      <c r="G146" s="23" t="str">
        <f ca="1">IF(A146="","",IF($B$8="Sí",interpolar_alamb(E146,OFFSET(Curvas_cupon_cero!$A$1,1,0,COUNT(Curvas_cupon_cero!$A:$A)-2,1),OFFSET(Curvas_cupon_cero!$A$1,1,MATCH($B$7,Curvas_cupon_cero!$1:$1,0)-1,COUNT(Curvas_cupon_cero!$A:$A)-2,1)),interpolar(E146,OFFSET(Curvas_cupon_cero!$A$1,1,0,COUNT(Curvas_cupon_cero!$A:$A)-2,1),OFFSET(Curvas_cupon_cero!$A$1,1,MATCH($B$7,Curvas_cupon_cero!$1:$1,0)-1,COUNT(Curvas_cupon_cero!$A:$A)-2,1))))</f>
        <v/>
      </c>
      <c r="H146" s="19" t="str">
        <f t="shared" si="13"/>
        <v/>
      </c>
    </row>
    <row r="147" spans="1:8" x14ac:dyDescent="0.2">
      <c r="A147" s="12" t="str">
        <f t="shared" si="14"/>
        <v/>
      </c>
      <c r="B147" s="21" t="str">
        <f t="shared" si="15"/>
        <v/>
      </c>
      <c r="C147" s="17" t="str">
        <f t="shared" si="12"/>
        <v/>
      </c>
      <c r="D147" s="18" t="str">
        <f t="shared" si="16"/>
        <v/>
      </c>
      <c r="E147" t="str">
        <f t="shared" si="17"/>
        <v/>
      </c>
      <c r="F147" s="23" t="str">
        <f ca="1">IF(A147="","",IF($B$8="Sí",interpolar_alamb(E147,OFFSET(Curvas_cupon_cero!$A$1,1,0,COUNT(Curvas_cupon_cero!$A:$A)-2,1),OFFSET(Curvas_cupon_cero!$A$1,1,MATCH($B$6,Curvas_cupon_cero!$1:$1,0)-1,COUNT(Curvas_cupon_cero!$A:$A)-2,1)),interpolar(E147,OFFSET(Curvas_cupon_cero!$A$1,1,0,COUNT(Curvas_cupon_cero!$A:$A)-2,1),OFFSET(Curvas_cupon_cero!$A$1,1,MATCH($B$6,Curvas_cupon_cero!$1:$1,0)-1,COUNT(Curvas_cupon_cero!$A:$A)-2,1))))</f>
        <v/>
      </c>
      <c r="G147" s="23" t="str">
        <f ca="1">IF(A147="","",IF($B$8="Sí",interpolar_alamb(E147,OFFSET(Curvas_cupon_cero!$A$1,1,0,COUNT(Curvas_cupon_cero!$A:$A)-2,1),OFFSET(Curvas_cupon_cero!$A$1,1,MATCH($B$7,Curvas_cupon_cero!$1:$1,0)-1,COUNT(Curvas_cupon_cero!$A:$A)-2,1)),interpolar(E147,OFFSET(Curvas_cupon_cero!$A$1,1,0,COUNT(Curvas_cupon_cero!$A:$A)-2,1),OFFSET(Curvas_cupon_cero!$A$1,1,MATCH($B$7,Curvas_cupon_cero!$1:$1,0)-1,COUNT(Curvas_cupon_cero!$A:$A)-2,1))))</f>
        <v/>
      </c>
      <c r="H147" s="19" t="str">
        <f t="shared" si="13"/>
        <v/>
      </c>
    </row>
    <row r="148" spans="1:8" x14ac:dyDescent="0.2">
      <c r="A148" s="12" t="str">
        <f t="shared" si="14"/>
        <v/>
      </c>
      <c r="B148" s="21" t="str">
        <f t="shared" si="15"/>
        <v/>
      </c>
      <c r="C148" s="17" t="str">
        <f t="shared" si="12"/>
        <v/>
      </c>
      <c r="D148" s="18" t="str">
        <f t="shared" si="16"/>
        <v/>
      </c>
      <c r="E148" t="str">
        <f t="shared" si="17"/>
        <v/>
      </c>
      <c r="F148" s="23" t="str">
        <f ca="1">IF(A148="","",IF($B$8="Sí",interpolar_alamb(E148,OFFSET(Curvas_cupon_cero!$A$1,1,0,COUNT(Curvas_cupon_cero!$A:$A)-2,1),OFFSET(Curvas_cupon_cero!$A$1,1,MATCH($B$6,Curvas_cupon_cero!$1:$1,0)-1,COUNT(Curvas_cupon_cero!$A:$A)-2,1)),interpolar(E148,OFFSET(Curvas_cupon_cero!$A$1,1,0,COUNT(Curvas_cupon_cero!$A:$A)-2,1),OFFSET(Curvas_cupon_cero!$A$1,1,MATCH($B$6,Curvas_cupon_cero!$1:$1,0)-1,COUNT(Curvas_cupon_cero!$A:$A)-2,1))))</f>
        <v/>
      </c>
      <c r="G148" s="23" t="str">
        <f ca="1">IF(A148="","",IF($B$8="Sí",interpolar_alamb(E148,OFFSET(Curvas_cupon_cero!$A$1,1,0,COUNT(Curvas_cupon_cero!$A:$A)-2,1),OFFSET(Curvas_cupon_cero!$A$1,1,MATCH($B$7,Curvas_cupon_cero!$1:$1,0)-1,COUNT(Curvas_cupon_cero!$A:$A)-2,1)),interpolar(E148,OFFSET(Curvas_cupon_cero!$A$1,1,0,COUNT(Curvas_cupon_cero!$A:$A)-2,1),OFFSET(Curvas_cupon_cero!$A$1,1,MATCH($B$7,Curvas_cupon_cero!$1:$1,0)-1,COUNT(Curvas_cupon_cero!$A:$A)-2,1))))</f>
        <v/>
      </c>
      <c r="H148" s="19" t="str">
        <f t="shared" si="13"/>
        <v/>
      </c>
    </row>
    <row r="149" spans="1:8" x14ac:dyDescent="0.2">
      <c r="A149" s="12" t="str">
        <f t="shared" si="14"/>
        <v/>
      </c>
      <c r="B149" s="21" t="str">
        <f t="shared" si="15"/>
        <v/>
      </c>
      <c r="C149" s="17" t="str">
        <f t="shared" si="12"/>
        <v/>
      </c>
      <c r="D149" s="18" t="str">
        <f t="shared" si="16"/>
        <v/>
      </c>
      <c r="E149" t="str">
        <f t="shared" si="17"/>
        <v/>
      </c>
      <c r="F149" s="23" t="str">
        <f ca="1">IF(A149="","",IF($B$8="Sí",interpolar_alamb(E149,OFFSET(Curvas_cupon_cero!$A$1,1,0,COUNT(Curvas_cupon_cero!$A:$A)-2,1),OFFSET(Curvas_cupon_cero!$A$1,1,MATCH($B$6,Curvas_cupon_cero!$1:$1,0)-1,COUNT(Curvas_cupon_cero!$A:$A)-2,1)),interpolar(E149,OFFSET(Curvas_cupon_cero!$A$1,1,0,COUNT(Curvas_cupon_cero!$A:$A)-2,1),OFFSET(Curvas_cupon_cero!$A$1,1,MATCH($B$6,Curvas_cupon_cero!$1:$1,0)-1,COUNT(Curvas_cupon_cero!$A:$A)-2,1))))</f>
        <v/>
      </c>
      <c r="G149" s="23" t="str">
        <f ca="1">IF(A149="","",IF($B$8="Sí",interpolar_alamb(E149,OFFSET(Curvas_cupon_cero!$A$1,1,0,COUNT(Curvas_cupon_cero!$A:$A)-2,1),OFFSET(Curvas_cupon_cero!$A$1,1,MATCH($B$7,Curvas_cupon_cero!$1:$1,0)-1,COUNT(Curvas_cupon_cero!$A:$A)-2,1)),interpolar(E149,OFFSET(Curvas_cupon_cero!$A$1,1,0,COUNT(Curvas_cupon_cero!$A:$A)-2,1),OFFSET(Curvas_cupon_cero!$A$1,1,MATCH($B$7,Curvas_cupon_cero!$1:$1,0)-1,COUNT(Curvas_cupon_cero!$A:$A)-2,1))))</f>
        <v/>
      </c>
      <c r="H149" s="19" t="str">
        <f t="shared" si="13"/>
        <v/>
      </c>
    </row>
    <row r="150" spans="1:8" x14ac:dyDescent="0.2">
      <c r="A150" s="12" t="str">
        <f t="shared" si="14"/>
        <v/>
      </c>
      <c r="B150" s="21" t="str">
        <f t="shared" si="15"/>
        <v/>
      </c>
      <c r="C150" s="17" t="str">
        <f t="shared" si="12"/>
        <v/>
      </c>
      <c r="D150" s="18" t="str">
        <f t="shared" si="16"/>
        <v/>
      </c>
      <c r="E150" t="str">
        <f t="shared" si="17"/>
        <v/>
      </c>
      <c r="F150" s="23" t="str">
        <f ca="1">IF(A150="","",IF($B$8="Sí",interpolar_alamb(E150,OFFSET(Curvas_cupon_cero!$A$1,1,0,COUNT(Curvas_cupon_cero!$A:$A)-2,1),OFFSET(Curvas_cupon_cero!$A$1,1,MATCH($B$6,Curvas_cupon_cero!$1:$1,0)-1,COUNT(Curvas_cupon_cero!$A:$A)-2,1)),interpolar(E150,OFFSET(Curvas_cupon_cero!$A$1,1,0,COUNT(Curvas_cupon_cero!$A:$A)-2,1),OFFSET(Curvas_cupon_cero!$A$1,1,MATCH($B$6,Curvas_cupon_cero!$1:$1,0)-1,COUNT(Curvas_cupon_cero!$A:$A)-2,1))))</f>
        <v/>
      </c>
      <c r="G150" s="23" t="str">
        <f ca="1">IF(A150="","",IF($B$8="Sí",interpolar_alamb(E150,OFFSET(Curvas_cupon_cero!$A$1,1,0,COUNT(Curvas_cupon_cero!$A:$A)-2,1),OFFSET(Curvas_cupon_cero!$A$1,1,MATCH($B$7,Curvas_cupon_cero!$1:$1,0)-1,COUNT(Curvas_cupon_cero!$A:$A)-2,1)),interpolar(E150,OFFSET(Curvas_cupon_cero!$A$1,1,0,COUNT(Curvas_cupon_cero!$A:$A)-2,1),OFFSET(Curvas_cupon_cero!$A$1,1,MATCH($B$7,Curvas_cupon_cero!$1:$1,0)-1,COUNT(Curvas_cupon_cero!$A:$A)-2,1))))</f>
        <v/>
      </c>
      <c r="H150" s="19" t="str">
        <f t="shared" si="13"/>
        <v/>
      </c>
    </row>
    <row r="151" spans="1:8" x14ac:dyDescent="0.2">
      <c r="A151" s="12" t="str">
        <f t="shared" si="14"/>
        <v/>
      </c>
      <c r="B151" s="21" t="str">
        <f t="shared" si="15"/>
        <v/>
      </c>
      <c r="C151" s="17" t="str">
        <f t="shared" si="12"/>
        <v/>
      </c>
      <c r="D151" s="18" t="str">
        <f t="shared" si="16"/>
        <v/>
      </c>
      <c r="E151" t="str">
        <f t="shared" si="17"/>
        <v/>
      </c>
      <c r="F151" s="23" t="str">
        <f ca="1">IF(A151="","",IF($B$8="Sí",interpolar_alamb(E151,OFFSET(Curvas_cupon_cero!$A$1,1,0,COUNT(Curvas_cupon_cero!$A:$A)-2,1),OFFSET(Curvas_cupon_cero!$A$1,1,MATCH($B$6,Curvas_cupon_cero!$1:$1,0)-1,COUNT(Curvas_cupon_cero!$A:$A)-2,1)),interpolar(E151,OFFSET(Curvas_cupon_cero!$A$1,1,0,COUNT(Curvas_cupon_cero!$A:$A)-2,1),OFFSET(Curvas_cupon_cero!$A$1,1,MATCH($B$6,Curvas_cupon_cero!$1:$1,0)-1,COUNT(Curvas_cupon_cero!$A:$A)-2,1))))</f>
        <v/>
      </c>
      <c r="G151" s="23" t="str">
        <f ca="1">IF(A151="","",IF($B$8="Sí",interpolar_alamb(E151,OFFSET(Curvas_cupon_cero!$A$1,1,0,COUNT(Curvas_cupon_cero!$A:$A)-2,1),OFFSET(Curvas_cupon_cero!$A$1,1,MATCH($B$7,Curvas_cupon_cero!$1:$1,0)-1,COUNT(Curvas_cupon_cero!$A:$A)-2,1)),interpolar(E151,OFFSET(Curvas_cupon_cero!$A$1,1,0,COUNT(Curvas_cupon_cero!$A:$A)-2,1),OFFSET(Curvas_cupon_cero!$A$1,1,MATCH($B$7,Curvas_cupon_cero!$1:$1,0)-1,COUNT(Curvas_cupon_cero!$A:$A)-2,1))))</f>
        <v/>
      </c>
      <c r="H151" s="19" t="str">
        <f t="shared" si="13"/>
        <v/>
      </c>
    </row>
    <row r="152" spans="1:8" x14ac:dyDescent="0.2">
      <c r="A152" s="12" t="str">
        <f t="shared" si="14"/>
        <v/>
      </c>
      <c r="B152" s="21" t="str">
        <f t="shared" si="15"/>
        <v/>
      </c>
      <c r="C152" s="17" t="str">
        <f t="shared" si="12"/>
        <v/>
      </c>
      <c r="D152" s="18" t="str">
        <f t="shared" si="16"/>
        <v/>
      </c>
      <c r="E152" t="str">
        <f t="shared" si="17"/>
        <v/>
      </c>
      <c r="F152" s="23" t="str">
        <f ca="1">IF(A152="","",IF($B$8="Sí",interpolar_alamb(E152,OFFSET(Curvas_cupon_cero!$A$1,1,0,COUNT(Curvas_cupon_cero!$A:$A)-2,1),OFFSET(Curvas_cupon_cero!$A$1,1,MATCH($B$6,Curvas_cupon_cero!$1:$1,0)-1,COUNT(Curvas_cupon_cero!$A:$A)-2,1)),interpolar(E152,OFFSET(Curvas_cupon_cero!$A$1,1,0,COUNT(Curvas_cupon_cero!$A:$A)-2,1),OFFSET(Curvas_cupon_cero!$A$1,1,MATCH($B$6,Curvas_cupon_cero!$1:$1,0)-1,COUNT(Curvas_cupon_cero!$A:$A)-2,1))))</f>
        <v/>
      </c>
      <c r="G152" s="23" t="str">
        <f ca="1">IF(A152="","",IF($B$8="Sí",interpolar_alamb(E152,OFFSET(Curvas_cupon_cero!$A$1,1,0,COUNT(Curvas_cupon_cero!$A:$A)-2,1),OFFSET(Curvas_cupon_cero!$A$1,1,MATCH($B$7,Curvas_cupon_cero!$1:$1,0)-1,COUNT(Curvas_cupon_cero!$A:$A)-2,1)),interpolar(E152,OFFSET(Curvas_cupon_cero!$A$1,1,0,COUNT(Curvas_cupon_cero!$A:$A)-2,1),OFFSET(Curvas_cupon_cero!$A$1,1,MATCH($B$7,Curvas_cupon_cero!$1:$1,0)-1,COUNT(Curvas_cupon_cero!$A:$A)-2,1))))</f>
        <v/>
      </c>
      <c r="H152" s="19" t="str">
        <f t="shared" si="13"/>
        <v/>
      </c>
    </row>
    <row r="153" spans="1:8" x14ac:dyDescent="0.2">
      <c r="A153" s="12" t="str">
        <f t="shared" si="14"/>
        <v/>
      </c>
      <c r="B153" s="21" t="str">
        <f t="shared" si="15"/>
        <v/>
      </c>
      <c r="C153" s="17" t="str">
        <f t="shared" si="12"/>
        <v/>
      </c>
      <c r="D153" s="18" t="str">
        <f t="shared" si="16"/>
        <v/>
      </c>
      <c r="E153" t="str">
        <f t="shared" si="17"/>
        <v/>
      </c>
      <c r="F153" s="23" t="str">
        <f ca="1">IF(A153="","",IF($B$8="Sí",interpolar_alamb(E153,OFFSET(Curvas_cupon_cero!$A$1,1,0,COUNT(Curvas_cupon_cero!$A:$A)-2,1),OFFSET(Curvas_cupon_cero!$A$1,1,MATCH($B$6,Curvas_cupon_cero!$1:$1,0)-1,COUNT(Curvas_cupon_cero!$A:$A)-2,1)),interpolar(E153,OFFSET(Curvas_cupon_cero!$A$1,1,0,COUNT(Curvas_cupon_cero!$A:$A)-2,1),OFFSET(Curvas_cupon_cero!$A$1,1,MATCH($B$6,Curvas_cupon_cero!$1:$1,0)-1,COUNT(Curvas_cupon_cero!$A:$A)-2,1))))</f>
        <v/>
      </c>
      <c r="G153" s="23" t="str">
        <f ca="1">IF(A153="","",IF($B$8="Sí",interpolar_alamb(E153,OFFSET(Curvas_cupon_cero!$A$1,1,0,COUNT(Curvas_cupon_cero!$A:$A)-2,1),OFFSET(Curvas_cupon_cero!$A$1,1,MATCH($B$7,Curvas_cupon_cero!$1:$1,0)-1,COUNT(Curvas_cupon_cero!$A:$A)-2,1)),interpolar(E153,OFFSET(Curvas_cupon_cero!$A$1,1,0,COUNT(Curvas_cupon_cero!$A:$A)-2,1),OFFSET(Curvas_cupon_cero!$A$1,1,MATCH($B$7,Curvas_cupon_cero!$1:$1,0)-1,COUNT(Curvas_cupon_cero!$A:$A)-2,1))))</f>
        <v/>
      </c>
      <c r="H153" s="19" t="str">
        <f t="shared" si="13"/>
        <v/>
      </c>
    </row>
    <row r="154" spans="1:8" x14ac:dyDescent="0.2">
      <c r="A154" s="12" t="str">
        <f t="shared" si="14"/>
        <v/>
      </c>
      <c r="B154" s="21" t="str">
        <f t="shared" si="15"/>
        <v/>
      </c>
      <c r="C154" s="17" t="str">
        <f t="shared" si="12"/>
        <v/>
      </c>
      <c r="D154" s="18" t="str">
        <f t="shared" si="16"/>
        <v/>
      </c>
      <c r="E154" t="str">
        <f t="shared" si="17"/>
        <v/>
      </c>
      <c r="F154" s="23" t="str">
        <f ca="1">IF(A154="","",IF($B$8="Sí",interpolar_alamb(E154,OFFSET(Curvas_cupon_cero!$A$1,1,0,COUNT(Curvas_cupon_cero!$A:$A)-2,1),OFFSET(Curvas_cupon_cero!$A$1,1,MATCH($B$6,Curvas_cupon_cero!$1:$1,0)-1,COUNT(Curvas_cupon_cero!$A:$A)-2,1)),interpolar(E154,OFFSET(Curvas_cupon_cero!$A$1,1,0,COUNT(Curvas_cupon_cero!$A:$A)-2,1),OFFSET(Curvas_cupon_cero!$A$1,1,MATCH($B$6,Curvas_cupon_cero!$1:$1,0)-1,COUNT(Curvas_cupon_cero!$A:$A)-2,1))))</f>
        <v/>
      </c>
      <c r="G154" s="23" t="str">
        <f ca="1">IF(A154="","",IF($B$8="Sí",interpolar_alamb(E154,OFFSET(Curvas_cupon_cero!$A$1,1,0,COUNT(Curvas_cupon_cero!$A:$A)-2,1),OFFSET(Curvas_cupon_cero!$A$1,1,MATCH($B$7,Curvas_cupon_cero!$1:$1,0)-1,COUNT(Curvas_cupon_cero!$A:$A)-2,1)),interpolar(E154,OFFSET(Curvas_cupon_cero!$A$1,1,0,COUNT(Curvas_cupon_cero!$A:$A)-2,1),OFFSET(Curvas_cupon_cero!$A$1,1,MATCH($B$7,Curvas_cupon_cero!$1:$1,0)-1,COUNT(Curvas_cupon_cero!$A:$A)-2,1))))</f>
        <v/>
      </c>
      <c r="H154" s="19" t="str">
        <f t="shared" si="13"/>
        <v/>
      </c>
    </row>
    <row r="155" spans="1:8" x14ac:dyDescent="0.2">
      <c r="A155" s="12" t="str">
        <f t="shared" si="14"/>
        <v/>
      </c>
      <c r="B155" s="21" t="str">
        <f t="shared" si="15"/>
        <v/>
      </c>
      <c r="C155" s="17" t="str">
        <f t="shared" si="12"/>
        <v/>
      </c>
      <c r="D155" s="18" t="str">
        <f t="shared" si="16"/>
        <v/>
      </c>
      <c r="E155" t="str">
        <f t="shared" si="17"/>
        <v/>
      </c>
      <c r="F155" s="23" t="str">
        <f ca="1">IF(A155="","",IF($B$8="Sí",interpolar_alamb(E155,OFFSET(Curvas_cupon_cero!$A$1,1,0,COUNT(Curvas_cupon_cero!$A:$A)-2,1),OFFSET(Curvas_cupon_cero!$A$1,1,MATCH($B$6,Curvas_cupon_cero!$1:$1,0)-1,COUNT(Curvas_cupon_cero!$A:$A)-2,1)),interpolar(E155,OFFSET(Curvas_cupon_cero!$A$1,1,0,COUNT(Curvas_cupon_cero!$A:$A)-2,1),OFFSET(Curvas_cupon_cero!$A$1,1,MATCH($B$6,Curvas_cupon_cero!$1:$1,0)-1,COUNT(Curvas_cupon_cero!$A:$A)-2,1))))</f>
        <v/>
      </c>
      <c r="G155" s="23" t="str">
        <f ca="1">IF(A155="","",IF($B$8="Sí",interpolar_alamb(E155,OFFSET(Curvas_cupon_cero!$A$1,1,0,COUNT(Curvas_cupon_cero!$A:$A)-2,1),OFFSET(Curvas_cupon_cero!$A$1,1,MATCH($B$7,Curvas_cupon_cero!$1:$1,0)-1,COUNT(Curvas_cupon_cero!$A:$A)-2,1)),interpolar(E155,OFFSET(Curvas_cupon_cero!$A$1,1,0,COUNT(Curvas_cupon_cero!$A:$A)-2,1),OFFSET(Curvas_cupon_cero!$A$1,1,MATCH($B$7,Curvas_cupon_cero!$1:$1,0)-1,COUNT(Curvas_cupon_cero!$A:$A)-2,1))))</f>
        <v/>
      </c>
      <c r="H155" s="19" t="str">
        <f t="shared" si="13"/>
        <v/>
      </c>
    </row>
    <row r="156" spans="1:8" x14ac:dyDescent="0.2">
      <c r="A156" s="12" t="str">
        <f t="shared" si="14"/>
        <v/>
      </c>
      <c r="B156" s="21" t="str">
        <f t="shared" si="15"/>
        <v/>
      </c>
      <c r="C156" s="17" t="str">
        <f t="shared" si="12"/>
        <v/>
      </c>
      <c r="D156" s="18" t="str">
        <f t="shared" si="16"/>
        <v/>
      </c>
      <c r="E156" t="str">
        <f t="shared" si="17"/>
        <v/>
      </c>
      <c r="F156" s="23" t="str">
        <f ca="1">IF(A156="","",IF($B$8="Sí",interpolar_alamb(E156,OFFSET(Curvas_cupon_cero!$A$1,1,0,COUNT(Curvas_cupon_cero!$A:$A)-2,1),OFFSET(Curvas_cupon_cero!$A$1,1,MATCH($B$6,Curvas_cupon_cero!$1:$1,0)-1,COUNT(Curvas_cupon_cero!$A:$A)-2,1)),interpolar(E156,OFFSET(Curvas_cupon_cero!$A$1,1,0,COUNT(Curvas_cupon_cero!$A:$A)-2,1),OFFSET(Curvas_cupon_cero!$A$1,1,MATCH($B$6,Curvas_cupon_cero!$1:$1,0)-1,COUNT(Curvas_cupon_cero!$A:$A)-2,1))))</f>
        <v/>
      </c>
      <c r="G156" s="23" t="str">
        <f ca="1">IF(A156="","",IF($B$8="Sí",interpolar_alamb(E156,OFFSET(Curvas_cupon_cero!$A$1,1,0,COUNT(Curvas_cupon_cero!$A:$A)-2,1),OFFSET(Curvas_cupon_cero!$A$1,1,MATCH($B$7,Curvas_cupon_cero!$1:$1,0)-1,COUNT(Curvas_cupon_cero!$A:$A)-2,1)),interpolar(E156,OFFSET(Curvas_cupon_cero!$A$1,1,0,COUNT(Curvas_cupon_cero!$A:$A)-2,1),OFFSET(Curvas_cupon_cero!$A$1,1,MATCH($B$7,Curvas_cupon_cero!$1:$1,0)-1,COUNT(Curvas_cupon_cero!$A:$A)-2,1))))</f>
        <v/>
      </c>
      <c r="H156" s="19" t="str">
        <f t="shared" si="13"/>
        <v/>
      </c>
    </row>
    <row r="157" spans="1:8" x14ac:dyDescent="0.2">
      <c r="A157" s="12" t="str">
        <f t="shared" si="14"/>
        <v/>
      </c>
      <c r="B157" s="21" t="str">
        <f t="shared" si="15"/>
        <v/>
      </c>
      <c r="C157" s="17" t="str">
        <f t="shared" si="12"/>
        <v/>
      </c>
      <c r="D157" s="18" t="str">
        <f t="shared" si="16"/>
        <v/>
      </c>
      <c r="E157" t="str">
        <f t="shared" si="17"/>
        <v/>
      </c>
      <c r="F157" s="23" t="str">
        <f ca="1">IF(A157="","",IF($B$8="Sí",interpolar_alamb(E157,OFFSET(Curvas_cupon_cero!$A$1,1,0,COUNT(Curvas_cupon_cero!$A:$A)-2,1),OFFSET(Curvas_cupon_cero!$A$1,1,MATCH($B$6,Curvas_cupon_cero!$1:$1,0)-1,COUNT(Curvas_cupon_cero!$A:$A)-2,1)),interpolar(E157,OFFSET(Curvas_cupon_cero!$A$1,1,0,COUNT(Curvas_cupon_cero!$A:$A)-2,1),OFFSET(Curvas_cupon_cero!$A$1,1,MATCH($B$6,Curvas_cupon_cero!$1:$1,0)-1,COUNT(Curvas_cupon_cero!$A:$A)-2,1))))</f>
        <v/>
      </c>
      <c r="G157" s="23" t="str">
        <f ca="1">IF(A157="","",IF($B$8="Sí",interpolar_alamb(E157,OFFSET(Curvas_cupon_cero!$A$1,1,0,COUNT(Curvas_cupon_cero!$A:$A)-2,1),OFFSET(Curvas_cupon_cero!$A$1,1,MATCH($B$7,Curvas_cupon_cero!$1:$1,0)-1,COUNT(Curvas_cupon_cero!$A:$A)-2,1)),interpolar(E157,OFFSET(Curvas_cupon_cero!$A$1,1,0,COUNT(Curvas_cupon_cero!$A:$A)-2,1),OFFSET(Curvas_cupon_cero!$A$1,1,MATCH($B$7,Curvas_cupon_cero!$1:$1,0)-1,COUNT(Curvas_cupon_cero!$A:$A)-2,1))))</f>
        <v/>
      </c>
      <c r="H157" s="19" t="str">
        <f t="shared" si="13"/>
        <v/>
      </c>
    </row>
    <row r="158" spans="1:8" x14ac:dyDescent="0.2">
      <c r="A158" s="12" t="str">
        <f t="shared" si="14"/>
        <v/>
      </c>
      <c r="B158" s="21" t="str">
        <f t="shared" si="15"/>
        <v/>
      </c>
      <c r="C158" s="17" t="str">
        <f t="shared" si="12"/>
        <v/>
      </c>
      <c r="D158" s="18" t="str">
        <f t="shared" si="16"/>
        <v/>
      </c>
      <c r="E158" t="str">
        <f t="shared" si="17"/>
        <v/>
      </c>
      <c r="F158" s="23" t="str">
        <f ca="1">IF(A158="","",IF($B$8="Sí",interpolar_alamb(E158,OFFSET(Curvas_cupon_cero!$A$1,1,0,COUNT(Curvas_cupon_cero!$A:$A)-2,1),OFFSET(Curvas_cupon_cero!$A$1,1,MATCH($B$6,Curvas_cupon_cero!$1:$1,0)-1,COUNT(Curvas_cupon_cero!$A:$A)-2,1)),interpolar(E158,OFFSET(Curvas_cupon_cero!$A$1,1,0,COUNT(Curvas_cupon_cero!$A:$A)-2,1),OFFSET(Curvas_cupon_cero!$A$1,1,MATCH($B$6,Curvas_cupon_cero!$1:$1,0)-1,COUNT(Curvas_cupon_cero!$A:$A)-2,1))))</f>
        <v/>
      </c>
      <c r="G158" s="23" t="str">
        <f ca="1">IF(A158="","",IF($B$8="Sí",interpolar_alamb(E158,OFFSET(Curvas_cupon_cero!$A$1,1,0,COUNT(Curvas_cupon_cero!$A:$A)-2,1),OFFSET(Curvas_cupon_cero!$A$1,1,MATCH($B$7,Curvas_cupon_cero!$1:$1,0)-1,COUNT(Curvas_cupon_cero!$A:$A)-2,1)),interpolar(E158,OFFSET(Curvas_cupon_cero!$A$1,1,0,COUNT(Curvas_cupon_cero!$A:$A)-2,1),OFFSET(Curvas_cupon_cero!$A$1,1,MATCH($B$7,Curvas_cupon_cero!$1:$1,0)-1,COUNT(Curvas_cupon_cero!$A:$A)-2,1))))</f>
        <v/>
      </c>
      <c r="H158" s="19" t="str">
        <f t="shared" si="13"/>
        <v/>
      </c>
    </row>
    <row r="159" spans="1:8" x14ac:dyDescent="0.2">
      <c r="A159" s="12" t="str">
        <f t="shared" si="14"/>
        <v/>
      </c>
      <c r="B159" s="21" t="str">
        <f t="shared" si="15"/>
        <v/>
      </c>
      <c r="C159" s="17" t="str">
        <f t="shared" si="12"/>
        <v/>
      </c>
      <c r="D159" s="18" t="str">
        <f t="shared" si="16"/>
        <v/>
      </c>
      <c r="E159" t="str">
        <f t="shared" si="17"/>
        <v/>
      </c>
      <c r="F159" s="23" t="str">
        <f ca="1">IF(A159="","",IF($B$8="Sí",interpolar_alamb(E159,OFFSET(Curvas_cupon_cero!$A$1,1,0,COUNT(Curvas_cupon_cero!$A:$A)-2,1),OFFSET(Curvas_cupon_cero!$A$1,1,MATCH($B$6,Curvas_cupon_cero!$1:$1,0)-1,COUNT(Curvas_cupon_cero!$A:$A)-2,1)),interpolar(E159,OFFSET(Curvas_cupon_cero!$A$1,1,0,COUNT(Curvas_cupon_cero!$A:$A)-2,1),OFFSET(Curvas_cupon_cero!$A$1,1,MATCH($B$6,Curvas_cupon_cero!$1:$1,0)-1,COUNT(Curvas_cupon_cero!$A:$A)-2,1))))</f>
        <v/>
      </c>
      <c r="G159" s="23" t="str">
        <f ca="1">IF(A159="","",IF($B$8="Sí",interpolar_alamb(E159,OFFSET(Curvas_cupon_cero!$A$1,1,0,COUNT(Curvas_cupon_cero!$A:$A)-2,1),OFFSET(Curvas_cupon_cero!$A$1,1,MATCH($B$7,Curvas_cupon_cero!$1:$1,0)-1,COUNT(Curvas_cupon_cero!$A:$A)-2,1)),interpolar(E159,OFFSET(Curvas_cupon_cero!$A$1,1,0,COUNT(Curvas_cupon_cero!$A:$A)-2,1),OFFSET(Curvas_cupon_cero!$A$1,1,MATCH($B$7,Curvas_cupon_cero!$1:$1,0)-1,COUNT(Curvas_cupon_cero!$A:$A)-2,1))))</f>
        <v/>
      </c>
      <c r="H159" s="19" t="str">
        <f t="shared" si="13"/>
        <v/>
      </c>
    </row>
    <row r="160" spans="1:8" x14ac:dyDescent="0.2">
      <c r="A160" s="12" t="str">
        <f t="shared" si="14"/>
        <v/>
      </c>
      <c r="B160" s="21" t="str">
        <f t="shared" si="15"/>
        <v/>
      </c>
      <c r="C160" s="17" t="str">
        <f t="shared" si="12"/>
        <v/>
      </c>
      <c r="D160" s="18" t="str">
        <f t="shared" si="16"/>
        <v/>
      </c>
      <c r="E160" t="str">
        <f t="shared" si="17"/>
        <v/>
      </c>
      <c r="F160" s="23" t="str">
        <f ca="1">IF(A160="","",IF($B$8="Sí",interpolar_alamb(E160,OFFSET(Curvas_cupon_cero!$A$1,1,0,COUNT(Curvas_cupon_cero!$A:$A)-2,1),OFFSET(Curvas_cupon_cero!$A$1,1,MATCH($B$6,Curvas_cupon_cero!$1:$1,0)-1,COUNT(Curvas_cupon_cero!$A:$A)-2,1)),interpolar(E160,OFFSET(Curvas_cupon_cero!$A$1,1,0,COUNT(Curvas_cupon_cero!$A:$A)-2,1),OFFSET(Curvas_cupon_cero!$A$1,1,MATCH($B$6,Curvas_cupon_cero!$1:$1,0)-1,COUNT(Curvas_cupon_cero!$A:$A)-2,1))))</f>
        <v/>
      </c>
      <c r="G160" s="23" t="str">
        <f ca="1">IF(A160="","",IF($B$8="Sí",interpolar_alamb(E160,OFFSET(Curvas_cupon_cero!$A$1,1,0,COUNT(Curvas_cupon_cero!$A:$A)-2,1),OFFSET(Curvas_cupon_cero!$A$1,1,MATCH($B$7,Curvas_cupon_cero!$1:$1,0)-1,COUNT(Curvas_cupon_cero!$A:$A)-2,1)),interpolar(E160,OFFSET(Curvas_cupon_cero!$A$1,1,0,COUNT(Curvas_cupon_cero!$A:$A)-2,1),OFFSET(Curvas_cupon_cero!$A$1,1,MATCH($B$7,Curvas_cupon_cero!$1:$1,0)-1,COUNT(Curvas_cupon_cero!$A:$A)-2,1))))</f>
        <v/>
      </c>
      <c r="H160" s="19" t="str">
        <f t="shared" si="13"/>
        <v/>
      </c>
    </row>
    <row r="161" spans="1:8" x14ac:dyDescent="0.2">
      <c r="A161" s="12" t="str">
        <f t="shared" si="14"/>
        <v/>
      </c>
      <c r="B161" s="21" t="str">
        <f t="shared" si="15"/>
        <v/>
      </c>
      <c r="C161" s="17" t="str">
        <f t="shared" si="12"/>
        <v/>
      </c>
      <c r="D161" s="18" t="str">
        <f t="shared" si="16"/>
        <v/>
      </c>
      <c r="E161" t="str">
        <f t="shared" si="17"/>
        <v/>
      </c>
      <c r="F161" s="23" t="str">
        <f ca="1">IF(A161="","",IF($B$8="Sí",interpolar_alamb(E161,OFFSET(Curvas_cupon_cero!$A$1,1,0,COUNT(Curvas_cupon_cero!$A:$A)-2,1),OFFSET(Curvas_cupon_cero!$A$1,1,MATCH($B$6,Curvas_cupon_cero!$1:$1,0)-1,COUNT(Curvas_cupon_cero!$A:$A)-2,1)),interpolar(E161,OFFSET(Curvas_cupon_cero!$A$1,1,0,COUNT(Curvas_cupon_cero!$A:$A)-2,1),OFFSET(Curvas_cupon_cero!$A$1,1,MATCH($B$6,Curvas_cupon_cero!$1:$1,0)-1,COUNT(Curvas_cupon_cero!$A:$A)-2,1))))</f>
        <v/>
      </c>
      <c r="G161" s="23" t="str">
        <f ca="1">IF(A161="","",IF($B$8="Sí",interpolar_alamb(E161,OFFSET(Curvas_cupon_cero!$A$1,1,0,COUNT(Curvas_cupon_cero!$A:$A)-2,1),OFFSET(Curvas_cupon_cero!$A$1,1,MATCH($B$7,Curvas_cupon_cero!$1:$1,0)-1,COUNT(Curvas_cupon_cero!$A:$A)-2,1)),interpolar(E161,OFFSET(Curvas_cupon_cero!$A$1,1,0,COUNT(Curvas_cupon_cero!$A:$A)-2,1),OFFSET(Curvas_cupon_cero!$A$1,1,MATCH($B$7,Curvas_cupon_cero!$1:$1,0)-1,COUNT(Curvas_cupon_cero!$A:$A)-2,1))))</f>
        <v/>
      </c>
      <c r="H161" s="19" t="str">
        <f t="shared" si="13"/>
        <v/>
      </c>
    </row>
    <row r="162" spans="1:8" x14ac:dyDescent="0.2">
      <c r="A162" s="12" t="str">
        <f t="shared" si="14"/>
        <v/>
      </c>
      <c r="B162" s="21" t="str">
        <f t="shared" si="15"/>
        <v/>
      </c>
      <c r="C162" s="17" t="str">
        <f t="shared" si="12"/>
        <v/>
      </c>
      <c r="D162" s="18" t="str">
        <f t="shared" si="16"/>
        <v/>
      </c>
      <c r="E162" t="str">
        <f t="shared" si="17"/>
        <v/>
      </c>
      <c r="F162" s="23" t="str">
        <f ca="1">IF(A162="","",IF($B$8="Sí",interpolar_alamb(E162,OFFSET(Curvas_cupon_cero!$A$1,1,0,COUNT(Curvas_cupon_cero!$A:$A)-2,1),OFFSET(Curvas_cupon_cero!$A$1,1,MATCH($B$6,Curvas_cupon_cero!$1:$1,0)-1,COUNT(Curvas_cupon_cero!$A:$A)-2,1)),interpolar(E162,OFFSET(Curvas_cupon_cero!$A$1,1,0,COUNT(Curvas_cupon_cero!$A:$A)-2,1),OFFSET(Curvas_cupon_cero!$A$1,1,MATCH($B$6,Curvas_cupon_cero!$1:$1,0)-1,COUNT(Curvas_cupon_cero!$A:$A)-2,1))))</f>
        <v/>
      </c>
      <c r="G162" s="23" t="str">
        <f ca="1">IF(A162="","",IF($B$8="Sí",interpolar_alamb(E162,OFFSET(Curvas_cupon_cero!$A$1,1,0,COUNT(Curvas_cupon_cero!$A:$A)-2,1),OFFSET(Curvas_cupon_cero!$A$1,1,MATCH($B$7,Curvas_cupon_cero!$1:$1,0)-1,COUNT(Curvas_cupon_cero!$A:$A)-2,1)),interpolar(E162,OFFSET(Curvas_cupon_cero!$A$1,1,0,COUNT(Curvas_cupon_cero!$A:$A)-2,1),OFFSET(Curvas_cupon_cero!$A$1,1,MATCH($B$7,Curvas_cupon_cero!$1:$1,0)-1,COUNT(Curvas_cupon_cero!$A:$A)-2,1))))</f>
        <v/>
      </c>
      <c r="H162" s="19" t="str">
        <f t="shared" si="13"/>
        <v/>
      </c>
    </row>
    <row r="163" spans="1:8" x14ac:dyDescent="0.2">
      <c r="A163" s="12" t="str">
        <f t="shared" si="14"/>
        <v/>
      </c>
      <c r="B163" s="21" t="str">
        <f t="shared" si="15"/>
        <v/>
      </c>
      <c r="C163" s="17" t="str">
        <f t="shared" si="12"/>
        <v/>
      </c>
      <c r="D163" s="18" t="str">
        <f t="shared" si="16"/>
        <v/>
      </c>
      <c r="E163" t="str">
        <f t="shared" si="17"/>
        <v/>
      </c>
      <c r="F163" s="23" t="str">
        <f ca="1">IF(A163="","",IF($B$8="Sí",interpolar_alamb(E163,OFFSET(Curvas_cupon_cero!$A$1,1,0,COUNT(Curvas_cupon_cero!$A:$A)-2,1),OFFSET(Curvas_cupon_cero!$A$1,1,MATCH($B$6,Curvas_cupon_cero!$1:$1,0)-1,COUNT(Curvas_cupon_cero!$A:$A)-2,1)),interpolar(E163,OFFSET(Curvas_cupon_cero!$A$1,1,0,COUNT(Curvas_cupon_cero!$A:$A)-2,1),OFFSET(Curvas_cupon_cero!$A$1,1,MATCH($B$6,Curvas_cupon_cero!$1:$1,0)-1,COUNT(Curvas_cupon_cero!$A:$A)-2,1))))</f>
        <v/>
      </c>
      <c r="G163" s="23" t="str">
        <f ca="1">IF(A163="","",IF($B$8="Sí",interpolar_alamb(E163,OFFSET(Curvas_cupon_cero!$A$1,1,0,COUNT(Curvas_cupon_cero!$A:$A)-2,1),OFFSET(Curvas_cupon_cero!$A$1,1,MATCH($B$7,Curvas_cupon_cero!$1:$1,0)-1,COUNT(Curvas_cupon_cero!$A:$A)-2,1)),interpolar(E163,OFFSET(Curvas_cupon_cero!$A$1,1,0,COUNT(Curvas_cupon_cero!$A:$A)-2,1),OFFSET(Curvas_cupon_cero!$A$1,1,MATCH($B$7,Curvas_cupon_cero!$1:$1,0)-1,COUNT(Curvas_cupon_cero!$A:$A)-2,1))))</f>
        <v/>
      </c>
      <c r="H163" s="19" t="str">
        <f t="shared" si="13"/>
        <v/>
      </c>
    </row>
    <row r="164" spans="1:8" x14ac:dyDescent="0.2">
      <c r="A164" s="12" t="str">
        <f t="shared" si="14"/>
        <v/>
      </c>
      <c r="B164" s="21" t="str">
        <f t="shared" si="15"/>
        <v/>
      </c>
      <c r="C164" s="17" t="str">
        <f t="shared" si="12"/>
        <v/>
      </c>
      <c r="D164" s="18" t="str">
        <f t="shared" si="16"/>
        <v/>
      </c>
      <c r="E164" t="str">
        <f t="shared" si="17"/>
        <v/>
      </c>
      <c r="F164" s="23" t="str">
        <f ca="1">IF(A164="","",IF($B$8="Sí",interpolar_alamb(E164,OFFSET(Curvas_cupon_cero!$A$1,1,0,COUNT(Curvas_cupon_cero!$A:$A)-2,1),OFFSET(Curvas_cupon_cero!$A$1,1,MATCH($B$6,Curvas_cupon_cero!$1:$1,0)-1,COUNT(Curvas_cupon_cero!$A:$A)-2,1)),interpolar(E164,OFFSET(Curvas_cupon_cero!$A$1,1,0,COUNT(Curvas_cupon_cero!$A:$A)-2,1),OFFSET(Curvas_cupon_cero!$A$1,1,MATCH($B$6,Curvas_cupon_cero!$1:$1,0)-1,COUNT(Curvas_cupon_cero!$A:$A)-2,1))))</f>
        <v/>
      </c>
      <c r="G164" s="23" t="str">
        <f ca="1">IF(A164="","",IF($B$8="Sí",interpolar_alamb(E164,OFFSET(Curvas_cupon_cero!$A$1,1,0,COUNT(Curvas_cupon_cero!$A:$A)-2,1),OFFSET(Curvas_cupon_cero!$A$1,1,MATCH($B$7,Curvas_cupon_cero!$1:$1,0)-1,COUNT(Curvas_cupon_cero!$A:$A)-2,1)),interpolar(E164,OFFSET(Curvas_cupon_cero!$A$1,1,0,COUNT(Curvas_cupon_cero!$A:$A)-2,1),OFFSET(Curvas_cupon_cero!$A$1,1,MATCH($B$7,Curvas_cupon_cero!$1:$1,0)-1,COUNT(Curvas_cupon_cero!$A:$A)-2,1))))</f>
        <v/>
      </c>
      <c r="H164" s="19" t="str">
        <f t="shared" si="13"/>
        <v/>
      </c>
    </row>
    <row r="165" spans="1:8" x14ac:dyDescent="0.2">
      <c r="A165" s="12" t="str">
        <f t="shared" si="14"/>
        <v/>
      </c>
      <c r="B165" s="21" t="str">
        <f t="shared" si="15"/>
        <v/>
      </c>
      <c r="C165" s="17" t="str">
        <f t="shared" si="12"/>
        <v/>
      </c>
      <c r="D165" s="18" t="str">
        <f t="shared" si="16"/>
        <v/>
      </c>
      <c r="E165" t="str">
        <f t="shared" si="17"/>
        <v/>
      </c>
      <c r="F165" s="23" t="str">
        <f ca="1">IF(A165="","",IF($B$8="Sí",interpolar_alamb(E165,OFFSET(Curvas_cupon_cero!$A$1,1,0,COUNT(Curvas_cupon_cero!$A:$A)-2,1),OFFSET(Curvas_cupon_cero!$A$1,1,MATCH($B$6,Curvas_cupon_cero!$1:$1,0)-1,COUNT(Curvas_cupon_cero!$A:$A)-2,1)),interpolar(E165,OFFSET(Curvas_cupon_cero!$A$1,1,0,COUNT(Curvas_cupon_cero!$A:$A)-2,1),OFFSET(Curvas_cupon_cero!$A$1,1,MATCH($B$6,Curvas_cupon_cero!$1:$1,0)-1,COUNT(Curvas_cupon_cero!$A:$A)-2,1))))</f>
        <v/>
      </c>
      <c r="G165" s="23" t="str">
        <f ca="1">IF(A165="","",IF($B$8="Sí",interpolar_alamb(E165,OFFSET(Curvas_cupon_cero!$A$1,1,0,COUNT(Curvas_cupon_cero!$A:$A)-2,1),OFFSET(Curvas_cupon_cero!$A$1,1,MATCH($B$7,Curvas_cupon_cero!$1:$1,0)-1,COUNT(Curvas_cupon_cero!$A:$A)-2,1)),interpolar(E165,OFFSET(Curvas_cupon_cero!$A$1,1,0,COUNT(Curvas_cupon_cero!$A:$A)-2,1),OFFSET(Curvas_cupon_cero!$A$1,1,MATCH($B$7,Curvas_cupon_cero!$1:$1,0)-1,COUNT(Curvas_cupon_cero!$A:$A)-2,1))))</f>
        <v/>
      </c>
      <c r="H165" s="19" t="str">
        <f t="shared" si="13"/>
        <v/>
      </c>
    </row>
    <row r="166" spans="1:8" x14ac:dyDescent="0.2">
      <c r="A166" s="12" t="str">
        <f t="shared" si="14"/>
        <v/>
      </c>
      <c r="B166" s="21" t="str">
        <f t="shared" si="15"/>
        <v/>
      </c>
      <c r="C166" s="17" t="str">
        <f t="shared" si="12"/>
        <v/>
      </c>
      <c r="D166" s="18" t="str">
        <f t="shared" si="16"/>
        <v/>
      </c>
      <c r="E166" t="str">
        <f t="shared" si="17"/>
        <v/>
      </c>
      <c r="F166" s="23" t="str">
        <f ca="1">IF(A166="","",IF($B$8="Sí",interpolar_alamb(E166,OFFSET(Curvas_cupon_cero!$A$1,1,0,COUNT(Curvas_cupon_cero!$A:$A)-2,1),OFFSET(Curvas_cupon_cero!$A$1,1,MATCH($B$6,Curvas_cupon_cero!$1:$1,0)-1,COUNT(Curvas_cupon_cero!$A:$A)-2,1)),interpolar(E166,OFFSET(Curvas_cupon_cero!$A$1,1,0,COUNT(Curvas_cupon_cero!$A:$A)-2,1),OFFSET(Curvas_cupon_cero!$A$1,1,MATCH($B$6,Curvas_cupon_cero!$1:$1,0)-1,COUNT(Curvas_cupon_cero!$A:$A)-2,1))))</f>
        <v/>
      </c>
      <c r="G166" s="23" t="str">
        <f ca="1">IF(A166="","",IF($B$8="Sí",interpolar_alamb(E166,OFFSET(Curvas_cupon_cero!$A$1,1,0,COUNT(Curvas_cupon_cero!$A:$A)-2,1),OFFSET(Curvas_cupon_cero!$A$1,1,MATCH($B$7,Curvas_cupon_cero!$1:$1,0)-1,COUNT(Curvas_cupon_cero!$A:$A)-2,1)),interpolar(E166,OFFSET(Curvas_cupon_cero!$A$1,1,0,COUNT(Curvas_cupon_cero!$A:$A)-2,1),OFFSET(Curvas_cupon_cero!$A$1,1,MATCH($B$7,Curvas_cupon_cero!$1:$1,0)-1,COUNT(Curvas_cupon_cero!$A:$A)-2,1))))</f>
        <v/>
      </c>
      <c r="H166" s="19" t="str">
        <f t="shared" si="13"/>
        <v/>
      </c>
    </row>
    <row r="167" spans="1:8" x14ac:dyDescent="0.2">
      <c r="A167" s="12" t="str">
        <f t="shared" si="14"/>
        <v/>
      </c>
      <c r="B167" s="21" t="str">
        <f t="shared" si="15"/>
        <v/>
      </c>
      <c r="C167" s="17" t="str">
        <f t="shared" si="12"/>
        <v/>
      </c>
      <c r="D167" s="18" t="str">
        <f t="shared" si="16"/>
        <v/>
      </c>
      <c r="E167" t="str">
        <f t="shared" si="17"/>
        <v/>
      </c>
      <c r="F167" s="23" t="str">
        <f ca="1">IF(A167="","",IF($B$8="Sí",interpolar_alamb(E167,OFFSET(Curvas_cupon_cero!$A$1,1,0,COUNT(Curvas_cupon_cero!$A:$A)-2,1),OFFSET(Curvas_cupon_cero!$A$1,1,MATCH($B$6,Curvas_cupon_cero!$1:$1,0)-1,COUNT(Curvas_cupon_cero!$A:$A)-2,1)),interpolar(E167,OFFSET(Curvas_cupon_cero!$A$1,1,0,COUNT(Curvas_cupon_cero!$A:$A)-2,1),OFFSET(Curvas_cupon_cero!$A$1,1,MATCH($B$6,Curvas_cupon_cero!$1:$1,0)-1,COUNT(Curvas_cupon_cero!$A:$A)-2,1))))</f>
        <v/>
      </c>
      <c r="G167" s="23" t="str">
        <f ca="1">IF(A167="","",IF($B$8="Sí",interpolar_alamb(E167,OFFSET(Curvas_cupon_cero!$A$1,1,0,COUNT(Curvas_cupon_cero!$A:$A)-2,1),OFFSET(Curvas_cupon_cero!$A$1,1,MATCH($B$7,Curvas_cupon_cero!$1:$1,0)-1,COUNT(Curvas_cupon_cero!$A:$A)-2,1)),interpolar(E167,OFFSET(Curvas_cupon_cero!$A$1,1,0,COUNT(Curvas_cupon_cero!$A:$A)-2,1),OFFSET(Curvas_cupon_cero!$A$1,1,MATCH($B$7,Curvas_cupon_cero!$1:$1,0)-1,COUNT(Curvas_cupon_cero!$A:$A)-2,1))))</f>
        <v/>
      </c>
      <c r="H167" s="19" t="str">
        <f t="shared" si="13"/>
        <v/>
      </c>
    </row>
    <row r="168" spans="1:8" x14ac:dyDescent="0.2">
      <c r="A168" s="12" t="str">
        <f t="shared" si="14"/>
        <v/>
      </c>
      <c r="B168" s="21" t="str">
        <f t="shared" si="15"/>
        <v/>
      </c>
      <c r="C168" s="17" t="str">
        <f t="shared" si="12"/>
        <v/>
      </c>
      <c r="D168" s="18" t="str">
        <f t="shared" si="16"/>
        <v/>
      </c>
      <c r="E168" t="str">
        <f t="shared" si="17"/>
        <v/>
      </c>
      <c r="F168" s="23" t="str">
        <f ca="1">IF(A168="","",IF($B$8="Sí",interpolar_alamb(E168,OFFSET(Curvas_cupon_cero!$A$1,1,0,COUNT(Curvas_cupon_cero!$A:$A)-2,1),OFFSET(Curvas_cupon_cero!$A$1,1,MATCH($B$6,Curvas_cupon_cero!$1:$1,0)-1,COUNT(Curvas_cupon_cero!$A:$A)-2,1)),interpolar(E168,OFFSET(Curvas_cupon_cero!$A$1,1,0,COUNT(Curvas_cupon_cero!$A:$A)-2,1),OFFSET(Curvas_cupon_cero!$A$1,1,MATCH($B$6,Curvas_cupon_cero!$1:$1,0)-1,COUNT(Curvas_cupon_cero!$A:$A)-2,1))))</f>
        <v/>
      </c>
      <c r="G168" s="23" t="str">
        <f ca="1">IF(A168="","",IF($B$8="Sí",interpolar_alamb(E168,OFFSET(Curvas_cupon_cero!$A$1,1,0,COUNT(Curvas_cupon_cero!$A:$A)-2,1),OFFSET(Curvas_cupon_cero!$A$1,1,MATCH($B$7,Curvas_cupon_cero!$1:$1,0)-1,COUNT(Curvas_cupon_cero!$A:$A)-2,1)),interpolar(E168,OFFSET(Curvas_cupon_cero!$A$1,1,0,COUNT(Curvas_cupon_cero!$A:$A)-2,1),OFFSET(Curvas_cupon_cero!$A$1,1,MATCH($B$7,Curvas_cupon_cero!$1:$1,0)-1,COUNT(Curvas_cupon_cero!$A:$A)-2,1))))</f>
        <v/>
      </c>
      <c r="H168" s="19" t="str">
        <f t="shared" si="13"/>
        <v/>
      </c>
    </row>
    <row r="169" spans="1:8" x14ac:dyDescent="0.2">
      <c r="A169" s="12" t="str">
        <f t="shared" si="14"/>
        <v/>
      </c>
      <c r="B169" s="21" t="str">
        <f t="shared" si="15"/>
        <v/>
      </c>
      <c r="C169" s="17" t="str">
        <f t="shared" si="12"/>
        <v/>
      </c>
      <c r="D169" s="18" t="str">
        <f t="shared" si="16"/>
        <v/>
      </c>
      <c r="E169" t="str">
        <f t="shared" si="17"/>
        <v/>
      </c>
      <c r="F169" s="23" t="str">
        <f ca="1">IF(A169="","",IF($B$8="Sí",interpolar_alamb(E169,OFFSET(Curvas_cupon_cero!$A$1,1,0,COUNT(Curvas_cupon_cero!$A:$A)-2,1),OFFSET(Curvas_cupon_cero!$A$1,1,MATCH($B$6,Curvas_cupon_cero!$1:$1,0)-1,COUNT(Curvas_cupon_cero!$A:$A)-2,1)),interpolar(E169,OFFSET(Curvas_cupon_cero!$A$1,1,0,COUNT(Curvas_cupon_cero!$A:$A)-2,1),OFFSET(Curvas_cupon_cero!$A$1,1,MATCH($B$6,Curvas_cupon_cero!$1:$1,0)-1,COUNT(Curvas_cupon_cero!$A:$A)-2,1))))</f>
        <v/>
      </c>
      <c r="G169" s="23" t="str">
        <f ca="1">IF(A169="","",IF($B$8="Sí",interpolar_alamb(E169,OFFSET(Curvas_cupon_cero!$A$1,1,0,COUNT(Curvas_cupon_cero!$A:$A)-2,1),OFFSET(Curvas_cupon_cero!$A$1,1,MATCH($B$7,Curvas_cupon_cero!$1:$1,0)-1,COUNT(Curvas_cupon_cero!$A:$A)-2,1)),interpolar(E169,OFFSET(Curvas_cupon_cero!$A$1,1,0,COUNT(Curvas_cupon_cero!$A:$A)-2,1),OFFSET(Curvas_cupon_cero!$A$1,1,MATCH($B$7,Curvas_cupon_cero!$1:$1,0)-1,COUNT(Curvas_cupon_cero!$A:$A)-2,1))))</f>
        <v/>
      </c>
      <c r="H169" s="19" t="str">
        <f t="shared" si="13"/>
        <v/>
      </c>
    </row>
    <row r="170" spans="1:8" x14ac:dyDescent="0.2">
      <c r="A170" s="12" t="str">
        <f t="shared" si="14"/>
        <v/>
      </c>
      <c r="B170" s="21" t="str">
        <f t="shared" si="15"/>
        <v/>
      </c>
      <c r="C170" s="17" t="str">
        <f t="shared" si="12"/>
        <v/>
      </c>
      <c r="D170" s="18" t="str">
        <f t="shared" si="16"/>
        <v/>
      </c>
      <c r="E170" t="str">
        <f t="shared" si="17"/>
        <v/>
      </c>
      <c r="F170" s="23" t="str">
        <f ca="1">IF(A170="","",IF($B$8="Sí",interpolar_alamb(E170,OFFSET(Curvas_cupon_cero!$A$1,1,0,COUNT(Curvas_cupon_cero!$A:$A)-2,1),OFFSET(Curvas_cupon_cero!$A$1,1,MATCH($B$6,Curvas_cupon_cero!$1:$1,0)-1,COUNT(Curvas_cupon_cero!$A:$A)-2,1)),interpolar(E170,OFFSET(Curvas_cupon_cero!$A$1,1,0,COUNT(Curvas_cupon_cero!$A:$A)-2,1),OFFSET(Curvas_cupon_cero!$A$1,1,MATCH($B$6,Curvas_cupon_cero!$1:$1,0)-1,COUNT(Curvas_cupon_cero!$A:$A)-2,1))))</f>
        <v/>
      </c>
      <c r="G170" s="23" t="str">
        <f ca="1">IF(A170="","",IF($B$8="Sí",interpolar_alamb(E170,OFFSET(Curvas_cupon_cero!$A$1,1,0,COUNT(Curvas_cupon_cero!$A:$A)-2,1),OFFSET(Curvas_cupon_cero!$A$1,1,MATCH($B$7,Curvas_cupon_cero!$1:$1,0)-1,COUNT(Curvas_cupon_cero!$A:$A)-2,1)),interpolar(E170,OFFSET(Curvas_cupon_cero!$A$1,1,0,COUNT(Curvas_cupon_cero!$A:$A)-2,1),OFFSET(Curvas_cupon_cero!$A$1,1,MATCH($B$7,Curvas_cupon_cero!$1:$1,0)-1,COUNT(Curvas_cupon_cero!$A:$A)-2,1))))</f>
        <v/>
      </c>
      <c r="H170" s="19" t="str">
        <f t="shared" si="13"/>
        <v/>
      </c>
    </row>
    <row r="171" spans="1:8" x14ac:dyDescent="0.2">
      <c r="A171" s="12" t="str">
        <f t="shared" si="14"/>
        <v/>
      </c>
      <c r="B171" s="21" t="str">
        <f t="shared" si="15"/>
        <v/>
      </c>
      <c r="C171" s="17" t="str">
        <f t="shared" si="12"/>
        <v/>
      </c>
      <c r="D171" s="18" t="str">
        <f t="shared" si="16"/>
        <v/>
      </c>
      <c r="E171" t="str">
        <f t="shared" si="17"/>
        <v/>
      </c>
      <c r="F171" s="23" t="str">
        <f ca="1">IF(A171="","",IF($B$8="Sí",interpolar_alamb(E171,OFFSET(Curvas_cupon_cero!$A$1,1,0,COUNT(Curvas_cupon_cero!$A:$A)-2,1),OFFSET(Curvas_cupon_cero!$A$1,1,MATCH($B$6,Curvas_cupon_cero!$1:$1,0)-1,COUNT(Curvas_cupon_cero!$A:$A)-2,1)),interpolar(E171,OFFSET(Curvas_cupon_cero!$A$1,1,0,COUNT(Curvas_cupon_cero!$A:$A)-2,1),OFFSET(Curvas_cupon_cero!$A$1,1,MATCH($B$6,Curvas_cupon_cero!$1:$1,0)-1,COUNT(Curvas_cupon_cero!$A:$A)-2,1))))</f>
        <v/>
      </c>
      <c r="G171" s="23" t="str">
        <f ca="1">IF(A171="","",IF($B$8="Sí",interpolar_alamb(E171,OFFSET(Curvas_cupon_cero!$A$1,1,0,COUNT(Curvas_cupon_cero!$A:$A)-2,1),OFFSET(Curvas_cupon_cero!$A$1,1,MATCH($B$7,Curvas_cupon_cero!$1:$1,0)-1,COUNT(Curvas_cupon_cero!$A:$A)-2,1)),interpolar(E171,OFFSET(Curvas_cupon_cero!$A$1,1,0,COUNT(Curvas_cupon_cero!$A:$A)-2,1),OFFSET(Curvas_cupon_cero!$A$1,1,MATCH($B$7,Curvas_cupon_cero!$1:$1,0)-1,COUNT(Curvas_cupon_cero!$A:$A)-2,1))))</f>
        <v/>
      </c>
      <c r="H171" s="19" t="str">
        <f t="shared" si="13"/>
        <v/>
      </c>
    </row>
    <row r="172" spans="1:8" x14ac:dyDescent="0.2">
      <c r="A172" s="12" t="str">
        <f t="shared" si="14"/>
        <v/>
      </c>
      <c r="B172" s="21" t="str">
        <f t="shared" si="15"/>
        <v/>
      </c>
      <c r="C172" s="17" t="str">
        <f t="shared" si="12"/>
        <v/>
      </c>
      <c r="D172" s="18" t="str">
        <f t="shared" si="16"/>
        <v/>
      </c>
      <c r="E172" t="str">
        <f t="shared" si="17"/>
        <v/>
      </c>
      <c r="F172" s="23" t="str">
        <f ca="1">IF(A172="","",IF($B$8="Sí",interpolar_alamb(E172,OFFSET(Curvas_cupon_cero!$A$1,1,0,COUNT(Curvas_cupon_cero!$A:$A)-2,1),OFFSET(Curvas_cupon_cero!$A$1,1,MATCH($B$6,Curvas_cupon_cero!$1:$1,0)-1,COUNT(Curvas_cupon_cero!$A:$A)-2,1)),interpolar(E172,OFFSET(Curvas_cupon_cero!$A$1,1,0,COUNT(Curvas_cupon_cero!$A:$A)-2,1),OFFSET(Curvas_cupon_cero!$A$1,1,MATCH($B$6,Curvas_cupon_cero!$1:$1,0)-1,COUNT(Curvas_cupon_cero!$A:$A)-2,1))))</f>
        <v/>
      </c>
      <c r="G172" s="23" t="str">
        <f ca="1">IF(A172="","",IF($B$8="Sí",interpolar_alamb(E172,OFFSET(Curvas_cupon_cero!$A$1,1,0,COUNT(Curvas_cupon_cero!$A:$A)-2,1),OFFSET(Curvas_cupon_cero!$A$1,1,MATCH($B$7,Curvas_cupon_cero!$1:$1,0)-1,COUNT(Curvas_cupon_cero!$A:$A)-2,1)),interpolar(E172,OFFSET(Curvas_cupon_cero!$A$1,1,0,COUNT(Curvas_cupon_cero!$A:$A)-2,1),OFFSET(Curvas_cupon_cero!$A$1,1,MATCH($B$7,Curvas_cupon_cero!$1:$1,0)-1,COUNT(Curvas_cupon_cero!$A:$A)-2,1))))</f>
        <v/>
      </c>
      <c r="H172" s="19" t="str">
        <f t="shared" si="13"/>
        <v/>
      </c>
    </row>
    <row r="173" spans="1:8" x14ac:dyDescent="0.2">
      <c r="A173" s="12" t="str">
        <f t="shared" si="14"/>
        <v/>
      </c>
      <c r="B173" s="21" t="str">
        <f t="shared" si="15"/>
        <v/>
      </c>
      <c r="C173" s="17" t="str">
        <f t="shared" si="12"/>
        <v/>
      </c>
      <c r="D173" s="18" t="str">
        <f t="shared" si="16"/>
        <v/>
      </c>
      <c r="E173" t="str">
        <f t="shared" si="17"/>
        <v/>
      </c>
      <c r="F173" s="23" t="str">
        <f ca="1">IF(A173="","",IF($B$8="Sí",interpolar_alamb(E173,OFFSET(Curvas_cupon_cero!$A$1,1,0,COUNT(Curvas_cupon_cero!$A:$A)-2,1),OFFSET(Curvas_cupon_cero!$A$1,1,MATCH($B$6,Curvas_cupon_cero!$1:$1,0)-1,COUNT(Curvas_cupon_cero!$A:$A)-2,1)),interpolar(E173,OFFSET(Curvas_cupon_cero!$A$1,1,0,COUNT(Curvas_cupon_cero!$A:$A)-2,1),OFFSET(Curvas_cupon_cero!$A$1,1,MATCH($B$6,Curvas_cupon_cero!$1:$1,0)-1,COUNT(Curvas_cupon_cero!$A:$A)-2,1))))</f>
        <v/>
      </c>
      <c r="G173" s="23" t="str">
        <f ca="1">IF(A173="","",IF($B$8="Sí",interpolar_alamb(E173,OFFSET(Curvas_cupon_cero!$A$1,1,0,COUNT(Curvas_cupon_cero!$A:$A)-2,1),OFFSET(Curvas_cupon_cero!$A$1,1,MATCH($B$7,Curvas_cupon_cero!$1:$1,0)-1,COUNT(Curvas_cupon_cero!$A:$A)-2,1)),interpolar(E173,OFFSET(Curvas_cupon_cero!$A$1,1,0,COUNT(Curvas_cupon_cero!$A:$A)-2,1),OFFSET(Curvas_cupon_cero!$A$1,1,MATCH($B$7,Curvas_cupon_cero!$1:$1,0)-1,COUNT(Curvas_cupon_cero!$A:$A)-2,1))))</f>
        <v/>
      </c>
      <c r="H173" s="19" t="str">
        <f t="shared" si="13"/>
        <v/>
      </c>
    </row>
    <row r="174" spans="1:8" x14ac:dyDescent="0.2">
      <c r="A174" s="12" t="str">
        <f t="shared" si="14"/>
        <v/>
      </c>
      <c r="B174" s="21" t="str">
        <f t="shared" si="15"/>
        <v/>
      </c>
      <c r="C174" s="17" t="str">
        <f t="shared" si="12"/>
        <v/>
      </c>
      <c r="D174" s="18" t="str">
        <f t="shared" si="16"/>
        <v/>
      </c>
      <c r="E174" t="str">
        <f t="shared" si="17"/>
        <v/>
      </c>
      <c r="F174" s="23" t="str">
        <f ca="1">IF(A174="","",IF($B$8="Sí",interpolar_alamb(E174,OFFSET(Curvas_cupon_cero!$A$1,1,0,COUNT(Curvas_cupon_cero!$A:$A)-2,1),OFFSET(Curvas_cupon_cero!$A$1,1,MATCH($B$6,Curvas_cupon_cero!$1:$1,0)-1,COUNT(Curvas_cupon_cero!$A:$A)-2,1)),interpolar(E174,OFFSET(Curvas_cupon_cero!$A$1,1,0,COUNT(Curvas_cupon_cero!$A:$A)-2,1),OFFSET(Curvas_cupon_cero!$A$1,1,MATCH($B$6,Curvas_cupon_cero!$1:$1,0)-1,COUNT(Curvas_cupon_cero!$A:$A)-2,1))))</f>
        <v/>
      </c>
      <c r="G174" s="23" t="str">
        <f ca="1">IF(A174="","",IF($B$8="Sí",interpolar_alamb(E174,OFFSET(Curvas_cupon_cero!$A$1,1,0,COUNT(Curvas_cupon_cero!$A:$A)-2,1),OFFSET(Curvas_cupon_cero!$A$1,1,MATCH($B$7,Curvas_cupon_cero!$1:$1,0)-1,COUNT(Curvas_cupon_cero!$A:$A)-2,1)),interpolar(E174,OFFSET(Curvas_cupon_cero!$A$1,1,0,COUNT(Curvas_cupon_cero!$A:$A)-2,1),OFFSET(Curvas_cupon_cero!$A$1,1,MATCH($B$7,Curvas_cupon_cero!$1:$1,0)-1,COUNT(Curvas_cupon_cero!$A:$A)-2,1))))</f>
        <v/>
      </c>
      <c r="H174" s="19" t="str">
        <f t="shared" si="13"/>
        <v/>
      </c>
    </row>
    <row r="175" spans="1:8" x14ac:dyDescent="0.2">
      <c r="A175" s="12" t="str">
        <f t="shared" si="14"/>
        <v/>
      </c>
      <c r="B175" s="21" t="str">
        <f t="shared" si="15"/>
        <v/>
      </c>
      <c r="C175" s="17" t="str">
        <f t="shared" si="12"/>
        <v/>
      </c>
      <c r="D175" s="18" t="str">
        <f t="shared" si="16"/>
        <v/>
      </c>
      <c r="E175" t="str">
        <f t="shared" si="17"/>
        <v/>
      </c>
      <c r="F175" s="23" t="str">
        <f ca="1">IF(A175="","",IF($B$8="Sí",interpolar_alamb(E175,OFFSET(Curvas_cupon_cero!$A$1,1,0,COUNT(Curvas_cupon_cero!$A:$A)-2,1),OFFSET(Curvas_cupon_cero!$A$1,1,MATCH($B$6,Curvas_cupon_cero!$1:$1,0)-1,COUNT(Curvas_cupon_cero!$A:$A)-2,1)),interpolar(E175,OFFSET(Curvas_cupon_cero!$A$1,1,0,COUNT(Curvas_cupon_cero!$A:$A)-2,1),OFFSET(Curvas_cupon_cero!$A$1,1,MATCH($B$6,Curvas_cupon_cero!$1:$1,0)-1,COUNT(Curvas_cupon_cero!$A:$A)-2,1))))</f>
        <v/>
      </c>
      <c r="G175" s="23" t="str">
        <f ca="1">IF(A175="","",IF($B$8="Sí",interpolar_alamb(E175,OFFSET(Curvas_cupon_cero!$A$1,1,0,COUNT(Curvas_cupon_cero!$A:$A)-2,1),OFFSET(Curvas_cupon_cero!$A$1,1,MATCH($B$7,Curvas_cupon_cero!$1:$1,0)-1,COUNT(Curvas_cupon_cero!$A:$A)-2,1)),interpolar(E175,OFFSET(Curvas_cupon_cero!$A$1,1,0,COUNT(Curvas_cupon_cero!$A:$A)-2,1),OFFSET(Curvas_cupon_cero!$A$1,1,MATCH($B$7,Curvas_cupon_cero!$1:$1,0)-1,COUNT(Curvas_cupon_cero!$A:$A)-2,1))))</f>
        <v/>
      </c>
      <c r="H175" s="19" t="str">
        <f t="shared" si="13"/>
        <v/>
      </c>
    </row>
    <row r="176" spans="1:8" x14ac:dyDescent="0.2">
      <c r="A176" s="12" t="str">
        <f t="shared" si="14"/>
        <v/>
      </c>
      <c r="B176" s="21" t="str">
        <f t="shared" si="15"/>
        <v/>
      </c>
      <c r="C176" s="17" t="str">
        <f t="shared" si="12"/>
        <v/>
      </c>
      <c r="D176" s="18" t="str">
        <f t="shared" si="16"/>
        <v/>
      </c>
      <c r="E176" t="str">
        <f t="shared" si="17"/>
        <v/>
      </c>
      <c r="F176" s="23" t="str">
        <f ca="1">IF(A176="","",IF($B$8="Sí",interpolar_alamb(E176,OFFSET(Curvas_cupon_cero!$A$1,1,0,COUNT(Curvas_cupon_cero!$A:$A)-2,1),OFFSET(Curvas_cupon_cero!$A$1,1,MATCH($B$6,Curvas_cupon_cero!$1:$1,0)-1,COUNT(Curvas_cupon_cero!$A:$A)-2,1)),interpolar(E176,OFFSET(Curvas_cupon_cero!$A$1,1,0,COUNT(Curvas_cupon_cero!$A:$A)-2,1),OFFSET(Curvas_cupon_cero!$A$1,1,MATCH($B$6,Curvas_cupon_cero!$1:$1,0)-1,COUNT(Curvas_cupon_cero!$A:$A)-2,1))))</f>
        <v/>
      </c>
      <c r="G176" s="23" t="str">
        <f ca="1">IF(A176="","",IF($B$8="Sí",interpolar_alamb(E176,OFFSET(Curvas_cupon_cero!$A$1,1,0,COUNT(Curvas_cupon_cero!$A:$A)-2,1),OFFSET(Curvas_cupon_cero!$A$1,1,MATCH($B$7,Curvas_cupon_cero!$1:$1,0)-1,COUNT(Curvas_cupon_cero!$A:$A)-2,1)),interpolar(E176,OFFSET(Curvas_cupon_cero!$A$1,1,0,COUNT(Curvas_cupon_cero!$A:$A)-2,1),OFFSET(Curvas_cupon_cero!$A$1,1,MATCH($B$7,Curvas_cupon_cero!$1:$1,0)-1,COUNT(Curvas_cupon_cero!$A:$A)-2,1))))</f>
        <v/>
      </c>
      <c r="H176" s="19" t="str">
        <f t="shared" si="13"/>
        <v/>
      </c>
    </row>
    <row r="177" spans="1:8" x14ac:dyDescent="0.2">
      <c r="A177" s="12" t="str">
        <f t="shared" si="14"/>
        <v/>
      </c>
      <c r="B177" s="21" t="str">
        <f t="shared" si="15"/>
        <v/>
      </c>
      <c r="C177" s="17" t="str">
        <f t="shared" si="12"/>
        <v/>
      </c>
      <c r="D177" s="18" t="str">
        <f t="shared" si="16"/>
        <v/>
      </c>
      <c r="E177" t="str">
        <f t="shared" si="17"/>
        <v/>
      </c>
      <c r="F177" s="23" t="str">
        <f ca="1">IF(A177="","",IF($B$8="Sí",interpolar_alamb(E177,OFFSET(Curvas_cupon_cero!$A$1,1,0,COUNT(Curvas_cupon_cero!$A:$A)-2,1),OFFSET(Curvas_cupon_cero!$A$1,1,MATCH($B$6,Curvas_cupon_cero!$1:$1,0)-1,COUNT(Curvas_cupon_cero!$A:$A)-2,1)),interpolar(E177,OFFSET(Curvas_cupon_cero!$A$1,1,0,COUNT(Curvas_cupon_cero!$A:$A)-2,1),OFFSET(Curvas_cupon_cero!$A$1,1,MATCH($B$6,Curvas_cupon_cero!$1:$1,0)-1,COUNT(Curvas_cupon_cero!$A:$A)-2,1))))</f>
        <v/>
      </c>
      <c r="G177" s="23" t="str">
        <f ca="1">IF(A177="","",IF($B$8="Sí",interpolar_alamb(E177,OFFSET(Curvas_cupon_cero!$A$1,1,0,COUNT(Curvas_cupon_cero!$A:$A)-2,1),OFFSET(Curvas_cupon_cero!$A$1,1,MATCH($B$7,Curvas_cupon_cero!$1:$1,0)-1,COUNT(Curvas_cupon_cero!$A:$A)-2,1)),interpolar(E177,OFFSET(Curvas_cupon_cero!$A$1,1,0,COUNT(Curvas_cupon_cero!$A:$A)-2,1),OFFSET(Curvas_cupon_cero!$A$1,1,MATCH($B$7,Curvas_cupon_cero!$1:$1,0)-1,COUNT(Curvas_cupon_cero!$A:$A)-2,1))))</f>
        <v/>
      </c>
      <c r="H177" s="19" t="str">
        <f t="shared" si="13"/>
        <v/>
      </c>
    </row>
    <row r="178" spans="1:8" x14ac:dyDescent="0.2">
      <c r="A178" s="12" t="str">
        <f t="shared" si="14"/>
        <v/>
      </c>
      <c r="B178" s="21" t="str">
        <f t="shared" si="15"/>
        <v/>
      </c>
      <c r="C178" s="17" t="str">
        <f t="shared" si="12"/>
        <v/>
      </c>
      <c r="D178" s="18" t="str">
        <f t="shared" si="16"/>
        <v/>
      </c>
      <c r="E178" t="str">
        <f t="shared" si="17"/>
        <v/>
      </c>
      <c r="F178" s="23" t="str">
        <f ca="1">IF(A178="","",IF($B$8="Sí",interpolar_alamb(E178,OFFSET(Curvas_cupon_cero!$A$1,1,0,COUNT(Curvas_cupon_cero!$A:$A)-2,1),OFFSET(Curvas_cupon_cero!$A$1,1,MATCH($B$6,Curvas_cupon_cero!$1:$1,0)-1,COUNT(Curvas_cupon_cero!$A:$A)-2,1)),interpolar(E178,OFFSET(Curvas_cupon_cero!$A$1,1,0,COUNT(Curvas_cupon_cero!$A:$A)-2,1),OFFSET(Curvas_cupon_cero!$A$1,1,MATCH($B$6,Curvas_cupon_cero!$1:$1,0)-1,COUNT(Curvas_cupon_cero!$A:$A)-2,1))))</f>
        <v/>
      </c>
      <c r="G178" s="23" t="str">
        <f ca="1">IF(A178="","",IF($B$8="Sí",interpolar_alamb(E178,OFFSET(Curvas_cupon_cero!$A$1,1,0,COUNT(Curvas_cupon_cero!$A:$A)-2,1),OFFSET(Curvas_cupon_cero!$A$1,1,MATCH($B$7,Curvas_cupon_cero!$1:$1,0)-1,COUNT(Curvas_cupon_cero!$A:$A)-2,1)),interpolar(E178,OFFSET(Curvas_cupon_cero!$A$1,1,0,COUNT(Curvas_cupon_cero!$A:$A)-2,1),OFFSET(Curvas_cupon_cero!$A$1,1,MATCH($B$7,Curvas_cupon_cero!$1:$1,0)-1,COUNT(Curvas_cupon_cero!$A:$A)-2,1))))</f>
        <v/>
      </c>
      <c r="H178" s="19" t="str">
        <f t="shared" si="13"/>
        <v/>
      </c>
    </row>
    <row r="179" spans="1:8" x14ac:dyDescent="0.2">
      <c r="A179" s="12" t="str">
        <f t="shared" si="14"/>
        <v/>
      </c>
      <c r="B179" s="21" t="str">
        <f t="shared" si="15"/>
        <v/>
      </c>
      <c r="C179" s="17" t="str">
        <f t="shared" si="12"/>
        <v/>
      </c>
      <c r="D179" s="18" t="str">
        <f t="shared" si="16"/>
        <v/>
      </c>
      <c r="E179" t="str">
        <f t="shared" si="17"/>
        <v/>
      </c>
      <c r="F179" s="23" t="str">
        <f ca="1">IF(A179="","",IF($B$8="Sí",interpolar_alamb(E179,OFFSET(Curvas_cupon_cero!$A$1,1,0,COUNT(Curvas_cupon_cero!$A:$A)-2,1),OFFSET(Curvas_cupon_cero!$A$1,1,MATCH($B$6,Curvas_cupon_cero!$1:$1,0)-1,COUNT(Curvas_cupon_cero!$A:$A)-2,1)),interpolar(E179,OFFSET(Curvas_cupon_cero!$A$1,1,0,COUNT(Curvas_cupon_cero!$A:$A)-2,1),OFFSET(Curvas_cupon_cero!$A$1,1,MATCH($B$6,Curvas_cupon_cero!$1:$1,0)-1,COUNT(Curvas_cupon_cero!$A:$A)-2,1))))</f>
        <v/>
      </c>
      <c r="G179" s="23" t="str">
        <f ca="1">IF(A179="","",IF($B$8="Sí",interpolar_alamb(E179,OFFSET(Curvas_cupon_cero!$A$1,1,0,COUNT(Curvas_cupon_cero!$A:$A)-2,1),OFFSET(Curvas_cupon_cero!$A$1,1,MATCH($B$7,Curvas_cupon_cero!$1:$1,0)-1,COUNT(Curvas_cupon_cero!$A:$A)-2,1)),interpolar(E179,OFFSET(Curvas_cupon_cero!$A$1,1,0,COUNT(Curvas_cupon_cero!$A:$A)-2,1),OFFSET(Curvas_cupon_cero!$A$1,1,MATCH($B$7,Curvas_cupon_cero!$1:$1,0)-1,COUNT(Curvas_cupon_cero!$A:$A)-2,1))))</f>
        <v/>
      </c>
      <c r="H179" s="19" t="str">
        <f t="shared" si="13"/>
        <v/>
      </c>
    </row>
    <row r="180" spans="1:8" x14ac:dyDescent="0.2">
      <c r="A180" s="12" t="str">
        <f t="shared" si="14"/>
        <v/>
      </c>
      <c r="B180" s="21" t="str">
        <f t="shared" si="15"/>
        <v/>
      </c>
      <c r="C180" s="17" t="str">
        <f t="shared" si="12"/>
        <v/>
      </c>
      <c r="D180" s="18" t="str">
        <f t="shared" si="16"/>
        <v/>
      </c>
      <c r="E180" t="str">
        <f t="shared" si="17"/>
        <v/>
      </c>
      <c r="F180" s="23" t="str">
        <f ca="1">IF(A180="","",IF($B$8="Sí",interpolar_alamb(E180,OFFSET(Curvas_cupon_cero!$A$1,1,0,COUNT(Curvas_cupon_cero!$A:$A)-2,1),OFFSET(Curvas_cupon_cero!$A$1,1,MATCH($B$6,Curvas_cupon_cero!$1:$1,0)-1,COUNT(Curvas_cupon_cero!$A:$A)-2,1)),interpolar(E180,OFFSET(Curvas_cupon_cero!$A$1,1,0,COUNT(Curvas_cupon_cero!$A:$A)-2,1),OFFSET(Curvas_cupon_cero!$A$1,1,MATCH($B$6,Curvas_cupon_cero!$1:$1,0)-1,COUNT(Curvas_cupon_cero!$A:$A)-2,1))))</f>
        <v/>
      </c>
      <c r="G180" s="23" t="str">
        <f ca="1">IF(A180="","",IF($B$8="Sí",interpolar_alamb(E180,OFFSET(Curvas_cupon_cero!$A$1,1,0,COUNT(Curvas_cupon_cero!$A:$A)-2,1),OFFSET(Curvas_cupon_cero!$A$1,1,MATCH($B$7,Curvas_cupon_cero!$1:$1,0)-1,COUNT(Curvas_cupon_cero!$A:$A)-2,1)),interpolar(E180,OFFSET(Curvas_cupon_cero!$A$1,1,0,COUNT(Curvas_cupon_cero!$A:$A)-2,1),OFFSET(Curvas_cupon_cero!$A$1,1,MATCH($B$7,Curvas_cupon_cero!$1:$1,0)-1,COUNT(Curvas_cupon_cero!$A:$A)-2,1))))</f>
        <v/>
      </c>
      <c r="H180" s="19" t="str">
        <f t="shared" si="13"/>
        <v/>
      </c>
    </row>
    <row r="181" spans="1:8" x14ac:dyDescent="0.2">
      <c r="A181" s="12" t="str">
        <f t="shared" si="14"/>
        <v/>
      </c>
      <c r="B181" s="21" t="str">
        <f t="shared" si="15"/>
        <v/>
      </c>
      <c r="C181" s="17" t="str">
        <f t="shared" si="12"/>
        <v/>
      </c>
      <c r="D181" s="18" t="str">
        <f t="shared" si="16"/>
        <v/>
      </c>
      <c r="E181" t="str">
        <f t="shared" si="17"/>
        <v/>
      </c>
      <c r="F181" s="23" t="str">
        <f ca="1">IF(A181="","",IF($B$8="Sí",interpolar_alamb(E181,OFFSET(Curvas_cupon_cero!$A$1,1,0,COUNT(Curvas_cupon_cero!$A:$A)-2,1),OFFSET(Curvas_cupon_cero!$A$1,1,MATCH($B$6,Curvas_cupon_cero!$1:$1,0)-1,COUNT(Curvas_cupon_cero!$A:$A)-2,1)),interpolar(E181,OFFSET(Curvas_cupon_cero!$A$1,1,0,COUNT(Curvas_cupon_cero!$A:$A)-2,1),OFFSET(Curvas_cupon_cero!$A$1,1,MATCH($B$6,Curvas_cupon_cero!$1:$1,0)-1,COUNT(Curvas_cupon_cero!$A:$A)-2,1))))</f>
        <v/>
      </c>
      <c r="G181" s="23" t="str">
        <f ca="1">IF(A181="","",IF($B$8="Sí",interpolar_alamb(E181,OFFSET(Curvas_cupon_cero!$A$1,1,0,COUNT(Curvas_cupon_cero!$A:$A)-2,1),OFFSET(Curvas_cupon_cero!$A$1,1,MATCH($B$7,Curvas_cupon_cero!$1:$1,0)-1,COUNT(Curvas_cupon_cero!$A:$A)-2,1)),interpolar(E181,OFFSET(Curvas_cupon_cero!$A$1,1,0,COUNT(Curvas_cupon_cero!$A:$A)-2,1),OFFSET(Curvas_cupon_cero!$A$1,1,MATCH($B$7,Curvas_cupon_cero!$1:$1,0)-1,COUNT(Curvas_cupon_cero!$A:$A)-2,1))))</f>
        <v/>
      </c>
      <c r="H181" s="19" t="str">
        <f t="shared" si="13"/>
        <v/>
      </c>
    </row>
    <row r="182" spans="1:8" x14ac:dyDescent="0.2">
      <c r="A182" s="12" t="str">
        <f t="shared" si="14"/>
        <v/>
      </c>
      <c r="B182" s="21" t="str">
        <f t="shared" si="15"/>
        <v/>
      </c>
      <c r="C182" s="17" t="str">
        <f t="shared" si="12"/>
        <v/>
      </c>
      <c r="D182" s="18" t="str">
        <f t="shared" si="16"/>
        <v/>
      </c>
      <c r="E182" t="str">
        <f t="shared" si="17"/>
        <v/>
      </c>
      <c r="F182" s="23" t="str">
        <f ca="1">IF(A182="","",IF($B$8="Sí",interpolar_alamb(E182,OFFSET(Curvas_cupon_cero!$A$1,1,0,COUNT(Curvas_cupon_cero!$A:$A)-2,1),OFFSET(Curvas_cupon_cero!$A$1,1,MATCH($B$6,Curvas_cupon_cero!$1:$1,0)-1,COUNT(Curvas_cupon_cero!$A:$A)-2,1)),interpolar(E182,OFFSET(Curvas_cupon_cero!$A$1,1,0,COUNT(Curvas_cupon_cero!$A:$A)-2,1),OFFSET(Curvas_cupon_cero!$A$1,1,MATCH($B$6,Curvas_cupon_cero!$1:$1,0)-1,COUNT(Curvas_cupon_cero!$A:$A)-2,1))))</f>
        <v/>
      </c>
      <c r="G182" s="23" t="str">
        <f ca="1">IF(A182="","",IF($B$8="Sí",interpolar_alamb(E182,OFFSET(Curvas_cupon_cero!$A$1,1,0,COUNT(Curvas_cupon_cero!$A:$A)-2,1),OFFSET(Curvas_cupon_cero!$A$1,1,MATCH($B$7,Curvas_cupon_cero!$1:$1,0)-1,COUNT(Curvas_cupon_cero!$A:$A)-2,1)),interpolar(E182,OFFSET(Curvas_cupon_cero!$A$1,1,0,COUNT(Curvas_cupon_cero!$A:$A)-2,1),OFFSET(Curvas_cupon_cero!$A$1,1,MATCH($B$7,Curvas_cupon_cero!$1:$1,0)-1,COUNT(Curvas_cupon_cero!$A:$A)-2,1))))</f>
        <v/>
      </c>
      <c r="H182" s="19" t="str">
        <f t="shared" si="13"/>
        <v/>
      </c>
    </row>
    <row r="183" spans="1:8" x14ac:dyDescent="0.2">
      <c r="A183" s="12" t="str">
        <f t="shared" si="14"/>
        <v/>
      </c>
      <c r="B183" s="21" t="str">
        <f t="shared" si="15"/>
        <v/>
      </c>
      <c r="C183" s="17" t="str">
        <f t="shared" si="12"/>
        <v/>
      </c>
      <c r="D183" s="18" t="str">
        <f t="shared" si="16"/>
        <v/>
      </c>
      <c r="E183" t="str">
        <f t="shared" si="17"/>
        <v/>
      </c>
      <c r="F183" s="23" t="str">
        <f ca="1">IF(A183="","",IF($B$8="Sí",interpolar_alamb(E183,OFFSET(Curvas_cupon_cero!$A$1,1,0,COUNT(Curvas_cupon_cero!$A:$A)-2,1),OFFSET(Curvas_cupon_cero!$A$1,1,MATCH($B$6,Curvas_cupon_cero!$1:$1,0)-1,COUNT(Curvas_cupon_cero!$A:$A)-2,1)),interpolar(E183,OFFSET(Curvas_cupon_cero!$A$1,1,0,COUNT(Curvas_cupon_cero!$A:$A)-2,1),OFFSET(Curvas_cupon_cero!$A$1,1,MATCH($B$6,Curvas_cupon_cero!$1:$1,0)-1,COUNT(Curvas_cupon_cero!$A:$A)-2,1))))</f>
        <v/>
      </c>
      <c r="G183" s="23" t="str">
        <f ca="1">IF(A183="","",IF($B$8="Sí",interpolar_alamb(E183,OFFSET(Curvas_cupon_cero!$A$1,1,0,COUNT(Curvas_cupon_cero!$A:$A)-2,1),OFFSET(Curvas_cupon_cero!$A$1,1,MATCH($B$7,Curvas_cupon_cero!$1:$1,0)-1,COUNT(Curvas_cupon_cero!$A:$A)-2,1)),interpolar(E183,OFFSET(Curvas_cupon_cero!$A$1,1,0,COUNT(Curvas_cupon_cero!$A:$A)-2,1),OFFSET(Curvas_cupon_cero!$A$1,1,MATCH($B$7,Curvas_cupon_cero!$1:$1,0)-1,COUNT(Curvas_cupon_cero!$A:$A)-2,1))))</f>
        <v/>
      </c>
      <c r="H183" s="19" t="str">
        <f t="shared" si="13"/>
        <v/>
      </c>
    </row>
    <row r="184" spans="1:8" x14ac:dyDescent="0.2">
      <c r="A184" s="12" t="str">
        <f t="shared" si="14"/>
        <v/>
      </c>
      <c r="B184" s="21" t="str">
        <f t="shared" si="15"/>
        <v/>
      </c>
      <c r="C184" s="17" t="str">
        <f t="shared" si="12"/>
        <v/>
      </c>
      <c r="D184" s="18" t="str">
        <f t="shared" si="16"/>
        <v/>
      </c>
      <c r="E184" t="str">
        <f t="shared" si="17"/>
        <v/>
      </c>
      <c r="F184" s="23" t="str">
        <f ca="1">IF(A184="","",IF($B$8="Sí",interpolar_alamb(E184,OFFSET(Curvas_cupon_cero!$A$1,1,0,COUNT(Curvas_cupon_cero!$A:$A)-2,1),OFFSET(Curvas_cupon_cero!$A$1,1,MATCH($B$6,Curvas_cupon_cero!$1:$1,0)-1,COUNT(Curvas_cupon_cero!$A:$A)-2,1)),interpolar(E184,OFFSET(Curvas_cupon_cero!$A$1,1,0,COUNT(Curvas_cupon_cero!$A:$A)-2,1),OFFSET(Curvas_cupon_cero!$A$1,1,MATCH($B$6,Curvas_cupon_cero!$1:$1,0)-1,COUNT(Curvas_cupon_cero!$A:$A)-2,1))))</f>
        <v/>
      </c>
      <c r="G184" s="23" t="str">
        <f ca="1">IF(A184="","",IF($B$8="Sí",interpolar_alamb(E184,OFFSET(Curvas_cupon_cero!$A$1,1,0,COUNT(Curvas_cupon_cero!$A:$A)-2,1),OFFSET(Curvas_cupon_cero!$A$1,1,MATCH($B$7,Curvas_cupon_cero!$1:$1,0)-1,COUNT(Curvas_cupon_cero!$A:$A)-2,1)),interpolar(E184,OFFSET(Curvas_cupon_cero!$A$1,1,0,COUNT(Curvas_cupon_cero!$A:$A)-2,1),OFFSET(Curvas_cupon_cero!$A$1,1,MATCH($B$7,Curvas_cupon_cero!$1:$1,0)-1,COUNT(Curvas_cupon_cero!$A:$A)-2,1))))</f>
        <v/>
      </c>
      <c r="H184" s="19" t="str">
        <f t="shared" si="13"/>
        <v/>
      </c>
    </row>
    <row r="185" spans="1:8" x14ac:dyDescent="0.2">
      <c r="A185" s="12" t="str">
        <f t="shared" si="14"/>
        <v/>
      </c>
      <c r="B185" s="21" t="str">
        <f t="shared" si="15"/>
        <v/>
      </c>
      <c r="C185" s="17" t="str">
        <f t="shared" si="12"/>
        <v/>
      </c>
      <c r="D185" s="18" t="str">
        <f t="shared" si="16"/>
        <v/>
      </c>
      <c r="E185" t="str">
        <f t="shared" si="17"/>
        <v/>
      </c>
      <c r="F185" s="23" t="str">
        <f ca="1">IF(A185="","",IF($B$8="Sí",interpolar_alamb(E185,OFFSET(Curvas_cupon_cero!$A$1,1,0,COUNT(Curvas_cupon_cero!$A:$A)-2,1),OFFSET(Curvas_cupon_cero!$A$1,1,MATCH($B$6,Curvas_cupon_cero!$1:$1,0)-1,COUNT(Curvas_cupon_cero!$A:$A)-2,1)),interpolar(E185,OFFSET(Curvas_cupon_cero!$A$1,1,0,COUNT(Curvas_cupon_cero!$A:$A)-2,1),OFFSET(Curvas_cupon_cero!$A$1,1,MATCH($B$6,Curvas_cupon_cero!$1:$1,0)-1,COUNT(Curvas_cupon_cero!$A:$A)-2,1))))</f>
        <v/>
      </c>
      <c r="G185" s="23" t="str">
        <f ca="1">IF(A185="","",IF($B$8="Sí",interpolar_alamb(E185,OFFSET(Curvas_cupon_cero!$A$1,1,0,COUNT(Curvas_cupon_cero!$A:$A)-2,1),OFFSET(Curvas_cupon_cero!$A$1,1,MATCH($B$7,Curvas_cupon_cero!$1:$1,0)-1,COUNT(Curvas_cupon_cero!$A:$A)-2,1)),interpolar(E185,OFFSET(Curvas_cupon_cero!$A$1,1,0,COUNT(Curvas_cupon_cero!$A:$A)-2,1),OFFSET(Curvas_cupon_cero!$A$1,1,MATCH($B$7,Curvas_cupon_cero!$1:$1,0)-1,COUNT(Curvas_cupon_cero!$A:$A)-2,1))))</f>
        <v/>
      </c>
      <c r="H185" s="19" t="str">
        <f t="shared" si="13"/>
        <v/>
      </c>
    </row>
    <row r="186" spans="1:8" x14ac:dyDescent="0.2">
      <c r="A186" s="12" t="str">
        <f t="shared" si="14"/>
        <v/>
      </c>
      <c r="B186" s="21" t="str">
        <f t="shared" si="15"/>
        <v/>
      </c>
      <c r="C186" s="17" t="str">
        <f t="shared" si="12"/>
        <v/>
      </c>
      <c r="D186" s="18" t="str">
        <f t="shared" si="16"/>
        <v/>
      </c>
      <c r="E186" t="str">
        <f t="shared" si="17"/>
        <v/>
      </c>
      <c r="F186" s="23" t="str">
        <f ca="1">IF(A186="","",IF($B$8="Sí",interpolar_alamb(E186,OFFSET(Curvas_cupon_cero!$A$1,1,0,COUNT(Curvas_cupon_cero!$A:$A)-2,1),OFFSET(Curvas_cupon_cero!$A$1,1,MATCH($B$6,Curvas_cupon_cero!$1:$1,0)-1,COUNT(Curvas_cupon_cero!$A:$A)-2,1)),interpolar(E186,OFFSET(Curvas_cupon_cero!$A$1,1,0,COUNT(Curvas_cupon_cero!$A:$A)-2,1),OFFSET(Curvas_cupon_cero!$A$1,1,MATCH($B$6,Curvas_cupon_cero!$1:$1,0)-1,COUNT(Curvas_cupon_cero!$A:$A)-2,1))))</f>
        <v/>
      </c>
      <c r="G186" s="23" t="str">
        <f ca="1">IF(A186="","",IF($B$8="Sí",interpolar_alamb(E186,OFFSET(Curvas_cupon_cero!$A$1,1,0,COUNT(Curvas_cupon_cero!$A:$A)-2,1),OFFSET(Curvas_cupon_cero!$A$1,1,MATCH($B$7,Curvas_cupon_cero!$1:$1,0)-1,COUNT(Curvas_cupon_cero!$A:$A)-2,1)),interpolar(E186,OFFSET(Curvas_cupon_cero!$A$1,1,0,COUNT(Curvas_cupon_cero!$A:$A)-2,1),OFFSET(Curvas_cupon_cero!$A$1,1,MATCH($B$7,Curvas_cupon_cero!$1:$1,0)-1,COUNT(Curvas_cupon_cero!$A:$A)-2,1))))</f>
        <v/>
      </c>
      <c r="H186" s="19" t="str">
        <f t="shared" si="13"/>
        <v/>
      </c>
    </row>
    <row r="187" spans="1:8" x14ac:dyDescent="0.2">
      <c r="A187" s="12" t="str">
        <f t="shared" si="14"/>
        <v/>
      </c>
      <c r="B187" s="21" t="str">
        <f t="shared" si="15"/>
        <v/>
      </c>
      <c r="C187" s="17" t="str">
        <f t="shared" si="12"/>
        <v/>
      </c>
      <c r="D187" s="18" t="str">
        <f t="shared" si="16"/>
        <v/>
      </c>
      <c r="E187" t="str">
        <f t="shared" si="17"/>
        <v/>
      </c>
      <c r="F187" s="23" t="str">
        <f ca="1">IF(A187="","",IF($B$8="Sí",interpolar_alamb(E187,OFFSET(Curvas_cupon_cero!$A$1,1,0,COUNT(Curvas_cupon_cero!$A:$A)-2,1),OFFSET(Curvas_cupon_cero!$A$1,1,MATCH($B$6,Curvas_cupon_cero!$1:$1,0)-1,COUNT(Curvas_cupon_cero!$A:$A)-2,1)),interpolar(E187,OFFSET(Curvas_cupon_cero!$A$1,1,0,COUNT(Curvas_cupon_cero!$A:$A)-2,1),OFFSET(Curvas_cupon_cero!$A$1,1,MATCH($B$6,Curvas_cupon_cero!$1:$1,0)-1,COUNT(Curvas_cupon_cero!$A:$A)-2,1))))</f>
        <v/>
      </c>
      <c r="G187" s="23" t="str">
        <f ca="1">IF(A187="","",IF($B$8="Sí",interpolar_alamb(E187,OFFSET(Curvas_cupon_cero!$A$1,1,0,COUNT(Curvas_cupon_cero!$A:$A)-2,1),OFFSET(Curvas_cupon_cero!$A$1,1,MATCH($B$7,Curvas_cupon_cero!$1:$1,0)-1,COUNT(Curvas_cupon_cero!$A:$A)-2,1)),interpolar(E187,OFFSET(Curvas_cupon_cero!$A$1,1,0,COUNT(Curvas_cupon_cero!$A:$A)-2,1),OFFSET(Curvas_cupon_cero!$A$1,1,MATCH($B$7,Curvas_cupon_cero!$1:$1,0)-1,COUNT(Curvas_cupon_cero!$A:$A)-2,1))))</f>
        <v/>
      </c>
      <c r="H187" s="19" t="str">
        <f t="shared" si="13"/>
        <v/>
      </c>
    </row>
    <row r="188" spans="1:8" x14ac:dyDescent="0.2">
      <c r="A188" s="12" t="str">
        <f t="shared" si="14"/>
        <v/>
      </c>
      <c r="B188" s="21" t="str">
        <f t="shared" si="15"/>
        <v/>
      </c>
      <c r="C188" s="17" t="str">
        <f t="shared" si="12"/>
        <v/>
      </c>
      <c r="D188" s="18" t="str">
        <f t="shared" si="16"/>
        <v/>
      </c>
      <c r="E188" t="str">
        <f t="shared" si="17"/>
        <v/>
      </c>
      <c r="F188" s="23" t="str">
        <f ca="1">IF(A188="","",IF($B$8="Sí",interpolar_alamb(E188,OFFSET(Curvas_cupon_cero!$A$1,1,0,COUNT(Curvas_cupon_cero!$A:$A)-2,1),OFFSET(Curvas_cupon_cero!$A$1,1,MATCH($B$6,Curvas_cupon_cero!$1:$1,0)-1,COUNT(Curvas_cupon_cero!$A:$A)-2,1)),interpolar(E188,OFFSET(Curvas_cupon_cero!$A$1,1,0,COUNT(Curvas_cupon_cero!$A:$A)-2,1),OFFSET(Curvas_cupon_cero!$A$1,1,MATCH($B$6,Curvas_cupon_cero!$1:$1,0)-1,COUNT(Curvas_cupon_cero!$A:$A)-2,1))))</f>
        <v/>
      </c>
      <c r="G188" s="23" t="str">
        <f ca="1">IF(A188="","",IF($B$8="Sí",interpolar_alamb(E188,OFFSET(Curvas_cupon_cero!$A$1,1,0,COUNT(Curvas_cupon_cero!$A:$A)-2,1),OFFSET(Curvas_cupon_cero!$A$1,1,MATCH($B$7,Curvas_cupon_cero!$1:$1,0)-1,COUNT(Curvas_cupon_cero!$A:$A)-2,1)),interpolar(E188,OFFSET(Curvas_cupon_cero!$A$1,1,0,COUNT(Curvas_cupon_cero!$A:$A)-2,1),OFFSET(Curvas_cupon_cero!$A$1,1,MATCH($B$7,Curvas_cupon_cero!$1:$1,0)-1,COUNT(Curvas_cupon_cero!$A:$A)-2,1))))</f>
        <v/>
      </c>
      <c r="H188" s="19" t="str">
        <f t="shared" si="13"/>
        <v/>
      </c>
    </row>
    <row r="189" spans="1:8" x14ac:dyDescent="0.2">
      <c r="A189" s="12" t="str">
        <f t="shared" si="14"/>
        <v/>
      </c>
      <c r="B189" s="21" t="str">
        <f t="shared" si="15"/>
        <v/>
      </c>
      <c r="C189" s="17" t="str">
        <f t="shared" si="12"/>
        <v/>
      </c>
      <c r="D189" s="18" t="str">
        <f t="shared" si="16"/>
        <v/>
      </c>
      <c r="E189" t="str">
        <f t="shared" si="17"/>
        <v/>
      </c>
      <c r="F189" s="23" t="str">
        <f ca="1">IF(A189="","",IF($B$8="Sí",interpolar_alamb(E189,OFFSET(Curvas_cupon_cero!$A$1,1,0,COUNT(Curvas_cupon_cero!$A:$A)-2,1),OFFSET(Curvas_cupon_cero!$A$1,1,MATCH($B$6,Curvas_cupon_cero!$1:$1,0)-1,COUNT(Curvas_cupon_cero!$A:$A)-2,1)),interpolar(E189,OFFSET(Curvas_cupon_cero!$A$1,1,0,COUNT(Curvas_cupon_cero!$A:$A)-2,1),OFFSET(Curvas_cupon_cero!$A$1,1,MATCH($B$6,Curvas_cupon_cero!$1:$1,0)-1,COUNT(Curvas_cupon_cero!$A:$A)-2,1))))</f>
        <v/>
      </c>
      <c r="G189" s="23" t="str">
        <f ca="1">IF(A189="","",IF($B$8="Sí",interpolar_alamb(E189,OFFSET(Curvas_cupon_cero!$A$1,1,0,COUNT(Curvas_cupon_cero!$A:$A)-2,1),OFFSET(Curvas_cupon_cero!$A$1,1,MATCH($B$7,Curvas_cupon_cero!$1:$1,0)-1,COUNT(Curvas_cupon_cero!$A:$A)-2,1)),interpolar(E189,OFFSET(Curvas_cupon_cero!$A$1,1,0,COUNT(Curvas_cupon_cero!$A:$A)-2,1),OFFSET(Curvas_cupon_cero!$A$1,1,MATCH($B$7,Curvas_cupon_cero!$1:$1,0)-1,COUNT(Curvas_cupon_cero!$A:$A)-2,1))))</f>
        <v/>
      </c>
      <c r="H189" s="19" t="str">
        <f t="shared" si="13"/>
        <v/>
      </c>
    </row>
    <row r="190" spans="1:8" x14ac:dyDescent="0.2">
      <c r="A190" s="12" t="str">
        <f t="shared" si="14"/>
        <v/>
      </c>
      <c r="B190" s="21" t="str">
        <f t="shared" si="15"/>
        <v/>
      </c>
      <c r="C190" s="17" t="str">
        <f t="shared" si="12"/>
        <v/>
      </c>
      <c r="D190" s="18" t="str">
        <f t="shared" si="16"/>
        <v/>
      </c>
      <c r="E190" t="str">
        <f t="shared" si="17"/>
        <v/>
      </c>
      <c r="F190" s="23" t="str">
        <f ca="1">IF(A190="","",IF($B$8="Sí",interpolar_alamb(E190,OFFSET(Curvas_cupon_cero!$A$1,1,0,COUNT(Curvas_cupon_cero!$A:$A)-2,1),OFFSET(Curvas_cupon_cero!$A$1,1,MATCH($B$6,Curvas_cupon_cero!$1:$1,0)-1,COUNT(Curvas_cupon_cero!$A:$A)-2,1)),interpolar(E190,OFFSET(Curvas_cupon_cero!$A$1,1,0,COUNT(Curvas_cupon_cero!$A:$A)-2,1),OFFSET(Curvas_cupon_cero!$A$1,1,MATCH($B$6,Curvas_cupon_cero!$1:$1,0)-1,COUNT(Curvas_cupon_cero!$A:$A)-2,1))))</f>
        <v/>
      </c>
      <c r="G190" s="23" t="str">
        <f ca="1">IF(A190="","",IF($B$8="Sí",interpolar_alamb(E190,OFFSET(Curvas_cupon_cero!$A$1,1,0,COUNT(Curvas_cupon_cero!$A:$A)-2,1),OFFSET(Curvas_cupon_cero!$A$1,1,MATCH($B$7,Curvas_cupon_cero!$1:$1,0)-1,COUNT(Curvas_cupon_cero!$A:$A)-2,1)),interpolar(E190,OFFSET(Curvas_cupon_cero!$A$1,1,0,COUNT(Curvas_cupon_cero!$A:$A)-2,1),OFFSET(Curvas_cupon_cero!$A$1,1,MATCH($B$7,Curvas_cupon_cero!$1:$1,0)-1,COUNT(Curvas_cupon_cero!$A:$A)-2,1))))</f>
        <v/>
      </c>
      <c r="H190" s="19" t="str">
        <f t="shared" si="13"/>
        <v/>
      </c>
    </row>
    <row r="191" spans="1:8" x14ac:dyDescent="0.2">
      <c r="A191" s="12" t="str">
        <f t="shared" si="14"/>
        <v/>
      </c>
      <c r="B191" s="21" t="str">
        <f t="shared" si="15"/>
        <v/>
      </c>
      <c r="C191" s="17" t="str">
        <f t="shared" si="12"/>
        <v/>
      </c>
      <c r="D191" s="18" t="str">
        <f t="shared" si="16"/>
        <v/>
      </c>
      <c r="E191" t="str">
        <f t="shared" si="17"/>
        <v/>
      </c>
      <c r="F191" s="23" t="str">
        <f ca="1">IF(A191="","",IF($B$8="Sí",interpolar_alamb(E191,OFFSET(Curvas_cupon_cero!$A$1,1,0,COUNT(Curvas_cupon_cero!$A:$A)-2,1),OFFSET(Curvas_cupon_cero!$A$1,1,MATCH($B$6,Curvas_cupon_cero!$1:$1,0)-1,COUNT(Curvas_cupon_cero!$A:$A)-2,1)),interpolar(E191,OFFSET(Curvas_cupon_cero!$A$1,1,0,COUNT(Curvas_cupon_cero!$A:$A)-2,1),OFFSET(Curvas_cupon_cero!$A$1,1,MATCH($B$6,Curvas_cupon_cero!$1:$1,0)-1,COUNT(Curvas_cupon_cero!$A:$A)-2,1))))</f>
        <v/>
      </c>
      <c r="G191" s="23" t="str">
        <f ca="1">IF(A191="","",IF($B$8="Sí",interpolar_alamb(E191,OFFSET(Curvas_cupon_cero!$A$1,1,0,COUNT(Curvas_cupon_cero!$A:$A)-2,1),OFFSET(Curvas_cupon_cero!$A$1,1,MATCH($B$7,Curvas_cupon_cero!$1:$1,0)-1,COUNT(Curvas_cupon_cero!$A:$A)-2,1)),interpolar(E191,OFFSET(Curvas_cupon_cero!$A$1,1,0,COUNT(Curvas_cupon_cero!$A:$A)-2,1),OFFSET(Curvas_cupon_cero!$A$1,1,MATCH($B$7,Curvas_cupon_cero!$1:$1,0)-1,COUNT(Curvas_cupon_cero!$A:$A)-2,1))))</f>
        <v/>
      </c>
      <c r="H191" s="19" t="str">
        <f t="shared" si="13"/>
        <v/>
      </c>
    </row>
    <row r="192" spans="1:8" x14ac:dyDescent="0.2">
      <c r="A192" s="12" t="str">
        <f t="shared" si="14"/>
        <v/>
      </c>
      <c r="B192" s="21" t="str">
        <f t="shared" si="15"/>
        <v/>
      </c>
      <c r="C192" s="17" t="str">
        <f t="shared" si="12"/>
        <v/>
      </c>
      <c r="D192" s="18" t="str">
        <f t="shared" si="16"/>
        <v/>
      </c>
      <c r="E192" t="str">
        <f t="shared" si="17"/>
        <v/>
      </c>
      <c r="F192" s="23" t="str">
        <f ca="1">IF(A192="","",IF($B$8="Sí",interpolar_alamb(E192,OFFSET(Curvas_cupon_cero!$A$1,1,0,COUNT(Curvas_cupon_cero!$A:$A)-2,1),OFFSET(Curvas_cupon_cero!$A$1,1,MATCH($B$6,Curvas_cupon_cero!$1:$1,0)-1,COUNT(Curvas_cupon_cero!$A:$A)-2,1)),interpolar(E192,OFFSET(Curvas_cupon_cero!$A$1,1,0,COUNT(Curvas_cupon_cero!$A:$A)-2,1),OFFSET(Curvas_cupon_cero!$A$1,1,MATCH($B$6,Curvas_cupon_cero!$1:$1,0)-1,COUNT(Curvas_cupon_cero!$A:$A)-2,1))))</f>
        <v/>
      </c>
      <c r="G192" s="23" t="str">
        <f ca="1">IF(A192="","",IF($B$8="Sí",interpolar_alamb(E192,OFFSET(Curvas_cupon_cero!$A$1,1,0,COUNT(Curvas_cupon_cero!$A:$A)-2,1),OFFSET(Curvas_cupon_cero!$A$1,1,MATCH($B$7,Curvas_cupon_cero!$1:$1,0)-1,COUNT(Curvas_cupon_cero!$A:$A)-2,1)),interpolar(E192,OFFSET(Curvas_cupon_cero!$A$1,1,0,COUNT(Curvas_cupon_cero!$A:$A)-2,1),OFFSET(Curvas_cupon_cero!$A$1,1,MATCH($B$7,Curvas_cupon_cero!$1:$1,0)-1,COUNT(Curvas_cupon_cero!$A:$A)-2,1))))</f>
        <v/>
      </c>
      <c r="H192" s="19" t="str">
        <f t="shared" si="13"/>
        <v/>
      </c>
    </row>
    <row r="193" spans="1:8" x14ac:dyDescent="0.2">
      <c r="A193" s="12" t="str">
        <f t="shared" si="14"/>
        <v/>
      </c>
      <c r="B193" s="21" t="str">
        <f t="shared" si="15"/>
        <v/>
      </c>
      <c r="C193" s="17" t="str">
        <f t="shared" si="12"/>
        <v/>
      </c>
      <c r="D193" s="18" t="str">
        <f t="shared" si="16"/>
        <v/>
      </c>
      <c r="E193" t="str">
        <f t="shared" si="17"/>
        <v/>
      </c>
      <c r="F193" s="23" t="str">
        <f ca="1">IF(A193="","",IF($B$8="Sí",interpolar_alamb(E193,OFFSET(Curvas_cupon_cero!$A$1,1,0,COUNT(Curvas_cupon_cero!$A:$A)-2,1),OFFSET(Curvas_cupon_cero!$A$1,1,MATCH($B$6,Curvas_cupon_cero!$1:$1,0)-1,COUNT(Curvas_cupon_cero!$A:$A)-2,1)),interpolar(E193,OFFSET(Curvas_cupon_cero!$A$1,1,0,COUNT(Curvas_cupon_cero!$A:$A)-2,1),OFFSET(Curvas_cupon_cero!$A$1,1,MATCH($B$6,Curvas_cupon_cero!$1:$1,0)-1,COUNT(Curvas_cupon_cero!$A:$A)-2,1))))</f>
        <v/>
      </c>
      <c r="G193" s="23" t="str">
        <f ca="1">IF(A193="","",IF($B$8="Sí",interpolar_alamb(E193,OFFSET(Curvas_cupon_cero!$A$1,1,0,COUNT(Curvas_cupon_cero!$A:$A)-2,1),OFFSET(Curvas_cupon_cero!$A$1,1,MATCH($B$7,Curvas_cupon_cero!$1:$1,0)-1,COUNT(Curvas_cupon_cero!$A:$A)-2,1)),interpolar(E193,OFFSET(Curvas_cupon_cero!$A$1,1,0,COUNT(Curvas_cupon_cero!$A:$A)-2,1),OFFSET(Curvas_cupon_cero!$A$1,1,MATCH($B$7,Curvas_cupon_cero!$1:$1,0)-1,COUNT(Curvas_cupon_cero!$A:$A)-2,1))))</f>
        <v/>
      </c>
      <c r="H193" s="19" t="str">
        <f t="shared" si="13"/>
        <v/>
      </c>
    </row>
    <row r="194" spans="1:8" x14ac:dyDescent="0.2">
      <c r="A194" s="12" t="str">
        <f t="shared" si="14"/>
        <v/>
      </c>
      <c r="B194" s="21" t="str">
        <f t="shared" si="15"/>
        <v/>
      </c>
      <c r="C194" s="17" t="str">
        <f t="shared" si="12"/>
        <v/>
      </c>
      <c r="D194" s="18" t="str">
        <f t="shared" si="16"/>
        <v/>
      </c>
      <c r="E194" t="str">
        <f t="shared" si="17"/>
        <v/>
      </c>
      <c r="F194" s="23" t="str">
        <f ca="1">IF(A194="","",IF($B$8="Sí",interpolar_alamb(E194,OFFSET(Curvas_cupon_cero!$A$1,1,0,COUNT(Curvas_cupon_cero!$A:$A)-2,1),OFFSET(Curvas_cupon_cero!$A$1,1,MATCH($B$6,Curvas_cupon_cero!$1:$1,0)-1,COUNT(Curvas_cupon_cero!$A:$A)-2,1)),interpolar(E194,OFFSET(Curvas_cupon_cero!$A$1,1,0,COUNT(Curvas_cupon_cero!$A:$A)-2,1),OFFSET(Curvas_cupon_cero!$A$1,1,MATCH($B$6,Curvas_cupon_cero!$1:$1,0)-1,COUNT(Curvas_cupon_cero!$A:$A)-2,1))))</f>
        <v/>
      </c>
      <c r="G194" s="23" t="str">
        <f ca="1">IF(A194="","",IF($B$8="Sí",interpolar_alamb(E194,OFFSET(Curvas_cupon_cero!$A$1,1,0,COUNT(Curvas_cupon_cero!$A:$A)-2,1),OFFSET(Curvas_cupon_cero!$A$1,1,MATCH($B$7,Curvas_cupon_cero!$1:$1,0)-1,COUNT(Curvas_cupon_cero!$A:$A)-2,1)),interpolar(E194,OFFSET(Curvas_cupon_cero!$A$1,1,0,COUNT(Curvas_cupon_cero!$A:$A)-2,1),OFFSET(Curvas_cupon_cero!$A$1,1,MATCH($B$7,Curvas_cupon_cero!$1:$1,0)-1,COUNT(Curvas_cupon_cero!$A:$A)-2,1))))</f>
        <v/>
      </c>
      <c r="H194" s="19" t="str">
        <f t="shared" si="13"/>
        <v/>
      </c>
    </row>
    <row r="195" spans="1:8" x14ac:dyDescent="0.2">
      <c r="A195" s="12" t="str">
        <f t="shared" si="14"/>
        <v/>
      </c>
      <c r="B195" s="21" t="str">
        <f t="shared" si="15"/>
        <v/>
      </c>
      <c r="C195" s="17" t="str">
        <f t="shared" si="12"/>
        <v/>
      </c>
      <c r="D195" s="18" t="str">
        <f t="shared" si="16"/>
        <v/>
      </c>
      <c r="E195" t="str">
        <f t="shared" si="17"/>
        <v/>
      </c>
      <c r="F195" s="23" t="str">
        <f ca="1">IF(A195="","",IF($B$8="Sí",interpolar_alamb(E195,OFFSET(Curvas_cupon_cero!$A$1,1,0,COUNT(Curvas_cupon_cero!$A:$A)-2,1),OFFSET(Curvas_cupon_cero!$A$1,1,MATCH($B$6,Curvas_cupon_cero!$1:$1,0)-1,COUNT(Curvas_cupon_cero!$A:$A)-2,1)),interpolar(E195,OFFSET(Curvas_cupon_cero!$A$1,1,0,COUNT(Curvas_cupon_cero!$A:$A)-2,1),OFFSET(Curvas_cupon_cero!$A$1,1,MATCH($B$6,Curvas_cupon_cero!$1:$1,0)-1,COUNT(Curvas_cupon_cero!$A:$A)-2,1))))</f>
        <v/>
      </c>
      <c r="G195" s="23" t="str">
        <f ca="1">IF(A195="","",IF($B$8="Sí",interpolar_alamb(E195,OFFSET(Curvas_cupon_cero!$A$1,1,0,COUNT(Curvas_cupon_cero!$A:$A)-2,1),OFFSET(Curvas_cupon_cero!$A$1,1,MATCH($B$7,Curvas_cupon_cero!$1:$1,0)-1,COUNT(Curvas_cupon_cero!$A:$A)-2,1)),interpolar(E195,OFFSET(Curvas_cupon_cero!$A$1,1,0,COUNT(Curvas_cupon_cero!$A:$A)-2,1),OFFSET(Curvas_cupon_cero!$A$1,1,MATCH($B$7,Curvas_cupon_cero!$1:$1,0)-1,COUNT(Curvas_cupon_cero!$A:$A)-2,1))))</f>
        <v/>
      </c>
      <c r="H195" s="19" t="str">
        <f t="shared" si="13"/>
        <v/>
      </c>
    </row>
    <row r="196" spans="1:8" x14ac:dyDescent="0.2">
      <c r="A196" s="12" t="str">
        <f t="shared" si="14"/>
        <v/>
      </c>
      <c r="B196" s="21" t="str">
        <f t="shared" si="15"/>
        <v/>
      </c>
      <c r="C196" s="17" t="str">
        <f t="shared" si="12"/>
        <v/>
      </c>
      <c r="D196" s="18" t="str">
        <f t="shared" si="16"/>
        <v/>
      </c>
      <c r="E196" t="str">
        <f t="shared" si="17"/>
        <v/>
      </c>
      <c r="F196" s="23" t="str">
        <f ca="1">IF(A196="","",IF($B$8="Sí",interpolar_alamb(E196,OFFSET(Curvas_cupon_cero!$A$1,1,0,COUNT(Curvas_cupon_cero!$A:$A)-2,1),OFFSET(Curvas_cupon_cero!$A$1,1,MATCH($B$6,Curvas_cupon_cero!$1:$1,0)-1,COUNT(Curvas_cupon_cero!$A:$A)-2,1)),interpolar(E196,OFFSET(Curvas_cupon_cero!$A$1,1,0,COUNT(Curvas_cupon_cero!$A:$A)-2,1),OFFSET(Curvas_cupon_cero!$A$1,1,MATCH($B$6,Curvas_cupon_cero!$1:$1,0)-1,COUNT(Curvas_cupon_cero!$A:$A)-2,1))))</f>
        <v/>
      </c>
      <c r="G196" s="23" t="str">
        <f ca="1">IF(A196="","",IF($B$8="Sí",interpolar_alamb(E196,OFFSET(Curvas_cupon_cero!$A$1,1,0,COUNT(Curvas_cupon_cero!$A:$A)-2,1),OFFSET(Curvas_cupon_cero!$A$1,1,MATCH($B$7,Curvas_cupon_cero!$1:$1,0)-1,COUNT(Curvas_cupon_cero!$A:$A)-2,1)),interpolar(E196,OFFSET(Curvas_cupon_cero!$A$1,1,0,COUNT(Curvas_cupon_cero!$A:$A)-2,1),OFFSET(Curvas_cupon_cero!$A$1,1,MATCH($B$7,Curvas_cupon_cero!$1:$1,0)-1,COUNT(Curvas_cupon_cero!$A:$A)-2,1))))</f>
        <v/>
      </c>
      <c r="H196" s="19" t="str">
        <f t="shared" si="13"/>
        <v/>
      </c>
    </row>
    <row r="197" spans="1:8" x14ac:dyDescent="0.2">
      <c r="A197" s="12" t="str">
        <f t="shared" si="14"/>
        <v/>
      </c>
      <c r="B197" s="21" t="str">
        <f t="shared" si="15"/>
        <v/>
      </c>
      <c r="C197" s="17" t="str">
        <f t="shared" si="12"/>
        <v/>
      </c>
      <c r="D197" s="18" t="str">
        <f t="shared" si="16"/>
        <v/>
      </c>
      <c r="E197" t="str">
        <f t="shared" si="17"/>
        <v/>
      </c>
      <c r="F197" s="23" t="str">
        <f ca="1">IF(A197="","",IF($B$8="Sí",interpolar_alamb(E197,OFFSET(Curvas_cupon_cero!$A$1,1,0,COUNT(Curvas_cupon_cero!$A:$A)-2,1),OFFSET(Curvas_cupon_cero!$A$1,1,MATCH($B$6,Curvas_cupon_cero!$1:$1,0)-1,COUNT(Curvas_cupon_cero!$A:$A)-2,1)),interpolar(E197,OFFSET(Curvas_cupon_cero!$A$1,1,0,COUNT(Curvas_cupon_cero!$A:$A)-2,1),OFFSET(Curvas_cupon_cero!$A$1,1,MATCH($B$6,Curvas_cupon_cero!$1:$1,0)-1,COUNT(Curvas_cupon_cero!$A:$A)-2,1))))</f>
        <v/>
      </c>
      <c r="G197" s="23" t="str">
        <f ca="1">IF(A197="","",IF($B$8="Sí",interpolar_alamb(E197,OFFSET(Curvas_cupon_cero!$A$1,1,0,COUNT(Curvas_cupon_cero!$A:$A)-2,1),OFFSET(Curvas_cupon_cero!$A$1,1,MATCH($B$7,Curvas_cupon_cero!$1:$1,0)-1,COUNT(Curvas_cupon_cero!$A:$A)-2,1)),interpolar(E197,OFFSET(Curvas_cupon_cero!$A$1,1,0,COUNT(Curvas_cupon_cero!$A:$A)-2,1),OFFSET(Curvas_cupon_cero!$A$1,1,MATCH($B$7,Curvas_cupon_cero!$1:$1,0)-1,COUNT(Curvas_cupon_cero!$A:$A)-2,1))))</f>
        <v/>
      </c>
      <c r="H197" s="19" t="str">
        <f t="shared" si="13"/>
        <v/>
      </c>
    </row>
    <row r="198" spans="1:8" x14ac:dyDescent="0.2">
      <c r="A198" s="12" t="str">
        <f t="shared" si="14"/>
        <v/>
      </c>
      <c r="B198" s="21" t="str">
        <f t="shared" si="15"/>
        <v/>
      </c>
      <c r="C198" s="17" t="str">
        <f t="shared" si="12"/>
        <v/>
      </c>
      <c r="D198" s="18" t="str">
        <f t="shared" si="16"/>
        <v/>
      </c>
      <c r="E198" t="str">
        <f t="shared" si="17"/>
        <v/>
      </c>
      <c r="F198" s="23" t="str">
        <f ca="1">IF(A198="","",IF($B$8="Sí",interpolar_alamb(E198,OFFSET(Curvas_cupon_cero!$A$1,1,0,COUNT(Curvas_cupon_cero!$A:$A)-2,1),OFFSET(Curvas_cupon_cero!$A$1,1,MATCH($B$6,Curvas_cupon_cero!$1:$1,0)-1,COUNT(Curvas_cupon_cero!$A:$A)-2,1)),interpolar(E198,OFFSET(Curvas_cupon_cero!$A$1,1,0,COUNT(Curvas_cupon_cero!$A:$A)-2,1),OFFSET(Curvas_cupon_cero!$A$1,1,MATCH($B$6,Curvas_cupon_cero!$1:$1,0)-1,COUNT(Curvas_cupon_cero!$A:$A)-2,1))))</f>
        <v/>
      </c>
      <c r="G198" s="23" t="str">
        <f ca="1">IF(A198="","",IF($B$8="Sí",interpolar_alamb(E198,OFFSET(Curvas_cupon_cero!$A$1,1,0,COUNT(Curvas_cupon_cero!$A:$A)-2,1),OFFSET(Curvas_cupon_cero!$A$1,1,MATCH($B$7,Curvas_cupon_cero!$1:$1,0)-1,COUNT(Curvas_cupon_cero!$A:$A)-2,1)),interpolar(E198,OFFSET(Curvas_cupon_cero!$A$1,1,0,COUNT(Curvas_cupon_cero!$A:$A)-2,1),OFFSET(Curvas_cupon_cero!$A$1,1,MATCH($B$7,Curvas_cupon_cero!$1:$1,0)-1,COUNT(Curvas_cupon_cero!$A:$A)-2,1))))</f>
        <v/>
      </c>
      <c r="H198" s="19" t="str">
        <f t="shared" si="13"/>
        <v/>
      </c>
    </row>
    <row r="199" spans="1:8" x14ac:dyDescent="0.2">
      <c r="A199" s="12" t="str">
        <f t="shared" si="14"/>
        <v/>
      </c>
      <c r="B199" s="21" t="str">
        <f t="shared" si="15"/>
        <v/>
      </c>
      <c r="C199" s="17" t="str">
        <f t="shared" si="12"/>
        <v/>
      </c>
      <c r="D199" s="18" t="str">
        <f t="shared" si="16"/>
        <v/>
      </c>
      <c r="E199" t="str">
        <f t="shared" si="17"/>
        <v/>
      </c>
      <c r="F199" s="23" t="str">
        <f ca="1">IF(A199="","",IF($B$8="Sí",interpolar_alamb(E199,OFFSET(Curvas_cupon_cero!$A$1,1,0,COUNT(Curvas_cupon_cero!$A:$A)-2,1),OFFSET(Curvas_cupon_cero!$A$1,1,MATCH($B$6,Curvas_cupon_cero!$1:$1,0)-1,COUNT(Curvas_cupon_cero!$A:$A)-2,1)),interpolar(E199,OFFSET(Curvas_cupon_cero!$A$1,1,0,COUNT(Curvas_cupon_cero!$A:$A)-2,1),OFFSET(Curvas_cupon_cero!$A$1,1,MATCH($B$6,Curvas_cupon_cero!$1:$1,0)-1,COUNT(Curvas_cupon_cero!$A:$A)-2,1))))</f>
        <v/>
      </c>
      <c r="G199" s="23" t="str">
        <f ca="1">IF(A199="","",IF($B$8="Sí",interpolar_alamb(E199,OFFSET(Curvas_cupon_cero!$A$1,1,0,COUNT(Curvas_cupon_cero!$A:$A)-2,1),OFFSET(Curvas_cupon_cero!$A$1,1,MATCH($B$7,Curvas_cupon_cero!$1:$1,0)-1,COUNT(Curvas_cupon_cero!$A:$A)-2,1)),interpolar(E199,OFFSET(Curvas_cupon_cero!$A$1,1,0,COUNT(Curvas_cupon_cero!$A:$A)-2,1),OFFSET(Curvas_cupon_cero!$A$1,1,MATCH($B$7,Curvas_cupon_cero!$1:$1,0)-1,COUNT(Curvas_cupon_cero!$A:$A)-2,1))))</f>
        <v/>
      </c>
      <c r="H199" s="19" t="str">
        <f t="shared" si="13"/>
        <v/>
      </c>
    </row>
    <row r="200" spans="1:8" x14ac:dyDescent="0.2">
      <c r="A200" s="12" t="str">
        <f t="shared" si="14"/>
        <v/>
      </c>
      <c r="B200" s="21" t="str">
        <f t="shared" si="15"/>
        <v/>
      </c>
      <c r="C200" s="17" t="str">
        <f t="shared" si="12"/>
        <v/>
      </c>
      <c r="D200" s="18" t="str">
        <f t="shared" si="16"/>
        <v/>
      </c>
      <c r="E200" t="str">
        <f t="shared" si="17"/>
        <v/>
      </c>
      <c r="F200" s="23" t="str">
        <f ca="1">IF(A200="","",IF($B$8="Sí",interpolar_alamb(E200,OFFSET(Curvas_cupon_cero!$A$1,1,0,COUNT(Curvas_cupon_cero!$A:$A)-2,1),OFFSET(Curvas_cupon_cero!$A$1,1,MATCH($B$6,Curvas_cupon_cero!$1:$1,0)-1,COUNT(Curvas_cupon_cero!$A:$A)-2,1)),interpolar(E200,OFFSET(Curvas_cupon_cero!$A$1,1,0,COUNT(Curvas_cupon_cero!$A:$A)-2,1),OFFSET(Curvas_cupon_cero!$A$1,1,MATCH($B$6,Curvas_cupon_cero!$1:$1,0)-1,COUNT(Curvas_cupon_cero!$A:$A)-2,1))))</f>
        <v/>
      </c>
      <c r="G200" s="23" t="str">
        <f ca="1">IF(A200="","",IF($B$8="Sí",interpolar_alamb(E200,OFFSET(Curvas_cupon_cero!$A$1,1,0,COUNT(Curvas_cupon_cero!$A:$A)-2,1),OFFSET(Curvas_cupon_cero!$A$1,1,MATCH($B$7,Curvas_cupon_cero!$1:$1,0)-1,COUNT(Curvas_cupon_cero!$A:$A)-2,1)),interpolar(E200,OFFSET(Curvas_cupon_cero!$A$1,1,0,COUNT(Curvas_cupon_cero!$A:$A)-2,1),OFFSET(Curvas_cupon_cero!$A$1,1,MATCH($B$7,Curvas_cupon_cero!$1:$1,0)-1,COUNT(Curvas_cupon_cero!$A:$A)-2,1))))</f>
        <v/>
      </c>
      <c r="H200" s="19" t="str">
        <f t="shared" si="13"/>
        <v/>
      </c>
    </row>
    <row r="201" spans="1:8" x14ac:dyDescent="0.2">
      <c r="A201" s="12" t="str">
        <f t="shared" si="14"/>
        <v/>
      </c>
      <c r="B201" s="21" t="str">
        <f t="shared" si="15"/>
        <v/>
      </c>
      <c r="C201" s="17" t="str">
        <f t="shared" si="12"/>
        <v/>
      </c>
      <c r="D201" s="18" t="str">
        <f t="shared" si="16"/>
        <v/>
      </c>
      <c r="E201" t="str">
        <f t="shared" si="17"/>
        <v/>
      </c>
      <c r="F201" s="23" t="str">
        <f ca="1">IF(A201="","",IF($B$8="Sí",interpolar_alamb(E201,OFFSET(Curvas_cupon_cero!$A$1,1,0,COUNT(Curvas_cupon_cero!$A:$A)-2,1),OFFSET(Curvas_cupon_cero!$A$1,1,MATCH($B$6,Curvas_cupon_cero!$1:$1,0)-1,COUNT(Curvas_cupon_cero!$A:$A)-2,1)),interpolar(E201,OFFSET(Curvas_cupon_cero!$A$1,1,0,COUNT(Curvas_cupon_cero!$A:$A)-2,1),OFFSET(Curvas_cupon_cero!$A$1,1,MATCH($B$6,Curvas_cupon_cero!$1:$1,0)-1,COUNT(Curvas_cupon_cero!$A:$A)-2,1))))</f>
        <v/>
      </c>
      <c r="G201" s="23" t="str">
        <f ca="1">IF(A201="","",IF($B$8="Sí",interpolar_alamb(E201,OFFSET(Curvas_cupon_cero!$A$1,1,0,COUNT(Curvas_cupon_cero!$A:$A)-2,1),OFFSET(Curvas_cupon_cero!$A$1,1,MATCH($B$7,Curvas_cupon_cero!$1:$1,0)-1,COUNT(Curvas_cupon_cero!$A:$A)-2,1)),interpolar(E201,OFFSET(Curvas_cupon_cero!$A$1,1,0,COUNT(Curvas_cupon_cero!$A:$A)-2,1),OFFSET(Curvas_cupon_cero!$A$1,1,MATCH($B$7,Curvas_cupon_cero!$1:$1,0)-1,COUNT(Curvas_cupon_cero!$A:$A)-2,1))))</f>
        <v/>
      </c>
      <c r="H201" s="19" t="str">
        <f t="shared" si="13"/>
        <v/>
      </c>
    </row>
    <row r="202" spans="1:8" x14ac:dyDescent="0.2">
      <c r="A202" s="12" t="str">
        <f t="shared" si="14"/>
        <v/>
      </c>
      <c r="B202" s="21" t="str">
        <f t="shared" si="15"/>
        <v/>
      </c>
      <c r="C202" s="17" t="str">
        <f t="shared" si="12"/>
        <v/>
      </c>
      <c r="D202" s="18" t="str">
        <f t="shared" si="16"/>
        <v/>
      </c>
      <c r="E202" t="str">
        <f t="shared" si="17"/>
        <v/>
      </c>
      <c r="F202" s="23" t="str">
        <f ca="1">IF(A202="","",IF($B$8="Sí",interpolar_alamb(E202,OFFSET(Curvas_cupon_cero!$A$1,1,0,COUNT(Curvas_cupon_cero!$A:$A)-2,1),OFFSET(Curvas_cupon_cero!$A$1,1,MATCH($B$6,Curvas_cupon_cero!$1:$1,0)-1,COUNT(Curvas_cupon_cero!$A:$A)-2,1)),interpolar(E202,OFFSET(Curvas_cupon_cero!$A$1,1,0,COUNT(Curvas_cupon_cero!$A:$A)-2,1),OFFSET(Curvas_cupon_cero!$A$1,1,MATCH($B$6,Curvas_cupon_cero!$1:$1,0)-1,COUNT(Curvas_cupon_cero!$A:$A)-2,1))))</f>
        <v/>
      </c>
      <c r="G202" s="23" t="str">
        <f ca="1">IF(A202="","",IF($B$8="Sí",interpolar_alamb(E202,OFFSET(Curvas_cupon_cero!$A$1,1,0,COUNT(Curvas_cupon_cero!$A:$A)-2,1),OFFSET(Curvas_cupon_cero!$A$1,1,MATCH($B$7,Curvas_cupon_cero!$1:$1,0)-1,COUNT(Curvas_cupon_cero!$A:$A)-2,1)),interpolar(E202,OFFSET(Curvas_cupon_cero!$A$1,1,0,COUNT(Curvas_cupon_cero!$A:$A)-2,1),OFFSET(Curvas_cupon_cero!$A$1,1,MATCH($B$7,Curvas_cupon_cero!$1:$1,0)-1,COUNT(Curvas_cupon_cero!$A:$A)-2,1))))</f>
        <v/>
      </c>
      <c r="H202" s="19" t="str">
        <f t="shared" si="13"/>
        <v/>
      </c>
    </row>
    <row r="203" spans="1:8" x14ac:dyDescent="0.2">
      <c r="A203" s="12" t="str">
        <f t="shared" si="14"/>
        <v/>
      </c>
      <c r="B203" s="21" t="str">
        <f t="shared" si="15"/>
        <v/>
      </c>
      <c r="C203" s="17" t="str">
        <f t="shared" si="12"/>
        <v/>
      </c>
      <c r="D203" s="18" t="str">
        <f t="shared" si="16"/>
        <v/>
      </c>
      <c r="E203" t="str">
        <f t="shared" si="17"/>
        <v/>
      </c>
      <c r="F203" s="23" t="str">
        <f ca="1">IF(A203="","",IF($B$8="Sí",interpolar_alamb(E203,OFFSET(Curvas_cupon_cero!$A$1,1,0,COUNT(Curvas_cupon_cero!$A:$A)-2,1),OFFSET(Curvas_cupon_cero!$A$1,1,MATCH($B$6,Curvas_cupon_cero!$1:$1,0)-1,COUNT(Curvas_cupon_cero!$A:$A)-2,1)),interpolar(E203,OFFSET(Curvas_cupon_cero!$A$1,1,0,COUNT(Curvas_cupon_cero!$A:$A)-2,1),OFFSET(Curvas_cupon_cero!$A$1,1,MATCH($B$6,Curvas_cupon_cero!$1:$1,0)-1,COUNT(Curvas_cupon_cero!$A:$A)-2,1))))</f>
        <v/>
      </c>
      <c r="G203" s="23" t="str">
        <f ca="1">IF(A203="","",IF($B$8="Sí",interpolar_alamb(E203,OFFSET(Curvas_cupon_cero!$A$1,1,0,COUNT(Curvas_cupon_cero!$A:$A)-2,1),OFFSET(Curvas_cupon_cero!$A$1,1,MATCH($B$7,Curvas_cupon_cero!$1:$1,0)-1,COUNT(Curvas_cupon_cero!$A:$A)-2,1)),interpolar(E203,OFFSET(Curvas_cupon_cero!$A$1,1,0,COUNT(Curvas_cupon_cero!$A:$A)-2,1),OFFSET(Curvas_cupon_cero!$A$1,1,MATCH($B$7,Curvas_cupon_cero!$1:$1,0)-1,COUNT(Curvas_cupon_cero!$A:$A)-2,1))))</f>
        <v/>
      </c>
      <c r="H203" s="19" t="str">
        <f t="shared" si="13"/>
        <v/>
      </c>
    </row>
    <row r="204" spans="1:8" x14ac:dyDescent="0.2">
      <c r="A204" s="12" t="str">
        <f t="shared" si="14"/>
        <v/>
      </c>
      <c r="B204" s="21" t="str">
        <f t="shared" si="15"/>
        <v/>
      </c>
      <c r="C204" s="17" t="str">
        <f t="shared" si="12"/>
        <v/>
      </c>
      <c r="D204" s="18" t="str">
        <f t="shared" si="16"/>
        <v/>
      </c>
      <c r="E204" t="str">
        <f t="shared" si="17"/>
        <v/>
      </c>
      <c r="F204" s="23" t="str">
        <f ca="1">IF(A204="","",IF($B$8="Sí",interpolar_alamb(E204,OFFSET(Curvas_cupon_cero!$A$1,1,0,COUNT(Curvas_cupon_cero!$A:$A)-2,1),OFFSET(Curvas_cupon_cero!$A$1,1,MATCH($B$6,Curvas_cupon_cero!$1:$1,0)-1,COUNT(Curvas_cupon_cero!$A:$A)-2,1)),interpolar(E204,OFFSET(Curvas_cupon_cero!$A$1,1,0,COUNT(Curvas_cupon_cero!$A:$A)-2,1),OFFSET(Curvas_cupon_cero!$A$1,1,MATCH($B$6,Curvas_cupon_cero!$1:$1,0)-1,COUNT(Curvas_cupon_cero!$A:$A)-2,1))))</f>
        <v/>
      </c>
      <c r="G204" s="23" t="str">
        <f ca="1">IF(A204="","",IF($B$8="Sí",interpolar_alamb(E204,OFFSET(Curvas_cupon_cero!$A$1,1,0,COUNT(Curvas_cupon_cero!$A:$A)-2,1),OFFSET(Curvas_cupon_cero!$A$1,1,MATCH($B$7,Curvas_cupon_cero!$1:$1,0)-1,COUNT(Curvas_cupon_cero!$A:$A)-2,1)),interpolar(E204,OFFSET(Curvas_cupon_cero!$A$1,1,0,COUNT(Curvas_cupon_cero!$A:$A)-2,1),OFFSET(Curvas_cupon_cero!$A$1,1,MATCH($B$7,Curvas_cupon_cero!$1:$1,0)-1,COUNT(Curvas_cupon_cero!$A:$A)-2,1))))</f>
        <v/>
      </c>
      <c r="H204" s="19" t="str">
        <f t="shared" si="13"/>
        <v/>
      </c>
    </row>
    <row r="205" spans="1:8" x14ac:dyDescent="0.2">
      <c r="A205" s="12" t="str">
        <f t="shared" si="14"/>
        <v/>
      </c>
      <c r="B205" s="21" t="str">
        <f t="shared" si="15"/>
        <v/>
      </c>
      <c r="C205" s="17" t="str">
        <f t="shared" si="12"/>
        <v/>
      </c>
      <c r="D205" s="18" t="str">
        <f t="shared" si="16"/>
        <v/>
      </c>
      <c r="E205" t="str">
        <f t="shared" si="17"/>
        <v/>
      </c>
      <c r="F205" s="23" t="str">
        <f ca="1">IF(A205="","",IF($B$8="Sí",interpolar_alamb(E205,OFFSET(Curvas_cupon_cero!$A$1,1,0,COUNT(Curvas_cupon_cero!$A:$A)-2,1),OFFSET(Curvas_cupon_cero!$A$1,1,MATCH($B$6,Curvas_cupon_cero!$1:$1,0)-1,COUNT(Curvas_cupon_cero!$A:$A)-2,1)),interpolar(E205,OFFSET(Curvas_cupon_cero!$A$1,1,0,COUNT(Curvas_cupon_cero!$A:$A)-2,1),OFFSET(Curvas_cupon_cero!$A$1,1,MATCH($B$6,Curvas_cupon_cero!$1:$1,0)-1,COUNT(Curvas_cupon_cero!$A:$A)-2,1))))</f>
        <v/>
      </c>
      <c r="G205" s="23" t="str">
        <f ca="1">IF(A205="","",IF($B$8="Sí",interpolar_alamb(E205,OFFSET(Curvas_cupon_cero!$A$1,1,0,COUNT(Curvas_cupon_cero!$A:$A)-2,1),OFFSET(Curvas_cupon_cero!$A$1,1,MATCH($B$7,Curvas_cupon_cero!$1:$1,0)-1,COUNT(Curvas_cupon_cero!$A:$A)-2,1)),interpolar(E205,OFFSET(Curvas_cupon_cero!$A$1,1,0,COUNT(Curvas_cupon_cero!$A:$A)-2,1),OFFSET(Curvas_cupon_cero!$A$1,1,MATCH($B$7,Curvas_cupon_cero!$1:$1,0)-1,COUNT(Curvas_cupon_cero!$A:$A)-2,1))))</f>
        <v/>
      </c>
      <c r="H205" s="19" t="str">
        <f t="shared" si="13"/>
        <v/>
      </c>
    </row>
    <row r="206" spans="1:8" x14ac:dyDescent="0.2">
      <c r="A206" s="12" t="str">
        <f t="shared" si="14"/>
        <v/>
      </c>
      <c r="B206" s="21" t="str">
        <f t="shared" si="15"/>
        <v/>
      </c>
      <c r="C206" s="17" t="str">
        <f t="shared" si="12"/>
        <v/>
      </c>
      <c r="D206" s="18" t="str">
        <f t="shared" si="16"/>
        <v/>
      </c>
      <c r="E206" t="str">
        <f t="shared" si="17"/>
        <v/>
      </c>
      <c r="F206" s="23" t="str">
        <f ca="1">IF(A206="","",IF($B$8="Sí",interpolar_alamb(E206,OFFSET(Curvas_cupon_cero!$A$1,1,0,COUNT(Curvas_cupon_cero!$A:$A)-2,1),OFFSET(Curvas_cupon_cero!$A$1,1,MATCH($B$6,Curvas_cupon_cero!$1:$1,0)-1,COUNT(Curvas_cupon_cero!$A:$A)-2,1)),interpolar(E206,OFFSET(Curvas_cupon_cero!$A$1,1,0,COUNT(Curvas_cupon_cero!$A:$A)-2,1),OFFSET(Curvas_cupon_cero!$A$1,1,MATCH($B$6,Curvas_cupon_cero!$1:$1,0)-1,COUNT(Curvas_cupon_cero!$A:$A)-2,1))))</f>
        <v/>
      </c>
      <c r="G206" s="23" t="str">
        <f ca="1">IF(A206="","",IF($B$8="Sí",interpolar_alamb(E206,OFFSET(Curvas_cupon_cero!$A$1,1,0,COUNT(Curvas_cupon_cero!$A:$A)-2,1),OFFSET(Curvas_cupon_cero!$A$1,1,MATCH($B$7,Curvas_cupon_cero!$1:$1,0)-1,COUNT(Curvas_cupon_cero!$A:$A)-2,1)),interpolar(E206,OFFSET(Curvas_cupon_cero!$A$1,1,0,COUNT(Curvas_cupon_cero!$A:$A)-2,1),OFFSET(Curvas_cupon_cero!$A$1,1,MATCH($B$7,Curvas_cupon_cero!$1:$1,0)-1,COUNT(Curvas_cupon_cero!$A:$A)-2,1))))</f>
        <v/>
      </c>
      <c r="H206" s="19" t="str">
        <f t="shared" si="13"/>
        <v/>
      </c>
    </row>
    <row r="207" spans="1:8" x14ac:dyDescent="0.2">
      <c r="A207" s="12" t="str">
        <f t="shared" si="14"/>
        <v/>
      </c>
      <c r="B207" s="21" t="str">
        <f t="shared" si="15"/>
        <v/>
      </c>
      <c r="C207" s="17" t="str">
        <f t="shared" si="12"/>
        <v/>
      </c>
      <c r="D207" s="18" t="str">
        <f t="shared" si="16"/>
        <v/>
      </c>
      <c r="E207" t="str">
        <f t="shared" si="17"/>
        <v/>
      </c>
      <c r="F207" s="23" t="str">
        <f ca="1">IF(A207="","",IF($B$8="Sí",interpolar_alamb(E207,OFFSET(Curvas_cupon_cero!$A$1,1,0,COUNT(Curvas_cupon_cero!$A:$A)-2,1),OFFSET(Curvas_cupon_cero!$A$1,1,MATCH($B$6,Curvas_cupon_cero!$1:$1,0)-1,COUNT(Curvas_cupon_cero!$A:$A)-2,1)),interpolar(E207,OFFSET(Curvas_cupon_cero!$A$1,1,0,COUNT(Curvas_cupon_cero!$A:$A)-2,1),OFFSET(Curvas_cupon_cero!$A$1,1,MATCH($B$6,Curvas_cupon_cero!$1:$1,0)-1,COUNT(Curvas_cupon_cero!$A:$A)-2,1))))</f>
        <v/>
      </c>
      <c r="G207" s="23" t="str">
        <f ca="1">IF(A207="","",IF($B$8="Sí",interpolar_alamb(E207,OFFSET(Curvas_cupon_cero!$A$1,1,0,COUNT(Curvas_cupon_cero!$A:$A)-2,1),OFFSET(Curvas_cupon_cero!$A$1,1,MATCH($B$7,Curvas_cupon_cero!$1:$1,0)-1,COUNT(Curvas_cupon_cero!$A:$A)-2,1)),interpolar(E207,OFFSET(Curvas_cupon_cero!$A$1,1,0,COUNT(Curvas_cupon_cero!$A:$A)-2,1),OFFSET(Curvas_cupon_cero!$A$1,1,MATCH($B$7,Curvas_cupon_cero!$1:$1,0)-1,COUNT(Curvas_cupon_cero!$A:$A)-2,1))))</f>
        <v/>
      </c>
      <c r="H207" s="19" t="str">
        <f t="shared" si="13"/>
        <v/>
      </c>
    </row>
    <row r="208" spans="1:8" x14ac:dyDescent="0.2">
      <c r="A208" s="12" t="str">
        <f t="shared" si="14"/>
        <v/>
      </c>
      <c r="B208" s="21" t="str">
        <f t="shared" si="15"/>
        <v/>
      </c>
      <c r="C208" s="17" t="str">
        <f t="shared" ref="C208:C271" si="18">IF(A208="","",IF(A208=$B$4,$B$1*$B$2+$B$1*$B$5/360*$B$2*B208, $B$1*$B$5/360*$B$2*B208))</f>
        <v/>
      </c>
      <c r="D208" s="18" t="str">
        <f t="shared" si="16"/>
        <v/>
      </c>
      <c r="E208" t="str">
        <f t="shared" si="17"/>
        <v/>
      </c>
      <c r="F208" s="23" t="str">
        <f ca="1">IF(A208="","",IF($B$8="Sí",interpolar_alamb(E208,OFFSET(Curvas_cupon_cero!$A$1,1,0,COUNT(Curvas_cupon_cero!$A:$A)-2,1),OFFSET(Curvas_cupon_cero!$A$1,1,MATCH($B$6,Curvas_cupon_cero!$1:$1,0)-1,COUNT(Curvas_cupon_cero!$A:$A)-2,1)),interpolar(E208,OFFSET(Curvas_cupon_cero!$A$1,1,0,COUNT(Curvas_cupon_cero!$A:$A)-2,1),OFFSET(Curvas_cupon_cero!$A$1,1,MATCH($B$6,Curvas_cupon_cero!$1:$1,0)-1,COUNT(Curvas_cupon_cero!$A:$A)-2,1))))</f>
        <v/>
      </c>
      <c r="G208" s="23" t="str">
        <f ca="1">IF(A208="","",IF($B$8="Sí",interpolar_alamb(E208,OFFSET(Curvas_cupon_cero!$A$1,1,0,COUNT(Curvas_cupon_cero!$A:$A)-2,1),OFFSET(Curvas_cupon_cero!$A$1,1,MATCH($B$7,Curvas_cupon_cero!$1:$1,0)-1,COUNT(Curvas_cupon_cero!$A:$A)-2,1)),interpolar(E208,OFFSET(Curvas_cupon_cero!$A$1,1,0,COUNT(Curvas_cupon_cero!$A:$A)-2,1),OFFSET(Curvas_cupon_cero!$A$1,1,MATCH($B$7,Curvas_cupon_cero!$1:$1,0)-1,COUNT(Curvas_cupon_cero!$A:$A)-2,1))))</f>
        <v/>
      </c>
      <c r="H208" s="19" t="str">
        <f t="shared" ref="H208:H271" si="19">IF(A208="","",C208/(1+(F208+G208)*E208/360))</f>
        <v/>
      </c>
    </row>
    <row r="209" spans="1:8" x14ac:dyDescent="0.2">
      <c r="A209" s="12" t="str">
        <f t="shared" ref="A209:A272" si="20">IF(A208="","",IF((A208+$B$5)&gt;$B$4,"",(A208+$B$5)))</f>
        <v/>
      </c>
      <c r="B209" s="21" t="str">
        <f t="shared" ref="B209:B272" si="21">IF(A209="","",((1+$B$9/360)^$B$5-1)*360/$B$5)</f>
        <v/>
      </c>
      <c r="C209" s="17" t="str">
        <f t="shared" si="18"/>
        <v/>
      </c>
      <c r="D209" s="18" t="str">
        <f t="shared" ref="D209:D272" si="22">IF(A209="","",$B$5)</f>
        <v/>
      </c>
      <c r="E209" t="str">
        <f t="shared" ref="E209:E272" si="23">IF(A209="","",E208+D209)</f>
        <v/>
      </c>
      <c r="F209" s="23" t="str">
        <f ca="1">IF(A209="","",IF($B$8="Sí",interpolar_alamb(E209,OFFSET(Curvas_cupon_cero!$A$1,1,0,COUNT(Curvas_cupon_cero!$A:$A)-2,1),OFFSET(Curvas_cupon_cero!$A$1,1,MATCH($B$6,Curvas_cupon_cero!$1:$1,0)-1,COUNT(Curvas_cupon_cero!$A:$A)-2,1)),interpolar(E209,OFFSET(Curvas_cupon_cero!$A$1,1,0,COUNT(Curvas_cupon_cero!$A:$A)-2,1),OFFSET(Curvas_cupon_cero!$A$1,1,MATCH($B$6,Curvas_cupon_cero!$1:$1,0)-1,COUNT(Curvas_cupon_cero!$A:$A)-2,1))))</f>
        <v/>
      </c>
      <c r="G209" s="23" t="str">
        <f ca="1">IF(A209="","",IF($B$8="Sí",interpolar_alamb(E209,OFFSET(Curvas_cupon_cero!$A$1,1,0,COUNT(Curvas_cupon_cero!$A:$A)-2,1),OFFSET(Curvas_cupon_cero!$A$1,1,MATCH($B$7,Curvas_cupon_cero!$1:$1,0)-1,COUNT(Curvas_cupon_cero!$A:$A)-2,1)),interpolar(E209,OFFSET(Curvas_cupon_cero!$A$1,1,0,COUNT(Curvas_cupon_cero!$A:$A)-2,1),OFFSET(Curvas_cupon_cero!$A$1,1,MATCH($B$7,Curvas_cupon_cero!$1:$1,0)-1,COUNT(Curvas_cupon_cero!$A:$A)-2,1))))</f>
        <v/>
      </c>
      <c r="H209" s="19" t="str">
        <f t="shared" si="19"/>
        <v/>
      </c>
    </row>
    <row r="210" spans="1:8" x14ac:dyDescent="0.2">
      <c r="A210" s="12" t="str">
        <f t="shared" si="20"/>
        <v/>
      </c>
      <c r="B210" s="21" t="str">
        <f t="shared" si="21"/>
        <v/>
      </c>
      <c r="C210" s="17" t="str">
        <f t="shared" si="18"/>
        <v/>
      </c>
      <c r="D210" s="18" t="str">
        <f t="shared" si="22"/>
        <v/>
      </c>
      <c r="E210" t="str">
        <f t="shared" si="23"/>
        <v/>
      </c>
      <c r="F210" s="23" t="str">
        <f ca="1">IF(A210="","",IF($B$8="Sí",interpolar_alamb(E210,OFFSET(Curvas_cupon_cero!$A$1,1,0,COUNT(Curvas_cupon_cero!$A:$A)-2,1),OFFSET(Curvas_cupon_cero!$A$1,1,MATCH($B$6,Curvas_cupon_cero!$1:$1,0)-1,COUNT(Curvas_cupon_cero!$A:$A)-2,1)),interpolar(E210,OFFSET(Curvas_cupon_cero!$A$1,1,0,COUNT(Curvas_cupon_cero!$A:$A)-2,1),OFFSET(Curvas_cupon_cero!$A$1,1,MATCH($B$6,Curvas_cupon_cero!$1:$1,0)-1,COUNT(Curvas_cupon_cero!$A:$A)-2,1))))</f>
        <v/>
      </c>
      <c r="G210" s="23" t="str">
        <f ca="1">IF(A210="","",IF($B$8="Sí",interpolar_alamb(E210,OFFSET(Curvas_cupon_cero!$A$1,1,0,COUNT(Curvas_cupon_cero!$A:$A)-2,1),OFFSET(Curvas_cupon_cero!$A$1,1,MATCH($B$7,Curvas_cupon_cero!$1:$1,0)-1,COUNT(Curvas_cupon_cero!$A:$A)-2,1)),interpolar(E210,OFFSET(Curvas_cupon_cero!$A$1,1,0,COUNT(Curvas_cupon_cero!$A:$A)-2,1),OFFSET(Curvas_cupon_cero!$A$1,1,MATCH($B$7,Curvas_cupon_cero!$1:$1,0)-1,COUNT(Curvas_cupon_cero!$A:$A)-2,1))))</f>
        <v/>
      </c>
      <c r="H210" s="19" t="str">
        <f t="shared" si="19"/>
        <v/>
      </c>
    </row>
    <row r="211" spans="1:8" x14ac:dyDescent="0.2">
      <c r="A211" s="12" t="str">
        <f t="shared" si="20"/>
        <v/>
      </c>
      <c r="B211" s="21" t="str">
        <f t="shared" si="21"/>
        <v/>
      </c>
      <c r="C211" s="17" t="str">
        <f t="shared" si="18"/>
        <v/>
      </c>
      <c r="D211" s="18" t="str">
        <f t="shared" si="22"/>
        <v/>
      </c>
      <c r="E211" t="str">
        <f t="shared" si="23"/>
        <v/>
      </c>
      <c r="F211" s="23" t="str">
        <f ca="1">IF(A211="","",IF($B$8="Sí",interpolar_alamb(E211,OFFSET(Curvas_cupon_cero!$A$1,1,0,COUNT(Curvas_cupon_cero!$A:$A)-2,1),OFFSET(Curvas_cupon_cero!$A$1,1,MATCH($B$6,Curvas_cupon_cero!$1:$1,0)-1,COUNT(Curvas_cupon_cero!$A:$A)-2,1)),interpolar(E211,OFFSET(Curvas_cupon_cero!$A$1,1,0,COUNT(Curvas_cupon_cero!$A:$A)-2,1),OFFSET(Curvas_cupon_cero!$A$1,1,MATCH($B$6,Curvas_cupon_cero!$1:$1,0)-1,COUNT(Curvas_cupon_cero!$A:$A)-2,1))))</f>
        <v/>
      </c>
      <c r="G211" s="23" t="str">
        <f ca="1">IF(A211="","",IF($B$8="Sí",interpolar_alamb(E211,OFFSET(Curvas_cupon_cero!$A$1,1,0,COUNT(Curvas_cupon_cero!$A:$A)-2,1),OFFSET(Curvas_cupon_cero!$A$1,1,MATCH($B$7,Curvas_cupon_cero!$1:$1,0)-1,COUNT(Curvas_cupon_cero!$A:$A)-2,1)),interpolar(E211,OFFSET(Curvas_cupon_cero!$A$1,1,0,COUNT(Curvas_cupon_cero!$A:$A)-2,1),OFFSET(Curvas_cupon_cero!$A$1,1,MATCH($B$7,Curvas_cupon_cero!$1:$1,0)-1,COUNT(Curvas_cupon_cero!$A:$A)-2,1))))</f>
        <v/>
      </c>
      <c r="H211" s="19" t="str">
        <f t="shared" si="19"/>
        <v/>
      </c>
    </row>
    <row r="212" spans="1:8" x14ac:dyDescent="0.2">
      <c r="A212" s="12" t="str">
        <f t="shared" si="20"/>
        <v/>
      </c>
      <c r="B212" s="21" t="str">
        <f t="shared" si="21"/>
        <v/>
      </c>
      <c r="C212" s="17" t="str">
        <f t="shared" si="18"/>
        <v/>
      </c>
      <c r="D212" s="18" t="str">
        <f t="shared" si="22"/>
        <v/>
      </c>
      <c r="E212" t="str">
        <f t="shared" si="23"/>
        <v/>
      </c>
      <c r="F212" s="23" t="str">
        <f ca="1">IF(A212="","",IF($B$8="Sí",interpolar_alamb(E212,OFFSET(Curvas_cupon_cero!$A$1,1,0,COUNT(Curvas_cupon_cero!$A:$A)-2,1),OFFSET(Curvas_cupon_cero!$A$1,1,MATCH($B$6,Curvas_cupon_cero!$1:$1,0)-1,COUNT(Curvas_cupon_cero!$A:$A)-2,1)),interpolar(E212,OFFSET(Curvas_cupon_cero!$A$1,1,0,COUNT(Curvas_cupon_cero!$A:$A)-2,1),OFFSET(Curvas_cupon_cero!$A$1,1,MATCH($B$6,Curvas_cupon_cero!$1:$1,0)-1,COUNT(Curvas_cupon_cero!$A:$A)-2,1))))</f>
        <v/>
      </c>
      <c r="G212" s="23" t="str">
        <f ca="1">IF(A212="","",IF($B$8="Sí",interpolar_alamb(E212,OFFSET(Curvas_cupon_cero!$A$1,1,0,COUNT(Curvas_cupon_cero!$A:$A)-2,1),OFFSET(Curvas_cupon_cero!$A$1,1,MATCH($B$7,Curvas_cupon_cero!$1:$1,0)-1,COUNT(Curvas_cupon_cero!$A:$A)-2,1)),interpolar(E212,OFFSET(Curvas_cupon_cero!$A$1,1,0,COUNT(Curvas_cupon_cero!$A:$A)-2,1),OFFSET(Curvas_cupon_cero!$A$1,1,MATCH($B$7,Curvas_cupon_cero!$1:$1,0)-1,COUNT(Curvas_cupon_cero!$A:$A)-2,1))))</f>
        <v/>
      </c>
      <c r="H212" s="19" t="str">
        <f t="shared" si="19"/>
        <v/>
      </c>
    </row>
    <row r="213" spans="1:8" x14ac:dyDescent="0.2">
      <c r="A213" s="12" t="str">
        <f t="shared" si="20"/>
        <v/>
      </c>
      <c r="B213" s="21" t="str">
        <f t="shared" si="21"/>
        <v/>
      </c>
      <c r="C213" s="17" t="str">
        <f t="shared" si="18"/>
        <v/>
      </c>
      <c r="D213" s="18" t="str">
        <f t="shared" si="22"/>
        <v/>
      </c>
      <c r="E213" t="str">
        <f t="shared" si="23"/>
        <v/>
      </c>
      <c r="F213" s="23" t="str">
        <f ca="1">IF(A213="","",IF($B$8="Sí",interpolar_alamb(E213,OFFSET(Curvas_cupon_cero!$A$1,1,0,COUNT(Curvas_cupon_cero!$A:$A)-2,1),OFFSET(Curvas_cupon_cero!$A$1,1,MATCH($B$6,Curvas_cupon_cero!$1:$1,0)-1,COUNT(Curvas_cupon_cero!$A:$A)-2,1)),interpolar(E213,OFFSET(Curvas_cupon_cero!$A$1,1,0,COUNT(Curvas_cupon_cero!$A:$A)-2,1),OFFSET(Curvas_cupon_cero!$A$1,1,MATCH($B$6,Curvas_cupon_cero!$1:$1,0)-1,COUNT(Curvas_cupon_cero!$A:$A)-2,1))))</f>
        <v/>
      </c>
      <c r="G213" s="23" t="str">
        <f ca="1">IF(A213="","",IF($B$8="Sí",interpolar_alamb(E213,OFFSET(Curvas_cupon_cero!$A$1,1,0,COUNT(Curvas_cupon_cero!$A:$A)-2,1),OFFSET(Curvas_cupon_cero!$A$1,1,MATCH($B$7,Curvas_cupon_cero!$1:$1,0)-1,COUNT(Curvas_cupon_cero!$A:$A)-2,1)),interpolar(E213,OFFSET(Curvas_cupon_cero!$A$1,1,0,COUNT(Curvas_cupon_cero!$A:$A)-2,1),OFFSET(Curvas_cupon_cero!$A$1,1,MATCH($B$7,Curvas_cupon_cero!$1:$1,0)-1,COUNT(Curvas_cupon_cero!$A:$A)-2,1))))</f>
        <v/>
      </c>
      <c r="H213" s="19" t="str">
        <f t="shared" si="19"/>
        <v/>
      </c>
    </row>
    <row r="214" spans="1:8" x14ac:dyDescent="0.2">
      <c r="A214" s="12" t="str">
        <f t="shared" si="20"/>
        <v/>
      </c>
      <c r="B214" s="21" t="str">
        <f t="shared" si="21"/>
        <v/>
      </c>
      <c r="C214" s="17" t="str">
        <f t="shared" si="18"/>
        <v/>
      </c>
      <c r="D214" s="18" t="str">
        <f t="shared" si="22"/>
        <v/>
      </c>
      <c r="E214" t="str">
        <f t="shared" si="23"/>
        <v/>
      </c>
      <c r="F214" s="23" t="str">
        <f ca="1">IF(A214="","",IF($B$8="Sí",interpolar_alamb(E214,OFFSET(Curvas_cupon_cero!$A$1,1,0,COUNT(Curvas_cupon_cero!$A:$A)-2,1),OFFSET(Curvas_cupon_cero!$A$1,1,MATCH($B$6,Curvas_cupon_cero!$1:$1,0)-1,COUNT(Curvas_cupon_cero!$A:$A)-2,1)),interpolar(E214,OFFSET(Curvas_cupon_cero!$A$1,1,0,COUNT(Curvas_cupon_cero!$A:$A)-2,1),OFFSET(Curvas_cupon_cero!$A$1,1,MATCH($B$6,Curvas_cupon_cero!$1:$1,0)-1,COUNT(Curvas_cupon_cero!$A:$A)-2,1))))</f>
        <v/>
      </c>
      <c r="G214" s="23" t="str">
        <f ca="1">IF(A214="","",IF($B$8="Sí",interpolar_alamb(E214,OFFSET(Curvas_cupon_cero!$A$1,1,0,COUNT(Curvas_cupon_cero!$A:$A)-2,1),OFFSET(Curvas_cupon_cero!$A$1,1,MATCH($B$7,Curvas_cupon_cero!$1:$1,0)-1,COUNT(Curvas_cupon_cero!$A:$A)-2,1)),interpolar(E214,OFFSET(Curvas_cupon_cero!$A$1,1,0,COUNT(Curvas_cupon_cero!$A:$A)-2,1),OFFSET(Curvas_cupon_cero!$A$1,1,MATCH($B$7,Curvas_cupon_cero!$1:$1,0)-1,COUNT(Curvas_cupon_cero!$A:$A)-2,1))))</f>
        <v/>
      </c>
      <c r="H214" s="19" t="str">
        <f t="shared" si="19"/>
        <v/>
      </c>
    </row>
    <row r="215" spans="1:8" x14ac:dyDescent="0.2">
      <c r="A215" s="12" t="str">
        <f t="shared" si="20"/>
        <v/>
      </c>
      <c r="B215" s="21" t="str">
        <f t="shared" si="21"/>
        <v/>
      </c>
      <c r="C215" s="17" t="str">
        <f t="shared" si="18"/>
        <v/>
      </c>
      <c r="D215" s="18" t="str">
        <f t="shared" si="22"/>
        <v/>
      </c>
      <c r="E215" t="str">
        <f t="shared" si="23"/>
        <v/>
      </c>
      <c r="F215" s="23" t="str">
        <f ca="1">IF(A215="","",IF($B$8="Sí",interpolar_alamb(E215,OFFSET(Curvas_cupon_cero!$A$1,1,0,COUNT(Curvas_cupon_cero!$A:$A)-2,1),OFFSET(Curvas_cupon_cero!$A$1,1,MATCH($B$6,Curvas_cupon_cero!$1:$1,0)-1,COUNT(Curvas_cupon_cero!$A:$A)-2,1)),interpolar(E215,OFFSET(Curvas_cupon_cero!$A$1,1,0,COUNT(Curvas_cupon_cero!$A:$A)-2,1),OFFSET(Curvas_cupon_cero!$A$1,1,MATCH($B$6,Curvas_cupon_cero!$1:$1,0)-1,COUNT(Curvas_cupon_cero!$A:$A)-2,1))))</f>
        <v/>
      </c>
      <c r="G215" s="23" t="str">
        <f ca="1">IF(A215="","",IF($B$8="Sí",interpolar_alamb(E215,OFFSET(Curvas_cupon_cero!$A$1,1,0,COUNT(Curvas_cupon_cero!$A:$A)-2,1),OFFSET(Curvas_cupon_cero!$A$1,1,MATCH($B$7,Curvas_cupon_cero!$1:$1,0)-1,COUNT(Curvas_cupon_cero!$A:$A)-2,1)),interpolar(E215,OFFSET(Curvas_cupon_cero!$A$1,1,0,COUNT(Curvas_cupon_cero!$A:$A)-2,1),OFFSET(Curvas_cupon_cero!$A$1,1,MATCH($B$7,Curvas_cupon_cero!$1:$1,0)-1,COUNT(Curvas_cupon_cero!$A:$A)-2,1))))</f>
        <v/>
      </c>
      <c r="H215" s="19" t="str">
        <f t="shared" si="19"/>
        <v/>
      </c>
    </row>
    <row r="216" spans="1:8" x14ac:dyDescent="0.2">
      <c r="A216" s="12" t="str">
        <f t="shared" si="20"/>
        <v/>
      </c>
      <c r="B216" s="21" t="str">
        <f t="shared" si="21"/>
        <v/>
      </c>
      <c r="C216" s="17" t="str">
        <f t="shared" si="18"/>
        <v/>
      </c>
      <c r="D216" s="18" t="str">
        <f t="shared" si="22"/>
        <v/>
      </c>
      <c r="E216" t="str">
        <f t="shared" si="23"/>
        <v/>
      </c>
      <c r="F216" s="23" t="str">
        <f ca="1">IF(A216="","",IF($B$8="Sí",interpolar_alamb(E216,OFFSET(Curvas_cupon_cero!$A$1,1,0,COUNT(Curvas_cupon_cero!$A:$A)-2,1),OFFSET(Curvas_cupon_cero!$A$1,1,MATCH($B$6,Curvas_cupon_cero!$1:$1,0)-1,COUNT(Curvas_cupon_cero!$A:$A)-2,1)),interpolar(E216,OFFSET(Curvas_cupon_cero!$A$1,1,0,COUNT(Curvas_cupon_cero!$A:$A)-2,1),OFFSET(Curvas_cupon_cero!$A$1,1,MATCH($B$6,Curvas_cupon_cero!$1:$1,0)-1,COUNT(Curvas_cupon_cero!$A:$A)-2,1))))</f>
        <v/>
      </c>
      <c r="G216" s="23" t="str">
        <f ca="1">IF(A216="","",IF($B$8="Sí",interpolar_alamb(E216,OFFSET(Curvas_cupon_cero!$A$1,1,0,COUNT(Curvas_cupon_cero!$A:$A)-2,1),OFFSET(Curvas_cupon_cero!$A$1,1,MATCH($B$7,Curvas_cupon_cero!$1:$1,0)-1,COUNT(Curvas_cupon_cero!$A:$A)-2,1)),interpolar(E216,OFFSET(Curvas_cupon_cero!$A$1,1,0,COUNT(Curvas_cupon_cero!$A:$A)-2,1),OFFSET(Curvas_cupon_cero!$A$1,1,MATCH($B$7,Curvas_cupon_cero!$1:$1,0)-1,COUNT(Curvas_cupon_cero!$A:$A)-2,1))))</f>
        <v/>
      </c>
      <c r="H216" s="19" t="str">
        <f t="shared" si="19"/>
        <v/>
      </c>
    </row>
    <row r="217" spans="1:8" x14ac:dyDescent="0.2">
      <c r="A217" s="12" t="str">
        <f t="shared" si="20"/>
        <v/>
      </c>
      <c r="B217" s="21" t="str">
        <f t="shared" si="21"/>
        <v/>
      </c>
      <c r="C217" s="17" t="str">
        <f t="shared" si="18"/>
        <v/>
      </c>
      <c r="D217" s="18" t="str">
        <f t="shared" si="22"/>
        <v/>
      </c>
      <c r="E217" t="str">
        <f t="shared" si="23"/>
        <v/>
      </c>
      <c r="F217" s="23" t="str">
        <f ca="1">IF(A217="","",IF($B$8="Sí",interpolar_alamb(E217,OFFSET(Curvas_cupon_cero!$A$1,1,0,COUNT(Curvas_cupon_cero!$A:$A)-2,1),OFFSET(Curvas_cupon_cero!$A$1,1,MATCH($B$6,Curvas_cupon_cero!$1:$1,0)-1,COUNT(Curvas_cupon_cero!$A:$A)-2,1)),interpolar(E217,OFFSET(Curvas_cupon_cero!$A$1,1,0,COUNT(Curvas_cupon_cero!$A:$A)-2,1),OFFSET(Curvas_cupon_cero!$A$1,1,MATCH($B$6,Curvas_cupon_cero!$1:$1,0)-1,COUNT(Curvas_cupon_cero!$A:$A)-2,1))))</f>
        <v/>
      </c>
      <c r="G217" s="23" t="str">
        <f ca="1">IF(A217="","",IF($B$8="Sí",interpolar_alamb(E217,OFFSET(Curvas_cupon_cero!$A$1,1,0,COUNT(Curvas_cupon_cero!$A:$A)-2,1),OFFSET(Curvas_cupon_cero!$A$1,1,MATCH($B$7,Curvas_cupon_cero!$1:$1,0)-1,COUNT(Curvas_cupon_cero!$A:$A)-2,1)),interpolar(E217,OFFSET(Curvas_cupon_cero!$A$1,1,0,COUNT(Curvas_cupon_cero!$A:$A)-2,1),OFFSET(Curvas_cupon_cero!$A$1,1,MATCH($B$7,Curvas_cupon_cero!$1:$1,0)-1,COUNT(Curvas_cupon_cero!$A:$A)-2,1))))</f>
        <v/>
      </c>
      <c r="H217" s="19" t="str">
        <f t="shared" si="19"/>
        <v/>
      </c>
    </row>
    <row r="218" spans="1:8" x14ac:dyDescent="0.2">
      <c r="A218" s="12" t="str">
        <f t="shared" si="20"/>
        <v/>
      </c>
      <c r="B218" s="21" t="str">
        <f t="shared" si="21"/>
        <v/>
      </c>
      <c r="C218" s="17" t="str">
        <f t="shared" si="18"/>
        <v/>
      </c>
      <c r="D218" s="18" t="str">
        <f t="shared" si="22"/>
        <v/>
      </c>
      <c r="E218" t="str">
        <f t="shared" si="23"/>
        <v/>
      </c>
      <c r="F218" s="23" t="str">
        <f ca="1">IF(A218="","",IF($B$8="Sí",interpolar_alamb(E218,OFFSET(Curvas_cupon_cero!$A$1,1,0,COUNT(Curvas_cupon_cero!$A:$A)-2,1),OFFSET(Curvas_cupon_cero!$A$1,1,MATCH($B$6,Curvas_cupon_cero!$1:$1,0)-1,COUNT(Curvas_cupon_cero!$A:$A)-2,1)),interpolar(E218,OFFSET(Curvas_cupon_cero!$A$1,1,0,COUNT(Curvas_cupon_cero!$A:$A)-2,1),OFFSET(Curvas_cupon_cero!$A$1,1,MATCH($B$6,Curvas_cupon_cero!$1:$1,0)-1,COUNT(Curvas_cupon_cero!$A:$A)-2,1))))</f>
        <v/>
      </c>
      <c r="G218" s="23" t="str">
        <f ca="1">IF(A218="","",IF($B$8="Sí",interpolar_alamb(E218,OFFSET(Curvas_cupon_cero!$A$1,1,0,COUNT(Curvas_cupon_cero!$A:$A)-2,1),OFFSET(Curvas_cupon_cero!$A$1,1,MATCH($B$7,Curvas_cupon_cero!$1:$1,0)-1,COUNT(Curvas_cupon_cero!$A:$A)-2,1)),interpolar(E218,OFFSET(Curvas_cupon_cero!$A$1,1,0,COUNT(Curvas_cupon_cero!$A:$A)-2,1),OFFSET(Curvas_cupon_cero!$A$1,1,MATCH($B$7,Curvas_cupon_cero!$1:$1,0)-1,COUNT(Curvas_cupon_cero!$A:$A)-2,1))))</f>
        <v/>
      </c>
      <c r="H218" s="19" t="str">
        <f t="shared" si="19"/>
        <v/>
      </c>
    </row>
    <row r="219" spans="1:8" x14ac:dyDescent="0.2">
      <c r="A219" s="12" t="str">
        <f t="shared" si="20"/>
        <v/>
      </c>
      <c r="B219" s="21" t="str">
        <f t="shared" si="21"/>
        <v/>
      </c>
      <c r="C219" s="17" t="str">
        <f t="shared" si="18"/>
        <v/>
      </c>
      <c r="D219" s="18" t="str">
        <f t="shared" si="22"/>
        <v/>
      </c>
      <c r="E219" t="str">
        <f t="shared" si="23"/>
        <v/>
      </c>
      <c r="F219" s="23" t="str">
        <f ca="1">IF(A219="","",IF($B$8="Sí",interpolar_alamb(E219,OFFSET(Curvas_cupon_cero!$A$1,1,0,COUNT(Curvas_cupon_cero!$A:$A)-2,1),OFFSET(Curvas_cupon_cero!$A$1,1,MATCH($B$6,Curvas_cupon_cero!$1:$1,0)-1,COUNT(Curvas_cupon_cero!$A:$A)-2,1)),interpolar(E219,OFFSET(Curvas_cupon_cero!$A$1,1,0,COUNT(Curvas_cupon_cero!$A:$A)-2,1),OFFSET(Curvas_cupon_cero!$A$1,1,MATCH($B$6,Curvas_cupon_cero!$1:$1,0)-1,COUNT(Curvas_cupon_cero!$A:$A)-2,1))))</f>
        <v/>
      </c>
      <c r="G219" s="23" t="str">
        <f ca="1">IF(A219="","",IF($B$8="Sí",interpolar_alamb(E219,OFFSET(Curvas_cupon_cero!$A$1,1,0,COUNT(Curvas_cupon_cero!$A:$A)-2,1),OFFSET(Curvas_cupon_cero!$A$1,1,MATCH($B$7,Curvas_cupon_cero!$1:$1,0)-1,COUNT(Curvas_cupon_cero!$A:$A)-2,1)),interpolar(E219,OFFSET(Curvas_cupon_cero!$A$1,1,0,COUNT(Curvas_cupon_cero!$A:$A)-2,1),OFFSET(Curvas_cupon_cero!$A$1,1,MATCH($B$7,Curvas_cupon_cero!$1:$1,0)-1,COUNT(Curvas_cupon_cero!$A:$A)-2,1))))</f>
        <v/>
      </c>
      <c r="H219" s="19" t="str">
        <f t="shared" si="19"/>
        <v/>
      </c>
    </row>
    <row r="220" spans="1:8" x14ac:dyDescent="0.2">
      <c r="A220" s="12" t="str">
        <f t="shared" si="20"/>
        <v/>
      </c>
      <c r="B220" s="21" t="str">
        <f t="shared" si="21"/>
        <v/>
      </c>
      <c r="C220" s="17" t="str">
        <f t="shared" si="18"/>
        <v/>
      </c>
      <c r="D220" s="18" t="str">
        <f t="shared" si="22"/>
        <v/>
      </c>
      <c r="E220" t="str">
        <f t="shared" si="23"/>
        <v/>
      </c>
      <c r="F220" s="23" t="str">
        <f ca="1">IF(A220="","",IF($B$8="Sí",interpolar_alamb(E220,OFFSET(Curvas_cupon_cero!$A$1,1,0,COUNT(Curvas_cupon_cero!$A:$A)-2,1),OFFSET(Curvas_cupon_cero!$A$1,1,MATCH($B$6,Curvas_cupon_cero!$1:$1,0)-1,COUNT(Curvas_cupon_cero!$A:$A)-2,1)),interpolar(E220,OFFSET(Curvas_cupon_cero!$A$1,1,0,COUNT(Curvas_cupon_cero!$A:$A)-2,1),OFFSET(Curvas_cupon_cero!$A$1,1,MATCH($B$6,Curvas_cupon_cero!$1:$1,0)-1,COUNT(Curvas_cupon_cero!$A:$A)-2,1))))</f>
        <v/>
      </c>
      <c r="G220" s="23" t="str">
        <f ca="1">IF(A220="","",IF($B$8="Sí",interpolar_alamb(E220,OFFSET(Curvas_cupon_cero!$A$1,1,0,COUNT(Curvas_cupon_cero!$A:$A)-2,1),OFFSET(Curvas_cupon_cero!$A$1,1,MATCH($B$7,Curvas_cupon_cero!$1:$1,0)-1,COUNT(Curvas_cupon_cero!$A:$A)-2,1)),interpolar(E220,OFFSET(Curvas_cupon_cero!$A$1,1,0,COUNT(Curvas_cupon_cero!$A:$A)-2,1),OFFSET(Curvas_cupon_cero!$A$1,1,MATCH($B$7,Curvas_cupon_cero!$1:$1,0)-1,COUNT(Curvas_cupon_cero!$A:$A)-2,1))))</f>
        <v/>
      </c>
      <c r="H220" s="19" t="str">
        <f t="shared" si="19"/>
        <v/>
      </c>
    </row>
    <row r="221" spans="1:8" x14ac:dyDescent="0.2">
      <c r="A221" s="12" t="str">
        <f t="shared" si="20"/>
        <v/>
      </c>
      <c r="B221" s="21" t="str">
        <f t="shared" si="21"/>
        <v/>
      </c>
      <c r="C221" s="17" t="str">
        <f t="shared" si="18"/>
        <v/>
      </c>
      <c r="D221" s="18" t="str">
        <f t="shared" si="22"/>
        <v/>
      </c>
      <c r="E221" t="str">
        <f t="shared" si="23"/>
        <v/>
      </c>
      <c r="F221" s="23" t="str">
        <f ca="1">IF(A221="","",IF($B$8="Sí",interpolar_alamb(E221,OFFSET(Curvas_cupon_cero!$A$1,1,0,COUNT(Curvas_cupon_cero!$A:$A)-2,1),OFFSET(Curvas_cupon_cero!$A$1,1,MATCH($B$6,Curvas_cupon_cero!$1:$1,0)-1,COUNT(Curvas_cupon_cero!$A:$A)-2,1)),interpolar(E221,OFFSET(Curvas_cupon_cero!$A$1,1,0,COUNT(Curvas_cupon_cero!$A:$A)-2,1),OFFSET(Curvas_cupon_cero!$A$1,1,MATCH($B$6,Curvas_cupon_cero!$1:$1,0)-1,COUNT(Curvas_cupon_cero!$A:$A)-2,1))))</f>
        <v/>
      </c>
      <c r="G221" s="23" t="str">
        <f ca="1">IF(A221="","",IF($B$8="Sí",interpolar_alamb(E221,OFFSET(Curvas_cupon_cero!$A$1,1,0,COUNT(Curvas_cupon_cero!$A:$A)-2,1),OFFSET(Curvas_cupon_cero!$A$1,1,MATCH($B$7,Curvas_cupon_cero!$1:$1,0)-1,COUNT(Curvas_cupon_cero!$A:$A)-2,1)),interpolar(E221,OFFSET(Curvas_cupon_cero!$A$1,1,0,COUNT(Curvas_cupon_cero!$A:$A)-2,1),OFFSET(Curvas_cupon_cero!$A$1,1,MATCH($B$7,Curvas_cupon_cero!$1:$1,0)-1,COUNT(Curvas_cupon_cero!$A:$A)-2,1))))</f>
        <v/>
      </c>
      <c r="H221" s="19" t="str">
        <f t="shared" si="19"/>
        <v/>
      </c>
    </row>
    <row r="222" spans="1:8" x14ac:dyDescent="0.2">
      <c r="A222" s="12" t="str">
        <f t="shared" si="20"/>
        <v/>
      </c>
      <c r="B222" s="21" t="str">
        <f t="shared" si="21"/>
        <v/>
      </c>
      <c r="C222" s="17" t="str">
        <f t="shared" si="18"/>
        <v/>
      </c>
      <c r="D222" s="18" t="str">
        <f t="shared" si="22"/>
        <v/>
      </c>
      <c r="E222" t="str">
        <f t="shared" si="23"/>
        <v/>
      </c>
      <c r="F222" s="23" t="str">
        <f ca="1">IF(A222="","",IF($B$8="Sí",interpolar_alamb(E222,OFFSET(Curvas_cupon_cero!$A$1,1,0,COUNT(Curvas_cupon_cero!$A:$A)-2,1),OFFSET(Curvas_cupon_cero!$A$1,1,MATCH($B$6,Curvas_cupon_cero!$1:$1,0)-1,COUNT(Curvas_cupon_cero!$A:$A)-2,1)),interpolar(E222,OFFSET(Curvas_cupon_cero!$A$1,1,0,COUNT(Curvas_cupon_cero!$A:$A)-2,1),OFFSET(Curvas_cupon_cero!$A$1,1,MATCH($B$6,Curvas_cupon_cero!$1:$1,0)-1,COUNT(Curvas_cupon_cero!$A:$A)-2,1))))</f>
        <v/>
      </c>
      <c r="G222" s="23" t="str">
        <f ca="1">IF(A222="","",IF($B$8="Sí",interpolar_alamb(E222,OFFSET(Curvas_cupon_cero!$A$1,1,0,COUNT(Curvas_cupon_cero!$A:$A)-2,1),OFFSET(Curvas_cupon_cero!$A$1,1,MATCH($B$7,Curvas_cupon_cero!$1:$1,0)-1,COUNT(Curvas_cupon_cero!$A:$A)-2,1)),interpolar(E222,OFFSET(Curvas_cupon_cero!$A$1,1,0,COUNT(Curvas_cupon_cero!$A:$A)-2,1),OFFSET(Curvas_cupon_cero!$A$1,1,MATCH($B$7,Curvas_cupon_cero!$1:$1,0)-1,COUNT(Curvas_cupon_cero!$A:$A)-2,1))))</f>
        <v/>
      </c>
      <c r="H222" s="19" t="str">
        <f t="shared" si="19"/>
        <v/>
      </c>
    </row>
    <row r="223" spans="1:8" x14ac:dyDescent="0.2">
      <c r="A223" s="12" t="str">
        <f t="shared" si="20"/>
        <v/>
      </c>
      <c r="B223" s="21" t="str">
        <f t="shared" si="21"/>
        <v/>
      </c>
      <c r="C223" s="17" t="str">
        <f t="shared" si="18"/>
        <v/>
      </c>
      <c r="D223" s="18" t="str">
        <f t="shared" si="22"/>
        <v/>
      </c>
      <c r="E223" t="str">
        <f t="shared" si="23"/>
        <v/>
      </c>
      <c r="F223" s="23" t="str">
        <f ca="1">IF(A223="","",IF($B$8="Sí",interpolar_alamb(E223,OFFSET(Curvas_cupon_cero!$A$1,1,0,COUNT(Curvas_cupon_cero!$A:$A)-2,1),OFFSET(Curvas_cupon_cero!$A$1,1,MATCH($B$6,Curvas_cupon_cero!$1:$1,0)-1,COUNT(Curvas_cupon_cero!$A:$A)-2,1)),interpolar(E223,OFFSET(Curvas_cupon_cero!$A$1,1,0,COUNT(Curvas_cupon_cero!$A:$A)-2,1),OFFSET(Curvas_cupon_cero!$A$1,1,MATCH($B$6,Curvas_cupon_cero!$1:$1,0)-1,COUNT(Curvas_cupon_cero!$A:$A)-2,1))))</f>
        <v/>
      </c>
      <c r="G223" s="23" t="str">
        <f ca="1">IF(A223="","",IF($B$8="Sí",interpolar_alamb(E223,OFFSET(Curvas_cupon_cero!$A$1,1,0,COUNT(Curvas_cupon_cero!$A:$A)-2,1),OFFSET(Curvas_cupon_cero!$A$1,1,MATCH($B$7,Curvas_cupon_cero!$1:$1,0)-1,COUNT(Curvas_cupon_cero!$A:$A)-2,1)),interpolar(E223,OFFSET(Curvas_cupon_cero!$A$1,1,0,COUNT(Curvas_cupon_cero!$A:$A)-2,1),OFFSET(Curvas_cupon_cero!$A$1,1,MATCH($B$7,Curvas_cupon_cero!$1:$1,0)-1,COUNT(Curvas_cupon_cero!$A:$A)-2,1))))</f>
        <v/>
      </c>
      <c r="H223" s="19" t="str">
        <f t="shared" si="19"/>
        <v/>
      </c>
    </row>
    <row r="224" spans="1:8" x14ac:dyDescent="0.2">
      <c r="A224" s="12" t="str">
        <f t="shared" si="20"/>
        <v/>
      </c>
      <c r="B224" s="21" t="str">
        <f t="shared" si="21"/>
        <v/>
      </c>
      <c r="C224" s="17" t="str">
        <f t="shared" si="18"/>
        <v/>
      </c>
      <c r="D224" s="18" t="str">
        <f t="shared" si="22"/>
        <v/>
      </c>
      <c r="E224" t="str">
        <f t="shared" si="23"/>
        <v/>
      </c>
      <c r="F224" s="23" t="str">
        <f ca="1">IF(A224="","",IF($B$8="Sí",interpolar_alamb(E224,OFFSET(Curvas_cupon_cero!$A$1,1,0,COUNT(Curvas_cupon_cero!$A:$A)-2,1),OFFSET(Curvas_cupon_cero!$A$1,1,MATCH($B$6,Curvas_cupon_cero!$1:$1,0)-1,COUNT(Curvas_cupon_cero!$A:$A)-2,1)),interpolar(E224,OFFSET(Curvas_cupon_cero!$A$1,1,0,COUNT(Curvas_cupon_cero!$A:$A)-2,1),OFFSET(Curvas_cupon_cero!$A$1,1,MATCH($B$6,Curvas_cupon_cero!$1:$1,0)-1,COUNT(Curvas_cupon_cero!$A:$A)-2,1))))</f>
        <v/>
      </c>
      <c r="G224" s="23" t="str">
        <f ca="1">IF(A224="","",IF($B$8="Sí",interpolar_alamb(E224,OFFSET(Curvas_cupon_cero!$A$1,1,0,COUNT(Curvas_cupon_cero!$A:$A)-2,1),OFFSET(Curvas_cupon_cero!$A$1,1,MATCH($B$7,Curvas_cupon_cero!$1:$1,0)-1,COUNT(Curvas_cupon_cero!$A:$A)-2,1)),interpolar(E224,OFFSET(Curvas_cupon_cero!$A$1,1,0,COUNT(Curvas_cupon_cero!$A:$A)-2,1),OFFSET(Curvas_cupon_cero!$A$1,1,MATCH($B$7,Curvas_cupon_cero!$1:$1,0)-1,COUNT(Curvas_cupon_cero!$A:$A)-2,1))))</f>
        <v/>
      </c>
      <c r="H224" s="19" t="str">
        <f t="shared" si="19"/>
        <v/>
      </c>
    </row>
    <row r="225" spans="1:8" x14ac:dyDescent="0.2">
      <c r="A225" s="12" t="str">
        <f t="shared" si="20"/>
        <v/>
      </c>
      <c r="B225" s="21" t="str">
        <f t="shared" si="21"/>
        <v/>
      </c>
      <c r="C225" s="17" t="str">
        <f t="shared" si="18"/>
        <v/>
      </c>
      <c r="D225" s="18" t="str">
        <f t="shared" si="22"/>
        <v/>
      </c>
      <c r="E225" t="str">
        <f t="shared" si="23"/>
        <v/>
      </c>
      <c r="F225" s="23" t="str">
        <f ca="1">IF(A225="","",IF($B$8="Sí",interpolar_alamb(E225,OFFSET(Curvas_cupon_cero!$A$1,1,0,COUNT(Curvas_cupon_cero!$A:$A)-2,1),OFFSET(Curvas_cupon_cero!$A$1,1,MATCH($B$6,Curvas_cupon_cero!$1:$1,0)-1,COUNT(Curvas_cupon_cero!$A:$A)-2,1)),interpolar(E225,OFFSET(Curvas_cupon_cero!$A$1,1,0,COUNT(Curvas_cupon_cero!$A:$A)-2,1),OFFSET(Curvas_cupon_cero!$A$1,1,MATCH($B$6,Curvas_cupon_cero!$1:$1,0)-1,COUNT(Curvas_cupon_cero!$A:$A)-2,1))))</f>
        <v/>
      </c>
      <c r="G225" s="23" t="str">
        <f ca="1">IF(A225="","",IF($B$8="Sí",interpolar_alamb(E225,OFFSET(Curvas_cupon_cero!$A$1,1,0,COUNT(Curvas_cupon_cero!$A:$A)-2,1),OFFSET(Curvas_cupon_cero!$A$1,1,MATCH($B$7,Curvas_cupon_cero!$1:$1,0)-1,COUNT(Curvas_cupon_cero!$A:$A)-2,1)),interpolar(E225,OFFSET(Curvas_cupon_cero!$A$1,1,0,COUNT(Curvas_cupon_cero!$A:$A)-2,1),OFFSET(Curvas_cupon_cero!$A$1,1,MATCH($B$7,Curvas_cupon_cero!$1:$1,0)-1,COUNT(Curvas_cupon_cero!$A:$A)-2,1))))</f>
        <v/>
      </c>
      <c r="H225" s="19" t="str">
        <f t="shared" si="19"/>
        <v/>
      </c>
    </row>
    <row r="226" spans="1:8" x14ac:dyDescent="0.2">
      <c r="A226" s="12" t="str">
        <f t="shared" si="20"/>
        <v/>
      </c>
      <c r="B226" s="21" t="str">
        <f t="shared" si="21"/>
        <v/>
      </c>
      <c r="C226" s="17" t="str">
        <f t="shared" si="18"/>
        <v/>
      </c>
      <c r="D226" s="18" t="str">
        <f t="shared" si="22"/>
        <v/>
      </c>
      <c r="E226" t="str">
        <f t="shared" si="23"/>
        <v/>
      </c>
      <c r="F226" s="23" t="str">
        <f ca="1">IF(A226="","",IF($B$8="Sí",interpolar_alamb(E226,OFFSET(Curvas_cupon_cero!$A$1,1,0,COUNT(Curvas_cupon_cero!$A:$A)-2,1),OFFSET(Curvas_cupon_cero!$A$1,1,MATCH($B$6,Curvas_cupon_cero!$1:$1,0)-1,COUNT(Curvas_cupon_cero!$A:$A)-2,1)),interpolar(E226,OFFSET(Curvas_cupon_cero!$A$1,1,0,COUNT(Curvas_cupon_cero!$A:$A)-2,1),OFFSET(Curvas_cupon_cero!$A$1,1,MATCH($B$6,Curvas_cupon_cero!$1:$1,0)-1,COUNT(Curvas_cupon_cero!$A:$A)-2,1))))</f>
        <v/>
      </c>
      <c r="G226" s="23" t="str">
        <f ca="1">IF(A226="","",IF($B$8="Sí",interpolar_alamb(E226,OFFSET(Curvas_cupon_cero!$A$1,1,0,COUNT(Curvas_cupon_cero!$A:$A)-2,1),OFFSET(Curvas_cupon_cero!$A$1,1,MATCH($B$7,Curvas_cupon_cero!$1:$1,0)-1,COUNT(Curvas_cupon_cero!$A:$A)-2,1)),interpolar(E226,OFFSET(Curvas_cupon_cero!$A$1,1,0,COUNT(Curvas_cupon_cero!$A:$A)-2,1),OFFSET(Curvas_cupon_cero!$A$1,1,MATCH($B$7,Curvas_cupon_cero!$1:$1,0)-1,COUNT(Curvas_cupon_cero!$A:$A)-2,1))))</f>
        <v/>
      </c>
      <c r="H226" s="19" t="str">
        <f t="shared" si="19"/>
        <v/>
      </c>
    </row>
    <row r="227" spans="1:8" x14ac:dyDescent="0.2">
      <c r="A227" s="12" t="str">
        <f t="shared" si="20"/>
        <v/>
      </c>
      <c r="B227" s="21" t="str">
        <f t="shared" si="21"/>
        <v/>
      </c>
      <c r="C227" s="17" t="str">
        <f t="shared" si="18"/>
        <v/>
      </c>
      <c r="D227" s="18" t="str">
        <f t="shared" si="22"/>
        <v/>
      </c>
      <c r="E227" t="str">
        <f t="shared" si="23"/>
        <v/>
      </c>
      <c r="F227" s="23" t="str">
        <f ca="1">IF(A227="","",IF($B$8="Sí",interpolar_alamb(E227,OFFSET(Curvas_cupon_cero!$A$1,1,0,COUNT(Curvas_cupon_cero!$A:$A)-2,1),OFFSET(Curvas_cupon_cero!$A$1,1,MATCH($B$6,Curvas_cupon_cero!$1:$1,0)-1,COUNT(Curvas_cupon_cero!$A:$A)-2,1)),interpolar(E227,OFFSET(Curvas_cupon_cero!$A$1,1,0,COUNT(Curvas_cupon_cero!$A:$A)-2,1),OFFSET(Curvas_cupon_cero!$A$1,1,MATCH($B$6,Curvas_cupon_cero!$1:$1,0)-1,COUNT(Curvas_cupon_cero!$A:$A)-2,1))))</f>
        <v/>
      </c>
      <c r="G227" s="23" t="str">
        <f ca="1">IF(A227="","",IF($B$8="Sí",interpolar_alamb(E227,OFFSET(Curvas_cupon_cero!$A$1,1,0,COUNT(Curvas_cupon_cero!$A:$A)-2,1),OFFSET(Curvas_cupon_cero!$A$1,1,MATCH($B$7,Curvas_cupon_cero!$1:$1,0)-1,COUNT(Curvas_cupon_cero!$A:$A)-2,1)),interpolar(E227,OFFSET(Curvas_cupon_cero!$A$1,1,0,COUNT(Curvas_cupon_cero!$A:$A)-2,1),OFFSET(Curvas_cupon_cero!$A$1,1,MATCH($B$7,Curvas_cupon_cero!$1:$1,0)-1,COUNT(Curvas_cupon_cero!$A:$A)-2,1))))</f>
        <v/>
      </c>
      <c r="H227" s="19" t="str">
        <f t="shared" si="19"/>
        <v/>
      </c>
    </row>
    <row r="228" spans="1:8" x14ac:dyDescent="0.2">
      <c r="A228" s="12" t="str">
        <f t="shared" si="20"/>
        <v/>
      </c>
      <c r="B228" s="21" t="str">
        <f t="shared" si="21"/>
        <v/>
      </c>
      <c r="C228" s="17" t="str">
        <f t="shared" si="18"/>
        <v/>
      </c>
      <c r="D228" s="18" t="str">
        <f t="shared" si="22"/>
        <v/>
      </c>
      <c r="E228" t="str">
        <f t="shared" si="23"/>
        <v/>
      </c>
      <c r="F228" s="23" t="str">
        <f ca="1">IF(A228="","",IF($B$8="Sí",interpolar_alamb(E228,OFFSET(Curvas_cupon_cero!$A$1,1,0,COUNT(Curvas_cupon_cero!$A:$A)-2,1),OFFSET(Curvas_cupon_cero!$A$1,1,MATCH($B$6,Curvas_cupon_cero!$1:$1,0)-1,COUNT(Curvas_cupon_cero!$A:$A)-2,1)),interpolar(E228,OFFSET(Curvas_cupon_cero!$A$1,1,0,COUNT(Curvas_cupon_cero!$A:$A)-2,1),OFFSET(Curvas_cupon_cero!$A$1,1,MATCH($B$6,Curvas_cupon_cero!$1:$1,0)-1,COUNT(Curvas_cupon_cero!$A:$A)-2,1))))</f>
        <v/>
      </c>
      <c r="G228" s="23" t="str">
        <f ca="1">IF(A228="","",IF($B$8="Sí",interpolar_alamb(E228,OFFSET(Curvas_cupon_cero!$A$1,1,0,COUNT(Curvas_cupon_cero!$A:$A)-2,1),OFFSET(Curvas_cupon_cero!$A$1,1,MATCH($B$7,Curvas_cupon_cero!$1:$1,0)-1,COUNT(Curvas_cupon_cero!$A:$A)-2,1)),interpolar(E228,OFFSET(Curvas_cupon_cero!$A$1,1,0,COUNT(Curvas_cupon_cero!$A:$A)-2,1),OFFSET(Curvas_cupon_cero!$A$1,1,MATCH($B$7,Curvas_cupon_cero!$1:$1,0)-1,COUNT(Curvas_cupon_cero!$A:$A)-2,1))))</f>
        <v/>
      </c>
      <c r="H228" s="19" t="str">
        <f t="shared" si="19"/>
        <v/>
      </c>
    </row>
    <row r="229" spans="1:8" x14ac:dyDescent="0.2">
      <c r="A229" s="12" t="str">
        <f t="shared" si="20"/>
        <v/>
      </c>
      <c r="B229" s="21" t="str">
        <f t="shared" si="21"/>
        <v/>
      </c>
      <c r="C229" s="17" t="str">
        <f t="shared" si="18"/>
        <v/>
      </c>
      <c r="D229" s="18" t="str">
        <f t="shared" si="22"/>
        <v/>
      </c>
      <c r="E229" t="str">
        <f t="shared" si="23"/>
        <v/>
      </c>
      <c r="F229" s="23" t="str">
        <f ca="1">IF(A229="","",IF($B$8="Sí",interpolar_alamb(E229,OFFSET(Curvas_cupon_cero!$A$1,1,0,COUNT(Curvas_cupon_cero!$A:$A)-2,1),OFFSET(Curvas_cupon_cero!$A$1,1,MATCH($B$6,Curvas_cupon_cero!$1:$1,0)-1,COUNT(Curvas_cupon_cero!$A:$A)-2,1)),interpolar(E229,OFFSET(Curvas_cupon_cero!$A$1,1,0,COUNT(Curvas_cupon_cero!$A:$A)-2,1),OFFSET(Curvas_cupon_cero!$A$1,1,MATCH($B$6,Curvas_cupon_cero!$1:$1,0)-1,COUNT(Curvas_cupon_cero!$A:$A)-2,1))))</f>
        <v/>
      </c>
      <c r="G229" s="23" t="str">
        <f ca="1">IF(A229="","",IF($B$8="Sí",interpolar_alamb(E229,OFFSET(Curvas_cupon_cero!$A$1,1,0,COUNT(Curvas_cupon_cero!$A:$A)-2,1),OFFSET(Curvas_cupon_cero!$A$1,1,MATCH($B$7,Curvas_cupon_cero!$1:$1,0)-1,COUNT(Curvas_cupon_cero!$A:$A)-2,1)),interpolar(E229,OFFSET(Curvas_cupon_cero!$A$1,1,0,COUNT(Curvas_cupon_cero!$A:$A)-2,1),OFFSET(Curvas_cupon_cero!$A$1,1,MATCH($B$7,Curvas_cupon_cero!$1:$1,0)-1,COUNT(Curvas_cupon_cero!$A:$A)-2,1))))</f>
        <v/>
      </c>
      <c r="H229" s="19" t="str">
        <f t="shared" si="19"/>
        <v/>
      </c>
    </row>
    <row r="230" spans="1:8" x14ac:dyDescent="0.2">
      <c r="A230" s="12" t="str">
        <f t="shared" si="20"/>
        <v/>
      </c>
      <c r="B230" s="21" t="str">
        <f t="shared" si="21"/>
        <v/>
      </c>
      <c r="C230" s="17" t="str">
        <f t="shared" si="18"/>
        <v/>
      </c>
      <c r="D230" s="18" t="str">
        <f t="shared" si="22"/>
        <v/>
      </c>
      <c r="E230" t="str">
        <f t="shared" si="23"/>
        <v/>
      </c>
      <c r="F230" s="23" t="str">
        <f ca="1">IF(A230="","",IF($B$8="Sí",interpolar_alamb(E230,OFFSET(Curvas_cupon_cero!$A$1,1,0,COUNT(Curvas_cupon_cero!$A:$A)-2,1),OFFSET(Curvas_cupon_cero!$A$1,1,MATCH($B$6,Curvas_cupon_cero!$1:$1,0)-1,COUNT(Curvas_cupon_cero!$A:$A)-2,1)),interpolar(E230,OFFSET(Curvas_cupon_cero!$A$1,1,0,COUNT(Curvas_cupon_cero!$A:$A)-2,1),OFFSET(Curvas_cupon_cero!$A$1,1,MATCH($B$6,Curvas_cupon_cero!$1:$1,0)-1,COUNT(Curvas_cupon_cero!$A:$A)-2,1))))</f>
        <v/>
      </c>
      <c r="G230" s="23" t="str">
        <f ca="1">IF(A230="","",IF($B$8="Sí",interpolar_alamb(E230,OFFSET(Curvas_cupon_cero!$A$1,1,0,COUNT(Curvas_cupon_cero!$A:$A)-2,1),OFFSET(Curvas_cupon_cero!$A$1,1,MATCH($B$7,Curvas_cupon_cero!$1:$1,0)-1,COUNT(Curvas_cupon_cero!$A:$A)-2,1)),interpolar(E230,OFFSET(Curvas_cupon_cero!$A$1,1,0,COUNT(Curvas_cupon_cero!$A:$A)-2,1),OFFSET(Curvas_cupon_cero!$A$1,1,MATCH($B$7,Curvas_cupon_cero!$1:$1,0)-1,COUNT(Curvas_cupon_cero!$A:$A)-2,1))))</f>
        <v/>
      </c>
      <c r="H230" s="19" t="str">
        <f t="shared" si="19"/>
        <v/>
      </c>
    </row>
    <row r="231" spans="1:8" x14ac:dyDescent="0.2">
      <c r="A231" s="12" t="str">
        <f t="shared" si="20"/>
        <v/>
      </c>
      <c r="B231" s="21" t="str">
        <f t="shared" si="21"/>
        <v/>
      </c>
      <c r="C231" s="17" t="str">
        <f t="shared" si="18"/>
        <v/>
      </c>
      <c r="D231" s="18" t="str">
        <f t="shared" si="22"/>
        <v/>
      </c>
      <c r="E231" t="str">
        <f t="shared" si="23"/>
        <v/>
      </c>
      <c r="F231" s="23" t="str">
        <f ca="1">IF(A231="","",IF($B$8="Sí",interpolar_alamb(E231,OFFSET(Curvas_cupon_cero!$A$1,1,0,COUNT(Curvas_cupon_cero!$A:$A)-2,1),OFFSET(Curvas_cupon_cero!$A$1,1,MATCH($B$6,Curvas_cupon_cero!$1:$1,0)-1,COUNT(Curvas_cupon_cero!$A:$A)-2,1)),interpolar(E231,OFFSET(Curvas_cupon_cero!$A$1,1,0,COUNT(Curvas_cupon_cero!$A:$A)-2,1),OFFSET(Curvas_cupon_cero!$A$1,1,MATCH($B$6,Curvas_cupon_cero!$1:$1,0)-1,COUNT(Curvas_cupon_cero!$A:$A)-2,1))))</f>
        <v/>
      </c>
      <c r="G231" s="23" t="str">
        <f ca="1">IF(A231="","",IF($B$8="Sí",interpolar_alamb(E231,OFFSET(Curvas_cupon_cero!$A$1,1,0,COUNT(Curvas_cupon_cero!$A:$A)-2,1),OFFSET(Curvas_cupon_cero!$A$1,1,MATCH($B$7,Curvas_cupon_cero!$1:$1,0)-1,COUNT(Curvas_cupon_cero!$A:$A)-2,1)),interpolar(E231,OFFSET(Curvas_cupon_cero!$A$1,1,0,COUNT(Curvas_cupon_cero!$A:$A)-2,1),OFFSET(Curvas_cupon_cero!$A$1,1,MATCH($B$7,Curvas_cupon_cero!$1:$1,0)-1,COUNT(Curvas_cupon_cero!$A:$A)-2,1))))</f>
        <v/>
      </c>
      <c r="H231" s="19" t="str">
        <f t="shared" si="19"/>
        <v/>
      </c>
    </row>
    <row r="232" spans="1:8" x14ac:dyDescent="0.2">
      <c r="A232" s="12" t="str">
        <f t="shared" si="20"/>
        <v/>
      </c>
      <c r="B232" s="21" t="str">
        <f t="shared" si="21"/>
        <v/>
      </c>
      <c r="C232" s="17" t="str">
        <f t="shared" si="18"/>
        <v/>
      </c>
      <c r="D232" s="18" t="str">
        <f t="shared" si="22"/>
        <v/>
      </c>
      <c r="E232" t="str">
        <f t="shared" si="23"/>
        <v/>
      </c>
      <c r="F232" s="23" t="str">
        <f ca="1">IF(A232="","",IF($B$8="Sí",interpolar_alamb(E232,OFFSET(Curvas_cupon_cero!$A$1,1,0,COUNT(Curvas_cupon_cero!$A:$A)-2,1),OFFSET(Curvas_cupon_cero!$A$1,1,MATCH($B$6,Curvas_cupon_cero!$1:$1,0)-1,COUNT(Curvas_cupon_cero!$A:$A)-2,1)),interpolar(E232,OFFSET(Curvas_cupon_cero!$A$1,1,0,COUNT(Curvas_cupon_cero!$A:$A)-2,1),OFFSET(Curvas_cupon_cero!$A$1,1,MATCH($B$6,Curvas_cupon_cero!$1:$1,0)-1,COUNT(Curvas_cupon_cero!$A:$A)-2,1))))</f>
        <v/>
      </c>
      <c r="G232" s="23" t="str">
        <f ca="1">IF(A232="","",IF($B$8="Sí",interpolar_alamb(E232,OFFSET(Curvas_cupon_cero!$A$1,1,0,COUNT(Curvas_cupon_cero!$A:$A)-2,1),OFFSET(Curvas_cupon_cero!$A$1,1,MATCH($B$7,Curvas_cupon_cero!$1:$1,0)-1,COUNT(Curvas_cupon_cero!$A:$A)-2,1)),interpolar(E232,OFFSET(Curvas_cupon_cero!$A$1,1,0,COUNT(Curvas_cupon_cero!$A:$A)-2,1),OFFSET(Curvas_cupon_cero!$A$1,1,MATCH($B$7,Curvas_cupon_cero!$1:$1,0)-1,COUNT(Curvas_cupon_cero!$A:$A)-2,1))))</f>
        <v/>
      </c>
      <c r="H232" s="19" t="str">
        <f t="shared" si="19"/>
        <v/>
      </c>
    </row>
    <row r="233" spans="1:8" x14ac:dyDescent="0.2">
      <c r="A233" s="12" t="str">
        <f t="shared" si="20"/>
        <v/>
      </c>
      <c r="B233" s="21" t="str">
        <f t="shared" si="21"/>
        <v/>
      </c>
      <c r="C233" s="17" t="str">
        <f t="shared" si="18"/>
        <v/>
      </c>
      <c r="D233" s="18" t="str">
        <f t="shared" si="22"/>
        <v/>
      </c>
      <c r="E233" t="str">
        <f t="shared" si="23"/>
        <v/>
      </c>
      <c r="F233" s="23" t="str">
        <f ca="1">IF(A233="","",IF($B$8="Sí",interpolar_alamb(E233,OFFSET(Curvas_cupon_cero!$A$1,1,0,COUNT(Curvas_cupon_cero!$A:$A)-2,1),OFFSET(Curvas_cupon_cero!$A$1,1,MATCH($B$6,Curvas_cupon_cero!$1:$1,0)-1,COUNT(Curvas_cupon_cero!$A:$A)-2,1)),interpolar(E233,OFFSET(Curvas_cupon_cero!$A$1,1,0,COUNT(Curvas_cupon_cero!$A:$A)-2,1),OFFSET(Curvas_cupon_cero!$A$1,1,MATCH($B$6,Curvas_cupon_cero!$1:$1,0)-1,COUNT(Curvas_cupon_cero!$A:$A)-2,1))))</f>
        <v/>
      </c>
      <c r="G233" s="23" t="str">
        <f ca="1">IF(A233="","",IF($B$8="Sí",interpolar_alamb(E233,OFFSET(Curvas_cupon_cero!$A$1,1,0,COUNT(Curvas_cupon_cero!$A:$A)-2,1),OFFSET(Curvas_cupon_cero!$A$1,1,MATCH($B$7,Curvas_cupon_cero!$1:$1,0)-1,COUNT(Curvas_cupon_cero!$A:$A)-2,1)),interpolar(E233,OFFSET(Curvas_cupon_cero!$A$1,1,0,COUNT(Curvas_cupon_cero!$A:$A)-2,1),OFFSET(Curvas_cupon_cero!$A$1,1,MATCH($B$7,Curvas_cupon_cero!$1:$1,0)-1,COUNT(Curvas_cupon_cero!$A:$A)-2,1))))</f>
        <v/>
      </c>
      <c r="H233" s="19" t="str">
        <f t="shared" si="19"/>
        <v/>
      </c>
    </row>
    <row r="234" spans="1:8" x14ac:dyDescent="0.2">
      <c r="A234" s="12" t="str">
        <f t="shared" si="20"/>
        <v/>
      </c>
      <c r="B234" s="21" t="str">
        <f t="shared" si="21"/>
        <v/>
      </c>
      <c r="C234" s="17" t="str">
        <f t="shared" si="18"/>
        <v/>
      </c>
      <c r="D234" s="18" t="str">
        <f t="shared" si="22"/>
        <v/>
      </c>
      <c r="E234" t="str">
        <f t="shared" si="23"/>
        <v/>
      </c>
      <c r="F234" s="23" t="str">
        <f ca="1">IF(A234="","",IF($B$8="Sí",interpolar_alamb(E234,OFFSET(Curvas_cupon_cero!$A$1,1,0,COUNT(Curvas_cupon_cero!$A:$A)-2,1),OFFSET(Curvas_cupon_cero!$A$1,1,MATCH($B$6,Curvas_cupon_cero!$1:$1,0)-1,COUNT(Curvas_cupon_cero!$A:$A)-2,1)),interpolar(E234,OFFSET(Curvas_cupon_cero!$A$1,1,0,COUNT(Curvas_cupon_cero!$A:$A)-2,1),OFFSET(Curvas_cupon_cero!$A$1,1,MATCH($B$6,Curvas_cupon_cero!$1:$1,0)-1,COUNT(Curvas_cupon_cero!$A:$A)-2,1))))</f>
        <v/>
      </c>
      <c r="G234" s="23" t="str">
        <f ca="1">IF(A234="","",IF($B$8="Sí",interpolar_alamb(E234,OFFSET(Curvas_cupon_cero!$A$1,1,0,COUNT(Curvas_cupon_cero!$A:$A)-2,1),OFFSET(Curvas_cupon_cero!$A$1,1,MATCH($B$7,Curvas_cupon_cero!$1:$1,0)-1,COUNT(Curvas_cupon_cero!$A:$A)-2,1)),interpolar(E234,OFFSET(Curvas_cupon_cero!$A$1,1,0,COUNT(Curvas_cupon_cero!$A:$A)-2,1),OFFSET(Curvas_cupon_cero!$A$1,1,MATCH($B$7,Curvas_cupon_cero!$1:$1,0)-1,COUNT(Curvas_cupon_cero!$A:$A)-2,1))))</f>
        <v/>
      </c>
      <c r="H234" s="19" t="str">
        <f t="shared" si="19"/>
        <v/>
      </c>
    </row>
    <row r="235" spans="1:8" x14ac:dyDescent="0.2">
      <c r="A235" s="12" t="str">
        <f t="shared" si="20"/>
        <v/>
      </c>
      <c r="B235" s="21" t="str">
        <f t="shared" si="21"/>
        <v/>
      </c>
      <c r="C235" s="17" t="str">
        <f t="shared" si="18"/>
        <v/>
      </c>
      <c r="D235" s="18" t="str">
        <f t="shared" si="22"/>
        <v/>
      </c>
      <c r="E235" t="str">
        <f t="shared" si="23"/>
        <v/>
      </c>
      <c r="F235" s="23" t="str">
        <f ca="1">IF(A235="","",IF($B$8="Sí",interpolar_alamb(E235,OFFSET(Curvas_cupon_cero!$A$1,1,0,COUNT(Curvas_cupon_cero!$A:$A)-2,1),OFFSET(Curvas_cupon_cero!$A$1,1,MATCH($B$6,Curvas_cupon_cero!$1:$1,0)-1,COUNT(Curvas_cupon_cero!$A:$A)-2,1)),interpolar(E235,OFFSET(Curvas_cupon_cero!$A$1,1,0,COUNT(Curvas_cupon_cero!$A:$A)-2,1),OFFSET(Curvas_cupon_cero!$A$1,1,MATCH($B$6,Curvas_cupon_cero!$1:$1,0)-1,COUNT(Curvas_cupon_cero!$A:$A)-2,1))))</f>
        <v/>
      </c>
      <c r="G235" s="23" t="str">
        <f ca="1">IF(A235="","",IF($B$8="Sí",interpolar_alamb(E235,OFFSET(Curvas_cupon_cero!$A$1,1,0,COUNT(Curvas_cupon_cero!$A:$A)-2,1),OFFSET(Curvas_cupon_cero!$A$1,1,MATCH($B$7,Curvas_cupon_cero!$1:$1,0)-1,COUNT(Curvas_cupon_cero!$A:$A)-2,1)),interpolar(E235,OFFSET(Curvas_cupon_cero!$A$1,1,0,COUNT(Curvas_cupon_cero!$A:$A)-2,1),OFFSET(Curvas_cupon_cero!$A$1,1,MATCH($B$7,Curvas_cupon_cero!$1:$1,0)-1,COUNT(Curvas_cupon_cero!$A:$A)-2,1))))</f>
        <v/>
      </c>
      <c r="H235" s="19" t="str">
        <f t="shared" si="19"/>
        <v/>
      </c>
    </row>
    <row r="236" spans="1:8" x14ac:dyDescent="0.2">
      <c r="A236" s="12" t="str">
        <f t="shared" si="20"/>
        <v/>
      </c>
      <c r="B236" s="21" t="str">
        <f t="shared" si="21"/>
        <v/>
      </c>
      <c r="C236" s="17" t="str">
        <f t="shared" si="18"/>
        <v/>
      </c>
      <c r="D236" s="18" t="str">
        <f t="shared" si="22"/>
        <v/>
      </c>
      <c r="E236" t="str">
        <f t="shared" si="23"/>
        <v/>
      </c>
      <c r="F236" s="23" t="str">
        <f ca="1">IF(A236="","",IF($B$8="Sí",interpolar_alamb(E236,OFFSET(Curvas_cupon_cero!$A$1,1,0,COUNT(Curvas_cupon_cero!$A:$A)-2,1),OFFSET(Curvas_cupon_cero!$A$1,1,MATCH($B$6,Curvas_cupon_cero!$1:$1,0)-1,COUNT(Curvas_cupon_cero!$A:$A)-2,1)),interpolar(E236,OFFSET(Curvas_cupon_cero!$A$1,1,0,COUNT(Curvas_cupon_cero!$A:$A)-2,1),OFFSET(Curvas_cupon_cero!$A$1,1,MATCH($B$6,Curvas_cupon_cero!$1:$1,0)-1,COUNT(Curvas_cupon_cero!$A:$A)-2,1))))</f>
        <v/>
      </c>
      <c r="G236" s="23" t="str">
        <f ca="1">IF(A236="","",IF($B$8="Sí",interpolar_alamb(E236,OFFSET(Curvas_cupon_cero!$A$1,1,0,COUNT(Curvas_cupon_cero!$A:$A)-2,1),OFFSET(Curvas_cupon_cero!$A$1,1,MATCH($B$7,Curvas_cupon_cero!$1:$1,0)-1,COUNT(Curvas_cupon_cero!$A:$A)-2,1)),interpolar(E236,OFFSET(Curvas_cupon_cero!$A$1,1,0,COUNT(Curvas_cupon_cero!$A:$A)-2,1),OFFSET(Curvas_cupon_cero!$A$1,1,MATCH($B$7,Curvas_cupon_cero!$1:$1,0)-1,COUNT(Curvas_cupon_cero!$A:$A)-2,1))))</f>
        <v/>
      </c>
      <c r="H236" s="19" t="str">
        <f t="shared" si="19"/>
        <v/>
      </c>
    </row>
    <row r="237" spans="1:8" x14ac:dyDescent="0.2">
      <c r="A237" s="12" t="str">
        <f t="shared" si="20"/>
        <v/>
      </c>
      <c r="B237" s="21" t="str">
        <f t="shared" si="21"/>
        <v/>
      </c>
      <c r="C237" s="17" t="str">
        <f t="shared" si="18"/>
        <v/>
      </c>
      <c r="D237" s="18" t="str">
        <f t="shared" si="22"/>
        <v/>
      </c>
      <c r="E237" t="str">
        <f t="shared" si="23"/>
        <v/>
      </c>
      <c r="F237" s="23" t="str">
        <f ca="1">IF(A237="","",IF($B$8="Sí",interpolar_alamb(E237,OFFSET(Curvas_cupon_cero!$A$1,1,0,COUNT(Curvas_cupon_cero!$A:$A)-2,1),OFFSET(Curvas_cupon_cero!$A$1,1,MATCH($B$6,Curvas_cupon_cero!$1:$1,0)-1,COUNT(Curvas_cupon_cero!$A:$A)-2,1)),interpolar(E237,OFFSET(Curvas_cupon_cero!$A$1,1,0,COUNT(Curvas_cupon_cero!$A:$A)-2,1),OFFSET(Curvas_cupon_cero!$A$1,1,MATCH($B$6,Curvas_cupon_cero!$1:$1,0)-1,COUNT(Curvas_cupon_cero!$A:$A)-2,1))))</f>
        <v/>
      </c>
      <c r="G237" s="23" t="str">
        <f ca="1">IF(A237="","",IF($B$8="Sí",interpolar_alamb(E237,OFFSET(Curvas_cupon_cero!$A$1,1,0,COUNT(Curvas_cupon_cero!$A:$A)-2,1),OFFSET(Curvas_cupon_cero!$A$1,1,MATCH($B$7,Curvas_cupon_cero!$1:$1,0)-1,COUNT(Curvas_cupon_cero!$A:$A)-2,1)),interpolar(E237,OFFSET(Curvas_cupon_cero!$A$1,1,0,COUNT(Curvas_cupon_cero!$A:$A)-2,1),OFFSET(Curvas_cupon_cero!$A$1,1,MATCH($B$7,Curvas_cupon_cero!$1:$1,0)-1,COUNT(Curvas_cupon_cero!$A:$A)-2,1))))</f>
        <v/>
      </c>
      <c r="H237" s="19" t="str">
        <f t="shared" si="19"/>
        <v/>
      </c>
    </row>
    <row r="238" spans="1:8" x14ac:dyDescent="0.2">
      <c r="A238" s="12" t="str">
        <f t="shared" si="20"/>
        <v/>
      </c>
      <c r="B238" s="21" t="str">
        <f t="shared" si="21"/>
        <v/>
      </c>
      <c r="C238" s="17" t="str">
        <f t="shared" si="18"/>
        <v/>
      </c>
      <c r="D238" s="18" t="str">
        <f t="shared" si="22"/>
        <v/>
      </c>
      <c r="E238" t="str">
        <f t="shared" si="23"/>
        <v/>
      </c>
      <c r="F238" s="23" t="str">
        <f ca="1">IF(A238="","",IF($B$8="Sí",interpolar_alamb(E238,OFFSET(Curvas_cupon_cero!$A$1,1,0,COUNT(Curvas_cupon_cero!$A:$A)-2,1),OFFSET(Curvas_cupon_cero!$A$1,1,MATCH($B$6,Curvas_cupon_cero!$1:$1,0)-1,COUNT(Curvas_cupon_cero!$A:$A)-2,1)),interpolar(E238,OFFSET(Curvas_cupon_cero!$A$1,1,0,COUNT(Curvas_cupon_cero!$A:$A)-2,1),OFFSET(Curvas_cupon_cero!$A$1,1,MATCH($B$6,Curvas_cupon_cero!$1:$1,0)-1,COUNT(Curvas_cupon_cero!$A:$A)-2,1))))</f>
        <v/>
      </c>
      <c r="G238" s="23" t="str">
        <f ca="1">IF(A238="","",IF($B$8="Sí",interpolar_alamb(E238,OFFSET(Curvas_cupon_cero!$A$1,1,0,COUNT(Curvas_cupon_cero!$A:$A)-2,1),OFFSET(Curvas_cupon_cero!$A$1,1,MATCH($B$7,Curvas_cupon_cero!$1:$1,0)-1,COUNT(Curvas_cupon_cero!$A:$A)-2,1)),interpolar(E238,OFFSET(Curvas_cupon_cero!$A$1,1,0,COUNT(Curvas_cupon_cero!$A:$A)-2,1),OFFSET(Curvas_cupon_cero!$A$1,1,MATCH($B$7,Curvas_cupon_cero!$1:$1,0)-1,COUNT(Curvas_cupon_cero!$A:$A)-2,1))))</f>
        <v/>
      </c>
      <c r="H238" s="19" t="str">
        <f t="shared" si="19"/>
        <v/>
      </c>
    </row>
    <row r="239" spans="1:8" x14ac:dyDescent="0.2">
      <c r="A239" s="12" t="str">
        <f t="shared" si="20"/>
        <v/>
      </c>
      <c r="B239" s="21" t="str">
        <f t="shared" si="21"/>
        <v/>
      </c>
      <c r="C239" s="17" t="str">
        <f t="shared" si="18"/>
        <v/>
      </c>
      <c r="D239" s="18" t="str">
        <f t="shared" si="22"/>
        <v/>
      </c>
      <c r="E239" t="str">
        <f t="shared" si="23"/>
        <v/>
      </c>
      <c r="F239" s="23" t="str">
        <f ca="1">IF(A239="","",IF($B$8="Sí",interpolar_alamb(E239,OFFSET(Curvas_cupon_cero!$A$1,1,0,COUNT(Curvas_cupon_cero!$A:$A)-2,1),OFFSET(Curvas_cupon_cero!$A$1,1,MATCH($B$6,Curvas_cupon_cero!$1:$1,0)-1,COUNT(Curvas_cupon_cero!$A:$A)-2,1)),interpolar(E239,OFFSET(Curvas_cupon_cero!$A$1,1,0,COUNT(Curvas_cupon_cero!$A:$A)-2,1),OFFSET(Curvas_cupon_cero!$A$1,1,MATCH($B$6,Curvas_cupon_cero!$1:$1,0)-1,COUNT(Curvas_cupon_cero!$A:$A)-2,1))))</f>
        <v/>
      </c>
      <c r="G239" s="23" t="str">
        <f ca="1">IF(A239="","",IF($B$8="Sí",interpolar_alamb(E239,OFFSET(Curvas_cupon_cero!$A$1,1,0,COUNT(Curvas_cupon_cero!$A:$A)-2,1),OFFSET(Curvas_cupon_cero!$A$1,1,MATCH($B$7,Curvas_cupon_cero!$1:$1,0)-1,COUNT(Curvas_cupon_cero!$A:$A)-2,1)),interpolar(E239,OFFSET(Curvas_cupon_cero!$A$1,1,0,COUNT(Curvas_cupon_cero!$A:$A)-2,1),OFFSET(Curvas_cupon_cero!$A$1,1,MATCH($B$7,Curvas_cupon_cero!$1:$1,0)-1,COUNT(Curvas_cupon_cero!$A:$A)-2,1))))</f>
        <v/>
      </c>
      <c r="H239" s="19" t="str">
        <f t="shared" si="19"/>
        <v/>
      </c>
    </row>
    <row r="240" spans="1:8" x14ac:dyDescent="0.2">
      <c r="A240" s="12" t="str">
        <f t="shared" si="20"/>
        <v/>
      </c>
      <c r="B240" s="21" t="str">
        <f t="shared" si="21"/>
        <v/>
      </c>
      <c r="C240" s="17" t="str">
        <f t="shared" si="18"/>
        <v/>
      </c>
      <c r="D240" s="18" t="str">
        <f t="shared" si="22"/>
        <v/>
      </c>
      <c r="E240" t="str">
        <f t="shared" si="23"/>
        <v/>
      </c>
      <c r="F240" s="23" t="str">
        <f ca="1">IF(A240="","",IF($B$8="Sí",interpolar_alamb(E240,OFFSET(Curvas_cupon_cero!$A$1,1,0,COUNT(Curvas_cupon_cero!$A:$A)-2,1),OFFSET(Curvas_cupon_cero!$A$1,1,MATCH($B$6,Curvas_cupon_cero!$1:$1,0)-1,COUNT(Curvas_cupon_cero!$A:$A)-2,1)),interpolar(E240,OFFSET(Curvas_cupon_cero!$A$1,1,0,COUNT(Curvas_cupon_cero!$A:$A)-2,1),OFFSET(Curvas_cupon_cero!$A$1,1,MATCH($B$6,Curvas_cupon_cero!$1:$1,0)-1,COUNT(Curvas_cupon_cero!$A:$A)-2,1))))</f>
        <v/>
      </c>
      <c r="G240" s="23" t="str">
        <f ca="1">IF(A240="","",IF($B$8="Sí",interpolar_alamb(E240,OFFSET(Curvas_cupon_cero!$A$1,1,0,COUNT(Curvas_cupon_cero!$A:$A)-2,1),OFFSET(Curvas_cupon_cero!$A$1,1,MATCH($B$7,Curvas_cupon_cero!$1:$1,0)-1,COUNT(Curvas_cupon_cero!$A:$A)-2,1)),interpolar(E240,OFFSET(Curvas_cupon_cero!$A$1,1,0,COUNT(Curvas_cupon_cero!$A:$A)-2,1),OFFSET(Curvas_cupon_cero!$A$1,1,MATCH($B$7,Curvas_cupon_cero!$1:$1,0)-1,COUNT(Curvas_cupon_cero!$A:$A)-2,1))))</f>
        <v/>
      </c>
      <c r="H240" s="19" t="str">
        <f t="shared" si="19"/>
        <v/>
      </c>
    </row>
    <row r="241" spans="1:8" x14ac:dyDescent="0.2">
      <c r="A241" s="12" t="str">
        <f t="shared" si="20"/>
        <v/>
      </c>
      <c r="B241" s="21" t="str">
        <f t="shared" si="21"/>
        <v/>
      </c>
      <c r="C241" s="17" t="str">
        <f t="shared" si="18"/>
        <v/>
      </c>
      <c r="D241" s="18" t="str">
        <f t="shared" si="22"/>
        <v/>
      </c>
      <c r="E241" t="str">
        <f t="shared" si="23"/>
        <v/>
      </c>
      <c r="F241" s="23" t="str">
        <f ca="1">IF(A241="","",IF($B$8="Sí",interpolar_alamb(E241,OFFSET(Curvas_cupon_cero!$A$1,1,0,COUNT(Curvas_cupon_cero!$A:$A)-2,1),OFFSET(Curvas_cupon_cero!$A$1,1,MATCH($B$6,Curvas_cupon_cero!$1:$1,0)-1,COUNT(Curvas_cupon_cero!$A:$A)-2,1)),interpolar(E241,OFFSET(Curvas_cupon_cero!$A$1,1,0,COUNT(Curvas_cupon_cero!$A:$A)-2,1),OFFSET(Curvas_cupon_cero!$A$1,1,MATCH($B$6,Curvas_cupon_cero!$1:$1,0)-1,COUNT(Curvas_cupon_cero!$A:$A)-2,1))))</f>
        <v/>
      </c>
      <c r="G241" s="23" t="str">
        <f ca="1">IF(A241="","",IF($B$8="Sí",interpolar_alamb(E241,OFFSET(Curvas_cupon_cero!$A$1,1,0,COUNT(Curvas_cupon_cero!$A:$A)-2,1),OFFSET(Curvas_cupon_cero!$A$1,1,MATCH($B$7,Curvas_cupon_cero!$1:$1,0)-1,COUNT(Curvas_cupon_cero!$A:$A)-2,1)),interpolar(E241,OFFSET(Curvas_cupon_cero!$A$1,1,0,COUNT(Curvas_cupon_cero!$A:$A)-2,1),OFFSET(Curvas_cupon_cero!$A$1,1,MATCH($B$7,Curvas_cupon_cero!$1:$1,0)-1,COUNT(Curvas_cupon_cero!$A:$A)-2,1))))</f>
        <v/>
      </c>
      <c r="H241" s="19" t="str">
        <f t="shared" si="19"/>
        <v/>
      </c>
    </row>
    <row r="242" spans="1:8" x14ac:dyDescent="0.2">
      <c r="A242" s="12" t="str">
        <f t="shared" si="20"/>
        <v/>
      </c>
      <c r="B242" s="21" t="str">
        <f t="shared" si="21"/>
        <v/>
      </c>
      <c r="C242" s="17" t="str">
        <f t="shared" si="18"/>
        <v/>
      </c>
      <c r="D242" s="18" t="str">
        <f t="shared" si="22"/>
        <v/>
      </c>
      <c r="E242" t="str">
        <f t="shared" si="23"/>
        <v/>
      </c>
      <c r="F242" s="23" t="str">
        <f ca="1">IF(A242="","",IF($B$8="Sí",interpolar_alamb(E242,OFFSET(Curvas_cupon_cero!$A$1,1,0,COUNT(Curvas_cupon_cero!$A:$A)-2,1),OFFSET(Curvas_cupon_cero!$A$1,1,MATCH($B$6,Curvas_cupon_cero!$1:$1,0)-1,COUNT(Curvas_cupon_cero!$A:$A)-2,1)),interpolar(E242,OFFSET(Curvas_cupon_cero!$A$1,1,0,COUNT(Curvas_cupon_cero!$A:$A)-2,1),OFFSET(Curvas_cupon_cero!$A$1,1,MATCH($B$6,Curvas_cupon_cero!$1:$1,0)-1,COUNT(Curvas_cupon_cero!$A:$A)-2,1))))</f>
        <v/>
      </c>
      <c r="G242" s="23" t="str">
        <f ca="1">IF(A242="","",IF($B$8="Sí",interpolar_alamb(E242,OFFSET(Curvas_cupon_cero!$A$1,1,0,COUNT(Curvas_cupon_cero!$A:$A)-2,1),OFFSET(Curvas_cupon_cero!$A$1,1,MATCH($B$7,Curvas_cupon_cero!$1:$1,0)-1,COUNT(Curvas_cupon_cero!$A:$A)-2,1)),interpolar(E242,OFFSET(Curvas_cupon_cero!$A$1,1,0,COUNT(Curvas_cupon_cero!$A:$A)-2,1),OFFSET(Curvas_cupon_cero!$A$1,1,MATCH($B$7,Curvas_cupon_cero!$1:$1,0)-1,COUNT(Curvas_cupon_cero!$A:$A)-2,1))))</f>
        <v/>
      </c>
      <c r="H242" s="19" t="str">
        <f t="shared" si="19"/>
        <v/>
      </c>
    </row>
    <row r="243" spans="1:8" x14ac:dyDescent="0.2">
      <c r="A243" s="12" t="str">
        <f t="shared" si="20"/>
        <v/>
      </c>
      <c r="B243" s="21" t="str">
        <f t="shared" si="21"/>
        <v/>
      </c>
      <c r="C243" s="17" t="str">
        <f t="shared" si="18"/>
        <v/>
      </c>
      <c r="D243" s="18" t="str">
        <f t="shared" si="22"/>
        <v/>
      </c>
      <c r="E243" t="str">
        <f t="shared" si="23"/>
        <v/>
      </c>
      <c r="F243" s="23" t="str">
        <f ca="1">IF(A243="","",IF($B$8="Sí",interpolar_alamb(E243,OFFSET(Curvas_cupon_cero!$A$1,1,0,COUNT(Curvas_cupon_cero!$A:$A)-2,1),OFFSET(Curvas_cupon_cero!$A$1,1,MATCH($B$6,Curvas_cupon_cero!$1:$1,0)-1,COUNT(Curvas_cupon_cero!$A:$A)-2,1)),interpolar(E243,OFFSET(Curvas_cupon_cero!$A$1,1,0,COUNT(Curvas_cupon_cero!$A:$A)-2,1),OFFSET(Curvas_cupon_cero!$A$1,1,MATCH($B$6,Curvas_cupon_cero!$1:$1,0)-1,COUNT(Curvas_cupon_cero!$A:$A)-2,1))))</f>
        <v/>
      </c>
      <c r="G243" s="23" t="str">
        <f ca="1">IF(A243="","",IF($B$8="Sí",interpolar_alamb(E243,OFFSET(Curvas_cupon_cero!$A$1,1,0,COUNT(Curvas_cupon_cero!$A:$A)-2,1),OFFSET(Curvas_cupon_cero!$A$1,1,MATCH($B$7,Curvas_cupon_cero!$1:$1,0)-1,COUNT(Curvas_cupon_cero!$A:$A)-2,1)),interpolar(E243,OFFSET(Curvas_cupon_cero!$A$1,1,0,COUNT(Curvas_cupon_cero!$A:$A)-2,1),OFFSET(Curvas_cupon_cero!$A$1,1,MATCH($B$7,Curvas_cupon_cero!$1:$1,0)-1,COUNT(Curvas_cupon_cero!$A:$A)-2,1))))</f>
        <v/>
      </c>
      <c r="H243" s="19" t="str">
        <f t="shared" si="19"/>
        <v/>
      </c>
    </row>
    <row r="244" spans="1:8" x14ac:dyDescent="0.2">
      <c r="A244" s="12" t="str">
        <f t="shared" si="20"/>
        <v/>
      </c>
      <c r="B244" s="21" t="str">
        <f t="shared" si="21"/>
        <v/>
      </c>
      <c r="C244" s="17" t="str">
        <f t="shared" si="18"/>
        <v/>
      </c>
      <c r="D244" s="18" t="str">
        <f t="shared" si="22"/>
        <v/>
      </c>
      <c r="E244" t="str">
        <f t="shared" si="23"/>
        <v/>
      </c>
      <c r="F244" s="23" t="str">
        <f ca="1">IF(A244="","",IF($B$8="Sí",interpolar_alamb(E244,OFFSET(Curvas_cupon_cero!$A$1,1,0,COUNT(Curvas_cupon_cero!$A:$A)-2,1),OFFSET(Curvas_cupon_cero!$A$1,1,MATCH($B$6,Curvas_cupon_cero!$1:$1,0)-1,COUNT(Curvas_cupon_cero!$A:$A)-2,1)),interpolar(E244,OFFSET(Curvas_cupon_cero!$A$1,1,0,COUNT(Curvas_cupon_cero!$A:$A)-2,1),OFFSET(Curvas_cupon_cero!$A$1,1,MATCH($B$6,Curvas_cupon_cero!$1:$1,0)-1,COUNT(Curvas_cupon_cero!$A:$A)-2,1))))</f>
        <v/>
      </c>
      <c r="G244" s="23" t="str">
        <f ca="1">IF(A244="","",IF($B$8="Sí",interpolar_alamb(E244,OFFSET(Curvas_cupon_cero!$A$1,1,0,COUNT(Curvas_cupon_cero!$A:$A)-2,1),OFFSET(Curvas_cupon_cero!$A$1,1,MATCH($B$7,Curvas_cupon_cero!$1:$1,0)-1,COUNT(Curvas_cupon_cero!$A:$A)-2,1)),interpolar(E244,OFFSET(Curvas_cupon_cero!$A$1,1,0,COUNT(Curvas_cupon_cero!$A:$A)-2,1),OFFSET(Curvas_cupon_cero!$A$1,1,MATCH($B$7,Curvas_cupon_cero!$1:$1,0)-1,COUNT(Curvas_cupon_cero!$A:$A)-2,1))))</f>
        <v/>
      </c>
      <c r="H244" s="19" t="str">
        <f t="shared" si="19"/>
        <v/>
      </c>
    </row>
    <row r="245" spans="1:8" x14ac:dyDescent="0.2">
      <c r="A245" s="12" t="str">
        <f t="shared" si="20"/>
        <v/>
      </c>
      <c r="B245" s="21" t="str">
        <f t="shared" si="21"/>
        <v/>
      </c>
      <c r="C245" s="17" t="str">
        <f t="shared" si="18"/>
        <v/>
      </c>
      <c r="D245" s="18" t="str">
        <f t="shared" si="22"/>
        <v/>
      </c>
      <c r="E245" t="str">
        <f t="shared" si="23"/>
        <v/>
      </c>
      <c r="F245" s="23" t="str">
        <f ca="1">IF(A245="","",IF($B$8="Sí",interpolar_alamb(E245,OFFSET(Curvas_cupon_cero!$A$1,1,0,COUNT(Curvas_cupon_cero!$A:$A)-2,1),OFFSET(Curvas_cupon_cero!$A$1,1,MATCH($B$6,Curvas_cupon_cero!$1:$1,0)-1,COUNT(Curvas_cupon_cero!$A:$A)-2,1)),interpolar(E245,OFFSET(Curvas_cupon_cero!$A$1,1,0,COUNT(Curvas_cupon_cero!$A:$A)-2,1),OFFSET(Curvas_cupon_cero!$A$1,1,MATCH($B$6,Curvas_cupon_cero!$1:$1,0)-1,COUNT(Curvas_cupon_cero!$A:$A)-2,1))))</f>
        <v/>
      </c>
      <c r="G245" s="23" t="str">
        <f ca="1">IF(A245="","",IF($B$8="Sí",interpolar_alamb(E245,OFFSET(Curvas_cupon_cero!$A$1,1,0,COUNT(Curvas_cupon_cero!$A:$A)-2,1),OFFSET(Curvas_cupon_cero!$A$1,1,MATCH($B$7,Curvas_cupon_cero!$1:$1,0)-1,COUNT(Curvas_cupon_cero!$A:$A)-2,1)),interpolar(E245,OFFSET(Curvas_cupon_cero!$A$1,1,0,COUNT(Curvas_cupon_cero!$A:$A)-2,1),OFFSET(Curvas_cupon_cero!$A$1,1,MATCH($B$7,Curvas_cupon_cero!$1:$1,0)-1,COUNT(Curvas_cupon_cero!$A:$A)-2,1))))</f>
        <v/>
      </c>
      <c r="H245" s="19" t="str">
        <f t="shared" si="19"/>
        <v/>
      </c>
    </row>
    <row r="246" spans="1:8" x14ac:dyDescent="0.2">
      <c r="A246" s="12" t="str">
        <f t="shared" si="20"/>
        <v/>
      </c>
      <c r="B246" s="21" t="str">
        <f t="shared" si="21"/>
        <v/>
      </c>
      <c r="C246" s="17" t="str">
        <f t="shared" si="18"/>
        <v/>
      </c>
      <c r="D246" s="18" t="str">
        <f t="shared" si="22"/>
        <v/>
      </c>
      <c r="E246" t="str">
        <f t="shared" si="23"/>
        <v/>
      </c>
      <c r="F246" s="23" t="str">
        <f ca="1">IF(A246="","",IF($B$8="Sí",interpolar_alamb(E246,OFFSET(Curvas_cupon_cero!$A$1,1,0,COUNT(Curvas_cupon_cero!$A:$A)-2,1),OFFSET(Curvas_cupon_cero!$A$1,1,MATCH($B$6,Curvas_cupon_cero!$1:$1,0)-1,COUNT(Curvas_cupon_cero!$A:$A)-2,1)),interpolar(E246,OFFSET(Curvas_cupon_cero!$A$1,1,0,COUNT(Curvas_cupon_cero!$A:$A)-2,1),OFFSET(Curvas_cupon_cero!$A$1,1,MATCH($B$6,Curvas_cupon_cero!$1:$1,0)-1,COUNT(Curvas_cupon_cero!$A:$A)-2,1))))</f>
        <v/>
      </c>
      <c r="G246" s="23" t="str">
        <f ca="1">IF(A246="","",IF($B$8="Sí",interpolar_alamb(E246,OFFSET(Curvas_cupon_cero!$A$1,1,0,COUNT(Curvas_cupon_cero!$A:$A)-2,1),OFFSET(Curvas_cupon_cero!$A$1,1,MATCH($B$7,Curvas_cupon_cero!$1:$1,0)-1,COUNT(Curvas_cupon_cero!$A:$A)-2,1)),interpolar(E246,OFFSET(Curvas_cupon_cero!$A$1,1,0,COUNT(Curvas_cupon_cero!$A:$A)-2,1),OFFSET(Curvas_cupon_cero!$A$1,1,MATCH($B$7,Curvas_cupon_cero!$1:$1,0)-1,COUNT(Curvas_cupon_cero!$A:$A)-2,1))))</f>
        <v/>
      </c>
      <c r="H246" s="19" t="str">
        <f t="shared" si="19"/>
        <v/>
      </c>
    </row>
    <row r="247" spans="1:8" x14ac:dyDescent="0.2">
      <c r="A247" s="12" t="str">
        <f t="shared" si="20"/>
        <v/>
      </c>
      <c r="B247" s="21" t="str">
        <f t="shared" si="21"/>
        <v/>
      </c>
      <c r="C247" s="17" t="str">
        <f t="shared" si="18"/>
        <v/>
      </c>
      <c r="D247" s="18" t="str">
        <f t="shared" si="22"/>
        <v/>
      </c>
      <c r="E247" t="str">
        <f t="shared" si="23"/>
        <v/>
      </c>
      <c r="F247" s="23" t="str">
        <f ca="1">IF(A247="","",IF($B$8="Sí",interpolar_alamb(E247,OFFSET(Curvas_cupon_cero!$A$1,1,0,COUNT(Curvas_cupon_cero!$A:$A)-2,1),OFFSET(Curvas_cupon_cero!$A$1,1,MATCH($B$6,Curvas_cupon_cero!$1:$1,0)-1,COUNT(Curvas_cupon_cero!$A:$A)-2,1)),interpolar(E247,OFFSET(Curvas_cupon_cero!$A$1,1,0,COUNT(Curvas_cupon_cero!$A:$A)-2,1),OFFSET(Curvas_cupon_cero!$A$1,1,MATCH($B$6,Curvas_cupon_cero!$1:$1,0)-1,COUNT(Curvas_cupon_cero!$A:$A)-2,1))))</f>
        <v/>
      </c>
      <c r="G247" s="23" t="str">
        <f ca="1">IF(A247="","",IF($B$8="Sí",interpolar_alamb(E247,OFFSET(Curvas_cupon_cero!$A$1,1,0,COUNT(Curvas_cupon_cero!$A:$A)-2,1),OFFSET(Curvas_cupon_cero!$A$1,1,MATCH($B$7,Curvas_cupon_cero!$1:$1,0)-1,COUNT(Curvas_cupon_cero!$A:$A)-2,1)),interpolar(E247,OFFSET(Curvas_cupon_cero!$A$1,1,0,COUNT(Curvas_cupon_cero!$A:$A)-2,1),OFFSET(Curvas_cupon_cero!$A$1,1,MATCH($B$7,Curvas_cupon_cero!$1:$1,0)-1,COUNT(Curvas_cupon_cero!$A:$A)-2,1))))</f>
        <v/>
      </c>
      <c r="H247" s="19" t="str">
        <f t="shared" si="19"/>
        <v/>
      </c>
    </row>
    <row r="248" spans="1:8" x14ac:dyDescent="0.2">
      <c r="A248" s="12" t="str">
        <f t="shared" si="20"/>
        <v/>
      </c>
      <c r="B248" s="21" t="str">
        <f t="shared" si="21"/>
        <v/>
      </c>
      <c r="C248" s="17" t="str">
        <f t="shared" si="18"/>
        <v/>
      </c>
      <c r="D248" s="18" t="str">
        <f t="shared" si="22"/>
        <v/>
      </c>
      <c r="E248" t="str">
        <f t="shared" si="23"/>
        <v/>
      </c>
      <c r="F248" s="23" t="str">
        <f ca="1">IF(A248="","",IF($B$8="Sí",interpolar_alamb(E248,OFFSET(Curvas_cupon_cero!$A$1,1,0,COUNT(Curvas_cupon_cero!$A:$A)-2,1),OFFSET(Curvas_cupon_cero!$A$1,1,MATCH($B$6,Curvas_cupon_cero!$1:$1,0)-1,COUNT(Curvas_cupon_cero!$A:$A)-2,1)),interpolar(E248,OFFSET(Curvas_cupon_cero!$A$1,1,0,COUNT(Curvas_cupon_cero!$A:$A)-2,1),OFFSET(Curvas_cupon_cero!$A$1,1,MATCH($B$6,Curvas_cupon_cero!$1:$1,0)-1,COUNT(Curvas_cupon_cero!$A:$A)-2,1))))</f>
        <v/>
      </c>
      <c r="G248" s="23" t="str">
        <f ca="1">IF(A248="","",IF($B$8="Sí",interpolar_alamb(E248,OFFSET(Curvas_cupon_cero!$A$1,1,0,COUNT(Curvas_cupon_cero!$A:$A)-2,1),OFFSET(Curvas_cupon_cero!$A$1,1,MATCH($B$7,Curvas_cupon_cero!$1:$1,0)-1,COUNT(Curvas_cupon_cero!$A:$A)-2,1)),interpolar(E248,OFFSET(Curvas_cupon_cero!$A$1,1,0,COUNT(Curvas_cupon_cero!$A:$A)-2,1),OFFSET(Curvas_cupon_cero!$A$1,1,MATCH($B$7,Curvas_cupon_cero!$1:$1,0)-1,COUNT(Curvas_cupon_cero!$A:$A)-2,1))))</f>
        <v/>
      </c>
      <c r="H248" s="19" t="str">
        <f t="shared" si="19"/>
        <v/>
      </c>
    </row>
    <row r="249" spans="1:8" x14ac:dyDescent="0.2">
      <c r="A249" s="12" t="str">
        <f t="shared" si="20"/>
        <v/>
      </c>
      <c r="B249" s="21" t="str">
        <f t="shared" si="21"/>
        <v/>
      </c>
      <c r="C249" s="17" t="str">
        <f t="shared" si="18"/>
        <v/>
      </c>
      <c r="D249" s="18" t="str">
        <f t="shared" si="22"/>
        <v/>
      </c>
      <c r="E249" t="str">
        <f t="shared" si="23"/>
        <v/>
      </c>
      <c r="F249" s="23" t="str">
        <f ca="1">IF(A249="","",IF($B$8="Sí",interpolar_alamb(E249,OFFSET(Curvas_cupon_cero!$A$1,1,0,COUNT(Curvas_cupon_cero!$A:$A)-2,1),OFFSET(Curvas_cupon_cero!$A$1,1,MATCH($B$6,Curvas_cupon_cero!$1:$1,0)-1,COUNT(Curvas_cupon_cero!$A:$A)-2,1)),interpolar(E249,OFFSET(Curvas_cupon_cero!$A$1,1,0,COUNT(Curvas_cupon_cero!$A:$A)-2,1),OFFSET(Curvas_cupon_cero!$A$1,1,MATCH($B$6,Curvas_cupon_cero!$1:$1,0)-1,COUNT(Curvas_cupon_cero!$A:$A)-2,1))))</f>
        <v/>
      </c>
      <c r="G249" s="23" t="str">
        <f ca="1">IF(A249="","",IF($B$8="Sí",interpolar_alamb(E249,OFFSET(Curvas_cupon_cero!$A$1,1,0,COUNT(Curvas_cupon_cero!$A:$A)-2,1),OFFSET(Curvas_cupon_cero!$A$1,1,MATCH($B$7,Curvas_cupon_cero!$1:$1,0)-1,COUNT(Curvas_cupon_cero!$A:$A)-2,1)),interpolar(E249,OFFSET(Curvas_cupon_cero!$A$1,1,0,COUNT(Curvas_cupon_cero!$A:$A)-2,1),OFFSET(Curvas_cupon_cero!$A$1,1,MATCH($B$7,Curvas_cupon_cero!$1:$1,0)-1,COUNT(Curvas_cupon_cero!$A:$A)-2,1))))</f>
        <v/>
      </c>
      <c r="H249" s="19" t="str">
        <f t="shared" si="19"/>
        <v/>
      </c>
    </row>
    <row r="250" spans="1:8" x14ac:dyDescent="0.2">
      <c r="A250" s="12" t="str">
        <f t="shared" si="20"/>
        <v/>
      </c>
      <c r="B250" s="21" t="str">
        <f t="shared" si="21"/>
        <v/>
      </c>
      <c r="C250" s="17" t="str">
        <f t="shared" si="18"/>
        <v/>
      </c>
      <c r="D250" s="18" t="str">
        <f t="shared" si="22"/>
        <v/>
      </c>
      <c r="E250" t="str">
        <f t="shared" si="23"/>
        <v/>
      </c>
      <c r="F250" s="23" t="str">
        <f ca="1">IF(A250="","",IF($B$8="Sí",interpolar_alamb(E250,OFFSET(Curvas_cupon_cero!$A$1,1,0,COUNT(Curvas_cupon_cero!$A:$A)-2,1),OFFSET(Curvas_cupon_cero!$A$1,1,MATCH($B$6,Curvas_cupon_cero!$1:$1,0)-1,COUNT(Curvas_cupon_cero!$A:$A)-2,1)),interpolar(E250,OFFSET(Curvas_cupon_cero!$A$1,1,0,COUNT(Curvas_cupon_cero!$A:$A)-2,1),OFFSET(Curvas_cupon_cero!$A$1,1,MATCH($B$6,Curvas_cupon_cero!$1:$1,0)-1,COUNT(Curvas_cupon_cero!$A:$A)-2,1))))</f>
        <v/>
      </c>
      <c r="G250" s="23" t="str">
        <f ca="1">IF(A250="","",IF($B$8="Sí",interpolar_alamb(E250,OFFSET(Curvas_cupon_cero!$A$1,1,0,COUNT(Curvas_cupon_cero!$A:$A)-2,1),OFFSET(Curvas_cupon_cero!$A$1,1,MATCH($B$7,Curvas_cupon_cero!$1:$1,0)-1,COUNT(Curvas_cupon_cero!$A:$A)-2,1)),interpolar(E250,OFFSET(Curvas_cupon_cero!$A$1,1,0,COUNT(Curvas_cupon_cero!$A:$A)-2,1),OFFSET(Curvas_cupon_cero!$A$1,1,MATCH($B$7,Curvas_cupon_cero!$1:$1,0)-1,COUNT(Curvas_cupon_cero!$A:$A)-2,1))))</f>
        <v/>
      </c>
      <c r="H250" s="19" t="str">
        <f t="shared" si="19"/>
        <v/>
      </c>
    </row>
    <row r="251" spans="1:8" x14ac:dyDescent="0.2">
      <c r="A251" s="12" t="str">
        <f t="shared" si="20"/>
        <v/>
      </c>
      <c r="B251" s="21" t="str">
        <f t="shared" si="21"/>
        <v/>
      </c>
      <c r="C251" s="17" t="str">
        <f t="shared" si="18"/>
        <v/>
      </c>
      <c r="D251" s="18" t="str">
        <f t="shared" si="22"/>
        <v/>
      </c>
      <c r="E251" t="str">
        <f t="shared" si="23"/>
        <v/>
      </c>
      <c r="F251" s="23" t="str">
        <f ca="1">IF(A251="","",IF($B$8="Sí",interpolar_alamb(E251,OFFSET(Curvas_cupon_cero!$A$1,1,0,COUNT(Curvas_cupon_cero!$A:$A)-2,1),OFFSET(Curvas_cupon_cero!$A$1,1,MATCH($B$6,Curvas_cupon_cero!$1:$1,0)-1,COUNT(Curvas_cupon_cero!$A:$A)-2,1)),interpolar(E251,OFFSET(Curvas_cupon_cero!$A$1,1,0,COUNT(Curvas_cupon_cero!$A:$A)-2,1),OFFSET(Curvas_cupon_cero!$A$1,1,MATCH($B$6,Curvas_cupon_cero!$1:$1,0)-1,COUNT(Curvas_cupon_cero!$A:$A)-2,1))))</f>
        <v/>
      </c>
      <c r="G251" s="23" t="str">
        <f ca="1">IF(A251="","",IF($B$8="Sí",interpolar_alamb(E251,OFFSET(Curvas_cupon_cero!$A$1,1,0,COUNT(Curvas_cupon_cero!$A:$A)-2,1),OFFSET(Curvas_cupon_cero!$A$1,1,MATCH($B$7,Curvas_cupon_cero!$1:$1,0)-1,COUNT(Curvas_cupon_cero!$A:$A)-2,1)),interpolar(E251,OFFSET(Curvas_cupon_cero!$A$1,1,0,COUNT(Curvas_cupon_cero!$A:$A)-2,1),OFFSET(Curvas_cupon_cero!$A$1,1,MATCH($B$7,Curvas_cupon_cero!$1:$1,0)-1,COUNT(Curvas_cupon_cero!$A:$A)-2,1))))</f>
        <v/>
      </c>
      <c r="H251" s="19" t="str">
        <f t="shared" si="19"/>
        <v/>
      </c>
    </row>
    <row r="252" spans="1:8" x14ac:dyDescent="0.2">
      <c r="A252" s="12" t="str">
        <f t="shared" si="20"/>
        <v/>
      </c>
      <c r="B252" s="21" t="str">
        <f t="shared" si="21"/>
        <v/>
      </c>
      <c r="C252" s="17" t="str">
        <f t="shared" si="18"/>
        <v/>
      </c>
      <c r="D252" s="18" t="str">
        <f t="shared" si="22"/>
        <v/>
      </c>
      <c r="E252" t="str">
        <f t="shared" si="23"/>
        <v/>
      </c>
      <c r="F252" s="23" t="str">
        <f ca="1">IF(A252="","",IF($B$8="Sí",interpolar_alamb(E252,OFFSET(Curvas_cupon_cero!$A$1,1,0,COUNT(Curvas_cupon_cero!$A:$A)-2,1),OFFSET(Curvas_cupon_cero!$A$1,1,MATCH($B$6,Curvas_cupon_cero!$1:$1,0)-1,COUNT(Curvas_cupon_cero!$A:$A)-2,1)),interpolar(E252,OFFSET(Curvas_cupon_cero!$A$1,1,0,COUNT(Curvas_cupon_cero!$A:$A)-2,1),OFFSET(Curvas_cupon_cero!$A$1,1,MATCH($B$6,Curvas_cupon_cero!$1:$1,0)-1,COUNT(Curvas_cupon_cero!$A:$A)-2,1))))</f>
        <v/>
      </c>
      <c r="G252" s="23" t="str">
        <f ca="1">IF(A252="","",IF($B$8="Sí",interpolar_alamb(E252,OFFSET(Curvas_cupon_cero!$A$1,1,0,COUNT(Curvas_cupon_cero!$A:$A)-2,1),OFFSET(Curvas_cupon_cero!$A$1,1,MATCH($B$7,Curvas_cupon_cero!$1:$1,0)-1,COUNT(Curvas_cupon_cero!$A:$A)-2,1)),interpolar(E252,OFFSET(Curvas_cupon_cero!$A$1,1,0,COUNT(Curvas_cupon_cero!$A:$A)-2,1),OFFSET(Curvas_cupon_cero!$A$1,1,MATCH($B$7,Curvas_cupon_cero!$1:$1,0)-1,COUNT(Curvas_cupon_cero!$A:$A)-2,1))))</f>
        <v/>
      </c>
      <c r="H252" s="19" t="str">
        <f t="shared" si="19"/>
        <v/>
      </c>
    </row>
    <row r="253" spans="1:8" x14ac:dyDescent="0.2">
      <c r="A253" s="12" t="str">
        <f t="shared" si="20"/>
        <v/>
      </c>
      <c r="B253" s="21" t="str">
        <f t="shared" si="21"/>
        <v/>
      </c>
      <c r="C253" s="17" t="str">
        <f t="shared" si="18"/>
        <v/>
      </c>
      <c r="D253" s="18" t="str">
        <f t="shared" si="22"/>
        <v/>
      </c>
      <c r="E253" t="str">
        <f t="shared" si="23"/>
        <v/>
      </c>
      <c r="F253" s="23" t="str">
        <f ca="1">IF(A253="","",IF($B$8="Sí",interpolar_alamb(E253,OFFSET(Curvas_cupon_cero!$A$1,1,0,COUNT(Curvas_cupon_cero!$A:$A)-2,1),OFFSET(Curvas_cupon_cero!$A$1,1,MATCH($B$6,Curvas_cupon_cero!$1:$1,0)-1,COUNT(Curvas_cupon_cero!$A:$A)-2,1)),interpolar(E253,OFFSET(Curvas_cupon_cero!$A$1,1,0,COUNT(Curvas_cupon_cero!$A:$A)-2,1),OFFSET(Curvas_cupon_cero!$A$1,1,MATCH($B$6,Curvas_cupon_cero!$1:$1,0)-1,COUNT(Curvas_cupon_cero!$A:$A)-2,1))))</f>
        <v/>
      </c>
      <c r="G253" s="23" t="str">
        <f ca="1">IF(A253="","",IF($B$8="Sí",interpolar_alamb(E253,OFFSET(Curvas_cupon_cero!$A$1,1,0,COUNT(Curvas_cupon_cero!$A:$A)-2,1),OFFSET(Curvas_cupon_cero!$A$1,1,MATCH($B$7,Curvas_cupon_cero!$1:$1,0)-1,COUNT(Curvas_cupon_cero!$A:$A)-2,1)),interpolar(E253,OFFSET(Curvas_cupon_cero!$A$1,1,0,COUNT(Curvas_cupon_cero!$A:$A)-2,1),OFFSET(Curvas_cupon_cero!$A$1,1,MATCH($B$7,Curvas_cupon_cero!$1:$1,0)-1,COUNT(Curvas_cupon_cero!$A:$A)-2,1))))</f>
        <v/>
      </c>
      <c r="H253" s="19" t="str">
        <f t="shared" si="19"/>
        <v/>
      </c>
    </row>
    <row r="254" spans="1:8" x14ac:dyDescent="0.2">
      <c r="A254" s="12" t="str">
        <f t="shared" si="20"/>
        <v/>
      </c>
      <c r="B254" s="21" t="str">
        <f t="shared" si="21"/>
        <v/>
      </c>
      <c r="C254" s="17" t="str">
        <f t="shared" si="18"/>
        <v/>
      </c>
      <c r="D254" s="18" t="str">
        <f t="shared" si="22"/>
        <v/>
      </c>
      <c r="E254" t="str">
        <f t="shared" si="23"/>
        <v/>
      </c>
      <c r="F254" s="23" t="str">
        <f ca="1">IF(A254="","",IF($B$8="Sí",interpolar_alamb(E254,OFFSET(Curvas_cupon_cero!$A$1,1,0,COUNT(Curvas_cupon_cero!$A:$A)-2,1),OFFSET(Curvas_cupon_cero!$A$1,1,MATCH($B$6,Curvas_cupon_cero!$1:$1,0)-1,COUNT(Curvas_cupon_cero!$A:$A)-2,1)),interpolar(E254,OFFSET(Curvas_cupon_cero!$A$1,1,0,COUNT(Curvas_cupon_cero!$A:$A)-2,1),OFFSET(Curvas_cupon_cero!$A$1,1,MATCH($B$6,Curvas_cupon_cero!$1:$1,0)-1,COUNT(Curvas_cupon_cero!$A:$A)-2,1))))</f>
        <v/>
      </c>
      <c r="G254" s="23" t="str">
        <f ca="1">IF(A254="","",IF($B$8="Sí",interpolar_alamb(E254,OFFSET(Curvas_cupon_cero!$A$1,1,0,COUNT(Curvas_cupon_cero!$A:$A)-2,1),OFFSET(Curvas_cupon_cero!$A$1,1,MATCH($B$7,Curvas_cupon_cero!$1:$1,0)-1,COUNT(Curvas_cupon_cero!$A:$A)-2,1)),interpolar(E254,OFFSET(Curvas_cupon_cero!$A$1,1,0,COUNT(Curvas_cupon_cero!$A:$A)-2,1),OFFSET(Curvas_cupon_cero!$A$1,1,MATCH($B$7,Curvas_cupon_cero!$1:$1,0)-1,COUNT(Curvas_cupon_cero!$A:$A)-2,1))))</f>
        <v/>
      </c>
      <c r="H254" s="19" t="str">
        <f t="shared" si="19"/>
        <v/>
      </c>
    </row>
    <row r="255" spans="1:8" x14ac:dyDescent="0.2">
      <c r="A255" s="12" t="str">
        <f t="shared" si="20"/>
        <v/>
      </c>
      <c r="B255" s="21" t="str">
        <f t="shared" si="21"/>
        <v/>
      </c>
      <c r="C255" s="17" t="str">
        <f t="shared" si="18"/>
        <v/>
      </c>
      <c r="D255" s="18" t="str">
        <f t="shared" si="22"/>
        <v/>
      </c>
      <c r="E255" t="str">
        <f t="shared" si="23"/>
        <v/>
      </c>
      <c r="F255" s="23" t="str">
        <f ca="1">IF(A255="","",IF($B$8="Sí",interpolar_alamb(E255,OFFSET(Curvas_cupon_cero!$A$1,1,0,COUNT(Curvas_cupon_cero!$A:$A)-2,1),OFFSET(Curvas_cupon_cero!$A$1,1,MATCH($B$6,Curvas_cupon_cero!$1:$1,0)-1,COUNT(Curvas_cupon_cero!$A:$A)-2,1)),interpolar(E255,OFFSET(Curvas_cupon_cero!$A$1,1,0,COUNT(Curvas_cupon_cero!$A:$A)-2,1),OFFSET(Curvas_cupon_cero!$A$1,1,MATCH($B$6,Curvas_cupon_cero!$1:$1,0)-1,COUNT(Curvas_cupon_cero!$A:$A)-2,1))))</f>
        <v/>
      </c>
      <c r="G255" s="23" t="str">
        <f ca="1">IF(A255="","",IF($B$8="Sí",interpolar_alamb(E255,OFFSET(Curvas_cupon_cero!$A$1,1,0,COUNT(Curvas_cupon_cero!$A:$A)-2,1),OFFSET(Curvas_cupon_cero!$A$1,1,MATCH($B$7,Curvas_cupon_cero!$1:$1,0)-1,COUNT(Curvas_cupon_cero!$A:$A)-2,1)),interpolar(E255,OFFSET(Curvas_cupon_cero!$A$1,1,0,COUNT(Curvas_cupon_cero!$A:$A)-2,1),OFFSET(Curvas_cupon_cero!$A$1,1,MATCH($B$7,Curvas_cupon_cero!$1:$1,0)-1,COUNT(Curvas_cupon_cero!$A:$A)-2,1))))</f>
        <v/>
      </c>
      <c r="H255" s="19" t="str">
        <f t="shared" si="19"/>
        <v/>
      </c>
    </row>
    <row r="256" spans="1:8" x14ac:dyDescent="0.2">
      <c r="A256" s="12" t="str">
        <f t="shared" si="20"/>
        <v/>
      </c>
      <c r="B256" s="21" t="str">
        <f t="shared" si="21"/>
        <v/>
      </c>
      <c r="C256" s="17" t="str">
        <f t="shared" si="18"/>
        <v/>
      </c>
      <c r="D256" s="18" t="str">
        <f t="shared" si="22"/>
        <v/>
      </c>
      <c r="E256" t="str">
        <f t="shared" si="23"/>
        <v/>
      </c>
      <c r="F256" s="23" t="str">
        <f ca="1">IF(A256="","",IF($B$8="Sí",interpolar_alamb(E256,OFFSET(Curvas_cupon_cero!$A$1,1,0,COUNT(Curvas_cupon_cero!$A:$A)-2,1),OFFSET(Curvas_cupon_cero!$A$1,1,MATCH($B$6,Curvas_cupon_cero!$1:$1,0)-1,COUNT(Curvas_cupon_cero!$A:$A)-2,1)),interpolar(E256,OFFSET(Curvas_cupon_cero!$A$1,1,0,COUNT(Curvas_cupon_cero!$A:$A)-2,1),OFFSET(Curvas_cupon_cero!$A$1,1,MATCH($B$6,Curvas_cupon_cero!$1:$1,0)-1,COUNT(Curvas_cupon_cero!$A:$A)-2,1))))</f>
        <v/>
      </c>
      <c r="G256" s="23" t="str">
        <f ca="1">IF(A256="","",IF($B$8="Sí",interpolar_alamb(E256,OFFSET(Curvas_cupon_cero!$A$1,1,0,COUNT(Curvas_cupon_cero!$A:$A)-2,1),OFFSET(Curvas_cupon_cero!$A$1,1,MATCH($B$7,Curvas_cupon_cero!$1:$1,0)-1,COUNT(Curvas_cupon_cero!$A:$A)-2,1)),interpolar(E256,OFFSET(Curvas_cupon_cero!$A$1,1,0,COUNT(Curvas_cupon_cero!$A:$A)-2,1),OFFSET(Curvas_cupon_cero!$A$1,1,MATCH($B$7,Curvas_cupon_cero!$1:$1,0)-1,COUNT(Curvas_cupon_cero!$A:$A)-2,1))))</f>
        <v/>
      </c>
      <c r="H256" s="19" t="str">
        <f t="shared" si="19"/>
        <v/>
      </c>
    </row>
    <row r="257" spans="1:8" x14ac:dyDescent="0.2">
      <c r="A257" s="12" t="str">
        <f t="shared" si="20"/>
        <v/>
      </c>
      <c r="B257" s="21" t="str">
        <f t="shared" si="21"/>
        <v/>
      </c>
      <c r="C257" s="17" t="str">
        <f t="shared" si="18"/>
        <v/>
      </c>
      <c r="D257" s="18" t="str">
        <f t="shared" si="22"/>
        <v/>
      </c>
      <c r="E257" t="str">
        <f t="shared" si="23"/>
        <v/>
      </c>
      <c r="F257" s="23" t="str">
        <f ca="1">IF(A257="","",IF($B$8="Sí",interpolar_alamb(E257,OFFSET(Curvas_cupon_cero!$A$1,1,0,COUNT(Curvas_cupon_cero!$A:$A)-2,1),OFFSET(Curvas_cupon_cero!$A$1,1,MATCH($B$6,Curvas_cupon_cero!$1:$1,0)-1,COUNT(Curvas_cupon_cero!$A:$A)-2,1)),interpolar(E257,OFFSET(Curvas_cupon_cero!$A$1,1,0,COUNT(Curvas_cupon_cero!$A:$A)-2,1),OFFSET(Curvas_cupon_cero!$A$1,1,MATCH($B$6,Curvas_cupon_cero!$1:$1,0)-1,COUNT(Curvas_cupon_cero!$A:$A)-2,1))))</f>
        <v/>
      </c>
      <c r="G257" s="23" t="str">
        <f ca="1">IF(A257="","",IF($B$8="Sí",interpolar_alamb(E257,OFFSET(Curvas_cupon_cero!$A$1,1,0,COUNT(Curvas_cupon_cero!$A:$A)-2,1),OFFSET(Curvas_cupon_cero!$A$1,1,MATCH($B$7,Curvas_cupon_cero!$1:$1,0)-1,COUNT(Curvas_cupon_cero!$A:$A)-2,1)),interpolar(E257,OFFSET(Curvas_cupon_cero!$A$1,1,0,COUNT(Curvas_cupon_cero!$A:$A)-2,1),OFFSET(Curvas_cupon_cero!$A$1,1,MATCH($B$7,Curvas_cupon_cero!$1:$1,0)-1,COUNT(Curvas_cupon_cero!$A:$A)-2,1))))</f>
        <v/>
      </c>
      <c r="H257" s="19" t="str">
        <f t="shared" si="19"/>
        <v/>
      </c>
    </row>
    <row r="258" spans="1:8" x14ac:dyDescent="0.2">
      <c r="A258" s="12" t="str">
        <f t="shared" si="20"/>
        <v/>
      </c>
      <c r="B258" s="21" t="str">
        <f t="shared" si="21"/>
        <v/>
      </c>
      <c r="C258" s="17" t="str">
        <f t="shared" si="18"/>
        <v/>
      </c>
      <c r="D258" s="18" t="str">
        <f t="shared" si="22"/>
        <v/>
      </c>
      <c r="E258" t="str">
        <f t="shared" si="23"/>
        <v/>
      </c>
      <c r="F258" s="23" t="str">
        <f ca="1">IF(A258="","",IF($B$8="Sí",interpolar_alamb(E258,OFFSET(Curvas_cupon_cero!$A$1,1,0,COUNT(Curvas_cupon_cero!$A:$A)-2,1),OFFSET(Curvas_cupon_cero!$A$1,1,MATCH($B$6,Curvas_cupon_cero!$1:$1,0)-1,COUNT(Curvas_cupon_cero!$A:$A)-2,1)),interpolar(E258,OFFSET(Curvas_cupon_cero!$A$1,1,0,COUNT(Curvas_cupon_cero!$A:$A)-2,1),OFFSET(Curvas_cupon_cero!$A$1,1,MATCH($B$6,Curvas_cupon_cero!$1:$1,0)-1,COUNT(Curvas_cupon_cero!$A:$A)-2,1))))</f>
        <v/>
      </c>
      <c r="G258" s="23" t="str">
        <f ca="1">IF(A258="","",IF($B$8="Sí",interpolar_alamb(E258,OFFSET(Curvas_cupon_cero!$A$1,1,0,COUNT(Curvas_cupon_cero!$A:$A)-2,1),OFFSET(Curvas_cupon_cero!$A$1,1,MATCH($B$7,Curvas_cupon_cero!$1:$1,0)-1,COUNT(Curvas_cupon_cero!$A:$A)-2,1)),interpolar(E258,OFFSET(Curvas_cupon_cero!$A$1,1,0,COUNT(Curvas_cupon_cero!$A:$A)-2,1),OFFSET(Curvas_cupon_cero!$A$1,1,MATCH($B$7,Curvas_cupon_cero!$1:$1,0)-1,COUNT(Curvas_cupon_cero!$A:$A)-2,1))))</f>
        <v/>
      </c>
      <c r="H258" s="19" t="str">
        <f t="shared" si="19"/>
        <v/>
      </c>
    </row>
    <row r="259" spans="1:8" x14ac:dyDescent="0.2">
      <c r="A259" s="12" t="str">
        <f t="shared" si="20"/>
        <v/>
      </c>
      <c r="B259" s="21" t="str">
        <f t="shared" si="21"/>
        <v/>
      </c>
      <c r="C259" s="17" t="str">
        <f t="shared" si="18"/>
        <v/>
      </c>
      <c r="D259" s="18" t="str">
        <f t="shared" si="22"/>
        <v/>
      </c>
      <c r="E259" t="str">
        <f t="shared" si="23"/>
        <v/>
      </c>
      <c r="F259" s="23" t="str">
        <f ca="1">IF(A259="","",IF($B$8="Sí",interpolar_alamb(E259,OFFSET(Curvas_cupon_cero!$A$1,1,0,COUNT(Curvas_cupon_cero!$A:$A)-2,1),OFFSET(Curvas_cupon_cero!$A$1,1,MATCH($B$6,Curvas_cupon_cero!$1:$1,0)-1,COUNT(Curvas_cupon_cero!$A:$A)-2,1)),interpolar(E259,OFFSET(Curvas_cupon_cero!$A$1,1,0,COUNT(Curvas_cupon_cero!$A:$A)-2,1),OFFSET(Curvas_cupon_cero!$A$1,1,MATCH($B$6,Curvas_cupon_cero!$1:$1,0)-1,COUNT(Curvas_cupon_cero!$A:$A)-2,1))))</f>
        <v/>
      </c>
      <c r="G259" s="23" t="str">
        <f ca="1">IF(A259="","",IF($B$8="Sí",interpolar_alamb(E259,OFFSET(Curvas_cupon_cero!$A$1,1,0,COUNT(Curvas_cupon_cero!$A:$A)-2,1),OFFSET(Curvas_cupon_cero!$A$1,1,MATCH($B$7,Curvas_cupon_cero!$1:$1,0)-1,COUNT(Curvas_cupon_cero!$A:$A)-2,1)),interpolar(E259,OFFSET(Curvas_cupon_cero!$A$1,1,0,COUNT(Curvas_cupon_cero!$A:$A)-2,1),OFFSET(Curvas_cupon_cero!$A$1,1,MATCH($B$7,Curvas_cupon_cero!$1:$1,0)-1,COUNT(Curvas_cupon_cero!$A:$A)-2,1))))</f>
        <v/>
      </c>
      <c r="H259" s="19" t="str">
        <f t="shared" si="19"/>
        <v/>
      </c>
    </row>
    <row r="260" spans="1:8" x14ac:dyDescent="0.2">
      <c r="A260" s="12" t="str">
        <f t="shared" si="20"/>
        <v/>
      </c>
      <c r="B260" s="21" t="str">
        <f t="shared" si="21"/>
        <v/>
      </c>
      <c r="C260" s="17" t="str">
        <f t="shared" si="18"/>
        <v/>
      </c>
      <c r="D260" s="18" t="str">
        <f t="shared" si="22"/>
        <v/>
      </c>
      <c r="E260" t="str">
        <f t="shared" si="23"/>
        <v/>
      </c>
      <c r="F260" s="23" t="str">
        <f ca="1">IF(A260="","",IF($B$8="Sí",interpolar_alamb(E260,OFFSET(Curvas_cupon_cero!$A$1,1,0,COUNT(Curvas_cupon_cero!$A:$A)-2,1),OFFSET(Curvas_cupon_cero!$A$1,1,MATCH($B$6,Curvas_cupon_cero!$1:$1,0)-1,COUNT(Curvas_cupon_cero!$A:$A)-2,1)),interpolar(E260,OFFSET(Curvas_cupon_cero!$A$1,1,0,COUNT(Curvas_cupon_cero!$A:$A)-2,1),OFFSET(Curvas_cupon_cero!$A$1,1,MATCH($B$6,Curvas_cupon_cero!$1:$1,0)-1,COUNT(Curvas_cupon_cero!$A:$A)-2,1))))</f>
        <v/>
      </c>
      <c r="G260" s="23" t="str">
        <f ca="1">IF(A260="","",IF($B$8="Sí",interpolar_alamb(E260,OFFSET(Curvas_cupon_cero!$A$1,1,0,COUNT(Curvas_cupon_cero!$A:$A)-2,1),OFFSET(Curvas_cupon_cero!$A$1,1,MATCH($B$7,Curvas_cupon_cero!$1:$1,0)-1,COUNT(Curvas_cupon_cero!$A:$A)-2,1)),interpolar(E260,OFFSET(Curvas_cupon_cero!$A$1,1,0,COUNT(Curvas_cupon_cero!$A:$A)-2,1),OFFSET(Curvas_cupon_cero!$A$1,1,MATCH($B$7,Curvas_cupon_cero!$1:$1,0)-1,COUNT(Curvas_cupon_cero!$A:$A)-2,1))))</f>
        <v/>
      </c>
      <c r="H260" s="19" t="str">
        <f t="shared" si="19"/>
        <v/>
      </c>
    </row>
    <row r="261" spans="1:8" x14ac:dyDescent="0.2">
      <c r="A261" s="12" t="str">
        <f t="shared" si="20"/>
        <v/>
      </c>
      <c r="B261" s="21" t="str">
        <f t="shared" si="21"/>
        <v/>
      </c>
      <c r="C261" s="17" t="str">
        <f t="shared" si="18"/>
        <v/>
      </c>
      <c r="D261" s="18" t="str">
        <f t="shared" si="22"/>
        <v/>
      </c>
      <c r="E261" t="str">
        <f t="shared" si="23"/>
        <v/>
      </c>
      <c r="F261" s="23" t="str">
        <f ca="1">IF(A261="","",IF($B$8="Sí",interpolar_alamb(E261,OFFSET(Curvas_cupon_cero!$A$1,1,0,COUNT(Curvas_cupon_cero!$A:$A)-2,1),OFFSET(Curvas_cupon_cero!$A$1,1,MATCH($B$6,Curvas_cupon_cero!$1:$1,0)-1,COUNT(Curvas_cupon_cero!$A:$A)-2,1)),interpolar(E261,OFFSET(Curvas_cupon_cero!$A$1,1,0,COUNT(Curvas_cupon_cero!$A:$A)-2,1),OFFSET(Curvas_cupon_cero!$A$1,1,MATCH($B$6,Curvas_cupon_cero!$1:$1,0)-1,COUNT(Curvas_cupon_cero!$A:$A)-2,1))))</f>
        <v/>
      </c>
      <c r="G261" s="23" t="str">
        <f ca="1">IF(A261="","",IF($B$8="Sí",interpolar_alamb(E261,OFFSET(Curvas_cupon_cero!$A$1,1,0,COUNT(Curvas_cupon_cero!$A:$A)-2,1),OFFSET(Curvas_cupon_cero!$A$1,1,MATCH($B$7,Curvas_cupon_cero!$1:$1,0)-1,COUNT(Curvas_cupon_cero!$A:$A)-2,1)),interpolar(E261,OFFSET(Curvas_cupon_cero!$A$1,1,0,COUNT(Curvas_cupon_cero!$A:$A)-2,1),OFFSET(Curvas_cupon_cero!$A$1,1,MATCH($B$7,Curvas_cupon_cero!$1:$1,0)-1,COUNT(Curvas_cupon_cero!$A:$A)-2,1))))</f>
        <v/>
      </c>
      <c r="H261" s="19" t="str">
        <f t="shared" si="19"/>
        <v/>
      </c>
    </row>
    <row r="262" spans="1:8" x14ac:dyDescent="0.2">
      <c r="A262" s="12" t="str">
        <f t="shared" si="20"/>
        <v/>
      </c>
      <c r="B262" s="21" t="str">
        <f t="shared" si="21"/>
        <v/>
      </c>
      <c r="C262" s="17" t="str">
        <f t="shared" si="18"/>
        <v/>
      </c>
      <c r="D262" s="18" t="str">
        <f t="shared" si="22"/>
        <v/>
      </c>
      <c r="E262" t="str">
        <f t="shared" si="23"/>
        <v/>
      </c>
      <c r="F262" s="23" t="str">
        <f ca="1">IF(A262="","",IF($B$8="Sí",interpolar_alamb(E262,OFFSET(Curvas_cupon_cero!$A$1,1,0,COUNT(Curvas_cupon_cero!$A:$A)-2,1),OFFSET(Curvas_cupon_cero!$A$1,1,MATCH($B$6,Curvas_cupon_cero!$1:$1,0)-1,COUNT(Curvas_cupon_cero!$A:$A)-2,1)),interpolar(E262,OFFSET(Curvas_cupon_cero!$A$1,1,0,COUNT(Curvas_cupon_cero!$A:$A)-2,1),OFFSET(Curvas_cupon_cero!$A$1,1,MATCH($B$6,Curvas_cupon_cero!$1:$1,0)-1,COUNT(Curvas_cupon_cero!$A:$A)-2,1))))</f>
        <v/>
      </c>
      <c r="G262" s="23" t="str">
        <f ca="1">IF(A262="","",IF($B$8="Sí",interpolar_alamb(E262,OFFSET(Curvas_cupon_cero!$A$1,1,0,COUNT(Curvas_cupon_cero!$A:$A)-2,1),OFFSET(Curvas_cupon_cero!$A$1,1,MATCH($B$7,Curvas_cupon_cero!$1:$1,0)-1,COUNT(Curvas_cupon_cero!$A:$A)-2,1)),interpolar(E262,OFFSET(Curvas_cupon_cero!$A$1,1,0,COUNT(Curvas_cupon_cero!$A:$A)-2,1),OFFSET(Curvas_cupon_cero!$A$1,1,MATCH($B$7,Curvas_cupon_cero!$1:$1,0)-1,COUNT(Curvas_cupon_cero!$A:$A)-2,1))))</f>
        <v/>
      </c>
      <c r="H262" s="19" t="str">
        <f t="shared" si="19"/>
        <v/>
      </c>
    </row>
    <row r="263" spans="1:8" x14ac:dyDescent="0.2">
      <c r="A263" s="12" t="str">
        <f t="shared" si="20"/>
        <v/>
      </c>
      <c r="B263" s="21" t="str">
        <f t="shared" si="21"/>
        <v/>
      </c>
      <c r="C263" s="17" t="str">
        <f t="shared" si="18"/>
        <v/>
      </c>
      <c r="D263" s="18" t="str">
        <f t="shared" si="22"/>
        <v/>
      </c>
      <c r="E263" t="str">
        <f t="shared" si="23"/>
        <v/>
      </c>
      <c r="F263" s="23" t="str">
        <f ca="1">IF(A263="","",IF($B$8="Sí",interpolar_alamb(E263,OFFSET(Curvas_cupon_cero!$A$1,1,0,COUNT(Curvas_cupon_cero!$A:$A)-2,1),OFFSET(Curvas_cupon_cero!$A$1,1,MATCH($B$6,Curvas_cupon_cero!$1:$1,0)-1,COUNT(Curvas_cupon_cero!$A:$A)-2,1)),interpolar(E263,OFFSET(Curvas_cupon_cero!$A$1,1,0,COUNT(Curvas_cupon_cero!$A:$A)-2,1),OFFSET(Curvas_cupon_cero!$A$1,1,MATCH($B$6,Curvas_cupon_cero!$1:$1,0)-1,COUNT(Curvas_cupon_cero!$A:$A)-2,1))))</f>
        <v/>
      </c>
      <c r="G263" s="23" t="str">
        <f ca="1">IF(A263="","",IF($B$8="Sí",interpolar_alamb(E263,OFFSET(Curvas_cupon_cero!$A$1,1,0,COUNT(Curvas_cupon_cero!$A:$A)-2,1),OFFSET(Curvas_cupon_cero!$A$1,1,MATCH($B$7,Curvas_cupon_cero!$1:$1,0)-1,COUNT(Curvas_cupon_cero!$A:$A)-2,1)),interpolar(E263,OFFSET(Curvas_cupon_cero!$A$1,1,0,COUNT(Curvas_cupon_cero!$A:$A)-2,1),OFFSET(Curvas_cupon_cero!$A$1,1,MATCH($B$7,Curvas_cupon_cero!$1:$1,0)-1,COUNT(Curvas_cupon_cero!$A:$A)-2,1))))</f>
        <v/>
      </c>
      <c r="H263" s="19" t="str">
        <f t="shared" si="19"/>
        <v/>
      </c>
    </row>
    <row r="264" spans="1:8" x14ac:dyDescent="0.2">
      <c r="A264" s="12" t="str">
        <f t="shared" si="20"/>
        <v/>
      </c>
      <c r="B264" s="21" t="str">
        <f t="shared" si="21"/>
        <v/>
      </c>
      <c r="C264" s="17" t="str">
        <f t="shared" si="18"/>
        <v/>
      </c>
      <c r="D264" s="18" t="str">
        <f t="shared" si="22"/>
        <v/>
      </c>
      <c r="E264" t="str">
        <f t="shared" si="23"/>
        <v/>
      </c>
      <c r="F264" s="23" t="str">
        <f ca="1">IF(A264="","",IF($B$8="Sí",interpolar_alamb(E264,OFFSET(Curvas_cupon_cero!$A$1,1,0,COUNT(Curvas_cupon_cero!$A:$A)-2,1),OFFSET(Curvas_cupon_cero!$A$1,1,MATCH($B$6,Curvas_cupon_cero!$1:$1,0)-1,COUNT(Curvas_cupon_cero!$A:$A)-2,1)),interpolar(E264,OFFSET(Curvas_cupon_cero!$A$1,1,0,COUNT(Curvas_cupon_cero!$A:$A)-2,1),OFFSET(Curvas_cupon_cero!$A$1,1,MATCH($B$6,Curvas_cupon_cero!$1:$1,0)-1,COUNT(Curvas_cupon_cero!$A:$A)-2,1))))</f>
        <v/>
      </c>
      <c r="G264" s="23" t="str">
        <f ca="1">IF(A264="","",IF($B$8="Sí",interpolar_alamb(E264,OFFSET(Curvas_cupon_cero!$A$1,1,0,COUNT(Curvas_cupon_cero!$A:$A)-2,1),OFFSET(Curvas_cupon_cero!$A$1,1,MATCH($B$7,Curvas_cupon_cero!$1:$1,0)-1,COUNT(Curvas_cupon_cero!$A:$A)-2,1)),interpolar(E264,OFFSET(Curvas_cupon_cero!$A$1,1,0,COUNT(Curvas_cupon_cero!$A:$A)-2,1),OFFSET(Curvas_cupon_cero!$A$1,1,MATCH($B$7,Curvas_cupon_cero!$1:$1,0)-1,COUNT(Curvas_cupon_cero!$A:$A)-2,1))))</f>
        <v/>
      </c>
      <c r="H264" s="19" t="str">
        <f t="shared" si="19"/>
        <v/>
      </c>
    </row>
    <row r="265" spans="1:8" x14ac:dyDescent="0.2">
      <c r="A265" s="12" t="str">
        <f t="shared" si="20"/>
        <v/>
      </c>
      <c r="B265" s="21" t="str">
        <f t="shared" si="21"/>
        <v/>
      </c>
      <c r="C265" s="17" t="str">
        <f t="shared" si="18"/>
        <v/>
      </c>
      <c r="D265" s="18" t="str">
        <f t="shared" si="22"/>
        <v/>
      </c>
      <c r="E265" t="str">
        <f t="shared" si="23"/>
        <v/>
      </c>
      <c r="F265" s="23" t="str">
        <f ca="1">IF(A265="","",IF($B$8="Sí",interpolar_alamb(E265,OFFSET(Curvas_cupon_cero!$A$1,1,0,COUNT(Curvas_cupon_cero!$A:$A)-2,1),OFFSET(Curvas_cupon_cero!$A$1,1,MATCH($B$6,Curvas_cupon_cero!$1:$1,0)-1,COUNT(Curvas_cupon_cero!$A:$A)-2,1)),interpolar(E265,OFFSET(Curvas_cupon_cero!$A$1,1,0,COUNT(Curvas_cupon_cero!$A:$A)-2,1),OFFSET(Curvas_cupon_cero!$A$1,1,MATCH($B$6,Curvas_cupon_cero!$1:$1,0)-1,COUNT(Curvas_cupon_cero!$A:$A)-2,1))))</f>
        <v/>
      </c>
      <c r="G265" s="23" t="str">
        <f ca="1">IF(A265="","",IF($B$8="Sí",interpolar_alamb(E265,OFFSET(Curvas_cupon_cero!$A$1,1,0,COUNT(Curvas_cupon_cero!$A:$A)-2,1),OFFSET(Curvas_cupon_cero!$A$1,1,MATCH($B$7,Curvas_cupon_cero!$1:$1,0)-1,COUNT(Curvas_cupon_cero!$A:$A)-2,1)),interpolar(E265,OFFSET(Curvas_cupon_cero!$A$1,1,0,COUNT(Curvas_cupon_cero!$A:$A)-2,1),OFFSET(Curvas_cupon_cero!$A$1,1,MATCH($B$7,Curvas_cupon_cero!$1:$1,0)-1,COUNT(Curvas_cupon_cero!$A:$A)-2,1))))</f>
        <v/>
      </c>
      <c r="H265" s="19" t="str">
        <f t="shared" si="19"/>
        <v/>
      </c>
    </row>
    <row r="266" spans="1:8" x14ac:dyDescent="0.2">
      <c r="A266" s="12" t="str">
        <f t="shared" si="20"/>
        <v/>
      </c>
      <c r="B266" s="21" t="str">
        <f t="shared" si="21"/>
        <v/>
      </c>
      <c r="C266" s="17" t="str">
        <f t="shared" si="18"/>
        <v/>
      </c>
      <c r="D266" s="18" t="str">
        <f t="shared" si="22"/>
        <v/>
      </c>
      <c r="E266" t="str">
        <f t="shared" si="23"/>
        <v/>
      </c>
      <c r="F266" s="23" t="str">
        <f ca="1">IF(A266="","",IF($B$8="Sí",interpolar_alamb(E266,OFFSET(Curvas_cupon_cero!$A$1,1,0,COUNT(Curvas_cupon_cero!$A:$A)-2,1),OFFSET(Curvas_cupon_cero!$A$1,1,MATCH($B$6,Curvas_cupon_cero!$1:$1,0)-1,COUNT(Curvas_cupon_cero!$A:$A)-2,1)),interpolar(E266,OFFSET(Curvas_cupon_cero!$A$1,1,0,COUNT(Curvas_cupon_cero!$A:$A)-2,1),OFFSET(Curvas_cupon_cero!$A$1,1,MATCH($B$6,Curvas_cupon_cero!$1:$1,0)-1,COUNT(Curvas_cupon_cero!$A:$A)-2,1))))</f>
        <v/>
      </c>
      <c r="G266" s="23" t="str">
        <f ca="1">IF(A266="","",IF($B$8="Sí",interpolar_alamb(E266,OFFSET(Curvas_cupon_cero!$A$1,1,0,COUNT(Curvas_cupon_cero!$A:$A)-2,1),OFFSET(Curvas_cupon_cero!$A$1,1,MATCH($B$7,Curvas_cupon_cero!$1:$1,0)-1,COUNT(Curvas_cupon_cero!$A:$A)-2,1)),interpolar(E266,OFFSET(Curvas_cupon_cero!$A$1,1,0,COUNT(Curvas_cupon_cero!$A:$A)-2,1),OFFSET(Curvas_cupon_cero!$A$1,1,MATCH($B$7,Curvas_cupon_cero!$1:$1,0)-1,COUNT(Curvas_cupon_cero!$A:$A)-2,1))))</f>
        <v/>
      </c>
      <c r="H266" s="19" t="str">
        <f t="shared" si="19"/>
        <v/>
      </c>
    </row>
    <row r="267" spans="1:8" x14ac:dyDescent="0.2">
      <c r="A267" s="12" t="str">
        <f t="shared" si="20"/>
        <v/>
      </c>
      <c r="B267" s="21" t="str">
        <f t="shared" si="21"/>
        <v/>
      </c>
      <c r="C267" s="17" t="str">
        <f t="shared" si="18"/>
        <v/>
      </c>
      <c r="D267" s="18" t="str">
        <f t="shared" si="22"/>
        <v/>
      </c>
      <c r="E267" t="str">
        <f t="shared" si="23"/>
        <v/>
      </c>
      <c r="F267" s="23" t="str">
        <f ca="1">IF(A267="","",IF($B$8="Sí",interpolar_alamb(E267,OFFSET(Curvas_cupon_cero!$A$1,1,0,COUNT(Curvas_cupon_cero!$A:$A)-2,1),OFFSET(Curvas_cupon_cero!$A$1,1,MATCH($B$6,Curvas_cupon_cero!$1:$1,0)-1,COUNT(Curvas_cupon_cero!$A:$A)-2,1)),interpolar(E267,OFFSET(Curvas_cupon_cero!$A$1,1,0,COUNT(Curvas_cupon_cero!$A:$A)-2,1),OFFSET(Curvas_cupon_cero!$A$1,1,MATCH($B$6,Curvas_cupon_cero!$1:$1,0)-1,COUNT(Curvas_cupon_cero!$A:$A)-2,1))))</f>
        <v/>
      </c>
      <c r="G267" s="23" t="str">
        <f ca="1">IF(A267="","",IF($B$8="Sí",interpolar_alamb(E267,OFFSET(Curvas_cupon_cero!$A$1,1,0,COUNT(Curvas_cupon_cero!$A:$A)-2,1),OFFSET(Curvas_cupon_cero!$A$1,1,MATCH($B$7,Curvas_cupon_cero!$1:$1,0)-1,COUNT(Curvas_cupon_cero!$A:$A)-2,1)),interpolar(E267,OFFSET(Curvas_cupon_cero!$A$1,1,0,COUNT(Curvas_cupon_cero!$A:$A)-2,1),OFFSET(Curvas_cupon_cero!$A$1,1,MATCH($B$7,Curvas_cupon_cero!$1:$1,0)-1,COUNT(Curvas_cupon_cero!$A:$A)-2,1))))</f>
        <v/>
      </c>
      <c r="H267" s="19" t="str">
        <f t="shared" si="19"/>
        <v/>
      </c>
    </row>
    <row r="268" spans="1:8" x14ac:dyDescent="0.2">
      <c r="A268" s="12" t="str">
        <f t="shared" si="20"/>
        <v/>
      </c>
      <c r="B268" s="21" t="str">
        <f t="shared" si="21"/>
        <v/>
      </c>
      <c r="C268" s="17" t="str">
        <f t="shared" si="18"/>
        <v/>
      </c>
      <c r="D268" s="18" t="str">
        <f t="shared" si="22"/>
        <v/>
      </c>
      <c r="E268" t="str">
        <f t="shared" si="23"/>
        <v/>
      </c>
      <c r="F268" s="23" t="str">
        <f ca="1">IF(A268="","",IF($B$8="Sí",interpolar_alamb(E268,OFFSET(Curvas_cupon_cero!$A$1,1,0,COUNT(Curvas_cupon_cero!$A:$A)-2,1),OFFSET(Curvas_cupon_cero!$A$1,1,MATCH($B$6,Curvas_cupon_cero!$1:$1,0)-1,COUNT(Curvas_cupon_cero!$A:$A)-2,1)),interpolar(E268,OFFSET(Curvas_cupon_cero!$A$1,1,0,COUNT(Curvas_cupon_cero!$A:$A)-2,1),OFFSET(Curvas_cupon_cero!$A$1,1,MATCH($B$6,Curvas_cupon_cero!$1:$1,0)-1,COUNT(Curvas_cupon_cero!$A:$A)-2,1))))</f>
        <v/>
      </c>
      <c r="G268" s="23" t="str">
        <f ca="1">IF(A268="","",IF($B$8="Sí",interpolar_alamb(E268,OFFSET(Curvas_cupon_cero!$A$1,1,0,COUNT(Curvas_cupon_cero!$A:$A)-2,1),OFFSET(Curvas_cupon_cero!$A$1,1,MATCH($B$7,Curvas_cupon_cero!$1:$1,0)-1,COUNT(Curvas_cupon_cero!$A:$A)-2,1)),interpolar(E268,OFFSET(Curvas_cupon_cero!$A$1,1,0,COUNT(Curvas_cupon_cero!$A:$A)-2,1),OFFSET(Curvas_cupon_cero!$A$1,1,MATCH($B$7,Curvas_cupon_cero!$1:$1,0)-1,COUNT(Curvas_cupon_cero!$A:$A)-2,1))))</f>
        <v/>
      </c>
      <c r="H268" s="19" t="str">
        <f t="shared" si="19"/>
        <v/>
      </c>
    </row>
    <row r="269" spans="1:8" x14ac:dyDescent="0.2">
      <c r="A269" s="12" t="str">
        <f t="shared" si="20"/>
        <v/>
      </c>
      <c r="B269" s="21" t="str">
        <f t="shared" si="21"/>
        <v/>
      </c>
      <c r="C269" s="17" t="str">
        <f t="shared" si="18"/>
        <v/>
      </c>
      <c r="D269" s="18" t="str">
        <f t="shared" si="22"/>
        <v/>
      </c>
      <c r="E269" t="str">
        <f t="shared" si="23"/>
        <v/>
      </c>
      <c r="F269" s="23" t="str">
        <f ca="1">IF(A269="","",IF($B$8="Sí",interpolar_alamb(E269,OFFSET(Curvas_cupon_cero!$A$1,1,0,COUNT(Curvas_cupon_cero!$A:$A)-2,1),OFFSET(Curvas_cupon_cero!$A$1,1,MATCH($B$6,Curvas_cupon_cero!$1:$1,0)-1,COUNT(Curvas_cupon_cero!$A:$A)-2,1)),interpolar(E269,OFFSET(Curvas_cupon_cero!$A$1,1,0,COUNT(Curvas_cupon_cero!$A:$A)-2,1),OFFSET(Curvas_cupon_cero!$A$1,1,MATCH($B$6,Curvas_cupon_cero!$1:$1,0)-1,COUNT(Curvas_cupon_cero!$A:$A)-2,1))))</f>
        <v/>
      </c>
      <c r="G269" s="23" t="str">
        <f ca="1">IF(A269="","",IF($B$8="Sí",interpolar_alamb(E269,OFFSET(Curvas_cupon_cero!$A$1,1,0,COUNT(Curvas_cupon_cero!$A:$A)-2,1),OFFSET(Curvas_cupon_cero!$A$1,1,MATCH($B$7,Curvas_cupon_cero!$1:$1,0)-1,COUNT(Curvas_cupon_cero!$A:$A)-2,1)),interpolar(E269,OFFSET(Curvas_cupon_cero!$A$1,1,0,COUNT(Curvas_cupon_cero!$A:$A)-2,1),OFFSET(Curvas_cupon_cero!$A$1,1,MATCH($B$7,Curvas_cupon_cero!$1:$1,0)-1,COUNT(Curvas_cupon_cero!$A:$A)-2,1))))</f>
        <v/>
      </c>
      <c r="H269" s="19" t="str">
        <f t="shared" si="19"/>
        <v/>
      </c>
    </row>
    <row r="270" spans="1:8" x14ac:dyDescent="0.2">
      <c r="A270" s="12" t="str">
        <f t="shared" si="20"/>
        <v/>
      </c>
      <c r="B270" s="21" t="str">
        <f t="shared" si="21"/>
        <v/>
      </c>
      <c r="C270" s="17" t="str">
        <f t="shared" si="18"/>
        <v/>
      </c>
      <c r="D270" s="18" t="str">
        <f t="shared" si="22"/>
        <v/>
      </c>
      <c r="E270" t="str">
        <f t="shared" si="23"/>
        <v/>
      </c>
      <c r="F270" s="23" t="str">
        <f ca="1">IF(A270="","",IF($B$8="Sí",interpolar_alamb(E270,OFFSET(Curvas_cupon_cero!$A$1,1,0,COUNT(Curvas_cupon_cero!$A:$A)-2,1),OFFSET(Curvas_cupon_cero!$A$1,1,MATCH($B$6,Curvas_cupon_cero!$1:$1,0)-1,COUNT(Curvas_cupon_cero!$A:$A)-2,1)),interpolar(E270,OFFSET(Curvas_cupon_cero!$A$1,1,0,COUNT(Curvas_cupon_cero!$A:$A)-2,1),OFFSET(Curvas_cupon_cero!$A$1,1,MATCH($B$6,Curvas_cupon_cero!$1:$1,0)-1,COUNT(Curvas_cupon_cero!$A:$A)-2,1))))</f>
        <v/>
      </c>
      <c r="G270" s="23" t="str">
        <f ca="1">IF(A270="","",IF($B$8="Sí",interpolar_alamb(E270,OFFSET(Curvas_cupon_cero!$A$1,1,0,COUNT(Curvas_cupon_cero!$A:$A)-2,1),OFFSET(Curvas_cupon_cero!$A$1,1,MATCH($B$7,Curvas_cupon_cero!$1:$1,0)-1,COUNT(Curvas_cupon_cero!$A:$A)-2,1)),interpolar(E270,OFFSET(Curvas_cupon_cero!$A$1,1,0,COUNT(Curvas_cupon_cero!$A:$A)-2,1),OFFSET(Curvas_cupon_cero!$A$1,1,MATCH($B$7,Curvas_cupon_cero!$1:$1,0)-1,COUNT(Curvas_cupon_cero!$A:$A)-2,1))))</f>
        <v/>
      </c>
      <c r="H270" s="19" t="str">
        <f t="shared" si="19"/>
        <v/>
      </c>
    </row>
    <row r="271" spans="1:8" x14ac:dyDescent="0.2">
      <c r="A271" s="12" t="str">
        <f t="shared" si="20"/>
        <v/>
      </c>
      <c r="B271" s="21" t="str">
        <f t="shared" si="21"/>
        <v/>
      </c>
      <c r="C271" s="17" t="str">
        <f t="shared" si="18"/>
        <v/>
      </c>
      <c r="D271" s="18" t="str">
        <f t="shared" si="22"/>
        <v/>
      </c>
      <c r="E271" t="str">
        <f t="shared" si="23"/>
        <v/>
      </c>
      <c r="F271" s="23" t="str">
        <f ca="1">IF(A271="","",IF($B$8="Sí",interpolar_alamb(E271,OFFSET(Curvas_cupon_cero!$A$1,1,0,COUNT(Curvas_cupon_cero!$A:$A)-2,1),OFFSET(Curvas_cupon_cero!$A$1,1,MATCH($B$6,Curvas_cupon_cero!$1:$1,0)-1,COUNT(Curvas_cupon_cero!$A:$A)-2,1)),interpolar(E271,OFFSET(Curvas_cupon_cero!$A$1,1,0,COUNT(Curvas_cupon_cero!$A:$A)-2,1),OFFSET(Curvas_cupon_cero!$A$1,1,MATCH($B$6,Curvas_cupon_cero!$1:$1,0)-1,COUNT(Curvas_cupon_cero!$A:$A)-2,1))))</f>
        <v/>
      </c>
      <c r="G271" s="23" t="str">
        <f ca="1">IF(A271="","",IF($B$8="Sí",interpolar_alamb(E271,OFFSET(Curvas_cupon_cero!$A$1,1,0,COUNT(Curvas_cupon_cero!$A:$A)-2,1),OFFSET(Curvas_cupon_cero!$A$1,1,MATCH($B$7,Curvas_cupon_cero!$1:$1,0)-1,COUNT(Curvas_cupon_cero!$A:$A)-2,1)),interpolar(E271,OFFSET(Curvas_cupon_cero!$A$1,1,0,COUNT(Curvas_cupon_cero!$A:$A)-2,1),OFFSET(Curvas_cupon_cero!$A$1,1,MATCH($B$7,Curvas_cupon_cero!$1:$1,0)-1,COUNT(Curvas_cupon_cero!$A:$A)-2,1))))</f>
        <v/>
      </c>
      <c r="H271" s="19" t="str">
        <f t="shared" si="19"/>
        <v/>
      </c>
    </row>
    <row r="272" spans="1:8" x14ac:dyDescent="0.2">
      <c r="A272" s="12" t="str">
        <f t="shared" si="20"/>
        <v/>
      </c>
      <c r="B272" s="21" t="str">
        <f t="shared" si="21"/>
        <v/>
      </c>
      <c r="C272" s="17" t="str">
        <f t="shared" ref="C272:C335" si="24">IF(A272="","",IF(A272=$B$4,$B$1*$B$2+$B$1*$B$5/360*$B$2*B272, $B$1*$B$5/360*$B$2*B272))</f>
        <v/>
      </c>
      <c r="D272" s="18" t="str">
        <f t="shared" si="22"/>
        <v/>
      </c>
      <c r="E272" t="str">
        <f t="shared" si="23"/>
        <v/>
      </c>
      <c r="F272" s="23" t="str">
        <f ca="1">IF(A272="","",IF($B$8="Sí",interpolar_alamb(E272,OFFSET(Curvas_cupon_cero!$A$1,1,0,COUNT(Curvas_cupon_cero!$A:$A)-2,1),OFFSET(Curvas_cupon_cero!$A$1,1,MATCH($B$6,Curvas_cupon_cero!$1:$1,0)-1,COUNT(Curvas_cupon_cero!$A:$A)-2,1)),interpolar(E272,OFFSET(Curvas_cupon_cero!$A$1,1,0,COUNT(Curvas_cupon_cero!$A:$A)-2,1),OFFSET(Curvas_cupon_cero!$A$1,1,MATCH($B$6,Curvas_cupon_cero!$1:$1,0)-1,COUNT(Curvas_cupon_cero!$A:$A)-2,1))))</f>
        <v/>
      </c>
      <c r="G272" s="23" t="str">
        <f ca="1">IF(A272="","",IF($B$8="Sí",interpolar_alamb(E272,OFFSET(Curvas_cupon_cero!$A$1,1,0,COUNT(Curvas_cupon_cero!$A:$A)-2,1),OFFSET(Curvas_cupon_cero!$A$1,1,MATCH($B$7,Curvas_cupon_cero!$1:$1,0)-1,COUNT(Curvas_cupon_cero!$A:$A)-2,1)),interpolar(E272,OFFSET(Curvas_cupon_cero!$A$1,1,0,COUNT(Curvas_cupon_cero!$A:$A)-2,1),OFFSET(Curvas_cupon_cero!$A$1,1,MATCH($B$7,Curvas_cupon_cero!$1:$1,0)-1,COUNT(Curvas_cupon_cero!$A:$A)-2,1))))</f>
        <v/>
      </c>
      <c r="H272" s="19" t="str">
        <f t="shared" ref="H272:H335" si="25">IF(A272="","",C272/(1+(F272+G272)*E272/360))</f>
        <v/>
      </c>
    </row>
    <row r="273" spans="1:8" x14ac:dyDescent="0.2">
      <c r="A273" s="12" t="str">
        <f t="shared" ref="A273:A336" si="26">IF(A272="","",IF((A272+$B$5)&gt;$B$4,"",(A272+$B$5)))</f>
        <v/>
      </c>
      <c r="B273" s="21" t="str">
        <f t="shared" ref="B273:B336" si="27">IF(A273="","",((1+$B$9/360)^$B$5-1)*360/$B$5)</f>
        <v/>
      </c>
      <c r="C273" s="17" t="str">
        <f t="shared" si="24"/>
        <v/>
      </c>
      <c r="D273" s="18" t="str">
        <f t="shared" ref="D273:D336" si="28">IF(A273="","",$B$5)</f>
        <v/>
      </c>
      <c r="E273" t="str">
        <f t="shared" ref="E273:E336" si="29">IF(A273="","",E272+D273)</f>
        <v/>
      </c>
      <c r="F273" s="23" t="str">
        <f ca="1">IF(A273="","",IF($B$8="Sí",interpolar_alamb(E273,OFFSET(Curvas_cupon_cero!$A$1,1,0,COUNT(Curvas_cupon_cero!$A:$A)-2,1),OFFSET(Curvas_cupon_cero!$A$1,1,MATCH($B$6,Curvas_cupon_cero!$1:$1,0)-1,COUNT(Curvas_cupon_cero!$A:$A)-2,1)),interpolar(E273,OFFSET(Curvas_cupon_cero!$A$1,1,0,COUNT(Curvas_cupon_cero!$A:$A)-2,1),OFFSET(Curvas_cupon_cero!$A$1,1,MATCH($B$6,Curvas_cupon_cero!$1:$1,0)-1,COUNT(Curvas_cupon_cero!$A:$A)-2,1))))</f>
        <v/>
      </c>
      <c r="G273" s="23" t="str">
        <f ca="1">IF(A273="","",IF($B$8="Sí",interpolar_alamb(E273,OFFSET(Curvas_cupon_cero!$A$1,1,0,COUNT(Curvas_cupon_cero!$A:$A)-2,1),OFFSET(Curvas_cupon_cero!$A$1,1,MATCH($B$7,Curvas_cupon_cero!$1:$1,0)-1,COUNT(Curvas_cupon_cero!$A:$A)-2,1)),interpolar(E273,OFFSET(Curvas_cupon_cero!$A$1,1,0,COUNT(Curvas_cupon_cero!$A:$A)-2,1),OFFSET(Curvas_cupon_cero!$A$1,1,MATCH($B$7,Curvas_cupon_cero!$1:$1,0)-1,COUNT(Curvas_cupon_cero!$A:$A)-2,1))))</f>
        <v/>
      </c>
      <c r="H273" s="19" t="str">
        <f t="shared" si="25"/>
        <v/>
      </c>
    </row>
    <row r="274" spans="1:8" x14ac:dyDescent="0.2">
      <c r="A274" s="12" t="str">
        <f t="shared" si="26"/>
        <v/>
      </c>
      <c r="B274" s="21" t="str">
        <f t="shared" si="27"/>
        <v/>
      </c>
      <c r="C274" s="17" t="str">
        <f t="shared" si="24"/>
        <v/>
      </c>
      <c r="D274" s="18" t="str">
        <f t="shared" si="28"/>
        <v/>
      </c>
      <c r="E274" t="str">
        <f t="shared" si="29"/>
        <v/>
      </c>
      <c r="F274" s="23" t="str">
        <f ca="1">IF(A274="","",IF($B$8="Sí",interpolar_alamb(E274,OFFSET(Curvas_cupon_cero!$A$1,1,0,COUNT(Curvas_cupon_cero!$A:$A)-2,1),OFFSET(Curvas_cupon_cero!$A$1,1,MATCH($B$6,Curvas_cupon_cero!$1:$1,0)-1,COUNT(Curvas_cupon_cero!$A:$A)-2,1)),interpolar(E274,OFFSET(Curvas_cupon_cero!$A$1,1,0,COUNT(Curvas_cupon_cero!$A:$A)-2,1),OFFSET(Curvas_cupon_cero!$A$1,1,MATCH($B$6,Curvas_cupon_cero!$1:$1,0)-1,COUNT(Curvas_cupon_cero!$A:$A)-2,1))))</f>
        <v/>
      </c>
      <c r="G274" s="23" t="str">
        <f ca="1">IF(A274="","",IF($B$8="Sí",interpolar_alamb(E274,OFFSET(Curvas_cupon_cero!$A$1,1,0,COUNT(Curvas_cupon_cero!$A:$A)-2,1),OFFSET(Curvas_cupon_cero!$A$1,1,MATCH($B$7,Curvas_cupon_cero!$1:$1,0)-1,COUNT(Curvas_cupon_cero!$A:$A)-2,1)),interpolar(E274,OFFSET(Curvas_cupon_cero!$A$1,1,0,COUNT(Curvas_cupon_cero!$A:$A)-2,1),OFFSET(Curvas_cupon_cero!$A$1,1,MATCH($B$7,Curvas_cupon_cero!$1:$1,0)-1,COUNT(Curvas_cupon_cero!$A:$A)-2,1))))</f>
        <v/>
      </c>
      <c r="H274" s="19" t="str">
        <f t="shared" si="25"/>
        <v/>
      </c>
    </row>
    <row r="275" spans="1:8" x14ac:dyDescent="0.2">
      <c r="A275" s="12" t="str">
        <f t="shared" si="26"/>
        <v/>
      </c>
      <c r="B275" s="21" t="str">
        <f t="shared" si="27"/>
        <v/>
      </c>
      <c r="C275" s="17" t="str">
        <f t="shared" si="24"/>
        <v/>
      </c>
      <c r="D275" s="18" t="str">
        <f t="shared" si="28"/>
        <v/>
      </c>
      <c r="E275" t="str">
        <f t="shared" si="29"/>
        <v/>
      </c>
      <c r="F275" s="23" t="str">
        <f ca="1">IF(A275="","",IF($B$8="Sí",interpolar_alamb(E275,OFFSET(Curvas_cupon_cero!$A$1,1,0,COUNT(Curvas_cupon_cero!$A:$A)-2,1),OFFSET(Curvas_cupon_cero!$A$1,1,MATCH($B$6,Curvas_cupon_cero!$1:$1,0)-1,COUNT(Curvas_cupon_cero!$A:$A)-2,1)),interpolar(E275,OFFSET(Curvas_cupon_cero!$A$1,1,0,COUNT(Curvas_cupon_cero!$A:$A)-2,1),OFFSET(Curvas_cupon_cero!$A$1,1,MATCH($B$6,Curvas_cupon_cero!$1:$1,0)-1,COUNT(Curvas_cupon_cero!$A:$A)-2,1))))</f>
        <v/>
      </c>
      <c r="G275" s="23" t="str">
        <f ca="1">IF(A275="","",IF($B$8="Sí",interpolar_alamb(E275,OFFSET(Curvas_cupon_cero!$A$1,1,0,COUNT(Curvas_cupon_cero!$A:$A)-2,1),OFFSET(Curvas_cupon_cero!$A$1,1,MATCH($B$7,Curvas_cupon_cero!$1:$1,0)-1,COUNT(Curvas_cupon_cero!$A:$A)-2,1)),interpolar(E275,OFFSET(Curvas_cupon_cero!$A$1,1,0,COUNT(Curvas_cupon_cero!$A:$A)-2,1),OFFSET(Curvas_cupon_cero!$A$1,1,MATCH($B$7,Curvas_cupon_cero!$1:$1,0)-1,COUNT(Curvas_cupon_cero!$A:$A)-2,1))))</f>
        <v/>
      </c>
      <c r="H275" s="19" t="str">
        <f t="shared" si="25"/>
        <v/>
      </c>
    </row>
    <row r="276" spans="1:8" x14ac:dyDescent="0.2">
      <c r="A276" s="12" t="str">
        <f t="shared" si="26"/>
        <v/>
      </c>
      <c r="B276" s="21" t="str">
        <f t="shared" si="27"/>
        <v/>
      </c>
      <c r="C276" s="17" t="str">
        <f t="shared" si="24"/>
        <v/>
      </c>
      <c r="D276" s="18" t="str">
        <f t="shared" si="28"/>
        <v/>
      </c>
      <c r="E276" t="str">
        <f t="shared" si="29"/>
        <v/>
      </c>
      <c r="F276" s="23" t="str">
        <f ca="1">IF(A276="","",IF($B$8="Sí",interpolar_alamb(E276,OFFSET(Curvas_cupon_cero!$A$1,1,0,COUNT(Curvas_cupon_cero!$A:$A)-2,1),OFFSET(Curvas_cupon_cero!$A$1,1,MATCH($B$6,Curvas_cupon_cero!$1:$1,0)-1,COUNT(Curvas_cupon_cero!$A:$A)-2,1)),interpolar(E276,OFFSET(Curvas_cupon_cero!$A$1,1,0,COUNT(Curvas_cupon_cero!$A:$A)-2,1),OFFSET(Curvas_cupon_cero!$A$1,1,MATCH($B$6,Curvas_cupon_cero!$1:$1,0)-1,COUNT(Curvas_cupon_cero!$A:$A)-2,1))))</f>
        <v/>
      </c>
      <c r="G276" s="23" t="str">
        <f ca="1">IF(A276="","",IF($B$8="Sí",interpolar_alamb(E276,OFFSET(Curvas_cupon_cero!$A$1,1,0,COUNT(Curvas_cupon_cero!$A:$A)-2,1),OFFSET(Curvas_cupon_cero!$A$1,1,MATCH($B$7,Curvas_cupon_cero!$1:$1,0)-1,COUNT(Curvas_cupon_cero!$A:$A)-2,1)),interpolar(E276,OFFSET(Curvas_cupon_cero!$A$1,1,0,COUNT(Curvas_cupon_cero!$A:$A)-2,1),OFFSET(Curvas_cupon_cero!$A$1,1,MATCH($B$7,Curvas_cupon_cero!$1:$1,0)-1,COUNT(Curvas_cupon_cero!$A:$A)-2,1))))</f>
        <v/>
      </c>
      <c r="H276" s="19" t="str">
        <f t="shared" si="25"/>
        <v/>
      </c>
    </row>
    <row r="277" spans="1:8" x14ac:dyDescent="0.2">
      <c r="A277" s="12" t="str">
        <f t="shared" si="26"/>
        <v/>
      </c>
      <c r="B277" s="21" t="str">
        <f t="shared" si="27"/>
        <v/>
      </c>
      <c r="C277" s="17" t="str">
        <f t="shared" si="24"/>
        <v/>
      </c>
      <c r="D277" s="18" t="str">
        <f t="shared" si="28"/>
        <v/>
      </c>
      <c r="E277" t="str">
        <f t="shared" si="29"/>
        <v/>
      </c>
      <c r="F277" s="23" t="str">
        <f ca="1">IF(A277="","",IF($B$8="Sí",interpolar_alamb(E277,OFFSET(Curvas_cupon_cero!$A$1,1,0,COUNT(Curvas_cupon_cero!$A:$A)-2,1),OFFSET(Curvas_cupon_cero!$A$1,1,MATCH($B$6,Curvas_cupon_cero!$1:$1,0)-1,COUNT(Curvas_cupon_cero!$A:$A)-2,1)),interpolar(E277,OFFSET(Curvas_cupon_cero!$A$1,1,0,COUNT(Curvas_cupon_cero!$A:$A)-2,1),OFFSET(Curvas_cupon_cero!$A$1,1,MATCH($B$6,Curvas_cupon_cero!$1:$1,0)-1,COUNT(Curvas_cupon_cero!$A:$A)-2,1))))</f>
        <v/>
      </c>
      <c r="G277" s="23" t="str">
        <f ca="1">IF(A277="","",IF($B$8="Sí",interpolar_alamb(E277,OFFSET(Curvas_cupon_cero!$A$1,1,0,COUNT(Curvas_cupon_cero!$A:$A)-2,1),OFFSET(Curvas_cupon_cero!$A$1,1,MATCH($B$7,Curvas_cupon_cero!$1:$1,0)-1,COUNT(Curvas_cupon_cero!$A:$A)-2,1)),interpolar(E277,OFFSET(Curvas_cupon_cero!$A$1,1,0,COUNT(Curvas_cupon_cero!$A:$A)-2,1),OFFSET(Curvas_cupon_cero!$A$1,1,MATCH($B$7,Curvas_cupon_cero!$1:$1,0)-1,COUNT(Curvas_cupon_cero!$A:$A)-2,1))))</f>
        <v/>
      </c>
      <c r="H277" s="19" t="str">
        <f t="shared" si="25"/>
        <v/>
      </c>
    </row>
    <row r="278" spans="1:8" x14ac:dyDescent="0.2">
      <c r="A278" s="12" t="str">
        <f t="shared" si="26"/>
        <v/>
      </c>
      <c r="B278" s="21" t="str">
        <f t="shared" si="27"/>
        <v/>
      </c>
      <c r="C278" s="17" t="str">
        <f t="shared" si="24"/>
        <v/>
      </c>
      <c r="D278" s="18" t="str">
        <f t="shared" si="28"/>
        <v/>
      </c>
      <c r="E278" t="str">
        <f t="shared" si="29"/>
        <v/>
      </c>
      <c r="F278" s="23" t="str">
        <f ca="1">IF(A278="","",IF($B$8="Sí",interpolar_alamb(E278,OFFSET(Curvas_cupon_cero!$A$1,1,0,COUNT(Curvas_cupon_cero!$A:$A)-2,1),OFFSET(Curvas_cupon_cero!$A$1,1,MATCH($B$6,Curvas_cupon_cero!$1:$1,0)-1,COUNT(Curvas_cupon_cero!$A:$A)-2,1)),interpolar(E278,OFFSET(Curvas_cupon_cero!$A$1,1,0,COUNT(Curvas_cupon_cero!$A:$A)-2,1),OFFSET(Curvas_cupon_cero!$A$1,1,MATCH($B$6,Curvas_cupon_cero!$1:$1,0)-1,COUNT(Curvas_cupon_cero!$A:$A)-2,1))))</f>
        <v/>
      </c>
      <c r="G278" s="23" t="str">
        <f ca="1">IF(A278="","",IF($B$8="Sí",interpolar_alamb(E278,OFFSET(Curvas_cupon_cero!$A$1,1,0,COUNT(Curvas_cupon_cero!$A:$A)-2,1),OFFSET(Curvas_cupon_cero!$A$1,1,MATCH($B$7,Curvas_cupon_cero!$1:$1,0)-1,COUNT(Curvas_cupon_cero!$A:$A)-2,1)),interpolar(E278,OFFSET(Curvas_cupon_cero!$A$1,1,0,COUNT(Curvas_cupon_cero!$A:$A)-2,1),OFFSET(Curvas_cupon_cero!$A$1,1,MATCH($B$7,Curvas_cupon_cero!$1:$1,0)-1,COUNT(Curvas_cupon_cero!$A:$A)-2,1))))</f>
        <v/>
      </c>
      <c r="H278" s="19" t="str">
        <f t="shared" si="25"/>
        <v/>
      </c>
    </row>
    <row r="279" spans="1:8" x14ac:dyDescent="0.2">
      <c r="A279" s="12" t="str">
        <f t="shared" si="26"/>
        <v/>
      </c>
      <c r="B279" s="21" t="str">
        <f t="shared" si="27"/>
        <v/>
      </c>
      <c r="C279" s="17" t="str">
        <f t="shared" si="24"/>
        <v/>
      </c>
      <c r="D279" s="18" t="str">
        <f t="shared" si="28"/>
        <v/>
      </c>
      <c r="E279" t="str">
        <f t="shared" si="29"/>
        <v/>
      </c>
      <c r="F279" s="23" t="str">
        <f ca="1">IF(A279="","",IF($B$8="Sí",interpolar_alamb(E279,OFFSET(Curvas_cupon_cero!$A$1,1,0,COUNT(Curvas_cupon_cero!$A:$A)-2,1),OFFSET(Curvas_cupon_cero!$A$1,1,MATCH($B$6,Curvas_cupon_cero!$1:$1,0)-1,COUNT(Curvas_cupon_cero!$A:$A)-2,1)),interpolar(E279,OFFSET(Curvas_cupon_cero!$A$1,1,0,COUNT(Curvas_cupon_cero!$A:$A)-2,1),OFFSET(Curvas_cupon_cero!$A$1,1,MATCH($B$6,Curvas_cupon_cero!$1:$1,0)-1,COUNT(Curvas_cupon_cero!$A:$A)-2,1))))</f>
        <v/>
      </c>
      <c r="G279" s="23" t="str">
        <f ca="1">IF(A279="","",IF($B$8="Sí",interpolar_alamb(E279,OFFSET(Curvas_cupon_cero!$A$1,1,0,COUNT(Curvas_cupon_cero!$A:$A)-2,1),OFFSET(Curvas_cupon_cero!$A$1,1,MATCH($B$7,Curvas_cupon_cero!$1:$1,0)-1,COUNT(Curvas_cupon_cero!$A:$A)-2,1)),interpolar(E279,OFFSET(Curvas_cupon_cero!$A$1,1,0,COUNT(Curvas_cupon_cero!$A:$A)-2,1),OFFSET(Curvas_cupon_cero!$A$1,1,MATCH($B$7,Curvas_cupon_cero!$1:$1,0)-1,COUNT(Curvas_cupon_cero!$A:$A)-2,1))))</f>
        <v/>
      </c>
      <c r="H279" s="19" t="str">
        <f t="shared" si="25"/>
        <v/>
      </c>
    </row>
    <row r="280" spans="1:8" x14ac:dyDescent="0.2">
      <c r="A280" s="12" t="str">
        <f t="shared" si="26"/>
        <v/>
      </c>
      <c r="B280" s="21" t="str">
        <f t="shared" si="27"/>
        <v/>
      </c>
      <c r="C280" s="17" t="str">
        <f t="shared" si="24"/>
        <v/>
      </c>
      <c r="D280" s="18" t="str">
        <f t="shared" si="28"/>
        <v/>
      </c>
      <c r="E280" t="str">
        <f t="shared" si="29"/>
        <v/>
      </c>
      <c r="F280" s="23" t="str">
        <f ca="1">IF(A280="","",IF($B$8="Sí",interpolar_alamb(E280,OFFSET(Curvas_cupon_cero!$A$1,1,0,COUNT(Curvas_cupon_cero!$A:$A)-2,1),OFFSET(Curvas_cupon_cero!$A$1,1,MATCH($B$6,Curvas_cupon_cero!$1:$1,0)-1,COUNT(Curvas_cupon_cero!$A:$A)-2,1)),interpolar(E280,OFFSET(Curvas_cupon_cero!$A$1,1,0,COUNT(Curvas_cupon_cero!$A:$A)-2,1),OFFSET(Curvas_cupon_cero!$A$1,1,MATCH($B$6,Curvas_cupon_cero!$1:$1,0)-1,COUNT(Curvas_cupon_cero!$A:$A)-2,1))))</f>
        <v/>
      </c>
      <c r="G280" s="23" t="str">
        <f ca="1">IF(A280="","",IF($B$8="Sí",interpolar_alamb(E280,OFFSET(Curvas_cupon_cero!$A$1,1,0,COUNT(Curvas_cupon_cero!$A:$A)-2,1),OFFSET(Curvas_cupon_cero!$A$1,1,MATCH($B$7,Curvas_cupon_cero!$1:$1,0)-1,COUNT(Curvas_cupon_cero!$A:$A)-2,1)),interpolar(E280,OFFSET(Curvas_cupon_cero!$A$1,1,0,COUNT(Curvas_cupon_cero!$A:$A)-2,1),OFFSET(Curvas_cupon_cero!$A$1,1,MATCH($B$7,Curvas_cupon_cero!$1:$1,0)-1,COUNT(Curvas_cupon_cero!$A:$A)-2,1))))</f>
        <v/>
      </c>
      <c r="H280" s="19" t="str">
        <f t="shared" si="25"/>
        <v/>
      </c>
    </row>
    <row r="281" spans="1:8" x14ac:dyDescent="0.2">
      <c r="A281" s="12" t="str">
        <f t="shared" si="26"/>
        <v/>
      </c>
      <c r="B281" s="21" t="str">
        <f t="shared" si="27"/>
        <v/>
      </c>
      <c r="C281" s="17" t="str">
        <f t="shared" si="24"/>
        <v/>
      </c>
      <c r="D281" s="18" t="str">
        <f t="shared" si="28"/>
        <v/>
      </c>
      <c r="E281" t="str">
        <f t="shared" si="29"/>
        <v/>
      </c>
      <c r="F281" s="23" t="str">
        <f ca="1">IF(A281="","",IF($B$8="Sí",interpolar_alamb(E281,OFFSET(Curvas_cupon_cero!$A$1,1,0,COUNT(Curvas_cupon_cero!$A:$A)-2,1),OFFSET(Curvas_cupon_cero!$A$1,1,MATCH($B$6,Curvas_cupon_cero!$1:$1,0)-1,COUNT(Curvas_cupon_cero!$A:$A)-2,1)),interpolar(E281,OFFSET(Curvas_cupon_cero!$A$1,1,0,COUNT(Curvas_cupon_cero!$A:$A)-2,1),OFFSET(Curvas_cupon_cero!$A$1,1,MATCH($B$6,Curvas_cupon_cero!$1:$1,0)-1,COUNT(Curvas_cupon_cero!$A:$A)-2,1))))</f>
        <v/>
      </c>
      <c r="G281" s="23" t="str">
        <f ca="1">IF(A281="","",IF($B$8="Sí",interpolar_alamb(E281,OFFSET(Curvas_cupon_cero!$A$1,1,0,COUNT(Curvas_cupon_cero!$A:$A)-2,1),OFFSET(Curvas_cupon_cero!$A$1,1,MATCH($B$7,Curvas_cupon_cero!$1:$1,0)-1,COUNT(Curvas_cupon_cero!$A:$A)-2,1)),interpolar(E281,OFFSET(Curvas_cupon_cero!$A$1,1,0,COUNT(Curvas_cupon_cero!$A:$A)-2,1),OFFSET(Curvas_cupon_cero!$A$1,1,MATCH($B$7,Curvas_cupon_cero!$1:$1,0)-1,COUNT(Curvas_cupon_cero!$A:$A)-2,1))))</f>
        <v/>
      </c>
      <c r="H281" s="19" t="str">
        <f t="shared" si="25"/>
        <v/>
      </c>
    </row>
    <row r="282" spans="1:8" x14ac:dyDescent="0.2">
      <c r="A282" s="12" t="str">
        <f t="shared" si="26"/>
        <v/>
      </c>
      <c r="B282" s="21" t="str">
        <f t="shared" si="27"/>
        <v/>
      </c>
      <c r="C282" s="17" t="str">
        <f t="shared" si="24"/>
        <v/>
      </c>
      <c r="D282" s="18" t="str">
        <f t="shared" si="28"/>
        <v/>
      </c>
      <c r="E282" t="str">
        <f t="shared" si="29"/>
        <v/>
      </c>
      <c r="F282" s="23" t="str">
        <f ca="1">IF(A282="","",IF($B$8="Sí",interpolar_alamb(E282,OFFSET(Curvas_cupon_cero!$A$1,1,0,COUNT(Curvas_cupon_cero!$A:$A)-2,1),OFFSET(Curvas_cupon_cero!$A$1,1,MATCH($B$6,Curvas_cupon_cero!$1:$1,0)-1,COUNT(Curvas_cupon_cero!$A:$A)-2,1)),interpolar(E282,OFFSET(Curvas_cupon_cero!$A$1,1,0,COUNT(Curvas_cupon_cero!$A:$A)-2,1),OFFSET(Curvas_cupon_cero!$A$1,1,MATCH($B$6,Curvas_cupon_cero!$1:$1,0)-1,COUNT(Curvas_cupon_cero!$A:$A)-2,1))))</f>
        <v/>
      </c>
      <c r="G282" s="23" t="str">
        <f ca="1">IF(A282="","",IF($B$8="Sí",interpolar_alamb(E282,OFFSET(Curvas_cupon_cero!$A$1,1,0,COUNT(Curvas_cupon_cero!$A:$A)-2,1),OFFSET(Curvas_cupon_cero!$A$1,1,MATCH($B$7,Curvas_cupon_cero!$1:$1,0)-1,COUNT(Curvas_cupon_cero!$A:$A)-2,1)),interpolar(E282,OFFSET(Curvas_cupon_cero!$A$1,1,0,COUNT(Curvas_cupon_cero!$A:$A)-2,1),OFFSET(Curvas_cupon_cero!$A$1,1,MATCH($B$7,Curvas_cupon_cero!$1:$1,0)-1,COUNT(Curvas_cupon_cero!$A:$A)-2,1))))</f>
        <v/>
      </c>
      <c r="H282" s="19" t="str">
        <f t="shared" si="25"/>
        <v/>
      </c>
    </row>
    <row r="283" spans="1:8" x14ac:dyDescent="0.2">
      <c r="A283" s="12" t="str">
        <f t="shared" si="26"/>
        <v/>
      </c>
      <c r="B283" s="21" t="str">
        <f t="shared" si="27"/>
        <v/>
      </c>
      <c r="C283" s="17" t="str">
        <f t="shared" si="24"/>
        <v/>
      </c>
      <c r="D283" s="18" t="str">
        <f t="shared" si="28"/>
        <v/>
      </c>
      <c r="E283" t="str">
        <f t="shared" si="29"/>
        <v/>
      </c>
      <c r="F283" s="23" t="str">
        <f ca="1">IF(A283="","",IF($B$8="Sí",interpolar_alamb(E283,OFFSET(Curvas_cupon_cero!$A$1,1,0,COUNT(Curvas_cupon_cero!$A:$A)-2,1),OFFSET(Curvas_cupon_cero!$A$1,1,MATCH($B$6,Curvas_cupon_cero!$1:$1,0)-1,COUNT(Curvas_cupon_cero!$A:$A)-2,1)),interpolar(E283,OFFSET(Curvas_cupon_cero!$A$1,1,0,COUNT(Curvas_cupon_cero!$A:$A)-2,1),OFFSET(Curvas_cupon_cero!$A$1,1,MATCH($B$6,Curvas_cupon_cero!$1:$1,0)-1,COUNT(Curvas_cupon_cero!$A:$A)-2,1))))</f>
        <v/>
      </c>
      <c r="G283" s="23" t="str">
        <f ca="1">IF(A283="","",IF($B$8="Sí",interpolar_alamb(E283,OFFSET(Curvas_cupon_cero!$A$1,1,0,COUNT(Curvas_cupon_cero!$A:$A)-2,1),OFFSET(Curvas_cupon_cero!$A$1,1,MATCH($B$7,Curvas_cupon_cero!$1:$1,0)-1,COUNT(Curvas_cupon_cero!$A:$A)-2,1)),interpolar(E283,OFFSET(Curvas_cupon_cero!$A$1,1,0,COUNT(Curvas_cupon_cero!$A:$A)-2,1),OFFSET(Curvas_cupon_cero!$A$1,1,MATCH($B$7,Curvas_cupon_cero!$1:$1,0)-1,COUNT(Curvas_cupon_cero!$A:$A)-2,1))))</f>
        <v/>
      </c>
      <c r="H283" s="19" t="str">
        <f t="shared" si="25"/>
        <v/>
      </c>
    </row>
    <row r="284" spans="1:8" x14ac:dyDescent="0.2">
      <c r="A284" s="12" t="str">
        <f t="shared" si="26"/>
        <v/>
      </c>
      <c r="B284" s="21" t="str">
        <f t="shared" si="27"/>
        <v/>
      </c>
      <c r="C284" s="17" t="str">
        <f t="shared" si="24"/>
        <v/>
      </c>
      <c r="D284" s="18" t="str">
        <f t="shared" si="28"/>
        <v/>
      </c>
      <c r="E284" t="str">
        <f t="shared" si="29"/>
        <v/>
      </c>
      <c r="F284" s="23" t="str">
        <f ca="1">IF(A284="","",IF($B$8="Sí",interpolar_alamb(E284,OFFSET(Curvas_cupon_cero!$A$1,1,0,COUNT(Curvas_cupon_cero!$A:$A)-2,1),OFFSET(Curvas_cupon_cero!$A$1,1,MATCH($B$6,Curvas_cupon_cero!$1:$1,0)-1,COUNT(Curvas_cupon_cero!$A:$A)-2,1)),interpolar(E284,OFFSET(Curvas_cupon_cero!$A$1,1,0,COUNT(Curvas_cupon_cero!$A:$A)-2,1),OFFSET(Curvas_cupon_cero!$A$1,1,MATCH($B$6,Curvas_cupon_cero!$1:$1,0)-1,COUNT(Curvas_cupon_cero!$A:$A)-2,1))))</f>
        <v/>
      </c>
      <c r="G284" s="23" t="str">
        <f ca="1">IF(A284="","",IF($B$8="Sí",interpolar_alamb(E284,OFFSET(Curvas_cupon_cero!$A$1,1,0,COUNT(Curvas_cupon_cero!$A:$A)-2,1),OFFSET(Curvas_cupon_cero!$A$1,1,MATCH($B$7,Curvas_cupon_cero!$1:$1,0)-1,COUNT(Curvas_cupon_cero!$A:$A)-2,1)),interpolar(E284,OFFSET(Curvas_cupon_cero!$A$1,1,0,COUNT(Curvas_cupon_cero!$A:$A)-2,1),OFFSET(Curvas_cupon_cero!$A$1,1,MATCH($B$7,Curvas_cupon_cero!$1:$1,0)-1,COUNT(Curvas_cupon_cero!$A:$A)-2,1))))</f>
        <v/>
      </c>
      <c r="H284" s="19" t="str">
        <f t="shared" si="25"/>
        <v/>
      </c>
    </row>
    <row r="285" spans="1:8" x14ac:dyDescent="0.2">
      <c r="A285" s="12" t="str">
        <f t="shared" si="26"/>
        <v/>
      </c>
      <c r="B285" s="21" t="str">
        <f t="shared" si="27"/>
        <v/>
      </c>
      <c r="C285" s="17" t="str">
        <f t="shared" si="24"/>
        <v/>
      </c>
      <c r="D285" s="18" t="str">
        <f t="shared" si="28"/>
        <v/>
      </c>
      <c r="E285" t="str">
        <f t="shared" si="29"/>
        <v/>
      </c>
      <c r="F285" s="23" t="str">
        <f ca="1">IF(A285="","",IF($B$8="Sí",interpolar_alamb(E285,OFFSET(Curvas_cupon_cero!$A$1,1,0,COUNT(Curvas_cupon_cero!$A:$A)-2,1),OFFSET(Curvas_cupon_cero!$A$1,1,MATCH($B$6,Curvas_cupon_cero!$1:$1,0)-1,COUNT(Curvas_cupon_cero!$A:$A)-2,1)),interpolar(E285,OFFSET(Curvas_cupon_cero!$A$1,1,0,COUNT(Curvas_cupon_cero!$A:$A)-2,1),OFFSET(Curvas_cupon_cero!$A$1,1,MATCH($B$6,Curvas_cupon_cero!$1:$1,0)-1,COUNT(Curvas_cupon_cero!$A:$A)-2,1))))</f>
        <v/>
      </c>
      <c r="G285" s="23" t="str">
        <f ca="1">IF(A285="","",IF($B$8="Sí",interpolar_alamb(E285,OFFSET(Curvas_cupon_cero!$A$1,1,0,COUNT(Curvas_cupon_cero!$A:$A)-2,1),OFFSET(Curvas_cupon_cero!$A$1,1,MATCH($B$7,Curvas_cupon_cero!$1:$1,0)-1,COUNT(Curvas_cupon_cero!$A:$A)-2,1)),interpolar(E285,OFFSET(Curvas_cupon_cero!$A$1,1,0,COUNT(Curvas_cupon_cero!$A:$A)-2,1),OFFSET(Curvas_cupon_cero!$A$1,1,MATCH($B$7,Curvas_cupon_cero!$1:$1,0)-1,COUNT(Curvas_cupon_cero!$A:$A)-2,1))))</f>
        <v/>
      </c>
      <c r="H285" s="19" t="str">
        <f t="shared" si="25"/>
        <v/>
      </c>
    </row>
    <row r="286" spans="1:8" x14ac:dyDescent="0.2">
      <c r="A286" s="12" t="str">
        <f t="shared" si="26"/>
        <v/>
      </c>
      <c r="B286" s="21" t="str">
        <f t="shared" si="27"/>
        <v/>
      </c>
      <c r="C286" s="17" t="str">
        <f t="shared" si="24"/>
        <v/>
      </c>
      <c r="D286" s="18" t="str">
        <f t="shared" si="28"/>
        <v/>
      </c>
      <c r="E286" t="str">
        <f t="shared" si="29"/>
        <v/>
      </c>
      <c r="F286" s="23" t="str">
        <f ca="1">IF(A286="","",IF($B$8="Sí",interpolar_alamb(E286,OFFSET(Curvas_cupon_cero!$A$1,1,0,COUNT(Curvas_cupon_cero!$A:$A)-2,1),OFFSET(Curvas_cupon_cero!$A$1,1,MATCH($B$6,Curvas_cupon_cero!$1:$1,0)-1,COUNT(Curvas_cupon_cero!$A:$A)-2,1)),interpolar(E286,OFFSET(Curvas_cupon_cero!$A$1,1,0,COUNT(Curvas_cupon_cero!$A:$A)-2,1),OFFSET(Curvas_cupon_cero!$A$1,1,MATCH($B$6,Curvas_cupon_cero!$1:$1,0)-1,COUNT(Curvas_cupon_cero!$A:$A)-2,1))))</f>
        <v/>
      </c>
      <c r="G286" s="23" t="str">
        <f ca="1">IF(A286="","",IF($B$8="Sí",interpolar_alamb(E286,OFFSET(Curvas_cupon_cero!$A$1,1,0,COUNT(Curvas_cupon_cero!$A:$A)-2,1),OFFSET(Curvas_cupon_cero!$A$1,1,MATCH($B$7,Curvas_cupon_cero!$1:$1,0)-1,COUNT(Curvas_cupon_cero!$A:$A)-2,1)),interpolar(E286,OFFSET(Curvas_cupon_cero!$A$1,1,0,COUNT(Curvas_cupon_cero!$A:$A)-2,1),OFFSET(Curvas_cupon_cero!$A$1,1,MATCH($B$7,Curvas_cupon_cero!$1:$1,0)-1,COUNT(Curvas_cupon_cero!$A:$A)-2,1))))</f>
        <v/>
      </c>
      <c r="H286" s="19" t="str">
        <f t="shared" si="25"/>
        <v/>
      </c>
    </row>
    <row r="287" spans="1:8" x14ac:dyDescent="0.2">
      <c r="A287" s="12" t="str">
        <f t="shared" si="26"/>
        <v/>
      </c>
      <c r="B287" s="21" t="str">
        <f t="shared" si="27"/>
        <v/>
      </c>
      <c r="C287" s="17" t="str">
        <f t="shared" si="24"/>
        <v/>
      </c>
      <c r="D287" s="18" t="str">
        <f t="shared" si="28"/>
        <v/>
      </c>
      <c r="E287" t="str">
        <f t="shared" si="29"/>
        <v/>
      </c>
      <c r="F287" s="23" t="str">
        <f ca="1">IF(A287="","",IF($B$8="Sí",interpolar_alamb(E287,OFFSET(Curvas_cupon_cero!$A$1,1,0,COUNT(Curvas_cupon_cero!$A:$A)-2,1),OFFSET(Curvas_cupon_cero!$A$1,1,MATCH($B$6,Curvas_cupon_cero!$1:$1,0)-1,COUNT(Curvas_cupon_cero!$A:$A)-2,1)),interpolar(E287,OFFSET(Curvas_cupon_cero!$A$1,1,0,COUNT(Curvas_cupon_cero!$A:$A)-2,1),OFFSET(Curvas_cupon_cero!$A$1,1,MATCH($B$6,Curvas_cupon_cero!$1:$1,0)-1,COUNT(Curvas_cupon_cero!$A:$A)-2,1))))</f>
        <v/>
      </c>
      <c r="G287" s="23" t="str">
        <f ca="1">IF(A287="","",IF($B$8="Sí",interpolar_alamb(E287,OFFSET(Curvas_cupon_cero!$A$1,1,0,COUNT(Curvas_cupon_cero!$A:$A)-2,1),OFFSET(Curvas_cupon_cero!$A$1,1,MATCH($B$7,Curvas_cupon_cero!$1:$1,0)-1,COUNT(Curvas_cupon_cero!$A:$A)-2,1)),interpolar(E287,OFFSET(Curvas_cupon_cero!$A$1,1,0,COUNT(Curvas_cupon_cero!$A:$A)-2,1),OFFSET(Curvas_cupon_cero!$A$1,1,MATCH($B$7,Curvas_cupon_cero!$1:$1,0)-1,COUNT(Curvas_cupon_cero!$A:$A)-2,1))))</f>
        <v/>
      </c>
      <c r="H287" s="19" t="str">
        <f t="shared" si="25"/>
        <v/>
      </c>
    </row>
    <row r="288" spans="1:8" x14ac:dyDescent="0.2">
      <c r="A288" s="12" t="str">
        <f t="shared" si="26"/>
        <v/>
      </c>
      <c r="B288" s="21" t="str">
        <f t="shared" si="27"/>
        <v/>
      </c>
      <c r="C288" s="17" t="str">
        <f t="shared" si="24"/>
        <v/>
      </c>
      <c r="D288" s="18" t="str">
        <f t="shared" si="28"/>
        <v/>
      </c>
      <c r="E288" t="str">
        <f t="shared" si="29"/>
        <v/>
      </c>
      <c r="F288" s="23" t="str">
        <f ca="1">IF(A288="","",IF($B$8="Sí",interpolar_alamb(E288,OFFSET(Curvas_cupon_cero!$A$1,1,0,COUNT(Curvas_cupon_cero!$A:$A)-2,1),OFFSET(Curvas_cupon_cero!$A$1,1,MATCH($B$6,Curvas_cupon_cero!$1:$1,0)-1,COUNT(Curvas_cupon_cero!$A:$A)-2,1)),interpolar(E288,OFFSET(Curvas_cupon_cero!$A$1,1,0,COUNT(Curvas_cupon_cero!$A:$A)-2,1),OFFSET(Curvas_cupon_cero!$A$1,1,MATCH($B$6,Curvas_cupon_cero!$1:$1,0)-1,COUNT(Curvas_cupon_cero!$A:$A)-2,1))))</f>
        <v/>
      </c>
      <c r="G288" s="23" t="str">
        <f ca="1">IF(A288="","",IF($B$8="Sí",interpolar_alamb(E288,OFFSET(Curvas_cupon_cero!$A$1,1,0,COUNT(Curvas_cupon_cero!$A:$A)-2,1),OFFSET(Curvas_cupon_cero!$A$1,1,MATCH($B$7,Curvas_cupon_cero!$1:$1,0)-1,COUNT(Curvas_cupon_cero!$A:$A)-2,1)),interpolar(E288,OFFSET(Curvas_cupon_cero!$A$1,1,0,COUNT(Curvas_cupon_cero!$A:$A)-2,1),OFFSET(Curvas_cupon_cero!$A$1,1,MATCH($B$7,Curvas_cupon_cero!$1:$1,0)-1,COUNT(Curvas_cupon_cero!$A:$A)-2,1))))</f>
        <v/>
      </c>
      <c r="H288" s="19" t="str">
        <f t="shared" si="25"/>
        <v/>
      </c>
    </row>
    <row r="289" spans="1:8" x14ac:dyDescent="0.2">
      <c r="A289" s="12" t="str">
        <f t="shared" si="26"/>
        <v/>
      </c>
      <c r="B289" s="21" t="str">
        <f t="shared" si="27"/>
        <v/>
      </c>
      <c r="C289" s="17" t="str">
        <f t="shared" si="24"/>
        <v/>
      </c>
      <c r="D289" s="18" t="str">
        <f t="shared" si="28"/>
        <v/>
      </c>
      <c r="E289" t="str">
        <f t="shared" si="29"/>
        <v/>
      </c>
      <c r="F289" s="23" t="str">
        <f ca="1">IF(A289="","",IF($B$8="Sí",interpolar_alamb(E289,OFFSET(Curvas_cupon_cero!$A$1,1,0,COUNT(Curvas_cupon_cero!$A:$A)-2,1),OFFSET(Curvas_cupon_cero!$A$1,1,MATCH($B$6,Curvas_cupon_cero!$1:$1,0)-1,COUNT(Curvas_cupon_cero!$A:$A)-2,1)),interpolar(E289,OFFSET(Curvas_cupon_cero!$A$1,1,0,COUNT(Curvas_cupon_cero!$A:$A)-2,1),OFFSET(Curvas_cupon_cero!$A$1,1,MATCH($B$6,Curvas_cupon_cero!$1:$1,0)-1,COUNT(Curvas_cupon_cero!$A:$A)-2,1))))</f>
        <v/>
      </c>
      <c r="G289" s="23" t="str">
        <f ca="1">IF(A289="","",IF($B$8="Sí",interpolar_alamb(E289,OFFSET(Curvas_cupon_cero!$A$1,1,0,COUNT(Curvas_cupon_cero!$A:$A)-2,1),OFFSET(Curvas_cupon_cero!$A$1,1,MATCH($B$7,Curvas_cupon_cero!$1:$1,0)-1,COUNT(Curvas_cupon_cero!$A:$A)-2,1)),interpolar(E289,OFFSET(Curvas_cupon_cero!$A$1,1,0,COUNT(Curvas_cupon_cero!$A:$A)-2,1),OFFSET(Curvas_cupon_cero!$A$1,1,MATCH($B$7,Curvas_cupon_cero!$1:$1,0)-1,COUNT(Curvas_cupon_cero!$A:$A)-2,1))))</f>
        <v/>
      </c>
      <c r="H289" s="19" t="str">
        <f t="shared" si="25"/>
        <v/>
      </c>
    </row>
    <row r="290" spans="1:8" x14ac:dyDescent="0.2">
      <c r="A290" s="12" t="str">
        <f t="shared" si="26"/>
        <v/>
      </c>
      <c r="B290" s="21" t="str">
        <f t="shared" si="27"/>
        <v/>
      </c>
      <c r="C290" s="17" t="str">
        <f t="shared" si="24"/>
        <v/>
      </c>
      <c r="D290" s="18" t="str">
        <f t="shared" si="28"/>
        <v/>
      </c>
      <c r="E290" t="str">
        <f t="shared" si="29"/>
        <v/>
      </c>
      <c r="F290" s="23" t="str">
        <f ca="1">IF(A290="","",IF($B$8="Sí",interpolar_alamb(E290,OFFSET(Curvas_cupon_cero!$A$1,1,0,COUNT(Curvas_cupon_cero!$A:$A)-2,1),OFFSET(Curvas_cupon_cero!$A$1,1,MATCH($B$6,Curvas_cupon_cero!$1:$1,0)-1,COUNT(Curvas_cupon_cero!$A:$A)-2,1)),interpolar(E290,OFFSET(Curvas_cupon_cero!$A$1,1,0,COUNT(Curvas_cupon_cero!$A:$A)-2,1),OFFSET(Curvas_cupon_cero!$A$1,1,MATCH($B$6,Curvas_cupon_cero!$1:$1,0)-1,COUNT(Curvas_cupon_cero!$A:$A)-2,1))))</f>
        <v/>
      </c>
      <c r="G290" s="23" t="str">
        <f ca="1">IF(A290="","",IF($B$8="Sí",interpolar_alamb(E290,OFFSET(Curvas_cupon_cero!$A$1,1,0,COUNT(Curvas_cupon_cero!$A:$A)-2,1),OFFSET(Curvas_cupon_cero!$A$1,1,MATCH($B$7,Curvas_cupon_cero!$1:$1,0)-1,COUNT(Curvas_cupon_cero!$A:$A)-2,1)),interpolar(E290,OFFSET(Curvas_cupon_cero!$A$1,1,0,COUNT(Curvas_cupon_cero!$A:$A)-2,1),OFFSET(Curvas_cupon_cero!$A$1,1,MATCH($B$7,Curvas_cupon_cero!$1:$1,0)-1,COUNT(Curvas_cupon_cero!$A:$A)-2,1))))</f>
        <v/>
      </c>
      <c r="H290" s="19" t="str">
        <f t="shared" si="25"/>
        <v/>
      </c>
    </row>
    <row r="291" spans="1:8" x14ac:dyDescent="0.2">
      <c r="A291" s="12" t="str">
        <f t="shared" si="26"/>
        <v/>
      </c>
      <c r="B291" s="21" t="str">
        <f t="shared" si="27"/>
        <v/>
      </c>
      <c r="C291" s="17" t="str">
        <f t="shared" si="24"/>
        <v/>
      </c>
      <c r="D291" s="18" t="str">
        <f t="shared" si="28"/>
        <v/>
      </c>
      <c r="E291" t="str">
        <f t="shared" si="29"/>
        <v/>
      </c>
      <c r="F291" s="23" t="str">
        <f ca="1">IF(A291="","",IF($B$8="Sí",interpolar_alamb(E291,OFFSET(Curvas_cupon_cero!$A$1,1,0,COUNT(Curvas_cupon_cero!$A:$A)-2,1),OFFSET(Curvas_cupon_cero!$A$1,1,MATCH($B$6,Curvas_cupon_cero!$1:$1,0)-1,COUNT(Curvas_cupon_cero!$A:$A)-2,1)),interpolar(E291,OFFSET(Curvas_cupon_cero!$A$1,1,0,COUNT(Curvas_cupon_cero!$A:$A)-2,1),OFFSET(Curvas_cupon_cero!$A$1,1,MATCH($B$6,Curvas_cupon_cero!$1:$1,0)-1,COUNT(Curvas_cupon_cero!$A:$A)-2,1))))</f>
        <v/>
      </c>
      <c r="G291" s="23" t="str">
        <f ca="1">IF(A291="","",IF($B$8="Sí",interpolar_alamb(E291,OFFSET(Curvas_cupon_cero!$A$1,1,0,COUNT(Curvas_cupon_cero!$A:$A)-2,1),OFFSET(Curvas_cupon_cero!$A$1,1,MATCH($B$7,Curvas_cupon_cero!$1:$1,0)-1,COUNT(Curvas_cupon_cero!$A:$A)-2,1)),interpolar(E291,OFFSET(Curvas_cupon_cero!$A$1,1,0,COUNT(Curvas_cupon_cero!$A:$A)-2,1),OFFSET(Curvas_cupon_cero!$A$1,1,MATCH($B$7,Curvas_cupon_cero!$1:$1,0)-1,COUNT(Curvas_cupon_cero!$A:$A)-2,1))))</f>
        <v/>
      </c>
      <c r="H291" s="19" t="str">
        <f t="shared" si="25"/>
        <v/>
      </c>
    </row>
    <row r="292" spans="1:8" x14ac:dyDescent="0.2">
      <c r="A292" s="12" t="str">
        <f t="shared" si="26"/>
        <v/>
      </c>
      <c r="B292" s="21" t="str">
        <f t="shared" si="27"/>
        <v/>
      </c>
      <c r="C292" s="17" t="str">
        <f t="shared" si="24"/>
        <v/>
      </c>
      <c r="D292" s="18" t="str">
        <f t="shared" si="28"/>
        <v/>
      </c>
      <c r="E292" t="str">
        <f t="shared" si="29"/>
        <v/>
      </c>
      <c r="F292" s="23" t="str">
        <f ca="1">IF(A292="","",IF($B$8="Sí",interpolar_alamb(E292,OFFSET(Curvas_cupon_cero!$A$1,1,0,COUNT(Curvas_cupon_cero!$A:$A)-2,1),OFFSET(Curvas_cupon_cero!$A$1,1,MATCH($B$6,Curvas_cupon_cero!$1:$1,0)-1,COUNT(Curvas_cupon_cero!$A:$A)-2,1)),interpolar(E292,OFFSET(Curvas_cupon_cero!$A$1,1,0,COUNT(Curvas_cupon_cero!$A:$A)-2,1),OFFSET(Curvas_cupon_cero!$A$1,1,MATCH($B$6,Curvas_cupon_cero!$1:$1,0)-1,COUNT(Curvas_cupon_cero!$A:$A)-2,1))))</f>
        <v/>
      </c>
      <c r="G292" s="23" t="str">
        <f ca="1">IF(A292="","",IF($B$8="Sí",interpolar_alamb(E292,OFFSET(Curvas_cupon_cero!$A$1,1,0,COUNT(Curvas_cupon_cero!$A:$A)-2,1),OFFSET(Curvas_cupon_cero!$A$1,1,MATCH($B$7,Curvas_cupon_cero!$1:$1,0)-1,COUNT(Curvas_cupon_cero!$A:$A)-2,1)),interpolar(E292,OFFSET(Curvas_cupon_cero!$A$1,1,0,COUNT(Curvas_cupon_cero!$A:$A)-2,1),OFFSET(Curvas_cupon_cero!$A$1,1,MATCH($B$7,Curvas_cupon_cero!$1:$1,0)-1,COUNT(Curvas_cupon_cero!$A:$A)-2,1))))</f>
        <v/>
      </c>
      <c r="H292" s="19" t="str">
        <f t="shared" si="25"/>
        <v/>
      </c>
    </row>
    <row r="293" spans="1:8" x14ac:dyDescent="0.2">
      <c r="A293" s="12" t="str">
        <f t="shared" si="26"/>
        <v/>
      </c>
      <c r="B293" s="21" t="str">
        <f t="shared" si="27"/>
        <v/>
      </c>
      <c r="C293" s="17" t="str">
        <f t="shared" si="24"/>
        <v/>
      </c>
      <c r="D293" s="18" t="str">
        <f t="shared" si="28"/>
        <v/>
      </c>
      <c r="E293" t="str">
        <f t="shared" si="29"/>
        <v/>
      </c>
      <c r="F293" s="23" t="str">
        <f ca="1">IF(A293="","",IF($B$8="Sí",interpolar_alamb(E293,OFFSET(Curvas_cupon_cero!$A$1,1,0,COUNT(Curvas_cupon_cero!$A:$A)-2,1),OFFSET(Curvas_cupon_cero!$A$1,1,MATCH($B$6,Curvas_cupon_cero!$1:$1,0)-1,COUNT(Curvas_cupon_cero!$A:$A)-2,1)),interpolar(E293,OFFSET(Curvas_cupon_cero!$A$1,1,0,COUNT(Curvas_cupon_cero!$A:$A)-2,1),OFFSET(Curvas_cupon_cero!$A$1,1,MATCH($B$6,Curvas_cupon_cero!$1:$1,0)-1,COUNT(Curvas_cupon_cero!$A:$A)-2,1))))</f>
        <v/>
      </c>
      <c r="G293" s="23" t="str">
        <f ca="1">IF(A293="","",IF($B$8="Sí",interpolar_alamb(E293,OFFSET(Curvas_cupon_cero!$A$1,1,0,COUNT(Curvas_cupon_cero!$A:$A)-2,1),OFFSET(Curvas_cupon_cero!$A$1,1,MATCH($B$7,Curvas_cupon_cero!$1:$1,0)-1,COUNT(Curvas_cupon_cero!$A:$A)-2,1)),interpolar(E293,OFFSET(Curvas_cupon_cero!$A$1,1,0,COUNT(Curvas_cupon_cero!$A:$A)-2,1),OFFSET(Curvas_cupon_cero!$A$1,1,MATCH($B$7,Curvas_cupon_cero!$1:$1,0)-1,COUNT(Curvas_cupon_cero!$A:$A)-2,1))))</f>
        <v/>
      </c>
      <c r="H293" s="19" t="str">
        <f t="shared" si="25"/>
        <v/>
      </c>
    </row>
    <row r="294" spans="1:8" x14ac:dyDescent="0.2">
      <c r="A294" s="12" t="str">
        <f t="shared" si="26"/>
        <v/>
      </c>
      <c r="B294" s="21" t="str">
        <f t="shared" si="27"/>
        <v/>
      </c>
      <c r="C294" s="17" t="str">
        <f t="shared" si="24"/>
        <v/>
      </c>
      <c r="D294" s="18" t="str">
        <f t="shared" si="28"/>
        <v/>
      </c>
      <c r="E294" t="str">
        <f t="shared" si="29"/>
        <v/>
      </c>
      <c r="F294" s="23" t="str">
        <f ca="1">IF(A294="","",IF($B$8="Sí",interpolar_alamb(E294,OFFSET(Curvas_cupon_cero!$A$1,1,0,COUNT(Curvas_cupon_cero!$A:$A)-2,1),OFFSET(Curvas_cupon_cero!$A$1,1,MATCH($B$6,Curvas_cupon_cero!$1:$1,0)-1,COUNT(Curvas_cupon_cero!$A:$A)-2,1)),interpolar(E294,OFFSET(Curvas_cupon_cero!$A$1,1,0,COUNT(Curvas_cupon_cero!$A:$A)-2,1),OFFSET(Curvas_cupon_cero!$A$1,1,MATCH($B$6,Curvas_cupon_cero!$1:$1,0)-1,COUNT(Curvas_cupon_cero!$A:$A)-2,1))))</f>
        <v/>
      </c>
      <c r="G294" s="23" t="str">
        <f ca="1">IF(A294="","",IF($B$8="Sí",interpolar_alamb(E294,OFFSET(Curvas_cupon_cero!$A$1,1,0,COUNT(Curvas_cupon_cero!$A:$A)-2,1),OFFSET(Curvas_cupon_cero!$A$1,1,MATCH($B$7,Curvas_cupon_cero!$1:$1,0)-1,COUNT(Curvas_cupon_cero!$A:$A)-2,1)),interpolar(E294,OFFSET(Curvas_cupon_cero!$A$1,1,0,COUNT(Curvas_cupon_cero!$A:$A)-2,1),OFFSET(Curvas_cupon_cero!$A$1,1,MATCH($B$7,Curvas_cupon_cero!$1:$1,0)-1,COUNT(Curvas_cupon_cero!$A:$A)-2,1))))</f>
        <v/>
      </c>
      <c r="H294" s="19" t="str">
        <f t="shared" si="25"/>
        <v/>
      </c>
    </row>
    <row r="295" spans="1:8" x14ac:dyDescent="0.2">
      <c r="A295" s="12" t="str">
        <f t="shared" si="26"/>
        <v/>
      </c>
      <c r="B295" s="21" t="str">
        <f t="shared" si="27"/>
        <v/>
      </c>
      <c r="C295" s="17" t="str">
        <f t="shared" si="24"/>
        <v/>
      </c>
      <c r="D295" s="18" t="str">
        <f t="shared" si="28"/>
        <v/>
      </c>
      <c r="E295" t="str">
        <f t="shared" si="29"/>
        <v/>
      </c>
      <c r="F295" s="23" t="str">
        <f ca="1">IF(A295="","",IF($B$8="Sí",interpolar_alamb(E295,OFFSET(Curvas_cupon_cero!$A$1,1,0,COUNT(Curvas_cupon_cero!$A:$A)-2,1),OFFSET(Curvas_cupon_cero!$A$1,1,MATCH($B$6,Curvas_cupon_cero!$1:$1,0)-1,COUNT(Curvas_cupon_cero!$A:$A)-2,1)),interpolar(E295,OFFSET(Curvas_cupon_cero!$A$1,1,0,COUNT(Curvas_cupon_cero!$A:$A)-2,1),OFFSET(Curvas_cupon_cero!$A$1,1,MATCH($B$6,Curvas_cupon_cero!$1:$1,0)-1,COUNT(Curvas_cupon_cero!$A:$A)-2,1))))</f>
        <v/>
      </c>
      <c r="G295" s="23" t="str">
        <f ca="1">IF(A295="","",IF($B$8="Sí",interpolar_alamb(E295,OFFSET(Curvas_cupon_cero!$A$1,1,0,COUNT(Curvas_cupon_cero!$A:$A)-2,1),OFFSET(Curvas_cupon_cero!$A$1,1,MATCH($B$7,Curvas_cupon_cero!$1:$1,0)-1,COUNT(Curvas_cupon_cero!$A:$A)-2,1)),interpolar(E295,OFFSET(Curvas_cupon_cero!$A$1,1,0,COUNT(Curvas_cupon_cero!$A:$A)-2,1),OFFSET(Curvas_cupon_cero!$A$1,1,MATCH($B$7,Curvas_cupon_cero!$1:$1,0)-1,COUNT(Curvas_cupon_cero!$A:$A)-2,1))))</f>
        <v/>
      </c>
      <c r="H295" s="19" t="str">
        <f t="shared" si="25"/>
        <v/>
      </c>
    </row>
    <row r="296" spans="1:8" x14ac:dyDescent="0.2">
      <c r="A296" s="12" t="str">
        <f t="shared" si="26"/>
        <v/>
      </c>
      <c r="B296" s="21" t="str">
        <f t="shared" si="27"/>
        <v/>
      </c>
      <c r="C296" s="17" t="str">
        <f t="shared" si="24"/>
        <v/>
      </c>
      <c r="D296" s="18" t="str">
        <f t="shared" si="28"/>
        <v/>
      </c>
      <c r="E296" t="str">
        <f t="shared" si="29"/>
        <v/>
      </c>
      <c r="F296" s="23" t="str">
        <f ca="1">IF(A296="","",IF($B$8="Sí",interpolar_alamb(E296,OFFSET(Curvas_cupon_cero!$A$1,1,0,COUNT(Curvas_cupon_cero!$A:$A)-2,1),OFFSET(Curvas_cupon_cero!$A$1,1,MATCH($B$6,Curvas_cupon_cero!$1:$1,0)-1,COUNT(Curvas_cupon_cero!$A:$A)-2,1)),interpolar(E296,OFFSET(Curvas_cupon_cero!$A$1,1,0,COUNT(Curvas_cupon_cero!$A:$A)-2,1),OFFSET(Curvas_cupon_cero!$A$1,1,MATCH($B$6,Curvas_cupon_cero!$1:$1,0)-1,COUNT(Curvas_cupon_cero!$A:$A)-2,1))))</f>
        <v/>
      </c>
      <c r="G296" s="23" t="str">
        <f ca="1">IF(A296="","",IF($B$8="Sí",interpolar_alamb(E296,OFFSET(Curvas_cupon_cero!$A$1,1,0,COUNT(Curvas_cupon_cero!$A:$A)-2,1),OFFSET(Curvas_cupon_cero!$A$1,1,MATCH($B$7,Curvas_cupon_cero!$1:$1,0)-1,COUNT(Curvas_cupon_cero!$A:$A)-2,1)),interpolar(E296,OFFSET(Curvas_cupon_cero!$A$1,1,0,COUNT(Curvas_cupon_cero!$A:$A)-2,1),OFFSET(Curvas_cupon_cero!$A$1,1,MATCH($B$7,Curvas_cupon_cero!$1:$1,0)-1,COUNT(Curvas_cupon_cero!$A:$A)-2,1))))</f>
        <v/>
      </c>
      <c r="H296" s="19" t="str">
        <f t="shared" si="25"/>
        <v/>
      </c>
    </row>
    <row r="297" spans="1:8" x14ac:dyDescent="0.2">
      <c r="A297" s="12" t="str">
        <f t="shared" si="26"/>
        <v/>
      </c>
      <c r="B297" s="21" t="str">
        <f t="shared" si="27"/>
        <v/>
      </c>
      <c r="C297" s="17" t="str">
        <f t="shared" si="24"/>
        <v/>
      </c>
      <c r="D297" s="18" t="str">
        <f t="shared" si="28"/>
        <v/>
      </c>
      <c r="E297" t="str">
        <f t="shared" si="29"/>
        <v/>
      </c>
      <c r="F297" s="23" t="str">
        <f ca="1">IF(A297="","",IF($B$8="Sí",interpolar_alamb(E297,OFFSET(Curvas_cupon_cero!$A$1,1,0,COUNT(Curvas_cupon_cero!$A:$A)-2,1),OFFSET(Curvas_cupon_cero!$A$1,1,MATCH($B$6,Curvas_cupon_cero!$1:$1,0)-1,COUNT(Curvas_cupon_cero!$A:$A)-2,1)),interpolar(E297,OFFSET(Curvas_cupon_cero!$A$1,1,0,COUNT(Curvas_cupon_cero!$A:$A)-2,1),OFFSET(Curvas_cupon_cero!$A$1,1,MATCH($B$6,Curvas_cupon_cero!$1:$1,0)-1,COUNT(Curvas_cupon_cero!$A:$A)-2,1))))</f>
        <v/>
      </c>
      <c r="G297" s="23" t="str">
        <f ca="1">IF(A297="","",IF($B$8="Sí",interpolar_alamb(E297,OFFSET(Curvas_cupon_cero!$A$1,1,0,COUNT(Curvas_cupon_cero!$A:$A)-2,1),OFFSET(Curvas_cupon_cero!$A$1,1,MATCH($B$7,Curvas_cupon_cero!$1:$1,0)-1,COUNT(Curvas_cupon_cero!$A:$A)-2,1)),interpolar(E297,OFFSET(Curvas_cupon_cero!$A$1,1,0,COUNT(Curvas_cupon_cero!$A:$A)-2,1),OFFSET(Curvas_cupon_cero!$A$1,1,MATCH($B$7,Curvas_cupon_cero!$1:$1,0)-1,COUNT(Curvas_cupon_cero!$A:$A)-2,1))))</f>
        <v/>
      </c>
      <c r="H297" s="19" t="str">
        <f t="shared" si="25"/>
        <v/>
      </c>
    </row>
    <row r="298" spans="1:8" x14ac:dyDescent="0.2">
      <c r="A298" s="12" t="str">
        <f t="shared" si="26"/>
        <v/>
      </c>
      <c r="B298" s="21" t="str">
        <f t="shared" si="27"/>
        <v/>
      </c>
      <c r="C298" s="17" t="str">
        <f t="shared" si="24"/>
        <v/>
      </c>
      <c r="D298" s="18" t="str">
        <f t="shared" si="28"/>
        <v/>
      </c>
      <c r="E298" t="str">
        <f t="shared" si="29"/>
        <v/>
      </c>
      <c r="F298" s="23" t="str">
        <f ca="1">IF(A298="","",IF($B$8="Sí",interpolar_alamb(E298,OFFSET(Curvas_cupon_cero!$A$1,1,0,COUNT(Curvas_cupon_cero!$A:$A)-2,1),OFFSET(Curvas_cupon_cero!$A$1,1,MATCH($B$6,Curvas_cupon_cero!$1:$1,0)-1,COUNT(Curvas_cupon_cero!$A:$A)-2,1)),interpolar(E298,OFFSET(Curvas_cupon_cero!$A$1,1,0,COUNT(Curvas_cupon_cero!$A:$A)-2,1),OFFSET(Curvas_cupon_cero!$A$1,1,MATCH($B$6,Curvas_cupon_cero!$1:$1,0)-1,COUNT(Curvas_cupon_cero!$A:$A)-2,1))))</f>
        <v/>
      </c>
      <c r="G298" s="23" t="str">
        <f ca="1">IF(A298="","",IF($B$8="Sí",interpolar_alamb(E298,OFFSET(Curvas_cupon_cero!$A$1,1,0,COUNT(Curvas_cupon_cero!$A:$A)-2,1),OFFSET(Curvas_cupon_cero!$A$1,1,MATCH($B$7,Curvas_cupon_cero!$1:$1,0)-1,COUNT(Curvas_cupon_cero!$A:$A)-2,1)),interpolar(E298,OFFSET(Curvas_cupon_cero!$A$1,1,0,COUNT(Curvas_cupon_cero!$A:$A)-2,1),OFFSET(Curvas_cupon_cero!$A$1,1,MATCH($B$7,Curvas_cupon_cero!$1:$1,0)-1,COUNT(Curvas_cupon_cero!$A:$A)-2,1))))</f>
        <v/>
      </c>
      <c r="H298" s="19" t="str">
        <f t="shared" si="25"/>
        <v/>
      </c>
    </row>
    <row r="299" spans="1:8" x14ac:dyDescent="0.2">
      <c r="A299" s="12" t="str">
        <f t="shared" si="26"/>
        <v/>
      </c>
      <c r="B299" s="21" t="str">
        <f t="shared" si="27"/>
        <v/>
      </c>
      <c r="C299" s="17" t="str">
        <f t="shared" si="24"/>
        <v/>
      </c>
      <c r="D299" s="18" t="str">
        <f t="shared" si="28"/>
        <v/>
      </c>
      <c r="E299" t="str">
        <f t="shared" si="29"/>
        <v/>
      </c>
      <c r="F299" s="23" t="str">
        <f ca="1">IF(A299="","",IF($B$8="Sí",interpolar_alamb(E299,OFFSET(Curvas_cupon_cero!$A$1,1,0,COUNT(Curvas_cupon_cero!$A:$A)-2,1),OFFSET(Curvas_cupon_cero!$A$1,1,MATCH($B$6,Curvas_cupon_cero!$1:$1,0)-1,COUNT(Curvas_cupon_cero!$A:$A)-2,1)),interpolar(E299,OFFSET(Curvas_cupon_cero!$A$1,1,0,COUNT(Curvas_cupon_cero!$A:$A)-2,1),OFFSET(Curvas_cupon_cero!$A$1,1,MATCH($B$6,Curvas_cupon_cero!$1:$1,0)-1,COUNT(Curvas_cupon_cero!$A:$A)-2,1))))</f>
        <v/>
      </c>
      <c r="G299" s="23" t="str">
        <f ca="1">IF(A299="","",IF($B$8="Sí",interpolar_alamb(E299,OFFSET(Curvas_cupon_cero!$A$1,1,0,COUNT(Curvas_cupon_cero!$A:$A)-2,1),OFFSET(Curvas_cupon_cero!$A$1,1,MATCH($B$7,Curvas_cupon_cero!$1:$1,0)-1,COUNT(Curvas_cupon_cero!$A:$A)-2,1)),interpolar(E299,OFFSET(Curvas_cupon_cero!$A$1,1,0,COUNT(Curvas_cupon_cero!$A:$A)-2,1),OFFSET(Curvas_cupon_cero!$A$1,1,MATCH($B$7,Curvas_cupon_cero!$1:$1,0)-1,COUNT(Curvas_cupon_cero!$A:$A)-2,1))))</f>
        <v/>
      </c>
      <c r="H299" s="19" t="str">
        <f t="shared" si="25"/>
        <v/>
      </c>
    </row>
    <row r="300" spans="1:8" x14ac:dyDescent="0.2">
      <c r="A300" s="12" t="str">
        <f t="shared" si="26"/>
        <v/>
      </c>
      <c r="B300" s="21" t="str">
        <f t="shared" si="27"/>
        <v/>
      </c>
      <c r="C300" s="17" t="str">
        <f t="shared" si="24"/>
        <v/>
      </c>
      <c r="D300" s="18" t="str">
        <f t="shared" si="28"/>
        <v/>
      </c>
      <c r="E300" t="str">
        <f t="shared" si="29"/>
        <v/>
      </c>
      <c r="F300" s="23" t="str">
        <f ca="1">IF(A300="","",IF($B$8="Sí",interpolar_alamb(E300,OFFSET(Curvas_cupon_cero!$A$1,1,0,COUNT(Curvas_cupon_cero!$A:$A)-2,1),OFFSET(Curvas_cupon_cero!$A$1,1,MATCH($B$6,Curvas_cupon_cero!$1:$1,0)-1,COUNT(Curvas_cupon_cero!$A:$A)-2,1)),interpolar(E300,OFFSET(Curvas_cupon_cero!$A$1,1,0,COUNT(Curvas_cupon_cero!$A:$A)-2,1),OFFSET(Curvas_cupon_cero!$A$1,1,MATCH($B$6,Curvas_cupon_cero!$1:$1,0)-1,COUNT(Curvas_cupon_cero!$A:$A)-2,1))))</f>
        <v/>
      </c>
      <c r="G300" s="23" t="str">
        <f ca="1">IF(A300="","",IF($B$8="Sí",interpolar_alamb(E300,OFFSET(Curvas_cupon_cero!$A$1,1,0,COUNT(Curvas_cupon_cero!$A:$A)-2,1),OFFSET(Curvas_cupon_cero!$A$1,1,MATCH($B$7,Curvas_cupon_cero!$1:$1,0)-1,COUNT(Curvas_cupon_cero!$A:$A)-2,1)),interpolar(E300,OFFSET(Curvas_cupon_cero!$A$1,1,0,COUNT(Curvas_cupon_cero!$A:$A)-2,1),OFFSET(Curvas_cupon_cero!$A$1,1,MATCH($B$7,Curvas_cupon_cero!$1:$1,0)-1,COUNT(Curvas_cupon_cero!$A:$A)-2,1))))</f>
        <v/>
      </c>
      <c r="H300" s="19" t="str">
        <f t="shared" si="25"/>
        <v/>
      </c>
    </row>
    <row r="301" spans="1:8" x14ac:dyDescent="0.2">
      <c r="A301" s="12" t="str">
        <f t="shared" si="26"/>
        <v/>
      </c>
      <c r="B301" s="21" t="str">
        <f t="shared" si="27"/>
        <v/>
      </c>
      <c r="C301" s="17" t="str">
        <f t="shared" si="24"/>
        <v/>
      </c>
      <c r="D301" s="18" t="str">
        <f t="shared" si="28"/>
        <v/>
      </c>
      <c r="E301" t="str">
        <f t="shared" si="29"/>
        <v/>
      </c>
      <c r="F301" s="23" t="str">
        <f ca="1">IF(A301="","",IF($B$8="Sí",interpolar_alamb(E301,OFFSET(Curvas_cupon_cero!$A$1,1,0,COUNT(Curvas_cupon_cero!$A:$A)-2,1),OFFSET(Curvas_cupon_cero!$A$1,1,MATCH($B$6,Curvas_cupon_cero!$1:$1,0)-1,COUNT(Curvas_cupon_cero!$A:$A)-2,1)),interpolar(E301,OFFSET(Curvas_cupon_cero!$A$1,1,0,COUNT(Curvas_cupon_cero!$A:$A)-2,1),OFFSET(Curvas_cupon_cero!$A$1,1,MATCH($B$6,Curvas_cupon_cero!$1:$1,0)-1,COUNT(Curvas_cupon_cero!$A:$A)-2,1))))</f>
        <v/>
      </c>
      <c r="G301" s="23" t="str">
        <f ca="1">IF(A301="","",IF($B$8="Sí",interpolar_alamb(E301,OFFSET(Curvas_cupon_cero!$A$1,1,0,COUNT(Curvas_cupon_cero!$A:$A)-2,1),OFFSET(Curvas_cupon_cero!$A$1,1,MATCH($B$7,Curvas_cupon_cero!$1:$1,0)-1,COUNT(Curvas_cupon_cero!$A:$A)-2,1)),interpolar(E301,OFFSET(Curvas_cupon_cero!$A$1,1,0,COUNT(Curvas_cupon_cero!$A:$A)-2,1),OFFSET(Curvas_cupon_cero!$A$1,1,MATCH($B$7,Curvas_cupon_cero!$1:$1,0)-1,COUNT(Curvas_cupon_cero!$A:$A)-2,1))))</f>
        <v/>
      </c>
      <c r="H301" s="19" t="str">
        <f t="shared" si="25"/>
        <v/>
      </c>
    </row>
    <row r="302" spans="1:8" x14ac:dyDescent="0.2">
      <c r="A302" s="12" t="str">
        <f t="shared" si="26"/>
        <v/>
      </c>
      <c r="B302" s="21" t="str">
        <f t="shared" si="27"/>
        <v/>
      </c>
      <c r="C302" s="17" t="str">
        <f t="shared" si="24"/>
        <v/>
      </c>
      <c r="D302" s="18" t="str">
        <f t="shared" si="28"/>
        <v/>
      </c>
      <c r="E302" t="str">
        <f t="shared" si="29"/>
        <v/>
      </c>
      <c r="F302" s="23" t="str">
        <f ca="1">IF(A302="","",IF($B$8="Sí",interpolar_alamb(E302,OFFSET(Curvas_cupon_cero!$A$1,1,0,COUNT(Curvas_cupon_cero!$A:$A)-2,1),OFFSET(Curvas_cupon_cero!$A$1,1,MATCH($B$6,Curvas_cupon_cero!$1:$1,0)-1,COUNT(Curvas_cupon_cero!$A:$A)-2,1)),interpolar(E302,OFFSET(Curvas_cupon_cero!$A$1,1,0,COUNT(Curvas_cupon_cero!$A:$A)-2,1),OFFSET(Curvas_cupon_cero!$A$1,1,MATCH($B$6,Curvas_cupon_cero!$1:$1,0)-1,COUNT(Curvas_cupon_cero!$A:$A)-2,1))))</f>
        <v/>
      </c>
      <c r="G302" s="23" t="str">
        <f ca="1">IF(A302="","",IF($B$8="Sí",interpolar_alamb(E302,OFFSET(Curvas_cupon_cero!$A$1,1,0,COUNT(Curvas_cupon_cero!$A:$A)-2,1),OFFSET(Curvas_cupon_cero!$A$1,1,MATCH($B$7,Curvas_cupon_cero!$1:$1,0)-1,COUNT(Curvas_cupon_cero!$A:$A)-2,1)),interpolar(E302,OFFSET(Curvas_cupon_cero!$A$1,1,0,COUNT(Curvas_cupon_cero!$A:$A)-2,1),OFFSET(Curvas_cupon_cero!$A$1,1,MATCH($B$7,Curvas_cupon_cero!$1:$1,0)-1,COUNT(Curvas_cupon_cero!$A:$A)-2,1))))</f>
        <v/>
      </c>
      <c r="H302" s="19" t="str">
        <f t="shared" si="25"/>
        <v/>
      </c>
    </row>
    <row r="303" spans="1:8" x14ac:dyDescent="0.2">
      <c r="A303" s="12" t="str">
        <f t="shared" si="26"/>
        <v/>
      </c>
      <c r="B303" s="21" t="str">
        <f t="shared" si="27"/>
        <v/>
      </c>
      <c r="C303" s="17" t="str">
        <f t="shared" si="24"/>
        <v/>
      </c>
      <c r="D303" s="18" t="str">
        <f t="shared" si="28"/>
        <v/>
      </c>
      <c r="E303" t="str">
        <f t="shared" si="29"/>
        <v/>
      </c>
      <c r="F303" s="23" t="str">
        <f ca="1">IF(A303="","",IF($B$8="Sí",interpolar_alamb(E303,OFFSET(Curvas_cupon_cero!$A$1,1,0,COUNT(Curvas_cupon_cero!$A:$A)-2,1),OFFSET(Curvas_cupon_cero!$A$1,1,MATCH($B$6,Curvas_cupon_cero!$1:$1,0)-1,COUNT(Curvas_cupon_cero!$A:$A)-2,1)),interpolar(E303,OFFSET(Curvas_cupon_cero!$A$1,1,0,COUNT(Curvas_cupon_cero!$A:$A)-2,1),OFFSET(Curvas_cupon_cero!$A$1,1,MATCH($B$6,Curvas_cupon_cero!$1:$1,0)-1,COUNT(Curvas_cupon_cero!$A:$A)-2,1))))</f>
        <v/>
      </c>
      <c r="G303" s="23" t="str">
        <f ca="1">IF(A303="","",IF($B$8="Sí",interpolar_alamb(E303,OFFSET(Curvas_cupon_cero!$A$1,1,0,COUNT(Curvas_cupon_cero!$A:$A)-2,1),OFFSET(Curvas_cupon_cero!$A$1,1,MATCH($B$7,Curvas_cupon_cero!$1:$1,0)-1,COUNT(Curvas_cupon_cero!$A:$A)-2,1)),interpolar(E303,OFFSET(Curvas_cupon_cero!$A$1,1,0,COUNT(Curvas_cupon_cero!$A:$A)-2,1),OFFSET(Curvas_cupon_cero!$A$1,1,MATCH($B$7,Curvas_cupon_cero!$1:$1,0)-1,COUNT(Curvas_cupon_cero!$A:$A)-2,1))))</f>
        <v/>
      </c>
      <c r="H303" s="19" t="str">
        <f t="shared" si="25"/>
        <v/>
      </c>
    </row>
    <row r="304" spans="1:8" x14ac:dyDescent="0.2">
      <c r="A304" s="12" t="str">
        <f t="shared" si="26"/>
        <v/>
      </c>
      <c r="B304" s="21" t="str">
        <f t="shared" si="27"/>
        <v/>
      </c>
      <c r="C304" s="17" t="str">
        <f t="shared" si="24"/>
        <v/>
      </c>
      <c r="D304" s="18" t="str">
        <f t="shared" si="28"/>
        <v/>
      </c>
      <c r="E304" t="str">
        <f t="shared" si="29"/>
        <v/>
      </c>
      <c r="F304" s="23" t="str">
        <f ca="1">IF(A304="","",IF($B$8="Sí",interpolar_alamb(E304,OFFSET(Curvas_cupon_cero!$A$1,1,0,COUNT(Curvas_cupon_cero!$A:$A)-2,1),OFFSET(Curvas_cupon_cero!$A$1,1,MATCH($B$6,Curvas_cupon_cero!$1:$1,0)-1,COUNT(Curvas_cupon_cero!$A:$A)-2,1)),interpolar(E304,OFFSET(Curvas_cupon_cero!$A$1,1,0,COUNT(Curvas_cupon_cero!$A:$A)-2,1),OFFSET(Curvas_cupon_cero!$A$1,1,MATCH($B$6,Curvas_cupon_cero!$1:$1,0)-1,COUNT(Curvas_cupon_cero!$A:$A)-2,1))))</f>
        <v/>
      </c>
      <c r="G304" s="23" t="str">
        <f ca="1">IF(A304="","",IF($B$8="Sí",interpolar_alamb(E304,OFFSET(Curvas_cupon_cero!$A$1,1,0,COUNT(Curvas_cupon_cero!$A:$A)-2,1),OFFSET(Curvas_cupon_cero!$A$1,1,MATCH($B$7,Curvas_cupon_cero!$1:$1,0)-1,COUNT(Curvas_cupon_cero!$A:$A)-2,1)),interpolar(E304,OFFSET(Curvas_cupon_cero!$A$1,1,0,COUNT(Curvas_cupon_cero!$A:$A)-2,1),OFFSET(Curvas_cupon_cero!$A$1,1,MATCH($B$7,Curvas_cupon_cero!$1:$1,0)-1,COUNT(Curvas_cupon_cero!$A:$A)-2,1))))</f>
        <v/>
      </c>
      <c r="H304" s="19" t="str">
        <f t="shared" si="25"/>
        <v/>
      </c>
    </row>
    <row r="305" spans="1:8" x14ac:dyDescent="0.2">
      <c r="A305" s="12" t="str">
        <f t="shared" si="26"/>
        <v/>
      </c>
      <c r="B305" s="21" t="str">
        <f t="shared" si="27"/>
        <v/>
      </c>
      <c r="C305" s="17" t="str">
        <f t="shared" si="24"/>
        <v/>
      </c>
      <c r="D305" s="18" t="str">
        <f t="shared" si="28"/>
        <v/>
      </c>
      <c r="E305" t="str">
        <f t="shared" si="29"/>
        <v/>
      </c>
      <c r="F305" s="23" t="str">
        <f ca="1">IF(A305="","",IF($B$8="Sí",interpolar_alamb(E305,OFFSET(Curvas_cupon_cero!$A$1,1,0,COUNT(Curvas_cupon_cero!$A:$A)-2,1),OFFSET(Curvas_cupon_cero!$A$1,1,MATCH($B$6,Curvas_cupon_cero!$1:$1,0)-1,COUNT(Curvas_cupon_cero!$A:$A)-2,1)),interpolar(E305,OFFSET(Curvas_cupon_cero!$A$1,1,0,COUNT(Curvas_cupon_cero!$A:$A)-2,1),OFFSET(Curvas_cupon_cero!$A$1,1,MATCH($B$6,Curvas_cupon_cero!$1:$1,0)-1,COUNT(Curvas_cupon_cero!$A:$A)-2,1))))</f>
        <v/>
      </c>
      <c r="G305" s="23" t="str">
        <f ca="1">IF(A305="","",IF($B$8="Sí",interpolar_alamb(E305,OFFSET(Curvas_cupon_cero!$A$1,1,0,COUNT(Curvas_cupon_cero!$A:$A)-2,1),OFFSET(Curvas_cupon_cero!$A$1,1,MATCH($B$7,Curvas_cupon_cero!$1:$1,0)-1,COUNT(Curvas_cupon_cero!$A:$A)-2,1)),interpolar(E305,OFFSET(Curvas_cupon_cero!$A$1,1,0,COUNT(Curvas_cupon_cero!$A:$A)-2,1),OFFSET(Curvas_cupon_cero!$A$1,1,MATCH($B$7,Curvas_cupon_cero!$1:$1,0)-1,COUNT(Curvas_cupon_cero!$A:$A)-2,1))))</f>
        <v/>
      </c>
      <c r="H305" s="19" t="str">
        <f t="shared" si="25"/>
        <v/>
      </c>
    </row>
    <row r="306" spans="1:8" x14ac:dyDescent="0.2">
      <c r="A306" s="12" t="str">
        <f t="shared" si="26"/>
        <v/>
      </c>
      <c r="B306" s="21" t="str">
        <f t="shared" si="27"/>
        <v/>
      </c>
      <c r="C306" s="17" t="str">
        <f t="shared" si="24"/>
        <v/>
      </c>
      <c r="D306" s="18" t="str">
        <f t="shared" si="28"/>
        <v/>
      </c>
      <c r="E306" t="str">
        <f t="shared" si="29"/>
        <v/>
      </c>
      <c r="F306" s="23" t="str">
        <f ca="1">IF(A306="","",IF($B$8="Sí",interpolar_alamb(E306,OFFSET(Curvas_cupon_cero!$A$1,1,0,COUNT(Curvas_cupon_cero!$A:$A)-2,1),OFFSET(Curvas_cupon_cero!$A$1,1,MATCH($B$6,Curvas_cupon_cero!$1:$1,0)-1,COUNT(Curvas_cupon_cero!$A:$A)-2,1)),interpolar(E306,OFFSET(Curvas_cupon_cero!$A$1,1,0,COUNT(Curvas_cupon_cero!$A:$A)-2,1),OFFSET(Curvas_cupon_cero!$A$1,1,MATCH($B$6,Curvas_cupon_cero!$1:$1,0)-1,COUNT(Curvas_cupon_cero!$A:$A)-2,1))))</f>
        <v/>
      </c>
      <c r="G306" s="23" t="str">
        <f ca="1">IF(A306="","",IF($B$8="Sí",interpolar_alamb(E306,OFFSET(Curvas_cupon_cero!$A$1,1,0,COUNT(Curvas_cupon_cero!$A:$A)-2,1),OFFSET(Curvas_cupon_cero!$A$1,1,MATCH($B$7,Curvas_cupon_cero!$1:$1,0)-1,COUNT(Curvas_cupon_cero!$A:$A)-2,1)),interpolar(E306,OFFSET(Curvas_cupon_cero!$A$1,1,0,COUNT(Curvas_cupon_cero!$A:$A)-2,1),OFFSET(Curvas_cupon_cero!$A$1,1,MATCH($B$7,Curvas_cupon_cero!$1:$1,0)-1,COUNT(Curvas_cupon_cero!$A:$A)-2,1))))</f>
        <v/>
      </c>
      <c r="H306" s="19" t="str">
        <f t="shared" si="25"/>
        <v/>
      </c>
    </row>
    <row r="307" spans="1:8" x14ac:dyDescent="0.2">
      <c r="A307" s="12" t="str">
        <f t="shared" si="26"/>
        <v/>
      </c>
      <c r="B307" s="21" t="str">
        <f t="shared" si="27"/>
        <v/>
      </c>
      <c r="C307" s="17" t="str">
        <f t="shared" si="24"/>
        <v/>
      </c>
      <c r="D307" s="18" t="str">
        <f t="shared" si="28"/>
        <v/>
      </c>
      <c r="E307" t="str">
        <f t="shared" si="29"/>
        <v/>
      </c>
      <c r="F307" s="23" t="str">
        <f ca="1">IF(A307="","",IF($B$8="Sí",interpolar_alamb(E307,OFFSET(Curvas_cupon_cero!$A$1,1,0,COUNT(Curvas_cupon_cero!$A:$A)-2,1),OFFSET(Curvas_cupon_cero!$A$1,1,MATCH($B$6,Curvas_cupon_cero!$1:$1,0)-1,COUNT(Curvas_cupon_cero!$A:$A)-2,1)),interpolar(E307,OFFSET(Curvas_cupon_cero!$A$1,1,0,COUNT(Curvas_cupon_cero!$A:$A)-2,1),OFFSET(Curvas_cupon_cero!$A$1,1,MATCH($B$6,Curvas_cupon_cero!$1:$1,0)-1,COUNT(Curvas_cupon_cero!$A:$A)-2,1))))</f>
        <v/>
      </c>
      <c r="G307" s="23" t="str">
        <f ca="1">IF(A307="","",IF($B$8="Sí",interpolar_alamb(E307,OFFSET(Curvas_cupon_cero!$A$1,1,0,COUNT(Curvas_cupon_cero!$A:$A)-2,1),OFFSET(Curvas_cupon_cero!$A$1,1,MATCH($B$7,Curvas_cupon_cero!$1:$1,0)-1,COUNT(Curvas_cupon_cero!$A:$A)-2,1)),interpolar(E307,OFFSET(Curvas_cupon_cero!$A$1,1,0,COUNT(Curvas_cupon_cero!$A:$A)-2,1),OFFSET(Curvas_cupon_cero!$A$1,1,MATCH($B$7,Curvas_cupon_cero!$1:$1,0)-1,COUNT(Curvas_cupon_cero!$A:$A)-2,1))))</f>
        <v/>
      </c>
      <c r="H307" s="19" t="str">
        <f t="shared" si="25"/>
        <v/>
      </c>
    </row>
    <row r="308" spans="1:8" x14ac:dyDescent="0.2">
      <c r="A308" s="12" t="str">
        <f t="shared" si="26"/>
        <v/>
      </c>
      <c r="B308" s="21" t="str">
        <f t="shared" si="27"/>
        <v/>
      </c>
      <c r="C308" s="17" t="str">
        <f t="shared" si="24"/>
        <v/>
      </c>
      <c r="D308" s="18" t="str">
        <f t="shared" si="28"/>
        <v/>
      </c>
      <c r="E308" t="str">
        <f t="shared" si="29"/>
        <v/>
      </c>
      <c r="F308" s="23" t="str">
        <f ca="1">IF(A308="","",IF($B$8="Sí",interpolar_alamb(E308,OFFSET(Curvas_cupon_cero!$A$1,1,0,COUNT(Curvas_cupon_cero!$A:$A)-2,1),OFFSET(Curvas_cupon_cero!$A$1,1,MATCH($B$6,Curvas_cupon_cero!$1:$1,0)-1,COUNT(Curvas_cupon_cero!$A:$A)-2,1)),interpolar(E308,OFFSET(Curvas_cupon_cero!$A$1,1,0,COUNT(Curvas_cupon_cero!$A:$A)-2,1),OFFSET(Curvas_cupon_cero!$A$1,1,MATCH($B$6,Curvas_cupon_cero!$1:$1,0)-1,COUNT(Curvas_cupon_cero!$A:$A)-2,1))))</f>
        <v/>
      </c>
      <c r="G308" s="23" t="str">
        <f ca="1">IF(A308="","",IF($B$8="Sí",interpolar_alamb(E308,OFFSET(Curvas_cupon_cero!$A$1,1,0,COUNT(Curvas_cupon_cero!$A:$A)-2,1),OFFSET(Curvas_cupon_cero!$A$1,1,MATCH($B$7,Curvas_cupon_cero!$1:$1,0)-1,COUNT(Curvas_cupon_cero!$A:$A)-2,1)),interpolar(E308,OFFSET(Curvas_cupon_cero!$A$1,1,0,COUNT(Curvas_cupon_cero!$A:$A)-2,1),OFFSET(Curvas_cupon_cero!$A$1,1,MATCH($B$7,Curvas_cupon_cero!$1:$1,0)-1,COUNT(Curvas_cupon_cero!$A:$A)-2,1))))</f>
        <v/>
      </c>
      <c r="H308" s="19" t="str">
        <f t="shared" si="25"/>
        <v/>
      </c>
    </row>
    <row r="309" spans="1:8" x14ac:dyDescent="0.2">
      <c r="A309" s="12" t="str">
        <f t="shared" si="26"/>
        <v/>
      </c>
      <c r="B309" s="21" t="str">
        <f t="shared" si="27"/>
        <v/>
      </c>
      <c r="C309" s="17" t="str">
        <f t="shared" si="24"/>
        <v/>
      </c>
      <c r="D309" s="18" t="str">
        <f t="shared" si="28"/>
        <v/>
      </c>
      <c r="E309" t="str">
        <f t="shared" si="29"/>
        <v/>
      </c>
      <c r="F309" s="23" t="str">
        <f ca="1">IF(A309="","",IF($B$8="Sí",interpolar_alamb(E309,OFFSET(Curvas_cupon_cero!$A$1,1,0,COUNT(Curvas_cupon_cero!$A:$A)-2,1),OFFSET(Curvas_cupon_cero!$A$1,1,MATCH($B$6,Curvas_cupon_cero!$1:$1,0)-1,COUNT(Curvas_cupon_cero!$A:$A)-2,1)),interpolar(E309,OFFSET(Curvas_cupon_cero!$A$1,1,0,COUNT(Curvas_cupon_cero!$A:$A)-2,1),OFFSET(Curvas_cupon_cero!$A$1,1,MATCH($B$6,Curvas_cupon_cero!$1:$1,0)-1,COUNT(Curvas_cupon_cero!$A:$A)-2,1))))</f>
        <v/>
      </c>
      <c r="G309" s="23" t="str">
        <f ca="1">IF(A309="","",IF($B$8="Sí",interpolar_alamb(E309,OFFSET(Curvas_cupon_cero!$A$1,1,0,COUNT(Curvas_cupon_cero!$A:$A)-2,1),OFFSET(Curvas_cupon_cero!$A$1,1,MATCH($B$7,Curvas_cupon_cero!$1:$1,0)-1,COUNT(Curvas_cupon_cero!$A:$A)-2,1)),interpolar(E309,OFFSET(Curvas_cupon_cero!$A$1,1,0,COUNT(Curvas_cupon_cero!$A:$A)-2,1),OFFSET(Curvas_cupon_cero!$A$1,1,MATCH($B$7,Curvas_cupon_cero!$1:$1,0)-1,COUNT(Curvas_cupon_cero!$A:$A)-2,1))))</f>
        <v/>
      </c>
      <c r="H309" s="19" t="str">
        <f t="shared" si="25"/>
        <v/>
      </c>
    </row>
    <row r="310" spans="1:8" x14ac:dyDescent="0.2">
      <c r="A310" s="12" t="str">
        <f t="shared" si="26"/>
        <v/>
      </c>
      <c r="B310" s="21" t="str">
        <f t="shared" si="27"/>
        <v/>
      </c>
      <c r="C310" s="17" t="str">
        <f t="shared" si="24"/>
        <v/>
      </c>
      <c r="D310" s="18" t="str">
        <f t="shared" si="28"/>
        <v/>
      </c>
      <c r="E310" t="str">
        <f t="shared" si="29"/>
        <v/>
      </c>
      <c r="F310" s="23" t="str">
        <f ca="1">IF(A310="","",IF($B$8="Sí",interpolar_alamb(E310,OFFSET(Curvas_cupon_cero!$A$1,1,0,COUNT(Curvas_cupon_cero!$A:$A)-2,1),OFFSET(Curvas_cupon_cero!$A$1,1,MATCH($B$6,Curvas_cupon_cero!$1:$1,0)-1,COUNT(Curvas_cupon_cero!$A:$A)-2,1)),interpolar(E310,OFFSET(Curvas_cupon_cero!$A$1,1,0,COUNT(Curvas_cupon_cero!$A:$A)-2,1),OFFSET(Curvas_cupon_cero!$A$1,1,MATCH($B$6,Curvas_cupon_cero!$1:$1,0)-1,COUNT(Curvas_cupon_cero!$A:$A)-2,1))))</f>
        <v/>
      </c>
      <c r="G310" s="23" t="str">
        <f ca="1">IF(A310="","",IF($B$8="Sí",interpolar_alamb(E310,OFFSET(Curvas_cupon_cero!$A$1,1,0,COUNT(Curvas_cupon_cero!$A:$A)-2,1),OFFSET(Curvas_cupon_cero!$A$1,1,MATCH($B$7,Curvas_cupon_cero!$1:$1,0)-1,COUNT(Curvas_cupon_cero!$A:$A)-2,1)),interpolar(E310,OFFSET(Curvas_cupon_cero!$A$1,1,0,COUNT(Curvas_cupon_cero!$A:$A)-2,1),OFFSET(Curvas_cupon_cero!$A$1,1,MATCH($B$7,Curvas_cupon_cero!$1:$1,0)-1,COUNT(Curvas_cupon_cero!$A:$A)-2,1))))</f>
        <v/>
      </c>
      <c r="H310" s="19" t="str">
        <f t="shared" si="25"/>
        <v/>
      </c>
    </row>
    <row r="311" spans="1:8" x14ac:dyDescent="0.2">
      <c r="A311" s="12" t="str">
        <f t="shared" si="26"/>
        <v/>
      </c>
      <c r="B311" s="21" t="str">
        <f t="shared" si="27"/>
        <v/>
      </c>
      <c r="C311" s="17" t="str">
        <f t="shared" si="24"/>
        <v/>
      </c>
      <c r="D311" s="18" t="str">
        <f t="shared" si="28"/>
        <v/>
      </c>
      <c r="E311" t="str">
        <f t="shared" si="29"/>
        <v/>
      </c>
      <c r="F311" s="23" t="str">
        <f ca="1">IF(A311="","",IF($B$8="Sí",interpolar_alamb(E311,OFFSET(Curvas_cupon_cero!$A$1,1,0,COUNT(Curvas_cupon_cero!$A:$A)-2,1),OFFSET(Curvas_cupon_cero!$A$1,1,MATCH($B$6,Curvas_cupon_cero!$1:$1,0)-1,COUNT(Curvas_cupon_cero!$A:$A)-2,1)),interpolar(E311,OFFSET(Curvas_cupon_cero!$A$1,1,0,COUNT(Curvas_cupon_cero!$A:$A)-2,1),OFFSET(Curvas_cupon_cero!$A$1,1,MATCH($B$6,Curvas_cupon_cero!$1:$1,0)-1,COUNT(Curvas_cupon_cero!$A:$A)-2,1))))</f>
        <v/>
      </c>
      <c r="G311" s="23" t="str">
        <f ca="1">IF(A311="","",IF($B$8="Sí",interpolar_alamb(E311,OFFSET(Curvas_cupon_cero!$A$1,1,0,COUNT(Curvas_cupon_cero!$A:$A)-2,1),OFFSET(Curvas_cupon_cero!$A$1,1,MATCH($B$7,Curvas_cupon_cero!$1:$1,0)-1,COUNT(Curvas_cupon_cero!$A:$A)-2,1)),interpolar(E311,OFFSET(Curvas_cupon_cero!$A$1,1,0,COUNT(Curvas_cupon_cero!$A:$A)-2,1),OFFSET(Curvas_cupon_cero!$A$1,1,MATCH($B$7,Curvas_cupon_cero!$1:$1,0)-1,COUNT(Curvas_cupon_cero!$A:$A)-2,1))))</f>
        <v/>
      </c>
      <c r="H311" s="19" t="str">
        <f t="shared" si="25"/>
        <v/>
      </c>
    </row>
    <row r="312" spans="1:8" x14ac:dyDescent="0.2">
      <c r="A312" s="12" t="str">
        <f t="shared" si="26"/>
        <v/>
      </c>
      <c r="B312" s="21" t="str">
        <f t="shared" si="27"/>
        <v/>
      </c>
      <c r="C312" s="17" t="str">
        <f t="shared" si="24"/>
        <v/>
      </c>
      <c r="D312" s="18" t="str">
        <f t="shared" si="28"/>
        <v/>
      </c>
      <c r="E312" t="str">
        <f t="shared" si="29"/>
        <v/>
      </c>
      <c r="F312" s="23" t="str">
        <f ca="1">IF(A312="","",IF($B$8="Sí",interpolar_alamb(E312,OFFSET(Curvas_cupon_cero!$A$1,1,0,COUNT(Curvas_cupon_cero!$A:$A)-2,1),OFFSET(Curvas_cupon_cero!$A$1,1,MATCH($B$6,Curvas_cupon_cero!$1:$1,0)-1,COUNT(Curvas_cupon_cero!$A:$A)-2,1)),interpolar(E312,OFFSET(Curvas_cupon_cero!$A$1,1,0,COUNT(Curvas_cupon_cero!$A:$A)-2,1),OFFSET(Curvas_cupon_cero!$A$1,1,MATCH($B$6,Curvas_cupon_cero!$1:$1,0)-1,COUNT(Curvas_cupon_cero!$A:$A)-2,1))))</f>
        <v/>
      </c>
      <c r="G312" s="23" t="str">
        <f ca="1">IF(A312="","",IF($B$8="Sí",interpolar_alamb(E312,OFFSET(Curvas_cupon_cero!$A$1,1,0,COUNT(Curvas_cupon_cero!$A:$A)-2,1),OFFSET(Curvas_cupon_cero!$A$1,1,MATCH($B$7,Curvas_cupon_cero!$1:$1,0)-1,COUNT(Curvas_cupon_cero!$A:$A)-2,1)),interpolar(E312,OFFSET(Curvas_cupon_cero!$A$1,1,0,COUNT(Curvas_cupon_cero!$A:$A)-2,1),OFFSET(Curvas_cupon_cero!$A$1,1,MATCH($B$7,Curvas_cupon_cero!$1:$1,0)-1,COUNT(Curvas_cupon_cero!$A:$A)-2,1))))</f>
        <v/>
      </c>
      <c r="H312" s="19" t="str">
        <f t="shared" si="25"/>
        <v/>
      </c>
    </row>
    <row r="313" spans="1:8" x14ac:dyDescent="0.2">
      <c r="A313" s="12" t="str">
        <f t="shared" si="26"/>
        <v/>
      </c>
      <c r="B313" s="21" t="str">
        <f t="shared" si="27"/>
        <v/>
      </c>
      <c r="C313" s="17" t="str">
        <f t="shared" si="24"/>
        <v/>
      </c>
      <c r="D313" s="18" t="str">
        <f t="shared" si="28"/>
        <v/>
      </c>
      <c r="E313" t="str">
        <f t="shared" si="29"/>
        <v/>
      </c>
      <c r="F313" s="23" t="str">
        <f ca="1">IF(A313="","",IF($B$8="Sí",interpolar_alamb(E313,OFFSET(Curvas_cupon_cero!$A$1,1,0,COUNT(Curvas_cupon_cero!$A:$A)-2,1),OFFSET(Curvas_cupon_cero!$A$1,1,MATCH($B$6,Curvas_cupon_cero!$1:$1,0)-1,COUNT(Curvas_cupon_cero!$A:$A)-2,1)),interpolar(E313,OFFSET(Curvas_cupon_cero!$A$1,1,0,COUNT(Curvas_cupon_cero!$A:$A)-2,1),OFFSET(Curvas_cupon_cero!$A$1,1,MATCH($B$6,Curvas_cupon_cero!$1:$1,0)-1,COUNT(Curvas_cupon_cero!$A:$A)-2,1))))</f>
        <v/>
      </c>
      <c r="G313" s="23" t="str">
        <f ca="1">IF(A313="","",IF($B$8="Sí",interpolar_alamb(E313,OFFSET(Curvas_cupon_cero!$A$1,1,0,COUNT(Curvas_cupon_cero!$A:$A)-2,1),OFFSET(Curvas_cupon_cero!$A$1,1,MATCH($B$7,Curvas_cupon_cero!$1:$1,0)-1,COUNT(Curvas_cupon_cero!$A:$A)-2,1)),interpolar(E313,OFFSET(Curvas_cupon_cero!$A$1,1,0,COUNT(Curvas_cupon_cero!$A:$A)-2,1),OFFSET(Curvas_cupon_cero!$A$1,1,MATCH($B$7,Curvas_cupon_cero!$1:$1,0)-1,COUNT(Curvas_cupon_cero!$A:$A)-2,1))))</f>
        <v/>
      </c>
      <c r="H313" s="19" t="str">
        <f t="shared" si="25"/>
        <v/>
      </c>
    </row>
    <row r="314" spans="1:8" x14ac:dyDescent="0.2">
      <c r="A314" s="12" t="str">
        <f t="shared" si="26"/>
        <v/>
      </c>
      <c r="B314" s="21" t="str">
        <f t="shared" si="27"/>
        <v/>
      </c>
      <c r="C314" s="17" t="str">
        <f t="shared" si="24"/>
        <v/>
      </c>
      <c r="D314" s="18" t="str">
        <f t="shared" si="28"/>
        <v/>
      </c>
      <c r="E314" t="str">
        <f t="shared" si="29"/>
        <v/>
      </c>
      <c r="F314" s="23" t="str">
        <f ca="1">IF(A314="","",IF($B$8="Sí",interpolar_alamb(E314,OFFSET(Curvas_cupon_cero!$A$1,1,0,COUNT(Curvas_cupon_cero!$A:$A)-2,1),OFFSET(Curvas_cupon_cero!$A$1,1,MATCH($B$6,Curvas_cupon_cero!$1:$1,0)-1,COUNT(Curvas_cupon_cero!$A:$A)-2,1)),interpolar(E314,OFFSET(Curvas_cupon_cero!$A$1,1,0,COUNT(Curvas_cupon_cero!$A:$A)-2,1),OFFSET(Curvas_cupon_cero!$A$1,1,MATCH($B$6,Curvas_cupon_cero!$1:$1,0)-1,COUNT(Curvas_cupon_cero!$A:$A)-2,1))))</f>
        <v/>
      </c>
      <c r="G314" s="23" t="str">
        <f ca="1">IF(A314="","",IF($B$8="Sí",interpolar_alamb(E314,OFFSET(Curvas_cupon_cero!$A$1,1,0,COUNT(Curvas_cupon_cero!$A:$A)-2,1),OFFSET(Curvas_cupon_cero!$A$1,1,MATCH($B$7,Curvas_cupon_cero!$1:$1,0)-1,COUNT(Curvas_cupon_cero!$A:$A)-2,1)),interpolar(E314,OFFSET(Curvas_cupon_cero!$A$1,1,0,COUNT(Curvas_cupon_cero!$A:$A)-2,1),OFFSET(Curvas_cupon_cero!$A$1,1,MATCH($B$7,Curvas_cupon_cero!$1:$1,0)-1,COUNT(Curvas_cupon_cero!$A:$A)-2,1))))</f>
        <v/>
      </c>
      <c r="H314" s="19" t="str">
        <f t="shared" si="25"/>
        <v/>
      </c>
    </row>
    <row r="315" spans="1:8" x14ac:dyDescent="0.2">
      <c r="A315" s="12" t="str">
        <f t="shared" si="26"/>
        <v/>
      </c>
      <c r="B315" s="21" t="str">
        <f t="shared" si="27"/>
        <v/>
      </c>
      <c r="C315" s="17" t="str">
        <f t="shared" si="24"/>
        <v/>
      </c>
      <c r="D315" s="18" t="str">
        <f t="shared" si="28"/>
        <v/>
      </c>
      <c r="E315" t="str">
        <f t="shared" si="29"/>
        <v/>
      </c>
      <c r="F315" s="23" t="str">
        <f ca="1">IF(A315="","",IF($B$8="Sí",interpolar_alamb(E315,OFFSET(Curvas_cupon_cero!$A$1,1,0,COUNT(Curvas_cupon_cero!$A:$A)-2,1),OFFSET(Curvas_cupon_cero!$A$1,1,MATCH($B$6,Curvas_cupon_cero!$1:$1,0)-1,COUNT(Curvas_cupon_cero!$A:$A)-2,1)),interpolar(E315,OFFSET(Curvas_cupon_cero!$A$1,1,0,COUNT(Curvas_cupon_cero!$A:$A)-2,1),OFFSET(Curvas_cupon_cero!$A$1,1,MATCH($B$6,Curvas_cupon_cero!$1:$1,0)-1,COUNT(Curvas_cupon_cero!$A:$A)-2,1))))</f>
        <v/>
      </c>
      <c r="G315" s="23" t="str">
        <f ca="1">IF(A315="","",IF($B$8="Sí",interpolar_alamb(E315,OFFSET(Curvas_cupon_cero!$A$1,1,0,COUNT(Curvas_cupon_cero!$A:$A)-2,1),OFFSET(Curvas_cupon_cero!$A$1,1,MATCH($B$7,Curvas_cupon_cero!$1:$1,0)-1,COUNT(Curvas_cupon_cero!$A:$A)-2,1)),interpolar(E315,OFFSET(Curvas_cupon_cero!$A$1,1,0,COUNT(Curvas_cupon_cero!$A:$A)-2,1),OFFSET(Curvas_cupon_cero!$A$1,1,MATCH($B$7,Curvas_cupon_cero!$1:$1,0)-1,COUNT(Curvas_cupon_cero!$A:$A)-2,1))))</f>
        <v/>
      </c>
      <c r="H315" s="19" t="str">
        <f t="shared" si="25"/>
        <v/>
      </c>
    </row>
    <row r="316" spans="1:8" x14ac:dyDescent="0.2">
      <c r="A316" s="12" t="str">
        <f t="shared" si="26"/>
        <v/>
      </c>
      <c r="B316" s="21" t="str">
        <f t="shared" si="27"/>
        <v/>
      </c>
      <c r="C316" s="17" t="str">
        <f t="shared" si="24"/>
        <v/>
      </c>
      <c r="D316" s="18" t="str">
        <f t="shared" si="28"/>
        <v/>
      </c>
      <c r="E316" t="str">
        <f t="shared" si="29"/>
        <v/>
      </c>
      <c r="F316" s="23" t="str">
        <f ca="1">IF(A316="","",IF($B$8="Sí",interpolar_alamb(E316,OFFSET(Curvas_cupon_cero!$A$1,1,0,COUNT(Curvas_cupon_cero!$A:$A)-2,1),OFFSET(Curvas_cupon_cero!$A$1,1,MATCH($B$6,Curvas_cupon_cero!$1:$1,0)-1,COUNT(Curvas_cupon_cero!$A:$A)-2,1)),interpolar(E316,OFFSET(Curvas_cupon_cero!$A$1,1,0,COUNT(Curvas_cupon_cero!$A:$A)-2,1),OFFSET(Curvas_cupon_cero!$A$1,1,MATCH($B$6,Curvas_cupon_cero!$1:$1,0)-1,COUNT(Curvas_cupon_cero!$A:$A)-2,1))))</f>
        <v/>
      </c>
      <c r="G316" s="23" t="str">
        <f ca="1">IF(A316="","",IF($B$8="Sí",interpolar_alamb(E316,OFFSET(Curvas_cupon_cero!$A$1,1,0,COUNT(Curvas_cupon_cero!$A:$A)-2,1),OFFSET(Curvas_cupon_cero!$A$1,1,MATCH($B$7,Curvas_cupon_cero!$1:$1,0)-1,COUNT(Curvas_cupon_cero!$A:$A)-2,1)),interpolar(E316,OFFSET(Curvas_cupon_cero!$A$1,1,0,COUNT(Curvas_cupon_cero!$A:$A)-2,1),OFFSET(Curvas_cupon_cero!$A$1,1,MATCH($B$7,Curvas_cupon_cero!$1:$1,0)-1,COUNT(Curvas_cupon_cero!$A:$A)-2,1))))</f>
        <v/>
      </c>
      <c r="H316" s="19" t="str">
        <f t="shared" si="25"/>
        <v/>
      </c>
    </row>
    <row r="317" spans="1:8" x14ac:dyDescent="0.2">
      <c r="A317" s="12" t="str">
        <f t="shared" si="26"/>
        <v/>
      </c>
      <c r="B317" s="21" t="str">
        <f t="shared" si="27"/>
        <v/>
      </c>
      <c r="C317" s="17" t="str">
        <f t="shared" si="24"/>
        <v/>
      </c>
      <c r="D317" s="18" t="str">
        <f t="shared" si="28"/>
        <v/>
      </c>
      <c r="E317" t="str">
        <f t="shared" si="29"/>
        <v/>
      </c>
      <c r="F317" s="23" t="str">
        <f ca="1">IF(A317="","",IF($B$8="Sí",interpolar_alamb(E317,OFFSET(Curvas_cupon_cero!$A$1,1,0,COUNT(Curvas_cupon_cero!$A:$A)-2,1),OFFSET(Curvas_cupon_cero!$A$1,1,MATCH($B$6,Curvas_cupon_cero!$1:$1,0)-1,COUNT(Curvas_cupon_cero!$A:$A)-2,1)),interpolar(E317,OFFSET(Curvas_cupon_cero!$A$1,1,0,COUNT(Curvas_cupon_cero!$A:$A)-2,1),OFFSET(Curvas_cupon_cero!$A$1,1,MATCH($B$6,Curvas_cupon_cero!$1:$1,0)-1,COUNT(Curvas_cupon_cero!$A:$A)-2,1))))</f>
        <v/>
      </c>
      <c r="G317" s="23" t="str">
        <f ca="1">IF(A317="","",IF($B$8="Sí",interpolar_alamb(E317,OFFSET(Curvas_cupon_cero!$A$1,1,0,COUNT(Curvas_cupon_cero!$A:$A)-2,1),OFFSET(Curvas_cupon_cero!$A$1,1,MATCH($B$7,Curvas_cupon_cero!$1:$1,0)-1,COUNT(Curvas_cupon_cero!$A:$A)-2,1)),interpolar(E317,OFFSET(Curvas_cupon_cero!$A$1,1,0,COUNT(Curvas_cupon_cero!$A:$A)-2,1),OFFSET(Curvas_cupon_cero!$A$1,1,MATCH($B$7,Curvas_cupon_cero!$1:$1,0)-1,COUNT(Curvas_cupon_cero!$A:$A)-2,1))))</f>
        <v/>
      </c>
      <c r="H317" s="19" t="str">
        <f t="shared" si="25"/>
        <v/>
      </c>
    </row>
    <row r="318" spans="1:8" x14ac:dyDescent="0.2">
      <c r="A318" s="12" t="str">
        <f t="shared" si="26"/>
        <v/>
      </c>
      <c r="B318" s="21" t="str">
        <f t="shared" si="27"/>
        <v/>
      </c>
      <c r="C318" s="17" t="str">
        <f t="shared" si="24"/>
        <v/>
      </c>
      <c r="D318" s="18" t="str">
        <f t="shared" si="28"/>
        <v/>
      </c>
      <c r="E318" t="str">
        <f t="shared" si="29"/>
        <v/>
      </c>
      <c r="F318" s="23" t="str">
        <f ca="1">IF(A318="","",IF($B$8="Sí",interpolar_alamb(E318,OFFSET(Curvas_cupon_cero!$A$1,1,0,COUNT(Curvas_cupon_cero!$A:$A)-2,1),OFFSET(Curvas_cupon_cero!$A$1,1,MATCH($B$6,Curvas_cupon_cero!$1:$1,0)-1,COUNT(Curvas_cupon_cero!$A:$A)-2,1)),interpolar(E318,OFFSET(Curvas_cupon_cero!$A$1,1,0,COUNT(Curvas_cupon_cero!$A:$A)-2,1),OFFSET(Curvas_cupon_cero!$A$1,1,MATCH($B$6,Curvas_cupon_cero!$1:$1,0)-1,COUNT(Curvas_cupon_cero!$A:$A)-2,1))))</f>
        <v/>
      </c>
      <c r="G318" s="23" t="str">
        <f ca="1">IF(A318="","",IF($B$8="Sí",interpolar_alamb(E318,OFFSET(Curvas_cupon_cero!$A$1,1,0,COUNT(Curvas_cupon_cero!$A:$A)-2,1),OFFSET(Curvas_cupon_cero!$A$1,1,MATCH($B$7,Curvas_cupon_cero!$1:$1,0)-1,COUNT(Curvas_cupon_cero!$A:$A)-2,1)),interpolar(E318,OFFSET(Curvas_cupon_cero!$A$1,1,0,COUNT(Curvas_cupon_cero!$A:$A)-2,1),OFFSET(Curvas_cupon_cero!$A$1,1,MATCH($B$7,Curvas_cupon_cero!$1:$1,0)-1,COUNT(Curvas_cupon_cero!$A:$A)-2,1))))</f>
        <v/>
      </c>
      <c r="H318" s="19" t="str">
        <f t="shared" si="25"/>
        <v/>
      </c>
    </row>
    <row r="319" spans="1:8" x14ac:dyDescent="0.2">
      <c r="A319" s="12" t="str">
        <f t="shared" si="26"/>
        <v/>
      </c>
      <c r="B319" s="21" t="str">
        <f t="shared" si="27"/>
        <v/>
      </c>
      <c r="C319" s="17" t="str">
        <f t="shared" si="24"/>
        <v/>
      </c>
      <c r="D319" s="18" t="str">
        <f t="shared" si="28"/>
        <v/>
      </c>
      <c r="E319" t="str">
        <f t="shared" si="29"/>
        <v/>
      </c>
      <c r="F319" s="23" t="str">
        <f ca="1">IF(A319="","",IF($B$8="Sí",interpolar_alamb(E319,OFFSET(Curvas_cupon_cero!$A$1,1,0,COUNT(Curvas_cupon_cero!$A:$A)-2,1),OFFSET(Curvas_cupon_cero!$A$1,1,MATCH($B$6,Curvas_cupon_cero!$1:$1,0)-1,COUNT(Curvas_cupon_cero!$A:$A)-2,1)),interpolar(E319,OFFSET(Curvas_cupon_cero!$A$1,1,0,COUNT(Curvas_cupon_cero!$A:$A)-2,1),OFFSET(Curvas_cupon_cero!$A$1,1,MATCH($B$6,Curvas_cupon_cero!$1:$1,0)-1,COUNT(Curvas_cupon_cero!$A:$A)-2,1))))</f>
        <v/>
      </c>
      <c r="G319" s="23" t="str">
        <f ca="1">IF(A319="","",IF($B$8="Sí",interpolar_alamb(E319,OFFSET(Curvas_cupon_cero!$A$1,1,0,COUNT(Curvas_cupon_cero!$A:$A)-2,1),OFFSET(Curvas_cupon_cero!$A$1,1,MATCH($B$7,Curvas_cupon_cero!$1:$1,0)-1,COUNT(Curvas_cupon_cero!$A:$A)-2,1)),interpolar(E319,OFFSET(Curvas_cupon_cero!$A$1,1,0,COUNT(Curvas_cupon_cero!$A:$A)-2,1),OFFSET(Curvas_cupon_cero!$A$1,1,MATCH($B$7,Curvas_cupon_cero!$1:$1,0)-1,COUNT(Curvas_cupon_cero!$A:$A)-2,1))))</f>
        <v/>
      </c>
      <c r="H319" s="19" t="str">
        <f t="shared" si="25"/>
        <v/>
      </c>
    </row>
    <row r="320" spans="1:8" x14ac:dyDescent="0.2">
      <c r="A320" s="12" t="str">
        <f t="shared" si="26"/>
        <v/>
      </c>
      <c r="B320" s="21" t="str">
        <f t="shared" si="27"/>
        <v/>
      </c>
      <c r="C320" s="17" t="str">
        <f t="shared" si="24"/>
        <v/>
      </c>
      <c r="D320" s="18" t="str">
        <f t="shared" si="28"/>
        <v/>
      </c>
      <c r="E320" t="str">
        <f t="shared" si="29"/>
        <v/>
      </c>
      <c r="F320" s="23" t="str">
        <f ca="1">IF(A320="","",IF($B$8="Sí",interpolar_alamb(E320,OFFSET(Curvas_cupon_cero!$A$1,1,0,COUNT(Curvas_cupon_cero!$A:$A)-2,1),OFFSET(Curvas_cupon_cero!$A$1,1,MATCH($B$6,Curvas_cupon_cero!$1:$1,0)-1,COUNT(Curvas_cupon_cero!$A:$A)-2,1)),interpolar(E320,OFFSET(Curvas_cupon_cero!$A$1,1,0,COUNT(Curvas_cupon_cero!$A:$A)-2,1),OFFSET(Curvas_cupon_cero!$A$1,1,MATCH($B$6,Curvas_cupon_cero!$1:$1,0)-1,COUNT(Curvas_cupon_cero!$A:$A)-2,1))))</f>
        <v/>
      </c>
      <c r="G320" s="23" t="str">
        <f ca="1">IF(A320="","",IF($B$8="Sí",interpolar_alamb(E320,OFFSET(Curvas_cupon_cero!$A$1,1,0,COUNT(Curvas_cupon_cero!$A:$A)-2,1),OFFSET(Curvas_cupon_cero!$A$1,1,MATCH($B$7,Curvas_cupon_cero!$1:$1,0)-1,COUNT(Curvas_cupon_cero!$A:$A)-2,1)),interpolar(E320,OFFSET(Curvas_cupon_cero!$A$1,1,0,COUNT(Curvas_cupon_cero!$A:$A)-2,1),OFFSET(Curvas_cupon_cero!$A$1,1,MATCH($B$7,Curvas_cupon_cero!$1:$1,0)-1,COUNT(Curvas_cupon_cero!$A:$A)-2,1))))</f>
        <v/>
      </c>
      <c r="H320" s="19" t="str">
        <f t="shared" si="25"/>
        <v/>
      </c>
    </row>
    <row r="321" spans="1:8" x14ac:dyDescent="0.2">
      <c r="A321" s="12" t="str">
        <f t="shared" si="26"/>
        <v/>
      </c>
      <c r="B321" s="21" t="str">
        <f t="shared" si="27"/>
        <v/>
      </c>
      <c r="C321" s="17" t="str">
        <f t="shared" si="24"/>
        <v/>
      </c>
      <c r="D321" s="18" t="str">
        <f t="shared" si="28"/>
        <v/>
      </c>
      <c r="E321" t="str">
        <f t="shared" si="29"/>
        <v/>
      </c>
      <c r="F321" s="23" t="str">
        <f ca="1">IF(A321="","",IF($B$8="Sí",interpolar_alamb(E321,OFFSET(Curvas_cupon_cero!$A$1,1,0,COUNT(Curvas_cupon_cero!$A:$A)-2,1),OFFSET(Curvas_cupon_cero!$A$1,1,MATCH($B$6,Curvas_cupon_cero!$1:$1,0)-1,COUNT(Curvas_cupon_cero!$A:$A)-2,1)),interpolar(E321,OFFSET(Curvas_cupon_cero!$A$1,1,0,COUNT(Curvas_cupon_cero!$A:$A)-2,1),OFFSET(Curvas_cupon_cero!$A$1,1,MATCH($B$6,Curvas_cupon_cero!$1:$1,0)-1,COUNT(Curvas_cupon_cero!$A:$A)-2,1))))</f>
        <v/>
      </c>
      <c r="G321" s="23" t="str">
        <f ca="1">IF(A321="","",IF($B$8="Sí",interpolar_alamb(E321,OFFSET(Curvas_cupon_cero!$A$1,1,0,COUNT(Curvas_cupon_cero!$A:$A)-2,1),OFFSET(Curvas_cupon_cero!$A$1,1,MATCH($B$7,Curvas_cupon_cero!$1:$1,0)-1,COUNT(Curvas_cupon_cero!$A:$A)-2,1)),interpolar(E321,OFFSET(Curvas_cupon_cero!$A$1,1,0,COUNT(Curvas_cupon_cero!$A:$A)-2,1),OFFSET(Curvas_cupon_cero!$A$1,1,MATCH($B$7,Curvas_cupon_cero!$1:$1,0)-1,COUNT(Curvas_cupon_cero!$A:$A)-2,1))))</f>
        <v/>
      </c>
      <c r="H321" s="19" t="str">
        <f t="shared" si="25"/>
        <v/>
      </c>
    </row>
    <row r="322" spans="1:8" x14ac:dyDescent="0.2">
      <c r="A322" s="12" t="str">
        <f t="shared" si="26"/>
        <v/>
      </c>
      <c r="B322" s="21" t="str">
        <f t="shared" si="27"/>
        <v/>
      </c>
      <c r="C322" s="17" t="str">
        <f t="shared" si="24"/>
        <v/>
      </c>
      <c r="D322" s="18" t="str">
        <f t="shared" si="28"/>
        <v/>
      </c>
      <c r="E322" t="str">
        <f t="shared" si="29"/>
        <v/>
      </c>
      <c r="F322" s="23" t="str">
        <f ca="1">IF(A322="","",IF($B$8="Sí",interpolar_alamb(E322,OFFSET(Curvas_cupon_cero!$A$1,1,0,COUNT(Curvas_cupon_cero!$A:$A)-2,1),OFFSET(Curvas_cupon_cero!$A$1,1,MATCH($B$6,Curvas_cupon_cero!$1:$1,0)-1,COUNT(Curvas_cupon_cero!$A:$A)-2,1)),interpolar(E322,OFFSET(Curvas_cupon_cero!$A$1,1,0,COUNT(Curvas_cupon_cero!$A:$A)-2,1),OFFSET(Curvas_cupon_cero!$A$1,1,MATCH($B$6,Curvas_cupon_cero!$1:$1,0)-1,COUNT(Curvas_cupon_cero!$A:$A)-2,1))))</f>
        <v/>
      </c>
      <c r="G322" s="23" t="str">
        <f ca="1">IF(A322="","",IF($B$8="Sí",interpolar_alamb(E322,OFFSET(Curvas_cupon_cero!$A$1,1,0,COUNT(Curvas_cupon_cero!$A:$A)-2,1),OFFSET(Curvas_cupon_cero!$A$1,1,MATCH($B$7,Curvas_cupon_cero!$1:$1,0)-1,COUNT(Curvas_cupon_cero!$A:$A)-2,1)),interpolar(E322,OFFSET(Curvas_cupon_cero!$A$1,1,0,COUNT(Curvas_cupon_cero!$A:$A)-2,1),OFFSET(Curvas_cupon_cero!$A$1,1,MATCH($B$7,Curvas_cupon_cero!$1:$1,0)-1,COUNT(Curvas_cupon_cero!$A:$A)-2,1))))</f>
        <v/>
      </c>
      <c r="H322" s="19" t="str">
        <f t="shared" si="25"/>
        <v/>
      </c>
    </row>
    <row r="323" spans="1:8" x14ac:dyDescent="0.2">
      <c r="A323" s="12" t="str">
        <f t="shared" si="26"/>
        <v/>
      </c>
      <c r="B323" s="21" t="str">
        <f t="shared" si="27"/>
        <v/>
      </c>
      <c r="C323" s="17" t="str">
        <f t="shared" si="24"/>
        <v/>
      </c>
      <c r="D323" s="18" t="str">
        <f t="shared" si="28"/>
        <v/>
      </c>
      <c r="E323" t="str">
        <f t="shared" si="29"/>
        <v/>
      </c>
      <c r="F323" s="23" t="str">
        <f ca="1">IF(A323="","",IF($B$8="Sí",interpolar_alamb(E323,OFFSET(Curvas_cupon_cero!$A$1,1,0,COUNT(Curvas_cupon_cero!$A:$A)-2,1),OFFSET(Curvas_cupon_cero!$A$1,1,MATCH($B$6,Curvas_cupon_cero!$1:$1,0)-1,COUNT(Curvas_cupon_cero!$A:$A)-2,1)),interpolar(E323,OFFSET(Curvas_cupon_cero!$A$1,1,0,COUNT(Curvas_cupon_cero!$A:$A)-2,1),OFFSET(Curvas_cupon_cero!$A$1,1,MATCH($B$6,Curvas_cupon_cero!$1:$1,0)-1,COUNT(Curvas_cupon_cero!$A:$A)-2,1))))</f>
        <v/>
      </c>
      <c r="G323" s="23" t="str">
        <f ca="1">IF(A323="","",IF($B$8="Sí",interpolar_alamb(E323,OFFSET(Curvas_cupon_cero!$A$1,1,0,COUNT(Curvas_cupon_cero!$A:$A)-2,1),OFFSET(Curvas_cupon_cero!$A$1,1,MATCH($B$7,Curvas_cupon_cero!$1:$1,0)-1,COUNT(Curvas_cupon_cero!$A:$A)-2,1)),interpolar(E323,OFFSET(Curvas_cupon_cero!$A$1,1,0,COUNT(Curvas_cupon_cero!$A:$A)-2,1),OFFSET(Curvas_cupon_cero!$A$1,1,MATCH($B$7,Curvas_cupon_cero!$1:$1,0)-1,COUNT(Curvas_cupon_cero!$A:$A)-2,1))))</f>
        <v/>
      </c>
      <c r="H323" s="19" t="str">
        <f t="shared" si="25"/>
        <v/>
      </c>
    </row>
    <row r="324" spans="1:8" x14ac:dyDescent="0.2">
      <c r="A324" s="12" t="str">
        <f t="shared" si="26"/>
        <v/>
      </c>
      <c r="B324" s="21" t="str">
        <f t="shared" si="27"/>
        <v/>
      </c>
      <c r="C324" s="17" t="str">
        <f t="shared" si="24"/>
        <v/>
      </c>
      <c r="D324" s="18" t="str">
        <f t="shared" si="28"/>
        <v/>
      </c>
      <c r="E324" t="str">
        <f t="shared" si="29"/>
        <v/>
      </c>
      <c r="F324" s="23" t="str">
        <f ca="1">IF(A324="","",IF($B$8="Sí",interpolar_alamb(E324,OFFSET(Curvas_cupon_cero!$A$1,1,0,COUNT(Curvas_cupon_cero!$A:$A)-2,1),OFFSET(Curvas_cupon_cero!$A$1,1,MATCH($B$6,Curvas_cupon_cero!$1:$1,0)-1,COUNT(Curvas_cupon_cero!$A:$A)-2,1)),interpolar(E324,OFFSET(Curvas_cupon_cero!$A$1,1,0,COUNT(Curvas_cupon_cero!$A:$A)-2,1),OFFSET(Curvas_cupon_cero!$A$1,1,MATCH($B$6,Curvas_cupon_cero!$1:$1,0)-1,COUNT(Curvas_cupon_cero!$A:$A)-2,1))))</f>
        <v/>
      </c>
      <c r="G324" s="23" t="str">
        <f ca="1">IF(A324="","",IF($B$8="Sí",interpolar_alamb(E324,OFFSET(Curvas_cupon_cero!$A$1,1,0,COUNT(Curvas_cupon_cero!$A:$A)-2,1),OFFSET(Curvas_cupon_cero!$A$1,1,MATCH($B$7,Curvas_cupon_cero!$1:$1,0)-1,COUNT(Curvas_cupon_cero!$A:$A)-2,1)),interpolar(E324,OFFSET(Curvas_cupon_cero!$A$1,1,0,COUNT(Curvas_cupon_cero!$A:$A)-2,1),OFFSET(Curvas_cupon_cero!$A$1,1,MATCH($B$7,Curvas_cupon_cero!$1:$1,0)-1,COUNT(Curvas_cupon_cero!$A:$A)-2,1))))</f>
        <v/>
      </c>
      <c r="H324" s="19" t="str">
        <f t="shared" si="25"/>
        <v/>
      </c>
    </row>
    <row r="325" spans="1:8" x14ac:dyDescent="0.2">
      <c r="A325" s="12" t="str">
        <f t="shared" si="26"/>
        <v/>
      </c>
      <c r="B325" s="21" t="str">
        <f t="shared" si="27"/>
        <v/>
      </c>
      <c r="C325" s="17" t="str">
        <f t="shared" si="24"/>
        <v/>
      </c>
      <c r="D325" s="18" t="str">
        <f t="shared" si="28"/>
        <v/>
      </c>
      <c r="E325" t="str">
        <f t="shared" si="29"/>
        <v/>
      </c>
      <c r="F325" s="23" t="str">
        <f ca="1">IF(A325="","",IF($B$8="Sí",interpolar_alamb(E325,OFFSET(Curvas_cupon_cero!$A$1,1,0,COUNT(Curvas_cupon_cero!$A:$A)-2,1),OFFSET(Curvas_cupon_cero!$A$1,1,MATCH($B$6,Curvas_cupon_cero!$1:$1,0)-1,COUNT(Curvas_cupon_cero!$A:$A)-2,1)),interpolar(E325,OFFSET(Curvas_cupon_cero!$A$1,1,0,COUNT(Curvas_cupon_cero!$A:$A)-2,1),OFFSET(Curvas_cupon_cero!$A$1,1,MATCH($B$6,Curvas_cupon_cero!$1:$1,0)-1,COUNT(Curvas_cupon_cero!$A:$A)-2,1))))</f>
        <v/>
      </c>
      <c r="G325" s="23" t="str">
        <f ca="1">IF(A325="","",IF($B$8="Sí",interpolar_alamb(E325,OFFSET(Curvas_cupon_cero!$A$1,1,0,COUNT(Curvas_cupon_cero!$A:$A)-2,1),OFFSET(Curvas_cupon_cero!$A$1,1,MATCH($B$7,Curvas_cupon_cero!$1:$1,0)-1,COUNT(Curvas_cupon_cero!$A:$A)-2,1)),interpolar(E325,OFFSET(Curvas_cupon_cero!$A$1,1,0,COUNT(Curvas_cupon_cero!$A:$A)-2,1),OFFSET(Curvas_cupon_cero!$A$1,1,MATCH($B$7,Curvas_cupon_cero!$1:$1,0)-1,COUNT(Curvas_cupon_cero!$A:$A)-2,1))))</f>
        <v/>
      </c>
      <c r="H325" s="19" t="str">
        <f t="shared" si="25"/>
        <v/>
      </c>
    </row>
    <row r="326" spans="1:8" x14ac:dyDescent="0.2">
      <c r="A326" s="12" t="str">
        <f t="shared" si="26"/>
        <v/>
      </c>
      <c r="B326" s="21" t="str">
        <f t="shared" si="27"/>
        <v/>
      </c>
      <c r="C326" s="17" t="str">
        <f t="shared" si="24"/>
        <v/>
      </c>
      <c r="D326" s="18" t="str">
        <f t="shared" si="28"/>
        <v/>
      </c>
      <c r="E326" t="str">
        <f t="shared" si="29"/>
        <v/>
      </c>
      <c r="F326" s="23" t="str">
        <f ca="1">IF(A326="","",IF($B$8="Sí",interpolar_alamb(E326,OFFSET(Curvas_cupon_cero!$A$1,1,0,COUNT(Curvas_cupon_cero!$A:$A)-2,1),OFFSET(Curvas_cupon_cero!$A$1,1,MATCH($B$6,Curvas_cupon_cero!$1:$1,0)-1,COUNT(Curvas_cupon_cero!$A:$A)-2,1)),interpolar(E326,OFFSET(Curvas_cupon_cero!$A$1,1,0,COUNT(Curvas_cupon_cero!$A:$A)-2,1),OFFSET(Curvas_cupon_cero!$A$1,1,MATCH($B$6,Curvas_cupon_cero!$1:$1,0)-1,COUNT(Curvas_cupon_cero!$A:$A)-2,1))))</f>
        <v/>
      </c>
      <c r="G326" s="23" t="str">
        <f ca="1">IF(A326="","",IF($B$8="Sí",interpolar_alamb(E326,OFFSET(Curvas_cupon_cero!$A$1,1,0,COUNT(Curvas_cupon_cero!$A:$A)-2,1),OFFSET(Curvas_cupon_cero!$A$1,1,MATCH($B$7,Curvas_cupon_cero!$1:$1,0)-1,COUNT(Curvas_cupon_cero!$A:$A)-2,1)),interpolar(E326,OFFSET(Curvas_cupon_cero!$A$1,1,0,COUNT(Curvas_cupon_cero!$A:$A)-2,1),OFFSET(Curvas_cupon_cero!$A$1,1,MATCH($B$7,Curvas_cupon_cero!$1:$1,0)-1,COUNT(Curvas_cupon_cero!$A:$A)-2,1))))</f>
        <v/>
      </c>
      <c r="H326" s="19" t="str">
        <f t="shared" si="25"/>
        <v/>
      </c>
    </row>
    <row r="327" spans="1:8" x14ac:dyDescent="0.2">
      <c r="A327" s="12" t="str">
        <f t="shared" si="26"/>
        <v/>
      </c>
      <c r="B327" s="21" t="str">
        <f t="shared" si="27"/>
        <v/>
      </c>
      <c r="C327" s="17" t="str">
        <f t="shared" si="24"/>
        <v/>
      </c>
      <c r="D327" s="18" t="str">
        <f t="shared" si="28"/>
        <v/>
      </c>
      <c r="E327" t="str">
        <f t="shared" si="29"/>
        <v/>
      </c>
      <c r="F327" s="23" t="str">
        <f ca="1">IF(A327="","",IF($B$8="Sí",interpolar_alamb(E327,OFFSET(Curvas_cupon_cero!$A$1,1,0,COUNT(Curvas_cupon_cero!$A:$A)-2,1),OFFSET(Curvas_cupon_cero!$A$1,1,MATCH($B$6,Curvas_cupon_cero!$1:$1,0)-1,COUNT(Curvas_cupon_cero!$A:$A)-2,1)),interpolar(E327,OFFSET(Curvas_cupon_cero!$A$1,1,0,COUNT(Curvas_cupon_cero!$A:$A)-2,1),OFFSET(Curvas_cupon_cero!$A$1,1,MATCH($B$6,Curvas_cupon_cero!$1:$1,0)-1,COUNT(Curvas_cupon_cero!$A:$A)-2,1))))</f>
        <v/>
      </c>
      <c r="G327" s="23" t="str">
        <f ca="1">IF(A327="","",IF($B$8="Sí",interpolar_alamb(E327,OFFSET(Curvas_cupon_cero!$A$1,1,0,COUNT(Curvas_cupon_cero!$A:$A)-2,1),OFFSET(Curvas_cupon_cero!$A$1,1,MATCH($B$7,Curvas_cupon_cero!$1:$1,0)-1,COUNT(Curvas_cupon_cero!$A:$A)-2,1)),interpolar(E327,OFFSET(Curvas_cupon_cero!$A$1,1,0,COUNT(Curvas_cupon_cero!$A:$A)-2,1),OFFSET(Curvas_cupon_cero!$A$1,1,MATCH($B$7,Curvas_cupon_cero!$1:$1,0)-1,COUNT(Curvas_cupon_cero!$A:$A)-2,1))))</f>
        <v/>
      </c>
      <c r="H327" s="19" t="str">
        <f t="shared" si="25"/>
        <v/>
      </c>
    </row>
    <row r="328" spans="1:8" x14ac:dyDescent="0.2">
      <c r="A328" s="12" t="str">
        <f t="shared" si="26"/>
        <v/>
      </c>
      <c r="B328" s="21" t="str">
        <f t="shared" si="27"/>
        <v/>
      </c>
      <c r="C328" s="17" t="str">
        <f t="shared" si="24"/>
        <v/>
      </c>
      <c r="D328" s="18" t="str">
        <f t="shared" si="28"/>
        <v/>
      </c>
      <c r="E328" t="str">
        <f t="shared" si="29"/>
        <v/>
      </c>
      <c r="F328" s="23" t="str">
        <f ca="1">IF(A328="","",IF($B$8="Sí",interpolar_alamb(E328,OFFSET(Curvas_cupon_cero!$A$1,1,0,COUNT(Curvas_cupon_cero!$A:$A)-2,1),OFFSET(Curvas_cupon_cero!$A$1,1,MATCH($B$6,Curvas_cupon_cero!$1:$1,0)-1,COUNT(Curvas_cupon_cero!$A:$A)-2,1)),interpolar(E328,OFFSET(Curvas_cupon_cero!$A$1,1,0,COUNT(Curvas_cupon_cero!$A:$A)-2,1),OFFSET(Curvas_cupon_cero!$A$1,1,MATCH($B$6,Curvas_cupon_cero!$1:$1,0)-1,COUNT(Curvas_cupon_cero!$A:$A)-2,1))))</f>
        <v/>
      </c>
      <c r="G328" s="23" t="str">
        <f ca="1">IF(A328="","",IF($B$8="Sí",interpolar_alamb(E328,OFFSET(Curvas_cupon_cero!$A$1,1,0,COUNT(Curvas_cupon_cero!$A:$A)-2,1),OFFSET(Curvas_cupon_cero!$A$1,1,MATCH($B$7,Curvas_cupon_cero!$1:$1,0)-1,COUNT(Curvas_cupon_cero!$A:$A)-2,1)),interpolar(E328,OFFSET(Curvas_cupon_cero!$A$1,1,0,COUNT(Curvas_cupon_cero!$A:$A)-2,1),OFFSET(Curvas_cupon_cero!$A$1,1,MATCH($B$7,Curvas_cupon_cero!$1:$1,0)-1,COUNT(Curvas_cupon_cero!$A:$A)-2,1))))</f>
        <v/>
      </c>
      <c r="H328" s="19" t="str">
        <f t="shared" si="25"/>
        <v/>
      </c>
    </row>
    <row r="329" spans="1:8" x14ac:dyDescent="0.2">
      <c r="A329" s="12" t="str">
        <f t="shared" si="26"/>
        <v/>
      </c>
      <c r="B329" s="21" t="str">
        <f t="shared" si="27"/>
        <v/>
      </c>
      <c r="C329" s="17" t="str">
        <f t="shared" si="24"/>
        <v/>
      </c>
      <c r="D329" s="18" t="str">
        <f t="shared" si="28"/>
        <v/>
      </c>
      <c r="E329" t="str">
        <f t="shared" si="29"/>
        <v/>
      </c>
      <c r="F329" s="23" t="str">
        <f ca="1">IF(A329="","",IF($B$8="Sí",interpolar_alamb(E329,OFFSET(Curvas_cupon_cero!$A$1,1,0,COUNT(Curvas_cupon_cero!$A:$A)-2,1),OFFSET(Curvas_cupon_cero!$A$1,1,MATCH($B$6,Curvas_cupon_cero!$1:$1,0)-1,COUNT(Curvas_cupon_cero!$A:$A)-2,1)),interpolar(E329,OFFSET(Curvas_cupon_cero!$A$1,1,0,COUNT(Curvas_cupon_cero!$A:$A)-2,1),OFFSET(Curvas_cupon_cero!$A$1,1,MATCH($B$6,Curvas_cupon_cero!$1:$1,0)-1,COUNT(Curvas_cupon_cero!$A:$A)-2,1))))</f>
        <v/>
      </c>
      <c r="G329" s="23" t="str">
        <f ca="1">IF(A329="","",IF($B$8="Sí",interpolar_alamb(E329,OFFSET(Curvas_cupon_cero!$A$1,1,0,COUNT(Curvas_cupon_cero!$A:$A)-2,1),OFFSET(Curvas_cupon_cero!$A$1,1,MATCH($B$7,Curvas_cupon_cero!$1:$1,0)-1,COUNT(Curvas_cupon_cero!$A:$A)-2,1)),interpolar(E329,OFFSET(Curvas_cupon_cero!$A$1,1,0,COUNT(Curvas_cupon_cero!$A:$A)-2,1),OFFSET(Curvas_cupon_cero!$A$1,1,MATCH($B$7,Curvas_cupon_cero!$1:$1,0)-1,COUNT(Curvas_cupon_cero!$A:$A)-2,1))))</f>
        <v/>
      </c>
      <c r="H329" s="19" t="str">
        <f t="shared" si="25"/>
        <v/>
      </c>
    </row>
    <row r="330" spans="1:8" x14ac:dyDescent="0.2">
      <c r="A330" s="12" t="str">
        <f t="shared" si="26"/>
        <v/>
      </c>
      <c r="B330" s="21" t="str">
        <f t="shared" si="27"/>
        <v/>
      </c>
      <c r="C330" s="17" t="str">
        <f t="shared" si="24"/>
        <v/>
      </c>
      <c r="D330" s="18" t="str">
        <f t="shared" si="28"/>
        <v/>
      </c>
      <c r="E330" t="str">
        <f t="shared" si="29"/>
        <v/>
      </c>
      <c r="F330" s="23" t="str">
        <f ca="1">IF(A330="","",IF($B$8="Sí",interpolar_alamb(E330,OFFSET(Curvas_cupon_cero!$A$1,1,0,COUNT(Curvas_cupon_cero!$A:$A)-2,1),OFFSET(Curvas_cupon_cero!$A$1,1,MATCH($B$6,Curvas_cupon_cero!$1:$1,0)-1,COUNT(Curvas_cupon_cero!$A:$A)-2,1)),interpolar(E330,OFFSET(Curvas_cupon_cero!$A$1,1,0,COUNT(Curvas_cupon_cero!$A:$A)-2,1),OFFSET(Curvas_cupon_cero!$A$1,1,MATCH($B$6,Curvas_cupon_cero!$1:$1,0)-1,COUNT(Curvas_cupon_cero!$A:$A)-2,1))))</f>
        <v/>
      </c>
      <c r="G330" s="23" t="str">
        <f ca="1">IF(A330="","",IF($B$8="Sí",interpolar_alamb(E330,OFFSET(Curvas_cupon_cero!$A$1,1,0,COUNT(Curvas_cupon_cero!$A:$A)-2,1),OFFSET(Curvas_cupon_cero!$A$1,1,MATCH($B$7,Curvas_cupon_cero!$1:$1,0)-1,COUNT(Curvas_cupon_cero!$A:$A)-2,1)),interpolar(E330,OFFSET(Curvas_cupon_cero!$A$1,1,0,COUNT(Curvas_cupon_cero!$A:$A)-2,1),OFFSET(Curvas_cupon_cero!$A$1,1,MATCH($B$7,Curvas_cupon_cero!$1:$1,0)-1,COUNT(Curvas_cupon_cero!$A:$A)-2,1))))</f>
        <v/>
      </c>
      <c r="H330" s="19" t="str">
        <f t="shared" si="25"/>
        <v/>
      </c>
    </row>
    <row r="331" spans="1:8" x14ac:dyDescent="0.2">
      <c r="A331" s="12" t="str">
        <f t="shared" si="26"/>
        <v/>
      </c>
      <c r="B331" s="21" t="str">
        <f t="shared" si="27"/>
        <v/>
      </c>
      <c r="C331" s="17" t="str">
        <f t="shared" si="24"/>
        <v/>
      </c>
      <c r="D331" s="18" t="str">
        <f t="shared" si="28"/>
        <v/>
      </c>
      <c r="E331" t="str">
        <f t="shared" si="29"/>
        <v/>
      </c>
      <c r="F331" s="23" t="str">
        <f ca="1">IF(A331="","",IF($B$8="Sí",interpolar_alamb(E331,OFFSET(Curvas_cupon_cero!$A$1,1,0,COUNT(Curvas_cupon_cero!$A:$A)-2,1),OFFSET(Curvas_cupon_cero!$A$1,1,MATCH($B$6,Curvas_cupon_cero!$1:$1,0)-1,COUNT(Curvas_cupon_cero!$A:$A)-2,1)),interpolar(E331,OFFSET(Curvas_cupon_cero!$A$1,1,0,COUNT(Curvas_cupon_cero!$A:$A)-2,1),OFFSET(Curvas_cupon_cero!$A$1,1,MATCH($B$6,Curvas_cupon_cero!$1:$1,0)-1,COUNT(Curvas_cupon_cero!$A:$A)-2,1))))</f>
        <v/>
      </c>
      <c r="G331" s="23" t="str">
        <f ca="1">IF(A331="","",IF($B$8="Sí",interpolar_alamb(E331,OFFSET(Curvas_cupon_cero!$A$1,1,0,COUNT(Curvas_cupon_cero!$A:$A)-2,1),OFFSET(Curvas_cupon_cero!$A$1,1,MATCH($B$7,Curvas_cupon_cero!$1:$1,0)-1,COUNT(Curvas_cupon_cero!$A:$A)-2,1)),interpolar(E331,OFFSET(Curvas_cupon_cero!$A$1,1,0,COUNT(Curvas_cupon_cero!$A:$A)-2,1),OFFSET(Curvas_cupon_cero!$A$1,1,MATCH($B$7,Curvas_cupon_cero!$1:$1,0)-1,COUNT(Curvas_cupon_cero!$A:$A)-2,1))))</f>
        <v/>
      </c>
      <c r="H331" s="19" t="str">
        <f t="shared" si="25"/>
        <v/>
      </c>
    </row>
    <row r="332" spans="1:8" x14ac:dyDescent="0.2">
      <c r="A332" s="12" t="str">
        <f t="shared" si="26"/>
        <v/>
      </c>
      <c r="B332" s="21" t="str">
        <f t="shared" si="27"/>
        <v/>
      </c>
      <c r="C332" s="17" t="str">
        <f t="shared" si="24"/>
        <v/>
      </c>
      <c r="D332" s="18" t="str">
        <f t="shared" si="28"/>
        <v/>
      </c>
      <c r="E332" t="str">
        <f t="shared" si="29"/>
        <v/>
      </c>
      <c r="F332" s="23" t="str">
        <f ca="1">IF(A332="","",IF($B$8="Sí",interpolar_alamb(E332,OFFSET(Curvas_cupon_cero!$A$1,1,0,COUNT(Curvas_cupon_cero!$A:$A)-2,1),OFFSET(Curvas_cupon_cero!$A$1,1,MATCH($B$6,Curvas_cupon_cero!$1:$1,0)-1,COUNT(Curvas_cupon_cero!$A:$A)-2,1)),interpolar(E332,OFFSET(Curvas_cupon_cero!$A$1,1,0,COUNT(Curvas_cupon_cero!$A:$A)-2,1),OFFSET(Curvas_cupon_cero!$A$1,1,MATCH($B$6,Curvas_cupon_cero!$1:$1,0)-1,COUNT(Curvas_cupon_cero!$A:$A)-2,1))))</f>
        <v/>
      </c>
      <c r="G332" s="23" t="str">
        <f ca="1">IF(A332="","",IF($B$8="Sí",interpolar_alamb(E332,OFFSET(Curvas_cupon_cero!$A$1,1,0,COUNT(Curvas_cupon_cero!$A:$A)-2,1),OFFSET(Curvas_cupon_cero!$A$1,1,MATCH($B$7,Curvas_cupon_cero!$1:$1,0)-1,COUNT(Curvas_cupon_cero!$A:$A)-2,1)),interpolar(E332,OFFSET(Curvas_cupon_cero!$A$1,1,0,COUNT(Curvas_cupon_cero!$A:$A)-2,1),OFFSET(Curvas_cupon_cero!$A$1,1,MATCH($B$7,Curvas_cupon_cero!$1:$1,0)-1,COUNT(Curvas_cupon_cero!$A:$A)-2,1))))</f>
        <v/>
      </c>
      <c r="H332" s="19" t="str">
        <f t="shared" si="25"/>
        <v/>
      </c>
    </row>
    <row r="333" spans="1:8" x14ac:dyDescent="0.2">
      <c r="A333" s="12" t="str">
        <f t="shared" si="26"/>
        <v/>
      </c>
      <c r="B333" s="21" t="str">
        <f t="shared" si="27"/>
        <v/>
      </c>
      <c r="C333" s="17" t="str">
        <f t="shared" si="24"/>
        <v/>
      </c>
      <c r="D333" s="18" t="str">
        <f t="shared" si="28"/>
        <v/>
      </c>
      <c r="E333" t="str">
        <f t="shared" si="29"/>
        <v/>
      </c>
      <c r="F333" s="23" t="str">
        <f ca="1">IF(A333="","",IF($B$8="Sí",interpolar_alamb(E333,OFFSET(Curvas_cupon_cero!$A$1,1,0,COUNT(Curvas_cupon_cero!$A:$A)-2,1),OFFSET(Curvas_cupon_cero!$A$1,1,MATCH($B$6,Curvas_cupon_cero!$1:$1,0)-1,COUNT(Curvas_cupon_cero!$A:$A)-2,1)),interpolar(E333,OFFSET(Curvas_cupon_cero!$A$1,1,0,COUNT(Curvas_cupon_cero!$A:$A)-2,1),OFFSET(Curvas_cupon_cero!$A$1,1,MATCH($B$6,Curvas_cupon_cero!$1:$1,0)-1,COUNT(Curvas_cupon_cero!$A:$A)-2,1))))</f>
        <v/>
      </c>
      <c r="G333" s="23" t="str">
        <f ca="1">IF(A333="","",IF($B$8="Sí",interpolar_alamb(E333,OFFSET(Curvas_cupon_cero!$A$1,1,0,COUNT(Curvas_cupon_cero!$A:$A)-2,1),OFFSET(Curvas_cupon_cero!$A$1,1,MATCH($B$7,Curvas_cupon_cero!$1:$1,0)-1,COUNT(Curvas_cupon_cero!$A:$A)-2,1)),interpolar(E333,OFFSET(Curvas_cupon_cero!$A$1,1,0,COUNT(Curvas_cupon_cero!$A:$A)-2,1),OFFSET(Curvas_cupon_cero!$A$1,1,MATCH($B$7,Curvas_cupon_cero!$1:$1,0)-1,COUNT(Curvas_cupon_cero!$A:$A)-2,1))))</f>
        <v/>
      </c>
      <c r="H333" s="19" t="str">
        <f t="shared" si="25"/>
        <v/>
      </c>
    </row>
    <row r="334" spans="1:8" x14ac:dyDescent="0.2">
      <c r="A334" s="12" t="str">
        <f t="shared" si="26"/>
        <v/>
      </c>
      <c r="B334" s="21" t="str">
        <f t="shared" si="27"/>
        <v/>
      </c>
      <c r="C334" s="17" t="str">
        <f t="shared" si="24"/>
        <v/>
      </c>
      <c r="D334" s="18" t="str">
        <f t="shared" si="28"/>
        <v/>
      </c>
      <c r="E334" t="str">
        <f t="shared" si="29"/>
        <v/>
      </c>
      <c r="F334" s="23" t="str">
        <f ca="1">IF(A334="","",IF($B$8="Sí",interpolar_alamb(E334,OFFSET(Curvas_cupon_cero!$A$1,1,0,COUNT(Curvas_cupon_cero!$A:$A)-2,1),OFFSET(Curvas_cupon_cero!$A$1,1,MATCH($B$6,Curvas_cupon_cero!$1:$1,0)-1,COUNT(Curvas_cupon_cero!$A:$A)-2,1)),interpolar(E334,OFFSET(Curvas_cupon_cero!$A$1,1,0,COUNT(Curvas_cupon_cero!$A:$A)-2,1),OFFSET(Curvas_cupon_cero!$A$1,1,MATCH($B$6,Curvas_cupon_cero!$1:$1,0)-1,COUNT(Curvas_cupon_cero!$A:$A)-2,1))))</f>
        <v/>
      </c>
      <c r="G334" s="23" t="str">
        <f ca="1">IF(A334="","",IF($B$8="Sí",interpolar_alamb(E334,OFFSET(Curvas_cupon_cero!$A$1,1,0,COUNT(Curvas_cupon_cero!$A:$A)-2,1),OFFSET(Curvas_cupon_cero!$A$1,1,MATCH($B$7,Curvas_cupon_cero!$1:$1,0)-1,COUNT(Curvas_cupon_cero!$A:$A)-2,1)),interpolar(E334,OFFSET(Curvas_cupon_cero!$A$1,1,0,COUNT(Curvas_cupon_cero!$A:$A)-2,1),OFFSET(Curvas_cupon_cero!$A$1,1,MATCH($B$7,Curvas_cupon_cero!$1:$1,0)-1,COUNT(Curvas_cupon_cero!$A:$A)-2,1))))</f>
        <v/>
      </c>
      <c r="H334" s="19" t="str">
        <f t="shared" si="25"/>
        <v/>
      </c>
    </row>
    <row r="335" spans="1:8" x14ac:dyDescent="0.2">
      <c r="A335" s="12" t="str">
        <f t="shared" si="26"/>
        <v/>
      </c>
      <c r="B335" s="21" t="str">
        <f t="shared" si="27"/>
        <v/>
      </c>
      <c r="C335" s="17" t="str">
        <f t="shared" si="24"/>
        <v/>
      </c>
      <c r="D335" s="18" t="str">
        <f t="shared" si="28"/>
        <v/>
      </c>
      <c r="E335" t="str">
        <f t="shared" si="29"/>
        <v/>
      </c>
      <c r="F335" s="23" t="str">
        <f ca="1">IF(A335="","",IF($B$8="Sí",interpolar_alamb(E335,OFFSET(Curvas_cupon_cero!$A$1,1,0,COUNT(Curvas_cupon_cero!$A:$A)-2,1),OFFSET(Curvas_cupon_cero!$A$1,1,MATCH($B$6,Curvas_cupon_cero!$1:$1,0)-1,COUNT(Curvas_cupon_cero!$A:$A)-2,1)),interpolar(E335,OFFSET(Curvas_cupon_cero!$A$1,1,0,COUNT(Curvas_cupon_cero!$A:$A)-2,1),OFFSET(Curvas_cupon_cero!$A$1,1,MATCH($B$6,Curvas_cupon_cero!$1:$1,0)-1,COUNT(Curvas_cupon_cero!$A:$A)-2,1))))</f>
        <v/>
      </c>
      <c r="G335" s="23" t="str">
        <f ca="1">IF(A335="","",IF($B$8="Sí",interpolar_alamb(E335,OFFSET(Curvas_cupon_cero!$A$1,1,0,COUNT(Curvas_cupon_cero!$A:$A)-2,1),OFFSET(Curvas_cupon_cero!$A$1,1,MATCH($B$7,Curvas_cupon_cero!$1:$1,0)-1,COUNT(Curvas_cupon_cero!$A:$A)-2,1)),interpolar(E335,OFFSET(Curvas_cupon_cero!$A$1,1,0,COUNT(Curvas_cupon_cero!$A:$A)-2,1),OFFSET(Curvas_cupon_cero!$A$1,1,MATCH($B$7,Curvas_cupon_cero!$1:$1,0)-1,COUNT(Curvas_cupon_cero!$A:$A)-2,1))))</f>
        <v/>
      </c>
      <c r="H335" s="19" t="str">
        <f t="shared" si="25"/>
        <v/>
      </c>
    </row>
    <row r="336" spans="1:8" x14ac:dyDescent="0.2">
      <c r="A336" s="12" t="str">
        <f t="shared" si="26"/>
        <v/>
      </c>
      <c r="B336" s="21" t="str">
        <f t="shared" si="27"/>
        <v/>
      </c>
      <c r="C336" s="17" t="str">
        <f t="shared" ref="C336:C399" si="30">IF(A336="","",IF(A336=$B$4,$B$1*$B$2+$B$1*$B$5/360*$B$2*B336, $B$1*$B$5/360*$B$2*B336))</f>
        <v/>
      </c>
      <c r="D336" s="18" t="str">
        <f t="shared" si="28"/>
        <v/>
      </c>
      <c r="E336" t="str">
        <f t="shared" si="29"/>
        <v/>
      </c>
      <c r="F336" s="23" t="str">
        <f ca="1">IF(A336="","",IF($B$8="Sí",interpolar_alamb(E336,OFFSET(Curvas_cupon_cero!$A$1,1,0,COUNT(Curvas_cupon_cero!$A:$A)-2,1),OFFSET(Curvas_cupon_cero!$A$1,1,MATCH($B$6,Curvas_cupon_cero!$1:$1,0)-1,COUNT(Curvas_cupon_cero!$A:$A)-2,1)),interpolar(E336,OFFSET(Curvas_cupon_cero!$A$1,1,0,COUNT(Curvas_cupon_cero!$A:$A)-2,1),OFFSET(Curvas_cupon_cero!$A$1,1,MATCH($B$6,Curvas_cupon_cero!$1:$1,0)-1,COUNT(Curvas_cupon_cero!$A:$A)-2,1))))</f>
        <v/>
      </c>
      <c r="G336" s="23" t="str">
        <f ca="1">IF(A336="","",IF($B$8="Sí",interpolar_alamb(E336,OFFSET(Curvas_cupon_cero!$A$1,1,0,COUNT(Curvas_cupon_cero!$A:$A)-2,1),OFFSET(Curvas_cupon_cero!$A$1,1,MATCH($B$7,Curvas_cupon_cero!$1:$1,0)-1,COUNT(Curvas_cupon_cero!$A:$A)-2,1)),interpolar(E336,OFFSET(Curvas_cupon_cero!$A$1,1,0,COUNT(Curvas_cupon_cero!$A:$A)-2,1),OFFSET(Curvas_cupon_cero!$A$1,1,MATCH($B$7,Curvas_cupon_cero!$1:$1,0)-1,COUNT(Curvas_cupon_cero!$A:$A)-2,1))))</f>
        <v/>
      </c>
      <c r="H336" s="19" t="str">
        <f t="shared" ref="H336:H399" si="31">IF(A336="","",C336/(1+(F336+G336)*E336/360))</f>
        <v/>
      </c>
    </row>
    <row r="337" spans="1:8" x14ac:dyDescent="0.2">
      <c r="A337" s="12" t="str">
        <f t="shared" ref="A337:A400" si="32">IF(A336="","",IF((A336+$B$5)&gt;$B$4,"",(A336+$B$5)))</f>
        <v/>
      </c>
      <c r="B337" s="21" t="str">
        <f t="shared" ref="B337:B400" si="33">IF(A337="","",((1+$B$9/360)^$B$5-1)*360/$B$5)</f>
        <v/>
      </c>
      <c r="C337" s="17" t="str">
        <f t="shared" si="30"/>
        <v/>
      </c>
      <c r="D337" s="18" t="str">
        <f t="shared" ref="D337:D400" si="34">IF(A337="","",$B$5)</f>
        <v/>
      </c>
      <c r="E337" t="str">
        <f t="shared" ref="E337:E400" si="35">IF(A337="","",E336+D337)</f>
        <v/>
      </c>
      <c r="F337" s="23" t="str">
        <f ca="1">IF(A337="","",IF($B$8="Sí",interpolar_alamb(E337,OFFSET(Curvas_cupon_cero!$A$1,1,0,COUNT(Curvas_cupon_cero!$A:$A)-2,1),OFFSET(Curvas_cupon_cero!$A$1,1,MATCH($B$6,Curvas_cupon_cero!$1:$1,0)-1,COUNT(Curvas_cupon_cero!$A:$A)-2,1)),interpolar(E337,OFFSET(Curvas_cupon_cero!$A$1,1,0,COUNT(Curvas_cupon_cero!$A:$A)-2,1),OFFSET(Curvas_cupon_cero!$A$1,1,MATCH($B$6,Curvas_cupon_cero!$1:$1,0)-1,COUNT(Curvas_cupon_cero!$A:$A)-2,1))))</f>
        <v/>
      </c>
      <c r="G337" s="23" t="str">
        <f ca="1">IF(A337="","",IF($B$8="Sí",interpolar_alamb(E337,OFFSET(Curvas_cupon_cero!$A$1,1,0,COUNT(Curvas_cupon_cero!$A:$A)-2,1),OFFSET(Curvas_cupon_cero!$A$1,1,MATCH($B$7,Curvas_cupon_cero!$1:$1,0)-1,COUNT(Curvas_cupon_cero!$A:$A)-2,1)),interpolar(E337,OFFSET(Curvas_cupon_cero!$A$1,1,0,COUNT(Curvas_cupon_cero!$A:$A)-2,1),OFFSET(Curvas_cupon_cero!$A$1,1,MATCH($B$7,Curvas_cupon_cero!$1:$1,0)-1,COUNT(Curvas_cupon_cero!$A:$A)-2,1))))</f>
        <v/>
      </c>
      <c r="H337" s="19" t="str">
        <f t="shared" si="31"/>
        <v/>
      </c>
    </row>
    <row r="338" spans="1:8" x14ac:dyDescent="0.2">
      <c r="A338" s="12" t="str">
        <f t="shared" si="32"/>
        <v/>
      </c>
      <c r="B338" s="21" t="str">
        <f t="shared" si="33"/>
        <v/>
      </c>
      <c r="C338" s="17" t="str">
        <f t="shared" si="30"/>
        <v/>
      </c>
      <c r="D338" s="18" t="str">
        <f t="shared" si="34"/>
        <v/>
      </c>
      <c r="E338" t="str">
        <f t="shared" si="35"/>
        <v/>
      </c>
      <c r="F338" s="23" t="str">
        <f ca="1">IF(A338="","",IF($B$8="Sí",interpolar_alamb(E338,OFFSET(Curvas_cupon_cero!$A$1,1,0,COUNT(Curvas_cupon_cero!$A:$A)-2,1),OFFSET(Curvas_cupon_cero!$A$1,1,MATCH($B$6,Curvas_cupon_cero!$1:$1,0)-1,COUNT(Curvas_cupon_cero!$A:$A)-2,1)),interpolar(E338,OFFSET(Curvas_cupon_cero!$A$1,1,0,COUNT(Curvas_cupon_cero!$A:$A)-2,1),OFFSET(Curvas_cupon_cero!$A$1,1,MATCH($B$6,Curvas_cupon_cero!$1:$1,0)-1,COUNT(Curvas_cupon_cero!$A:$A)-2,1))))</f>
        <v/>
      </c>
      <c r="G338" s="23" t="str">
        <f ca="1">IF(A338="","",IF($B$8="Sí",interpolar_alamb(E338,OFFSET(Curvas_cupon_cero!$A$1,1,0,COUNT(Curvas_cupon_cero!$A:$A)-2,1),OFFSET(Curvas_cupon_cero!$A$1,1,MATCH($B$7,Curvas_cupon_cero!$1:$1,0)-1,COUNT(Curvas_cupon_cero!$A:$A)-2,1)),interpolar(E338,OFFSET(Curvas_cupon_cero!$A$1,1,0,COUNT(Curvas_cupon_cero!$A:$A)-2,1),OFFSET(Curvas_cupon_cero!$A$1,1,MATCH($B$7,Curvas_cupon_cero!$1:$1,0)-1,COUNT(Curvas_cupon_cero!$A:$A)-2,1))))</f>
        <v/>
      </c>
      <c r="H338" s="19" t="str">
        <f t="shared" si="31"/>
        <v/>
      </c>
    </row>
    <row r="339" spans="1:8" x14ac:dyDescent="0.2">
      <c r="A339" s="12" t="str">
        <f t="shared" si="32"/>
        <v/>
      </c>
      <c r="B339" s="21" t="str">
        <f t="shared" si="33"/>
        <v/>
      </c>
      <c r="C339" s="17" t="str">
        <f t="shared" si="30"/>
        <v/>
      </c>
      <c r="D339" s="18" t="str">
        <f t="shared" si="34"/>
        <v/>
      </c>
      <c r="E339" t="str">
        <f t="shared" si="35"/>
        <v/>
      </c>
      <c r="F339" s="23" t="str">
        <f ca="1">IF(A339="","",IF($B$8="Sí",interpolar_alamb(E339,OFFSET(Curvas_cupon_cero!$A$1,1,0,COUNT(Curvas_cupon_cero!$A:$A)-2,1),OFFSET(Curvas_cupon_cero!$A$1,1,MATCH($B$6,Curvas_cupon_cero!$1:$1,0)-1,COUNT(Curvas_cupon_cero!$A:$A)-2,1)),interpolar(E339,OFFSET(Curvas_cupon_cero!$A$1,1,0,COUNT(Curvas_cupon_cero!$A:$A)-2,1),OFFSET(Curvas_cupon_cero!$A$1,1,MATCH($B$6,Curvas_cupon_cero!$1:$1,0)-1,COUNT(Curvas_cupon_cero!$A:$A)-2,1))))</f>
        <v/>
      </c>
      <c r="G339" s="23" t="str">
        <f ca="1">IF(A339="","",IF($B$8="Sí",interpolar_alamb(E339,OFFSET(Curvas_cupon_cero!$A$1,1,0,COUNT(Curvas_cupon_cero!$A:$A)-2,1),OFFSET(Curvas_cupon_cero!$A$1,1,MATCH($B$7,Curvas_cupon_cero!$1:$1,0)-1,COUNT(Curvas_cupon_cero!$A:$A)-2,1)),interpolar(E339,OFFSET(Curvas_cupon_cero!$A$1,1,0,COUNT(Curvas_cupon_cero!$A:$A)-2,1),OFFSET(Curvas_cupon_cero!$A$1,1,MATCH($B$7,Curvas_cupon_cero!$1:$1,0)-1,COUNT(Curvas_cupon_cero!$A:$A)-2,1))))</f>
        <v/>
      </c>
      <c r="H339" s="19" t="str">
        <f t="shared" si="31"/>
        <v/>
      </c>
    </row>
    <row r="340" spans="1:8" x14ac:dyDescent="0.2">
      <c r="A340" s="12" t="str">
        <f t="shared" si="32"/>
        <v/>
      </c>
      <c r="B340" s="21" t="str">
        <f t="shared" si="33"/>
        <v/>
      </c>
      <c r="C340" s="17" t="str">
        <f t="shared" si="30"/>
        <v/>
      </c>
      <c r="D340" s="18" t="str">
        <f t="shared" si="34"/>
        <v/>
      </c>
      <c r="E340" t="str">
        <f t="shared" si="35"/>
        <v/>
      </c>
      <c r="F340" s="23" t="str">
        <f ca="1">IF(A340="","",IF($B$8="Sí",interpolar_alamb(E340,OFFSET(Curvas_cupon_cero!$A$1,1,0,COUNT(Curvas_cupon_cero!$A:$A)-2,1),OFFSET(Curvas_cupon_cero!$A$1,1,MATCH($B$6,Curvas_cupon_cero!$1:$1,0)-1,COUNT(Curvas_cupon_cero!$A:$A)-2,1)),interpolar(E340,OFFSET(Curvas_cupon_cero!$A$1,1,0,COUNT(Curvas_cupon_cero!$A:$A)-2,1),OFFSET(Curvas_cupon_cero!$A$1,1,MATCH($B$6,Curvas_cupon_cero!$1:$1,0)-1,COUNT(Curvas_cupon_cero!$A:$A)-2,1))))</f>
        <v/>
      </c>
      <c r="G340" s="23" t="str">
        <f ca="1">IF(A340="","",IF($B$8="Sí",interpolar_alamb(E340,OFFSET(Curvas_cupon_cero!$A$1,1,0,COUNT(Curvas_cupon_cero!$A:$A)-2,1),OFFSET(Curvas_cupon_cero!$A$1,1,MATCH($B$7,Curvas_cupon_cero!$1:$1,0)-1,COUNT(Curvas_cupon_cero!$A:$A)-2,1)),interpolar(E340,OFFSET(Curvas_cupon_cero!$A$1,1,0,COUNT(Curvas_cupon_cero!$A:$A)-2,1),OFFSET(Curvas_cupon_cero!$A$1,1,MATCH($B$7,Curvas_cupon_cero!$1:$1,0)-1,COUNT(Curvas_cupon_cero!$A:$A)-2,1))))</f>
        <v/>
      </c>
      <c r="H340" s="19" t="str">
        <f t="shared" si="31"/>
        <v/>
      </c>
    </row>
    <row r="341" spans="1:8" x14ac:dyDescent="0.2">
      <c r="A341" s="12" t="str">
        <f t="shared" si="32"/>
        <v/>
      </c>
      <c r="B341" s="21" t="str">
        <f t="shared" si="33"/>
        <v/>
      </c>
      <c r="C341" s="17" t="str">
        <f t="shared" si="30"/>
        <v/>
      </c>
      <c r="D341" s="18" t="str">
        <f t="shared" si="34"/>
        <v/>
      </c>
      <c r="E341" t="str">
        <f t="shared" si="35"/>
        <v/>
      </c>
      <c r="F341" s="23" t="str">
        <f ca="1">IF(A341="","",IF($B$8="Sí",interpolar_alamb(E341,OFFSET(Curvas_cupon_cero!$A$1,1,0,COUNT(Curvas_cupon_cero!$A:$A)-2,1),OFFSET(Curvas_cupon_cero!$A$1,1,MATCH($B$6,Curvas_cupon_cero!$1:$1,0)-1,COUNT(Curvas_cupon_cero!$A:$A)-2,1)),interpolar(E341,OFFSET(Curvas_cupon_cero!$A$1,1,0,COUNT(Curvas_cupon_cero!$A:$A)-2,1),OFFSET(Curvas_cupon_cero!$A$1,1,MATCH($B$6,Curvas_cupon_cero!$1:$1,0)-1,COUNT(Curvas_cupon_cero!$A:$A)-2,1))))</f>
        <v/>
      </c>
      <c r="G341" s="23" t="str">
        <f ca="1">IF(A341="","",IF($B$8="Sí",interpolar_alamb(E341,OFFSET(Curvas_cupon_cero!$A$1,1,0,COUNT(Curvas_cupon_cero!$A:$A)-2,1),OFFSET(Curvas_cupon_cero!$A$1,1,MATCH($B$7,Curvas_cupon_cero!$1:$1,0)-1,COUNT(Curvas_cupon_cero!$A:$A)-2,1)),interpolar(E341,OFFSET(Curvas_cupon_cero!$A$1,1,0,COUNT(Curvas_cupon_cero!$A:$A)-2,1),OFFSET(Curvas_cupon_cero!$A$1,1,MATCH($B$7,Curvas_cupon_cero!$1:$1,0)-1,COUNT(Curvas_cupon_cero!$A:$A)-2,1))))</f>
        <v/>
      </c>
      <c r="H341" s="19" t="str">
        <f t="shared" si="31"/>
        <v/>
      </c>
    </row>
    <row r="342" spans="1:8" x14ac:dyDescent="0.2">
      <c r="A342" s="12" t="str">
        <f t="shared" si="32"/>
        <v/>
      </c>
      <c r="B342" s="21" t="str">
        <f t="shared" si="33"/>
        <v/>
      </c>
      <c r="C342" s="17" t="str">
        <f t="shared" si="30"/>
        <v/>
      </c>
      <c r="D342" s="18" t="str">
        <f t="shared" si="34"/>
        <v/>
      </c>
      <c r="E342" t="str">
        <f t="shared" si="35"/>
        <v/>
      </c>
      <c r="F342" s="23" t="str">
        <f ca="1">IF(A342="","",IF($B$8="Sí",interpolar_alamb(E342,OFFSET(Curvas_cupon_cero!$A$1,1,0,COUNT(Curvas_cupon_cero!$A:$A)-2,1),OFFSET(Curvas_cupon_cero!$A$1,1,MATCH($B$6,Curvas_cupon_cero!$1:$1,0)-1,COUNT(Curvas_cupon_cero!$A:$A)-2,1)),interpolar(E342,OFFSET(Curvas_cupon_cero!$A$1,1,0,COUNT(Curvas_cupon_cero!$A:$A)-2,1),OFFSET(Curvas_cupon_cero!$A$1,1,MATCH($B$6,Curvas_cupon_cero!$1:$1,0)-1,COUNT(Curvas_cupon_cero!$A:$A)-2,1))))</f>
        <v/>
      </c>
      <c r="G342" s="23" t="str">
        <f ca="1">IF(A342="","",IF($B$8="Sí",interpolar_alamb(E342,OFFSET(Curvas_cupon_cero!$A$1,1,0,COUNT(Curvas_cupon_cero!$A:$A)-2,1),OFFSET(Curvas_cupon_cero!$A$1,1,MATCH($B$7,Curvas_cupon_cero!$1:$1,0)-1,COUNT(Curvas_cupon_cero!$A:$A)-2,1)),interpolar(E342,OFFSET(Curvas_cupon_cero!$A$1,1,0,COUNT(Curvas_cupon_cero!$A:$A)-2,1),OFFSET(Curvas_cupon_cero!$A$1,1,MATCH($B$7,Curvas_cupon_cero!$1:$1,0)-1,COUNT(Curvas_cupon_cero!$A:$A)-2,1))))</f>
        <v/>
      </c>
      <c r="H342" s="19" t="str">
        <f t="shared" si="31"/>
        <v/>
      </c>
    </row>
    <row r="343" spans="1:8" x14ac:dyDescent="0.2">
      <c r="A343" s="12" t="str">
        <f t="shared" si="32"/>
        <v/>
      </c>
      <c r="B343" s="21" t="str">
        <f t="shared" si="33"/>
        <v/>
      </c>
      <c r="C343" s="17" t="str">
        <f t="shared" si="30"/>
        <v/>
      </c>
      <c r="D343" s="18" t="str">
        <f t="shared" si="34"/>
        <v/>
      </c>
      <c r="E343" t="str">
        <f t="shared" si="35"/>
        <v/>
      </c>
      <c r="F343" s="23" t="str">
        <f ca="1">IF(A343="","",IF($B$8="Sí",interpolar_alamb(E343,OFFSET(Curvas_cupon_cero!$A$1,1,0,COUNT(Curvas_cupon_cero!$A:$A)-2,1),OFFSET(Curvas_cupon_cero!$A$1,1,MATCH($B$6,Curvas_cupon_cero!$1:$1,0)-1,COUNT(Curvas_cupon_cero!$A:$A)-2,1)),interpolar(E343,OFFSET(Curvas_cupon_cero!$A$1,1,0,COUNT(Curvas_cupon_cero!$A:$A)-2,1),OFFSET(Curvas_cupon_cero!$A$1,1,MATCH($B$6,Curvas_cupon_cero!$1:$1,0)-1,COUNT(Curvas_cupon_cero!$A:$A)-2,1))))</f>
        <v/>
      </c>
      <c r="G343" s="23" t="str">
        <f ca="1">IF(A343="","",IF($B$8="Sí",interpolar_alamb(E343,OFFSET(Curvas_cupon_cero!$A$1,1,0,COUNT(Curvas_cupon_cero!$A:$A)-2,1),OFFSET(Curvas_cupon_cero!$A$1,1,MATCH($B$7,Curvas_cupon_cero!$1:$1,0)-1,COUNT(Curvas_cupon_cero!$A:$A)-2,1)),interpolar(E343,OFFSET(Curvas_cupon_cero!$A$1,1,0,COUNT(Curvas_cupon_cero!$A:$A)-2,1),OFFSET(Curvas_cupon_cero!$A$1,1,MATCH($B$7,Curvas_cupon_cero!$1:$1,0)-1,COUNT(Curvas_cupon_cero!$A:$A)-2,1))))</f>
        <v/>
      </c>
      <c r="H343" s="19" t="str">
        <f t="shared" si="31"/>
        <v/>
      </c>
    </row>
    <row r="344" spans="1:8" x14ac:dyDescent="0.2">
      <c r="A344" s="12" t="str">
        <f t="shared" si="32"/>
        <v/>
      </c>
      <c r="B344" s="21" t="str">
        <f t="shared" si="33"/>
        <v/>
      </c>
      <c r="C344" s="17" t="str">
        <f t="shared" si="30"/>
        <v/>
      </c>
      <c r="D344" s="18" t="str">
        <f t="shared" si="34"/>
        <v/>
      </c>
      <c r="E344" t="str">
        <f t="shared" si="35"/>
        <v/>
      </c>
      <c r="F344" s="23" t="str">
        <f ca="1">IF(A344="","",IF($B$8="Sí",interpolar_alamb(E344,OFFSET(Curvas_cupon_cero!$A$1,1,0,COUNT(Curvas_cupon_cero!$A:$A)-2,1),OFFSET(Curvas_cupon_cero!$A$1,1,MATCH($B$6,Curvas_cupon_cero!$1:$1,0)-1,COUNT(Curvas_cupon_cero!$A:$A)-2,1)),interpolar(E344,OFFSET(Curvas_cupon_cero!$A$1,1,0,COUNT(Curvas_cupon_cero!$A:$A)-2,1),OFFSET(Curvas_cupon_cero!$A$1,1,MATCH($B$6,Curvas_cupon_cero!$1:$1,0)-1,COUNT(Curvas_cupon_cero!$A:$A)-2,1))))</f>
        <v/>
      </c>
      <c r="G344" s="23" t="str">
        <f ca="1">IF(A344="","",IF($B$8="Sí",interpolar_alamb(E344,OFFSET(Curvas_cupon_cero!$A$1,1,0,COUNT(Curvas_cupon_cero!$A:$A)-2,1),OFFSET(Curvas_cupon_cero!$A$1,1,MATCH($B$7,Curvas_cupon_cero!$1:$1,0)-1,COUNT(Curvas_cupon_cero!$A:$A)-2,1)),interpolar(E344,OFFSET(Curvas_cupon_cero!$A$1,1,0,COUNT(Curvas_cupon_cero!$A:$A)-2,1),OFFSET(Curvas_cupon_cero!$A$1,1,MATCH($B$7,Curvas_cupon_cero!$1:$1,0)-1,COUNT(Curvas_cupon_cero!$A:$A)-2,1))))</f>
        <v/>
      </c>
      <c r="H344" s="19" t="str">
        <f t="shared" si="31"/>
        <v/>
      </c>
    </row>
    <row r="345" spans="1:8" x14ac:dyDescent="0.2">
      <c r="A345" s="12" t="str">
        <f t="shared" si="32"/>
        <v/>
      </c>
      <c r="B345" s="21" t="str">
        <f t="shared" si="33"/>
        <v/>
      </c>
      <c r="C345" s="17" t="str">
        <f t="shared" si="30"/>
        <v/>
      </c>
      <c r="D345" s="18" t="str">
        <f t="shared" si="34"/>
        <v/>
      </c>
      <c r="E345" t="str">
        <f t="shared" si="35"/>
        <v/>
      </c>
      <c r="F345" s="23" t="str">
        <f ca="1">IF(A345="","",IF($B$8="Sí",interpolar_alamb(E345,OFFSET(Curvas_cupon_cero!$A$1,1,0,COUNT(Curvas_cupon_cero!$A:$A)-2,1),OFFSET(Curvas_cupon_cero!$A$1,1,MATCH($B$6,Curvas_cupon_cero!$1:$1,0)-1,COUNT(Curvas_cupon_cero!$A:$A)-2,1)),interpolar(E345,OFFSET(Curvas_cupon_cero!$A$1,1,0,COUNT(Curvas_cupon_cero!$A:$A)-2,1),OFFSET(Curvas_cupon_cero!$A$1,1,MATCH($B$6,Curvas_cupon_cero!$1:$1,0)-1,COUNT(Curvas_cupon_cero!$A:$A)-2,1))))</f>
        <v/>
      </c>
      <c r="G345" s="23" t="str">
        <f ca="1">IF(A345="","",IF($B$8="Sí",interpolar_alamb(E345,OFFSET(Curvas_cupon_cero!$A$1,1,0,COUNT(Curvas_cupon_cero!$A:$A)-2,1),OFFSET(Curvas_cupon_cero!$A$1,1,MATCH($B$7,Curvas_cupon_cero!$1:$1,0)-1,COUNT(Curvas_cupon_cero!$A:$A)-2,1)),interpolar(E345,OFFSET(Curvas_cupon_cero!$A$1,1,0,COUNT(Curvas_cupon_cero!$A:$A)-2,1),OFFSET(Curvas_cupon_cero!$A$1,1,MATCH($B$7,Curvas_cupon_cero!$1:$1,0)-1,COUNT(Curvas_cupon_cero!$A:$A)-2,1))))</f>
        <v/>
      </c>
      <c r="H345" s="19" t="str">
        <f t="shared" si="31"/>
        <v/>
      </c>
    </row>
    <row r="346" spans="1:8" x14ac:dyDescent="0.2">
      <c r="A346" s="12" t="str">
        <f t="shared" si="32"/>
        <v/>
      </c>
      <c r="B346" s="21" t="str">
        <f t="shared" si="33"/>
        <v/>
      </c>
      <c r="C346" s="17" t="str">
        <f t="shared" si="30"/>
        <v/>
      </c>
      <c r="D346" s="18" t="str">
        <f t="shared" si="34"/>
        <v/>
      </c>
      <c r="E346" t="str">
        <f t="shared" si="35"/>
        <v/>
      </c>
      <c r="F346" s="23" t="str">
        <f ca="1">IF(A346="","",IF($B$8="Sí",interpolar_alamb(E346,OFFSET(Curvas_cupon_cero!$A$1,1,0,COUNT(Curvas_cupon_cero!$A:$A)-2,1),OFFSET(Curvas_cupon_cero!$A$1,1,MATCH($B$6,Curvas_cupon_cero!$1:$1,0)-1,COUNT(Curvas_cupon_cero!$A:$A)-2,1)),interpolar(E346,OFFSET(Curvas_cupon_cero!$A$1,1,0,COUNT(Curvas_cupon_cero!$A:$A)-2,1),OFFSET(Curvas_cupon_cero!$A$1,1,MATCH($B$6,Curvas_cupon_cero!$1:$1,0)-1,COUNT(Curvas_cupon_cero!$A:$A)-2,1))))</f>
        <v/>
      </c>
      <c r="G346" s="23" t="str">
        <f ca="1">IF(A346="","",IF($B$8="Sí",interpolar_alamb(E346,OFFSET(Curvas_cupon_cero!$A$1,1,0,COUNT(Curvas_cupon_cero!$A:$A)-2,1),OFFSET(Curvas_cupon_cero!$A$1,1,MATCH($B$7,Curvas_cupon_cero!$1:$1,0)-1,COUNT(Curvas_cupon_cero!$A:$A)-2,1)),interpolar(E346,OFFSET(Curvas_cupon_cero!$A$1,1,0,COUNT(Curvas_cupon_cero!$A:$A)-2,1),OFFSET(Curvas_cupon_cero!$A$1,1,MATCH($B$7,Curvas_cupon_cero!$1:$1,0)-1,COUNT(Curvas_cupon_cero!$A:$A)-2,1))))</f>
        <v/>
      </c>
      <c r="H346" s="19" t="str">
        <f t="shared" si="31"/>
        <v/>
      </c>
    </row>
    <row r="347" spans="1:8" x14ac:dyDescent="0.2">
      <c r="A347" s="12" t="str">
        <f t="shared" si="32"/>
        <v/>
      </c>
      <c r="B347" s="21" t="str">
        <f t="shared" si="33"/>
        <v/>
      </c>
      <c r="C347" s="17" t="str">
        <f t="shared" si="30"/>
        <v/>
      </c>
      <c r="D347" s="18" t="str">
        <f t="shared" si="34"/>
        <v/>
      </c>
      <c r="E347" t="str">
        <f t="shared" si="35"/>
        <v/>
      </c>
      <c r="F347" s="23" t="str">
        <f ca="1">IF(A347="","",IF($B$8="Sí",interpolar_alamb(E347,OFFSET(Curvas_cupon_cero!$A$1,1,0,COUNT(Curvas_cupon_cero!$A:$A)-2,1),OFFSET(Curvas_cupon_cero!$A$1,1,MATCH($B$6,Curvas_cupon_cero!$1:$1,0)-1,COUNT(Curvas_cupon_cero!$A:$A)-2,1)),interpolar(E347,OFFSET(Curvas_cupon_cero!$A$1,1,0,COUNT(Curvas_cupon_cero!$A:$A)-2,1),OFFSET(Curvas_cupon_cero!$A$1,1,MATCH($B$6,Curvas_cupon_cero!$1:$1,0)-1,COUNT(Curvas_cupon_cero!$A:$A)-2,1))))</f>
        <v/>
      </c>
      <c r="G347" s="23" t="str">
        <f ca="1">IF(A347="","",IF($B$8="Sí",interpolar_alamb(E347,OFFSET(Curvas_cupon_cero!$A$1,1,0,COUNT(Curvas_cupon_cero!$A:$A)-2,1),OFFSET(Curvas_cupon_cero!$A$1,1,MATCH($B$7,Curvas_cupon_cero!$1:$1,0)-1,COUNT(Curvas_cupon_cero!$A:$A)-2,1)),interpolar(E347,OFFSET(Curvas_cupon_cero!$A$1,1,0,COUNT(Curvas_cupon_cero!$A:$A)-2,1),OFFSET(Curvas_cupon_cero!$A$1,1,MATCH($B$7,Curvas_cupon_cero!$1:$1,0)-1,COUNT(Curvas_cupon_cero!$A:$A)-2,1))))</f>
        <v/>
      </c>
      <c r="H347" s="19" t="str">
        <f t="shared" si="31"/>
        <v/>
      </c>
    </row>
    <row r="348" spans="1:8" x14ac:dyDescent="0.2">
      <c r="A348" s="12" t="str">
        <f t="shared" si="32"/>
        <v/>
      </c>
      <c r="B348" s="21" t="str">
        <f t="shared" si="33"/>
        <v/>
      </c>
      <c r="C348" s="17" t="str">
        <f t="shared" si="30"/>
        <v/>
      </c>
      <c r="D348" s="18" t="str">
        <f t="shared" si="34"/>
        <v/>
      </c>
      <c r="E348" t="str">
        <f t="shared" si="35"/>
        <v/>
      </c>
      <c r="F348" s="23" t="str">
        <f ca="1">IF(A348="","",IF($B$8="Sí",interpolar_alamb(E348,OFFSET(Curvas_cupon_cero!$A$1,1,0,COUNT(Curvas_cupon_cero!$A:$A)-2,1),OFFSET(Curvas_cupon_cero!$A$1,1,MATCH($B$6,Curvas_cupon_cero!$1:$1,0)-1,COUNT(Curvas_cupon_cero!$A:$A)-2,1)),interpolar(E348,OFFSET(Curvas_cupon_cero!$A$1,1,0,COUNT(Curvas_cupon_cero!$A:$A)-2,1),OFFSET(Curvas_cupon_cero!$A$1,1,MATCH($B$6,Curvas_cupon_cero!$1:$1,0)-1,COUNT(Curvas_cupon_cero!$A:$A)-2,1))))</f>
        <v/>
      </c>
      <c r="G348" s="23" t="str">
        <f ca="1">IF(A348="","",IF($B$8="Sí",interpolar_alamb(E348,OFFSET(Curvas_cupon_cero!$A$1,1,0,COUNT(Curvas_cupon_cero!$A:$A)-2,1),OFFSET(Curvas_cupon_cero!$A$1,1,MATCH($B$7,Curvas_cupon_cero!$1:$1,0)-1,COUNT(Curvas_cupon_cero!$A:$A)-2,1)),interpolar(E348,OFFSET(Curvas_cupon_cero!$A$1,1,0,COUNT(Curvas_cupon_cero!$A:$A)-2,1),OFFSET(Curvas_cupon_cero!$A$1,1,MATCH($B$7,Curvas_cupon_cero!$1:$1,0)-1,COUNT(Curvas_cupon_cero!$A:$A)-2,1))))</f>
        <v/>
      </c>
      <c r="H348" s="19" t="str">
        <f t="shared" si="31"/>
        <v/>
      </c>
    </row>
    <row r="349" spans="1:8" x14ac:dyDescent="0.2">
      <c r="A349" s="12" t="str">
        <f t="shared" si="32"/>
        <v/>
      </c>
      <c r="B349" s="21" t="str">
        <f t="shared" si="33"/>
        <v/>
      </c>
      <c r="C349" s="17" t="str">
        <f t="shared" si="30"/>
        <v/>
      </c>
      <c r="D349" s="18" t="str">
        <f t="shared" si="34"/>
        <v/>
      </c>
      <c r="E349" t="str">
        <f t="shared" si="35"/>
        <v/>
      </c>
      <c r="F349" s="23" t="str">
        <f ca="1">IF(A349="","",IF($B$8="Sí",interpolar_alamb(E349,OFFSET(Curvas_cupon_cero!$A$1,1,0,COUNT(Curvas_cupon_cero!$A:$A)-2,1),OFFSET(Curvas_cupon_cero!$A$1,1,MATCH($B$6,Curvas_cupon_cero!$1:$1,0)-1,COUNT(Curvas_cupon_cero!$A:$A)-2,1)),interpolar(E349,OFFSET(Curvas_cupon_cero!$A$1,1,0,COUNT(Curvas_cupon_cero!$A:$A)-2,1),OFFSET(Curvas_cupon_cero!$A$1,1,MATCH($B$6,Curvas_cupon_cero!$1:$1,0)-1,COUNT(Curvas_cupon_cero!$A:$A)-2,1))))</f>
        <v/>
      </c>
      <c r="G349" s="23" t="str">
        <f ca="1">IF(A349="","",IF($B$8="Sí",interpolar_alamb(E349,OFFSET(Curvas_cupon_cero!$A$1,1,0,COUNT(Curvas_cupon_cero!$A:$A)-2,1),OFFSET(Curvas_cupon_cero!$A$1,1,MATCH($B$7,Curvas_cupon_cero!$1:$1,0)-1,COUNT(Curvas_cupon_cero!$A:$A)-2,1)),interpolar(E349,OFFSET(Curvas_cupon_cero!$A$1,1,0,COUNT(Curvas_cupon_cero!$A:$A)-2,1),OFFSET(Curvas_cupon_cero!$A$1,1,MATCH($B$7,Curvas_cupon_cero!$1:$1,0)-1,COUNT(Curvas_cupon_cero!$A:$A)-2,1))))</f>
        <v/>
      </c>
      <c r="H349" s="19" t="str">
        <f t="shared" si="31"/>
        <v/>
      </c>
    </row>
    <row r="350" spans="1:8" x14ac:dyDescent="0.2">
      <c r="A350" s="12" t="str">
        <f t="shared" si="32"/>
        <v/>
      </c>
      <c r="B350" s="21" t="str">
        <f t="shared" si="33"/>
        <v/>
      </c>
      <c r="C350" s="17" t="str">
        <f t="shared" si="30"/>
        <v/>
      </c>
      <c r="D350" s="18" t="str">
        <f t="shared" si="34"/>
        <v/>
      </c>
      <c r="E350" t="str">
        <f t="shared" si="35"/>
        <v/>
      </c>
      <c r="F350" s="23" t="str">
        <f ca="1">IF(A350="","",IF($B$8="Sí",interpolar_alamb(E350,OFFSET(Curvas_cupon_cero!$A$1,1,0,COUNT(Curvas_cupon_cero!$A:$A)-2,1),OFFSET(Curvas_cupon_cero!$A$1,1,MATCH($B$6,Curvas_cupon_cero!$1:$1,0)-1,COUNT(Curvas_cupon_cero!$A:$A)-2,1)),interpolar(E350,OFFSET(Curvas_cupon_cero!$A$1,1,0,COUNT(Curvas_cupon_cero!$A:$A)-2,1),OFFSET(Curvas_cupon_cero!$A$1,1,MATCH($B$6,Curvas_cupon_cero!$1:$1,0)-1,COUNT(Curvas_cupon_cero!$A:$A)-2,1))))</f>
        <v/>
      </c>
      <c r="G350" s="23" t="str">
        <f ca="1">IF(A350="","",IF($B$8="Sí",interpolar_alamb(E350,OFFSET(Curvas_cupon_cero!$A$1,1,0,COUNT(Curvas_cupon_cero!$A:$A)-2,1),OFFSET(Curvas_cupon_cero!$A$1,1,MATCH($B$7,Curvas_cupon_cero!$1:$1,0)-1,COUNT(Curvas_cupon_cero!$A:$A)-2,1)),interpolar(E350,OFFSET(Curvas_cupon_cero!$A$1,1,0,COUNT(Curvas_cupon_cero!$A:$A)-2,1),OFFSET(Curvas_cupon_cero!$A$1,1,MATCH($B$7,Curvas_cupon_cero!$1:$1,0)-1,COUNT(Curvas_cupon_cero!$A:$A)-2,1))))</f>
        <v/>
      </c>
      <c r="H350" s="19" t="str">
        <f t="shared" si="31"/>
        <v/>
      </c>
    </row>
    <row r="351" spans="1:8" x14ac:dyDescent="0.2">
      <c r="A351" s="12" t="str">
        <f t="shared" si="32"/>
        <v/>
      </c>
      <c r="B351" s="21" t="str">
        <f t="shared" si="33"/>
        <v/>
      </c>
      <c r="C351" s="17" t="str">
        <f t="shared" si="30"/>
        <v/>
      </c>
      <c r="D351" s="18" t="str">
        <f t="shared" si="34"/>
        <v/>
      </c>
      <c r="E351" t="str">
        <f t="shared" si="35"/>
        <v/>
      </c>
      <c r="F351" s="23" t="str">
        <f ca="1">IF(A351="","",IF($B$8="Sí",interpolar_alamb(E351,OFFSET(Curvas_cupon_cero!$A$1,1,0,COUNT(Curvas_cupon_cero!$A:$A)-2,1),OFFSET(Curvas_cupon_cero!$A$1,1,MATCH($B$6,Curvas_cupon_cero!$1:$1,0)-1,COUNT(Curvas_cupon_cero!$A:$A)-2,1)),interpolar(E351,OFFSET(Curvas_cupon_cero!$A$1,1,0,COUNT(Curvas_cupon_cero!$A:$A)-2,1),OFFSET(Curvas_cupon_cero!$A$1,1,MATCH($B$6,Curvas_cupon_cero!$1:$1,0)-1,COUNT(Curvas_cupon_cero!$A:$A)-2,1))))</f>
        <v/>
      </c>
      <c r="G351" s="23" t="str">
        <f ca="1">IF(A351="","",IF($B$8="Sí",interpolar_alamb(E351,OFFSET(Curvas_cupon_cero!$A$1,1,0,COUNT(Curvas_cupon_cero!$A:$A)-2,1),OFFSET(Curvas_cupon_cero!$A$1,1,MATCH($B$7,Curvas_cupon_cero!$1:$1,0)-1,COUNT(Curvas_cupon_cero!$A:$A)-2,1)),interpolar(E351,OFFSET(Curvas_cupon_cero!$A$1,1,0,COUNT(Curvas_cupon_cero!$A:$A)-2,1),OFFSET(Curvas_cupon_cero!$A$1,1,MATCH($B$7,Curvas_cupon_cero!$1:$1,0)-1,COUNT(Curvas_cupon_cero!$A:$A)-2,1))))</f>
        <v/>
      </c>
      <c r="H351" s="19" t="str">
        <f t="shared" si="31"/>
        <v/>
      </c>
    </row>
    <row r="352" spans="1:8" x14ac:dyDescent="0.2">
      <c r="A352" s="12" t="str">
        <f t="shared" si="32"/>
        <v/>
      </c>
      <c r="B352" s="21" t="str">
        <f t="shared" si="33"/>
        <v/>
      </c>
      <c r="C352" s="17" t="str">
        <f t="shared" si="30"/>
        <v/>
      </c>
      <c r="D352" s="18" t="str">
        <f t="shared" si="34"/>
        <v/>
      </c>
      <c r="E352" t="str">
        <f t="shared" si="35"/>
        <v/>
      </c>
      <c r="F352" s="23" t="str">
        <f ca="1">IF(A352="","",IF($B$8="Sí",interpolar_alamb(E352,OFFSET(Curvas_cupon_cero!$A$1,1,0,COUNT(Curvas_cupon_cero!$A:$A)-2,1),OFFSET(Curvas_cupon_cero!$A$1,1,MATCH($B$6,Curvas_cupon_cero!$1:$1,0)-1,COUNT(Curvas_cupon_cero!$A:$A)-2,1)),interpolar(E352,OFFSET(Curvas_cupon_cero!$A$1,1,0,COUNT(Curvas_cupon_cero!$A:$A)-2,1),OFFSET(Curvas_cupon_cero!$A$1,1,MATCH($B$6,Curvas_cupon_cero!$1:$1,0)-1,COUNT(Curvas_cupon_cero!$A:$A)-2,1))))</f>
        <v/>
      </c>
      <c r="G352" s="23" t="str">
        <f ca="1">IF(A352="","",IF($B$8="Sí",interpolar_alamb(E352,OFFSET(Curvas_cupon_cero!$A$1,1,0,COUNT(Curvas_cupon_cero!$A:$A)-2,1),OFFSET(Curvas_cupon_cero!$A$1,1,MATCH($B$7,Curvas_cupon_cero!$1:$1,0)-1,COUNT(Curvas_cupon_cero!$A:$A)-2,1)),interpolar(E352,OFFSET(Curvas_cupon_cero!$A$1,1,0,COUNT(Curvas_cupon_cero!$A:$A)-2,1),OFFSET(Curvas_cupon_cero!$A$1,1,MATCH($B$7,Curvas_cupon_cero!$1:$1,0)-1,COUNT(Curvas_cupon_cero!$A:$A)-2,1))))</f>
        <v/>
      </c>
      <c r="H352" s="19" t="str">
        <f t="shared" si="31"/>
        <v/>
      </c>
    </row>
    <row r="353" spans="1:8" x14ac:dyDescent="0.2">
      <c r="A353" s="12" t="str">
        <f t="shared" si="32"/>
        <v/>
      </c>
      <c r="B353" s="21" t="str">
        <f t="shared" si="33"/>
        <v/>
      </c>
      <c r="C353" s="17" t="str">
        <f t="shared" si="30"/>
        <v/>
      </c>
      <c r="D353" s="18" t="str">
        <f t="shared" si="34"/>
        <v/>
      </c>
      <c r="E353" t="str">
        <f t="shared" si="35"/>
        <v/>
      </c>
      <c r="F353" s="23" t="str">
        <f ca="1">IF(A353="","",IF($B$8="Sí",interpolar_alamb(E353,OFFSET(Curvas_cupon_cero!$A$1,1,0,COUNT(Curvas_cupon_cero!$A:$A)-2,1),OFFSET(Curvas_cupon_cero!$A$1,1,MATCH($B$6,Curvas_cupon_cero!$1:$1,0)-1,COUNT(Curvas_cupon_cero!$A:$A)-2,1)),interpolar(E353,OFFSET(Curvas_cupon_cero!$A$1,1,0,COUNT(Curvas_cupon_cero!$A:$A)-2,1),OFFSET(Curvas_cupon_cero!$A$1,1,MATCH($B$6,Curvas_cupon_cero!$1:$1,0)-1,COUNT(Curvas_cupon_cero!$A:$A)-2,1))))</f>
        <v/>
      </c>
      <c r="G353" s="23" t="str">
        <f ca="1">IF(A353="","",IF($B$8="Sí",interpolar_alamb(E353,OFFSET(Curvas_cupon_cero!$A$1,1,0,COUNT(Curvas_cupon_cero!$A:$A)-2,1),OFFSET(Curvas_cupon_cero!$A$1,1,MATCH($B$7,Curvas_cupon_cero!$1:$1,0)-1,COUNT(Curvas_cupon_cero!$A:$A)-2,1)),interpolar(E353,OFFSET(Curvas_cupon_cero!$A$1,1,0,COUNT(Curvas_cupon_cero!$A:$A)-2,1),OFFSET(Curvas_cupon_cero!$A$1,1,MATCH($B$7,Curvas_cupon_cero!$1:$1,0)-1,COUNT(Curvas_cupon_cero!$A:$A)-2,1))))</f>
        <v/>
      </c>
      <c r="H353" s="19" t="str">
        <f t="shared" si="31"/>
        <v/>
      </c>
    </row>
    <row r="354" spans="1:8" x14ac:dyDescent="0.2">
      <c r="A354" s="12" t="str">
        <f t="shared" si="32"/>
        <v/>
      </c>
      <c r="B354" s="21" t="str">
        <f t="shared" si="33"/>
        <v/>
      </c>
      <c r="C354" s="17" t="str">
        <f t="shared" si="30"/>
        <v/>
      </c>
      <c r="D354" s="18" t="str">
        <f t="shared" si="34"/>
        <v/>
      </c>
      <c r="E354" t="str">
        <f t="shared" si="35"/>
        <v/>
      </c>
      <c r="F354" s="23" t="str">
        <f ca="1">IF(A354="","",IF($B$8="Sí",interpolar_alamb(E354,OFFSET(Curvas_cupon_cero!$A$1,1,0,COUNT(Curvas_cupon_cero!$A:$A)-2,1),OFFSET(Curvas_cupon_cero!$A$1,1,MATCH($B$6,Curvas_cupon_cero!$1:$1,0)-1,COUNT(Curvas_cupon_cero!$A:$A)-2,1)),interpolar(E354,OFFSET(Curvas_cupon_cero!$A$1,1,0,COUNT(Curvas_cupon_cero!$A:$A)-2,1),OFFSET(Curvas_cupon_cero!$A$1,1,MATCH($B$6,Curvas_cupon_cero!$1:$1,0)-1,COUNT(Curvas_cupon_cero!$A:$A)-2,1))))</f>
        <v/>
      </c>
      <c r="G354" s="23" t="str">
        <f ca="1">IF(A354="","",IF($B$8="Sí",interpolar_alamb(E354,OFFSET(Curvas_cupon_cero!$A$1,1,0,COUNT(Curvas_cupon_cero!$A:$A)-2,1),OFFSET(Curvas_cupon_cero!$A$1,1,MATCH($B$7,Curvas_cupon_cero!$1:$1,0)-1,COUNT(Curvas_cupon_cero!$A:$A)-2,1)),interpolar(E354,OFFSET(Curvas_cupon_cero!$A$1,1,0,COUNT(Curvas_cupon_cero!$A:$A)-2,1),OFFSET(Curvas_cupon_cero!$A$1,1,MATCH($B$7,Curvas_cupon_cero!$1:$1,0)-1,COUNT(Curvas_cupon_cero!$A:$A)-2,1))))</f>
        <v/>
      </c>
      <c r="H354" s="19" t="str">
        <f t="shared" si="31"/>
        <v/>
      </c>
    </row>
    <row r="355" spans="1:8" x14ac:dyDescent="0.2">
      <c r="A355" s="12" t="str">
        <f t="shared" si="32"/>
        <v/>
      </c>
      <c r="B355" s="21" t="str">
        <f t="shared" si="33"/>
        <v/>
      </c>
      <c r="C355" s="17" t="str">
        <f t="shared" si="30"/>
        <v/>
      </c>
      <c r="D355" s="18" t="str">
        <f t="shared" si="34"/>
        <v/>
      </c>
      <c r="E355" t="str">
        <f t="shared" si="35"/>
        <v/>
      </c>
      <c r="F355" s="23" t="str">
        <f ca="1">IF(A355="","",IF($B$8="Sí",interpolar_alamb(E355,OFFSET(Curvas_cupon_cero!$A$1,1,0,COUNT(Curvas_cupon_cero!$A:$A)-2,1),OFFSET(Curvas_cupon_cero!$A$1,1,MATCH($B$6,Curvas_cupon_cero!$1:$1,0)-1,COUNT(Curvas_cupon_cero!$A:$A)-2,1)),interpolar(E355,OFFSET(Curvas_cupon_cero!$A$1,1,0,COUNT(Curvas_cupon_cero!$A:$A)-2,1),OFFSET(Curvas_cupon_cero!$A$1,1,MATCH($B$6,Curvas_cupon_cero!$1:$1,0)-1,COUNT(Curvas_cupon_cero!$A:$A)-2,1))))</f>
        <v/>
      </c>
      <c r="G355" s="23" t="str">
        <f ca="1">IF(A355="","",IF($B$8="Sí",interpolar_alamb(E355,OFFSET(Curvas_cupon_cero!$A$1,1,0,COUNT(Curvas_cupon_cero!$A:$A)-2,1),OFFSET(Curvas_cupon_cero!$A$1,1,MATCH($B$7,Curvas_cupon_cero!$1:$1,0)-1,COUNT(Curvas_cupon_cero!$A:$A)-2,1)),interpolar(E355,OFFSET(Curvas_cupon_cero!$A$1,1,0,COUNT(Curvas_cupon_cero!$A:$A)-2,1),OFFSET(Curvas_cupon_cero!$A$1,1,MATCH($B$7,Curvas_cupon_cero!$1:$1,0)-1,COUNT(Curvas_cupon_cero!$A:$A)-2,1))))</f>
        <v/>
      </c>
      <c r="H355" s="19" t="str">
        <f t="shared" si="31"/>
        <v/>
      </c>
    </row>
    <row r="356" spans="1:8" x14ac:dyDescent="0.2">
      <c r="A356" s="12" t="str">
        <f t="shared" si="32"/>
        <v/>
      </c>
      <c r="B356" s="21" t="str">
        <f t="shared" si="33"/>
        <v/>
      </c>
      <c r="C356" s="17" t="str">
        <f t="shared" si="30"/>
        <v/>
      </c>
      <c r="D356" s="18" t="str">
        <f t="shared" si="34"/>
        <v/>
      </c>
      <c r="E356" t="str">
        <f t="shared" si="35"/>
        <v/>
      </c>
      <c r="F356" s="23" t="str">
        <f ca="1">IF(A356="","",IF($B$8="Sí",interpolar_alamb(E356,OFFSET(Curvas_cupon_cero!$A$1,1,0,COUNT(Curvas_cupon_cero!$A:$A)-2,1),OFFSET(Curvas_cupon_cero!$A$1,1,MATCH($B$6,Curvas_cupon_cero!$1:$1,0)-1,COUNT(Curvas_cupon_cero!$A:$A)-2,1)),interpolar(E356,OFFSET(Curvas_cupon_cero!$A$1,1,0,COUNT(Curvas_cupon_cero!$A:$A)-2,1),OFFSET(Curvas_cupon_cero!$A$1,1,MATCH($B$6,Curvas_cupon_cero!$1:$1,0)-1,COUNT(Curvas_cupon_cero!$A:$A)-2,1))))</f>
        <v/>
      </c>
      <c r="G356" s="23" t="str">
        <f ca="1">IF(A356="","",IF($B$8="Sí",interpolar_alamb(E356,OFFSET(Curvas_cupon_cero!$A$1,1,0,COUNT(Curvas_cupon_cero!$A:$A)-2,1),OFFSET(Curvas_cupon_cero!$A$1,1,MATCH($B$7,Curvas_cupon_cero!$1:$1,0)-1,COUNT(Curvas_cupon_cero!$A:$A)-2,1)),interpolar(E356,OFFSET(Curvas_cupon_cero!$A$1,1,0,COUNT(Curvas_cupon_cero!$A:$A)-2,1),OFFSET(Curvas_cupon_cero!$A$1,1,MATCH($B$7,Curvas_cupon_cero!$1:$1,0)-1,COUNT(Curvas_cupon_cero!$A:$A)-2,1))))</f>
        <v/>
      </c>
      <c r="H356" s="19" t="str">
        <f t="shared" si="31"/>
        <v/>
      </c>
    </row>
    <row r="357" spans="1:8" x14ac:dyDescent="0.2">
      <c r="A357" s="12" t="str">
        <f t="shared" si="32"/>
        <v/>
      </c>
      <c r="B357" s="21" t="str">
        <f t="shared" si="33"/>
        <v/>
      </c>
      <c r="C357" s="17" t="str">
        <f t="shared" si="30"/>
        <v/>
      </c>
      <c r="D357" s="18" t="str">
        <f t="shared" si="34"/>
        <v/>
      </c>
      <c r="E357" t="str">
        <f t="shared" si="35"/>
        <v/>
      </c>
      <c r="F357" s="23" t="str">
        <f ca="1">IF(A357="","",IF($B$8="Sí",interpolar_alamb(E357,OFFSET(Curvas_cupon_cero!$A$1,1,0,COUNT(Curvas_cupon_cero!$A:$A)-2,1),OFFSET(Curvas_cupon_cero!$A$1,1,MATCH($B$6,Curvas_cupon_cero!$1:$1,0)-1,COUNT(Curvas_cupon_cero!$A:$A)-2,1)),interpolar(E357,OFFSET(Curvas_cupon_cero!$A$1,1,0,COUNT(Curvas_cupon_cero!$A:$A)-2,1),OFFSET(Curvas_cupon_cero!$A$1,1,MATCH($B$6,Curvas_cupon_cero!$1:$1,0)-1,COUNT(Curvas_cupon_cero!$A:$A)-2,1))))</f>
        <v/>
      </c>
      <c r="G357" s="23" t="str">
        <f ca="1">IF(A357="","",IF($B$8="Sí",interpolar_alamb(E357,OFFSET(Curvas_cupon_cero!$A$1,1,0,COUNT(Curvas_cupon_cero!$A:$A)-2,1),OFFSET(Curvas_cupon_cero!$A$1,1,MATCH($B$7,Curvas_cupon_cero!$1:$1,0)-1,COUNT(Curvas_cupon_cero!$A:$A)-2,1)),interpolar(E357,OFFSET(Curvas_cupon_cero!$A$1,1,0,COUNT(Curvas_cupon_cero!$A:$A)-2,1),OFFSET(Curvas_cupon_cero!$A$1,1,MATCH($B$7,Curvas_cupon_cero!$1:$1,0)-1,COUNT(Curvas_cupon_cero!$A:$A)-2,1))))</f>
        <v/>
      </c>
      <c r="H357" s="19" t="str">
        <f t="shared" si="31"/>
        <v/>
      </c>
    </row>
    <row r="358" spans="1:8" x14ac:dyDescent="0.2">
      <c r="A358" s="12" t="str">
        <f t="shared" si="32"/>
        <v/>
      </c>
      <c r="B358" s="21" t="str">
        <f t="shared" si="33"/>
        <v/>
      </c>
      <c r="C358" s="17" t="str">
        <f t="shared" si="30"/>
        <v/>
      </c>
      <c r="D358" s="18" t="str">
        <f t="shared" si="34"/>
        <v/>
      </c>
      <c r="E358" t="str">
        <f t="shared" si="35"/>
        <v/>
      </c>
      <c r="F358" s="23" t="str">
        <f ca="1">IF(A358="","",IF($B$8="Sí",interpolar_alamb(E358,OFFSET(Curvas_cupon_cero!$A$1,1,0,COUNT(Curvas_cupon_cero!$A:$A)-2,1),OFFSET(Curvas_cupon_cero!$A$1,1,MATCH($B$6,Curvas_cupon_cero!$1:$1,0)-1,COUNT(Curvas_cupon_cero!$A:$A)-2,1)),interpolar(E358,OFFSET(Curvas_cupon_cero!$A$1,1,0,COUNT(Curvas_cupon_cero!$A:$A)-2,1),OFFSET(Curvas_cupon_cero!$A$1,1,MATCH($B$6,Curvas_cupon_cero!$1:$1,0)-1,COUNT(Curvas_cupon_cero!$A:$A)-2,1))))</f>
        <v/>
      </c>
      <c r="G358" s="23" t="str">
        <f ca="1">IF(A358="","",IF($B$8="Sí",interpolar_alamb(E358,OFFSET(Curvas_cupon_cero!$A$1,1,0,COUNT(Curvas_cupon_cero!$A:$A)-2,1),OFFSET(Curvas_cupon_cero!$A$1,1,MATCH($B$7,Curvas_cupon_cero!$1:$1,0)-1,COUNT(Curvas_cupon_cero!$A:$A)-2,1)),interpolar(E358,OFFSET(Curvas_cupon_cero!$A$1,1,0,COUNT(Curvas_cupon_cero!$A:$A)-2,1),OFFSET(Curvas_cupon_cero!$A$1,1,MATCH($B$7,Curvas_cupon_cero!$1:$1,0)-1,COUNT(Curvas_cupon_cero!$A:$A)-2,1))))</f>
        <v/>
      </c>
      <c r="H358" s="19" t="str">
        <f t="shared" si="31"/>
        <v/>
      </c>
    </row>
    <row r="359" spans="1:8" x14ac:dyDescent="0.2">
      <c r="A359" s="12" t="str">
        <f t="shared" si="32"/>
        <v/>
      </c>
      <c r="B359" s="21" t="str">
        <f t="shared" si="33"/>
        <v/>
      </c>
      <c r="C359" s="17" t="str">
        <f t="shared" si="30"/>
        <v/>
      </c>
      <c r="D359" s="18" t="str">
        <f t="shared" si="34"/>
        <v/>
      </c>
      <c r="E359" t="str">
        <f t="shared" si="35"/>
        <v/>
      </c>
      <c r="F359" s="23" t="str">
        <f ca="1">IF(A359="","",IF($B$8="Sí",interpolar_alamb(E359,OFFSET(Curvas_cupon_cero!$A$1,1,0,COUNT(Curvas_cupon_cero!$A:$A)-2,1),OFFSET(Curvas_cupon_cero!$A$1,1,MATCH($B$6,Curvas_cupon_cero!$1:$1,0)-1,COUNT(Curvas_cupon_cero!$A:$A)-2,1)),interpolar(E359,OFFSET(Curvas_cupon_cero!$A$1,1,0,COUNT(Curvas_cupon_cero!$A:$A)-2,1),OFFSET(Curvas_cupon_cero!$A$1,1,MATCH($B$6,Curvas_cupon_cero!$1:$1,0)-1,COUNT(Curvas_cupon_cero!$A:$A)-2,1))))</f>
        <v/>
      </c>
      <c r="G359" s="23" t="str">
        <f ca="1">IF(A359="","",IF($B$8="Sí",interpolar_alamb(E359,OFFSET(Curvas_cupon_cero!$A$1,1,0,COUNT(Curvas_cupon_cero!$A:$A)-2,1),OFFSET(Curvas_cupon_cero!$A$1,1,MATCH($B$7,Curvas_cupon_cero!$1:$1,0)-1,COUNT(Curvas_cupon_cero!$A:$A)-2,1)),interpolar(E359,OFFSET(Curvas_cupon_cero!$A$1,1,0,COUNT(Curvas_cupon_cero!$A:$A)-2,1),OFFSET(Curvas_cupon_cero!$A$1,1,MATCH($B$7,Curvas_cupon_cero!$1:$1,0)-1,COUNT(Curvas_cupon_cero!$A:$A)-2,1))))</f>
        <v/>
      </c>
      <c r="H359" s="19" t="str">
        <f t="shared" si="31"/>
        <v/>
      </c>
    </row>
    <row r="360" spans="1:8" x14ac:dyDescent="0.2">
      <c r="A360" s="12" t="str">
        <f t="shared" si="32"/>
        <v/>
      </c>
      <c r="B360" s="21" t="str">
        <f t="shared" si="33"/>
        <v/>
      </c>
      <c r="C360" s="17" t="str">
        <f t="shared" si="30"/>
        <v/>
      </c>
      <c r="D360" s="18" t="str">
        <f t="shared" si="34"/>
        <v/>
      </c>
      <c r="E360" t="str">
        <f t="shared" si="35"/>
        <v/>
      </c>
      <c r="F360" s="23" t="str">
        <f ca="1">IF(A360="","",IF($B$8="Sí",interpolar_alamb(E360,OFFSET(Curvas_cupon_cero!$A$1,1,0,COUNT(Curvas_cupon_cero!$A:$A)-2,1),OFFSET(Curvas_cupon_cero!$A$1,1,MATCH($B$6,Curvas_cupon_cero!$1:$1,0)-1,COUNT(Curvas_cupon_cero!$A:$A)-2,1)),interpolar(E360,OFFSET(Curvas_cupon_cero!$A$1,1,0,COUNT(Curvas_cupon_cero!$A:$A)-2,1),OFFSET(Curvas_cupon_cero!$A$1,1,MATCH($B$6,Curvas_cupon_cero!$1:$1,0)-1,COUNT(Curvas_cupon_cero!$A:$A)-2,1))))</f>
        <v/>
      </c>
      <c r="G360" s="23" t="str">
        <f ca="1">IF(A360="","",IF($B$8="Sí",interpolar_alamb(E360,OFFSET(Curvas_cupon_cero!$A$1,1,0,COUNT(Curvas_cupon_cero!$A:$A)-2,1),OFFSET(Curvas_cupon_cero!$A$1,1,MATCH($B$7,Curvas_cupon_cero!$1:$1,0)-1,COUNT(Curvas_cupon_cero!$A:$A)-2,1)),interpolar(E360,OFFSET(Curvas_cupon_cero!$A$1,1,0,COUNT(Curvas_cupon_cero!$A:$A)-2,1),OFFSET(Curvas_cupon_cero!$A$1,1,MATCH($B$7,Curvas_cupon_cero!$1:$1,0)-1,COUNT(Curvas_cupon_cero!$A:$A)-2,1))))</f>
        <v/>
      </c>
      <c r="H360" s="19" t="str">
        <f t="shared" si="31"/>
        <v/>
      </c>
    </row>
    <row r="361" spans="1:8" x14ac:dyDescent="0.2">
      <c r="A361" s="12" t="str">
        <f t="shared" si="32"/>
        <v/>
      </c>
      <c r="B361" s="21" t="str">
        <f t="shared" si="33"/>
        <v/>
      </c>
      <c r="C361" s="17" t="str">
        <f t="shared" si="30"/>
        <v/>
      </c>
      <c r="D361" s="18" t="str">
        <f t="shared" si="34"/>
        <v/>
      </c>
      <c r="E361" t="str">
        <f t="shared" si="35"/>
        <v/>
      </c>
      <c r="F361" s="23" t="str">
        <f ca="1">IF(A361="","",IF($B$8="Sí",interpolar_alamb(E361,OFFSET(Curvas_cupon_cero!$A$1,1,0,COUNT(Curvas_cupon_cero!$A:$A)-2,1),OFFSET(Curvas_cupon_cero!$A$1,1,MATCH($B$6,Curvas_cupon_cero!$1:$1,0)-1,COUNT(Curvas_cupon_cero!$A:$A)-2,1)),interpolar(E361,OFFSET(Curvas_cupon_cero!$A$1,1,0,COUNT(Curvas_cupon_cero!$A:$A)-2,1),OFFSET(Curvas_cupon_cero!$A$1,1,MATCH($B$6,Curvas_cupon_cero!$1:$1,0)-1,COUNT(Curvas_cupon_cero!$A:$A)-2,1))))</f>
        <v/>
      </c>
      <c r="G361" s="23" t="str">
        <f ca="1">IF(A361="","",IF($B$8="Sí",interpolar_alamb(E361,OFFSET(Curvas_cupon_cero!$A$1,1,0,COUNT(Curvas_cupon_cero!$A:$A)-2,1),OFFSET(Curvas_cupon_cero!$A$1,1,MATCH($B$7,Curvas_cupon_cero!$1:$1,0)-1,COUNT(Curvas_cupon_cero!$A:$A)-2,1)),interpolar(E361,OFFSET(Curvas_cupon_cero!$A$1,1,0,COUNT(Curvas_cupon_cero!$A:$A)-2,1),OFFSET(Curvas_cupon_cero!$A$1,1,MATCH($B$7,Curvas_cupon_cero!$1:$1,0)-1,COUNT(Curvas_cupon_cero!$A:$A)-2,1))))</f>
        <v/>
      </c>
      <c r="H361" s="19" t="str">
        <f t="shared" si="31"/>
        <v/>
      </c>
    </row>
    <row r="362" spans="1:8" x14ac:dyDescent="0.2">
      <c r="A362" s="12" t="str">
        <f t="shared" si="32"/>
        <v/>
      </c>
      <c r="B362" s="21" t="str">
        <f t="shared" si="33"/>
        <v/>
      </c>
      <c r="C362" s="17" t="str">
        <f t="shared" si="30"/>
        <v/>
      </c>
      <c r="D362" s="18" t="str">
        <f t="shared" si="34"/>
        <v/>
      </c>
      <c r="E362" t="str">
        <f t="shared" si="35"/>
        <v/>
      </c>
      <c r="F362" s="23" t="str">
        <f ca="1">IF(A362="","",IF($B$8="Sí",interpolar_alamb(E362,OFFSET(Curvas_cupon_cero!$A$1,1,0,COUNT(Curvas_cupon_cero!$A:$A)-2,1),OFFSET(Curvas_cupon_cero!$A$1,1,MATCH($B$6,Curvas_cupon_cero!$1:$1,0)-1,COUNT(Curvas_cupon_cero!$A:$A)-2,1)),interpolar(E362,OFFSET(Curvas_cupon_cero!$A$1,1,0,COUNT(Curvas_cupon_cero!$A:$A)-2,1),OFFSET(Curvas_cupon_cero!$A$1,1,MATCH($B$6,Curvas_cupon_cero!$1:$1,0)-1,COUNT(Curvas_cupon_cero!$A:$A)-2,1))))</f>
        <v/>
      </c>
      <c r="G362" s="23" t="str">
        <f ca="1">IF(A362="","",IF($B$8="Sí",interpolar_alamb(E362,OFFSET(Curvas_cupon_cero!$A$1,1,0,COUNT(Curvas_cupon_cero!$A:$A)-2,1),OFFSET(Curvas_cupon_cero!$A$1,1,MATCH($B$7,Curvas_cupon_cero!$1:$1,0)-1,COUNT(Curvas_cupon_cero!$A:$A)-2,1)),interpolar(E362,OFFSET(Curvas_cupon_cero!$A$1,1,0,COUNT(Curvas_cupon_cero!$A:$A)-2,1),OFFSET(Curvas_cupon_cero!$A$1,1,MATCH($B$7,Curvas_cupon_cero!$1:$1,0)-1,COUNT(Curvas_cupon_cero!$A:$A)-2,1))))</f>
        <v/>
      </c>
      <c r="H362" s="19" t="str">
        <f t="shared" si="31"/>
        <v/>
      </c>
    </row>
    <row r="363" spans="1:8" x14ac:dyDescent="0.2">
      <c r="A363" s="12" t="str">
        <f t="shared" si="32"/>
        <v/>
      </c>
      <c r="B363" s="21" t="str">
        <f t="shared" si="33"/>
        <v/>
      </c>
      <c r="C363" s="17" t="str">
        <f t="shared" si="30"/>
        <v/>
      </c>
      <c r="D363" s="18" t="str">
        <f t="shared" si="34"/>
        <v/>
      </c>
      <c r="E363" t="str">
        <f t="shared" si="35"/>
        <v/>
      </c>
      <c r="F363" s="23" t="str">
        <f ca="1">IF(A363="","",IF($B$8="Sí",interpolar_alamb(E363,OFFSET(Curvas_cupon_cero!$A$1,1,0,COUNT(Curvas_cupon_cero!$A:$A)-2,1),OFFSET(Curvas_cupon_cero!$A$1,1,MATCH($B$6,Curvas_cupon_cero!$1:$1,0)-1,COUNT(Curvas_cupon_cero!$A:$A)-2,1)),interpolar(E363,OFFSET(Curvas_cupon_cero!$A$1,1,0,COUNT(Curvas_cupon_cero!$A:$A)-2,1),OFFSET(Curvas_cupon_cero!$A$1,1,MATCH($B$6,Curvas_cupon_cero!$1:$1,0)-1,COUNT(Curvas_cupon_cero!$A:$A)-2,1))))</f>
        <v/>
      </c>
      <c r="G363" s="23" t="str">
        <f ca="1">IF(A363="","",IF($B$8="Sí",interpolar_alamb(E363,OFFSET(Curvas_cupon_cero!$A$1,1,0,COUNT(Curvas_cupon_cero!$A:$A)-2,1),OFFSET(Curvas_cupon_cero!$A$1,1,MATCH($B$7,Curvas_cupon_cero!$1:$1,0)-1,COUNT(Curvas_cupon_cero!$A:$A)-2,1)),interpolar(E363,OFFSET(Curvas_cupon_cero!$A$1,1,0,COUNT(Curvas_cupon_cero!$A:$A)-2,1),OFFSET(Curvas_cupon_cero!$A$1,1,MATCH($B$7,Curvas_cupon_cero!$1:$1,0)-1,COUNT(Curvas_cupon_cero!$A:$A)-2,1))))</f>
        <v/>
      </c>
      <c r="H363" s="19" t="str">
        <f t="shared" si="31"/>
        <v/>
      </c>
    </row>
    <row r="364" spans="1:8" x14ac:dyDescent="0.2">
      <c r="A364" s="12" t="str">
        <f t="shared" si="32"/>
        <v/>
      </c>
      <c r="B364" s="21" t="str">
        <f t="shared" si="33"/>
        <v/>
      </c>
      <c r="C364" s="17" t="str">
        <f t="shared" si="30"/>
        <v/>
      </c>
      <c r="D364" s="18" t="str">
        <f t="shared" si="34"/>
        <v/>
      </c>
      <c r="E364" t="str">
        <f t="shared" si="35"/>
        <v/>
      </c>
      <c r="F364" s="23" t="str">
        <f ca="1">IF(A364="","",IF($B$8="Sí",interpolar_alamb(E364,OFFSET(Curvas_cupon_cero!$A$1,1,0,COUNT(Curvas_cupon_cero!$A:$A)-2,1),OFFSET(Curvas_cupon_cero!$A$1,1,MATCH($B$6,Curvas_cupon_cero!$1:$1,0)-1,COUNT(Curvas_cupon_cero!$A:$A)-2,1)),interpolar(E364,OFFSET(Curvas_cupon_cero!$A$1,1,0,COUNT(Curvas_cupon_cero!$A:$A)-2,1),OFFSET(Curvas_cupon_cero!$A$1,1,MATCH($B$6,Curvas_cupon_cero!$1:$1,0)-1,COUNT(Curvas_cupon_cero!$A:$A)-2,1))))</f>
        <v/>
      </c>
      <c r="G364" s="23" t="str">
        <f ca="1">IF(A364="","",IF($B$8="Sí",interpolar_alamb(E364,OFFSET(Curvas_cupon_cero!$A$1,1,0,COUNT(Curvas_cupon_cero!$A:$A)-2,1),OFFSET(Curvas_cupon_cero!$A$1,1,MATCH($B$7,Curvas_cupon_cero!$1:$1,0)-1,COUNT(Curvas_cupon_cero!$A:$A)-2,1)),interpolar(E364,OFFSET(Curvas_cupon_cero!$A$1,1,0,COUNT(Curvas_cupon_cero!$A:$A)-2,1),OFFSET(Curvas_cupon_cero!$A$1,1,MATCH($B$7,Curvas_cupon_cero!$1:$1,0)-1,COUNT(Curvas_cupon_cero!$A:$A)-2,1))))</f>
        <v/>
      </c>
      <c r="H364" s="19" t="str">
        <f t="shared" si="31"/>
        <v/>
      </c>
    </row>
    <row r="365" spans="1:8" x14ac:dyDescent="0.2">
      <c r="A365" s="12" t="str">
        <f t="shared" si="32"/>
        <v/>
      </c>
      <c r="B365" s="21" t="str">
        <f t="shared" si="33"/>
        <v/>
      </c>
      <c r="C365" s="17" t="str">
        <f t="shared" si="30"/>
        <v/>
      </c>
      <c r="D365" s="18" t="str">
        <f t="shared" si="34"/>
        <v/>
      </c>
      <c r="E365" t="str">
        <f t="shared" si="35"/>
        <v/>
      </c>
      <c r="F365" s="23" t="str">
        <f ca="1">IF(A365="","",IF($B$8="Sí",interpolar_alamb(E365,OFFSET(Curvas_cupon_cero!$A$1,1,0,COUNT(Curvas_cupon_cero!$A:$A)-2,1),OFFSET(Curvas_cupon_cero!$A$1,1,MATCH($B$6,Curvas_cupon_cero!$1:$1,0)-1,COUNT(Curvas_cupon_cero!$A:$A)-2,1)),interpolar(E365,OFFSET(Curvas_cupon_cero!$A$1,1,0,COUNT(Curvas_cupon_cero!$A:$A)-2,1),OFFSET(Curvas_cupon_cero!$A$1,1,MATCH($B$6,Curvas_cupon_cero!$1:$1,0)-1,COUNT(Curvas_cupon_cero!$A:$A)-2,1))))</f>
        <v/>
      </c>
      <c r="G365" s="23" t="str">
        <f ca="1">IF(A365="","",IF($B$8="Sí",interpolar_alamb(E365,OFFSET(Curvas_cupon_cero!$A$1,1,0,COUNT(Curvas_cupon_cero!$A:$A)-2,1),OFFSET(Curvas_cupon_cero!$A$1,1,MATCH($B$7,Curvas_cupon_cero!$1:$1,0)-1,COUNT(Curvas_cupon_cero!$A:$A)-2,1)),interpolar(E365,OFFSET(Curvas_cupon_cero!$A$1,1,0,COUNT(Curvas_cupon_cero!$A:$A)-2,1),OFFSET(Curvas_cupon_cero!$A$1,1,MATCH($B$7,Curvas_cupon_cero!$1:$1,0)-1,COUNT(Curvas_cupon_cero!$A:$A)-2,1))))</f>
        <v/>
      </c>
      <c r="H365" s="19" t="str">
        <f t="shared" si="31"/>
        <v/>
      </c>
    </row>
    <row r="366" spans="1:8" x14ac:dyDescent="0.2">
      <c r="A366" s="12" t="str">
        <f t="shared" si="32"/>
        <v/>
      </c>
      <c r="B366" s="21" t="str">
        <f t="shared" si="33"/>
        <v/>
      </c>
      <c r="C366" s="17" t="str">
        <f t="shared" si="30"/>
        <v/>
      </c>
      <c r="D366" s="18" t="str">
        <f t="shared" si="34"/>
        <v/>
      </c>
      <c r="E366" t="str">
        <f t="shared" si="35"/>
        <v/>
      </c>
      <c r="F366" s="23" t="str">
        <f ca="1">IF(A366="","",IF($B$8="Sí",interpolar_alamb(E366,OFFSET(Curvas_cupon_cero!$A$1,1,0,COUNT(Curvas_cupon_cero!$A:$A)-2,1),OFFSET(Curvas_cupon_cero!$A$1,1,MATCH($B$6,Curvas_cupon_cero!$1:$1,0)-1,COUNT(Curvas_cupon_cero!$A:$A)-2,1)),interpolar(E366,OFFSET(Curvas_cupon_cero!$A$1,1,0,COUNT(Curvas_cupon_cero!$A:$A)-2,1),OFFSET(Curvas_cupon_cero!$A$1,1,MATCH($B$6,Curvas_cupon_cero!$1:$1,0)-1,COUNT(Curvas_cupon_cero!$A:$A)-2,1))))</f>
        <v/>
      </c>
      <c r="G366" s="23" t="str">
        <f ca="1">IF(A366="","",IF($B$8="Sí",interpolar_alamb(E366,OFFSET(Curvas_cupon_cero!$A$1,1,0,COUNT(Curvas_cupon_cero!$A:$A)-2,1),OFFSET(Curvas_cupon_cero!$A$1,1,MATCH($B$7,Curvas_cupon_cero!$1:$1,0)-1,COUNT(Curvas_cupon_cero!$A:$A)-2,1)),interpolar(E366,OFFSET(Curvas_cupon_cero!$A$1,1,0,COUNT(Curvas_cupon_cero!$A:$A)-2,1),OFFSET(Curvas_cupon_cero!$A$1,1,MATCH($B$7,Curvas_cupon_cero!$1:$1,0)-1,COUNT(Curvas_cupon_cero!$A:$A)-2,1))))</f>
        <v/>
      </c>
      <c r="H366" s="19" t="str">
        <f t="shared" si="31"/>
        <v/>
      </c>
    </row>
    <row r="367" spans="1:8" x14ac:dyDescent="0.2">
      <c r="A367" s="12" t="str">
        <f t="shared" si="32"/>
        <v/>
      </c>
      <c r="B367" s="21" t="str">
        <f t="shared" si="33"/>
        <v/>
      </c>
      <c r="C367" s="17" t="str">
        <f t="shared" si="30"/>
        <v/>
      </c>
      <c r="D367" s="18" t="str">
        <f t="shared" si="34"/>
        <v/>
      </c>
      <c r="E367" t="str">
        <f t="shared" si="35"/>
        <v/>
      </c>
      <c r="F367" s="23" t="str">
        <f ca="1">IF(A367="","",IF($B$8="Sí",interpolar_alamb(E367,OFFSET(Curvas_cupon_cero!$A$1,1,0,COUNT(Curvas_cupon_cero!$A:$A)-2,1),OFFSET(Curvas_cupon_cero!$A$1,1,MATCH($B$6,Curvas_cupon_cero!$1:$1,0)-1,COUNT(Curvas_cupon_cero!$A:$A)-2,1)),interpolar(E367,OFFSET(Curvas_cupon_cero!$A$1,1,0,COUNT(Curvas_cupon_cero!$A:$A)-2,1),OFFSET(Curvas_cupon_cero!$A$1,1,MATCH($B$6,Curvas_cupon_cero!$1:$1,0)-1,COUNT(Curvas_cupon_cero!$A:$A)-2,1))))</f>
        <v/>
      </c>
      <c r="G367" s="23" t="str">
        <f ca="1">IF(A367="","",IF($B$8="Sí",interpolar_alamb(E367,OFFSET(Curvas_cupon_cero!$A$1,1,0,COUNT(Curvas_cupon_cero!$A:$A)-2,1),OFFSET(Curvas_cupon_cero!$A$1,1,MATCH($B$7,Curvas_cupon_cero!$1:$1,0)-1,COUNT(Curvas_cupon_cero!$A:$A)-2,1)),interpolar(E367,OFFSET(Curvas_cupon_cero!$A$1,1,0,COUNT(Curvas_cupon_cero!$A:$A)-2,1),OFFSET(Curvas_cupon_cero!$A$1,1,MATCH($B$7,Curvas_cupon_cero!$1:$1,0)-1,COUNT(Curvas_cupon_cero!$A:$A)-2,1))))</f>
        <v/>
      </c>
      <c r="H367" s="19" t="str">
        <f t="shared" si="31"/>
        <v/>
      </c>
    </row>
    <row r="368" spans="1:8" x14ac:dyDescent="0.2">
      <c r="A368" s="12" t="str">
        <f t="shared" si="32"/>
        <v/>
      </c>
      <c r="B368" s="21" t="str">
        <f t="shared" si="33"/>
        <v/>
      </c>
      <c r="C368" s="17" t="str">
        <f t="shared" si="30"/>
        <v/>
      </c>
      <c r="D368" s="18" t="str">
        <f t="shared" si="34"/>
        <v/>
      </c>
      <c r="E368" t="str">
        <f t="shared" si="35"/>
        <v/>
      </c>
      <c r="F368" s="23" t="str">
        <f ca="1">IF(A368="","",IF($B$8="Sí",interpolar_alamb(E368,OFFSET(Curvas_cupon_cero!$A$1,1,0,COUNT(Curvas_cupon_cero!$A:$A)-2,1),OFFSET(Curvas_cupon_cero!$A$1,1,MATCH($B$6,Curvas_cupon_cero!$1:$1,0)-1,COUNT(Curvas_cupon_cero!$A:$A)-2,1)),interpolar(E368,OFFSET(Curvas_cupon_cero!$A$1,1,0,COUNT(Curvas_cupon_cero!$A:$A)-2,1),OFFSET(Curvas_cupon_cero!$A$1,1,MATCH($B$6,Curvas_cupon_cero!$1:$1,0)-1,COUNT(Curvas_cupon_cero!$A:$A)-2,1))))</f>
        <v/>
      </c>
      <c r="G368" s="23" t="str">
        <f ca="1">IF(A368="","",IF($B$8="Sí",interpolar_alamb(E368,OFFSET(Curvas_cupon_cero!$A$1,1,0,COUNT(Curvas_cupon_cero!$A:$A)-2,1),OFFSET(Curvas_cupon_cero!$A$1,1,MATCH($B$7,Curvas_cupon_cero!$1:$1,0)-1,COUNT(Curvas_cupon_cero!$A:$A)-2,1)),interpolar(E368,OFFSET(Curvas_cupon_cero!$A$1,1,0,COUNT(Curvas_cupon_cero!$A:$A)-2,1),OFFSET(Curvas_cupon_cero!$A$1,1,MATCH($B$7,Curvas_cupon_cero!$1:$1,0)-1,COUNT(Curvas_cupon_cero!$A:$A)-2,1))))</f>
        <v/>
      </c>
      <c r="H368" s="19" t="str">
        <f t="shared" si="31"/>
        <v/>
      </c>
    </row>
    <row r="369" spans="1:8" x14ac:dyDescent="0.2">
      <c r="A369" s="12" t="str">
        <f t="shared" si="32"/>
        <v/>
      </c>
      <c r="B369" s="21" t="str">
        <f t="shared" si="33"/>
        <v/>
      </c>
      <c r="C369" s="17" t="str">
        <f t="shared" si="30"/>
        <v/>
      </c>
      <c r="D369" s="18" t="str">
        <f t="shared" si="34"/>
        <v/>
      </c>
      <c r="E369" t="str">
        <f t="shared" si="35"/>
        <v/>
      </c>
      <c r="F369" s="23" t="str">
        <f ca="1">IF(A369="","",IF($B$8="Sí",interpolar_alamb(E369,OFFSET(Curvas_cupon_cero!$A$1,1,0,COUNT(Curvas_cupon_cero!$A:$A)-2,1),OFFSET(Curvas_cupon_cero!$A$1,1,MATCH($B$6,Curvas_cupon_cero!$1:$1,0)-1,COUNT(Curvas_cupon_cero!$A:$A)-2,1)),interpolar(E369,OFFSET(Curvas_cupon_cero!$A$1,1,0,COUNT(Curvas_cupon_cero!$A:$A)-2,1),OFFSET(Curvas_cupon_cero!$A$1,1,MATCH($B$6,Curvas_cupon_cero!$1:$1,0)-1,COUNT(Curvas_cupon_cero!$A:$A)-2,1))))</f>
        <v/>
      </c>
      <c r="G369" s="23" t="str">
        <f ca="1">IF(A369="","",IF($B$8="Sí",interpolar_alamb(E369,OFFSET(Curvas_cupon_cero!$A$1,1,0,COUNT(Curvas_cupon_cero!$A:$A)-2,1),OFFSET(Curvas_cupon_cero!$A$1,1,MATCH($B$7,Curvas_cupon_cero!$1:$1,0)-1,COUNT(Curvas_cupon_cero!$A:$A)-2,1)),interpolar(E369,OFFSET(Curvas_cupon_cero!$A$1,1,0,COUNT(Curvas_cupon_cero!$A:$A)-2,1),OFFSET(Curvas_cupon_cero!$A$1,1,MATCH($B$7,Curvas_cupon_cero!$1:$1,0)-1,COUNT(Curvas_cupon_cero!$A:$A)-2,1))))</f>
        <v/>
      </c>
      <c r="H369" s="19" t="str">
        <f t="shared" si="31"/>
        <v/>
      </c>
    </row>
    <row r="370" spans="1:8" x14ac:dyDescent="0.2">
      <c r="A370" s="12" t="str">
        <f t="shared" si="32"/>
        <v/>
      </c>
      <c r="B370" s="21" t="str">
        <f t="shared" si="33"/>
        <v/>
      </c>
      <c r="C370" s="17" t="str">
        <f t="shared" si="30"/>
        <v/>
      </c>
      <c r="D370" s="18" t="str">
        <f t="shared" si="34"/>
        <v/>
      </c>
      <c r="E370" t="str">
        <f t="shared" si="35"/>
        <v/>
      </c>
      <c r="F370" s="23" t="str">
        <f ca="1">IF(A370="","",IF($B$8="Sí",interpolar_alamb(E370,OFFSET(Curvas_cupon_cero!$A$1,1,0,COUNT(Curvas_cupon_cero!$A:$A)-2,1),OFFSET(Curvas_cupon_cero!$A$1,1,MATCH($B$6,Curvas_cupon_cero!$1:$1,0)-1,COUNT(Curvas_cupon_cero!$A:$A)-2,1)),interpolar(E370,OFFSET(Curvas_cupon_cero!$A$1,1,0,COUNT(Curvas_cupon_cero!$A:$A)-2,1),OFFSET(Curvas_cupon_cero!$A$1,1,MATCH($B$6,Curvas_cupon_cero!$1:$1,0)-1,COUNT(Curvas_cupon_cero!$A:$A)-2,1))))</f>
        <v/>
      </c>
      <c r="G370" s="23" t="str">
        <f ca="1">IF(A370="","",IF($B$8="Sí",interpolar_alamb(E370,OFFSET(Curvas_cupon_cero!$A$1,1,0,COUNT(Curvas_cupon_cero!$A:$A)-2,1),OFFSET(Curvas_cupon_cero!$A$1,1,MATCH($B$7,Curvas_cupon_cero!$1:$1,0)-1,COUNT(Curvas_cupon_cero!$A:$A)-2,1)),interpolar(E370,OFFSET(Curvas_cupon_cero!$A$1,1,0,COUNT(Curvas_cupon_cero!$A:$A)-2,1),OFFSET(Curvas_cupon_cero!$A$1,1,MATCH($B$7,Curvas_cupon_cero!$1:$1,0)-1,COUNT(Curvas_cupon_cero!$A:$A)-2,1))))</f>
        <v/>
      </c>
      <c r="H370" s="19" t="str">
        <f t="shared" si="31"/>
        <v/>
      </c>
    </row>
    <row r="371" spans="1:8" x14ac:dyDescent="0.2">
      <c r="A371" s="12" t="str">
        <f t="shared" si="32"/>
        <v/>
      </c>
      <c r="B371" s="21" t="str">
        <f t="shared" si="33"/>
        <v/>
      </c>
      <c r="C371" s="17" t="str">
        <f t="shared" si="30"/>
        <v/>
      </c>
      <c r="D371" s="18" t="str">
        <f t="shared" si="34"/>
        <v/>
      </c>
      <c r="E371" t="str">
        <f t="shared" si="35"/>
        <v/>
      </c>
      <c r="F371" s="23" t="str">
        <f ca="1">IF(A371="","",IF($B$8="Sí",interpolar_alamb(E371,OFFSET(Curvas_cupon_cero!$A$1,1,0,COUNT(Curvas_cupon_cero!$A:$A)-2,1),OFFSET(Curvas_cupon_cero!$A$1,1,MATCH($B$6,Curvas_cupon_cero!$1:$1,0)-1,COUNT(Curvas_cupon_cero!$A:$A)-2,1)),interpolar(E371,OFFSET(Curvas_cupon_cero!$A$1,1,0,COUNT(Curvas_cupon_cero!$A:$A)-2,1),OFFSET(Curvas_cupon_cero!$A$1,1,MATCH($B$6,Curvas_cupon_cero!$1:$1,0)-1,COUNT(Curvas_cupon_cero!$A:$A)-2,1))))</f>
        <v/>
      </c>
      <c r="G371" s="23" t="str">
        <f ca="1">IF(A371="","",IF($B$8="Sí",interpolar_alamb(E371,OFFSET(Curvas_cupon_cero!$A$1,1,0,COUNT(Curvas_cupon_cero!$A:$A)-2,1),OFFSET(Curvas_cupon_cero!$A$1,1,MATCH($B$7,Curvas_cupon_cero!$1:$1,0)-1,COUNT(Curvas_cupon_cero!$A:$A)-2,1)),interpolar(E371,OFFSET(Curvas_cupon_cero!$A$1,1,0,COUNT(Curvas_cupon_cero!$A:$A)-2,1),OFFSET(Curvas_cupon_cero!$A$1,1,MATCH($B$7,Curvas_cupon_cero!$1:$1,0)-1,COUNT(Curvas_cupon_cero!$A:$A)-2,1))))</f>
        <v/>
      </c>
      <c r="H371" s="19" t="str">
        <f t="shared" si="31"/>
        <v/>
      </c>
    </row>
    <row r="372" spans="1:8" x14ac:dyDescent="0.2">
      <c r="A372" s="12" t="str">
        <f t="shared" si="32"/>
        <v/>
      </c>
      <c r="B372" s="21" t="str">
        <f t="shared" si="33"/>
        <v/>
      </c>
      <c r="C372" s="17" t="str">
        <f t="shared" si="30"/>
        <v/>
      </c>
      <c r="D372" s="18" t="str">
        <f t="shared" si="34"/>
        <v/>
      </c>
      <c r="E372" t="str">
        <f t="shared" si="35"/>
        <v/>
      </c>
      <c r="F372" s="23" t="str">
        <f ca="1">IF(A372="","",IF($B$8="Sí",interpolar_alamb(E372,OFFSET(Curvas_cupon_cero!$A$1,1,0,COUNT(Curvas_cupon_cero!$A:$A)-2,1),OFFSET(Curvas_cupon_cero!$A$1,1,MATCH($B$6,Curvas_cupon_cero!$1:$1,0)-1,COUNT(Curvas_cupon_cero!$A:$A)-2,1)),interpolar(E372,OFFSET(Curvas_cupon_cero!$A$1,1,0,COUNT(Curvas_cupon_cero!$A:$A)-2,1),OFFSET(Curvas_cupon_cero!$A$1,1,MATCH($B$6,Curvas_cupon_cero!$1:$1,0)-1,COUNT(Curvas_cupon_cero!$A:$A)-2,1))))</f>
        <v/>
      </c>
      <c r="G372" s="23" t="str">
        <f ca="1">IF(A372="","",IF($B$8="Sí",interpolar_alamb(E372,OFFSET(Curvas_cupon_cero!$A$1,1,0,COUNT(Curvas_cupon_cero!$A:$A)-2,1),OFFSET(Curvas_cupon_cero!$A$1,1,MATCH($B$7,Curvas_cupon_cero!$1:$1,0)-1,COUNT(Curvas_cupon_cero!$A:$A)-2,1)),interpolar(E372,OFFSET(Curvas_cupon_cero!$A$1,1,0,COUNT(Curvas_cupon_cero!$A:$A)-2,1),OFFSET(Curvas_cupon_cero!$A$1,1,MATCH($B$7,Curvas_cupon_cero!$1:$1,0)-1,COUNT(Curvas_cupon_cero!$A:$A)-2,1))))</f>
        <v/>
      </c>
      <c r="H372" s="19" t="str">
        <f t="shared" si="31"/>
        <v/>
      </c>
    </row>
    <row r="373" spans="1:8" x14ac:dyDescent="0.2">
      <c r="A373" s="12" t="str">
        <f t="shared" si="32"/>
        <v/>
      </c>
      <c r="B373" s="21" t="str">
        <f t="shared" si="33"/>
        <v/>
      </c>
      <c r="C373" s="17" t="str">
        <f t="shared" si="30"/>
        <v/>
      </c>
      <c r="D373" s="18" t="str">
        <f t="shared" si="34"/>
        <v/>
      </c>
      <c r="E373" t="str">
        <f t="shared" si="35"/>
        <v/>
      </c>
      <c r="F373" s="23" t="str">
        <f ca="1">IF(A373="","",IF($B$8="Sí",interpolar_alamb(E373,OFFSET(Curvas_cupon_cero!$A$1,1,0,COUNT(Curvas_cupon_cero!$A:$A)-2,1),OFFSET(Curvas_cupon_cero!$A$1,1,MATCH($B$6,Curvas_cupon_cero!$1:$1,0)-1,COUNT(Curvas_cupon_cero!$A:$A)-2,1)),interpolar(E373,OFFSET(Curvas_cupon_cero!$A$1,1,0,COUNT(Curvas_cupon_cero!$A:$A)-2,1),OFFSET(Curvas_cupon_cero!$A$1,1,MATCH($B$6,Curvas_cupon_cero!$1:$1,0)-1,COUNT(Curvas_cupon_cero!$A:$A)-2,1))))</f>
        <v/>
      </c>
      <c r="G373" s="23" t="str">
        <f ca="1">IF(A373="","",IF($B$8="Sí",interpolar_alamb(E373,OFFSET(Curvas_cupon_cero!$A$1,1,0,COUNT(Curvas_cupon_cero!$A:$A)-2,1),OFFSET(Curvas_cupon_cero!$A$1,1,MATCH($B$7,Curvas_cupon_cero!$1:$1,0)-1,COUNT(Curvas_cupon_cero!$A:$A)-2,1)),interpolar(E373,OFFSET(Curvas_cupon_cero!$A$1,1,0,COUNT(Curvas_cupon_cero!$A:$A)-2,1),OFFSET(Curvas_cupon_cero!$A$1,1,MATCH($B$7,Curvas_cupon_cero!$1:$1,0)-1,COUNT(Curvas_cupon_cero!$A:$A)-2,1))))</f>
        <v/>
      </c>
      <c r="H373" s="19" t="str">
        <f t="shared" si="31"/>
        <v/>
      </c>
    </row>
    <row r="374" spans="1:8" x14ac:dyDescent="0.2">
      <c r="A374" s="12" t="str">
        <f t="shared" si="32"/>
        <v/>
      </c>
      <c r="B374" s="21" t="str">
        <f t="shared" si="33"/>
        <v/>
      </c>
      <c r="C374" s="17" t="str">
        <f t="shared" si="30"/>
        <v/>
      </c>
      <c r="D374" s="18" t="str">
        <f t="shared" si="34"/>
        <v/>
      </c>
      <c r="E374" t="str">
        <f t="shared" si="35"/>
        <v/>
      </c>
      <c r="F374" s="23" t="str">
        <f ca="1">IF(A374="","",IF($B$8="Sí",interpolar_alamb(E374,OFFSET(Curvas_cupon_cero!$A$1,1,0,COUNT(Curvas_cupon_cero!$A:$A)-2,1),OFFSET(Curvas_cupon_cero!$A$1,1,MATCH($B$6,Curvas_cupon_cero!$1:$1,0)-1,COUNT(Curvas_cupon_cero!$A:$A)-2,1)),interpolar(E374,OFFSET(Curvas_cupon_cero!$A$1,1,0,COUNT(Curvas_cupon_cero!$A:$A)-2,1),OFFSET(Curvas_cupon_cero!$A$1,1,MATCH($B$6,Curvas_cupon_cero!$1:$1,0)-1,COUNT(Curvas_cupon_cero!$A:$A)-2,1))))</f>
        <v/>
      </c>
      <c r="G374" s="23" t="str">
        <f ca="1">IF(A374="","",IF($B$8="Sí",interpolar_alamb(E374,OFFSET(Curvas_cupon_cero!$A$1,1,0,COUNT(Curvas_cupon_cero!$A:$A)-2,1),OFFSET(Curvas_cupon_cero!$A$1,1,MATCH($B$7,Curvas_cupon_cero!$1:$1,0)-1,COUNT(Curvas_cupon_cero!$A:$A)-2,1)),interpolar(E374,OFFSET(Curvas_cupon_cero!$A$1,1,0,COUNT(Curvas_cupon_cero!$A:$A)-2,1),OFFSET(Curvas_cupon_cero!$A$1,1,MATCH($B$7,Curvas_cupon_cero!$1:$1,0)-1,COUNT(Curvas_cupon_cero!$A:$A)-2,1))))</f>
        <v/>
      </c>
      <c r="H374" s="19" t="str">
        <f t="shared" si="31"/>
        <v/>
      </c>
    </row>
    <row r="375" spans="1:8" x14ac:dyDescent="0.2">
      <c r="A375" s="12" t="str">
        <f t="shared" si="32"/>
        <v/>
      </c>
      <c r="B375" s="21" t="str">
        <f t="shared" si="33"/>
        <v/>
      </c>
      <c r="C375" s="17" t="str">
        <f t="shared" si="30"/>
        <v/>
      </c>
      <c r="D375" s="18" t="str">
        <f t="shared" si="34"/>
        <v/>
      </c>
      <c r="E375" t="str">
        <f t="shared" si="35"/>
        <v/>
      </c>
      <c r="F375" s="23" t="str">
        <f ca="1">IF(A375="","",IF($B$8="Sí",interpolar_alamb(E375,OFFSET(Curvas_cupon_cero!$A$1,1,0,COUNT(Curvas_cupon_cero!$A:$A)-2,1),OFFSET(Curvas_cupon_cero!$A$1,1,MATCH($B$6,Curvas_cupon_cero!$1:$1,0)-1,COUNT(Curvas_cupon_cero!$A:$A)-2,1)),interpolar(E375,OFFSET(Curvas_cupon_cero!$A$1,1,0,COUNT(Curvas_cupon_cero!$A:$A)-2,1),OFFSET(Curvas_cupon_cero!$A$1,1,MATCH($B$6,Curvas_cupon_cero!$1:$1,0)-1,COUNT(Curvas_cupon_cero!$A:$A)-2,1))))</f>
        <v/>
      </c>
      <c r="G375" s="23" t="str">
        <f ca="1">IF(A375="","",IF($B$8="Sí",interpolar_alamb(E375,OFFSET(Curvas_cupon_cero!$A$1,1,0,COUNT(Curvas_cupon_cero!$A:$A)-2,1),OFFSET(Curvas_cupon_cero!$A$1,1,MATCH($B$7,Curvas_cupon_cero!$1:$1,0)-1,COUNT(Curvas_cupon_cero!$A:$A)-2,1)),interpolar(E375,OFFSET(Curvas_cupon_cero!$A$1,1,0,COUNT(Curvas_cupon_cero!$A:$A)-2,1),OFFSET(Curvas_cupon_cero!$A$1,1,MATCH($B$7,Curvas_cupon_cero!$1:$1,0)-1,COUNT(Curvas_cupon_cero!$A:$A)-2,1))))</f>
        <v/>
      </c>
      <c r="H375" s="19" t="str">
        <f t="shared" si="31"/>
        <v/>
      </c>
    </row>
    <row r="376" spans="1:8" x14ac:dyDescent="0.2">
      <c r="A376" s="12" t="str">
        <f t="shared" si="32"/>
        <v/>
      </c>
      <c r="B376" s="21" t="str">
        <f t="shared" si="33"/>
        <v/>
      </c>
      <c r="C376" s="17" t="str">
        <f t="shared" si="30"/>
        <v/>
      </c>
      <c r="D376" s="18" t="str">
        <f t="shared" si="34"/>
        <v/>
      </c>
      <c r="E376" t="str">
        <f t="shared" si="35"/>
        <v/>
      </c>
      <c r="F376" s="23" t="str">
        <f ca="1">IF(A376="","",IF($B$8="Sí",interpolar_alamb(E376,OFFSET(Curvas_cupon_cero!$A$1,1,0,COUNT(Curvas_cupon_cero!$A:$A)-2,1),OFFSET(Curvas_cupon_cero!$A$1,1,MATCH($B$6,Curvas_cupon_cero!$1:$1,0)-1,COUNT(Curvas_cupon_cero!$A:$A)-2,1)),interpolar(E376,OFFSET(Curvas_cupon_cero!$A$1,1,0,COUNT(Curvas_cupon_cero!$A:$A)-2,1),OFFSET(Curvas_cupon_cero!$A$1,1,MATCH($B$6,Curvas_cupon_cero!$1:$1,0)-1,COUNT(Curvas_cupon_cero!$A:$A)-2,1))))</f>
        <v/>
      </c>
      <c r="G376" s="23" t="str">
        <f ca="1">IF(A376="","",IF($B$8="Sí",interpolar_alamb(E376,OFFSET(Curvas_cupon_cero!$A$1,1,0,COUNT(Curvas_cupon_cero!$A:$A)-2,1),OFFSET(Curvas_cupon_cero!$A$1,1,MATCH($B$7,Curvas_cupon_cero!$1:$1,0)-1,COUNT(Curvas_cupon_cero!$A:$A)-2,1)),interpolar(E376,OFFSET(Curvas_cupon_cero!$A$1,1,0,COUNT(Curvas_cupon_cero!$A:$A)-2,1),OFFSET(Curvas_cupon_cero!$A$1,1,MATCH($B$7,Curvas_cupon_cero!$1:$1,0)-1,COUNT(Curvas_cupon_cero!$A:$A)-2,1))))</f>
        <v/>
      </c>
      <c r="H376" s="19" t="str">
        <f t="shared" si="31"/>
        <v/>
      </c>
    </row>
    <row r="377" spans="1:8" x14ac:dyDescent="0.2">
      <c r="A377" s="12" t="str">
        <f t="shared" si="32"/>
        <v/>
      </c>
      <c r="B377" s="21" t="str">
        <f t="shared" si="33"/>
        <v/>
      </c>
      <c r="C377" s="17" t="str">
        <f t="shared" si="30"/>
        <v/>
      </c>
      <c r="D377" s="18" t="str">
        <f t="shared" si="34"/>
        <v/>
      </c>
      <c r="E377" t="str">
        <f t="shared" si="35"/>
        <v/>
      </c>
      <c r="F377" s="23" t="str">
        <f ca="1">IF(A377="","",IF($B$8="Sí",interpolar_alamb(E377,OFFSET(Curvas_cupon_cero!$A$1,1,0,COUNT(Curvas_cupon_cero!$A:$A)-2,1),OFFSET(Curvas_cupon_cero!$A$1,1,MATCH($B$6,Curvas_cupon_cero!$1:$1,0)-1,COUNT(Curvas_cupon_cero!$A:$A)-2,1)),interpolar(E377,OFFSET(Curvas_cupon_cero!$A$1,1,0,COUNT(Curvas_cupon_cero!$A:$A)-2,1),OFFSET(Curvas_cupon_cero!$A$1,1,MATCH($B$6,Curvas_cupon_cero!$1:$1,0)-1,COUNT(Curvas_cupon_cero!$A:$A)-2,1))))</f>
        <v/>
      </c>
      <c r="G377" s="23" t="str">
        <f ca="1">IF(A377="","",IF($B$8="Sí",interpolar_alamb(E377,OFFSET(Curvas_cupon_cero!$A$1,1,0,COUNT(Curvas_cupon_cero!$A:$A)-2,1),OFFSET(Curvas_cupon_cero!$A$1,1,MATCH($B$7,Curvas_cupon_cero!$1:$1,0)-1,COUNT(Curvas_cupon_cero!$A:$A)-2,1)),interpolar(E377,OFFSET(Curvas_cupon_cero!$A$1,1,0,COUNT(Curvas_cupon_cero!$A:$A)-2,1),OFFSET(Curvas_cupon_cero!$A$1,1,MATCH($B$7,Curvas_cupon_cero!$1:$1,0)-1,COUNT(Curvas_cupon_cero!$A:$A)-2,1))))</f>
        <v/>
      </c>
      <c r="H377" s="19" t="str">
        <f t="shared" si="31"/>
        <v/>
      </c>
    </row>
    <row r="378" spans="1:8" x14ac:dyDescent="0.2">
      <c r="A378" s="12" t="str">
        <f t="shared" si="32"/>
        <v/>
      </c>
      <c r="B378" s="21" t="str">
        <f t="shared" si="33"/>
        <v/>
      </c>
      <c r="C378" s="17" t="str">
        <f t="shared" si="30"/>
        <v/>
      </c>
      <c r="D378" s="18" t="str">
        <f t="shared" si="34"/>
        <v/>
      </c>
      <c r="E378" t="str">
        <f t="shared" si="35"/>
        <v/>
      </c>
      <c r="F378" s="23" t="str">
        <f ca="1">IF(A378="","",IF($B$8="Sí",interpolar_alamb(E378,OFFSET(Curvas_cupon_cero!$A$1,1,0,COUNT(Curvas_cupon_cero!$A:$A)-2,1),OFFSET(Curvas_cupon_cero!$A$1,1,MATCH($B$6,Curvas_cupon_cero!$1:$1,0)-1,COUNT(Curvas_cupon_cero!$A:$A)-2,1)),interpolar(E378,OFFSET(Curvas_cupon_cero!$A$1,1,0,COUNT(Curvas_cupon_cero!$A:$A)-2,1),OFFSET(Curvas_cupon_cero!$A$1,1,MATCH($B$6,Curvas_cupon_cero!$1:$1,0)-1,COUNT(Curvas_cupon_cero!$A:$A)-2,1))))</f>
        <v/>
      </c>
      <c r="G378" s="23" t="str">
        <f ca="1">IF(A378="","",IF($B$8="Sí",interpolar_alamb(E378,OFFSET(Curvas_cupon_cero!$A$1,1,0,COUNT(Curvas_cupon_cero!$A:$A)-2,1),OFFSET(Curvas_cupon_cero!$A$1,1,MATCH($B$7,Curvas_cupon_cero!$1:$1,0)-1,COUNT(Curvas_cupon_cero!$A:$A)-2,1)),interpolar(E378,OFFSET(Curvas_cupon_cero!$A$1,1,0,COUNT(Curvas_cupon_cero!$A:$A)-2,1),OFFSET(Curvas_cupon_cero!$A$1,1,MATCH($B$7,Curvas_cupon_cero!$1:$1,0)-1,COUNT(Curvas_cupon_cero!$A:$A)-2,1))))</f>
        <v/>
      </c>
      <c r="H378" s="19" t="str">
        <f t="shared" si="31"/>
        <v/>
      </c>
    </row>
    <row r="379" spans="1:8" x14ac:dyDescent="0.2">
      <c r="A379" s="12" t="str">
        <f t="shared" si="32"/>
        <v/>
      </c>
      <c r="B379" s="21" t="str">
        <f t="shared" si="33"/>
        <v/>
      </c>
      <c r="C379" s="17" t="str">
        <f t="shared" si="30"/>
        <v/>
      </c>
      <c r="D379" s="18" t="str">
        <f t="shared" si="34"/>
        <v/>
      </c>
      <c r="E379" t="str">
        <f t="shared" si="35"/>
        <v/>
      </c>
      <c r="F379" s="23" t="str">
        <f ca="1">IF(A379="","",IF($B$8="Sí",interpolar_alamb(E379,OFFSET(Curvas_cupon_cero!$A$1,1,0,COUNT(Curvas_cupon_cero!$A:$A)-2,1),OFFSET(Curvas_cupon_cero!$A$1,1,MATCH($B$6,Curvas_cupon_cero!$1:$1,0)-1,COUNT(Curvas_cupon_cero!$A:$A)-2,1)),interpolar(E379,OFFSET(Curvas_cupon_cero!$A$1,1,0,COUNT(Curvas_cupon_cero!$A:$A)-2,1),OFFSET(Curvas_cupon_cero!$A$1,1,MATCH($B$6,Curvas_cupon_cero!$1:$1,0)-1,COUNT(Curvas_cupon_cero!$A:$A)-2,1))))</f>
        <v/>
      </c>
      <c r="G379" s="23" t="str">
        <f ca="1">IF(A379="","",IF($B$8="Sí",interpolar_alamb(E379,OFFSET(Curvas_cupon_cero!$A$1,1,0,COUNT(Curvas_cupon_cero!$A:$A)-2,1),OFFSET(Curvas_cupon_cero!$A$1,1,MATCH($B$7,Curvas_cupon_cero!$1:$1,0)-1,COUNT(Curvas_cupon_cero!$A:$A)-2,1)),interpolar(E379,OFFSET(Curvas_cupon_cero!$A$1,1,0,COUNT(Curvas_cupon_cero!$A:$A)-2,1),OFFSET(Curvas_cupon_cero!$A$1,1,MATCH($B$7,Curvas_cupon_cero!$1:$1,0)-1,COUNT(Curvas_cupon_cero!$A:$A)-2,1))))</f>
        <v/>
      </c>
      <c r="H379" s="19" t="str">
        <f t="shared" si="31"/>
        <v/>
      </c>
    </row>
    <row r="380" spans="1:8" x14ac:dyDescent="0.2">
      <c r="A380" s="12" t="str">
        <f t="shared" si="32"/>
        <v/>
      </c>
      <c r="B380" s="21" t="str">
        <f t="shared" si="33"/>
        <v/>
      </c>
      <c r="C380" s="17" t="str">
        <f t="shared" si="30"/>
        <v/>
      </c>
      <c r="D380" s="18" t="str">
        <f t="shared" si="34"/>
        <v/>
      </c>
      <c r="E380" t="str">
        <f t="shared" si="35"/>
        <v/>
      </c>
      <c r="F380" s="23" t="str">
        <f ca="1">IF(A380="","",IF($B$8="Sí",interpolar_alamb(E380,OFFSET(Curvas_cupon_cero!$A$1,1,0,COUNT(Curvas_cupon_cero!$A:$A)-2,1),OFFSET(Curvas_cupon_cero!$A$1,1,MATCH($B$6,Curvas_cupon_cero!$1:$1,0)-1,COUNT(Curvas_cupon_cero!$A:$A)-2,1)),interpolar(E380,OFFSET(Curvas_cupon_cero!$A$1,1,0,COUNT(Curvas_cupon_cero!$A:$A)-2,1),OFFSET(Curvas_cupon_cero!$A$1,1,MATCH($B$6,Curvas_cupon_cero!$1:$1,0)-1,COUNT(Curvas_cupon_cero!$A:$A)-2,1))))</f>
        <v/>
      </c>
      <c r="G380" s="23" t="str">
        <f ca="1">IF(A380="","",IF($B$8="Sí",interpolar_alamb(E380,OFFSET(Curvas_cupon_cero!$A$1,1,0,COUNT(Curvas_cupon_cero!$A:$A)-2,1),OFFSET(Curvas_cupon_cero!$A$1,1,MATCH($B$7,Curvas_cupon_cero!$1:$1,0)-1,COUNT(Curvas_cupon_cero!$A:$A)-2,1)),interpolar(E380,OFFSET(Curvas_cupon_cero!$A$1,1,0,COUNT(Curvas_cupon_cero!$A:$A)-2,1),OFFSET(Curvas_cupon_cero!$A$1,1,MATCH($B$7,Curvas_cupon_cero!$1:$1,0)-1,COUNT(Curvas_cupon_cero!$A:$A)-2,1))))</f>
        <v/>
      </c>
      <c r="H380" s="19" t="str">
        <f t="shared" si="31"/>
        <v/>
      </c>
    </row>
    <row r="381" spans="1:8" x14ac:dyDescent="0.2">
      <c r="A381" s="12" t="str">
        <f t="shared" si="32"/>
        <v/>
      </c>
      <c r="B381" s="21" t="str">
        <f t="shared" si="33"/>
        <v/>
      </c>
      <c r="C381" s="17" t="str">
        <f t="shared" si="30"/>
        <v/>
      </c>
      <c r="D381" s="18" t="str">
        <f t="shared" si="34"/>
        <v/>
      </c>
      <c r="E381" t="str">
        <f t="shared" si="35"/>
        <v/>
      </c>
      <c r="F381" s="23" t="str">
        <f ca="1">IF(A381="","",IF($B$8="Sí",interpolar_alamb(E381,OFFSET(Curvas_cupon_cero!$A$1,1,0,COUNT(Curvas_cupon_cero!$A:$A)-2,1),OFFSET(Curvas_cupon_cero!$A$1,1,MATCH($B$6,Curvas_cupon_cero!$1:$1,0)-1,COUNT(Curvas_cupon_cero!$A:$A)-2,1)),interpolar(E381,OFFSET(Curvas_cupon_cero!$A$1,1,0,COUNT(Curvas_cupon_cero!$A:$A)-2,1),OFFSET(Curvas_cupon_cero!$A$1,1,MATCH($B$6,Curvas_cupon_cero!$1:$1,0)-1,COUNT(Curvas_cupon_cero!$A:$A)-2,1))))</f>
        <v/>
      </c>
      <c r="G381" s="23" t="str">
        <f ca="1">IF(A381="","",IF($B$8="Sí",interpolar_alamb(E381,OFFSET(Curvas_cupon_cero!$A$1,1,0,COUNT(Curvas_cupon_cero!$A:$A)-2,1),OFFSET(Curvas_cupon_cero!$A$1,1,MATCH($B$7,Curvas_cupon_cero!$1:$1,0)-1,COUNT(Curvas_cupon_cero!$A:$A)-2,1)),interpolar(E381,OFFSET(Curvas_cupon_cero!$A$1,1,0,COUNT(Curvas_cupon_cero!$A:$A)-2,1),OFFSET(Curvas_cupon_cero!$A$1,1,MATCH($B$7,Curvas_cupon_cero!$1:$1,0)-1,COUNT(Curvas_cupon_cero!$A:$A)-2,1))))</f>
        <v/>
      </c>
      <c r="H381" s="19" t="str">
        <f t="shared" si="31"/>
        <v/>
      </c>
    </row>
    <row r="382" spans="1:8" x14ac:dyDescent="0.2">
      <c r="A382" s="12" t="str">
        <f t="shared" si="32"/>
        <v/>
      </c>
      <c r="B382" s="21" t="str">
        <f t="shared" si="33"/>
        <v/>
      </c>
      <c r="C382" s="17" t="str">
        <f t="shared" si="30"/>
        <v/>
      </c>
      <c r="D382" s="18" t="str">
        <f t="shared" si="34"/>
        <v/>
      </c>
      <c r="E382" t="str">
        <f t="shared" si="35"/>
        <v/>
      </c>
      <c r="F382" s="23" t="str">
        <f ca="1">IF(A382="","",IF($B$8="Sí",interpolar_alamb(E382,OFFSET(Curvas_cupon_cero!$A$1,1,0,COUNT(Curvas_cupon_cero!$A:$A)-2,1),OFFSET(Curvas_cupon_cero!$A$1,1,MATCH($B$6,Curvas_cupon_cero!$1:$1,0)-1,COUNT(Curvas_cupon_cero!$A:$A)-2,1)),interpolar(E382,OFFSET(Curvas_cupon_cero!$A$1,1,0,COUNT(Curvas_cupon_cero!$A:$A)-2,1),OFFSET(Curvas_cupon_cero!$A$1,1,MATCH($B$6,Curvas_cupon_cero!$1:$1,0)-1,COUNT(Curvas_cupon_cero!$A:$A)-2,1))))</f>
        <v/>
      </c>
      <c r="G382" s="23" t="str">
        <f ca="1">IF(A382="","",IF($B$8="Sí",interpolar_alamb(E382,OFFSET(Curvas_cupon_cero!$A$1,1,0,COUNT(Curvas_cupon_cero!$A:$A)-2,1),OFFSET(Curvas_cupon_cero!$A$1,1,MATCH($B$7,Curvas_cupon_cero!$1:$1,0)-1,COUNT(Curvas_cupon_cero!$A:$A)-2,1)),interpolar(E382,OFFSET(Curvas_cupon_cero!$A$1,1,0,COUNT(Curvas_cupon_cero!$A:$A)-2,1),OFFSET(Curvas_cupon_cero!$A$1,1,MATCH($B$7,Curvas_cupon_cero!$1:$1,0)-1,COUNT(Curvas_cupon_cero!$A:$A)-2,1))))</f>
        <v/>
      </c>
      <c r="H382" s="19" t="str">
        <f t="shared" si="31"/>
        <v/>
      </c>
    </row>
    <row r="383" spans="1:8" x14ac:dyDescent="0.2">
      <c r="A383" s="12" t="str">
        <f t="shared" si="32"/>
        <v/>
      </c>
      <c r="B383" s="21" t="str">
        <f t="shared" si="33"/>
        <v/>
      </c>
      <c r="C383" s="17" t="str">
        <f t="shared" si="30"/>
        <v/>
      </c>
      <c r="D383" s="18" t="str">
        <f t="shared" si="34"/>
        <v/>
      </c>
      <c r="E383" t="str">
        <f t="shared" si="35"/>
        <v/>
      </c>
      <c r="F383" s="23" t="str">
        <f ca="1">IF(A383="","",IF($B$8="Sí",interpolar_alamb(E383,OFFSET(Curvas_cupon_cero!$A$1,1,0,COUNT(Curvas_cupon_cero!$A:$A)-2,1),OFFSET(Curvas_cupon_cero!$A$1,1,MATCH($B$6,Curvas_cupon_cero!$1:$1,0)-1,COUNT(Curvas_cupon_cero!$A:$A)-2,1)),interpolar(E383,OFFSET(Curvas_cupon_cero!$A$1,1,0,COUNT(Curvas_cupon_cero!$A:$A)-2,1),OFFSET(Curvas_cupon_cero!$A$1,1,MATCH($B$6,Curvas_cupon_cero!$1:$1,0)-1,COUNT(Curvas_cupon_cero!$A:$A)-2,1))))</f>
        <v/>
      </c>
      <c r="G383" s="23" t="str">
        <f ca="1">IF(A383="","",IF($B$8="Sí",interpolar_alamb(E383,OFFSET(Curvas_cupon_cero!$A$1,1,0,COUNT(Curvas_cupon_cero!$A:$A)-2,1),OFFSET(Curvas_cupon_cero!$A$1,1,MATCH($B$7,Curvas_cupon_cero!$1:$1,0)-1,COUNT(Curvas_cupon_cero!$A:$A)-2,1)),interpolar(E383,OFFSET(Curvas_cupon_cero!$A$1,1,0,COUNT(Curvas_cupon_cero!$A:$A)-2,1),OFFSET(Curvas_cupon_cero!$A$1,1,MATCH($B$7,Curvas_cupon_cero!$1:$1,0)-1,COUNT(Curvas_cupon_cero!$A:$A)-2,1))))</f>
        <v/>
      </c>
      <c r="H383" s="19" t="str">
        <f t="shared" si="31"/>
        <v/>
      </c>
    </row>
    <row r="384" spans="1:8" x14ac:dyDescent="0.2">
      <c r="A384" s="12" t="str">
        <f t="shared" si="32"/>
        <v/>
      </c>
      <c r="B384" s="21" t="str">
        <f t="shared" si="33"/>
        <v/>
      </c>
      <c r="C384" s="17" t="str">
        <f t="shared" si="30"/>
        <v/>
      </c>
      <c r="D384" s="18" t="str">
        <f t="shared" si="34"/>
        <v/>
      </c>
      <c r="E384" t="str">
        <f t="shared" si="35"/>
        <v/>
      </c>
      <c r="F384" s="23" t="str">
        <f ca="1">IF(A384="","",IF($B$8="Sí",interpolar_alamb(E384,OFFSET(Curvas_cupon_cero!$A$1,1,0,COUNT(Curvas_cupon_cero!$A:$A)-2,1),OFFSET(Curvas_cupon_cero!$A$1,1,MATCH($B$6,Curvas_cupon_cero!$1:$1,0)-1,COUNT(Curvas_cupon_cero!$A:$A)-2,1)),interpolar(E384,OFFSET(Curvas_cupon_cero!$A$1,1,0,COUNT(Curvas_cupon_cero!$A:$A)-2,1),OFFSET(Curvas_cupon_cero!$A$1,1,MATCH($B$6,Curvas_cupon_cero!$1:$1,0)-1,COUNT(Curvas_cupon_cero!$A:$A)-2,1))))</f>
        <v/>
      </c>
      <c r="G384" s="23" t="str">
        <f ca="1">IF(A384="","",IF($B$8="Sí",interpolar_alamb(E384,OFFSET(Curvas_cupon_cero!$A$1,1,0,COUNT(Curvas_cupon_cero!$A:$A)-2,1),OFFSET(Curvas_cupon_cero!$A$1,1,MATCH($B$7,Curvas_cupon_cero!$1:$1,0)-1,COUNT(Curvas_cupon_cero!$A:$A)-2,1)),interpolar(E384,OFFSET(Curvas_cupon_cero!$A$1,1,0,COUNT(Curvas_cupon_cero!$A:$A)-2,1),OFFSET(Curvas_cupon_cero!$A$1,1,MATCH($B$7,Curvas_cupon_cero!$1:$1,0)-1,COUNT(Curvas_cupon_cero!$A:$A)-2,1))))</f>
        <v/>
      </c>
      <c r="H384" s="19" t="str">
        <f t="shared" si="31"/>
        <v/>
      </c>
    </row>
    <row r="385" spans="1:8" x14ac:dyDescent="0.2">
      <c r="A385" s="12" t="str">
        <f t="shared" si="32"/>
        <v/>
      </c>
      <c r="B385" s="21" t="str">
        <f t="shared" si="33"/>
        <v/>
      </c>
      <c r="C385" s="17" t="str">
        <f t="shared" si="30"/>
        <v/>
      </c>
      <c r="D385" s="18" t="str">
        <f t="shared" si="34"/>
        <v/>
      </c>
      <c r="E385" t="str">
        <f t="shared" si="35"/>
        <v/>
      </c>
      <c r="F385" s="23" t="str">
        <f ca="1">IF(A385="","",IF($B$8="Sí",interpolar_alamb(E385,OFFSET(Curvas_cupon_cero!$A$1,1,0,COUNT(Curvas_cupon_cero!$A:$A)-2,1),OFFSET(Curvas_cupon_cero!$A$1,1,MATCH($B$6,Curvas_cupon_cero!$1:$1,0)-1,COUNT(Curvas_cupon_cero!$A:$A)-2,1)),interpolar(E385,OFFSET(Curvas_cupon_cero!$A$1,1,0,COUNT(Curvas_cupon_cero!$A:$A)-2,1),OFFSET(Curvas_cupon_cero!$A$1,1,MATCH($B$6,Curvas_cupon_cero!$1:$1,0)-1,COUNT(Curvas_cupon_cero!$A:$A)-2,1))))</f>
        <v/>
      </c>
      <c r="G385" s="23" t="str">
        <f ca="1">IF(A385="","",IF($B$8="Sí",interpolar_alamb(E385,OFFSET(Curvas_cupon_cero!$A$1,1,0,COUNT(Curvas_cupon_cero!$A:$A)-2,1),OFFSET(Curvas_cupon_cero!$A$1,1,MATCH($B$7,Curvas_cupon_cero!$1:$1,0)-1,COUNT(Curvas_cupon_cero!$A:$A)-2,1)),interpolar(E385,OFFSET(Curvas_cupon_cero!$A$1,1,0,COUNT(Curvas_cupon_cero!$A:$A)-2,1),OFFSET(Curvas_cupon_cero!$A$1,1,MATCH($B$7,Curvas_cupon_cero!$1:$1,0)-1,COUNT(Curvas_cupon_cero!$A:$A)-2,1))))</f>
        <v/>
      </c>
      <c r="H385" s="19" t="str">
        <f t="shared" si="31"/>
        <v/>
      </c>
    </row>
    <row r="386" spans="1:8" x14ac:dyDescent="0.2">
      <c r="A386" s="12" t="str">
        <f t="shared" si="32"/>
        <v/>
      </c>
      <c r="B386" s="21" t="str">
        <f t="shared" si="33"/>
        <v/>
      </c>
      <c r="C386" s="17" t="str">
        <f t="shared" si="30"/>
        <v/>
      </c>
      <c r="D386" s="18" t="str">
        <f t="shared" si="34"/>
        <v/>
      </c>
      <c r="E386" t="str">
        <f t="shared" si="35"/>
        <v/>
      </c>
      <c r="F386" s="23" t="str">
        <f ca="1">IF(A386="","",IF($B$8="Sí",interpolar_alamb(E386,OFFSET(Curvas_cupon_cero!$A$1,1,0,COUNT(Curvas_cupon_cero!$A:$A)-2,1),OFFSET(Curvas_cupon_cero!$A$1,1,MATCH($B$6,Curvas_cupon_cero!$1:$1,0)-1,COUNT(Curvas_cupon_cero!$A:$A)-2,1)),interpolar(E386,OFFSET(Curvas_cupon_cero!$A$1,1,0,COUNT(Curvas_cupon_cero!$A:$A)-2,1),OFFSET(Curvas_cupon_cero!$A$1,1,MATCH($B$6,Curvas_cupon_cero!$1:$1,0)-1,COUNT(Curvas_cupon_cero!$A:$A)-2,1))))</f>
        <v/>
      </c>
      <c r="G386" s="23" t="str">
        <f ca="1">IF(A386="","",IF($B$8="Sí",interpolar_alamb(E386,OFFSET(Curvas_cupon_cero!$A$1,1,0,COUNT(Curvas_cupon_cero!$A:$A)-2,1),OFFSET(Curvas_cupon_cero!$A$1,1,MATCH($B$7,Curvas_cupon_cero!$1:$1,0)-1,COUNT(Curvas_cupon_cero!$A:$A)-2,1)),interpolar(E386,OFFSET(Curvas_cupon_cero!$A$1,1,0,COUNT(Curvas_cupon_cero!$A:$A)-2,1),OFFSET(Curvas_cupon_cero!$A$1,1,MATCH($B$7,Curvas_cupon_cero!$1:$1,0)-1,COUNT(Curvas_cupon_cero!$A:$A)-2,1))))</f>
        <v/>
      </c>
      <c r="H386" s="19" t="str">
        <f t="shared" si="31"/>
        <v/>
      </c>
    </row>
    <row r="387" spans="1:8" x14ac:dyDescent="0.2">
      <c r="A387" s="12" t="str">
        <f t="shared" si="32"/>
        <v/>
      </c>
      <c r="B387" s="21" t="str">
        <f t="shared" si="33"/>
        <v/>
      </c>
      <c r="C387" s="17" t="str">
        <f t="shared" si="30"/>
        <v/>
      </c>
      <c r="D387" s="18" t="str">
        <f t="shared" si="34"/>
        <v/>
      </c>
      <c r="E387" t="str">
        <f t="shared" si="35"/>
        <v/>
      </c>
      <c r="F387" s="23" t="str">
        <f ca="1">IF(A387="","",IF($B$8="Sí",interpolar_alamb(E387,OFFSET(Curvas_cupon_cero!$A$1,1,0,COUNT(Curvas_cupon_cero!$A:$A)-2,1),OFFSET(Curvas_cupon_cero!$A$1,1,MATCH($B$6,Curvas_cupon_cero!$1:$1,0)-1,COUNT(Curvas_cupon_cero!$A:$A)-2,1)),interpolar(E387,OFFSET(Curvas_cupon_cero!$A$1,1,0,COUNT(Curvas_cupon_cero!$A:$A)-2,1),OFFSET(Curvas_cupon_cero!$A$1,1,MATCH($B$6,Curvas_cupon_cero!$1:$1,0)-1,COUNT(Curvas_cupon_cero!$A:$A)-2,1))))</f>
        <v/>
      </c>
      <c r="G387" s="23" t="str">
        <f ca="1">IF(A387="","",IF($B$8="Sí",interpolar_alamb(E387,OFFSET(Curvas_cupon_cero!$A$1,1,0,COUNT(Curvas_cupon_cero!$A:$A)-2,1),OFFSET(Curvas_cupon_cero!$A$1,1,MATCH($B$7,Curvas_cupon_cero!$1:$1,0)-1,COUNT(Curvas_cupon_cero!$A:$A)-2,1)),interpolar(E387,OFFSET(Curvas_cupon_cero!$A$1,1,0,COUNT(Curvas_cupon_cero!$A:$A)-2,1),OFFSET(Curvas_cupon_cero!$A$1,1,MATCH($B$7,Curvas_cupon_cero!$1:$1,0)-1,COUNT(Curvas_cupon_cero!$A:$A)-2,1))))</f>
        <v/>
      </c>
      <c r="H387" s="19" t="str">
        <f t="shared" si="31"/>
        <v/>
      </c>
    </row>
    <row r="388" spans="1:8" x14ac:dyDescent="0.2">
      <c r="A388" s="12" t="str">
        <f t="shared" si="32"/>
        <v/>
      </c>
      <c r="B388" s="21" t="str">
        <f t="shared" si="33"/>
        <v/>
      </c>
      <c r="C388" s="17" t="str">
        <f t="shared" si="30"/>
        <v/>
      </c>
      <c r="D388" s="18" t="str">
        <f t="shared" si="34"/>
        <v/>
      </c>
      <c r="E388" t="str">
        <f t="shared" si="35"/>
        <v/>
      </c>
      <c r="F388" s="23" t="str">
        <f ca="1">IF(A388="","",IF($B$8="Sí",interpolar_alamb(E388,OFFSET(Curvas_cupon_cero!$A$1,1,0,COUNT(Curvas_cupon_cero!$A:$A)-2,1),OFFSET(Curvas_cupon_cero!$A$1,1,MATCH($B$6,Curvas_cupon_cero!$1:$1,0)-1,COUNT(Curvas_cupon_cero!$A:$A)-2,1)),interpolar(E388,OFFSET(Curvas_cupon_cero!$A$1,1,0,COUNT(Curvas_cupon_cero!$A:$A)-2,1),OFFSET(Curvas_cupon_cero!$A$1,1,MATCH($B$6,Curvas_cupon_cero!$1:$1,0)-1,COUNT(Curvas_cupon_cero!$A:$A)-2,1))))</f>
        <v/>
      </c>
      <c r="G388" s="23" t="str">
        <f ca="1">IF(A388="","",IF($B$8="Sí",interpolar_alamb(E388,OFFSET(Curvas_cupon_cero!$A$1,1,0,COUNT(Curvas_cupon_cero!$A:$A)-2,1),OFFSET(Curvas_cupon_cero!$A$1,1,MATCH($B$7,Curvas_cupon_cero!$1:$1,0)-1,COUNT(Curvas_cupon_cero!$A:$A)-2,1)),interpolar(E388,OFFSET(Curvas_cupon_cero!$A$1,1,0,COUNT(Curvas_cupon_cero!$A:$A)-2,1),OFFSET(Curvas_cupon_cero!$A$1,1,MATCH($B$7,Curvas_cupon_cero!$1:$1,0)-1,COUNT(Curvas_cupon_cero!$A:$A)-2,1))))</f>
        <v/>
      </c>
      <c r="H388" s="19" t="str">
        <f t="shared" si="31"/>
        <v/>
      </c>
    </row>
    <row r="389" spans="1:8" x14ac:dyDescent="0.2">
      <c r="A389" s="12" t="str">
        <f t="shared" si="32"/>
        <v/>
      </c>
      <c r="B389" s="21" t="str">
        <f t="shared" si="33"/>
        <v/>
      </c>
      <c r="C389" s="17" t="str">
        <f t="shared" si="30"/>
        <v/>
      </c>
      <c r="D389" s="18" t="str">
        <f t="shared" si="34"/>
        <v/>
      </c>
      <c r="E389" t="str">
        <f t="shared" si="35"/>
        <v/>
      </c>
      <c r="F389" s="23" t="str">
        <f ca="1">IF(A389="","",IF($B$8="Sí",interpolar_alamb(E389,OFFSET(Curvas_cupon_cero!$A$1,1,0,COUNT(Curvas_cupon_cero!$A:$A)-2,1),OFFSET(Curvas_cupon_cero!$A$1,1,MATCH($B$6,Curvas_cupon_cero!$1:$1,0)-1,COUNT(Curvas_cupon_cero!$A:$A)-2,1)),interpolar(E389,OFFSET(Curvas_cupon_cero!$A$1,1,0,COUNT(Curvas_cupon_cero!$A:$A)-2,1),OFFSET(Curvas_cupon_cero!$A$1,1,MATCH($B$6,Curvas_cupon_cero!$1:$1,0)-1,COUNT(Curvas_cupon_cero!$A:$A)-2,1))))</f>
        <v/>
      </c>
      <c r="G389" s="23" t="str">
        <f ca="1">IF(A389="","",IF($B$8="Sí",interpolar_alamb(E389,OFFSET(Curvas_cupon_cero!$A$1,1,0,COUNT(Curvas_cupon_cero!$A:$A)-2,1),OFFSET(Curvas_cupon_cero!$A$1,1,MATCH($B$7,Curvas_cupon_cero!$1:$1,0)-1,COUNT(Curvas_cupon_cero!$A:$A)-2,1)),interpolar(E389,OFFSET(Curvas_cupon_cero!$A$1,1,0,COUNT(Curvas_cupon_cero!$A:$A)-2,1),OFFSET(Curvas_cupon_cero!$A$1,1,MATCH($B$7,Curvas_cupon_cero!$1:$1,0)-1,COUNT(Curvas_cupon_cero!$A:$A)-2,1))))</f>
        <v/>
      </c>
      <c r="H389" s="19" t="str">
        <f t="shared" si="31"/>
        <v/>
      </c>
    </row>
    <row r="390" spans="1:8" x14ac:dyDescent="0.2">
      <c r="A390" s="12" t="str">
        <f t="shared" si="32"/>
        <v/>
      </c>
      <c r="B390" s="21" t="str">
        <f t="shared" si="33"/>
        <v/>
      </c>
      <c r="C390" s="17" t="str">
        <f t="shared" si="30"/>
        <v/>
      </c>
      <c r="D390" s="18" t="str">
        <f t="shared" si="34"/>
        <v/>
      </c>
      <c r="E390" t="str">
        <f t="shared" si="35"/>
        <v/>
      </c>
      <c r="F390" s="23" t="str">
        <f ca="1">IF(A390="","",IF($B$8="Sí",interpolar_alamb(E390,OFFSET(Curvas_cupon_cero!$A$1,1,0,COUNT(Curvas_cupon_cero!$A:$A)-2,1),OFFSET(Curvas_cupon_cero!$A$1,1,MATCH($B$6,Curvas_cupon_cero!$1:$1,0)-1,COUNT(Curvas_cupon_cero!$A:$A)-2,1)),interpolar(E390,OFFSET(Curvas_cupon_cero!$A$1,1,0,COUNT(Curvas_cupon_cero!$A:$A)-2,1),OFFSET(Curvas_cupon_cero!$A$1,1,MATCH($B$6,Curvas_cupon_cero!$1:$1,0)-1,COUNT(Curvas_cupon_cero!$A:$A)-2,1))))</f>
        <v/>
      </c>
      <c r="G390" s="23" t="str">
        <f ca="1">IF(A390="","",IF($B$8="Sí",interpolar_alamb(E390,OFFSET(Curvas_cupon_cero!$A$1,1,0,COUNT(Curvas_cupon_cero!$A:$A)-2,1),OFFSET(Curvas_cupon_cero!$A$1,1,MATCH($B$7,Curvas_cupon_cero!$1:$1,0)-1,COUNT(Curvas_cupon_cero!$A:$A)-2,1)),interpolar(E390,OFFSET(Curvas_cupon_cero!$A$1,1,0,COUNT(Curvas_cupon_cero!$A:$A)-2,1),OFFSET(Curvas_cupon_cero!$A$1,1,MATCH($B$7,Curvas_cupon_cero!$1:$1,0)-1,COUNT(Curvas_cupon_cero!$A:$A)-2,1))))</f>
        <v/>
      </c>
      <c r="H390" s="19" t="str">
        <f t="shared" si="31"/>
        <v/>
      </c>
    </row>
    <row r="391" spans="1:8" x14ac:dyDescent="0.2">
      <c r="A391" s="12" t="str">
        <f t="shared" si="32"/>
        <v/>
      </c>
      <c r="B391" s="21" t="str">
        <f t="shared" si="33"/>
        <v/>
      </c>
      <c r="C391" s="17" t="str">
        <f t="shared" si="30"/>
        <v/>
      </c>
      <c r="D391" s="18" t="str">
        <f t="shared" si="34"/>
        <v/>
      </c>
      <c r="E391" t="str">
        <f t="shared" si="35"/>
        <v/>
      </c>
      <c r="F391" s="23" t="str">
        <f ca="1">IF(A391="","",IF($B$8="Sí",interpolar_alamb(E391,OFFSET(Curvas_cupon_cero!$A$1,1,0,COUNT(Curvas_cupon_cero!$A:$A)-2,1),OFFSET(Curvas_cupon_cero!$A$1,1,MATCH($B$6,Curvas_cupon_cero!$1:$1,0)-1,COUNT(Curvas_cupon_cero!$A:$A)-2,1)),interpolar(E391,OFFSET(Curvas_cupon_cero!$A$1,1,0,COUNT(Curvas_cupon_cero!$A:$A)-2,1),OFFSET(Curvas_cupon_cero!$A$1,1,MATCH($B$6,Curvas_cupon_cero!$1:$1,0)-1,COUNT(Curvas_cupon_cero!$A:$A)-2,1))))</f>
        <v/>
      </c>
      <c r="G391" s="23" t="str">
        <f ca="1">IF(A391="","",IF($B$8="Sí",interpolar_alamb(E391,OFFSET(Curvas_cupon_cero!$A$1,1,0,COUNT(Curvas_cupon_cero!$A:$A)-2,1),OFFSET(Curvas_cupon_cero!$A$1,1,MATCH($B$7,Curvas_cupon_cero!$1:$1,0)-1,COUNT(Curvas_cupon_cero!$A:$A)-2,1)),interpolar(E391,OFFSET(Curvas_cupon_cero!$A$1,1,0,COUNT(Curvas_cupon_cero!$A:$A)-2,1),OFFSET(Curvas_cupon_cero!$A$1,1,MATCH($B$7,Curvas_cupon_cero!$1:$1,0)-1,COUNT(Curvas_cupon_cero!$A:$A)-2,1))))</f>
        <v/>
      </c>
      <c r="H391" s="19" t="str">
        <f t="shared" si="31"/>
        <v/>
      </c>
    </row>
    <row r="392" spans="1:8" x14ac:dyDescent="0.2">
      <c r="A392" s="12" t="str">
        <f t="shared" si="32"/>
        <v/>
      </c>
      <c r="B392" s="21" t="str">
        <f t="shared" si="33"/>
        <v/>
      </c>
      <c r="C392" s="17" t="str">
        <f t="shared" si="30"/>
        <v/>
      </c>
      <c r="D392" s="18" t="str">
        <f t="shared" si="34"/>
        <v/>
      </c>
      <c r="E392" t="str">
        <f t="shared" si="35"/>
        <v/>
      </c>
      <c r="F392" s="23" t="str">
        <f ca="1">IF(A392="","",IF($B$8="Sí",interpolar_alamb(E392,OFFSET(Curvas_cupon_cero!$A$1,1,0,COUNT(Curvas_cupon_cero!$A:$A)-2,1),OFFSET(Curvas_cupon_cero!$A$1,1,MATCH($B$6,Curvas_cupon_cero!$1:$1,0)-1,COUNT(Curvas_cupon_cero!$A:$A)-2,1)),interpolar(E392,OFFSET(Curvas_cupon_cero!$A$1,1,0,COUNT(Curvas_cupon_cero!$A:$A)-2,1),OFFSET(Curvas_cupon_cero!$A$1,1,MATCH($B$6,Curvas_cupon_cero!$1:$1,0)-1,COUNT(Curvas_cupon_cero!$A:$A)-2,1))))</f>
        <v/>
      </c>
      <c r="G392" s="23" t="str">
        <f ca="1">IF(A392="","",IF($B$8="Sí",interpolar_alamb(E392,OFFSET(Curvas_cupon_cero!$A$1,1,0,COUNT(Curvas_cupon_cero!$A:$A)-2,1),OFFSET(Curvas_cupon_cero!$A$1,1,MATCH($B$7,Curvas_cupon_cero!$1:$1,0)-1,COUNT(Curvas_cupon_cero!$A:$A)-2,1)),interpolar(E392,OFFSET(Curvas_cupon_cero!$A$1,1,0,COUNT(Curvas_cupon_cero!$A:$A)-2,1),OFFSET(Curvas_cupon_cero!$A$1,1,MATCH($B$7,Curvas_cupon_cero!$1:$1,0)-1,COUNT(Curvas_cupon_cero!$A:$A)-2,1))))</f>
        <v/>
      </c>
      <c r="H392" s="19" t="str">
        <f t="shared" si="31"/>
        <v/>
      </c>
    </row>
    <row r="393" spans="1:8" x14ac:dyDescent="0.2">
      <c r="A393" s="12" t="str">
        <f t="shared" si="32"/>
        <v/>
      </c>
      <c r="B393" s="21" t="str">
        <f t="shared" si="33"/>
        <v/>
      </c>
      <c r="C393" s="17" t="str">
        <f t="shared" si="30"/>
        <v/>
      </c>
      <c r="D393" s="18" t="str">
        <f t="shared" si="34"/>
        <v/>
      </c>
      <c r="E393" t="str">
        <f t="shared" si="35"/>
        <v/>
      </c>
      <c r="F393" s="23" t="str">
        <f ca="1">IF(A393="","",IF($B$8="Sí",interpolar_alamb(E393,OFFSET(Curvas_cupon_cero!$A$1,1,0,COUNT(Curvas_cupon_cero!$A:$A)-2,1),OFFSET(Curvas_cupon_cero!$A$1,1,MATCH($B$6,Curvas_cupon_cero!$1:$1,0)-1,COUNT(Curvas_cupon_cero!$A:$A)-2,1)),interpolar(E393,OFFSET(Curvas_cupon_cero!$A$1,1,0,COUNT(Curvas_cupon_cero!$A:$A)-2,1),OFFSET(Curvas_cupon_cero!$A$1,1,MATCH($B$6,Curvas_cupon_cero!$1:$1,0)-1,COUNT(Curvas_cupon_cero!$A:$A)-2,1))))</f>
        <v/>
      </c>
      <c r="G393" s="23" t="str">
        <f ca="1">IF(A393="","",IF($B$8="Sí",interpolar_alamb(E393,OFFSET(Curvas_cupon_cero!$A$1,1,0,COUNT(Curvas_cupon_cero!$A:$A)-2,1),OFFSET(Curvas_cupon_cero!$A$1,1,MATCH($B$7,Curvas_cupon_cero!$1:$1,0)-1,COUNT(Curvas_cupon_cero!$A:$A)-2,1)),interpolar(E393,OFFSET(Curvas_cupon_cero!$A$1,1,0,COUNT(Curvas_cupon_cero!$A:$A)-2,1),OFFSET(Curvas_cupon_cero!$A$1,1,MATCH($B$7,Curvas_cupon_cero!$1:$1,0)-1,COUNT(Curvas_cupon_cero!$A:$A)-2,1))))</f>
        <v/>
      </c>
      <c r="H393" s="19" t="str">
        <f t="shared" si="31"/>
        <v/>
      </c>
    </row>
    <row r="394" spans="1:8" x14ac:dyDescent="0.2">
      <c r="A394" s="12" t="str">
        <f t="shared" si="32"/>
        <v/>
      </c>
      <c r="B394" s="21" t="str">
        <f t="shared" si="33"/>
        <v/>
      </c>
      <c r="C394" s="17" t="str">
        <f t="shared" si="30"/>
        <v/>
      </c>
      <c r="D394" s="18" t="str">
        <f t="shared" si="34"/>
        <v/>
      </c>
      <c r="E394" t="str">
        <f t="shared" si="35"/>
        <v/>
      </c>
      <c r="F394" s="23" t="str">
        <f ca="1">IF(A394="","",IF($B$8="Sí",interpolar_alamb(E394,OFFSET(Curvas_cupon_cero!$A$1,1,0,COUNT(Curvas_cupon_cero!$A:$A)-2,1),OFFSET(Curvas_cupon_cero!$A$1,1,MATCH($B$6,Curvas_cupon_cero!$1:$1,0)-1,COUNT(Curvas_cupon_cero!$A:$A)-2,1)),interpolar(E394,OFFSET(Curvas_cupon_cero!$A$1,1,0,COUNT(Curvas_cupon_cero!$A:$A)-2,1),OFFSET(Curvas_cupon_cero!$A$1,1,MATCH($B$6,Curvas_cupon_cero!$1:$1,0)-1,COUNT(Curvas_cupon_cero!$A:$A)-2,1))))</f>
        <v/>
      </c>
      <c r="G394" s="23" t="str">
        <f ca="1">IF(A394="","",IF($B$8="Sí",interpolar_alamb(E394,OFFSET(Curvas_cupon_cero!$A$1,1,0,COUNT(Curvas_cupon_cero!$A:$A)-2,1),OFFSET(Curvas_cupon_cero!$A$1,1,MATCH($B$7,Curvas_cupon_cero!$1:$1,0)-1,COUNT(Curvas_cupon_cero!$A:$A)-2,1)),interpolar(E394,OFFSET(Curvas_cupon_cero!$A$1,1,0,COUNT(Curvas_cupon_cero!$A:$A)-2,1),OFFSET(Curvas_cupon_cero!$A$1,1,MATCH($B$7,Curvas_cupon_cero!$1:$1,0)-1,COUNT(Curvas_cupon_cero!$A:$A)-2,1))))</f>
        <v/>
      </c>
      <c r="H394" s="19" t="str">
        <f t="shared" si="31"/>
        <v/>
      </c>
    </row>
    <row r="395" spans="1:8" x14ac:dyDescent="0.2">
      <c r="A395" s="12" t="str">
        <f t="shared" si="32"/>
        <v/>
      </c>
      <c r="B395" s="21" t="str">
        <f t="shared" si="33"/>
        <v/>
      </c>
      <c r="C395" s="17" t="str">
        <f t="shared" si="30"/>
        <v/>
      </c>
      <c r="D395" s="18" t="str">
        <f t="shared" si="34"/>
        <v/>
      </c>
      <c r="E395" t="str">
        <f t="shared" si="35"/>
        <v/>
      </c>
      <c r="F395" s="23" t="str">
        <f ca="1">IF(A395="","",IF($B$8="Sí",interpolar_alamb(E395,OFFSET(Curvas_cupon_cero!$A$1,1,0,COUNT(Curvas_cupon_cero!$A:$A)-2,1),OFFSET(Curvas_cupon_cero!$A$1,1,MATCH($B$6,Curvas_cupon_cero!$1:$1,0)-1,COUNT(Curvas_cupon_cero!$A:$A)-2,1)),interpolar(E395,OFFSET(Curvas_cupon_cero!$A$1,1,0,COUNT(Curvas_cupon_cero!$A:$A)-2,1),OFFSET(Curvas_cupon_cero!$A$1,1,MATCH($B$6,Curvas_cupon_cero!$1:$1,0)-1,COUNT(Curvas_cupon_cero!$A:$A)-2,1))))</f>
        <v/>
      </c>
      <c r="G395" s="23" t="str">
        <f ca="1">IF(A395="","",IF($B$8="Sí",interpolar_alamb(E395,OFFSET(Curvas_cupon_cero!$A$1,1,0,COUNT(Curvas_cupon_cero!$A:$A)-2,1),OFFSET(Curvas_cupon_cero!$A$1,1,MATCH($B$7,Curvas_cupon_cero!$1:$1,0)-1,COUNT(Curvas_cupon_cero!$A:$A)-2,1)),interpolar(E395,OFFSET(Curvas_cupon_cero!$A$1,1,0,COUNT(Curvas_cupon_cero!$A:$A)-2,1),OFFSET(Curvas_cupon_cero!$A$1,1,MATCH($B$7,Curvas_cupon_cero!$1:$1,0)-1,COUNT(Curvas_cupon_cero!$A:$A)-2,1))))</f>
        <v/>
      </c>
      <c r="H395" s="19" t="str">
        <f t="shared" si="31"/>
        <v/>
      </c>
    </row>
    <row r="396" spans="1:8" x14ac:dyDescent="0.2">
      <c r="A396" s="12" t="str">
        <f t="shared" si="32"/>
        <v/>
      </c>
      <c r="B396" s="21" t="str">
        <f t="shared" si="33"/>
        <v/>
      </c>
      <c r="C396" s="17" t="str">
        <f t="shared" si="30"/>
        <v/>
      </c>
      <c r="D396" s="18" t="str">
        <f t="shared" si="34"/>
        <v/>
      </c>
      <c r="E396" t="str">
        <f t="shared" si="35"/>
        <v/>
      </c>
      <c r="F396" s="23" t="str">
        <f ca="1">IF(A396="","",IF($B$8="Sí",interpolar_alamb(E396,OFFSET(Curvas_cupon_cero!$A$1,1,0,COUNT(Curvas_cupon_cero!$A:$A)-2,1),OFFSET(Curvas_cupon_cero!$A$1,1,MATCH($B$6,Curvas_cupon_cero!$1:$1,0)-1,COUNT(Curvas_cupon_cero!$A:$A)-2,1)),interpolar(E396,OFFSET(Curvas_cupon_cero!$A$1,1,0,COUNT(Curvas_cupon_cero!$A:$A)-2,1),OFFSET(Curvas_cupon_cero!$A$1,1,MATCH($B$6,Curvas_cupon_cero!$1:$1,0)-1,COUNT(Curvas_cupon_cero!$A:$A)-2,1))))</f>
        <v/>
      </c>
      <c r="G396" s="23" t="str">
        <f ca="1">IF(A396="","",IF($B$8="Sí",interpolar_alamb(E396,OFFSET(Curvas_cupon_cero!$A$1,1,0,COUNT(Curvas_cupon_cero!$A:$A)-2,1),OFFSET(Curvas_cupon_cero!$A$1,1,MATCH($B$7,Curvas_cupon_cero!$1:$1,0)-1,COUNT(Curvas_cupon_cero!$A:$A)-2,1)),interpolar(E396,OFFSET(Curvas_cupon_cero!$A$1,1,0,COUNT(Curvas_cupon_cero!$A:$A)-2,1),OFFSET(Curvas_cupon_cero!$A$1,1,MATCH($B$7,Curvas_cupon_cero!$1:$1,0)-1,COUNT(Curvas_cupon_cero!$A:$A)-2,1))))</f>
        <v/>
      </c>
      <c r="H396" s="19" t="str">
        <f t="shared" si="31"/>
        <v/>
      </c>
    </row>
    <row r="397" spans="1:8" x14ac:dyDescent="0.2">
      <c r="A397" s="12" t="str">
        <f t="shared" si="32"/>
        <v/>
      </c>
      <c r="B397" s="21" t="str">
        <f t="shared" si="33"/>
        <v/>
      </c>
      <c r="C397" s="17" t="str">
        <f t="shared" si="30"/>
        <v/>
      </c>
      <c r="D397" s="18" t="str">
        <f t="shared" si="34"/>
        <v/>
      </c>
      <c r="E397" t="str">
        <f t="shared" si="35"/>
        <v/>
      </c>
      <c r="F397" s="23" t="str">
        <f ca="1">IF(A397="","",IF($B$8="Sí",interpolar_alamb(E397,OFFSET(Curvas_cupon_cero!$A$1,1,0,COUNT(Curvas_cupon_cero!$A:$A)-2,1),OFFSET(Curvas_cupon_cero!$A$1,1,MATCH($B$6,Curvas_cupon_cero!$1:$1,0)-1,COUNT(Curvas_cupon_cero!$A:$A)-2,1)),interpolar(E397,OFFSET(Curvas_cupon_cero!$A$1,1,0,COUNT(Curvas_cupon_cero!$A:$A)-2,1),OFFSET(Curvas_cupon_cero!$A$1,1,MATCH($B$6,Curvas_cupon_cero!$1:$1,0)-1,COUNT(Curvas_cupon_cero!$A:$A)-2,1))))</f>
        <v/>
      </c>
      <c r="G397" s="23" t="str">
        <f ca="1">IF(A397="","",IF($B$8="Sí",interpolar_alamb(E397,OFFSET(Curvas_cupon_cero!$A$1,1,0,COUNT(Curvas_cupon_cero!$A:$A)-2,1),OFFSET(Curvas_cupon_cero!$A$1,1,MATCH($B$7,Curvas_cupon_cero!$1:$1,0)-1,COUNT(Curvas_cupon_cero!$A:$A)-2,1)),interpolar(E397,OFFSET(Curvas_cupon_cero!$A$1,1,0,COUNT(Curvas_cupon_cero!$A:$A)-2,1),OFFSET(Curvas_cupon_cero!$A$1,1,MATCH($B$7,Curvas_cupon_cero!$1:$1,0)-1,COUNT(Curvas_cupon_cero!$A:$A)-2,1))))</f>
        <v/>
      </c>
      <c r="H397" s="19" t="str">
        <f t="shared" si="31"/>
        <v/>
      </c>
    </row>
    <row r="398" spans="1:8" x14ac:dyDescent="0.2">
      <c r="A398" s="12" t="str">
        <f t="shared" si="32"/>
        <v/>
      </c>
      <c r="B398" s="21" t="str">
        <f t="shared" si="33"/>
        <v/>
      </c>
      <c r="C398" s="17" t="str">
        <f t="shared" si="30"/>
        <v/>
      </c>
      <c r="D398" s="18" t="str">
        <f t="shared" si="34"/>
        <v/>
      </c>
      <c r="E398" t="str">
        <f t="shared" si="35"/>
        <v/>
      </c>
      <c r="F398" s="23" t="str">
        <f ca="1">IF(A398="","",IF($B$8="Sí",interpolar_alamb(E398,OFFSET(Curvas_cupon_cero!$A$1,1,0,COUNT(Curvas_cupon_cero!$A:$A)-2,1),OFFSET(Curvas_cupon_cero!$A$1,1,MATCH($B$6,Curvas_cupon_cero!$1:$1,0)-1,COUNT(Curvas_cupon_cero!$A:$A)-2,1)),interpolar(E398,OFFSET(Curvas_cupon_cero!$A$1,1,0,COUNT(Curvas_cupon_cero!$A:$A)-2,1),OFFSET(Curvas_cupon_cero!$A$1,1,MATCH($B$6,Curvas_cupon_cero!$1:$1,0)-1,COUNT(Curvas_cupon_cero!$A:$A)-2,1))))</f>
        <v/>
      </c>
      <c r="G398" s="23" t="str">
        <f ca="1">IF(A398="","",IF($B$8="Sí",interpolar_alamb(E398,OFFSET(Curvas_cupon_cero!$A$1,1,0,COUNT(Curvas_cupon_cero!$A:$A)-2,1),OFFSET(Curvas_cupon_cero!$A$1,1,MATCH($B$7,Curvas_cupon_cero!$1:$1,0)-1,COUNT(Curvas_cupon_cero!$A:$A)-2,1)),interpolar(E398,OFFSET(Curvas_cupon_cero!$A$1,1,0,COUNT(Curvas_cupon_cero!$A:$A)-2,1),OFFSET(Curvas_cupon_cero!$A$1,1,MATCH($B$7,Curvas_cupon_cero!$1:$1,0)-1,COUNT(Curvas_cupon_cero!$A:$A)-2,1))))</f>
        <v/>
      </c>
      <c r="H398" s="19" t="str">
        <f t="shared" si="31"/>
        <v/>
      </c>
    </row>
    <row r="399" spans="1:8" x14ac:dyDescent="0.2">
      <c r="A399" s="12" t="str">
        <f t="shared" si="32"/>
        <v/>
      </c>
      <c r="B399" s="21" t="str">
        <f t="shared" si="33"/>
        <v/>
      </c>
      <c r="C399" s="17" t="str">
        <f t="shared" si="30"/>
        <v/>
      </c>
      <c r="D399" s="18" t="str">
        <f t="shared" si="34"/>
        <v/>
      </c>
      <c r="E399" t="str">
        <f t="shared" si="35"/>
        <v/>
      </c>
      <c r="F399" s="23" t="str">
        <f ca="1">IF(A399="","",IF($B$8="Sí",interpolar_alamb(E399,OFFSET(Curvas_cupon_cero!$A$1,1,0,COUNT(Curvas_cupon_cero!$A:$A)-2,1),OFFSET(Curvas_cupon_cero!$A$1,1,MATCH($B$6,Curvas_cupon_cero!$1:$1,0)-1,COUNT(Curvas_cupon_cero!$A:$A)-2,1)),interpolar(E399,OFFSET(Curvas_cupon_cero!$A$1,1,0,COUNT(Curvas_cupon_cero!$A:$A)-2,1),OFFSET(Curvas_cupon_cero!$A$1,1,MATCH($B$6,Curvas_cupon_cero!$1:$1,0)-1,COUNT(Curvas_cupon_cero!$A:$A)-2,1))))</f>
        <v/>
      </c>
      <c r="G399" s="23" t="str">
        <f ca="1">IF(A399="","",IF($B$8="Sí",interpolar_alamb(E399,OFFSET(Curvas_cupon_cero!$A$1,1,0,COUNT(Curvas_cupon_cero!$A:$A)-2,1),OFFSET(Curvas_cupon_cero!$A$1,1,MATCH($B$7,Curvas_cupon_cero!$1:$1,0)-1,COUNT(Curvas_cupon_cero!$A:$A)-2,1)),interpolar(E399,OFFSET(Curvas_cupon_cero!$A$1,1,0,COUNT(Curvas_cupon_cero!$A:$A)-2,1),OFFSET(Curvas_cupon_cero!$A$1,1,MATCH($B$7,Curvas_cupon_cero!$1:$1,0)-1,COUNT(Curvas_cupon_cero!$A:$A)-2,1))))</f>
        <v/>
      </c>
      <c r="H399" s="19" t="str">
        <f t="shared" si="31"/>
        <v/>
      </c>
    </row>
    <row r="400" spans="1:8" x14ac:dyDescent="0.2">
      <c r="A400" s="12" t="str">
        <f t="shared" si="32"/>
        <v/>
      </c>
      <c r="B400" s="21" t="str">
        <f t="shared" si="33"/>
        <v/>
      </c>
      <c r="C400" s="17" t="str">
        <f t="shared" ref="C400:C463" si="36">IF(A400="","",IF(A400=$B$4,$B$1*$B$2+$B$1*$B$5/360*$B$2*B400, $B$1*$B$5/360*$B$2*B400))</f>
        <v/>
      </c>
      <c r="D400" s="18" t="str">
        <f t="shared" si="34"/>
        <v/>
      </c>
      <c r="E400" t="str">
        <f t="shared" si="35"/>
        <v/>
      </c>
      <c r="F400" s="23" t="str">
        <f ca="1">IF(A400="","",IF($B$8="Sí",interpolar_alamb(E400,OFFSET(Curvas_cupon_cero!$A$1,1,0,COUNT(Curvas_cupon_cero!$A:$A)-2,1),OFFSET(Curvas_cupon_cero!$A$1,1,MATCH($B$6,Curvas_cupon_cero!$1:$1,0)-1,COUNT(Curvas_cupon_cero!$A:$A)-2,1)),interpolar(E400,OFFSET(Curvas_cupon_cero!$A$1,1,0,COUNT(Curvas_cupon_cero!$A:$A)-2,1),OFFSET(Curvas_cupon_cero!$A$1,1,MATCH($B$6,Curvas_cupon_cero!$1:$1,0)-1,COUNT(Curvas_cupon_cero!$A:$A)-2,1))))</f>
        <v/>
      </c>
      <c r="G400" s="23" t="str">
        <f ca="1">IF(A400="","",IF($B$8="Sí",interpolar_alamb(E400,OFFSET(Curvas_cupon_cero!$A$1,1,0,COUNT(Curvas_cupon_cero!$A:$A)-2,1),OFFSET(Curvas_cupon_cero!$A$1,1,MATCH($B$7,Curvas_cupon_cero!$1:$1,0)-1,COUNT(Curvas_cupon_cero!$A:$A)-2,1)),interpolar(E400,OFFSET(Curvas_cupon_cero!$A$1,1,0,COUNT(Curvas_cupon_cero!$A:$A)-2,1),OFFSET(Curvas_cupon_cero!$A$1,1,MATCH($B$7,Curvas_cupon_cero!$1:$1,0)-1,COUNT(Curvas_cupon_cero!$A:$A)-2,1))))</f>
        <v/>
      </c>
      <c r="H400" s="19" t="str">
        <f t="shared" ref="H400:H463" si="37">IF(A400="","",C400/(1+(F400+G400)*E400/360))</f>
        <v/>
      </c>
    </row>
    <row r="401" spans="1:8" x14ac:dyDescent="0.2">
      <c r="A401" s="12" t="str">
        <f t="shared" ref="A401:A464" si="38">IF(A400="","",IF((A400+$B$5)&gt;$B$4,"",(A400+$B$5)))</f>
        <v/>
      </c>
      <c r="B401" s="21" t="str">
        <f t="shared" ref="B401:B464" si="39">IF(A401="","",((1+$B$9/360)^$B$5-1)*360/$B$5)</f>
        <v/>
      </c>
      <c r="C401" s="17" t="str">
        <f t="shared" si="36"/>
        <v/>
      </c>
      <c r="D401" s="18" t="str">
        <f t="shared" ref="D401:D464" si="40">IF(A401="","",$B$5)</f>
        <v/>
      </c>
      <c r="E401" t="str">
        <f t="shared" ref="E401:E464" si="41">IF(A401="","",E400+D401)</f>
        <v/>
      </c>
      <c r="F401" s="23" t="str">
        <f ca="1">IF(A401="","",IF($B$8="Sí",interpolar_alamb(E401,OFFSET(Curvas_cupon_cero!$A$1,1,0,COUNT(Curvas_cupon_cero!$A:$A)-2,1),OFFSET(Curvas_cupon_cero!$A$1,1,MATCH($B$6,Curvas_cupon_cero!$1:$1,0)-1,COUNT(Curvas_cupon_cero!$A:$A)-2,1)),interpolar(E401,OFFSET(Curvas_cupon_cero!$A$1,1,0,COUNT(Curvas_cupon_cero!$A:$A)-2,1),OFFSET(Curvas_cupon_cero!$A$1,1,MATCH($B$6,Curvas_cupon_cero!$1:$1,0)-1,COUNT(Curvas_cupon_cero!$A:$A)-2,1))))</f>
        <v/>
      </c>
      <c r="G401" s="23" t="str">
        <f ca="1">IF(A401="","",IF($B$8="Sí",interpolar_alamb(E401,OFFSET(Curvas_cupon_cero!$A$1,1,0,COUNT(Curvas_cupon_cero!$A:$A)-2,1),OFFSET(Curvas_cupon_cero!$A$1,1,MATCH($B$7,Curvas_cupon_cero!$1:$1,0)-1,COUNT(Curvas_cupon_cero!$A:$A)-2,1)),interpolar(E401,OFFSET(Curvas_cupon_cero!$A$1,1,0,COUNT(Curvas_cupon_cero!$A:$A)-2,1),OFFSET(Curvas_cupon_cero!$A$1,1,MATCH($B$7,Curvas_cupon_cero!$1:$1,0)-1,COUNT(Curvas_cupon_cero!$A:$A)-2,1))))</f>
        <v/>
      </c>
      <c r="H401" s="19" t="str">
        <f t="shared" si="37"/>
        <v/>
      </c>
    </row>
    <row r="402" spans="1:8" x14ac:dyDescent="0.2">
      <c r="A402" s="12" t="str">
        <f t="shared" si="38"/>
        <v/>
      </c>
      <c r="B402" s="21" t="str">
        <f t="shared" si="39"/>
        <v/>
      </c>
      <c r="C402" s="17" t="str">
        <f t="shared" si="36"/>
        <v/>
      </c>
      <c r="D402" s="18" t="str">
        <f t="shared" si="40"/>
        <v/>
      </c>
      <c r="E402" t="str">
        <f t="shared" si="41"/>
        <v/>
      </c>
      <c r="F402" s="23" t="str">
        <f ca="1">IF(A402="","",IF($B$8="Sí",interpolar_alamb(E402,OFFSET(Curvas_cupon_cero!$A$1,1,0,COUNT(Curvas_cupon_cero!$A:$A)-2,1),OFFSET(Curvas_cupon_cero!$A$1,1,MATCH($B$6,Curvas_cupon_cero!$1:$1,0)-1,COUNT(Curvas_cupon_cero!$A:$A)-2,1)),interpolar(E402,OFFSET(Curvas_cupon_cero!$A$1,1,0,COUNT(Curvas_cupon_cero!$A:$A)-2,1),OFFSET(Curvas_cupon_cero!$A$1,1,MATCH($B$6,Curvas_cupon_cero!$1:$1,0)-1,COUNT(Curvas_cupon_cero!$A:$A)-2,1))))</f>
        <v/>
      </c>
      <c r="G402" s="23" t="str">
        <f ca="1">IF(A402="","",IF($B$8="Sí",interpolar_alamb(E402,OFFSET(Curvas_cupon_cero!$A$1,1,0,COUNT(Curvas_cupon_cero!$A:$A)-2,1),OFFSET(Curvas_cupon_cero!$A$1,1,MATCH($B$7,Curvas_cupon_cero!$1:$1,0)-1,COUNT(Curvas_cupon_cero!$A:$A)-2,1)),interpolar(E402,OFFSET(Curvas_cupon_cero!$A$1,1,0,COUNT(Curvas_cupon_cero!$A:$A)-2,1),OFFSET(Curvas_cupon_cero!$A$1,1,MATCH($B$7,Curvas_cupon_cero!$1:$1,0)-1,COUNT(Curvas_cupon_cero!$A:$A)-2,1))))</f>
        <v/>
      </c>
      <c r="H402" s="19" t="str">
        <f t="shared" si="37"/>
        <v/>
      </c>
    </row>
    <row r="403" spans="1:8" x14ac:dyDescent="0.2">
      <c r="A403" s="12" t="str">
        <f t="shared" si="38"/>
        <v/>
      </c>
      <c r="B403" s="21" t="str">
        <f t="shared" si="39"/>
        <v/>
      </c>
      <c r="C403" s="17" t="str">
        <f t="shared" si="36"/>
        <v/>
      </c>
      <c r="D403" s="18" t="str">
        <f t="shared" si="40"/>
        <v/>
      </c>
      <c r="E403" t="str">
        <f t="shared" si="41"/>
        <v/>
      </c>
      <c r="F403" s="23" t="str">
        <f ca="1">IF(A403="","",IF($B$8="Sí",interpolar_alamb(E403,OFFSET(Curvas_cupon_cero!$A$1,1,0,COUNT(Curvas_cupon_cero!$A:$A)-2,1),OFFSET(Curvas_cupon_cero!$A$1,1,MATCH($B$6,Curvas_cupon_cero!$1:$1,0)-1,COUNT(Curvas_cupon_cero!$A:$A)-2,1)),interpolar(E403,OFFSET(Curvas_cupon_cero!$A$1,1,0,COUNT(Curvas_cupon_cero!$A:$A)-2,1),OFFSET(Curvas_cupon_cero!$A$1,1,MATCH($B$6,Curvas_cupon_cero!$1:$1,0)-1,COUNT(Curvas_cupon_cero!$A:$A)-2,1))))</f>
        <v/>
      </c>
      <c r="G403" s="23" t="str">
        <f ca="1">IF(A403="","",IF($B$8="Sí",interpolar_alamb(E403,OFFSET(Curvas_cupon_cero!$A$1,1,0,COUNT(Curvas_cupon_cero!$A:$A)-2,1),OFFSET(Curvas_cupon_cero!$A$1,1,MATCH($B$7,Curvas_cupon_cero!$1:$1,0)-1,COUNT(Curvas_cupon_cero!$A:$A)-2,1)),interpolar(E403,OFFSET(Curvas_cupon_cero!$A$1,1,0,COUNT(Curvas_cupon_cero!$A:$A)-2,1),OFFSET(Curvas_cupon_cero!$A$1,1,MATCH($B$7,Curvas_cupon_cero!$1:$1,0)-1,COUNT(Curvas_cupon_cero!$A:$A)-2,1))))</f>
        <v/>
      </c>
      <c r="H403" s="19" t="str">
        <f t="shared" si="37"/>
        <v/>
      </c>
    </row>
    <row r="404" spans="1:8" x14ac:dyDescent="0.2">
      <c r="A404" s="12" t="str">
        <f t="shared" si="38"/>
        <v/>
      </c>
      <c r="B404" s="21" t="str">
        <f t="shared" si="39"/>
        <v/>
      </c>
      <c r="C404" s="17" t="str">
        <f t="shared" si="36"/>
        <v/>
      </c>
      <c r="D404" s="18" t="str">
        <f t="shared" si="40"/>
        <v/>
      </c>
      <c r="E404" t="str">
        <f t="shared" si="41"/>
        <v/>
      </c>
      <c r="F404" s="23" t="str">
        <f ca="1">IF(A404="","",IF($B$8="Sí",interpolar_alamb(E404,OFFSET(Curvas_cupon_cero!$A$1,1,0,COUNT(Curvas_cupon_cero!$A:$A)-2,1),OFFSET(Curvas_cupon_cero!$A$1,1,MATCH($B$6,Curvas_cupon_cero!$1:$1,0)-1,COUNT(Curvas_cupon_cero!$A:$A)-2,1)),interpolar(E404,OFFSET(Curvas_cupon_cero!$A$1,1,0,COUNT(Curvas_cupon_cero!$A:$A)-2,1),OFFSET(Curvas_cupon_cero!$A$1,1,MATCH($B$6,Curvas_cupon_cero!$1:$1,0)-1,COUNT(Curvas_cupon_cero!$A:$A)-2,1))))</f>
        <v/>
      </c>
      <c r="G404" s="23" t="str">
        <f ca="1">IF(A404="","",IF($B$8="Sí",interpolar_alamb(E404,OFFSET(Curvas_cupon_cero!$A$1,1,0,COUNT(Curvas_cupon_cero!$A:$A)-2,1),OFFSET(Curvas_cupon_cero!$A$1,1,MATCH($B$7,Curvas_cupon_cero!$1:$1,0)-1,COUNT(Curvas_cupon_cero!$A:$A)-2,1)),interpolar(E404,OFFSET(Curvas_cupon_cero!$A$1,1,0,COUNT(Curvas_cupon_cero!$A:$A)-2,1),OFFSET(Curvas_cupon_cero!$A$1,1,MATCH($B$7,Curvas_cupon_cero!$1:$1,0)-1,COUNT(Curvas_cupon_cero!$A:$A)-2,1))))</f>
        <v/>
      </c>
      <c r="H404" s="19" t="str">
        <f t="shared" si="37"/>
        <v/>
      </c>
    </row>
    <row r="405" spans="1:8" x14ac:dyDescent="0.2">
      <c r="A405" s="12" t="str">
        <f t="shared" si="38"/>
        <v/>
      </c>
      <c r="B405" s="21" t="str">
        <f t="shared" si="39"/>
        <v/>
      </c>
      <c r="C405" s="17" t="str">
        <f t="shared" si="36"/>
        <v/>
      </c>
      <c r="D405" s="18" t="str">
        <f t="shared" si="40"/>
        <v/>
      </c>
      <c r="E405" t="str">
        <f t="shared" si="41"/>
        <v/>
      </c>
      <c r="F405" s="23" t="str">
        <f ca="1">IF(A405="","",IF($B$8="Sí",interpolar_alamb(E405,OFFSET(Curvas_cupon_cero!$A$1,1,0,COUNT(Curvas_cupon_cero!$A:$A)-2,1),OFFSET(Curvas_cupon_cero!$A$1,1,MATCH($B$6,Curvas_cupon_cero!$1:$1,0)-1,COUNT(Curvas_cupon_cero!$A:$A)-2,1)),interpolar(E405,OFFSET(Curvas_cupon_cero!$A$1,1,0,COUNT(Curvas_cupon_cero!$A:$A)-2,1),OFFSET(Curvas_cupon_cero!$A$1,1,MATCH($B$6,Curvas_cupon_cero!$1:$1,0)-1,COUNT(Curvas_cupon_cero!$A:$A)-2,1))))</f>
        <v/>
      </c>
      <c r="G405" s="23" t="str">
        <f ca="1">IF(A405="","",IF($B$8="Sí",interpolar_alamb(E405,OFFSET(Curvas_cupon_cero!$A$1,1,0,COUNT(Curvas_cupon_cero!$A:$A)-2,1),OFFSET(Curvas_cupon_cero!$A$1,1,MATCH($B$7,Curvas_cupon_cero!$1:$1,0)-1,COUNT(Curvas_cupon_cero!$A:$A)-2,1)),interpolar(E405,OFFSET(Curvas_cupon_cero!$A$1,1,0,COUNT(Curvas_cupon_cero!$A:$A)-2,1),OFFSET(Curvas_cupon_cero!$A$1,1,MATCH($B$7,Curvas_cupon_cero!$1:$1,0)-1,COUNT(Curvas_cupon_cero!$A:$A)-2,1))))</f>
        <v/>
      </c>
      <c r="H405" s="19" t="str">
        <f t="shared" si="37"/>
        <v/>
      </c>
    </row>
    <row r="406" spans="1:8" x14ac:dyDescent="0.2">
      <c r="A406" s="12" t="str">
        <f t="shared" si="38"/>
        <v/>
      </c>
      <c r="B406" s="21" t="str">
        <f t="shared" si="39"/>
        <v/>
      </c>
      <c r="C406" s="17" t="str">
        <f t="shared" si="36"/>
        <v/>
      </c>
      <c r="D406" s="18" t="str">
        <f t="shared" si="40"/>
        <v/>
      </c>
      <c r="E406" t="str">
        <f t="shared" si="41"/>
        <v/>
      </c>
      <c r="F406" s="23" t="str">
        <f ca="1">IF(A406="","",IF($B$8="Sí",interpolar_alamb(E406,OFFSET(Curvas_cupon_cero!$A$1,1,0,COUNT(Curvas_cupon_cero!$A:$A)-2,1),OFFSET(Curvas_cupon_cero!$A$1,1,MATCH($B$6,Curvas_cupon_cero!$1:$1,0)-1,COUNT(Curvas_cupon_cero!$A:$A)-2,1)),interpolar(E406,OFFSET(Curvas_cupon_cero!$A$1,1,0,COUNT(Curvas_cupon_cero!$A:$A)-2,1),OFFSET(Curvas_cupon_cero!$A$1,1,MATCH($B$6,Curvas_cupon_cero!$1:$1,0)-1,COUNT(Curvas_cupon_cero!$A:$A)-2,1))))</f>
        <v/>
      </c>
      <c r="G406" s="23" t="str">
        <f ca="1">IF(A406="","",IF($B$8="Sí",interpolar_alamb(E406,OFFSET(Curvas_cupon_cero!$A$1,1,0,COUNT(Curvas_cupon_cero!$A:$A)-2,1),OFFSET(Curvas_cupon_cero!$A$1,1,MATCH($B$7,Curvas_cupon_cero!$1:$1,0)-1,COUNT(Curvas_cupon_cero!$A:$A)-2,1)),interpolar(E406,OFFSET(Curvas_cupon_cero!$A$1,1,0,COUNT(Curvas_cupon_cero!$A:$A)-2,1),OFFSET(Curvas_cupon_cero!$A$1,1,MATCH($B$7,Curvas_cupon_cero!$1:$1,0)-1,COUNT(Curvas_cupon_cero!$A:$A)-2,1))))</f>
        <v/>
      </c>
      <c r="H406" s="19" t="str">
        <f t="shared" si="37"/>
        <v/>
      </c>
    </row>
    <row r="407" spans="1:8" x14ac:dyDescent="0.2">
      <c r="A407" s="12" t="str">
        <f t="shared" si="38"/>
        <v/>
      </c>
      <c r="B407" s="21" t="str">
        <f t="shared" si="39"/>
        <v/>
      </c>
      <c r="C407" s="17" t="str">
        <f t="shared" si="36"/>
        <v/>
      </c>
      <c r="D407" s="18" t="str">
        <f t="shared" si="40"/>
        <v/>
      </c>
      <c r="E407" t="str">
        <f t="shared" si="41"/>
        <v/>
      </c>
      <c r="F407" s="23" t="str">
        <f ca="1">IF(A407="","",IF($B$8="Sí",interpolar_alamb(E407,OFFSET(Curvas_cupon_cero!$A$1,1,0,COUNT(Curvas_cupon_cero!$A:$A)-2,1),OFFSET(Curvas_cupon_cero!$A$1,1,MATCH($B$6,Curvas_cupon_cero!$1:$1,0)-1,COUNT(Curvas_cupon_cero!$A:$A)-2,1)),interpolar(E407,OFFSET(Curvas_cupon_cero!$A$1,1,0,COUNT(Curvas_cupon_cero!$A:$A)-2,1),OFFSET(Curvas_cupon_cero!$A$1,1,MATCH($B$6,Curvas_cupon_cero!$1:$1,0)-1,COUNT(Curvas_cupon_cero!$A:$A)-2,1))))</f>
        <v/>
      </c>
      <c r="G407" s="23" t="str">
        <f ca="1">IF(A407="","",IF($B$8="Sí",interpolar_alamb(E407,OFFSET(Curvas_cupon_cero!$A$1,1,0,COUNT(Curvas_cupon_cero!$A:$A)-2,1),OFFSET(Curvas_cupon_cero!$A$1,1,MATCH($B$7,Curvas_cupon_cero!$1:$1,0)-1,COUNT(Curvas_cupon_cero!$A:$A)-2,1)),interpolar(E407,OFFSET(Curvas_cupon_cero!$A$1,1,0,COUNT(Curvas_cupon_cero!$A:$A)-2,1),OFFSET(Curvas_cupon_cero!$A$1,1,MATCH($B$7,Curvas_cupon_cero!$1:$1,0)-1,COUNT(Curvas_cupon_cero!$A:$A)-2,1))))</f>
        <v/>
      </c>
      <c r="H407" s="19" t="str">
        <f t="shared" si="37"/>
        <v/>
      </c>
    </row>
    <row r="408" spans="1:8" x14ac:dyDescent="0.2">
      <c r="A408" s="12" t="str">
        <f t="shared" si="38"/>
        <v/>
      </c>
      <c r="B408" s="21" t="str">
        <f t="shared" si="39"/>
        <v/>
      </c>
      <c r="C408" s="17" t="str">
        <f t="shared" si="36"/>
        <v/>
      </c>
      <c r="D408" s="18" t="str">
        <f t="shared" si="40"/>
        <v/>
      </c>
      <c r="E408" t="str">
        <f t="shared" si="41"/>
        <v/>
      </c>
      <c r="F408" s="23" t="str">
        <f ca="1">IF(A408="","",IF($B$8="Sí",interpolar_alamb(E408,OFFSET(Curvas_cupon_cero!$A$1,1,0,COUNT(Curvas_cupon_cero!$A:$A)-2,1),OFFSET(Curvas_cupon_cero!$A$1,1,MATCH($B$6,Curvas_cupon_cero!$1:$1,0)-1,COUNT(Curvas_cupon_cero!$A:$A)-2,1)),interpolar(E408,OFFSET(Curvas_cupon_cero!$A$1,1,0,COUNT(Curvas_cupon_cero!$A:$A)-2,1),OFFSET(Curvas_cupon_cero!$A$1,1,MATCH($B$6,Curvas_cupon_cero!$1:$1,0)-1,COUNT(Curvas_cupon_cero!$A:$A)-2,1))))</f>
        <v/>
      </c>
      <c r="G408" s="23" t="str">
        <f ca="1">IF(A408="","",IF($B$8="Sí",interpolar_alamb(E408,OFFSET(Curvas_cupon_cero!$A$1,1,0,COUNT(Curvas_cupon_cero!$A:$A)-2,1),OFFSET(Curvas_cupon_cero!$A$1,1,MATCH($B$7,Curvas_cupon_cero!$1:$1,0)-1,COUNT(Curvas_cupon_cero!$A:$A)-2,1)),interpolar(E408,OFFSET(Curvas_cupon_cero!$A$1,1,0,COUNT(Curvas_cupon_cero!$A:$A)-2,1),OFFSET(Curvas_cupon_cero!$A$1,1,MATCH($B$7,Curvas_cupon_cero!$1:$1,0)-1,COUNT(Curvas_cupon_cero!$A:$A)-2,1))))</f>
        <v/>
      </c>
      <c r="H408" s="19" t="str">
        <f t="shared" si="37"/>
        <v/>
      </c>
    </row>
    <row r="409" spans="1:8" x14ac:dyDescent="0.2">
      <c r="A409" s="12" t="str">
        <f t="shared" si="38"/>
        <v/>
      </c>
      <c r="B409" s="21" t="str">
        <f t="shared" si="39"/>
        <v/>
      </c>
      <c r="C409" s="17" t="str">
        <f t="shared" si="36"/>
        <v/>
      </c>
      <c r="D409" s="18" t="str">
        <f t="shared" si="40"/>
        <v/>
      </c>
      <c r="E409" t="str">
        <f t="shared" si="41"/>
        <v/>
      </c>
      <c r="F409" s="23" t="str">
        <f ca="1">IF(A409="","",IF($B$8="Sí",interpolar_alamb(E409,OFFSET(Curvas_cupon_cero!$A$1,1,0,COUNT(Curvas_cupon_cero!$A:$A)-2,1),OFFSET(Curvas_cupon_cero!$A$1,1,MATCH($B$6,Curvas_cupon_cero!$1:$1,0)-1,COUNT(Curvas_cupon_cero!$A:$A)-2,1)),interpolar(E409,OFFSET(Curvas_cupon_cero!$A$1,1,0,COUNT(Curvas_cupon_cero!$A:$A)-2,1),OFFSET(Curvas_cupon_cero!$A$1,1,MATCH($B$6,Curvas_cupon_cero!$1:$1,0)-1,COUNT(Curvas_cupon_cero!$A:$A)-2,1))))</f>
        <v/>
      </c>
      <c r="G409" s="23" t="str">
        <f ca="1">IF(A409="","",IF($B$8="Sí",interpolar_alamb(E409,OFFSET(Curvas_cupon_cero!$A$1,1,0,COUNT(Curvas_cupon_cero!$A:$A)-2,1),OFFSET(Curvas_cupon_cero!$A$1,1,MATCH($B$7,Curvas_cupon_cero!$1:$1,0)-1,COUNT(Curvas_cupon_cero!$A:$A)-2,1)),interpolar(E409,OFFSET(Curvas_cupon_cero!$A$1,1,0,COUNT(Curvas_cupon_cero!$A:$A)-2,1),OFFSET(Curvas_cupon_cero!$A$1,1,MATCH($B$7,Curvas_cupon_cero!$1:$1,0)-1,COUNT(Curvas_cupon_cero!$A:$A)-2,1))))</f>
        <v/>
      </c>
      <c r="H409" s="19" t="str">
        <f t="shared" si="37"/>
        <v/>
      </c>
    </row>
    <row r="410" spans="1:8" x14ac:dyDescent="0.2">
      <c r="A410" s="12" t="str">
        <f t="shared" si="38"/>
        <v/>
      </c>
      <c r="B410" s="21" t="str">
        <f t="shared" si="39"/>
        <v/>
      </c>
      <c r="C410" s="17" t="str">
        <f t="shared" si="36"/>
        <v/>
      </c>
      <c r="D410" s="18" t="str">
        <f t="shared" si="40"/>
        <v/>
      </c>
      <c r="E410" t="str">
        <f t="shared" si="41"/>
        <v/>
      </c>
      <c r="F410" s="23" t="str">
        <f ca="1">IF(A410="","",IF($B$8="Sí",interpolar_alamb(E410,OFFSET(Curvas_cupon_cero!$A$1,1,0,COUNT(Curvas_cupon_cero!$A:$A)-2,1),OFFSET(Curvas_cupon_cero!$A$1,1,MATCH($B$6,Curvas_cupon_cero!$1:$1,0)-1,COUNT(Curvas_cupon_cero!$A:$A)-2,1)),interpolar(E410,OFFSET(Curvas_cupon_cero!$A$1,1,0,COUNT(Curvas_cupon_cero!$A:$A)-2,1),OFFSET(Curvas_cupon_cero!$A$1,1,MATCH($B$6,Curvas_cupon_cero!$1:$1,0)-1,COUNT(Curvas_cupon_cero!$A:$A)-2,1))))</f>
        <v/>
      </c>
      <c r="G410" s="23" t="str">
        <f ca="1">IF(A410="","",IF($B$8="Sí",interpolar_alamb(E410,OFFSET(Curvas_cupon_cero!$A$1,1,0,COUNT(Curvas_cupon_cero!$A:$A)-2,1),OFFSET(Curvas_cupon_cero!$A$1,1,MATCH($B$7,Curvas_cupon_cero!$1:$1,0)-1,COUNT(Curvas_cupon_cero!$A:$A)-2,1)),interpolar(E410,OFFSET(Curvas_cupon_cero!$A$1,1,0,COUNT(Curvas_cupon_cero!$A:$A)-2,1),OFFSET(Curvas_cupon_cero!$A$1,1,MATCH($B$7,Curvas_cupon_cero!$1:$1,0)-1,COUNT(Curvas_cupon_cero!$A:$A)-2,1))))</f>
        <v/>
      </c>
      <c r="H410" s="19" t="str">
        <f t="shared" si="37"/>
        <v/>
      </c>
    </row>
    <row r="411" spans="1:8" x14ac:dyDescent="0.2">
      <c r="A411" s="12" t="str">
        <f t="shared" si="38"/>
        <v/>
      </c>
      <c r="B411" s="21" t="str">
        <f t="shared" si="39"/>
        <v/>
      </c>
      <c r="C411" s="17" t="str">
        <f t="shared" si="36"/>
        <v/>
      </c>
      <c r="D411" s="18" t="str">
        <f t="shared" si="40"/>
        <v/>
      </c>
      <c r="E411" t="str">
        <f t="shared" si="41"/>
        <v/>
      </c>
      <c r="F411" s="23" t="str">
        <f ca="1">IF(A411="","",IF($B$8="Sí",interpolar_alamb(E411,OFFSET(Curvas_cupon_cero!$A$1,1,0,COUNT(Curvas_cupon_cero!$A:$A)-2,1),OFFSET(Curvas_cupon_cero!$A$1,1,MATCH($B$6,Curvas_cupon_cero!$1:$1,0)-1,COUNT(Curvas_cupon_cero!$A:$A)-2,1)),interpolar(E411,OFFSET(Curvas_cupon_cero!$A$1,1,0,COUNT(Curvas_cupon_cero!$A:$A)-2,1),OFFSET(Curvas_cupon_cero!$A$1,1,MATCH($B$6,Curvas_cupon_cero!$1:$1,0)-1,COUNT(Curvas_cupon_cero!$A:$A)-2,1))))</f>
        <v/>
      </c>
      <c r="G411" s="23" t="str">
        <f ca="1">IF(A411="","",IF($B$8="Sí",interpolar_alamb(E411,OFFSET(Curvas_cupon_cero!$A$1,1,0,COUNT(Curvas_cupon_cero!$A:$A)-2,1),OFFSET(Curvas_cupon_cero!$A$1,1,MATCH($B$7,Curvas_cupon_cero!$1:$1,0)-1,COUNT(Curvas_cupon_cero!$A:$A)-2,1)),interpolar(E411,OFFSET(Curvas_cupon_cero!$A$1,1,0,COUNT(Curvas_cupon_cero!$A:$A)-2,1),OFFSET(Curvas_cupon_cero!$A$1,1,MATCH($B$7,Curvas_cupon_cero!$1:$1,0)-1,COUNT(Curvas_cupon_cero!$A:$A)-2,1))))</f>
        <v/>
      </c>
      <c r="H411" s="19" t="str">
        <f t="shared" si="37"/>
        <v/>
      </c>
    </row>
    <row r="412" spans="1:8" x14ac:dyDescent="0.2">
      <c r="A412" s="12" t="str">
        <f t="shared" si="38"/>
        <v/>
      </c>
      <c r="B412" s="21" t="str">
        <f t="shared" si="39"/>
        <v/>
      </c>
      <c r="C412" s="17" t="str">
        <f t="shared" si="36"/>
        <v/>
      </c>
      <c r="D412" s="18" t="str">
        <f t="shared" si="40"/>
        <v/>
      </c>
      <c r="E412" t="str">
        <f t="shared" si="41"/>
        <v/>
      </c>
      <c r="F412" s="23" t="str">
        <f ca="1">IF(A412="","",IF($B$8="Sí",interpolar_alamb(E412,OFFSET(Curvas_cupon_cero!$A$1,1,0,COUNT(Curvas_cupon_cero!$A:$A)-2,1),OFFSET(Curvas_cupon_cero!$A$1,1,MATCH($B$6,Curvas_cupon_cero!$1:$1,0)-1,COUNT(Curvas_cupon_cero!$A:$A)-2,1)),interpolar(E412,OFFSET(Curvas_cupon_cero!$A$1,1,0,COUNT(Curvas_cupon_cero!$A:$A)-2,1),OFFSET(Curvas_cupon_cero!$A$1,1,MATCH($B$6,Curvas_cupon_cero!$1:$1,0)-1,COUNT(Curvas_cupon_cero!$A:$A)-2,1))))</f>
        <v/>
      </c>
      <c r="G412" s="23" t="str">
        <f ca="1">IF(A412="","",IF($B$8="Sí",interpolar_alamb(E412,OFFSET(Curvas_cupon_cero!$A$1,1,0,COUNT(Curvas_cupon_cero!$A:$A)-2,1),OFFSET(Curvas_cupon_cero!$A$1,1,MATCH($B$7,Curvas_cupon_cero!$1:$1,0)-1,COUNT(Curvas_cupon_cero!$A:$A)-2,1)),interpolar(E412,OFFSET(Curvas_cupon_cero!$A$1,1,0,COUNT(Curvas_cupon_cero!$A:$A)-2,1),OFFSET(Curvas_cupon_cero!$A$1,1,MATCH($B$7,Curvas_cupon_cero!$1:$1,0)-1,COUNT(Curvas_cupon_cero!$A:$A)-2,1))))</f>
        <v/>
      </c>
      <c r="H412" s="19" t="str">
        <f t="shared" si="37"/>
        <v/>
      </c>
    </row>
    <row r="413" spans="1:8" x14ac:dyDescent="0.2">
      <c r="A413" s="12" t="str">
        <f t="shared" si="38"/>
        <v/>
      </c>
      <c r="B413" s="21" t="str">
        <f t="shared" si="39"/>
        <v/>
      </c>
      <c r="C413" s="17" t="str">
        <f t="shared" si="36"/>
        <v/>
      </c>
      <c r="D413" s="18" t="str">
        <f t="shared" si="40"/>
        <v/>
      </c>
      <c r="E413" t="str">
        <f t="shared" si="41"/>
        <v/>
      </c>
      <c r="F413" s="23" t="str">
        <f ca="1">IF(A413="","",IF($B$8="Sí",interpolar_alamb(E413,OFFSET(Curvas_cupon_cero!$A$1,1,0,COUNT(Curvas_cupon_cero!$A:$A)-2,1),OFFSET(Curvas_cupon_cero!$A$1,1,MATCH($B$6,Curvas_cupon_cero!$1:$1,0)-1,COUNT(Curvas_cupon_cero!$A:$A)-2,1)),interpolar(E413,OFFSET(Curvas_cupon_cero!$A$1,1,0,COUNT(Curvas_cupon_cero!$A:$A)-2,1),OFFSET(Curvas_cupon_cero!$A$1,1,MATCH($B$6,Curvas_cupon_cero!$1:$1,0)-1,COUNT(Curvas_cupon_cero!$A:$A)-2,1))))</f>
        <v/>
      </c>
      <c r="G413" s="23" t="str">
        <f ca="1">IF(A413="","",IF($B$8="Sí",interpolar_alamb(E413,OFFSET(Curvas_cupon_cero!$A$1,1,0,COUNT(Curvas_cupon_cero!$A:$A)-2,1),OFFSET(Curvas_cupon_cero!$A$1,1,MATCH($B$7,Curvas_cupon_cero!$1:$1,0)-1,COUNT(Curvas_cupon_cero!$A:$A)-2,1)),interpolar(E413,OFFSET(Curvas_cupon_cero!$A$1,1,0,COUNT(Curvas_cupon_cero!$A:$A)-2,1),OFFSET(Curvas_cupon_cero!$A$1,1,MATCH($B$7,Curvas_cupon_cero!$1:$1,0)-1,COUNT(Curvas_cupon_cero!$A:$A)-2,1))))</f>
        <v/>
      </c>
      <c r="H413" s="19" t="str">
        <f t="shared" si="37"/>
        <v/>
      </c>
    </row>
    <row r="414" spans="1:8" x14ac:dyDescent="0.2">
      <c r="A414" s="12" t="str">
        <f t="shared" si="38"/>
        <v/>
      </c>
      <c r="B414" s="21" t="str">
        <f t="shared" si="39"/>
        <v/>
      </c>
      <c r="C414" s="17" t="str">
        <f t="shared" si="36"/>
        <v/>
      </c>
      <c r="D414" s="18" t="str">
        <f t="shared" si="40"/>
        <v/>
      </c>
      <c r="E414" t="str">
        <f t="shared" si="41"/>
        <v/>
      </c>
      <c r="F414" s="23" t="str">
        <f ca="1">IF(A414="","",IF($B$8="Sí",interpolar_alamb(E414,OFFSET(Curvas_cupon_cero!$A$1,1,0,COUNT(Curvas_cupon_cero!$A:$A)-2,1),OFFSET(Curvas_cupon_cero!$A$1,1,MATCH($B$6,Curvas_cupon_cero!$1:$1,0)-1,COUNT(Curvas_cupon_cero!$A:$A)-2,1)),interpolar(E414,OFFSET(Curvas_cupon_cero!$A$1,1,0,COUNT(Curvas_cupon_cero!$A:$A)-2,1),OFFSET(Curvas_cupon_cero!$A$1,1,MATCH($B$6,Curvas_cupon_cero!$1:$1,0)-1,COUNT(Curvas_cupon_cero!$A:$A)-2,1))))</f>
        <v/>
      </c>
      <c r="G414" s="23" t="str">
        <f ca="1">IF(A414="","",IF($B$8="Sí",interpolar_alamb(E414,OFFSET(Curvas_cupon_cero!$A$1,1,0,COUNT(Curvas_cupon_cero!$A:$A)-2,1),OFFSET(Curvas_cupon_cero!$A$1,1,MATCH($B$7,Curvas_cupon_cero!$1:$1,0)-1,COUNT(Curvas_cupon_cero!$A:$A)-2,1)),interpolar(E414,OFFSET(Curvas_cupon_cero!$A$1,1,0,COUNT(Curvas_cupon_cero!$A:$A)-2,1),OFFSET(Curvas_cupon_cero!$A$1,1,MATCH($B$7,Curvas_cupon_cero!$1:$1,0)-1,COUNT(Curvas_cupon_cero!$A:$A)-2,1))))</f>
        <v/>
      </c>
      <c r="H414" s="19" t="str">
        <f t="shared" si="37"/>
        <v/>
      </c>
    </row>
    <row r="415" spans="1:8" x14ac:dyDescent="0.2">
      <c r="A415" s="12" t="str">
        <f t="shared" si="38"/>
        <v/>
      </c>
      <c r="B415" s="21" t="str">
        <f t="shared" si="39"/>
        <v/>
      </c>
      <c r="C415" s="17" t="str">
        <f t="shared" si="36"/>
        <v/>
      </c>
      <c r="D415" s="18" t="str">
        <f t="shared" si="40"/>
        <v/>
      </c>
      <c r="E415" t="str">
        <f t="shared" si="41"/>
        <v/>
      </c>
      <c r="F415" s="23" t="str">
        <f ca="1">IF(A415="","",IF($B$8="Sí",interpolar_alamb(E415,OFFSET(Curvas_cupon_cero!$A$1,1,0,COUNT(Curvas_cupon_cero!$A:$A)-2,1),OFFSET(Curvas_cupon_cero!$A$1,1,MATCH($B$6,Curvas_cupon_cero!$1:$1,0)-1,COUNT(Curvas_cupon_cero!$A:$A)-2,1)),interpolar(E415,OFFSET(Curvas_cupon_cero!$A$1,1,0,COUNT(Curvas_cupon_cero!$A:$A)-2,1),OFFSET(Curvas_cupon_cero!$A$1,1,MATCH($B$6,Curvas_cupon_cero!$1:$1,0)-1,COUNT(Curvas_cupon_cero!$A:$A)-2,1))))</f>
        <v/>
      </c>
      <c r="G415" s="23" t="str">
        <f ca="1">IF(A415="","",IF($B$8="Sí",interpolar_alamb(E415,OFFSET(Curvas_cupon_cero!$A$1,1,0,COUNT(Curvas_cupon_cero!$A:$A)-2,1),OFFSET(Curvas_cupon_cero!$A$1,1,MATCH($B$7,Curvas_cupon_cero!$1:$1,0)-1,COUNT(Curvas_cupon_cero!$A:$A)-2,1)),interpolar(E415,OFFSET(Curvas_cupon_cero!$A$1,1,0,COUNT(Curvas_cupon_cero!$A:$A)-2,1),OFFSET(Curvas_cupon_cero!$A$1,1,MATCH($B$7,Curvas_cupon_cero!$1:$1,0)-1,COUNT(Curvas_cupon_cero!$A:$A)-2,1))))</f>
        <v/>
      </c>
      <c r="H415" s="19" t="str">
        <f t="shared" si="37"/>
        <v/>
      </c>
    </row>
    <row r="416" spans="1:8" x14ac:dyDescent="0.2">
      <c r="A416" s="12" t="str">
        <f t="shared" si="38"/>
        <v/>
      </c>
      <c r="B416" s="21" t="str">
        <f t="shared" si="39"/>
        <v/>
      </c>
      <c r="C416" s="17" t="str">
        <f t="shared" si="36"/>
        <v/>
      </c>
      <c r="D416" s="18" t="str">
        <f t="shared" si="40"/>
        <v/>
      </c>
      <c r="E416" t="str">
        <f t="shared" si="41"/>
        <v/>
      </c>
      <c r="F416" s="23" t="str">
        <f ca="1">IF(A416="","",IF($B$8="Sí",interpolar_alamb(E416,OFFSET(Curvas_cupon_cero!$A$1,1,0,COUNT(Curvas_cupon_cero!$A:$A)-2,1),OFFSET(Curvas_cupon_cero!$A$1,1,MATCH($B$6,Curvas_cupon_cero!$1:$1,0)-1,COUNT(Curvas_cupon_cero!$A:$A)-2,1)),interpolar(E416,OFFSET(Curvas_cupon_cero!$A$1,1,0,COUNT(Curvas_cupon_cero!$A:$A)-2,1),OFFSET(Curvas_cupon_cero!$A$1,1,MATCH($B$6,Curvas_cupon_cero!$1:$1,0)-1,COUNT(Curvas_cupon_cero!$A:$A)-2,1))))</f>
        <v/>
      </c>
      <c r="G416" s="23" t="str">
        <f ca="1">IF(A416="","",IF($B$8="Sí",interpolar_alamb(E416,OFFSET(Curvas_cupon_cero!$A$1,1,0,COUNT(Curvas_cupon_cero!$A:$A)-2,1),OFFSET(Curvas_cupon_cero!$A$1,1,MATCH($B$7,Curvas_cupon_cero!$1:$1,0)-1,COUNT(Curvas_cupon_cero!$A:$A)-2,1)),interpolar(E416,OFFSET(Curvas_cupon_cero!$A$1,1,0,COUNT(Curvas_cupon_cero!$A:$A)-2,1),OFFSET(Curvas_cupon_cero!$A$1,1,MATCH($B$7,Curvas_cupon_cero!$1:$1,0)-1,COUNT(Curvas_cupon_cero!$A:$A)-2,1))))</f>
        <v/>
      </c>
      <c r="H416" s="19" t="str">
        <f t="shared" si="37"/>
        <v/>
      </c>
    </row>
    <row r="417" spans="1:8" x14ac:dyDescent="0.2">
      <c r="A417" s="12" t="str">
        <f t="shared" si="38"/>
        <v/>
      </c>
      <c r="B417" s="21" t="str">
        <f t="shared" si="39"/>
        <v/>
      </c>
      <c r="C417" s="17" t="str">
        <f t="shared" si="36"/>
        <v/>
      </c>
      <c r="D417" s="18" t="str">
        <f t="shared" si="40"/>
        <v/>
      </c>
      <c r="E417" t="str">
        <f t="shared" si="41"/>
        <v/>
      </c>
      <c r="F417" s="23" t="str">
        <f ca="1">IF(A417="","",IF($B$8="Sí",interpolar_alamb(E417,OFFSET(Curvas_cupon_cero!$A$1,1,0,COUNT(Curvas_cupon_cero!$A:$A)-2,1),OFFSET(Curvas_cupon_cero!$A$1,1,MATCH($B$6,Curvas_cupon_cero!$1:$1,0)-1,COUNT(Curvas_cupon_cero!$A:$A)-2,1)),interpolar(E417,OFFSET(Curvas_cupon_cero!$A$1,1,0,COUNT(Curvas_cupon_cero!$A:$A)-2,1),OFFSET(Curvas_cupon_cero!$A$1,1,MATCH($B$6,Curvas_cupon_cero!$1:$1,0)-1,COUNT(Curvas_cupon_cero!$A:$A)-2,1))))</f>
        <v/>
      </c>
      <c r="G417" s="23" t="str">
        <f ca="1">IF(A417="","",IF($B$8="Sí",interpolar_alamb(E417,OFFSET(Curvas_cupon_cero!$A$1,1,0,COUNT(Curvas_cupon_cero!$A:$A)-2,1),OFFSET(Curvas_cupon_cero!$A$1,1,MATCH($B$7,Curvas_cupon_cero!$1:$1,0)-1,COUNT(Curvas_cupon_cero!$A:$A)-2,1)),interpolar(E417,OFFSET(Curvas_cupon_cero!$A$1,1,0,COUNT(Curvas_cupon_cero!$A:$A)-2,1),OFFSET(Curvas_cupon_cero!$A$1,1,MATCH($B$7,Curvas_cupon_cero!$1:$1,0)-1,COUNT(Curvas_cupon_cero!$A:$A)-2,1))))</f>
        <v/>
      </c>
      <c r="H417" s="19" t="str">
        <f t="shared" si="37"/>
        <v/>
      </c>
    </row>
    <row r="418" spans="1:8" x14ac:dyDescent="0.2">
      <c r="A418" s="12" t="str">
        <f t="shared" si="38"/>
        <v/>
      </c>
      <c r="B418" s="21" t="str">
        <f t="shared" si="39"/>
        <v/>
      </c>
      <c r="C418" s="17" t="str">
        <f t="shared" si="36"/>
        <v/>
      </c>
      <c r="D418" s="18" t="str">
        <f t="shared" si="40"/>
        <v/>
      </c>
      <c r="E418" t="str">
        <f t="shared" si="41"/>
        <v/>
      </c>
      <c r="F418" s="23" t="str">
        <f ca="1">IF(A418="","",IF($B$8="Sí",interpolar_alamb(E418,OFFSET(Curvas_cupon_cero!$A$1,1,0,COUNT(Curvas_cupon_cero!$A:$A)-2,1),OFFSET(Curvas_cupon_cero!$A$1,1,MATCH($B$6,Curvas_cupon_cero!$1:$1,0)-1,COUNT(Curvas_cupon_cero!$A:$A)-2,1)),interpolar(E418,OFFSET(Curvas_cupon_cero!$A$1,1,0,COUNT(Curvas_cupon_cero!$A:$A)-2,1),OFFSET(Curvas_cupon_cero!$A$1,1,MATCH($B$6,Curvas_cupon_cero!$1:$1,0)-1,COUNT(Curvas_cupon_cero!$A:$A)-2,1))))</f>
        <v/>
      </c>
      <c r="G418" s="23" t="str">
        <f ca="1">IF(A418="","",IF($B$8="Sí",interpolar_alamb(E418,OFFSET(Curvas_cupon_cero!$A$1,1,0,COUNT(Curvas_cupon_cero!$A:$A)-2,1),OFFSET(Curvas_cupon_cero!$A$1,1,MATCH($B$7,Curvas_cupon_cero!$1:$1,0)-1,COUNT(Curvas_cupon_cero!$A:$A)-2,1)),interpolar(E418,OFFSET(Curvas_cupon_cero!$A$1,1,0,COUNT(Curvas_cupon_cero!$A:$A)-2,1),OFFSET(Curvas_cupon_cero!$A$1,1,MATCH($B$7,Curvas_cupon_cero!$1:$1,0)-1,COUNT(Curvas_cupon_cero!$A:$A)-2,1))))</f>
        <v/>
      </c>
      <c r="H418" s="19" t="str">
        <f t="shared" si="37"/>
        <v/>
      </c>
    </row>
    <row r="419" spans="1:8" x14ac:dyDescent="0.2">
      <c r="A419" s="12" t="str">
        <f t="shared" si="38"/>
        <v/>
      </c>
      <c r="B419" s="21" t="str">
        <f t="shared" si="39"/>
        <v/>
      </c>
      <c r="C419" s="17" t="str">
        <f t="shared" si="36"/>
        <v/>
      </c>
      <c r="D419" s="18" t="str">
        <f t="shared" si="40"/>
        <v/>
      </c>
      <c r="E419" t="str">
        <f t="shared" si="41"/>
        <v/>
      </c>
      <c r="F419" s="23" t="str">
        <f ca="1">IF(A419="","",IF($B$8="Sí",interpolar_alamb(E419,OFFSET(Curvas_cupon_cero!$A$1,1,0,COUNT(Curvas_cupon_cero!$A:$A)-2,1),OFFSET(Curvas_cupon_cero!$A$1,1,MATCH($B$6,Curvas_cupon_cero!$1:$1,0)-1,COUNT(Curvas_cupon_cero!$A:$A)-2,1)),interpolar(E419,OFFSET(Curvas_cupon_cero!$A$1,1,0,COUNT(Curvas_cupon_cero!$A:$A)-2,1),OFFSET(Curvas_cupon_cero!$A$1,1,MATCH($B$6,Curvas_cupon_cero!$1:$1,0)-1,COUNT(Curvas_cupon_cero!$A:$A)-2,1))))</f>
        <v/>
      </c>
      <c r="G419" s="23" t="str">
        <f ca="1">IF(A419="","",IF($B$8="Sí",interpolar_alamb(E419,OFFSET(Curvas_cupon_cero!$A$1,1,0,COUNT(Curvas_cupon_cero!$A:$A)-2,1),OFFSET(Curvas_cupon_cero!$A$1,1,MATCH($B$7,Curvas_cupon_cero!$1:$1,0)-1,COUNT(Curvas_cupon_cero!$A:$A)-2,1)),interpolar(E419,OFFSET(Curvas_cupon_cero!$A$1,1,0,COUNT(Curvas_cupon_cero!$A:$A)-2,1),OFFSET(Curvas_cupon_cero!$A$1,1,MATCH($B$7,Curvas_cupon_cero!$1:$1,0)-1,COUNT(Curvas_cupon_cero!$A:$A)-2,1))))</f>
        <v/>
      </c>
      <c r="H419" s="19" t="str">
        <f t="shared" si="37"/>
        <v/>
      </c>
    </row>
    <row r="420" spans="1:8" x14ac:dyDescent="0.2">
      <c r="A420" s="12" t="str">
        <f t="shared" si="38"/>
        <v/>
      </c>
      <c r="B420" s="21" t="str">
        <f t="shared" si="39"/>
        <v/>
      </c>
      <c r="C420" s="17" t="str">
        <f t="shared" si="36"/>
        <v/>
      </c>
      <c r="D420" s="18" t="str">
        <f t="shared" si="40"/>
        <v/>
      </c>
      <c r="E420" t="str">
        <f t="shared" si="41"/>
        <v/>
      </c>
      <c r="F420" s="23" t="str">
        <f ca="1">IF(A420="","",IF($B$8="Sí",interpolar_alamb(E420,OFFSET(Curvas_cupon_cero!$A$1,1,0,COUNT(Curvas_cupon_cero!$A:$A)-2,1),OFFSET(Curvas_cupon_cero!$A$1,1,MATCH($B$6,Curvas_cupon_cero!$1:$1,0)-1,COUNT(Curvas_cupon_cero!$A:$A)-2,1)),interpolar(E420,OFFSET(Curvas_cupon_cero!$A$1,1,0,COUNT(Curvas_cupon_cero!$A:$A)-2,1),OFFSET(Curvas_cupon_cero!$A$1,1,MATCH($B$6,Curvas_cupon_cero!$1:$1,0)-1,COUNT(Curvas_cupon_cero!$A:$A)-2,1))))</f>
        <v/>
      </c>
      <c r="G420" s="23" t="str">
        <f ca="1">IF(A420="","",IF($B$8="Sí",interpolar_alamb(E420,OFFSET(Curvas_cupon_cero!$A$1,1,0,COUNT(Curvas_cupon_cero!$A:$A)-2,1),OFFSET(Curvas_cupon_cero!$A$1,1,MATCH($B$7,Curvas_cupon_cero!$1:$1,0)-1,COUNT(Curvas_cupon_cero!$A:$A)-2,1)),interpolar(E420,OFFSET(Curvas_cupon_cero!$A$1,1,0,COUNT(Curvas_cupon_cero!$A:$A)-2,1),OFFSET(Curvas_cupon_cero!$A$1,1,MATCH($B$7,Curvas_cupon_cero!$1:$1,0)-1,COUNT(Curvas_cupon_cero!$A:$A)-2,1))))</f>
        <v/>
      </c>
      <c r="H420" s="19" t="str">
        <f t="shared" si="37"/>
        <v/>
      </c>
    </row>
    <row r="421" spans="1:8" x14ac:dyDescent="0.2">
      <c r="A421" s="12" t="str">
        <f t="shared" si="38"/>
        <v/>
      </c>
      <c r="B421" s="21" t="str">
        <f t="shared" si="39"/>
        <v/>
      </c>
      <c r="C421" s="17" t="str">
        <f t="shared" si="36"/>
        <v/>
      </c>
      <c r="D421" s="18" t="str">
        <f t="shared" si="40"/>
        <v/>
      </c>
      <c r="E421" t="str">
        <f t="shared" si="41"/>
        <v/>
      </c>
      <c r="F421" s="23" t="str">
        <f ca="1">IF(A421="","",IF($B$8="Sí",interpolar_alamb(E421,OFFSET(Curvas_cupon_cero!$A$1,1,0,COUNT(Curvas_cupon_cero!$A:$A)-2,1),OFFSET(Curvas_cupon_cero!$A$1,1,MATCH($B$6,Curvas_cupon_cero!$1:$1,0)-1,COUNT(Curvas_cupon_cero!$A:$A)-2,1)),interpolar(E421,OFFSET(Curvas_cupon_cero!$A$1,1,0,COUNT(Curvas_cupon_cero!$A:$A)-2,1),OFFSET(Curvas_cupon_cero!$A$1,1,MATCH($B$6,Curvas_cupon_cero!$1:$1,0)-1,COUNT(Curvas_cupon_cero!$A:$A)-2,1))))</f>
        <v/>
      </c>
      <c r="G421" s="23" t="str">
        <f ca="1">IF(A421="","",IF($B$8="Sí",interpolar_alamb(E421,OFFSET(Curvas_cupon_cero!$A$1,1,0,COUNT(Curvas_cupon_cero!$A:$A)-2,1),OFFSET(Curvas_cupon_cero!$A$1,1,MATCH($B$7,Curvas_cupon_cero!$1:$1,0)-1,COUNT(Curvas_cupon_cero!$A:$A)-2,1)),interpolar(E421,OFFSET(Curvas_cupon_cero!$A$1,1,0,COUNT(Curvas_cupon_cero!$A:$A)-2,1),OFFSET(Curvas_cupon_cero!$A$1,1,MATCH($B$7,Curvas_cupon_cero!$1:$1,0)-1,COUNT(Curvas_cupon_cero!$A:$A)-2,1))))</f>
        <v/>
      </c>
      <c r="H421" s="19" t="str">
        <f t="shared" si="37"/>
        <v/>
      </c>
    </row>
    <row r="422" spans="1:8" x14ac:dyDescent="0.2">
      <c r="A422" s="12" t="str">
        <f t="shared" si="38"/>
        <v/>
      </c>
      <c r="B422" s="21" t="str">
        <f t="shared" si="39"/>
        <v/>
      </c>
      <c r="C422" s="17" t="str">
        <f t="shared" si="36"/>
        <v/>
      </c>
      <c r="D422" s="18" t="str">
        <f t="shared" si="40"/>
        <v/>
      </c>
      <c r="E422" t="str">
        <f t="shared" si="41"/>
        <v/>
      </c>
      <c r="F422" s="23" t="str">
        <f ca="1">IF(A422="","",IF($B$8="Sí",interpolar_alamb(E422,OFFSET(Curvas_cupon_cero!$A$1,1,0,COUNT(Curvas_cupon_cero!$A:$A)-2,1),OFFSET(Curvas_cupon_cero!$A$1,1,MATCH($B$6,Curvas_cupon_cero!$1:$1,0)-1,COUNT(Curvas_cupon_cero!$A:$A)-2,1)),interpolar(E422,OFFSET(Curvas_cupon_cero!$A$1,1,0,COUNT(Curvas_cupon_cero!$A:$A)-2,1),OFFSET(Curvas_cupon_cero!$A$1,1,MATCH($B$6,Curvas_cupon_cero!$1:$1,0)-1,COUNT(Curvas_cupon_cero!$A:$A)-2,1))))</f>
        <v/>
      </c>
      <c r="G422" s="23" t="str">
        <f ca="1">IF(A422="","",IF($B$8="Sí",interpolar_alamb(E422,OFFSET(Curvas_cupon_cero!$A$1,1,0,COUNT(Curvas_cupon_cero!$A:$A)-2,1),OFFSET(Curvas_cupon_cero!$A$1,1,MATCH($B$7,Curvas_cupon_cero!$1:$1,0)-1,COUNT(Curvas_cupon_cero!$A:$A)-2,1)),interpolar(E422,OFFSET(Curvas_cupon_cero!$A$1,1,0,COUNT(Curvas_cupon_cero!$A:$A)-2,1),OFFSET(Curvas_cupon_cero!$A$1,1,MATCH($B$7,Curvas_cupon_cero!$1:$1,0)-1,COUNT(Curvas_cupon_cero!$A:$A)-2,1))))</f>
        <v/>
      </c>
      <c r="H422" s="19" t="str">
        <f t="shared" si="37"/>
        <v/>
      </c>
    </row>
    <row r="423" spans="1:8" x14ac:dyDescent="0.2">
      <c r="A423" s="12" t="str">
        <f t="shared" si="38"/>
        <v/>
      </c>
      <c r="B423" s="21" t="str">
        <f t="shared" si="39"/>
        <v/>
      </c>
      <c r="C423" s="17" t="str">
        <f t="shared" si="36"/>
        <v/>
      </c>
      <c r="D423" s="18" t="str">
        <f t="shared" si="40"/>
        <v/>
      </c>
      <c r="E423" t="str">
        <f t="shared" si="41"/>
        <v/>
      </c>
      <c r="F423" s="23" t="str">
        <f ca="1">IF(A423="","",IF($B$8="Sí",interpolar_alamb(E423,OFFSET(Curvas_cupon_cero!$A$1,1,0,COUNT(Curvas_cupon_cero!$A:$A)-2,1),OFFSET(Curvas_cupon_cero!$A$1,1,MATCH($B$6,Curvas_cupon_cero!$1:$1,0)-1,COUNT(Curvas_cupon_cero!$A:$A)-2,1)),interpolar(E423,OFFSET(Curvas_cupon_cero!$A$1,1,0,COUNT(Curvas_cupon_cero!$A:$A)-2,1),OFFSET(Curvas_cupon_cero!$A$1,1,MATCH($B$6,Curvas_cupon_cero!$1:$1,0)-1,COUNT(Curvas_cupon_cero!$A:$A)-2,1))))</f>
        <v/>
      </c>
      <c r="G423" s="23" t="str">
        <f ca="1">IF(A423="","",IF($B$8="Sí",interpolar_alamb(E423,OFFSET(Curvas_cupon_cero!$A$1,1,0,COUNT(Curvas_cupon_cero!$A:$A)-2,1),OFFSET(Curvas_cupon_cero!$A$1,1,MATCH($B$7,Curvas_cupon_cero!$1:$1,0)-1,COUNT(Curvas_cupon_cero!$A:$A)-2,1)),interpolar(E423,OFFSET(Curvas_cupon_cero!$A$1,1,0,COUNT(Curvas_cupon_cero!$A:$A)-2,1),OFFSET(Curvas_cupon_cero!$A$1,1,MATCH($B$7,Curvas_cupon_cero!$1:$1,0)-1,COUNT(Curvas_cupon_cero!$A:$A)-2,1))))</f>
        <v/>
      </c>
      <c r="H423" s="19" t="str">
        <f t="shared" si="37"/>
        <v/>
      </c>
    </row>
    <row r="424" spans="1:8" x14ac:dyDescent="0.2">
      <c r="A424" s="12" t="str">
        <f t="shared" si="38"/>
        <v/>
      </c>
      <c r="B424" s="21" t="str">
        <f t="shared" si="39"/>
        <v/>
      </c>
      <c r="C424" s="17" t="str">
        <f t="shared" si="36"/>
        <v/>
      </c>
      <c r="D424" s="18" t="str">
        <f t="shared" si="40"/>
        <v/>
      </c>
      <c r="E424" t="str">
        <f t="shared" si="41"/>
        <v/>
      </c>
      <c r="F424" s="23" t="str">
        <f ca="1">IF(A424="","",IF($B$8="Sí",interpolar_alamb(E424,OFFSET(Curvas_cupon_cero!$A$1,1,0,COUNT(Curvas_cupon_cero!$A:$A)-2,1),OFFSET(Curvas_cupon_cero!$A$1,1,MATCH($B$6,Curvas_cupon_cero!$1:$1,0)-1,COUNT(Curvas_cupon_cero!$A:$A)-2,1)),interpolar(E424,OFFSET(Curvas_cupon_cero!$A$1,1,0,COUNT(Curvas_cupon_cero!$A:$A)-2,1),OFFSET(Curvas_cupon_cero!$A$1,1,MATCH($B$6,Curvas_cupon_cero!$1:$1,0)-1,COUNT(Curvas_cupon_cero!$A:$A)-2,1))))</f>
        <v/>
      </c>
      <c r="G424" s="23" t="str">
        <f ca="1">IF(A424="","",IF($B$8="Sí",interpolar_alamb(E424,OFFSET(Curvas_cupon_cero!$A$1,1,0,COUNT(Curvas_cupon_cero!$A:$A)-2,1),OFFSET(Curvas_cupon_cero!$A$1,1,MATCH($B$7,Curvas_cupon_cero!$1:$1,0)-1,COUNT(Curvas_cupon_cero!$A:$A)-2,1)),interpolar(E424,OFFSET(Curvas_cupon_cero!$A$1,1,0,COUNT(Curvas_cupon_cero!$A:$A)-2,1),OFFSET(Curvas_cupon_cero!$A$1,1,MATCH($B$7,Curvas_cupon_cero!$1:$1,0)-1,COUNT(Curvas_cupon_cero!$A:$A)-2,1))))</f>
        <v/>
      </c>
      <c r="H424" s="19" t="str">
        <f t="shared" si="37"/>
        <v/>
      </c>
    </row>
    <row r="425" spans="1:8" x14ac:dyDescent="0.2">
      <c r="A425" s="12" t="str">
        <f t="shared" si="38"/>
        <v/>
      </c>
      <c r="B425" s="21" t="str">
        <f t="shared" si="39"/>
        <v/>
      </c>
      <c r="C425" s="17" t="str">
        <f t="shared" si="36"/>
        <v/>
      </c>
      <c r="D425" s="18" t="str">
        <f t="shared" si="40"/>
        <v/>
      </c>
      <c r="E425" t="str">
        <f t="shared" si="41"/>
        <v/>
      </c>
      <c r="F425" s="23" t="str">
        <f ca="1">IF(A425="","",IF($B$8="Sí",interpolar_alamb(E425,OFFSET(Curvas_cupon_cero!$A$1,1,0,COUNT(Curvas_cupon_cero!$A:$A)-2,1),OFFSET(Curvas_cupon_cero!$A$1,1,MATCH($B$6,Curvas_cupon_cero!$1:$1,0)-1,COUNT(Curvas_cupon_cero!$A:$A)-2,1)),interpolar(E425,OFFSET(Curvas_cupon_cero!$A$1,1,0,COUNT(Curvas_cupon_cero!$A:$A)-2,1),OFFSET(Curvas_cupon_cero!$A$1,1,MATCH($B$6,Curvas_cupon_cero!$1:$1,0)-1,COUNT(Curvas_cupon_cero!$A:$A)-2,1))))</f>
        <v/>
      </c>
      <c r="G425" s="23" t="str">
        <f ca="1">IF(A425="","",IF($B$8="Sí",interpolar_alamb(E425,OFFSET(Curvas_cupon_cero!$A$1,1,0,COUNT(Curvas_cupon_cero!$A:$A)-2,1),OFFSET(Curvas_cupon_cero!$A$1,1,MATCH($B$7,Curvas_cupon_cero!$1:$1,0)-1,COUNT(Curvas_cupon_cero!$A:$A)-2,1)),interpolar(E425,OFFSET(Curvas_cupon_cero!$A$1,1,0,COUNT(Curvas_cupon_cero!$A:$A)-2,1),OFFSET(Curvas_cupon_cero!$A$1,1,MATCH($B$7,Curvas_cupon_cero!$1:$1,0)-1,COUNT(Curvas_cupon_cero!$A:$A)-2,1))))</f>
        <v/>
      </c>
      <c r="H425" s="19" t="str">
        <f t="shared" si="37"/>
        <v/>
      </c>
    </row>
    <row r="426" spans="1:8" x14ac:dyDescent="0.2">
      <c r="A426" s="12" t="str">
        <f t="shared" si="38"/>
        <v/>
      </c>
      <c r="B426" s="21" t="str">
        <f t="shared" si="39"/>
        <v/>
      </c>
      <c r="C426" s="17" t="str">
        <f t="shared" si="36"/>
        <v/>
      </c>
      <c r="D426" s="18" t="str">
        <f t="shared" si="40"/>
        <v/>
      </c>
      <c r="E426" t="str">
        <f t="shared" si="41"/>
        <v/>
      </c>
      <c r="F426" s="23" t="str">
        <f ca="1">IF(A426="","",IF($B$8="Sí",interpolar_alamb(E426,OFFSET(Curvas_cupon_cero!$A$1,1,0,COUNT(Curvas_cupon_cero!$A:$A)-2,1),OFFSET(Curvas_cupon_cero!$A$1,1,MATCH($B$6,Curvas_cupon_cero!$1:$1,0)-1,COUNT(Curvas_cupon_cero!$A:$A)-2,1)),interpolar(E426,OFFSET(Curvas_cupon_cero!$A$1,1,0,COUNT(Curvas_cupon_cero!$A:$A)-2,1),OFFSET(Curvas_cupon_cero!$A$1,1,MATCH($B$6,Curvas_cupon_cero!$1:$1,0)-1,COUNT(Curvas_cupon_cero!$A:$A)-2,1))))</f>
        <v/>
      </c>
      <c r="G426" s="23" t="str">
        <f ca="1">IF(A426="","",IF($B$8="Sí",interpolar_alamb(E426,OFFSET(Curvas_cupon_cero!$A$1,1,0,COUNT(Curvas_cupon_cero!$A:$A)-2,1),OFFSET(Curvas_cupon_cero!$A$1,1,MATCH($B$7,Curvas_cupon_cero!$1:$1,0)-1,COUNT(Curvas_cupon_cero!$A:$A)-2,1)),interpolar(E426,OFFSET(Curvas_cupon_cero!$A$1,1,0,COUNT(Curvas_cupon_cero!$A:$A)-2,1),OFFSET(Curvas_cupon_cero!$A$1,1,MATCH($B$7,Curvas_cupon_cero!$1:$1,0)-1,COUNT(Curvas_cupon_cero!$A:$A)-2,1))))</f>
        <v/>
      </c>
      <c r="H426" s="19" t="str">
        <f t="shared" si="37"/>
        <v/>
      </c>
    </row>
    <row r="427" spans="1:8" x14ac:dyDescent="0.2">
      <c r="A427" s="12" t="str">
        <f t="shared" si="38"/>
        <v/>
      </c>
      <c r="B427" s="21" t="str">
        <f t="shared" si="39"/>
        <v/>
      </c>
      <c r="C427" s="17" t="str">
        <f t="shared" si="36"/>
        <v/>
      </c>
      <c r="D427" s="18" t="str">
        <f t="shared" si="40"/>
        <v/>
      </c>
      <c r="E427" t="str">
        <f t="shared" si="41"/>
        <v/>
      </c>
      <c r="F427" s="23" t="str">
        <f ca="1">IF(A427="","",IF($B$8="Sí",interpolar_alamb(E427,OFFSET(Curvas_cupon_cero!$A$1,1,0,COUNT(Curvas_cupon_cero!$A:$A)-2,1),OFFSET(Curvas_cupon_cero!$A$1,1,MATCH($B$6,Curvas_cupon_cero!$1:$1,0)-1,COUNT(Curvas_cupon_cero!$A:$A)-2,1)),interpolar(E427,OFFSET(Curvas_cupon_cero!$A$1,1,0,COUNT(Curvas_cupon_cero!$A:$A)-2,1),OFFSET(Curvas_cupon_cero!$A$1,1,MATCH($B$6,Curvas_cupon_cero!$1:$1,0)-1,COUNT(Curvas_cupon_cero!$A:$A)-2,1))))</f>
        <v/>
      </c>
      <c r="G427" s="23" t="str">
        <f ca="1">IF(A427="","",IF($B$8="Sí",interpolar_alamb(E427,OFFSET(Curvas_cupon_cero!$A$1,1,0,COUNT(Curvas_cupon_cero!$A:$A)-2,1),OFFSET(Curvas_cupon_cero!$A$1,1,MATCH($B$7,Curvas_cupon_cero!$1:$1,0)-1,COUNT(Curvas_cupon_cero!$A:$A)-2,1)),interpolar(E427,OFFSET(Curvas_cupon_cero!$A$1,1,0,COUNT(Curvas_cupon_cero!$A:$A)-2,1),OFFSET(Curvas_cupon_cero!$A$1,1,MATCH($B$7,Curvas_cupon_cero!$1:$1,0)-1,COUNT(Curvas_cupon_cero!$A:$A)-2,1))))</f>
        <v/>
      </c>
      <c r="H427" s="19" t="str">
        <f t="shared" si="37"/>
        <v/>
      </c>
    </row>
    <row r="428" spans="1:8" x14ac:dyDescent="0.2">
      <c r="A428" s="12" t="str">
        <f t="shared" si="38"/>
        <v/>
      </c>
      <c r="B428" s="21" t="str">
        <f t="shared" si="39"/>
        <v/>
      </c>
      <c r="C428" s="17" t="str">
        <f t="shared" si="36"/>
        <v/>
      </c>
      <c r="D428" s="18" t="str">
        <f t="shared" si="40"/>
        <v/>
      </c>
      <c r="E428" t="str">
        <f t="shared" si="41"/>
        <v/>
      </c>
      <c r="F428" s="23" t="str">
        <f ca="1">IF(A428="","",IF($B$8="Sí",interpolar_alamb(E428,OFFSET(Curvas_cupon_cero!$A$1,1,0,COUNT(Curvas_cupon_cero!$A:$A)-2,1),OFFSET(Curvas_cupon_cero!$A$1,1,MATCH($B$6,Curvas_cupon_cero!$1:$1,0)-1,COUNT(Curvas_cupon_cero!$A:$A)-2,1)),interpolar(E428,OFFSET(Curvas_cupon_cero!$A$1,1,0,COUNT(Curvas_cupon_cero!$A:$A)-2,1),OFFSET(Curvas_cupon_cero!$A$1,1,MATCH($B$6,Curvas_cupon_cero!$1:$1,0)-1,COUNT(Curvas_cupon_cero!$A:$A)-2,1))))</f>
        <v/>
      </c>
      <c r="G428" s="23" t="str">
        <f ca="1">IF(A428="","",IF($B$8="Sí",interpolar_alamb(E428,OFFSET(Curvas_cupon_cero!$A$1,1,0,COUNT(Curvas_cupon_cero!$A:$A)-2,1),OFFSET(Curvas_cupon_cero!$A$1,1,MATCH($B$7,Curvas_cupon_cero!$1:$1,0)-1,COUNT(Curvas_cupon_cero!$A:$A)-2,1)),interpolar(E428,OFFSET(Curvas_cupon_cero!$A$1,1,0,COUNT(Curvas_cupon_cero!$A:$A)-2,1),OFFSET(Curvas_cupon_cero!$A$1,1,MATCH($B$7,Curvas_cupon_cero!$1:$1,0)-1,COUNT(Curvas_cupon_cero!$A:$A)-2,1))))</f>
        <v/>
      </c>
      <c r="H428" s="19" t="str">
        <f t="shared" si="37"/>
        <v/>
      </c>
    </row>
    <row r="429" spans="1:8" x14ac:dyDescent="0.2">
      <c r="A429" s="12" t="str">
        <f t="shared" si="38"/>
        <v/>
      </c>
      <c r="B429" s="21" t="str">
        <f t="shared" si="39"/>
        <v/>
      </c>
      <c r="C429" s="17" t="str">
        <f t="shared" si="36"/>
        <v/>
      </c>
      <c r="D429" s="18" t="str">
        <f t="shared" si="40"/>
        <v/>
      </c>
      <c r="E429" t="str">
        <f t="shared" si="41"/>
        <v/>
      </c>
      <c r="F429" s="23" t="str">
        <f ca="1">IF(A429="","",IF($B$8="Sí",interpolar_alamb(E429,OFFSET(Curvas_cupon_cero!$A$1,1,0,COUNT(Curvas_cupon_cero!$A:$A)-2,1),OFFSET(Curvas_cupon_cero!$A$1,1,MATCH($B$6,Curvas_cupon_cero!$1:$1,0)-1,COUNT(Curvas_cupon_cero!$A:$A)-2,1)),interpolar(E429,OFFSET(Curvas_cupon_cero!$A$1,1,0,COUNT(Curvas_cupon_cero!$A:$A)-2,1),OFFSET(Curvas_cupon_cero!$A$1,1,MATCH($B$6,Curvas_cupon_cero!$1:$1,0)-1,COUNT(Curvas_cupon_cero!$A:$A)-2,1))))</f>
        <v/>
      </c>
      <c r="G429" s="23" t="str">
        <f ca="1">IF(A429="","",IF($B$8="Sí",interpolar_alamb(E429,OFFSET(Curvas_cupon_cero!$A$1,1,0,COUNT(Curvas_cupon_cero!$A:$A)-2,1),OFFSET(Curvas_cupon_cero!$A$1,1,MATCH($B$7,Curvas_cupon_cero!$1:$1,0)-1,COUNT(Curvas_cupon_cero!$A:$A)-2,1)),interpolar(E429,OFFSET(Curvas_cupon_cero!$A$1,1,0,COUNT(Curvas_cupon_cero!$A:$A)-2,1),OFFSET(Curvas_cupon_cero!$A$1,1,MATCH($B$7,Curvas_cupon_cero!$1:$1,0)-1,COUNT(Curvas_cupon_cero!$A:$A)-2,1))))</f>
        <v/>
      </c>
      <c r="H429" s="19" t="str">
        <f t="shared" si="37"/>
        <v/>
      </c>
    </row>
    <row r="430" spans="1:8" x14ac:dyDescent="0.2">
      <c r="A430" s="12" t="str">
        <f t="shared" si="38"/>
        <v/>
      </c>
      <c r="B430" s="21" t="str">
        <f t="shared" si="39"/>
        <v/>
      </c>
      <c r="C430" s="17" t="str">
        <f t="shared" si="36"/>
        <v/>
      </c>
      <c r="D430" s="18" t="str">
        <f t="shared" si="40"/>
        <v/>
      </c>
      <c r="E430" t="str">
        <f t="shared" si="41"/>
        <v/>
      </c>
      <c r="F430" s="23" t="str">
        <f ca="1">IF(A430="","",IF($B$8="Sí",interpolar_alamb(E430,OFFSET(Curvas_cupon_cero!$A$1,1,0,COUNT(Curvas_cupon_cero!$A:$A)-2,1),OFFSET(Curvas_cupon_cero!$A$1,1,MATCH($B$6,Curvas_cupon_cero!$1:$1,0)-1,COUNT(Curvas_cupon_cero!$A:$A)-2,1)),interpolar(E430,OFFSET(Curvas_cupon_cero!$A$1,1,0,COUNT(Curvas_cupon_cero!$A:$A)-2,1),OFFSET(Curvas_cupon_cero!$A$1,1,MATCH($B$6,Curvas_cupon_cero!$1:$1,0)-1,COUNT(Curvas_cupon_cero!$A:$A)-2,1))))</f>
        <v/>
      </c>
      <c r="G430" s="23" t="str">
        <f ca="1">IF(A430="","",IF($B$8="Sí",interpolar_alamb(E430,OFFSET(Curvas_cupon_cero!$A$1,1,0,COUNT(Curvas_cupon_cero!$A:$A)-2,1),OFFSET(Curvas_cupon_cero!$A$1,1,MATCH($B$7,Curvas_cupon_cero!$1:$1,0)-1,COUNT(Curvas_cupon_cero!$A:$A)-2,1)),interpolar(E430,OFFSET(Curvas_cupon_cero!$A$1,1,0,COUNT(Curvas_cupon_cero!$A:$A)-2,1),OFFSET(Curvas_cupon_cero!$A$1,1,MATCH($B$7,Curvas_cupon_cero!$1:$1,0)-1,COUNT(Curvas_cupon_cero!$A:$A)-2,1))))</f>
        <v/>
      </c>
      <c r="H430" s="19" t="str">
        <f t="shared" si="37"/>
        <v/>
      </c>
    </row>
    <row r="431" spans="1:8" x14ac:dyDescent="0.2">
      <c r="A431" s="12" t="str">
        <f t="shared" si="38"/>
        <v/>
      </c>
      <c r="B431" s="21" t="str">
        <f t="shared" si="39"/>
        <v/>
      </c>
      <c r="C431" s="17" t="str">
        <f t="shared" si="36"/>
        <v/>
      </c>
      <c r="D431" s="18" t="str">
        <f t="shared" si="40"/>
        <v/>
      </c>
      <c r="E431" t="str">
        <f t="shared" si="41"/>
        <v/>
      </c>
      <c r="F431" s="23" t="str">
        <f ca="1">IF(A431="","",IF($B$8="Sí",interpolar_alamb(E431,OFFSET(Curvas_cupon_cero!$A$1,1,0,COUNT(Curvas_cupon_cero!$A:$A)-2,1),OFFSET(Curvas_cupon_cero!$A$1,1,MATCH($B$6,Curvas_cupon_cero!$1:$1,0)-1,COUNT(Curvas_cupon_cero!$A:$A)-2,1)),interpolar(E431,OFFSET(Curvas_cupon_cero!$A$1,1,0,COUNT(Curvas_cupon_cero!$A:$A)-2,1),OFFSET(Curvas_cupon_cero!$A$1,1,MATCH($B$6,Curvas_cupon_cero!$1:$1,0)-1,COUNT(Curvas_cupon_cero!$A:$A)-2,1))))</f>
        <v/>
      </c>
      <c r="G431" s="23" t="str">
        <f ca="1">IF(A431="","",IF($B$8="Sí",interpolar_alamb(E431,OFFSET(Curvas_cupon_cero!$A$1,1,0,COUNT(Curvas_cupon_cero!$A:$A)-2,1),OFFSET(Curvas_cupon_cero!$A$1,1,MATCH($B$7,Curvas_cupon_cero!$1:$1,0)-1,COUNT(Curvas_cupon_cero!$A:$A)-2,1)),interpolar(E431,OFFSET(Curvas_cupon_cero!$A$1,1,0,COUNT(Curvas_cupon_cero!$A:$A)-2,1),OFFSET(Curvas_cupon_cero!$A$1,1,MATCH($B$7,Curvas_cupon_cero!$1:$1,0)-1,COUNT(Curvas_cupon_cero!$A:$A)-2,1))))</f>
        <v/>
      </c>
      <c r="H431" s="19" t="str">
        <f t="shared" si="37"/>
        <v/>
      </c>
    </row>
    <row r="432" spans="1:8" x14ac:dyDescent="0.2">
      <c r="A432" s="12" t="str">
        <f t="shared" si="38"/>
        <v/>
      </c>
      <c r="B432" s="21" t="str">
        <f t="shared" si="39"/>
        <v/>
      </c>
      <c r="C432" s="17" t="str">
        <f t="shared" si="36"/>
        <v/>
      </c>
      <c r="D432" s="18" t="str">
        <f t="shared" si="40"/>
        <v/>
      </c>
      <c r="E432" t="str">
        <f t="shared" si="41"/>
        <v/>
      </c>
      <c r="F432" s="23" t="str">
        <f ca="1">IF(A432="","",IF($B$8="Sí",interpolar_alamb(E432,OFFSET(Curvas_cupon_cero!$A$1,1,0,COUNT(Curvas_cupon_cero!$A:$A)-2,1),OFFSET(Curvas_cupon_cero!$A$1,1,MATCH($B$6,Curvas_cupon_cero!$1:$1,0)-1,COUNT(Curvas_cupon_cero!$A:$A)-2,1)),interpolar(E432,OFFSET(Curvas_cupon_cero!$A$1,1,0,COUNT(Curvas_cupon_cero!$A:$A)-2,1),OFFSET(Curvas_cupon_cero!$A$1,1,MATCH($B$6,Curvas_cupon_cero!$1:$1,0)-1,COUNT(Curvas_cupon_cero!$A:$A)-2,1))))</f>
        <v/>
      </c>
      <c r="G432" s="23" t="str">
        <f ca="1">IF(A432="","",IF($B$8="Sí",interpolar_alamb(E432,OFFSET(Curvas_cupon_cero!$A$1,1,0,COUNT(Curvas_cupon_cero!$A:$A)-2,1),OFFSET(Curvas_cupon_cero!$A$1,1,MATCH($B$7,Curvas_cupon_cero!$1:$1,0)-1,COUNT(Curvas_cupon_cero!$A:$A)-2,1)),interpolar(E432,OFFSET(Curvas_cupon_cero!$A$1,1,0,COUNT(Curvas_cupon_cero!$A:$A)-2,1),OFFSET(Curvas_cupon_cero!$A$1,1,MATCH($B$7,Curvas_cupon_cero!$1:$1,0)-1,COUNT(Curvas_cupon_cero!$A:$A)-2,1))))</f>
        <v/>
      </c>
      <c r="H432" s="19" t="str">
        <f t="shared" si="37"/>
        <v/>
      </c>
    </row>
    <row r="433" spans="1:8" x14ac:dyDescent="0.2">
      <c r="A433" s="12" t="str">
        <f t="shared" si="38"/>
        <v/>
      </c>
      <c r="B433" s="21" t="str">
        <f t="shared" si="39"/>
        <v/>
      </c>
      <c r="C433" s="17" t="str">
        <f t="shared" si="36"/>
        <v/>
      </c>
      <c r="D433" s="18" t="str">
        <f t="shared" si="40"/>
        <v/>
      </c>
      <c r="E433" t="str">
        <f t="shared" si="41"/>
        <v/>
      </c>
      <c r="F433" s="23" t="str">
        <f ca="1">IF(A433="","",IF($B$8="Sí",interpolar_alamb(E433,OFFSET(Curvas_cupon_cero!$A$1,1,0,COUNT(Curvas_cupon_cero!$A:$A)-2,1),OFFSET(Curvas_cupon_cero!$A$1,1,MATCH($B$6,Curvas_cupon_cero!$1:$1,0)-1,COUNT(Curvas_cupon_cero!$A:$A)-2,1)),interpolar(E433,OFFSET(Curvas_cupon_cero!$A$1,1,0,COUNT(Curvas_cupon_cero!$A:$A)-2,1),OFFSET(Curvas_cupon_cero!$A$1,1,MATCH($B$6,Curvas_cupon_cero!$1:$1,0)-1,COUNT(Curvas_cupon_cero!$A:$A)-2,1))))</f>
        <v/>
      </c>
      <c r="G433" s="23" t="str">
        <f ca="1">IF(A433="","",IF($B$8="Sí",interpolar_alamb(E433,OFFSET(Curvas_cupon_cero!$A$1,1,0,COUNT(Curvas_cupon_cero!$A:$A)-2,1),OFFSET(Curvas_cupon_cero!$A$1,1,MATCH($B$7,Curvas_cupon_cero!$1:$1,0)-1,COUNT(Curvas_cupon_cero!$A:$A)-2,1)),interpolar(E433,OFFSET(Curvas_cupon_cero!$A$1,1,0,COUNT(Curvas_cupon_cero!$A:$A)-2,1),OFFSET(Curvas_cupon_cero!$A$1,1,MATCH($B$7,Curvas_cupon_cero!$1:$1,0)-1,COUNT(Curvas_cupon_cero!$A:$A)-2,1))))</f>
        <v/>
      </c>
      <c r="H433" s="19" t="str">
        <f t="shared" si="37"/>
        <v/>
      </c>
    </row>
    <row r="434" spans="1:8" x14ac:dyDescent="0.2">
      <c r="A434" s="12" t="str">
        <f t="shared" si="38"/>
        <v/>
      </c>
      <c r="B434" s="21" t="str">
        <f t="shared" si="39"/>
        <v/>
      </c>
      <c r="C434" s="17" t="str">
        <f t="shared" si="36"/>
        <v/>
      </c>
      <c r="D434" s="18" t="str">
        <f t="shared" si="40"/>
        <v/>
      </c>
      <c r="E434" t="str">
        <f t="shared" si="41"/>
        <v/>
      </c>
      <c r="F434" s="23" t="str">
        <f ca="1">IF(A434="","",IF($B$8="Sí",interpolar_alamb(E434,OFFSET(Curvas_cupon_cero!$A$1,1,0,COUNT(Curvas_cupon_cero!$A:$A)-2,1),OFFSET(Curvas_cupon_cero!$A$1,1,MATCH($B$6,Curvas_cupon_cero!$1:$1,0)-1,COUNT(Curvas_cupon_cero!$A:$A)-2,1)),interpolar(E434,OFFSET(Curvas_cupon_cero!$A$1,1,0,COUNT(Curvas_cupon_cero!$A:$A)-2,1),OFFSET(Curvas_cupon_cero!$A$1,1,MATCH($B$6,Curvas_cupon_cero!$1:$1,0)-1,COUNT(Curvas_cupon_cero!$A:$A)-2,1))))</f>
        <v/>
      </c>
      <c r="G434" s="23" t="str">
        <f ca="1">IF(A434="","",IF($B$8="Sí",interpolar_alamb(E434,OFFSET(Curvas_cupon_cero!$A$1,1,0,COUNT(Curvas_cupon_cero!$A:$A)-2,1),OFFSET(Curvas_cupon_cero!$A$1,1,MATCH($B$7,Curvas_cupon_cero!$1:$1,0)-1,COUNT(Curvas_cupon_cero!$A:$A)-2,1)),interpolar(E434,OFFSET(Curvas_cupon_cero!$A$1,1,0,COUNT(Curvas_cupon_cero!$A:$A)-2,1),OFFSET(Curvas_cupon_cero!$A$1,1,MATCH($B$7,Curvas_cupon_cero!$1:$1,0)-1,COUNT(Curvas_cupon_cero!$A:$A)-2,1))))</f>
        <v/>
      </c>
      <c r="H434" s="19" t="str">
        <f t="shared" si="37"/>
        <v/>
      </c>
    </row>
    <row r="435" spans="1:8" x14ac:dyDescent="0.2">
      <c r="A435" s="12" t="str">
        <f t="shared" si="38"/>
        <v/>
      </c>
      <c r="B435" s="21" t="str">
        <f t="shared" si="39"/>
        <v/>
      </c>
      <c r="C435" s="17" t="str">
        <f t="shared" si="36"/>
        <v/>
      </c>
      <c r="D435" s="18" t="str">
        <f t="shared" si="40"/>
        <v/>
      </c>
      <c r="E435" t="str">
        <f t="shared" si="41"/>
        <v/>
      </c>
      <c r="F435" s="23" t="str">
        <f ca="1">IF(A435="","",IF($B$8="Sí",interpolar_alamb(E435,OFFSET(Curvas_cupon_cero!$A$1,1,0,COUNT(Curvas_cupon_cero!$A:$A)-2,1),OFFSET(Curvas_cupon_cero!$A$1,1,MATCH($B$6,Curvas_cupon_cero!$1:$1,0)-1,COUNT(Curvas_cupon_cero!$A:$A)-2,1)),interpolar(E435,OFFSET(Curvas_cupon_cero!$A$1,1,0,COUNT(Curvas_cupon_cero!$A:$A)-2,1),OFFSET(Curvas_cupon_cero!$A$1,1,MATCH($B$6,Curvas_cupon_cero!$1:$1,0)-1,COUNT(Curvas_cupon_cero!$A:$A)-2,1))))</f>
        <v/>
      </c>
      <c r="G435" s="23" t="str">
        <f ca="1">IF(A435="","",IF($B$8="Sí",interpolar_alamb(E435,OFFSET(Curvas_cupon_cero!$A$1,1,0,COUNT(Curvas_cupon_cero!$A:$A)-2,1),OFFSET(Curvas_cupon_cero!$A$1,1,MATCH($B$7,Curvas_cupon_cero!$1:$1,0)-1,COUNT(Curvas_cupon_cero!$A:$A)-2,1)),interpolar(E435,OFFSET(Curvas_cupon_cero!$A$1,1,0,COUNT(Curvas_cupon_cero!$A:$A)-2,1),OFFSET(Curvas_cupon_cero!$A$1,1,MATCH($B$7,Curvas_cupon_cero!$1:$1,0)-1,COUNT(Curvas_cupon_cero!$A:$A)-2,1))))</f>
        <v/>
      </c>
      <c r="H435" s="19" t="str">
        <f t="shared" si="37"/>
        <v/>
      </c>
    </row>
    <row r="436" spans="1:8" x14ac:dyDescent="0.2">
      <c r="A436" s="12" t="str">
        <f t="shared" si="38"/>
        <v/>
      </c>
      <c r="B436" s="21" t="str">
        <f t="shared" si="39"/>
        <v/>
      </c>
      <c r="C436" s="17" t="str">
        <f t="shared" si="36"/>
        <v/>
      </c>
      <c r="D436" s="18" t="str">
        <f t="shared" si="40"/>
        <v/>
      </c>
      <c r="E436" t="str">
        <f t="shared" si="41"/>
        <v/>
      </c>
      <c r="F436" s="23" t="str">
        <f ca="1">IF(A436="","",IF($B$8="Sí",interpolar_alamb(E436,OFFSET(Curvas_cupon_cero!$A$1,1,0,COUNT(Curvas_cupon_cero!$A:$A)-2,1),OFFSET(Curvas_cupon_cero!$A$1,1,MATCH($B$6,Curvas_cupon_cero!$1:$1,0)-1,COUNT(Curvas_cupon_cero!$A:$A)-2,1)),interpolar(E436,OFFSET(Curvas_cupon_cero!$A$1,1,0,COUNT(Curvas_cupon_cero!$A:$A)-2,1),OFFSET(Curvas_cupon_cero!$A$1,1,MATCH($B$6,Curvas_cupon_cero!$1:$1,0)-1,COUNT(Curvas_cupon_cero!$A:$A)-2,1))))</f>
        <v/>
      </c>
      <c r="G436" s="23" t="str">
        <f ca="1">IF(A436="","",IF($B$8="Sí",interpolar_alamb(E436,OFFSET(Curvas_cupon_cero!$A$1,1,0,COUNT(Curvas_cupon_cero!$A:$A)-2,1),OFFSET(Curvas_cupon_cero!$A$1,1,MATCH($B$7,Curvas_cupon_cero!$1:$1,0)-1,COUNT(Curvas_cupon_cero!$A:$A)-2,1)),interpolar(E436,OFFSET(Curvas_cupon_cero!$A$1,1,0,COUNT(Curvas_cupon_cero!$A:$A)-2,1),OFFSET(Curvas_cupon_cero!$A$1,1,MATCH($B$7,Curvas_cupon_cero!$1:$1,0)-1,COUNT(Curvas_cupon_cero!$A:$A)-2,1))))</f>
        <v/>
      </c>
      <c r="H436" s="19" t="str">
        <f t="shared" si="37"/>
        <v/>
      </c>
    </row>
    <row r="437" spans="1:8" x14ac:dyDescent="0.2">
      <c r="A437" s="12" t="str">
        <f t="shared" si="38"/>
        <v/>
      </c>
      <c r="B437" s="21" t="str">
        <f t="shared" si="39"/>
        <v/>
      </c>
      <c r="C437" s="17" t="str">
        <f t="shared" si="36"/>
        <v/>
      </c>
      <c r="D437" s="18" t="str">
        <f t="shared" si="40"/>
        <v/>
      </c>
      <c r="E437" t="str">
        <f t="shared" si="41"/>
        <v/>
      </c>
      <c r="F437" s="23" t="str">
        <f ca="1">IF(A437="","",IF($B$8="Sí",interpolar_alamb(E437,OFFSET(Curvas_cupon_cero!$A$1,1,0,COUNT(Curvas_cupon_cero!$A:$A)-2,1),OFFSET(Curvas_cupon_cero!$A$1,1,MATCH($B$6,Curvas_cupon_cero!$1:$1,0)-1,COUNT(Curvas_cupon_cero!$A:$A)-2,1)),interpolar(E437,OFFSET(Curvas_cupon_cero!$A$1,1,0,COUNT(Curvas_cupon_cero!$A:$A)-2,1),OFFSET(Curvas_cupon_cero!$A$1,1,MATCH($B$6,Curvas_cupon_cero!$1:$1,0)-1,COUNT(Curvas_cupon_cero!$A:$A)-2,1))))</f>
        <v/>
      </c>
      <c r="G437" s="23" t="str">
        <f ca="1">IF(A437="","",IF($B$8="Sí",interpolar_alamb(E437,OFFSET(Curvas_cupon_cero!$A$1,1,0,COUNT(Curvas_cupon_cero!$A:$A)-2,1),OFFSET(Curvas_cupon_cero!$A$1,1,MATCH($B$7,Curvas_cupon_cero!$1:$1,0)-1,COUNT(Curvas_cupon_cero!$A:$A)-2,1)),interpolar(E437,OFFSET(Curvas_cupon_cero!$A$1,1,0,COUNT(Curvas_cupon_cero!$A:$A)-2,1),OFFSET(Curvas_cupon_cero!$A$1,1,MATCH($B$7,Curvas_cupon_cero!$1:$1,0)-1,COUNT(Curvas_cupon_cero!$A:$A)-2,1))))</f>
        <v/>
      </c>
      <c r="H437" s="19" t="str">
        <f t="shared" si="37"/>
        <v/>
      </c>
    </row>
    <row r="438" spans="1:8" x14ac:dyDescent="0.2">
      <c r="A438" s="12" t="str">
        <f t="shared" si="38"/>
        <v/>
      </c>
      <c r="B438" s="21" t="str">
        <f t="shared" si="39"/>
        <v/>
      </c>
      <c r="C438" s="17" t="str">
        <f t="shared" si="36"/>
        <v/>
      </c>
      <c r="D438" s="18" t="str">
        <f t="shared" si="40"/>
        <v/>
      </c>
      <c r="E438" t="str">
        <f t="shared" si="41"/>
        <v/>
      </c>
      <c r="F438" s="23" t="str">
        <f ca="1">IF(A438="","",IF($B$8="Sí",interpolar_alamb(E438,OFFSET(Curvas_cupon_cero!$A$1,1,0,COUNT(Curvas_cupon_cero!$A:$A)-2,1),OFFSET(Curvas_cupon_cero!$A$1,1,MATCH($B$6,Curvas_cupon_cero!$1:$1,0)-1,COUNT(Curvas_cupon_cero!$A:$A)-2,1)),interpolar(E438,OFFSET(Curvas_cupon_cero!$A$1,1,0,COUNT(Curvas_cupon_cero!$A:$A)-2,1),OFFSET(Curvas_cupon_cero!$A$1,1,MATCH($B$6,Curvas_cupon_cero!$1:$1,0)-1,COUNT(Curvas_cupon_cero!$A:$A)-2,1))))</f>
        <v/>
      </c>
      <c r="G438" s="23" t="str">
        <f ca="1">IF(A438="","",IF($B$8="Sí",interpolar_alamb(E438,OFFSET(Curvas_cupon_cero!$A$1,1,0,COUNT(Curvas_cupon_cero!$A:$A)-2,1),OFFSET(Curvas_cupon_cero!$A$1,1,MATCH($B$7,Curvas_cupon_cero!$1:$1,0)-1,COUNT(Curvas_cupon_cero!$A:$A)-2,1)),interpolar(E438,OFFSET(Curvas_cupon_cero!$A$1,1,0,COUNT(Curvas_cupon_cero!$A:$A)-2,1),OFFSET(Curvas_cupon_cero!$A$1,1,MATCH($B$7,Curvas_cupon_cero!$1:$1,0)-1,COUNT(Curvas_cupon_cero!$A:$A)-2,1))))</f>
        <v/>
      </c>
      <c r="H438" s="19" t="str">
        <f t="shared" si="37"/>
        <v/>
      </c>
    </row>
    <row r="439" spans="1:8" x14ac:dyDescent="0.2">
      <c r="A439" s="12" t="str">
        <f t="shared" si="38"/>
        <v/>
      </c>
      <c r="B439" s="21" t="str">
        <f t="shared" si="39"/>
        <v/>
      </c>
      <c r="C439" s="17" t="str">
        <f t="shared" si="36"/>
        <v/>
      </c>
      <c r="D439" s="18" t="str">
        <f t="shared" si="40"/>
        <v/>
      </c>
      <c r="E439" t="str">
        <f t="shared" si="41"/>
        <v/>
      </c>
      <c r="F439" s="23" t="str">
        <f ca="1">IF(A439="","",IF($B$8="Sí",interpolar_alamb(E439,OFFSET(Curvas_cupon_cero!$A$1,1,0,COUNT(Curvas_cupon_cero!$A:$A)-2,1),OFFSET(Curvas_cupon_cero!$A$1,1,MATCH($B$6,Curvas_cupon_cero!$1:$1,0)-1,COUNT(Curvas_cupon_cero!$A:$A)-2,1)),interpolar(E439,OFFSET(Curvas_cupon_cero!$A$1,1,0,COUNT(Curvas_cupon_cero!$A:$A)-2,1),OFFSET(Curvas_cupon_cero!$A$1,1,MATCH($B$6,Curvas_cupon_cero!$1:$1,0)-1,COUNT(Curvas_cupon_cero!$A:$A)-2,1))))</f>
        <v/>
      </c>
      <c r="G439" s="23" t="str">
        <f ca="1">IF(A439="","",IF($B$8="Sí",interpolar_alamb(E439,OFFSET(Curvas_cupon_cero!$A$1,1,0,COUNT(Curvas_cupon_cero!$A:$A)-2,1),OFFSET(Curvas_cupon_cero!$A$1,1,MATCH($B$7,Curvas_cupon_cero!$1:$1,0)-1,COUNT(Curvas_cupon_cero!$A:$A)-2,1)),interpolar(E439,OFFSET(Curvas_cupon_cero!$A$1,1,0,COUNT(Curvas_cupon_cero!$A:$A)-2,1),OFFSET(Curvas_cupon_cero!$A$1,1,MATCH($B$7,Curvas_cupon_cero!$1:$1,0)-1,COUNT(Curvas_cupon_cero!$A:$A)-2,1))))</f>
        <v/>
      </c>
      <c r="H439" s="19" t="str">
        <f t="shared" si="37"/>
        <v/>
      </c>
    </row>
    <row r="440" spans="1:8" x14ac:dyDescent="0.2">
      <c r="A440" s="12" t="str">
        <f t="shared" si="38"/>
        <v/>
      </c>
      <c r="B440" s="21" t="str">
        <f t="shared" si="39"/>
        <v/>
      </c>
      <c r="C440" s="17" t="str">
        <f t="shared" si="36"/>
        <v/>
      </c>
      <c r="D440" s="18" t="str">
        <f t="shared" si="40"/>
        <v/>
      </c>
      <c r="E440" t="str">
        <f t="shared" si="41"/>
        <v/>
      </c>
      <c r="F440" s="23" t="str">
        <f ca="1">IF(A440="","",IF($B$8="Sí",interpolar_alamb(E440,OFFSET(Curvas_cupon_cero!$A$1,1,0,COUNT(Curvas_cupon_cero!$A:$A)-2,1),OFFSET(Curvas_cupon_cero!$A$1,1,MATCH($B$6,Curvas_cupon_cero!$1:$1,0)-1,COUNT(Curvas_cupon_cero!$A:$A)-2,1)),interpolar(E440,OFFSET(Curvas_cupon_cero!$A$1,1,0,COUNT(Curvas_cupon_cero!$A:$A)-2,1),OFFSET(Curvas_cupon_cero!$A$1,1,MATCH($B$6,Curvas_cupon_cero!$1:$1,0)-1,COUNT(Curvas_cupon_cero!$A:$A)-2,1))))</f>
        <v/>
      </c>
      <c r="G440" s="23" t="str">
        <f ca="1">IF(A440="","",IF($B$8="Sí",interpolar_alamb(E440,OFFSET(Curvas_cupon_cero!$A$1,1,0,COUNT(Curvas_cupon_cero!$A:$A)-2,1),OFFSET(Curvas_cupon_cero!$A$1,1,MATCH($B$7,Curvas_cupon_cero!$1:$1,0)-1,COUNT(Curvas_cupon_cero!$A:$A)-2,1)),interpolar(E440,OFFSET(Curvas_cupon_cero!$A$1,1,0,COUNT(Curvas_cupon_cero!$A:$A)-2,1),OFFSET(Curvas_cupon_cero!$A$1,1,MATCH($B$7,Curvas_cupon_cero!$1:$1,0)-1,COUNT(Curvas_cupon_cero!$A:$A)-2,1))))</f>
        <v/>
      </c>
      <c r="H440" s="19" t="str">
        <f t="shared" si="37"/>
        <v/>
      </c>
    </row>
    <row r="441" spans="1:8" x14ac:dyDescent="0.2">
      <c r="A441" s="12" t="str">
        <f t="shared" si="38"/>
        <v/>
      </c>
      <c r="B441" s="21" t="str">
        <f t="shared" si="39"/>
        <v/>
      </c>
      <c r="C441" s="17" t="str">
        <f t="shared" si="36"/>
        <v/>
      </c>
      <c r="D441" s="18" t="str">
        <f t="shared" si="40"/>
        <v/>
      </c>
      <c r="E441" t="str">
        <f t="shared" si="41"/>
        <v/>
      </c>
      <c r="F441" s="23" t="str">
        <f ca="1">IF(A441="","",IF($B$8="Sí",interpolar_alamb(E441,OFFSET(Curvas_cupon_cero!$A$1,1,0,COUNT(Curvas_cupon_cero!$A:$A)-2,1),OFFSET(Curvas_cupon_cero!$A$1,1,MATCH($B$6,Curvas_cupon_cero!$1:$1,0)-1,COUNT(Curvas_cupon_cero!$A:$A)-2,1)),interpolar(E441,OFFSET(Curvas_cupon_cero!$A$1,1,0,COUNT(Curvas_cupon_cero!$A:$A)-2,1),OFFSET(Curvas_cupon_cero!$A$1,1,MATCH($B$6,Curvas_cupon_cero!$1:$1,0)-1,COUNT(Curvas_cupon_cero!$A:$A)-2,1))))</f>
        <v/>
      </c>
      <c r="G441" s="23" t="str">
        <f ca="1">IF(A441="","",IF($B$8="Sí",interpolar_alamb(E441,OFFSET(Curvas_cupon_cero!$A$1,1,0,COUNT(Curvas_cupon_cero!$A:$A)-2,1),OFFSET(Curvas_cupon_cero!$A$1,1,MATCH($B$7,Curvas_cupon_cero!$1:$1,0)-1,COUNT(Curvas_cupon_cero!$A:$A)-2,1)),interpolar(E441,OFFSET(Curvas_cupon_cero!$A$1,1,0,COUNT(Curvas_cupon_cero!$A:$A)-2,1),OFFSET(Curvas_cupon_cero!$A$1,1,MATCH($B$7,Curvas_cupon_cero!$1:$1,0)-1,COUNT(Curvas_cupon_cero!$A:$A)-2,1))))</f>
        <v/>
      </c>
      <c r="H441" s="19" t="str">
        <f t="shared" si="37"/>
        <v/>
      </c>
    </row>
    <row r="442" spans="1:8" x14ac:dyDescent="0.2">
      <c r="A442" s="12" t="str">
        <f t="shared" si="38"/>
        <v/>
      </c>
      <c r="B442" s="21" t="str">
        <f t="shared" si="39"/>
        <v/>
      </c>
      <c r="C442" s="17" t="str">
        <f t="shared" si="36"/>
        <v/>
      </c>
      <c r="D442" s="18" t="str">
        <f t="shared" si="40"/>
        <v/>
      </c>
      <c r="E442" t="str">
        <f t="shared" si="41"/>
        <v/>
      </c>
      <c r="F442" s="23" t="str">
        <f ca="1">IF(A442="","",IF($B$8="Sí",interpolar_alamb(E442,OFFSET(Curvas_cupon_cero!$A$1,1,0,COUNT(Curvas_cupon_cero!$A:$A)-2,1),OFFSET(Curvas_cupon_cero!$A$1,1,MATCH($B$6,Curvas_cupon_cero!$1:$1,0)-1,COUNT(Curvas_cupon_cero!$A:$A)-2,1)),interpolar(E442,OFFSET(Curvas_cupon_cero!$A$1,1,0,COUNT(Curvas_cupon_cero!$A:$A)-2,1),OFFSET(Curvas_cupon_cero!$A$1,1,MATCH($B$6,Curvas_cupon_cero!$1:$1,0)-1,COUNT(Curvas_cupon_cero!$A:$A)-2,1))))</f>
        <v/>
      </c>
      <c r="G442" s="23" t="str">
        <f ca="1">IF(A442="","",IF($B$8="Sí",interpolar_alamb(E442,OFFSET(Curvas_cupon_cero!$A$1,1,0,COUNT(Curvas_cupon_cero!$A:$A)-2,1),OFFSET(Curvas_cupon_cero!$A$1,1,MATCH($B$7,Curvas_cupon_cero!$1:$1,0)-1,COUNT(Curvas_cupon_cero!$A:$A)-2,1)),interpolar(E442,OFFSET(Curvas_cupon_cero!$A$1,1,0,COUNT(Curvas_cupon_cero!$A:$A)-2,1),OFFSET(Curvas_cupon_cero!$A$1,1,MATCH($B$7,Curvas_cupon_cero!$1:$1,0)-1,COUNT(Curvas_cupon_cero!$A:$A)-2,1))))</f>
        <v/>
      </c>
      <c r="H442" s="19" t="str">
        <f t="shared" si="37"/>
        <v/>
      </c>
    </row>
    <row r="443" spans="1:8" x14ac:dyDescent="0.2">
      <c r="A443" s="12" t="str">
        <f t="shared" si="38"/>
        <v/>
      </c>
      <c r="B443" s="21" t="str">
        <f t="shared" si="39"/>
        <v/>
      </c>
      <c r="C443" s="17" t="str">
        <f t="shared" si="36"/>
        <v/>
      </c>
      <c r="D443" s="18" t="str">
        <f t="shared" si="40"/>
        <v/>
      </c>
      <c r="E443" t="str">
        <f t="shared" si="41"/>
        <v/>
      </c>
      <c r="F443" s="23" t="str">
        <f ca="1">IF(A443="","",IF($B$8="Sí",interpolar_alamb(E443,OFFSET(Curvas_cupon_cero!$A$1,1,0,COUNT(Curvas_cupon_cero!$A:$A)-2,1),OFFSET(Curvas_cupon_cero!$A$1,1,MATCH($B$6,Curvas_cupon_cero!$1:$1,0)-1,COUNT(Curvas_cupon_cero!$A:$A)-2,1)),interpolar(E443,OFFSET(Curvas_cupon_cero!$A$1,1,0,COUNT(Curvas_cupon_cero!$A:$A)-2,1),OFFSET(Curvas_cupon_cero!$A$1,1,MATCH($B$6,Curvas_cupon_cero!$1:$1,0)-1,COUNT(Curvas_cupon_cero!$A:$A)-2,1))))</f>
        <v/>
      </c>
      <c r="G443" s="23" t="str">
        <f ca="1">IF(A443="","",IF($B$8="Sí",interpolar_alamb(E443,OFFSET(Curvas_cupon_cero!$A$1,1,0,COUNT(Curvas_cupon_cero!$A:$A)-2,1),OFFSET(Curvas_cupon_cero!$A$1,1,MATCH($B$7,Curvas_cupon_cero!$1:$1,0)-1,COUNT(Curvas_cupon_cero!$A:$A)-2,1)),interpolar(E443,OFFSET(Curvas_cupon_cero!$A$1,1,0,COUNT(Curvas_cupon_cero!$A:$A)-2,1),OFFSET(Curvas_cupon_cero!$A$1,1,MATCH($B$7,Curvas_cupon_cero!$1:$1,0)-1,COUNT(Curvas_cupon_cero!$A:$A)-2,1))))</f>
        <v/>
      </c>
      <c r="H443" s="19" t="str">
        <f t="shared" si="37"/>
        <v/>
      </c>
    </row>
    <row r="444" spans="1:8" x14ac:dyDescent="0.2">
      <c r="A444" s="12" t="str">
        <f t="shared" si="38"/>
        <v/>
      </c>
      <c r="B444" s="21" t="str">
        <f t="shared" si="39"/>
        <v/>
      </c>
      <c r="C444" s="17" t="str">
        <f t="shared" si="36"/>
        <v/>
      </c>
      <c r="D444" s="18" t="str">
        <f t="shared" si="40"/>
        <v/>
      </c>
      <c r="E444" t="str">
        <f t="shared" si="41"/>
        <v/>
      </c>
      <c r="F444" s="23" t="str">
        <f ca="1">IF(A444="","",IF($B$8="Sí",interpolar_alamb(E444,OFFSET(Curvas_cupon_cero!$A$1,1,0,COUNT(Curvas_cupon_cero!$A:$A)-2,1),OFFSET(Curvas_cupon_cero!$A$1,1,MATCH($B$6,Curvas_cupon_cero!$1:$1,0)-1,COUNT(Curvas_cupon_cero!$A:$A)-2,1)),interpolar(E444,OFFSET(Curvas_cupon_cero!$A$1,1,0,COUNT(Curvas_cupon_cero!$A:$A)-2,1),OFFSET(Curvas_cupon_cero!$A$1,1,MATCH($B$6,Curvas_cupon_cero!$1:$1,0)-1,COUNT(Curvas_cupon_cero!$A:$A)-2,1))))</f>
        <v/>
      </c>
      <c r="G444" s="23" t="str">
        <f ca="1">IF(A444="","",IF($B$8="Sí",interpolar_alamb(E444,OFFSET(Curvas_cupon_cero!$A$1,1,0,COUNT(Curvas_cupon_cero!$A:$A)-2,1),OFFSET(Curvas_cupon_cero!$A$1,1,MATCH($B$7,Curvas_cupon_cero!$1:$1,0)-1,COUNT(Curvas_cupon_cero!$A:$A)-2,1)),interpolar(E444,OFFSET(Curvas_cupon_cero!$A$1,1,0,COUNT(Curvas_cupon_cero!$A:$A)-2,1),OFFSET(Curvas_cupon_cero!$A$1,1,MATCH($B$7,Curvas_cupon_cero!$1:$1,0)-1,COUNT(Curvas_cupon_cero!$A:$A)-2,1))))</f>
        <v/>
      </c>
      <c r="H444" s="19" t="str">
        <f t="shared" si="37"/>
        <v/>
      </c>
    </row>
    <row r="445" spans="1:8" x14ac:dyDescent="0.2">
      <c r="A445" s="12" t="str">
        <f t="shared" si="38"/>
        <v/>
      </c>
      <c r="B445" s="21" t="str">
        <f t="shared" si="39"/>
        <v/>
      </c>
      <c r="C445" s="17" t="str">
        <f t="shared" si="36"/>
        <v/>
      </c>
      <c r="D445" s="18" t="str">
        <f t="shared" si="40"/>
        <v/>
      </c>
      <c r="E445" t="str">
        <f t="shared" si="41"/>
        <v/>
      </c>
      <c r="F445" s="23" t="str">
        <f ca="1">IF(A445="","",IF($B$8="Sí",interpolar_alamb(E445,OFFSET(Curvas_cupon_cero!$A$1,1,0,COUNT(Curvas_cupon_cero!$A:$A)-2,1),OFFSET(Curvas_cupon_cero!$A$1,1,MATCH($B$6,Curvas_cupon_cero!$1:$1,0)-1,COUNT(Curvas_cupon_cero!$A:$A)-2,1)),interpolar(E445,OFFSET(Curvas_cupon_cero!$A$1,1,0,COUNT(Curvas_cupon_cero!$A:$A)-2,1),OFFSET(Curvas_cupon_cero!$A$1,1,MATCH($B$6,Curvas_cupon_cero!$1:$1,0)-1,COUNT(Curvas_cupon_cero!$A:$A)-2,1))))</f>
        <v/>
      </c>
      <c r="G445" s="23" t="str">
        <f ca="1">IF(A445="","",IF($B$8="Sí",interpolar_alamb(E445,OFFSET(Curvas_cupon_cero!$A$1,1,0,COUNT(Curvas_cupon_cero!$A:$A)-2,1),OFFSET(Curvas_cupon_cero!$A$1,1,MATCH($B$7,Curvas_cupon_cero!$1:$1,0)-1,COUNT(Curvas_cupon_cero!$A:$A)-2,1)),interpolar(E445,OFFSET(Curvas_cupon_cero!$A$1,1,0,COUNT(Curvas_cupon_cero!$A:$A)-2,1),OFFSET(Curvas_cupon_cero!$A$1,1,MATCH($B$7,Curvas_cupon_cero!$1:$1,0)-1,COUNT(Curvas_cupon_cero!$A:$A)-2,1))))</f>
        <v/>
      </c>
      <c r="H445" s="19" t="str">
        <f t="shared" si="37"/>
        <v/>
      </c>
    </row>
    <row r="446" spans="1:8" x14ac:dyDescent="0.2">
      <c r="A446" s="12" t="str">
        <f t="shared" si="38"/>
        <v/>
      </c>
      <c r="B446" s="21" t="str">
        <f t="shared" si="39"/>
        <v/>
      </c>
      <c r="C446" s="17" t="str">
        <f t="shared" si="36"/>
        <v/>
      </c>
      <c r="D446" s="18" t="str">
        <f t="shared" si="40"/>
        <v/>
      </c>
      <c r="E446" t="str">
        <f t="shared" si="41"/>
        <v/>
      </c>
      <c r="F446" s="23" t="str">
        <f ca="1">IF(A446="","",IF($B$8="Sí",interpolar_alamb(E446,OFFSET(Curvas_cupon_cero!$A$1,1,0,COUNT(Curvas_cupon_cero!$A:$A)-2,1),OFFSET(Curvas_cupon_cero!$A$1,1,MATCH($B$6,Curvas_cupon_cero!$1:$1,0)-1,COUNT(Curvas_cupon_cero!$A:$A)-2,1)),interpolar(E446,OFFSET(Curvas_cupon_cero!$A$1,1,0,COUNT(Curvas_cupon_cero!$A:$A)-2,1),OFFSET(Curvas_cupon_cero!$A$1,1,MATCH($B$6,Curvas_cupon_cero!$1:$1,0)-1,COUNT(Curvas_cupon_cero!$A:$A)-2,1))))</f>
        <v/>
      </c>
      <c r="G446" s="23" t="str">
        <f ca="1">IF(A446="","",IF($B$8="Sí",interpolar_alamb(E446,OFFSET(Curvas_cupon_cero!$A$1,1,0,COUNT(Curvas_cupon_cero!$A:$A)-2,1),OFFSET(Curvas_cupon_cero!$A$1,1,MATCH($B$7,Curvas_cupon_cero!$1:$1,0)-1,COUNT(Curvas_cupon_cero!$A:$A)-2,1)),interpolar(E446,OFFSET(Curvas_cupon_cero!$A$1,1,0,COUNT(Curvas_cupon_cero!$A:$A)-2,1),OFFSET(Curvas_cupon_cero!$A$1,1,MATCH($B$7,Curvas_cupon_cero!$1:$1,0)-1,COUNT(Curvas_cupon_cero!$A:$A)-2,1))))</f>
        <v/>
      </c>
      <c r="H446" s="19" t="str">
        <f t="shared" si="37"/>
        <v/>
      </c>
    </row>
    <row r="447" spans="1:8" x14ac:dyDescent="0.2">
      <c r="A447" s="12" t="str">
        <f t="shared" si="38"/>
        <v/>
      </c>
      <c r="B447" s="21" t="str">
        <f t="shared" si="39"/>
        <v/>
      </c>
      <c r="C447" s="17" t="str">
        <f t="shared" si="36"/>
        <v/>
      </c>
      <c r="D447" s="18" t="str">
        <f t="shared" si="40"/>
        <v/>
      </c>
      <c r="E447" t="str">
        <f t="shared" si="41"/>
        <v/>
      </c>
      <c r="F447" s="23" t="str">
        <f ca="1">IF(A447="","",IF($B$8="Sí",interpolar_alamb(E447,OFFSET(Curvas_cupon_cero!$A$1,1,0,COUNT(Curvas_cupon_cero!$A:$A)-2,1),OFFSET(Curvas_cupon_cero!$A$1,1,MATCH($B$6,Curvas_cupon_cero!$1:$1,0)-1,COUNT(Curvas_cupon_cero!$A:$A)-2,1)),interpolar(E447,OFFSET(Curvas_cupon_cero!$A$1,1,0,COUNT(Curvas_cupon_cero!$A:$A)-2,1),OFFSET(Curvas_cupon_cero!$A$1,1,MATCH($B$6,Curvas_cupon_cero!$1:$1,0)-1,COUNT(Curvas_cupon_cero!$A:$A)-2,1))))</f>
        <v/>
      </c>
      <c r="G447" s="23" t="str">
        <f ca="1">IF(A447="","",IF($B$8="Sí",interpolar_alamb(E447,OFFSET(Curvas_cupon_cero!$A$1,1,0,COUNT(Curvas_cupon_cero!$A:$A)-2,1),OFFSET(Curvas_cupon_cero!$A$1,1,MATCH($B$7,Curvas_cupon_cero!$1:$1,0)-1,COUNT(Curvas_cupon_cero!$A:$A)-2,1)),interpolar(E447,OFFSET(Curvas_cupon_cero!$A$1,1,0,COUNT(Curvas_cupon_cero!$A:$A)-2,1),OFFSET(Curvas_cupon_cero!$A$1,1,MATCH($B$7,Curvas_cupon_cero!$1:$1,0)-1,COUNT(Curvas_cupon_cero!$A:$A)-2,1))))</f>
        <v/>
      </c>
      <c r="H447" s="19" t="str">
        <f t="shared" si="37"/>
        <v/>
      </c>
    </row>
    <row r="448" spans="1:8" x14ac:dyDescent="0.2">
      <c r="A448" s="12" t="str">
        <f t="shared" si="38"/>
        <v/>
      </c>
      <c r="B448" s="21" t="str">
        <f t="shared" si="39"/>
        <v/>
      </c>
      <c r="C448" s="17" t="str">
        <f t="shared" si="36"/>
        <v/>
      </c>
      <c r="D448" s="18" t="str">
        <f t="shared" si="40"/>
        <v/>
      </c>
      <c r="E448" t="str">
        <f t="shared" si="41"/>
        <v/>
      </c>
      <c r="F448" s="23" t="str">
        <f ca="1">IF(A448="","",IF($B$8="Sí",interpolar_alamb(E448,OFFSET(Curvas_cupon_cero!$A$1,1,0,COUNT(Curvas_cupon_cero!$A:$A)-2,1),OFFSET(Curvas_cupon_cero!$A$1,1,MATCH($B$6,Curvas_cupon_cero!$1:$1,0)-1,COUNT(Curvas_cupon_cero!$A:$A)-2,1)),interpolar(E448,OFFSET(Curvas_cupon_cero!$A$1,1,0,COUNT(Curvas_cupon_cero!$A:$A)-2,1),OFFSET(Curvas_cupon_cero!$A$1,1,MATCH($B$6,Curvas_cupon_cero!$1:$1,0)-1,COUNT(Curvas_cupon_cero!$A:$A)-2,1))))</f>
        <v/>
      </c>
      <c r="G448" s="23" t="str">
        <f ca="1">IF(A448="","",IF($B$8="Sí",interpolar_alamb(E448,OFFSET(Curvas_cupon_cero!$A$1,1,0,COUNT(Curvas_cupon_cero!$A:$A)-2,1),OFFSET(Curvas_cupon_cero!$A$1,1,MATCH($B$7,Curvas_cupon_cero!$1:$1,0)-1,COUNT(Curvas_cupon_cero!$A:$A)-2,1)),interpolar(E448,OFFSET(Curvas_cupon_cero!$A$1,1,0,COUNT(Curvas_cupon_cero!$A:$A)-2,1),OFFSET(Curvas_cupon_cero!$A$1,1,MATCH($B$7,Curvas_cupon_cero!$1:$1,0)-1,COUNT(Curvas_cupon_cero!$A:$A)-2,1))))</f>
        <v/>
      </c>
      <c r="H448" s="19" t="str">
        <f t="shared" si="37"/>
        <v/>
      </c>
    </row>
    <row r="449" spans="1:8" x14ac:dyDescent="0.2">
      <c r="A449" s="12" t="str">
        <f t="shared" si="38"/>
        <v/>
      </c>
      <c r="B449" s="21" t="str">
        <f t="shared" si="39"/>
        <v/>
      </c>
      <c r="C449" s="17" t="str">
        <f t="shared" si="36"/>
        <v/>
      </c>
      <c r="D449" s="18" t="str">
        <f t="shared" si="40"/>
        <v/>
      </c>
      <c r="E449" t="str">
        <f t="shared" si="41"/>
        <v/>
      </c>
      <c r="F449" s="23" t="str">
        <f ca="1">IF(A449="","",IF($B$8="Sí",interpolar_alamb(E449,OFFSET(Curvas_cupon_cero!$A$1,1,0,COUNT(Curvas_cupon_cero!$A:$A)-2,1),OFFSET(Curvas_cupon_cero!$A$1,1,MATCH($B$6,Curvas_cupon_cero!$1:$1,0)-1,COUNT(Curvas_cupon_cero!$A:$A)-2,1)),interpolar(E449,OFFSET(Curvas_cupon_cero!$A$1,1,0,COUNT(Curvas_cupon_cero!$A:$A)-2,1),OFFSET(Curvas_cupon_cero!$A$1,1,MATCH($B$6,Curvas_cupon_cero!$1:$1,0)-1,COUNT(Curvas_cupon_cero!$A:$A)-2,1))))</f>
        <v/>
      </c>
      <c r="G449" s="23" t="str">
        <f ca="1">IF(A449="","",IF($B$8="Sí",interpolar_alamb(E449,OFFSET(Curvas_cupon_cero!$A$1,1,0,COUNT(Curvas_cupon_cero!$A:$A)-2,1),OFFSET(Curvas_cupon_cero!$A$1,1,MATCH($B$7,Curvas_cupon_cero!$1:$1,0)-1,COUNT(Curvas_cupon_cero!$A:$A)-2,1)),interpolar(E449,OFFSET(Curvas_cupon_cero!$A$1,1,0,COUNT(Curvas_cupon_cero!$A:$A)-2,1),OFFSET(Curvas_cupon_cero!$A$1,1,MATCH($B$7,Curvas_cupon_cero!$1:$1,0)-1,COUNT(Curvas_cupon_cero!$A:$A)-2,1))))</f>
        <v/>
      </c>
      <c r="H449" s="19" t="str">
        <f t="shared" si="37"/>
        <v/>
      </c>
    </row>
    <row r="450" spans="1:8" x14ac:dyDescent="0.2">
      <c r="A450" s="12" t="str">
        <f t="shared" si="38"/>
        <v/>
      </c>
      <c r="B450" s="21" t="str">
        <f t="shared" si="39"/>
        <v/>
      </c>
      <c r="C450" s="17" t="str">
        <f t="shared" si="36"/>
        <v/>
      </c>
      <c r="D450" s="18" t="str">
        <f t="shared" si="40"/>
        <v/>
      </c>
      <c r="E450" t="str">
        <f t="shared" si="41"/>
        <v/>
      </c>
      <c r="F450" s="23" t="str">
        <f ca="1">IF(A450="","",IF($B$8="Sí",interpolar_alamb(E450,OFFSET(Curvas_cupon_cero!$A$1,1,0,COUNT(Curvas_cupon_cero!$A:$A)-2,1),OFFSET(Curvas_cupon_cero!$A$1,1,MATCH($B$6,Curvas_cupon_cero!$1:$1,0)-1,COUNT(Curvas_cupon_cero!$A:$A)-2,1)),interpolar(E450,OFFSET(Curvas_cupon_cero!$A$1,1,0,COUNT(Curvas_cupon_cero!$A:$A)-2,1),OFFSET(Curvas_cupon_cero!$A$1,1,MATCH($B$6,Curvas_cupon_cero!$1:$1,0)-1,COUNT(Curvas_cupon_cero!$A:$A)-2,1))))</f>
        <v/>
      </c>
      <c r="G450" s="23" t="str">
        <f ca="1">IF(A450="","",IF($B$8="Sí",interpolar_alamb(E450,OFFSET(Curvas_cupon_cero!$A$1,1,0,COUNT(Curvas_cupon_cero!$A:$A)-2,1),OFFSET(Curvas_cupon_cero!$A$1,1,MATCH($B$7,Curvas_cupon_cero!$1:$1,0)-1,COUNT(Curvas_cupon_cero!$A:$A)-2,1)),interpolar(E450,OFFSET(Curvas_cupon_cero!$A$1,1,0,COUNT(Curvas_cupon_cero!$A:$A)-2,1),OFFSET(Curvas_cupon_cero!$A$1,1,MATCH($B$7,Curvas_cupon_cero!$1:$1,0)-1,COUNT(Curvas_cupon_cero!$A:$A)-2,1))))</f>
        <v/>
      </c>
      <c r="H450" s="19" t="str">
        <f t="shared" si="37"/>
        <v/>
      </c>
    </row>
    <row r="451" spans="1:8" x14ac:dyDescent="0.2">
      <c r="A451" s="12" t="str">
        <f t="shared" si="38"/>
        <v/>
      </c>
      <c r="B451" s="21" t="str">
        <f t="shared" si="39"/>
        <v/>
      </c>
      <c r="C451" s="17" t="str">
        <f t="shared" si="36"/>
        <v/>
      </c>
      <c r="D451" s="18" t="str">
        <f t="shared" si="40"/>
        <v/>
      </c>
      <c r="E451" t="str">
        <f t="shared" si="41"/>
        <v/>
      </c>
      <c r="F451" s="23" t="str">
        <f ca="1">IF(A451="","",IF($B$8="Sí",interpolar_alamb(E451,OFFSET(Curvas_cupon_cero!$A$1,1,0,COUNT(Curvas_cupon_cero!$A:$A)-2,1),OFFSET(Curvas_cupon_cero!$A$1,1,MATCH($B$6,Curvas_cupon_cero!$1:$1,0)-1,COUNT(Curvas_cupon_cero!$A:$A)-2,1)),interpolar(E451,OFFSET(Curvas_cupon_cero!$A$1,1,0,COUNT(Curvas_cupon_cero!$A:$A)-2,1),OFFSET(Curvas_cupon_cero!$A$1,1,MATCH($B$6,Curvas_cupon_cero!$1:$1,0)-1,COUNT(Curvas_cupon_cero!$A:$A)-2,1))))</f>
        <v/>
      </c>
      <c r="G451" s="23" t="str">
        <f ca="1">IF(A451="","",IF($B$8="Sí",interpolar_alamb(E451,OFFSET(Curvas_cupon_cero!$A$1,1,0,COUNT(Curvas_cupon_cero!$A:$A)-2,1),OFFSET(Curvas_cupon_cero!$A$1,1,MATCH($B$7,Curvas_cupon_cero!$1:$1,0)-1,COUNT(Curvas_cupon_cero!$A:$A)-2,1)),interpolar(E451,OFFSET(Curvas_cupon_cero!$A$1,1,0,COUNT(Curvas_cupon_cero!$A:$A)-2,1),OFFSET(Curvas_cupon_cero!$A$1,1,MATCH($B$7,Curvas_cupon_cero!$1:$1,0)-1,COUNT(Curvas_cupon_cero!$A:$A)-2,1))))</f>
        <v/>
      </c>
      <c r="H451" s="19" t="str">
        <f t="shared" si="37"/>
        <v/>
      </c>
    </row>
    <row r="452" spans="1:8" x14ac:dyDescent="0.2">
      <c r="A452" s="12" t="str">
        <f t="shared" si="38"/>
        <v/>
      </c>
      <c r="B452" s="21" t="str">
        <f t="shared" si="39"/>
        <v/>
      </c>
      <c r="C452" s="17" t="str">
        <f t="shared" si="36"/>
        <v/>
      </c>
      <c r="D452" s="18" t="str">
        <f t="shared" si="40"/>
        <v/>
      </c>
      <c r="E452" t="str">
        <f t="shared" si="41"/>
        <v/>
      </c>
      <c r="F452" s="23" t="str">
        <f ca="1">IF(A452="","",IF($B$8="Sí",interpolar_alamb(E452,OFFSET(Curvas_cupon_cero!$A$1,1,0,COUNT(Curvas_cupon_cero!$A:$A)-2,1),OFFSET(Curvas_cupon_cero!$A$1,1,MATCH($B$6,Curvas_cupon_cero!$1:$1,0)-1,COUNT(Curvas_cupon_cero!$A:$A)-2,1)),interpolar(E452,OFFSET(Curvas_cupon_cero!$A$1,1,0,COUNT(Curvas_cupon_cero!$A:$A)-2,1),OFFSET(Curvas_cupon_cero!$A$1,1,MATCH($B$6,Curvas_cupon_cero!$1:$1,0)-1,COUNT(Curvas_cupon_cero!$A:$A)-2,1))))</f>
        <v/>
      </c>
      <c r="G452" s="23" t="str">
        <f ca="1">IF(A452="","",IF($B$8="Sí",interpolar_alamb(E452,OFFSET(Curvas_cupon_cero!$A$1,1,0,COUNT(Curvas_cupon_cero!$A:$A)-2,1),OFFSET(Curvas_cupon_cero!$A$1,1,MATCH($B$7,Curvas_cupon_cero!$1:$1,0)-1,COUNT(Curvas_cupon_cero!$A:$A)-2,1)),interpolar(E452,OFFSET(Curvas_cupon_cero!$A$1,1,0,COUNT(Curvas_cupon_cero!$A:$A)-2,1),OFFSET(Curvas_cupon_cero!$A$1,1,MATCH($B$7,Curvas_cupon_cero!$1:$1,0)-1,COUNT(Curvas_cupon_cero!$A:$A)-2,1))))</f>
        <v/>
      </c>
      <c r="H452" s="19" t="str">
        <f t="shared" si="37"/>
        <v/>
      </c>
    </row>
    <row r="453" spans="1:8" x14ac:dyDescent="0.2">
      <c r="A453" s="12" t="str">
        <f t="shared" si="38"/>
        <v/>
      </c>
      <c r="B453" s="21" t="str">
        <f t="shared" si="39"/>
        <v/>
      </c>
      <c r="C453" s="17" t="str">
        <f t="shared" si="36"/>
        <v/>
      </c>
      <c r="D453" s="18" t="str">
        <f t="shared" si="40"/>
        <v/>
      </c>
      <c r="E453" t="str">
        <f t="shared" si="41"/>
        <v/>
      </c>
      <c r="F453" s="23" t="str">
        <f ca="1">IF(A453="","",IF($B$8="Sí",interpolar_alamb(E453,OFFSET(Curvas_cupon_cero!$A$1,1,0,COUNT(Curvas_cupon_cero!$A:$A)-2,1),OFFSET(Curvas_cupon_cero!$A$1,1,MATCH($B$6,Curvas_cupon_cero!$1:$1,0)-1,COUNT(Curvas_cupon_cero!$A:$A)-2,1)),interpolar(E453,OFFSET(Curvas_cupon_cero!$A$1,1,0,COUNT(Curvas_cupon_cero!$A:$A)-2,1),OFFSET(Curvas_cupon_cero!$A$1,1,MATCH($B$6,Curvas_cupon_cero!$1:$1,0)-1,COUNT(Curvas_cupon_cero!$A:$A)-2,1))))</f>
        <v/>
      </c>
      <c r="G453" s="23" t="str">
        <f ca="1">IF(A453="","",IF($B$8="Sí",interpolar_alamb(E453,OFFSET(Curvas_cupon_cero!$A$1,1,0,COUNT(Curvas_cupon_cero!$A:$A)-2,1),OFFSET(Curvas_cupon_cero!$A$1,1,MATCH($B$7,Curvas_cupon_cero!$1:$1,0)-1,COUNT(Curvas_cupon_cero!$A:$A)-2,1)),interpolar(E453,OFFSET(Curvas_cupon_cero!$A$1,1,0,COUNT(Curvas_cupon_cero!$A:$A)-2,1),OFFSET(Curvas_cupon_cero!$A$1,1,MATCH($B$7,Curvas_cupon_cero!$1:$1,0)-1,COUNT(Curvas_cupon_cero!$A:$A)-2,1))))</f>
        <v/>
      </c>
      <c r="H453" s="19" t="str">
        <f t="shared" si="37"/>
        <v/>
      </c>
    </row>
    <row r="454" spans="1:8" x14ac:dyDescent="0.2">
      <c r="A454" s="12" t="str">
        <f t="shared" si="38"/>
        <v/>
      </c>
      <c r="B454" s="21" t="str">
        <f t="shared" si="39"/>
        <v/>
      </c>
      <c r="C454" s="17" t="str">
        <f t="shared" si="36"/>
        <v/>
      </c>
      <c r="D454" s="18" t="str">
        <f t="shared" si="40"/>
        <v/>
      </c>
      <c r="E454" t="str">
        <f t="shared" si="41"/>
        <v/>
      </c>
      <c r="F454" s="23" t="str">
        <f ca="1">IF(A454="","",IF($B$8="Sí",interpolar_alamb(E454,OFFSET(Curvas_cupon_cero!$A$1,1,0,COUNT(Curvas_cupon_cero!$A:$A)-2,1),OFFSET(Curvas_cupon_cero!$A$1,1,MATCH($B$6,Curvas_cupon_cero!$1:$1,0)-1,COUNT(Curvas_cupon_cero!$A:$A)-2,1)),interpolar(E454,OFFSET(Curvas_cupon_cero!$A$1,1,0,COUNT(Curvas_cupon_cero!$A:$A)-2,1),OFFSET(Curvas_cupon_cero!$A$1,1,MATCH($B$6,Curvas_cupon_cero!$1:$1,0)-1,COUNT(Curvas_cupon_cero!$A:$A)-2,1))))</f>
        <v/>
      </c>
      <c r="G454" s="23" t="str">
        <f ca="1">IF(A454="","",IF($B$8="Sí",interpolar_alamb(E454,OFFSET(Curvas_cupon_cero!$A$1,1,0,COUNT(Curvas_cupon_cero!$A:$A)-2,1),OFFSET(Curvas_cupon_cero!$A$1,1,MATCH($B$7,Curvas_cupon_cero!$1:$1,0)-1,COUNT(Curvas_cupon_cero!$A:$A)-2,1)),interpolar(E454,OFFSET(Curvas_cupon_cero!$A$1,1,0,COUNT(Curvas_cupon_cero!$A:$A)-2,1),OFFSET(Curvas_cupon_cero!$A$1,1,MATCH($B$7,Curvas_cupon_cero!$1:$1,0)-1,COUNT(Curvas_cupon_cero!$A:$A)-2,1))))</f>
        <v/>
      </c>
      <c r="H454" s="19" t="str">
        <f t="shared" si="37"/>
        <v/>
      </c>
    </row>
    <row r="455" spans="1:8" x14ac:dyDescent="0.2">
      <c r="A455" s="12" t="str">
        <f t="shared" si="38"/>
        <v/>
      </c>
      <c r="B455" s="21" t="str">
        <f t="shared" si="39"/>
        <v/>
      </c>
      <c r="C455" s="17" t="str">
        <f t="shared" si="36"/>
        <v/>
      </c>
      <c r="D455" s="18" t="str">
        <f t="shared" si="40"/>
        <v/>
      </c>
      <c r="E455" t="str">
        <f t="shared" si="41"/>
        <v/>
      </c>
      <c r="F455" s="23" t="str">
        <f ca="1">IF(A455="","",IF($B$8="Sí",interpolar_alamb(E455,OFFSET(Curvas_cupon_cero!$A$1,1,0,COUNT(Curvas_cupon_cero!$A:$A)-2,1),OFFSET(Curvas_cupon_cero!$A$1,1,MATCH($B$6,Curvas_cupon_cero!$1:$1,0)-1,COUNT(Curvas_cupon_cero!$A:$A)-2,1)),interpolar(E455,OFFSET(Curvas_cupon_cero!$A$1,1,0,COUNT(Curvas_cupon_cero!$A:$A)-2,1),OFFSET(Curvas_cupon_cero!$A$1,1,MATCH($B$6,Curvas_cupon_cero!$1:$1,0)-1,COUNT(Curvas_cupon_cero!$A:$A)-2,1))))</f>
        <v/>
      </c>
      <c r="G455" s="23" t="str">
        <f ca="1">IF(A455="","",IF($B$8="Sí",interpolar_alamb(E455,OFFSET(Curvas_cupon_cero!$A$1,1,0,COUNT(Curvas_cupon_cero!$A:$A)-2,1),OFFSET(Curvas_cupon_cero!$A$1,1,MATCH($B$7,Curvas_cupon_cero!$1:$1,0)-1,COUNT(Curvas_cupon_cero!$A:$A)-2,1)),interpolar(E455,OFFSET(Curvas_cupon_cero!$A$1,1,0,COUNT(Curvas_cupon_cero!$A:$A)-2,1),OFFSET(Curvas_cupon_cero!$A$1,1,MATCH($B$7,Curvas_cupon_cero!$1:$1,0)-1,COUNT(Curvas_cupon_cero!$A:$A)-2,1))))</f>
        <v/>
      </c>
      <c r="H455" s="19" t="str">
        <f t="shared" si="37"/>
        <v/>
      </c>
    </row>
    <row r="456" spans="1:8" x14ac:dyDescent="0.2">
      <c r="A456" s="12" t="str">
        <f t="shared" si="38"/>
        <v/>
      </c>
      <c r="B456" s="21" t="str">
        <f t="shared" si="39"/>
        <v/>
      </c>
      <c r="C456" s="17" t="str">
        <f t="shared" si="36"/>
        <v/>
      </c>
      <c r="D456" s="18" t="str">
        <f t="shared" si="40"/>
        <v/>
      </c>
      <c r="E456" t="str">
        <f t="shared" si="41"/>
        <v/>
      </c>
      <c r="F456" s="23" t="str">
        <f ca="1">IF(A456="","",IF($B$8="Sí",interpolar_alamb(E456,OFFSET(Curvas_cupon_cero!$A$1,1,0,COUNT(Curvas_cupon_cero!$A:$A)-2,1),OFFSET(Curvas_cupon_cero!$A$1,1,MATCH($B$6,Curvas_cupon_cero!$1:$1,0)-1,COUNT(Curvas_cupon_cero!$A:$A)-2,1)),interpolar(E456,OFFSET(Curvas_cupon_cero!$A$1,1,0,COUNT(Curvas_cupon_cero!$A:$A)-2,1),OFFSET(Curvas_cupon_cero!$A$1,1,MATCH($B$6,Curvas_cupon_cero!$1:$1,0)-1,COUNT(Curvas_cupon_cero!$A:$A)-2,1))))</f>
        <v/>
      </c>
      <c r="G456" s="23" t="str">
        <f ca="1">IF(A456="","",IF($B$8="Sí",interpolar_alamb(E456,OFFSET(Curvas_cupon_cero!$A$1,1,0,COUNT(Curvas_cupon_cero!$A:$A)-2,1),OFFSET(Curvas_cupon_cero!$A$1,1,MATCH($B$7,Curvas_cupon_cero!$1:$1,0)-1,COUNT(Curvas_cupon_cero!$A:$A)-2,1)),interpolar(E456,OFFSET(Curvas_cupon_cero!$A$1,1,0,COUNT(Curvas_cupon_cero!$A:$A)-2,1),OFFSET(Curvas_cupon_cero!$A$1,1,MATCH($B$7,Curvas_cupon_cero!$1:$1,0)-1,COUNT(Curvas_cupon_cero!$A:$A)-2,1))))</f>
        <v/>
      </c>
      <c r="H456" s="19" t="str">
        <f t="shared" si="37"/>
        <v/>
      </c>
    </row>
    <row r="457" spans="1:8" x14ac:dyDescent="0.2">
      <c r="A457" s="12" t="str">
        <f t="shared" si="38"/>
        <v/>
      </c>
      <c r="B457" s="21" t="str">
        <f t="shared" si="39"/>
        <v/>
      </c>
      <c r="C457" s="17" t="str">
        <f t="shared" si="36"/>
        <v/>
      </c>
      <c r="D457" s="18" t="str">
        <f t="shared" si="40"/>
        <v/>
      </c>
      <c r="E457" t="str">
        <f t="shared" si="41"/>
        <v/>
      </c>
      <c r="F457" s="23" t="str">
        <f ca="1">IF(A457="","",IF($B$8="Sí",interpolar_alamb(E457,OFFSET(Curvas_cupon_cero!$A$1,1,0,COUNT(Curvas_cupon_cero!$A:$A)-2,1),OFFSET(Curvas_cupon_cero!$A$1,1,MATCH($B$6,Curvas_cupon_cero!$1:$1,0)-1,COUNT(Curvas_cupon_cero!$A:$A)-2,1)),interpolar(E457,OFFSET(Curvas_cupon_cero!$A$1,1,0,COUNT(Curvas_cupon_cero!$A:$A)-2,1),OFFSET(Curvas_cupon_cero!$A$1,1,MATCH($B$6,Curvas_cupon_cero!$1:$1,0)-1,COUNT(Curvas_cupon_cero!$A:$A)-2,1))))</f>
        <v/>
      </c>
      <c r="G457" s="23" t="str">
        <f ca="1">IF(A457="","",IF($B$8="Sí",interpolar_alamb(E457,OFFSET(Curvas_cupon_cero!$A$1,1,0,COUNT(Curvas_cupon_cero!$A:$A)-2,1),OFFSET(Curvas_cupon_cero!$A$1,1,MATCH($B$7,Curvas_cupon_cero!$1:$1,0)-1,COUNT(Curvas_cupon_cero!$A:$A)-2,1)),interpolar(E457,OFFSET(Curvas_cupon_cero!$A$1,1,0,COUNT(Curvas_cupon_cero!$A:$A)-2,1),OFFSET(Curvas_cupon_cero!$A$1,1,MATCH($B$7,Curvas_cupon_cero!$1:$1,0)-1,COUNT(Curvas_cupon_cero!$A:$A)-2,1))))</f>
        <v/>
      </c>
      <c r="H457" s="19" t="str">
        <f t="shared" si="37"/>
        <v/>
      </c>
    </row>
    <row r="458" spans="1:8" x14ac:dyDescent="0.2">
      <c r="A458" s="12" t="str">
        <f t="shared" si="38"/>
        <v/>
      </c>
      <c r="B458" s="21" t="str">
        <f t="shared" si="39"/>
        <v/>
      </c>
      <c r="C458" s="17" t="str">
        <f t="shared" si="36"/>
        <v/>
      </c>
      <c r="D458" s="18" t="str">
        <f t="shared" si="40"/>
        <v/>
      </c>
      <c r="E458" t="str">
        <f t="shared" si="41"/>
        <v/>
      </c>
      <c r="F458" s="23" t="str">
        <f ca="1">IF(A458="","",IF($B$8="Sí",interpolar_alamb(E458,OFFSET(Curvas_cupon_cero!$A$1,1,0,COUNT(Curvas_cupon_cero!$A:$A)-2,1),OFFSET(Curvas_cupon_cero!$A$1,1,MATCH($B$6,Curvas_cupon_cero!$1:$1,0)-1,COUNT(Curvas_cupon_cero!$A:$A)-2,1)),interpolar(E458,OFFSET(Curvas_cupon_cero!$A$1,1,0,COUNT(Curvas_cupon_cero!$A:$A)-2,1),OFFSET(Curvas_cupon_cero!$A$1,1,MATCH($B$6,Curvas_cupon_cero!$1:$1,0)-1,COUNT(Curvas_cupon_cero!$A:$A)-2,1))))</f>
        <v/>
      </c>
      <c r="G458" s="23" t="str">
        <f ca="1">IF(A458="","",IF($B$8="Sí",interpolar_alamb(E458,OFFSET(Curvas_cupon_cero!$A$1,1,0,COUNT(Curvas_cupon_cero!$A:$A)-2,1),OFFSET(Curvas_cupon_cero!$A$1,1,MATCH($B$7,Curvas_cupon_cero!$1:$1,0)-1,COUNT(Curvas_cupon_cero!$A:$A)-2,1)),interpolar(E458,OFFSET(Curvas_cupon_cero!$A$1,1,0,COUNT(Curvas_cupon_cero!$A:$A)-2,1),OFFSET(Curvas_cupon_cero!$A$1,1,MATCH($B$7,Curvas_cupon_cero!$1:$1,0)-1,COUNT(Curvas_cupon_cero!$A:$A)-2,1))))</f>
        <v/>
      </c>
      <c r="H458" s="19" t="str">
        <f t="shared" si="37"/>
        <v/>
      </c>
    </row>
    <row r="459" spans="1:8" x14ac:dyDescent="0.2">
      <c r="A459" s="12" t="str">
        <f t="shared" si="38"/>
        <v/>
      </c>
      <c r="B459" s="21" t="str">
        <f t="shared" si="39"/>
        <v/>
      </c>
      <c r="C459" s="17" t="str">
        <f t="shared" si="36"/>
        <v/>
      </c>
      <c r="D459" s="18" t="str">
        <f t="shared" si="40"/>
        <v/>
      </c>
      <c r="E459" t="str">
        <f t="shared" si="41"/>
        <v/>
      </c>
      <c r="F459" s="23" t="str">
        <f ca="1">IF(A459="","",IF($B$8="Sí",interpolar_alamb(E459,OFFSET(Curvas_cupon_cero!$A$1,1,0,COUNT(Curvas_cupon_cero!$A:$A)-2,1),OFFSET(Curvas_cupon_cero!$A$1,1,MATCH($B$6,Curvas_cupon_cero!$1:$1,0)-1,COUNT(Curvas_cupon_cero!$A:$A)-2,1)),interpolar(E459,OFFSET(Curvas_cupon_cero!$A$1,1,0,COUNT(Curvas_cupon_cero!$A:$A)-2,1),OFFSET(Curvas_cupon_cero!$A$1,1,MATCH($B$6,Curvas_cupon_cero!$1:$1,0)-1,COUNT(Curvas_cupon_cero!$A:$A)-2,1))))</f>
        <v/>
      </c>
      <c r="G459" s="23" t="str">
        <f ca="1">IF(A459="","",IF($B$8="Sí",interpolar_alamb(E459,OFFSET(Curvas_cupon_cero!$A$1,1,0,COUNT(Curvas_cupon_cero!$A:$A)-2,1),OFFSET(Curvas_cupon_cero!$A$1,1,MATCH($B$7,Curvas_cupon_cero!$1:$1,0)-1,COUNT(Curvas_cupon_cero!$A:$A)-2,1)),interpolar(E459,OFFSET(Curvas_cupon_cero!$A$1,1,0,COUNT(Curvas_cupon_cero!$A:$A)-2,1),OFFSET(Curvas_cupon_cero!$A$1,1,MATCH($B$7,Curvas_cupon_cero!$1:$1,0)-1,COUNT(Curvas_cupon_cero!$A:$A)-2,1))))</f>
        <v/>
      </c>
      <c r="H459" s="19" t="str">
        <f t="shared" si="37"/>
        <v/>
      </c>
    </row>
    <row r="460" spans="1:8" x14ac:dyDescent="0.2">
      <c r="A460" s="12" t="str">
        <f t="shared" si="38"/>
        <v/>
      </c>
      <c r="B460" s="21" t="str">
        <f t="shared" si="39"/>
        <v/>
      </c>
      <c r="C460" s="17" t="str">
        <f t="shared" si="36"/>
        <v/>
      </c>
      <c r="D460" s="18" t="str">
        <f t="shared" si="40"/>
        <v/>
      </c>
      <c r="E460" t="str">
        <f t="shared" si="41"/>
        <v/>
      </c>
      <c r="F460" s="23" t="str">
        <f ca="1">IF(A460="","",IF($B$8="Sí",interpolar_alamb(E460,OFFSET(Curvas_cupon_cero!$A$1,1,0,COUNT(Curvas_cupon_cero!$A:$A)-2,1),OFFSET(Curvas_cupon_cero!$A$1,1,MATCH($B$6,Curvas_cupon_cero!$1:$1,0)-1,COUNT(Curvas_cupon_cero!$A:$A)-2,1)),interpolar(E460,OFFSET(Curvas_cupon_cero!$A$1,1,0,COUNT(Curvas_cupon_cero!$A:$A)-2,1),OFFSET(Curvas_cupon_cero!$A$1,1,MATCH($B$6,Curvas_cupon_cero!$1:$1,0)-1,COUNT(Curvas_cupon_cero!$A:$A)-2,1))))</f>
        <v/>
      </c>
      <c r="G460" s="23" t="str">
        <f ca="1">IF(A460="","",IF($B$8="Sí",interpolar_alamb(E460,OFFSET(Curvas_cupon_cero!$A$1,1,0,COUNT(Curvas_cupon_cero!$A:$A)-2,1),OFFSET(Curvas_cupon_cero!$A$1,1,MATCH($B$7,Curvas_cupon_cero!$1:$1,0)-1,COUNT(Curvas_cupon_cero!$A:$A)-2,1)),interpolar(E460,OFFSET(Curvas_cupon_cero!$A$1,1,0,COUNT(Curvas_cupon_cero!$A:$A)-2,1),OFFSET(Curvas_cupon_cero!$A$1,1,MATCH($B$7,Curvas_cupon_cero!$1:$1,0)-1,COUNT(Curvas_cupon_cero!$A:$A)-2,1))))</f>
        <v/>
      </c>
      <c r="H460" s="19" t="str">
        <f t="shared" si="37"/>
        <v/>
      </c>
    </row>
    <row r="461" spans="1:8" x14ac:dyDescent="0.2">
      <c r="A461" s="12" t="str">
        <f t="shared" si="38"/>
        <v/>
      </c>
      <c r="B461" s="21" t="str">
        <f t="shared" si="39"/>
        <v/>
      </c>
      <c r="C461" s="17" t="str">
        <f t="shared" si="36"/>
        <v/>
      </c>
      <c r="D461" s="18" t="str">
        <f t="shared" si="40"/>
        <v/>
      </c>
      <c r="E461" t="str">
        <f t="shared" si="41"/>
        <v/>
      </c>
      <c r="F461" s="23" t="str">
        <f ca="1">IF(A461="","",IF($B$8="Sí",interpolar_alamb(E461,OFFSET(Curvas_cupon_cero!$A$1,1,0,COUNT(Curvas_cupon_cero!$A:$A)-2,1),OFFSET(Curvas_cupon_cero!$A$1,1,MATCH($B$6,Curvas_cupon_cero!$1:$1,0)-1,COUNT(Curvas_cupon_cero!$A:$A)-2,1)),interpolar(E461,OFFSET(Curvas_cupon_cero!$A$1,1,0,COUNT(Curvas_cupon_cero!$A:$A)-2,1),OFFSET(Curvas_cupon_cero!$A$1,1,MATCH($B$6,Curvas_cupon_cero!$1:$1,0)-1,COUNT(Curvas_cupon_cero!$A:$A)-2,1))))</f>
        <v/>
      </c>
      <c r="G461" s="23" t="str">
        <f ca="1">IF(A461="","",IF($B$8="Sí",interpolar_alamb(E461,OFFSET(Curvas_cupon_cero!$A$1,1,0,COUNT(Curvas_cupon_cero!$A:$A)-2,1),OFFSET(Curvas_cupon_cero!$A$1,1,MATCH($B$7,Curvas_cupon_cero!$1:$1,0)-1,COUNT(Curvas_cupon_cero!$A:$A)-2,1)),interpolar(E461,OFFSET(Curvas_cupon_cero!$A$1,1,0,COUNT(Curvas_cupon_cero!$A:$A)-2,1),OFFSET(Curvas_cupon_cero!$A$1,1,MATCH($B$7,Curvas_cupon_cero!$1:$1,0)-1,COUNT(Curvas_cupon_cero!$A:$A)-2,1))))</f>
        <v/>
      </c>
      <c r="H461" s="19" t="str">
        <f t="shared" si="37"/>
        <v/>
      </c>
    </row>
    <row r="462" spans="1:8" x14ac:dyDescent="0.2">
      <c r="A462" s="12" t="str">
        <f t="shared" si="38"/>
        <v/>
      </c>
      <c r="B462" s="21" t="str">
        <f t="shared" si="39"/>
        <v/>
      </c>
      <c r="C462" s="17" t="str">
        <f t="shared" si="36"/>
        <v/>
      </c>
      <c r="D462" s="18" t="str">
        <f t="shared" si="40"/>
        <v/>
      </c>
      <c r="E462" t="str">
        <f t="shared" si="41"/>
        <v/>
      </c>
      <c r="F462" s="23" t="str">
        <f ca="1">IF(A462="","",IF($B$8="Sí",interpolar_alamb(E462,OFFSET(Curvas_cupon_cero!$A$1,1,0,COUNT(Curvas_cupon_cero!$A:$A)-2,1),OFFSET(Curvas_cupon_cero!$A$1,1,MATCH($B$6,Curvas_cupon_cero!$1:$1,0)-1,COUNT(Curvas_cupon_cero!$A:$A)-2,1)),interpolar(E462,OFFSET(Curvas_cupon_cero!$A$1,1,0,COUNT(Curvas_cupon_cero!$A:$A)-2,1),OFFSET(Curvas_cupon_cero!$A$1,1,MATCH($B$6,Curvas_cupon_cero!$1:$1,0)-1,COUNT(Curvas_cupon_cero!$A:$A)-2,1))))</f>
        <v/>
      </c>
      <c r="G462" s="23" t="str">
        <f ca="1">IF(A462="","",IF($B$8="Sí",interpolar_alamb(E462,OFFSET(Curvas_cupon_cero!$A$1,1,0,COUNT(Curvas_cupon_cero!$A:$A)-2,1),OFFSET(Curvas_cupon_cero!$A$1,1,MATCH($B$7,Curvas_cupon_cero!$1:$1,0)-1,COUNT(Curvas_cupon_cero!$A:$A)-2,1)),interpolar(E462,OFFSET(Curvas_cupon_cero!$A$1,1,0,COUNT(Curvas_cupon_cero!$A:$A)-2,1),OFFSET(Curvas_cupon_cero!$A$1,1,MATCH($B$7,Curvas_cupon_cero!$1:$1,0)-1,COUNT(Curvas_cupon_cero!$A:$A)-2,1))))</f>
        <v/>
      </c>
      <c r="H462" s="19" t="str">
        <f t="shared" si="37"/>
        <v/>
      </c>
    </row>
    <row r="463" spans="1:8" x14ac:dyDescent="0.2">
      <c r="A463" s="12" t="str">
        <f t="shared" si="38"/>
        <v/>
      </c>
      <c r="B463" s="21" t="str">
        <f t="shared" si="39"/>
        <v/>
      </c>
      <c r="C463" s="17" t="str">
        <f t="shared" si="36"/>
        <v/>
      </c>
      <c r="D463" s="18" t="str">
        <f t="shared" si="40"/>
        <v/>
      </c>
      <c r="E463" t="str">
        <f t="shared" si="41"/>
        <v/>
      </c>
      <c r="F463" s="23" t="str">
        <f ca="1">IF(A463="","",IF($B$8="Sí",interpolar_alamb(E463,OFFSET(Curvas_cupon_cero!$A$1,1,0,COUNT(Curvas_cupon_cero!$A:$A)-2,1),OFFSET(Curvas_cupon_cero!$A$1,1,MATCH($B$6,Curvas_cupon_cero!$1:$1,0)-1,COUNT(Curvas_cupon_cero!$A:$A)-2,1)),interpolar(E463,OFFSET(Curvas_cupon_cero!$A$1,1,0,COUNT(Curvas_cupon_cero!$A:$A)-2,1),OFFSET(Curvas_cupon_cero!$A$1,1,MATCH($B$6,Curvas_cupon_cero!$1:$1,0)-1,COUNT(Curvas_cupon_cero!$A:$A)-2,1))))</f>
        <v/>
      </c>
      <c r="G463" s="23" t="str">
        <f ca="1">IF(A463="","",IF($B$8="Sí",interpolar_alamb(E463,OFFSET(Curvas_cupon_cero!$A$1,1,0,COUNT(Curvas_cupon_cero!$A:$A)-2,1),OFFSET(Curvas_cupon_cero!$A$1,1,MATCH($B$7,Curvas_cupon_cero!$1:$1,0)-1,COUNT(Curvas_cupon_cero!$A:$A)-2,1)),interpolar(E463,OFFSET(Curvas_cupon_cero!$A$1,1,0,COUNT(Curvas_cupon_cero!$A:$A)-2,1),OFFSET(Curvas_cupon_cero!$A$1,1,MATCH($B$7,Curvas_cupon_cero!$1:$1,0)-1,COUNT(Curvas_cupon_cero!$A:$A)-2,1))))</f>
        <v/>
      </c>
      <c r="H463" s="19" t="str">
        <f t="shared" si="37"/>
        <v/>
      </c>
    </row>
    <row r="464" spans="1:8" x14ac:dyDescent="0.2">
      <c r="A464" s="12" t="str">
        <f t="shared" si="38"/>
        <v/>
      </c>
      <c r="B464" s="21" t="str">
        <f t="shared" si="39"/>
        <v/>
      </c>
      <c r="C464" s="17" t="str">
        <f t="shared" ref="C464:C527" si="42">IF(A464="","",IF(A464=$B$4,$B$1*$B$2+$B$1*$B$5/360*$B$2*B464, $B$1*$B$5/360*$B$2*B464))</f>
        <v/>
      </c>
      <c r="D464" s="18" t="str">
        <f t="shared" si="40"/>
        <v/>
      </c>
      <c r="E464" t="str">
        <f t="shared" si="41"/>
        <v/>
      </c>
      <c r="F464" s="23" t="str">
        <f ca="1">IF(A464="","",IF($B$8="Sí",interpolar_alamb(E464,OFFSET(Curvas_cupon_cero!$A$1,1,0,COUNT(Curvas_cupon_cero!$A:$A)-2,1),OFFSET(Curvas_cupon_cero!$A$1,1,MATCH($B$6,Curvas_cupon_cero!$1:$1,0)-1,COUNT(Curvas_cupon_cero!$A:$A)-2,1)),interpolar(E464,OFFSET(Curvas_cupon_cero!$A$1,1,0,COUNT(Curvas_cupon_cero!$A:$A)-2,1),OFFSET(Curvas_cupon_cero!$A$1,1,MATCH($B$6,Curvas_cupon_cero!$1:$1,0)-1,COUNT(Curvas_cupon_cero!$A:$A)-2,1))))</f>
        <v/>
      </c>
      <c r="G464" s="23" t="str">
        <f ca="1">IF(A464="","",IF($B$8="Sí",interpolar_alamb(E464,OFFSET(Curvas_cupon_cero!$A$1,1,0,COUNT(Curvas_cupon_cero!$A:$A)-2,1),OFFSET(Curvas_cupon_cero!$A$1,1,MATCH($B$7,Curvas_cupon_cero!$1:$1,0)-1,COUNT(Curvas_cupon_cero!$A:$A)-2,1)),interpolar(E464,OFFSET(Curvas_cupon_cero!$A$1,1,0,COUNT(Curvas_cupon_cero!$A:$A)-2,1),OFFSET(Curvas_cupon_cero!$A$1,1,MATCH($B$7,Curvas_cupon_cero!$1:$1,0)-1,COUNT(Curvas_cupon_cero!$A:$A)-2,1))))</f>
        <v/>
      </c>
      <c r="H464" s="19" t="str">
        <f t="shared" ref="H464:H527" si="43">IF(A464="","",C464/(1+(F464+G464)*E464/360))</f>
        <v/>
      </c>
    </row>
    <row r="465" spans="1:8" x14ac:dyDescent="0.2">
      <c r="A465" s="12" t="str">
        <f t="shared" ref="A465:A528" si="44">IF(A464="","",IF((A464+$B$5)&gt;$B$4,"",(A464+$B$5)))</f>
        <v/>
      </c>
      <c r="B465" s="21" t="str">
        <f t="shared" ref="B465:B528" si="45">IF(A465="","",((1+$B$9/360)^$B$5-1)*360/$B$5)</f>
        <v/>
      </c>
      <c r="C465" s="17" t="str">
        <f t="shared" si="42"/>
        <v/>
      </c>
      <c r="D465" s="18" t="str">
        <f t="shared" ref="D465:D528" si="46">IF(A465="","",$B$5)</f>
        <v/>
      </c>
      <c r="E465" t="str">
        <f t="shared" ref="E465:E528" si="47">IF(A465="","",E464+D465)</f>
        <v/>
      </c>
      <c r="F465" s="23" t="str">
        <f ca="1">IF(A465="","",IF($B$8="Sí",interpolar_alamb(E465,OFFSET(Curvas_cupon_cero!$A$1,1,0,COUNT(Curvas_cupon_cero!$A:$A)-2,1),OFFSET(Curvas_cupon_cero!$A$1,1,MATCH($B$6,Curvas_cupon_cero!$1:$1,0)-1,COUNT(Curvas_cupon_cero!$A:$A)-2,1)),interpolar(E465,OFFSET(Curvas_cupon_cero!$A$1,1,0,COUNT(Curvas_cupon_cero!$A:$A)-2,1),OFFSET(Curvas_cupon_cero!$A$1,1,MATCH($B$6,Curvas_cupon_cero!$1:$1,0)-1,COUNT(Curvas_cupon_cero!$A:$A)-2,1))))</f>
        <v/>
      </c>
      <c r="G465" s="23" t="str">
        <f ca="1">IF(A465="","",IF($B$8="Sí",interpolar_alamb(E465,OFFSET(Curvas_cupon_cero!$A$1,1,0,COUNT(Curvas_cupon_cero!$A:$A)-2,1),OFFSET(Curvas_cupon_cero!$A$1,1,MATCH($B$7,Curvas_cupon_cero!$1:$1,0)-1,COUNT(Curvas_cupon_cero!$A:$A)-2,1)),interpolar(E465,OFFSET(Curvas_cupon_cero!$A$1,1,0,COUNT(Curvas_cupon_cero!$A:$A)-2,1),OFFSET(Curvas_cupon_cero!$A$1,1,MATCH($B$7,Curvas_cupon_cero!$1:$1,0)-1,COUNT(Curvas_cupon_cero!$A:$A)-2,1))))</f>
        <v/>
      </c>
      <c r="H465" s="19" t="str">
        <f t="shared" si="43"/>
        <v/>
      </c>
    </row>
    <row r="466" spans="1:8" x14ac:dyDescent="0.2">
      <c r="A466" s="12" t="str">
        <f t="shared" si="44"/>
        <v/>
      </c>
      <c r="B466" s="21" t="str">
        <f t="shared" si="45"/>
        <v/>
      </c>
      <c r="C466" s="17" t="str">
        <f t="shared" si="42"/>
        <v/>
      </c>
      <c r="D466" s="18" t="str">
        <f t="shared" si="46"/>
        <v/>
      </c>
      <c r="E466" t="str">
        <f t="shared" si="47"/>
        <v/>
      </c>
      <c r="F466" s="23" t="str">
        <f ca="1">IF(A466="","",IF($B$8="Sí",interpolar_alamb(E466,OFFSET(Curvas_cupon_cero!$A$1,1,0,COUNT(Curvas_cupon_cero!$A:$A)-2,1),OFFSET(Curvas_cupon_cero!$A$1,1,MATCH($B$6,Curvas_cupon_cero!$1:$1,0)-1,COUNT(Curvas_cupon_cero!$A:$A)-2,1)),interpolar(E466,OFFSET(Curvas_cupon_cero!$A$1,1,0,COUNT(Curvas_cupon_cero!$A:$A)-2,1),OFFSET(Curvas_cupon_cero!$A$1,1,MATCH($B$6,Curvas_cupon_cero!$1:$1,0)-1,COUNT(Curvas_cupon_cero!$A:$A)-2,1))))</f>
        <v/>
      </c>
      <c r="G466" s="23" t="str">
        <f ca="1">IF(A466="","",IF($B$8="Sí",interpolar_alamb(E466,OFFSET(Curvas_cupon_cero!$A$1,1,0,COUNT(Curvas_cupon_cero!$A:$A)-2,1),OFFSET(Curvas_cupon_cero!$A$1,1,MATCH($B$7,Curvas_cupon_cero!$1:$1,0)-1,COUNT(Curvas_cupon_cero!$A:$A)-2,1)),interpolar(E466,OFFSET(Curvas_cupon_cero!$A$1,1,0,COUNT(Curvas_cupon_cero!$A:$A)-2,1),OFFSET(Curvas_cupon_cero!$A$1,1,MATCH($B$7,Curvas_cupon_cero!$1:$1,0)-1,COUNT(Curvas_cupon_cero!$A:$A)-2,1))))</f>
        <v/>
      </c>
      <c r="H466" s="19" t="str">
        <f t="shared" si="43"/>
        <v/>
      </c>
    </row>
    <row r="467" spans="1:8" x14ac:dyDescent="0.2">
      <c r="A467" s="12" t="str">
        <f t="shared" si="44"/>
        <v/>
      </c>
      <c r="B467" s="21" t="str">
        <f t="shared" si="45"/>
        <v/>
      </c>
      <c r="C467" s="17" t="str">
        <f t="shared" si="42"/>
        <v/>
      </c>
      <c r="D467" s="18" t="str">
        <f t="shared" si="46"/>
        <v/>
      </c>
      <c r="E467" t="str">
        <f t="shared" si="47"/>
        <v/>
      </c>
      <c r="F467" s="23" t="str">
        <f ca="1">IF(A467="","",IF($B$8="Sí",interpolar_alamb(E467,OFFSET(Curvas_cupon_cero!$A$1,1,0,COUNT(Curvas_cupon_cero!$A:$A)-2,1),OFFSET(Curvas_cupon_cero!$A$1,1,MATCH($B$6,Curvas_cupon_cero!$1:$1,0)-1,COUNT(Curvas_cupon_cero!$A:$A)-2,1)),interpolar(E467,OFFSET(Curvas_cupon_cero!$A$1,1,0,COUNT(Curvas_cupon_cero!$A:$A)-2,1),OFFSET(Curvas_cupon_cero!$A$1,1,MATCH($B$6,Curvas_cupon_cero!$1:$1,0)-1,COUNT(Curvas_cupon_cero!$A:$A)-2,1))))</f>
        <v/>
      </c>
      <c r="G467" s="23" t="str">
        <f ca="1">IF(A467="","",IF($B$8="Sí",interpolar_alamb(E467,OFFSET(Curvas_cupon_cero!$A$1,1,0,COUNT(Curvas_cupon_cero!$A:$A)-2,1),OFFSET(Curvas_cupon_cero!$A$1,1,MATCH($B$7,Curvas_cupon_cero!$1:$1,0)-1,COUNT(Curvas_cupon_cero!$A:$A)-2,1)),interpolar(E467,OFFSET(Curvas_cupon_cero!$A$1,1,0,COUNT(Curvas_cupon_cero!$A:$A)-2,1),OFFSET(Curvas_cupon_cero!$A$1,1,MATCH($B$7,Curvas_cupon_cero!$1:$1,0)-1,COUNT(Curvas_cupon_cero!$A:$A)-2,1))))</f>
        <v/>
      </c>
      <c r="H467" s="19" t="str">
        <f t="shared" si="43"/>
        <v/>
      </c>
    </row>
    <row r="468" spans="1:8" x14ac:dyDescent="0.2">
      <c r="A468" s="12" t="str">
        <f t="shared" si="44"/>
        <v/>
      </c>
      <c r="B468" s="21" t="str">
        <f t="shared" si="45"/>
        <v/>
      </c>
      <c r="C468" s="17" t="str">
        <f t="shared" si="42"/>
        <v/>
      </c>
      <c r="D468" s="18" t="str">
        <f t="shared" si="46"/>
        <v/>
      </c>
      <c r="E468" t="str">
        <f t="shared" si="47"/>
        <v/>
      </c>
      <c r="F468" s="23" t="str">
        <f ca="1">IF(A468="","",IF($B$8="Sí",interpolar_alamb(E468,OFFSET(Curvas_cupon_cero!$A$1,1,0,COUNT(Curvas_cupon_cero!$A:$A)-2,1),OFFSET(Curvas_cupon_cero!$A$1,1,MATCH($B$6,Curvas_cupon_cero!$1:$1,0)-1,COUNT(Curvas_cupon_cero!$A:$A)-2,1)),interpolar(E468,OFFSET(Curvas_cupon_cero!$A$1,1,0,COUNT(Curvas_cupon_cero!$A:$A)-2,1),OFFSET(Curvas_cupon_cero!$A$1,1,MATCH($B$6,Curvas_cupon_cero!$1:$1,0)-1,COUNT(Curvas_cupon_cero!$A:$A)-2,1))))</f>
        <v/>
      </c>
      <c r="G468" s="23" t="str">
        <f ca="1">IF(A468="","",IF($B$8="Sí",interpolar_alamb(E468,OFFSET(Curvas_cupon_cero!$A$1,1,0,COUNT(Curvas_cupon_cero!$A:$A)-2,1),OFFSET(Curvas_cupon_cero!$A$1,1,MATCH($B$7,Curvas_cupon_cero!$1:$1,0)-1,COUNT(Curvas_cupon_cero!$A:$A)-2,1)),interpolar(E468,OFFSET(Curvas_cupon_cero!$A$1,1,0,COUNT(Curvas_cupon_cero!$A:$A)-2,1),OFFSET(Curvas_cupon_cero!$A$1,1,MATCH($B$7,Curvas_cupon_cero!$1:$1,0)-1,COUNT(Curvas_cupon_cero!$A:$A)-2,1))))</f>
        <v/>
      </c>
      <c r="H468" s="19" t="str">
        <f t="shared" si="43"/>
        <v/>
      </c>
    </row>
    <row r="469" spans="1:8" x14ac:dyDescent="0.2">
      <c r="A469" s="12" t="str">
        <f t="shared" si="44"/>
        <v/>
      </c>
      <c r="B469" s="21" t="str">
        <f t="shared" si="45"/>
        <v/>
      </c>
      <c r="C469" s="17" t="str">
        <f t="shared" si="42"/>
        <v/>
      </c>
      <c r="D469" s="18" t="str">
        <f t="shared" si="46"/>
        <v/>
      </c>
      <c r="E469" t="str">
        <f t="shared" si="47"/>
        <v/>
      </c>
      <c r="F469" s="23" t="str">
        <f ca="1">IF(A469="","",IF($B$8="Sí",interpolar_alamb(E469,OFFSET(Curvas_cupon_cero!$A$1,1,0,COUNT(Curvas_cupon_cero!$A:$A)-2,1),OFFSET(Curvas_cupon_cero!$A$1,1,MATCH($B$6,Curvas_cupon_cero!$1:$1,0)-1,COUNT(Curvas_cupon_cero!$A:$A)-2,1)),interpolar(E469,OFFSET(Curvas_cupon_cero!$A$1,1,0,COUNT(Curvas_cupon_cero!$A:$A)-2,1),OFFSET(Curvas_cupon_cero!$A$1,1,MATCH($B$6,Curvas_cupon_cero!$1:$1,0)-1,COUNT(Curvas_cupon_cero!$A:$A)-2,1))))</f>
        <v/>
      </c>
      <c r="G469" s="23" t="str">
        <f ca="1">IF(A469="","",IF($B$8="Sí",interpolar_alamb(E469,OFFSET(Curvas_cupon_cero!$A$1,1,0,COUNT(Curvas_cupon_cero!$A:$A)-2,1),OFFSET(Curvas_cupon_cero!$A$1,1,MATCH($B$7,Curvas_cupon_cero!$1:$1,0)-1,COUNT(Curvas_cupon_cero!$A:$A)-2,1)),interpolar(E469,OFFSET(Curvas_cupon_cero!$A$1,1,0,COUNT(Curvas_cupon_cero!$A:$A)-2,1),OFFSET(Curvas_cupon_cero!$A$1,1,MATCH($B$7,Curvas_cupon_cero!$1:$1,0)-1,COUNT(Curvas_cupon_cero!$A:$A)-2,1))))</f>
        <v/>
      </c>
      <c r="H469" s="19" t="str">
        <f t="shared" si="43"/>
        <v/>
      </c>
    </row>
    <row r="470" spans="1:8" x14ac:dyDescent="0.2">
      <c r="A470" s="12" t="str">
        <f t="shared" si="44"/>
        <v/>
      </c>
      <c r="B470" s="21" t="str">
        <f t="shared" si="45"/>
        <v/>
      </c>
      <c r="C470" s="17" t="str">
        <f t="shared" si="42"/>
        <v/>
      </c>
      <c r="D470" s="18" t="str">
        <f t="shared" si="46"/>
        <v/>
      </c>
      <c r="E470" t="str">
        <f t="shared" si="47"/>
        <v/>
      </c>
      <c r="F470" s="23" t="str">
        <f ca="1">IF(A470="","",IF($B$8="Sí",interpolar_alamb(E470,OFFSET(Curvas_cupon_cero!$A$1,1,0,COUNT(Curvas_cupon_cero!$A:$A)-2,1),OFFSET(Curvas_cupon_cero!$A$1,1,MATCH($B$6,Curvas_cupon_cero!$1:$1,0)-1,COUNT(Curvas_cupon_cero!$A:$A)-2,1)),interpolar(E470,OFFSET(Curvas_cupon_cero!$A$1,1,0,COUNT(Curvas_cupon_cero!$A:$A)-2,1),OFFSET(Curvas_cupon_cero!$A$1,1,MATCH($B$6,Curvas_cupon_cero!$1:$1,0)-1,COUNT(Curvas_cupon_cero!$A:$A)-2,1))))</f>
        <v/>
      </c>
      <c r="G470" s="23" t="str">
        <f ca="1">IF(A470="","",IF($B$8="Sí",interpolar_alamb(E470,OFFSET(Curvas_cupon_cero!$A$1,1,0,COUNT(Curvas_cupon_cero!$A:$A)-2,1),OFFSET(Curvas_cupon_cero!$A$1,1,MATCH($B$7,Curvas_cupon_cero!$1:$1,0)-1,COUNT(Curvas_cupon_cero!$A:$A)-2,1)),interpolar(E470,OFFSET(Curvas_cupon_cero!$A$1,1,0,COUNT(Curvas_cupon_cero!$A:$A)-2,1),OFFSET(Curvas_cupon_cero!$A$1,1,MATCH($B$7,Curvas_cupon_cero!$1:$1,0)-1,COUNT(Curvas_cupon_cero!$A:$A)-2,1))))</f>
        <v/>
      </c>
      <c r="H470" s="19" t="str">
        <f t="shared" si="43"/>
        <v/>
      </c>
    </row>
    <row r="471" spans="1:8" x14ac:dyDescent="0.2">
      <c r="A471" s="12" t="str">
        <f t="shared" si="44"/>
        <v/>
      </c>
      <c r="B471" s="21" t="str">
        <f t="shared" si="45"/>
        <v/>
      </c>
      <c r="C471" s="17" t="str">
        <f t="shared" si="42"/>
        <v/>
      </c>
      <c r="D471" s="18" t="str">
        <f t="shared" si="46"/>
        <v/>
      </c>
      <c r="E471" t="str">
        <f t="shared" si="47"/>
        <v/>
      </c>
      <c r="F471" s="23" t="str">
        <f ca="1">IF(A471="","",IF($B$8="Sí",interpolar_alamb(E471,OFFSET(Curvas_cupon_cero!$A$1,1,0,COUNT(Curvas_cupon_cero!$A:$A)-2,1),OFFSET(Curvas_cupon_cero!$A$1,1,MATCH($B$6,Curvas_cupon_cero!$1:$1,0)-1,COUNT(Curvas_cupon_cero!$A:$A)-2,1)),interpolar(E471,OFFSET(Curvas_cupon_cero!$A$1,1,0,COUNT(Curvas_cupon_cero!$A:$A)-2,1),OFFSET(Curvas_cupon_cero!$A$1,1,MATCH($B$6,Curvas_cupon_cero!$1:$1,0)-1,COUNT(Curvas_cupon_cero!$A:$A)-2,1))))</f>
        <v/>
      </c>
      <c r="G471" s="23" t="str">
        <f ca="1">IF(A471="","",IF($B$8="Sí",interpolar_alamb(E471,OFFSET(Curvas_cupon_cero!$A$1,1,0,COUNT(Curvas_cupon_cero!$A:$A)-2,1),OFFSET(Curvas_cupon_cero!$A$1,1,MATCH($B$7,Curvas_cupon_cero!$1:$1,0)-1,COUNT(Curvas_cupon_cero!$A:$A)-2,1)),interpolar(E471,OFFSET(Curvas_cupon_cero!$A$1,1,0,COUNT(Curvas_cupon_cero!$A:$A)-2,1),OFFSET(Curvas_cupon_cero!$A$1,1,MATCH($B$7,Curvas_cupon_cero!$1:$1,0)-1,COUNT(Curvas_cupon_cero!$A:$A)-2,1))))</f>
        <v/>
      </c>
      <c r="H471" s="19" t="str">
        <f t="shared" si="43"/>
        <v/>
      </c>
    </row>
    <row r="472" spans="1:8" x14ac:dyDescent="0.2">
      <c r="A472" s="12" t="str">
        <f t="shared" si="44"/>
        <v/>
      </c>
      <c r="B472" s="21" t="str">
        <f t="shared" si="45"/>
        <v/>
      </c>
      <c r="C472" s="17" t="str">
        <f t="shared" si="42"/>
        <v/>
      </c>
      <c r="D472" s="18" t="str">
        <f t="shared" si="46"/>
        <v/>
      </c>
      <c r="E472" t="str">
        <f t="shared" si="47"/>
        <v/>
      </c>
      <c r="F472" s="23" t="str">
        <f ca="1">IF(A472="","",IF($B$8="Sí",interpolar_alamb(E472,OFFSET(Curvas_cupon_cero!$A$1,1,0,COUNT(Curvas_cupon_cero!$A:$A)-2,1),OFFSET(Curvas_cupon_cero!$A$1,1,MATCH($B$6,Curvas_cupon_cero!$1:$1,0)-1,COUNT(Curvas_cupon_cero!$A:$A)-2,1)),interpolar(E472,OFFSET(Curvas_cupon_cero!$A$1,1,0,COUNT(Curvas_cupon_cero!$A:$A)-2,1),OFFSET(Curvas_cupon_cero!$A$1,1,MATCH($B$6,Curvas_cupon_cero!$1:$1,0)-1,COUNT(Curvas_cupon_cero!$A:$A)-2,1))))</f>
        <v/>
      </c>
      <c r="G472" s="23" t="str">
        <f ca="1">IF(A472="","",IF($B$8="Sí",interpolar_alamb(E472,OFFSET(Curvas_cupon_cero!$A$1,1,0,COUNT(Curvas_cupon_cero!$A:$A)-2,1),OFFSET(Curvas_cupon_cero!$A$1,1,MATCH($B$7,Curvas_cupon_cero!$1:$1,0)-1,COUNT(Curvas_cupon_cero!$A:$A)-2,1)),interpolar(E472,OFFSET(Curvas_cupon_cero!$A$1,1,0,COUNT(Curvas_cupon_cero!$A:$A)-2,1),OFFSET(Curvas_cupon_cero!$A$1,1,MATCH($B$7,Curvas_cupon_cero!$1:$1,0)-1,COUNT(Curvas_cupon_cero!$A:$A)-2,1))))</f>
        <v/>
      </c>
      <c r="H472" s="19" t="str">
        <f t="shared" si="43"/>
        <v/>
      </c>
    </row>
    <row r="473" spans="1:8" x14ac:dyDescent="0.2">
      <c r="A473" s="12" t="str">
        <f t="shared" si="44"/>
        <v/>
      </c>
      <c r="B473" s="21" t="str">
        <f t="shared" si="45"/>
        <v/>
      </c>
      <c r="C473" s="17" t="str">
        <f t="shared" si="42"/>
        <v/>
      </c>
      <c r="D473" s="18" t="str">
        <f t="shared" si="46"/>
        <v/>
      </c>
      <c r="E473" t="str">
        <f t="shared" si="47"/>
        <v/>
      </c>
      <c r="F473" s="23" t="str">
        <f ca="1">IF(A473="","",IF($B$8="Sí",interpolar_alamb(E473,OFFSET(Curvas_cupon_cero!$A$1,1,0,COUNT(Curvas_cupon_cero!$A:$A)-2,1),OFFSET(Curvas_cupon_cero!$A$1,1,MATCH($B$6,Curvas_cupon_cero!$1:$1,0)-1,COUNT(Curvas_cupon_cero!$A:$A)-2,1)),interpolar(E473,OFFSET(Curvas_cupon_cero!$A$1,1,0,COUNT(Curvas_cupon_cero!$A:$A)-2,1),OFFSET(Curvas_cupon_cero!$A$1,1,MATCH($B$6,Curvas_cupon_cero!$1:$1,0)-1,COUNT(Curvas_cupon_cero!$A:$A)-2,1))))</f>
        <v/>
      </c>
      <c r="G473" s="23" t="str">
        <f ca="1">IF(A473="","",IF($B$8="Sí",interpolar_alamb(E473,OFFSET(Curvas_cupon_cero!$A$1,1,0,COUNT(Curvas_cupon_cero!$A:$A)-2,1),OFFSET(Curvas_cupon_cero!$A$1,1,MATCH($B$7,Curvas_cupon_cero!$1:$1,0)-1,COUNT(Curvas_cupon_cero!$A:$A)-2,1)),interpolar(E473,OFFSET(Curvas_cupon_cero!$A$1,1,0,COUNT(Curvas_cupon_cero!$A:$A)-2,1),OFFSET(Curvas_cupon_cero!$A$1,1,MATCH($B$7,Curvas_cupon_cero!$1:$1,0)-1,COUNT(Curvas_cupon_cero!$A:$A)-2,1))))</f>
        <v/>
      </c>
      <c r="H473" s="19" t="str">
        <f t="shared" si="43"/>
        <v/>
      </c>
    </row>
    <row r="474" spans="1:8" x14ac:dyDescent="0.2">
      <c r="A474" s="12" t="str">
        <f t="shared" si="44"/>
        <v/>
      </c>
      <c r="B474" s="21" t="str">
        <f t="shared" si="45"/>
        <v/>
      </c>
      <c r="C474" s="17" t="str">
        <f t="shared" si="42"/>
        <v/>
      </c>
      <c r="D474" s="18" t="str">
        <f t="shared" si="46"/>
        <v/>
      </c>
      <c r="E474" t="str">
        <f t="shared" si="47"/>
        <v/>
      </c>
      <c r="F474" s="23" t="str">
        <f ca="1">IF(A474="","",IF($B$8="Sí",interpolar_alamb(E474,OFFSET(Curvas_cupon_cero!$A$1,1,0,COUNT(Curvas_cupon_cero!$A:$A)-2,1),OFFSET(Curvas_cupon_cero!$A$1,1,MATCH($B$6,Curvas_cupon_cero!$1:$1,0)-1,COUNT(Curvas_cupon_cero!$A:$A)-2,1)),interpolar(E474,OFFSET(Curvas_cupon_cero!$A$1,1,0,COUNT(Curvas_cupon_cero!$A:$A)-2,1),OFFSET(Curvas_cupon_cero!$A$1,1,MATCH($B$6,Curvas_cupon_cero!$1:$1,0)-1,COUNT(Curvas_cupon_cero!$A:$A)-2,1))))</f>
        <v/>
      </c>
      <c r="G474" s="23" t="str">
        <f ca="1">IF(A474="","",IF($B$8="Sí",interpolar_alamb(E474,OFFSET(Curvas_cupon_cero!$A$1,1,0,COUNT(Curvas_cupon_cero!$A:$A)-2,1),OFFSET(Curvas_cupon_cero!$A$1,1,MATCH($B$7,Curvas_cupon_cero!$1:$1,0)-1,COUNT(Curvas_cupon_cero!$A:$A)-2,1)),interpolar(E474,OFFSET(Curvas_cupon_cero!$A$1,1,0,COUNT(Curvas_cupon_cero!$A:$A)-2,1),OFFSET(Curvas_cupon_cero!$A$1,1,MATCH($B$7,Curvas_cupon_cero!$1:$1,0)-1,COUNT(Curvas_cupon_cero!$A:$A)-2,1))))</f>
        <v/>
      </c>
      <c r="H474" s="19" t="str">
        <f t="shared" si="43"/>
        <v/>
      </c>
    </row>
    <row r="475" spans="1:8" x14ac:dyDescent="0.2">
      <c r="A475" s="12" t="str">
        <f t="shared" si="44"/>
        <v/>
      </c>
      <c r="B475" s="21" t="str">
        <f t="shared" si="45"/>
        <v/>
      </c>
      <c r="C475" s="17" t="str">
        <f t="shared" si="42"/>
        <v/>
      </c>
      <c r="D475" s="18" t="str">
        <f t="shared" si="46"/>
        <v/>
      </c>
      <c r="E475" t="str">
        <f t="shared" si="47"/>
        <v/>
      </c>
      <c r="F475" s="23" t="str">
        <f ca="1">IF(A475="","",IF($B$8="Sí",interpolar_alamb(E475,OFFSET(Curvas_cupon_cero!$A$1,1,0,COUNT(Curvas_cupon_cero!$A:$A)-2,1),OFFSET(Curvas_cupon_cero!$A$1,1,MATCH($B$6,Curvas_cupon_cero!$1:$1,0)-1,COUNT(Curvas_cupon_cero!$A:$A)-2,1)),interpolar(E475,OFFSET(Curvas_cupon_cero!$A$1,1,0,COUNT(Curvas_cupon_cero!$A:$A)-2,1),OFFSET(Curvas_cupon_cero!$A$1,1,MATCH($B$6,Curvas_cupon_cero!$1:$1,0)-1,COUNT(Curvas_cupon_cero!$A:$A)-2,1))))</f>
        <v/>
      </c>
      <c r="G475" s="23" t="str">
        <f ca="1">IF(A475="","",IF($B$8="Sí",interpolar_alamb(E475,OFFSET(Curvas_cupon_cero!$A$1,1,0,COUNT(Curvas_cupon_cero!$A:$A)-2,1),OFFSET(Curvas_cupon_cero!$A$1,1,MATCH($B$7,Curvas_cupon_cero!$1:$1,0)-1,COUNT(Curvas_cupon_cero!$A:$A)-2,1)),interpolar(E475,OFFSET(Curvas_cupon_cero!$A$1,1,0,COUNT(Curvas_cupon_cero!$A:$A)-2,1),OFFSET(Curvas_cupon_cero!$A$1,1,MATCH($B$7,Curvas_cupon_cero!$1:$1,0)-1,COUNT(Curvas_cupon_cero!$A:$A)-2,1))))</f>
        <v/>
      </c>
      <c r="H475" s="19" t="str">
        <f t="shared" si="43"/>
        <v/>
      </c>
    </row>
    <row r="476" spans="1:8" x14ac:dyDescent="0.2">
      <c r="A476" s="12" t="str">
        <f t="shared" si="44"/>
        <v/>
      </c>
      <c r="B476" s="21" t="str">
        <f t="shared" si="45"/>
        <v/>
      </c>
      <c r="C476" s="17" t="str">
        <f t="shared" si="42"/>
        <v/>
      </c>
      <c r="D476" s="18" t="str">
        <f t="shared" si="46"/>
        <v/>
      </c>
      <c r="E476" t="str">
        <f t="shared" si="47"/>
        <v/>
      </c>
      <c r="F476" s="23" t="str">
        <f ca="1">IF(A476="","",IF($B$8="Sí",interpolar_alamb(E476,OFFSET(Curvas_cupon_cero!$A$1,1,0,COUNT(Curvas_cupon_cero!$A:$A)-2,1),OFFSET(Curvas_cupon_cero!$A$1,1,MATCH($B$6,Curvas_cupon_cero!$1:$1,0)-1,COUNT(Curvas_cupon_cero!$A:$A)-2,1)),interpolar(E476,OFFSET(Curvas_cupon_cero!$A$1,1,0,COUNT(Curvas_cupon_cero!$A:$A)-2,1),OFFSET(Curvas_cupon_cero!$A$1,1,MATCH($B$6,Curvas_cupon_cero!$1:$1,0)-1,COUNT(Curvas_cupon_cero!$A:$A)-2,1))))</f>
        <v/>
      </c>
      <c r="G476" s="23" t="str">
        <f ca="1">IF(A476="","",IF($B$8="Sí",interpolar_alamb(E476,OFFSET(Curvas_cupon_cero!$A$1,1,0,COUNT(Curvas_cupon_cero!$A:$A)-2,1),OFFSET(Curvas_cupon_cero!$A$1,1,MATCH($B$7,Curvas_cupon_cero!$1:$1,0)-1,COUNT(Curvas_cupon_cero!$A:$A)-2,1)),interpolar(E476,OFFSET(Curvas_cupon_cero!$A$1,1,0,COUNT(Curvas_cupon_cero!$A:$A)-2,1),OFFSET(Curvas_cupon_cero!$A$1,1,MATCH($B$7,Curvas_cupon_cero!$1:$1,0)-1,COUNT(Curvas_cupon_cero!$A:$A)-2,1))))</f>
        <v/>
      </c>
      <c r="H476" s="19" t="str">
        <f t="shared" si="43"/>
        <v/>
      </c>
    </row>
    <row r="477" spans="1:8" x14ac:dyDescent="0.2">
      <c r="A477" s="12" t="str">
        <f t="shared" si="44"/>
        <v/>
      </c>
      <c r="B477" s="21" t="str">
        <f t="shared" si="45"/>
        <v/>
      </c>
      <c r="C477" s="17" t="str">
        <f t="shared" si="42"/>
        <v/>
      </c>
      <c r="D477" s="18" t="str">
        <f t="shared" si="46"/>
        <v/>
      </c>
      <c r="E477" t="str">
        <f t="shared" si="47"/>
        <v/>
      </c>
      <c r="F477" s="23" t="str">
        <f ca="1">IF(A477="","",IF($B$8="Sí",interpolar_alamb(E477,OFFSET(Curvas_cupon_cero!$A$1,1,0,COUNT(Curvas_cupon_cero!$A:$A)-2,1),OFFSET(Curvas_cupon_cero!$A$1,1,MATCH($B$6,Curvas_cupon_cero!$1:$1,0)-1,COUNT(Curvas_cupon_cero!$A:$A)-2,1)),interpolar(E477,OFFSET(Curvas_cupon_cero!$A$1,1,0,COUNT(Curvas_cupon_cero!$A:$A)-2,1),OFFSET(Curvas_cupon_cero!$A$1,1,MATCH($B$6,Curvas_cupon_cero!$1:$1,0)-1,COUNT(Curvas_cupon_cero!$A:$A)-2,1))))</f>
        <v/>
      </c>
      <c r="G477" s="23" t="str">
        <f ca="1">IF(A477="","",IF($B$8="Sí",interpolar_alamb(E477,OFFSET(Curvas_cupon_cero!$A$1,1,0,COUNT(Curvas_cupon_cero!$A:$A)-2,1),OFFSET(Curvas_cupon_cero!$A$1,1,MATCH($B$7,Curvas_cupon_cero!$1:$1,0)-1,COUNT(Curvas_cupon_cero!$A:$A)-2,1)),interpolar(E477,OFFSET(Curvas_cupon_cero!$A$1,1,0,COUNT(Curvas_cupon_cero!$A:$A)-2,1),OFFSET(Curvas_cupon_cero!$A$1,1,MATCH($B$7,Curvas_cupon_cero!$1:$1,0)-1,COUNT(Curvas_cupon_cero!$A:$A)-2,1))))</f>
        <v/>
      </c>
      <c r="H477" s="19" t="str">
        <f t="shared" si="43"/>
        <v/>
      </c>
    </row>
    <row r="478" spans="1:8" x14ac:dyDescent="0.2">
      <c r="A478" s="12" t="str">
        <f t="shared" si="44"/>
        <v/>
      </c>
      <c r="B478" s="21" t="str">
        <f t="shared" si="45"/>
        <v/>
      </c>
      <c r="C478" s="17" t="str">
        <f t="shared" si="42"/>
        <v/>
      </c>
      <c r="D478" s="18" t="str">
        <f t="shared" si="46"/>
        <v/>
      </c>
      <c r="E478" t="str">
        <f t="shared" si="47"/>
        <v/>
      </c>
      <c r="F478" s="23" t="str">
        <f ca="1">IF(A478="","",IF($B$8="Sí",interpolar_alamb(E478,OFFSET(Curvas_cupon_cero!$A$1,1,0,COUNT(Curvas_cupon_cero!$A:$A)-2,1),OFFSET(Curvas_cupon_cero!$A$1,1,MATCH($B$6,Curvas_cupon_cero!$1:$1,0)-1,COUNT(Curvas_cupon_cero!$A:$A)-2,1)),interpolar(E478,OFFSET(Curvas_cupon_cero!$A$1,1,0,COUNT(Curvas_cupon_cero!$A:$A)-2,1),OFFSET(Curvas_cupon_cero!$A$1,1,MATCH($B$6,Curvas_cupon_cero!$1:$1,0)-1,COUNT(Curvas_cupon_cero!$A:$A)-2,1))))</f>
        <v/>
      </c>
      <c r="G478" s="23" t="str">
        <f ca="1">IF(A478="","",IF($B$8="Sí",interpolar_alamb(E478,OFFSET(Curvas_cupon_cero!$A$1,1,0,COUNT(Curvas_cupon_cero!$A:$A)-2,1),OFFSET(Curvas_cupon_cero!$A$1,1,MATCH($B$7,Curvas_cupon_cero!$1:$1,0)-1,COUNT(Curvas_cupon_cero!$A:$A)-2,1)),interpolar(E478,OFFSET(Curvas_cupon_cero!$A$1,1,0,COUNT(Curvas_cupon_cero!$A:$A)-2,1),OFFSET(Curvas_cupon_cero!$A$1,1,MATCH($B$7,Curvas_cupon_cero!$1:$1,0)-1,COUNT(Curvas_cupon_cero!$A:$A)-2,1))))</f>
        <v/>
      </c>
      <c r="H478" s="19" t="str">
        <f t="shared" si="43"/>
        <v/>
      </c>
    </row>
    <row r="479" spans="1:8" x14ac:dyDescent="0.2">
      <c r="A479" s="12" t="str">
        <f t="shared" si="44"/>
        <v/>
      </c>
      <c r="B479" s="21" t="str">
        <f t="shared" si="45"/>
        <v/>
      </c>
      <c r="C479" s="17" t="str">
        <f t="shared" si="42"/>
        <v/>
      </c>
      <c r="D479" s="18" t="str">
        <f t="shared" si="46"/>
        <v/>
      </c>
      <c r="E479" t="str">
        <f t="shared" si="47"/>
        <v/>
      </c>
      <c r="F479" s="23" t="str">
        <f ca="1">IF(A479="","",IF($B$8="Sí",interpolar_alamb(E479,OFFSET(Curvas_cupon_cero!$A$1,1,0,COUNT(Curvas_cupon_cero!$A:$A)-2,1),OFFSET(Curvas_cupon_cero!$A$1,1,MATCH($B$6,Curvas_cupon_cero!$1:$1,0)-1,COUNT(Curvas_cupon_cero!$A:$A)-2,1)),interpolar(E479,OFFSET(Curvas_cupon_cero!$A$1,1,0,COUNT(Curvas_cupon_cero!$A:$A)-2,1),OFFSET(Curvas_cupon_cero!$A$1,1,MATCH($B$6,Curvas_cupon_cero!$1:$1,0)-1,COUNT(Curvas_cupon_cero!$A:$A)-2,1))))</f>
        <v/>
      </c>
      <c r="G479" s="23" t="str">
        <f ca="1">IF(A479="","",IF($B$8="Sí",interpolar_alamb(E479,OFFSET(Curvas_cupon_cero!$A$1,1,0,COUNT(Curvas_cupon_cero!$A:$A)-2,1),OFFSET(Curvas_cupon_cero!$A$1,1,MATCH($B$7,Curvas_cupon_cero!$1:$1,0)-1,COUNT(Curvas_cupon_cero!$A:$A)-2,1)),interpolar(E479,OFFSET(Curvas_cupon_cero!$A$1,1,0,COUNT(Curvas_cupon_cero!$A:$A)-2,1),OFFSET(Curvas_cupon_cero!$A$1,1,MATCH($B$7,Curvas_cupon_cero!$1:$1,0)-1,COUNT(Curvas_cupon_cero!$A:$A)-2,1))))</f>
        <v/>
      </c>
      <c r="H479" s="19" t="str">
        <f t="shared" si="43"/>
        <v/>
      </c>
    </row>
    <row r="480" spans="1:8" x14ac:dyDescent="0.2">
      <c r="A480" s="12" t="str">
        <f t="shared" si="44"/>
        <v/>
      </c>
      <c r="B480" s="21" t="str">
        <f t="shared" si="45"/>
        <v/>
      </c>
      <c r="C480" s="17" t="str">
        <f t="shared" si="42"/>
        <v/>
      </c>
      <c r="D480" s="18" t="str">
        <f t="shared" si="46"/>
        <v/>
      </c>
      <c r="E480" t="str">
        <f t="shared" si="47"/>
        <v/>
      </c>
      <c r="F480" s="23" t="str">
        <f ca="1">IF(A480="","",IF($B$8="Sí",interpolar_alamb(E480,OFFSET(Curvas_cupon_cero!$A$1,1,0,COUNT(Curvas_cupon_cero!$A:$A)-2,1),OFFSET(Curvas_cupon_cero!$A$1,1,MATCH($B$6,Curvas_cupon_cero!$1:$1,0)-1,COUNT(Curvas_cupon_cero!$A:$A)-2,1)),interpolar(E480,OFFSET(Curvas_cupon_cero!$A$1,1,0,COUNT(Curvas_cupon_cero!$A:$A)-2,1),OFFSET(Curvas_cupon_cero!$A$1,1,MATCH($B$6,Curvas_cupon_cero!$1:$1,0)-1,COUNT(Curvas_cupon_cero!$A:$A)-2,1))))</f>
        <v/>
      </c>
      <c r="G480" s="23" t="str">
        <f ca="1">IF(A480="","",IF($B$8="Sí",interpolar_alamb(E480,OFFSET(Curvas_cupon_cero!$A$1,1,0,COUNT(Curvas_cupon_cero!$A:$A)-2,1),OFFSET(Curvas_cupon_cero!$A$1,1,MATCH($B$7,Curvas_cupon_cero!$1:$1,0)-1,COUNT(Curvas_cupon_cero!$A:$A)-2,1)),interpolar(E480,OFFSET(Curvas_cupon_cero!$A$1,1,0,COUNT(Curvas_cupon_cero!$A:$A)-2,1),OFFSET(Curvas_cupon_cero!$A$1,1,MATCH($B$7,Curvas_cupon_cero!$1:$1,0)-1,COUNT(Curvas_cupon_cero!$A:$A)-2,1))))</f>
        <v/>
      </c>
      <c r="H480" s="19" t="str">
        <f t="shared" si="43"/>
        <v/>
      </c>
    </row>
    <row r="481" spans="1:8" x14ac:dyDescent="0.2">
      <c r="A481" s="12" t="str">
        <f t="shared" si="44"/>
        <v/>
      </c>
      <c r="B481" s="21" t="str">
        <f t="shared" si="45"/>
        <v/>
      </c>
      <c r="C481" s="17" t="str">
        <f t="shared" si="42"/>
        <v/>
      </c>
      <c r="D481" s="18" t="str">
        <f t="shared" si="46"/>
        <v/>
      </c>
      <c r="E481" t="str">
        <f t="shared" si="47"/>
        <v/>
      </c>
      <c r="F481" s="23" t="str">
        <f ca="1">IF(A481="","",IF($B$8="Sí",interpolar_alamb(E481,OFFSET(Curvas_cupon_cero!$A$1,1,0,COUNT(Curvas_cupon_cero!$A:$A)-2,1),OFFSET(Curvas_cupon_cero!$A$1,1,MATCH($B$6,Curvas_cupon_cero!$1:$1,0)-1,COUNT(Curvas_cupon_cero!$A:$A)-2,1)),interpolar(E481,OFFSET(Curvas_cupon_cero!$A$1,1,0,COUNT(Curvas_cupon_cero!$A:$A)-2,1),OFFSET(Curvas_cupon_cero!$A$1,1,MATCH($B$6,Curvas_cupon_cero!$1:$1,0)-1,COUNT(Curvas_cupon_cero!$A:$A)-2,1))))</f>
        <v/>
      </c>
      <c r="G481" s="23" t="str">
        <f ca="1">IF(A481="","",IF($B$8="Sí",interpolar_alamb(E481,OFFSET(Curvas_cupon_cero!$A$1,1,0,COUNT(Curvas_cupon_cero!$A:$A)-2,1),OFFSET(Curvas_cupon_cero!$A$1,1,MATCH($B$7,Curvas_cupon_cero!$1:$1,0)-1,COUNT(Curvas_cupon_cero!$A:$A)-2,1)),interpolar(E481,OFFSET(Curvas_cupon_cero!$A$1,1,0,COUNT(Curvas_cupon_cero!$A:$A)-2,1),OFFSET(Curvas_cupon_cero!$A$1,1,MATCH($B$7,Curvas_cupon_cero!$1:$1,0)-1,COUNT(Curvas_cupon_cero!$A:$A)-2,1))))</f>
        <v/>
      </c>
      <c r="H481" s="19" t="str">
        <f t="shared" si="43"/>
        <v/>
      </c>
    </row>
    <row r="482" spans="1:8" x14ac:dyDescent="0.2">
      <c r="A482" s="12" t="str">
        <f t="shared" si="44"/>
        <v/>
      </c>
      <c r="B482" s="21" t="str">
        <f t="shared" si="45"/>
        <v/>
      </c>
      <c r="C482" s="17" t="str">
        <f t="shared" si="42"/>
        <v/>
      </c>
      <c r="D482" s="18" t="str">
        <f t="shared" si="46"/>
        <v/>
      </c>
      <c r="E482" t="str">
        <f t="shared" si="47"/>
        <v/>
      </c>
      <c r="F482" s="23" t="str">
        <f ca="1">IF(A482="","",IF($B$8="Sí",interpolar_alamb(E482,OFFSET(Curvas_cupon_cero!$A$1,1,0,COUNT(Curvas_cupon_cero!$A:$A)-2,1),OFFSET(Curvas_cupon_cero!$A$1,1,MATCH($B$6,Curvas_cupon_cero!$1:$1,0)-1,COUNT(Curvas_cupon_cero!$A:$A)-2,1)),interpolar(E482,OFFSET(Curvas_cupon_cero!$A$1,1,0,COUNT(Curvas_cupon_cero!$A:$A)-2,1),OFFSET(Curvas_cupon_cero!$A$1,1,MATCH($B$6,Curvas_cupon_cero!$1:$1,0)-1,COUNT(Curvas_cupon_cero!$A:$A)-2,1))))</f>
        <v/>
      </c>
      <c r="G482" s="23" t="str">
        <f ca="1">IF(A482="","",IF($B$8="Sí",interpolar_alamb(E482,OFFSET(Curvas_cupon_cero!$A$1,1,0,COUNT(Curvas_cupon_cero!$A:$A)-2,1),OFFSET(Curvas_cupon_cero!$A$1,1,MATCH($B$7,Curvas_cupon_cero!$1:$1,0)-1,COUNT(Curvas_cupon_cero!$A:$A)-2,1)),interpolar(E482,OFFSET(Curvas_cupon_cero!$A$1,1,0,COUNT(Curvas_cupon_cero!$A:$A)-2,1),OFFSET(Curvas_cupon_cero!$A$1,1,MATCH($B$7,Curvas_cupon_cero!$1:$1,0)-1,COUNT(Curvas_cupon_cero!$A:$A)-2,1))))</f>
        <v/>
      </c>
      <c r="H482" s="19" t="str">
        <f t="shared" si="43"/>
        <v/>
      </c>
    </row>
    <row r="483" spans="1:8" x14ac:dyDescent="0.2">
      <c r="A483" s="12" t="str">
        <f t="shared" si="44"/>
        <v/>
      </c>
      <c r="B483" s="21" t="str">
        <f t="shared" si="45"/>
        <v/>
      </c>
      <c r="C483" s="17" t="str">
        <f t="shared" si="42"/>
        <v/>
      </c>
      <c r="D483" s="18" t="str">
        <f t="shared" si="46"/>
        <v/>
      </c>
      <c r="E483" t="str">
        <f t="shared" si="47"/>
        <v/>
      </c>
      <c r="F483" s="23" t="str">
        <f ca="1">IF(A483="","",IF($B$8="Sí",interpolar_alamb(E483,OFFSET(Curvas_cupon_cero!$A$1,1,0,COUNT(Curvas_cupon_cero!$A:$A)-2,1),OFFSET(Curvas_cupon_cero!$A$1,1,MATCH($B$6,Curvas_cupon_cero!$1:$1,0)-1,COUNT(Curvas_cupon_cero!$A:$A)-2,1)),interpolar(E483,OFFSET(Curvas_cupon_cero!$A$1,1,0,COUNT(Curvas_cupon_cero!$A:$A)-2,1),OFFSET(Curvas_cupon_cero!$A$1,1,MATCH($B$6,Curvas_cupon_cero!$1:$1,0)-1,COUNT(Curvas_cupon_cero!$A:$A)-2,1))))</f>
        <v/>
      </c>
      <c r="G483" s="23" t="str">
        <f ca="1">IF(A483="","",IF($B$8="Sí",interpolar_alamb(E483,OFFSET(Curvas_cupon_cero!$A$1,1,0,COUNT(Curvas_cupon_cero!$A:$A)-2,1),OFFSET(Curvas_cupon_cero!$A$1,1,MATCH($B$7,Curvas_cupon_cero!$1:$1,0)-1,COUNT(Curvas_cupon_cero!$A:$A)-2,1)),interpolar(E483,OFFSET(Curvas_cupon_cero!$A$1,1,0,COUNT(Curvas_cupon_cero!$A:$A)-2,1),OFFSET(Curvas_cupon_cero!$A$1,1,MATCH($B$7,Curvas_cupon_cero!$1:$1,0)-1,COUNT(Curvas_cupon_cero!$A:$A)-2,1))))</f>
        <v/>
      </c>
      <c r="H483" s="19" t="str">
        <f t="shared" si="43"/>
        <v/>
      </c>
    </row>
    <row r="484" spans="1:8" x14ac:dyDescent="0.2">
      <c r="A484" s="12" t="str">
        <f t="shared" si="44"/>
        <v/>
      </c>
      <c r="B484" s="21" t="str">
        <f t="shared" si="45"/>
        <v/>
      </c>
      <c r="C484" s="17" t="str">
        <f t="shared" si="42"/>
        <v/>
      </c>
      <c r="D484" s="18" t="str">
        <f t="shared" si="46"/>
        <v/>
      </c>
      <c r="E484" t="str">
        <f t="shared" si="47"/>
        <v/>
      </c>
      <c r="F484" s="23" t="str">
        <f ca="1">IF(A484="","",IF($B$8="Sí",interpolar_alamb(E484,OFFSET(Curvas_cupon_cero!$A$1,1,0,COUNT(Curvas_cupon_cero!$A:$A)-2,1),OFFSET(Curvas_cupon_cero!$A$1,1,MATCH($B$6,Curvas_cupon_cero!$1:$1,0)-1,COUNT(Curvas_cupon_cero!$A:$A)-2,1)),interpolar(E484,OFFSET(Curvas_cupon_cero!$A$1,1,0,COUNT(Curvas_cupon_cero!$A:$A)-2,1),OFFSET(Curvas_cupon_cero!$A$1,1,MATCH($B$6,Curvas_cupon_cero!$1:$1,0)-1,COUNT(Curvas_cupon_cero!$A:$A)-2,1))))</f>
        <v/>
      </c>
      <c r="G484" s="23" t="str">
        <f ca="1">IF(A484="","",IF($B$8="Sí",interpolar_alamb(E484,OFFSET(Curvas_cupon_cero!$A$1,1,0,COUNT(Curvas_cupon_cero!$A:$A)-2,1),OFFSET(Curvas_cupon_cero!$A$1,1,MATCH($B$7,Curvas_cupon_cero!$1:$1,0)-1,COUNT(Curvas_cupon_cero!$A:$A)-2,1)),interpolar(E484,OFFSET(Curvas_cupon_cero!$A$1,1,0,COUNT(Curvas_cupon_cero!$A:$A)-2,1),OFFSET(Curvas_cupon_cero!$A$1,1,MATCH($B$7,Curvas_cupon_cero!$1:$1,0)-1,COUNT(Curvas_cupon_cero!$A:$A)-2,1))))</f>
        <v/>
      </c>
      <c r="H484" s="19" t="str">
        <f t="shared" si="43"/>
        <v/>
      </c>
    </row>
    <row r="485" spans="1:8" x14ac:dyDescent="0.2">
      <c r="A485" s="12" t="str">
        <f t="shared" si="44"/>
        <v/>
      </c>
      <c r="B485" s="21" t="str">
        <f t="shared" si="45"/>
        <v/>
      </c>
      <c r="C485" s="17" t="str">
        <f t="shared" si="42"/>
        <v/>
      </c>
      <c r="D485" s="18" t="str">
        <f t="shared" si="46"/>
        <v/>
      </c>
      <c r="E485" t="str">
        <f t="shared" si="47"/>
        <v/>
      </c>
      <c r="F485" s="23" t="str">
        <f ca="1">IF(A485="","",IF($B$8="Sí",interpolar_alamb(E485,OFFSET(Curvas_cupon_cero!$A$1,1,0,COUNT(Curvas_cupon_cero!$A:$A)-2,1),OFFSET(Curvas_cupon_cero!$A$1,1,MATCH($B$6,Curvas_cupon_cero!$1:$1,0)-1,COUNT(Curvas_cupon_cero!$A:$A)-2,1)),interpolar(E485,OFFSET(Curvas_cupon_cero!$A$1,1,0,COUNT(Curvas_cupon_cero!$A:$A)-2,1),OFFSET(Curvas_cupon_cero!$A$1,1,MATCH($B$6,Curvas_cupon_cero!$1:$1,0)-1,COUNT(Curvas_cupon_cero!$A:$A)-2,1))))</f>
        <v/>
      </c>
      <c r="G485" s="23" t="str">
        <f ca="1">IF(A485="","",IF($B$8="Sí",interpolar_alamb(E485,OFFSET(Curvas_cupon_cero!$A$1,1,0,COUNT(Curvas_cupon_cero!$A:$A)-2,1),OFFSET(Curvas_cupon_cero!$A$1,1,MATCH($B$7,Curvas_cupon_cero!$1:$1,0)-1,COUNT(Curvas_cupon_cero!$A:$A)-2,1)),interpolar(E485,OFFSET(Curvas_cupon_cero!$A$1,1,0,COUNT(Curvas_cupon_cero!$A:$A)-2,1),OFFSET(Curvas_cupon_cero!$A$1,1,MATCH($B$7,Curvas_cupon_cero!$1:$1,0)-1,COUNT(Curvas_cupon_cero!$A:$A)-2,1))))</f>
        <v/>
      </c>
      <c r="H485" s="19" t="str">
        <f t="shared" si="43"/>
        <v/>
      </c>
    </row>
    <row r="486" spans="1:8" x14ac:dyDescent="0.2">
      <c r="A486" s="12" t="str">
        <f t="shared" si="44"/>
        <v/>
      </c>
      <c r="B486" s="21" t="str">
        <f t="shared" si="45"/>
        <v/>
      </c>
      <c r="C486" s="17" t="str">
        <f t="shared" si="42"/>
        <v/>
      </c>
      <c r="D486" s="18" t="str">
        <f t="shared" si="46"/>
        <v/>
      </c>
      <c r="E486" t="str">
        <f t="shared" si="47"/>
        <v/>
      </c>
      <c r="F486" s="23" t="str">
        <f ca="1">IF(A486="","",IF($B$8="Sí",interpolar_alamb(E486,OFFSET(Curvas_cupon_cero!$A$1,1,0,COUNT(Curvas_cupon_cero!$A:$A)-2,1),OFFSET(Curvas_cupon_cero!$A$1,1,MATCH($B$6,Curvas_cupon_cero!$1:$1,0)-1,COUNT(Curvas_cupon_cero!$A:$A)-2,1)),interpolar(E486,OFFSET(Curvas_cupon_cero!$A$1,1,0,COUNT(Curvas_cupon_cero!$A:$A)-2,1),OFFSET(Curvas_cupon_cero!$A$1,1,MATCH($B$6,Curvas_cupon_cero!$1:$1,0)-1,COUNT(Curvas_cupon_cero!$A:$A)-2,1))))</f>
        <v/>
      </c>
      <c r="G486" s="23" t="str">
        <f ca="1">IF(A486="","",IF($B$8="Sí",interpolar_alamb(E486,OFFSET(Curvas_cupon_cero!$A$1,1,0,COUNT(Curvas_cupon_cero!$A:$A)-2,1),OFFSET(Curvas_cupon_cero!$A$1,1,MATCH($B$7,Curvas_cupon_cero!$1:$1,0)-1,COUNT(Curvas_cupon_cero!$A:$A)-2,1)),interpolar(E486,OFFSET(Curvas_cupon_cero!$A$1,1,0,COUNT(Curvas_cupon_cero!$A:$A)-2,1),OFFSET(Curvas_cupon_cero!$A$1,1,MATCH($B$7,Curvas_cupon_cero!$1:$1,0)-1,COUNT(Curvas_cupon_cero!$A:$A)-2,1))))</f>
        <v/>
      </c>
      <c r="H486" s="19" t="str">
        <f t="shared" si="43"/>
        <v/>
      </c>
    </row>
    <row r="487" spans="1:8" x14ac:dyDescent="0.2">
      <c r="A487" s="12" t="str">
        <f t="shared" si="44"/>
        <v/>
      </c>
      <c r="B487" s="21" t="str">
        <f t="shared" si="45"/>
        <v/>
      </c>
      <c r="C487" s="17" t="str">
        <f t="shared" si="42"/>
        <v/>
      </c>
      <c r="D487" s="18" t="str">
        <f t="shared" si="46"/>
        <v/>
      </c>
      <c r="E487" t="str">
        <f t="shared" si="47"/>
        <v/>
      </c>
      <c r="F487" s="23" t="str">
        <f ca="1">IF(A487="","",IF($B$8="Sí",interpolar_alamb(E487,OFFSET(Curvas_cupon_cero!$A$1,1,0,COUNT(Curvas_cupon_cero!$A:$A)-2,1),OFFSET(Curvas_cupon_cero!$A$1,1,MATCH($B$6,Curvas_cupon_cero!$1:$1,0)-1,COUNT(Curvas_cupon_cero!$A:$A)-2,1)),interpolar(E487,OFFSET(Curvas_cupon_cero!$A$1,1,0,COUNT(Curvas_cupon_cero!$A:$A)-2,1),OFFSET(Curvas_cupon_cero!$A$1,1,MATCH($B$6,Curvas_cupon_cero!$1:$1,0)-1,COUNT(Curvas_cupon_cero!$A:$A)-2,1))))</f>
        <v/>
      </c>
      <c r="G487" s="23" t="str">
        <f ca="1">IF(A487="","",IF($B$8="Sí",interpolar_alamb(E487,OFFSET(Curvas_cupon_cero!$A$1,1,0,COUNT(Curvas_cupon_cero!$A:$A)-2,1),OFFSET(Curvas_cupon_cero!$A$1,1,MATCH($B$7,Curvas_cupon_cero!$1:$1,0)-1,COUNT(Curvas_cupon_cero!$A:$A)-2,1)),interpolar(E487,OFFSET(Curvas_cupon_cero!$A$1,1,0,COUNT(Curvas_cupon_cero!$A:$A)-2,1),OFFSET(Curvas_cupon_cero!$A$1,1,MATCH($B$7,Curvas_cupon_cero!$1:$1,0)-1,COUNT(Curvas_cupon_cero!$A:$A)-2,1))))</f>
        <v/>
      </c>
      <c r="H487" s="19" t="str">
        <f t="shared" si="43"/>
        <v/>
      </c>
    </row>
    <row r="488" spans="1:8" x14ac:dyDescent="0.2">
      <c r="A488" s="12" t="str">
        <f t="shared" si="44"/>
        <v/>
      </c>
      <c r="B488" s="21" t="str">
        <f t="shared" si="45"/>
        <v/>
      </c>
      <c r="C488" s="17" t="str">
        <f t="shared" si="42"/>
        <v/>
      </c>
      <c r="D488" s="18" t="str">
        <f t="shared" si="46"/>
        <v/>
      </c>
      <c r="E488" t="str">
        <f t="shared" si="47"/>
        <v/>
      </c>
      <c r="F488" s="23" t="str">
        <f ca="1">IF(A488="","",IF($B$8="Sí",interpolar_alamb(E488,OFFSET(Curvas_cupon_cero!$A$1,1,0,COUNT(Curvas_cupon_cero!$A:$A)-2,1),OFFSET(Curvas_cupon_cero!$A$1,1,MATCH($B$6,Curvas_cupon_cero!$1:$1,0)-1,COUNT(Curvas_cupon_cero!$A:$A)-2,1)),interpolar(E488,OFFSET(Curvas_cupon_cero!$A$1,1,0,COUNT(Curvas_cupon_cero!$A:$A)-2,1),OFFSET(Curvas_cupon_cero!$A$1,1,MATCH($B$6,Curvas_cupon_cero!$1:$1,0)-1,COUNT(Curvas_cupon_cero!$A:$A)-2,1))))</f>
        <v/>
      </c>
      <c r="G488" s="23" t="str">
        <f ca="1">IF(A488="","",IF($B$8="Sí",interpolar_alamb(E488,OFFSET(Curvas_cupon_cero!$A$1,1,0,COUNT(Curvas_cupon_cero!$A:$A)-2,1),OFFSET(Curvas_cupon_cero!$A$1,1,MATCH($B$7,Curvas_cupon_cero!$1:$1,0)-1,COUNT(Curvas_cupon_cero!$A:$A)-2,1)),interpolar(E488,OFFSET(Curvas_cupon_cero!$A$1,1,0,COUNT(Curvas_cupon_cero!$A:$A)-2,1),OFFSET(Curvas_cupon_cero!$A$1,1,MATCH($B$7,Curvas_cupon_cero!$1:$1,0)-1,COUNT(Curvas_cupon_cero!$A:$A)-2,1))))</f>
        <v/>
      </c>
      <c r="H488" s="19" t="str">
        <f t="shared" si="43"/>
        <v/>
      </c>
    </row>
    <row r="489" spans="1:8" x14ac:dyDescent="0.2">
      <c r="A489" s="12" t="str">
        <f t="shared" si="44"/>
        <v/>
      </c>
      <c r="B489" s="21" t="str">
        <f t="shared" si="45"/>
        <v/>
      </c>
      <c r="C489" s="17" t="str">
        <f t="shared" si="42"/>
        <v/>
      </c>
      <c r="D489" s="18" t="str">
        <f t="shared" si="46"/>
        <v/>
      </c>
      <c r="E489" t="str">
        <f t="shared" si="47"/>
        <v/>
      </c>
      <c r="F489" s="23" t="str">
        <f ca="1">IF(A489="","",IF($B$8="Sí",interpolar_alamb(E489,OFFSET(Curvas_cupon_cero!$A$1,1,0,COUNT(Curvas_cupon_cero!$A:$A)-2,1),OFFSET(Curvas_cupon_cero!$A$1,1,MATCH($B$6,Curvas_cupon_cero!$1:$1,0)-1,COUNT(Curvas_cupon_cero!$A:$A)-2,1)),interpolar(E489,OFFSET(Curvas_cupon_cero!$A$1,1,0,COUNT(Curvas_cupon_cero!$A:$A)-2,1),OFFSET(Curvas_cupon_cero!$A$1,1,MATCH($B$6,Curvas_cupon_cero!$1:$1,0)-1,COUNT(Curvas_cupon_cero!$A:$A)-2,1))))</f>
        <v/>
      </c>
      <c r="G489" s="23" t="str">
        <f ca="1">IF(A489="","",IF($B$8="Sí",interpolar_alamb(E489,OFFSET(Curvas_cupon_cero!$A$1,1,0,COUNT(Curvas_cupon_cero!$A:$A)-2,1),OFFSET(Curvas_cupon_cero!$A$1,1,MATCH($B$7,Curvas_cupon_cero!$1:$1,0)-1,COUNT(Curvas_cupon_cero!$A:$A)-2,1)),interpolar(E489,OFFSET(Curvas_cupon_cero!$A$1,1,0,COUNT(Curvas_cupon_cero!$A:$A)-2,1),OFFSET(Curvas_cupon_cero!$A$1,1,MATCH($B$7,Curvas_cupon_cero!$1:$1,0)-1,COUNT(Curvas_cupon_cero!$A:$A)-2,1))))</f>
        <v/>
      </c>
      <c r="H489" s="19" t="str">
        <f t="shared" si="43"/>
        <v/>
      </c>
    </row>
    <row r="490" spans="1:8" x14ac:dyDescent="0.2">
      <c r="A490" s="12" t="str">
        <f t="shared" si="44"/>
        <v/>
      </c>
      <c r="B490" s="21" t="str">
        <f t="shared" si="45"/>
        <v/>
      </c>
      <c r="C490" s="17" t="str">
        <f t="shared" si="42"/>
        <v/>
      </c>
      <c r="D490" s="18" t="str">
        <f t="shared" si="46"/>
        <v/>
      </c>
      <c r="E490" t="str">
        <f t="shared" si="47"/>
        <v/>
      </c>
      <c r="F490" s="23" t="str">
        <f ca="1">IF(A490="","",IF($B$8="Sí",interpolar_alamb(E490,OFFSET(Curvas_cupon_cero!$A$1,1,0,COUNT(Curvas_cupon_cero!$A:$A)-2,1),OFFSET(Curvas_cupon_cero!$A$1,1,MATCH($B$6,Curvas_cupon_cero!$1:$1,0)-1,COUNT(Curvas_cupon_cero!$A:$A)-2,1)),interpolar(E490,OFFSET(Curvas_cupon_cero!$A$1,1,0,COUNT(Curvas_cupon_cero!$A:$A)-2,1),OFFSET(Curvas_cupon_cero!$A$1,1,MATCH($B$6,Curvas_cupon_cero!$1:$1,0)-1,COUNT(Curvas_cupon_cero!$A:$A)-2,1))))</f>
        <v/>
      </c>
      <c r="G490" s="23" t="str">
        <f ca="1">IF(A490="","",IF($B$8="Sí",interpolar_alamb(E490,OFFSET(Curvas_cupon_cero!$A$1,1,0,COUNT(Curvas_cupon_cero!$A:$A)-2,1),OFFSET(Curvas_cupon_cero!$A$1,1,MATCH($B$7,Curvas_cupon_cero!$1:$1,0)-1,COUNT(Curvas_cupon_cero!$A:$A)-2,1)),interpolar(E490,OFFSET(Curvas_cupon_cero!$A$1,1,0,COUNT(Curvas_cupon_cero!$A:$A)-2,1),OFFSET(Curvas_cupon_cero!$A$1,1,MATCH($B$7,Curvas_cupon_cero!$1:$1,0)-1,COUNT(Curvas_cupon_cero!$A:$A)-2,1))))</f>
        <v/>
      </c>
      <c r="H490" s="19" t="str">
        <f t="shared" si="43"/>
        <v/>
      </c>
    </row>
    <row r="491" spans="1:8" x14ac:dyDescent="0.2">
      <c r="A491" s="12" t="str">
        <f t="shared" si="44"/>
        <v/>
      </c>
      <c r="B491" s="21" t="str">
        <f t="shared" si="45"/>
        <v/>
      </c>
      <c r="C491" s="17" t="str">
        <f t="shared" si="42"/>
        <v/>
      </c>
      <c r="D491" s="18" t="str">
        <f t="shared" si="46"/>
        <v/>
      </c>
      <c r="E491" t="str">
        <f t="shared" si="47"/>
        <v/>
      </c>
      <c r="F491" s="23" t="str">
        <f ca="1">IF(A491="","",IF($B$8="Sí",interpolar_alamb(E491,OFFSET(Curvas_cupon_cero!$A$1,1,0,COUNT(Curvas_cupon_cero!$A:$A)-2,1),OFFSET(Curvas_cupon_cero!$A$1,1,MATCH($B$6,Curvas_cupon_cero!$1:$1,0)-1,COUNT(Curvas_cupon_cero!$A:$A)-2,1)),interpolar(E491,OFFSET(Curvas_cupon_cero!$A$1,1,0,COUNT(Curvas_cupon_cero!$A:$A)-2,1),OFFSET(Curvas_cupon_cero!$A$1,1,MATCH($B$6,Curvas_cupon_cero!$1:$1,0)-1,COUNT(Curvas_cupon_cero!$A:$A)-2,1))))</f>
        <v/>
      </c>
      <c r="G491" s="23" t="str">
        <f ca="1">IF(A491="","",IF($B$8="Sí",interpolar_alamb(E491,OFFSET(Curvas_cupon_cero!$A$1,1,0,COUNT(Curvas_cupon_cero!$A:$A)-2,1),OFFSET(Curvas_cupon_cero!$A$1,1,MATCH($B$7,Curvas_cupon_cero!$1:$1,0)-1,COUNT(Curvas_cupon_cero!$A:$A)-2,1)),interpolar(E491,OFFSET(Curvas_cupon_cero!$A$1,1,0,COUNT(Curvas_cupon_cero!$A:$A)-2,1),OFFSET(Curvas_cupon_cero!$A$1,1,MATCH($B$7,Curvas_cupon_cero!$1:$1,0)-1,COUNT(Curvas_cupon_cero!$A:$A)-2,1))))</f>
        <v/>
      </c>
      <c r="H491" s="19" t="str">
        <f t="shared" si="43"/>
        <v/>
      </c>
    </row>
    <row r="492" spans="1:8" x14ac:dyDescent="0.2">
      <c r="A492" s="12" t="str">
        <f t="shared" si="44"/>
        <v/>
      </c>
      <c r="B492" s="21" t="str">
        <f t="shared" si="45"/>
        <v/>
      </c>
      <c r="C492" s="17" t="str">
        <f t="shared" si="42"/>
        <v/>
      </c>
      <c r="D492" s="18" t="str">
        <f t="shared" si="46"/>
        <v/>
      </c>
      <c r="E492" t="str">
        <f t="shared" si="47"/>
        <v/>
      </c>
      <c r="F492" s="23" t="str">
        <f ca="1">IF(A492="","",IF($B$8="Sí",interpolar_alamb(E492,OFFSET(Curvas_cupon_cero!$A$1,1,0,COUNT(Curvas_cupon_cero!$A:$A)-2,1),OFFSET(Curvas_cupon_cero!$A$1,1,MATCH($B$6,Curvas_cupon_cero!$1:$1,0)-1,COUNT(Curvas_cupon_cero!$A:$A)-2,1)),interpolar(E492,OFFSET(Curvas_cupon_cero!$A$1,1,0,COUNT(Curvas_cupon_cero!$A:$A)-2,1),OFFSET(Curvas_cupon_cero!$A$1,1,MATCH($B$6,Curvas_cupon_cero!$1:$1,0)-1,COUNT(Curvas_cupon_cero!$A:$A)-2,1))))</f>
        <v/>
      </c>
      <c r="G492" s="23" t="str">
        <f ca="1">IF(A492="","",IF($B$8="Sí",interpolar_alamb(E492,OFFSET(Curvas_cupon_cero!$A$1,1,0,COUNT(Curvas_cupon_cero!$A:$A)-2,1),OFFSET(Curvas_cupon_cero!$A$1,1,MATCH($B$7,Curvas_cupon_cero!$1:$1,0)-1,COUNT(Curvas_cupon_cero!$A:$A)-2,1)),interpolar(E492,OFFSET(Curvas_cupon_cero!$A$1,1,0,COUNT(Curvas_cupon_cero!$A:$A)-2,1),OFFSET(Curvas_cupon_cero!$A$1,1,MATCH($B$7,Curvas_cupon_cero!$1:$1,0)-1,COUNT(Curvas_cupon_cero!$A:$A)-2,1))))</f>
        <v/>
      </c>
      <c r="H492" s="19" t="str">
        <f t="shared" si="43"/>
        <v/>
      </c>
    </row>
    <row r="493" spans="1:8" x14ac:dyDescent="0.2">
      <c r="A493" s="12" t="str">
        <f t="shared" si="44"/>
        <v/>
      </c>
      <c r="B493" s="21" t="str">
        <f t="shared" si="45"/>
        <v/>
      </c>
      <c r="C493" s="17" t="str">
        <f t="shared" si="42"/>
        <v/>
      </c>
      <c r="D493" s="18" t="str">
        <f t="shared" si="46"/>
        <v/>
      </c>
      <c r="E493" t="str">
        <f t="shared" si="47"/>
        <v/>
      </c>
      <c r="F493" s="23" t="str">
        <f ca="1">IF(A493="","",IF($B$8="Sí",interpolar_alamb(E493,OFFSET(Curvas_cupon_cero!$A$1,1,0,COUNT(Curvas_cupon_cero!$A:$A)-2,1),OFFSET(Curvas_cupon_cero!$A$1,1,MATCH($B$6,Curvas_cupon_cero!$1:$1,0)-1,COUNT(Curvas_cupon_cero!$A:$A)-2,1)),interpolar(E493,OFFSET(Curvas_cupon_cero!$A$1,1,0,COUNT(Curvas_cupon_cero!$A:$A)-2,1),OFFSET(Curvas_cupon_cero!$A$1,1,MATCH($B$6,Curvas_cupon_cero!$1:$1,0)-1,COUNT(Curvas_cupon_cero!$A:$A)-2,1))))</f>
        <v/>
      </c>
      <c r="G493" s="23" t="str">
        <f ca="1">IF(A493="","",IF($B$8="Sí",interpolar_alamb(E493,OFFSET(Curvas_cupon_cero!$A$1,1,0,COUNT(Curvas_cupon_cero!$A:$A)-2,1),OFFSET(Curvas_cupon_cero!$A$1,1,MATCH($B$7,Curvas_cupon_cero!$1:$1,0)-1,COUNT(Curvas_cupon_cero!$A:$A)-2,1)),interpolar(E493,OFFSET(Curvas_cupon_cero!$A$1,1,0,COUNT(Curvas_cupon_cero!$A:$A)-2,1),OFFSET(Curvas_cupon_cero!$A$1,1,MATCH($B$7,Curvas_cupon_cero!$1:$1,0)-1,COUNT(Curvas_cupon_cero!$A:$A)-2,1))))</f>
        <v/>
      </c>
      <c r="H493" s="19" t="str">
        <f t="shared" si="43"/>
        <v/>
      </c>
    </row>
    <row r="494" spans="1:8" x14ac:dyDescent="0.2">
      <c r="A494" s="12" t="str">
        <f t="shared" si="44"/>
        <v/>
      </c>
      <c r="B494" s="21" t="str">
        <f t="shared" si="45"/>
        <v/>
      </c>
      <c r="C494" s="17" t="str">
        <f t="shared" si="42"/>
        <v/>
      </c>
      <c r="D494" s="18" t="str">
        <f t="shared" si="46"/>
        <v/>
      </c>
      <c r="E494" t="str">
        <f t="shared" si="47"/>
        <v/>
      </c>
      <c r="F494" s="23" t="str">
        <f ca="1">IF(A494="","",IF($B$8="Sí",interpolar_alamb(E494,OFFSET(Curvas_cupon_cero!$A$1,1,0,COUNT(Curvas_cupon_cero!$A:$A)-2,1),OFFSET(Curvas_cupon_cero!$A$1,1,MATCH($B$6,Curvas_cupon_cero!$1:$1,0)-1,COUNT(Curvas_cupon_cero!$A:$A)-2,1)),interpolar(E494,OFFSET(Curvas_cupon_cero!$A$1,1,0,COUNT(Curvas_cupon_cero!$A:$A)-2,1),OFFSET(Curvas_cupon_cero!$A$1,1,MATCH($B$6,Curvas_cupon_cero!$1:$1,0)-1,COUNT(Curvas_cupon_cero!$A:$A)-2,1))))</f>
        <v/>
      </c>
      <c r="G494" s="23" t="str">
        <f ca="1">IF(A494="","",IF($B$8="Sí",interpolar_alamb(E494,OFFSET(Curvas_cupon_cero!$A$1,1,0,COUNT(Curvas_cupon_cero!$A:$A)-2,1),OFFSET(Curvas_cupon_cero!$A$1,1,MATCH($B$7,Curvas_cupon_cero!$1:$1,0)-1,COUNT(Curvas_cupon_cero!$A:$A)-2,1)),interpolar(E494,OFFSET(Curvas_cupon_cero!$A$1,1,0,COUNT(Curvas_cupon_cero!$A:$A)-2,1),OFFSET(Curvas_cupon_cero!$A$1,1,MATCH($B$7,Curvas_cupon_cero!$1:$1,0)-1,COUNT(Curvas_cupon_cero!$A:$A)-2,1))))</f>
        <v/>
      </c>
      <c r="H494" s="19" t="str">
        <f t="shared" si="43"/>
        <v/>
      </c>
    </row>
    <row r="495" spans="1:8" x14ac:dyDescent="0.2">
      <c r="A495" s="12" t="str">
        <f t="shared" si="44"/>
        <v/>
      </c>
      <c r="B495" s="21" t="str">
        <f t="shared" si="45"/>
        <v/>
      </c>
      <c r="C495" s="17" t="str">
        <f t="shared" si="42"/>
        <v/>
      </c>
      <c r="D495" s="18" t="str">
        <f t="shared" si="46"/>
        <v/>
      </c>
      <c r="E495" t="str">
        <f t="shared" si="47"/>
        <v/>
      </c>
      <c r="F495" s="23" t="str">
        <f ca="1">IF(A495="","",IF($B$8="Sí",interpolar_alamb(E495,OFFSET(Curvas_cupon_cero!$A$1,1,0,COUNT(Curvas_cupon_cero!$A:$A)-2,1),OFFSET(Curvas_cupon_cero!$A$1,1,MATCH($B$6,Curvas_cupon_cero!$1:$1,0)-1,COUNT(Curvas_cupon_cero!$A:$A)-2,1)),interpolar(E495,OFFSET(Curvas_cupon_cero!$A$1,1,0,COUNT(Curvas_cupon_cero!$A:$A)-2,1),OFFSET(Curvas_cupon_cero!$A$1,1,MATCH($B$6,Curvas_cupon_cero!$1:$1,0)-1,COUNT(Curvas_cupon_cero!$A:$A)-2,1))))</f>
        <v/>
      </c>
      <c r="G495" s="23" t="str">
        <f ca="1">IF(A495="","",IF($B$8="Sí",interpolar_alamb(E495,OFFSET(Curvas_cupon_cero!$A$1,1,0,COUNT(Curvas_cupon_cero!$A:$A)-2,1),OFFSET(Curvas_cupon_cero!$A$1,1,MATCH($B$7,Curvas_cupon_cero!$1:$1,0)-1,COUNT(Curvas_cupon_cero!$A:$A)-2,1)),interpolar(E495,OFFSET(Curvas_cupon_cero!$A$1,1,0,COUNT(Curvas_cupon_cero!$A:$A)-2,1),OFFSET(Curvas_cupon_cero!$A$1,1,MATCH($B$7,Curvas_cupon_cero!$1:$1,0)-1,COUNT(Curvas_cupon_cero!$A:$A)-2,1))))</f>
        <v/>
      </c>
      <c r="H495" s="19" t="str">
        <f t="shared" si="43"/>
        <v/>
      </c>
    </row>
    <row r="496" spans="1:8" x14ac:dyDescent="0.2">
      <c r="A496" s="12" t="str">
        <f t="shared" si="44"/>
        <v/>
      </c>
      <c r="B496" s="21" t="str">
        <f t="shared" si="45"/>
        <v/>
      </c>
      <c r="C496" s="17" t="str">
        <f t="shared" si="42"/>
        <v/>
      </c>
      <c r="D496" s="18" t="str">
        <f t="shared" si="46"/>
        <v/>
      </c>
      <c r="E496" t="str">
        <f t="shared" si="47"/>
        <v/>
      </c>
      <c r="F496" s="23" t="str">
        <f ca="1">IF(A496="","",IF($B$8="Sí",interpolar_alamb(E496,OFFSET(Curvas_cupon_cero!$A$1,1,0,COUNT(Curvas_cupon_cero!$A:$A)-2,1),OFFSET(Curvas_cupon_cero!$A$1,1,MATCH($B$6,Curvas_cupon_cero!$1:$1,0)-1,COUNT(Curvas_cupon_cero!$A:$A)-2,1)),interpolar(E496,OFFSET(Curvas_cupon_cero!$A$1,1,0,COUNT(Curvas_cupon_cero!$A:$A)-2,1),OFFSET(Curvas_cupon_cero!$A$1,1,MATCH($B$6,Curvas_cupon_cero!$1:$1,0)-1,COUNT(Curvas_cupon_cero!$A:$A)-2,1))))</f>
        <v/>
      </c>
      <c r="G496" s="23" t="str">
        <f ca="1">IF(A496="","",IF($B$8="Sí",interpolar_alamb(E496,OFFSET(Curvas_cupon_cero!$A$1,1,0,COUNT(Curvas_cupon_cero!$A:$A)-2,1),OFFSET(Curvas_cupon_cero!$A$1,1,MATCH($B$7,Curvas_cupon_cero!$1:$1,0)-1,COUNT(Curvas_cupon_cero!$A:$A)-2,1)),interpolar(E496,OFFSET(Curvas_cupon_cero!$A$1,1,0,COUNT(Curvas_cupon_cero!$A:$A)-2,1),OFFSET(Curvas_cupon_cero!$A$1,1,MATCH($B$7,Curvas_cupon_cero!$1:$1,0)-1,COUNT(Curvas_cupon_cero!$A:$A)-2,1))))</f>
        <v/>
      </c>
      <c r="H496" s="19" t="str">
        <f t="shared" si="43"/>
        <v/>
      </c>
    </row>
    <row r="497" spans="1:8" x14ac:dyDescent="0.2">
      <c r="A497" s="12" t="str">
        <f t="shared" si="44"/>
        <v/>
      </c>
      <c r="B497" s="21" t="str">
        <f t="shared" si="45"/>
        <v/>
      </c>
      <c r="C497" s="17" t="str">
        <f t="shared" si="42"/>
        <v/>
      </c>
      <c r="D497" s="18" t="str">
        <f t="shared" si="46"/>
        <v/>
      </c>
      <c r="E497" t="str">
        <f t="shared" si="47"/>
        <v/>
      </c>
      <c r="F497" s="23" t="str">
        <f ca="1">IF(A497="","",IF($B$8="Sí",interpolar_alamb(E497,OFFSET(Curvas_cupon_cero!$A$1,1,0,COUNT(Curvas_cupon_cero!$A:$A)-2,1),OFFSET(Curvas_cupon_cero!$A$1,1,MATCH($B$6,Curvas_cupon_cero!$1:$1,0)-1,COUNT(Curvas_cupon_cero!$A:$A)-2,1)),interpolar(E497,OFFSET(Curvas_cupon_cero!$A$1,1,0,COUNT(Curvas_cupon_cero!$A:$A)-2,1),OFFSET(Curvas_cupon_cero!$A$1,1,MATCH($B$6,Curvas_cupon_cero!$1:$1,0)-1,COUNT(Curvas_cupon_cero!$A:$A)-2,1))))</f>
        <v/>
      </c>
      <c r="G497" s="23" t="str">
        <f ca="1">IF(A497="","",IF($B$8="Sí",interpolar_alamb(E497,OFFSET(Curvas_cupon_cero!$A$1,1,0,COUNT(Curvas_cupon_cero!$A:$A)-2,1),OFFSET(Curvas_cupon_cero!$A$1,1,MATCH($B$7,Curvas_cupon_cero!$1:$1,0)-1,COUNT(Curvas_cupon_cero!$A:$A)-2,1)),interpolar(E497,OFFSET(Curvas_cupon_cero!$A$1,1,0,COUNT(Curvas_cupon_cero!$A:$A)-2,1),OFFSET(Curvas_cupon_cero!$A$1,1,MATCH($B$7,Curvas_cupon_cero!$1:$1,0)-1,COUNT(Curvas_cupon_cero!$A:$A)-2,1))))</f>
        <v/>
      </c>
      <c r="H497" s="19" t="str">
        <f t="shared" si="43"/>
        <v/>
      </c>
    </row>
    <row r="498" spans="1:8" x14ac:dyDescent="0.2">
      <c r="A498" s="12" t="str">
        <f t="shared" si="44"/>
        <v/>
      </c>
      <c r="B498" s="21" t="str">
        <f t="shared" si="45"/>
        <v/>
      </c>
      <c r="C498" s="17" t="str">
        <f t="shared" si="42"/>
        <v/>
      </c>
      <c r="D498" s="18" t="str">
        <f t="shared" si="46"/>
        <v/>
      </c>
      <c r="E498" t="str">
        <f t="shared" si="47"/>
        <v/>
      </c>
      <c r="F498" s="23" t="str">
        <f ca="1">IF(A498="","",IF($B$8="Sí",interpolar_alamb(E498,OFFSET(Curvas_cupon_cero!$A$1,1,0,COUNT(Curvas_cupon_cero!$A:$A)-2,1),OFFSET(Curvas_cupon_cero!$A$1,1,MATCH($B$6,Curvas_cupon_cero!$1:$1,0)-1,COUNT(Curvas_cupon_cero!$A:$A)-2,1)),interpolar(E498,OFFSET(Curvas_cupon_cero!$A$1,1,0,COUNT(Curvas_cupon_cero!$A:$A)-2,1),OFFSET(Curvas_cupon_cero!$A$1,1,MATCH($B$6,Curvas_cupon_cero!$1:$1,0)-1,COUNT(Curvas_cupon_cero!$A:$A)-2,1))))</f>
        <v/>
      </c>
      <c r="G498" s="23" t="str">
        <f ca="1">IF(A498="","",IF($B$8="Sí",interpolar_alamb(E498,OFFSET(Curvas_cupon_cero!$A$1,1,0,COUNT(Curvas_cupon_cero!$A:$A)-2,1),OFFSET(Curvas_cupon_cero!$A$1,1,MATCH($B$7,Curvas_cupon_cero!$1:$1,0)-1,COUNT(Curvas_cupon_cero!$A:$A)-2,1)),interpolar(E498,OFFSET(Curvas_cupon_cero!$A$1,1,0,COUNT(Curvas_cupon_cero!$A:$A)-2,1),OFFSET(Curvas_cupon_cero!$A$1,1,MATCH($B$7,Curvas_cupon_cero!$1:$1,0)-1,COUNT(Curvas_cupon_cero!$A:$A)-2,1))))</f>
        <v/>
      </c>
      <c r="H498" s="19" t="str">
        <f t="shared" si="43"/>
        <v/>
      </c>
    </row>
    <row r="499" spans="1:8" x14ac:dyDescent="0.2">
      <c r="A499" s="12" t="str">
        <f t="shared" si="44"/>
        <v/>
      </c>
      <c r="B499" s="21" t="str">
        <f t="shared" si="45"/>
        <v/>
      </c>
      <c r="C499" s="17" t="str">
        <f t="shared" si="42"/>
        <v/>
      </c>
      <c r="D499" s="18" t="str">
        <f t="shared" si="46"/>
        <v/>
      </c>
      <c r="E499" t="str">
        <f t="shared" si="47"/>
        <v/>
      </c>
      <c r="F499" s="23" t="str">
        <f ca="1">IF(A499="","",IF($B$8="Sí",interpolar_alamb(E499,OFFSET(Curvas_cupon_cero!$A$1,1,0,COUNT(Curvas_cupon_cero!$A:$A)-2,1),OFFSET(Curvas_cupon_cero!$A$1,1,MATCH($B$6,Curvas_cupon_cero!$1:$1,0)-1,COUNT(Curvas_cupon_cero!$A:$A)-2,1)),interpolar(E499,OFFSET(Curvas_cupon_cero!$A$1,1,0,COUNT(Curvas_cupon_cero!$A:$A)-2,1),OFFSET(Curvas_cupon_cero!$A$1,1,MATCH($B$6,Curvas_cupon_cero!$1:$1,0)-1,COUNT(Curvas_cupon_cero!$A:$A)-2,1))))</f>
        <v/>
      </c>
      <c r="G499" s="23" t="str">
        <f ca="1">IF(A499="","",IF($B$8="Sí",interpolar_alamb(E499,OFFSET(Curvas_cupon_cero!$A$1,1,0,COUNT(Curvas_cupon_cero!$A:$A)-2,1),OFFSET(Curvas_cupon_cero!$A$1,1,MATCH($B$7,Curvas_cupon_cero!$1:$1,0)-1,COUNT(Curvas_cupon_cero!$A:$A)-2,1)),interpolar(E499,OFFSET(Curvas_cupon_cero!$A$1,1,0,COUNT(Curvas_cupon_cero!$A:$A)-2,1),OFFSET(Curvas_cupon_cero!$A$1,1,MATCH($B$7,Curvas_cupon_cero!$1:$1,0)-1,COUNT(Curvas_cupon_cero!$A:$A)-2,1))))</f>
        <v/>
      </c>
      <c r="H499" s="19" t="str">
        <f t="shared" si="43"/>
        <v/>
      </c>
    </row>
    <row r="500" spans="1:8" x14ac:dyDescent="0.2">
      <c r="A500" s="12" t="str">
        <f t="shared" si="44"/>
        <v/>
      </c>
      <c r="B500" s="21" t="str">
        <f t="shared" si="45"/>
        <v/>
      </c>
      <c r="C500" s="17" t="str">
        <f t="shared" si="42"/>
        <v/>
      </c>
      <c r="D500" s="18" t="str">
        <f t="shared" si="46"/>
        <v/>
      </c>
      <c r="E500" t="str">
        <f t="shared" si="47"/>
        <v/>
      </c>
      <c r="F500" s="23" t="str">
        <f ca="1">IF(A500="","",IF($B$8="Sí",interpolar_alamb(E500,OFFSET(Curvas_cupon_cero!$A$1,1,0,COUNT(Curvas_cupon_cero!$A:$A)-2,1),OFFSET(Curvas_cupon_cero!$A$1,1,MATCH($B$6,Curvas_cupon_cero!$1:$1,0)-1,COUNT(Curvas_cupon_cero!$A:$A)-2,1)),interpolar(E500,OFFSET(Curvas_cupon_cero!$A$1,1,0,COUNT(Curvas_cupon_cero!$A:$A)-2,1),OFFSET(Curvas_cupon_cero!$A$1,1,MATCH($B$6,Curvas_cupon_cero!$1:$1,0)-1,COUNT(Curvas_cupon_cero!$A:$A)-2,1))))</f>
        <v/>
      </c>
      <c r="G500" s="23" t="str">
        <f ca="1">IF(A500="","",IF($B$8="Sí",interpolar_alamb(E500,OFFSET(Curvas_cupon_cero!$A$1,1,0,COUNT(Curvas_cupon_cero!$A:$A)-2,1),OFFSET(Curvas_cupon_cero!$A$1,1,MATCH($B$7,Curvas_cupon_cero!$1:$1,0)-1,COUNT(Curvas_cupon_cero!$A:$A)-2,1)),interpolar(E500,OFFSET(Curvas_cupon_cero!$A$1,1,0,COUNT(Curvas_cupon_cero!$A:$A)-2,1),OFFSET(Curvas_cupon_cero!$A$1,1,MATCH($B$7,Curvas_cupon_cero!$1:$1,0)-1,COUNT(Curvas_cupon_cero!$A:$A)-2,1))))</f>
        <v/>
      </c>
      <c r="H500" s="19" t="str">
        <f t="shared" si="43"/>
        <v/>
      </c>
    </row>
    <row r="501" spans="1:8" x14ac:dyDescent="0.2">
      <c r="A501" s="12" t="str">
        <f t="shared" si="44"/>
        <v/>
      </c>
      <c r="B501" s="21" t="str">
        <f t="shared" si="45"/>
        <v/>
      </c>
      <c r="C501" s="17" t="str">
        <f t="shared" si="42"/>
        <v/>
      </c>
      <c r="D501" s="18" t="str">
        <f t="shared" si="46"/>
        <v/>
      </c>
      <c r="E501" t="str">
        <f t="shared" si="47"/>
        <v/>
      </c>
      <c r="F501" s="23" t="str">
        <f ca="1">IF(A501="","",IF($B$8="Sí",interpolar_alamb(E501,OFFSET(Curvas_cupon_cero!$A$1,1,0,COUNT(Curvas_cupon_cero!$A:$A)-2,1),OFFSET(Curvas_cupon_cero!$A$1,1,MATCH($B$6,Curvas_cupon_cero!$1:$1,0)-1,COUNT(Curvas_cupon_cero!$A:$A)-2,1)),interpolar(E501,OFFSET(Curvas_cupon_cero!$A$1,1,0,COUNT(Curvas_cupon_cero!$A:$A)-2,1),OFFSET(Curvas_cupon_cero!$A$1,1,MATCH($B$6,Curvas_cupon_cero!$1:$1,0)-1,COUNT(Curvas_cupon_cero!$A:$A)-2,1))))</f>
        <v/>
      </c>
      <c r="G501" s="23" t="str">
        <f ca="1">IF(A501="","",IF($B$8="Sí",interpolar_alamb(E501,OFFSET(Curvas_cupon_cero!$A$1,1,0,COUNT(Curvas_cupon_cero!$A:$A)-2,1),OFFSET(Curvas_cupon_cero!$A$1,1,MATCH($B$7,Curvas_cupon_cero!$1:$1,0)-1,COUNT(Curvas_cupon_cero!$A:$A)-2,1)),interpolar(E501,OFFSET(Curvas_cupon_cero!$A$1,1,0,COUNT(Curvas_cupon_cero!$A:$A)-2,1),OFFSET(Curvas_cupon_cero!$A$1,1,MATCH($B$7,Curvas_cupon_cero!$1:$1,0)-1,COUNT(Curvas_cupon_cero!$A:$A)-2,1))))</f>
        <v/>
      </c>
      <c r="H501" s="19" t="str">
        <f t="shared" si="43"/>
        <v/>
      </c>
    </row>
    <row r="502" spans="1:8" x14ac:dyDescent="0.2">
      <c r="A502" s="12" t="str">
        <f t="shared" si="44"/>
        <v/>
      </c>
      <c r="B502" s="21" t="str">
        <f t="shared" si="45"/>
        <v/>
      </c>
      <c r="C502" s="17" t="str">
        <f t="shared" si="42"/>
        <v/>
      </c>
      <c r="D502" s="18" t="str">
        <f t="shared" si="46"/>
        <v/>
      </c>
      <c r="E502" t="str">
        <f t="shared" si="47"/>
        <v/>
      </c>
      <c r="F502" s="23" t="str">
        <f ca="1">IF(A502="","",IF($B$8="Sí",interpolar_alamb(E502,OFFSET(Curvas_cupon_cero!$A$1,1,0,COUNT(Curvas_cupon_cero!$A:$A)-2,1),OFFSET(Curvas_cupon_cero!$A$1,1,MATCH($B$6,Curvas_cupon_cero!$1:$1,0)-1,COUNT(Curvas_cupon_cero!$A:$A)-2,1)),interpolar(E502,OFFSET(Curvas_cupon_cero!$A$1,1,0,COUNT(Curvas_cupon_cero!$A:$A)-2,1),OFFSET(Curvas_cupon_cero!$A$1,1,MATCH($B$6,Curvas_cupon_cero!$1:$1,0)-1,COUNT(Curvas_cupon_cero!$A:$A)-2,1))))</f>
        <v/>
      </c>
      <c r="G502" s="23" t="str">
        <f ca="1">IF(A502="","",IF($B$8="Sí",interpolar_alamb(E502,OFFSET(Curvas_cupon_cero!$A$1,1,0,COUNT(Curvas_cupon_cero!$A:$A)-2,1),OFFSET(Curvas_cupon_cero!$A$1,1,MATCH($B$7,Curvas_cupon_cero!$1:$1,0)-1,COUNT(Curvas_cupon_cero!$A:$A)-2,1)),interpolar(E502,OFFSET(Curvas_cupon_cero!$A$1,1,0,COUNT(Curvas_cupon_cero!$A:$A)-2,1),OFFSET(Curvas_cupon_cero!$A$1,1,MATCH($B$7,Curvas_cupon_cero!$1:$1,0)-1,COUNT(Curvas_cupon_cero!$A:$A)-2,1))))</f>
        <v/>
      </c>
      <c r="H502" s="19" t="str">
        <f t="shared" si="43"/>
        <v/>
      </c>
    </row>
    <row r="503" spans="1:8" x14ac:dyDescent="0.2">
      <c r="A503" s="12" t="str">
        <f t="shared" si="44"/>
        <v/>
      </c>
      <c r="B503" s="21" t="str">
        <f t="shared" si="45"/>
        <v/>
      </c>
      <c r="C503" s="17" t="str">
        <f t="shared" si="42"/>
        <v/>
      </c>
      <c r="D503" s="18" t="str">
        <f t="shared" si="46"/>
        <v/>
      </c>
      <c r="E503" t="str">
        <f t="shared" si="47"/>
        <v/>
      </c>
      <c r="F503" s="23" t="str">
        <f ca="1">IF(A503="","",IF($B$8="Sí",interpolar_alamb(E503,OFFSET(Curvas_cupon_cero!$A$1,1,0,COUNT(Curvas_cupon_cero!$A:$A)-2,1),OFFSET(Curvas_cupon_cero!$A$1,1,MATCH($B$6,Curvas_cupon_cero!$1:$1,0)-1,COUNT(Curvas_cupon_cero!$A:$A)-2,1)),interpolar(E503,OFFSET(Curvas_cupon_cero!$A$1,1,0,COUNT(Curvas_cupon_cero!$A:$A)-2,1),OFFSET(Curvas_cupon_cero!$A$1,1,MATCH($B$6,Curvas_cupon_cero!$1:$1,0)-1,COUNT(Curvas_cupon_cero!$A:$A)-2,1))))</f>
        <v/>
      </c>
      <c r="G503" s="23" t="str">
        <f ca="1">IF(A503="","",IF($B$8="Sí",interpolar_alamb(E503,OFFSET(Curvas_cupon_cero!$A$1,1,0,COUNT(Curvas_cupon_cero!$A:$A)-2,1),OFFSET(Curvas_cupon_cero!$A$1,1,MATCH($B$7,Curvas_cupon_cero!$1:$1,0)-1,COUNT(Curvas_cupon_cero!$A:$A)-2,1)),interpolar(E503,OFFSET(Curvas_cupon_cero!$A$1,1,0,COUNT(Curvas_cupon_cero!$A:$A)-2,1),OFFSET(Curvas_cupon_cero!$A$1,1,MATCH($B$7,Curvas_cupon_cero!$1:$1,0)-1,COUNT(Curvas_cupon_cero!$A:$A)-2,1))))</f>
        <v/>
      </c>
      <c r="H503" s="19" t="str">
        <f t="shared" si="43"/>
        <v/>
      </c>
    </row>
    <row r="504" spans="1:8" x14ac:dyDescent="0.2">
      <c r="A504" s="12" t="str">
        <f t="shared" si="44"/>
        <v/>
      </c>
      <c r="B504" s="21" t="str">
        <f t="shared" si="45"/>
        <v/>
      </c>
      <c r="C504" s="17" t="str">
        <f t="shared" si="42"/>
        <v/>
      </c>
      <c r="D504" s="18" t="str">
        <f t="shared" si="46"/>
        <v/>
      </c>
      <c r="E504" t="str">
        <f t="shared" si="47"/>
        <v/>
      </c>
      <c r="F504" s="23" t="str">
        <f ca="1">IF(A504="","",IF($B$8="Sí",interpolar_alamb(E504,OFFSET(Curvas_cupon_cero!$A$1,1,0,COUNT(Curvas_cupon_cero!$A:$A)-2,1),OFFSET(Curvas_cupon_cero!$A$1,1,MATCH($B$6,Curvas_cupon_cero!$1:$1,0)-1,COUNT(Curvas_cupon_cero!$A:$A)-2,1)),interpolar(E504,OFFSET(Curvas_cupon_cero!$A$1,1,0,COUNT(Curvas_cupon_cero!$A:$A)-2,1),OFFSET(Curvas_cupon_cero!$A$1,1,MATCH($B$6,Curvas_cupon_cero!$1:$1,0)-1,COUNT(Curvas_cupon_cero!$A:$A)-2,1))))</f>
        <v/>
      </c>
      <c r="G504" s="23" t="str">
        <f ca="1">IF(A504="","",IF($B$8="Sí",interpolar_alamb(E504,OFFSET(Curvas_cupon_cero!$A$1,1,0,COUNT(Curvas_cupon_cero!$A:$A)-2,1),OFFSET(Curvas_cupon_cero!$A$1,1,MATCH($B$7,Curvas_cupon_cero!$1:$1,0)-1,COUNT(Curvas_cupon_cero!$A:$A)-2,1)),interpolar(E504,OFFSET(Curvas_cupon_cero!$A$1,1,0,COUNT(Curvas_cupon_cero!$A:$A)-2,1),OFFSET(Curvas_cupon_cero!$A$1,1,MATCH($B$7,Curvas_cupon_cero!$1:$1,0)-1,COUNT(Curvas_cupon_cero!$A:$A)-2,1))))</f>
        <v/>
      </c>
      <c r="H504" s="19" t="str">
        <f t="shared" si="43"/>
        <v/>
      </c>
    </row>
    <row r="505" spans="1:8" x14ac:dyDescent="0.2">
      <c r="A505" s="12" t="str">
        <f t="shared" si="44"/>
        <v/>
      </c>
      <c r="B505" s="21" t="str">
        <f t="shared" si="45"/>
        <v/>
      </c>
      <c r="C505" s="17" t="str">
        <f t="shared" si="42"/>
        <v/>
      </c>
      <c r="D505" s="18" t="str">
        <f t="shared" si="46"/>
        <v/>
      </c>
      <c r="E505" t="str">
        <f t="shared" si="47"/>
        <v/>
      </c>
      <c r="F505" s="23" t="str">
        <f ca="1">IF(A505="","",IF($B$8="Sí",interpolar_alamb(E505,OFFSET(Curvas_cupon_cero!$A$1,1,0,COUNT(Curvas_cupon_cero!$A:$A)-2,1),OFFSET(Curvas_cupon_cero!$A$1,1,MATCH($B$6,Curvas_cupon_cero!$1:$1,0)-1,COUNT(Curvas_cupon_cero!$A:$A)-2,1)),interpolar(E505,OFFSET(Curvas_cupon_cero!$A$1,1,0,COUNT(Curvas_cupon_cero!$A:$A)-2,1),OFFSET(Curvas_cupon_cero!$A$1,1,MATCH($B$6,Curvas_cupon_cero!$1:$1,0)-1,COUNT(Curvas_cupon_cero!$A:$A)-2,1))))</f>
        <v/>
      </c>
      <c r="G505" s="23" t="str">
        <f ca="1">IF(A505="","",IF($B$8="Sí",interpolar_alamb(E505,OFFSET(Curvas_cupon_cero!$A$1,1,0,COUNT(Curvas_cupon_cero!$A:$A)-2,1),OFFSET(Curvas_cupon_cero!$A$1,1,MATCH($B$7,Curvas_cupon_cero!$1:$1,0)-1,COUNT(Curvas_cupon_cero!$A:$A)-2,1)),interpolar(E505,OFFSET(Curvas_cupon_cero!$A$1,1,0,COUNT(Curvas_cupon_cero!$A:$A)-2,1),OFFSET(Curvas_cupon_cero!$A$1,1,MATCH($B$7,Curvas_cupon_cero!$1:$1,0)-1,COUNT(Curvas_cupon_cero!$A:$A)-2,1))))</f>
        <v/>
      </c>
      <c r="H505" s="19" t="str">
        <f t="shared" si="43"/>
        <v/>
      </c>
    </row>
    <row r="506" spans="1:8" x14ac:dyDescent="0.2">
      <c r="A506" s="12" t="str">
        <f t="shared" si="44"/>
        <v/>
      </c>
      <c r="B506" s="21" t="str">
        <f t="shared" si="45"/>
        <v/>
      </c>
      <c r="C506" s="17" t="str">
        <f t="shared" si="42"/>
        <v/>
      </c>
      <c r="D506" s="18" t="str">
        <f t="shared" si="46"/>
        <v/>
      </c>
      <c r="E506" t="str">
        <f t="shared" si="47"/>
        <v/>
      </c>
      <c r="F506" s="23" t="str">
        <f ca="1">IF(A506="","",IF($B$8="Sí",interpolar_alamb(E506,OFFSET(Curvas_cupon_cero!$A$1,1,0,COUNT(Curvas_cupon_cero!$A:$A)-2,1),OFFSET(Curvas_cupon_cero!$A$1,1,MATCH($B$6,Curvas_cupon_cero!$1:$1,0)-1,COUNT(Curvas_cupon_cero!$A:$A)-2,1)),interpolar(E506,OFFSET(Curvas_cupon_cero!$A$1,1,0,COUNT(Curvas_cupon_cero!$A:$A)-2,1),OFFSET(Curvas_cupon_cero!$A$1,1,MATCH($B$6,Curvas_cupon_cero!$1:$1,0)-1,COUNT(Curvas_cupon_cero!$A:$A)-2,1))))</f>
        <v/>
      </c>
      <c r="G506" s="23" t="str">
        <f ca="1">IF(A506="","",IF($B$8="Sí",interpolar_alamb(E506,OFFSET(Curvas_cupon_cero!$A$1,1,0,COUNT(Curvas_cupon_cero!$A:$A)-2,1),OFFSET(Curvas_cupon_cero!$A$1,1,MATCH($B$7,Curvas_cupon_cero!$1:$1,0)-1,COUNT(Curvas_cupon_cero!$A:$A)-2,1)),interpolar(E506,OFFSET(Curvas_cupon_cero!$A$1,1,0,COUNT(Curvas_cupon_cero!$A:$A)-2,1),OFFSET(Curvas_cupon_cero!$A$1,1,MATCH($B$7,Curvas_cupon_cero!$1:$1,0)-1,COUNT(Curvas_cupon_cero!$A:$A)-2,1))))</f>
        <v/>
      </c>
      <c r="H506" s="19" t="str">
        <f t="shared" si="43"/>
        <v/>
      </c>
    </row>
    <row r="507" spans="1:8" x14ac:dyDescent="0.2">
      <c r="A507" s="12" t="str">
        <f t="shared" si="44"/>
        <v/>
      </c>
      <c r="B507" s="21" t="str">
        <f t="shared" si="45"/>
        <v/>
      </c>
      <c r="C507" s="17" t="str">
        <f t="shared" si="42"/>
        <v/>
      </c>
      <c r="D507" s="18" t="str">
        <f t="shared" si="46"/>
        <v/>
      </c>
      <c r="E507" t="str">
        <f t="shared" si="47"/>
        <v/>
      </c>
      <c r="F507" s="23" t="str">
        <f ca="1">IF(A507="","",IF($B$8="Sí",interpolar_alamb(E507,OFFSET(Curvas_cupon_cero!$A$1,1,0,COUNT(Curvas_cupon_cero!$A:$A)-2,1),OFFSET(Curvas_cupon_cero!$A$1,1,MATCH($B$6,Curvas_cupon_cero!$1:$1,0)-1,COUNT(Curvas_cupon_cero!$A:$A)-2,1)),interpolar(E507,OFFSET(Curvas_cupon_cero!$A$1,1,0,COUNT(Curvas_cupon_cero!$A:$A)-2,1),OFFSET(Curvas_cupon_cero!$A$1,1,MATCH($B$6,Curvas_cupon_cero!$1:$1,0)-1,COUNT(Curvas_cupon_cero!$A:$A)-2,1))))</f>
        <v/>
      </c>
      <c r="G507" s="23" t="str">
        <f ca="1">IF(A507="","",IF($B$8="Sí",interpolar_alamb(E507,OFFSET(Curvas_cupon_cero!$A$1,1,0,COUNT(Curvas_cupon_cero!$A:$A)-2,1),OFFSET(Curvas_cupon_cero!$A$1,1,MATCH($B$7,Curvas_cupon_cero!$1:$1,0)-1,COUNT(Curvas_cupon_cero!$A:$A)-2,1)),interpolar(E507,OFFSET(Curvas_cupon_cero!$A$1,1,0,COUNT(Curvas_cupon_cero!$A:$A)-2,1),OFFSET(Curvas_cupon_cero!$A$1,1,MATCH($B$7,Curvas_cupon_cero!$1:$1,0)-1,COUNT(Curvas_cupon_cero!$A:$A)-2,1))))</f>
        <v/>
      </c>
      <c r="H507" s="19" t="str">
        <f t="shared" si="43"/>
        <v/>
      </c>
    </row>
    <row r="508" spans="1:8" x14ac:dyDescent="0.2">
      <c r="A508" s="12" t="str">
        <f t="shared" si="44"/>
        <v/>
      </c>
      <c r="B508" s="21" t="str">
        <f t="shared" si="45"/>
        <v/>
      </c>
      <c r="C508" s="17" t="str">
        <f t="shared" si="42"/>
        <v/>
      </c>
      <c r="D508" s="18" t="str">
        <f t="shared" si="46"/>
        <v/>
      </c>
      <c r="E508" t="str">
        <f t="shared" si="47"/>
        <v/>
      </c>
      <c r="F508" s="23" t="str">
        <f ca="1">IF(A508="","",IF($B$8="Sí",interpolar_alamb(E508,OFFSET(Curvas_cupon_cero!$A$1,1,0,COUNT(Curvas_cupon_cero!$A:$A)-2,1),OFFSET(Curvas_cupon_cero!$A$1,1,MATCH($B$6,Curvas_cupon_cero!$1:$1,0)-1,COUNT(Curvas_cupon_cero!$A:$A)-2,1)),interpolar(E508,OFFSET(Curvas_cupon_cero!$A$1,1,0,COUNT(Curvas_cupon_cero!$A:$A)-2,1),OFFSET(Curvas_cupon_cero!$A$1,1,MATCH($B$6,Curvas_cupon_cero!$1:$1,0)-1,COUNT(Curvas_cupon_cero!$A:$A)-2,1))))</f>
        <v/>
      </c>
      <c r="G508" s="23" t="str">
        <f ca="1">IF(A508="","",IF($B$8="Sí",interpolar_alamb(E508,OFFSET(Curvas_cupon_cero!$A$1,1,0,COUNT(Curvas_cupon_cero!$A:$A)-2,1),OFFSET(Curvas_cupon_cero!$A$1,1,MATCH($B$7,Curvas_cupon_cero!$1:$1,0)-1,COUNT(Curvas_cupon_cero!$A:$A)-2,1)),interpolar(E508,OFFSET(Curvas_cupon_cero!$A$1,1,0,COUNT(Curvas_cupon_cero!$A:$A)-2,1),OFFSET(Curvas_cupon_cero!$A$1,1,MATCH($B$7,Curvas_cupon_cero!$1:$1,0)-1,COUNT(Curvas_cupon_cero!$A:$A)-2,1))))</f>
        <v/>
      </c>
      <c r="H508" s="19" t="str">
        <f t="shared" si="43"/>
        <v/>
      </c>
    </row>
    <row r="509" spans="1:8" x14ac:dyDescent="0.2">
      <c r="A509" s="12" t="str">
        <f t="shared" si="44"/>
        <v/>
      </c>
      <c r="B509" s="21" t="str">
        <f t="shared" si="45"/>
        <v/>
      </c>
      <c r="C509" s="17" t="str">
        <f t="shared" si="42"/>
        <v/>
      </c>
      <c r="D509" s="18" t="str">
        <f t="shared" si="46"/>
        <v/>
      </c>
      <c r="E509" t="str">
        <f t="shared" si="47"/>
        <v/>
      </c>
      <c r="F509" s="23" t="str">
        <f ca="1">IF(A509="","",IF($B$8="Sí",interpolar_alamb(E509,OFFSET(Curvas_cupon_cero!$A$1,1,0,COUNT(Curvas_cupon_cero!$A:$A)-2,1),OFFSET(Curvas_cupon_cero!$A$1,1,MATCH($B$6,Curvas_cupon_cero!$1:$1,0)-1,COUNT(Curvas_cupon_cero!$A:$A)-2,1)),interpolar(E509,OFFSET(Curvas_cupon_cero!$A$1,1,0,COUNT(Curvas_cupon_cero!$A:$A)-2,1),OFFSET(Curvas_cupon_cero!$A$1,1,MATCH($B$6,Curvas_cupon_cero!$1:$1,0)-1,COUNT(Curvas_cupon_cero!$A:$A)-2,1))))</f>
        <v/>
      </c>
      <c r="G509" s="23" t="str">
        <f ca="1">IF(A509="","",IF($B$8="Sí",interpolar_alamb(E509,OFFSET(Curvas_cupon_cero!$A$1,1,0,COUNT(Curvas_cupon_cero!$A:$A)-2,1),OFFSET(Curvas_cupon_cero!$A$1,1,MATCH($B$7,Curvas_cupon_cero!$1:$1,0)-1,COUNT(Curvas_cupon_cero!$A:$A)-2,1)),interpolar(E509,OFFSET(Curvas_cupon_cero!$A$1,1,0,COUNT(Curvas_cupon_cero!$A:$A)-2,1),OFFSET(Curvas_cupon_cero!$A$1,1,MATCH($B$7,Curvas_cupon_cero!$1:$1,0)-1,COUNT(Curvas_cupon_cero!$A:$A)-2,1))))</f>
        <v/>
      </c>
      <c r="H509" s="19" t="str">
        <f t="shared" si="43"/>
        <v/>
      </c>
    </row>
    <row r="510" spans="1:8" x14ac:dyDescent="0.2">
      <c r="A510" s="12" t="str">
        <f t="shared" si="44"/>
        <v/>
      </c>
      <c r="B510" s="21" t="str">
        <f t="shared" si="45"/>
        <v/>
      </c>
      <c r="C510" s="17" t="str">
        <f t="shared" si="42"/>
        <v/>
      </c>
      <c r="D510" s="18" t="str">
        <f t="shared" si="46"/>
        <v/>
      </c>
      <c r="E510" t="str">
        <f t="shared" si="47"/>
        <v/>
      </c>
      <c r="F510" s="23" t="str">
        <f ca="1">IF(A510="","",IF($B$8="Sí",interpolar_alamb(E510,OFFSET(Curvas_cupon_cero!$A$1,1,0,COUNT(Curvas_cupon_cero!$A:$A)-2,1),OFFSET(Curvas_cupon_cero!$A$1,1,MATCH($B$6,Curvas_cupon_cero!$1:$1,0)-1,COUNT(Curvas_cupon_cero!$A:$A)-2,1)),interpolar(E510,OFFSET(Curvas_cupon_cero!$A$1,1,0,COUNT(Curvas_cupon_cero!$A:$A)-2,1),OFFSET(Curvas_cupon_cero!$A$1,1,MATCH($B$6,Curvas_cupon_cero!$1:$1,0)-1,COUNT(Curvas_cupon_cero!$A:$A)-2,1))))</f>
        <v/>
      </c>
      <c r="G510" s="23" t="str">
        <f ca="1">IF(A510="","",IF($B$8="Sí",interpolar_alamb(E510,OFFSET(Curvas_cupon_cero!$A$1,1,0,COUNT(Curvas_cupon_cero!$A:$A)-2,1),OFFSET(Curvas_cupon_cero!$A$1,1,MATCH($B$7,Curvas_cupon_cero!$1:$1,0)-1,COUNT(Curvas_cupon_cero!$A:$A)-2,1)),interpolar(E510,OFFSET(Curvas_cupon_cero!$A$1,1,0,COUNT(Curvas_cupon_cero!$A:$A)-2,1),OFFSET(Curvas_cupon_cero!$A$1,1,MATCH($B$7,Curvas_cupon_cero!$1:$1,0)-1,COUNT(Curvas_cupon_cero!$A:$A)-2,1))))</f>
        <v/>
      </c>
      <c r="H510" s="19" t="str">
        <f t="shared" si="43"/>
        <v/>
      </c>
    </row>
    <row r="511" spans="1:8" x14ac:dyDescent="0.2">
      <c r="A511" s="12" t="str">
        <f t="shared" si="44"/>
        <v/>
      </c>
      <c r="B511" s="21" t="str">
        <f t="shared" si="45"/>
        <v/>
      </c>
      <c r="C511" s="17" t="str">
        <f t="shared" si="42"/>
        <v/>
      </c>
      <c r="D511" s="18" t="str">
        <f t="shared" si="46"/>
        <v/>
      </c>
      <c r="E511" t="str">
        <f t="shared" si="47"/>
        <v/>
      </c>
      <c r="F511" s="23" t="str">
        <f ca="1">IF(A511="","",IF($B$8="Sí",interpolar_alamb(E511,OFFSET(Curvas_cupon_cero!$A$1,1,0,COUNT(Curvas_cupon_cero!$A:$A)-2,1),OFFSET(Curvas_cupon_cero!$A$1,1,MATCH($B$6,Curvas_cupon_cero!$1:$1,0)-1,COUNT(Curvas_cupon_cero!$A:$A)-2,1)),interpolar(E511,OFFSET(Curvas_cupon_cero!$A$1,1,0,COUNT(Curvas_cupon_cero!$A:$A)-2,1),OFFSET(Curvas_cupon_cero!$A$1,1,MATCH($B$6,Curvas_cupon_cero!$1:$1,0)-1,COUNT(Curvas_cupon_cero!$A:$A)-2,1))))</f>
        <v/>
      </c>
      <c r="G511" s="23" t="str">
        <f ca="1">IF(A511="","",IF($B$8="Sí",interpolar_alamb(E511,OFFSET(Curvas_cupon_cero!$A$1,1,0,COUNT(Curvas_cupon_cero!$A:$A)-2,1),OFFSET(Curvas_cupon_cero!$A$1,1,MATCH($B$7,Curvas_cupon_cero!$1:$1,0)-1,COUNT(Curvas_cupon_cero!$A:$A)-2,1)),interpolar(E511,OFFSET(Curvas_cupon_cero!$A$1,1,0,COUNT(Curvas_cupon_cero!$A:$A)-2,1),OFFSET(Curvas_cupon_cero!$A$1,1,MATCH($B$7,Curvas_cupon_cero!$1:$1,0)-1,COUNT(Curvas_cupon_cero!$A:$A)-2,1))))</f>
        <v/>
      </c>
      <c r="H511" s="19" t="str">
        <f t="shared" si="43"/>
        <v/>
      </c>
    </row>
    <row r="512" spans="1:8" x14ac:dyDescent="0.2">
      <c r="A512" s="12" t="str">
        <f t="shared" si="44"/>
        <v/>
      </c>
      <c r="B512" s="21" t="str">
        <f t="shared" si="45"/>
        <v/>
      </c>
      <c r="C512" s="17" t="str">
        <f t="shared" si="42"/>
        <v/>
      </c>
      <c r="D512" s="18" t="str">
        <f t="shared" si="46"/>
        <v/>
      </c>
      <c r="E512" t="str">
        <f t="shared" si="47"/>
        <v/>
      </c>
      <c r="F512" s="23" t="str">
        <f ca="1">IF(A512="","",IF($B$8="Sí",interpolar_alamb(E512,OFFSET(Curvas_cupon_cero!$A$1,1,0,COUNT(Curvas_cupon_cero!$A:$A)-2,1),OFFSET(Curvas_cupon_cero!$A$1,1,MATCH($B$6,Curvas_cupon_cero!$1:$1,0)-1,COUNT(Curvas_cupon_cero!$A:$A)-2,1)),interpolar(E512,OFFSET(Curvas_cupon_cero!$A$1,1,0,COUNT(Curvas_cupon_cero!$A:$A)-2,1),OFFSET(Curvas_cupon_cero!$A$1,1,MATCH($B$6,Curvas_cupon_cero!$1:$1,0)-1,COUNT(Curvas_cupon_cero!$A:$A)-2,1))))</f>
        <v/>
      </c>
      <c r="G512" s="23" t="str">
        <f ca="1">IF(A512="","",IF($B$8="Sí",interpolar_alamb(E512,OFFSET(Curvas_cupon_cero!$A$1,1,0,COUNT(Curvas_cupon_cero!$A:$A)-2,1),OFFSET(Curvas_cupon_cero!$A$1,1,MATCH($B$7,Curvas_cupon_cero!$1:$1,0)-1,COUNT(Curvas_cupon_cero!$A:$A)-2,1)),interpolar(E512,OFFSET(Curvas_cupon_cero!$A$1,1,0,COUNT(Curvas_cupon_cero!$A:$A)-2,1),OFFSET(Curvas_cupon_cero!$A$1,1,MATCH($B$7,Curvas_cupon_cero!$1:$1,0)-1,COUNT(Curvas_cupon_cero!$A:$A)-2,1))))</f>
        <v/>
      </c>
      <c r="H512" s="19" t="str">
        <f t="shared" si="43"/>
        <v/>
      </c>
    </row>
    <row r="513" spans="1:8" x14ac:dyDescent="0.2">
      <c r="A513" s="12" t="str">
        <f t="shared" si="44"/>
        <v/>
      </c>
      <c r="B513" s="21" t="str">
        <f t="shared" si="45"/>
        <v/>
      </c>
      <c r="C513" s="17" t="str">
        <f t="shared" si="42"/>
        <v/>
      </c>
      <c r="D513" s="18" t="str">
        <f t="shared" si="46"/>
        <v/>
      </c>
      <c r="E513" t="str">
        <f t="shared" si="47"/>
        <v/>
      </c>
      <c r="F513" s="23" t="str">
        <f ca="1">IF(A513="","",IF($B$8="Sí",interpolar_alamb(E513,OFFSET(Curvas_cupon_cero!$A$1,1,0,COUNT(Curvas_cupon_cero!$A:$A)-2,1),OFFSET(Curvas_cupon_cero!$A$1,1,MATCH($B$6,Curvas_cupon_cero!$1:$1,0)-1,COUNT(Curvas_cupon_cero!$A:$A)-2,1)),interpolar(E513,OFFSET(Curvas_cupon_cero!$A$1,1,0,COUNT(Curvas_cupon_cero!$A:$A)-2,1),OFFSET(Curvas_cupon_cero!$A$1,1,MATCH($B$6,Curvas_cupon_cero!$1:$1,0)-1,COUNT(Curvas_cupon_cero!$A:$A)-2,1))))</f>
        <v/>
      </c>
      <c r="G513" s="23" t="str">
        <f ca="1">IF(A513="","",IF($B$8="Sí",interpolar_alamb(E513,OFFSET(Curvas_cupon_cero!$A$1,1,0,COUNT(Curvas_cupon_cero!$A:$A)-2,1),OFFSET(Curvas_cupon_cero!$A$1,1,MATCH($B$7,Curvas_cupon_cero!$1:$1,0)-1,COUNT(Curvas_cupon_cero!$A:$A)-2,1)),interpolar(E513,OFFSET(Curvas_cupon_cero!$A$1,1,0,COUNT(Curvas_cupon_cero!$A:$A)-2,1),OFFSET(Curvas_cupon_cero!$A$1,1,MATCH($B$7,Curvas_cupon_cero!$1:$1,0)-1,COUNT(Curvas_cupon_cero!$A:$A)-2,1))))</f>
        <v/>
      </c>
      <c r="H513" s="19" t="str">
        <f t="shared" si="43"/>
        <v/>
      </c>
    </row>
    <row r="514" spans="1:8" x14ac:dyDescent="0.2">
      <c r="A514" s="12" t="str">
        <f t="shared" si="44"/>
        <v/>
      </c>
      <c r="B514" s="21" t="str">
        <f t="shared" si="45"/>
        <v/>
      </c>
      <c r="C514" s="17" t="str">
        <f t="shared" si="42"/>
        <v/>
      </c>
      <c r="D514" s="18" t="str">
        <f t="shared" si="46"/>
        <v/>
      </c>
      <c r="E514" t="str">
        <f t="shared" si="47"/>
        <v/>
      </c>
      <c r="F514" s="23" t="str">
        <f ca="1">IF(A514="","",IF($B$8="Sí",interpolar_alamb(E514,OFFSET(Curvas_cupon_cero!$A$1,1,0,COUNT(Curvas_cupon_cero!$A:$A)-2,1),OFFSET(Curvas_cupon_cero!$A$1,1,MATCH($B$6,Curvas_cupon_cero!$1:$1,0)-1,COUNT(Curvas_cupon_cero!$A:$A)-2,1)),interpolar(E514,OFFSET(Curvas_cupon_cero!$A$1,1,0,COUNT(Curvas_cupon_cero!$A:$A)-2,1),OFFSET(Curvas_cupon_cero!$A$1,1,MATCH($B$6,Curvas_cupon_cero!$1:$1,0)-1,COUNT(Curvas_cupon_cero!$A:$A)-2,1))))</f>
        <v/>
      </c>
      <c r="G514" s="23" t="str">
        <f ca="1">IF(A514="","",IF($B$8="Sí",interpolar_alamb(E514,OFFSET(Curvas_cupon_cero!$A$1,1,0,COUNT(Curvas_cupon_cero!$A:$A)-2,1),OFFSET(Curvas_cupon_cero!$A$1,1,MATCH($B$7,Curvas_cupon_cero!$1:$1,0)-1,COUNT(Curvas_cupon_cero!$A:$A)-2,1)),interpolar(E514,OFFSET(Curvas_cupon_cero!$A$1,1,0,COUNT(Curvas_cupon_cero!$A:$A)-2,1),OFFSET(Curvas_cupon_cero!$A$1,1,MATCH($B$7,Curvas_cupon_cero!$1:$1,0)-1,COUNT(Curvas_cupon_cero!$A:$A)-2,1))))</f>
        <v/>
      </c>
      <c r="H514" s="19" t="str">
        <f t="shared" si="43"/>
        <v/>
      </c>
    </row>
    <row r="515" spans="1:8" x14ac:dyDescent="0.2">
      <c r="A515" s="12" t="str">
        <f t="shared" si="44"/>
        <v/>
      </c>
      <c r="B515" s="21" t="str">
        <f t="shared" si="45"/>
        <v/>
      </c>
      <c r="C515" s="17" t="str">
        <f t="shared" si="42"/>
        <v/>
      </c>
      <c r="D515" s="18" t="str">
        <f t="shared" si="46"/>
        <v/>
      </c>
      <c r="E515" t="str">
        <f t="shared" si="47"/>
        <v/>
      </c>
      <c r="F515" s="23" t="str">
        <f ca="1">IF(A515="","",IF($B$8="Sí",interpolar_alamb(E515,OFFSET(Curvas_cupon_cero!$A$1,1,0,COUNT(Curvas_cupon_cero!$A:$A)-2,1),OFFSET(Curvas_cupon_cero!$A$1,1,MATCH($B$6,Curvas_cupon_cero!$1:$1,0)-1,COUNT(Curvas_cupon_cero!$A:$A)-2,1)),interpolar(E515,OFFSET(Curvas_cupon_cero!$A$1,1,0,COUNT(Curvas_cupon_cero!$A:$A)-2,1),OFFSET(Curvas_cupon_cero!$A$1,1,MATCH($B$6,Curvas_cupon_cero!$1:$1,0)-1,COUNT(Curvas_cupon_cero!$A:$A)-2,1))))</f>
        <v/>
      </c>
      <c r="G515" s="23" t="str">
        <f ca="1">IF(A515="","",IF($B$8="Sí",interpolar_alamb(E515,OFFSET(Curvas_cupon_cero!$A$1,1,0,COUNT(Curvas_cupon_cero!$A:$A)-2,1),OFFSET(Curvas_cupon_cero!$A$1,1,MATCH($B$7,Curvas_cupon_cero!$1:$1,0)-1,COUNT(Curvas_cupon_cero!$A:$A)-2,1)),interpolar(E515,OFFSET(Curvas_cupon_cero!$A$1,1,0,COUNT(Curvas_cupon_cero!$A:$A)-2,1),OFFSET(Curvas_cupon_cero!$A$1,1,MATCH($B$7,Curvas_cupon_cero!$1:$1,0)-1,COUNT(Curvas_cupon_cero!$A:$A)-2,1))))</f>
        <v/>
      </c>
      <c r="H515" s="19" t="str">
        <f t="shared" si="43"/>
        <v/>
      </c>
    </row>
    <row r="516" spans="1:8" x14ac:dyDescent="0.2">
      <c r="A516" s="12" t="str">
        <f t="shared" si="44"/>
        <v/>
      </c>
      <c r="B516" s="21" t="str">
        <f t="shared" si="45"/>
        <v/>
      </c>
      <c r="C516" s="17" t="str">
        <f t="shared" si="42"/>
        <v/>
      </c>
      <c r="D516" s="18" t="str">
        <f t="shared" si="46"/>
        <v/>
      </c>
      <c r="E516" t="str">
        <f t="shared" si="47"/>
        <v/>
      </c>
      <c r="F516" s="23" t="str">
        <f ca="1">IF(A516="","",IF($B$8="Sí",interpolar_alamb(E516,OFFSET(Curvas_cupon_cero!$A$1,1,0,COUNT(Curvas_cupon_cero!$A:$A)-2,1),OFFSET(Curvas_cupon_cero!$A$1,1,MATCH($B$6,Curvas_cupon_cero!$1:$1,0)-1,COUNT(Curvas_cupon_cero!$A:$A)-2,1)),interpolar(E516,OFFSET(Curvas_cupon_cero!$A$1,1,0,COUNT(Curvas_cupon_cero!$A:$A)-2,1),OFFSET(Curvas_cupon_cero!$A$1,1,MATCH($B$6,Curvas_cupon_cero!$1:$1,0)-1,COUNT(Curvas_cupon_cero!$A:$A)-2,1))))</f>
        <v/>
      </c>
      <c r="G516" s="23" t="str">
        <f ca="1">IF(A516="","",IF($B$8="Sí",interpolar_alamb(E516,OFFSET(Curvas_cupon_cero!$A$1,1,0,COUNT(Curvas_cupon_cero!$A:$A)-2,1),OFFSET(Curvas_cupon_cero!$A$1,1,MATCH($B$7,Curvas_cupon_cero!$1:$1,0)-1,COUNT(Curvas_cupon_cero!$A:$A)-2,1)),interpolar(E516,OFFSET(Curvas_cupon_cero!$A$1,1,0,COUNT(Curvas_cupon_cero!$A:$A)-2,1),OFFSET(Curvas_cupon_cero!$A$1,1,MATCH($B$7,Curvas_cupon_cero!$1:$1,0)-1,COUNT(Curvas_cupon_cero!$A:$A)-2,1))))</f>
        <v/>
      </c>
      <c r="H516" s="19" t="str">
        <f t="shared" si="43"/>
        <v/>
      </c>
    </row>
    <row r="517" spans="1:8" x14ac:dyDescent="0.2">
      <c r="A517" s="12" t="str">
        <f t="shared" si="44"/>
        <v/>
      </c>
      <c r="B517" s="21" t="str">
        <f t="shared" si="45"/>
        <v/>
      </c>
      <c r="C517" s="17" t="str">
        <f t="shared" si="42"/>
        <v/>
      </c>
      <c r="D517" s="18" t="str">
        <f t="shared" si="46"/>
        <v/>
      </c>
      <c r="E517" t="str">
        <f t="shared" si="47"/>
        <v/>
      </c>
      <c r="F517" s="23" t="str">
        <f ca="1">IF(A517="","",IF($B$8="Sí",interpolar_alamb(E517,OFFSET(Curvas_cupon_cero!$A$1,1,0,COUNT(Curvas_cupon_cero!$A:$A)-2,1),OFFSET(Curvas_cupon_cero!$A$1,1,MATCH($B$6,Curvas_cupon_cero!$1:$1,0)-1,COUNT(Curvas_cupon_cero!$A:$A)-2,1)),interpolar(E517,OFFSET(Curvas_cupon_cero!$A$1,1,0,COUNT(Curvas_cupon_cero!$A:$A)-2,1),OFFSET(Curvas_cupon_cero!$A$1,1,MATCH($B$6,Curvas_cupon_cero!$1:$1,0)-1,COUNT(Curvas_cupon_cero!$A:$A)-2,1))))</f>
        <v/>
      </c>
      <c r="G517" s="23" t="str">
        <f ca="1">IF(A517="","",IF($B$8="Sí",interpolar_alamb(E517,OFFSET(Curvas_cupon_cero!$A$1,1,0,COUNT(Curvas_cupon_cero!$A:$A)-2,1),OFFSET(Curvas_cupon_cero!$A$1,1,MATCH($B$7,Curvas_cupon_cero!$1:$1,0)-1,COUNT(Curvas_cupon_cero!$A:$A)-2,1)),interpolar(E517,OFFSET(Curvas_cupon_cero!$A$1,1,0,COUNT(Curvas_cupon_cero!$A:$A)-2,1),OFFSET(Curvas_cupon_cero!$A$1,1,MATCH($B$7,Curvas_cupon_cero!$1:$1,0)-1,COUNT(Curvas_cupon_cero!$A:$A)-2,1))))</f>
        <v/>
      </c>
      <c r="H517" s="19" t="str">
        <f t="shared" si="43"/>
        <v/>
      </c>
    </row>
    <row r="518" spans="1:8" x14ac:dyDescent="0.2">
      <c r="A518" s="12" t="str">
        <f t="shared" si="44"/>
        <v/>
      </c>
      <c r="B518" s="21" t="str">
        <f t="shared" si="45"/>
        <v/>
      </c>
      <c r="C518" s="17" t="str">
        <f t="shared" si="42"/>
        <v/>
      </c>
      <c r="D518" s="18" t="str">
        <f t="shared" si="46"/>
        <v/>
      </c>
      <c r="E518" t="str">
        <f t="shared" si="47"/>
        <v/>
      </c>
      <c r="F518" s="23" t="str">
        <f ca="1">IF(A518="","",IF($B$8="Sí",interpolar_alamb(E518,OFFSET(Curvas_cupon_cero!$A$1,1,0,COUNT(Curvas_cupon_cero!$A:$A)-2,1),OFFSET(Curvas_cupon_cero!$A$1,1,MATCH($B$6,Curvas_cupon_cero!$1:$1,0)-1,COUNT(Curvas_cupon_cero!$A:$A)-2,1)),interpolar(E518,OFFSET(Curvas_cupon_cero!$A$1,1,0,COUNT(Curvas_cupon_cero!$A:$A)-2,1),OFFSET(Curvas_cupon_cero!$A$1,1,MATCH($B$6,Curvas_cupon_cero!$1:$1,0)-1,COUNT(Curvas_cupon_cero!$A:$A)-2,1))))</f>
        <v/>
      </c>
      <c r="G518" s="23" t="str">
        <f ca="1">IF(A518="","",IF($B$8="Sí",interpolar_alamb(E518,OFFSET(Curvas_cupon_cero!$A$1,1,0,COUNT(Curvas_cupon_cero!$A:$A)-2,1),OFFSET(Curvas_cupon_cero!$A$1,1,MATCH($B$7,Curvas_cupon_cero!$1:$1,0)-1,COUNT(Curvas_cupon_cero!$A:$A)-2,1)),interpolar(E518,OFFSET(Curvas_cupon_cero!$A$1,1,0,COUNT(Curvas_cupon_cero!$A:$A)-2,1),OFFSET(Curvas_cupon_cero!$A$1,1,MATCH($B$7,Curvas_cupon_cero!$1:$1,0)-1,COUNT(Curvas_cupon_cero!$A:$A)-2,1))))</f>
        <v/>
      </c>
      <c r="H518" s="19" t="str">
        <f t="shared" si="43"/>
        <v/>
      </c>
    </row>
    <row r="519" spans="1:8" x14ac:dyDescent="0.2">
      <c r="A519" s="12" t="str">
        <f t="shared" si="44"/>
        <v/>
      </c>
      <c r="B519" s="21" t="str">
        <f t="shared" si="45"/>
        <v/>
      </c>
      <c r="C519" s="17" t="str">
        <f t="shared" si="42"/>
        <v/>
      </c>
      <c r="D519" s="18" t="str">
        <f t="shared" si="46"/>
        <v/>
      </c>
      <c r="E519" t="str">
        <f t="shared" si="47"/>
        <v/>
      </c>
      <c r="F519" s="23" t="str">
        <f ca="1">IF(A519="","",IF($B$8="Sí",interpolar_alamb(E519,OFFSET(Curvas_cupon_cero!$A$1,1,0,COUNT(Curvas_cupon_cero!$A:$A)-2,1),OFFSET(Curvas_cupon_cero!$A$1,1,MATCH($B$6,Curvas_cupon_cero!$1:$1,0)-1,COUNT(Curvas_cupon_cero!$A:$A)-2,1)),interpolar(E519,OFFSET(Curvas_cupon_cero!$A$1,1,0,COUNT(Curvas_cupon_cero!$A:$A)-2,1),OFFSET(Curvas_cupon_cero!$A$1,1,MATCH($B$6,Curvas_cupon_cero!$1:$1,0)-1,COUNT(Curvas_cupon_cero!$A:$A)-2,1))))</f>
        <v/>
      </c>
      <c r="G519" s="23" t="str">
        <f ca="1">IF(A519="","",IF($B$8="Sí",interpolar_alamb(E519,OFFSET(Curvas_cupon_cero!$A$1,1,0,COUNT(Curvas_cupon_cero!$A:$A)-2,1),OFFSET(Curvas_cupon_cero!$A$1,1,MATCH($B$7,Curvas_cupon_cero!$1:$1,0)-1,COUNT(Curvas_cupon_cero!$A:$A)-2,1)),interpolar(E519,OFFSET(Curvas_cupon_cero!$A$1,1,0,COUNT(Curvas_cupon_cero!$A:$A)-2,1),OFFSET(Curvas_cupon_cero!$A$1,1,MATCH($B$7,Curvas_cupon_cero!$1:$1,0)-1,COUNT(Curvas_cupon_cero!$A:$A)-2,1))))</f>
        <v/>
      </c>
      <c r="H519" s="19" t="str">
        <f t="shared" si="43"/>
        <v/>
      </c>
    </row>
    <row r="520" spans="1:8" x14ac:dyDescent="0.2">
      <c r="A520" s="12" t="str">
        <f t="shared" si="44"/>
        <v/>
      </c>
      <c r="B520" s="21" t="str">
        <f t="shared" si="45"/>
        <v/>
      </c>
      <c r="C520" s="17" t="str">
        <f t="shared" si="42"/>
        <v/>
      </c>
      <c r="D520" s="18" t="str">
        <f t="shared" si="46"/>
        <v/>
      </c>
      <c r="E520" t="str">
        <f t="shared" si="47"/>
        <v/>
      </c>
      <c r="F520" s="23" t="str">
        <f ca="1">IF(A520="","",IF($B$8="Sí",interpolar_alamb(E520,OFFSET(Curvas_cupon_cero!$A$1,1,0,COUNT(Curvas_cupon_cero!$A:$A)-2,1),OFFSET(Curvas_cupon_cero!$A$1,1,MATCH($B$6,Curvas_cupon_cero!$1:$1,0)-1,COUNT(Curvas_cupon_cero!$A:$A)-2,1)),interpolar(E520,OFFSET(Curvas_cupon_cero!$A$1,1,0,COUNT(Curvas_cupon_cero!$A:$A)-2,1),OFFSET(Curvas_cupon_cero!$A$1,1,MATCH($B$6,Curvas_cupon_cero!$1:$1,0)-1,COUNT(Curvas_cupon_cero!$A:$A)-2,1))))</f>
        <v/>
      </c>
      <c r="G520" s="23" t="str">
        <f ca="1">IF(A520="","",IF($B$8="Sí",interpolar_alamb(E520,OFFSET(Curvas_cupon_cero!$A$1,1,0,COUNT(Curvas_cupon_cero!$A:$A)-2,1),OFFSET(Curvas_cupon_cero!$A$1,1,MATCH($B$7,Curvas_cupon_cero!$1:$1,0)-1,COUNT(Curvas_cupon_cero!$A:$A)-2,1)),interpolar(E520,OFFSET(Curvas_cupon_cero!$A$1,1,0,COUNT(Curvas_cupon_cero!$A:$A)-2,1),OFFSET(Curvas_cupon_cero!$A$1,1,MATCH($B$7,Curvas_cupon_cero!$1:$1,0)-1,COUNT(Curvas_cupon_cero!$A:$A)-2,1))))</f>
        <v/>
      </c>
      <c r="H520" s="19" t="str">
        <f t="shared" si="43"/>
        <v/>
      </c>
    </row>
    <row r="521" spans="1:8" x14ac:dyDescent="0.2">
      <c r="A521" s="12" t="str">
        <f t="shared" si="44"/>
        <v/>
      </c>
      <c r="B521" s="21" t="str">
        <f t="shared" si="45"/>
        <v/>
      </c>
      <c r="C521" s="17" t="str">
        <f t="shared" si="42"/>
        <v/>
      </c>
      <c r="D521" s="18" t="str">
        <f t="shared" si="46"/>
        <v/>
      </c>
      <c r="E521" t="str">
        <f t="shared" si="47"/>
        <v/>
      </c>
      <c r="F521" s="23" t="str">
        <f ca="1">IF(A521="","",IF($B$8="Sí",interpolar_alamb(E521,OFFSET(Curvas_cupon_cero!$A$1,1,0,COUNT(Curvas_cupon_cero!$A:$A)-2,1),OFFSET(Curvas_cupon_cero!$A$1,1,MATCH($B$6,Curvas_cupon_cero!$1:$1,0)-1,COUNT(Curvas_cupon_cero!$A:$A)-2,1)),interpolar(E521,OFFSET(Curvas_cupon_cero!$A$1,1,0,COUNT(Curvas_cupon_cero!$A:$A)-2,1),OFFSET(Curvas_cupon_cero!$A$1,1,MATCH($B$6,Curvas_cupon_cero!$1:$1,0)-1,COUNT(Curvas_cupon_cero!$A:$A)-2,1))))</f>
        <v/>
      </c>
      <c r="G521" s="23" t="str">
        <f ca="1">IF(A521="","",IF($B$8="Sí",interpolar_alamb(E521,OFFSET(Curvas_cupon_cero!$A$1,1,0,COUNT(Curvas_cupon_cero!$A:$A)-2,1),OFFSET(Curvas_cupon_cero!$A$1,1,MATCH($B$7,Curvas_cupon_cero!$1:$1,0)-1,COUNT(Curvas_cupon_cero!$A:$A)-2,1)),interpolar(E521,OFFSET(Curvas_cupon_cero!$A$1,1,0,COUNT(Curvas_cupon_cero!$A:$A)-2,1),OFFSET(Curvas_cupon_cero!$A$1,1,MATCH($B$7,Curvas_cupon_cero!$1:$1,0)-1,COUNT(Curvas_cupon_cero!$A:$A)-2,1))))</f>
        <v/>
      </c>
      <c r="H521" s="19" t="str">
        <f t="shared" si="43"/>
        <v/>
      </c>
    </row>
    <row r="522" spans="1:8" x14ac:dyDescent="0.2">
      <c r="A522" s="12" t="str">
        <f t="shared" si="44"/>
        <v/>
      </c>
      <c r="B522" s="21" t="str">
        <f t="shared" si="45"/>
        <v/>
      </c>
      <c r="C522" s="17" t="str">
        <f t="shared" si="42"/>
        <v/>
      </c>
      <c r="D522" s="18" t="str">
        <f t="shared" si="46"/>
        <v/>
      </c>
      <c r="E522" t="str">
        <f t="shared" si="47"/>
        <v/>
      </c>
      <c r="F522" s="23" t="str">
        <f ca="1">IF(A522="","",IF($B$8="Sí",interpolar_alamb(E522,OFFSET(Curvas_cupon_cero!$A$1,1,0,COUNT(Curvas_cupon_cero!$A:$A)-2,1),OFFSET(Curvas_cupon_cero!$A$1,1,MATCH($B$6,Curvas_cupon_cero!$1:$1,0)-1,COUNT(Curvas_cupon_cero!$A:$A)-2,1)),interpolar(E522,OFFSET(Curvas_cupon_cero!$A$1,1,0,COUNT(Curvas_cupon_cero!$A:$A)-2,1),OFFSET(Curvas_cupon_cero!$A$1,1,MATCH($B$6,Curvas_cupon_cero!$1:$1,0)-1,COUNT(Curvas_cupon_cero!$A:$A)-2,1))))</f>
        <v/>
      </c>
      <c r="G522" s="23" t="str">
        <f ca="1">IF(A522="","",IF($B$8="Sí",interpolar_alamb(E522,OFFSET(Curvas_cupon_cero!$A$1,1,0,COUNT(Curvas_cupon_cero!$A:$A)-2,1),OFFSET(Curvas_cupon_cero!$A$1,1,MATCH($B$7,Curvas_cupon_cero!$1:$1,0)-1,COUNT(Curvas_cupon_cero!$A:$A)-2,1)),interpolar(E522,OFFSET(Curvas_cupon_cero!$A$1,1,0,COUNT(Curvas_cupon_cero!$A:$A)-2,1),OFFSET(Curvas_cupon_cero!$A$1,1,MATCH($B$7,Curvas_cupon_cero!$1:$1,0)-1,COUNT(Curvas_cupon_cero!$A:$A)-2,1))))</f>
        <v/>
      </c>
      <c r="H522" s="19" t="str">
        <f t="shared" si="43"/>
        <v/>
      </c>
    </row>
    <row r="523" spans="1:8" x14ac:dyDescent="0.2">
      <c r="A523" s="12" t="str">
        <f t="shared" si="44"/>
        <v/>
      </c>
      <c r="B523" s="21" t="str">
        <f t="shared" si="45"/>
        <v/>
      </c>
      <c r="C523" s="17" t="str">
        <f t="shared" si="42"/>
        <v/>
      </c>
      <c r="D523" s="18" t="str">
        <f t="shared" si="46"/>
        <v/>
      </c>
      <c r="E523" t="str">
        <f t="shared" si="47"/>
        <v/>
      </c>
      <c r="F523" s="23" t="str">
        <f ca="1">IF(A523="","",IF($B$8="Sí",interpolar_alamb(E523,OFFSET(Curvas_cupon_cero!$A$1,1,0,COUNT(Curvas_cupon_cero!$A:$A)-2,1),OFFSET(Curvas_cupon_cero!$A$1,1,MATCH($B$6,Curvas_cupon_cero!$1:$1,0)-1,COUNT(Curvas_cupon_cero!$A:$A)-2,1)),interpolar(E523,OFFSET(Curvas_cupon_cero!$A$1,1,0,COUNT(Curvas_cupon_cero!$A:$A)-2,1),OFFSET(Curvas_cupon_cero!$A$1,1,MATCH($B$6,Curvas_cupon_cero!$1:$1,0)-1,COUNT(Curvas_cupon_cero!$A:$A)-2,1))))</f>
        <v/>
      </c>
      <c r="G523" s="23" t="str">
        <f ca="1">IF(A523="","",IF($B$8="Sí",interpolar_alamb(E523,OFFSET(Curvas_cupon_cero!$A$1,1,0,COUNT(Curvas_cupon_cero!$A:$A)-2,1),OFFSET(Curvas_cupon_cero!$A$1,1,MATCH($B$7,Curvas_cupon_cero!$1:$1,0)-1,COUNT(Curvas_cupon_cero!$A:$A)-2,1)),interpolar(E523,OFFSET(Curvas_cupon_cero!$A$1,1,0,COUNT(Curvas_cupon_cero!$A:$A)-2,1),OFFSET(Curvas_cupon_cero!$A$1,1,MATCH($B$7,Curvas_cupon_cero!$1:$1,0)-1,COUNT(Curvas_cupon_cero!$A:$A)-2,1))))</f>
        <v/>
      </c>
      <c r="H523" s="19" t="str">
        <f t="shared" si="43"/>
        <v/>
      </c>
    </row>
    <row r="524" spans="1:8" x14ac:dyDescent="0.2">
      <c r="A524" s="12" t="str">
        <f t="shared" si="44"/>
        <v/>
      </c>
      <c r="B524" s="21" t="str">
        <f t="shared" si="45"/>
        <v/>
      </c>
      <c r="C524" s="17" t="str">
        <f t="shared" si="42"/>
        <v/>
      </c>
      <c r="D524" s="18" t="str">
        <f t="shared" si="46"/>
        <v/>
      </c>
      <c r="E524" t="str">
        <f t="shared" si="47"/>
        <v/>
      </c>
      <c r="F524" s="23" t="str">
        <f ca="1">IF(A524="","",IF($B$8="Sí",interpolar_alamb(E524,OFFSET(Curvas_cupon_cero!$A$1,1,0,COUNT(Curvas_cupon_cero!$A:$A)-2,1),OFFSET(Curvas_cupon_cero!$A$1,1,MATCH($B$6,Curvas_cupon_cero!$1:$1,0)-1,COUNT(Curvas_cupon_cero!$A:$A)-2,1)),interpolar(E524,OFFSET(Curvas_cupon_cero!$A$1,1,0,COUNT(Curvas_cupon_cero!$A:$A)-2,1),OFFSET(Curvas_cupon_cero!$A$1,1,MATCH($B$6,Curvas_cupon_cero!$1:$1,0)-1,COUNT(Curvas_cupon_cero!$A:$A)-2,1))))</f>
        <v/>
      </c>
      <c r="G524" s="23" t="str">
        <f ca="1">IF(A524="","",IF($B$8="Sí",interpolar_alamb(E524,OFFSET(Curvas_cupon_cero!$A$1,1,0,COUNT(Curvas_cupon_cero!$A:$A)-2,1),OFFSET(Curvas_cupon_cero!$A$1,1,MATCH($B$7,Curvas_cupon_cero!$1:$1,0)-1,COUNT(Curvas_cupon_cero!$A:$A)-2,1)),interpolar(E524,OFFSET(Curvas_cupon_cero!$A$1,1,0,COUNT(Curvas_cupon_cero!$A:$A)-2,1),OFFSET(Curvas_cupon_cero!$A$1,1,MATCH($B$7,Curvas_cupon_cero!$1:$1,0)-1,COUNT(Curvas_cupon_cero!$A:$A)-2,1))))</f>
        <v/>
      </c>
      <c r="H524" s="19" t="str">
        <f t="shared" si="43"/>
        <v/>
      </c>
    </row>
    <row r="525" spans="1:8" x14ac:dyDescent="0.2">
      <c r="A525" s="12" t="str">
        <f t="shared" si="44"/>
        <v/>
      </c>
      <c r="B525" s="21" t="str">
        <f t="shared" si="45"/>
        <v/>
      </c>
      <c r="C525" s="17" t="str">
        <f t="shared" si="42"/>
        <v/>
      </c>
      <c r="D525" s="18" t="str">
        <f t="shared" si="46"/>
        <v/>
      </c>
      <c r="E525" t="str">
        <f t="shared" si="47"/>
        <v/>
      </c>
      <c r="F525" s="23" t="str">
        <f ca="1">IF(A525="","",IF($B$8="Sí",interpolar_alamb(E525,OFFSET(Curvas_cupon_cero!$A$1,1,0,COUNT(Curvas_cupon_cero!$A:$A)-2,1),OFFSET(Curvas_cupon_cero!$A$1,1,MATCH($B$6,Curvas_cupon_cero!$1:$1,0)-1,COUNT(Curvas_cupon_cero!$A:$A)-2,1)),interpolar(E525,OFFSET(Curvas_cupon_cero!$A$1,1,0,COUNT(Curvas_cupon_cero!$A:$A)-2,1),OFFSET(Curvas_cupon_cero!$A$1,1,MATCH($B$6,Curvas_cupon_cero!$1:$1,0)-1,COUNT(Curvas_cupon_cero!$A:$A)-2,1))))</f>
        <v/>
      </c>
      <c r="G525" s="23" t="str">
        <f ca="1">IF(A525="","",IF($B$8="Sí",interpolar_alamb(E525,OFFSET(Curvas_cupon_cero!$A$1,1,0,COUNT(Curvas_cupon_cero!$A:$A)-2,1),OFFSET(Curvas_cupon_cero!$A$1,1,MATCH($B$7,Curvas_cupon_cero!$1:$1,0)-1,COUNT(Curvas_cupon_cero!$A:$A)-2,1)),interpolar(E525,OFFSET(Curvas_cupon_cero!$A$1,1,0,COUNT(Curvas_cupon_cero!$A:$A)-2,1),OFFSET(Curvas_cupon_cero!$A$1,1,MATCH($B$7,Curvas_cupon_cero!$1:$1,0)-1,COUNT(Curvas_cupon_cero!$A:$A)-2,1))))</f>
        <v/>
      </c>
      <c r="H525" s="19" t="str">
        <f t="shared" si="43"/>
        <v/>
      </c>
    </row>
    <row r="526" spans="1:8" x14ac:dyDescent="0.2">
      <c r="A526" s="12" t="str">
        <f t="shared" si="44"/>
        <v/>
      </c>
      <c r="B526" s="21" t="str">
        <f t="shared" si="45"/>
        <v/>
      </c>
      <c r="C526" s="17" t="str">
        <f t="shared" si="42"/>
        <v/>
      </c>
      <c r="D526" s="18" t="str">
        <f t="shared" si="46"/>
        <v/>
      </c>
      <c r="E526" t="str">
        <f t="shared" si="47"/>
        <v/>
      </c>
      <c r="F526" s="23" t="str">
        <f ca="1">IF(A526="","",IF($B$8="Sí",interpolar_alamb(E526,OFFSET(Curvas_cupon_cero!$A$1,1,0,COUNT(Curvas_cupon_cero!$A:$A)-2,1),OFFSET(Curvas_cupon_cero!$A$1,1,MATCH($B$6,Curvas_cupon_cero!$1:$1,0)-1,COUNT(Curvas_cupon_cero!$A:$A)-2,1)),interpolar(E526,OFFSET(Curvas_cupon_cero!$A$1,1,0,COUNT(Curvas_cupon_cero!$A:$A)-2,1),OFFSET(Curvas_cupon_cero!$A$1,1,MATCH($B$6,Curvas_cupon_cero!$1:$1,0)-1,COUNT(Curvas_cupon_cero!$A:$A)-2,1))))</f>
        <v/>
      </c>
      <c r="G526" s="23" t="str">
        <f ca="1">IF(A526="","",IF($B$8="Sí",interpolar_alamb(E526,OFFSET(Curvas_cupon_cero!$A$1,1,0,COUNT(Curvas_cupon_cero!$A:$A)-2,1),OFFSET(Curvas_cupon_cero!$A$1,1,MATCH($B$7,Curvas_cupon_cero!$1:$1,0)-1,COUNT(Curvas_cupon_cero!$A:$A)-2,1)),interpolar(E526,OFFSET(Curvas_cupon_cero!$A$1,1,0,COUNT(Curvas_cupon_cero!$A:$A)-2,1),OFFSET(Curvas_cupon_cero!$A$1,1,MATCH($B$7,Curvas_cupon_cero!$1:$1,0)-1,COUNT(Curvas_cupon_cero!$A:$A)-2,1))))</f>
        <v/>
      </c>
      <c r="H526" s="19" t="str">
        <f t="shared" si="43"/>
        <v/>
      </c>
    </row>
    <row r="527" spans="1:8" x14ac:dyDescent="0.2">
      <c r="A527" s="12" t="str">
        <f t="shared" si="44"/>
        <v/>
      </c>
      <c r="B527" s="21" t="str">
        <f t="shared" si="45"/>
        <v/>
      </c>
      <c r="C527" s="17" t="str">
        <f t="shared" si="42"/>
        <v/>
      </c>
      <c r="D527" s="18" t="str">
        <f t="shared" si="46"/>
        <v/>
      </c>
      <c r="E527" t="str">
        <f t="shared" si="47"/>
        <v/>
      </c>
      <c r="F527" s="23" t="str">
        <f ca="1">IF(A527="","",IF($B$8="Sí",interpolar_alamb(E527,OFFSET(Curvas_cupon_cero!$A$1,1,0,COUNT(Curvas_cupon_cero!$A:$A)-2,1),OFFSET(Curvas_cupon_cero!$A$1,1,MATCH($B$6,Curvas_cupon_cero!$1:$1,0)-1,COUNT(Curvas_cupon_cero!$A:$A)-2,1)),interpolar(E527,OFFSET(Curvas_cupon_cero!$A$1,1,0,COUNT(Curvas_cupon_cero!$A:$A)-2,1),OFFSET(Curvas_cupon_cero!$A$1,1,MATCH($B$6,Curvas_cupon_cero!$1:$1,0)-1,COUNT(Curvas_cupon_cero!$A:$A)-2,1))))</f>
        <v/>
      </c>
      <c r="G527" s="23" t="str">
        <f ca="1">IF(A527="","",IF($B$8="Sí",interpolar_alamb(E527,OFFSET(Curvas_cupon_cero!$A$1,1,0,COUNT(Curvas_cupon_cero!$A:$A)-2,1),OFFSET(Curvas_cupon_cero!$A$1,1,MATCH($B$7,Curvas_cupon_cero!$1:$1,0)-1,COUNT(Curvas_cupon_cero!$A:$A)-2,1)),interpolar(E527,OFFSET(Curvas_cupon_cero!$A$1,1,0,COUNT(Curvas_cupon_cero!$A:$A)-2,1),OFFSET(Curvas_cupon_cero!$A$1,1,MATCH($B$7,Curvas_cupon_cero!$1:$1,0)-1,COUNT(Curvas_cupon_cero!$A:$A)-2,1))))</f>
        <v/>
      </c>
      <c r="H527" s="19" t="str">
        <f t="shared" si="43"/>
        <v/>
      </c>
    </row>
    <row r="528" spans="1:8" x14ac:dyDescent="0.2">
      <c r="A528" s="12" t="str">
        <f t="shared" si="44"/>
        <v/>
      </c>
      <c r="B528" s="21" t="str">
        <f t="shared" si="45"/>
        <v/>
      </c>
      <c r="C528" s="17" t="str">
        <f t="shared" ref="C528:C591" si="48">IF(A528="","",IF(A528=$B$4,$B$1*$B$2+$B$1*$B$5/360*$B$2*B528, $B$1*$B$5/360*$B$2*B528))</f>
        <v/>
      </c>
      <c r="D528" s="18" t="str">
        <f t="shared" si="46"/>
        <v/>
      </c>
      <c r="E528" t="str">
        <f t="shared" si="47"/>
        <v/>
      </c>
      <c r="F528" s="23" t="str">
        <f ca="1">IF(A528="","",IF($B$8="Sí",interpolar_alamb(E528,OFFSET(Curvas_cupon_cero!$A$1,1,0,COUNT(Curvas_cupon_cero!$A:$A)-2,1),OFFSET(Curvas_cupon_cero!$A$1,1,MATCH($B$6,Curvas_cupon_cero!$1:$1,0)-1,COUNT(Curvas_cupon_cero!$A:$A)-2,1)),interpolar(E528,OFFSET(Curvas_cupon_cero!$A$1,1,0,COUNT(Curvas_cupon_cero!$A:$A)-2,1),OFFSET(Curvas_cupon_cero!$A$1,1,MATCH($B$6,Curvas_cupon_cero!$1:$1,0)-1,COUNT(Curvas_cupon_cero!$A:$A)-2,1))))</f>
        <v/>
      </c>
      <c r="G528" s="23" t="str">
        <f ca="1">IF(A528="","",IF($B$8="Sí",interpolar_alamb(E528,OFFSET(Curvas_cupon_cero!$A$1,1,0,COUNT(Curvas_cupon_cero!$A:$A)-2,1),OFFSET(Curvas_cupon_cero!$A$1,1,MATCH($B$7,Curvas_cupon_cero!$1:$1,0)-1,COUNT(Curvas_cupon_cero!$A:$A)-2,1)),interpolar(E528,OFFSET(Curvas_cupon_cero!$A$1,1,0,COUNT(Curvas_cupon_cero!$A:$A)-2,1),OFFSET(Curvas_cupon_cero!$A$1,1,MATCH($B$7,Curvas_cupon_cero!$1:$1,0)-1,COUNT(Curvas_cupon_cero!$A:$A)-2,1))))</f>
        <v/>
      </c>
      <c r="H528" s="19" t="str">
        <f t="shared" ref="H528:H591" si="49">IF(A528="","",C528/(1+(F528+G528)*E528/360))</f>
        <v/>
      </c>
    </row>
    <row r="529" spans="1:8" x14ac:dyDescent="0.2">
      <c r="A529" s="12" t="str">
        <f t="shared" ref="A529:A592" si="50">IF(A528="","",IF((A528+$B$5)&gt;$B$4,"",(A528+$B$5)))</f>
        <v/>
      </c>
      <c r="B529" s="21" t="str">
        <f t="shared" ref="B529:B592" si="51">IF(A529="","",((1+$B$9/360)^$B$5-1)*360/$B$5)</f>
        <v/>
      </c>
      <c r="C529" s="17" t="str">
        <f t="shared" si="48"/>
        <v/>
      </c>
      <c r="D529" s="18" t="str">
        <f t="shared" ref="D529:D592" si="52">IF(A529="","",$B$5)</f>
        <v/>
      </c>
      <c r="E529" t="str">
        <f t="shared" ref="E529:E592" si="53">IF(A529="","",E528+D529)</f>
        <v/>
      </c>
      <c r="F529" s="23" t="str">
        <f ca="1">IF(A529="","",IF($B$8="Sí",interpolar_alamb(E529,OFFSET(Curvas_cupon_cero!$A$1,1,0,COUNT(Curvas_cupon_cero!$A:$A)-2,1),OFFSET(Curvas_cupon_cero!$A$1,1,MATCH($B$6,Curvas_cupon_cero!$1:$1,0)-1,COUNT(Curvas_cupon_cero!$A:$A)-2,1)),interpolar(E529,OFFSET(Curvas_cupon_cero!$A$1,1,0,COUNT(Curvas_cupon_cero!$A:$A)-2,1),OFFSET(Curvas_cupon_cero!$A$1,1,MATCH($B$6,Curvas_cupon_cero!$1:$1,0)-1,COUNT(Curvas_cupon_cero!$A:$A)-2,1))))</f>
        <v/>
      </c>
      <c r="G529" s="23" t="str">
        <f ca="1">IF(A529="","",IF($B$8="Sí",interpolar_alamb(E529,OFFSET(Curvas_cupon_cero!$A$1,1,0,COUNT(Curvas_cupon_cero!$A:$A)-2,1),OFFSET(Curvas_cupon_cero!$A$1,1,MATCH($B$7,Curvas_cupon_cero!$1:$1,0)-1,COUNT(Curvas_cupon_cero!$A:$A)-2,1)),interpolar(E529,OFFSET(Curvas_cupon_cero!$A$1,1,0,COUNT(Curvas_cupon_cero!$A:$A)-2,1),OFFSET(Curvas_cupon_cero!$A$1,1,MATCH($B$7,Curvas_cupon_cero!$1:$1,0)-1,COUNT(Curvas_cupon_cero!$A:$A)-2,1))))</f>
        <v/>
      </c>
      <c r="H529" s="19" t="str">
        <f t="shared" si="49"/>
        <v/>
      </c>
    </row>
    <row r="530" spans="1:8" x14ac:dyDescent="0.2">
      <c r="A530" s="12" t="str">
        <f t="shared" si="50"/>
        <v/>
      </c>
      <c r="B530" s="21" t="str">
        <f t="shared" si="51"/>
        <v/>
      </c>
      <c r="C530" s="17" t="str">
        <f t="shared" si="48"/>
        <v/>
      </c>
      <c r="D530" s="18" t="str">
        <f t="shared" si="52"/>
        <v/>
      </c>
      <c r="E530" t="str">
        <f t="shared" si="53"/>
        <v/>
      </c>
      <c r="F530" s="23" t="str">
        <f ca="1">IF(A530="","",IF($B$8="Sí",interpolar_alamb(E530,OFFSET(Curvas_cupon_cero!$A$1,1,0,COUNT(Curvas_cupon_cero!$A:$A)-2,1),OFFSET(Curvas_cupon_cero!$A$1,1,MATCH($B$6,Curvas_cupon_cero!$1:$1,0)-1,COUNT(Curvas_cupon_cero!$A:$A)-2,1)),interpolar(E530,OFFSET(Curvas_cupon_cero!$A$1,1,0,COUNT(Curvas_cupon_cero!$A:$A)-2,1),OFFSET(Curvas_cupon_cero!$A$1,1,MATCH($B$6,Curvas_cupon_cero!$1:$1,0)-1,COUNT(Curvas_cupon_cero!$A:$A)-2,1))))</f>
        <v/>
      </c>
      <c r="G530" s="23" t="str">
        <f ca="1">IF(A530="","",IF($B$8="Sí",interpolar_alamb(E530,OFFSET(Curvas_cupon_cero!$A$1,1,0,COUNT(Curvas_cupon_cero!$A:$A)-2,1),OFFSET(Curvas_cupon_cero!$A$1,1,MATCH($B$7,Curvas_cupon_cero!$1:$1,0)-1,COUNT(Curvas_cupon_cero!$A:$A)-2,1)),interpolar(E530,OFFSET(Curvas_cupon_cero!$A$1,1,0,COUNT(Curvas_cupon_cero!$A:$A)-2,1),OFFSET(Curvas_cupon_cero!$A$1,1,MATCH($B$7,Curvas_cupon_cero!$1:$1,0)-1,COUNT(Curvas_cupon_cero!$A:$A)-2,1))))</f>
        <v/>
      </c>
      <c r="H530" s="19" t="str">
        <f t="shared" si="49"/>
        <v/>
      </c>
    </row>
    <row r="531" spans="1:8" x14ac:dyDescent="0.2">
      <c r="A531" s="12" t="str">
        <f t="shared" si="50"/>
        <v/>
      </c>
      <c r="B531" s="21" t="str">
        <f t="shared" si="51"/>
        <v/>
      </c>
      <c r="C531" s="17" t="str">
        <f t="shared" si="48"/>
        <v/>
      </c>
      <c r="D531" s="18" t="str">
        <f t="shared" si="52"/>
        <v/>
      </c>
      <c r="E531" t="str">
        <f t="shared" si="53"/>
        <v/>
      </c>
      <c r="F531" s="23" t="str">
        <f ca="1">IF(A531="","",IF($B$8="Sí",interpolar_alamb(E531,OFFSET(Curvas_cupon_cero!$A$1,1,0,COUNT(Curvas_cupon_cero!$A:$A)-2,1),OFFSET(Curvas_cupon_cero!$A$1,1,MATCH($B$6,Curvas_cupon_cero!$1:$1,0)-1,COUNT(Curvas_cupon_cero!$A:$A)-2,1)),interpolar(E531,OFFSET(Curvas_cupon_cero!$A$1,1,0,COUNT(Curvas_cupon_cero!$A:$A)-2,1),OFFSET(Curvas_cupon_cero!$A$1,1,MATCH($B$6,Curvas_cupon_cero!$1:$1,0)-1,COUNT(Curvas_cupon_cero!$A:$A)-2,1))))</f>
        <v/>
      </c>
      <c r="G531" s="23" t="str">
        <f ca="1">IF(A531="","",IF($B$8="Sí",interpolar_alamb(E531,OFFSET(Curvas_cupon_cero!$A$1,1,0,COUNT(Curvas_cupon_cero!$A:$A)-2,1),OFFSET(Curvas_cupon_cero!$A$1,1,MATCH($B$7,Curvas_cupon_cero!$1:$1,0)-1,COUNT(Curvas_cupon_cero!$A:$A)-2,1)),interpolar(E531,OFFSET(Curvas_cupon_cero!$A$1,1,0,COUNT(Curvas_cupon_cero!$A:$A)-2,1),OFFSET(Curvas_cupon_cero!$A$1,1,MATCH($B$7,Curvas_cupon_cero!$1:$1,0)-1,COUNT(Curvas_cupon_cero!$A:$A)-2,1))))</f>
        <v/>
      </c>
      <c r="H531" s="19" t="str">
        <f t="shared" si="49"/>
        <v/>
      </c>
    </row>
    <row r="532" spans="1:8" x14ac:dyDescent="0.2">
      <c r="A532" s="12" t="str">
        <f t="shared" si="50"/>
        <v/>
      </c>
      <c r="B532" s="21" t="str">
        <f t="shared" si="51"/>
        <v/>
      </c>
      <c r="C532" s="17" t="str">
        <f t="shared" si="48"/>
        <v/>
      </c>
      <c r="D532" s="18" t="str">
        <f t="shared" si="52"/>
        <v/>
      </c>
      <c r="E532" t="str">
        <f t="shared" si="53"/>
        <v/>
      </c>
      <c r="F532" s="23" t="str">
        <f ca="1">IF(A532="","",IF($B$8="Sí",interpolar_alamb(E532,OFFSET(Curvas_cupon_cero!$A$1,1,0,COUNT(Curvas_cupon_cero!$A:$A)-2,1),OFFSET(Curvas_cupon_cero!$A$1,1,MATCH($B$6,Curvas_cupon_cero!$1:$1,0)-1,COUNT(Curvas_cupon_cero!$A:$A)-2,1)),interpolar(E532,OFFSET(Curvas_cupon_cero!$A$1,1,0,COUNT(Curvas_cupon_cero!$A:$A)-2,1),OFFSET(Curvas_cupon_cero!$A$1,1,MATCH($B$6,Curvas_cupon_cero!$1:$1,0)-1,COUNT(Curvas_cupon_cero!$A:$A)-2,1))))</f>
        <v/>
      </c>
      <c r="G532" s="23" t="str">
        <f ca="1">IF(A532="","",IF($B$8="Sí",interpolar_alamb(E532,OFFSET(Curvas_cupon_cero!$A$1,1,0,COUNT(Curvas_cupon_cero!$A:$A)-2,1),OFFSET(Curvas_cupon_cero!$A$1,1,MATCH($B$7,Curvas_cupon_cero!$1:$1,0)-1,COUNT(Curvas_cupon_cero!$A:$A)-2,1)),interpolar(E532,OFFSET(Curvas_cupon_cero!$A$1,1,0,COUNT(Curvas_cupon_cero!$A:$A)-2,1),OFFSET(Curvas_cupon_cero!$A$1,1,MATCH($B$7,Curvas_cupon_cero!$1:$1,0)-1,COUNT(Curvas_cupon_cero!$A:$A)-2,1))))</f>
        <v/>
      </c>
      <c r="H532" s="19" t="str">
        <f t="shared" si="49"/>
        <v/>
      </c>
    </row>
    <row r="533" spans="1:8" x14ac:dyDescent="0.2">
      <c r="A533" s="12" t="str">
        <f t="shared" si="50"/>
        <v/>
      </c>
      <c r="B533" s="21" t="str">
        <f t="shared" si="51"/>
        <v/>
      </c>
      <c r="C533" s="17" t="str">
        <f t="shared" si="48"/>
        <v/>
      </c>
      <c r="D533" s="18" t="str">
        <f t="shared" si="52"/>
        <v/>
      </c>
      <c r="E533" t="str">
        <f t="shared" si="53"/>
        <v/>
      </c>
      <c r="F533" s="23" t="str">
        <f ca="1">IF(A533="","",IF($B$8="Sí",interpolar_alamb(E533,OFFSET(Curvas_cupon_cero!$A$1,1,0,COUNT(Curvas_cupon_cero!$A:$A)-2,1),OFFSET(Curvas_cupon_cero!$A$1,1,MATCH($B$6,Curvas_cupon_cero!$1:$1,0)-1,COUNT(Curvas_cupon_cero!$A:$A)-2,1)),interpolar(E533,OFFSET(Curvas_cupon_cero!$A$1,1,0,COUNT(Curvas_cupon_cero!$A:$A)-2,1),OFFSET(Curvas_cupon_cero!$A$1,1,MATCH($B$6,Curvas_cupon_cero!$1:$1,0)-1,COUNT(Curvas_cupon_cero!$A:$A)-2,1))))</f>
        <v/>
      </c>
      <c r="G533" s="23" t="str">
        <f ca="1">IF(A533="","",IF($B$8="Sí",interpolar_alamb(E533,OFFSET(Curvas_cupon_cero!$A$1,1,0,COUNT(Curvas_cupon_cero!$A:$A)-2,1),OFFSET(Curvas_cupon_cero!$A$1,1,MATCH($B$7,Curvas_cupon_cero!$1:$1,0)-1,COUNT(Curvas_cupon_cero!$A:$A)-2,1)),interpolar(E533,OFFSET(Curvas_cupon_cero!$A$1,1,0,COUNT(Curvas_cupon_cero!$A:$A)-2,1),OFFSET(Curvas_cupon_cero!$A$1,1,MATCH($B$7,Curvas_cupon_cero!$1:$1,0)-1,COUNT(Curvas_cupon_cero!$A:$A)-2,1))))</f>
        <v/>
      </c>
      <c r="H533" s="19" t="str">
        <f t="shared" si="49"/>
        <v/>
      </c>
    </row>
    <row r="534" spans="1:8" x14ac:dyDescent="0.2">
      <c r="A534" s="12" t="str">
        <f t="shared" si="50"/>
        <v/>
      </c>
      <c r="B534" s="21" t="str">
        <f t="shared" si="51"/>
        <v/>
      </c>
      <c r="C534" s="17" t="str">
        <f t="shared" si="48"/>
        <v/>
      </c>
      <c r="D534" s="18" t="str">
        <f t="shared" si="52"/>
        <v/>
      </c>
      <c r="E534" t="str">
        <f t="shared" si="53"/>
        <v/>
      </c>
      <c r="F534" s="23" t="str">
        <f ca="1">IF(A534="","",IF($B$8="Sí",interpolar_alamb(E534,OFFSET(Curvas_cupon_cero!$A$1,1,0,COUNT(Curvas_cupon_cero!$A:$A)-2,1),OFFSET(Curvas_cupon_cero!$A$1,1,MATCH($B$6,Curvas_cupon_cero!$1:$1,0)-1,COUNT(Curvas_cupon_cero!$A:$A)-2,1)),interpolar(E534,OFFSET(Curvas_cupon_cero!$A$1,1,0,COUNT(Curvas_cupon_cero!$A:$A)-2,1),OFFSET(Curvas_cupon_cero!$A$1,1,MATCH($B$6,Curvas_cupon_cero!$1:$1,0)-1,COUNT(Curvas_cupon_cero!$A:$A)-2,1))))</f>
        <v/>
      </c>
      <c r="G534" s="23" t="str">
        <f ca="1">IF(A534="","",IF($B$8="Sí",interpolar_alamb(E534,OFFSET(Curvas_cupon_cero!$A$1,1,0,COUNT(Curvas_cupon_cero!$A:$A)-2,1),OFFSET(Curvas_cupon_cero!$A$1,1,MATCH($B$7,Curvas_cupon_cero!$1:$1,0)-1,COUNT(Curvas_cupon_cero!$A:$A)-2,1)),interpolar(E534,OFFSET(Curvas_cupon_cero!$A$1,1,0,COUNT(Curvas_cupon_cero!$A:$A)-2,1),OFFSET(Curvas_cupon_cero!$A$1,1,MATCH($B$7,Curvas_cupon_cero!$1:$1,0)-1,COUNT(Curvas_cupon_cero!$A:$A)-2,1))))</f>
        <v/>
      </c>
      <c r="H534" s="19" t="str">
        <f t="shared" si="49"/>
        <v/>
      </c>
    </row>
    <row r="535" spans="1:8" x14ac:dyDescent="0.2">
      <c r="A535" s="12" t="str">
        <f t="shared" si="50"/>
        <v/>
      </c>
      <c r="B535" s="21" t="str">
        <f t="shared" si="51"/>
        <v/>
      </c>
      <c r="C535" s="17" t="str">
        <f t="shared" si="48"/>
        <v/>
      </c>
      <c r="D535" s="18" t="str">
        <f t="shared" si="52"/>
        <v/>
      </c>
      <c r="E535" t="str">
        <f t="shared" si="53"/>
        <v/>
      </c>
      <c r="F535" s="23" t="str">
        <f ca="1">IF(A535="","",IF($B$8="Sí",interpolar_alamb(E535,OFFSET(Curvas_cupon_cero!$A$1,1,0,COUNT(Curvas_cupon_cero!$A:$A)-2,1),OFFSET(Curvas_cupon_cero!$A$1,1,MATCH($B$6,Curvas_cupon_cero!$1:$1,0)-1,COUNT(Curvas_cupon_cero!$A:$A)-2,1)),interpolar(E535,OFFSET(Curvas_cupon_cero!$A$1,1,0,COUNT(Curvas_cupon_cero!$A:$A)-2,1),OFFSET(Curvas_cupon_cero!$A$1,1,MATCH($B$6,Curvas_cupon_cero!$1:$1,0)-1,COUNT(Curvas_cupon_cero!$A:$A)-2,1))))</f>
        <v/>
      </c>
      <c r="G535" s="23" t="str">
        <f ca="1">IF(A535="","",IF($B$8="Sí",interpolar_alamb(E535,OFFSET(Curvas_cupon_cero!$A$1,1,0,COUNT(Curvas_cupon_cero!$A:$A)-2,1),OFFSET(Curvas_cupon_cero!$A$1,1,MATCH($B$7,Curvas_cupon_cero!$1:$1,0)-1,COUNT(Curvas_cupon_cero!$A:$A)-2,1)),interpolar(E535,OFFSET(Curvas_cupon_cero!$A$1,1,0,COUNT(Curvas_cupon_cero!$A:$A)-2,1),OFFSET(Curvas_cupon_cero!$A$1,1,MATCH($B$7,Curvas_cupon_cero!$1:$1,0)-1,COUNT(Curvas_cupon_cero!$A:$A)-2,1))))</f>
        <v/>
      </c>
      <c r="H535" s="19" t="str">
        <f t="shared" si="49"/>
        <v/>
      </c>
    </row>
    <row r="536" spans="1:8" x14ac:dyDescent="0.2">
      <c r="A536" s="12" t="str">
        <f t="shared" si="50"/>
        <v/>
      </c>
      <c r="B536" s="21" t="str">
        <f t="shared" si="51"/>
        <v/>
      </c>
      <c r="C536" s="17" t="str">
        <f t="shared" si="48"/>
        <v/>
      </c>
      <c r="D536" s="18" t="str">
        <f t="shared" si="52"/>
        <v/>
      </c>
      <c r="E536" t="str">
        <f t="shared" si="53"/>
        <v/>
      </c>
      <c r="F536" s="23" t="str">
        <f ca="1">IF(A536="","",IF($B$8="Sí",interpolar_alamb(E536,OFFSET(Curvas_cupon_cero!$A$1,1,0,COUNT(Curvas_cupon_cero!$A:$A)-2,1),OFFSET(Curvas_cupon_cero!$A$1,1,MATCH($B$6,Curvas_cupon_cero!$1:$1,0)-1,COUNT(Curvas_cupon_cero!$A:$A)-2,1)),interpolar(E536,OFFSET(Curvas_cupon_cero!$A$1,1,0,COUNT(Curvas_cupon_cero!$A:$A)-2,1),OFFSET(Curvas_cupon_cero!$A$1,1,MATCH($B$6,Curvas_cupon_cero!$1:$1,0)-1,COUNT(Curvas_cupon_cero!$A:$A)-2,1))))</f>
        <v/>
      </c>
      <c r="G536" s="23" t="str">
        <f ca="1">IF(A536="","",IF($B$8="Sí",interpolar_alamb(E536,OFFSET(Curvas_cupon_cero!$A$1,1,0,COUNT(Curvas_cupon_cero!$A:$A)-2,1),OFFSET(Curvas_cupon_cero!$A$1,1,MATCH($B$7,Curvas_cupon_cero!$1:$1,0)-1,COUNT(Curvas_cupon_cero!$A:$A)-2,1)),interpolar(E536,OFFSET(Curvas_cupon_cero!$A$1,1,0,COUNT(Curvas_cupon_cero!$A:$A)-2,1),OFFSET(Curvas_cupon_cero!$A$1,1,MATCH($B$7,Curvas_cupon_cero!$1:$1,0)-1,COUNT(Curvas_cupon_cero!$A:$A)-2,1))))</f>
        <v/>
      </c>
      <c r="H536" s="19" t="str">
        <f t="shared" si="49"/>
        <v/>
      </c>
    </row>
    <row r="537" spans="1:8" x14ac:dyDescent="0.2">
      <c r="A537" s="12" t="str">
        <f t="shared" si="50"/>
        <v/>
      </c>
      <c r="B537" s="21" t="str">
        <f t="shared" si="51"/>
        <v/>
      </c>
      <c r="C537" s="17" t="str">
        <f t="shared" si="48"/>
        <v/>
      </c>
      <c r="D537" s="18" t="str">
        <f t="shared" si="52"/>
        <v/>
      </c>
      <c r="E537" t="str">
        <f t="shared" si="53"/>
        <v/>
      </c>
      <c r="F537" s="23" t="str">
        <f ca="1">IF(A537="","",IF($B$8="Sí",interpolar_alamb(E537,OFFSET(Curvas_cupon_cero!$A$1,1,0,COUNT(Curvas_cupon_cero!$A:$A)-2,1),OFFSET(Curvas_cupon_cero!$A$1,1,MATCH($B$6,Curvas_cupon_cero!$1:$1,0)-1,COUNT(Curvas_cupon_cero!$A:$A)-2,1)),interpolar(E537,OFFSET(Curvas_cupon_cero!$A$1,1,0,COUNT(Curvas_cupon_cero!$A:$A)-2,1),OFFSET(Curvas_cupon_cero!$A$1,1,MATCH($B$6,Curvas_cupon_cero!$1:$1,0)-1,COUNT(Curvas_cupon_cero!$A:$A)-2,1))))</f>
        <v/>
      </c>
      <c r="G537" s="23" t="str">
        <f ca="1">IF(A537="","",IF($B$8="Sí",interpolar_alamb(E537,OFFSET(Curvas_cupon_cero!$A$1,1,0,COUNT(Curvas_cupon_cero!$A:$A)-2,1),OFFSET(Curvas_cupon_cero!$A$1,1,MATCH($B$7,Curvas_cupon_cero!$1:$1,0)-1,COUNT(Curvas_cupon_cero!$A:$A)-2,1)),interpolar(E537,OFFSET(Curvas_cupon_cero!$A$1,1,0,COUNT(Curvas_cupon_cero!$A:$A)-2,1),OFFSET(Curvas_cupon_cero!$A$1,1,MATCH($B$7,Curvas_cupon_cero!$1:$1,0)-1,COUNT(Curvas_cupon_cero!$A:$A)-2,1))))</f>
        <v/>
      </c>
      <c r="H537" s="19" t="str">
        <f t="shared" si="49"/>
        <v/>
      </c>
    </row>
    <row r="538" spans="1:8" x14ac:dyDescent="0.2">
      <c r="A538" s="12" t="str">
        <f t="shared" si="50"/>
        <v/>
      </c>
      <c r="B538" s="21" t="str">
        <f t="shared" si="51"/>
        <v/>
      </c>
      <c r="C538" s="17" t="str">
        <f t="shared" si="48"/>
        <v/>
      </c>
      <c r="D538" s="18" t="str">
        <f t="shared" si="52"/>
        <v/>
      </c>
      <c r="E538" t="str">
        <f t="shared" si="53"/>
        <v/>
      </c>
      <c r="F538" s="23" t="str">
        <f ca="1">IF(A538="","",IF($B$8="Sí",interpolar_alamb(E538,OFFSET(Curvas_cupon_cero!$A$1,1,0,COUNT(Curvas_cupon_cero!$A:$A)-2,1),OFFSET(Curvas_cupon_cero!$A$1,1,MATCH($B$6,Curvas_cupon_cero!$1:$1,0)-1,COUNT(Curvas_cupon_cero!$A:$A)-2,1)),interpolar(E538,OFFSET(Curvas_cupon_cero!$A$1,1,0,COUNT(Curvas_cupon_cero!$A:$A)-2,1),OFFSET(Curvas_cupon_cero!$A$1,1,MATCH($B$6,Curvas_cupon_cero!$1:$1,0)-1,COUNT(Curvas_cupon_cero!$A:$A)-2,1))))</f>
        <v/>
      </c>
      <c r="G538" s="23" t="str">
        <f ca="1">IF(A538="","",IF($B$8="Sí",interpolar_alamb(E538,OFFSET(Curvas_cupon_cero!$A$1,1,0,COUNT(Curvas_cupon_cero!$A:$A)-2,1),OFFSET(Curvas_cupon_cero!$A$1,1,MATCH($B$7,Curvas_cupon_cero!$1:$1,0)-1,COUNT(Curvas_cupon_cero!$A:$A)-2,1)),interpolar(E538,OFFSET(Curvas_cupon_cero!$A$1,1,0,COUNT(Curvas_cupon_cero!$A:$A)-2,1),OFFSET(Curvas_cupon_cero!$A$1,1,MATCH($B$7,Curvas_cupon_cero!$1:$1,0)-1,COUNT(Curvas_cupon_cero!$A:$A)-2,1))))</f>
        <v/>
      </c>
      <c r="H538" s="19" t="str">
        <f t="shared" si="49"/>
        <v/>
      </c>
    </row>
    <row r="539" spans="1:8" x14ac:dyDescent="0.2">
      <c r="A539" s="12" t="str">
        <f t="shared" si="50"/>
        <v/>
      </c>
      <c r="B539" s="21" t="str">
        <f t="shared" si="51"/>
        <v/>
      </c>
      <c r="C539" s="17" t="str">
        <f t="shared" si="48"/>
        <v/>
      </c>
      <c r="D539" s="18" t="str">
        <f t="shared" si="52"/>
        <v/>
      </c>
      <c r="E539" t="str">
        <f t="shared" si="53"/>
        <v/>
      </c>
      <c r="F539" s="23" t="str">
        <f ca="1">IF(A539="","",IF($B$8="Sí",interpolar_alamb(E539,OFFSET(Curvas_cupon_cero!$A$1,1,0,COUNT(Curvas_cupon_cero!$A:$A)-2,1),OFFSET(Curvas_cupon_cero!$A$1,1,MATCH($B$6,Curvas_cupon_cero!$1:$1,0)-1,COUNT(Curvas_cupon_cero!$A:$A)-2,1)),interpolar(E539,OFFSET(Curvas_cupon_cero!$A$1,1,0,COUNT(Curvas_cupon_cero!$A:$A)-2,1),OFFSET(Curvas_cupon_cero!$A$1,1,MATCH($B$6,Curvas_cupon_cero!$1:$1,0)-1,COUNT(Curvas_cupon_cero!$A:$A)-2,1))))</f>
        <v/>
      </c>
      <c r="G539" s="23" t="str">
        <f ca="1">IF(A539="","",IF($B$8="Sí",interpolar_alamb(E539,OFFSET(Curvas_cupon_cero!$A$1,1,0,COUNT(Curvas_cupon_cero!$A:$A)-2,1),OFFSET(Curvas_cupon_cero!$A$1,1,MATCH($B$7,Curvas_cupon_cero!$1:$1,0)-1,COUNT(Curvas_cupon_cero!$A:$A)-2,1)),interpolar(E539,OFFSET(Curvas_cupon_cero!$A$1,1,0,COUNT(Curvas_cupon_cero!$A:$A)-2,1),OFFSET(Curvas_cupon_cero!$A$1,1,MATCH($B$7,Curvas_cupon_cero!$1:$1,0)-1,COUNT(Curvas_cupon_cero!$A:$A)-2,1))))</f>
        <v/>
      </c>
      <c r="H539" s="19" t="str">
        <f t="shared" si="49"/>
        <v/>
      </c>
    </row>
    <row r="540" spans="1:8" x14ac:dyDescent="0.2">
      <c r="A540" s="12" t="str">
        <f t="shared" si="50"/>
        <v/>
      </c>
      <c r="B540" s="21" t="str">
        <f t="shared" si="51"/>
        <v/>
      </c>
      <c r="C540" s="17" t="str">
        <f t="shared" si="48"/>
        <v/>
      </c>
      <c r="D540" s="18" t="str">
        <f t="shared" si="52"/>
        <v/>
      </c>
      <c r="E540" t="str">
        <f t="shared" si="53"/>
        <v/>
      </c>
      <c r="F540" s="23" t="str">
        <f ca="1">IF(A540="","",IF($B$8="Sí",interpolar_alamb(E540,OFFSET(Curvas_cupon_cero!$A$1,1,0,COUNT(Curvas_cupon_cero!$A:$A)-2,1),OFFSET(Curvas_cupon_cero!$A$1,1,MATCH($B$6,Curvas_cupon_cero!$1:$1,0)-1,COUNT(Curvas_cupon_cero!$A:$A)-2,1)),interpolar(E540,OFFSET(Curvas_cupon_cero!$A$1,1,0,COUNT(Curvas_cupon_cero!$A:$A)-2,1),OFFSET(Curvas_cupon_cero!$A$1,1,MATCH($B$6,Curvas_cupon_cero!$1:$1,0)-1,COUNT(Curvas_cupon_cero!$A:$A)-2,1))))</f>
        <v/>
      </c>
      <c r="G540" s="23" t="str">
        <f ca="1">IF(A540="","",IF($B$8="Sí",interpolar_alamb(E540,OFFSET(Curvas_cupon_cero!$A$1,1,0,COUNT(Curvas_cupon_cero!$A:$A)-2,1),OFFSET(Curvas_cupon_cero!$A$1,1,MATCH($B$7,Curvas_cupon_cero!$1:$1,0)-1,COUNT(Curvas_cupon_cero!$A:$A)-2,1)),interpolar(E540,OFFSET(Curvas_cupon_cero!$A$1,1,0,COUNT(Curvas_cupon_cero!$A:$A)-2,1),OFFSET(Curvas_cupon_cero!$A$1,1,MATCH($B$7,Curvas_cupon_cero!$1:$1,0)-1,COUNT(Curvas_cupon_cero!$A:$A)-2,1))))</f>
        <v/>
      </c>
      <c r="H540" s="19" t="str">
        <f t="shared" si="49"/>
        <v/>
      </c>
    </row>
    <row r="541" spans="1:8" x14ac:dyDescent="0.2">
      <c r="A541" s="12" t="str">
        <f t="shared" si="50"/>
        <v/>
      </c>
      <c r="B541" s="21" t="str">
        <f t="shared" si="51"/>
        <v/>
      </c>
      <c r="C541" s="17" t="str">
        <f t="shared" si="48"/>
        <v/>
      </c>
      <c r="D541" s="18" t="str">
        <f t="shared" si="52"/>
        <v/>
      </c>
      <c r="E541" t="str">
        <f t="shared" si="53"/>
        <v/>
      </c>
      <c r="F541" s="23" t="str">
        <f ca="1">IF(A541="","",IF($B$8="Sí",interpolar_alamb(E541,OFFSET(Curvas_cupon_cero!$A$1,1,0,COUNT(Curvas_cupon_cero!$A:$A)-2,1),OFFSET(Curvas_cupon_cero!$A$1,1,MATCH($B$6,Curvas_cupon_cero!$1:$1,0)-1,COUNT(Curvas_cupon_cero!$A:$A)-2,1)),interpolar(E541,OFFSET(Curvas_cupon_cero!$A$1,1,0,COUNT(Curvas_cupon_cero!$A:$A)-2,1),OFFSET(Curvas_cupon_cero!$A$1,1,MATCH($B$6,Curvas_cupon_cero!$1:$1,0)-1,COUNT(Curvas_cupon_cero!$A:$A)-2,1))))</f>
        <v/>
      </c>
      <c r="G541" s="23" t="str">
        <f ca="1">IF(A541="","",IF($B$8="Sí",interpolar_alamb(E541,OFFSET(Curvas_cupon_cero!$A$1,1,0,COUNT(Curvas_cupon_cero!$A:$A)-2,1),OFFSET(Curvas_cupon_cero!$A$1,1,MATCH($B$7,Curvas_cupon_cero!$1:$1,0)-1,COUNT(Curvas_cupon_cero!$A:$A)-2,1)),interpolar(E541,OFFSET(Curvas_cupon_cero!$A$1,1,0,COUNT(Curvas_cupon_cero!$A:$A)-2,1),OFFSET(Curvas_cupon_cero!$A$1,1,MATCH($B$7,Curvas_cupon_cero!$1:$1,0)-1,COUNT(Curvas_cupon_cero!$A:$A)-2,1))))</f>
        <v/>
      </c>
      <c r="H541" s="19" t="str">
        <f t="shared" si="49"/>
        <v/>
      </c>
    </row>
    <row r="542" spans="1:8" x14ac:dyDescent="0.2">
      <c r="A542" s="12" t="str">
        <f t="shared" si="50"/>
        <v/>
      </c>
      <c r="B542" s="21" t="str">
        <f t="shared" si="51"/>
        <v/>
      </c>
      <c r="C542" s="17" t="str">
        <f t="shared" si="48"/>
        <v/>
      </c>
      <c r="D542" s="18" t="str">
        <f t="shared" si="52"/>
        <v/>
      </c>
      <c r="E542" t="str">
        <f t="shared" si="53"/>
        <v/>
      </c>
      <c r="F542" s="23" t="str">
        <f ca="1">IF(A542="","",IF($B$8="Sí",interpolar_alamb(E542,OFFSET(Curvas_cupon_cero!$A$1,1,0,COUNT(Curvas_cupon_cero!$A:$A)-2,1),OFFSET(Curvas_cupon_cero!$A$1,1,MATCH($B$6,Curvas_cupon_cero!$1:$1,0)-1,COUNT(Curvas_cupon_cero!$A:$A)-2,1)),interpolar(E542,OFFSET(Curvas_cupon_cero!$A$1,1,0,COUNT(Curvas_cupon_cero!$A:$A)-2,1),OFFSET(Curvas_cupon_cero!$A$1,1,MATCH($B$6,Curvas_cupon_cero!$1:$1,0)-1,COUNT(Curvas_cupon_cero!$A:$A)-2,1))))</f>
        <v/>
      </c>
      <c r="G542" s="23" t="str">
        <f ca="1">IF(A542="","",IF($B$8="Sí",interpolar_alamb(E542,OFFSET(Curvas_cupon_cero!$A$1,1,0,COUNT(Curvas_cupon_cero!$A:$A)-2,1),OFFSET(Curvas_cupon_cero!$A$1,1,MATCH($B$7,Curvas_cupon_cero!$1:$1,0)-1,COUNT(Curvas_cupon_cero!$A:$A)-2,1)),interpolar(E542,OFFSET(Curvas_cupon_cero!$A$1,1,0,COUNT(Curvas_cupon_cero!$A:$A)-2,1),OFFSET(Curvas_cupon_cero!$A$1,1,MATCH($B$7,Curvas_cupon_cero!$1:$1,0)-1,COUNT(Curvas_cupon_cero!$A:$A)-2,1))))</f>
        <v/>
      </c>
      <c r="H542" s="19" t="str">
        <f t="shared" si="49"/>
        <v/>
      </c>
    </row>
    <row r="543" spans="1:8" x14ac:dyDescent="0.2">
      <c r="A543" s="12" t="str">
        <f t="shared" si="50"/>
        <v/>
      </c>
      <c r="B543" s="21" t="str">
        <f t="shared" si="51"/>
        <v/>
      </c>
      <c r="C543" s="17" t="str">
        <f t="shared" si="48"/>
        <v/>
      </c>
      <c r="D543" s="18" t="str">
        <f t="shared" si="52"/>
        <v/>
      </c>
      <c r="E543" t="str">
        <f t="shared" si="53"/>
        <v/>
      </c>
      <c r="F543" s="23" t="str">
        <f ca="1">IF(A543="","",IF($B$8="Sí",interpolar_alamb(E543,OFFSET(Curvas_cupon_cero!$A$1,1,0,COUNT(Curvas_cupon_cero!$A:$A)-2,1),OFFSET(Curvas_cupon_cero!$A$1,1,MATCH($B$6,Curvas_cupon_cero!$1:$1,0)-1,COUNT(Curvas_cupon_cero!$A:$A)-2,1)),interpolar(E543,OFFSET(Curvas_cupon_cero!$A$1,1,0,COUNT(Curvas_cupon_cero!$A:$A)-2,1),OFFSET(Curvas_cupon_cero!$A$1,1,MATCH($B$6,Curvas_cupon_cero!$1:$1,0)-1,COUNT(Curvas_cupon_cero!$A:$A)-2,1))))</f>
        <v/>
      </c>
      <c r="G543" s="23" t="str">
        <f ca="1">IF(A543="","",IF($B$8="Sí",interpolar_alamb(E543,OFFSET(Curvas_cupon_cero!$A$1,1,0,COUNT(Curvas_cupon_cero!$A:$A)-2,1),OFFSET(Curvas_cupon_cero!$A$1,1,MATCH($B$7,Curvas_cupon_cero!$1:$1,0)-1,COUNT(Curvas_cupon_cero!$A:$A)-2,1)),interpolar(E543,OFFSET(Curvas_cupon_cero!$A$1,1,0,COUNT(Curvas_cupon_cero!$A:$A)-2,1),OFFSET(Curvas_cupon_cero!$A$1,1,MATCH($B$7,Curvas_cupon_cero!$1:$1,0)-1,COUNT(Curvas_cupon_cero!$A:$A)-2,1))))</f>
        <v/>
      </c>
      <c r="H543" s="19" t="str">
        <f t="shared" si="49"/>
        <v/>
      </c>
    </row>
    <row r="544" spans="1:8" x14ac:dyDescent="0.2">
      <c r="A544" s="12" t="str">
        <f t="shared" si="50"/>
        <v/>
      </c>
      <c r="B544" s="21" t="str">
        <f t="shared" si="51"/>
        <v/>
      </c>
      <c r="C544" s="17" t="str">
        <f t="shared" si="48"/>
        <v/>
      </c>
      <c r="D544" s="18" t="str">
        <f t="shared" si="52"/>
        <v/>
      </c>
      <c r="E544" t="str">
        <f t="shared" si="53"/>
        <v/>
      </c>
      <c r="F544" s="23" t="str">
        <f ca="1">IF(A544="","",IF($B$8="Sí",interpolar_alamb(E544,OFFSET(Curvas_cupon_cero!$A$1,1,0,COUNT(Curvas_cupon_cero!$A:$A)-2,1),OFFSET(Curvas_cupon_cero!$A$1,1,MATCH($B$6,Curvas_cupon_cero!$1:$1,0)-1,COUNT(Curvas_cupon_cero!$A:$A)-2,1)),interpolar(E544,OFFSET(Curvas_cupon_cero!$A$1,1,0,COUNT(Curvas_cupon_cero!$A:$A)-2,1),OFFSET(Curvas_cupon_cero!$A$1,1,MATCH($B$6,Curvas_cupon_cero!$1:$1,0)-1,COUNT(Curvas_cupon_cero!$A:$A)-2,1))))</f>
        <v/>
      </c>
      <c r="G544" s="23" t="str">
        <f ca="1">IF(A544="","",IF($B$8="Sí",interpolar_alamb(E544,OFFSET(Curvas_cupon_cero!$A$1,1,0,COUNT(Curvas_cupon_cero!$A:$A)-2,1),OFFSET(Curvas_cupon_cero!$A$1,1,MATCH($B$7,Curvas_cupon_cero!$1:$1,0)-1,COUNT(Curvas_cupon_cero!$A:$A)-2,1)),interpolar(E544,OFFSET(Curvas_cupon_cero!$A$1,1,0,COUNT(Curvas_cupon_cero!$A:$A)-2,1),OFFSET(Curvas_cupon_cero!$A$1,1,MATCH($B$7,Curvas_cupon_cero!$1:$1,0)-1,COUNT(Curvas_cupon_cero!$A:$A)-2,1))))</f>
        <v/>
      </c>
      <c r="H544" s="19" t="str">
        <f t="shared" si="49"/>
        <v/>
      </c>
    </row>
    <row r="545" spans="1:8" x14ac:dyDescent="0.2">
      <c r="A545" s="12" t="str">
        <f t="shared" si="50"/>
        <v/>
      </c>
      <c r="B545" s="21" t="str">
        <f t="shared" si="51"/>
        <v/>
      </c>
      <c r="C545" s="17" t="str">
        <f t="shared" si="48"/>
        <v/>
      </c>
      <c r="D545" s="18" t="str">
        <f t="shared" si="52"/>
        <v/>
      </c>
      <c r="E545" t="str">
        <f t="shared" si="53"/>
        <v/>
      </c>
      <c r="F545" s="23" t="str">
        <f ca="1">IF(A545="","",IF($B$8="Sí",interpolar_alamb(E545,OFFSET(Curvas_cupon_cero!$A$1,1,0,COUNT(Curvas_cupon_cero!$A:$A)-2,1),OFFSET(Curvas_cupon_cero!$A$1,1,MATCH($B$6,Curvas_cupon_cero!$1:$1,0)-1,COUNT(Curvas_cupon_cero!$A:$A)-2,1)),interpolar(E545,OFFSET(Curvas_cupon_cero!$A$1,1,0,COUNT(Curvas_cupon_cero!$A:$A)-2,1),OFFSET(Curvas_cupon_cero!$A$1,1,MATCH($B$6,Curvas_cupon_cero!$1:$1,0)-1,COUNT(Curvas_cupon_cero!$A:$A)-2,1))))</f>
        <v/>
      </c>
      <c r="G545" s="23" t="str">
        <f ca="1">IF(A545="","",IF($B$8="Sí",interpolar_alamb(E545,OFFSET(Curvas_cupon_cero!$A$1,1,0,COUNT(Curvas_cupon_cero!$A:$A)-2,1),OFFSET(Curvas_cupon_cero!$A$1,1,MATCH($B$7,Curvas_cupon_cero!$1:$1,0)-1,COUNT(Curvas_cupon_cero!$A:$A)-2,1)),interpolar(E545,OFFSET(Curvas_cupon_cero!$A$1,1,0,COUNT(Curvas_cupon_cero!$A:$A)-2,1),OFFSET(Curvas_cupon_cero!$A$1,1,MATCH($B$7,Curvas_cupon_cero!$1:$1,0)-1,COUNT(Curvas_cupon_cero!$A:$A)-2,1))))</f>
        <v/>
      </c>
      <c r="H545" s="19" t="str">
        <f t="shared" si="49"/>
        <v/>
      </c>
    </row>
    <row r="546" spans="1:8" x14ac:dyDescent="0.2">
      <c r="A546" s="12" t="str">
        <f t="shared" si="50"/>
        <v/>
      </c>
      <c r="B546" s="21" t="str">
        <f t="shared" si="51"/>
        <v/>
      </c>
      <c r="C546" s="17" t="str">
        <f t="shared" si="48"/>
        <v/>
      </c>
      <c r="D546" s="18" t="str">
        <f t="shared" si="52"/>
        <v/>
      </c>
      <c r="E546" t="str">
        <f t="shared" si="53"/>
        <v/>
      </c>
      <c r="F546" s="23" t="str">
        <f ca="1">IF(A546="","",IF($B$8="Sí",interpolar_alamb(E546,OFFSET(Curvas_cupon_cero!$A$1,1,0,COUNT(Curvas_cupon_cero!$A:$A)-2,1),OFFSET(Curvas_cupon_cero!$A$1,1,MATCH($B$6,Curvas_cupon_cero!$1:$1,0)-1,COUNT(Curvas_cupon_cero!$A:$A)-2,1)),interpolar(E546,OFFSET(Curvas_cupon_cero!$A$1,1,0,COUNT(Curvas_cupon_cero!$A:$A)-2,1),OFFSET(Curvas_cupon_cero!$A$1,1,MATCH($B$6,Curvas_cupon_cero!$1:$1,0)-1,COUNT(Curvas_cupon_cero!$A:$A)-2,1))))</f>
        <v/>
      </c>
      <c r="G546" s="23" t="str">
        <f ca="1">IF(A546="","",IF($B$8="Sí",interpolar_alamb(E546,OFFSET(Curvas_cupon_cero!$A$1,1,0,COUNT(Curvas_cupon_cero!$A:$A)-2,1),OFFSET(Curvas_cupon_cero!$A$1,1,MATCH($B$7,Curvas_cupon_cero!$1:$1,0)-1,COUNT(Curvas_cupon_cero!$A:$A)-2,1)),interpolar(E546,OFFSET(Curvas_cupon_cero!$A$1,1,0,COUNT(Curvas_cupon_cero!$A:$A)-2,1),OFFSET(Curvas_cupon_cero!$A$1,1,MATCH($B$7,Curvas_cupon_cero!$1:$1,0)-1,COUNT(Curvas_cupon_cero!$A:$A)-2,1))))</f>
        <v/>
      </c>
      <c r="H546" s="19" t="str">
        <f t="shared" si="49"/>
        <v/>
      </c>
    </row>
    <row r="547" spans="1:8" x14ac:dyDescent="0.2">
      <c r="A547" s="12" t="str">
        <f t="shared" si="50"/>
        <v/>
      </c>
      <c r="B547" s="21" t="str">
        <f t="shared" si="51"/>
        <v/>
      </c>
      <c r="C547" s="17" t="str">
        <f t="shared" si="48"/>
        <v/>
      </c>
      <c r="D547" s="18" t="str">
        <f t="shared" si="52"/>
        <v/>
      </c>
      <c r="E547" t="str">
        <f t="shared" si="53"/>
        <v/>
      </c>
      <c r="F547" s="23" t="str">
        <f ca="1">IF(A547="","",IF($B$8="Sí",interpolar_alamb(E547,OFFSET(Curvas_cupon_cero!$A$1,1,0,COUNT(Curvas_cupon_cero!$A:$A)-2,1),OFFSET(Curvas_cupon_cero!$A$1,1,MATCH($B$6,Curvas_cupon_cero!$1:$1,0)-1,COUNT(Curvas_cupon_cero!$A:$A)-2,1)),interpolar(E547,OFFSET(Curvas_cupon_cero!$A$1,1,0,COUNT(Curvas_cupon_cero!$A:$A)-2,1),OFFSET(Curvas_cupon_cero!$A$1,1,MATCH($B$6,Curvas_cupon_cero!$1:$1,0)-1,COUNT(Curvas_cupon_cero!$A:$A)-2,1))))</f>
        <v/>
      </c>
      <c r="G547" s="23" t="str">
        <f ca="1">IF(A547="","",IF($B$8="Sí",interpolar_alamb(E547,OFFSET(Curvas_cupon_cero!$A$1,1,0,COUNT(Curvas_cupon_cero!$A:$A)-2,1),OFFSET(Curvas_cupon_cero!$A$1,1,MATCH($B$7,Curvas_cupon_cero!$1:$1,0)-1,COUNT(Curvas_cupon_cero!$A:$A)-2,1)),interpolar(E547,OFFSET(Curvas_cupon_cero!$A$1,1,0,COUNT(Curvas_cupon_cero!$A:$A)-2,1),OFFSET(Curvas_cupon_cero!$A$1,1,MATCH($B$7,Curvas_cupon_cero!$1:$1,0)-1,COUNT(Curvas_cupon_cero!$A:$A)-2,1))))</f>
        <v/>
      </c>
      <c r="H547" s="19" t="str">
        <f t="shared" si="49"/>
        <v/>
      </c>
    </row>
    <row r="548" spans="1:8" x14ac:dyDescent="0.2">
      <c r="A548" s="12" t="str">
        <f t="shared" si="50"/>
        <v/>
      </c>
      <c r="B548" s="21" t="str">
        <f t="shared" si="51"/>
        <v/>
      </c>
      <c r="C548" s="17" t="str">
        <f t="shared" si="48"/>
        <v/>
      </c>
      <c r="D548" s="18" t="str">
        <f t="shared" si="52"/>
        <v/>
      </c>
      <c r="E548" t="str">
        <f t="shared" si="53"/>
        <v/>
      </c>
      <c r="F548" s="23" t="str">
        <f ca="1">IF(A548="","",IF($B$8="Sí",interpolar_alamb(E548,OFFSET(Curvas_cupon_cero!$A$1,1,0,COUNT(Curvas_cupon_cero!$A:$A)-2,1),OFFSET(Curvas_cupon_cero!$A$1,1,MATCH($B$6,Curvas_cupon_cero!$1:$1,0)-1,COUNT(Curvas_cupon_cero!$A:$A)-2,1)),interpolar(E548,OFFSET(Curvas_cupon_cero!$A$1,1,0,COUNT(Curvas_cupon_cero!$A:$A)-2,1),OFFSET(Curvas_cupon_cero!$A$1,1,MATCH($B$6,Curvas_cupon_cero!$1:$1,0)-1,COUNT(Curvas_cupon_cero!$A:$A)-2,1))))</f>
        <v/>
      </c>
      <c r="G548" s="23" t="str">
        <f ca="1">IF(A548="","",IF($B$8="Sí",interpolar_alamb(E548,OFFSET(Curvas_cupon_cero!$A$1,1,0,COUNT(Curvas_cupon_cero!$A:$A)-2,1),OFFSET(Curvas_cupon_cero!$A$1,1,MATCH($B$7,Curvas_cupon_cero!$1:$1,0)-1,COUNT(Curvas_cupon_cero!$A:$A)-2,1)),interpolar(E548,OFFSET(Curvas_cupon_cero!$A$1,1,0,COUNT(Curvas_cupon_cero!$A:$A)-2,1),OFFSET(Curvas_cupon_cero!$A$1,1,MATCH($B$7,Curvas_cupon_cero!$1:$1,0)-1,COUNT(Curvas_cupon_cero!$A:$A)-2,1))))</f>
        <v/>
      </c>
      <c r="H548" s="19" t="str">
        <f t="shared" si="49"/>
        <v/>
      </c>
    </row>
    <row r="549" spans="1:8" x14ac:dyDescent="0.2">
      <c r="A549" s="12" t="str">
        <f t="shared" si="50"/>
        <v/>
      </c>
      <c r="B549" s="21" t="str">
        <f t="shared" si="51"/>
        <v/>
      </c>
      <c r="C549" s="17" t="str">
        <f t="shared" si="48"/>
        <v/>
      </c>
      <c r="D549" s="18" t="str">
        <f t="shared" si="52"/>
        <v/>
      </c>
      <c r="E549" t="str">
        <f t="shared" si="53"/>
        <v/>
      </c>
      <c r="F549" s="23" t="str">
        <f ca="1">IF(A549="","",IF($B$8="Sí",interpolar_alamb(E549,OFFSET(Curvas_cupon_cero!$A$1,1,0,COUNT(Curvas_cupon_cero!$A:$A)-2,1),OFFSET(Curvas_cupon_cero!$A$1,1,MATCH($B$6,Curvas_cupon_cero!$1:$1,0)-1,COUNT(Curvas_cupon_cero!$A:$A)-2,1)),interpolar(E549,OFFSET(Curvas_cupon_cero!$A$1,1,0,COUNT(Curvas_cupon_cero!$A:$A)-2,1),OFFSET(Curvas_cupon_cero!$A$1,1,MATCH($B$6,Curvas_cupon_cero!$1:$1,0)-1,COUNT(Curvas_cupon_cero!$A:$A)-2,1))))</f>
        <v/>
      </c>
      <c r="G549" s="23" t="str">
        <f ca="1">IF(A549="","",IF($B$8="Sí",interpolar_alamb(E549,OFFSET(Curvas_cupon_cero!$A$1,1,0,COUNT(Curvas_cupon_cero!$A:$A)-2,1),OFFSET(Curvas_cupon_cero!$A$1,1,MATCH($B$7,Curvas_cupon_cero!$1:$1,0)-1,COUNT(Curvas_cupon_cero!$A:$A)-2,1)),interpolar(E549,OFFSET(Curvas_cupon_cero!$A$1,1,0,COUNT(Curvas_cupon_cero!$A:$A)-2,1),OFFSET(Curvas_cupon_cero!$A$1,1,MATCH($B$7,Curvas_cupon_cero!$1:$1,0)-1,COUNT(Curvas_cupon_cero!$A:$A)-2,1))))</f>
        <v/>
      </c>
      <c r="H549" s="19" t="str">
        <f t="shared" si="49"/>
        <v/>
      </c>
    </row>
    <row r="550" spans="1:8" x14ac:dyDescent="0.2">
      <c r="A550" s="12" t="str">
        <f t="shared" si="50"/>
        <v/>
      </c>
      <c r="B550" s="21" t="str">
        <f t="shared" si="51"/>
        <v/>
      </c>
      <c r="C550" s="17" t="str">
        <f t="shared" si="48"/>
        <v/>
      </c>
      <c r="D550" s="18" t="str">
        <f t="shared" si="52"/>
        <v/>
      </c>
      <c r="E550" t="str">
        <f t="shared" si="53"/>
        <v/>
      </c>
      <c r="F550" s="23" t="str">
        <f ca="1">IF(A550="","",IF($B$8="Sí",interpolar_alamb(E550,OFFSET(Curvas_cupon_cero!$A$1,1,0,COUNT(Curvas_cupon_cero!$A:$A)-2,1),OFFSET(Curvas_cupon_cero!$A$1,1,MATCH($B$6,Curvas_cupon_cero!$1:$1,0)-1,COUNT(Curvas_cupon_cero!$A:$A)-2,1)),interpolar(E550,OFFSET(Curvas_cupon_cero!$A$1,1,0,COUNT(Curvas_cupon_cero!$A:$A)-2,1),OFFSET(Curvas_cupon_cero!$A$1,1,MATCH($B$6,Curvas_cupon_cero!$1:$1,0)-1,COUNT(Curvas_cupon_cero!$A:$A)-2,1))))</f>
        <v/>
      </c>
      <c r="G550" s="23" t="str">
        <f ca="1">IF(A550="","",IF($B$8="Sí",interpolar_alamb(E550,OFFSET(Curvas_cupon_cero!$A$1,1,0,COUNT(Curvas_cupon_cero!$A:$A)-2,1),OFFSET(Curvas_cupon_cero!$A$1,1,MATCH($B$7,Curvas_cupon_cero!$1:$1,0)-1,COUNT(Curvas_cupon_cero!$A:$A)-2,1)),interpolar(E550,OFFSET(Curvas_cupon_cero!$A$1,1,0,COUNT(Curvas_cupon_cero!$A:$A)-2,1),OFFSET(Curvas_cupon_cero!$A$1,1,MATCH($B$7,Curvas_cupon_cero!$1:$1,0)-1,COUNT(Curvas_cupon_cero!$A:$A)-2,1))))</f>
        <v/>
      </c>
      <c r="H550" s="19" t="str">
        <f t="shared" si="49"/>
        <v/>
      </c>
    </row>
    <row r="551" spans="1:8" x14ac:dyDescent="0.2">
      <c r="A551" s="12" t="str">
        <f t="shared" si="50"/>
        <v/>
      </c>
      <c r="B551" s="21" t="str">
        <f t="shared" si="51"/>
        <v/>
      </c>
      <c r="C551" s="17" t="str">
        <f t="shared" si="48"/>
        <v/>
      </c>
      <c r="D551" s="18" t="str">
        <f t="shared" si="52"/>
        <v/>
      </c>
      <c r="E551" t="str">
        <f t="shared" si="53"/>
        <v/>
      </c>
      <c r="F551" s="23" t="str">
        <f ca="1">IF(A551="","",IF($B$8="Sí",interpolar_alamb(E551,OFFSET(Curvas_cupon_cero!$A$1,1,0,COUNT(Curvas_cupon_cero!$A:$A)-2,1),OFFSET(Curvas_cupon_cero!$A$1,1,MATCH($B$6,Curvas_cupon_cero!$1:$1,0)-1,COUNT(Curvas_cupon_cero!$A:$A)-2,1)),interpolar(E551,OFFSET(Curvas_cupon_cero!$A$1,1,0,COUNT(Curvas_cupon_cero!$A:$A)-2,1),OFFSET(Curvas_cupon_cero!$A$1,1,MATCH($B$6,Curvas_cupon_cero!$1:$1,0)-1,COUNT(Curvas_cupon_cero!$A:$A)-2,1))))</f>
        <v/>
      </c>
      <c r="G551" s="23" t="str">
        <f ca="1">IF(A551="","",IF($B$8="Sí",interpolar_alamb(E551,OFFSET(Curvas_cupon_cero!$A$1,1,0,COUNT(Curvas_cupon_cero!$A:$A)-2,1),OFFSET(Curvas_cupon_cero!$A$1,1,MATCH($B$7,Curvas_cupon_cero!$1:$1,0)-1,COUNT(Curvas_cupon_cero!$A:$A)-2,1)),interpolar(E551,OFFSET(Curvas_cupon_cero!$A$1,1,0,COUNT(Curvas_cupon_cero!$A:$A)-2,1),OFFSET(Curvas_cupon_cero!$A$1,1,MATCH($B$7,Curvas_cupon_cero!$1:$1,0)-1,COUNT(Curvas_cupon_cero!$A:$A)-2,1))))</f>
        <v/>
      </c>
      <c r="H551" s="19" t="str">
        <f t="shared" si="49"/>
        <v/>
      </c>
    </row>
    <row r="552" spans="1:8" x14ac:dyDescent="0.2">
      <c r="A552" s="12" t="str">
        <f t="shared" si="50"/>
        <v/>
      </c>
      <c r="B552" s="21" t="str">
        <f t="shared" si="51"/>
        <v/>
      </c>
      <c r="C552" s="17" t="str">
        <f t="shared" si="48"/>
        <v/>
      </c>
      <c r="D552" s="18" t="str">
        <f t="shared" si="52"/>
        <v/>
      </c>
      <c r="E552" t="str">
        <f t="shared" si="53"/>
        <v/>
      </c>
      <c r="F552" s="23" t="str">
        <f ca="1">IF(A552="","",IF($B$8="Sí",interpolar_alamb(E552,OFFSET(Curvas_cupon_cero!$A$1,1,0,COUNT(Curvas_cupon_cero!$A:$A)-2,1),OFFSET(Curvas_cupon_cero!$A$1,1,MATCH($B$6,Curvas_cupon_cero!$1:$1,0)-1,COUNT(Curvas_cupon_cero!$A:$A)-2,1)),interpolar(E552,OFFSET(Curvas_cupon_cero!$A$1,1,0,COUNT(Curvas_cupon_cero!$A:$A)-2,1),OFFSET(Curvas_cupon_cero!$A$1,1,MATCH($B$6,Curvas_cupon_cero!$1:$1,0)-1,COUNT(Curvas_cupon_cero!$A:$A)-2,1))))</f>
        <v/>
      </c>
      <c r="G552" s="23" t="str">
        <f ca="1">IF(A552="","",IF($B$8="Sí",interpolar_alamb(E552,OFFSET(Curvas_cupon_cero!$A$1,1,0,COUNT(Curvas_cupon_cero!$A:$A)-2,1),OFFSET(Curvas_cupon_cero!$A$1,1,MATCH($B$7,Curvas_cupon_cero!$1:$1,0)-1,COUNT(Curvas_cupon_cero!$A:$A)-2,1)),interpolar(E552,OFFSET(Curvas_cupon_cero!$A$1,1,0,COUNT(Curvas_cupon_cero!$A:$A)-2,1),OFFSET(Curvas_cupon_cero!$A$1,1,MATCH($B$7,Curvas_cupon_cero!$1:$1,0)-1,COUNT(Curvas_cupon_cero!$A:$A)-2,1))))</f>
        <v/>
      </c>
      <c r="H552" s="19" t="str">
        <f t="shared" si="49"/>
        <v/>
      </c>
    </row>
    <row r="553" spans="1:8" x14ac:dyDescent="0.2">
      <c r="A553" s="12" t="str">
        <f t="shared" si="50"/>
        <v/>
      </c>
      <c r="B553" s="21" t="str">
        <f t="shared" si="51"/>
        <v/>
      </c>
      <c r="C553" s="17" t="str">
        <f t="shared" si="48"/>
        <v/>
      </c>
      <c r="D553" s="18" t="str">
        <f t="shared" si="52"/>
        <v/>
      </c>
      <c r="E553" t="str">
        <f t="shared" si="53"/>
        <v/>
      </c>
      <c r="F553" s="23" t="str">
        <f ca="1">IF(A553="","",IF($B$8="Sí",interpolar_alamb(E553,OFFSET(Curvas_cupon_cero!$A$1,1,0,COUNT(Curvas_cupon_cero!$A:$A)-2,1),OFFSET(Curvas_cupon_cero!$A$1,1,MATCH($B$6,Curvas_cupon_cero!$1:$1,0)-1,COUNT(Curvas_cupon_cero!$A:$A)-2,1)),interpolar(E553,OFFSET(Curvas_cupon_cero!$A$1,1,0,COUNT(Curvas_cupon_cero!$A:$A)-2,1),OFFSET(Curvas_cupon_cero!$A$1,1,MATCH($B$6,Curvas_cupon_cero!$1:$1,0)-1,COUNT(Curvas_cupon_cero!$A:$A)-2,1))))</f>
        <v/>
      </c>
      <c r="G553" s="23" t="str">
        <f ca="1">IF(A553="","",IF($B$8="Sí",interpolar_alamb(E553,OFFSET(Curvas_cupon_cero!$A$1,1,0,COUNT(Curvas_cupon_cero!$A:$A)-2,1),OFFSET(Curvas_cupon_cero!$A$1,1,MATCH($B$7,Curvas_cupon_cero!$1:$1,0)-1,COUNT(Curvas_cupon_cero!$A:$A)-2,1)),interpolar(E553,OFFSET(Curvas_cupon_cero!$A$1,1,0,COUNT(Curvas_cupon_cero!$A:$A)-2,1),OFFSET(Curvas_cupon_cero!$A$1,1,MATCH($B$7,Curvas_cupon_cero!$1:$1,0)-1,COUNT(Curvas_cupon_cero!$A:$A)-2,1))))</f>
        <v/>
      </c>
      <c r="H553" s="19" t="str">
        <f t="shared" si="49"/>
        <v/>
      </c>
    </row>
    <row r="554" spans="1:8" x14ac:dyDescent="0.2">
      <c r="A554" s="12" t="str">
        <f t="shared" si="50"/>
        <v/>
      </c>
      <c r="B554" s="21" t="str">
        <f t="shared" si="51"/>
        <v/>
      </c>
      <c r="C554" s="17" t="str">
        <f t="shared" si="48"/>
        <v/>
      </c>
      <c r="D554" s="18" t="str">
        <f t="shared" si="52"/>
        <v/>
      </c>
      <c r="E554" t="str">
        <f t="shared" si="53"/>
        <v/>
      </c>
      <c r="F554" s="23" t="str">
        <f ca="1">IF(A554="","",IF($B$8="Sí",interpolar_alamb(E554,OFFSET(Curvas_cupon_cero!$A$1,1,0,COUNT(Curvas_cupon_cero!$A:$A)-2,1),OFFSET(Curvas_cupon_cero!$A$1,1,MATCH($B$6,Curvas_cupon_cero!$1:$1,0)-1,COUNT(Curvas_cupon_cero!$A:$A)-2,1)),interpolar(E554,OFFSET(Curvas_cupon_cero!$A$1,1,0,COUNT(Curvas_cupon_cero!$A:$A)-2,1),OFFSET(Curvas_cupon_cero!$A$1,1,MATCH($B$6,Curvas_cupon_cero!$1:$1,0)-1,COUNT(Curvas_cupon_cero!$A:$A)-2,1))))</f>
        <v/>
      </c>
      <c r="G554" s="23" t="str">
        <f ca="1">IF(A554="","",IF($B$8="Sí",interpolar_alamb(E554,OFFSET(Curvas_cupon_cero!$A$1,1,0,COUNT(Curvas_cupon_cero!$A:$A)-2,1),OFFSET(Curvas_cupon_cero!$A$1,1,MATCH($B$7,Curvas_cupon_cero!$1:$1,0)-1,COUNT(Curvas_cupon_cero!$A:$A)-2,1)),interpolar(E554,OFFSET(Curvas_cupon_cero!$A$1,1,0,COUNT(Curvas_cupon_cero!$A:$A)-2,1),OFFSET(Curvas_cupon_cero!$A$1,1,MATCH($B$7,Curvas_cupon_cero!$1:$1,0)-1,COUNT(Curvas_cupon_cero!$A:$A)-2,1))))</f>
        <v/>
      </c>
      <c r="H554" s="19" t="str">
        <f t="shared" si="49"/>
        <v/>
      </c>
    </row>
    <row r="555" spans="1:8" x14ac:dyDescent="0.2">
      <c r="A555" s="12" t="str">
        <f t="shared" si="50"/>
        <v/>
      </c>
      <c r="B555" s="21" t="str">
        <f t="shared" si="51"/>
        <v/>
      </c>
      <c r="C555" s="17" t="str">
        <f t="shared" si="48"/>
        <v/>
      </c>
      <c r="D555" s="18" t="str">
        <f t="shared" si="52"/>
        <v/>
      </c>
      <c r="E555" t="str">
        <f t="shared" si="53"/>
        <v/>
      </c>
      <c r="F555" s="23" t="str">
        <f ca="1">IF(A555="","",IF($B$8="Sí",interpolar_alamb(E555,OFFSET(Curvas_cupon_cero!$A$1,1,0,COUNT(Curvas_cupon_cero!$A:$A)-2,1),OFFSET(Curvas_cupon_cero!$A$1,1,MATCH($B$6,Curvas_cupon_cero!$1:$1,0)-1,COUNT(Curvas_cupon_cero!$A:$A)-2,1)),interpolar(E555,OFFSET(Curvas_cupon_cero!$A$1,1,0,COUNT(Curvas_cupon_cero!$A:$A)-2,1),OFFSET(Curvas_cupon_cero!$A$1,1,MATCH($B$6,Curvas_cupon_cero!$1:$1,0)-1,COUNT(Curvas_cupon_cero!$A:$A)-2,1))))</f>
        <v/>
      </c>
      <c r="G555" s="23" t="str">
        <f ca="1">IF(A555="","",IF($B$8="Sí",interpolar_alamb(E555,OFFSET(Curvas_cupon_cero!$A$1,1,0,COUNT(Curvas_cupon_cero!$A:$A)-2,1),OFFSET(Curvas_cupon_cero!$A$1,1,MATCH($B$7,Curvas_cupon_cero!$1:$1,0)-1,COUNT(Curvas_cupon_cero!$A:$A)-2,1)),interpolar(E555,OFFSET(Curvas_cupon_cero!$A$1,1,0,COUNT(Curvas_cupon_cero!$A:$A)-2,1),OFFSET(Curvas_cupon_cero!$A$1,1,MATCH($B$7,Curvas_cupon_cero!$1:$1,0)-1,COUNT(Curvas_cupon_cero!$A:$A)-2,1))))</f>
        <v/>
      </c>
      <c r="H555" s="19" t="str">
        <f t="shared" si="49"/>
        <v/>
      </c>
    </row>
    <row r="556" spans="1:8" x14ac:dyDescent="0.2">
      <c r="A556" s="12" t="str">
        <f t="shared" si="50"/>
        <v/>
      </c>
      <c r="B556" s="21" t="str">
        <f t="shared" si="51"/>
        <v/>
      </c>
      <c r="C556" s="17" t="str">
        <f t="shared" si="48"/>
        <v/>
      </c>
      <c r="D556" s="18" t="str">
        <f t="shared" si="52"/>
        <v/>
      </c>
      <c r="E556" t="str">
        <f t="shared" si="53"/>
        <v/>
      </c>
      <c r="F556" s="23" t="str">
        <f ca="1">IF(A556="","",IF($B$8="Sí",interpolar_alamb(E556,OFFSET(Curvas_cupon_cero!$A$1,1,0,COUNT(Curvas_cupon_cero!$A:$A)-2,1),OFFSET(Curvas_cupon_cero!$A$1,1,MATCH($B$6,Curvas_cupon_cero!$1:$1,0)-1,COUNT(Curvas_cupon_cero!$A:$A)-2,1)),interpolar(E556,OFFSET(Curvas_cupon_cero!$A$1,1,0,COUNT(Curvas_cupon_cero!$A:$A)-2,1),OFFSET(Curvas_cupon_cero!$A$1,1,MATCH($B$6,Curvas_cupon_cero!$1:$1,0)-1,COUNT(Curvas_cupon_cero!$A:$A)-2,1))))</f>
        <v/>
      </c>
      <c r="G556" s="23" t="str">
        <f ca="1">IF(A556="","",IF($B$8="Sí",interpolar_alamb(E556,OFFSET(Curvas_cupon_cero!$A$1,1,0,COUNT(Curvas_cupon_cero!$A:$A)-2,1),OFFSET(Curvas_cupon_cero!$A$1,1,MATCH($B$7,Curvas_cupon_cero!$1:$1,0)-1,COUNT(Curvas_cupon_cero!$A:$A)-2,1)),interpolar(E556,OFFSET(Curvas_cupon_cero!$A$1,1,0,COUNT(Curvas_cupon_cero!$A:$A)-2,1),OFFSET(Curvas_cupon_cero!$A$1,1,MATCH($B$7,Curvas_cupon_cero!$1:$1,0)-1,COUNT(Curvas_cupon_cero!$A:$A)-2,1))))</f>
        <v/>
      </c>
      <c r="H556" s="19" t="str">
        <f t="shared" si="49"/>
        <v/>
      </c>
    </row>
    <row r="557" spans="1:8" x14ac:dyDescent="0.2">
      <c r="A557" s="12" t="str">
        <f t="shared" si="50"/>
        <v/>
      </c>
      <c r="B557" s="21" t="str">
        <f t="shared" si="51"/>
        <v/>
      </c>
      <c r="C557" s="17" t="str">
        <f t="shared" si="48"/>
        <v/>
      </c>
      <c r="D557" s="18" t="str">
        <f t="shared" si="52"/>
        <v/>
      </c>
      <c r="E557" t="str">
        <f t="shared" si="53"/>
        <v/>
      </c>
      <c r="F557" s="23" t="str">
        <f ca="1">IF(A557="","",IF($B$8="Sí",interpolar_alamb(E557,OFFSET(Curvas_cupon_cero!$A$1,1,0,COUNT(Curvas_cupon_cero!$A:$A)-2,1),OFFSET(Curvas_cupon_cero!$A$1,1,MATCH($B$6,Curvas_cupon_cero!$1:$1,0)-1,COUNT(Curvas_cupon_cero!$A:$A)-2,1)),interpolar(E557,OFFSET(Curvas_cupon_cero!$A$1,1,0,COUNT(Curvas_cupon_cero!$A:$A)-2,1),OFFSET(Curvas_cupon_cero!$A$1,1,MATCH($B$6,Curvas_cupon_cero!$1:$1,0)-1,COUNT(Curvas_cupon_cero!$A:$A)-2,1))))</f>
        <v/>
      </c>
      <c r="G557" s="23" t="str">
        <f ca="1">IF(A557="","",IF($B$8="Sí",interpolar_alamb(E557,OFFSET(Curvas_cupon_cero!$A$1,1,0,COUNT(Curvas_cupon_cero!$A:$A)-2,1),OFFSET(Curvas_cupon_cero!$A$1,1,MATCH($B$7,Curvas_cupon_cero!$1:$1,0)-1,COUNT(Curvas_cupon_cero!$A:$A)-2,1)),interpolar(E557,OFFSET(Curvas_cupon_cero!$A$1,1,0,COUNT(Curvas_cupon_cero!$A:$A)-2,1),OFFSET(Curvas_cupon_cero!$A$1,1,MATCH($B$7,Curvas_cupon_cero!$1:$1,0)-1,COUNT(Curvas_cupon_cero!$A:$A)-2,1))))</f>
        <v/>
      </c>
      <c r="H557" s="19" t="str">
        <f t="shared" si="49"/>
        <v/>
      </c>
    </row>
    <row r="558" spans="1:8" x14ac:dyDescent="0.2">
      <c r="A558" s="12" t="str">
        <f t="shared" si="50"/>
        <v/>
      </c>
      <c r="B558" s="21" t="str">
        <f t="shared" si="51"/>
        <v/>
      </c>
      <c r="C558" s="17" t="str">
        <f t="shared" si="48"/>
        <v/>
      </c>
      <c r="D558" s="18" t="str">
        <f t="shared" si="52"/>
        <v/>
      </c>
      <c r="E558" t="str">
        <f t="shared" si="53"/>
        <v/>
      </c>
      <c r="F558" s="23" t="str">
        <f ca="1">IF(A558="","",IF($B$8="Sí",interpolar_alamb(E558,OFFSET(Curvas_cupon_cero!$A$1,1,0,COUNT(Curvas_cupon_cero!$A:$A)-2,1),OFFSET(Curvas_cupon_cero!$A$1,1,MATCH($B$6,Curvas_cupon_cero!$1:$1,0)-1,COUNT(Curvas_cupon_cero!$A:$A)-2,1)),interpolar(E558,OFFSET(Curvas_cupon_cero!$A$1,1,0,COUNT(Curvas_cupon_cero!$A:$A)-2,1),OFFSET(Curvas_cupon_cero!$A$1,1,MATCH($B$6,Curvas_cupon_cero!$1:$1,0)-1,COUNT(Curvas_cupon_cero!$A:$A)-2,1))))</f>
        <v/>
      </c>
      <c r="G558" s="23" t="str">
        <f ca="1">IF(A558="","",IF($B$8="Sí",interpolar_alamb(E558,OFFSET(Curvas_cupon_cero!$A$1,1,0,COUNT(Curvas_cupon_cero!$A:$A)-2,1),OFFSET(Curvas_cupon_cero!$A$1,1,MATCH($B$7,Curvas_cupon_cero!$1:$1,0)-1,COUNT(Curvas_cupon_cero!$A:$A)-2,1)),interpolar(E558,OFFSET(Curvas_cupon_cero!$A$1,1,0,COUNT(Curvas_cupon_cero!$A:$A)-2,1),OFFSET(Curvas_cupon_cero!$A$1,1,MATCH($B$7,Curvas_cupon_cero!$1:$1,0)-1,COUNT(Curvas_cupon_cero!$A:$A)-2,1))))</f>
        <v/>
      </c>
      <c r="H558" s="19" t="str">
        <f t="shared" si="49"/>
        <v/>
      </c>
    </row>
    <row r="559" spans="1:8" x14ac:dyDescent="0.2">
      <c r="A559" s="12" t="str">
        <f t="shared" si="50"/>
        <v/>
      </c>
      <c r="B559" s="21" t="str">
        <f t="shared" si="51"/>
        <v/>
      </c>
      <c r="C559" s="17" t="str">
        <f t="shared" si="48"/>
        <v/>
      </c>
      <c r="D559" s="18" t="str">
        <f t="shared" si="52"/>
        <v/>
      </c>
      <c r="E559" t="str">
        <f t="shared" si="53"/>
        <v/>
      </c>
      <c r="F559" s="23" t="str">
        <f ca="1">IF(A559="","",IF($B$8="Sí",interpolar_alamb(E559,OFFSET(Curvas_cupon_cero!$A$1,1,0,COUNT(Curvas_cupon_cero!$A:$A)-2,1),OFFSET(Curvas_cupon_cero!$A$1,1,MATCH($B$6,Curvas_cupon_cero!$1:$1,0)-1,COUNT(Curvas_cupon_cero!$A:$A)-2,1)),interpolar(E559,OFFSET(Curvas_cupon_cero!$A$1,1,0,COUNT(Curvas_cupon_cero!$A:$A)-2,1),OFFSET(Curvas_cupon_cero!$A$1,1,MATCH($B$6,Curvas_cupon_cero!$1:$1,0)-1,COUNT(Curvas_cupon_cero!$A:$A)-2,1))))</f>
        <v/>
      </c>
      <c r="G559" s="23" t="str">
        <f ca="1">IF(A559="","",IF($B$8="Sí",interpolar_alamb(E559,OFFSET(Curvas_cupon_cero!$A$1,1,0,COUNT(Curvas_cupon_cero!$A:$A)-2,1),OFFSET(Curvas_cupon_cero!$A$1,1,MATCH($B$7,Curvas_cupon_cero!$1:$1,0)-1,COUNT(Curvas_cupon_cero!$A:$A)-2,1)),interpolar(E559,OFFSET(Curvas_cupon_cero!$A$1,1,0,COUNT(Curvas_cupon_cero!$A:$A)-2,1),OFFSET(Curvas_cupon_cero!$A$1,1,MATCH($B$7,Curvas_cupon_cero!$1:$1,0)-1,COUNT(Curvas_cupon_cero!$A:$A)-2,1))))</f>
        <v/>
      </c>
      <c r="H559" s="19" t="str">
        <f t="shared" si="49"/>
        <v/>
      </c>
    </row>
    <row r="560" spans="1:8" x14ac:dyDescent="0.2">
      <c r="A560" s="12" t="str">
        <f t="shared" si="50"/>
        <v/>
      </c>
      <c r="B560" s="21" t="str">
        <f t="shared" si="51"/>
        <v/>
      </c>
      <c r="C560" s="17" t="str">
        <f t="shared" si="48"/>
        <v/>
      </c>
      <c r="D560" s="18" t="str">
        <f t="shared" si="52"/>
        <v/>
      </c>
      <c r="E560" t="str">
        <f t="shared" si="53"/>
        <v/>
      </c>
      <c r="F560" s="23" t="str">
        <f ca="1">IF(A560="","",IF($B$8="Sí",interpolar_alamb(E560,OFFSET(Curvas_cupon_cero!$A$1,1,0,COUNT(Curvas_cupon_cero!$A:$A)-2,1),OFFSET(Curvas_cupon_cero!$A$1,1,MATCH($B$6,Curvas_cupon_cero!$1:$1,0)-1,COUNT(Curvas_cupon_cero!$A:$A)-2,1)),interpolar(E560,OFFSET(Curvas_cupon_cero!$A$1,1,0,COUNT(Curvas_cupon_cero!$A:$A)-2,1),OFFSET(Curvas_cupon_cero!$A$1,1,MATCH($B$6,Curvas_cupon_cero!$1:$1,0)-1,COUNT(Curvas_cupon_cero!$A:$A)-2,1))))</f>
        <v/>
      </c>
      <c r="G560" s="23" t="str">
        <f ca="1">IF(A560="","",IF($B$8="Sí",interpolar_alamb(E560,OFFSET(Curvas_cupon_cero!$A$1,1,0,COUNT(Curvas_cupon_cero!$A:$A)-2,1),OFFSET(Curvas_cupon_cero!$A$1,1,MATCH($B$7,Curvas_cupon_cero!$1:$1,0)-1,COUNT(Curvas_cupon_cero!$A:$A)-2,1)),interpolar(E560,OFFSET(Curvas_cupon_cero!$A$1,1,0,COUNT(Curvas_cupon_cero!$A:$A)-2,1),OFFSET(Curvas_cupon_cero!$A$1,1,MATCH($B$7,Curvas_cupon_cero!$1:$1,0)-1,COUNT(Curvas_cupon_cero!$A:$A)-2,1))))</f>
        <v/>
      </c>
      <c r="H560" s="19" t="str">
        <f t="shared" si="49"/>
        <v/>
      </c>
    </row>
    <row r="561" spans="1:8" x14ac:dyDescent="0.2">
      <c r="A561" s="12" t="str">
        <f t="shared" si="50"/>
        <v/>
      </c>
      <c r="B561" s="21" t="str">
        <f t="shared" si="51"/>
        <v/>
      </c>
      <c r="C561" s="17" t="str">
        <f t="shared" si="48"/>
        <v/>
      </c>
      <c r="D561" s="18" t="str">
        <f t="shared" si="52"/>
        <v/>
      </c>
      <c r="E561" t="str">
        <f t="shared" si="53"/>
        <v/>
      </c>
      <c r="F561" s="23" t="str">
        <f ca="1">IF(A561="","",IF($B$8="Sí",interpolar_alamb(E561,OFFSET(Curvas_cupon_cero!$A$1,1,0,COUNT(Curvas_cupon_cero!$A:$A)-2,1),OFFSET(Curvas_cupon_cero!$A$1,1,MATCH($B$6,Curvas_cupon_cero!$1:$1,0)-1,COUNT(Curvas_cupon_cero!$A:$A)-2,1)),interpolar(E561,OFFSET(Curvas_cupon_cero!$A$1,1,0,COUNT(Curvas_cupon_cero!$A:$A)-2,1),OFFSET(Curvas_cupon_cero!$A$1,1,MATCH($B$6,Curvas_cupon_cero!$1:$1,0)-1,COUNT(Curvas_cupon_cero!$A:$A)-2,1))))</f>
        <v/>
      </c>
      <c r="G561" s="23" t="str">
        <f ca="1">IF(A561="","",IF($B$8="Sí",interpolar_alamb(E561,OFFSET(Curvas_cupon_cero!$A$1,1,0,COUNT(Curvas_cupon_cero!$A:$A)-2,1),OFFSET(Curvas_cupon_cero!$A$1,1,MATCH($B$7,Curvas_cupon_cero!$1:$1,0)-1,COUNT(Curvas_cupon_cero!$A:$A)-2,1)),interpolar(E561,OFFSET(Curvas_cupon_cero!$A$1,1,0,COUNT(Curvas_cupon_cero!$A:$A)-2,1),OFFSET(Curvas_cupon_cero!$A$1,1,MATCH($B$7,Curvas_cupon_cero!$1:$1,0)-1,COUNT(Curvas_cupon_cero!$A:$A)-2,1))))</f>
        <v/>
      </c>
      <c r="H561" s="19" t="str">
        <f t="shared" si="49"/>
        <v/>
      </c>
    </row>
    <row r="562" spans="1:8" x14ac:dyDescent="0.2">
      <c r="A562" s="12" t="str">
        <f t="shared" si="50"/>
        <v/>
      </c>
      <c r="B562" s="21" t="str">
        <f t="shared" si="51"/>
        <v/>
      </c>
      <c r="C562" s="17" t="str">
        <f t="shared" si="48"/>
        <v/>
      </c>
      <c r="D562" s="18" t="str">
        <f t="shared" si="52"/>
        <v/>
      </c>
      <c r="E562" t="str">
        <f t="shared" si="53"/>
        <v/>
      </c>
      <c r="F562" s="23" t="str">
        <f ca="1">IF(A562="","",IF($B$8="Sí",interpolar_alamb(E562,OFFSET(Curvas_cupon_cero!$A$1,1,0,COUNT(Curvas_cupon_cero!$A:$A)-2,1),OFFSET(Curvas_cupon_cero!$A$1,1,MATCH($B$6,Curvas_cupon_cero!$1:$1,0)-1,COUNT(Curvas_cupon_cero!$A:$A)-2,1)),interpolar(E562,OFFSET(Curvas_cupon_cero!$A$1,1,0,COUNT(Curvas_cupon_cero!$A:$A)-2,1),OFFSET(Curvas_cupon_cero!$A$1,1,MATCH($B$6,Curvas_cupon_cero!$1:$1,0)-1,COUNT(Curvas_cupon_cero!$A:$A)-2,1))))</f>
        <v/>
      </c>
      <c r="G562" s="23" t="str">
        <f ca="1">IF(A562="","",IF($B$8="Sí",interpolar_alamb(E562,OFFSET(Curvas_cupon_cero!$A$1,1,0,COUNT(Curvas_cupon_cero!$A:$A)-2,1),OFFSET(Curvas_cupon_cero!$A$1,1,MATCH($B$7,Curvas_cupon_cero!$1:$1,0)-1,COUNT(Curvas_cupon_cero!$A:$A)-2,1)),interpolar(E562,OFFSET(Curvas_cupon_cero!$A$1,1,0,COUNT(Curvas_cupon_cero!$A:$A)-2,1),OFFSET(Curvas_cupon_cero!$A$1,1,MATCH($B$7,Curvas_cupon_cero!$1:$1,0)-1,COUNT(Curvas_cupon_cero!$A:$A)-2,1))))</f>
        <v/>
      </c>
      <c r="H562" s="19" t="str">
        <f t="shared" si="49"/>
        <v/>
      </c>
    </row>
    <row r="563" spans="1:8" x14ac:dyDescent="0.2">
      <c r="A563" s="12" t="str">
        <f t="shared" si="50"/>
        <v/>
      </c>
      <c r="B563" s="21" t="str">
        <f t="shared" si="51"/>
        <v/>
      </c>
      <c r="C563" s="17" t="str">
        <f t="shared" si="48"/>
        <v/>
      </c>
      <c r="D563" s="18" t="str">
        <f t="shared" si="52"/>
        <v/>
      </c>
      <c r="E563" t="str">
        <f t="shared" si="53"/>
        <v/>
      </c>
      <c r="F563" s="23" t="str">
        <f ca="1">IF(A563="","",IF($B$8="Sí",interpolar_alamb(E563,OFFSET(Curvas_cupon_cero!$A$1,1,0,COUNT(Curvas_cupon_cero!$A:$A)-2,1),OFFSET(Curvas_cupon_cero!$A$1,1,MATCH($B$6,Curvas_cupon_cero!$1:$1,0)-1,COUNT(Curvas_cupon_cero!$A:$A)-2,1)),interpolar(E563,OFFSET(Curvas_cupon_cero!$A$1,1,0,COUNT(Curvas_cupon_cero!$A:$A)-2,1),OFFSET(Curvas_cupon_cero!$A$1,1,MATCH($B$6,Curvas_cupon_cero!$1:$1,0)-1,COUNT(Curvas_cupon_cero!$A:$A)-2,1))))</f>
        <v/>
      </c>
      <c r="G563" s="23" t="str">
        <f ca="1">IF(A563="","",IF($B$8="Sí",interpolar_alamb(E563,OFFSET(Curvas_cupon_cero!$A$1,1,0,COUNT(Curvas_cupon_cero!$A:$A)-2,1),OFFSET(Curvas_cupon_cero!$A$1,1,MATCH($B$7,Curvas_cupon_cero!$1:$1,0)-1,COUNT(Curvas_cupon_cero!$A:$A)-2,1)),interpolar(E563,OFFSET(Curvas_cupon_cero!$A$1,1,0,COUNT(Curvas_cupon_cero!$A:$A)-2,1),OFFSET(Curvas_cupon_cero!$A$1,1,MATCH($B$7,Curvas_cupon_cero!$1:$1,0)-1,COUNT(Curvas_cupon_cero!$A:$A)-2,1))))</f>
        <v/>
      </c>
      <c r="H563" s="19" t="str">
        <f t="shared" si="49"/>
        <v/>
      </c>
    </row>
    <row r="564" spans="1:8" x14ac:dyDescent="0.2">
      <c r="A564" s="12" t="str">
        <f t="shared" si="50"/>
        <v/>
      </c>
      <c r="B564" s="21" t="str">
        <f t="shared" si="51"/>
        <v/>
      </c>
      <c r="C564" s="17" t="str">
        <f t="shared" si="48"/>
        <v/>
      </c>
      <c r="D564" s="18" t="str">
        <f t="shared" si="52"/>
        <v/>
      </c>
      <c r="E564" t="str">
        <f t="shared" si="53"/>
        <v/>
      </c>
      <c r="F564" s="23" t="str">
        <f ca="1">IF(A564="","",IF($B$8="Sí",interpolar_alamb(E564,OFFSET(Curvas_cupon_cero!$A$1,1,0,COUNT(Curvas_cupon_cero!$A:$A)-2,1),OFFSET(Curvas_cupon_cero!$A$1,1,MATCH($B$6,Curvas_cupon_cero!$1:$1,0)-1,COUNT(Curvas_cupon_cero!$A:$A)-2,1)),interpolar(E564,OFFSET(Curvas_cupon_cero!$A$1,1,0,COUNT(Curvas_cupon_cero!$A:$A)-2,1),OFFSET(Curvas_cupon_cero!$A$1,1,MATCH($B$6,Curvas_cupon_cero!$1:$1,0)-1,COUNT(Curvas_cupon_cero!$A:$A)-2,1))))</f>
        <v/>
      </c>
      <c r="G564" s="23" t="str">
        <f ca="1">IF(A564="","",IF($B$8="Sí",interpolar_alamb(E564,OFFSET(Curvas_cupon_cero!$A$1,1,0,COUNT(Curvas_cupon_cero!$A:$A)-2,1),OFFSET(Curvas_cupon_cero!$A$1,1,MATCH($B$7,Curvas_cupon_cero!$1:$1,0)-1,COUNT(Curvas_cupon_cero!$A:$A)-2,1)),interpolar(E564,OFFSET(Curvas_cupon_cero!$A$1,1,0,COUNT(Curvas_cupon_cero!$A:$A)-2,1),OFFSET(Curvas_cupon_cero!$A$1,1,MATCH($B$7,Curvas_cupon_cero!$1:$1,0)-1,COUNT(Curvas_cupon_cero!$A:$A)-2,1))))</f>
        <v/>
      </c>
      <c r="H564" s="19" t="str">
        <f t="shared" si="49"/>
        <v/>
      </c>
    </row>
    <row r="565" spans="1:8" x14ac:dyDescent="0.2">
      <c r="A565" s="12" t="str">
        <f t="shared" si="50"/>
        <v/>
      </c>
      <c r="B565" s="21" t="str">
        <f t="shared" si="51"/>
        <v/>
      </c>
      <c r="C565" s="17" t="str">
        <f t="shared" si="48"/>
        <v/>
      </c>
      <c r="D565" s="18" t="str">
        <f t="shared" si="52"/>
        <v/>
      </c>
      <c r="E565" t="str">
        <f t="shared" si="53"/>
        <v/>
      </c>
      <c r="F565" s="23" t="str">
        <f ca="1">IF(A565="","",IF($B$8="Sí",interpolar_alamb(E565,OFFSET(Curvas_cupon_cero!$A$1,1,0,COUNT(Curvas_cupon_cero!$A:$A)-2,1),OFFSET(Curvas_cupon_cero!$A$1,1,MATCH($B$6,Curvas_cupon_cero!$1:$1,0)-1,COUNT(Curvas_cupon_cero!$A:$A)-2,1)),interpolar(E565,OFFSET(Curvas_cupon_cero!$A$1,1,0,COUNT(Curvas_cupon_cero!$A:$A)-2,1),OFFSET(Curvas_cupon_cero!$A$1,1,MATCH($B$6,Curvas_cupon_cero!$1:$1,0)-1,COUNT(Curvas_cupon_cero!$A:$A)-2,1))))</f>
        <v/>
      </c>
      <c r="G565" s="23" t="str">
        <f ca="1">IF(A565="","",IF($B$8="Sí",interpolar_alamb(E565,OFFSET(Curvas_cupon_cero!$A$1,1,0,COUNT(Curvas_cupon_cero!$A:$A)-2,1),OFFSET(Curvas_cupon_cero!$A$1,1,MATCH($B$7,Curvas_cupon_cero!$1:$1,0)-1,COUNT(Curvas_cupon_cero!$A:$A)-2,1)),interpolar(E565,OFFSET(Curvas_cupon_cero!$A$1,1,0,COUNT(Curvas_cupon_cero!$A:$A)-2,1),OFFSET(Curvas_cupon_cero!$A$1,1,MATCH($B$7,Curvas_cupon_cero!$1:$1,0)-1,COUNT(Curvas_cupon_cero!$A:$A)-2,1))))</f>
        <v/>
      </c>
      <c r="H565" s="19" t="str">
        <f t="shared" si="49"/>
        <v/>
      </c>
    </row>
    <row r="566" spans="1:8" x14ac:dyDescent="0.2">
      <c r="A566" s="12" t="str">
        <f t="shared" si="50"/>
        <v/>
      </c>
      <c r="B566" s="21" t="str">
        <f t="shared" si="51"/>
        <v/>
      </c>
      <c r="C566" s="17" t="str">
        <f t="shared" si="48"/>
        <v/>
      </c>
      <c r="D566" s="18" t="str">
        <f t="shared" si="52"/>
        <v/>
      </c>
      <c r="E566" t="str">
        <f t="shared" si="53"/>
        <v/>
      </c>
      <c r="F566" s="23" t="str">
        <f ca="1">IF(A566="","",IF($B$8="Sí",interpolar_alamb(E566,OFFSET(Curvas_cupon_cero!$A$1,1,0,COUNT(Curvas_cupon_cero!$A:$A)-2,1),OFFSET(Curvas_cupon_cero!$A$1,1,MATCH($B$6,Curvas_cupon_cero!$1:$1,0)-1,COUNT(Curvas_cupon_cero!$A:$A)-2,1)),interpolar(E566,OFFSET(Curvas_cupon_cero!$A$1,1,0,COUNT(Curvas_cupon_cero!$A:$A)-2,1),OFFSET(Curvas_cupon_cero!$A$1,1,MATCH($B$6,Curvas_cupon_cero!$1:$1,0)-1,COUNT(Curvas_cupon_cero!$A:$A)-2,1))))</f>
        <v/>
      </c>
      <c r="G566" s="23" t="str">
        <f ca="1">IF(A566="","",IF($B$8="Sí",interpolar_alamb(E566,OFFSET(Curvas_cupon_cero!$A$1,1,0,COUNT(Curvas_cupon_cero!$A:$A)-2,1),OFFSET(Curvas_cupon_cero!$A$1,1,MATCH($B$7,Curvas_cupon_cero!$1:$1,0)-1,COUNT(Curvas_cupon_cero!$A:$A)-2,1)),interpolar(E566,OFFSET(Curvas_cupon_cero!$A$1,1,0,COUNT(Curvas_cupon_cero!$A:$A)-2,1),OFFSET(Curvas_cupon_cero!$A$1,1,MATCH($B$7,Curvas_cupon_cero!$1:$1,0)-1,COUNT(Curvas_cupon_cero!$A:$A)-2,1))))</f>
        <v/>
      </c>
      <c r="H566" s="19" t="str">
        <f t="shared" si="49"/>
        <v/>
      </c>
    </row>
    <row r="567" spans="1:8" x14ac:dyDescent="0.2">
      <c r="A567" s="12" t="str">
        <f t="shared" si="50"/>
        <v/>
      </c>
      <c r="B567" s="21" t="str">
        <f t="shared" si="51"/>
        <v/>
      </c>
      <c r="C567" s="17" t="str">
        <f t="shared" si="48"/>
        <v/>
      </c>
      <c r="D567" s="18" t="str">
        <f t="shared" si="52"/>
        <v/>
      </c>
      <c r="E567" t="str">
        <f t="shared" si="53"/>
        <v/>
      </c>
      <c r="F567" s="23" t="str">
        <f ca="1">IF(A567="","",IF($B$8="Sí",interpolar_alamb(E567,OFFSET(Curvas_cupon_cero!$A$1,1,0,COUNT(Curvas_cupon_cero!$A:$A)-2,1),OFFSET(Curvas_cupon_cero!$A$1,1,MATCH($B$6,Curvas_cupon_cero!$1:$1,0)-1,COUNT(Curvas_cupon_cero!$A:$A)-2,1)),interpolar(E567,OFFSET(Curvas_cupon_cero!$A$1,1,0,COUNT(Curvas_cupon_cero!$A:$A)-2,1),OFFSET(Curvas_cupon_cero!$A$1,1,MATCH($B$6,Curvas_cupon_cero!$1:$1,0)-1,COUNT(Curvas_cupon_cero!$A:$A)-2,1))))</f>
        <v/>
      </c>
      <c r="G567" s="23" t="str">
        <f ca="1">IF(A567="","",IF($B$8="Sí",interpolar_alamb(E567,OFFSET(Curvas_cupon_cero!$A$1,1,0,COUNT(Curvas_cupon_cero!$A:$A)-2,1),OFFSET(Curvas_cupon_cero!$A$1,1,MATCH($B$7,Curvas_cupon_cero!$1:$1,0)-1,COUNT(Curvas_cupon_cero!$A:$A)-2,1)),interpolar(E567,OFFSET(Curvas_cupon_cero!$A$1,1,0,COUNT(Curvas_cupon_cero!$A:$A)-2,1),OFFSET(Curvas_cupon_cero!$A$1,1,MATCH($B$7,Curvas_cupon_cero!$1:$1,0)-1,COUNT(Curvas_cupon_cero!$A:$A)-2,1))))</f>
        <v/>
      </c>
      <c r="H567" s="19" t="str">
        <f t="shared" si="49"/>
        <v/>
      </c>
    </row>
    <row r="568" spans="1:8" x14ac:dyDescent="0.2">
      <c r="A568" s="12" t="str">
        <f t="shared" si="50"/>
        <v/>
      </c>
      <c r="B568" s="21" t="str">
        <f t="shared" si="51"/>
        <v/>
      </c>
      <c r="C568" s="17" t="str">
        <f t="shared" si="48"/>
        <v/>
      </c>
      <c r="D568" s="18" t="str">
        <f t="shared" si="52"/>
        <v/>
      </c>
      <c r="E568" t="str">
        <f t="shared" si="53"/>
        <v/>
      </c>
      <c r="F568" s="23" t="str">
        <f ca="1">IF(A568="","",IF($B$8="Sí",interpolar_alamb(E568,OFFSET(Curvas_cupon_cero!$A$1,1,0,COUNT(Curvas_cupon_cero!$A:$A)-2,1),OFFSET(Curvas_cupon_cero!$A$1,1,MATCH($B$6,Curvas_cupon_cero!$1:$1,0)-1,COUNT(Curvas_cupon_cero!$A:$A)-2,1)),interpolar(E568,OFFSET(Curvas_cupon_cero!$A$1,1,0,COUNT(Curvas_cupon_cero!$A:$A)-2,1),OFFSET(Curvas_cupon_cero!$A$1,1,MATCH($B$6,Curvas_cupon_cero!$1:$1,0)-1,COUNT(Curvas_cupon_cero!$A:$A)-2,1))))</f>
        <v/>
      </c>
      <c r="G568" s="23" t="str">
        <f ca="1">IF(A568="","",IF($B$8="Sí",interpolar_alamb(E568,OFFSET(Curvas_cupon_cero!$A$1,1,0,COUNT(Curvas_cupon_cero!$A:$A)-2,1),OFFSET(Curvas_cupon_cero!$A$1,1,MATCH($B$7,Curvas_cupon_cero!$1:$1,0)-1,COUNT(Curvas_cupon_cero!$A:$A)-2,1)),interpolar(E568,OFFSET(Curvas_cupon_cero!$A$1,1,0,COUNT(Curvas_cupon_cero!$A:$A)-2,1),OFFSET(Curvas_cupon_cero!$A$1,1,MATCH($B$7,Curvas_cupon_cero!$1:$1,0)-1,COUNT(Curvas_cupon_cero!$A:$A)-2,1))))</f>
        <v/>
      </c>
      <c r="H568" s="19" t="str">
        <f t="shared" si="49"/>
        <v/>
      </c>
    </row>
    <row r="569" spans="1:8" x14ac:dyDescent="0.2">
      <c r="A569" s="12" t="str">
        <f t="shared" si="50"/>
        <v/>
      </c>
      <c r="B569" s="21" t="str">
        <f t="shared" si="51"/>
        <v/>
      </c>
      <c r="C569" s="17" t="str">
        <f t="shared" si="48"/>
        <v/>
      </c>
      <c r="D569" s="18" t="str">
        <f t="shared" si="52"/>
        <v/>
      </c>
      <c r="E569" t="str">
        <f t="shared" si="53"/>
        <v/>
      </c>
      <c r="F569" s="23" t="str">
        <f ca="1">IF(A569="","",IF($B$8="Sí",interpolar_alamb(E569,OFFSET(Curvas_cupon_cero!$A$1,1,0,COUNT(Curvas_cupon_cero!$A:$A)-2,1),OFFSET(Curvas_cupon_cero!$A$1,1,MATCH($B$6,Curvas_cupon_cero!$1:$1,0)-1,COUNT(Curvas_cupon_cero!$A:$A)-2,1)),interpolar(E569,OFFSET(Curvas_cupon_cero!$A$1,1,0,COUNT(Curvas_cupon_cero!$A:$A)-2,1),OFFSET(Curvas_cupon_cero!$A$1,1,MATCH($B$6,Curvas_cupon_cero!$1:$1,0)-1,COUNT(Curvas_cupon_cero!$A:$A)-2,1))))</f>
        <v/>
      </c>
      <c r="G569" s="23" t="str">
        <f ca="1">IF(A569="","",IF($B$8="Sí",interpolar_alamb(E569,OFFSET(Curvas_cupon_cero!$A$1,1,0,COUNT(Curvas_cupon_cero!$A:$A)-2,1),OFFSET(Curvas_cupon_cero!$A$1,1,MATCH($B$7,Curvas_cupon_cero!$1:$1,0)-1,COUNT(Curvas_cupon_cero!$A:$A)-2,1)),interpolar(E569,OFFSET(Curvas_cupon_cero!$A$1,1,0,COUNT(Curvas_cupon_cero!$A:$A)-2,1),OFFSET(Curvas_cupon_cero!$A$1,1,MATCH($B$7,Curvas_cupon_cero!$1:$1,0)-1,COUNT(Curvas_cupon_cero!$A:$A)-2,1))))</f>
        <v/>
      </c>
      <c r="H569" s="19" t="str">
        <f t="shared" si="49"/>
        <v/>
      </c>
    </row>
    <row r="570" spans="1:8" x14ac:dyDescent="0.2">
      <c r="A570" s="12" t="str">
        <f t="shared" si="50"/>
        <v/>
      </c>
      <c r="B570" s="21" t="str">
        <f t="shared" si="51"/>
        <v/>
      </c>
      <c r="C570" s="17" t="str">
        <f t="shared" si="48"/>
        <v/>
      </c>
      <c r="D570" s="18" t="str">
        <f t="shared" si="52"/>
        <v/>
      </c>
      <c r="E570" t="str">
        <f t="shared" si="53"/>
        <v/>
      </c>
      <c r="F570" s="23" t="str">
        <f ca="1">IF(A570="","",IF($B$8="Sí",interpolar_alamb(E570,OFFSET(Curvas_cupon_cero!$A$1,1,0,COUNT(Curvas_cupon_cero!$A:$A)-2,1),OFFSET(Curvas_cupon_cero!$A$1,1,MATCH($B$6,Curvas_cupon_cero!$1:$1,0)-1,COUNT(Curvas_cupon_cero!$A:$A)-2,1)),interpolar(E570,OFFSET(Curvas_cupon_cero!$A$1,1,0,COUNT(Curvas_cupon_cero!$A:$A)-2,1),OFFSET(Curvas_cupon_cero!$A$1,1,MATCH($B$6,Curvas_cupon_cero!$1:$1,0)-1,COUNT(Curvas_cupon_cero!$A:$A)-2,1))))</f>
        <v/>
      </c>
      <c r="G570" s="23" t="str">
        <f ca="1">IF(A570="","",IF($B$8="Sí",interpolar_alamb(E570,OFFSET(Curvas_cupon_cero!$A$1,1,0,COUNT(Curvas_cupon_cero!$A:$A)-2,1),OFFSET(Curvas_cupon_cero!$A$1,1,MATCH($B$7,Curvas_cupon_cero!$1:$1,0)-1,COUNT(Curvas_cupon_cero!$A:$A)-2,1)),interpolar(E570,OFFSET(Curvas_cupon_cero!$A$1,1,0,COUNT(Curvas_cupon_cero!$A:$A)-2,1),OFFSET(Curvas_cupon_cero!$A$1,1,MATCH($B$7,Curvas_cupon_cero!$1:$1,0)-1,COUNT(Curvas_cupon_cero!$A:$A)-2,1))))</f>
        <v/>
      </c>
      <c r="H570" s="19" t="str">
        <f t="shared" si="49"/>
        <v/>
      </c>
    </row>
    <row r="571" spans="1:8" x14ac:dyDescent="0.2">
      <c r="A571" s="12" t="str">
        <f t="shared" si="50"/>
        <v/>
      </c>
      <c r="B571" s="21" t="str">
        <f t="shared" si="51"/>
        <v/>
      </c>
      <c r="C571" s="17" t="str">
        <f t="shared" si="48"/>
        <v/>
      </c>
      <c r="D571" s="18" t="str">
        <f t="shared" si="52"/>
        <v/>
      </c>
      <c r="E571" t="str">
        <f t="shared" si="53"/>
        <v/>
      </c>
      <c r="F571" s="23" t="str">
        <f ca="1">IF(A571="","",IF($B$8="Sí",interpolar_alamb(E571,OFFSET(Curvas_cupon_cero!$A$1,1,0,COUNT(Curvas_cupon_cero!$A:$A)-2,1),OFFSET(Curvas_cupon_cero!$A$1,1,MATCH($B$6,Curvas_cupon_cero!$1:$1,0)-1,COUNT(Curvas_cupon_cero!$A:$A)-2,1)),interpolar(E571,OFFSET(Curvas_cupon_cero!$A$1,1,0,COUNT(Curvas_cupon_cero!$A:$A)-2,1),OFFSET(Curvas_cupon_cero!$A$1,1,MATCH($B$6,Curvas_cupon_cero!$1:$1,0)-1,COUNT(Curvas_cupon_cero!$A:$A)-2,1))))</f>
        <v/>
      </c>
      <c r="G571" s="23" t="str">
        <f ca="1">IF(A571="","",IF($B$8="Sí",interpolar_alamb(E571,OFFSET(Curvas_cupon_cero!$A$1,1,0,COUNT(Curvas_cupon_cero!$A:$A)-2,1),OFFSET(Curvas_cupon_cero!$A$1,1,MATCH($B$7,Curvas_cupon_cero!$1:$1,0)-1,COUNT(Curvas_cupon_cero!$A:$A)-2,1)),interpolar(E571,OFFSET(Curvas_cupon_cero!$A$1,1,0,COUNT(Curvas_cupon_cero!$A:$A)-2,1),OFFSET(Curvas_cupon_cero!$A$1,1,MATCH($B$7,Curvas_cupon_cero!$1:$1,0)-1,COUNT(Curvas_cupon_cero!$A:$A)-2,1))))</f>
        <v/>
      </c>
      <c r="H571" s="19" t="str">
        <f t="shared" si="49"/>
        <v/>
      </c>
    </row>
    <row r="572" spans="1:8" x14ac:dyDescent="0.2">
      <c r="A572" s="12" t="str">
        <f t="shared" si="50"/>
        <v/>
      </c>
      <c r="B572" s="21" t="str">
        <f t="shared" si="51"/>
        <v/>
      </c>
      <c r="C572" s="17" t="str">
        <f t="shared" si="48"/>
        <v/>
      </c>
      <c r="D572" s="18" t="str">
        <f t="shared" si="52"/>
        <v/>
      </c>
      <c r="E572" t="str">
        <f t="shared" si="53"/>
        <v/>
      </c>
      <c r="F572" s="23" t="str">
        <f ca="1">IF(A572="","",IF($B$8="Sí",interpolar_alamb(E572,OFFSET(Curvas_cupon_cero!$A$1,1,0,COUNT(Curvas_cupon_cero!$A:$A)-2,1),OFFSET(Curvas_cupon_cero!$A$1,1,MATCH($B$6,Curvas_cupon_cero!$1:$1,0)-1,COUNT(Curvas_cupon_cero!$A:$A)-2,1)),interpolar(E572,OFFSET(Curvas_cupon_cero!$A$1,1,0,COUNT(Curvas_cupon_cero!$A:$A)-2,1),OFFSET(Curvas_cupon_cero!$A$1,1,MATCH($B$6,Curvas_cupon_cero!$1:$1,0)-1,COUNT(Curvas_cupon_cero!$A:$A)-2,1))))</f>
        <v/>
      </c>
      <c r="G572" s="23" t="str">
        <f ca="1">IF(A572="","",IF($B$8="Sí",interpolar_alamb(E572,OFFSET(Curvas_cupon_cero!$A$1,1,0,COUNT(Curvas_cupon_cero!$A:$A)-2,1),OFFSET(Curvas_cupon_cero!$A$1,1,MATCH($B$7,Curvas_cupon_cero!$1:$1,0)-1,COUNT(Curvas_cupon_cero!$A:$A)-2,1)),interpolar(E572,OFFSET(Curvas_cupon_cero!$A$1,1,0,COUNT(Curvas_cupon_cero!$A:$A)-2,1),OFFSET(Curvas_cupon_cero!$A$1,1,MATCH($B$7,Curvas_cupon_cero!$1:$1,0)-1,COUNT(Curvas_cupon_cero!$A:$A)-2,1))))</f>
        <v/>
      </c>
      <c r="H572" s="19" t="str">
        <f t="shared" si="49"/>
        <v/>
      </c>
    </row>
    <row r="573" spans="1:8" x14ac:dyDescent="0.2">
      <c r="A573" s="12" t="str">
        <f t="shared" si="50"/>
        <v/>
      </c>
      <c r="B573" s="21" t="str">
        <f t="shared" si="51"/>
        <v/>
      </c>
      <c r="C573" s="17" t="str">
        <f t="shared" si="48"/>
        <v/>
      </c>
      <c r="D573" s="18" t="str">
        <f t="shared" si="52"/>
        <v/>
      </c>
      <c r="E573" t="str">
        <f t="shared" si="53"/>
        <v/>
      </c>
      <c r="F573" s="23" t="str">
        <f ca="1">IF(A573="","",IF($B$8="Sí",interpolar_alamb(E573,OFFSET(Curvas_cupon_cero!$A$1,1,0,COUNT(Curvas_cupon_cero!$A:$A)-2,1),OFFSET(Curvas_cupon_cero!$A$1,1,MATCH($B$6,Curvas_cupon_cero!$1:$1,0)-1,COUNT(Curvas_cupon_cero!$A:$A)-2,1)),interpolar(E573,OFFSET(Curvas_cupon_cero!$A$1,1,0,COUNT(Curvas_cupon_cero!$A:$A)-2,1),OFFSET(Curvas_cupon_cero!$A$1,1,MATCH($B$6,Curvas_cupon_cero!$1:$1,0)-1,COUNT(Curvas_cupon_cero!$A:$A)-2,1))))</f>
        <v/>
      </c>
      <c r="G573" s="23" t="str">
        <f ca="1">IF(A573="","",IF($B$8="Sí",interpolar_alamb(E573,OFFSET(Curvas_cupon_cero!$A$1,1,0,COUNT(Curvas_cupon_cero!$A:$A)-2,1),OFFSET(Curvas_cupon_cero!$A$1,1,MATCH($B$7,Curvas_cupon_cero!$1:$1,0)-1,COUNT(Curvas_cupon_cero!$A:$A)-2,1)),interpolar(E573,OFFSET(Curvas_cupon_cero!$A$1,1,0,COUNT(Curvas_cupon_cero!$A:$A)-2,1),OFFSET(Curvas_cupon_cero!$A$1,1,MATCH($B$7,Curvas_cupon_cero!$1:$1,0)-1,COUNT(Curvas_cupon_cero!$A:$A)-2,1))))</f>
        <v/>
      </c>
      <c r="H573" s="19" t="str">
        <f t="shared" si="49"/>
        <v/>
      </c>
    </row>
    <row r="574" spans="1:8" x14ac:dyDescent="0.2">
      <c r="A574" s="12" t="str">
        <f t="shared" si="50"/>
        <v/>
      </c>
      <c r="B574" s="21" t="str">
        <f t="shared" si="51"/>
        <v/>
      </c>
      <c r="C574" s="17" t="str">
        <f t="shared" si="48"/>
        <v/>
      </c>
      <c r="D574" s="18" t="str">
        <f t="shared" si="52"/>
        <v/>
      </c>
      <c r="E574" t="str">
        <f t="shared" si="53"/>
        <v/>
      </c>
      <c r="F574" s="23" t="str">
        <f ca="1">IF(A574="","",IF($B$8="Sí",interpolar_alamb(E574,OFFSET(Curvas_cupon_cero!$A$1,1,0,COUNT(Curvas_cupon_cero!$A:$A)-2,1),OFFSET(Curvas_cupon_cero!$A$1,1,MATCH($B$6,Curvas_cupon_cero!$1:$1,0)-1,COUNT(Curvas_cupon_cero!$A:$A)-2,1)),interpolar(E574,OFFSET(Curvas_cupon_cero!$A$1,1,0,COUNT(Curvas_cupon_cero!$A:$A)-2,1),OFFSET(Curvas_cupon_cero!$A$1,1,MATCH($B$6,Curvas_cupon_cero!$1:$1,0)-1,COUNT(Curvas_cupon_cero!$A:$A)-2,1))))</f>
        <v/>
      </c>
      <c r="G574" s="23" t="str">
        <f ca="1">IF(A574="","",IF($B$8="Sí",interpolar_alamb(E574,OFFSET(Curvas_cupon_cero!$A$1,1,0,COUNT(Curvas_cupon_cero!$A:$A)-2,1),OFFSET(Curvas_cupon_cero!$A$1,1,MATCH($B$7,Curvas_cupon_cero!$1:$1,0)-1,COUNT(Curvas_cupon_cero!$A:$A)-2,1)),interpolar(E574,OFFSET(Curvas_cupon_cero!$A$1,1,0,COUNT(Curvas_cupon_cero!$A:$A)-2,1),OFFSET(Curvas_cupon_cero!$A$1,1,MATCH($B$7,Curvas_cupon_cero!$1:$1,0)-1,COUNT(Curvas_cupon_cero!$A:$A)-2,1))))</f>
        <v/>
      </c>
      <c r="H574" s="19" t="str">
        <f t="shared" si="49"/>
        <v/>
      </c>
    </row>
    <row r="575" spans="1:8" x14ac:dyDescent="0.2">
      <c r="A575" s="12" t="str">
        <f t="shared" si="50"/>
        <v/>
      </c>
      <c r="B575" s="21" t="str">
        <f t="shared" si="51"/>
        <v/>
      </c>
      <c r="C575" s="17" t="str">
        <f t="shared" si="48"/>
        <v/>
      </c>
      <c r="D575" s="18" t="str">
        <f t="shared" si="52"/>
        <v/>
      </c>
      <c r="E575" t="str">
        <f t="shared" si="53"/>
        <v/>
      </c>
      <c r="F575" s="23" t="str">
        <f ca="1">IF(A575="","",IF($B$8="Sí",interpolar_alamb(E575,OFFSET(Curvas_cupon_cero!$A$1,1,0,COUNT(Curvas_cupon_cero!$A:$A)-2,1),OFFSET(Curvas_cupon_cero!$A$1,1,MATCH($B$6,Curvas_cupon_cero!$1:$1,0)-1,COUNT(Curvas_cupon_cero!$A:$A)-2,1)),interpolar(E575,OFFSET(Curvas_cupon_cero!$A$1,1,0,COUNT(Curvas_cupon_cero!$A:$A)-2,1),OFFSET(Curvas_cupon_cero!$A$1,1,MATCH($B$6,Curvas_cupon_cero!$1:$1,0)-1,COUNT(Curvas_cupon_cero!$A:$A)-2,1))))</f>
        <v/>
      </c>
      <c r="G575" s="23" t="str">
        <f ca="1">IF(A575="","",IF($B$8="Sí",interpolar_alamb(E575,OFFSET(Curvas_cupon_cero!$A$1,1,0,COUNT(Curvas_cupon_cero!$A:$A)-2,1),OFFSET(Curvas_cupon_cero!$A$1,1,MATCH($B$7,Curvas_cupon_cero!$1:$1,0)-1,COUNT(Curvas_cupon_cero!$A:$A)-2,1)),interpolar(E575,OFFSET(Curvas_cupon_cero!$A$1,1,0,COUNT(Curvas_cupon_cero!$A:$A)-2,1),OFFSET(Curvas_cupon_cero!$A$1,1,MATCH($B$7,Curvas_cupon_cero!$1:$1,0)-1,COUNT(Curvas_cupon_cero!$A:$A)-2,1))))</f>
        <v/>
      </c>
      <c r="H575" s="19" t="str">
        <f t="shared" si="49"/>
        <v/>
      </c>
    </row>
    <row r="576" spans="1:8" x14ac:dyDescent="0.2">
      <c r="A576" s="12" t="str">
        <f t="shared" si="50"/>
        <v/>
      </c>
      <c r="B576" s="21" t="str">
        <f t="shared" si="51"/>
        <v/>
      </c>
      <c r="C576" s="17" t="str">
        <f t="shared" si="48"/>
        <v/>
      </c>
      <c r="D576" s="18" t="str">
        <f t="shared" si="52"/>
        <v/>
      </c>
      <c r="E576" t="str">
        <f t="shared" si="53"/>
        <v/>
      </c>
      <c r="F576" s="23" t="str">
        <f ca="1">IF(A576="","",IF($B$8="Sí",interpolar_alamb(E576,OFFSET(Curvas_cupon_cero!$A$1,1,0,COUNT(Curvas_cupon_cero!$A:$A)-2,1),OFFSET(Curvas_cupon_cero!$A$1,1,MATCH($B$6,Curvas_cupon_cero!$1:$1,0)-1,COUNT(Curvas_cupon_cero!$A:$A)-2,1)),interpolar(E576,OFFSET(Curvas_cupon_cero!$A$1,1,0,COUNT(Curvas_cupon_cero!$A:$A)-2,1),OFFSET(Curvas_cupon_cero!$A$1,1,MATCH($B$6,Curvas_cupon_cero!$1:$1,0)-1,COUNT(Curvas_cupon_cero!$A:$A)-2,1))))</f>
        <v/>
      </c>
      <c r="G576" s="23" t="str">
        <f ca="1">IF(A576="","",IF($B$8="Sí",interpolar_alamb(E576,OFFSET(Curvas_cupon_cero!$A$1,1,0,COUNT(Curvas_cupon_cero!$A:$A)-2,1),OFFSET(Curvas_cupon_cero!$A$1,1,MATCH($B$7,Curvas_cupon_cero!$1:$1,0)-1,COUNT(Curvas_cupon_cero!$A:$A)-2,1)),interpolar(E576,OFFSET(Curvas_cupon_cero!$A$1,1,0,COUNT(Curvas_cupon_cero!$A:$A)-2,1),OFFSET(Curvas_cupon_cero!$A$1,1,MATCH($B$7,Curvas_cupon_cero!$1:$1,0)-1,COUNT(Curvas_cupon_cero!$A:$A)-2,1))))</f>
        <v/>
      </c>
      <c r="H576" s="19" t="str">
        <f t="shared" si="49"/>
        <v/>
      </c>
    </row>
    <row r="577" spans="1:8" x14ac:dyDescent="0.2">
      <c r="A577" s="12" t="str">
        <f t="shared" si="50"/>
        <v/>
      </c>
      <c r="B577" s="21" t="str">
        <f t="shared" si="51"/>
        <v/>
      </c>
      <c r="C577" s="17" t="str">
        <f t="shared" si="48"/>
        <v/>
      </c>
      <c r="D577" s="18" t="str">
        <f t="shared" si="52"/>
        <v/>
      </c>
      <c r="E577" t="str">
        <f t="shared" si="53"/>
        <v/>
      </c>
      <c r="F577" s="23" t="str">
        <f ca="1">IF(A577="","",IF($B$8="Sí",interpolar_alamb(E577,OFFSET(Curvas_cupon_cero!$A$1,1,0,COUNT(Curvas_cupon_cero!$A:$A)-2,1),OFFSET(Curvas_cupon_cero!$A$1,1,MATCH($B$6,Curvas_cupon_cero!$1:$1,0)-1,COUNT(Curvas_cupon_cero!$A:$A)-2,1)),interpolar(E577,OFFSET(Curvas_cupon_cero!$A$1,1,0,COUNT(Curvas_cupon_cero!$A:$A)-2,1),OFFSET(Curvas_cupon_cero!$A$1,1,MATCH($B$6,Curvas_cupon_cero!$1:$1,0)-1,COUNT(Curvas_cupon_cero!$A:$A)-2,1))))</f>
        <v/>
      </c>
      <c r="G577" s="23" t="str">
        <f ca="1">IF(A577="","",IF($B$8="Sí",interpolar_alamb(E577,OFFSET(Curvas_cupon_cero!$A$1,1,0,COUNT(Curvas_cupon_cero!$A:$A)-2,1),OFFSET(Curvas_cupon_cero!$A$1,1,MATCH($B$7,Curvas_cupon_cero!$1:$1,0)-1,COUNT(Curvas_cupon_cero!$A:$A)-2,1)),interpolar(E577,OFFSET(Curvas_cupon_cero!$A$1,1,0,COUNT(Curvas_cupon_cero!$A:$A)-2,1),OFFSET(Curvas_cupon_cero!$A$1,1,MATCH($B$7,Curvas_cupon_cero!$1:$1,0)-1,COUNT(Curvas_cupon_cero!$A:$A)-2,1))))</f>
        <v/>
      </c>
      <c r="H577" s="19" t="str">
        <f t="shared" si="49"/>
        <v/>
      </c>
    </row>
    <row r="578" spans="1:8" x14ac:dyDescent="0.2">
      <c r="A578" s="12" t="str">
        <f t="shared" si="50"/>
        <v/>
      </c>
      <c r="B578" s="21" t="str">
        <f t="shared" si="51"/>
        <v/>
      </c>
      <c r="C578" s="17" t="str">
        <f t="shared" si="48"/>
        <v/>
      </c>
      <c r="D578" s="18" t="str">
        <f t="shared" si="52"/>
        <v/>
      </c>
      <c r="E578" t="str">
        <f t="shared" si="53"/>
        <v/>
      </c>
      <c r="F578" s="23" t="str">
        <f ca="1">IF(A578="","",IF($B$8="Sí",interpolar_alamb(E578,OFFSET(Curvas_cupon_cero!$A$1,1,0,COUNT(Curvas_cupon_cero!$A:$A)-2,1),OFFSET(Curvas_cupon_cero!$A$1,1,MATCH($B$6,Curvas_cupon_cero!$1:$1,0)-1,COUNT(Curvas_cupon_cero!$A:$A)-2,1)),interpolar(E578,OFFSET(Curvas_cupon_cero!$A$1,1,0,COUNT(Curvas_cupon_cero!$A:$A)-2,1),OFFSET(Curvas_cupon_cero!$A$1,1,MATCH($B$6,Curvas_cupon_cero!$1:$1,0)-1,COUNT(Curvas_cupon_cero!$A:$A)-2,1))))</f>
        <v/>
      </c>
      <c r="G578" s="23" t="str">
        <f ca="1">IF(A578="","",IF($B$8="Sí",interpolar_alamb(E578,OFFSET(Curvas_cupon_cero!$A$1,1,0,COUNT(Curvas_cupon_cero!$A:$A)-2,1),OFFSET(Curvas_cupon_cero!$A$1,1,MATCH($B$7,Curvas_cupon_cero!$1:$1,0)-1,COUNT(Curvas_cupon_cero!$A:$A)-2,1)),interpolar(E578,OFFSET(Curvas_cupon_cero!$A$1,1,0,COUNT(Curvas_cupon_cero!$A:$A)-2,1),OFFSET(Curvas_cupon_cero!$A$1,1,MATCH($B$7,Curvas_cupon_cero!$1:$1,0)-1,COUNT(Curvas_cupon_cero!$A:$A)-2,1))))</f>
        <v/>
      </c>
      <c r="H578" s="19" t="str">
        <f t="shared" si="49"/>
        <v/>
      </c>
    </row>
    <row r="579" spans="1:8" x14ac:dyDescent="0.2">
      <c r="A579" s="12" t="str">
        <f t="shared" si="50"/>
        <v/>
      </c>
      <c r="B579" s="21" t="str">
        <f t="shared" si="51"/>
        <v/>
      </c>
      <c r="C579" s="17" t="str">
        <f t="shared" si="48"/>
        <v/>
      </c>
      <c r="D579" s="18" t="str">
        <f t="shared" si="52"/>
        <v/>
      </c>
      <c r="E579" t="str">
        <f t="shared" si="53"/>
        <v/>
      </c>
      <c r="F579" s="23" t="str">
        <f ca="1">IF(A579="","",IF($B$8="Sí",interpolar_alamb(E579,OFFSET(Curvas_cupon_cero!$A$1,1,0,COUNT(Curvas_cupon_cero!$A:$A)-2,1),OFFSET(Curvas_cupon_cero!$A$1,1,MATCH($B$6,Curvas_cupon_cero!$1:$1,0)-1,COUNT(Curvas_cupon_cero!$A:$A)-2,1)),interpolar(E579,OFFSET(Curvas_cupon_cero!$A$1,1,0,COUNT(Curvas_cupon_cero!$A:$A)-2,1),OFFSET(Curvas_cupon_cero!$A$1,1,MATCH($B$6,Curvas_cupon_cero!$1:$1,0)-1,COUNT(Curvas_cupon_cero!$A:$A)-2,1))))</f>
        <v/>
      </c>
      <c r="G579" s="23" t="str">
        <f ca="1">IF(A579="","",IF($B$8="Sí",interpolar_alamb(E579,OFFSET(Curvas_cupon_cero!$A$1,1,0,COUNT(Curvas_cupon_cero!$A:$A)-2,1),OFFSET(Curvas_cupon_cero!$A$1,1,MATCH($B$7,Curvas_cupon_cero!$1:$1,0)-1,COUNT(Curvas_cupon_cero!$A:$A)-2,1)),interpolar(E579,OFFSET(Curvas_cupon_cero!$A$1,1,0,COUNT(Curvas_cupon_cero!$A:$A)-2,1),OFFSET(Curvas_cupon_cero!$A$1,1,MATCH($B$7,Curvas_cupon_cero!$1:$1,0)-1,COUNT(Curvas_cupon_cero!$A:$A)-2,1))))</f>
        <v/>
      </c>
      <c r="H579" s="19" t="str">
        <f t="shared" si="49"/>
        <v/>
      </c>
    </row>
    <row r="580" spans="1:8" x14ac:dyDescent="0.2">
      <c r="A580" s="12" t="str">
        <f t="shared" si="50"/>
        <v/>
      </c>
      <c r="B580" s="21" t="str">
        <f t="shared" si="51"/>
        <v/>
      </c>
      <c r="C580" s="17" t="str">
        <f t="shared" si="48"/>
        <v/>
      </c>
      <c r="D580" s="18" t="str">
        <f t="shared" si="52"/>
        <v/>
      </c>
      <c r="E580" t="str">
        <f t="shared" si="53"/>
        <v/>
      </c>
      <c r="F580" s="23" t="str">
        <f ca="1">IF(A580="","",IF($B$8="Sí",interpolar_alamb(E580,OFFSET(Curvas_cupon_cero!$A$1,1,0,COUNT(Curvas_cupon_cero!$A:$A)-2,1),OFFSET(Curvas_cupon_cero!$A$1,1,MATCH($B$6,Curvas_cupon_cero!$1:$1,0)-1,COUNT(Curvas_cupon_cero!$A:$A)-2,1)),interpolar(E580,OFFSET(Curvas_cupon_cero!$A$1,1,0,COUNT(Curvas_cupon_cero!$A:$A)-2,1),OFFSET(Curvas_cupon_cero!$A$1,1,MATCH($B$6,Curvas_cupon_cero!$1:$1,0)-1,COUNT(Curvas_cupon_cero!$A:$A)-2,1))))</f>
        <v/>
      </c>
      <c r="G580" s="23" t="str">
        <f ca="1">IF(A580="","",IF($B$8="Sí",interpolar_alamb(E580,OFFSET(Curvas_cupon_cero!$A$1,1,0,COUNT(Curvas_cupon_cero!$A:$A)-2,1),OFFSET(Curvas_cupon_cero!$A$1,1,MATCH($B$7,Curvas_cupon_cero!$1:$1,0)-1,COUNT(Curvas_cupon_cero!$A:$A)-2,1)),interpolar(E580,OFFSET(Curvas_cupon_cero!$A$1,1,0,COUNT(Curvas_cupon_cero!$A:$A)-2,1),OFFSET(Curvas_cupon_cero!$A$1,1,MATCH($B$7,Curvas_cupon_cero!$1:$1,0)-1,COUNT(Curvas_cupon_cero!$A:$A)-2,1))))</f>
        <v/>
      </c>
      <c r="H580" s="19" t="str">
        <f t="shared" si="49"/>
        <v/>
      </c>
    </row>
    <row r="581" spans="1:8" x14ac:dyDescent="0.2">
      <c r="A581" s="12" t="str">
        <f t="shared" si="50"/>
        <v/>
      </c>
      <c r="B581" s="21" t="str">
        <f t="shared" si="51"/>
        <v/>
      </c>
      <c r="C581" s="17" t="str">
        <f t="shared" si="48"/>
        <v/>
      </c>
      <c r="D581" s="18" t="str">
        <f t="shared" si="52"/>
        <v/>
      </c>
      <c r="E581" t="str">
        <f t="shared" si="53"/>
        <v/>
      </c>
      <c r="F581" s="23" t="str">
        <f ca="1">IF(A581="","",IF($B$8="Sí",interpolar_alamb(E581,OFFSET(Curvas_cupon_cero!$A$1,1,0,COUNT(Curvas_cupon_cero!$A:$A)-2,1),OFFSET(Curvas_cupon_cero!$A$1,1,MATCH($B$6,Curvas_cupon_cero!$1:$1,0)-1,COUNT(Curvas_cupon_cero!$A:$A)-2,1)),interpolar(E581,OFFSET(Curvas_cupon_cero!$A$1,1,0,COUNT(Curvas_cupon_cero!$A:$A)-2,1),OFFSET(Curvas_cupon_cero!$A$1,1,MATCH($B$6,Curvas_cupon_cero!$1:$1,0)-1,COUNT(Curvas_cupon_cero!$A:$A)-2,1))))</f>
        <v/>
      </c>
      <c r="G581" s="23" t="str">
        <f ca="1">IF(A581="","",IF($B$8="Sí",interpolar_alamb(E581,OFFSET(Curvas_cupon_cero!$A$1,1,0,COUNT(Curvas_cupon_cero!$A:$A)-2,1),OFFSET(Curvas_cupon_cero!$A$1,1,MATCH($B$7,Curvas_cupon_cero!$1:$1,0)-1,COUNT(Curvas_cupon_cero!$A:$A)-2,1)),interpolar(E581,OFFSET(Curvas_cupon_cero!$A$1,1,0,COUNT(Curvas_cupon_cero!$A:$A)-2,1),OFFSET(Curvas_cupon_cero!$A$1,1,MATCH($B$7,Curvas_cupon_cero!$1:$1,0)-1,COUNT(Curvas_cupon_cero!$A:$A)-2,1))))</f>
        <v/>
      </c>
      <c r="H581" s="19" t="str">
        <f t="shared" si="49"/>
        <v/>
      </c>
    </row>
    <row r="582" spans="1:8" x14ac:dyDescent="0.2">
      <c r="A582" s="12" t="str">
        <f t="shared" si="50"/>
        <v/>
      </c>
      <c r="B582" s="21" t="str">
        <f t="shared" si="51"/>
        <v/>
      </c>
      <c r="C582" s="17" t="str">
        <f t="shared" si="48"/>
        <v/>
      </c>
      <c r="D582" s="18" t="str">
        <f t="shared" si="52"/>
        <v/>
      </c>
      <c r="E582" t="str">
        <f t="shared" si="53"/>
        <v/>
      </c>
      <c r="F582" s="23" t="str">
        <f ca="1">IF(A582="","",IF($B$8="Sí",interpolar_alamb(E582,OFFSET(Curvas_cupon_cero!$A$1,1,0,COUNT(Curvas_cupon_cero!$A:$A)-2,1),OFFSET(Curvas_cupon_cero!$A$1,1,MATCH($B$6,Curvas_cupon_cero!$1:$1,0)-1,COUNT(Curvas_cupon_cero!$A:$A)-2,1)),interpolar(E582,OFFSET(Curvas_cupon_cero!$A$1,1,0,COUNT(Curvas_cupon_cero!$A:$A)-2,1),OFFSET(Curvas_cupon_cero!$A$1,1,MATCH($B$6,Curvas_cupon_cero!$1:$1,0)-1,COUNT(Curvas_cupon_cero!$A:$A)-2,1))))</f>
        <v/>
      </c>
      <c r="G582" s="23" t="str">
        <f ca="1">IF(A582="","",IF($B$8="Sí",interpolar_alamb(E582,OFFSET(Curvas_cupon_cero!$A$1,1,0,COUNT(Curvas_cupon_cero!$A:$A)-2,1),OFFSET(Curvas_cupon_cero!$A$1,1,MATCH($B$7,Curvas_cupon_cero!$1:$1,0)-1,COUNT(Curvas_cupon_cero!$A:$A)-2,1)),interpolar(E582,OFFSET(Curvas_cupon_cero!$A$1,1,0,COUNT(Curvas_cupon_cero!$A:$A)-2,1),OFFSET(Curvas_cupon_cero!$A$1,1,MATCH($B$7,Curvas_cupon_cero!$1:$1,0)-1,COUNT(Curvas_cupon_cero!$A:$A)-2,1))))</f>
        <v/>
      </c>
      <c r="H582" s="19" t="str">
        <f t="shared" si="49"/>
        <v/>
      </c>
    </row>
    <row r="583" spans="1:8" x14ac:dyDescent="0.2">
      <c r="A583" s="12" t="str">
        <f t="shared" si="50"/>
        <v/>
      </c>
      <c r="B583" s="21" t="str">
        <f t="shared" si="51"/>
        <v/>
      </c>
      <c r="C583" s="17" t="str">
        <f t="shared" si="48"/>
        <v/>
      </c>
      <c r="D583" s="18" t="str">
        <f t="shared" si="52"/>
        <v/>
      </c>
      <c r="E583" t="str">
        <f t="shared" si="53"/>
        <v/>
      </c>
      <c r="F583" s="23" t="str">
        <f ca="1">IF(A583="","",IF($B$8="Sí",interpolar_alamb(E583,OFFSET(Curvas_cupon_cero!$A$1,1,0,COUNT(Curvas_cupon_cero!$A:$A)-2,1),OFFSET(Curvas_cupon_cero!$A$1,1,MATCH($B$6,Curvas_cupon_cero!$1:$1,0)-1,COUNT(Curvas_cupon_cero!$A:$A)-2,1)),interpolar(E583,OFFSET(Curvas_cupon_cero!$A$1,1,0,COUNT(Curvas_cupon_cero!$A:$A)-2,1),OFFSET(Curvas_cupon_cero!$A$1,1,MATCH($B$6,Curvas_cupon_cero!$1:$1,0)-1,COUNT(Curvas_cupon_cero!$A:$A)-2,1))))</f>
        <v/>
      </c>
      <c r="G583" s="23" t="str">
        <f ca="1">IF(A583="","",IF($B$8="Sí",interpolar_alamb(E583,OFFSET(Curvas_cupon_cero!$A$1,1,0,COUNT(Curvas_cupon_cero!$A:$A)-2,1),OFFSET(Curvas_cupon_cero!$A$1,1,MATCH($B$7,Curvas_cupon_cero!$1:$1,0)-1,COUNT(Curvas_cupon_cero!$A:$A)-2,1)),interpolar(E583,OFFSET(Curvas_cupon_cero!$A$1,1,0,COUNT(Curvas_cupon_cero!$A:$A)-2,1),OFFSET(Curvas_cupon_cero!$A$1,1,MATCH($B$7,Curvas_cupon_cero!$1:$1,0)-1,COUNT(Curvas_cupon_cero!$A:$A)-2,1))))</f>
        <v/>
      </c>
      <c r="H583" s="19" t="str">
        <f t="shared" si="49"/>
        <v/>
      </c>
    </row>
    <row r="584" spans="1:8" x14ac:dyDescent="0.2">
      <c r="A584" s="12" t="str">
        <f t="shared" si="50"/>
        <v/>
      </c>
      <c r="B584" s="21" t="str">
        <f t="shared" si="51"/>
        <v/>
      </c>
      <c r="C584" s="17" t="str">
        <f t="shared" si="48"/>
        <v/>
      </c>
      <c r="D584" s="18" t="str">
        <f t="shared" si="52"/>
        <v/>
      </c>
      <c r="E584" t="str">
        <f t="shared" si="53"/>
        <v/>
      </c>
      <c r="F584" s="23" t="str">
        <f ca="1">IF(A584="","",IF($B$8="Sí",interpolar_alamb(E584,OFFSET(Curvas_cupon_cero!$A$1,1,0,COUNT(Curvas_cupon_cero!$A:$A)-2,1),OFFSET(Curvas_cupon_cero!$A$1,1,MATCH($B$6,Curvas_cupon_cero!$1:$1,0)-1,COUNT(Curvas_cupon_cero!$A:$A)-2,1)),interpolar(E584,OFFSET(Curvas_cupon_cero!$A$1,1,0,COUNT(Curvas_cupon_cero!$A:$A)-2,1),OFFSET(Curvas_cupon_cero!$A$1,1,MATCH($B$6,Curvas_cupon_cero!$1:$1,0)-1,COUNT(Curvas_cupon_cero!$A:$A)-2,1))))</f>
        <v/>
      </c>
      <c r="G584" s="23" t="str">
        <f ca="1">IF(A584="","",IF($B$8="Sí",interpolar_alamb(E584,OFFSET(Curvas_cupon_cero!$A$1,1,0,COUNT(Curvas_cupon_cero!$A:$A)-2,1),OFFSET(Curvas_cupon_cero!$A$1,1,MATCH($B$7,Curvas_cupon_cero!$1:$1,0)-1,COUNT(Curvas_cupon_cero!$A:$A)-2,1)),interpolar(E584,OFFSET(Curvas_cupon_cero!$A$1,1,0,COUNT(Curvas_cupon_cero!$A:$A)-2,1),OFFSET(Curvas_cupon_cero!$A$1,1,MATCH($B$7,Curvas_cupon_cero!$1:$1,0)-1,COUNT(Curvas_cupon_cero!$A:$A)-2,1))))</f>
        <v/>
      </c>
      <c r="H584" s="19" t="str">
        <f t="shared" si="49"/>
        <v/>
      </c>
    </row>
    <row r="585" spans="1:8" x14ac:dyDescent="0.2">
      <c r="A585" s="12" t="str">
        <f t="shared" si="50"/>
        <v/>
      </c>
      <c r="B585" s="21" t="str">
        <f t="shared" si="51"/>
        <v/>
      </c>
      <c r="C585" s="17" t="str">
        <f t="shared" si="48"/>
        <v/>
      </c>
      <c r="D585" s="18" t="str">
        <f t="shared" si="52"/>
        <v/>
      </c>
      <c r="E585" t="str">
        <f t="shared" si="53"/>
        <v/>
      </c>
      <c r="F585" s="23" t="str">
        <f ca="1">IF(A585="","",IF($B$8="Sí",interpolar_alamb(E585,OFFSET(Curvas_cupon_cero!$A$1,1,0,COUNT(Curvas_cupon_cero!$A:$A)-2,1),OFFSET(Curvas_cupon_cero!$A$1,1,MATCH($B$6,Curvas_cupon_cero!$1:$1,0)-1,COUNT(Curvas_cupon_cero!$A:$A)-2,1)),interpolar(E585,OFFSET(Curvas_cupon_cero!$A$1,1,0,COUNT(Curvas_cupon_cero!$A:$A)-2,1),OFFSET(Curvas_cupon_cero!$A$1,1,MATCH($B$6,Curvas_cupon_cero!$1:$1,0)-1,COUNT(Curvas_cupon_cero!$A:$A)-2,1))))</f>
        <v/>
      </c>
      <c r="G585" s="23" t="str">
        <f ca="1">IF(A585="","",IF($B$8="Sí",interpolar_alamb(E585,OFFSET(Curvas_cupon_cero!$A$1,1,0,COUNT(Curvas_cupon_cero!$A:$A)-2,1),OFFSET(Curvas_cupon_cero!$A$1,1,MATCH($B$7,Curvas_cupon_cero!$1:$1,0)-1,COUNT(Curvas_cupon_cero!$A:$A)-2,1)),interpolar(E585,OFFSET(Curvas_cupon_cero!$A$1,1,0,COUNT(Curvas_cupon_cero!$A:$A)-2,1),OFFSET(Curvas_cupon_cero!$A$1,1,MATCH($B$7,Curvas_cupon_cero!$1:$1,0)-1,COUNT(Curvas_cupon_cero!$A:$A)-2,1))))</f>
        <v/>
      </c>
      <c r="H585" s="19" t="str">
        <f t="shared" si="49"/>
        <v/>
      </c>
    </row>
    <row r="586" spans="1:8" x14ac:dyDescent="0.2">
      <c r="A586" s="12" t="str">
        <f t="shared" si="50"/>
        <v/>
      </c>
      <c r="B586" s="21" t="str">
        <f t="shared" si="51"/>
        <v/>
      </c>
      <c r="C586" s="17" t="str">
        <f t="shared" si="48"/>
        <v/>
      </c>
      <c r="D586" s="18" t="str">
        <f t="shared" si="52"/>
        <v/>
      </c>
      <c r="E586" t="str">
        <f t="shared" si="53"/>
        <v/>
      </c>
      <c r="F586" s="23" t="str">
        <f ca="1">IF(A586="","",IF($B$8="Sí",interpolar_alamb(E586,OFFSET(Curvas_cupon_cero!$A$1,1,0,COUNT(Curvas_cupon_cero!$A:$A)-2,1),OFFSET(Curvas_cupon_cero!$A$1,1,MATCH($B$6,Curvas_cupon_cero!$1:$1,0)-1,COUNT(Curvas_cupon_cero!$A:$A)-2,1)),interpolar(E586,OFFSET(Curvas_cupon_cero!$A$1,1,0,COUNT(Curvas_cupon_cero!$A:$A)-2,1),OFFSET(Curvas_cupon_cero!$A$1,1,MATCH($B$6,Curvas_cupon_cero!$1:$1,0)-1,COUNT(Curvas_cupon_cero!$A:$A)-2,1))))</f>
        <v/>
      </c>
      <c r="G586" s="23" t="str">
        <f ca="1">IF(A586="","",IF($B$8="Sí",interpolar_alamb(E586,OFFSET(Curvas_cupon_cero!$A$1,1,0,COUNT(Curvas_cupon_cero!$A:$A)-2,1),OFFSET(Curvas_cupon_cero!$A$1,1,MATCH($B$7,Curvas_cupon_cero!$1:$1,0)-1,COUNT(Curvas_cupon_cero!$A:$A)-2,1)),interpolar(E586,OFFSET(Curvas_cupon_cero!$A$1,1,0,COUNT(Curvas_cupon_cero!$A:$A)-2,1),OFFSET(Curvas_cupon_cero!$A$1,1,MATCH($B$7,Curvas_cupon_cero!$1:$1,0)-1,COUNT(Curvas_cupon_cero!$A:$A)-2,1))))</f>
        <v/>
      </c>
      <c r="H586" s="19" t="str">
        <f t="shared" si="49"/>
        <v/>
      </c>
    </row>
    <row r="587" spans="1:8" x14ac:dyDescent="0.2">
      <c r="A587" s="12" t="str">
        <f t="shared" si="50"/>
        <v/>
      </c>
      <c r="B587" s="21" t="str">
        <f t="shared" si="51"/>
        <v/>
      </c>
      <c r="C587" s="17" t="str">
        <f t="shared" si="48"/>
        <v/>
      </c>
      <c r="D587" s="18" t="str">
        <f t="shared" si="52"/>
        <v/>
      </c>
      <c r="E587" t="str">
        <f t="shared" si="53"/>
        <v/>
      </c>
      <c r="F587" s="23" t="str">
        <f ca="1">IF(A587="","",IF($B$8="Sí",interpolar_alamb(E587,OFFSET(Curvas_cupon_cero!$A$1,1,0,COUNT(Curvas_cupon_cero!$A:$A)-2,1),OFFSET(Curvas_cupon_cero!$A$1,1,MATCH($B$6,Curvas_cupon_cero!$1:$1,0)-1,COUNT(Curvas_cupon_cero!$A:$A)-2,1)),interpolar(E587,OFFSET(Curvas_cupon_cero!$A$1,1,0,COUNT(Curvas_cupon_cero!$A:$A)-2,1),OFFSET(Curvas_cupon_cero!$A$1,1,MATCH($B$6,Curvas_cupon_cero!$1:$1,0)-1,COUNT(Curvas_cupon_cero!$A:$A)-2,1))))</f>
        <v/>
      </c>
      <c r="G587" s="23" t="str">
        <f ca="1">IF(A587="","",IF($B$8="Sí",interpolar_alamb(E587,OFFSET(Curvas_cupon_cero!$A$1,1,0,COUNT(Curvas_cupon_cero!$A:$A)-2,1),OFFSET(Curvas_cupon_cero!$A$1,1,MATCH($B$7,Curvas_cupon_cero!$1:$1,0)-1,COUNT(Curvas_cupon_cero!$A:$A)-2,1)),interpolar(E587,OFFSET(Curvas_cupon_cero!$A$1,1,0,COUNT(Curvas_cupon_cero!$A:$A)-2,1),OFFSET(Curvas_cupon_cero!$A$1,1,MATCH($B$7,Curvas_cupon_cero!$1:$1,0)-1,COUNT(Curvas_cupon_cero!$A:$A)-2,1))))</f>
        <v/>
      </c>
      <c r="H587" s="19" t="str">
        <f t="shared" si="49"/>
        <v/>
      </c>
    </row>
    <row r="588" spans="1:8" x14ac:dyDescent="0.2">
      <c r="A588" s="12" t="str">
        <f t="shared" si="50"/>
        <v/>
      </c>
      <c r="B588" s="21" t="str">
        <f t="shared" si="51"/>
        <v/>
      </c>
      <c r="C588" s="17" t="str">
        <f t="shared" si="48"/>
        <v/>
      </c>
      <c r="D588" s="18" t="str">
        <f t="shared" si="52"/>
        <v/>
      </c>
      <c r="E588" t="str">
        <f t="shared" si="53"/>
        <v/>
      </c>
      <c r="F588" s="23" t="str">
        <f ca="1">IF(A588="","",IF($B$8="Sí",interpolar_alamb(E588,OFFSET(Curvas_cupon_cero!$A$1,1,0,COUNT(Curvas_cupon_cero!$A:$A)-2,1),OFFSET(Curvas_cupon_cero!$A$1,1,MATCH($B$6,Curvas_cupon_cero!$1:$1,0)-1,COUNT(Curvas_cupon_cero!$A:$A)-2,1)),interpolar(E588,OFFSET(Curvas_cupon_cero!$A$1,1,0,COUNT(Curvas_cupon_cero!$A:$A)-2,1),OFFSET(Curvas_cupon_cero!$A$1,1,MATCH($B$6,Curvas_cupon_cero!$1:$1,0)-1,COUNT(Curvas_cupon_cero!$A:$A)-2,1))))</f>
        <v/>
      </c>
      <c r="G588" s="23" t="str">
        <f ca="1">IF(A588="","",IF($B$8="Sí",interpolar_alamb(E588,OFFSET(Curvas_cupon_cero!$A$1,1,0,COUNT(Curvas_cupon_cero!$A:$A)-2,1),OFFSET(Curvas_cupon_cero!$A$1,1,MATCH($B$7,Curvas_cupon_cero!$1:$1,0)-1,COUNT(Curvas_cupon_cero!$A:$A)-2,1)),interpolar(E588,OFFSET(Curvas_cupon_cero!$A$1,1,0,COUNT(Curvas_cupon_cero!$A:$A)-2,1),OFFSET(Curvas_cupon_cero!$A$1,1,MATCH($B$7,Curvas_cupon_cero!$1:$1,0)-1,COUNT(Curvas_cupon_cero!$A:$A)-2,1))))</f>
        <v/>
      </c>
      <c r="H588" s="19" t="str">
        <f t="shared" si="49"/>
        <v/>
      </c>
    </row>
    <row r="589" spans="1:8" x14ac:dyDescent="0.2">
      <c r="A589" s="12" t="str">
        <f t="shared" si="50"/>
        <v/>
      </c>
      <c r="B589" s="21" t="str">
        <f t="shared" si="51"/>
        <v/>
      </c>
      <c r="C589" s="17" t="str">
        <f t="shared" si="48"/>
        <v/>
      </c>
      <c r="D589" s="18" t="str">
        <f t="shared" si="52"/>
        <v/>
      </c>
      <c r="E589" t="str">
        <f t="shared" si="53"/>
        <v/>
      </c>
      <c r="F589" s="23" t="str">
        <f ca="1">IF(A589="","",IF($B$8="Sí",interpolar_alamb(E589,OFFSET(Curvas_cupon_cero!$A$1,1,0,COUNT(Curvas_cupon_cero!$A:$A)-2,1),OFFSET(Curvas_cupon_cero!$A$1,1,MATCH($B$6,Curvas_cupon_cero!$1:$1,0)-1,COUNT(Curvas_cupon_cero!$A:$A)-2,1)),interpolar(E589,OFFSET(Curvas_cupon_cero!$A$1,1,0,COUNT(Curvas_cupon_cero!$A:$A)-2,1),OFFSET(Curvas_cupon_cero!$A$1,1,MATCH($B$6,Curvas_cupon_cero!$1:$1,0)-1,COUNT(Curvas_cupon_cero!$A:$A)-2,1))))</f>
        <v/>
      </c>
      <c r="G589" s="23" t="str">
        <f ca="1">IF(A589="","",IF($B$8="Sí",interpolar_alamb(E589,OFFSET(Curvas_cupon_cero!$A$1,1,0,COUNT(Curvas_cupon_cero!$A:$A)-2,1),OFFSET(Curvas_cupon_cero!$A$1,1,MATCH($B$7,Curvas_cupon_cero!$1:$1,0)-1,COUNT(Curvas_cupon_cero!$A:$A)-2,1)),interpolar(E589,OFFSET(Curvas_cupon_cero!$A$1,1,0,COUNT(Curvas_cupon_cero!$A:$A)-2,1),OFFSET(Curvas_cupon_cero!$A$1,1,MATCH($B$7,Curvas_cupon_cero!$1:$1,0)-1,COUNT(Curvas_cupon_cero!$A:$A)-2,1))))</f>
        <v/>
      </c>
      <c r="H589" s="19" t="str">
        <f t="shared" si="49"/>
        <v/>
      </c>
    </row>
    <row r="590" spans="1:8" x14ac:dyDescent="0.2">
      <c r="A590" s="12" t="str">
        <f t="shared" si="50"/>
        <v/>
      </c>
      <c r="B590" s="21" t="str">
        <f t="shared" si="51"/>
        <v/>
      </c>
      <c r="C590" s="17" t="str">
        <f t="shared" si="48"/>
        <v/>
      </c>
      <c r="D590" s="18" t="str">
        <f t="shared" si="52"/>
        <v/>
      </c>
      <c r="E590" t="str">
        <f t="shared" si="53"/>
        <v/>
      </c>
      <c r="F590" s="23" t="str">
        <f ca="1">IF(A590="","",IF($B$8="Sí",interpolar_alamb(E590,OFFSET(Curvas_cupon_cero!$A$1,1,0,COUNT(Curvas_cupon_cero!$A:$A)-2,1),OFFSET(Curvas_cupon_cero!$A$1,1,MATCH($B$6,Curvas_cupon_cero!$1:$1,0)-1,COUNT(Curvas_cupon_cero!$A:$A)-2,1)),interpolar(E590,OFFSET(Curvas_cupon_cero!$A$1,1,0,COUNT(Curvas_cupon_cero!$A:$A)-2,1),OFFSET(Curvas_cupon_cero!$A$1,1,MATCH($B$6,Curvas_cupon_cero!$1:$1,0)-1,COUNT(Curvas_cupon_cero!$A:$A)-2,1))))</f>
        <v/>
      </c>
      <c r="G590" s="23" t="str">
        <f ca="1">IF(A590="","",IF($B$8="Sí",interpolar_alamb(E590,OFFSET(Curvas_cupon_cero!$A$1,1,0,COUNT(Curvas_cupon_cero!$A:$A)-2,1),OFFSET(Curvas_cupon_cero!$A$1,1,MATCH($B$7,Curvas_cupon_cero!$1:$1,0)-1,COUNT(Curvas_cupon_cero!$A:$A)-2,1)),interpolar(E590,OFFSET(Curvas_cupon_cero!$A$1,1,0,COUNT(Curvas_cupon_cero!$A:$A)-2,1),OFFSET(Curvas_cupon_cero!$A$1,1,MATCH($B$7,Curvas_cupon_cero!$1:$1,0)-1,COUNT(Curvas_cupon_cero!$A:$A)-2,1))))</f>
        <v/>
      </c>
      <c r="H590" s="19" t="str">
        <f t="shared" si="49"/>
        <v/>
      </c>
    </row>
    <row r="591" spans="1:8" x14ac:dyDescent="0.2">
      <c r="A591" s="12" t="str">
        <f t="shared" si="50"/>
        <v/>
      </c>
      <c r="B591" s="21" t="str">
        <f t="shared" si="51"/>
        <v/>
      </c>
      <c r="C591" s="17" t="str">
        <f t="shared" si="48"/>
        <v/>
      </c>
      <c r="D591" s="18" t="str">
        <f t="shared" si="52"/>
        <v/>
      </c>
      <c r="E591" t="str">
        <f t="shared" si="53"/>
        <v/>
      </c>
      <c r="F591" s="23" t="str">
        <f ca="1">IF(A591="","",IF($B$8="Sí",interpolar_alamb(E591,OFFSET(Curvas_cupon_cero!$A$1,1,0,COUNT(Curvas_cupon_cero!$A:$A)-2,1),OFFSET(Curvas_cupon_cero!$A$1,1,MATCH($B$6,Curvas_cupon_cero!$1:$1,0)-1,COUNT(Curvas_cupon_cero!$A:$A)-2,1)),interpolar(E591,OFFSET(Curvas_cupon_cero!$A$1,1,0,COUNT(Curvas_cupon_cero!$A:$A)-2,1),OFFSET(Curvas_cupon_cero!$A$1,1,MATCH($B$6,Curvas_cupon_cero!$1:$1,0)-1,COUNT(Curvas_cupon_cero!$A:$A)-2,1))))</f>
        <v/>
      </c>
      <c r="G591" s="23" t="str">
        <f ca="1">IF(A591="","",IF($B$8="Sí",interpolar_alamb(E591,OFFSET(Curvas_cupon_cero!$A$1,1,0,COUNT(Curvas_cupon_cero!$A:$A)-2,1),OFFSET(Curvas_cupon_cero!$A$1,1,MATCH($B$7,Curvas_cupon_cero!$1:$1,0)-1,COUNT(Curvas_cupon_cero!$A:$A)-2,1)),interpolar(E591,OFFSET(Curvas_cupon_cero!$A$1,1,0,COUNT(Curvas_cupon_cero!$A:$A)-2,1),OFFSET(Curvas_cupon_cero!$A$1,1,MATCH($B$7,Curvas_cupon_cero!$1:$1,0)-1,COUNT(Curvas_cupon_cero!$A:$A)-2,1))))</f>
        <v/>
      </c>
      <c r="H591" s="19" t="str">
        <f t="shared" si="49"/>
        <v/>
      </c>
    </row>
    <row r="592" spans="1:8" x14ac:dyDescent="0.2">
      <c r="A592" s="12" t="str">
        <f t="shared" si="50"/>
        <v/>
      </c>
      <c r="B592" s="21" t="str">
        <f t="shared" si="51"/>
        <v/>
      </c>
      <c r="C592" s="17" t="str">
        <f t="shared" ref="C592:C655" si="54">IF(A592="","",IF(A592=$B$4,$B$1*$B$2+$B$1*$B$5/360*$B$2*B592, $B$1*$B$5/360*$B$2*B592))</f>
        <v/>
      </c>
      <c r="D592" s="18" t="str">
        <f t="shared" si="52"/>
        <v/>
      </c>
      <c r="E592" t="str">
        <f t="shared" si="53"/>
        <v/>
      </c>
      <c r="F592" s="23" t="str">
        <f ca="1">IF(A592="","",IF($B$8="Sí",interpolar_alamb(E592,OFFSET(Curvas_cupon_cero!$A$1,1,0,COUNT(Curvas_cupon_cero!$A:$A)-2,1),OFFSET(Curvas_cupon_cero!$A$1,1,MATCH($B$6,Curvas_cupon_cero!$1:$1,0)-1,COUNT(Curvas_cupon_cero!$A:$A)-2,1)),interpolar(E592,OFFSET(Curvas_cupon_cero!$A$1,1,0,COUNT(Curvas_cupon_cero!$A:$A)-2,1),OFFSET(Curvas_cupon_cero!$A$1,1,MATCH($B$6,Curvas_cupon_cero!$1:$1,0)-1,COUNT(Curvas_cupon_cero!$A:$A)-2,1))))</f>
        <v/>
      </c>
      <c r="G592" s="23" t="str">
        <f ca="1">IF(A592="","",IF($B$8="Sí",interpolar_alamb(E592,OFFSET(Curvas_cupon_cero!$A$1,1,0,COUNT(Curvas_cupon_cero!$A:$A)-2,1),OFFSET(Curvas_cupon_cero!$A$1,1,MATCH($B$7,Curvas_cupon_cero!$1:$1,0)-1,COUNT(Curvas_cupon_cero!$A:$A)-2,1)),interpolar(E592,OFFSET(Curvas_cupon_cero!$A$1,1,0,COUNT(Curvas_cupon_cero!$A:$A)-2,1),OFFSET(Curvas_cupon_cero!$A$1,1,MATCH($B$7,Curvas_cupon_cero!$1:$1,0)-1,COUNT(Curvas_cupon_cero!$A:$A)-2,1))))</f>
        <v/>
      </c>
      <c r="H592" s="19" t="str">
        <f t="shared" ref="H592:H655" si="55">IF(A592="","",C592/(1+(F592+G592)*E592/360))</f>
        <v/>
      </c>
    </row>
    <row r="593" spans="1:8" x14ac:dyDescent="0.2">
      <c r="A593" s="12" t="str">
        <f t="shared" ref="A593:A656" si="56">IF(A592="","",IF((A592+$B$5)&gt;$B$4,"",(A592+$B$5)))</f>
        <v/>
      </c>
      <c r="B593" s="21" t="str">
        <f t="shared" ref="B593:B656" si="57">IF(A593="","",((1+$B$9/360)^$B$5-1)*360/$B$5)</f>
        <v/>
      </c>
      <c r="C593" s="17" t="str">
        <f t="shared" si="54"/>
        <v/>
      </c>
      <c r="D593" s="18" t="str">
        <f t="shared" ref="D593:D656" si="58">IF(A593="","",$B$5)</f>
        <v/>
      </c>
      <c r="E593" t="str">
        <f t="shared" ref="E593:E656" si="59">IF(A593="","",E592+D593)</f>
        <v/>
      </c>
      <c r="F593" s="23" t="str">
        <f ca="1">IF(A593="","",IF($B$8="Sí",interpolar_alamb(E593,OFFSET(Curvas_cupon_cero!$A$1,1,0,COUNT(Curvas_cupon_cero!$A:$A)-2,1),OFFSET(Curvas_cupon_cero!$A$1,1,MATCH($B$6,Curvas_cupon_cero!$1:$1,0)-1,COUNT(Curvas_cupon_cero!$A:$A)-2,1)),interpolar(E593,OFFSET(Curvas_cupon_cero!$A$1,1,0,COUNT(Curvas_cupon_cero!$A:$A)-2,1),OFFSET(Curvas_cupon_cero!$A$1,1,MATCH($B$6,Curvas_cupon_cero!$1:$1,0)-1,COUNT(Curvas_cupon_cero!$A:$A)-2,1))))</f>
        <v/>
      </c>
      <c r="G593" s="23" t="str">
        <f ca="1">IF(A593="","",IF($B$8="Sí",interpolar_alamb(E593,OFFSET(Curvas_cupon_cero!$A$1,1,0,COUNT(Curvas_cupon_cero!$A:$A)-2,1),OFFSET(Curvas_cupon_cero!$A$1,1,MATCH($B$7,Curvas_cupon_cero!$1:$1,0)-1,COUNT(Curvas_cupon_cero!$A:$A)-2,1)),interpolar(E593,OFFSET(Curvas_cupon_cero!$A$1,1,0,COUNT(Curvas_cupon_cero!$A:$A)-2,1),OFFSET(Curvas_cupon_cero!$A$1,1,MATCH($B$7,Curvas_cupon_cero!$1:$1,0)-1,COUNT(Curvas_cupon_cero!$A:$A)-2,1))))</f>
        <v/>
      </c>
      <c r="H593" s="19" t="str">
        <f t="shared" si="55"/>
        <v/>
      </c>
    </row>
    <row r="594" spans="1:8" x14ac:dyDescent="0.2">
      <c r="A594" s="12" t="str">
        <f t="shared" si="56"/>
        <v/>
      </c>
      <c r="B594" s="21" t="str">
        <f t="shared" si="57"/>
        <v/>
      </c>
      <c r="C594" s="17" t="str">
        <f t="shared" si="54"/>
        <v/>
      </c>
      <c r="D594" s="18" t="str">
        <f t="shared" si="58"/>
        <v/>
      </c>
      <c r="E594" t="str">
        <f t="shared" si="59"/>
        <v/>
      </c>
      <c r="F594" s="23" t="str">
        <f ca="1">IF(A594="","",IF($B$8="Sí",interpolar_alamb(E594,OFFSET(Curvas_cupon_cero!$A$1,1,0,COUNT(Curvas_cupon_cero!$A:$A)-2,1),OFFSET(Curvas_cupon_cero!$A$1,1,MATCH($B$6,Curvas_cupon_cero!$1:$1,0)-1,COUNT(Curvas_cupon_cero!$A:$A)-2,1)),interpolar(E594,OFFSET(Curvas_cupon_cero!$A$1,1,0,COUNT(Curvas_cupon_cero!$A:$A)-2,1),OFFSET(Curvas_cupon_cero!$A$1,1,MATCH($B$6,Curvas_cupon_cero!$1:$1,0)-1,COUNT(Curvas_cupon_cero!$A:$A)-2,1))))</f>
        <v/>
      </c>
      <c r="G594" s="23" t="str">
        <f ca="1">IF(A594="","",IF($B$8="Sí",interpolar_alamb(E594,OFFSET(Curvas_cupon_cero!$A$1,1,0,COUNT(Curvas_cupon_cero!$A:$A)-2,1),OFFSET(Curvas_cupon_cero!$A$1,1,MATCH($B$7,Curvas_cupon_cero!$1:$1,0)-1,COUNT(Curvas_cupon_cero!$A:$A)-2,1)),interpolar(E594,OFFSET(Curvas_cupon_cero!$A$1,1,0,COUNT(Curvas_cupon_cero!$A:$A)-2,1),OFFSET(Curvas_cupon_cero!$A$1,1,MATCH($B$7,Curvas_cupon_cero!$1:$1,0)-1,COUNT(Curvas_cupon_cero!$A:$A)-2,1))))</f>
        <v/>
      </c>
      <c r="H594" s="19" t="str">
        <f t="shared" si="55"/>
        <v/>
      </c>
    </row>
    <row r="595" spans="1:8" x14ac:dyDescent="0.2">
      <c r="A595" s="12" t="str">
        <f t="shared" si="56"/>
        <v/>
      </c>
      <c r="B595" s="21" t="str">
        <f t="shared" si="57"/>
        <v/>
      </c>
      <c r="C595" s="17" t="str">
        <f t="shared" si="54"/>
        <v/>
      </c>
      <c r="D595" s="18" t="str">
        <f t="shared" si="58"/>
        <v/>
      </c>
      <c r="E595" t="str">
        <f t="shared" si="59"/>
        <v/>
      </c>
      <c r="F595" s="23" t="str">
        <f ca="1">IF(A595="","",IF($B$8="Sí",interpolar_alamb(E595,OFFSET(Curvas_cupon_cero!$A$1,1,0,COUNT(Curvas_cupon_cero!$A:$A)-2,1),OFFSET(Curvas_cupon_cero!$A$1,1,MATCH($B$6,Curvas_cupon_cero!$1:$1,0)-1,COUNT(Curvas_cupon_cero!$A:$A)-2,1)),interpolar(E595,OFFSET(Curvas_cupon_cero!$A$1,1,0,COUNT(Curvas_cupon_cero!$A:$A)-2,1),OFFSET(Curvas_cupon_cero!$A$1,1,MATCH($B$6,Curvas_cupon_cero!$1:$1,0)-1,COUNT(Curvas_cupon_cero!$A:$A)-2,1))))</f>
        <v/>
      </c>
      <c r="G595" s="23" t="str">
        <f ca="1">IF(A595="","",IF($B$8="Sí",interpolar_alamb(E595,OFFSET(Curvas_cupon_cero!$A$1,1,0,COUNT(Curvas_cupon_cero!$A:$A)-2,1),OFFSET(Curvas_cupon_cero!$A$1,1,MATCH($B$7,Curvas_cupon_cero!$1:$1,0)-1,COUNT(Curvas_cupon_cero!$A:$A)-2,1)),interpolar(E595,OFFSET(Curvas_cupon_cero!$A$1,1,0,COUNT(Curvas_cupon_cero!$A:$A)-2,1),OFFSET(Curvas_cupon_cero!$A$1,1,MATCH($B$7,Curvas_cupon_cero!$1:$1,0)-1,COUNT(Curvas_cupon_cero!$A:$A)-2,1))))</f>
        <v/>
      </c>
      <c r="H595" s="19" t="str">
        <f t="shared" si="55"/>
        <v/>
      </c>
    </row>
    <row r="596" spans="1:8" x14ac:dyDescent="0.2">
      <c r="A596" s="12" t="str">
        <f t="shared" si="56"/>
        <v/>
      </c>
      <c r="B596" s="21" t="str">
        <f t="shared" si="57"/>
        <v/>
      </c>
      <c r="C596" s="17" t="str">
        <f t="shared" si="54"/>
        <v/>
      </c>
      <c r="D596" s="18" t="str">
        <f t="shared" si="58"/>
        <v/>
      </c>
      <c r="E596" t="str">
        <f t="shared" si="59"/>
        <v/>
      </c>
      <c r="F596" s="23" t="str">
        <f ca="1">IF(A596="","",IF($B$8="Sí",interpolar_alamb(E596,OFFSET(Curvas_cupon_cero!$A$1,1,0,COUNT(Curvas_cupon_cero!$A:$A)-2,1),OFFSET(Curvas_cupon_cero!$A$1,1,MATCH($B$6,Curvas_cupon_cero!$1:$1,0)-1,COUNT(Curvas_cupon_cero!$A:$A)-2,1)),interpolar(E596,OFFSET(Curvas_cupon_cero!$A$1,1,0,COUNT(Curvas_cupon_cero!$A:$A)-2,1),OFFSET(Curvas_cupon_cero!$A$1,1,MATCH($B$6,Curvas_cupon_cero!$1:$1,0)-1,COUNT(Curvas_cupon_cero!$A:$A)-2,1))))</f>
        <v/>
      </c>
      <c r="G596" s="23" t="str">
        <f ca="1">IF(A596="","",IF($B$8="Sí",interpolar_alamb(E596,OFFSET(Curvas_cupon_cero!$A$1,1,0,COUNT(Curvas_cupon_cero!$A:$A)-2,1),OFFSET(Curvas_cupon_cero!$A$1,1,MATCH($B$7,Curvas_cupon_cero!$1:$1,0)-1,COUNT(Curvas_cupon_cero!$A:$A)-2,1)),interpolar(E596,OFFSET(Curvas_cupon_cero!$A$1,1,0,COUNT(Curvas_cupon_cero!$A:$A)-2,1),OFFSET(Curvas_cupon_cero!$A$1,1,MATCH($B$7,Curvas_cupon_cero!$1:$1,0)-1,COUNT(Curvas_cupon_cero!$A:$A)-2,1))))</f>
        <v/>
      </c>
      <c r="H596" s="19" t="str">
        <f t="shared" si="55"/>
        <v/>
      </c>
    </row>
    <row r="597" spans="1:8" x14ac:dyDescent="0.2">
      <c r="A597" s="12" t="str">
        <f t="shared" si="56"/>
        <v/>
      </c>
      <c r="B597" s="21" t="str">
        <f t="shared" si="57"/>
        <v/>
      </c>
      <c r="C597" s="17" t="str">
        <f t="shared" si="54"/>
        <v/>
      </c>
      <c r="D597" s="18" t="str">
        <f t="shared" si="58"/>
        <v/>
      </c>
      <c r="E597" t="str">
        <f t="shared" si="59"/>
        <v/>
      </c>
      <c r="F597" s="23" t="str">
        <f ca="1">IF(A597="","",IF($B$8="Sí",interpolar_alamb(E597,OFFSET(Curvas_cupon_cero!$A$1,1,0,COUNT(Curvas_cupon_cero!$A:$A)-2,1),OFFSET(Curvas_cupon_cero!$A$1,1,MATCH($B$6,Curvas_cupon_cero!$1:$1,0)-1,COUNT(Curvas_cupon_cero!$A:$A)-2,1)),interpolar(E597,OFFSET(Curvas_cupon_cero!$A$1,1,0,COUNT(Curvas_cupon_cero!$A:$A)-2,1),OFFSET(Curvas_cupon_cero!$A$1,1,MATCH($B$6,Curvas_cupon_cero!$1:$1,0)-1,COUNT(Curvas_cupon_cero!$A:$A)-2,1))))</f>
        <v/>
      </c>
      <c r="G597" s="23" t="str">
        <f ca="1">IF(A597="","",IF($B$8="Sí",interpolar_alamb(E597,OFFSET(Curvas_cupon_cero!$A$1,1,0,COUNT(Curvas_cupon_cero!$A:$A)-2,1),OFFSET(Curvas_cupon_cero!$A$1,1,MATCH($B$7,Curvas_cupon_cero!$1:$1,0)-1,COUNT(Curvas_cupon_cero!$A:$A)-2,1)),interpolar(E597,OFFSET(Curvas_cupon_cero!$A$1,1,0,COUNT(Curvas_cupon_cero!$A:$A)-2,1),OFFSET(Curvas_cupon_cero!$A$1,1,MATCH($B$7,Curvas_cupon_cero!$1:$1,0)-1,COUNT(Curvas_cupon_cero!$A:$A)-2,1))))</f>
        <v/>
      </c>
      <c r="H597" s="19" t="str">
        <f t="shared" si="55"/>
        <v/>
      </c>
    </row>
    <row r="598" spans="1:8" x14ac:dyDescent="0.2">
      <c r="A598" s="12" t="str">
        <f t="shared" si="56"/>
        <v/>
      </c>
      <c r="B598" s="21" t="str">
        <f t="shared" si="57"/>
        <v/>
      </c>
      <c r="C598" s="17" t="str">
        <f t="shared" si="54"/>
        <v/>
      </c>
      <c r="D598" s="18" t="str">
        <f t="shared" si="58"/>
        <v/>
      </c>
      <c r="E598" t="str">
        <f t="shared" si="59"/>
        <v/>
      </c>
      <c r="F598" s="23" t="str">
        <f ca="1">IF(A598="","",IF($B$8="Sí",interpolar_alamb(E598,OFFSET(Curvas_cupon_cero!$A$1,1,0,COUNT(Curvas_cupon_cero!$A:$A)-2,1),OFFSET(Curvas_cupon_cero!$A$1,1,MATCH($B$6,Curvas_cupon_cero!$1:$1,0)-1,COUNT(Curvas_cupon_cero!$A:$A)-2,1)),interpolar(E598,OFFSET(Curvas_cupon_cero!$A$1,1,0,COUNT(Curvas_cupon_cero!$A:$A)-2,1),OFFSET(Curvas_cupon_cero!$A$1,1,MATCH($B$6,Curvas_cupon_cero!$1:$1,0)-1,COUNT(Curvas_cupon_cero!$A:$A)-2,1))))</f>
        <v/>
      </c>
      <c r="G598" s="23" t="str">
        <f ca="1">IF(A598="","",IF($B$8="Sí",interpolar_alamb(E598,OFFSET(Curvas_cupon_cero!$A$1,1,0,COUNT(Curvas_cupon_cero!$A:$A)-2,1),OFFSET(Curvas_cupon_cero!$A$1,1,MATCH($B$7,Curvas_cupon_cero!$1:$1,0)-1,COUNT(Curvas_cupon_cero!$A:$A)-2,1)),interpolar(E598,OFFSET(Curvas_cupon_cero!$A$1,1,0,COUNT(Curvas_cupon_cero!$A:$A)-2,1),OFFSET(Curvas_cupon_cero!$A$1,1,MATCH($B$7,Curvas_cupon_cero!$1:$1,0)-1,COUNT(Curvas_cupon_cero!$A:$A)-2,1))))</f>
        <v/>
      </c>
      <c r="H598" s="19" t="str">
        <f t="shared" si="55"/>
        <v/>
      </c>
    </row>
    <row r="599" spans="1:8" x14ac:dyDescent="0.2">
      <c r="A599" s="12" t="str">
        <f t="shared" si="56"/>
        <v/>
      </c>
      <c r="B599" s="21" t="str">
        <f t="shared" si="57"/>
        <v/>
      </c>
      <c r="C599" s="17" t="str">
        <f t="shared" si="54"/>
        <v/>
      </c>
      <c r="D599" s="18" t="str">
        <f t="shared" si="58"/>
        <v/>
      </c>
      <c r="E599" t="str">
        <f t="shared" si="59"/>
        <v/>
      </c>
      <c r="F599" s="23" t="str">
        <f ca="1">IF(A599="","",IF($B$8="Sí",interpolar_alamb(E599,OFFSET(Curvas_cupon_cero!$A$1,1,0,COUNT(Curvas_cupon_cero!$A:$A)-2,1),OFFSET(Curvas_cupon_cero!$A$1,1,MATCH($B$6,Curvas_cupon_cero!$1:$1,0)-1,COUNT(Curvas_cupon_cero!$A:$A)-2,1)),interpolar(E599,OFFSET(Curvas_cupon_cero!$A$1,1,0,COUNT(Curvas_cupon_cero!$A:$A)-2,1),OFFSET(Curvas_cupon_cero!$A$1,1,MATCH($B$6,Curvas_cupon_cero!$1:$1,0)-1,COUNT(Curvas_cupon_cero!$A:$A)-2,1))))</f>
        <v/>
      </c>
      <c r="G599" s="23" t="str">
        <f ca="1">IF(A599="","",IF($B$8="Sí",interpolar_alamb(E599,OFFSET(Curvas_cupon_cero!$A$1,1,0,COUNT(Curvas_cupon_cero!$A:$A)-2,1),OFFSET(Curvas_cupon_cero!$A$1,1,MATCH($B$7,Curvas_cupon_cero!$1:$1,0)-1,COUNT(Curvas_cupon_cero!$A:$A)-2,1)),interpolar(E599,OFFSET(Curvas_cupon_cero!$A$1,1,0,COUNT(Curvas_cupon_cero!$A:$A)-2,1),OFFSET(Curvas_cupon_cero!$A$1,1,MATCH($B$7,Curvas_cupon_cero!$1:$1,0)-1,COUNT(Curvas_cupon_cero!$A:$A)-2,1))))</f>
        <v/>
      </c>
      <c r="H599" s="19" t="str">
        <f t="shared" si="55"/>
        <v/>
      </c>
    </row>
    <row r="600" spans="1:8" x14ac:dyDescent="0.2">
      <c r="A600" s="12" t="str">
        <f t="shared" si="56"/>
        <v/>
      </c>
      <c r="B600" s="21" t="str">
        <f t="shared" si="57"/>
        <v/>
      </c>
      <c r="C600" s="17" t="str">
        <f t="shared" si="54"/>
        <v/>
      </c>
      <c r="D600" s="18" t="str">
        <f t="shared" si="58"/>
        <v/>
      </c>
      <c r="E600" t="str">
        <f t="shared" si="59"/>
        <v/>
      </c>
      <c r="F600" s="23" t="str">
        <f ca="1">IF(A600="","",IF($B$8="Sí",interpolar_alamb(E600,OFFSET(Curvas_cupon_cero!$A$1,1,0,COUNT(Curvas_cupon_cero!$A:$A)-2,1),OFFSET(Curvas_cupon_cero!$A$1,1,MATCH($B$6,Curvas_cupon_cero!$1:$1,0)-1,COUNT(Curvas_cupon_cero!$A:$A)-2,1)),interpolar(E600,OFFSET(Curvas_cupon_cero!$A$1,1,0,COUNT(Curvas_cupon_cero!$A:$A)-2,1),OFFSET(Curvas_cupon_cero!$A$1,1,MATCH($B$6,Curvas_cupon_cero!$1:$1,0)-1,COUNT(Curvas_cupon_cero!$A:$A)-2,1))))</f>
        <v/>
      </c>
      <c r="G600" s="23" t="str">
        <f ca="1">IF(A600="","",IF($B$8="Sí",interpolar_alamb(E600,OFFSET(Curvas_cupon_cero!$A$1,1,0,COUNT(Curvas_cupon_cero!$A:$A)-2,1),OFFSET(Curvas_cupon_cero!$A$1,1,MATCH($B$7,Curvas_cupon_cero!$1:$1,0)-1,COUNT(Curvas_cupon_cero!$A:$A)-2,1)),interpolar(E600,OFFSET(Curvas_cupon_cero!$A$1,1,0,COUNT(Curvas_cupon_cero!$A:$A)-2,1),OFFSET(Curvas_cupon_cero!$A$1,1,MATCH($B$7,Curvas_cupon_cero!$1:$1,0)-1,COUNT(Curvas_cupon_cero!$A:$A)-2,1))))</f>
        <v/>
      </c>
      <c r="H600" s="19" t="str">
        <f t="shared" si="55"/>
        <v/>
      </c>
    </row>
    <row r="601" spans="1:8" x14ac:dyDescent="0.2">
      <c r="A601" s="12" t="str">
        <f t="shared" si="56"/>
        <v/>
      </c>
      <c r="B601" s="21" t="str">
        <f t="shared" si="57"/>
        <v/>
      </c>
      <c r="C601" s="17" t="str">
        <f t="shared" si="54"/>
        <v/>
      </c>
      <c r="D601" s="18" t="str">
        <f t="shared" si="58"/>
        <v/>
      </c>
      <c r="E601" t="str">
        <f t="shared" si="59"/>
        <v/>
      </c>
      <c r="F601" s="23" t="str">
        <f ca="1">IF(A601="","",IF($B$8="Sí",interpolar_alamb(E601,OFFSET(Curvas_cupon_cero!$A$1,1,0,COUNT(Curvas_cupon_cero!$A:$A)-2,1),OFFSET(Curvas_cupon_cero!$A$1,1,MATCH($B$6,Curvas_cupon_cero!$1:$1,0)-1,COUNT(Curvas_cupon_cero!$A:$A)-2,1)),interpolar(E601,OFFSET(Curvas_cupon_cero!$A$1,1,0,COUNT(Curvas_cupon_cero!$A:$A)-2,1),OFFSET(Curvas_cupon_cero!$A$1,1,MATCH($B$6,Curvas_cupon_cero!$1:$1,0)-1,COUNT(Curvas_cupon_cero!$A:$A)-2,1))))</f>
        <v/>
      </c>
      <c r="G601" s="23" t="str">
        <f ca="1">IF(A601="","",IF($B$8="Sí",interpolar_alamb(E601,OFFSET(Curvas_cupon_cero!$A$1,1,0,COUNT(Curvas_cupon_cero!$A:$A)-2,1),OFFSET(Curvas_cupon_cero!$A$1,1,MATCH($B$7,Curvas_cupon_cero!$1:$1,0)-1,COUNT(Curvas_cupon_cero!$A:$A)-2,1)),interpolar(E601,OFFSET(Curvas_cupon_cero!$A$1,1,0,COUNT(Curvas_cupon_cero!$A:$A)-2,1),OFFSET(Curvas_cupon_cero!$A$1,1,MATCH($B$7,Curvas_cupon_cero!$1:$1,0)-1,COUNT(Curvas_cupon_cero!$A:$A)-2,1))))</f>
        <v/>
      </c>
      <c r="H601" s="19" t="str">
        <f t="shared" si="55"/>
        <v/>
      </c>
    </row>
    <row r="602" spans="1:8" x14ac:dyDescent="0.2">
      <c r="A602" s="12" t="str">
        <f t="shared" si="56"/>
        <v/>
      </c>
      <c r="B602" s="21" t="str">
        <f t="shared" si="57"/>
        <v/>
      </c>
      <c r="C602" s="17" t="str">
        <f t="shared" si="54"/>
        <v/>
      </c>
      <c r="D602" s="18" t="str">
        <f t="shared" si="58"/>
        <v/>
      </c>
      <c r="E602" t="str">
        <f t="shared" si="59"/>
        <v/>
      </c>
      <c r="F602" s="23" t="str">
        <f ca="1">IF(A602="","",IF($B$8="Sí",interpolar_alamb(E602,OFFSET(Curvas_cupon_cero!$A$1,1,0,COUNT(Curvas_cupon_cero!$A:$A)-2,1),OFFSET(Curvas_cupon_cero!$A$1,1,MATCH($B$6,Curvas_cupon_cero!$1:$1,0)-1,COUNT(Curvas_cupon_cero!$A:$A)-2,1)),interpolar(E602,OFFSET(Curvas_cupon_cero!$A$1,1,0,COUNT(Curvas_cupon_cero!$A:$A)-2,1),OFFSET(Curvas_cupon_cero!$A$1,1,MATCH($B$6,Curvas_cupon_cero!$1:$1,0)-1,COUNT(Curvas_cupon_cero!$A:$A)-2,1))))</f>
        <v/>
      </c>
      <c r="G602" s="23" t="str">
        <f ca="1">IF(A602="","",IF($B$8="Sí",interpolar_alamb(E602,OFFSET(Curvas_cupon_cero!$A$1,1,0,COUNT(Curvas_cupon_cero!$A:$A)-2,1),OFFSET(Curvas_cupon_cero!$A$1,1,MATCH($B$7,Curvas_cupon_cero!$1:$1,0)-1,COUNT(Curvas_cupon_cero!$A:$A)-2,1)),interpolar(E602,OFFSET(Curvas_cupon_cero!$A$1,1,0,COUNT(Curvas_cupon_cero!$A:$A)-2,1),OFFSET(Curvas_cupon_cero!$A$1,1,MATCH($B$7,Curvas_cupon_cero!$1:$1,0)-1,COUNT(Curvas_cupon_cero!$A:$A)-2,1))))</f>
        <v/>
      </c>
      <c r="H602" s="19" t="str">
        <f t="shared" si="55"/>
        <v/>
      </c>
    </row>
    <row r="603" spans="1:8" x14ac:dyDescent="0.2">
      <c r="A603" s="12" t="str">
        <f t="shared" si="56"/>
        <v/>
      </c>
      <c r="B603" s="21" t="str">
        <f t="shared" si="57"/>
        <v/>
      </c>
      <c r="C603" s="17" t="str">
        <f t="shared" si="54"/>
        <v/>
      </c>
      <c r="D603" s="18" t="str">
        <f t="shared" si="58"/>
        <v/>
      </c>
      <c r="E603" t="str">
        <f t="shared" si="59"/>
        <v/>
      </c>
      <c r="F603" s="23" t="str">
        <f ca="1">IF(A603="","",IF($B$8="Sí",interpolar_alamb(E603,OFFSET(Curvas_cupon_cero!$A$1,1,0,COUNT(Curvas_cupon_cero!$A:$A)-2,1),OFFSET(Curvas_cupon_cero!$A$1,1,MATCH($B$6,Curvas_cupon_cero!$1:$1,0)-1,COUNT(Curvas_cupon_cero!$A:$A)-2,1)),interpolar(E603,OFFSET(Curvas_cupon_cero!$A$1,1,0,COUNT(Curvas_cupon_cero!$A:$A)-2,1),OFFSET(Curvas_cupon_cero!$A$1,1,MATCH($B$6,Curvas_cupon_cero!$1:$1,0)-1,COUNT(Curvas_cupon_cero!$A:$A)-2,1))))</f>
        <v/>
      </c>
      <c r="G603" s="23" t="str">
        <f ca="1">IF(A603="","",IF($B$8="Sí",interpolar_alamb(E603,OFFSET(Curvas_cupon_cero!$A$1,1,0,COUNT(Curvas_cupon_cero!$A:$A)-2,1),OFFSET(Curvas_cupon_cero!$A$1,1,MATCH($B$7,Curvas_cupon_cero!$1:$1,0)-1,COUNT(Curvas_cupon_cero!$A:$A)-2,1)),interpolar(E603,OFFSET(Curvas_cupon_cero!$A$1,1,0,COUNT(Curvas_cupon_cero!$A:$A)-2,1),OFFSET(Curvas_cupon_cero!$A$1,1,MATCH($B$7,Curvas_cupon_cero!$1:$1,0)-1,COUNT(Curvas_cupon_cero!$A:$A)-2,1))))</f>
        <v/>
      </c>
      <c r="H603" s="19" t="str">
        <f t="shared" si="55"/>
        <v/>
      </c>
    </row>
    <row r="604" spans="1:8" x14ac:dyDescent="0.2">
      <c r="A604" s="12" t="str">
        <f t="shared" si="56"/>
        <v/>
      </c>
      <c r="B604" s="21" t="str">
        <f t="shared" si="57"/>
        <v/>
      </c>
      <c r="C604" s="17" t="str">
        <f t="shared" si="54"/>
        <v/>
      </c>
      <c r="D604" s="18" t="str">
        <f t="shared" si="58"/>
        <v/>
      </c>
      <c r="E604" t="str">
        <f t="shared" si="59"/>
        <v/>
      </c>
      <c r="F604" s="23" t="str">
        <f ca="1">IF(A604="","",IF($B$8="Sí",interpolar_alamb(E604,OFFSET(Curvas_cupon_cero!$A$1,1,0,COUNT(Curvas_cupon_cero!$A:$A)-2,1),OFFSET(Curvas_cupon_cero!$A$1,1,MATCH($B$6,Curvas_cupon_cero!$1:$1,0)-1,COUNT(Curvas_cupon_cero!$A:$A)-2,1)),interpolar(E604,OFFSET(Curvas_cupon_cero!$A$1,1,0,COUNT(Curvas_cupon_cero!$A:$A)-2,1),OFFSET(Curvas_cupon_cero!$A$1,1,MATCH($B$6,Curvas_cupon_cero!$1:$1,0)-1,COUNT(Curvas_cupon_cero!$A:$A)-2,1))))</f>
        <v/>
      </c>
      <c r="G604" s="23" t="str">
        <f ca="1">IF(A604="","",IF($B$8="Sí",interpolar_alamb(E604,OFFSET(Curvas_cupon_cero!$A$1,1,0,COUNT(Curvas_cupon_cero!$A:$A)-2,1),OFFSET(Curvas_cupon_cero!$A$1,1,MATCH($B$7,Curvas_cupon_cero!$1:$1,0)-1,COUNT(Curvas_cupon_cero!$A:$A)-2,1)),interpolar(E604,OFFSET(Curvas_cupon_cero!$A$1,1,0,COUNT(Curvas_cupon_cero!$A:$A)-2,1),OFFSET(Curvas_cupon_cero!$A$1,1,MATCH($B$7,Curvas_cupon_cero!$1:$1,0)-1,COUNT(Curvas_cupon_cero!$A:$A)-2,1))))</f>
        <v/>
      </c>
      <c r="H604" s="19" t="str">
        <f t="shared" si="55"/>
        <v/>
      </c>
    </row>
    <row r="605" spans="1:8" x14ac:dyDescent="0.2">
      <c r="A605" s="12" t="str">
        <f t="shared" si="56"/>
        <v/>
      </c>
      <c r="B605" s="21" t="str">
        <f t="shared" si="57"/>
        <v/>
      </c>
      <c r="C605" s="17" t="str">
        <f t="shared" si="54"/>
        <v/>
      </c>
      <c r="D605" s="18" t="str">
        <f t="shared" si="58"/>
        <v/>
      </c>
      <c r="E605" t="str">
        <f t="shared" si="59"/>
        <v/>
      </c>
      <c r="F605" s="23" t="str">
        <f ca="1">IF(A605="","",IF($B$8="Sí",interpolar_alamb(E605,OFFSET(Curvas_cupon_cero!$A$1,1,0,COUNT(Curvas_cupon_cero!$A:$A)-2,1),OFFSET(Curvas_cupon_cero!$A$1,1,MATCH($B$6,Curvas_cupon_cero!$1:$1,0)-1,COUNT(Curvas_cupon_cero!$A:$A)-2,1)),interpolar(E605,OFFSET(Curvas_cupon_cero!$A$1,1,0,COUNT(Curvas_cupon_cero!$A:$A)-2,1),OFFSET(Curvas_cupon_cero!$A$1,1,MATCH($B$6,Curvas_cupon_cero!$1:$1,0)-1,COUNT(Curvas_cupon_cero!$A:$A)-2,1))))</f>
        <v/>
      </c>
      <c r="G605" s="23" t="str">
        <f ca="1">IF(A605="","",IF($B$8="Sí",interpolar_alamb(E605,OFFSET(Curvas_cupon_cero!$A$1,1,0,COUNT(Curvas_cupon_cero!$A:$A)-2,1),OFFSET(Curvas_cupon_cero!$A$1,1,MATCH($B$7,Curvas_cupon_cero!$1:$1,0)-1,COUNT(Curvas_cupon_cero!$A:$A)-2,1)),interpolar(E605,OFFSET(Curvas_cupon_cero!$A$1,1,0,COUNT(Curvas_cupon_cero!$A:$A)-2,1),OFFSET(Curvas_cupon_cero!$A$1,1,MATCH($B$7,Curvas_cupon_cero!$1:$1,0)-1,COUNT(Curvas_cupon_cero!$A:$A)-2,1))))</f>
        <v/>
      </c>
      <c r="H605" s="19" t="str">
        <f t="shared" si="55"/>
        <v/>
      </c>
    </row>
    <row r="606" spans="1:8" x14ac:dyDescent="0.2">
      <c r="A606" s="12" t="str">
        <f t="shared" si="56"/>
        <v/>
      </c>
      <c r="B606" s="21" t="str">
        <f t="shared" si="57"/>
        <v/>
      </c>
      <c r="C606" s="17" t="str">
        <f t="shared" si="54"/>
        <v/>
      </c>
      <c r="D606" s="18" t="str">
        <f t="shared" si="58"/>
        <v/>
      </c>
      <c r="E606" t="str">
        <f t="shared" si="59"/>
        <v/>
      </c>
      <c r="F606" s="23" t="str">
        <f ca="1">IF(A606="","",IF($B$8="Sí",interpolar_alamb(E606,OFFSET(Curvas_cupon_cero!$A$1,1,0,COUNT(Curvas_cupon_cero!$A:$A)-2,1),OFFSET(Curvas_cupon_cero!$A$1,1,MATCH($B$6,Curvas_cupon_cero!$1:$1,0)-1,COUNT(Curvas_cupon_cero!$A:$A)-2,1)),interpolar(E606,OFFSET(Curvas_cupon_cero!$A$1,1,0,COUNT(Curvas_cupon_cero!$A:$A)-2,1),OFFSET(Curvas_cupon_cero!$A$1,1,MATCH($B$6,Curvas_cupon_cero!$1:$1,0)-1,COUNT(Curvas_cupon_cero!$A:$A)-2,1))))</f>
        <v/>
      </c>
      <c r="G606" s="23" t="str">
        <f ca="1">IF(A606="","",IF($B$8="Sí",interpolar_alamb(E606,OFFSET(Curvas_cupon_cero!$A$1,1,0,COUNT(Curvas_cupon_cero!$A:$A)-2,1),OFFSET(Curvas_cupon_cero!$A$1,1,MATCH($B$7,Curvas_cupon_cero!$1:$1,0)-1,COUNT(Curvas_cupon_cero!$A:$A)-2,1)),interpolar(E606,OFFSET(Curvas_cupon_cero!$A$1,1,0,COUNT(Curvas_cupon_cero!$A:$A)-2,1),OFFSET(Curvas_cupon_cero!$A$1,1,MATCH($B$7,Curvas_cupon_cero!$1:$1,0)-1,COUNT(Curvas_cupon_cero!$A:$A)-2,1))))</f>
        <v/>
      </c>
      <c r="H606" s="19" t="str">
        <f t="shared" si="55"/>
        <v/>
      </c>
    </row>
    <row r="607" spans="1:8" x14ac:dyDescent="0.2">
      <c r="A607" s="12" t="str">
        <f t="shared" si="56"/>
        <v/>
      </c>
      <c r="B607" s="21" t="str">
        <f t="shared" si="57"/>
        <v/>
      </c>
      <c r="C607" s="17" t="str">
        <f t="shared" si="54"/>
        <v/>
      </c>
      <c r="D607" s="18" t="str">
        <f t="shared" si="58"/>
        <v/>
      </c>
      <c r="E607" t="str">
        <f t="shared" si="59"/>
        <v/>
      </c>
      <c r="F607" s="23" t="str">
        <f ca="1">IF(A607="","",IF($B$8="Sí",interpolar_alamb(E607,OFFSET(Curvas_cupon_cero!$A$1,1,0,COUNT(Curvas_cupon_cero!$A:$A)-2,1),OFFSET(Curvas_cupon_cero!$A$1,1,MATCH($B$6,Curvas_cupon_cero!$1:$1,0)-1,COUNT(Curvas_cupon_cero!$A:$A)-2,1)),interpolar(E607,OFFSET(Curvas_cupon_cero!$A$1,1,0,COUNT(Curvas_cupon_cero!$A:$A)-2,1),OFFSET(Curvas_cupon_cero!$A$1,1,MATCH($B$6,Curvas_cupon_cero!$1:$1,0)-1,COUNT(Curvas_cupon_cero!$A:$A)-2,1))))</f>
        <v/>
      </c>
      <c r="G607" s="23" t="str">
        <f ca="1">IF(A607="","",IF($B$8="Sí",interpolar_alamb(E607,OFFSET(Curvas_cupon_cero!$A$1,1,0,COUNT(Curvas_cupon_cero!$A:$A)-2,1),OFFSET(Curvas_cupon_cero!$A$1,1,MATCH($B$7,Curvas_cupon_cero!$1:$1,0)-1,COUNT(Curvas_cupon_cero!$A:$A)-2,1)),interpolar(E607,OFFSET(Curvas_cupon_cero!$A$1,1,0,COUNT(Curvas_cupon_cero!$A:$A)-2,1),OFFSET(Curvas_cupon_cero!$A$1,1,MATCH($B$7,Curvas_cupon_cero!$1:$1,0)-1,COUNT(Curvas_cupon_cero!$A:$A)-2,1))))</f>
        <v/>
      </c>
      <c r="H607" s="19" t="str">
        <f t="shared" si="55"/>
        <v/>
      </c>
    </row>
    <row r="608" spans="1:8" x14ac:dyDescent="0.2">
      <c r="A608" s="12" t="str">
        <f t="shared" si="56"/>
        <v/>
      </c>
      <c r="B608" s="21" t="str">
        <f t="shared" si="57"/>
        <v/>
      </c>
      <c r="C608" s="17" t="str">
        <f t="shared" si="54"/>
        <v/>
      </c>
      <c r="D608" s="18" t="str">
        <f t="shared" si="58"/>
        <v/>
      </c>
      <c r="E608" t="str">
        <f t="shared" si="59"/>
        <v/>
      </c>
      <c r="F608" s="23" t="str">
        <f ca="1">IF(A608="","",IF($B$8="Sí",interpolar_alamb(E608,OFFSET(Curvas_cupon_cero!$A$1,1,0,COUNT(Curvas_cupon_cero!$A:$A)-2,1),OFFSET(Curvas_cupon_cero!$A$1,1,MATCH($B$6,Curvas_cupon_cero!$1:$1,0)-1,COUNT(Curvas_cupon_cero!$A:$A)-2,1)),interpolar(E608,OFFSET(Curvas_cupon_cero!$A$1,1,0,COUNT(Curvas_cupon_cero!$A:$A)-2,1),OFFSET(Curvas_cupon_cero!$A$1,1,MATCH($B$6,Curvas_cupon_cero!$1:$1,0)-1,COUNT(Curvas_cupon_cero!$A:$A)-2,1))))</f>
        <v/>
      </c>
      <c r="G608" s="23" t="str">
        <f ca="1">IF(A608="","",IF($B$8="Sí",interpolar_alamb(E608,OFFSET(Curvas_cupon_cero!$A$1,1,0,COUNT(Curvas_cupon_cero!$A:$A)-2,1),OFFSET(Curvas_cupon_cero!$A$1,1,MATCH($B$7,Curvas_cupon_cero!$1:$1,0)-1,COUNT(Curvas_cupon_cero!$A:$A)-2,1)),interpolar(E608,OFFSET(Curvas_cupon_cero!$A$1,1,0,COUNT(Curvas_cupon_cero!$A:$A)-2,1),OFFSET(Curvas_cupon_cero!$A$1,1,MATCH($B$7,Curvas_cupon_cero!$1:$1,0)-1,COUNT(Curvas_cupon_cero!$A:$A)-2,1))))</f>
        <v/>
      </c>
      <c r="H608" s="19" t="str">
        <f t="shared" si="55"/>
        <v/>
      </c>
    </row>
    <row r="609" spans="1:8" x14ac:dyDescent="0.2">
      <c r="A609" s="12" t="str">
        <f t="shared" si="56"/>
        <v/>
      </c>
      <c r="B609" s="21" t="str">
        <f t="shared" si="57"/>
        <v/>
      </c>
      <c r="C609" s="17" t="str">
        <f t="shared" si="54"/>
        <v/>
      </c>
      <c r="D609" s="18" t="str">
        <f t="shared" si="58"/>
        <v/>
      </c>
      <c r="E609" t="str">
        <f t="shared" si="59"/>
        <v/>
      </c>
      <c r="F609" s="23" t="str">
        <f ca="1">IF(A609="","",IF($B$8="Sí",interpolar_alamb(E609,OFFSET(Curvas_cupon_cero!$A$1,1,0,COUNT(Curvas_cupon_cero!$A:$A)-2,1),OFFSET(Curvas_cupon_cero!$A$1,1,MATCH($B$6,Curvas_cupon_cero!$1:$1,0)-1,COUNT(Curvas_cupon_cero!$A:$A)-2,1)),interpolar(E609,OFFSET(Curvas_cupon_cero!$A$1,1,0,COUNT(Curvas_cupon_cero!$A:$A)-2,1),OFFSET(Curvas_cupon_cero!$A$1,1,MATCH($B$6,Curvas_cupon_cero!$1:$1,0)-1,COUNT(Curvas_cupon_cero!$A:$A)-2,1))))</f>
        <v/>
      </c>
      <c r="G609" s="23" t="str">
        <f ca="1">IF(A609="","",IF($B$8="Sí",interpolar_alamb(E609,OFFSET(Curvas_cupon_cero!$A$1,1,0,COUNT(Curvas_cupon_cero!$A:$A)-2,1),OFFSET(Curvas_cupon_cero!$A$1,1,MATCH($B$7,Curvas_cupon_cero!$1:$1,0)-1,COUNT(Curvas_cupon_cero!$A:$A)-2,1)),interpolar(E609,OFFSET(Curvas_cupon_cero!$A$1,1,0,COUNT(Curvas_cupon_cero!$A:$A)-2,1),OFFSET(Curvas_cupon_cero!$A$1,1,MATCH($B$7,Curvas_cupon_cero!$1:$1,0)-1,COUNT(Curvas_cupon_cero!$A:$A)-2,1))))</f>
        <v/>
      </c>
      <c r="H609" s="19" t="str">
        <f t="shared" si="55"/>
        <v/>
      </c>
    </row>
    <row r="610" spans="1:8" x14ac:dyDescent="0.2">
      <c r="A610" s="12" t="str">
        <f t="shared" si="56"/>
        <v/>
      </c>
      <c r="B610" s="21" t="str">
        <f t="shared" si="57"/>
        <v/>
      </c>
      <c r="C610" s="17" t="str">
        <f t="shared" si="54"/>
        <v/>
      </c>
      <c r="D610" s="18" t="str">
        <f t="shared" si="58"/>
        <v/>
      </c>
      <c r="E610" t="str">
        <f t="shared" si="59"/>
        <v/>
      </c>
      <c r="F610" s="23" t="str">
        <f ca="1">IF(A610="","",IF($B$8="Sí",interpolar_alamb(E610,OFFSET(Curvas_cupon_cero!$A$1,1,0,COUNT(Curvas_cupon_cero!$A:$A)-2,1),OFFSET(Curvas_cupon_cero!$A$1,1,MATCH($B$6,Curvas_cupon_cero!$1:$1,0)-1,COUNT(Curvas_cupon_cero!$A:$A)-2,1)),interpolar(E610,OFFSET(Curvas_cupon_cero!$A$1,1,0,COUNT(Curvas_cupon_cero!$A:$A)-2,1),OFFSET(Curvas_cupon_cero!$A$1,1,MATCH($B$6,Curvas_cupon_cero!$1:$1,0)-1,COUNT(Curvas_cupon_cero!$A:$A)-2,1))))</f>
        <v/>
      </c>
      <c r="G610" s="23" t="str">
        <f ca="1">IF(A610="","",IF($B$8="Sí",interpolar_alamb(E610,OFFSET(Curvas_cupon_cero!$A$1,1,0,COUNT(Curvas_cupon_cero!$A:$A)-2,1),OFFSET(Curvas_cupon_cero!$A$1,1,MATCH($B$7,Curvas_cupon_cero!$1:$1,0)-1,COUNT(Curvas_cupon_cero!$A:$A)-2,1)),interpolar(E610,OFFSET(Curvas_cupon_cero!$A$1,1,0,COUNT(Curvas_cupon_cero!$A:$A)-2,1),OFFSET(Curvas_cupon_cero!$A$1,1,MATCH($B$7,Curvas_cupon_cero!$1:$1,0)-1,COUNT(Curvas_cupon_cero!$A:$A)-2,1))))</f>
        <v/>
      </c>
      <c r="H610" s="19" t="str">
        <f t="shared" si="55"/>
        <v/>
      </c>
    </row>
    <row r="611" spans="1:8" x14ac:dyDescent="0.2">
      <c r="A611" s="12" t="str">
        <f t="shared" si="56"/>
        <v/>
      </c>
      <c r="B611" s="21" t="str">
        <f t="shared" si="57"/>
        <v/>
      </c>
      <c r="C611" s="17" t="str">
        <f t="shared" si="54"/>
        <v/>
      </c>
      <c r="D611" s="18" t="str">
        <f t="shared" si="58"/>
        <v/>
      </c>
      <c r="E611" t="str">
        <f t="shared" si="59"/>
        <v/>
      </c>
      <c r="F611" s="23" t="str">
        <f ca="1">IF(A611="","",IF($B$8="Sí",interpolar_alamb(E611,OFFSET(Curvas_cupon_cero!$A$1,1,0,COUNT(Curvas_cupon_cero!$A:$A)-2,1),OFFSET(Curvas_cupon_cero!$A$1,1,MATCH($B$6,Curvas_cupon_cero!$1:$1,0)-1,COUNT(Curvas_cupon_cero!$A:$A)-2,1)),interpolar(E611,OFFSET(Curvas_cupon_cero!$A$1,1,0,COUNT(Curvas_cupon_cero!$A:$A)-2,1),OFFSET(Curvas_cupon_cero!$A$1,1,MATCH($B$6,Curvas_cupon_cero!$1:$1,0)-1,COUNT(Curvas_cupon_cero!$A:$A)-2,1))))</f>
        <v/>
      </c>
      <c r="G611" s="23" t="str">
        <f ca="1">IF(A611="","",IF($B$8="Sí",interpolar_alamb(E611,OFFSET(Curvas_cupon_cero!$A$1,1,0,COUNT(Curvas_cupon_cero!$A:$A)-2,1),OFFSET(Curvas_cupon_cero!$A$1,1,MATCH($B$7,Curvas_cupon_cero!$1:$1,0)-1,COUNT(Curvas_cupon_cero!$A:$A)-2,1)),interpolar(E611,OFFSET(Curvas_cupon_cero!$A$1,1,0,COUNT(Curvas_cupon_cero!$A:$A)-2,1),OFFSET(Curvas_cupon_cero!$A$1,1,MATCH($B$7,Curvas_cupon_cero!$1:$1,0)-1,COUNT(Curvas_cupon_cero!$A:$A)-2,1))))</f>
        <v/>
      </c>
      <c r="H611" s="19" t="str">
        <f t="shared" si="55"/>
        <v/>
      </c>
    </row>
    <row r="612" spans="1:8" x14ac:dyDescent="0.2">
      <c r="A612" s="12" t="str">
        <f t="shared" si="56"/>
        <v/>
      </c>
      <c r="B612" s="21" t="str">
        <f t="shared" si="57"/>
        <v/>
      </c>
      <c r="C612" s="17" t="str">
        <f t="shared" si="54"/>
        <v/>
      </c>
      <c r="D612" s="18" t="str">
        <f t="shared" si="58"/>
        <v/>
      </c>
      <c r="E612" t="str">
        <f t="shared" si="59"/>
        <v/>
      </c>
      <c r="F612" s="23" t="str">
        <f ca="1">IF(A612="","",IF($B$8="Sí",interpolar_alamb(E612,OFFSET(Curvas_cupon_cero!$A$1,1,0,COUNT(Curvas_cupon_cero!$A:$A)-2,1),OFFSET(Curvas_cupon_cero!$A$1,1,MATCH($B$6,Curvas_cupon_cero!$1:$1,0)-1,COUNT(Curvas_cupon_cero!$A:$A)-2,1)),interpolar(E612,OFFSET(Curvas_cupon_cero!$A$1,1,0,COUNT(Curvas_cupon_cero!$A:$A)-2,1),OFFSET(Curvas_cupon_cero!$A$1,1,MATCH($B$6,Curvas_cupon_cero!$1:$1,0)-1,COUNT(Curvas_cupon_cero!$A:$A)-2,1))))</f>
        <v/>
      </c>
      <c r="G612" s="23" t="str">
        <f ca="1">IF(A612="","",IF($B$8="Sí",interpolar_alamb(E612,OFFSET(Curvas_cupon_cero!$A$1,1,0,COUNT(Curvas_cupon_cero!$A:$A)-2,1),OFFSET(Curvas_cupon_cero!$A$1,1,MATCH($B$7,Curvas_cupon_cero!$1:$1,0)-1,COUNT(Curvas_cupon_cero!$A:$A)-2,1)),interpolar(E612,OFFSET(Curvas_cupon_cero!$A$1,1,0,COUNT(Curvas_cupon_cero!$A:$A)-2,1),OFFSET(Curvas_cupon_cero!$A$1,1,MATCH($B$7,Curvas_cupon_cero!$1:$1,0)-1,COUNT(Curvas_cupon_cero!$A:$A)-2,1))))</f>
        <v/>
      </c>
      <c r="H612" s="19" t="str">
        <f t="shared" si="55"/>
        <v/>
      </c>
    </row>
    <row r="613" spans="1:8" x14ac:dyDescent="0.2">
      <c r="A613" s="12" t="str">
        <f t="shared" si="56"/>
        <v/>
      </c>
      <c r="B613" s="21" t="str">
        <f t="shared" si="57"/>
        <v/>
      </c>
      <c r="C613" s="17" t="str">
        <f t="shared" si="54"/>
        <v/>
      </c>
      <c r="D613" s="18" t="str">
        <f t="shared" si="58"/>
        <v/>
      </c>
      <c r="E613" t="str">
        <f t="shared" si="59"/>
        <v/>
      </c>
      <c r="F613" s="23" t="str">
        <f ca="1">IF(A613="","",IF($B$8="Sí",interpolar_alamb(E613,OFFSET(Curvas_cupon_cero!$A$1,1,0,COUNT(Curvas_cupon_cero!$A:$A)-2,1),OFFSET(Curvas_cupon_cero!$A$1,1,MATCH($B$6,Curvas_cupon_cero!$1:$1,0)-1,COUNT(Curvas_cupon_cero!$A:$A)-2,1)),interpolar(E613,OFFSET(Curvas_cupon_cero!$A$1,1,0,COUNT(Curvas_cupon_cero!$A:$A)-2,1),OFFSET(Curvas_cupon_cero!$A$1,1,MATCH($B$6,Curvas_cupon_cero!$1:$1,0)-1,COUNT(Curvas_cupon_cero!$A:$A)-2,1))))</f>
        <v/>
      </c>
      <c r="G613" s="23" t="str">
        <f ca="1">IF(A613="","",IF($B$8="Sí",interpolar_alamb(E613,OFFSET(Curvas_cupon_cero!$A$1,1,0,COUNT(Curvas_cupon_cero!$A:$A)-2,1),OFFSET(Curvas_cupon_cero!$A$1,1,MATCH($B$7,Curvas_cupon_cero!$1:$1,0)-1,COUNT(Curvas_cupon_cero!$A:$A)-2,1)),interpolar(E613,OFFSET(Curvas_cupon_cero!$A$1,1,0,COUNT(Curvas_cupon_cero!$A:$A)-2,1),OFFSET(Curvas_cupon_cero!$A$1,1,MATCH($B$7,Curvas_cupon_cero!$1:$1,0)-1,COUNT(Curvas_cupon_cero!$A:$A)-2,1))))</f>
        <v/>
      </c>
      <c r="H613" s="19" t="str">
        <f t="shared" si="55"/>
        <v/>
      </c>
    </row>
    <row r="614" spans="1:8" x14ac:dyDescent="0.2">
      <c r="A614" s="12" t="str">
        <f t="shared" si="56"/>
        <v/>
      </c>
      <c r="B614" s="21" t="str">
        <f t="shared" si="57"/>
        <v/>
      </c>
      <c r="C614" s="17" t="str">
        <f t="shared" si="54"/>
        <v/>
      </c>
      <c r="D614" s="18" t="str">
        <f t="shared" si="58"/>
        <v/>
      </c>
      <c r="E614" t="str">
        <f t="shared" si="59"/>
        <v/>
      </c>
      <c r="F614" s="23" t="str">
        <f ca="1">IF(A614="","",IF($B$8="Sí",interpolar_alamb(E614,OFFSET(Curvas_cupon_cero!$A$1,1,0,COUNT(Curvas_cupon_cero!$A:$A)-2,1),OFFSET(Curvas_cupon_cero!$A$1,1,MATCH($B$6,Curvas_cupon_cero!$1:$1,0)-1,COUNT(Curvas_cupon_cero!$A:$A)-2,1)),interpolar(E614,OFFSET(Curvas_cupon_cero!$A$1,1,0,COUNT(Curvas_cupon_cero!$A:$A)-2,1),OFFSET(Curvas_cupon_cero!$A$1,1,MATCH($B$6,Curvas_cupon_cero!$1:$1,0)-1,COUNT(Curvas_cupon_cero!$A:$A)-2,1))))</f>
        <v/>
      </c>
      <c r="G614" s="23" t="str">
        <f ca="1">IF(A614="","",IF($B$8="Sí",interpolar_alamb(E614,OFFSET(Curvas_cupon_cero!$A$1,1,0,COUNT(Curvas_cupon_cero!$A:$A)-2,1),OFFSET(Curvas_cupon_cero!$A$1,1,MATCH($B$7,Curvas_cupon_cero!$1:$1,0)-1,COUNT(Curvas_cupon_cero!$A:$A)-2,1)),interpolar(E614,OFFSET(Curvas_cupon_cero!$A$1,1,0,COUNT(Curvas_cupon_cero!$A:$A)-2,1),OFFSET(Curvas_cupon_cero!$A$1,1,MATCH($B$7,Curvas_cupon_cero!$1:$1,0)-1,COUNT(Curvas_cupon_cero!$A:$A)-2,1))))</f>
        <v/>
      </c>
      <c r="H614" s="19" t="str">
        <f t="shared" si="55"/>
        <v/>
      </c>
    </row>
    <row r="615" spans="1:8" x14ac:dyDescent="0.2">
      <c r="A615" s="12" t="str">
        <f t="shared" si="56"/>
        <v/>
      </c>
      <c r="B615" s="21" t="str">
        <f t="shared" si="57"/>
        <v/>
      </c>
      <c r="C615" s="17" t="str">
        <f t="shared" si="54"/>
        <v/>
      </c>
      <c r="D615" s="18" t="str">
        <f t="shared" si="58"/>
        <v/>
      </c>
      <c r="E615" t="str">
        <f t="shared" si="59"/>
        <v/>
      </c>
      <c r="F615" s="23" t="str">
        <f ca="1">IF(A615="","",IF($B$8="Sí",interpolar_alamb(E615,OFFSET(Curvas_cupon_cero!$A$1,1,0,COUNT(Curvas_cupon_cero!$A:$A)-2,1),OFFSET(Curvas_cupon_cero!$A$1,1,MATCH($B$6,Curvas_cupon_cero!$1:$1,0)-1,COUNT(Curvas_cupon_cero!$A:$A)-2,1)),interpolar(E615,OFFSET(Curvas_cupon_cero!$A$1,1,0,COUNT(Curvas_cupon_cero!$A:$A)-2,1),OFFSET(Curvas_cupon_cero!$A$1,1,MATCH($B$6,Curvas_cupon_cero!$1:$1,0)-1,COUNT(Curvas_cupon_cero!$A:$A)-2,1))))</f>
        <v/>
      </c>
      <c r="G615" s="23" t="str">
        <f ca="1">IF(A615="","",IF($B$8="Sí",interpolar_alamb(E615,OFFSET(Curvas_cupon_cero!$A$1,1,0,COUNT(Curvas_cupon_cero!$A:$A)-2,1),OFFSET(Curvas_cupon_cero!$A$1,1,MATCH($B$7,Curvas_cupon_cero!$1:$1,0)-1,COUNT(Curvas_cupon_cero!$A:$A)-2,1)),interpolar(E615,OFFSET(Curvas_cupon_cero!$A$1,1,0,COUNT(Curvas_cupon_cero!$A:$A)-2,1),OFFSET(Curvas_cupon_cero!$A$1,1,MATCH($B$7,Curvas_cupon_cero!$1:$1,0)-1,COUNT(Curvas_cupon_cero!$A:$A)-2,1))))</f>
        <v/>
      </c>
      <c r="H615" s="19" t="str">
        <f t="shared" si="55"/>
        <v/>
      </c>
    </row>
    <row r="616" spans="1:8" x14ac:dyDescent="0.2">
      <c r="A616" s="12" t="str">
        <f t="shared" si="56"/>
        <v/>
      </c>
      <c r="B616" s="21" t="str">
        <f t="shared" si="57"/>
        <v/>
      </c>
      <c r="C616" s="17" t="str">
        <f t="shared" si="54"/>
        <v/>
      </c>
      <c r="D616" s="18" t="str">
        <f t="shared" si="58"/>
        <v/>
      </c>
      <c r="E616" t="str">
        <f t="shared" si="59"/>
        <v/>
      </c>
      <c r="F616" s="23" t="str">
        <f ca="1">IF(A616="","",IF($B$8="Sí",interpolar_alamb(E616,OFFSET(Curvas_cupon_cero!$A$1,1,0,COUNT(Curvas_cupon_cero!$A:$A)-2,1),OFFSET(Curvas_cupon_cero!$A$1,1,MATCH($B$6,Curvas_cupon_cero!$1:$1,0)-1,COUNT(Curvas_cupon_cero!$A:$A)-2,1)),interpolar(E616,OFFSET(Curvas_cupon_cero!$A$1,1,0,COUNT(Curvas_cupon_cero!$A:$A)-2,1),OFFSET(Curvas_cupon_cero!$A$1,1,MATCH($B$6,Curvas_cupon_cero!$1:$1,0)-1,COUNT(Curvas_cupon_cero!$A:$A)-2,1))))</f>
        <v/>
      </c>
      <c r="G616" s="23" t="str">
        <f ca="1">IF(A616="","",IF($B$8="Sí",interpolar_alamb(E616,OFFSET(Curvas_cupon_cero!$A$1,1,0,COUNT(Curvas_cupon_cero!$A:$A)-2,1),OFFSET(Curvas_cupon_cero!$A$1,1,MATCH($B$7,Curvas_cupon_cero!$1:$1,0)-1,COUNT(Curvas_cupon_cero!$A:$A)-2,1)),interpolar(E616,OFFSET(Curvas_cupon_cero!$A$1,1,0,COUNT(Curvas_cupon_cero!$A:$A)-2,1),OFFSET(Curvas_cupon_cero!$A$1,1,MATCH($B$7,Curvas_cupon_cero!$1:$1,0)-1,COUNT(Curvas_cupon_cero!$A:$A)-2,1))))</f>
        <v/>
      </c>
      <c r="H616" s="19" t="str">
        <f t="shared" si="55"/>
        <v/>
      </c>
    </row>
    <row r="617" spans="1:8" x14ac:dyDescent="0.2">
      <c r="A617" s="12" t="str">
        <f t="shared" si="56"/>
        <v/>
      </c>
      <c r="B617" s="21" t="str">
        <f t="shared" si="57"/>
        <v/>
      </c>
      <c r="C617" s="17" t="str">
        <f t="shared" si="54"/>
        <v/>
      </c>
      <c r="D617" s="18" t="str">
        <f t="shared" si="58"/>
        <v/>
      </c>
      <c r="E617" t="str">
        <f t="shared" si="59"/>
        <v/>
      </c>
      <c r="F617" s="23" t="str">
        <f ca="1">IF(A617="","",IF($B$8="Sí",interpolar_alamb(E617,OFFSET(Curvas_cupon_cero!$A$1,1,0,COUNT(Curvas_cupon_cero!$A:$A)-2,1),OFFSET(Curvas_cupon_cero!$A$1,1,MATCH($B$6,Curvas_cupon_cero!$1:$1,0)-1,COUNT(Curvas_cupon_cero!$A:$A)-2,1)),interpolar(E617,OFFSET(Curvas_cupon_cero!$A$1,1,0,COUNT(Curvas_cupon_cero!$A:$A)-2,1),OFFSET(Curvas_cupon_cero!$A$1,1,MATCH($B$6,Curvas_cupon_cero!$1:$1,0)-1,COUNT(Curvas_cupon_cero!$A:$A)-2,1))))</f>
        <v/>
      </c>
      <c r="G617" s="23" t="str">
        <f ca="1">IF(A617="","",IF($B$8="Sí",interpolar_alamb(E617,OFFSET(Curvas_cupon_cero!$A$1,1,0,COUNT(Curvas_cupon_cero!$A:$A)-2,1),OFFSET(Curvas_cupon_cero!$A$1,1,MATCH($B$7,Curvas_cupon_cero!$1:$1,0)-1,COUNT(Curvas_cupon_cero!$A:$A)-2,1)),interpolar(E617,OFFSET(Curvas_cupon_cero!$A$1,1,0,COUNT(Curvas_cupon_cero!$A:$A)-2,1),OFFSET(Curvas_cupon_cero!$A$1,1,MATCH($B$7,Curvas_cupon_cero!$1:$1,0)-1,COUNT(Curvas_cupon_cero!$A:$A)-2,1))))</f>
        <v/>
      </c>
      <c r="H617" s="19" t="str">
        <f t="shared" si="55"/>
        <v/>
      </c>
    </row>
    <row r="618" spans="1:8" x14ac:dyDescent="0.2">
      <c r="A618" s="12" t="str">
        <f t="shared" si="56"/>
        <v/>
      </c>
      <c r="B618" s="21" t="str">
        <f t="shared" si="57"/>
        <v/>
      </c>
      <c r="C618" s="17" t="str">
        <f t="shared" si="54"/>
        <v/>
      </c>
      <c r="D618" s="18" t="str">
        <f t="shared" si="58"/>
        <v/>
      </c>
      <c r="E618" t="str">
        <f t="shared" si="59"/>
        <v/>
      </c>
      <c r="F618" s="23" t="str">
        <f ca="1">IF(A618="","",IF($B$8="Sí",interpolar_alamb(E618,OFFSET(Curvas_cupon_cero!$A$1,1,0,COUNT(Curvas_cupon_cero!$A:$A)-2,1),OFFSET(Curvas_cupon_cero!$A$1,1,MATCH($B$6,Curvas_cupon_cero!$1:$1,0)-1,COUNT(Curvas_cupon_cero!$A:$A)-2,1)),interpolar(E618,OFFSET(Curvas_cupon_cero!$A$1,1,0,COUNT(Curvas_cupon_cero!$A:$A)-2,1),OFFSET(Curvas_cupon_cero!$A$1,1,MATCH($B$6,Curvas_cupon_cero!$1:$1,0)-1,COUNT(Curvas_cupon_cero!$A:$A)-2,1))))</f>
        <v/>
      </c>
      <c r="G618" s="23" t="str">
        <f ca="1">IF(A618="","",IF($B$8="Sí",interpolar_alamb(E618,OFFSET(Curvas_cupon_cero!$A$1,1,0,COUNT(Curvas_cupon_cero!$A:$A)-2,1),OFFSET(Curvas_cupon_cero!$A$1,1,MATCH($B$7,Curvas_cupon_cero!$1:$1,0)-1,COUNT(Curvas_cupon_cero!$A:$A)-2,1)),interpolar(E618,OFFSET(Curvas_cupon_cero!$A$1,1,0,COUNT(Curvas_cupon_cero!$A:$A)-2,1),OFFSET(Curvas_cupon_cero!$A$1,1,MATCH($B$7,Curvas_cupon_cero!$1:$1,0)-1,COUNT(Curvas_cupon_cero!$A:$A)-2,1))))</f>
        <v/>
      </c>
      <c r="H618" s="19" t="str">
        <f t="shared" si="55"/>
        <v/>
      </c>
    </row>
    <row r="619" spans="1:8" x14ac:dyDescent="0.2">
      <c r="A619" s="12" t="str">
        <f t="shared" si="56"/>
        <v/>
      </c>
      <c r="B619" s="21" t="str">
        <f t="shared" si="57"/>
        <v/>
      </c>
      <c r="C619" s="17" t="str">
        <f t="shared" si="54"/>
        <v/>
      </c>
      <c r="D619" s="18" t="str">
        <f t="shared" si="58"/>
        <v/>
      </c>
      <c r="E619" t="str">
        <f t="shared" si="59"/>
        <v/>
      </c>
      <c r="F619" s="23" t="str">
        <f ca="1">IF(A619="","",IF($B$8="Sí",interpolar_alamb(E619,OFFSET(Curvas_cupon_cero!$A$1,1,0,COUNT(Curvas_cupon_cero!$A:$A)-2,1),OFFSET(Curvas_cupon_cero!$A$1,1,MATCH($B$6,Curvas_cupon_cero!$1:$1,0)-1,COUNT(Curvas_cupon_cero!$A:$A)-2,1)),interpolar(E619,OFFSET(Curvas_cupon_cero!$A$1,1,0,COUNT(Curvas_cupon_cero!$A:$A)-2,1),OFFSET(Curvas_cupon_cero!$A$1,1,MATCH($B$6,Curvas_cupon_cero!$1:$1,0)-1,COUNT(Curvas_cupon_cero!$A:$A)-2,1))))</f>
        <v/>
      </c>
      <c r="G619" s="23" t="str">
        <f ca="1">IF(A619="","",IF($B$8="Sí",interpolar_alamb(E619,OFFSET(Curvas_cupon_cero!$A$1,1,0,COUNT(Curvas_cupon_cero!$A:$A)-2,1),OFFSET(Curvas_cupon_cero!$A$1,1,MATCH($B$7,Curvas_cupon_cero!$1:$1,0)-1,COUNT(Curvas_cupon_cero!$A:$A)-2,1)),interpolar(E619,OFFSET(Curvas_cupon_cero!$A$1,1,0,COUNT(Curvas_cupon_cero!$A:$A)-2,1),OFFSET(Curvas_cupon_cero!$A$1,1,MATCH($B$7,Curvas_cupon_cero!$1:$1,0)-1,COUNT(Curvas_cupon_cero!$A:$A)-2,1))))</f>
        <v/>
      </c>
      <c r="H619" s="19" t="str">
        <f t="shared" si="55"/>
        <v/>
      </c>
    </row>
    <row r="620" spans="1:8" x14ac:dyDescent="0.2">
      <c r="A620" s="12" t="str">
        <f t="shared" si="56"/>
        <v/>
      </c>
      <c r="B620" s="21" t="str">
        <f t="shared" si="57"/>
        <v/>
      </c>
      <c r="C620" s="17" t="str">
        <f t="shared" si="54"/>
        <v/>
      </c>
      <c r="D620" s="18" t="str">
        <f t="shared" si="58"/>
        <v/>
      </c>
      <c r="E620" t="str">
        <f t="shared" si="59"/>
        <v/>
      </c>
      <c r="F620" s="23" t="str">
        <f ca="1">IF(A620="","",IF($B$8="Sí",interpolar_alamb(E620,OFFSET(Curvas_cupon_cero!$A$1,1,0,COUNT(Curvas_cupon_cero!$A:$A)-2,1),OFFSET(Curvas_cupon_cero!$A$1,1,MATCH($B$6,Curvas_cupon_cero!$1:$1,0)-1,COUNT(Curvas_cupon_cero!$A:$A)-2,1)),interpolar(E620,OFFSET(Curvas_cupon_cero!$A$1,1,0,COUNT(Curvas_cupon_cero!$A:$A)-2,1),OFFSET(Curvas_cupon_cero!$A$1,1,MATCH($B$6,Curvas_cupon_cero!$1:$1,0)-1,COUNT(Curvas_cupon_cero!$A:$A)-2,1))))</f>
        <v/>
      </c>
      <c r="G620" s="23" t="str">
        <f ca="1">IF(A620="","",IF($B$8="Sí",interpolar_alamb(E620,OFFSET(Curvas_cupon_cero!$A$1,1,0,COUNT(Curvas_cupon_cero!$A:$A)-2,1),OFFSET(Curvas_cupon_cero!$A$1,1,MATCH($B$7,Curvas_cupon_cero!$1:$1,0)-1,COUNT(Curvas_cupon_cero!$A:$A)-2,1)),interpolar(E620,OFFSET(Curvas_cupon_cero!$A$1,1,0,COUNT(Curvas_cupon_cero!$A:$A)-2,1),OFFSET(Curvas_cupon_cero!$A$1,1,MATCH($B$7,Curvas_cupon_cero!$1:$1,0)-1,COUNT(Curvas_cupon_cero!$A:$A)-2,1))))</f>
        <v/>
      </c>
      <c r="H620" s="19" t="str">
        <f t="shared" si="55"/>
        <v/>
      </c>
    </row>
    <row r="621" spans="1:8" x14ac:dyDescent="0.2">
      <c r="A621" s="12" t="str">
        <f t="shared" si="56"/>
        <v/>
      </c>
      <c r="B621" s="21" t="str">
        <f t="shared" si="57"/>
        <v/>
      </c>
      <c r="C621" s="17" t="str">
        <f t="shared" si="54"/>
        <v/>
      </c>
      <c r="D621" s="18" t="str">
        <f t="shared" si="58"/>
        <v/>
      </c>
      <c r="E621" t="str">
        <f t="shared" si="59"/>
        <v/>
      </c>
      <c r="F621" s="23" t="str">
        <f ca="1">IF(A621="","",IF($B$8="Sí",interpolar_alamb(E621,OFFSET(Curvas_cupon_cero!$A$1,1,0,COUNT(Curvas_cupon_cero!$A:$A)-2,1),OFFSET(Curvas_cupon_cero!$A$1,1,MATCH($B$6,Curvas_cupon_cero!$1:$1,0)-1,COUNT(Curvas_cupon_cero!$A:$A)-2,1)),interpolar(E621,OFFSET(Curvas_cupon_cero!$A$1,1,0,COUNT(Curvas_cupon_cero!$A:$A)-2,1),OFFSET(Curvas_cupon_cero!$A$1,1,MATCH($B$6,Curvas_cupon_cero!$1:$1,0)-1,COUNT(Curvas_cupon_cero!$A:$A)-2,1))))</f>
        <v/>
      </c>
      <c r="G621" s="23" t="str">
        <f ca="1">IF(A621="","",IF($B$8="Sí",interpolar_alamb(E621,OFFSET(Curvas_cupon_cero!$A$1,1,0,COUNT(Curvas_cupon_cero!$A:$A)-2,1),OFFSET(Curvas_cupon_cero!$A$1,1,MATCH($B$7,Curvas_cupon_cero!$1:$1,0)-1,COUNT(Curvas_cupon_cero!$A:$A)-2,1)),interpolar(E621,OFFSET(Curvas_cupon_cero!$A$1,1,0,COUNT(Curvas_cupon_cero!$A:$A)-2,1),OFFSET(Curvas_cupon_cero!$A$1,1,MATCH($B$7,Curvas_cupon_cero!$1:$1,0)-1,COUNT(Curvas_cupon_cero!$A:$A)-2,1))))</f>
        <v/>
      </c>
      <c r="H621" s="19" t="str">
        <f t="shared" si="55"/>
        <v/>
      </c>
    </row>
    <row r="622" spans="1:8" x14ac:dyDescent="0.2">
      <c r="A622" s="12" t="str">
        <f t="shared" si="56"/>
        <v/>
      </c>
      <c r="B622" s="21" t="str">
        <f t="shared" si="57"/>
        <v/>
      </c>
      <c r="C622" s="17" t="str">
        <f t="shared" si="54"/>
        <v/>
      </c>
      <c r="D622" s="18" t="str">
        <f t="shared" si="58"/>
        <v/>
      </c>
      <c r="E622" t="str">
        <f t="shared" si="59"/>
        <v/>
      </c>
      <c r="F622" s="23" t="str">
        <f ca="1">IF(A622="","",IF($B$8="Sí",interpolar_alamb(E622,OFFSET(Curvas_cupon_cero!$A$1,1,0,COUNT(Curvas_cupon_cero!$A:$A)-2,1),OFFSET(Curvas_cupon_cero!$A$1,1,MATCH($B$6,Curvas_cupon_cero!$1:$1,0)-1,COUNT(Curvas_cupon_cero!$A:$A)-2,1)),interpolar(E622,OFFSET(Curvas_cupon_cero!$A$1,1,0,COUNT(Curvas_cupon_cero!$A:$A)-2,1),OFFSET(Curvas_cupon_cero!$A$1,1,MATCH($B$6,Curvas_cupon_cero!$1:$1,0)-1,COUNT(Curvas_cupon_cero!$A:$A)-2,1))))</f>
        <v/>
      </c>
      <c r="G622" s="23" t="str">
        <f ca="1">IF(A622="","",IF($B$8="Sí",interpolar_alamb(E622,OFFSET(Curvas_cupon_cero!$A$1,1,0,COUNT(Curvas_cupon_cero!$A:$A)-2,1),OFFSET(Curvas_cupon_cero!$A$1,1,MATCH($B$7,Curvas_cupon_cero!$1:$1,0)-1,COUNT(Curvas_cupon_cero!$A:$A)-2,1)),interpolar(E622,OFFSET(Curvas_cupon_cero!$A$1,1,0,COUNT(Curvas_cupon_cero!$A:$A)-2,1),OFFSET(Curvas_cupon_cero!$A$1,1,MATCH($B$7,Curvas_cupon_cero!$1:$1,0)-1,COUNT(Curvas_cupon_cero!$A:$A)-2,1))))</f>
        <v/>
      </c>
      <c r="H622" s="19" t="str">
        <f t="shared" si="55"/>
        <v/>
      </c>
    </row>
    <row r="623" spans="1:8" x14ac:dyDescent="0.2">
      <c r="A623" s="12" t="str">
        <f t="shared" si="56"/>
        <v/>
      </c>
      <c r="B623" s="21" t="str">
        <f t="shared" si="57"/>
        <v/>
      </c>
      <c r="C623" s="17" t="str">
        <f t="shared" si="54"/>
        <v/>
      </c>
      <c r="D623" s="18" t="str">
        <f t="shared" si="58"/>
        <v/>
      </c>
      <c r="E623" t="str">
        <f t="shared" si="59"/>
        <v/>
      </c>
      <c r="F623" s="23" t="str">
        <f ca="1">IF(A623="","",IF($B$8="Sí",interpolar_alamb(E623,OFFSET(Curvas_cupon_cero!$A$1,1,0,COUNT(Curvas_cupon_cero!$A:$A)-2,1),OFFSET(Curvas_cupon_cero!$A$1,1,MATCH($B$6,Curvas_cupon_cero!$1:$1,0)-1,COUNT(Curvas_cupon_cero!$A:$A)-2,1)),interpolar(E623,OFFSET(Curvas_cupon_cero!$A$1,1,0,COUNT(Curvas_cupon_cero!$A:$A)-2,1),OFFSET(Curvas_cupon_cero!$A$1,1,MATCH($B$6,Curvas_cupon_cero!$1:$1,0)-1,COUNT(Curvas_cupon_cero!$A:$A)-2,1))))</f>
        <v/>
      </c>
      <c r="G623" s="23" t="str">
        <f ca="1">IF(A623="","",IF($B$8="Sí",interpolar_alamb(E623,OFFSET(Curvas_cupon_cero!$A$1,1,0,COUNT(Curvas_cupon_cero!$A:$A)-2,1),OFFSET(Curvas_cupon_cero!$A$1,1,MATCH($B$7,Curvas_cupon_cero!$1:$1,0)-1,COUNT(Curvas_cupon_cero!$A:$A)-2,1)),interpolar(E623,OFFSET(Curvas_cupon_cero!$A$1,1,0,COUNT(Curvas_cupon_cero!$A:$A)-2,1),OFFSET(Curvas_cupon_cero!$A$1,1,MATCH($B$7,Curvas_cupon_cero!$1:$1,0)-1,COUNT(Curvas_cupon_cero!$A:$A)-2,1))))</f>
        <v/>
      </c>
      <c r="H623" s="19" t="str">
        <f t="shared" si="55"/>
        <v/>
      </c>
    </row>
    <row r="624" spans="1:8" x14ac:dyDescent="0.2">
      <c r="A624" s="12" t="str">
        <f t="shared" si="56"/>
        <v/>
      </c>
      <c r="B624" s="21" t="str">
        <f t="shared" si="57"/>
        <v/>
      </c>
      <c r="C624" s="17" t="str">
        <f t="shared" si="54"/>
        <v/>
      </c>
      <c r="D624" s="18" t="str">
        <f t="shared" si="58"/>
        <v/>
      </c>
      <c r="E624" t="str">
        <f t="shared" si="59"/>
        <v/>
      </c>
      <c r="F624" s="23" t="str">
        <f ca="1">IF(A624="","",IF($B$8="Sí",interpolar_alamb(E624,OFFSET(Curvas_cupon_cero!$A$1,1,0,COUNT(Curvas_cupon_cero!$A:$A)-2,1),OFFSET(Curvas_cupon_cero!$A$1,1,MATCH($B$6,Curvas_cupon_cero!$1:$1,0)-1,COUNT(Curvas_cupon_cero!$A:$A)-2,1)),interpolar(E624,OFFSET(Curvas_cupon_cero!$A$1,1,0,COUNT(Curvas_cupon_cero!$A:$A)-2,1),OFFSET(Curvas_cupon_cero!$A$1,1,MATCH($B$6,Curvas_cupon_cero!$1:$1,0)-1,COUNT(Curvas_cupon_cero!$A:$A)-2,1))))</f>
        <v/>
      </c>
      <c r="G624" s="23" t="str">
        <f ca="1">IF(A624="","",IF($B$8="Sí",interpolar_alamb(E624,OFFSET(Curvas_cupon_cero!$A$1,1,0,COUNT(Curvas_cupon_cero!$A:$A)-2,1),OFFSET(Curvas_cupon_cero!$A$1,1,MATCH($B$7,Curvas_cupon_cero!$1:$1,0)-1,COUNT(Curvas_cupon_cero!$A:$A)-2,1)),interpolar(E624,OFFSET(Curvas_cupon_cero!$A$1,1,0,COUNT(Curvas_cupon_cero!$A:$A)-2,1),OFFSET(Curvas_cupon_cero!$A$1,1,MATCH($B$7,Curvas_cupon_cero!$1:$1,0)-1,COUNT(Curvas_cupon_cero!$A:$A)-2,1))))</f>
        <v/>
      </c>
      <c r="H624" s="19" t="str">
        <f t="shared" si="55"/>
        <v/>
      </c>
    </row>
    <row r="625" spans="1:8" x14ac:dyDescent="0.2">
      <c r="A625" s="12" t="str">
        <f t="shared" si="56"/>
        <v/>
      </c>
      <c r="B625" s="21" t="str">
        <f t="shared" si="57"/>
        <v/>
      </c>
      <c r="C625" s="17" t="str">
        <f t="shared" si="54"/>
        <v/>
      </c>
      <c r="D625" s="18" t="str">
        <f t="shared" si="58"/>
        <v/>
      </c>
      <c r="E625" t="str">
        <f t="shared" si="59"/>
        <v/>
      </c>
      <c r="F625" s="23" t="str">
        <f ca="1">IF(A625="","",IF($B$8="Sí",interpolar_alamb(E625,OFFSET(Curvas_cupon_cero!$A$1,1,0,COUNT(Curvas_cupon_cero!$A:$A)-2,1),OFFSET(Curvas_cupon_cero!$A$1,1,MATCH($B$6,Curvas_cupon_cero!$1:$1,0)-1,COUNT(Curvas_cupon_cero!$A:$A)-2,1)),interpolar(E625,OFFSET(Curvas_cupon_cero!$A$1,1,0,COUNT(Curvas_cupon_cero!$A:$A)-2,1),OFFSET(Curvas_cupon_cero!$A$1,1,MATCH($B$6,Curvas_cupon_cero!$1:$1,0)-1,COUNT(Curvas_cupon_cero!$A:$A)-2,1))))</f>
        <v/>
      </c>
      <c r="G625" s="23" t="str">
        <f ca="1">IF(A625="","",IF($B$8="Sí",interpolar_alamb(E625,OFFSET(Curvas_cupon_cero!$A$1,1,0,COUNT(Curvas_cupon_cero!$A:$A)-2,1),OFFSET(Curvas_cupon_cero!$A$1,1,MATCH($B$7,Curvas_cupon_cero!$1:$1,0)-1,COUNT(Curvas_cupon_cero!$A:$A)-2,1)),interpolar(E625,OFFSET(Curvas_cupon_cero!$A$1,1,0,COUNT(Curvas_cupon_cero!$A:$A)-2,1),OFFSET(Curvas_cupon_cero!$A$1,1,MATCH($B$7,Curvas_cupon_cero!$1:$1,0)-1,COUNT(Curvas_cupon_cero!$A:$A)-2,1))))</f>
        <v/>
      </c>
      <c r="H625" s="19" t="str">
        <f t="shared" si="55"/>
        <v/>
      </c>
    </row>
    <row r="626" spans="1:8" x14ac:dyDescent="0.2">
      <c r="A626" s="12" t="str">
        <f t="shared" si="56"/>
        <v/>
      </c>
      <c r="B626" s="21" t="str">
        <f t="shared" si="57"/>
        <v/>
      </c>
      <c r="C626" s="17" t="str">
        <f t="shared" si="54"/>
        <v/>
      </c>
      <c r="D626" s="18" t="str">
        <f t="shared" si="58"/>
        <v/>
      </c>
      <c r="E626" t="str">
        <f t="shared" si="59"/>
        <v/>
      </c>
      <c r="F626" s="23" t="str">
        <f ca="1">IF(A626="","",IF($B$8="Sí",interpolar_alamb(E626,OFFSET(Curvas_cupon_cero!$A$1,1,0,COUNT(Curvas_cupon_cero!$A:$A)-2,1),OFFSET(Curvas_cupon_cero!$A$1,1,MATCH($B$6,Curvas_cupon_cero!$1:$1,0)-1,COUNT(Curvas_cupon_cero!$A:$A)-2,1)),interpolar(E626,OFFSET(Curvas_cupon_cero!$A$1,1,0,COUNT(Curvas_cupon_cero!$A:$A)-2,1),OFFSET(Curvas_cupon_cero!$A$1,1,MATCH($B$6,Curvas_cupon_cero!$1:$1,0)-1,COUNT(Curvas_cupon_cero!$A:$A)-2,1))))</f>
        <v/>
      </c>
      <c r="G626" s="23" t="str">
        <f ca="1">IF(A626="","",IF($B$8="Sí",interpolar_alamb(E626,OFFSET(Curvas_cupon_cero!$A$1,1,0,COUNT(Curvas_cupon_cero!$A:$A)-2,1),OFFSET(Curvas_cupon_cero!$A$1,1,MATCH($B$7,Curvas_cupon_cero!$1:$1,0)-1,COUNT(Curvas_cupon_cero!$A:$A)-2,1)),interpolar(E626,OFFSET(Curvas_cupon_cero!$A$1,1,0,COUNT(Curvas_cupon_cero!$A:$A)-2,1),OFFSET(Curvas_cupon_cero!$A$1,1,MATCH($B$7,Curvas_cupon_cero!$1:$1,0)-1,COUNT(Curvas_cupon_cero!$A:$A)-2,1))))</f>
        <v/>
      </c>
      <c r="H626" s="19" t="str">
        <f t="shared" si="55"/>
        <v/>
      </c>
    </row>
    <row r="627" spans="1:8" x14ac:dyDescent="0.2">
      <c r="A627" s="12" t="str">
        <f t="shared" si="56"/>
        <v/>
      </c>
      <c r="B627" s="21" t="str">
        <f t="shared" si="57"/>
        <v/>
      </c>
      <c r="C627" s="17" t="str">
        <f t="shared" si="54"/>
        <v/>
      </c>
      <c r="D627" s="18" t="str">
        <f t="shared" si="58"/>
        <v/>
      </c>
      <c r="E627" t="str">
        <f t="shared" si="59"/>
        <v/>
      </c>
      <c r="F627" s="23" t="str">
        <f ca="1">IF(A627="","",IF($B$8="Sí",interpolar_alamb(E627,OFFSET(Curvas_cupon_cero!$A$1,1,0,COUNT(Curvas_cupon_cero!$A:$A)-2,1),OFFSET(Curvas_cupon_cero!$A$1,1,MATCH($B$6,Curvas_cupon_cero!$1:$1,0)-1,COUNT(Curvas_cupon_cero!$A:$A)-2,1)),interpolar(E627,OFFSET(Curvas_cupon_cero!$A$1,1,0,COUNT(Curvas_cupon_cero!$A:$A)-2,1),OFFSET(Curvas_cupon_cero!$A$1,1,MATCH($B$6,Curvas_cupon_cero!$1:$1,0)-1,COUNT(Curvas_cupon_cero!$A:$A)-2,1))))</f>
        <v/>
      </c>
      <c r="G627" s="23" t="str">
        <f ca="1">IF(A627="","",IF($B$8="Sí",interpolar_alamb(E627,OFFSET(Curvas_cupon_cero!$A$1,1,0,COUNT(Curvas_cupon_cero!$A:$A)-2,1),OFFSET(Curvas_cupon_cero!$A$1,1,MATCH($B$7,Curvas_cupon_cero!$1:$1,0)-1,COUNT(Curvas_cupon_cero!$A:$A)-2,1)),interpolar(E627,OFFSET(Curvas_cupon_cero!$A$1,1,0,COUNT(Curvas_cupon_cero!$A:$A)-2,1),OFFSET(Curvas_cupon_cero!$A$1,1,MATCH($B$7,Curvas_cupon_cero!$1:$1,0)-1,COUNT(Curvas_cupon_cero!$A:$A)-2,1))))</f>
        <v/>
      </c>
      <c r="H627" s="19" t="str">
        <f t="shared" si="55"/>
        <v/>
      </c>
    </row>
    <row r="628" spans="1:8" x14ac:dyDescent="0.2">
      <c r="A628" s="12" t="str">
        <f t="shared" si="56"/>
        <v/>
      </c>
      <c r="B628" s="21" t="str">
        <f t="shared" si="57"/>
        <v/>
      </c>
      <c r="C628" s="17" t="str">
        <f t="shared" si="54"/>
        <v/>
      </c>
      <c r="D628" s="18" t="str">
        <f t="shared" si="58"/>
        <v/>
      </c>
      <c r="E628" t="str">
        <f t="shared" si="59"/>
        <v/>
      </c>
      <c r="F628" s="23" t="str">
        <f ca="1">IF(A628="","",IF($B$8="Sí",interpolar_alamb(E628,OFFSET(Curvas_cupon_cero!$A$1,1,0,COUNT(Curvas_cupon_cero!$A:$A)-2,1),OFFSET(Curvas_cupon_cero!$A$1,1,MATCH($B$6,Curvas_cupon_cero!$1:$1,0)-1,COUNT(Curvas_cupon_cero!$A:$A)-2,1)),interpolar(E628,OFFSET(Curvas_cupon_cero!$A$1,1,0,COUNT(Curvas_cupon_cero!$A:$A)-2,1),OFFSET(Curvas_cupon_cero!$A$1,1,MATCH($B$6,Curvas_cupon_cero!$1:$1,0)-1,COUNT(Curvas_cupon_cero!$A:$A)-2,1))))</f>
        <v/>
      </c>
      <c r="G628" s="23" t="str">
        <f ca="1">IF(A628="","",IF($B$8="Sí",interpolar_alamb(E628,OFFSET(Curvas_cupon_cero!$A$1,1,0,COUNT(Curvas_cupon_cero!$A:$A)-2,1),OFFSET(Curvas_cupon_cero!$A$1,1,MATCH($B$7,Curvas_cupon_cero!$1:$1,0)-1,COUNT(Curvas_cupon_cero!$A:$A)-2,1)),interpolar(E628,OFFSET(Curvas_cupon_cero!$A$1,1,0,COUNT(Curvas_cupon_cero!$A:$A)-2,1),OFFSET(Curvas_cupon_cero!$A$1,1,MATCH($B$7,Curvas_cupon_cero!$1:$1,0)-1,COUNT(Curvas_cupon_cero!$A:$A)-2,1))))</f>
        <v/>
      </c>
      <c r="H628" s="19" t="str">
        <f t="shared" si="55"/>
        <v/>
      </c>
    </row>
    <row r="629" spans="1:8" x14ac:dyDescent="0.2">
      <c r="A629" s="12" t="str">
        <f t="shared" si="56"/>
        <v/>
      </c>
      <c r="B629" s="21" t="str">
        <f t="shared" si="57"/>
        <v/>
      </c>
      <c r="C629" s="17" t="str">
        <f t="shared" si="54"/>
        <v/>
      </c>
      <c r="D629" s="18" t="str">
        <f t="shared" si="58"/>
        <v/>
      </c>
      <c r="E629" t="str">
        <f t="shared" si="59"/>
        <v/>
      </c>
      <c r="F629" s="23" t="str">
        <f ca="1">IF(A629="","",IF($B$8="Sí",interpolar_alamb(E629,OFFSET(Curvas_cupon_cero!$A$1,1,0,COUNT(Curvas_cupon_cero!$A:$A)-2,1),OFFSET(Curvas_cupon_cero!$A$1,1,MATCH($B$6,Curvas_cupon_cero!$1:$1,0)-1,COUNT(Curvas_cupon_cero!$A:$A)-2,1)),interpolar(E629,OFFSET(Curvas_cupon_cero!$A$1,1,0,COUNT(Curvas_cupon_cero!$A:$A)-2,1),OFFSET(Curvas_cupon_cero!$A$1,1,MATCH($B$6,Curvas_cupon_cero!$1:$1,0)-1,COUNT(Curvas_cupon_cero!$A:$A)-2,1))))</f>
        <v/>
      </c>
      <c r="G629" s="23" t="str">
        <f ca="1">IF(A629="","",IF($B$8="Sí",interpolar_alamb(E629,OFFSET(Curvas_cupon_cero!$A$1,1,0,COUNT(Curvas_cupon_cero!$A:$A)-2,1),OFFSET(Curvas_cupon_cero!$A$1,1,MATCH($B$7,Curvas_cupon_cero!$1:$1,0)-1,COUNT(Curvas_cupon_cero!$A:$A)-2,1)),interpolar(E629,OFFSET(Curvas_cupon_cero!$A$1,1,0,COUNT(Curvas_cupon_cero!$A:$A)-2,1),OFFSET(Curvas_cupon_cero!$A$1,1,MATCH($B$7,Curvas_cupon_cero!$1:$1,0)-1,COUNT(Curvas_cupon_cero!$A:$A)-2,1))))</f>
        <v/>
      </c>
      <c r="H629" s="19" t="str">
        <f t="shared" si="55"/>
        <v/>
      </c>
    </row>
    <row r="630" spans="1:8" x14ac:dyDescent="0.2">
      <c r="A630" s="12" t="str">
        <f t="shared" si="56"/>
        <v/>
      </c>
      <c r="B630" s="21" t="str">
        <f t="shared" si="57"/>
        <v/>
      </c>
      <c r="C630" s="17" t="str">
        <f t="shared" si="54"/>
        <v/>
      </c>
      <c r="D630" s="18" t="str">
        <f t="shared" si="58"/>
        <v/>
      </c>
      <c r="E630" t="str">
        <f t="shared" si="59"/>
        <v/>
      </c>
      <c r="F630" s="23" t="str">
        <f ca="1">IF(A630="","",IF($B$8="Sí",interpolar_alamb(E630,OFFSET(Curvas_cupon_cero!$A$1,1,0,COUNT(Curvas_cupon_cero!$A:$A)-2,1),OFFSET(Curvas_cupon_cero!$A$1,1,MATCH($B$6,Curvas_cupon_cero!$1:$1,0)-1,COUNT(Curvas_cupon_cero!$A:$A)-2,1)),interpolar(E630,OFFSET(Curvas_cupon_cero!$A$1,1,0,COUNT(Curvas_cupon_cero!$A:$A)-2,1),OFFSET(Curvas_cupon_cero!$A$1,1,MATCH($B$6,Curvas_cupon_cero!$1:$1,0)-1,COUNT(Curvas_cupon_cero!$A:$A)-2,1))))</f>
        <v/>
      </c>
      <c r="G630" s="23" t="str">
        <f ca="1">IF(A630="","",IF($B$8="Sí",interpolar_alamb(E630,OFFSET(Curvas_cupon_cero!$A$1,1,0,COUNT(Curvas_cupon_cero!$A:$A)-2,1),OFFSET(Curvas_cupon_cero!$A$1,1,MATCH($B$7,Curvas_cupon_cero!$1:$1,0)-1,COUNT(Curvas_cupon_cero!$A:$A)-2,1)),interpolar(E630,OFFSET(Curvas_cupon_cero!$A$1,1,0,COUNT(Curvas_cupon_cero!$A:$A)-2,1),OFFSET(Curvas_cupon_cero!$A$1,1,MATCH($B$7,Curvas_cupon_cero!$1:$1,0)-1,COUNT(Curvas_cupon_cero!$A:$A)-2,1))))</f>
        <v/>
      </c>
      <c r="H630" s="19" t="str">
        <f t="shared" si="55"/>
        <v/>
      </c>
    </row>
    <row r="631" spans="1:8" x14ac:dyDescent="0.2">
      <c r="A631" s="12" t="str">
        <f t="shared" si="56"/>
        <v/>
      </c>
      <c r="B631" s="21" t="str">
        <f t="shared" si="57"/>
        <v/>
      </c>
      <c r="C631" s="17" t="str">
        <f t="shared" si="54"/>
        <v/>
      </c>
      <c r="D631" s="18" t="str">
        <f t="shared" si="58"/>
        <v/>
      </c>
      <c r="E631" t="str">
        <f t="shared" si="59"/>
        <v/>
      </c>
      <c r="F631" s="23" t="str">
        <f ca="1">IF(A631="","",IF($B$8="Sí",interpolar_alamb(E631,OFFSET(Curvas_cupon_cero!$A$1,1,0,COUNT(Curvas_cupon_cero!$A:$A)-2,1),OFFSET(Curvas_cupon_cero!$A$1,1,MATCH($B$6,Curvas_cupon_cero!$1:$1,0)-1,COUNT(Curvas_cupon_cero!$A:$A)-2,1)),interpolar(E631,OFFSET(Curvas_cupon_cero!$A$1,1,0,COUNT(Curvas_cupon_cero!$A:$A)-2,1),OFFSET(Curvas_cupon_cero!$A$1,1,MATCH($B$6,Curvas_cupon_cero!$1:$1,0)-1,COUNT(Curvas_cupon_cero!$A:$A)-2,1))))</f>
        <v/>
      </c>
      <c r="G631" s="23" t="str">
        <f ca="1">IF(A631="","",IF($B$8="Sí",interpolar_alamb(E631,OFFSET(Curvas_cupon_cero!$A$1,1,0,COUNT(Curvas_cupon_cero!$A:$A)-2,1),OFFSET(Curvas_cupon_cero!$A$1,1,MATCH($B$7,Curvas_cupon_cero!$1:$1,0)-1,COUNT(Curvas_cupon_cero!$A:$A)-2,1)),interpolar(E631,OFFSET(Curvas_cupon_cero!$A$1,1,0,COUNT(Curvas_cupon_cero!$A:$A)-2,1),OFFSET(Curvas_cupon_cero!$A$1,1,MATCH($B$7,Curvas_cupon_cero!$1:$1,0)-1,COUNT(Curvas_cupon_cero!$A:$A)-2,1))))</f>
        <v/>
      </c>
      <c r="H631" s="19" t="str">
        <f t="shared" si="55"/>
        <v/>
      </c>
    </row>
    <row r="632" spans="1:8" x14ac:dyDescent="0.2">
      <c r="A632" s="12" t="str">
        <f t="shared" si="56"/>
        <v/>
      </c>
      <c r="B632" s="21" t="str">
        <f t="shared" si="57"/>
        <v/>
      </c>
      <c r="C632" s="17" t="str">
        <f t="shared" si="54"/>
        <v/>
      </c>
      <c r="D632" s="18" t="str">
        <f t="shared" si="58"/>
        <v/>
      </c>
      <c r="E632" t="str">
        <f t="shared" si="59"/>
        <v/>
      </c>
      <c r="F632" s="23" t="str">
        <f ca="1">IF(A632="","",IF($B$8="Sí",interpolar_alamb(E632,OFFSET(Curvas_cupon_cero!$A$1,1,0,COUNT(Curvas_cupon_cero!$A:$A)-2,1),OFFSET(Curvas_cupon_cero!$A$1,1,MATCH($B$6,Curvas_cupon_cero!$1:$1,0)-1,COUNT(Curvas_cupon_cero!$A:$A)-2,1)),interpolar(E632,OFFSET(Curvas_cupon_cero!$A$1,1,0,COUNT(Curvas_cupon_cero!$A:$A)-2,1),OFFSET(Curvas_cupon_cero!$A$1,1,MATCH($B$6,Curvas_cupon_cero!$1:$1,0)-1,COUNT(Curvas_cupon_cero!$A:$A)-2,1))))</f>
        <v/>
      </c>
      <c r="G632" s="23" t="str">
        <f ca="1">IF(A632="","",IF($B$8="Sí",interpolar_alamb(E632,OFFSET(Curvas_cupon_cero!$A$1,1,0,COUNT(Curvas_cupon_cero!$A:$A)-2,1),OFFSET(Curvas_cupon_cero!$A$1,1,MATCH($B$7,Curvas_cupon_cero!$1:$1,0)-1,COUNT(Curvas_cupon_cero!$A:$A)-2,1)),interpolar(E632,OFFSET(Curvas_cupon_cero!$A$1,1,0,COUNT(Curvas_cupon_cero!$A:$A)-2,1),OFFSET(Curvas_cupon_cero!$A$1,1,MATCH($B$7,Curvas_cupon_cero!$1:$1,0)-1,COUNT(Curvas_cupon_cero!$A:$A)-2,1))))</f>
        <v/>
      </c>
      <c r="H632" s="19" t="str">
        <f t="shared" si="55"/>
        <v/>
      </c>
    </row>
    <row r="633" spans="1:8" x14ac:dyDescent="0.2">
      <c r="A633" s="12" t="str">
        <f t="shared" si="56"/>
        <v/>
      </c>
      <c r="B633" s="21" t="str">
        <f t="shared" si="57"/>
        <v/>
      </c>
      <c r="C633" s="17" t="str">
        <f t="shared" si="54"/>
        <v/>
      </c>
      <c r="D633" s="18" t="str">
        <f t="shared" si="58"/>
        <v/>
      </c>
      <c r="E633" t="str">
        <f t="shared" si="59"/>
        <v/>
      </c>
      <c r="F633" s="23" t="str">
        <f ca="1">IF(A633="","",IF($B$8="Sí",interpolar_alamb(E633,OFFSET(Curvas_cupon_cero!$A$1,1,0,COUNT(Curvas_cupon_cero!$A:$A)-2,1),OFFSET(Curvas_cupon_cero!$A$1,1,MATCH($B$6,Curvas_cupon_cero!$1:$1,0)-1,COUNT(Curvas_cupon_cero!$A:$A)-2,1)),interpolar(E633,OFFSET(Curvas_cupon_cero!$A$1,1,0,COUNT(Curvas_cupon_cero!$A:$A)-2,1),OFFSET(Curvas_cupon_cero!$A$1,1,MATCH($B$6,Curvas_cupon_cero!$1:$1,0)-1,COUNT(Curvas_cupon_cero!$A:$A)-2,1))))</f>
        <v/>
      </c>
      <c r="G633" s="23" t="str">
        <f ca="1">IF(A633="","",IF($B$8="Sí",interpolar_alamb(E633,OFFSET(Curvas_cupon_cero!$A$1,1,0,COUNT(Curvas_cupon_cero!$A:$A)-2,1),OFFSET(Curvas_cupon_cero!$A$1,1,MATCH($B$7,Curvas_cupon_cero!$1:$1,0)-1,COUNT(Curvas_cupon_cero!$A:$A)-2,1)),interpolar(E633,OFFSET(Curvas_cupon_cero!$A$1,1,0,COUNT(Curvas_cupon_cero!$A:$A)-2,1),OFFSET(Curvas_cupon_cero!$A$1,1,MATCH($B$7,Curvas_cupon_cero!$1:$1,0)-1,COUNT(Curvas_cupon_cero!$A:$A)-2,1))))</f>
        <v/>
      </c>
      <c r="H633" s="19" t="str">
        <f t="shared" si="55"/>
        <v/>
      </c>
    </row>
    <row r="634" spans="1:8" x14ac:dyDescent="0.2">
      <c r="A634" s="12" t="str">
        <f t="shared" si="56"/>
        <v/>
      </c>
      <c r="B634" s="21" t="str">
        <f t="shared" si="57"/>
        <v/>
      </c>
      <c r="C634" s="17" t="str">
        <f t="shared" si="54"/>
        <v/>
      </c>
      <c r="D634" s="18" t="str">
        <f t="shared" si="58"/>
        <v/>
      </c>
      <c r="E634" t="str">
        <f t="shared" si="59"/>
        <v/>
      </c>
      <c r="F634" s="23" t="str">
        <f ca="1">IF(A634="","",IF($B$8="Sí",interpolar_alamb(E634,OFFSET(Curvas_cupon_cero!$A$1,1,0,COUNT(Curvas_cupon_cero!$A:$A)-2,1),OFFSET(Curvas_cupon_cero!$A$1,1,MATCH($B$6,Curvas_cupon_cero!$1:$1,0)-1,COUNT(Curvas_cupon_cero!$A:$A)-2,1)),interpolar(E634,OFFSET(Curvas_cupon_cero!$A$1,1,0,COUNT(Curvas_cupon_cero!$A:$A)-2,1),OFFSET(Curvas_cupon_cero!$A$1,1,MATCH($B$6,Curvas_cupon_cero!$1:$1,0)-1,COUNT(Curvas_cupon_cero!$A:$A)-2,1))))</f>
        <v/>
      </c>
      <c r="G634" s="23" t="str">
        <f ca="1">IF(A634="","",IF($B$8="Sí",interpolar_alamb(E634,OFFSET(Curvas_cupon_cero!$A$1,1,0,COUNT(Curvas_cupon_cero!$A:$A)-2,1),OFFSET(Curvas_cupon_cero!$A$1,1,MATCH($B$7,Curvas_cupon_cero!$1:$1,0)-1,COUNT(Curvas_cupon_cero!$A:$A)-2,1)),interpolar(E634,OFFSET(Curvas_cupon_cero!$A$1,1,0,COUNT(Curvas_cupon_cero!$A:$A)-2,1),OFFSET(Curvas_cupon_cero!$A$1,1,MATCH($B$7,Curvas_cupon_cero!$1:$1,0)-1,COUNT(Curvas_cupon_cero!$A:$A)-2,1))))</f>
        <v/>
      </c>
      <c r="H634" s="19" t="str">
        <f t="shared" si="55"/>
        <v/>
      </c>
    </row>
    <row r="635" spans="1:8" x14ac:dyDescent="0.2">
      <c r="A635" s="12" t="str">
        <f t="shared" si="56"/>
        <v/>
      </c>
      <c r="B635" s="21" t="str">
        <f t="shared" si="57"/>
        <v/>
      </c>
      <c r="C635" s="17" t="str">
        <f t="shared" si="54"/>
        <v/>
      </c>
      <c r="D635" s="18" t="str">
        <f t="shared" si="58"/>
        <v/>
      </c>
      <c r="E635" t="str">
        <f t="shared" si="59"/>
        <v/>
      </c>
      <c r="F635" s="23" t="str">
        <f ca="1">IF(A635="","",IF($B$8="Sí",interpolar_alamb(E635,OFFSET(Curvas_cupon_cero!$A$1,1,0,COUNT(Curvas_cupon_cero!$A:$A)-2,1),OFFSET(Curvas_cupon_cero!$A$1,1,MATCH($B$6,Curvas_cupon_cero!$1:$1,0)-1,COUNT(Curvas_cupon_cero!$A:$A)-2,1)),interpolar(E635,OFFSET(Curvas_cupon_cero!$A$1,1,0,COUNT(Curvas_cupon_cero!$A:$A)-2,1),OFFSET(Curvas_cupon_cero!$A$1,1,MATCH($B$6,Curvas_cupon_cero!$1:$1,0)-1,COUNT(Curvas_cupon_cero!$A:$A)-2,1))))</f>
        <v/>
      </c>
      <c r="G635" s="23" t="str">
        <f ca="1">IF(A635="","",IF($B$8="Sí",interpolar_alamb(E635,OFFSET(Curvas_cupon_cero!$A$1,1,0,COUNT(Curvas_cupon_cero!$A:$A)-2,1),OFFSET(Curvas_cupon_cero!$A$1,1,MATCH($B$7,Curvas_cupon_cero!$1:$1,0)-1,COUNT(Curvas_cupon_cero!$A:$A)-2,1)),interpolar(E635,OFFSET(Curvas_cupon_cero!$A$1,1,0,COUNT(Curvas_cupon_cero!$A:$A)-2,1),OFFSET(Curvas_cupon_cero!$A$1,1,MATCH($B$7,Curvas_cupon_cero!$1:$1,0)-1,COUNT(Curvas_cupon_cero!$A:$A)-2,1))))</f>
        <v/>
      </c>
      <c r="H635" s="19" t="str">
        <f t="shared" si="55"/>
        <v/>
      </c>
    </row>
    <row r="636" spans="1:8" x14ac:dyDescent="0.2">
      <c r="A636" s="12" t="str">
        <f t="shared" si="56"/>
        <v/>
      </c>
      <c r="B636" s="21" t="str">
        <f t="shared" si="57"/>
        <v/>
      </c>
      <c r="C636" s="17" t="str">
        <f t="shared" si="54"/>
        <v/>
      </c>
      <c r="D636" s="18" t="str">
        <f t="shared" si="58"/>
        <v/>
      </c>
      <c r="E636" t="str">
        <f t="shared" si="59"/>
        <v/>
      </c>
      <c r="F636" s="23" t="str">
        <f ca="1">IF(A636="","",IF($B$8="Sí",interpolar_alamb(E636,OFFSET(Curvas_cupon_cero!$A$1,1,0,COUNT(Curvas_cupon_cero!$A:$A)-2,1),OFFSET(Curvas_cupon_cero!$A$1,1,MATCH($B$6,Curvas_cupon_cero!$1:$1,0)-1,COUNT(Curvas_cupon_cero!$A:$A)-2,1)),interpolar(E636,OFFSET(Curvas_cupon_cero!$A$1,1,0,COUNT(Curvas_cupon_cero!$A:$A)-2,1),OFFSET(Curvas_cupon_cero!$A$1,1,MATCH($B$6,Curvas_cupon_cero!$1:$1,0)-1,COUNT(Curvas_cupon_cero!$A:$A)-2,1))))</f>
        <v/>
      </c>
      <c r="G636" s="23" t="str">
        <f ca="1">IF(A636="","",IF($B$8="Sí",interpolar_alamb(E636,OFFSET(Curvas_cupon_cero!$A$1,1,0,COUNT(Curvas_cupon_cero!$A:$A)-2,1),OFFSET(Curvas_cupon_cero!$A$1,1,MATCH($B$7,Curvas_cupon_cero!$1:$1,0)-1,COUNT(Curvas_cupon_cero!$A:$A)-2,1)),interpolar(E636,OFFSET(Curvas_cupon_cero!$A$1,1,0,COUNT(Curvas_cupon_cero!$A:$A)-2,1),OFFSET(Curvas_cupon_cero!$A$1,1,MATCH($B$7,Curvas_cupon_cero!$1:$1,0)-1,COUNT(Curvas_cupon_cero!$A:$A)-2,1))))</f>
        <v/>
      </c>
      <c r="H636" s="19" t="str">
        <f t="shared" si="55"/>
        <v/>
      </c>
    </row>
    <row r="637" spans="1:8" x14ac:dyDescent="0.2">
      <c r="A637" s="12" t="str">
        <f t="shared" si="56"/>
        <v/>
      </c>
      <c r="B637" s="21" t="str">
        <f t="shared" si="57"/>
        <v/>
      </c>
      <c r="C637" s="17" t="str">
        <f t="shared" si="54"/>
        <v/>
      </c>
      <c r="D637" s="18" t="str">
        <f t="shared" si="58"/>
        <v/>
      </c>
      <c r="E637" t="str">
        <f t="shared" si="59"/>
        <v/>
      </c>
      <c r="F637" s="23" t="str">
        <f ca="1">IF(A637="","",IF($B$8="Sí",interpolar_alamb(E637,OFFSET(Curvas_cupon_cero!$A$1,1,0,COUNT(Curvas_cupon_cero!$A:$A)-2,1),OFFSET(Curvas_cupon_cero!$A$1,1,MATCH($B$6,Curvas_cupon_cero!$1:$1,0)-1,COUNT(Curvas_cupon_cero!$A:$A)-2,1)),interpolar(E637,OFFSET(Curvas_cupon_cero!$A$1,1,0,COUNT(Curvas_cupon_cero!$A:$A)-2,1),OFFSET(Curvas_cupon_cero!$A$1,1,MATCH($B$6,Curvas_cupon_cero!$1:$1,0)-1,COUNT(Curvas_cupon_cero!$A:$A)-2,1))))</f>
        <v/>
      </c>
      <c r="G637" s="23" t="str">
        <f ca="1">IF(A637="","",IF($B$8="Sí",interpolar_alamb(E637,OFFSET(Curvas_cupon_cero!$A$1,1,0,COUNT(Curvas_cupon_cero!$A:$A)-2,1),OFFSET(Curvas_cupon_cero!$A$1,1,MATCH($B$7,Curvas_cupon_cero!$1:$1,0)-1,COUNT(Curvas_cupon_cero!$A:$A)-2,1)),interpolar(E637,OFFSET(Curvas_cupon_cero!$A$1,1,0,COUNT(Curvas_cupon_cero!$A:$A)-2,1),OFFSET(Curvas_cupon_cero!$A$1,1,MATCH($B$7,Curvas_cupon_cero!$1:$1,0)-1,COUNT(Curvas_cupon_cero!$A:$A)-2,1))))</f>
        <v/>
      </c>
      <c r="H637" s="19" t="str">
        <f t="shared" si="55"/>
        <v/>
      </c>
    </row>
    <row r="638" spans="1:8" x14ac:dyDescent="0.2">
      <c r="A638" s="12" t="str">
        <f t="shared" si="56"/>
        <v/>
      </c>
      <c r="B638" s="21" t="str">
        <f t="shared" si="57"/>
        <v/>
      </c>
      <c r="C638" s="17" t="str">
        <f t="shared" si="54"/>
        <v/>
      </c>
      <c r="D638" s="18" t="str">
        <f t="shared" si="58"/>
        <v/>
      </c>
      <c r="E638" t="str">
        <f t="shared" si="59"/>
        <v/>
      </c>
      <c r="F638" s="23" t="str">
        <f ca="1">IF(A638="","",IF($B$8="Sí",interpolar_alamb(E638,OFFSET(Curvas_cupon_cero!$A$1,1,0,COUNT(Curvas_cupon_cero!$A:$A)-2,1),OFFSET(Curvas_cupon_cero!$A$1,1,MATCH($B$6,Curvas_cupon_cero!$1:$1,0)-1,COUNT(Curvas_cupon_cero!$A:$A)-2,1)),interpolar(E638,OFFSET(Curvas_cupon_cero!$A$1,1,0,COUNT(Curvas_cupon_cero!$A:$A)-2,1),OFFSET(Curvas_cupon_cero!$A$1,1,MATCH($B$6,Curvas_cupon_cero!$1:$1,0)-1,COUNT(Curvas_cupon_cero!$A:$A)-2,1))))</f>
        <v/>
      </c>
      <c r="G638" s="23" t="str">
        <f ca="1">IF(A638="","",IF($B$8="Sí",interpolar_alamb(E638,OFFSET(Curvas_cupon_cero!$A$1,1,0,COUNT(Curvas_cupon_cero!$A:$A)-2,1),OFFSET(Curvas_cupon_cero!$A$1,1,MATCH($B$7,Curvas_cupon_cero!$1:$1,0)-1,COUNT(Curvas_cupon_cero!$A:$A)-2,1)),interpolar(E638,OFFSET(Curvas_cupon_cero!$A$1,1,0,COUNT(Curvas_cupon_cero!$A:$A)-2,1),OFFSET(Curvas_cupon_cero!$A$1,1,MATCH($B$7,Curvas_cupon_cero!$1:$1,0)-1,COUNT(Curvas_cupon_cero!$A:$A)-2,1))))</f>
        <v/>
      </c>
      <c r="H638" s="19" t="str">
        <f t="shared" si="55"/>
        <v/>
      </c>
    </row>
    <row r="639" spans="1:8" x14ac:dyDescent="0.2">
      <c r="A639" s="12" t="str">
        <f t="shared" si="56"/>
        <v/>
      </c>
      <c r="B639" s="21" t="str">
        <f t="shared" si="57"/>
        <v/>
      </c>
      <c r="C639" s="17" t="str">
        <f t="shared" si="54"/>
        <v/>
      </c>
      <c r="D639" s="18" t="str">
        <f t="shared" si="58"/>
        <v/>
      </c>
      <c r="E639" t="str">
        <f t="shared" si="59"/>
        <v/>
      </c>
      <c r="F639" s="23" t="str">
        <f ca="1">IF(A639="","",IF($B$8="Sí",interpolar_alamb(E639,OFFSET(Curvas_cupon_cero!$A$1,1,0,COUNT(Curvas_cupon_cero!$A:$A)-2,1),OFFSET(Curvas_cupon_cero!$A$1,1,MATCH($B$6,Curvas_cupon_cero!$1:$1,0)-1,COUNT(Curvas_cupon_cero!$A:$A)-2,1)),interpolar(E639,OFFSET(Curvas_cupon_cero!$A$1,1,0,COUNT(Curvas_cupon_cero!$A:$A)-2,1),OFFSET(Curvas_cupon_cero!$A$1,1,MATCH($B$6,Curvas_cupon_cero!$1:$1,0)-1,COUNT(Curvas_cupon_cero!$A:$A)-2,1))))</f>
        <v/>
      </c>
      <c r="G639" s="23" t="str">
        <f ca="1">IF(A639="","",IF($B$8="Sí",interpolar_alamb(E639,OFFSET(Curvas_cupon_cero!$A$1,1,0,COUNT(Curvas_cupon_cero!$A:$A)-2,1),OFFSET(Curvas_cupon_cero!$A$1,1,MATCH($B$7,Curvas_cupon_cero!$1:$1,0)-1,COUNT(Curvas_cupon_cero!$A:$A)-2,1)),interpolar(E639,OFFSET(Curvas_cupon_cero!$A$1,1,0,COUNT(Curvas_cupon_cero!$A:$A)-2,1),OFFSET(Curvas_cupon_cero!$A$1,1,MATCH($B$7,Curvas_cupon_cero!$1:$1,0)-1,COUNT(Curvas_cupon_cero!$A:$A)-2,1))))</f>
        <v/>
      </c>
      <c r="H639" s="19" t="str">
        <f t="shared" si="55"/>
        <v/>
      </c>
    </row>
    <row r="640" spans="1:8" x14ac:dyDescent="0.2">
      <c r="A640" s="12" t="str">
        <f t="shared" si="56"/>
        <v/>
      </c>
      <c r="B640" s="21" t="str">
        <f t="shared" si="57"/>
        <v/>
      </c>
      <c r="C640" s="17" t="str">
        <f t="shared" si="54"/>
        <v/>
      </c>
      <c r="D640" s="18" t="str">
        <f t="shared" si="58"/>
        <v/>
      </c>
      <c r="E640" t="str">
        <f t="shared" si="59"/>
        <v/>
      </c>
      <c r="F640" s="23" t="str">
        <f ca="1">IF(A640="","",IF($B$8="Sí",interpolar_alamb(E640,OFFSET(Curvas_cupon_cero!$A$1,1,0,COUNT(Curvas_cupon_cero!$A:$A)-2,1),OFFSET(Curvas_cupon_cero!$A$1,1,MATCH($B$6,Curvas_cupon_cero!$1:$1,0)-1,COUNT(Curvas_cupon_cero!$A:$A)-2,1)),interpolar(E640,OFFSET(Curvas_cupon_cero!$A$1,1,0,COUNT(Curvas_cupon_cero!$A:$A)-2,1),OFFSET(Curvas_cupon_cero!$A$1,1,MATCH($B$6,Curvas_cupon_cero!$1:$1,0)-1,COUNT(Curvas_cupon_cero!$A:$A)-2,1))))</f>
        <v/>
      </c>
      <c r="G640" s="23" t="str">
        <f ca="1">IF(A640="","",IF($B$8="Sí",interpolar_alamb(E640,OFFSET(Curvas_cupon_cero!$A$1,1,0,COUNT(Curvas_cupon_cero!$A:$A)-2,1),OFFSET(Curvas_cupon_cero!$A$1,1,MATCH($B$7,Curvas_cupon_cero!$1:$1,0)-1,COUNT(Curvas_cupon_cero!$A:$A)-2,1)),interpolar(E640,OFFSET(Curvas_cupon_cero!$A$1,1,0,COUNT(Curvas_cupon_cero!$A:$A)-2,1),OFFSET(Curvas_cupon_cero!$A$1,1,MATCH($B$7,Curvas_cupon_cero!$1:$1,0)-1,COUNT(Curvas_cupon_cero!$A:$A)-2,1))))</f>
        <v/>
      </c>
      <c r="H640" s="19" t="str">
        <f t="shared" si="55"/>
        <v/>
      </c>
    </row>
    <row r="641" spans="1:8" x14ac:dyDescent="0.2">
      <c r="A641" s="12" t="str">
        <f t="shared" si="56"/>
        <v/>
      </c>
      <c r="B641" s="21" t="str">
        <f t="shared" si="57"/>
        <v/>
      </c>
      <c r="C641" s="17" t="str">
        <f t="shared" si="54"/>
        <v/>
      </c>
      <c r="D641" s="18" t="str">
        <f t="shared" si="58"/>
        <v/>
      </c>
      <c r="E641" t="str">
        <f t="shared" si="59"/>
        <v/>
      </c>
      <c r="F641" s="23" t="str">
        <f ca="1">IF(A641="","",IF($B$8="Sí",interpolar_alamb(E641,OFFSET(Curvas_cupon_cero!$A$1,1,0,COUNT(Curvas_cupon_cero!$A:$A)-2,1),OFFSET(Curvas_cupon_cero!$A$1,1,MATCH($B$6,Curvas_cupon_cero!$1:$1,0)-1,COUNT(Curvas_cupon_cero!$A:$A)-2,1)),interpolar(E641,OFFSET(Curvas_cupon_cero!$A$1,1,0,COUNT(Curvas_cupon_cero!$A:$A)-2,1),OFFSET(Curvas_cupon_cero!$A$1,1,MATCH($B$6,Curvas_cupon_cero!$1:$1,0)-1,COUNT(Curvas_cupon_cero!$A:$A)-2,1))))</f>
        <v/>
      </c>
      <c r="G641" s="23" t="str">
        <f ca="1">IF(A641="","",IF($B$8="Sí",interpolar_alamb(E641,OFFSET(Curvas_cupon_cero!$A$1,1,0,COUNT(Curvas_cupon_cero!$A:$A)-2,1),OFFSET(Curvas_cupon_cero!$A$1,1,MATCH($B$7,Curvas_cupon_cero!$1:$1,0)-1,COUNT(Curvas_cupon_cero!$A:$A)-2,1)),interpolar(E641,OFFSET(Curvas_cupon_cero!$A$1,1,0,COUNT(Curvas_cupon_cero!$A:$A)-2,1),OFFSET(Curvas_cupon_cero!$A$1,1,MATCH($B$7,Curvas_cupon_cero!$1:$1,0)-1,COUNT(Curvas_cupon_cero!$A:$A)-2,1))))</f>
        <v/>
      </c>
      <c r="H641" s="19" t="str">
        <f t="shared" si="55"/>
        <v/>
      </c>
    </row>
    <row r="642" spans="1:8" x14ac:dyDescent="0.2">
      <c r="A642" s="12" t="str">
        <f t="shared" si="56"/>
        <v/>
      </c>
      <c r="B642" s="21" t="str">
        <f t="shared" si="57"/>
        <v/>
      </c>
      <c r="C642" s="17" t="str">
        <f t="shared" si="54"/>
        <v/>
      </c>
      <c r="D642" s="18" t="str">
        <f t="shared" si="58"/>
        <v/>
      </c>
      <c r="E642" t="str">
        <f t="shared" si="59"/>
        <v/>
      </c>
      <c r="F642" s="23" t="str">
        <f ca="1">IF(A642="","",IF($B$8="Sí",interpolar_alamb(E642,OFFSET(Curvas_cupon_cero!$A$1,1,0,COUNT(Curvas_cupon_cero!$A:$A)-2,1),OFFSET(Curvas_cupon_cero!$A$1,1,MATCH($B$6,Curvas_cupon_cero!$1:$1,0)-1,COUNT(Curvas_cupon_cero!$A:$A)-2,1)),interpolar(E642,OFFSET(Curvas_cupon_cero!$A$1,1,0,COUNT(Curvas_cupon_cero!$A:$A)-2,1),OFFSET(Curvas_cupon_cero!$A$1,1,MATCH($B$6,Curvas_cupon_cero!$1:$1,0)-1,COUNT(Curvas_cupon_cero!$A:$A)-2,1))))</f>
        <v/>
      </c>
      <c r="G642" s="23" t="str">
        <f ca="1">IF(A642="","",IF($B$8="Sí",interpolar_alamb(E642,OFFSET(Curvas_cupon_cero!$A$1,1,0,COUNT(Curvas_cupon_cero!$A:$A)-2,1),OFFSET(Curvas_cupon_cero!$A$1,1,MATCH($B$7,Curvas_cupon_cero!$1:$1,0)-1,COUNT(Curvas_cupon_cero!$A:$A)-2,1)),interpolar(E642,OFFSET(Curvas_cupon_cero!$A$1,1,0,COUNT(Curvas_cupon_cero!$A:$A)-2,1),OFFSET(Curvas_cupon_cero!$A$1,1,MATCH($B$7,Curvas_cupon_cero!$1:$1,0)-1,COUNT(Curvas_cupon_cero!$A:$A)-2,1))))</f>
        <v/>
      </c>
      <c r="H642" s="19" t="str">
        <f t="shared" si="55"/>
        <v/>
      </c>
    </row>
    <row r="643" spans="1:8" x14ac:dyDescent="0.2">
      <c r="A643" s="12" t="str">
        <f t="shared" si="56"/>
        <v/>
      </c>
      <c r="B643" s="21" t="str">
        <f t="shared" si="57"/>
        <v/>
      </c>
      <c r="C643" s="17" t="str">
        <f t="shared" si="54"/>
        <v/>
      </c>
      <c r="D643" s="18" t="str">
        <f t="shared" si="58"/>
        <v/>
      </c>
      <c r="E643" t="str">
        <f t="shared" si="59"/>
        <v/>
      </c>
      <c r="F643" s="23" t="str">
        <f ca="1">IF(A643="","",IF($B$8="Sí",interpolar_alamb(E643,OFFSET(Curvas_cupon_cero!$A$1,1,0,COUNT(Curvas_cupon_cero!$A:$A)-2,1),OFFSET(Curvas_cupon_cero!$A$1,1,MATCH($B$6,Curvas_cupon_cero!$1:$1,0)-1,COUNT(Curvas_cupon_cero!$A:$A)-2,1)),interpolar(E643,OFFSET(Curvas_cupon_cero!$A$1,1,0,COUNT(Curvas_cupon_cero!$A:$A)-2,1),OFFSET(Curvas_cupon_cero!$A$1,1,MATCH($B$6,Curvas_cupon_cero!$1:$1,0)-1,COUNT(Curvas_cupon_cero!$A:$A)-2,1))))</f>
        <v/>
      </c>
      <c r="G643" s="23" t="str">
        <f ca="1">IF(A643="","",IF($B$8="Sí",interpolar_alamb(E643,OFFSET(Curvas_cupon_cero!$A$1,1,0,COUNT(Curvas_cupon_cero!$A:$A)-2,1),OFFSET(Curvas_cupon_cero!$A$1,1,MATCH($B$7,Curvas_cupon_cero!$1:$1,0)-1,COUNT(Curvas_cupon_cero!$A:$A)-2,1)),interpolar(E643,OFFSET(Curvas_cupon_cero!$A$1,1,0,COUNT(Curvas_cupon_cero!$A:$A)-2,1),OFFSET(Curvas_cupon_cero!$A$1,1,MATCH($B$7,Curvas_cupon_cero!$1:$1,0)-1,COUNT(Curvas_cupon_cero!$A:$A)-2,1))))</f>
        <v/>
      </c>
      <c r="H643" s="19" t="str">
        <f t="shared" si="55"/>
        <v/>
      </c>
    </row>
    <row r="644" spans="1:8" x14ac:dyDescent="0.2">
      <c r="A644" s="12" t="str">
        <f t="shared" si="56"/>
        <v/>
      </c>
      <c r="B644" s="21" t="str">
        <f t="shared" si="57"/>
        <v/>
      </c>
      <c r="C644" s="17" t="str">
        <f t="shared" si="54"/>
        <v/>
      </c>
      <c r="D644" s="18" t="str">
        <f t="shared" si="58"/>
        <v/>
      </c>
      <c r="E644" t="str">
        <f t="shared" si="59"/>
        <v/>
      </c>
      <c r="F644" s="23" t="str">
        <f ca="1">IF(A644="","",IF($B$8="Sí",interpolar_alamb(E644,OFFSET(Curvas_cupon_cero!$A$1,1,0,COUNT(Curvas_cupon_cero!$A:$A)-2,1),OFFSET(Curvas_cupon_cero!$A$1,1,MATCH($B$6,Curvas_cupon_cero!$1:$1,0)-1,COUNT(Curvas_cupon_cero!$A:$A)-2,1)),interpolar(E644,OFFSET(Curvas_cupon_cero!$A$1,1,0,COUNT(Curvas_cupon_cero!$A:$A)-2,1),OFFSET(Curvas_cupon_cero!$A$1,1,MATCH($B$6,Curvas_cupon_cero!$1:$1,0)-1,COUNT(Curvas_cupon_cero!$A:$A)-2,1))))</f>
        <v/>
      </c>
      <c r="G644" s="23" t="str">
        <f ca="1">IF(A644="","",IF($B$8="Sí",interpolar_alamb(E644,OFFSET(Curvas_cupon_cero!$A$1,1,0,COUNT(Curvas_cupon_cero!$A:$A)-2,1),OFFSET(Curvas_cupon_cero!$A$1,1,MATCH($B$7,Curvas_cupon_cero!$1:$1,0)-1,COUNT(Curvas_cupon_cero!$A:$A)-2,1)),interpolar(E644,OFFSET(Curvas_cupon_cero!$A$1,1,0,COUNT(Curvas_cupon_cero!$A:$A)-2,1),OFFSET(Curvas_cupon_cero!$A$1,1,MATCH($B$7,Curvas_cupon_cero!$1:$1,0)-1,COUNT(Curvas_cupon_cero!$A:$A)-2,1))))</f>
        <v/>
      </c>
      <c r="H644" s="19" t="str">
        <f t="shared" si="55"/>
        <v/>
      </c>
    </row>
    <row r="645" spans="1:8" x14ac:dyDescent="0.2">
      <c r="A645" s="12" t="str">
        <f t="shared" si="56"/>
        <v/>
      </c>
      <c r="B645" s="21" t="str">
        <f t="shared" si="57"/>
        <v/>
      </c>
      <c r="C645" s="17" t="str">
        <f t="shared" si="54"/>
        <v/>
      </c>
      <c r="D645" s="18" t="str">
        <f t="shared" si="58"/>
        <v/>
      </c>
      <c r="E645" t="str">
        <f t="shared" si="59"/>
        <v/>
      </c>
      <c r="F645" s="23" t="str">
        <f ca="1">IF(A645="","",IF($B$8="Sí",interpolar_alamb(E645,OFFSET(Curvas_cupon_cero!$A$1,1,0,COUNT(Curvas_cupon_cero!$A:$A)-2,1),OFFSET(Curvas_cupon_cero!$A$1,1,MATCH($B$6,Curvas_cupon_cero!$1:$1,0)-1,COUNT(Curvas_cupon_cero!$A:$A)-2,1)),interpolar(E645,OFFSET(Curvas_cupon_cero!$A$1,1,0,COUNT(Curvas_cupon_cero!$A:$A)-2,1),OFFSET(Curvas_cupon_cero!$A$1,1,MATCH($B$6,Curvas_cupon_cero!$1:$1,0)-1,COUNT(Curvas_cupon_cero!$A:$A)-2,1))))</f>
        <v/>
      </c>
      <c r="G645" s="23" t="str">
        <f ca="1">IF(A645="","",IF($B$8="Sí",interpolar_alamb(E645,OFFSET(Curvas_cupon_cero!$A$1,1,0,COUNT(Curvas_cupon_cero!$A:$A)-2,1),OFFSET(Curvas_cupon_cero!$A$1,1,MATCH($B$7,Curvas_cupon_cero!$1:$1,0)-1,COUNT(Curvas_cupon_cero!$A:$A)-2,1)),interpolar(E645,OFFSET(Curvas_cupon_cero!$A$1,1,0,COUNT(Curvas_cupon_cero!$A:$A)-2,1),OFFSET(Curvas_cupon_cero!$A$1,1,MATCH($B$7,Curvas_cupon_cero!$1:$1,0)-1,COUNT(Curvas_cupon_cero!$A:$A)-2,1))))</f>
        <v/>
      </c>
      <c r="H645" s="19" t="str">
        <f t="shared" si="55"/>
        <v/>
      </c>
    </row>
    <row r="646" spans="1:8" x14ac:dyDescent="0.2">
      <c r="A646" s="12" t="str">
        <f t="shared" si="56"/>
        <v/>
      </c>
      <c r="B646" s="21" t="str">
        <f t="shared" si="57"/>
        <v/>
      </c>
      <c r="C646" s="17" t="str">
        <f t="shared" si="54"/>
        <v/>
      </c>
      <c r="D646" s="18" t="str">
        <f t="shared" si="58"/>
        <v/>
      </c>
      <c r="E646" t="str">
        <f t="shared" si="59"/>
        <v/>
      </c>
      <c r="F646" s="23" t="str">
        <f ca="1">IF(A646="","",IF($B$8="Sí",interpolar_alamb(E646,OFFSET(Curvas_cupon_cero!$A$1,1,0,COUNT(Curvas_cupon_cero!$A:$A)-2,1),OFFSET(Curvas_cupon_cero!$A$1,1,MATCH($B$6,Curvas_cupon_cero!$1:$1,0)-1,COUNT(Curvas_cupon_cero!$A:$A)-2,1)),interpolar(E646,OFFSET(Curvas_cupon_cero!$A$1,1,0,COUNT(Curvas_cupon_cero!$A:$A)-2,1),OFFSET(Curvas_cupon_cero!$A$1,1,MATCH($B$6,Curvas_cupon_cero!$1:$1,0)-1,COUNT(Curvas_cupon_cero!$A:$A)-2,1))))</f>
        <v/>
      </c>
      <c r="G646" s="23" t="str">
        <f ca="1">IF(A646="","",IF($B$8="Sí",interpolar_alamb(E646,OFFSET(Curvas_cupon_cero!$A$1,1,0,COUNT(Curvas_cupon_cero!$A:$A)-2,1),OFFSET(Curvas_cupon_cero!$A$1,1,MATCH($B$7,Curvas_cupon_cero!$1:$1,0)-1,COUNT(Curvas_cupon_cero!$A:$A)-2,1)),interpolar(E646,OFFSET(Curvas_cupon_cero!$A$1,1,0,COUNT(Curvas_cupon_cero!$A:$A)-2,1),OFFSET(Curvas_cupon_cero!$A$1,1,MATCH($B$7,Curvas_cupon_cero!$1:$1,0)-1,COUNT(Curvas_cupon_cero!$A:$A)-2,1))))</f>
        <v/>
      </c>
      <c r="H646" s="19" t="str">
        <f t="shared" si="55"/>
        <v/>
      </c>
    </row>
    <row r="647" spans="1:8" x14ac:dyDescent="0.2">
      <c r="A647" s="12" t="str">
        <f t="shared" si="56"/>
        <v/>
      </c>
      <c r="B647" s="21" t="str">
        <f t="shared" si="57"/>
        <v/>
      </c>
      <c r="C647" s="17" t="str">
        <f t="shared" si="54"/>
        <v/>
      </c>
      <c r="D647" s="18" t="str">
        <f t="shared" si="58"/>
        <v/>
      </c>
      <c r="E647" t="str">
        <f t="shared" si="59"/>
        <v/>
      </c>
      <c r="F647" s="23" t="str">
        <f ca="1">IF(A647="","",IF($B$8="Sí",interpolar_alamb(E647,OFFSET(Curvas_cupon_cero!$A$1,1,0,COUNT(Curvas_cupon_cero!$A:$A)-2,1),OFFSET(Curvas_cupon_cero!$A$1,1,MATCH($B$6,Curvas_cupon_cero!$1:$1,0)-1,COUNT(Curvas_cupon_cero!$A:$A)-2,1)),interpolar(E647,OFFSET(Curvas_cupon_cero!$A$1,1,0,COUNT(Curvas_cupon_cero!$A:$A)-2,1),OFFSET(Curvas_cupon_cero!$A$1,1,MATCH($B$6,Curvas_cupon_cero!$1:$1,0)-1,COUNT(Curvas_cupon_cero!$A:$A)-2,1))))</f>
        <v/>
      </c>
      <c r="G647" s="23" t="str">
        <f ca="1">IF(A647="","",IF($B$8="Sí",interpolar_alamb(E647,OFFSET(Curvas_cupon_cero!$A$1,1,0,COUNT(Curvas_cupon_cero!$A:$A)-2,1),OFFSET(Curvas_cupon_cero!$A$1,1,MATCH($B$7,Curvas_cupon_cero!$1:$1,0)-1,COUNT(Curvas_cupon_cero!$A:$A)-2,1)),interpolar(E647,OFFSET(Curvas_cupon_cero!$A$1,1,0,COUNT(Curvas_cupon_cero!$A:$A)-2,1),OFFSET(Curvas_cupon_cero!$A$1,1,MATCH($B$7,Curvas_cupon_cero!$1:$1,0)-1,COUNT(Curvas_cupon_cero!$A:$A)-2,1))))</f>
        <v/>
      </c>
      <c r="H647" s="19" t="str">
        <f t="shared" si="55"/>
        <v/>
      </c>
    </row>
    <row r="648" spans="1:8" x14ac:dyDescent="0.2">
      <c r="A648" s="12" t="str">
        <f t="shared" si="56"/>
        <v/>
      </c>
      <c r="B648" s="21" t="str">
        <f t="shared" si="57"/>
        <v/>
      </c>
      <c r="C648" s="17" t="str">
        <f t="shared" si="54"/>
        <v/>
      </c>
      <c r="D648" s="18" t="str">
        <f t="shared" si="58"/>
        <v/>
      </c>
      <c r="E648" t="str">
        <f t="shared" si="59"/>
        <v/>
      </c>
      <c r="F648" s="23" t="str">
        <f ca="1">IF(A648="","",IF($B$8="Sí",interpolar_alamb(E648,OFFSET(Curvas_cupon_cero!$A$1,1,0,COUNT(Curvas_cupon_cero!$A:$A)-2,1),OFFSET(Curvas_cupon_cero!$A$1,1,MATCH($B$6,Curvas_cupon_cero!$1:$1,0)-1,COUNT(Curvas_cupon_cero!$A:$A)-2,1)),interpolar(E648,OFFSET(Curvas_cupon_cero!$A$1,1,0,COUNT(Curvas_cupon_cero!$A:$A)-2,1),OFFSET(Curvas_cupon_cero!$A$1,1,MATCH($B$6,Curvas_cupon_cero!$1:$1,0)-1,COUNT(Curvas_cupon_cero!$A:$A)-2,1))))</f>
        <v/>
      </c>
      <c r="G648" s="23" t="str">
        <f ca="1">IF(A648="","",IF($B$8="Sí",interpolar_alamb(E648,OFFSET(Curvas_cupon_cero!$A$1,1,0,COUNT(Curvas_cupon_cero!$A:$A)-2,1),OFFSET(Curvas_cupon_cero!$A$1,1,MATCH($B$7,Curvas_cupon_cero!$1:$1,0)-1,COUNT(Curvas_cupon_cero!$A:$A)-2,1)),interpolar(E648,OFFSET(Curvas_cupon_cero!$A$1,1,0,COUNT(Curvas_cupon_cero!$A:$A)-2,1),OFFSET(Curvas_cupon_cero!$A$1,1,MATCH($B$7,Curvas_cupon_cero!$1:$1,0)-1,COUNT(Curvas_cupon_cero!$A:$A)-2,1))))</f>
        <v/>
      </c>
      <c r="H648" s="19" t="str">
        <f t="shared" si="55"/>
        <v/>
      </c>
    </row>
    <row r="649" spans="1:8" x14ac:dyDescent="0.2">
      <c r="A649" s="12" t="str">
        <f t="shared" si="56"/>
        <v/>
      </c>
      <c r="B649" s="21" t="str">
        <f t="shared" si="57"/>
        <v/>
      </c>
      <c r="C649" s="17" t="str">
        <f t="shared" si="54"/>
        <v/>
      </c>
      <c r="D649" s="18" t="str">
        <f t="shared" si="58"/>
        <v/>
      </c>
      <c r="E649" t="str">
        <f t="shared" si="59"/>
        <v/>
      </c>
      <c r="F649" s="23" t="str">
        <f ca="1">IF(A649="","",IF($B$8="Sí",interpolar_alamb(E649,OFFSET(Curvas_cupon_cero!$A$1,1,0,COUNT(Curvas_cupon_cero!$A:$A)-2,1),OFFSET(Curvas_cupon_cero!$A$1,1,MATCH($B$6,Curvas_cupon_cero!$1:$1,0)-1,COUNT(Curvas_cupon_cero!$A:$A)-2,1)),interpolar(E649,OFFSET(Curvas_cupon_cero!$A$1,1,0,COUNT(Curvas_cupon_cero!$A:$A)-2,1),OFFSET(Curvas_cupon_cero!$A$1,1,MATCH($B$6,Curvas_cupon_cero!$1:$1,0)-1,COUNT(Curvas_cupon_cero!$A:$A)-2,1))))</f>
        <v/>
      </c>
      <c r="G649" s="23" t="str">
        <f ca="1">IF(A649="","",IF($B$8="Sí",interpolar_alamb(E649,OFFSET(Curvas_cupon_cero!$A$1,1,0,COUNT(Curvas_cupon_cero!$A:$A)-2,1),OFFSET(Curvas_cupon_cero!$A$1,1,MATCH($B$7,Curvas_cupon_cero!$1:$1,0)-1,COUNT(Curvas_cupon_cero!$A:$A)-2,1)),interpolar(E649,OFFSET(Curvas_cupon_cero!$A$1,1,0,COUNT(Curvas_cupon_cero!$A:$A)-2,1),OFFSET(Curvas_cupon_cero!$A$1,1,MATCH($B$7,Curvas_cupon_cero!$1:$1,0)-1,COUNT(Curvas_cupon_cero!$A:$A)-2,1))))</f>
        <v/>
      </c>
      <c r="H649" s="19" t="str">
        <f t="shared" si="55"/>
        <v/>
      </c>
    </row>
    <row r="650" spans="1:8" x14ac:dyDescent="0.2">
      <c r="A650" s="12" t="str">
        <f t="shared" si="56"/>
        <v/>
      </c>
      <c r="B650" s="21" t="str">
        <f t="shared" si="57"/>
        <v/>
      </c>
      <c r="C650" s="17" t="str">
        <f t="shared" si="54"/>
        <v/>
      </c>
      <c r="D650" s="18" t="str">
        <f t="shared" si="58"/>
        <v/>
      </c>
      <c r="E650" t="str">
        <f t="shared" si="59"/>
        <v/>
      </c>
      <c r="F650" s="23" t="str">
        <f ca="1">IF(A650="","",IF($B$8="Sí",interpolar_alamb(E650,OFFSET(Curvas_cupon_cero!$A$1,1,0,COUNT(Curvas_cupon_cero!$A:$A)-2,1),OFFSET(Curvas_cupon_cero!$A$1,1,MATCH($B$6,Curvas_cupon_cero!$1:$1,0)-1,COUNT(Curvas_cupon_cero!$A:$A)-2,1)),interpolar(E650,OFFSET(Curvas_cupon_cero!$A$1,1,0,COUNT(Curvas_cupon_cero!$A:$A)-2,1),OFFSET(Curvas_cupon_cero!$A$1,1,MATCH($B$6,Curvas_cupon_cero!$1:$1,0)-1,COUNT(Curvas_cupon_cero!$A:$A)-2,1))))</f>
        <v/>
      </c>
      <c r="G650" s="23" t="str">
        <f ca="1">IF(A650="","",IF($B$8="Sí",interpolar_alamb(E650,OFFSET(Curvas_cupon_cero!$A$1,1,0,COUNT(Curvas_cupon_cero!$A:$A)-2,1),OFFSET(Curvas_cupon_cero!$A$1,1,MATCH($B$7,Curvas_cupon_cero!$1:$1,0)-1,COUNT(Curvas_cupon_cero!$A:$A)-2,1)),interpolar(E650,OFFSET(Curvas_cupon_cero!$A$1,1,0,COUNT(Curvas_cupon_cero!$A:$A)-2,1),OFFSET(Curvas_cupon_cero!$A$1,1,MATCH($B$7,Curvas_cupon_cero!$1:$1,0)-1,COUNT(Curvas_cupon_cero!$A:$A)-2,1))))</f>
        <v/>
      </c>
      <c r="H650" s="19" t="str">
        <f t="shared" si="55"/>
        <v/>
      </c>
    </row>
    <row r="651" spans="1:8" x14ac:dyDescent="0.2">
      <c r="A651" s="12" t="str">
        <f t="shared" si="56"/>
        <v/>
      </c>
      <c r="B651" s="21" t="str">
        <f t="shared" si="57"/>
        <v/>
      </c>
      <c r="C651" s="17" t="str">
        <f t="shared" si="54"/>
        <v/>
      </c>
      <c r="D651" s="18" t="str">
        <f t="shared" si="58"/>
        <v/>
      </c>
      <c r="E651" t="str">
        <f t="shared" si="59"/>
        <v/>
      </c>
      <c r="F651" s="23" t="str">
        <f ca="1">IF(A651="","",IF($B$8="Sí",interpolar_alamb(E651,OFFSET(Curvas_cupon_cero!$A$1,1,0,COUNT(Curvas_cupon_cero!$A:$A)-2,1),OFFSET(Curvas_cupon_cero!$A$1,1,MATCH($B$6,Curvas_cupon_cero!$1:$1,0)-1,COUNT(Curvas_cupon_cero!$A:$A)-2,1)),interpolar(E651,OFFSET(Curvas_cupon_cero!$A$1,1,0,COUNT(Curvas_cupon_cero!$A:$A)-2,1),OFFSET(Curvas_cupon_cero!$A$1,1,MATCH($B$6,Curvas_cupon_cero!$1:$1,0)-1,COUNT(Curvas_cupon_cero!$A:$A)-2,1))))</f>
        <v/>
      </c>
      <c r="G651" s="23" t="str">
        <f ca="1">IF(A651="","",IF($B$8="Sí",interpolar_alamb(E651,OFFSET(Curvas_cupon_cero!$A$1,1,0,COUNT(Curvas_cupon_cero!$A:$A)-2,1),OFFSET(Curvas_cupon_cero!$A$1,1,MATCH($B$7,Curvas_cupon_cero!$1:$1,0)-1,COUNT(Curvas_cupon_cero!$A:$A)-2,1)),interpolar(E651,OFFSET(Curvas_cupon_cero!$A$1,1,0,COUNT(Curvas_cupon_cero!$A:$A)-2,1),OFFSET(Curvas_cupon_cero!$A$1,1,MATCH($B$7,Curvas_cupon_cero!$1:$1,0)-1,COUNT(Curvas_cupon_cero!$A:$A)-2,1))))</f>
        <v/>
      </c>
      <c r="H651" s="19" t="str">
        <f t="shared" si="55"/>
        <v/>
      </c>
    </row>
    <row r="652" spans="1:8" x14ac:dyDescent="0.2">
      <c r="A652" s="12" t="str">
        <f t="shared" si="56"/>
        <v/>
      </c>
      <c r="B652" s="21" t="str">
        <f t="shared" si="57"/>
        <v/>
      </c>
      <c r="C652" s="17" t="str">
        <f t="shared" si="54"/>
        <v/>
      </c>
      <c r="D652" s="18" t="str">
        <f t="shared" si="58"/>
        <v/>
      </c>
      <c r="E652" t="str">
        <f t="shared" si="59"/>
        <v/>
      </c>
      <c r="F652" s="23" t="str">
        <f ca="1">IF(A652="","",IF($B$8="Sí",interpolar_alamb(E652,OFFSET(Curvas_cupon_cero!$A$1,1,0,COUNT(Curvas_cupon_cero!$A:$A)-2,1),OFFSET(Curvas_cupon_cero!$A$1,1,MATCH($B$6,Curvas_cupon_cero!$1:$1,0)-1,COUNT(Curvas_cupon_cero!$A:$A)-2,1)),interpolar(E652,OFFSET(Curvas_cupon_cero!$A$1,1,0,COUNT(Curvas_cupon_cero!$A:$A)-2,1),OFFSET(Curvas_cupon_cero!$A$1,1,MATCH($B$6,Curvas_cupon_cero!$1:$1,0)-1,COUNT(Curvas_cupon_cero!$A:$A)-2,1))))</f>
        <v/>
      </c>
      <c r="G652" s="23" t="str">
        <f ca="1">IF(A652="","",IF($B$8="Sí",interpolar_alamb(E652,OFFSET(Curvas_cupon_cero!$A$1,1,0,COUNT(Curvas_cupon_cero!$A:$A)-2,1),OFFSET(Curvas_cupon_cero!$A$1,1,MATCH($B$7,Curvas_cupon_cero!$1:$1,0)-1,COUNT(Curvas_cupon_cero!$A:$A)-2,1)),interpolar(E652,OFFSET(Curvas_cupon_cero!$A$1,1,0,COUNT(Curvas_cupon_cero!$A:$A)-2,1),OFFSET(Curvas_cupon_cero!$A$1,1,MATCH($B$7,Curvas_cupon_cero!$1:$1,0)-1,COUNT(Curvas_cupon_cero!$A:$A)-2,1))))</f>
        <v/>
      </c>
      <c r="H652" s="19" t="str">
        <f t="shared" si="55"/>
        <v/>
      </c>
    </row>
    <row r="653" spans="1:8" x14ac:dyDescent="0.2">
      <c r="A653" s="12" t="str">
        <f t="shared" si="56"/>
        <v/>
      </c>
      <c r="B653" s="21" t="str">
        <f t="shared" si="57"/>
        <v/>
      </c>
      <c r="C653" s="17" t="str">
        <f t="shared" si="54"/>
        <v/>
      </c>
      <c r="D653" s="18" t="str">
        <f t="shared" si="58"/>
        <v/>
      </c>
      <c r="E653" t="str">
        <f t="shared" si="59"/>
        <v/>
      </c>
      <c r="F653" s="23" t="str">
        <f ca="1">IF(A653="","",IF($B$8="Sí",interpolar_alamb(E653,OFFSET(Curvas_cupon_cero!$A$1,1,0,COUNT(Curvas_cupon_cero!$A:$A)-2,1),OFFSET(Curvas_cupon_cero!$A$1,1,MATCH($B$6,Curvas_cupon_cero!$1:$1,0)-1,COUNT(Curvas_cupon_cero!$A:$A)-2,1)),interpolar(E653,OFFSET(Curvas_cupon_cero!$A$1,1,0,COUNT(Curvas_cupon_cero!$A:$A)-2,1),OFFSET(Curvas_cupon_cero!$A$1,1,MATCH($B$6,Curvas_cupon_cero!$1:$1,0)-1,COUNT(Curvas_cupon_cero!$A:$A)-2,1))))</f>
        <v/>
      </c>
      <c r="G653" s="23" t="str">
        <f ca="1">IF(A653="","",IF($B$8="Sí",interpolar_alamb(E653,OFFSET(Curvas_cupon_cero!$A$1,1,0,COUNT(Curvas_cupon_cero!$A:$A)-2,1),OFFSET(Curvas_cupon_cero!$A$1,1,MATCH($B$7,Curvas_cupon_cero!$1:$1,0)-1,COUNT(Curvas_cupon_cero!$A:$A)-2,1)),interpolar(E653,OFFSET(Curvas_cupon_cero!$A$1,1,0,COUNT(Curvas_cupon_cero!$A:$A)-2,1),OFFSET(Curvas_cupon_cero!$A$1,1,MATCH($B$7,Curvas_cupon_cero!$1:$1,0)-1,COUNT(Curvas_cupon_cero!$A:$A)-2,1))))</f>
        <v/>
      </c>
      <c r="H653" s="19" t="str">
        <f t="shared" si="55"/>
        <v/>
      </c>
    </row>
    <row r="654" spans="1:8" x14ac:dyDescent="0.2">
      <c r="A654" s="12" t="str">
        <f t="shared" si="56"/>
        <v/>
      </c>
      <c r="B654" s="21" t="str">
        <f t="shared" si="57"/>
        <v/>
      </c>
      <c r="C654" s="17" t="str">
        <f t="shared" si="54"/>
        <v/>
      </c>
      <c r="D654" s="18" t="str">
        <f t="shared" si="58"/>
        <v/>
      </c>
      <c r="E654" t="str">
        <f t="shared" si="59"/>
        <v/>
      </c>
      <c r="F654" s="23" t="str">
        <f ca="1">IF(A654="","",IF($B$8="Sí",interpolar_alamb(E654,OFFSET(Curvas_cupon_cero!$A$1,1,0,COUNT(Curvas_cupon_cero!$A:$A)-2,1),OFFSET(Curvas_cupon_cero!$A$1,1,MATCH($B$6,Curvas_cupon_cero!$1:$1,0)-1,COUNT(Curvas_cupon_cero!$A:$A)-2,1)),interpolar(E654,OFFSET(Curvas_cupon_cero!$A$1,1,0,COUNT(Curvas_cupon_cero!$A:$A)-2,1),OFFSET(Curvas_cupon_cero!$A$1,1,MATCH($B$6,Curvas_cupon_cero!$1:$1,0)-1,COUNT(Curvas_cupon_cero!$A:$A)-2,1))))</f>
        <v/>
      </c>
      <c r="G654" s="23" t="str">
        <f ca="1">IF(A654="","",IF($B$8="Sí",interpolar_alamb(E654,OFFSET(Curvas_cupon_cero!$A$1,1,0,COUNT(Curvas_cupon_cero!$A:$A)-2,1),OFFSET(Curvas_cupon_cero!$A$1,1,MATCH($B$7,Curvas_cupon_cero!$1:$1,0)-1,COUNT(Curvas_cupon_cero!$A:$A)-2,1)),interpolar(E654,OFFSET(Curvas_cupon_cero!$A$1,1,0,COUNT(Curvas_cupon_cero!$A:$A)-2,1),OFFSET(Curvas_cupon_cero!$A$1,1,MATCH($B$7,Curvas_cupon_cero!$1:$1,0)-1,COUNT(Curvas_cupon_cero!$A:$A)-2,1))))</f>
        <v/>
      </c>
      <c r="H654" s="19" t="str">
        <f t="shared" si="55"/>
        <v/>
      </c>
    </row>
    <row r="655" spans="1:8" x14ac:dyDescent="0.2">
      <c r="A655" s="12" t="str">
        <f t="shared" si="56"/>
        <v/>
      </c>
      <c r="B655" s="21" t="str">
        <f t="shared" si="57"/>
        <v/>
      </c>
      <c r="C655" s="17" t="str">
        <f t="shared" si="54"/>
        <v/>
      </c>
      <c r="D655" s="18" t="str">
        <f t="shared" si="58"/>
        <v/>
      </c>
      <c r="E655" t="str">
        <f t="shared" si="59"/>
        <v/>
      </c>
      <c r="F655" s="23" t="str">
        <f ca="1">IF(A655="","",IF($B$8="Sí",interpolar_alamb(E655,OFFSET(Curvas_cupon_cero!$A$1,1,0,COUNT(Curvas_cupon_cero!$A:$A)-2,1),OFFSET(Curvas_cupon_cero!$A$1,1,MATCH($B$6,Curvas_cupon_cero!$1:$1,0)-1,COUNT(Curvas_cupon_cero!$A:$A)-2,1)),interpolar(E655,OFFSET(Curvas_cupon_cero!$A$1,1,0,COUNT(Curvas_cupon_cero!$A:$A)-2,1),OFFSET(Curvas_cupon_cero!$A$1,1,MATCH($B$6,Curvas_cupon_cero!$1:$1,0)-1,COUNT(Curvas_cupon_cero!$A:$A)-2,1))))</f>
        <v/>
      </c>
      <c r="G655" s="23" t="str">
        <f ca="1">IF(A655="","",IF($B$8="Sí",interpolar_alamb(E655,OFFSET(Curvas_cupon_cero!$A$1,1,0,COUNT(Curvas_cupon_cero!$A:$A)-2,1),OFFSET(Curvas_cupon_cero!$A$1,1,MATCH($B$7,Curvas_cupon_cero!$1:$1,0)-1,COUNT(Curvas_cupon_cero!$A:$A)-2,1)),interpolar(E655,OFFSET(Curvas_cupon_cero!$A$1,1,0,COUNT(Curvas_cupon_cero!$A:$A)-2,1),OFFSET(Curvas_cupon_cero!$A$1,1,MATCH($B$7,Curvas_cupon_cero!$1:$1,0)-1,COUNT(Curvas_cupon_cero!$A:$A)-2,1))))</f>
        <v/>
      </c>
      <c r="H655" s="19" t="str">
        <f t="shared" si="55"/>
        <v/>
      </c>
    </row>
    <row r="656" spans="1:8" x14ac:dyDescent="0.2">
      <c r="A656" s="12" t="str">
        <f t="shared" si="56"/>
        <v/>
      </c>
      <c r="B656" s="21" t="str">
        <f t="shared" si="57"/>
        <v/>
      </c>
      <c r="C656" s="17" t="str">
        <f t="shared" ref="C656:C689" si="60">IF(A656="","",IF(A656=$B$4,$B$1*$B$2+$B$1*$B$5/360*$B$2*B656, $B$1*$B$5/360*$B$2*B656))</f>
        <v/>
      </c>
      <c r="D656" s="18" t="str">
        <f t="shared" si="58"/>
        <v/>
      </c>
      <c r="E656" t="str">
        <f t="shared" si="59"/>
        <v/>
      </c>
      <c r="F656" s="23" t="str">
        <f ca="1">IF(A656="","",IF($B$8="Sí",interpolar_alamb(E656,OFFSET(Curvas_cupon_cero!$A$1,1,0,COUNT(Curvas_cupon_cero!$A:$A)-2,1),OFFSET(Curvas_cupon_cero!$A$1,1,MATCH($B$6,Curvas_cupon_cero!$1:$1,0)-1,COUNT(Curvas_cupon_cero!$A:$A)-2,1)),interpolar(E656,OFFSET(Curvas_cupon_cero!$A$1,1,0,COUNT(Curvas_cupon_cero!$A:$A)-2,1),OFFSET(Curvas_cupon_cero!$A$1,1,MATCH($B$6,Curvas_cupon_cero!$1:$1,0)-1,COUNT(Curvas_cupon_cero!$A:$A)-2,1))))</f>
        <v/>
      </c>
      <c r="G656" s="23" t="str">
        <f ca="1">IF(A656="","",IF($B$8="Sí",interpolar_alamb(E656,OFFSET(Curvas_cupon_cero!$A$1,1,0,COUNT(Curvas_cupon_cero!$A:$A)-2,1),OFFSET(Curvas_cupon_cero!$A$1,1,MATCH($B$7,Curvas_cupon_cero!$1:$1,0)-1,COUNT(Curvas_cupon_cero!$A:$A)-2,1)),interpolar(E656,OFFSET(Curvas_cupon_cero!$A$1,1,0,COUNT(Curvas_cupon_cero!$A:$A)-2,1),OFFSET(Curvas_cupon_cero!$A$1,1,MATCH($B$7,Curvas_cupon_cero!$1:$1,0)-1,COUNT(Curvas_cupon_cero!$A:$A)-2,1))))</f>
        <v/>
      </c>
      <c r="H656" s="19" t="str">
        <f t="shared" ref="H656:H689" si="61">IF(A656="","",C656/(1+(F656+G656)*E656/360))</f>
        <v/>
      </c>
    </row>
    <row r="657" spans="1:8" x14ac:dyDescent="0.2">
      <c r="A657" s="12" t="str">
        <f t="shared" ref="A657:A689" si="62">IF(A656="","",IF((A656+$B$5)&gt;$B$4,"",(A656+$B$5)))</f>
        <v/>
      </c>
      <c r="B657" s="21" t="str">
        <f t="shared" ref="B657:B689" si="63">IF(A657="","",((1+$B$9/360)^$B$5-1)*360/$B$5)</f>
        <v/>
      </c>
      <c r="C657" s="17" t="str">
        <f t="shared" si="60"/>
        <v/>
      </c>
      <c r="D657" s="18" t="str">
        <f t="shared" ref="D657:D689" si="64">IF(A657="","",$B$5)</f>
        <v/>
      </c>
      <c r="E657" t="str">
        <f t="shared" ref="E657:E689" si="65">IF(A657="","",E656+D657)</f>
        <v/>
      </c>
      <c r="F657" s="23" t="str">
        <f ca="1">IF(A657="","",IF($B$8="Sí",interpolar_alamb(E657,OFFSET(Curvas_cupon_cero!$A$1,1,0,COUNT(Curvas_cupon_cero!$A:$A)-2,1),OFFSET(Curvas_cupon_cero!$A$1,1,MATCH($B$6,Curvas_cupon_cero!$1:$1,0)-1,COUNT(Curvas_cupon_cero!$A:$A)-2,1)),interpolar(E657,OFFSET(Curvas_cupon_cero!$A$1,1,0,COUNT(Curvas_cupon_cero!$A:$A)-2,1),OFFSET(Curvas_cupon_cero!$A$1,1,MATCH($B$6,Curvas_cupon_cero!$1:$1,0)-1,COUNT(Curvas_cupon_cero!$A:$A)-2,1))))</f>
        <v/>
      </c>
      <c r="G657" s="23" t="str">
        <f ca="1">IF(A657="","",IF($B$8="Sí",interpolar_alamb(E657,OFFSET(Curvas_cupon_cero!$A$1,1,0,COUNT(Curvas_cupon_cero!$A:$A)-2,1),OFFSET(Curvas_cupon_cero!$A$1,1,MATCH($B$7,Curvas_cupon_cero!$1:$1,0)-1,COUNT(Curvas_cupon_cero!$A:$A)-2,1)),interpolar(E657,OFFSET(Curvas_cupon_cero!$A$1,1,0,COUNT(Curvas_cupon_cero!$A:$A)-2,1),OFFSET(Curvas_cupon_cero!$A$1,1,MATCH($B$7,Curvas_cupon_cero!$1:$1,0)-1,COUNT(Curvas_cupon_cero!$A:$A)-2,1))))</f>
        <v/>
      </c>
      <c r="H657" s="19" t="str">
        <f t="shared" si="61"/>
        <v/>
      </c>
    </row>
    <row r="658" spans="1:8" x14ac:dyDescent="0.2">
      <c r="A658" s="12" t="str">
        <f t="shared" si="62"/>
        <v/>
      </c>
      <c r="B658" s="21" t="str">
        <f t="shared" si="63"/>
        <v/>
      </c>
      <c r="C658" s="17" t="str">
        <f t="shared" si="60"/>
        <v/>
      </c>
      <c r="D658" s="18" t="str">
        <f t="shared" si="64"/>
        <v/>
      </c>
      <c r="E658" t="str">
        <f t="shared" si="65"/>
        <v/>
      </c>
      <c r="F658" s="23" t="str">
        <f ca="1">IF(A658="","",IF($B$8="Sí",interpolar_alamb(E658,OFFSET(Curvas_cupon_cero!$A$1,1,0,COUNT(Curvas_cupon_cero!$A:$A)-2,1),OFFSET(Curvas_cupon_cero!$A$1,1,MATCH($B$6,Curvas_cupon_cero!$1:$1,0)-1,COUNT(Curvas_cupon_cero!$A:$A)-2,1)),interpolar(E658,OFFSET(Curvas_cupon_cero!$A$1,1,0,COUNT(Curvas_cupon_cero!$A:$A)-2,1),OFFSET(Curvas_cupon_cero!$A$1,1,MATCH($B$6,Curvas_cupon_cero!$1:$1,0)-1,COUNT(Curvas_cupon_cero!$A:$A)-2,1))))</f>
        <v/>
      </c>
      <c r="G658" s="23" t="str">
        <f ca="1">IF(A658="","",IF($B$8="Sí",interpolar_alamb(E658,OFFSET(Curvas_cupon_cero!$A$1,1,0,COUNT(Curvas_cupon_cero!$A:$A)-2,1),OFFSET(Curvas_cupon_cero!$A$1,1,MATCH($B$7,Curvas_cupon_cero!$1:$1,0)-1,COUNT(Curvas_cupon_cero!$A:$A)-2,1)),interpolar(E658,OFFSET(Curvas_cupon_cero!$A$1,1,0,COUNT(Curvas_cupon_cero!$A:$A)-2,1),OFFSET(Curvas_cupon_cero!$A$1,1,MATCH($B$7,Curvas_cupon_cero!$1:$1,0)-1,COUNT(Curvas_cupon_cero!$A:$A)-2,1))))</f>
        <v/>
      </c>
      <c r="H658" s="19" t="str">
        <f t="shared" si="61"/>
        <v/>
      </c>
    </row>
    <row r="659" spans="1:8" x14ac:dyDescent="0.2">
      <c r="A659" s="12" t="str">
        <f t="shared" si="62"/>
        <v/>
      </c>
      <c r="B659" s="21" t="str">
        <f t="shared" si="63"/>
        <v/>
      </c>
      <c r="C659" s="17" t="str">
        <f t="shared" si="60"/>
        <v/>
      </c>
      <c r="D659" s="18" t="str">
        <f t="shared" si="64"/>
        <v/>
      </c>
      <c r="E659" t="str">
        <f t="shared" si="65"/>
        <v/>
      </c>
      <c r="F659" s="23" t="str">
        <f ca="1">IF(A659="","",IF($B$8="Sí",interpolar_alamb(E659,OFFSET(Curvas_cupon_cero!$A$1,1,0,COUNT(Curvas_cupon_cero!$A:$A)-2,1),OFFSET(Curvas_cupon_cero!$A$1,1,MATCH($B$6,Curvas_cupon_cero!$1:$1,0)-1,COUNT(Curvas_cupon_cero!$A:$A)-2,1)),interpolar(E659,OFFSET(Curvas_cupon_cero!$A$1,1,0,COUNT(Curvas_cupon_cero!$A:$A)-2,1),OFFSET(Curvas_cupon_cero!$A$1,1,MATCH($B$6,Curvas_cupon_cero!$1:$1,0)-1,COUNT(Curvas_cupon_cero!$A:$A)-2,1))))</f>
        <v/>
      </c>
      <c r="G659" s="23" t="str">
        <f ca="1">IF(A659="","",IF($B$8="Sí",interpolar_alamb(E659,OFFSET(Curvas_cupon_cero!$A$1,1,0,COUNT(Curvas_cupon_cero!$A:$A)-2,1),OFFSET(Curvas_cupon_cero!$A$1,1,MATCH($B$7,Curvas_cupon_cero!$1:$1,0)-1,COUNT(Curvas_cupon_cero!$A:$A)-2,1)),interpolar(E659,OFFSET(Curvas_cupon_cero!$A$1,1,0,COUNT(Curvas_cupon_cero!$A:$A)-2,1),OFFSET(Curvas_cupon_cero!$A$1,1,MATCH($B$7,Curvas_cupon_cero!$1:$1,0)-1,COUNT(Curvas_cupon_cero!$A:$A)-2,1))))</f>
        <v/>
      </c>
      <c r="H659" s="19" t="str">
        <f t="shared" si="61"/>
        <v/>
      </c>
    </row>
    <row r="660" spans="1:8" x14ac:dyDescent="0.2">
      <c r="A660" s="12" t="str">
        <f t="shared" si="62"/>
        <v/>
      </c>
      <c r="B660" s="21" t="str">
        <f t="shared" si="63"/>
        <v/>
      </c>
      <c r="C660" s="17" t="str">
        <f t="shared" si="60"/>
        <v/>
      </c>
      <c r="D660" s="18" t="str">
        <f t="shared" si="64"/>
        <v/>
      </c>
      <c r="E660" t="str">
        <f t="shared" si="65"/>
        <v/>
      </c>
      <c r="F660" s="23" t="str">
        <f ca="1">IF(A660="","",IF($B$8="Sí",interpolar_alamb(E660,OFFSET(Curvas_cupon_cero!$A$1,1,0,COUNT(Curvas_cupon_cero!$A:$A)-2,1),OFFSET(Curvas_cupon_cero!$A$1,1,MATCH($B$6,Curvas_cupon_cero!$1:$1,0)-1,COUNT(Curvas_cupon_cero!$A:$A)-2,1)),interpolar(E660,OFFSET(Curvas_cupon_cero!$A$1,1,0,COUNT(Curvas_cupon_cero!$A:$A)-2,1),OFFSET(Curvas_cupon_cero!$A$1,1,MATCH($B$6,Curvas_cupon_cero!$1:$1,0)-1,COUNT(Curvas_cupon_cero!$A:$A)-2,1))))</f>
        <v/>
      </c>
      <c r="G660" s="23" t="str">
        <f ca="1">IF(A660="","",IF($B$8="Sí",interpolar_alamb(E660,OFFSET(Curvas_cupon_cero!$A$1,1,0,COUNT(Curvas_cupon_cero!$A:$A)-2,1),OFFSET(Curvas_cupon_cero!$A$1,1,MATCH($B$7,Curvas_cupon_cero!$1:$1,0)-1,COUNT(Curvas_cupon_cero!$A:$A)-2,1)),interpolar(E660,OFFSET(Curvas_cupon_cero!$A$1,1,0,COUNT(Curvas_cupon_cero!$A:$A)-2,1),OFFSET(Curvas_cupon_cero!$A$1,1,MATCH($B$7,Curvas_cupon_cero!$1:$1,0)-1,COUNT(Curvas_cupon_cero!$A:$A)-2,1))))</f>
        <v/>
      </c>
      <c r="H660" s="19" t="str">
        <f t="shared" si="61"/>
        <v/>
      </c>
    </row>
    <row r="661" spans="1:8" x14ac:dyDescent="0.2">
      <c r="A661" s="12" t="str">
        <f t="shared" si="62"/>
        <v/>
      </c>
      <c r="B661" s="21" t="str">
        <f t="shared" si="63"/>
        <v/>
      </c>
      <c r="C661" s="17" t="str">
        <f t="shared" si="60"/>
        <v/>
      </c>
      <c r="D661" s="18" t="str">
        <f t="shared" si="64"/>
        <v/>
      </c>
      <c r="E661" t="str">
        <f t="shared" si="65"/>
        <v/>
      </c>
      <c r="F661" s="23" t="str">
        <f ca="1">IF(A661="","",IF($B$8="Sí",interpolar_alamb(E661,OFFSET(Curvas_cupon_cero!$A$1,1,0,COUNT(Curvas_cupon_cero!$A:$A)-2,1),OFFSET(Curvas_cupon_cero!$A$1,1,MATCH($B$6,Curvas_cupon_cero!$1:$1,0)-1,COUNT(Curvas_cupon_cero!$A:$A)-2,1)),interpolar(E661,OFFSET(Curvas_cupon_cero!$A$1,1,0,COUNT(Curvas_cupon_cero!$A:$A)-2,1),OFFSET(Curvas_cupon_cero!$A$1,1,MATCH($B$6,Curvas_cupon_cero!$1:$1,0)-1,COUNT(Curvas_cupon_cero!$A:$A)-2,1))))</f>
        <v/>
      </c>
      <c r="G661" s="23" t="str">
        <f ca="1">IF(A661="","",IF($B$8="Sí",interpolar_alamb(E661,OFFSET(Curvas_cupon_cero!$A$1,1,0,COUNT(Curvas_cupon_cero!$A:$A)-2,1),OFFSET(Curvas_cupon_cero!$A$1,1,MATCH($B$7,Curvas_cupon_cero!$1:$1,0)-1,COUNT(Curvas_cupon_cero!$A:$A)-2,1)),interpolar(E661,OFFSET(Curvas_cupon_cero!$A$1,1,0,COUNT(Curvas_cupon_cero!$A:$A)-2,1),OFFSET(Curvas_cupon_cero!$A$1,1,MATCH($B$7,Curvas_cupon_cero!$1:$1,0)-1,COUNT(Curvas_cupon_cero!$A:$A)-2,1))))</f>
        <v/>
      </c>
      <c r="H661" s="19" t="str">
        <f t="shared" si="61"/>
        <v/>
      </c>
    </row>
    <row r="662" spans="1:8" x14ac:dyDescent="0.2">
      <c r="A662" s="12" t="str">
        <f t="shared" si="62"/>
        <v/>
      </c>
      <c r="B662" s="21" t="str">
        <f t="shared" si="63"/>
        <v/>
      </c>
      <c r="C662" s="17" t="str">
        <f t="shared" si="60"/>
        <v/>
      </c>
      <c r="D662" s="18" t="str">
        <f t="shared" si="64"/>
        <v/>
      </c>
      <c r="E662" t="str">
        <f t="shared" si="65"/>
        <v/>
      </c>
      <c r="F662" s="23" t="str">
        <f ca="1">IF(A662="","",IF($B$8="Sí",interpolar_alamb(E662,OFFSET(Curvas_cupon_cero!$A$1,1,0,COUNT(Curvas_cupon_cero!$A:$A)-2,1),OFFSET(Curvas_cupon_cero!$A$1,1,MATCH($B$6,Curvas_cupon_cero!$1:$1,0)-1,COUNT(Curvas_cupon_cero!$A:$A)-2,1)),interpolar(E662,OFFSET(Curvas_cupon_cero!$A$1,1,0,COUNT(Curvas_cupon_cero!$A:$A)-2,1),OFFSET(Curvas_cupon_cero!$A$1,1,MATCH($B$6,Curvas_cupon_cero!$1:$1,0)-1,COUNT(Curvas_cupon_cero!$A:$A)-2,1))))</f>
        <v/>
      </c>
      <c r="G662" s="23" t="str">
        <f ca="1">IF(A662="","",IF($B$8="Sí",interpolar_alamb(E662,OFFSET(Curvas_cupon_cero!$A$1,1,0,COUNT(Curvas_cupon_cero!$A:$A)-2,1),OFFSET(Curvas_cupon_cero!$A$1,1,MATCH($B$7,Curvas_cupon_cero!$1:$1,0)-1,COUNT(Curvas_cupon_cero!$A:$A)-2,1)),interpolar(E662,OFFSET(Curvas_cupon_cero!$A$1,1,0,COUNT(Curvas_cupon_cero!$A:$A)-2,1),OFFSET(Curvas_cupon_cero!$A$1,1,MATCH($B$7,Curvas_cupon_cero!$1:$1,0)-1,COUNT(Curvas_cupon_cero!$A:$A)-2,1))))</f>
        <v/>
      </c>
      <c r="H662" s="19" t="str">
        <f t="shared" si="61"/>
        <v/>
      </c>
    </row>
    <row r="663" spans="1:8" x14ac:dyDescent="0.2">
      <c r="A663" s="12" t="str">
        <f t="shared" si="62"/>
        <v/>
      </c>
      <c r="B663" s="21" t="str">
        <f t="shared" si="63"/>
        <v/>
      </c>
      <c r="C663" s="17" t="str">
        <f t="shared" si="60"/>
        <v/>
      </c>
      <c r="D663" s="18" t="str">
        <f t="shared" si="64"/>
        <v/>
      </c>
      <c r="E663" t="str">
        <f t="shared" si="65"/>
        <v/>
      </c>
      <c r="F663" s="23" t="str">
        <f ca="1">IF(A663="","",IF($B$8="Sí",interpolar_alamb(E663,OFFSET(Curvas_cupon_cero!$A$1,1,0,COUNT(Curvas_cupon_cero!$A:$A)-2,1),OFFSET(Curvas_cupon_cero!$A$1,1,MATCH($B$6,Curvas_cupon_cero!$1:$1,0)-1,COUNT(Curvas_cupon_cero!$A:$A)-2,1)),interpolar(E663,OFFSET(Curvas_cupon_cero!$A$1,1,0,COUNT(Curvas_cupon_cero!$A:$A)-2,1),OFFSET(Curvas_cupon_cero!$A$1,1,MATCH($B$6,Curvas_cupon_cero!$1:$1,0)-1,COUNT(Curvas_cupon_cero!$A:$A)-2,1))))</f>
        <v/>
      </c>
      <c r="G663" s="23" t="str">
        <f ca="1">IF(A663="","",IF($B$8="Sí",interpolar_alamb(E663,OFFSET(Curvas_cupon_cero!$A$1,1,0,COUNT(Curvas_cupon_cero!$A:$A)-2,1),OFFSET(Curvas_cupon_cero!$A$1,1,MATCH($B$7,Curvas_cupon_cero!$1:$1,0)-1,COUNT(Curvas_cupon_cero!$A:$A)-2,1)),interpolar(E663,OFFSET(Curvas_cupon_cero!$A$1,1,0,COUNT(Curvas_cupon_cero!$A:$A)-2,1),OFFSET(Curvas_cupon_cero!$A$1,1,MATCH($B$7,Curvas_cupon_cero!$1:$1,0)-1,COUNT(Curvas_cupon_cero!$A:$A)-2,1))))</f>
        <v/>
      </c>
      <c r="H663" s="19" t="str">
        <f t="shared" si="61"/>
        <v/>
      </c>
    </row>
    <row r="664" spans="1:8" x14ac:dyDescent="0.2">
      <c r="A664" s="12" t="str">
        <f t="shared" si="62"/>
        <v/>
      </c>
      <c r="B664" s="21" t="str">
        <f t="shared" si="63"/>
        <v/>
      </c>
      <c r="C664" s="17" t="str">
        <f t="shared" si="60"/>
        <v/>
      </c>
      <c r="D664" s="18" t="str">
        <f t="shared" si="64"/>
        <v/>
      </c>
      <c r="E664" t="str">
        <f t="shared" si="65"/>
        <v/>
      </c>
      <c r="F664" s="23" t="str">
        <f ca="1">IF(A664="","",IF($B$8="Sí",interpolar_alamb(E664,OFFSET(Curvas_cupon_cero!$A$1,1,0,COUNT(Curvas_cupon_cero!$A:$A)-2,1),OFFSET(Curvas_cupon_cero!$A$1,1,MATCH($B$6,Curvas_cupon_cero!$1:$1,0)-1,COUNT(Curvas_cupon_cero!$A:$A)-2,1)),interpolar(E664,OFFSET(Curvas_cupon_cero!$A$1,1,0,COUNT(Curvas_cupon_cero!$A:$A)-2,1),OFFSET(Curvas_cupon_cero!$A$1,1,MATCH($B$6,Curvas_cupon_cero!$1:$1,0)-1,COUNT(Curvas_cupon_cero!$A:$A)-2,1))))</f>
        <v/>
      </c>
      <c r="G664" s="23" t="str">
        <f ca="1">IF(A664="","",IF($B$8="Sí",interpolar_alamb(E664,OFFSET(Curvas_cupon_cero!$A$1,1,0,COUNT(Curvas_cupon_cero!$A:$A)-2,1),OFFSET(Curvas_cupon_cero!$A$1,1,MATCH($B$7,Curvas_cupon_cero!$1:$1,0)-1,COUNT(Curvas_cupon_cero!$A:$A)-2,1)),interpolar(E664,OFFSET(Curvas_cupon_cero!$A$1,1,0,COUNT(Curvas_cupon_cero!$A:$A)-2,1),OFFSET(Curvas_cupon_cero!$A$1,1,MATCH($B$7,Curvas_cupon_cero!$1:$1,0)-1,COUNT(Curvas_cupon_cero!$A:$A)-2,1))))</f>
        <v/>
      </c>
      <c r="H664" s="19" t="str">
        <f t="shared" si="61"/>
        <v/>
      </c>
    </row>
    <row r="665" spans="1:8" x14ac:dyDescent="0.2">
      <c r="A665" s="12" t="str">
        <f t="shared" si="62"/>
        <v/>
      </c>
      <c r="B665" s="21" t="str">
        <f t="shared" si="63"/>
        <v/>
      </c>
      <c r="C665" s="17" t="str">
        <f t="shared" si="60"/>
        <v/>
      </c>
      <c r="D665" s="18" t="str">
        <f t="shared" si="64"/>
        <v/>
      </c>
      <c r="E665" t="str">
        <f t="shared" si="65"/>
        <v/>
      </c>
      <c r="F665" s="23" t="str">
        <f ca="1">IF(A665="","",IF($B$8="Sí",interpolar_alamb(E665,OFFSET(Curvas_cupon_cero!$A$1,1,0,COUNT(Curvas_cupon_cero!$A:$A)-2,1),OFFSET(Curvas_cupon_cero!$A$1,1,MATCH($B$6,Curvas_cupon_cero!$1:$1,0)-1,COUNT(Curvas_cupon_cero!$A:$A)-2,1)),interpolar(E665,OFFSET(Curvas_cupon_cero!$A$1,1,0,COUNT(Curvas_cupon_cero!$A:$A)-2,1),OFFSET(Curvas_cupon_cero!$A$1,1,MATCH($B$6,Curvas_cupon_cero!$1:$1,0)-1,COUNT(Curvas_cupon_cero!$A:$A)-2,1))))</f>
        <v/>
      </c>
      <c r="G665" s="23" t="str">
        <f ca="1">IF(A665="","",IF($B$8="Sí",interpolar_alamb(E665,OFFSET(Curvas_cupon_cero!$A$1,1,0,COUNT(Curvas_cupon_cero!$A:$A)-2,1),OFFSET(Curvas_cupon_cero!$A$1,1,MATCH($B$7,Curvas_cupon_cero!$1:$1,0)-1,COUNT(Curvas_cupon_cero!$A:$A)-2,1)),interpolar(E665,OFFSET(Curvas_cupon_cero!$A$1,1,0,COUNT(Curvas_cupon_cero!$A:$A)-2,1),OFFSET(Curvas_cupon_cero!$A$1,1,MATCH($B$7,Curvas_cupon_cero!$1:$1,0)-1,COUNT(Curvas_cupon_cero!$A:$A)-2,1))))</f>
        <v/>
      </c>
      <c r="H665" s="19" t="str">
        <f t="shared" si="61"/>
        <v/>
      </c>
    </row>
    <row r="666" spans="1:8" x14ac:dyDescent="0.2">
      <c r="A666" s="12" t="str">
        <f t="shared" si="62"/>
        <v/>
      </c>
      <c r="B666" s="21" t="str">
        <f t="shared" si="63"/>
        <v/>
      </c>
      <c r="C666" s="17" t="str">
        <f t="shared" si="60"/>
        <v/>
      </c>
      <c r="D666" s="18" t="str">
        <f t="shared" si="64"/>
        <v/>
      </c>
      <c r="E666" t="str">
        <f t="shared" si="65"/>
        <v/>
      </c>
      <c r="F666" s="23" t="str">
        <f ca="1">IF(A666="","",IF($B$8="Sí",interpolar_alamb(E666,OFFSET(Curvas_cupon_cero!$A$1,1,0,COUNT(Curvas_cupon_cero!$A:$A)-2,1),OFFSET(Curvas_cupon_cero!$A$1,1,MATCH($B$6,Curvas_cupon_cero!$1:$1,0)-1,COUNT(Curvas_cupon_cero!$A:$A)-2,1)),interpolar(E666,OFFSET(Curvas_cupon_cero!$A$1,1,0,COUNT(Curvas_cupon_cero!$A:$A)-2,1),OFFSET(Curvas_cupon_cero!$A$1,1,MATCH($B$6,Curvas_cupon_cero!$1:$1,0)-1,COUNT(Curvas_cupon_cero!$A:$A)-2,1))))</f>
        <v/>
      </c>
      <c r="G666" s="23" t="str">
        <f ca="1">IF(A666="","",IF($B$8="Sí",interpolar_alamb(E666,OFFSET(Curvas_cupon_cero!$A$1,1,0,COUNT(Curvas_cupon_cero!$A:$A)-2,1),OFFSET(Curvas_cupon_cero!$A$1,1,MATCH($B$7,Curvas_cupon_cero!$1:$1,0)-1,COUNT(Curvas_cupon_cero!$A:$A)-2,1)),interpolar(E666,OFFSET(Curvas_cupon_cero!$A$1,1,0,COUNT(Curvas_cupon_cero!$A:$A)-2,1),OFFSET(Curvas_cupon_cero!$A$1,1,MATCH($B$7,Curvas_cupon_cero!$1:$1,0)-1,COUNT(Curvas_cupon_cero!$A:$A)-2,1))))</f>
        <v/>
      </c>
      <c r="H666" s="19" t="str">
        <f t="shared" si="61"/>
        <v/>
      </c>
    </row>
    <row r="667" spans="1:8" x14ac:dyDescent="0.2">
      <c r="A667" s="12" t="str">
        <f t="shared" si="62"/>
        <v/>
      </c>
      <c r="B667" s="21" t="str">
        <f t="shared" si="63"/>
        <v/>
      </c>
      <c r="C667" s="17" t="str">
        <f t="shared" si="60"/>
        <v/>
      </c>
      <c r="D667" s="18" t="str">
        <f t="shared" si="64"/>
        <v/>
      </c>
      <c r="E667" t="str">
        <f t="shared" si="65"/>
        <v/>
      </c>
      <c r="F667" s="23" t="str">
        <f ca="1">IF(A667="","",IF($B$8="Sí",interpolar_alamb(E667,OFFSET(Curvas_cupon_cero!$A$1,1,0,COUNT(Curvas_cupon_cero!$A:$A)-2,1),OFFSET(Curvas_cupon_cero!$A$1,1,MATCH($B$6,Curvas_cupon_cero!$1:$1,0)-1,COUNT(Curvas_cupon_cero!$A:$A)-2,1)),interpolar(E667,OFFSET(Curvas_cupon_cero!$A$1,1,0,COUNT(Curvas_cupon_cero!$A:$A)-2,1),OFFSET(Curvas_cupon_cero!$A$1,1,MATCH($B$6,Curvas_cupon_cero!$1:$1,0)-1,COUNT(Curvas_cupon_cero!$A:$A)-2,1))))</f>
        <v/>
      </c>
      <c r="G667" s="23" t="str">
        <f ca="1">IF(A667="","",IF($B$8="Sí",interpolar_alamb(E667,OFFSET(Curvas_cupon_cero!$A$1,1,0,COUNT(Curvas_cupon_cero!$A:$A)-2,1),OFFSET(Curvas_cupon_cero!$A$1,1,MATCH($B$7,Curvas_cupon_cero!$1:$1,0)-1,COUNT(Curvas_cupon_cero!$A:$A)-2,1)),interpolar(E667,OFFSET(Curvas_cupon_cero!$A$1,1,0,COUNT(Curvas_cupon_cero!$A:$A)-2,1),OFFSET(Curvas_cupon_cero!$A$1,1,MATCH($B$7,Curvas_cupon_cero!$1:$1,0)-1,COUNT(Curvas_cupon_cero!$A:$A)-2,1))))</f>
        <v/>
      </c>
      <c r="H667" s="19" t="str">
        <f t="shared" si="61"/>
        <v/>
      </c>
    </row>
    <row r="668" spans="1:8" x14ac:dyDescent="0.2">
      <c r="A668" s="12" t="str">
        <f t="shared" si="62"/>
        <v/>
      </c>
      <c r="B668" s="21" t="str">
        <f t="shared" si="63"/>
        <v/>
      </c>
      <c r="C668" s="17" t="str">
        <f t="shared" si="60"/>
        <v/>
      </c>
      <c r="D668" s="18" t="str">
        <f t="shared" si="64"/>
        <v/>
      </c>
      <c r="E668" t="str">
        <f t="shared" si="65"/>
        <v/>
      </c>
      <c r="F668" s="23" t="str">
        <f ca="1">IF(A668="","",IF($B$8="Sí",interpolar_alamb(E668,OFFSET(Curvas_cupon_cero!$A$1,1,0,COUNT(Curvas_cupon_cero!$A:$A)-2,1),OFFSET(Curvas_cupon_cero!$A$1,1,MATCH($B$6,Curvas_cupon_cero!$1:$1,0)-1,COUNT(Curvas_cupon_cero!$A:$A)-2,1)),interpolar(E668,OFFSET(Curvas_cupon_cero!$A$1,1,0,COUNT(Curvas_cupon_cero!$A:$A)-2,1),OFFSET(Curvas_cupon_cero!$A$1,1,MATCH($B$6,Curvas_cupon_cero!$1:$1,0)-1,COUNT(Curvas_cupon_cero!$A:$A)-2,1))))</f>
        <v/>
      </c>
      <c r="G668" s="23" t="str">
        <f ca="1">IF(A668="","",IF($B$8="Sí",interpolar_alamb(E668,OFFSET(Curvas_cupon_cero!$A$1,1,0,COUNT(Curvas_cupon_cero!$A:$A)-2,1),OFFSET(Curvas_cupon_cero!$A$1,1,MATCH($B$7,Curvas_cupon_cero!$1:$1,0)-1,COUNT(Curvas_cupon_cero!$A:$A)-2,1)),interpolar(E668,OFFSET(Curvas_cupon_cero!$A$1,1,0,COUNT(Curvas_cupon_cero!$A:$A)-2,1),OFFSET(Curvas_cupon_cero!$A$1,1,MATCH($B$7,Curvas_cupon_cero!$1:$1,0)-1,COUNT(Curvas_cupon_cero!$A:$A)-2,1))))</f>
        <v/>
      </c>
      <c r="H668" s="19" t="str">
        <f t="shared" si="61"/>
        <v/>
      </c>
    </row>
    <row r="669" spans="1:8" x14ac:dyDescent="0.2">
      <c r="A669" s="12" t="str">
        <f t="shared" si="62"/>
        <v/>
      </c>
      <c r="B669" s="21" t="str">
        <f t="shared" si="63"/>
        <v/>
      </c>
      <c r="C669" s="17" t="str">
        <f t="shared" si="60"/>
        <v/>
      </c>
      <c r="D669" s="18" t="str">
        <f t="shared" si="64"/>
        <v/>
      </c>
      <c r="E669" t="str">
        <f t="shared" si="65"/>
        <v/>
      </c>
      <c r="F669" s="23" t="str">
        <f ca="1">IF(A669="","",IF($B$8="Sí",interpolar_alamb(E669,OFFSET(Curvas_cupon_cero!$A$1,1,0,COUNT(Curvas_cupon_cero!$A:$A)-2,1),OFFSET(Curvas_cupon_cero!$A$1,1,MATCH($B$6,Curvas_cupon_cero!$1:$1,0)-1,COUNT(Curvas_cupon_cero!$A:$A)-2,1)),interpolar(E669,OFFSET(Curvas_cupon_cero!$A$1,1,0,COUNT(Curvas_cupon_cero!$A:$A)-2,1),OFFSET(Curvas_cupon_cero!$A$1,1,MATCH($B$6,Curvas_cupon_cero!$1:$1,0)-1,COUNT(Curvas_cupon_cero!$A:$A)-2,1))))</f>
        <v/>
      </c>
      <c r="G669" s="23" t="str">
        <f ca="1">IF(A669="","",IF($B$8="Sí",interpolar_alamb(E669,OFFSET(Curvas_cupon_cero!$A$1,1,0,COUNT(Curvas_cupon_cero!$A:$A)-2,1),OFFSET(Curvas_cupon_cero!$A$1,1,MATCH($B$7,Curvas_cupon_cero!$1:$1,0)-1,COUNT(Curvas_cupon_cero!$A:$A)-2,1)),interpolar(E669,OFFSET(Curvas_cupon_cero!$A$1,1,0,COUNT(Curvas_cupon_cero!$A:$A)-2,1),OFFSET(Curvas_cupon_cero!$A$1,1,MATCH($B$7,Curvas_cupon_cero!$1:$1,0)-1,COUNT(Curvas_cupon_cero!$A:$A)-2,1))))</f>
        <v/>
      </c>
      <c r="H669" s="19" t="str">
        <f t="shared" si="61"/>
        <v/>
      </c>
    </row>
    <row r="670" spans="1:8" x14ac:dyDescent="0.2">
      <c r="A670" s="12" t="str">
        <f t="shared" si="62"/>
        <v/>
      </c>
      <c r="B670" s="21" t="str">
        <f t="shared" si="63"/>
        <v/>
      </c>
      <c r="C670" s="17" t="str">
        <f t="shared" si="60"/>
        <v/>
      </c>
      <c r="D670" s="18" t="str">
        <f t="shared" si="64"/>
        <v/>
      </c>
      <c r="E670" t="str">
        <f t="shared" si="65"/>
        <v/>
      </c>
      <c r="F670" s="23" t="str">
        <f ca="1">IF(A670="","",IF($B$8="Sí",interpolar_alamb(E670,OFFSET(Curvas_cupon_cero!$A$1,1,0,COUNT(Curvas_cupon_cero!$A:$A)-2,1),OFFSET(Curvas_cupon_cero!$A$1,1,MATCH($B$6,Curvas_cupon_cero!$1:$1,0)-1,COUNT(Curvas_cupon_cero!$A:$A)-2,1)),interpolar(E670,OFFSET(Curvas_cupon_cero!$A$1,1,0,COUNT(Curvas_cupon_cero!$A:$A)-2,1),OFFSET(Curvas_cupon_cero!$A$1,1,MATCH($B$6,Curvas_cupon_cero!$1:$1,0)-1,COUNT(Curvas_cupon_cero!$A:$A)-2,1))))</f>
        <v/>
      </c>
      <c r="G670" s="23" t="str">
        <f ca="1">IF(A670="","",IF($B$8="Sí",interpolar_alamb(E670,OFFSET(Curvas_cupon_cero!$A$1,1,0,COUNT(Curvas_cupon_cero!$A:$A)-2,1),OFFSET(Curvas_cupon_cero!$A$1,1,MATCH($B$7,Curvas_cupon_cero!$1:$1,0)-1,COUNT(Curvas_cupon_cero!$A:$A)-2,1)),interpolar(E670,OFFSET(Curvas_cupon_cero!$A$1,1,0,COUNT(Curvas_cupon_cero!$A:$A)-2,1),OFFSET(Curvas_cupon_cero!$A$1,1,MATCH($B$7,Curvas_cupon_cero!$1:$1,0)-1,COUNT(Curvas_cupon_cero!$A:$A)-2,1))))</f>
        <v/>
      </c>
      <c r="H670" s="19" t="str">
        <f t="shared" si="61"/>
        <v/>
      </c>
    </row>
    <row r="671" spans="1:8" x14ac:dyDescent="0.2">
      <c r="A671" s="12" t="str">
        <f t="shared" si="62"/>
        <v/>
      </c>
      <c r="B671" s="21" t="str">
        <f t="shared" si="63"/>
        <v/>
      </c>
      <c r="C671" s="17" t="str">
        <f t="shared" si="60"/>
        <v/>
      </c>
      <c r="D671" s="18" t="str">
        <f t="shared" si="64"/>
        <v/>
      </c>
      <c r="E671" t="str">
        <f t="shared" si="65"/>
        <v/>
      </c>
      <c r="F671" s="23" t="str">
        <f ca="1">IF(A671="","",IF($B$8="Sí",interpolar_alamb(E671,OFFSET(Curvas_cupon_cero!$A$1,1,0,COUNT(Curvas_cupon_cero!$A:$A)-2,1),OFFSET(Curvas_cupon_cero!$A$1,1,MATCH($B$6,Curvas_cupon_cero!$1:$1,0)-1,COUNT(Curvas_cupon_cero!$A:$A)-2,1)),interpolar(E671,OFFSET(Curvas_cupon_cero!$A$1,1,0,COUNT(Curvas_cupon_cero!$A:$A)-2,1),OFFSET(Curvas_cupon_cero!$A$1,1,MATCH($B$6,Curvas_cupon_cero!$1:$1,0)-1,COUNT(Curvas_cupon_cero!$A:$A)-2,1))))</f>
        <v/>
      </c>
      <c r="G671" s="23" t="str">
        <f ca="1">IF(A671="","",IF($B$8="Sí",interpolar_alamb(E671,OFFSET(Curvas_cupon_cero!$A$1,1,0,COUNT(Curvas_cupon_cero!$A:$A)-2,1),OFFSET(Curvas_cupon_cero!$A$1,1,MATCH($B$7,Curvas_cupon_cero!$1:$1,0)-1,COUNT(Curvas_cupon_cero!$A:$A)-2,1)),interpolar(E671,OFFSET(Curvas_cupon_cero!$A$1,1,0,COUNT(Curvas_cupon_cero!$A:$A)-2,1),OFFSET(Curvas_cupon_cero!$A$1,1,MATCH($B$7,Curvas_cupon_cero!$1:$1,0)-1,COUNT(Curvas_cupon_cero!$A:$A)-2,1))))</f>
        <v/>
      </c>
      <c r="H671" s="19" t="str">
        <f t="shared" si="61"/>
        <v/>
      </c>
    </row>
    <row r="672" spans="1:8" x14ac:dyDescent="0.2">
      <c r="A672" s="12" t="str">
        <f t="shared" si="62"/>
        <v/>
      </c>
      <c r="B672" s="21" t="str">
        <f t="shared" si="63"/>
        <v/>
      </c>
      <c r="C672" s="17" t="str">
        <f t="shared" si="60"/>
        <v/>
      </c>
      <c r="D672" s="18" t="str">
        <f t="shared" si="64"/>
        <v/>
      </c>
      <c r="E672" t="str">
        <f t="shared" si="65"/>
        <v/>
      </c>
      <c r="F672" s="23" t="str">
        <f ca="1">IF(A672="","",IF($B$8="Sí",interpolar_alamb(E672,OFFSET(Curvas_cupon_cero!$A$1,1,0,COUNT(Curvas_cupon_cero!$A:$A)-2,1),OFFSET(Curvas_cupon_cero!$A$1,1,MATCH($B$6,Curvas_cupon_cero!$1:$1,0)-1,COUNT(Curvas_cupon_cero!$A:$A)-2,1)),interpolar(E672,OFFSET(Curvas_cupon_cero!$A$1,1,0,COUNT(Curvas_cupon_cero!$A:$A)-2,1),OFFSET(Curvas_cupon_cero!$A$1,1,MATCH($B$6,Curvas_cupon_cero!$1:$1,0)-1,COUNT(Curvas_cupon_cero!$A:$A)-2,1))))</f>
        <v/>
      </c>
      <c r="G672" s="23" t="str">
        <f ca="1">IF(A672="","",IF($B$8="Sí",interpolar_alamb(E672,OFFSET(Curvas_cupon_cero!$A$1,1,0,COUNT(Curvas_cupon_cero!$A:$A)-2,1),OFFSET(Curvas_cupon_cero!$A$1,1,MATCH($B$7,Curvas_cupon_cero!$1:$1,0)-1,COUNT(Curvas_cupon_cero!$A:$A)-2,1)),interpolar(E672,OFFSET(Curvas_cupon_cero!$A$1,1,0,COUNT(Curvas_cupon_cero!$A:$A)-2,1),OFFSET(Curvas_cupon_cero!$A$1,1,MATCH($B$7,Curvas_cupon_cero!$1:$1,0)-1,COUNT(Curvas_cupon_cero!$A:$A)-2,1))))</f>
        <v/>
      </c>
      <c r="H672" s="19" t="str">
        <f t="shared" si="61"/>
        <v/>
      </c>
    </row>
    <row r="673" spans="1:8" x14ac:dyDescent="0.2">
      <c r="A673" s="12" t="str">
        <f t="shared" si="62"/>
        <v/>
      </c>
      <c r="B673" s="21" t="str">
        <f t="shared" si="63"/>
        <v/>
      </c>
      <c r="C673" s="17" t="str">
        <f t="shared" si="60"/>
        <v/>
      </c>
      <c r="D673" s="18" t="str">
        <f t="shared" si="64"/>
        <v/>
      </c>
      <c r="E673" t="str">
        <f t="shared" si="65"/>
        <v/>
      </c>
      <c r="F673" s="23" t="str">
        <f ca="1">IF(A673="","",IF($B$8="Sí",interpolar_alamb(E673,OFFSET(Curvas_cupon_cero!$A$1,1,0,COUNT(Curvas_cupon_cero!$A:$A)-2,1),OFFSET(Curvas_cupon_cero!$A$1,1,MATCH($B$6,Curvas_cupon_cero!$1:$1,0)-1,COUNT(Curvas_cupon_cero!$A:$A)-2,1)),interpolar(E673,OFFSET(Curvas_cupon_cero!$A$1,1,0,COUNT(Curvas_cupon_cero!$A:$A)-2,1),OFFSET(Curvas_cupon_cero!$A$1,1,MATCH($B$6,Curvas_cupon_cero!$1:$1,0)-1,COUNT(Curvas_cupon_cero!$A:$A)-2,1))))</f>
        <v/>
      </c>
      <c r="G673" s="23" t="str">
        <f ca="1">IF(A673="","",IF($B$8="Sí",interpolar_alamb(E673,OFFSET(Curvas_cupon_cero!$A$1,1,0,COUNT(Curvas_cupon_cero!$A:$A)-2,1),OFFSET(Curvas_cupon_cero!$A$1,1,MATCH($B$7,Curvas_cupon_cero!$1:$1,0)-1,COUNT(Curvas_cupon_cero!$A:$A)-2,1)),interpolar(E673,OFFSET(Curvas_cupon_cero!$A$1,1,0,COUNT(Curvas_cupon_cero!$A:$A)-2,1),OFFSET(Curvas_cupon_cero!$A$1,1,MATCH($B$7,Curvas_cupon_cero!$1:$1,0)-1,COUNT(Curvas_cupon_cero!$A:$A)-2,1))))</f>
        <v/>
      </c>
      <c r="H673" s="19" t="str">
        <f t="shared" si="61"/>
        <v/>
      </c>
    </row>
    <row r="674" spans="1:8" x14ac:dyDescent="0.2">
      <c r="A674" s="12" t="str">
        <f t="shared" si="62"/>
        <v/>
      </c>
      <c r="B674" s="21" t="str">
        <f t="shared" si="63"/>
        <v/>
      </c>
      <c r="C674" s="17" t="str">
        <f t="shared" si="60"/>
        <v/>
      </c>
      <c r="D674" s="18" t="str">
        <f t="shared" si="64"/>
        <v/>
      </c>
      <c r="E674" t="str">
        <f t="shared" si="65"/>
        <v/>
      </c>
      <c r="F674" s="23" t="str">
        <f ca="1">IF(A674="","",IF($B$8="Sí",interpolar_alamb(E674,OFFSET(Curvas_cupon_cero!$A$1,1,0,COUNT(Curvas_cupon_cero!$A:$A)-2,1),OFFSET(Curvas_cupon_cero!$A$1,1,MATCH($B$6,Curvas_cupon_cero!$1:$1,0)-1,COUNT(Curvas_cupon_cero!$A:$A)-2,1)),interpolar(E674,OFFSET(Curvas_cupon_cero!$A$1,1,0,COUNT(Curvas_cupon_cero!$A:$A)-2,1),OFFSET(Curvas_cupon_cero!$A$1,1,MATCH($B$6,Curvas_cupon_cero!$1:$1,0)-1,COUNT(Curvas_cupon_cero!$A:$A)-2,1))))</f>
        <v/>
      </c>
      <c r="G674" s="23" t="str">
        <f ca="1">IF(A674="","",IF($B$8="Sí",interpolar_alamb(E674,OFFSET(Curvas_cupon_cero!$A$1,1,0,COUNT(Curvas_cupon_cero!$A:$A)-2,1),OFFSET(Curvas_cupon_cero!$A$1,1,MATCH($B$7,Curvas_cupon_cero!$1:$1,0)-1,COUNT(Curvas_cupon_cero!$A:$A)-2,1)),interpolar(E674,OFFSET(Curvas_cupon_cero!$A$1,1,0,COUNT(Curvas_cupon_cero!$A:$A)-2,1),OFFSET(Curvas_cupon_cero!$A$1,1,MATCH($B$7,Curvas_cupon_cero!$1:$1,0)-1,COUNT(Curvas_cupon_cero!$A:$A)-2,1))))</f>
        <v/>
      </c>
      <c r="H674" s="19" t="str">
        <f t="shared" si="61"/>
        <v/>
      </c>
    </row>
    <row r="675" spans="1:8" x14ac:dyDescent="0.2">
      <c r="A675" s="12" t="str">
        <f t="shared" si="62"/>
        <v/>
      </c>
      <c r="B675" s="21" t="str">
        <f t="shared" si="63"/>
        <v/>
      </c>
      <c r="C675" s="17" t="str">
        <f t="shared" si="60"/>
        <v/>
      </c>
      <c r="D675" s="18" t="str">
        <f t="shared" si="64"/>
        <v/>
      </c>
      <c r="E675" t="str">
        <f t="shared" si="65"/>
        <v/>
      </c>
      <c r="F675" s="23" t="str">
        <f ca="1">IF(A675="","",IF($B$8="Sí",interpolar_alamb(E675,OFFSET(Curvas_cupon_cero!$A$1,1,0,COUNT(Curvas_cupon_cero!$A:$A)-2,1),OFFSET(Curvas_cupon_cero!$A$1,1,MATCH($B$6,Curvas_cupon_cero!$1:$1,0)-1,COUNT(Curvas_cupon_cero!$A:$A)-2,1)),interpolar(E675,OFFSET(Curvas_cupon_cero!$A$1,1,0,COUNT(Curvas_cupon_cero!$A:$A)-2,1),OFFSET(Curvas_cupon_cero!$A$1,1,MATCH($B$6,Curvas_cupon_cero!$1:$1,0)-1,COUNT(Curvas_cupon_cero!$A:$A)-2,1))))</f>
        <v/>
      </c>
      <c r="G675" s="23" t="str">
        <f ca="1">IF(A675="","",IF($B$8="Sí",interpolar_alamb(E675,OFFSET(Curvas_cupon_cero!$A$1,1,0,COUNT(Curvas_cupon_cero!$A:$A)-2,1),OFFSET(Curvas_cupon_cero!$A$1,1,MATCH($B$7,Curvas_cupon_cero!$1:$1,0)-1,COUNT(Curvas_cupon_cero!$A:$A)-2,1)),interpolar(E675,OFFSET(Curvas_cupon_cero!$A$1,1,0,COUNT(Curvas_cupon_cero!$A:$A)-2,1),OFFSET(Curvas_cupon_cero!$A$1,1,MATCH($B$7,Curvas_cupon_cero!$1:$1,0)-1,COUNT(Curvas_cupon_cero!$A:$A)-2,1))))</f>
        <v/>
      </c>
      <c r="H675" s="19" t="str">
        <f t="shared" si="61"/>
        <v/>
      </c>
    </row>
    <row r="676" spans="1:8" x14ac:dyDescent="0.2">
      <c r="A676" s="12" t="str">
        <f t="shared" si="62"/>
        <v/>
      </c>
      <c r="B676" s="21" t="str">
        <f t="shared" si="63"/>
        <v/>
      </c>
      <c r="C676" s="17" t="str">
        <f t="shared" si="60"/>
        <v/>
      </c>
      <c r="D676" s="18" t="str">
        <f t="shared" si="64"/>
        <v/>
      </c>
      <c r="E676" t="str">
        <f t="shared" si="65"/>
        <v/>
      </c>
      <c r="F676" s="23" t="str">
        <f ca="1">IF(A676="","",IF($B$8="Sí",interpolar_alamb(E676,OFFSET(Curvas_cupon_cero!$A$1,1,0,COUNT(Curvas_cupon_cero!$A:$A)-2,1),OFFSET(Curvas_cupon_cero!$A$1,1,MATCH($B$6,Curvas_cupon_cero!$1:$1,0)-1,COUNT(Curvas_cupon_cero!$A:$A)-2,1)),interpolar(E676,OFFSET(Curvas_cupon_cero!$A$1,1,0,COUNT(Curvas_cupon_cero!$A:$A)-2,1),OFFSET(Curvas_cupon_cero!$A$1,1,MATCH($B$6,Curvas_cupon_cero!$1:$1,0)-1,COUNT(Curvas_cupon_cero!$A:$A)-2,1))))</f>
        <v/>
      </c>
      <c r="G676" s="23" t="str">
        <f ca="1">IF(A676="","",IF($B$8="Sí",interpolar_alamb(E676,OFFSET(Curvas_cupon_cero!$A$1,1,0,COUNT(Curvas_cupon_cero!$A:$A)-2,1),OFFSET(Curvas_cupon_cero!$A$1,1,MATCH($B$7,Curvas_cupon_cero!$1:$1,0)-1,COUNT(Curvas_cupon_cero!$A:$A)-2,1)),interpolar(E676,OFFSET(Curvas_cupon_cero!$A$1,1,0,COUNT(Curvas_cupon_cero!$A:$A)-2,1),OFFSET(Curvas_cupon_cero!$A$1,1,MATCH($B$7,Curvas_cupon_cero!$1:$1,0)-1,COUNT(Curvas_cupon_cero!$A:$A)-2,1))))</f>
        <v/>
      </c>
      <c r="H676" s="19" t="str">
        <f t="shared" si="61"/>
        <v/>
      </c>
    </row>
    <row r="677" spans="1:8" x14ac:dyDescent="0.2">
      <c r="A677" s="12" t="str">
        <f t="shared" si="62"/>
        <v/>
      </c>
      <c r="B677" s="21" t="str">
        <f t="shared" si="63"/>
        <v/>
      </c>
      <c r="C677" s="17" t="str">
        <f t="shared" si="60"/>
        <v/>
      </c>
      <c r="D677" s="18" t="str">
        <f t="shared" si="64"/>
        <v/>
      </c>
      <c r="E677" t="str">
        <f t="shared" si="65"/>
        <v/>
      </c>
      <c r="F677" s="23" t="str">
        <f ca="1">IF(A677="","",IF($B$8="Sí",interpolar_alamb(E677,OFFSET(Curvas_cupon_cero!$A$1,1,0,COUNT(Curvas_cupon_cero!$A:$A)-2,1),OFFSET(Curvas_cupon_cero!$A$1,1,MATCH($B$6,Curvas_cupon_cero!$1:$1,0)-1,COUNT(Curvas_cupon_cero!$A:$A)-2,1)),interpolar(E677,OFFSET(Curvas_cupon_cero!$A$1,1,0,COUNT(Curvas_cupon_cero!$A:$A)-2,1),OFFSET(Curvas_cupon_cero!$A$1,1,MATCH($B$6,Curvas_cupon_cero!$1:$1,0)-1,COUNT(Curvas_cupon_cero!$A:$A)-2,1))))</f>
        <v/>
      </c>
      <c r="G677" s="23" t="str">
        <f ca="1">IF(A677="","",IF($B$8="Sí",interpolar_alamb(E677,OFFSET(Curvas_cupon_cero!$A$1,1,0,COUNT(Curvas_cupon_cero!$A:$A)-2,1),OFFSET(Curvas_cupon_cero!$A$1,1,MATCH($B$7,Curvas_cupon_cero!$1:$1,0)-1,COUNT(Curvas_cupon_cero!$A:$A)-2,1)),interpolar(E677,OFFSET(Curvas_cupon_cero!$A$1,1,0,COUNT(Curvas_cupon_cero!$A:$A)-2,1),OFFSET(Curvas_cupon_cero!$A$1,1,MATCH($B$7,Curvas_cupon_cero!$1:$1,0)-1,COUNT(Curvas_cupon_cero!$A:$A)-2,1))))</f>
        <v/>
      </c>
      <c r="H677" s="19" t="str">
        <f t="shared" si="61"/>
        <v/>
      </c>
    </row>
    <row r="678" spans="1:8" x14ac:dyDescent="0.2">
      <c r="A678" s="12" t="str">
        <f t="shared" si="62"/>
        <v/>
      </c>
      <c r="B678" s="21" t="str">
        <f t="shared" si="63"/>
        <v/>
      </c>
      <c r="C678" s="17" t="str">
        <f t="shared" si="60"/>
        <v/>
      </c>
      <c r="D678" s="18" t="str">
        <f t="shared" si="64"/>
        <v/>
      </c>
      <c r="E678" t="str">
        <f t="shared" si="65"/>
        <v/>
      </c>
      <c r="F678" s="23" t="str">
        <f ca="1">IF(A678="","",IF($B$8="Sí",interpolar_alamb(E678,OFFSET(Curvas_cupon_cero!$A$1,1,0,COUNT(Curvas_cupon_cero!$A:$A)-2,1),OFFSET(Curvas_cupon_cero!$A$1,1,MATCH($B$6,Curvas_cupon_cero!$1:$1,0)-1,COUNT(Curvas_cupon_cero!$A:$A)-2,1)),interpolar(E678,OFFSET(Curvas_cupon_cero!$A$1,1,0,COUNT(Curvas_cupon_cero!$A:$A)-2,1),OFFSET(Curvas_cupon_cero!$A$1,1,MATCH($B$6,Curvas_cupon_cero!$1:$1,0)-1,COUNT(Curvas_cupon_cero!$A:$A)-2,1))))</f>
        <v/>
      </c>
      <c r="G678" s="23" t="str">
        <f ca="1">IF(A678="","",IF($B$8="Sí",interpolar_alamb(E678,OFFSET(Curvas_cupon_cero!$A$1,1,0,COUNT(Curvas_cupon_cero!$A:$A)-2,1),OFFSET(Curvas_cupon_cero!$A$1,1,MATCH($B$7,Curvas_cupon_cero!$1:$1,0)-1,COUNT(Curvas_cupon_cero!$A:$A)-2,1)),interpolar(E678,OFFSET(Curvas_cupon_cero!$A$1,1,0,COUNT(Curvas_cupon_cero!$A:$A)-2,1),OFFSET(Curvas_cupon_cero!$A$1,1,MATCH($B$7,Curvas_cupon_cero!$1:$1,0)-1,COUNT(Curvas_cupon_cero!$A:$A)-2,1))))</f>
        <v/>
      </c>
      <c r="H678" s="19" t="str">
        <f t="shared" si="61"/>
        <v/>
      </c>
    </row>
    <row r="679" spans="1:8" x14ac:dyDescent="0.2">
      <c r="A679" s="12" t="str">
        <f t="shared" si="62"/>
        <v/>
      </c>
      <c r="B679" s="21" t="str">
        <f t="shared" si="63"/>
        <v/>
      </c>
      <c r="C679" s="17" t="str">
        <f t="shared" si="60"/>
        <v/>
      </c>
      <c r="D679" s="18" t="str">
        <f t="shared" si="64"/>
        <v/>
      </c>
      <c r="E679" t="str">
        <f t="shared" si="65"/>
        <v/>
      </c>
      <c r="F679" s="23" t="str">
        <f ca="1">IF(A679="","",IF($B$8="Sí",interpolar_alamb(E679,OFFSET(Curvas_cupon_cero!$A$1,1,0,COUNT(Curvas_cupon_cero!$A:$A)-2,1),OFFSET(Curvas_cupon_cero!$A$1,1,MATCH($B$6,Curvas_cupon_cero!$1:$1,0)-1,COUNT(Curvas_cupon_cero!$A:$A)-2,1)),interpolar(E679,OFFSET(Curvas_cupon_cero!$A$1,1,0,COUNT(Curvas_cupon_cero!$A:$A)-2,1),OFFSET(Curvas_cupon_cero!$A$1,1,MATCH($B$6,Curvas_cupon_cero!$1:$1,0)-1,COUNT(Curvas_cupon_cero!$A:$A)-2,1))))</f>
        <v/>
      </c>
      <c r="G679" s="23" t="str">
        <f ca="1">IF(A679="","",IF($B$8="Sí",interpolar_alamb(E679,OFFSET(Curvas_cupon_cero!$A$1,1,0,COUNT(Curvas_cupon_cero!$A:$A)-2,1),OFFSET(Curvas_cupon_cero!$A$1,1,MATCH($B$7,Curvas_cupon_cero!$1:$1,0)-1,COUNT(Curvas_cupon_cero!$A:$A)-2,1)),interpolar(E679,OFFSET(Curvas_cupon_cero!$A$1,1,0,COUNT(Curvas_cupon_cero!$A:$A)-2,1),OFFSET(Curvas_cupon_cero!$A$1,1,MATCH($B$7,Curvas_cupon_cero!$1:$1,0)-1,COUNT(Curvas_cupon_cero!$A:$A)-2,1))))</f>
        <v/>
      </c>
      <c r="H679" s="19" t="str">
        <f t="shared" si="61"/>
        <v/>
      </c>
    </row>
    <row r="680" spans="1:8" x14ac:dyDescent="0.2">
      <c r="A680" s="12" t="str">
        <f t="shared" si="62"/>
        <v/>
      </c>
      <c r="B680" s="21" t="str">
        <f t="shared" si="63"/>
        <v/>
      </c>
      <c r="C680" s="17" t="str">
        <f t="shared" si="60"/>
        <v/>
      </c>
      <c r="D680" s="18" t="str">
        <f t="shared" si="64"/>
        <v/>
      </c>
      <c r="E680" t="str">
        <f t="shared" si="65"/>
        <v/>
      </c>
      <c r="F680" s="23" t="str">
        <f ca="1">IF(A680="","",IF($B$8="Sí",interpolar_alamb(E680,OFFSET(Curvas_cupon_cero!$A$1,1,0,COUNT(Curvas_cupon_cero!$A:$A)-2,1),OFFSET(Curvas_cupon_cero!$A$1,1,MATCH($B$6,Curvas_cupon_cero!$1:$1,0)-1,COUNT(Curvas_cupon_cero!$A:$A)-2,1)),interpolar(E680,OFFSET(Curvas_cupon_cero!$A$1,1,0,COUNT(Curvas_cupon_cero!$A:$A)-2,1),OFFSET(Curvas_cupon_cero!$A$1,1,MATCH($B$6,Curvas_cupon_cero!$1:$1,0)-1,COUNT(Curvas_cupon_cero!$A:$A)-2,1))))</f>
        <v/>
      </c>
      <c r="G680" s="23" t="str">
        <f ca="1">IF(A680="","",IF($B$8="Sí",interpolar_alamb(E680,OFFSET(Curvas_cupon_cero!$A$1,1,0,COUNT(Curvas_cupon_cero!$A:$A)-2,1),OFFSET(Curvas_cupon_cero!$A$1,1,MATCH($B$7,Curvas_cupon_cero!$1:$1,0)-1,COUNT(Curvas_cupon_cero!$A:$A)-2,1)),interpolar(E680,OFFSET(Curvas_cupon_cero!$A$1,1,0,COUNT(Curvas_cupon_cero!$A:$A)-2,1),OFFSET(Curvas_cupon_cero!$A$1,1,MATCH($B$7,Curvas_cupon_cero!$1:$1,0)-1,COUNT(Curvas_cupon_cero!$A:$A)-2,1))))</f>
        <v/>
      </c>
      <c r="H680" s="19" t="str">
        <f t="shared" si="61"/>
        <v/>
      </c>
    </row>
    <row r="681" spans="1:8" x14ac:dyDescent="0.2">
      <c r="A681" s="12" t="str">
        <f t="shared" si="62"/>
        <v/>
      </c>
      <c r="B681" s="21" t="str">
        <f t="shared" si="63"/>
        <v/>
      </c>
      <c r="C681" s="17" t="str">
        <f t="shared" si="60"/>
        <v/>
      </c>
      <c r="D681" s="18" t="str">
        <f t="shared" si="64"/>
        <v/>
      </c>
      <c r="E681" t="str">
        <f t="shared" si="65"/>
        <v/>
      </c>
      <c r="F681" s="23" t="str">
        <f ca="1">IF(A681="","",IF($B$8="Sí",interpolar_alamb(E681,OFFSET(Curvas_cupon_cero!$A$1,1,0,COUNT(Curvas_cupon_cero!$A:$A)-2,1),OFFSET(Curvas_cupon_cero!$A$1,1,MATCH($B$6,Curvas_cupon_cero!$1:$1,0)-1,COUNT(Curvas_cupon_cero!$A:$A)-2,1)),interpolar(E681,OFFSET(Curvas_cupon_cero!$A$1,1,0,COUNT(Curvas_cupon_cero!$A:$A)-2,1),OFFSET(Curvas_cupon_cero!$A$1,1,MATCH($B$6,Curvas_cupon_cero!$1:$1,0)-1,COUNT(Curvas_cupon_cero!$A:$A)-2,1))))</f>
        <v/>
      </c>
      <c r="G681" s="23" t="str">
        <f ca="1">IF(A681="","",IF($B$8="Sí",interpolar_alamb(E681,OFFSET(Curvas_cupon_cero!$A$1,1,0,COUNT(Curvas_cupon_cero!$A:$A)-2,1),OFFSET(Curvas_cupon_cero!$A$1,1,MATCH($B$7,Curvas_cupon_cero!$1:$1,0)-1,COUNT(Curvas_cupon_cero!$A:$A)-2,1)),interpolar(E681,OFFSET(Curvas_cupon_cero!$A$1,1,0,COUNT(Curvas_cupon_cero!$A:$A)-2,1),OFFSET(Curvas_cupon_cero!$A$1,1,MATCH($B$7,Curvas_cupon_cero!$1:$1,0)-1,COUNT(Curvas_cupon_cero!$A:$A)-2,1))))</f>
        <v/>
      </c>
      <c r="H681" s="19" t="str">
        <f t="shared" si="61"/>
        <v/>
      </c>
    </row>
    <row r="682" spans="1:8" x14ac:dyDescent="0.2">
      <c r="A682" s="12" t="str">
        <f t="shared" si="62"/>
        <v/>
      </c>
      <c r="B682" s="21" t="str">
        <f t="shared" si="63"/>
        <v/>
      </c>
      <c r="C682" s="17" t="str">
        <f t="shared" si="60"/>
        <v/>
      </c>
      <c r="D682" s="18" t="str">
        <f t="shared" si="64"/>
        <v/>
      </c>
      <c r="E682" t="str">
        <f t="shared" si="65"/>
        <v/>
      </c>
      <c r="F682" s="23" t="str">
        <f ca="1">IF(A682="","",IF($B$8="Sí",interpolar_alamb(E682,OFFSET(Curvas_cupon_cero!$A$1,1,0,COUNT(Curvas_cupon_cero!$A:$A)-2,1),OFFSET(Curvas_cupon_cero!$A$1,1,MATCH($B$6,Curvas_cupon_cero!$1:$1,0)-1,COUNT(Curvas_cupon_cero!$A:$A)-2,1)),interpolar(E682,OFFSET(Curvas_cupon_cero!$A$1,1,0,COUNT(Curvas_cupon_cero!$A:$A)-2,1),OFFSET(Curvas_cupon_cero!$A$1,1,MATCH($B$6,Curvas_cupon_cero!$1:$1,0)-1,COUNT(Curvas_cupon_cero!$A:$A)-2,1))))</f>
        <v/>
      </c>
      <c r="G682" s="23" t="str">
        <f ca="1">IF(A682="","",IF($B$8="Sí",interpolar_alamb(E682,OFFSET(Curvas_cupon_cero!$A$1,1,0,COUNT(Curvas_cupon_cero!$A:$A)-2,1),OFFSET(Curvas_cupon_cero!$A$1,1,MATCH($B$7,Curvas_cupon_cero!$1:$1,0)-1,COUNT(Curvas_cupon_cero!$A:$A)-2,1)),interpolar(E682,OFFSET(Curvas_cupon_cero!$A$1,1,0,COUNT(Curvas_cupon_cero!$A:$A)-2,1),OFFSET(Curvas_cupon_cero!$A$1,1,MATCH($B$7,Curvas_cupon_cero!$1:$1,0)-1,COUNT(Curvas_cupon_cero!$A:$A)-2,1))))</f>
        <v/>
      </c>
      <c r="H682" s="19" t="str">
        <f t="shared" si="61"/>
        <v/>
      </c>
    </row>
    <row r="683" spans="1:8" x14ac:dyDescent="0.2">
      <c r="A683" s="12" t="str">
        <f t="shared" si="62"/>
        <v/>
      </c>
      <c r="B683" s="21" t="str">
        <f t="shared" si="63"/>
        <v/>
      </c>
      <c r="C683" s="17" t="str">
        <f t="shared" si="60"/>
        <v/>
      </c>
      <c r="D683" s="18" t="str">
        <f t="shared" si="64"/>
        <v/>
      </c>
      <c r="E683" t="str">
        <f t="shared" si="65"/>
        <v/>
      </c>
      <c r="F683" s="23" t="str">
        <f ca="1">IF(A683="","",IF($B$8="Sí",interpolar_alamb(E683,OFFSET(Curvas_cupon_cero!$A$1,1,0,COUNT(Curvas_cupon_cero!$A:$A)-2,1),OFFSET(Curvas_cupon_cero!$A$1,1,MATCH($B$6,Curvas_cupon_cero!$1:$1,0)-1,COUNT(Curvas_cupon_cero!$A:$A)-2,1)),interpolar(E683,OFFSET(Curvas_cupon_cero!$A$1,1,0,COUNT(Curvas_cupon_cero!$A:$A)-2,1),OFFSET(Curvas_cupon_cero!$A$1,1,MATCH($B$6,Curvas_cupon_cero!$1:$1,0)-1,COUNT(Curvas_cupon_cero!$A:$A)-2,1))))</f>
        <v/>
      </c>
      <c r="G683" s="23" t="str">
        <f ca="1">IF(A683="","",IF($B$8="Sí",interpolar_alamb(E683,OFFSET(Curvas_cupon_cero!$A$1,1,0,COUNT(Curvas_cupon_cero!$A:$A)-2,1),OFFSET(Curvas_cupon_cero!$A$1,1,MATCH($B$7,Curvas_cupon_cero!$1:$1,0)-1,COUNT(Curvas_cupon_cero!$A:$A)-2,1)),interpolar(E683,OFFSET(Curvas_cupon_cero!$A$1,1,0,COUNT(Curvas_cupon_cero!$A:$A)-2,1),OFFSET(Curvas_cupon_cero!$A$1,1,MATCH($B$7,Curvas_cupon_cero!$1:$1,0)-1,COUNT(Curvas_cupon_cero!$A:$A)-2,1))))</f>
        <v/>
      </c>
      <c r="H683" s="19" t="str">
        <f t="shared" si="61"/>
        <v/>
      </c>
    </row>
    <row r="684" spans="1:8" x14ac:dyDescent="0.2">
      <c r="A684" s="12" t="str">
        <f t="shared" si="62"/>
        <v/>
      </c>
      <c r="B684" s="21" t="str">
        <f t="shared" si="63"/>
        <v/>
      </c>
      <c r="C684" s="17" t="str">
        <f t="shared" si="60"/>
        <v/>
      </c>
      <c r="D684" s="18" t="str">
        <f t="shared" si="64"/>
        <v/>
      </c>
      <c r="E684" t="str">
        <f t="shared" si="65"/>
        <v/>
      </c>
      <c r="F684" s="23" t="str">
        <f ca="1">IF(A684="","",IF($B$8="Sí",interpolar_alamb(E684,OFFSET(Curvas_cupon_cero!$A$1,1,0,COUNT(Curvas_cupon_cero!$A:$A)-2,1),OFFSET(Curvas_cupon_cero!$A$1,1,MATCH($B$6,Curvas_cupon_cero!$1:$1,0)-1,COUNT(Curvas_cupon_cero!$A:$A)-2,1)),interpolar(E684,OFFSET(Curvas_cupon_cero!$A$1,1,0,COUNT(Curvas_cupon_cero!$A:$A)-2,1),OFFSET(Curvas_cupon_cero!$A$1,1,MATCH($B$6,Curvas_cupon_cero!$1:$1,0)-1,COUNT(Curvas_cupon_cero!$A:$A)-2,1))))</f>
        <v/>
      </c>
      <c r="G684" s="23" t="str">
        <f ca="1">IF(A684="","",IF($B$8="Sí",interpolar_alamb(E684,OFFSET(Curvas_cupon_cero!$A$1,1,0,COUNT(Curvas_cupon_cero!$A:$A)-2,1),OFFSET(Curvas_cupon_cero!$A$1,1,MATCH($B$7,Curvas_cupon_cero!$1:$1,0)-1,COUNT(Curvas_cupon_cero!$A:$A)-2,1)),interpolar(E684,OFFSET(Curvas_cupon_cero!$A$1,1,0,COUNT(Curvas_cupon_cero!$A:$A)-2,1),OFFSET(Curvas_cupon_cero!$A$1,1,MATCH($B$7,Curvas_cupon_cero!$1:$1,0)-1,COUNT(Curvas_cupon_cero!$A:$A)-2,1))))</f>
        <v/>
      </c>
      <c r="H684" s="19" t="str">
        <f t="shared" si="61"/>
        <v/>
      </c>
    </row>
    <row r="685" spans="1:8" x14ac:dyDescent="0.2">
      <c r="A685" s="12" t="str">
        <f t="shared" si="62"/>
        <v/>
      </c>
      <c r="B685" s="21" t="str">
        <f t="shared" si="63"/>
        <v/>
      </c>
      <c r="C685" s="17" t="str">
        <f t="shared" si="60"/>
        <v/>
      </c>
      <c r="D685" s="18" t="str">
        <f t="shared" si="64"/>
        <v/>
      </c>
      <c r="E685" t="str">
        <f t="shared" si="65"/>
        <v/>
      </c>
      <c r="F685" s="23" t="str">
        <f ca="1">IF(A685="","",IF($B$8="Sí",interpolar_alamb(E685,OFFSET(Curvas_cupon_cero!$A$1,1,0,COUNT(Curvas_cupon_cero!$A:$A)-2,1),OFFSET(Curvas_cupon_cero!$A$1,1,MATCH($B$6,Curvas_cupon_cero!$1:$1,0)-1,COUNT(Curvas_cupon_cero!$A:$A)-2,1)),interpolar(E685,OFFSET(Curvas_cupon_cero!$A$1,1,0,COUNT(Curvas_cupon_cero!$A:$A)-2,1),OFFSET(Curvas_cupon_cero!$A$1,1,MATCH($B$6,Curvas_cupon_cero!$1:$1,0)-1,COUNT(Curvas_cupon_cero!$A:$A)-2,1))))</f>
        <v/>
      </c>
      <c r="G685" s="23" t="str">
        <f ca="1">IF(A685="","",IF($B$8="Sí",interpolar_alamb(E685,OFFSET(Curvas_cupon_cero!$A$1,1,0,COUNT(Curvas_cupon_cero!$A:$A)-2,1),OFFSET(Curvas_cupon_cero!$A$1,1,MATCH($B$7,Curvas_cupon_cero!$1:$1,0)-1,COUNT(Curvas_cupon_cero!$A:$A)-2,1)),interpolar(E685,OFFSET(Curvas_cupon_cero!$A$1,1,0,COUNT(Curvas_cupon_cero!$A:$A)-2,1),OFFSET(Curvas_cupon_cero!$A$1,1,MATCH($B$7,Curvas_cupon_cero!$1:$1,0)-1,COUNT(Curvas_cupon_cero!$A:$A)-2,1))))</f>
        <v/>
      </c>
      <c r="H685" s="19" t="str">
        <f t="shared" si="61"/>
        <v/>
      </c>
    </row>
    <row r="686" spans="1:8" x14ac:dyDescent="0.2">
      <c r="A686" s="12" t="str">
        <f t="shared" si="62"/>
        <v/>
      </c>
      <c r="B686" s="21" t="str">
        <f t="shared" si="63"/>
        <v/>
      </c>
      <c r="C686" s="17" t="str">
        <f t="shared" si="60"/>
        <v/>
      </c>
      <c r="D686" s="18" t="str">
        <f t="shared" si="64"/>
        <v/>
      </c>
      <c r="E686" t="str">
        <f t="shared" si="65"/>
        <v/>
      </c>
      <c r="F686" s="23" t="str">
        <f ca="1">IF(A686="","",IF($B$8="Sí",interpolar_alamb(E686,OFFSET(Curvas_cupon_cero!$A$1,1,0,COUNT(Curvas_cupon_cero!$A:$A)-2,1),OFFSET(Curvas_cupon_cero!$A$1,1,MATCH($B$6,Curvas_cupon_cero!$1:$1,0)-1,COUNT(Curvas_cupon_cero!$A:$A)-2,1)),interpolar(E686,OFFSET(Curvas_cupon_cero!$A$1,1,0,COUNT(Curvas_cupon_cero!$A:$A)-2,1),OFFSET(Curvas_cupon_cero!$A$1,1,MATCH($B$6,Curvas_cupon_cero!$1:$1,0)-1,COUNT(Curvas_cupon_cero!$A:$A)-2,1))))</f>
        <v/>
      </c>
      <c r="G686" s="23" t="str">
        <f ca="1">IF(A686="","",IF($B$8="Sí",interpolar_alamb(E686,OFFSET(Curvas_cupon_cero!$A$1,1,0,COUNT(Curvas_cupon_cero!$A:$A)-2,1),OFFSET(Curvas_cupon_cero!$A$1,1,MATCH($B$7,Curvas_cupon_cero!$1:$1,0)-1,COUNT(Curvas_cupon_cero!$A:$A)-2,1)),interpolar(E686,OFFSET(Curvas_cupon_cero!$A$1,1,0,COUNT(Curvas_cupon_cero!$A:$A)-2,1),OFFSET(Curvas_cupon_cero!$A$1,1,MATCH($B$7,Curvas_cupon_cero!$1:$1,0)-1,COUNT(Curvas_cupon_cero!$A:$A)-2,1))))</f>
        <v/>
      </c>
      <c r="H686" s="19" t="str">
        <f t="shared" si="61"/>
        <v/>
      </c>
    </row>
    <row r="687" spans="1:8" x14ac:dyDescent="0.2">
      <c r="A687" s="12" t="str">
        <f t="shared" si="62"/>
        <v/>
      </c>
      <c r="B687" s="21" t="str">
        <f t="shared" si="63"/>
        <v/>
      </c>
      <c r="C687" s="17" t="str">
        <f t="shared" si="60"/>
        <v/>
      </c>
      <c r="D687" s="18" t="str">
        <f t="shared" si="64"/>
        <v/>
      </c>
      <c r="E687" t="str">
        <f t="shared" si="65"/>
        <v/>
      </c>
      <c r="F687" s="23" t="str">
        <f ca="1">IF(A687="","",IF($B$8="Sí",interpolar_alamb(E687,OFFSET(Curvas_cupon_cero!$A$1,1,0,COUNT(Curvas_cupon_cero!$A:$A)-2,1),OFFSET(Curvas_cupon_cero!$A$1,1,MATCH($B$6,Curvas_cupon_cero!$1:$1,0)-1,COUNT(Curvas_cupon_cero!$A:$A)-2,1)),interpolar(E687,OFFSET(Curvas_cupon_cero!$A$1,1,0,COUNT(Curvas_cupon_cero!$A:$A)-2,1),OFFSET(Curvas_cupon_cero!$A$1,1,MATCH($B$6,Curvas_cupon_cero!$1:$1,0)-1,COUNT(Curvas_cupon_cero!$A:$A)-2,1))))</f>
        <v/>
      </c>
      <c r="G687" s="23" t="str">
        <f ca="1">IF(A687="","",IF($B$8="Sí",interpolar_alamb(E687,OFFSET(Curvas_cupon_cero!$A$1,1,0,COUNT(Curvas_cupon_cero!$A:$A)-2,1),OFFSET(Curvas_cupon_cero!$A$1,1,MATCH($B$7,Curvas_cupon_cero!$1:$1,0)-1,COUNT(Curvas_cupon_cero!$A:$A)-2,1)),interpolar(E687,OFFSET(Curvas_cupon_cero!$A$1,1,0,COUNT(Curvas_cupon_cero!$A:$A)-2,1),OFFSET(Curvas_cupon_cero!$A$1,1,MATCH($B$7,Curvas_cupon_cero!$1:$1,0)-1,COUNT(Curvas_cupon_cero!$A:$A)-2,1))))</f>
        <v/>
      </c>
      <c r="H687" s="19" t="str">
        <f t="shared" si="61"/>
        <v/>
      </c>
    </row>
    <row r="688" spans="1:8" x14ac:dyDescent="0.2">
      <c r="A688" s="12" t="str">
        <f t="shared" si="62"/>
        <v/>
      </c>
      <c r="B688" s="21" t="str">
        <f t="shared" si="63"/>
        <v/>
      </c>
      <c r="C688" s="17" t="str">
        <f t="shared" si="60"/>
        <v/>
      </c>
      <c r="D688" s="18" t="str">
        <f t="shared" si="64"/>
        <v/>
      </c>
      <c r="E688" t="str">
        <f t="shared" si="65"/>
        <v/>
      </c>
      <c r="F688" s="23" t="str">
        <f ca="1">IF(A688="","",IF($B$8="Sí",interpolar_alamb(E688,OFFSET(Curvas_cupon_cero!$A$1,1,0,COUNT(Curvas_cupon_cero!$A:$A)-2,1),OFFSET(Curvas_cupon_cero!$A$1,1,MATCH($B$6,Curvas_cupon_cero!$1:$1,0)-1,COUNT(Curvas_cupon_cero!$A:$A)-2,1)),interpolar(E688,OFFSET(Curvas_cupon_cero!$A$1,1,0,COUNT(Curvas_cupon_cero!$A:$A)-2,1),OFFSET(Curvas_cupon_cero!$A$1,1,MATCH($B$6,Curvas_cupon_cero!$1:$1,0)-1,COUNT(Curvas_cupon_cero!$A:$A)-2,1))))</f>
        <v/>
      </c>
      <c r="G688" s="23" t="str">
        <f ca="1">IF(A688="","",IF($B$8="Sí",interpolar_alamb(E688,OFFSET(Curvas_cupon_cero!$A$1,1,0,COUNT(Curvas_cupon_cero!$A:$A)-2,1),OFFSET(Curvas_cupon_cero!$A$1,1,MATCH($B$7,Curvas_cupon_cero!$1:$1,0)-1,COUNT(Curvas_cupon_cero!$A:$A)-2,1)),interpolar(E688,OFFSET(Curvas_cupon_cero!$A$1,1,0,COUNT(Curvas_cupon_cero!$A:$A)-2,1),OFFSET(Curvas_cupon_cero!$A$1,1,MATCH($B$7,Curvas_cupon_cero!$1:$1,0)-1,COUNT(Curvas_cupon_cero!$A:$A)-2,1))))</f>
        <v/>
      </c>
      <c r="H688" s="19" t="str">
        <f t="shared" si="61"/>
        <v/>
      </c>
    </row>
    <row r="689" spans="1:8" x14ac:dyDescent="0.2">
      <c r="A689" s="12" t="str">
        <f t="shared" si="62"/>
        <v/>
      </c>
      <c r="B689" s="21" t="str">
        <f t="shared" si="63"/>
        <v/>
      </c>
      <c r="C689" s="17" t="str">
        <f t="shared" si="60"/>
        <v/>
      </c>
      <c r="D689" s="18" t="str">
        <f t="shared" si="64"/>
        <v/>
      </c>
      <c r="E689" t="str">
        <f t="shared" si="65"/>
        <v/>
      </c>
      <c r="F689" s="23" t="str">
        <f ca="1">IF(A689="","",IF($B$8="Sí",interpolar_alamb(E689,OFFSET(Curvas_cupon_cero!$A$1,1,0,COUNT(Curvas_cupon_cero!$A:$A)-2,1),OFFSET(Curvas_cupon_cero!$A$1,1,MATCH($B$6,Curvas_cupon_cero!$1:$1,0)-1,COUNT(Curvas_cupon_cero!$A:$A)-2,1)),interpolar(E689,OFFSET(Curvas_cupon_cero!$A$1,1,0,COUNT(Curvas_cupon_cero!$A:$A)-2,1),OFFSET(Curvas_cupon_cero!$A$1,1,MATCH($B$6,Curvas_cupon_cero!$1:$1,0)-1,COUNT(Curvas_cupon_cero!$A:$A)-2,1))))</f>
        <v/>
      </c>
      <c r="G689" s="23" t="str">
        <f ca="1">IF(A689="","",IF($B$8="Sí",interpolar_alamb(E689,OFFSET(Curvas_cupon_cero!$A$1,1,0,COUNT(Curvas_cupon_cero!$A:$A)-2,1),OFFSET(Curvas_cupon_cero!$A$1,1,MATCH($B$7,Curvas_cupon_cero!$1:$1,0)-1,COUNT(Curvas_cupon_cero!$A:$A)-2,1)),interpolar(E689,OFFSET(Curvas_cupon_cero!$A$1,1,0,COUNT(Curvas_cupon_cero!$A:$A)-2,1),OFFSET(Curvas_cupon_cero!$A$1,1,MATCH($B$7,Curvas_cupon_cero!$1:$1,0)-1,COUNT(Curvas_cupon_cero!$A:$A)-2,1))))</f>
        <v/>
      </c>
      <c r="H689" s="19" t="str">
        <f t="shared" si="61"/>
        <v/>
      </c>
    </row>
  </sheetData>
  <dataValidations count="1">
    <dataValidation type="list" allowBlank="1" showInputMessage="1" showErrorMessage="1" sqref="B8">
      <formula1>Bin</formula1>
    </dataValidation>
  </dataValidations>
  <pageMargins left="0.75" right="0.75" top="1" bottom="1" header="0.5" footer="0.5"/>
  <pageSetup orientation="portrait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Curvas_cupon_cero!$C$1:$CK$1</xm:f>
          </x14:formula1>
          <xm:sqref>B6:B7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6</vt:i4>
      </vt:variant>
    </vt:vector>
  </HeadingPairs>
  <TitlesOfParts>
    <vt:vector size="14" baseType="lpstr">
      <vt:lpstr>Curvas_cupon_cero</vt:lpstr>
      <vt:lpstr>Hist</vt:lpstr>
      <vt:lpstr>Bono_S_Cupon</vt:lpstr>
      <vt:lpstr>Bono_M_Cupon_fijo_yield</vt:lpstr>
      <vt:lpstr>Bono_M_Cupon_fijo_curva</vt:lpstr>
      <vt:lpstr>Bono_C_Cupon_variab_gen</vt:lpstr>
      <vt:lpstr>Bono_C_Cupon_var_BPA182</vt:lpstr>
      <vt:lpstr>Bono_C_Cupon_var_BONDED</vt:lpstr>
      <vt:lpstr>Bono_C_Cupon_var_BONDED!Bin</vt:lpstr>
      <vt:lpstr>Bono_C_Cupon_var_BPA182!Bin</vt:lpstr>
      <vt:lpstr>Bono_C_Cupon_variab_gen!Bin</vt:lpstr>
      <vt:lpstr>Bono_M_Cupon_fijo_curva!Bin</vt:lpstr>
      <vt:lpstr>Bono_M_Cupon_fijo_yield!Bin</vt:lpstr>
      <vt:lpstr>Bin</vt:lpstr>
    </vt:vector>
  </TitlesOfParts>
  <Company>Proveedor Integral de Precios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mespinosa</dc:creator>
  <cp:lastModifiedBy>Miranda Ruiz Christian Gabriel</cp:lastModifiedBy>
  <dcterms:created xsi:type="dcterms:W3CDTF">2007-12-11T00:46:44Z</dcterms:created>
  <dcterms:modified xsi:type="dcterms:W3CDTF">2023-02-21T03:26:41Z</dcterms:modified>
</cp:coreProperties>
</file>